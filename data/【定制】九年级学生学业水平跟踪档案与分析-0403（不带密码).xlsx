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heme/theme1.xml" ContentType="application/vnd.openxmlformats-officedocument.theme+xml"/>
  <Override PartName="/xl/theme/themeOverride1.xml" ContentType="application/vnd.openxmlformats-officedocument.themeOverride+xml"/>
  <Override PartName="/xl/theme/themeOverride2.xml" ContentType="application/vnd.openxmlformats-officedocument.themeOverride+xml"/>
  <Override PartName="/xl/theme/themeOverride3.xml" ContentType="application/vnd.openxmlformats-officedocument.themeOverride+xml"/>
  <Override PartName="/xl/theme/themeOverride4.xml" ContentType="application/vnd.openxmlformats-officedocument.themeOverrid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200" tabRatio="707" activeTab="1"/>
  </bookViews>
  <sheets>
    <sheet name="学生个人成绩分析看板" sheetId="19" r:id="rId1"/>
    <sheet name="学生个人成绩统计表" sheetId="16" r:id="rId2"/>
    <sheet name="教学质量分析" sheetId="7" r:id="rId3"/>
    <sheet name="成绩单汇总" sheetId="1" r:id="rId4"/>
    <sheet name="各班学生名单" sheetId="17" r:id="rId5"/>
    <sheet name="科目明细" sheetId="11" r:id="rId6"/>
  </sheets>
  <definedNames>
    <definedName name="切片器_班型">#N/A</definedName>
    <definedName name="_xlnm.Print_Area" localSheetId="2">教学质量分析!$D$2:$P$26</definedName>
    <definedName name="_xlnm.Print_Area" localSheetId="0">学生个人成绩分析看板!$B$2:$L$24</definedName>
    <definedName name="_xlnm.Print_Area" localSheetId="1">学生个人成绩统计表!$B$2:$V$13</definedName>
    <definedName name="_xlnm.Print_Titles" localSheetId="3">成绩单汇总!$4:$4</definedName>
    <definedName name="九年级10班">各班学生名单!$N$5:$N$49</definedName>
    <definedName name="九年级11班">各班学生名单!$O$5:$O$49</definedName>
    <definedName name="九年级12班">各班学生名单!$P$5:$P$49</definedName>
    <definedName name="九年级13班">各班学生名单!$Q$5:$Q$49</definedName>
    <definedName name="九年级14班">各班学生名单!$R$5:$R$49</definedName>
    <definedName name="九年级15班">各班学生名单!$S$5:$S$49</definedName>
    <definedName name="九年级16班">各班学生名单!$T$5:$T$49</definedName>
    <definedName name="九年级17班">各班学生名单!$U$5:$U$49</definedName>
    <definedName name="九年级18班">各班学生名单!$V$5:$V$49</definedName>
    <definedName name="九年级19班">各班学生名单!$W$5:$W$49</definedName>
    <definedName name="九年级1班">各班学生名单!$E$5:$E$49</definedName>
    <definedName name="九年级2班">各班学生名单!$F$5:$F$49</definedName>
    <definedName name="九年级3班">各班学生名单!$G$5:$G$49</definedName>
    <definedName name="九年级4班">各班学生名单!$H$5:$H$49</definedName>
    <definedName name="九年级5班">各班学生名单!$I$5:$I$49</definedName>
    <definedName name="九年级6班">各班学生名单!$J$5:$J$49</definedName>
    <definedName name="九年级7班">各班学生名单!$K$5:$K$49</definedName>
    <definedName name="九年级8班">各班学生名单!$L$5:$L$49</definedName>
    <definedName name="九年级9班">各班学生名单!$M$5:$M$49</definedName>
  </definedNames>
  <calcPr calcId="191029"/>
  <extLst>
    <ext xmlns:x15="http://schemas.microsoft.com/office/spreadsheetml/2010/11/main" uri="{46BE6895-7355-4a93-B00E-2C351335B9C9}">
      <x15:slicerCaches xmlns:x14="http://schemas.microsoft.com/office/spreadsheetml/2009/9/main">
        <x14:slicerCache r:id="rId7"/>
      </x15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<sst xmlns="http://schemas.openxmlformats.org/spreadsheetml/2006/main" count="6570" uniqueCount="885">
  <si>
    <t>班级</t>
  </si>
  <si>
    <t>九年级19班</t>
  </si>
  <si>
    <t>学生姓名</t>
  </si>
  <si>
    <t>刘彧恺</t>
  </si>
  <si>
    <t>考试日期</t>
  </si>
  <si>
    <t>科目</t>
  </si>
  <si>
    <t>满分</t>
  </si>
  <si>
    <t>最高分</t>
  </si>
  <si>
    <t>平均分</t>
  </si>
  <si>
    <t>学生得分</t>
  </si>
  <si>
    <t>得分情况</t>
  </si>
  <si>
    <t>校排</t>
  </si>
  <si>
    <t>各科成绩分析-雷达图</t>
  </si>
  <si>
    <t>语文</t>
  </si>
  <si>
    <t>数学</t>
  </si>
  <si>
    <t>英语</t>
  </si>
  <si>
    <t>物理</t>
  </si>
  <si>
    <t>化学</t>
  </si>
  <si>
    <t>政治</t>
  </si>
  <si>
    <t>历史</t>
  </si>
  <si>
    <t>总分</t>
  </si>
  <si>
    <t>排行榜分析</t>
  </si>
  <si>
    <t>成绩对比分析（得分）</t>
  </si>
  <si>
    <t>成绩对比分析（排名）</t>
  </si>
  <si>
    <t>学生班级：</t>
  </si>
  <si>
    <t>九年级11班</t>
  </si>
  <si>
    <t>学生姓名：</t>
  </si>
  <si>
    <t>罗加薇</t>
  </si>
  <si>
    <t>准考证号：</t>
  </si>
  <si>
    <t>参考人数</t>
  </si>
  <si>
    <t>语文校排</t>
  </si>
  <si>
    <t>数学校排</t>
  </si>
  <si>
    <t>英语校排</t>
  </si>
  <si>
    <t>物理校排</t>
  </si>
  <si>
    <t>化学校排</t>
  </si>
  <si>
    <t>政治校排</t>
  </si>
  <si>
    <t>历史校排</t>
  </si>
  <si>
    <t>总分校排</t>
  </si>
  <si>
    <t>均分</t>
  </si>
  <si>
    <t>签名（分管领导）：</t>
  </si>
  <si>
    <t>盖章（学校公章）：</t>
  </si>
  <si>
    <r>
      <rPr>
        <u/>
        <sz val="10"/>
        <color theme="10"/>
        <rFont val="阿里巴巴普惠体 2.0 55 Regular"/>
        <charset val="134"/>
      </rPr>
      <t>返回</t>
    </r>
    <r>
      <rPr>
        <u/>
        <sz val="10"/>
        <color theme="10"/>
        <rFont val="黑体"/>
        <charset val="134"/>
      </rPr>
      <t>◀</t>
    </r>
  </si>
  <si>
    <t>（九年级）教学质量分析</t>
  </si>
  <si>
    <r>
      <rPr>
        <sz val="12"/>
        <color theme="1"/>
        <rFont val="黑体"/>
        <charset val="134"/>
      </rPr>
      <t>请选科目</t>
    </r>
    <r>
      <rPr>
        <sz val="12"/>
        <color theme="1"/>
        <rFont val="Segoe UI Emoji"/>
        <charset val="134"/>
      </rPr>
      <t>👉</t>
    </r>
  </si>
  <si>
    <t>请选择日期</t>
  </si>
  <si>
    <r>
      <rPr>
        <sz val="12"/>
        <color theme="1"/>
        <rFont val="黑体"/>
        <charset val="134"/>
      </rPr>
      <t>高分明细</t>
    </r>
    <r>
      <rPr>
        <sz val="12"/>
        <color theme="1"/>
        <rFont val="Segoe UI Symbol"/>
        <charset val="134"/>
      </rPr>
      <t>👉</t>
    </r>
  </si>
  <si>
    <t>序号</t>
  </si>
  <si>
    <t>班型</t>
  </si>
  <si>
    <t>超均率</t>
  </si>
  <si>
    <t>优秀人数</t>
  </si>
  <si>
    <t>优秀率%</t>
  </si>
  <si>
    <t>良好人数</t>
  </si>
  <si>
    <t>良好率%</t>
  </si>
  <si>
    <t>及格人数</t>
  </si>
  <si>
    <t>及格率%</t>
  </si>
  <si>
    <t>九年级1班</t>
  </si>
  <si>
    <t>创新班</t>
  </si>
  <si>
    <t>九年级2班</t>
  </si>
  <si>
    <t>九年级3班</t>
  </si>
  <si>
    <t>九年级4班</t>
  </si>
  <si>
    <t>九年级5班</t>
  </si>
  <si>
    <t>九年级6班</t>
  </si>
  <si>
    <t>格知班</t>
  </si>
  <si>
    <t>九年级7班</t>
  </si>
  <si>
    <t>九年级8班</t>
  </si>
  <si>
    <t>九年级9班</t>
  </si>
  <si>
    <t>九年级10班</t>
  </si>
  <si>
    <t>九年级12班</t>
  </si>
  <si>
    <t>南山班</t>
  </si>
  <si>
    <t>九年级13班</t>
  </si>
  <si>
    <t>九年级14班</t>
  </si>
  <si>
    <t>九年级15班</t>
  </si>
  <si>
    <t>九年级16班</t>
  </si>
  <si>
    <t>九年级17班</t>
  </si>
  <si>
    <t>九年级18班</t>
  </si>
  <si>
    <t>汇总</t>
  </si>
  <si>
    <t>成绩单汇总（九年级）</t>
  </si>
  <si>
    <t>密码：</t>
  </si>
  <si>
    <t>准考证号</t>
  </si>
  <si>
    <t>姓名</t>
  </si>
  <si>
    <t>张艺菱</t>
  </si>
  <si>
    <t>梁雅文</t>
  </si>
  <si>
    <t>丁启亮</t>
  </si>
  <si>
    <t>何柏恒</t>
  </si>
  <si>
    <t>刘颖珊</t>
  </si>
  <si>
    <t>罗茵潆</t>
  </si>
  <si>
    <t>骆煜祺</t>
  </si>
  <si>
    <t>李知与</t>
  </si>
  <si>
    <t>冯俊玮</t>
  </si>
  <si>
    <t>江志远</t>
  </si>
  <si>
    <t>凌子轩</t>
  </si>
  <si>
    <t>吕祉诺</t>
  </si>
  <si>
    <t>刘隽轶</t>
  </si>
  <si>
    <t>陈雅唯</t>
  </si>
  <si>
    <t>冯梓皓</t>
  </si>
  <si>
    <t>刘子祺</t>
  </si>
  <si>
    <t>陆科儒</t>
  </si>
  <si>
    <t>李颖佳</t>
  </si>
  <si>
    <t>林子然</t>
  </si>
  <si>
    <t>叶宇轩</t>
  </si>
  <si>
    <t>杨思予</t>
  </si>
  <si>
    <t>刘昱翧</t>
  </si>
  <si>
    <t>吴承滔</t>
  </si>
  <si>
    <t>邓习弘</t>
  </si>
  <si>
    <t>陈俊宏</t>
  </si>
  <si>
    <t>王泓颖</t>
  </si>
  <si>
    <t>罗梓涵</t>
  </si>
  <si>
    <t>黎梦瑜</t>
  </si>
  <si>
    <t>莫梓彤</t>
  </si>
  <si>
    <t>刘思聪</t>
  </si>
  <si>
    <t>朱子行</t>
  </si>
  <si>
    <t>李卓烜</t>
  </si>
  <si>
    <t>全家骏</t>
  </si>
  <si>
    <t>叶恩彤</t>
  </si>
  <si>
    <t>李佳妍</t>
  </si>
  <si>
    <t>李恩泽</t>
  </si>
  <si>
    <t>林承熹</t>
  </si>
  <si>
    <t>王逸轩</t>
  </si>
  <si>
    <t>魏雨沫</t>
  </si>
  <si>
    <t>鲁可倾</t>
  </si>
  <si>
    <t>汪语星</t>
  </si>
  <si>
    <t>刘梓萱</t>
  </si>
  <si>
    <t>周景源</t>
  </si>
  <si>
    <t>李嘉睿</t>
  </si>
  <si>
    <t>陆智波</t>
  </si>
  <si>
    <t>吴沐恩</t>
  </si>
  <si>
    <t>何梓轩</t>
  </si>
  <si>
    <t>周彦彤</t>
  </si>
  <si>
    <t>彭尔听</t>
  </si>
  <si>
    <t>招阳</t>
  </si>
  <si>
    <t>谢玥妃</t>
  </si>
  <si>
    <t>陈雅诺</t>
  </si>
  <si>
    <t>杨子宁</t>
  </si>
  <si>
    <t>谢若蓥</t>
  </si>
  <si>
    <t>张瑞芯</t>
  </si>
  <si>
    <t>苏千婷</t>
  </si>
  <si>
    <t>卓宇阳</t>
  </si>
  <si>
    <t>周佳杰</t>
  </si>
  <si>
    <t>陈紫涵</t>
  </si>
  <si>
    <t>梁致希</t>
  </si>
  <si>
    <t>江梓宁</t>
  </si>
  <si>
    <t>陈凯瑞</t>
  </si>
  <si>
    <t>罗家俊</t>
  </si>
  <si>
    <t>刘昌俊</t>
  </si>
  <si>
    <t>刘宓果</t>
  </si>
  <si>
    <t>唐菓</t>
  </si>
  <si>
    <t>谭诗皓</t>
  </si>
  <si>
    <t>刘岩鑫</t>
  </si>
  <si>
    <t>宁张宇轩</t>
  </si>
  <si>
    <t>卓靖超</t>
  </si>
  <si>
    <t>谢凯帆</t>
  </si>
  <si>
    <t>邓晋颐</t>
  </si>
  <si>
    <t>郭书祎</t>
  </si>
  <si>
    <t>何思璇</t>
  </si>
  <si>
    <t>姚睿良</t>
  </si>
  <si>
    <t>郭胜铭</t>
  </si>
  <si>
    <t>劳雨萱</t>
  </si>
  <si>
    <t>谢思宇</t>
  </si>
  <si>
    <t>欧阳誉恒</t>
  </si>
  <si>
    <t>温雨荷</t>
  </si>
  <si>
    <t>赵睿恺</t>
  </si>
  <si>
    <t>程昱哲</t>
  </si>
  <si>
    <t>付浩冉</t>
  </si>
  <si>
    <t>孔麒竣</t>
  </si>
  <si>
    <t>张诗涵</t>
  </si>
  <si>
    <t>李润淇</t>
  </si>
  <si>
    <t>阮之谦</t>
  </si>
  <si>
    <t>杨逍</t>
  </si>
  <si>
    <t>刘泊致</t>
  </si>
  <si>
    <t>彭建秋</t>
  </si>
  <si>
    <t>罗鼎铭</t>
  </si>
  <si>
    <t>梅恩豪</t>
  </si>
  <si>
    <t>陈嘉荣</t>
  </si>
  <si>
    <t>付圣博</t>
  </si>
  <si>
    <t>曾宝晴</t>
  </si>
  <si>
    <t>古逸威</t>
  </si>
  <si>
    <t>沈峻熙</t>
  </si>
  <si>
    <t>丁峤睿</t>
  </si>
  <si>
    <t>何曦</t>
  </si>
  <si>
    <t>高一诺</t>
  </si>
  <si>
    <t>林睿</t>
  </si>
  <si>
    <t>王炯涵</t>
  </si>
  <si>
    <t>王予涵</t>
  </si>
  <si>
    <t>王珺逸</t>
  </si>
  <si>
    <t>陈泽佑</t>
  </si>
  <si>
    <t>李俊烨</t>
  </si>
  <si>
    <t>周隽立</t>
  </si>
  <si>
    <t>王梓辰</t>
  </si>
  <si>
    <t>缪宇峰</t>
  </si>
  <si>
    <t>刘昊轩</t>
  </si>
  <si>
    <t>吴皓琨</t>
  </si>
  <si>
    <t>徐靖博</t>
  </si>
  <si>
    <t>柴子煜</t>
  </si>
  <si>
    <t>马浩翔</t>
  </si>
  <si>
    <t>陈俊宇</t>
  </si>
  <si>
    <t>陈禹羲</t>
  </si>
  <si>
    <t>方培燊</t>
  </si>
  <si>
    <t>陈迎菲</t>
  </si>
  <si>
    <t>朱惠清</t>
  </si>
  <si>
    <t>陈颖</t>
  </si>
  <si>
    <t>龙韵淇</t>
  </si>
  <si>
    <t>陈俊源</t>
  </si>
  <si>
    <t>郭世霖</t>
  </si>
  <si>
    <t>罗宇洋</t>
  </si>
  <si>
    <t>夏浩茗</t>
  </si>
  <si>
    <t>郝明暄</t>
  </si>
  <si>
    <t>陈柳含</t>
  </si>
  <si>
    <t>李钰涵</t>
  </si>
  <si>
    <t>谭芷玲</t>
  </si>
  <si>
    <t>叶宇凡</t>
  </si>
  <si>
    <t>刘祺</t>
  </si>
  <si>
    <t>史倩华</t>
  </si>
  <si>
    <t>王亦菲</t>
  </si>
  <si>
    <t>李菲凡</t>
  </si>
  <si>
    <t>李映霖</t>
  </si>
  <si>
    <t>陈宇轩</t>
  </si>
  <si>
    <t>刘茁粤</t>
  </si>
  <si>
    <t>陈怡霏</t>
  </si>
  <si>
    <t>何子骏</t>
  </si>
  <si>
    <t>郑静远</t>
  </si>
  <si>
    <t>沈伊</t>
  </si>
  <si>
    <t>贺加琦</t>
  </si>
  <si>
    <t>张子烨</t>
  </si>
  <si>
    <t>蒋羽沣</t>
  </si>
  <si>
    <t>常津豪</t>
  </si>
  <si>
    <t>汪圆圆</t>
  </si>
  <si>
    <t>陈政桉</t>
  </si>
  <si>
    <t>谢雅吉</t>
  </si>
  <si>
    <t>唐子骁</t>
  </si>
  <si>
    <t>付昊霖</t>
  </si>
  <si>
    <t>张泽彬</t>
  </si>
  <si>
    <t>张峻驰</t>
  </si>
  <si>
    <t>蓝博</t>
  </si>
  <si>
    <t>徐可未</t>
  </si>
  <si>
    <t>张恩祁</t>
  </si>
  <si>
    <t>范巍腾</t>
  </si>
  <si>
    <t>李诗灏</t>
  </si>
  <si>
    <t>饶城宇</t>
  </si>
  <si>
    <t>朱师钰</t>
  </si>
  <si>
    <t>陈嘉扬</t>
  </si>
  <si>
    <t>盛孝菏</t>
  </si>
  <si>
    <t>刘丹晴</t>
  </si>
  <si>
    <t>孟瑾诺</t>
  </si>
  <si>
    <t>梁雨萱</t>
  </si>
  <si>
    <t>张钧茗</t>
  </si>
  <si>
    <t>李昊洋</t>
  </si>
  <si>
    <t>陈佳怡</t>
  </si>
  <si>
    <t>劉恩彤</t>
  </si>
  <si>
    <t>胡瑞华</t>
  </si>
  <si>
    <t>袁子城</t>
  </si>
  <si>
    <t>赵文祯</t>
  </si>
  <si>
    <t>何鸿熹</t>
  </si>
  <si>
    <t>欧阳芷芊</t>
  </si>
  <si>
    <t>方欣怡</t>
  </si>
  <si>
    <t>李梓萱</t>
  </si>
  <si>
    <t>何锦程</t>
  </si>
  <si>
    <t>白梓彤</t>
  </si>
  <si>
    <t>李泽恒</t>
  </si>
  <si>
    <t>赵逸承</t>
  </si>
  <si>
    <t>胡俊希</t>
  </si>
  <si>
    <t>曾楚铄</t>
  </si>
  <si>
    <t>朱静宜</t>
  </si>
  <si>
    <t>李瑞卿</t>
  </si>
  <si>
    <t>李羽洛</t>
  </si>
  <si>
    <t>李晗飞</t>
  </si>
  <si>
    <t>黄语嫣</t>
  </si>
  <si>
    <t>刘小溪</t>
  </si>
  <si>
    <t>蔡诚俊</t>
  </si>
  <si>
    <t>徐想</t>
  </si>
  <si>
    <t>李悦扬</t>
  </si>
  <si>
    <t>张靖瑶</t>
  </si>
  <si>
    <t>谢睿朗</t>
  </si>
  <si>
    <t>唐润恒</t>
  </si>
  <si>
    <t>徐王蓓</t>
  </si>
  <si>
    <t>胡佳祺</t>
  </si>
  <si>
    <t>杨若瑜</t>
  </si>
  <si>
    <t>赵怡然</t>
  </si>
  <si>
    <t>王震轩</t>
  </si>
  <si>
    <t>罗乐瑶</t>
  </si>
  <si>
    <t>王妍雯</t>
  </si>
  <si>
    <t>章忆雯</t>
  </si>
  <si>
    <t>陈泳嘉</t>
  </si>
  <si>
    <t>李子敬</t>
  </si>
  <si>
    <t>梁宇轩</t>
  </si>
  <si>
    <t>黄熙峻</t>
  </si>
  <si>
    <t>侯萱忆</t>
  </si>
  <si>
    <t>廖栩烨</t>
  </si>
  <si>
    <t>林奕含</t>
  </si>
  <si>
    <t>黄浩谦</t>
  </si>
  <si>
    <t>梁予馨</t>
  </si>
  <si>
    <t>李悠然</t>
  </si>
  <si>
    <t>杨沐雨</t>
  </si>
  <si>
    <t>林永祈</t>
  </si>
  <si>
    <t>姚子晨</t>
  </si>
  <si>
    <t>朱芷筠</t>
  </si>
  <si>
    <t>温鑫杰</t>
  </si>
  <si>
    <t>周子为</t>
  </si>
  <si>
    <t>张姚景</t>
  </si>
  <si>
    <t>郭瑞馨</t>
  </si>
  <si>
    <t>陈烨平</t>
  </si>
  <si>
    <t>罗斌</t>
  </si>
  <si>
    <t>郭国庆</t>
  </si>
  <si>
    <t>杨兆基</t>
  </si>
  <si>
    <t>林泓宇</t>
  </si>
  <si>
    <t>何彦潼</t>
  </si>
  <si>
    <t>邱子馨</t>
  </si>
  <si>
    <t>朱紫妍</t>
  </si>
  <si>
    <t>熊楚翔</t>
  </si>
  <si>
    <t>邱梓鑫</t>
  </si>
  <si>
    <t>周熙迪</t>
  </si>
  <si>
    <t>黄俊炜</t>
  </si>
  <si>
    <t>杨航</t>
  </si>
  <si>
    <t>曹梓涵</t>
  </si>
  <si>
    <t>陈峻朗</t>
  </si>
  <si>
    <t>金泰宇</t>
  </si>
  <si>
    <t>谭礼璐</t>
  </si>
  <si>
    <t>陈昕缘</t>
  </si>
  <si>
    <t>刘思晴</t>
  </si>
  <si>
    <t>周峻帆</t>
  </si>
  <si>
    <t>陈妍孜</t>
  </si>
  <si>
    <t>黄一北</t>
  </si>
  <si>
    <t>刘云天</t>
  </si>
  <si>
    <t>王栎颖</t>
  </si>
  <si>
    <t>张钰霏</t>
  </si>
  <si>
    <t>钟浩轩</t>
  </si>
  <si>
    <t>梁岳天</t>
  </si>
  <si>
    <t>唐铭灿</t>
  </si>
  <si>
    <t>张浅浅</t>
  </si>
  <si>
    <t>徐心瑶</t>
  </si>
  <si>
    <t>李文君</t>
  </si>
  <si>
    <t>欧欣怡</t>
  </si>
  <si>
    <t>李雨霏</t>
  </si>
  <si>
    <t>许子跃</t>
  </si>
  <si>
    <t>王承淞</t>
  </si>
  <si>
    <t>罗亦陶</t>
  </si>
  <si>
    <t>贺明非</t>
  </si>
  <si>
    <t>郭彦熙</t>
  </si>
  <si>
    <t>张新烨</t>
  </si>
  <si>
    <t>卢伯晋</t>
  </si>
  <si>
    <t>吕文婧</t>
  </si>
  <si>
    <t>罗子严</t>
  </si>
  <si>
    <t>林朋屾</t>
  </si>
  <si>
    <t>吴桐雨</t>
  </si>
  <si>
    <t>许梓隆</t>
  </si>
  <si>
    <t>李想</t>
  </si>
  <si>
    <t>詹廷煜</t>
  </si>
  <si>
    <t>范欣怡</t>
  </si>
  <si>
    <t>李垚静</t>
  </si>
  <si>
    <t>曾子纯</t>
  </si>
  <si>
    <t>严梓恒</t>
  </si>
  <si>
    <t>李百恩</t>
  </si>
  <si>
    <t>黄星豪</t>
  </si>
  <si>
    <t>熊曹洋</t>
  </si>
  <si>
    <t>郭彧</t>
  </si>
  <si>
    <t>吴墨桐</t>
  </si>
  <si>
    <t>张舒鑫</t>
  </si>
  <si>
    <t>叶梓婷</t>
  </si>
  <si>
    <t>叶杰森</t>
  </si>
  <si>
    <t>陈子轩</t>
  </si>
  <si>
    <t>胡家豪</t>
  </si>
  <si>
    <t>杨临风</t>
  </si>
  <si>
    <t>林宇航</t>
  </si>
  <si>
    <t>许皓轩</t>
  </si>
  <si>
    <t>袁慧璇</t>
  </si>
  <si>
    <t>郑佳鑫</t>
  </si>
  <si>
    <t>毛遂</t>
  </si>
  <si>
    <t>何炜堂</t>
  </si>
  <si>
    <t>刘昇</t>
  </si>
  <si>
    <t>朱彦郗</t>
  </si>
  <si>
    <t>吴彦阳</t>
  </si>
  <si>
    <t>李林歙</t>
  </si>
  <si>
    <t>张安岐</t>
  </si>
  <si>
    <t>郑思敏</t>
  </si>
  <si>
    <t>李灿玮</t>
  </si>
  <si>
    <t>刘健钧</t>
  </si>
  <si>
    <t>任天倪</t>
  </si>
  <si>
    <t>黄天佑</t>
  </si>
  <si>
    <t>游惠雅</t>
  </si>
  <si>
    <t>刘欣怡</t>
  </si>
  <si>
    <t>程芋萱</t>
  </si>
  <si>
    <t>林致</t>
  </si>
  <si>
    <t>朱正博</t>
  </si>
  <si>
    <t>侯锦霖</t>
  </si>
  <si>
    <t>温雅晴</t>
  </si>
  <si>
    <t>彭博文</t>
  </si>
  <si>
    <t>李何翯</t>
  </si>
  <si>
    <t>高诗馨</t>
  </si>
  <si>
    <t>袁睿浩</t>
  </si>
  <si>
    <t>曹梓灏</t>
  </si>
  <si>
    <t>杨芷晴</t>
  </si>
  <si>
    <t>尹子谦</t>
  </si>
  <si>
    <t>黄臻瑜</t>
  </si>
  <si>
    <t>徐艺宸</t>
  </si>
  <si>
    <t>陈思睿</t>
  </si>
  <si>
    <t>王乙多</t>
  </si>
  <si>
    <t>吴止境</t>
  </si>
  <si>
    <t>朱炫安</t>
  </si>
  <si>
    <t>汪宝瑞</t>
  </si>
  <si>
    <t>周智生</t>
  </si>
  <si>
    <t>吴晟喆</t>
  </si>
  <si>
    <t>邱金扬</t>
  </si>
  <si>
    <t>潘允哲</t>
  </si>
  <si>
    <t>陈楷宇</t>
  </si>
  <si>
    <t>詹伊涵</t>
  </si>
  <si>
    <t>丁政皓</t>
  </si>
  <si>
    <t>陈熙</t>
  </si>
  <si>
    <t>杨紫露</t>
  </si>
  <si>
    <t>卢语煊</t>
  </si>
  <si>
    <t>黄峻</t>
  </si>
  <si>
    <t>任彦瑾</t>
  </si>
  <si>
    <t>许馨月</t>
  </si>
  <si>
    <t>马旻晏</t>
  </si>
  <si>
    <t>杨珺贻</t>
  </si>
  <si>
    <t>梁心晴</t>
  </si>
  <si>
    <t>杨杰童</t>
  </si>
  <si>
    <t>周永轩</t>
  </si>
  <si>
    <t>张梓寒</t>
  </si>
  <si>
    <t>李张成</t>
  </si>
  <si>
    <t>陈靖朗</t>
  </si>
  <si>
    <t>冯予熙</t>
  </si>
  <si>
    <t>吴宇皓</t>
  </si>
  <si>
    <t>孙启航</t>
  </si>
  <si>
    <t>张灏欣</t>
  </si>
  <si>
    <t>钟韵琪</t>
  </si>
  <si>
    <t>邓诗杨</t>
  </si>
  <si>
    <t>钟昱安</t>
  </si>
  <si>
    <t>麦昊岚</t>
  </si>
  <si>
    <t>谭子钦</t>
  </si>
  <si>
    <t>官家宜</t>
  </si>
  <si>
    <t>吴定轩</t>
  </si>
  <si>
    <t>罗天佑</t>
  </si>
  <si>
    <t>何杨增</t>
  </si>
  <si>
    <t>欧阳紫桐</t>
  </si>
  <si>
    <t>谢鑫媛</t>
  </si>
  <si>
    <t>刘曼雅</t>
  </si>
  <si>
    <t>梁艺婷</t>
  </si>
  <si>
    <t>冯梓轩</t>
  </si>
  <si>
    <t>张钊鸣</t>
  </si>
  <si>
    <t>李映霏</t>
  </si>
  <si>
    <t>郑慕曦</t>
  </si>
  <si>
    <t>卢佳悦</t>
  </si>
  <si>
    <t>杨梓艺</t>
  </si>
  <si>
    <t>陈艺瑶</t>
  </si>
  <si>
    <t>李佳泽</t>
  </si>
  <si>
    <t>孔维添</t>
  </si>
  <si>
    <t>彭芯蕾</t>
  </si>
  <si>
    <t>刘天琦</t>
  </si>
  <si>
    <t>冯嘉烨</t>
  </si>
  <si>
    <t>肖煜恒</t>
  </si>
  <si>
    <t>李芷烨</t>
  </si>
  <si>
    <t>肖程晴</t>
  </si>
  <si>
    <t>苏雨嫣</t>
  </si>
  <si>
    <t>罗君浩</t>
  </si>
  <si>
    <t>符珈睿</t>
  </si>
  <si>
    <t>梁宸</t>
  </si>
  <si>
    <t>吴卓殷</t>
  </si>
  <si>
    <t>黄瑞</t>
  </si>
  <si>
    <t>张一鹭</t>
  </si>
  <si>
    <t>黄耀霆</t>
  </si>
  <si>
    <t>张雅琪</t>
  </si>
  <si>
    <t>王梓凝</t>
  </si>
  <si>
    <t>刘震</t>
  </si>
  <si>
    <t>马瑞君</t>
  </si>
  <si>
    <t>黄禹仁</t>
  </si>
  <si>
    <t>林钰轩</t>
  </si>
  <si>
    <t>叶涵迪</t>
  </si>
  <si>
    <t>余俊贤</t>
  </si>
  <si>
    <t>段熙雯</t>
  </si>
  <si>
    <t>刘志宇</t>
  </si>
  <si>
    <t>徐梓童</t>
  </si>
  <si>
    <t>刘宛臻</t>
  </si>
  <si>
    <t>吴韦含</t>
  </si>
  <si>
    <t>孔健沣</t>
  </si>
  <si>
    <t>潘心悦</t>
  </si>
  <si>
    <t>麦柏睿</t>
  </si>
  <si>
    <t>李以恬</t>
  </si>
  <si>
    <t>张梓城</t>
  </si>
  <si>
    <t>高菲阳</t>
  </si>
  <si>
    <t>陈昊洋</t>
  </si>
  <si>
    <t>丁一媛</t>
  </si>
  <si>
    <t>雷云翔</t>
  </si>
  <si>
    <t>孙翊函</t>
  </si>
  <si>
    <t>王好</t>
  </si>
  <si>
    <t>方起</t>
  </si>
  <si>
    <t>马信喆</t>
  </si>
  <si>
    <t>朱峻熙</t>
  </si>
  <si>
    <t>孟致远</t>
  </si>
  <si>
    <t>罗晟睿</t>
  </si>
  <si>
    <t>叶皓熙</t>
  </si>
  <si>
    <t>马熙彤</t>
  </si>
  <si>
    <t>李晨茜</t>
  </si>
  <si>
    <t>罗俊朗</t>
  </si>
  <si>
    <t>郭子恒</t>
  </si>
  <si>
    <t>董宇阳</t>
  </si>
  <si>
    <t>王俊然</t>
  </si>
  <si>
    <t>俞淑敏</t>
  </si>
  <si>
    <t>谢莹</t>
  </si>
  <si>
    <t>洪子瑞</t>
  </si>
  <si>
    <t>叶语宸</t>
  </si>
  <si>
    <t>黄睿曜</t>
  </si>
  <si>
    <t>夏以昕</t>
  </si>
  <si>
    <t>徐可岚</t>
  </si>
  <si>
    <t>李梓妍</t>
  </si>
  <si>
    <t>吴景喆</t>
  </si>
  <si>
    <t>邱昭懿</t>
  </si>
  <si>
    <t>黄奕</t>
  </si>
  <si>
    <t>谢雨珊</t>
  </si>
  <si>
    <t>何笑薇</t>
  </si>
  <si>
    <t>张雪晗</t>
  </si>
  <si>
    <t>黄骏洋</t>
  </si>
  <si>
    <t>郭子熙</t>
  </si>
  <si>
    <t>魏俊熙</t>
  </si>
  <si>
    <t>萧凯铿</t>
  </si>
  <si>
    <t>甘天行</t>
  </si>
  <si>
    <t>唐梓宸</t>
  </si>
  <si>
    <t>吴梓轩</t>
  </si>
  <si>
    <t>葛志远</t>
  </si>
  <si>
    <t>杜紫杨</t>
  </si>
  <si>
    <t>林璐熙</t>
  </si>
  <si>
    <t>李怡轩</t>
  </si>
  <si>
    <t>陈怡平</t>
  </si>
  <si>
    <t>郑之欣</t>
  </si>
  <si>
    <t>赵一航</t>
  </si>
  <si>
    <t>李卓翰</t>
  </si>
  <si>
    <t>邓晟涵</t>
  </si>
  <si>
    <t>吴骐禄</t>
  </si>
  <si>
    <t>车文弢</t>
  </si>
  <si>
    <t>刘懿慧</t>
  </si>
  <si>
    <t>朱芷华</t>
  </si>
  <si>
    <t>钟梓淇</t>
  </si>
  <si>
    <t>樊璟朗</t>
  </si>
  <si>
    <t>李洋</t>
  </si>
  <si>
    <t>萧君昊</t>
  </si>
  <si>
    <t>戴子尧</t>
  </si>
  <si>
    <t>刘梓贤</t>
  </si>
  <si>
    <t>杨剑淇</t>
  </si>
  <si>
    <t>崇峻</t>
  </si>
  <si>
    <t>庹峻博</t>
  </si>
  <si>
    <t>何语菡</t>
  </si>
  <si>
    <t>庄婧菡</t>
  </si>
  <si>
    <t>陈弘</t>
  </si>
  <si>
    <t>谢锐涛</t>
  </si>
  <si>
    <t>黄思源</t>
  </si>
  <si>
    <t>熊思贤</t>
  </si>
  <si>
    <t>林楚方</t>
  </si>
  <si>
    <t>雷宇骁</t>
  </si>
  <si>
    <t>刘武煊</t>
  </si>
  <si>
    <t>陈震宁</t>
  </si>
  <si>
    <t>林子轩</t>
  </si>
  <si>
    <t>廖丹青</t>
  </si>
  <si>
    <t>吕萱</t>
  </si>
  <si>
    <t>付丽云</t>
  </si>
  <si>
    <t>钟梓嘉</t>
  </si>
  <si>
    <t>陈泓羽</t>
  </si>
  <si>
    <t>蓝岚</t>
  </si>
  <si>
    <t>欧贞希</t>
  </si>
  <si>
    <t>周梓睿</t>
  </si>
  <si>
    <t>赖芯滢</t>
  </si>
  <si>
    <t>林品源</t>
  </si>
  <si>
    <t>吴乐欣</t>
  </si>
  <si>
    <t>曾劲松</t>
  </si>
  <si>
    <t>余昊原</t>
  </si>
  <si>
    <t>叶雨晗</t>
  </si>
  <si>
    <t>张娅楠</t>
  </si>
  <si>
    <t>梁泽浩</t>
  </si>
  <si>
    <t>肖湘悦</t>
  </si>
  <si>
    <t>黄珷珺</t>
  </si>
  <si>
    <t>吉好</t>
  </si>
  <si>
    <t>李睿之</t>
  </si>
  <si>
    <t>温卓源</t>
  </si>
  <si>
    <t>戴楷烜</t>
  </si>
  <si>
    <t>李源泉</t>
  </si>
  <si>
    <t>季子航</t>
  </si>
  <si>
    <t>杨其林</t>
  </si>
  <si>
    <t>谢佳福</t>
  </si>
  <si>
    <t>黄丽雅</t>
  </si>
  <si>
    <t>黄靖祺</t>
  </si>
  <si>
    <t>陈浩仁</t>
  </si>
  <si>
    <t>聂名辰</t>
  </si>
  <si>
    <t>施泽熙</t>
  </si>
  <si>
    <t>包为民</t>
  </si>
  <si>
    <t>刘静怡</t>
  </si>
  <si>
    <t>林靖翔</t>
  </si>
  <si>
    <t>叶梓烯</t>
  </si>
  <si>
    <t>邝俊明</t>
  </si>
  <si>
    <t>刘宸浩</t>
  </si>
  <si>
    <t>高汇轩</t>
  </si>
  <si>
    <t>李皓然</t>
  </si>
  <si>
    <t>曾潇雅</t>
  </si>
  <si>
    <t>张宇轩</t>
  </si>
  <si>
    <t>陈景翔</t>
  </si>
  <si>
    <t>孙士轩</t>
  </si>
  <si>
    <t>曾子瀚</t>
  </si>
  <si>
    <t>何牧</t>
  </si>
  <si>
    <t>张羽瑄</t>
  </si>
  <si>
    <t>胡杰文</t>
  </si>
  <si>
    <t>彭梓萱</t>
  </si>
  <si>
    <t>陈俊钊</t>
  </si>
  <si>
    <t>黎培滔</t>
  </si>
  <si>
    <t>覃文欣</t>
  </si>
  <si>
    <t>雷乐轩</t>
  </si>
  <si>
    <t>邱俊谦</t>
  </si>
  <si>
    <t>刘佳滢</t>
  </si>
  <si>
    <t>曾亨元</t>
  </si>
  <si>
    <t>汪辰轩</t>
  </si>
  <si>
    <t>刘启正</t>
  </si>
  <si>
    <t>陈家宇</t>
  </si>
  <si>
    <t>揣皓麟</t>
  </si>
  <si>
    <t>潘品妍</t>
  </si>
  <si>
    <t>叶奕贝</t>
  </si>
  <si>
    <t>周雯珺</t>
  </si>
  <si>
    <t>吴沐谦</t>
  </si>
  <si>
    <t>李沛帆</t>
  </si>
  <si>
    <t>秦山桐</t>
  </si>
  <si>
    <t>李铭</t>
  </si>
  <si>
    <t>刘卓霖</t>
  </si>
  <si>
    <t>敖以然</t>
  </si>
  <si>
    <t>周文宇</t>
  </si>
  <si>
    <t>张芯瑜</t>
  </si>
  <si>
    <t>许君博</t>
  </si>
  <si>
    <t>游梦琪</t>
  </si>
  <si>
    <t>吴定涵</t>
  </si>
  <si>
    <t>张抱抱</t>
  </si>
  <si>
    <t>宋戈</t>
  </si>
  <si>
    <t>黄梓琬</t>
  </si>
  <si>
    <t>颜熙峻</t>
  </si>
  <si>
    <t>邓林峰</t>
  </si>
  <si>
    <t>梁家豪</t>
  </si>
  <si>
    <t>蔡熹</t>
  </si>
  <si>
    <t>符培懋</t>
  </si>
  <si>
    <t>江林睿</t>
  </si>
  <si>
    <t>谢君豪</t>
  </si>
  <si>
    <t>李尚蔚</t>
  </si>
  <si>
    <t>蔡卓燃</t>
  </si>
  <si>
    <t>朱振东</t>
  </si>
  <si>
    <t>徐靖壹</t>
  </si>
  <si>
    <t>钟梓萌</t>
  </si>
  <si>
    <t>李羽浩</t>
  </si>
  <si>
    <t>古灿丰</t>
  </si>
  <si>
    <t>朱俊熙</t>
  </si>
  <si>
    <t>陈思诚</t>
  </si>
  <si>
    <t>张宇白</t>
  </si>
  <si>
    <t>强思翼</t>
  </si>
  <si>
    <t>邹明桥</t>
  </si>
  <si>
    <t>宋壁光</t>
  </si>
  <si>
    <t>熊子豪</t>
  </si>
  <si>
    <t>方梓涵</t>
  </si>
  <si>
    <t>彭赞</t>
  </si>
  <si>
    <t>周家乐</t>
  </si>
  <si>
    <t>林逸晟</t>
  </si>
  <si>
    <t>陈奕行</t>
  </si>
  <si>
    <t>蒋雨轩</t>
  </si>
  <si>
    <t>钟力行</t>
  </si>
  <si>
    <t>劳诗晴</t>
  </si>
  <si>
    <t>刘心宇</t>
  </si>
  <si>
    <t>陈美美</t>
  </si>
  <si>
    <t>王汇新</t>
  </si>
  <si>
    <t>曾维泰</t>
  </si>
  <si>
    <t>钱广峰</t>
  </si>
  <si>
    <t>谢智嘉</t>
  </si>
  <si>
    <t>曾可欣</t>
  </si>
  <si>
    <t>余少淇</t>
  </si>
  <si>
    <t>陈定轩</t>
  </si>
  <si>
    <t>郑博元</t>
  </si>
  <si>
    <t>黄铭栋</t>
  </si>
  <si>
    <t>薛宇璐</t>
  </si>
  <si>
    <t>熊玺</t>
  </si>
  <si>
    <t>林丰恩</t>
  </si>
  <si>
    <t>梁桉菱</t>
  </si>
  <si>
    <t>郭家润</t>
  </si>
  <si>
    <t>姚杰瀚</t>
  </si>
  <si>
    <t>黄逸桐</t>
  </si>
  <si>
    <t>江嘉琪</t>
  </si>
  <si>
    <t>李芷琪</t>
  </si>
  <si>
    <t>郑光耀</t>
  </si>
  <si>
    <t>苏嘉华</t>
  </si>
  <si>
    <t>全舒妍</t>
  </si>
  <si>
    <t>佘子涛</t>
  </si>
  <si>
    <t>林佩雯</t>
  </si>
  <si>
    <t>蔡芷盈</t>
  </si>
  <si>
    <t>许锦翔</t>
  </si>
  <si>
    <t>戴上焜</t>
  </si>
  <si>
    <t>李雯琪</t>
  </si>
  <si>
    <t>郭宪霖</t>
  </si>
  <si>
    <t>郑靖恒</t>
  </si>
  <si>
    <t>李雯婷</t>
  </si>
  <si>
    <t>李汶骏</t>
  </si>
  <si>
    <t>梁瑜妍</t>
  </si>
  <si>
    <t>肖茵瑜</t>
  </si>
  <si>
    <t>邓善媛</t>
  </si>
  <si>
    <t>李梓锐</t>
  </si>
  <si>
    <t>何希桐</t>
  </si>
  <si>
    <t>蓝尧竑</t>
  </si>
  <si>
    <t>冯颖慧</t>
  </si>
  <si>
    <t>杨州</t>
  </si>
  <si>
    <t>叶梓扬</t>
  </si>
  <si>
    <t>梁景恒</t>
  </si>
  <si>
    <t>石一涵</t>
  </si>
  <si>
    <t>张君度</t>
  </si>
  <si>
    <t>朱安沁</t>
  </si>
  <si>
    <t>何语筠</t>
  </si>
  <si>
    <t>李政锐</t>
  </si>
  <si>
    <t>王凯鑫</t>
  </si>
  <si>
    <t>冯珮盈</t>
  </si>
  <si>
    <t>李启昊</t>
  </si>
  <si>
    <t>佘亦琳</t>
  </si>
  <si>
    <t>李鸣冲</t>
  </si>
  <si>
    <t>雷家晔</t>
  </si>
  <si>
    <t>郑思怡</t>
  </si>
  <si>
    <t>缪昊武</t>
  </si>
  <si>
    <t>陈卓雅</t>
  </si>
  <si>
    <t>吴思怡</t>
  </si>
  <si>
    <t>莫书豪</t>
  </si>
  <si>
    <t>莫梓涵</t>
  </si>
  <si>
    <t>李文博</t>
  </si>
  <si>
    <t>彭亮楠</t>
  </si>
  <si>
    <t>郭千亿</t>
  </si>
  <si>
    <t>林宗泽</t>
  </si>
  <si>
    <t>余沃平</t>
  </si>
  <si>
    <t>张洛斯</t>
  </si>
  <si>
    <t>智靖雅</t>
  </si>
  <si>
    <t>叶梓霖</t>
  </si>
  <si>
    <t>范子沫</t>
  </si>
  <si>
    <t>吴雨琳</t>
  </si>
  <si>
    <t>吴雨泽</t>
  </si>
  <si>
    <t>张又菡</t>
  </si>
  <si>
    <t>江君浩</t>
  </si>
  <si>
    <t>李伊</t>
  </si>
  <si>
    <t>谢俊濠</t>
  </si>
  <si>
    <t>廖子墨</t>
  </si>
  <si>
    <t>陈黄可</t>
  </si>
  <si>
    <t>梁亚楠</t>
  </si>
  <si>
    <t>黄炫凯</t>
  </si>
  <si>
    <t>李浩诚</t>
  </si>
  <si>
    <t>钟梓琪</t>
  </si>
  <si>
    <t>曾欣悦</t>
  </si>
  <si>
    <t>庄皓翔</t>
  </si>
  <si>
    <t>张书睿</t>
  </si>
  <si>
    <t>姚茗泽</t>
  </si>
  <si>
    <t>杨梓沛</t>
  </si>
  <si>
    <t>郭梓绮</t>
  </si>
  <si>
    <t>阙嘉乐</t>
  </si>
  <si>
    <t>段文韬</t>
  </si>
  <si>
    <t>潘佳楠</t>
  </si>
  <si>
    <t>俞琦峰</t>
  </si>
  <si>
    <t>黄磊</t>
  </si>
  <si>
    <t>诸言</t>
  </si>
  <si>
    <t>陈博凯</t>
  </si>
  <si>
    <t>杨泽凯</t>
  </si>
  <si>
    <t>吴钟策</t>
  </si>
  <si>
    <t>刘楚锋</t>
  </si>
  <si>
    <t>岑晓清</t>
  </si>
  <si>
    <t>杨舒茵</t>
  </si>
  <si>
    <t>谢童</t>
  </si>
  <si>
    <t>张宗源</t>
  </si>
  <si>
    <t>左伊雪</t>
  </si>
  <si>
    <t>张智航</t>
  </si>
  <si>
    <t>钟炽柔</t>
  </si>
  <si>
    <t>崔政楠</t>
  </si>
  <si>
    <t>廖子菡</t>
  </si>
  <si>
    <t>吴俊轩</t>
  </si>
  <si>
    <t>钟恩琳</t>
  </si>
  <si>
    <t>李佳慧</t>
  </si>
  <si>
    <t>伍斯炜</t>
  </si>
  <si>
    <t>林子健</t>
  </si>
  <si>
    <t>张昊田</t>
  </si>
  <si>
    <t>谭以珩</t>
  </si>
  <si>
    <t>许志轩</t>
  </si>
  <si>
    <t>黄浩燃</t>
  </si>
  <si>
    <t>刘焕堃</t>
  </si>
  <si>
    <t>易妙可</t>
  </si>
  <si>
    <t>黄书瀚</t>
  </si>
  <si>
    <t>魏子轩</t>
  </si>
  <si>
    <t>钱志轩</t>
  </si>
  <si>
    <t>肖俊霆</t>
  </si>
  <si>
    <t>黄楷豪</t>
  </si>
  <si>
    <t>翁铭欣</t>
  </si>
  <si>
    <t>叶添楠</t>
  </si>
  <si>
    <t>梁智轩</t>
  </si>
  <si>
    <t>郑灏林</t>
  </si>
  <si>
    <t>臧弈鸣</t>
  </si>
  <si>
    <t>王鸿彬</t>
  </si>
  <si>
    <t>代一睿</t>
  </si>
  <si>
    <t>姚映栒</t>
  </si>
  <si>
    <t>王翌晓</t>
  </si>
  <si>
    <t>张苗苗</t>
  </si>
  <si>
    <t>朱文皓哲</t>
  </si>
  <si>
    <t>郑博涵</t>
  </si>
  <si>
    <t>潘婧雯</t>
  </si>
  <si>
    <t>许宇畅</t>
  </si>
  <si>
    <t>朱永熙</t>
  </si>
  <si>
    <t>张初阳</t>
  </si>
  <si>
    <t>丘芷琳</t>
  </si>
  <si>
    <t>陈峻灏</t>
  </si>
  <si>
    <t>冯文彦</t>
  </si>
  <si>
    <t>叶晋衡</t>
  </si>
  <si>
    <t>罗梓豪</t>
  </si>
  <si>
    <t>冯浚杰</t>
  </si>
  <si>
    <t>刘希泽</t>
  </si>
  <si>
    <t>李晋希</t>
  </si>
  <si>
    <t>李睿杰</t>
  </si>
  <si>
    <t>崔誉缤</t>
  </si>
  <si>
    <t>谢梓航</t>
  </si>
  <si>
    <t>左恩宇</t>
  </si>
  <si>
    <t>宁若翔</t>
  </si>
  <si>
    <t>张鸿杰</t>
  </si>
  <si>
    <t>林煜涔</t>
  </si>
  <si>
    <t>邵泽凯</t>
  </si>
  <si>
    <t>李展宇</t>
  </si>
  <si>
    <t>黎泳彤</t>
  </si>
  <si>
    <t>陈圳熙</t>
  </si>
  <si>
    <t>谢惠慈</t>
  </si>
  <si>
    <t>陈芷君</t>
  </si>
  <si>
    <t>李荣轩</t>
  </si>
  <si>
    <t>万俊贤</t>
  </si>
  <si>
    <t>黄欢畅</t>
  </si>
  <si>
    <t>李豪天</t>
  </si>
  <si>
    <t>文俊杰</t>
  </si>
  <si>
    <t>严俊杰</t>
  </si>
  <si>
    <t>张浩轩</t>
  </si>
  <si>
    <t>刘雨菲</t>
  </si>
  <si>
    <t>郑皓伦</t>
  </si>
  <si>
    <t>马婉婷</t>
  </si>
  <si>
    <t>李驭世</t>
  </si>
  <si>
    <t>谢沛莹</t>
  </si>
  <si>
    <t>吴彦柏</t>
  </si>
  <si>
    <t>徐梓然</t>
  </si>
  <si>
    <t>叶晋熙</t>
  </si>
  <si>
    <t>顾珂瑀</t>
  </si>
  <si>
    <t>严宇恒</t>
  </si>
  <si>
    <t>许峻豪</t>
  </si>
  <si>
    <t>刘嘉毅</t>
  </si>
  <si>
    <t>杨伟泽</t>
  </si>
  <si>
    <t>范文翔</t>
  </si>
  <si>
    <t>曾晨熙</t>
  </si>
  <si>
    <t>郭钰涵</t>
  </si>
  <si>
    <t>颜浩翔</t>
  </si>
  <si>
    <t>黄子轩</t>
  </si>
  <si>
    <t>吕杰潼</t>
  </si>
  <si>
    <t>黄芷恩</t>
  </si>
  <si>
    <t>伍世睿</t>
  </si>
  <si>
    <t>林子为</t>
  </si>
  <si>
    <t>李萱</t>
  </si>
  <si>
    <t>张柔华</t>
  </si>
  <si>
    <t>石鸿涛</t>
  </si>
  <si>
    <t>黄文轩</t>
  </si>
  <si>
    <t>龙文滔</t>
  </si>
  <si>
    <t>许芷晴</t>
  </si>
  <si>
    <t>朱浩宇</t>
  </si>
  <si>
    <t>李铭杰</t>
  </si>
  <si>
    <t>黄梓源</t>
  </si>
  <si>
    <t>刁艺翔</t>
  </si>
  <si>
    <t>王嘉铭</t>
  </si>
  <si>
    <t>罗伟桓</t>
  </si>
  <si>
    <t>王天昊</t>
  </si>
  <si>
    <t>陈沛斯</t>
  </si>
  <si>
    <t>周俊希</t>
  </si>
  <si>
    <t>张子恩</t>
  </si>
  <si>
    <t>朴娜颖</t>
  </si>
  <si>
    <t>润熙和</t>
  </si>
  <si>
    <t>郑子昊</t>
  </si>
  <si>
    <t>曾德</t>
  </si>
  <si>
    <t>嵇祤宸</t>
  </si>
  <si>
    <t>黎泰贤</t>
  </si>
  <si>
    <t>麦一帆</t>
  </si>
  <si>
    <t>刘思琪</t>
  </si>
  <si>
    <t>胡俊天</t>
  </si>
  <si>
    <t>姜晨旭</t>
  </si>
  <si>
    <t>李冠聪</t>
  </si>
  <si>
    <t>李浩森</t>
  </si>
  <si>
    <t>范洛铨</t>
  </si>
  <si>
    <t>朱恒锋</t>
  </si>
  <si>
    <t>王威越</t>
  </si>
  <si>
    <t>钟毓</t>
  </si>
  <si>
    <t>许耀丹</t>
  </si>
  <si>
    <t>成紫强</t>
  </si>
  <si>
    <t>闫浩誉</t>
  </si>
  <si>
    <t>张馨予</t>
  </si>
  <si>
    <t>何致远</t>
  </si>
  <si>
    <t>各班学生明细</t>
  </si>
  <si>
    <r>
      <rPr>
        <u/>
        <sz val="10"/>
        <color theme="10"/>
        <rFont val="黑体"/>
        <charset val="134"/>
      </rPr>
      <t>返回</t>
    </r>
    <r>
      <rPr>
        <u/>
        <sz val="10"/>
        <color theme="10"/>
        <rFont val="阿里巴巴普惠体 2.0 55 Regular"/>
        <charset val="134"/>
      </rPr>
      <t>◀</t>
    </r>
  </si>
  <si>
    <t>（九年级）各科满分</t>
  </si>
  <si>
    <t>优秀85%</t>
  </si>
  <si>
    <t>良好80%</t>
  </si>
  <si>
    <t>及格60%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</si>
</sst>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*\*\*"/>
    <numFmt numFmtId="177" formatCode="&quot;优秀:&quot;0"/>
    <numFmt numFmtId="178" formatCode="&quot;良好:&quot;0"/>
    <numFmt numFmtId="179" formatCode="0.00_ "/>
    <numFmt numFmtId="180" formatCode="00&quot;班&quot;"/>
    <numFmt numFmtId="181" formatCode="0&quot;人&quot;"/>
    <numFmt numFmtId="182" formatCode="0.0_);[Red]\(0.0\)"/>
    <numFmt numFmtId="183" formatCode="0.00_ ;[Red]\-0.00\ "/>
    <numFmt numFmtId="184" formatCode="0.0%"/>
    <numFmt numFmtId="185" formatCode="0&quot;班&quot;"/>
    <numFmt numFmtId="186" formatCode="General;;"/>
    <numFmt numFmtId="187" formatCode="0.00_);[Red]\(0.00\)"/>
    <numFmt numFmtId="188" formatCode="0_);[Red]\(0\)"/>
    <numFmt numFmtId="189" formatCode="&quot;第&quot;0&quot;名&quot;"/>
  </numFmts>
  <fonts count="44">
    <font>
      <sz val="10"/>
      <color theme="1"/>
      <name val="阿里巴巴普惠体 2.0 55 Regular"/>
      <charset val="134"/>
    </font>
    <font>
      <sz val="18"/>
      <color theme="1"/>
      <name val="黑体"/>
      <charset val="134"/>
    </font>
    <font>
      <sz val="10"/>
      <color theme="1"/>
      <name val="黑体"/>
      <charset val="134"/>
    </font>
    <font>
      <u/>
      <sz val="10"/>
      <color theme="10"/>
      <name val="黑体"/>
      <charset val="134"/>
    </font>
    <font>
      <b/>
      <sz val="18"/>
      <color theme="0"/>
      <name val="黑体"/>
      <charset val="134"/>
    </font>
    <font>
      <b/>
      <sz val="10"/>
      <color theme="0"/>
      <name val="黑体"/>
      <charset val="134"/>
    </font>
    <font>
      <sz val="10"/>
      <name val="黑体"/>
      <charset val="134"/>
    </font>
    <font>
      <b/>
      <sz val="10"/>
      <name val="黑体"/>
      <charset val="134"/>
    </font>
    <font>
      <b/>
      <sz val="23"/>
      <color theme="0"/>
      <name val="黑体"/>
      <charset val="134"/>
    </font>
    <font>
      <sz val="10"/>
      <color rgb="FFFFC000"/>
      <name val="黑体"/>
      <charset val="134"/>
    </font>
    <font>
      <b/>
      <sz val="10"/>
      <color theme="1"/>
      <name val="黑体"/>
      <charset val="134"/>
    </font>
    <font>
      <sz val="12"/>
      <color theme="1"/>
      <name val="黑体"/>
      <charset val="134"/>
    </font>
    <font>
      <sz val="11"/>
      <color theme="1"/>
      <name val="黑体"/>
      <charset val="134"/>
    </font>
    <font>
      <u/>
      <sz val="10"/>
      <color theme="10"/>
      <name val="阿里巴巴普惠体 2.0 55 Regular"/>
      <charset val="134"/>
    </font>
    <font>
      <b/>
      <sz val="12"/>
      <color theme="1"/>
      <name val="黑体"/>
      <charset val="134"/>
    </font>
    <font>
      <b/>
      <sz val="11"/>
      <name val="黑体"/>
      <charset val="134"/>
    </font>
    <font>
      <sz val="10"/>
      <color theme="0"/>
      <name val="黑体"/>
      <charset val="134"/>
    </font>
    <font>
      <b/>
      <sz val="12"/>
      <color rgb="FFC00000"/>
      <name val="黑体"/>
      <charset val="134"/>
    </font>
    <font>
      <b/>
      <sz val="10"/>
      <color rgb="FFFFC000"/>
      <name val="黑体"/>
      <charset val="134"/>
    </font>
    <font>
      <b/>
      <sz val="12"/>
      <color theme="0"/>
      <name val="黑体"/>
      <charset val="134"/>
    </font>
    <font>
      <sz val="12"/>
      <name val="黑体"/>
      <charset val="134"/>
    </font>
    <font>
      <sz val="10"/>
      <color rgb="FFC00000"/>
      <name val="黑体"/>
      <charset val="134"/>
    </font>
    <font>
      <b/>
      <sz val="10"/>
      <color rgb="FFC00000"/>
      <name val="黑体"/>
      <charset val="134"/>
    </font>
    <font>
      <sz val="11"/>
      <color theme="1"/>
      <name val="微软雅黑"/>
      <charset val="134"/>
      <scheme val="minor"/>
    </font>
    <font>
      <u/>
      <sz val="11"/>
      <color rgb="FF800080"/>
      <name val="微软雅黑"/>
      <charset val="0"/>
      <scheme val="minor"/>
    </font>
    <font>
      <sz val="11"/>
      <color rgb="FFFF0000"/>
      <name val="微软雅黑"/>
      <charset val="0"/>
      <scheme val="minor"/>
    </font>
    <font>
      <b/>
      <sz val="18"/>
      <color theme="3"/>
      <name val="微软雅黑"/>
      <charset val="134"/>
      <scheme val="minor"/>
    </font>
    <font>
      <i/>
      <sz val="11"/>
      <color rgb="FF7F7F7F"/>
      <name val="微软雅黑"/>
      <charset val="0"/>
      <scheme val="minor"/>
    </font>
    <font>
      <b/>
      <sz val="15"/>
      <color theme="3"/>
      <name val="微软雅黑"/>
      <charset val="134"/>
      <scheme val="minor"/>
    </font>
    <font>
      <b/>
      <sz val="13"/>
      <color theme="3"/>
      <name val="微软雅黑"/>
      <charset val="134"/>
      <scheme val="minor"/>
    </font>
    <font>
      <b/>
      <sz val="11"/>
      <color theme="3"/>
      <name val="微软雅黑"/>
      <charset val="134"/>
      <scheme val="minor"/>
    </font>
    <font>
      <sz val="11"/>
      <color rgb="FF3F3F76"/>
      <name val="微软雅黑"/>
      <charset val="0"/>
      <scheme val="minor"/>
    </font>
    <font>
      <b/>
      <sz val="11"/>
      <color rgb="FF3F3F3F"/>
      <name val="微软雅黑"/>
      <charset val="0"/>
      <scheme val="minor"/>
    </font>
    <font>
      <b/>
      <sz val="11"/>
      <color rgb="FFFA7D00"/>
      <name val="微软雅黑"/>
      <charset val="0"/>
      <scheme val="minor"/>
    </font>
    <font>
      <b/>
      <sz val="11"/>
      <color rgb="FFFFFFFF"/>
      <name val="微软雅黑"/>
      <charset val="0"/>
      <scheme val="minor"/>
    </font>
    <font>
      <sz val="11"/>
      <color rgb="FFFA7D00"/>
      <name val="微软雅黑"/>
      <charset val="0"/>
      <scheme val="minor"/>
    </font>
    <font>
      <b/>
      <sz val="11"/>
      <color theme="1"/>
      <name val="微软雅黑"/>
      <charset val="0"/>
      <scheme val="minor"/>
    </font>
    <font>
      <sz val="11"/>
      <color rgb="FF006100"/>
      <name val="微软雅黑"/>
      <charset val="0"/>
      <scheme val="minor"/>
    </font>
    <font>
      <sz val="11"/>
      <color rgb="FF9C0006"/>
      <name val="微软雅黑"/>
      <charset val="0"/>
      <scheme val="minor"/>
    </font>
    <font>
      <sz val="11"/>
      <color rgb="FF9C6500"/>
      <name val="微软雅黑"/>
      <charset val="0"/>
      <scheme val="minor"/>
    </font>
    <font>
      <sz val="11"/>
      <color theme="0"/>
      <name val="微软雅黑"/>
      <charset val="0"/>
      <scheme val="minor"/>
    </font>
    <font>
      <sz val="11"/>
      <color theme="1"/>
      <name val="微软雅黑"/>
      <charset val="0"/>
      <scheme val="minor"/>
    </font>
    <font>
      <sz val="12"/>
      <color theme="1"/>
      <name val="Segoe UI Symbol"/>
      <charset val="134"/>
    </font>
    <font>
      <sz val="12"/>
      <color theme="1"/>
      <name val="Segoe UI Emoji"/>
      <charset val="134"/>
    </font>
  </fonts>
  <fills count="39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00000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5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hair">
        <color theme="4"/>
      </bottom>
      <diagonal/>
    </border>
    <border>
      <left style="thin">
        <color theme="4"/>
      </left>
      <right style="thin">
        <color theme="4"/>
      </right>
      <top style="hair">
        <color theme="4"/>
      </top>
      <bottom style="hair">
        <color theme="4"/>
      </bottom>
      <diagonal/>
    </border>
    <border>
      <left style="medium">
        <color theme="4"/>
      </left>
      <right style="thin">
        <color theme="4"/>
      </right>
      <top style="medium">
        <color theme="4"/>
      </top>
      <bottom style="hair">
        <color theme="4"/>
      </bottom>
      <diagonal/>
    </border>
    <border>
      <left style="thin">
        <color theme="4"/>
      </left>
      <right style="thin">
        <color theme="4"/>
      </right>
      <top style="medium">
        <color theme="4"/>
      </top>
      <bottom style="hair">
        <color theme="4"/>
      </bottom>
      <diagonal/>
    </border>
    <border>
      <left style="thin">
        <color theme="4"/>
      </left>
      <right style="medium">
        <color theme="4"/>
      </right>
      <top style="medium">
        <color theme="4"/>
      </top>
      <bottom style="hair">
        <color theme="4"/>
      </bottom>
      <diagonal/>
    </border>
    <border>
      <left style="medium">
        <color theme="4"/>
      </left>
      <right style="thin">
        <color theme="4"/>
      </right>
      <top style="hair">
        <color theme="4"/>
      </top>
      <bottom style="hair">
        <color theme="4"/>
      </bottom>
      <diagonal/>
    </border>
    <border>
      <left style="thin">
        <color theme="4"/>
      </left>
      <right style="medium">
        <color theme="4"/>
      </right>
      <top style="hair">
        <color theme="4"/>
      </top>
      <bottom style="hair">
        <color theme="4"/>
      </bottom>
      <diagonal/>
    </border>
    <border>
      <left style="medium">
        <color theme="4"/>
      </left>
      <right style="thin">
        <color theme="4"/>
      </right>
      <top style="hair">
        <color theme="4"/>
      </top>
      <bottom style="medium">
        <color theme="4"/>
      </bottom>
      <diagonal/>
    </border>
    <border>
      <left style="thin">
        <color theme="4"/>
      </left>
      <right style="thin">
        <color theme="4"/>
      </right>
      <top style="hair">
        <color theme="4"/>
      </top>
      <bottom style="medium">
        <color theme="4"/>
      </bottom>
      <diagonal/>
    </border>
    <border>
      <left style="thin">
        <color theme="4"/>
      </left>
      <right style="medium">
        <color theme="4"/>
      </right>
      <top style="hair">
        <color theme="4"/>
      </top>
      <bottom style="medium">
        <color theme="4"/>
      </bottom>
      <diagonal/>
    </border>
    <border>
      <left/>
      <right style="double">
        <color theme="4"/>
      </right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/>
      <right style="thin">
        <color theme="4"/>
      </right>
      <top/>
      <bottom/>
      <diagonal/>
    </border>
    <border>
      <left style="thin">
        <color theme="4"/>
      </left>
      <right style="thin">
        <color theme="4"/>
      </right>
      <top/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 tint="0.799981688894314"/>
      </right>
      <top/>
      <bottom/>
      <diagonal/>
    </border>
    <border>
      <left style="thin">
        <color theme="4" tint="0.799981688894314"/>
      </left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 style="thin">
        <color theme="4"/>
      </left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hair">
        <color theme="4"/>
      </top>
      <bottom/>
      <diagonal/>
    </border>
    <border>
      <left style="thin">
        <color theme="4"/>
      </left>
      <right style="thin">
        <color theme="4"/>
      </right>
      <top style="hair">
        <color theme="4"/>
      </top>
      <bottom/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/>
      <top style="double">
        <color theme="4"/>
      </top>
      <bottom style="double">
        <color theme="4"/>
      </bottom>
      <diagonal/>
    </border>
    <border>
      <left style="thin">
        <color theme="4"/>
      </left>
      <right style="thin">
        <color theme="4"/>
      </right>
      <top style="double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23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2" fontId="23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3" fillId="8" borderId="27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28" applyNumberFormat="0" applyFill="0" applyAlignment="0" applyProtection="0">
      <alignment vertical="center"/>
    </xf>
    <xf numFmtId="0" fontId="29" fillId="0" borderId="28" applyNumberFormat="0" applyFill="0" applyAlignment="0" applyProtection="0">
      <alignment vertical="center"/>
    </xf>
    <xf numFmtId="0" fontId="30" fillId="0" borderId="29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9" borderId="30" applyNumberFormat="0" applyAlignment="0" applyProtection="0">
      <alignment vertical="center"/>
    </xf>
    <xf numFmtId="0" fontId="32" fillId="10" borderId="31" applyNumberFormat="0" applyAlignment="0" applyProtection="0">
      <alignment vertical="center"/>
    </xf>
    <xf numFmtId="0" fontId="33" fillId="10" borderId="30" applyNumberFormat="0" applyAlignment="0" applyProtection="0">
      <alignment vertical="center"/>
    </xf>
    <xf numFmtId="0" fontId="34" fillId="11" borderId="32" applyNumberFormat="0" applyAlignment="0" applyProtection="0">
      <alignment vertical="center"/>
    </xf>
    <xf numFmtId="0" fontId="35" fillId="0" borderId="33" applyNumberFormat="0" applyFill="0" applyAlignment="0" applyProtection="0">
      <alignment vertical="center"/>
    </xf>
    <xf numFmtId="0" fontId="36" fillId="0" borderId="34" applyNumberFormat="0" applyFill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1" fillId="36" borderId="0" applyNumberFormat="0" applyBorder="0" applyAlignment="0" applyProtection="0">
      <alignment vertical="center"/>
    </xf>
    <xf numFmtId="0" fontId="41" fillId="3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</cellStyleXfs>
  <cellXfs count="119">
    <xf numFmtId="0" fontId="0" fillId="0" borderId="0" xfId="0">
      <alignment vertical="center"/>
    </xf>
    <xf numFmtId="0" fontId="1" fillId="0" borderId="0" xfId="0" applyFont="1" applyProtection="1">
      <alignment vertical="center"/>
      <protection hidden="1"/>
    </xf>
    <xf numFmtId="0" fontId="2" fillId="0" borderId="0" xfId="0" applyFont="1" applyProtection="1">
      <alignment vertical="center"/>
      <protection hidden="1"/>
    </xf>
    <xf numFmtId="0" fontId="3" fillId="0" borderId="0" xfId="6" applyFont="1" applyAlignment="1" applyProtection="1">
      <alignment vertical="center"/>
      <protection hidden="1"/>
    </xf>
    <xf numFmtId="0" fontId="1" fillId="2" borderId="0" xfId="0" applyFont="1" applyFill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0" fontId="2" fillId="2" borderId="0" xfId="0" applyFont="1" applyFill="1" applyProtection="1">
      <alignment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5" fillId="3" borderId="1" xfId="0" applyFont="1" applyFill="1" applyBorder="1" applyAlignment="1" applyProtection="1">
      <alignment horizontal="center" vertical="center"/>
      <protection hidden="1"/>
    </xf>
    <xf numFmtId="0" fontId="6" fillId="0" borderId="0" xfId="0" applyFont="1" applyAlignment="1" applyProtection="1">
      <alignment horizontal="center" vertical="center"/>
      <protection hidden="1"/>
    </xf>
    <xf numFmtId="0" fontId="7" fillId="4" borderId="0" xfId="0" applyFont="1" applyFill="1" applyAlignment="1" applyProtection="1">
      <alignment horizontal="center" vertical="center"/>
      <protection hidden="1"/>
    </xf>
    <xf numFmtId="14" fontId="6" fillId="0" borderId="2" xfId="0" applyNumberFormat="1" applyFont="1" applyBorder="1" applyAlignment="1" applyProtection="1">
      <alignment horizontal="center" vertical="center"/>
      <protection hidden="1"/>
    </xf>
    <xf numFmtId="0" fontId="7" fillId="0" borderId="0" xfId="0" applyFont="1" applyAlignment="1" applyProtection="1">
      <alignment horizontal="center" vertical="center"/>
      <protection hidden="1"/>
    </xf>
    <xf numFmtId="0" fontId="2" fillId="0" borderId="0" xfId="0" applyFont="1" applyAlignment="1" applyProtection="1">
      <alignment vertical="center" wrapText="1"/>
      <protection hidden="1"/>
    </xf>
    <xf numFmtId="0" fontId="8" fillId="2" borderId="0" xfId="0" applyFont="1" applyFill="1" applyAlignment="1" applyProtection="1">
      <alignment horizontal="center" vertical="center"/>
      <protection hidden="1"/>
    </xf>
    <xf numFmtId="0" fontId="5" fillId="2" borderId="3" xfId="0" applyFont="1" applyFill="1" applyBorder="1" applyAlignment="1" applyProtection="1">
      <alignment horizontal="center" vertical="center" wrapText="1"/>
      <protection hidden="1"/>
    </xf>
    <xf numFmtId="0" fontId="5" fillId="2" borderId="4" xfId="0" applyFont="1" applyFill="1" applyBorder="1" applyAlignment="1" applyProtection="1">
      <alignment horizontal="center" vertical="center" wrapText="1"/>
      <protection hidden="1"/>
    </xf>
    <xf numFmtId="0" fontId="5" fillId="2" borderId="5" xfId="0" applyFont="1" applyFill="1" applyBorder="1" applyAlignment="1" applyProtection="1">
      <alignment horizontal="center" vertical="center" wrapText="1"/>
      <protection hidden="1"/>
    </xf>
    <xf numFmtId="0" fontId="2" fillId="0" borderId="6" xfId="0" applyFont="1" applyBorder="1" applyAlignment="1" applyProtection="1">
      <alignment horizontal="center" vertical="center"/>
      <protection hidden="1"/>
    </xf>
    <xf numFmtId="0" fontId="2" fillId="0" borderId="2" xfId="0" applyFont="1" applyBorder="1" applyAlignment="1" applyProtection="1">
      <alignment horizontal="center" vertical="center"/>
      <protection hidden="1"/>
    </xf>
    <xf numFmtId="0" fontId="2" fillId="0" borderId="2" xfId="0" applyFont="1" applyBorder="1" applyAlignment="1" applyProtection="1">
      <alignment horizontal="center" vertical="center" wrapText="1"/>
      <protection hidden="1"/>
    </xf>
    <xf numFmtId="0" fontId="2" fillId="0" borderId="7" xfId="0" applyFont="1" applyBorder="1" applyAlignment="1" applyProtection="1">
      <alignment horizontal="center" vertical="center"/>
      <protection hidden="1"/>
    </xf>
    <xf numFmtId="0" fontId="2" fillId="0" borderId="8" xfId="0" applyFont="1" applyBorder="1" applyAlignment="1" applyProtection="1">
      <alignment horizontal="center" vertical="center"/>
      <protection hidden="1"/>
    </xf>
    <xf numFmtId="0" fontId="2" fillId="0" borderId="9" xfId="0" applyFont="1" applyBorder="1" applyAlignment="1" applyProtection="1">
      <alignment horizontal="center" vertical="center"/>
      <protection hidden="1"/>
    </xf>
    <xf numFmtId="0" fontId="2" fillId="0" borderId="9" xfId="0" applyFont="1" applyBorder="1" applyAlignment="1" applyProtection="1">
      <alignment horizontal="center" vertical="center" wrapText="1"/>
      <protection hidden="1"/>
    </xf>
    <xf numFmtId="0" fontId="2" fillId="0" borderId="10" xfId="0" applyFont="1" applyBorder="1" applyAlignment="1" applyProtection="1">
      <alignment horizontal="center" vertical="center"/>
      <protection hidden="1"/>
    </xf>
    <xf numFmtId="0" fontId="4" fillId="2" borderId="0" xfId="0" applyFont="1" applyFill="1" applyAlignment="1" applyProtection="1">
      <alignment horizontal="left" vertical="center" indent="3"/>
      <protection hidden="1"/>
    </xf>
    <xf numFmtId="0" fontId="5" fillId="2" borderId="0" xfId="0" applyFont="1" applyFill="1" applyAlignment="1" applyProtection="1">
      <alignment horizontal="center" vertical="center"/>
      <protection hidden="1"/>
    </xf>
    <xf numFmtId="176" fontId="5" fillId="2" borderId="0" xfId="0" applyNumberFormat="1" applyFont="1" applyFill="1" applyAlignment="1" applyProtection="1">
      <alignment horizontal="center" vertical="center"/>
      <protection hidden="1"/>
    </xf>
    <xf numFmtId="0" fontId="2" fillId="0" borderId="0" xfId="0" applyFont="1" applyAlignment="1" applyProtection="1">
      <alignment horizontal="center" vertical="center"/>
      <protection hidden="1"/>
    </xf>
    <xf numFmtId="0" fontId="9" fillId="0" borderId="0" xfId="0" applyFont="1" applyAlignment="1" applyProtection="1">
      <alignment horizontal="center" vertical="center"/>
      <protection hidden="1"/>
    </xf>
    <xf numFmtId="14" fontId="2" fillId="0" borderId="0" xfId="0" applyNumberFormat="1" applyFont="1" applyAlignment="1" applyProtection="1">
      <alignment horizontal="center" vertical="center"/>
      <protection hidden="1"/>
    </xf>
    <xf numFmtId="0" fontId="10" fillId="0" borderId="11" xfId="0" applyFont="1" applyBorder="1" applyAlignment="1" applyProtection="1">
      <alignment horizontal="center" vertical="center"/>
      <protection hidden="1"/>
    </xf>
    <xf numFmtId="0" fontId="1" fillId="0" borderId="0" xfId="0" applyFont="1" applyAlignment="1" applyProtection="1">
      <protection hidden="1"/>
    </xf>
    <xf numFmtId="0" fontId="11" fillId="0" borderId="0" xfId="0" applyFont="1" applyProtection="1">
      <alignment vertical="center"/>
      <protection hidden="1"/>
    </xf>
    <xf numFmtId="0" fontId="12" fillId="0" borderId="0" xfId="0" applyFont="1" applyAlignment="1" applyProtection="1">
      <protection hidden="1"/>
    </xf>
    <xf numFmtId="0" fontId="13" fillId="0" borderId="0" xfId="6" applyAlignment="1" applyProtection="1">
      <protection hidden="1"/>
    </xf>
    <xf numFmtId="0" fontId="1" fillId="2" borderId="0" xfId="0" applyFont="1" applyFill="1" applyAlignment="1" applyProtection="1">
      <protection hidden="1"/>
    </xf>
    <xf numFmtId="0" fontId="12" fillId="2" borderId="0" xfId="0" applyFont="1" applyFill="1" applyAlignment="1" applyProtection="1">
      <protection hidden="1"/>
    </xf>
    <xf numFmtId="0" fontId="12" fillId="0" borderId="0" xfId="0" applyFont="1" applyAlignment="1" applyProtection="1">
      <alignment horizontal="center"/>
      <protection hidden="1"/>
    </xf>
    <xf numFmtId="0" fontId="11" fillId="2" borderId="0" xfId="0" applyFont="1" applyFill="1" applyProtection="1">
      <alignment vertical="center"/>
      <protection hidden="1"/>
    </xf>
    <xf numFmtId="0" fontId="11" fillId="4" borderId="12" xfId="0" applyFont="1" applyFill="1" applyBorder="1" applyAlignment="1" applyProtection="1">
      <alignment horizontal="center" vertical="center" wrapText="1"/>
      <protection hidden="1"/>
    </xf>
    <xf numFmtId="0" fontId="14" fillId="5" borderId="12" xfId="0" applyFont="1" applyFill="1" applyBorder="1" applyAlignment="1" applyProtection="1">
      <alignment horizontal="center" vertical="center"/>
      <protection locked="0" hidden="1"/>
    </xf>
    <xf numFmtId="14" fontId="11" fillId="5" borderId="12" xfId="0" applyNumberFormat="1" applyFont="1" applyFill="1" applyBorder="1" applyAlignment="1" applyProtection="1">
      <alignment horizontal="center" vertical="center"/>
      <protection locked="0" hidden="1"/>
    </xf>
    <xf numFmtId="177" fontId="11" fillId="5" borderId="12" xfId="0" applyNumberFormat="1" applyFont="1" applyFill="1" applyBorder="1" applyAlignment="1" applyProtection="1">
      <alignment horizontal="center" vertical="center"/>
      <protection hidden="1"/>
    </xf>
    <xf numFmtId="178" fontId="11" fillId="5" borderId="12" xfId="0" applyNumberFormat="1" applyFont="1" applyFill="1" applyBorder="1" applyAlignment="1" applyProtection="1">
      <alignment horizontal="center" vertical="center"/>
      <protection hidden="1"/>
    </xf>
    <xf numFmtId="176" fontId="11" fillId="4" borderId="12" xfId="0" applyNumberFormat="1" applyFont="1" applyFill="1" applyBorder="1" applyAlignment="1" applyProtection="1">
      <alignment horizontal="center" vertical="center"/>
      <protection locked="0" hidden="1"/>
    </xf>
    <xf numFmtId="0" fontId="15" fillId="0" borderId="0" xfId="0" applyFont="1" applyAlignment="1" applyProtection="1">
      <alignment horizontal="center" vertical="center" wrapText="1"/>
      <protection hidden="1"/>
    </xf>
    <xf numFmtId="179" fontId="15" fillId="0" borderId="0" xfId="0" applyNumberFormat="1" applyFont="1" applyAlignment="1" applyProtection="1">
      <alignment horizontal="center" vertical="center" wrapText="1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center" vertical="center" wrapText="1"/>
      <protection hidden="1"/>
    </xf>
    <xf numFmtId="179" fontId="16" fillId="0" borderId="0" xfId="0" applyNumberFormat="1" applyFont="1" applyAlignment="1" applyProtection="1">
      <alignment horizontal="center" vertical="center" wrapText="1"/>
      <protection hidden="1"/>
    </xf>
    <xf numFmtId="9" fontId="16" fillId="0" borderId="0" xfId="3" applyFont="1" applyBorder="1" applyAlignment="1" applyProtection="1">
      <alignment horizontal="center" vertical="center" wrapText="1"/>
      <protection hidden="1"/>
    </xf>
    <xf numFmtId="180" fontId="6" fillId="0" borderId="0" xfId="0" applyNumberFormat="1" applyFont="1" applyAlignment="1" applyProtection="1">
      <alignment horizontal="center" vertical="center"/>
      <protection hidden="1"/>
    </xf>
    <xf numFmtId="181" fontId="6" fillId="0" borderId="0" xfId="0" applyNumberFormat="1" applyFont="1" applyAlignment="1" applyProtection="1">
      <alignment horizontal="center" vertical="center"/>
      <protection hidden="1"/>
    </xf>
    <xf numFmtId="182" fontId="6" fillId="0" borderId="0" xfId="0" applyNumberFormat="1" applyFont="1" applyAlignment="1" applyProtection="1">
      <alignment horizontal="center" vertical="center"/>
      <protection hidden="1"/>
    </xf>
    <xf numFmtId="183" fontId="6" fillId="0" borderId="0" xfId="3" applyNumberFormat="1" applyFont="1" applyFill="1" applyBorder="1" applyAlignment="1" applyProtection="1">
      <alignment horizontal="center" vertical="center"/>
      <protection hidden="1"/>
    </xf>
    <xf numFmtId="0" fontId="6" fillId="0" borderId="0" xfId="3" applyNumberFormat="1" applyFont="1" applyFill="1" applyBorder="1" applyAlignment="1" applyProtection="1">
      <alignment horizontal="center" vertical="center"/>
      <protection hidden="1"/>
    </xf>
    <xf numFmtId="9" fontId="6" fillId="0" borderId="0" xfId="3" applyFont="1" applyBorder="1" applyAlignment="1" applyProtection="1">
      <alignment horizontal="center" vertical="center"/>
      <protection hidden="1"/>
    </xf>
    <xf numFmtId="182" fontId="6" fillId="0" borderId="0" xfId="1" applyNumberFormat="1" applyFont="1" applyAlignment="1" applyProtection="1">
      <alignment horizontal="center" vertical="center"/>
      <protection hidden="1"/>
    </xf>
    <xf numFmtId="183" fontId="6" fillId="0" borderId="0" xfId="3" applyNumberFormat="1" applyFont="1" applyFill="1" applyAlignment="1" applyProtection="1">
      <alignment horizontal="center" vertical="center"/>
      <protection hidden="1"/>
    </xf>
    <xf numFmtId="0" fontId="6" fillId="0" borderId="0" xfId="3" applyNumberFormat="1" applyFont="1" applyFill="1" applyAlignment="1" applyProtection="1">
      <alignment horizontal="center" vertical="center"/>
      <protection hidden="1"/>
    </xf>
    <xf numFmtId="9" fontId="6" fillId="0" borderId="0" xfId="3" applyFont="1" applyFill="1" applyAlignment="1" applyProtection="1">
      <alignment horizontal="center" vertical="center"/>
      <protection hidden="1"/>
    </xf>
    <xf numFmtId="9" fontId="6" fillId="0" borderId="0" xfId="3" applyFont="1" applyAlignment="1" applyProtection="1">
      <alignment horizontal="center" vertical="center"/>
      <protection hidden="1"/>
    </xf>
    <xf numFmtId="0" fontId="6" fillId="6" borderId="13" xfId="0" applyFont="1" applyFill="1" applyBorder="1" applyAlignment="1" applyProtection="1">
      <alignment horizontal="center" vertical="center"/>
      <protection hidden="1"/>
    </xf>
    <xf numFmtId="0" fontId="6" fillId="6" borderId="14" xfId="0" applyFont="1" applyFill="1" applyBorder="1" applyAlignment="1" applyProtection="1">
      <alignment horizontal="center" vertical="center"/>
      <protection hidden="1"/>
    </xf>
    <xf numFmtId="181" fontId="6" fillId="6" borderId="14" xfId="0" applyNumberFormat="1" applyFont="1" applyFill="1" applyBorder="1" applyAlignment="1" applyProtection="1">
      <alignment horizontal="center" vertical="center"/>
      <protection hidden="1"/>
    </xf>
    <xf numFmtId="182" fontId="6" fillId="6" borderId="14" xfId="0" applyNumberFormat="1" applyFont="1" applyFill="1" applyBorder="1" applyAlignment="1" applyProtection="1">
      <alignment horizontal="center" vertical="center"/>
      <protection hidden="1"/>
    </xf>
    <xf numFmtId="9" fontId="6" fillId="6" borderId="14" xfId="0" applyNumberFormat="1" applyFont="1" applyFill="1" applyBorder="1" applyAlignment="1" applyProtection="1">
      <alignment horizontal="center" vertical="center"/>
      <protection hidden="1"/>
    </xf>
    <xf numFmtId="184" fontId="6" fillId="6" borderId="14" xfId="0" applyNumberFormat="1" applyFont="1" applyFill="1" applyBorder="1" applyAlignment="1" applyProtection="1">
      <alignment horizontal="center" vertical="center"/>
      <protection hidden="1"/>
    </xf>
    <xf numFmtId="0" fontId="11" fillId="6" borderId="15" xfId="0" applyFont="1" applyFill="1" applyBorder="1" applyAlignment="1" applyProtection="1">
      <alignment horizontal="center" vertical="center"/>
      <protection hidden="1"/>
    </xf>
    <xf numFmtId="0" fontId="11" fillId="6" borderId="16" xfId="0" applyFont="1" applyFill="1" applyBorder="1" applyAlignment="1" applyProtection="1">
      <alignment horizontal="center" vertical="center"/>
      <protection hidden="1"/>
    </xf>
    <xf numFmtId="185" fontId="17" fillId="0" borderId="15" xfId="0" applyNumberFormat="1" applyFont="1" applyBorder="1" applyAlignment="1" applyProtection="1">
      <alignment horizontal="center" vertical="center"/>
      <protection locked="0" hidden="1"/>
    </xf>
    <xf numFmtId="185" fontId="17" fillId="0" borderId="17" xfId="0" applyNumberFormat="1" applyFont="1" applyBorder="1" applyAlignment="1" applyProtection="1">
      <alignment horizontal="center" vertical="center"/>
      <protection locked="0" hidden="1"/>
    </xf>
    <xf numFmtId="0" fontId="11" fillId="6" borderId="12" xfId="0" applyFont="1" applyFill="1" applyBorder="1" applyAlignment="1" applyProtection="1">
      <alignment horizontal="center" vertical="center" wrapText="1"/>
      <protection hidden="1"/>
    </xf>
    <xf numFmtId="0" fontId="17" fillId="0" borderId="15" xfId="0" applyFont="1" applyBorder="1" applyAlignment="1" applyProtection="1">
      <alignment horizontal="center" vertical="center" wrapText="1"/>
      <protection locked="0" hidden="1"/>
    </xf>
    <xf numFmtId="0" fontId="17" fillId="0" borderId="17" xfId="0" applyFont="1" applyBorder="1" applyAlignment="1" applyProtection="1">
      <alignment horizontal="center" vertical="center" wrapText="1"/>
      <protection locked="0" hidden="1"/>
    </xf>
    <xf numFmtId="0" fontId="17" fillId="0" borderId="15" xfId="0" applyFont="1" applyBorder="1" applyAlignment="1" applyProtection="1">
      <alignment horizontal="center" vertical="center" wrapText="1"/>
      <protection hidden="1"/>
    </xf>
    <xf numFmtId="0" fontId="17" fillId="0" borderId="17" xfId="0" applyFont="1" applyBorder="1" applyAlignment="1" applyProtection="1">
      <alignment horizontal="center" vertical="center" wrapText="1"/>
      <protection hidden="1"/>
    </xf>
    <xf numFmtId="0" fontId="17" fillId="0" borderId="16" xfId="0" applyFont="1" applyBorder="1" applyAlignment="1" applyProtection="1">
      <alignment horizontal="center" vertical="center" wrapText="1"/>
      <protection hidden="1"/>
    </xf>
    <xf numFmtId="0" fontId="5" fillId="0" borderId="0" xfId="0" applyFont="1" applyAlignment="1" applyProtection="1">
      <alignment horizontal="center" vertical="center" wrapText="1"/>
      <protection hidden="1"/>
    </xf>
    <xf numFmtId="0" fontId="18" fillId="0" borderId="0" xfId="0" applyFont="1" applyAlignment="1" applyProtection="1">
      <alignment horizontal="center" vertical="center" wrapText="1"/>
      <protection hidden="1"/>
    </xf>
    <xf numFmtId="185" fontId="2" fillId="0" borderId="0" xfId="0" applyNumberFormat="1" applyFont="1" applyAlignment="1" applyProtection="1">
      <alignment horizontal="center" vertical="center"/>
      <protection hidden="1"/>
    </xf>
    <xf numFmtId="186" fontId="2" fillId="0" borderId="0" xfId="0" applyNumberFormat="1" applyFont="1" applyAlignment="1" applyProtection="1">
      <alignment horizontal="center" vertical="center" wrapText="1"/>
      <protection hidden="1"/>
    </xf>
    <xf numFmtId="186" fontId="2" fillId="6" borderId="0" xfId="0" applyNumberFormat="1" applyFont="1" applyFill="1" applyAlignment="1" applyProtection="1">
      <alignment horizontal="center" vertical="center" wrapText="1"/>
      <protection hidden="1"/>
    </xf>
    <xf numFmtId="0" fontId="2" fillId="0" borderId="18" xfId="0" applyFont="1" applyBorder="1" applyAlignment="1" applyProtection="1">
      <alignment horizontal="center" vertical="center"/>
      <protection hidden="1"/>
    </xf>
    <xf numFmtId="0" fontId="2" fillId="0" borderId="19" xfId="0" applyFont="1" applyBorder="1" applyAlignment="1" applyProtection="1">
      <alignment horizontal="center" vertical="center"/>
      <protection hidden="1"/>
    </xf>
    <xf numFmtId="187" fontId="2" fillId="0" borderId="0" xfId="0" applyNumberFormat="1" applyFont="1" applyAlignment="1" applyProtection="1">
      <alignment horizontal="center" vertical="center" wrapText="1"/>
      <protection hidden="1"/>
    </xf>
    <xf numFmtId="188" fontId="2" fillId="0" borderId="0" xfId="0" applyNumberFormat="1" applyFont="1" applyAlignment="1" applyProtection="1">
      <alignment horizontal="center" vertical="center" wrapText="1"/>
      <protection hidden="1"/>
    </xf>
    <xf numFmtId="0" fontId="2" fillId="0" borderId="0" xfId="0" applyFont="1" applyAlignment="1" applyProtection="1">
      <alignment horizontal="center" vertical="center" wrapText="1"/>
      <protection hidden="1"/>
    </xf>
    <xf numFmtId="0" fontId="19" fillId="2" borderId="12" xfId="0" applyFont="1" applyFill="1" applyBorder="1" applyAlignment="1" applyProtection="1">
      <alignment horizontal="center" vertical="center"/>
      <protection hidden="1"/>
    </xf>
    <xf numFmtId="14" fontId="17" fillId="4" borderId="12" xfId="0" applyNumberFormat="1" applyFont="1" applyFill="1" applyBorder="1" applyAlignment="1" applyProtection="1">
      <alignment horizontal="center" vertical="center"/>
      <protection locked="0" hidden="1"/>
    </xf>
    <xf numFmtId="0" fontId="17" fillId="4" borderId="12" xfId="0" applyFont="1" applyFill="1" applyBorder="1" applyAlignment="1" applyProtection="1">
      <alignment horizontal="center" vertical="center"/>
      <protection locked="0" hidden="1"/>
    </xf>
    <xf numFmtId="14" fontId="17" fillId="4" borderId="15" xfId="0" applyNumberFormat="1" applyFont="1" applyFill="1" applyBorder="1" applyAlignment="1" applyProtection="1">
      <alignment horizontal="center" vertical="center"/>
      <protection locked="0" hidden="1"/>
    </xf>
    <xf numFmtId="14" fontId="17" fillId="4" borderId="16" xfId="0" applyNumberFormat="1" applyFont="1" applyFill="1" applyBorder="1" applyAlignment="1" applyProtection="1">
      <alignment horizontal="center" vertical="center"/>
      <protection locked="0" hidden="1"/>
    </xf>
    <xf numFmtId="0" fontId="14" fillId="0" borderId="14" xfId="0" applyFont="1" applyBorder="1" applyProtection="1">
      <alignment vertical="center"/>
      <protection hidden="1"/>
    </xf>
    <xf numFmtId="0" fontId="14" fillId="4" borderId="12" xfId="0" applyFont="1" applyFill="1" applyBorder="1" applyAlignment="1" applyProtection="1">
      <alignment horizontal="center" vertical="center"/>
      <protection hidden="1"/>
    </xf>
    <xf numFmtId="0" fontId="20" fillId="0" borderId="0" xfId="0" applyFont="1" applyProtection="1">
      <alignment vertical="center"/>
      <protection hidden="1"/>
    </xf>
    <xf numFmtId="0" fontId="5" fillId="3" borderId="20" xfId="0" applyFont="1" applyFill="1" applyBorder="1" applyAlignment="1" applyProtection="1">
      <alignment horizontal="center" vertical="center"/>
      <protection hidden="1"/>
    </xf>
    <xf numFmtId="186" fontId="5" fillId="7" borderId="20" xfId="0" applyNumberFormat="1" applyFont="1" applyFill="1" applyBorder="1" applyAlignment="1" applyProtection="1">
      <alignment horizontal="center" vertical="center"/>
      <protection hidden="1"/>
    </xf>
    <xf numFmtId="0" fontId="5" fillId="3" borderId="21" xfId="0" applyFont="1" applyFill="1" applyBorder="1" applyAlignment="1" applyProtection="1">
      <alignment horizontal="center" vertical="center"/>
      <protection hidden="1"/>
    </xf>
    <xf numFmtId="0" fontId="19" fillId="3" borderId="15" xfId="0" applyFont="1" applyFill="1" applyBorder="1" applyAlignment="1" applyProtection="1">
      <alignment horizontal="center" vertical="center"/>
      <protection hidden="1"/>
    </xf>
    <xf numFmtId="0" fontId="6" fillId="0" borderId="22" xfId="0" applyFont="1" applyBorder="1" applyAlignment="1" applyProtection="1">
      <alignment horizontal="center" vertical="center"/>
      <protection hidden="1"/>
    </xf>
    <xf numFmtId="186" fontId="21" fillId="0" borderId="22" xfId="0" applyNumberFormat="1" applyFont="1" applyBorder="1" applyAlignment="1" applyProtection="1">
      <alignment horizontal="center" vertical="center"/>
      <protection hidden="1"/>
    </xf>
    <xf numFmtId="186" fontId="2" fillId="0" borderId="22" xfId="0" applyNumberFormat="1" applyFont="1" applyBorder="1" applyAlignment="1" applyProtection="1">
      <alignment horizontal="center" vertical="center"/>
      <protection hidden="1"/>
    </xf>
    <xf numFmtId="187" fontId="6" fillId="0" borderId="22" xfId="0" applyNumberFormat="1" applyFont="1" applyBorder="1" applyAlignment="1" applyProtection="1">
      <alignment horizontal="center" vertical="center"/>
      <protection hidden="1"/>
    </xf>
    <xf numFmtId="186" fontId="2" fillId="5" borderId="22" xfId="0" applyNumberFormat="1" applyFont="1" applyFill="1" applyBorder="1" applyAlignment="1" applyProtection="1">
      <alignment horizontal="center" vertical="center"/>
      <protection hidden="1"/>
    </xf>
    <xf numFmtId="186" fontId="6" fillId="0" borderId="22" xfId="0" applyNumberFormat="1" applyFont="1" applyBorder="1" applyAlignment="1" applyProtection="1">
      <alignment horizontal="center" vertical="center"/>
      <protection hidden="1"/>
    </xf>
    <xf numFmtId="186" fontId="6" fillId="0" borderId="23" xfId="0" applyNumberFormat="1" applyFont="1" applyBorder="1" applyAlignment="1" applyProtection="1">
      <alignment horizontal="center" vertical="center"/>
      <protection hidden="1"/>
    </xf>
    <xf numFmtId="0" fontId="11" fillId="0" borderId="24" xfId="0" applyFont="1" applyBorder="1" applyAlignment="1" applyProtection="1">
      <alignment horizontal="center" vertical="center"/>
      <protection hidden="1"/>
    </xf>
    <xf numFmtId="189" fontId="11" fillId="0" borderId="0" xfId="0" applyNumberFormat="1" applyFont="1" applyProtection="1">
      <alignment vertical="center"/>
      <protection hidden="1"/>
    </xf>
    <xf numFmtId="0" fontId="11" fillId="0" borderId="0" xfId="0" applyFont="1" applyAlignment="1" applyProtection="1">
      <alignment horizontal="center" vertical="center"/>
      <protection hidden="1"/>
    </xf>
    <xf numFmtId="0" fontId="10" fillId="6" borderId="25" xfId="0" applyFont="1" applyFill="1" applyBorder="1" applyAlignment="1" applyProtection="1">
      <alignment horizontal="center" vertical="center"/>
      <protection hidden="1"/>
    </xf>
    <xf numFmtId="186" fontId="22" fillId="6" borderId="25" xfId="0" applyNumberFormat="1" applyFont="1" applyFill="1" applyBorder="1" applyAlignment="1" applyProtection="1">
      <alignment horizontal="center" vertical="center"/>
      <protection hidden="1"/>
    </xf>
    <xf numFmtId="186" fontId="10" fillId="6" borderId="25" xfId="0" applyNumberFormat="1" applyFont="1" applyFill="1" applyBorder="1" applyAlignment="1" applyProtection="1">
      <alignment horizontal="center" vertical="center"/>
      <protection hidden="1"/>
    </xf>
    <xf numFmtId="187" fontId="7" fillId="6" borderId="25" xfId="0" applyNumberFormat="1" applyFont="1" applyFill="1" applyBorder="1" applyAlignment="1" applyProtection="1">
      <alignment horizontal="center" vertical="center"/>
      <protection hidden="1"/>
    </xf>
    <xf numFmtId="0" fontId="7" fillId="6" borderId="25" xfId="0" applyFont="1" applyFill="1" applyBorder="1" applyAlignment="1" applyProtection="1">
      <alignment horizontal="center" vertical="center"/>
      <protection hidden="1"/>
    </xf>
    <xf numFmtId="186" fontId="7" fillId="6" borderId="26" xfId="0" applyNumberFormat="1" applyFont="1" applyFill="1" applyBorder="1" applyAlignment="1" applyProtection="1">
      <alignment horizontal="center" vertical="center"/>
      <protection hidden="1"/>
    </xf>
    <xf numFmtId="0" fontId="19" fillId="2" borderId="0" xfId="0" applyFont="1" applyFill="1" applyAlignment="1" applyProtection="1">
      <alignment horizontal="center" vertical="center"/>
      <protection hidden="1"/>
    </xf>
    <xf numFmtId="14" fontId="17" fillId="4" borderId="12" xfId="0" applyNumberFormat="1" applyFont="1" applyFill="1" applyBorder="1" applyAlignment="1" applyProtection="1" quotePrefix="1">
      <alignment horizontal="center" vertical="center"/>
      <protection locked="0" hidden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88">
    <dxf>
      <font>
        <name val="黑体"/>
        <scheme val="none"/>
        <charset val="134"/>
        <family val="3"/>
        <b val="0"/>
        <i val="0"/>
        <strike val="0"/>
        <u val="none"/>
        <sz val="10"/>
        <color theme="1"/>
      </font>
      <numFmt numFmtId="14" formatCode="yyyy/m/d"/>
      <fill>
        <patternFill patternType="none"/>
      </fill>
      <alignment horizontal="center" vertical="center"/>
      <protection hidden="1"/>
    </dxf>
    <dxf>
      <font>
        <name val="黑体"/>
        <scheme val="none"/>
        <charset val="134"/>
        <family val="3"/>
        <b val="0"/>
        <i val="0"/>
        <strike val="0"/>
        <u val="none"/>
        <sz val="10"/>
        <color theme="1"/>
      </font>
      <numFmt numFmtId="0" formatCode="General"/>
      <fill>
        <patternFill patternType="none"/>
      </fill>
      <alignment horizontal="center" vertical="center"/>
      <protection hidden="1"/>
    </dxf>
    <dxf>
      <font>
        <name val="黑体"/>
        <scheme val="none"/>
        <charset val="134"/>
        <family val="3"/>
        <b val="0"/>
        <i val="0"/>
        <strike val="0"/>
        <u val="none"/>
        <sz val="10"/>
        <color theme="1"/>
      </font>
      <numFmt numFmtId="185" formatCode="0&quot;班&quot;"/>
      <fill>
        <patternFill patternType="none"/>
      </fill>
      <alignment horizontal="center" vertical="center"/>
      <protection hidden="1"/>
    </dxf>
    <dxf>
      <font>
        <name val="黑体"/>
        <scheme val="none"/>
        <charset val="134"/>
        <family val="3"/>
        <b val="0"/>
        <i val="0"/>
        <strike val="0"/>
        <u val="none"/>
        <sz val="10"/>
        <color theme="1"/>
      </font>
      <numFmt numFmtId="186" formatCode="General;;"/>
      <fill>
        <patternFill patternType="none"/>
      </fill>
      <alignment horizontal="center" vertical="center" wrapText="1"/>
      <protection hidden="1"/>
    </dxf>
    <dxf>
      <font>
        <name val="黑体"/>
        <scheme val="none"/>
        <charset val="134"/>
        <family val="3"/>
        <b val="0"/>
        <i val="0"/>
        <strike val="0"/>
        <u val="none"/>
        <sz val="10"/>
        <color theme="1"/>
      </font>
      <numFmt numFmtId="186" formatCode="General;;"/>
      <fill>
        <patternFill patternType="none"/>
      </fill>
      <alignment horizontal="center" vertical="center" wrapText="1"/>
      <protection hidden="1"/>
    </dxf>
    <dxf>
      <font>
        <name val="黑体"/>
        <scheme val="none"/>
        <charset val="134"/>
        <family val="3"/>
        <b val="0"/>
        <i val="0"/>
        <strike val="0"/>
        <u val="none"/>
        <sz val="10"/>
        <color theme="1"/>
      </font>
      <numFmt numFmtId="186" formatCode="General;;"/>
      <fill>
        <patternFill patternType="none"/>
      </fill>
      <alignment horizontal="center" vertical="center" wrapText="1"/>
      <protection hidden="1"/>
    </dxf>
    <dxf>
      <font>
        <name val="黑体"/>
        <scheme val="none"/>
        <charset val="134"/>
        <family val="3"/>
        <b val="0"/>
        <i val="0"/>
        <strike val="0"/>
        <u val="none"/>
        <sz val="10"/>
        <color theme="1"/>
      </font>
      <numFmt numFmtId="186" formatCode="General;;"/>
      <fill>
        <patternFill patternType="none"/>
      </fill>
      <alignment horizontal="center" vertical="center" wrapText="1"/>
      <protection hidden="1"/>
    </dxf>
    <dxf>
      <font>
        <name val="黑体"/>
        <scheme val="none"/>
        <charset val="134"/>
        <family val="3"/>
        <b val="0"/>
        <i val="0"/>
        <strike val="0"/>
        <u val="none"/>
        <sz val="10"/>
        <color theme="1"/>
      </font>
      <numFmt numFmtId="186" formatCode="General;;"/>
      <fill>
        <patternFill patternType="none"/>
      </fill>
      <alignment horizontal="center" vertical="center" wrapText="1"/>
      <protection hidden="1"/>
    </dxf>
    <dxf>
      <font>
        <name val="黑体"/>
        <scheme val="none"/>
        <charset val="134"/>
        <family val="3"/>
        <b val="0"/>
        <i val="0"/>
        <strike val="0"/>
        <u val="none"/>
        <sz val="10"/>
        <color theme="1"/>
      </font>
      <numFmt numFmtId="186" formatCode="General;;"/>
      <fill>
        <patternFill patternType="none"/>
      </fill>
      <alignment horizontal="center" vertical="center" wrapText="1"/>
      <protection hidden="1"/>
    </dxf>
    <dxf>
      <font>
        <name val="黑体"/>
        <scheme val="none"/>
        <charset val="134"/>
        <family val="3"/>
        <b val="0"/>
        <i val="0"/>
        <strike val="0"/>
        <u val="none"/>
        <sz val="10"/>
        <color theme="1"/>
      </font>
      <numFmt numFmtId="186" formatCode="General;;"/>
      <fill>
        <patternFill patternType="none"/>
      </fill>
      <alignment horizontal="center" vertical="center" wrapText="1"/>
      <protection hidden="1"/>
    </dxf>
    <dxf>
      <font>
        <name val="黑体"/>
        <scheme val="none"/>
        <charset val="134"/>
        <family val="3"/>
        <b val="0"/>
        <i val="0"/>
        <strike val="0"/>
        <u val="none"/>
        <sz val="10"/>
        <color theme="1"/>
      </font>
      <numFmt numFmtId="186" formatCode="General;;"/>
      <fill>
        <patternFill patternType="none"/>
      </fill>
      <alignment horizontal="center" vertical="center" wrapText="1"/>
      <protection hidden="1"/>
    </dxf>
    <dxf>
      <font>
        <name val="黑体"/>
        <scheme val="none"/>
        <charset val="134"/>
        <family val="3"/>
        <b val="0"/>
        <i val="0"/>
        <strike val="0"/>
        <u val="none"/>
        <sz val="10"/>
        <color theme="1"/>
      </font>
      <numFmt numFmtId="186" formatCode="General;;"/>
      <fill>
        <patternFill patternType="none"/>
      </fill>
      <alignment horizontal="center" vertical="center" wrapText="1"/>
      <protection hidden="1"/>
    </dxf>
    <dxf>
      <font>
        <name val="黑体"/>
        <scheme val="none"/>
        <charset val="134"/>
        <family val="3"/>
        <b val="0"/>
        <i val="0"/>
        <strike val="0"/>
        <u val="none"/>
        <sz val="10"/>
        <color theme="1"/>
      </font>
      <numFmt numFmtId="186" formatCode="General;;"/>
      <fill>
        <patternFill patternType="none"/>
      </fill>
      <alignment horizontal="center" vertical="center" wrapText="1"/>
      <protection hidden="1"/>
    </dxf>
    <dxf>
      <font>
        <name val="黑体"/>
        <scheme val="none"/>
        <charset val="134"/>
        <family val="3"/>
        <b val="0"/>
        <i val="0"/>
        <strike val="0"/>
        <u val="none"/>
        <sz val="10"/>
        <color theme="1"/>
      </font>
      <numFmt numFmtId="186" formatCode="General;;"/>
      <fill>
        <patternFill patternType="none"/>
      </fill>
      <alignment horizontal="center" vertical="center" wrapText="1"/>
      <protection hidden="1"/>
    </dxf>
    <dxf>
      <font>
        <name val="黑体"/>
        <scheme val="none"/>
        <charset val="134"/>
        <family val="3"/>
        <b val="0"/>
        <i val="0"/>
        <strike val="0"/>
        <u val="none"/>
        <sz val="10"/>
        <color theme="1"/>
      </font>
      <numFmt numFmtId="186" formatCode="General;;"/>
      <fill>
        <patternFill patternType="none"/>
      </fill>
      <alignment horizontal="center" vertical="center" wrapText="1"/>
      <protection hidden="1"/>
    </dxf>
    <dxf>
      <font>
        <name val="黑体"/>
        <scheme val="none"/>
        <charset val="134"/>
        <family val="3"/>
        <b val="0"/>
        <i val="0"/>
        <strike val="0"/>
        <u val="none"/>
        <sz val="10"/>
        <color theme="1"/>
      </font>
      <numFmt numFmtId="186" formatCode="General;;"/>
      <fill>
        <patternFill patternType="none"/>
      </fill>
      <alignment horizontal="center" vertical="center" wrapText="1"/>
      <protection hidden="1"/>
    </dxf>
    <dxf>
      <font>
        <name val="黑体"/>
        <scheme val="none"/>
        <charset val="134"/>
        <family val="3"/>
        <b val="0"/>
        <i val="0"/>
        <strike val="0"/>
        <u val="none"/>
        <sz val="10"/>
        <color theme="1"/>
      </font>
      <numFmt numFmtId="186" formatCode="General;;"/>
      <fill>
        <patternFill patternType="none"/>
      </fill>
      <alignment horizontal="center" vertical="center" wrapText="1"/>
      <protection hidden="1"/>
    </dxf>
    <dxf>
      <font>
        <name val="黑体"/>
        <scheme val="none"/>
        <charset val="134"/>
        <family val="3"/>
        <b val="0"/>
        <i val="0"/>
        <strike val="0"/>
        <u val="none"/>
        <sz val="10"/>
        <color theme="1"/>
      </font>
      <numFmt numFmtId="186" formatCode="General;;"/>
      <fill>
        <patternFill patternType="solid">
          <bgColor theme="4" tint="0.799981688894314"/>
        </patternFill>
      </fill>
      <alignment horizontal="center" vertical="center" wrapText="1"/>
      <protection hidden="1"/>
    </dxf>
    <dxf>
      <font>
        <name val="黑体"/>
        <scheme val="none"/>
        <charset val="134"/>
        <family val="3"/>
        <b val="0"/>
        <i val="0"/>
        <strike val="0"/>
        <u val="none"/>
        <sz val="10"/>
        <color theme="1"/>
      </font>
      <numFmt numFmtId="186" formatCode="General;;"/>
      <fill>
        <patternFill patternType="none"/>
      </fill>
      <alignment horizontal="center" vertical="center" wrapText="1"/>
      <protection hidden="1"/>
    </dxf>
    <dxf>
      <font>
        <name val="黑体"/>
        <scheme val="none"/>
        <charset val="134"/>
        <family val="3"/>
        <b val="0"/>
        <i val="0"/>
        <strike val="0"/>
        <u val="none"/>
        <sz val="10"/>
        <color auto="1"/>
      </font>
      <numFmt numFmtId="0" formatCode="General"/>
      <alignment horizontal="center" vertical="center"/>
      <protection hidden="1"/>
    </dxf>
    <dxf>
      <font>
        <name val="黑体"/>
        <scheme val="none"/>
        <charset val="134"/>
        <family val="3"/>
        <b val="0"/>
        <i val="0"/>
        <strike val="0"/>
        <u val="none"/>
        <sz val="10"/>
        <color auto="1"/>
      </font>
      <numFmt numFmtId="180" formatCode="00&quot;班&quot;"/>
      <alignment horizontal="center" vertical="center"/>
      <protection hidden="1"/>
    </dxf>
    <dxf>
      <font>
        <name val="黑体"/>
        <scheme val="none"/>
        <charset val="134"/>
        <family val="3"/>
        <b val="0"/>
        <i val="0"/>
        <strike val="0"/>
        <u val="none"/>
        <sz val="10"/>
        <color auto="1"/>
      </font>
      <numFmt numFmtId="180" formatCode="00&quot;班&quot;"/>
      <alignment horizontal="center" vertical="center"/>
      <protection hidden="1"/>
    </dxf>
    <dxf>
      <font>
        <name val="黑体"/>
        <scheme val="none"/>
        <charset val="134"/>
        <family val="3"/>
        <b val="0"/>
        <i val="0"/>
        <strike val="0"/>
        <u val="none"/>
        <sz val="10"/>
        <color auto="1"/>
      </font>
      <numFmt numFmtId="181" formatCode="0&quot;人&quot;"/>
      <alignment horizontal="center" vertical="center"/>
      <protection hidden="1"/>
    </dxf>
    <dxf>
      <font>
        <name val="黑体"/>
        <scheme val="none"/>
        <charset val="134"/>
        <family val="3"/>
        <b val="0"/>
        <i val="0"/>
        <strike val="0"/>
        <u val="none"/>
        <sz val="10"/>
        <color auto="1"/>
      </font>
      <numFmt numFmtId="182" formatCode="0.0_);[Red]\(0.0\)"/>
      <alignment horizontal="center" vertical="center"/>
      <protection hidden="1"/>
    </dxf>
    <dxf>
      <font>
        <name val="黑体"/>
        <scheme val="none"/>
        <charset val="134"/>
        <family val="3"/>
        <b val="0"/>
        <i val="0"/>
        <strike val="0"/>
        <u val="none"/>
        <sz val="10"/>
        <color auto="1"/>
      </font>
      <numFmt numFmtId="182" formatCode="0.0_);[Red]\(0.0\)"/>
      <alignment horizontal="center" vertical="center"/>
      <protection hidden="1"/>
    </dxf>
    <dxf>
      <font>
        <name val="黑体"/>
        <scheme val="none"/>
        <charset val="134"/>
        <family val="3"/>
        <b val="0"/>
        <i val="0"/>
        <strike val="0"/>
        <u val="none"/>
        <sz val="10"/>
        <color auto="1"/>
      </font>
      <numFmt numFmtId="183" formatCode="0.00_ ;[Red]\-0.00\ "/>
      <fill>
        <patternFill patternType="none"/>
      </fill>
      <alignment horizontal="center" vertical="center"/>
      <protection hidden="1"/>
    </dxf>
    <dxf>
      <font>
        <name val="黑体"/>
        <scheme val="none"/>
        <charset val="134"/>
        <family val="3"/>
        <b val="0"/>
        <i val="0"/>
        <strike val="0"/>
        <u val="none"/>
        <sz val="10"/>
        <color auto="1"/>
      </font>
      <numFmt numFmtId="0" formatCode="General"/>
      <fill>
        <patternFill patternType="none"/>
      </fill>
      <alignment horizontal="center" vertical="center"/>
      <protection hidden="1"/>
    </dxf>
    <dxf>
      <font>
        <name val="黑体"/>
        <scheme val="none"/>
        <charset val="134"/>
        <family val="3"/>
        <b val="0"/>
        <i val="0"/>
        <strike val="0"/>
        <u val="none"/>
        <sz val="10"/>
        <color auto="1"/>
      </font>
      <fill>
        <patternFill patternType="none"/>
      </fill>
      <alignment horizontal="center" vertical="center"/>
      <protection hidden="1"/>
    </dxf>
    <dxf>
      <font>
        <name val="黑体"/>
        <scheme val="none"/>
        <charset val="134"/>
        <family val="3"/>
        <b val="0"/>
        <i val="0"/>
        <strike val="0"/>
        <u val="none"/>
        <sz val="10"/>
        <color auto="1"/>
      </font>
      <numFmt numFmtId="0" formatCode="General"/>
      <fill>
        <patternFill patternType="none"/>
      </fill>
      <alignment horizontal="center" vertical="center"/>
      <protection hidden="1"/>
    </dxf>
    <dxf>
      <font>
        <name val="黑体"/>
        <scheme val="none"/>
        <charset val="134"/>
        <family val="3"/>
        <b val="0"/>
        <i val="0"/>
        <strike val="0"/>
        <u val="none"/>
        <sz val="10"/>
        <color auto="1"/>
      </font>
      <alignment horizontal="center" vertical="center"/>
      <protection hidden="1"/>
    </dxf>
    <dxf>
      <font>
        <name val="黑体"/>
        <scheme val="none"/>
        <charset val="134"/>
        <family val="3"/>
        <b val="0"/>
        <i val="0"/>
        <strike val="0"/>
        <u val="none"/>
        <sz val="10"/>
        <color auto="1"/>
      </font>
      <numFmt numFmtId="0" formatCode="General"/>
      <fill>
        <patternFill patternType="none"/>
      </fill>
      <alignment horizontal="center" vertical="center"/>
      <protection hidden="1"/>
    </dxf>
    <dxf>
      <font>
        <name val="黑体"/>
        <scheme val="none"/>
        <charset val="134"/>
        <family val="3"/>
        <b val="0"/>
        <i val="0"/>
        <strike val="0"/>
        <u val="none"/>
        <sz val="10"/>
        <color auto="1"/>
      </font>
      <alignment horizontal="center" vertical="center"/>
      <protection hidden="1"/>
    </dxf>
    <dxf>
      <numFmt numFmtId="190" formatCode="\ "/>
    </dxf>
    <dxf>
      <font>
        <name val="黑体"/>
        <scheme val="none"/>
        <charset val="134"/>
        <family val="3"/>
        <b val="0"/>
        <i val="0"/>
        <strike val="0"/>
        <u val="none"/>
        <sz val="10"/>
        <color theme="1"/>
      </font>
      <numFmt numFmtId="14" formatCode="yyyy/m/d"/>
      <alignment horizontal="center" vertical="center"/>
      <protection hidden="1"/>
    </dxf>
    <dxf>
      <font>
        <name val="黑体"/>
        <scheme val="none"/>
        <charset val="134"/>
        <family val="3"/>
        <strike val="0"/>
        <u val="none"/>
        <sz val="10"/>
        <color theme="1"/>
      </font>
      <numFmt numFmtId="185" formatCode="0&quot;班&quot;"/>
      <alignment horizontal="center" vertical="center"/>
      <protection hidden="1"/>
    </dxf>
    <dxf>
      <font>
        <name val="黑体"/>
        <scheme val="none"/>
        <charset val="134"/>
        <family val="3"/>
        <strike val="0"/>
        <u val="none"/>
        <sz val="10"/>
        <color theme="1"/>
      </font>
      <numFmt numFmtId="185" formatCode="0&quot;班&quot;"/>
      <alignment horizontal="center" vertical="center"/>
      <protection hidden="1"/>
    </dxf>
    <dxf>
      <font>
        <name val="黑体"/>
        <scheme val="none"/>
        <charset val="134"/>
        <family val="3"/>
        <strike val="0"/>
        <u val="none"/>
        <sz val="10"/>
        <color theme="1"/>
      </font>
      <numFmt numFmtId="0" formatCode="General"/>
      <alignment horizontal="center" vertical="center"/>
      <protection hidden="1"/>
    </dxf>
    <dxf>
      <font>
        <name val="黑体"/>
        <scheme val="none"/>
        <charset val="134"/>
        <family val="3"/>
        <strike val="0"/>
        <u val="none"/>
        <sz val="10"/>
        <color theme="1"/>
      </font>
      <alignment horizontal="center" vertical="center"/>
      <protection hidden="1"/>
    </dxf>
    <dxf>
      <font>
        <name val="黑体"/>
        <scheme val="none"/>
        <charset val="134"/>
        <family val="3"/>
        <strike val="0"/>
        <u val="none"/>
        <sz val="10"/>
        <color theme="1"/>
      </font>
      <alignment horizontal="center" vertical="center"/>
      <protection hidden="1"/>
    </dxf>
    <dxf>
      <font>
        <name val="黑体"/>
        <scheme val="none"/>
        <charset val="134"/>
        <family val="3"/>
        <strike val="0"/>
        <u val="none"/>
        <sz val="10"/>
        <color theme="1"/>
      </font>
      <alignment horizontal="center" vertical="center"/>
      <protection hidden="1"/>
    </dxf>
    <dxf>
      <font>
        <name val="黑体"/>
        <scheme val="none"/>
        <charset val="134"/>
        <family val="3"/>
        <strike val="0"/>
        <u val="none"/>
        <sz val="10"/>
        <color theme="1"/>
      </font>
      <alignment horizontal="center" vertical="center"/>
      <protection hidden="1"/>
    </dxf>
    <dxf>
      <font>
        <name val="黑体"/>
        <scheme val="none"/>
        <charset val="134"/>
        <family val="3"/>
        <strike val="0"/>
        <u val="none"/>
        <sz val="10"/>
        <color theme="1"/>
      </font>
      <alignment horizontal="center" vertical="center"/>
      <protection hidden="1"/>
    </dxf>
    <dxf>
      <font>
        <name val="黑体"/>
        <scheme val="none"/>
        <charset val="134"/>
        <family val="3"/>
        <strike val="0"/>
        <u val="none"/>
        <sz val="10"/>
        <color theme="1"/>
      </font>
      <alignment horizontal="center" vertical="center"/>
      <protection hidden="1"/>
    </dxf>
    <dxf>
      <font>
        <name val="黑体"/>
        <scheme val="none"/>
        <charset val="134"/>
        <family val="3"/>
        <strike val="0"/>
        <u val="none"/>
        <sz val="10"/>
        <color theme="1"/>
      </font>
      <alignment horizontal="center" vertical="center"/>
      <protection hidden="1"/>
    </dxf>
    <dxf>
      <font>
        <name val="黑体"/>
        <scheme val="none"/>
        <charset val="134"/>
        <family val="3"/>
        <b val="1"/>
        <strike val="0"/>
        <u val="none"/>
        <sz val="10"/>
        <color theme="1"/>
      </font>
      <numFmt numFmtId="0" formatCode="General"/>
      <alignment horizontal="center" vertical="center"/>
      <border>
        <left/>
        <right style="double">
          <color theme="4"/>
        </right>
        <top/>
        <bottom/>
      </border>
      <protection hidden="1"/>
    </dxf>
    <dxf>
      <font>
        <name val="黑体"/>
        <scheme val="none"/>
        <charset val="134"/>
        <family val="3"/>
        <strike val="0"/>
        <u val="none"/>
        <sz val="10"/>
        <color theme="1"/>
      </font>
      <numFmt numFmtId="0" formatCode="General"/>
      <alignment horizontal="center" vertical="center"/>
      <protection hidden="1"/>
    </dxf>
    <dxf>
      <font>
        <name val="黑体"/>
        <scheme val="none"/>
        <charset val="134"/>
        <family val="3"/>
        <strike val="0"/>
        <u val="none"/>
        <sz val="10"/>
        <color theme="1"/>
      </font>
      <numFmt numFmtId="0" formatCode="General"/>
      <alignment horizontal="center" vertical="center"/>
      <protection hidden="1"/>
    </dxf>
    <dxf>
      <font>
        <name val="黑体"/>
        <scheme val="none"/>
        <charset val="134"/>
        <family val="3"/>
        <strike val="0"/>
        <u val="none"/>
        <sz val="10"/>
        <color theme="1"/>
      </font>
      <numFmt numFmtId="0" formatCode="General"/>
      <alignment horizontal="center" vertical="center"/>
      <protection hidden="1"/>
    </dxf>
    <dxf>
      <font>
        <name val="黑体"/>
        <scheme val="none"/>
        <charset val="134"/>
        <family val="3"/>
        <strike val="0"/>
        <u val="none"/>
        <sz val="10"/>
        <color theme="1"/>
      </font>
      <numFmt numFmtId="0" formatCode="General"/>
      <alignment horizontal="center" vertical="center"/>
      <protection hidden="1"/>
    </dxf>
    <dxf>
      <font>
        <name val="黑体"/>
        <scheme val="none"/>
        <charset val="134"/>
        <family val="3"/>
        <strike val="0"/>
        <u val="none"/>
        <sz val="10"/>
        <color theme="1"/>
      </font>
      <numFmt numFmtId="0" formatCode="General"/>
      <alignment horizontal="center" vertical="center"/>
      <protection hidden="1"/>
    </dxf>
    <dxf>
      <font>
        <name val="黑体"/>
        <scheme val="none"/>
        <charset val="134"/>
        <family val="3"/>
        <strike val="0"/>
        <u val="none"/>
        <sz val="10"/>
        <color theme="1"/>
      </font>
      <numFmt numFmtId="0" formatCode="General"/>
      <alignment horizontal="center" vertical="center"/>
      <protection hidden="1"/>
    </dxf>
    <dxf>
      <font>
        <name val="黑体"/>
        <scheme val="none"/>
        <charset val="134"/>
        <family val="3"/>
        <strike val="0"/>
        <u val="none"/>
        <sz val="10"/>
        <color theme="1"/>
      </font>
      <numFmt numFmtId="0" formatCode="General"/>
      <alignment horizontal="center" vertical="center"/>
      <protection hidden="1"/>
    </dxf>
    <dxf>
      <font>
        <name val="黑体"/>
        <scheme val="none"/>
        <charset val="134"/>
        <family val="3"/>
        <strike val="0"/>
        <u val="none"/>
        <sz val="10"/>
        <color theme="1"/>
      </font>
      <numFmt numFmtId="0" formatCode="General"/>
      <alignment horizontal="center" vertical="center"/>
      <protection hidden="1"/>
    </dxf>
    <dxf>
      <font>
        <color rgb="FF9C0006"/>
      </font>
      <fill>
        <patternFill patternType="solid">
          <bgColor rgb="FFFFC7CE"/>
        </patternFill>
      </fill>
    </dxf>
    <dxf>
      <font>
        <name val="黑体"/>
        <scheme val="none"/>
        <charset val="134"/>
        <family val="3"/>
        <b val="0"/>
        <i val="0"/>
        <strike val="0"/>
        <u val="none"/>
        <sz val="10"/>
        <color auto="1"/>
      </font>
      <fill>
        <patternFill patternType="none"/>
      </fill>
      <alignment horizontal="center" vertical="center"/>
      <protection hidden="1"/>
    </dxf>
    <dxf>
      <font>
        <name val="黑体"/>
        <scheme val="none"/>
        <charset val="134"/>
        <family val="3"/>
        <b val="1"/>
        <i val="0"/>
        <strike val="0"/>
        <u val="none"/>
        <sz val="10"/>
        <color auto="1"/>
      </font>
      <fill>
        <patternFill patternType="solid">
          <bgColor theme="2"/>
        </patternFill>
      </fill>
      <alignment horizontal="center" vertical="center"/>
      <protection hidden="1"/>
    </dxf>
    <dxf>
      <font>
        <name val="黑体"/>
        <scheme val="none"/>
        <charset val="134"/>
        <family val="3"/>
        <b val="0"/>
        <i val="0"/>
        <strike val="0"/>
        <u val="none"/>
        <sz val="10"/>
        <color auto="1"/>
      </font>
      <numFmt numFmtId="0" formatCode="General"/>
      <fill>
        <patternFill patternType="none"/>
      </fill>
      <alignment horizontal="center" vertical="center"/>
      <protection hidden="1"/>
    </dxf>
    <dxf>
      <font>
        <name val="黑体"/>
        <scheme val="none"/>
        <charset val="134"/>
        <family val="3"/>
        <b val="0"/>
        <i val="0"/>
        <strike val="0"/>
        <u val="none"/>
        <sz val="10"/>
        <color auto="1"/>
      </font>
      <alignment horizontal="center" vertical="center"/>
      <protection hidden="1"/>
    </dxf>
    <dxf>
      <font>
        <name val="黑体"/>
        <scheme val="none"/>
        <charset val="134"/>
        <family val="3"/>
        <b val="0"/>
        <i val="0"/>
        <strike val="0"/>
        <u val="none"/>
        <sz val="10"/>
        <color auto="1"/>
      </font>
      <numFmt numFmtId="0" formatCode="General"/>
      <fill>
        <patternFill patternType="none"/>
      </fill>
      <alignment horizontal="center" vertical="center"/>
      <protection hidden="1"/>
    </dxf>
    <dxf>
      <font>
        <b val="1"/>
        <color theme="1"/>
      </font>
      <border>
        <bottom style="thin">
          <color theme="4"/>
        </bottom>
        <vertical/>
        <horizontal/>
      </border>
    </dxf>
    <dxf>
      <font>
        <name val="黑体"/>
        <scheme val="none"/>
        <charset val="134"/>
        <family val="3"/>
        <b val="0"/>
        <i val="0"/>
        <sz val="10"/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border>
        <left style="thin">
          <color theme="4"/>
        </left>
      </border>
    </dxf>
    <dxf>
      <border>
        <left style="thin">
          <color theme="4"/>
        </left>
      </border>
    </dxf>
    <dxf>
      <border>
        <top style="thin">
          <color theme="4"/>
        </top>
      </border>
    </dxf>
    <dxf>
      <border>
        <top style="thin">
          <color theme="4"/>
        </top>
      </border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fill>
        <patternFill patternType="solid">
          <bgColor theme="4" tint="0.799981688894314"/>
        </patternFill>
      </fill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 style="hair">
          <color theme="4"/>
        </horizontal>
      </border>
    </dxf>
    <dxf>
      <border>
        <left style="thin">
          <color theme="4"/>
        </left>
      </border>
    </dxf>
    <dxf>
      <border>
        <left style="thin">
          <color theme="4"/>
        </left>
      </border>
    </dxf>
    <dxf>
      <border>
        <top style="thin">
          <color theme="4"/>
        </top>
      </border>
    </dxf>
    <dxf>
      <border>
        <top style="thin">
          <color theme="4"/>
        </top>
      </border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fill>
        <patternFill patternType="solid">
          <bgColor theme="2"/>
        </patternFill>
      </fill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medium">
          <color theme="4"/>
        </left>
        <right style="medium">
          <color theme="4"/>
        </right>
        <top style="medium">
          <color theme="4"/>
        </top>
        <bottom style="medium">
          <color theme="4"/>
        </bottom>
        <vertical style="thin">
          <color theme="4"/>
        </vertical>
        <horizontal style="hair">
          <color theme="4"/>
        </horizontal>
      </border>
    </dxf>
    <dxf>
      <border>
        <left style="thin">
          <color theme="4"/>
        </left>
      </border>
    </dxf>
    <dxf>
      <border>
        <left style="thin">
          <color theme="4"/>
        </left>
      </border>
    </dxf>
    <dxf>
      <border>
        <top style="thin">
          <color theme="4"/>
        </top>
      </border>
    </dxf>
    <dxf>
      <border>
        <top style="thin">
          <color theme="4"/>
        </top>
      </border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fill>
        <patternFill patternType="solid">
          <bgColor theme="2"/>
        </patternFill>
      </fill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medium">
          <color theme="4"/>
        </left>
        <right style="medium">
          <color theme="4"/>
        </right>
        <top style="medium">
          <color theme="4"/>
        </top>
        <bottom style="medium">
          <color theme="4"/>
        </bottom>
        <vertical style="thin">
          <color theme="4"/>
        </vertical>
        <horizontal style="hair">
          <color theme="4"/>
        </horizontal>
      </border>
    </dxf>
  </dxfs>
  <tableStyles count="4" defaultTableStyle="TableStyleLight9 2" defaultPivotStyle="PivotStyleLight16">
    <tableStyle name="SlicerStyleLight1 2" pivot="0" table="0" count="10" xr9:uid="{D3E9B068-413D-4C64-9A62-EBA8E83985A7}">
      <tableStyleElement type="wholeTable" dxfId="60"/>
      <tableStyleElement type="headerRow" dxfId="59"/>
    </tableStyle>
    <tableStyle name="TableStyleLight9 2" pivot="0" count="9" xr9:uid="{1BFBD041-6C91-4FA4-9E7E-C323F8D3DA80}">
      <tableStyleElement type="wholeTable" dxfId="69"/>
      <tableStyleElement type="headerRow" dxfId="68"/>
      <tableStyleElement type="totalRow" dxfId="67"/>
      <tableStyleElement type="firstColumn" dxfId="66"/>
      <tableStyleElement type="lastColumn" dxfId="65"/>
      <tableStyleElement type="firstRowStripe" dxfId="64"/>
      <tableStyleElement type="secondRowStripe" dxfId="63"/>
      <tableStyleElement type="firstColumnStripe" dxfId="62"/>
      <tableStyleElement type="secondColumnStripe" dxfId="61"/>
    </tableStyle>
    <tableStyle name="TableStyleLight9 2 2" pivot="0" count="9" xr9:uid="{711EEDF5-4839-416A-B4D1-3FECDCF0C799}">
      <tableStyleElement type="wholeTable" dxfId="78"/>
      <tableStyleElement type="headerRow" dxfId="77"/>
      <tableStyleElement type="totalRow" dxfId="76"/>
      <tableStyleElement type="firstColumn" dxfId="75"/>
      <tableStyleElement type="lastColumn" dxfId="74"/>
      <tableStyleElement type="firstRowStripe" dxfId="73"/>
      <tableStyleElement type="secondRowStripe" dxfId="72"/>
      <tableStyleElement type="firstColumnStripe" dxfId="71"/>
      <tableStyleElement type="secondColumnStripe" dxfId="70"/>
    </tableStyle>
    <tableStyle name="TableStyleLight9 2 3" pivot="0" count="9" xr9:uid="{893D6742-7AA2-4084-83B0-94C02D280507}">
      <tableStyleElement type="wholeTable" dxfId="87"/>
      <tableStyleElement type="headerRow" dxfId="86"/>
      <tableStyleElement type="totalRow" dxfId="85"/>
      <tableStyleElement type="firstColumn" dxfId="84"/>
      <tableStyleElement type="lastColumn" dxfId="83"/>
      <tableStyleElement type="firstRowStripe" dxfId="82"/>
      <tableStyleElement type="secondRowStripe" dxfId="81"/>
      <tableStyleElement type="firstColumnStripe" dxfId="80"/>
      <tableStyleElement type="secondColumnStripe" dxfId="79"/>
    </tableStyle>
  </tableStyle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4" tint="0.799981688894314"/>
              <bgColor theme="4" tint="0.799981688894314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4" tint="0.599993896298105"/>
              <bgColor theme="4" tint="0.59999389629810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1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microsoft.com/office/2007/relationships/slicerCache" Target="slicerCaches/slicerCach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customXml" Target="../customXml/item1.xml"/><Relationship Id="rId11" Type="http://schemas.openxmlformats.org/officeDocument/2006/relationships/styles" Target="styles.xml"/><Relationship Id="rId10" Type="http://schemas.openxmlformats.org/officeDocument/2006/relationships/sheetMetadata" Target="metadata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3" Type="http://schemas.microsoft.com/office/2011/relationships/chartColorStyle" Target="colors1.xml"/><Relationship Id="rId2" Type="http://schemas.microsoft.com/office/2011/relationships/chartStyle" Target="style1.xml"/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3" Type="http://schemas.microsoft.com/office/2011/relationships/chartColorStyle" Target="colors2.xml"/><Relationship Id="rId2" Type="http://schemas.microsoft.com/office/2011/relationships/chartStyle" Target="style2.xml"/><Relationship Id="rId1" Type="http://schemas.openxmlformats.org/officeDocument/2006/relationships/themeOverride" Target="../theme/themeOverrid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microsoft.com/office/2011/relationships/chartColorStyle" Target="colors5.xml"/><Relationship Id="rId2" Type="http://schemas.microsoft.com/office/2011/relationships/chartStyle" Target="style5.xml"/><Relationship Id="rId1" Type="http://schemas.openxmlformats.org/officeDocument/2006/relationships/themeOverride" Target="../theme/themeOverride3.xml"/></Relationships>
</file>

<file path=xl/charts/_rels/chart6.xml.rels><?xml version="1.0" encoding="UTF-8" standalone="yes"?>
<Relationships xmlns="http://schemas.openxmlformats.org/package/2006/relationships"><Relationship Id="rId3" Type="http://schemas.microsoft.com/office/2011/relationships/chartColorStyle" Target="colors6.xml"/><Relationship Id="rId2" Type="http://schemas.microsoft.com/office/2011/relationships/chartStyle" Target="style6.xml"/><Relationship Id="rId1" Type="http://schemas.openxmlformats.org/officeDocument/2006/relationships/themeOverride" Target="../theme/themeOverrid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0117083564895347"/>
          <c:y val="0.147512267488303"/>
          <c:w val="0.95955295030888"/>
          <c:h val="0.621255848453726"/>
        </c:manualLayout>
      </c:layout>
      <c:lineChart>
        <c:grouping val="standard"/>
        <c:varyColors val="0"/>
        <c:ser>
          <c:idx val="0"/>
          <c:order val="0"/>
          <c:tx>
            <c:strRef>
              <c:f>学生个人成绩分析看板!$J$6</c:f>
              <c:strCache>
                <c:ptCount val="1"/>
                <c:pt idx="0">
                  <c:v>校排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rgbClr val="FFDBDD"/>
              </a:solidFill>
              <a:ln w="9525">
                <a:solidFill>
                  <a:srgbClr val="C00000"/>
                </a:solidFill>
              </a:ln>
              <a:effectLst/>
            </c:spPr>
          </c:marker>
          <c:dLbls>
            <c:dLbl>
              <c:idx val="7"/>
              <c:layout/>
              <c:numFmt formatCode="General" sourceLinked="1"/>
              <c:spPr>
                <a:solidFill>
                  <a:srgbClr val="C0000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/>
                <a:lstStyle/>
                <a:p>
                  <a:pPr>
                    <a:defRPr lang="zh-CN" sz="900" b="0" i="0" u="none" strike="noStrike" kern="1200" baseline="0">
                      <a:solidFill>
                        <a:schemeClr val="bg1"/>
                      </a:solidFill>
                      <a:latin typeface="黑体" panose="02010609060101010101" pitchFamily="49" charset="-122"/>
                      <a:ea typeface="黑体" panose="02010609060101010101" pitchFamily="49" charset="-122"/>
                      <a:cs typeface="Alibaba PuHuiTi 2.0 55 Regular" panose="00020600040101010101" pitchFamily="18" charset="-122"/>
                    </a:defRPr>
                  </a:pPr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solidFill>
                <a:srgbClr val="005AAA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bg1"/>
                    </a:solidFill>
                    <a:latin typeface="黑体" panose="02010609060101010101" pitchFamily="49" charset="-122"/>
                    <a:ea typeface="黑体" panose="02010609060101010101" pitchFamily="49" charset="-122"/>
                    <a:cs typeface="Alibaba PuHuiTi 2.0 55 Regular" panose="00020600040101010101" pitchFamily="18" charset="-122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学生个人成绩分析看板!$D$7:$D$14</c:f>
              <c:strCache>
                <c:ptCount val="8"/>
                <c:pt idx="0">
                  <c:v>语文</c:v>
                </c:pt>
                <c:pt idx="1">
                  <c:v>数学</c:v>
                </c:pt>
                <c:pt idx="2">
                  <c:v>英语</c:v>
                </c:pt>
                <c:pt idx="3">
                  <c:v>物理</c:v>
                </c:pt>
                <c:pt idx="4">
                  <c:v>化学</c:v>
                </c:pt>
                <c:pt idx="5">
                  <c:v>政治</c:v>
                </c:pt>
                <c:pt idx="6">
                  <c:v>历史</c:v>
                </c:pt>
                <c:pt idx="7">
                  <c:v>总分</c:v>
                </c:pt>
              </c:strCache>
            </c:strRef>
          </c:cat>
          <c:val>
            <c:numRef>
              <c:f>学生个人成绩分析看板!$J$7:$J$14</c:f>
              <c:numCache>
                <c:formatCode>General;;</c:formatCode>
                <c:ptCount val="8"/>
                <c:pt idx="0">
                  <c:v>40</c:v>
                </c:pt>
                <c:pt idx="1">
                  <c:v>7</c:v>
                </c:pt>
                <c:pt idx="2">
                  <c:v>6</c:v>
                </c:pt>
                <c:pt idx="3">
                  <c:v>105</c:v>
                </c:pt>
                <c:pt idx="4">
                  <c:v>4</c:v>
                </c:pt>
                <c:pt idx="5">
                  <c:v>45</c:v>
                </c:pt>
                <c:pt idx="6">
                  <c:v>60</c:v>
                </c:pt>
                <c:pt idx="7">
                  <c:v>60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10541" cap="flat" cmpd="sng" algn="ctr">
              <a:solidFill>
                <a:srgbClr val="005AAA"/>
              </a:solidFill>
              <a:prstDash val="sysDot"/>
              <a:round/>
            </a:ln>
            <a:effectLst/>
          </c:spPr>
        </c:dropLines>
        <c:upDownBars>
          <c:gapWidth val="150"/>
          <c:upBars>
            <c:spPr>
              <a:solidFill>
                <a:schemeClr val="lt1"/>
              </a:solidFill>
              <a:ln w="9525">
                <a:solidFill>
                  <a:schemeClr val="tx1">
                    <a:lumMod val="15000"/>
                    <a:lumOff val="85000"/>
                  </a:schemeClr>
                </a:solidFill>
              </a:ln>
              <a:effectLst/>
            </c:spPr>
          </c:upBars>
          <c:downBars>
            <c:spPr>
              <a:solidFill>
                <a:schemeClr val="dk1">
                  <a:lumMod val="65000"/>
                  <a:lumOff val="35000"/>
                </a:schemeClr>
              </a:solidFill>
              <a:ln w="952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</c:downBars>
        </c:upDownBars>
        <c:marker val="1"/>
        <c:smooth val="0"/>
        <c:axId val="1263884047"/>
        <c:axId val="1264355359"/>
      </c:lineChart>
      <c:catAx>
        <c:axId val="1263884047"/>
        <c:scaling>
          <c:orientation val="minMax"/>
        </c:scaling>
        <c:delete val="0"/>
        <c:axPos val="t"/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rgbClr val="005AAA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黑体" panose="02010609060101010101" pitchFamily="49" charset="-122"/>
                <a:ea typeface="黑体" panose="02010609060101010101" pitchFamily="49" charset="-122"/>
                <a:cs typeface="Alibaba PuHuiTi 2.0 55 Regular" panose="00020600040101010101" pitchFamily="18" charset="-122"/>
              </a:defRPr>
            </a:pPr>
          </a:p>
        </c:txPr>
        <c:crossAx val="1264355359"/>
        <c:crosses val="autoZero"/>
        <c:auto val="1"/>
        <c:lblAlgn val="ctr"/>
        <c:lblOffset val="0"/>
        <c:tickLblSkip val="1"/>
        <c:noMultiLvlLbl val="0"/>
      </c:catAx>
      <c:valAx>
        <c:axId val="1264355359"/>
        <c:scaling>
          <c:orientation val="maxMin"/>
        </c:scaling>
        <c:delete val="1"/>
        <c:axPos val="l"/>
        <c:numFmt formatCode="General;;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黑体" panose="02010609060101010101" pitchFamily="49" charset="-122"/>
                <a:ea typeface="黑体" panose="02010609060101010101" pitchFamily="49" charset="-122"/>
                <a:cs typeface="Alibaba PuHuiTi 2.0 55 Regular" panose="00020600040101010101" pitchFamily="18" charset="-122"/>
              </a:defRPr>
            </a:pPr>
          </a:p>
        </c:txPr>
        <c:crossAx val="1263884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922662426169923"/>
          <c:y val="0.856158994795577"/>
          <c:w val="0.06335302135393"/>
          <c:h val="0.100374555870003"/>
        </c:manualLayout>
      </c:layout>
      <c:overlay val="0"/>
      <c:spPr>
        <a:solidFill>
          <a:srgbClr val="38D7FF">
            <a:lumMod val="20000"/>
            <a:lumOff val="80000"/>
          </a:srgbClr>
        </a:solidFill>
        <a:ln w="4826">
          <a:solidFill>
            <a:srgbClr val="005AAA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/>
              </a:solidFill>
              <a:latin typeface="黑体" panose="02010609060101010101" pitchFamily="49" charset="-122"/>
              <a:ea typeface="黑体" panose="02010609060101010101" pitchFamily="49" charset="-122"/>
              <a:cs typeface="Alibaba PuHuiTi 2.0 55 Regular" panose="00020600040101010101" pitchFamily="18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ad7bd3a-1f1e-4eb3-9f77-f66778432128}"/>
      </c:ext>
    </c:extLst>
  </c:chart>
  <c:spPr>
    <a:noFill/>
    <a:ln w="9525" cap="flat" cmpd="sng" algn="ctr">
      <a:solidFill>
        <a:srgbClr val="005AAA"/>
      </a:solidFill>
      <a:round/>
    </a:ln>
    <a:effectLst/>
  </c:spPr>
  <c:txPr>
    <a:bodyPr/>
    <a:lstStyle/>
    <a:p>
      <a:pPr>
        <a:defRPr lang="zh-CN">
          <a:solidFill>
            <a:schemeClr val="tx1"/>
          </a:solidFill>
          <a:latin typeface="黑体" panose="02010609060101010101" pitchFamily="49" charset="-122"/>
          <a:ea typeface="黑体" panose="02010609060101010101" pitchFamily="49" charset="-122"/>
          <a:cs typeface="Alibaba PuHuiTi 2.0 55 Regular" panose="00020600040101010101" pitchFamily="18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4440382852044"/>
          <c:y val="0.106557387818597"/>
          <c:w val="0.685346153846154"/>
          <c:h val="0.875626535626536"/>
        </c:manualLayout>
      </c:layout>
      <c:radarChart>
        <c:radarStyle val="marker"/>
        <c:varyColors val="0"/>
        <c:ser>
          <c:idx val="0"/>
          <c:order val="0"/>
          <c:tx>
            <c:strRef>
              <c:f>学生个人成绩分析看板!$E$6</c:f>
              <c:strCache>
                <c:ptCount val="1"/>
                <c:pt idx="0">
                  <c:v>满分</c:v>
                </c:pt>
              </c:strCache>
            </c:strRef>
          </c:tx>
          <c:spPr>
            <a:ln w="12700" cap="rnd">
              <a:solidFill>
                <a:schemeClr val="tx1">
                  <a:lumMod val="50000"/>
                  <a:lumOff val="50000"/>
                </a:schemeClr>
              </a:solidFill>
              <a:prstDash val="dashDot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学生个人成绩分析看板!$D$7:$D$13</c:f>
              <c:strCache>
                <c:ptCount val="7"/>
                <c:pt idx="0">
                  <c:v>语文</c:v>
                </c:pt>
                <c:pt idx="1">
                  <c:v>数学</c:v>
                </c:pt>
                <c:pt idx="2">
                  <c:v>英语</c:v>
                </c:pt>
                <c:pt idx="3">
                  <c:v>物理</c:v>
                </c:pt>
                <c:pt idx="4">
                  <c:v>化学</c:v>
                </c:pt>
                <c:pt idx="5">
                  <c:v>政治</c:v>
                </c:pt>
                <c:pt idx="6">
                  <c:v>历史</c:v>
                </c:pt>
              </c:strCache>
            </c:strRef>
          </c:cat>
          <c:val>
            <c:numRef>
              <c:f>学生个人成绩分析看板!$E$7:$E$13</c:f>
              <c:numCache>
                <c:formatCode>General;;</c:formatCode>
                <c:ptCount val="7"/>
                <c:pt idx="0">
                  <c:v>120</c:v>
                </c:pt>
                <c:pt idx="1">
                  <c:v>120</c:v>
                </c:pt>
                <c:pt idx="2">
                  <c:v>90</c:v>
                </c:pt>
                <c:pt idx="3">
                  <c:v>90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</c:numCache>
            </c:numRef>
          </c:val>
        </c:ser>
        <c:ser>
          <c:idx val="1"/>
          <c:order val="1"/>
          <c:tx>
            <c:strRef>
              <c:f>学生个人成绩分析看板!$G$6</c:f>
              <c:strCache>
                <c:ptCount val="1"/>
                <c:pt idx="0">
                  <c:v>平均分</c:v>
                </c:pt>
              </c:strCache>
            </c:strRef>
          </c:tx>
          <c:spPr>
            <a:ln w="12700" cap="rnd">
              <a:solidFill>
                <a:srgbClr val="C00000"/>
              </a:solidFill>
              <a:prstDash val="sysDot"/>
              <a:round/>
            </a:ln>
            <a:effectLst/>
          </c:spPr>
          <c:marker>
            <c:symbol val="squar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dLbls>
            <c:delete val="1"/>
          </c:dLbls>
          <c:cat>
            <c:strRef>
              <c:f>学生个人成绩分析看板!$D$7:$D$13</c:f>
              <c:strCache>
                <c:ptCount val="7"/>
                <c:pt idx="0">
                  <c:v>语文</c:v>
                </c:pt>
                <c:pt idx="1">
                  <c:v>数学</c:v>
                </c:pt>
                <c:pt idx="2">
                  <c:v>英语</c:v>
                </c:pt>
                <c:pt idx="3">
                  <c:v>物理</c:v>
                </c:pt>
                <c:pt idx="4">
                  <c:v>化学</c:v>
                </c:pt>
                <c:pt idx="5">
                  <c:v>政治</c:v>
                </c:pt>
                <c:pt idx="6">
                  <c:v>历史</c:v>
                </c:pt>
              </c:strCache>
            </c:strRef>
          </c:cat>
          <c:val>
            <c:numRef>
              <c:f>学生个人成绩分析看板!$G$7:$G$13</c:f>
              <c:numCache>
                <c:formatCode>0.00_);[Red]\(0.00\)</c:formatCode>
                <c:ptCount val="7"/>
                <c:pt idx="0">
                  <c:v>93.8762755102041</c:v>
                </c:pt>
                <c:pt idx="1">
                  <c:v>85.765006385696</c:v>
                </c:pt>
                <c:pt idx="2">
                  <c:v>71.749362244898</c:v>
                </c:pt>
                <c:pt idx="3">
                  <c:v>73.6649681528662</c:v>
                </c:pt>
                <c:pt idx="4">
                  <c:v>62.1528662420382</c:v>
                </c:pt>
                <c:pt idx="5">
                  <c:v>72.4469987228608</c:v>
                </c:pt>
                <c:pt idx="6">
                  <c:v>73.0204342273308</c:v>
                </c:pt>
              </c:numCache>
            </c:numRef>
          </c:val>
        </c:ser>
        <c:ser>
          <c:idx val="2"/>
          <c:order val="2"/>
          <c:tx>
            <c:strRef>
              <c:f>学生个人成绩分析看板!$H$6</c:f>
              <c:strCache>
                <c:ptCount val="1"/>
                <c:pt idx="0">
                  <c:v>学生得分</c:v>
                </c:pt>
              </c:strCache>
            </c:strRef>
          </c:tx>
          <c:spPr>
            <a:ln w="19050" cap="rnd" cmpd="thickThin">
              <a:solidFill>
                <a:srgbClr val="005AAA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rgbClr val="613347">
                  <a:lumMod val="40000"/>
                  <a:lumOff val="60000"/>
                </a:srgbClr>
              </a:solidFill>
              <a:ln w="9525" cmpd="thinThick">
                <a:solidFill>
                  <a:srgbClr val="005AAA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/>
                    </a:solidFill>
                    <a:latin typeface="黑体" panose="02010609060101010101" pitchFamily="49" charset="-122"/>
                    <a:ea typeface="黑体" panose="02010609060101010101" pitchFamily="49" charset="-122"/>
                    <a:cs typeface="Alibaba PuHuiTi 2.0 55 Regular" panose="00020600040101010101" pitchFamily="18" charset="-122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学生个人成绩分析看板!$D$7:$D$13</c:f>
              <c:strCache>
                <c:ptCount val="7"/>
                <c:pt idx="0">
                  <c:v>语文</c:v>
                </c:pt>
                <c:pt idx="1">
                  <c:v>数学</c:v>
                </c:pt>
                <c:pt idx="2">
                  <c:v>英语</c:v>
                </c:pt>
                <c:pt idx="3">
                  <c:v>物理</c:v>
                </c:pt>
                <c:pt idx="4">
                  <c:v>化学</c:v>
                </c:pt>
                <c:pt idx="5">
                  <c:v>政治</c:v>
                </c:pt>
                <c:pt idx="6">
                  <c:v>历史</c:v>
                </c:pt>
              </c:strCache>
            </c:strRef>
          </c:cat>
          <c:val>
            <c:numRef>
              <c:f>学生个人成绩分析看板!$H$7:$H$13</c:f>
              <c:numCache>
                <c:formatCode>General;;</c:formatCode>
                <c:ptCount val="7"/>
                <c:pt idx="0">
                  <c:v>109</c:v>
                </c:pt>
                <c:pt idx="1">
                  <c:v>111</c:v>
                </c:pt>
                <c:pt idx="2">
                  <c:v>87.5</c:v>
                </c:pt>
                <c:pt idx="3">
                  <c:v>85</c:v>
                </c:pt>
                <c:pt idx="4">
                  <c:v>85</c:v>
                </c:pt>
                <c:pt idx="5">
                  <c:v>82</c:v>
                </c:pt>
                <c:pt idx="6">
                  <c:v>83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7673824"/>
        <c:axId val="617675504"/>
      </c:radarChart>
      <c:catAx>
        <c:axId val="617673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黑体" panose="02010609060101010101" pitchFamily="49" charset="-122"/>
                <a:ea typeface="黑体" panose="02010609060101010101" pitchFamily="49" charset="-122"/>
                <a:cs typeface="Alibaba PuHuiTi 2.0 55 Regular" panose="00020600040101010101" pitchFamily="18" charset="-122"/>
              </a:defRPr>
            </a:pPr>
          </a:p>
        </c:txPr>
        <c:crossAx val="617675504"/>
        <c:crosses val="autoZero"/>
        <c:auto val="1"/>
        <c:lblAlgn val="ctr"/>
        <c:lblOffset val="100"/>
        <c:noMultiLvlLbl val="0"/>
      </c:catAx>
      <c:valAx>
        <c:axId val="617675504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005AAA">
                  <a:lumMod val="40000"/>
                  <a:lumOff val="60000"/>
                  <a:alpha val="36000"/>
                </a:srgbClr>
              </a:solidFill>
              <a:round/>
            </a:ln>
            <a:effectLst/>
          </c:spPr>
        </c:majorGridlines>
        <c:numFmt formatCode="General;;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黑体" panose="02010609060101010101" pitchFamily="49" charset="-122"/>
                <a:ea typeface="黑体" panose="02010609060101010101" pitchFamily="49" charset="-122"/>
                <a:cs typeface="Alibaba PuHuiTi 2.0 55 Regular" panose="00020600040101010101" pitchFamily="18" charset="-122"/>
              </a:defRPr>
            </a:pPr>
          </a:p>
        </c:txPr>
        <c:crossAx val="617673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9798094696431"/>
          <c:y val="0.815818454864008"/>
          <c:w val="0.23460827527371"/>
          <c:h val="0.149274153178708"/>
        </c:manualLayout>
      </c:layout>
      <c:overlay val="0"/>
      <c:spPr>
        <a:solidFill>
          <a:srgbClr val="38D7FF">
            <a:lumMod val="20000"/>
            <a:lumOff val="80000"/>
          </a:srgbClr>
        </a:solidFill>
        <a:ln w="4826">
          <a:solidFill>
            <a:srgbClr val="005AAA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/>
              </a:solidFill>
              <a:latin typeface="黑体" panose="02010609060101010101" pitchFamily="49" charset="-122"/>
              <a:ea typeface="黑体" panose="02010609060101010101" pitchFamily="49" charset="-122"/>
              <a:cs typeface="Alibaba PuHuiTi 2.0 55 Regular" panose="00020600040101010101" pitchFamily="18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458770c-25d7-4d1b-927e-4969740fc5da}"/>
      </c:ext>
    </c:extLst>
  </c:chart>
  <c:spPr>
    <a:noFill/>
    <a:ln w="12700" cap="flat" cmpd="sng" algn="ctr">
      <a:solidFill>
        <a:srgbClr val="005AAA"/>
      </a:solidFill>
      <a:round/>
    </a:ln>
    <a:effectLst/>
  </c:spPr>
  <c:txPr>
    <a:bodyPr/>
    <a:lstStyle/>
    <a:p>
      <a:pPr>
        <a:defRPr lang="zh-CN">
          <a:solidFill>
            <a:schemeClr val="tx1"/>
          </a:solidFill>
          <a:latin typeface="黑体" panose="02010609060101010101" pitchFamily="49" charset="-122"/>
          <a:ea typeface="黑体" panose="02010609060101010101" pitchFamily="49" charset="-122"/>
          <a:cs typeface="Alibaba PuHuiTi 2.0 55 Regular" panose="00020600040101010101" pitchFamily="18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学生个人成绩统计表!$D$6</c:f>
              <c:strCache>
                <c:ptCount val="1"/>
                <c:pt idx="0">
                  <c:v>2025/11/14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黑体" panose="02010609060101010101" pitchFamily="49" charset="-122"/>
                    <a:ea typeface="黑体" panose="02010609060101010101" pitchFamily="49" charset="-122"/>
                    <a:cs typeface="Alibaba PuHuiTi 2.0 55 Regular" panose="00020600040101010101" pitchFamily="18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(学生个人成绩统计表!$G$5,学生个人成绩统计表!$I$5,学生个人成绩统计表!$K$5,学生个人成绩统计表!$M$5,学生个人成绩统计表!$O$5,学生个人成绩统计表!$Q$5,学生个人成绩统计表!$S$5)</c:f>
              <c:strCache>
                <c:ptCount val="7"/>
                <c:pt idx="0">
                  <c:v>语文</c:v>
                </c:pt>
                <c:pt idx="1">
                  <c:v>数学</c:v>
                </c:pt>
                <c:pt idx="2">
                  <c:v>英语</c:v>
                </c:pt>
                <c:pt idx="3">
                  <c:v>物理</c:v>
                </c:pt>
                <c:pt idx="4">
                  <c:v>化学</c:v>
                </c:pt>
                <c:pt idx="5">
                  <c:v>政治</c:v>
                </c:pt>
                <c:pt idx="6">
                  <c:v>历史</c:v>
                </c:pt>
              </c:strCache>
            </c:strRef>
          </c:cat>
          <c:val>
            <c:numRef>
              <c:f>(学生个人成绩统计表!$G$6,学生个人成绩统计表!$I$6,学生个人成绩统计表!$K$6,学生个人成绩统计表!$M$6,学生个人成绩统计表!$O$6,学生个人成绩统计表!$Q$6,学生个人成绩统计表!$S$6)</c:f>
              <c:numCache>
                <c:formatCode>General;;</c:formatCode>
                <c:ptCount val="7"/>
                <c:pt idx="0">
                  <c:v>104</c:v>
                </c:pt>
                <c:pt idx="1">
                  <c:v>109</c:v>
                </c:pt>
                <c:pt idx="2">
                  <c:v>81</c:v>
                </c:pt>
                <c:pt idx="3">
                  <c:v>85</c:v>
                </c:pt>
                <c:pt idx="4">
                  <c:v>77</c:v>
                </c:pt>
                <c:pt idx="5">
                  <c:v>82</c:v>
                </c:pt>
                <c:pt idx="6">
                  <c:v>79</c:v>
                </c:pt>
              </c:numCache>
            </c:numRef>
          </c:val>
        </c:ser>
        <c:ser>
          <c:idx val="1"/>
          <c:order val="1"/>
          <c:tx>
            <c:strRef>
              <c:f>学生个人成绩统计表!$D$7</c:f>
              <c:strCache>
                <c:ptCount val="1"/>
                <c:pt idx="0">
                  <c:v>2025/12/12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黑体" panose="02010609060101010101" pitchFamily="49" charset="-122"/>
                    <a:ea typeface="黑体" panose="02010609060101010101" pitchFamily="49" charset="-122"/>
                    <a:cs typeface="Alibaba PuHuiTi 2.0 55 Regular" panose="00020600040101010101" pitchFamily="18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(学生个人成绩统计表!$G$5,学生个人成绩统计表!$I$5,学生个人成绩统计表!$K$5,学生个人成绩统计表!$M$5,学生个人成绩统计表!$O$5,学生个人成绩统计表!$Q$5,学生个人成绩统计表!$S$5)</c:f>
              <c:strCache>
                <c:ptCount val="7"/>
                <c:pt idx="0">
                  <c:v>语文</c:v>
                </c:pt>
                <c:pt idx="1">
                  <c:v>数学</c:v>
                </c:pt>
                <c:pt idx="2">
                  <c:v>英语</c:v>
                </c:pt>
                <c:pt idx="3">
                  <c:v>物理</c:v>
                </c:pt>
                <c:pt idx="4">
                  <c:v>化学</c:v>
                </c:pt>
                <c:pt idx="5">
                  <c:v>政治</c:v>
                </c:pt>
                <c:pt idx="6">
                  <c:v>历史</c:v>
                </c:pt>
              </c:strCache>
            </c:strRef>
          </c:cat>
          <c:val>
            <c:numRef>
              <c:f>(学生个人成绩统计表!$G$7,学生个人成绩统计表!$I$7,学生个人成绩统计表!$K$7,学生个人成绩统计表!$M$7,学生个人成绩统计表!$O$7,学生个人成绩统计表!$Q$7,学生个人成绩统计表!$S$7)</c:f>
              <c:numCache>
                <c:formatCode>General;;</c:formatCode>
                <c:ptCount val="7"/>
                <c:pt idx="0">
                  <c:v>106</c:v>
                </c:pt>
                <c:pt idx="1">
                  <c:v>87</c:v>
                </c:pt>
                <c:pt idx="2">
                  <c:v>84.5</c:v>
                </c:pt>
                <c:pt idx="3">
                  <c:v>94</c:v>
                </c:pt>
                <c:pt idx="4">
                  <c:v>90</c:v>
                </c:pt>
                <c:pt idx="5">
                  <c:v>74</c:v>
                </c:pt>
                <c:pt idx="6">
                  <c:v>84</c:v>
                </c:pt>
              </c:numCache>
            </c:numRef>
          </c:val>
        </c:ser>
        <c:ser>
          <c:idx val="2"/>
          <c:order val="2"/>
          <c:tx>
            <c:strRef>
              <c:f>学生个人成绩统计表!$D$8</c:f>
              <c:strCache>
                <c:ptCount val="1"/>
                <c:pt idx="0">
                  <c:v>2026/1/8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黑体" panose="02010609060101010101" pitchFamily="49" charset="-122"/>
                    <a:ea typeface="黑体" panose="02010609060101010101" pitchFamily="49" charset="-122"/>
                    <a:cs typeface="Alibaba PuHuiTi 2.0 55 Regular" panose="00020600040101010101" pitchFamily="18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(学生个人成绩统计表!$G$5,学生个人成绩统计表!$I$5,学生个人成绩统计表!$K$5,学生个人成绩统计表!$M$5,学生个人成绩统计表!$O$5,学生个人成绩统计表!$Q$5,学生个人成绩统计表!$S$5)</c:f>
              <c:strCache>
                <c:ptCount val="7"/>
                <c:pt idx="0">
                  <c:v>语文</c:v>
                </c:pt>
                <c:pt idx="1">
                  <c:v>数学</c:v>
                </c:pt>
                <c:pt idx="2">
                  <c:v>英语</c:v>
                </c:pt>
                <c:pt idx="3">
                  <c:v>物理</c:v>
                </c:pt>
                <c:pt idx="4">
                  <c:v>化学</c:v>
                </c:pt>
                <c:pt idx="5">
                  <c:v>政治</c:v>
                </c:pt>
                <c:pt idx="6">
                  <c:v>历史</c:v>
                </c:pt>
              </c:strCache>
            </c:strRef>
          </c:cat>
          <c:val>
            <c:numRef>
              <c:f>(学生个人成绩统计表!$G$8,学生个人成绩统计表!$I$8,学生个人成绩统计表!$K$8,学生个人成绩统计表!$M$8,学生个人成绩统计表!$O$8,学生个人成绩统计表!$Q$8,学生个人成绩统计表!$S$8)</c:f>
              <c:numCache>
                <c:formatCode>General;;</c:formatCode>
                <c:ptCount val="7"/>
                <c:pt idx="0">
                  <c:v>102</c:v>
                </c:pt>
                <c:pt idx="1">
                  <c:v>102</c:v>
                </c:pt>
                <c:pt idx="2">
                  <c:v>76.5</c:v>
                </c:pt>
                <c:pt idx="3">
                  <c:v>79</c:v>
                </c:pt>
                <c:pt idx="4">
                  <c:v>81</c:v>
                </c:pt>
                <c:pt idx="5">
                  <c:v>81</c:v>
                </c:pt>
                <c:pt idx="6">
                  <c:v>76</c:v>
                </c:pt>
              </c:numCache>
            </c:numRef>
          </c:val>
        </c:ser>
        <c:ser>
          <c:idx val="3"/>
          <c:order val="3"/>
          <c:tx>
            <c:strRef>
              <c:f>学生个人成绩统计表!$D$9</c:f>
              <c:strCache>
                <c:ptCount val="1"/>
                <c:pt idx="0">
                  <c:v>2026/3/27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黑体" panose="02010609060101010101" pitchFamily="49" charset="-122"/>
                    <a:ea typeface="黑体" panose="02010609060101010101" pitchFamily="49" charset="-122"/>
                    <a:cs typeface="Alibaba PuHuiTi 2.0 55 Regular" panose="00020600040101010101" pitchFamily="18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(学生个人成绩统计表!$G$5,学生个人成绩统计表!$I$5,学生个人成绩统计表!$K$5,学生个人成绩统计表!$M$5,学生个人成绩统计表!$O$5,学生个人成绩统计表!$Q$5,学生个人成绩统计表!$S$5)</c:f>
              <c:strCache>
                <c:ptCount val="7"/>
                <c:pt idx="0">
                  <c:v>语文</c:v>
                </c:pt>
                <c:pt idx="1">
                  <c:v>数学</c:v>
                </c:pt>
                <c:pt idx="2">
                  <c:v>英语</c:v>
                </c:pt>
                <c:pt idx="3">
                  <c:v>物理</c:v>
                </c:pt>
                <c:pt idx="4">
                  <c:v>化学</c:v>
                </c:pt>
                <c:pt idx="5">
                  <c:v>政治</c:v>
                </c:pt>
                <c:pt idx="6">
                  <c:v>历史</c:v>
                </c:pt>
              </c:strCache>
            </c:strRef>
          </c:cat>
          <c:val>
            <c:numRef>
              <c:f>(学生个人成绩统计表!$G$9,学生个人成绩统计表!$I$9,学生个人成绩统计表!$K$9,学生个人成绩统计表!$M$9,学生个人成绩统计表!$O$9,学生个人成绩统计表!$Q$9,学生个人成绩统计表!$S$9)</c:f>
              <c:numCache>
                <c:formatCode>General;;</c:formatCode>
                <c:ptCount val="7"/>
                <c:pt idx="0">
                  <c:v>104</c:v>
                </c:pt>
                <c:pt idx="1">
                  <c:v>104</c:v>
                </c:pt>
                <c:pt idx="2">
                  <c:v>83</c:v>
                </c:pt>
                <c:pt idx="3">
                  <c:v>86</c:v>
                </c:pt>
                <c:pt idx="4">
                  <c:v>71</c:v>
                </c:pt>
                <c:pt idx="5">
                  <c:v>88</c:v>
                </c:pt>
                <c:pt idx="6">
                  <c:v>84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731856400"/>
        <c:axId val="731858048"/>
      </c:barChart>
      <c:catAx>
        <c:axId val="731856400"/>
        <c:scaling>
          <c:orientation val="minMax"/>
        </c:scaling>
        <c:delete val="0"/>
        <c:axPos val="b"/>
        <c:majorGridlines>
          <c:spPr>
            <a:ln w="4826" cap="flat" cmpd="sng" algn="ctr">
              <a:solidFill>
                <a:srgbClr val="005AAA"/>
              </a:solidFill>
              <a:prstDash val="sysDot"/>
              <a:round/>
            </a:ln>
            <a:effectLst/>
          </c:spPr>
        </c:majorGridlines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rgbClr val="005AAA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000" b="0" i="0" u="none" strike="noStrike" kern="1200" cap="all" spc="120" normalizeH="0" baseline="0">
                <a:solidFill>
                  <a:schemeClr val="tx1"/>
                </a:solidFill>
                <a:latin typeface="黑体" panose="02010609060101010101" pitchFamily="49" charset="-122"/>
                <a:ea typeface="黑体" panose="02010609060101010101" pitchFamily="49" charset="-122"/>
                <a:cs typeface="Alibaba PuHuiTi 2.0 55 Regular" panose="00020600040101010101" pitchFamily="18" charset="-122"/>
              </a:defRPr>
            </a:pPr>
          </a:p>
        </c:txPr>
        <c:crossAx val="731858048"/>
        <c:crosses val="autoZero"/>
        <c:auto val="1"/>
        <c:lblAlgn val="ctr"/>
        <c:lblOffset val="100"/>
        <c:noMultiLvlLbl val="0"/>
      </c:catAx>
      <c:valAx>
        <c:axId val="731858048"/>
        <c:scaling>
          <c:orientation val="minMax"/>
        </c:scaling>
        <c:delete val="0"/>
        <c:axPos val="l"/>
        <c:numFmt formatCode="General;;" sourceLinked="1"/>
        <c:majorTickMark val="out"/>
        <c:minorTickMark val="none"/>
        <c:tickLblPos val="nextTo"/>
        <c:spPr>
          <a:noFill/>
          <a:ln w="9525" cap="flat" cmpd="sng" algn="ctr">
            <a:solidFill>
              <a:srgbClr val="005AAA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黑体" panose="02010609060101010101" pitchFamily="49" charset="-122"/>
                <a:ea typeface="黑体" panose="02010609060101010101" pitchFamily="49" charset="-122"/>
                <a:cs typeface="Alibaba PuHuiTi 2.0 55 Regular" panose="00020600040101010101" pitchFamily="18" charset="-122"/>
              </a:defRPr>
            </a:pPr>
          </a:p>
        </c:txPr>
        <c:crossAx val="731856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solidFill>
          <a:srgbClr val="38D7FF">
            <a:lumMod val="20000"/>
            <a:lumOff val="80000"/>
          </a:srgbClr>
        </a:solidFill>
        <a:ln w="4826">
          <a:solidFill>
            <a:srgbClr val="005AAA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/>
              </a:solidFill>
              <a:latin typeface="黑体" panose="02010609060101010101" pitchFamily="49" charset="-122"/>
              <a:ea typeface="黑体" panose="02010609060101010101" pitchFamily="49" charset="-122"/>
              <a:cs typeface="Alibaba PuHuiTi 2.0 55 Regular" panose="00020600040101010101" pitchFamily="18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8f7b73f-81ee-4268-9ad6-a668c4d4c159}"/>
      </c:ext>
    </c:extLst>
  </c:chart>
  <c:spPr>
    <a:noFill/>
    <a:ln w="12700" cap="flat" cmpd="sng" algn="ctr">
      <a:solidFill>
        <a:srgbClr val="005AAA"/>
      </a:solidFill>
      <a:round/>
    </a:ln>
    <a:effectLst/>
  </c:spPr>
  <c:txPr>
    <a:bodyPr/>
    <a:lstStyle/>
    <a:p>
      <a:pPr>
        <a:defRPr lang="zh-CN" sz="1000">
          <a:solidFill>
            <a:schemeClr val="tx1"/>
          </a:solidFill>
          <a:latin typeface="黑体" panose="02010609060101010101" pitchFamily="49" charset="-122"/>
          <a:ea typeface="黑体" panose="02010609060101010101" pitchFamily="49" charset="-122"/>
          <a:cs typeface="Alibaba PuHuiTi 2.0 55 Regular" panose="00020600040101010101" pitchFamily="18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学生个人成绩统计表!$D$6</c:f>
              <c:strCache>
                <c:ptCount val="1"/>
                <c:pt idx="0">
                  <c:v>2025/11/14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黑体" panose="02010609060101010101" pitchFamily="49" charset="-122"/>
                    <a:ea typeface="黑体" panose="02010609060101010101" pitchFamily="49" charset="-122"/>
                    <a:cs typeface="Alibaba PuHuiTi 2.0 55 Regular" panose="00020600040101010101" pitchFamily="18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(学生个人成绩统计表!$H$5,学生个人成绩统计表!$J$5,学生个人成绩统计表!$L$5,学生个人成绩统计表!$N$5,学生个人成绩统计表!$P$5,学生个人成绩统计表!$R$5,学生个人成绩统计表!$T$5)</c:f>
              <c:strCache>
                <c:ptCount val="7"/>
                <c:pt idx="0">
                  <c:v>语文校排</c:v>
                </c:pt>
                <c:pt idx="1">
                  <c:v>数学校排</c:v>
                </c:pt>
                <c:pt idx="2">
                  <c:v>英语校排</c:v>
                </c:pt>
                <c:pt idx="3">
                  <c:v>物理校排</c:v>
                </c:pt>
                <c:pt idx="4">
                  <c:v>化学校排</c:v>
                </c:pt>
                <c:pt idx="5">
                  <c:v>政治校排</c:v>
                </c:pt>
                <c:pt idx="6">
                  <c:v>历史校排</c:v>
                </c:pt>
              </c:strCache>
            </c:strRef>
          </c:cat>
          <c:val>
            <c:numRef>
              <c:f>(学生个人成绩统计表!$H$6,学生个人成绩统计表!$J$6,学生个人成绩统计表!$L$6,学生个人成绩统计表!$N$6,学生个人成绩统计表!$P$6,学生个人成绩统计表!$R$6,学生个人成绩统计表!$T$6)</c:f>
              <c:numCache>
                <c:formatCode>General;;</c:formatCode>
                <c:ptCount val="7"/>
                <c:pt idx="0">
                  <c:v>104</c:v>
                </c:pt>
                <c:pt idx="1">
                  <c:v>165</c:v>
                </c:pt>
                <c:pt idx="2">
                  <c:v>241</c:v>
                </c:pt>
                <c:pt idx="3">
                  <c:v>263</c:v>
                </c:pt>
                <c:pt idx="4">
                  <c:v>239</c:v>
                </c:pt>
                <c:pt idx="5">
                  <c:v>157</c:v>
                </c:pt>
                <c:pt idx="6">
                  <c:v>144</c:v>
                </c:pt>
              </c:numCache>
            </c:numRef>
          </c:val>
        </c:ser>
        <c:ser>
          <c:idx val="1"/>
          <c:order val="1"/>
          <c:tx>
            <c:strRef>
              <c:f>学生个人成绩统计表!$D$7</c:f>
              <c:strCache>
                <c:ptCount val="1"/>
                <c:pt idx="0">
                  <c:v>2025/12/12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黑体" panose="02010609060101010101" pitchFamily="49" charset="-122"/>
                    <a:ea typeface="黑体" panose="02010609060101010101" pitchFamily="49" charset="-122"/>
                    <a:cs typeface="Alibaba PuHuiTi 2.0 55 Regular" panose="00020600040101010101" pitchFamily="18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(学生个人成绩统计表!$H$5,学生个人成绩统计表!$J$5,学生个人成绩统计表!$L$5,学生个人成绩统计表!$N$5,学生个人成绩统计表!$P$5,学生个人成绩统计表!$R$5,学生个人成绩统计表!$T$5)</c:f>
              <c:strCache>
                <c:ptCount val="7"/>
                <c:pt idx="0">
                  <c:v>语文校排</c:v>
                </c:pt>
                <c:pt idx="1">
                  <c:v>数学校排</c:v>
                </c:pt>
                <c:pt idx="2">
                  <c:v>英语校排</c:v>
                </c:pt>
                <c:pt idx="3">
                  <c:v>物理校排</c:v>
                </c:pt>
                <c:pt idx="4">
                  <c:v>化学校排</c:v>
                </c:pt>
                <c:pt idx="5">
                  <c:v>政治校排</c:v>
                </c:pt>
                <c:pt idx="6">
                  <c:v>历史校排</c:v>
                </c:pt>
              </c:strCache>
            </c:strRef>
          </c:cat>
          <c:val>
            <c:numRef>
              <c:f>(学生个人成绩统计表!$H$7,学生个人成绩统计表!$J$7,学生个人成绩统计表!$L$7,学生个人成绩统计表!$N$7,学生个人成绩统计表!$P$7,学生个人成绩统计表!$R$7,学生个人成绩统计表!$T$7)</c:f>
              <c:numCache>
                <c:formatCode>General;;</c:formatCode>
                <c:ptCount val="7"/>
                <c:pt idx="0">
                  <c:v>210</c:v>
                </c:pt>
                <c:pt idx="1">
                  <c:v>223</c:v>
                </c:pt>
                <c:pt idx="2">
                  <c:v>37</c:v>
                </c:pt>
                <c:pt idx="3">
                  <c:v>125</c:v>
                </c:pt>
                <c:pt idx="4">
                  <c:v>140</c:v>
                </c:pt>
                <c:pt idx="5">
                  <c:v>121</c:v>
                </c:pt>
                <c:pt idx="6">
                  <c:v>30</c:v>
                </c:pt>
              </c:numCache>
            </c:numRef>
          </c:val>
        </c:ser>
        <c:ser>
          <c:idx val="2"/>
          <c:order val="2"/>
          <c:tx>
            <c:strRef>
              <c:f>学生个人成绩统计表!$D$8</c:f>
              <c:strCache>
                <c:ptCount val="1"/>
                <c:pt idx="0">
                  <c:v>2026/1/8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黑体" panose="02010609060101010101" pitchFamily="49" charset="-122"/>
                    <a:ea typeface="黑体" panose="02010609060101010101" pitchFamily="49" charset="-122"/>
                    <a:cs typeface="Alibaba PuHuiTi 2.0 55 Regular" panose="00020600040101010101" pitchFamily="18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(学生个人成绩统计表!$H$5,学生个人成绩统计表!$J$5,学生个人成绩统计表!$L$5,学生个人成绩统计表!$N$5,学生个人成绩统计表!$P$5,学生个人成绩统计表!$R$5,学生个人成绩统计表!$T$5)</c:f>
              <c:strCache>
                <c:ptCount val="7"/>
                <c:pt idx="0">
                  <c:v>语文校排</c:v>
                </c:pt>
                <c:pt idx="1">
                  <c:v>数学校排</c:v>
                </c:pt>
                <c:pt idx="2">
                  <c:v>英语校排</c:v>
                </c:pt>
                <c:pt idx="3">
                  <c:v>物理校排</c:v>
                </c:pt>
                <c:pt idx="4">
                  <c:v>化学校排</c:v>
                </c:pt>
                <c:pt idx="5">
                  <c:v>政治校排</c:v>
                </c:pt>
                <c:pt idx="6">
                  <c:v>历史校排</c:v>
                </c:pt>
              </c:strCache>
            </c:strRef>
          </c:cat>
          <c:val>
            <c:numRef>
              <c:f>(学生个人成绩统计表!$H$8,学生个人成绩统计表!$J$8,学生个人成绩统计表!$L$8,学生个人成绩统计表!$N$8,学生个人成绩统计表!$P$8,学生个人成绩统计表!$R$8,学生个人成绩统计表!$T$8)</c:f>
              <c:numCache>
                <c:formatCode>General;;</c:formatCode>
                <c:ptCount val="7"/>
                <c:pt idx="0">
                  <c:v>132</c:v>
                </c:pt>
                <c:pt idx="1">
                  <c:v>95</c:v>
                </c:pt>
                <c:pt idx="2">
                  <c:v>120</c:v>
                </c:pt>
                <c:pt idx="3">
                  <c:v>153</c:v>
                </c:pt>
                <c:pt idx="4">
                  <c:v>43</c:v>
                </c:pt>
                <c:pt idx="5">
                  <c:v>18</c:v>
                </c:pt>
                <c:pt idx="6">
                  <c:v>169</c:v>
                </c:pt>
              </c:numCache>
            </c:numRef>
          </c:val>
        </c:ser>
        <c:ser>
          <c:idx val="3"/>
          <c:order val="3"/>
          <c:tx>
            <c:strRef>
              <c:f>学生个人成绩统计表!$D$9</c:f>
              <c:strCache>
                <c:ptCount val="1"/>
                <c:pt idx="0">
                  <c:v>2026/3/27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黑体" panose="02010609060101010101" pitchFamily="49" charset="-122"/>
                    <a:ea typeface="黑体" panose="02010609060101010101" pitchFamily="49" charset="-122"/>
                    <a:cs typeface="Alibaba PuHuiTi 2.0 55 Regular" panose="00020600040101010101" pitchFamily="18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(学生个人成绩统计表!$H$5,学生个人成绩统计表!$J$5,学生个人成绩统计表!$L$5,学生个人成绩统计表!$N$5,学生个人成绩统计表!$P$5,学生个人成绩统计表!$R$5,学生个人成绩统计表!$T$5)</c:f>
              <c:strCache>
                <c:ptCount val="7"/>
                <c:pt idx="0">
                  <c:v>语文校排</c:v>
                </c:pt>
                <c:pt idx="1">
                  <c:v>数学校排</c:v>
                </c:pt>
                <c:pt idx="2">
                  <c:v>英语校排</c:v>
                </c:pt>
                <c:pt idx="3">
                  <c:v>物理校排</c:v>
                </c:pt>
                <c:pt idx="4">
                  <c:v>化学校排</c:v>
                </c:pt>
                <c:pt idx="5">
                  <c:v>政治校排</c:v>
                </c:pt>
                <c:pt idx="6">
                  <c:v>历史校排</c:v>
                </c:pt>
              </c:strCache>
            </c:strRef>
          </c:cat>
          <c:val>
            <c:numRef>
              <c:f>(学生个人成绩统计表!$H$9,学生个人成绩统计表!$J$9,学生个人成绩统计表!$L$9,学生个人成绩统计表!$N$9,学生个人成绩统计表!$P$9,学生个人成绩统计表!$R$9,学生个人成绩统计表!$T$9)</c:f>
              <c:numCache>
                <c:formatCode>General;;</c:formatCode>
                <c:ptCount val="7"/>
                <c:pt idx="0">
                  <c:v>131</c:v>
                </c:pt>
                <c:pt idx="1">
                  <c:v>68</c:v>
                </c:pt>
                <c:pt idx="2">
                  <c:v>134</c:v>
                </c:pt>
                <c:pt idx="3">
                  <c:v>61</c:v>
                </c:pt>
                <c:pt idx="4">
                  <c:v>217</c:v>
                </c:pt>
                <c:pt idx="5">
                  <c:v>1</c:v>
                </c:pt>
                <c:pt idx="6">
                  <c:v>38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731856400"/>
        <c:axId val="731858048"/>
      </c:barChart>
      <c:catAx>
        <c:axId val="731856400"/>
        <c:scaling>
          <c:orientation val="minMax"/>
        </c:scaling>
        <c:delete val="0"/>
        <c:axPos val="t"/>
        <c:majorGridlines>
          <c:spPr>
            <a:ln w="4826" cap="flat" cmpd="sng" algn="ctr">
              <a:solidFill>
                <a:srgbClr val="005AAA"/>
              </a:solidFill>
              <a:prstDash val="sysDot"/>
              <a:round/>
            </a:ln>
            <a:effectLst/>
          </c:spPr>
        </c:majorGridlines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rgbClr val="005AAA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000" b="0" i="0" u="none" strike="noStrike" kern="1200" cap="all" spc="120" normalizeH="0" baseline="0">
                <a:solidFill>
                  <a:schemeClr val="tx1"/>
                </a:solidFill>
                <a:latin typeface="黑体" panose="02010609060101010101" pitchFamily="49" charset="-122"/>
                <a:ea typeface="黑体" panose="02010609060101010101" pitchFamily="49" charset="-122"/>
                <a:cs typeface="Alibaba PuHuiTi 2.0 55 Regular" panose="00020600040101010101" pitchFamily="18" charset="-122"/>
              </a:defRPr>
            </a:pPr>
          </a:p>
        </c:txPr>
        <c:crossAx val="731858048"/>
        <c:crosses val="autoZero"/>
        <c:auto val="1"/>
        <c:lblAlgn val="ctr"/>
        <c:lblOffset val="100"/>
        <c:noMultiLvlLbl val="0"/>
      </c:catAx>
      <c:valAx>
        <c:axId val="731858048"/>
        <c:scaling>
          <c:orientation val="maxMin"/>
        </c:scaling>
        <c:delete val="0"/>
        <c:axPos val="l"/>
        <c:numFmt formatCode="General;;" sourceLinked="1"/>
        <c:majorTickMark val="out"/>
        <c:minorTickMark val="none"/>
        <c:tickLblPos val="nextTo"/>
        <c:spPr>
          <a:noFill/>
          <a:ln w="9525" cap="flat" cmpd="sng" algn="ctr">
            <a:solidFill>
              <a:srgbClr val="005AAA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黑体" panose="02010609060101010101" pitchFamily="49" charset="-122"/>
                <a:ea typeface="黑体" panose="02010609060101010101" pitchFamily="49" charset="-122"/>
                <a:cs typeface="Alibaba PuHuiTi 2.0 55 Regular" panose="00020600040101010101" pitchFamily="18" charset="-122"/>
              </a:defRPr>
            </a:pPr>
          </a:p>
        </c:txPr>
        <c:crossAx val="731856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solidFill>
          <a:srgbClr val="38D7FF">
            <a:lumMod val="20000"/>
            <a:lumOff val="80000"/>
          </a:srgbClr>
        </a:solidFill>
        <a:ln w="4826">
          <a:solidFill>
            <a:srgbClr val="005AAA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/>
              </a:solidFill>
              <a:latin typeface="黑体" panose="02010609060101010101" pitchFamily="49" charset="-122"/>
              <a:ea typeface="黑体" panose="02010609060101010101" pitchFamily="49" charset="-122"/>
              <a:cs typeface="Alibaba PuHuiTi 2.0 55 Regular" panose="00020600040101010101" pitchFamily="18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d0d9977-c19a-4373-a96c-57a5d2c3ce29}"/>
      </c:ext>
    </c:extLst>
  </c:chart>
  <c:spPr>
    <a:noFill/>
    <a:ln w="12700" cap="flat" cmpd="sng" algn="ctr">
      <a:solidFill>
        <a:srgbClr val="005AAA"/>
      </a:solidFill>
      <a:round/>
    </a:ln>
    <a:effectLst/>
  </c:spPr>
  <c:txPr>
    <a:bodyPr/>
    <a:lstStyle/>
    <a:p>
      <a:pPr>
        <a:defRPr lang="zh-CN" sz="1000">
          <a:solidFill>
            <a:schemeClr val="tx1"/>
          </a:solidFill>
          <a:latin typeface="黑体" panose="02010609060101010101" pitchFamily="49" charset="-122"/>
          <a:ea typeface="黑体" panose="02010609060101010101" pitchFamily="49" charset="-122"/>
          <a:cs typeface="Alibaba PuHuiTi 2.0 55 Regular" panose="00020600040101010101" pitchFamily="18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学生个人成绩统计表!$U$5</c:f>
              <c:strCache>
                <c:ptCount val="1"/>
                <c:pt idx="0">
                  <c:v>总分</c:v>
                </c:pt>
              </c:strCache>
            </c:strRef>
          </c:tx>
          <c:spPr>
            <a:ln w="19050" cap="rnd" cmpd="sng" algn="ctr">
              <a:solidFill>
                <a:srgbClr val="005AAA"/>
              </a:solidFill>
              <a:round/>
            </a:ln>
            <a:effectLst/>
          </c:spPr>
          <c:marker>
            <c:symbol val="circle"/>
            <c:size val="18"/>
            <c:spPr>
              <a:solidFill>
                <a:srgbClr val="613347">
                  <a:lumMod val="20000"/>
                  <a:lumOff val="80000"/>
                </a:srgbClr>
              </a:solidFill>
              <a:ln w="12700" cmpd="sng">
                <a:solidFill>
                  <a:srgbClr val="005AAA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1000" b="1" i="0" u="none" strike="noStrike" kern="1200" baseline="0">
                    <a:solidFill>
                      <a:srgbClr val="C00000"/>
                    </a:solidFill>
                    <a:latin typeface="黑体" panose="02010609060101010101" pitchFamily="49" charset="-122"/>
                    <a:ea typeface="黑体" panose="02010609060101010101" pitchFamily="49" charset="-122"/>
                    <a:cs typeface="Alibaba PuHuiTi 2.0 55 Regular" panose="00020600040101010101" pitchFamily="18" charset="-122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学生个人成绩统计表!$D$6:$D$9</c:f>
              <c:numCache>
                <c:formatCode>yyyy/m/d</c:formatCode>
                <c:ptCount val="4"/>
                <c:pt idx="0" c:formatCode="yyyy/m/d">
                  <c:v>45975</c:v>
                </c:pt>
                <c:pt idx="1" c:formatCode="yyyy/m/d">
                  <c:v>46003</c:v>
                </c:pt>
                <c:pt idx="2" c:formatCode="yyyy/m/d">
                  <c:v>46030</c:v>
                </c:pt>
                <c:pt idx="3" c:formatCode="yyyy/m/d">
                  <c:v>46108</c:v>
                </c:pt>
              </c:numCache>
            </c:numRef>
          </c:cat>
          <c:val>
            <c:numRef>
              <c:f>学生个人成绩统计表!$U$6:$U$9</c:f>
              <c:numCache>
                <c:formatCode>General;;</c:formatCode>
                <c:ptCount val="4"/>
                <c:pt idx="0">
                  <c:v>617</c:v>
                </c:pt>
                <c:pt idx="1">
                  <c:v>619.5</c:v>
                </c:pt>
                <c:pt idx="2">
                  <c:v>597.5</c:v>
                </c:pt>
                <c:pt idx="3">
                  <c:v>620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32670400"/>
        <c:axId val="732672048"/>
      </c:lineChart>
      <c:catAx>
        <c:axId val="732670400"/>
        <c:scaling>
          <c:orientation val="minMax"/>
        </c:scaling>
        <c:delete val="0"/>
        <c:axPos val="b"/>
        <c:majorGridlines>
          <c:spPr>
            <a:ln w="4826">
              <a:solidFill>
                <a:srgbClr val="005AAA"/>
              </a:solidFill>
              <a:prstDash val="sysDot"/>
            </a:ln>
            <a:effectLst/>
          </c:spPr>
        </c:majorGridlines>
        <c:numFmt formatCode="m/d/yyyy" sourceLinked="1"/>
        <c:majorTickMark val="in"/>
        <c:minorTickMark val="none"/>
        <c:tickLblPos val="nextTo"/>
        <c:spPr>
          <a:noFill/>
          <a:ln w="9525" cap="flat" cmpd="sng" algn="ctr">
            <a:solidFill>
              <a:srgbClr val="005AAA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黑体" panose="02010609060101010101" pitchFamily="49" charset="-122"/>
                <a:ea typeface="黑体" panose="02010609060101010101" pitchFamily="49" charset="-122"/>
                <a:cs typeface="Alibaba PuHuiTi 2.0 55 Regular" panose="00020600040101010101" pitchFamily="18" charset="-122"/>
              </a:defRPr>
            </a:pPr>
          </a:p>
        </c:txPr>
        <c:crossAx val="732672048"/>
        <c:crosses val="autoZero"/>
        <c:auto val="0"/>
        <c:lblAlgn val="ctr"/>
        <c:lblOffset val="100"/>
        <c:noMultiLvlLbl val="0"/>
      </c:catAx>
      <c:valAx>
        <c:axId val="732672048"/>
        <c:scaling>
          <c:orientation val="minMax"/>
        </c:scaling>
        <c:delete val="1"/>
        <c:axPos val="l"/>
        <c:numFmt formatCode="General;;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C00000"/>
                </a:solidFill>
                <a:latin typeface="黑体" panose="02010609060101010101" pitchFamily="49" charset="-122"/>
                <a:ea typeface="黑体" panose="02010609060101010101" pitchFamily="49" charset="-122"/>
                <a:cs typeface="Alibaba PuHuiTi 2.0 55 Regular" panose="00020600040101010101" pitchFamily="18" charset="-122"/>
              </a:defRPr>
            </a:pPr>
          </a:p>
        </c:txPr>
        <c:crossAx val="732670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802285714285714"/>
          <c:y val="0.0277777777777778"/>
          <c:w val="0.155795981452859"/>
          <c:h val="0.0814754098360656"/>
        </c:manualLayout>
      </c:layout>
      <c:overlay val="0"/>
      <c:spPr>
        <a:solidFill>
          <a:srgbClr val="38D7FF">
            <a:lumMod val="20000"/>
            <a:lumOff val="80000"/>
          </a:srgbClr>
        </a:solidFill>
        <a:ln w="4826">
          <a:solidFill>
            <a:srgbClr val="005AAA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rgbClr val="C00000"/>
              </a:solidFill>
              <a:latin typeface="黑体" panose="02010609060101010101" pitchFamily="49" charset="-122"/>
              <a:ea typeface="黑体" panose="02010609060101010101" pitchFamily="49" charset="-122"/>
              <a:cs typeface="Alibaba PuHuiTi 2.0 55 Regular" panose="00020600040101010101" pitchFamily="18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e582fb3-4235-4e83-b4cd-0c34d3d12eb9}"/>
      </c:ext>
    </c:extLst>
  </c:chart>
  <c:spPr>
    <a:noFill/>
    <a:ln w="12700" cap="flat" cmpd="sng" algn="ctr">
      <a:solidFill>
        <a:srgbClr val="005AAA"/>
      </a:solidFill>
      <a:round/>
    </a:ln>
    <a:effectLst/>
  </c:spPr>
  <c:txPr>
    <a:bodyPr/>
    <a:lstStyle/>
    <a:p>
      <a:pPr>
        <a:defRPr lang="zh-CN" sz="1000">
          <a:solidFill>
            <a:srgbClr val="C00000"/>
          </a:solidFill>
          <a:latin typeface="黑体" panose="02010609060101010101" pitchFamily="49" charset="-122"/>
          <a:ea typeface="黑体" panose="02010609060101010101" pitchFamily="49" charset="-122"/>
          <a:cs typeface="Alibaba PuHuiTi 2.0 55 Regular" panose="00020600040101010101" pitchFamily="18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0117083564895347"/>
          <c:y val="0.147512267488303"/>
          <c:w val="0.95955295030888"/>
          <c:h val="0.621255848453726"/>
        </c:manualLayout>
      </c:layout>
      <c:lineChart>
        <c:grouping val="standard"/>
        <c:varyColors val="0"/>
        <c:ser>
          <c:idx val="0"/>
          <c:order val="0"/>
          <c:tx>
            <c:strRef>
              <c:f>学生个人成绩统计表!$V$5</c:f>
              <c:strCache>
                <c:ptCount val="1"/>
                <c:pt idx="0">
                  <c:v>总分校排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rgbClr val="FFDBDD"/>
              </a:solidFill>
              <a:ln w="9525">
                <a:solidFill>
                  <a:srgbClr val="C00000"/>
                </a:solidFill>
              </a:ln>
              <a:effectLst/>
            </c:spPr>
          </c:marker>
          <c:dLbls>
            <c:spPr>
              <a:solidFill>
                <a:srgbClr val="005AAA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bg1"/>
                    </a:solidFill>
                    <a:latin typeface="黑体" panose="02010609060101010101" pitchFamily="49" charset="-122"/>
                    <a:ea typeface="黑体" panose="02010609060101010101" pitchFamily="49" charset="-122"/>
                    <a:cs typeface="Alibaba PuHuiTi 2.0 55 Regular" panose="00020600040101010101" pitchFamily="18" charset="-122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学生个人成绩统计表!$D$6:$D$9</c:f>
              <c:numCache>
                <c:formatCode>yyyy/m/d</c:formatCode>
                <c:ptCount val="4"/>
                <c:pt idx="0" c:formatCode="yyyy/m/d">
                  <c:v>45975</c:v>
                </c:pt>
                <c:pt idx="1" c:formatCode="yyyy/m/d">
                  <c:v>46003</c:v>
                </c:pt>
                <c:pt idx="2" c:formatCode="yyyy/m/d">
                  <c:v>46030</c:v>
                </c:pt>
                <c:pt idx="3" c:formatCode="yyyy/m/d">
                  <c:v>46108</c:v>
                </c:pt>
              </c:numCache>
            </c:numRef>
          </c:cat>
          <c:val>
            <c:numRef>
              <c:f>学生个人成绩统计表!$V$6:$V$9</c:f>
              <c:numCache>
                <c:formatCode>General;;</c:formatCode>
                <c:ptCount val="4"/>
                <c:pt idx="0">
                  <c:v>136</c:v>
                </c:pt>
                <c:pt idx="1">
                  <c:v>107</c:v>
                </c:pt>
                <c:pt idx="2">
                  <c:v>62</c:v>
                </c:pt>
                <c:pt idx="3">
                  <c:v>31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10541" cap="flat" cmpd="sng" algn="ctr">
              <a:solidFill>
                <a:srgbClr val="005AAA"/>
              </a:solidFill>
              <a:prstDash val="sysDot"/>
              <a:round/>
            </a:ln>
            <a:effectLst/>
          </c:spPr>
        </c:dropLines>
        <c:upDownBars>
          <c:gapWidth val="150"/>
          <c:upBars>
            <c:spPr>
              <a:solidFill>
                <a:schemeClr val="lt1"/>
              </a:solidFill>
              <a:ln w="9525">
                <a:solidFill>
                  <a:schemeClr val="tx1">
                    <a:lumMod val="15000"/>
                    <a:lumOff val="85000"/>
                  </a:schemeClr>
                </a:solidFill>
              </a:ln>
              <a:effectLst/>
            </c:spPr>
          </c:upBars>
          <c:downBars>
            <c:spPr>
              <a:solidFill>
                <a:schemeClr val="dk1">
                  <a:lumMod val="65000"/>
                  <a:lumOff val="35000"/>
                </a:schemeClr>
              </a:solidFill>
              <a:ln w="952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</c:downBars>
        </c:upDownBars>
        <c:marker val="1"/>
        <c:smooth val="0"/>
        <c:axId val="1263884047"/>
        <c:axId val="1264355359"/>
      </c:lineChart>
      <c:catAx>
        <c:axId val="1263884047"/>
        <c:scaling>
          <c:orientation val="minMax"/>
        </c:scaling>
        <c:delete val="0"/>
        <c:axPos val="t"/>
        <c:numFmt formatCode="m/d/yyyy" sourceLinked="1"/>
        <c:majorTickMark val="in"/>
        <c:minorTickMark val="none"/>
        <c:tickLblPos val="nextTo"/>
        <c:spPr>
          <a:noFill/>
          <a:ln w="9525" cap="flat" cmpd="sng" algn="ctr">
            <a:solidFill>
              <a:srgbClr val="005AAA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黑体" panose="02010609060101010101" pitchFamily="49" charset="-122"/>
                <a:ea typeface="黑体" panose="02010609060101010101" pitchFamily="49" charset="-122"/>
                <a:cs typeface="Alibaba PuHuiTi 2.0 55 Regular" panose="00020600040101010101" pitchFamily="18" charset="-122"/>
              </a:defRPr>
            </a:pPr>
          </a:p>
        </c:txPr>
        <c:crossAx val="1264355359"/>
        <c:crosses val="autoZero"/>
        <c:auto val="0"/>
        <c:lblAlgn val="ctr"/>
        <c:lblOffset val="0"/>
        <c:tickLblSkip val="1"/>
        <c:noMultiLvlLbl val="0"/>
      </c:catAx>
      <c:valAx>
        <c:axId val="1264355359"/>
        <c:scaling>
          <c:orientation val="maxMin"/>
        </c:scaling>
        <c:delete val="1"/>
        <c:axPos val="l"/>
        <c:numFmt formatCode="General;;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黑体" panose="02010609060101010101" pitchFamily="49" charset="-122"/>
                <a:ea typeface="黑体" panose="02010609060101010101" pitchFamily="49" charset="-122"/>
                <a:cs typeface="Alibaba PuHuiTi 2.0 55 Regular" panose="00020600040101010101" pitchFamily="18" charset="-122"/>
              </a:defRPr>
            </a:pPr>
          </a:p>
        </c:txPr>
        <c:crossAx val="12638840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43373291630664"/>
          <c:y val="0.856158943246848"/>
          <c:w val="0.236459735423335"/>
          <c:h val="0.100374555870003"/>
        </c:manualLayout>
      </c:layout>
      <c:overlay val="0"/>
      <c:spPr>
        <a:solidFill>
          <a:srgbClr val="38D7FF">
            <a:lumMod val="20000"/>
            <a:lumOff val="80000"/>
          </a:srgbClr>
        </a:solidFill>
        <a:ln w="4826">
          <a:solidFill>
            <a:srgbClr val="005AAA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/>
              </a:solidFill>
              <a:latin typeface="黑体" panose="02010609060101010101" pitchFamily="49" charset="-122"/>
              <a:ea typeface="黑体" panose="02010609060101010101" pitchFamily="49" charset="-122"/>
              <a:cs typeface="Alibaba PuHuiTi 2.0 55 Regular" panose="00020600040101010101" pitchFamily="18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d2d55da-cdd8-4d78-af92-02f368620416}"/>
      </c:ext>
    </c:extLst>
  </c:chart>
  <c:spPr>
    <a:noFill/>
    <a:ln w="9525" cap="flat" cmpd="sng" algn="ctr">
      <a:solidFill>
        <a:srgbClr val="005AAA"/>
      </a:solidFill>
      <a:round/>
    </a:ln>
    <a:effectLst/>
  </c:spPr>
  <c:txPr>
    <a:bodyPr/>
    <a:lstStyle/>
    <a:p>
      <a:pPr>
        <a:defRPr lang="zh-CN">
          <a:solidFill>
            <a:schemeClr val="tx1"/>
          </a:solidFill>
          <a:latin typeface="黑体" panose="02010609060101010101" pitchFamily="49" charset="-122"/>
          <a:ea typeface="黑体" panose="02010609060101010101" pitchFamily="49" charset="-122"/>
          <a:cs typeface="Alibaba PuHuiTi 2.0 55 Regular" panose="00020600040101010101" pitchFamily="18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 w="9575">
        <a:solidFill>
          <a:schemeClr val="lt1">
            <a:lumMod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19050" cap="rnd" cmpd="sng" algn="ctr">
        <a:solidFill>
          <a:schemeClr val="phClr">
            <a:shade val="95000"/>
            <a:satMod val="105000"/>
          </a:schemeClr>
        </a:solidFill>
        <a:round/>
      </a:ln>
    </cs:spPr>
  </cs:dataPointLine>
  <cs:dataPointMarker>
    <cs:lnRef idx="0"/>
    <cs:fillRef idx="0"/>
    <cs:effectRef idx="0"/>
    <cs:fontRef idx="minor">
      <a:schemeClr val="dk1"/>
    </cs:fontRef>
    <cs:spPr>
      <a:solidFill>
        <a:schemeClr val="lt1"/>
      </a:solidFill>
    </cs:spPr>
  </cs:dataPointMarker>
  <cs:dataPointMarkerLayout symbol="circle" size="17"/>
  <cs:dataPointWireframe>
    <cs:lnRef idx="0">
      <cs:styleClr val="auto"/>
    </cs:lnRef>
    <cs:fillRef idx="1"/>
    <cs:effectRef idx="0"/>
    <cs:fontRef idx="minor">
      <a:schemeClr val="dk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/>
    </cs:fontRef>
    <cs:defRPr sz="1440" b="0" kern="1200" cap="all" spc="0" baseline="0">
      <a:gradFill>
        <a:gsLst>
          <a:gs pos="0">
            <a:schemeClr val="dk1">
              <a:lumMod val="50000"/>
              <a:lumOff val="50000"/>
            </a:schemeClr>
          </a:gs>
          <a:gs pos="100000">
            <a:schemeClr val="dk1">
              <a:lumMod val="85000"/>
              <a:lumOff val="15000"/>
            </a:schemeClr>
          </a:gs>
        </a:gsLst>
        <a:lin ang="5400000" scaled="0"/>
      </a:gradFill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0</xdr:colOff>
      <xdr:row>16</xdr:row>
      <xdr:rowOff>1</xdr:rowOff>
    </xdr:from>
    <xdr:to>
      <xdr:col>12</xdr:col>
      <xdr:colOff>0</xdr:colOff>
      <xdr:row>18</xdr:row>
      <xdr:rowOff>1</xdr:rowOff>
    </xdr:to>
    <xdr:graphicFrame>
      <xdr:nvGraphicFramePr>
        <xdr:cNvPr id="14" name="图表 13"/>
        <xdr:cNvGraphicFramePr/>
      </xdr:nvGraphicFramePr>
      <xdr:xfrm>
        <a:off x="448945" y="4889500"/>
        <a:ext cx="9940925" cy="1854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6</xdr:row>
      <xdr:rowOff>1</xdr:rowOff>
    </xdr:from>
    <xdr:to>
      <xdr:col>12</xdr:col>
      <xdr:colOff>0</xdr:colOff>
      <xdr:row>14</xdr:row>
      <xdr:rowOff>1</xdr:rowOff>
    </xdr:to>
    <xdr:graphicFrame>
      <xdr:nvGraphicFramePr>
        <xdr:cNvPr id="16" name="图表 15"/>
        <xdr:cNvGraphicFramePr/>
      </xdr:nvGraphicFramePr>
      <xdr:xfrm>
        <a:off x="6966585" y="1587500"/>
        <a:ext cx="3423285" cy="2844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19</xdr:row>
      <xdr:rowOff>0</xdr:rowOff>
    </xdr:from>
    <xdr:to>
      <xdr:col>10</xdr:col>
      <xdr:colOff>0</xdr:colOff>
      <xdr:row>20</xdr:row>
      <xdr:rowOff>0</xdr:rowOff>
    </xdr:to>
    <xdr:graphicFrame>
      <xdr:nvGraphicFramePr>
        <xdr:cNvPr id="17" name="图表 16"/>
        <xdr:cNvGraphicFramePr/>
      </xdr:nvGraphicFramePr>
      <xdr:xfrm>
        <a:off x="448945" y="7099300"/>
        <a:ext cx="6417310" cy="23241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0</xdr:colOff>
      <xdr:row>22</xdr:row>
      <xdr:rowOff>0</xdr:rowOff>
    </xdr:from>
    <xdr:to>
      <xdr:col>10</xdr:col>
      <xdr:colOff>0</xdr:colOff>
      <xdr:row>23</xdr:row>
      <xdr:rowOff>0</xdr:rowOff>
    </xdr:to>
    <xdr:graphicFrame>
      <xdr:nvGraphicFramePr>
        <xdr:cNvPr id="18" name="图表 17"/>
        <xdr:cNvGraphicFramePr/>
      </xdr:nvGraphicFramePr>
      <xdr:xfrm>
        <a:off x="448945" y="9880600"/>
        <a:ext cx="6417310" cy="23241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0</xdr:colOff>
      <xdr:row>19</xdr:row>
      <xdr:rowOff>0</xdr:rowOff>
    </xdr:from>
    <xdr:to>
      <xdr:col>12</xdr:col>
      <xdr:colOff>0</xdr:colOff>
      <xdr:row>20</xdr:row>
      <xdr:rowOff>0</xdr:rowOff>
    </xdr:to>
    <xdr:graphicFrame>
      <xdr:nvGraphicFramePr>
        <xdr:cNvPr id="19" name="图表 18"/>
        <xdr:cNvGraphicFramePr/>
      </xdr:nvGraphicFramePr>
      <xdr:xfrm>
        <a:off x="6966585" y="7099300"/>
        <a:ext cx="3423285" cy="23241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0</xdr:colOff>
      <xdr:row>22</xdr:row>
      <xdr:rowOff>0</xdr:rowOff>
    </xdr:from>
    <xdr:to>
      <xdr:col>12</xdr:col>
      <xdr:colOff>0</xdr:colOff>
      <xdr:row>23</xdr:row>
      <xdr:rowOff>0</xdr:rowOff>
    </xdr:to>
    <xdr:graphicFrame>
      <xdr:nvGraphicFramePr>
        <xdr:cNvPr id="20" name="图表 19"/>
        <xdr:cNvGraphicFramePr/>
      </xdr:nvGraphicFramePr>
      <xdr:xfrm>
        <a:off x="6966585" y="9880600"/>
        <a:ext cx="3423285" cy="23241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17</xdr:col>
      <xdr:colOff>0</xdr:colOff>
      <xdr:row>1</xdr:row>
      <xdr:rowOff>0</xdr:rowOff>
    </xdr:from>
    <xdr:to>
      <xdr:col>18</xdr:col>
      <xdr:colOff>0</xdr:colOff>
      <xdr:row>5</xdr:row>
      <xdr:rowOff>400050</xdr:rowOff>
    </xdr:to>
    <mc:AlternateContent xmlns:mc="http://schemas.openxmlformats.org/markup-compatibility/2006">
      <mc:Choice xmlns:sle15="http://schemas.microsoft.com/office/drawing/2012/slicer" Requires="sle15">
        <xdr:graphicFrame>
          <xdr:nvGraphicFramePr>
            <xdr:cNvPr id="2" name="班型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班型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569575" y="103505"/>
              <a:ext cx="915035" cy="14998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此形状表示切片器。
当前版本不支持切片器，请升级到最新版的WPS。</a:t>
              </a:r>
            </a:p>
          </xdr:txBody>
        </xdr:sp>
      </mc:Fallback>
    </mc:AlternateContent>
    <xdr:clientData/>
  </xdr:twoCellAnchor>
</xdr:wsDr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切片器_班型" sourceName="班型">
  <extLst>
    <x:ext xmlns:x15="http://schemas.microsoft.com/office/spreadsheetml/2010/11/main" uri="{2F2917AC-EB37-4324-AD4E-5DD8C200BD13}">
      <x15:tableSlicerCache tableId="4" column="1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班型" cache="切片器_班型" caption="班型" style="SlicerStyleLight1 2" rowHeight="360000"/>
</slicers>
</file>

<file path=xl/tables/table1.xml><?xml version="1.0" encoding="utf-8"?>
<table xmlns="http://schemas.openxmlformats.org/spreadsheetml/2006/main" id="7" name="表7" displayName="表7" ref="D5:V12" totalsRowCount="1">
  <tableColumns count="19">
    <tableColumn id="2" name="考试日期" dataDxfId="0"/>
    <tableColumn id="24" name="参考人数" dataDxfId="1">
      <calculatedColumnFormula>IF(表7[[#This Row],[考试日期]]="","",COUNTIFS(表成绩单[考试日期],表7[[#This Row],[考试日期]]))</calculatedColumnFormula>
    </tableColumn>
    <tableColumn id="3" name="班级" dataDxfId="2" totalsRowLabel="均分">
      <calculatedColumnFormula>IF(表7[[#This Row],[考试日期]]="","",$F$4)</calculatedColumnFormula>
    </tableColumn>
    <tableColumn id="4" name="语文" dataDxfId="3" totalsRowFunction="average">
      <calculatedColumnFormula array="1">_xlfn.XLOOKUP(表7[[#This Row],[考试日期]]&amp;$Q$4,表成绩单[考试日期]&amp;表成绩单[准考证号],INDIRECT(_xlfn.CONCAT("表成绩单[",G$5,"]")),"",0)</calculatedColumnFormula>
    </tableColumn>
    <tableColumn id="5" name="语文校排" dataDxfId="4" totalsRowFunction="average">
      <calculatedColumnFormula array="1">_xlfn.XLOOKUP(表7[[#This Row],[考试日期]]&amp;$Q$4,表成绩单[考试日期]&amp;表成绩单[准考证号],INDIRECT(_xlfn.CONCAT("表成绩单[",H$5,"]")),"",0)</calculatedColumnFormula>
    </tableColumn>
    <tableColumn id="6" name="数学" dataDxfId="5" totalsRowFunction="average">
      <calculatedColumnFormula array="1">_xlfn.XLOOKUP(表7[[#This Row],[考试日期]]&amp;$Q$4,表成绩单[考试日期]&amp;表成绩单[准考证号],INDIRECT(_xlfn.CONCAT("表成绩单[",I$5,"]")),"",0)</calculatedColumnFormula>
    </tableColumn>
    <tableColumn id="7" name="数学校排" dataDxfId="6" totalsRowFunction="average">
      <calculatedColumnFormula array="1">_xlfn.XLOOKUP(表7[[#This Row],[考试日期]]&amp;$Q$4,表成绩单[考试日期]&amp;表成绩单[准考证号],INDIRECT(_xlfn.CONCAT("表成绩单[",J$5,"]")),"",0)</calculatedColumnFormula>
    </tableColumn>
    <tableColumn id="8" name="英语" dataDxfId="7" totalsRowFunction="average">
      <calculatedColumnFormula array="1">_xlfn.XLOOKUP(表7[[#This Row],[考试日期]]&amp;$Q$4,表成绩单[考试日期]&amp;表成绩单[准考证号],INDIRECT(_xlfn.CONCAT("表成绩单[",K$5,"]")),"",0)</calculatedColumnFormula>
    </tableColumn>
    <tableColumn id="9" name="英语校排" dataDxfId="8" totalsRowFunction="average">
      <calculatedColumnFormula array="1">_xlfn.XLOOKUP(表7[[#This Row],[考试日期]]&amp;$Q$4,表成绩单[考试日期]&amp;表成绩单[准考证号],INDIRECT(_xlfn.CONCAT("表成绩单[",L$5,"]")),"",0)</calculatedColumnFormula>
    </tableColumn>
    <tableColumn id="10" name="物理" dataDxfId="9" totalsRowFunction="average">
      <calculatedColumnFormula array="1">_xlfn.XLOOKUP(表7[[#This Row],[考试日期]]&amp;$Q$4,表成绩单[考试日期]&amp;表成绩单[准考证号],INDIRECT(_xlfn.CONCAT("表成绩单[",M$5,"]")),"",0)</calculatedColumnFormula>
    </tableColumn>
    <tableColumn id="11" name="物理校排" dataDxfId="10" totalsRowFunction="average">
      <calculatedColumnFormula array="1">_xlfn.XLOOKUP(表7[[#This Row],[考试日期]]&amp;$Q$4,表成绩单[考试日期]&amp;表成绩单[准考证号],INDIRECT(_xlfn.CONCAT("表成绩单[",N$5,"]")),"",0)</calculatedColumnFormula>
    </tableColumn>
    <tableColumn id="12" name="化学" dataDxfId="11" totalsRowFunction="average">
      <calculatedColumnFormula array="1">_xlfn.XLOOKUP(表7[[#This Row],[考试日期]]&amp;$Q$4,表成绩单[考试日期]&amp;表成绩单[准考证号],INDIRECT(_xlfn.CONCAT("表成绩单[",O$5,"]")),"",0)</calculatedColumnFormula>
    </tableColumn>
    <tableColumn id="13" name="化学校排" dataDxfId="12" totalsRowFunction="average">
      <calculatedColumnFormula array="1">_xlfn.XLOOKUP(表7[[#This Row],[考试日期]]&amp;$Q$4,表成绩单[考试日期]&amp;表成绩单[准考证号],INDIRECT(_xlfn.CONCAT("表成绩单[",P$5,"]")),"",0)</calculatedColumnFormula>
    </tableColumn>
    <tableColumn id="16" name="政治" dataDxfId="13" totalsRowFunction="average">
      <calculatedColumnFormula array="1">_xlfn.XLOOKUP(表7[[#This Row],[考试日期]]&amp;$Q$4,表成绩单[考试日期]&amp;表成绩单[准考证号],INDIRECT(_xlfn.CONCAT("表成绩单[",Q$5,"]")),"",0)</calculatedColumnFormula>
    </tableColumn>
    <tableColumn id="17" name="政治校排" dataDxfId="14" totalsRowFunction="average">
      <calculatedColumnFormula array="1">_xlfn.XLOOKUP(表7[[#This Row],[考试日期]]&amp;$Q$4,表成绩单[考试日期]&amp;表成绩单[准考证号],INDIRECT(_xlfn.CONCAT("表成绩单[",R$5,"]")),"",0)</calculatedColumnFormula>
    </tableColumn>
    <tableColumn id="18" name="历史" dataDxfId="15" totalsRowFunction="average">
      <calculatedColumnFormula array="1">_xlfn.XLOOKUP(表7[[#This Row],[考试日期]]&amp;$Q$4,表成绩单[考试日期]&amp;表成绩单[准考证号],INDIRECT(_xlfn.CONCAT("表成绩单[",S$5,"]")),"",0)</calculatedColumnFormula>
    </tableColumn>
    <tableColumn id="19" name="历史校排" dataDxfId="16" totalsRowFunction="average">
      <calculatedColumnFormula array="1">_xlfn.XLOOKUP(表7[[#This Row],[考试日期]]&amp;$Q$4,表成绩单[考试日期]&amp;表成绩单[准考证号],INDIRECT(_xlfn.CONCAT("表成绩单[",T$5,"]")),"",0)</calculatedColumnFormula>
    </tableColumn>
    <tableColumn id="22" name="总分" dataDxfId="17" totalsRowFunction="average">
      <calculatedColumnFormula array="1">_xlfn.XLOOKUP(表7[[#This Row],[考试日期]]&amp;$Q$4,表成绩单[考试日期]&amp;表成绩单[准考证号],INDIRECT(_xlfn.CONCAT("表成绩单[",U$5,"]")),"",0)</calculatedColumnFormula>
    </tableColumn>
    <tableColumn id="23" name="总分校排" dataDxfId="18" totalsRowFunction="average">
      <calculatedColumnFormula array="1">_xlfn.XLOOKUP(表7[[#This Row],[考试日期]]&amp;$Q$4,表成绩单[考试日期]&amp;表成绩单[准考证号],INDIRECT(_xlfn.CONCAT("表成绩单[",V$5,"]")),"",0)</calculatedColumnFormula>
    </tableColumn>
  </tableColumns>
  <tableStyleInfo name="TableStyleLight9 2" showFirstColumn="0" showLastColumn="0" showRowStripes="0" showColumnStripes="0"/>
</table>
</file>

<file path=xl/tables/table2.xml><?xml version="1.0" encoding="utf-8"?>
<table xmlns="http://schemas.openxmlformats.org/spreadsheetml/2006/main" id="4" name="表教学质量" displayName="表教学质量" ref="D6:P26" totalsRowCount="1">
  <autoFilter xmlns:etc="http://www.wps.cn/officeDocument/2017/etCustomData" ref="D6:P25" etc:filterBottomFollowUsedRange="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4" name="序号" dataDxfId="19" totalsRowLabel="汇总">
      <calculatedColumnFormula>ROW()-6</calculatedColumnFormula>
    </tableColumn>
    <tableColumn id="2" name="班级" dataDxfId="20" totalsRowFunction="count"/>
    <tableColumn id="1" name="班型" dataDxfId="21"/>
    <tableColumn id="3" name="参考人数" dataDxfId="22" totalsRowFunction="sum">
      <calculatedColumnFormula array="1">COUNT(_xlfn.LET(_xlpm.CJ,INDIRECT(_xlfn.CONCAT("表成绩单[",$F$4,"]")),_xlfn._xlws.FILTER(_xlpm.CJ,(表成绩单[班级]=$E7)*(表成绩单[考试日期]=$I$4))))</calculatedColumnFormula>
    </tableColumn>
    <tableColumn id="10" name="最高分" dataDxfId="23" totalsRowFunction="max">
      <calculatedColumnFormula array="1">IFERROR(MAX(_xlfn.LET(_xlpm.CJ,INDIRECT(_xlfn.CONCAT("表成绩单[",$F$4,"]")),_xlfn._xlws.FILTER(_xlpm.CJ,(表成绩单[班级]=$E7)*(表成绩单[考试日期]=$I$4)))),"")</calculatedColumnFormula>
    </tableColumn>
    <tableColumn id="5" name="平均分" dataDxfId="24" totalsRowFunction="average">
      <calculatedColumnFormula array="1">IFERROR(AVERAGE(_xlfn.LET(_xlpm.CJ,INDIRECT(_xlfn.CONCAT("表成绩单[",$F$4,"]")),_xlfn._xlws.FILTER(_xlpm.CJ,(表成绩单[班级]=$E7)*(表成绩单[考试日期]=$I$4)))),"")</calculatedColumnFormula>
    </tableColumn>
    <tableColumn id="7" name="超均率" dataDxfId="25" totalsRowFunction="custom">
      <calculatedColumnFormula>IFERROR((表教学质量[[#This Row],[平均分]]-表教学质量[[#Totals],[平均分]])/表教学质量[[#Totals],[平均分]],"")</calculatedColumnFormula>
      <totalsRowFormula>_xlfn.STDEV.S(INDIRECT(_xlfn.CONCAT("表成绩单[",$F$4,"]")))</totalsRowFormula>
    </tableColumn>
    <tableColumn id="4" name="优秀人数" dataDxfId="26" totalsRowFunction="sum">
      <calculatedColumnFormula array="1">COUNT(_xlfn.LET(_xlpm.CJ,INDIRECT(_xlfn.CONCAT("表成绩单[",$F$4,"]")),_xlfn._xlws.FILTER(_xlpm.CJ,(表成绩单[班级]=$E7)*(_xlpm.CJ&gt;=$M$4)*(表成绩单[考试日期]=$I$4))))</calculatedColumnFormula>
    </tableColumn>
    <tableColumn id="6" name="优秀率%" dataDxfId="27" totalsRowFunction="custom">
      <calculatedColumnFormula>表教学质量[[#This Row],[优秀人数]]/表教学质量[[#This Row],[参考人数]]</calculatedColumnFormula>
      <totalsRowFormula>表教学质量[[#Totals],[优秀人数]]/表教学质量[[#Totals],[参考人数]]</totalsRowFormula>
    </tableColumn>
    <tableColumn id="16" name="良好人数" dataDxfId="28" totalsRowFunction="sum">
      <calculatedColumnFormula array="1">COUNT(_xlfn.LET(_xlpm.CJ,INDIRECT(_xlfn.CONCAT("表成绩单[",$F$4,"]")),_xlfn._xlws.FILTER(_xlpm.CJ,(表成绩单[班级]=$E7)*(_xlpm.CJ&gt;=$N$4)*(表成绩单[考试日期]=$I$4))))</calculatedColumnFormula>
    </tableColumn>
    <tableColumn id="11" name="良好率%" dataDxfId="29" totalsRowFunction="custom">
      <calculatedColumnFormula>表教学质量[[#This Row],[良好人数]]/表教学质量[[#This Row],[参考人数]]</calculatedColumnFormula>
      <totalsRowFormula>表教学质量[[#Totals],[良好人数]]/表教学质量[[#Totals],[参考人数]]</totalsRowFormula>
    </tableColumn>
    <tableColumn id="9" name="及格人数" dataDxfId="30" totalsRowFunction="sum">
      <calculatedColumnFormula array="1">COUNT(_xlfn.LET(_xlpm.CJ,INDIRECT(_xlfn.CONCAT("表成绩单[",$F$4,"]")),_xlfn._xlws.FILTER(_xlpm.CJ,(表成绩单[班级]=$E7)*(_xlpm.CJ&gt;=$O$4)*(表成绩单[考试日期]=$I$4))))</calculatedColumnFormula>
    </tableColumn>
    <tableColumn id="17" name="及格率%" dataDxfId="31" totalsRowFunction="custom">
      <calculatedColumnFormula>表教学质量[[#This Row],[及格人数]]/表教学质量[[#This Row],[参考人数]]</calculatedColumnFormula>
      <totalsRowFormula>表教学质量[[#Totals],[及格人数]]/表教学质量[[#Totals],[参考人数]]</totalsRowFormula>
    </tableColumn>
  </tableColumns>
  <tableStyleInfo name="TableStyleLight9 2" showFirstColumn="0" showLastColumn="0" showRowStripes="0" showColumnStripes="0"/>
</table>
</file>

<file path=xl/tables/table3.xml><?xml version="1.0" encoding="utf-8"?>
<table xmlns="http://schemas.openxmlformats.org/spreadsheetml/2006/main" id="1" name="表成绩单" displayName="表成绩单" ref="D4:W3205" totalsRowShown="0">
  <sortState ref="D4:W3205">
    <sortCondition ref="H5:H3205" descending="1"/>
  </sortState>
  <tableColumns count="20">
    <tableColumn id="7" name="考试日期" dataDxfId="33"/>
    <tableColumn id="2" name="准考证号" dataDxfId="34"/>
    <tableColumn id="1" name="班级" dataDxfId="35"/>
    <tableColumn id="3" name="姓名" dataDxfId="36"/>
    <tableColumn id="4" name="语文" dataDxfId="37"/>
    <tableColumn id="5" name="数学" dataDxfId="38"/>
    <tableColumn id="6" name="英语" dataDxfId="39"/>
    <tableColumn id="10" name="物理" dataDxfId="40"/>
    <tableColumn id="11" name="化学" dataDxfId="41"/>
    <tableColumn id="8" name="政治" dataDxfId="42"/>
    <tableColumn id="9" name="历史" dataDxfId="43"/>
    <tableColumn id="14" name="总分" dataDxfId="44"/>
    <tableColumn id="13" name="语文校排" dataDxfId="45">
      <calculatedColumnFormula array="1">IF(表成绩单[[#This Row],[语文]]="","",SUMPRODUCT((表成绩单[考试日期]=表成绩单[[#This Row],[考试日期]])*(表成绩单[语文]&lt;9E+307)*(表成绩单[语文]&gt;表成绩单[[#This Row],[语文]]))+1)</calculatedColumnFormula>
    </tableColumn>
    <tableColumn id="15" name="数学校排" dataDxfId="46">
      <calculatedColumnFormula array="1">IF(表成绩单[[#This Row],[语文]]="","",SUMPRODUCT((表成绩单[考试日期]=表成绩单[[#This Row],[考试日期]])*(表成绩单[语文]&lt;9E+307)*(表成绩单[语文]&gt;表成绩单[[#This Row],[语文]]))+1)</calculatedColumnFormula>
    </tableColumn>
    <tableColumn id="16" name="英语校排" dataDxfId="47">
      <calculatedColumnFormula array="1">IF(表成绩单[[#This Row],[语文]]="","",SUMPRODUCT((表成绩单[考试日期]=表成绩单[[#This Row],[考试日期]])*(表成绩单[语文]&lt;9E+307)*(表成绩单[语文]&gt;表成绩单[[#This Row],[语文]]))+1)</calculatedColumnFormula>
    </tableColumn>
    <tableColumn id="17" name="物理校排" dataDxfId="48">
      <calculatedColumnFormula array="1">IF(表成绩单[[#This Row],[语文]]="","",SUMPRODUCT((表成绩单[考试日期]=表成绩单[[#This Row],[考试日期]])*(表成绩单[语文]&lt;9E+307)*(表成绩单[语文]&gt;表成绩单[[#This Row],[语文]]))+1)</calculatedColumnFormula>
    </tableColumn>
    <tableColumn id="18" name="化学校排" dataDxfId="49">
      <calculatedColumnFormula array="1">IF(表成绩单[[#This Row],[语文]]="","",SUMPRODUCT((表成绩单[考试日期]=表成绩单[[#This Row],[考试日期]])*(表成绩单[语文]&lt;9E+307)*(表成绩单[语文]&gt;表成绩单[[#This Row],[语文]]))+1)</calculatedColumnFormula>
    </tableColumn>
    <tableColumn id="20" name="政治校排" dataDxfId="50">
      <calculatedColumnFormula array="1">IF(表成绩单[[#This Row],[语文]]="","",SUMPRODUCT((表成绩单[考试日期]=表成绩单[[#This Row],[考试日期]])*(表成绩单[语文]&lt;9E+307)*(表成绩单[语文]&gt;表成绩单[[#This Row],[语文]]))+1)</calculatedColumnFormula>
    </tableColumn>
    <tableColumn id="21" name="历史校排" dataDxfId="51">
      <calculatedColumnFormula array="1">IF(表成绩单[[#This Row],[语文]]="","",SUMPRODUCT((表成绩单[考试日期]=表成绩单[[#This Row],[考试日期]])*(表成绩单[语文]&lt;9E+307)*(表成绩单[语文]&gt;表成绩单[[#This Row],[语文]]))+1)</calculatedColumnFormula>
    </tableColumn>
    <tableColumn id="23" name="总分校排" dataDxfId="52">
      <calculatedColumnFormula array="1">IF(表成绩单[[#This Row],[语文]]="","",SUMPRODUCT((表成绩单[考试日期]=表成绩单[[#This Row],[考试日期]])*(表成绩单[语文]&lt;9E+307)*(表成绩单[语文]&gt;表成绩单[[#This Row],[语文]]))+1)</calculatedColumnFormula>
    </tableColumn>
  </tableColumns>
  <tableStyleInfo name="TableStyleLight9 2" showFirstColumn="0" showLastColumn="0" showRowStripes="0" showColumnStripes="0"/>
</table>
</file>

<file path=xl/tables/table4.xml><?xml version="1.0" encoding="utf-8"?>
<table xmlns="http://schemas.openxmlformats.org/spreadsheetml/2006/main" id="5" name="表满分成绩" displayName="表满分成绩" ref="D4:H12" totalsRowShown="0">
  <tableColumns count="5">
    <tableColumn id="2" name="科目" dataDxfId="54"/>
    <tableColumn id="3" name="满分" dataDxfId="55"/>
    <tableColumn id="6" name="优秀85%" dataDxfId="56">
      <calculatedColumnFormula>RIGHT(F$4,3)*表满分成绩[[#This Row],[满分]]</calculatedColumnFormula>
    </tableColumn>
    <tableColumn id="1" name="良好80%" dataDxfId="57">
      <calculatedColumnFormula>RIGHT(G$4,3)*表满分成绩[[#This Row],[满分]]</calculatedColumnFormula>
    </tableColumn>
    <tableColumn id="5" name="及格60%" dataDxfId="58">
      <calculatedColumnFormula>RIGHT(H$4,3)*表满分成绩[[#This Row],[满分]]</calculatedColumnFormula>
    </tableColumn>
  </tableColumns>
  <tableStyleInfo name="TableStyleLight9 2" showFirstColumn="0" showLastColumn="0" showRowStripes="0" showColumnStripes="0"/>
</table>
</file>

<file path=xl/theme/theme1.xml><?xml version="1.0" encoding="utf-8"?>
<a:theme xmlns:a="http://schemas.openxmlformats.org/drawingml/2006/main" name="未来医疗">
  <a:themeElements>
    <a:clrScheme name="OfficePLUS">
      <a:dk1>
        <a:srgbClr val="000000"/>
      </a:dk1>
      <a:lt1>
        <a:srgbClr val="FFFFFF"/>
      </a:lt1>
      <a:dk2>
        <a:srgbClr val="778495"/>
      </a:dk2>
      <a:lt2>
        <a:srgbClr val="F0F0F0"/>
      </a:lt2>
      <a:accent1>
        <a:srgbClr val="005AAA"/>
      </a:accent1>
      <a:accent2>
        <a:srgbClr val="38D7FF"/>
      </a:accent2>
      <a:accent3>
        <a:srgbClr val="0E95F3"/>
      </a:accent3>
      <a:accent4>
        <a:srgbClr val="0575D6"/>
      </a:accent4>
      <a:accent5>
        <a:srgbClr val="00396F"/>
      </a:accent5>
      <a:accent6>
        <a:srgbClr val="613347"/>
      </a:accent6>
      <a:hlink>
        <a:srgbClr val="4472C4"/>
      </a:hlink>
      <a:folHlink>
        <a:srgbClr val="BFBFBF"/>
      </a:folHlink>
    </a:clrScheme>
    <a:fontScheme name="OfficePLUS">
      <a:majorFont>
        <a:latin typeface="Arial"/>
        <a:ea typeface="微软雅黑"/>
        <a:cs typeface=""/>
      </a:majorFont>
      <a:minorFont>
        <a:latin typeface="Arial"/>
        <a:ea typeface="微软雅黑"/>
        <a:cs typeface=""/>
      </a:minorFont>
    </a:fontScheme>
    <a:fmtScheme name="OfficePLUS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eme/themeOverride1.xml><?xml version="1.0" encoding="utf-8"?>
<a:themeOverride xmlns:a="http://schemas.openxmlformats.org/drawingml/2006/main">
  <a:clrScheme name="绿色精灵">
    <a:dk1>
      <a:srgbClr val="000000"/>
    </a:dk1>
    <a:lt1>
      <a:srgbClr val="FFFFFF"/>
    </a:lt1>
    <a:dk2>
      <a:srgbClr val="44546A"/>
    </a:dk2>
    <a:lt2>
      <a:srgbClr val="EEFFF7"/>
    </a:lt2>
    <a:accent1>
      <a:srgbClr val="007243"/>
    </a:accent1>
    <a:accent2>
      <a:srgbClr val="009D57"/>
    </a:accent2>
    <a:accent3>
      <a:srgbClr val="B6C82A"/>
    </a:accent3>
    <a:accent4>
      <a:srgbClr val="A33B6A"/>
    </a:accent4>
    <a:accent5>
      <a:srgbClr val="5B9BD5"/>
    </a:accent5>
    <a:accent6>
      <a:srgbClr val="70AD47"/>
    </a:accent6>
    <a:hlink>
      <a:srgbClr val="007243"/>
    </a:hlink>
    <a:folHlink>
      <a:srgbClr val="00A159"/>
    </a:folHlink>
  </a:clrScheme>
  <a:fontScheme name="包裹">
    <a:majorFont>
      <a:latin typeface="Gill Sans MT"/>
      <a:ea typeface=""/>
      <a:cs typeface=""/>
      <a:font script="Grek" typeface="Corbel"/>
      <a:font script="Cyrl" typeface="Corbel"/>
      <a:font script="Jpan" typeface="HGｺﾞｼｯｸE"/>
      <a:font script="Hang" typeface="휴먼매직체"/>
      <a:font script="Hans" typeface="华文中宋"/>
      <a:font script="Hant" typeface="微軟正黑體"/>
      <a:font script="Arab" typeface="Majalla UI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ahoma"/>
      <a:font script="Uigh" typeface="Microsoft Uighur"/>
      <a:font script="Geor" typeface="Sylfaen"/>
    </a:majorFont>
    <a:minorFont>
      <a:latin typeface="Gill Sans MT"/>
      <a:ea typeface=""/>
      <a:cs typeface=""/>
      <a:font script="Grek" typeface="Corbel"/>
      <a:font script="Cyrl" typeface="Corbel"/>
      <a:font script="Jpan" typeface="HGｺﾞｼｯｸE"/>
      <a:font script="Hang" typeface="휴먼매직체"/>
      <a:font script="Hans" typeface="华文中宋"/>
      <a:font script="Hant" typeface="微軟正黑體"/>
      <a:font script="Arab" typeface="Majalla UI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ahoma"/>
      <a:font script="Uigh" typeface="Microsoft Uighur"/>
      <a:font script="Geor" typeface="Sylfaen"/>
    </a:minorFont>
  </a:fontScheme>
  <a:fmtScheme name="包裹">
    <a:fillStyleLst>
      <a:solidFill>
        <a:schemeClr val="phClr"/>
      </a:solidFill>
      <a:gradFill rotWithShape="1">
        <a:gsLst>
          <a:gs pos="0">
            <a:schemeClr val="phClr">
              <a:tint val="80000"/>
              <a:satMod val="107000"/>
              <a:lumMod val="103000"/>
            </a:schemeClr>
          </a:gs>
          <a:gs pos="100000">
            <a:schemeClr val="phClr">
              <a:tint val="82000"/>
              <a:satMod val="109000"/>
              <a:lumMod val="103000"/>
            </a:schemeClr>
          </a:gs>
        </a:gsLst>
        <a:lin ang="5400000" scaled="0"/>
      </a:gradFill>
      <a:gradFill rotWithShape="1">
        <a:gsLst>
          <a:gs pos="0">
            <a:schemeClr val="phClr">
              <a:tint val="97000"/>
              <a:satMod val="100000"/>
              <a:lumMod val="102000"/>
            </a:schemeClr>
          </a:gs>
          <a:gs pos="50000">
            <a:schemeClr val="phClr">
              <a:shade val="100000"/>
              <a:satMod val="103000"/>
              <a:lumMod val="100000"/>
            </a:schemeClr>
          </a:gs>
          <a:gs pos="100000">
            <a:schemeClr val="phClr">
              <a:shade val="93000"/>
              <a:satMod val="110000"/>
              <a:lumMod val="99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</a:ln>
      <a:ln w="12700" cap="flat" cmpd="sng" algn="ctr">
        <a:solidFill>
          <a:schemeClr val="phClr"/>
        </a:solidFill>
        <a:prstDash val="solid"/>
      </a:ln>
      <a:ln w="31750" cap="flat" cmpd="sng" algn="ctr">
        <a:solidFill>
          <a:schemeClr val="phClr"/>
        </a:solidFill>
        <a:prstDash val="solid"/>
      </a:ln>
    </a:lnStyleLst>
    <a:effectStyleLst>
      <a:effectStyle>
        <a:effectLst/>
      </a:effectStyle>
      <a:effectStyle>
        <a:effectLst/>
      </a:effectStyle>
      <a:effectStyle>
        <a:effectLst>
          <a:outerShdw blurRad="55880" dist="15240" dir="5400000" algn="ctr" rotWithShape="0">
            <a:srgbClr val="000000">
              <a:alpha val="45000"/>
            </a:srgbClr>
          </a:outerShdw>
        </a:effectLst>
        <a:scene3d>
          <a:camera prst="orthographicFront">
            <a:rot lat="0" lon="0" rev="0"/>
          </a:camera>
          <a:lightRig rig="brightRoom" dir="tl"/>
        </a:scene3d>
        <a:sp3d prstMaterial="dkEdge">
          <a:bevelT w="0" h="0"/>
        </a:sp3d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7000"/>
              <a:shade val="100000"/>
              <a:satMod val="185000"/>
              <a:lumMod val="120000"/>
            </a:schemeClr>
          </a:gs>
          <a:gs pos="100000">
            <a:schemeClr val="phClr">
              <a:tint val="96000"/>
              <a:shade val="95000"/>
              <a:satMod val="215000"/>
              <a:lumMod val="80000"/>
            </a:schemeClr>
          </a:gs>
        </a:gsLst>
        <a:path path="circle">
          <a:fillToRect l="50000" t="55000" r="125000" b="10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绿色精灵">
    <a:dk1>
      <a:srgbClr val="000000"/>
    </a:dk1>
    <a:lt1>
      <a:srgbClr val="FFFFFF"/>
    </a:lt1>
    <a:dk2>
      <a:srgbClr val="44546A"/>
    </a:dk2>
    <a:lt2>
      <a:srgbClr val="EEFFF7"/>
    </a:lt2>
    <a:accent1>
      <a:srgbClr val="007243"/>
    </a:accent1>
    <a:accent2>
      <a:srgbClr val="009D57"/>
    </a:accent2>
    <a:accent3>
      <a:srgbClr val="B6C82A"/>
    </a:accent3>
    <a:accent4>
      <a:srgbClr val="A33B6A"/>
    </a:accent4>
    <a:accent5>
      <a:srgbClr val="5B9BD5"/>
    </a:accent5>
    <a:accent6>
      <a:srgbClr val="70AD47"/>
    </a:accent6>
    <a:hlink>
      <a:srgbClr val="007243"/>
    </a:hlink>
    <a:folHlink>
      <a:srgbClr val="00A159"/>
    </a:folHlink>
  </a:clrScheme>
  <a:fontScheme name="包裹">
    <a:majorFont>
      <a:latin typeface="Gill Sans MT"/>
      <a:ea typeface=""/>
      <a:cs typeface=""/>
      <a:font script="Grek" typeface="Corbel"/>
      <a:font script="Cyrl" typeface="Corbel"/>
      <a:font script="Jpan" typeface="HGｺﾞｼｯｸE"/>
      <a:font script="Hang" typeface="휴먼매직체"/>
      <a:font script="Hans" typeface="华文中宋"/>
      <a:font script="Hant" typeface="微軟正黑體"/>
      <a:font script="Arab" typeface="Majalla UI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ahoma"/>
      <a:font script="Uigh" typeface="Microsoft Uighur"/>
      <a:font script="Geor" typeface="Sylfaen"/>
    </a:majorFont>
    <a:minorFont>
      <a:latin typeface="Gill Sans MT"/>
      <a:ea typeface=""/>
      <a:cs typeface=""/>
      <a:font script="Grek" typeface="Corbel"/>
      <a:font script="Cyrl" typeface="Corbel"/>
      <a:font script="Jpan" typeface="HGｺﾞｼｯｸE"/>
      <a:font script="Hang" typeface="휴먼매직체"/>
      <a:font script="Hans" typeface="华文中宋"/>
      <a:font script="Hant" typeface="微軟正黑體"/>
      <a:font script="Arab" typeface="Majalla UI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ahoma"/>
      <a:font script="Uigh" typeface="Microsoft Uighur"/>
      <a:font script="Geor" typeface="Sylfaen"/>
    </a:minorFont>
  </a:fontScheme>
  <a:fmtScheme name="包裹">
    <a:fillStyleLst>
      <a:solidFill>
        <a:schemeClr val="phClr"/>
      </a:solidFill>
      <a:gradFill rotWithShape="1">
        <a:gsLst>
          <a:gs pos="0">
            <a:schemeClr val="phClr">
              <a:tint val="80000"/>
              <a:satMod val="107000"/>
              <a:lumMod val="103000"/>
            </a:schemeClr>
          </a:gs>
          <a:gs pos="100000">
            <a:schemeClr val="phClr">
              <a:tint val="82000"/>
              <a:satMod val="109000"/>
              <a:lumMod val="103000"/>
            </a:schemeClr>
          </a:gs>
        </a:gsLst>
        <a:lin ang="5400000" scaled="0"/>
      </a:gradFill>
      <a:gradFill rotWithShape="1">
        <a:gsLst>
          <a:gs pos="0">
            <a:schemeClr val="phClr">
              <a:tint val="97000"/>
              <a:satMod val="100000"/>
              <a:lumMod val="102000"/>
            </a:schemeClr>
          </a:gs>
          <a:gs pos="50000">
            <a:schemeClr val="phClr">
              <a:shade val="100000"/>
              <a:satMod val="103000"/>
              <a:lumMod val="100000"/>
            </a:schemeClr>
          </a:gs>
          <a:gs pos="100000">
            <a:schemeClr val="phClr">
              <a:shade val="93000"/>
              <a:satMod val="110000"/>
              <a:lumMod val="99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</a:ln>
      <a:ln w="12700" cap="flat" cmpd="sng" algn="ctr">
        <a:solidFill>
          <a:schemeClr val="phClr"/>
        </a:solidFill>
        <a:prstDash val="solid"/>
      </a:ln>
      <a:ln w="31750" cap="flat" cmpd="sng" algn="ctr">
        <a:solidFill>
          <a:schemeClr val="phClr"/>
        </a:solidFill>
        <a:prstDash val="solid"/>
      </a:ln>
    </a:lnStyleLst>
    <a:effectStyleLst>
      <a:effectStyle>
        <a:effectLst/>
      </a:effectStyle>
      <a:effectStyle>
        <a:effectLst/>
      </a:effectStyle>
      <a:effectStyle>
        <a:effectLst>
          <a:outerShdw blurRad="55880" dist="15240" dir="5400000" algn="ctr" rotWithShape="0">
            <a:srgbClr val="000000">
              <a:alpha val="45000"/>
            </a:srgbClr>
          </a:outerShdw>
        </a:effectLst>
        <a:scene3d>
          <a:camera prst="orthographicFront">
            <a:rot lat="0" lon="0" rev="0"/>
          </a:camera>
          <a:lightRig rig="brightRoom" dir="tl"/>
        </a:scene3d>
        <a:sp3d prstMaterial="dkEdge">
          <a:bevelT w="0" h="0"/>
        </a:sp3d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7000"/>
              <a:shade val="100000"/>
              <a:satMod val="185000"/>
              <a:lumMod val="120000"/>
            </a:schemeClr>
          </a:gs>
          <a:gs pos="100000">
            <a:schemeClr val="phClr">
              <a:tint val="96000"/>
              <a:shade val="95000"/>
              <a:satMod val="215000"/>
              <a:lumMod val="80000"/>
            </a:schemeClr>
          </a:gs>
        </a:gsLst>
        <a:path path="circle">
          <a:fillToRect l="50000" t="55000" r="125000" b="10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绿色精灵">
    <a:dk1>
      <a:srgbClr val="000000"/>
    </a:dk1>
    <a:lt1>
      <a:srgbClr val="FFFFFF"/>
    </a:lt1>
    <a:dk2>
      <a:srgbClr val="44546A"/>
    </a:dk2>
    <a:lt2>
      <a:srgbClr val="EEFFF7"/>
    </a:lt2>
    <a:accent1>
      <a:srgbClr val="007243"/>
    </a:accent1>
    <a:accent2>
      <a:srgbClr val="009D57"/>
    </a:accent2>
    <a:accent3>
      <a:srgbClr val="B6C82A"/>
    </a:accent3>
    <a:accent4>
      <a:srgbClr val="A33B6A"/>
    </a:accent4>
    <a:accent5>
      <a:srgbClr val="5B9BD5"/>
    </a:accent5>
    <a:accent6>
      <a:srgbClr val="70AD47"/>
    </a:accent6>
    <a:hlink>
      <a:srgbClr val="007243"/>
    </a:hlink>
    <a:folHlink>
      <a:srgbClr val="00A159"/>
    </a:folHlink>
  </a:clrScheme>
  <a:fontScheme name="包裹">
    <a:majorFont>
      <a:latin typeface="Gill Sans MT"/>
      <a:ea typeface=""/>
      <a:cs typeface=""/>
      <a:font script="Grek" typeface="Corbel"/>
      <a:font script="Cyrl" typeface="Corbel"/>
      <a:font script="Jpan" typeface="HGｺﾞｼｯｸE"/>
      <a:font script="Hang" typeface="휴먼매직체"/>
      <a:font script="Hans" typeface="华文中宋"/>
      <a:font script="Hant" typeface="微軟正黑體"/>
      <a:font script="Arab" typeface="Majalla UI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ahoma"/>
      <a:font script="Uigh" typeface="Microsoft Uighur"/>
      <a:font script="Geor" typeface="Sylfaen"/>
    </a:majorFont>
    <a:minorFont>
      <a:latin typeface="Gill Sans MT"/>
      <a:ea typeface=""/>
      <a:cs typeface=""/>
      <a:font script="Grek" typeface="Corbel"/>
      <a:font script="Cyrl" typeface="Corbel"/>
      <a:font script="Jpan" typeface="HGｺﾞｼｯｸE"/>
      <a:font script="Hang" typeface="휴먼매직체"/>
      <a:font script="Hans" typeface="华文中宋"/>
      <a:font script="Hant" typeface="微軟正黑體"/>
      <a:font script="Arab" typeface="Majalla UI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ahoma"/>
      <a:font script="Uigh" typeface="Microsoft Uighur"/>
      <a:font script="Geor" typeface="Sylfaen"/>
    </a:minorFont>
  </a:fontScheme>
  <a:fmtScheme name="包裹">
    <a:fillStyleLst>
      <a:solidFill>
        <a:schemeClr val="phClr"/>
      </a:solidFill>
      <a:gradFill rotWithShape="1">
        <a:gsLst>
          <a:gs pos="0">
            <a:schemeClr val="phClr">
              <a:tint val="80000"/>
              <a:satMod val="107000"/>
              <a:lumMod val="103000"/>
            </a:schemeClr>
          </a:gs>
          <a:gs pos="100000">
            <a:schemeClr val="phClr">
              <a:tint val="82000"/>
              <a:satMod val="109000"/>
              <a:lumMod val="103000"/>
            </a:schemeClr>
          </a:gs>
        </a:gsLst>
        <a:lin ang="5400000" scaled="0"/>
      </a:gradFill>
      <a:gradFill rotWithShape="1">
        <a:gsLst>
          <a:gs pos="0">
            <a:schemeClr val="phClr">
              <a:tint val="97000"/>
              <a:satMod val="100000"/>
              <a:lumMod val="102000"/>
            </a:schemeClr>
          </a:gs>
          <a:gs pos="50000">
            <a:schemeClr val="phClr">
              <a:shade val="100000"/>
              <a:satMod val="103000"/>
              <a:lumMod val="100000"/>
            </a:schemeClr>
          </a:gs>
          <a:gs pos="100000">
            <a:schemeClr val="phClr">
              <a:shade val="93000"/>
              <a:satMod val="110000"/>
              <a:lumMod val="99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</a:ln>
      <a:ln w="12700" cap="flat" cmpd="sng" algn="ctr">
        <a:solidFill>
          <a:schemeClr val="phClr"/>
        </a:solidFill>
        <a:prstDash val="solid"/>
      </a:ln>
      <a:ln w="31750" cap="flat" cmpd="sng" algn="ctr">
        <a:solidFill>
          <a:schemeClr val="phClr"/>
        </a:solidFill>
        <a:prstDash val="solid"/>
      </a:ln>
    </a:lnStyleLst>
    <a:effectStyleLst>
      <a:effectStyle>
        <a:effectLst/>
      </a:effectStyle>
      <a:effectStyle>
        <a:effectLst/>
      </a:effectStyle>
      <a:effectStyle>
        <a:effectLst>
          <a:outerShdw blurRad="55880" dist="15240" dir="5400000" algn="ctr" rotWithShape="0">
            <a:srgbClr val="000000">
              <a:alpha val="45000"/>
            </a:srgbClr>
          </a:outerShdw>
        </a:effectLst>
        <a:scene3d>
          <a:camera prst="orthographicFront">
            <a:rot lat="0" lon="0" rev="0"/>
          </a:camera>
          <a:lightRig rig="brightRoom" dir="tl"/>
        </a:scene3d>
        <a:sp3d prstMaterial="dkEdge">
          <a:bevelT w="0" h="0"/>
        </a:sp3d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7000"/>
              <a:shade val="100000"/>
              <a:satMod val="185000"/>
              <a:lumMod val="120000"/>
            </a:schemeClr>
          </a:gs>
          <a:gs pos="100000">
            <a:schemeClr val="phClr">
              <a:tint val="96000"/>
              <a:shade val="95000"/>
              <a:satMod val="215000"/>
              <a:lumMod val="80000"/>
            </a:schemeClr>
          </a:gs>
        </a:gsLst>
        <a:path path="circle">
          <a:fillToRect l="50000" t="55000" r="125000" b="10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绿色精灵">
    <a:dk1>
      <a:srgbClr val="000000"/>
    </a:dk1>
    <a:lt1>
      <a:srgbClr val="FFFFFF"/>
    </a:lt1>
    <a:dk2>
      <a:srgbClr val="44546A"/>
    </a:dk2>
    <a:lt2>
      <a:srgbClr val="EEFFF7"/>
    </a:lt2>
    <a:accent1>
      <a:srgbClr val="007243"/>
    </a:accent1>
    <a:accent2>
      <a:srgbClr val="009D57"/>
    </a:accent2>
    <a:accent3>
      <a:srgbClr val="B6C82A"/>
    </a:accent3>
    <a:accent4>
      <a:srgbClr val="A33B6A"/>
    </a:accent4>
    <a:accent5>
      <a:srgbClr val="5B9BD5"/>
    </a:accent5>
    <a:accent6>
      <a:srgbClr val="70AD47"/>
    </a:accent6>
    <a:hlink>
      <a:srgbClr val="007243"/>
    </a:hlink>
    <a:folHlink>
      <a:srgbClr val="00A159"/>
    </a:folHlink>
  </a:clrScheme>
  <a:fontScheme name="包裹">
    <a:majorFont>
      <a:latin typeface="Gill Sans MT"/>
      <a:ea typeface=""/>
      <a:cs typeface=""/>
      <a:font script="Grek" typeface="Corbel"/>
      <a:font script="Cyrl" typeface="Corbel"/>
      <a:font script="Jpan" typeface="HGｺﾞｼｯｸE"/>
      <a:font script="Hang" typeface="휴먼매직체"/>
      <a:font script="Hans" typeface="华文中宋"/>
      <a:font script="Hant" typeface="微軟正黑體"/>
      <a:font script="Arab" typeface="Majalla UI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ahoma"/>
      <a:font script="Uigh" typeface="Microsoft Uighur"/>
      <a:font script="Geor" typeface="Sylfaen"/>
    </a:majorFont>
    <a:minorFont>
      <a:latin typeface="Gill Sans MT"/>
      <a:ea typeface=""/>
      <a:cs typeface=""/>
      <a:font script="Grek" typeface="Corbel"/>
      <a:font script="Cyrl" typeface="Corbel"/>
      <a:font script="Jpan" typeface="HGｺﾞｼｯｸE"/>
      <a:font script="Hang" typeface="휴먼매직체"/>
      <a:font script="Hans" typeface="华文中宋"/>
      <a:font script="Hant" typeface="微軟正黑體"/>
      <a:font script="Arab" typeface="Majalla UI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ahoma"/>
      <a:font script="Uigh" typeface="Microsoft Uighur"/>
      <a:font script="Geor" typeface="Sylfaen"/>
    </a:minorFont>
  </a:fontScheme>
  <a:fmtScheme name="包裹">
    <a:fillStyleLst>
      <a:solidFill>
        <a:schemeClr val="phClr"/>
      </a:solidFill>
      <a:gradFill rotWithShape="1">
        <a:gsLst>
          <a:gs pos="0">
            <a:schemeClr val="phClr">
              <a:tint val="80000"/>
              <a:satMod val="107000"/>
              <a:lumMod val="103000"/>
            </a:schemeClr>
          </a:gs>
          <a:gs pos="100000">
            <a:schemeClr val="phClr">
              <a:tint val="82000"/>
              <a:satMod val="109000"/>
              <a:lumMod val="103000"/>
            </a:schemeClr>
          </a:gs>
        </a:gsLst>
        <a:lin ang="5400000" scaled="0"/>
      </a:gradFill>
      <a:gradFill rotWithShape="1">
        <a:gsLst>
          <a:gs pos="0">
            <a:schemeClr val="phClr">
              <a:tint val="97000"/>
              <a:satMod val="100000"/>
              <a:lumMod val="102000"/>
            </a:schemeClr>
          </a:gs>
          <a:gs pos="50000">
            <a:schemeClr val="phClr">
              <a:shade val="100000"/>
              <a:satMod val="103000"/>
              <a:lumMod val="100000"/>
            </a:schemeClr>
          </a:gs>
          <a:gs pos="100000">
            <a:schemeClr val="phClr">
              <a:shade val="93000"/>
              <a:satMod val="110000"/>
              <a:lumMod val="99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</a:ln>
      <a:ln w="12700" cap="flat" cmpd="sng" algn="ctr">
        <a:solidFill>
          <a:schemeClr val="phClr"/>
        </a:solidFill>
        <a:prstDash val="solid"/>
      </a:ln>
      <a:ln w="31750" cap="flat" cmpd="sng" algn="ctr">
        <a:solidFill>
          <a:schemeClr val="phClr"/>
        </a:solidFill>
        <a:prstDash val="solid"/>
      </a:ln>
    </a:lnStyleLst>
    <a:effectStyleLst>
      <a:effectStyle>
        <a:effectLst/>
      </a:effectStyle>
      <a:effectStyle>
        <a:effectLst/>
      </a:effectStyle>
      <a:effectStyle>
        <a:effectLst>
          <a:outerShdw blurRad="55880" dist="15240" dir="5400000" algn="ctr" rotWithShape="0">
            <a:srgbClr val="000000">
              <a:alpha val="45000"/>
            </a:srgbClr>
          </a:outerShdw>
        </a:effectLst>
        <a:scene3d>
          <a:camera prst="orthographicFront">
            <a:rot lat="0" lon="0" rev="0"/>
          </a:camera>
          <a:lightRig rig="brightRoom" dir="tl"/>
        </a:scene3d>
        <a:sp3d prstMaterial="dkEdge">
          <a:bevelT w="0" h="0"/>
        </a:sp3d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7000"/>
              <a:shade val="100000"/>
              <a:satMod val="185000"/>
              <a:lumMod val="120000"/>
            </a:schemeClr>
          </a:gs>
          <a:gs pos="100000">
            <a:schemeClr val="phClr">
              <a:tint val="96000"/>
              <a:shade val="95000"/>
              <a:satMod val="215000"/>
              <a:lumMod val="80000"/>
            </a:schemeClr>
          </a:gs>
        </a:gsLst>
        <a:path path="circle">
          <a:fillToRect l="50000" t="55000" r="125000" b="10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O23"/>
  <sheetViews>
    <sheetView showGridLines="0" workbookViewId="0">
      <pane ySplit="6" topLeftCell="A17" activePane="bottomLeft" state="frozen"/>
      <selection/>
      <selection pane="bottomLeft" activeCell="P20" sqref="P20"/>
    </sheetView>
  </sheetViews>
  <sheetFormatPr defaultColWidth="11.75" defaultRowHeight="13"/>
  <cols>
    <col min="1" max="1" width="1.16" style="2" customWidth="1"/>
    <col min="2" max="2" width="4.75" style="2" customWidth="1"/>
    <col min="3" max="3" width="1.16" style="2" customWidth="1"/>
    <col min="4" max="4" width="12.08" style="2" customWidth="1"/>
    <col min="5" max="10" width="14.83" style="2" customWidth="1"/>
    <col min="11" max="11" width="1.58" style="2" customWidth="1"/>
    <col min="12" max="12" width="53.91" style="2" customWidth="1"/>
    <col min="13" max="13" width="1.58" style="2" customWidth="1"/>
    <col min="14" max="14" width="6.16" style="2" customWidth="1"/>
    <col min="15" max="15" width="28.16" style="2" customWidth="1"/>
    <col min="16" max="16384" width="11.75" style="2"/>
  </cols>
  <sheetData>
    <row r="1" ht="8" customHeight="1"/>
    <row r="2" ht="42" customHeight="1" spans="2:15">
      <c r="B2" s="6"/>
      <c r="D2" s="5" t="str">
        <f>E4&amp;" "&amp;G4&amp;"  学业水平跟踪档案统计与分析"</f>
        <v>九年级19班 刘彧恺  学业水平跟踪档案统计与分析</v>
      </c>
      <c r="E2" s="5"/>
      <c r="F2" s="5"/>
      <c r="G2" s="5"/>
      <c r="H2" s="5"/>
      <c r="I2" s="5"/>
      <c r="J2" s="5"/>
      <c r="K2" s="5"/>
      <c r="L2" s="5"/>
    </row>
    <row r="3" ht="8" customHeight="1" spans="2:15">
      <c r="B3" s="6"/>
    </row>
    <row r="4" ht="31" customHeight="1" spans="2:15">
      <c r="B4" s="6"/>
      <c r="D4" s="90" t="s">
        <v>0</v>
      </c>
      <c r="E4" s="119" t="s">
        <v>1</v>
      </c>
      <c r="F4" s="90" t="s">
        <v>2</v>
      </c>
      <c r="G4" s="92" t="s">
        <v>3</v>
      </c>
      <c r="H4" s="90" t="s">
        <v>4</v>
      </c>
      <c r="I4" s="93">
        <v>46108</v>
      </c>
      <c r="J4" s="94"/>
      <c r="K4" s="95"/>
      <c r="L4" s="96">
        <f>_xlfn.XLOOKUP(G4,表成绩单[姓名],表成绩单[准考证号],"",0)</f>
        <v>19173522</v>
      </c>
    </row>
    <row r="5" ht="8" customHeight="1" spans="2:15">
      <c r="B5" s="6"/>
      <c r="D5" s="29"/>
      <c r="E5" s="29"/>
      <c r="F5" s="29"/>
      <c r="G5" s="29"/>
      <c r="H5" s="29"/>
      <c r="I5" s="97"/>
      <c r="J5" s="29"/>
      <c r="K5" s="29"/>
      <c r="L5" s="29"/>
    </row>
    <row r="6" s="34" customFormat="1" ht="28" customHeight="1" spans="2:15">
      <c r="B6" s="40"/>
      <c r="D6" s="98" t="s">
        <v>5</v>
      </c>
      <c r="E6" s="98" t="s">
        <v>6</v>
      </c>
      <c r="F6" s="98" t="s">
        <v>7</v>
      </c>
      <c r="G6" s="98" t="s">
        <v>8</v>
      </c>
      <c r="H6" s="99" t="s">
        <v>9</v>
      </c>
      <c r="I6" s="98" t="s">
        <v>10</v>
      </c>
      <c r="J6" s="100" t="s">
        <v>11</v>
      </c>
      <c r="L6" s="101" t="s">
        <v>12</v>
      </c>
    </row>
    <row r="7" s="34" customFormat="1" ht="28" customHeight="1" spans="2:15">
      <c r="B7" s="40"/>
      <c r="D7" s="102" t="s">
        <v>13</v>
      </c>
      <c r="E7" s="103">
        <f>_xlfn.XLOOKUP(学生个人成绩分析看板!$D7,表满分成绩[科目],表满分成绩[满分],"",0)</f>
        <v>120</v>
      </c>
      <c r="F7" s="104">
        <f ca="1">IFERROR(_xlfn.MAXIFS(INDIRECT(_xlfn.CONCAT("表成绩单[",$D7,"]")),表成绩单[考试日期],$I$4),"")</f>
        <v>117</v>
      </c>
      <c r="G7" s="105">
        <f ca="1">IFERROR(AVERAGEIFS(INDIRECT(_xlfn.CONCAT("表成绩单[",$D7,"]")),表成绩单[考试日期],$I$4),"")</f>
        <v>93.8762755102041</v>
      </c>
      <c r="H7" s="106" cm="1">
        <f ca="1" t="array" ref="H7">_xlfn.XLOOKUP($I$4&amp;$L$4,表成绩单[考试日期]&amp;表成绩单[准考证号],INDIRECT(_xlfn.CONCAT("表成绩单[",$D7,"]")),"",0)</f>
        <v>109</v>
      </c>
      <c r="I7" s="107">
        <f ca="1">IF(学生个人成绩分析看板!$H7&gt;学生个人成绩分析看板!$G7,1,0)</f>
        <v>1</v>
      </c>
      <c r="J7" s="108" cm="1">
        <f ca="1" t="array" ref="J7">_xlfn.XLOOKUP($I$4&amp;$L$4,表成绩单[考试日期]&amp;表成绩单[准考证号],INDIRECT(_xlfn.CONCAT("表成绩单[",$D7,"校排]")),"",0)</f>
        <v>40</v>
      </c>
      <c r="L7" s="109"/>
      <c r="O7" s="110"/>
    </row>
    <row r="8" s="34" customFormat="1" ht="28" customHeight="1" spans="2:15">
      <c r="B8" s="40"/>
      <c r="D8" s="102" t="s">
        <v>14</v>
      </c>
      <c r="E8" s="103">
        <f>_xlfn.XLOOKUP(学生个人成绩分析看板!$D8,表满分成绩[科目],表满分成绩[满分],"",0)</f>
        <v>120</v>
      </c>
      <c r="F8" s="104">
        <f ca="1">IFERROR(_xlfn.MAXIFS(INDIRECT(_xlfn.CONCAT("表成绩单[",$D8,"]")),表成绩单[考试日期],$I$4),"")</f>
        <v>113</v>
      </c>
      <c r="G8" s="105">
        <f ca="1">IFERROR(AVERAGEIFS(INDIRECT(_xlfn.CONCAT("表成绩单[",$D8,"]")),表成绩单[考试日期],$I$4),"")</f>
        <v>85.765006385696</v>
      </c>
      <c r="H8" s="106" cm="1">
        <f ca="1" t="array" ref="H8">_xlfn.XLOOKUP($I$4&amp;$L$4,表成绩单[考试日期]&amp;表成绩单[准考证号],INDIRECT(_xlfn.CONCAT("表成绩单[",$D8,"]")),"",0)</f>
        <v>111</v>
      </c>
      <c r="I8" s="107">
        <f ca="1">IF(学生个人成绩分析看板!$H8&gt;学生个人成绩分析看板!$G8,1,0)</f>
        <v>1</v>
      </c>
      <c r="J8" s="108" cm="1">
        <f ca="1" t="array" ref="J8">_xlfn.XLOOKUP($I$4&amp;$L$4,表成绩单[考试日期]&amp;表成绩单[准考证号],INDIRECT(_xlfn.CONCAT("表成绩单[",$D8,"校排]")),"",0)</f>
        <v>7</v>
      </c>
      <c r="L8" s="111"/>
    </row>
    <row r="9" s="34" customFormat="1" ht="28" customHeight="1" spans="2:15">
      <c r="B9" s="40"/>
      <c r="D9" s="102" t="s">
        <v>15</v>
      </c>
      <c r="E9" s="103">
        <f>_xlfn.XLOOKUP(学生个人成绩分析看板!$D9,表满分成绩[科目],表满分成绩[满分],"",0)</f>
        <v>90</v>
      </c>
      <c r="F9" s="104">
        <f ca="1">IFERROR(_xlfn.MAXIFS(INDIRECT(_xlfn.CONCAT("表成绩单[",$D9,"]")),表成绩单[考试日期],$I$4),"")</f>
        <v>88.5</v>
      </c>
      <c r="G9" s="105">
        <f ca="1">IFERROR(AVERAGEIFS(INDIRECT(_xlfn.CONCAT("表成绩单[",$D9,"]")),表成绩单[考试日期],$I$4),"")</f>
        <v>71.749362244898</v>
      </c>
      <c r="H9" s="106" cm="1">
        <f ca="1" t="array" ref="H9">_xlfn.XLOOKUP($I$4&amp;$L$4,表成绩单[考试日期]&amp;表成绩单[准考证号],INDIRECT(_xlfn.CONCAT("表成绩单[",$D9,"]")),"",0)</f>
        <v>87.5</v>
      </c>
      <c r="I9" s="107">
        <f ca="1">IF(学生个人成绩分析看板!$H9&gt;学生个人成绩分析看板!$G9,1,0)</f>
        <v>1</v>
      </c>
      <c r="J9" s="108" cm="1">
        <f ca="1" t="array" ref="J9">_xlfn.XLOOKUP($I$4&amp;$L$4,表成绩单[考试日期]&amp;表成绩单[准考证号],INDIRECT(_xlfn.CONCAT("表成绩单[",$D9,"校排]")),"",0)</f>
        <v>6</v>
      </c>
      <c r="L9" s="111"/>
    </row>
    <row r="10" s="34" customFormat="1" ht="28" customHeight="1" spans="2:15">
      <c r="B10" s="40"/>
      <c r="D10" s="102" t="s">
        <v>16</v>
      </c>
      <c r="E10" s="103">
        <f>_xlfn.XLOOKUP(学生个人成绩分析看板!$D10,表满分成绩[科目],表满分成绩[满分],"",0)</f>
        <v>90</v>
      </c>
      <c r="F10" s="104">
        <f ca="1">IFERROR(_xlfn.MAXIFS(INDIRECT(_xlfn.CONCAT("表成绩单[",$D10,"]")),表成绩单[考试日期],$I$4),"")</f>
        <v>90</v>
      </c>
      <c r="G10" s="105">
        <f ca="1">IFERROR(AVERAGEIFS(INDIRECT(_xlfn.CONCAT("表成绩单[",$D10,"]")),表成绩单[考试日期],$I$4),"")</f>
        <v>73.6649681528662</v>
      </c>
      <c r="H10" s="106" cm="1">
        <f ca="1" t="array" ref="H10">_xlfn.XLOOKUP($I$4&amp;$L$4,表成绩单[考试日期]&amp;表成绩单[准考证号],INDIRECT(_xlfn.CONCAT("表成绩单[",$D10,"]")),"",0)</f>
        <v>85</v>
      </c>
      <c r="I10" s="107">
        <f ca="1">IF(学生个人成绩分析看板!$H10&gt;学生个人成绩分析看板!$G10,1,0)</f>
        <v>1</v>
      </c>
      <c r="J10" s="108" cm="1">
        <f ca="1" t="array" ref="J10">_xlfn.XLOOKUP($I$4&amp;$L$4,表成绩单[考试日期]&amp;表成绩单[准考证号],INDIRECT(_xlfn.CONCAT("表成绩单[",$D10,"校排]")),"",0)</f>
        <v>105</v>
      </c>
      <c r="L10" s="111"/>
    </row>
    <row r="11" s="34" customFormat="1" ht="28" customHeight="1" spans="2:15">
      <c r="B11" s="40"/>
      <c r="D11" s="102" t="s">
        <v>17</v>
      </c>
      <c r="E11" s="103">
        <f>_xlfn.XLOOKUP(学生个人成绩分析看板!$D11,表满分成绩[科目],表满分成绩[满分],"",0)</f>
        <v>90</v>
      </c>
      <c r="F11" s="104">
        <f ca="1">IFERROR(_xlfn.MAXIFS(INDIRECT(_xlfn.CONCAT("表成绩单[",$D11,"]")),表成绩单[考试日期],$I$4),"")</f>
        <v>89</v>
      </c>
      <c r="G11" s="105">
        <f ca="1">IFERROR(AVERAGEIFS(INDIRECT(_xlfn.CONCAT("表成绩单[",$D11,"]")),表成绩单[考试日期],$I$4),"")</f>
        <v>62.1528662420382</v>
      </c>
      <c r="H11" s="106" cm="1">
        <f ca="1" t="array" ref="H11">_xlfn.XLOOKUP($I$4&amp;$L$4,表成绩单[考试日期]&amp;表成绩单[准考证号],INDIRECT(_xlfn.CONCAT("表成绩单[",$D11,"]")),"",0)</f>
        <v>85</v>
      </c>
      <c r="I11" s="107">
        <f ca="1">IF(学生个人成绩分析看板!$H11&gt;学生个人成绩分析看板!$G11,1,0)</f>
        <v>1</v>
      </c>
      <c r="J11" s="108" cm="1">
        <f ca="1" t="array" ref="J11">_xlfn.XLOOKUP($I$4&amp;$L$4,表成绩单[考试日期]&amp;表成绩单[准考证号],INDIRECT(_xlfn.CONCAT("表成绩单[",$D11,"校排]")),"",0)</f>
        <v>4</v>
      </c>
      <c r="L11" s="111"/>
    </row>
    <row r="12" s="34" customFormat="1" ht="28" customHeight="1" spans="2:15">
      <c r="B12" s="40"/>
      <c r="D12" s="102" t="s">
        <v>18</v>
      </c>
      <c r="E12" s="103">
        <f>_xlfn.XLOOKUP(学生个人成绩分析看板!$D12,表满分成绩[科目],表满分成绩[满分],"",0)</f>
        <v>90</v>
      </c>
      <c r="F12" s="104">
        <f ca="1">IFERROR(_xlfn.MAXIFS(INDIRECT(_xlfn.CONCAT("表成绩单[",$D12,"]")),表成绩单[考试日期],$I$4),"")</f>
        <v>88</v>
      </c>
      <c r="G12" s="105">
        <f ca="1">IFERROR(AVERAGEIFS(INDIRECT(_xlfn.CONCAT("表成绩单[",$D12,"]")),表成绩单[考试日期],$I$4),"")</f>
        <v>72.4469987228608</v>
      </c>
      <c r="H12" s="106" cm="1">
        <f ca="1" t="array" ref="H12">_xlfn.XLOOKUP($I$4&amp;$L$4,表成绩单[考试日期]&amp;表成绩单[准考证号],INDIRECT(_xlfn.CONCAT("表成绩单[",$D12,"]")),"",0)</f>
        <v>82</v>
      </c>
      <c r="I12" s="107">
        <f ca="1">IF(学生个人成绩分析看板!$H12&gt;学生个人成绩分析看板!$G12,1,0)</f>
        <v>1</v>
      </c>
      <c r="J12" s="108" cm="1">
        <f ca="1" t="array" ref="J12">_xlfn.XLOOKUP($I$4&amp;$L$4,表成绩单[考试日期]&amp;表成绩单[准考证号],INDIRECT(_xlfn.CONCAT("表成绩单[",$D12,"校排]")),"",0)</f>
        <v>45</v>
      </c>
      <c r="L12" s="111"/>
    </row>
    <row r="13" s="34" customFormat="1" ht="28" customHeight="1" spans="2:15">
      <c r="B13" s="40"/>
      <c r="D13" s="102" t="s">
        <v>19</v>
      </c>
      <c r="E13" s="103">
        <f>_xlfn.XLOOKUP(学生个人成绩分析看板!$D13,表满分成绩[科目],表满分成绩[满分],"",0)</f>
        <v>90</v>
      </c>
      <c r="F13" s="104">
        <f ca="1">IFERROR(_xlfn.MAXIFS(INDIRECT(_xlfn.CONCAT("表成绩单[",$D13,"]")),表成绩单[考试日期],$I$4),"")</f>
        <v>88</v>
      </c>
      <c r="G13" s="105">
        <f ca="1">IFERROR(AVERAGEIFS(INDIRECT(_xlfn.CONCAT("表成绩单[",$D13,"]")),表成绩单[考试日期],$I$4),"")</f>
        <v>73.0204342273308</v>
      </c>
      <c r="H13" s="106" cm="1">
        <f ca="1" t="array" ref="H13">_xlfn.XLOOKUP($I$4&amp;$L$4,表成绩单[考试日期]&amp;表成绩单[准考证号],INDIRECT(_xlfn.CONCAT("表成绩单[",$D13,"]")),"",0)</f>
        <v>83</v>
      </c>
      <c r="I13" s="107">
        <f ca="1">IF(学生个人成绩分析看板!$H13&gt;学生个人成绩分析看板!$G13,1,0)</f>
        <v>1</v>
      </c>
      <c r="J13" s="108" cm="1">
        <f ca="1" t="array" ref="J13">_xlfn.XLOOKUP($I$4&amp;$L$4,表成绩单[考试日期]&amp;表成绩单[准考证号],INDIRECT(_xlfn.CONCAT("表成绩单[",$D13,"校排]")),"",0)</f>
        <v>60</v>
      </c>
      <c r="L13" s="111"/>
    </row>
    <row r="14" s="34" customFormat="1" ht="28" customHeight="1" spans="2:15">
      <c r="B14" s="40"/>
      <c r="D14" s="112" t="s">
        <v>20</v>
      </c>
      <c r="E14" s="113">
        <f>SUBTOTAL(109,学生个人成绩分析看板!$E$7:$E$13)</f>
        <v>690</v>
      </c>
      <c r="F14" s="114">
        <f ca="1">SUBTOTAL(109,学生个人成绩分析看板!$F$7:$F$13)</f>
        <v>673.5</v>
      </c>
      <c r="G14" s="115">
        <f ca="1">SUBTOTAL(101,学生个人成绩分析看板!$G$7:$G$13)</f>
        <v>76.0965587836992</v>
      </c>
      <c r="H14" s="114">
        <f ca="1">SUBTOTAL(109,学生个人成绩分析看板!$H$7:$H$13)</f>
        <v>642.5</v>
      </c>
      <c r="I14" s="116">
        <f ca="1">IF(学生个人成绩分析看板!$H$14&gt;学生个人成绩分析看板!$G$14,1,0)</f>
        <v>1</v>
      </c>
      <c r="J14" s="117" cm="1">
        <f ca="1" t="array" ref="J14">_xlfn.XLOOKUP($I$4&amp;$L$4,表成绩单[考试日期]&amp;表成绩单[准考证号],INDIRECT(_xlfn.CONCAT("表成绩单[",$D13,"校排]")),"",0)</f>
        <v>60</v>
      </c>
      <c r="L14" s="111"/>
    </row>
    <row r="15" s="34" customFormat="1" ht="8" customHeight="1" spans="2:15">
      <c r="B15" s="40"/>
    </row>
    <row r="16" s="34" customFormat="1" ht="28" customHeight="1" spans="2:15">
      <c r="B16" s="40"/>
      <c r="D16" s="118" t="s">
        <v>21</v>
      </c>
      <c r="E16" s="118"/>
      <c r="F16" s="118"/>
      <c r="G16" s="118"/>
      <c r="H16" s="118"/>
      <c r="I16" s="118"/>
      <c r="J16" s="118"/>
      <c r="K16" s="118"/>
      <c r="L16" s="118"/>
    </row>
    <row r="17" s="34" customFormat="1" ht="138" customHeight="1" spans="2:12">
      <c r="B17" s="40"/>
      <c r="D17" s="111"/>
      <c r="E17" s="111"/>
      <c r="F17" s="111"/>
      <c r="G17" s="111"/>
      <c r="H17" s="111"/>
      <c r="I17" s="111"/>
      <c r="J17" s="111"/>
      <c r="K17" s="111"/>
      <c r="L17" s="111"/>
    </row>
    <row r="18" s="34" customFormat="1" ht="8" customHeight="1" spans="2:12">
      <c r="B18" s="40"/>
    </row>
    <row r="19" s="34" customFormat="1" ht="28" customHeight="1" spans="2:12">
      <c r="B19" s="40"/>
      <c r="D19" s="118" t="s">
        <v>22</v>
      </c>
      <c r="E19" s="118"/>
      <c r="F19" s="118"/>
      <c r="G19" s="118"/>
      <c r="H19" s="118"/>
      <c r="I19" s="118"/>
      <c r="J19" s="118"/>
      <c r="K19" s="118"/>
      <c r="L19" s="118"/>
    </row>
    <row r="20" s="34" customFormat="1" ht="183" customHeight="1" spans="2:12">
      <c r="B20" s="40"/>
      <c r="D20" s="111"/>
      <c r="E20" s="111"/>
      <c r="F20" s="111"/>
      <c r="G20" s="111"/>
      <c r="H20" s="111"/>
      <c r="I20" s="111"/>
      <c r="J20" s="111"/>
    </row>
    <row r="21" s="34" customFormat="1" ht="8" customHeight="1" spans="2:12">
      <c r="B21" s="40"/>
    </row>
    <row r="22" s="34" customFormat="1" ht="28" customHeight="1" spans="2:12">
      <c r="B22" s="40"/>
      <c r="D22" s="118" t="s">
        <v>23</v>
      </c>
      <c r="E22" s="118"/>
      <c r="F22" s="118"/>
      <c r="G22" s="118"/>
      <c r="H22" s="118"/>
      <c r="I22" s="118"/>
      <c r="J22" s="118"/>
      <c r="K22" s="118"/>
      <c r="L22" s="118"/>
    </row>
    <row r="23" s="34" customFormat="1" ht="183" customHeight="1" spans="2:12">
      <c r="B23" s="40"/>
      <c r="D23" s="111"/>
      <c r="E23" s="111"/>
      <c r="F23" s="111"/>
      <c r="G23" s="111"/>
      <c r="H23" s="111"/>
      <c r="I23" s="111"/>
      <c r="J23" s="111"/>
    </row>
  </sheetData>
  <mergeCells count="9">
    <mergeCell ref="D2:L2"/>
    <mergeCell ref="I4:J4"/>
    <mergeCell ref="D16:L16"/>
    <mergeCell ref="D17:L17"/>
    <mergeCell ref="D19:L19"/>
    <mergeCell ref="D20:J20"/>
    <mergeCell ref="D22:L22"/>
    <mergeCell ref="D23:J23"/>
    <mergeCell ref="L7:L14"/>
  </mergeCells>
  <dataValidations count="3">
    <dataValidation type="list" allowBlank="1" showInputMessage="1" sqref="E4">
      <formula1>各班学生名单!$E$4:$W$4</formula1>
    </dataValidation>
    <dataValidation type="list" allowBlank="1" showInputMessage="1" sqref="G4">
      <formula1>INDIRECT($E$4)</formula1>
    </dataValidation>
    <dataValidation type="list" allowBlank="1" showInputMessage="1" sqref="I4:J4">
      <formula1>科目明细!$J$5:$J$12</formula1>
    </dataValidation>
  </dataValidations>
  <printOptions horizontalCentered="1"/>
  <pageMargins left="0.196850393700787" right="0.196850393700787" top="0.31496062992126" bottom="0.196850393700787" header="0.31496062992126" footer="0.31496062992126"/>
  <pageSetup paperSize="9" scale="60" fitToHeight="0" orientation="portrait"/>
  <headerFooter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239b08a2-093f-4449-94f2-02eba9ef398a}">
            <x14:iconSet iconSet="4Arrows" custom="1" showValue="0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Arrows" iconId="0"/>
              <x14:cfIcon iconSet="3Arrows" iconId="2"/>
            </x14:iconSet>
          </x14:cfRule>
          <xm:sqref>I7:I14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V13"/>
  <sheetViews>
    <sheetView showGridLines="0" tabSelected="1" workbookViewId="0">
      <pane ySplit="5" topLeftCell="A6" activePane="bottomLeft" state="frozen"/>
      <selection/>
      <selection pane="bottomLeft" activeCell="H18" sqref="H18"/>
    </sheetView>
  </sheetViews>
  <sheetFormatPr defaultColWidth="9" defaultRowHeight="13"/>
  <cols>
    <col min="1" max="1" width="1.16" style="2" customWidth="1"/>
    <col min="2" max="2" width="4.75" style="2" customWidth="1"/>
    <col min="3" max="3" width="1.16" style="2" customWidth="1"/>
    <col min="4" max="4" width="14.33" style="2" customWidth="1"/>
    <col min="5" max="5" width="9.66" style="2" customWidth="1"/>
    <col min="6" max="6" width="10.75" style="2" customWidth="1"/>
    <col min="7" max="7" width="8.7" style="13" customWidth="1"/>
    <col min="8" max="8" width="8.8" style="13" customWidth="1"/>
    <col min="9" max="9" width="8.9" style="13" customWidth="1"/>
    <col min="10" max="22" width="7.91" style="13" customWidth="1"/>
    <col min="23" max="16384" width="8.66" style="2"/>
  </cols>
  <sheetData>
    <row r="1" ht="8" customHeight="1"/>
    <row r="2" ht="38" customHeight="1" spans="2:22">
      <c r="B2" s="6"/>
      <c r="D2" s="14" t="str">
        <f>F4&amp;"  "&amp;K4&amp;"  个人成绩统计表"</f>
        <v>九年级11班  罗加薇  个人成绩统计表</v>
      </c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</row>
    <row r="3" ht="8" customHeight="1" spans="2:22">
      <c r="B3" s="6"/>
    </row>
    <row r="4" s="34" customFormat="1" ht="38" customHeight="1" spans="2:22">
      <c r="B4" s="40"/>
      <c r="D4" s="70" t="s">
        <v>24</v>
      </c>
      <c r="E4" s="71"/>
      <c r="F4" s="72" t="s">
        <v>25</v>
      </c>
      <c r="G4" s="73"/>
      <c r="H4" s="74" t="s">
        <v>26</v>
      </c>
      <c r="I4" s="74"/>
      <c r="J4" s="74"/>
      <c r="K4" s="75" t="s">
        <v>27</v>
      </c>
      <c r="L4" s="76"/>
      <c r="M4" s="76"/>
      <c r="N4" s="74" t="s">
        <v>28</v>
      </c>
      <c r="O4" s="74"/>
      <c r="P4" s="74"/>
      <c r="Q4" s="77">
        <f>_xlfn.XLOOKUP(K4,表成绩单[姓名],表成绩单[准考证号],"",0)</f>
        <v>19178630</v>
      </c>
      <c r="R4" s="78"/>
      <c r="S4" s="78"/>
      <c r="T4" s="78"/>
      <c r="U4" s="78"/>
      <c r="V4" s="79"/>
    </row>
    <row r="5" ht="28" customHeight="1" spans="2:22">
      <c r="B5" s="6"/>
      <c r="D5" s="80" t="s">
        <v>4</v>
      </c>
      <c r="E5" s="80" t="s">
        <v>29</v>
      </c>
      <c r="F5" s="80" t="s">
        <v>0</v>
      </c>
      <c r="G5" s="80" t="s">
        <v>13</v>
      </c>
      <c r="H5" s="81" t="s">
        <v>30</v>
      </c>
      <c r="I5" s="80" t="s">
        <v>14</v>
      </c>
      <c r="J5" s="81" t="s">
        <v>31</v>
      </c>
      <c r="K5" s="80" t="s">
        <v>15</v>
      </c>
      <c r="L5" s="81" t="s">
        <v>32</v>
      </c>
      <c r="M5" s="80" t="s">
        <v>16</v>
      </c>
      <c r="N5" s="81" t="s">
        <v>33</v>
      </c>
      <c r="O5" s="80" t="s">
        <v>17</v>
      </c>
      <c r="P5" s="81" t="s">
        <v>34</v>
      </c>
      <c r="Q5" s="80" t="s">
        <v>18</v>
      </c>
      <c r="R5" s="81" t="s">
        <v>35</v>
      </c>
      <c r="S5" s="80" t="s">
        <v>19</v>
      </c>
      <c r="T5" s="81" t="s">
        <v>36</v>
      </c>
      <c r="U5" s="80" t="s">
        <v>20</v>
      </c>
      <c r="V5" s="81" t="s">
        <v>37</v>
      </c>
    </row>
    <row r="6" ht="28" customHeight="1" spans="2:22">
      <c r="B6" s="6"/>
      <c r="D6" s="31">
        <v>45975</v>
      </c>
      <c r="E6" s="29">
        <f>IF(表7[[#This Row],[考试日期]]="","",COUNTIFS(表成绩单[考试日期],表7[[#This Row],[考试日期]]))</f>
        <v>801</v>
      </c>
      <c r="F6" s="82" t="str">
        <f>IF(表7[[#This Row],[考试日期]]="","",$F$4)</f>
        <v>九年级11班</v>
      </c>
      <c r="G6" s="83" cm="1">
        <f ca="1" t="array" ref="G6">_xlfn.XLOOKUP(表7[[#This Row],[考试日期]]&amp;$Q$4,表成绩单[考试日期]&amp;表成绩单[准考证号],INDIRECT(_xlfn.CONCAT("表成绩单[",G$5,"]")),"",0)</f>
        <v>104</v>
      </c>
      <c r="H6" s="83" cm="1">
        <f ca="1" t="array" ref="H6">_xlfn.XLOOKUP(表7[[#This Row],[考试日期]]&amp;$Q$4,表成绩单[考试日期]&amp;表成绩单[准考证号],INDIRECT(_xlfn.CONCAT("表成绩单[",H$5,"]")),"",0)</f>
        <v>104</v>
      </c>
      <c r="I6" s="83" cm="1">
        <f ca="1" t="array" ref="I6">_xlfn.XLOOKUP(表7[[#This Row],[考试日期]]&amp;$Q$4,表成绩单[考试日期]&amp;表成绩单[准考证号],INDIRECT(_xlfn.CONCAT("表成绩单[",I$5,"]")),"",0)</f>
        <v>109</v>
      </c>
      <c r="J6" s="83" cm="1">
        <f ca="1" t="array" ref="J6">_xlfn.XLOOKUP(表7[[#This Row],[考试日期]]&amp;$Q$4,表成绩单[考试日期]&amp;表成绩单[准考证号],INDIRECT(_xlfn.CONCAT("表成绩单[",J$5,"]")),"",0)</f>
        <v>165</v>
      </c>
      <c r="K6" s="83" cm="1">
        <f ca="1" t="array" ref="K6">_xlfn.XLOOKUP(表7[[#This Row],[考试日期]]&amp;$Q$4,表成绩单[考试日期]&amp;表成绩单[准考证号],INDIRECT(_xlfn.CONCAT("表成绩单[",K$5,"]")),"",0)</f>
        <v>81</v>
      </c>
      <c r="L6" s="83" cm="1">
        <f ca="1" t="array" ref="L6">_xlfn.XLOOKUP(表7[[#This Row],[考试日期]]&amp;$Q$4,表成绩单[考试日期]&amp;表成绩单[准考证号],INDIRECT(_xlfn.CONCAT("表成绩单[",L$5,"]")),"",0)</f>
        <v>241</v>
      </c>
      <c r="M6" s="83" cm="1">
        <f ca="1" t="array" ref="M6">_xlfn.XLOOKUP(表7[[#This Row],[考试日期]]&amp;$Q$4,表成绩单[考试日期]&amp;表成绩单[准考证号],INDIRECT(_xlfn.CONCAT("表成绩单[",M$5,"]")),"",0)</f>
        <v>85</v>
      </c>
      <c r="N6" s="83" cm="1">
        <f ca="1" t="array" ref="N6">_xlfn.XLOOKUP(表7[[#This Row],[考试日期]]&amp;$Q$4,表成绩单[考试日期]&amp;表成绩单[准考证号],INDIRECT(_xlfn.CONCAT("表成绩单[",N$5,"]")),"",0)</f>
        <v>263</v>
      </c>
      <c r="O6" s="83" cm="1">
        <f ca="1" t="array" ref="O6">_xlfn.XLOOKUP(表7[[#This Row],[考试日期]]&amp;$Q$4,表成绩单[考试日期]&amp;表成绩单[准考证号],INDIRECT(_xlfn.CONCAT("表成绩单[",O$5,"]")),"",0)</f>
        <v>77</v>
      </c>
      <c r="P6" s="83" cm="1">
        <f ca="1" t="array" ref="P6">_xlfn.XLOOKUP(表7[[#This Row],[考试日期]]&amp;$Q$4,表成绩单[考试日期]&amp;表成绩单[准考证号],INDIRECT(_xlfn.CONCAT("表成绩单[",P$5,"]")),"",0)</f>
        <v>239</v>
      </c>
      <c r="Q6" s="83" cm="1">
        <f ca="1" t="array" ref="Q6">_xlfn.XLOOKUP(表7[[#This Row],[考试日期]]&amp;$Q$4,表成绩单[考试日期]&amp;表成绩单[准考证号],INDIRECT(_xlfn.CONCAT("表成绩单[",Q$5,"]")),"",0)</f>
        <v>82</v>
      </c>
      <c r="R6" s="83" cm="1">
        <f ca="1" t="array" ref="R6">_xlfn.XLOOKUP(表7[[#This Row],[考试日期]]&amp;$Q$4,表成绩单[考试日期]&amp;表成绩单[准考证号],INDIRECT(_xlfn.CONCAT("表成绩单[",R$5,"]")),"",0)</f>
        <v>157</v>
      </c>
      <c r="S6" s="83" cm="1">
        <f ca="1" t="array" ref="S6">_xlfn.XLOOKUP(表7[[#This Row],[考试日期]]&amp;$Q$4,表成绩单[考试日期]&amp;表成绩单[准考证号],INDIRECT(_xlfn.CONCAT("表成绩单[",S$5,"]")),"",0)</f>
        <v>79</v>
      </c>
      <c r="T6" s="83" cm="1">
        <f ca="1" t="array" ref="T6">_xlfn.XLOOKUP(表7[[#This Row],[考试日期]]&amp;$Q$4,表成绩单[考试日期]&amp;表成绩单[准考证号],INDIRECT(_xlfn.CONCAT("表成绩单[",T$5,"]")),"",0)</f>
        <v>144</v>
      </c>
      <c r="U6" s="84" cm="1">
        <f ca="1" t="array" ref="U6">_xlfn.XLOOKUP(表7[[#This Row],[考试日期]]&amp;$Q$4,表成绩单[考试日期]&amp;表成绩单[准考证号],INDIRECT(_xlfn.CONCAT("表成绩单[",U$5,"]")),"",0)</f>
        <v>617</v>
      </c>
      <c r="V6" s="83" cm="1">
        <f ca="1" t="array" ref="V6">_xlfn.XLOOKUP(表7[[#This Row],[考试日期]]&amp;$Q$4,表成绩单[考试日期]&amp;表成绩单[准考证号],INDIRECT(_xlfn.CONCAT("表成绩单[",V$5,"]")),"",0)</f>
        <v>136</v>
      </c>
    </row>
    <row r="7" ht="28" customHeight="1" spans="2:22">
      <c r="B7" s="6"/>
      <c r="D7" s="31">
        <v>46003</v>
      </c>
      <c r="E7" s="29">
        <f>IF(表7[[#This Row],[考试日期]]="","",COUNTIFS(表成绩单[考试日期],表7[[#This Row],[考试日期]]))</f>
        <v>801</v>
      </c>
      <c r="F7" s="82" t="str">
        <f>IF(表7[[#This Row],[考试日期]]="","",$F$4)</f>
        <v>九年级11班</v>
      </c>
      <c r="G7" s="83" cm="1">
        <f ca="1" t="array" ref="G7">_xlfn.XLOOKUP(表7[[#This Row],[考试日期]]&amp;$Q$4,表成绩单[考试日期]&amp;表成绩单[准考证号],INDIRECT(_xlfn.CONCAT("表成绩单[",G$5,"]")),"",0)</f>
        <v>106</v>
      </c>
      <c r="H7" s="83" cm="1">
        <f ca="1" t="array" ref="H7">_xlfn.XLOOKUP(表7[[#This Row],[考试日期]]&amp;$Q$4,表成绩单[考试日期]&amp;表成绩单[准考证号],INDIRECT(_xlfn.CONCAT("表成绩单[",H$5,"]")),"",0)</f>
        <v>210</v>
      </c>
      <c r="I7" s="83" cm="1">
        <f ca="1" t="array" ref="I7">_xlfn.XLOOKUP(表7[[#This Row],[考试日期]]&amp;$Q$4,表成绩单[考试日期]&amp;表成绩单[准考证号],INDIRECT(_xlfn.CONCAT("表成绩单[",I$5,"]")),"",0)</f>
        <v>87</v>
      </c>
      <c r="J7" s="83" cm="1">
        <f ca="1" t="array" ref="J7">_xlfn.XLOOKUP(表7[[#This Row],[考试日期]]&amp;$Q$4,表成绩单[考试日期]&amp;表成绩单[准考证号],INDIRECT(_xlfn.CONCAT("表成绩单[",J$5,"]")),"",0)</f>
        <v>223</v>
      </c>
      <c r="K7" s="83" cm="1">
        <f ca="1" t="array" ref="K7">_xlfn.XLOOKUP(表7[[#This Row],[考试日期]]&amp;$Q$4,表成绩单[考试日期]&amp;表成绩单[准考证号],INDIRECT(_xlfn.CONCAT("表成绩单[",K$5,"]")),"",0)</f>
        <v>84.5</v>
      </c>
      <c r="L7" s="83" cm="1">
        <f ca="1" t="array" ref="L7">_xlfn.XLOOKUP(表7[[#This Row],[考试日期]]&amp;$Q$4,表成绩单[考试日期]&amp;表成绩单[准考证号],INDIRECT(_xlfn.CONCAT("表成绩单[",L$5,"]")),"",0)</f>
        <v>37</v>
      </c>
      <c r="M7" s="83" cm="1">
        <f ca="1" t="array" ref="M7">_xlfn.XLOOKUP(表7[[#This Row],[考试日期]]&amp;$Q$4,表成绩单[考试日期]&amp;表成绩单[准考证号],INDIRECT(_xlfn.CONCAT("表成绩单[",M$5,"]")),"",0)</f>
        <v>94</v>
      </c>
      <c r="N7" s="83" cm="1">
        <f ca="1" t="array" ref="N7">_xlfn.XLOOKUP(表7[[#This Row],[考试日期]]&amp;$Q$4,表成绩单[考试日期]&amp;表成绩单[准考证号],INDIRECT(_xlfn.CONCAT("表成绩单[",N$5,"]")),"",0)</f>
        <v>125</v>
      </c>
      <c r="O7" s="83" cm="1">
        <f ca="1" t="array" ref="O7">_xlfn.XLOOKUP(表7[[#This Row],[考试日期]]&amp;$Q$4,表成绩单[考试日期]&amp;表成绩单[准考证号],INDIRECT(_xlfn.CONCAT("表成绩单[",O$5,"]")),"",0)</f>
        <v>90</v>
      </c>
      <c r="P7" s="83" cm="1">
        <f ca="1" t="array" ref="P7">_xlfn.XLOOKUP(表7[[#This Row],[考试日期]]&amp;$Q$4,表成绩单[考试日期]&amp;表成绩单[准考证号],INDIRECT(_xlfn.CONCAT("表成绩单[",P$5,"]")),"",0)</f>
        <v>140</v>
      </c>
      <c r="Q7" s="83" cm="1">
        <f ca="1" t="array" ref="Q7">_xlfn.XLOOKUP(表7[[#This Row],[考试日期]]&amp;$Q$4,表成绩单[考试日期]&amp;表成绩单[准考证号],INDIRECT(_xlfn.CONCAT("表成绩单[",Q$5,"]")),"",0)</f>
        <v>74</v>
      </c>
      <c r="R7" s="83" cm="1">
        <f ca="1" t="array" ref="R7">_xlfn.XLOOKUP(表7[[#This Row],[考试日期]]&amp;$Q$4,表成绩单[考试日期]&amp;表成绩单[准考证号],INDIRECT(_xlfn.CONCAT("表成绩单[",R$5,"]")),"",0)</f>
        <v>121</v>
      </c>
      <c r="S7" s="83" cm="1">
        <f ca="1" t="array" ref="S7">_xlfn.XLOOKUP(表7[[#This Row],[考试日期]]&amp;$Q$4,表成绩单[考试日期]&amp;表成绩单[准考证号],INDIRECT(_xlfn.CONCAT("表成绩单[",S$5,"]")),"",0)</f>
        <v>84</v>
      </c>
      <c r="T7" s="83" cm="1">
        <f ca="1" t="array" ref="T7">_xlfn.XLOOKUP(表7[[#This Row],[考试日期]]&amp;$Q$4,表成绩单[考试日期]&amp;表成绩单[准考证号],INDIRECT(_xlfn.CONCAT("表成绩单[",T$5,"]")),"",0)</f>
        <v>30</v>
      </c>
      <c r="U7" s="84" cm="1">
        <f ca="1" t="array" ref="U7">_xlfn.XLOOKUP(表7[[#This Row],[考试日期]]&amp;$Q$4,表成绩单[考试日期]&amp;表成绩单[准考证号],INDIRECT(_xlfn.CONCAT("表成绩单[",U$5,"]")),"",0)</f>
        <v>619.5</v>
      </c>
      <c r="V7" s="83" cm="1">
        <f ca="1" t="array" ref="V7">_xlfn.XLOOKUP(表7[[#This Row],[考试日期]]&amp;$Q$4,表成绩单[考试日期]&amp;表成绩单[准考证号],INDIRECT(_xlfn.CONCAT("表成绩单[",V$5,"]")),"",0)</f>
        <v>107</v>
      </c>
    </row>
    <row r="8" ht="28" customHeight="1" spans="2:22">
      <c r="B8" s="6"/>
      <c r="D8" s="31">
        <v>46030</v>
      </c>
      <c r="E8" s="29">
        <f>IF(表7[[#This Row],[考试日期]]="","",COUNTIFS(表成绩单[考试日期],表7[[#This Row],[考试日期]]))</f>
        <v>801</v>
      </c>
      <c r="F8" s="82" t="str">
        <f>IF(表7[[#This Row],[考试日期]]="","",$F$4)</f>
        <v>九年级11班</v>
      </c>
      <c r="G8" s="83" cm="1">
        <f ca="1" t="array" ref="G8">_xlfn.XLOOKUP(表7[[#This Row],[考试日期]]&amp;$Q$4,表成绩单[考试日期]&amp;表成绩单[准考证号],INDIRECT(_xlfn.CONCAT("表成绩单[",G$5,"]")),"",0)</f>
        <v>102</v>
      </c>
      <c r="H8" s="83" cm="1">
        <f ca="1" t="array" ref="H8">_xlfn.XLOOKUP(表7[[#This Row],[考试日期]]&amp;$Q$4,表成绩单[考试日期]&amp;表成绩单[准考证号],INDIRECT(_xlfn.CONCAT("表成绩单[",H$5,"]")),"",0)</f>
        <v>132</v>
      </c>
      <c r="I8" s="83" cm="1">
        <f ca="1" t="array" ref="I8">_xlfn.XLOOKUP(表7[[#This Row],[考试日期]]&amp;$Q$4,表成绩单[考试日期]&amp;表成绩单[准考证号],INDIRECT(_xlfn.CONCAT("表成绩单[",I$5,"]")),"",0)</f>
        <v>102</v>
      </c>
      <c r="J8" s="83" cm="1">
        <f ca="1" t="array" ref="J8">_xlfn.XLOOKUP(表7[[#This Row],[考试日期]]&amp;$Q$4,表成绩单[考试日期]&amp;表成绩单[准考证号],INDIRECT(_xlfn.CONCAT("表成绩单[",J$5,"]")),"",0)</f>
        <v>95</v>
      </c>
      <c r="K8" s="83" cm="1">
        <f ca="1" t="array" ref="K8">_xlfn.XLOOKUP(表7[[#This Row],[考试日期]]&amp;$Q$4,表成绩单[考试日期]&amp;表成绩单[准考证号],INDIRECT(_xlfn.CONCAT("表成绩单[",K$5,"]")),"",0)</f>
        <v>76.5</v>
      </c>
      <c r="L8" s="83" cm="1">
        <f ca="1" t="array" ref="L8">_xlfn.XLOOKUP(表7[[#This Row],[考试日期]]&amp;$Q$4,表成绩单[考试日期]&amp;表成绩单[准考证号],INDIRECT(_xlfn.CONCAT("表成绩单[",L$5,"]")),"",0)</f>
        <v>120</v>
      </c>
      <c r="M8" s="83" cm="1">
        <f ca="1" t="array" ref="M8">_xlfn.XLOOKUP(表7[[#This Row],[考试日期]]&amp;$Q$4,表成绩单[考试日期]&amp;表成绩单[准考证号],INDIRECT(_xlfn.CONCAT("表成绩单[",M$5,"]")),"",0)</f>
        <v>79</v>
      </c>
      <c r="N8" s="83" cm="1">
        <f ca="1" t="array" ref="N8">_xlfn.XLOOKUP(表7[[#This Row],[考试日期]]&amp;$Q$4,表成绩单[考试日期]&amp;表成绩单[准考证号],INDIRECT(_xlfn.CONCAT("表成绩单[",N$5,"]")),"",0)</f>
        <v>153</v>
      </c>
      <c r="O8" s="83" cm="1">
        <f ca="1" t="array" ref="O8">_xlfn.XLOOKUP(表7[[#This Row],[考试日期]]&amp;$Q$4,表成绩单[考试日期]&amp;表成绩单[准考证号],INDIRECT(_xlfn.CONCAT("表成绩单[",O$5,"]")),"",0)</f>
        <v>81</v>
      </c>
      <c r="P8" s="83" cm="1">
        <f ca="1" t="array" ref="P8">_xlfn.XLOOKUP(表7[[#This Row],[考试日期]]&amp;$Q$4,表成绩单[考试日期]&amp;表成绩单[准考证号],INDIRECT(_xlfn.CONCAT("表成绩单[",P$5,"]")),"",0)</f>
        <v>43</v>
      </c>
      <c r="Q8" s="83" cm="1">
        <f ca="1" t="array" ref="Q8">_xlfn.XLOOKUP(表7[[#This Row],[考试日期]]&amp;$Q$4,表成绩单[考试日期]&amp;表成绩单[准考证号],INDIRECT(_xlfn.CONCAT("表成绩单[",Q$5,"]")),"",0)</f>
        <v>81</v>
      </c>
      <c r="R8" s="83" cm="1">
        <f ca="1" t="array" ref="R8">_xlfn.XLOOKUP(表7[[#This Row],[考试日期]]&amp;$Q$4,表成绩单[考试日期]&amp;表成绩单[准考证号],INDIRECT(_xlfn.CONCAT("表成绩单[",R$5,"]")),"",0)</f>
        <v>18</v>
      </c>
      <c r="S8" s="83" cm="1">
        <f ca="1" t="array" ref="S8">_xlfn.XLOOKUP(表7[[#This Row],[考试日期]]&amp;$Q$4,表成绩单[考试日期]&amp;表成绩单[准考证号],INDIRECT(_xlfn.CONCAT("表成绩单[",S$5,"]")),"",0)</f>
        <v>76</v>
      </c>
      <c r="T8" s="83" cm="1">
        <f ca="1" t="array" ref="T8">_xlfn.XLOOKUP(表7[[#This Row],[考试日期]]&amp;$Q$4,表成绩单[考试日期]&amp;表成绩单[准考证号],INDIRECT(_xlfn.CONCAT("表成绩单[",T$5,"]")),"",0)</f>
        <v>169</v>
      </c>
      <c r="U8" s="84" cm="1">
        <f ca="1" t="array" ref="U8">_xlfn.XLOOKUP(表7[[#This Row],[考试日期]]&amp;$Q$4,表成绩单[考试日期]&amp;表成绩单[准考证号],INDIRECT(_xlfn.CONCAT("表成绩单[",U$5,"]")),"",0)</f>
        <v>597.5</v>
      </c>
      <c r="V8" s="83" cm="1">
        <f ca="1" t="array" ref="V8">_xlfn.XLOOKUP(表7[[#This Row],[考试日期]]&amp;$Q$4,表成绩单[考试日期]&amp;表成绩单[准考证号],INDIRECT(_xlfn.CONCAT("表成绩单[",V$5,"]")),"",0)</f>
        <v>62</v>
      </c>
    </row>
    <row r="9" ht="28" customHeight="1" spans="2:22">
      <c r="B9" s="6"/>
      <c r="D9" s="31">
        <v>46108</v>
      </c>
      <c r="E9" s="29">
        <f>IF(表7[[#This Row],[考试日期]]="","",COUNTIFS(表成绩单[考试日期],表7[[#This Row],[考试日期]]))</f>
        <v>798</v>
      </c>
      <c r="F9" s="82" t="str">
        <f>IF(表7[[#This Row],[考试日期]]="","",$F$4)</f>
        <v>九年级11班</v>
      </c>
      <c r="G9" s="83" cm="1">
        <f ca="1" t="array" ref="G9">_xlfn.XLOOKUP(表7[[#This Row],[考试日期]]&amp;$Q$4,表成绩单[考试日期]&amp;表成绩单[准考证号],INDIRECT(_xlfn.CONCAT("表成绩单[",G$5,"]")),"",0)</f>
        <v>104</v>
      </c>
      <c r="H9" s="83" cm="1">
        <f ca="1" t="array" ref="H9">_xlfn.XLOOKUP(表7[[#This Row],[考试日期]]&amp;$Q$4,表成绩单[考试日期]&amp;表成绩单[准考证号],INDIRECT(_xlfn.CONCAT("表成绩单[",H$5,"]")),"",0)</f>
        <v>131</v>
      </c>
      <c r="I9" s="83" cm="1">
        <f ca="1" t="array" ref="I9">_xlfn.XLOOKUP(表7[[#This Row],[考试日期]]&amp;$Q$4,表成绩单[考试日期]&amp;表成绩单[准考证号],INDIRECT(_xlfn.CONCAT("表成绩单[",I$5,"]")),"",0)</f>
        <v>104</v>
      </c>
      <c r="J9" s="83" cm="1">
        <f ca="1" t="array" ref="J9">_xlfn.XLOOKUP(表7[[#This Row],[考试日期]]&amp;$Q$4,表成绩单[考试日期]&amp;表成绩单[准考证号],INDIRECT(_xlfn.CONCAT("表成绩单[",J$5,"]")),"",0)</f>
        <v>68</v>
      </c>
      <c r="K9" s="83" cm="1">
        <f ca="1" t="array" ref="K9">_xlfn.XLOOKUP(表7[[#This Row],[考试日期]]&amp;$Q$4,表成绩单[考试日期]&amp;表成绩单[准考证号],INDIRECT(_xlfn.CONCAT("表成绩单[",K$5,"]")),"",0)</f>
        <v>83</v>
      </c>
      <c r="L9" s="83" cm="1">
        <f ca="1" t="array" ref="L9">_xlfn.XLOOKUP(表7[[#This Row],[考试日期]]&amp;$Q$4,表成绩单[考试日期]&amp;表成绩单[准考证号],INDIRECT(_xlfn.CONCAT("表成绩单[",L$5,"]")),"",0)</f>
        <v>134</v>
      </c>
      <c r="M9" s="83" cm="1">
        <f ca="1" t="array" ref="M9">_xlfn.XLOOKUP(表7[[#This Row],[考试日期]]&amp;$Q$4,表成绩单[考试日期]&amp;表成绩单[准考证号],INDIRECT(_xlfn.CONCAT("表成绩单[",M$5,"]")),"",0)</f>
        <v>86</v>
      </c>
      <c r="N9" s="83" cm="1">
        <f ca="1" t="array" ref="N9">_xlfn.XLOOKUP(表7[[#This Row],[考试日期]]&amp;$Q$4,表成绩单[考试日期]&amp;表成绩单[准考证号],INDIRECT(_xlfn.CONCAT("表成绩单[",N$5,"]")),"",0)</f>
        <v>61</v>
      </c>
      <c r="O9" s="83" cm="1">
        <f ca="1" t="array" ref="O9">_xlfn.XLOOKUP(表7[[#This Row],[考试日期]]&amp;$Q$4,表成绩单[考试日期]&amp;表成绩单[准考证号],INDIRECT(_xlfn.CONCAT("表成绩单[",O$5,"]")),"",0)</f>
        <v>71</v>
      </c>
      <c r="P9" s="83" cm="1">
        <f ca="1" t="array" ref="P9">_xlfn.XLOOKUP(表7[[#This Row],[考试日期]]&amp;$Q$4,表成绩单[考试日期]&amp;表成绩单[准考证号],INDIRECT(_xlfn.CONCAT("表成绩单[",P$5,"]")),"",0)</f>
        <v>217</v>
      </c>
      <c r="Q9" s="83" cm="1">
        <f ca="1" t="array" ref="Q9">_xlfn.XLOOKUP(表7[[#This Row],[考试日期]]&amp;$Q$4,表成绩单[考试日期]&amp;表成绩单[准考证号],INDIRECT(_xlfn.CONCAT("表成绩单[",Q$5,"]")),"",0)</f>
        <v>88</v>
      </c>
      <c r="R9" s="83" cm="1">
        <f ca="1" t="array" ref="R9">_xlfn.XLOOKUP(表7[[#This Row],[考试日期]]&amp;$Q$4,表成绩单[考试日期]&amp;表成绩单[准考证号],INDIRECT(_xlfn.CONCAT("表成绩单[",R$5,"]")),"",0)</f>
        <v>1</v>
      </c>
      <c r="S9" s="83" cm="1">
        <f ca="1" t="array" ref="S9">_xlfn.XLOOKUP(表7[[#This Row],[考试日期]]&amp;$Q$4,表成绩单[考试日期]&amp;表成绩单[准考证号],INDIRECT(_xlfn.CONCAT("表成绩单[",S$5,"]")),"",0)</f>
        <v>84</v>
      </c>
      <c r="T9" s="83" cm="1">
        <f ca="1" t="array" ref="T9">_xlfn.XLOOKUP(表7[[#This Row],[考试日期]]&amp;$Q$4,表成绩单[考试日期]&amp;表成绩单[准考证号],INDIRECT(_xlfn.CONCAT("表成绩单[",T$5,"]")),"",0)</f>
        <v>38</v>
      </c>
      <c r="U9" s="84" cm="1">
        <f ca="1" t="array" ref="U9">_xlfn.XLOOKUP(表7[[#This Row],[考试日期]]&amp;$Q$4,表成绩单[考试日期]&amp;表成绩单[准考证号],INDIRECT(_xlfn.CONCAT("表成绩单[",U$5,"]")),"",0)</f>
        <v>620</v>
      </c>
      <c r="V9" s="83" cm="1">
        <f ca="1" t="array" ref="V9">_xlfn.XLOOKUP(表7[[#This Row],[考试日期]]&amp;$Q$4,表成绩单[考试日期]&amp;表成绩单[准考证号],INDIRECT(_xlfn.CONCAT("表成绩单[",V$5,"]")),"",0)</f>
        <v>31</v>
      </c>
    </row>
    <row r="10" ht="28" customHeight="1" spans="2:22">
      <c r="B10" s="6"/>
      <c r="D10" s="31"/>
      <c r="E10" s="29" t="str">
        <f>IF(表7[[#This Row],[考试日期]]="","",COUNTIFS(表成绩单[考试日期],表7[[#This Row],[考试日期]]))</f>
        <v/>
      </c>
      <c r="F10" s="82" t="str">
        <f>IF(表7[[#This Row],[考试日期]]="","",$F$4)</f>
        <v/>
      </c>
      <c r="G10" s="83" t="str" cm="1">
        <f ca="1" t="array" ref="G10">_xlfn.XLOOKUP(表7[[#This Row],[考试日期]]&amp;$Q$4,表成绩单[考试日期]&amp;表成绩单[准考证号],INDIRECT(_xlfn.CONCAT("表成绩单[",G$5,"]")),"",0)</f>
        <v/>
      </c>
      <c r="H10" s="83" t="str" cm="1">
        <f ca="1" t="array" ref="H10">_xlfn.XLOOKUP(表7[[#This Row],[考试日期]]&amp;$Q$4,表成绩单[考试日期]&amp;表成绩单[准考证号],INDIRECT(_xlfn.CONCAT("表成绩单[",H$5,"]")),"",0)</f>
        <v/>
      </c>
      <c r="I10" s="83" t="str" cm="1">
        <f ca="1" t="array" ref="I10">_xlfn.XLOOKUP(表7[[#This Row],[考试日期]]&amp;$Q$4,表成绩单[考试日期]&amp;表成绩单[准考证号],INDIRECT(_xlfn.CONCAT("表成绩单[",I$5,"]")),"",0)</f>
        <v/>
      </c>
      <c r="J10" s="83" t="str" cm="1">
        <f ca="1" t="array" ref="J10">_xlfn.XLOOKUP(表7[[#This Row],[考试日期]]&amp;$Q$4,表成绩单[考试日期]&amp;表成绩单[准考证号],INDIRECT(_xlfn.CONCAT("表成绩单[",J$5,"]")),"",0)</f>
        <v/>
      </c>
      <c r="K10" s="83" t="str" cm="1">
        <f ca="1" t="array" ref="K10">_xlfn.XLOOKUP(表7[[#This Row],[考试日期]]&amp;$Q$4,表成绩单[考试日期]&amp;表成绩单[准考证号],INDIRECT(_xlfn.CONCAT("表成绩单[",K$5,"]")),"",0)</f>
        <v/>
      </c>
      <c r="L10" s="83" t="str" cm="1">
        <f ca="1" t="array" ref="L10">_xlfn.XLOOKUP(表7[[#This Row],[考试日期]]&amp;$Q$4,表成绩单[考试日期]&amp;表成绩单[准考证号],INDIRECT(_xlfn.CONCAT("表成绩单[",L$5,"]")),"",0)</f>
        <v/>
      </c>
      <c r="M10" s="83" t="str" cm="1">
        <f ca="1" t="array" ref="M10">_xlfn.XLOOKUP(表7[[#This Row],[考试日期]]&amp;$Q$4,表成绩单[考试日期]&amp;表成绩单[准考证号],INDIRECT(_xlfn.CONCAT("表成绩单[",M$5,"]")),"",0)</f>
        <v/>
      </c>
      <c r="N10" s="83" t="str" cm="1">
        <f ca="1" t="array" ref="N10">_xlfn.XLOOKUP(表7[[#This Row],[考试日期]]&amp;$Q$4,表成绩单[考试日期]&amp;表成绩单[准考证号],INDIRECT(_xlfn.CONCAT("表成绩单[",N$5,"]")),"",0)</f>
        <v/>
      </c>
      <c r="O10" s="83" t="str" cm="1">
        <f ca="1" t="array" ref="O10">_xlfn.XLOOKUP(表7[[#This Row],[考试日期]]&amp;$Q$4,表成绩单[考试日期]&amp;表成绩单[准考证号],INDIRECT(_xlfn.CONCAT("表成绩单[",O$5,"]")),"",0)</f>
        <v/>
      </c>
      <c r="P10" s="83" t="str" cm="1">
        <f ca="1" t="array" ref="P10">_xlfn.XLOOKUP(表7[[#This Row],[考试日期]]&amp;$Q$4,表成绩单[考试日期]&amp;表成绩单[准考证号],INDIRECT(_xlfn.CONCAT("表成绩单[",P$5,"]")),"",0)</f>
        <v/>
      </c>
      <c r="Q10" s="83" t="str" cm="1">
        <f ca="1" t="array" ref="Q10">_xlfn.XLOOKUP(表7[[#This Row],[考试日期]]&amp;$Q$4,表成绩单[考试日期]&amp;表成绩单[准考证号],INDIRECT(_xlfn.CONCAT("表成绩单[",Q$5,"]")),"",0)</f>
        <v/>
      </c>
      <c r="R10" s="83" t="str" cm="1">
        <f ca="1" t="array" ref="R10">_xlfn.XLOOKUP(表7[[#This Row],[考试日期]]&amp;$Q$4,表成绩单[考试日期]&amp;表成绩单[准考证号],INDIRECT(_xlfn.CONCAT("表成绩单[",R$5,"]")),"",0)</f>
        <v/>
      </c>
      <c r="S10" s="83" t="str" cm="1">
        <f ca="1" t="array" ref="S10">_xlfn.XLOOKUP(表7[[#This Row],[考试日期]]&amp;$Q$4,表成绩单[考试日期]&amp;表成绩单[准考证号],INDIRECT(_xlfn.CONCAT("表成绩单[",S$5,"]")),"",0)</f>
        <v/>
      </c>
      <c r="T10" s="83" t="str" cm="1">
        <f ca="1" t="array" ref="T10">_xlfn.XLOOKUP(表7[[#This Row],[考试日期]]&amp;$Q$4,表成绩单[考试日期]&amp;表成绩单[准考证号],INDIRECT(_xlfn.CONCAT("表成绩单[",T$5,"]")),"",0)</f>
        <v/>
      </c>
      <c r="U10" s="84" t="str" cm="1">
        <f ca="1" t="array" ref="U10">_xlfn.XLOOKUP(表7[[#This Row],[考试日期]]&amp;$Q$4,表成绩单[考试日期]&amp;表成绩单[准考证号],INDIRECT(_xlfn.CONCAT("表成绩单[",U$5,"]")),"",0)</f>
        <v/>
      </c>
      <c r="V10" s="83" t="str" cm="1">
        <f ca="1" t="array" ref="V10">_xlfn.XLOOKUP(表7[[#This Row],[考试日期]]&amp;$Q$4,表成绩单[考试日期]&amp;表成绩单[准考证号],INDIRECT(_xlfn.CONCAT("表成绩单[",V$5,"]")),"",0)</f>
        <v/>
      </c>
    </row>
    <row r="11" ht="28" customHeight="1" spans="2:22">
      <c r="B11" s="6"/>
      <c r="D11" s="31"/>
      <c r="E11" s="29" t="str">
        <f>IF(表7[[#This Row],[考试日期]]="","",COUNTIFS(表成绩单[考试日期],表7[[#This Row],[考试日期]]))</f>
        <v/>
      </c>
      <c r="F11" s="82" t="str">
        <f>IF(表7[[#This Row],[考试日期]]="","",$F$4)</f>
        <v/>
      </c>
      <c r="G11" s="83" t="str" cm="1">
        <f ca="1" t="array" ref="G11">_xlfn.XLOOKUP(表7[[#This Row],[考试日期]]&amp;$Q$4,表成绩单[考试日期]&amp;表成绩单[准考证号],INDIRECT(_xlfn.CONCAT("表成绩单[",G$5,"]")),"",0)</f>
        <v/>
      </c>
      <c r="H11" s="83" t="str" cm="1">
        <f ca="1" t="array" ref="H11">_xlfn.XLOOKUP(表7[[#This Row],[考试日期]]&amp;$Q$4,表成绩单[考试日期]&amp;表成绩单[准考证号],INDIRECT(_xlfn.CONCAT("表成绩单[",H$5,"]")),"",0)</f>
        <v/>
      </c>
      <c r="I11" s="83" t="str" cm="1">
        <f ca="1" t="array" ref="I11">_xlfn.XLOOKUP(表7[[#This Row],[考试日期]]&amp;$Q$4,表成绩单[考试日期]&amp;表成绩单[准考证号],INDIRECT(_xlfn.CONCAT("表成绩单[",I$5,"]")),"",0)</f>
        <v/>
      </c>
      <c r="J11" s="83" t="str" cm="1">
        <f ca="1" t="array" ref="J11">_xlfn.XLOOKUP(表7[[#This Row],[考试日期]]&amp;$Q$4,表成绩单[考试日期]&amp;表成绩单[准考证号],INDIRECT(_xlfn.CONCAT("表成绩单[",J$5,"]")),"",0)</f>
        <v/>
      </c>
      <c r="K11" s="83" t="str" cm="1">
        <f ca="1" t="array" ref="K11">_xlfn.XLOOKUP(表7[[#This Row],[考试日期]]&amp;$Q$4,表成绩单[考试日期]&amp;表成绩单[准考证号],INDIRECT(_xlfn.CONCAT("表成绩单[",K$5,"]")),"",0)</f>
        <v/>
      </c>
      <c r="L11" s="83" t="str" cm="1">
        <f ca="1" t="array" ref="L11">_xlfn.XLOOKUP(表7[[#This Row],[考试日期]]&amp;$Q$4,表成绩单[考试日期]&amp;表成绩单[准考证号],INDIRECT(_xlfn.CONCAT("表成绩单[",L$5,"]")),"",0)</f>
        <v/>
      </c>
      <c r="M11" s="83" t="str" cm="1">
        <f ca="1" t="array" ref="M11">_xlfn.XLOOKUP(表7[[#This Row],[考试日期]]&amp;$Q$4,表成绩单[考试日期]&amp;表成绩单[准考证号],INDIRECT(_xlfn.CONCAT("表成绩单[",M$5,"]")),"",0)</f>
        <v/>
      </c>
      <c r="N11" s="83" t="str" cm="1">
        <f ca="1" t="array" ref="N11">_xlfn.XLOOKUP(表7[[#This Row],[考试日期]]&amp;$Q$4,表成绩单[考试日期]&amp;表成绩单[准考证号],INDIRECT(_xlfn.CONCAT("表成绩单[",N$5,"]")),"",0)</f>
        <v/>
      </c>
      <c r="O11" s="83" t="str" cm="1">
        <f ca="1" t="array" ref="O11">_xlfn.XLOOKUP(表7[[#This Row],[考试日期]]&amp;$Q$4,表成绩单[考试日期]&amp;表成绩单[准考证号],INDIRECT(_xlfn.CONCAT("表成绩单[",O$5,"]")),"",0)</f>
        <v/>
      </c>
      <c r="P11" s="83" t="str" cm="1">
        <f ca="1" t="array" ref="P11">_xlfn.XLOOKUP(表7[[#This Row],[考试日期]]&amp;$Q$4,表成绩单[考试日期]&amp;表成绩单[准考证号],INDIRECT(_xlfn.CONCAT("表成绩单[",P$5,"]")),"",0)</f>
        <v/>
      </c>
      <c r="Q11" s="83" t="str" cm="1">
        <f ca="1" t="array" ref="Q11">_xlfn.XLOOKUP(表7[[#This Row],[考试日期]]&amp;$Q$4,表成绩单[考试日期]&amp;表成绩单[准考证号],INDIRECT(_xlfn.CONCAT("表成绩单[",Q$5,"]")),"",0)</f>
        <v/>
      </c>
      <c r="R11" s="83" t="str" cm="1">
        <f ca="1" t="array" ref="R11">_xlfn.XLOOKUP(表7[[#This Row],[考试日期]]&amp;$Q$4,表成绩单[考试日期]&amp;表成绩单[准考证号],INDIRECT(_xlfn.CONCAT("表成绩单[",R$5,"]")),"",0)</f>
        <v/>
      </c>
      <c r="S11" s="83" t="str" cm="1">
        <f ca="1" t="array" ref="S11">_xlfn.XLOOKUP(表7[[#This Row],[考试日期]]&amp;$Q$4,表成绩单[考试日期]&amp;表成绩单[准考证号],INDIRECT(_xlfn.CONCAT("表成绩单[",S$5,"]")),"",0)</f>
        <v/>
      </c>
      <c r="T11" s="83" t="str" cm="1">
        <f ca="1" t="array" ref="T11">_xlfn.XLOOKUP(表7[[#This Row],[考试日期]]&amp;$Q$4,表成绩单[考试日期]&amp;表成绩单[准考证号],INDIRECT(_xlfn.CONCAT("表成绩单[",T$5,"]")),"",0)</f>
        <v/>
      </c>
      <c r="U11" s="84" t="str" cm="1">
        <f ca="1" t="array" ref="U11">_xlfn.XLOOKUP(表7[[#This Row],[考试日期]]&amp;$Q$4,表成绩单[考试日期]&amp;表成绩单[准考证号],INDIRECT(_xlfn.CONCAT("表成绩单[",U$5,"]")),"",0)</f>
        <v/>
      </c>
      <c r="V11" s="83" t="str" cm="1">
        <f ca="1" t="array" ref="V11">_xlfn.XLOOKUP(表7[[#This Row],[考试日期]]&amp;$Q$4,表成绩单[考试日期]&amp;表成绩单[准考证号],INDIRECT(_xlfn.CONCAT("表成绩单[",V$5,"]")),"",0)</f>
        <v/>
      </c>
    </row>
    <row r="12" ht="28" customHeight="1" spans="2:22">
      <c r="B12" s="6"/>
      <c r="D12" s="85"/>
      <c r="E12" s="86"/>
      <c r="F12" s="29" t="s">
        <v>38</v>
      </c>
      <c r="G12" s="87">
        <f ca="1">SUBTOTAL(101,表7[语文])</f>
        <v>104</v>
      </c>
      <c r="H12" s="88">
        <f ca="1">SUBTOTAL(101,表7[语文校排])</f>
        <v>144.25</v>
      </c>
      <c r="I12" s="87">
        <f ca="1">SUBTOTAL(101,表7[数学])</f>
        <v>100.5</v>
      </c>
      <c r="J12" s="88">
        <f ca="1">SUBTOTAL(101,表7[数学校排])</f>
        <v>137.75</v>
      </c>
      <c r="K12" s="87">
        <f ca="1">SUBTOTAL(101,表7[英语])</f>
        <v>81.25</v>
      </c>
      <c r="L12" s="88">
        <f ca="1">SUBTOTAL(101,表7[英语校排])</f>
        <v>133</v>
      </c>
      <c r="M12" s="87">
        <f ca="1">SUBTOTAL(101,表7[物理])</f>
        <v>86</v>
      </c>
      <c r="N12" s="88">
        <f ca="1">SUBTOTAL(101,表7[物理校排])</f>
        <v>150.5</v>
      </c>
      <c r="O12" s="87">
        <f ca="1">SUBTOTAL(101,表7[化学])</f>
        <v>79.75</v>
      </c>
      <c r="P12" s="88">
        <f ca="1">SUBTOTAL(101,表7[化学校排])</f>
        <v>159.75</v>
      </c>
      <c r="Q12" s="87">
        <f ca="1">SUBTOTAL(101,表7[政治])</f>
        <v>81.25</v>
      </c>
      <c r="R12" s="88">
        <f ca="1">SUBTOTAL(101,表7[政治校排])</f>
        <v>74.25</v>
      </c>
      <c r="S12" s="87">
        <f ca="1">SUBTOTAL(101,表7[历史])</f>
        <v>80.75</v>
      </c>
      <c r="T12" s="88">
        <f ca="1">SUBTOTAL(101,表7[历史校排])</f>
        <v>95.25</v>
      </c>
      <c r="U12" s="87">
        <f ca="1">SUBTOTAL(101,表7[总分])</f>
        <v>613.5</v>
      </c>
      <c r="V12" s="88">
        <f ca="1">SUBTOTAL(101,表7[总分校排])</f>
        <v>84</v>
      </c>
    </row>
    <row r="13" ht="36.5" customHeight="1" spans="2:22">
      <c r="B13" s="6"/>
      <c r="D13" s="29" t="s">
        <v>39</v>
      </c>
      <c r="E13" s="29"/>
      <c r="F13" s="29"/>
      <c r="G13" s="89"/>
      <c r="H13" s="89"/>
      <c r="I13" s="89"/>
      <c r="J13" s="89"/>
      <c r="K13" s="89"/>
      <c r="L13" s="89"/>
      <c r="M13" s="89"/>
      <c r="N13" s="89"/>
      <c r="O13" s="89" t="s">
        <v>40</v>
      </c>
      <c r="P13" s="89"/>
      <c r="Q13" s="89"/>
      <c r="R13" s="89"/>
      <c r="S13" s="89"/>
      <c r="T13" s="89"/>
      <c r="U13" s="89"/>
      <c r="V13" s="89"/>
    </row>
  </sheetData>
  <mergeCells count="9">
    <mergeCell ref="D2:V2"/>
    <mergeCell ref="D4:E4"/>
    <mergeCell ref="F4:G4"/>
    <mergeCell ref="H4:J4"/>
    <mergeCell ref="K4:M4"/>
    <mergeCell ref="N4:P4"/>
    <mergeCell ref="Q4:V4"/>
    <mergeCell ref="D13:F13"/>
    <mergeCell ref="O13:Q13"/>
  </mergeCells>
  <dataValidations count="3">
    <dataValidation type="list" allowBlank="1" showInputMessage="1" sqref="F4:G4">
      <formula1>各班学生名单!$E$4:$W$4</formula1>
    </dataValidation>
    <dataValidation type="list" allowBlank="1" showInputMessage="1" sqref="K4:M4">
      <formula1>INDIRECT($F$4)</formula1>
    </dataValidation>
    <dataValidation type="list" allowBlank="1" showInputMessage="1" sqref="D6:D11">
      <formula1>科目明细!$J$5:$J$10</formula1>
    </dataValidation>
  </dataValidations>
  <printOptions horizontalCentered="1"/>
  <pageMargins left="0.196850393700787" right="0.196850393700787" top="0.31496062992126" bottom="0.748031496062992" header="0.31496062992126" footer="0.31496062992126"/>
  <pageSetup paperSize="9" scale="58" fitToHeight="0" orientation="portrait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P36"/>
  <sheetViews>
    <sheetView showGridLines="0" workbookViewId="0">
      <pane ySplit="6" topLeftCell="A20" activePane="bottomLeft" state="frozen"/>
      <selection/>
      <selection pane="bottomLeft" activeCell="K16" sqref="K16"/>
    </sheetView>
  </sheetViews>
  <sheetFormatPr defaultColWidth="10.83" defaultRowHeight="14"/>
  <cols>
    <col min="1" max="1" width="1.41" style="35" customWidth="1"/>
    <col min="2" max="2" width="5.75" style="35" customWidth="1"/>
    <col min="3" max="3" width="1.41" style="35" customWidth="1"/>
    <col min="4" max="4" width="5.83" style="35" customWidth="1"/>
    <col min="5" max="6" width="14.25" style="35" customWidth="1"/>
    <col min="7" max="7" width="12.75" style="35" customWidth="1"/>
    <col min="8" max="8" width="11.83" style="35" customWidth="1"/>
    <col min="9" max="9" width="14.58" style="35" customWidth="1"/>
    <col min="10" max="16" width="11.83" style="35" customWidth="1"/>
    <col min="17" max="17" width="1.58" style="35" customWidth="1"/>
    <col min="18" max="18" width="14.41" style="35" customWidth="1"/>
    <col min="19" max="16384" width="10.83" style="35"/>
  </cols>
  <sheetData>
    <row r="1" ht="8.15" customHeight="1" spans="2:16">
      <c r="D1" s="36" t="s">
        <v>41</v>
      </c>
    </row>
    <row r="2" s="33" customFormat="1" ht="38.15" customHeight="1" spans="2:16">
      <c r="B2" s="37"/>
      <c r="D2" s="5" t="s">
        <v>42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ht="5.15" customHeight="1" spans="2:16">
      <c r="B3" s="38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</row>
    <row r="4" s="34" customFormat="1" ht="38.15" customHeight="1" spans="2:16">
      <c r="B4" s="40"/>
      <c r="D4" s="41" t="s">
        <v>43</v>
      </c>
      <c r="E4" s="41"/>
      <c r="F4" s="42" t="s">
        <v>18</v>
      </c>
      <c r="G4" s="41" t="s">
        <v>44</v>
      </c>
      <c r="H4" s="41"/>
      <c r="I4" s="43">
        <v>46108</v>
      </c>
      <c r="J4" s="43"/>
      <c r="K4" s="41" t="s">
        <v>45</v>
      </c>
      <c r="L4" s="41"/>
      <c r="M4" s="44">
        <f>VLOOKUP($F$4,表满分成绩[#Data],3,0)</f>
        <v>76.5</v>
      </c>
      <c r="N4" s="45">
        <f>VLOOKUP($F$4,表满分成绩[#Data],4,0)</f>
        <v>72</v>
      </c>
      <c r="O4" s="45">
        <f>VLOOKUP($F$4,表满分成绩[#Data],5,0)</f>
        <v>54</v>
      </c>
      <c r="P4" s="46">
        <v>123</v>
      </c>
    </row>
    <row r="5" ht="5.15" customHeight="1" spans="2:16">
      <c r="B5" s="38"/>
      <c r="G5" s="47"/>
      <c r="H5" s="47"/>
      <c r="I5" s="47"/>
      <c r="J5" s="48"/>
      <c r="K5" s="47"/>
      <c r="L5" s="47"/>
      <c r="M5" s="47"/>
      <c r="N5" s="47"/>
      <c r="O5" s="47"/>
      <c r="P5" s="47"/>
    </row>
    <row r="6" ht="38.15" customHeight="1" spans="2:16">
      <c r="B6" s="38"/>
      <c r="D6" s="49" t="s">
        <v>46</v>
      </c>
      <c r="E6" s="49" t="s">
        <v>0</v>
      </c>
      <c r="F6" s="49" t="s">
        <v>47</v>
      </c>
      <c r="G6" s="49" t="s">
        <v>29</v>
      </c>
      <c r="H6" s="50" t="s">
        <v>7</v>
      </c>
      <c r="I6" s="50" t="s">
        <v>8</v>
      </c>
      <c r="J6" s="51" t="s">
        <v>48</v>
      </c>
      <c r="K6" s="51" t="s">
        <v>49</v>
      </c>
      <c r="L6" s="51" t="s">
        <v>50</v>
      </c>
      <c r="M6" s="51" t="s">
        <v>51</v>
      </c>
      <c r="N6" s="52" t="s">
        <v>52</v>
      </c>
      <c r="O6" s="50" t="s">
        <v>53</v>
      </c>
      <c r="P6" s="50" t="s">
        <v>54</v>
      </c>
    </row>
    <row r="7" ht="28" customHeight="1" spans="2:16">
      <c r="B7" s="38"/>
      <c r="D7" s="9">
        <f>ROW()-6</f>
        <v>1</v>
      </c>
      <c r="E7" s="53" t="s">
        <v>55</v>
      </c>
      <c r="F7" s="53" t="s">
        <v>56</v>
      </c>
      <c r="G7" s="54" cm="1">
        <f ca="1" t="array" ref="G7">COUNT(_xlfn.LET(_xlpm.CJ,INDIRECT(_xlfn.CONCAT("表成绩单[",$F$4,"]")),_xlfn._xlws.FILTER(_xlpm.CJ,(表成绩单[班级]=$E7)*(表成绩单[考试日期]=$I$4))))</f>
        <v>39</v>
      </c>
      <c r="H7" s="55" cm="1">
        <f ca="1" t="array" ref="H7">IFERROR(MAX(_xlfn.LET(_xlpm.CJ,INDIRECT(_xlfn.CONCAT("表成绩单[",$F$4,"]")),_xlfn._xlws.FILTER(_xlpm.CJ,(表成绩单[班级]=$E7)*(表成绩单[考试日期]=$I$4)))),"")</f>
        <v>81</v>
      </c>
      <c r="I7" s="55" cm="1">
        <f ca="1" t="array" ref="I7">IFERROR(AVERAGE(_xlfn.LET(_xlpm.CJ,INDIRECT(_xlfn.CONCAT("表成绩单[",$F$4,"]")),_xlfn._xlws.FILTER(_xlpm.CJ,(表成绩单[班级]=$E7)*(表成绩单[考试日期]=$I$4)))),"")</f>
        <v>65.4358974358974</v>
      </c>
      <c r="J7" s="56">
        <f ca="1">IFERROR((表教学质量[[#This Row],[平均分]]-表教学质量[[#Totals],[平均分]])/表教学质量[[#Totals],[平均分]],"")</f>
        <v>-0.0949745836267513</v>
      </c>
      <c r="K7" s="57" cm="1">
        <f ca="1" t="array" ref="K7">COUNT(_xlfn.LET(_xlpm.CJ,INDIRECT(_xlfn.CONCAT("表成绩单[",$F$4,"]")),_xlfn._xlws.FILTER(_xlpm.CJ,(表成绩单[班级]=$E7)*(_xlpm.CJ&gt;=$M$4)*(表成绩单[考试日期]=$I$4))))</f>
        <v>3</v>
      </c>
      <c r="L7" s="58">
        <f ca="1">表教学质量[[#This Row],[优秀人数]]/表教学质量[[#This Row],[参考人数]]</f>
        <v>0.0769230769230769</v>
      </c>
      <c r="M7" s="57" cm="1">
        <f ca="1" t="array" ref="M7">COUNT(_xlfn.LET(_xlpm.CJ,INDIRECT(_xlfn.CONCAT("表成绩单[",$F$4,"]")),_xlfn._xlws.FILTER(_xlpm.CJ,(表成绩单[班级]=$E7)*(_xlpm.CJ&gt;=$N$4)*(表成绩单[考试日期]=$I$4))))</f>
        <v>15</v>
      </c>
      <c r="N7" s="58">
        <f ca="1">表教学质量[[#This Row],[良好人数]]/表教学质量[[#This Row],[参考人数]]</f>
        <v>0.384615384615385</v>
      </c>
      <c r="O7" s="57" cm="1">
        <f ca="1" t="array" ref="O7">COUNT(_xlfn.LET(_xlpm.CJ,INDIRECT(_xlfn.CONCAT("表成绩单[",$F$4,"]")),_xlfn._xlws.FILTER(_xlpm.CJ,(表成绩单[班级]=$E7)*(_xlpm.CJ&gt;=$O$4)*(表成绩单[考试日期]=$I$4))))</f>
        <v>34</v>
      </c>
      <c r="P7" s="58">
        <f ca="1">表教学质量[[#This Row],[及格人数]]/表教学质量[[#This Row],[参考人数]]</f>
        <v>0.871794871794872</v>
      </c>
    </row>
    <row r="8" ht="28" customHeight="1" spans="2:16">
      <c r="B8" s="38"/>
      <c r="D8" s="9">
        <f t="shared" ref="D8:D12" si="0">ROW()-6</f>
        <v>2</v>
      </c>
      <c r="E8" s="53" t="s">
        <v>57</v>
      </c>
      <c r="F8" s="53" t="s">
        <v>56</v>
      </c>
      <c r="G8" s="54" cm="1">
        <f ca="1" t="array" ref="G8">COUNT(_xlfn.LET(_xlpm.CJ,INDIRECT(_xlfn.CONCAT("表成绩单[",$F$4,"]")),_xlfn._xlws.FILTER(_xlpm.CJ,(表成绩单[班级]=$E8)*(表成绩单[考试日期]=$I$4))))</f>
        <v>41</v>
      </c>
      <c r="H8" s="55" cm="1">
        <f ca="1" t="array" ref="H8">IFERROR(MAX(_xlfn.LET(_xlpm.CJ,INDIRECT(_xlfn.CONCAT("表成绩单[",$F$4,"]")),_xlfn._xlws.FILTER(_xlpm.CJ,(表成绩单[班级]=$E8)*(表成绩单[考试日期]=$I$4)))),"")</f>
        <v>77</v>
      </c>
      <c r="I8" s="55" cm="1">
        <f ca="1" t="array" ref="I8">IFERROR(AVERAGE(_xlfn.LET(_xlpm.CJ,INDIRECT(_xlfn.CONCAT("表成绩单[",$F$4,"]")),_xlfn._xlws.FILTER(_xlpm.CJ,(表成绩单[班级]=$E8)*(表成绩单[考试日期]=$I$4)))),"")</f>
        <v>65.7317073170732</v>
      </c>
      <c r="J8" s="56">
        <f ca="1">IFERROR((表教学质量[[#This Row],[平均分]]-表教学质量[[#Totals],[平均分]])/表教学质量[[#Totals],[平均分]],"")</f>
        <v>-0.090883320705804</v>
      </c>
      <c r="K8" s="57" cm="1">
        <f ca="1" t="array" ref="K8">COUNT(_xlfn.LET(_xlpm.CJ,INDIRECT(_xlfn.CONCAT("表成绩单[",$F$4,"]")),_xlfn._xlws.FILTER(_xlpm.CJ,(表成绩单[班级]=$E8)*(_xlpm.CJ&gt;=$M$4)*(表成绩单[考试日期]=$I$4))))</f>
        <v>2</v>
      </c>
      <c r="L8" s="58">
        <f ca="1">表教学质量[[#This Row],[优秀人数]]/表教学质量[[#This Row],[参考人数]]</f>
        <v>0.0487804878048781</v>
      </c>
      <c r="M8" s="57" cm="1">
        <f ca="1" t="array" ref="M8">COUNT(_xlfn.LET(_xlpm.CJ,INDIRECT(_xlfn.CONCAT("表成绩单[",$F$4,"]")),_xlfn._xlws.FILTER(_xlpm.CJ,(表成绩单[班级]=$E8)*(_xlpm.CJ&gt;=$N$4)*(表成绩单[考试日期]=$I$4))))</f>
        <v>15</v>
      </c>
      <c r="N8" s="58">
        <f ca="1">表教学质量[[#This Row],[良好人数]]/表教学质量[[#This Row],[参考人数]]</f>
        <v>0.365853658536585</v>
      </c>
      <c r="O8" s="57" cm="1">
        <f ca="1" t="array" ref="O8">COUNT(_xlfn.LET(_xlpm.CJ,INDIRECT(_xlfn.CONCAT("表成绩单[",$F$4,"]")),_xlfn._xlws.FILTER(_xlpm.CJ,(表成绩单[班级]=$E8)*(_xlpm.CJ&gt;=$O$4)*(表成绩单[考试日期]=$I$4))))</f>
        <v>34</v>
      </c>
      <c r="P8" s="58">
        <f ca="1">表教学质量[[#This Row],[及格人数]]/表教学质量[[#This Row],[参考人数]]</f>
        <v>0.829268292682927</v>
      </c>
    </row>
    <row r="9" ht="28" customHeight="1" spans="2:16">
      <c r="B9" s="38"/>
      <c r="D9" s="9">
        <f t="shared" si="0"/>
        <v>3</v>
      </c>
      <c r="E9" s="53" t="s">
        <v>58</v>
      </c>
      <c r="F9" s="53" t="s">
        <v>56</v>
      </c>
      <c r="G9" s="54" cm="1">
        <f ca="1" t="array" ref="G9">COUNT(_xlfn.LET(_xlpm.CJ,INDIRECT(_xlfn.CONCAT("表成绩单[",$F$4,"]")),_xlfn._xlws.FILTER(_xlpm.CJ,(表成绩单[班级]=$E9)*(表成绩单[考试日期]=$I$4))))</f>
        <v>39</v>
      </c>
      <c r="H9" s="55" cm="1">
        <f ca="1" t="array" ref="H9">IFERROR(MAX(_xlfn.LET(_xlpm.CJ,INDIRECT(_xlfn.CONCAT("表成绩单[",$F$4,"]")),_xlfn._xlws.FILTER(_xlpm.CJ,(表成绩单[班级]=$E9)*(表成绩单[考试日期]=$I$4)))),"")</f>
        <v>80</v>
      </c>
      <c r="I9" s="55" cm="1">
        <f ca="1" t="array" ref="I9">IFERROR(AVERAGE(_xlfn.LET(_xlpm.CJ,INDIRECT(_xlfn.CONCAT("表成绩单[",$F$4,"]")),_xlfn._xlws.FILTER(_xlpm.CJ,(表成绩单[班级]=$E9)*(表成绩单[考试日期]=$I$4)))),"")</f>
        <v>62.9487179487179</v>
      </c>
      <c r="J9" s="56">
        <f ca="1">IFERROR((表教学质量[[#This Row],[平均分]]-表教学质量[[#Totals],[平均分]])/表教学质量[[#Totals],[平均分]],"")</f>
        <v>-0.129374060659747</v>
      </c>
      <c r="K9" s="57" cm="1">
        <f ca="1" t="array" ref="K9">COUNT(_xlfn.LET(_xlpm.CJ,INDIRECT(_xlfn.CONCAT("表成绩单[",$F$4,"]")),_xlfn._xlws.FILTER(_xlpm.CJ,(表成绩单[班级]=$E9)*(_xlpm.CJ&gt;=$M$4)*(表成绩单[考试日期]=$I$4))))</f>
        <v>2</v>
      </c>
      <c r="L9" s="58">
        <f ca="1">表教学质量[[#This Row],[优秀人数]]/表教学质量[[#This Row],[参考人数]]</f>
        <v>0.0512820512820513</v>
      </c>
      <c r="M9" s="57" cm="1">
        <f ca="1" t="array" ref="M9">COUNT(_xlfn.LET(_xlpm.CJ,INDIRECT(_xlfn.CONCAT("表成绩单[",$F$4,"]")),_xlfn._xlws.FILTER(_xlpm.CJ,(表成绩单[班级]=$E9)*(_xlpm.CJ&gt;=$N$4)*(表成绩单[考试日期]=$I$4))))</f>
        <v>12</v>
      </c>
      <c r="N9" s="58">
        <f ca="1">表教学质量[[#This Row],[良好人数]]/表教学质量[[#This Row],[参考人数]]</f>
        <v>0.307692307692308</v>
      </c>
      <c r="O9" s="57" cm="1">
        <f ca="1" t="array" ref="O9">COUNT(_xlfn.LET(_xlpm.CJ,INDIRECT(_xlfn.CONCAT("表成绩单[",$F$4,"]")),_xlfn._xlws.FILTER(_xlpm.CJ,(表成绩单[班级]=$E9)*(_xlpm.CJ&gt;=$O$4)*(表成绩单[考试日期]=$I$4))))</f>
        <v>33</v>
      </c>
      <c r="P9" s="58">
        <f ca="1">表教学质量[[#This Row],[及格人数]]/表教学质量[[#This Row],[参考人数]]</f>
        <v>0.846153846153846</v>
      </c>
    </row>
    <row r="10" ht="28" customHeight="1" spans="2:16">
      <c r="B10" s="38"/>
      <c r="D10" s="9">
        <f t="shared" si="0"/>
        <v>4</v>
      </c>
      <c r="E10" s="53" t="s">
        <v>59</v>
      </c>
      <c r="F10" s="53" t="s">
        <v>56</v>
      </c>
      <c r="G10" s="54" cm="1">
        <f ca="1" t="array" ref="G10">COUNT(_xlfn.LET(_xlpm.CJ,INDIRECT(_xlfn.CONCAT("表成绩单[",$F$4,"]")),_xlfn._xlws.FILTER(_xlpm.CJ,(表成绩单[班级]=$E10)*(表成绩单[考试日期]=$I$4))))</f>
        <v>41</v>
      </c>
      <c r="H10" s="55" cm="1">
        <f ca="1" t="array" ref="H10">IFERROR(MAX(_xlfn.LET(_xlpm.CJ,INDIRECT(_xlfn.CONCAT("表成绩单[",$F$4,"]")),_xlfn._xlws.FILTER(_xlpm.CJ,(表成绩单[班级]=$E10)*(表成绩单[考试日期]=$I$4)))),"")</f>
        <v>81</v>
      </c>
      <c r="I10" s="55" cm="1">
        <f ca="1" t="array" ref="I10">IFERROR(AVERAGE(_xlfn.LET(_xlpm.CJ,INDIRECT(_xlfn.CONCAT("表成绩单[",$F$4,"]")),_xlfn._xlws.FILTER(_xlpm.CJ,(表成绩单[班级]=$E10)*(表成绩单[考试日期]=$I$4)))),"")</f>
        <v>65.8292682926829</v>
      </c>
      <c r="J10" s="56">
        <f ca="1">IFERROR((表教学质量[[#This Row],[平均分]]-表教学质量[[#Totals],[平均分]])/表教学质量[[#Totals],[平均分]],"")</f>
        <v>-0.089533982406295</v>
      </c>
      <c r="K10" s="57" cm="1">
        <f ca="1" t="array" ref="K10">COUNT(_xlfn.LET(_xlpm.CJ,INDIRECT(_xlfn.CONCAT("表成绩单[",$F$4,"]")),_xlfn._xlws.FILTER(_xlpm.CJ,(表成绩单[班级]=$E10)*(_xlpm.CJ&gt;=$M$4)*(表成绩单[考试日期]=$I$4))))</f>
        <v>5</v>
      </c>
      <c r="L10" s="58">
        <f ca="1">表教学质量[[#This Row],[优秀人数]]/表教学质量[[#This Row],[参考人数]]</f>
        <v>0.121951219512195</v>
      </c>
      <c r="M10" s="57" cm="1">
        <f ca="1" t="array" ref="M10">COUNT(_xlfn.LET(_xlpm.CJ,INDIRECT(_xlfn.CONCAT("表成绩单[",$F$4,"]")),_xlfn._xlws.FILTER(_xlpm.CJ,(表成绩单[班级]=$E10)*(_xlpm.CJ&gt;=$N$4)*(表成绩单[考试日期]=$I$4))))</f>
        <v>16</v>
      </c>
      <c r="N10" s="58">
        <f ca="1">表教学质量[[#This Row],[良好人数]]/表教学质量[[#This Row],[参考人数]]</f>
        <v>0.390243902439024</v>
      </c>
      <c r="O10" s="57" cm="1">
        <f ca="1" t="array" ref="O10">COUNT(_xlfn.LET(_xlpm.CJ,INDIRECT(_xlfn.CONCAT("表成绩单[",$F$4,"]")),_xlfn._xlws.FILTER(_xlpm.CJ,(表成绩单[班级]=$E10)*(_xlpm.CJ&gt;=$O$4)*(表成绩单[考试日期]=$I$4))))</f>
        <v>34</v>
      </c>
      <c r="P10" s="58">
        <f ca="1">表教学质量[[#This Row],[及格人数]]/表教学质量[[#This Row],[参考人数]]</f>
        <v>0.829268292682927</v>
      </c>
    </row>
    <row r="11" ht="28" customHeight="1" spans="2:16">
      <c r="B11" s="38"/>
      <c r="D11" s="9">
        <f t="shared" si="0"/>
        <v>5</v>
      </c>
      <c r="E11" s="53" t="s">
        <v>60</v>
      </c>
      <c r="F11" s="53" t="s">
        <v>56</v>
      </c>
      <c r="G11" s="54" cm="1">
        <f ca="1" t="array" ref="G11">COUNT(_xlfn.LET(_xlpm.CJ,INDIRECT(_xlfn.CONCAT("表成绩单[",$F$4,"]")),_xlfn._xlws.FILTER(_xlpm.CJ,(表成绩单[班级]=$E11)*(表成绩单[考试日期]=$I$4))))</f>
        <v>35</v>
      </c>
      <c r="H11" s="55" cm="1">
        <f ca="1" t="array" ref="H11">IFERROR(MAX(_xlfn.LET(_xlpm.CJ,INDIRECT(_xlfn.CONCAT("表成绩单[",$F$4,"]")),_xlfn._xlws.FILTER(_xlpm.CJ,(表成绩单[班级]=$E11)*(表成绩单[考试日期]=$I$4)))),"")</f>
        <v>79</v>
      </c>
      <c r="I11" s="55" cm="1">
        <f ca="1" t="array" ref="I11">IFERROR(AVERAGE(_xlfn.LET(_xlpm.CJ,INDIRECT(_xlfn.CONCAT("表成绩单[",$F$4,"]")),_xlfn._xlws.FILTER(_xlpm.CJ,(表成绩单[班级]=$E11)*(表成绩单[考试日期]=$I$4)))),"")</f>
        <v>64.7428571428571</v>
      </c>
      <c r="J11" s="56">
        <f ca="1">IFERROR((表教学质量[[#This Row],[平均分]]-表教学质量[[#Totals],[平均分]])/表教学质量[[#Totals],[平均分]],"")</f>
        <v>-0.104559828184399</v>
      </c>
      <c r="K11" s="57" cm="1">
        <f ca="1" t="array" ref="K11">COUNT(_xlfn.LET(_xlpm.CJ,INDIRECT(_xlfn.CONCAT("表成绩单[",$F$4,"]")),_xlfn._xlws.FILTER(_xlpm.CJ,(表成绩单[班级]=$E11)*(_xlpm.CJ&gt;=$M$4)*(表成绩单[考试日期]=$I$4))))</f>
        <v>1</v>
      </c>
      <c r="L11" s="58">
        <f ca="1">表教学质量[[#This Row],[优秀人数]]/表教学质量[[#This Row],[参考人数]]</f>
        <v>0.0285714285714286</v>
      </c>
      <c r="M11" s="57" cm="1">
        <f ca="1" t="array" ref="M11">COUNT(_xlfn.LET(_xlpm.CJ,INDIRECT(_xlfn.CONCAT("表成绩单[",$F$4,"]")),_xlfn._xlws.FILTER(_xlpm.CJ,(表成绩单[班级]=$E11)*(_xlpm.CJ&gt;=$N$4)*(表成绩单[考试日期]=$I$4))))</f>
        <v>9</v>
      </c>
      <c r="N11" s="58">
        <f ca="1">表教学质量[[#This Row],[良好人数]]/表教学质量[[#This Row],[参考人数]]</f>
        <v>0.257142857142857</v>
      </c>
      <c r="O11" s="57" cm="1">
        <f ca="1" t="array" ref="O11">COUNT(_xlfn.LET(_xlpm.CJ,INDIRECT(_xlfn.CONCAT("表成绩单[",$F$4,"]")),_xlfn._xlws.FILTER(_xlpm.CJ,(表成绩单[班级]=$E11)*(_xlpm.CJ&gt;=$O$4)*(表成绩单[考试日期]=$I$4))))</f>
        <v>30</v>
      </c>
      <c r="P11" s="58">
        <f ca="1">表教学质量[[#This Row],[及格人数]]/表教学质量[[#This Row],[参考人数]]</f>
        <v>0.857142857142857</v>
      </c>
    </row>
    <row r="12" ht="28" customHeight="1" spans="2:16">
      <c r="B12" s="38"/>
      <c r="D12" s="9">
        <f t="shared" si="0"/>
        <v>6</v>
      </c>
      <c r="E12" s="53" t="s">
        <v>61</v>
      </c>
      <c r="F12" s="53" t="s">
        <v>62</v>
      </c>
      <c r="G12" s="54" cm="1">
        <f ca="1" t="array" ref="G12">COUNT(_xlfn.LET(_xlpm.CJ,INDIRECT(_xlfn.CONCAT("表成绩单[",$F$4,"]")),_xlfn._xlws.FILTER(_xlpm.CJ,(表成绩单[班级]=$E12)*(表成绩单[考试日期]=$I$4))))</f>
        <v>45</v>
      </c>
      <c r="H12" s="55" cm="1">
        <f ca="1" t="array" ref="H12">IFERROR(MAX(_xlfn.LET(_xlpm.CJ,INDIRECT(_xlfn.CONCAT("表成绩单[",$F$4,"]")),_xlfn._xlws.FILTER(_xlpm.CJ,(表成绩单[班级]=$E12)*(表成绩单[考试日期]=$I$4)))),"")</f>
        <v>80</v>
      </c>
      <c r="I12" s="55" cm="1">
        <f ca="1" t="array" ref="I12">IFERROR(AVERAGE(_xlfn.LET(_xlpm.CJ,INDIRECT(_xlfn.CONCAT("表成绩单[",$F$4,"]")),_xlfn._xlws.FILTER(_xlpm.CJ,(表成绩单[班级]=$E12)*(表成绩单[考试日期]=$I$4)))),"")</f>
        <v>70.3555555555556</v>
      </c>
      <c r="J12" s="56">
        <f ca="1">IFERROR((表教学质量[[#This Row],[平均分]]-表教学质量[[#Totals],[平均分]])/表教学质量[[#Totals],[平均分]],"")</f>
        <v>-0.0269321816329631</v>
      </c>
      <c r="K12" s="57" cm="1">
        <f ca="1" t="array" ref="K12">COUNT(_xlfn.LET(_xlpm.CJ,INDIRECT(_xlfn.CONCAT("表成绩单[",$F$4,"]")),_xlfn._xlws.FILTER(_xlpm.CJ,(表成绩单[班级]=$E12)*(_xlpm.CJ&gt;=$M$4)*(表成绩单[考试日期]=$I$4))))</f>
        <v>8</v>
      </c>
      <c r="L12" s="58">
        <f ca="1">表教学质量[[#This Row],[优秀人数]]/表教学质量[[#This Row],[参考人数]]</f>
        <v>0.177777777777778</v>
      </c>
      <c r="M12" s="57" cm="1">
        <f ca="1" t="array" ref="M12">COUNT(_xlfn.LET(_xlpm.CJ,INDIRECT(_xlfn.CONCAT("表成绩单[",$F$4,"]")),_xlfn._xlws.FILTER(_xlpm.CJ,(表成绩单[班级]=$E12)*(_xlpm.CJ&gt;=$N$4)*(表成绩单[考试日期]=$I$4))))</f>
        <v>22</v>
      </c>
      <c r="N12" s="58">
        <f ca="1">表教学质量[[#This Row],[良好人数]]/表教学质量[[#This Row],[参考人数]]</f>
        <v>0.488888888888889</v>
      </c>
      <c r="O12" s="57" cm="1">
        <f ca="1" t="array" ref="O12">COUNT(_xlfn.LET(_xlpm.CJ,INDIRECT(_xlfn.CONCAT("表成绩单[",$F$4,"]")),_xlfn._xlws.FILTER(_xlpm.CJ,(表成绩单[班级]=$E12)*(_xlpm.CJ&gt;=$O$4)*(表成绩单[考试日期]=$I$4))))</f>
        <v>44</v>
      </c>
      <c r="P12" s="58">
        <f ca="1">表教学质量[[#This Row],[及格人数]]/表教学质量[[#This Row],[参考人数]]</f>
        <v>0.977777777777778</v>
      </c>
    </row>
    <row r="13" ht="28" customHeight="1" spans="2:16">
      <c r="B13" s="38"/>
      <c r="D13" s="9">
        <f t="shared" ref="D13:D25" si="1">ROW()-6</f>
        <v>7</v>
      </c>
      <c r="E13" s="53" t="s">
        <v>63</v>
      </c>
      <c r="F13" s="53" t="s">
        <v>62</v>
      </c>
      <c r="G13" s="54" cm="1">
        <f ca="1" t="array" ref="G13">COUNT(_xlfn.LET(_xlpm.CJ,INDIRECT(_xlfn.CONCAT("表成绩单[",$F$4,"]")),_xlfn._xlws.FILTER(_xlpm.CJ,(表成绩单[班级]=$E13)*(表成绩单[考试日期]=$I$4))))</f>
        <v>45</v>
      </c>
      <c r="H13" s="55" cm="1">
        <f ca="1" t="array" ref="H13">IFERROR(MAX(_xlfn.LET(_xlpm.CJ,INDIRECT(_xlfn.CONCAT("表成绩单[",$F$4,"]")),_xlfn._xlws.FILTER(_xlpm.CJ,(表成绩单[班级]=$E13)*(表成绩单[考试日期]=$I$4)))),"")</f>
        <v>82</v>
      </c>
      <c r="I13" s="59" cm="1">
        <f ca="1" t="array" ref="I13">IFERROR(AVERAGE(_xlfn.LET(_xlpm.CJ,INDIRECT(_xlfn.CONCAT("表成绩单[",$F$4,"]")),_xlfn._xlws.FILTER(_xlpm.CJ,(表成绩单[班级]=$E13)*(表成绩单[考试日期]=$I$4)))),"")</f>
        <v>72.8888888888889</v>
      </c>
      <c r="J13" s="60">
        <f ca="1">IFERROR((表教学质量[[#This Row],[平均分]]-表教学质量[[#Totals],[平均分]])/表教学质量[[#Totals],[平均分]],"")</f>
        <v>0.0081056362109542</v>
      </c>
      <c r="K13" s="61" cm="1">
        <f ca="1" t="array" ref="K13">COUNT(_xlfn.LET(_xlpm.CJ,INDIRECT(_xlfn.CONCAT("表成绩单[",$F$4,"]")),_xlfn._xlws.FILTER(_xlpm.CJ,(表成绩单[班级]=$E13)*(_xlpm.CJ&gt;=$M$4)*(表成绩单[考试日期]=$I$4))))</f>
        <v>15</v>
      </c>
      <c r="L13" s="62">
        <f ca="1">表教学质量[[#This Row],[优秀人数]]/表教学质量[[#This Row],[参考人数]]</f>
        <v>0.333333333333333</v>
      </c>
      <c r="M13" s="61" cm="1">
        <f ca="1" t="array" ref="M13">COUNT(_xlfn.LET(_xlpm.CJ,INDIRECT(_xlfn.CONCAT("表成绩单[",$F$4,"]")),_xlfn._xlws.FILTER(_xlpm.CJ,(表成绩单[班级]=$E13)*(_xlpm.CJ&gt;=$N$4)*(表成绩单[考试日期]=$I$4))))</f>
        <v>28</v>
      </c>
      <c r="N13" s="63">
        <f ca="1">表教学质量[[#This Row],[良好人数]]/表教学质量[[#This Row],[参考人数]]</f>
        <v>0.622222222222222</v>
      </c>
      <c r="O13" s="61" cm="1">
        <f ca="1" t="array" ref="O13">COUNT(_xlfn.LET(_xlpm.CJ,INDIRECT(_xlfn.CONCAT("表成绩单[",$F$4,"]")),_xlfn._xlws.FILTER(_xlpm.CJ,(表成绩单[班级]=$E13)*(_xlpm.CJ&gt;=$O$4)*(表成绩单[考试日期]=$I$4))))</f>
        <v>45</v>
      </c>
      <c r="P13" s="63">
        <f ca="1">表教学质量[[#This Row],[及格人数]]/表教学质量[[#This Row],[参考人数]]</f>
        <v>1</v>
      </c>
    </row>
    <row r="14" ht="28" customHeight="1" spans="2:16">
      <c r="B14" s="38"/>
      <c r="D14" s="9">
        <f t="shared" si="1"/>
        <v>8</v>
      </c>
      <c r="E14" s="53" t="s">
        <v>64</v>
      </c>
      <c r="F14" s="53" t="s">
        <v>62</v>
      </c>
      <c r="G14" s="54" cm="1">
        <f ca="1" t="array" ref="G14">COUNT(_xlfn.LET(_xlpm.CJ,INDIRECT(_xlfn.CONCAT("表成绩单[",$F$4,"]")),_xlfn._xlws.FILTER(_xlpm.CJ,(表成绩单[班级]=$E14)*(表成绩单[考试日期]=$I$4))))</f>
        <v>41</v>
      </c>
      <c r="H14" s="55" cm="1">
        <f ca="1" t="array" ref="H14">IFERROR(MAX(_xlfn.LET(_xlpm.CJ,INDIRECT(_xlfn.CONCAT("表成绩单[",$F$4,"]")),_xlfn._xlws.FILTER(_xlpm.CJ,(表成绩单[班级]=$E14)*(表成绩单[考试日期]=$I$4)))),"")</f>
        <v>82</v>
      </c>
      <c r="I14" s="59" cm="1">
        <f ca="1" t="array" ref="I14">IFERROR(AVERAGE(_xlfn.LET(_xlpm.CJ,INDIRECT(_xlfn.CONCAT("表成绩单[",$F$4,"]")),_xlfn._xlws.FILTER(_xlpm.CJ,(表成绩单[班级]=$E14)*(表成绩单[考试日期]=$I$4)))),"")</f>
        <v>71.609756097561</v>
      </c>
      <c r="J14" s="60">
        <f ca="1">IFERROR((表教学质量[[#This Row],[平均分]]-表教学质量[[#Totals],[平均分]])/表教学质量[[#Totals],[平均分]],"")</f>
        <v>-0.00958568816038612</v>
      </c>
      <c r="K14" s="61" cm="1">
        <f ca="1" t="array" ref="K14">COUNT(_xlfn.LET(_xlpm.CJ,INDIRECT(_xlfn.CONCAT("表成绩单[",$F$4,"]")),_xlfn._xlws.FILTER(_xlpm.CJ,(表成绩单[班级]=$E14)*(_xlpm.CJ&gt;=$M$4)*(表成绩单[考试日期]=$I$4))))</f>
        <v>11</v>
      </c>
      <c r="L14" s="62">
        <f ca="1">表教学质量[[#This Row],[优秀人数]]/表教学质量[[#This Row],[参考人数]]</f>
        <v>0.268292682926829</v>
      </c>
      <c r="M14" s="61" cm="1">
        <f ca="1" t="array" ref="M14">COUNT(_xlfn.LET(_xlpm.CJ,INDIRECT(_xlfn.CONCAT("表成绩单[",$F$4,"]")),_xlfn._xlws.FILTER(_xlpm.CJ,(表成绩单[班级]=$E14)*(_xlpm.CJ&gt;=$N$4)*(表成绩单[考试日期]=$I$4))))</f>
        <v>27</v>
      </c>
      <c r="N14" s="63">
        <f ca="1">表教学质量[[#This Row],[良好人数]]/表教学质量[[#This Row],[参考人数]]</f>
        <v>0.658536585365854</v>
      </c>
      <c r="O14" s="61" cm="1">
        <f ca="1" t="array" ref="O14">COUNT(_xlfn.LET(_xlpm.CJ,INDIRECT(_xlfn.CONCAT("表成绩单[",$F$4,"]")),_xlfn._xlws.FILTER(_xlpm.CJ,(表成绩单[班级]=$E14)*(_xlpm.CJ&gt;=$O$4)*(表成绩单[考试日期]=$I$4))))</f>
        <v>40</v>
      </c>
      <c r="P14" s="63">
        <f ca="1">表教学质量[[#This Row],[及格人数]]/表教学质量[[#This Row],[参考人数]]</f>
        <v>0.975609756097561</v>
      </c>
    </row>
    <row r="15" ht="28" customHeight="1" spans="2:16">
      <c r="B15" s="38"/>
      <c r="D15" s="9">
        <f t="shared" si="1"/>
        <v>9</v>
      </c>
      <c r="E15" s="53" t="s">
        <v>65</v>
      </c>
      <c r="F15" s="53" t="s">
        <v>62</v>
      </c>
      <c r="G15" s="54" cm="1">
        <f ca="1" t="array" ref="G15">COUNT(_xlfn.LET(_xlpm.CJ,INDIRECT(_xlfn.CONCAT("表成绩单[",$F$4,"]")),_xlfn._xlws.FILTER(_xlpm.CJ,(表成绩单[班级]=$E15)*(表成绩单[考试日期]=$I$4))))</f>
        <v>43</v>
      </c>
      <c r="H15" s="55" cm="1">
        <f ca="1" t="array" ref="H15">IFERROR(MAX(_xlfn.LET(_xlpm.CJ,INDIRECT(_xlfn.CONCAT("表成绩单[",$F$4,"]")),_xlfn._xlws.FILTER(_xlpm.CJ,(表成绩单[班级]=$E15)*(表成绩单[考试日期]=$I$4)))),"")</f>
        <v>84</v>
      </c>
      <c r="I15" s="59" cm="1">
        <f ca="1" t="array" ref="I15">IFERROR(AVERAGE(_xlfn.LET(_xlpm.CJ,INDIRECT(_xlfn.CONCAT("表成绩单[",$F$4,"]")),_xlfn._xlws.FILTER(_xlpm.CJ,(表成绩单[班级]=$E15)*(表成绩单[考试日期]=$I$4)))),"")</f>
        <v>71.6744186046512</v>
      </c>
      <c r="J15" s="60">
        <f ca="1">IFERROR((表教学质量[[#This Row],[平均分]]-表教学质量[[#Totals],[平均分]])/表教学质量[[#Totals],[平均分]],"")</f>
        <v>-0.00869135928745569</v>
      </c>
      <c r="K15" s="61" cm="1">
        <f ca="1" t="array" ref="K15">COUNT(_xlfn.LET(_xlpm.CJ,INDIRECT(_xlfn.CONCAT("表成绩单[",$F$4,"]")),_xlfn._xlws.FILTER(_xlpm.CJ,(表成绩单[班级]=$E15)*(_xlpm.CJ&gt;=$M$4)*(表成绩单[考试日期]=$I$4))))</f>
        <v>15</v>
      </c>
      <c r="L15" s="62">
        <f ca="1">表教学质量[[#This Row],[优秀人数]]/表教学质量[[#This Row],[参考人数]]</f>
        <v>0.348837209302326</v>
      </c>
      <c r="M15" s="61" cm="1">
        <f ca="1" t="array" ref="M15">COUNT(_xlfn.LET(_xlpm.CJ,INDIRECT(_xlfn.CONCAT("表成绩单[",$F$4,"]")),_xlfn._xlws.FILTER(_xlpm.CJ,(表成绩单[班级]=$E15)*(_xlpm.CJ&gt;=$N$4)*(表成绩单[考试日期]=$I$4))))</f>
        <v>22</v>
      </c>
      <c r="N15" s="63">
        <f ca="1">表教学质量[[#This Row],[良好人数]]/表教学质量[[#This Row],[参考人数]]</f>
        <v>0.511627906976744</v>
      </c>
      <c r="O15" s="61" cm="1">
        <f ca="1" t="array" ref="O15">COUNT(_xlfn.LET(_xlpm.CJ,INDIRECT(_xlfn.CONCAT("表成绩单[",$F$4,"]")),_xlfn._xlws.FILTER(_xlpm.CJ,(表成绩单[班级]=$E15)*(_xlpm.CJ&gt;=$O$4)*(表成绩单[考试日期]=$I$4))))</f>
        <v>43</v>
      </c>
      <c r="P15" s="63">
        <f ca="1">表教学质量[[#This Row],[及格人数]]/表教学质量[[#This Row],[参考人数]]</f>
        <v>1</v>
      </c>
    </row>
    <row r="16" ht="28" customHeight="1" spans="2:16">
      <c r="B16" s="38"/>
      <c r="D16" s="9">
        <f t="shared" si="1"/>
        <v>10</v>
      </c>
      <c r="E16" s="53" t="s">
        <v>66</v>
      </c>
      <c r="F16" s="53" t="s">
        <v>62</v>
      </c>
      <c r="G16" s="54" cm="1">
        <f ca="1" t="array" ref="G16">COUNT(_xlfn.LET(_xlpm.CJ,INDIRECT(_xlfn.CONCAT("表成绩单[",$F$4,"]")),_xlfn._xlws.FILTER(_xlpm.CJ,(表成绩单[班级]=$E16)*(表成绩单[考试日期]=$I$4))))</f>
        <v>37</v>
      </c>
      <c r="H16" s="55" cm="1">
        <f ca="1" t="array" ref="H16">IFERROR(MAX(_xlfn.LET(_xlpm.CJ,INDIRECT(_xlfn.CONCAT("表成绩单[",$F$4,"]")),_xlfn._xlws.FILTER(_xlpm.CJ,(表成绩单[班级]=$E16)*(表成绩单[考试日期]=$I$4)))),"")</f>
        <v>82</v>
      </c>
      <c r="I16" s="59" cm="1">
        <f ca="1" t="array" ref="I16">IFERROR(AVERAGE(_xlfn.LET(_xlpm.CJ,INDIRECT(_xlfn.CONCAT("表成绩单[",$F$4,"]")),_xlfn._xlws.FILTER(_xlpm.CJ,(表成绩单[班级]=$E16)*(表成绩单[考试日期]=$I$4)))),"")</f>
        <v>74.3513513513514</v>
      </c>
      <c r="J16" s="60">
        <f ca="1">IFERROR((表教学质量[[#This Row],[平均分]]-表教学质量[[#Totals],[平均分]])/表教学质量[[#Totals],[平均分]],"")</f>
        <v>0.0283325414859516</v>
      </c>
      <c r="K16" s="61" cm="1">
        <f ca="1" t="array" ref="K16">COUNT(_xlfn.LET(_xlpm.CJ,INDIRECT(_xlfn.CONCAT("表成绩单[",$F$4,"]")),_xlfn._xlws.FILTER(_xlpm.CJ,(表成绩单[班级]=$E16)*(_xlpm.CJ&gt;=$M$4)*(表成绩单[考试日期]=$I$4))))</f>
        <v>14</v>
      </c>
      <c r="L16" s="62">
        <f ca="1">表教学质量[[#This Row],[优秀人数]]/表教学质量[[#This Row],[参考人数]]</f>
        <v>0.378378378378378</v>
      </c>
      <c r="M16" s="61" cm="1">
        <f ca="1" t="array" ref="M16">COUNT(_xlfn.LET(_xlpm.CJ,INDIRECT(_xlfn.CONCAT("表成绩单[",$F$4,"]")),_xlfn._xlws.FILTER(_xlpm.CJ,(表成绩单[班级]=$E16)*(_xlpm.CJ&gt;=$N$4)*(表成绩单[考试日期]=$I$4))))</f>
        <v>27</v>
      </c>
      <c r="N16" s="63">
        <f ca="1">表教学质量[[#This Row],[良好人数]]/表教学质量[[#This Row],[参考人数]]</f>
        <v>0.72972972972973</v>
      </c>
      <c r="O16" s="61" cm="1">
        <f ca="1" t="array" ref="O16">COUNT(_xlfn.LET(_xlpm.CJ,INDIRECT(_xlfn.CONCAT("表成绩单[",$F$4,"]")),_xlfn._xlws.FILTER(_xlpm.CJ,(表成绩单[班级]=$E16)*(_xlpm.CJ&gt;=$O$4)*(表成绩单[考试日期]=$I$4))))</f>
        <v>37</v>
      </c>
      <c r="P16" s="63">
        <f ca="1">表教学质量[[#This Row],[及格人数]]/表教学质量[[#This Row],[参考人数]]</f>
        <v>1</v>
      </c>
    </row>
    <row r="17" ht="28" customHeight="1" spans="2:16">
      <c r="B17" s="38"/>
      <c r="D17" s="9">
        <f t="shared" si="1"/>
        <v>11</v>
      </c>
      <c r="E17" s="53" t="s">
        <v>25</v>
      </c>
      <c r="F17" s="53" t="s">
        <v>62</v>
      </c>
      <c r="G17" s="54" cm="1">
        <f ca="1" t="array" ref="G17">COUNT(_xlfn.LET(_xlpm.CJ,INDIRECT(_xlfn.CONCAT("表成绩单[",$F$4,"]")),_xlfn._xlws.FILTER(_xlpm.CJ,(表成绩单[班级]=$E17)*(表成绩单[考试日期]=$I$4))))</f>
        <v>41</v>
      </c>
      <c r="H17" s="55" cm="1">
        <f ca="1" t="array" ref="H17">IFERROR(MAX(_xlfn.LET(_xlpm.CJ,INDIRECT(_xlfn.CONCAT("表成绩单[",$F$4,"]")),_xlfn._xlws.FILTER(_xlpm.CJ,(表成绩单[班级]=$E17)*(表成绩单[考试日期]=$I$4)))),"")</f>
        <v>88</v>
      </c>
      <c r="I17" s="59" cm="1">
        <f ca="1" t="array" ref="I17">IFERROR(AVERAGE(_xlfn.LET(_xlpm.CJ,INDIRECT(_xlfn.CONCAT("表成绩单[",$F$4,"]")),_xlfn._xlws.FILTER(_xlpm.CJ,(表成绩单[班级]=$E17)*(表成绩单[考试日期]=$I$4)))),"")</f>
        <v>73.1951219512195</v>
      </c>
      <c r="J17" s="60">
        <f ca="1">IFERROR((表教学质量[[#This Row],[平均分]]-表教学质量[[#Totals],[平均分]])/表教学质量[[#Totals],[平均分]],"")</f>
        <v>0.0123410592066352</v>
      </c>
      <c r="K17" s="61" cm="1">
        <f ca="1" t="array" ref="K17">COUNT(_xlfn.LET(_xlpm.CJ,INDIRECT(_xlfn.CONCAT("表成绩单[",$F$4,"]")),_xlfn._xlws.FILTER(_xlpm.CJ,(表成绩单[班级]=$E17)*(_xlpm.CJ&gt;=$M$4)*(表成绩单[考试日期]=$I$4))))</f>
        <v>16</v>
      </c>
      <c r="L17" s="62">
        <f ca="1">表教学质量[[#This Row],[优秀人数]]/表教学质量[[#This Row],[参考人数]]</f>
        <v>0.390243902439024</v>
      </c>
      <c r="M17" s="61" cm="1">
        <f ca="1" t="array" ref="M17">COUNT(_xlfn.LET(_xlpm.CJ,INDIRECT(_xlfn.CONCAT("表成绩单[",$F$4,"]")),_xlfn._xlws.FILTER(_xlpm.CJ,(表成绩单[班级]=$E17)*(_xlpm.CJ&gt;=$N$4)*(表成绩单[考试日期]=$I$4))))</f>
        <v>28</v>
      </c>
      <c r="N17" s="63">
        <f ca="1">表教学质量[[#This Row],[良好人数]]/表教学质量[[#This Row],[参考人数]]</f>
        <v>0.682926829268293</v>
      </c>
      <c r="O17" s="61" cm="1">
        <f ca="1" t="array" ref="O17">COUNT(_xlfn.LET(_xlpm.CJ,INDIRECT(_xlfn.CONCAT("表成绩单[",$F$4,"]")),_xlfn._xlws.FILTER(_xlpm.CJ,(表成绩单[班级]=$E17)*(_xlpm.CJ&gt;=$O$4)*(表成绩单[考试日期]=$I$4))))</f>
        <v>40</v>
      </c>
      <c r="P17" s="63">
        <f ca="1">表教学质量[[#This Row],[及格人数]]/表教学质量[[#This Row],[参考人数]]</f>
        <v>0.975609756097561</v>
      </c>
    </row>
    <row r="18" ht="28" customHeight="1" spans="2:16">
      <c r="B18" s="38"/>
      <c r="D18" s="9">
        <f t="shared" si="1"/>
        <v>12</v>
      </c>
      <c r="E18" s="53" t="s">
        <v>67</v>
      </c>
      <c r="F18" s="53" t="s">
        <v>68</v>
      </c>
      <c r="G18" s="54" cm="1">
        <f ca="1" t="array" ref="G18">COUNT(_xlfn.LET(_xlpm.CJ,INDIRECT(_xlfn.CONCAT("表成绩单[",$F$4,"]")),_xlfn._xlws.FILTER(_xlpm.CJ,(表成绩单[班级]=$E18)*(表成绩单[考试日期]=$I$4))))</f>
        <v>40</v>
      </c>
      <c r="H18" s="55" cm="1">
        <f ca="1" t="array" ref="H18">IFERROR(MAX(_xlfn.LET(_xlpm.CJ,INDIRECT(_xlfn.CONCAT("表成绩单[",$F$4,"]")),_xlfn._xlws.FILTER(_xlpm.CJ,(表成绩单[班级]=$E18)*(表成绩单[考试日期]=$I$4)))),"")</f>
        <v>85</v>
      </c>
      <c r="I18" s="59" cm="1">
        <f ca="1" t="array" ref="I18">IFERROR(AVERAGE(_xlfn.LET(_xlpm.CJ,INDIRECT(_xlfn.CONCAT("表成绩单[",$F$4,"]")),_xlfn._xlws.FILTER(_xlpm.CJ,(表成绩单[班级]=$E18)*(表成绩单[考试日期]=$I$4)))),"")</f>
        <v>74.825</v>
      </c>
      <c r="J18" s="60">
        <f ca="1">IFERROR((表教学质量[[#This Row],[平均分]]-表教学质量[[#Totals],[平均分]])/表教学质量[[#Totals],[平均分]],"")</f>
        <v>0.0348834421728078</v>
      </c>
      <c r="K18" s="61" cm="1">
        <f ca="1" t="array" ref="K18">COUNT(_xlfn.LET(_xlpm.CJ,INDIRECT(_xlfn.CONCAT("表成绩单[",$F$4,"]")),_xlfn._xlws.FILTER(_xlpm.CJ,(表成绩单[班级]=$E18)*(_xlpm.CJ&gt;=$M$4)*(表成绩单[考试日期]=$I$4))))</f>
        <v>14</v>
      </c>
      <c r="L18" s="62">
        <f ca="1">表教学质量[[#This Row],[优秀人数]]/表教学质量[[#This Row],[参考人数]]</f>
        <v>0.35</v>
      </c>
      <c r="M18" s="61" cm="1">
        <f ca="1" t="array" ref="M18">COUNT(_xlfn.LET(_xlpm.CJ,INDIRECT(_xlfn.CONCAT("表成绩单[",$F$4,"]")),_xlfn._xlws.FILTER(_xlpm.CJ,(表成绩单[班级]=$E18)*(_xlpm.CJ&gt;=$N$4)*(表成绩单[考试日期]=$I$4))))</f>
        <v>30</v>
      </c>
      <c r="N18" s="63">
        <f ca="1">表教学质量[[#This Row],[良好人数]]/表教学质量[[#This Row],[参考人数]]</f>
        <v>0.75</v>
      </c>
      <c r="O18" s="61" cm="1">
        <f ca="1" t="array" ref="O18">COUNT(_xlfn.LET(_xlpm.CJ,INDIRECT(_xlfn.CONCAT("表成绩单[",$F$4,"]")),_xlfn._xlws.FILTER(_xlpm.CJ,(表成绩单[班级]=$E18)*(_xlpm.CJ&gt;=$O$4)*(表成绩单[考试日期]=$I$4))))</f>
        <v>40</v>
      </c>
      <c r="P18" s="63">
        <f ca="1">表教学质量[[#This Row],[及格人数]]/表教学质量[[#This Row],[参考人数]]</f>
        <v>1</v>
      </c>
    </row>
    <row r="19" ht="28" customHeight="1" spans="2:16">
      <c r="B19" s="38"/>
      <c r="D19" s="9">
        <f t="shared" si="1"/>
        <v>13</v>
      </c>
      <c r="E19" s="53" t="s">
        <v>69</v>
      </c>
      <c r="F19" s="53" t="s">
        <v>68</v>
      </c>
      <c r="G19" s="54" cm="1">
        <f ca="1" t="array" ref="G19">COUNT(_xlfn.LET(_xlpm.CJ,INDIRECT(_xlfn.CONCAT("表成绩单[",$F$4,"]")),_xlfn._xlws.FILTER(_xlpm.CJ,(表成绩单[班级]=$E19)*(表成绩单[考试日期]=$I$4))))</f>
        <v>41</v>
      </c>
      <c r="H19" s="55" cm="1">
        <f ca="1" t="array" ref="H19">IFERROR(MAX(_xlfn.LET(_xlpm.CJ,INDIRECT(_xlfn.CONCAT("表成绩单[",$F$4,"]")),_xlfn._xlws.FILTER(_xlpm.CJ,(表成绩单[班级]=$E19)*(表成绩单[考试日期]=$I$4)))),"")</f>
        <v>85</v>
      </c>
      <c r="I19" s="59" cm="1">
        <f ca="1" t="array" ref="I19">IFERROR(AVERAGE(_xlfn.LET(_xlpm.CJ,INDIRECT(_xlfn.CONCAT("表成绩单[",$F$4,"]")),_xlfn._xlws.FILTER(_xlpm.CJ,(表成绩单[班级]=$E19)*(表成绩单[考试日期]=$I$4)))),"")</f>
        <v>76.6341463414634</v>
      </c>
      <c r="J19" s="60">
        <f ca="1">IFERROR((表教学质量[[#This Row],[平均分]]-表教学质量[[#Totals],[平均分]])/表教学质量[[#Totals],[平均分]],"")</f>
        <v>0.059905234264328</v>
      </c>
      <c r="K19" s="61" cm="1">
        <f ca="1" t="array" ref="K19">COUNT(_xlfn.LET(_xlpm.CJ,INDIRECT(_xlfn.CONCAT("表成绩单[",$F$4,"]")),_xlfn._xlws.FILTER(_xlpm.CJ,(表成绩单[班级]=$E19)*(_xlpm.CJ&gt;=$M$4)*(表成绩单[考试日期]=$I$4))))</f>
        <v>22</v>
      </c>
      <c r="L19" s="62">
        <f ca="1">表教学质量[[#This Row],[优秀人数]]/表教学质量[[#This Row],[参考人数]]</f>
        <v>0.536585365853659</v>
      </c>
      <c r="M19" s="61" cm="1">
        <f ca="1" t="array" ref="M19">COUNT(_xlfn.LET(_xlpm.CJ,INDIRECT(_xlfn.CONCAT("表成绩单[",$F$4,"]")),_xlfn._xlws.FILTER(_xlpm.CJ,(表成绩单[班级]=$E19)*(_xlpm.CJ&gt;=$N$4)*(表成绩单[考试日期]=$I$4))))</f>
        <v>35</v>
      </c>
      <c r="N19" s="63">
        <f ca="1">表教学质量[[#This Row],[良好人数]]/表教学质量[[#This Row],[参考人数]]</f>
        <v>0.853658536585366</v>
      </c>
      <c r="O19" s="61" cm="1">
        <f ca="1" t="array" ref="O19">COUNT(_xlfn.LET(_xlpm.CJ,INDIRECT(_xlfn.CONCAT("表成绩单[",$F$4,"]")),_xlfn._xlws.FILTER(_xlpm.CJ,(表成绩单[班级]=$E19)*(_xlpm.CJ&gt;=$O$4)*(表成绩单[考试日期]=$I$4))))</f>
        <v>41</v>
      </c>
      <c r="P19" s="63">
        <f ca="1">表教学质量[[#This Row],[及格人数]]/表教学质量[[#This Row],[参考人数]]</f>
        <v>1</v>
      </c>
    </row>
    <row r="20" ht="28" customHeight="1" spans="2:16">
      <c r="B20" s="38"/>
      <c r="D20" s="9">
        <f t="shared" si="1"/>
        <v>14</v>
      </c>
      <c r="E20" s="53" t="s">
        <v>70</v>
      </c>
      <c r="F20" s="53" t="s">
        <v>68</v>
      </c>
      <c r="G20" s="54" cm="1">
        <f ca="1" t="array" ref="G20">COUNT(_xlfn.LET(_xlpm.CJ,INDIRECT(_xlfn.CONCAT("表成绩单[",$F$4,"]")),_xlfn._xlws.FILTER(_xlpm.CJ,(表成绩单[班级]=$E20)*(表成绩单[考试日期]=$I$4))))</f>
        <v>43</v>
      </c>
      <c r="H20" s="55" cm="1">
        <f ca="1" t="array" ref="H20">IFERROR(MAX(_xlfn.LET(_xlpm.CJ,INDIRECT(_xlfn.CONCAT("表成绩单[",$F$4,"]")),_xlfn._xlws.FILTER(_xlpm.CJ,(表成绩单[班级]=$E20)*(表成绩单[考试日期]=$I$4)))),"")</f>
        <v>86</v>
      </c>
      <c r="I20" s="59" cm="1">
        <f ca="1" t="array" ref="I20">IFERROR(AVERAGE(_xlfn.LET(_xlpm.CJ,INDIRECT(_xlfn.CONCAT("表成绩单[",$F$4,"]")),_xlfn._xlws.FILTER(_xlpm.CJ,(表成绩单[班级]=$E20)*(表成绩单[考试日期]=$I$4)))),"")</f>
        <v>79.3488372093023</v>
      </c>
      <c r="J20" s="60">
        <f ca="1">IFERROR((表教学质量[[#This Row],[平均分]]-表教学质量[[#Totals],[平均分]])/表教学质量[[#Totals],[平均分]],"")</f>
        <v>0.0974513569471776</v>
      </c>
      <c r="K20" s="61" cm="1">
        <f ca="1" t="array" ref="K20">COUNT(_xlfn.LET(_xlpm.CJ,INDIRECT(_xlfn.CONCAT("表成绩单[",$F$4,"]")),_xlfn._xlws.FILTER(_xlpm.CJ,(表成绩单[班级]=$E20)*(_xlpm.CJ&gt;=$M$4)*(表成绩单[考试日期]=$I$4))))</f>
        <v>34</v>
      </c>
      <c r="L20" s="62">
        <f ca="1">表教学质量[[#This Row],[优秀人数]]/表教学质量[[#This Row],[参考人数]]</f>
        <v>0.790697674418605</v>
      </c>
      <c r="M20" s="61" cm="1">
        <f ca="1" t="array" ref="M20">COUNT(_xlfn.LET(_xlpm.CJ,INDIRECT(_xlfn.CONCAT("表成绩单[",$F$4,"]")),_xlfn._xlws.FILTER(_xlpm.CJ,(表成绩单[班级]=$E20)*(_xlpm.CJ&gt;=$N$4)*(表成绩单[考试日期]=$I$4))))</f>
        <v>42</v>
      </c>
      <c r="N20" s="63">
        <f ca="1">表教学质量[[#This Row],[良好人数]]/表教学质量[[#This Row],[参考人数]]</f>
        <v>0.976744186046512</v>
      </c>
      <c r="O20" s="61" cm="1">
        <f ca="1" t="array" ref="O20">COUNT(_xlfn.LET(_xlpm.CJ,INDIRECT(_xlfn.CONCAT("表成绩单[",$F$4,"]")),_xlfn._xlws.FILTER(_xlpm.CJ,(表成绩单[班级]=$E20)*(_xlpm.CJ&gt;=$O$4)*(表成绩单[考试日期]=$I$4))))</f>
        <v>43</v>
      </c>
      <c r="P20" s="63">
        <f ca="1">表教学质量[[#This Row],[及格人数]]/表教学质量[[#This Row],[参考人数]]</f>
        <v>1</v>
      </c>
    </row>
    <row r="21" ht="28" customHeight="1" spans="2:16">
      <c r="B21" s="38"/>
      <c r="D21" s="9">
        <f t="shared" si="1"/>
        <v>15</v>
      </c>
      <c r="E21" s="53" t="s">
        <v>71</v>
      </c>
      <c r="F21" s="53" t="s">
        <v>68</v>
      </c>
      <c r="G21" s="54" cm="1">
        <f ca="1" t="array" ref="G21">COUNT(_xlfn.LET(_xlpm.CJ,INDIRECT(_xlfn.CONCAT("表成绩单[",$F$4,"]")),_xlfn._xlws.FILTER(_xlpm.CJ,(表成绩单[班级]=$E21)*(表成绩单[考试日期]=$I$4))))</f>
        <v>45</v>
      </c>
      <c r="H21" s="55" cm="1">
        <f ca="1" t="array" ref="H21">IFERROR(MAX(_xlfn.LET(_xlpm.CJ,INDIRECT(_xlfn.CONCAT("表成绩单[",$F$4,"]")),_xlfn._xlws.FILTER(_xlpm.CJ,(表成绩单[班级]=$E21)*(表成绩单[考试日期]=$I$4)))),"")</f>
        <v>87</v>
      </c>
      <c r="I21" s="59" cm="1">
        <f ca="1" t="array" ref="I21">IFERROR(AVERAGE(_xlfn.LET(_xlpm.CJ,INDIRECT(_xlfn.CONCAT("表成绩单[",$F$4,"]")),_xlfn._xlws.FILTER(_xlpm.CJ,(表成绩单[班级]=$E21)*(表成绩单[考试日期]=$I$4)))),"")</f>
        <v>77.4222222222222</v>
      </c>
      <c r="J21" s="60">
        <f ca="1">IFERROR((表教学质量[[#This Row],[平均分]]-表教学质量[[#Totals],[平均分]])/表教学质量[[#Totals],[平均分]],"")</f>
        <v>0.0708048891948062</v>
      </c>
      <c r="K21" s="61" cm="1">
        <f ca="1" t="array" ref="K21">COUNT(_xlfn.LET(_xlpm.CJ,INDIRECT(_xlfn.CONCAT("表成绩单[",$F$4,"]")),_xlfn._xlws.FILTER(_xlpm.CJ,(表成绩单[班级]=$E21)*(_xlpm.CJ&gt;=$M$4)*(表成绩单[考试日期]=$I$4))))</f>
        <v>26</v>
      </c>
      <c r="L21" s="62">
        <f ca="1">表教学质量[[#This Row],[优秀人数]]/表教学质量[[#This Row],[参考人数]]</f>
        <v>0.577777777777778</v>
      </c>
      <c r="M21" s="61" cm="1">
        <f ca="1" t="array" ref="M21">COUNT(_xlfn.LET(_xlpm.CJ,INDIRECT(_xlfn.CONCAT("表成绩单[",$F$4,"]")),_xlfn._xlws.FILTER(_xlpm.CJ,(表成绩单[班级]=$E21)*(_xlpm.CJ&gt;=$N$4)*(表成绩单[考试日期]=$I$4))))</f>
        <v>40</v>
      </c>
      <c r="N21" s="63">
        <f ca="1">表教学质量[[#This Row],[良好人数]]/表教学质量[[#This Row],[参考人数]]</f>
        <v>0.888888888888889</v>
      </c>
      <c r="O21" s="61" cm="1">
        <f ca="1" t="array" ref="O21">COUNT(_xlfn.LET(_xlpm.CJ,INDIRECT(_xlfn.CONCAT("表成绩单[",$F$4,"]")),_xlfn._xlws.FILTER(_xlpm.CJ,(表成绩单[班级]=$E21)*(_xlpm.CJ&gt;=$O$4)*(表成绩单[考试日期]=$I$4))))</f>
        <v>45</v>
      </c>
      <c r="P21" s="63">
        <f ca="1">表教学质量[[#This Row],[及格人数]]/表教学质量[[#This Row],[参考人数]]</f>
        <v>1</v>
      </c>
    </row>
    <row r="22" ht="28" customHeight="1" spans="2:16">
      <c r="B22" s="38"/>
      <c r="D22" s="9">
        <f t="shared" si="1"/>
        <v>16</v>
      </c>
      <c r="E22" s="53" t="s">
        <v>72</v>
      </c>
      <c r="F22" s="53" t="s">
        <v>68</v>
      </c>
      <c r="G22" s="54" cm="1">
        <f ca="1" t="array" ref="G22">COUNT(_xlfn.LET(_xlpm.CJ,INDIRECT(_xlfn.CONCAT("表成绩单[",$F$4,"]")),_xlfn._xlws.FILTER(_xlpm.CJ,(表成绩单[班级]=$E22)*(表成绩单[考试日期]=$I$4))))</f>
        <v>40</v>
      </c>
      <c r="H22" s="55" cm="1">
        <f ca="1" t="array" ref="H22">IFERROR(MAX(_xlfn.LET(_xlpm.CJ,INDIRECT(_xlfn.CONCAT("表成绩单[",$F$4,"]")),_xlfn._xlws.FILTER(_xlpm.CJ,(表成绩单[班级]=$E22)*(表成绩单[考试日期]=$I$4)))),"")</f>
        <v>83</v>
      </c>
      <c r="I22" s="59" cm="1">
        <f ca="1" t="array" ref="I22">IFERROR(AVERAGE(_xlfn.LET(_xlpm.CJ,INDIRECT(_xlfn.CONCAT("表成绩单[",$F$4,"]")),_xlfn._xlws.FILTER(_xlpm.CJ,(表成绩单[班级]=$E22)*(表成绩单[考试日期]=$I$4)))),"")</f>
        <v>75.425</v>
      </c>
      <c r="J22" s="60">
        <f ca="1">IFERROR((表教学质量[[#This Row],[平均分]]-表教学质量[[#Totals],[平均分]])/表教学质量[[#Totals],[平均分]],"")</f>
        <v>0.0431818727147881</v>
      </c>
      <c r="K22" s="61" cm="1">
        <f ca="1" t="array" ref="K22">COUNT(_xlfn.LET(_xlpm.CJ,INDIRECT(_xlfn.CONCAT("表成绩单[",$F$4,"]")),_xlfn._xlws.FILTER(_xlpm.CJ,(表成绩单[班级]=$E22)*(_xlpm.CJ&gt;=$M$4)*(表成绩单[考试日期]=$I$4))))</f>
        <v>22</v>
      </c>
      <c r="L22" s="62">
        <f ca="1">表教学质量[[#This Row],[优秀人数]]/表教学质量[[#This Row],[参考人数]]</f>
        <v>0.55</v>
      </c>
      <c r="M22" s="61" cm="1">
        <f ca="1" t="array" ref="M22">COUNT(_xlfn.LET(_xlpm.CJ,INDIRECT(_xlfn.CONCAT("表成绩单[",$F$4,"]")),_xlfn._xlws.FILTER(_xlpm.CJ,(表成绩单[班级]=$E22)*(_xlpm.CJ&gt;=$N$4)*(表成绩单[考试日期]=$I$4))))</f>
        <v>32</v>
      </c>
      <c r="N22" s="63">
        <f ca="1">表教学质量[[#This Row],[良好人数]]/表教学质量[[#This Row],[参考人数]]</f>
        <v>0.8</v>
      </c>
      <c r="O22" s="61" cm="1">
        <f ca="1" t="array" ref="O22">COUNT(_xlfn.LET(_xlpm.CJ,INDIRECT(_xlfn.CONCAT("表成绩单[",$F$4,"]")),_xlfn._xlws.FILTER(_xlpm.CJ,(表成绩单[班级]=$E22)*(_xlpm.CJ&gt;=$O$4)*(表成绩单[考试日期]=$I$4))))</f>
        <v>40</v>
      </c>
      <c r="P22" s="63">
        <f ca="1">表教学质量[[#This Row],[及格人数]]/表教学质量[[#This Row],[参考人数]]</f>
        <v>1</v>
      </c>
    </row>
    <row r="23" ht="28" customHeight="1" spans="2:16">
      <c r="B23" s="38"/>
      <c r="D23" s="9">
        <f t="shared" si="1"/>
        <v>17</v>
      </c>
      <c r="E23" s="53" t="s">
        <v>73</v>
      </c>
      <c r="F23" s="53" t="s">
        <v>68</v>
      </c>
      <c r="G23" s="54" cm="1">
        <f ca="1" t="array" ref="G23">COUNT(_xlfn.LET(_xlpm.CJ,INDIRECT(_xlfn.CONCAT("表成绩单[",$F$4,"]")),_xlfn._xlws.FILTER(_xlpm.CJ,(表成绩单[班级]=$E23)*(表成绩单[考试日期]=$I$4))))</f>
        <v>42</v>
      </c>
      <c r="H23" s="55" cm="1">
        <f ca="1" t="array" ref="H23">IFERROR(MAX(_xlfn.LET(_xlpm.CJ,INDIRECT(_xlfn.CONCAT("表成绩单[",$F$4,"]")),_xlfn._xlws.FILTER(_xlpm.CJ,(表成绩单[班级]=$E23)*(表成绩单[考试日期]=$I$4)))),"")</f>
        <v>82</v>
      </c>
      <c r="I23" s="59" cm="1">
        <f ca="1" t="array" ref="I23">IFERROR(AVERAGE(_xlfn.LET(_xlpm.CJ,INDIRECT(_xlfn.CONCAT("表成绩单[",$F$4,"]")),_xlfn._xlws.FILTER(_xlpm.CJ,(表成绩单[班级]=$E23)*(表成绩单[考试日期]=$I$4)))),"")</f>
        <v>75.3333333333333</v>
      </c>
      <c r="J23" s="60">
        <f ca="1">IFERROR((表教学质量[[#This Row],[平均分]]-表教学质量[[#Totals],[平均分]])/表教学质量[[#Totals],[平均分]],"")</f>
        <v>0.0419140569375411</v>
      </c>
      <c r="K23" s="61" cm="1">
        <f ca="1" t="array" ref="K23">COUNT(_xlfn.LET(_xlpm.CJ,INDIRECT(_xlfn.CONCAT("表成绩单[",$F$4,"]")),_xlfn._xlws.FILTER(_xlpm.CJ,(表成绩单[班级]=$E23)*(_xlpm.CJ&gt;=$M$4)*(表成绩单[考试日期]=$I$4))))</f>
        <v>18</v>
      </c>
      <c r="L23" s="62">
        <f ca="1">表教学质量[[#This Row],[优秀人数]]/表教学质量[[#This Row],[参考人数]]</f>
        <v>0.428571428571429</v>
      </c>
      <c r="M23" s="61" cm="1">
        <f ca="1" t="array" ref="M23">COUNT(_xlfn.LET(_xlpm.CJ,INDIRECT(_xlfn.CONCAT("表成绩单[",$F$4,"]")),_xlfn._xlws.FILTER(_xlpm.CJ,(表成绩单[班级]=$E23)*(_xlpm.CJ&gt;=$N$4)*(表成绩单[考试日期]=$I$4))))</f>
        <v>34</v>
      </c>
      <c r="N23" s="63">
        <f ca="1">表教学质量[[#This Row],[良好人数]]/表教学质量[[#This Row],[参考人数]]</f>
        <v>0.80952380952381</v>
      </c>
      <c r="O23" s="61" cm="1">
        <f ca="1" t="array" ref="O23">COUNT(_xlfn.LET(_xlpm.CJ,INDIRECT(_xlfn.CONCAT("表成绩单[",$F$4,"]")),_xlfn._xlws.FILTER(_xlpm.CJ,(表成绩单[班级]=$E23)*(_xlpm.CJ&gt;=$O$4)*(表成绩单[考试日期]=$I$4))))</f>
        <v>42</v>
      </c>
      <c r="P23" s="63">
        <f ca="1">表教学质量[[#This Row],[及格人数]]/表教学质量[[#This Row],[参考人数]]</f>
        <v>1</v>
      </c>
    </row>
    <row r="24" ht="28" customHeight="1" spans="2:16">
      <c r="B24" s="38"/>
      <c r="D24" s="9">
        <f t="shared" si="1"/>
        <v>18</v>
      </c>
      <c r="E24" s="53" t="s">
        <v>74</v>
      </c>
      <c r="F24" s="53" t="s">
        <v>68</v>
      </c>
      <c r="G24" s="54" cm="1">
        <f ca="1" t="array" ref="G24">COUNT(_xlfn.LET(_xlpm.CJ,INDIRECT(_xlfn.CONCAT("表成绩单[",$F$4,"]")),_xlfn._xlws.FILTER(_xlpm.CJ,(表成绩单[班级]=$E24)*(表成绩单[考试日期]=$I$4))))</f>
        <v>43</v>
      </c>
      <c r="H24" s="55" cm="1">
        <f ca="1" t="array" ref="H24">IFERROR(MAX(_xlfn.LET(_xlpm.CJ,INDIRECT(_xlfn.CONCAT("表成绩单[",$F$4,"]")),_xlfn._xlws.FILTER(_xlpm.CJ,(表成绩单[班级]=$E24)*(表成绩单[考试日期]=$I$4)))),"")</f>
        <v>87</v>
      </c>
      <c r="I24" s="59" cm="1">
        <f ca="1" t="array" ref="I24">IFERROR(AVERAGE(_xlfn.LET(_xlpm.CJ,INDIRECT(_xlfn.CONCAT("表成绩单[",$F$4,"]")),_xlfn._xlws.FILTER(_xlpm.CJ,(表成绩单[班级]=$E24)*(表成绩单[考试日期]=$I$4)))),"")</f>
        <v>78.9302325581395</v>
      </c>
      <c r="J24" s="60">
        <f ca="1">IFERROR((表教学质量[[#This Row],[平均分]]-表教学质量[[#Totals],[平均分]])/表教学质量[[#Totals],[平均分]],"")</f>
        <v>0.0916617542434703</v>
      </c>
      <c r="K24" s="61" cm="1">
        <f ca="1" t="array" ref="K24">COUNT(_xlfn.LET(_xlpm.CJ,INDIRECT(_xlfn.CONCAT("表成绩单[",$F$4,"]")),_xlfn._xlws.FILTER(_xlpm.CJ,(表成绩单[班级]=$E24)*(_xlpm.CJ&gt;=$M$4)*(表成绩单[考试日期]=$I$4))))</f>
        <v>35</v>
      </c>
      <c r="L24" s="62">
        <f ca="1">表教学质量[[#This Row],[优秀人数]]/表教学质量[[#This Row],[参考人数]]</f>
        <v>0.813953488372093</v>
      </c>
      <c r="M24" s="61" cm="1">
        <f ca="1" t="array" ref="M24">COUNT(_xlfn.LET(_xlpm.CJ,INDIRECT(_xlfn.CONCAT("表成绩单[",$F$4,"]")),_xlfn._xlws.FILTER(_xlpm.CJ,(表成绩单[班级]=$E24)*(_xlpm.CJ&gt;=$N$4)*(表成绩单[考试日期]=$I$4))))</f>
        <v>41</v>
      </c>
      <c r="N24" s="63">
        <f ca="1">表教学质量[[#This Row],[良好人数]]/表教学质量[[#This Row],[参考人数]]</f>
        <v>0.953488372093023</v>
      </c>
      <c r="O24" s="61" cm="1">
        <f ca="1" t="array" ref="O24">COUNT(_xlfn.LET(_xlpm.CJ,INDIRECT(_xlfn.CONCAT("表成绩单[",$F$4,"]")),_xlfn._xlws.FILTER(_xlpm.CJ,(表成绩单[班级]=$E24)*(_xlpm.CJ&gt;=$O$4)*(表成绩单[考试日期]=$I$4))))</f>
        <v>43</v>
      </c>
      <c r="P24" s="63">
        <f ca="1">表教学质量[[#This Row],[及格人数]]/表教学质量[[#This Row],[参考人数]]</f>
        <v>1</v>
      </c>
    </row>
    <row r="25" ht="28" customHeight="1" spans="2:16">
      <c r="B25" s="38"/>
      <c r="D25" s="9">
        <f t="shared" si="1"/>
        <v>19</v>
      </c>
      <c r="E25" s="53" t="s">
        <v>1</v>
      </c>
      <c r="F25" s="53" t="s">
        <v>68</v>
      </c>
      <c r="G25" s="54" cm="1">
        <f ca="1" t="array" ref="G25">COUNT(_xlfn.LET(_xlpm.CJ,INDIRECT(_xlfn.CONCAT("表成绩单[",$F$4,"]")),_xlfn._xlws.FILTER(_xlpm.CJ,(表成绩单[班级]=$E25)*(表成绩单[考试日期]=$I$4))))</f>
        <v>42</v>
      </c>
      <c r="H25" s="55" cm="1">
        <f ca="1" t="array" ref="H25">IFERROR(MAX(_xlfn.LET(_xlpm.CJ,INDIRECT(_xlfn.CONCAT("表成绩单[",$F$4,"]")),_xlfn._xlws.FILTER(_xlpm.CJ,(表成绩单[班级]=$E25)*(表成绩单[考试日期]=$I$4)))),"")</f>
        <v>85</v>
      </c>
      <c r="I25" s="59" cm="1">
        <f ca="1" t="array" ref="I25">IFERROR(AVERAGE(_xlfn.LET(_xlpm.CJ,INDIRECT(_xlfn.CONCAT("表成绩单[",$F$4,"]")),_xlfn._xlws.FILTER(_xlpm.CJ,(表成绩单[班级]=$E25)*(表成绩单[考试日期]=$I$4)))),"")</f>
        <v>77.0714285714286</v>
      </c>
      <c r="J25" s="60">
        <f ca="1">IFERROR((表教学质量[[#This Row],[平均分]]-表教学质量[[#Totals],[平均分]])/表教学质量[[#Totals],[平均分]],"")</f>
        <v>0.0659531612853415</v>
      </c>
      <c r="K25" s="61" cm="1">
        <f ca="1" t="array" ref="K25">COUNT(_xlfn.LET(_xlpm.CJ,INDIRECT(_xlfn.CONCAT("表成绩单[",$F$4,"]")),_xlfn._xlws.FILTER(_xlpm.CJ,(表成绩单[班级]=$E25)*(_xlpm.CJ&gt;=$M$4)*(表成绩单[考试日期]=$I$4))))</f>
        <v>27</v>
      </c>
      <c r="L25" s="62">
        <f ca="1">表教学质量[[#This Row],[优秀人数]]/表教学质量[[#This Row],[参考人数]]</f>
        <v>0.642857142857143</v>
      </c>
      <c r="M25" s="61" cm="1">
        <f ca="1" t="array" ref="M25">COUNT(_xlfn.LET(_xlpm.CJ,INDIRECT(_xlfn.CONCAT("表成绩单[",$F$4,"]")),_xlfn._xlws.FILTER(_xlpm.CJ,(表成绩单[班级]=$E25)*(_xlpm.CJ&gt;=$N$4)*(表成绩单[考试日期]=$I$4))))</f>
        <v>37</v>
      </c>
      <c r="N25" s="63">
        <f ca="1">表教学质量[[#This Row],[良好人数]]/表教学质量[[#This Row],[参考人数]]</f>
        <v>0.880952380952381</v>
      </c>
      <c r="O25" s="61" cm="1">
        <f ca="1" t="array" ref="O25">COUNT(_xlfn.LET(_xlpm.CJ,INDIRECT(_xlfn.CONCAT("表成绩单[",$F$4,"]")),_xlfn._xlws.FILTER(_xlpm.CJ,(表成绩单[班级]=$E25)*(_xlpm.CJ&gt;=$O$4)*(表成绩单[考试日期]=$I$4))))</f>
        <v>42</v>
      </c>
      <c r="P25" s="63">
        <f ca="1">表教学质量[[#This Row],[及格人数]]/表教学质量[[#This Row],[参考人数]]</f>
        <v>1</v>
      </c>
    </row>
    <row r="26" ht="28" customHeight="1" spans="2:16">
      <c r="B26" s="38"/>
      <c r="D26" s="64" t="s">
        <v>75</v>
      </c>
      <c r="E26" s="65">
        <f>SUBTOTAL(103,表教学质量[班级])</f>
        <v>19</v>
      </c>
      <c r="F26" s="65"/>
      <c r="G26" s="66">
        <f ca="1">SUBTOTAL(109,表教学质量[参考人数])</f>
        <v>783</v>
      </c>
      <c r="H26" s="67">
        <f ca="1">SUBTOTAL(104,表教学质量[最高分])</f>
        <v>88</v>
      </c>
      <c r="I26" s="67">
        <f ca="1">SUBTOTAL(101,表教学质量[平均分])</f>
        <v>72.302828464334</v>
      </c>
      <c r="J26" s="67">
        <f ca="1">_xlfn.STDEV.S(INDIRECT(_xlfn.CONCAT("表成绩单[",$F$4,"]")))</f>
        <v>12.461858657185</v>
      </c>
      <c r="K26" s="66">
        <f ca="1">SUBTOTAL(109,表教学质量[优秀人数])</f>
        <v>290</v>
      </c>
      <c r="L26" s="68">
        <f ca="1">表教学质量[[#Totals],[优秀人数]]/表教学质量[[#Totals],[参考人数]]</f>
        <v>0.37037037037037</v>
      </c>
      <c r="M26" s="66">
        <f ca="1">SUBTOTAL(109,表教学质量[良好人数])</f>
        <v>512</v>
      </c>
      <c r="N26" s="69">
        <f ca="1">表教学质量[[#Totals],[良好人数]]/表教学质量[[#Totals],[参考人数]]</f>
        <v>0.65389527458493</v>
      </c>
      <c r="O26" s="66">
        <f ca="1">SUBTOTAL(109,表教学质量[及格人数])</f>
        <v>750</v>
      </c>
      <c r="P26" s="68">
        <f ca="1">表教学质量[[#Totals],[及格人数]]/表教学质量[[#Totals],[参考人数]]</f>
        <v>0.957854406130268</v>
      </c>
    </row>
    <row r="27" ht="28" customHeight="1" spans="2:16">
      <c r="B27" s="38"/>
    </row>
    <row r="28" ht="28" customHeight="1"/>
    <row r="29" ht="28" customHeight="1"/>
    <row r="30" ht="28" customHeight="1"/>
    <row r="31" ht="28" customHeight="1"/>
    <row r="32" ht="28" customHeight="1"/>
    <row r="33" s="35" customFormat="1" ht="28" customHeight="1"/>
    <row r="36" s="35" customFormat="1" ht="5.15" customHeight="1"/>
  </sheetData>
  <mergeCells count="5">
    <mergeCell ref="D2:P2"/>
    <mergeCell ref="D4:E4"/>
    <mergeCell ref="G4:H4"/>
    <mergeCell ref="I4:J4"/>
    <mergeCell ref="K4:L4"/>
  </mergeCells>
  <conditionalFormatting sqref="I7:I25">
    <cfRule type="iconSet" priority="17">
      <iconSet iconSet="3Arrows">
        <cfvo type="percent" val="0"/>
        <cfvo type="percent" val="33"/>
        <cfvo type="percent" val="67"/>
      </iconSet>
    </cfRule>
  </conditionalFormatting>
  <conditionalFormatting sqref="K7:K25">
    <cfRule type="dataBar" priority="4">
      <dataBar>
        <cfvo type="min"/>
        <cfvo type="max"/>
        <color theme="4" tint="0.799981688894314"/>
      </dataBar>
      <extLst>
        <ext xmlns:x14="http://schemas.microsoft.com/office/spreadsheetml/2009/9/main" uri="{B025F937-C7B1-47D3-B67F-A62EFF666E3E}">
          <x14:id>{b4435787-ab96-4707-a608-efb6006019f9}</x14:id>
        </ext>
      </extLst>
    </cfRule>
  </conditionalFormatting>
  <conditionalFormatting sqref="M7:M25">
    <cfRule type="dataBar" priority="3">
      <dataBar>
        <cfvo type="min"/>
        <cfvo type="max"/>
        <color theme="4" tint="0.799981688894314"/>
      </dataBar>
      <extLst>
        <ext xmlns:x14="http://schemas.microsoft.com/office/spreadsheetml/2009/9/main" uri="{B025F937-C7B1-47D3-B67F-A62EFF666E3E}">
          <x14:id>{847514c0-88a3-4cd4-8ae8-92c196f47e14}</x14:id>
        </ext>
      </extLst>
    </cfRule>
  </conditionalFormatting>
  <conditionalFormatting sqref="O7:O25">
    <cfRule type="dataBar" priority="2">
      <dataBar>
        <cfvo type="min"/>
        <cfvo type="max"/>
        <color theme="4" tint="0.799981688894314"/>
      </dataBar>
      <extLst>
        <ext xmlns:x14="http://schemas.microsoft.com/office/spreadsheetml/2009/9/main" uri="{B025F937-C7B1-47D3-B67F-A62EFF666E3E}">
          <x14:id>{ecdea2a1-8a9b-453b-b0e3-40a5d626fcf1}</x14:id>
        </ext>
      </extLst>
    </cfRule>
  </conditionalFormatting>
  <conditionalFormatting sqref="D7:P25">
    <cfRule type="expression" dxfId="32" priority="1">
      <formula>$P$4&lt;&gt;123</formula>
    </cfRule>
  </conditionalFormatting>
  <dataValidations count="2">
    <dataValidation type="list" allowBlank="1" showInputMessage="1" sqref="F4">
      <formula1>科目明细!$D$5:$D$12</formula1>
    </dataValidation>
    <dataValidation type="list" allowBlank="1" showInputMessage="1" sqref="I4:J4">
      <formula1>科目明细!$J$5:$J$8</formula1>
    </dataValidation>
  </dataValidations>
  <hyperlinks>
    <hyperlink ref="D1" location="'封面-成绩分析系统'!A1" display="返回◀"/>
  </hyperlinks>
  <printOptions horizontalCentered="1"/>
  <pageMargins left="0.196850393700787" right="0.196850393700787" top="0.708661417322835" bottom="0.196850393700787" header="0.31496062992126" footer="0.31496062992126"/>
  <pageSetup paperSize="9" scale="62" fitToHeight="0" orientation="portrait"/>
  <headerFooter/>
  <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4435787-ab96-4707-a608-efb6006019f9}">
            <x14:dataBar minLength="0" maxLength="100" border="1" gradient="0">
              <x14:cfvo type="autoMin"/>
              <x14:cfvo type="autoMax"/>
              <x14:borderColor theme="0"/>
              <x14:negativeFillColor rgb="FFFF0000"/>
              <x14:axisColor rgb="FF000000"/>
            </x14:dataBar>
          </x14:cfRule>
          <xm:sqref>K7:K25</xm:sqref>
        </x14:conditionalFormatting>
        <x14:conditionalFormatting xmlns:xm="http://schemas.microsoft.com/office/excel/2006/main">
          <x14:cfRule type="dataBar" id="{847514c0-88a3-4cd4-8ae8-92c196f47e14}">
            <x14:dataBar minLength="0" maxLength="100" border="1" gradient="0">
              <x14:cfvo type="autoMin"/>
              <x14:cfvo type="autoMax"/>
              <x14:borderColor theme="0"/>
              <x14:negativeFillColor rgb="FFFF0000"/>
              <x14:axisColor rgb="FF000000"/>
            </x14:dataBar>
          </x14:cfRule>
          <xm:sqref>M7:M25</xm:sqref>
        </x14:conditionalFormatting>
        <x14:conditionalFormatting xmlns:xm="http://schemas.microsoft.com/office/excel/2006/main">
          <x14:cfRule type="dataBar" id="{ecdea2a1-8a9b-453b-b0e3-40a5d626fcf1}">
            <x14:dataBar minLength="0" maxLength="100" border="1" gradient="0">
              <x14:cfvo type="autoMin"/>
              <x14:cfvo type="autoMax"/>
              <x14:borderColor theme="0"/>
              <x14:negativeFillColor rgb="FFFF0000"/>
              <x14:axisColor rgb="FF000000"/>
            </x14:dataBar>
          </x14:cfRule>
          <xm:sqref>O7:O25</xm:sqref>
        </x14:conditionalFormatting>
      </x14:conditionalFormatting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W3205"/>
  <sheetViews>
    <sheetView showGridLines="0" workbookViewId="0">
      <pane xSplit="4" ySplit="4" topLeftCell="E3162" activePane="bottomRight" state="frozen"/>
      <selection/>
      <selection pane="topRight"/>
      <selection pane="bottomLeft"/>
      <selection pane="bottomRight" activeCell="D3206" sqref="D3206"/>
    </sheetView>
  </sheetViews>
  <sheetFormatPr defaultColWidth="8.75" defaultRowHeight="13"/>
  <cols>
    <col min="1" max="1" width="1.41" style="2" customWidth="1"/>
    <col min="2" max="2" width="5.75" style="6" customWidth="1"/>
    <col min="3" max="3" width="1.41" style="2" customWidth="1"/>
    <col min="4" max="4" width="14.25" style="2" customWidth="1"/>
    <col min="5" max="5" width="12.75" style="2" customWidth="1"/>
    <col min="6" max="7" width="12.41" style="2" customWidth="1"/>
    <col min="8" max="15" width="8.58" style="2" customWidth="1"/>
    <col min="16" max="22" width="8.75" style="2"/>
    <col min="23" max="23" width="10" style="2" customWidth="1"/>
    <col min="24" max="16384" width="8.75" style="2"/>
  </cols>
  <sheetData>
    <row r="1" ht="8.15" customHeight="1" spans="2:23">
      <c r="B1" s="2"/>
      <c r="D1" s="3"/>
      <c r="E1" s="3"/>
    </row>
    <row r="2" s="1" customFormat="1" ht="38.15" customHeight="1" spans="2:23">
      <c r="B2" s="4"/>
      <c r="D2" s="26" t="s">
        <v>76</v>
      </c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7" t="s">
        <v>77</v>
      </c>
      <c r="W2" s="28">
        <v>123</v>
      </c>
    </row>
    <row r="3" ht="8.15" customHeight="1"/>
    <row r="4" ht="28" customHeight="1" spans="2:23">
      <c r="D4" s="29" t="s">
        <v>4</v>
      </c>
      <c r="E4" s="29" t="s">
        <v>78</v>
      </c>
      <c r="F4" s="29" t="s">
        <v>0</v>
      </c>
      <c r="G4" s="29" t="s">
        <v>79</v>
      </c>
      <c r="H4" s="29" t="s">
        <v>13</v>
      </c>
      <c r="I4" s="29" t="s">
        <v>14</v>
      </c>
      <c r="J4" s="29" t="s">
        <v>15</v>
      </c>
      <c r="K4" s="29" t="s">
        <v>16</v>
      </c>
      <c r="L4" s="29" t="s">
        <v>17</v>
      </c>
      <c r="M4" s="29" t="s">
        <v>18</v>
      </c>
      <c r="N4" s="29" t="s">
        <v>19</v>
      </c>
      <c r="O4" s="29" t="s">
        <v>20</v>
      </c>
      <c r="P4" s="30" t="s">
        <v>30</v>
      </c>
      <c r="Q4" s="30" t="s">
        <v>31</v>
      </c>
      <c r="R4" s="30" t="s">
        <v>32</v>
      </c>
      <c r="S4" s="30" t="s">
        <v>33</v>
      </c>
      <c r="T4" s="30" t="s">
        <v>34</v>
      </c>
      <c r="U4" s="30" t="s">
        <v>35</v>
      </c>
      <c r="V4" s="30" t="s">
        <v>36</v>
      </c>
      <c r="W4" s="30" t="s">
        <v>37</v>
      </c>
    </row>
    <row r="5" ht="28" customHeight="1" spans="2:23">
      <c r="D5" s="31">
        <v>45975</v>
      </c>
      <c r="E5" s="29">
        <v>19176896</v>
      </c>
      <c r="F5" s="29" t="s">
        <v>71</v>
      </c>
      <c r="G5" s="29" t="s">
        <v>80</v>
      </c>
      <c r="H5" s="29">
        <v>114</v>
      </c>
      <c r="I5" s="29">
        <v>119</v>
      </c>
      <c r="J5" s="29">
        <v>89</v>
      </c>
      <c r="K5" s="29">
        <v>88</v>
      </c>
      <c r="L5" s="29">
        <v>86</v>
      </c>
      <c r="M5" s="29">
        <v>84</v>
      </c>
      <c r="N5" s="29">
        <v>79</v>
      </c>
      <c r="O5" s="32">
        <v>659</v>
      </c>
      <c r="P5" s="29" cm="1">
        <f t="array" ref="P5">IF(表成绩单[[#This Row],[语文]]="","",SUMPRODUCT((表成绩单[考试日期]=表成绩单[[#This Row],[考试日期]])*(表成绩单[语文]&lt;9E+307)*(表成绩单[语文]&gt;表成绩单[[#This Row],[语文]]))+1)</f>
        <v>4</v>
      </c>
      <c r="Q5" s="29" cm="1">
        <f t="array" ref="Q5">IF(表成绩单[[#This Row],[数学]]="","",SUMPRODUCT((表成绩单[考试日期]=表成绩单[[#This Row],[考试日期]])*(表成绩单[数学]&lt;9E+307)*(表成绩单[数学]&gt;表成绩单[[#This Row],[数学]]))+1)</f>
        <v>11</v>
      </c>
      <c r="R5" s="29" cm="1">
        <f t="array" ref="R5">IF(表成绩单[[#This Row],[英语]]="","",SUMPRODUCT((表成绩单[考试日期]=表成绩单[[#This Row],[考试日期]])*(表成绩单[英语]&lt;9E+307)*(表成绩单[英语]&gt;表成绩单[[#This Row],[英语]]))+1)</f>
        <v>1</v>
      </c>
      <c r="S5" s="29" cm="1">
        <f t="array" ref="S5">IF(表成绩单[[#This Row],[物理]]="","",SUMPRODUCT((表成绩单[考试日期]=表成绩单[[#This Row],[考试日期]])*(表成绩单[物理]&lt;9E+307)*(表成绩单[物理]&gt;表成绩单[[#This Row],[物理]]))+1)</f>
        <v>54</v>
      </c>
      <c r="T5" s="29" cm="1">
        <f t="array" ref="T5">IF(表成绩单[[#This Row],[化学]]="","",SUMPRODUCT((表成绩单[考试日期]=表成绩单[[#This Row],[考试日期]])*(表成绩单[化学]&lt;9E+307)*(表成绩单[化学]&gt;表成绩单[[#This Row],[化学]]))+1)</f>
        <v>8</v>
      </c>
      <c r="U5" s="29" cm="1">
        <f t="array" ref="U5">IF(表成绩单[[#This Row],[政治]]="","",SUMPRODUCT((表成绩单[考试日期]=表成绩单[[#This Row],[考试日期]])*(表成绩单[政治]&lt;9E+307)*(表成绩单[政治]&gt;表成绩单[[#This Row],[政治]]))+1)</f>
        <v>83</v>
      </c>
      <c r="V5" s="29" cm="1">
        <f t="array" ref="V5">IF(表成绩单[[#This Row],[历史]]="","",SUMPRODUCT((表成绩单[考试日期]=表成绩单[[#This Row],[考试日期]])*(表成绩单[历史]&lt;9E+307)*(表成绩单[历史]&gt;表成绩单[[#This Row],[历史]]))+1)</f>
        <v>144</v>
      </c>
      <c r="W5" s="29" cm="1">
        <f t="array" ref="W5">IF(表成绩单[[#This Row],[总分]]="","",SUMPRODUCT((表成绩单[考试日期]=表成绩单[[#This Row],[考试日期]])*(表成绩单[总分]&lt;9E+307)*(表成绩单[总分]&gt;表成绩单[[#This Row],[总分]]))+1)</f>
        <v>1</v>
      </c>
    </row>
    <row r="6" ht="28" customHeight="1" spans="2:23">
      <c r="D6" s="31">
        <v>45975</v>
      </c>
      <c r="E6" s="29">
        <v>19173522</v>
      </c>
      <c r="F6" s="29" t="s">
        <v>1</v>
      </c>
      <c r="G6" s="29" t="s">
        <v>3</v>
      </c>
      <c r="H6" s="29">
        <v>106</v>
      </c>
      <c r="I6" s="29">
        <v>118</v>
      </c>
      <c r="J6" s="29">
        <v>89</v>
      </c>
      <c r="K6" s="29">
        <v>87</v>
      </c>
      <c r="L6" s="29">
        <v>86</v>
      </c>
      <c r="M6" s="29">
        <v>87</v>
      </c>
      <c r="N6" s="29">
        <v>84</v>
      </c>
      <c r="O6" s="32">
        <v>657</v>
      </c>
      <c r="P6" s="29" cm="1">
        <f t="array" ref="P6">IF(表成绩单[[#This Row],[语文]]="","",SUMPRODUCT((表成绩单[考试日期]=表成绩单[[#This Row],[考试日期]])*(表成绩单[语文]&lt;9E+307)*(表成绩单[语文]&gt;表成绩单[[#This Row],[语文]]))+1)</f>
        <v>62</v>
      </c>
      <c r="Q6" s="29" cm="1">
        <f t="array" ref="Q6">IF(表成绩单[[#This Row],[数学]]="","",SUMPRODUCT((表成绩单[考试日期]=表成绩单[[#This Row],[考试日期]])*(表成绩单[数学]&lt;9E+307)*(表成绩单[数学]&gt;表成绩单[[#This Row],[数学]]))+1)</f>
        <v>22</v>
      </c>
      <c r="R6" s="29" cm="1">
        <f t="array" ref="R6">IF(表成绩单[[#This Row],[英语]]="","",SUMPRODUCT((表成绩单[考试日期]=表成绩单[[#This Row],[考试日期]])*(表成绩单[英语]&lt;9E+307)*(表成绩单[英语]&gt;表成绩单[[#This Row],[英语]]))+1)</f>
        <v>1</v>
      </c>
      <c r="S6" s="29" cm="1">
        <f t="array" ref="S6">IF(表成绩单[[#This Row],[物理]]="","",SUMPRODUCT((表成绩单[考试日期]=表成绩单[[#This Row],[考试日期]])*(表成绩单[物理]&lt;9E+307)*(表成绩单[物理]&gt;表成绩单[[#This Row],[物理]]))+1)</f>
        <v>127</v>
      </c>
      <c r="T6" s="29" cm="1">
        <f t="array" ref="T6">IF(表成绩单[[#This Row],[化学]]="","",SUMPRODUCT((表成绩单[考试日期]=表成绩单[[#This Row],[考试日期]])*(表成绩单[化学]&lt;9E+307)*(表成绩单[化学]&gt;表成绩单[[#This Row],[化学]]))+1)</f>
        <v>8</v>
      </c>
      <c r="U6" s="29" cm="1">
        <f t="array" ref="U6">IF(表成绩单[[#This Row],[政治]]="","",SUMPRODUCT((表成绩单[考试日期]=表成绩单[[#This Row],[考试日期]])*(表成绩单[政治]&lt;9E+307)*(表成绩单[政治]&gt;表成绩单[[#This Row],[政治]]))+1)</f>
        <v>13</v>
      </c>
      <c r="V6" s="29" cm="1">
        <f t="array" ref="V6">IF(表成绩单[[#This Row],[历史]]="","",SUMPRODUCT((表成绩单[考试日期]=表成绩单[[#This Row],[考试日期]])*(表成绩单[历史]&lt;9E+307)*(表成绩单[历史]&gt;表成绩单[[#This Row],[历史]]))+1)</f>
        <v>8</v>
      </c>
      <c r="W6" s="29" cm="1">
        <f t="array" ref="W6">IF(表成绩单[[#This Row],[总分]]="","",SUMPRODUCT((表成绩单[考试日期]=表成绩单[[#This Row],[考试日期]])*(表成绩单[总分]&lt;9E+307)*(表成绩单[总分]&gt;表成绩单[[#This Row],[总分]]))+1)</f>
        <v>2</v>
      </c>
    </row>
    <row r="7" ht="28" customHeight="1" spans="2:23">
      <c r="D7" s="31">
        <v>45975</v>
      </c>
      <c r="E7" s="29">
        <v>19176875</v>
      </c>
      <c r="F7" s="29" t="s">
        <v>71</v>
      </c>
      <c r="G7" s="29" t="s">
        <v>81</v>
      </c>
      <c r="H7" s="29">
        <v>109</v>
      </c>
      <c r="I7" s="29">
        <v>117</v>
      </c>
      <c r="J7" s="29">
        <v>86</v>
      </c>
      <c r="K7" s="29">
        <v>88</v>
      </c>
      <c r="L7" s="29">
        <v>79</v>
      </c>
      <c r="M7" s="29">
        <v>88</v>
      </c>
      <c r="N7" s="29">
        <v>86</v>
      </c>
      <c r="O7" s="32">
        <v>653</v>
      </c>
      <c r="P7" s="29" cm="1">
        <f t="array" ref="P7">IF(表成绩单[[#This Row],[语文]]="","",SUMPRODUCT((表成绩单[考试日期]=表成绩单[[#This Row],[考试日期]])*(表成绩单[语文]&lt;9E+307)*(表成绩单[语文]&gt;表成绩单[[#This Row],[语文]]))+1)</f>
        <v>18</v>
      </c>
      <c r="Q7" s="29" cm="1">
        <f t="array" ref="Q7">IF(表成绩单[[#This Row],[数学]]="","",SUMPRODUCT((表成绩单[考试日期]=表成绩单[[#This Row],[考试日期]])*(表成绩单[数学]&lt;9E+307)*(表成绩单[数学]&gt;表成绩单[[#This Row],[数学]]))+1)</f>
        <v>37</v>
      </c>
      <c r="R7" s="29" cm="1">
        <f t="array" ref="R7">IF(表成绩单[[#This Row],[英语]]="","",SUMPRODUCT((表成绩单[考试日期]=表成绩单[[#This Row],[考试日期]])*(表成绩单[英语]&lt;9E+307)*(表成绩单[英语]&gt;表成绩单[[#This Row],[英语]]))+1)</f>
        <v>42</v>
      </c>
      <c r="S7" s="29" cm="1">
        <f t="array" ref="S7">IF(表成绩单[[#This Row],[物理]]="","",SUMPRODUCT((表成绩单[考试日期]=表成绩单[[#This Row],[考试日期]])*(表成绩单[物理]&lt;9E+307)*(表成绩单[物理]&gt;表成绩单[[#This Row],[物理]]))+1)</f>
        <v>54</v>
      </c>
      <c r="T7" s="29" cm="1">
        <f t="array" ref="T7">IF(表成绩单[[#This Row],[化学]]="","",SUMPRODUCT((表成绩单[考试日期]=表成绩单[[#This Row],[考试日期]])*(表成绩单[化学]&lt;9E+307)*(表成绩单[化学]&gt;表成绩单[[#This Row],[化学]]))+1)</f>
        <v>166</v>
      </c>
      <c r="U7" s="29" cm="1">
        <f t="array" ref="U7">IF(表成绩单[[#This Row],[政治]]="","",SUMPRODUCT((表成绩单[考试日期]=表成绩单[[#This Row],[考试日期]])*(表成绩单[政治]&lt;9E+307)*(表成绩单[政治]&gt;表成绩单[[#This Row],[政治]]))+1)</f>
        <v>4</v>
      </c>
      <c r="V7" s="29" cm="1">
        <f t="array" ref="V7">IF(表成绩单[[#This Row],[历史]]="","",SUMPRODUCT((表成绩单[考试日期]=表成绩单[[#This Row],[考试日期]])*(表成绩单[历史]&lt;9E+307)*(表成绩单[历史]&gt;表成绩单[[#This Row],[历史]]))+1)</f>
        <v>1</v>
      </c>
      <c r="W7" s="29" cm="1">
        <f t="array" ref="W7">IF(表成绩单[[#This Row],[总分]]="","",SUMPRODUCT((表成绩单[考试日期]=表成绩单[[#This Row],[考试日期]])*(表成绩单[总分]&lt;9E+307)*(表成绩单[总分]&gt;表成绩单[[#This Row],[总分]]))+1)</f>
        <v>3</v>
      </c>
    </row>
    <row r="8" ht="28" customHeight="1" spans="2:23">
      <c r="D8" s="31">
        <v>45975</v>
      </c>
      <c r="E8" s="29">
        <v>19174435</v>
      </c>
      <c r="F8" s="29" t="s">
        <v>73</v>
      </c>
      <c r="G8" s="29" t="s">
        <v>82</v>
      </c>
      <c r="H8" s="29">
        <v>106</v>
      </c>
      <c r="I8" s="29">
        <v>120</v>
      </c>
      <c r="J8" s="29">
        <v>89</v>
      </c>
      <c r="K8" s="29">
        <v>86</v>
      </c>
      <c r="L8" s="29">
        <v>86</v>
      </c>
      <c r="M8" s="29">
        <v>83</v>
      </c>
      <c r="N8" s="29">
        <v>82</v>
      </c>
      <c r="O8" s="32">
        <v>652</v>
      </c>
      <c r="P8" s="29" cm="1">
        <f t="array" ref="P8">IF(表成绩单[[#This Row],[语文]]="","",SUMPRODUCT((表成绩单[考试日期]=表成绩单[[#This Row],[考试日期]])*(表成绩单[语文]&lt;9E+307)*(表成绩单[语文]&gt;表成绩单[[#This Row],[语文]]))+1)</f>
        <v>62</v>
      </c>
      <c r="Q8" s="29" cm="1">
        <f t="array" ref="Q8">IF(表成绩单[[#This Row],[数学]]="","",SUMPRODUCT((表成绩单[考试日期]=表成绩单[[#This Row],[考试日期]])*(表成绩单[数学]&lt;9E+307)*(表成绩单[数学]&gt;表成绩单[[#This Row],[数学]]))+1)</f>
        <v>1</v>
      </c>
      <c r="R8" s="29" cm="1">
        <f t="array" ref="R8">IF(表成绩单[[#This Row],[英语]]="","",SUMPRODUCT((表成绩单[考试日期]=表成绩单[[#This Row],[考试日期]])*(表成绩单[英语]&lt;9E+307)*(表成绩单[英语]&gt;表成绩单[[#This Row],[英语]]))+1)</f>
        <v>1</v>
      </c>
      <c r="S8" s="29" cm="1">
        <f t="array" ref="S8">IF(表成绩单[[#This Row],[物理]]="","",SUMPRODUCT((表成绩单[考试日期]=表成绩单[[#This Row],[考试日期]])*(表成绩单[物理]&lt;9E+307)*(表成绩单[物理]&gt;表成绩单[[#This Row],[物理]]))+1)</f>
        <v>187</v>
      </c>
      <c r="T8" s="29" cm="1">
        <f t="array" ref="T8">IF(表成绩单[[#This Row],[化学]]="","",SUMPRODUCT((表成绩单[考试日期]=表成绩单[[#This Row],[考试日期]])*(表成绩单[化学]&lt;9E+307)*(表成绩单[化学]&gt;表成绩单[[#This Row],[化学]]))+1)</f>
        <v>8</v>
      </c>
      <c r="U8" s="29" cm="1">
        <f t="array" ref="U8">IF(表成绩单[[#This Row],[政治]]="","",SUMPRODUCT((表成绩单[考试日期]=表成绩单[[#This Row],[考试日期]])*(表成绩单[政治]&lt;9E+307)*(表成绩单[政治]&gt;表成绩单[[#This Row],[政治]]))+1)</f>
        <v>121</v>
      </c>
      <c r="V8" s="29" cm="1">
        <f t="array" ref="V8">IF(表成绩单[[#This Row],[历史]]="","",SUMPRODUCT((表成绩单[考试日期]=表成绩单[[#This Row],[考试日期]])*(表成绩单[历史]&lt;9E+307)*(表成绩单[历史]&gt;表成绩单[[#This Row],[历史]]))+1)</f>
        <v>35</v>
      </c>
      <c r="W8" s="29" cm="1">
        <f t="array" ref="W8">IF(表成绩单[[#This Row],[总分]]="","",SUMPRODUCT((表成绩单[考试日期]=表成绩单[[#This Row],[考试日期]])*(表成绩单[总分]&lt;9E+307)*(表成绩单[总分]&gt;表成绩单[[#This Row],[总分]]))+1)</f>
        <v>4</v>
      </c>
    </row>
    <row r="9" ht="28" customHeight="1" spans="2:23">
      <c r="D9" s="31">
        <v>45975</v>
      </c>
      <c r="E9" s="29">
        <v>19177203</v>
      </c>
      <c r="F9" s="29" t="s">
        <v>70</v>
      </c>
      <c r="G9" s="29" t="s">
        <v>83</v>
      </c>
      <c r="H9" s="29">
        <v>107</v>
      </c>
      <c r="I9" s="29">
        <v>118</v>
      </c>
      <c r="J9" s="29">
        <v>87</v>
      </c>
      <c r="K9" s="29">
        <v>90</v>
      </c>
      <c r="L9" s="29">
        <v>84</v>
      </c>
      <c r="M9" s="29">
        <v>84</v>
      </c>
      <c r="N9" s="29">
        <v>82</v>
      </c>
      <c r="O9" s="32">
        <v>652</v>
      </c>
      <c r="P9" s="29" cm="1">
        <f t="array" ref="P9">IF(表成绩单[[#This Row],[语文]]="","",SUMPRODUCT((表成绩单[考试日期]=表成绩单[[#This Row],[考试日期]])*(表成绩单[语文]&lt;9E+307)*(表成绩单[语文]&gt;表成绩单[[#This Row],[语文]]))+1)</f>
        <v>45</v>
      </c>
      <c r="Q9" s="29" cm="1">
        <f t="array" ref="Q9">IF(表成绩单[[#This Row],[数学]]="","",SUMPRODUCT((表成绩单[考试日期]=表成绩单[[#This Row],[考试日期]])*(表成绩单[数学]&lt;9E+307)*(表成绩单[数学]&gt;表成绩单[[#This Row],[数学]]))+1)</f>
        <v>22</v>
      </c>
      <c r="R9" s="29" cm="1">
        <f t="array" ref="R9">IF(表成绩单[[#This Row],[英语]]="","",SUMPRODUCT((表成绩单[考试日期]=表成绩单[[#This Row],[考试日期]])*(表成绩单[英语]&lt;9E+307)*(表成绩单[英语]&gt;表成绩单[[#This Row],[英语]]))+1)</f>
        <v>20</v>
      </c>
      <c r="S9" s="29" cm="1">
        <f t="array" ref="S9">IF(表成绩单[[#This Row],[物理]]="","",SUMPRODUCT((表成绩单[考试日期]=表成绩单[[#This Row],[考试日期]])*(表成绩单[物理]&lt;9E+307)*(表成绩单[物理]&gt;表成绩单[[#This Row],[物理]]))+1)</f>
        <v>1</v>
      </c>
      <c r="T9" s="29" cm="1">
        <f t="array" ref="T9">IF(表成绩单[[#This Row],[化学]]="","",SUMPRODUCT((表成绩单[考试日期]=表成绩单[[#This Row],[考试日期]])*(表成绩单[化学]&lt;9E+307)*(表成绩单[化学]&gt;表成绩单[[#This Row],[化学]]))+1)</f>
        <v>33</v>
      </c>
      <c r="U9" s="29" cm="1">
        <f t="array" ref="U9">IF(表成绩单[[#This Row],[政治]]="","",SUMPRODUCT((表成绩单[考试日期]=表成绩单[[#This Row],[考试日期]])*(表成绩单[政治]&lt;9E+307)*(表成绩单[政治]&gt;表成绩单[[#This Row],[政治]]))+1)</f>
        <v>83</v>
      </c>
      <c r="V9" s="29" cm="1">
        <f t="array" ref="V9">IF(表成绩单[[#This Row],[历史]]="","",SUMPRODUCT((表成绩单[考试日期]=表成绩单[[#This Row],[考试日期]])*(表成绩单[历史]&lt;9E+307)*(表成绩单[历史]&gt;表成绩单[[#This Row],[历史]]))+1)</f>
        <v>35</v>
      </c>
      <c r="W9" s="29" cm="1">
        <f t="array" ref="W9">IF(表成绩单[[#This Row],[总分]]="","",SUMPRODUCT((表成绩单[考试日期]=表成绩单[[#This Row],[考试日期]])*(表成绩单[总分]&lt;9E+307)*(表成绩单[总分]&gt;表成绩单[[#This Row],[总分]]))+1)</f>
        <v>4</v>
      </c>
    </row>
    <row r="10" ht="28" customHeight="1" spans="2:23">
      <c r="D10" s="31">
        <v>45975</v>
      </c>
      <c r="E10" s="29">
        <v>19175400</v>
      </c>
      <c r="F10" s="29" t="s">
        <v>74</v>
      </c>
      <c r="G10" s="29" t="s">
        <v>84</v>
      </c>
      <c r="H10" s="29">
        <v>112</v>
      </c>
      <c r="I10" s="29">
        <v>116</v>
      </c>
      <c r="J10" s="29">
        <v>89</v>
      </c>
      <c r="K10" s="29">
        <v>86</v>
      </c>
      <c r="L10" s="29">
        <v>85</v>
      </c>
      <c r="M10" s="29">
        <v>80</v>
      </c>
      <c r="N10" s="29">
        <v>82</v>
      </c>
      <c r="O10" s="32">
        <v>650</v>
      </c>
      <c r="P10" s="29" cm="1">
        <f t="array" ref="P10">IF(表成绩单[[#This Row],[语文]]="","",SUMPRODUCT((表成绩单[考试日期]=表成绩单[[#This Row],[考试日期]])*(表成绩单[语文]&lt;9E+307)*(表成绩单[语文]&gt;表成绩单[[#This Row],[语文]]))+1)</f>
        <v>7</v>
      </c>
      <c r="Q10" s="29" cm="1">
        <f t="array" ref="Q10">IF(表成绩单[[#This Row],[数学]]="","",SUMPRODUCT((表成绩单[考试日期]=表成绩单[[#This Row],[考试日期]])*(表成绩单[数学]&lt;9E+307)*(表成绩单[数学]&gt;表成绩单[[#This Row],[数学]]))+1)</f>
        <v>50</v>
      </c>
      <c r="R10" s="29" cm="1">
        <f t="array" ref="R10">IF(表成绩单[[#This Row],[英语]]="","",SUMPRODUCT((表成绩单[考试日期]=表成绩单[[#This Row],[考试日期]])*(表成绩单[英语]&lt;9E+307)*(表成绩单[英语]&gt;表成绩单[[#This Row],[英语]]))+1)</f>
        <v>1</v>
      </c>
      <c r="S10" s="29" cm="1">
        <f t="array" ref="S10">IF(表成绩单[[#This Row],[物理]]="","",SUMPRODUCT((表成绩单[考试日期]=表成绩单[[#This Row],[考试日期]])*(表成绩单[物理]&lt;9E+307)*(表成绩单[物理]&gt;表成绩单[[#This Row],[物理]]))+1)</f>
        <v>187</v>
      </c>
      <c r="T10" s="29" cm="1">
        <f t="array" ref="T10">IF(表成绩单[[#This Row],[化学]]="","",SUMPRODUCT((表成绩单[考试日期]=表成绩单[[#This Row],[考试日期]])*(表成绩单[化学]&lt;9E+307)*(表成绩单[化学]&gt;表成绩单[[#This Row],[化学]]))+1)</f>
        <v>19</v>
      </c>
      <c r="U10" s="29" cm="1">
        <f t="array" ref="U10">IF(表成绩单[[#This Row],[政治]]="","",SUMPRODUCT((表成绩单[考试日期]=表成绩单[[#This Row],[考试日期]])*(表成绩单[政治]&lt;9E+307)*(表成绩单[政治]&gt;表成绩单[[#This Row],[政治]]))+1)</f>
        <v>209</v>
      </c>
      <c r="V10" s="29" cm="1">
        <f t="array" ref="V10">IF(表成绩单[[#This Row],[历史]]="","",SUMPRODUCT((表成绩单[考试日期]=表成绩单[[#This Row],[考试日期]])*(表成绩单[历史]&lt;9E+307)*(表成绩单[历史]&gt;表成绩单[[#This Row],[历史]]))+1)</f>
        <v>35</v>
      </c>
      <c r="W10" s="29" cm="1">
        <f t="array" ref="W10">IF(表成绩单[[#This Row],[总分]]="","",SUMPRODUCT((表成绩单[考试日期]=表成绩单[[#This Row],[考试日期]])*(表成绩单[总分]&lt;9E+307)*(表成绩单[总分]&gt;表成绩单[[#This Row],[总分]]))+1)</f>
        <v>6</v>
      </c>
    </row>
    <row r="11" ht="28" customHeight="1" spans="2:23">
      <c r="D11" s="31">
        <v>45975</v>
      </c>
      <c r="E11" s="29">
        <v>19176883</v>
      </c>
      <c r="F11" s="29" t="s">
        <v>71</v>
      </c>
      <c r="G11" s="29" t="s">
        <v>85</v>
      </c>
      <c r="H11" s="29">
        <v>110</v>
      </c>
      <c r="I11" s="29">
        <v>117</v>
      </c>
      <c r="J11" s="29">
        <v>87</v>
      </c>
      <c r="K11" s="29">
        <v>90</v>
      </c>
      <c r="L11" s="29">
        <v>74</v>
      </c>
      <c r="M11" s="29">
        <v>87</v>
      </c>
      <c r="N11" s="29">
        <v>85</v>
      </c>
      <c r="O11" s="32">
        <v>650</v>
      </c>
      <c r="P11" s="29" cm="1">
        <f t="array" ref="P11">IF(表成绩单[[#This Row],[语文]]="","",SUMPRODUCT((表成绩单[考试日期]=表成绩单[[#This Row],[考试日期]])*(表成绩单[语文]&lt;9E+307)*(表成绩单[语文]&gt;表成绩单[[#This Row],[语文]]))+1)</f>
        <v>13</v>
      </c>
      <c r="Q11" s="29" cm="1">
        <f t="array" ref="Q11">IF(表成绩单[[#This Row],[数学]]="","",SUMPRODUCT((表成绩单[考试日期]=表成绩单[[#This Row],[考试日期]])*(表成绩单[数学]&lt;9E+307)*(表成绩单[数学]&gt;表成绩单[[#This Row],[数学]]))+1)</f>
        <v>37</v>
      </c>
      <c r="R11" s="29" cm="1">
        <f t="array" ref="R11">IF(表成绩单[[#This Row],[英语]]="","",SUMPRODUCT((表成绩单[考试日期]=表成绩单[[#This Row],[考试日期]])*(表成绩单[英语]&lt;9E+307)*(表成绩单[英语]&gt;表成绩单[[#This Row],[英语]]))+1)</f>
        <v>20</v>
      </c>
      <c r="S11" s="29" cm="1">
        <f t="array" ref="S11">IF(表成绩单[[#This Row],[物理]]="","",SUMPRODUCT((表成绩单[考试日期]=表成绩单[[#This Row],[考试日期]])*(表成绩单[物理]&lt;9E+307)*(表成绩单[物理]&gt;表成绩单[[#This Row],[物理]]))+1)</f>
        <v>1</v>
      </c>
      <c r="T11" s="29" cm="1">
        <f t="array" ref="T11">IF(表成绩单[[#This Row],[化学]]="","",SUMPRODUCT((表成绩单[考试日期]=表成绩单[[#This Row],[考试日期]])*(表成绩单[化学]&lt;9E+307)*(表成绩单[化学]&gt;表成绩单[[#This Row],[化学]]))+1)</f>
        <v>337</v>
      </c>
      <c r="U11" s="29" cm="1">
        <f t="array" ref="U11">IF(表成绩单[[#This Row],[政治]]="","",SUMPRODUCT((表成绩单[考试日期]=表成绩单[[#This Row],[考试日期]])*(表成绩单[政治]&lt;9E+307)*(表成绩单[政治]&gt;表成绩单[[#This Row],[政治]]))+1)</f>
        <v>13</v>
      </c>
      <c r="V11" s="29" cm="1">
        <f t="array" ref="V11">IF(表成绩单[[#This Row],[历史]]="","",SUMPRODUCT((表成绩单[考试日期]=表成绩单[[#This Row],[考试日期]])*(表成绩单[历史]&lt;9E+307)*(表成绩单[历史]&gt;表成绩单[[#This Row],[历史]]))+1)</f>
        <v>3</v>
      </c>
      <c r="W11" s="29" cm="1">
        <f t="array" ref="W11">IF(表成绩单[[#This Row],[总分]]="","",SUMPRODUCT((表成绩单[考试日期]=表成绩单[[#This Row],[考试日期]])*(表成绩单[总分]&lt;9E+307)*(表成绩单[总分]&gt;表成绩单[[#This Row],[总分]]))+1)</f>
        <v>6</v>
      </c>
    </row>
    <row r="12" ht="28" customHeight="1" spans="2:23">
      <c r="D12" s="31">
        <v>45975</v>
      </c>
      <c r="E12" s="29">
        <v>19174789</v>
      </c>
      <c r="F12" s="29" t="s">
        <v>69</v>
      </c>
      <c r="G12" s="29" t="s">
        <v>86</v>
      </c>
      <c r="H12" s="29">
        <v>105</v>
      </c>
      <c r="I12" s="29">
        <v>116</v>
      </c>
      <c r="J12" s="29">
        <v>82</v>
      </c>
      <c r="K12" s="29">
        <v>88</v>
      </c>
      <c r="L12" s="29">
        <v>86</v>
      </c>
      <c r="M12" s="29">
        <v>86</v>
      </c>
      <c r="N12" s="29">
        <v>84</v>
      </c>
      <c r="O12" s="32">
        <v>647</v>
      </c>
      <c r="P12" s="29" cm="1">
        <f t="array" ref="P12">IF(表成绩单[[#This Row],[语文]]="","",SUMPRODUCT((表成绩单[考试日期]=表成绩单[[#This Row],[考试日期]])*(表成绩单[语文]&lt;9E+307)*(表成绩单[语文]&gt;表成绩单[[#This Row],[语文]]))+1)</f>
        <v>80</v>
      </c>
      <c r="Q12" s="29" cm="1">
        <f t="array" ref="Q12">IF(表成绩单[[#This Row],[数学]]="","",SUMPRODUCT((表成绩单[考试日期]=表成绩单[[#This Row],[考试日期]])*(表成绩单[数学]&lt;9E+307)*(表成绩单[数学]&gt;表成绩单[[#This Row],[数学]]))+1)</f>
        <v>50</v>
      </c>
      <c r="R12" s="29" cm="1">
        <f t="array" ref="R12">IF(表成绩单[[#This Row],[英语]]="","",SUMPRODUCT((表成绩单[考试日期]=表成绩单[[#This Row],[考试日期]])*(表成绩单[英语]&lt;9E+307)*(表成绩单[英语]&gt;表成绩单[[#This Row],[英语]]))+1)</f>
        <v>195</v>
      </c>
      <c r="S12" s="29" cm="1">
        <f t="array" ref="S12">IF(表成绩单[[#This Row],[物理]]="","",SUMPRODUCT((表成绩单[考试日期]=表成绩单[[#This Row],[考试日期]])*(表成绩单[物理]&lt;9E+307)*(表成绩单[物理]&gt;表成绩单[[#This Row],[物理]]))+1)</f>
        <v>54</v>
      </c>
      <c r="T12" s="29" cm="1">
        <f t="array" ref="T12">IF(表成绩单[[#This Row],[化学]]="","",SUMPRODUCT((表成绩单[考试日期]=表成绩单[[#This Row],[考试日期]])*(表成绩单[化学]&lt;9E+307)*(表成绩单[化学]&gt;表成绩单[[#This Row],[化学]]))+1)</f>
        <v>8</v>
      </c>
      <c r="U12" s="29" cm="1">
        <f t="array" ref="U12">IF(表成绩单[[#This Row],[政治]]="","",SUMPRODUCT((表成绩单[考试日期]=表成绩单[[#This Row],[考试日期]])*(表成绩单[政治]&lt;9E+307)*(表成绩单[政治]&gt;表成绩单[[#This Row],[政治]]))+1)</f>
        <v>26</v>
      </c>
      <c r="V12" s="29" cm="1">
        <f t="array" ref="V12">IF(表成绩单[[#This Row],[历史]]="","",SUMPRODUCT((表成绩单[考试日期]=表成绩单[[#This Row],[考试日期]])*(表成绩单[历史]&lt;9E+307)*(表成绩单[历史]&gt;表成绩单[[#This Row],[历史]]))+1)</f>
        <v>8</v>
      </c>
      <c r="W12" s="29" cm="1">
        <f t="array" ref="W12">IF(表成绩单[[#This Row],[总分]]="","",SUMPRODUCT((表成绩单[考试日期]=表成绩单[[#This Row],[考试日期]])*(表成绩单[总分]&lt;9E+307)*(表成绩单[总分]&gt;表成绩单[[#This Row],[总分]]))+1)</f>
        <v>8</v>
      </c>
    </row>
    <row r="13" ht="28" customHeight="1" spans="2:23">
      <c r="D13" s="31">
        <v>45975</v>
      </c>
      <c r="E13" s="29">
        <v>19176874</v>
      </c>
      <c r="F13" s="29" t="s">
        <v>71</v>
      </c>
      <c r="G13" s="29" t="s">
        <v>87</v>
      </c>
      <c r="H13" s="29">
        <v>113</v>
      </c>
      <c r="I13" s="29">
        <v>107</v>
      </c>
      <c r="J13" s="29">
        <v>88</v>
      </c>
      <c r="K13" s="29">
        <v>88</v>
      </c>
      <c r="L13" s="29">
        <v>82</v>
      </c>
      <c r="M13" s="29">
        <v>85</v>
      </c>
      <c r="N13" s="29">
        <v>84</v>
      </c>
      <c r="O13" s="32">
        <v>647</v>
      </c>
      <c r="P13" s="29" cm="1">
        <f t="array" ref="P13">IF(表成绩单[[#This Row],[语文]]="","",SUMPRODUCT((表成绩单[考试日期]=表成绩单[[#This Row],[考试日期]])*(表成绩单[语文]&lt;9E+307)*(表成绩单[语文]&gt;表成绩单[[#This Row],[语文]]))+1)</f>
        <v>5</v>
      </c>
      <c r="Q13" s="29" cm="1">
        <f t="array" ref="Q13">IF(表成绩单[[#This Row],[数学]]="","",SUMPRODUCT((表成绩单[考试日期]=表成绩单[[#This Row],[考试日期]])*(表成绩单[数学]&lt;9E+307)*(表成绩单[数学]&gt;表成绩单[[#This Row],[数学]]))+1)</f>
        <v>200</v>
      </c>
      <c r="R13" s="29" cm="1">
        <f t="array" ref="R13">IF(表成绩单[[#This Row],[英语]]="","",SUMPRODUCT((表成绩单[考试日期]=表成绩单[[#This Row],[考试日期]])*(表成绩单[英语]&lt;9E+307)*(表成绩单[英语]&gt;表成绩单[[#This Row],[英语]]))+1)</f>
        <v>10</v>
      </c>
      <c r="S13" s="29" cm="1">
        <f t="array" ref="S13">IF(表成绩单[[#This Row],[物理]]="","",SUMPRODUCT((表成绩单[考试日期]=表成绩单[[#This Row],[考试日期]])*(表成绩单[物理]&lt;9E+307)*(表成绩单[物理]&gt;表成绩单[[#This Row],[物理]]))+1)</f>
        <v>54</v>
      </c>
      <c r="T13" s="29" cm="1">
        <f t="array" ref="T13">IF(表成绩单[[#This Row],[化学]]="","",SUMPRODUCT((表成绩单[考试日期]=表成绩单[[#This Row],[考试日期]])*(表成绩单[化学]&lt;9E+307)*(表成绩单[化学]&gt;表成绩单[[#This Row],[化学]]))+1)</f>
        <v>71</v>
      </c>
      <c r="U13" s="29" cm="1">
        <f t="array" ref="U13">IF(表成绩单[[#This Row],[政治]]="","",SUMPRODUCT((表成绩单[考试日期]=表成绩单[[#This Row],[考试日期]])*(表成绩单[政治]&lt;9E+307)*(表成绩单[政治]&gt;表成绩单[[#This Row],[政治]]))+1)</f>
        <v>45</v>
      </c>
      <c r="V13" s="29" cm="1">
        <f t="array" ref="V13">IF(表成绩单[[#This Row],[历史]]="","",SUMPRODUCT((表成绩单[考试日期]=表成绩单[[#This Row],[考试日期]])*(表成绩单[历史]&lt;9E+307)*(表成绩单[历史]&gt;表成绩单[[#This Row],[历史]]))+1)</f>
        <v>8</v>
      </c>
      <c r="W13" s="29" cm="1">
        <f t="array" ref="W13">IF(表成绩单[[#This Row],[总分]]="","",SUMPRODUCT((表成绩单[考试日期]=表成绩单[[#This Row],[考试日期]])*(表成绩单[总分]&lt;9E+307)*(表成绩单[总分]&gt;表成绩单[[#This Row],[总分]]))+1)</f>
        <v>8</v>
      </c>
    </row>
    <row r="14" ht="28" customHeight="1" spans="2:23">
      <c r="D14" s="31">
        <v>45975</v>
      </c>
      <c r="E14" s="29">
        <v>19167643</v>
      </c>
      <c r="F14" s="29" t="s">
        <v>1</v>
      </c>
      <c r="G14" s="29" t="s">
        <v>88</v>
      </c>
      <c r="H14" s="29">
        <v>105</v>
      </c>
      <c r="I14" s="29">
        <v>113</v>
      </c>
      <c r="J14" s="29">
        <v>87</v>
      </c>
      <c r="K14" s="29">
        <v>89</v>
      </c>
      <c r="L14" s="29">
        <v>85</v>
      </c>
      <c r="M14" s="29">
        <v>86</v>
      </c>
      <c r="N14" s="29">
        <v>81</v>
      </c>
      <c r="O14" s="32">
        <v>646</v>
      </c>
      <c r="P14" s="29" cm="1">
        <f t="array" ref="P14">IF(表成绩单[[#This Row],[语文]]="","",SUMPRODUCT((表成绩单[考试日期]=表成绩单[[#This Row],[考试日期]])*(表成绩单[语文]&lt;9E+307)*(表成绩单[语文]&gt;表成绩单[[#This Row],[语文]]))+1)</f>
        <v>80</v>
      </c>
      <c r="Q14" s="29" cm="1">
        <f t="array" ref="Q14">IF(表成绩单[[#This Row],[数学]]="","",SUMPRODUCT((表成绩单[考试日期]=表成绩单[[#This Row],[考试日期]])*(表成绩单[数学]&lt;9E+307)*(表成绩单[数学]&gt;表成绩单[[#This Row],[数学]]))+1)</f>
        <v>93</v>
      </c>
      <c r="R14" s="29" cm="1">
        <f t="array" ref="R14">IF(表成绩单[[#This Row],[英语]]="","",SUMPRODUCT((表成绩单[考试日期]=表成绩单[[#This Row],[考试日期]])*(表成绩单[英语]&lt;9E+307)*(表成绩单[英语]&gt;表成绩单[[#This Row],[英语]]))+1)</f>
        <v>20</v>
      </c>
      <c r="S14" s="29" cm="1">
        <f t="array" ref="S14">IF(表成绩单[[#This Row],[物理]]="","",SUMPRODUCT((表成绩单[考试日期]=表成绩单[[#This Row],[考试日期]])*(表成绩单[物理]&lt;9E+307)*(表成绩单[物理]&gt;表成绩单[[#This Row],[物理]]))+1)</f>
        <v>18</v>
      </c>
      <c r="T14" s="29" cm="1">
        <f t="array" ref="T14">IF(表成绩单[[#This Row],[化学]]="","",SUMPRODUCT((表成绩单[考试日期]=表成绩单[[#This Row],[考试日期]])*(表成绩单[化学]&lt;9E+307)*(表成绩单[化学]&gt;表成绩单[[#This Row],[化学]]))+1)</f>
        <v>19</v>
      </c>
      <c r="U14" s="29" cm="1">
        <f t="array" ref="U14">IF(表成绩单[[#This Row],[政治]]="","",SUMPRODUCT((表成绩单[考试日期]=表成绩单[[#This Row],[考试日期]])*(表成绩单[政治]&lt;9E+307)*(表成绩单[政治]&gt;表成绩单[[#This Row],[政治]]))+1)</f>
        <v>26</v>
      </c>
      <c r="V14" s="29" cm="1">
        <f t="array" ref="V14">IF(表成绩单[[#This Row],[历史]]="","",SUMPRODUCT((表成绩单[考试日期]=表成绩单[[#This Row],[考试日期]])*(表成绩单[历史]&lt;9E+307)*(表成绩单[历史]&gt;表成绩单[[#This Row],[历史]]))+1)</f>
        <v>63</v>
      </c>
      <c r="W14" s="29" cm="1">
        <f t="array" ref="W14">IF(表成绩单[[#This Row],[总分]]="","",SUMPRODUCT((表成绩单[考试日期]=表成绩单[[#This Row],[考试日期]])*(表成绩单[总分]&lt;9E+307)*(表成绩单[总分]&gt;表成绩单[[#This Row],[总分]]))+1)</f>
        <v>10</v>
      </c>
    </row>
    <row r="15" ht="28" customHeight="1" spans="2:23">
      <c r="D15" s="31">
        <v>45975</v>
      </c>
      <c r="E15" s="29">
        <v>19167652</v>
      </c>
      <c r="F15" s="29" t="s">
        <v>1</v>
      </c>
      <c r="G15" s="29" t="s">
        <v>89</v>
      </c>
      <c r="H15" s="29">
        <v>106</v>
      </c>
      <c r="I15" s="29">
        <v>115</v>
      </c>
      <c r="J15" s="29">
        <v>88</v>
      </c>
      <c r="K15" s="29">
        <v>88</v>
      </c>
      <c r="L15" s="29">
        <v>81</v>
      </c>
      <c r="M15" s="29">
        <v>85</v>
      </c>
      <c r="N15" s="29">
        <v>83</v>
      </c>
      <c r="O15" s="32">
        <v>646</v>
      </c>
      <c r="P15" s="29" cm="1">
        <f t="array" ref="P15">IF(表成绩单[[#This Row],[语文]]="","",SUMPRODUCT((表成绩单[考试日期]=表成绩单[[#This Row],[考试日期]])*(表成绩单[语文]&lt;9E+307)*(表成绩单[语文]&gt;表成绩单[[#This Row],[语文]]))+1)</f>
        <v>62</v>
      </c>
      <c r="Q15" s="29" cm="1">
        <f t="array" ref="Q15">IF(表成绩单[[#This Row],[数学]]="","",SUMPRODUCT((表成绩单[考试日期]=表成绩单[[#This Row],[考试日期]])*(表成绩单[数学]&lt;9E+307)*(表成绩单[数学]&gt;表成绩单[[#This Row],[数学]]))+1)</f>
        <v>63</v>
      </c>
      <c r="R15" s="29" cm="1">
        <f t="array" ref="R15">IF(表成绩单[[#This Row],[英语]]="","",SUMPRODUCT((表成绩单[考试日期]=表成绩单[[#This Row],[考试日期]])*(表成绩单[英语]&lt;9E+307)*(表成绩单[英语]&gt;表成绩单[[#This Row],[英语]]))+1)</f>
        <v>10</v>
      </c>
      <c r="S15" s="29" cm="1">
        <f t="array" ref="S15">IF(表成绩单[[#This Row],[物理]]="","",SUMPRODUCT((表成绩单[考试日期]=表成绩单[[#This Row],[考试日期]])*(表成绩单[物理]&lt;9E+307)*(表成绩单[物理]&gt;表成绩单[[#This Row],[物理]]))+1)</f>
        <v>54</v>
      </c>
      <c r="T15" s="29" cm="1">
        <f t="array" ref="T15">IF(表成绩单[[#This Row],[化学]]="","",SUMPRODUCT((表成绩单[考试日期]=表成绩单[[#This Row],[考试日期]])*(表成绩单[化学]&lt;9E+307)*(表成绩单[化学]&gt;表成绩单[[#This Row],[化学]]))+1)</f>
        <v>100</v>
      </c>
      <c r="U15" s="29" cm="1">
        <f t="array" ref="U15">IF(表成绩单[[#This Row],[政治]]="","",SUMPRODUCT((表成绩单[考试日期]=表成绩单[[#This Row],[考试日期]])*(表成绩单[政治]&lt;9E+307)*(表成绩单[政治]&gt;表成绩单[[#This Row],[政治]]))+1)</f>
        <v>45</v>
      </c>
      <c r="V15" s="29" cm="1">
        <f t="array" ref="V15">IF(表成绩单[[#This Row],[历史]]="","",SUMPRODUCT((表成绩单[考试日期]=表成绩单[[#This Row],[考试日期]])*(表成绩单[历史]&lt;9E+307)*(表成绩单[历史]&gt;表成绩单[[#This Row],[历史]]))+1)</f>
        <v>18</v>
      </c>
      <c r="W15" s="29" cm="1">
        <f t="array" ref="W15">IF(表成绩单[[#This Row],[总分]]="","",SUMPRODUCT((表成绩单[考试日期]=表成绩单[[#This Row],[考试日期]])*(表成绩单[总分]&lt;9E+307)*(表成绩单[总分]&gt;表成绩单[[#This Row],[总分]]))+1)</f>
        <v>10</v>
      </c>
    </row>
    <row r="16" ht="28" customHeight="1" spans="2:23">
      <c r="D16" s="31">
        <v>45975</v>
      </c>
      <c r="E16" s="29">
        <v>19174450</v>
      </c>
      <c r="F16" s="29" t="s">
        <v>73</v>
      </c>
      <c r="G16" s="29" t="s">
        <v>90</v>
      </c>
      <c r="H16" s="29">
        <v>105</v>
      </c>
      <c r="I16" s="29">
        <v>116</v>
      </c>
      <c r="J16" s="29">
        <v>84.5</v>
      </c>
      <c r="K16" s="29">
        <v>87</v>
      </c>
      <c r="L16" s="29">
        <v>85</v>
      </c>
      <c r="M16" s="29">
        <v>90</v>
      </c>
      <c r="N16" s="29">
        <v>78</v>
      </c>
      <c r="O16" s="32">
        <v>645.5</v>
      </c>
      <c r="P16" s="29" cm="1">
        <f t="array" ref="P16">IF(表成绩单[[#This Row],[语文]]="","",SUMPRODUCT((表成绩单[考试日期]=表成绩单[[#This Row],[考试日期]])*(表成绩单[语文]&lt;9E+307)*(表成绩单[语文]&gt;表成绩单[[#This Row],[语文]]))+1)</f>
        <v>80</v>
      </c>
      <c r="Q16" s="29" cm="1">
        <f t="array" ref="Q16">IF(表成绩单[[#This Row],[数学]]="","",SUMPRODUCT((表成绩单[考试日期]=表成绩单[[#This Row],[考试日期]])*(表成绩单[数学]&lt;9E+307)*(表成绩单[数学]&gt;表成绩单[[#This Row],[数学]]))+1)</f>
        <v>50</v>
      </c>
      <c r="R16" s="29" cm="1">
        <f t="array" ref="R16">IF(表成绩单[[#This Row],[英语]]="","",SUMPRODUCT((表成绩单[考试日期]=表成绩单[[#This Row],[考试日期]])*(表成绩单[英语]&lt;9E+307)*(表成绩单[英语]&gt;表成绩单[[#This Row],[英语]]))+1)</f>
        <v>85</v>
      </c>
      <c r="S16" s="29" cm="1">
        <f t="array" ref="S16">IF(表成绩单[[#This Row],[物理]]="","",SUMPRODUCT((表成绩单[考试日期]=表成绩单[[#This Row],[考试日期]])*(表成绩单[物理]&lt;9E+307)*(表成绩单[物理]&gt;表成绩单[[#This Row],[物理]]))+1)</f>
        <v>127</v>
      </c>
      <c r="T16" s="29" cm="1">
        <f t="array" ref="T16">IF(表成绩单[[#This Row],[化学]]="","",SUMPRODUCT((表成绩单[考试日期]=表成绩单[[#This Row],[考试日期]])*(表成绩单[化学]&lt;9E+307)*(表成绩单[化学]&gt;表成绩单[[#This Row],[化学]]))+1)</f>
        <v>19</v>
      </c>
      <c r="U16" s="29" cm="1">
        <f t="array" ref="U16">IF(表成绩单[[#This Row],[政治]]="","",SUMPRODUCT((表成绩单[考试日期]=表成绩单[[#This Row],[考试日期]])*(表成绩单[政治]&lt;9E+307)*(表成绩单[政治]&gt;表成绩单[[#This Row],[政治]]))+1)</f>
        <v>1</v>
      </c>
      <c r="V16" s="29" cm="1">
        <f t="array" ref="V16">IF(表成绩单[[#This Row],[历史]]="","",SUMPRODUCT((表成绩单[考试日期]=表成绩单[[#This Row],[考试日期]])*(表成绩单[历史]&lt;9E+307)*(表成绩单[历史]&gt;表成绩单[[#This Row],[历史]]))+1)</f>
        <v>189</v>
      </c>
      <c r="W16" s="29" cm="1">
        <f t="array" ref="W16">IF(表成绩单[[#This Row],[总分]]="","",SUMPRODUCT((表成绩单[考试日期]=表成绩单[[#This Row],[考试日期]])*(表成绩单[总分]&lt;9E+307)*(表成绩单[总分]&gt;表成绩单[[#This Row],[总分]]))+1)</f>
        <v>12</v>
      </c>
    </row>
    <row r="17" ht="28" customHeight="1" spans="4:23">
      <c r="D17" s="31">
        <v>45975</v>
      </c>
      <c r="E17" s="29">
        <v>19173525</v>
      </c>
      <c r="F17" s="29" t="s">
        <v>1</v>
      </c>
      <c r="G17" s="29" t="s">
        <v>91</v>
      </c>
      <c r="H17" s="29">
        <v>104</v>
      </c>
      <c r="I17" s="29">
        <v>119</v>
      </c>
      <c r="J17" s="29">
        <v>89</v>
      </c>
      <c r="K17" s="29">
        <v>88</v>
      </c>
      <c r="L17" s="29">
        <v>87</v>
      </c>
      <c r="M17" s="29">
        <v>80</v>
      </c>
      <c r="N17" s="29">
        <v>78</v>
      </c>
      <c r="O17" s="32">
        <v>645</v>
      </c>
      <c r="P17" s="29" cm="1">
        <f t="array" ref="P17">IF(表成绩单[[#This Row],[语文]]="","",SUMPRODUCT((表成绩单[考试日期]=表成绩单[[#This Row],[考试日期]])*(表成绩单[语文]&lt;9E+307)*(表成绩单[语文]&gt;表成绩单[[#This Row],[语文]]))+1)</f>
        <v>104</v>
      </c>
      <c r="Q17" s="29" cm="1">
        <f t="array" ref="Q17">IF(表成绩单[[#This Row],[数学]]="","",SUMPRODUCT((表成绩单[考试日期]=表成绩单[[#This Row],[考试日期]])*(表成绩单[数学]&lt;9E+307)*(表成绩单[数学]&gt;表成绩单[[#This Row],[数学]]))+1)</f>
        <v>11</v>
      </c>
      <c r="R17" s="29" cm="1">
        <f t="array" ref="R17">IF(表成绩单[[#This Row],[英语]]="","",SUMPRODUCT((表成绩单[考试日期]=表成绩单[[#This Row],[考试日期]])*(表成绩单[英语]&lt;9E+307)*(表成绩单[英语]&gt;表成绩单[[#This Row],[英语]]))+1)</f>
        <v>1</v>
      </c>
      <c r="S17" s="29" cm="1">
        <f t="array" ref="S17">IF(表成绩单[[#This Row],[物理]]="","",SUMPRODUCT((表成绩单[考试日期]=表成绩单[[#This Row],[考试日期]])*(表成绩单[物理]&lt;9E+307)*(表成绩单[物理]&gt;表成绩单[[#This Row],[物理]]))+1)</f>
        <v>54</v>
      </c>
      <c r="T17" s="29" cm="1">
        <f t="array" ref="T17">IF(表成绩单[[#This Row],[化学]]="","",SUMPRODUCT((表成绩单[考试日期]=表成绩单[[#This Row],[考试日期]])*(表成绩单[化学]&lt;9E+307)*(表成绩单[化学]&gt;表成绩单[[#This Row],[化学]]))+1)</f>
        <v>3</v>
      </c>
      <c r="U17" s="29" cm="1">
        <f t="array" ref="U17">IF(表成绩单[[#This Row],[政治]]="","",SUMPRODUCT((表成绩单[考试日期]=表成绩单[[#This Row],[考试日期]])*(表成绩单[政治]&lt;9E+307)*(表成绩单[政治]&gt;表成绩单[[#This Row],[政治]]))+1)</f>
        <v>209</v>
      </c>
      <c r="V17" s="29" cm="1">
        <f t="array" ref="V17">IF(表成绩单[[#This Row],[历史]]="","",SUMPRODUCT((表成绩单[考试日期]=表成绩单[[#This Row],[考试日期]])*(表成绩单[历史]&lt;9E+307)*(表成绩单[历史]&gt;表成绩单[[#This Row],[历史]]))+1)</f>
        <v>189</v>
      </c>
      <c r="W17" s="29" cm="1">
        <f t="array" ref="W17">IF(表成绩单[[#This Row],[总分]]="","",SUMPRODUCT((表成绩单[考试日期]=表成绩单[[#This Row],[考试日期]])*(表成绩单[总分]&lt;9E+307)*(表成绩单[总分]&gt;表成绩单[[#This Row],[总分]]))+1)</f>
        <v>13</v>
      </c>
    </row>
    <row r="18" ht="28" customHeight="1" spans="4:23">
      <c r="D18" s="31">
        <v>45975</v>
      </c>
      <c r="E18" s="29">
        <v>19175397</v>
      </c>
      <c r="F18" s="29" t="s">
        <v>74</v>
      </c>
      <c r="G18" s="29" t="s">
        <v>92</v>
      </c>
      <c r="H18" s="29">
        <v>109</v>
      </c>
      <c r="I18" s="29">
        <v>117</v>
      </c>
      <c r="J18" s="29">
        <v>84.5</v>
      </c>
      <c r="K18" s="29">
        <v>89</v>
      </c>
      <c r="L18" s="29">
        <v>80</v>
      </c>
      <c r="M18" s="29">
        <v>85</v>
      </c>
      <c r="N18" s="29">
        <v>80</v>
      </c>
      <c r="O18" s="32">
        <v>644.5</v>
      </c>
      <c r="P18" s="29" cm="1">
        <f t="array" ref="P18">IF(表成绩单[[#This Row],[语文]]="","",SUMPRODUCT((表成绩单[考试日期]=表成绩单[[#This Row],[考试日期]])*(表成绩单[语文]&lt;9E+307)*(表成绩单[语文]&gt;表成绩单[[#This Row],[语文]]))+1)</f>
        <v>18</v>
      </c>
      <c r="Q18" s="29" cm="1">
        <f t="array" ref="Q18">IF(表成绩单[[#This Row],[数学]]="","",SUMPRODUCT((表成绩单[考试日期]=表成绩单[[#This Row],[考试日期]])*(表成绩单[数学]&lt;9E+307)*(表成绩单[数学]&gt;表成绩单[[#This Row],[数学]]))+1)</f>
        <v>37</v>
      </c>
      <c r="R18" s="29" cm="1">
        <f t="array" ref="R18">IF(表成绩单[[#This Row],[英语]]="","",SUMPRODUCT((表成绩单[考试日期]=表成绩单[[#This Row],[考试日期]])*(表成绩单[英语]&lt;9E+307)*(表成绩单[英语]&gt;表成绩单[[#This Row],[英语]]))+1)</f>
        <v>85</v>
      </c>
      <c r="S18" s="29" cm="1">
        <f t="array" ref="S18">IF(表成绩单[[#This Row],[物理]]="","",SUMPRODUCT((表成绩单[考试日期]=表成绩单[[#This Row],[考试日期]])*(表成绩单[物理]&lt;9E+307)*(表成绩单[物理]&gt;表成绩单[[#This Row],[物理]]))+1)</f>
        <v>18</v>
      </c>
      <c r="T18" s="29" cm="1">
        <f t="array" ref="T18">IF(表成绩单[[#This Row],[化学]]="","",SUMPRODUCT((表成绩单[考试日期]=表成绩单[[#This Row],[考试日期]])*(表成绩单[化学]&lt;9E+307)*(表成绩单[化学]&gt;表成绩单[[#This Row],[化学]]))+1)</f>
        <v>129</v>
      </c>
      <c r="U18" s="29" cm="1">
        <f t="array" ref="U18">IF(表成绩单[[#This Row],[政治]]="","",SUMPRODUCT((表成绩单[考试日期]=表成绩单[[#This Row],[考试日期]])*(表成绩单[政治]&lt;9E+307)*(表成绩单[政治]&gt;表成绩单[[#This Row],[政治]]))+1)</f>
        <v>45</v>
      </c>
      <c r="V18" s="29" cm="1">
        <f t="array" ref="V18">IF(表成绩单[[#This Row],[历史]]="","",SUMPRODUCT((表成绩单[考试日期]=表成绩单[[#This Row],[考试日期]])*(表成绩单[历史]&lt;9E+307)*(表成绩单[历史]&gt;表成绩单[[#This Row],[历史]]))+1)</f>
        <v>108</v>
      </c>
      <c r="W18" s="29" cm="1">
        <f t="array" ref="W18">IF(表成绩单[[#This Row],[总分]]="","",SUMPRODUCT((表成绩单[考试日期]=表成绩单[[#This Row],[考试日期]])*(表成绩单[总分]&lt;9E+307)*(表成绩单[总分]&gt;表成绩单[[#This Row],[总分]]))+1)</f>
        <v>14</v>
      </c>
    </row>
    <row r="19" ht="28" customHeight="1" spans="4:23">
      <c r="D19" s="31">
        <v>45975</v>
      </c>
      <c r="E19" s="29">
        <v>19177196</v>
      </c>
      <c r="F19" s="29" t="s">
        <v>70</v>
      </c>
      <c r="G19" s="29" t="s">
        <v>93</v>
      </c>
      <c r="H19" s="29">
        <v>105</v>
      </c>
      <c r="I19" s="29">
        <v>113</v>
      </c>
      <c r="J19" s="29">
        <v>86.5</v>
      </c>
      <c r="K19" s="29">
        <v>88</v>
      </c>
      <c r="L19" s="29">
        <v>84</v>
      </c>
      <c r="M19" s="29">
        <v>87</v>
      </c>
      <c r="N19" s="29">
        <v>81</v>
      </c>
      <c r="O19" s="32">
        <v>644.5</v>
      </c>
      <c r="P19" s="29" cm="1">
        <f t="array" ref="P19">IF(表成绩单[[#This Row],[语文]]="","",SUMPRODUCT((表成绩单[考试日期]=表成绩单[[#This Row],[考试日期]])*(表成绩单[语文]&lt;9E+307)*(表成绩单[语文]&gt;表成绩单[[#This Row],[语文]]))+1)</f>
        <v>80</v>
      </c>
      <c r="Q19" s="29" cm="1">
        <f t="array" ref="Q19">IF(表成绩单[[#This Row],[数学]]="","",SUMPRODUCT((表成绩单[考试日期]=表成绩单[[#This Row],[考试日期]])*(表成绩单[数学]&lt;9E+307)*(表成绩单[数学]&gt;表成绩单[[#This Row],[数学]]))+1)</f>
        <v>93</v>
      </c>
      <c r="R19" s="29" cm="1">
        <f t="array" ref="R19">IF(表成绩单[[#This Row],[英语]]="","",SUMPRODUCT((表成绩单[考试日期]=表成绩单[[#This Row],[考试日期]])*(表成绩单[英语]&lt;9E+307)*(表成绩单[英语]&gt;表成绩单[[#This Row],[英语]]))+1)</f>
        <v>35</v>
      </c>
      <c r="S19" s="29" cm="1">
        <f t="array" ref="S19">IF(表成绩单[[#This Row],[物理]]="","",SUMPRODUCT((表成绩单[考试日期]=表成绩单[[#This Row],[考试日期]])*(表成绩单[物理]&lt;9E+307)*(表成绩单[物理]&gt;表成绩单[[#This Row],[物理]]))+1)</f>
        <v>54</v>
      </c>
      <c r="T19" s="29" cm="1">
        <f t="array" ref="T19">IF(表成绩单[[#This Row],[化学]]="","",SUMPRODUCT((表成绩单[考试日期]=表成绩单[[#This Row],[考试日期]])*(表成绩单[化学]&lt;9E+307)*(表成绩单[化学]&gt;表成绩单[[#This Row],[化学]]))+1)</f>
        <v>33</v>
      </c>
      <c r="U19" s="29" cm="1">
        <f t="array" ref="U19">IF(表成绩单[[#This Row],[政治]]="","",SUMPRODUCT((表成绩单[考试日期]=表成绩单[[#This Row],[考试日期]])*(表成绩单[政治]&lt;9E+307)*(表成绩单[政治]&gt;表成绩单[[#This Row],[政治]]))+1)</f>
        <v>13</v>
      </c>
      <c r="V19" s="29" cm="1">
        <f t="array" ref="V19">IF(表成绩单[[#This Row],[历史]]="","",SUMPRODUCT((表成绩单[考试日期]=表成绩单[[#This Row],[考试日期]])*(表成绩单[历史]&lt;9E+307)*(表成绩单[历史]&gt;表成绩单[[#This Row],[历史]]))+1)</f>
        <v>63</v>
      </c>
      <c r="W19" s="29" cm="1">
        <f t="array" ref="W19">IF(表成绩单[[#This Row],[总分]]="","",SUMPRODUCT((表成绩单[考试日期]=表成绩单[[#This Row],[考试日期]])*(表成绩单[总分]&lt;9E+307)*(表成绩单[总分]&gt;表成绩单[[#This Row],[总分]]))+1)</f>
        <v>14</v>
      </c>
    </row>
    <row r="20" ht="28" customHeight="1" spans="4:23">
      <c r="D20" s="31">
        <v>45975</v>
      </c>
      <c r="E20" s="29">
        <v>19175391</v>
      </c>
      <c r="F20" s="29" t="s">
        <v>74</v>
      </c>
      <c r="G20" s="29" t="s">
        <v>94</v>
      </c>
      <c r="H20" s="29">
        <v>111</v>
      </c>
      <c r="I20" s="29">
        <v>114</v>
      </c>
      <c r="J20" s="29">
        <v>83</v>
      </c>
      <c r="K20" s="29">
        <v>88</v>
      </c>
      <c r="L20" s="29">
        <v>81</v>
      </c>
      <c r="M20" s="29">
        <v>88</v>
      </c>
      <c r="N20" s="29">
        <v>79</v>
      </c>
      <c r="O20" s="32">
        <v>644</v>
      </c>
      <c r="P20" s="29" cm="1">
        <f t="array" ref="P20">IF(表成绩单[[#This Row],[语文]]="","",SUMPRODUCT((表成绩单[考试日期]=表成绩单[[#This Row],[考试日期]])*(表成绩单[语文]&lt;9E+307)*(表成绩单[语文]&gt;表成绩单[[#This Row],[语文]]))+1)</f>
        <v>11</v>
      </c>
      <c r="Q20" s="29" cm="1">
        <f t="array" ref="Q20">IF(表成绩单[[#This Row],[数学]]="","",SUMPRODUCT((表成绩单[考试日期]=表成绩单[[#This Row],[考试日期]])*(表成绩单[数学]&lt;9E+307)*(表成绩单[数学]&gt;表成绩单[[#This Row],[数学]]))+1)</f>
        <v>79</v>
      </c>
      <c r="R20" s="29" cm="1">
        <f t="array" ref="R20">IF(表成绩单[[#This Row],[英语]]="","",SUMPRODUCT((表成绩单[考试日期]=表成绩单[[#This Row],[考试日期]])*(表成绩单[英语]&lt;9E+307)*(表成绩单[英语]&gt;表成绩单[[#This Row],[英语]]))+1)</f>
        <v>146</v>
      </c>
      <c r="S20" s="29" cm="1">
        <f t="array" ref="S20">IF(表成绩单[[#This Row],[物理]]="","",SUMPRODUCT((表成绩单[考试日期]=表成绩单[[#This Row],[考试日期]])*(表成绩单[物理]&lt;9E+307)*(表成绩单[物理]&gt;表成绩单[[#This Row],[物理]]))+1)</f>
        <v>54</v>
      </c>
      <c r="T20" s="29" cm="1">
        <f t="array" ref="T20">IF(表成绩单[[#This Row],[化学]]="","",SUMPRODUCT((表成绩单[考试日期]=表成绩单[[#This Row],[考试日期]])*(表成绩单[化学]&lt;9E+307)*(表成绩单[化学]&gt;表成绩单[[#This Row],[化学]]))+1)</f>
        <v>100</v>
      </c>
      <c r="U20" s="29" cm="1">
        <f t="array" ref="U20">IF(表成绩单[[#This Row],[政治]]="","",SUMPRODUCT((表成绩单[考试日期]=表成绩单[[#This Row],[考试日期]])*(表成绩单[政治]&lt;9E+307)*(表成绩单[政治]&gt;表成绩单[[#This Row],[政治]]))+1)</f>
        <v>4</v>
      </c>
      <c r="V20" s="29" cm="1">
        <f t="array" ref="V20">IF(表成绩单[[#This Row],[历史]]="","",SUMPRODUCT((表成绩单[考试日期]=表成绩单[[#This Row],[考试日期]])*(表成绩单[历史]&lt;9E+307)*(表成绩单[历史]&gt;表成绩单[[#This Row],[历史]]))+1)</f>
        <v>144</v>
      </c>
      <c r="W20" s="29" cm="1">
        <f t="array" ref="W20">IF(表成绩单[[#This Row],[总分]]="","",SUMPRODUCT((表成绩单[考试日期]=表成绩单[[#This Row],[考试日期]])*(表成绩单[总分]&lt;9E+307)*(表成绩单[总分]&gt;表成绩单[[#This Row],[总分]]))+1)</f>
        <v>16</v>
      </c>
    </row>
    <row r="21" ht="28" customHeight="1" spans="4:23">
      <c r="D21" s="31">
        <v>45975</v>
      </c>
      <c r="E21" s="29">
        <v>19175402</v>
      </c>
      <c r="F21" s="29" t="s">
        <v>74</v>
      </c>
      <c r="G21" s="29" t="s">
        <v>95</v>
      </c>
      <c r="H21" s="29">
        <v>103</v>
      </c>
      <c r="I21" s="29">
        <v>114</v>
      </c>
      <c r="J21" s="29">
        <v>86</v>
      </c>
      <c r="K21" s="29">
        <v>86</v>
      </c>
      <c r="L21" s="29">
        <v>88</v>
      </c>
      <c r="M21" s="29">
        <v>86</v>
      </c>
      <c r="N21" s="29">
        <v>81</v>
      </c>
      <c r="O21" s="32">
        <v>644</v>
      </c>
      <c r="P21" s="29" cm="1">
        <f t="array" ref="P21">IF(表成绩单[[#This Row],[语文]]="","",SUMPRODUCT((表成绩单[考试日期]=表成绩单[[#This Row],[考试日期]])*(表成绩单[语文]&lt;9E+307)*(表成绩单[语文]&gt;表成绩单[[#This Row],[语文]]))+1)</f>
        <v>126</v>
      </c>
      <c r="Q21" s="29" cm="1">
        <f t="array" ref="Q21">IF(表成绩单[[#This Row],[数学]]="","",SUMPRODUCT((表成绩单[考试日期]=表成绩单[[#This Row],[考试日期]])*(表成绩单[数学]&lt;9E+307)*(表成绩单[数学]&gt;表成绩单[[#This Row],[数学]]))+1)</f>
        <v>79</v>
      </c>
      <c r="R21" s="29" cm="1">
        <f t="array" ref="R21">IF(表成绩单[[#This Row],[英语]]="","",SUMPRODUCT((表成绩单[考试日期]=表成绩单[[#This Row],[考试日期]])*(表成绩单[英语]&lt;9E+307)*(表成绩单[英语]&gt;表成绩单[[#This Row],[英语]]))+1)</f>
        <v>42</v>
      </c>
      <c r="S21" s="29" cm="1">
        <f t="array" ref="S21">IF(表成绩单[[#This Row],[物理]]="","",SUMPRODUCT((表成绩单[考试日期]=表成绩单[[#This Row],[考试日期]])*(表成绩单[物理]&lt;9E+307)*(表成绩单[物理]&gt;表成绩单[[#This Row],[物理]]))+1)</f>
        <v>187</v>
      </c>
      <c r="T21" s="29" cm="1">
        <f t="array" ref="T21">IF(表成绩单[[#This Row],[化学]]="","",SUMPRODUCT((表成绩单[考试日期]=表成绩单[[#This Row],[考试日期]])*(表成绩单[化学]&lt;9E+307)*(表成绩单[化学]&gt;表成绩单[[#This Row],[化学]]))+1)</f>
        <v>1</v>
      </c>
      <c r="U21" s="29" cm="1">
        <f t="array" ref="U21">IF(表成绩单[[#This Row],[政治]]="","",SUMPRODUCT((表成绩单[考试日期]=表成绩单[[#This Row],[考试日期]])*(表成绩单[政治]&lt;9E+307)*(表成绩单[政治]&gt;表成绩单[[#This Row],[政治]]))+1)</f>
        <v>26</v>
      </c>
      <c r="V21" s="29" cm="1">
        <f t="array" ref="V21">IF(表成绩单[[#This Row],[历史]]="","",SUMPRODUCT((表成绩单[考试日期]=表成绩单[[#This Row],[考试日期]])*(表成绩单[历史]&lt;9E+307)*(表成绩单[历史]&gt;表成绩单[[#This Row],[历史]]))+1)</f>
        <v>63</v>
      </c>
      <c r="W21" s="29" cm="1">
        <f t="array" ref="W21">IF(表成绩单[[#This Row],[总分]]="","",SUMPRODUCT((表成绩单[考试日期]=表成绩单[[#This Row],[考试日期]])*(表成绩单[总分]&lt;9E+307)*(表成绩单[总分]&gt;表成绩单[[#This Row],[总分]]))+1)</f>
        <v>16</v>
      </c>
    </row>
    <row r="22" ht="28" customHeight="1" spans="4:23">
      <c r="D22" s="31">
        <v>45975</v>
      </c>
      <c r="E22" s="29">
        <v>19175403</v>
      </c>
      <c r="F22" s="29" t="s">
        <v>74</v>
      </c>
      <c r="G22" s="29" t="s">
        <v>96</v>
      </c>
      <c r="H22" s="29">
        <v>109</v>
      </c>
      <c r="I22" s="29">
        <v>116</v>
      </c>
      <c r="J22" s="29">
        <v>85</v>
      </c>
      <c r="K22" s="29">
        <v>88</v>
      </c>
      <c r="L22" s="29">
        <v>86</v>
      </c>
      <c r="M22" s="29">
        <v>80</v>
      </c>
      <c r="N22" s="29">
        <v>80</v>
      </c>
      <c r="O22" s="32">
        <v>644</v>
      </c>
      <c r="P22" s="29" cm="1">
        <f t="array" ref="P22">IF(表成绩单[[#This Row],[语文]]="","",SUMPRODUCT((表成绩单[考试日期]=表成绩单[[#This Row],[考试日期]])*(表成绩单[语文]&lt;9E+307)*(表成绩单[语文]&gt;表成绩单[[#This Row],[语文]]))+1)</f>
        <v>18</v>
      </c>
      <c r="Q22" s="29" cm="1">
        <f t="array" ref="Q22">IF(表成绩单[[#This Row],[数学]]="","",SUMPRODUCT((表成绩单[考试日期]=表成绩单[[#This Row],[考试日期]])*(表成绩单[数学]&lt;9E+307)*(表成绩单[数学]&gt;表成绩单[[#This Row],[数学]]))+1)</f>
        <v>50</v>
      </c>
      <c r="R22" s="29" cm="1">
        <f t="array" ref="R22">IF(表成绩单[[#This Row],[英语]]="","",SUMPRODUCT((表成绩单[考试日期]=表成绩单[[#This Row],[考试日期]])*(表成绩单[英语]&lt;9E+307)*(表成绩单[英语]&gt;表成绩单[[#This Row],[英语]]))+1)</f>
        <v>69</v>
      </c>
      <c r="S22" s="29" cm="1">
        <f t="array" ref="S22">IF(表成绩单[[#This Row],[物理]]="","",SUMPRODUCT((表成绩单[考试日期]=表成绩单[[#This Row],[考试日期]])*(表成绩单[物理]&lt;9E+307)*(表成绩单[物理]&gt;表成绩单[[#This Row],[物理]]))+1)</f>
        <v>54</v>
      </c>
      <c r="T22" s="29" cm="1">
        <f t="array" ref="T22">IF(表成绩单[[#This Row],[化学]]="","",SUMPRODUCT((表成绩单[考试日期]=表成绩单[[#This Row],[考试日期]])*(表成绩单[化学]&lt;9E+307)*(表成绩单[化学]&gt;表成绩单[[#This Row],[化学]]))+1)</f>
        <v>8</v>
      </c>
      <c r="U22" s="29" cm="1">
        <f t="array" ref="U22">IF(表成绩单[[#This Row],[政治]]="","",SUMPRODUCT((表成绩单[考试日期]=表成绩单[[#This Row],[考试日期]])*(表成绩单[政治]&lt;9E+307)*(表成绩单[政治]&gt;表成绩单[[#This Row],[政治]]))+1)</f>
        <v>209</v>
      </c>
      <c r="V22" s="29" cm="1">
        <f t="array" ref="V22">IF(表成绩单[[#This Row],[历史]]="","",SUMPRODUCT((表成绩单[考试日期]=表成绩单[[#This Row],[考试日期]])*(表成绩单[历史]&lt;9E+307)*(表成绩单[历史]&gt;表成绩单[[#This Row],[历史]]))+1)</f>
        <v>108</v>
      </c>
      <c r="W22" s="29" cm="1">
        <f t="array" ref="W22">IF(表成绩单[[#This Row],[总分]]="","",SUMPRODUCT((表成绩单[考试日期]=表成绩单[[#This Row],[考试日期]])*(表成绩单[总分]&lt;9E+307)*(表成绩单[总分]&gt;表成绩单[[#This Row],[总分]]))+1)</f>
        <v>16</v>
      </c>
    </row>
    <row r="23" ht="28" customHeight="1" spans="4:23">
      <c r="D23" s="31">
        <v>45975</v>
      </c>
      <c r="E23" s="29">
        <v>19167656</v>
      </c>
      <c r="F23" s="29" t="s">
        <v>1</v>
      </c>
      <c r="G23" s="29" t="s">
        <v>97</v>
      </c>
      <c r="H23" s="29">
        <v>108</v>
      </c>
      <c r="I23" s="29">
        <v>118</v>
      </c>
      <c r="J23" s="29">
        <v>87</v>
      </c>
      <c r="K23" s="29">
        <v>85</v>
      </c>
      <c r="L23" s="29">
        <v>79</v>
      </c>
      <c r="M23" s="29">
        <v>85</v>
      </c>
      <c r="N23" s="29">
        <v>81</v>
      </c>
      <c r="O23" s="32">
        <v>643</v>
      </c>
      <c r="P23" s="29" cm="1">
        <f t="array" ref="P23">IF(表成绩单[[#This Row],[语文]]="","",SUMPRODUCT((表成绩单[考试日期]=表成绩单[[#This Row],[考试日期]])*(表成绩单[语文]&lt;9E+307)*(表成绩单[语文]&gt;表成绩单[[#This Row],[语文]]))+1)</f>
        <v>27</v>
      </c>
      <c r="Q23" s="29" cm="1">
        <f t="array" ref="Q23">IF(表成绩单[[#This Row],[数学]]="","",SUMPRODUCT((表成绩单[考试日期]=表成绩单[[#This Row],[考试日期]])*(表成绩单[数学]&lt;9E+307)*(表成绩单[数学]&gt;表成绩单[[#This Row],[数学]]))+1)</f>
        <v>22</v>
      </c>
      <c r="R23" s="29" cm="1">
        <f t="array" ref="R23">IF(表成绩单[[#This Row],[英语]]="","",SUMPRODUCT((表成绩单[考试日期]=表成绩单[[#This Row],[考试日期]])*(表成绩单[英语]&lt;9E+307)*(表成绩单[英语]&gt;表成绩单[[#This Row],[英语]]))+1)</f>
        <v>20</v>
      </c>
      <c r="S23" s="29" cm="1">
        <f t="array" ref="S23">IF(表成绩单[[#This Row],[物理]]="","",SUMPRODUCT((表成绩单[考试日期]=表成绩单[[#This Row],[考试日期]])*(表成绩单[物理]&lt;9E+307)*(表成绩单[物理]&gt;表成绩单[[#This Row],[物理]]))+1)</f>
        <v>263</v>
      </c>
      <c r="T23" s="29" cm="1">
        <f t="array" ref="T23">IF(表成绩单[[#This Row],[化学]]="","",SUMPRODUCT((表成绩单[考试日期]=表成绩单[[#This Row],[考试日期]])*(表成绩单[化学]&lt;9E+307)*(表成绩单[化学]&gt;表成绩单[[#This Row],[化学]]))+1)</f>
        <v>166</v>
      </c>
      <c r="U23" s="29" cm="1">
        <f t="array" ref="U23">IF(表成绩单[[#This Row],[政治]]="","",SUMPRODUCT((表成绩单[考试日期]=表成绩单[[#This Row],[考试日期]])*(表成绩单[政治]&lt;9E+307)*(表成绩单[政治]&gt;表成绩单[[#This Row],[政治]]))+1)</f>
        <v>45</v>
      </c>
      <c r="V23" s="29" cm="1">
        <f t="array" ref="V23">IF(表成绩单[[#This Row],[历史]]="","",SUMPRODUCT((表成绩单[考试日期]=表成绩单[[#This Row],[考试日期]])*(表成绩单[历史]&lt;9E+307)*(表成绩单[历史]&gt;表成绩单[[#This Row],[历史]]))+1)</f>
        <v>63</v>
      </c>
      <c r="W23" s="29" cm="1">
        <f t="array" ref="W23">IF(表成绩单[[#This Row],[总分]]="","",SUMPRODUCT((表成绩单[考试日期]=表成绩单[[#This Row],[考试日期]])*(表成绩单[总分]&lt;9E+307)*(表成绩单[总分]&gt;表成绩单[[#This Row],[总分]]))+1)</f>
        <v>19</v>
      </c>
    </row>
    <row r="24" ht="28" customHeight="1" spans="4:23">
      <c r="D24" s="31">
        <v>45975</v>
      </c>
      <c r="E24" s="29">
        <v>19175396</v>
      </c>
      <c r="F24" s="29" t="s">
        <v>74</v>
      </c>
      <c r="G24" s="29" t="s">
        <v>98</v>
      </c>
      <c r="H24" s="29">
        <v>105</v>
      </c>
      <c r="I24" s="29">
        <v>117</v>
      </c>
      <c r="J24" s="29">
        <v>87</v>
      </c>
      <c r="K24" s="29">
        <v>89</v>
      </c>
      <c r="L24" s="29">
        <v>81</v>
      </c>
      <c r="M24" s="29">
        <v>83</v>
      </c>
      <c r="N24" s="29">
        <v>81</v>
      </c>
      <c r="O24" s="32">
        <v>643</v>
      </c>
      <c r="P24" s="29" cm="1">
        <f t="array" ref="P24">IF(表成绩单[[#This Row],[语文]]="","",SUMPRODUCT((表成绩单[考试日期]=表成绩单[[#This Row],[考试日期]])*(表成绩单[语文]&lt;9E+307)*(表成绩单[语文]&gt;表成绩单[[#This Row],[语文]]))+1)</f>
        <v>80</v>
      </c>
      <c r="Q24" s="29" cm="1">
        <f t="array" ref="Q24">IF(表成绩单[[#This Row],[数学]]="","",SUMPRODUCT((表成绩单[考试日期]=表成绩单[[#This Row],[考试日期]])*(表成绩单[数学]&lt;9E+307)*(表成绩单[数学]&gt;表成绩单[[#This Row],[数学]]))+1)</f>
        <v>37</v>
      </c>
      <c r="R24" s="29" cm="1">
        <f t="array" ref="R24">IF(表成绩单[[#This Row],[英语]]="","",SUMPRODUCT((表成绩单[考试日期]=表成绩单[[#This Row],[考试日期]])*(表成绩单[英语]&lt;9E+307)*(表成绩单[英语]&gt;表成绩单[[#This Row],[英语]]))+1)</f>
        <v>20</v>
      </c>
      <c r="S24" s="29" cm="1">
        <f t="array" ref="S24">IF(表成绩单[[#This Row],[物理]]="","",SUMPRODUCT((表成绩单[考试日期]=表成绩单[[#This Row],[考试日期]])*(表成绩单[物理]&lt;9E+307)*(表成绩单[物理]&gt;表成绩单[[#This Row],[物理]]))+1)</f>
        <v>18</v>
      </c>
      <c r="T24" s="29" cm="1">
        <f t="array" ref="T24">IF(表成绩单[[#This Row],[化学]]="","",SUMPRODUCT((表成绩单[考试日期]=表成绩单[[#This Row],[考试日期]])*(表成绩单[化学]&lt;9E+307)*(表成绩单[化学]&gt;表成绩单[[#This Row],[化学]]))+1)</f>
        <v>100</v>
      </c>
      <c r="U24" s="29" cm="1">
        <f t="array" ref="U24">IF(表成绩单[[#This Row],[政治]]="","",SUMPRODUCT((表成绩单[考试日期]=表成绩单[[#This Row],[考试日期]])*(表成绩单[政治]&lt;9E+307)*(表成绩单[政治]&gt;表成绩单[[#This Row],[政治]]))+1)</f>
        <v>121</v>
      </c>
      <c r="V24" s="29" cm="1">
        <f t="array" ref="V24">IF(表成绩单[[#This Row],[历史]]="","",SUMPRODUCT((表成绩单[考试日期]=表成绩单[[#This Row],[考试日期]])*(表成绩单[历史]&lt;9E+307)*(表成绩单[历史]&gt;表成绩单[[#This Row],[历史]]))+1)</f>
        <v>63</v>
      </c>
      <c r="W24" s="29" cm="1">
        <f t="array" ref="W24">IF(表成绩单[[#This Row],[总分]]="","",SUMPRODUCT((表成绩单[考试日期]=表成绩单[[#This Row],[考试日期]])*(表成绩单[总分]&lt;9E+307)*(表成绩单[总分]&gt;表成绩单[[#This Row],[总分]]))+1)</f>
        <v>19</v>
      </c>
    </row>
    <row r="25" ht="28" customHeight="1" spans="4:23">
      <c r="D25" s="31">
        <v>45975</v>
      </c>
      <c r="E25" s="29">
        <v>19175416</v>
      </c>
      <c r="F25" s="29" t="s">
        <v>74</v>
      </c>
      <c r="G25" s="29" t="s">
        <v>99</v>
      </c>
      <c r="H25" s="29">
        <v>109</v>
      </c>
      <c r="I25" s="29">
        <v>116</v>
      </c>
      <c r="J25" s="29">
        <v>83.5</v>
      </c>
      <c r="K25" s="29">
        <v>90</v>
      </c>
      <c r="L25" s="29">
        <v>86</v>
      </c>
      <c r="M25" s="29">
        <v>80</v>
      </c>
      <c r="N25" s="29">
        <v>78</v>
      </c>
      <c r="O25" s="32">
        <v>642.5</v>
      </c>
      <c r="P25" s="29" cm="1">
        <f t="array" ref="P25">IF(表成绩单[[#This Row],[语文]]="","",SUMPRODUCT((表成绩单[考试日期]=表成绩单[[#This Row],[考试日期]])*(表成绩单[语文]&lt;9E+307)*(表成绩单[语文]&gt;表成绩单[[#This Row],[语文]]))+1)</f>
        <v>18</v>
      </c>
      <c r="Q25" s="29" cm="1">
        <f t="array" ref="Q25">IF(表成绩单[[#This Row],[数学]]="","",SUMPRODUCT((表成绩单[考试日期]=表成绩单[[#This Row],[考试日期]])*(表成绩单[数学]&lt;9E+307)*(表成绩单[数学]&gt;表成绩单[[#This Row],[数学]]))+1)</f>
        <v>50</v>
      </c>
      <c r="R25" s="29" cm="1">
        <f t="array" ref="R25">IF(表成绩单[[#This Row],[英语]]="","",SUMPRODUCT((表成绩单[考试日期]=表成绩单[[#This Row],[考试日期]])*(表成绩单[英语]&lt;9E+307)*(表成绩单[英语]&gt;表成绩单[[#This Row],[英语]]))+1)</f>
        <v>128</v>
      </c>
      <c r="S25" s="29" cm="1">
        <f t="array" ref="S25">IF(表成绩单[[#This Row],[物理]]="","",SUMPRODUCT((表成绩单[考试日期]=表成绩单[[#This Row],[考试日期]])*(表成绩单[物理]&lt;9E+307)*(表成绩单[物理]&gt;表成绩单[[#This Row],[物理]]))+1)</f>
        <v>1</v>
      </c>
      <c r="T25" s="29" cm="1">
        <f t="array" ref="T25">IF(表成绩单[[#This Row],[化学]]="","",SUMPRODUCT((表成绩单[考试日期]=表成绩单[[#This Row],[考试日期]])*(表成绩单[化学]&lt;9E+307)*(表成绩单[化学]&gt;表成绩单[[#This Row],[化学]]))+1)</f>
        <v>8</v>
      </c>
      <c r="U25" s="29" cm="1">
        <f t="array" ref="U25">IF(表成绩单[[#This Row],[政治]]="","",SUMPRODUCT((表成绩单[考试日期]=表成绩单[[#This Row],[考试日期]])*(表成绩单[政治]&lt;9E+307)*(表成绩单[政治]&gt;表成绩单[[#This Row],[政治]]))+1)</f>
        <v>209</v>
      </c>
      <c r="V25" s="29" cm="1">
        <f t="array" ref="V25">IF(表成绩单[[#This Row],[历史]]="","",SUMPRODUCT((表成绩单[考试日期]=表成绩单[[#This Row],[考试日期]])*(表成绩单[历史]&lt;9E+307)*(表成绩单[历史]&gt;表成绩单[[#This Row],[历史]]))+1)</f>
        <v>189</v>
      </c>
      <c r="W25" s="29" cm="1">
        <f t="array" ref="W25">IF(表成绩单[[#This Row],[总分]]="","",SUMPRODUCT((表成绩单[考试日期]=表成绩单[[#This Row],[考试日期]])*(表成绩单[总分]&lt;9E+307)*(表成绩单[总分]&gt;表成绩单[[#This Row],[总分]]))+1)</f>
        <v>21</v>
      </c>
    </row>
    <row r="26" ht="28" customHeight="1" spans="4:23">
      <c r="D26" s="31">
        <v>45975</v>
      </c>
      <c r="E26" s="29">
        <v>19176892</v>
      </c>
      <c r="F26" s="29" t="s">
        <v>71</v>
      </c>
      <c r="G26" s="29" t="s">
        <v>100</v>
      </c>
      <c r="H26" s="29">
        <v>106</v>
      </c>
      <c r="I26" s="29">
        <v>115</v>
      </c>
      <c r="J26" s="29">
        <v>82</v>
      </c>
      <c r="K26" s="29">
        <v>89</v>
      </c>
      <c r="L26" s="29">
        <v>82</v>
      </c>
      <c r="M26" s="29">
        <v>86</v>
      </c>
      <c r="N26" s="29">
        <v>82</v>
      </c>
      <c r="O26" s="32">
        <v>642</v>
      </c>
      <c r="P26" s="29" cm="1">
        <f t="array" ref="P26">IF(表成绩单[[#This Row],[语文]]="","",SUMPRODUCT((表成绩单[考试日期]=表成绩单[[#This Row],[考试日期]])*(表成绩单[语文]&lt;9E+307)*(表成绩单[语文]&gt;表成绩单[[#This Row],[语文]]))+1)</f>
        <v>62</v>
      </c>
      <c r="Q26" s="29" cm="1">
        <f t="array" ref="Q26">IF(表成绩单[[#This Row],[数学]]="","",SUMPRODUCT((表成绩单[考试日期]=表成绩单[[#This Row],[考试日期]])*(表成绩单[数学]&lt;9E+307)*(表成绩单[数学]&gt;表成绩单[[#This Row],[数学]]))+1)</f>
        <v>63</v>
      </c>
      <c r="R26" s="29" cm="1">
        <f t="array" ref="R26">IF(表成绩单[[#This Row],[英语]]="","",SUMPRODUCT((表成绩单[考试日期]=表成绩单[[#This Row],[考试日期]])*(表成绩单[英语]&lt;9E+307)*(表成绩单[英语]&gt;表成绩单[[#This Row],[英语]]))+1)</f>
        <v>195</v>
      </c>
      <c r="S26" s="29" cm="1">
        <f t="array" ref="S26">IF(表成绩单[[#This Row],[物理]]="","",SUMPRODUCT((表成绩单[考试日期]=表成绩单[[#This Row],[考试日期]])*(表成绩单[物理]&lt;9E+307)*(表成绩单[物理]&gt;表成绩单[[#This Row],[物理]]))+1)</f>
        <v>18</v>
      </c>
      <c r="T26" s="29" cm="1">
        <f t="array" ref="T26">IF(表成绩单[[#This Row],[化学]]="","",SUMPRODUCT((表成绩单[考试日期]=表成绩单[[#This Row],[考试日期]])*(表成绩单[化学]&lt;9E+307)*(表成绩单[化学]&gt;表成绩单[[#This Row],[化学]]))+1)</f>
        <v>71</v>
      </c>
      <c r="U26" s="29" cm="1">
        <f t="array" ref="U26">IF(表成绩单[[#This Row],[政治]]="","",SUMPRODUCT((表成绩单[考试日期]=表成绩单[[#This Row],[考试日期]])*(表成绩单[政治]&lt;9E+307)*(表成绩单[政治]&gt;表成绩单[[#This Row],[政治]]))+1)</f>
        <v>26</v>
      </c>
      <c r="V26" s="29" cm="1">
        <f t="array" ref="V26">IF(表成绩单[[#This Row],[历史]]="","",SUMPRODUCT((表成绩单[考试日期]=表成绩单[[#This Row],[考试日期]])*(表成绩单[历史]&lt;9E+307)*(表成绩单[历史]&gt;表成绩单[[#This Row],[历史]]))+1)</f>
        <v>35</v>
      </c>
      <c r="W26" s="29" cm="1">
        <f t="array" ref="W26">IF(表成绩单[[#This Row],[总分]]="","",SUMPRODUCT((表成绩单[考试日期]=表成绩单[[#This Row],[考试日期]])*(表成绩单[总分]&lt;9E+307)*(表成绩单[总分]&gt;表成绩单[[#This Row],[总分]]))+1)</f>
        <v>22</v>
      </c>
    </row>
    <row r="27" ht="28" customHeight="1" spans="4:23">
      <c r="D27" s="31">
        <v>45975</v>
      </c>
      <c r="E27" s="29">
        <v>19175401</v>
      </c>
      <c r="F27" s="29" t="s">
        <v>74</v>
      </c>
      <c r="G27" s="29" t="s">
        <v>101</v>
      </c>
      <c r="H27" s="29">
        <v>106</v>
      </c>
      <c r="I27" s="29">
        <v>112</v>
      </c>
      <c r="J27" s="29">
        <v>84.5</v>
      </c>
      <c r="K27" s="29">
        <v>90</v>
      </c>
      <c r="L27" s="29">
        <v>83</v>
      </c>
      <c r="M27" s="29">
        <v>85</v>
      </c>
      <c r="N27" s="29">
        <v>81</v>
      </c>
      <c r="O27" s="32">
        <v>641.5</v>
      </c>
      <c r="P27" s="29" cm="1">
        <f t="array" ref="P27">IF(表成绩单[[#This Row],[语文]]="","",SUMPRODUCT((表成绩单[考试日期]=表成绩单[[#This Row],[考试日期]])*(表成绩单[语文]&lt;9E+307)*(表成绩单[语文]&gt;表成绩单[[#This Row],[语文]]))+1)</f>
        <v>62</v>
      </c>
      <c r="Q27" s="29" cm="1">
        <f t="array" ref="Q27">IF(表成绩单[[#This Row],[数学]]="","",SUMPRODUCT((表成绩单[考试日期]=表成绩单[[#This Row],[考试日期]])*(表成绩单[数学]&lt;9E+307)*(表成绩单[数学]&gt;表成绩单[[#This Row],[数学]]))+1)</f>
        <v>112</v>
      </c>
      <c r="R27" s="29" cm="1">
        <f t="array" ref="R27">IF(表成绩单[[#This Row],[英语]]="","",SUMPRODUCT((表成绩单[考试日期]=表成绩单[[#This Row],[考试日期]])*(表成绩单[英语]&lt;9E+307)*(表成绩单[英语]&gt;表成绩单[[#This Row],[英语]]))+1)</f>
        <v>85</v>
      </c>
      <c r="S27" s="29" cm="1">
        <f t="array" ref="S27">IF(表成绩单[[#This Row],[物理]]="","",SUMPRODUCT((表成绩单[考试日期]=表成绩单[[#This Row],[考试日期]])*(表成绩单[物理]&lt;9E+307)*(表成绩单[物理]&gt;表成绩单[[#This Row],[物理]]))+1)</f>
        <v>1</v>
      </c>
      <c r="T27" s="29" cm="1">
        <f t="array" ref="T27">IF(表成绩单[[#This Row],[化学]]="","",SUMPRODUCT((表成绩单[考试日期]=表成绩单[[#This Row],[考试日期]])*(表成绩单[化学]&lt;9E+307)*(表成绩单[化学]&gt;表成绩单[[#This Row],[化学]]))+1)</f>
        <v>49</v>
      </c>
      <c r="U27" s="29" cm="1">
        <f t="array" ref="U27">IF(表成绩单[[#This Row],[政治]]="","",SUMPRODUCT((表成绩单[考试日期]=表成绩单[[#This Row],[考试日期]])*(表成绩单[政治]&lt;9E+307)*(表成绩单[政治]&gt;表成绩单[[#This Row],[政治]]))+1)</f>
        <v>45</v>
      </c>
      <c r="V27" s="29" cm="1">
        <f t="array" ref="V27">IF(表成绩单[[#This Row],[历史]]="","",SUMPRODUCT((表成绩单[考试日期]=表成绩单[[#This Row],[考试日期]])*(表成绩单[历史]&lt;9E+307)*(表成绩单[历史]&gt;表成绩单[[#This Row],[历史]]))+1)</f>
        <v>63</v>
      </c>
      <c r="W27" s="29" cm="1">
        <f t="array" ref="W27">IF(表成绩单[[#This Row],[总分]]="","",SUMPRODUCT((表成绩单[考试日期]=表成绩单[[#This Row],[考试日期]])*(表成绩单[总分]&lt;9E+307)*(表成绩单[总分]&gt;表成绩单[[#This Row],[总分]]))+1)</f>
        <v>23</v>
      </c>
    </row>
    <row r="28" ht="28" customHeight="1" spans="4:23">
      <c r="D28" s="31">
        <v>45975</v>
      </c>
      <c r="E28" s="29">
        <v>19173531</v>
      </c>
      <c r="F28" s="29" t="s">
        <v>1</v>
      </c>
      <c r="G28" s="29" t="s">
        <v>102</v>
      </c>
      <c r="H28" s="29">
        <v>107</v>
      </c>
      <c r="I28" s="29">
        <v>113</v>
      </c>
      <c r="J28" s="29">
        <v>85</v>
      </c>
      <c r="K28" s="29">
        <v>88</v>
      </c>
      <c r="L28" s="29">
        <v>82</v>
      </c>
      <c r="M28" s="29">
        <v>85</v>
      </c>
      <c r="N28" s="29">
        <v>81</v>
      </c>
      <c r="O28" s="32">
        <v>641</v>
      </c>
      <c r="P28" s="29" cm="1">
        <f t="array" ref="P28">IF(表成绩单[[#This Row],[语文]]="","",SUMPRODUCT((表成绩单[考试日期]=表成绩单[[#This Row],[考试日期]])*(表成绩单[语文]&lt;9E+307)*(表成绩单[语文]&gt;表成绩单[[#This Row],[语文]]))+1)</f>
        <v>45</v>
      </c>
      <c r="Q28" s="29" cm="1">
        <f t="array" ref="Q28">IF(表成绩单[[#This Row],[数学]]="","",SUMPRODUCT((表成绩单[考试日期]=表成绩单[[#This Row],[考试日期]])*(表成绩单[数学]&lt;9E+307)*(表成绩单[数学]&gt;表成绩单[[#This Row],[数学]]))+1)</f>
        <v>93</v>
      </c>
      <c r="R28" s="29" cm="1">
        <f t="array" ref="R28">IF(表成绩单[[#This Row],[英语]]="","",SUMPRODUCT((表成绩单[考试日期]=表成绩单[[#This Row],[考试日期]])*(表成绩单[英语]&lt;9E+307)*(表成绩单[英语]&gt;表成绩单[[#This Row],[英语]]))+1)</f>
        <v>69</v>
      </c>
      <c r="S28" s="29" cm="1">
        <f t="array" ref="S28">IF(表成绩单[[#This Row],[物理]]="","",SUMPRODUCT((表成绩单[考试日期]=表成绩单[[#This Row],[考试日期]])*(表成绩单[物理]&lt;9E+307)*(表成绩单[物理]&gt;表成绩单[[#This Row],[物理]]))+1)</f>
        <v>54</v>
      </c>
      <c r="T28" s="29" cm="1">
        <f t="array" ref="T28">IF(表成绩单[[#This Row],[化学]]="","",SUMPRODUCT((表成绩单[考试日期]=表成绩单[[#This Row],[考试日期]])*(表成绩单[化学]&lt;9E+307)*(表成绩单[化学]&gt;表成绩单[[#This Row],[化学]]))+1)</f>
        <v>71</v>
      </c>
      <c r="U28" s="29" cm="1">
        <f t="array" ref="U28">IF(表成绩单[[#This Row],[政治]]="","",SUMPRODUCT((表成绩单[考试日期]=表成绩单[[#This Row],[考试日期]])*(表成绩单[政治]&lt;9E+307)*(表成绩单[政治]&gt;表成绩单[[#This Row],[政治]]))+1)</f>
        <v>45</v>
      </c>
      <c r="V28" s="29" cm="1">
        <f t="array" ref="V28">IF(表成绩单[[#This Row],[历史]]="","",SUMPRODUCT((表成绩单[考试日期]=表成绩单[[#This Row],[考试日期]])*(表成绩单[历史]&lt;9E+307)*(表成绩单[历史]&gt;表成绩单[[#This Row],[历史]]))+1)</f>
        <v>63</v>
      </c>
      <c r="W28" s="29" cm="1">
        <f t="array" ref="W28">IF(表成绩单[[#This Row],[总分]]="","",SUMPRODUCT((表成绩单[考试日期]=表成绩单[[#This Row],[考试日期]])*(表成绩单[总分]&lt;9E+307)*(表成绩单[总分]&gt;表成绩单[[#This Row],[总分]]))+1)</f>
        <v>24</v>
      </c>
    </row>
    <row r="29" ht="28" customHeight="1" spans="4:23">
      <c r="D29" s="31">
        <v>45975</v>
      </c>
      <c r="E29" s="29">
        <v>19175389</v>
      </c>
      <c r="F29" s="29" t="s">
        <v>74</v>
      </c>
      <c r="G29" s="29" t="s">
        <v>103</v>
      </c>
      <c r="H29" s="29">
        <v>97</v>
      </c>
      <c r="I29" s="29">
        <v>117</v>
      </c>
      <c r="J29" s="29">
        <v>83</v>
      </c>
      <c r="K29" s="29">
        <v>90</v>
      </c>
      <c r="L29" s="29">
        <v>85</v>
      </c>
      <c r="M29" s="29">
        <v>84</v>
      </c>
      <c r="N29" s="29">
        <v>85</v>
      </c>
      <c r="O29" s="32">
        <v>641</v>
      </c>
      <c r="P29" s="29" cm="1">
        <f t="array" ref="P29">IF(表成绩单[[#This Row],[语文]]="","",SUMPRODUCT((表成绩单[考试日期]=表成绩单[[#This Row],[考试日期]])*(表成绩单[语文]&lt;9E+307)*(表成绩单[语文]&gt;表成绩单[[#This Row],[语文]]))+1)</f>
        <v>349</v>
      </c>
      <c r="Q29" s="29" cm="1">
        <f t="array" ref="Q29">IF(表成绩单[[#This Row],[数学]]="","",SUMPRODUCT((表成绩单[考试日期]=表成绩单[[#This Row],[考试日期]])*(表成绩单[数学]&lt;9E+307)*(表成绩单[数学]&gt;表成绩单[[#This Row],[数学]]))+1)</f>
        <v>37</v>
      </c>
      <c r="R29" s="29" cm="1">
        <f t="array" ref="R29">IF(表成绩单[[#This Row],[英语]]="","",SUMPRODUCT((表成绩单[考试日期]=表成绩单[[#This Row],[考试日期]])*(表成绩单[英语]&lt;9E+307)*(表成绩单[英语]&gt;表成绩单[[#This Row],[英语]]))+1)</f>
        <v>146</v>
      </c>
      <c r="S29" s="29" cm="1">
        <f t="array" ref="S29">IF(表成绩单[[#This Row],[物理]]="","",SUMPRODUCT((表成绩单[考试日期]=表成绩单[[#This Row],[考试日期]])*(表成绩单[物理]&lt;9E+307)*(表成绩单[物理]&gt;表成绩单[[#This Row],[物理]]))+1)</f>
        <v>1</v>
      </c>
      <c r="T29" s="29" cm="1">
        <f t="array" ref="T29">IF(表成绩单[[#This Row],[化学]]="","",SUMPRODUCT((表成绩单[考试日期]=表成绩单[[#This Row],[考试日期]])*(表成绩单[化学]&lt;9E+307)*(表成绩单[化学]&gt;表成绩单[[#This Row],[化学]]))+1)</f>
        <v>19</v>
      </c>
      <c r="U29" s="29" cm="1">
        <f t="array" ref="U29">IF(表成绩单[[#This Row],[政治]]="","",SUMPRODUCT((表成绩单[考试日期]=表成绩单[[#This Row],[考试日期]])*(表成绩单[政治]&lt;9E+307)*(表成绩单[政治]&gt;表成绩单[[#This Row],[政治]]))+1)</f>
        <v>83</v>
      </c>
      <c r="V29" s="29" cm="1">
        <f t="array" ref="V29">IF(表成绩单[[#This Row],[历史]]="","",SUMPRODUCT((表成绩单[考试日期]=表成绩单[[#This Row],[考试日期]])*(表成绩单[历史]&lt;9E+307)*(表成绩单[历史]&gt;表成绩单[[#This Row],[历史]]))+1)</f>
        <v>3</v>
      </c>
      <c r="W29" s="29" cm="1">
        <f t="array" ref="W29">IF(表成绩单[[#This Row],[总分]]="","",SUMPRODUCT((表成绩单[考试日期]=表成绩单[[#This Row],[考试日期]])*(表成绩单[总分]&lt;9E+307)*(表成绩单[总分]&gt;表成绩单[[#This Row],[总分]]))+1)</f>
        <v>24</v>
      </c>
    </row>
    <row r="30" ht="28" customHeight="1" spans="4:23">
      <c r="D30" s="31">
        <v>45975</v>
      </c>
      <c r="E30" s="29">
        <v>19175383</v>
      </c>
      <c r="F30" s="29" t="s">
        <v>74</v>
      </c>
      <c r="G30" s="29" t="s">
        <v>104</v>
      </c>
      <c r="H30" s="29">
        <v>107</v>
      </c>
      <c r="I30" s="29">
        <v>119</v>
      </c>
      <c r="J30" s="29">
        <v>86.5</v>
      </c>
      <c r="K30" s="29">
        <v>89</v>
      </c>
      <c r="L30" s="29">
        <v>82</v>
      </c>
      <c r="M30" s="29">
        <v>77</v>
      </c>
      <c r="N30" s="29">
        <v>80</v>
      </c>
      <c r="O30" s="32">
        <v>640.5</v>
      </c>
      <c r="P30" s="29" cm="1">
        <f t="array" ref="P30">IF(表成绩单[[#This Row],[语文]]="","",SUMPRODUCT((表成绩单[考试日期]=表成绩单[[#This Row],[考试日期]])*(表成绩单[语文]&lt;9E+307)*(表成绩单[语文]&gt;表成绩单[[#This Row],[语文]]))+1)</f>
        <v>45</v>
      </c>
      <c r="Q30" s="29" cm="1">
        <f t="array" ref="Q30">IF(表成绩单[[#This Row],[数学]]="","",SUMPRODUCT((表成绩单[考试日期]=表成绩单[[#This Row],[考试日期]])*(表成绩单[数学]&lt;9E+307)*(表成绩单[数学]&gt;表成绩单[[#This Row],[数学]]))+1)</f>
        <v>11</v>
      </c>
      <c r="R30" s="29" cm="1">
        <f t="array" ref="R30">IF(表成绩单[[#This Row],[英语]]="","",SUMPRODUCT((表成绩单[考试日期]=表成绩单[[#This Row],[考试日期]])*(表成绩单[英语]&lt;9E+307)*(表成绩单[英语]&gt;表成绩单[[#This Row],[英语]]))+1)</f>
        <v>35</v>
      </c>
      <c r="S30" s="29" cm="1">
        <f t="array" ref="S30">IF(表成绩单[[#This Row],[物理]]="","",SUMPRODUCT((表成绩单[考试日期]=表成绩单[[#This Row],[考试日期]])*(表成绩单[物理]&lt;9E+307)*(表成绩单[物理]&gt;表成绩单[[#This Row],[物理]]))+1)</f>
        <v>18</v>
      </c>
      <c r="T30" s="29" cm="1">
        <f t="array" ref="T30">IF(表成绩单[[#This Row],[化学]]="","",SUMPRODUCT((表成绩单[考试日期]=表成绩单[[#This Row],[考试日期]])*(表成绩单[化学]&lt;9E+307)*(表成绩单[化学]&gt;表成绩单[[#This Row],[化学]]))+1)</f>
        <v>71</v>
      </c>
      <c r="U30" s="29" cm="1">
        <f t="array" ref="U30">IF(表成绩单[[#This Row],[政治]]="","",SUMPRODUCT((表成绩单[考试日期]=表成绩单[[#This Row],[考试日期]])*(表成绩单[政治]&lt;9E+307)*(表成绩单[政治]&gt;表成绩单[[#This Row],[政治]]))+1)</f>
        <v>304</v>
      </c>
      <c r="V30" s="29" cm="1">
        <f t="array" ref="V30">IF(表成绩单[[#This Row],[历史]]="","",SUMPRODUCT((表成绩单[考试日期]=表成绩单[[#This Row],[考试日期]])*(表成绩单[历史]&lt;9E+307)*(表成绩单[历史]&gt;表成绩单[[#This Row],[历史]]))+1)</f>
        <v>108</v>
      </c>
      <c r="W30" s="29" cm="1">
        <f t="array" ref="W30">IF(表成绩单[[#This Row],[总分]]="","",SUMPRODUCT((表成绩单[考试日期]=表成绩单[[#This Row],[考试日期]])*(表成绩单[总分]&lt;9E+307)*(表成绩单[总分]&gt;表成绩单[[#This Row],[总分]]))+1)</f>
        <v>26</v>
      </c>
    </row>
    <row r="31" ht="28" customHeight="1" spans="4:23">
      <c r="D31" s="31">
        <v>45975</v>
      </c>
      <c r="E31" s="29">
        <v>19173528</v>
      </c>
      <c r="F31" s="29" t="s">
        <v>1</v>
      </c>
      <c r="G31" s="29" t="s">
        <v>105</v>
      </c>
      <c r="H31" s="29">
        <v>109</v>
      </c>
      <c r="I31" s="29">
        <v>106</v>
      </c>
      <c r="J31" s="29">
        <v>86</v>
      </c>
      <c r="K31" s="29">
        <v>84</v>
      </c>
      <c r="L31" s="29">
        <v>87</v>
      </c>
      <c r="M31" s="29">
        <v>85</v>
      </c>
      <c r="N31" s="29">
        <v>83</v>
      </c>
      <c r="O31" s="32">
        <v>640</v>
      </c>
      <c r="P31" s="29" cm="1">
        <f t="array" ref="P31">IF(表成绩单[[#This Row],[语文]]="","",SUMPRODUCT((表成绩单[考试日期]=表成绩单[[#This Row],[考试日期]])*(表成绩单[语文]&lt;9E+307)*(表成绩单[语文]&gt;表成绩单[[#This Row],[语文]]))+1)</f>
        <v>18</v>
      </c>
      <c r="Q31" s="29" cm="1">
        <f t="array" ref="Q31">IF(表成绩单[[#This Row],[数学]]="","",SUMPRODUCT((表成绩单[考试日期]=表成绩单[[#This Row],[考试日期]])*(表成绩单[数学]&lt;9E+307)*(表成绩单[数学]&gt;表成绩单[[#This Row],[数学]]))+1)</f>
        <v>220</v>
      </c>
      <c r="R31" s="29" cm="1">
        <f t="array" ref="R31">IF(表成绩单[[#This Row],[英语]]="","",SUMPRODUCT((表成绩单[考试日期]=表成绩单[[#This Row],[考试日期]])*(表成绩单[英语]&lt;9E+307)*(表成绩单[英语]&gt;表成绩单[[#This Row],[英语]]))+1)</f>
        <v>42</v>
      </c>
      <c r="S31" s="29" cm="1">
        <f t="array" ref="S31">IF(表成绩单[[#This Row],[物理]]="","",SUMPRODUCT((表成绩单[考试日期]=表成绩单[[#This Row],[考试日期]])*(表成绩单[物理]&lt;9E+307)*(表成绩单[物理]&gt;表成绩单[[#This Row],[物理]]))+1)</f>
        <v>344</v>
      </c>
      <c r="T31" s="29" cm="1">
        <f t="array" ref="T31">IF(表成绩单[[#This Row],[化学]]="","",SUMPRODUCT((表成绩单[考试日期]=表成绩单[[#This Row],[考试日期]])*(表成绩单[化学]&lt;9E+307)*(表成绩单[化学]&gt;表成绩单[[#This Row],[化学]]))+1)</f>
        <v>3</v>
      </c>
      <c r="U31" s="29" cm="1">
        <f t="array" ref="U31">IF(表成绩单[[#This Row],[政治]]="","",SUMPRODUCT((表成绩单[考试日期]=表成绩单[[#This Row],[考试日期]])*(表成绩单[政治]&lt;9E+307)*(表成绩单[政治]&gt;表成绩单[[#This Row],[政治]]))+1)</f>
        <v>45</v>
      </c>
      <c r="V31" s="29" cm="1">
        <f t="array" ref="V31">IF(表成绩单[[#This Row],[历史]]="","",SUMPRODUCT((表成绩单[考试日期]=表成绩单[[#This Row],[考试日期]])*(表成绩单[历史]&lt;9E+307)*(表成绩单[历史]&gt;表成绩单[[#This Row],[历史]]))+1)</f>
        <v>18</v>
      </c>
      <c r="W31" s="29" cm="1">
        <f t="array" ref="W31">IF(表成绩单[[#This Row],[总分]]="","",SUMPRODUCT((表成绩单[考试日期]=表成绩单[[#This Row],[考试日期]])*(表成绩单[总分]&lt;9E+307)*(表成绩单[总分]&gt;表成绩单[[#This Row],[总分]]))+1)</f>
        <v>27</v>
      </c>
    </row>
    <row r="32" ht="28" customHeight="1" spans="4:23">
      <c r="D32" s="31">
        <v>45975</v>
      </c>
      <c r="E32" s="29">
        <v>19177221</v>
      </c>
      <c r="F32" s="29" t="s">
        <v>70</v>
      </c>
      <c r="G32" s="29" t="s">
        <v>106</v>
      </c>
      <c r="H32" s="29">
        <v>112</v>
      </c>
      <c r="I32" s="29">
        <v>112</v>
      </c>
      <c r="J32" s="29">
        <v>87</v>
      </c>
      <c r="K32" s="29">
        <v>88</v>
      </c>
      <c r="L32" s="29">
        <v>78</v>
      </c>
      <c r="M32" s="29">
        <v>85</v>
      </c>
      <c r="N32" s="29">
        <v>78</v>
      </c>
      <c r="O32" s="32">
        <v>640</v>
      </c>
      <c r="P32" s="29" cm="1">
        <f t="array" ref="P32">IF(表成绩单[[#This Row],[语文]]="","",SUMPRODUCT((表成绩单[考试日期]=表成绩单[[#This Row],[考试日期]])*(表成绩单[语文]&lt;9E+307)*(表成绩单[语文]&gt;表成绩单[[#This Row],[语文]]))+1)</f>
        <v>7</v>
      </c>
      <c r="Q32" s="29" cm="1">
        <f t="array" ref="Q32">IF(表成绩单[[#This Row],[数学]]="","",SUMPRODUCT((表成绩单[考试日期]=表成绩单[[#This Row],[考试日期]])*(表成绩单[数学]&lt;9E+307)*(表成绩单[数学]&gt;表成绩单[[#This Row],[数学]]))+1)</f>
        <v>112</v>
      </c>
      <c r="R32" s="29" cm="1">
        <f t="array" ref="R32">IF(表成绩单[[#This Row],[英语]]="","",SUMPRODUCT((表成绩单[考试日期]=表成绩单[[#This Row],[考试日期]])*(表成绩单[英语]&lt;9E+307)*(表成绩单[英语]&gt;表成绩单[[#This Row],[英语]]))+1)</f>
        <v>20</v>
      </c>
      <c r="S32" s="29" cm="1">
        <f t="array" ref="S32">IF(表成绩单[[#This Row],[物理]]="","",SUMPRODUCT((表成绩单[考试日期]=表成绩单[[#This Row],[考试日期]])*(表成绩单[物理]&lt;9E+307)*(表成绩单[物理]&gt;表成绩单[[#This Row],[物理]]))+1)</f>
        <v>54</v>
      </c>
      <c r="T32" s="29" cm="1">
        <f t="array" ref="T32">IF(表成绩单[[#This Row],[化学]]="","",SUMPRODUCT((表成绩单[考试日期]=表成绩单[[#This Row],[考试日期]])*(表成绩单[化学]&lt;9E+307)*(表成绩单[化学]&gt;表成绩单[[#This Row],[化学]]))+1)</f>
        <v>200</v>
      </c>
      <c r="U32" s="29" cm="1">
        <f t="array" ref="U32">IF(表成绩单[[#This Row],[政治]]="","",SUMPRODUCT((表成绩单[考试日期]=表成绩单[[#This Row],[考试日期]])*(表成绩单[政治]&lt;9E+307)*(表成绩单[政治]&gt;表成绩单[[#This Row],[政治]]))+1)</f>
        <v>45</v>
      </c>
      <c r="V32" s="29" cm="1">
        <f t="array" ref="V32">IF(表成绩单[[#This Row],[历史]]="","",SUMPRODUCT((表成绩单[考试日期]=表成绩单[[#This Row],[考试日期]])*(表成绩单[历史]&lt;9E+307)*(表成绩单[历史]&gt;表成绩单[[#This Row],[历史]]))+1)</f>
        <v>189</v>
      </c>
      <c r="W32" s="29" cm="1">
        <f t="array" ref="W32">IF(表成绩单[[#This Row],[总分]]="","",SUMPRODUCT((表成绩单[考试日期]=表成绩单[[#This Row],[考试日期]])*(表成绩单[总分]&lt;9E+307)*(表成绩单[总分]&gt;表成绩单[[#This Row],[总分]]))+1)</f>
        <v>27</v>
      </c>
    </row>
    <row r="33" ht="28" customHeight="1" spans="4:23">
      <c r="D33" s="31">
        <v>45975</v>
      </c>
      <c r="E33" s="29">
        <v>19167654</v>
      </c>
      <c r="F33" s="29" t="s">
        <v>1</v>
      </c>
      <c r="G33" s="29" t="s">
        <v>107</v>
      </c>
      <c r="H33" s="29">
        <v>108</v>
      </c>
      <c r="I33" s="29">
        <v>115</v>
      </c>
      <c r="J33" s="29">
        <v>83.5</v>
      </c>
      <c r="K33" s="29">
        <v>86</v>
      </c>
      <c r="L33" s="29">
        <v>83</v>
      </c>
      <c r="M33" s="29">
        <v>85</v>
      </c>
      <c r="N33" s="29">
        <v>79</v>
      </c>
      <c r="O33" s="32">
        <v>639.5</v>
      </c>
      <c r="P33" s="29" cm="1">
        <f t="array" ref="P33">IF(表成绩单[[#This Row],[语文]]="","",SUMPRODUCT((表成绩单[考试日期]=表成绩单[[#This Row],[考试日期]])*(表成绩单[语文]&lt;9E+307)*(表成绩单[语文]&gt;表成绩单[[#This Row],[语文]]))+1)</f>
        <v>27</v>
      </c>
      <c r="Q33" s="29" cm="1">
        <f t="array" ref="Q33">IF(表成绩单[[#This Row],[数学]]="","",SUMPRODUCT((表成绩单[考试日期]=表成绩单[[#This Row],[考试日期]])*(表成绩单[数学]&lt;9E+307)*(表成绩单[数学]&gt;表成绩单[[#This Row],[数学]]))+1)</f>
        <v>63</v>
      </c>
      <c r="R33" s="29" cm="1">
        <f t="array" ref="R33">IF(表成绩单[[#This Row],[英语]]="","",SUMPRODUCT((表成绩单[考试日期]=表成绩单[[#This Row],[考试日期]])*(表成绩单[英语]&lt;9E+307)*(表成绩单[英语]&gt;表成绩单[[#This Row],[英语]]))+1)</f>
        <v>128</v>
      </c>
      <c r="S33" s="29" cm="1">
        <f t="array" ref="S33">IF(表成绩单[[#This Row],[物理]]="","",SUMPRODUCT((表成绩单[考试日期]=表成绩单[[#This Row],[考试日期]])*(表成绩单[物理]&lt;9E+307)*(表成绩单[物理]&gt;表成绩单[[#This Row],[物理]]))+1)</f>
        <v>187</v>
      </c>
      <c r="T33" s="29" cm="1">
        <f t="array" ref="T33">IF(表成绩单[[#This Row],[化学]]="","",SUMPRODUCT((表成绩单[考试日期]=表成绩单[[#This Row],[考试日期]])*(表成绩单[化学]&lt;9E+307)*(表成绩单[化学]&gt;表成绩单[[#This Row],[化学]]))+1)</f>
        <v>49</v>
      </c>
      <c r="U33" s="29" cm="1">
        <f t="array" ref="U33">IF(表成绩单[[#This Row],[政治]]="","",SUMPRODUCT((表成绩单[考试日期]=表成绩单[[#This Row],[考试日期]])*(表成绩单[政治]&lt;9E+307)*(表成绩单[政治]&gt;表成绩单[[#This Row],[政治]]))+1)</f>
        <v>45</v>
      </c>
      <c r="V33" s="29" cm="1">
        <f t="array" ref="V33">IF(表成绩单[[#This Row],[历史]]="","",SUMPRODUCT((表成绩单[考试日期]=表成绩单[[#This Row],[考试日期]])*(表成绩单[历史]&lt;9E+307)*(表成绩单[历史]&gt;表成绩单[[#This Row],[历史]]))+1)</f>
        <v>144</v>
      </c>
      <c r="W33" s="29" cm="1">
        <f t="array" ref="W33">IF(表成绩单[[#This Row],[总分]]="","",SUMPRODUCT((表成绩单[考试日期]=表成绩单[[#This Row],[考试日期]])*(表成绩单[总分]&lt;9E+307)*(表成绩单[总分]&gt;表成绩单[[#This Row],[总分]]))+1)</f>
        <v>29</v>
      </c>
    </row>
    <row r="34" ht="28" customHeight="1" spans="4:23">
      <c r="D34" s="31">
        <v>45975</v>
      </c>
      <c r="E34" s="29">
        <v>19174792</v>
      </c>
      <c r="F34" s="29" t="s">
        <v>69</v>
      </c>
      <c r="G34" s="29" t="s">
        <v>108</v>
      </c>
      <c r="H34" s="29">
        <v>107</v>
      </c>
      <c r="I34" s="29">
        <v>106</v>
      </c>
      <c r="J34" s="29">
        <v>86.5</v>
      </c>
      <c r="K34" s="29">
        <v>88</v>
      </c>
      <c r="L34" s="29">
        <v>83</v>
      </c>
      <c r="M34" s="29">
        <v>88</v>
      </c>
      <c r="N34" s="29">
        <v>81</v>
      </c>
      <c r="O34" s="32">
        <v>639.5</v>
      </c>
      <c r="P34" s="29" cm="1">
        <f t="array" ref="P34">IF(表成绩单[[#This Row],[语文]]="","",SUMPRODUCT((表成绩单[考试日期]=表成绩单[[#This Row],[考试日期]])*(表成绩单[语文]&lt;9E+307)*(表成绩单[语文]&gt;表成绩单[[#This Row],[语文]]))+1)</f>
        <v>45</v>
      </c>
      <c r="Q34" s="29" cm="1">
        <f t="array" ref="Q34">IF(表成绩单[[#This Row],[数学]]="","",SUMPRODUCT((表成绩单[考试日期]=表成绩单[[#This Row],[考试日期]])*(表成绩单[数学]&lt;9E+307)*(表成绩单[数学]&gt;表成绩单[[#This Row],[数学]]))+1)</f>
        <v>220</v>
      </c>
      <c r="R34" s="29" cm="1">
        <f t="array" ref="R34">IF(表成绩单[[#This Row],[英语]]="","",SUMPRODUCT((表成绩单[考试日期]=表成绩单[[#This Row],[考试日期]])*(表成绩单[英语]&lt;9E+307)*(表成绩单[英语]&gt;表成绩单[[#This Row],[英语]]))+1)</f>
        <v>35</v>
      </c>
      <c r="S34" s="29" cm="1">
        <f t="array" ref="S34">IF(表成绩单[[#This Row],[物理]]="","",SUMPRODUCT((表成绩单[考试日期]=表成绩单[[#This Row],[考试日期]])*(表成绩单[物理]&lt;9E+307)*(表成绩单[物理]&gt;表成绩单[[#This Row],[物理]]))+1)</f>
        <v>54</v>
      </c>
      <c r="T34" s="29" cm="1">
        <f t="array" ref="T34">IF(表成绩单[[#This Row],[化学]]="","",SUMPRODUCT((表成绩单[考试日期]=表成绩单[[#This Row],[考试日期]])*(表成绩单[化学]&lt;9E+307)*(表成绩单[化学]&gt;表成绩单[[#This Row],[化学]]))+1)</f>
        <v>49</v>
      </c>
      <c r="U34" s="29" cm="1">
        <f t="array" ref="U34">IF(表成绩单[[#This Row],[政治]]="","",SUMPRODUCT((表成绩单[考试日期]=表成绩单[[#This Row],[考试日期]])*(表成绩单[政治]&lt;9E+307)*(表成绩单[政治]&gt;表成绩单[[#This Row],[政治]]))+1)</f>
        <v>4</v>
      </c>
      <c r="V34" s="29" cm="1">
        <f t="array" ref="V34">IF(表成绩单[[#This Row],[历史]]="","",SUMPRODUCT((表成绩单[考试日期]=表成绩单[[#This Row],[考试日期]])*(表成绩单[历史]&lt;9E+307)*(表成绩单[历史]&gt;表成绩单[[#This Row],[历史]]))+1)</f>
        <v>63</v>
      </c>
      <c r="W34" s="29" cm="1">
        <f t="array" ref="W34">IF(表成绩单[[#This Row],[总分]]="","",SUMPRODUCT((表成绩单[考试日期]=表成绩单[[#This Row],[考试日期]])*(表成绩单[总分]&lt;9E+307)*(表成绩单[总分]&gt;表成绩单[[#This Row],[总分]]))+1)</f>
        <v>29</v>
      </c>
    </row>
    <row r="35" ht="28" customHeight="1" spans="4:23">
      <c r="D35" s="31">
        <v>45975</v>
      </c>
      <c r="E35" s="29">
        <v>19173521</v>
      </c>
      <c r="F35" s="29" t="s">
        <v>1</v>
      </c>
      <c r="G35" s="29" t="s">
        <v>109</v>
      </c>
      <c r="H35" s="29">
        <v>99</v>
      </c>
      <c r="I35" s="29">
        <v>118</v>
      </c>
      <c r="J35" s="29">
        <v>88</v>
      </c>
      <c r="K35" s="29">
        <v>87</v>
      </c>
      <c r="L35" s="29">
        <v>86</v>
      </c>
      <c r="M35" s="29">
        <v>80</v>
      </c>
      <c r="N35" s="29">
        <v>81</v>
      </c>
      <c r="O35" s="32">
        <v>639</v>
      </c>
      <c r="P35" s="29" cm="1">
        <f t="array" ref="P35">IF(表成绩单[[#This Row],[语文]]="","",SUMPRODUCT((表成绩单[考试日期]=表成绩单[[#This Row],[考试日期]])*(表成绩单[语文]&lt;9E+307)*(表成绩单[语文]&gt;表成绩单[[#This Row],[语文]]))+1)</f>
        <v>264</v>
      </c>
      <c r="Q35" s="29" cm="1">
        <f t="array" ref="Q35">IF(表成绩单[[#This Row],[数学]]="","",SUMPRODUCT((表成绩单[考试日期]=表成绩单[[#This Row],[考试日期]])*(表成绩单[数学]&lt;9E+307)*(表成绩单[数学]&gt;表成绩单[[#This Row],[数学]]))+1)</f>
        <v>22</v>
      </c>
      <c r="R35" s="29" cm="1">
        <f t="array" ref="R35">IF(表成绩单[[#This Row],[英语]]="","",SUMPRODUCT((表成绩单[考试日期]=表成绩单[[#This Row],[考试日期]])*(表成绩单[英语]&lt;9E+307)*(表成绩单[英语]&gt;表成绩单[[#This Row],[英语]]))+1)</f>
        <v>10</v>
      </c>
      <c r="S35" s="29" cm="1">
        <f t="array" ref="S35">IF(表成绩单[[#This Row],[物理]]="","",SUMPRODUCT((表成绩单[考试日期]=表成绩单[[#This Row],[考试日期]])*(表成绩单[物理]&lt;9E+307)*(表成绩单[物理]&gt;表成绩单[[#This Row],[物理]]))+1)</f>
        <v>127</v>
      </c>
      <c r="T35" s="29" cm="1">
        <f t="array" ref="T35">IF(表成绩单[[#This Row],[化学]]="","",SUMPRODUCT((表成绩单[考试日期]=表成绩单[[#This Row],[考试日期]])*(表成绩单[化学]&lt;9E+307)*(表成绩单[化学]&gt;表成绩单[[#This Row],[化学]]))+1)</f>
        <v>8</v>
      </c>
      <c r="U35" s="29" cm="1">
        <f t="array" ref="U35">IF(表成绩单[[#This Row],[政治]]="","",SUMPRODUCT((表成绩单[考试日期]=表成绩单[[#This Row],[考试日期]])*(表成绩单[政治]&lt;9E+307)*(表成绩单[政治]&gt;表成绩单[[#This Row],[政治]]))+1)</f>
        <v>209</v>
      </c>
      <c r="V35" s="29" cm="1">
        <f t="array" ref="V35">IF(表成绩单[[#This Row],[历史]]="","",SUMPRODUCT((表成绩单[考试日期]=表成绩单[[#This Row],[考试日期]])*(表成绩单[历史]&lt;9E+307)*(表成绩单[历史]&gt;表成绩单[[#This Row],[历史]]))+1)</f>
        <v>63</v>
      </c>
      <c r="W35" s="29" cm="1">
        <f t="array" ref="W35">IF(表成绩单[[#This Row],[总分]]="","",SUMPRODUCT((表成绩单[考试日期]=表成绩单[[#This Row],[考试日期]])*(表成绩单[总分]&lt;9E+307)*(表成绩单[总分]&gt;表成绩单[[#This Row],[总分]]))+1)</f>
        <v>31</v>
      </c>
    </row>
    <row r="36" ht="28" customHeight="1" spans="4:23">
      <c r="D36" s="31">
        <v>45975</v>
      </c>
      <c r="E36" s="29">
        <v>19174811</v>
      </c>
      <c r="F36" s="29" t="s">
        <v>69</v>
      </c>
      <c r="G36" s="29" t="s">
        <v>110</v>
      </c>
      <c r="H36" s="29">
        <v>104</v>
      </c>
      <c r="I36" s="29">
        <v>114</v>
      </c>
      <c r="J36" s="29">
        <v>86</v>
      </c>
      <c r="K36" s="29">
        <v>88</v>
      </c>
      <c r="L36" s="29">
        <v>79</v>
      </c>
      <c r="M36" s="29">
        <v>86</v>
      </c>
      <c r="N36" s="29">
        <v>82</v>
      </c>
      <c r="O36" s="32">
        <v>639</v>
      </c>
      <c r="P36" s="29" cm="1">
        <f t="array" ref="P36">IF(表成绩单[[#This Row],[语文]]="","",SUMPRODUCT((表成绩单[考试日期]=表成绩单[[#This Row],[考试日期]])*(表成绩单[语文]&lt;9E+307)*(表成绩单[语文]&gt;表成绩单[[#This Row],[语文]]))+1)</f>
        <v>104</v>
      </c>
      <c r="Q36" s="29" cm="1">
        <f t="array" ref="Q36">IF(表成绩单[[#This Row],[数学]]="","",SUMPRODUCT((表成绩单[考试日期]=表成绩单[[#This Row],[考试日期]])*(表成绩单[数学]&lt;9E+307)*(表成绩单[数学]&gt;表成绩单[[#This Row],[数学]]))+1)</f>
        <v>79</v>
      </c>
      <c r="R36" s="29" cm="1">
        <f t="array" ref="R36">IF(表成绩单[[#This Row],[英语]]="","",SUMPRODUCT((表成绩单[考试日期]=表成绩单[[#This Row],[考试日期]])*(表成绩单[英语]&lt;9E+307)*(表成绩单[英语]&gt;表成绩单[[#This Row],[英语]]))+1)</f>
        <v>42</v>
      </c>
      <c r="S36" s="29" cm="1">
        <f t="array" ref="S36">IF(表成绩单[[#This Row],[物理]]="","",SUMPRODUCT((表成绩单[考试日期]=表成绩单[[#This Row],[考试日期]])*(表成绩单[物理]&lt;9E+307)*(表成绩单[物理]&gt;表成绩单[[#This Row],[物理]]))+1)</f>
        <v>54</v>
      </c>
      <c r="T36" s="29" cm="1">
        <f t="array" ref="T36">IF(表成绩单[[#This Row],[化学]]="","",SUMPRODUCT((表成绩单[考试日期]=表成绩单[[#This Row],[考试日期]])*(表成绩单[化学]&lt;9E+307)*(表成绩单[化学]&gt;表成绩单[[#This Row],[化学]]))+1)</f>
        <v>166</v>
      </c>
      <c r="U36" s="29" cm="1">
        <f t="array" ref="U36">IF(表成绩单[[#This Row],[政治]]="","",SUMPRODUCT((表成绩单[考试日期]=表成绩单[[#This Row],[考试日期]])*(表成绩单[政治]&lt;9E+307)*(表成绩单[政治]&gt;表成绩单[[#This Row],[政治]]))+1)</f>
        <v>26</v>
      </c>
      <c r="V36" s="29" cm="1">
        <f t="array" ref="V36">IF(表成绩单[[#This Row],[历史]]="","",SUMPRODUCT((表成绩单[考试日期]=表成绩单[[#This Row],[考试日期]])*(表成绩单[历史]&lt;9E+307)*(表成绩单[历史]&gt;表成绩单[[#This Row],[历史]]))+1)</f>
        <v>35</v>
      </c>
      <c r="W36" s="29" cm="1">
        <f t="array" ref="W36">IF(表成绩单[[#This Row],[总分]]="","",SUMPRODUCT((表成绩单[考试日期]=表成绩单[[#This Row],[考试日期]])*(表成绩单[总分]&lt;9E+307)*(表成绩单[总分]&gt;表成绩单[[#This Row],[总分]]))+1)</f>
        <v>31</v>
      </c>
    </row>
    <row r="37" ht="28" customHeight="1" spans="4:23">
      <c r="D37" s="31">
        <v>45975</v>
      </c>
      <c r="E37" s="29">
        <v>19175395</v>
      </c>
      <c r="F37" s="29" t="s">
        <v>74</v>
      </c>
      <c r="G37" s="29" t="s">
        <v>111</v>
      </c>
      <c r="H37" s="29">
        <v>103</v>
      </c>
      <c r="I37" s="29">
        <v>120</v>
      </c>
      <c r="J37" s="29">
        <v>88.5</v>
      </c>
      <c r="K37" s="29">
        <v>87</v>
      </c>
      <c r="L37" s="29">
        <v>80</v>
      </c>
      <c r="M37" s="29">
        <v>83</v>
      </c>
      <c r="N37" s="29">
        <v>77</v>
      </c>
      <c r="O37" s="32">
        <v>638.5</v>
      </c>
      <c r="P37" s="29" cm="1">
        <f t="array" ref="P37">IF(表成绩单[[#This Row],[语文]]="","",SUMPRODUCT((表成绩单[考试日期]=表成绩单[[#This Row],[考试日期]])*(表成绩单[语文]&lt;9E+307)*(表成绩单[语文]&gt;表成绩单[[#This Row],[语文]]))+1)</f>
        <v>126</v>
      </c>
      <c r="Q37" s="29" cm="1">
        <f t="array" ref="Q37">IF(表成绩单[[#This Row],[数学]]="","",SUMPRODUCT((表成绩单[考试日期]=表成绩单[[#This Row],[考试日期]])*(表成绩单[数学]&lt;9E+307)*(表成绩单[数学]&gt;表成绩单[[#This Row],[数学]]))+1)</f>
        <v>1</v>
      </c>
      <c r="R37" s="29" cm="1">
        <f t="array" ref="R37">IF(表成绩单[[#This Row],[英语]]="","",SUMPRODUCT((表成绩单[考试日期]=表成绩单[[#This Row],[考试日期]])*(表成绩单[英语]&lt;9E+307)*(表成绩单[英语]&gt;表成绩单[[#This Row],[英语]]))+1)</f>
        <v>7</v>
      </c>
      <c r="S37" s="29" cm="1">
        <f t="array" ref="S37">IF(表成绩单[[#This Row],[物理]]="","",SUMPRODUCT((表成绩单[考试日期]=表成绩单[[#This Row],[考试日期]])*(表成绩单[物理]&lt;9E+307)*(表成绩单[物理]&gt;表成绩单[[#This Row],[物理]]))+1)</f>
        <v>127</v>
      </c>
      <c r="T37" s="29" cm="1">
        <f t="array" ref="T37">IF(表成绩单[[#This Row],[化学]]="","",SUMPRODUCT((表成绩单[考试日期]=表成绩单[[#This Row],[考试日期]])*(表成绩单[化学]&lt;9E+307)*(表成绩单[化学]&gt;表成绩单[[#This Row],[化学]]))+1)</f>
        <v>129</v>
      </c>
      <c r="U37" s="29" cm="1">
        <f t="array" ref="U37">IF(表成绩单[[#This Row],[政治]]="","",SUMPRODUCT((表成绩单[考试日期]=表成绩单[[#This Row],[考试日期]])*(表成绩单[政治]&lt;9E+307)*(表成绩单[政治]&gt;表成绩单[[#This Row],[政治]]))+1)</f>
        <v>121</v>
      </c>
      <c r="V37" s="29" cm="1">
        <f t="array" ref="V37">IF(表成绩单[[#This Row],[历史]]="","",SUMPRODUCT((表成绩单[考试日期]=表成绩单[[#This Row],[考试日期]])*(表成绩单[历史]&lt;9E+307)*(表成绩单[历史]&gt;表成绩单[[#This Row],[历史]]))+1)</f>
        <v>237</v>
      </c>
      <c r="W37" s="29" cm="1">
        <f t="array" ref="W37">IF(表成绩单[[#This Row],[总分]]="","",SUMPRODUCT((表成绩单[考试日期]=表成绩单[[#This Row],[考试日期]])*(表成绩单[总分]&lt;9E+307)*(表成绩单[总分]&gt;表成绩单[[#This Row],[总分]]))+1)</f>
        <v>33</v>
      </c>
    </row>
    <row r="38" ht="28" customHeight="1" spans="4:23">
      <c r="D38" s="31">
        <v>45975</v>
      </c>
      <c r="E38" s="29">
        <v>19175409</v>
      </c>
      <c r="F38" s="29" t="s">
        <v>74</v>
      </c>
      <c r="G38" s="29" t="s">
        <v>112</v>
      </c>
      <c r="H38" s="29">
        <v>106</v>
      </c>
      <c r="I38" s="29">
        <v>120</v>
      </c>
      <c r="J38" s="29">
        <v>85.5</v>
      </c>
      <c r="K38" s="29">
        <v>83</v>
      </c>
      <c r="L38" s="29">
        <v>81</v>
      </c>
      <c r="M38" s="29">
        <v>82</v>
      </c>
      <c r="N38" s="29">
        <v>81</v>
      </c>
      <c r="O38" s="32">
        <v>638.5</v>
      </c>
      <c r="P38" s="29" cm="1">
        <f t="array" ref="P38">IF(表成绩单[[#This Row],[语文]]="","",SUMPRODUCT((表成绩单[考试日期]=表成绩单[[#This Row],[考试日期]])*(表成绩单[语文]&lt;9E+307)*(表成绩单[语文]&gt;表成绩单[[#This Row],[语文]]))+1)</f>
        <v>62</v>
      </c>
      <c r="Q38" s="29" cm="1">
        <f t="array" ref="Q38">IF(表成绩单[[#This Row],[数学]]="","",SUMPRODUCT((表成绩单[考试日期]=表成绩单[[#This Row],[考试日期]])*(表成绩单[数学]&lt;9E+307)*(表成绩单[数学]&gt;表成绩单[[#This Row],[数学]]))+1)</f>
        <v>1</v>
      </c>
      <c r="R38" s="29" cm="1">
        <f t="array" ref="R38">IF(表成绩单[[#This Row],[英语]]="","",SUMPRODUCT((表成绩单[考试日期]=表成绩单[[#This Row],[考试日期]])*(表成绩单[英语]&lt;9E+307)*(表成绩单[英语]&gt;表成绩单[[#This Row],[英语]]))+1)</f>
        <v>54</v>
      </c>
      <c r="S38" s="29" cm="1">
        <f t="array" ref="S38">IF(表成绩单[[#This Row],[物理]]="","",SUMPRODUCT((表成绩单[考试日期]=表成绩单[[#This Row],[考试日期]])*(表成绩单[物理]&lt;9E+307)*(表成绩单[物理]&gt;表成绩单[[#This Row],[物理]]))+1)</f>
        <v>390</v>
      </c>
      <c r="T38" s="29" cm="1">
        <f t="array" ref="T38">IF(表成绩单[[#This Row],[化学]]="","",SUMPRODUCT((表成绩单[考试日期]=表成绩单[[#This Row],[考试日期]])*(表成绩单[化学]&lt;9E+307)*(表成绩单[化学]&gt;表成绩单[[#This Row],[化学]]))+1)</f>
        <v>100</v>
      </c>
      <c r="U38" s="29" cm="1">
        <f t="array" ref="U38">IF(表成绩单[[#This Row],[政治]]="","",SUMPRODUCT((表成绩单[考试日期]=表成绩单[[#This Row],[考试日期]])*(表成绩单[政治]&lt;9E+307)*(表成绩单[政治]&gt;表成绩单[[#This Row],[政治]]))+1)</f>
        <v>157</v>
      </c>
      <c r="V38" s="29" cm="1">
        <f t="array" ref="V38">IF(表成绩单[[#This Row],[历史]]="","",SUMPRODUCT((表成绩单[考试日期]=表成绩单[[#This Row],[考试日期]])*(表成绩单[历史]&lt;9E+307)*(表成绩单[历史]&gt;表成绩单[[#This Row],[历史]]))+1)</f>
        <v>63</v>
      </c>
      <c r="W38" s="29" cm="1">
        <f t="array" ref="W38">IF(表成绩单[[#This Row],[总分]]="","",SUMPRODUCT((表成绩单[考试日期]=表成绩单[[#This Row],[考试日期]])*(表成绩单[总分]&lt;9E+307)*(表成绩单[总分]&gt;表成绩单[[#This Row],[总分]]))+1)</f>
        <v>33</v>
      </c>
    </row>
    <row r="39" ht="28" customHeight="1" spans="4:23">
      <c r="D39" s="31">
        <v>45975</v>
      </c>
      <c r="E39" s="29">
        <v>19173539</v>
      </c>
      <c r="F39" s="29" t="s">
        <v>1</v>
      </c>
      <c r="G39" s="29" t="s">
        <v>113</v>
      </c>
      <c r="H39" s="29">
        <v>107</v>
      </c>
      <c r="I39" s="29">
        <v>113</v>
      </c>
      <c r="J39" s="29">
        <v>88</v>
      </c>
      <c r="K39" s="29">
        <v>87</v>
      </c>
      <c r="L39" s="29">
        <v>82</v>
      </c>
      <c r="M39" s="29">
        <v>81</v>
      </c>
      <c r="N39" s="29">
        <v>80</v>
      </c>
      <c r="O39" s="32">
        <v>638</v>
      </c>
      <c r="P39" s="29" cm="1">
        <f t="array" ref="P39">IF(表成绩单[[#This Row],[语文]]="","",SUMPRODUCT((表成绩单[考试日期]=表成绩单[[#This Row],[考试日期]])*(表成绩单[语文]&lt;9E+307)*(表成绩单[语文]&gt;表成绩单[[#This Row],[语文]]))+1)</f>
        <v>45</v>
      </c>
      <c r="Q39" s="29" cm="1">
        <f t="array" ref="Q39">IF(表成绩单[[#This Row],[数学]]="","",SUMPRODUCT((表成绩单[考试日期]=表成绩单[[#This Row],[考试日期]])*(表成绩单[数学]&lt;9E+307)*(表成绩单[数学]&gt;表成绩单[[#This Row],[数学]]))+1)</f>
        <v>93</v>
      </c>
      <c r="R39" s="29" cm="1">
        <f t="array" ref="R39">IF(表成绩单[[#This Row],[英语]]="","",SUMPRODUCT((表成绩单[考试日期]=表成绩单[[#This Row],[考试日期]])*(表成绩单[英语]&lt;9E+307)*(表成绩单[英语]&gt;表成绩单[[#This Row],[英语]]))+1)</f>
        <v>10</v>
      </c>
      <c r="S39" s="29" cm="1">
        <f t="array" ref="S39">IF(表成绩单[[#This Row],[物理]]="","",SUMPRODUCT((表成绩单[考试日期]=表成绩单[[#This Row],[考试日期]])*(表成绩单[物理]&lt;9E+307)*(表成绩单[物理]&gt;表成绩单[[#This Row],[物理]]))+1)</f>
        <v>127</v>
      </c>
      <c r="T39" s="29" cm="1">
        <f t="array" ref="T39">IF(表成绩单[[#This Row],[化学]]="","",SUMPRODUCT((表成绩单[考试日期]=表成绩单[[#This Row],[考试日期]])*(表成绩单[化学]&lt;9E+307)*(表成绩单[化学]&gt;表成绩单[[#This Row],[化学]]))+1)</f>
        <v>71</v>
      </c>
      <c r="U39" s="29" cm="1">
        <f t="array" ref="U39">IF(表成绩单[[#This Row],[政治]]="","",SUMPRODUCT((表成绩单[考试日期]=表成绩单[[#This Row],[考试日期]])*(表成绩单[政治]&lt;9E+307)*(表成绩单[政治]&gt;表成绩单[[#This Row],[政治]]))+1)</f>
        <v>180</v>
      </c>
      <c r="V39" s="29" cm="1">
        <f t="array" ref="V39">IF(表成绩单[[#This Row],[历史]]="","",SUMPRODUCT((表成绩单[考试日期]=表成绩单[[#This Row],[考试日期]])*(表成绩单[历史]&lt;9E+307)*(表成绩单[历史]&gt;表成绩单[[#This Row],[历史]]))+1)</f>
        <v>108</v>
      </c>
      <c r="W39" s="29" cm="1">
        <f t="array" ref="W39">IF(表成绩单[[#This Row],[总分]]="","",SUMPRODUCT((表成绩单[考试日期]=表成绩单[[#This Row],[考试日期]])*(表成绩单[总分]&lt;9E+307)*(表成绩单[总分]&gt;表成绩单[[#This Row],[总分]]))+1)</f>
        <v>35</v>
      </c>
    </row>
    <row r="40" ht="28" customHeight="1" spans="4:23">
      <c r="D40" s="31">
        <v>45975</v>
      </c>
      <c r="E40" s="29">
        <v>19175393</v>
      </c>
      <c r="F40" s="29" t="s">
        <v>74</v>
      </c>
      <c r="G40" s="29" t="s">
        <v>114</v>
      </c>
      <c r="H40" s="29">
        <v>104</v>
      </c>
      <c r="I40" s="29">
        <v>114</v>
      </c>
      <c r="J40" s="29">
        <v>86</v>
      </c>
      <c r="K40" s="29">
        <v>87</v>
      </c>
      <c r="L40" s="29">
        <v>81</v>
      </c>
      <c r="M40" s="29">
        <v>85</v>
      </c>
      <c r="N40" s="29">
        <v>81</v>
      </c>
      <c r="O40" s="32">
        <v>638</v>
      </c>
      <c r="P40" s="29" cm="1">
        <f t="array" ref="P40">IF(表成绩单[[#This Row],[语文]]="","",SUMPRODUCT((表成绩单[考试日期]=表成绩单[[#This Row],[考试日期]])*(表成绩单[语文]&lt;9E+307)*(表成绩单[语文]&gt;表成绩单[[#This Row],[语文]]))+1)</f>
        <v>104</v>
      </c>
      <c r="Q40" s="29" cm="1">
        <f t="array" ref="Q40">IF(表成绩单[[#This Row],[数学]]="","",SUMPRODUCT((表成绩单[考试日期]=表成绩单[[#This Row],[考试日期]])*(表成绩单[数学]&lt;9E+307)*(表成绩单[数学]&gt;表成绩单[[#This Row],[数学]]))+1)</f>
        <v>79</v>
      </c>
      <c r="R40" s="29" cm="1">
        <f t="array" ref="R40">IF(表成绩单[[#This Row],[英语]]="","",SUMPRODUCT((表成绩单[考试日期]=表成绩单[[#This Row],[考试日期]])*(表成绩单[英语]&lt;9E+307)*(表成绩单[英语]&gt;表成绩单[[#This Row],[英语]]))+1)</f>
        <v>42</v>
      </c>
      <c r="S40" s="29" cm="1">
        <f t="array" ref="S40">IF(表成绩单[[#This Row],[物理]]="","",SUMPRODUCT((表成绩单[考试日期]=表成绩单[[#This Row],[考试日期]])*(表成绩单[物理]&lt;9E+307)*(表成绩单[物理]&gt;表成绩单[[#This Row],[物理]]))+1)</f>
        <v>127</v>
      </c>
      <c r="T40" s="29" cm="1">
        <f t="array" ref="T40">IF(表成绩单[[#This Row],[化学]]="","",SUMPRODUCT((表成绩单[考试日期]=表成绩单[[#This Row],[考试日期]])*(表成绩单[化学]&lt;9E+307)*(表成绩单[化学]&gt;表成绩单[[#This Row],[化学]]))+1)</f>
        <v>100</v>
      </c>
      <c r="U40" s="29" cm="1">
        <f t="array" ref="U40">IF(表成绩单[[#This Row],[政治]]="","",SUMPRODUCT((表成绩单[考试日期]=表成绩单[[#This Row],[考试日期]])*(表成绩单[政治]&lt;9E+307)*(表成绩单[政治]&gt;表成绩单[[#This Row],[政治]]))+1)</f>
        <v>45</v>
      </c>
      <c r="V40" s="29" cm="1">
        <f t="array" ref="V40">IF(表成绩单[[#This Row],[历史]]="","",SUMPRODUCT((表成绩单[考试日期]=表成绩单[[#This Row],[考试日期]])*(表成绩单[历史]&lt;9E+307)*(表成绩单[历史]&gt;表成绩单[[#This Row],[历史]]))+1)</f>
        <v>63</v>
      </c>
      <c r="W40" s="29" cm="1">
        <f t="array" ref="W40">IF(表成绩单[[#This Row],[总分]]="","",SUMPRODUCT((表成绩单[考试日期]=表成绩单[[#This Row],[考试日期]])*(表成绩单[总分]&lt;9E+307)*(表成绩单[总分]&gt;表成绩单[[#This Row],[总分]]))+1)</f>
        <v>35</v>
      </c>
    </row>
    <row r="41" ht="28" customHeight="1" spans="4:23">
      <c r="D41" s="31">
        <v>45975</v>
      </c>
      <c r="E41" s="29">
        <v>19167655</v>
      </c>
      <c r="F41" s="29" t="s">
        <v>1</v>
      </c>
      <c r="G41" s="29" t="s">
        <v>115</v>
      </c>
      <c r="H41" s="29">
        <v>106</v>
      </c>
      <c r="I41" s="29">
        <v>106</v>
      </c>
      <c r="J41" s="29">
        <v>88.5</v>
      </c>
      <c r="K41" s="29">
        <v>90</v>
      </c>
      <c r="L41" s="29">
        <v>79</v>
      </c>
      <c r="M41" s="29">
        <v>87</v>
      </c>
      <c r="N41" s="29">
        <v>81</v>
      </c>
      <c r="O41" s="32">
        <v>637.5</v>
      </c>
      <c r="P41" s="29" cm="1">
        <f t="array" ref="P41">IF(表成绩单[[#This Row],[语文]]="","",SUMPRODUCT((表成绩单[考试日期]=表成绩单[[#This Row],[考试日期]])*(表成绩单[语文]&lt;9E+307)*(表成绩单[语文]&gt;表成绩单[[#This Row],[语文]]))+1)</f>
        <v>62</v>
      </c>
      <c r="Q41" s="29" cm="1">
        <f t="array" ref="Q41">IF(表成绩单[[#This Row],[数学]]="","",SUMPRODUCT((表成绩单[考试日期]=表成绩单[[#This Row],[考试日期]])*(表成绩单[数学]&lt;9E+307)*(表成绩单[数学]&gt;表成绩单[[#This Row],[数学]]))+1)</f>
        <v>220</v>
      </c>
      <c r="R41" s="29" cm="1">
        <f t="array" ref="R41">IF(表成绩单[[#This Row],[英语]]="","",SUMPRODUCT((表成绩单[考试日期]=表成绩单[[#This Row],[考试日期]])*(表成绩单[英语]&lt;9E+307)*(表成绩单[英语]&gt;表成绩单[[#This Row],[英语]]))+1)</f>
        <v>7</v>
      </c>
      <c r="S41" s="29" cm="1">
        <f t="array" ref="S41">IF(表成绩单[[#This Row],[物理]]="","",SUMPRODUCT((表成绩单[考试日期]=表成绩单[[#This Row],[考试日期]])*(表成绩单[物理]&lt;9E+307)*(表成绩单[物理]&gt;表成绩单[[#This Row],[物理]]))+1)</f>
        <v>1</v>
      </c>
      <c r="T41" s="29" cm="1">
        <f t="array" ref="T41">IF(表成绩单[[#This Row],[化学]]="","",SUMPRODUCT((表成绩单[考试日期]=表成绩单[[#This Row],[考试日期]])*(表成绩单[化学]&lt;9E+307)*(表成绩单[化学]&gt;表成绩单[[#This Row],[化学]]))+1)</f>
        <v>166</v>
      </c>
      <c r="U41" s="29" cm="1">
        <f t="array" ref="U41">IF(表成绩单[[#This Row],[政治]]="","",SUMPRODUCT((表成绩单[考试日期]=表成绩单[[#This Row],[考试日期]])*(表成绩单[政治]&lt;9E+307)*(表成绩单[政治]&gt;表成绩单[[#This Row],[政治]]))+1)</f>
        <v>13</v>
      </c>
      <c r="V41" s="29" cm="1">
        <f t="array" ref="V41">IF(表成绩单[[#This Row],[历史]]="","",SUMPRODUCT((表成绩单[考试日期]=表成绩单[[#This Row],[考试日期]])*(表成绩单[历史]&lt;9E+307)*(表成绩单[历史]&gt;表成绩单[[#This Row],[历史]]))+1)</f>
        <v>63</v>
      </c>
      <c r="W41" s="29" cm="1">
        <f t="array" ref="W41">IF(表成绩单[[#This Row],[总分]]="","",SUMPRODUCT((表成绩单[考试日期]=表成绩单[[#This Row],[考试日期]])*(表成绩单[总分]&lt;9E+307)*(表成绩单[总分]&gt;表成绩单[[#This Row],[总分]]))+1)</f>
        <v>37</v>
      </c>
    </row>
    <row r="42" ht="28" customHeight="1" spans="4:23">
      <c r="D42" s="31">
        <v>45975</v>
      </c>
      <c r="E42" s="29">
        <v>19167659</v>
      </c>
      <c r="F42" s="29" t="s">
        <v>1</v>
      </c>
      <c r="G42" s="29" t="s">
        <v>116</v>
      </c>
      <c r="H42" s="29">
        <v>100</v>
      </c>
      <c r="I42" s="29">
        <v>119</v>
      </c>
      <c r="J42" s="29">
        <v>83.5</v>
      </c>
      <c r="K42" s="29">
        <v>87</v>
      </c>
      <c r="L42" s="29">
        <v>82</v>
      </c>
      <c r="M42" s="29">
        <v>85</v>
      </c>
      <c r="N42" s="29">
        <v>81</v>
      </c>
      <c r="O42" s="32">
        <v>637.5</v>
      </c>
      <c r="P42" s="29" cm="1">
        <f t="array" ref="P42">IF(表成绩单[[#This Row],[语文]]="","",SUMPRODUCT((表成绩单[考试日期]=表成绩单[[#This Row],[考试日期]])*(表成绩单[语文]&lt;9E+307)*(表成绩单[语文]&gt;表成绩单[[#This Row],[语文]]))+1)</f>
        <v>223</v>
      </c>
      <c r="Q42" s="29" cm="1">
        <f t="array" ref="Q42">IF(表成绩单[[#This Row],[数学]]="","",SUMPRODUCT((表成绩单[考试日期]=表成绩单[[#This Row],[考试日期]])*(表成绩单[数学]&lt;9E+307)*(表成绩单[数学]&gt;表成绩单[[#This Row],[数学]]))+1)</f>
        <v>11</v>
      </c>
      <c r="R42" s="29" cm="1">
        <f t="array" ref="R42">IF(表成绩单[[#This Row],[英语]]="","",SUMPRODUCT((表成绩单[考试日期]=表成绩单[[#This Row],[考试日期]])*(表成绩单[英语]&lt;9E+307)*(表成绩单[英语]&gt;表成绩单[[#This Row],[英语]]))+1)</f>
        <v>128</v>
      </c>
      <c r="S42" s="29" cm="1">
        <f t="array" ref="S42">IF(表成绩单[[#This Row],[物理]]="","",SUMPRODUCT((表成绩单[考试日期]=表成绩单[[#This Row],[考试日期]])*(表成绩单[物理]&lt;9E+307)*(表成绩单[物理]&gt;表成绩单[[#This Row],[物理]]))+1)</f>
        <v>127</v>
      </c>
      <c r="T42" s="29" cm="1">
        <f t="array" ref="T42">IF(表成绩单[[#This Row],[化学]]="","",SUMPRODUCT((表成绩单[考试日期]=表成绩单[[#This Row],[考试日期]])*(表成绩单[化学]&lt;9E+307)*(表成绩单[化学]&gt;表成绩单[[#This Row],[化学]]))+1)</f>
        <v>71</v>
      </c>
      <c r="U42" s="29" cm="1">
        <f t="array" ref="U42">IF(表成绩单[[#This Row],[政治]]="","",SUMPRODUCT((表成绩单[考试日期]=表成绩单[[#This Row],[考试日期]])*(表成绩单[政治]&lt;9E+307)*(表成绩单[政治]&gt;表成绩单[[#This Row],[政治]]))+1)</f>
        <v>45</v>
      </c>
      <c r="V42" s="29" cm="1">
        <f t="array" ref="V42">IF(表成绩单[[#This Row],[历史]]="","",SUMPRODUCT((表成绩单[考试日期]=表成绩单[[#This Row],[考试日期]])*(表成绩单[历史]&lt;9E+307)*(表成绩单[历史]&gt;表成绩单[[#This Row],[历史]]))+1)</f>
        <v>63</v>
      </c>
      <c r="W42" s="29" cm="1">
        <f t="array" ref="W42">IF(表成绩单[[#This Row],[总分]]="","",SUMPRODUCT((表成绩单[考试日期]=表成绩单[[#This Row],[考试日期]])*(表成绩单[总分]&lt;9E+307)*(表成绩单[总分]&gt;表成绩单[[#This Row],[总分]]))+1)</f>
        <v>37</v>
      </c>
    </row>
    <row r="43" ht="28" customHeight="1" spans="4:23">
      <c r="D43" s="31">
        <v>45975</v>
      </c>
      <c r="E43" s="29">
        <v>19175413</v>
      </c>
      <c r="F43" s="29" t="s">
        <v>74</v>
      </c>
      <c r="G43" s="29" t="s">
        <v>117</v>
      </c>
      <c r="H43" s="29">
        <v>101</v>
      </c>
      <c r="I43" s="29">
        <v>117</v>
      </c>
      <c r="J43" s="29">
        <v>85.5</v>
      </c>
      <c r="K43" s="29">
        <v>89</v>
      </c>
      <c r="L43" s="29">
        <v>84</v>
      </c>
      <c r="M43" s="29">
        <v>80</v>
      </c>
      <c r="N43" s="29">
        <v>81</v>
      </c>
      <c r="O43" s="32">
        <v>637.5</v>
      </c>
      <c r="P43" s="29" cm="1">
        <f t="array" ref="P43">IF(表成绩单[[#This Row],[语文]]="","",SUMPRODUCT((表成绩单[考试日期]=表成绩单[[#This Row],[考试日期]])*(表成绩单[语文]&lt;9E+307)*(表成绩单[语文]&gt;表成绩单[[#This Row],[语文]]))+1)</f>
        <v>190</v>
      </c>
      <c r="Q43" s="29" cm="1">
        <f t="array" ref="Q43">IF(表成绩单[[#This Row],[数学]]="","",SUMPRODUCT((表成绩单[考试日期]=表成绩单[[#This Row],[考试日期]])*(表成绩单[数学]&lt;9E+307)*(表成绩单[数学]&gt;表成绩单[[#This Row],[数学]]))+1)</f>
        <v>37</v>
      </c>
      <c r="R43" s="29" cm="1">
        <f t="array" ref="R43">IF(表成绩单[[#This Row],[英语]]="","",SUMPRODUCT((表成绩单[考试日期]=表成绩单[[#This Row],[考试日期]])*(表成绩单[英语]&lt;9E+307)*(表成绩单[英语]&gt;表成绩单[[#This Row],[英语]]))+1)</f>
        <v>54</v>
      </c>
      <c r="S43" s="29" cm="1">
        <f t="array" ref="S43">IF(表成绩单[[#This Row],[物理]]="","",SUMPRODUCT((表成绩单[考试日期]=表成绩单[[#This Row],[考试日期]])*(表成绩单[物理]&lt;9E+307)*(表成绩单[物理]&gt;表成绩单[[#This Row],[物理]]))+1)</f>
        <v>18</v>
      </c>
      <c r="T43" s="29" cm="1">
        <f t="array" ref="T43">IF(表成绩单[[#This Row],[化学]]="","",SUMPRODUCT((表成绩单[考试日期]=表成绩单[[#This Row],[考试日期]])*(表成绩单[化学]&lt;9E+307)*(表成绩单[化学]&gt;表成绩单[[#This Row],[化学]]))+1)</f>
        <v>33</v>
      </c>
      <c r="U43" s="29" cm="1">
        <f t="array" ref="U43">IF(表成绩单[[#This Row],[政治]]="","",SUMPRODUCT((表成绩单[考试日期]=表成绩单[[#This Row],[考试日期]])*(表成绩单[政治]&lt;9E+307)*(表成绩单[政治]&gt;表成绩单[[#This Row],[政治]]))+1)</f>
        <v>209</v>
      </c>
      <c r="V43" s="29" cm="1">
        <f t="array" ref="V43">IF(表成绩单[[#This Row],[历史]]="","",SUMPRODUCT((表成绩单[考试日期]=表成绩单[[#This Row],[考试日期]])*(表成绩单[历史]&lt;9E+307)*(表成绩单[历史]&gt;表成绩单[[#This Row],[历史]]))+1)</f>
        <v>63</v>
      </c>
      <c r="W43" s="29" cm="1">
        <f t="array" ref="W43">IF(表成绩单[[#This Row],[总分]]="","",SUMPRODUCT((表成绩单[考试日期]=表成绩单[[#This Row],[考试日期]])*(表成绩单[总分]&lt;9E+307)*(表成绩单[总分]&gt;表成绩单[[#This Row],[总分]]))+1)</f>
        <v>37</v>
      </c>
    </row>
    <row r="44" ht="28" customHeight="1" spans="4:23">
      <c r="D44" s="31">
        <v>45975</v>
      </c>
      <c r="E44" s="29">
        <v>19174458</v>
      </c>
      <c r="F44" s="29" t="s">
        <v>73</v>
      </c>
      <c r="G44" s="29" t="s">
        <v>118</v>
      </c>
      <c r="H44" s="29">
        <v>112</v>
      </c>
      <c r="I44" s="29">
        <v>109</v>
      </c>
      <c r="J44" s="29">
        <v>85</v>
      </c>
      <c r="K44" s="29">
        <v>90</v>
      </c>
      <c r="L44" s="29">
        <v>72</v>
      </c>
      <c r="M44" s="29">
        <v>86</v>
      </c>
      <c r="N44" s="29">
        <v>83</v>
      </c>
      <c r="O44" s="32">
        <v>637</v>
      </c>
      <c r="P44" s="29" cm="1">
        <f t="array" ref="P44">IF(表成绩单[[#This Row],[语文]]="","",SUMPRODUCT((表成绩单[考试日期]=表成绩单[[#This Row],[考试日期]])*(表成绩单[语文]&lt;9E+307)*(表成绩单[语文]&gt;表成绩单[[#This Row],[语文]]))+1)</f>
        <v>7</v>
      </c>
      <c r="Q44" s="29" cm="1">
        <f t="array" ref="Q44">IF(表成绩单[[#This Row],[数学]]="","",SUMPRODUCT((表成绩单[考试日期]=表成绩单[[#This Row],[考试日期]])*(表成绩单[数学]&lt;9E+307)*(表成绩单[数学]&gt;表成绩单[[#This Row],[数学]]))+1)</f>
        <v>165</v>
      </c>
      <c r="R44" s="29" cm="1">
        <f t="array" ref="R44">IF(表成绩单[[#This Row],[英语]]="","",SUMPRODUCT((表成绩单[考试日期]=表成绩单[[#This Row],[考试日期]])*(表成绩单[英语]&lt;9E+307)*(表成绩单[英语]&gt;表成绩单[[#This Row],[英语]]))+1)</f>
        <v>69</v>
      </c>
      <c r="S44" s="29" cm="1">
        <f t="array" ref="S44">IF(表成绩单[[#This Row],[物理]]="","",SUMPRODUCT((表成绩单[考试日期]=表成绩单[[#This Row],[考试日期]])*(表成绩单[物理]&lt;9E+307)*(表成绩单[物理]&gt;表成绩单[[#This Row],[物理]]))+1)</f>
        <v>1</v>
      </c>
      <c r="T44" s="29" cm="1">
        <f t="array" ref="T44">IF(表成绩单[[#This Row],[化学]]="","",SUMPRODUCT((表成绩单[考试日期]=表成绩单[[#This Row],[考试日期]])*(表成绩单[化学]&lt;9E+307)*(表成绩单[化学]&gt;表成绩单[[#This Row],[化学]]))+1)</f>
        <v>405</v>
      </c>
      <c r="U44" s="29" cm="1">
        <f t="array" ref="U44">IF(表成绩单[[#This Row],[政治]]="","",SUMPRODUCT((表成绩单[考试日期]=表成绩单[[#This Row],[考试日期]])*(表成绩单[政治]&lt;9E+307)*(表成绩单[政治]&gt;表成绩单[[#This Row],[政治]]))+1)</f>
        <v>26</v>
      </c>
      <c r="V44" s="29" cm="1">
        <f t="array" ref="V44">IF(表成绩单[[#This Row],[历史]]="","",SUMPRODUCT((表成绩单[考试日期]=表成绩单[[#This Row],[考试日期]])*(表成绩单[历史]&lt;9E+307)*(表成绩单[历史]&gt;表成绩单[[#This Row],[历史]]))+1)</f>
        <v>18</v>
      </c>
      <c r="W44" s="29" cm="1">
        <f t="array" ref="W44">IF(表成绩单[[#This Row],[总分]]="","",SUMPRODUCT((表成绩单[考试日期]=表成绩单[[#This Row],[考试日期]])*(表成绩单[总分]&lt;9E+307)*(表成绩单[总分]&gt;表成绩单[[#This Row],[总分]]))+1)</f>
        <v>40</v>
      </c>
    </row>
    <row r="45" ht="28" customHeight="1" spans="4:23">
      <c r="D45" s="31">
        <v>45975</v>
      </c>
      <c r="E45" s="29">
        <v>19173523</v>
      </c>
      <c r="F45" s="29" t="s">
        <v>1</v>
      </c>
      <c r="G45" s="29" t="s">
        <v>119</v>
      </c>
      <c r="H45" s="29">
        <v>110</v>
      </c>
      <c r="I45" s="29">
        <v>115</v>
      </c>
      <c r="J45" s="29">
        <v>86.5</v>
      </c>
      <c r="K45" s="29">
        <v>87</v>
      </c>
      <c r="L45" s="29">
        <v>80</v>
      </c>
      <c r="M45" s="29">
        <v>83</v>
      </c>
      <c r="N45" s="29">
        <v>75</v>
      </c>
      <c r="O45" s="32">
        <v>636.5</v>
      </c>
      <c r="P45" s="29" cm="1">
        <f t="array" ref="P45">IF(表成绩单[[#This Row],[语文]]="","",SUMPRODUCT((表成绩单[考试日期]=表成绩单[[#This Row],[考试日期]])*(表成绩单[语文]&lt;9E+307)*(表成绩单[语文]&gt;表成绩单[[#This Row],[语文]]))+1)</f>
        <v>13</v>
      </c>
      <c r="Q45" s="29" cm="1">
        <f t="array" ref="Q45">IF(表成绩单[[#This Row],[数学]]="","",SUMPRODUCT((表成绩单[考试日期]=表成绩单[[#This Row],[考试日期]])*(表成绩单[数学]&lt;9E+307)*(表成绩单[数学]&gt;表成绩单[[#This Row],[数学]]))+1)</f>
        <v>63</v>
      </c>
      <c r="R45" s="29" cm="1">
        <f t="array" ref="R45">IF(表成绩单[[#This Row],[英语]]="","",SUMPRODUCT((表成绩单[考试日期]=表成绩单[[#This Row],[考试日期]])*(表成绩单[英语]&lt;9E+307)*(表成绩单[英语]&gt;表成绩单[[#This Row],[英语]]))+1)</f>
        <v>35</v>
      </c>
      <c r="S45" s="29" cm="1">
        <f t="array" ref="S45">IF(表成绩单[[#This Row],[物理]]="","",SUMPRODUCT((表成绩单[考试日期]=表成绩单[[#This Row],[考试日期]])*(表成绩单[物理]&lt;9E+307)*(表成绩单[物理]&gt;表成绩单[[#This Row],[物理]]))+1)</f>
        <v>127</v>
      </c>
      <c r="T45" s="29" cm="1">
        <f t="array" ref="T45">IF(表成绩单[[#This Row],[化学]]="","",SUMPRODUCT((表成绩单[考试日期]=表成绩单[[#This Row],[考试日期]])*(表成绩单[化学]&lt;9E+307)*(表成绩单[化学]&gt;表成绩单[[#This Row],[化学]]))+1)</f>
        <v>129</v>
      </c>
      <c r="U45" s="29" cm="1">
        <f t="array" ref="U45">IF(表成绩单[[#This Row],[政治]]="","",SUMPRODUCT((表成绩单[考试日期]=表成绩单[[#This Row],[考试日期]])*(表成绩单[政治]&lt;9E+307)*(表成绩单[政治]&gt;表成绩单[[#This Row],[政治]]))+1)</f>
        <v>121</v>
      </c>
      <c r="V45" s="29" cm="1">
        <f t="array" ref="V45">IF(表成绩单[[#This Row],[历史]]="","",SUMPRODUCT((表成绩单[考试日期]=表成绩单[[#This Row],[考试日期]])*(表成绩单[历史]&lt;9E+307)*(表成绩单[历史]&gt;表成绩单[[#This Row],[历史]]))+1)</f>
        <v>315</v>
      </c>
      <c r="W45" s="29" cm="1">
        <f t="array" ref="W45">IF(表成绩单[[#This Row],[总分]]="","",SUMPRODUCT((表成绩单[考试日期]=表成绩单[[#This Row],[考试日期]])*(表成绩单[总分]&lt;9E+307)*(表成绩单[总分]&gt;表成绩单[[#This Row],[总分]]))+1)</f>
        <v>41</v>
      </c>
    </row>
    <row r="46" ht="28" customHeight="1" spans="4:23">
      <c r="D46" s="31">
        <v>45975</v>
      </c>
      <c r="E46" s="29">
        <v>19176888</v>
      </c>
      <c r="F46" s="29" t="s">
        <v>71</v>
      </c>
      <c r="G46" s="29" t="s">
        <v>120</v>
      </c>
      <c r="H46" s="29">
        <v>100</v>
      </c>
      <c r="I46" s="29">
        <v>112</v>
      </c>
      <c r="J46" s="29">
        <v>84.5</v>
      </c>
      <c r="K46" s="29">
        <v>90</v>
      </c>
      <c r="L46" s="29">
        <v>80</v>
      </c>
      <c r="M46" s="29">
        <v>87</v>
      </c>
      <c r="N46" s="29">
        <v>83</v>
      </c>
      <c r="O46" s="32">
        <v>636.5</v>
      </c>
      <c r="P46" s="29" cm="1">
        <f t="array" ref="P46">IF(表成绩单[[#This Row],[语文]]="","",SUMPRODUCT((表成绩单[考试日期]=表成绩单[[#This Row],[考试日期]])*(表成绩单[语文]&lt;9E+307)*(表成绩单[语文]&gt;表成绩单[[#This Row],[语文]]))+1)</f>
        <v>223</v>
      </c>
      <c r="Q46" s="29" cm="1">
        <f t="array" ref="Q46">IF(表成绩单[[#This Row],[数学]]="","",SUMPRODUCT((表成绩单[考试日期]=表成绩单[[#This Row],[考试日期]])*(表成绩单[数学]&lt;9E+307)*(表成绩单[数学]&gt;表成绩单[[#This Row],[数学]]))+1)</f>
        <v>112</v>
      </c>
      <c r="R46" s="29" cm="1">
        <f t="array" ref="R46">IF(表成绩单[[#This Row],[英语]]="","",SUMPRODUCT((表成绩单[考试日期]=表成绩单[[#This Row],[考试日期]])*(表成绩单[英语]&lt;9E+307)*(表成绩单[英语]&gt;表成绩单[[#This Row],[英语]]))+1)</f>
        <v>85</v>
      </c>
      <c r="S46" s="29" cm="1">
        <f t="array" ref="S46">IF(表成绩单[[#This Row],[物理]]="","",SUMPRODUCT((表成绩单[考试日期]=表成绩单[[#This Row],[考试日期]])*(表成绩单[物理]&lt;9E+307)*(表成绩单[物理]&gt;表成绩单[[#This Row],[物理]]))+1)</f>
        <v>1</v>
      </c>
      <c r="T46" s="29" cm="1">
        <f t="array" ref="T46">IF(表成绩单[[#This Row],[化学]]="","",SUMPRODUCT((表成绩单[考试日期]=表成绩单[[#This Row],[考试日期]])*(表成绩单[化学]&lt;9E+307)*(表成绩单[化学]&gt;表成绩单[[#This Row],[化学]]))+1)</f>
        <v>129</v>
      </c>
      <c r="U46" s="29" cm="1">
        <f t="array" ref="U46">IF(表成绩单[[#This Row],[政治]]="","",SUMPRODUCT((表成绩单[考试日期]=表成绩单[[#This Row],[考试日期]])*(表成绩单[政治]&lt;9E+307)*(表成绩单[政治]&gt;表成绩单[[#This Row],[政治]]))+1)</f>
        <v>13</v>
      </c>
      <c r="V46" s="29" cm="1">
        <f t="array" ref="V46">IF(表成绩单[[#This Row],[历史]]="","",SUMPRODUCT((表成绩单[考试日期]=表成绩单[[#This Row],[考试日期]])*(表成绩单[历史]&lt;9E+307)*(表成绩单[历史]&gt;表成绩单[[#This Row],[历史]]))+1)</f>
        <v>18</v>
      </c>
      <c r="W46" s="29" cm="1">
        <f t="array" ref="W46">IF(表成绩单[[#This Row],[总分]]="","",SUMPRODUCT((表成绩单[考试日期]=表成绩单[[#This Row],[考试日期]])*(表成绩单[总分]&lt;9E+307)*(表成绩单[总分]&gt;表成绩单[[#This Row],[总分]]))+1)</f>
        <v>41</v>
      </c>
    </row>
    <row r="47" ht="28" customHeight="1" spans="4:23">
      <c r="D47" s="31">
        <v>45975</v>
      </c>
      <c r="E47" s="29">
        <v>19177218</v>
      </c>
      <c r="F47" s="29" t="s">
        <v>70</v>
      </c>
      <c r="G47" s="29" t="s">
        <v>121</v>
      </c>
      <c r="H47" s="29">
        <v>102</v>
      </c>
      <c r="I47" s="29">
        <v>116</v>
      </c>
      <c r="J47" s="29">
        <v>85.5</v>
      </c>
      <c r="K47" s="29">
        <v>90</v>
      </c>
      <c r="L47" s="29">
        <v>78</v>
      </c>
      <c r="M47" s="29">
        <v>84</v>
      </c>
      <c r="N47" s="29">
        <v>81</v>
      </c>
      <c r="O47" s="32">
        <v>636.5</v>
      </c>
      <c r="P47" s="29" cm="1">
        <f t="array" ref="P47">IF(表成绩单[[#This Row],[语文]]="","",SUMPRODUCT((表成绩单[考试日期]=表成绩单[[#This Row],[考试日期]])*(表成绩单[语文]&lt;9E+307)*(表成绩单[语文]&gt;表成绩单[[#This Row],[语文]]))+1)</f>
        <v>154</v>
      </c>
      <c r="Q47" s="29" cm="1">
        <f t="array" ref="Q47">IF(表成绩单[[#This Row],[数学]]="","",SUMPRODUCT((表成绩单[考试日期]=表成绩单[[#This Row],[考试日期]])*(表成绩单[数学]&lt;9E+307)*(表成绩单[数学]&gt;表成绩单[[#This Row],[数学]]))+1)</f>
        <v>50</v>
      </c>
      <c r="R47" s="29" cm="1">
        <f t="array" ref="R47">IF(表成绩单[[#This Row],[英语]]="","",SUMPRODUCT((表成绩单[考试日期]=表成绩单[[#This Row],[考试日期]])*(表成绩单[英语]&lt;9E+307)*(表成绩单[英语]&gt;表成绩单[[#This Row],[英语]]))+1)</f>
        <v>54</v>
      </c>
      <c r="S47" s="29" cm="1">
        <f t="array" ref="S47">IF(表成绩单[[#This Row],[物理]]="","",SUMPRODUCT((表成绩单[考试日期]=表成绩单[[#This Row],[考试日期]])*(表成绩单[物理]&lt;9E+307)*(表成绩单[物理]&gt;表成绩单[[#This Row],[物理]]))+1)</f>
        <v>1</v>
      </c>
      <c r="T47" s="29" cm="1">
        <f t="array" ref="T47">IF(表成绩单[[#This Row],[化学]]="","",SUMPRODUCT((表成绩单[考试日期]=表成绩单[[#This Row],[考试日期]])*(表成绩单[化学]&lt;9E+307)*(表成绩单[化学]&gt;表成绩单[[#This Row],[化学]]))+1)</f>
        <v>200</v>
      </c>
      <c r="U47" s="29" cm="1">
        <f t="array" ref="U47">IF(表成绩单[[#This Row],[政治]]="","",SUMPRODUCT((表成绩单[考试日期]=表成绩单[[#This Row],[考试日期]])*(表成绩单[政治]&lt;9E+307)*(表成绩单[政治]&gt;表成绩单[[#This Row],[政治]]))+1)</f>
        <v>83</v>
      </c>
      <c r="V47" s="29" cm="1">
        <f t="array" ref="V47">IF(表成绩单[[#This Row],[历史]]="","",SUMPRODUCT((表成绩单[考试日期]=表成绩单[[#This Row],[考试日期]])*(表成绩单[历史]&lt;9E+307)*(表成绩单[历史]&gt;表成绩单[[#This Row],[历史]]))+1)</f>
        <v>63</v>
      </c>
      <c r="W47" s="29" cm="1">
        <f t="array" ref="W47">IF(表成绩单[[#This Row],[总分]]="","",SUMPRODUCT((表成绩单[考试日期]=表成绩单[[#This Row],[考试日期]])*(表成绩单[总分]&lt;9E+307)*(表成绩单[总分]&gt;表成绩单[[#This Row],[总分]]))+1)</f>
        <v>41</v>
      </c>
    </row>
    <row r="48" ht="28" customHeight="1" spans="4:23">
      <c r="D48" s="31">
        <v>45975</v>
      </c>
      <c r="E48" s="29">
        <v>19175710</v>
      </c>
      <c r="F48" s="29" t="s">
        <v>72</v>
      </c>
      <c r="G48" s="29" t="s">
        <v>122</v>
      </c>
      <c r="H48" s="29">
        <v>100</v>
      </c>
      <c r="I48" s="29">
        <v>119</v>
      </c>
      <c r="J48" s="29">
        <v>84</v>
      </c>
      <c r="K48" s="29">
        <v>89</v>
      </c>
      <c r="L48" s="29">
        <v>85</v>
      </c>
      <c r="M48" s="29">
        <v>81</v>
      </c>
      <c r="N48" s="29">
        <v>78</v>
      </c>
      <c r="O48" s="32">
        <v>636</v>
      </c>
      <c r="P48" s="29" cm="1">
        <f t="array" ref="P48">IF(表成绩单[[#This Row],[语文]]="","",SUMPRODUCT((表成绩单[考试日期]=表成绩单[[#This Row],[考试日期]])*(表成绩单[语文]&lt;9E+307)*(表成绩单[语文]&gt;表成绩单[[#This Row],[语文]]))+1)</f>
        <v>223</v>
      </c>
      <c r="Q48" s="29" cm="1">
        <f t="array" ref="Q48">IF(表成绩单[[#This Row],[数学]]="","",SUMPRODUCT((表成绩单[考试日期]=表成绩单[[#This Row],[考试日期]])*(表成绩单[数学]&lt;9E+307)*(表成绩单[数学]&gt;表成绩单[[#This Row],[数学]]))+1)</f>
        <v>11</v>
      </c>
      <c r="R48" s="29" cm="1">
        <f t="array" ref="R48">IF(表成绩单[[#This Row],[英语]]="","",SUMPRODUCT((表成绩单[考试日期]=表成绩单[[#This Row],[考试日期]])*(表成绩单[英语]&lt;9E+307)*(表成绩单[英语]&gt;表成绩单[[#This Row],[英语]]))+1)</f>
        <v>102</v>
      </c>
      <c r="S48" s="29" cm="1">
        <f t="array" ref="S48">IF(表成绩单[[#This Row],[物理]]="","",SUMPRODUCT((表成绩单[考试日期]=表成绩单[[#This Row],[考试日期]])*(表成绩单[物理]&lt;9E+307)*(表成绩单[物理]&gt;表成绩单[[#This Row],[物理]]))+1)</f>
        <v>18</v>
      </c>
      <c r="T48" s="29" cm="1">
        <f t="array" ref="T48">IF(表成绩单[[#This Row],[化学]]="","",SUMPRODUCT((表成绩单[考试日期]=表成绩单[[#This Row],[考试日期]])*(表成绩单[化学]&lt;9E+307)*(表成绩单[化学]&gt;表成绩单[[#This Row],[化学]]))+1)</f>
        <v>19</v>
      </c>
      <c r="U48" s="29" cm="1">
        <f t="array" ref="U48">IF(表成绩单[[#This Row],[政治]]="","",SUMPRODUCT((表成绩单[考试日期]=表成绩单[[#This Row],[考试日期]])*(表成绩单[政治]&lt;9E+307)*(表成绩单[政治]&gt;表成绩单[[#This Row],[政治]]))+1)</f>
        <v>180</v>
      </c>
      <c r="V48" s="29" cm="1">
        <f t="array" ref="V48">IF(表成绩单[[#This Row],[历史]]="","",SUMPRODUCT((表成绩单[考试日期]=表成绩单[[#This Row],[考试日期]])*(表成绩单[历史]&lt;9E+307)*(表成绩单[历史]&gt;表成绩单[[#This Row],[历史]]))+1)</f>
        <v>189</v>
      </c>
      <c r="W48" s="29" cm="1">
        <f t="array" ref="W48">IF(表成绩单[[#This Row],[总分]]="","",SUMPRODUCT((表成绩单[考试日期]=表成绩单[[#This Row],[考试日期]])*(表成绩单[总分]&lt;9E+307)*(表成绩单[总分]&gt;表成绩单[[#This Row],[总分]]))+1)</f>
        <v>44</v>
      </c>
    </row>
    <row r="49" ht="28" customHeight="1" spans="4:23">
      <c r="D49" s="31">
        <v>45975</v>
      </c>
      <c r="E49" s="29">
        <v>19176871</v>
      </c>
      <c r="F49" s="29" t="s">
        <v>71</v>
      </c>
      <c r="G49" s="29" t="s">
        <v>123</v>
      </c>
      <c r="H49" s="29">
        <v>101</v>
      </c>
      <c r="I49" s="29">
        <v>116</v>
      </c>
      <c r="J49" s="29">
        <v>87</v>
      </c>
      <c r="K49" s="29">
        <v>90</v>
      </c>
      <c r="L49" s="29">
        <v>86</v>
      </c>
      <c r="M49" s="29">
        <v>79</v>
      </c>
      <c r="N49" s="29">
        <v>77</v>
      </c>
      <c r="O49" s="32">
        <v>636</v>
      </c>
      <c r="P49" s="29" cm="1">
        <f t="array" ref="P49">IF(表成绩单[[#This Row],[语文]]="","",SUMPRODUCT((表成绩单[考试日期]=表成绩单[[#This Row],[考试日期]])*(表成绩单[语文]&lt;9E+307)*(表成绩单[语文]&gt;表成绩单[[#This Row],[语文]]))+1)</f>
        <v>190</v>
      </c>
      <c r="Q49" s="29" cm="1">
        <f t="array" ref="Q49">IF(表成绩单[[#This Row],[数学]]="","",SUMPRODUCT((表成绩单[考试日期]=表成绩单[[#This Row],[考试日期]])*(表成绩单[数学]&lt;9E+307)*(表成绩单[数学]&gt;表成绩单[[#This Row],[数学]]))+1)</f>
        <v>50</v>
      </c>
      <c r="R49" s="29" cm="1">
        <f t="array" ref="R49">IF(表成绩单[[#This Row],[英语]]="","",SUMPRODUCT((表成绩单[考试日期]=表成绩单[[#This Row],[考试日期]])*(表成绩单[英语]&lt;9E+307)*(表成绩单[英语]&gt;表成绩单[[#This Row],[英语]]))+1)</f>
        <v>20</v>
      </c>
      <c r="S49" s="29" cm="1">
        <f t="array" ref="S49">IF(表成绩单[[#This Row],[物理]]="","",SUMPRODUCT((表成绩单[考试日期]=表成绩单[[#This Row],[考试日期]])*(表成绩单[物理]&lt;9E+307)*(表成绩单[物理]&gt;表成绩单[[#This Row],[物理]]))+1)</f>
        <v>1</v>
      </c>
      <c r="T49" s="29" cm="1">
        <f t="array" ref="T49">IF(表成绩单[[#This Row],[化学]]="","",SUMPRODUCT((表成绩单[考试日期]=表成绩单[[#This Row],[考试日期]])*(表成绩单[化学]&lt;9E+307)*(表成绩单[化学]&gt;表成绩单[[#This Row],[化学]]))+1)</f>
        <v>8</v>
      </c>
      <c r="U49" s="29" cm="1">
        <f t="array" ref="U49">IF(表成绩单[[#This Row],[政治]]="","",SUMPRODUCT((表成绩单[考试日期]=表成绩单[[#This Row],[考试日期]])*(表成绩单[政治]&lt;9E+307)*(表成绩单[政治]&gt;表成绩单[[#This Row],[政治]]))+1)</f>
        <v>246</v>
      </c>
      <c r="V49" s="29" cm="1">
        <f t="array" ref="V49">IF(表成绩单[[#This Row],[历史]]="","",SUMPRODUCT((表成绩单[考试日期]=表成绩单[[#This Row],[考试日期]])*(表成绩单[历史]&lt;9E+307)*(表成绩单[历史]&gt;表成绩单[[#This Row],[历史]]))+1)</f>
        <v>237</v>
      </c>
      <c r="W49" s="29" cm="1">
        <f t="array" ref="W49">IF(表成绩单[[#This Row],[总分]]="","",SUMPRODUCT((表成绩单[考试日期]=表成绩单[[#This Row],[考试日期]])*(表成绩单[总分]&lt;9E+307)*(表成绩单[总分]&gt;表成绩单[[#This Row],[总分]]))+1)</f>
        <v>44</v>
      </c>
    </row>
    <row r="50" ht="28" customHeight="1" spans="4:23">
      <c r="D50" s="31">
        <v>45975</v>
      </c>
      <c r="E50" s="29">
        <v>19173524</v>
      </c>
      <c r="F50" s="29" t="s">
        <v>1</v>
      </c>
      <c r="G50" s="29" t="s">
        <v>124</v>
      </c>
      <c r="H50" s="29">
        <v>108</v>
      </c>
      <c r="I50" s="29">
        <v>120</v>
      </c>
      <c r="J50" s="29">
        <v>81.5</v>
      </c>
      <c r="K50" s="29">
        <v>89</v>
      </c>
      <c r="L50" s="29">
        <v>83</v>
      </c>
      <c r="M50" s="29">
        <v>82</v>
      </c>
      <c r="N50" s="29">
        <v>72</v>
      </c>
      <c r="O50" s="32">
        <v>635.5</v>
      </c>
      <c r="P50" s="29" cm="1">
        <f t="array" ref="P50">IF(表成绩单[[#This Row],[语文]]="","",SUMPRODUCT((表成绩单[考试日期]=表成绩单[[#This Row],[考试日期]])*(表成绩单[语文]&lt;9E+307)*(表成绩单[语文]&gt;表成绩单[[#This Row],[语文]]))+1)</f>
        <v>27</v>
      </c>
      <c r="Q50" s="29" cm="1">
        <f t="array" ref="Q50">IF(表成绩单[[#This Row],[数学]]="","",SUMPRODUCT((表成绩单[考试日期]=表成绩单[[#This Row],[考试日期]])*(表成绩单[数学]&lt;9E+307)*(表成绩单[数学]&gt;表成绩单[[#This Row],[数学]]))+1)</f>
        <v>1</v>
      </c>
      <c r="R50" s="29" cm="1">
        <f t="array" ref="R50">IF(表成绩单[[#This Row],[英语]]="","",SUMPRODUCT((表成绩单[考试日期]=表成绩单[[#This Row],[考试日期]])*(表成绩单[英语]&lt;9E+307)*(表成绩单[英语]&gt;表成绩单[[#This Row],[英语]]))+1)</f>
        <v>220</v>
      </c>
      <c r="S50" s="29" cm="1">
        <f t="array" ref="S50">IF(表成绩单[[#This Row],[物理]]="","",SUMPRODUCT((表成绩单[考试日期]=表成绩单[[#This Row],[考试日期]])*(表成绩单[物理]&lt;9E+307)*(表成绩单[物理]&gt;表成绩单[[#This Row],[物理]]))+1)</f>
        <v>18</v>
      </c>
      <c r="T50" s="29" cm="1">
        <f t="array" ref="T50">IF(表成绩单[[#This Row],[化学]]="","",SUMPRODUCT((表成绩单[考试日期]=表成绩单[[#This Row],[考试日期]])*(表成绩单[化学]&lt;9E+307)*(表成绩单[化学]&gt;表成绩单[[#This Row],[化学]]))+1)</f>
        <v>49</v>
      </c>
      <c r="U50" s="29" cm="1">
        <f t="array" ref="U50">IF(表成绩单[[#This Row],[政治]]="","",SUMPRODUCT((表成绩单[考试日期]=表成绩单[[#This Row],[考试日期]])*(表成绩单[政治]&lt;9E+307)*(表成绩单[政治]&gt;表成绩单[[#This Row],[政治]]))+1)</f>
        <v>157</v>
      </c>
      <c r="V50" s="29" cm="1">
        <f t="array" ref="V50">IF(表成绩单[[#This Row],[历史]]="","",SUMPRODUCT((表成绩单[考试日期]=表成绩单[[#This Row],[考试日期]])*(表成绩单[历史]&lt;9E+307)*(表成绩单[历史]&gt;表成绩单[[#This Row],[历史]]))+1)</f>
        <v>438</v>
      </c>
      <c r="W50" s="29" cm="1">
        <f t="array" ref="W50">IF(表成绩单[[#This Row],[总分]]="","",SUMPRODUCT((表成绩单[考试日期]=表成绩单[[#This Row],[考试日期]])*(表成绩单[总分]&lt;9E+307)*(表成绩单[总分]&gt;表成绩单[[#This Row],[总分]]))+1)</f>
        <v>46</v>
      </c>
    </row>
    <row r="51" ht="28" customHeight="1" spans="4:23">
      <c r="D51" s="31">
        <v>45975</v>
      </c>
      <c r="E51" s="29">
        <v>19173532</v>
      </c>
      <c r="F51" s="29" t="s">
        <v>1</v>
      </c>
      <c r="G51" s="29" t="s">
        <v>125</v>
      </c>
      <c r="H51" s="29">
        <v>97</v>
      </c>
      <c r="I51" s="29">
        <v>120</v>
      </c>
      <c r="J51" s="29">
        <v>83.5</v>
      </c>
      <c r="K51" s="29">
        <v>88</v>
      </c>
      <c r="L51" s="29">
        <v>82</v>
      </c>
      <c r="M51" s="29">
        <v>86</v>
      </c>
      <c r="N51" s="29">
        <v>79</v>
      </c>
      <c r="O51" s="32">
        <v>635.5</v>
      </c>
      <c r="P51" s="29" cm="1">
        <f t="array" ref="P51">IF(表成绩单[[#This Row],[语文]]="","",SUMPRODUCT((表成绩单[考试日期]=表成绩单[[#This Row],[考试日期]])*(表成绩单[语文]&lt;9E+307)*(表成绩单[语文]&gt;表成绩单[[#This Row],[语文]]))+1)</f>
        <v>349</v>
      </c>
      <c r="Q51" s="29" cm="1">
        <f t="array" ref="Q51">IF(表成绩单[[#This Row],[数学]]="","",SUMPRODUCT((表成绩单[考试日期]=表成绩单[[#This Row],[考试日期]])*(表成绩单[数学]&lt;9E+307)*(表成绩单[数学]&gt;表成绩单[[#This Row],[数学]]))+1)</f>
        <v>1</v>
      </c>
      <c r="R51" s="29" cm="1">
        <f t="array" ref="R51">IF(表成绩单[[#This Row],[英语]]="","",SUMPRODUCT((表成绩单[考试日期]=表成绩单[[#This Row],[考试日期]])*(表成绩单[英语]&lt;9E+307)*(表成绩单[英语]&gt;表成绩单[[#This Row],[英语]]))+1)</f>
        <v>128</v>
      </c>
      <c r="S51" s="29" cm="1">
        <f t="array" ref="S51">IF(表成绩单[[#This Row],[物理]]="","",SUMPRODUCT((表成绩单[考试日期]=表成绩单[[#This Row],[考试日期]])*(表成绩单[物理]&lt;9E+307)*(表成绩单[物理]&gt;表成绩单[[#This Row],[物理]]))+1)</f>
        <v>54</v>
      </c>
      <c r="T51" s="29" cm="1">
        <f t="array" ref="T51">IF(表成绩单[[#This Row],[化学]]="","",SUMPRODUCT((表成绩单[考试日期]=表成绩单[[#This Row],[考试日期]])*(表成绩单[化学]&lt;9E+307)*(表成绩单[化学]&gt;表成绩单[[#This Row],[化学]]))+1)</f>
        <v>71</v>
      </c>
      <c r="U51" s="29" cm="1">
        <f t="array" ref="U51">IF(表成绩单[[#This Row],[政治]]="","",SUMPRODUCT((表成绩单[考试日期]=表成绩单[[#This Row],[考试日期]])*(表成绩单[政治]&lt;9E+307)*(表成绩单[政治]&gt;表成绩单[[#This Row],[政治]]))+1)</f>
        <v>26</v>
      </c>
      <c r="V51" s="29" cm="1">
        <f t="array" ref="V51">IF(表成绩单[[#This Row],[历史]]="","",SUMPRODUCT((表成绩单[考试日期]=表成绩单[[#This Row],[考试日期]])*(表成绩单[历史]&lt;9E+307)*(表成绩单[历史]&gt;表成绩单[[#This Row],[历史]]))+1)</f>
        <v>144</v>
      </c>
      <c r="W51" s="29" cm="1">
        <f t="array" ref="W51">IF(表成绩单[[#This Row],[总分]]="","",SUMPRODUCT((表成绩单[考试日期]=表成绩单[[#This Row],[考试日期]])*(表成绩单[总分]&lt;9E+307)*(表成绩单[总分]&gt;表成绩单[[#This Row],[总分]]))+1)</f>
        <v>46</v>
      </c>
    </row>
    <row r="52" ht="28" customHeight="1" spans="4:23">
      <c r="D52" s="31">
        <v>45975</v>
      </c>
      <c r="E52" s="29">
        <v>19174441</v>
      </c>
      <c r="F52" s="29" t="s">
        <v>73</v>
      </c>
      <c r="G52" s="29" t="s">
        <v>126</v>
      </c>
      <c r="H52" s="29">
        <v>99</v>
      </c>
      <c r="I52" s="29">
        <v>115</v>
      </c>
      <c r="J52" s="29">
        <v>82.5</v>
      </c>
      <c r="K52" s="29">
        <v>89</v>
      </c>
      <c r="L52" s="29">
        <v>86</v>
      </c>
      <c r="M52" s="29">
        <v>82</v>
      </c>
      <c r="N52" s="29">
        <v>82</v>
      </c>
      <c r="O52" s="32">
        <v>635.5</v>
      </c>
      <c r="P52" s="29" cm="1">
        <f t="array" ref="P52">IF(表成绩单[[#This Row],[语文]]="","",SUMPRODUCT((表成绩单[考试日期]=表成绩单[[#This Row],[考试日期]])*(表成绩单[语文]&lt;9E+307)*(表成绩单[语文]&gt;表成绩单[[#This Row],[语文]]))+1)</f>
        <v>264</v>
      </c>
      <c r="Q52" s="29" cm="1">
        <f t="array" ref="Q52">IF(表成绩单[[#This Row],[数学]]="","",SUMPRODUCT((表成绩单[考试日期]=表成绩单[[#This Row],[考试日期]])*(表成绩单[数学]&lt;9E+307)*(表成绩单[数学]&gt;表成绩单[[#This Row],[数学]]))+1)</f>
        <v>63</v>
      </c>
      <c r="R52" s="29" cm="1">
        <f t="array" ref="R52">IF(表成绩单[[#This Row],[英语]]="","",SUMPRODUCT((表成绩单[考试日期]=表成绩单[[#This Row],[考试日期]])*(表成绩单[英语]&lt;9E+307)*(表成绩单[英语]&gt;表成绩单[[#This Row],[英语]]))+1)</f>
        <v>170</v>
      </c>
      <c r="S52" s="29" cm="1">
        <f t="array" ref="S52">IF(表成绩单[[#This Row],[物理]]="","",SUMPRODUCT((表成绩单[考试日期]=表成绩单[[#This Row],[考试日期]])*(表成绩单[物理]&lt;9E+307)*(表成绩单[物理]&gt;表成绩单[[#This Row],[物理]]))+1)</f>
        <v>18</v>
      </c>
      <c r="T52" s="29" cm="1">
        <f t="array" ref="T52">IF(表成绩单[[#This Row],[化学]]="","",SUMPRODUCT((表成绩单[考试日期]=表成绩单[[#This Row],[考试日期]])*(表成绩单[化学]&lt;9E+307)*(表成绩单[化学]&gt;表成绩单[[#This Row],[化学]]))+1)</f>
        <v>8</v>
      </c>
      <c r="U52" s="29" cm="1">
        <f t="array" ref="U52">IF(表成绩单[[#This Row],[政治]]="","",SUMPRODUCT((表成绩单[考试日期]=表成绩单[[#This Row],[考试日期]])*(表成绩单[政治]&lt;9E+307)*(表成绩单[政治]&gt;表成绩单[[#This Row],[政治]]))+1)</f>
        <v>157</v>
      </c>
      <c r="V52" s="29" cm="1">
        <f t="array" ref="V52">IF(表成绩单[[#This Row],[历史]]="","",SUMPRODUCT((表成绩单[考试日期]=表成绩单[[#This Row],[考试日期]])*(表成绩单[历史]&lt;9E+307)*(表成绩单[历史]&gt;表成绩单[[#This Row],[历史]]))+1)</f>
        <v>35</v>
      </c>
      <c r="W52" s="29" cm="1">
        <f t="array" ref="W52">IF(表成绩单[[#This Row],[总分]]="","",SUMPRODUCT((表成绩单[考试日期]=表成绩单[[#This Row],[考试日期]])*(表成绩单[总分]&lt;9E+307)*(表成绩单[总分]&gt;表成绩单[[#This Row],[总分]]))+1)</f>
        <v>46</v>
      </c>
    </row>
    <row r="53" ht="28" customHeight="1" spans="4:23">
      <c r="D53" s="31">
        <v>45975</v>
      </c>
      <c r="E53" s="29">
        <v>19173543</v>
      </c>
      <c r="F53" s="29" t="s">
        <v>1</v>
      </c>
      <c r="G53" s="29" t="s">
        <v>127</v>
      </c>
      <c r="H53" s="29">
        <v>102</v>
      </c>
      <c r="I53" s="29">
        <v>114</v>
      </c>
      <c r="J53" s="29">
        <v>88</v>
      </c>
      <c r="K53" s="29">
        <v>86</v>
      </c>
      <c r="L53" s="29">
        <v>79</v>
      </c>
      <c r="M53" s="29">
        <v>85</v>
      </c>
      <c r="N53" s="29">
        <v>81</v>
      </c>
      <c r="O53" s="32">
        <v>635</v>
      </c>
      <c r="P53" s="29" cm="1">
        <f t="array" ref="P53">IF(表成绩单[[#This Row],[语文]]="","",SUMPRODUCT((表成绩单[考试日期]=表成绩单[[#This Row],[考试日期]])*(表成绩单[语文]&lt;9E+307)*(表成绩单[语文]&gt;表成绩单[[#This Row],[语文]]))+1)</f>
        <v>154</v>
      </c>
      <c r="Q53" s="29" cm="1">
        <f t="array" ref="Q53">IF(表成绩单[[#This Row],[数学]]="","",SUMPRODUCT((表成绩单[考试日期]=表成绩单[[#This Row],[考试日期]])*(表成绩单[数学]&lt;9E+307)*(表成绩单[数学]&gt;表成绩单[[#This Row],[数学]]))+1)</f>
        <v>79</v>
      </c>
      <c r="R53" s="29" cm="1">
        <f t="array" ref="R53">IF(表成绩单[[#This Row],[英语]]="","",SUMPRODUCT((表成绩单[考试日期]=表成绩单[[#This Row],[考试日期]])*(表成绩单[英语]&lt;9E+307)*(表成绩单[英语]&gt;表成绩单[[#This Row],[英语]]))+1)</f>
        <v>10</v>
      </c>
      <c r="S53" s="29" cm="1">
        <f t="array" ref="S53">IF(表成绩单[[#This Row],[物理]]="","",SUMPRODUCT((表成绩单[考试日期]=表成绩单[[#This Row],[考试日期]])*(表成绩单[物理]&lt;9E+307)*(表成绩单[物理]&gt;表成绩单[[#This Row],[物理]]))+1)</f>
        <v>187</v>
      </c>
      <c r="T53" s="29" cm="1">
        <f t="array" ref="T53">IF(表成绩单[[#This Row],[化学]]="","",SUMPRODUCT((表成绩单[考试日期]=表成绩单[[#This Row],[考试日期]])*(表成绩单[化学]&lt;9E+307)*(表成绩单[化学]&gt;表成绩单[[#This Row],[化学]]))+1)</f>
        <v>166</v>
      </c>
      <c r="U53" s="29" cm="1">
        <f t="array" ref="U53">IF(表成绩单[[#This Row],[政治]]="","",SUMPRODUCT((表成绩单[考试日期]=表成绩单[[#This Row],[考试日期]])*(表成绩单[政治]&lt;9E+307)*(表成绩单[政治]&gt;表成绩单[[#This Row],[政治]]))+1)</f>
        <v>45</v>
      </c>
      <c r="V53" s="29" cm="1">
        <f t="array" ref="V53">IF(表成绩单[[#This Row],[历史]]="","",SUMPRODUCT((表成绩单[考试日期]=表成绩单[[#This Row],[考试日期]])*(表成绩单[历史]&lt;9E+307)*(表成绩单[历史]&gt;表成绩单[[#This Row],[历史]]))+1)</f>
        <v>63</v>
      </c>
      <c r="W53" s="29" cm="1">
        <f t="array" ref="W53">IF(表成绩单[[#This Row],[总分]]="","",SUMPRODUCT((表成绩单[考试日期]=表成绩单[[#This Row],[考试日期]])*(表成绩单[总分]&lt;9E+307)*(表成绩单[总分]&gt;表成绩单[[#This Row],[总分]]))+1)</f>
        <v>49</v>
      </c>
    </row>
    <row r="54" ht="28" customHeight="1" spans="4:23">
      <c r="D54" s="31">
        <v>45975</v>
      </c>
      <c r="E54" s="29">
        <v>19175407</v>
      </c>
      <c r="F54" s="29" t="s">
        <v>74</v>
      </c>
      <c r="G54" s="29" t="s">
        <v>128</v>
      </c>
      <c r="H54" s="29">
        <v>107</v>
      </c>
      <c r="I54" s="29">
        <v>111</v>
      </c>
      <c r="J54" s="29">
        <v>88</v>
      </c>
      <c r="K54" s="29">
        <v>86</v>
      </c>
      <c r="L54" s="29">
        <v>75</v>
      </c>
      <c r="M54" s="29">
        <v>84</v>
      </c>
      <c r="N54" s="29">
        <v>84</v>
      </c>
      <c r="O54" s="32">
        <v>635</v>
      </c>
      <c r="P54" s="29" cm="1">
        <f t="array" ref="P54">IF(表成绩单[[#This Row],[语文]]="","",SUMPRODUCT((表成绩单[考试日期]=表成绩单[[#This Row],[考试日期]])*(表成绩单[语文]&lt;9E+307)*(表成绩单[语文]&gt;表成绩单[[#This Row],[语文]]))+1)</f>
        <v>45</v>
      </c>
      <c r="Q54" s="29" cm="1">
        <f t="array" ref="Q54">IF(表成绩单[[#This Row],[数学]]="","",SUMPRODUCT((表成绩单[考试日期]=表成绩单[[#This Row],[考试日期]])*(表成绩单[数学]&lt;9E+307)*(表成绩单[数学]&gt;表成绩单[[#This Row],[数学]]))+1)</f>
        <v>134</v>
      </c>
      <c r="R54" s="29" cm="1">
        <f t="array" ref="R54">IF(表成绩单[[#This Row],[英语]]="","",SUMPRODUCT((表成绩单[考试日期]=表成绩单[[#This Row],[考试日期]])*(表成绩单[英语]&lt;9E+307)*(表成绩单[英语]&gt;表成绩单[[#This Row],[英语]]))+1)</f>
        <v>10</v>
      </c>
      <c r="S54" s="29" cm="1">
        <f t="array" ref="S54">IF(表成绩单[[#This Row],[物理]]="","",SUMPRODUCT((表成绩单[考试日期]=表成绩单[[#This Row],[考试日期]])*(表成绩单[物理]&lt;9E+307)*(表成绩单[物理]&gt;表成绩单[[#This Row],[物理]]))+1)</f>
        <v>187</v>
      </c>
      <c r="T54" s="29" cm="1">
        <f t="array" ref="T54">IF(表成绩单[[#This Row],[化学]]="","",SUMPRODUCT((表成绩单[考试日期]=表成绩单[[#This Row],[考试日期]])*(表成绩单[化学]&lt;9E+307)*(表成绩单[化学]&gt;表成绩单[[#This Row],[化学]]))+1)</f>
        <v>310</v>
      </c>
      <c r="U54" s="29" cm="1">
        <f t="array" ref="U54">IF(表成绩单[[#This Row],[政治]]="","",SUMPRODUCT((表成绩单[考试日期]=表成绩单[[#This Row],[考试日期]])*(表成绩单[政治]&lt;9E+307)*(表成绩单[政治]&gt;表成绩单[[#This Row],[政治]]))+1)</f>
        <v>83</v>
      </c>
      <c r="V54" s="29" cm="1">
        <f t="array" ref="V54">IF(表成绩单[[#This Row],[历史]]="","",SUMPRODUCT((表成绩单[考试日期]=表成绩单[[#This Row],[考试日期]])*(表成绩单[历史]&lt;9E+307)*(表成绩单[历史]&gt;表成绩单[[#This Row],[历史]]))+1)</f>
        <v>8</v>
      </c>
      <c r="W54" s="29" cm="1">
        <f t="array" ref="W54">IF(表成绩单[[#This Row],[总分]]="","",SUMPRODUCT((表成绩单[考试日期]=表成绩单[[#This Row],[考试日期]])*(表成绩单[总分]&lt;9E+307)*(表成绩单[总分]&gt;表成绩单[[#This Row],[总分]]))+1)</f>
        <v>49</v>
      </c>
    </row>
    <row r="55" ht="28" customHeight="1" spans="4:23">
      <c r="D55" s="31">
        <v>45975</v>
      </c>
      <c r="E55" s="29">
        <v>19175420</v>
      </c>
      <c r="F55" s="29" t="s">
        <v>74</v>
      </c>
      <c r="G55" s="29" t="s">
        <v>129</v>
      </c>
      <c r="H55" s="29">
        <v>109</v>
      </c>
      <c r="I55" s="29">
        <v>118</v>
      </c>
      <c r="J55" s="29">
        <v>83</v>
      </c>
      <c r="K55" s="29">
        <v>83</v>
      </c>
      <c r="L55" s="29">
        <v>85</v>
      </c>
      <c r="M55" s="29">
        <v>79</v>
      </c>
      <c r="N55" s="29">
        <v>78</v>
      </c>
      <c r="O55" s="32">
        <v>635</v>
      </c>
      <c r="P55" s="29" cm="1">
        <f t="array" ref="P55">IF(表成绩单[[#This Row],[语文]]="","",SUMPRODUCT((表成绩单[考试日期]=表成绩单[[#This Row],[考试日期]])*(表成绩单[语文]&lt;9E+307)*(表成绩单[语文]&gt;表成绩单[[#This Row],[语文]]))+1)</f>
        <v>18</v>
      </c>
      <c r="Q55" s="29" cm="1">
        <f t="array" ref="Q55">IF(表成绩单[[#This Row],[数学]]="","",SUMPRODUCT((表成绩单[考试日期]=表成绩单[[#This Row],[考试日期]])*(表成绩单[数学]&lt;9E+307)*(表成绩单[数学]&gt;表成绩单[[#This Row],[数学]]))+1)</f>
        <v>22</v>
      </c>
      <c r="R55" s="29" cm="1">
        <f t="array" ref="R55">IF(表成绩单[[#This Row],[英语]]="","",SUMPRODUCT((表成绩单[考试日期]=表成绩单[[#This Row],[考试日期]])*(表成绩单[英语]&lt;9E+307)*(表成绩单[英语]&gt;表成绩单[[#This Row],[英语]]))+1)</f>
        <v>146</v>
      </c>
      <c r="S55" s="29" cm="1">
        <f t="array" ref="S55">IF(表成绩单[[#This Row],[物理]]="","",SUMPRODUCT((表成绩单[考试日期]=表成绩单[[#This Row],[考试日期]])*(表成绩单[物理]&lt;9E+307)*(表成绩单[物理]&gt;表成绩单[[#This Row],[物理]]))+1)</f>
        <v>390</v>
      </c>
      <c r="T55" s="29" cm="1">
        <f t="array" ref="T55">IF(表成绩单[[#This Row],[化学]]="","",SUMPRODUCT((表成绩单[考试日期]=表成绩单[[#This Row],[考试日期]])*(表成绩单[化学]&lt;9E+307)*(表成绩单[化学]&gt;表成绩单[[#This Row],[化学]]))+1)</f>
        <v>19</v>
      </c>
      <c r="U55" s="29" cm="1">
        <f t="array" ref="U55">IF(表成绩单[[#This Row],[政治]]="","",SUMPRODUCT((表成绩单[考试日期]=表成绩单[[#This Row],[考试日期]])*(表成绩单[政治]&lt;9E+307)*(表成绩单[政治]&gt;表成绩单[[#This Row],[政治]]))+1)</f>
        <v>246</v>
      </c>
      <c r="V55" s="29" cm="1">
        <f t="array" ref="V55">IF(表成绩单[[#This Row],[历史]]="","",SUMPRODUCT((表成绩单[考试日期]=表成绩单[[#This Row],[考试日期]])*(表成绩单[历史]&lt;9E+307)*(表成绩单[历史]&gt;表成绩单[[#This Row],[历史]]))+1)</f>
        <v>189</v>
      </c>
      <c r="W55" s="29" cm="1">
        <f t="array" ref="W55">IF(表成绩单[[#This Row],[总分]]="","",SUMPRODUCT((表成绩单[考试日期]=表成绩单[[#This Row],[考试日期]])*(表成绩单[总分]&lt;9E+307)*(表成绩单[总分]&gt;表成绩单[[#This Row],[总分]]))+1)</f>
        <v>49</v>
      </c>
    </row>
    <row r="56" ht="28" customHeight="1" spans="4:23">
      <c r="D56" s="31">
        <v>45975</v>
      </c>
      <c r="E56" s="29">
        <v>19175414</v>
      </c>
      <c r="F56" s="29" t="s">
        <v>74</v>
      </c>
      <c r="G56" s="29" t="s">
        <v>130</v>
      </c>
      <c r="H56" s="29">
        <v>107</v>
      </c>
      <c r="I56" s="29">
        <v>108</v>
      </c>
      <c r="J56" s="29">
        <v>85.5</v>
      </c>
      <c r="K56" s="29">
        <v>88</v>
      </c>
      <c r="L56" s="29">
        <v>78</v>
      </c>
      <c r="M56" s="29">
        <v>85</v>
      </c>
      <c r="N56" s="29">
        <v>83</v>
      </c>
      <c r="O56" s="32">
        <v>634.5</v>
      </c>
      <c r="P56" s="29" cm="1">
        <f t="array" ref="P56">IF(表成绩单[[#This Row],[语文]]="","",SUMPRODUCT((表成绩单[考试日期]=表成绩单[[#This Row],[考试日期]])*(表成绩单[语文]&lt;9E+307)*(表成绩单[语文]&gt;表成绩单[[#This Row],[语文]]))+1)</f>
        <v>45</v>
      </c>
      <c r="Q56" s="29" cm="1">
        <f t="array" ref="Q56">IF(表成绩单[[#This Row],[数学]]="","",SUMPRODUCT((表成绩单[考试日期]=表成绩单[[#This Row],[考试日期]])*(表成绩单[数学]&lt;9E+307)*(表成绩单[数学]&gt;表成绩单[[#This Row],[数学]]))+1)</f>
        <v>182</v>
      </c>
      <c r="R56" s="29" cm="1">
        <f t="array" ref="R56">IF(表成绩单[[#This Row],[英语]]="","",SUMPRODUCT((表成绩单[考试日期]=表成绩单[[#This Row],[考试日期]])*(表成绩单[英语]&lt;9E+307)*(表成绩单[英语]&gt;表成绩单[[#This Row],[英语]]))+1)</f>
        <v>54</v>
      </c>
      <c r="S56" s="29" cm="1">
        <f t="array" ref="S56">IF(表成绩单[[#This Row],[物理]]="","",SUMPRODUCT((表成绩单[考试日期]=表成绩单[[#This Row],[考试日期]])*(表成绩单[物理]&lt;9E+307)*(表成绩单[物理]&gt;表成绩单[[#This Row],[物理]]))+1)</f>
        <v>54</v>
      </c>
      <c r="T56" s="29" cm="1">
        <f t="array" ref="T56">IF(表成绩单[[#This Row],[化学]]="","",SUMPRODUCT((表成绩单[考试日期]=表成绩单[[#This Row],[考试日期]])*(表成绩单[化学]&lt;9E+307)*(表成绩单[化学]&gt;表成绩单[[#This Row],[化学]]))+1)</f>
        <v>200</v>
      </c>
      <c r="U56" s="29" cm="1">
        <f t="array" ref="U56">IF(表成绩单[[#This Row],[政治]]="","",SUMPRODUCT((表成绩单[考试日期]=表成绩单[[#This Row],[考试日期]])*(表成绩单[政治]&lt;9E+307)*(表成绩单[政治]&gt;表成绩单[[#This Row],[政治]]))+1)</f>
        <v>45</v>
      </c>
      <c r="V56" s="29" cm="1">
        <f t="array" ref="V56">IF(表成绩单[[#This Row],[历史]]="","",SUMPRODUCT((表成绩单[考试日期]=表成绩单[[#This Row],[考试日期]])*(表成绩单[历史]&lt;9E+307)*(表成绩单[历史]&gt;表成绩单[[#This Row],[历史]]))+1)</f>
        <v>18</v>
      </c>
      <c r="W56" s="29" cm="1">
        <f t="array" ref="W56">IF(表成绩单[[#This Row],[总分]]="","",SUMPRODUCT((表成绩单[考试日期]=表成绩单[[#This Row],[考试日期]])*(表成绩单[总分]&lt;9E+307)*(表成绩单[总分]&gt;表成绩单[[#This Row],[总分]]))+1)</f>
        <v>52</v>
      </c>
    </row>
    <row r="57" ht="28" customHeight="1" spans="4:23">
      <c r="D57" s="31">
        <v>45975</v>
      </c>
      <c r="E57" s="29">
        <v>19175384</v>
      </c>
      <c r="F57" s="29" t="s">
        <v>74</v>
      </c>
      <c r="G57" s="29" t="s">
        <v>131</v>
      </c>
      <c r="H57" s="29">
        <v>107</v>
      </c>
      <c r="I57" s="29">
        <v>114</v>
      </c>
      <c r="J57" s="29">
        <v>86</v>
      </c>
      <c r="K57" s="29">
        <v>89</v>
      </c>
      <c r="L57" s="29">
        <v>78</v>
      </c>
      <c r="M57" s="29">
        <v>85</v>
      </c>
      <c r="N57" s="29">
        <v>75</v>
      </c>
      <c r="O57" s="32">
        <v>634</v>
      </c>
      <c r="P57" s="29" cm="1">
        <f t="array" ref="P57">IF(表成绩单[[#This Row],[语文]]="","",SUMPRODUCT((表成绩单[考试日期]=表成绩单[[#This Row],[考试日期]])*(表成绩单[语文]&lt;9E+307)*(表成绩单[语文]&gt;表成绩单[[#This Row],[语文]]))+1)</f>
        <v>45</v>
      </c>
      <c r="Q57" s="29" cm="1">
        <f t="array" ref="Q57">IF(表成绩单[[#This Row],[数学]]="","",SUMPRODUCT((表成绩单[考试日期]=表成绩单[[#This Row],[考试日期]])*(表成绩单[数学]&lt;9E+307)*(表成绩单[数学]&gt;表成绩单[[#This Row],[数学]]))+1)</f>
        <v>79</v>
      </c>
      <c r="R57" s="29" cm="1">
        <f t="array" ref="R57">IF(表成绩单[[#This Row],[英语]]="","",SUMPRODUCT((表成绩单[考试日期]=表成绩单[[#This Row],[考试日期]])*(表成绩单[英语]&lt;9E+307)*(表成绩单[英语]&gt;表成绩单[[#This Row],[英语]]))+1)</f>
        <v>42</v>
      </c>
      <c r="S57" s="29" cm="1">
        <f t="array" ref="S57">IF(表成绩单[[#This Row],[物理]]="","",SUMPRODUCT((表成绩单[考试日期]=表成绩单[[#This Row],[考试日期]])*(表成绩单[物理]&lt;9E+307)*(表成绩单[物理]&gt;表成绩单[[#This Row],[物理]]))+1)</f>
        <v>18</v>
      </c>
      <c r="T57" s="29" cm="1">
        <f t="array" ref="T57">IF(表成绩单[[#This Row],[化学]]="","",SUMPRODUCT((表成绩单[考试日期]=表成绩单[[#This Row],[考试日期]])*(表成绩单[化学]&lt;9E+307)*(表成绩单[化学]&gt;表成绩单[[#This Row],[化学]]))+1)</f>
        <v>200</v>
      </c>
      <c r="U57" s="29" cm="1">
        <f t="array" ref="U57">IF(表成绩单[[#This Row],[政治]]="","",SUMPRODUCT((表成绩单[考试日期]=表成绩单[[#This Row],[考试日期]])*(表成绩单[政治]&lt;9E+307)*(表成绩单[政治]&gt;表成绩单[[#This Row],[政治]]))+1)</f>
        <v>45</v>
      </c>
      <c r="V57" s="29" cm="1">
        <f t="array" ref="V57">IF(表成绩单[[#This Row],[历史]]="","",SUMPRODUCT((表成绩单[考试日期]=表成绩单[[#This Row],[考试日期]])*(表成绩单[历史]&lt;9E+307)*(表成绩单[历史]&gt;表成绩单[[#This Row],[历史]]))+1)</f>
        <v>315</v>
      </c>
      <c r="W57" s="29" cm="1">
        <f t="array" ref="W57">IF(表成绩单[[#This Row],[总分]]="","",SUMPRODUCT((表成绩单[考试日期]=表成绩单[[#This Row],[考试日期]])*(表成绩单[总分]&lt;9E+307)*(表成绩单[总分]&gt;表成绩单[[#This Row],[总分]]))+1)</f>
        <v>53</v>
      </c>
    </row>
    <row r="58" ht="28" customHeight="1" spans="4:23">
      <c r="D58" s="31">
        <v>45975</v>
      </c>
      <c r="E58" s="29">
        <v>19175706</v>
      </c>
      <c r="F58" s="29" t="s">
        <v>72</v>
      </c>
      <c r="G58" s="29" t="s">
        <v>132</v>
      </c>
      <c r="H58" s="29">
        <v>107</v>
      </c>
      <c r="I58" s="29">
        <v>113</v>
      </c>
      <c r="J58" s="29">
        <v>84.5</v>
      </c>
      <c r="K58" s="29">
        <v>88</v>
      </c>
      <c r="L58" s="29">
        <v>83</v>
      </c>
      <c r="M58" s="29">
        <v>82</v>
      </c>
      <c r="N58" s="29">
        <v>76</v>
      </c>
      <c r="O58" s="32">
        <v>633.5</v>
      </c>
      <c r="P58" s="29" cm="1">
        <f t="array" ref="P58">IF(表成绩单[[#This Row],[语文]]="","",SUMPRODUCT((表成绩单[考试日期]=表成绩单[[#This Row],[考试日期]])*(表成绩单[语文]&lt;9E+307)*(表成绩单[语文]&gt;表成绩单[[#This Row],[语文]]))+1)</f>
        <v>45</v>
      </c>
      <c r="Q58" s="29" cm="1">
        <f t="array" ref="Q58">IF(表成绩单[[#This Row],[数学]]="","",SUMPRODUCT((表成绩单[考试日期]=表成绩单[[#This Row],[考试日期]])*(表成绩单[数学]&lt;9E+307)*(表成绩单[数学]&gt;表成绩单[[#This Row],[数学]]))+1)</f>
        <v>93</v>
      </c>
      <c r="R58" s="29" cm="1">
        <f t="array" ref="R58">IF(表成绩单[[#This Row],[英语]]="","",SUMPRODUCT((表成绩单[考试日期]=表成绩单[[#This Row],[考试日期]])*(表成绩单[英语]&lt;9E+307)*(表成绩单[英语]&gt;表成绩单[[#This Row],[英语]]))+1)</f>
        <v>85</v>
      </c>
      <c r="S58" s="29" cm="1">
        <f t="array" ref="S58">IF(表成绩单[[#This Row],[物理]]="","",SUMPRODUCT((表成绩单[考试日期]=表成绩单[[#This Row],[考试日期]])*(表成绩单[物理]&lt;9E+307)*(表成绩单[物理]&gt;表成绩单[[#This Row],[物理]]))+1)</f>
        <v>54</v>
      </c>
      <c r="T58" s="29" cm="1">
        <f t="array" ref="T58">IF(表成绩单[[#This Row],[化学]]="","",SUMPRODUCT((表成绩单[考试日期]=表成绩单[[#This Row],[考试日期]])*(表成绩单[化学]&lt;9E+307)*(表成绩单[化学]&gt;表成绩单[[#This Row],[化学]]))+1)</f>
        <v>49</v>
      </c>
      <c r="U58" s="29" cm="1">
        <f t="array" ref="U58">IF(表成绩单[[#This Row],[政治]]="","",SUMPRODUCT((表成绩单[考试日期]=表成绩单[[#This Row],[考试日期]])*(表成绩单[政治]&lt;9E+307)*(表成绩单[政治]&gt;表成绩单[[#This Row],[政治]]))+1)</f>
        <v>157</v>
      </c>
      <c r="V58" s="29" cm="1">
        <f t="array" ref="V58">IF(表成绩单[[#This Row],[历史]]="","",SUMPRODUCT((表成绩单[考试日期]=表成绩单[[#This Row],[考试日期]])*(表成绩单[历史]&lt;9E+307)*(表成绩单[历史]&gt;表成绩单[[#This Row],[历史]]))+1)</f>
        <v>278</v>
      </c>
      <c r="W58" s="29" cm="1">
        <f t="array" ref="W58">IF(表成绩单[[#This Row],[总分]]="","",SUMPRODUCT((表成绩单[考试日期]=表成绩单[[#This Row],[考试日期]])*(表成绩单[总分]&lt;9E+307)*(表成绩单[总分]&gt;表成绩单[[#This Row],[总分]]))+1)</f>
        <v>54</v>
      </c>
    </row>
    <row r="59" ht="28" customHeight="1" spans="4:23">
      <c r="D59" s="31">
        <v>45975</v>
      </c>
      <c r="E59" s="29">
        <v>19176891</v>
      </c>
      <c r="F59" s="29" t="s">
        <v>71</v>
      </c>
      <c r="G59" s="29" t="s">
        <v>133</v>
      </c>
      <c r="H59" s="29">
        <v>107</v>
      </c>
      <c r="I59" s="29">
        <v>114</v>
      </c>
      <c r="J59" s="29">
        <v>81.5</v>
      </c>
      <c r="K59" s="29">
        <v>87</v>
      </c>
      <c r="L59" s="29">
        <v>84</v>
      </c>
      <c r="M59" s="29">
        <v>79</v>
      </c>
      <c r="N59" s="29">
        <v>81</v>
      </c>
      <c r="O59" s="32">
        <v>633.5</v>
      </c>
      <c r="P59" s="29" cm="1">
        <f t="array" ref="P59">IF(表成绩单[[#This Row],[语文]]="","",SUMPRODUCT((表成绩单[考试日期]=表成绩单[[#This Row],[考试日期]])*(表成绩单[语文]&lt;9E+307)*(表成绩单[语文]&gt;表成绩单[[#This Row],[语文]]))+1)</f>
        <v>45</v>
      </c>
      <c r="Q59" s="29" cm="1">
        <f t="array" ref="Q59">IF(表成绩单[[#This Row],[数学]]="","",SUMPRODUCT((表成绩单[考试日期]=表成绩单[[#This Row],[考试日期]])*(表成绩单[数学]&lt;9E+307)*(表成绩单[数学]&gt;表成绩单[[#This Row],[数学]]))+1)</f>
        <v>79</v>
      </c>
      <c r="R59" s="29" cm="1">
        <f t="array" ref="R59">IF(表成绩单[[#This Row],[英语]]="","",SUMPRODUCT((表成绩单[考试日期]=表成绩单[[#This Row],[考试日期]])*(表成绩单[英语]&lt;9E+307)*(表成绩单[英语]&gt;表成绩单[[#This Row],[英语]]))+1)</f>
        <v>220</v>
      </c>
      <c r="S59" s="29" cm="1">
        <f t="array" ref="S59">IF(表成绩单[[#This Row],[物理]]="","",SUMPRODUCT((表成绩单[考试日期]=表成绩单[[#This Row],[考试日期]])*(表成绩单[物理]&lt;9E+307)*(表成绩单[物理]&gt;表成绩单[[#This Row],[物理]]))+1)</f>
        <v>127</v>
      </c>
      <c r="T59" s="29" cm="1">
        <f t="array" ref="T59">IF(表成绩单[[#This Row],[化学]]="","",SUMPRODUCT((表成绩单[考试日期]=表成绩单[[#This Row],[考试日期]])*(表成绩单[化学]&lt;9E+307)*(表成绩单[化学]&gt;表成绩单[[#This Row],[化学]]))+1)</f>
        <v>33</v>
      </c>
      <c r="U59" s="29" cm="1">
        <f t="array" ref="U59">IF(表成绩单[[#This Row],[政治]]="","",SUMPRODUCT((表成绩单[考试日期]=表成绩单[[#This Row],[考试日期]])*(表成绩单[政治]&lt;9E+307)*(表成绩单[政治]&gt;表成绩单[[#This Row],[政治]]))+1)</f>
        <v>246</v>
      </c>
      <c r="V59" s="29" cm="1">
        <f t="array" ref="V59">IF(表成绩单[[#This Row],[历史]]="","",SUMPRODUCT((表成绩单[考试日期]=表成绩单[[#This Row],[考试日期]])*(表成绩单[历史]&lt;9E+307)*(表成绩单[历史]&gt;表成绩单[[#This Row],[历史]]))+1)</f>
        <v>63</v>
      </c>
      <c r="W59" s="29" cm="1">
        <f t="array" ref="W59">IF(表成绩单[[#This Row],[总分]]="","",SUMPRODUCT((表成绩单[考试日期]=表成绩单[[#This Row],[考试日期]])*(表成绩单[总分]&lt;9E+307)*(表成绩单[总分]&gt;表成绩单[[#This Row],[总分]]))+1)</f>
        <v>54</v>
      </c>
    </row>
    <row r="60" ht="28" customHeight="1" spans="4:23">
      <c r="D60" s="31">
        <v>45975</v>
      </c>
      <c r="E60" s="29">
        <v>19174805</v>
      </c>
      <c r="F60" s="29" t="s">
        <v>69</v>
      </c>
      <c r="G60" s="29" t="s">
        <v>134</v>
      </c>
      <c r="H60" s="29">
        <v>108</v>
      </c>
      <c r="I60" s="29">
        <v>105</v>
      </c>
      <c r="J60" s="29">
        <v>87</v>
      </c>
      <c r="K60" s="29">
        <v>88</v>
      </c>
      <c r="L60" s="29">
        <v>79</v>
      </c>
      <c r="M60" s="29">
        <v>84</v>
      </c>
      <c r="N60" s="29">
        <v>82</v>
      </c>
      <c r="O60" s="32">
        <v>633</v>
      </c>
      <c r="P60" s="29" cm="1">
        <f t="array" ref="P60">IF(表成绩单[[#This Row],[语文]]="","",SUMPRODUCT((表成绩单[考试日期]=表成绩单[[#This Row],[考试日期]])*(表成绩单[语文]&lt;9E+307)*(表成绩单[语文]&gt;表成绩单[[#This Row],[语文]]))+1)</f>
        <v>27</v>
      </c>
      <c r="Q60" s="29" cm="1">
        <f t="array" ref="Q60">IF(表成绩单[[#This Row],[数学]]="","",SUMPRODUCT((表成绩单[考试日期]=表成绩单[[#This Row],[考试日期]])*(表成绩单[数学]&lt;9E+307)*(表成绩单[数学]&gt;表成绩单[[#This Row],[数学]]))+1)</f>
        <v>245</v>
      </c>
      <c r="R60" s="29" cm="1">
        <f t="array" ref="R60">IF(表成绩单[[#This Row],[英语]]="","",SUMPRODUCT((表成绩单[考试日期]=表成绩单[[#This Row],[考试日期]])*(表成绩单[英语]&lt;9E+307)*(表成绩单[英语]&gt;表成绩单[[#This Row],[英语]]))+1)</f>
        <v>20</v>
      </c>
      <c r="S60" s="29" cm="1">
        <f t="array" ref="S60">IF(表成绩单[[#This Row],[物理]]="","",SUMPRODUCT((表成绩单[考试日期]=表成绩单[[#This Row],[考试日期]])*(表成绩单[物理]&lt;9E+307)*(表成绩单[物理]&gt;表成绩单[[#This Row],[物理]]))+1)</f>
        <v>54</v>
      </c>
      <c r="T60" s="29" cm="1">
        <f t="array" ref="T60">IF(表成绩单[[#This Row],[化学]]="","",SUMPRODUCT((表成绩单[考试日期]=表成绩单[[#This Row],[考试日期]])*(表成绩单[化学]&lt;9E+307)*(表成绩单[化学]&gt;表成绩单[[#This Row],[化学]]))+1)</f>
        <v>166</v>
      </c>
      <c r="U60" s="29" cm="1">
        <f t="array" ref="U60">IF(表成绩单[[#This Row],[政治]]="","",SUMPRODUCT((表成绩单[考试日期]=表成绩单[[#This Row],[考试日期]])*(表成绩单[政治]&lt;9E+307)*(表成绩单[政治]&gt;表成绩单[[#This Row],[政治]]))+1)</f>
        <v>83</v>
      </c>
      <c r="V60" s="29" cm="1">
        <f t="array" ref="V60">IF(表成绩单[[#This Row],[历史]]="","",SUMPRODUCT((表成绩单[考试日期]=表成绩单[[#This Row],[考试日期]])*(表成绩单[历史]&lt;9E+307)*(表成绩单[历史]&gt;表成绩单[[#This Row],[历史]]))+1)</f>
        <v>35</v>
      </c>
      <c r="W60" s="29" cm="1">
        <f t="array" ref="W60">IF(表成绩单[[#This Row],[总分]]="","",SUMPRODUCT((表成绩单[考试日期]=表成绩单[[#This Row],[考试日期]])*(表成绩单[总分]&lt;9E+307)*(表成绩单[总分]&gt;表成绩单[[#This Row],[总分]]))+1)</f>
        <v>56</v>
      </c>
    </row>
    <row r="61" ht="28" customHeight="1" spans="4:23">
      <c r="D61" s="31">
        <v>45975</v>
      </c>
      <c r="E61" s="29">
        <v>19175697</v>
      </c>
      <c r="F61" s="29" t="s">
        <v>72</v>
      </c>
      <c r="G61" s="29" t="s">
        <v>135</v>
      </c>
      <c r="H61" s="29">
        <v>104</v>
      </c>
      <c r="I61" s="29">
        <v>116</v>
      </c>
      <c r="J61" s="29">
        <v>82</v>
      </c>
      <c r="K61" s="29">
        <v>89</v>
      </c>
      <c r="L61" s="29">
        <v>78</v>
      </c>
      <c r="M61" s="29">
        <v>83</v>
      </c>
      <c r="N61" s="29">
        <v>81</v>
      </c>
      <c r="O61" s="32">
        <v>633</v>
      </c>
      <c r="P61" s="29" cm="1">
        <f t="array" ref="P61">IF(表成绩单[[#This Row],[语文]]="","",SUMPRODUCT((表成绩单[考试日期]=表成绩单[[#This Row],[考试日期]])*(表成绩单[语文]&lt;9E+307)*(表成绩单[语文]&gt;表成绩单[[#This Row],[语文]]))+1)</f>
        <v>104</v>
      </c>
      <c r="Q61" s="29" cm="1">
        <f t="array" ref="Q61">IF(表成绩单[[#This Row],[数学]]="","",SUMPRODUCT((表成绩单[考试日期]=表成绩单[[#This Row],[考试日期]])*(表成绩单[数学]&lt;9E+307)*(表成绩单[数学]&gt;表成绩单[[#This Row],[数学]]))+1)</f>
        <v>50</v>
      </c>
      <c r="R61" s="29" cm="1">
        <f t="array" ref="R61">IF(表成绩单[[#This Row],[英语]]="","",SUMPRODUCT((表成绩单[考试日期]=表成绩单[[#This Row],[考试日期]])*(表成绩单[英语]&lt;9E+307)*(表成绩单[英语]&gt;表成绩单[[#This Row],[英语]]))+1)</f>
        <v>195</v>
      </c>
      <c r="S61" s="29" cm="1">
        <f t="array" ref="S61">IF(表成绩单[[#This Row],[物理]]="","",SUMPRODUCT((表成绩单[考试日期]=表成绩单[[#This Row],[考试日期]])*(表成绩单[物理]&lt;9E+307)*(表成绩单[物理]&gt;表成绩单[[#This Row],[物理]]))+1)</f>
        <v>18</v>
      </c>
      <c r="T61" s="29" cm="1">
        <f t="array" ref="T61">IF(表成绩单[[#This Row],[化学]]="","",SUMPRODUCT((表成绩单[考试日期]=表成绩单[[#This Row],[考试日期]])*(表成绩单[化学]&lt;9E+307)*(表成绩单[化学]&gt;表成绩单[[#This Row],[化学]]))+1)</f>
        <v>200</v>
      </c>
      <c r="U61" s="29" cm="1">
        <f t="array" ref="U61">IF(表成绩单[[#This Row],[政治]]="","",SUMPRODUCT((表成绩单[考试日期]=表成绩单[[#This Row],[考试日期]])*(表成绩单[政治]&lt;9E+307)*(表成绩单[政治]&gt;表成绩单[[#This Row],[政治]]))+1)</f>
        <v>121</v>
      </c>
      <c r="V61" s="29" cm="1">
        <f t="array" ref="V61">IF(表成绩单[[#This Row],[历史]]="","",SUMPRODUCT((表成绩单[考试日期]=表成绩单[[#This Row],[考试日期]])*(表成绩单[历史]&lt;9E+307)*(表成绩单[历史]&gt;表成绩单[[#This Row],[历史]]))+1)</f>
        <v>63</v>
      </c>
      <c r="W61" s="29" cm="1">
        <f t="array" ref="W61">IF(表成绩单[[#This Row],[总分]]="","",SUMPRODUCT((表成绩单[考试日期]=表成绩单[[#This Row],[考试日期]])*(表成绩单[总分]&lt;9E+307)*(表成绩单[总分]&gt;表成绩单[[#This Row],[总分]]))+1)</f>
        <v>56</v>
      </c>
    </row>
    <row r="62" ht="28" customHeight="1" spans="4:23">
      <c r="D62" s="31">
        <v>45975</v>
      </c>
      <c r="E62" s="29">
        <v>19176899</v>
      </c>
      <c r="F62" s="29" t="s">
        <v>71</v>
      </c>
      <c r="G62" s="29" t="s">
        <v>136</v>
      </c>
      <c r="H62" s="29">
        <v>102</v>
      </c>
      <c r="I62" s="29">
        <v>119</v>
      </c>
      <c r="J62" s="29">
        <v>83</v>
      </c>
      <c r="K62" s="29">
        <v>88</v>
      </c>
      <c r="L62" s="29">
        <v>77</v>
      </c>
      <c r="M62" s="29">
        <v>84</v>
      </c>
      <c r="N62" s="29">
        <v>80</v>
      </c>
      <c r="O62" s="32">
        <v>633</v>
      </c>
      <c r="P62" s="29" cm="1">
        <f t="array" ref="P62">IF(表成绩单[[#This Row],[语文]]="","",SUMPRODUCT((表成绩单[考试日期]=表成绩单[[#This Row],[考试日期]])*(表成绩单[语文]&lt;9E+307)*(表成绩单[语文]&gt;表成绩单[[#This Row],[语文]]))+1)</f>
        <v>154</v>
      </c>
      <c r="Q62" s="29" cm="1">
        <f t="array" ref="Q62">IF(表成绩单[[#This Row],[数学]]="","",SUMPRODUCT((表成绩单[考试日期]=表成绩单[[#This Row],[考试日期]])*(表成绩单[数学]&lt;9E+307)*(表成绩单[数学]&gt;表成绩单[[#This Row],[数学]]))+1)</f>
        <v>11</v>
      </c>
      <c r="R62" s="29" cm="1">
        <f t="array" ref="R62">IF(表成绩单[[#This Row],[英语]]="","",SUMPRODUCT((表成绩单[考试日期]=表成绩单[[#This Row],[考试日期]])*(表成绩单[英语]&lt;9E+307)*(表成绩单[英语]&gt;表成绩单[[#This Row],[英语]]))+1)</f>
        <v>146</v>
      </c>
      <c r="S62" s="29" cm="1">
        <f t="array" ref="S62">IF(表成绩单[[#This Row],[物理]]="","",SUMPRODUCT((表成绩单[考试日期]=表成绩单[[#This Row],[考试日期]])*(表成绩单[物理]&lt;9E+307)*(表成绩单[物理]&gt;表成绩单[[#This Row],[物理]]))+1)</f>
        <v>54</v>
      </c>
      <c r="T62" s="29" cm="1">
        <f t="array" ref="T62">IF(表成绩单[[#This Row],[化学]]="","",SUMPRODUCT((表成绩单[考试日期]=表成绩单[[#This Row],[考试日期]])*(表成绩单[化学]&lt;9E+307)*(表成绩单[化学]&gt;表成绩单[[#This Row],[化学]]))+1)</f>
        <v>239</v>
      </c>
      <c r="U62" s="29" cm="1">
        <f t="array" ref="U62">IF(表成绩单[[#This Row],[政治]]="","",SUMPRODUCT((表成绩单[考试日期]=表成绩单[[#This Row],[考试日期]])*(表成绩单[政治]&lt;9E+307)*(表成绩单[政治]&gt;表成绩单[[#This Row],[政治]]))+1)</f>
        <v>83</v>
      </c>
      <c r="V62" s="29" cm="1">
        <f t="array" ref="V62">IF(表成绩单[[#This Row],[历史]]="","",SUMPRODUCT((表成绩单[考试日期]=表成绩单[[#This Row],[考试日期]])*(表成绩单[历史]&lt;9E+307)*(表成绩单[历史]&gt;表成绩单[[#This Row],[历史]]))+1)</f>
        <v>108</v>
      </c>
      <c r="W62" s="29" cm="1">
        <f t="array" ref="W62">IF(表成绩单[[#This Row],[总分]]="","",SUMPRODUCT((表成绩单[考试日期]=表成绩单[[#This Row],[考试日期]])*(表成绩单[总分]&lt;9E+307)*(表成绩单[总分]&gt;表成绩单[[#This Row],[总分]]))+1)</f>
        <v>56</v>
      </c>
    </row>
    <row r="63" ht="28" customHeight="1" spans="4:23">
      <c r="D63" s="31">
        <v>45975</v>
      </c>
      <c r="E63" s="29">
        <v>19177235</v>
      </c>
      <c r="F63" s="29" t="s">
        <v>70</v>
      </c>
      <c r="G63" s="29" t="s">
        <v>137</v>
      </c>
      <c r="H63" s="29">
        <v>102</v>
      </c>
      <c r="I63" s="29">
        <v>118</v>
      </c>
      <c r="J63" s="29">
        <v>84</v>
      </c>
      <c r="K63" s="29">
        <v>89</v>
      </c>
      <c r="L63" s="29">
        <v>79</v>
      </c>
      <c r="M63" s="29">
        <v>82</v>
      </c>
      <c r="N63" s="29">
        <v>79</v>
      </c>
      <c r="O63" s="32">
        <v>633</v>
      </c>
      <c r="P63" s="29" cm="1">
        <f t="array" ref="P63">IF(表成绩单[[#This Row],[语文]]="","",SUMPRODUCT((表成绩单[考试日期]=表成绩单[[#This Row],[考试日期]])*(表成绩单[语文]&lt;9E+307)*(表成绩单[语文]&gt;表成绩单[[#This Row],[语文]]))+1)</f>
        <v>154</v>
      </c>
      <c r="Q63" s="29" cm="1">
        <f t="array" ref="Q63">IF(表成绩单[[#This Row],[数学]]="","",SUMPRODUCT((表成绩单[考试日期]=表成绩单[[#This Row],[考试日期]])*(表成绩单[数学]&lt;9E+307)*(表成绩单[数学]&gt;表成绩单[[#This Row],[数学]]))+1)</f>
        <v>22</v>
      </c>
      <c r="R63" s="29" cm="1">
        <f t="array" ref="R63">IF(表成绩单[[#This Row],[英语]]="","",SUMPRODUCT((表成绩单[考试日期]=表成绩单[[#This Row],[考试日期]])*(表成绩单[英语]&lt;9E+307)*(表成绩单[英语]&gt;表成绩单[[#This Row],[英语]]))+1)</f>
        <v>102</v>
      </c>
      <c r="S63" s="29" cm="1">
        <f t="array" ref="S63">IF(表成绩单[[#This Row],[物理]]="","",SUMPRODUCT((表成绩单[考试日期]=表成绩单[[#This Row],[考试日期]])*(表成绩单[物理]&lt;9E+307)*(表成绩单[物理]&gt;表成绩单[[#This Row],[物理]]))+1)</f>
        <v>18</v>
      </c>
      <c r="T63" s="29" cm="1">
        <f t="array" ref="T63">IF(表成绩单[[#This Row],[化学]]="","",SUMPRODUCT((表成绩单[考试日期]=表成绩单[[#This Row],[考试日期]])*(表成绩单[化学]&lt;9E+307)*(表成绩单[化学]&gt;表成绩单[[#This Row],[化学]]))+1)</f>
        <v>166</v>
      </c>
      <c r="U63" s="29" cm="1">
        <f t="array" ref="U63">IF(表成绩单[[#This Row],[政治]]="","",SUMPRODUCT((表成绩单[考试日期]=表成绩单[[#This Row],[考试日期]])*(表成绩单[政治]&lt;9E+307)*(表成绩单[政治]&gt;表成绩单[[#This Row],[政治]]))+1)</f>
        <v>157</v>
      </c>
      <c r="V63" s="29" cm="1">
        <f t="array" ref="V63">IF(表成绩单[[#This Row],[历史]]="","",SUMPRODUCT((表成绩单[考试日期]=表成绩单[[#This Row],[考试日期]])*(表成绩单[历史]&lt;9E+307)*(表成绩单[历史]&gt;表成绩单[[#This Row],[历史]]))+1)</f>
        <v>144</v>
      </c>
      <c r="W63" s="29" cm="1">
        <f t="array" ref="W63">IF(表成绩单[[#This Row],[总分]]="","",SUMPRODUCT((表成绩单[考试日期]=表成绩单[[#This Row],[考试日期]])*(表成绩单[总分]&lt;9E+307)*(表成绩单[总分]&gt;表成绩单[[#This Row],[总分]]))+1)</f>
        <v>56</v>
      </c>
    </row>
    <row r="64" ht="28" customHeight="1" spans="4:23">
      <c r="D64" s="31">
        <v>45975</v>
      </c>
      <c r="E64" s="29">
        <v>19175388</v>
      </c>
      <c r="F64" s="29" t="s">
        <v>74</v>
      </c>
      <c r="G64" s="29" t="s">
        <v>138</v>
      </c>
      <c r="H64" s="29">
        <v>105</v>
      </c>
      <c r="I64" s="29">
        <v>117</v>
      </c>
      <c r="J64" s="29">
        <v>83.5</v>
      </c>
      <c r="K64" s="29">
        <v>80</v>
      </c>
      <c r="L64" s="29">
        <v>83</v>
      </c>
      <c r="M64" s="29">
        <v>83</v>
      </c>
      <c r="N64" s="29">
        <v>81</v>
      </c>
      <c r="O64" s="32">
        <v>632.5</v>
      </c>
      <c r="P64" s="29" cm="1">
        <f t="array" ref="P64">IF(表成绩单[[#This Row],[语文]]="","",SUMPRODUCT((表成绩单[考试日期]=表成绩单[[#This Row],[考试日期]])*(表成绩单[语文]&lt;9E+307)*(表成绩单[语文]&gt;表成绩单[[#This Row],[语文]]))+1)</f>
        <v>80</v>
      </c>
      <c r="Q64" s="29" cm="1">
        <f t="array" ref="Q64">IF(表成绩单[[#This Row],[数学]]="","",SUMPRODUCT((表成绩单[考试日期]=表成绩单[[#This Row],[考试日期]])*(表成绩单[数学]&lt;9E+307)*(表成绩单[数学]&gt;表成绩单[[#This Row],[数学]]))+1)</f>
        <v>37</v>
      </c>
      <c r="R64" s="29" cm="1">
        <f t="array" ref="R64">IF(表成绩单[[#This Row],[英语]]="","",SUMPRODUCT((表成绩单[考试日期]=表成绩单[[#This Row],[考试日期]])*(表成绩单[英语]&lt;9E+307)*(表成绩单[英语]&gt;表成绩单[[#This Row],[英语]]))+1)</f>
        <v>128</v>
      </c>
      <c r="S64" s="29" cm="1">
        <f t="array" ref="S64">IF(表成绩单[[#This Row],[物理]]="","",SUMPRODUCT((表成绩单[考试日期]=表成绩单[[#This Row],[考试日期]])*(表成绩单[物理]&lt;9E+307)*(表成绩单[物理]&gt;表成绩单[[#This Row],[物理]]))+1)</f>
        <v>507</v>
      </c>
      <c r="T64" s="29" cm="1">
        <f t="array" ref="T64">IF(表成绩单[[#This Row],[化学]]="","",SUMPRODUCT((表成绩单[考试日期]=表成绩单[[#This Row],[考试日期]])*(表成绩单[化学]&lt;9E+307)*(表成绩单[化学]&gt;表成绩单[[#This Row],[化学]]))+1)</f>
        <v>49</v>
      </c>
      <c r="U64" s="29" cm="1">
        <f t="array" ref="U64">IF(表成绩单[[#This Row],[政治]]="","",SUMPRODUCT((表成绩单[考试日期]=表成绩单[[#This Row],[考试日期]])*(表成绩单[政治]&lt;9E+307)*(表成绩单[政治]&gt;表成绩单[[#This Row],[政治]]))+1)</f>
        <v>121</v>
      </c>
      <c r="V64" s="29" cm="1">
        <f t="array" ref="V64">IF(表成绩单[[#This Row],[历史]]="","",SUMPRODUCT((表成绩单[考试日期]=表成绩单[[#This Row],[考试日期]])*(表成绩单[历史]&lt;9E+307)*(表成绩单[历史]&gt;表成绩单[[#This Row],[历史]]))+1)</f>
        <v>63</v>
      </c>
      <c r="W64" s="29" cm="1">
        <f t="array" ref="W64">IF(表成绩单[[#This Row],[总分]]="","",SUMPRODUCT((表成绩单[考试日期]=表成绩单[[#This Row],[考试日期]])*(表成绩单[总分]&lt;9E+307)*(表成绩单[总分]&gt;表成绩单[[#This Row],[总分]]))+1)</f>
        <v>60</v>
      </c>
    </row>
    <row r="65" ht="28" customHeight="1" spans="4:23">
      <c r="D65" s="31">
        <v>45975</v>
      </c>
      <c r="E65" s="29">
        <v>19175643</v>
      </c>
      <c r="F65" s="29" t="s">
        <v>66</v>
      </c>
      <c r="G65" s="29" t="s">
        <v>139</v>
      </c>
      <c r="H65" s="29">
        <v>106</v>
      </c>
      <c r="I65" s="29">
        <v>110</v>
      </c>
      <c r="J65" s="29">
        <v>85.5</v>
      </c>
      <c r="K65" s="29">
        <v>89</v>
      </c>
      <c r="L65" s="29">
        <v>76</v>
      </c>
      <c r="M65" s="29">
        <v>86</v>
      </c>
      <c r="N65" s="29">
        <v>80</v>
      </c>
      <c r="O65" s="32">
        <v>632.5</v>
      </c>
      <c r="P65" s="29" cm="1">
        <f t="array" ref="P65">IF(表成绩单[[#This Row],[语文]]="","",SUMPRODUCT((表成绩单[考试日期]=表成绩单[[#This Row],[考试日期]])*(表成绩单[语文]&lt;9E+307)*(表成绩单[语文]&gt;表成绩单[[#This Row],[语文]]))+1)</f>
        <v>62</v>
      </c>
      <c r="Q65" s="29" cm="1">
        <f t="array" ref="Q65">IF(表成绩单[[#This Row],[数学]]="","",SUMPRODUCT((表成绩单[考试日期]=表成绩单[[#This Row],[考试日期]])*(表成绩单[数学]&lt;9E+307)*(表成绩单[数学]&gt;表成绩单[[#This Row],[数学]]))+1)</f>
        <v>154</v>
      </c>
      <c r="R65" s="29" cm="1">
        <f t="array" ref="R65">IF(表成绩单[[#This Row],[英语]]="","",SUMPRODUCT((表成绩单[考试日期]=表成绩单[[#This Row],[考试日期]])*(表成绩单[英语]&lt;9E+307)*(表成绩单[英语]&gt;表成绩单[[#This Row],[英语]]))+1)</f>
        <v>54</v>
      </c>
      <c r="S65" s="29" cm="1">
        <f t="array" ref="S65">IF(表成绩单[[#This Row],[物理]]="","",SUMPRODUCT((表成绩单[考试日期]=表成绩单[[#This Row],[考试日期]])*(表成绩单[物理]&lt;9E+307)*(表成绩单[物理]&gt;表成绩单[[#This Row],[物理]]))+1)</f>
        <v>18</v>
      </c>
      <c r="T65" s="29" cm="1">
        <f t="array" ref="T65">IF(表成绩单[[#This Row],[化学]]="","",SUMPRODUCT((表成绩单[考试日期]=表成绩单[[#This Row],[考试日期]])*(表成绩单[化学]&lt;9E+307)*(表成绩单[化学]&gt;表成绩单[[#This Row],[化学]]))+1)</f>
        <v>268</v>
      </c>
      <c r="U65" s="29" cm="1">
        <f t="array" ref="U65">IF(表成绩单[[#This Row],[政治]]="","",SUMPRODUCT((表成绩单[考试日期]=表成绩单[[#This Row],[考试日期]])*(表成绩单[政治]&lt;9E+307)*(表成绩单[政治]&gt;表成绩单[[#This Row],[政治]]))+1)</f>
        <v>26</v>
      </c>
      <c r="V65" s="29" cm="1">
        <f t="array" ref="V65">IF(表成绩单[[#This Row],[历史]]="","",SUMPRODUCT((表成绩单[考试日期]=表成绩单[[#This Row],[考试日期]])*(表成绩单[历史]&lt;9E+307)*(表成绩单[历史]&gt;表成绩单[[#This Row],[历史]]))+1)</f>
        <v>108</v>
      </c>
      <c r="W65" s="29" cm="1">
        <f t="array" ref="W65">IF(表成绩单[[#This Row],[总分]]="","",SUMPRODUCT((表成绩单[考试日期]=表成绩单[[#This Row],[考试日期]])*(表成绩单[总分]&lt;9E+307)*(表成绩单[总分]&gt;表成绩单[[#This Row],[总分]]))+1)</f>
        <v>60</v>
      </c>
    </row>
    <row r="66" ht="28" customHeight="1" spans="4:23">
      <c r="D66" s="31">
        <v>45975</v>
      </c>
      <c r="E66" s="29">
        <v>19175684</v>
      </c>
      <c r="F66" s="29" t="s">
        <v>72</v>
      </c>
      <c r="G66" s="29" t="s">
        <v>140</v>
      </c>
      <c r="H66" s="29">
        <v>101</v>
      </c>
      <c r="I66" s="29">
        <v>116</v>
      </c>
      <c r="J66" s="29">
        <v>82.5</v>
      </c>
      <c r="K66" s="29">
        <v>88</v>
      </c>
      <c r="L66" s="29">
        <v>82</v>
      </c>
      <c r="M66" s="29">
        <v>84</v>
      </c>
      <c r="N66" s="29">
        <v>79</v>
      </c>
      <c r="O66" s="32">
        <v>632.5</v>
      </c>
      <c r="P66" s="29" cm="1">
        <f t="array" ref="P66">IF(表成绩单[[#This Row],[语文]]="","",SUMPRODUCT((表成绩单[考试日期]=表成绩单[[#This Row],[考试日期]])*(表成绩单[语文]&lt;9E+307)*(表成绩单[语文]&gt;表成绩单[[#This Row],[语文]]))+1)</f>
        <v>190</v>
      </c>
      <c r="Q66" s="29" cm="1">
        <f t="array" ref="Q66">IF(表成绩单[[#This Row],[数学]]="","",SUMPRODUCT((表成绩单[考试日期]=表成绩单[[#This Row],[考试日期]])*(表成绩单[数学]&lt;9E+307)*(表成绩单[数学]&gt;表成绩单[[#This Row],[数学]]))+1)</f>
        <v>50</v>
      </c>
      <c r="R66" s="29" cm="1">
        <f t="array" ref="R66">IF(表成绩单[[#This Row],[英语]]="","",SUMPRODUCT((表成绩单[考试日期]=表成绩单[[#This Row],[考试日期]])*(表成绩单[英语]&lt;9E+307)*(表成绩单[英语]&gt;表成绩单[[#This Row],[英语]]))+1)</f>
        <v>170</v>
      </c>
      <c r="S66" s="29" cm="1">
        <f t="array" ref="S66">IF(表成绩单[[#This Row],[物理]]="","",SUMPRODUCT((表成绩单[考试日期]=表成绩单[[#This Row],[考试日期]])*(表成绩单[物理]&lt;9E+307)*(表成绩单[物理]&gt;表成绩单[[#This Row],[物理]]))+1)</f>
        <v>54</v>
      </c>
      <c r="T66" s="29" cm="1">
        <f t="array" ref="T66">IF(表成绩单[[#This Row],[化学]]="","",SUMPRODUCT((表成绩单[考试日期]=表成绩单[[#This Row],[考试日期]])*(表成绩单[化学]&lt;9E+307)*(表成绩单[化学]&gt;表成绩单[[#This Row],[化学]]))+1)</f>
        <v>71</v>
      </c>
      <c r="U66" s="29" cm="1">
        <f t="array" ref="U66">IF(表成绩单[[#This Row],[政治]]="","",SUMPRODUCT((表成绩单[考试日期]=表成绩单[[#This Row],[考试日期]])*(表成绩单[政治]&lt;9E+307)*(表成绩单[政治]&gt;表成绩单[[#This Row],[政治]]))+1)</f>
        <v>83</v>
      </c>
      <c r="V66" s="29" cm="1">
        <f t="array" ref="V66">IF(表成绩单[[#This Row],[历史]]="","",SUMPRODUCT((表成绩单[考试日期]=表成绩单[[#This Row],[考试日期]])*(表成绩单[历史]&lt;9E+307)*(表成绩单[历史]&gt;表成绩单[[#This Row],[历史]]))+1)</f>
        <v>144</v>
      </c>
      <c r="W66" s="29" cm="1">
        <f t="array" ref="W66">IF(表成绩单[[#This Row],[总分]]="","",SUMPRODUCT((表成绩单[考试日期]=表成绩单[[#This Row],[考试日期]])*(表成绩单[总分]&lt;9E+307)*(表成绩单[总分]&gt;表成绩单[[#This Row],[总分]]))+1)</f>
        <v>60</v>
      </c>
    </row>
    <row r="67" ht="28" customHeight="1" spans="4:23">
      <c r="D67" s="31">
        <v>45975</v>
      </c>
      <c r="E67" s="29">
        <v>19171079</v>
      </c>
      <c r="F67" s="29" t="s">
        <v>67</v>
      </c>
      <c r="G67" s="29" t="s">
        <v>141</v>
      </c>
      <c r="H67" s="29">
        <v>99</v>
      </c>
      <c r="I67" s="29">
        <v>119</v>
      </c>
      <c r="J67" s="29">
        <v>85</v>
      </c>
      <c r="K67" s="29">
        <v>84</v>
      </c>
      <c r="L67" s="29">
        <v>75</v>
      </c>
      <c r="M67" s="29">
        <v>86</v>
      </c>
      <c r="N67" s="29">
        <v>84</v>
      </c>
      <c r="O67" s="32">
        <v>632</v>
      </c>
      <c r="P67" s="29" cm="1">
        <f t="array" ref="P67">IF(表成绩单[[#This Row],[语文]]="","",SUMPRODUCT((表成绩单[考试日期]=表成绩单[[#This Row],[考试日期]])*(表成绩单[语文]&lt;9E+307)*(表成绩单[语文]&gt;表成绩单[[#This Row],[语文]]))+1)</f>
        <v>264</v>
      </c>
      <c r="Q67" s="29" cm="1">
        <f t="array" ref="Q67">IF(表成绩单[[#This Row],[数学]]="","",SUMPRODUCT((表成绩单[考试日期]=表成绩单[[#This Row],[考试日期]])*(表成绩单[数学]&lt;9E+307)*(表成绩单[数学]&gt;表成绩单[[#This Row],[数学]]))+1)</f>
        <v>11</v>
      </c>
      <c r="R67" s="29" cm="1">
        <f t="array" ref="R67">IF(表成绩单[[#This Row],[英语]]="","",SUMPRODUCT((表成绩单[考试日期]=表成绩单[[#This Row],[考试日期]])*(表成绩单[英语]&lt;9E+307)*(表成绩单[英语]&gt;表成绩单[[#This Row],[英语]]))+1)</f>
        <v>69</v>
      </c>
      <c r="S67" s="29" cm="1">
        <f t="array" ref="S67">IF(表成绩单[[#This Row],[物理]]="","",SUMPRODUCT((表成绩单[考试日期]=表成绩单[[#This Row],[考试日期]])*(表成绩单[物理]&lt;9E+307)*(表成绩单[物理]&gt;表成绩单[[#This Row],[物理]]))+1)</f>
        <v>344</v>
      </c>
      <c r="T67" s="29" cm="1">
        <f t="array" ref="T67">IF(表成绩单[[#This Row],[化学]]="","",SUMPRODUCT((表成绩单[考试日期]=表成绩单[[#This Row],[考试日期]])*(表成绩单[化学]&lt;9E+307)*(表成绩单[化学]&gt;表成绩单[[#This Row],[化学]]))+1)</f>
        <v>310</v>
      </c>
      <c r="U67" s="29" cm="1">
        <f t="array" ref="U67">IF(表成绩单[[#This Row],[政治]]="","",SUMPRODUCT((表成绩单[考试日期]=表成绩单[[#This Row],[考试日期]])*(表成绩单[政治]&lt;9E+307)*(表成绩单[政治]&gt;表成绩单[[#This Row],[政治]]))+1)</f>
        <v>26</v>
      </c>
      <c r="V67" s="29" cm="1">
        <f t="array" ref="V67">IF(表成绩单[[#This Row],[历史]]="","",SUMPRODUCT((表成绩单[考试日期]=表成绩单[[#This Row],[考试日期]])*(表成绩单[历史]&lt;9E+307)*(表成绩单[历史]&gt;表成绩单[[#This Row],[历史]]))+1)</f>
        <v>8</v>
      </c>
      <c r="W67" s="29" cm="1">
        <f t="array" ref="W67">IF(表成绩单[[#This Row],[总分]]="","",SUMPRODUCT((表成绩单[考试日期]=表成绩单[[#This Row],[考试日期]])*(表成绩单[总分]&lt;9E+307)*(表成绩单[总分]&gt;表成绩单[[#This Row],[总分]]))+1)</f>
        <v>63</v>
      </c>
    </row>
    <row r="68" ht="28" customHeight="1" spans="4:23">
      <c r="D68" s="31">
        <v>45975</v>
      </c>
      <c r="E68" s="29">
        <v>19171094</v>
      </c>
      <c r="F68" s="29" t="s">
        <v>67</v>
      </c>
      <c r="G68" s="29" t="s">
        <v>142</v>
      </c>
      <c r="H68" s="29">
        <v>103</v>
      </c>
      <c r="I68" s="29">
        <v>115</v>
      </c>
      <c r="J68" s="29">
        <v>83</v>
      </c>
      <c r="K68" s="29">
        <v>88</v>
      </c>
      <c r="L68" s="29">
        <v>80</v>
      </c>
      <c r="M68" s="29">
        <v>84</v>
      </c>
      <c r="N68" s="29">
        <v>79</v>
      </c>
      <c r="O68" s="32">
        <v>632</v>
      </c>
      <c r="P68" s="29" cm="1">
        <f t="array" ref="P68">IF(表成绩单[[#This Row],[语文]]="","",SUMPRODUCT((表成绩单[考试日期]=表成绩单[[#This Row],[考试日期]])*(表成绩单[语文]&lt;9E+307)*(表成绩单[语文]&gt;表成绩单[[#This Row],[语文]]))+1)</f>
        <v>126</v>
      </c>
      <c r="Q68" s="29" cm="1">
        <f t="array" ref="Q68">IF(表成绩单[[#This Row],[数学]]="","",SUMPRODUCT((表成绩单[考试日期]=表成绩单[[#This Row],[考试日期]])*(表成绩单[数学]&lt;9E+307)*(表成绩单[数学]&gt;表成绩单[[#This Row],[数学]]))+1)</f>
        <v>63</v>
      </c>
      <c r="R68" s="29" cm="1">
        <f t="array" ref="R68">IF(表成绩单[[#This Row],[英语]]="","",SUMPRODUCT((表成绩单[考试日期]=表成绩单[[#This Row],[考试日期]])*(表成绩单[英语]&lt;9E+307)*(表成绩单[英语]&gt;表成绩单[[#This Row],[英语]]))+1)</f>
        <v>146</v>
      </c>
      <c r="S68" s="29" cm="1">
        <f t="array" ref="S68">IF(表成绩单[[#This Row],[物理]]="","",SUMPRODUCT((表成绩单[考试日期]=表成绩单[[#This Row],[考试日期]])*(表成绩单[物理]&lt;9E+307)*(表成绩单[物理]&gt;表成绩单[[#This Row],[物理]]))+1)</f>
        <v>54</v>
      </c>
      <c r="T68" s="29" cm="1">
        <f t="array" ref="T68">IF(表成绩单[[#This Row],[化学]]="","",SUMPRODUCT((表成绩单[考试日期]=表成绩单[[#This Row],[考试日期]])*(表成绩单[化学]&lt;9E+307)*(表成绩单[化学]&gt;表成绩单[[#This Row],[化学]]))+1)</f>
        <v>129</v>
      </c>
      <c r="U68" s="29" cm="1">
        <f t="array" ref="U68">IF(表成绩单[[#This Row],[政治]]="","",SUMPRODUCT((表成绩单[考试日期]=表成绩单[[#This Row],[考试日期]])*(表成绩单[政治]&lt;9E+307)*(表成绩单[政治]&gt;表成绩单[[#This Row],[政治]]))+1)</f>
        <v>83</v>
      </c>
      <c r="V68" s="29" cm="1">
        <f t="array" ref="V68">IF(表成绩单[[#This Row],[历史]]="","",SUMPRODUCT((表成绩单[考试日期]=表成绩单[[#This Row],[考试日期]])*(表成绩单[历史]&lt;9E+307)*(表成绩单[历史]&gt;表成绩单[[#This Row],[历史]]))+1)</f>
        <v>144</v>
      </c>
      <c r="W68" s="29" cm="1">
        <f t="array" ref="W68">IF(表成绩单[[#This Row],[总分]]="","",SUMPRODUCT((表成绩单[考试日期]=表成绩单[[#This Row],[考试日期]])*(表成绩单[总分]&lt;9E+307)*(表成绩单[总分]&gt;表成绩单[[#This Row],[总分]]))+1)</f>
        <v>63</v>
      </c>
    </row>
    <row r="69" ht="28" customHeight="1" spans="4:23">
      <c r="D69" s="31">
        <v>45975</v>
      </c>
      <c r="E69" s="29">
        <v>19175646</v>
      </c>
      <c r="F69" s="29" t="s">
        <v>66</v>
      </c>
      <c r="G69" s="29" t="s">
        <v>143</v>
      </c>
      <c r="H69" s="29">
        <v>107</v>
      </c>
      <c r="I69" s="29">
        <v>111</v>
      </c>
      <c r="J69" s="29">
        <v>82</v>
      </c>
      <c r="K69" s="29">
        <v>86</v>
      </c>
      <c r="L69" s="29">
        <v>87</v>
      </c>
      <c r="M69" s="29">
        <v>78</v>
      </c>
      <c r="N69" s="29">
        <v>81</v>
      </c>
      <c r="O69" s="32">
        <v>632</v>
      </c>
      <c r="P69" s="29" cm="1">
        <f t="array" ref="P69">IF(表成绩单[[#This Row],[语文]]="","",SUMPRODUCT((表成绩单[考试日期]=表成绩单[[#This Row],[考试日期]])*(表成绩单[语文]&lt;9E+307)*(表成绩单[语文]&gt;表成绩单[[#This Row],[语文]]))+1)</f>
        <v>45</v>
      </c>
      <c r="Q69" s="29" cm="1">
        <f t="array" ref="Q69">IF(表成绩单[[#This Row],[数学]]="","",SUMPRODUCT((表成绩单[考试日期]=表成绩单[[#This Row],[考试日期]])*(表成绩单[数学]&lt;9E+307)*(表成绩单[数学]&gt;表成绩单[[#This Row],[数学]]))+1)</f>
        <v>134</v>
      </c>
      <c r="R69" s="29" cm="1">
        <f t="array" ref="R69">IF(表成绩单[[#This Row],[英语]]="","",SUMPRODUCT((表成绩单[考试日期]=表成绩单[[#This Row],[考试日期]])*(表成绩单[英语]&lt;9E+307)*(表成绩单[英语]&gt;表成绩单[[#This Row],[英语]]))+1)</f>
        <v>195</v>
      </c>
      <c r="S69" s="29" cm="1">
        <f t="array" ref="S69">IF(表成绩单[[#This Row],[物理]]="","",SUMPRODUCT((表成绩单[考试日期]=表成绩单[[#This Row],[考试日期]])*(表成绩单[物理]&lt;9E+307)*(表成绩单[物理]&gt;表成绩单[[#This Row],[物理]]))+1)</f>
        <v>187</v>
      </c>
      <c r="T69" s="29" cm="1">
        <f t="array" ref="T69">IF(表成绩单[[#This Row],[化学]]="","",SUMPRODUCT((表成绩单[考试日期]=表成绩单[[#This Row],[考试日期]])*(表成绩单[化学]&lt;9E+307)*(表成绩单[化学]&gt;表成绩单[[#This Row],[化学]]))+1)</f>
        <v>3</v>
      </c>
      <c r="U69" s="29" cm="1">
        <f t="array" ref="U69">IF(表成绩单[[#This Row],[政治]]="","",SUMPRODUCT((表成绩单[考试日期]=表成绩单[[#This Row],[考试日期]])*(表成绩单[政治]&lt;9E+307)*(表成绩单[政治]&gt;表成绩单[[#This Row],[政治]]))+1)</f>
        <v>272</v>
      </c>
      <c r="V69" s="29" cm="1">
        <f t="array" ref="V69">IF(表成绩单[[#This Row],[历史]]="","",SUMPRODUCT((表成绩单[考试日期]=表成绩单[[#This Row],[考试日期]])*(表成绩单[历史]&lt;9E+307)*(表成绩单[历史]&gt;表成绩单[[#This Row],[历史]]))+1)</f>
        <v>63</v>
      </c>
      <c r="W69" s="29" cm="1">
        <f t="array" ref="W69">IF(表成绩单[[#This Row],[总分]]="","",SUMPRODUCT((表成绩单[考试日期]=表成绩单[[#This Row],[考试日期]])*(表成绩单[总分]&lt;9E+307)*(表成绩单[总分]&gt;表成绩单[[#This Row],[总分]]))+1)</f>
        <v>63</v>
      </c>
    </row>
    <row r="70" ht="28" customHeight="1" spans="4:23">
      <c r="D70" s="31">
        <v>45975</v>
      </c>
      <c r="E70" s="29">
        <v>19173520</v>
      </c>
      <c r="F70" s="29" t="s">
        <v>1</v>
      </c>
      <c r="G70" s="29" t="s">
        <v>144</v>
      </c>
      <c r="H70" s="29">
        <v>105</v>
      </c>
      <c r="I70" s="29">
        <v>110</v>
      </c>
      <c r="J70" s="29">
        <v>83</v>
      </c>
      <c r="K70" s="29">
        <v>88</v>
      </c>
      <c r="L70" s="29">
        <v>83</v>
      </c>
      <c r="M70" s="29">
        <v>83</v>
      </c>
      <c r="N70" s="29">
        <v>79</v>
      </c>
      <c r="O70" s="32">
        <v>631</v>
      </c>
      <c r="P70" s="29" cm="1">
        <f t="array" ref="P70">IF(表成绩单[[#This Row],[语文]]="","",SUMPRODUCT((表成绩单[考试日期]=表成绩单[[#This Row],[考试日期]])*(表成绩单[语文]&lt;9E+307)*(表成绩单[语文]&gt;表成绩单[[#This Row],[语文]]))+1)</f>
        <v>80</v>
      </c>
      <c r="Q70" s="29" cm="1">
        <f t="array" ref="Q70">IF(表成绩单[[#This Row],[数学]]="","",SUMPRODUCT((表成绩单[考试日期]=表成绩单[[#This Row],[考试日期]])*(表成绩单[数学]&lt;9E+307)*(表成绩单[数学]&gt;表成绩单[[#This Row],[数学]]))+1)</f>
        <v>154</v>
      </c>
      <c r="R70" s="29" cm="1">
        <f t="array" ref="R70">IF(表成绩单[[#This Row],[英语]]="","",SUMPRODUCT((表成绩单[考试日期]=表成绩单[[#This Row],[考试日期]])*(表成绩单[英语]&lt;9E+307)*(表成绩单[英语]&gt;表成绩单[[#This Row],[英语]]))+1)</f>
        <v>146</v>
      </c>
      <c r="S70" s="29" cm="1">
        <f t="array" ref="S70">IF(表成绩单[[#This Row],[物理]]="","",SUMPRODUCT((表成绩单[考试日期]=表成绩单[[#This Row],[考试日期]])*(表成绩单[物理]&lt;9E+307)*(表成绩单[物理]&gt;表成绩单[[#This Row],[物理]]))+1)</f>
        <v>54</v>
      </c>
      <c r="T70" s="29" cm="1">
        <f t="array" ref="T70">IF(表成绩单[[#This Row],[化学]]="","",SUMPRODUCT((表成绩单[考试日期]=表成绩单[[#This Row],[考试日期]])*(表成绩单[化学]&lt;9E+307)*(表成绩单[化学]&gt;表成绩单[[#This Row],[化学]]))+1)</f>
        <v>49</v>
      </c>
      <c r="U70" s="29" cm="1">
        <f t="array" ref="U70">IF(表成绩单[[#This Row],[政治]]="","",SUMPRODUCT((表成绩单[考试日期]=表成绩单[[#This Row],[考试日期]])*(表成绩单[政治]&lt;9E+307)*(表成绩单[政治]&gt;表成绩单[[#This Row],[政治]]))+1)</f>
        <v>121</v>
      </c>
      <c r="V70" s="29" cm="1">
        <f t="array" ref="V70">IF(表成绩单[[#This Row],[历史]]="","",SUMPRODUCT((表成绩单[考试日期]=表成绩单[[#This Row],[考试日期]])*(表成绩单[历史]&lt;9E+307)*(表成绩单[历史]&gt;表成绩单[[#This Row],[历史]]))+1)</f>
        <v>144</v>
      </c>
      <c r="W70" s="29" cm="1">
        <f t="array" ref="W70">IF(表成绩单[[#This Row],[总分]]="","",SUMPRODUCT((表成绩单[考试日期]=表成绩单[[#This Row],[考试日期]])*(表成绩单[总分]&lt;9E+307)*(表成绩单[总分]&gt;表成绩单[[#This Row],[总分]]))+1)</f>
        <v>66</v>
      </c>
    </row>
    <row r="71" ht="28" customHeight="1" spans="4:23">
      <c r="D71" s="31">
        <v>45975</v>
      </c>
      <c r="E71" s="29">
        <v>19173527</v>
      </c>
      <c r="F71" s="29" t="s">
        <v>1</v>
      </c>
      <c r="G71" s="29" t="s">
        <v>145</v>
      </c>
      <c r="H71" s="29">
        <v>106</v>
      </c>
      <c r="I71" s="29">
        <v>118</v>
      </c>
      <c r="J71" s="29">
        <v>84</v>
      </c>
      <c r="K71" s="29">
        <v>87</v>
      </c>
      <c r="L71" s="29">
        <v>81</v>
      </c>
      <c r="M71" s="29">
        <v>75</v>
      </c>
      <c r="N71" s="29">
        <v>80</v>
      </c>
      <c r="O71" s="32">
        <v>631</v>
      </c>
      <c r="P71" s="29" cm="1">
        <f t="array" ref="P71">IF(表成绩单[[#This Row],[语文]]="","",SUMPRODUCT((表成绩单[考试日期]=表成绩单[[#This Row],[考试日期]])*(表成绩单[语文]&lt;9E+307)*(表成绩单[语文]&gt;表成绩单[[#This Row],[语文]]))+1)</f>
        <v>62</v>
      </c>
      <c r="Q71" s="29" cm="1">
        <f t="array" ref="Q71">IF(表成绩单[[#This Row],[数学]]="","",SUMPRODUCT((表成绩单[考试日期]=表成绩单[[#This Row],[考试日期]])*(表成绩单[数学]&lt;9E+307)*(表成绩单[数学]&gt;表成绩单[[#This Row],[数学]]))+1)</f>
        <v>22</v>
      </c>
      <c r="R71" s="29" cm="1">
        <f t="array" ref="R71">IF(表成绩单[[#This Row],[英语]]="","",SUMPRODUCT((表成绩单[考试日期]=表成绩单[[#This Row],[考试日期]])*(表成绩单[英语]&lt;9E+307)*(表成绩单[英语]&gt;表成绩单[[#This Row],[英语]]))+1)</f>
        <v>102</v>
      </c>
      <c r="S71" s="29" cm="1">
        <f t="array" ref="S71">IF(表成绩单[[#This Row],[物理]]="","",SUMPRODUCT((表成绩单[考试日期]=表成绩单[[#This Row],[考试日期]])*(表成绩单[物理]&lt;9E+307)*(表成绩单[物理]&gt;表成绩单[[#This Row],[物理]]))+1)</f>
        <v>127</v>
      </c>
      <c r="T71" s="29" cm="1">
        <f t="array" ref="T71">IF(表成绩单[[#This Row],[化学]]="","",SUMPRODUCT((表成绩单[考试日期]=表成绩单[[#This Row],[考试日期]])*(表成绩单[化学]&lt;9E+307)*(表成绩单[化学]&gt;表成绩单[[#This Row],[化学]]))+1)</f>
        <v>100</v>
      </c>
      <c r="U71" s="29" cm="1">
        <f t="array" ref="U71">IF(表成绩单[[#This Row],[政治]]="","",SUMPRODUCT((表成绩单[考试日期]=表成绩单[[#This Row],[考试日期]])*(表成绩单[政治]&lt;9E+307)*(表成绩单[政治]&gt;表成绩单[[#This Row],[政治]]))+1)</f>
        <v>363</v>
      </c>
      <c r="V71" s="29" cm="1">
        <f t="array" ref="V71">IF(表成绩单[[#This Row],[历史]]="","",SUMPRODUCT((表成绩单[考试日期]=表成绩单[[#This Row],[考试日期]])*(表成绩单[历史]&lt;9E+307)*(表成绩单[历史]&gt;表成绩单[[#This Row],[历史]]))+1)</f>
        <v>108</v>
      </c>
      <c r="W71" s="29" cm="1">
        <f t="array" ref="W71">IF(表成绩单[[#This Row],[总分]]="","",SUMPRODUCT((表成绩单[考试日期]=表成绩单[[#This Row],[考试日期]])*(表成绩单[总分]&lt;9E+307)*(表成绩单[总分]&gt;表成绩单[[#This Row],[总分]]))+1)</f>
        <v>66</v>
      </c>
    </row>
    <row r="72" ht="28" customHeight="1" spans="4:23">
      <c r="D72" s="31">
        <v>45975</v>
      </c>
      <c r="E72" s="29">
        <v>19175410</v>
      </c>
      <c r="F72" s="29" t="s">
        <v>74</v>
      </c>
      <c r="G72" s="29" t="s">
        <v>146</v>
      </c>
      <c r="H72" s="29">
        <v>113</v>
      </c>
      <c r="I72" s="29">
        <v>107</v>
      </c>
      <c r="J72" s="29">
        <v>83</v>
      </c>
      <c r="K72" s="29">
        <v>85</v>
      </c>
      <c r="L72" s="29">
        <v>79</v>
      </c>
      <c r="M72" s="29">
        <v>83</v>
      </c>
      <c r="N72" s="29">
        <v>81</v>
      </c>
      <c r="O72" s="32">
        <v>631</v>
      </c>
      <c r="P72" s="29" cm="1">
        <f t="array" ref="P72">IF(表成绩单[[#This Row],[语文]]="","",SUMPRODUCT((表成绩单[考试日期]=表成绩单[[#This Row],[考试日期]])*(表成绩单[语文]&lt;9E+307)*(表成绩单[语文]&gt;表成绩单[[#This Row],[语文]]))+1)</f>
        <v>5</v>
      </c>
      <c r="Q72" s="29" cm="1">
        <f t="array" ref="Q72">IF(表成绩单[[#This Row],[数学]]="","",SUMPRODUCT((表成绩单[考试日期]=表成绩单[[#This Row],[考试日期]])*(表成绩单[数学]&lt;9E+307)*(表成绩单[数学]&gt;表成绩单[[#This Row],[数学]]))+1)</f>
        <v>200</v>
      </c>
      <c r="R72" s="29" cm="1">
        <f t="array" ref="R72">IF(表成绩单[[#This Row],[英语]]="","",SUMPRODUCT((表成绩单[考试日期]=表成绩单[[#This Row],[考试日期]])*(表成绩单[英语]&lt;9E+307)*(表成绩单[英语]&gt;表成绩单[[#This Row],[英语]]))+1)</f>
        <v>146</v>
      </c>
      <c r="S72" s="29" cm="1">
        <f t="array" ref="S72">IF(表成绩单[[#This Row],[物理]]="","",SUMPRODUCT((表成绩单[考试日期]=表成绩单[[#This Row],[考试日期]])*(表成绩单[物理]&lt;9E+307)*(表成绩单[物理]&gt;表成绩单[[#This Row],[物理]]))+1)</f>
        <v>263</v>
      </c>
      <c r="T72" s="29" cm="1">
        <f t="array" ref="T72">IF(表成绩单[[#This Row],[化学]]="","",SUMPRODUCT((表成绩单[考试日期]=表成绩单[[#This Row],[考试日期]])*(表成绩单[化学]&lt;9E+307)*(表成绩单[化学]&gt;表成绩单[[#This Row],[化学]]))+1)</f>
        <v>166</v>
      </c>
      <c r="U72" s="29" cm="1">
        <f t="array" ref="U72">IF(表成绩单[[#This Row],[政治]]="","",SUMPRODUCT((表成绩单[考试日期]=表成绩单[[#This Row],[考试日期]])*(表成绩单[政治]&lt;9E+307)*(表成绩单[政治]&gt;表成绩单[[#This Row],[政治]]))+1)</f>
        <v>121</v>
      </c>
      <c r="V72" s="29" cm="1">
        <f t="array" ref="V72">IF(表成绩单[[#This Row],[历史]]="","",SUMPRODUCT((表成绩单[考试日期]=表成绩单[[#This Row],[考试日期]])*(表成绩单[历史]&lt;9E+307)*(表成绩单[历史]&gt;表成绩单[[#This Row],[历史]]))+1)</f>
        <v>63</v>
      </c>
      <c r="W72" s="29" cm="1">
        <f t="array" ref="W72">IF(表成绩单[[#This Row],[总分]]="","",SUMPRODUCT((表成绩单[考试日期]=表成绩单[[#This Row],[考试日期]])*(表成绩单[总分]&lt;9E+307)*(表成绩单[总分]&gt;表成绩单[[#This Row],[总分]]))+1)</f>
        <v>66</v>
      </c>
    </row>
    <row r="73" ht="28" customHeight="1" spans="4:23">
      <c r="D73" s="31">
        <v>45975</v>
      </c>
      <c r="E73" s="29">
        <v>19175691</v>
      </c>
      <c r="F73" s="29" t="s">
        <v>72</v>
      </c>
      <c r="G73" s="29" t="s">
        <v>147</v>
      </c>
      <c r="H73" s="29">
        <v>101</v>
      </c>
      <c r="I73" s="29">
        <v>118</v>
      </c>
      <c r="J73" s="29">
        <v>81.5</v>
      </c>
      <c r="K73" s="29">
        <v>88</v>
      </c>
      <c r="L73" s="29">
        <v>78</v>
      </c>
      <c r="M73" s="29">
        <v>85</v>
      </c>
      <c r="N73" s="29">
        <v>79</v>
      </c>
      <c r="O73" s="32">
        <v>630.5</v>
      </c>
      <c r="P73" s="29" cm="1">
        <f t="array" ref="P73">IF(表成绩单[[#This Row],[语文]]="","",SUMPRODUCT((表成绩单[考试日期]=表成绩单[[#This Row],[考试日期]])*(表成绩单[语文]&lt;9E+307)*(表成绩单[语文]&gt;表成绩单[[#This Row],[语文]]))+1)</f>
        <v>190</v>
      </c>
      <c r="Q73" s="29" cm="1">
        <f t="array" ref="Q73">IF(表成绩单[[#This Row],[数学]]="","",SUMPRODUCT((表成绩单[考试日期]=表成绩单[[#This Row],[考试日期]])*(表成绩单[数学]&lt;9E+307)*(表成绩单[数学]&gt;表成绩单[[#This Row],[数学]]))+1)</f>
        <v>22</v>
      </c>
      <c r="R73" s="29" cm="1">
        <f t="array" ref="R73">IF(表成绩单[[#This Row],[英语]]="","",SUMPRODUCT((表成绩单[考试日期]=表成绩单[[#This Row],[考试日期]])*(表成绩单[英语]&lt;9E+307)*(表成绩单[英语]&gt;表成绩单[[#This Row],[英语]]))+1)</f>
        <v>220</v>
      </c>
      <c r="S73" s="29" cm="1">
        <f t="array" ref="S73">IF(表成绩单[[#This Row],[物理]]="","",SUMPRODUCT((表成绩单[考试日期]=表成绩单[[#This Row],[考试日期]])*(表成绩单[物理]&lt;9E+307)*(表成绩单[物理]&gt;表成绩单[[#This Row],[物理]]))+1)</f>
        <v>54</v>
      </c>
      <c r="T73" s="29" cm="1">
        <f t="array" ref="T73">IF(表成绩单[[#This Row],[化学]]="","",SUMPRODUCT((表成绩单[考试日期]=表成绩单[[#This Row],[考试日期]])*(表成绩单[化学]&lt;9E+307)*(表成绩单[化学]&gt;表成绩单[[#This Row],[化学]]))+1)</f>
        <v>200</v>
      </c>
      <c r="U73" s="29" cm="1">
        <f t="array" ref="U73">IF(表成绩单[[#This Row],[政治]]="","",SUMPRODUCT((表成绩单[考试日期]=表成绩单[[#This Row],[考试日期]])*(表成绩单[政治]&lt;9E+307)*(表成绩单[政治]&gt;表成绩单[[#This Row],[政治]]))+1)</f>
        <v>45</v>
      </c>
      <c r="V73" s="29" cm="1">
        <f t="array" ref="V73">IF(表成绩单[[#This Row],[历史]]="","",SUMPRODUCT((表成绩单[考试日期]=表成绩单[[#This Row],[考试日期]])*(表成绩单[历史]&lt;9E+307)*(表成绩单[历史]&gt;表成绩单[[#This Row],[历史]]))+1)</f>
        <v>144</v>
      </c>
      <c r="W73" s="29" cm="1">
        <f t="array" ref="W73">IF(表成绩单[[#This Row],[总分]]="","",SUMPRODUCT((表成绩单[考试日期]=表成绩单[[#This Row],[考试日期]])*(表成绩单[总分]&lt;9E+307)*(表成绩单[总分]&gt;表成绩单[[#This Row],[总分]]))+1)</f>
        <v>69</v>
      </c>
    </row>
    <row r="74" ht="28" customHeight="1" spans="4:23">
      <c r="D74" s="31">
        <v>45975</v>
      </c>
      <c r="E74" s="29">
        <v>19175695</v>
      </c>
      <c r="F74" s="29" t="s">
        <v>72</v>
      </c>
      <c r="G74" s="29" t="s">
        <v>148</v>
      </c>
      <c r="H74" s="29">
        <v>104</v>
      </c>
      <c r="I74" s="29">
        <v>112</v>
      </c>
      <c r="J74" s="29">
        <v>82.5</v>
      </c>
      <c r="K74" s="29">
        <v>86</v>
      </c>
      <c r="L74" s="29">
        <v>81</v>
      </c>
      <c r="M74" s="29">
        <v>84</v>
      </c>
      <c r="N74" s="29">
        <v>81</v>
      </c>
      <c r="O74" s="32">
        <v>630.5</v>
      </c>
      <c r="P74" s="29" cm="1">
        <f t="array" ref="P74">IF(表成绩单[[#This Row],[语文]]="","",SUMPRODUCT((表成绩单[考试日期]=表成绩单[[#This Row],[考试日期]])*(表成绩单[语文]&lt;9E+307)*(表成绩单[语文]&gt;表成绩单[[#This Row],[语文]]))+1)</f>
        <v>104</v>
      </c>
      <c r="Q74" s="29" cm="1">
        <f t="array" ref="Q74">IF(表成绩单[[#This Row],[数学]]="","",SUMPRODUCT((表成绩单[考试日期]=表成绩单[[#This Row],[考试日期]])*(表成绩单[数学]&lt;9E+307)*(表成绩单[数学]&gt;表成绩单[[#This Row],[数学]]))+1)</f>
        <v>112</v>
      </c>
      <c r="R74" s="29" cm="1">
        <f t="array" ref="R74">IF(表成绩单[[#This Row],[英语]]="","",SUMPRODUCT((表成绩单[考试日期]=表成绩单[[#This Row],[考试日期]])*(表成绩单[英语]&lt;9E+307)*(表成绩单[英语]&gt;表成绩单[[#This Row],[英语]]))+1)</f>
        <v>170</v>
      </c>
      <c r="S74" s="29" cm="1">
        <f t="array" ref="S74">IF(表成绩单[[#This Row],[物理]]="","",SUMPRODUCT((表成绩单[考试日期]=表成绩单[[#This Row],[考试日期]])*(表成绩单[物理]&lt;9E+307)*(表成绩单[物理]&gt;表成绩单[[#This Row],[物理]]))+1)</f>
        <v>187</v>
      </c>
      <c r="T74" s="29" cm="1">
        <f t="array" ref="T74">IF(表成绩单[[#This Row],[化学]]="","",SUMPRODUCT((表成绩单[考试日期]=表成绩单[[#This Row],[考试日期]])*(表成绩单[化学]&lt;9E+307)*(表成绩单[化学]&gt;表成绩单[[#This Row],[化学]]))+1)</f>
        <v>100</v>
      </c>
      <c r="U74" s="29" cm="1">
        <f t="array" ref="U74">IF(表成绩单[[#This Row],[政治]]="","",SUMPRODUCT((表成绩单[考试日期]=表成绩单[[#This Row],[考试日期]])*(表成绩单[政治]&lt;9E+307)*(表成绩单[政治]&gt;表成绩单[[#This Row],[政治]]))+1)</f>
        <v>83</v>
      </c>
      <c r="V74" s="29" cm="1">
        <f t="array" ref="V74">IF(表成绩单[[#This Row],[历史]]="","",SUMPRODUCT((表成绩单[考试日期]=表成绩单[[#This Row],[考试日期]])*(表成绩单[历史]&lt;9E+307)*(表成绩单[历史]&gt;表成绩单[[#This Row],[历史]]))+1)</f>
        <v>63</v>
      </c>
      <c r="W74" s="29" cm="1">
        <f t="array" ref="W74">IF(表成绩单[[#This Row],[总分]]="","",SUMPRODUCT((表成绩单[考试日期]=表成绩单[[#This Row],[考试日期]])*(表成绩单[总分]&lt;9E+307)*(表成绩单[总分]&gt;表成绩单[[#This Row],[总分]]))+1)</f>
        <v>69</v>
      </c>
    </row>
    <row r="75" ht="28" customHeight="1" spans="4:23">
      <c r="D75" s="31">
        <v>45975</v>
      </c>
      <c r="E75" s="29">
        <v>19176177</v>
      </c>
      <c r="F75" s="29" t="s">
        <v>67</v>
      </c>
      <c r="G75" s="29" t="s">
        <v>149</v>
      </c>
      <c r="H75" s="29">
        <v>103</v>
      </c>
      <c r="I75" s="29">
        <v>113</v>
      </c>
      <c r="J75" s="29">
        <v>84.5</v>
      </c>
      <c r="K75" s="29">
        <v>88</v>
      </c>
      <c r="L75" s="29">
        <v>83</v>
      </c>
      <c r="M75" s="29">
        <v>81</v>
      </c>
      <c r="N75" s="29">
        <v>78</v>
      </c>
      <c r="O75" s="32">
        <v>630.5</v>
      </c>
      <c r="P75" s="29" cm="1">
        <f t="array" ref="P75">IF(表成绩单[[#This Row],[语文]]="","",SUMPRODUCT((表成绩单[考试日期]=表成绩单[[#This Row],[考试日期]])*(表成绩单[语文]&lt;9E+307)*(表成绩单[语文]&gt;表成绩单[[#This Row],[语文]]))+1)</f>
        <v>126</v>
      </c>
      <c r="Q75" s="29" cm="1">
        <f t="array" ref="Q75">IF(表成绩单[[#This Row],[数学]]="","",SUMPRODUCT((表成绩单[考试日期]=表成绩单[[#This Row],[考试日期]])*(表成绩单[数学]&lt;9E+307)*(表成绩单[数学]&gt;表成绩单[[#This Row],[数学]]))+1)</f>
        <v>93</v>
      </c>
      <c r="R75" s="29" cm="1">
        <f t="array" ref="R75">IF(表成绩单[[#This Row],[英语]]="","",SUMPRODUCT((表成绩单[考试日期]=表成绩单[[#This Row],[考试日期]])*(表成绩单[英语]&lt;9E+307)*(表成绩单[英语]&gt;表成绩单[[#This Row],[英语]]))+1)</f>
        <v>85</v>
      </c>
      <c r="S75" s="29" cm="1">
        <f t="array" ref="S75">IF(表成绩单[[#This Row],[物理]]="","",SUMPRODUCT((表成绩单[考试日期]=表成绩单[[#This Row],[考试日期]])*(表成绩单[物理]&lt;9E+307)*(表成绩单[物理]&gt;表成绩单[[#This Row],[物理]]))+1)</f>
        <v>54</v>
      </c>
      <c r="T75" s="29" cm="1">
        <f t="array" ref="T75">IF(表成绩单[[#This Row],[化学]]="","",SUMPRODUCT((表成绩单[考试日期]=表成绩单[[#This Row],[考试日期]])*(表成绩单[化学]&lt;9E+307)*(表成绩单[化学]&gt;表成绩单[[#This Row],[化学]]))+1)</f>
        <v>49</v>
      </c>
      <c r="U75" s="29" cm="1">
        <f t="array" ref="U75">IF(表成绩单[[#This Row],[政治]]="","",SUMPRODUCT((表成绩单[考试日期]=表成绩单[[#This Row],[考试日期]])*(表成绩单[政治]&lt;9E+307)*(表成绩单[政治]&gt;表成绩单[[#This Row],[政治]]))+1)</f>
        <v>180</v>
      </c>
      <c r="V75" s="29" cm="1">
        <f t="array" ref="V75">IF(表成绩单[[#This Row],[历史]]="","",SUMPRODUCT((表成绩单[考试日期]=表成绩单[[#This Row],[考试日期]])*(表成绩单[历史]&lt;9E+307)*(表成绩单[历史]&gt;表成绩单[[#This Row],[历史]]))+1)</f>
        <v>189</v>
      </c>
      <c r="W75" s="29" cm="1">
        <f t="array" ref="W75">IF(表成绩单[[#This Row],[总分]]="","",SUMPRODUCT((表成绩单[考试日期]=表成绩单[[#This Row],[考试日期]])*(表成绩单[总分]&lt;9E+307)*(表成绩单[总分]&gt;表成绩单[[#This Row],[总分]]))+1)</f>
        <v>69</v>
      </c>
    </row>
    <row r="76" ht="28" customHeight="1" spans="4:23">
      <c r="D76" s="31">
        <v>45975</v>
      </c>
      <c r="E76" s="29">
        <v>19177230</v>
      </c>
      <c r="F76" s="29" t="s">
        <v>70</v>
      </c>
      <c r="G76" s="29" t="s">
        <v>150</v>
      </c>
      <c r="H76" s="29">
        <v>97</v>
      </c>
      <c r="I76" s="29">
        <v>112</v>
      </c>
      <c r="J76" s="29">
        <v>85.5</v>
      </c>
      <c r="K76" s="29">
        <v>86</v>
      </c>
      <c r="L76" s="29">
        <v>80</v>
      </c>
      <c r="M76" s="29">
        <v>89</v>
      </c>
      <c r="N76" s="29">
        <v>81</v>
      </c>
      <c r="O76" s="32">
        <v>630.5</v>
      </c>
      <c r="P76" s="29" cm="1">
        <f t="array" ref="P76">IF(表成绩单[[#This Row],[语文]]="","",SUMPRODUCT((表成绩单[考试日期]=表成绩单[[#This Row],[考试日期]])*(表成绩单[语文]&lt;9E+307)*(表成绩单[语文]&gt;表成绩单[[#This Row],[语文]]))+1)</f>
        <v>349</v>
      </c>
      <c r="Q76" s="29" cm="1">
        <f t="array" ref="Q76">IF(表成绩单[[#This Row],[数学]]="","",SUMPRODUCT((表成绩单[考试日期]=表成绩单[[#This Row],[考试日期]])*(表成绩单[数学]&lt;9E+307)*(表成绩单[数学]&gt;表成绩单[[#This Row],[数学]]))+1)</f>
        <v>112</v>
      </c>
      <c r="R76" s="29" cm="1">
        <f t="array" ref="R76">IF(表成绩单[[#This Row],[英语]]="","",SUMPRODUCT((表成绩单[考试日期]=表成绩单[[#This Row],[考试日期]])*(表成绩单[英语]&lt;9E+307)*(表成绩单[英语]&gt;表成绩单[[#This Row],[英语]]))+1)</f>
        <v>54</v>
      </c>
      <c r="S76" s="29" cm="1">
        <f t="array" ref="S76">IF(表成绩单[[#This Row],[物理]]="","",SUMPRODUCT((表成绩单[考试日期]=表成绩单[[#This Row],[考试日期]])*(表成绩单[物理]&lt;9E+307)*(表成绩单[物理]&gt;表成绩单[[#This Row],[物理]]))+1)</f>
        <v>187</v>
      </c>
      <c r="T76" s="29" cm="1">
        <f t="array" ref="T76">IF(表成绩单[[#This Row],[化学]]="","",SUMPRODUCT((表成绩单[考试日期]=表成绩单[[#This Row],[考试日期]])*(表成绩单[化学]&lt;9E+307)*(表成绩单[化学]&gt;表成绩单[[#This Row],[化学]]))+1)</f>
        <v>129</v>
      </c>
      <c r="U76" s="29" cm="1">
        <f t="array" ref="U76">IF(表成绩单[[#This Row],[政治]]="","",SUMPRODUCT((表成绩单[考试日期]=表成绩单[[#This Row],[考试日期]])*(表成绩单[政治]&lt;9E+307)*(表成绩单[政治]&gt;表成绩单[[#This Row],[政治]]))+1)</f>
        <v>2</v>
      </c>
      <c r="V76" s="29" cm="1">
        <f t="array" ref="V76">IF(表成绩单[[#This Row],[历史]]="","",SUMPRODUCT((表成绩单[考试日期]=表成绩单[[#This Row],[考试日期]])*(表成绩单[历史]&lt;9E+307)*(表成绩单[历史]&gt;表成绩单[[#This Row],[历史]]))+1)</f>
        <v>63</v>
      </c>
      <c r="W76" s="29" cm="1">
        <f t="array" ref="W76">IF(表成绩单[[#This Row],[总分]]="","",SUMPRODUCT((表成绩单[考试日期]=表成绩单[[#This Row],[考试日期]])*(表成绩单[总分]&lt;9E+307)*(表成绩单[总分]&gt;表成绩单[[#This Row],[总分]]))+1)</f>
        <v>69</v>
      </c>
    </row>
    <row r="77" ht="28" customHeight="1" spans="4:23">
      <c r="D77" s="31">
        <v>45975</v>
      </c>
      <c r="E77" s="29">
        <v>19167642</v>
      </c>
      <c r="F77" s="29" t="s">
        <v>1</v>
      </c>
      <c r="G77" s="29" t="s">
        <v>151</v>
      </c>
      <c r="H77" s="29">
        <v>107</v>
      </c>
      <c r="I77" s="29">
        <v>111</v>
      </c>
      <c r="J77" s="29">
        <v>83</v>
      </c>
      <c r="K77" s="29">
        <v>88</v>
      </c>
      <c r="L77" s="29">
        <v>76</v>
      </c>
      <c r="M77" s="29">
        <v>85</v>
      </c>
      <c r="N77" s="29">
        <v>80</v>
      </c>
      <c r="O77" s="32">
        <v>630</v>
      </c>
      <c r="P77" s="29" cm="1">
        <f t="array" ref="P77">IF(表成绩单[[#This Row],[语文]]="","",SUMPRODUCT((表成绩单[考试日期]=表成绩单[[#This Row],[考试日期]])*(表成绩单[语文]&lt;9E+307)*(表成绩单[语文]&gt;表成绩单[[#This Row],[语文]]))+1)</f>
        <v>45</v>
      </c>
      <c r="Q77" s="29" cm="1">
        <f t="array" ref="Q77">IF(表成绩单[[#This Row],[数学]]="","",SUMPRODUCT((表成绩单[考试日期]=表成绩单[[#This Row],[考试日期]])*(表成绩单[数学]&lt;9E+307)*(表成绩单[数学]&gt;表成绩单[[#This Row],[数学]]))+1)</f>
        <v>134</v>
      </c>
      <c r="R77" s="29" cm="1">
        <f t="array" ref="R77">IF(表成绩单[[#This Row],[英语]]="","",SUMPRODUCT((表成绩单[考试日期]=表成绩单[[#This Row],[考试日期]])*(表成绩单[英语]&lt;9E+307)*(表成绩单[英语]&gt;表成绩单[[#This Row],[英语]]))+1)</f>
        <v>146</v>
      </c>
      <c r="S77" s="29" cm="1">
        <f t="array" ref="S77">IF(表成绩单[[#This Row],[物理]]="","",SUMPRODUCT((表成绩单[考试日期]=表成绩单[[#This Row],[考试日期]])*(表成绩单[物理]&lt;9E+307)*(表成绩单[物理]&gt;表成绩单[[#This Row],[物理]]))+1)</f>
        <v>54</v>
      </c>
      <c r="T77" s="29" cm="1">
        <f t="array" ref="T77">IF(表成绩单[[#This Row],[化学]]="","",SUMPRODUCT((表成绩单[考试日期]=表成绩单[[#This Row],[考试日期]])*(表成绩单[化学]&lt;9E+307)*(表成绩单[化学]&gt;表成绩单[[#This Row],[化学]]))+1)</f>
        <v>268</v>
      </c>
      <c r="U77" s="29" cm="1">
        <f t="array" ref="U77">IF(表成绩单[[#This Row],[政治]]="","",SUMPRODUCT((表成绩单[考试日期]=表成绩单[[#This Row],[考试日期]])*(表成绩单[政治]&lt;9E+307)*(表成绩单[政治]&gt;表成绩单[[#This Row],[政治]]))+1)</f>
        <v>45</v>
      </c>
      <c r="V77" s="29" cm="1">
        <f t="array" ref="V77">IF(表成绩单[[#This Row],[历史]]="","",SUMPRODUCT((表成绩单[考试日期]=表成绩单[[#This Row],[考试日期]])*(表成绩单[历史]&lt;9E+307)*(表成绩单[历史]&gt;表成绩单[[#This Row],[历史]]))+1)</f>
        <v>108</v>
      </c>
      <c r="W77" s="29" cm="1">
        <f t="array" ref="W77">IF(表成绩单[[#This Row],[总分]]="","",SUMPRODUCT((表成绩单[考试日期]=表成绩单[[#This Row],[考试日期]])*(表成绩单[总分]&lt;9E+307)*(表成绩单[总分]&gt;表成绩单[[#This Row],[总分]]))+1)</f>
        <v>73</v>
      </c>
    </row>
    <row r="78" ht="28" customHeight="1" spans="4:23">
      <c r="D78" s="31">
        <v>45975</v>
      </c>
      <c r="E78" s="29">
        <v>19167647</v>
      </c>
      <c r="F78" s="29" t="s">
        <v>1</v>
      </c>
      <c r="G78" s="29" t="s">
        <v>152</v>
      </c>
      <c r="H78" s="29">
        <v>102</v>
      </c>
      <c r="I78" s="29">
        <v>119</v>
      </c>
      <c r="J78" s="29">
        <v>84</v>
      </c>
      <c r="K78" s="29">
        <v>86</v>
      </c>
      <c r="L78" s="29">
        <v>81</v>
      </c>
      <c r="M78" s="29">
        <v>76</v>
      </c>
      <c r="N78" s="29">
        <v>82</v>
      </c>
      <c r="O78" s="32">
        <v>630</v>
      </c>
      <c r="P78" s="29" cm="1">
        <f t="array" ref="P78">IF(表成绩单[[#This Row],[语文]]="","",SUMPRODUCT((表成绩单[考试日期]=表成绩单[[#This Row],[考试日期]])*(表成绩单[语文]&lt;9E+307)*(表成绩单[语文]&gt;表成绩单[[#This Row],[语文]]))+1)</f>
        <v>154</v>
      </c>
      <c r="Q78" s="29" cm="1">
        <f t="array" ref="Q78">IF(表成绩单[[#This Row],[数学]]="","",SUMPRODUCT((表成绩单[考试日期]=表成绩单[[#This Row],[考试日期]])*(表成绩单[数学]&lt;9E+307)*(表成绩单[数学]&gt;表成绩单[[#This Row],[数学]]))+1)</f>
        <v>11</v>
      </c>
      <c r="R78" s="29" cm="1">
        <f t="array" ref="R78">IF(表成绩单[[#This Row],[英语]]="","",SUMPRODUCT((表成绩单[考试日期]=表成绩单[[#This Row],[考试日期]])*(表成绩单[英语]&lt;9E+307)*(表成绩单[英语]&gt;表成绩单[[#This Row],[英语]]))+1)</f>
        <v>102</v>
      </c>
      <c r="S78" s="29" cm="1">
        <f t="array" ref="S78">IF(表成绩单[[#This Row],[物理]]="","",SUMPRODUCT((表成绩单[考试日期]=表成绩单[[#This Row],[考试日期]])*(表成绩单[物理]&lt;9E+307)*(表成绩单[物理]&gt;表成绩单[[#This Row],[物理]]))+1)</f>
        <v>187</v>
      </c>
      <c r="T78" s="29" cm="1">
        <f t="array" ref="T78">IF(表成绩单[[#This Row],[化学]]="","",SUMPRODUCT((表成绩单[考试日期]=表成绩单[[#This Row],[考试日期]])*(表成绩单[化学]&lt;9E+307)*(表成绩单[化学]&gt;表成绩单[[#This Row],[化学]]))+1)</f>
        <v>100</v>
      </c>
      <c r="U78" s="29" cm="1">
        <f t="array" ref="U78">IF(表成绩单[[#This Row],[政治]]="","",SUMPRODUCT((表成绩单[考试日期]=表成绩单[[#This Row],[考试日期]])*(表成绩单[政治]&lt;9E+307)*(表成绩单[政治]&gt;表成绩单[[#This Row],[政治]]))+1)</f>
        <v>329</v>
      </c>
      <c r="V78" s="29" cm="1">
        <f t="array" ref="V78">IF(表成绩单[[#This Row],[历史]]="","",SUMPRODUCT((表成绩单[考试日期]=表成绩单[[#This Row],[考试日期]])*(表成绩单[历史]&lt;9E+307)*(表成绩单[历史]&gt;表成绩单[[#This Row],[历史]]))+1)</f>
        <v>35</v>
      </c>
      <c r="W78" s="29" cm="1">
        <f t="array" ref="W78">IF(表成绩单[[#This Row],[总分]]="","",SUMPRODUCT((表成绩单[考试日期]=表成绩单[[#This Row],[考试日期]])*(表成绩单[总分]&lt;9E+307)*(表成绩单[总分]&gt;表成绩单[[#This Row],[总分]]))+1)</f>
        <v>73</v>
      </c>
    </row>
    <row r="79" ht="28" customHeight="1" spans="4:23">
      <c r="D79" s="31">
        <v>45975</v>
      </c>
      <c r="E79" s="29">
        <v>19167649</v>
      </c>
      <c r="F79" s="29" t="s">
        <v>1</v>
      </c>
      <c r="G79" s="29" t="s">
        <v>153</v>
      </c>
      <c r="H79" s="29">
        <v>101</v>
      </c>
      <c r="I79" s="29">
        <v>112</v>
      </c>
      <c r="J79" s="29">
        <v>85</v>
      </c>
      <c r="K79" s="29">
        <v>89</v>
      </c>
      <c r="L79" s="29">
        <v>77</v>
      </c>
      <c r="M79" s="29">
        <v>86</v>
      </c>
      <c r="N79" s="29">
        <v>80</v>
      </c>
      <c r="O79" s="32">
        <v>630</v>
      </c>
      <c r="P79" s="29" cm="1">
        <f t="array" ref="P79">IF(表成绩单[[#This Row],[语文]]="","",SUMPRODUCT((表成绩单[考试日期]=表成绩单[[#This Row],[考试日期]])*(表成绩单[语文]&lt;9E+307)*(表成绩单[语文]&gt;表成绩单[[#This Row],[语文]]))+1)</f>
        <v>190</v>
      </c>
      <c r="Q79" s="29" cm="1">
        <f t="array" ref="Q79">IF(表成绩单[[#This Row],[数学]]="","",SUMPRODUCT((表成绩单[考试日期]=表成绩单[[#This Row],[考试日期]])*(表成绩单[数学]&lt;9E+307)*(表成绩单[数学]&gt;表成绩单[[#This Row],[数学]]))+1)</f>
        <v>112</v>
      </c>
      <c r="R79" s="29" cm="1">
        <f t="array" ref="R79">IF(表成绩单[[#This Row],[英语]]="","",SUMPRODUCT((表成绩单[考试日期]=表成绩单[[#This Row],[考试日期]])*(表成绩单[英语]&lt;9E+307)*(表成绩单[英语]&gt;表成绩单[[#This Row],[英语]]))+1)</f>
        <v>69</v>
      </c>
      <c r="S79" s="29" cm="1">
        <f t="array" ref="S79">IF(表成绩单[[#This Row],[物理]]="","",SUMPRODUCT((表成绩单[考试日期]=表成绩单[[#This Row],[考试日期]])*(表成绩单[物理]&lt;9E+307)*(表成绩单[物理]&gt;表成绩单[[#This Row],[物理]]))+1)</f>
        <v>18</v>
      </c>
      <c r="T79" s="29" cm="1">
        <f t="array" ref="T79">IF(表成绩单[[#This Row],[化学]]="","",SUMPRODUCT((表成绩单[考试日期]=表成绩单[[#This Row],[考试日期]])*(表成绩单[化学]&lt;9E+307)*(表成绩单[化学]&gt;表成绩单[[#This Row],[化学]]))+1)</f>
        <v>239</v>
      </c>
      <c r="U79" s="29" cm="1">
        <f t="array" ref="U79">IF(表成绩单[[#This Row],[政治]]="","",SUMPRODUCT((表成绩单[考试日期]=表成绩单[[#This Row],[考试日期]])*(表成绩单[政治]&lt;9E+307)*(表成绩单[政治]&gt;表成绩单[[#This Row],[政治]]))+1)</f>
        <v>26</v>
      </c>
      <c r="V79" s="29" cm="1">
        <f t="array" ref="V79">IF(表成绩单[[#This Row],[历史]]="","",SUMPRODUCT((表成绩单[考试日期]=表成绩单[[#This Row],[考试日期]])*(表成绩单[历史]&lt;9E+307)*(表成绩单[历史]&gt;表成绩单[[#This Row],[历史]]))+1)</f>
        <v>108</v>
      </c>
      <c r="W79" s="29" cm="1">
        <f t="array" ref="W79">IF(表成绩单[[#This Row],[总分]]="","",SUMPRODUCT((表成绩单[考试日期]=表成绩单[[#This Row],[考试日期]])*(表成绩单[总分]&lt;9E+307)*(表成绩单[总分]&gt;表成绩单[[#This Row],[总分]]))+1)</f>
        <v>73</v>
      </c>
    </row>
    <row r="80" ht="28" customHeight="1" spans="4:23">
      <c r="D80" s="31">
        <v>45975</v>
      </c>
      <c r="E80" s="29">
        <v>19173274</v>
      </c>
      <c r="F80" s="29" t="s">
        <v>61</v>
      </c>
      <c r="G80" s="29" t="s">
        <v>154</v>
      </c>
      <c r="H80" s="29">
        <v>101</v>
      </c>
      <c r="I80" s="29">
        <v>106</v>
      </c>
      <c r="J80" s="29">
        <v>83</v>
      </c>
      <c r="K80" s="29">
        <v>89</v>
      </c>
      <c r="L80" s="29">
        <v>85</v>
      </c>
      <c r="M80" s="29">
        <v>83</v>
      </c>
      <c r="N80" s="29">
        <v>83</v>
      </c>
      <c r="O80" s="32">
        <v>630</v>
      </c>
      <c r="P80" s="29" cm="1">
        <f t="array" ref="P80">IF(表成绩单[[#This Row],[语文]]="","",SUMPRODUCT((表成绩单[考试日期]=表成绩单[[#This Row],[考试日期]])*(表成绩单[语文]&lt;9E+307)*(表成绩单[语文]&gt;表成绩单[[#This Row],[语文]]))+1)</f>
        <v>190</v>
      </c>
      <c r="Q80" s="29" cm="1">
        <f t="array" ref="Q80">IF(表成绩单[[#This Row],[数学]]="","",SUMPRODUCT((表成绩单[考试日期]=表成绩单[[#This Row],[考试日期]])*(表成绩单[数学]&lt;9E+307)*(表成绩单[数学]&gt;表成绩单[[#This Row],[数学]]))+1)</f>
        <v>220</v>
      </c>
      <c r="R80" s="29" cm="1">
        <f t="array" ref="R80">IF(表成绩单[[#This Row],[英语]]="","",SUMPRODUCT((表成绩单[考试日期]=表成绩单[[#This Row],[考试日期]])*(表成绩单[英语]&lt;9E+307)*(表成绩单[英语]&gt;表成绩单[[#This Row],[英语]]))+1)</f>
        <v>146</v>
      </c>
      <c r="S80" s="29" cm="1">
        <f t="array" ref="S80">IF(表成绩单[[#This Row],[物理]]="","",SUMPRODUCT((表成绩单[考试日期]=表成绩单[[#This Row],[考试日期]])*(表成绩单[物理]&lt;9E+307)*(表成绩单[物理]&gt;表成绩单[[#This Row],[物理]]))+1)</f>
        <v>18</v>
      </c>
      <c r="T80" s="29" cm="1">
        <f t="array" ref="T80">IF(表成绩单[[#This Row],[化学]]="","",SUMPRODUCT((表成绩单[考试日期]=表成绩单[[#This Row],[考试日期]])*(表成绩单[化学]&lt;9E+307)*(表成绩单[化学]&gt;表成绩单[[#This Row],[化学]]))+1)</f>
        <v>19</v>
      </c>
      <c r="U80" s="29" cm="1">
        <f t="array" ref="U80">IF(表成绩单[[#This Row],[政治]]="","",SUMPRODUCT((表成绩单[考试日期]=表成绩单[[#This Row],[考试日期]])*(表成绩单[政治]&lt;9E+307)*(表成绩单[政治]&gt;表成绩单[[#This Row],[政治]]))+1)</f>
        <v>121</v>
      </c>
      <c r="V80" s="29" cm="1">
        <f t="array" ref="V80">IF(表成绩单[[#This Row],[历史]]="","",SUMPRODUCT((表成绩单[考试日期]=表成绩单[[#This Row],[考试日期]])*(表成绩单[历史]&lt;9E+307)*(表成绩单[历史]&gt;表成绩单[[#This Row],[历史]]))+1)</f>
        <v>18</v>
      </c>
      <c r="W80" s="29" cm="1">
        <f t="array" ref="W80">IF(表成绩单[[#This Row],[总分]]="","",SUMPRODUCT((表成绩单[考试日期]=表成绩单[[#This Row],[考试日期]])*(表成绩单[总分]&lt;9E+307)*(表成绩单[总分]&gt;表成绩单[[#This Row],[总分]]))+1)</f>
        <v>73</v>
      </c>
    </row>
    <row r="81" ht="28" customHeight="1" spans="4:23">
      <c r="D81" s="31">
        <v>45975</v>
      </c>
      <c r="E81" s="29">
        <v>19175679</v>
      </c>
      <c r="F81" s="29" t="s">
        <v>72</v>
      </c>
      <c r="G81" s="29" t="s">
        <v>155</v>
      </c>
      <c r="H81" s="29">
        <v>93</v>
      </c>
      <c r="I81" s="29">
        <v>120</v>
      </c>
      <c r="J81" s="29">
        <v>87</v>
      </c>
      <c r="K81" s="29">
        <v>90</v>
      </c>
      <c r="L81" s="29">
        <v>83</v>
      </c>
      <c r="M81" s="29">
        <v>79</v>
      </c>
      <c r="N81" s="29">
        <v>78</v>
      </c>
      <c r="O81" s="32">
        <v>630</v>
      </c>
      <c r="P81" s="29" cm="1">
        <f t="array" ref="P81">IF(表成绩单[[#This Row],[语文]]="","",SUMPRODUCT((表成绩单[考试日期]=表成绩单[[#This Row],[考试日期]])*(表成绩单[语文]&lt;9E+307)*(表成绩单[语文]&gt;表成绩单[[#This Row],[语文]]))+1)</f>
        <v>489</v>
      </c>
      <c r="Q81" s="29" cm="1">
        <f t="array" ref="Q81">IF(表成绩单[[#This Row],[数学]]="","",SUMPRODUCT((表成绩单[考试日期]=表成绩单[[#This Row],[考试日期]])*(表成绩单[数学]&lt;9E+307)*(表成绩单[数学]&gt;表成绩单[[#This Row],[数学]]))+1)</f>
        <v>1</v>
      </c>
      <c r="R81" s="29" cm="1">
        <f t="array" ref="R81">IF(表成绩单[[#This Row],[英语]]="","",SUMPRODUCT((表成绩单[考试日期]=表成绩单[[#This Row],[考试日期]])*(表成绩单[英语]&lt;9E+307)*(表成绩单[英语]&gt;表成绩单[[#This Row],[英语]]))+1)</f>
        <v>20</v>
      </c>
      <c r="S81" s="29" cm="1">
        <f t="array" ref="S81">IF(表成绩单[[#This Row],[物理]]="","",SUMPRODUCT((表成绩单[考试日期]=表成绩单[[#This Row],[考试日期]])*(表成绩单[物理]&lt;9E+307)*(表成绩单[物理]&gt;表成绩单[[#This Row],[物理]]))+1)</f>
        <v>1</v>
      </c>
      <c r="T81" s="29" cm="1">
        <f t="array" ref="T81">IF(表成绩单[[#This Row],[化学]]="","",SUMPRODUCT((表成绩单[考试日期]=表成绩单[[#This Row],[考试日期]])*(表成绩单[化学]&lt;9E+307)*(表成绩单[化学]&gt;表成绩单[[#This Row],[化学]]))+1)</f>
        <v>49</v>
      </c>
      <c r="U81" s="29" cm="1">
        <f t="array" ref="U81">IF(表成绩单[[#This Row],[政治]]="","",SUMPRODUCT((表成绩单[考试日期]=表成绩单[[#This Row],[考试日期]])*(表成绩单[政治]&lt;9E+307)*(表成绩单[政治]&gt;表成绩单[[#This Row],[政治]]))+1)</f>
        <v>246</v>
      </c>
      <c r="V81" s="29" cm="1">
        <f t="array" ref="V81">IF(表成绩单[[#This Row],[历史]]="","",SUMPRODUCT((表成绩单[考试日期]=表成绩单[[#This Row],[考试日期]])*(表成绩单[历史]&lt;9E+307)*(表成绩单[历史]&gt;表成绩单[[#This Row],[历史]]))+1)</f>
        <v>189</v>
      </c>
      <c r="W81" s="29" cm="1">
        <f t="array" ref="W81">IF(表成绩单[[#This Row],[总分]]="","",SUMPRODUCT((表成绩单[考试日期]=表成绩单[[#This Row],[考试日期]])*(表成绩单[总分]&lt;9E+307)*(表成绩单[总分]&gt;表成绩单[[#This Row],[总分]]))+1)</f>
        <v>73</v>
      </c>
    </row>
    <row r="82" ht="28" customHeight="1" spans="4:23">
      <c r="D82" s="31">
        <v>45975</v>
      </c>
      <c r="E82" s="29">
        <v>19176869</v>
      </c>
      <c r="F82" s="29" t="s">
        <v>71</v>
      </c>
      <c r="G82" s="29" t="s">
        <v>156</v>
      </c>
      <c r="H82" s="29">
        <v>101</v>
      </c>
      <c r="I82" s="29">
        <v>109</v>
      </c>
      <c r="J82" s="29">
        <v>82</v>
      </c>
      <c r="K82" s="29">
        <v>87</v>
      </c>
      <c r="L82" s="29">
        <v>81</v>
      </c>
      <c r="M82" s="29">
        <v>85</v>
      </c>
      <c r="N82" s="29">
        <v>85</v>
      </c>
      <c r="O82" s="32">
        <v>630</v>
      </c>
      <c r="P82" s="29" cm="1">
        <f t="array" ref="P82">IF(表成绩单[[#This Row],[语文]]="","",SUMPRODUCT((表成绩单[考试日期]=表成绩单[[#This Row],[考试日期]])*(表成绩单[语文]&lt;9E+307)*(表成绩单[语文]&gt;表成绩单[[#This Row],[语文]]))+1)</f>
        <v>190</v>
      </c>
      <c r="Q82" s="29" cm="1">
        <f t="array" ref="Q82">IF(表成绩单[[#This Row],[数学]]="","",SUMPRODUCT((表成绩单[考试日期]=表成绩单[[#This Row],[考试日期]])*(表成绩单[数学]&lt;9E+307)*(表成绩单[数学]&gt;表成绩单[[#This Row],[数学]]))+1)</f>
        <v>165</v>
      </c>
      <c r="R82" s="29" cm="1">
        <f t="array" ref="R82">IF(表成绩单[[#This Row],[英语]]="","",SUMPRODUCT((表成绩单[考试日期]=表成绩单[[#This Row],[考试日期]])*(表成绩单[英语]&lt;9E+307)*(表成绩单[英语]&gt;表成绩单[[#This Row],[英语]]))+1)</f>
        <v>195</v>
      </c>
      <c r="S82" s="29" cm="1">
        <f t="array" ref="S82">IF(表成绩单[[#This Row],[物理]]="","",SUMPRODUCT((表成绩单[考试日期]=表成绩单[[#This Row],[考试日期]])*(表成绩单[物理]&lt;9E+307)*(表成绩单[物理]&gt;表成绩单[[#This Row],[物理]]))+1)</f>
        <v>127</v>
      </c>
      <c r="T82" s="29" cm="1">
        <f t="array" ref="T82">IF(表成绩单[[#This Row],[化学]]="","",SUMPRODUCT((表成绩单[考试日期]=表成绩单[[#This Row],[考试日期]])*(表成绩单[化学]&lt;9E+307)*(表成绩单[化学]&gt;表成绩单[[#This Row],[化学]]))+1)</f>
        <v>100</v>
      </c>
      <c r="U82" s="29" cm="1">
        <f t="array" ref="U82">IF(表成绩单[[#This Row],[政治]]="","",SUMPRODUCT((表成绩单[考试日期]=表成绩单[[#This Row],[考试日期]])*(表成绩单[政治]&lt;9E+307)*(表成绩单[政治]&gt;表成绩单[[#This Row],[政治]]))+1)</f>
        <v>45</v>
      </c>
      <c r="V82" s="29" cm="1">
        <f t="array" ref="V82">IF(表成绩单[[#This Row],[历史]]="","",SUMPRODUCT((表成绩单[考试日期]=表成绩单[[#This Row],[考试日期]])*(表成绩单[历史]&lt;9E+307)*(表成绩单[历史]&gt;表成绩单[[#This Row],[历史]]))+1)</f>
        <v>3</v>
      </c>
      <c r="W82" s="29" cm="1">
        <f t="array" ref="W82">IF(表成绩单[[#This Row],[总分]]="","",SUMPRODUCT((表成绩单[考试日期]=表成绩单[[#This Row],[考试日期]])*(表成绩单[总分]&lt;9E+307)*(表成绩单[总分]&gt;表成绩单[[#This Row],[总分]]))+1)</f>
        <v>73</v>
      </c>
    </row>
    <row r="83" ht="28" customHeight="1" spans="4:23">
      <c r="D83" s="31">
        <v>45975</v>
      </c>
      <c r="E83" s="29">
        <v>19173534</v>
      </c>
      <c r="F83" s="29" t="s">
        <v>1</v>
      </c>
      <c r="G83" s="29" t="s">
        <v>157</v>
      </c>
      <c r="H83" s="29">
        <v>102</v>
      </c>
      <c r="I83" s="29">
        <v>103</v>
      </c>
      <c r="J83" s="29">
        <v>87.5</v>
      </c>
      <c r="K83" s="29">
        <v>86</v>
      </c>
      <c r="L83" s="29">
        <v>82</v>
      </c>
      <c r="M83" s="29">
        <v>86</v>
      </c>
      <c r="N83" s="29">
        <v>83</v>
      </c>
      <c r="O83" s="32">
        <v>629.5</v>
      </c>
      <c r="P83" s="29" cm="1">
        <f t="array" ref="P83">IF(表成绩单[[#This Row],[语文]]="","",SUMPRODUCT((表成绩单[考试日期]=表成绩单[[#This Row],[考试日期]])*(表成绩单[语文]&lt;9E+307)*(表成绩单[语文]&gt;表成绩单[[#This Row],[语文]]))+1)</f>
        <v>154</v>
      </c>
      <c r="Q83" s="29" cm="1">
        <f t="array" ref="Q83">IF(表成绩单[[#This Row],[数学]]="","",SUMPRODUCT((表成绩单[考试日期]=表成绩单[[#This Row],[考试日期]])*(表成绩单[数学]&lt;9E+307)*(表成绩单[数学]&gt;表成绩单[[#This Row],[数学]]))+1)</f>
        <v>277</v>
      </c>
      <c r="R83" s="29" cm="1">
        <f t="array" ref="R83">IF(表成绩单[[#This Row],[英语]]="","",SUMPRODUCT((表成绩单[考试日期]=表成绩单[[#This Row],[考试日期]])*(表成绩单[英语]&lt;9E+307)*(表成绩单[英语]&gt;表成绩单[[#This Row],[英语]]))+1)</f>
        <v>17</v>
      </c>
      <c r="S83" s="29" cm="1">
        <f t="array" ref="S83">IF(表成绩单[[#This Row],[物理]]="","",SUMPRODUCT((表成绩单[考试日期]=表成绩单[[#This Row],[考试日期]])*(表成绩单[物理]&lt;9E+307)*(表成绩单[物理]&gt;表成绩单[[#This Row],[物理]]))+1)</f>
        <v>187</v>
      </c>
      <c r="T83" s="29" cm="1">
        <f t="array" ref="T83">IF(表成绩单[[#This Row],[化学]]="","",SUMPRODUCT((表成绩单[考试日期]=表成绩单[[#This Row],[考试日期]])*(表成绩单[化学]&lt;9E+307)*(表成绩单[化学]&gt;表成绩单[[#This Row],[化学]]))+1)</f>
        <v>71</v>
      </c>
      <c r="U83" s="29" cm="1">
        <f t="array" ref="U83">IF(表成绩单[[#This Row],[政治]]="","",SUMPRODUCT((表成绩单[考试日期]=表成绩单[[#This Row],[考试日期]])*(表成绩单[政治]&lt;9E+307)*(表成绩单[政治]&gt;表成绩单[[#This Row],[政治]]))+1)</f>
        <v>26</v>
      </c>
      <c r="V83" s="29" cm="1">
        <f t="array" ref="V83">IF(表成绩单[[#This Row],[历史]]="","",SUMPRODUCT((表成绩单[考试日期]=表成绩单[[#This Row],[考试日期]])*(表成绩单[历史]&lt;9E+307)*(表成绩单[历史]&gt;表成绩单[[#This Row],[历史]]))+1)</f>
        <v>18</v>
      </c>
      <c r="W83" s="29" cm="1">
        <f t="array" ref="W83">IF(表成绩单[[#This Row],[总分]]="","",SUMPRODUCT((表成绩单[考试日期]=表成绩单[[#This Row],[考试日期]])*(表成绩单[总分]&lt;9E+307)*(表成绩单[总分]&gt;表成绩单[[#This Row],[总分]]))+1)</f>
        <v>79</v>
      </c>
    </row>
    <row r="84" ht="28" customHeight="1" spans="4:23">
      <c r="D84" s="31">
        <v>45975</v>
      </c>
      <c r="E84" s="29">
        <v>19174793</v>
      </c>
      <c r="F84" s="29" t="s">
        <v>69</v>
      </c>
      <c r="G84" s="29" t="s">
        <v>158</v>
      </c>
      <c r="H84" s="29">
        <v>99</v>
      </c>
      <c r="I84" s="29">
        <v>108</v>
      </c>
      <c r="J84" s="29">
        <v>83.5</v>
      </c>
      <c r="K84" s="29">
        <v>89</v>
      </c>
      <c r="L84" s="29">
        <v>85</v>
      </c>
      <c r="M84" s="29">
        <v>85</v>
      </c>
      <c r="N84" s="29">
        <v>80</v>
      </c>
      <c r="O84" s="32">
        <v>629.5</v>
      </c>
      <c r="P84" s="29" cm="1">
        <f t="array" ref="P84">IF(表成绩单[[#This Row],[语文]]="","",SUMPRODUCT((表成绩单[考试日期]=表成绩单[[#This Row],[考试日期]])*(表成绩单[语文]&lt;9E+307)*(表成绩单[语文]&gt;表成绩单[[#This Row],[语文]]))+1)</f>
        <v>264</v>
      </c>
      <c r="Q84" s="29" cm="1">
        <f t="array" ref="Q84">IF(表成绩单[[#This Row],[数学]]="","",SUMPRODUCT((表成绩单[考试日期]=表成绩单[[#This Row],[考试日期]])*(表成绩单[数学]&lt;9E+307)*(表成绩单[数学]&gt;表成绩单[[#This Row],[数学]]))+1)</f>
        <v>182</v>
      </c>
      <c r="R84" s="29" cm="1">
        <f t="array" ref="R84">IF(表成绩单[[#This Row],[英语]]="","",SUMPRODUCT((表成绩单[考试日期]=表成绩单[[#This Row],[考试日期]])*(表成绩单[英语]&lt;9E+307)*(表成绩单[英语]&gt;表成绩单[[#This Row],[英语]]))+1)</f>
        <v>128</v>
      </c>
      <c r="S84" s="29" cm="1">
        <f t="array" ref="S84">IF(表成绩单[[#This Row],[物理]]="","",SUMPRODUCT((表成绩单[考试日期]=表成绩单[[#This Row],[考试日期]])*(表成绩单[物理]&lt;9E+307)*(表成绩单[物理]&gt;表成绩单[[#This Row],[物理]]))+1)</f>
        <v>18</v>
      </c>
      <c r="T84" s="29" cm="1">
        <f t="array" ref="T84">IF(表成绩单[[#This Row],[化学]]="","",SUMPRODUCT((表成绩单[考试日期]=表成绩单[[#This Row],[考试日期]])*(表成绩单[化学]&lt;9E+307)*(表成绩单[化学]&gt;表成绩单[[#This Row],[化学]]))+1)</f>
        <v>19</v>
      </c>
      <c r="U84" s="29" cm="1">
        <f t="array" ref="U84">IF(表成绩单[[#This Row],[政治]]="","",SUMPRODUCT((表成绩单[考试日期]=表成绩单[[#This Row],[考试日期]])*(表成绩单[政治]&lt;9E+307)*(表成绩单[政治]&gt;表成绩单[[#This Row],[政治]]))+1)</f>
        <v>45</v>
      </c>
      <c r="V84" s="29" cm="1">
        <f t="array" ref="V84">IF(表成绩单[[#This Row],[历史]]="","",SUMPRODUCT((表成绩单[考试日期]=表成绩单[[#This Row],[考试日期]])*(表成绩单[历史]&lt;9E+307)*(表成绩单[历史]&gt;表成绩单[[#This Row],[历史]]))+1)</f>
        <v>108</v>
      </c>
      <c r="W84" s="29" cm="1">
        <f t="array" ref="W84">IF(表成绩单[[#This Row],[总分]]="","",SUMPRODUCT((表成绩单[考试日期]=表成绩单[[#This Row],[考试日期]])*(表成绩单[总分]&lt;9E+307)*(表成绩单[总分]&gt;表成绩单[[#This Row],[总分]]))+1)</f>
        <v>79</v>
      </c>
    </row>
    <row r="85" ht="28" customHeight="1" spans="4:23">
      <c r="D85" s="31">
        <v>45975</v>
      </c>
      <c r="E85" s="29">
        <v>19176890</v>
      </c>
      <c r="F85" s="29" t="s">
        <v>71</v>
      </c>
      <c r="G85" s="29" t="s">
        <v>159</v>
      </c>
      <c r="H85" s="29">
        <v>103</v>
      </c>
      <c r="I85" s="29">
        <v>113</v>
      </c>
      <c r="J85" s="29">
        <v>85.5</v>
      </c>
      <c r="K85" s="29">
        <v>90</v>
      </c>
      <c r="L85" s="29">
        <v>74</v>
      </c>
      <c r="M85" s="29">
        <v>87</v>
      </c>
      <c r="N85" s="29">
        <v>77</v>
      </c>
      <c r="O85" s="32">
        <v>629.5</v>
      </c>
      <c r="P85" s="29" cm="1">
        <f t="array" ref="P85">IF(表成绩单[[#This Row],[语文]]="","",SUMPRODUCT((表成绩单[考试日期]=表成绩单[[#This Row],[考试日期]])*(表成绩单[语文]&lt;9E+307)*(表成绩单[语文]&gt;表成绩单[[#This Row],[语文]]))+1)</f>
        <v>126</v>
      </c>
      <c r="Q85" s="29" cm="1">
        <f t="array" ref="Q85">IF(表成绩单[[#This Row],[数学]]="","",SUMPRODUCT((表成绩单[考试日期]=表成绩单[[#This Row],[考试日期]])*(表成绩单[数学]&lt;9E+307)*(表成绩单[数学]&gt;表成绩单[[#This Row],[数学]]))+1)</f>
        <v>93</v>
      </c>
      <c r="R85" s="29" cm="1">
        <f t="array" ref="R85">IF(表成绩单[[#This Row],[英语]]="","",SUMPRODUCT((表成绩单[考试日期]=表成绩单[[#This Row],[考试日期]])*(表成绩单[英语]&lt;9E+307)*(表成绩单[英语]&gt;表成绩单[[#This Row],[英语]]))+1)</f>
        <v>54</v>
      </c>
      <c r="S85" s="29" cm="1">
        <f t="array" ref="S85">IF(表成绩单[[#This Row],[物理]]="","",SUMPRODUCT((表成绩单[考试日期]=表成绩单[[#This Row],[考试日期]])*(表成绩单[物理]&lt;9E+307)*(表成绩单[物理]&gt;表成绩单[[#This Row],[物理]]))+1)</f>
        <v>1</v>
      </c>
      <c r="T85" s="29" cm="1">
        <f t="array" ref="T85">IF(表成绩单[[#This Row],[化学]]="","",SUMPRODUCT((表成绩单[考试日期]=表成绩单[[#This Row],[考试日期]])*(表成绩单[化学]&lt;9E+307)*(表成绩单[化学]&gt;表成绩单[[#This Row],[化学]]))+1)</f>
        <v>337</v>
      </c>
      <c r="U85" s="29" cm="1">
        <f t="array" ref="U85">IF(表成绩单[[#This Row],[政治]]="","",SUMPRODUCT((表成绩单[考试日期]=表成绩单[[#This Row],[考试日期]])*(表成绩单[政治]&lt;9E+307)*(表成绩单[政治]&gt;表成绩单[[#This Row],[政治]]))+1)</f>
        <v>13</v>
      </c>
      <c r="V85" s="29" cm="1">
        <f t="array" ref="V85">IF(表成绩单[[#This Row],[历史]]="","",SUMPRODUCT((表成绩单[考试日期]=表成绩单[[#This Row],[考试日期]])*(表成绩单[历史]&lt;9E+307)*(表成绩单[历史]&gt;表成绩单[[#This Row],[历史]]))+1)</f>
        <v>237</v>
      </c>
      <c r="W85" s="29" cm="1">
        <f t="array" ref="W85">IF(表成绩单[[#This Row],[总分]]="","",SUMPRODUCT((表成绩单[考试日期]=表成绩单[[#This Row],[考试日期]])*(表成绩单[总分]&lt;9E+307)*(表成绩单[总分]&gt;表成绩单[[#This Row],[总分]]))+1)</f>
        <v>79</v>
      </c>
    </row>
    <row r="86" ht="28" customHeight="1" spans="4:23">
      <c r="D86" s="31">
        <v>45975</v>
      </c>
      <c r="E86" s="29">
        <v>19177672</v>
      </c>
      <c r="F86" s="29" t="s">
        <v>63</v>
      </c>
      <c r="G86" s="29" t="s">
        <v>160</v>
      </c>
      <c r="H86" s="29">
        <v>96</v>
      </c>
      <c r="I86" s="29">
        <v>113</v>
      </c>
      <c r="J86" s="29">
        <v>84.5</v>
      </c>
      <c r="K86" s="29">
        <v>88</v>
      </c>
      <c r="L86" s="29">
        <v>88</v>
      </c>
      <c r="M86" s="29">
        <v>80</v>
      </c>
      <c r="N86" s="29">
        <v>80</v>
      </c>
      <c r="O86" s="32">
        <v>629.5</v>
      </c>
      <c r="P86" s="29" cm="1">
        <f t="array" ref="P86">IF(表成绩单[[#This Row],[语文]]="","",SUMPRODUCT((表成绩单[考试日期]=表成绩单[[#This Row],[考试日期]])*(表成绩单[语文]&lt;9E+307)*(表成绩单[语文]&gt;表成绩单[[#This Row],[语文]]))+1)</f>
        <v>387</v>
      </c>
      <c r="Q86" s="29" cm="1">
        <f t="array" ref="Q86">IF(表成绩单[[#This Row],[数学]]="","",SUMPRODUCT((表成绩单[考试日期]=表成绩单[[#This Row],[考试日期]])*(表成绩单[数学]&lt;9E+307)*(表成绩单[数学]&gt;表成绩单[[#This Row],[数学]]))+1)</f>
        <v>93</v>
      </c>
      <c r="R86" s="29" cm="1">
        <f t="array" ref="R86">IF(表成绩单[[#This Row],[英语]]="","",SUMPRODUCT((表成绩单[考试日期]=表成绩单[[#This Row],[考试日期]])*(表成绩单[英语]&lt;9E+307)*(表成绩单[英语]&gt;表成绩单[[#This Row],[英语]]))+1)</f>
        <v>85</v>
      </c>
      <c r="S86" s="29" cm="1">
        <f t="array" ref="S86">IF(表成绩单[[#This Row],[物理]]="","",SUMPRODUCT((表成绩单[考试日期]=表成绩单[[#This Row],[考试日期]])*(表成绩单[物理]&lt;9E+307)*(表成绩单[物理]&gt;表成绩单[[#This Row],[物理]]))+1)</f>
        <v>54</v>
      </c>
      <c r="T86" s="29" cm="1">
        <f t="array" ref="T86">IF(表成绩单[[#This Row],[化学]]="","",SUMPRODUCT((表成绩单[考试日期]=表成绩单[[#This Row],[考试日期]])*(表成绩单[化学]&lt;9E+307)*(表成绩单[化学]&gt;表成绩单[[#This Row],[化学]]))+1)</f>
        <v>1</v>
      </c>
      <c r="U86" s="29" cm="1">
        <f t="array" ref="U86">IF(表成绩单[[#This Row],[政治]]="","",SUMPRODUCT((表成绩单[考试日期]=表成绩单[[#This Row],[考试日期]])*(表成绩单[政治]&lt;9E+307)*(表成绩单[政治]&gt;表成绩单[[#This Row],[政治]]))+1)</f>
        <v>209</v>
      </c>
      <c r="V86" s="29" cm="1">
        <f t="array" ref="V86">IF(表成绩单[[#This Row],[历史]]="","",SUMPRODUCT((表成绩单[考试日期]=表成绩单[[#This Row],[考试日期]])*(表成绩单[历史]&lt;9E+307)*(表成绩单[历史]&gt;表成绩单[[#This Row],[历史]]))+1)</f>
        <v>108</v>
      </c>
      <c r="W86" s="29" cm="1">
        <f t="array" ref="W86">IF(表成绩单[[#This Row],[总分]]="","",SUMPRODUCT((表成绩单[考试日期]=表成绩单[[#This Row],[考试日期]])*(表成绩单[总分]&lt;9E+307)*(表成绩单[总分]&gt;表成绩单[[#This Row],[总分]]))+1)</f>
        <v>79</v>
      </c>
    </row>
    <row r="87" ht="28" customHeight="1" spans="4:23">
      <c r="D87" s="31">
        <v>45975</v>
      </c>
      <c r="E87" s="29">
        <v>19177199</v>
      </c>
      <c r="F87" s="29" t="s">
        <v>70</v>
      </c>
      <c r="G87" s="29" t="s">
        <v>161</v>
      </c>
      <c r="H87" s="29">
        <v>99</v>
      </c>
      <c r="I87" s="29">
        <v>119</v>
      </c>
      <c r="J87" s="29">
        <v>84</v>
      </c>
      <c r="K87" s="29">
        <v>90</v>
      </c>
      <c r="L87" s="29">
        <v>81</v>
      </c>
      <c r="M87" s="29">
        <v>78</v>
      </c>
      <c r="N87" s="29">
        <v>78</v>
      </c>
      <c r="O87" s="32">
        <v>629</v>
      </c>
      <c r="P87" s="29" cm="1">
        <f t="array" ref="P87">IF(表成绩单[[#This Row],[语文]]="","",SUMPRODUCT((表成绩单[考试日期]=表成绩单[[#This Row],[考试日期]])*(表成绩单[语文]&lt;9E+307)*(表成绩单[语文]&gt;表成绩单[[#This Row],[语文]]))+1)</f>
        <v>264</v>
      </c>
      <c r="Q87" s="29" cm="1">
        <f t="array" ref="Q87">IF(表成绩单[[#This Row],[数学]]="","",SUMPRODUCT((表成绩单[考试日期]=表成绩单[[#This Row],[考试日期]])*(表成绩单[数学]&lt;9E+307)*(表成绩单[数学]&gt;表成绩单[[#This Row],[数学]]))+1)</f>
        <v>11</v>
      </c>
      <c r="R87" s="29" cm="1">
        <f t="array" ref="R87">IF(表成绩单[[#This Row],[英语]]="","",SUMPRODUCT((表成绩单[考试日期]=表成绩单[[#This Row],[考试日期]])*(表成绩单[英语]&lt;9E+307)*(表成绩单[英语]&gt;表成绩单[[#This Row],[英语]]))+1)</f>
        <v>102</v>
      </c>
      <c r="S87" s="29" cm="1">
        <f t="array" ref="S87">IF(表成绩单[[#This Row],[物理]]="","",SUMPRODUCT((表成绩单[考试日期]=表成绩单[[#This Row],[考试日期]])*(表成绩单[物理]&lt;9E+307)*(表成绩单[物理]&gt;表成绩单[[#This Row],[物理]]))+1)</f>
        <v>1</v>
      </c>
      <c r="T87" s="29" cm="1">
        <f t="array" ref="T87">IF(表成绩单[[#This Row],[化学]]="","",SUMPRODUCT((表成绩单[考试日期]=表成绩单[[#This Row],[考试日期]])*(表成绩单[化学]&lt;9E+307)*(表成绩单[化学]&gt;表成绩单[[#This Row],[化学]]))+1)</f>
        <v>100</v>
      </c>
      <c r="U87" s="29" cm="1">
        <f t="array" ref="U87">IF(表成绩单[[#This Row],[政治]]="","",SUMPRODUCT((表成绩单[考试日期]=表成绩单[[#This Row],[考试日期]])*(表成绩单[政治]&lt;9E+307)*(表成绩单[政治]&gt;表成绩单[[#This Row],[政治]]))+1)</f>
        <v>272</v>
      </c>
      <c r="V87" s="29" cm="1">
        <f t="array" ref="V87">IF(表成绩单[[#This Row],[历史]]="","",SUMPRODUCT((表成绩单[考试日期]=表成绩单[[#This Row],[考试日期]])*(表成绩单[历史]&lt;9E+307)*(表成绩单[历史]&gt;表成绩单[[#This Row],[历史]]))+1)</f>
        <v>189</v>
      </c>
      <c r="W87" s="29" cm="1">
        <f t="array" ref="W87">IF(表成绩单[[#This Row],[总分]]="","",SUMPRODUCT((表成绩单[考试日期]=表成绩单[[#This Row],[考试日期]])*(表成绩单[总分]&lt;9E+307)*(表成绩单[总分]&gt;表成绩单[[#This Row],[总分]]))+1)</f>
        <v>83</v>
      </c>
    </row>
    <row r="88" ht="28" customHeight="1" spans="4:23">
      <c r="D88" s="31">
        <v>45975</v>
      </c>
      <c r="E88" s="29">
        <v>19177202</v>
      </c>
      <c r="F88" s="29" t="s">
        <v>70</v>
      </c>
      <c r="G88" s="29" t="s">
        <v>162</v>
      </c>
      <c r="H88" s="29">
        <v>101</v>
      </c>
      <c r="I88" s="29">
        <v>113</v>
      </c>
      <c r="J88" s="29">
        <v>85</v>
      </c>
      <c r="K88" s="29">
        <v>89</v>
      </c>
      <c r="L88" s="29">
        <v>83</v>
      </c>
      <c r="M88" s="29">
        <v>83</v>
      </c>
      <c r="N88" s="29">
        <v>75</v>
      </c>
      <c r="O88" s="32">
        <v>629</v>
      </c>
      <c r="P88" s="29" cm="1">
        <f t="array" ref="P88">IF(表成绩单[[#This Row],[语文]]="","",SUMPRODUCT((表成绩单[考试日期]=表成绩单[[#This Row],[考试日期]])*(表成绩单[语文]&lt;9E+307)*(表成绩单[语文]&gt;表成绩单[[#This Row],[语文]]))+1)</f>
        <v>190</v>
      </c>
      <c r="Q88" s="29" cm="1">
        <f t="array" ref="Q88">IF(表成绩单[[#This Row],[数学]]="","",SUMPRODUCT((表成绩单[考试日期]=表成绩单[[#This Row],[考试日期]])*(表成绩单[数学]&lt;9E+307)*(表成绩单[数学]&gt;表成绩单[[#This Row],[数学]]))+1)</f>
        <v>93</v>
      </c>
      <c r="R88" s="29" cm="1">
        <f t="array" ref="R88">IF(表成绩单[[#This Row],[英语]]="","",SUMPRODUCT((表成绩单[考试日期]=表成绩单[[#This Row],[考试日期]])*(表成绩单[英语]&lt;9E+307)*(表成绩单[英语]&gt;表成绩单[[#This Row],[英语]]))+1)</f>
        <v>69</v>
      </c>
      <c r="S88" s="29" cm="1">
        <f t="array" ref="S88">IF(表成绩单[[#This Row],[物理]]="","",SUMPRODUCT((表成绩单[考试日期]=表成绩单[[#This Row],[考试日期]])*(表成绩单[物理]&lt;9E+307)*(表成绩单[物理]&gt;表成绩单[[#This Row],[物理]]))+1)</f>
        <v>18</v>
      </c>
      <c r="T88" s="29" cm="1">
        <f t="array" ref="T88">IF(表成绩单[[#This Row],[化学]]="","",SUMPRODUCT((表成绩单[考试日期]=表成绩单[[#This Row],[考试日期]])*(表成绩单[化学]&lt;9E+307)*(表成绩单[化学]&gt;表成绩单[[#This Row],[化学]]))+1)</f>
        <v>49</v>
      </c>
      <c r="U88" s="29" cm="1">
        <f t="array" ref="U88">IF(表成绩单[[#This Row],[政治]]="","",SUMPRODUCT((表成绩单[考试日期]=表成绩单[[#This Row],[考试日期]])*(表成绩单[政治]&lt;9E+307)*(表成绩单[政治]&gt;表成绩单[[#This Row],[政治]]))+1)</f>
        <v>121</v>
      </c>
      <c r="V88" s="29" cm="1">
        <f t="array" ref="V88">IF(表成绩单[[#This Row],[历史]]="","",SUMPRODUCT((表成绩单[考试日期]=表成绩单[[#This Row],[考试日期]])*(表成绩单[历史]&lt;9E+307)*(表成绩单[历史]&gt;表成绩单[[#This Row],[历史]]))+1)</f>
        <v>315</v>
      </c>
      <c r="W88" s="29" cm="1">
        <f t="array" ref="W88">IF(表成绩单[[#This Row],[总分]]="","",SUMPRODUCT((表成绩单[考试日期]=表成绩单[[#This Row],[考试日期]])*(表成绩单[总分]&lt;9E+307)*(表成绩单[总分]&gt;表成绩单[[#This Row],[总分]]))+1)</f>
        <v>83</v>
      </c>
    </row>
    <row r="89" ht="28" customHeight="1" spans="4:23">
      <c r="D89" s="31">
        <v>45975</v>
      </c>
      <c r="E89" s="29">
        <v>19177208</v>
      </c>
      <c r="F89" s="29" t="s">
        <v>70</v>
      </c>
      <c r="G89" s="29" t="s">
        <v>163</v>
      </c>
      <c r="H89" s="29">
        <v>105</v>
      </c>
      <c r="I89" s="29">
        <v>118</v>
      </c>
      <c r="J89" s="29">
        <v>84</v>
      </c>
      <c r="K89" s="29">
        <v>87</v>
      </c>
      <c r="L89" s="29">
        <v>86</v>
      </c>
      <c r="M89" s="29">
        <v>75</v>
      </c>
      <c r="N89" s="29">
        <v>74</v>
      </c>
      <c r="O89" s="32">
        <v>629</v>
      </c>
      <c r="P89" s="29" cm="1">
        <f t="array" ref="P89">IF(表成绩单[[#This Row],[语文]]="","",SUMPRODUCT((表成绩单[考试日期]=表成绩单[[#This Row],[考试日期]])*(表成绩单[语文]&lt;9E+307)*(表成绩单[语文]&gt;表成绩单[[#This Row],[语文]]))+1)</f>
        <v>80</v>
      </c>
      <c r="Q89" s="29" cm="1">
        <f t="array" ref="Q89">IF(表成绩单[[#This Row],[数学]]="","",SUMPRODUCT((表成绩单[考试日期]=表成绩单[[#This Row],[考试日期]])*(表成绩单[数学]&lt;9E+307)*(表成绩单[数学]&gt;表成绩单[[#This Row],[数学]]))+1)</f>
        <v>22</v>
      </c>
      <c r="R89" s="29" cm="1">
        <f t="array" ref="R89">IF(表成绩单[[#This Row],[英语]]="","",SUMPRODUCT((表成绩单[考试日期]=表成绩单[[#This Row],[考试日期]])*(表成绩单[英语]&lt;9E+307)*(表成绩单[英语]&gt;表成绩单[[#This Row],[英语]]))+1)</f>
        <v>102</v>
      </c>
      <c r="S89" s="29" cm="1">
        <f t="array" ref="S89">IF(表成绩单[[#This Row],[物理]]="","",SUMPRODUCT((表成绩单[考试日期]=表成绩单[[#This Row],[考试日期]])*(表成绩单[物理]&lt;9E+307)*(表成绩单[物理]&gt;表成绩单[[#This Row],[物理]]))+1)</f>
        <v>127</v>
      </c>
      <c r="T89" s="29" cm="1">
        <f t="array" ref="T89">IF(表成绩单[[#This Row],[化学]]="","",SUMPRODUCT((表成绩单[考试日期]=表成绩单[[#This Row],[考试日期]])*(表成绩单[化学]&lt;9E+307)*(表成绩单[化学]&gt;表成绩单[[#This Row],[化学]]))+1)</f>
        <v>8</v>
      </c>
      <c r="U89" s="29" cm="1">
        <f t="array" ref="U89">IF(表成绩单[[#This Row],[政治]]="","",SUMPRODUCT((表成绩单[考试日期]=表成绩单[[#This Row],[考试日期]])*(表成绩单[政治]&lt;9E+307)*(表成绩单[政治]&gt;表成绩单[[#This Row],[政治]]))+1)</f>
        <v>363</v>
      </c>
      <c r="V89" s="29" cm="1">
        <f t="array" ref="V89">IF(表成绩单[[#This Row],[历史]]="","",SUMPRODUCT((表成绩单[考试日期]=表成绩单[[#This Row],[考试日期]])*(表成绩单[历史]&lt;9E+307)*(表成绩单[历史]&gt;表成绩单[[#This Row],[历史]]))+1)</f>
        <v>358</v>
      </c>
      <c r="W89" s="29" cm="1">
        <f t="array" ref="W89">IF(表成绩单[[#This Row],[总分]]="","",SUMPRODUCT((表成绩单[考试日期]=表成绩单[[#This Row],[考试日期]])*(表成绩单[总分]&lt;9E+307)*(表成绩单[总分]&gt;表成绩单[[#This Row],[总分]]))+1)</f>
        <v>83</v>
      </c>
    </row>
    <row r="90" ht="28" customHeight="1" spans="4:23">
      <c r="D90" s="31">
        <v>45975</v>
      </c>
      <c r="E90" s="29">
        <v>19177233</v>
      </c>
      <c r="F90" s="29" t="s">
        <v>70</v>
      </c>
      <c r="G90" s="29" t="s">
        <v>164</v>
      </c>
      <c r="H90" s="29">
        <v>107</v>
      </c>
      <c r="I90" s="29">
        <v>108</v>
      </c>
      <c r="J90" s="29">
        <v>83</v>
      </c>
      <c r="K90" s="29">
        <v>88</v>
      </c>
      <c r="L90" s="29">
        <v>75</v>
      </c>
      <c r="M90" s="29">
        <v>88</v>
      </c>
      <c r="N90" s="29">
        <v>80</v>
      </c>
      <c r="O90" s="32">
        <v>629</v>
      </c>
      <c r="P90" s="29" cm="1">
        <f t="array" ref="P90">IF(表成绩单[[#This Row],[语文]]="","",SUMPRODUCT((表成绩单[考试日期]=表成绩单[[#This Row],[考试日期]])*(表成绩单[语文]&lt;9E+307)*(表成绩单[语文]&gt;表成绩单[[#This Row],[语文]]))+1)</f>
        <v>45</v>
      </c>
      <c r="Q90" s="29" cm="1">
        <f t="array" ref="Q90">IF(表成绩单[[#This Row],[数学]]="","",SUMPRODUCT((表成绩单[考试日期]=表成绩单[[#This Row],[考试日期]])*(表成绩单[数学]&lt;9E+307)*(表成绩单[数学]&gt;表成绩单[[#This Row],[数学]]))+1)</f>
        <v>182</v>
      </c>
      <c r="R90" s="29" cm="1">
        <f t="array" ref="R90">IF(表成绩单[[#This Row],[英语]]="","",SUMPRODUCT((表成绩单[考试日期]=表成绩单[[#This Row],[考试日期]])*(表成绩单[英语]&lt;9E+307)*(表成绩单[英语]&gt;表成绩单[[#This Row],[英语]]))+1)</f>
        <v>146</v>
      </c>
      <c r="S90" s="29" cm="1">
        <f t="array" ref="S90">IF(表成绩单[[#This Row],[物理]]="","",SUMPRODUCT((表成绩单[考试日期]=表成绩单[[#This Row],[考试日期]])*(表成绩单[物理]&lt;9E+307)*(表成绩单[物理]&gt;表成绩单[[#This Row],[物理]]))+1)</f>
        <v>54</v>
      </c>
      <c r="T90" s="29" cm="1">
        <f t="array" ref="T90">IF(表成绩单[[#This Row],[化学]]="","",SUMPRODUCT((表成绩单[考试日期]=表成绩单[[#This Row],[考试日期]])*(表成绩单[化学]&lt;9E+307)*(表成绩单[化学]&gt;表成绩单[[#This Row],[化学]]))+1)</f>
        <v>310</v>
      </c>
      <c r="U90" s="29" cm="1">
        <f t="array" ref="U90">IF(表成绩单[[#This Row],[政治]]="","",SUMPRODUCT((表成绩单[考试日期]=表成绩单[[#This Row],[考试日期]])*(表成绩单[政治]&lt;9E+307)*(表成绩单[政治]&gt;表成绩单[[#This Row],[政治]]))+1)</f>
        <v>4</v>
      </c>
      <c r="V90" s="29" cm="1">
        <f t="array" ref="V90">IF(表成绩单[[#This Row],[历史]]="","",SUMPRODUCT((表成绩单[考试日期]=表成绩单[[#This Row],[考试日期]])*(表成绩单[历史]&lt;9E+307)*(表成绩单[历史]&gt;表成绩单[[#This Row],[历史]]))+1)</f>
        <v>108</v>
      </c>
      <c r="W90" s="29" cm="1">
        <f t="array" ref="W90">IF(表成绩单[[#This Row],[总分]]="","",SUMPRODUCT((表成绩单[考试日期]=表成绩单[[#This Row],[考试日期]])*(表成绩单[总分]&lt;9E+307)*(表成绩单[总分]&gt;表成绩单[[#This Row],[总分]]))+1)</f>
        <v>83</v>
      </c>
    </row>
    <row r="91" ht="28" customHeight="1" spans="4:23">
      <c r="D91" s="31">
        <v>45975</v>
      </c>
      <c r="E91" s="29">
        <v>19177211</v>
      </c>
      <c r="F91" s="29" t="s">
        <v>70</v>
      </c>
      <c r="G91" s="29" t="s">
        <v>165</v>
      </c>
      <c r="H91" s="29">
        <v>105</v>
      </c>
      <c r="I91" s="29">
        <v>107</v>
      </c>
      <c r="J91" s="29">
        <v>88.5</v>
      </c>
      <c r="K91" s="29">
        <v>89</v>
      </c>
      <c r="L91" s="29">
        <v>76</v>
      </c>
      <c r="M91" s="29">
        <v>85</v>
      </c>
      <c r="N91" s="29">
        <v>78</v>
      </c>
      <c r="O91" s="32">
        <v>628.5</v>
      </c>
      <c r="P91" s="29" cm="1">
        <f t="array" ref="P91">IF(表成绩单[[#This Row],[语文]]="","",SUMPRODUCT((表成绩单[考试日期]=表成绩单[[#This Row],[考试日期]])*(表成绩单[语文]&lt;9E+307)*(表成绩单[语文]&gt;表成绩单[[#This Row],[语文]]))+1)</f>
        <v>80</v>
      </c>
      <c r="Q91" s="29" cm="1">
        <f t="array" ref="Q91">IF(表成绩单[[#This Row],[数学]]="","",SUMPRODUCT((表成绩单[考试日期]=表成绩单[[#This Row],[考试日期]])*(表成绩单[数学]&lt;9E+307)*(表成绩单[数学]&gt;表成绩单[[#This Row],[数学]]))+1)</f>
        <v>200</v>
      </c>
      <c r="R91" s="29" cm="1">
        <f t="array" ref="R91">IF(表成绩单[[#This Row],[英语]]="","",SUMPRODUCT((表成绩单[考试日期]=表成绩单[[#This Row],[考试日期]])*(表成绩单[英语]&lt;9E+307)*(表成绩单[英语]&gt;表成绩单[[#This Row],[英语]]))+1)</f>
        <v>7</v>
      </c>
      <c r="S91" s="29" cm="1">
        <f t="array" ref="S91">IF(表成绩单[[#This Row],[物理]]="","",SUMPRODUCT((表成绩单[考试日期]=表成绩单[[#This Row],[考试日期]])*(表成绩单[物理]&lt;9E+307)*(表成绩单[物理]&gt;表成绩单[[#This Row],[物理]]))+1)</f>
        <v>18</v>
      </c>
      <c r="T91" s="29" cm="1">
        <f t="array" ref="T91">IF(表成绩单[[#This Row],[化学]]="","",SUMPRODUCT((表成绩单[考试日期]=表成绩单[[#This Row],[考试日期]])*(表成绩单[化学]&lt;9E+307)*(表成绩单[化学]&gt;表成绩单[[#This Row],[化学]]))+1)</f>
        <v>268</v>
      </c>
      <c r="U91" s="29" cm="1">
        <f t="array" ref="U91">IF(表成绩单[[#This Row],[政治]]="","",SUMPRODUCT((表成绩单[考试日期]=表成绩单[[#This Row],[考试日期]])*(表成绩单[政治]&lt;9E+307)*(表成绩单[政治]&gt;表成绩单[[#This Row],[政治]]))+1)</f>
        <v>45</v>
      </c>
      <c r="V91" s="29" cm="1">
        <f t="array" ref="V91">IF(表成绩单[[#This Row],[历史]]="","",SUMPRODUCT((表成绩单[考试日期]=表成绩单[[#This Row],[考试日期]])*(表成绩单[历史]&lt;9E+307)*(表成绩单[历史]&gt;表成绩单[[#This Row],[历史]]))+1)</f>
        <v>189</v>
      </c>
      <c r="W91" s="29" cm="1">
        <f t="array" ref="W91">IF(表成绩单[[#This Row],[总分]]="","",SUMPRODUCT((表成绩单[考试日期]=表成绩单[[#This Row],[考试日期]])*(表成绩单[总分]&lt;9E+307)*(表成绩单[总分]&gt;表成绩单[[#This Row],[总分]]))+1)</f>
        <v>87</v>
      </c>
    </row>
    <row r="92" ht="28" customHeight="1" spans="4:23">
      <c r="D92" s="31">
        <v>45975</v>
      </c>
      <c r="E92" s="29">
        <v>19177225</v>
      </c>
      <c r="F92" s="29" t="s">
        <v>70</v>
      </c>
      <c r="G92" s="29" t="s">
        <v>166</v>
      </c>
      <c r="H92" s="29">
        <v>100</v>
      </c>
      <c r="I92" s="29">
        <v>113</v>
      </c>
      <c r="J92" s="29">
        <v>77.5</v>
      </c>
      <c r="K92" s="29">
        <v>85</v>
      </c>
      <c r="L92" s="29">
        <v>87</v>
      </c>
      <c r="M92" s="29">
        <v>85</v>
      </c>
      <c r="N92" s="29">
        <v>81</v>
      </c>
      <c r="O92" s="32">
        <v>628.5</v>
      </c>
      <c r="P92" s="29" cm="1">
        <f t="array" ref="P92">IF(表成绩单[[#This Row],[语文]]="","",SUMPRODUCT((表成绩单[考试日期]=表成绩单[[#This Row],[考试日期]])*(表成绩单[语文]&lt;9E+307)*(表成绩单[语文]&gt;表成绩单[[#This Row],[语文]]))+1)</f>
        <v>223</v>
      </c>
      <c r="Q92" s="29" cm="1">
        <f t="array" ref="Q92">IF(表成绩单[[#This Row],[数学]]="","",SUMPRODUCT((表成绩单[考试日期]=表成绩单[[#This Row],[考试日期]])*(表成绩单[数学]&lt;9E+307)*(表成绩单[数学]&gt;表成绩单[[#This Row],[数学]]))+1)</f>
        <v>93</v>
      </c>
      <c r="R92" s="29" cm="1">
        <f t="array" ref="R92">IF(表成绩单[[#This Row],[英语]]="","",SUMPRODUCT((表成绩单[考试日期]=表成绩单[[#This Row],[考试日期]])*(表成绩单[英语]&lt;9E+307)*(表成绩单[英语]&gt;表成绩单[[#This Row],[英语]]))+1)</f>
        <v>345</v>
      </c>
      <c r="S92" s="29" cm="1">
        <f t="array" ref="S92">IF(表成绩单[[#This Row],[物理]]="","",SUMPRODUCT((表成绩单[考试日期]=表成绩单[[#This Row],[考试日期]])*(表成绩单[物理]&lt;9E+307)*(表成绩单[物理]&gt;表成绩单[[#This Row],[物理]]))+1)</f>
        <v>263</v>
      </c>
      <c r="T92" s="29" cm="1">
        <f t="array" ref="T92">IF(表成绩单[[#This Row],[化学]]="","",SUMPRODUCT((表成绩单[考试日期]=表成绩单[[#This Row],[考试日期]])*(表成绩单[化学]&lt;9E+307)*(表成绩单[化学]&gt;表成绩单[[#This Row],[化学]]))+1)</f>
        <v>3</v>
      </c>
      <c r="U92" s="29" cm="1">
        <f t="array" ref="U92">IF(表成绩单[[#This Row],[政治]]="","",SUMPRODUCT((表成绩单[考试日期]=表成绩单[[#This Row],[考试日期]])*(表成绩单[政治]&lt;9E+307)*(表成绩单[政治]&gt;表成绩单[[#This Row],[政治]]))+1)</f>
        <v>45</v>
      </c>
      <c r="V92" s="29" cm="1">
        <f t="array" ref="V92">IF(表成绩单[[#This Row],[历史]]="","",SUMPRODUCT((表成绩单[考试日期]=表成绩单[[#This Row],[考试日期]])*(表成绩单[历史]&lt;9E+307)*(表成绩单[历史]&gt;表成绩单[[#This Row],[历史]]))+1)</f>
        <v>63</v>
      </c>
      <c r="W92" s="29" cm="1">
        <f t="array" ref="W92">IF(表成绩单[[#This Row],[总分]]="","",SUMPRODUCT((表成绩单[考试日期]=表成绩单[[#This Row],[考试日期]])*(表成绩单[总分]&lt;9E+307)*(表成绩单[总分]&gt;表成绩单[[#This Row],[总分]]))+1)</f>
        <v>87</v>
      </c>
    </row>
    <row r="93" ht="28" customHeight="1" spans="4:23">
      <c r="D93" s="31">
        <v>45975</v>
      </c>
      <c r="E93" s="29">
        <v>19174467</v>
      </c>
      <c r="F93" s="29" t="s">
        <v>73</v>
      </c>
      <c r="G93" s="29" t="s">
        <v>167</v>
      </c>
      <c r="H93" s="29">
        <v>99</v>
      </c>
      <c r="I93" s="29">
        <v>111</v>
      </c>
      <c r="J93" s="29">
        <v>77</v>
      </c>
      <c r="K93" s="29">
        <v>88</v>
      </c>
      <c r="L93" s="29">
        <v>85</v>
      </c>
      <c r="M93" s="29">
        <v>85</v>
      </c>
      <c r="N93" s="29">
        <v>83</v>
      </c>
      <c r="O93" s="32">
        <v>628</v>
      </c>
      <c r="P93" s="29" cm="1">
        <f t="array" ref="P93">IF(表成绩单[[#This Row],[语文]]="","",SUMPRODUCT((表成绩单[考试日期]=表成绩单[[#This Row],[考试日期]])*(表成绩单[语文]&lt;9E+307)*(表成绩单[语文]&gt;表成绩单[[#This Row],[语文]]))+1)</f>
        <v>264</v>
      </c>
      <c r="Q93" s="29" cm="1">
        <f t="array" ref="Q93">IF(表成绩单[[#This Row],[数学]]="","",SUMPRODUCT((表成绩单[考试日期]=表成绩单[[#This Row],[考试日期]])*(表成绩单[数学]&lt;9E+307)*(表成绩单[数学]&gt;表成绩单[[#This Row],[数学]]))+1)</f>
        <v>134</v>
      </c>
      <c r="R93" s="29" cm="1">
        <f t="array" ref="R93">IF(表成绩单[[#This Row],[英语]]="","",SUMPRODUCT((表成绩单[考试日期]=表成绩单[[#This Row],[考试日期]])*(表成绩单[英语]&lt;9E+307)*(表成绩单[英语]&gt;表成绩单[[#This Row],[英语]]))+1)</f>
        <v>369</v>
      </c>
      <c r="S93" s="29" cm="1">
        <f t="array" ref="S93">IF(表成绩单[[#This Row],[物理]]="","",SUMPRODUCT((表成绩单[考试日期]=表成绩单[[#This Row],[考试日期]])*(表成绩单[物理]&lt;9E+307)*(表成绩单[物理]&gt;表成绩单[[#This Row],[物理]]))+1)</f>
        <v>54</v>
      </c>
      <c r="T93" s="29" cm="1">
        <f t="array" ref="T93">IF(表成绩单[[#This Row],[化学]]="","",SUMPRODUCT((表成绩单[考试日期]=表成绩单[[#This Row],[考试日期]])*(表成绩单[化学]&lt;9E+307)*(表成绩单[化学]&gt;表成绩单[[#This Row],[化学]]))+1)</f>
        <v>19</v>
      </c>
      <c r="U93" s="29" cm="1">
        <f t="array" ref="U93">IF(表成绩单[[#This Row],[政治]]="","",SUMPRODUCT((表成绩单[考试日期]=表成绩单[[#This Row],[考试日期]])*(表成绩单[政治]&lt;9E+307)*(表成绩单[政治]&gt;表成绩单[[#This Row],[政治]]))+1)</f>
        <v>45</v>
      </c>
      <c r="V93" s="29" cm="1">
        <f t="array" ref="V93">IF(表成绩单[[#This Row],[历史]]="","",SUMPRODUCT((表成绩单[考试日期]=表成绩单[[#This Row],[考试日期]])*(表成绩单[历史]&lt;9E+307)*(表成绩单[历史]&gt;表成绩单[[#This Row],[历史]]))+1)</f>
        <v>18</v>
      </c>
      <c r="W93" s="29" cm="1">
        <f t="array" ref="W93">IF(表成绩单[[#This Row],[总分]]="","",SUMPRODUCT((表成绩单[考试日期]=表成绩单[[#This Row],[考试日期]])*(表成绩单[总分]&lt;9E+307)*(表成绩单[总分]&gt;表成绩单[[#This Row],[总分]]))+1)</f>
        <v>89</v>
      </c>
    </row>
    <row r="94" ht="28" customHeight="1" spans="4:23">
      <c r="D94" s="31">
        <v>45975</v>
      </c>
      <c r="E94" s="29">
        <v>19175398</v>
      </c>
      <c r="F94" s="29" t="s">
        <v>74</v>
      </c>
      <c r="G94" s="29" t="s">
        <v>168</v>
      </c>
      <c r="H94" s="29">
        <v>100</v>
      </c>
      <c r="I94" s="29">
        <v>116</v>
      </c>
      <c r="J94" s="29">
        <v>87</v>
      </c>
      <c r="K94" s="29">
        <v>86</v>
      </c>
      <c r="L94" s="29">
        <v>82</v>
      </c>
      <c r="M94" s="29">
        <v>79</v>
      </c>
      <c r="N94" s="29">
        <v>78</v>
      </c>
      <c r="O94" s="32">
        <v>628</v>
      </c>
      <c r="P94" s="29" cm="1">
        <f t="array" ref="P94">IF(表成绩单[[#This Row],[语文]]="","",SUMPRODUCT((表成绩单[考试日期]=表成绩单[[#This Row],[考试日期]])*(表成绩单[语文]&lt;9E+307)*(表成绩单[语文]&gt;表成绩单[[#This Row],[语文]]))+1)</f>
        <v>223</v>
      </c>
      <c r="Q94" s="29" cm="1">
        <f t="array" ref="Q94">IF(表成绩单[[#This Row],[数学]]="","",SUMPRODUCT((表成绩单[考试日期]=表成绩单[[#This Row],[考试日期]])*(表成绩单[数学]&lt;9E+307)*(表成绩单[数学]&gt;表成绩单[[#This Row],[数学]]))+1)</f>
        <v>50</v>
      </c>
      <c r="R94" s="29" cm="1">
        <f t="array" ref="R94">IF(表成绩单[[#This Row],[英语]]="","",SUMPRODUCT((表成绩单[考试日期]=表成绩单[[#This Row],[考试日期]])*(表成绩单[英语]&lt;9E+307)*(表成绩单[英语]&gt;表成绩单[[#This Row],[英语]]))+1)</f>
        <v>20</v>
      </c>
      <c r="S94" s="29" cm="1">
        <f t="array" ref="S94">IF(表成绩单[[#This Row],[物理]]="","",SUMPRODUCT((表成绩单[考试日期]=表成绩单[[#This Row],[考试日期]])*(表成绩单[物理]&lt;9E+307)*(表成绩单[物理]&gt;表成绩单[[#This Row],[物理]]))+1)</f>
        <v>187</v>
      </c>
      <c r="T94" s="29" cm="1">
        <f t="array" ref="T94">IF(表成绩单[[#This Row],[化学]]="","",SUMPRODUCT((表成绩单[考试日期]=表成绩单[[#This Row],[考试日期]])*(表成绩单[化学]&lt;9E+307)*(表成绩单[化学]&gt;表成绩单[[#This Row],[化学]]))+1)</f>
        <v>71</v>
      </c>
      <c r="U94" s="29" cm="1">
        <f t="array" ref="U94">IF(表成绩单[[#This Row],[政治]]="","",SUMPRODUCT((表成绩单[考试日期]=表成绩单[[#This Row],[考试日期]])*(表成绩单[政治]&lt;9E+307)*(表成绩单[政治]&gt;表成绩单[[#This Row],[政治]]))+1)</f>
        <v>246</v>
      </c>
      <c r="V94" s="29" cm="1">
        <f t="array" ref="V94">IF(表成绩单[[#This Row],[历史]]="","",SUMPRODUCT((表成绩单[考试日期]=表成绩单[[#This Row],[考试日期]])*(表成绩单[历史]&lt;9E+307)*(表成绩单[历史]&gt;表成绩单[[#This Row],[历史]]))+1)</f>
        <v>189</v>
      </c>
      <c r="W94" s="29" cm="1">
        <f t="array" ref="W94">IF(表成绩单[[#This Row],[总分]]="","",SUMPRODUCT((表成绩单[考试日期]=表成绩单[[#This Row],[考试日期]])*(表成绩单[总分]&lt;9E+307)*(表成绩单[总分]&gt;表成绩单[[#This Row],[总分]]))+1)</f>
        <v>89</v>
      </c>
    </row>
    <row r="95" ht="28" customHeight="1" spans="4:23">
      <c r="D95" s="31">
        <v>45975</v>
      </c>
      <c r="E95" s="29">
        <v>19175696</v>
      </c>
      <c r="F95" s="29" t="s">
        <v>72</v>
      </c>
      <c r="G95" s="29" t="s">
        <v>169</v>
      </c>
      <c r="H95" s="29">
        <v>101</v>
      </c>
      <c r="I95" s="29">
        <v>114</v>
      </c>
      <c r="J95" s="29">
        <v>78</v>
      </c>
      <c r="K95" s="29">
        <v>88</v>
      </c>
      <c r="L95" s="29">
        <v>84</v>
      </c>
      <c r="M95" s="29">
        <v>84</v>
      </c>
      <c r="N95" s="29">
        <v>79</v>
      </c>
      <c r="O95" s="32">
        <v>628</v>
      </c>
      <c r="P95" s="29" cm="1">
        <f t="array" ref="P95">IF(表成绩单[[#This Row],[语文]]="","",SUMPRODUCT((表成绩单[考试日期]=表成绩单[[#This Row],[考试日期]])*(表成绩单[语文]&lt;9E+307)*(表成绩单[语文]&gt;表成绩单[[#This Row],[语文]]))+1)</f>
        <v>190</v>
      </c>
      <c r="Q95" s="29" cm="1">
        <f t="array" ref="Q95">IF(表成绩单[[#This Row],[数学]]="","",SUMPRODUCT((表成绩单[考试日期]=表成绩单[[#This Row],[考试日期]])*(表成绩单[数学]&lt;9E+307)*(表成绩单[数学]&gt;表成绩单[[#This Row],[数学]]))+1)</f>
        <v>79</v>
      </c>
      <c r="R95" s="29" cm="1">
        <f t="array" ref="R95">IF(表成绩单[[#This Row],[英语]]="","",SUMPRODUCT((表成绩单[考试日期]=表成绩单[[#This Row],[考试日期]])*(表成绩单[英语]&lt;9E+307)*(表成绩单[英语]&gt;表成绩单[[#This Row],[英语]]))+1)</f>
        <v>330</v>
      </c>
      <c r="S95" s="29" cm="1">
        <f t="array" ref="S95">IF(表成绩单[[#This Row],[物理]]="","",SUMPRODUCT((表成绩单[考试日期]=表成绩单[[#This Row],[考试日期]])*(表成绩单[物理]&lt;9E+307)*(表成绩单[物理]&gt;表成绩单[[#This Row],[物理]]))+1)</f>
        <v>54</v>
      </c>
      <c r="T95" s="29" cm="1">
        <f t="array" ref="T95">IF(表成绩单[[#This Row],[化学]]="","",SUMPRODUCT((表成绩单[考试日期]=表成绩单[[#This Row],[考试日期]])*(表成绩单[化学]&lt;9E+307)*(表成绩单[化学]&gt;表成绩单[[#This Row],[化学]]))+1)</f>
        <v>33</v>
      </c>
      <c r="U95" s="29" cm="1">
        <f t="array" ref="U95">IF(表成绩单[[#This Row],[政治]]="","",SUMPRODUCT((表成绩单[考试日期]=表成绩单[[#This Row],[考试日期]])*(表成绩单[政治]&lt;9E+307)*(表成绩单[政治]&gt;表成绩单[[#This Row],[政治]]))+1)</f>
        <v>83</v>
      </c>
      <c r="V95" s="29" cm="1">
        <f t="array" ref="V95">IF(表成绩单[[#This Row],[历史]]="","",SUMPRODUCT((表成绩单[考试日期]=表成绩单[[#This Row],[考试日期]])*(表成绩单[历史]&lt;9E+307)*(表成绩单[历史]&gt;表成绩单[[#This Row],[历史]]))+1)</f>
        <v>144</v>
      </c>
      <c r="W95" s="29" cm="1">
        <f t="array" ref="W95">IF(表成绩单[[#This Row],[总分]]="","",SUMPRODUCT((表成绩单[考试日期]=表成绩单[[#This Row],[考试日期]])*(表成绩单[总分]&lt;9E+307)*(表成绩单[总分]&gt;表成绩单[[#This Row],[总分]]))+1)</f>
        <v>89</v>
      </c>
    </row>
    <row r="96" ht="28" customHeight="1" spans="4:23">
      <c r="D96" s="31">
        <v>45975</v>
      </c>
      <c r="E96" s="29">
        <v>19177219</v>
      </c>
      <c r="F96" s="29" t="s">
        <v>70</v>
      </c>
      <c r="G96" s="29" t="s">
        <v>170</v>
      </c>
      <c r="H96" s="29">
        <v>108</v>
      </c>
      <c r="I96" s="29">
        <v>116</v>
      </c>
      <c r="J96" s="29">
        <v>75</v>
      </c>
      <c r="K96" s="29">
        <v>85</v>
      </c>
      <c r="L96" s="29">
        <v>81</v>
      </c>
      <c r="M96" s="29">
        <v>83</v>
      </c>
      <c r="N96" s="29">
        <v>80</v>
      </c>
      <c r="O96" s="32">
        <v>628</v>
      </c>
      <c r="P96" s="29" cm="1">
        <f t="array" ref="P96">IF(表成绩单[[#This Row],[语文]]="","",SUMPRODUCT((表成绩单[考试日期]=表成绩单[[#This Row],[考试日期]])*(表成绩单[语文]&lt;9E+307)*(表成绩单[语文]&gt;表成绩单[[#This Row],[语文]]))+1)</f>
        <v>27</v>
      </c>
      <c r="Q96" s="29" cm="1">
        <f t="array" ref="Q96">IF(表成绩单[[#This Row],[数学]]="","",SUMPRODUCT((表成绩单[考试日期]=表成绩单[[#This Row],[考试日期]])*(表成绩单[数学]&lt;9E+307)*(表成绩单[数学]&gt;表成绩单[[#This Row],[数学]]))+1)</f>
        <v>50</v>
      </c>
      <c r="R96" s="29" cm="1">
        <f t="array" ref="R96">IF(表成绩单[[#This Row],[英语]]="","",SUMPRODUCT((表成绩单[考试日期]=表成绩单[[#This Row],[考试日期]])*(表成绩单[英语]&lt;9E+307)*(表成绩单[英语]&gt;表成绩单[[#This Row],[英语]]))+1)</f>
        <v>430</v>
      </c>
      <c r="S96" s="29" cm="1">
        <f t="array" ref="S96">IF(表成绩单[[#This Row],[物理]]="","",SUMPRODUCT((表成绩单[考试日期]=表成绩单[[#This Row],[考试日期]])*(表成绩单[物理]&lt;9E+307)*(表成绩单[物理]&gt;表成绩单[[#This Row],[物理]]))+1)</f>
        <v>263</v>
      </c>
      <c r="T96" s="29" cm="1">
        <f t="array" ref="T96">IF(表成绩单[[#This Row],[化学]]="","",SUMPRODUCT((表成绩单[考试日期]=表成绩单[[#This Row],[考试日期]])*(表成绩单[化学]&lt;9E+307)*(表成绩单[化学]&gt;表成绩单[[#This Row],[化学]]))+1)</f>
        <v>100</v>
      </c>
      <c r="U96" s="29" cm="1">
        <f t="array" ref="U96">IF(表成绩单[[#This Row],[政治]]="","",SUMPRODUCT((表成绩单[考试日期]=表成绩单[[#This Row],[考试日期]])*(表成绩单[政治]&lt;9E+307)*(表成绩单[政治]&gt;表成绩单[[#This Row],[政治]]))+1)</f>
        <v>121</v>
      </c>
      <c r="V96" s="29" cm="1">
        <f t="array" ref="V96">IF(表成绩单[[#This Row],[历史]]="","",SUMPRODUCT((表成绩单[考试日期]=表成绩单[[#This Row],[考试日期]])*(表成绩单[历史]&lt;9E+307)*(表成绩单[历史]&gt;表成绩单[[#This Row],[历史]]))+1)</f>
        <v>108</v>
      </c>
      <c r="W96" s="29" cm="1">
        <f t="array" ref="W96">IF(表成绩单[[#This Row],[总分]]="","",SUMPRODUCT((表成绩单[考试日期]=表成绩单[[#This Row],[考试日期]])*(表成绩单[总分]&lt;9E+307)*(表成绩单[总分]&gt;表成绩单[[#This Row],[总分]]))+1)</f>
        <v>89</v>
      </c>
    </row>
    <row r="97" ht="28" customHeight="1" spans="4:23">
      <c r="D97" s="31">
        <v>45975</v>
      </c>
      <c r="E97" s="29">
        <v>19177223</v>
      </c>
      <c r="F97" s="29" t="s">
        <v>70</v>
      </c>
      <c r="G97" s="29" t="s">
        <v>171</v>
      </c>
      <c r="H97" s="29">
        <v>105</v>
      </c>
      <c r="I97" s="29">
        <v>115</v>
      </c>
      <c r="J97" s="29">
        <v>82.5</v>
      </c>
      <c r="K97" s="29">
        <v>89</v>
      </c>
      <c r="L97" s="29">
        <v>78</v>
      </c>
      <c r="M97" s="29">
        <v>77</v>
      </c>
      <c r="N97" s="29">
        <v>81</v>
      </c>
      <c r="O97" s="32">
        <v>627.5</v>
      </c>
      <c r="P97" s="29" cm="1">
        <f t="array" ref="P97">IF(表成绩单[[#This Row],[语文]]="","",SUMPRODUCT((表成绩单[考试日期]=表成绩单[[#This Row],[考试日期]])*(表成绩单[语文]&lt;9E+307)*(表成绩单[语文]&gt;表成绩单[[#This Row],[语文]]))+1)</f>
        <v>80</v>
      </c>
      <c r="Q97" s="29" cm="1">
        <f t="array" ref="Q97">IF(表成绩单[[#This Row],[数学]]="","",SUMPRODUCT((表成绩单[考试日期]=表成绩单[[#This Row],[考试日期]])*(表成绩单[数学]&lt;9E+307)*(表成绩单[数学]&gt;表成绩单[[#This Row],[数学]]))+1)</f>
        <v>63</v>
      </c>
      <c r="R97" s="29" cm="1">
        <f t="array" ref="R97">IF(表成绩单[[#This Row],[英语]]="","",SUMPRODUCT((表成绩单[考试日期]=表成绩单[[#This Row],[考试日期]])*(表成绩单[英语]&lt;9E+307)*(表成绩单[英语]&gt;表成绩单[[#This Row],[英语]]))+1)</f>
        <v>170</v>
      </c>
      <c r="S97" s="29" cm="1">
        <f t="array" ref="S97">IF(表成绩单[[#This Row],[物理]]="","",SUMPRODUCT((表成绩单[考试日期]=表成绩单[[#This Row],[考试日期]])*(表成绩单[物理]&lt;9E+307)*(表成绩单[物理]&gt;表成绩单[[#This Row],[物理]]))+1)</f>
        <v>18</v>
      </c>
      <c r="T97" s="29" cm="1">
        <f t="array" ref="T97">IF(表成绩单[[#This Row],[化学]]="","",SUMPRODUCT((表成绩单[考试日期]=表成绩单[[#This Row],[考试日期]])*(表成绩单[化学]&lt;9E+307)*(表成绩单[化学]&gt;表成绩单[[#This Row],[化学]]))+1)</f>
        <v>200</v>
      </c>
      <c r="U97" s="29" cm="1">
        <f t="array" ref="U97">IF(表成绩单[[#This Row],[政治]]="","",SUMPRODUCT((表成绩单[考试日期]=表成绩单[[#This Row],[考试日期]])*(表成绩单[政治]&lt;9E+307)*(表成绩单[政治]&gt;表成绩单[[#This Row],[政治]]))+1)</f>
        <v>304</v>
      </c>
      <c r="V97" s="29" cm="1">
        <f t="array" ref="V97">IF(表成绩单[[#This Row],[历史]]="","",SUMPRODUCT((表成绩单[考试日期]=表成绩单[[#This Row],[考试日期]])*(表成绩单[历史]&lt;9E+307)*(表成绩单[历史]&gt;表成绩单[[#This Row],[历史]]))+1)</f>
        <v>63</v>
      </c>
      <c r="W97" s="29" cm="1">
        <f t="array" ref="W97">IF(表成绩单[[#This Row],[总分]]="","",SUMPRODUCT((表成绩单[考试日期]=表成绩单[[#This Row],[考试日期]])*(表成绩单[总分]&lt;9E+307)*(表成绩单[总分]&gt;表成绩单[[#This Row],[总分]]))+1)</f>
        <v>93</v>
      </c>
    </row>
    <row r="98" ht="28" customHeight="1" spans="4:23">
      <c r="D98" s="31">
        <v>45975</v>
      </c>
      <c r="E98" s="29">
        <v>36665452</v>
      </c>
      <c r="F98" s="29" t="s">
        <v>67</v>
      </c>
      <c r="G98" s="29" t="s">
        <v>172</v>
      </c>
      <c r="H98" s="29">
        <v>102</v>
      </c>
      <c r="I98" s="29">
        <v>114</v>
      </c>
      <c r="J98" s="29">
        <v>81.5</v>
      </c>
      <c r="K98" s="29">
        <v>88</v>
      </c>
      <c r="L98" s="29">
        <v>81</v>
      </c>
      <c r="M98" s="29">
        <v>77</v>
      </c>
      <c r="N98" s="29">
        <v>84</v>
      </c>
      <c r="O98" s="32">
        <v>627.5</v>
      </c>
      <c r="P98" s="29" cm="1">
        <f t="array" ref="P98">IF(表成绩单[[#This Row],[语文]]="","",SUMPRODUCT((表成绩单[考试日期]=表成绩单[[#This Row],[考试日期]])*(表成绩单[语文]&lt;9E+307)*(表成绩单[语文]&gt;表成绩单[[#This Row],[语文]]))+1)</f>
        <v>154</v>
      </c>
      <c r="Q98" s="29" cm="1">
        <f t="array" ref="Q98">IF(表成绩单[[#This Row],[数学]]="","",SUMPRODUCT((表成绩单[考试日期]=表成绩单[[#This Row],[考试日期]])*(表成绩单[数学]&lt;9E+307)*(表成绩单[数学]&gt;表成绩单[[#This Row],[数学]]))+1)</f>
        <v>79</v>
      </c>
      <c r="R98" s="29" cm="1">
        <f t="array" ref="R98">IF(表成绩单[[#This Row],[英语]]="","",SUMPRODUCT((表成绩单[考试日期]=表成绩单[[#This Row],[考试日期]])*(表成绩单[英语]&lt;9E+307)*(表成绩单[英语]&gt;表成绩单[[#This Row],[英语]]))+1)</f>
        <v>220</v>
      </c>
      <c r="S98" s="29" cm="1">
        <f t="array" ref="S98">IF(表成绩单[[#This Row],[物理]]="","",SUMPRODUCT((表成绩单[考试日期]=表成绩单[[#This Row],[考试日期]])*(表成绩单[物理]&lt;9E+307)*(表成绩单[物理]&gt;表成绩单[[#This Row],[物理]]))+1)</f>
        <v>54</v>
      </c>
      <c r="T98" s="29" cm="1">
        <f t="array" ref="T98">IF(表成绩单[[#This Row],[化学]]="","",SUMPRODUCT((表成绩单[考试日期]=表成绩单[[#This Row],[考试日期]])*(表成绩单[化学]&lt;9E+307)*(表成绩单[化学]&gt;表成绩单[[#This Row],[化学]]))+1)</f>
        <v>100</v>
      </c>
      <c r="U98" s="29" cm="1">
        <f t="array" ref="U98">IF(表成绩单[[#This Row],[政治]]="","",SUMPRODUCT((表成绩单[考试日期]=表成绩单[[#This Row],[考试日期]])*(表成绩单[政治]&lt;9E+307)*(表成绩单[政治]&gt;表成绩单[[#This Row],[政治]]))+1)</f>
        <v>304</v>
      </c>
      <c r="V98" s="29" cm="1">
        <f t="array" ref="V98">IF(表成绩单[[#This Row],[历史]]="","",SUMPRODUCT((表成绩单[考试日期]=表成绩单[[#This Row],[考试日期]])*(表成绩单[历史]&lt;9E+307)*(表成绩单[历史]&gt;表成绩单[[#This Row],[历史]]))+1)</f>
        <v>8</v>
      </c>
      <c r="W98" s="29" cm="1">
        <f t="array" ref="W98">IF(表成绩单[[#This Row],[总分]]="","",SUMPRODUCT((表成绩单[考试日期]=表成绩单[[#This Row],[考试日期]])*(表成绩单[总分]&lt;9E+307)*(表成绩单[总分]&gt;表成绩单[[#This Row],[总分]]))+1)</f>
        <v>93</v>
      </c>
    </row>
    <row r="99" ht="28" customHeight="1" spans="4:23">
      <c r="D99" s="31">
        <v>45975</v>
      </c>
      <c r="E99" s="29">
        <v>19167645</v>
      </c>
      <c r="F99" s="29" t="s">
        <v>1</v>
      </c>
      <c r="G99" s="29" t="s">
        <v>173</v>
      </c>
      <c r="H99" s="29">
        <v>100</v>
      </c>
      <c r="I99" s="29">
        <v>118</v>
      </c>
      <c r="J99" s="29">
        <v>76</v>
      </c>
      <c r="K99" s="29">
        <v>83</v>
      </c>
      <c r="L99" s="29">
        <v>79</v>
      </c>
      <c r="M99" s="29">
        <v>88</v>
      </c>
      <c r="N99" s="29">
        <v>82</v>
      </c>
      <c r="O99" s="32">
        <v>626</v>
      </c>
      <c r="P99" s="29" cm="1">
        <f t="array" ref="P99">IF(表成绩单[[#This Row],[语文]]="","",SUMPRODUCT((表成绩单[考试日期]=表成绩单[[#This Row],[考试日期]])*(表成绩单[语文]&lt;9E+307)*(表成绩单[语文]&gt;表成绩单[[#This Row],[语文]]))+1)</f>
        <v>223</v>
      </c>
      <c r="Q99" s="29" cm="1">
        <f t="array" ref="Q99">IF(表成绩单[[#This Row],[数学]]="","",SUMPRODUCT((表成绩单[考试日期]=表成绩单[[#This Row],[考试日期]])*(表成绩单[数学]&lt;9E+307)*(表成绩单[数学]&gt;表成绩单[[#This Row],[数学]]))+1)</f>
        <v>22</v>
      </c>
      <c r="R99" s="29" cm="1">
        <f t="array" ref="R99">IF(表成绩单[[#This Row],[英语]]="","",SUMPRODUCT((表成绩单[考试日期]=表成绩单[[#This Row],[考试日期]])*(表成绩单[英语]&lt;9E+307)*(表成绩单[英语]&gt;表成绩单[[#This Row],[英语]]))+1)</f>
        <v>399</v>
      </c>
      <c r="S99" s="29" cm="1">
        <f t="array" ref="S99">IF(表成绩单[[#This Row],[物理]]="","",SUMPRODUCT((表成绩单[考试日期]=表成绩单[[#This Row],[考试日期]])*(表成绩单[物理]&lt;9E+307)*(表成绩单[物理]&gt;表成绩单[[#This Row],[物理]]))+1)</f>
        <v>390</v>
      </c>
      <c r="T99" s="29" cm="1">
        <f t="array" ref="T99">IF(表成绩单[[#This Row],[化学]]="","",SUMPRODUCT((表成绩单[考试日期]=表成绩单[[#This Row],[考试日期]])*(表成绩单[化学]&lt;9E+307)*(表成绩单[化学]&gt;表成绩单[[#This Row],[化学]]))+1)</f>
        <v>166</v>
      </c>
      <c r="U99" s="29" cm="1">
        <f t="array" ref="U99">IF(表成绩单[[#This Row],[政治]]="","",SUMPRODUCT((表成绩单[考试日期]=表成绩单[[#This Row],[考试日期]])*(表成绩单[政治]&lt;9E+307)*(表成绩单[政治]&gt;表成绩单[[#This Row],[政治]]))+1)</f>
        <v>4</v>
      </c>
      <c r="V99" s="29" cm="1">
        <f t="array" ref="V99">IF(表成绩单[[#This Row],[历史]]="","",SUMPRODUCT((表成绩单[考试日期]=表成绩单[[#This Row],[考试日期]])*(表成绩单[历史]&lt;9E+307)*(表成绩单[历史]&gt;表成绩单[[#This Row],[历史]]))+1)</f>
        <v>35</v>
      </c>
      <c r="W99" s="29" cm="1">
        <f t="array" ref="W99">IF(表成绩单[[#This Row],[总分]]="","",SUMPRODUCT((表成绩单[考试日期]=表成绩单[[#This Row],[考试日期]])*(表成绩单[总分]&lt;9E+307)*(表成绩单[总分]&gt;表成绩单[[#This Row],[总分]]))+1)</f>
        <v>95</v>
      </c>
    </row>
    <row r="100" ht="28" customHeight="1" spans="4:23">
      <c r="D100" s="31">
        <v>45975</v>
      </c>
      <c r="E100" s="29">
        <v>19175380</v>
      </c>
      <c r="F100" s="29" t="s">
        <v>74</v>
      </c>
      <c r="G100" s="29" t="s">
        <v>174</v>
      </c>
      <c r="H100" s="29">
        <v>105</v>
      </c>
      <c r="I100" s="29">
        <v>109</v>
      </c>
      <c r="J100" s="29">
        <v>84</v>
      </c>
      <c r="K100" s="29">
        <v>88</v>
      </c>
      <c r="L100" s="29">
        <v>76</v>
      </c>
      <c r="M100" s="29">
        <v>84</v>
      </c>
      <c r="N100" s="29">
        <v>80</v>
      </c>
      <c r="O100" s="32">
        <v>626</v>
      </c>
      <c r="P100" s="29" cm="1">
        <f t="array" ref="P100">IF(表成绩单[[#This Row],[语文]]="","",SUMPRODUCT((表成绩单[考试日期]=表成绩单[[#This Row],[考试日期]])*(表成绩单[语文]&lt;9E+307)*(表成绩单[语文]&gt;表成绩单[[#This Row],[语文]]))+1)</f>
        <v>80</v>
      </c>
      <c r="Q100" s="29" cm="1">
        <f t="array" ref="Q100">IF(表成绩单[[#This Row],[数学]]="","",SUMPRODUCT((表成绩单[考试日期]=表成绩单[[#This Row],[考试日期]])*(表成绩单[数学]&lt;9E+307)*(表成绩单[数学]&gt;表成绩单[[#This Row],[数学]]))+1)</f>
        <v>165</v>
      </c>
      <c r="R100" s="29" cm="1">
        <f t="array" ref="R100">IF(表成绩单[[#This Row],[英语]]="","",SUMPRODUCT((表成绩单[考试日期]=表成绩单[[#This Row],[考试日期]])*(表成绩单[英语]&lt;9E+307)*(表成绩单[英语]&gt;表成绩单[[#This Row],[英语]]))+1)</f>
        <v>102</v>
      </c>
      <c r="S100" s="29" cm="1">
        <f t="array" ref="S100">IF(表成绩单[[#This Row],[物理]]="","",SUMPRODUCT((表成绩单[考试日期]=表成绩单[[#This Row],[考试日期]])*(表成绩单[物理]&lt;9E+307)*(表成绩单[物理]&gt;表成绩单[[#This Row],[物理]]))+1)</f>
        <v>54</v>
      </c>
      <c r="T100" s="29" cm="1">
        <f t="array" ref="T100">IF(表成绩单[[#This Row],[化学]]="","",SUMPRODUCT((表成绩单[考试日期]=表成绩单[[#This Row],[考试日期]])*(表成绩单[化学]&lt;9E+307)*(表成绩单[化学]&gt;表成绩单[[#This Row],[化学]]))+1)</f>
        <v>268</v>
      </c>
      <c r="U100" s="29" cm="1">
        <f t="array" ref="U100">IF(表成绩单[[#This Row],[政治]]="","",SUMPRODUCT((表成绩单[考试日期]=表成绩单[[#This Row],[考试日期]])*(表成绩单[政治]&lt;9E+307)*(表成绩单[政治]&gt;表成绩单[[#This Row],[政治]]))+1)</f>
        <v>83</v>
      </c>
      <c r="V100" s="29" cm="1">
        <f t="array" ref="V100">IF(表成绩单[[#This Row],[历史]]="","",SUMPRODUCT((表成绩单[考试日期]=表成绩单[[#This Row],[考试日期]])*(表成绩单[历史]&lt;9E+307)*(表成绩单[历史]&gt;表成绩单[[#This Row],[历史]]))+1)</f>
        <v>108</v>
      </c>
      <c r="W100" s="29" cm="1">
        <f t="array" ref="W100">IF(表成绩单[[#This Row],[总分]]="","",SUMPRODUCT((表成绩单[考试日期]=表成绩单[[#This Row],[考试日期]])*(表成绩单[总分]&lt;9E+307)*(表成绩单[总分]&gt;表成绩单[[#This Row],[总分]]))+1)</f>
        <v>95</v>
      </c>
    </row>
    <row r="101" ht="28" customHeight="1" spans="4:23">
      <c r="D101" s="31">
        <v>45975</v>
      </c>
      <c r="E101" s="29">
        <v>19173247</v>
      </c>
      <c r="F101" s="29" t="s">
        <v>61</v>
      </c>
      <c r="G101" s="29" t="s">
        <v>175</v>
      </c>
      <c r="H101" s="29">
        <v>99</v>
      </c>
      <c r="I101" s="29">
        <v>115</v>
      </c>
      <c r="J101" s="29">
        <v>80.5</v>
      </c>
      <c r="K101" s="29">
        <v>89</v>
      </c>
      <c r="L101" s="29">
        <v>78</v>
      </c>
      <c r="M101" s="29">
        <v>82</v>
      </c>
      <c r="N101" s="29">
        <v>82</v>
      </c>
      <c r="O101" s="32">
        <v>625.5</v>
      </c>
      <c r="P101" s="29" cm="1">
        <f t="array" ref="P101">IF(表成绩单[[#This Row],[语文]]="","",SUMPRODUCT((表成绩单[考试日期]=表成绩单[[#This Row],[考试日期]])*(表成绩单[语文]&lt;9E+307)*(表成绩单[语文]&gt;表成绩单[[#This Row],[语文]]))+1)</f>
        <v>264</v>
      </c>
      <c r="Q101" s="29" cm="1">
        <f t="array" ref="Q101">IF(表成绩单[[#This Row],[数学]]="","",SUMPRODUCT((表成绩单[考试日期]=表成绩单[[#This Row],[考试日期]])*(表成绩单[数学]&lt;9E+307)*(表成绩单[数学]&gt;表成绩单[[#This Row],[数学]]))+1)</f>
        <v>63</v>
      </c>
      <c r="R101" s="29" cm="1">
        <f t="array" ref="R101">IF(表成绩单[[#This Row],[英语]]="","",SUMPRODUCT((表成绩单[考试日期]=表成绩单[[#This Row],[考试日期]])*(表成绩单[英语]&lt;9E+307)*(表成绩单[英语]&gt;表成绩单[[#This Row],[英语]]))+1)</f>
        <v>255</v>
      </c>
      <c r="S101" s="29" cm="1">
        <f t="array" ref="S101">IF(表成绩单[[#This Row],[物理]]="","",SUMPRODUCT((表成绩单[考试日期]=表成绩单[[#This Row],[考试日期]])*(表成绩单[物理]&lt;9E+307)*(表成绩单[物理]&gt;表成绩单[[#This Row],[物理]]))+1)</f>
        <v>18</v>
      </c>
      <c r="T101" s="29" cm="1">
        <f t="array" ref="T101">IF(表成绩单[[#This Row],[化学]]="","",SUMPRODUCT((表成绩单[考试日期]=表成绩单[[#This Row],[考试日期]])*(表成绩单[化学]&lt;9E+307)*(表成绩单[化学]&gt;表成绩单[[#This Row],[化学]]))+1)</f>
        <v>200</v>
      </c>
      <c r="U101" s="29" cm="1">
        <f t="array" ref="U101">IF(表成绩单[[#This Row],[政治]]="","",SUMPRODUCT((表成绩单[考试日期]=表成绩单[[#This Row],[考试日期]])*(表成绩单[政治]&lt;9E+307)*(表成绩单[政治]&gt;表成绩单[[#This Row],[政治]]))+1)</f>
        <v>157</v>
      </c>
      <c r="V101" s="29" cm="1">
        <f t="array" ref="V101">IF(表成绩单[[#This Row],[历史]]="","",SUMPRODUCT((表成绩单[考试日期]=表成绩单[[#This Row],[考试日期]])*(表成绩单[历史]&lt;9E+307)*(表成绩单[历史]&gt;表成绩单[[#This Row],[历史]]))+1)</f>
        <v>35</v>
      </c>
      <c r="W101" s="29" cm="1">
        <f t="array" ref="W101">IF(表成绩单[[#This Row],[总分]]="","",SUMPRODUCT((表成绩单[考试日期]=表成绩单[[#This Row],[考试日期]])*(表成绩单[总分]&lt;9E+307)*(表成绩单[总分]&gt;表成绩单[[#This Row],[总分]]))+1)</f>
        <v>97</v>
      </c>
    </row>
    <row r="102" ht="28" customHeight="1" spans="4:23">
      <c r="D102" s="31">
        <v>45975</v>
      </c>
      <c r="E102" s="29">
        <v>19174797</v>
      </c>
      <c r="F102" s="29" t="s">
        <v>69</v>
      </c>
      <c r="G102" s="29" t="s">
        <v>176</v>
      </c>
      <c r="H102" s="29">
        <v>107</v>
      </c>
      <c r="I102" s="29">
        <v>113</v>
      </c>
      <c r="J102" s="29">
        <v>72.5</v>
      </c>
      <c r="K102" s="29">
        <v>85</v>
      </c>
      <c r="L102" s="29">
        <v>82</v>
      </c>
      <c r="M102" s="29">
        <v>86</v>
      </c>
      <c r="N102" s="29">
        <v>80</v>
      </c>
      <c r="O102" s="32">
        <v>625.5</v>
      </c>
      <c r="P102" s="29" cm="1">
        <f t="array" ref="P102">IF(表成绩单[[#This Row],[语文]]="","",SUMPRODUCT((表成绩单[考试日期]=表成绩单[[#This Row],[考试日期]])*(表成绩单[语文]&lt;9E+307)*(表成绩单[语文]&gt;表成绩单[[#This Row],[语文]]))+1)</f>
        <v>45</v>
      </c>
      <c r="Q102" s="29" cm="1">
        <f t="array" ref="Q102">IF(表成绩单[[#This Row],[数学]]="","",SUMPRODUCT((表成绩单[考试日期]=表成绩单[[#This Row],[考试日期]])*(表成绩单[数学]&lt;9E+307)*(表成绩单[数学]&gt;表成绩单[[#This Row],[数学]]))+1)</f>
        <v>93</v>
      </c>
      <c r="R102" s="29" cm="1">
        <f t="array" ref="R102">IF(表成绩单[[#This Row],[英语]]="","",SUMPRODUCT((表成绩单[考试日期]=表成绩单[[#This Row],[考试日期]])*(表成绩单[英语]&lt;9E+307)*(表成绩单[英语]&gt;表成绩单[[#This Row],[英语]]))+1)</f>
        <v>498</v>
      </c>
      <c r="S102" s="29" cm="1">
        <f t="array" ref="S102">IF(表成绩单[[#This Row],[物理]]="","",SUMPRODUCT((表成绩单[考试日期]=表成绩单[[#This Row],[考试日期]])*(表成绩单[物理]&lt;9E+307)*(表成绩单[物理]&gt;表成绩单[[#This Row],[物理]]))+1)</f>
        <v>263</v>
      </c>
      <c r="T102" s="29" cm="1">
        <f t="array" ref="T102">IF(表成绩单[[#This Row],[化学]]="","",SUMPRODUCT((表成绩单[考试日期]=表成绩单[[#This Row],[考试日期]])*(表成绩单[化学]&lt;9E+307)*(表成绩单[化学]&gt;表成绩单[[#This Row],[化学]]))+1)</f>
        <v>71</v>
      </c>
      <c r="U102" s="29" cm="1">
        <f t="array" ref="U102">IF(表成绩单[[#This Row],[政治]]="","",SUMPRODUCT((表成绩单[考试日期]=表成绩单[[#This Row],[考试日期]])*(表成绩单[政治]&lt;9E+307)*(表成绩单[政治]&gt;表成绩单[[#This Row],[政治]]))+1)</f>
        <v>26</v>
      </c>
      <c r="V102" s="29" cm="1">
        <f t="array" ref="V102">IF(表成绩单[[#This Row],[历史]]="","",SUMPRODUCT((表成绩单[考试日期]=表成绩单[[#This Row],[考试日期]])*(表成绩单[历史]&lt;9E+307)*(表成绩单[历史]&gt;表成绩单[[#This Row],[历史]]))+1)</f>
        <v>108</v>
      </c>
      <c r="W102" s="29" cm="1">
        <f t="array" ref="W102">IF(表成绩单[[#This Row],[总分]]="","",SUMPRODUCT((表成绩单[考试日期]=表成绩单[[#This Row],[考试日期]])*(表成绩单[总分]&lt;9E+307)*(表成绩单[总分]&gt;表成绩单[[#This Row],[总分]]))+1)</f>
        <v>97</v>
      </c>
    </row>
    <row r="103" ht="28" customHeight="1" spans="4:23">
      <c r="D103" s="31">
        <v>45975</v>
      </c>
      <c r="E103" s="29">
        <v>19177200</v>
      </c>
      <c r="F103" s="29" t="s">
        <v>70</v>
      </c>
      <c r="G103" s="29" t="s">
        <v>177</v>
      </c>
      <c r="H103" s="29">
        <v>108</v>
      </c>
      <c r="I103" s="29">
        <v>113</v>
      </c>
      <c r="J103" s="29">
        <v>71.5</v>
      </c>
      <c r="K103" s="29">
        <v>88</v>
      </c>
      <c r="L103" s="29">
        <v>80</v>
      </c>
      <c r="M103" s="29">
        <v>87</v>
      </c>
      <c r="N103" s="29">
        <v>78</v>
      </c>
      <c r="O103" s="32">
        <v>625.5</v>
      </c>
      <c r="P103" s="29" cm="1">
        <f t="array" ref="P103">IF(表成绩单[[#This Row],[语文]]="","",SUMPRODUCT((表成绩单[考试日期]=表成绩单[[#This Row],[考试日期]])*(表成绩单[语文]&lt;9E+307)*(表成绩单[语文]&gt;表成绩单[[#This Row],[语文]]))+1)</f>
        <v>27</v>
      </c>
      <c r="Q103" s="29" cm="1">
        <f t="array" ref="Q103">IF(表成绩单[[#This Row],[数学]]="","",SUMPRODUCT((表成绩单[考试日期]=表成绩单[[#This Row],[考试日期]])*(表成绩单[数学]&lt;9E+307)*(表成绩单[数学]&gt;表成绩单[[#This Row],[数学]]))+1)</f>
        <v>93</v>
      </c>
      <c r="R103" s="29" cm="1">
        <f t="array" ref="R103">IF(表成绩单[[#This Row],[英语]]="","",SUMPRODUCT((表成绩单[考试日期]=表成绩单[[#This Row],[考试日期]])*(表成绩单[英语]&lt;9E+307)*(表成绩单[英语]&gt;表成绩单[[#This Row],[英语]]))+1)</f>
        <v>520</v>
      </c>
      <c r="S103" s="29" cm="1">
        <f t="array" ref="S103">IF(表成绩单[[#This Row],[物理]]="","",SUMPRODUCT((表成绩单[考试日期]=表成绩单[[#This Row],[考试日期]])*(表成绩单[物理]&lt;9E+307)*(表成绩单[物理]&gt;表成绩单[[#This Row],[物理]]))+1)</f>
        <v>54</v>
      </c>
      <c r="T103" s="29" cm="1">
        <f t="array" ref="T103">IF(表成绩单[[#This Row],[化学]]="","",SUMPRODUCT((表成绩单[考试日期]=表成绩单[[#This Row],[考试日期]])*(表成绩单[化学]&lt;9E+307)*(表成绩单[化学]&gt;表成绩单[[#This Row],[化学]]))+1)</f>
        <v>129</v>
      </c>
      <c r="U103" s="29" cm="1">
        <f t="array" ref="U103">IF(表成绩单[[#This Row],[政治]]="","",SUMPRODUCT((表成绩单[考试日期]=表成绩单[[#This Row],[考试日期]])*(表成绩单[政治]&lt;9E+307)*(表成绩单[政治]&gt;表成绩单[[#This Row],[政治]]))+1)</f>
        <v>13</v>
      </c>
      <c r="V103" s="29" cm="1">
        <f t="array" ref="V103">IF(表成绩单[[#This Row],[历史]]="","",SUMPRODUCT((表成绩单[考试日期]=表成绩单[[#This Row],[考试日期]])*(表成绩单[历史]&lt;9E+307)*(表成绩单[历史]&gt;表成绩单[[#This Row],[历史]]))+1)</f>
        <v>189</v>
      </c>
      <c r="W103" s="29" cm="1">
        <f t="array" ref="W103">IF(表成绩单[[#This Row],[总分]]="","",SUMPRODUCT((表成绩单[考试日期]=表成绩单[[#This Row],[考试日期]])*(表成绩单[总分]&lt;9E+307)*(表成绩单[总分]&gt;表成绩单[[#This Row],[总分]]))+1)</f>
        <v>97</v>
      </c>
    </row>
    <row r="104" ht="28" customHeight="1" spans="4:23">
      <c r="D104" s="31">
        <v>45975</v>
      </c>
      <c r="E104" s="29">
        <v>19171084</v>
      </c>
      <c r="F104" s="29" t="s">
        <v>67</v>
      </c>
      <c r="G104" s="29" t="s">
        <v>178</v>
      </c>
      <c r="H104" s="29">
        <v>105</v>
      </c>
      <c r="I104" s="29">
        <v>108</v>
      </c>
      <c r="J104" s="29">
        <v>80</v>
      </c>
      <c r="K104" s="29">
        <v>86</v>
      </c>
      <c r="L104" s="29">
        <v>84</v>
      </c>
      <c r="M104" s="29">
        <v>82</v>
      </c>
      <c r="N104" s="29">
        <v>80</v>
      </c>
      <c r="O104" s="32">
        <v>625</v>
      </c>
      <c r="P104" s="29" cm="1">
        <f t="array" ref="P104">IF(表成绩单[[#This Row],[语文]]="","",SUMPRODUCT((表成绩单[考试日期]=表成绩单[[#This Row],[考试日期]])*(表成绩单[语文]&lt;9E+307)*(表成绩单[语文]&gt;表成绩单[[#This Row],[语文]]))+1)</f>
        <v>80</v>
      </c>
      <c r="Q104" s="29" cm="1">
        <f t="array" ref="Q104">IF(表成绩单[[#This Row],[数学]]="","",SUMPRODUCT((表成绩单[考试日期]=表成绩单[[#This Row],[考试日期]])*(表成绩单[数学]&lt;9E+307)*(表成绩单[数学]&gt;表成绩单[[#This Row],[数学]]))+1)</f>
        <v>182</v>
      </c>
      <c r="R104" s="29" cm="1">
        <f t="array" ref="R104">IF(表成绩单[[#This Row],[英语]]="","",SUMPRODUCT((表成绩单[考试日期]=表成绩单[[#This Row],[考试日期]])*(表成绩单[英语]&lt;9E+307)*(表成绩单[英语]&gt;表成绩单[[#This Row],[英语]]))+1)</f>
        <v>268</v>
      </c>
      <c r="S104" s="29" cm="1">
        <f t="array" ref="S104">IF(表成绩单[[#This Row],[物理]]="","",SUMPRODUCT((表成绩单[考试日期]=表成绩单[[#This Row],[考试日期]])*(表成绩单[物理]&lt;9E+307)*(表成绩单[物理]&gt;表成绩单[[#This Row],[物理]]))+1)</f>
        <v>187</v>
      </c>
      <c r="T104" s="29" cm="1">
        <f t="array" ref="T104">IF(表成绩单[[#This Row],[化学]]="","",SUMPRODUCT((表成绩单[考试日期]=表成绩单[[#This Row],[考试日期]])*(表成绩单[化学]&lt;9E+307)*(表成绩单[化学]&gt;表成绩单[[#This Row],[化学]]))+1)</f>
        <v>33</v>
      </c>
      <c r="U104" s="29" cm="1">
        <f t="array" ref="U104">IF(表成绩单[[#This Row],[政治]]="","",SUMPRODUCT((表成绩单[考试日期]=表成绩单[[#This Row],[考试日期]])*(表成绩单[政治]&lt;9E+307)*(表成绩单[政治]&gt;表成绩单[[#This Row],[政治]]))+1)</f>
        <v>157</v>
      </c>
      <c r="V104" s="29" cm="1">
        <f t="array" ref="V104">IF(表成绩单[[#This Row],[历史]]="","",SUMPRODUCT((表成绩单[考试日期]=表成绩单[[#This Row],[考试日期]])*(表成绩单[历史]&lt;9E+307)*(表成绩单[历史]&gt;表成绩单[[#This Row],[历史]]))+1)</f>
        <v>108</v>
      </c>
      <c r="W104" s="29" cm="1">
        <f t="array" ref="W104">IF(表成绩单[[#This Row],[总分]]="","",SUMPRODUCT((表成绩单[考试日期]=表成绩单[[#This Row],[考试日期]])*(表成绩单[总分]&lt;9E+307)*(表成绩单[总分]&gt;表成绩单[[#This Row],[总分]]))+1)</f>
        <v>100</v>
      </c>
    </row>
    <row r="105" ht="28" customHeight="1" spans="4:23">
      <c r="D105" s="31">
        <v>45975</v>
      </c>
      <c r="E105" s="29">
        <v>19174438</v>
      </c>
      <c r="F105" s="29" t="s">
        <v>73</v>
      </c>
      <c r="G105" s="29" t="s">
        <v>179</v>
      </c>
      <c r="H105" s="29">
        <v>115</v>
      </c>
      <c r="I105" s="29">
        <v>96</v>
      </c>
      <c r="J105" s="29">
        <v>87</v>
      </c>
      <c r="K105" s="29">
        <v>87</v>
      </c>
      <c r="L105" s="29">
        <v>83</v>
      </c>
      <c r="M105" s="29">
        <v>75</v>
      </c>
      <c r="N105" s="29">
        <v>82</v>
      </c>
      <c r="O105" s="32">
        <v>625</v>
      </c>
      <c r="P105" s="29" cm="1">
        <f t="array" ref="P105">IF(表成绩单[[#This Row],[语文]]="","",SUMPRODUCT((表成绩单[考试日期]=表成绩单[[#This Row],[考试日期]])*(表成绩单[语文]&lt;9E+307)*(表成绩单[语文]&gt;表成绩单[[#This Row],[语文]]))+1)</f>
        <v>3</v>
      </c>
      <c r="Q105" s="29" cm="1">
        <f t="array" ref="Q105">IF(表成绩单[[#This Row],[数学]]="","",SUMPRODUCT((表成绩单[考试日期]=表成绩单[[#This Row],[考试日期]])*(表成绩单[数学]&lt;9E+307)*(表成绩单[数学]&gt;表成绩单[[#This Row],[数学]]))+1)</f>
        <v>413</v>
      </c>
      <c r="R105" s="29" cm="1">
        <f t="array" ref="R105">IF(表成绩单[[#This Row],[英语]]="","",SUMPRODUCT((表成绩单[考试日期]=表成绩单[[#This Row],[考试日期]])*(表成绩单[英语]&lt;9E+307)*(表成绩单[英语]&gt;表成绩单[[#This Row],[英语]]))+1)</f>
        <v>20</v>
      </c>
      <c r="S105" s="29" cm="1">
        <f t="array" ref="S105">IF(表成绩单[[#This Row],[物理]]="","",SUMPRODUCT((表成绩单[考试日期]=表成绩单[[#This Row],[考试日期]])*(表成绩单[物理]&lt;9E+307)*(表成绩单[物理]&gt;表成绩单[[#This Row],[物理]]))+1)</f>
        <v>127</v>
      </c>
      <c r="T105" s="29" cm="1">
        <f t="array" ref="T105">IF(表成绩单[[#This Row],[化学]]="","",SUMPRODUCT((表成绩单[考试日期]=表成绩单[[#This Row],[考试日期]])*(表成绩单[化学]&lt;9E+307)*(表成绩单[化学]&gt;表成绩单[[#This Row],[化学]]))+1)</f>
        <v>49</v>
      </c>
      <c r="U105" s="29" cm="1">
        <f t="array" ref="U105">IF(表成绩单[[#This Row],[政治]]="","",SUMPRODUCT((表成绩单[考试日期]=表成绩单[[#This Row],[考试日期]])*(表成绩单[政治]&lt;9E+307)*(表成绩单[政治]&gt;表成绩单[[#This Row],[政治]]))+1)</f>
        <v>363</v>
      </c>
      <c r="V105" s="29" cm="1">
        <f t="array" ref="V105">IF(表成绩单[[#This Row],[历史]]="","",SUMPRODUCT((表成绩单[考试日期]=表成绩单[[#This Row],[考试日期]])*(表成绩单[历史]&lt;9E+307)*(表成绩单[历史]&gt;表成绩单[[#This Row],[历史]]))+1)</f>
        <v>35</v>
      </c>
      <c r="W105" s="29" cm="1">
        <f t="array" ref="W105">IF(表成绩单[[#This Row],[总分]]="","",SUMPRODUCT((表成绩单[考试日期]=表成绩单[[#This Row],[考试日期]])*(表成绩单[总分]&lt;9E+307)*(表成绩单[总分]&gt;表成绩单[[#This Row],[总分]]))+1)</f>
        <v>100</v>
      </c>
    </row>
    <row r="106" ht="28" customHeight="1" spans="4:23">
      <c r="D106" s="31">
        <v>45975</v>
      </c>
      <c r="E106" s="29">
        <v>19174786</v>
      </c>
      <c r="F106" s="29" t="s">
        <v>69</v>
      </c>
      <c r="G106" s="29" t="s">
        <v>180</v>
      </c>
      <c r="H106" s="29">
        <v>100</v>
      </c>
      <c r="I106" s="29">
        <v>111</v>
      </c>
      <c r="J106" s="29">
        <v>84</v>
      </c>
      <c r="K106" s="29">
        <v>85</v>
      </c>
      <c r="L106" s="29">
        <v>80</v>
      </c>
      <c r="M106" s="29">
        <v>84</v>
      </c>
      <c r="N106" s="29">
        <v>81</v>
      </c>
      <c r="O106" s="32">
        <v>625</v>
      </c>
      <c r="P106" s="29" cm="1">
        <f t="array" ref="P106">IF(表成绩单[[#This Row],[语文]]="","",SUMPRODUCT((表成绩单[考试日期]=表成绩单[[#This Row],[考试日期]])*(表成绩单[语文]&lt;9E+307)*(表成绩单[语文]&gt;表成绩单[[#This Row],[语文]]))+1)</f>
        <v>223</v>
      </c>
      <c r="Q106" s="29" cm="1">
        <f t="array" ref="Q106">IF(表成绩单[[#This Row],[数学]]="","",SUMPRODUCT((表成绩单[考试日期]=表成绩单[[#This Row],[考试日期]])*(表成绩单[数学]&lt;9E+307)*(表成绩单[数学]&gt;表成绩单[[#This Row],[数学]]))+1)</f>
        <v>134</v>
      </c>
      <c r="R106" s="29" cm="1">
        <f t="array" ref="R106">IF(表成绩单[[#This Row],[英语]]="","",SUMPRODUCT((表成绩单[考试日期]=表成绩单[[#This Row],[考试日期]])*(表成绩单[英语]&lt;9E+307)*(表成绩单[英语]&gt;表成绩单[[#This Row],[英语]]))+1)</f>
        <v>102</v>
      </c>
      <c r="S106" s="29" cm="1">
        <f t="array" ref="S106">IF(表成绩单[[#This Row],[物理]]="","",SUMPRODUCT((表成绩单[考试日期]=表成绩单[[#This Row],[考试日期]])*(表成绩单[物理]&lt;9E+307)*(表成绩单[物理]&gt;表成绩单[[#This Row],[物理]]))+1)</f>
        <v>263</v>
      </c>
      <c r="T106" s="29" cm="1">
        <f t="array" ref="T106">IF(表成绩单[[#This Row],[化学]]="","",SUMPRODUCT((表成绩单[考试日期]=表成绩单[[#This Row],[考试日期]])*(表成绩单[化学]&lt;9E+307)*(表成绩单[化学]&gt;表成绩单[[#This Row],[化学]]))+1)</f>
        <v>129</v>
      </c>
      <c r="U106" s="29" cm="1">
        <f t="array" ref="U106">IF(表成绩单[[#This Row],[政治]]="","",SUMPRODUCT((表成绩单[考试日期]=表成绩单[[#This Row],[考试日期]])*(表成绩单[政治]&lt;9E+307)*(表成绩单[政治]&gt;表成绩单[[#This Row],[政治]]))+1)</f>
        <v>83</v>
      </c>
      <c r="V106" s="29" cm="1">
        <f t="array" ref="V106">IF(表成绩单[[#This Row],[历史]]="","",SUMPRODUCT((表成绩单[考试日期]=表成绩单[[#This Row],[考试日期]])*(表成绩单[历史]&lt;9E+307)*(表成绩单[历史]&gt;表成绩单[[#This Row],[历史]]))+1)</f>
        <v>63</v>
      </c>
      <c r="W106" s="29" cm="1">
        <f t="array" ref="W106">IF(表成绩单[[#This Row],[总分]]="","",SUMPRODUCT((表成绩单[考试日期]=表成绩单[[#This Row],[考试日期]])*(表成绩单[总分]&lt;9E+307)*(表成绩单[总分]&gt;表成绩单[[#This Row],[总分]]))+1)</f>
        <v>100</v>
      </c>
    </row>
    <row r="107" ht="28" customHeight="1" spans="4:23">
      <c r="D107" s="31">
        <v>45975</v>
      </c>
      <c r="E107" s="29">
        <v>19175412</v>
      </c>
      <c r="F107" s="29" t="s">
        <v>74</v>
      </c>
      <c r="G107" s="29" t="s">
        <v>181</v>
      </c>
      <c r="H107" s="29">
        <v>103</v>
      </c>
      <c r="I107" s="29">
        <v>103</v>
      </c>
      <c r="J107" s="29">
        <v>87</v>
      </c>
      <c r="K107" s="29">
        <v>88</v>
      </c>
      <c r="L107" s="29">
        <v>82</v>
      </c>
      <c r="M107" s="29">
        <v>78</v>
      </c>
      <c r="N107" s="29">
        <v>84</v>
      </c>
      <c r="O107" s="32">
        <v>625</v>
      </c>
      <c r="P107" s="29" cm="1">
        <f t="array" ref="P107">IF(表成绩单[[#This Row],[语文]]="","",SUMPRODUCT((表成绩单[考试日期]=表成绩单[[#This Row],[考试日期]])*(表成绩单[语文]&lt;9E+307)*(表成绩单[语文]&gt;表成绩单[[#This Row],[语文]]))+1)</f>
        <v>126</v>
      </c>
      <c r="Q107" s="29" cm="1">
        <f t="array" ref="Q107">IF(表成绩单[[#This Row],[数学]]="","",SUMPRODUCT((表成绩单[考试日期]=表成绩单[[#This Row],[考试日期]])*(表成绩单[数学]&lt;9E+307)*(表成绩单[数学]&gt;表成绩单[[#This Row],[数学]]))+1)</f>
        <v>277</v>
      </c>
      <c r="R107" s="29" cm="1">
        <f t="array" ref="R107">IF(表成绩单[[#This Row],[英语]]="","",SUMPRODUCT((表成绩单[考试日期]=表成绩单[[#This Row],[考试日期]])*(表成绩单[英语]&lt;9E+307)*(表成绩单[英语]&gt;表成绩单[[#This Row],[英语]]))+1)</f>
        <v>20</v>
      </c>
      <c r="S107" s="29" cm="1">
        <f t="array" ref="S107">IF(表成绩单[[#This Row],[物理]]="","",SUMPRODUCT((表成绩单[考试日期]=表成绩单[[#This Row],[考试日期]])*(表成绩单[物理]&lt;9E+307)*(表成绩单[物理]&gt;表成绩单[[#This Row],[物理]]))+1)</f>
        <v>54</v>
      </c>
      <c r="T107" s="29" cm="1">
        <f t="array" ref="T107">IF(表成绩单[[#This Row],[化学]]="","",SUMPRODUCT((表成绩单[考试日期]=表成绩单[[#This Row],[考试日期]])*(表成绩单[化学]&lt;9E+307)*(表成绩单[化学]&gt;表成绩单[[#This Row],[化学]]))+1)</f>
        <v>71</v>
      </c>
      <c r="U107" s="29" cm="1">
        <f t="array" ref="U107">IF(表成绩单[[#This Row],[政治]]="","",SUMPRODUCT((表成绩单[考试日期]=表成绩单[[#This Row],[考试日期]])*(表成绩单[政治]&lt;9E+307)*(表成绩单[政治]&gt;表成绩单[[#This Row],[政治]]))+1)</f>
        <v>272</v>
      </c>
      <c r="V107" s="29" cm="1">
        <f t="array" ref="V107">IF(表成绩单[[#This Row],[历史]]="","",SUMPRODUCT((表成绩单[考试日期]=表成绩单[[#This Row],[考试日期]])*(表成绩单[历史]&lt;9E+307)*(表成绩单[历史]&gt;表成绩单[[#This Row],[历史]]))+1)</f>
        <v>8</v>
      </c>
      <c r="W107" s="29" cm="1">
        <f t="array" ref="W107">IF(表成绩单[[#This Row],[总分]]="","",SUMPRODUCT((表成绩单[考试日期]=表成绩单[[#This Row],[考试日期]])*(表成绩单[总分]&lt;9E+307)*(表成绩单[总分]&gt;表成绩单[[#This Row],[总分]]))+1)</f>
        <v>100</v>
      </c>
    </row>
    <row r="108" ht="28" customHeight="1" spans="4:23">
      <c r="D108" s="31">
        <v>45975</v>
      </c>
      <c r="E108" s="29">
        <v>19173530</v>
      </c>
      <c r="F108" s="29" t="s">
        <v>1</v>
      </c>
      <c r="G108" s="29" t="s">
        <v>182</v>
      </c>
      <c r="H108" s="29">
        <v>105</v>
      </c>
      <c r="I108" s="29">
        <v>120</v>
      </c>
      <c r="J108" s="29">
        <v>81.5</v>
      </c>
      <c r="K108" s="29">
        <v>85</v>
      </c>
      <c r="L108" s="29">
        <v>79</v>
      </c>
      <c r="M108" s="29">
        <v>74</v>
      </c>
      <c r="N108" s="29">
        <v>80</v>
      </c>
      <c r="O108" s="32">
        <v>624.5</v>
      </c>
      <c r="P108" s="29" cm="1">
        <f t="array" ref="P108">IF(表成绩单[[#This Row],[语文]]="","",SUMPRODUCT((表成绩单[考试日期]=表成绩单[[#This Row],[考试日期]])*(表成绩单[语文]&lt;9E+307)*(表成绩单[语文]&gt;表成绩单[[#This Row],[语文]]))+1)</f>
        <v>80</v>
      </c>
      <c r="Q108" s="29" cm="1">
        <f t="array" ref="Q108">IF(表成绩单[[#This Row],[数学]]="","",SUMPRODUCT((表成绩单[考试日期]=表成绩单[[#This Row],[考试日期]])*(表成绩单[数学]&lt;9E+307)*(表成绩单[数学]&gt;表成绩单[[#This Row],[数学]]))+1)</f>
        <v>1</v>
      </c>
      <c r="R108" s="29" cm="1">
        <f t="array" ref="R108">IF(表成绩单[[#This Row],[英语]]="","",SUMPRODUCT((表成绩单[考试日期]=表成绩单[[#This Row],[考试日期]])*(表成绩单[英语]&lt;9E+307)*(表成绩单[英语]&gt;表成绩单[[#This Row],[英语]]))+1)</f>
        <v>220</v>
      </c>
      <c r="S108" s="29" cm="1">
        <f t="array" ref="S108">IF(表成绩单[[#This Row],[物理]]="","",SUMPRODUCT((表成绩单[考试日期]=表成绩单[[#This Row],[考试日期]])*(表成绩单[物理]&lt;9E+307)*(表成绩单[物理]&gt;表成绩单[[#This Row],[物理]]))+1)</f>
        <v>263</v>
      </c>
      <c r="T108" s="29" cm="1">
        <f t="array" ref="T108">IF(表成绩单[[#This Row],[化学]]="","",SUMPRODUCT((表成绩单[考试日期]=表成绩单[[#This Row],[考试日期]])*(表成绩单[化学]&lt;9E+307)*(表成绩单[化学]&gt;表成绩单[[#This Row],[化学]]))+1)</f>
        <v>166</v>
      </c>
      <c r="U108" s="29" cm="1">
        <f t="array" ref="U108">IF(表成绩单[[#This Row],[政治]]="","",SUMPRODUCT((表成绩单[考试日期]=表成绩单[[#This Row],[考试日期]])*(表成绩单[政治]&lt;9E+307)*(表成绩单[政治]&gt;表成绩单[[#This Row],[政治]]))+1)</f>
        <v>389</v>
      </c>
      <c r="V108" s="29" cm="1">
        <f t="array" ref="V108">IF(表成绩单[[#This Row],[历史]]="","",SUMPRODUCT((表成绩单[考试日期]=表成绩单[[#This Row],[考试日期]])*(表成绩单[历史]&lt;9E+307)*(表成绩单[历史]&gt;表成绩单[[#This Row],[历史]]))+1)</f>
        <v>108</v>
      </c>
      <c r="W108" s="29" cm="1">
        <f t="array" ref="W108">IF(表成绩单[[#This Row],[总分]]="","",SUMPRODUCT((表成绩单[考试日期]=表成绩单[[#This Row],[考试日期]])*(表成绩单[总分]&lt;9E+307)*(表成绩单[总分]&gt;表成绩单[[#This Row],[总分]]))+1)</f>
        <v>104</v>
      </c>
    </row>
    <row r="109" ht="28" customHeight="1" spans="4:23">
      <c r="D109" s="31">
        <v>45975</v>
      </c>
      <c r="E109" s="29">
        <v>19173529</v>
      </c>
      <c r="F109" s="29" t="s">
        <v>1</v>
      </c>
      <c r="G109" s="29" t="s">
        <v>183</v>
      </c>
      <c r="H109" s="29">
        <v>100</v>
      </c>
      <c r="I109" s="29">
        <v>115</v>
      </c>
      <c r="J109" s="29">
        <v>78.5</v>
      </c>
      <c r="K109" s="29">
        <v>87</v>
      </c>
      <c r="L109" s="29">
        <v>82</v>
      </c>
      <c r="M109" s="29">
        <v>84</v>
      </c>
      <c r="N109" s="29">
        <v>77</v>
      </c>
      <c r="O109" s="32">
        <v>623.5</v>
      </c>
      <c r="P109" s="29" cm="1">
        <f t="array" ref="P109">IF(表成绩单[[#This Row],[语文]]="","",SUMPRODUCT((表成绩单[考试日期]=表成绩单[[#This Row],[考试日期]])*(表成绩单[语文]&lt;9E+307)*(表成绩单[语文]&gt;表成绩单[[#This Row],[语文]]))+1)</f>
        <v>223</v>
      </c>
      <c r="Q109" s="29" cm="1">
        <f t="array" ref="Q109">IF(表成绩单[[#This Row],[数学]]="","",SUMPRODUCT((表成绩单[考试日期]=表成绩单[[#This Row],[考试日期]])*(表成绩单[数学]&lt;9E+307)*(表成绩单[数学]&gt;表成绩单[[#This Row],[数学]]))+1)</f>
        <v>63</v>
      </c>
      <c r="R109" s="29" cm="1">
        <f t="array" ref="R109">IF(表成绩单[[#This Row],[英语]]="","",SUMPRODUCT((表成绩单[考试日期]=表成绩单[[#This Row],[考试日期]])*(表成绩单[英语]&lt;9E+307)*(表成绩单[英语]&gt;表成绩单[[#This Row],[英语]]))+1)</f>
        <v>314</v>
      </c>
      <c r="S109" s="29" cm="1">
        <f t="array" ref="S109">IF(表成绩单[[#This Row],[物理]]="","",SUMPRODUCT((表成绩单[考试日期]=表成绩单[[#This Row],[考试日期]])*(表成绩单[物理]&lt;9E+307)*(表成绩单[物理]&gt;表成绩单[[#This Row],[物理]]))+1)</f>
        <v>127</v>
      </c>
      <c r="T109" s="29" cm="1">
        <f t="array" ref="T109">IF(表成绩单[[#This Row],[化学]]="","",SUMPRODUCT((表成绩单[考试日期]=表成绩单[[#This Row],[考试日期]])*(表成绩单[化学]&lt;9E+307)*(表成绩单[化学]&gt;表成绩单[[#This Row],[化学]]))+1)</f>
        <v>71</v>
      </c>
      <c r="U109" s="29" cm="1">
        <f t="array" ref="U109">IF(表成绩单[[#This Row],[政治]]="","",SUMPRODUCT((表成绩单[考试日期]=表成绩单[[#This Row],[考试日期]])*(表成绩单[政治]&lt;9E+307)*(表成绩单[政治]&gt;表成绩单[[#This Row],[政治]]))+1)</f>
        <v>83</v>
      </c>
      <c r="V109" s="29" cm="1">
        <f t="array" ref="V109">IF(表成绩单[[#This Row],[历史]]="","",SUMPRODUCT((表成绩单[考试日期]=表成绩单[[#This Row],[考试日期]])*(表成绩单[历史]&lt;9E+307)*(表成绩单[历史]&gt;表成绩单[[#This Row],[历史]]))+1)</f>
        <v>237</v>
      </c>
      <c r="W109" s="29" cm="1">
        <f t="array" ref="W109">IF(表成绩单[[#This Row],[总分]]="","",SUMPRODUCT((表成绩单[考试日期]=表成绩单[[#This Row],[考试日期]])*(表成绩单[总分]&lt;9E+307)*(表成绩单[总分]&gt;表成绩单[[#This Row],[总分]]))+1)</f>
        <v>105</v>
      </c>
    </row>
    <row r="110" ht="28" customHeight="1" spans="4:23">
      <c r="D110" s="31">
        <v>45975</v>
      </c>
      <c r="E110" s="29">
        <v>19175387</v>
      </c>
      <c r="F110" s="29" t="s">
        <v>74</v>
      </c>
      <c r="G110" s="29" t="s">
        <v>184</v>
      </c>
      <c r="H110" s="29">
        <v>111</v>
      </c>
      <c r="I110" s="29">
        <v>108</v>
      </c>
      <c r="J110" s="29">
        <v>82.5</v>
      </c>
      <c r="K110" s="29">
        <v>86</v>
      </c>
      <c r="L110" s="29">
        <v>77</v>
      </c>
      <c r="M110" s="29">
        <v>81</v>
      </c>
      <c r="N110" s="29">
        <v>78</v>
      </c>
      <c r="O110" s="32">
        <v>623.5</v>
      </c>
      <c r="P110" s="29" cm="1">
        <f t="array" ref="P110">IF(表成绩单[[#This Row],[语文]]="","",SUMPRODUCT((表成绩单[考试日期]=表成绩单[[#This Row],[考试日期]])*(表成绩单[语文]&lt;9E+307)*(表成绩单[语文]&gt;表成绩单[[#This Row],[语文]]))+1)</f>
        <v>11</v>
      </c>
      <c r="Q110" s="29" cm="1">
        <f t="array" ref="Q110">IF(表成绩单[[#This Row],[数学]]="","",SUMPRODUCT((表成绩单[考试日期]=表成绩单[[#This Row],[考试日期]])*(表成绩单[数学]&lt;9E+307)*(表成绩单[数学]&gt;表成绩单[[#This Row],[数学]]))+1)</f>
        <v>182</v>
      </c>
      <c r="R110" s="29" cm="1">
        <f t="array" ref="R110">IF(表成绩单[[#This Row],[英语]]="","",SUMPRODUCT((表成绩单[考试日期]=表成绩单[[#This Row],[考试日期]])*(表成绩单[英语]&lt;9E+307)*(表成绩单[英语]&gt;表成绩单[[#This Row],[英语]]))+1)</f>
        <v>170</v>
      </c>
      <c r="S110" s="29" cm="1">
        <f t="array" ref="S110">IF(表成绩单[[#This Row],[物理]]="","",SUMPRODUCT((表成绩单[考试日期]=表成绩单[[#This Row],[考试日期]])*(表成绩单[物理]&lt;9E+307)*(表成绩单[物理]&gt;表成绩单[[#This Row],[物理]]))+1)</f>
        <v>187</v>
      </c>
      <c r="T110" s="29" cm="1">
        <f t="array" ref="T110">IF(表成绩单[[#This Row],[化学]]="","",SUMPRODUCT((表成绩单[考试日期]=表成绩单[[#This Row],[考试日期]])*(表成绩单[化学]&lt;9E+307)*(表成绩单[化学]&gt;表成绩单[[#This Row],[化学]]))+1)</f>
        <v>239</v>
      </c>
      <c r="U110" s="29" cm="1">
        <f t="array" ref="U110">IF(表成绩单[[#This Row],[政治]]="","",SUMPRODUCT((表成绩单[考试日期]=表成绩单[[#This Row],[考试日期]])*(表成绩单[政治]&lt;9E+307)*(表成绩单[政治]&gt;表成绩单[[#This Row],[政治]]))+1)</f>
        <v>180</v>
      </c>
      <c r="V110" s="29" cm="1">
        <f t="array" ref="V110">IF(表成绩单[[#This Row],[历史]]="","",SUMPRODUCT((表成绩单[考试日期]=表成绩单[[#This Row],[考试日期]])*(表成绩单[历史]&lt;9E+307)*(表成绩单[历史]&gt;表成绩单[[#This Row],[历史]]))+1)</f>
        <v>189</v>
      </c>
      <c r="W110" s="29" cm="1">
        <f t="array" ref="W110">IF(表成绩单[[#This Row],[总分]]="","",SUMPRODUCT((表成绩单[考试日期]=表成绩单[[#This Row],[考试日期]])*(表成绩单[总分]&lt;9E+307)*(表成绩单[总分]&gt;表成绩单[[#This Row],[总分]]))+1)</f>
        <v>105</v>
      </c>
    </row>
    <row r="111" ht="28" customHeight="1" spans="4:23">
      <c r="D111" s="31">
        <v>45975</v>
      </c>
      <c r="E111" s="29">
        <v>19174446</v>
      </c>
      <c r="F111" s="29" t="s">
        <v>73</v>
      </c>
      <c r="G111" s="29" t="s">
        <v>185</v>
      </c>
      <c r="H111" s="29">
        <v>95</v>
      </c>
      <c r="I111" s="29">
        <v>115</v>
      </c>
      <c r="J111" s="29">
        <v>86</v>
      </c>
      <c r="K111" s="29">
        <v>87</v>
      </c>
      <c r="L111" s="29">
        <v>82</v>
      </c>
      <c r="M111" s="29">
        <v>81</v>
      </c>
      <c r="N111" s="29">
        <v>77</v>
      </c>
      <c r="O111" s="32">
        <v>623</v>
      </c>
      <c r="P111" s="29" cm="1">
        <f t="array" ref="P111">IF(表成绩单[[#This Row],[语文]]="","",SUMPRODUCT((表成绩单[考试日期]=表成绩单[[#This Row],[考试日期]])*(表成绩单[语文]&lt;9E+307)*(表成绩单[语文]&gt;表成绩单[[#This Row],[语文]]))+1)</f>
        <v>420</v>
      </c>
      <c r="Q111" s="29" cm="1">
        <f t="array" ref="Q111">IF(表成绩单[[#This Row],[数学]]="","",SUMPRODUCT((表成绩单[考试日期]=表成绩单[[#This Row],[考试日期]])*(表成绩单[数学]&lt;9E+307)*(表成绩单[数学]&gt;表成绩单[[#This Row],[数学]]))+1)</f>
        <v>63</v>
      </c>
      <c r="R111" s="29" cm="1">
        <f t="array" ref="R111">IF(表成绩单[[#This Row],[英语]]="","",SUMPRODUCT((表成绩单[考试日期]=表成绩单[[#This Row],[考试日期]])*(表成绩单[英语]&lt;9E+307)*(表成绩单[英语]&gt;表成绩单[[#This Row],[英语]]))+1)</f>
        <v>42</v>
      </c>
      <c r="S111" s="29" cm="1">
        <f t="array" ref="S111">IF(表成绩单[[#This Row],[物理]]="","",SUMPRODUCT((表成绩单[考试日期]=表成绩单[[#This Row],[考试日期]])*(表成绩单[物理]&lt;9E+307)*(表成绩单[物理]&gt;表成绩单[[#This Row],[物理]]))+1)</f>
        <v>127</v>
      </c>
      <c r="T111" s="29" cm="1">
        <f t="array" ref="T111">IF(表成绩单[[#This Row],[化学]]="","",SUMPRODUCT((表成绩单[考试日期]=表成绩单[[#This Row],[考试日期]])*(表成绩单[化学]&lt;9E+307)*(表成绩单[化学]&gt;表成绩单[[#This Row],[化学]]))+1)</f>
        <v>71</v>
      </c>
      <c r="U111" s="29" cm="1">
        <f t="array" ref="U111">IF(表成绩单[[#This Row],[政治]]="","",SUMPRODUCT((表成绩单[考试日期]=表成绩单[[#This Row],[考试日期]])*(表成绩单[政治]&lt;9E+307)*(表成绩单[政治]&gt;表成绩单[[#This Row],[政治]]))+1)</f>
        <v>180</v>
      </c>
      <c r="V111" s="29" cm="1">
        <f t="array" ref="V111">IF(表成绩单[[#This Row],[历史]]="","",SUMPRODUCT((表成绩单[考试日期]=表成绩单[[#This Row],[考试日期]])*(表成绩单[历史]&lt;9E+307)*(表成绩单[历史]&gt;表成绩单[[#This Row],[历史]]))+1)</f>
        <v>237</v>
      </c>
      <c r="W111" s="29" cm="1">
        <f t="array" ref="W111">IF(表成绩单[[#This Row],[总分]]="","",SUMPRODUCT((表成绩单[考试日期]=表成绩单[[#This Row],[考试日期]])*(表成绩单[总分]&lt;9E+307)*(表成绩单[总分]&gt;表成绩单[[#This Row],[总分]]))+1)</f>
        <v>107</v>
      </c>
    </row>
    <row r="112" ht="28" customHeight="1" spans="4:23">
      <c r="D112" s="31">
        <v>45975</v>
      </c>
      <c r="E112" s="29">
        <v>19174472</v>
      </c>
      <c r="F112" s="29" t="s">
        <v>73</v>
      </c>
      <c r="G112" s="29" t="s">
        <v>186</v>
      </c>
      <c r="H112" s="29">
        <v>106</v>
      </c>
      <c r="I112" s="29">
        <v>109</v>
      </c>
      <c r="J112" s="29">
        <v>84</v>
      </c>
      <c r="K112" s="29">
        <v>86</v>
      </c>
      <c r="L112" s="29">
        <v>78</v>
      </c>
      <c r="M112" s="29">
        <v>83</v>
      </c>
      <c r="N112" s="29">
        <v>77</v>
      </c>
      <c r="O112" s="32">
        <v>623</v>
      </c>
      <c r="P112" s="29" cm="1">
        <f t="array" ref="P112">IF(表成绩单[[#This Row],[语文]]="","",SUMPRODUCT((表成绩单[考试日期]=表成绩单[[#This Row],[考试日期]])*(表成绩单[语文]&lt;9E+307)*(表成绩单[语文]&gt;表成绩单[[#This Row],[语文]]))+1)</f>
        <v>62</v>
      </c>
      <c r="Q112" s="29" cm="1">
        <f t="array" ref="Q112">IF(表成绩单[[#This Row],[数学]]="","",SUMPRODUCT((表成绩单[考试日期]=表成绩单[[#This Row],[考试日期]])*(表成绩单[数学]&lt;9E+307)*(表成绩单[数学]&gt;表成绩单[[#This Row],[数学]]))+1)</f>
        <v>165</v>
      </c>
      <c r="R112" s="29" cm="1">
        <f t="array" ref="R112">IF(表成绩单[[#This Row],[英语]]="","",SUMPRODUCT((表成绩单[考试日期]=表成绩单[[#This Row],[考试日期]])*(表成绩单[英语]&lt;9E+307)*(表成绩单[英语]&gt;表成绩单[[#This Row],[英语]]))+1)</f>
        <v>102</v>
      </c>
      <c r="S112" s="29" cm="1">
        <f t="array" ref="S112">IF(表成绩单[[#This Row],[物理]]="","",SUMPRODUCT((表成绩单[考试日期]=表成绩单[[#This Row],[考试日期]])*(表成绩单[物理]&lt;9E+307)*(表成绩单[物理]&gt;表成绩单[[#This Row],[物理]]))+1)</f>
        <v>187</v>
      </c>
      <c r="T112" s="29" cm="1">
        <f t="array" ref="T112">IF(表成绩单[[#This Row],[化学]]="","",SUMPRODUCT((表成绩单[考试日期]=表成绩单[[#This Row],[考试日期]])*(表成绩单[化学]&lt;9E+307)*(表成绩单[化学]&gt;表成绩单[[#This Row],[化学]]))+1)</f>
        <v>200</v>
      </c>
      <c r="U112" s="29" cm="1">
        <f t="array" ref="U112">IF(表成绩单[[#This Row],[政治]]="","",SUMPRODUCT((表成绩单[考试日期]=表成绩单[[#This Row],[考试日期]])*(表成绩单[政治]&lt;9E+307)*(表成绩单[政治]&gt;表成绩单[[#This Row],[政治]]))+1)</f>
        <v>121</v>
      </c>
      <c r="V112" s="29" cm="1">
        <f t="array" ref="V112">IF(表成绩单[[#This Row],[历史]]="","",SUMPRODUCT((表成绩单[考试日期]=表成绩单[[#This Row],[考试日期]])*(表成绩单[历史]&lt;9E+307)*(表成绩单[历史]&gt;表成绩单[[#This Row],[历史]]))+1)</f>
        <v>237</v>
      </c>
      <c r="W112" s="29" cm="1">
        <f t="array" ref="W112">IF(表成绩单[[#This Row],[总分]]="","",SUMPRODUCT((表成绩单[考试日期]=表成绩单[[#This Row],[考试日期]])*(表成绩单[总分]&lt;9E+307)*(表成绩单[总分]&gt;表成绩单[[#This Row],[总分]]))+1)</f>
        <v>107</v>
      </c>
    </row>
    <row r="113" ht="28" customHeight="1" spans="4:23">
      <c r="D113" s="31">
        <v>45975</v>
      </c>
      <c r="E113" s="29">
        <v>19175656</v>
      </c>
      <c r="F113" s="29" t="s">
        <v>66</v>
      </c>
      <c r="G113" s="29" t="s">
        <v>187</v>
      </c>
      <c r="H113" s="29">
        <v>101</v>
      </c>
      <c r="I113" s="29">
        <v>100</v>
      </c>
      <c r="J113" s="29">
        <v>86</v>
      </c>
      <c r="K113" s="29">
        <v>85</v>
      </c>
      <c r="L113" s="29">
        <v>87</v>
      </c>
      <c r="M113" s="29">
        <v>85</v>
      </c>
      <c r="N113" s="29">
        <v>79</v>
      </c>
      <c r="O113" s="32">
        <v>623</v>
      </c>
      <c r="P113" s="29" cm="1">
        <f t="array" ref="P113">IF(表成绩单[[#This Row],[语文]]="","",SUMPRODUCT((表成绩单[考试日期]=表成绩单[[#This Row],[考试日期]])*(表成绩单[语文]&lt;9E+307)*(表成绩单[语文]&gt;表成绩单[[#This Row],[语文]]))+1)</f>
        <v>190</v>
      </c>
      <c r="Q113" s="29" cm="1">
        <f t="array" ref="Q113">IF(表成绩单[[#This Row],[数学]]="","",SUMPRODUCT((表成绩单[考试日期]=表成绩单[[#This Row],[考试日期]])*(表成绩单[数学]&lt;9E+307)*(表成绩单[数学]&gt;表成绩单[[#This Row],[数学]]))+1)</f>
        <v>340</v>
      </c>
      <c r="R113" s="29" cm="1">
        <f t="array" ref="R113">IF(表成绩单[[#This Row],[英语]]="","",SUMPRODUCT((表成绩单[考试日期]=表成绩单[[#This Row],[考试日期]])*(表成绩单[英语]&lt;9E+307)*(表成绩单[英语]&gt;表成绩单[[#This Row],[英语]]))+1)</f>
        <v>42</v>
      </c>
      <c r="S113" s="29" cm="1">
        <f t="array" ref="S113">IF(表成绩单[[#This Row],[物理]]="","",SUMPRODUCT((表成绩单[考试日期]=表成绩单[[#This Row],[考试日期]])*(表成绩单[物理]&lt;9E+307)*(表成绩单[物理]&gt;表成绩单[[#This Row],[物理]]))+1)</f>
        <v>263</v>
      </c>
      <c r="T113" s="29" cm="1">
        <f t="array" ref="T113">IF(表成绩单[[#This Row],[化学]]="","",SUMPRODUCT((表成绩单[考试日期]=表成绩单[[#This Row],[考试日期]])*(表成绩单[化学]&lt;9E+307)*(表成绩单[化学]&gt;表成绩单[[#This Row],[化学]]))+1)</f>
        <v>3</v>
      </c>
      <c r="U113" s="29" cm="1">
        <f t="array" ref="U113">IF(表成绩单[[#This Row],[政治]]="","",SUMPRODUCT((表成绩单[考试日期]=表成绩单[[#This Row],[考试日期]])*(表成绩单[政治]&lt;9E+307)*(表成绩单[政治]&gt;表成绩单[[#This Row],[政治]]))+1)</f>
        <v>45</v>
      </c>
      <c r="V113" s="29" cm="1">
        <f t="array" ref="V113">IF(表成绩单[[#This Row],[历史]]="","",SUMPRODUCT((表成绩单[考试日期]=表成绩单[[#This Row],[考试日期]])*(表成绩单[历史]&lt;9E+307)*(表成绩单[历史]&gt;表成绩单[[#This Row],[历史]]))+1)</f>
        <v>144</v>
      </c>
      <c r="W113" s="29" cm="1">
        <f t="array" ref="W113">IF(表成绩单[[#This Row],[总分]]="","",SUMPRODUCT((表成绩单[考试日期]=表成绩单[[#This Row],[考试日期]])*(表成绩单[总分]&lt;9E+307)*(表成绩单[总分]&gt;表成绩单[[#This Row],[总分]]))+1)</f>
        <v>107</v>
      </c>
    </row>
    <row r="114" ht="28" customHeight="1" spans="4:23">
      <c r="D114" s="31">
        <v>45975</v>
      </c>
      <c r="E114" s="29">
        <v>19175694</v>
      </c>
      <c r="F114" s="29" t="s">
        <v>72</v>
      </c>
      <c r="G114" s="29" t="s">
        <v>188</v>
      </c>
      <c r="H114" s="29">
        <v>94</v>
      </c>
      <c r="I114" s="29">
        <v>120</v>
      </c>
      <c r="J114" s="29">
        <v>81</v>
      </c>
      <c r="K114" s="29">
        <v>88</v>
      </c>
      <c r="L114" s="29">
        <v>83</v>
      </c>
      <c r="M114" s="29">
        <v>79</v>
      </c>
      <c r="N114" s="29">
        <v>78</v>
      </c>
      <c r="O114" s="32">
        <v>623</v>
      </c>
      <c r="P114" s="29" cm="1">
        <f t="array" ref="P114">IF(表成绩单[[#This Row],[语文]]="","",SUMPRODUCT((表成绩单[考试日期]=表成绩单[[#This Row],[考试日期]])*(表成绩单[语文]&lt;9E+307)*(表成绩单[语文]&gt;表成绩单[[#This Row],[语文]]))+1)</f>
        <v>452</v>
      </c>
      <c r="Q114" s="29" cm="1">
        <f t="array" ref="Q114">IF(表成绩单[[#This Row],[数学]]="","",SUMPRODUCT((表成绩单[考试日期]=表成绩单[[#This Row],[考试日期]])*(表成绩单[数学]&lt;9E+307)*(表成绩单[数学]&gt;表成绩单[[#This Row],[数学]]))+1)</f>
        <v>1</v>
      </c>
      <c r="R114" s="29" cm="1">
        <f t="array" ref="R114">IF(表成绩单[[#This Row],[英语]]="","",SUMPRODUCT((表成绩单[考试日期]=表成绩单[[#This Row],[考试日期]])*(表成绩单[英语]&lt;9E+307)*(表成绩单[英语]&gt;表成绩单[[#This Row],[英语]]))+1)</f>
        <v>241</v>
      </c>
      <c r="S114" s="29" cm="1">
        <f t="array" ref="S114">IF(表成绩单[[#This Row],[物理]]="","",SUMPRODUCT((表成绩单[考试日期]=表成绩单[[#This Row],[考试日期]])*(表成绩单[物理]&lt;9E+307)*(表成绩单[物理]&gt;表成绩单[[#This Row],[物理]]))+1)</f>
        <v>54</v>
      </c>
      <c r="T114" s="29" cm="1">
        <f t="array" ref="T114">IF(表成绩单[[#This Row],[化学]]="","",SUMPRODUCT((表成绩单[考试日期]=表成绩单[[#This Row],[考试日期]])*(表成绩单[化学]&lt;9E+307)*(表成绩单[化学]&gt;表成绩单[[#This Row],[化学]]))+1)</f>
        <v>49</v>
      </c>
      <c r="U114" s="29" cm="1">
        <f t="array" ref="U114">IF(表成绩单[[#This Row],[政治]]="","",SUMPRODUCT((表成绩单[考试日期]=表成绩单[[#This Row],[考试日期]])*(表成绩单[政治]&lt;9E+307)*(表成绩单[政治]&gt;表成绩单[[#This Row],[政治]]))+1)</f>
        <v>246</v>
      </c>
      <c r="V114" s="29" cm="1">
        <f t="array" ref="V114">IF(表成绩单[[#This Row],[历史]]="","",SUMPRODUCT((表成绩单[考试日期]=表成绩单[[#This Row],[考试日期]])*(表成绩单[历史]&lt;9E+307)*(表成绩单[历史]&gt;表成绩单[[#This Row],[历史]]))+1)</f>
        <v>189</v>
      </c>
      <c r="W114" s="29" cm="1">
        <f t="array" ref="W114">IF(表成绩单[[#This Row],[总分]]="","",SUMPRODUCT((表成绩单[考试日期]=表成绩单[[#This Row],[考试日期]])*(表成绩单[总分]&lt;9E+307)*(表成绩单[总分]&gt;表成绩单[[#This Row],[总分]]))+1)</f>
        <v>107</v>
      </c>
    </row>
    <row r="115" ht="28" customHeight="1" spans="4:23">
      <c r="D115" s="31">
        <v>45975</v>
      </c>
      <c r="E115" s="29">
        <v>19176880</v>
      </c>
      <c r="F115" s="29" t="s">
        <v>71</v>
      </c>
      <c r="G115" s="29" t="s">
        <v>189</v>
      </c>
      <c r="H115" s="29">
        <v>108</v>
      </c>
      <c r="I115" s="29">
        <v>104</v>
      </c>
      <c r="J115" s="29">
        <v>83</v>
      </c>
      <c r="K115" s="29">
        <v>89</v>
      </c>
      <c r="L115" s="29">
        <v>82</v>
      </c>
      <c r="M115" s="29">
        <v>78</v>
      </c>
      <c r="N115" s="29">
        <v>79</v>
      </c>
      <c r="O115" s="32">
        <v>623</v>
      </c>
      <c r="P115" s="29" cm="1">
        <f t="array" ref="P115">IF(表成绩单[[#This Row],[语文]]="","",SUMPRODUCT((表成绩单[考试日期]=表成绩单[[#This Row],[考试日期]])*(表成绩单[语文]&lt;9E+307)*(表成绩单[语文]&gt;表成绩单[[#This Row],[语文]]))+1)</f>
        <v>27</v>
      </c>
      <c r="Q115" s="29" cm="1">
        <f t="array" ref="Q115">IF(表成绩单[[#This Row],[数学]]="","",SUMPRODUCT((表成绩单[考试日期]=表成绩单[[#This Row],[考试日期]])*(表成绩单[数学]&lt;9E+307)*(表成绩单[数学]&gt;表成绩单[[#This Row],[数学]]))+1)</f>
        <v>260</v>
      </c>
      <c r="R115" s="29" cm="1">
        <f t="array" ref="R115">IF(表成绩单[[#This Row],[英语]]="","",SUMPRODUCT((表成绩单[考试日期]=表成绩单[[#This Row],[考试日期]])*(表成绩单[英语]&lt;9E+307)*(表成绩单[英语]&gt;表成绩单[[#This Row],[英语]]))+1)</f>
        <v>146</v>
      </c>
      <c r="S115" s="29" cm="1">
        <f t="array" ref="S115">IF(表成绩单[[#This Row],[物理]]="","",SUMPRODUCT((表成绩单[考试日期]=表成绩单[[#This Row],[考试日期]])*(表成绩单[物理]&lt;9E+307)*(表成绩单[物理]&gt;表成绩单[[#This Row],[物理]]))+1)</f>
        <v>18</v>
      </c>
      <c r="T115" s="29" cm="1">
        <f t="array" ref="T115">IF(表成绩单[[#This Row],[化学]]="","",SUMPRODUCT((表成绩单[考试日期]=表成绩单[[#This Row],[考试日期]])*(表成绩单[化学]&lt;9E+307)*(表成绩单[化学]&gt;表成绩单[[#This Row],[化学]]))+1)</f>
        <v>71</v>
      </c>
      <c r="U115" s="29" cm="1">
        <f t="array" ref="U115">IF(表成绩单[[#This Row],[政治]]="","",SUMPRODUCT((表成绩单[考试日期]=表成绩单[[#This Row],[考试日期]])*(表成绩单[政治]&lt;9E+307)*(表成绩单[政治]&gt;表成绩单[[#This Row],[政治]]))+1)</f>
        <v>272</v>
      </c>
      <c r="V115" s="29" cm="1">
        <f t="array" ref="V115">IF(表成绩单[[#This Row],[历史]]="","",SUMPRODUCT((表成绩单[考试日期]=表成绩单[[#This Row],[考试日期]])*(表成绩单[历史]&lt;9E+307)*(表成绩单[历史]&gt;表成绩单[[#This Row],[历史]]))+1)</f>
        <v>144</v>
      </c>
      <c r="W115" s="29" cm="1">
        <f t="array" ref="W115">IF(表成绩单[[#This Row],[总分]]="","",SUMPRODUCT((表成绩单[考试日期]=表成绩单[[#This Row],[考试日期]])*(表成绩单[总分]&lt;9E+307)*(表成绩单[总分]&gt;表成绩单[[#This Row],[总分]]))+1)</f>
        <v>107</v>
      </c>
    </row>
    <row r="116" ht="28" customHeight="1" spans="4:23">
      <c r="D116" s="31">
        <v>45975</v>
      </c>
      <c r="E116" s="29">
        <v>19173268</v>
      </c>
      <c r="F116" s="29" t="s">
        <v>61</v>
      </c>
      <c r="G116" s="29" t="s">
        <v>190</v>
      </c>
      <c r="H116" s="29">
        <v>104</v>
      </c>
      <c r="I116" s="29">
        <v>114</v>
      </c>
      <c r="J116" s="29">
        <v>80.5</v>
      </c>
      <c r="K116" s="29">
        <v>85</v>
      </c>
      <c r="L116" s="29">
        <v>83</v>
      </c>
      <c r="M116" s="29">
        <v>79</v>
      </c>
      <c r="N116" s="29">
        <v>77</v>
      </c>
      <c r="O116" s="32">
        <v>622.5</v>
      </c>
      <c r="P116" s="29" cm="1">
        <f t="array" ref="P116">IF(表成绩单[[#This Row],[语文]]="","",SUMPRODUCT((表成绩单[考试日期]=表成绩单[[#This Row],[考试日期]])*(表成绩单[语文]&lt;9E+307)*(表成绩单[语文]&gt;表成绩单[[#This Row],[语文]]))+1)</f>
        <v>104</v>
      </c>
      <c r="Q116" s="29" cm="1">
        <f t="array" ref="Q116">IF(表成绩单[[#This Row],[数学]]="","",SUMPRODUCT((表成绩单[考试日期]=表成绩单[[#This Row],[考试日期]])*(表成绩单[数学]&lt;9E+307)*(表成绩单[数学]&gt;表成绩单[[#This Row],[数学]]))+1)</f>
        <v>79</v>
      </c>
      <c r="R116" s="29" cm="1">
        <f t="array" ref="R116">IF(表成绩单[[#This Row],[英语]]="","",SUMPRODUCT((表成绩单[考试日期]=表成绩单[[#This Row],[考试日期]])*(表成绩单[英语]&lt;9E+307)*(表成绩单[英语]&gt;表成绩单[[#This Row],[英语]]))+1)</f>
        <v>255</v>
      </c>
      <c r="S116" s="29" cm="1">
        <f t="array" ref="S116">IF(表成绩单[[#This Row],[物理]]="","",SUMPRODUCT((表成绩单[考试日期]=表成绩单[[#This Row],[考试日期]])*(表成绩单[物理]&lt;9E+307)*(表成绩单[物理]&gt;表成绩单[[#This Row],[物理]]))+1)</f>
        <v>263</v>
      </c>
      <c r="T116" s="29" cm="1">
        <f t="array" ref="T116">IF(表成绩单[[#This Row],[化学]]="","",SUMPRODUCT((表成绩单[考试日期]=表成绩单[[#This Row],[考试日期]])*(表成绩单[化学]&lt;9E+307)*(表成绩单[化学]&gt;表成绩单[[#This Row],[化学]]))+1)</f>
        <v>49</v>
      </c>
      <c r="U116" s="29" cm="1">
        <f t="array" ref="U116">IF(表成绩单[[#This Row],[政治]]="","",SUMPRODUCT((表成绩单[考试日期]=表成绩单[[#This Row],[考试日期]])*(表成绩单[政治]&lt;9E+307)*(表成绩单[政治]&gt;表成绩单[[#This Row],[政治]]))+1)</f>
        <v>246</v>
      </c>
      <c r="V116" s="29" cm="1">
        <f t="array" ref="V116">IF(表成绩单[[#This Row],[历史]]="","",SUMPRODUCT((表成绩单[考试日期]=表成绩单[[#This Row],[考试日期]])*(表成绩单[历史]&lt;9E+307)*(表成绩单[历史]&gt;表成绩单[[#This Row],[历史]]))+1)</f>
        <v>237</v>
      </c>
      <c r="W116" s="29" cm="1">
        <f t="array" ref="W116">IF(表成绩单[[#This Row],[总分]]="","",SUMPRODUCT((表成绩单[考试日期]=表成绩单[[#This Row],[考试日期]])*(表成绩单[总分]&lt;9E+307)*(表成绩单[总分]&gt;表成绩单[[#This Row],[总分]]))+1)</f>
        <v>112</v>
      </c>
    </row>
    <row r="117" ht="28" customHeight="1" spans="4:23">
      <c r="D117" s="31">
        <v>45975</v>
      </c>
      <c r="E117" s="29">
        <v>19174803</v>
      </c>
      <c r="F117" s="29" t="s">
        <v>69</v>
      </c>
      <c r="G117" s="29" t="s">
        <v>191</v>
      </c>
      <c r="H117" s="29">
        <v>104</v>
      </c>
      <c r="I117" s="29">
        <v>110</v>
      </c>
      <c r="J117" s="29">
        <v>83.5</v>
      </c>
      <c r="K117" s="29">
        <v>85</v>
      </c>
      <c r="L117" s="29">
        <v>79</v>
      </c>
      <c r="M117" s="29">
        <v>80</v>
      </c>
      <c r="N117" s="29">
        <v>81</v>
      </c>
      <c r="O117" s="32">
        <v>622.5</v>
      </c>
      <c r="P117" s="29" cm="1">
        <f t="array" ref="P117">IF(表成绩单[[#This Row],[语文]]="","",SUMPRODUCT((表成绩单[考试日期]=表成绩单[[#This Row],[考试日期]])*(表成绩单[语文]&lt;9E+307)*(表成绩单[语文]&gt;表成绩单[[#This Row],[语文]]))+1)</f>
        <v>104</v>
      </c>
      <c r="Q117" s="29" cm="1">
        <f t="array" ref="Q117">IF(表成绩单[[#This Row],[数学]]="","",SUMPRODUCT((表成绩单[考试日期]=表成绩单[[#This Row],[考试日期]])*(表成绩单[数学]&lt;9E+307)*(表成绩单[数学]&gt;表成绩单[[#This Row],[数学]]))+1)</f>
        <v>154</v>
      </c>
      <c r="R117" s="29" cm="1">
        <f t="array" ref="R117">IF(表成绩单[[#This Row],[英语]]="","",SUMPRODUCT((表成绩单[考试日期]=表成绩单[[#This Row],[考试日期]])*(表成绩单[英语]&lt;9E+307)*(表成绩单[英语]&gt;表成绩单[[#This Row],[英语]]))+1)</f>
        <v>128</v>
      </c>
      <c r="S117" s="29" cm="1">
        <f t="array" ref="S117">IF(表成绩单[[#This Row],[物理]]="","",SUMPRODUCT((表成绩单[考试日期]=表成绩单[[#This Row],[考试日期]])*(表成绩单[物理]&lt;9E+307)*(表成绩单[物理]&gt;表成绩单[[#This Row],[物理]]))+1)</f>
        <v>263</v>
      </c>
      <c r="T117" s="29" cm="1">
        <f t="array" ref="T117">IF(表成绩单[[#This Row],[化学]]="","",SUMPRODUCT((表成绩单[考试日期]=表成绩单[[#This Row],[考试日期]])*(表成绩单[化学]&lt;9E+307)*(表成绩单[化学]&gt;表成绩单[[#This Row],[化学]]))+1)</f>
        <v>166</v>
      </c>
      <c r="U117" s="29" cm="1">
        <f t="array" ref="U117">IF(表成绩单[[#This Row],[政治]]="","",SUMPRODUCT((表成绩单[考试日期]=表成绩单[[#This Row],[考试日期]])*(表成绩单[政治]&lt;9E+307)*(表成绩单[政治]&gt;表成绩单[[#This Row],[政治]]))+1)</f>
        <v>209</v>
      </c>
      <c r="V117" s="29" cm="1">
        <f t="array" ref="V117">IF(表成绩单[[#This Row],[历史]]="","",SUMPRODUCT((表成绩单[考试日期]=表成绩单[[#This Row],[考试日期]])*(表成绩单[历史]&lt;9E+307)*(表成绩单[历史]&gt;表成绩单[[#This Row],[历史]]))+1)</f>
        <v>63</v>
      </c>
      <c r="W117" s="29" cm="1">
        <f t="array" ref="W117">IF(表成绩单[[#This Row],[总分]]="","",SUMPRODUCT((表成绩单[考试日期]=表成绩单[[#This Row],[考试日期]])*(表成绩单[总分]&lt;9E+307)*(表成绩单[总分]&gt;表成绩单[[#This Row],[总分]]))+1)</f>
        <v>112</v>
      </c>
    </row>
    <row r="118" ht="28" customHeight="1" spans="4:23">
      <c r="D118" s="31">
        <v>45975</v>
      </c>
      <c r="E118" s="29">
        <v>19177193</v>
      </c>
      <c r="F118" s="29" t="s">
        <v>70</v>
      </c>
      <c r="G118" s="29" t="s">
        <v>192</v>
      </c>
      <c r="H118" s="29">
        <v>98</v>
      </c>
      <c r="I118" s="29">
        <v>117</v>
      </c>
      <c r="J118" s="29">
        <v>87.5</v>
      </c>
      <c r="K118" s="29">
        <v>84</v>
      </c>
      <c r="L118" s="29">
        <v>74</v>
      </c>
      <c r="M118" s="29">
        <v>85</v>
      </c>
      <c r="N118" s="29">
        <v>77</v>
      </c>
      <c r="O118" s="32">
        <v>622.5</v>
      </c>
      <c r="P118" s="29" cm="1">
        <f t="array" ref="P118">IF(表成绩单[[#This Row],[语文]]="","",SUMPRODUCT((表成绩单[考试日期]=表成绩单[[#This Row],[考试日期]])*(表成绩单[语文]&lt;9E+307)*(表成绩单[语文]&gt;表成绩单[[#This Row],[语文]]))+1)</f>
        <v>305</v>
      </c>
      <c r="Q118" s="29" cm="1">
        <f t="array" ref="Q118">IF(表成绩单[[#This Row],[数学]]="","",SUMPRODUCT((表成绩单[考试日期]=表成绩单[[#This Row],[考试日期]])*(表成绩单[数学]&lt;9E+307)*(表成绩单[数学]&gt;表成绩单[[#This Row],[数学]]))+1)</f>
        <v>37</v>
      </c>
      <c r="R118" s="29" cm="1">
        <f t="array" ref="R118">IF(表成绩单[[#This Row],[英语]]="","",SUMPRODUCT((表成绩单[考试日期]=表成绩单[[#This Row],[考试日期]])*(表成绩单[英语]&lt;9E+307)*(表成绩单[英语]&gt;表成绩单[[#This Row],[英语]]))+1)</f>
        <v>17</v>
      </c>
      <c r="S118" s="29" cm="1">
        <f t="array" ref="S118">IF(表成绩单[[#This Row],[物理]]="","",SUMPRODUCT((表成绩单[考试日期]=表成绩单[[#This Row],[考试日期]])*(表成绩单[物理]&lt;9E+307)*(表成绩单[物理]&gt;表成绩单[[#This Row],[物理]]))+1)</f>
        <v>344</v>
      </c>
      <c r="T118" s="29" cm="1">
        <f t="array" ref="T118">IF(表成绩单[[#This Row],[化学]]="","",SUMPRODUCT((表成绩单[考试日期]=表成绩单[[#This Row],[考试日期]])*(表成绩单[化学]&lt;9E+307)*(表成绩单[化学]&gt;表成绩单[[#This Row],[化学]]))+1)</f>
        <v>337</v>
      </c>
      <c r="U118" s="29" cm="1">
        <f t="array" ref="U118">IF(表成绩单[[#This Row],[政治]]="","",SUMPRODUCT((表成绩单[考试日期]=表成绩单[[#This Row],[考试日期]])*(表成绩单[政治]&lt;9E+307)*(表成绩单[政治]&gt;表成绩单[[#This Row],[政治]]))+1)</f>
        <v>45</v>
      </c>
      <c r="V118" s="29" cm="1">
        <f t="array" ref="V118">IF(表成绩单[[#This Row],[历史]]="","",SUMPRODUCT((表成绩单[考试日期]=表成绩单[[#This Row],[考试日期]])*(表成绩单[历史]&lt;9E+307)*(表成绩单[历史]&gt;表成绩单[[#This Row],[历史]]))+1)</f>
        <v>237</v>
      </c>
      <c r="W118" s="29" cm="1">
        <f t="array" ref="W118">IF(表成绩单[[#This Row],[总分]]="","",SUMPRODUCT((表成绩单[考试日期]=表成绩单[[#This Row],[考试日期]])*(表成绩单[总分]&lt;9E+307)*(表成绩单[总分]&gt;表成绩单[[#This Row],[总分]]))+1)</f>
        <v>112</v>
      </c>
    </row>
    <row r="119" ht="28" customHeight="1" spans="4:23">
      <c r="D119" s="31">
        <v>45975</v>
      </c>
      <c r="E119" s="29">
        <v>19177222</v>
      </c>
      <c r="F119" s="29" t="s">
        <v>70</v>
      </c>
      <c r="G119" s="29" t="s">
        <v>193</v>
      </c>
      <c r="H119" s="29">
        <v>104</v>
      </c>
      <c r="I119" s="29">
        <v>100</v>
      </c>
      <c r="J119" s="29">
        <v>81.5</v>
      </c>
      <c r="K119" s="29">
        <v>87</v>
      </c>
      <c r="L119" s="29">
        <v>83</v>
      </c>
      <c r="M119" s="29">
        <v>85</v>
      </c>
      <c r="N119" s="29">
        <v>82</v>
      </c>
      <c r="O119" s="32">
        <v>622.5</v>
      </c>
      <c r="P119" s="29" cm="1">
        <f t="array" ref="P119">IF(表成绩单[[#This Row],[语文]]="","",SUMPRODUCT((表成绩单[考试日期]=表成绩单[[#This Row],[考试日期]])*(表成绩单[语文]&lt;9E+307)*(表成绩单[语文]&gt;表成绩单[[#This Row],[语文]]))+1)</f>
        <v>104</v>
      </c>
      <c r="Q119" s="29" cm="1">
        <f t="array" ref="Q119">IF(表成绩单[[#This Row],[数学]]="","",SUMPRODUCT((表成绩单[考试日期]=表成绩单[[#This Row],[考试日期]])*(表成绩单[数学]&lt;9E+307)*(表成绩单[数学]&gt;表成绩单[[#This Row],[数学]]))+1)</f>
        <v>340</v>
      </c>
      <c r="R119" s="29" cm="1">
        <f t="array" ref="R119">IF(表成绩单[[#This Row],[英语]]="","",SUMPRODUCT((表成绩单[考试日期]=表成绩单[[#This Row],[考试日期]])*(表成绩单[英语]&lt;9E+307)*(表成绩单[英语]&gt;表成绩单[[#This Row],[英语]]))+1)</f>
        <v>220</v>
      </c>
      <c r="S119" s="29" cm="1">
        <f t="array" ref="S119">IF(表成绩单[[#This Row],[物理]]="","",SUMPRODUCT((表成绩单[考试日期]=表成绩单[[#This Row],[考试日期]])*(表成绩单[物理]&lt;9E+307)*(表成绩单[物理]&gt;表成绩单[[#This Row],[物理]]))+1)</f>
        <v>127</v>
      </c>
      <c r="T119" s="29" cm="1">
        <f t="array" ref="T119">IF(表成绩单[[#This Row],[化学]]="","",SUMPRODUCT((表成绩单[考试日期]=表成绩单[[#This Row],[考试日期]])*(表成绩单[化学]&lt;9E+307)*(表成绩单[化学]&gt;表成绩单[[#This Row],[化学]]))+1)</f>
        <v>49</v>
      </c>
      <c r="U119" s="29" cm="1">
        <f t="array" ref="U119">IF(表成绩单[[#This Row],[政治]]="","",SUMPRODUCT((表成绩单[考试日期]=表成绩单[[#This Row],[考试日期]])*(表成绩单[政治]&lt;9E+307)*(表成绩单[政治]&gt;表成绩单[[#This Row],[政治]]))+1)</f>
        <v>45</v>
      </c>
      <c r="V119" s="29" cm="1">
        <f t="array" ref="V119">IF(表成绩单[[#This Row],[历史]]="","",SUMPRODUCT((表成绩单[考试日期]=表成绩单[[#This Row],[考试日期]])*(表成绩单[历史]&lt;9E+307)*(表成绩单[历史]&gt;表成绩单[[#This Row],[历史]]))+1)</f>
        <v>35</v>
      </c>
      <c r="W119" s="29" cm="1">
        <f t="array" ref="W119">IF(表成绩单[[#This Row],[总分]]="","",SUMPRODUCT((表成绩单[考试日期]=表成绩单[[#This Row],[考试日期]])*(表成绩单[总分]&lt;9E+307)*(表成绩单[总分]&gt;表成绩单[[#This Row],[总分]]))+1)</f>
        <v>112</v>
      </c>
    </row>
    <row r="120" ht="28" customHeight="1" spans="4:23">
      <c r="D120" s="31">
        <v>45975</v>
      </c>
      <c r="E120" s="29">
        <v>19175672</v>
      </c>
      <c r="F120" s="29" t="s">
        <v>72</v>
      </c>
      <c r="G120" s="29" t="s">
        <v>194</v>
      </c>
      <c r="H120" s="29">
        <v>99</v>
      </c>
      <c r="I120" s="29">
        <v>118</v>
      </c>
      <c r="J120" s="29">
        <v>82</v>
      </c>
      <c r="K120" s="29">
        <v>85</v>
      </c>
      <c r="L120" s="29">
        <v>77</v>
      </c>
      <c r="M120" s="29">
        <v>85</v>
      </c>
      <c r="N120" s="29">
        <v>76</v>
      </c>
      <c r="O120" s="32">
        <v>622</v>
      </c>
      <c r="P120" s="29" cm="1">
        <f t="array" ref="P120">IF(表成绩单[[#This Row],[语文]]="","",SUMPRODUCT((表成绩单[考试日期]=表成绩单[[#This Row],[考试日期]])*(表成绩单[语文]&lt;9E+307)*(表成绩单[语文]&gt;表成绩单[[#This Row],[语文]]))+1)</f>
        <v>264</v>
      </c>
      <c r="Q120" s="29" cm="1">
        <f t="array" ref="Q120">IF(表成绩单[[#This Row],[数学]]="","",SUMPRODUCT((表成绩单[考试日期]=表成绩单[[#This Row],[考试日期]])*(表成绩单[数学]&lt;9E+307)*(表成绩单[数学]&gt;表成绩单[[#This Row],[数学]]))+1)</f>
        <v>22</v>
      </c>
      <c r="R120" s="29" cm="1">
        <f t="array" ref="R120">IF(表成绩单[[#This Row],[英语]]="","",SUMPRODUCT((表成绩单[考试日期]=表成绩单[[#This Row],[考试日期]])*(表成绩单[英语]&lt;9E+307)*(表成绩单[英语]&gt;表成绩单[[#This Row],[英语]]))+1)</f>
        <v>195</v>
      </c>
      <c r="S120" s="29" cm="1">
        <f t="array" ref="S120">IF(表成绩单[[#This Row],[物理]]="","",SUMPRODUCT((表成绩单[考试日期]=表成绩单[[#This Row],[考试日期]])*(表成绩单[物理]&lt;9E+307)*(表成绩单[物理]&gt;表成绩单[[#This Row],[物理]]))+1)</f>
        <v>263</v>
      </c>
      <c r="T120" s="29" cm="1">
        <f t="array" ref="T120">IF(表成绩单[[#This Row],[化学]]="","",SUMPRODUCT((表成绩单[考试日期]=表成绩单[[#This Row],[考试日期]])*(表成绩单[化学]&lt;9E+307)*(表成绩单[化学]&gt;表成绩单[[#This Row],[化学]]))+1)</f>
        <v>239</v>
      </c>
      <c r="U120" s="29" cm="1">
        <f t="array" ref="U120">IF(表成绩单[[#This Row],[政治]]="","",SUMPRODUCT((表成绩单[考试日期]=表成绩单[[#This Row],[考试日期]])*(表成绩单[政治]&lt;9E+307)*(表成绩单[政治]&gt;表成绩单[[#This Row],[政治]]))+1)</f>
        <v>45</v>
      </c>
      <c r="V120" s="29" cm="1">
        <f t="array" ref="V120">IF(表成绩单[[#This Row],[历史]]="","",SUMPRODUCT((表成绩单[考试日期]=表成绩单[[#This Row],[考试日期]])*(表成绩单[历史]&lt;9E+307)*(表成绩单[历史]&gt;表成绩单[[#This Row],[历史]]))+1)</f>
        <v>278</v>
      </c>
      <c r="W120" s="29" cm="1">
        <f t="array" ref="W120">IF(表成绩单[[#This Row],[总分]]="","",SUMPRODUCT((表成绩单[考试日期]=表成绩单[[#This Row],[考试日期]])*(表成绩单[总分]&lt;9E+307)*(表成绩单[总分]&gt;表成绩单[[#This Row],[总分]]))+1)</f>
        <v>116</v>
      </c>
    </row>
    <row r="121" ht="28" customHeight="1" spans="4:23">
      <c r="D121" s="31">
        <v>45975</v>
      </c>
      <c r="E121" s="29">
        <v>19171080</v>
      </c>
      <c r="F121" s="29" t="s">
        <v>67</v>
      </c>
      <c r="G121" s="29" t="s">
        <v>195</v>
      </c>
      <c r="H121" s="29">
        <v>98</v>
      </c>
      <c r="I121" s="29">
        <v>116</v>
      </c>
      <c r="J121" s="29">
        <v>79.5</v>
      </c>
      <c r="K121" s="29">
        <v>88</v>
      </c>
      <c r="L121" s="29">
        <v>81</v>
      </c>
      <c r="M121" s="29">
        <v>83</v>
      </c>
      <c r="N121" s="29">
        <v>76</v>
      </c>
      <c r="O121" s="32">
        <v>621.5</v>
      </c>
      <c r="P121" s="29" cm="1">
        <f t="array" ref="P121">IF(表成绩单[[#This Row],[语文]]="","",SUMPRODUCT((表成绩单[考试日期]=表成绩单[[#This Row],[考试日期]])*(表成绩单[语文]&lt;9E+307)*(表成绩单[语文]&gt;表成绩单[[#This Row],[语文]]))+1)</f>
        <v>305</v>
      </c>
      <c r="Q121" s="29" cm="1">
        <f t="array" ref="Q121">IF(表成绩单[[#This Row],[数学]]="","",SUMPRODUCT((表成绩单[考试日期]=表成绩单[[#This Row],[考试日期]])*(表成绩单[数学]&lt;9E+307)*(表成绩单[数学]&gt;表成绩单[[#This Row],[数学]]))+1)</f>
        <v>50</v>
      </c>
      <c r="R121" s="29" cm="1">
        <f t="array" ref="R121">IF(表成绩单[[#This Row],[英语]]="","",SUMPRODUCT((表成绩单[考试日期]=表成绩单[[#This Row],[考试日期]])*(表成绩单[英语]&lt;9E+307)*(表成绩单[英语]&gt;表成绩单[[#This Row],[英语]]))+1)</f>
        <v>279</v>
      </c>
      <c r="S121" s="29" cm="1">
        <f t="array" ref="S121">IF(表成绩单[[#This Row],[物理]]="","",SUMPRODUCT((表成绩单[考试日期]=表成绩单[[#This Row],[考试日期]])*(表成绩单[物理]&lt;9E+307)*(表成绩单[物理]&gt;表成绩单[[#This Row],[物理]]))+1)</f>
        <v>54</v>
      </c>
      <c r="T121" s="29" cm="1">
        <f t="array" ref="T121">IF(表成绩单[[#This Row],[化学]]="","",SUMPRODUCT((表成绩单[考试日期]=表成绩单[[#This Row],[考试日期]])*(表成绩单[化学]&lt;9E+307)*(表成绩单[化学]&gt;表成绩单[[#This Row],[化学]]))+1)</f>
        <v>100</v>
      </c>
      <c r="U121" s="29" cm="1">
        <f t="array" ref="U121">IF(表成绩单[[#This Row],[政治]]="","",SUMPRODUCT((表成绩单[考试日期]=表成绩单[[#This Row],[考试日期]])*(表成绩单[政治]&lt;9E+307)*(表成绩单[政治]&gt;表成绩单[[#This Row],[政治]]))+1)</f>
        <v>121</v>
      </c>
      <c r="V121" s="29" cm="1">
        <f t="array" ref="V121">IF(表成绩单[[#This Row],[历史]]="","",SUMPRODUCT((表成绩单[考试日期]=表成绩单[[#This Row],[考试日期]])*(表成绩单[历史]&lt;9E+307)*(表成绩单[历史]&gt;表成绩单[[#This Row],[历史]]))+1)</f>
        <v>278</v>
      </c>
      <c r="W121" s="29" cm="1">
        <f t="array" ref="W121">IF(表成绩单[[#This Row],[总分]]="","",SUMPRODUCT((表成绩单[考试日期]=表成绩单[[#This Row],[考试日期]])*(表成绩单[总分]&lt;9E+307)*(表成绩单[总分]&gt;表成绩单[[#This Row],[总分]]))+1)</f>
        <v>117</v>
      </c>
    </row>
    <row r="122" ht="28" customHeight="1" spans="4:23">
      <c r="D122" s="31">
        <v>45975</v>
      </c>
      <c r="E122" s="29">
        <v>19177201</v>
      </c>
      <c r="F122" s="29" t="s">
        <v>70</v>
      </c>
      <c r="G122" s="29" t="s">
        <v>196</v>
      </c>
      <c r="H122" s="29">
        <v>102</v>
      </c>
      <c r="I122" s="29">
        <v>111</v>
      </c>
      <c r="J122" s="29">
        <v>81.5</v>
      </c>
      <c r="K122" s="29">
        <v>88</v>
      </c>
      <c r="L122" s="29">
        <v>83</v>
      </c>
      <c r="M122" s="29">
        <v>83</v>
      </c>
      <c r="N122" s="29">
        <v>73</v>
      </c>
      <c r="O122" s="32">
        <v>621.5</v>
      </c>
      <c r="P122" s="29" cm="1">
        <f t="array" ref="P122">IF(表成绩单[[#This Row],[语文]]="","",SUMPRODUCT((表成绩单[考试日期]=表成绩单[[#This Row],[考试日期]])*(表成绩单[语文]&lt;9E+307)*(表成绩单[语文]&gt;表成绩单[[#This Row],[语文]]))+1)</f>
        <v>154</v>
      </c>
      <c r="Q122" s="29" cm="1">
        <f t="array" ref="Q122">IF(表成绩单[[#This Row],[数学]]="","",SUMPRODUCT((表成绩单[考试日期]=表成绩单[[#This Row],[考试日期]])*(表成绩单[数学]&lt;9E+307)*(表成绩单[数学]&gt;表成绩单[[#This Row],[数学]]))+1)</f>
        <v>134</v>
      </c>
      <c r="R122" s="29" cm="1">
        <f t="array" ref="R122">IF(表成绩单[[#This Row],[英语]]="","",SUMPRODUCT((表成绩单[考试日期]=表成绩单[[#This Row],[考试日期]])*(表成绩单[英语]&lt;9E+307)*(表成绩单[英语]&gt;表成绩单[[#This Row],[英语]]))+1)</f>
        <v>220</v>
      </c>
      <c r="S122" s="29" cm="1">
        <f t="array" ref="S122">IF(表成绩单[[#This Row],[物理]]="","",SUMPRODUCT((表成绩单[考试日期]=表成绩单[[#This Row],[考试日期]])*(表成绩单[物理]&lt;9E+307)*(表成绩单[物理]&gt;表成绩单[[#This Row],[物理]]))+1)</f>
        <v>54</v>
      </c>
      <c r="T122" s="29" cm="1">
        <f t="array" ref="T122">IF(表成绩单[[#This Row],[化学]]="","",SUMPRODUCT((表成绩单[考试日期]=表成绩单[[#This Row],[考试日期]])*(表成绩单[化学]&lt;9E+307)*(表成绩单[化学]&gt;表成绩单[[#This Row],[化学]]))+1)</f>
        <v>49</v>
      </c>
      <c r="U122" s="29" cm="1">
        <f t="array" ref="U122">IF(表成绩单[[#This Row],[政治]]="","",SUMPRODUCT((表成绩单[考试日期]=表成绩单[[#This Row],[考试日期]])*(表成绩单[政治]&lt;9E+307)*(表成绩单[政治]&gt;表成绩单[[#This Row],[政治]]))+1)</f>
        <v>121</v>
      </c>
      <c r="V122" s="29" cm="1">
        <f t="array" ref="V122">IF(表成绩单[[#This Row],[历史]]="","",SUMPRODUCT((表成绩单[考试日期]=表成绩单[[#This Row],[考试日期]])*(表成绩单[历史]&lt;9E+307)*(表成绩单[历史]&gt;表成绩单[[#This Row],[历史]]))+1)</f>
        <v>395</v>
      </c>
      <c r="W122" s="29" cm="1">
        <f t="array" ref="W122">IF(表成绩单[[#This Row],[总分]]="","",SUMPRODUCT((表成绩单[考试日期]=表成绩单[[#This Row],[考试日期]])*(表成绩单[总分]&lt;9E+307)*(表成绩单[总分]&gt;表成绩单[[#This Row],[总分]]))+1)</f>
        <v>117</v>
      </c>
    </row>
    <row r="123" ht="28" customHeight="1" spans="4:23">
      <c r="D123" s="31">
        <v>45975</v>
      </c>
      <c r="E123" s="29">
        <v>19175386</v>
      </c>
      <c r="F123" s="29" t="s">
        <v>74</v>
      </c>
      <c r="G123" s="29" t="s">
        <v>197</v>
      </c>
      <c r="H123" s="29">
        <v>102</v>
      </c>
      <c r="I123" s="29">
        <v>105</v>
      </c>
      <c r="J123" s="29">
        <v>84.5</v>
      </c>
      <c r="K123" s="29">
        <v>88</v>
      </c>
      <c r="L123" s="29">
        <v>82</v>
      </c>
      <c r="M123" s="29">
        <v>84</v>
      </c>
      <c r="N123" s="29">
        <v>75</v>
      </c>
      <c r="O123" s="32">
        <v>620.5</v>
      </c>
      <c r="P123" s="29" cm="1">
        <f t="array" ref="P123">IF(表成绩单[[#This Row],[语文]]="","",SUMPRODUCT((表成绩单[考试日期]=表成绩单[[#This Row],[考试日期]])*(表成绩单[语文]&lt;9E+307)*(表成绩单[语文]&gt;表成绩单[[#This Row],[语文]]))+1)</f>
        <v>154</v>
      </c>
      <c r="Q123" s="29" cm="1">
        <f t="array" ref="Q123">IF(表成绩单[[#This Row],[数学]]="","",SUMPRODUCT((表成绩单[考试日期]=表成绩单[[#This Row],[考试日期]])*(表成绩单[数学]&lt;9E+307)*(表成绩单[数学]&gt;表成绩单[[#This Row],[数学]]))+1)</f>
        <v>245</v>
      </c>
      <c r="R123" s="29" cm="1">
        <f t="array" ref="R123">IF(表成绩单[[#This Row],[英语]]="","",SUMPRODUCT((表成绩单[考试日期]=表成绩单[[#This Row],[考试日期]])*(表成绩单[英语]&lt;9E+307)*(表成绩单[英语]&gt;表成绩单[[#This Row],[英语]]))+1)</f>
        <v>85</v>
      </c>
      <c r="S123" s="29" cm="1">
        <f t="array" ref="S123">IF(表成绩单[[#This Row],[物理]]="","",SUMPRODUCT((表成绩单[考试日期]=表成绩单[[#This Row],[考试日期]])*(表成绩单[物理]&lt;9E+307)*(表成绩单[物理]&gt;表成绩单[[#This Row],[物理]]))+1)</f>
        <v>54</v>
      </c>
      <c r="T123" s="29" cm="1">
        <f t="array" ref="T123">IF(表成绩单[[#This Row],[化学]]="","",SUMPRODUCT((表成绩单[考试日期]=表成绩单[[#This Row],[考试日期]])*(表成绩单[化学]&lt;9E+307)*(表成绩单[化学]&gt;表成绩单[[#This Row],[化学]]))+1)</f>
        <v>71</v>
      </c>
      <c r="U123" s="29" cm="1">
        <f t="array" ref="U123">IF(表成绩单[[#This Row],[政治]]="","",SUMPRODUCT((表成绩单[考试日期]=表成绩单[[#This Row],[考试日期]])*(表成绩单[政治]&lt;9E+307)*(表成绩单[政治]&gt;表成绩单[[#This Row],[政治]]))+1)</f>
        <v>83</v>
      </c>
      <c r="V123" s="29" cm="1">
        <f t="array" ref="V123">IF(表成绩单[[#This Row],[历史]]="","",SUMPRODUCT((表成绩单[考试日期]=表成绩单[[#This Row],[考试日期]])*(表成绩单[历史]&lt;9E+307)*(表成绩单[历史]&gt;表成绩单[[#This Row],[历史]]))+1)</f>
        <v>315</v>
      </c>
      <c r="W123" s="29" cm="1">
        <f t="array" ref="W123">IF(表成绩单[[#This Row],[总分]]="","",SUMPRODUCT((表成绩单[考试日期]=表成绩单[[#This Row],[考试日期]])*(表成绩单[总分]&lt;9E+307)*(表成绩单[总分]&gt;表成绩单[[#This Row],[总分]]))+1)</f>
        <v>119</v>
      </c>
    </row>
    <row r="124" ht="28" customHeight="1" spans="4:23">
      <c r="D124" s="31">
        <v>45975</v>
      </c>
      <c r="E124" s="29">
        <v>19175421</v>
      </c>
      <c r="F124" s="29" t="s">
        <v>74</v>
      </c>
      <c r="G124" s="29" t="s">
        <v>198</v>
      </c>
      <c r="H124" s="29">
        <v>94</v>
      </c>
      <c r="I124" s="29">
        <v>117</v>
      </c>
      <c r="J124" s="29">
        <v>83.5</v>
      </c>
      <c r="K124" s="29">
        <v>85</v>
      </c>
      <c r="L124" s="29">
        <v>80</v>
      </c>
      <c r="M124" s="29">
        <v>81</v>
      </c>
      <c r="N124" s="29">
        <v>80</v>
      </c>
      <c r="O124" s="32">
        <v>620.5</v>
      </c>
      <c r="P124" s="29" cm="1">
        <f t="array" ref="P124">IF(表成绩单[[#This Row],[语文]]="","",SUMPRODUCT((表成绩单[考试日期]=表成绩单[[#This Row],[考试日期]])*(表成绩单[语文]&lt;9E+307)*(表成绩单[语文]&gt;表成绩单[[#This Row],[语文]]))+1)</f>
        <v>452</v>
      </c>
      <c r="Q124" s="29" cm="1">
        <f t="array" ref="Q124">IF(表成绩单[[#This Row],[数学]]="","",SUMPRODUCT((表成绩单[考试日期]=表成绩单[[#This Row],[考试日期]])*(表成绩单[数学]&lt;9E+307)*(表成绩单[数学]&gt;表成绩单[[#This Row],[数学]]))+1)</f>
        <v>37</v>
      </c>
      <c r="R124" s="29" cm="1">
        <f t="array" ref="R124">IF(表成绩单[[#This Row],[英语]]="","",SUMPRODUCT((表成绩单[考试日期]=表成绩单[[#This Row],[考试日期]])*(表成绩单[英语]&lt;9E+307)*(表成绩单[英语]&gt;表成绩单[[#This Row],[英语]]))+1)</f>
        <v>128</v>
      </c>
      <c r="S124" s="29" cm="1">
        <f t="array" ref="S124">IF(表成绩单[[#This Row],[物理]]="","",SUMPRODUCT((表成绩单[考试日期]=表成绩单[[#This Row],[考试日期]])*(表成绩单[物理]&lt;9E+307)*(表成绩单[物理]&gt;表成绩单[[#This Row],[物理]]))+1)</f>
        <v>263</v>
      </c>
      <c r="T124" s="29" cm="1">
        <f t="array" ref="T124">IF(表成绩单[[#This Row],[化学]]="","",SUMPRODUCT((表成绩单[考试日期]=表成绩单[[#This Row],[考试日期]])*(表成绩单[化学]&lt;9E+307)*(表成绩单[化学]&gt;表成绩单[[#This Row],[化学]]))+1)</f>
        <v>129</v>
      </c>
      <c r="U124" s="29" cm="1">
        <f t="array" ref="U124">IF(表成绩单[[#This Row],[政治]]="","",SUMPRODUCT((表成绩单[考试日期]=表成绩单[[#This Row],[考试日期]])*(表成绩单[政治]&lt;9E+307)*(表成绩单[政治]&gt;表成绩单[[#This Row],[政治]]))+1)</f>
        <v>180</v>
      </c>
      <c r="V124" s="29" cm="1">
        <f t="array" ref="V124">IF(表成绩单[[#This Row],[历史]]="","",SUMPRODUCT((表成绩单[考试日期]=表成绩单[[#This Row],[考试日期]])*(表成绩单[历史]&lt;9E+307)*(表成绩单[历史]&gt;表成绩单[[#This Row],[历史]]))+1)</f>
        <v>108</v>
      </c>
      <c r="W124" s="29" cm="1">
        <f t="array" ref="W124">IF(表成绩单[[#This Row],[总分]]="","",SUMPRODUCT((表成绩单[考试日期]=表成绩单[[#This Row],[考试日期]])*(表成绩单[总分]&lt;9E+307)*(表成绩单[总分]&gt;表成绩单[[#This Row],[总分]]))+1)</f>
        <v>119</v>
      </c>
    </row>
    <row r="125" ht="28" customHeight="1" spans="4:23">
      <c r="D125" s="31">
        <v>45975</v>
      </c>
      <c r="E125" s="29">
        <v>19176858</v>
      </c>
      <c r="F125" s="29" t="s">
        <v>71</v>
      </c>
      <c r="G125" s="29" t="s">
        <v>199</v>
      </c>
      <c r="H125" s="29">
        <v>103</v>
      </c>
      <c r="I125" s="29">
        <v>105</v>
      </c>
      <c r="J125" s="29">
        <v>79.5</v>
      </c>
      <c r="K125" s="29">
        <v>90</v>
      </c>
      <c r="L125" s="29">
        <v>80</v>
      </c>
      <c r="M125" s="29">
        <v>88</v>
      </c>
      <c r="N125" s="29">
        <v>75</v>
      </c>
      <c r="O125" s="32">
        <v>620.5</v>
      </c>
      <c r="P125" s="29" cm="1">
        <f t="array" ref="P125">IF(表成绩单[[#This Row],[语文]]="","",SUMPRODUCT((表成绩单[考试日期]=表成绩单[[#This Row],[考试日期]])*(表成绩单[语文]&lt;9E+307)*(表成绩单[语文]&gt;表成绩单[[#This Row],[语文]]))+1)</f>
        <v>126</v>
      </c>
      <c r="Q125" s="29" cm="1">
        <f t="array" ref="Q125">IF(表成绩单[[#This Row],[数学]]="","",SUMPRODUCT((表成绩单[考试日期]=表成绩单[[#This Row],[考试日期]])*(表成绩单[数学]&lt;9E+307)*(表成绩单[数学]&gt;表成绩单[[#This Row],[数学]]))+1)</f>
        <v>245</v>
      </c>
      <c r="R125" s="29" cm="1">
        <f t="array" ref="R125">IF(表成绩单[[#This Row],[英语]]="","",SUMPRODUCT((表成绩单[考试日期]=表成绩单[[#This Row],[考试日期]])*(表成绩单[英语]&lt;9E+307)*(表成绩单[英语]&gt;表成绩单[[#This Row],[英语]]))+1)</f>
        <v>279</v>
      </c>
      <c r="S125" s="29" cm="1">
        <f t="array" ref="S125">IF(表成绩单[[#This Row],[物理]]="","",SUMPRODUCT((表成绩单[考试日期]=表成绩单[[#This Row],[考试日期]])*(表成绩单[物理]&lt;9E+307)*(表成绩单[物理]&gt;表成绩单[[#This Row],[物理]]))+1)</f>
        <v>1</v>
      </c>
      <c r="T125" s="29" cm="1">
        <f t="array" ref="T125">IF(表成绩单[[#This Row],[化学]]="","",SUMPRODUCT((表成绩单[考试日期]=表成绩单[[#This Row],[考试日期]])*(表成绩单[化学]&lt;9E+307)*(表成绩单[化学]&gt;表成绩单[[#This Row],[化学]]))+1)</f>
        <v>129</v>
      </c>
      <c r="U125" s="29" cm="1">
        <f t="array" ref="U125">IF(表成绩单[[#This Row],[政治]]="","",SUMPRODUCT((表成绩单[考试日期]=表成绩单[[#This Row],[考试日期]])*(表成绩单[政治]&lt;9E+307)*(表成绩单[政治]&gt;表成绩单[[#This Row],[政治]]))+1)</f>
        <v>4</v>
      </c>
      <c r="V125" s="29" cm="1">
        <f t="array" ref="V125">IF(表成绩单[[#This Row],[历史]]="","",SUMPRODUCT((表成绩单[考试日期]=表成绩单[[#This Row],[考试日期]])*(表成绩单[历史]&lt;9E+307)*(表成绩单[历史]&gt;表成绩单[[#This Row],[历史]]))+1)</f>
        <v>315</v>
      </c>
      <c r="W125" s="29" cm="1">
        <f t="array" ref="W125">IF(表成绩单[[#This Row],[总分]]="","",SUMPRODUCT((表成绩单[考试日期]=表成绩单[[#This Row],[考试日期]])*(表成绩单[总分]&lt;9E+307)*(表成绩单[总分]&gt;表成绩单[[#This Row],[总分]]))+1)</f>
        <v>119</v>
      </c>
    </row>
    <row r="126" ht="28" customHeight="1" spans="4:23">
      <c r="D126" s="31">
        <v>45975</v>
      </c>
      <c r="E126" s="29">
        <v>19175647</v>
      </c>
      <c r="F126" s="29" t="s">
        <v>66</v>
      </c>
      <c r="G126" s="29" t="s">
        <v>200</v>
      </c>
      <c r="H126" s="29">
        <v>102</v>
      </c>
      <c r="I126" s="29">
        <v>106</v>
      </c>
      <c r="J126" s="29">
        <v>85.5</v>
      </c>
      <c r="K126" s="29">
        <v>86</v>
      </c>
      <c r="L126" s="29">
        <v>80</v>
      </c>
      <c r="M126" s="29">
        <v>82</v>
      </c>
      <c r="N126" s="29">
        <v>78</v>
      </c>
      <c r="O126" s="32">
        <v>619.5</v>
      </c>
      <c r="P126" s="29" cm="1">
        <f t="array" ref="P126">IF(表成绩单[[#This Row],[语文]]="","",SUMPRODUCT((表成绩单[考试日期]=表成绩单[[#This Row],[考试日期]])*(表成绩单[语文]&lt;9E+307)*(表成绩单[语文]&gt;表成绩单[[#This Row],[语文]]))+1)</f>
        <v>154</v>
      </c>
      <c r="Q126" s="29" cm="1">
        <f t="array" ref="Q126">IF(表成绩单[[#This Row],[数学]]="","",SUMPRODUCT((表成绩单[考试日期]=表成绩单[[#This Row],[考试日期]])*(表成绩单[数学]&lt;9E+307)*(表成绩单[数学]&gt;表成绩单[[#This Row],[数学]]))+1)</f>
        <v>220</v>
      </c>
      <c r="R126" s="29" cm="1">
        <f t="array" ref="R126">IF(表成绩单[[#This Row],[英语]]="","",SUMPRODUCT((表成绩单[考试日期]=表成绩单[[#This Row],[考试日期]])*(表成绩单[英语]&lt;9E+307)*(表成绩单[英语]&gt;表成绩单[[#This Row],[英语]]))+1)</f>
        <v>54</v>
      </c>
      <c r="S126" s="29" cm="1">
        <f t="array" ref="S126">IF(表成绩单[[#This Row],[物理]]="","",SUMPRODUCT((表成绩单[考试日期]=表成绩单[[#This Row],[考试日期]])*(表成绩单[物理]&lt;9E+307)*(表成绩单[物理]&gt;表成绩单[[#This Row],[物理]]))+1)</f>
        <v>187</v>
      </c>
      <c r="T126" s="29" cm="1">
        <f t="array" ref="T126">IF(表成绩单[[#This Row],[化学]]="","",SUMPRODUCT((表成绩单[考试日期]=表成绩单[[#This Row],[考试日期]])*(表成绩单[化学]&lt;9E+307)*(表成绩单[化学]&gt;表成绩单[[#This Row],[化学]]))+1)</f>
        <v>129</v>
      </c>
      <c r="U126" s="29" cm="1">
        <f t="array" ref="U126">IF(表成绩单[[#This Row],[政治]]="","",SUMPRODUCT((表成绩单[考试日期]=表成绩单[[#This Row],[考试日期]])*(表成绩单[政治]&lt;9E+307)*(表成绩单[政治]&gt;表成绩单[[#This Row],[政治]]))+1)</f>
        <v>157</v>
      </c>
      <c r="V126" s="29" cm="1">
        <f t="array" ref="V126">IF(表成绩单[[#This Row],[历史]]="","",SUMPRODUCT((表成绩单[考试日期]=表成绩单[[#This Row],[考试日期]])*(表成绩单[历史]&lt;9E+307)*(表成绩单[历史]&gt;表成绩单[[#This Row],[历史]]))+1)</f>
        <v>189</v>
      </c>
      <c r="W126" s="29" cm="1">
        <f t="array" ref="W126">IF(表成绩单[[#This Row],[总分]]="","",SUMPRODUCT((表成绩单[考试日期]=表成绩单[[#This Row],[考试日期]])*(表成绩单[总分]&lt;9E+307)*(表成绩单[总分]&gt;表成绩单[[#This Row],[总分]]))+1)</f>
        <v>122</v>
      </c>
    </row>
    <row r="127" ht="28" customHeight="1" spans="4:23">
      <c r="D127" s="31">
        <v>45975</v>
      </c>
      <c r="E127" s="29">
        <v>19175673</v>
      </c>
      <c r="F127" s="29" t="s">
        <v>72</v>
      </c>
      <c r="G127" s="29" t="s">
        <v>201</v>
      </c>
      <c r="H127" s="29">
        <v>101</v>
      </c>
      <c r="I127" s="29">
        <v>107</v>
      </c>
      <c r="J127" s="29">
        <v>82.5</v>
      </c>
      <c r="K127" s="29">
        <v>87</v>
      </c>
      <c r="L127" s="29">
        <v>81</v>
      </c>
      <c r="M127" s="29">
        <v>80</v>
      </c>
      <c r="N127" s="29">
        <v>81</v>
      </c>
      <c r="O127" s="32">
        <v>619.5</v>
      </c>
      <c r="P127" s="29" cm="1">
        <f t="array" ref="P127">IF(表成绩单[[#This Row],[语文]]="","",SUMPRODUCT((表成绩单[考试日期]=表成绩单[[#This Row],[考试日期]])*(表成绩单[语文]&lt;9E+307)*(表成绩单[语文]&gt;表成绩单[[#This Row],[语文]]))+1)</f>
        <v>190</v>
      </c>
      <c r="Q127" s="29" cm="1">
        <f t="array" ref="Q127">IF(表成绩单[[#This Row],[数学]]="","",SUMPRODUCT((表成绩单[考试日期]=表成绩单[[#This Row],[考试日期]])*(表成绩单[数学]&lt;9E+307)*(表成绩单[数学]&gt;表成绩单[[#This Row],[数学]]))+1)</f>
        <v>200</v>
      </c>
      <c r="R127" s="29" cm="1">
        <f t="array" ref="R127">IF(表成绩单[[#This Row],[英语]]="","",SUMPRODUCT((表成绩单[考试日期]=表成绩单[[#This Row],[考试日期]])*(表成绩单[英语]&lt;9E+307)*(表成绩单[英语]&gt;表成绩单[[#This Row],[英语]]))+1)</f>
        <v>170</v>
      </c>
      <c r="S127" s="29" cm="1">
        <f t="array" ref="S127">IF(表成绩单[[#This Row],[物理]]="","",SUMPRODUCT((表成绩单[考试日期]=表成绩单[[#This Row],[考试日期]])*(表成绩单[物理]&lt;9E+307)*(表成绩单[物理]&gt;表成绩单[[#This Row],[物理]]))+1)</f>
        <v>127</v>
      </c>
      <c r="T127" s="29" cm="1">
        <f t="array" ref="T127">IF(表成绩单[[#This Row],[化学]]="","",SUMPRODUCT((表成绩单[考试日期]=表成绩单[[#This Row],[考试日期]])*(表成绩单[化学]&lt;9E+307)*(表成绩单[化学]&gt;表成绩单[[#This Row],[化学]]))+1)</f>
        <v>100</v>
      </c>
      <c r="U127" s="29" cm="1">
        <f t="array" ref="U127">IF(表成绩单[[#This Row],[政治]]="","",SUMPRODUCT((表成绩单[考试日期]=表成绩单[[#This Row],[考试日期]])*(表成绩单[政治]&lt;9E+307)*(表成绩单[政治]&gt;表成绩单[[#This Row],[政治]]))+1)</f>
        <v>209</v>
      </c>
      <c r="V127" s="29" cm="1">
        <f t="array" ref="V127">IF(表成绩单[[#This Row],[历史]]="","",SUMPRODUCT((表成绩单[考试日期]=表成绩单[[#This Row],[考试日期]])*(表成绩单[历史]&lt;9E+307)*(表成绩单[历史]&gt;表成绩单[[#This Row],[历史]]))+1)</f>
        <v>63</v>
      </c>
      <c r="W127" s="29" cm="1">
        <f t="array" ref="W127">IF(表成绩单[[#This Row],[总分]]="","",SUMPRODUCT((表成绩单[考试日期]=表成绩单[[#This Row],[考试日期]])*(表成绩单[总分]&lt;9E+307)*(表成绩单[总分]&gt;表成绩单[[#This Row],[总分]]))+1)</f>
        <v>122</v>
      </c>
    </row>
    <row r="128" ht="28" customHeight="1" spans="4:23">
      <c r="D128" s="31">
        <v>45975</v>
      </c>
      <c r="E128" s="29">
        <v>19174439</v>
      </c>
      <c r="F128" s="29" t="s">
        <v>73</v>
      </c>
      <c r="G128" s="29" t="s">
        <v>202</v>
      </c>
      <c r="H128" s="29">
        <v>101</v>
      </c>
      <c r="I128" s="29">
        <v>114</v>
      </c>
      <c r="J128" s="29">
        <v>82</v>
      </c>
      <c r="K128" s="29">
        <v>89</v>
      </c>
      <c r="L128" s="29">
        <v>78</v>
      </c>
      <c r="M128" s="29">
        <v>76</v>
      </c>
      <c r="N128" s="29">
        <v>79</v>
      </c>
      <c r="O128" s="32">
        <v>619</v>
      </c>
      <c r="P128" s="29" cm="1">
        <f t="array" ref="P128">IF(表成绩单[[#This Row],[语文]]="","",SUMPRODUCT((表成绩单[考试日期]=表成绩单[[#This Row],[考试日期]])*(表成绩单[语文]&lt;9E+307)*(表成绩单[语文]&gt;表成绩单[[#This Row],[语文]]))+1)</f>
        <v>190</v>
      </c>
      <c r="Q128" s="29" cm="1">
        <f t="array" ref="Q128">IF(表成绩单[[#This Row],[数学]]="","",SUMPRODUCT((表成绩单[考试日期]=表成绩单[[#This Row],[考试日期]])*(表成绩单[数学]&lt;9E+307)*(表成绩单[数学]&gt;表成绩单[[#This Row],[数学]]))+1)</f>
        <v>79</v>
      </c>
      <c r="R128" s="29" cm="1">
        <f t="array" ref="R128">IF(表成绩单[[#This Row],[英语]]="","",SUMPRODUCT((表成绩单[考试日期]=表成绩单[[#This Row],[考试日期]])*(表成绩单[英语]&lt;9E+307)*(表成绩单[英语]&gt;表成绩单[[#This Row],[英语]]))+1)</f>
        <v>195</v>
      </c>
      <c r="S128" s="29" cm="1">
        <f t="array" ref="S128">IF(表成绩单[[#This Row],[物理]]="","",SUMPRODUCT((表成绩单[考试日期]=表成绩单[[#This Row],[考试日期]])*(表成绩单[物理]&lt;9E+307)*(表成绩单[物理]&gt;表成绩单[[#This Row],[物理]]))+1)</f>
        <v>18</v>
      </c>
      <c r="T128" s="29" cm="1">
        <f t="array" ref="T128">IF(表成绩单[[#This Row],[化学]]="","",SUMPRODUCT((表成绩单[考试日期]=表成绩单[[#This Row],[考试日期]])*(表成绩单[化学]&lt;9E+307)*(表成绩单[化学]&gt;表成绩单[[#This Row],[化学]]))+1)</f>
        <v>200</v>
      </c>
      <c r="U128" s="29" cm="1">
        <f t="array" ref="U128">IF(表成绩单[[#This Row],[政治]]="","",SUMPRODUCT((表成绩单[考试日期]=表成绩单[[#This Row],[考试日期]])*(表成绩单[政治]&lt;9E+307)*(表成绩单[政治]&gt;表成绩单[[#This Row],[政治]]))+1)</f>
        <v>329</v>
      </c>
      <c r="V128" s="29" cm="1">
        <f t="array" ref="V128">IF(表成绩单[[#This Row],[历史]]="","",SUMPRODUCT((表成绩单[考试日期]=表成绩单[[#This Row],[考试日期]])*(表成绩单[历史]&lt;9E+307)*(表成绩单[历史]&gt;表成绩单[[#This Row],[历史]]))+1)</f>
        <v>144</v>
      </c>
      <c r="W128" s="29" cm="1">
        <f t="array" ref="W128">IF(表成绩单[[#This Row],[总分]]="","",SUMPRODUCT((表成绩单[考试日期]=表成绩单[[#This Row],[考试日期]])*(表成绩单[总分]&lt;9E+307)*(表成绩单[总分]&gt;表成绩单[[#This Row],[总分]]))+1)</f>
        <v>124</v>
      </c>
    </row>
    <row r="129" ht="28" customHeight="1" spans="4:23">
      <c r="D129" s="31">
        <v>45975</v>
      </c>
      <c r="E129" s="29">
        <v>19175405</v>
      </c>
      <c r="F129" s="29" t="s">
        <v>74</v>
      </c>
      <c r="G129" s="29" t="s">
        <v>203</v>
      </c>
      <c r="H129" s="29">
        <v>102</v>
      </c>
      <c r="I129" s="29">
        <v>113</v>
      </c>
      <c r="J129" s="29">
        <v>82</v>
      </c>
      <c r="K129" s="29">
        <v>88</v>
      </c>
      <c r="L129" s="29">
        <v>75</v>
      </c>
      <c r="M129" s="29">
        <v>76</v>
      </c>
      <c r="N129" s="29">
        <v>83</v>
      </c>
      <c r="O129" s="32">
        <v>619</v>
      </c>
      <c r="P129" s="29" cm="1">
        <f t="array" ref="P129">IF(表成绩单[[#This Row],[语文]]="","",SUMPRODUCT((表成绩单[考试日期]=表成绩单[[#This Row],[考试日期]])*(表成绩单[语文]&lt;9E+307)*(表成绩单[语文]&gt;表成绩单[[#This Row],[语文]]))+1)</f>
        <v>154</v>
      </c>
      <c r="Q129" s="29" cm="1">
        <f t="array" ref="Q129">IF(表成绩单[[#This Row],[数学]]="","",SUMPRODUCT((表成绩单[考试日期]=表成绩单[[#This Row],[考试日期]])*(表成绩单[数学]&lt;9E+307)*(表成绩单[数学]&gt;表成绩单[[#This Row],[数学]]))+1)</f>
        <v>93</v>
      </c>
      <c r="R129" s="29" cm="1">
        <f t="array" ref="R129">IF(表成绩单[[#This Row],[英语]]="","",SUMPRODUCT((表成绩单[考试日期]=表成绩单[[#This Row],[考试日期]])*(表成绩单[英语]&lt;9E+307)*(表成绩单[英语]&gt;表成绩单[[#This Row],[英语]]))+1)</f>
        <v>195</v>
      </c>
      <c r="S129" s="29" cm="1">
        <f t="array" ref="S129">IF(表成绩单[[#This Row],[物理]]="","",SUMPRODUCT((表成绩单[考试日期]=表成绩单[[#This Row],[考试日期]])*(表成绩单[物理]&lt;9E+307)*(表成绩单[物理]&gt;表成绩单[[#This Row],[物理]]))+1)</f>
        <v>54</v>
      </c>
      <c r="T129" s="29" cm="1">
        <f t="array" ref="T129">IF(表成绩单[[#This Row],[化学]]="","",SUMPRODUCT((表成绩单[考试日期]=表成绩单[[#This Row],[考试日期]])*(表成绩单[化学]&lt;9E+307)*(表成绩单[化学]&gt;表成绩单[[#This Row],[化学]]))+1)</f>
        <v>310</v>
      </c>
      <c r="U129" s="29" cm="1">
        <f t="array" ref="U129">IF(表成绩单[[#This Row],[政治]]="","",SUMPRODUCT((表成绩单[考试日期]=表成绩单[[#This Row],[考试日期]])*(表成绩单[政治]&lt;9E+307)*(表成绩单[政治]&gt;表成绩单[[#This Row],[政治]]))+1)</f>
        <v>329</v>
      </c>
      <c r="V129" s="29" cm="1">
        <f t="array" ref="V129">IF(表成绩单[[#This Row],[历史]]="","",SUMPRODUCT((表成绩单[考试日期]=表成绩单[[#This Row],[考试日期]])*(表成绩单[历史]&lt;9E+307)*(表成绩单[历史]&gt;表成绩单[[#This Row],[历史]]))+1)</f>
        <v>18</v>
      </c>
      <c r="W129" s="29" cm="1">
        <f t="array" ref="W129">IF(表成绩单[[#This Row],[总分]]="","",SUMPRODUCT((表成绩单[考试日期]=表成绩单[[#This Row],[考试日期]])*(表成绩单[总分]&lt;9E+307)*(表成绩单[总分]&gt;表成绩单[[#This Row],[总分]]))+1)</f>
        <v>124</v>
      </c>
    </row>
    <row r="130" ht="28" customHeight="1" spans="4:23">
      <c r="D130" s="31">
        <v>45975</v>
      </c>
      <c r="E130" s="29">
        <v>19177660</v>
      </c>
      <c r="F130" s="29" t="s">
        <v>63</v>
      </c>
      <c r="G130" s="29" t="s">
        <v>204</v>
      </c>
      <c r="H130" s="29">
        <v>96</v>
      </c>
      <c r="I130" s="29">
        <v>107</v>
      </c>
      <c r="J130" s="29">
        <v>85</v>
      </c>
      <c r="K130" s="29">
        <v>88</v>
      </c>
      <c r="L130" s="29">
        <v>78</v>
      </c>
      <c r="M130" s="29">
        <v>87</v>
      </c>
      <c r="N130" s="29">
        <v>78</v>
      </c>
      <c r="O130" s="32">
        <v>619</v>
      </c>
      <c r="P130" s="29" cm="1">
        <f t="array" ref="P130">IF(表成绩单[[#This Row],[语文]]="","",SUMPRODUCT((表成绩单[考试日期]=表成绩单[[#This Row],[考试日期]])*(表成绩单[语文]&lt;9E+307)*(表成绩单[语文]&gt;表成绩单[[#This Row],[语文]]))+1)</f>
        <v>387</v>
      </c>
      <c r="Q130" s="29" cm="1">
        <f t="array" ref="Q130">IF(表成绩单[[#This Row],[数学]]="","",SUMPRODUCT((表成绩单[考试日期]=表成绩单[[#This Row],[考试日期]])*(表成绩单[数学]&lt;9E+307)*(表成绩单[数学]&gt;表成绩单[[#This Row],[数学]]))+1)</f>
        <v>200</v>
      </c>
      <c r="R130" s="29" cm="1">
        <f t="array" ref="R130">IF(表成绩单[[#This Row],[英语]]="","",SUMPRODUCT((表成绩单[考试日期]=表成绩单[[#This Row],[考试日期]])*(表成绩单[英语]&lt;9E+307)*(表成绩单[英语]&gt;表成绩单[[#This Row],[英语]]))+1)</f>
        <v>69</v>
      </c>
      <c r="S130" s="29" cm="1">
        <f t="array" ref="S130">IF(表成绩单[[#This Row],[物理]]="","",SUMPRODUCT((表成绩单[考试日期]=表成绩单[[#This Row],[考试日期]])*(表成绩单[物理]&lt;9E+307)*(表成绩单[物理]&gt;表成绩单[[#This Row],[物理]]))+1)</f>
        <v>54</v>
      </c>
      <c r="T130" s="29" cm="1">
        <f t="array" ref="T130">IF(表成绩单[[#This Row],[化学]]="","",SUMPRODUCT((表成绩单[考试日期]=表成绩单[[#This Row],[考试日期]])*(表成绩单[化学]&lt;9E+307)*(表成绩单[化学]&gt;表成绩单[[#This Row],[化学]]))+1)</f>
        <v>200</v>
      </c>
      <c r="U130" s="29" cm="1">
        <f t="array" ref="U130">IF(表成绩单[[#This Row],[政治]]="","",SUMPRODUCT((表成绩单[考试日期]=表成绩单[[#This Row],[考试日期]])*(表成绩单[政治]&lt;9E+307)*(表成绩单[政治]&gt;表成绩单[[#This Row],[政治]]))+1)</f>
        <v>13</v>
      </c>
      <c r="V130" s="29" cm="1">
        <f t="array" ref="V130">IF(表成绩单[[#This Row],[历史]]="","",SUMPRODUCT((表成绩单[考试日期]=表成绩单[[#This Row],[考试日期]])*(表成绩单[历史]&lt;9E+307)*(表成绩单[历史]&gt;表成绩单[[#This Row],[历史]]))+1)</f>
        <v>189</v>
      </c>
      <c r="W130" s="29" cm="1">
        <f t="array" ref="W130">IF(表成绩单[[#This Row],[总分]]="","",SUMPRODUCT((表成绩单[考试日期]=表成绩单[[#This Row],[考试日期]])*(表成绩单[总分]&lt;9E+307)*(表成绩单[总分]&gt;表成绩单[[#This Row],[总分]]))+1)</f>
        <v>124</v>
      </c>
    </row>
    <row r="131" ht="28" customHeight="1" spans="4:23">
      <c r="D131" s="31">
        <v>45975</v>
      </c>
      <c r="E131" s="29">
        <v>19167648</v>
      </c>
      <c r="F131" s="29" t="s">
        <v>1</v>
      </c>
      <c r="G131" s="29" t="s">
        <v>205</v>
      </c>
      <c r="H131" s="29">
        <v>99</v>
      </c>
      <c r="I131" s="29">
        <v>112</v>
      </c>
      <c r="J131" s="29">
        <v>84.5</v>
      </c>
      <c r="K131" s="29">
        <v>87</v>
      </c>
      <c r="L131" s="29">
        <v>80</v>
      </c>
      <c r="M131" s="29">
        <v>77</v>
      </c>
      <c r="N131" s="29">
        <v>79</v>
      </c>
      <c r="O131" s="32">
        <v>618.5</v>
      </c>
      <c r="P131" s="29" cm="1">
        <f t="array" ref="P131">IF(表成绩单[[#This Row],[语文]]="","",SUMPRODUCT((表成绩单[考试日期]=表成绩单[[#This Row],[考试日期]])*(表成绩单[语文]&lt;9E+307)*(表成绩单[语文]&gt;表成绩单[[#This Row],[语文]]))+1)</f>
        <v>264</v>
      </c>
      <c r="Q131" s="29" cm="1">
        <f t="array" ref="Q131">IF(表成绩单[[#This Row],[数学]]="","",SUMPRODUCT((表成绩单[考试日期]=表成绩单[[#This Row],[考试日期]])*(表成绩单[数学]&lt;9E+307)*(表成绩单[数学]&gt;表成绩单[[#This Row],[数学]]))+1)</f>
        <v>112</v>
      </c>
      <c r="R131" s="29" cm="1">
        <f t="array" ref="R131">IF(表成绩单[[#This Row],[英语]]="","",SUMPRODUCT((表成绩单[考试日期]=表成绩单[[#This Row],[考试日期]])*(表成绩单[英语]&lt;9E+307)*(表成绩单[英语]&gt;表成绩单[[#This Row],[英语]]))+1)</f>
        <v>85</v>
      </c>
      <c r="S131" s="29" cm="1">
        <f t="array" ref="S131">IF(表成绩单[[#This Row],[物理]]="","",SUMPRODUCT((表成绩单[考试日期]=表成绩单[[#This Row],[考试日期]])*(表成绩单[物理]&lt;9E+307)*(表成绩单[物理]&gt;表成绩单[[#This Row],[物理]]))+1)</f>
        <v>127</v>
      </c>
      <c r="T131" s="29" cm="1">
        <f t="array" ref="T131">IF(表成绩单[[#This Row],[化学]]="","",SUMPRODUCT((表成绩单[考试日期]=表成绩单[[#This Row],[考试日期]])*(表成绩单[化学]&lt;9E+307)*(表成绩单[化学]&gt;表成绩单[[#This Row],[化学]]))+1)</f>
        <v>129</v>
      </c>
      <c r="U131" s="29" cm="1">
        <f t="array" ref="U131">IF(表成绩单[[#This Row],[政治]]="","",SUMPRODUCT((表成绩单[考试日期]=表成绩单[[#This Row],[考试日期]])*(表成绩单[政治]&lt;9E+307)*(表成绩单[政治]&gt;表成绩单[[#This Row],[政治]]))+1)</f>
        <v>304</v>
      </c>
      <c r="V131" s="29" cm="1">
        <f t="array" ref="V131">IF(表成绩单[[#This Row],[历史]]="","",SUMPRODUCT((表成绩单[考试日期]=表成绩单[[#This Row],[考试日期]])*(表成绩单[历史]&lt;9E+307)*(表成绩单[历史]&gt;表成绩单[[#This Row],[历史]]))+1)</f>
        <v>144</v>
      </c>
      <c r="W131" s="29" cm="1">
        <f t="array" ref="W131">IF(表成绩单[[#This Row],[总分]]="","",SUMPRODUCT((表成绩单[考试日期]=表成绩单[[#This Row],[考试日期]])*(表成绩单[总分]&lt;9E+307)*(表成绩单[总分]&gt;表成绩单[[#This Row],[总分]]))+1)</f>
        <v>127</v>
      </c>
    </row>
    <row r="132" ht="28" customHeight="1" spans="4:23">
      <c r="D132" s="31">
        <v>45975</v>
      </c>
      <c r="E132" s="29">
        <v>19176856</v>
      </c>
      <c r="F132" s="29" t="s">
        <v>71</v>
      </c>
      <c r="G132" s="29" t="s">
        <v>206</v>
      </c>
      <c r="H132" s="29">
        <v>101</v>
      </c>
      <c r="I132" s="29">
        <v>115</v>
      </c>
      <c r="J132" s="29">
        <v>83</v>
      </c>
      <c r="K132" s="29">
        <v>86</v>
      </c>
      <c r="L132" s="29">
        <v>77</v>
      </c>
      <c r="M132" s="29">
        <v>80</v>
      </c>
      <c r="N132" s="29">
        <v>76</v>
      </c>
      <c r="O132" s="32">
        <v>618</v>
      </c>
      <c r="P132" s="29" cm="1">
        <f t="array" ref="P132">IF(表成绩单[[#This Row],[语文]]="","",SUMPRODUCT((表成绩单[考试日期]=表成绩单[[#This Row],[考试日期]])*(表成绩单[语文]&lt;9E+307)*(表成绩单[语文]&gt;表成绩单[[#This Row],[语文]]))+1)</f>
        <v>190</v>
      </c>
      <c r="Q132" s="29" cm="1">
        <f t="array" ref="Q132">IF(表成绩单[[#This Row],[数学]]="","",SUMPRODUCT((表成绩单[考试日期]=表成绩单[[#This Row],[考试日期]])*(表成绩单[数学]&lt;9E+307)*(表成绩单[数学]&gt;表成绩单[[#This Row],[数学]]))+1)</f>
        <v>63</v>
      </c>
      <c r="R132" s="29" cm="1">
        <f t="array" ref="R132">IF(表成绩单[[#This Row],[英语]]="","",SUMPRODUCT((表成绩单[考试日期]=表成绩单[[#This Row],[考试日期]])*(表成绩单[英语]&lt;9E+307)*(表成绩单[英语]&gt;表成绩单[[#This Row],[英语]]))+1)</f>
        <v>146</v>
      </c>
      <c r="S132" s="29" cm="1">
        <f t="array" ref="S132">IF(表成绩单[[#This Row],[物理]]="","",SUMPRODUCT((表成绩单[考试日期]=表成绩单[[#This Row],[考试日期]])*(表成绩单[物理]&lt;9E+307)*(表成绩单[物理]&gt;表成绩单[[#This Row],[物理]]))+1)</f>
        <v>187</v>
      </c>
      <c r="T132" s="29" cm="1">
        <f t="array" ref="T132">IF(表成绩单[[#This Row],[化学]]="","",SUMPRODUCT((表成绩单[考试日期]=表成绩单[[#This Row],[考试日期]])*(表成绩单[化学]&lt;9E+307)*(表成绩单[化学]&gt;表成绩单[[#This Row],[化学]]))+1)</f>
        <v>239</v>
      </c>
      <c r="U132" s="29" cm="1">
        <f t="array" ref="U132">IF(表成绩单[[#This Row],[政治]]="","",SUMPRODUCT((表成绩单[考试日期]=表成绩单[[#This Row],[考试日期]])*(表成绩单[政治]&lt;9E+307)*(表成绩单[政治]&gt;表成绩单[[#This Row],[政治]]))+1)</f>
        <v>209</v>
      </c>
      <c r="V132" s="29" cm="1">
        <f t="array" ref="V132">IF(表成绩单[[#This Row],[历史]]="","",SUMPRODUCT((表成绩单[考试日期]=表成绩单[[#This Row],[考试日期]])*(表成绩单[历史]&lt;9E+307)*(表成绩单[历史]&gt;表成绩单[[#This Row],[历史]]))+1)</f>
        <v>278</v>
      </c>
      <c r="W132" s="29" cm="1">
        <f t="array" ref="W132">IF(表成绩单[[#This Row],[总分]]="","",SUMPRODUCT((表成绩单[考试日期]=表成绩单[[#This Row],[考试日期]])*(表成绩单[总分]&lt;9E+307)*(表成绩单[总分]&gt;表成绩单[[#This Row],[总分]]))+1)</f>
        <v>128</v>
      </c>
    </row>
    <row r="133" ht="28" customHeight="1" spans="4:23">
      <c r="D133" s="31">
        <v>45975</v>
      </c>
      <c r="E133" s="29">
        <v>19177212</v>
      </c>
      <c r="F133" s="29" t="s">
        <v>70</v>
      </c>
      <c r="G133" s="29" t="s">
        <v>207</v>
      </c>
      <c r="H133" s="29">
        <v>105</v>
      </c>
      <c r="I133" s="29">
        <v>113</v>
      </c>
      <c r="J133" s="29">
        <v>75</v>
      </c>
      <c r="K133" s="29">
        <v>80</v>
      </c>
      <c r="L133" s="29">
        <v>76</v>
      </c>
      <c r="M133" s="29">
        <v>86</v>
      </c>
      <c r="N133" s="29">
        <v>83</v>
      </c>
      <c r="O133" s="32">
        <v>618</v>
      </c>
      <c r="P133" s="29" cm="1">
        <f t="array" ref="P133">IF(表成绩单[[#This Row],[语文]]="","",SUMPRODUCT((表成绩单[考试日期]=表成绩单[[#This Row],[考试日期]])*(表成绩单[语文]&lt;9E+307)*(表成绩单[语文]&gt;表成绩单[[#This Row],[语文]]))+1)</f>
        <v>80</v>
      </c>
      <c r="Q133" s="29" cm="1">
        <f t="array" ref="Q133">IF(表成绩单[[#This Row],[数学]]="","",SUMPRODUCT((表成绩单[考试日期]=表成绩单[[#This Row],[考试日期]])*(表成绩单[数学]&lt;9E+307)*(表成绩单[数学]&gt;表成绩单[[#This Row],[数学]]))+1)</f>
        <v>93</v>
      </c>
      <c r="R133" s="29" cm="1">
        <f t="array" ref="R133">IF(表成绩单[[#This Row],[英语]]="","",SUMPRODUCT((表成绩单[考试日期]=表成绩单[[#This Row],[考试日期]])*(表成绩单[英语]&lt;9E+307)*(表成绩单[英语]&gt;表成绩单[[#This Row],[英语]]))+1)</f>
        <v>430</v>
      </c>
      <c r="S133" s="29" cm="1">
        <f t="array" ref="S133">IF(表成绩单[[#This Row],[物理]]="","",SUMPRODUCT((表成绩单[考试日期]=表成绩单[[#This Row],[考试日期]])*(表成绩单[物理]&lt;9E+307)*(表成绩单[物理]&gt;表成绩单[[#This Row],[物理]]))+1)</f>
        <v>507</v>
      </c>
      <c r="T133" s="29" cm="1">
        <f t="array" ref="T133">IF(表成绩单[[#This Row],[化学]]="","",SUMPRODUCT((表成绩单[考试日期]=表成绩单[[#This Row],[考试日期]])*(表成绩单[化学]&lt;9E+307)*(表成绩单[化学]&gt;表成绩单[[#This Row],[化学]]))+1)</f>
        <v>268</v>
      </c>
      <c r="U133" s="29" cm="1">
        <f t="array" ref="U133">IF(表成绩单[[#This Row],[政治]]="","",SUMPRODUCT((表成绩单[考试日期]=表成绩单[[#This Row],[考试日期]])*(表成绩单[政治]&lt;9E+307)*(表成绩单[政治]&gt;表成绩单[[#This Row],[政治]]))+1)</f>
        <v>26</v>
      </c>
      <c r="V133" s="29" cm="1">
        <f t="array" ref="V133">IF(表成绩单[[#This Row],[历史]]="","",SUMPRODUCT((表成绩单[考试日期]=表成绩单[[#This Row],[考试日期]])*(表成绩单[历史]&lt;9E+307)*(表成绩单[历史]&gt;表成绩单[[#This Row],[历史]]))+1)</f>
        <v>18</v>
      </c>
      <c r="W133" s="29" cm="1">
        <f t="array" ref="W133">IF(表成绩单[[#This Row],[总分]]="","",SUMPRODUCT((表成绩单[考试日期]=表成绩单[[#This Row],[考试日期]])*(表成绩单[总分]&lt;9E+307)*(表成绩单[总分]&gt;表成绩单[[#This Row],[总分]]))+1)</f>
        <v>128</v>
      </c>
    </row>
    <row r="134" ht="28" customHeight="1" spans="4:23">
      <c r="D134" s="31">
        <v>45975</v>
      </c>
      <c r="E134" s="29">
        <v>36645763</v>
      </c>
      <c r="F134" s="29" t="s">
        <v>72</v>
      </c>
      <c r="G134" s="29" t="s">
        <v>208</v>
      </c>
      <c r="H134" s="29">
        <v>110</v>
      </c>
      <c r="I134" s="29">
        <v>98</v>
      </c>
      <c r="J134" s="29">
        <v>83</v>
      </c>
      <c r="K134" s="29">
        <v>84</v>
      </c>
      <c r="L134" s="29">
        <v>73</v>
      </c>
      <c r="M134" s="29">
        <v>88</v>
      </c>
      <c r="N134" s="29">
        <v>82</v>
      </c>
      <c r="O134" s="32">
        <v>618</v>
      </c>
      <c r="P134" s="29" cm="1">
        <f t="array" ref="P134">IF(表成绩单[[#This Row],[语文]]="","",SUMPRODUCT((表成绩单[考试日期]=表成绩单[[#This Row],[考试日期]])*(表成绩单[语文]&lt;9E+307)*(表成绩单[语文]&gt;表成绩单[[#This Row],[语文]]))+1)</f>
        <v>13</v>
      </c>
      <c r="Q134" s="29" cm="1">
        <f t="array" ref="Q134">IF(表成绩单[[#This Row],[数学]]="","",SUMPRODUCT((表成绩单[考试日期]=表成绩单[[#This Row],[考试日期]])*(表成绩单[数学]&lt;9E+307)*(表成绩单[数学]&gt;表成绩单[[#This Row],[数学]]))+1)</f>
        <v>374</v>
      </c>
      <c r="R134" s="29" cm="1">
        <f t="array" ref="R134">IF(表成绩单[[#This Row],[英语]]="","",SUMPRODUCT((表成绩单[考试日期]=表成绩单[[#This Row],[考试日期]])*(表成绩单[英语]&lt;9E+307)*(表成绩单[英语]&gt;表成绩单[[#This Row],[英语]]))+1)</f>
        <v>146</v>
      </c>
      <c r="S134" s="29" cm="1">
        <f t="array" ref="S134">IF(表成绩单[[#This Row],[物理]]="","",SUMPRODUCT((表成绩单[考试日期]=表成绩单[[#This Row],[考试日期]])*(表成绩单[物理]&lt;9E+307)*(表成绩单[物理]&gt;表成绩单[[#This Row],[物理]]))+1)</f>
        <v>344</v>
      </c>
      <c r="T134" s="29" cm="1">
        <f t="array" ref="T134">IF(表成绩单[[#This Row],[化学]]="","",SUMPRODUCT((表成绩单[考试日期]=表成绩单[[#This Row],[考试日期]])*(表成绩单[化学]&lt;9E+307)*(表成绩单[化学]&gt;表成绩单[[#This Row],[化学]]))+1)</f>
        <v>365</v>
      </c>
      <c r="U134" s="29" cm="1">
        <f t="array" ref="U134">IF(表成绩单[[#This Row],[政治]]="","",SUMPRODUCT((表成绩单[考试日期]=表成绩单[[#This Row],[考试日期]])*(表成绩单[政治]&lt;9E+307)*(表成绩单[政治]&gt;表成绩单[[#This Row],[政治]]))+1)</f>
        <v>4</v>
      </c>
      <c r="V134" s="29" cm="1">
        <f t="array" ref="V134">IF(表成绩单[[#This Row],[历史]]="","",SUMPRODUCT((表成绩单[考试日期]=表成绩单[[#This Row],[考试日期]])*(表成绩单[历史]&lt;9E+307)*(表成绩单[历史]&gt;表成绩单[[#This Row],[历史]]))+1)</f>
        <v>35</v>
      </c>
      <c r="W134" s="29" cm="1">
        <f t="array" ref="W134">IF(表成绩单[[#This Row],[总分]]="","",SUMPRODUCT((表成绩单[考试日期]=表成绩单[[#This Row],[考试日期]])*(表成绩单[总分]&lt;9E+307)*(表成绩单[总分]&gt;表成绩单[[#This Row],[总分]]))+1)</f>
        <v>128</v>
      </c>
    </row>
    <row r="135" ht="28" customHeight="1" spans="4:23">
      <c r="D135" s="31">
        <v>45975</v>
      </c>
      <c r="E135" s="29">
        <v>19173540</v>
      </c>
      <c r="F135" s="29" t="s">
        <v>1</v>
      </c>
      <c r="G135" s="29" t="s">
        <v>209</v>
      </c>
      <c r="H135" s="29">
        <v>102</v>
      </c>
      <c r="I135" s="29">
        <v>119</v>
      </c>
      <c r="J135" s="29">
        <v>84.5</v>
      </c>
      <c r="K135" s="29">
        <v>88</v>
      </c>
      <c r="L135" s="29">
        <v>82</v>
      </c>
      <c r="M135" s="29">
        <v>65</v>
      </c>
      <c r="N135" s="29">
        <v>77</v>
      </c>
      <c r="O135" s="32">
        <v>617.5</v>
      </c>
      <c r="P135" s="29" cm="1">
        <f t="array" ref="P135">IF(表成绩单[[#This Row],[语文]]="","",SUMPRODUCT((表成绩单[考试日期]=表成绩单[[#This Row],[考试日期]])*(表成绩单[语文]&lt;9E+307)*(表成绩单[语文]&gt;表成绩单[[#This Row],[语文]]))+1)</f>
        <v>154</v>
      </c>
      <c r="Q135" s="29" cm="1">
        <f t="array" ref="Q135">IF(表成绩单[[#This Row],[数学]]="","",SUMPRODUCT((表成绩单[考试日期]=表成绩单[[#This Row],[考试日期]])*(表成绩单[数学]&lt;9E+307)*(表成绩单[数学]&gt;表成绩单[[#This Row],[数学]]))+1)</f>
        <v>11</v>
      </c>
      <c r="R135" s="29" cm="1">
        <f t="array" ref="R135">IF(表成绩单[[#This Row],[英语]]="","",SUMPRODUCT((表成绩单[考试日期]=表成绩单[[#This Row],[考试日期]])*(表成绩单[英语]&lt;9E+307)*(表成绩单[英语]&gt;表成绩单[[#This Row],[英语]]))+1)</f>
        <v>85</v>
      </c>
      <c r="S135" s="29" cm="1">
        <f t="array" ref="S135">IF(表成绩单[[#This Row],[物理]]="","",SUMPRODUCT((表成绩单[考试日期]=表成绩单[[#This Row],[考试日期]])*(表成绩单[物理]&lt;9E+307)*(表成绩单[物理]&gt;表成绩单[[#This Row],[物理]]))+1)</f>
        <v>54</v>
      </c>
      <c r="T135" s="29" cm="1">
        <f t="array" ref="T135">IF(表成绩单[[#This Row],[化学]]="","",SUMPRODUCT((表成绩单[考试日期]=表成绩单[[#This Row],[考试日期]])*(表成绩单[化学]&lt;9E+307)*(表成绩单[化学]&gt;表成绩单[[#This Row],[化学]]))+1)</f>
        <v>71</v>
      </c>
      <c r="U135" s="29" cm="1">
        <f t="array" ref="U135">IF(表成绩单[[#This Row],[政治]]="","",SUMPRODUCT((表成绩单[考试日期]=表成绩单[[#This Row],[考试日期]])*(表成绩单[政治]&lt;9E+307)*(表成绩单[政治]&gt;表成绩单[[#This Row],[政治]]))+1)</f>
        <v>579</v>
      </c>
      <c r="V135" s="29" cm="1">
        <f t="array" ref="V135">IF(表成绩单[[#This Row],[历史]]="","",SUMPRODUCT((表成绩单[考试日期]=表成绩单[[#This Row],[考试日期]])*(表成绩单[历史]&lt;9E+307)*(表成绩单[历史]&gt;表成绩单[[#This Row],[历史]]))+1)</f>
        <v>237</v>
      </c>
      <c r="W135" s="29" cm="1">
        <f t="array" ref="W135">IF(表成绩单[[#This Row],[总分]]="","",SUMPRODUCT((表成绩单[考试日期]=表成绩单[[#This Row],[考试日期]])*(表成绩单[总分]&lt;9E+307)*(表成绩单[总分]&gt;表成绩单[[#This Row],[总分]]))+1)</f>
        <v>131</v>
      </c>
    </row>
    <row r="136" ht="28" customHeight="1" spans="4:23">
      <c r="D136" s="31">
        <v>45975</v>
      </c>
      <c r="E136" s="29">
        <v>19174452</v>
      </c>
      <c r="F136" s="29" t="s">
        <v>73</v>
      </c>
      <c r="G136" s="29" t="s">
        <v>210</v>
      </c>
      <c r="H136" s="29">
        <v>106</v>
      </c>
      <c r="I136" s="29">
        <v>109</v>
      </c>
      <c r="J136" s="29">
        <v>84.5</v>
      </c>
      <c r="K136" s="29">
        <v>84</v>
      </c>
      <c r="L136" s="29">
        <v>84</v>
      </c>
      <c r="M136" s="29">
        <v>71</v>
      </c>
      <c r="N136" s="29">
        <v>79</v>
      </c>
      <c r="O136" s="32">
        <v>617.5</v>
      </c>
      <c r="P136" s="29" cm="1">
        <f t="array" ref="P136">IF(表成绩单[[#This Row],[语文]]="","",SUMPRODUCT((表成绩单[考试日期]=表成绩单[[#This Row],[考试日期]])*(表成绩单[语文]&lt;9E+307)*(表成绩单[语文]&gt;表成绩单[[#This Row],[语文]]))+1)</f>
        <v>62</v>
      </c>
      <c r="Q136" s="29" cm="1">
        <f t="array" ref="Q136">IF(表成绩单[[#This Row],[数学]]="","",SUMPRODUCT((表成绩单[考试日期]=表成绩单[[#This Row],[考试日期]])*(表成绩单[数学]&lt;9E+307)*(表成绩单[数学]&gt;表成绩单[[#This Row],[数学]]))+1)</f>
        <v>165</v>
      </c>
      <c r="R136" s="29" cm="1">
        <f t="array" ref="R136">IF(表成绩单[[#This Row],[英语]]="","",SUMPRODUCT((表成绩单[考试日期]=表成绩单[[#This Row],[考试日期]])*(表成绩单[英语]&lt;9E+307)*(表成绩单[英语]&gt;表成绩单[[#This Row],[英语]]))+1)</f>
        <v>85</v>
      </c>
      <c r="S136" s="29" cm="1">
        <f t="array" ref="S136">IF(表成绩单[[#This Row],[物理]]="","",SUMPRODUCT((表成绩单[考试日期]=表成绩单[[#This Row],[考试日期]])*(表成绩单[物理]&lt;9E+307)*(表成绩单[物理]&gt;表成绩单[[#This Row],[物理]]))+1)</f>
        <v>344</v>
      </c>
      <c r="T136" s="29" cm="1">
        <f t="array" ref="T136">IF(表成绩单[[#This Row],[化学]]="","",SUMPRODUCT((表成绩单[考试日期]=表成绩单[[#This Row],[考试日期]])*(表成绩单[化学]&lt;9E+307)*(表成绩单[化学]&gt;表成绩单[[#This Row],[化学]]))+1)</f>
        <v>33</v>
      </c>
      <c r="U136" s="29" cm="1">
        <f t="array" ref="U136">IF(表成绩单[[#This Row],[政治]]="","",SUMPRODUCT((表成绩单[考试日期]=表成绩单[[#This Row],[考试日期]])*(表成绩单[政治]&lt;9E+307)*(表成绩单[政治]&gt;表成绩单[[#This Row],[政治]]))+1)</f>
        <v>467</v>
      </c>
      <c r="V136" s="29" cm="1">
        <f t="array" ref="V136">IF(表成绩单[[#This Row],[历史]]="","",SUMPRODUCT((表成绩单[考试日期]=表成绩单[[#This Row],[考试日期]])*(表成绩单[历史]&lt;9E+307)*(表成绩单[历史]&gt;表成绩单[[#This Row],[历史]]))+1)</f>
        <v>144</v>
      </c>
      <c r="W136" s="29" cm="1">
        <f t="array" ref="W136">IF(表成绩单[[#This Row],[总分]]="","",SUMPRODUCT((表成绩单[考试日期]=表成绩单[[#This Row],[考试日期]])*(表成绩单[总分]&lt;9E+307)*(表成绩单[总分]&gt;表成绩单[[#This Row],[总分]]))+1)</f>
        <v>131</v>
      </c>
    </row>
    <row r="137" ht="28" customHeight="1" spans="4:23">
      <c r="D137" s="31">
        <v>45975</v>
      </c>
      <c r="E137" s="29">
        <v>19175651</v>
      </c>
      <c r="F137" s="29" t="s">
        <v>66</v>
      </c>
      <c r="G137" s="29" t="s">
        <v>211</v>
      </c>
      <c r="H137" s="29">
        <v>108</v>
      </c>
      <c r="I137" s="29">
        <v>103</v>
      </c>
      <c r="J137" s="29">
        <v>83.5</v>
      </c>
      <c r="K137" s="29">
        <v>84</v>
      </c>
      <c r="L137" s="29">
        <v>76</v>
      </c>
      <c r="M137" s="29">
        <v>83</v>
      </c>
      <c r="N137" s="29">
        <v>80</v>
      </c>
      <c r="O137" s="32">
        <v>617.5</v>
      </c>
      <c r="P137" s="29" cm="1">
        <f t="array" ref="P137">IF(表成绩单[[#This Row],[语文]]="","",SUMPRODUCT((表成绩单[考试日期]=表成绩单[[#This Row],[考试日期]])*(表成绩单[语文]&lt;9E+307)*(表成绩单[语文]&gt;表成绩单[[#This Row],[语文]]))+1)</f>
        <v>27</v>
      </c>
      <c r="Q137" s="29" cm="1">
        <f t="array" ref="Q137">IF(表成绩单[[#This Row],[数学]]="","",SUMPRODUCT((表成绩单[考试日期]=表成绩单[[#This Row],[考试日期]])*(表成绩单[数学]&lt;9E+307)*(表成绩单[数学]&gt;表成绩单[[#This Row],[数学]]))+1)</f>
        <v>277</v>
      </c>
      <c r="R137" s="29" cm="1">
        <f t="array" ref="R137">IF(表成绩单[[#This Row],[英语]]="","",SUMPRODUCT((表成绩单[考试日期]=表成绩单[[#This Row],[考试日期]])*(表成绩单[英语]&lt;9E+307)*(表成绩单[英语]&gt;表成绩单[[#This Row],[英语]]))+1)</f>
        <v>128</v>
      </c>
      <c r="S137" s="29" cm="1">
        <f t="array" ref="S137">IF(表成绩单[[#This Row],[物理]]="","",SUMPRODUCT((表成绩单[考试日期]=表成绩单[[#This Row],[考试日期]])*(表成绩单[物理]&lt;9E+307)*(表成绩单[物理]&gt;表成绩单[[#This Row],[物理]]))+1)</f>
        <v>344</v>
      </c>
      <c r="T137" s="29" cm="1">
        <f t="array" ref="T137">IF(表成绩单[[#This Row],[化学]]="","",SUMPRODUCT((表成绩单[考试日期]=表成绩单[[#This Row],[考试日期]])*(表成绩单[化学]&lt;9E+307)*(表成绩单[化学]&gt;表成绩单[[#This Row],[化学]]))+1)</f>
        <v>268</v>
      </c>
      <c r="U137" s="29" cm="1">
        <f t="array" ref="U137">IF(表成绩单[[#This Row],[政治]]="","",SUMPRODUCT((表成绩单[考试日期]=表成绩单[[#This Row],[考试日期]])*(表成绩单[政治]&lt;9E+307)*(表成绩单[政治]&gt;表成绩单[[#This Row],[政治]]))+1)</f>
        <v>121</v>
      </c>
      <c r="V137" s="29" cm="1">
        <f t="array" ref="V137">IF(表成绩单[[#This Row],[历史]]="","",SUMPRODUCT((表成绩单[考试日期]=表成绩单[[#This Row],[考试日期]])*(表成绩单[历史]&lt;9E+307)*(表成绩单[历史]&gt;表成绩单[[#This Row],[历史]]))+1)</f>
        <v>108</v>
      </c>
      <c r="W137" s="29" cm="1">
        <f t="array" ref="W137">IF(表成绩单[[#This Row],[总分]]="","",SUMPRODUCT((表成绩单[考试日期]=表成绩单[[#This Row],[考试日期]])*(表成绩单[总分]&lt;9E+307)*(表成绩单[总分]&gt;表成绩单[[#This Row],[总分]]))+1)</f>
        <v>131</v>
      </c>
    </row>
    <row r="138" ht="28" customHeight="1" spans="4:23">
      <c r="D138" s="31">
        <v>45975</v>
      </c>
      <c r="E138" s="29">
        <v>19177227</v>
      </c>
      <c r="F138" s="29" t="s">
        <v>70</v>
      </c>
      <c r="G138" s="29" t="s">
        <v>212</v>
      </c>
      <c r="H138" s="29">
        <v>105</v>
      </c>
      <c r="I138" s="29">
        <v>105</v>
      </c>
      <c r="J138" s="29">
        <v>80.5</v>
      </c>
      <c r="K138" s="29">
        <v>85</v>
      </c>
      <c r="L138" s="29">
        <v>81</v>
      </c>
      <c r="M138" s="29">
        <v>83</v>
      </c>
      <c r="N138" s="29">
        <v>78</v>
      </c>
      <c r="O138" s="32">
        <v>617.5</v>
      </c>
      <c r="P138" s="29" cm="1">
        <f t="array" ref="P138">IF(表成绩单[[#This Row],[语文]]="","",SUMPRODUCT((表成绩单[考试日期]=表成绩单[[#This Row],[考试日期]])*(表成绩单[语文]&lt;9E+307)*(表成绩单[语文]&gt;表成绩单[[#This Row],[语文]]))+1)</f>
        <v>80</v>
      </c>
      <c r="Q138" s="29" cm="1">
        <f t="array" ref="Q138">IF(表成绩单[[#This Row],[数学]]="","",SUMPRODUCT((表成绩单[考试日期]=表成绩单[[#This Row],[考试日期]])*(表成绩单[数学]&lt;9E+307)*(表成绩单[数学]&gt;表成绩单[[#This Row],[数学]]))+1)</f>
        <v>245</v>
      </c>
      <c r="R138" s="29" cm="1">
        <f t="array" ref="R138">IF(表成绩单[[#This Row],[英语]]="","",SUMPRODUCT((表成绩单[考试日期]=表成绩单[[#This Row],[考试日期]])*(表成绩单[英语]&lt;9E+307)*(表成绩单[英语]&gt;表成绩单[[#This Row],[英语]]))+1)</f>
        <v>255</v>
      </c>
      <c r="S138" s="29" cm="1">
        <f t="array" ref="S138">IF(表成绩单[[#This Row],[物理]]="","",SUMPRODUCT((表成绩单[考试日期]=表成绩单[[#This Row],[考试日期]])*(表成绩单[物理]&lt;9E+307)*(表成绩单[物理]&gt;表成绩单[[#This Row],[物理]]))+1)</f>
        <v>263</v>
      </c>
      <c r="T138" s="29" cm="1">
        <f t="array" ref="T138">IF(表成绩单[[#This Row],[化学]]="","",SUMPRODUCT((表成绩单[考试日期]=表成绩单[[#This Row],[考试日期]])*(表成绩单[化学]&lt;9E+307)*(表成绩单[化学]&gt;表成绩单[[#This Row],[化学]]))+1)</f>
        <v>100</v>
      </c>
      <c r="U138" s="29" cm="1">
        <f t="array" ref="U138">IF(表成绩单[[#This Row],[政治]]="","",SUMPRODUCT((表成绩单[考试日期]=表成绩单[[#This Row],[考试日期]])*(表成绩单[政治]&lt;9E+307)*(表成绩单[政治]&gt;表成绩单[[#This Row],[政治]]))+1)</f>
        <v>121</v>
      </c>
      <c r="V138" s="29" cm="1">
        <f t="array" ref="V138">IF(表成绩单[[#This Row],[历史]]="","",SUMPRODUCT((表成绩单[考试日期]=表成绩单[[#This Row],[考试日期]])*(表成绩单[历史]&lt;9E+307)*(表成绩单[历史]&gt;表成绩单[[#This Row],[历史]]))+1)</f>
        <v>189</v>
      </c>
      <c r="W138" s="29" cm="1">
        <f t="array" ref="W138">IF(表成绩单[[#This Row],[总分]]="","",SUMPRODUCT((表成绩单[考试日期]=表成绩单[[#This Row],[考试日期]])*(表成绩单[总分]&lt;9E+307)*(表成绩单[总分]&gt;表成绩单[[#This Row],[总分]]))+1)</f>
        <v>131</v>
      </c>
    </row>
    <row r="139" ht="28" customHeight="1" spans="4:23">
      <c r="D139" s="31">
        <v>45975</v>
      </c>
      <c r="E139" s="29">
        <v>19178576</v>
      </c>
      <c r="F139" s="29" t="s">
        <v>64</v>
      </c>
      <c r="G139" s="29" t="s">
        <v>213</v>
      </c>
      <c r="H139" s="29">
        <v>105</v>
      </c>
      <c r="I139" s="29">
        <v>114</v>
      </c>
      <c r="J139" s="29">
        <v>73.5</v>
      </c>
      <c r="K139" s="29">
        <v>85</v>
      </c>
      <c r="L139" s="29">
        <v>73</v>
      </c>
      <c r="M139" s="29">
        <v>85</v>
      </c>
      <c r="N139" s="29">
        <v>82</v>
      </c>
      <c r="O139" s="32">
        <v>617.5</v>
      </c>
      <c r="P139" s="29" cm="1">
        <f t="array" ref="P139">IF(表成绩单[[#This Row],[语文]]="","",SUMPRODUCT((表成绩单[考试日期]=表成绩单[[#This Row],[考试日期]])*(表成绩单[语文]&lt;9E+307)*(表成绩单[语文]&gt;表成绩单[[#This Row],[语文]]))+1)</f>
        <v>80</v>
      </c>
      <c r="Q139" s="29" cm="1">
        <f t="array" ref="Q139">IF(表成绩单[[#This Row],[数学]]="","",SUMPRODUCT((表成绩单[考试日期]=表成绩单[[#This Row],[考试日期]])*(表成绩单[数学]&lt;9E+307)*(表成绩单[数学]&gt;表成绩单[[#This Row],[数学]]))+1)</f>
        <v>79</v>
      </c>
      <c r="R139" s="29" cm="1">
        <f t="array" ref="R139">IF(表成绩单[[#This Row],[英语]]="","",SUMPRODUCT((表成绩单[考试日期]=表成绩单[[#This Row],[考试日期]])*(表成绩单[英语]&lt;9E+307)*(表成绩单[英语]&gt;表成绩单[[#This Row],[英语]]))+1)</f>
        <v>470</v>
      </c>
      <c r="S139" s="29" cm="1">
        <f t="array" ref="S139">IF(表成绩单[[#This Row],[物理]]="","",SUMPRODUCT((表成绩单[考试日期]=表成绩单[[#This Row],[考试日期]])*(表成绩单[物理]&lt;9E+307)*(表成绩单[物理]&gt;表成绩单[[#This Row],[物理]]))+1)</f>
        <v>263</v>
      </c>
      <c r="T139" s="29" cm="1">
        <f t="array" ref="T139">IF(表成绩单[[#This Row],[化学]]="","",SUMPRODUCT((表成绩单[考试日期]=表成绩单[[#This Row],[考试日期]])*(表成绩单[化学]&lt;9E+307)*(表成绩单[化学]&gt;表成绩单[[#This Row],[化学]]))+1)</f>
        <v>365</v>
      </c>
      <c r="U139" s="29" cm="1">
        <f t="array" ref="U139">IF(表成绩单[[#This Row],[政治]]="","",SUMPRODUCT((表成绩单[考试日期]=表成绩单[[#This Row],[考试日期]])*(表成绩单[政治]&lt;9E+307)*(表成绩单[政治]&gt;表成绩单[[#This Row],[政治]]))+1)</f>
        <v>45</v>
      </c>
      <c r="V139" s="29" cm="1">
        <f t="array" ref="V139">IF(表成绩单[[#This Row],[历史]]="","",SUMPRODUCT((表成绩单[考试日期]=表成绩单[[#This Row],[考试日期]])*(表成绩单[历史]&lt;9E+307)*(表成绩单[历史]&gt;表成绩单[[#This Row],[历史]]))+1)</f>
        <v>35</v>
      </c>
      <c r="W139" s="29" cm="1">
        <f t="array" ref="W139">IF(表成绩单[[#This Row],[总分]]="","",SUMPRODUCT((表成绩单[考试日期]=表成绩单[[#This Row],[考试日期]])*(表成绩单[总分]&lt;9E+307)*(表成绩单[总分]&gt;表成绩单[[#This Row],[总分]]))+1)</f>
        <v>131</v>
      </c>
    </row>
    <row r="140" ht="28" customHeight="1" spans="4:23">
      <c r="D140" s="31">
        <v>45975</v>
      </c>
      <c r="E140" s="29">
        <v>19167657</v>
      </c>
      <c r="F140" s="29" t="s">
        <v>1</v>
      </c>
      <c r="G140" s="29" t="s">
        <v>214</v>
      </c>
      <c r="H140" s="29">
        <v>104</v>
      </c>
      <c r="I140" s="29">
        <v>112</v>
      </c>
      <c r="J140" s="29">
        <v>81</v>
      </c>
      <c r="K140" s="29">
        <v>84</v>
      </c>
      <c r="L140" s="29">
        <v>76</v>
      </c>
      <c r="M140" s="29">
        <v>83</v>
      </c>
      <c r="N140" s="29">
        <v>77</v>
      </c>
      <c r="O140" s="32">
        <v>617</v>
      </c>
      <c r="P140" s="29" cm="1">
        <f t="array" ref="P140">IF(表成绩单[[#This Row],[语文]]="","",SUMPRODUCT((表成绩单[考试日期]=表成绩单[[#This Row],[考试日期]])*(表成绩单[语文]&lt;9E+307)*(表成绩单[语文]&gt;表成绩单[[#This Row],[语文]]))+1)</f>
        <v>104</v>
      </c>
      <c r="Q140" s="29" cm="1">
        <f t="array" ref="Q140">IF(表成绩单[[#This Row],[数学]]="","",SUMPRODUCT((表成绩单[考试日期]=表成绩单[[#This Row],[考试日期]])*(表成绩单[数学]&lt;9E+307)*(表成绩单[数学]&gt;表成绩单[[#This Row],[数学]]))+1)</f>
        <v>112</v>
      </c>
      <c r="R140" s="29" cm="1">
        <f t="array" ref="R140">IF(表成绩单[[#This Row],[英语]]="","",SUMPRODUCT((表成绩单[考试日期]=表成绩单[[#This Row],[考试日期]])*(表成绩单[英语]&lt;9E+307)*(表成绩单[英语]&gt;表成绩单[[#This Row],[英语]]))+1)</f>
        <v>241</v>
      </c>
      <c r="S140" s="29" cm="1">
        <f t="array" ref="S140">IF(表成绩单[[#This Row],[物理]]="","",SUMPRODUCT((表成绩单[考试日期]=表成绩单[[#This Row],[考试日期]])*(表成绩单[物理]&lt;9E+307)*(表成绩单[物理]&gt;表成绩单[[#This Row],[物理]]))+1)</f>
        <v>344</v>
      </c>
      <c r="T140" s="29" cm="1">
        <f t="array" ref="T140">IF(表成绩单[[#This Row],[化学]]="","",SUMPRODUCT((表成绩单[考试日期]=表成绩单[[#This Row],[考试日期]])*(表成绩单[化学]&lt;9E+307)*(表成绩单[化学]&gt;表成绩单[[#This Row],[化学]]))+1)</f>
        <v>268</v>
      </c>
      <c r="U140" s="29" cm="1">
        <f t="array" ref="U140">IF(表成绩单[[#This Row],[政治]]="","",SUMPRODUCT((表成绩单[考试日期]=表成绩单[[#This Row],[考试日期]])*(表成绩单[政治]&lt;9E+307)*(表成绩单[政治]&gt;表成绩单[[#This Row],[政治]]))+1)</f>
        <v>121</v>
      </c>
      <c r="V140" s="29" cm="1">
        <f t="array" ref="V140">IF(表成绩单[[#This Row],[历史]]="","",SUMPRODUCT((表成绩单[考试日期]=表成绩单[[#This Row],[考试日期]])*(表成绩单[历史]&lt;9E+307)*(表成绩单[历史]&gt;表成绩单[[#This Row],[历史]]))+1)</f>
        <v>237</v>
      </c>
      <c r="W140" s="29" cm="1">
        <f t="array" ref="W140">IF(表成绩单[[#This Row],[总分]]="","",SUMPRODUCT((表成绩单[考试日期]=表成绩单[[#This Row],[考试日期]])*(表成绩单[总分]&lt;9E+307)*(表成绩单[总分]&gt;表成绩单[[#This Row],[总分]]))+1)</f>
        <v>136</v>
      </c>
    </row>
    <row r="141" ht="28" customHeight="1" spans="4:23">
      <c r="D141" s="31">
        <v>45975</v>
      </c>
      <c r="E141" s="29">
        <v>19178630</v>
      </c>
      <c r="F141" s="29" t="s">
        <v>25</v>
      </c>
      <c r="G141" s="29" t="s">
        <v>27</v>
      </c>
      <c r="H141" s="29">
        <v>104</v>
      </c>
      <c r="I141" s="29">
        <v>109</v>
      </c>
      <c r="J141" s="29">
        <v>81</v>
      </c>
      <c r="K141" s="29">
        <v>85</v>
      </c>
      <c r="L141" s="29">
        <v>77</v>
      </c>
      <c r="M141" s="29">
        <v>82</v>
      </c>
      <c r="N141" s="29">
        <v>79</v>
      </c>
      <c r="O141" s="32">
        <v>617</v>
      </c>
      <c r="P141" s="29" cm="1">
        <f t="array" ref="P141">IF(表成绩单[[#This Row],[语文]]="","",SUMPRODUCT((表成绩单[考试日期]=表成绩单[[#This Row],[考试日期]])*(表成绩单[语文]&lt;9E+307)*(表成绩单[语文]&gt;表成绩单[[#This Row],[语文]]))+1)</f>
        <v>104</v>
      </c>
      <c r="Q141" s="29" cm="1">
        <f t="array" ref="Q141">IF(表成绩单[[#This Row],[数学]]="","",SUMPRODUCT((表成绩单[考试日期]=表成绩单[[#This Row],[考试日期]])*(表成绩单[数学]&lt;9E+307)*(表成绩单[数学]&gt;表成绩单[[#This Row],[数学]]))+1)</f>
        <v>165</v>
      </c>
      <c r="R141" s="29" cm="1">
        <f t="array" ref="R141">IF(表成绩单[[#This Row],[英语]]="","",SUMPRODUCT((表成绩单[考试日期]=表成绩单[[#This Row],[考试日期]])*(表成绩单[英语]&lt;9E+307)*(表成绩单[英语]&gt;表成绩单[[#This Row],[英语]]))+1)</f>
        <v>241</v>
      </c>
      <c r="S141" s="29" cm="1">
        <f t="array" ref="S141">IF(表成绩单[[#This Row],[物理]]="","",SUMPRODUCT((表成绩单[考试日期]=表成绩单[[#This Row],[考试日期]])*(表成绩单[物理]&lt;9E+307)*(表成绩单[物理]&gt;表成绩单[[#This Row],[物理]]))+1)</f>
        <v>263</v>
      </c>
      <c r="T141" s="29" cm="1">
        <f t="array" ref="T141">IF(表成绩单[[#This Row],[化学]]="","",SUMPRODUCT((表成绩单[考试日期]=表成绩单[[#This Row],[考试日期]])*(表成绩单[化学]&lt;9E+307)*(表成绩单[化学]&gt;表成绩单[[#This Row],[化学]]))+1)</f>
        <v>239</v>
      </c>
      <c r="U141" s="29" cm="1">
        <f t="array" ref="U141">IF(表成绩单[[#This Row],[政治]]="","",SUMPRODUCT((表成绩单[考试日期]=表成绩单[[#This Row],[考试日期]])*(表成绩单[政治]&lt;9E+307)*(表成绩单[政治]&gt;表成绩单[[#This Row],[政治]]))+1)</f>
        <v>157</v>
      </c>
      <c r="V141" s="29" cm="1">
        <f t="array" ref="V141">IF(表成绩单[[#This Row],[历史]]="","",SUMPRODUCT((表成绩单[考试日期]=表成绩单[[#This Row],[考试日期]])*(表成绩单[历史]&lt;9E+307)*(表成绩单[历史]&gt;表成绩单[[#This Row],[历史]]))+1)</f>
        <v>144</v>
      </c>
      <c r="W141" s="29" cm="1">
        <f t="array" ref="W141">IF(表成绩单[[#This Row],[总分]]="","",SUMPRODUCT((表成绩单[考试日期]=表成绩单[[#This Row],[考试日期]])*(表成绩单[总分]&lt;9E+307)*(表成绩单[总分]&gt;表成绩单[[#This Row],[总分]]))+1)</f>
        <v>136</v>
      </c>
    </row>
    <row r="142" ht="28" customHeight="1" spans="4:23">
      <c r="D142" s="31">
        <v>45975</v>
      </c>
      <c r="E142" s="29">
        <v>19175674</v>
      </c>
      <c r="F142" s="29" t="s">
        <v>72</v>
      </c>
      <c r="G142" s="29" t="s">
        <v>215</v>
      </c>
      <c r="H142" s="29">
        <v>102</v>
      </c>
      <c r="I142" s="29">
        <v>112</v>
      </c>
      <c r="J142" s="29">
        <v>82.5</v>
      </c>
      <c r="K142" s="29">
        <v>85</v>
      </c>
      <c r="L142" s="29">
        <v>77</v>
      </c>
      <c r="M142" s="29">
        <v>76</v>
      </c>
      <c r="N142" s="29">
        <v>82</v>
      </c>
      <c r="O142" s="32">
        <v>616.5</v>
      </c>
      <c r="P142" s="29" cm="1">
        <f t="array" ref="P142">IF(表成绩单[[#This Row],[语文]]="","",SUMPRODUCT((表成绩单[考试日期]=表成绩单[[#This Row],[考试日期]])*(表成绩单[语文]&lt;9E+307)*(表成绩单[语文]&gt;表成绩单[[#This Row],[语文]]))+1)</f>
        <v>154</v>
      </c>
      <c r="Q142" s="29" cm="1">
        <f t="array" ref="Q142">IF(表成绩单[[#This Row],[数学]]="","",SUMPRODUCT((表成绩单[考试日期]=表成绩单[[#This Row],[考试日期]])*(表成绩单[数学]&lt;9E+307)*(表成绩单[数学]&gt;表成绩单[[#This Row],[数学]]))+1)</f>
        <v>112</v>
      </c>
      <c r="R142" s="29" cm="1">
        <f t="array" ref="R142">IF(表成绩单[[#This Row],[英语]]="","",SUMPRODUCT((表成绩单[考试日期]=表成绩单[[#This Row],[考试日期]])*(表成绩单[英语]&lt;9E+307)*(表成绩单[英语]&gt;表成绩单[[#This Row],[英语]]))+1)</f>
        <v>170</v>
      </c>
      <c r="S142" s="29" cm="1">
        <f t="array" ref="S142">IF(表成绩单[[#This Row],[物理]]="","",SUMPRODUCT((表成绩单[考试日期]=表成绩单[[#This Row],[考试日期]])*(表成绩单[物理]&lt;9E+307)*(表成绩单[物理]&gt;表成绩单[[#This Row],[物理]]))+1)</f>
        <v>263</v>
      </c>
      <c r="T142" s="29" cm="1">
        <f t="array" ref="T142">IF(表成绩单[[#This Row],[化学]]="","",SUMPRODUCT((表成绩单[考试日期]=表成绩单[[#This Row],[考试日期]])*(表成绩单[化学]&lt;9E+307)*(表成绩单[化学]&gt;表成绩单[[#This Row],[化学]]))+1)</f>
        <v>239</v>
      </c>
      <c r="U142" s="29" cm="1">
        <f t="array" ref="U142">IF(表成绩单[[#This Row],[政治]]="","",SUMPRODUCT((表成绩单[考试日期]=表成绩单[[#This Row],[考试日期]])*(表成绩单[政治]&lt;9E+307)*(表成绩单[政治]&gt;表成绩单[[#This Row],[政治]]))+1)</f>
        <v>329</v>
      </c>
      <c r="V142" s="29" cm="1">
        <f t="array" ref="V142">IF(表成绩单[[#This Row],[历史]]="","",SUMPRODUCT((表成绩单[考试日期]=表成绩单[[#This Row],[考试日期]])*(表成绩单[历史]&lt;9E+307)*(表成绩单[历史]&gt;表成绩单[[#This Row],[历史]]))+1)</f>
        <v>35</v>
      </c>
      <c r="W142" s="29" cm="1">
        <f t="array" ref="W142">IF(表成绩单[[#This Row],[总分]]="","",SUMPRODUCT((表成绩单[考试日期]=表成绩单[[#This Row],[考试日期]])*(表成绩单[总分]&lt;9E+307)*(表成绩单[总分]&gt;表成绩单[[#This Row],[总分]]))+1)</f>
        <v>138</v>
      </c>
    </row>
    <row r="143" ht="28" customHeight="1" spans="4:23">
      <c r="D143" s="31">
        <v>45975</v>
      </c>
      <c r="E143" s="29">
        <v>19177217</v>
      </c>
      <c r="F143" s="29" t="s">
        <v>70</v>
      </c>
      <c r="G143" s="29" t="s">
        <v>216</v>
      </c>
      <c r="H143" s="29">
        <v>104</v>
      </c>
      <c r="I143" s="29">
        <v>103</v>
      </c>
      <c r="J143" s="29">
        <v>74.5</v>
      </c>
      <c r="K143" s="29">
        <v>86</v>
      </c>
      <c r="L143" s="29">
        <v>80</v>
      </c>
      <c r="M143" s="29">
        <v>86</v>
      </c>
      <c r="N143" s="29">
        <v>83</v>
      </c>
      <c r="O143" s="32">
        <v>616.5</v>
      </c>
      <c r="P143" s="29" cm="1">
        <f t="array" ref="P143">IF(表成绩单[[#This Row],[语文]]="","",SUMPRODUCT((表成绩单[考试日期]=表成绩单[[#This Row],[考试日期]])*(表成绩单[语文]&lt;9E+307)*(表成绩单[语文]&gt;表成绩单[[#This Row],[语文]]))+1)</f>
        <v>104</v>
      </c>
      <c r="Q143" s="29" cm="1">
        <f t="array" ref="Q143">IF(表成绩单[[#This Row],[数学]]="","",SUMPRODUCT((表成绩单[考试日期]=表成绩单[[#This Row],[考试日期]])*(表成绩单[数学]&lt;9E+307)*(表成绩单[数学]&gt;表成绩单[[#This Row],[数学]]))+1)</f>
        <v>277</v>
      </c>
      <c r="R143" s="29" cm="1">
        <f t="array" ref="R143">IF(表成绩单[[#This Row],[英语]]="","",SUMPRODUCT((表成绩单[考试日期]=表成绩单[[#This Row],[考试日期]])*(表成绩单[英语]&lt;9E+307)*(表成绩单[英语]&gt;表成绩单[[#This Row],[英语]]))+1)</f>
        <v>445</v>
      </c>
      <c r="S143" s="29" cm="1">
        <f t="array" ref="S143">IF(表成绩单[[#This Row],[物理]]="","",SUMPRODUCT((表成绩单[考试日期]=表成绩单[[#This Row],[考试日期]])*(表成绩单[物理]&lt;9E+307)*(表成绩单[物理]&gt;表成绩单[[#This Row],[物理]]))+1)</f>
        <v>187</v>
      </c>
      <c r="T143" s="29" cm="1">
        <f t="array" ref="T143">IF(表成绩单[[#This Row],[化学]]="","",SUMPRODUCT((表成绩单[考试日期]=表成绩单[[#This Row],[考试日期]])*(表成绩单[化学]&lt;9E+307)*(表成绩单[化学]&gt;表成绩单[[#This Row],[化学]]))+1)</f>
        <v>129</v>
      </c>
      <c r="U143" s="29" cm="1">
        <f t="array" ref="U143">IF(表成绩单[[#This Row],[政治]]="","",SUMPRODUCT((表成绩单[考试日期]=表成绩单[[#This Row],[考试日期]])*(表成绩单[政治]&lt;9E+307)*(表成绩单[政治]&gt;表成绩单[[#This Row],[政治]]))+1)</f>
        <v>26</v>
      </c>
      <c r="V143" s="29" cm="1">
        <f t="array" ref="V143">IF(表成绩单[[#This Row],[历史]]="","",SUMPRODUCT((表成绩单[考试日期]=表成绩单[[#This Row],[考试日期]])*(表成绩单[历史]&lt;9E+307)*(表成绩单[历史]&gt;表成绩单[[#This Row],[历史]]))+1)</f>
        <v>18</v>
      </c>
      <c r="W143" s="29" cm="1">
        <f t="array" ref="W143">IF(表成绩单[[#This Row],[总分]]="","",SUMPRODUCT((表成绩单[考试日期]=表成绩单[[#This Row],[考试日期]])*(表成绩单[总分]&lt;9E+307)*(表成绩单[总分]&gt;表成绩单[[#This Row],[总分]]))+1)</f>
        <v>138</v>
      </c>
    </row>
    <row r="144" ht="28" customHeight="1" spans="4:23">
      <c r="D144" s="31">
        <v>45975</v>
      </c>
      <c r="E144" s="29">
        <v>19173761</v>
      </c>
      <c r="F144" s="29" t="s">
        <v>65</v>
      </c>
      <c r="G144" s="29" t="s">
        <v>217</v>
      </c>
      <c r="H144" s="29">
        <v>106</v>
      </c>
      <c r="I144" s="29">
        <v>104</v>
      </c>
      <c r="J144" s="29">
        <v>79</v>
      </c>
      <c r="K144" s="29">
        <v>89</v>
      </c>
      <c r="L144" s="29">
        <v>77</v>
      </c>
      <c r="M144" s="29">
        <v>86</v>
      </c>
      <c r="N144" s="29">
        <v>75</v>
      </c>
      <c r="O144" s="32">
        <v>616</v>
      </c>
      <c r="P144" s="29" cm="1">
        <f t="array" ref="P144">IF(表成绩单[[#This Row],[语文]]="","",SUMPRODUCT((表成绩单[考试日期]=表成绩单[[#This Row],[考试日期]])*(表成绩单[语文]&lt;9E+307)*(表成绩单[语文]&gt;表成绩单[[#This Row],[语文]]))+1)</f>
        <v>62</v>
      </c>
      <c r="Q144" s="29" cm="1">
        <f t="array" ref="Q144">IF(表成绩单[[#This Row],[数学]]="","",SUMPRODUCT((表成绩单[考试日期]=表成绩单[[#This Row],[考试日期]])*(表成绩单[数学]&lt;9E+307)*(表成绩单[数学]&gt;表成绩单[[#This Row],[数学]]))+1)</f>
        <v>260</v>
      </c>
      <c r="R144" s="29" cm="1">
        <f t="array" ref="R144">IF(表成绩单[[#This Row],[英语]]="","",SUMPRODUCT((表成绩单[考试日期]=表成绩单[[#This Row],[考试日期]])*(表成绩单[英语]&lt;9E+307)*(表成绩单[英语]&gt;表成绩单[[#This Row],[英语]]))+1)</f>
        <v>292</v>
      </c>
      <c r="S144" s="29" cm="1">
        <f t="array" ref="S144">IF(表成绩单[[#This Row],[物理]]="","",SUMPRODUCT((表成绩单[考试日期]=表成绩单[[#This Row],[考试日期]])*(表成绩单[物理]&lt;9E+307)*(表成绩单[物理]&gt;表成绩单[[#This Row],[物理]]))+1)</f>
        <v>18</v>
      </c>
      <c r="T144" s="29" cm="1">
        <f t="array" ref="T144">IF(表成绩单[[#This Row],[化学]]="","",SUMPRODUCT((表成绩单[考试日期]=表成绩单[[#This Row],[考试日期]])*(表成绩单[化学]&lt;9E+307)*(表成绩单[化学]&gt;表成绩单[[#This Row],[化学]]))+1)</f>
        <v>239</v>
      </c>
      <c r="U144" s="29" cm="1">
        <f t="array" ref="U144">IF(表成绩单[[#This Row],[政治]]="","",SUMPRODUCT((表成绩单[考试日期]=表成绩单[[#This Row],[考试日期]])*(表成绩单[政治]&lt;9E+307)*(表成绩单[政治]&gt;表成绩单[[#This Row],[政治]]))+1)</f>
        <v>26</v>
      </c>
      <c r="V144" s="29" cm="1">
        <f t="array" ref="V144">IF(表成绩单[[#This Row],[历史]]="","",SUMPRODUCT((表成绩单[考试日期]=表成绩单[[#This Row],[考试日期]])*(表成绩单[历史]&lt;9E+307)*(表成绩单[历史]&gt;表成绩单[[#This Row],[历史]]))+1)</f>
        <v>315</v>
      </c>
      <c r="W144" s="29" cm="1">
        <f t="array" ref="W144">IF(表成绩单[[#This Row],[总分]]="","",SUMPRODUCT((表成绩单[考试日期]=表成绩单[[#This Row],[考试日期]])*(表成绩单[总分]&lt;9E+307)*(表成绩单[总分]&gt;表成绩单[[#This Row],[总分]]))+1)</f>
        <v>140</v>
      </c>
    </row>
    <row r="145" ht="28" customHeight="1" spans="4:23">
      <c r="D145" s="31">
        <v>45975</v>
      </c>
      <c r="E145" s="29">
        <v>19173249</v>
      </c>
      <c r="F145" s="29" t="s">
        <v>61</v>
      </c>
      <c r="G145" s="29" t="s">
        <v>218</v>
      </c>
      <c r="H145" s="29">
        <v>97</v>
      </c>
      <c r="I145" s="29">
        <v>120</v>
      </c>
      <c r="J145" s="29">
        <v>76.5</v>
      </c>
      <c r="K145" s="29">
        <v>85</v>
      </c>
      <c r="L145" s="29">
        <v>80</v>
      </c>
      <c r="M145" s="29">
        <v>81</v>
      </c>
      <c r="N145" s="29">
        <v>76</v>
      </c>
      <c r="O145" s="32">
        <v>615.5</v>
      </c>
      <c r="P145" s="29" cm="1">
        <f t="array" ref="P145">IF(表成绩单[[#This Row],[语文]]="","",SUMPRODUCT((表成绩单[考试日期]=表成绩单[[#This Row],[考试日期]])*(表成绩单[语文]&lt;9E+307)*(表成绩单[语文]&gt;表成绩单[[#This Row],[语文]]))+1)</f>
        <v>349</v>
      </c>
      <c r="Q145" s="29" cm="1">
        <f t="array" ref="Q145">IF(表成绩单[[#This Row],[数学]]="","",SUMPRODUCT((表成绩单[考试日期]=表成绩单[[#This Row],[考试日期]])*(表成绩单[数学]&lt;9E+307)*(表成绩单[数学]&gt;表成绩单[[#This Row],[数学]]))+1)</f>
        <v>1</v>
      </c>
      <c r="R145" s="29" cm="1">
        <f t="array" ref="R145">IF(表成绩单[[#This Row],[英语]]="","",SUMPRODUCT((表成绩单[考试日期]=表成绩单[[#This Row],[考试日期]])*(表成绩单[英语]&lt;9E+307)*(表成绩单[英语]&gt;表成绩单[[#This Row],[英语]]))+1)</f>
        <v>382</v>
      </c>
      <c r="S145" s="29" cm="1">
        <f t="array" ref="S145">IF(表成绩单[[#This Row],[物理]]="","",SUMPRODUCT((表成绩单[考试日期]=表成绩单[[#This Row],[考试日期]])*(表成绩单[物理]&lt;9E+307)*(表成绩单[物理]&gt;表成绩单[[#This Row],[物理]]))+1)</f>
        <v>263</v>
      </c>
      <c r="T145" s="29" cm="1">
        <f t="array" ref="T145">IF(表成绩单[[#This Row],[化学]]="","",SUMPRODUCT((表成绩单[考试日期]=表成绩单[[#This Row],[考试日期]])*(表成绩单[化学]&lt;9E+307)*(表成绩单[化学]&gt;表成绩单[[#This Row],[化学]]))+1)</f>
        <v>129</v>
      </c>
      <c r="U145" s="29" cm="1">
        <f t="array" ref="U145">IF(表成绩单[[#This Row],[政治]]="","",SUMPRODUCT((表成绩单[考试日期]=表成绩单[[#This Row],[考试日期]])*(表成绩单[政治]&lt;9E+307)*(表成绩单[政治]&gt;表成绩单[[#This Row],[政治]]))+1)</f>
        <v>180</v>
      </c>
      <c r="V145" s="29" cm="1">
        <f t="array" ref="V145">IF(表成绩单[[#This Row],[历史]]="","",SUMPRODUCT((表成绩单[考试日期]=表成绩单[[#This Row],[考试日期]])*(表成绩单[历史]&lt;9E+307)*(表成绩单[历史]&gt;表成绩单[[#This Row],[历史]]))+1)</f>
        <v>278</v>
      </c>
      <c r="W145" s="29" cm="1">
        <f t="array" ref="W145">IF(表成绩单[[#This Row],[总分]]="","",SUMPRODUCT((表成绩单[考试日期]=表成绩单[[#This Row],[考试日期]])*(表成绩单[总分]&lt;9E+307)*(表成绩单[总分]&gt;表成绩单[[#This Row],[总分]]))+1)</f>
        <v>141</v>
      </c>
    </row>
    <row r="146" ht="28" customHeight="1" spans="4:23">
      <c r="D146" s="31">
        <v>45975</v>
      </c>
      <c r="E146" s="29">
        <v>19178647</v>
      </c>
      <c r="F146" s="29" t="s">
        <v>25</v>
      </c>
      <c r="G146" s="29" t="s">
        <v>219</v>
      </c>
      <c r="H146" s="29">
        <v>109</v>
      </c>
      <c r="I146" s="29">
        <v>112</v>
      </c>
      <c r="J146" s="29">
        <v>73.5</v>
      </c>
      <c r="K146" s="29">
        <v>87</v>
      </c>
      <c r="L146" s="29">
        <v>85</v>
      </c>
      <c r="M146" s="29">
        <v>80</v>
      </c>
      <c r="N146" s="29">
        <v>69</v>
      </c>
      <c r="O146" s="32">
        <v>615.5</v>
      </c>
      <c r="P146" s="29" cm="1">
        <f t="array" ref="P146">IF(表成绩单[[#This Row],[语文]]="","",SUMPRODUCT((表成绩单[考试日期]=表成绩单[[#This Row],[考试日期]])*(表成绩单[语文]&lt;9E+307)*(表成绩单[语文]&gt;表成绩单[[#This Row],[语文]]))+1)</f>
        <v>18</v>
      </c>
      <c r="Q146" s="29" cm="1">
        <f t="array" ref="Q146">IF(表成绩单[[#This Row],[数学]]="","",SUMPRODUCT((表成绩单[考试日期]=表成绩单[[#This Row],[考试日期]])*(表成绩单[数学]&lt;9E+307)*(表成绩单[数学]&gt;表成绩单[[#This Row],[数学]]))+1)</f>
        <v>112</v>
      </c>
      <c r="R146" s="29" cm="1">
        <f t="array" ref="R146">IF(表成绩单[[#This Row],[英语]]="","",SUMPRODUCT((表成绩单[考试日期]=表成绩单[[#This Row],[考试日期]])*(表成绩单[英语]&lt;9E+307)*(表成绩单[英语]&gt;表成绩单[[#This Row],[英语]]))+1)</f>
        <v>470</v>
      </c>
      <c r="S146" s="29" cm="1">
        <f t="array" ref="S146">IF(表成绩单[[#This Row],[物理]]="","",SUMPRODUCT((表成绩单[考试日期]=表成绩单[[#This Row],[考试日期]])*(表成绩单[物理]&lt;9E+307)*(表成绩单[物理]&gt;表成绩单[[#This Row],[物理]]))+1)</f>
        <v>127</v>
      </c>
      <c r="T146" s="29" cm="1">
        <f t="array" ref="T146">IF(表成绩单[[#This Row],[化学]]="","",SUMPRODUCT((表成绩单[考试日期]=表成绩单[[#This Row],[考试日期]])*(表成绩单[化学]&lt;9E+307)*(表成绩单[化学]&gt;表成绩单[[#This Row],[化学]]))+1)</f>
        <v>19</v>
      </c>
      <c r="U146" s="29" cm="1">
        <f t="array" ref="U146">IF(表成绩单[[#This Row],[政治]]="","",SUMPRODUCT((表成绩单[考试日期]=表成绩单[[#This Row],[考试日期]])*(表成绩单[政治]&lt;9E+307)*(表成绩单[政治]&gt;表成绩单[[#This Row],[政治]]))+1)</f>
        <v>209</v>
      </c>
      <c r="V146" s="29" cm="1">
        <f t="array" ref="V146">IF(表成绩单[[#This Row],[历史]]="","",SUMPRODUCT((表成绩单[考试日期]=表成绩单[[#This Row],[考试日期]])*(表成绩单[历史]&lt;9E+307)*(表成绩单[历史]&gt;表成绩单[[#This Row],[历史]]))+1)</f>
        <v>541</v>
      </c>
      <c r="W146" s="29" cm="1">
        <f t="array" ref="W146">IF(表成绩单[[#This Row],[总分]]="","",SUMPRODUCT((表成绩单[考试日期]=表成绩单[[#This Row],[考试日期]])*(表成绩单[总分]&lt;9E+307)*(表成绩单[总分]&gt;表成绩单[[#This Row],[总分]]))+1)</f>
        <v>141</v>
      </c>
    </row>
    <row r="147" ht="28" customHeight="1" spans="4:23">
      <c r="D147" s="31">
        <v>45975</v>
      </c>
      <c r="E147" s="29">
        <v>19174455</v>
      </c>
      <c r="F147" s="29" t="s">
        <v>73</v>
      </c>
      <c r="G147" s="29" t="s">
        <v>220</v>
      </c>
      <c r="H147" s="29">
        <v>100</v>
      </c>
      <c r="I147" s="29">
        <v>117</v>
      </c>
      <c r="J147" s="29">
        <v>76</v>
      </c>
      <c r="K147" s="29">
        <v>88</v>
      </c>
      <c r="L147" s="29">
        <v>80</v>
      </c>
      <c r="M147" s="29">
        <v>73</v>
      </c>
      <c r="N147" s="29">
        <v>81</v>
      </c>
      <c r="O147" s="32">
        <v>615</v>
      </c>
      <c r="P147" s="29" cm="1">
        <f t="array" ref="P147">IF(表成绩单[[#This Row],[语文]]="","",SUMPRODUCT((表成绩单[考试日期]=表成绩单[[#This Row],[考试日期]])*(表成绩单[语文]&lt;9E+307)*(表成绩单[语文]&gt;表成绩单[[#This Row],[语文]]))+1)</f>
        <v>223</v>
      </c>
      <c r="Q147" s="29" cm="1">
        <f t="array" ref="Q147">IF(表成绩单[[#This Row],[数学]]="","",SUMPRODUCT((表成绩单[考试日期]=表成绩单[[#This Row],[考试日期]])*(表成绩单[数学]&lt;9E+307)*(表成绩单[数学]&gt;表成绩单[[#This Row],[数学]]))+1)</f>
        <v>37</v>
      </c>
      <c r="R147" s="29" cm="1">
        <f t="array" ref="R147">IF(表成绩单[[#This Row],[英语]]="","",SUMPRODUCT((表成绩单[考试日期]=表成绩单[[#This Row],[考试日期]])*(表成绩单[英语]&lt;9E+307)*(表成绩单[英语]&gt;表成绩单[[#This Row],[英语]]))+1)</f>
        <v>399</v>
      </c>
      <c r="S147" s="29" cm="1">
        <f t="array" ref="S147">IF(表成绩单[[#This Row],[物理]]="","",SUMPRODUCT((表成绩单[考试日期]=表成绩单[[#This Row],[考试日期]])*(表成绩单[物理]&lt;9E+307)*(表成绩单[物理]&gt;表成绩单[[#This Row],[物理]]))+1)</f>
        <v>54</v>
      </c>
      <c r="T147" s="29" cm="1">
        <f t="array" ref="T147">IF(表成绩单[[#This Row],[化学]]="","",SUMPRODUCT((表成绩单[考试日期]=表成绩单[[#This Row],[考试日期]])*(表成绩单[化学]&lt;9E+307)*(表成绩单[化学]&gt;表成绩单[[#This Row],[化学]]))+1)</f>
        <v>129</v>
      </c>
      <c r="U147" s="29" cm="1">
        <f t="array" ref="U147">IF(表成绩单[[#This Row],[政治]]="","",SUMPRODUCT((表成绩单[考试日期]=表成绩单[[#This Row],[考试日期]])*(表成绩单[政治]&lt;9E+307)*(表成绩单[政治]&gt;表成绩单[[#This Row],[政治]]))+1)</f>
        <v>418</v>
      </c>
      <c r="V147" s="29" cm="1">
        <f t="array" ref="V147">IF(表成绩单[[#This Row],[历史]]="","",SUMPRODUCT((表成绩单[考试日期]=表成绩单[[#This Row],[考试日期]])*(表成绩单[历史]&lt;9E+307)*(表成绩单[历史]&gt;表成绩单[[#This Row],[历史]]))+1)</f>
        <v>63</v>
      </c>
      <c r="W147" s="29" cm="1">
        <f t="array" ref="W147">IF(表成绩单[[#This Row],[总分]]="","",SUMPRODUCT((表成绩单[考试日期]=表成绩单[[#This Row],[考试日期]])*(表成绩单[总分]&lt;9E+307)*(表成绩单[总分]&gt;表成绩单[[#This Row],[总分]]))+1)</f>
        <v>143</v>
      </c>
    </row>
    <row r="148" ht="28" customHeight="1" spans="4:23">
      <c r="D148" s="31">
        <v>45975</v>
      </c>
      <c r="E148" s="29">
        <v>19173250</v>
      </c>
      <c r="F148" s="29" t="s">
        <v>61</v>
      </c>
      <c r="G148" s="29" t="s">
        <v>221</v>
      </c>
      <c r="H148" s="29">
        <v>100</v>
      </c>
      <c r="I148" s="29">
        <v>108</v>
      </c>
      <c r="J148" s="29">
        <v>84.5</v>
      </c>
      <c r="K148" s="29">
        <v>87</v>
      </c>
      <c r="L148" s="29">
        <v>76</v>
      </c>
      <c r="M148" s="29">
        <v>80</v>
      </c>
      <c r="N148" s="29">
        <v>79</v>
      </c>
      <c r="O148" s="32">
        <v>614.5</v>
      </c>
      <c r="P148" s="29" cm="1">
        <f t="array" ref="P148">IF(表成绩单[[#This Row],[语文]]="","",SUMPRODUCT((表成绩单[考试日期]=表成绩单[[#This Row],[考试日期]])*(表成绩单[语文]&lt;9E+307)*(表成绩单[语文]&gt;表成绩单[[#This Row],[语文]]))+1)</f>
        <v>223</v>
      </c>
      <c r="Q148" s="29" cm="1">
        <f t="array" ref="Q148">IF(表成绩单[[#This Row],[数学]]="","",SUMPRODUCT((表成绩单[考试日期]=表成绩单[[#This Row],[考试日期]])*(表成绩单[数学]&lt;9E+307)*(表成绩单[数学]&gt;表成绩单[[#This Row],[数学]]))+1)</f>
        <v>182</v>
      </c>
      <c r="R148" s="29" cm="1">
        <f t="array" ref="R148">IF(表成绩单[[#This Row],[英语]]="","",SUMPRODUCT((表成绩单[考试日期]=表成绩单[[#This Row],[考试日期]])*(表成绩单[英语]&lt;9E+307)*(表成绩单[英语]&gt;表成绩单[[#This Row],[英语]]))+1)</f>
        <v>85</v>
      </c>
      <c r="S148" s="29" cm="1">
        <f t="array" ref="S148">IF(表成绩单[[#This Row],[物理]]="","",SUMPRODUCT((表成绩单[考试日期]=表成绩单[[#This Row],[考试日期]])*(表成绩单[物理]&lt;9E+307)*(表成绩单[物理]&gt;表成绩单[[#This Row],[物理]]))+1)</f>
        <v>127</v>
      </c>
      <c r="T148" s="29" cm="1">
        <f t="array" ref="T148">IF(表成绩单[[#This Row],[化学]]="","",SUMPRODUCT((表成绩单[考试日期]=表成绩单[[#This Row],[考试日期]])*(表成绩单[化学]&lt;9E+307)*(表成绩单[化学]&gt;表成绩单[[#This Row],[化学]]))+1)</f>
        <v>268</v>
      </c>
      <c r="U148" s="29" cm="1">
        <f t="array" ref="U148">IF(表成绩单[[#This Row],[政治]]="","",SUMPRODUCT((表成绩单[考试日期]=表成绩单[[#This Row],[考试日期]])*(表成绩单[政治]&lt;9E+307)*(表成绩单[政治]&gt;表成绩单[[#This Row],[政治]]))+1)</f>
        <v>209</v>
      </c>
      <c r="V148" s="29" cm="1">
        <f t="array" ref="V148">IF(表成绩单[[#This Row],[历史]]="","",SUMPRODUCT((表成绩单[考试日期]=表成绩单[[#This Row],[考试日期]])*(表成绩单[历史]&lt;9E+307)*(表成绩单[历史]&gt;表成绩单[[#This Row],[历史]]))+1)</f>
        <v>144</v>
      </c>
      <c r="W148" s="29" cm="1">
        <f t="array" ref="W148">IF(表成绩单[[#This Row],[总分]]="","",SUMPRODUCT((表成绩单[考试日期]=表成绩单[[#This Row],[考试日期]])*(表成绩单[总分]&lt;9E+307)*(表成绩单[总分]&gt;表成绩单[[#This Row],[总分]]))+1)</f>
        <v>144</v>
      </c>
    </row>
    <row r="149" ht="28" customHeight="1" spans="4:23">
      <c r="D149" s="31">
        <v>45975</v>
      </c>
      <c r="E149" s="29">
        <v>19175419</v>
      </c>
      <c r="F149" s="29" t="s">
        <v>74</v>
      </c>
      <c r="G149" s="29" t="s">
        <v>222</v>
      </c>
      <c r="H149" s="29">
        <v>110</v>
      </c>
      <c r="I149" s="29">
        <v>104</v>
      </c>
      <c r="J149" s="29">
        <v>81.5</v>
      </c>
      <c r="K149" s="29">
        <v>88</v>
      </c>
      <c r="L149" s="29">
        <v>75</v>
      </c>
      <c r="M149" s="29">
        <v>78</v>
      </c>
      <c r="N149" s="29">
        <v>78</v>
      </c>
      <c r="O149" s="32">
        <v>614.5</v>
      </c>
      <c r="P149" s="29" cm="1">
        <f t="array" ref="P149">IF(表成绩单[[#This Row],[语文]]="","",SUMPRODUCT((表成绩单[考试日期]=表成绩单[[#This Row],[考试日期]])*(表成绩单[语文]&lt;9E+307)*(表成绩单[语文]&gt;表成绩单[[#This Row],[语文]]))+1)</f>
        <v>13</v>
      </c>
      <c r="Q149" s="29" cm="1">
        <f t="array" ref="Q149">IF(表成绩单[[#This Row],[数学]]="","",SUMPRODUCT((表成绩单[考试日期]=表成绩单[[#This Row],[考试日期]])*(表成绩单[数学]&lt;9E+307)*(表成绩单[数学]&gt;表成绩单[[#This Row],[数学]]))+1)</f>
        <v>260</v>
      </c>
      <c r="R149" s="29" cm="1">
        <f t="array" ref="R149">IF(表成绩单[[#This Row],[英语]]="","",SUMPRODUCT((表成绩单[考试日期]=表成绩单[[#This Row],[考试日期]])*(表成绩单[英语]&lt;9E+307)*(表成绩单[英语]&gt;表成绩单[[#This Row],[英语]]))+1)</f>
        <v>220</v>
      </c>
      <c r="S149" s="29" cm="1">
        <f t="array" ref="S149">IF(表成绩单[[#This Row],[物理]]="","",SUMPRODUCT((表成绩单[考试日期]=表成绩单[[#This Row],[考试日期]])*(表成绩单[物理]&lt;9E+307)*(表成绩单[物理]&gt;表成绩单[[#This Row],[物理]]))+1)</f>
        <v>54</v>
      </c>
      <c r="T149" s="29" cm="1">
        <f t="array" ref="T149">IF(表成绩单[[#This Row],[化学]]="","",SUMPRODUCT((表成绩单[考试日期]=表成绩单[[#This Row],[考试日期]])*(表成绩单[化学]&lt;9E+307)*(表成绩单[化学]&gt;表成绩单[[#This Row],[化学]]))+1)</f>
        <v>310</v>
      </c>
      <c r="U149" s="29" cm="1">
        <f t="array" ref="U149">IF(表成绩单[[#This Row],[政治]]="","",SUMPRODUCT((表成绩单[考试日期]=表成绩单[[#This Row],[考试日期]])*(表成绩单[政治]&lt;9E+307)*(表成绩单[政治]&gt;表成绩单[[#This Row],[政治]]))+1)</f>
        <v>272</v>
      </c>
      <c r="V149" s="29" cm="1">
        <f t="array" ref="V149">IF(表成绩单[[#This Row],[历史]]="","",SUMPRODUCT((表成绩单[考试日期]=表成绩单[[#This Row],[考试日期]])*(表成绩单[历史]&lt;9E+307)*(表成绩单[历史]&gt;表成绩单[[#This Row],[历史]]))+1)</f>
        <v>189</v>
      </c>
      <c r="W149" s="29" cm="1">
        <f t="array" ref="W149">IF(表成绩单[[#This Row],[总分]]="","",SUMPRODUCT((表成绩单[考试日期]=表成绩单[[#This Row],[考试日期]])*(表成绩单[总分]&lt;9E+307)*(表成绩单[总分]&gt;表成绩单[[#This Row],[总分]]))+1)</f>
        <v>144</v>
      </c>
    </row>
    <row r="150" ht="28" customHeight="1" spans="4:23">
      <c r="D150" s="31">
        <v>45975</v>
      </c>
      <c r="E150" s="29">
        <v>19175991</v>
      </c>
      <c r="F150" s="29" t="s">
        <v>59</v>
      </c>
      <c r="G150" s="29" t="s">
        <v>223</v>
      </c>
      <c r="H150" s="29">
        <v>103</v>
      </c>
      <c r="I150" s="29">
        <v>106</v>
      </c>
      <c r="J150" s="29">
        <v>79.5</v>
      </c>
      <c r="K150" s="29">
        <v>82</v>
      </c>
      <c r="L150" s="29">
        <v>78</v>
      </c>
      <c r="M150" s="29">
        <v>81</v>
      </c>
      <c r="N150" s="29">
        <v>85</v>
      </c>
      <c r="O150" s="32">
        <v>614.5</v>
      </c>
      <c r="P150" s="29" cm="1">
        <f t="array" ref="P150">IF(表成绩单[[#This Row],[语文]]="","",SUMPRODUCT((表成绩单[考试日期]=表成绩单[[#This Row],[考试日期]])*(表成绩单[语文]&lt;9E+307)*(表成绩单[语文]&gt;表成绩单[[#This Row],[语文]]))+1)</f>
        <v>126</v>
      </c>
      <c r="Q150" s="29" cm="1">
        <f t="array" ref="Q150">IF(表成绩单[[#This Row],[数学]]="","",SUMPRODUCT((表成绩单[考试日期]=表成绩单[[#This Row],[考试日期]])*(表成绩单[数学]&lt;9E+307)*(表成绩单[数学]&gt;表成绩单[[#This Row],[数学]]))+1)</f>
        <v>220</v>
      </c>
      <c r="R150" s="29" cm="1">
        <f t="array" ref="R150">IF(表成绩单[[#This Row],[英语]]="","",SUMPRODUCT((表成绩单[考试日期]=表成绩单[[#This Row],[考试日期]])*(表成绩单[英语]&lt;9E+307)*(表成绩单[英语]&gt;表成绩单[[#This Row],[英语]]))+1)</f>
        <v>279</v>
      </c>
      <c r="S150" s="29" cm="1">
        <f t="array" ref="S150">IF(表成绩单[[#This Row],[物理]]="","",SUMPRODUCT((表成绩单[考试日期]=表成绩单[[#This Row],[考试日期]])*(表成绩单[物理]&lt;9E+307)*(表成绩单[物理]&gt;表成绩单[[#This Row],[物理]]))+1)</f>
        <v>433</v>
      </c>
      <c r="T150" s="29" cm="1">
        <f t="array" ref="T150">IF(表成绩单[[#This Row],[化学]]="","",SUMPRODUCT((表成绩单[考试日期]=表成绩单[[#This Row],[考试日期]])*(表成绩单[化学]&lt;9E+307)*(表成绩单[化学]&gt;表成绩单[[#This Row],[化学]]))+1)</f>
        <v>200</v>
      </c>
      <c r="U150" s="29" cm="1">
        <f t="array" ref="U150">IF(表成绩单[[#This Row],[政治]]="","",SUMPRODUCT((表成绩单[考试日期]=表成绩单[[#This Row],[考试日期]])*(表成绩单[政治]&lt;9E+307)*(表成绩单[政治]&gt;表成绩单[[#This Row],[政治]]))+1)</f>
        <v>180</v>
      </c>
      <c r="V150" s="29" cm="1">
        <f t="array" ref="V150">IF(表成绩单[[#This Row],[历史]]="","",SUMPRODUCT((表成绩单[考试日期]=表成绩单[[#This Row],[考试日期]])*(表成绩单[历史]&lt;9E+307)*(表成绩单[历史]&gt;表成绩单[[#This Row],[历史]]))+1)</f>
        <v>3</v>
      </c>
      <c r="W150" s="29" cm="1">
        <f t="array" ref="W150">IF(表成绩单[[#This Row],[总分]]="","",SUMPRODUCT((表成绩单[考试日期]=表成绩单[[#This Row],[考试日期]])*(表成绩单[总分]&lt;9E+307)*(表成绩单[总分]&gt;表成绩单[[#This Row],[总分]]))+1)</f>
        <v>144</v>
      </c>
    </row>
    <row r="151" ht="28" customHeight="1" spans="4:23">
      <c r="D151" s="31">
        <v>45975</v>
      </c>
      <c r="E151" s="29">
        <v>19175382</v>
      </c>
      <c r="F151" s="29" t="s">
        <v>74</v>
      </c>
      <c r="G151" s="29" t="s">
        <v>224</v>
      </c>
      <c r="H151" s="29">
        <v>98</v>
      </c>
      <c r="I151" s="29">
        <v>117</v>
      </c>
      <c r="J151" s="29">
        <v>79</v>
      </c>
      <c r="K151" s="29">
        <v>87</v>
      </c>
      <c r="L151" s="29">
        <v>80</v>
      </c>
      <c r="M151" s="29">
        <v>73</v>
      </c>
      <c r="N151" s="29">
        <v>80</v>
      </c>
      <c r="O151" s="32">
        <v>614</v>
      </c>
      <c r="P151" s="29" cm="1">
        <f t="array" ref="P151">IF(表成绩单[[#This Row],[语文]]="","",SUMPRODUCT((表成绩单[考试日期]=表成绩单[[#This Row],[考试日期]])*(表成绩单[语文]&lt;9E+307)*(表成绩单[语文]&gt;表成绩单[[#This Row],[语文]]))+1)</f>
        <v>305</v>
      </c>
      <c r="Q151" s="29" cm="1">
        <f t="array" ref="Q151">IF(表成绩单[[#This Row],[数学]]="","",SUMPRODUCT((表成绩单[考试日期]=表成绩单[[#This Row],[考试日期]])*(表成绩单[数学]&lt;9E+307)*(表成绩单[数学]&gt;表成绩单[[#This Row],[数学]]))+1)</f>
        <v>37</v>
      </c>
      <c r="R151" s="29" cm="1">
        <f t="array" ref="R151">IF(表成绩单[[#This Row],[英语]]="","",SUMPRODUCT((表成绩单[考试日期]=表成绩单[[#This Row],[考试日期]])*(表成绩单[英语]&lt;9E+307)*(表成绩单[英语]&gt;表成绩单[[#This Row],[英语]]))+1)</f>
        <v>292</v>
      </c>
      <c r="S151" s="29" cm="1">
        <f t="array" ref="S151">IF(表成绩单[[#This Row],[物理]]="","",SUMPRODUCT((表成绩单[考试日期]=表成绩单[[#This Row],[考试日期]])*(表成绩单[物理]&lt;9E+307)*(表成绩单[物理]&gt;表成绩单[[#This Row],[物理]]))+1)</f>
        <v>127</v>
      </c>
      <c r="T151" s="29" cm="1">
        <f t="array" ref="T151">IF(表成绩单[[#This Row],[化学]]="","",SUMPRODUCT((表成绩单[考试日期]=表成绩单[[#This Row],[考试日期]])*(表成绩单[化学]&lt;9E+307)*(表成绩单[化学]&gt;表成绩单[[#This Row],[化学]]))+1)</f>
        <v>129</v>
      </c>
      <c r="U151" s="29" cm="1">
        <f t="array" ref="U151">IF(表成绩单[[#This Row],[政治]]="","",SUMPRODUCT((表成绩单[考试日期]=表成绩单[[#This Row],[考试日期]])*(表成绩单[政治]&lt;9E+307)*(表成绩单[政治]&gt;表成绩单[[#This Row],[政治]]))+1)</f>
        <v>418</v>
      </c>
      <c r="V151" s="29" cm="1">
        <f t="array" ref="V151">IF(表成绩单[[#This Row],[历史]]="","",SUMPRODUCT((表成绩单[考试日期]=表成绩单[[#This Row],[考试日期]])*(表成绩单[历史]&lt;9E+307)*(表成绩单[历史]&gt;表成绩单[[#This Row],[历史]]))+1)</f>
        <v>108</v>
      </c>
      <c r="W151" s="29" cm="1">
        <f t="array" ref="W151">IF(表成绩单[[#This Row],[总分]]="","",SUMPRODUCT((表成绩单[考试日期]=表成绩单[[#This Row],[考试日期]])*(表成绩单[总分]&lt;9E+307)*(表成绩单[总分]&gt;表成绩单[[#This Row],[总分]]))+1)</f>
        <v>147</v>
      </c>
    </row>
    <row r="152" ht="28" customHeight="1" spans="4:23">
      <c r="D152" s="31">
        <v>45975</v>
      </c>
      <c r="E152" s="29">
        <v>19175654</v>
      </c>
      <c r="F152" s="29" t="s">
        <v>66</v>
      </c>
      <c r="G152" s="29" t="s">
        <v>225</v>
      </c>
      <c r="H152" s="29">
        <v>97</v>
      </c>
      <c r="I152" s="29">
        <v>112</v>
      </c>
      <c r="J152" s="29">
        <v>87</v>
      </c>
      <c r="K152" s="29">
        <v>87</v>
      </c>
      <c r="L152" s="29">
        <v>77</v>
      </c>
      <c r="M152" s="29">
        <v>76</v>
      </c>
      <c r="N152" s="29">
        <v>78</v>
      </c>
      <c r="O152" s="32">
        <v>614</v>
      </c>
      <c r="P152" s="29" cm="1">
        <f t="array" ref="P152">IF(表成绩单[[#This Row],[语文]]="","",SUMPRODUCT((表成绩单[考试日期]=表成绩单[[#This Row],[考试日期]])*(表成绩单[语文]&lt;9E+307)*(表成绩单[语文]&gt;表成绩单[[#This Row],[语文]]))+1)</f>
        <v>349</v>
      </c>
      <c r="Q152" s="29" cm="1">
        <f t="array" ref="Q152">IF(表成绩单[[#This Row],[数学]]="","",SUMPRODUCT((表成绩单[考试日期]=表成绩单[[#This Row],[考试日期]])*(表成绩单[数学]&lt;9E+307)*(表成绩单[数学]&gt;表成绩单[[#This Row],[数学]]))+1)</f>
        <v>112</v>
      </c>
      <c r="R152" s="29" cm="1">
        <f t="array" ref="R152">IF(表成绩单[[#This Row],[英语]]="","",SUMPRODUCT((表成绩单[考试日期]=表成绩单[[#This Row],[考试日期]])*(表成绩单[英语]&lt;9E+307)*(表成绩单[英语]&gt;表成绩单[[#This Row],[英语]]))+1)</f>
        <v>20</v>
      </c>
      <c r="S152" s="29" cm="1">
        <f t="array" ref="S152">IF(表成绩单[[#This Row],[物理]]="","",SUMPRODUCT((表成绩单[考试日期]=表成绩单[[#This Row],[考试日期]])*(表成绩单[物理]&lt;9E+307)*(表成绩单[物理]&gt;表成绩单[[#This Row],[物理]]))+1)</f>
        <v>127</v>
      </c>
      <c r="T152" s="29" cm="1">
        <f t="array" ref="T152">IF(表成绩单[[#This Row],[化学]]="","",SUMPRODUCT((表成绩单[考试日期]=表成绩单[[#This Row],[考试日期]])*(表成绩单[化学]&lt;9E+307)*(表成绩单[化学]&gt;表成绩单[[#This Row],[化学]]))+1)</f>
        <v>239</v>
      </c>
      <c r="U152" s="29" cm="1">
        <f t="array" ref="U152">IF(表成绩单[[#This Row],[政治]]="","",SUMPRODUCT((表成绩单[考试日期]=表成绩单[[#This Row],[考试日期]])*(表成绩单[政治]&lt;9E+307)*(表成绩单[政治]&gt;表成绩单[[#This Row],[政治]]))+1)</f>
        <v>329</v>
      </c>
      <c r="V152" s="29" cm="1">
        <f t="array" ref="V152">IF(表成绩单[[#This Row],[历史]]="","",SUMPRODUCT((表成绩单[考试日期]=表成绩单[[#This Row],[考试日期]])*(表成绩单[历史]&lt;9E+307)*(表成绩单[历史]&gt;表成绩单[[#This Row],[历史]]))+1)</f>
        <v>189</v>
      </c>
      <c r="W152" s="29" cm="1">
        <f t="array" ref="W152">IF(表成绩单[[#This Row],[总分]]="","",SUMPRODUCT((表成绩单[考试日期]=表成绩单[[#This Row],[考试日期]])*(表成绩单[总分]&lt;9E+307)*(表成绩单[总分]&gt;表成绩单[[#This Row],[总分]]))+1)</f>
        <v>147</v>
      </c>
    </row>
    <row r="153" ht="28" customHeight="1" spans="4:23">
      <c r="D153" s="31">
        <v>45975</v>
      </c>
      <c r="E153" s="29">
        <v>19175675</v>
      </c>
      <c r="F153" s="29" t="s">
        <v>72</v>
      </c>
      <c r="G153" s="29" t="s">
        <v>226</v>
      </c>
      <c r="H153" s="29">
        <v>103</v>
      </c>
      <c r="I153" s="29">
        <v>108</v>
      </c>
      <c r="J153" s="29">
        <v>82.5</v>
      </c>
      <c r="K153" s="29">
        <v>88</v>
      </c>
      <c r="L153" s="29">
        <v>79</v>
      </c>
      <c r="M153" s="29">
        <v>73</v>
      </c>
      <c r="N153" s="29">
        <v>80</v>
      </c>
      <c r="O153" s="32">
        <v>613.5</v>
      </c>
      <c r="P153" s="29" cm="1">
        <f t="array" ref="P153">IF(表成绩单[[#This Row],[语文]]="","",SUMPRODUCT((表成绩单[考试日期]=表成绩单[[#This Row],[考试日期]])*(表成绩单[语文]&lt;9E+307)*(表成绩单[语文]&gt;表成绩单[[#This Row],[语文]]))+1)</f>
        <v>126</v>
      </c>
      <c r="Q153" s="29" cm="1">
        <f t="array" ref="Q153">IF(表成绩单[[#This Row],[数学]]="","",SUMPRODUCT((表成绩单[考试日期]=表成绩单[[#This Row],[考试日期]])*(表成绩单[数学]&lt;9E+307)*(表成绩单[数学]&gt;表成绩单[[#This Row],[数学]]))+1)</f>
        <v>182</v>
      </c>
      <c r="R153" s="29" cm="1">
        <f t="array" ref="R153">IF(表成绩单[[#This Row],[英语]]="","",SUMPRODUCT((表成绩单[考试日期]=表成绩单[[#This Row],[考试日期]])*(表成绩单[英语]&lt;9E+307)*(表成绩单[英语]&gt;表成绩单[[#This Row],[英语]]))+1)</f>
        <v>170</v>
      </c>
      <c r="S153" s="29" cm="1">
        <f t="array" ref="S153">IF(表成绩单[[#This Row],[物理]]="","",SUMPRODUCT((表成绩单[考试日期]=表成绩单[[#This Row],[考试日期]])*(表成绩单[物理]&lt;9E+307)*(表成绩单[物理]&gt;表成绩单[[#This Row],[物理]]))+1)</f>
        <v>54</v>
      </c>
      <c r="T153" s="29" cm="1">
        <f t="array" ref="T153">IF(表成绩单[[#This Row],[化学]]="","",SUMPRODUCT((表成绩单[考试日期]=表成绩单[[#This Row],[考试日期]])*(表成绩单[化学]&lt;9E+307)*(表成绩单[化学]&gt;表成绩单[[#This Row],[化学]]))+1)</f>
        <v>166</v>
      </c>
      <c r="U153" s="29" cm="1">
        <f t="array" ref="U153">IF(表成绩单[[#This Row],[政治]]="","",SUMPRODUCT((表成绩单[考试日期]=表成绩单[[#This Row],[考试日期]])*(表成绩单[政治]&lt;9E+307)*(表成绩单[政治]&gt;表成绩单[[#This Row],[政治]]))+1)</f>
        <v>418</v>
      </c>
      <c r="V153" s="29" cm="1">
        <f t="array" ref="V153">IF(表成绩单[[#This Row],[历史]]="","",SUMPRODUCT((表成绩单[考试日期]=表成绩单[[#This Row],[考试日期]])*(表成绩单[历史]&lt;9E+307)*(表成绩单[历史]&gt;表成绩单[[#This Row],[历史]]))+1)</f>
        <v>108</v>
      </c>
      <c r="W153" s="29" cm="1">
        <f t="array" ref="W153">IF(表成绩单[[#This Row],[总分]]="","",SUMPRODUCT((表成绩单[考试日期]=表成绩单[[#This Row],[考试日期]])*(表成绩单[总分]&lt;9E+307)*(表成绩单[总分]&gt;表成绩单[[#This Row],[总分]]))+1)</f>
        <v>149</v>
      </c>
    </row>
    <row r="154" ht="28" customHeight="1" spans="4:23">
      <c r="D154" s="31">
        <v>45975</v>
      </c>
      <c r="E154" s="29">
        <v>19176165</v>
      </c>
      <c r="F154" s="29" t="s">
        <v>67</v>
      </c>
      <c r="G154" s="29" t="s">
        <v>227</v>
      </c>
      <c r="H154" s="29">
        <v>101</v>
      </c>
      <c r="I154" s="29">
        <v>111</v>
      </c>
      <c r="J154" s="29">
        <v>73.5</v>
      </c>
      <c r="K154" s="29">
        <v>88</v>
      </c>
      <c r="L154" s="29">
        <v>75</v>
      </c>
      <c r="M154" s="29">
        <v>84</v>
      </c>
      <c r="N154" s="29">
        <v>81</v>
      </c>
      <c r="O154" s="32">
        <v>613.5</v>
      </c>
      <c r="P154" s="29" cm="1">
        <f t="array" ref="P154">IF(表成绩单[[#This Row],[语文]]="","",SUMPRODUCT((表成绩单[考试日期]=表成绩单[[#This Row],[考试日期]])*(表成绩单[语文]&lt;9E+307)*(表成绩单[语文]&gt;表成绩单[[#This Row],[语文]]))+1)</f>
        <v>190</v>
      </c>
      <c r="Q154" s="29" cm="1">
        <f t="array" ref="Q154">IF(表成绩单[[#This Row],[数学]]="","",SUMPRODUCT((表成绩单[考试日期]=表成绩单[[#This Row],[考试日期]])*(表成绩单[数学]&lt;9E+307)*(表成绩单[数学]&gt;表成绩单[[#This Row],[数学]]))+1)</f>
        <v>134</v>
      </c>
      <c r="R154" s="29" cm="1">
        <f t="array" ref="R154">IF(表成绩单[[#This Row],[英语]]="","",SUMPRODUCT((表成绩单[考试日期]=表成绩单[[#This Row],[考试日期]])*(表成绩单[英语]&lt;9E+307)*(表成绩单[英语]&gt;表成绩单[[#This Row],[英语]]))+1)</f>
        <v>470</v>
      </c>
      <c r="S154" s="29" cm="1">
        <f t="array" ref="S154">IF(表成绩单[[#This Row],[物理]]="","",SUMPRODUCT((表成绩单[考试日期]=表成绩单[[#This Row],[考试日期]])*(表成绩单[物理]&lt;9E+307)*(表成绩单[物理]&gt;表成绩单[[#This Row],[物理]]))+1)</f>
        <v>54</v>
      </c>
      <c r="T154" s="29" cm="1">
        <f t="array" ref="T154">IF(表成绩单[[#This Row],[化学]]="","",SUMPRODUCT((表成绩单[考试日期]=表成绩单[[#This Row],[考试日期]])*(表成绩单[化学]&lt;9E+307)*(表成绩单[化学]&gt;表成绩单[[#This Row],[化学]]))+1)</f>
        <v>310</v>
      </c>
      <c r="U154" s="29" cm="1">
        <f t="array" ref="U154">IF(表成绩单[[#This Row],[政治]]="","",SUMPRODUCT((表成绩单[考试日期]=表成绩单[[#This Row],[考试日期]])*(表成绩单[政治]&lt;9E+307)*(表成绩单[政治]&gt;表成绩单[[#This Row],[政治]]))+1)</f>
        <v>83</v>
      </c>
      <c r="V154" s="29" cm="1">
        <f t="array" ref="V154">IF(表成绩单[[#This Row],[历史]]="","",SUMPRODUCT((表成绩单[考试日期]=表成绩单[[#This Row],[考试日期]])*(表成绩单[历史]&lt;9E+307)*(表成绩单[历史]&gt;表成绩单[[#This Row],[历史]]))+1)</f>
        <v>63</v>
      </c>
      <c r="W154" s="29" cm="1">
        <f t="array" ref="W154">IF(表成绩单[[#This Row],[总分]]="","",SUMPRODUCT((表成绩单[考试日期]=表成绩单[[#This Row],[考试日期]])*(表成绩单[总分]&lt;9E+307)*(表成绩单[总分]&gt;表成绩单[[#This Row],[总分]]))+1)</f>
        <v>149</v>
      </c>
    </row>
    <row r="155" ht="28" customHeight="1" spans="4:23">
      <c r="D155" s="31">
        <v>45975</v>
      </c>
      <c r="E155" s="29">
        <v>19177226</v>
      </c>
      <c r="F155" s="29" t="s">
        <v>70</v>
      </c>
      <c r="G155" s="29" t="s">
        <v>228</v>
      </c>
      <c r="H155" s="29">
        <v>105</v>
      </c>
      <c r="I155" s="29">
        <v>101</v>
      </c>
      <c r="J155" s="29">
        <v>77.5</v>
      </c>
      <c r="K155" s="29">
        <v>87</v>
      </c>
      <c r="L155" s="29">
        <v>80</v>
      </c>
      <c r="M155" s="29">
        <v>84</v>
      </c>
      <c r="N155" s="29">
        <v>79</v>
      </c>
      <c r="O155" s="32">
        <v>613.5</v>
      </c>
      <c r="P155" s="29" cm="1">
        <f t="array" ref="P155">IF(表成绩单[[#This Row],[语文]]="","",SUMPRODUCT((表成绩单[考试日期]=表成绩单[[#This Row],[考试日期]])*(表成绩单[语文]&lt;9E+307)*(表成绩单[语文]&gt;表成绩单[[#This Row],[语文]]))+1)</f>
        <v>80</v>
      </c>
      <c r="Q155" s="29" cm="1">
        <f t="array" ref="Q155">IF(表成绩单[[#This Row],[数学]]="","",SUMPRODUCT((表成绩单[考试日期]=表成绩单[[#This Row],[考试日期]])*(表成绩单[数学]&lt;9E+307)*(表成绩单[数学]&gt;表成绩单[[#This Row],[数学]]))+1)</f>
        <v>319</v>
      </c>
      <c r="R155" s="29" cm="1">
        <f t="array" ref="R155">IF(表成绩单[[#This Row],[英语]]="","",SUMPRODUCT((表成绩单[考试日期]=表成绩单[[#This Row],[考试日期]])*(表成绩单[英语]&lt;9E+307)*(表成绩单[英语]&gt;表成绩单[[#This Row],[英语]]))+1)</f>
        <v>345</v>
      </c>
      <c r="S155" s="29" cm="1">
        <f t="array" ref="S155">IF(表成绩单[[#This Row],[物理]]="","",SUMPRODUCT((表成绩单[考试日期]=表成绩单[[#This Row],[考试日期]])*(表成绩单[物理]&lt;9E+307)*(表成绩单[物理]&gt;表成绩单[[#This Row],[物理]]))+1)</f>
        <v>127</v>
      </c>
      <c r="T155" s="29" cm="1">
        <f t="array" ref="T155">IF(表成绩单[[#This Row],[化学]]="","",SUMPRODUCT((表成绩单[考试日期]=表成绩单[[#This Row],[考试日期]])*(表成绩单[化学]&lt;9E+307)*(表成绩单[化学]&gt;表成绩单[[#This Row],[化学]]))+1)</f>
        <v>129</v>
      </c>
      <c r="U155" s="29" cm="1">
        <f t="array" ref="U155">IF(表成绩单[[#This Row],[政治]]="","",SUMPRODUCT((表成绩单[考试日期]=表成绩单[[#This Row],[考试日期]])*(表成绩单[政治]&lt;9E+307)*(表成绩单[政治]&gt;表成绩单[[#This Row],[政治]]))+1)</f>
        <v>83</v>
      </c>
      <c r="V155" s="29" cm="1">
        <f t="array" ref="V155">IF(表成绩单[[#This Row],[历史]]="","",SUMPRODUCT((表成绩单[考试日期]=表成绩单[[#This Row],[考试日期]])*(表成绩单[历史]&lt;9E+307)*(表成绩单[历史]&gt;表成绩单[[#This Row],[历史]]))+1)</f>
        <v>144</v>
      </c>
      <c r="W155" s="29" cm="1">
        <f t="array" ref="W155">IF(表成绩单[[#This Row],[总分]]="","",SUMPRODUCT((表成绩单[考试日期]=表成绩单[[#This Row],[考试日期]])*(表成绩单[总分]&lt;9E+307)*(表成绩单[总分]&gt;表成绩单[[#This Row],[总分]]))+1)</f>
        <v>149</v>
      </c>
    </row>
    <row r="156" ht="28" customHeight="1" spans="4:23">
      <c r="D156" s="31">
        <v>45975</v>
      </c>
      <c r="E156" s="29">
        <v>19167646</v>
      </c>
      <c r="F156" s="29" t="s">
        <v>1</v>
      </c>
      <c r="G156" s="29" t="s">
        <v>229</v>
      </c>
      <c r="H156" s="29">
        <v>102</v>
      </c>
      <c r="I156" s="29">
        <v>105</v>
      </c>
      <c r="J156" s="29">
        <v>84</v>
      </c>
      <c r="K156" s="29">
        <v>84</v>
      </c>
      <c r="L156" s="29">
        <v>82</v>
      </c>
      <c r="M156" s="29">
        <v>81</v>
      </c>
      <c r="N156" s="29">
        <v>75</v>
      </c>
      <c r="O156" s="32">
        <v>613</v>
      </c>
      <c r="P156" s="29" cm="1">
        <f t="array" ref="P156">IF(表成绩单[[#This Row],[语文]]="","",SUMPRODUCT((表成绩单[考试日期]=表成绩单[[#This Row],[考试日期]])*(表成绩单[语文]&lt;9E+307)*(表成绩单[语文]&gt;表成绩单[[#This Row],[语文]]))+1)</f>
        <v>154</v>
      </c>
      <c r="Q156" s="29" cm="1">
        <f t="array" ref="Q156">IF(表成绩单[[#This Row],[数学]]="","",SUMPRODUCT((表成绩单[考试日期]=表成绩单[[#This Row],[考试日期]])*(表成绩单[数学]&lt;9E+307)*(表成绩单[数学]&gt;表成绩单[[#This Row],[数学]]))+1)</f>
        <v>245</v>
      </c>
      <c r="R156" s="29" cm="1">
        <f t="array" ref="R156">IF(表成绩单[[#This Row],[英语]]="","",SUMPRODUCT((表成绩单[考试日期]=表成绩单[[#This Row],[考试日期]])*(表成绩单[英语]&lt;9E+307)*(表成绩单[英语]&gt;表成绩单[[#This Row],[英语]]))+1)</f>
        <v>102</v>
      </c>
      <c r="S156" s="29" cm="1">
        <f t="array" ref="S156">IF(表成绩单[[#This Row],[物理]]="","",SUMPRODUCT((表成绩单[考试日期]=表成绩单[[#This Row],[考试日期]])*(表成绩单[物理]&lt;9E+307)*(表成绩单[物理]&gt;表成绩单[[#This Row],[物理]]))+1)</f>
        <v>344</v>
      </c>
      <c r="T156" s="29" cm="1">
        <f t="array" ref="T156">IF(表成绩单[[#This Row],[化学]]="","",SUMPRODUCT((表成绩单[考试日期]=表成绩单[[#This Row],[考试日期]])*(表成绩单[化学]&lt;9E+307)*(表成绩单[化学]&gt;表成绩单[[#This Row],[化学]]))+1)</f>
        <v>71</v>
      </c>
      <c r="U156" s="29" cm="1">
        <f t="array" ref="U156">IF(表成绩单[[#This Row],[政治]]="","",SUMPRODUCT((表成绩单[考试日期]=表成绩单[[#This Row],[考试日期]])*(表成绩单[政治]&lt;9E+307)*(表成绩单[政治]&gt;表成绩单[[#This Row],[政治]]))+1)</f>
        <v>180</v>
      </c>
      <c r="V156" s="29" cm="1">
        <f t="array" ref="V156">IF(表成绩单[[#This Row],[历史]]="","",SUMPRODUCT((表成绩单[考试日期]=表成绩单[[#This Row],[考试日期]])*(表成绩单[历史]&lt;9E+307)*(表成绩单[历史]&gt;表成绩单[[#This Row],[历史]]))+1)</f>
        <v>315</v>
      </c>
      <c r="W156" s="29" cm="1">
        <f t="array" ref="W156">IF(表成绩单[[#This Row],[总分]]="","",SUMPRODUCT((表成绩单[考试日期]=表成绩单[[#This Row],[考试日期]])*(表成绩单[总分]&lt;9E+307)*(表成绩单[总分]&gt;表成绩单[[#This Row],[总分]]))+1)</f>
        <v>152</v>
      </c>
    </row>
    <row r="157" ht="28" customHeight="1" spans="4:23">
      <c r="D157" s="31">
        <v>45975</v>
      </c>
      <c r="E157" s="29">
        <v>19175708</v>
      </c>
      <c r="F157" s="29" t="s">
        <v>72</v>
      </c>
      <c r="G157" s="29" t="s">
        <v>230</v>
      </c>
      <c r="H157" s="29">
        <v>98</v>
      </c>
      <c r="I157" s="29">
        <v>118</v>
      </c>
      <c r="J157" s="29">
        <v>79</v>
      </c>
      <c r="K157" s="29">
        <v>88</v>
      </c>
      <c r="L157" s="29">
        <v>72</v>
      </c>
      <c r="M157" s="29">
        <v>84</v>
      </c>
      <c r="N157" s="29">
        <v>74</v>
      </c>
      <c r="O157" s="32">
        <v>613</v>
      </c>
      <c r="P157" s="29" cm="1">
        <f t="array" ref="P157">IF(表成绩单[[#This Row],[语文]]="","",SUMPRODUCT((表成绩单[考试日期]=表成绩单[[#This Row],[考试日期]])*(表成绩单[语文]&lt;9E+307)*(表成绩单[语文]&gt;表成绩单[[#This Row],[语文]]))+1)</f>
        <v>305</v>
      </c>
      <c r="Q157" s="29" cm="1">
        <f t="array" ref="Q157">IF(表成绩单[[#This Row],[数学]]="","",SUMPRODUCT((表成绩单[考试日期]=表成绩单[[#This Row],[考试日期]])*(表成绩单[数学]&lt;9E+307)*(表成绩单[数学]&gt;表成绩单[[#This Row],[数学]]))+1)</f>
        <v>22</v>
      </c>
      <c r="R157" s="29" cm="1">
        <f t="array" ref="R157">IF(表成绩单[[#This Row],[英语]]="","",SUMPRODUCT((表成绩单[考试日期]=表成绩单[[#This Row],[考试日期]])*(表成绩单[英语]&lt;9E+307)*(表成绩单[英语]&gt;表成绩单[[#This Row],[英语]]))+1)</f>
        <v>292</v>
      </c>
      <c r="S157" s="29" cm="1">
        <f t="array" ref="S157">IF(表成绩单[[#This Row],[物理]]="","",SUMPRODUCT((表成绩单[考试日期]=表成绩单[[#This Row],[考试日期]])*(表成绩单[物理]&lt;9E+307)*(表成绩单[物理]&gt;表成绩单[[#This Row],[物理]]))+1)</f>
        <v>54</v>
      </c>
      <c r="T157" s="29" cm="1">
        <f t="array" ref="T157">IF(表成绩单[[#This Row],[化学]]="","",SUMPRODUCT((表成绩单[考试日期]=表成绩单[[#This Row],[考试日期]])*(表成绩单[化学]&lt;9E+307)*(表成绩单[化学]&gt;表成绩单[[#This Row],[化学]]))+1)</f>
        <v>405</v>
      </c>
      <c r="U157" s="29" cm="1">
        <f t="array" ref="U157">IF(表成绩单[[#This Row],[政治]]="","",SUMPRODUCT((表成绩单[考试日期]=表成绩单[[#This Row],[考试日期]])*(表成绩单[政治]&lt;9E+307)*(表成绩单[政治]&gt;表成绩单[[#This Row],[政治]]))+1)</f>
        <v>83</v>
      </c>
      <c r="V157" s="29" cm="1">
        <f t="array" ref="V157">IF(表成绩单[[#This Row],[历史]]="","",SUMPRODUCT((表成绩单[考试日期]=表成绩单[[#This Row],[考试日期]])*(表成绩单[历史]&lt;9E+307)*(表成绩单[历史]&gt;表成绩单[[#This Row],[历史]]))+1)</f>
        <v>358</v>
      </c>
      <c r="W157" s="29" cm="1">
        <f t="array" ref="W157">IF(表成绩单[[#This Row],[总分]]="","",SUMPRODUCT((表成绩单[考试日期]=表成绩单[[#This Row],[考试日期]])*(表成绩单[总分]&lt;9E+307)*(表成绩单[总分]&gt;表成绩单[[#This Row],[总分]]))+1)</f>
        <v>152</v>
      </c>
    </row>
    <row r="158" ht="28" customHeight="1" spans="4:23">
      <c r="D158" s="31">
        <v>45975</v>
      </c>
      <c r="E158" s="29">
        <v>19176895</v>
      </c>
      <c r="F158" s="29" t="s">
        <v>71</v>
      </c>
      <c r="G158" s="29" t="s">
        <v>231</v>
      </c>
      <c r="H158" s="29">
        <v>100</v>
      </c>
      <c r="I158" s="29">
        <v>113</v>
      </c>
      <c r="J158" s="29">
        <v>79</v>
      </c>
      <c r="K158" s="29">
        <v>86</v>
      </c>
      <c r="L158" s="29">
        <v>83</v>
      </c>
      <c r="M158" s="29">
        <v>81</v>
      </c>
      <c r="N158" s="29">
        <v>71</v>
      </c>
      <c r="O158" s="32">
        <v>613</v>
      </c>
      <c r="P158" s="29" cm="1">
        <f t="array" ref="P158">IF(表成绩单[[#This Row],[语文]]="","",SUMPRODUCT((表成绩单[考试日期]=表成绩单[[#This Row],[考试日期]])*(表成绩单[语文]&lt;9E+307)*(表成绩单[语文]&gt;表成绩单[[#This Row],[语文]]))+1)</f>
        <v>223</v>
      </c>
      <c r="Q158" s="29" cm="1">
        <f t="array" ref="Q158">IF(表成绩单[[#This Row],[数学]]="","",SUMPRODUCT((表成绩单[考试日期]=表成绩单[[#This Row],[考试日期]])*(表成绩单[数学]&lt;9E+307)*(表成绩单[数学]&gt;表成绩单[[#This Row],[数学]]))+1)</f>
        <v>93</v>
      </c>
      <c r="R158" s="29" cm="1">
        <f t="array" ref="R158">IF(表成绩单[[#This Row],[英语]]="","",SUMPRODUCT((表成绩单[考试日期]=表成绩单[[#This Row],[考试日期]])*(表成绩单[英语]&lt;9E+307)*(表成绩单[英语]&gt;表成绩单[[#This Row],[英语]]))+1)</f>
        <v>292</v>
      </c>
      <c r="S158" s="29" cm="1">
        <f t="array" ref="S158">IF(表成绩单[[#This Row],[物理]]="","",SUMPRODUCT((表成绩单[考试日期]=表成绩单[[#This Row],[考试日期]])*(表成绩单[物理]&lt;9E+307)*(表成绩单[物理]&gt;表成绩单[[#This Row],[物理]]))+1)</f>
        <v>187</v>
      </c>
      <c r="T158" s="29" cm="1">
        <f t="array" ref="T158">IF(表成绩单[[#This Row],[化学]]="","",SUMPRODUCT((表成绩单[考试日期]=表成绩单[[#This Row],[考试日期]])*(表成绩单[化学]&lt;9E+307)*(表成绩单[化学]&gt;表成绩单[[#This Row],[化学]]))+1)</f>
        <v>49</v>
      </c>
      <c r="U158" s="29" cm="1">
        <f t="array" ref="U158">IF(表成绩单[[#This Row],[政治]]="","",SUMPRODUCT((表成绩单[考试日期]=表成绩单[[#This Row],[考试日期]])*(表成绩单[政治]&lt;9E+307)*(表成绩单[政治]&gt;表成绩单[[#This Row],[政治]]))+1)</f>
        <v>180</v>
      </c>
      <c r="V158" s="29" cm="1">
        <f t="array" ref="V158">IF(表成绩单[[#This Row],[历史]]="","",SUMPRODUCT((表成绩单[考试日期]=表成绩单[[#This Row],[考试日期]])*(表成绩单[历史]&lt;9E+307)*(表成绩单[历史]&gt;表成绩单[[#This Row],[历史]]))+1)</f>
        <v>480</v>
      </c>
      <c r="W158" s="29" cm="1">
        <f t="array" ref="W158">IF(表成绩单[[#This Row],[总分]]="","",SUMPRODUCT((表成绩单[考试日期]=表成绩单[[#This Row],[考试日期]])*(表成绩单[总分]&lt;9E+307)*(表成绩单[总分]&gt;表成绩单[[#This Row],[总分]]))+1)</f>
        <v>152</v>
      </c>
    </row>
    <row r="159" ht="28" customHeight="1" spans="4:23">
      <c r="D159" s="31">
        <v>45975</v>
      </c>
      <c r="E159" s="29">
        <v>19177642</v>
      </c>
      <c r="F159" s="29" t="s">
        <v>63</v>
      </c>
      <c r="G159" s="29" t="s">
        <v>232</v>
      </c>
      <c r="H159" s="29">
        <v>105</v>
      </c>
      <c r="I159" s="29">
        <v>108</v>
      </c>
      <c r="J159" s="29">
        <v>73</v>
      </c>
      <c r="K159" s="29">
        <v>87</v>
      </c>
      <c r="L159" s="29">
        <v>83</v>
      </c>
      <c r="M159" s="29">
        <v>80</v>
      </c>
      <c r="N159" s="29">
        <v>77</v>
      </c>
      <c r="O159" s="32">
        <v>613</v>
      </c>
      <c r="P159" s="29" cm="1">
        <f t="array" ref="P159">IF(表成绩单[[#This Row],[语文]]="","",SUMPRODUCT((表成绩单[考试日期]=表成绩单[[#This Row],[考试日期]])*(表成绩单[语文]&lt;9E+307)*(表成绩单[语文]&gt;表成绩单[[#This Row],[语文]]))+1)</f>
        <v>80</v>
      </c>
      <c r="Q159" s="29" cm="1">
        <f t="array" ref="Q159">IF(表成绩单[[#This Row],[数学]]="","",SUMPRODUCT((表成绩单[考试日期]=表成绩单[[#This Row],[考试日期]])*(表成绩单[数学]&lt;9E+307)*(表成绩单[数学]&gt;表成绩单[[#This Row],[数学]]))+1)</f>
        <v>182</v>
      </c>
      <c r="R159" s="29" cm="1">
        <f t="array" ref="R159">IF(表成绩单[[#This Row],[英语]]="","",SUMPRODUCT((表成绩单[考试日期]=表成绩单[[#This Row],[考试日期]])*(表成绩单[英语]&lt;9E+307)*(表成绩单[英语]&gt;表成绩单[[#This Row],[英语]]))+1)</f>
        <v>485</v>
      </c>
      <c r="S159" s="29" cm="1">
        <f t="array" ref="S159">IF(表成绩单[[#This Row],[物理]]="","",SUMPRODUCT((表成绩单[考试日期]=表成绩单[[#This Row],[考试日期]])*(表成绩单[物理]&lt;9E+307)*(表成绩单[物理]&gt;表成绩单[[#This Row],[物理]]))+1)</f>
        <v>127</v>
      </c>
      <c r="T159" s="29" cm="1">
        <f t="array" ref="T159">IF(表成绩单[[#This Row],[化学]]="","",SUMPRODUCT((表成绩单[考试日期]=表成绩单[[#This Row],[考试日期]])*(表成绩单[化学]&lt;9E+307)*(表成绩单[化学]&gt;表成绩单[[#This Row],[化学]]))+1)</f>
        <v>49</v>
      </c>
      <c r="U159" s="29" cm="1">
        <f t="array" ref="U159">IF(表成绩单[[#This Row],[政治]]="","",SUMPRODUCT((表成绩单[考试日期]=表成绩单[[#This Row],[考试日期]])*(表成绩单[政治]&lt;9E+307)*(表成绩单[政治]&gt;表成绩单[[#This Row],[政治]]))+1)</f>
        <v>209</v>
      </c>
      <c r="V159" s="29" cm="1">
        <f t="array" ref="V159">IF(表成绩单[[#This Row],[历史]]="","",SUMPRODUCT((表成绩单[考试日期]=表成绩单[[#This Row],[考试日期]])*(表成绩单[历史]&lt;9E+307)*(表成绩单[历史]&gt;表成绩单[[#This Row],[历史]]))+1)</f>
        <v>237</v>
      </c>
      <c r="W159" s="29" cm="1">
        <f t="array" ref="W159">IF(表成绩单[[#This Row],[总分]]="","",SUMPRODUCT((表成绩单[考试日期]=表成绩单[[#This Row],[考试日期]])*(表成绩单[总分]&lt;9E+307)*(表成绩单[总分]&gt;表成绩单[[#This Row],[总分]]))+1)</f>
        <v>152</v>
      </c>
    </row>
    <row r="160" ht="28" customHeight="1" spans="4:23">
      <c r="D160" s="31">
        <v>45975</v>
      </c>
      <c r="E160" s="29">
        <v>19173536</v>
      </c>
      <c r="F160" s="29" t="s">
        <v>1</v>
      </c>
      <c r="G160" s="29" t="s">
        <v>233</v>
      </c>
      <c r="H160" s="29">
        <v>117</v>
      </c>
      <c r="I160" s="29">
        <v>109</v>
      </c>
      <c r="J160" s="29">
        <v>85.5</v>
      </c>
      <c r="K160" s="29">
        <v>83</v>
      </c>
      <c r="L160" s="29">
        <v>72</v>
      </c>
      <c r="M160" s="29">
        <v>79</v>
      </c>
      <c r="N160" s="29">
        <v>67</v>
      </c>
      <c r="O160" s="32">
        <v>612.5</v>
      </c>
      <c r="P160" s="29" cm="1">
        <f t="array" ref="P160">IF(表成绩单[[#This Row],[语文]]="","",SUMPRODUCT((表成绩单[考试日期]=表成绩单[[#This Row],[考试日期]])*(表成绩单[语文]&lt;9E+307)*(表成绩单[语文]&gt;表成绩单[[#This Row],[语文]]))+1)</f>
        <v>1</v>
      </c>
      <c r="Q160" s="29" cm="1">
        <f t="array" ref="Q160">IF(表成绩单[[#This Row],[数学]]="","",SUMPRODUCT((表成绩单[考试日期]=表成绩单[[#This Row],[考试日期]])*(表成绩单[数学]&lt;9E+307)*(表成绩单[数学]&gt;表成绩单[[#This Row],[数学]]))+1)</f>
        <v>165</v>
      </c>
      <c r="R160" s="29" cm="1">
        <f t="array" ref="R160">IF(表成绩单[[#This Row],[英语]]="","",SUMPRODUCT((表成绩单[考试日期]=表成绩单[[#This Row],[考试日期]])*(表成绩单[英语]&lt;9E+307)*(表成绩单[英语]&gt;表成绩单[[#This Row],[英语]]))+1)</f>
        <v>54</v>
      </c>
      <c r="S160" s="29" cm="1">
        <f t="array" ref="S160">IF(表成绩单[[#This Row],[物理]]="","",SUMPRODUCT((表成绩单[考试日期]=表成绩单[[#This Row],[考试日期]])*(表成绩单[物理]&lt;9E+307)*(表成绩单[物理]&gt;表成绩单[[#This Row],[物理]]))+1)</f>
        <v>390</v>
      </c>
      <c r="T160" s="29" cm="1">
        <f t="array" ref="T160">IF(表成绩单[[#This Row],[化学]]="","",SUMPRODUCT((表成绩单[考试日期]=表成绩单[[#This Row],[考试日期]])*(表成绩单[化学]&lt;9E+307)*(表成绩单[化学]&gt;表成绩单[[#This Row],[化学]]))+1)</f>
        <v>405</v>
      </c>
      <c r="U160" s="29" cm="1">
        <f t="array" ref="U160">IF(表成绩单[[#This Row],[政治]]="","",SUMPRODUCT((表成绩单[考试日期]=表成绩单[[#This Row],[考试日期]])*(表成绩单[政治]&lt;9E+307)*(表成绩单[政治]&gt;表成绩单[[#This Row],[政治]]))+1)</f>
        <v>246</v>
      </c>
      <c r="V160" s="29" cm="1">
        <f t="array" ref="V160">IF(表成绩单[[#This Row],[历史]]="","",SUMPRODUCT((表成绩单[考试日期]=表成绩单[[#This Row],[考试日期]])*(表成绩单[历史]&lt;9E+307)*(表成绩单[历史]&gt;表成绩单[[#This Row],[历史]]))+1)</f>
        <v>597</v>
      </c>
      <c r="W160" s="29" cm="1">
        <f t="array" ref="W160">IF(表成绩单[[#This Row],[总分]]="","",SUMPRODUCT((表成绩单[考试日期]=表成绩单[[#This Row],[考试日期]])*(表成绩单[总分]&lt;9E+307)*(表成绩单[总分]&gt;表成绩单[[#This Row],[总分]]))+1)</f>
        <v>156</v>
      </c>
    </row>
    <row r="161" ht="28" customHeight="1" spans="4:23">
      <c r="D161" s="31">
        <v>45975</v>
      </c>
      <c r="E161" s="29">
        <v>19174468</v>
      </c>
      <c r="F161" s="29" t="s">
        <v>73</v>
      </c>
      <c r="G161" s="29" t="s">
        <v>234</v>
      </c>
      <c r="H161" s="29">
        <v>99</v>
      </c>
      <c r="I161" s="29">
        <v>112</v>
      </c>
      <c r="J161" s="29">
        <v>82.5</v>
      </c>
      <c r="K161" s="29">
        <v>85</v>
      </c>
      <c r="L161" s="29">
        <v>77</v>
      </c>
      <c r="M161" s="29">
        <v>79</v>
      </c>
      <c r="N161" s="29">
        <v>78</v>
      </c>
      <c r="O161" s="32">
        <v>612.5</v>
      </c>
      <c r="P161" s="29" cm="1">
        <f t="array" ref="P161">IF(表成绩单[[#This Row],[语文]]="","",SUMPRODUCT((表成绩单[考试日期]=表成绩单[[#This Row],[考试日期]])*(表成绩单[语文]&lt;9E+307)*(表成绩单[语文]&gt;表成绩单[[#This Row],[语文]]))+1)</f>
        <v>264</v>
      </c>
      <c r="Q161" s="29" cm="1">
        <f t="array" ref="Q161">IF(表成绩单[[#This Row],[数学]]="","",SUMPRODUCT((表成绩单[考试日期]=表成绩单[[#This Row],[考试日期]])*(表成绩单[数学]&lt;9E+307)*(表成绩单[数学]&gt;表成绩单[[#This Row],[数学]]))+1)</f>
        <v>112</v>
      </c>
      <c r="R161" s="29" cm="1">
        <f t="array" ref="R161">IF(表成绩单[[#This Row],[英语]]="","",SUMPRODUCT((表成绩单[考试日期]=表成绩单[[#This Row],[考试日期]])*(表成绩单[英语]&lt;9E+307)*(表成绩单[英语]&gt;表成绩单[[#This Row],[英语]]))+1)</f>
        <v>170</v>
      </c>
      <c r="S161" s="29" cm="1">
        <f t="array" ref="S161">IF(表成绩单[[#This Row],[物理]]="","",SUMPRODUCT((表成绩单[考试日期]=表成绩单[[#This Row],[考试日期]])*(表成绩单[物理]&lt;9E+307)*(表成绩单[物理]&gt;表成绩单[[#This Row],[物理]]))+1)</f>
        <v>263</v>
      </c>
      <c r="T161" s="29" cm="1">
        <f t="array" ref="T161">IF(表成绩单[[#This Row],[化学]]="","",SUMPRODUCT((表成绩单[考试日期]=表成绩单[[#This Row],[考试日期]])*(表成绩单[化学]&lt;9E+307)*(表成绩单[化学]&gt;表成绩单[[#This Row],[化学]]))+1)</f>
        <v>239</v>
      </c>
      <c r="U161" s="29" cm="1">
        <f t="array" ref="U161">IF(表成绩单[[#This Row],[政治]]="","",SUMPRODUCT((表成绩单[考试日期]=表成绩单[[#This Row],[考试日期]])*(表成绩单[政治]&lt;9E+307)*(表成绩单[政治]&gt;表成绩单[[#This Row],[政治]]))+1)</f>
        <v>246</v>
      </c>
      <c r="V161" s="29" cm="1">
        <f t="array" ref="V161">IF(表成绩单[[#This Row],[历史]]="","",SUMPRODUCT((表成绩单[考试日期]=表成绩单[[#This Row],[考试日期]])*(表成绩单[历史]&lt;9E+307)*(表成绩单[历史]&gt;表成绩单[[#This Row],[历史]]))+1)</f>
        <v>189</v>
      </c>
      <c r="W161" s="29" cm="1">
        <f t="array" ref="W161">IF(表成绩单[[#This Row],[总分]]="","",SUMPRODUCT((表成绩单[考试日期]=表成绩单[[#This Row],[考试日期]])*(表成绩单[总分]&lt;9E+307)*(表成绩单[总分]&gt;表成绩单[[#This Row],[总分]]))+1)</f>
        <v>156</v>
      </c>
    </row>
    <row r="162" ht="28" customHeight="1" spans="4:23">
      <c r="D162" s="31">
        <v>45975</v>
      </c>
      <c r="E162" s="29">
        <v>19175390</v>
      </c>
      <c r="F162" s="29" t="s">
        <v>74</v>
      </c>
      <c r="G162" s="29" t="s">
        <v>235</v>
      </c>
      <c r="H162" s="29">
        <v>107</v>
      </c>
      <c r="I162" s="29">
        <v>107</v>
      </c>
      <c r="J162" s="29">
        <v>81.5</v>
      </c>
      <c r="K162" s="29">
        <v>87</v>
      </c>
      <c r="L162" s="29">
        <v>72</v>
      </c>
      <c r="M162" s="29">
        <v>82</v>
      </c>
      <c r="N162" s="29">
        <v>76</v>
      </c>
      <c r="O162" s="32">
        <v>612.5</v>
      </c>
      <c r="P162" s="29" cm="1">
        <f t="array" ref="P162">IF(表成绩单[[#This Row],[语文]]="","",SUMPRODUCT((表成绩单[考试日期]=表成绩单[[#This Row],[考试日期]])*(表成绩单[语文]&lt;9E+307)*(表成绩单[语文]&gt;表成绩单[[#This Row],[语文]]))+1)</f>
        <v>45</v>
      </c>
      <c r="Q162" s="29" cm="1">
        <f t="array" ref="Q162">IF(表成绩单[[#This Row],[数学]]="","",SUMPRODUCT((表成绩单[考试日期]=表成绩单[[#This Row],[考试日期]])*(表成绩单[数学]&lt;9E+307)*(表成绩单[数学]&gt;表成绩单[[#This Row],[数学]]))+1)</f>
        <v>200</v>
      </c>
      <c r="R162" s="29" cm="1">
        <f t="array" ref="R162">IF(表成绩单[[#This Row],[英语]]="","",SUMPRODUCT((表成绩单[考试日期]=表成绩单[[#This Row],[考试日期]])*(表成绩单[英语]&lt;9E+307)*(表成绩单[英语]&gt;表成绩单[[#This Row],[英语]]))+1)</f>
        <v>220</v>
      </c>
      <c r="S162" s="29" cm="1">
        <f t="array" ref="S162">IF(表成绩单[[#This Row],[物理]]="","",SUMPRODUCT((表成绩单[考试日期]=表成绩单[[#This Row],[考试日期]])*(表成绩单[物理]&lt;9E+307)*(表成绩单[物理]&gt;表成绩单[[#This Row],[物理]]))+1)</f>
        <v>127</v>
      </c>
      <c r="T162" s="29" cm="1">
        <f t="array" ref="T162">IF(表成绩单[[#This Row],[化学]]="","",SUMPRODUCT((表成绩单[考试日期]=表成绩单[[#This Row],[考试日期]])*(表成绩单[化学]&lt;9E+307)*(表成绩单[化学]&gt;表成绩单[[#This Row],[化学]]))+1)</f>
        <v>405</v>
      </c>
      <c r="U162" s="29" cm="1">
        <f t="array" ref="U162">IF(表成绩单[[#This Row],[政治]]="","",SUMPRODUCT((表成绩单[考试日期]=表成绩单[[#This Row],[考试日期]])*(表成绩单[政治]&lt;9E+307)*(表成绩单[政治]&gt;表成绩单[[#This Row],[政治]]))+1)</f>
        <v>157</v>
      </c>
      <c r="V162" s="29" cm="1">
        <f t="array" ref="V162">IF(表成绩单[[#This Row],[历史]]="","",SUMPRODUCT((表成绩单[考试日期]=表成绩单[[#This Row],[考试日期]])*(表成绩单[历史]&lt;9E+307)*(表成绩单[历史]&gt;表成绩单[[#This Row],[历史]]))+1)</f>
        <v>278</v>
      </c>
      <c r="W162" s="29" cm="1">
        <f t="array" ref="W162">IF(表成绩单[[#This Row],[总分]]="","",SUMPRODUCT((表成绩单[考试日期]=表成绩单[[#This Row],[考试日期]])*(表成绩单[总分]&lt;9E+307)*(表成绩单[总分]&gt;表成绩单[[#This Row],[总分]]))+1)</f>
        <v>156</v>
      </c>
    </row>
    <row r="163" ht="28" customHeight="1" spans="4:23">
      <c r="D163" s="31">
        <v>45975</v>
      </c>
      <c r="E163" s="29">
        <v>19175685</v>
      </c>
      <c r="F163" s="29" t="s">
        <v>72</v>
      </c>
      <c r="G163" s="29" t="s">
        <v>236</v>
      </c>
      <c r="H163" s="29">
        <v>95</v>
      </c>
      <c r="I163" s="29">
        <v>109</v>
      </c>
      <c r="J163" s="29">
        <v>80.5</v>
      </c>
      <c r="K163" s="29">
        <v>89</v>
      </c>
      <c r="L163" s="29">
        <v>85</v>
      </c>
      <c r="M163" s="29">
        <v>70</v>
      </c>
      <c r="N163" s="29">
        <v>84</v>
      </c>
      <c r="O163" s="32">
        <v>612.5</v>
      </c>
      <c r="P163" s="29" cm="1">
        <f t="array" ref="P163">IF(表成绩单[[#This Row],[语文]]="","",SUMPRODUCT((表成绩单[考试日期]=表成绩单[[#This Row],[考试日期]])*(表成绩单[语文]&lt;9E+307)*(表成绩单[语文]&gt;表成绩单[[#This Row],[语文]]))+1)</f>
        <v>420</v>
      </c>
      <c r="Q163" s="29" cm="1">
        <f t="array" ref="Q163">IF(表成绩单[[#This Row],[数学]]="","",SUMPRODUCT((表成绩单[考试日期]=表成绩单[[#This Row],[考试日期]])*(表成绩单[数学]&lt;9E+307)*(表成绩单[数学]&gt;表成绩单[[#This Row],[数学]]))+1)</f>
        <v>165</v>
      </c>
      <c r="R163" s="29" cm="1">
        <f t="array" ref="R163">IF(表成绩单[[#This Row],[英语]]="","",SUMPRODUCT((表成绩单[考试日期]=表成绩单[[#This Row],[考试日期]])*(表成绩单[英语]&lt;9E+307)*(表成绩单[英语]&gt;表成绩单[[#This Row],[英语]]))+1)</f>
        <v>255</v>
      </c>
      <c r="S163" s="29" cm="1">
        <f t="array" ref="S163">IF(表成绩单[[#This Row],[物理]]="","",SUMPRODUCT((表成绩单[考试日期]=表成绩单[[#This Row],[考试日期]])*(表成绩单[物理]&lt;9E+307)*(表成绩单[物理]&gt;表成绩单[[#This Row],[物理]]))+1)</f>
        <v>18</v>
      </c>
      <c r="T163" s="29" cm="1">
        <f t="array" ref="T163">IF(表成绩单[[#This Row],[化学]]="","",SUMPRODUCT((表成绩单[考试日期]=表成绩单[[#This Row],[考试日期]])*(表成绩单[化学]&lt;9E+307)*(表成绩单[化学]&gt;表成绩单[[#This Row],[化学]]))+1)</f>
        <v>19</v>
      </c>
      <c r="U163" s="29" cm="1">
        <f t="array" ref="U163">IF(表成绩单[[#This Row],[政治]]="","",SUMPRODUCT((表成绩单[考试日期]=表成绩单[[#This Row],[考试日期]])*(表成绩单[政治]&lt;9E+307)*(表成绩单[政治]&gt;表成绩单[[#This Row],[政治]]))+1)</f>
        <v>493</v>
      </c>
      <c r="V163" s="29" cm="1">
        <f t="array" ref="V163">IF(表成绩单[[#This Row],[历史]]="","",SUMPRODUCT((表成绩单[考试日期]=表成绩单[[#This Row],[考试日期]])*(表成绩单[历史]&lt;9E+307)*(表成绩单[历史]&gt;表成绩单[[#This Row],[历史]]))+1)</f>
        <v>8</v>
      </c>
      <c r="W163" s="29" cm="1">
        <f t="array" ref="W163">IF(表成绩单[[#This Row],[总分]]="","",SUMPRODUCT((表成绩单[考试日期]=表成绩单[[#This Row],[考试日期]])*(表成绩单[总分]&lt;9E+307)*(表成绩单[总分]&gt;表成绩单[[#This Row],[总分]]))+1)</f>
        <v>156</v>
      </c>
    </row>
    <row r="164" ht="28" customHeight="1" spans="4:23">
      <c r="D164" s="31">
        <v>45975</v>
      </c>
      <c r="E164" s="29">
        <v>19176158</v>
      </c>
      <c r="F164" s="29" t="s">
        <v>67</v>
      </c>
      <c r="G164" s="29" t="s">
        <v>237</v>
      </c>
      <c r="H164" s="29">
        <v>103</v>
      </c>
      <c r="I164" s="29">
        <v>111</v>
      </c>
      <c r="J164" s="29">
        <v>77.5</v>
      </c>
      <c r="K164" s="29">
        <v>82</v>
      </c>
      <c r="L164" s="29">
        <v>78</v>
      </c>
      <c r="M164" s="29">
        <v>83</v>
      </c>
      <c r="N164" s="29">
        <v>78</v>
      </c>
      <c r="O164" s="32">
        <v>612.5</v>
      </c>
      <c r="P164" s="29" cm="1">
        <f t="array" ref="P164">IF(表成绩单[[#This Row],[语文]]="","",SUMPRODUCT((表成绩单[考试日期]=表成绩单[[#This Row],[考试日期]])*(表成绩单[语文]&lt;9E+307)*(表成绩单[语文]&gt;表成绩单[[#This Row],[语文]]))+1)</f>
        <v>126</v>
      </c>
      <c r="Q164" s="29" cm="1">
        <f t="array" ref="Q164">IF(表成绩单[[#This Row],[数学]]="","",SUMPRODUCT((表成绩单[考试日期]=表成绩单[[#This Row],[考试日期]])*(表成绩单[数学]&lt;9E+307)*(表成绩单[数学]&gt;表成绩单[[#This Row],[数学]]))+1)</f>
        <v>134</v>
      </c>
      <c r="R164" s="29" cm="1">
        <f t="array" ref="R164">IF(表成绩单[[#This Row],[英语]]="","",SUMPRODUCT((表成绩单[考试日期]=表成绩单[[#This Row],[考试日期]])*(表成绩单[英语]&lt;9E+307)*(表成绩单[英语]&gt;表成绩单[[#This Row],[英语]]))+1)</f>
        <v>345</v>
      </c>
      <c r="S164" s="29" cm="1">
        <f t="array" ref="S164">IF(表成绩单[[#This Row],[物理]]="","",SUMPRODUCT((表成绩单[考试日期]=表成绩单[[#This Row],[考试日期]])*(表成绩单[物理]&lt;9E+307)*(表成绩单[物理]&gt;表成绩单[[#This Row],[物理]]))+1)</f>
        <v>433</v>
      </c>
      <c r="T164" s="29" cm="1">
        <f t="array" ref="T164">IF(表成绩单[[#This Row],[化学]]="","",SUMPRODUCT((表成绩单[考试日期]=表成绩单[[#This Row],[考试日期]])*(表成绩单[化学]&lt;9E+307)*(表成绩单[化学]&gt;表成绩单[[#This Row],[化学]]))+1)</f>
        <v>200</v>
      </c>
      <c r="U164" s="29" cm="1">
        <f t="array" ref="U164">IF(表成绩单[[#This Row],[政治]]="","",SUMPRODUCT((表成绩单[考试日期]=表成绩单[[#This Row],[考试日期]])*(表成绩单[政治]&lt;9E+307)*(表成绩单[政治]&gt;表成绩单[[#This Row],[政治]]))+1)</f>
        <v>121</v>
      </c>
      <c r="V164" s="29" cm="1">
        <f t="array" ref="V164">IF(表成绩单[[#This Row],[历史]]="","",SUMPRODUCT((表成绩单[考试日期]=表成绩单[[#This Row],[考试日期]])*(表成绩单[历史]&lt;9E+307)*(表成绩单[历史]&gt;表成绩单[[#This Row],[历史]]))+1)</f>
        <v>189</v>
      </c>
      <c r="W164" s="29" cm="1">
        <f t="array" ref="W164">IF(表成绩单[[#This Row],[总分]]="","",SUMPRODUCT((表成绩单[考试日期]=表成绩单[[#This Row],[考试日期]])*(表成绩单[总分]&lt;9E+307)*(表成绩单[总分]&gt;表成绩单[[#This Row],[总分]]))+1)</f>
        <v>156</v>
      </c>
    </row>
    <row r="165" ht="28" customHeight="1" spans="4:23">
      <c r="D165" s="31">
        <v>45975</v>
      </c>
      <c r="E165" s="29">
        <v>19177236</v>
      </c>
      <c r="F165" s="29" t="s">
        <v>70</v>
      </c>
      <c r="G165" s="29" t="s">
        <v>238</v>
      </c>
      <c r="H165" s="29">
        <v>98</v>
      </c>
      <c r="I165" s="29">
        <v>107</v>
      </c>
      <c r="J165" s="29">
        <v>87.5</v>
      </c>
      <c r="K165" s="29">
        <v>85</v>
      </c>
      <c r="L165" s="29">
        <v>76</v>
      </c>
      <c r="M165" s="29">
        <v>84</v>
      </c>
      <c r="N165" s="29">
        <v>75</v>
      </c>
      <c r="O165" s="32">
        <v>612.5</v>
      </c>
      <c r="P165" s="29" cm="1">
        <f t="array" ref="P165">IF(表成绩单[[#This Row],[语文]]="","",SUMPRODUCT((表成绩单[考试日期]=表成绩单[[#This Row],[考试日期]])*(表成绩单[语文]&lt;9E+307)*(表成绩单[语文]&gt;表成绩单[[#This Row],[语文]]))+1)</f>
        <v>305</v>
      </c>
      <c r="Q165" s="29" cm="1">
        <f t="array" ref="Q165">IF(表成绩单[[#This Row],[数学]]="","",SUMPRODUCT((表成绩单[考试日期]=表成绩单[[#This Row],[考试日期]])*(表成绩单[数学]&lt;9E+307)*(表成绩单[数学]&gt;表成绩单[[#This Row],[数学]]))+1)</f>
        <v>200</v>
      </c>
      <c r="R165" s="29" cm="1">
        <f t="array" ref="R165">IF(表成绩单[[#This Row],[英语]]="","",SUMPRODUCT((表成绩单[考试日期]=表成绩单[[#This Row],[考试日期]])*(表成绩单[英语]&lt;9E+307)*(表成绩单[英语]&gt;表成绩单[[#This Row],[英语]]))+1)</f>
        <v>17</v>
      </c>
      <c r="S165" s="29" cm="1">
        <f t="array" ref="S165">IF(表成绩单[[#This Row],[物理]]="","",SUMPRODUCT((表成绩单[考试日期]=表成绩单[[#This Row],[考试日期]])*(表成绩单[物理]&lt;9E+307)*(表成绩单[物理]&gt;表成绩单[[#This Row],[物理]]))+1)</f>
        <v>263</v>
      </c>
      <c r="T165" s="29" cm="1">
        <f t="array" ref="T165">IF(表成绩单[[#This Row],[化学]]="","",SUMPRODUCT((表成绩单[考试日期]=表成绩单[[#This Row],[考试日期]])*(表成绩单[化学]&lt;9E+307)*(表成绩单[化学]&gt;表成绩单[[#This Row],[化学]]))+1)</f>
        <v>268</v>
      </c>
      <c r="U165" s="29" cm="1">
        <f t="array" ref="U165">IF(表成绩单[[#This Row],[政治]]="","",SUMPRODUCT((表成绩单[考试日期]=表成绩单[[#This Row],[考试日期]])*(表成绩单[政治]&lt;9E+307)*(表成绩单[政治]&gt;表成绩单[[#This Row],[政治]]))+1)</f>
        <v>83</v>
      </c>
      <c r="V165" s="29" cm="1">
        <f t="array" ref="V165">IF(表成绩单[[#This Row],[历史]]="","",SUMPRODUCT((表成绩单[考试日期]=表成绩单[[#This Row],[考试日期]])*(表成绩单[历史]&lt;9E+307)*(表成绩单[历史]&gt;表成绩单[[#This Row],[历史]]))+1)</f>
        <v>315</v>
      </c>
      <c r="W165" s="29" cm="1">
        <f t="array" ref="W165">IF(表成绩单[[#This Row],[总分]]="","",SUMPRODUCT((表成绩单[考试日期]=表成绩单[[#This Row],[考试日期]])*(表成绩单[总分]&lt;9E+307)*(表成绩单[总分]&gt;表成绩单[[#This Row],[总分]]))+1)</f>
        <v>156</v>
      </c>
    </row>
    <row r="166" ht="28" customHeight="1" spans="4:23">
      <c r="D166" s="31">
        <v>45975</v>
      </c>
      <c r="E166" s="29">
        <v>19177195</v>
      </c>
      <c r="F166" s="29" t="s">
        <v>70</v>
      </c>
      <c r="G166" s="29" t="s">
        <v>239</v>
      </c>
      <c r="H166" s="29">
        <v>94</v>
      </c>
      <c r="I166" s="29">
        <v>112</v>
      </c>
      <c r="J166" s="29">
        <v>81</v>
      </c>
      <c r="K166" s="29">
        <v>83</v>
      </c>
      <c r="L166" s="29">
        <v>85</v>
      </c>
      <c r="M166" s="29">
        <v>85</v>
      </c>
      <c r="N166" s="29">
        <v>72</v>
      </c>
      <c r="O166" s="32">
        <v>612</v>
      </c>
      <c r="P166" s="29" cm="1">
        <f t="array" ref="P166">IF(表成绩单[[#This Row],[语文]]="","",SUMPRODUCT((表成绩单[考试日期]=表成绩单[[#This Row],[考试日期]])*(表成绩单[语文]&lt;9E+307)*(表成绩单[语文]&gt;表成绩单[[#This Row],[语文]]))+1)</f>
        <v>452</v>
      </c>
      <c r="Q166" s="29" cm="1">
        <f t="array" ref="Q166">IF(表成绩单[[#This Row],[数学]]="","",SUMPRODUCT((表成绩单[考试日期]=表成绩单[[#This Row],[考试日期]])*(表成绩单[数学]&lt;9E+307)*(表成绩单[数学]&gt;表成绩单[[#This Row],[数学]]))+1)</f>
        <v>112</v>
      </c>
      <c r="R166" s="29" cm="1">
        <f t="array" ref="R166">IF(表成绩单[[#This Row],[英语]]="","",SUMPRODUCT((表成绩单[考试日期]=表成绩单[[#This Row],[考试日期]])*(表成绩单[英语]&lt;9E+307)*(表成绩单[英语]&gt;表成绩单[[#This Row],[英语]]))+1)</f>
        <v>241</v>
      </c>
      <c r="S166" s="29" cm="1">
        <f t="array" ref="S166">IF(表成绩单[[#This Row],[物理]]="","",SUMPRODUCT((表成绩单[考试日期]=表成绩单[[#This Row],[考试日期]])*(表成绩单[物理]&lt;9E+307)*(表成绩单[物理]&gt;表成绩单[[#This Row],[物理]]))+1)</f>
        <v>390</v>
      </c>
      <c r="T166" s="29" cm="1">
        <f t="array" ref="T166">IF(表成绩单[[#This Row],[化学]]="","",SUMPRODUCT((表成绩单[考试日期]=表成绩单[[#This Row],[考试日期]])*(表成绩单[化学]&lt;9E+307)*(表成绩单[化学]&gt;表成绩单[[#This Row],[化学]]))+1)</f>
        <v>19</v>
      </c>
      <c r="U166" s="29" cm="1">
        <f t="array" ref="U166">IF(表成绩单[[#This Row],[政治]]="","",SUMPRODUCT((表成绩单[考试日期]=表成绩单[[#This Row],[考试日期]])*(表成绩单[政治]&lt;9E+307)*(表成绩单[政治]&gt;表成绩单[[#This Row],[政治]]))+1)</f>
        <v>45</v>
      </c>
      <c r="V166" s="29" cm="1">
        <f t="array" ref="V166">IF(表成绩单[[#This Row],[历史]]="","",SUMPRODUCT((表成绩单[考试日期]=表成绩单[[#This Row],[考试日期]])*(表成绩单[历史]&lt;9E+307)*(表成绩单[历史]&gt;表成绩单[[#This Row],[历史]]))+1)</f>
        <v>438</v>
      </c>
      <c r="W166" s="29" cm="1">
        <f t="array" ref="W166">IF(表成绩单[[#This Row],[总分]]="","",SUMPRODUCT((表成绩单[考试日期]=表成绩单[[#This Row],[考试日期]])*(表成绩单[总分]&lt;9E+307)*(表成绩单[总分]&gt;表成绩单[[#This Row],[总分]]))+1)</f>
        <v>162</v>
      </c>
    </row>
    <row r="167" ht="28" customHeight="1" spans="4:23">
      <c r="D167" s="31">
        <v>45975</v>
      </c>
      <c r="E167" s="29">
        <v>19173526</v>
      </c>
      <c r="F167" s="29" t="s">
        <v>1</v>
      </c>
      <c r="G167" s="29" t="s">
        <v>240</v>
      </c>
      <c r="H167" s="29">
        <v>100</v>
      </c>
      <c r="I167" s="29">
        <v>117</v>
      </c>
      <c r="J167" s="29">
        <v>82.5</v>
      </c>
      <c r="K167" s="29">
        <v>88</v>
      </c>
      <c r="L167" s="29">
        <v>77</v>
      </c>
      <c r="M167" s="29">
        <v>74</v>
      </c>
      <c r="N167" s="29">
        <v>73</v>
      </c>
      <c r="O167" s="32">
        <v>611.5</v>
      </c>
      <c r="P167" s="29" cm="1">
        <f t="array" ref="P167">IF(表成绩单[[#This Row],[语文]]="","",SUMPRODUCT((表成绩单[考试日期]=表成绩单[[#This Row],[考试日期]])*(表成绩单[语文]&lt;9E+307)*(表成绩单[语文]&gt;表成绩单[[#This Row],[语文]]))+1)</f>
        <v>223</v>
      </c>
      <c r="Q167" s="29" cm="1">
        <f t="array" ref="Q167">IF(表成绩单[[#This Row],[数学]]="","",SUMPRODUCT((表成绩单[考试日期]=表成绩单[[#This Row],[考试日期]])*(表成绩单[数学]&lt;9E+307)*(表成绩单[数学]&gt;表成绩单[[#This Row],[数学]]))+1)</f>
        <v>37</v>
      </c>
      <c r="R167" s="29" cm="1">
        <f t="array" ref="R167">IF(表成绩单[[#This Row],[英语]]="","",SUMPRODUCT((表成绩单[考试日期]=表成绩单[[#This Row],[考试日期]])*(表成绩单[英语]&lt;9E+307)*(表成绩单[英语]&gt;表成绩单[[#This Row],[英语]]))+1)</f>
        <v>170</v>
      </c>
      <c r="S167" s="29" cm="1">
        <f t="array" ref="S167">IF(表成绩单[[#This Row],[物理]]="","",SUMPRODUCT((表成绩单[考试日期]=表成绩单[[#This Row],[考试日期]])*(表成绩单[物理]&lt;9E+307)*(表成绩单[物理]&gt;表成绩单[[#This Row],[物理]]))+1)</f>
        <v>54</v>
      </c>
      <c r="T167" s="29" cm="1">
        <f t="array" ref="T167">IF(表成绩单[[#This Row],[化学]]="","",SUMPRODUCT((表成绩单[考试日期]=表成绩单[[#This Row],[考试日期]])*(表成绩单[化学]&lt;9E+307)*(表成绩单[化学]&gt;表成绩单[[#This Row],[化学]]))+1)</f>
        <v>239</v>
      </c>
      <c r="U167" s="29" cm="1">
        <f t="array" ref="U167">IF(表成绩单[[#This Row],[政治]]="","",SUMPRODUCT((表成绩单[考试日期]=表成绩单[[#This Row],[考试日期]])*(表成绩单[政治]&lt;9E+307)*(表成绩单[政治]&gt;表成绩单[[#This Row],[政治]]))+1)</f>
        <v>389</v>
      </c>
      <c r="V167" s="29" cm="1">
        <f t="array" ref="V167">IF(表成绩单[[#This Row],[历史]]="","",SUMPRODUCT((表成绩单[考试日期]=表成绩单[[#This Row],[考试日期]])*(表成绩单[历史]&lt;9E+307)*(表成绩单[历史]&gt;表成绩单[[#This Row],[历史]]))+1)</f>
        <v>395</v>
      </c>
      <c r="W167" s="29" cm="1">
        <f t="array" ref="W167">IF(表成绩单[[#This Row],[总分]]="","",SUMPRODUCT((表成绩单[考试日期]=表成绩单[[#This Row],[考试日期]])*(表成绩单[总分]&lt;9E+307)*(表成绩单[总分]&gt;表成绩单[[#This Row],[总分]]))+1)</f>
        <v>163</v>
      </c>
    </row>
    <row r="168" ht="28" customHeight="1" spans="4:23">
      <c r="D168" s="31">
        <v>45975</v>
      </c>
      <c r="E168" s="29">
        <v>19174451</v>
      </c>
      <c r="F168" s="29" t="s">
        <v>73</v>
      </c>
      <c r="G168" s="29" t="s">
        <v>241</v>
      </c>
      <c r="H168" s="29">
        <v>100</v>
      </c>
      <c r="I168" s="29">
        <v>101</v>
      </c>
      <c r="J168" s="29">
        <v>86.5</v>
      </c>
      <c r="K168" s="29">
        <v>86</v>
      </c>
      <c r="L168" s="29">
        <v>76</v>
      </c>
      <c r="M168" s="29">
        <v>80</v>
      </c>
      <c r="N168" s="29">
        <v>82</v>
      </c>
      <c r="O168" s="32">
        <v>611.5</v>
      </c>
      <c r="P168" s="29" cm="1">
        <f t="array" ref="P168">IF(表成绩单[[#This Row],[语文]]="","",SUMPRODUCT((表成绩单[考试日期]=表成绩单[[#This Row],[考试日期]])*(表成绩单[语文]&lt;9E+307)*(表成绩单[语文]&gt;表成绩单[[#This Row],[语文]]))+1)</f>
        <v>223</v>
      </c>
      <c r="Q168" s="29" cm="1">
        <f t="array" ref="Q168">IF(表成绩单[[#This Row],[数学]]="","",SUMPRODUCT((表成绩单[考试日期]=表成绩单[[#This Row],[考试日期]])*(表成绩单[数学]&lt;9E+307)*(表成绩单[数学]&gt;表成绩单[[#This Row],[数学]]))+1)</f>
        <v>319</v>
      </c>
      <c r="R168" s="29" cm="1">
        <f t="array" ref="R168">IF(表成绩单[[#This Row],[英语]]="","",SUMPRODUCT((表成绩单[考试日期]=表成绩单[[#This Row],[考试日期]])*(表成绩单[英语]&lt;9E+307)*(表成绩单[英语]&gt;表成绩单[[#This Row],[英语]]))+1)</f>
        <v>35</v>
      </c>
      <c r="S168" s="29" cm="1">
        <f t="array" ref="S168">IF(表成绩单[[#This Row],[物理]]="","",SUMPRODUCT((表成绩单[考试日期]=表成绩单[[#This Row],[考试日期]])*(表成绩单[物理]&lt;9E+307)*(表成绩单[物理]&gt;表成绩单[[#This Row],[物理]]))+1)</f>
        <v>187</v>
      </c>
      <c r="T168" s="29" cm="1">
        <f t="array" ref="T168">IF(表成绩单[[#This Row],[化学]]="","",SUMPRODUCT((表成绩单[考试日期]=表成绩单[[#This Row],[考试日期]])*(表成绩单[化学]&lt;9E+307)*(表成绩单[化学]&gt;表成绩单[[#This Row],[化学]]))+1)</f>
        <v>268</v>
      </c>
      <c r="U168" s="29" cm="1">
        <f t="array" ref="U168">IF(表成绩单[[#This Row],[政治]]="","",SUMPRODUCT((表成绩单[考试日期]=表成绩单[[#This Row],[考试日期]])*(表成绩单[政治]&lt;9E+307)*(表成绩单[政治]&gt;表成绩单[[#This Row],[政治]]))+1)</f>
        <v>209</v>
      </c>
      <c r="V168" s="29" cm="1">
        <f t="array" ref="V168">IF(表成绩单[[#This Row],[历史]]="","",SUMPRODUCT((表成绩单[考试日期]=表成绩单[[#This Row],[考试日期]])*(表成绩单[历史]&lt;9E+307)*(表成绩单[历史]&gt;表成绩单[[#This Row],[历史]]))+1)</f>
        <v>35</v>
      </c>
      <c r="W168" s="29" cm="1">
        <f t="array" ref="W168">IF(表成绩单[[#This Row],[总分]]="","",SUMPRODUCT((表成绩单[考试日期]=表成绩单[[#This Row],[考试日期]])*(表成绩单[总分]&lt;9E+307)*(表成绩单[总分]&gt;表成绩单[[#This Row],[总分]]))+1)</f>
        <v>163</v>
      </c>
    </row>
    <row r="169" ht="28" customHeight="1" spans="4:23">
      <c r="D169" s="31">
        <v>45975</v>
      </c>
      <c r="E169" s="29">
        <v>19175693</v>
      </c>
      <c r="F169" s="29" t="s">
        <v>72</v>
      </c>
      <c r="G169" s="29" t="s">
        <v>242</v>
      </c>
      <c r="H169" s="29">
        <v>102</v>
      </c>
      <c r="I169" s="29">
        <v>103</v>
      </c>
      <c r="J169" s="29">
        <v>82.5</v>
      </c>
      <c r="K169" s="29">
        <v>87</v>
      </c>
      <c r="L169" s="29">
        <v>74</v>
      </c>
      <c r="M169" s="29">
        <v>81</v>
      </c>
      <c r="N169" s="29">
        <v>82</v>
      </c>
      <c r="O169" s="32">
        <v>611.5</v>
      </c>
      <c r="P169" s="29" cm="1">
        <f t="array" ref="P169">IF(表成绩单[[#This Row],[语文]]="","",SUMPRODUCT((表成绩单[考试日期]=表成绩单[[#This Row],[考试日期]])*(表成绩单[语文]&lt;9E+307)*(表成绩单[语文]&gt;表成绩单[[#This Row],[语文]]))+1)</f>
        <v>154</v>
      </c>
      <c r="Q169" s="29" cm="1">
        <f t="array" ref="Q169">IF(表成绩单[[#This Row],[数学]]="","",SUMPRODUCT((表成绩单[考试日期]=表成绩单[[#This Row],[考试日期]])*(表成绩单[数学]&lt;9E+307)*(表成绩单[数学]&gt;表成绩单[[#This Row],[数学]]))+1)</f>
        <v>277</v>
      </c>
      <c r="R169" s="29" cm="1">
        <f t="array" ref="R169">IF(表成绩单[[#This Row],[英语]]="","",SUMPRODUCT((表成绩单[考试日期]=表成绩单[[#This Row],[考试日期]])*(表成绩单[英语]&lt;9E+307)*(表成绩单[英语]&gt;表成绩单[[#This Row],[英语]]))+1)</f>
        <v>170</v>
      </c>
      <c r="S169" s="29" cm="1">
        <f t="array" ref="S169">IF(表成绩单[[#This Row],[物理]]="","",SUMPRODUCT((表成绩单[考试日期]=表成绩单[[#This Row],[考试日期]])*(表成绩单[物理]&lt;9E+307)*(表成绩单[物理]&gt;表成绩单[[#This Row],[物理]]))+1)</f>
        <v>127</v>
      </c>
      <c r="T169" s="29" cm="1">
        <f t="array" ref="T169">IF(表成绩单[[#This Row],[化学]]="","",SUMPRODUCT((表成绩单[考试日期]=表成绩单[[#This Row],[考试日期]])*(表成绩单[化学]&lt;9E+307)*(表成绩单[化学]&gt;表成绩单[[#This Row],[化学]]))+1)</f>
        <v>337</v>
      </c>
      <c r="U169" s="29" cm="1">
        <f t="array" ref="U169">IF(表成绩单[[#This Row],[政治]]="","",SUMPRODUCT((表成绩单[考试日期]=表成绩单[[#This Row],[考试日期]])*(表成绩单[政治]&lt;9E+307)*(表成绩单[政治]&gt;表成绩单[[#This Row],[政治]]))+1)</f>
        <v>180</v>
      </c>
      <c r="V169" s="29" cm="1">
        <f t="array" ref="V169">IF(表成绩单[[#This Row],[历史]]="","",SUMPRODUCT((表成绩单[考试日期]=表成绩单[[#This Row],[考试日期]])*(表成绩单[历史]&lt;9E+307)*(表成绩单[历史]&gt;表成绩单[[#This Row],[历史]]))+1)</f>
        <v>35</v>
      </c>
      <c r="W169" s="29" cm="1">
        <f t="array" ref="W169">IF(表成绩单[[#This Row],[总分]]="","",SUMPRODUCT((表成绩单[考试日期]=表成绩单[[#This Row],[考试日期]])*(表成绩单[总分]&lt;9E+307)*(表成绩单[总分]&gt;表成绩单[[#This Row],[总分]]))+1)</f>
        <v>163</v>
      </c>
    </row>
    <row r="170" ht="28" customHeight="1" spans="4:23">
      <c r="D170" s="31">
        <v>45975</v>
      </c>
      <c r="E170" s="29">
        <v>19176876</v>
      </c>
      <c r="F170" s="29" t="s">
        <v>71</v>
      </c>
      <c r="G170" s="29" t="s">
        <v>243</v>
      </c>
      <c r="H170" s="29">
        <v>101</v>
      </c>
      <c r="I170" s="29">
        <v>111</v>
      </c>
      <c r="J170" s="29">
        <v>77.5</v>
      </c>
      <c r="K170" s="29">
        <v>86</v>
      </c>
      <c r="L170" s="29">
        <v>76</v>
      </c>
      <c r="M170" s="29">
        <v>85</v>
      </c>
      <c r="N170" s="29">
        <v>75</v>
      </c>
      <c r="O170" s="32">
        <v>611.5</v>
      </c>
      <c r="P170" s="29" cm="1">
        <f t="array" ref="P170">IF(表成绩单[[#This Row],[语文]]="","",SUMPRODUCT((表成绩单[考试日期]=表成绩单[[#This Row],[考试日期]])*(表成绩单[语文]&lt;9E+307)*(表成绩单[语文]&gt;表成绩单[[#This Row],[语文]]))+1)</f>
        <v>190</v>
      </c>
      <c r="Q170" s="29" cm="1">
        <f t="array" ref="Q170">IF(表成绩单[[#This Row],[数学]]="","",SUMPRODUCT((表成绩单[考试日期]=表成绩单[[#This Row],[考试日期]])*(表成绩单[数学]&lt;9E+307)*(表成绩单[数学]&gt;表成绩单[[#This Row],[数学]]))+1)</f>
        <v>134</v>
      </c>
      <c r="R170" s="29" cm="1">
        <f t="array" ref="R170">IF(表成绩单[[#This Row],[英语]]="","",SUMPRODUCT((表成绩单[考试日期]=表成绩单[[#This Row],[考试日期]])*(表成绩单[英语]&lt;9E+307)*(表成绩单[英语]&gt;表成绩单[[#This Row],[英语]]))+1)</f>
        <v>345</v>
      </c>
      <c r="S170" s="29" cm="1">
        <f t="array" ref="S170">IF(表成绩单[[#This Row],[物理]]="","",SUMPRODUCT((表成绩单[考试日期]=表成绩单[[#This Row],[考试日期]])*(表成绩单[物理]&lt;9E+307)*(表成绩单[物理]&gt;表成绩单[[#This Row],[物理]]))+1)</f>
        <v>187</v>
      </c>
      <c r="T170" s="29" cm="1">
        <f t="array" ref="T170">IF(表成绩单[[#This Row],[化学]]="","",SUMPRODUCT((表成绩单[考试日期]=表成绩单[[#This Row],[考试日期]])*(表成绩单[化学]&lt;9E+307)*(表成绩单[化学]&gt;表成绩单[[#This Row],[化学]]))+1)</f>
        <v>268</v>
      </c>
      <c r="U170" s="29" cm="1">
        <f t="array" ref="U170">IF(表成绩单[[#This Row],[政治]]="","",SUMPRODUCT((表成绩单[考试日期]=表成绩单[[#This Row],[考试日期]])*(表成绩单[政治]&lt;9E+307)*(表成绩单[政治]&gt;表成绩单[[#This Row],[政治]]))+1)</f>
        <v>45</v>
      </c>
      <c r="V170" s="29" cm="1">
        <f t="array" ref="V170">IF(表成绩单[[#This Row],[历史]]="","",SUMPRODUCT((表成绩单[考试日期]=表成绩单[[#This Row],[考试日期]])*(表成绩单[历史]&lt;9E+307)*(表成绩单[历史]&gt;表成绩单[[#This Row],[历史]]))+1)</f>
        <v>315</v>
      </c>
      <c r="W170" s="29" cm="1">
        <f t="array" ref="W170">IF(表成绩单[[#This Row],[总分]]="","",SUMPRODUCT((表成绩单[考试日期]=表成绩单[[#This Row],[考试日期]])*(表成绩单[总分]&lt;9E+307)*(表成绩单[总分]&gt;表成绩单[[#This Row],[总分]]))+1)</f>
        <v>163</v>
      </c>
    </row>
    <row r="171" ht="28" customHeight="1" spans="4:23">
      <c r="D171" s="31">
        <v>45975</v>
      </c>
      <c r="E171" s="29">
        <v>19177625</v>
      </c>
      <c r="F171" s="29" t="s">
        <v>58</v>
      </c>
      <c r="G171" s="29" t="s">
        <v>244</v>
      </c>
      <c r="H171" s="29">
        <v>100</v>
      </c>
      <c r="I171" s="29">
        <v>110</v>
      </c>
      <c r="J171" s="29">
        <v>82.5</v>
      </c>
      <c r="K171" s="29">
        <v>86</v>
      </c>
      <c r="L171" s="29">
        <v>82</v>
      </c>
      <c r="M171" s="29">
        <v>73</v>
      </c>
      <c r="N171" s="29">
        <v>78</v>
      </c>
      <c r="O171" s="32">
        <v>611.5</v>
      </c>
      <c r="P171" s="29" cm="1">
        <f t="array" ref="P171">IF(表成绩单[[#This Row],[语文]]="","",SUMPRODUCT((表成绩单[考试日期]=表成绩单[[#This Row],[考试日期]])*(表成绩单[语文]&lt;9E+307)*(表成绩单[语文]&gt;表成绩单[[#This Row],[语文]]))+1)</f>
        <v>223</v>
      </c>
      <c r="Q171" s="29" cm="1">
        <f t="array" ref="Q171">IF(表成绩单[[#This Row],[数学]]="","",SUMPRODUCT((表成绩单[考试日期]=表成绩单[[#This Row],[考试日期]])*(表成绩单[数学]&lt;9E+307)*(表成绩单[数学]&gt;表成绩单[[#This Row],[数学]]))+1)</f>
        <v>154</v>
      </c>
      <c r="R171" s="29" cm="1">
        <f t="array" ref="R171">IF(表成绩单[[#This Row],[英语]]="","",SUMPRODUCT((表成绩单[考试日期]=表成绩单[[#This Row],[考试日期]])*(表成绩单[英语]&lt;9E+307)*(表成绩单[英语]&gt;表成绩单[[#This Row],[英语]]))+1)</f>
        <v>170</v>
      </c>
      <c r="S171" s="29" cm="1">
        <f t="array" ref="S171">IF(表成绩单[[#This Row],[物理]]="","",SUMPRODUCT((表成绩单[考试日期]=表成绩单[[#This Row],[考试日期]])*(表成绩单[物理]&lt;9E+307)*(表成绩单[物理]&gt;表成绩单[[#This Row],[物理]]))+1)</f>
        <v>187</v>
      </c>
      <c r="T171" s="29" cm="1">
        <f t="array" ref="T171">IF(表成绩单[[#This Row],[化学]]="","",SUMPRODUCT((表成绩单[考试日期]=表成绩单[[#This Row],[考试日期]])*(表成绩单[化学]&lt;9E+307)*(表成绩单[化学]&gt;表成绩单[[#This Row],[化学]]))+1)</f>
        <v>71</v>
      </c>
      <c r="U171" s="29" cm="1">
        <f t="array" ref="U171">IF(表成绩单[[#This Row],[政治]]="","",SUMPRODUCT((表成绩单[考试日期]=表成绩单[[#This Row],[考试日期]])*(表成绩单[政治]&lt;9E+307)*(表成绩单[政治]&gt;表成绩单[[#This Row],[政治]]))+1)</f>
        <v>418</v>
      </c>
      <c r="V171" s="29" cm="1">
        <f t="array" ref="V171">IF(表成绩单[[#This Row],[历史]]="","",SUMPRODUCT((表成绩单[考试日期]=表成绩单[[#This Row],[考试日期]])*(表成绩单[历史]&lt;9E+307)*(表成绩单[历史]&gt;表成绩单[[#This Row],[历史]]))+1)</f>
        <v>189</v>
      </c>
      <c r="W171" s="29" cm="1">
        <f t="array" ref="W171">IF(表成绩单[[#This Row],[总分]]="","",SUMPRODUCT((表成绩单[考试日期]=表成绩单[[#This Row],[考试日期]])*(表成绩单[总分]&lt;9E+307)*(表成绩单[总分]&gt;表成绩单[[#This Row],[总分]]))+1)</f>
        <v>163</v>
      </c>
    </row>
    <row r="172" ht="28" customHeight="1" spans="4:23">
      <c r="D172" s="31">
        <v>45975</v>
      </c>
      <c r="E172" s="29">
        <v>19177209</v>
      </c>
      <c r="F172" s="29" t="s">
        <v>70</v>
      </c>
      <c r="G172" s="29" t="s">
        <v>245</v>
      </c>
      <c r="H172" s="29">
        <v>101</v>
      </c>
      <c r="I172" s="29">
        <v>109</v>
      </c>
      <c r="J172" s="29">
        <v>82</v>
      </c>
      <c r="K172" s="29">
        <v>77</v>
      </c>
      <c r="L172" s="29">
        <v>79</v>
      </c>
      <c r="M172" s="29">
        <v>88</v>
      </c>
      <c r="N172" s="29">
        <v>75</v>
      </c>
      <c r="O172" s="32">
        <v>611</v>
      </c>
      <c r="P172" s="29" cm="1">
        <f t="array" ref="P172">IF(表成绩单[[#This Row],[语文]]="","",SUMPRODUCT((表成绩单[考试日期]=表成绩单[[#This Row],[考试日期]])*(表成绩单[语文]&lt;9E+307)*(表成绩单[语文]&gt;表成绩单[[#This Row],[语文]]))+1)</f>
        <v>190</v>
      </c>
      <c r="Q172" s="29" cm="1">
        <f t="array" ref="Q172">IF(表成绩单[[#This Row],[数学]]="","",SUMPRODUCT((表成绩单[考试日期]=表成绩单[[#This Row],[考试日期]])*(表成绩单[数学]&lt;9E+307)*(表成绩单[数学]&gt;表成绩单[[#This Row],[数学]]))+1)</f>
        <v>165</v>
      </c>
      <c r="R172" s="29" cm="1">
        <f t="array" ref="R172">IF(表成绩单[[#This Row],[英语]]="","",SUMPRODUCT((表成绩单[考试日期]=表成绩单[[#This Row],[考试日期]])*(表成绩单[英语]&lt;9E+307)*(表成绩单[英语]&gt;表成绩单[[#This Row],[英语]]))+1)</f>
        <v>195</v>
      </c>
      <c r="S172" s="29" cm="1">
        <f t="array" ref="S172">IF(表成绩单[[#This Row],[物理]]="","",SUMPRODUCT((表成绩单[考试日期]=表成绩单[[#This Row],[考试日期]])*(表成绩单[物理]&lt;9E+307)*(表成绩单[物理]&gt;表成绩单[[#This Row],[物理]]))+1)</f>
        <v>572</v>
      </c>
      <c r="T172" s="29" cm="1">
        <f t="array" ref="T172">IF(表成绩单[[#This Row],[化学]]="","",SUMPRODUCT((表成绩单[考试日期]=表成绩单[[#This Row],[考试日期]])*(表成绩单[化学]&lt;9E+307)*(表成绩单[化学]&gt;表成绩单[[#This Row],[化学]]))+1)</f>
        <v>166</v>
      </c>
      <c r="U172" s="29" cm="1">
        <f t="array" ref="U172">IF(表成绩单[[#This Row],[政治]]="","",SUMPRODUCT((表成绩单[考试日期]=表成绩单[[#This Row],[考试日期]])*(表成绩单[政治]&lt;9E+307)*(表成绩单[政治]&gt;表成绩单[[#This Row],[政治]]))+1)</f>
        <v>4</v>
      </c>
      <c r="V172" s="29" cm="1">
        <f t="array" ref="V172">IF(表成绩单[[#This Row],[历史]]="","",SUMPRODUCT((表成绩单[考试日期]=表成绩单[[#This Row],[考试日期]])*(表成绩单[历史]&lt;9E+307)*(表成绩单[历史]&gt;表成绩单[[#This Row],[历史]]))+1)</f>
        <v>315</v>
      </c>
      <c r="W172" s="29" cm="1">
        <f t="array" ref="W172">IF(表成绩单[[#This Row],[总分]]="","",SUMPRODUCT((表成绩单[考试日期]=表成绩单[[#This Row],[考试日期]])*(表成绩单[总分]&lt;9E+307)*(表成绩单[总分]&gt;表成绩单[[#This Row],[总分]]))+1)</f>
        <v>168</v>
      </c>
    </row>
    <row r="173" ht="28" customHeight="1" spans="4:23">
      <c r="D173" s="31">
        <v>45975</v>
      </c>
      <c r="E173" s="29">
        <v>19177194</v>
      </c>
      <c r="F173" s="29" t="s">
        <v>70</v>
      </c>
      <c r="G173" s="29" t="s">
        <v>246</v>
      </c>
      <c r="H173" s="29">
        <v>101</v>
      </c>
      <c r="I173" s="29">
        <v>108</v>
      </c>
      <c r="J173" s="29">
        <v>80.5</v>
      </c>
      <c r="K173" s="29">
        <v>84</v>
      </c>
      <c r="L173" s="29">
        <v>72</v>
      </c>
      <c r="M173" s="29">
        <v>89</v>
      </c>
      <c r="N173" s="29">
        <v>76</v>
      </c>
      <c r="O173" s="32">
        <v>610.5</v>
      </c>
      <c r="P173" s="29" cm="1">
        <f t="array" ref="P173">IF(表成绩单[[#This Row],[语文]]="","",SUMPRODUCT((表成绩单[考试日期]=表成绩单[[#This Row],[考试日期]])*(表成绩单[语文]&lt;9E+307)*(表成绩单[语文]&gt;表成绩单[[#This Row],[语文]]))+1)</f>
        <v>190</v>
      </c>
      <c r="Q173" s="29" cm="1">
        <f t="array" ref="Q173">IF(表成绩单[[#This Row],[数学]]="","",SUMPRODUCT((表成绩单[考试日期]=表成绩单[[#This Row],[考试日期]])*(表成绩单[数学]&lt;9E+307)*(表成绩单[数学]&gt;表成绩单[[#This Row],[数学]]))+1)</f>
        <v>182</v>
      </c>
      <c r="R173" s="29" cm="1">
        <f t="array" ref="R173">IF(表成绩单[[#This Row],[英语]]="","",SUMPRODUCT((表成绩单[考试日期]=表成绩单[[#This Row],[考试日期]])*(表成绩单[英语]&lt;9E+307)*(表成绩单[英语]&gt;表成绩单[[#This Row],[英语]]))+1)</f>
        <v>255</v>
      </c>
      <c r="S173" s="29" cm="1">
        <f t="array" ref="S173">IF(表成绩单[[#This Row],[物理]]="","",SUMPRODUCT((表成绩单[考试日期]=表成绩单[[#This Row],[考试日期]])*(表成绩单[物理]&lt;9E+307)*(表成绩单[物理]&gt;表成绩单[[#This Row],[物理]]))+1)</f>
        <v>344</v>
      </c>
      <c r="T173" s="29" cm="1">
        <f t="array" ref="T173">IF(表成绩单[[#This Row],[化学]]="","",SUMPRODUCT((表成绩单[考试日期]=表成绩单[[#This Row],[考试日期]])*(表成绩单[化学]&lt;9E+307)*(表成绩单[化学]&gt;表成绩单[[#This Row],[化学]]))+1)</f>
        <v>405</v>
      </c>
      <c r="U173" s="29" cm="1">
        <f t="array" ref="U173">IF(表成绩单[[#This Row],[政治]]="","",SUMPRODUCT((表成绩单[考试日期]=表成绩单[[#This Row],[考试日期]])*(表成绩单[政治]&lt;9E+307)*(表成绩单[政治]&gt;表成绩单[[#This Row],[政治]]))+1)</f>
        <v>2</v>
      </c>
      <c r="V173" s="29" cm="1">
        <f t="array" ref="V173">IF(表成绩单[[#This Row],[历史]]="","",SUMPRODUCT((表成绩单[考试日期]=表成绩单[[#This Row],[考试日期]])*(表成绩单[历史]&lt;9E+307)*(表成绩单[历史]&gt;表成绩单[[#This Row],[历史]]))+1)</f>
        <v>278</v>
      </c>
      <c r="W173" s="29" cm="1">
        <f t="array" ref="W173">IF(表成绩单[[#This Row],[总分]]="","",SUMPRODUCT((表成绩单[考试日期]=表成绩单[[#This Row],[考试日期]])*(表成绩单[总分]&lt;9E+307)*(表成绩单[总分]&gt;表成绩单[[#This Row],[总分]]))+1)</f>
        <v>169</v>
      </c>
    </row>
    <row r="174" ht="28" customHeight="1" spans="4:23">
      <c r="D174" s="31">
        <v>45975</v>
      </c>
      <c r="E174" s="29">
        <v>19174453</v>
      </c>
      <c r="F174" s="29" t="s">
        <v>73</v>
      </c>
      <c r="G174" s="29" t="s">
        <v>247</v>
      </c>
      <c r="H174" s="29">
        <v>106</v>
      </c>
      <c r="I174" s="29">
        <v>102</v>
      </c>
      <c r="J174" s="29">
        <v>89</v>
      </c>
      <c r="K174" s="29">
        <v>82</v>
      </c>
      <c r="L174" s="29">
        <v>73</v>
      </c>
      <c r="M174" s="29">
        <v>81</v>
      </c>
      <c r="N174" s="29">
        <v>77</v>
      </c>
      <c r="O174" s="32">
        <v>610</v>
      </c>
      <c r="P174" s="29" cm="1">
        <f t="array" ref="P174">IF(表成绩单[[#This Row],[语文]]="","",SUMPRODUCT((表成绩单[考试日期]=表成绩单[[#This Row],[考试日期]])*(表成绩单[语文]&lt;9E+307)*(表成绩单[语文]&gt;表成绩单[[#This Row],[语文]]))+1)</f>
        <v>62</v>
      </c>
      <c r="Q174" s="29" cm="1">
        <f t="array" ref="Q174">IF(表成绩单[[#This Row],[数学]]="","",SUMPRODUCT((表成绩单[考试日期]=表成绩单[[#This Row],[考试日期]])*(表成绩单[数学]&lt;9E+307)*(表成绩单[数学]&gt;表成绩单[[#This Row],[数学]]))+1)</f>
        <v>298</v>
      </c>
      <c r="R174" s="29" cm="1">
        <f t="array" ref="R174">IF(表成绩单[[#This Row],[英语]]="","",SUMPRODUCT((表成绩单[考试日期]=表成绩单[[#This Row],[考试日期]])*(表成绩单[英语]&lt;9E+307)*(表成绩单[英语]&gt;表成绩单[[#This Row],[英语]]))+1)</f>
        <v>1</v>
      </c>
      <c r="S174" s="29" cm="1">
        <f t="array" ref="S174">IF(表成绩单[[#This Row],[物理]]="","",SUMPRODUCT((表成绩单[考试日期]=表成绩单[[#This Row],[考试日期]])*(表成绩单[物理]&lt;9E+307)*(表成绩单[物理]&gt;表成绩单[[#This Row],[物理]]))+1)</f>
        <v>433</v>
      </c>
      <c r="T174" s="29" cm="1">
        <f t="array" ref="T174">IF(表成绩单[[#This Row],[化学]]="","",SUMPRODUCT((表成绩单[考试日期]=表成绩单[[#This Row],[考试日期]])*(表成绩单[化学]&lt;9E+307)*(表成绩单[化学]&gt;表成绩单[[#This Row],[化学]]))+1)</f>
        <v>365</v>
      </c>
      <c r="U174" s="29" cm="1">
        <f t="array" ref="U174">IF(表成绩单[[#This Row],[政治]]="","",SUMPRODUCT((表成绩单[考试日期]=表成绩单[[#This Row],[考试日期]])*(表成绩单[政治]&lt;9E+307)*(表成绩单[政治]&gt;表成绩单[[#This Row],[政治]]))+1)</f>
        <v>180</v>
      </c>
      <c r="V174" s="29" cm="1">
        <f t="array" ref="V174">IF(表成绩单[[#This Row],[历史]]="","",SUMPRODUCT((表成绩单[考试日期]=表成绩单[[#This Row],[考试日期]])*(表成绩单[历史]&lt;9E+307)*(表成绩单[历史]&gt;表成绩单[[#This Row],[历史]]))+1)</f>
        <v>237</v>
      </c>
      <c r="W174" s="29" cm="1">
        <f t="array" ref="W174">IF(表成绩单[[#This Row],[总分]]="","",SUMPRODUCT((表成绩单[考试日期]=表成绩单[[#This Row],[考试日期]])*(表成绩单[总分]&lt;9E+307)*(表成绩单[总分]&gt;表成绩单[[#This Row],[总分]]))+1)</f>
        <v>170</v>
      </c>
    </row>
    <row r="175" ht="28" customHeight="1" spans="4:23">
      <c r="D175" s="31">
        <v>45975</v>
      </c>
      <c r="E175" s="29">
        <v>19171085</v>
      </c>
      <c r="F175" s="29" t="s">
        <v>67</v>
      </c>
      <c r="G175" s="29" t="s">
        <v>248</v>
      </c>
      <c r="H175" s="29">
        <v>97</v>
      </c>
      <c r="I175" s="29">
        <v>107</v>
      </c>
      <c r="J175" s="29">
        <v>82.5</v>
      </c>
      <c r="K175" s="29">
        <v>83</v>
      </c>
      <c r="L175" s="29">
        <v>79</v>
      </c>
      <c r="M175" s="29">
        <v>83</v>
      </c>
      <c r="N175" s="29">
        <v>78</v>
      </c>
      <c r="O175" s="32">
        <v>609.5</v>
      </c>
      <c r="P175" s="29" cm="1">
        <f t="array" ref="P175">IF(表成绩单[[#This Row],[语文]]="","",SUMPRODUCT((表成绩单[考试日期]=表成绩单[[#This Row],[考试日期]])*(表成绩单[语文]&lt;9E+307)*(表成绩单[语文]&gt;表成绩单[[#This Row],[语文]]))+1)</f>
        <v>349</v>
      </c>
      <c r="Q175" s="29" cm="1">
        <f t="array" ref="Q175">IF(表成绩单[[#This Row],[数学]]="","",SUMPRODUCT((表成绩单[考试日期]=表成绩单[[#This Row],[考试日期]])*(表成绩单[数学]&lt;9E+307)*(表成绩单[数学]&gt;表成绩单[[#This Row],[数学]]))+1)</f>
        <v>200</v>
      </c>
      <c r="R175" s="29" cm="1">
        <f t="array" ref="R175">IF(表成绩单[[#This Row],[英语]]="","",SUMPRODUCT((表成绩单[考试日期]=表成绩单[[#This Row],[考试日期]])*(表成绩单[英语]&lt;9E+307)*(表成绩单[英语]&gt;表成绩单[[#This Row],[英语]]))+1)</f>
        <v>170</v>
      </c>
      <c r="S175" s="29" cm="1">
        <f t="array" ref="S175">IF(表成绩单[[#This Row],[物理]]="","",SUMPRODUCT((表成绩单[考试日期]=表成绩单[[#This Row],[考试日期]])*(表成绩单[物理]&lt;9E+307)*(表成绩单[物理]&gt;表成绩单[[#This Row],[物理]]))+1)</f>
        <v>390</v>
      </c>
      <c r="T175" s="29" cm="1">
        <f t="array" ref="T175">IF(表成绩单[[#This Row],[化学]]="","",SUMPRODUCT((表成绩单[考试日期]=表成绩单[[#This Row],[考试日期]])*(表成绩单[化学]&lt;9E+307)*(表成绩单[化学]&gt;表成绩单[[#This Row],[化学]]))+1)</f>
        <v>166</v>
      </c>
      <c r="U175" s="29" cm="1">
        <f t="array" ref="U175">IF(表成绩单[[#This Row],[政治]]="","",SUMPRODUCT((表成绩单[考试日期]=表成绩单[[#This Row],[考试日期]])*(表成绩单[政治]&lt;9E+307)*(表成绩单[政治]&gt;表成绩单[[#This Row],[政治]]))+1)</f>
        <v>121</v>
      </c>
      <c r="V175" s="29" cm="1">
        <f t="array" ref="V175">IF(表成绩单[[#This Row],[历史]]="","",SUMPRODUCT((表成绩单[考试日期]=表成绩单[[#This Row],[考试日期]])*(表成绩单[历史]&lt;9E+307)*(表成绩单[历史]&gt;表成绩单[[#This Row],[历史]]))+1)</f>
        <v>189</v>
      </c>
      <c r="W175" s="29" cm="1">
        <f t="array" ref="W175">IF(表成绩单[[#This Row],[总分]]="","",SUMPRODUCT((表成绩单[考试日期]=表成绩单[[#This Row],[考试日期]])*(表成绩单[总分]&lt;9E+307)*(表成绩单[总分]&gt;表成绩单[[#This Row],[总分]]))+1)</f>
        <v>171</v>
      </c>
    </row>
    <row r="176" ht="28" customHeight="1" spans="4:23">
      <c r="D176" s="31">
        <v>45975</v>
      </c>
      <c r="E176" s="29">
        <v>19173541</v>
      </c>
      <c r="F176" s="29" t="s">
        <v>1</v>
      </c>
      <c r="G176" s="29" t="s">
        <v>249</v>
      </c>
      <c r="H176" s="29">
        <v>102</v>
      </c>
      <c r="I176" s="29">
        <v>104</v>
      </c>
      <c r="J176" s="29">
        <v>80.5</v>
      </c>
      <c r="K176" s="29">
        <v>80</v>
      </c>
      <c r="L176" s="29">
        <v>83</v>
      </c>
      <c r="M176" s="29">
        <v>84</v>
      </c>
      <c r="N176" s="29">
        <v>76</v>
      </c>
      <c r="O176" s="32">
        <v>609.5</v>
      </c>
      <c r="P176" s="29" cm="1">
        <f t="array" ref="P176">IF(表成绩单[[#This Row],[语文]]="","",SUMPRODUCT((表成绩单[考试日期]=表成绩单[[#This Row],[考试日期]])*(表成绩单[语文]&lt;9E+307)*(表成绩单[语文]&gt;表成绩单[[#This Row],[语文]]))+1)</f>
        <v>154</v>
      </c>
      <c r="Q176" s="29" cm="1">
        <f t="array" ref="Q176">IF(表成绩单[[#This Row],[数学]]="","",SUMPRODUCT((表成绩单[考试日期]=表成绩单[[#This Row],[考试日期]])*(表成绩单[数学]&lt;9E+307)*(表成绩单[数学]&gt;表成绩单[[#This Row],[数学]]))+1)</f>
        <v>260</v>
      </c>
      <c r="R176" s="29" cm="1">
        <f t="array" ref="R176">IF(表成绩单[[#This Row],[英语]]="","",SUMPRODUCT((表成绩单[考试日期]=表成绩单[[#This Row],[考试日期]])*(表成绩单[英语]&lt;9E+307)*(表成绩单[英语]&gt;表成绩单[[#This Row],[英语]]))+1)</f>
        <v>255</v>
      </c>
      <c r="S176" s="29" cm="1">
        <f t="array" ref="S176">IF(表成绩单[[#This Row],[物理]]="","",SUMPRODUCT((表成绩单[考试日期]=表成绩单[[#This Row],[考试日期]])*(表成绩单[物理]&lt;9E+307)*(表成绩单[物理]&gt;表成绩单[[#This Row],[物理]]))+1)</f>
        <v>507</v>
      </c>
      <c r="T176" s="29" cm="1">
        <f t="array" ref="T176">IF(表成绩单[[#This Row],[化学]]="","",SUMPRODUCT((表成绩单[考试日期]=表成绩单[[#This Row],[考试日期]])*(表成绩单[化学]&lt;9E+307)*(表成绩单[化学]&gt;表成绩单[[#This Row],[化学]]))+1)</f>
        <v>49</v>
      </c>
      <c r="U176" s="29" cm="1">
        <f t="array" ref="U176">IF(表成绩单[[#This Row],[政治]]="","",SUMPRODUCT((表成绩单[考试日期]=表成绩单[[#This Row],[考试日期]])*(表成绩单[政治]&lt;9E+307)*(表成绩单[政治]&gt;表成绩单[[#This Row],[政治]]))+1)</f>
        <v>83</v>
      </c>
      <c r="V176" s="29" cm="1">
        <f t="array" ref="V176">IF(表成绩单[[#This Row],[历史]]="","",SUMPRODUCT((表成绩单[考试日期]=表成绩单[[#This Row],[考试日期]])*(表成绩单[历史]&lt;9E+307)*(表成绩单[历史]&gt;表成绩单[[#This Row],[历史]]))+1)</f>
        <v>278</v>
      </c>
      <c r="W176" s="29" cm="1">
        <f t="array" ref="W176">IF(表成绩单[[#This Row],[总分]]="","",SUMPRODUCT((表成绩单[考试日期]=表成绩单[[#This Row],[考试日期]])*(表成绩单[总分]&lt;9E+307)*(表成绩单[总分]&gt;表成绩单[[#This Row],[总分]]))+1)</f>
        <v>171</v>
      </c>
    </row>
    <row r="177" ht="28" customHeight="1" spans="4:23">
      <c r="D177" s="31">
        <v>45975</v>
      </c>
      <c r="E177" s="29">
        <v>19173542</v>
      </c>
      <c r="F177" s="29" t="s">
        <v>1</v>
      </c>
      <c r="G177" s="29" t="s">
        <v>250</v>
      </c>
      <c r="H177" s="29">
        <v>109</v>
      </c>
      <c r="I177" s="29">
        <v>97</v>
      </c>
      <c r="J177" s="29">
        <v>78.5</v>
      </c>
      <c r="K177" s="29">
        <v>88</v>
      </c>
      <c r="L177" s="29">
        <v>74</v>
      </c>
      <c r="M177" s="29">
        <v>81</v>
      </c>
      <c r="N177" s="29">
        <v>82</v>
      </c>
      <c r="O177" s="32">
        <v>609.5</v>
      </c>
      <c r="P177" s="29" cm="1">
        <f t="array" ref="P177">IF(表成绩单[[#This Row],[语文]]="","",SUMPRODUCT((表成绩单[考试日期]=表成绩单[[#This Row],[考试日期]])*(表成绩单[语文]&lt;9E+307)*(表成绩单[语文]&gt;表成绩单[[#This Row],[语文]]))+1)</f>
        <v>18</v>
      </c>
      <c r="Q177" s="29" cm="1">
        <f t="array" ref="Q177">IF(表成绩单[[#This Row],[数学]]="","",SUMPRODUCT((表成绩单[考试日期]=表成绩单[[#This Row],[考试日期]])*(表成绩单[数学]&lt;9E+307)*(表成绩单[数学]&gt;表成绩单[[#This Row],[数学]]))+1)</f>
        <v>389</v>
      </c>
      <c r="R177" s="29" cm="1">
        <f t="array" ref="R177">IF(表成绩单[[#This Row],[英语]]="","",SUMPRODUCT((表成绩单[考试日期]=表成绩单[[#This Row],[考试日期]])*(表成绩单[英语]&lt;9E+307)*(表成绩单[英语]&gt;表成绩单[[#This Row],[英语]]))+1)</f>
        <v>314</v>
      </c>
      <c r="S177" s="29" cm="1">
        <f t="array" ref="S177">IF(表成绩单[[#This Row],[物理]]="","",SUMPRODUCT((表成绩单[考试日期]=表成绩单[[#This Row],[考试日期]])*(表成绩单[物理]&lt;9E+307)*(表成绩单[物理]&gt;表成绩单[[#This Row],[物理]]))+1)</f>
        <v>54</v>
      </c>
      <c r="T177" s="29" cm="1">
        <f t="array" ref="T177">IF(表成绩单[[#This Row],[化学]]="","",SUMPRODUCT((表成绩单[考试日期]=表成绩单[[#This Row],[考试日期]])*(表成绩单[化学]&lt;9E+307)*(表成绩单[化学]&gt;表成绩单[[#This Row],[化学]]))+1)</f>
        <v>337</v>
      </c>
      <c r="U177" s="29" cm="1">
        <f t="array" ref="U177">IF(表成绩单[[#This Row],[政治]]="","",SUMPRODUCT((表成绩单[考试日期]=表成绩单[[#This Row],[考试日期]])*(表成绩单[政治]&lt;9E+307)*(表成绩单[政治]&gt;表成绩单[[#This Row],[政治]]))+1)</f>
        <v>180</v>
      </c>
      <c r="V177" s="29" cm="1">
        <f t="array" ref="V177">IF(表成绩单[[#This Row],[历史]]="","",SUMPRODUCT((表成绩单[考试日期]=表成绩单[[#This Row],[考试日期]])*(表成绩单[历史]&lt;9E+307)*(表成绩单[历史]&gt;表成绩单[[#This Row],[历史]]))+1)</f>
        <v>35</v>
      </c>
      <c r="W177" s="29" cm="1">
        <f t="array" ref="W177">IF(表成绩单[[#This Row],[总分]]="","",SUMPRODUCT((表成绩单[考试日期]=表成绩单[[#This Row],[考试日期]])*(表成绩单[总分]&lt;9E+307)*(表成绩单[总分]&gt;表成绩单[[#This Row],[总分]]))+1)</f>
        <v>171</v>
      </c>
    </row>
    <row r="178" ht="28" customHeight="1" spans="4:23">
      <c r="D178" s="31">
        <v>45975</v>
      </c>
      <c r="E178" s="29">
        <v>19174440</v>
      </c>
      <c r="F178" s="29" t="s">
        <v>73</v>
      </c>
      <c r="G178" s="29" t="s">
        <v>251</v>
      </c>
      <c r="H178" s="29">
        <v>101</v>
      </c>
      <c r="I178" s="29">
        <v>108</v>
      </c>
      <c r="J178" s="29">
        <v>78.5</v>
      </c>
      <c r="K178" s="29">
        <v>85</v>
      </c>
      <c r="L178" s="29">
        <v>86</v>
      </c>
      <c r="M178" s="29">
        <v>76</v>
      </c>
      <c r="N178" s="29">
        <v>75</v>
      </c>
      <c r="O178" s="32">
        <v>609.5</v>
      </c>
      <c r="P178" s="29" cm="1">
        <f t="array" ref="P178">IF(表成绩单[[#This Row],[语文]]="","",SUMPRODUCT((表成绩单[考试日期]=表成绩单[[#This Row],[考试日期]])*(表成绩单[语文]&lt;9E+307)*(表成绩单[语文]&gt;表成绩单[[#This Row],[语文]]))+1)</f>
        <v>190</v>
      </c>
      <c r="Q178" s="29" cm="1">
        <f t="array" ref="Q178">IF(表成绩单[[#This Row],[数学]]="","",SUMPRODUCT((表成绩单[考试日期]=表成绩单[[#This Row],[考试日期]])*(表成绩单[数学]&lt;9E+307)*(表成绩单[数学]&gt;表成绩单[[#This Row],[数学]]))+1)</f>
        <v>182</v>
      </c>
      <c r="R178" s="29" cm="1">
        <f t="array" ref="R178">IF(表成绩单[[#This Row],[英语]]="","",SUMPRODUCT((表成绩单[考试日期]=表成绩单[[#This Row],[考试日期]])*(表成绩单[英语]&lt;9E+307)*(表成绩单[英语]&gt;表成绩单[[#This Row],[英语]]))+1)</f>
        <v>314</v>
      </c>
      <c r="S178" s="29" cm="1">
        <f t="array" ref="S178">IF(表成绩单[[#This Row],[物理]]="","",SUMPRODUCT((表成绩单[考试日期]=表成绩单[[#This Row],[考试日期]])*(表成绩单[物理]&lt;9E+307)*(表成绩单[物理]&gt;表成绩单[[#This Row],[物理]]))+1)</f>
        <v>263</v>
      </c>
      <c r="T178" s="29" cm="1">
        <f t="array" ref="T178">IF(表成绩单[[#This Row],[化学]]="","",SUMPRODUCT((表成绩单[考试日期]=表成绩单[[#This Row],[考试日期]])*(表成绩单[化学]&lt;9E+307)*(表成绩单[化学]&gt;表成绩单[[#This Row],[化学]]))+1)</f>
        <v>8</v>
      </c>
      <c r="U178" s="29" cm="1">
        <f t="array" ref="U178">IF(表成绩单[[#This Row],[政治]]="","",SUMPRODUCT((表成绩单[考试日期]=表成绩单[[#This Row],[考试日期]])*(表成绩单[政治]&lt;9E+307)*(表成绩单[政治]&gt;表成绩单[[#This Row],[政治]]))+1)</f>
        <v>329</v>
      </c>
      <c r="V178" s="29" cm="1">
        <f t="array" ref="V178">IF(表成绩单[[#This Row],[历史]]="","",SUMPRODUCT((表成绩单[考试日期]=表成绩单[[#This Row],[考试日期]])*(表成绩单[历史]&lt;9E+307)*(表成绩单[历史]&gt;表成绩单[[#This Row],[历史]]))+1)</f>
        <v>315</v>
      </c>
      <c r="W178" s="29" cm="1">
        <f t="array" ref="W178">IF(表成绩单[[#This Row],[总分]]="","",SUMPRODUCT((表成绩单[考试日期]=表成绩单[[#This Row],[考试日期]])*(表成绩单[总分]&lt;9E+307)*(表成绩单[总分]&gt;表成绩单[[#This Row],[总分]]))+1)</f>
        <v>171</v>
      </c>
    </row>
    <row r="179" ht="28" customHeight="1" spans="4:23">
      <c r="D179" s="31">
        <v>45975</v>
      </c>
      <c r="E179" s="29">
        <v>19175406</v>
      </c>
      <c r="F179" s="29" t="s">
        <v>74</v>
      </c>
      <c r="G179" s="29" t="s">
        <v>252</v>
      </c>
      <c r="H179" s="29">
        <v>100</v>
      </c>
      <c r="I179" s="29">
        <v>113</v>
      </c>
      <c r="J179" s="29">
        <v>85.5</v>
      </c>
      <c r="K179" s="29">
        <v>87</v>
      </c>
      <c r="L179" s="29">
        <v>70</v>
      </c>
      <c r="M179" s="29">
        <v>77</v>
      </c>
      <c r="N179" s="29">
        <v>77</v>
      </c>
      <c r="O179" s="32">
        <v>609.5</v>
      </c>
      <c r="P179" s="29" cm="1">
        <f t="array" ref="P179">IF(表成绩单[[#This Row],[语文]]="","",SUMPRODUCT((表成绩单[考试日期]=表成绩单[[#This Row],[考试日期]])*(表成绩单[语文]&lt;9E+307)*(表成绩单[语文]&gt;表成绩单[[#This Row],[语文]]))+1)</f>
        <v>223</v>
      </c>
      <c r="Q179" s="29" cm="1">
        <f t="array" ref="Q179">IF(表成绩单[[#This Row],[数学]]="","",SUMPRODUCT((表成绩单[考试日期]=表成绩单[[#This Row],[考试日期]])*(表成绩单[数学]&lt;9E+307)*(表成绩单[数学]&gt;表成绩单[[#This Row],[数学]]))+1)</f>
        <v>93</v>
      </c>
      <c r="R179" s="29" cm="1">
        <f t="array" ref="R179">IF(表成绩单[[#This Row],[英语]]="","",SUMPRODUCT((表成绩单[考试日期]=表成绩单[[#This Row],[考试日期]])*(表成绩单[英语]&lt;9E+307)*(表成绩单[英语]&gt;表成绩单[[#This Row],[英语]]))+1)</f>
        <v>54</v>
      </c>
      <c r="S179" s="29" cm="1">
        <f t="array" ref="S179">IF(表成绩单[[#This Row],[物理]]="","",SUMPRODUCT((表成绩单[考试日期]=表成绩单[[#This Row],[考试日期]])*(表成绩单[物理]&lt;9E+307)*(表成绩单[物理]&gt;表成绩单[[#This Row],[物理]]))+1)</f>
        <v>127</v>
      </c>
      <c r="T179" s="29" cm="1">
        <f t="array" ref="T179">IF(表成绩单[[#This Row],[化学]]="","",SUMPRODUCT((表成绩单[考试日期]=表成绩单[[#This Row],[考试日期]])*(表成绩单[化学]&lt;9E+307)*(表成绩单[化学]&gt;表成绩单[[#This Row],[化学]]))+1)</f>
        <v>453</v>
      </c>
      <c r="U179" s="29" cm="1">
        <f t="array" ref="U179">IF(表成绩单[[#This Row],[政治]]="","",SUMPRODUCT((表成绩单[考试日期]=表成绩单[[#This Row],[考试日期]])*(表成绩单[政治]&lt;9E+307)*(表成绩单[政治]&gt;表成绩单[[#This Row],[政治]]))+1)</f>
        <v>304</v>
      </c>
      <c r="V179" s="29" cm="1">
        <f t="array" ref="V179">IF(表成绩单[[#This Row],[历史]]="","",SUMPRODUCT((表成绩单[考试日期]=表成绩单[[#This Row],[考试日期]])*(表成绩单[历史]&lt;9E+307)*(表成绩单[历史]&gt;表成绩单[[#This Row],[历史]]))+1)</f>
        <v>237</v>
      </c>
      <c r="W179" s="29" cm="1">
        <f t="array" ref="W179">IF(表成绩单[[#This Row],[总分]]="","",SUMPRODUCT((表成绩单[考试日期]=表成绩单[[#This Row],[考试日期]])*(表成绩单[总分]&lt;9E+307)*(表成绩单[总分]&gt;表成绩单[[#This Row],[总分]]))+1)</f>
        <v>171</v>
      </c>
    </row>
    <row r="180" ht="28" customHeight="1" spans="4:23">
      <c r="D180" s="31">
        <v>45975</v>
      </c>
      <c r="E180" s="29">
        <v>19175677</v>
      </c>
      <c r="F180" s="29" t="s">
        <v>72</v>
      </c>
      <c r="G180" s="29" t="s">
        <v>253</v>
      </c>
      <c r="H180" s="29">
        <v>99</v>
      </c>
      <c r="I180" s="29">
        <v>115</v>
      </c>
      <c r="J180" s="29">
        <v>77.5</v>
      </c>
      <c r="K180" s="29">
        <v>83</v>
      </c>
      <c r="L180" s="29">
        <v>81</v>
      </c>
      <c r="M180" s="29">
        <v>77</v>
      </c>
      <c r="N180" s="29">
        <v>77</v>
      </c>
      <c r="O180" s="32">
        <v>609.5</v>
      </c>
      <c r="P180" s="29" cm="1">
        <f t="array" ref="P180">IF(表成绩单[[#This Row],[语文]]="","",SUMPRODUCT((表成绩单[考试日期]=表成绩单[[#This Row],[考试日期]])*(表成绩单[语文]&lt;9E+307)*(表成绩单[语文]&gt;表成绩单[[#This Row],[语文]]))+1)</f>
        <v>264</v>
      </c>
      <c r="Q180" s="29" cm="1">
        <f t="array" ref="Q180">IF(表成绩单[[#This Row],[数学]]="","",SUMPRODUCT((表成绩单[考试日期]=表成绩单[[#This Row],[考试日期]])*(表成绩单[数学]&lt;9E+307)*(表成绩单[数学]&gt;表成绩单[[#This Row],[数学]]))+1)</f>
        <v>63</v>
      </c>
      <c r="R180" s="29" cm="1">
        <f t="array" ref="R180">IF(表成绩单[[#This Row],[英语]]="","",SUMPRODUCT((表成绩单[考试日期]=表成绩单[[#This Row],[考试日期]])*(表成绩单[英语]&lt;9E+307)*(表成绩单[英语]&gt;表成绩单[[#This Row],[英语]]))+1)</f>
        <v>345</v>
      </c>
      <c r="S180" s="29" cm="1">
        <f t="array" ref="S180">IF(表成绩单[[#This Row],[物理]]="","",SUMPRODUCT((表成绩单[考试日期]=表成绩单[[#This Row],[考试日期]])*(表成绩单[物理]&lt;9E+307)*(表成绩单[物理]&gt;表成绩单[[#This Row],[物理]]))+1)</f>
        <v>390</v>
      </c>
      <c r="T180" s="29" cm="1">
        <f t="array" ref="T180">IF(表成绩单[[#This Row],[化学]]="","",SUMPRODUCT((表成绩单[考试日期]=表成绩单[[#This Row],[考试日期]])*(表成绩单[化学]&lt;9E+307)*(表成绩单[化学]&gt;表成绩单[[#This Row],[化学]]))+1)</f>
        <v>100</v>
      </c>
      <c r="U180" s="29" cm="1">
        <f t="array" ref="U180">IF(表成绩单[[#This Row],[政治]]="","",SUMPRODUCT((表成绩单[考试日期]=表成绩单[[#This Row],[考试日期]])*(表成绩单[政治]&lt;9E+307)*(表成绩单[政治]&gt;表成绩单[[#This Row],[政治]]))+1)</f>
        <v>304</v>
      </c>
      <c r="V180" s="29" cm="1">
        <f t="array" ref="V180">IF(表成绩单[[#This Row],[历史]]="","",SUMPRODUCT((表成绩单[考试日期]=表成绩单[[#This Row],[考试日期]])*(表成绩单[历史]&lt;9E+307)*(表成绩单[历史]&gt;表成绩单[[#This Row],[历史]]))+1)</f>
        <v>237</v>
      </c>
      <c r="W180" s="29" cm="1">
        <f t="array" ref="W180">IF(表成绩单[[#This Row],[总分]]="","",SUMPRODUCT((表成绩单[考试日期]=表成绩单[[#This Row],[考试日期]])*(表成绩单[总分]&lt;9E+307)*(表成绩单[总分]&gt;表成绩单[[#This Row],[总分]]))+1)</f>
        <v>171</v>
      </c>
    </row>
    <row r="181" ht="28" customHeight="1" spans="4:23">
      <c r="D181" s="31">
        <v>45975</v>
      </c>
      <c r="E181" s="29">
        <v>19177649</v>
      </c>
      <c r="F181" s="29" t="s">
        <v>63</v>
      </c>
      <c r="G181" s="29" t="s">
        <v>254</v>
      </c>
      <c r="H181" s="29">
        <v>102</v>
      </c>
      <c r="I181" s="29">
        <v>91</v>
      </c>
      <c r="J181" s="29">
        <v>86.5</v>
      </c>
      <c r="K181" s="29">
        <v>86</v>
      </c>
      <c r="L181" s="29">
        <v>78</v>
      </c>
      <c r="M181" s="29">
        <v>86</v>
      </c>
      <c r="N181" s="29">
        <v>80</v>
      </c>
      <c r="O181" s="32">
        <v>609.5</v>
      </c>
      <c r="P181" s="29" cm="1">
        <f t="array" ref="P181">IF(表成绩单[[#This Row],[语文]]="","",SUMPRODUCT((表成绩单[考试日期]=表成绩单[[#This Row],[考试日期]])*(表成绩单[语文]&lt;9E+307)*(表成绩单[语文]&gt;表成绩单[[#This Row],[语文]]))+1)</f>
        <v>154</v>
      </c>
      <c r="Q181" s="29" cm="1">
        <f t="array" ref="Q181">IF(表成绩单[[#This Row],[数学]]="","",SUMPRODUCT((表成绩单[考试日期]=表成绩单[[#This Row],[考试日期]])*(表成绩单[数学]&lt;9E+307)*(表成绩单[数学]&gt;表成绩单[[#This Row],[数学]]))+1)</f>
        <v>495</v>
      </c>
      <c r="R181" s="29" cm="1">
        <f t="array" ref="R181">IF(表成绩单[[#This Row],[英语]]="","",SUMPRODUCT((表成绩单[考试日期]=表成绩单[[#This Row],[考试日期]])*(表成绩单[英语]&lt;9E+307)*(表成绩单[英语]&gt;表成绩单[[#This Row],[英语]]))+1)</f>
        <v>35</v>
      </c>
      <c r="S181" s="29" cm="1">
        <f t="array" ref="S181">IF(表成绩单[[#This Row],[物理]]="","",SUMPRODUCT((表成绩单[考试日期]=表成绩单[[#This Row],[考试日期]])*(表成绩单[物理]&lt;9E+307)*(表成绩单[物理]&gt;表成绩单[[#This Row],[物理]]))+1)</f>
        <v>187</v>
      </c>
      <c r="T181" s="29" cm="1">
        <f t="array" ref="T181">IF(表成绩单[[#This Row],[化学]]="","",SUMPRODUCT((表成绩单[考试日期]=表成绩单[[#This Row],[考试日期]])*(表成绩单[化学]&lt;9E+307)*(表成绩单[化学]&gt;表成绩单[[#This Row],[化学]]))+1)</f>
        <v>200</v>
      </c>
      <c r="U181" s="29" cm="1">
        <f t="array" ref="U181">IF(表成绩单[[#This Row],[政治]]="","",SUMPRODUCT((表成绩单[考试日期]=表成绩单[[#This Row],[考试日期]])*(表成绩单[政治]&lt;9E+307)*(表成绩单[政治]&gt;表成绩单[[#This Row],[政治]]))+1)</f>
        <v>26</v>
      </c>
      <c r="V181" s="29" cm="1">
        <f t="array" ref="V181">IF(表成绩单[[#This Row],[历史]]="","",SUMPRODUCT((表成绩单[考试日期]=表成绩单[[#This Row],[考试日期]])*(表成绩单[历史]&lt;9E+307)*(表成绩单[历史]&gt;表成绩单[[#This Row],[历史]]))+1)</f>
        <v>108</v>
      </c>
      <c r="W181" s="29" cm="1">
        <f t="array" ref="W181">IF(表成绩单[[#This Row],[总分]]="","",SUMPRODUCT((表成绩单[考试日期]=表成绩单[[#This Row],[考试日期]])*(表成绩单[总分]&lt;9E+307)*(表成绩单[总分]&gt;表成绩单[[#This Row],[总分]]))+1)</f>
        <v>171</v>
      </c>
    </row>
    <row r="182" ht="28" customHeight="1" spans="4:23">
      <c r="D182" s="31">
        <v>45975</v>
      </c>
      <c r="E182" s="29">
        <v>19175634</v>
      </c>
      <c r="F182" s="29" t="s">
        <v>66</v>
      </c>
      <c r="G182" s="29" t="s">
        <v>255</v>
      </c>
      <c r="H182" s="29">
        <v>100</v>
      </c>
      <c r="I182" s="29">
        <v>117</v>
      </c>
      <c r="J182" s="29">
        <v>80</v>
      </c>
      <c r="K182" s="29">
        <v>85</v>
      </c>
      <c r="L182" s="29">
        <v>78</v>
      </c>
      <c r="M182" s="29">
        <v>68</v>
      </c>
      <c r="N182" s="29">
        <v>81</v>
      </c>
      <c r="O182" s="32">
        <v>609</v>
      </c>
      <c r="P182" s="29" cm="1">
        <f t="array" ref="P182">IF(表成绩单[[#This Row],[语文]]="","",SUMPRODUCT((表成绩单[考试日期]=表成绩单[[#This Row],[考试日期]])*(表成绩单[语文]&lt;9E+307)*(表成绩单[语文]&gt;表成绩单[[#This Row],[语文]]))+1)</f>
        <v>223</v>
      </c>
      <c r="Q182" s="29" cm="1">
        <f t="array" ref="Q182">IF(表成绩单[[#This Row],[数学]]="","",SUMPRODUCT((表成绩单[考试日期]=表成绩单[[#This Row],[考试日期]])*(表成绩单[数学]&lt;9E+307)*(表成绩单[数学]&gt;表成绩单[[#This Row],[数学]]))+1)</f>
        <v>37</v>
      </c>
      <c r="R182" s="29" cm="1">
        <f t="array" ref="R182">IF(表成绩单[[#This Row],[英语]]="","",SUMPRODUCT((表成绩单[考试日期]=表成绩单[[#This Row],[考试日期]])*(表成绩单[英语]&lt;9E+307)*(表成绩单[英语]&gt;表成绩单[[#This Row],[英语]]))+1)</f>
        <v>268</v>
      </c>
      <c r="S182" s="29" cm="1">
        <f t="array" ref="S182">IF(表成绩单[[#This Row],[物理]]="","",SUMPRODUCT((表成绩单[考试日期]=表成绩单[[#This Row],[考试日期]])*(表成绩单[物理]&lt;9E+307)*(表成绩单[物理]&gt;表成绩单[[#This Row],[物理]]))+1)</f>
        <v>263</v>
      </c>
      <c r="T182" s="29" cm="1">
        <f t="array" ref="T182">IF(表成绩单[[#This Row],[化学]]="","",SUMPRODUCT((表成绩单[考试日期]=表成绩单[[#This Row],[考试日期]])*(表成绩单[化学]&lt;9E+307)*(表成绩单[化学]&gt;表成绩单[[#This Row],[化学]]))+1)</f>
        <v>200</v>
      </c>
      <c r="U182" s="29" cm="1">
        <f t="array" ref="U182">IF(表成绩单[[#This Row],[政治]]="","",SUMPRODUCT((表成绩单[考试日期]=表成绩单[[#This Row],[考试日期]])*(表成绩单[政治]&lt;9E+307)*(表成绩单[政治]&gt;表成绩单[[#This Row],[政治]]))+1)</f>
        <v>527</v>
      </c>
      <c r="V182" s="29" cm="1">
        <f t="array" ref="V182">IF(表成绩单[[#This Row],[历史]]="","",SUMPRODUCT((表成绩单[考试日期]=表成绩单[[#This Row],[考试日期]])*(表成绩单[历史]&lt;9E+307)*(表成绩单[历史]&gt;表成绩单[[#This Row],[历史]]))+1)</f>
        <v>63</v>
      </c>
      <c r="W182" s="29" cm="1">
        <f t="array" ref="W182">IF(表成绩单[[#This Row],[总分]]="","",SUMPRODUCT((表成绩单[考试日期]=表成绩单[[#This Row],[考试日期]])*(表成绩单[总分]&lt;9E+307)*(表成绩单[总分]&gt;表成绩单[[#This Row],[总分]]))+1)</f>
        <v>178</v>
      </c>
    </row>
    <row r="183" ht="28" customHeight="1" spans="4:23">
      <c r="D183" s="31">
        <v>45975</v>
      </c>
      <c r="E183" s="29">
        <v>19176853</v>
      </c>
      <c r="F183" s="29" t="s">
        <v>71</v>
      </c>
      <c r="G183" s="29" t="s">
        <v>256</v>
      </c>
      <c r="H183" s="29">
        <v>102</v>
      </c>
      <c r="I183" s="29">
        <v>111</v>
      </c>
      <c r="J183" s="29">
        <v>86</v>
      </c>
      <c r="K183" s="29">
        <v>86</v>
      </c>
      <c r="L183" s="29">
        <v>69</v>
      </c>
      <c r="M183" s="29">
        <v>80</v>
      </c>
      <c r="N183" s="29">
        <v>75</v>
      </c>
      <c r="O183" s="32">
        <v>609</v>
      </c>
      <c r="P183" s="29" cm="1">
        <f t="array" ref="P183">IF(表成绩单[[#This Row],[语文]]="","",SUMPRODUCT((表成绩单[考试日期]=表成绩单[[#This Row],[考试日期]])*(表成绩单[语文]&lt;9E+307)*(表成绩单[语文]&gt;表成绩单[[#This Row],[语文]]))+1)</f>
        <v>154</v>
      </c>
      <c r="Q183" s="29" cm="1">
        <f t="array" ref="Q183">IF(表成绩单[[#This Row],[数学]]="","",SUMPRODUCT((表成绩单[考试日期]=表成绩单[[#This Row],[考试日期]])*(表成绩单[数学]&lt;9E+307)*(表成绩单[数学]&gt;表成绩单[[#This Row],[数学]]))+1)</f>
        <v>134</v>
      </c>
      <c r="R183" s="29" cm="1">
        <f t="array" ref="R183">IF(表成绩单[[#This Row],[英语]]="","",SUMPRODUCT((表成绩单[考试日期]=表成绩单[[#This Row],[考试日期]])*(表成绩单[英语]&lt;9E+307)*(表成绩单[英语]&gt;表成绩单[[#This Row],[英语]]))+1)</f>
        <v>42</v>
      </c>
      <c r="S183" s="29" cm="1">
        <f t="array" ref="S183">IF(表成绩单[[#This Row],[物理]]="","",SUMPRODUCT((表成绩单[考试日期]=表成绩单[[#This Row],[考试日期]])*(表成绩单[物理]&lt;9E+307)*(表成绩单[物理]&gt;表成绩单[[#This Row],[物理]]))+1)</f>
        <v>187</v>
      </c>
      <c r="T183" s="29" cm="1">
        <f t="array" ref="T183">IF(表成绩单[[#This Row],[化学]]="","",SUMPRODUCT((表成绩单[考试日期]=表成绩单[[#This Row],[考试日期]])*(表成绩单[化学]&lt;9E+307)*(表成绩单[化学]&gt;表成绩单[[#This Row],[化学]]))+1)</f>
        <v>478</v>
      </c>
      <c r="U183" s="29" cm="1">
        <f t="array" ref="U183">IF(表成绩单[[#This Row],[政治]]="","",SUMPRODUCT((表成绩单[考试日期]=表成绩单[[#This Row],[考试日期]])*(表成绩单[政治]&lt;9E+307)*(表成绩单[政治]&gt;表成绩单[[#This Row],[政治]]))+1)</f>
        <v>209</v>
      </c>
      <c r="V183" s="29" cm="1">
        <f t="array" ref="V183">IF(表成绩单[[#This Row],[历史]]="","",SUMPRODUCT((表成绩单[考试日期]=表成绩单[[#This Row],[考试日期]])*(表成绩单[历史]&lt;9E+307)*(表成绩单[历史]&gt;表成绩单[[#This Row],[历史]]))+1)</f>
        <v>315</v>
      </c>
      <c r="W183" s="29" cm="1">
        <f t="array" ref="W183">IF(表成绩单[[#This Row],[总分]]="","",SUMPRODUCT((表成绩单[考试日期]=表成绩单[[#This Row],[考试日期]])*(表成绩单[总分]&lt;9E+307)*(表成绩单[总分]&gt;表成绩单[[#This Row],[总分]]))+1)</f>
        <v>178</v>
      </c>
    </row>
    <row r="184" ht="28" customHeight="1" spans="4:23">
      <c r="D184" s="31">
        <v>45975</v>
      </c>
      <c r="E184" s="29">
        <v>19176873</v>
      </c>
      <c r="F184" s="29" t="s">
        <v>71</v>
      </c>
      <c r="G184" s="29" t="s">
        <v>257</v>
      </c>
      <c r="H184" s="29">
        <v>99</v>
      </c>
      <c r="I184" s="29">
        <v>104</v>
      </c>
      <c r="J184" s="29">
        <v>83</v>
      </c>
      <c r="K184" s="29">
        <v>85</v>
      </c>
      <c r="L184" s="29">
        <v>78</v>
      </c>
      <c r="M184" s="29">
        <v>85</v>
      </c>
      <c r="N184" s="29">
        <v>75</v>
      </c>
      <c r="O184" s="32">
        <v>609</v>
      </c>
      <c r="P184" s="29" cm="1">
        <f t="array" ref="P184">IF(表成绩单[[#This Row],[语文]]="","",SUMPRODUCT((表成绩单[考试日期]=表成绩单[[#This Row],[考试日期]])*(表成绩单[语文]&lt;9E+307)*(表成绩单[语文]&gt;表成绩单[[#This Row],[语文]]))+1)</f>
        <v>264</v>
      </c>
      <c r="Q184" s="29" cm="1">
        <f t="array" ref="Q184">IF(表成绩单[[#This Row],[数学]]="","",SUMPRODUCT((表成绩单[考试日期]=表成绩单[[#This Row],[考试日期]])*(表成绩单[数学]&lt;9E+307)*(表成绩单[数学]&gt;表成绩单[[#This Row],[数学]]))+1)</f>
        <v>260</v>
      </c>
      <c r="R184" s="29" cm="1">
        <f t="array" ref="R184">IF(表成绩单[[#This Row],[英语]]="","",SUMPRODUCT((表成绩单[考试日期]=表成绩单[[#This Row],[考试日期]])*(表成绩单[英语]&lt;9E+307)*(表成绩单[英语]&gt;表成绩单[[#This Row],[英语]]))+1)</f>
        <v>146</v>
      </c>
      <c r="S184" s="29" cm="1">
        <f t="array" ref="S184">IF(表成绩单[[#This Row],[物理]]="","",SUMPRODUCT((表成绩单[考试日期]=表成绩单[[#This Row],[考试日期]])*(表成绩单[物理]&lt;9E+307)*(表成绩单[物理]&gt;表成绩单[[#This Row],[物理]]))+1)</f>
        <v>263</v>
      </c>
      <c r="T184" s="29" cm="1">
        <f t="array" ref="T184">IF(表成绩单[[#This Row],[化学]]="","",SUMPRODUCT((表成绩单[考试日期]=表成绩单[[#This Row],[考试日期]])*(表成绩单[化学]&lt;9E+307)*(表成绩单[化学]&gt;表成绩单[[#This Row],[化学]]))+1)</f>
        <v>200</v>
      </c>
      <c r="U184" s="29" cm="1">
        <f t="array" ref="U184">IF(表成绩单[[#This Row],[政治]]="","",SUMPRODUCT((表成绩单[考试日期]=表成绩单[[#This Row],[考试日期]])*(表成绩单[政治]&lt;9E+307)*(表成绩单[政治]&gt;表成绩单[[#This Row],[政治]]))+1)</f>
        <v>45</v>
      </c>
      <c r="V184" s="29" cm="1">
        <f t="array" ref="V184">IF(表成绩单[[#This Row],[历史]]="","",SUMPRODUCT((表成绩单[考试日期]=表成绩单[[#This Row],[考试日期]])*(表成绩单[历史]&lt;9E+307)*(表成绩单[历史]&gt;表成绩单[[#This Row],[历史]]))+1)</f>
        <v>315</v>
      </c>
      <c r="W184" s="29" cm="1">
        <f t="array" ref="W184">IF(表成绩单[[#This Row],[总分]]="","",SUMPRODUCT((表成绩单[考试日期]=表成绩单[[#This Row],[考试日期]])*(表成绩单[总分]&lt;9E+307)*(表成绩单[总分]&gt;表成绩单[[#This Row],[总分]]))+1)</f>
        <v>178</v>
      </c>
    </row>
    <row r="185" ht="28" customHeight="1" spans="4:23">
      <c r="D185" s="31">
        <v>45975</v>
      </c>
      <c r="E185" s="29">
        <v>19177234</v>
      </c>
      <c r="F185" s="29" t="s">
        <v>70</v>
      </c>
      <c r="G185" s="29" t="s">
        <v>258</v>
      </c>
      <c r="H185" s="29">
        <v>105</v>
      </c>
      <c r="I185" s="29">
        <v>111</v>
      </c>
      <c r="J185" s="29">
        <v>75</v>
      </c>
      <c r="K185" s="29">
        <v>86</v>
      </c>
      <c r="L185" s="29">
        <v>79</v>
      </c>
      <c r="M185" s="29">
        <v>80</v>
      </c>
      <c r="N185" s="29">
        <v>73</v>
      </c>
      <c r="O185" s="32">
        <v>609</v>
      </c>
      <c r="P185" s="29" cm="1">
        <f t="array" ref="P185">IF(表成绩单[[#This Row],[语文]]="","",SUMPRODUCT((表成绩单[考试日期]=表成绩单[[#This Row],[考试日期]])*(表成绩单[语文]&lt;9E+307)*(表成绩单[语文]&gt;表成绩单[[#This Row],[语文]]))+1)</f>
        <v>80</v>
      </c>
      <c r="Q185" s="29" cm="1">
        <f t="array" ref="Q185">IF(表成绩单[[#This Row],[数学]]="","",SUMPRODUCT((表成绩单[考试日期]=表成绩单[[#This Row],[考试日期]])*(表成绩单[数学]&lt;9E+307)*(表成绩单[数学]&gt;表成绩单[[#This Row],[数学]]))+1)</f>
        <v>134</v>
      </c>
      <c r="R185" s="29" cm="1">
        <f t="array" ref="R185">IF(表成绩单[[#This Row],[英语]]="","",SUMPRODUCT((表成绩单[考试日期]=表成绩单[[#This Row],[考试日期]])*(表成绩单[英语]&lt;9E+307)*(表成绩单[英语]&gt;表成绩单[[#This Row],[英语]]))+1)</f>
        <v>430</v>
      </c>
      <c r="S185" s="29" cm="1">
        <f t="array" ref="S185">IF(表成绩单[[#This Row],[物理]]="","",SUMPRODUCT((表成绩单[考试日期]=表成绩单[[#This Row],[考试日期]])*(表成绩单[物理]&lt;9E+307)*(表成绩单[物理]&gt;表成绩单[[#This Row],[物理]]))+1)</f>
        <v>187</v>
      </c>
      <c r="T185" s="29" cm="1">
        <f t="array" ref="T185">IF(表成绩单[[#This Row],[化学]]="","",SUMPRODUCT((表成绩单[考试日期]=表成绩单[[#This Row],[考试日期]])*(表成绩单[化学]&lt;9E+307)*(表成绩单[化学]&gt;表成绩单[[#This Row],[化学]]))+1)</f>
        <v>166</v>
      </c>
      <c r="U185" s="29" cm="1">
        <f t="array" ref="U185">IF(表成绩单[[#This Row],[政治]]="","",SUMPRODUCT((表成绩单[考试日期]=表成绩单[[#This Row],[考试日期]])*(表成绩单[政治]&lt;9E+307)*(表成绩单[政治]&gt;表成绩单[[#This Row],[政治]]))+1)</f>
        <v>209</v>
      </c>
      <c r="V185" s="29" cm="1">
        <f t="array" ref="V185">IF(表成绩单[[#This Row],[历史]]="","",SUMPRODUCT((表成绩单[考试日期]=表成绩单[[#This Row],[考试日期]])*(表成绩单[历史]&lt;9E+307)*(表成绩单[历史]&gt;表成绩单[[#This Row],[历史]]))+1)</f>
        <v>395</v>
      </c>
      <c r="W185" s="29" cm="1">
        <f t="array" ref="W185">IF(表成绩单[[#This Row],[总分]]="","",SUMPRODUCT((表成绩单[考试日期]=表成绩单[[#This Row],[考试日期]])*(表成绩单[总分]&lt;9E+307)*(表成绩单[总分]&gt;表成绩单[[#This Row],[总分]]))+1)</f>
        <v>178</v>
      </c>
    </row>
    <row r="186" ht="28" customHeight="1" spans="4:23">
      <c r="D186" s="31">
        <v>45975</v>
      </c>
      <c r="E186" s="29">
        <v>19167651</v>
      </c>
      <c r="F186" s="29" t="s">
        <v>1</v>
      </c>
      <c r="G186" s="29" t="s">
        <v>259</v>
      </c>
      <c r="H186" s="29">
        <v>103</v>
      </c>
      <c r="I186" s="29">
        <v>94</v>
      </c>
      <c r="J186" s="29">
        <v>85.5</v>
      </c>
      <c r="K186" s="29">
        <v>85</v>
      </c>
      <c r="L186" s="29">
        <v>79</v>
      </c>
      <c r="M186" s="29">
        <v>84</v>
      </c>
      <c r="N186" s="29">
        <v>78</v>
      </c>
      <c r="O186" s="32">
        <v>608.5</v>
      </c>
      <c r="P186" s="29" cm="1">
        <f t="array" ref="P186">IF(表成绩单[[#This Row],[语文]]="","",SUMPRODUCT((表成绩单[考试日期]=表成绩单[[#This Row],[考试日期]])*(表成绩单[语文]&lt;9E+307)*(表成绩单[语文]&gt;表成绩单[[#This Row],[语文]]))+1)</f>
        <v>126</v>
      </c>
      <c r="Q186" s="29" cm="1">
        <f t="array" ref="Q186">IF(表成绩单[[#This Row],[数学]]="","",SUMPRODUCT((表成绩单[考试日期]=表成绩单[[#This Row],[考试日期]])*(表成绩单[数学]&lt;9E+307)*(表成绩单[数学]&gt;表成绩单[[#This Row],[数学]]))+1)</f>
        <v>454</v>
      </c>
      <c r="R186" s="29" cm="1">
        <f t="array" ref="R186">IF(表成绩单[[#This Row],[英语]]="","",SUMPRODUCT((表成绩单[考试日期]=表成绩单[[#This Row],[考试日期]])*(表成绩单[英语]&lt;9E+307)*(表成绩单[英语]&gt;表成绩单[[#This Row],[英语]]))+1)</f>
        <v>54</v>
      </c>
      <c r="S186" s="29" cm="1">
        <f t="array" ref="S186">IF(表成绩单[[#This Row],[物理]]="","",SUMPRODUCT((表成绩单[考试日期]=表成绩单[[#This Row],[考试日期]])*(表成绩单[物理]&lt;9E+307)*(表成绩单[物理]&gt;表成绩单[[#This Row],[物理]]))+1)</f>
        <v>263</v>
      </c>
      <c r="T186" s="29" cm="1">
        <f t="array" ref="T186">IF(表成绩单[[#This Row],[化学]]="","",SUMPRODUCT((表成绩单[考试日期]=表成绩单[[#This Row],[考试日期]])*(表成绩单[化学]&lt;9E+307)*(表成绩单[化学]&gt;表成绩单[[#This Row],[化学]]))+1)</f>
        <v>166</v>
      </c>
      <c r="U186" s="29" cm="1">
        <f t="array" ref="U186">IF(表成绩单[[#This Row],[政治]]="","",SUMPRODUCT((表成绩单[考试日期]=表成绩单[[#This Row],[考试日期]])*(表成绩单[政治]&lt;9E+307)*(表成绩单[政治]&gt;表成绩单[[#This Row],[政治]]))+1)</f>
        <v>83</v>
      </c>
      <c r="V186" s="29" cm="1">
        <f t="array" ref="V186">IF(表成绩单[[#This Row],[历史]]="","",SUMPRODUCT((表成绩单[考试日期]=表成绩单[[#This Row],[考试日期]])*(表成绩单[历史]&lt;9E+307)*(表成绩单[历史]&gt;表成绩单[[#This Row],[历史]]))+1)</f>
        <v>189</v>
      </c>
      <c r="W186" s="29" cm="1">
        <f t="array" ref="W186">IF(表成绩单[[#This Row],[总分]]="","",SUMPRODUCT((表成绩单[考试日期]=表成绩单[[#This Row],[考试日期]])*(表成绩单[总分]&lt;9E+307)*(表成绩单[总分]&gt;表成绩单[[#This Row],[总分]]))+1)</f>
        <v>182</v>
      </c>
    </row>
    <row r="187" ht="28" customHeight="1" spans="4:23">
      <c r="D187" s="31">
        <v>45975</v>
      </c>
      <c r="E187" s="29">
        <v>19175381</v>
      </c>
      <c r="F187" s="29" t="s">
        <v>74</v>
      </c>
      <c r="G187" s="29" t="s">
        <v>260</v>
      </c>
      <c r="H187" s="29">
        <v>99</v>
      </c>
      <c r="I187" s="29">
        <v>118</v>
      </c>
      <c r="J187" s="29">
        <v>83.5</v>
      </c>
      <c r="K187" s="29">
        <v>84</v>
      </c>
      <c r="L187" s="29">
        <v>74</v>
      </c>
      <c r="M187" s="29">
        <v>71</v>
      </c>
      <c r="N187" s="29">
        <v>79</v>
      </c>
      <c r="O187" s="32">
        <v>608.5</v>
      </c>
      <c r="P187" s="29" cm="1">
        <f t="array" ref="P187">IF(表成绩单[[#This Row],[语文]]="","",SUMPRODUCT((表成绩单[考试日期]=表成绩单[[#This Row],[考试日期]])*(表成绩单[语文]&lt;9E+307)*(表成绩单[语文]&gt;表成绩单[[#This Row],[语文]]))+1)</f>
        <v>264</v>
      </c>
      <c r="Q187" s="29" cm="1">
        <f t="array" ref="Q187">IF(表成绩单[[#This Row],[数学]]="","",SUMPRODUCT((表成绩单[考试日期]=表成绩单[[#This Row],[考试日期]])*(表成绩单[数学]&lt;9E+307)*(表成绩单[数学]&gt;表成绩单[[#This Row],[数学]]))+1)</f>
        <v>22</v>
      </c>
      <c r="R187" s="29" cm="1">
        <f t="array" ref="R187">IF(表成绩单[[#This Row],[英语]]="","",SUMPRODUCT((表成绩单[考试日期]=表成绩单[[#This Row],[考试日期]])*(表成绩单[英语]&lt;9E+307)*(表成绩单[英语]&gt;表成绩单[[#This Row],[英语]]))+1)</f>
        <v>128</v>
      </c>
      <c r="S187" s="29" cm="1">
        <f t="array" ref="S187">IF(表成绩单[[#This Row],[物理]]="","",SUMPRODUCT((表成绩单[考试日期]=表成绩单[[#This Row],[考试日期]])*(表成绩单[物理]&lt;9E+307)*(表成绩单[物理]&gt;表成绩单[[#This Row],[物理]]))+1)</f>
        <v>344</v>
      </c>
      <c r="T187" s="29" cm="1">
        <f t="array" ref="T187">IF(表成绩单[[#This Row],[化学]]="","",SUMPRODUCT((表成绩单[考试日期]=表成绩单[[#This Row],[考试日期]])*(表成绩单[化学]&lt;9E+307)*(表成绩单[化学]&gt;表成绩单[[#This Row],[化学]]))+1)</f>
        <v>337</v>
      </c>
      <c r="U187" s="29" cm="1">
        <f t="array" ref="U187">IF(表成绩单[[#This Row],[政治]]="","",SUMPRODUCT((表成绩单[考试日期]=表成绩单[[#This Row],[考试日期]])*(表成绩单[政治]&lt;9E+307)*(表成绩单[政治]&gt;表成绩单[[#This Row],[政治]]))+1)</f>
        <v>467</v>
      </c>
      <c r="V187" s="29" cm="1">
        <f t="array" ref="V187">IF(表成绩单[[#This Row],[历史]]="","",SUMPRODUCT((表成绩单[考试日期]=表成绩单[[#This Row],[考试日期]])*(表成绩单[历史]&lt;9E+307)*(表成绩单[历史]&gt;表成绩单[[#This Row],[历史]]))+1)</f>
        <v>144</v>
      </c>
      <c r="W187" s="29" cm="1">
        <f t="array" ref="W187">IF(表成绩单[[#This Row],[总分]]="","",SUMPRODUCT((表成绩单[考试日期]=表成绩单[[#This Row],[考试日期]])*(表成绩单[总分]&lt;9E+307)*(表成绩单[总分]&gt;表成绩单[[#This Row],[总分]]))+1)</f>
        <v>182</v>
      </c>
    </row>
    <row r="188" ht="28" customHeight="1" spans="4:23">
      <c r="D188" s="31">
        <v>45975</v>
      </c>
      <c r="E188" s="29">
        <v>19177675</v>
      </c>
      <c r="F188" s="29" t="s">
        <v>63</v>
      </c>
      <c r="G188" s="29" t="s">
        <v>261</v>
      </c>
      <c r="H188" s="29">
        <v>99</v>
      </c>
      <c r="I188" s="29">
        <v>100</v>
      </c>
      <c r="J188" s="29">
        <v>80.5</v>
      </c>
      <c r="K188" s="29">
        <v>85</v>
      </c>
      <c r="L188" s="29">
        <v>81</v>
      </c>
      <c r="M188" s="29">
        <v>87</v>
      </c>
      <c r="N188" s="29">
        <v>76</v>
      </c>
      <c r="O188" s="32">
        <v>608.5</v>
      </c>
      <c r="P188" s="29" cm="1">
        <f t="array" ref="P188">IF(表成绩单[[#This Row],[语文]]="","",SUMPRODUCT((表成绩单[考试日期]=表成绩单[[#This Row],[考试日期]])*(表成绩单[语文]&lt;9E+307)*(表成绩单[语文]&gt;表成绩单[[#This Row],[语文]]))+1)</f>
        <v>264</v>
      </c>
      <c r="Q188" s="29" cm="1">
        <f t="array" ref="Q188">IF(表成绩单[[#This Row],[数学]]="","",SUMPRODUCT((表成绩单[考试日期]=表成绩单[[#This Row],[考试日期]])*(表成绩单[数学]&lt;9E+307)*(表成绩单[数学]&gt;表成绩单[[#This Row],[数学]]))+1)</f>
        <v>340</v>
      </c>
      <c r="R188" s="29" cm="1">
        <f t="array" ref="R188">IF(表成绩单[[#This Row],[英语]]="","",SUMPRODUCT((表成绩单[考试日期]=表成绩单[[#This Row],[考试日期]])*(表成绩单[英语]&lt;9E+307)*(表成绩单[英语]&gt;表成绩单[[#This Row],[英语]]))+1)</f>
        <v>255</v>
      </c>
      <c r="S188" s="29" cm="1">
        <f t="array" ref="S188">IF(表成绩单[[#This Row],[物理]]="","",SUMPRODUCT((表成绩单[考试日期]=表成绩单[[#This Row],[考试日期]])*(表成绩单[物理]&lt;9E+307)*(表成绩单[物理]&gt;表成绩单[[#This Row],[物理]]))+1)</f>
        <v>263</v>
      </c>
      <c r="T188" s="29" cm="1">
        <f t="array" ref="T188">IF(表成绩单[[#This Row],[化学]]="","",SUMPRODUCT((表成绩单[考试日期]=表成绩单[[#This Row],[考试日期]])*(表成绩单[化学]&lt;9E+307)*(表成绩单[化学]&gt;表成绩单[[#This Row],[化学]]))+1)</f>
        <v>100</v>
      </c>
      <c r="U188" s="29" cm="1">
        <f t="array" ref="U188">IF(表成绩单[[#This Row],[政治]]="","",SUMPRODUCT((表成绩单[考试日期]=表成绩单[[#This Row],[考试日期]])*(表成绩单[政治]&lt;9E+307)*(表成绩单[政治]&gt;表成绩单[[#This Row],[政治]]))+1)</f>
        <v>13</v>
      </c>
      <c r="V188" s="29" cm="1">
        <f t="array" ref="V188">IF(表成绩单[[#This Row],[历史]]="","",SUMPRODUCT((表成绩单[考试日期]=表成绩单[[#This Row],[考试日期]])*(表成绩单[历史]&lt;9E+307)*(表成绩单[历史]&gt;表成绩单[[#This Row],[历史]]))+1)</f>
        <v>278</v>
      </c>
      <c r="W188" s="29" cm="1">
        <f t="array" ref="W188">IF(表成绩单[[#This Row],[总分]]="","",SUMPRODUCT((表成绩单[考试日期]=表成绩单[[#This Row],[考试日期]])*(表成绩单[总分]&lt;9E+307)*(表成绩单[总分]&gt;表成绩单[[#This Row],[总分]]))+1)</f>
        <v>182</v>
      </c>
    </row>
    <row r="189" ht="28" customHeight="1" spans="4:23">
      <c r="D189" s="31">
        <v>45975</v>
      </c>
      <c r="E189" s="29">
        <v>19171088</v>
      </c>
      <c r="F189" s="29" t="s">
        <v>67</v>
      </c>
      <c r="G189" s="29" t="s">
        <v>262</v>
      </c>
      <c r="H189" s="29">
        <v>87</v>
      </c>
      <c r="I189" s="29">
        <v>114</v>
      </c>
      <c r="J189" s="29">
        <v>84</v>
      </c>
      <c r="K189" s="29">
        <v>86</v>
      </c>
      <c r="L189" s="29">
        <v>84</v>
      </c>
      <c r="M189" s="29">
        <v>73</v>
      </c>
      <c r="N189" s="29">
        <v>80</v>
      </c>
      <c r="O189" s="32">
        <v>608</v>
      </c>
      <c r="P189" s="29" cm="1">
        <f t="array" ref="P189">IF(表成绩单[[#This Row],[语文]]="","",SUMPRODUCT((表成绩单[考试日期]=表成绩单[[#This Row],[考试日期]])*(表成绩单[语文]&lt;9E+307)*(表成绩单[语文]&gt;表成绩单[[#This Row],[语文]]))+1)</f>
        <v>615</v>
      </c>
      <c r="Q189" s="29" cm="1">
        <f t="array" ref="Q189">IF(表成绩单[[#This Row],[数学]]="","",SUMPRODUCT((表成绩单[考试日期]=表成绩单[[#This Row],[考试日期]])*(表成绩单[数学]&lt;9E+307)*(表成绩单[数学]&gt;表成绩单[[#This Row],[数学]]))+1)</f>
        <v>79</v>
      </c>
      <c r="R189" s="29" cm="1">
        <f t="array" ref="R189">IF(表成绩单[[#This Row],[英语]]="","",SUMPRODUCT((表成绩单[考试日期]=表成绩单[[#This Row],[考试日期]])*(表成绩单[英语]&lt;9E+307)*(表成绩单[英语]&gt;表成绩单[[#This Row],[英语]]))+1)</f>
        <v>102</v>
      </c>
      <c r="S189" s="29" cm="1">
        <f t="array" ref="S189">IF(表成绩单[[#This Row],[物理]]="","",SUMPRODUCT((表成绩单[考试日期]=表成绩单[[#This Row],[考试日期]])*(表成绩单[物理]&lt;9E+307)*(表成绩单[物理]&gt;表成绩单[[#This Row],[物理]]))+1)</f>
        <v>187</v>
      </c>
      <c r="T189" s="29" cm="1">
        <f t="array" ref="T189">IF(表成绩单[[#This Row],[化学]]="","",SUMPRODUCT((表成绩单[考试日期]=表成绩单[[#This Row],[考试日期]])*(表成绩单[化学]&lt;9E+307)*(表成绩单[化学]&gt;表成绩单[[#This Row],[化学]]))+1)</f>
        <v>33</v>
      </c>
      <c r="U189" s="29" cm="1">
        <f t="array" ref="U189">IF(表成绩单[[#This Row],[政治]]="","",SUMPRODUCT((表成绩单[考试日期]=表成绩单[[#This Row],[考试日期]])*(表成绩单[政治]&lt;9E+307)*(表成绩单[政治]&gt;表成绩单[[#This Row],[政治]]))+1)</f>
        <v>418</v>
      </c>
      <c r="V189" s="29" cm="1">
        <f t="array" ref="V189">IF(表成绩单[[#This Row],[历史]]="","",SUMPRODUCT((表成绩单[考试日期]=表成绩单[[#This Row],[考试日期]])*(表成绩单[历史]&lt;9E+307)*(表成绩单[历史]&gt;表成绩单[[#This Row],[历史]]))+1)</f>
        <v>108</v>
      </c>
      <c r="W189" s="29" cm="1">
        <f t="array" ref="W189">IF(表成绩单[[#This Row],[总分]]="","",SUMPRODUCT((表成绩单[考试日期]=表成绩单[[#This Row],[考试日期]])*(表成绩单[总分]&lt;9E+307)*(表成绩单[总分]&gt;表成绩单[[#This Row],[总分]]))+1)</f>
        <v>185</v>
      </c>
    </row>
    <row r="190" ht="28" customHeight="1" spans="4:23">
      <c r="D190" s="31">
        <v>45975</v>
      </c>
      <c r="E190" s="29">
        <v>19175686</v>
      </c>
      <c r="F190" s="29" t="s">
        <v>72</v>
      </c>
      <c r="G190" s="29" t="s">
        <v>263</v>
      </c>
      <c r="H190" s="29">
        <v>106</v>
      </c>
      <c r="I190" s="29">
        <v>102</v>
      </c>
      <c r="J190" s="29">
        <v>84</v>
      </c>
      <c r="K190" s="29">
        <v>83</v>
      </c>
      <c r="L190" s="29">
        <v>74</v>
      </c>
      <c r="M190" s="29">
        <v>83</v>
      </c>
      <c r="N190" s="29">
        <v>76</v>
      </c>
      <c r="O190" s="32">
        <v>608</v>
      </c>
      <c r="P190" s="29" cm="1">
        <f t="array" ref="P190">IF(表成绩单[[#This Row],[语文]]="","",SUMPRODUCT((表成绩单[考试日期]=表成绩单[[#This Row],[考试日期]])*(表成绩单[语文]&lt;9E+307)*(表成绩单[语文]&gt;表成绩单[[#This Row],[语文]]))+1)</f>
        <v>62</v>
      </c>
      <c r="Q190" s="29" cm="1">
        <f t="array" ref="Q190">IF(表成绩单[[#This Row],[数学]]="","",SUMPRODUCT((表成绩单[考试日期]=表成绩单[[#This Row],[考试日期]])*(表成绩单[数学]&lt;9E+307)*(表成绩单[数学]&gt;表成绩单[[#This Row],[数学]]))+1)</f>
        <v>298</v>
      </c>
      <c r="R190" s="29" cm="1">
        <f t="array" ref="R190">IF(表成绩单[[#This Row],[英语]]="","",SUMPRODUCT((表成绩单[考试日期]=表成绩单[[#This Row],[考试日期]])*(表成绩单[英语]&lt;9E+307)*(表成绩单[英语]&gt;表成绩单[[#This Row],[英语]]))+1)</f>
        <v>102</v>
      </c>
      <c r="S190" s="29" cm="1">
        <f t="array" ref="S190">IF(表成绩单[[#This Row],[物理]]="","",SUMPRODUCT((表成绩单[考试日期]=表成绩单[[#This Row],[考试日期]])*(表成绩单[物理]&lt;9E+307)*(表成绩单[物理]&gt;表成绩单[[#This Row],[物理]]))+1)</f>
        <v>390</v>
      </c>
      <c r="T190" s="29" cm="1">
        <f t="array" ref="T190">IF(表成绩单[[#This Row],[化学]]="","",SUMPRODUCT((表成绩单[考试日期]=表成绩单[[#This Row],[考试日期]])*(表成绩单[化学]&lt;9E+307)*(表成绩单[化学]&gt;表成绩单[[#This Row],[化学]]))+1)</f>
        <v>337</v>
      </c>
      <c r="U190" s="29" cm="1">
        <f t="array" ref="U190">IF(表成绩单[[#This Row],[政治]]="","",SUMPRODUCT((表成绩单[考试日期]=表成绩单[[#This Row],[考试日期]])*(表成绩单[政治]&lt;9E+307)*(表成绩单[政治]&gt;表成绩单[[#This Row],[政治]]))+1)</f>
        <v>121</v>
      </c>
      <c r="V190" s="29" cm="1">
        <f t="array" ref="V190">IF(表成绩单[[#This Row],[历史]]="","",SUMPRODUCT((表成绩单[考试日期]=表成绩单[[#This Row],[考试日期]])*(表成绩单[历史]&lt;9E+307)*(表成绩单[历史]&gt;表成绩单[[#This Row],[历史]]))+1)</f>
        <v>278</v>
      </c>
      <c r="W190" s="29" cm="1">
        <f t="array" ref="W190">IF(表成绩单[[#This Row],[总分]]="","",SUMPRODUCT((表成绩单[考试日期]=表成绩单[[#This Row],[考试日期]])*(表成绩单[总分]&lt;9E+307)*(表成绩单[总分]&gt;表成绩单[[#This Row],[总分]]))+1)</f>
        <v>185</v>
      </c>
    </row>
    <row r="191" ht="28" customHeight="1" spans="4:23">
      <c r="D191" s="31">
        <v>45975</v>
      </c>
      <c r="E191" s="29">
        <v>19177645</v>
      </c>
      <c r="F191" s="29" t="s">
        <v>63</v>
      </c>
      <c r="G191" s="29" t="s">
        <v>264</v>
      </c>
      <c r="H191" s="29">
        <v>102</v>
      </c>
      <c r="I191" s="29">
        <v>108</v>
      </c>
      <c r="J191" s="29">
        <v>86</v>
      </c>
      <c r="K191" s="29">
        <v>80</v>
      </c>
      <c r="L191" s="29">
        <v>76</v>
      </c>
      <c r="M191" s="29">
        <v>78</v>
      </c>
      <c r="N191" s="29">
        <v>78</v>
      </c>
      <c r="O191" s="32">
        <v>608</v>
      </c>
      <c r="P191" s="29" cm="1">
        <f t="array" ref="P191">IF(表成绩单[[#This Row],[语文]]="","",SUMPRODUCT((表成绩单[考试日期]=表成绩单[[#This Row],[考试日期]])*(表成绩单[语文]&lt;9E+307)*(表成绩单[语文]&gt;表成绩单[[#This Row],[语文]]))+1)</f>
        <v>154</v>
      </c>
      <c r="Q191" s="29" cm="1">
        <f t="array" ref="Q191">IF(表成绩单[[#This Row],[数学]]="","",SUMPRODUCT((表成绩单[考试日期]=表成绩单[[#This Row],[考试日期]])*(表成绩单[数学]&lt;9E+307)*(表成绩单[数学]&gt;表成绩单[[#This Row],[数学]]))+1)</f>
        <v>182</v>
      </c>
      <c r="R191" s="29" cm="1">
        <f t="array" ref="R191">IF(表成绩单[[#This Row],[英语]]="","",SUMPRODUCT((表成绩单[考试日期]=表成绩单[[#This Row],[考试日期]])*(表成绩单[英语]&lt;9E+307)*(表成绩单[英语]&gt;表成绩单[[#This Row],[英语]]))+1)</f>
        <v>42</v>
      </c>
      <c r="S191" s="29" cm="1">
        <f t="array" ref="S191">IF(表成绩单[[#This Row],[物理]]="","",SUMPRODUCT((表成绩单[考试日期]=表成绩单[[#This Row],[考试日期]])*(表成绩单[物理]&lt;9E+307)*(表成绩单[物理]&gt;表成绩单[[#This Row],[物理]]))+1)</f>
        <v>507</v>
      </c>
      <c r="T191" s="29" cm="1">
        <f t="array" ref="T191">IF(表成绩单[[#This Row],[化学]]="","",SUMPRODUCT((表成绩单[考试日期]=表成绩单[[#This Row],[考试日期]])*(表成绩单[化学]&lt;9E+307)*(表成绩单[化学]&gt;表成绩单[[#This Row],[化学]]))+1)</f>
        <v>268</v>
      </c>
      <c r="U191" s="29" cm="1">
        <f t="array" ref="U191">IF(表成绩单[[#This Row],[政治]]="","",SUMPRODUCT((表成绩单[考试日期]=表成绩单[[#This Row],[考试日期]])*(表成绩单[政治]&lt;9E+307)*(表成绩单[政治]&gt;表成绩单[[#This Row],[政治]]))+1)</f>
        <v>272</v>
      </c>
      <c r="V191" s="29" cm="1">
        <f t="array" ref="V191">IF(表成绩单[[#This Row],[历史]]="","",SUMPRODUCT((表成绩单[考试日期]=表成绩单[[#This Row],[考试日期]])*(表成绩单[历史]&lt;9E+307)*(表成绩单[历史]&gt;表成绩单[[#This Row],[历史]]))+1)</f>
        <v>189</v>
      </c>
      <c r="W191" s="29" cm="1">
        <f t="array" ref="W191">IF(表成绩单[[#This Row],[总分]]="","",SUMPRODUCT((表成绩单[考试日期]=表成绩单[[#This Row],[考试日期]])*(表成绩单[总分]&lt;9E+307)*(表成绩单[总分]&gt;表成绩单[[#This Row],[总分]]))+1)</f>
        <v>185</v>
      </c>
    </row>
    <row r="192" ht="28" customHeight="1" spans="4:23">
      <c r="D192" s="31">
        <v>45975</v>
      </c>
      <c r="E192" s="29">
        <v>19178620</v>
      </c>
      <c r="F192" s="29" t="s">
        <v>25</v>
      </c>
      <c r="G192" s="29" t="s">
        <v>265</v>
      </c>
      <c r="H192" s="29">
        <v>100</v>
      </c>
      <c r="I192" s="29">
        <v>105</v>
      </c>
      <c r="J192" s="29">
        <v>80</v>
      </c>
      <c r="K192" s="29">
        <v>84</v>
      </c>
      <c r="L192" s="29">
        <v>77</v>
      </c>
      <c r="M192" s="29">
        <v>83</v>
      </c>
      <c r="N192" s="29">
        <v>79</v>
      </c>
      <c r="O192" s="32">
        <v>608</v>
      </c>
      <c r="P192" s="29" cm="1">
        <f t="array" ref="P192">IF(表成绩单[[#This Row],[语文]]="","",SUMPRODUCT((表成绩单[考试日期]=表成绩单[[#This Row],[考试日期]])*(表成绩单[语文]&lt;9E+307)*(表成绩单[语文]&gt;表成绩单[[#This Row],[语文]]))+1)</f>
        <v>223</v>
      </c>
      <c r="Q192" s="29" cm="1">
        <f t="array" ref="Q192">IF(表成绩单[[#This Row],[数学]]="","",SUMPRODUCT((表成绩单[考试日期]=表成绩单[[#This Row],[考试日期]])*(表成绩单[数学]&lt;9E+307)*(表成绩单[数学]&gt;表成绩单[[#This Row],[数学]]))+1)</f>
        <v>245</v>
      </c>
      <c r="R192" s="29" cm="1">
        <f t="array" ref="R192">IF(表成绩单[[#This Row],[英语]]="","",SUMPRODUCT((表成绩单[考试日期]=表成绩单[[#This Row],[考试日期]])*(表成绩单[英语]&lt;9E+307)*(表成绩单[英语]&gt;表成绩单[[#This Row],[英语]]))+1)</f>
        <v>268</v>
      </c>
      <c r="S192" s="29" cm="1">
        <f t="array" ref="S192">IF(表成绩单[[#This Row],[物理]]="","",SUMPRODUCT((表成绩单[考试日期]=表成绩单[[#This Row],[考试日期]])*(表成绩单[物理]&lt;9E+307)*(表成绩单[物理]&gt;表成绩单[[#This Row],[物理]]))+1)</f>
        <v>344</v>
      </c>
      <c r="T192" s="29" cm="1">
        <f t="array" ref="T192">IF(表成绩单[[#This Row],[化学]]="","",SUMPRODUCT((表成绩单[考试日期]=表成绩单[[#This Row],[考试日期]])*(表成绩单[化学]&lt;9E+307)*(表成绩单[化学]&gt;表成绩单[[#This Row],[化学]]))+1)</f>
        <v>239</v>
      </c>
      <c r="U192" s="29" cm="1">
        <f t="array" ref="U192">IF(表成绩单[[#This Row],[政治]]="","",SUMPRODUCT((表成绩单[考试日期]=表成绩单[[#This Row],[考试日期]])*(表成绩单[政治]&lt;9E+307)*(表成绩单[政治]&gt;表成绩单[[#This Row],[政治]]))+1)</f>
        <v>121</v>
      </c>
      <c r="V192" s="29" cm="1">
        <f t="array" ref="V192">IF(表成绩单[[#This Row],[历史]]="","",SUMPRODUCT((表成绩单[考试日期]=表成绩单[[#This Row],[考试日期]])*(表成绩单[历史]&lt;9E+307)*(表成绩单[历史]&gt;表成绩单[[#This Row],[历史]]))+1)</f>
        <v>144</v>
      </c>
      <c r="W192" s="29" cm="1">
        <f t="array" ref="W192">IF(表成绩单[[#This Row],[总分]]="","",SUMPRODUCT((表成绩单[考试日期]=表成绩单[[#This Row],[考试日期]])*(表成绩单[总分]&lt;9E+307)*(表成绩单[总分]&gt;表成绩单[[#This Row],[总分]]))+1)</f>
        <v>185</v>
      </c>
    </row>
    <row r="193" ht="28" customHeight="1" spans="4:23">
      <c r="D193" s="31">
        <v>45975</v>
      </c>
      <c r="E193" s="29">
        <v>19178628</v>
      </c>
      <c r="F193" s="29" t="s">
        <v>25</v>
      </c>
      <c r="G193" s="29" t="s">
        <v>266</v>
      </c>
      <c r="H193" s="29">
        <v>97</v>
      </c>
      <c r="I193" s="29">
        <v>99</v>
      </c>
      <c r="J193" s="29">
        <v>82</v>
      </c>
      <c r="K193" s="29">
        <v>83</v>
      </c>
      <c r="L193" s="29">
        <v>74</v>
      </c>
      <c r="M193" s="29">
        <v>87</v>
      </c>
      <c r="N193" s="29">
        <v>86</v>
      </c>
      <c r="O193" s="32">
        <v>608</v>
      </c>
      <c r="P193" s="29" cm="1">
        <f t="array" ref="P193">IF(表成绩单[[#This Row],[语文]]="","",SUMPRODUCT((表成绩单[考试日期]=表成绩单[[#This Row],[考试日期]])*(表成绩单[语文]&lt;9E+307)*(表成绩单[语文]&gt;表成绩单[[#This Row],[语文]]))+1)</f>
        <v>349</v>
      </c>
      <c r="Q193" s="29" cm="1">
        <f t="array" ref="Q193">IF(表成绩单[[#This Row],[数学]]="","",SUMPRODUCT((表成绩单[考试日期]=表成绩单[[#This Row],[考试日期]])*(表成绩单[数学]&lt;9E+307)*(表成绩单[数学]&gt;表成绩单[[#This Row],[数学]]))+1)</f>
        <v>361</v>
      </c>
      <c r="R193" s="29" cm="1">
        <f t="array" ref="R193">IF(表成绩单[[#This Row],[英语]]="","",SUMPRODUCT((表成绩单[考试日期]=表成绩单[[#This Row],[考试日期]])*(表成绩单[英语]&lt;9E+307)*(表成绩单[英语]&gt;表成绩单[[#This Row],[英语]]))+1)</f>
        <v>195</v>
      </c>
      <c r="S193" s="29" cm="1">
        <f t="array" ref="S193">IF(表成绩单[[#This Row],[物理]]="","",SUMPRODUCT((表成绩单[考试日期]=表成绩单[[#This Row],[考试日期]])*(表成绩单[物理]&lt;9E+307)*(表成绩单[物理]&gt;表成绩单[[#This Row],[物理]]))+1)</f>
        <v>390</v>
      </c>
      <c r="T193" s="29" cm="1">
        <f t="array" ref="T193">IF(表成绩单[[#This Row],[化学]]="","",SUMPRODUCT((表成绩单[考试日期]=表成绩单[[#This Row],[考试日期]])*(表成绩单[化学]&lt;9E+307)*(表成绩单[化学]&gt;表成绩单[[#This Row],[化学]]))+1)</f>
        <v>337</v>
      </c>
      <c r="U193" s="29" cm="1">
        <f t="array" ref="U193">IF(表成绩单[[#This Row],[政治]]="","",SUMPRODUCT((表成绩单[考试日期]=表成绩单[[#This Row],[考试日期]])*(表成绩单[政治]&lt;9E+307)*(表成绩单[政治]&gt;表成绩单[[#This Row],[政治]]))+1)</f>
        <v>13</v>
      </c>
      <c r="V193" s="29" cm="1">
        <f t="array" ref="V193">IF(表成绩单[[#This Row],[历史]]="","",SUMPRODUCT((表成绩单[考试日期]=表成绩单[[#This Row],[考试日期]])*(表成绩单[历史]&lt;9E+307)*(表成绩单[历史]&gt;表成绩单[[#This Row],[历史]]))+1)</f>
        <v>1</v>
      </c>
      <c r="W193" s="29" cm="1">
        <f t="array" ref="W193">IF(表成绩单[[#This Row],[总分]]="","",SUMPRODUCT((表成绩单[考试日期]=表成绩单[[#This Row],[考试日期]])*(表成绩单[总分]&lt;9E+307)*(表成绩单[总分]&gt;表成绩单[[#This Row],[总分]]))+1)</f>
        <v>185</v>
      </c>
    </row>
    <row r="194" ht="28" customHeight="1" spans="4:23">
      <c r="D194" s="31">
        <v>45975</v>
      </c>
      <c r="E194" s="29">
        <v>19173236</v>
      </c>
      <c r="F194" s="29" t="s">
        <v>61</v>
      </c>
      <c r="G194" s="29" t="s">
        <v>267</v>
      </c>
      <c r="H194" s="29">
        <v>102</v>
      </c>
      <c r="I194" s="29">
        <v>109</v>
      </c>
      <c r="J194" s="29">
        <v>78.5</v>
      </c>
      <c r="K194" s="29">
        <v>82</v>
      </c>
      <c r="L194" s="29">
        <v>73</v>
      </c>
      <c r="M194" s="29">
        <v>84</v>
      </c>
      <c r="N194" s="29">
        <v>79</v>
      </c>
      <c r="O194" s="32">
        <v>607.5</v>
      </c>
      <c r="P194" s="29" cm="1">
        <f t="array" ref="P194">IF(表成绩单[[#This Row],[语文]]="","",SUMPRODUCT((表成绩单[考试日期]=表成绩单[[#This Row],[考试日期]])*(表成绩单[语文]&lt;9E+307)*(表成绩单[语文]&gt;表成绩单[[#This Row],[语文]]))+1)</f>
        <v>154</v>
      </c>
      <c r="Q194" s="29" cm="1">
        <f t="array" ref="Q194">IF(表成绩单[[#This Row],[数学]]="","",SUMPRODUCT((表成绩单[考试日期]=表成绩单[[#This Row],[考试日期]])*(表成绩单[数学]&lt;9E+307)*(表成绩单[数学]&gt;表成绩单[[#This Row],[数学]]))+1)</f>
        <v>165</v>
      </c>
      <c r="R194" s="29" cm="1">
        <f t="array" ref="R194">IF(表成绩单[[#This Row],[英语]]="","",SUMPRODUCT((表成绩单[考试日期]=表成绩单[[#This Row],[考试日期]])*(表成绩单[英语]&lt;9E+307)*(表成绩单[英语]&gt;表成绩单[[#This Row],[英语]]))+1)</f>
        <v>314</v>
      </c>
      <c r="S194" s="29" cm="1">
        <f t="array" ref="S194">IF(表成绩单[[#This Row],[物理]]="","",SUMPRODUCT((表成绩单[考试日期]=表成绩单[[#This Row],[考试日期]])*(表成绩单[物理]&lt;9E+307)*(表成绩单[物理]&gt;表成绩单[[#This Row],[物理]]))+1)</f>
        <v>433</v>
      </c>
      <c r="T194" s="29" cm="1">
        <f t="array" ref="T194">IF(表成绩单[[#This Row],[化学]]="","",SUMPRODUCT((表成绩单[考试日期]=表成绩单[[#This Row],[考试日期]])*(表成绩单[化学]&lt;9E+307)*(表成绩单[化学]&gt;表成绩单[[#This Row],[化学]]))+1)</f>
        <v>365</v>
      </c>
      <c r="U194" s="29" cm="1">
        <f t="array" ref="U194">IF(表成绩单[[#This Row],[政治]]="","",SUMPRODUCT((表成绩单[考试日期]=表成绩单[[#This Row],[考试日期]])*(表成绩单[政治]&lt;9E+307)*(表成绩单[政治]&gt;表成绩单[[#This Row],[政治]]))+1)</f>
        <v>83</v>
      </c>
      <c r="V194" s="29" cm="1">
        <f t="array" ref="V194">IF(表成绩单[[#This Row],[历史]]="","",SUMPRODUCT((表成绩单[考试日期]=表成绩单[[#This Row],[考试日期]])*(表成绩单[历史]&lt;9E+307)*(表成绩单[历史]&gt;表成绩单[[#This Row],[历史]]))+1)</f>
        <v>144</v>
      </c>
      <c r="W194" s="29" cm="1">
        <f t="array" ref="W194">IF(表成绩单[[#This Row],[总分]]="","",SUMPRODUCT((表成绩单[考试日期]=表成绩单[[#This Row],[考试日期]])*(表成绩单[总分]&lt;9E+307)*(表成绩单[总分]&gt;表成绩单[[#This Row],[总分]]))+1)</f>
        <v>190</v>
      </c>
    </row>
    <row r="195" ht="28" customHeight="1" spans="4:23">
      <c r="D195" s="31">
        <v>45975</v>
      </c>
      <c r="E195" s="29">
        <v>19178640</v>
      </c>
      <c r="F195" s="29" t="s">
        <v>25</v>
      </c>
      <c r="G195" s="29" t="s">
        <v>268</v>
      </c>
      <c r="H195" s="29">
        <v>97</v>
      </c>
      <c r="I195" s="29">
        <v>107</v>
      </c>
      <c r="J195" s="29">
        <v>82.5</v>
      </c>
      <c r="K195" s="29">
        <v>85</v>
      </c>
      <c r="L195" s="29">
        <v>79</v>
      </c>
      <c r="M195" s="29">
        <v>78</v>
      </c>
      <c r="N195" s="29">
        <v>79</v>
      </c>
      <c r="O195" s="32">
        <v>607.5</v>
      </c>
      <c r="P195" s="29" cm="1">
        <f t="array" ref="P195">IF(表成绩单[[#This Row],[语文]]="","",SUMPRODUCT((表成绩单[考试日期]=表成绩单[[#This Row],[考试日期]])*(表成绩单[语文]&lt;9E+307)*(表成绩单[语文]&gt;表成绩单[[#This Row],[语文]]))+1)</f>
        <v>349</v>
      </c>
      <c r="Q195" s="29" cm="1">
        <f t="array" ref="Q195">IF(表成绩单[[#This Row],[数学]]="","",SUMPRODUCT((表成绩单[考试日期]=表成绩单[[#This Row],[考试日期]])*(表成绩单[数学]&lt;9E+307)*(表成绩单[数学]&gt;表成绩单[[#This Row],[数学]]))+1)</f>
        <v>200</v>
      </c>
      <c r="R195" s="29" cm="1">
        <f t="array" ref="R195">IF(表成绩单[[#This Row],[英语]]="","",SUMPRODUCT((表成绩单[考试日期]=表成绩单[[#This Row],[考试日期]])*(表成绩单[英语]&lt;9E+307)*(表成绩单[英语]&gt;表成绩单[[#This Row],[英语]]))+1)</f>
        <v>170</v>
      </c>
      <c r="S195" s="29" cm="1">
        <f t="array" ref="S195">IF(表成绩单[[#This Row],[物理]]="","",SUMPRODUCT((表成绩单[考试日期]=表成绩单[[#This Row],[考试日期]])*(表成绩单[物理]&lt;9E+307)*(表成绩单[物理]&gt;表成绩单[[#This Row],[物理]]))+1)</f>
        <v>263</v>
      </c>
      <c r="T195" s="29" cm="1">
        <f t="array" ref="T195">IF(表成绩单[[#This Row],[化学]]="","",SUMPRODUCT((表成绩单[考试日期]=表成绩单[[#This Row],[考试日期]])*(表成绩单[化学]&lt;9E+307)*(表成绩单[化学]&gt;表成绩单[[#This Row],[化学]]))+1)</f>
        <v>166</v>
      </c>
      <c r="U195" s="29" cm="1">
        <f t="array" ref="U195">IF(表成绩单[[#This Row],[政治]]="","",SUMPRODUCT((表成绩单[考试日期]=表成绩单[[#This Row],[考试日期]])*(表成绩单[政治]&lt;9E+307)*(表成绩单[政治]&gt;表成绩单[[#This Row],[政治]]))+1)</f>
        <v>272</v>
      </c>
      <c r="V195" s="29" cm="1">
        <f t="array" ref="V195">IF(表成绩单[[#This Row],[历史]]="","",SUMPRODUCT((表成绩单[考试日期]=表成绩单[[#This Row],[考试日期]])*(表成绩单[历史]&lt;9E+307)*(表成绩单[历史]&gt;表成绩单[[#This Row],[历史]]))+1)</f>
        <v>144</v>
      </c>
      <c r="W195" s="29" cm="1">
        <f t="array" ref="W195">IF(表成绩单[[#This Row],[总分]]="","",SUMPRODUCT((表成绩单[考试日期]=表成绩单[[#This Row],[考试日期]])*(表成绩单[总分]&lt;9E+307)*(表成绩单[总分]&gt;表成绩单[[#This Row],[总分]]))+1)</f>
        <v>190</v>
      </c>
    </row>
    <row r="196" ht="28" customHeight="1" spans="4:23">
      <c r="D196" s="31">
        <v>45975</v>
      </c>
      <c r="E196" s="29">
        <v>19174783</v>
      </c>
      <c r="F196" s="29" t="s">
        <v>69</v>
      </c>
      <c r="G196" s="29" t="s">
        <v>269</v>
      </c>
      <c r="H196" s="29">
        <v>100</v>
      </c>
      <c r="I196" s="29">
        <v>108</v>
      </c>
      <c r="J196" s="29">
        <v>79</v>
      </c>
      <c r="K196" s="29">
        <v>83</v>
      </c>
      <c r="L196" s="29">
        <v>84</v>
      </c>
      <c r="M196" s="29">
        <v>78</v>
      </c>
      <c r="N196" s="29">
        <v>75</v>
      </c>
      <c r="O196" s="32">
        <v>607</v>
      </c>
      <c r="P196" s="29" cm="1">
        <f t="array" ref="P196">IF(表成绩单[[#This Row],[语文]]="","",SUMPRODUCT((表成绩单[考试日期]=表成绩单[[#This Row],[考试日期]])*(表成绩单[语文]&lt;9E+307)*(表成绩单[语文]&gt;表成绩单[[#This Row],[语文]]))+1)</f>
        <v>223</v>
      </c>
      <c r="Q196" s="29" cm="1">
        <f t="array" ref="Q196">IF(表成绩单[[#This Row],[数学]]="","",SUMPRODUCT((表成绩单[考试日期]=表成绩单[[#This Row],[考试日期]])*(表成绩单[数学]&lt;9E+307)*(表成绩单[数学]&gt;表成绩单[[#This Row],[数学]]))+1)</f>
        <v>182</v>
      </c>
      <c r="R196" s="29" cm="1">
        <f t="array" ref="R196">IF(表成绩单[[#This Row],[英语]]="","",SUMPRODUCT((表成绩单[考试日期]=表成绩单[[#This Row],[考试日期]])*(表成绩单[英语]&lt;9E+307)*(表成绩单[英语]&gt;表成绩单[[#This Row],[英语]]))+1)</f>
        <v>292</v>
      </c>
      <c r="S196" s="29" cm="1">
        <f t="array" ref="S196">IF(表成绩单[[#This Row],[物理]]="","",SUMPRODUCT((表成绩单[考试日期]=表成绩单[[#This Row],[考试日期]])*(表成绩单[物理]&lt;9E+307)*(表成绩单[物理]&gt;表成绩单[[#This Row],[物理]]))+1)</f>
        <v>390</v>
      </c>
      <c r="T196" s="29" cm="1">
        <f t="array" ref="T196">IF(表成绩单[[#This Row],[化学]]="","",SUMPRODUCT((表成绩单[考试日期]=表成绩单[[#This Row],[考试日期]])*(表成绩单[化学]&lt;9E+307)*(表成绩单[化学]&gt;表成绩单[[#This Row],[化学]]))+1)</f>
        <v>33</v>
      </c>
      <c r="U196" s="29" cm="1">
        <f t="array" ref="U196">IF(表成绩单[[#This Row],[政治]]="","",SUMPRODUCT((表成绩单[考试日期]=表成绩单[[#This Row],[考试日期]])*(表成绩单[政治]&lt;9E+307)*(表成绩单[政治]&gt;表成绩单[[#This Row],[政治]]))+1)</f>
        <v>272</v>
      </c>
      <c r="V196" s="29" cm="1">
        <f t="array" ref="V196">IF(表成绩单[[#This Row],[历史]]="","",SUMPRODUCT((表成绩单[考试日期]=表成绩单[[#This Row],[考试日期]])*(表成绩单[历史]&lt;9E+307)*(表成绩单[历史]&gt;表成绩单[[#This Row],[历史]]))+1)</f>
        <v>315</v>
      </c>
      <c r="W196" s="29" cm="1">
        <f t="array" ref="W196">IF(表成绩单[[#This Row],[总分]]="","",SUMPRODUCT((表成绩单[考试日期]=表成绩单[[#This Row],[考试日期]])*(表成绩单[总分]&lt;9E+307)*(表成绩单[总分]&gt;表成绩单[[#This Row],[总分]]))+1)</f>
        <v>192</v>
      </c>
    </row>
    <row r="197" ht="28" customHeight="1" spans="4:23">
      <c r="D197" s="31">
        <v>45975</v>
      </c>
      <c r="E197" s="29">
        <v>19175668</v>
      </c>
      <c r="F197" s="29" t="s">
        <v>66</v>
      </c>
      <c r="G197" s="29" t="s">
        <v>270</v>
      </c>
      <c r="H197" s="29">
        <v>108</v>
      </c>
      <c r="I197" s="29">
        <v>103</v>
      </c>
      <c r="J197" s="29">
        <v>87</v>
      </c>
      <c r="K197" s="29">
        <v>87</v>
      </c>
      <c r="L197" s="29">
        <v>70</v>
      </c>
      <c r="M197" s="29">
        <v>71</v>
      </c>
      <c r="N197" s="29">
        <v>81</v>
      </c>
      <c r="O197" s="32">
        <v>607</v>
      </c>
      <c r="P197" s="29" cm="1">
        <f t="array" ref="P197">IF(表成绩单[[#This Row],[语文]]="","",SUMPRODUCT((表成绩单[考试日期]=表成绩单[[#This Row],[考试日期]])*(表成绩单[语文]&lt;9E+307)*(表成绩单[语文]&gt;表成绩单[[#This Row],[语文]]))+1)</f>
        <v>27</v>
      </c>
      <c r="Q197" s="29" cm="1">
        <f t="array" ref="Q197">IF(表成绩单[[#This Row],[数学]]="","",SUMPRODUCT((表成绩单[考试日期]=表成绩单[[#This Row],[考试日期]])*(表成绩单[数学]&lt;9E+307)*(表成绩单[数学]&gt;表成绩单[[#This Row],[数学]]))+1)</f>
        <v>277</v>
      </c>
      <c r="R197" s="29" cm="1">
        <f t="array" ref="R197">IF(表成绩单[[#This Row],[英语]]="","",SUMPRODUCT((表成绩单[考试日期]=表成绩单[[#This Row],[考试日期]])*(表成绩单[英语]&lt;9E+307)*(表成绩单[英语]&gt;表成绩单[[#This Row],[英语]]))+1)</f>
        <v>20</v>
      </c>
      <c r="S197" s="29" cm="1">
        <f t="array" ref="S197">IF(表成绩单[[#This Row],[物理]]="","",SUMPRODUCT((表成绩单[考试日期]=表成绩单[[#This Row],[考试日期]])*(表成绩单[物理]&lt;9E+307)*(表成绩单[物理]&gt;表成绩单[[#This Row],[物理]]))+1)</f>
        <v>127</v>
      </c>
      <c r="T197" s="29" cm="1">
        <f t="array" ref="T197">IF(表成绩单[[#This Row],[化学]]="","",SUMPRODUCT((表成绩单[考试日期]=表成绩单[[#This Row],[考试日期]])*(表成绩单[化学]&lt;9E+307)*(表成绩单[化学]&gt;表成绩单[[#This Row],[化学]]))+1)</f>
        <v>453</v>
      </c>
      <c r="U197" s="29" cm="1">
        <f t="array" ref="U197">IF(表成绩单[[#This Row],[政治]]="","",SUMPRODUCT((表成绩单[考试日期]=表成绩单[[#This Row],[考试日期]])*(表成绩单[政治]&lt;9E+307)*(表成绩单[政治]&gt;表成绩单[[#This Row],[政治]]))+1)</f>
        <v>467</v>
      </c>
      <c r="V197" s="29" cm="1">
        <f t="array" ref="V197">IF(表成绩单[[#This Row],[历史]]="","",SUMPRODUCT((表成绩单[考试日期]=表成绩单[[#This Row],[考试日期]])*(表成绩单[历史]&lt;9E+307)*(表成绩单[历史]&gt;表成绩单[[#This Row],[历史]]))+1)</f>
        <v>63</v>
      </c>
      <c r="W197" s="29" cm="1">
        <f t="array" ref="W197">IF(表成绩单[[#This Row],[总分]]="","",SUMPRODUCT((表成绩单[考试日期]=表成绩单[[#This Row],[考试日期]])*(表成绩单[总分]&lt;9E+307)*(表成绩单[总分]&gt;表成绩单[[#This Row],[总分]]))+1)</f>
        <v>192</v>
      </c>
    </row>
    <row r="198" ht="28" customHeight="1" spans="4:23">
      <c r="D198" s="31">
        <v>45975</v>
      </c>
      <c r="E198" s="29">
        <v>19174802</v>
      </c>
      <c r="F198" s="29" t="s">
        <v>69</v>
      </c>
      <c r="G198" s="29" t="s">
        <v>271</v>
      </c>
      <c r="H198" s="29">
        <v>100</v>
      </c>
      <c r="I198" s="29">
        <v>113</v>
      </c>
      <c r="J198" s="29">
        <v>83.5</v>
      </c>
      <c r="K198" s="29">
        <v>89</v>
      </c>
      <c r="L198" s="29">
        <v>84</v>
      </c>
      <c r="M198" s="29">
        <v>68</v>
      </c>
      <c r="N198" s="29">
        <v>69</v>
      </c>
      <c r="O198" s="32">
        <v>606.5</v>
      </c>
      <c r="P198" s="29" cm="1">
        <f t="array" ref="P198">IF(表成绩单[[#This Row],[语文]]="","",SUMPRODUCT((表成绩单[考试日期]=表成绩单[[#This Row],[考试日期]])*(表成绩单[语文]&lt;9E+307)*(表成绩单[语文]&gt;表成绩单[[#This Row],[语文]]))+1)</f>
        <v>223</v>
      </c>
      <c r="Q198" s="29" cm="1">
        <f t="array" ref="Q198">IF(表成绩单[[#This Row],[数学]]="","",SUMPRODUCT((表成绩单[考试日期]=表成绩单[[#This Row],[考试日期]])*(表成绩单[数学]&lt;9E+307)*(表成绩单[数学]&gt;表成绩单[[#This Row],[数学]]))+1)</f>
        <v>93</v>
      </c>
      <c r="R198" s="29" cm="1">
        <f t="array" ref="R198">IF(表成绩单[[#This Row],[英语]]="","",SUMPRODUCT((表成绩单[考试日期]=表成绩单[[#This Row],[考试日期]])*(表成绩单[英语]&lt;9E+307)*(表成绩单[英语]&gt;表成绩单[[#This Row],[英语]]))+1)</f>
        <v>128</v>
      </c>
      <c r="S198" s="29" cm="1">
        <f t="array" ref="S198">IF(表成绩单[[#This Row],[物理]]="","",SUMPRODUCT((表成绩单[考试日期]=表成绩单[[#This Row],[考试日期]])*(表成绩单[物理]&lt;9E+307)*(表成绩单[物理]&gt;表成绩单[[#This Row],[物理]]))+1)</f>
        <v>18</v>
      </c>
      <c r="T198" s="29" cm="1">
        <f t="array" ref="T198">IF(表成绩单[[#This Row],[化学]]="","",SUMPRODUCT((表成绩单[考试日期]=表成绩单[[#This Row],[考试日期]])*(表成绩单[化学]&lt;9E+307)*(表成绩单[化学]&gt;表成绩单[[#This Row],[化学]]))+1)</f>
        <v>33</v>
      </c>
      <c r="U198" s="29" cm="1">
        <f t="array" ref="U198">IF(表成绩单[[#This Row],[政治]]="","",SUMPRODUCT((表成绩单[考试日期]=表成绩单[[#This Row],[考试日期]])*(表成绩单[政治]&lt;9E+307)*(表成绩单[政治]&gt;表成绩单[[#This Row],[政治]]))+1)</f>
        <v>527</v>
      </c>
      <c r="V198" s="29" cm="1">
        <f t="array" ref="V198">IF(表成绩单[[#This Row],[历史]]="","",SUMPRODUCT((表成绩单[考试日期]=表成绩单[[#This Row],[考试日期]])*(表成绩单[历史]&lt;9E+307)*(表成绩单[历史]&gt;表成绩单[[#This Row],[历史]]))+1)</f>
        <v>541</v>
      </c>
      <c r="W198" s="29" cm="1">
        <f t="array" ref="W198">IF(表成绩单[[#This Row],[总分]]="","",SUMPRODUCT((表成绩单[考试日期]=表成绩单[[#This Row],[考试日期]])*(表成绩单[总分]&lt;9E+307)*(表成绩单[总分]&gt;表成绩单[[#This Row],[总分]]))+1)</f>
        <v>194</v>
      </c>
    </row>
    <row r="199" ht="28" customHeight="1" spans="4:23">
      <c r="D199" s="31">
        <v>45975</v>
      </c>
      <c r="E199" s="29">
        <v>19175316</v>
      </c>
      <c r="F199" s="29" t="s">
        <v>66</v>
      </c>
      <c r="G199" s="29" t="s">
        <v>272</v>
      </c>
      <c r="H199" s="29">
        <v>103</v>
      </c>
      <c r="I199" s="29">
        <v>114</v>
      </c>
      <c r="J199" s="29">
        <v>75.5</v>
      </c>
      <c r="K199" s="29">
        <v>84</v>
      </c>
      <c r="L199" s="29">
        <v>82</v>
      </c>
      <c r="M199" s="29">
        <v>69</v>
      </c>
      <c r="N199" s="29">
        <v>79</v>
      </c>
      <c r="O199" s="32">
        <v>606.5</v>
      </c>
      <c r="P199" s="29" cm="1">
        <f t="array" ref="P199">IF(表成绩单[[#This Row],[语文]]="","",SUMPRODUCT((表成绩单[考试日期]=表成绩单[[#This Row],[考试日期]])*(表成绩单[语文]&lt;9E+307)*(表成绩单[语文]&gt;表成绩单[[#This Row],[语文]]))+1)</f>
        <v>126</v>
      </c>
      <c r="Q199" s="29" cm="1">
        <f t="array" ref="Q199">IF(表成绩单[[#This Row],[数学]]="","",SUMPRODUCT((表成绩单[考试日期]=表成绩单[[#This Row],[考试日期]])*(表成绩单[数学]&lt;9E+307)*(表成绩单[数学]&gt;表成绩单[[#This Row],[数学]]))+1)</f>
        <v>79</v>
      </c>
      <c r="R199" s="29" cm="1">
        <f t="array" ref="R199">IF(表成绩单[[#This Row],[英语]]="","",SUMPRODUCT((表成绩单[考试日期]=表成绩单[[#This Row],[考试日期]])*(表成绩单[英语]&lt;9E+307)*(表成绩单[英语]&gt;表成绩单[[#This Row],[英语]]))+1)</f>
        <v>418</v>
      </c>
      <c r="S199" s="29" cm="1">
        <f t="array" ref="S199">IF(表成绩单[[#This Row],[物理]]="","",SUMPRODUCT((表成绩单[考试日期]=表成绩单[[#This Row],[考试日期]])*(表成绩单[物理]&lt;9E+307)*(表成绩单[物理]&gt;表成绩单[[#This Row],[物理]]))+1)</f>
        <v>344</v>
      </c>
      <c r="T199" s="29" cm="1">
        <f t="array" ref="T199">IF(表成绩单[[#This Row],[化学]]="","",SUMPRODUCT((表成绩单[考试日期]=表成绩单[[#This Row],[考试日期]])*(表成绩单[化学]&lt;9E+307)*(表成绩单[化学]&gt;表成绩单[[#This Row],[化学]]))+1)</f>
        <v>71</v>
      </c>
      <c r="U199" s="29" cm="1">
        <f t="array" ref="U199">IF(表成绩单[[#This Row],[政治]]="","",SUMPRODUCT((表成绩单[考试日期]=表成绩单[[#This Row],[考试日期]])*(表成绩单[政治]&lt;9E+307)*(表成绩单[政治]&gt;表成绩单[[#This Row],[政治]]))+1)</f>
        <v>507</v>
      </c>
      <c r="V199" s="29" cm="1">
        <f t="array" ref="V199">IF(表成绩单[[#This Row],[历史]]="","",SUMPRODUCT((表成绩单[考试日期]=表成绩单[[#This Row],[考试日期]])*(表成绩单[历史]&lt;9E+307)*(表成绩单[历史]&gt;表成绩单[[#This Row],[历史]]))+1)</f>
        <v>144</v>
      </c>
      <c r="W199" s="29" cm="1">
        <f t="array" ref="W199">IF(表成绩单[[#This Row],[总分]]="","",SUMPRODUCT((表成绩单[考试日期]=表成绩单[[#This Row],[考试日期]])*(表成绩单[总分]&lt;9E+307)*(表成绩单[总分]&gt;表成绩单[[#This Row],[总分]]))+1)</f>
        <v>194</v>
      </c>
    </row>
    <row r="200" ht="28" customHeight="1" spans="4:23">
      <c r="D200" s="31">
        <v>45975</v>
      </c>
      <c r="E200" s="29">
        <v>19175702</v>
      </c>
      <c r="F200" s="29" t="s">
        <v>72</v>
      </c>
      <c r="G200" s="29" t="s">
        <v>273</v>
      </c>
      <c r="H200" s="29">
        <v>102</v>
      </c>
      <c r="I200" s="29">
        <v>111</v>
      </c>
      <c r="J200" s="29">
        <v>84.5</v>
      </c>
      <c r="K200" s="29">
        <v>80</v>
      </c>
      <c r="L200" s="29">
        <v>76</v>
      </c>
      <c r="M200" s="29">
        <v>80</v>
      </c>
      <c r="N200" s="29">
        <v>73</v>
      </c>
      <c r="O200" s="32">
        <v>606.5</v>
      </c>
      <c r="P200" s="29" cm="1">
        <f t="array" ref="P200">IF(表成绩单[[#This Row],[语文]]="","",SUMPRODUCT((表成绩单[考试日期]=表成绩单[[#This Row],[考试日期]])*(表成绩单[语文]&lt;9E+307)*(表成绩单[语文]&gt;表成绩单[[#This Row],[语文]]))+1)</f>
        <v>154</v>
      </c>
      <c r="Q200" s="29" cm="1">
        <f t="array" ref="Q200">IF(表成绩单[[#This Row],[数学]]="","",SUMPRODUCT((表成绩单[考试日期]=表成绩单[[#This Row],[考试日期]])*(表成绩单[数学]&lt;9E+307)*(表成绩单[数学]&gt;表成绩单[[#This Row],[数学]]))+1)</f>
        <v>134</v>
      </c>
      <c r="R200" s="29" cm="1">
        <f t="array" ref="R200">IF(表成绩单[[#This Row],[英语]]="","",SUMPRODUCT((表成绩单[考试日期]=表成绩单[[#This Row],[考试日期]])*(表成绩单[英语]&lt;9E+307)*(表成绩单[英语]&gt;表成绩单[[#This Row],[英语]]))+1)</f>
        <v>85</v>
      </c>
      <c r="S200" s="29" cm="1">
        <f t="array" ref="S200">IF(表成绩单[[#This Row],[物理]]="","",SUMPRODUCT((表成绩单[考试日期]=表成绩单[[#This Row],[考试日期]])*(表成绩单[物理]&lt;9E+307)*(表成绩单[物理]&gt;表成绩单[[#This Row],[物理]]))+1)</f>
        <v>507</v>
      </c>
      <c r="T200" s="29" cm="1">
        <f t="array" ref="T200">IF(表成绩单[[#This Row],[化学]]="","",SUMPRODUCT((表成绩单[考试日期]=表成绩单[[#This Row],[考试日期]])*(表成绩单[化学]&lt;9E+307)*(表成绩单[化学]&gt;表成绩单[[#This Row],[化学]]))+1)</f>
        <v>268</v>
      </c>
      <c r="U200" s="29" cm="1">
        <f t="array" ref="U200">IF(表成绩单[[#This Row],[政治]]="","",SUMPRODUCT((表成绩单[考试日期]=表成绩单[[#This Row],[考试日期]])*(表成绩单[政治]&lt;9E+307)*(表成绩单[政治]&gt;表成绩单[[#This Row],[政治]]))+1)</f>
        <v>209</v>
      </c>
      <c r="V200" s="29" cm="1">
        <f t="array" ref="V200">IF(表成绩单[[#This Row],[历史]]="","",SUMPRODUCT((表成绩单[考试日期]=表成绩单[[#This Row],[考试日期]])*(表成绩单[历史]&lt;9E+307)*(表成绩单[历史]&gt;表成绩单[[#This Row],[历史]]))+1)</f>
        <v>395</v>
      </c>
      <c r="W200" s="29" cm="1">
        <f t="array" ref="W200">IF(表成绩单[[#This Row],[总分]]="","",SUMPRODUCT((表成绩单[考试日期]=表成绩单[[#This Row],[考试日期]])*(表成绩单[总分]&lt;9E+307)*(表成绩单[总分]&gt;表成绩单[[#This Row],[总分]]))+1)</f>
        <v>194</v>
      </c>
    </row>
    <row r="201" ht="28" customHeight="1" spans="4:23">
      <c r="D201" s="31">
        <v>45975</v>
      </c>
      <c r="E201" s="29">
        <v>19167650</v>
      </c>
      <c r="F201" s="29" t="s">
        <v>1</v>
      </c>
      <c r="G201" s="29" t="s">
        <v>274</v>
      </c>
      <c r="H201" s="29">
        <v>95</v>
      </c>
      <c r="I201" s="29">
        <v>118</v>
      </c>
      <c r="J201" s="29">
        <v>84</v>
      </c>
      <c r="K201" s="29">
        <v>82</v>
      </c>
      <c r="L201" s="29">
        <v>82</v>
      </c>
      <c r="M201" s="29">
        <v>71</v>
      </c>
      <c r="N201" s="29">
        <v>74</v>
      </c>
      <c r="O201" s="32">
        <v>606</v>
      </c>
      <c r="P201" s="29" cm="1">
        <f t="array" ref="P201">IF(表成绩单[[#This Row],[语文]]="","",SUMPRODUCT((表成绩单[考试日期]=表成绩单[[#This Row],[考试日期]])*(表成绩单[语文]&lt;9E+307)*(表成绩单[语文]&gt;表成绩单[[#This Row],[语文]]))+1)</f>
        <v>420</v>
      </c>
      <c r="Q201" s="29" cm="1">
        <f t="array" ref="Q201">IF(表成绩单[[#This Row],[数学]]="","",SUMPRODUCT((表成绩单[考试日期]=表成绩单[[#This Row],[考试日期]])*(表成绩单[数学]&lt;9E+307)*(表成绩单[数学]&gt;表成绩单[[#This Row],[数学]]))+1)</f>
        <v>22</v>
      </c>
      <c r="R201" s="29" cm="1">
        <f t="array" ref="R201">IF(表成绩单[[#This Row],[英语]]="","",SUMPRODUCT((表成绩单[考试日期]=表成绩单[[#This Row],[考试日期]])*(表成绩单[英语]&lt;9E+307)*(表成绩单[英语]&gt;表成绩单[[#This Row],[英语]]))+1)</f>
        <v>102</v>
      </c>
      <c r="S201" s="29" cm="1">
        <f t="array" ref="S201">IF(表成绩单[[#This Row],[物理]]="","",SUMPRODUCT((表成绩单[考试日期]=表成绩单[[#This Row],[考试日期]])*(表成绩单[物理]&lt;9E+307)*(表成绩单[物理]&gt;表成绩单[[#This Row],[物理]]))+1)</f>
        <v>433</v>
      </c>
      <c r="T201" s="29" cm="1">
        <f t="array" ref="T201">IF(表成绩单[[#This Row],[化学]]="","",SUMPRODUCT((表成绩单[考试日期]=表成绩单[[#This Row],[考试日期]])*(表成绩单[化学]&lt;9E+307)*(表成绩单[化学]&gt;表成绩单[[#This Row],[化学]]))+1)</f>
        <v>71</v>
      </c>
      <c r="U201" s="29" cm="1">
        <f t="array" ref="U201">IF(表成绩单[[#This Row],[政治]]="","",SUMPRODUCT((表成绩单[考试日期]=表成绩单[[#This Row],[考试日期]])*(表成绩单[政治]&lt;9E+307)*(表成绩单[政治]&gt;表成绩单[[#This Row],[政治]]))+1)</f>
        <v>467</v>
      </c>
      <c r="V201" s="29" cm="1">
        <f t="array" ref="V201">IF(表成绩单[[#This Row],[历史]]="","",SUMPRODUCT((表成绩单[考试日期]=表成绩单[[#This Row],[考试日期]])*(表成绩单[历史]&lt;9E+307)*(表成绩单[历史]&gt;表成绩单[[#This Row],[历史]]))+1)</f>
        <v>358</v>
      </c>
      <c r="W201" s="29" cm="1">
        <f t="array" ref="W201">IF(表成绩单[[#This Row],[总分]]="","",SUMPRODUCT((表成绩单[考试日期]=表成绩单[[#This Row],[考试日期]])*(表成绩单[总分]&lt;9E+307)*(表成绩单[总分]&gt;表成绩单[[#This Row],[总分]]))+1)</f>
        <v>197</v>
      </c>
    </row>
    <row r="202" ht="28" customHeight="1" spans="4:23">
      <c r="D202" s="31">
        <v>45975</v>
      </c>
      <c r="E202" s="29">
        <v>19175705</v>
      </c>
      <c r="F202" s="29" t="s">
        <v>72</v>
      </c>
      <c r="G202" s="29" t="s">
        <v>275</v>
      </c>
      <c r="H202" s="29">
        <v>93</v>
      </c>
      <c r="I202" s="29">
        <v>120</v>
      </c>
      <c r="J202" s="29">
        <v>71.5</v>
      </c>
      <c r="K202" s="29">
        <v>85</v>
      </c>
      <c r="L202" s="29">
        <v>82</v>
      </c>
      <c r="M202" s="29">
        <v>81</v>
      </c>
      <c r="N202" s="29">
        <v>73</v>
      </c>
      <c r="O202" s="32">
        <v>605.5</v>
      </c>
      <c r="P202" s="29" cm="1">
        <f t="array" ref="P202">IF(表成绩单[[#This Row],[语文]]="","",SUMPRODUCT((表成绩单[考试日期]=表成绩单[[#This Row],[考试日期]])*(表成绩单[语文]&lt;9E+307)*(表成绩单[语文]&gt;表成绩单[[#This Row],[语文]]))+1)</f>
        <v>489</v>
      </c>
      <c r="Q202" s="29" cm="1">
        <f t="array" ref="Q202">IF(表成绩单[[#This Row],[数学]]="","",SUMPRODUCT((表成绩单[考试日期]=表成绩单[[#This Row],[考试日期]])*(表成绩单[数学]&lt;9E+307)*(表成绩单[数学]&gt;表成绩单[[#This Row],[数学]]))+1)</f>
        <v>1</v>
      </c>
      <c r="R202" s="29" cm="1">
        <f t="array" ref="R202">IF(表成绩单[[#This Row],[英语]]="","",SUMPRODUCT((表成绩单[考试日期]=表成绩单[[#This Row],[考试日期]])*(表成绩单[英语]&lt;9E+307)*(表成绩单[英语]&gt;表成绩单[[#This Row],[英语]]))+1)</f>
        <v>520</v>
      </c>
      <c r="S202" s="29" cm="1">
        <f t="array" ref="S202">IF(表成绩单[[#This Row],[物理]]="","",SUMPRODUCT((表成绩单[考试日期]=表成绩单[[#This Row],[考试日期]])*(表成绩单[物理]&lt;9E+307)*(表成绩单[物理]&gt;表成绩单[[#This Row],[物理]]))+1)</f>
        <v>263</v>
      </c>
      <c r="T202" s="29" cm="1">
        <f t="array" ref="T202">IF(表成绩单[[#This Row],[化学]]="","",SUMPRODUCT((表成绩单[考试日期]=表成绩单[[#This Row],[考试日期]])*(表成绩单[化学]&lt;9E+307)*(表成绩单[化学]&gt;表成绩单[[#This Row],[化学]]))+1)</f>
        <v>71</v>
      </c>
      <c r="U202" s="29" cm="1">
        <f t="array" ref="U202">IF(表成绩单[[#This Row],[政治]]="","",SUMPRODUCT((表成绩单[考试日期]=表成绩单[[#This Row],[考试日期]])*(表成绩单[政治]&lt;9E+307)*(表成绩单[政治]&gt;表成绩单[[#This Row],[政治]]))+1)</f>
        <v>180</v>
      </c>
      <c r="V202" s="29" cm="1">
        <f t="array" ref="V202">IF(表成绩单[[#This Row],[历史]]="","",SUMPRODUCT((表成绩单[考试日期]=表成绩单[[#This Row],[考试日期]])*(表成绩单[历史]&lt;9E+307)*(表成绩单[历史]&gt;表成绩单[[#This Row],[历史]]))+1)</f>
        <v>395</v>
      </c>
      <c r="W202" s="29" cm="1">
        <f t="array" ref="W202">IF(表成绩单[[#This Row],[总分]]="","",SUMPRODUCT((表成绩单[考试日期]=表成绩单[[#This Row],[考试日期]])*(表成绩单[总分]&lt;9E+307)*(表成绩单[总分]&gt;表成绩单[[#This Row],[总分]]))+1)</f>
        <v>198</v>
      </c>
    </row>
    <row r="203" ht="28" customHeight="1" spans="4:23">
      <c r="D203" s="31">
        <v>45975</v>
      </c>
      <c r="E203" s="29">
        <v>19176175</v>
      </c>
      <c r="F203" s="29" t="s">
        <v>67</v>
      </c>
      <c r="G203" s="29" t="s">
        <v>276</v>
      </c>
      <c r="H203" s="29">
        <v>99</v>
      </c>
      <c r="I203" s="29">
        <v>105</v>
      </c>
      <c r="J203" s="29">
        <v>83.5</v>
      </c>
      <c r="K203" s="29">
        <v>87</v>
      </c>
      <c r="L203" s="29">
        <v>84</v>
      </c>
      <c r="M203" s="29">
        <v>74</v>
      </c>
      <c r="N203" s="29">
        <v>73</v>
      </c>
      <c r="O203" s="32">
        <v>605.5</v>
      </c>
      <c r="P203" s="29" cm="1">
        <f t="array" ref="P203">IF(表成绩单[[#This Row],[语文]]="","",SUMPRODUCT((表成绩单[考试日期]=表成绩单[[#This Row],[考试日期]])*(表成绩单[语文]&lt;9E+307)*(表成绩单[语文]&gt;表成绩单[[#This Row],[语文]]))+1)</f>
        <v>264</v>
      </c>
      <c r="Q203" s="29" cm="1">
        <f t="array" ref="Q203">IF(表成绩单[[#This Row],[数学]]="","",SUMPRODUCT((表成绩单[考试日期]=表成绩单[[#This Row],[考试日期]])*(表成绩单[数学]&lt;9E+307)*(表成绩单[数学]&gt;表成绩单[[#This Row],[数学]]))+1)</f>
        <v>245</v>
      </c>
      <c r="R203" s="29" cm="1">
        <f t="array" ref="R203">IF(表成绩单[[#This Row],[英语]]="","",SUMPRODUCT((表成绩单[考试日期]=表成绩单[[#This Row],[考试日期]])*(表成绩单[英语]&lt;9E+307)*(表成绩单[英语]&gt;表成绩单[[#This Row],[英语]]))+1)</f>
        <v>128</v>
      </c>
      <c r="S203" s="29" cm="1">
        <f t="array" ref="S203">IF(表成绩单[[#This Row],[物理]]="","",SUMPRODUCT((表成绩单[考试日期]=表成绩单[[#This Row],[考试日期]])*(表成绩单[物理]&lt;9E+307)*(表成绩单[物理]&gt;表成绩单[[#This Row],[物理]]))+1)</f>
        <v>127</v>
      </c>
      <c r="T203" s="29" cm="1">
        <f t="array" ref="T203">IF(表成绩单[[#This Row],[化学]]="","",SUMPRODUCT((表成绩单[考试日期]=表成绩单[[#This Row],[考试日期]])*(表成绩单[化学]&lt;9E+307)*(表成绩单[化学]&gt;表成绩单[[#This Row],[化学]]))+1)</f>
        <v>33</v>
      </c>
      <c r="U203" s="29" cm="1">
        <f t="array" ref="U203">IF(表成绩单[[#This Row],[政治]]="","",SUMPRODUCT((表成绩单[考试日期]=表成绩单[[#This Row],[考试日期]])*(表成绩单[政治]&lt;9E+307)*(表成绩单[政治]&gt;表成绩单[[#This Row],[政治]]))+1)</f>
        <v>389</v>
      </c>
      <c r="V203" s="29" cm="1">
        <f t="array" ref="V203">IF(表成绩单[[#This Row],[历史]]="","",SUMPRODUCT((表成绩单[考试日期]=表成绩单[[#This Row],[考试日期]])*(表成绩单[历史]&lt;9E+307)*(表成绩单[历史]&gt;表成绩单[[#This Row],[历史]]))+1)</f>
        <v>395</v>
      </c>
      <c r="W203" s="29" cm="1">
        <f t="array" ref="W203">IF(表成绩单[[#This Row],[总分]]="","",SUMPRODUCT((表成绩单[考试日期]=表成绩单[[#This Row],[考试日期]])*(表成绩单[总分]&lt;9E+307)*(表成绩单[总分]&gt;表成绩单[[#This Row],[总分]]))+1)</f>
        <v>198</v>
      </c>
    </row>
    <row r="204" ht="28" customHeight="1" spans="4:23">
      <c r="D204" s="31">
        <v>45975</v>
      </c>
      <c r="E204" s="29">
        <v>19176889</v>
      </c>
      <c r="F204" s="29" t="s">
        <v>71</v>
      </c>
      <c r="G204" s="29" t="s">
        <v>277</v>
      </c>
      <c r="H204" s="29">
        <v>99</v>
      </c>
      <c r="I204" s="29">
        <v>100</v>
      </c>
      <c r="J204" s="29">
        <v>80.5</v>
      </c>
      <c r="K204" s="29">
        <v>86</v>
      </c>
      <c r="L204" s="29">
        <v>76</v>
      </c>
      <c r="M204" s="29">
        <v>82</v>
      </c>
      <c r="N204" s="29">
        <v>82</v>
      </c>
      <c r="O204" s="32">
        <v>605.5</v>
      </c>
      <c r="P204" s="29" cm="1">
        <f t="array" ref="P204">IF(表成绩单[[#This Row],[语文]]="","",SUMPRODUCT((表成绩单[考试日期]=表成绩单[[#This Row],[考试日期]])*(表成绩单[语文]&lt;9E+307)*(表成绩单[语文]&gt;表成绩单[[#This Row],[语文]]))+1)</f>
        <v>264</v>
      </c>
      <c r="Q204" s="29" cm="1">
        <f t="array" ref="Q204">IF(表成绩单[[#This Row],[数学]]="","",SUMPRODUCT((表成绩单[考试日期]=表成绩单[[#This Row],[考试日期]])*(表成绩单[数学]&lt;9E+307)*(表成绩单[数学]&gt;表成绩单[[#This Row],[数学]]))+1)</f>
        <v>340</v>
      </c>
      <c r="R204" s="29" cm="1">
        <f t="array" ref="R204">IF(表成绩单[[#This Row],[英语]]="","",SUMPRODUCT((表成绩单[考试日期]=表成绩单[[#This Row],[考试日期]])*(表成绩单[英语]&lt;9E+307)*(表成绩单[英语]&gt;表成绩单[[#This Row],[英语]]))+1)</f>
        <v>255</v>
      </c>
      <c r="S204" s="29" cm="1">
        <f t="array" ref="S204">IF(表成绩单[[#This Row],[物理]]="","",SUMPRODUCT((表成绩单[考试日期]=表成绩单[[#This Row],[考试日期]])*(表成绩单[物理]&lt;9E+307)*(表成绩单[物理]&gt;表成绩单[[#This Row],[物理]]))+1)</f>
        <v>187</v>
      </c>
      <c r="T204" s="29" cm="1">
        <f t="array" ref="T204">IF(表成绩单[[#This Row],[化学]]="","",SUMPRODUCT((表成绩单[考试日期]=表成绩单[[#This Row],[考试日期]])*(表成绩单[化学]&lt;9E+307)*(表成绩单[化学]&gt;表成绩单[[#This Row],[化学]]))+1)</f>
        <v>268</v>
      </c>
      <c r="U204" s="29" cm="1">
        <f t="array" ref="U204">IF(表成绩单[[#This Row],[政治]]="","",SUMPRODUCT((表成绩单[考试日期]=表成绩单[[#This Row],[考试日期]])*(表成绩单[政治]&lt;9E+307)*(表成绩单[政治]&gt;表成绩单[[#This Row],[政治]]))+1)</f>
        <v>157</v>
      </c>
      <c r="V204" s="29" cm="1">
        <f t="array" ref="V204">IF(表成绩单[[#This Row],[历史]]="","",SUMPRODUCT((表成绩单[考试日期]=表成绩单[[#This Row],[考试日期]])*(表成绩单[历史]&lt;9E+307)*(表成绩单[历史]&gt;表成绩单[[#This Row],[历史]]))+1)</f>
        <v>35</v>
      </c>
      <c r="W204" s="29" cm="1">
        <f t="array" ref="W204">IF(表成绩单[[#This Row],[总分]]="","",SUMPRODUCT((表成绩单[考试日期]=表成绩单[[#This Row],[考试日期]])*(表成绩单[总分]&lt;9E+307)*(表成绩单[总分]&gt;表成绩单[[#This Row],[总分]]))+1)</f>
        <v>198</v>
      </c>
    </row>
    <row r="205" ht="28" customHeight="1" spans="4:23">
      <c r="D205" s="31">
        <v>45975</v>
      </c>
      <c r="E205" s="29">
        <v>19174788</v>
      </c>
      <c r="F205" s="29" t="s">
        <v>69</v>
      </c>
      <c r="G205" s="29" t="s">
        <v>278</v>
      </c>
      <c r="H205" s="29">
        <v>106</v>
      </c>
      <c r="I205" s="29">
        <v>98</v>
      </c>
      <c r="J205" s="29">
        <v>72</v>
      </c>
      <c r="K205" s="29">
        <v>85</v>
      </c>
      <c r="L205" s="29">
        <v>80</v>
      </c>
      <c r="M205" s="29">
        <v>84</v>
      </c>
      <c r="N205" s="29">
        <v>80</v>
      </c>
      <c r="O205" s="32">
        <v>605</v>
      </c>
      <c r="P205" s="29" cm="1">
        <f t="array" ref="P205">IF(表成绩单[[#This Row],[语文]]="","",SUMPRODUCT((表成绩单[考试日期]=表成绩单[[#This Row],[考试日期]])*(表成绩单[语文]&lt;9E+307)*(表成绩单[语文]&gt;表成绩单[[#This Row],[语文]]))+1)</f>
        <v>62</v>
      </c>
      <c r="Q205" s="29" cm="1">
        <f t="array" ref="Q205">IF(表成绩单[[#This Row],[数学]]="","",SUMPRODUCT((表成绩单[考试日期]=表成绩单[[#This Row],[考试日期]])*(表成绩单[数学]&lt;9E+307)*(表成绩单[数学]&gt;表成绩单[[#This Row],[数学]]))+1)</f>
        <v>374</v>
      </c>
      <c r="R205" s="29" cm="1">
        <f t="array" ref="R205">IF(表成绩单[[#This Row],[英语]]="","",SUMPRODUCT((表成绩单[考试日期]=表成绩单[[#This Row],[考试日期]])*(表成绩单[英语]&lt;9E+307)*(表成绩单[英语]&gt;表成绩单[[#This Row],[英语]]))+1)</f>
        <v>507</v>
      </c>
      <c r="S205" s="29" cm="1">
        <f t="array" ref="S205">IF(表成绩单[[#This Row],[物理]]="","",SUMPRODUCT((表成绩单[考试日期]=表成绩单[[#This Row],[考试日期]])*(表成绩单[物理]&lt;9E+307)*(表成绩单[物理]&gt;表成绩单[[#This Row],[物理]]))+1)</f>
        <v>263</v>
      </c>
      <c r="T205" s="29" cm="1">
        <f t="array" ref="T205">IF(表成绩单[[#This Row],[化学]]="","",SUMPRODUCT((表成绩单[考试日期]=表成绩单[[#This Row],[考试日期]])*(表成绩单[化学]&lt;9E+307)*(表成绩单[化学]&gt;表成绩单[[#This Row],[化学]]))+1)</f>
        <v>129</v>
      </c>
      <c r="U205" s="29" cm="1">
        <f t="array" ref="U205">IF(表成绩单[[#This Row],[政治]]="","",SUMPRODUCT((表成绩单[考试日期]=表成绩单[[#This Row],[考试日期]])*(表成绩单[政治]&lt;9E+307)*(表成绩单[政治]&gt;表成绩单[[#This Row],[政治]]))+1)</f>
        <v>83</v>
      </c>
      <c r="V205" s="29" cm="1">
        <f t="array" ref="V205">IF(表成绩单[[#This Row],[历史]]="","",SUMPRODUCT((表成绩单[考试日期]=表成绩单[[#This Row],[考试日期]])*(表成绩单[历史]&lt;9E+307)*(表成绩单[历史]&gt;表成绩单[[#This Row],[历史]]))+1)</f>
        <v>108</v>
      </c>
      <c r="W205" s="29" cm="1">
        <f t="array" ref="W205">IF(表成绩单[[#This Row],[总分]]="","",SUMPRODUCT((表成绩单[考试日期]=表成绩单[[#This Row],[考试日期]])*(表成绩单[总分]&lt;9E+307)*(表成绩单[总分]&gt;表成绩单[[#This Row],[总分]]))+1)</f>
        <v>201</v>
      </c>
    </row>
    <row r="206" ht="28" customHeight="1" spans="4:23">
      <c r="D206" s="31">
        <v>45975</v>
      </c>
      <c r="E206" s="29">
        <v>19174801</v>
      </c>
      <c r="F206" s="29" t="s">
        <v>69</v>
      </c>
      <c r="G206" s="29" t="s">
        <v>279</v>
      </c>
      <c r="H206" s="29">
        <v>98</v>
      </c>
      <c r="I206" s="29">
        <v>99</v>
      </c>
      <c r="J206" s="29">
        <v>79</v>
      </c>
      <c r="K206" s="29">
        <v>87</v>
      </c>
      <c r="L206" s="29">
        <v>82</v>
      </c>
      <c r="M206" s="29">
        <v>85</v>
      </c>
      <c r="N206" s="29">
        <v>75</v>
      </c>
      <c r="O206" s="32">
        <v>605</v>
      </c>
      <c r="P206" s="29" cm="1">
        <f t="array" ref="P206">IF(表成绩单[[#This Row],[语文]]="","",SUMPRODUCT((表成绩单[考试日期]=表成绩单[[#This Row],[考试日期]])*(表成绩单[语文]&lt;9E+307)*(表成绩单[语文]&gt;表成绩单[[#This Row],[语文]]))+1)</f>
        <v>305</v>
      </c>
      <c r="Q206" s="29" cm="1">
        <f t="array" ref="Q206">IF(表成绩单[[#This Row],[数学]]="","",SUMPRODUCT((表成绩单[考试日期]=表成绩单[[#This Row],[考试日期]])*(表成绩单[数学]&lt;9E+307)*(表成绩单[数学]&gt;表成绩单[[#This Row],[数学]]))+1)</f>
        <v>361</v>
      </c>
      <c r="R206" s="29" cm="1">
        <f t="array" ref="R206">IF(表成绩单[[#This Row],[英语]]="","",SUMPRODUCT((表成绩单[考试日期]=表成绩单[[#This Row],[考试日期]])*(表成绩单[英语]&lt;9E+307)*(表成绩单[英语]&gt;表成绩单[[#This Row],[英语]]))+1)</f>
        <v>292</v>
      </c>
      <c r="S206" s="29" cm="1">
        <f t="array" ref="S206">IF(表成绩单[[#This Row],[物理]]="","",SUMPRODUCT((表成绩单[考试日期]=表成绩单[[#This Row],[考试日期]])*(表成绩单[物理]&lt;9E+307)*(表成绩单[物理]&gt;表成绩单[[#This Row],[物理]]))+1)</f>
        <v>127</v>
      </c>
      <c r="T206" s="29" cm="1">
        <f t="array" ref="T206">IF(表成绩单[[#This Row],[化学]]="","",SUMPRODUCT((表成绩单[考试日期]=表成绩单[[#This Row],[考试日期]])*(表成绩单[化学]&lt;9E+307)*(表成绩单[化学]&gt;表成绩单[[#This Row],[化学]]))+1)</f>
        <v>71</v>
      </c>
      <c r="U206" s="29" cm="1">
        <f t="array" ref="U206">IF(表成绩单[[#This Row],[政治]]="","",SUMPRODUCT((表成绩单[考试日期]=表成绩单[[#This Row],[考试日期]])*(表成绩单[政治]&lt;9E+307)*(表成绩单[政治]&gt;表成绩单[[#This Row],[政治]]))+1)</f>
        <v>45</v>
      </c>
      <c r="V206" s="29" cm="1">
        <f t="array" ref="V206">IF(表成绩单[[#This Row],[历史]]="","",SUMPRODUCT((表成绩单[考试日期]=表成绩单[[#This Row],[考试日期]])*(表成绩单[历史]&lt;9E+307)*(表成绩单[历史]&gt;表成绩单[[#This Row],[历史]]))+1)</f>
        <v>315</v>
      </c>
      <c r="W206" s="29" cm="1">
        <f t="array" ref="W206">IF(表成绩单[[#This Row],[总分]]="","",SUMPRODUCT((表成绩单[考试日期]=表成绩单[[#This Row],[考试日期]])*(表成绩单[总分]&lt;9E+307)*(表成绩单[总分]&gt;表成绩单[[#This Row],[总分]]))+1)</f>
        <v>201</v>
      </c>
    </row>
    <row r="207" ht="28" customHeight="1" spans="4:23">
      <c r="D207" s="31">
        <v>45975</v>
      </c>
      <c r="E207" s="29">
        <v>19174807</v>
      </c>
      <c r="F207" s="29" t="s">
        <v>69</v>
      </c>
      <c r="G207" s="29" t="s">
        <v>280</v>
      </c>
      <c r="H207" s="29">
        <v>95</v>
      </c>
      <c r="I207" s="29">
        <v>110</v>
      </c>
      <c r="J207" s="29">
        <v>78</v>
      </c>
      <c r="K207" s="29">
        <v>85</v>
      </c>
      <c r="L207" s="29">
        <v>69</v>
      </c>
      <c r="M207" s="29">
        <v>84</v>
      </c>
      <c r="N207" s="29">
        <v>84</v>
      </c>
      <c r="O207" s="32">
        <v>605</v>
      </c>
      <c r="P207" s="29" cm="1">
        <f t="array" ref="P207">IF(表成绩单[[#This Row],[语文]]="","",SUMPRODUCT((表成绩单[考试日期]=表成绩单[[#This Row],[考试日期]])*(表成绩单[语文]&lt;9E+307)*(表成绩单[语文]&gt;表成绩单[[#This Row],[语文]]))+1)</f>
        <v>420</v>
      </c>
      <c r="Q207" s="29" cm="1">
        <f t="array" ref="Q207">IF(表成绩单[[#This Row],[数学]]="","",SUMPRODUCT((表成绩单[考试日期]=表成绩单[[#This Row],[考试日期]])*(表成绩单[数学]&lt;9E+307)*(表成绩单[数学]&gt;表成绩单[[#This Row],[数学]]))+1)</f>
        <v>154</v>
      </c>
      <c r="R207" s="29" cm="1">
        <f t="array" ref="R207">IF(表成绩单[[#This Row],[英语]]="","",SUMPRODUCT((表成绩单[考试日期]=表成绩单[[#This Row],[考试日期]])*(表成绩单[英语]&lt;9E+307)*(表成绩单[英语]&gt;表成绩单[[#This Row],[英语]]))+1)</f>
        <v>330</v>
      </c>
      <c r="S207" s="29" cm="1">
        <f t="array" ref="S207">IF(表成绩单[[#This Row],[物理]]="","",SUMPRODUCT((表成绩单[考试日期]=表成绩单[[#This Row],[考试日期]])*(表成绩单[物理]&lt;9E+307)*(表成绩单[物理]&gt;表成绩单[[#This Row],[物理]]))+1)</f>
        <v>263</v>
      </c>
      <c r="T207" s="29" cm="1">
        <f t="array" ref="T207">IF(表成绩单[[#This Row],[化学]]="","",SUMPRODUCT((表成绩单[考试日期]=表成绩单[[#This Row],[考试日期]])*(表成绩单[化学]&lt;9E+307)*(表成绩单[化学]&gt;表成绩单[[#This Row],[化学]]))+1)</f>
        <v>478</v>
      </c>
      <c r="U207" s="29" cm="1">
        <f t="array" ref="U207">IF(表成绩单[[#This Row],[政治]]="","",SUMPRODUCT((表成绩单[考试日期]=表成绩单[[#This Row],[考试日期]])*(表成绩单[政治]&lt;9E+307)*(表成绩单[政治]&gt;表成绩单[[#This Row],[政治]]))+1)</f>
        <v>83</v>
      </c>
      <c r="V207" s="29" cm="1">
        <f t="array" ref="V207">IF(表成绩单[[#This Row],[历史]]="","",SUMPRODUCT((表成绩单[考试日期]=表成绩单[[#This Row],[考试日期]])*(表成绩单[历史]&lt;9E+307)*(表成绩单[历史]&gt;表成绩单[[#This Row],[历史]]))+1)</f>
        <v>8</v>
      </c>
      <c r="W207" s="29" cm="1">
        <f t="array" ref="W207">IF(表成绩单[[#This Row],[总分]]="","",SUMPRODUCT((表成绩单[考试日期]=表成绩单[[#This Row],[考试日期]])*(表成绩单[总分]&lt;9E+307)*(表成绩单[总分]&gt;表成绩单[[#This Row],[总分]]))+1)</f>
        <v>201</v>
      </c>
    </row>
    <row r="208" ht="28" customHeight="1" spans="4:23">
      <c r="D208" s="31">
        <v>45975</v>
      </c>
      <c r="E208" s="29">
        <v>19177197</v>
      </c>
      <c r="F208" s="29" t="s">
        <v>70</v>
      </c>
      <c r="G208" s="29" t="s">
        <v>281</v>
      </c>
      <c r="H208" s="29">
        <v>102</v>
      </c>
      <c r="I208" s="29">
        <v>110</v>
      </c>
      <c r="J208" s="29">
        <v>76</v>
      </c>
      <c r="K208" s="29">
        <v>85</v>
      </c>
      <c r="L208" s="29">
        <v>79</v>
      </c>
      <c r="M208" s="29">
        <v>79</v>
      </c>
      <c r="N208" s="29">
        <v>74</v>
      </c>
      <c r="O208" s="32">
        <v>605</v>
      </c>
      <c r="P208" s="29" cm="1">
        <f t="array" ref="P208">IF(表成绩单[[#This Row],[语文]]="","",SUMPRODUCT((表成绩单[考试日期]=表成绩单[[#This Row],[考试日期]])*(表成绩单[语文]&lt;9E+307)*(表成绩单[语文]&gt;表成绩单[[#This Row],[语文]]))+1)</f>
        <v>154</v>
      </c>
      <c r="Q208" s="29" cm="1">
        <f t="array" ref="Q208">IF(表成绩单[[#This Row],[数学]]="","",SUMPRODUCT((表成绩单[考试日期]=表成绩单[[#This Row],[考试日期]])*(表成绩单[数学]&lt;9E+307)*(表成绩单[数学]&gt;表成绩单[[#This Row],[数学]]))+1)</f>
        <v>154</v>
      </c>
      <c r="R208" s="29" cm="1">
        <f t="array" ref="R208">IF(表成绩单[[#This Row],[英语]]="","",SUMPRODUCT((表成绩单[考试日期]=表成绩单[[#This Row],[考试日期]])*(表成绩单[英语]&lt;9E+307)*(表成绩单[英语]&gt;表成绩单[[#This Row],[英语]]))+1)</f>
        <v>399</v>
      </c>
      <c r="S208" s="29" cm="1">
        <f t="array" ref="S208">IF(表成绩单[[#This Row],[物理]]="","",SUMPRODUCT((表成绩单[考试日期]=表成绩单[[#This Row],[考试日期]])*(表成绩单[物理]&lt;9E+307)*(表成绩单[物理]&gt;表成绩单[[#This Row],[物理]]))+1)</f>
        <v>263</v>
      </c>
      <c r="T208" s="29" cm="1">
        <f t="array" ref="T208">IF(表成绩单[[#This Row],[化学]]="","",SUMPRODUCT((表成绩单[考试日期]=表成绩单[[#This Row],[考试日期]])*(表成绩单[化学]&lt;9E+307)*(表成绩单[化学]&gt;表成绩单[[#This Row],[化学]]))+1)</f>
        <v>166</v>
      </c>
      <c r="U208" s="29" cm="1">
        <f t="array" ref="U208">IF(表成绩单[[#This Row],[政治]]="","",SUMPRODUCT((表成绩单[考试日期]=表成绩单[[#This Row],[考试日期]])*(表成绩单[政治]&lt;9E+307)*(表成绩单[政治]&gt;表成绩单[[#This Row],[政治]]))+1)</f>
        <v>246</v>
      </c>
      <c r="V208" s="29" cm="1">
        <f t="array" ref="V208">IF(表成绩单[[#This Row],[历史]]="","",SUMPRODUCT((表成绩单[考试日期]=表成绩单[[#This Row],[考试日期]])*(表成绩单[历史]&lt;9E+307)*(表成绩单[历史]&gt;表成绩单[[#This Row],[历史]]))+1)</f>
        <v>358</v>
      </c>
      <c r="W208" s="29" cm="1">
        <f t="array" ref="W208">IF(表成绩单[[#This Row],[总分]]="","",SUMPRODUCT((表成绩单[考试日期]=表成绩单[[#This Row],[考试日期]])*(表成绩单[总分]&lt;9E+307)*(表成绩单[总分]&gt;表成绩单[[#This Row],[总分]]))+1)</f>
        <v>201</v>
      </c>
    </row>
    <row r="209" ht="28" customHeight="1" spans="4:23">
      <c r="D209" s="31">
        <v>45975</v>
      </c>
      <c r="E209" s="29">
        <v>19177213</v>
      </c>
      <c r="F209" s="29" t="s">
        <v>70</v>
      </c>
      <c r="G209" s="29" t="s">
        <v>282</v>
      </c>
      <c r="H209" s="29">
        <v>97</v>
      </c>
      <c r="I209" s="29">
        <v>102</v>
      </c>
      <c r="J209" s="29">
        <v>79</v>
      </c>
      <c r="K209" s="29">
        <v>88</v>
      </c>
      <c r="L209" s="29">
        <v>81</v>
      </c>
      <c r="M209" s="29">
        <v>75</v>
      </c>
      <c r="N209" s="29">
        <v>83</v>
      </c>
      <c r="O209" s="32">
        <v>605</v>
      </c>
      <c r="P209" s="29" cm="1">
        <f t="array" ref="P209">IF(表成绩单[[#This Row],[语文]]="","",SUMPRODUCT((表成绩单[考试日期]=表成绩单[[#This Row],[考试日期]])*(表成绩单[语文]&lt;9E+307)*(表成绩单[语文]&gt;表成绩单[[#This Row],[语文]]))+1)</f>
        <v>349</v>
      </c>
      <c r="Q209" s="29" cm="1">
        <f t="array" ref="Q209">IF(表成绩单[[#This Row],[数学]]="","",SUMPRODUCT((表成绩单[考试日期]=表成绩单[[#This Row],[考试日期]])*(表成绩单[数学]&lt;9E+307)*(表成绩单[数学]&gt;表成绩单[[#This Row],[数学]]))+1)</f>
        <v>298</v>
      </c>
      <c r="R209" s="29" cm="1">
        <f t="array" ref="R209">IF(表成绩单[[#This Row],[英语]]="","",SUMPRODUCT((表成绩单[考试日期]=表成绩单[[#This Row],[考试日期]])*(表成绩单[英语]&lt;9E+307)*(表成绩单[英语]&gt;表成绩单[[#This Row],[英语]]))+1)</f>
        <v>292</v>
      </c>
      <c r="S209" s="29" cm="1">
        <f t="array" ref="S209">IF(表成绩单[[#This Row],[物理]]="","",SUMPRODUCT((表成绩单[考试日期]=表成绩单[[#This Row],[考试日期]])*(表成绩单[物理]&lt;9E+307)*(表成绩单[物理]&gt;表成绩单[[#This Row],[物理]]))+1)</f>
        <v>54</v>
      </c>
      <c r="T209" s="29" cm="1">
        <f t="array" ref="T209">IF(表成绩单[[#This Row],[化学]]="","",SUMPRODUCT((表成绩单[考试日期]=表成绩单[[#This Row],[考试日期]])*(表成绩单[化学]&lt;9E+307)*(表成绩单[化学]&gt;表成绩单[[#This Row],[化学]]))+1)</f>
        <v>100</v>
      </c>
      <c r="U209" s="29" cm="1">
        <f t="array" ref="U209">IF(表成绩单[[#This Row],[政治]]="","",SUMPRODUCT((表成绩单[考试日期]=表成绩单[[#This Row],[考试日期]])*(表成绩单[政治]&lt;9E+307)*(表成绩单[政治]&gt;表成绩单[[#This Row],[政治]]))+1)</f>
        <v>363</v>
      </c>
      <c r="V209" s="29" cm="1">
        <f t="array" ref="V209">IF(表成绩单[[#This Row],[历史]]="","",SUMPRODUCT((表成绩单[考试日期]=表成绩单[[#This Row],[考试日期]])*(表成绩单[历史]&lt;9E+307)*(表成绩单[历史]&gt;表成绩单[[#This Row],[历史]]))+1)</f>
        <v>18</v>
      </c>
      <c r="W209" s="29" cm="1">
        <f t="array" ref="W209">IF(表成绩单[[#This Row],[总分]]="","",SUMPRODUCT((表成绩单[考试日期]=表成绩单[[#This Row],[考试日期]])*(表成绩单[总分]&lt;9E+307)*(表成绩单[总分]&gt;表成绩单[[#This Row],[总分]]))+1)</f>
        <v>201</v>
      </c>
    </row>
    <row r="210" ht="28" customHeight="1" spans="4:23">
      <c r="D210" s="31">
        <v>45975</v>
      </c>
      <c r="E210" s="29">
        <v>19177214</v>
      </c>
      <c r="F210" s="29" t="s">
        <v>70</v>
      </c>
      <c r="G210" s="29" t="s">
        <v>283</v>
      </c>
      <c r="H210" s="29">
        <v>99</v>
      </c>
      <c r="I210" s="29">
        <v>111</v>
      </c>
      <c r="J210" s="29">
        <v>69</v>
      </c>
      <c r="K210" s="29">
        <v>89</v>
      </c>
      <c r="L210" s="29">
        <v>81</v>
      </c>
      <c r="M210" s="29">
        <v>80</v>
      </c>
      <c r="N210" s="29">
        <v>76</v>
      </c>
      <c r="O210" s="32">
        <v>605</v>
      </c>
      <c r="P210" s="29" cm="1">
        <f t="array" ref="P210">IF(表成绩单[[#This Row],[语文]]="","",SUMPRODUCT((表成绩单[考试日期]=表成绩单[[#This Row],[考试日期]])*(表成绩单[语文]&lt;9E+307)*(表成绩单[语文]&gt;表成绩单[[#This Row],[语文]]))+1)</f>
        <v>264</v>
      </c>
      <c r="Q210" s="29" cm="1">
        <f t="array" ref="Q210">IF(表成绩单[[#This Row],[数学]]="","",SUMPRODUCT((表成绩单[考试日期]=表成绩单[[#This Row],[考试日期]])*(表成绩单[数学]&lt;9E+307)*(表成绩单[数学]&gt;表成绩单[[#This Row],[数学]]))+1)</f>
        <v>134</v>
      </c>
      <c r="R210" s="29" cm="1">
        <f t="array" ref="R210">IF(表成绩单[[#This Row],[英语]]="","",SUMPRODUCT((表成绩单[考试日期]=表成绩单[[#This Row],[考试日期]])*(表成绩单[英语]&lt;9E+307)*(表成绩单[英语]&gt;表成绩单[[#This Row],[英语]]))+1)</f>
        <v>566</v>
      </c>
      <c r="S210" s="29" cm="1">
        <f t="array" ref="S210">IF(表成绩单[[#This Row],[物理]]="","",SUMPRODUCT((表成绩单[考试日期]=表成绩单[[#This Row],[考试日期]])*(表成绩单[物理]&lt;9E+307)*(表成绩单[物理]&gt;表成绩单[[#This Row],[物理]]))+1)</f>
        <v>18</v>
      </c>
      <c r="T210" s="29" cm="1">
        <f t="array" ref="T210">IF(表成绩单[[#This Row],[化学]]="","",SUMPRODUCT((表成绩单[考试日期]=表成绩单[[#This Row],[考试日期]])*(表成绩单[化学]&lt;9E+307)*(表成绩单[化学]&gt;表成绩单[[#This Row],[化学]]))+1)</f>
        <v>100</v>
      </c>
      <c r="U210" s="29" cm="1">
        <f t="array" ref="U210">IF(表成绩单[[#This Row],[政治]]="","",SUMPRODUCT((表成绩单[考试日期]=表成绩单[[#This Row],[考试日期]])*(表成绩单[政治]&lt;9E+307)*(表成绩单[政治]&gt;表成绩单[[#This Row],[政治]]))+1)</f>
        <v>209</v>
      </c>
      <c r="V210" s="29" cm="1">
        <f t="array" ref="V210">IF(表成绩单[[#This Row],[历史]]="","",SUMPRODUCT((表成绩单[考试日期]=表成绩单[[#This Row],[考试日期]])*(表成绩单[历史]&lt;9E+307)*(表成绩单[历史]&gt;表成绩单[[#This Row],[历史]]))+1)</f>
        <v>278</v>
      </c>
      <c r="W210" s="29" cm="1">
        <f t="array" ref="W210">IF(表成绩单[[#This Row],[总分]]="","",SUMPRODUCT((表成绩单[考试日期]=表成绩单[[#This Row],[考试日期]])*(表成绩单[总分]&lt;9E+307)*(表成绩单[总分]&gt;表成绩单[[#This Row],[总分]]))+1)</f>
        <v>201</v>
      </c>
    </row>
    <row r="211" ht="28" customHeight="1" spans="4:23">
      <c r="D211" s="31">
        <v>45975</v>
      </c>
      <c r="E211" s="29">
        <v>19178573</v>
      </c>
      <c r="F211" s="29" t="s">
        <v>64</v>
      </c>
      <c r="G211" s="29" t="s">
        <v>284</v>
      </c>
      <c r="H211" s="29">
        <v>102</v>
      </c>
      <c r="I211" s="29">
        <v>100</v>
      </c>
      <c r="J211" s="29">
        <v>84</v>
      </c>
      <c r="K211" s="29">
        <v>86</v>
      </c>
      <c r="L211" s="29">
        <v>69</v>
      </c>
      <c r="M211" s="29">
        <v>83</v>
      </c>
      <c r="N211" s="29">
        <v>81</v>
      </c>
      <c r="O211" s="32">
        <v>605</v>
      </c>
      <c r="P211" s="29" cm="1">
        <f t="array" ref="P211">IF(表成绩单[[#This Row],[语文]]="","",SUMPRODUCT((表成绩单[考试日期]=表成绩单[[#This Row],[考试日期]])*(表成绩单[语文]&lt;9E+307)*(表成绩单[语文]&gt;表成绩单[[#This Row],[语文]]))+1)</f>
        <v>154</v>
      </c>
      <c r="Q211" s="29" cm="1">
        <f t="array" ref="Q211">IF(表成绩单[[#This Row],[数学]]="","",SUMPRODUCT((表成绩单[考试日期]=表成绩单[[#This Row],[考试日期]])*(表成绩单[数学]&lt;9E+307)*(表成绩单[数学]&gt;表成绩单[[#This Row],[数学]]))+1)</f>
        <v>340</v>
      </c>
      <c r="R211" s="29" cm="1">
        <f t="array" ref="R211">IF(表成绩单[[#This Row],[英语]]="","",SUMPRODUCT((表成绩单[考试日期]=表成绩单[[#This Row],[考试日期]])*(表成绩单[英语]&lt;9E+307)*(表成绩单[英语]&gt;表成绩单[[#This Row],[英语]]))+1)</f>
        <v>102</v>
      </c>
      <c r="S211" s="29" cm="1">
        <f t="array" ref="S211">IF(表成绩单[[#This Row],[物理]]="","",SUMPRODUCT((表成绩单[考试日期]=表成绩单[[#This Row],[考试日期]])*(表成绩单[物理]&lt;9E+307)*(表成绩单[物理]&gt;表成绩单[[#This Row],[物理]]))+1)</f>
        <v>187</v>
      </c>
      <c r="T211" s="29" cm="1">
        <f t="array" ref="T211">IF(表成绩单[[#This Row],[化学]]="","",SUMPRODUCT((表成绩单[考试日期]=表成绩单[[#This Row],[考试日期]])*(表成绩单[化学]&lt;9E+307)*(表成绩单[化学]&gt;表成绩单[[#This Row],[化学]]))+1)</f>
        <v>478</v>
      </c>
      <c r="U211" s="29" cm="1">
        <f t="array" ref="U211">IF(表成绩单[[#This Row],[政治]]="","",SUMPRODUCT((表成绩单[考试日期]=表成绩单[[#This Row],[考试日期]])*(表成绩单[政治]&lt;9E+307)*(表成绩单[政治]&gt;表成绩单[[#This Row],[政治]]))+1)</f>
        <v>121</v>
      </c>
      <c r="V211" s="29" cm="1">
        <f t="array" ref="V211">IF(表成绩单[[#This Row],[历史]]="","",SUMPRODUCT((表成绩单[考试日期]=表成绩单[[#This Row],[考试日期]])*(表成绩单[历史]&lt;9E+307)*(表成绩单[历史]&gt;表成绩单[[#This Row],[历史]]))+1)</f>
        <v>63</v>
      </c>
      <c r="W211" s="29" cm="1">
        <f t="array" ref="W211">IF(表成绩单[[#This Row],[总分]]="","",SUMPRODUCT((表成绩单[考试日期]=表成绩单[[#This Row],[考试日期]])*(表成绩单[总分]&lt;9E+307)*(表成绩单[总分]&gt;表成绩单[[#This Row],[总分]]))+1)</f>
        <v>201</v>
      </c>
    </row>
    <row r="212" ht="28" customHeight="1" spans="4:23">
      <c r="D212" s="31">
        <v>45975</v>
      </c>
      <c r="E212" s="29">
        <v>19175636</v>
      </c>
      <c r="F212" s="29" t="s">
        <v>66</v>
      </c>
      <c r="G212" s="29" t="s">
        <v>285</v>
      </c>
      <c r="H212" s="29">
        <v>105</v>
      </c>
      <c r="I212" s="29">
        <v>98</v>
      </c>
      <c r="J212" s="29">
        <v>83.5</v>
      </c>
      <c r="K212" s="29">
        <v>83</v>
      </c>
      <c r="L212" s="29">
        <v>74</v>
      </c>
      <c r="M212" s="29">
        <v>81</v>
      </c>
      <c r="N212" s="29">
        <v>80</v>
      </c>
      <c r="O212" s="32">
        <v>604.5</v>
      </c>
      <c r="P212" s="29" cm="1">
        <f t="array" ref="P212">IF(表成绩单[[#This Row],[语文]]="","",SUMPRODUCT((表成绩单[考试日期]=表成绩单[[#This Row],[考试日期]])*(表成绩单[语文]&lt;9E+307)*(表成绩单[语文]&gt;表成绩单[[#This Row],[语文]]))+1)</f>
        <v>80</v>
      </c>
      <c r="Q212" s="29" cm="1">
        <f t="array" ref="Q212">IF(表成绩单[[#This Row],[数学]]="","",SUMPRODUCT((表成绩单[考试日期]=表成绩单[[#This Row],[考试日期]])*(表成绩单[数学]&lt;9E+307)*(表成绩单[数学]&gt;表成绩单[[#This Row],[数学]]))+1)</f>
        <v>374</v>
      </c>
      <c r="R212" s="29" cm="1">
        <f t="array" ref="R212">IF(表成绩单[[#This Row],[英语]]="","",SUMPRODUCT((表成绩单[考试日期]=表成绩单[[#This Row],[考试日期]])*(表成绩单[英语]&lt;9E+307)*(表成绩单[英语]&gt;表成绩单[[#This Row],[英语]]))+1)</f>
        <v>128</v>
      </c>
      <c r="S212" s="29" cm="1">
        <f t="array" ref="S212">IF(表成绩单[[#This Row],[物理]]="","",SUMPRODUCT((表成绩单[考试日期]=表成绩单[[#This Row],[考试日期]])*(表成绩单[物理]&lt;9E+307)*(表成绩单[物理]&gt;表成绩单[[#This Row],[物理]]))+1)</f>
        <v>390</v>
      </c>
      <c r="T212" s="29" cm="1">
        <f t="array" ref="T212">IF(表成绩单[[#This Row],[化学]]="","",SUMPRODUCT((表成绩单[考试日期]=表成绩单[[#This Row],[考试日期]])*(表成绩单[化学]&lt;9E+307)*(表成绩单[化学]&gt;表成绩单[[#This Row],[化学]]))+1)</f>
        <v>337</v>
      </c>
      <c r="U212" s="29" cm="1">
        <f t="array" ref="U212">IF(表成绩单[[#This Row],[政治]]="","",SUMPRODUCT((表成绩单[考试日期]=表成绩单[[#This Row],[考试日期]])*(表成绩单[政治]&lt;9E+307)*(表成绩单[政治]&gt;表成绩单[[#This Row],[政治]]))+1)</f>
        <v>180</v>
      </c>
      <c r="V212" s="29" cm="1">
        <f t="array" ref="V212">IF(表成绩单[[#This Row],[历史]]="","",SUMPRODUCT((表成绩单[考试日期]=表成绩单[[#This Row],[考试日期]])*(表成绩单[历史]&lt;9E+307)*(表成绩单[历史]&gt;表成绩单[[#This Row],[历史]]))+1)</f>
        <v>108</v>
      </c>
      <c r="W212" s="29" cm="1">
        <f t="array" ref="W212">IF(表成绩单[[#This Row],[总分]]="","",SUMPRODUCT((表成绩单[考试日期]=表成绩单[[#This Row],[考试日期]])*(表成绩单[总分]&lt;9E+307)*(表成绩单[总分]&gt;表成绩单[[#This Row],[总分]]))+1)</f>
        <v>208</v>
      </c>
    </row>
    <row r="213" ht="28" customHeight="1" spans="4:23">
      <c r="D213" s="31">
        <v>45975</v>
      </c>
      <c r="E213" s="29">
        <v>19176877</v>
      </c>
      <c r="F213" s="29" t="s">
        <v>71</v>
      </c>
      <c r="G213" s="29" t="s">
        <v>286</v>
      </c>
      <c r="H213" s="29">
        <v>99</v>
      </c>
      <c r="I213" s="29">
        <v>116</v>
      </c>
      <c r="J213" s="29">
        <v>82.5</v>
      </c>
      <c r="K213" s="29">
        <v>89</v>
      </c>
      <c r="L213" s="29">
        <v>66</v>
      </c>
      <c r="M213" s="29">
        <v>77</v>
      </c>
      <c r="N213" s="29">
        <v>75</v>
      </c>
      <c r="O213" s="32">
        <v>604.5</v>
      </c>
      <c r="P213" s="29" cm="1">
        <f t="array" ref="P213">IF(表成绩单[[#This Row],[语文]]="","",SUMPRODUCT((表成绩单[考试日期]=表成绩单[[#This Row],[考试日期]])*(表成绩单[语文]&lt;9E+307)*(表成绩单[语文]&gt;表成绩单[[#This Row],[语文]]))+1)</f>
        <v>264</v>
      </c>
      <c r="Q213" s="29" cm="1">
        <f t="array" ref="Q213">IF(表成绩单[[#This Row],[数学]]="","",SUMPRODUCT((表成绩单[考试日期]=表成绩单[[#This Row],[考试日期]])*(表成绩单[数学]&lt;9E+307)*(表成绩单[数学]&gt;表成绩单[[#This Row],[数学]]))+1)</f>
        <v>50</v>
      </c>
      <c r="R213" s="29" cm="1">
        <f t="array" ref="R213">IF(表成绩单[[#This Row],[英语]]="","",SUMPRODUCT((表成绩单[考试日期]=表成绩单[[#This Row],[考试日期]])*(表成绩单[英语]&lt;9E+307)*(表成绩单[英语]&gt;表成绩单[[#This Row],[英语]]))+1)</f>
        <v>170</v>
      </c>
      <c r="S213" s="29" cm="1">
        <f t="array" ref="S213">IF(表成绩单[[#This Row],[物理]]="","",SUMPRODUCT((表成绩单[考试日期]=表成绩单[[#This Row],[考试日期]])*(表成绩单[物理]&lt;9E+307)*(表成绩单[物理]&gt;表成绩单[[#This Row],[物理]]))+1)</f>
        <v>18</v>
      </c>
      <c r="T213" s="29" cm="1">
        <f t="array" ref="T213">IF(表成绩单[[#This Row],[化学]]="","",SUMPRODUCT((表成绩单[考试日期]=表成绩单[[#This Row],[考试日期]])*(表成绩单[化学]&lt;9E+307)*(表成绩单[化学]&gt;表成绩单[[#This Row],[化学]]))+1)</f>
        <v>542</v>
      </c>
      <c r="U213" s="29" cm="1">
        <f t="array" ref="U213">IF(表成绩单[[#This Row],[政治]]="","",SUMPRODUCT((表成绩单[考试日期]=表成绩单[[#This Row],[考试日期]])*(表成绩单[政治]&lt;9E+307)*(表成绩单[政治]&gt;表成绩单[[#This Row],[政治]]))+1)</f>
        <v>304</v>
      </c>
      <c r="V213" s="29" cm="1">
        <f t="array" ref="V213">IF(表成绩单[[#This Row],[历史]]="","",SUMPRODUCT((表成绩单[考试日期]=表成绩单[[#This Row],[考试日期]])*(表成绩单[历史]&lt;9E+307)*(表成绩单[历史]&gt;表成绩单[[#This Row],[历史]]))+1)</f>
        <v>315</v>
      </c>
      <c r="W213" s="29" cm="1">
        <f t="array" ref="W213">IF(表成绩单[[#This Row],[总分]]="","",SUMPRODUCT((表成绩单[考试日期]=表成绩单[[#This Row],[考试日期]])*(表成绩单[总分]&lt;9E+307)*(表成绩单[总分]&gt;表成绩单[[#This Row],[总分]]))+1)</f>
        <v>208</v>
      </c>
    </row>
    <row r="214" ht="28" customHeight="1" spans="4:23">
      <c r="D214" s="31">
        <v>45975</v>
      </c>
      <c r="E214" s="29">
        <v>19173777</v>
      </c>
      <c r="F214" s="29" t="s">
        <v>65</v>
      </c>
      <c r="G214" s="29" t="s">
        <v>287</v>
      </c>
      <c r="H214" s="29">
        <v>98</v>
      </c>
      <c r="I214" s="29">
        <v>97</v>
      </c>
      <c r="J214" s="29">
        <v>84</v>
      </c>
      <c r="K214" s="29">
        <v>85</v>
      </c>
      <c r="L214" s="29">
        <v>79</v>
      </c>
      <c r="M214" s="29">
        <v>84</v>
      </c>
      <c r="N214" s="29">
        <v>77</v>
      </c>
      <c r="O214" s="32">
        <v>604</v>
      </c>
      <c r="P214" s="29" cm="1">
        <f t="array" ref="P214">IF(表成绩单[[#This Row],[语文]]="","",SUMPRODUCT((表成绩单[考试日期]=表成绩单[[#This Row],[考试日期]])*(表成绩单[语文]&lt;9E+307)*(表成绩单[语文]&gt;表成绩单[[#This Row],[语文]]))+1)</f>
        <v>305</v>
      </c>
      <c r="Q214" s="29" cm="1">
        <f t="array" ref="Q214">IF(表成绩单[[#This Row],[数学]]="","",SUMPRODUCT((表成绩单[考试日期]=表成绩单[[#This Row],[考试日期]])*(表成绩单[数学]&lt;9E+307)*(表成绩单[数学]&gt;表成绩单[[#This Row],[数学]]))+1)</f>
        <v>389</v>
      </c>
      <c r="R214" s="29" cm="1">
        <f t="array" ref="R214">IF(表成绩单[[#This Row],[英语]]="","",SUMPRODUCT((表成绩单[考试日期]=表成绩单[[#This Row],[考试日期]])*(表成绩单[英语]&lt;9E+307)*(表成绩单[英语]&gt;表成绩单[[#This Row],[英语]]))+1)</f>
        <v>102</v>
      </c>
      <c r="S214" s="29" cm="1">
        <f t="array" ref="S214">IF(表成绩单[[#This Row],[物理]]="","",SUMPRODUCT((表成绩单[考试日期]=表成绩单[[#This Row],[考试日期]])*(表成绩单[物理]&lt;9E+307)*(表成绩单[物理]&gt;表成绩单[[#This Row],[物理]]))+1)</f>
        <v>263</v>
      </c>
      <c r="T214" s="29" cm="1">
        <f t="array" ref="T214">IF(表成绩单[[#This Row],[化学]]="","",SUMPRODUCT((表成绩单[考试日期]=表成绩单[[#This Row],[考试日期]])*(表成绩单[化学]&lt;9E+307)*(表成绩单[化学]&gt;表成绩单[[#This Row],[化学]]))+1)</f>
        <v>166</v>
      </c>
      <c r="U214" s="29" cm="1">
        <f t="array" ref="U214">IF(表成绩单[[#This Row],[政治]]="","",SUMPRODUCT((表成绩单[考试日期]=表成绩单[[#This Row],[考试日期]])*(表成绩单[政治]&lt;9E+307)*(表成绩单[政治]&gt;表成绩单[[#This Row],[政治]]))+1)</f>
        <v>83</v>
      </c>
      <c r="V214" s="29" cm="1">
        <f t="array" ref="V214">IF(表成绩单[[#This Row],[历史]]="","",SUMPRODUCT((表成绩单[考试日期]=表成绩单[[#This Row],[考试日期]])*(表成绩单[历史]&lt;9E+307)*(表成绩单[历史]&gt;表成绩单[[#This Row],[历史]]))+1)</f>
        <v>237</v>
      </c>
      <c r="W214" s="29" cm="1">
        <f t="array" ref="W214">IF(表成绩单[[#This Row],[总分]]="","",SUMPRODUCT((表成绩单[考试日期]=表成绩单[[#This Row],[考试日期]])*(表成绩单[总分]&lt;9E+307)*(表成绩单[总分]&gt;表成绩单[[#This Row],[总分]]))+1)</f>
        <v>210</v>
      </c>
    </row>
    <row r="215" ht="28" customHeight="1" spans="4:23">
      <c r="D215" s="31">
        <v>45975</v>
      </c>
      <c r="E215" s="29">
        <v>19174442</v>
      </c>
      <c r="F215" s="29" t="s">
        <v>73</v>
      </c>
      <c r="G215" s="29" t="s">
        <v>288</v>
      </c>
      <c r="H215" s="29">
        <v>101</v>
      </c>
      <c r="I215" s="29">
        <v>101</v>
      </c>
      <c r="J215" s="29">
        <v>86</v>
      </c>
      <c r="K215" s="29">
        <v>87</v>
      </c>
      <c r="L215" s="29">
        <v>71</v>
      </c>
      <c r="M215" s="29">
        <v>76</v>
      </c>
      <c r="N215" s="29">
        <v>82</v>
      </c>
      <c r="O215" s="32">
        <v>604</v>
      </c>
      <c r="P215" s="29" cm="1">
        <f t="array" ref="P215">IF(表成绩单[[#This Row],[语文]]="","",SUMPRODUCT((表成绩单[考试日期]=表成绩单[[#This Row],[考试日期]])*(表成绩单[语文]&lt;9E+307)*(表成绩单[语文]&gt;表成绩单[[#This Row],[语文]]))+1)</f>
        <v>190</v>
      </c>
      <c r="Q215" s="29" cm="1">
        <f t="array" ref="Q215">IF(表成绩单[[#This Row],[数学]]="","",SUMPRODUCT((表成绩单[考试日期]=表成绩单[[#This Row],[考试日期]])*(表成绩单[数学]&lt;9E+307)*(表成绩单[数学]&gt;表成绩单[[#This Row],[数学]]))+1)</f>
        <v>319</v>
      </c>
      <c r="R215" s="29" cm="1">
        <f t="array" ref="R215">IF(表成绩单[[#This Row],[英语]]="","",SUMPRODUCT((表成绩单[考试日期]=表成绩单[[#This Row],[考试日期]])*(表成绩单[英语]&lt;9E+307)*(表成绩单[英语]&gt;表成绩单[[#This Row],[英语]]))+1)</f>
        <v>42</v>
      </c>
      <c r="S215" s="29" cm="1">
        <f t="array" ref="S215">IF(表成绩单[[#This Row],[物理]]="","",SUMPRODUCT((表成绩单[考试日期]=表成绩单[[#This Row],[考试日期]])*(表成绩单[物理]&lt;9E+307)*(表成绩单[物理]&gt;表成绩单[[#This Row],[物理]]))+1)</f>
        <v>127</v>
      </c>
      <c r="T215" s="29" cm="1">
        <f t="array" ref="T215">IF(表成绩单[[#This Row],[化学]]="","",SUMPRODUCT((表成绩单[考试日期]=表成绩单[[#This Row],[考试日期]])*(表成绩单[化学]&lt;9E+307)*(表成绩单[化学]&gt;表成绩单[[#This Row],[化学]]))+1)</f>
        <v>432</v>
      </c>
      <c r="U215" s="29" cm="1">
        <f t="array" ref="U215">IF(表成绩单[[#This Row],[政治]]="","",SUMPRODUCT((表成绩单[考试日期]=表成绩单[[#This Row],[考试日期]])*(表成绩单[政治]&lt;9E+307)*(表成绩单[政治]&gt;表成绩单[[#This Row],[政治]]))+1)</f>
        <v>329</v>
      </c>
      <c r="V215" s="29" cm="1">
        <f t="array" ref="V215">IF(表成绩单[[#This Row],[历史]]="","",SUMPRODUCT((表成绩单[考试日期]=表成绩单[[#This Row],[考试日期]])*(表成绩单[历史]&lt;9E+307)*(表成绩单[历史]&gt;表成绩单[[#This Row],[历史]]))+1)</f>
        <v>35</v>
      </c>
      <c r="W215" s="29" cm="1">
        <f t="array" ref="W215">IF(表成绩单[[#This Row],[总分]]="","",SUMPRODUCT((表成绩单[考试日期]=表成绩单[[#This Row],[考试日期]])*(表成绩单[总分]&lt;9E+307)*(表成绩单[总分]&gt;表成绩单[[#This Row],[总分]]))+1)</f>
        <v>210</v>
      </c>
    </row>
    <row r="216" ht="28" customHeight="1" spans="4:23">
      <c r="D216" s="31">
        <v>45975</v>
      </c>
      <c r="E216" s="29">
        <v>19174785</v>
      </c>
      <c r="F216" s="29" t="s">
        <v>69</v>
      </c>
      <c r="G216" s="29" t="s">
        <v>289</v>
      </c>
      <c r="H216" s="29">
        <v>100</v>
      </c>
      <c r="I216" s="29">
        <v>97</v>
      </c>
      <c r="J216" s="29">
        <v>80</v>
      </c>
      <c r="K216" s="29">
        <v>85</v>
      </c>
      <c r="L216" s="29">
        <v>80</v>
      </c>
      <c r="M216" s="29">
        <v>81</v>
      </c>
      <c r="N216" s="29">
        <v>81</v>
      </c>
      <c r="O216" s="32">
        <v>604</v>
      </c>
      <c r="P216" s="29" cm="1">
        <f t="array" ref="P216">IF(表成绩单[[#This Row],[语文]]="","",SUMPRODUCT((表成绩单[考试日期]=表成绩单[[#This Row],[考试日期]])*(表成绩单[语文]&lt;9E+307)*(表成绩单[语文]&gt;表成绩单[[#This Row],[语文]]))+1)</f>
        <v>223</v>
      </c>
      <c r="Q216" s="29" cm="1">
        <f t="array" ref="Q216">IF(表成绩单[[#This Row],[数学]]="","",SUMPRODUCT((表成绩单[考试日期]=表成绩单[[#This Row],[考试日期]])*(表成绩单[数学]&lt;9E+307)*(表成绩单[数学]&gt;表成绩单[[#This Row],[数学]]))+1)</f>
        <v>389</v>
      </c>
      <c r="R216" s="29" cm="1">
        <f t="array" ref="R216">IF(表成绩单[[#This Row],[英语]]="","",SUMPRODUCT((表成绩单[考试日期]=表成绩单[[#This Row],[考试日期]])*(表成绩单[英语]&lt;9E+307)*(表成绩单[英语]&gt;表成绩单[[#This Row],[英语]]))+1)</f>
        <v>268</v>
      </c>
      <c r="S216" s="29" cm="1">
        <f t="array" ref="S216">IF(表成绩单[[#This Row],[物理]]="","",SUMPRODUCT((表成绩单[考试日期]=表成绩单[[#This Row],[考试日期]])*(表成绩单[物理]&lt;9E+307)*(表成绩单[物理]&gt;表成绩单[[#This Row],[物理]]))+1)</f>
        <v>263</v>
      </c>
      <c r="T216" s="29" cm="1">
        <f t="array" ref="T216">IF(表成绩单[[#This Row],[化学]]="","",SUMPRODUCT((表成绩单[考试日期]=表成绩单[[#This Row],[考试日期]])*(表成绩单[化学]&lt;9E+307)*(表成绩单[化学]&gt;表成绩单[[#This Row],[化学]]))+1)</f>
        <v>129</v>
      </c>
      <c r="U216" s="29" cm="1">
        <f t="array" ref="U216">IF(表成绩单[[#This Row],[政治]]="","",SUMPRODUCT((表成绩单[考试日期]=表成绩单[[#This Row],[考试日期]])*(表成绩单[政治]&lt;9E+307)*(表成绩单[政治]&gt;表成绩单[[#This Row],[政治]]))+1)</f>
        <v>180</v>
      </c>
      <c r="V216" s="29" cm="1">
        <f t="array" ref="V216">IF(表成绩单[[#This Row],[历史]]="","",SUMPRODUCT((表成绩单[考试日期]=表成绩单[[#This Row],[考试日期]])*(表成绩单[历史]&lt;9E+307)*(表成绩单[历史]&gt;表成绩单[[#This Row],[历史]]))+1)</f>
        <v>63</v>
      </c>
      <c r="W216" s="29" cm="1">
        <f t="array" ref="W216">IF(表成绩单[[#This Row],[总分]]="","",SUMPRODUCT((表成绩单[考试日期]=表成绩单[[#This Row],[考试日期]])*(表成绩单[总分]&lt;9E+307)*(表成绩单[总分]&gt;表成绩单[[#This Row],[总分]]))+1)</f>
        <v>210</v>
      </c>
    </row>
    <row r="217" ht="28" customHeight="1" spans="4:23">
      <c r="D217" s="31">
        <v>45975</v>
      </c>
      <c r="E217" s="29">
        <v>19175604</v>
      </c>
      <c r="F217" s="29" t="s">
        <v>57</v>
      </c>
      <c r="G217" s="29" t="s">
        <v>290</v>
      </c>
      <c r="H217" s="29">
        <v>104</v>
      </c>
      <c r="I217" s="29">
        <v>103</v>
      </c>
      <c r="J217" s="29">
        <v>76</v>
      </c>
      <c r="K217" s="29">
        <v>80</v>
      </c>
      <c r="L217" s="29">
        <v>81</v>
      </c>
      <c r="M217" s="29">
        <v>85</v>
      </c>
      <c r="N217" s="29">
        <v>75</v>
      </c>
      <c r="O217" s="32">
        <v>604</v>
      </c>
      <c r="P217" s="29" cm="1">
        <f t="array" ref="P217">IF(表成绩单[[#This Row],[语文]]="","",SUMPRODUCT((表成绩单[考试日期]=表成绩单[[#This Row],[考试日期]])*(表成绩单[语文]&lt;9E+307)*(表成绩单[语文]&gt;表成绩单[[#This Row],[语文]]))+1)</f>
        <v>104</v>
      </c>
      <c r="Q217" s="29" cm="1">
        <f t="array" ref="Q217">IF(表成绩单[[#This Row],[数学]]="","",SUMPRODUCT((表成绩单[考试日期]=表成绩单[[#This Row],[考试日期]])*(表成绩单[数学]&lt;9E+307)*(表成绩单[数学]&gt;表成绩单[[#This Row],[数学]]))+1)</f>
        <v>277</v>
      </c>
      <c r="R217" s="29" cm="1">
        <f t="array" ref="R217">IF(表成绩单[[#This Row],[英语]]="","",SUMPRODUCT((表成绩单[考试日期]=表成绩单[[#This Row],[考试日期]])*(表成绩单[英语]&lt;9E+307)*(表成绩单[英语]&gt;表成绩单[[#This Row],[英语]]))+1)</f>
        <v>399</v>
      </c>
      <c r="S217" s="29" cm="1">
        <f t="array" ref="S217">IF(表成绩单[[#This Row],[物理]]="","",SUMPRODUCT((表成绩单[考试日期]=表成绩单[[#This Row],[考试日期]])*(表成绩单[物理]&lt;9E+307)*(表成绩单[物理]&gt;表成绩单[[#This Row],[物理]]))+1)</f>
        <v>507</v>
      </c>
      <c r="T217" s="29" cm="1">
        <f t="array" ref="T217">IF(表成绩单[[#This Row],[化学]]="","",SUMPRODUCT((表成绩单[考试日期]=表成绩单[[#This Row],[考试日期]])*(表成绩单[化学]&lt;9E+307)*(表成绩单[化学]&gt;表成绩单[[#This Row],[化学]]))+1)</f>
        <v>100</v>
      </c>
      <c r="U217" s="29" cm="1">
        <f t="array" ref="U217">IF(表成绩单[[#This Row],[政治]]="","",SUMPRODUCT((表成绩单[考试日期]=表成绩单[[#This Row],[考试日期]])*(表成绩单[政治]&lt;9E+307)*(表成绩单[政治]&gt;表成绩单[[#This Row],[政治]]))+1)</f>
        <v>45</v>
      </c>
      <c r="V217" s="29" cm="1">
        <f t="array" ref="V217">IF(表成绩单[[#This Row],[历史]]="","",SUMPRODUCT((表成绩单[考试日期]=表成绩单[[#This Row],[考试日期]])*(表成绩单[历史]&lt;9E+307)*(表成绩单[历史]&gt;表成绩单[[#This Row],[历史]]))+1)</f>
        <v>315</v>
      </c>
      <c r="W217" s="29" cm="1">
        <f t="array" ref="W217">IF(表成绩单[[#This Row],[总分]]="","",SUMPRODUCT((表成绩单[考试日期]=表成绩单[[#This Row],[考试日期]])*(表成绩单[总分]&lt;9E+307)*(表成绩单[总分]&gt;表成绩单[[#This Row],[总分]]))+1)</f>
        <v>210</v>
      </c>
    </row>
    <row r="218" ht="28" customHeight="1" spans="4:23">
      <c r="D218" s="31">
        <v>45975</v>
      </c>
      <c r="E218" s="29">
        <v>19175704</v>
      </c>
      <c r="F218" s="29" t="s">
        <v>72</v>
      </c>
      <c r="G218" s="29" t="s">
        <v>291</v>
      </c>
      <c r="H218" s="29">
        <v>100</v>
      </c>
      <c r="I218" s="29">
        <v>100</v>
      </c>
      <c r="J218" s="29">
        <v>85</v>
      </c>
      <c r="K218" s="29">
        <v>85</v>
      </c>
      <c r="L218" s="29">
        <v>71</v>
      </c>
      <c r="M218" s="29">
        <v>87</v>
      </c>
      <c r="N218" s="29">
        <v>76</v>
      </c>
      <c r="O218" s="32">
        <v>604</v>
      </c>
      <c r="P218" s="29" cm="1">
        <f t="array" ref="P218">IF(表成绩单[[#This Row],[语文]]="","",SUMPRODUCT((表成绩单[考试日期]=表成绩单[[#This Row],[考试日期]])*(表成绩单[语文]&lt;9E+307)*(表成绩单[语文]&gt;表成绩单[[#This Row],[语文]]))+1)</f>
        <v>223</v>
      </c>
      <c r="Q218" s="29" cm="1">
        <f t="array" ref="Q218">IF(表成绩单[[#This Row],[数学]]="","",SUMPRODUCT((表成绩单[考试日期]=表成绩单[[#This Row],[考试日期]])*(表成绩单[数学]&lt;9E+307)*(表成绩单[数学]&gt;表成绩单[[#This Row],[数学]]))+1)</f>
        <v>340</v>
      </c>
      <c r="R218" s="29" cm="1">
        <f t="array" ref="R218">IF(表成绩单[[#This Row],[英语]]="","",SUMPRODUCT((表成绩单[考试日期]=表成绩单[[#This Row],[考试日期]])*(表成绩单[英语]&lt;9E+307)*(表成绩单[英语]&gt;表成绩单[[#This Row],[英语]]))+1)</f>
        <v>69</v>
      </c>
      <c r="S218" s="29" cm="1">
        <f t="array" ref="S218">IF(表成绩单[[#This Row],[物理]]="","",SUMPRODUCT((表成绩单[考试日期]=表成绩单[[#This Row],[考试日期]])*(表成绩单[物理]&lt;9E+307)*(表成绩单[物理]&gt;表成绩单[[#This Row],[物理]]))+1)</f>
        <v>263</v>
      </c>
      <c r="T218" s="29" cm="1">
        <f t="array" ref="T218">IF(表成绩单[[#This Row],[化学]]="","",SUMPRODUCT((表成绩单[考试日期]=表成绩单[[#This Row],[考试日期]])*(表成绩单[化学]&lt;9E+307)*(表成绩单[化学]&gt;表成绩单[[#This Row],[化学]]))+1)</f>
        <v>432</v>
      </c>
      <c r="U218" s="29" cm="1">
        <f t="array" ref="U218">IF(表成绩单[[#This Row],[政治]]="","",SUMPRODUCT((表成绩单[考试日期]=表成绩单[[#This Row],[考试日期]])*(表成绩单[政治]&lt;9E+307)*(表成绩单[政治]&gt;表成绩单[[#This Row],[政治]]))+1)</f>
        <v>13</v>
      </c>
      <c r="V218" s="29" cm="1">
        <f t="array" ref="V218">IF(表成绩单[[#This Row],[历史]]="","",SUMPRODUCT((表成绩单[考试日期]=表成绩单[[#This Row],[考试日期]])*(表成绩单[历史]&lt;9E+307)*(表成绩单[历史]&gt;表成绩单[[#This Row],[历史]]))+1)</f>
        <v>278</v>
      </c>
      <c r="W218" s="29" cm="1">
        <f t="array" ref="W218">IF(表成绩单[[#This Row],[总分]]="","",SUMPRODUCT((表成绩单[考试日期]=表成绩单[[#This Row],[考试日期]])*(表成绩单[总分]&lt;9E+307)*(表成绩单[总分]&gt;表成绩单[[#This Row],[总分]]))+1)</f>
        <v>210</v>
      </c>
    </row>
    <row r="219" ht="28" customHeight="1" spans="4:23">
      <c r="D219" s="31">
        <v>45975</v>
      </c>
      <c r="E219" s="29">
        <v>19177215</v>
      </c>
      <c r="F219" s="29" t="s">
        <v>70</v>
      </c>
      <c r="G219" s="29" t="s">
        <v>292</v>
      </c>
      <c r="H219" s="29">
        <v>95</v>
      </c>
      <c r="I219" s="29">
        <v>110</v>
      </c>
      <c r="J219" s="29">
        <v>85</v>
      </c>
      <c r="K219" s="29">
        <v>86</v>
      </c>
      <c r="L219" s="29">
        <v>77</v>
      </c>
      <c r="M219" s="29">
        <v>82</v>
      </c>
      <c r="N219" s="29">
        <v>69</v>
      </c>
      <c r="O219" s="32">
        <v>604</v>
      </c>
      <c r="P219" s="29" cm="1">
        <f t="array" ref="P219">IF(表成绩单[[#This Row],[语文]]="","",SUMPRODUCT((表成绩单[考试日期]=表成绩单[[#This Row],[考试日期]])*(表成绩单[语文]&lt;9E+307)*(表成绩单[语文]&gt;表成绩单[[#This Row],[语文]]))+1)</f>
        <v>420</v>
      </c>
      <c r="Q219" s="29" cm="1">
        <f t="array" ref="Q219">IF(表成绩单[[#This Row],[数学]]="","",SUMPRODUCT((表成绩单[考试日期]=表成绩单[[#This Row],[考试日期]])*(表成绩单[数学]&lt;9E+307)*(表成绩单[数学]&gt;表成绩单[[#This Row],[数学]]))+1)</f>
        <v>154</v>
      </c>
      <c r="R219" s="29" cm="1">
        <f t="array" ref="R219">IF(表成绩单[[#This Row],[英语]]="","",SUMPRODUCT((表成绩单[考试日期]=表成绩单[[#This Row],[考试日期]])*(表成绩单[英语]&lt;9E+307)*(表成绩单[英语]&gt;表成绩单[[#This Row],[英语]]))+1)</f>
        <v>69</v>
      </c>
      <c r="S219" s="29" cm="1">
        <f t="array" ref="S219">IF(表成绩单[[#This Row],[物理]]="","",SUMPRODUCT((表成绩单[考试日期]=表成绩单[[#This Row],[考试日期]])*(表成绩单[物理]&lt;9E+307)*(表成绩单[物理]&gt;表成绩单[[#This Row],[物理]]))+1)</f>
        <v>187</v>
      </c>
      <c r="T219" s="29" cm="1">
        <f t="array" ref="T219">IF(表成绩单[[#This Row],[化学]]="","",SUMPRODUCT((表成绩单[考试日期]=表成绩单[[#This Row],[考试日期]])*(表成绩单[化学]&lt;9E+307)*(表成绩单[化学]&gt;表成绩单[[#This Row],[化学]]))+1)</f>
        <v>239</v>
      </c>
      <c r="U219" s="29" cm="1">
        <f t="array" ref="U219">IF(表成绩单[[#This Row],[政治]]="","",SUMPRODUCT((表成绩单[考试日期]=表成绩单[[#This Row],[考试日期]])*(表成绩单[政治]&lt;9E+307)*(表成绩单[政治]&gt;表成绩单[[#This Row],[政治]]))+1)</f>
        <v>157</v>
      </c>
      <c r="V219" s="29" cm="1">
        <f t="array" ref="V219">IF(表成绩单[[#This Row],[历史]]="","",SUMPRODUCT((表成绩单[考试日期]=表成绩单[[#This Row],[考试日期]])*(表成绩单[历史]&lt;9E+307)*(表成绩单[历史]&gt;表成绩单[[#This Row],[历史]]))+1)</f>
        <v>541</v>
      </c>
      <c r="W219" s="29" cm="1">
        <f t="array" ref="W219">IF(表成绩单[[#This Row],[总分]]="","",SUMPRODUCT((表成绩单[考试日期]=表成绩单[[#This Row],[考试日期]])*(表成绩单[总分]&lt;9E+307)*(表成绩单[总分]&gt;表成绩单[[#This Row],[总分]]))+1)</f>
        <v>210</v>
      </c>
    </row>
    <row r="220" ht="28" customHeight="1" spans="4:23">
      <c r="D220" s="31">
        <v>45975</v>
      </c>
      <c r="E220" s="29">
        <v>19177232</v>
      </c>
      <c r="F220" s="29" t="s">
        <v>70</v>
      </c>
      <c r="G220" s="29" t="s">
        <v>293</v>
      </c>
      <c r="H220" s="29">
        <v>96</v>
      </c>
      <c r="I220" s="29">
        <v>113</v>
      </c>
      <c r="J220" s="29">
        <v>74</v>
      </c>
      <c r="K220" s="29">
        <v>85</v>
      </c>
      <c r="L220" s="29">
        <v>84</v>
      </c>
      <c r="M220" s="29">
        <v>79</v>
      </c>
      <c r="N220" s="29">
        <v>73</v>
      </c>
      <c r="O220" s="32">
        <v>604</v>
      </c>
      <c r="P220" s="29" cm="1">
        <f t="array" ref="P220">IF(表成绩单[[#This Row],[语文]]="","",SUMPRODUCT((表成绩单[考试日期]=表成绩单[[#This Row],[考试日期]])*(表成绩单[语文]&lt;9E+307)*(表成绩单[语文]&gt;表成绩单[[#This Row],[语文]]))+1)</f>
        <v>387</v>
      </c>
      <c r="Q220" s="29" cm="1">
        <f t="array" ref="Q220">IF(表成绩单[[#This Row],[数学]]="","",SUMPRODUCT((表成绩单[考试日期]=表成绩单[[#This Row],[考试日期]])*(表成绩单[数学]&lt;9E+307)*(表成绩单[数学]&gt;表成绩单[[#This Row],[数学]]))+1)</f>
        <v>93</v>
      </c>
      <c r="R220" s="29" cm="1">
        <f t="array" ref="R220">IF(表成绩单[[#This Row],[英语]]="","",SUMPRODUCT((表成绩单[考试日期]=表成绩单[[#This Row],[考试日期]])*(表成绩单[英语]&lt;9E+307)*(表成绩单[英语]&gt;表成绩单[[#This Row],[英语]]))+1)</f>
        <v>454</v>
      </c>
      <c r="S220" s="29" cm="1">
        <f t="array" ref="S220">IF(表成绩单[[#This Row],[物理]]="","",SUMPRODUCT((表成绩单[考试日期]=表成绩单[[#This Row],[考试日期]])*(表成绩单[物理]&lt;9E+307)*(表成绩单[物理]&gt;表成绩单[[#This Row],[物理]]))+1)</f>
        <v>263</v>
      </c>
      <c r="T220" s="29" cm="1">
        <f t="array" ref="T220">IF(表成绩单[[#This Row],[化学]]="","",SUMPRODUCT((表成绩单[考试日期]=表成绩单[[#This Row],[考试日期]])*(表成绩单[化学]&lt;9E+307)*(表成绩单[化学]&gt;表成绩单[[#This Row],[化学]]))+1)</f>
        <v>33</v>
      </c>
      <c r="U220" s="29" cm="1">
        <f t="array" ref="U220">IF(表成绩单[[#This Row],[政治]]="","",SUMPRODUCT((表成绩单[考试日期]=表成绩单[[#This Row],[考试日期]])*(表成绩单[政治]&lt;9E+307)*(表成绩单[政治]&gt;表成绩单[[#This Row],[政治]]))+1)</f>
        <v>246</v>
      </c>
      <c r="V220" s="29" cm="1">
        <f t="array" ref="V220">IF(表成绩单[[#This Row],[历史]]="","",SUMPRODUCT((表成绩单[考试日期]=表成绩单[[#This Row],[考试日期]])*(表成绩单[历史]&lt;9E+307)*(表成绩单[历史]&gt;表成绩单[[#This Row],[历史]]))+1)</f>
        <v>395</v>
      </c>
      <c r="W220" s="29" cm="1">
        <f t="array" ref="W220">IF(表成绩单[[#This Row],[总分]]="","",SUMPRODUCT((表成绩单[考试日期]=表成绩单[[#This Row],[考试日期]])*(表成绩单[总分]&lt;9E+307)*(表成绩单[总分]&gt;表成绩单[[#This Row],[总分]]))+1)</f>
        <v>210</v>
      </c>
    </row>
    <row r="221" ht="28" customHeight="1" spans="4:23">
      <c r="D221" s="31">
        <v>45975</v>
      </c>
      <c r="E221" s="29">
        <v>19178650</v>
      </c>
      <c r="F221" s="29" t="s">
        <v>25</v>
      </c>
      <c r="G221" s="29" t="s">
        <v>294</v>
      </c>
      <c r="H221" s="29">
        <v>98</v>
      </c>
      <c r="I221" s="29">
        <v>108</v>
      </c>
      <c r="J221" s="29">
        <v>81</v>
      </c>
      <c r="K221" s="29">
        <v>84</v>
      </c>
      <c r="L221" s="29">
        <v>81</v>
      </c>
      <c r="M221" s="29">
        <v>80</v>
      </c>
      <c r="N221" s="29">
        <v>72</v>
      </c>
      <c r="O221" s="32">
        <v>604</v>
      </c>
      <c r="P221" s="29" cm="1">
        <f t="array" ref="P221">IF(表成绩单[[#This Row],[语文]]="","",SUMPRODUCT((表成绩单[考试日期]=表成绩单[[#This Row],[考试日期]])*(表成绩单[语文]&lt;9E+307)*(表成绩单[语文]&gt;表成绩单[[#This Row],[语文]]))+1)</f>
        <v>305</v>
      </c>
      <c r="Q221" s="29" cm="1">
        <f t="array" ref="Q221">IF(表成绩单[[#This Row],[数学]]="","",SUMPRODUCT((表成绩单[考试日期]=表成绩单[[#This Row],[考试日期]])*(表成绩单[数学]&lt;9E+307)*(表成绩单[数学]&gt;表成绩单[[#This Row],[数学]]))+1)</f>
        <v>182</v>
      </c>
      <c r="R221" s="29" cm="1">
        <f t="array" ref="R221">IF(表成绩单[[#This Row],[英语]]="","",SUMPRODUCT((表成绩单[考试日期]=表成绩单[[#This Row],[考试日期]])*(表成绩单[英语]&lt;9E+307)*(表成绩单[英语]&gt;表成绩单[[#This Row],[英语]]))+1)</f>
        <v>241</v>
      </c>
      <c r="S221" s="29" cm="1">
        <f t="array" ref="S221">IF(表成绩单[[#This Row],[物理]]="","",SUMPRODUCT((表成绩单[考试日期]=表成绩单[[#This Row],[考试日期]])*(表成绩单[物理]&lt;9E+307)*(表成绩单[物理]&gt;表成绩单[[#This Row],[物理]]))+1)</f>
        <v>344</v>
      </c>
      <c r="T221" s="29" cm="1">
        <f t="array" ref="T221">IF(表成绩单[[#This Row],[化学]]="","",SUMPRODUCT((表成绩单[考试日期]=表成绩单[[#This Row],[考试日期]])*(表成绩单[化学]&lt;9E+307)*(表成绩单[化学]&gt;表成绩单[[#This Row],[化学]]))+1)</f>
        <v>100</v>
      </c>
      <c r="U221" s="29" cm="1">
        <f t="array" ref="U221">IF(表成绩单[[#This Row],[政治]]="","",SUMPRODUCT((表成绩单[考试日期]=表成绩单[[#This Row],[考试日期]])*(表成绩单[政治]&lt;9E+307)*(表成绩单[政治]&gt;表成绩单[[#This Row],[政治]]))+1)</f>
        <v>209</v>
      </c>
      <c r="V221" s="29" cm="1">
        <f t="array" ref="V221">IF(表成绩单[[#This Row],[历史]]="","",SUMPRODUCT((表成绩单[考试日期]=表成绩单[[#This Row],[考试日期]])*(表成绩单[历史]&lt;9E+307)*(表成绩单[历史]&gt;表成绩单[[#This Row],[历史]]))+1)</f>
        <v>438</v>
      </c>
      <c r="W221" s="29" cm="1">
        <f t="array" ref="W221">IF(表成绩单[[#This Row],[总分]]="","",SUMPRODUCT((表成绩单[考试日期]=表成绩单[[#This Row],[考试日期]])*(表成绩单[总分]&lt;9E+307)*(表成绩单[总分]&gt;表成绩单[[#This Row],[总分]]))+1)</f>
        <v>210</v>
      </c>
    </row>
    <row r="222" ht="28" customHeight="1" spans="4:23">
      <c r="D222" s="31">
        <v>45975</v>
      </c>
      <c r="E222" s="29">
        <v>19173793</v>
      </c>
      <c r="F222" s="29" t="s">
        <v>65</v>
      </c>
      <c r="G222" s="29" t="s">
        <v>295</v>
      </c>
      <c r="H222" s="29">
        <v>93</v>
      </c>
      <c r="I222" s="29">
        <v>104</v>
      </c>
      <c r="J222" s="29">
        <v>83.5</v>
      </c>
      <c r="K222" s="29">
        <v>86</v>
      </c>
      <c r="L222" s="29">
        <v>84</v>
      </c>
      <c r="M222" s="29">
        <v>76</v>
      </c>
      <c r="N222" s="29">
        <v>77</v>
      </c>
      <c r="O222" s="32">
        <v>603.5</v>
      </c>
      <c r="P222" s="29" cm="1">
        <f t="array" ref="P222">IF(表成绩单[[#This Row],[语文]]="","",SUMPRODUCT((表成绩单[考试日期]=表成绩单[[#This Row],[考试日期]])*(表成绩单[语文]&lt;9E+307)*(表成绩单[语文]&gt;表成绩单[[#This Row],[语文]]))+1)</f>
        <v>489</v>
      </c>
      <c r="Q222" s="29" cm="1">
        <f t="array" ref="Q222">IF(表成绩单[[#This Row],[数学]]="","",SUMPRODUCT((表成绩单[考试日期]=表成绩单[[#This Row],[考试日期]])*(表成绩单[数学]&lt;9E+307)*(表成绩单[数学]&gt;表成绩单[[#This Row],[数学]]))+1)</f>
        <v>260</v>
      </c>
      <c r="R222" s="29" cm="1">
        <f t="array" ref="R222">IF(表成绩单[[#This Row],[英语]]="","",SUMPRODUCT((表成绩单[考试日期]=表成绩单[[#This Row],[考试日期]])*(表成绩单[英语]&lt;9E+307)*(表成绩单[英语]&gt;表成绩单[[#This Row],[英语]]))+1)</f>
        <v>128</v>
      </c>
      <c r="S222" s="29" cm="1">
        <f t="array" ref="S222">IF(表成绩单[[#This Row],[物理]]="","",SUMPRODUCT((表成绩单[考试日期]=表成绩单[[#This Row],[考试日期]])*(表成绩单[物理]&lt;9E+307)*(表成绩单[物理]&gt;表成绩单[[#This Row],[物理]]))+1)</f>
        <v>187</v>
      </c>
      <c r="T222" s="29" cm="1">
        <f t="array" ref="T222">IF(表成绩单[[#This Row],[化学]]="","",SUMPRODUCT((表成绩单[考试日期]=表成绩单[[#This Row],[考试日期]])*(表成绩单[化学]&lt;9E+307)*(表成绩单[化学]&gt;表成绩单[[#This Row],[化学]]))+1)</f>
        <v>33</v>
      </c>
      <c r="U222" s="29" cm="1">
        <f t="array" ref="U222">IF(表成绩单[[#This Row],[政治]]="","",SUMPRODUCT((表成绩单[考试日期]=表成绩单[[#This Row],[考试日期]])*(表成绩单[政治]&lt;9E+307)*(表成绩单[政治]&gt;表成绩单[[#This Row],[政治]]))+1)</f>
        <v>329</v>
      </c>
      <c r="V222" s="29" cm="1">
        <f t="array" ref="V222">IF(表成绩单[[#This Row],[历史]]="","",SUMPRODUCT((表成绩单[考试日期]=表成绩单[[#This Row],[考试日期]])*(表成绩单[历史]&lt;9E+307)*(表成绩单[历史]&gt;表成绩单[[#This Row],[历史]]))+1)</f>
        <v>237</v>
      </c>
      <c r="W222" s="29" cm="1">
        <f t="array" ref="W222">IF(表成绩单[[#This Row],[总分]]="","",SUMPRODUCT((表成绩单[考试日期]=表成绩单[[#This Row],[考试日期]])*(表成绩单[总分]&lt;9E+307)*(表成绩单[总分]&gt;表成绩单[[#This Row],[总分]]))+1)</f>
        <v>218</v>
      </c>
    </row>
    <row r="223" ht="28" customHeight="1" spans="4:23">
      <c r="D223" s="31">
        <v>45975</v>
      </c>
      <c r="E223" s="29">
        <v>19174809</v>
      </c>
      <c r="F223" s="29" t="s">
        <v>69</v>
      </c>
      <c r="G223" s="29" t="s">
        <v>296</v>
      </c>
      <c r="H223" s="29">
        <v>105</v>
      </c>
      <c r="I223" s="29">
        <v>102</v>
      </c>
      <c r="J223" s="29">
        <v>77.5</v>
      </c>
      <c r="K223" s="29">
        <v>86</v>
      </c>
      <c r="L223" s="29">
        <v>80</v>
      </c>
      <c r="M223" s="29">
        <v>84</v>
      </c>
      <c r="N223" s="29">
        <v>69</v>
      </c>
      <c r="O223" s="32">
        <v>603.5</v>
      </c>
      <c r="P223" s="29" cm="1">
        <f t="array" ref="P223">IF(表成绩单[[#This Row],[语文]]="","",SUMPRODUCT((表成绩单[考试日期]=表成绩单[[#This Row],[考试日期]])*(表成绩单[语文]&lt;9E+307)*(表成绩单[语文]&gt;表成绩单[[#This Row],[语文]]))+1)</f>
        <v>80</v>
      </c>
      <c r="Q223" s="29" cm="1">
        <f t="array" ref="Q223">IF(表成绩单[[#This Row],[数学]]="","",SUMPRODUCT((表成绩单[考试日期]=表成绩单[[#This Row],[考试日期]])*(表成绩单[数学]&lt;9E+307)*(表成绩单[数学]&gt;表成绩单[[#This Row],[数学]]))+1)</f>
        <v>298</v>
      </c>
      <c r="R223" s="29" cm="1">
        <f t="array" ref="R223">IF(表成绩单[[#This Row],[英语]]="","",SUMPRODUCT((表成绩单[考试日期]=表成绩单[[#This Row],[考试日期]])*(表成绩单[英语]&lt;9E+307)*(表成绩单[英语]&gt;表成绩单[[#This Row],[英语]]))+1)</f>
        <v>345</v>
      </c>
      <c r="S223" s="29" cm="1">
        <f t="array" ref="S223">IF(表成绩单[[#This Row],[物理]]="","",SUMPRODUCT((表成绩单[考试日期]=表成绩单[[#This Row],[考试日期]])*(表成绩单[物理]&lt;9E+307)*(表成绩单[物理]&gt;表成绩单[[#This Row],[物理]]))+1)</f>
        <v>187</v>
      </c>
      <c r="T223" s="29" cm="1">
        <f t="array" ref="T223">IF(表成绩单[[#This Row],[化学]]="","",SUMPRODUCT((表成绩单[考试日期]=表成绩单[[#This Row],[考试日期]])*(表成绩单[化学]&lt;9E+307)*(表成绩单[化学]&gt;表成绩单[[#This Row],[化学]]))+1)</f>
        <v>129</v>
      </c>
      <c r="U223" s="29" cm="1">
        <f t="array" ref="U223">IF(表成绩单[[#This Row],[政治]]="","",SUMPRODUCT((表成绩单[考试日期]=表成绩单[[#This Row],[考试日期]])*(表成绩单[政治]&lt;9E+307)*(表成绩单[政治]&gt;表成绩单[[#This Row],[政治]]))+1)</f>
        <v>83</v>
      </c>
      <c r="V223" s="29" cm="1">
        <f t="array" ref="V223">IF(表成绩单[[#This Row],[历史]]="","",SUMPRODUCT((表成绩单[考试日期]=表成绩单[[#This Row],[考试日期]])*(表成绩单[历史]&lt;9E+307)*(表成绩单[历史]&gt;表成绩单[[#This Row],[历史]]))+1)</f>
        <v>541</v>
      </c>
      <c r="W223" s="29" cm="1">
        <f t="array" ref="W223">IF(表成绩单[[#This Row],[总分]]="","",SUMPRODUCT((表成绩单[考试日期]=表成绩单[[#This Row],[考试日期]])*(表成绩单[总分]&lt;9E+307)*(表成绩单[总分]&gt;表成绩单[[#This Row],[总分]]))+1)</f>
        <v>218</v>
      </c>
    </row>
    <row r="224" ht="28" customHeight="1" spans="4:23">
      <c r="D224" s="31">
        <v>45975</v>
      </c>
      <c r="E224" s="29">
        <v>19175670</v>
      </c>
      <c r="F224" s="29" t="s">
        <v>66</v>
      </c>
      <c r="G224" s="29" t="s">
        <v>297</v>
      </c>
      <c r="H224" s="29">
        <v>96</v>
      </c>
      <c r="I224" s="29">
        <v>112</v>
      </c>
      <c r="J224" s="29">
        <v>71.5</v>
      </c>
      <c r="K224" s="29">
        <v>87</v>
      </c>
      <c r="L224" s="29">
        <v>80</v>
      </c>
      <c r="M224" s="29">
        <v>75</v>
      </c>
      <c r="N224" s="29">
        <v>82</v>
      </c>
      <c r="O224" s="32">
        <v>603.5</v>
      </c>
      <c r="P224" s="29" cm="1">
        <f t="array" ref="P224">IF(表成绩单[[#This Row],[语文]]="","",SUMPRODUCT((表成绩单[考试日期]=表成绩单[[#This Row],[考试日期]])*(表成绩单[语文]&lt;9E+307)*(表成绩单[语文]&gt;表成绩单[[#This Row],[语文]]))+1)</f>
        <v>387</v>
      </c>
      <c r="Q224" s="29" cm="1">
        <f t="array" ref="Q224">IF(表成绩单[[#This Row],[数学]]="","",SUMPRODUCT((表成绩单[考试日期]=表成绩单[[#This Row],[考试日期]])*(表成绩单[数学]&lt;9E+307)*(表成绩单[数学]&gt;表成绩单[[#This Row],[数学]]))+1)</f>
        <v>112</v>
      </c>
      <c r="R224" s="29" cm="1">
        <f t="array" ref="R224">IF(表成绩单[[#This Row],[英语]]="","",SUMPRODUCT((表成绩单[考试日期]=表成绩单[[#This Row],[考试日期]])*(表成绩单[英语]&lt;9E+307)*(表成绩单[英语]&gt;表成绩单[[#This Row],[英语]]))+1)</f>
        <v>520</v>
      </c>
      <c r="S224" s="29" cm="1">
        <f t="array" ref="S224">IF(表成绩单[[#This Row],[物理]]="","",SUMPRODUCT((表成绩单[考试日期]=表成绩单[[#This Row],[考试日期]])*(表成绩单[物理]&lt;9E+307)*(表成绩单[物理]&gt;表成绩单[[#This Row],[物理]]))+1)</f>
        <v>127</v>
      </c>
      <c r="T224" s="29" cm="1">
        <f t="array" ref="T224">IF(表成绩单[[#This Row],[化学]]="","",SUMPRODUCT((表成绩单[考试日期]=表成绩单[[#This Row],[考试日期]])*(表成绩单[化学]&lt;9E+307)*(表成绩单[化学]&gt;表成绩单[[#This Row],[化学]]))+1)</f>
        <v>129</v>
      </c>
      <c r="U224" s="29" cm="1">
        <f t="array" ref="U224">IF(表成绩单[[#This Row],[政治]]="","",SUMPRODUCT((表成绩单[考试日期]=表成绩单[[#This Row],[考试日期]])*(表成绩单[政治]&lt;9E+307)*(表成绩单[政治]&gt;表成绩单[[#This Row],[政治]]))+1)</f>
        <v>363</v>
      </c>
      <c r="V224" s="29" cm="1">
        <f t="array" ref="V224">IF(表成绩单[[#This Row],[历史]]="","",SUMPRODUCT((表成绩单[考试日期]=表成绩单[[#This Row],[考试日期]])*(表成绩单[历史]&lt;9E+307)*(表成绩单[历史]&gt;表成绩单[[#This Row],[历史]]))+1)</f>
        <v>35</v>
      </c>
      <c r="W224" s="29" cm="1">
        <f t="array" ref="W224">IF(表成绩单[[#This Row],[总分]]="","",SUMPRODUCT((表成绩单[考试日期]=表成绩单[[#This Row],[考试日期]])*(表成绩单[总分]&lt;9E+307)*(表成绩单[总分]&gt;表成绩单[[#This Row],[总分]]))+1)</f>
        <v>218</v>
      </c>
    </row>
    <row r="225" ht="28" customHeight="1" spans="4:23">
      <c r="D225" s="31">
        <v>45975</v>
      </c>
      <c r="E225" s="29">
        <v>19174777</v>
      </c>
      <c r="F225" s="29" t="s">
        <v>69</v>
      </c>
      <c r="G225" s="29" t="s">
        <v>298</v>
      </c>
      <c r="H225" s="29">
        <v>103</v>
      </c>
      <c r="I225" s="29">
        <v>102</v>
      </c>
      <c r="J225" s="29">
        <v>81</v>
      </c>
      <c r="K225" s="29">
        <v>87</v>
      </c>
      <c r="L225" s="29">
        <v>76</v>
      </c>
      <c r="M225" s="29">
        <v>78</v>
      </c>
      <c r="N225" s="29">
        <v>76</v>
      </c>
      <c r="O225" s="32">
        <v>603</v>
      </c>
      <c r="P225" s="29" cm="1">
        <f t="array" ref="P225">IF(表成绩单[[#This Row],[语文]]="","",SUMPRODUCT((表成绩单[考试日期]=表成绩单[[#This Row],[考试日期]])*(表成绩单[语文]&lt;9E+307)*(表成绩单[语文]&gt;表成绩单[[#This Row],[语文]]))+1)</f>
        <v>126</v>
      </c>
      <c r="Q225" s="29" cm="1">
        <f t="array" ref="Q225">IF(表成绩单[[#This Row],[数学]]="","",SUMPRODUCT((表成绩单[考试日期]=表成绩单[[#This Row],[考试日期]])*(表成绩单[数学]&lt;9E+307)*(表成绩单[数学]&gt;表成绩单[[#This Row],[数学]]))+1)</f>
        <v>298</v>
      </c>
      <c r="R225" s="29" cm="1">
        <f t="array" ref="R225">IF(表成绩单[[#This Row],[英语]]="","",SUMPRODUCT((表成绩单[考试日期]=表成绩单[[#This Row],[考试日期]])*(表成绩单[英语]&lt;9E+307)*(表成绩单[英语]&gt;表成绩单[[#This Row],[英语]]))+1)</f>
        <v>241</v>
      </c>
      <c r="S225" s="29" cm="1">
        <f t="array" ref="S225">IF(表成绩单[[#This Row],[物理]]="","",SUMPRODUCT((表成绩单[考试日期]=表成绩单[[#This Row],[考试日期]])*(表成绩单[物理]&lt;9E+307)*(表成绩单[物理]&gt;表成绩单[[#This Row],[物理]]))+1)</f>
        <v>127</v>
      </c>
      <c r="T225" s="29" cm="1">
        <f t="array" ref="T225">IF(表成绩单[[#This Row],[化学]]="","",SUMPRODUCT((表成绩单[考试日期]=表成绩单[[#This Row],[考试日期]])*(表成绩单[化学]&lt;9E+307)*(表成绩单[化学]&gt;表成绩单[[#This Row],[化学]]))+1)</f>
        <v>268</v>
      </c>
      <c r="U225" s="29" cm="1">
        <f t="array" ref="U225">IF(表成绩单[[#This Row],[政治]]="","",SUMPRODUCT((表成绩单[考试日期]=表成绩单[[#This Row],[考试日期]])*(表成绩单[政治]&lt;9E+307)*(表成绩单[政治]&gt;表成绩单[[#This Row],[政治]]))+1)</f>
        <v>272</v>
      </c>
      <c r="V225" s="29" cm="1">
        <f t="array" ref="V225">IF(表成绩单[[#This Row],[历史]]="","",SUMPRODUCT((表成绩单[考试日期]=表成绩单[[#This Row],[考试日期]])*(表成绩单[历史]&lt;9E+307)*(表成绩单[历史]&gt;表成绩单[[#This Row],[历史]]))+1)</f>
        <v>278</v>
      </c>
      <c r="W225" s="29" cm="1">
        <f t="array" ref="W225">IF(表成绩单[[#This Row],[总分]]="","",SUMPRODUCT((表成绩单[考试日期]=表成绩单[[#This Row],[考试日期]])*(表成绩单[总分]&lt;9E+307)*(表成绩单[总分]&gt;表成绩单[[#This Row],[总分]]))+1)</f>
        <v>221</v>
      </c>
    </row>
    <row r="226" ht="28" customHeight="1" spans="4:23">
      <c r="D226" s="31">
        <v>45975</v>
      </c>
      <c r="E226" s="29">
        <v>19175385</v>
      </c>
      <c r="F226" s="29" t="s">
        <v>74</v>
      </c>
      <c r="G226" s="29" t="s">
        <v>299</v>
      </c>
      <c r="H226" s="29">
        <v>107</v>
      </c>
      <c r="I226" s="29">
        <v>101</v>
      </c>
      <c r="J226" s="29">
        <v>82</v>
      </c>
      <c r="K226" s="29">
        <v>84</v>
      </c>
      <c r="L226" s="29">
        <v>77</v>
      </c>
      <c r="M226" s="29">
        <v>75</v>
      </c>
      <c r="N226" s="29">
        <v>77</v>
      </c>
      <c r="O226" s="32">
        <v>603</v>
      </c>
      <c r="P226" s="29" cm="1">
        <f t="array" ref="P226">IF(表成绩单[[#This Row],[语文]]="","",SUMPRODUCT((表成绩单[考试日期]=表成绩单[[#This Row],[考试日期]])*(表成绩单[语文]&lt;9E+307)*(表成绩单[语文]&gt;表成绩单[[#This Row],[语文]]))+1)</f>
        <v>45</v>
      </c>
      <c r="Q226" s="29" cm="1">
        <f t="array" ref="Q226">IF(表成绩单[[#This Row],[数学]]="","",SUMPRODUCT((表成绩单[考试日期]=表成绩单[[#This Row],[考试日期]])*(表成绩单[数学]&lt;9E+307)*(表成绩单[数学]&gt;表成绩单[[#This Row],[数学]]))+1)</f>
        <v>319</v>
      </c>
      <c r="R226" s="29" cm="1">
        <f t="array" ref="R226">IF(表成绩单[[#This Row],[英语]]="","",SUMPRODUCT((表成绩单[考试日期]=表成绩单[[#This Row],[考试日期]])*(表成绩单[英语]&lt;9E+307)*(表成绩单[英语]&gt;表成绩单[[#This Row],[英语]]))+1)</f>
        <v>195</v>
      </c>
      <c r="S226" s="29" cm="1">
        <f t="array" ref="S226">IF(表成绩单[[#This Row],[物理]]="","",SUMPRODUCT((表成绩单[考试日期]=表成绩单[[#This Row],[考试日期]])*(表成绩单[物理]&lt;9E+307)*(表成绩单[物理]&gt;表成绩单[[#This Row],[物理]]))+1)</f>
        <v>344</v>
      </c>
      <c r="T226" s="29" cm="1">
        <f t="array" ref="T226">IF(表成绩单[[#This Row],[化学]]="","",SUMPRODUCT((表成绩单[考试日期]=表成绩单[[#This Row],[考试日期]])*(表成绩单[化学]&lt;9E+307)*(表成绩单[化学]&gt;表成绩单[[#This Row],[化学]]))+1)</f>
        <v>239</v>
      </c>
      <c r="U226" s="29" cm="1">
        <f t="array" ref="U226">IF(表成绩单[[#This Row],[政治]]="","",SUMPRODUCT((表成绩单[考试日期]=表成绩单[[#This Row],[考试日期]])*(表成绩单[政治]&lt;9E+307)*(表成绩单[政治]&gt;表成绩单[[#This Row],[政治]]))+1)</f>
        <v>363</v>
      </c>
      <c r="V226" s="29" cm="1">
        <f t="array" ref="V226">IF(表成绩单[[#This Row],[历史]]="","",SUMPRODUCT((表成绩单[考试日期]=表成绩单[[#This Row],[考试日期]])*(表成绩单[历史]&lt;9E+307)*(表成绩单[历史]&gt;表成绩单[[#This Row],[历史]]))+1)</f>
        <v>237</v>
      </c>
      <c r="W226" s="29" cm="1">
        <f t="array" ref="W226">IF(表成绩单[[#This Row],[总分]]="","",SUMPRODUCT((表成绩单[考试日期]=表成绩单[[#This Row],[考试日期]])*(表成绩单[总分]&lt;9E+307)*(表成绩单[总分]&gt;表成绩单[[#This Row],[总分]]))+1)</f>
        <v>221</v>
      </c>
    </row>
    <row r="227" ht="28" customHeight="1" spans="4:23">
      <c r="D227" s="31">
        <v>45975</v>
      </c>
      <c r="E227" s="29">
        <v>19175648</v>
      </c>
      <c r="F227" s="29" t="s">
        <v>66</v>
      </c>
      <c r="G227" s="29" t="s">
        <v>300</v>
      </c>
      <c r="H227" s="29">
        <v>95</v>
      </c>
      <c r="I227" s="29">
        <v>107</v>
      </c>
      <c r="J227" s="29">
        <v>76.5</v>
      </c>
      <c r="K227" s="29">
        <v>85</v>
      </c>
      <c r="L227" s="29">
        <v>78</v>
      </c>
      <c r="M227" s="29">
        <v>80</v>
      </c>
      <c r="N227" s="29">
        <v>81</v>
      </c>
      <c r="O227" s="32">
        <v>602.5</v>
      </c>
      <c r="P227" s="29" cm="1">
        <f t="array" ref="P227">IF(表成绩单[[#This Row],[语文]]="","",SUMPRODUCT((表成绩单[考试日期]=表成绩单[[#This Row],[考试日期]])*(表成绩单[语文]&lt;9E+307)*(表成绩单[语文]&gt;表成绩单[[#This Row],[语文]]))+1)</f>
        <v>420</v>
      </c>
      <c r="Q227" s="29" cm="1">
        <f t="array" ref="Q227">IF(表成绩单[[#This Row],[数学]]="","",SUMPRODUCT((表成绩单[考试日期]=表成绩单[[#This Row],[考试日期]])*(表成绩单[数学]&lt;9E+307)*(表成绩单[数学]&gt;表成绩单[[#This Row],[数学]]))+1)</f>
        <v>200</v>
      </c>
      <c r="R227" s="29" cm="1">
        <f t="array" ref="R227">IF(表成绩单[[#This Row],[英语]]="","",SUMPRODUCT((表成绩单[考试日期]=表成绩单[[#This Row],[考试日期]])*(表成绩单[英语]&lt;9E+307)*(表成绩单[英语]&gt;表成绩单[[#This Row],[英语]]))+1)</f>
        <v>382</v>
      </c>
      <c r="S227" s="29" cm="1">
        <f t="array" ref="S227">IF(表成绩单[[#This Row],[物理]]="","",SUMPRODUCT((表成绩单[考试日期]=表成绩单[[#This Row],[考试日期]])*(表成绩单[物理]&lt;9E+307)*(表成绩单[物理]&gt;表成绩单[[#This Row],[物理]]))+1)</f>
        <v>263</v>
      </c>
      <c r="T227" s="29" cm="1">
        <f t="array" ref="T227">IF(表成绩单[[#This Row],[化学]]="","",SUMPRODUCT((表成绩单[考试日期]=表成绩单[[#This Row],[考试日期]])*(表成绩单[化学]&lt;9E+307)*(表成绩单[化学]&gt;表成绩单[[#This Row],[化学]]))+1)</f>
        <v>200</v>
      </c>
      <c r="U227" s="29" cm="1">
        <f t="array" ref="U227">IF(表成绩单[[#This Row],[政治]]="","",SUMPRODUCT((表成绩单[考试日期]=表成绩单[[#This Row],[考试日期]])*(表成绩单[政治]&lt;9E+307)*(表成绩单[政治]&gt;表成绩单[[#This Row],[政治]]))+1)</f>
        <v>209</v>
      </c>
      <c r="V227" s="29" cm="1">
        <f t="array" ref="V227">IF(表成绩单[[#This Row],[历史]]="","",SUMPRODUCT((表成绩单[考试日期]=表成绩单[[#This Row],[考试日期]])*(表成绩单[历史]&lt;9E+307)*(表成绩单[历史]&gt;表成绩单[[#This Row],[历史]]))+1)</f>
        <v>63</v>
      </c>
      <c r="W227" s="29" cm="1">
        <f t="array" ref="W227">IF(表成绩单[[#This Row],[总分]]="","",SUMPRODUCT((表成绩单[考试日期]=表成绩单[[#This Row],[考试日期]])*(表成绩单[总分]&lt;9E+307)*(表成绩单[总分]&gt;表成绩单[[#This Row],[总分]]))+1)</f>
        <v>223</v>
      </c>
    </row>
    <row r="228" ht="28" customHeight="1" spans="4:23">
      <c r="D228" s="31">
        <v>45975</v>
      </c>
      <c r="E228" s="29">
        <v>19177637</v>
      </c>
      <c r="F228" s="29" t="s">
        <v>63</v>
      </c>
      <c r="G228" s="29" t="s">
        <v>301</v>
      </c>
      <c r="H228" s="29">
        <v>99</v>
      </c>
      <c r="I228" s="29">
        <v>119</v>
      </c>
      <c r="J228" s="29">
        <v>76.5</v>
      </c>
      <c r="K228" s="29">
        <v>88</v>
      </c>
      <c r="L228" s="29">
        <v>71</v>
      </c>
      <c r="M228" s="29">
        <v>75</v>
      </c>
      <c r="N228" s="29">
        <v>74</v>
      </c>
      <c r="O228" s="32">
        <v>602.5</v>
      </c>
      <c r="P228" s="29" cm="1">
        <f t="array" ref="P228">IF(表成绩单[[#This Row],[语文]]="","",SUMPRODUCT((表成绩单[考试日期]=表成绩单[[#This Row],[考试日期]])*(表成绩单[语文]&lt;9E+307)*(表成绩单[语文]&gt;表成绩单[[#This Row],[语文]]))+1)</f>
        <v>264</v>
      </c>
      <c r="Q228" s="29" cm="1">
        <f t="array" ref="Q228">IF(表成绩单[[#This Row],[数学]]="","",SUMPRODUCT((表成绩单[考试日期]=表成绩单[[#This Row],[考试日期]])*(表成绩单[数学]&lt;9E+307)*(表成绩单[数学]&gt;表成绩单[[#This Row],[数学]]))+1)</f>
        <v>11</v>
      </c>
      <c r="R228" s="29" cm="1">
        <f t="array" ref="R228">IF(表成绩单[[#This Row],[英语]]="","",SUMPRODUCT((表成绩单[考试日期]=表成绩单[[#This Row],[考试日期]])*(表成绩单[英语]&lt;9E+307)*(表成绩单[英语]&gt;表成绩单[[#This Row],[英语]]))+1)</f>
        <v>382</v>
      </c>
      <c r="S228" s="29" cm="1">
        <f t="array" ref="S228">IF(表成绩单[[#This Row],[物理]]="","",SUMPRODUCT((表成绩单[考试日期]=表成绩单[[#This Row],[考试日期]])*(表成绩单[物理]&lt;9E+307)*(表成绩单[物理]&gt;表成绩单[[#This Row],[物理]]))+1)</f>
        <v>54</v>
      </c>
      <c r="T228" s="29" cm="1">
        <f t="array" ref="T228">IF(表成绩单[[#This Row],[化学]]="","",SUMPRODUCT((表成绩单[考试日期]=表成绩单[[#This Row],[考试日期]])*(表成绩单[化学]&lt;9E+307)*(表成绩单[化学]&gt;表成绩单[[#This Row],[化学]]))+1)</f>
        <v>432</v>
      </c>
      <c r="U228" s="29" cm="1">
        <f t="array" ref="U228">IF(表成绩单[[#This Row],[政治]]="","",SUMPRODUCT((表成绩单[考试日期]=表成绩单[[#This Row],[考试日期]])*(表成绩单[政治]&lt;9E+307)*(表成绩单[政治]&gt;表成绩单[[#This Row],[政治]]))+1)</f>
        <v>363</v>
      </c>
      <c r="V228" s="29" cm="1">
        <f t="array" ref="V228">IF(表成绩单[[#This Row],[历史]]="","",SUMPRODUCT((表成绩单[考试日期]=表成绩单[[#This Row],[考试日期]])*(表成绩单[历史]&lt;9E+307)*(表成绩单[历史]&gt;表成绩单[[#This Row],[历史]]))+1)</f>
        <v>358</v>
      </c>
      <c r="W228" s="29" cm="1">
        <f t="array" ref="W228">IF(表成绩单[[#This Row],[总分]]="","",SUMPRODUCT((表成绩单[考试日期]=表成绩单[[#This Row],[考试日期]])*(表成绩单[总分]&lt;9E+307)*(表成绩单[总分]&gt;表成绩单[[#This Row],[总分]]))+1)</f>
        <v>223</v>
      </c>
    </row>
    <row r="229" ht="28" customHeight="1" spans="4:23">
      <c r="D229" s="31">
        <v>45975</v>
      </c>
      <c r="E229" s="29">
        <v>19177665</v>
      </c>
      <c r="F229" s="29" t="s">
        <v>63</v>
      </c>
      <c r="G229" s="29" t="s">
        <v>302</v>
      </c>
      <c r="H229" s="29">
        <v>96</v>
      </c>
      <c r="I229" s="29">
        <v>110</v>
      </c>
      <c r="J229" s="29">
        <v>78.5</v>
      </c>
      <c r="K229" s="29">
        <v>84</v>
      </c>
      <c r="L229" s="29">
        <v>76</v>
      </c>
      <c r="M229" s="29">
        <v>77</v>
      </c>
      <c r="N229" s="29">
        <v>81</v>
      </c>
      <c r="O229" s="32">
        <v>602.5</v>
      </c>
      <c r="P229" s="29" cm="1">
        <f t="array" ref="P229">IF(表成绩单[[#This Row],[语文]]="","",SUMPRODUCT((表成绩单[考试日期]=表成绩单[[#This Row],[考试日期]])*(表成绩单[语文]&lt;9E+307)*(表成绩单[语文]&gt;表成绩单[[#This Row],[语文]]))+1)</f>
        <v>387</v>
      </c>
      <c r="Q229" s="29" cm="1">
        <f t="array" ref="Q229">IF(表成绩单[[#This Row],[数学]]="","",SUMPRODUCT((表成绩单[考试日期]=表成绩单[[#This Row],[考试日期]])*(表成绩单[数学]&lt;9E+307)*(表成绩单[数学]&gt;表成绩单[[#This Row],[数学]]))+1)</f>
        <v>154</v>
      </c>
      <c r="R229" s="29" cm="1">
        <f t="array" ref="R229">IF(表成绩单[[#This Row],[英语]]="","",SUMPRODUCT((表成绩单[考试日期]=表成绩单[[#This Row],[考试日期]])*(表成绩单[英语]&lt;9E+307)*(表成绩单[英语]&gt;表成绩单[[#This Row],[英语]]))+1)</f>
        <v>314</v>
      </c>
      <c r="S229" s="29" cm="1">
        <f t="array" ref="S229">IF(表成绩单[[#This Row],[物理]]="","",SUMPRODUCT((表成绩单[考试日期]=表成绩单[[#This Row],[考试日期]])*(表成绩单[物理]&lt;9E+307)*(表成绩单[物理]&gt;表成绩单[[#This Row],[物理]]))+1)</f>
        <v>344</v>
      </c>
      <c r="T229" s="29" cm="1">
        <f t="array" ref="T229">IF(表成绩单[[#This Row],[化学]]="","",SUMPRODUCT((表成绩单[考试日期]=表成绩单[[#This Row],[考试日期]])*(表成绩单[化学]&lt;9E+307)*(表成绩单[化学]&gt;表成绩单[[#This Row],[化学]]))+1)</f>
        <v>268</v>
      </c>
      <c r="U229" s="29" cm="1">
        <f t="array" ref="U229">IF(表成绩单[[#This Row],[政治]]="","",SUMPRODUCT((表成绩单[考试日期]=表成绩单[[#This Row],[考试日期]])*(表成绩单[政治]&lt;9E+307)*(表成绩单[政治]&gt;表成绩单[[#This Row],[政治]]))+1)</f>
        <v>304</v>
      </c>
      <c r="V229" s="29" cm="1">
        <f t="array" ref="V229">IF(表成绩单[[#This Row],[历史]]="","",SUMPRODUCT((表成绩单[考试日期]=表成绩单[[#This Row],[考试日期]])*(表成绩单[历史]&lt;9E+307)*(表成绩单[历史]&gt;表成绩单[[#This Row],[历史]]))+1)</f>
        <v>63</v>
      </c>
      <c r="W229" s="29" cm="1">
        <f t="array" ref="W229">IF(表成绩单[[#This Row],[总分]]="","",SUMPRODUCT((表成绩单[考试日期]=表成绩单[[#This Row],[考试日期]])*(表成绩单[总分]&lt;9E+307)*(表成绩单[总分]&gt;表成绩单[[#This Row],[总分]]))+1)</f>
        <v>223</v>
      </c>
    </row>
    <row r="230" ht="28" customHeight="1" spans="4:23">
      <c r="D230" s="31">
        <v>45975</v>
      </c>
      <c r="E230" s="29">
        <v>19176878</v>
      </c>
      <c r="F230" s="29" t="s">
        <v>71</v>
      </c>
      <c r="G230" s="29" t="s">
        <v>303</v>
      </c>
      <c r="H230" s="29">
        <v>101</v>
      </c>
      <c r="I230" s="29">
        <v>105</v>
      </c>
      <c r="J230" s="29">
        <v>74</v>
      </c>
      <c r="K230" s="29">
        <v>85</v>
      </c>
      <c r="L230" s="29">
        <v>77</v>
      </c>
      <c r="M230" s="29">
        <v>83</v>
      </c>
      <c r="N230" s="29">
        <v>77</v>
      </c>
      <c r="O230" s="32">
        <v>602</v>
      </c>
      <c r="P230" s="29" cm="1">
        <f t="array" ref="P230">IF(表成绩单[[#This Row],[语文]]="","",SUMPRODUCT((表成绩单[考试日期]=表成绩单[[#This Row],[考试日期]])*(表成绩单[语文]&lt;9E+307)*(表成绩单[语文]&gt;表成绩单[[#This Row],[语文]]))+1)</f>
        <v>190</v>
      </c>
      <c r="Q230" s="29" cm="1">
        <f t="array" ref="Q230">IF(表成绩单[[#This Row],[数学]]="","",SUMPRODUCT((表成绩单[考试日期]=表成绩单[[#This Row],[考试日期]])*(表成绩单[数学]&lt;9E+307)*(表成绩单[数学]&gt;表成绩单[[#This Row],[数学]]))+1)</f>
        <v>245</v>
      </c>
      <c r="R230" s="29" cm="1">
        <f t="array" ref="R230">IF(表成绩单[[#This Row],[英语]]="","",SUMPRODUCT((表成绩单[考试日期]=表成绩单[[#This Row],[考试日期]])*(表成绩单[英语]&lt;9E+307)*(表成绩单[英语]&gt;表成绩单[[#This Row],[英语]]))+1)</f>
        <v>454</v>
      </c>
      <c r="S230" s="29" cm="1">
        <f t="array" ref="S230">IF(表成绩单[[#This Row],[物理]]="","",SUMPRODUCT((表成绩单[考试日期]=表成绩单[[#This Row],[考试日期]])*(表成绩单[物理]&lt;9E+307)*(表成绩单[物理]&gt;表成绩单[[#This Row],[物理]]))+1)</f>
        <v>263</v>
      </c>
      <c r="T230" s="29" cm="1">
        <f t="array" ref="T230">IF(表成绩单[[#This Row],[化学]]="","",SUMPRODUCT((表成绩单[考试日期]=表成绩单[[#This Row],[考试日期]])*(表成绩单[化学]&lt;9E+307)*(表成绩单[化学]&gt;表成绩单[[#This Row],[化学]]))+1)</f>
        <v>239</v>
      </c>
      <c r="U230" s="29" cm="1">
        <f t="array" ref="U230">IF(表成绩单[[#This Row],[政治]]="","",SUMPRODUCT((表成绩单[考试日期]=表成绩单[[#This Row],[考试日期]])*(表成绩单[政治]&lt;9E+307)*(表成绩单[政治]&gt;表成绩单[[#This Row],[政治]]))+1)</f>
        <v>121</v>
      </c>
      <c r="V230" s="29" cm="1">
        <f t="array" ref="V230">IF(表成绩单[[#This Row],[历史]]="","",SUMPRODUCT((表成绩单[考试日期]=表成绩单[[#This Row],[考试日期]])*(表成绩单[历史]&lt;9E+307)*(表成绩单[历史]&gt;表成绩单[[#This Row],[历史]]))+1)</f>
        <v>237</v>
      </c>
      <c r="W230" s="29" cm="1">
        <f t="array" ref="W230">IF(表成绩单[[#This Row],[总分]]="","",SUMPRODUCT((表成绩单[考试日期]=表成绩单[[#This Row],[考试日期]])*(表成绩单[总分]&lt;9E+307)*(表成绩单[总分]&gt;表成绩单[[#This Row],[总分]]))+1)</f>
        <v>226</v>
      </c>
    </row>
    <row r="231" ht="28" customHeight="1" spans="4:23">
      <c r="D231" s="31">
        <v>45975</v>
      </c>
      <c r="E231" s="29">
        <v>19177205</v>
      </c>
      <c r="F231" s="29" t="s">
        <v>70</v>
      </c>
      <c r="G231" s="29" t="s">
        <v>304</v>
      </c>
      <c r="H231" s="29">
        <v>102</v>
      </c>
      <c r="I231" s="29">
        <v>103</v>
      </c>
      <c r="J231" s="29">
        <v>82</v>
      </c>
      <c r="K231" s="29">
        <v>85</v>
      </c>
      <c r="L231" s="29">
        <v>76</v>
      </c>
      <c r="M231" s="29">
        <v>84</v>
      </c>
      <c r="N231" s="29">
        <v>70</v>
      </c>
      <c r="O231" s="32">
        <v>602</v>
      </c>
      <c r="P231" s="29" cm="1">
        <f t="array" ref="P231">IF(表成绩单[[#This Row],[语文]]="","",SUMPRODUCT((表成绩单[考试日期]=表成绩单[[#This Row],[考试日期]])*(表成绩单[语文]&lt;9E+307)*(表成绩单[语文]&gt;表成绩单[[#This Row],[语文]]))+1)</f>
        <v>154</v>
      </c>
      <c r="Q231" s="29" cm="1">
        <f t="array" ref="Q231">IF(表成绩单[[#This Row],[数学]]="","",SUMPRODUCT((表成绩单[考试日期]=表成绩单[[#This Row],[考试日期]])*(表成绩单[数学]&lt;9E+307)*(表成绩单[数学]&gt;表成绩单[[#This Row],[数学]]))+1)</f>
        <v>277</v>
      </c>
      <c r="R231" s="29" cm="1">
        <f t="array" ref="R231">IF(表成绩单[[#This Row],[英语]]="","",SUMPRODUCT((表成绩单[考试日期]=表成绩单[[#This Row],[考试日期]])*(表成绩单[英语]&lt;9E+307)*(表成绩单[英语]&gt;表成绩单[[#This Row],[英语]]))+1)</f>
        <v>195</v>
      </c>
      <c r="S231" s="29" cm="1">
        <f t="array" ref="S231">IF(表成绩单[[#This Row],[物理]]="","",SUMPRODUCT((表成绩单[考试日期]=表成绩单[[#This Row],[考试日期]])*(表成绩单[物理]&lt;9E+307)*(表成绩单[物理]&gt;表成绩单[[#This Row],[物理]]))+1)</f>
        <v>263</v>
      </c>
      <c r="T231" s="29" cm="1">
        <f t="array" ref="T231">IF(表成绩单[[#This Row],[化学]]="","",SUMPRODUCT((表成绩单[考试日期]=表成绩单[[#This Row],[考试日期]])*(表成绩单[化学]&lt;9E+307)*(表成绩单[化学]&gt;表成绩单[[#This Row],[化学]]))+1)</f>
        <v>268</v>
      </c>
      <c r="U231" s="29" cm="1">
        <f t="array" ref="U231">IF(表成绩单[[#This Row],[政治]]="","",SUMPRODUCT((表成绩单[考试日期]=表成绩单[[#This Row],[考试日期]])*(表成绩单[政治]&lt;9E+307)*(表成绩单[政治]&gt;表成绩单[[#This Row],[政治]]))+1)</f>
        <v>83</v>
      </c>
      <c r="V231" s="29" cm="1">
        <f t="array" ref="V231">IF(表成绩单[[#This Row],[历史]]="","",SUMPRODUCT((表成绩单[考试日期]=表成绩单[[#This Row],[考试日期]])*(表成绩单[历史]&lt;9E+307)*(表成绩单[历史]&gt;表成绩单[[#This Row],[历史]]))+1)</f>
        <v>505</v>
      </c>
      <c r="W231" s="29" cm="1">
        <f t="array" ref="W231">IF(表成绩单[[#This Row],[总分]]="","",SUMPRODUCT((表成绩单[考试日期]=表成绩单[[#This Row],[考试日期]])*(表成绩单[总分]&lt;9E+307)*(表成绩单[总分]&gt;表成绩单[[#This Row],[总分]]))+1)</f>
        <v>226</v>
      </c>
    </row>
    <row r="232" ht="28" customHeight="1" spans="4:23">
      <c r="D232" s="31">
        <v>45975</v>
      </c>
      <c r="E232" s="29">
        <v>19177224</v>
      </c>
      <c r="F232" s="29" t="s">
        <v>70</v>
      </c>
      <c r="G232" s="29" t="s">
        <v>305</v>
      </c>
      <c r="H232" s="29">
        <v>100</v>
      </c>
      <c r="I232" s="29">
        <v>111</v>
      </c>
      <c r="J232" s="29">
        <v>82</v>
      </c>
      <c r="K232" s="29">
        <v>78</v>
      </c>
      <c r="L232" s="29">
        <v>77</v>
      </c>
      <c r="M232" s="29">
        <v>80</v>
      </c>
      <c r="N232" s="29">
        <v>74</v>
      </c>
      <c r="O232" s="32">
        <v>602</v>
      </c>
      <c r="P232" s="29" cm="1">
        <f t="array" ref="P232">IF(表成绩单[[#This Row],[语文]]="","",SUMPRODUCT((表成绩单[考试日期]=表成绩单[[#This Row],[考试日期]])*(表成绩单[语文]&lt;9E+307)*(表成绩单[语文]&gt;表成绩单[[#This Row],[语文]]))+1)</f>
        <v>223</v>
      </c>
      <c r="Q232" s="29" cm="1">
        <f t="array" ref="Q232">IF(表成绩单[[#This Row],[数学]]="","",SUMPRODUCT((表成绩单[考试日期]=表成绩单[[#This Row],[考试日期]])*(表成绩单[数学]&lt;9E+307)*(表成绩单[数学]&gt;表成绩单[[#This Row],[数学]]))+1)</f>
        <v>134</v>
      </c>
      <c r="R232" s="29" cm="1">
        <f t="array" ref="R232">IF(表成绩单[[#This Row],[英语]]="","",SUMPRODUCT((表成绩单[考试日期]=表成绩单[[#This Row],[考试日期]])*(表成绩单[英语]&lt;9E+307)*(表成绩单[英语]&gt;表成绩单[[#This Row],[英语]]))+1)</f>
        <v>195</v>
      </c>
      <c r="S232" s="29" cm="1">
        <f t="array" ref="S232">IF(表成绩单[[#This Row],[物理]]="","",SUMPRODUCT((表成绩单[考试日期]=表成绩单[[#This Row],[考试日期]])*(表成绩单[物理]&lt;9E+307)*(表成绩单[物理]&gt;表成绩单[[#This Row],[物理]]))+1)</f>
        <v>554</v>
      </c>
      <c r="T232" s="29" cm="1">
        <f t="array" ref="T232">IF(表成绩单[[#This Row],[化学]]="","",SUMPRODUCT((表成绩单[考试日期]=表成绩单[[#This Row],[考试日期]])*(表成绩单[化学]&lt;9E+307)*(表成绩单[化学]&gt;表成绩单[[#This Row],[化学]]))+1)</f>
        <v>239</v>
      </c>
      <c r="U232" s="29" cm="1">
        <f t="array" ref="U232">IF(表成绩单[[#This Row],[政治]]="","",SUMPRODUCT((表成绩单[考试日期]=表成绩单[[#This Row],[考试日期]])*(表成绩单[政治]&lt;9E+307)*(表成绩单[政治]&gt;表成绩单[[#This Row],[政治]]))+1)</f>
        <v>209</v>
      </c>
      <c r="V232" s="29" cm="1">
        <f t="array" ref="V232">IF(表成绩单[[#This Row],[历史]]="","",SUMPRODUCT((表成绩单[考试日期]=表成绩单[[#This Row],[考试日期]])*(表成绩单[历史]&lt;9E+307)*(表成绩单[历史]&gt;表成绩单[[#This Row],[历史]]))+1)</f>
        <v>358</v>
      </c>
      <c r="W232" s="29" cm="1">
        <f t="array" ref="W232">IF(表成绩单[[#This Row],[总分]]="","",SUMPRODUCT((表成绩单[考试日期]=表成绩单[[#This Row],[考试日期]])*(表成绩单[总分]&lt;9E+307)*(表成绩单[总分]&gt;表成绩单[[#This Row],[总分]]))+1)</f>
        <v>226</v>
      </c>
    </row>
    <row r="233" ht="28" customHeight="1" spans="4:23">
      <c r="D233" s="31">
        <v>45975</v>
      </c>
      <c r="E233" s="29">
        <v>19178651</v>
      </c>
      <c r="F233" s="29" t="s">
        <v>25</v>
      </c>
      <c r="G233" s="29" t="s">
        <v>306</v>
      </c>
      <c r="H233" s="29">
        <v>110</v>
      </c>
      <c r="I233" s="29">
        <v>102</v>
      </c>
      <c r="J233" s="29">
        <v>83</v>
      </c>
      <c r="K233" s="29">
        <v>85</v>
      </c>
      <c r="L233" s="29">
        <v>61</v>
      </c>
      <c r="M233" s="29">
        <v>83</v>
      </c>
      <c r="N233" s="29">
        <v>78</v>
      </c>
      <c r="O233" s="32">
        <v>602</v>
      </c>
      <c r="P233" s="29" cm="1">
        <f t="array" ref="P233">IF(表成绩单[[#This Row],[语文]]="","",SUMPRODUCT((表成绩单[考试日期]=表成绩单[[#This Row],[考试日期]])*(表成绩单[语文]&lt;9E+307)*(表成绩单[语文]&gt;表成绩单[[#This Row],[语文]]))+1)</f>
        <v>13</v>
      </c>
      <c r="Q233" s="29" cm="1">
        <f t="array" ref="Q233">IF(表成绩单[[#This Row],[数学]]="","",SUMPRODUCT((表成绩单[考试日期]=表成绩单[[#This Row],[考试日期]])*(表成绩单[数学]&lt;9E+307)*(表成绩单[数学]&gt;表成绩单[[#This Row],[数学]]))+1)</f>
        <v>298</v>
      </c>
      <c r="R233" s="29" cm="1">
        <f t="array" ref="R233">IF(表成绩单[[#This Row],[英语]]="","",SUMPRODUCT((表成绩单[考试日期]=表成绩单[[#This Row],[考试日期]])*(表成绩单[英语]&lt;9E+307)*(表成绩单[英语]&gt;表成绩单[[#This Row],[英语]]))+1)</f>
        <v>146</v>
      </c>
      <c r="S233" s="29" cm="1">
        <f t="array" ref="S233">IF(表成绩单[[#This Row],[物理]]="","",SUMPRODUCT((表成绩单[考试日期]=表成绩单[[#This Row],[考试日期]])*(表成绩单[物理]&lt;9E+307)*(表成绩单[物理]&gt;表成绩单[[#This Row],[物理]]))+1)</f>
        <v>263</v>
      </c>
      <c r="T233" s="29" cm="1">
        <f t="array" ref="T233">IF(表成绩单[[#This Row],[化学]]="","",SUMPRODUCT((表成绩单[考试日期]=表成绩单[[#This Row],[考试日期]])*(表成绩单[化学]&lt;9E+307)*(表成绩单[化学]&gt;表成绩单[[#This Row],[化学]]))+1)</f>
        <v>625</v>
      </c>
      <c r="U233" s="29" cm="1">
        <f t="array" ref="U233">IF(表成绩单[[#This Row],[政治]]="","",SUMPRODUCT((表成绩单[考试日期]=表成绩单[[#This Row],[考试日期]])*(表成绩单[政治]&lt;9E+307)*(表成绩单[政治]&gt;表成绩单[[#This Row],[政治]]))+1)</f>
        <v>121</v>
      </c>
      <c r="V233" s="29" cm="1">
        <f t="array" ref="V233">IF(表成绩单[[#This Row],[历史]]="","",SUMPRODUCT((表成绩单[考试日期]=表成绩单[[#This Row],[考试日期]])*(表成绩单[历史]&lt;9E+307)*(表成绩单[历史]&gt;表成绩单[[#This Row],[历史]]))+1)</f>
        <v>189</v>
      </c>
      <c r="W233" s="29" cm="1">
        <f t="array" ref="W233">IF(表成绩单[[#This Row],[总分]]="","",SUMPRODUCT((表成绩单[考试日期]=表成绩单[[#This Row],[考试日期]])*(表成绩单[总分]&lt;9E+307)*(表成绩单[总分]&gt;表成绩单[[#This Row],[总分]]))+1)</f>
        <v>226</v>
      </c>
    </row>
    <row r="234" ht="28" customHeight="1" spans="4:23">
      <c r="D234" s="31">
        <v>45975</v>
      </c>
      <c r="E234" s="29">
        <v>19174464</v>
      </c>
      <c r="F234" s="29" t="s">
        <v>73</v>
      </c>
      <c r="G234" s="29" t="s">
        <v>307</v>
      </c>
      <c r="H234" s="29">
        <v>112</v>
      </c>
      <c r="I234" s="29">
        <v>100</v>
      </c>
      <c r="J234" s="29">
        <v>84.5</v>
      </c>
      <c r="K234" s="29">
        <v>85</v>
      </c>
      <c r="L234" s="29">
        <v>72</v>
      </c>
      <c r="M234" s="29">
        <v>74</v>
      </c>
      <c r="N234" s="29">
        <v>74</v>
      </c>
      <c r="O234" s="32">
        <v>601.5</v>
      </c>
      <c r="P234" s="29" cm="1">
        <f t="array" ref="P234">IF(表成绩单[[#This Row],[语文]]="","",SUMPRODUCT((表成绩单[考试日期]=表成绩单[[#This Row],[考试日期]])*(表成绩单[语文]&lt;9E+307)*(表成绩单[语文]&gt;表成绩单[[#This Row],[语文]]))+1)</f>
        <v>7</v>
      </c>
      <c r="Q234" s="29" cm="1">
        <f t="array" ref="Q234">IF(表成绩单[[#This Row],[数学]]="","",SUMPRODUCT((表成绩单[考试日期]=表成绩单[[#This Row],[考试日期]])*(表成绩单[数学]&lt;9E+307)*(表成绩单[数学]&gt;表成绩单[[#This Row],[数学]]))+1)</f>
        <v>340</v>
      </c>
      <c r="R234" s="29" cm="1">
        <f t="array" ref="R234">IF(表成绩单[[#This Row],[英语]]="","",SUMPRODUCT((表成绩单[考试日期]=表成绩单[[#This Row],[考试日期]])*(表成绩单[英语]&lt;9E+307)*(表成绩单[英语]&gt;表成绩单[[#This Row],[英语]]))+1)</f>
        <v>85</v>
      </c>
      <c r="S234" s="29" cm="1">
        <f t="array" ref="S234">IF(表成绩单[[#This Row],[物理]]="","",SUMPRODUCT((表成绩单[考试日期]=表成绩单[[#This Row],[考试日期]])*(表成绩单[物理]&lt;9E+307)*(表成绩单[物理]&gt;表成绩单[[#This Row],[物理]]))+1)</f>
        <v>263</v>
      </c>
      <c r="T234" s="29" cm="1">
        <f t="array" ref="T234">IF(表成绩单[[#This Row],[化学]]="","",SUMPRODUCT((表成绩单[考试日期]=表成绩单[[#This Row],[考试日期]])*(表成绩单[化学]&lt;9E+307)*(表成绩单[化学]&gt;表成绩单[[#This Row],[化学]]))+1)</f>
        <v>405</v>
      </c>
      <c r="U234" s="29" cm="1">
        <f t="array" ref="U234">IF(表成绩单[[#This Row],[政治]]="","",SUMPRODUCT((表成绩单[考试日期]=表成绩单[[#This Row],[考试日期]])*(表成绩单[政治]&lt;9E+307)*(表成绩单[政治]&gt;表成绩单[[#This Row],[政治]]))+1)</f>
        <v>389</v>
      </c>
      <c r="V234" s="29" cm="1">
        <f t="array" ref="V234">IF(表成绩单[[#This Row],[历史]]="","",SUMPRODUCT((表成绩单[考试日期]=表成绩单[[#This Row],[考试日期]])*(表成绩单[历史]&lt;9E+307)*(表成绩单[历史]&gt;表成绩单[[#This Row],[历史]]))+1)</f>
        <v>358</v>
      </c>
      <c r="W234" s="29" cm="1">
        <f t="array" ref="W234">IF(表成绩单[[#This Row],[总分]]="","",SUMPRODUCT((表成绩单[考试日期]=表成绩单[[#This Row],[考试日期]])*(表成绩单[总分]&lt;9E+307)*(表成绩单[总分]&gt;表成绩单[[#This Row],[总分]]))+1)</f>
        <v>230</v>
      </c>
    </row>
    <row r="235" ht="28" customHeight="1" spans="4:23">
      <c r="D235" s="31">
        <v>45975</v>
      </c>
      <c r="E235" s="29">
        <v>19175408</v>
      </c>
      <c r="F235" s="29" t="s">
        <v>74</v>
      </c>
      <c r="G235" s="29" t="s">
        <v>308</v>
      </c>
      <c r="H235" s="29">
        <v>108</v>
      </c>
      <c r="I235" s="29">
        <v>97</v>
      </c>
      <c r="J235" s="29">
        <v>79.5</v>
      </c>
      <c r="K235" s="29">
        <v>89</v>
      </c>
      <c r="L235" s="29">
        <v>76</v>
      </c>
      <c r="M235" s="29">
        <v>78</v>
      </c>
      <c r="N235" s="29">
        <v>74</v>
      </c>
      <c r="O235" s="32">
        <v>601.5</v>
      </c>
      <c r="P235" s="29" cm="1">
        <f t="array" ref="P235">IF(表成绩单[[#This Row],[语文]]="","",SUMPRODUCT((表成绩单[考试日期]=表成绩单[[#This Row],[考试日期]])*(表成绩单[语文]&lt;9E+307)*(表成绩单[语文]&gt;表成绩单[[#This Row],[语文]]))+1)</f>
        <v>27</v>
      </c>
      <c r="Q235" s="29" cm="1">
        <f t="array" ref="Q235">IF(表成绩单[[#This Row],[数学]]="","",SUMPRODUCT((表成绩单[考试日期]=表成绩单[[#This Row],[考试日期]])*(表成绩单[数学]&lt;9E+307)*(表成绩单[数学]&gt;表成绩单[[#This Row],[数学]]))+1)</f>
        <v>389</v>
      </c>
      <c r="R235" s="29" cm="1">
        <f t="array" ref="R235">IF(表成绩单[[#This Row],[英语]]="","",SUMPRODUCT((表成绩单[考试日期]=表成绩单[[#This Row],[考试日期]])*(表成绩单[英语]&lt;9E+307)*(表成绩单[英语]&gt;表成绩单[[#This Row],[英语]]))+1)</f>
        <v>279</v>
      </c>
      <c r="S235" s="29" cm="1">
        <f t="array" ref="S235">IF(表成绩单[[#This Row],[物理]]="","",SUMPRODUCT((表成绩单[考试日期]=表成绩单[[#This Row],[考试日期]])*(表成绩单[物理]&lt;9E+307)*(表成绩单[物理]&gt;表成绩单[[#This Row],[物理]]))+1)</f>
        <v>18</v>
      </c>
      <c r="T235" s="29" cm="1">
        <f t="array" ref="T235">IF(表成绩单[[#This Row],[化学]]="","",SUMPRODUCT((表成绩单[考试日期]=表成绩单[[#This Row],[考试日期]])*(表成绩单[化学]&lt;9E+307)*(表成绩单[化学]&gt;表成绩单[[#This Row],[化学]]))+1)</f>
        <v>268</v>
      </c>
      <c r="U235" s="29" cm="1">
        <f t="array" ref="U235">IF(表成绩单[[#This Row],[政治]]="","",SUMPRODUCT((表成绩单[考试日期]=表成绩单[[#This Row],[考试日期]])*(表成绩单[政治]&lt;9E+307)*(表成绩单[政治]&gt;表成绩单[[#This Row],[政治]]))+1)</f>
        <v>272</v>
      </c>
      <c r="V235" s="29" cm="1">
        <f t="array" ref="V235">IF(表成绩单[[#This Row],[历史]]="","",SUMPRODUCT((表成绩单[考试日期]=表成绩单[[#This Row],[考试日期]])*(表成绩单[历史]&lt;9E+307)*(表成绩单[历史]&gt;表成绩单[[#This Row],[历史]]))+1)</f>
        <v>358</v>
      </c>
      <c r="W235" s="29" cm="1">
        <f t="array" ref="W235">IF(表成绩单[[#This Row],[总分]]="","",SUMPRODUCT((表成绩单[考试日期]=表成绩单[[#This Row],[考试日期]])*(表成绩单[总分]&lt;9E+307)*(表成绩单[总分]&gt;表成绩单[[#This Row],[总分]]))+1)</f>
        <v>230</v>
      </c>
    </row>
    <row r="236" ht="28" customHeight="1" spans="4:23">
      <c r="D236" s="31">
        <v>45975</v>
      </c>
      <c r="E236" s="29">
        <v>19175711</v>
      </c>
      <c r="F236" s="29" t="s">
        <v>72</v>
      </c>
      <c r="G236" s="29" t="s">
        <v>309</v>
      </c>
      <c r="H236" s="29">
        <v>108</v>
      </c>
      <c r="I236" s="29">
        <v>107</v>
      </c>
      <c r="J236" s="29">
        <v>76.5</v>
      </c>
      <c r="K236" s="29">
        <v>87</v>
      </c>
      <c r="L236" s="29">
        <v>76</v>
      </c>
      <c r="M236" s="29">
        <v>82</v>
      </c>
      <c r="N236" s="29">
        <v>65</v>
      </c>
      <c r="O236" s="32">
        <v>601.5</v>
      </c>
      <c r="P236" s="29" cm="1">
        <f t="array" ref="P236">IF(表成绩单[[#This Row],[语文]]="","",SUMPRODUCT((表成绩单[考试日期]=表成绩单[[#This Row],[考试日期]])*(表成绩单[语文]&lt;9E+307)*(表成绩单[语文]&gt;表成绩单[[#This Row],[语文]]))+1)</f>
        <v>27</v>
      </c>
      <c r="Q236" s="29" cm="1">
        <f t="array" ref="Q236">IF(表成绩单[[#This Row],[数学]]="","",SUMPRODUCT((表成绩单[考试日期]=表成绩单[[#This Row],[考试日期]])*(表成绩单[数学]&lt;9E+307)*(表成绩单[数学]&gt;表成绩单[[#This Row],[数学]]))+1)</f>
        <v>200</v>
      </c>
      <c r="R236" s="29" cm="1">
        <f t="array" ref="R236">IF(表成绩单[[#This Row],[英语]]="","",SUMPRODUCT((表成绩单[考试日期]=表成绩单[[#This Row],[考试日期]])*(表成绩单[英语]&lt;9E+307)*(表成绩单[英语]&gt;表成绩单[[#This Row],[英语]]))+1)</f>
        <v>382</v>
      </c>
      <c r="S236" s="29" cm="1">
        <f t="array" ref="S236">IF(表成绩单[[#This Row],[物理]]="","",SUMPRODUCT((表成绩单[考试日期]=表成绩单[[#This Row],[考试日期]])*(表成绩单[物理]&lt;9E+307)*(表成绩单[物理]&gt;表成绩单[[#This Row],[物理]]))+1)</f>
        <v>127</v>
      </c>
      <c r="T236" s="29" cm="1">
        <f t="array" ref="T236">IF(表成绩单[[#This Row],[化学]]="","",SUMPRODUCT((表成绩单[考试日期]=表成绩单[[#This Row],[考试日期]])*(表成绩单[化学]&lt;9E+307)*(表成绩单[化学]&gt;表成绩单[[#This Row],[化学]]))+1)</f>
        <v>268</v>
      </c>
      <c r="U236" s="29" cm="1">
        <f t="array" ref="U236">IF(表成绩单[[#This Row],[政治]]="","",SUMPRODUCT((表成绩单[考试日期]=表成绩单[[#This Row],[考试日期]])*(表成绩单[政治]&lt;9E+307)*(表成绩单[政治]&gt;表成绩单[[#This Row],[政治]]))+1)</f>
        <v>157</v>
      </c>
      <c r="V236" s="29" cm="1">
        <f t="array" ref="V236">IF(表成绩单[[#This Row],[历史]]="","",SUMPRODUCT((表成绩单[考试日期]=表成绩单[[#This Row],[考试日期]])*(表成绩单[历史]&lt;9E+307)*(表成绩单[历史]&gt;表成绩单[[#This Row],[历史]]))+1)</f>
        <v>644</v>
      </c>
      <c r="W236" s="29" cm="1">
        <f t="array" ref="W236">IF(表成绩单[[#This Row],[总分]]="","",SUMPRODUCT((表成绩单[考试日期]=表成绩单[[#This Row],[考试日期]])*(表成绩单[总分]&lt;9E+307)*(表成绩单[总分]&gt;表成绩单[[#This Row],[总分]]))+1)</f>
        <v>230</v>
      </c>
    </row>
    <row r="237" ht="28" customHeight="1" spans="4:23">
      <c r="D237" s="31">
        <v>45975</v>
      </c>
      <c r="E237" s="29">
        <v>19176864</v>
      </c>
      <c r="F237" s="29" t="s">
        <v>71</v>
      </c>
      <c r="G237" s="29" t="s">
        <v>310</v>
      </c>
      <c r="H237" s="29">
        <v>94</v>
      </c>
      <c r="I237" s="29">
        <v>112</v>
      </c>
      <c r="J237" s="29">
        <v>82.5</v>
      </c>
      <c r="K237" s="29">
        <v>79</v>
      </c>
      <c r="L237" s="29">
        <v>72</v>
      </c>
      <c r="M237" s="29">
        <v>84</v>
      </c>
      <c r="N237" s="29">
        <v>78</v>
      </c>
      <c r="O237" s="32">
        <v>601.5</v>
      </c>
      <c r="P237" s="29" cm="1">
        <f t="array" ref="P237">IF(表成绩单[[#This Row],[语文]]="","",SUMPRODUCT((表成绩单[考试日期]=表成绩单[[#This Row],[考试日期]])*(表成绩单[语文]&lt;9E+307)*(表成绩单[语文]&gt;表成绩单[[#This Row],[语文]]))+1)</f>
        <v>452</v>
      </c>
      <c r="Q237" s="29" cm="1">
        <f t="array" ref="Q237">IF(表成绩单[[#This Row],[数学]]="","",SUMPRODUCT((表成绩单[考试日期]=表成绩单[[#This Row],[考试日期]])*(表成绩单[数学]&lt;9E+307)*(表成绩单[数学]&gt;表成绩单[[#This Row],[数学]]))+1)</f>
        <v>112</v>
      </c>
      <c r="R237" s="29" cm="1">
        <f t="array" ref="R237">IF(表成绩单[[#This Row],[英语]]="","",SUMPRODUCT((表成绩单[考试日期]=表成绩单[[#This Row],[考试日期]])*(表成绩单[英语]&lt;9E+307)*(表成绩单[英语]&gt;表成绩单[[#This Row],[英语]]))+1)</f>
        <v>170</v>
      </c>
      <c r="S237" s="29" cm="1">
        <f t="array" ref="S237">IF(表成绩单[[#This Row],[物理]]="","",SUMPRODUCT((表成绩单[考试日期]=表成绩单[[#This Row],[考试日期]])*(表成绩单[物理]&lt;9E+307)*(表成绩单[物理]&gt;表成绩单[[#This Row],[物理]]))+1)</f>
        <v>534</v>
      </c>
      <c r="T237" s="29" cm="1">
        <f t="array" ref="T237">IF(表成绩单[[#This Row],[化学]]="","",SUMPRODUCT((表成绩单[考试日期]=表成绩单[[#This Row],[考试日期]])*(表成绩单[化学]&lt;9E+307)*(表成绩单[化学]&gt;表成绩单[[#This Row],[化学]]))+1)</f>
        <v>405</v>
      </c>
      <c r="U237" s="29" cm="1">
        <f t="array" ref="U237">IF(表成绩单[[#This Row],[政治]]="","",SUMPRODUCT((表成绩单[考试日期]=表成绩单[[#This Row],[考试日期]])*(表成绩单[政治]&lt;9E+307)*(表成绩单[政治]&gt;表成绩单[[#This Row],[政治]]))+1)</f>
        <v>83</v>
      </c>
      <c r="V237" s="29" cm="1">
        <f t="array" ref="V237">IF(表成绩单[[#This Row],[历史]]="","",SUMPRODUCT((表成绩单[考试日期]=表成绩单[[#This Row],[考试日期]])*(表成绩单[历史]&lt;9E+307)*(表成绩单[历史]&gt;表成绩单[[#This Row],[历史]]))+1)</f>
        <v>189</v>
      </c>
      <c r="W237" s="29" cm="1">
        <f t="array" ref="W237">IF(表成绩单[[#This Row],[总分]]="","",SUMPRODUCT((表成绩单[考试日期]=表成绩单[[#This Row],[考试日期]])*(表成绩单[总分]&lt;9E+307)*(表成绩单[总分]&gt;表成绩单[[#This Row],[总分]]))+1)</f>
        <v>230</v>
      </c>
    </row>
    <row r="238" ht="28" customHeight="1" spans="4:23">
      <c r="D238" s="31">
        <v>45975</v>
      </c>
      <c r="E238" s="29">
        <v>19177231</v>
      </c>
      <c r="F238" s="29" t="s">
        <v>70</v>
      </c>
      <c r="G238" s="29" t="s">
        <v>311</v>
      </c>
      <c r="H238" s="29">
        <v>103</v>
      </c>
      <c r="I238" s="29">
        <v>101</v>
      </c>
      <c r="J238" s="29">
        <v>77.5</v>
      </c>
      <c r="K238" s="29">
        <v>83</v>
      </c>
      <c r="L238" s="29">
        <v>83</v>
      </c>
      <c r="M238" s="29">
        <v>72</v>
      </c>
      <c r="N238" s="29">
        <v>82</v>
      </c>
      <c r="O238" s="32">
        <v>601.5</v>
      </c>
      <c r="P238" s="29" cm="1">
        <f t="array" ref="P238">IF(表成绩单[[#This Row],[语文]]="","",SUMPRODUCT((表成绩单[考试日期]=表成绩单[[#This Row],[考试日期]])*(表成绩单[语文]&lt;9E+307)*(表成绩单[语文]&gt;表成绩单[[#This Row],[语文]]))+1)</f>
        <v>126</v>
      </c>
      <c r="Q238" s="29" cm="1">
        <f t="array" ref="Q238">IF(表成绩单[[#This Row],[数学]]="","",SUMPRODUCT((表成绩单[考试日期]=表成绩单[[#This Row],[考试日期]])*(表成绩单[数学]&lt;9E+307)*(表成绩单[数学]&gt;表成绩单[[#This Row],[数学]]))+1)</f>
        <v>319</v>
      </c>
      <c r="R238" s="29" cm="1">
        <f t="array" ref="R238">IF(表成绩单[[#This Row],[英语]]="","",SUMPRODUCT((表成绩单[考试日期]=表成绩单[[#This Row],[考试日期]])*(表成绩单[英语]&lt;9E+307)*(表成绩单[英语]&gt;表成绩单[[#This Row],[英语]]))+1)</f>
        <v>345</v>
      </c>
      <c r="S238" s="29" cm="1">
        <f t="array" ref="S238">IF(表成绩单[[#This Row],[物理]]="","",SUMPRODUCT((表成绩单[考试日期]=表成绩单[[#This Row],[考试日期]])*(表成绩单[物理]&lt;9E+307)*(表成绩单[物理]&gt;表成绩单[[#This Row],[物理]]))+1)</f>
        <v>390</v>
      </c>
      <c r="T238" s="29" cm="1">
        <f t="array" ref="T238">IF(表成绩单[[#This Row],[化学]]="","",SUMPRODUCT((表成绩单[考试日期]=表成绩单[[#This Row],[考试日期]])*(表成绩单[化学]&lt;9E+307)*(表成绩单[化学]&gt;表成绩单[[#This Row],[化学]]))+1)</f>
        <v>49</v>
      </c>
      <c r="U238" s="29" cm="1">
        <f t="array" ref="U238">IF(表成绩单[[#This Row],[政治]]="","",SUMPRODUCT((表成绩单[考试日期]=表成绩单[[#This Row],[考试日期]])*(表成绩单[政治]&lt;9E+307)*(表成绩单[政治]&gt;表成绩单[[#This Row],[政治]]))+1)</f>
        <v>448</v>
      </c>
      <c r="V238" s="29" cm="1">
        <f t="array" ref="V238">IF(表成绩单[[#This Row],[历史]]="","",SUMPRODUCT((表成绩单[考试日期]=表成绩单[[#This Row],[考试日期]])*(表成绩单[历史]&lt;9E+307)*(表成绩单[历史]&gt;表成绩单[[#This Row],[历史]]))+1)</f>
        <v>35</v>
      </c>
      <c r="W238" s="29" cm="1">
        <f t="array" ref="W238">IF(表成绩单[[#This Row],[总分]]="","",SUMPRODUCT((表成绩单[考试日期]=表成绩单[[#This Row],[考试日期]])*(表成绩单[总分]&lt;9E+307)*(表成绩单[总分]&gt;表成绩单[[#This Row],[总分]]))+1)</f>
        <v>230</v>
      </c>
    </row>
    <row r="239" ht="28" customHeight="1" spans="4:23">
      <c r="D239" s="31">
        <v>45975</v>
      </c>
      <c r="E239" s="29">
        <v>19174430</v>
      </c>
      <c r="F239" s="29" t="s">
        <v>73</v>
      </c>
      <c r="G239" s="29" t="s">
        <v>312</v>
      </c>
      <c r="H239" s="29">
        <v>108</v>
      </c>
      <c r="I239" s="29">
        <v>102</v>
      </c>
      <c r="J239" s="29">
        <v>83</v>
      </c>
      <c r="K239" s="29">
        <v>82</v>
      </c>
      <c r="L239" s="29">
        <v>73</v>
      </c>
      <c r="M239" s="29">
        <v>75</v>
      </c>
      <c r="N239" s="29">
        <v>78</v>
      </c>
      <c r="O239" s="32">
        <v>601</v>
      </c>
      <c r="P239" s="29" cm="1">
        <f t="array" ref="P239">IF(表成绩单[[#This Row],[语文]]="","",SUMPRODUCT((表成绩单[考试日期]=表成绩单[[#This Row],[考试日期]])*(表成绩单[语文]&lt;9E+307)*(表成绩单[语文]&gt;表成绩单[[#This Row],[语文]]))+1)</f>
        <v>27</v>
      </c>
      <c r="Q239" s="29" cm="1">
        <f t="array" ref="Q239">IF(表成绩单[[#This Row],[数学]]="","",SUMPRODUCT((表成绩单[考试日期]=表成绩单[[#This Row],[考试日期]])*(表成绩单[数学]&lt;9E+307)*(表成绩单[数学]&gt;表成绩单[[#This Row],[数学]]))+1)</f>
        <v>298</v>
      </c>
      <c r="R239" s="29" cm="1">
        <f t="array" ref="R239">IF(表成绩单[[#This Row],[英语]]="","",SUMPRODUCT((表成绩单[考试日期]=表成绩单[[#This Row],[考试日期]])*(表成绩单[英语]&lt;9E+307)*(表成绩单[英语]&gt;表成绩单[[#This Row],[英语]]))+1)</f>
        <v>146</v>
      </c>
      <c r="S239" s="29" cm="1">
        <f t="array" ref="S239">IF(表成绩单[[#This Row],[物理]]="","",SUMPRODUCT((表成绩单[考试日期]=表成绩单[[#This Row],[考试日期]])*(表成绩单[物理]&lt;9E+307)*(表成绩单[物理]&gt;表成绩单[[#This Row],[物理]]))+1)</f>
        <v>433</v>
      </c>
      <c r="T239" s="29" cm="1">
        <f t="array" ref="T239">IF(表成绩单[[#This Row],[化学]]="","",SUMPRODUCT((表成绩单[考试日期]=表成绩单[[#This Row],[考试日期]])*(表成绩单[化学]&lt;9E+307)*(表成绩单[化学]&gt;表成绩单[[#This Row],[化学]]))+1)</f>
        <v>365</v>
      </c>
      <c r="U239" s="29" cm="1">
        <f t="array" ref="U239">IF(表成绩单[[#This Row],[政治]]="","",SUMPRODUCT((表成绩单[考试日期]=表成绩单[[#This Row],[考试日期]])*(表成绩单[政治]&lt;9E+307)*(表成绩单[政治]&gt;表成绩单[[#This Row],[政治]]))+1)</f>
        <v>363</v>
      </c>
      <c r="V239" s="29" cm="1">
        <f t="array" ref="V239">IF(表成绩单[[#This Row],[历史]]="","",SUMPRODUCT((表成绩单[考试日期]=表成绩单[[#This Row],[考试日期]])*(表成绩单[历史]&lt;9E+307)*(表成绩单[历史]&gt;表成绩单[[#This Row],[历史]]))+1)</f>
        <v>189</v>
      </c>
      <c r="W239" s="29" cm="1">
        <f t="array" ref="W239">IF(表成绩单[[#This Row],[总分]]="","",SUMPRODUCT((表成绩单[考试日期]=表成绩单[[#This Row],[考试日期]])*(表成绩单[总分]&lt;9E+307)*(表成绩单[总分]&gt;表成绩单[[#This Row],[总分]]))+1)</f>
        <v>235</v>
      </c>
    </row>
    <row r="240" ht="28" customHeight="1" spans="4:23">
      <c r="D240" s="31">
        <v>45975</v>
      </c>
      <c r="E240" s="29">
        <v>19175632</v>
      </c>
      <c r="F240" s="29" t="s">
        <v>66</v>
      </c>
      <c r="G240" s="29" t="s">
        <v>313</v>
      </c>
      <c r="H240" s="29">
        <v>101</v>
      </c>
      <c r="I240" s="29">
        <v>107</v>
      </c>
      <c r="J240" s="29">
        <v>79</v>
      </c>
      <c r="K240" s="29">
        <v>86</v>
      </c>
      <c r="L240" s="29">
        <v>80</v>
      </c>
      <c r="M240" s="29">
        <v>66</v>
      </c>
      <c r="N240" s="29">
        <v>82</v>
      </c>
      <c r="O240" s="32">
        <v>601</v>
      </c>
      <c r="P240" s="29" cm="1">
        <f t="array" ref="P240">IF(表成绩单[[#This Row],[语文]]="","",SUMPRODUCT((表成绩单[考试日期]=表成绩单[[#This Row],[考试日期]])*(表成绩单[语文]&lt;9E+307)*(表成绩单[语文]&gt;表成绩单[[#This Row],[语文]]))+1)</f>
        <v>190</v>
      </c>
      <c r="Q240" s="29" cm="1">
        <f t="array" ref="Q240">IF(表成绩单[[#This Row],[数学]]="","",SUMPRODUCT((表成绩单[考试日期]=表成绩单[[#This Row],[考试日期]])*(表成绩单[数学]&lt;9E+307)*(表成绩单[数学]&gt;表成绩单[[#This Row],[数学]]))+1)</f>
        <v>200</v>
      </c>
      <c r="R240" s="29" cm="1">
        <f t="array" ref="R240">IF(表成绩单[[#This Row],[英语]]="","",SUMPRODUCT((表成绩单[考试日期]=表成绩单[[#This Row],[考试日期]])*(表成绩单[英语]&lt;9E+307)*(表成绩单[英语]&gt;表成绩单[[#This Row],[英语]]))+1)</f>
        <v>292</v>
      </c>
      <c r="S240" s="29" cm="1">
        <f t="array" ref="S240">IF(表成绩单[[#This Row],[物理]]="","",SUMPRODUCT((表成绩单[考试日期]=表成绩单[[#This Row],[考试日期]])*(表成绩单[物理]&lt;9E+307)*(表成绩单[物理]&gt;表成绩单[[#This Row],[物理]]))+1)</f>
        <v>187</v>
      </c>
      <c r="T240" s="29" cm="1">
        <f t="array" ref="T240">IF(表成绩单[[#This Row],[化学]]="","",SUMPRODUCT((表成绩单[考试日期]=表成绩单[[#This Row],[考试日期]])*(表成绩单[化学]&lt;9E+307)*(表成绩单[化学]&gt;表成绩单[[#This Row],[化学]]))+1)</f>
        <v>129</v>
      </c>
      <c r="U240" s="29" cm="1">
        <f t="array" ref="U240">IF(表成绩单[[#This Row],[政治]]="","",SUMPRODUCT((表成绩单[考试日期]=表成绩单[[#This Row],[考试日期]])*(表成绩单[政治]&lt;9E+307)*(表成绩单[政治]&gt;表成绩单[[#This Row],[政治]]))+1)</f>
        <v>555</v>
      </c>
      <c r="V240" s="29" cm="1">
        <f t="array" ref="V240">IF(表成绩单[[#This Row],[历史]]="","",SUMPRODUCT((表成绩单[考试日期]=表成绩单[[#This Row],[考试日期]])*(表成绩单[历史]&lt;9E+307)*(表成绩单[历史]&gt;表成绩单[[#This Row],[历史]]))+1)</f>
        <v>35</v>
      </c>
      <c r="W240" s="29" cm="1">
        <f t="array" ref="W240">IF(表成绩单[[#This Row],[总分]]="","",SUMPRODUCT((表成绩单[考试日期]=表成绩单[[#This Row],[考试日期]])*(表成绩单[总分]&lt;9E+307)*(表成绩单[总分]&gt;表成绩单[[#This Row],[总分]]))+1)</f>
        <v>235</v>
      </c>
    </row>
    <row r="241" ht="28" customHeight="1" spans="4:23">
      <c r="D241" s="31">
        <v>45975</v>
      </c>
      <c r="E241" s="29">
        <v>19175639</v>
      </c>
      <c r="F241" s="29" t="s">
        <v>66</v>
      </c>
      <c r="G241" s="29" t="s">
        <v>314</v>
      </c>
      <c r="H241" s="29">
        <v>92</v>
      </c>
      <c r="I241" s="29">
        <v>107</v>
      </c>
      <c r="J241" s="29">
        <v>78.5</v>
      </c>
      <c r="K241" s="29">
        <v>87</v>
      </c>
      <c r="L241" s="29">
        <v>79</v>
      </c>
      <c r="M241" s="29">
        <v>81</v>
      </c>
      <c r="N241" s="29">
        <v>76</v>
      </c>
      <c r="O241" s="32">
        <v>600.5</v>
      </c>
      <c r="P241" s="29" cm="1">
        <f t="array" ref="P241">IF(表成绩单[[#This Row],[语文]]="","",SUMPRODUCT((表成绩单[考试日期]=表成绩单[[#This Row],[考试日期]])*(表成绩单[语文]&lt;9E+307)*(表成绩单[语文]&gt;表成绩单[[#This Row],[语文]]))+1)</f>
        <v>517</v>
      </c>
      <c r="Q241" s="29" cm="1">
        <f t="array" ref="Q241">IF(表成绩单[[#This Row],[数学]]="","",SUMPRODUCT((表成绩单[考试日期]=表成绩单[[#This Row],[考试日期]])*(表成绩单[数学]&lt;9E+307)*(表成绩单[数学]&gt;表成绩单[[#This Row],[数学]]))+1)</f>
        <v>200</v>
      </c>
      <c r="R241" s="29" cm="1">
        <f t="array" ref="R241">IF(表成绩单[[#This Row],[英语]]="","",SUMPRODUCT((表成绩单[考试日期]=表成绩单[[#This Row],[考试日期]])*(表成绩单[英语]&lt;9E+307)*(表成绩单[英语]&gt;表成绩单[[#This Row],[英语]]))+1)</f>
        <v>314</v>
      </c>
      <c r="S241" s="29" cm="1">
        <f t="array" ref="S241">IF(表成绩单[[#This Row],[物理]]="","",SUMPRODUCT((表成绩单[考试日期]=表成绩单[[#This Row],[考试日期]])*(表成绩单[物理]&lt;9E+307)*(表成绩单[物理]&gt;表成绩单[[#This Row],[物理]]))+1)</f>
        <v>127</v>
      </c>
      <c r="T241" s="29" cm="1">
        <f t="array" ref="T241">IF(表成绩单[[#This Row],[化学]]="","",SUMPRODUCT((表成绩单[考试日期]=表成绩单[[#This Row],[考试日期]])*(表成绩单[化学]&lt;9E+307)*(表成绩单[化学]&gt;表成绩单[[#This Row],[化学]]))+1)</f>
        <v>166</v>
      </c>
      <c r="U241" s="29" cm="1">
        <f t="array" ref="U241">IF(表成绩单[[#This Row],[政治]]="","",SUMPRODUCT((表成绩单[考试日期]=表成绩单[[#This Row],[考试日期]])*(表成绩单[政治]&lt;9E+307)*(表成绩单[政治]&gt;表成绩单[[#This Row],[政治]]))+1)</f>
        <v>180</v>
      </c>
      <c r="V241" s="29" cm="1">
        <f t="array" ref="V241">IF(表成绩单[[#This Row],[历史]]="","",SUMPRODUCT((表成绩单[考试日期]=表成绩单[[#This Row],[考试日期]])*(表成绩单[历史]&lt;9E+307)*(表成绩单[历史]&gt;表成绩单[[#This Row],[历史]]))+1)</f>
        <v>278</v>
      </c>
      <c r="W241" s="29" cm="1">
        <f t="array" ref="W241">IF(表成绩单[[#This Row],[总分]]="","",SUMPRODUCT((表成绩单[考试日期]=表成绩单[[#This Row],[考试日期]])*(表成绩单[总分]&lt;9E+307)*(表成绩单[总分]&gt;表成绩单[[#This Row],[总分]]))+1)</f>
        <v>237</v>
      </c>
    </row>
    <row r="242" ht="28" customHeight="1" spans="4:23">
      <c r="D242" s="31">
        <v>45975</v>
      </c>
      <c r="E242" s="29">
        <v>19178633</v>
      </c>
      <c r="F242" s="29" t="s">
        <v>25</v>
      </c>
      <c r="G242" s="29" t="s">
        <v>315</v>
      </c>
      <c r="H242" s="29">
        <v>98</v>
      </c>
      <c r="I242" s="29">
        <v>99</v>
      </c>
      <c r="J242" s="29">
        <v>81.5</v>
      </c>
      <c r="K242" s="29">
        <v>84</v>
      </c>
      <c r="L242" s="29">
        <v>73</v>
      </c>
      <c r="M242" s="29">
        <v>83</v>
      </c>
      <c r="N242" s="29">
        <v>82</v>
      </c>
      <c r="O242" s="32">
        <v>600.5</v>
      </c>
      <c r="P242" s="29" cm="1">
        <f t="array" ref="P242">IF(表成绩单[[#This Row],[语文]]="","",SUMPRODUCT((表成绩单[考试日期]=表成绩单[[#This Row],[考试日期]])*(表成绩单[语文]&lt;9E+307)*(表成绩单[语文]&gt;表成绩单[[#This Row],[语文]]))+1)</f>
        <v>305</v>
      </c>
      <c r="Q242" s="29" cm="1">
        <f t="array" ref="Q242">IF(表成绩单[[#This Row],[数学]]="","",SUMPRODUCT((表成绩单[考试日期]=表成绩单[[#This Row],[考试日期]])*(表成绩单[数学]&lt;9E+307)*(表成绩单[数学]&gt;表成绩单[[#This Row],[数学]]))+1)</f>
        <v>361</v>
      </c>
      <c r="R242" s="29" cm="1">
        <f t="array" ref="R242">IF(表成绩单[[#This Row],[英语]]="","",SUMPRODUCT((表成绩单[考试日期]=表成绩单[[#This Row],[考试日期]])*(表成绩单[英语]&lt;9E+307)*(表成绩单[英语]&gt;表成绩单[[#This Row],[英语]]))+1)</f>
        <v>220</v>
      </c>
      <c r="S242" s="29" cm="1">
        <f t="array" ref="S242">IF(表成绩单[[#This Row],[物理]]="","",SUMPRODUCT((表成绩单[考试日期]=表成绩单[[#This Row],[考试日期]])*(表成绩单[物理]&lt;9E+307)*(表成绩单[物理]&gt;表成绩单[[#This Row],[物理]]))+1)</f>
        <v>344</v>
      </c>
      <c r="T242" s="29" cm="1">
        <f t="array" ref="T242">IF(表成绩单[[#This Row],[化学]]="","",SUMPRODUCT((表成绩单[考试日期]=表成绩单[[#This Row],[考试日期]])*(表成绩单[化学]&lt;9E+307)*(表成绩单[化学]&gt;表成绩单[[#This Row],[化学]]))+1)</f>
        <v>365</v>
      </c>
      <c r="U242" s="29" cm="1">
        <f t="array" ref="U242">IF(表成绩单[[#This Row],[政治]]="","",SUMPRODUCT((表成绩单[考试日期]=表成绩单[[#This Row],[考试日期]])*(表成绩单[政治]&lt;9E+307)*(表成绩单[政治]&gt;表成绩单[[#This Row],[政治]]))+1)</f>
        <v>121</v>
      </c>
      <c r="V242" s="29" cm="1">
        <f t="array" ref="V242">IF(表成绩单[[#This Row],[历史]]="","",SUMPRODUCT((表成绩单[考试日期]=表成绩单[[#This Row],[考试日期]])*(表成绩单[历史]&lt;9E+307)*(表成绩单[历史]&gt;表成绩单[[#This Row],[历史]]))+1)</f>
        <v>35</v>
      </c>
      <c r="W242" s="29" cm="1">
        <f t="array" ref="W242">IF(表成绩单[[#This Row],[总分]]="","",SUMPRODUCT((表成绩单[考试日期]=表成绩单[[#This Row],[考试日期]])*(表成绩单[总分]&lt;9E+307)*(表成绩单[总分]&gt;表成绩单[[#This Row],[总分]]))+1)</f>
        <v>237</v>
      </c>
    </row>
    <row r="243" ht="28" customHeight="1" spans="4:23">
      <c r="D243" s="31">
        <v>45975</v>
      </c>
      <c r="E243" s="29">
        <v>19174735</v>
      </c>
      <c r="F243" s="29" t="s">
        <v>64</v>
      </c>
      <c r="G243" s="29" t="s">
        <v>316</v>
      </c>
      <c r="H243" s="29">
        <v>103</v>
      </c>
      <c r="I243" s="29">
        <v>95</v>
      </c>
      <c r="J243" s="29">
        <v>78</v>
      </c>
      <c r="K243" s="29">
        <v>80</v>
      </c>
      <c r="L243" s="29">
        <v>74</v>
      </c>
      <c r="M243" s="29">
        <v>87</v>
      </c>
      <c r="N243" s="29">
        <v>83</v>
      </c>
      <c r="O243" s="32">
        <v>600</v>
      </c>
      <c r="P243" s="29" cm="1">
        <f t="array" ref="P243">IF(表成绩单[[#This Row],[语文]]="","",SUMPRODUCT((表成绩单[考试日期]=表成绩单[[#This Row],[考试日期]])*(表成绩单[语文]&lt;9E+307)*(表成绩单[语文]&gt;表成绩单[[#This Row],[语文]]))+1)</f>
        <v>126</v>
      </c>
      <c r="Q243" s="29" cm="1">
        <f t="array" ref="Q243">IF(表成绩单[[#This Row],[数学]]="","",SUMPRODUCT((表成绩单[考试日期]=表成绩单[[#This Row],[考试日期]])*(表成绩单[数学]&lt;9E+307)*(表成绩单[数学]&gt;表成绩单[[#This Row],[数学]]))+1)</f>
        <v>430</v>
      </c>
      <c r="R243" s="29" cm="1">
        <f t="array" ref="R243">IF(表成绩单[[#This Row],[英语]]="","",SUMPRODUCT((表成绩单[考试日期]=表成绩单[[#This Row],[考试日期]])*(表成绩单[英语]&lt;9E+307)*(表成绩单[英语]&gt;表成绩单[[#This Row],[英语]]))+1)</f>
        <v>330</v>
      </c>
      <c r="S243" s="29" cm="1">
        <f t="array" ref="S243">IF(表成绩单[[#This Row],[物理]]="","",SUMPRODUCT((表成绩单[考试日期]=表成绩单[[#This Row],[考试日期]])*(表成绩单[物理]&lt;9E+307)*(表成绩单[物理]&gt;表成绩单[[#This Row],[物理]]))+1)</f>
        <v>507</v>
      </c>
      <c r="T243" s="29" cm="1">
        <f t="array" ref="T243">IF(表成绩单[[#This Row],[化学]]="","",SUMPRODUCT((表成绩单[考试日期]=表成绩单[[#This Row],[考试日期]])*(表成绩单[化学]&lt;9E+307)*(表成绩单[化学]&gt;表成绩单[[#This Row],[化学]]))+1)</f>
        <v>337</v>
      </c>
      <c r="U243" s="29" cm="1">
        <f t="array" ref="U243">IF(表成绩单[[#This Row],[政治]]="","",SUMPRODUCT((表成绩单[考试日期]=表成绩单[[#This Row],[考试日期]])*(表成绩单[政治]&lt;9E+307)*(表成绩单[政治]&gt;表成绩单[[#This Row],[政治]]))+1)</f>
        <v>13</v>
      </c>
      <c r="V243" s="29" cm="1">
        <f t="array" ref="V243">IF(表成绩单[[#This Row],[历史]]="","",SUMPRODUCT((表成绩单[考试日期]=表成绩单[[#This Row],[考试日期]])*(表成绩单[历史]&lt;9E+307)*(表成绩单[历史]&gt;表成绩单[[#This Row],[历史]]))+1)</f>
        <v>18</v>
      </c>
      <c r="W243" s="29" cm="1">
        <f t="array" ref="W243">IF(表成绩单[[#This Row],[总分]]="","",SUMPRODUCT((表成绩单[考试日期]=表成绩单[[#This Row],[考试日期]])*(表成绩单[总分]&lt;9E+307)*(表成绩单[总分]&gt;表成绩单[[#This Row],[总分]]))+1)</f>
        <v>239</v>
      </c>
    </row>
    <row r="244" ht="28" customHeight="1" spans="4:23">
      <c r="D244" s="31">
        <v>45975</v>
      </c>
      <c r="E244" s="29">
        <v>19175399</v>
      </c>
      <c r="F244" s="29" t="s">
        <v>74</v>
      </c>
      <c r="G244" s="29" t="s">
        <v>317</v>
      </c>
      <c r="H244" s="29">
        <v>104</v>
      </c>
      <c r="I244" s="29">
        <v>101</v>
      </c>
      <c r="J244" s="29">
        <v>85</v>
      </c>
      <c r="K244" s="29">
        <v>87</v>
      </c>
      <c r="L244" s="29">
        <v>66</v>
      </c>
      <c r="M244" s="29">
        <v>84</v>
      </c>
      <c r="N244" s="29">
        <v>73</v>
      </c>
      <c r="O244" s="32">
        <v>600</v>
      </c>
      <c r="P244" s="29" cm="1">
        <f t="array" ref="P244">IF(表成绩单[[#This Row],[语文]]="","",SUMPRODUCT((表成绩单[考试日期]=表成绩单[[#This Row],[考试日期]])*(表成绩单[语文]&lt;9E+307)*(表成绩单[语文]&gt;表成绩单[[#This Row],[语文]]))+1)</f>
        <v>104</v>
      </c>
      <c r="Q244" s="29" cm="1">
        <f t="array" ref="Q244">IF(表成绩单[[#This Row],[数学]]="","",SUMPRODUCT((表成绩单[考试日期]=表成绩单[[#This Row],[考试日期]])*(表成绩单[数学]&lt;9E+307)*(表成绩单[数学]&gt;表成绩单[[#This Row],[数学]]))+1)</f>
        <v>319</v>
      </c>
      <c r="R244" s="29" cm="1">
        <f t="array" ref="R244">IF(表成绩单[[#This Row],[英语]]="","",SUMPRODUCT((表成绩单[考试日期]=表成绩单[[#This Row],[考试日期]])*(表成绩单[英语]&lt;9E+307)*(表成绩单[英语]&gt;表成绩单[[#This Row],[英语]]))+1)</f>
        <v>69</v>
      </c>
      <c r="S244" s="29" cm="1">
        <f t="array" ref="S244">IF(表成绩单[[#This Row],[物理]]="","",SUMPRODUCT((表成绩单[考试日期]=表成绩单[[#This Row],[考试日期]])*(表成绩单[物理]&lt;9E+307)*(表成绩单[物理]&gt;表成绩单[[#This Row],[物理]]))+1)</f>
        <v>127</v>
      </c>
      <c r="T244" s="29" cm="1">
        <f t="array" ref="T244">IF(表成绩单[[#This Row],[化学]]="","",SUMPRODUCT((表成绩单[考试日期]=表成绩单[[#This Row],[考试日期]])*(表成绩单[化学]&lt;9E+307)*(表成绩单[化学]&gt;表成绩单[[#This Row],[化学]]))+1)</f>
        <v>542</v>
      </c>
      <c r="U244" s="29" cm="1">
        <f t="array" ref="U244">IF(表成绩单[[#This Row],[政治]]="","",SUMPRODUCT((表成绩单[考试日期]=表成绩单[[#This Row],[考试日期]])*(表成绩单[政治]&lt;9E+307)*(表成绩单[政治]&gt;表成绩单[[#This Row],[政治]]))+1)</f>
        <v>83</v>
      </c>
      <c r="V244" s="29" cm="1">
        <f t="array" ref="V244">IF(表成绩单[[#This Row],[历史]]="","",SUMPRODUCT((表成绩单[考试日期]=表成绩单[[#This Row],[考试日期]])*(表成绩单[历史]&lt;9E+307)*(表成绩单[历史]&gt;表成绩单[[#This Row],[历史]]))+1)</f>
        <v>395</v>
      </c>
      <c r="W244" s="29" cm="1">
        <f t="array" ref="W244">IF(表成绩单[[#This Row],[总分]]="","",SUMPRODUCT((表成绩单[考试日期]=表成绩单[[#This Row],[考试日期]])*(表成绩单[总分]&lt;9E+307)*(表成绩单[总分]&gt;表成绩单[[#This Row],[总分]]))+1)</f>
        <v>239</v>
      </c>
    </row>
    <row r="245" ht="28" customHeight="1" spans="4:23">
      <c r="D245" s="31">
        <v>45975</v>
      </c>
      <c r="E245" s="29">
        <v>19178606</v>
      </c>
      <c r="F245" s="29" t="s">
        <v>64</v>
      </c>
      <c r="G245" s="29" t="s">
        <v>318</v>
      </c>
      <c r="H245" s="29">
        <v>95</v>
      </c>
      <c r="I245" s="29">
        <v>105</v>
      </c>
      <c r="J245" s="29">
        <v>75</v>
      </c>
      <c r="K245" s="29">
        <v>88</v>
      </c>
      <c r="L245" s="29">
        <v>84</v>
      </c>
      <c r="M245" s="29">
        <v>77</v>
      </c>
      <c r="N245" s="29">
        <v>76</v>
      </c>
      <c r="O245" s="32">
        <v>600</v>
      </c>
      <c r="P245" s="29" cm="1">
        <f t="array" ref="P245">IF(表成绩单[[#This Row],[语文]]="","",SUMPRODUCT((表成绩单[考试日期]=表成绩单[[#This Row],[考试日期]])*(表成绩单[语文]&lt;9E+307)*(表成绩单[语文]&gt;表成绩单[[#This Row],[语文]]))+1)</f>
        <v>420</v>
      </c>
      <c r="Q245" s="29" cm="1">
        <f t="array" ref="Q245">IF(表成绩单[[#This Row],[数学]]="","",SUMPRODUCT((表成绩单[考试日期]=表成绩单[[#This Row],[考试日期]])*(表成绩单[数学]&lt;9E+307)*(表成绩单[数学]&gt;表成绩单[[#This Row],[数学]]))+1)</f>
        <v>245</v>
      </c>
      <c r="R245" s="29" cm="1">
        <f t="array" ref="R245">IF(表成绩单[[#This Row],[英语]]="","",SUMPRODUCT((表成绩单[考试日期]=表成绩单[[#This Row],[考试日期]])*(表成绩单[英语]&lt;9E+307)*(表成绩单[英语]&gt;表成绩单[[#This Row],[英语]]))+1)</f>
        <v>430</v>
      </c>
      <c r="S245" s="29" cm="1">
        <f t="array" ref="S245">IF(表成绩单[[#This Row],[物理]]="","",SUMPRODUCT((表成绩单[考试日期]=表成绩单[[#This Row],[考试日期]])*(表成绩单[物理]&lt;9E+307)*(表成绩单[物理]&gt;表成绩单[[#This Row],[物理]]))+1)</f>
        <v>54</v>
      </c>
      <c r="T245" s="29" cm="1">
        <f t="array" ref="T245">IF(表成绩单[[#This Row],[化学]]="","",SUMPRODUCT((表成绩单[考试日期]=表成绩单[[#This Row],[考试日期]])*(表成绩单[化学]&lt;9E+307)*(表成绩单[化学]&gt;表成绩单[[#This Row],[化学]]))+1)</f>
        <v>33</v>
      </c>
      <c r="U245" s="29" cm="1">
        <f t="array" ref="U245">IF(表成绩单[[#This Row],[政治]]="","",SUMPRODUCT((表成绩单[考试日期]=表成绩单[[#This Row],[考试日期]])*(表成绩单[政治]&lt;9E+307)*(表成绩单[政治]&gt;表成绩单[[#This Row],[政治]]))+1)</f>
        <v>304</v>
      </c>
      <c r="V245" s="29" cm="1">
        <f t="array" ref="V245">IF(表成绩单[[#This Row],[历史]]="","",SUMPRODUCT((表成绩单[考试日期]=表成绩单[[#This Row],[考试日期]])*(表成绩单[历史]&lt;9E+307)*(表成绩单[历史]&gt;表成绩单[[#This Row],[历史]]))+1)</f>
        <v>278</v>
      </c>
      <c r="W245" s="29" cm="1">
        <f t="array" ref="W245">IF(表成绩单[[#This Row],[总分]]="","",SUMPRODUCT((表成绩单[考试日期]=表成绩单[[#This Row],[考试日期]])*(表成绩单[总分]&lt;9E+307)*(表成绩单[总分]&gt;表成绩单[[#This Row],[总分]]))+1)</f>
        <v>239</v>
      </c>
    </row>
    <row r="246" ht="28" customHeight="1" spans="4:23">
      <c r="D246" s="31">
        <v>45975</v>
      </c>
      <c r="E246" s="29">
        <v>19174434</v>
      </c>
      <c r="F246" s="29" t="s">
        <v>73</v>
      </c>
      <c r="G246" s="29" t="s">
        <v>319</v>
      </c>
      <c r="H246" s="29">
        <v>101</v>
      </c>
      <c r="I246" s="29">
        <v>95</v>
      </c>
      <c r="J246" s="29">
        <v>80.5</v>
      </c>
      <c r="K246" s="29">
        <v>88</v>
      </c>
      <c r="L246" s="29">
        <v>73</v>
      </c>
      <c r="M246" s="29">
        <v>77</v>
      </c>
      <c r="N246" s="29">
        <v>85</v>
      </c>
      <c r="O246" s="32">
        <v>599.5</v>
      </c>
      <c r="P246" s="29" cm="1">
        <f t="array" ref="P246">IF(表成绩单[[#This Row],[语文]]="","",SUMPRODUCT((表成绩单[考试日期]=表成绩单[[#This Row],[考试日期]])*(表成绩单[语文]&lt;9E+307)*(表成绩单[语文]&gt;表成绩单[[#This Row],[语文]]))+1)</f>
        <v>190</v>
      </c>
      <c r="Q246" s="29" cm="1">
        <f t="array" ref="Q246">IF(表成绩单[[#This Row],[数学]]="","",SUMPRODUCT((表成绩单[考试日期]=表成绩单[[#This Row],[考试日期]])*(表成绩单[数学]&lt;9E+307)*(表成绩单[数学]&gt;表成绩单[[#This Row],[数学]]))+1)</f>
        <v>430</v>
      </c>
      <c r="R246" s="29" cm="1">
        <f t="array" ref="R246">IF(表成绩单[[#This Row],[英语]]="","",SUMPRODUCT((表成绩单[考试日期]=表成绩单[[#This Row],[考试日期]])*(表成绩单[英语]&lt;9E+307)*(表成绩单[英语]&gt;表成绩单[[#This Row],[英语]]))+1)</f>
        <v>255</v>
      </c>
      <c r="S246" s="29" cm="1">
        <f t="array" ref="S246">IF(表成绩单[[#This Row],[物理]]="","",SUMPRODUCT((表成绩单[考试日期]=表成绩单[[#This Row],[考试日期]])*(表成绩单[物理]&lt;9E+307)*(表成绩单[物理]&gt;表成绩单[[#This Row],[物理]]))+1)</f>
        <v>54</v>
      </c>
      <c r="T246" s="29" cm="1">
        <f t="array" ref="T246">IF(表成绩单[[#This Row],[化学]]="","",SUMPRODUCT((表成绩单[考试日期]=表成绩单[[#This Row],[考试日期]])*(表成绩单[化学]&lt;9E+307)*(表成绩单[化学]&gt;表成绩单[[#This Row],[化学]]))+1)</f>
        <v>365</v>
      </c>
      <c r="U246" s="29" cm="1">
        <f t="array" ref="U246">IF(表成绩单[[#This Row],[政治]]="","",SUMPRODUCT((表成绩单[考试日期]=表成绩单[[#This Row],[考试日期]])*(表成绩单[政治]&lt;9E+307)*(表成绩单[政治]&gt;表成绩单[[#This Row],[政治]]))+1)</f>
        <v>304</v>
      </c>
      <c r="V246" s="29" cm="1">
        <f t="array" ref="V246">IF(表成绩单[[#This Row],[历史]]="","",SUMPRODUCT((表成绩单[考试日期]=表成绩单[[#This Row],[考试日期]])*(表成绩单[历史]&lt;9E+307)*(表成绩单[历史]&gt;表成绩单[[#This Row],[历史]]))+1)</f>
        <v>3</v>
      </c>
      <c r="W246" s="29" cm="1">
        <f t="array" ref="W246">IF(表成绩单[[#This Row],[总分]]="","",SUMPRODUCT((表成绩单[考试日期]=表成绩单[[#This Row],[考试日期]])*(表成绩单[总分]&lt;9E+307)*(表成绩单[总分]&gt;表成绩单[[#This Row],[总分]]))+1)</f>
        <v>242</v>
      </c>
    </row>
    <row r="247" ht="28" customHeight="1" spans="4:23">
      <c r="D247" s="31">
        <v>45975</v>
      </c>
      <c r="E247" s="29">
        <v>19177207</v>
      </c>
      <c r="F247" s="29" t="s">
        <v>70</v>
      </c>
      <c r="G247" s="29" t="s">
        <v>320</v>
      </c>
      <c r="H247" s="29">
        <v>99</v>
      </c>
      <c r="I247" s="29">
        <v>103</v>
      </c>
      <c r="J247" s="29">
        <v>76.5</v>
      </c>
      <c r="K247" s="29">
        <v>87</v>
      </c>
      <c r="L247" s="29">
        <v>81</v>
      </c>
      <c r="M247" s="29">
        <v>79</v>
      </c>
      <c r="N247" s="29">
        <v>74</v>
      </c>
      <c r="O247" s="32">
        <v>599.5</v>
      </c>
      <c r="P247" s="29" cm="1">
        <f t="array" ref="P247">IF(表成绩单[[#This Row],[语文]]="","",SUMPRODUCT((表成绩单[考试日期]=表成绩单[[#This Row],[考试日期]])*(表成绩单[语文]&lt;9E+307)*(表成绩单[语文]&gt;表成绩单[[#This Row],[语文]]))+1)</f>
        <v>264</v>
      </c>
      <c r="Q247" s="29" cm="1">
        <f t="array" ref="Q247">IF(表成绩单[[#This Row],[数学]]="","",SUMPRODUCT((表成绩单[考试日期]=表成绩单[[#This Row],[考试日期]])*(表成绩单[数学]&lt;9E+307)*(表成绩单[数学]&gt;表成绩单[[#This Row],[数学]]))+1)</f>
        <v>277</v>
      </c>
      <c r="R247" s="29" cm="1">
        <f t="array" ref="R247">IF(表成绩单[[#This Row],[英语]]="","",SUMPRODUCT((表成绩单[考试日期]=表成绩单[[#This Row],[考试日期]])*(表成绩单[英语]&lt;9E+307)*(表成绩单[英语]&gt;表成绩单[[#This Row],[英语]]))+1)</f>
        <v>382</v>
      </c>
      <c r="S247" s="29" cm="1">
        <f t="array" ref="S247">IF(表成绩单[[#This Row],[物理]]="","",SUMPRODUCT((表成绩单[考试日期]=表成绩单[[#This Row],[考试日期]])*(表成绩单[物理]&lt;9E+307)*(表成绩单[物理]&gt;表成绩单[[#This Row],[物理]]))+1)</f>
        <v>127</v>
      </c>
      <c r="T247" s="29" cm="1">
        <f t="array" ref="T247">IF(表成绩单[[#This Row],[化学]]="","",SUMPRODUCT((表成绩单[考试日期]=表成绩单[[#This Row],[考试日期]])*(表成绩单[化学]&lt;9E+307)*(表成绩单[化学]&gt;表成绩单[[#This Row],[化学]]))+1)</f>
        <v>100</v>
      </c>
      <c r="U247" s="29" cm="1">
        <f t="array" ref="U247">IF(表成绩单[[#This Row],[政治]]="","",SUMPRODUCT((表成绩单[考试日期]=表成绩单[[#This Row],[考试日期]])*(表成绩单[政治]&lt;9E+307)*(表成绩单[政治]&gt;表成绩单[[#This Row],[政治]]))+1)</f>
        <v>246</v>
      </c>
      <c r="V247" s="29" cm="1">
        <f t="array" ref="V247">IF(表成绩单[[#This Row],[历史]]="","",SUMPRODUCT((表成绩单[考试日期]=表成绩单[[#This Row],[考试日期]])*(表成绩单[历史]&lt;9E+307)*(表成绩单[历史]&gt;表成绩单[[#This Row],[历史]]))+1)</f>
        <v>358</v>
      </c>
      <c r="W247" s="29" cm="1">
        <f t="array" ref="W247">IF(表成绩单[[#This Row],[总分]]="","",SUMPRODUCT((表成绩单[考试日期]=表成绩单[[#This Row],[考试日期]])*(表成绩单[总分]&lt;9E+307)*(表成绩单[总分]&gt;表成绩单[[#This Row],[总分]]))+1)</f>
        <v>242</v>
      </c>
    </row>
    <row r="248" ht="28" customHeight="1" spans="4:23">
      <c r="D248" s="31">
        <v>45975</v>
      </c>
      <c r="E248" s="29">
        <v>19177653</v>
      </c>
      <c r="F248" s="29" t="s">
        <v>63</v>
      </c>
      <c r="G248" s="29" t="s">
        <v>321</v>
      </c>
      <c r="H248" s="29">
        <v>108</v>
      </c>
      <c r="I248" s="29">
        <v>96</v>
      </c>
      <c r="J248" s="29">
        <v>82.5</v>
      </c>
      <c r="K248" s="29">
        <v>88</v>
      </c>
      <c r="L248" s="29">
        <v>78</v>
      </c>
      <c r="M248" s="29">
        <v>69</v>
      </c>
      <c r="N248" s="29">
        <v>78</v>
      </c>
      <c r="O248" s="32">
        <v>599.5</v>
      </c>
      <c r="P248" s="29" cm="1">
        <f t="array" ref="P248">IF(表成绩单[[#This Row],[语文]]="","",SUMPRODUCT((表成绩单[考试日期]=表成绩单[[#This Row],[考试日期]])*(表成绩单[语文]&lt;9E+307)*(表成绩单[语文]&gt;表成绩单[[#This Row],[语文]]))+1)</f>
        <v>27</v>
      </c>
      <c r="Q248" s="29" cm="1">
        <f t="array" ref="Q248">IF(表成绩单[[#This Row],[数学]]="","",SUMPRODUCT((表成绩单[考试日期]=表成绩单[[#This Row],[考试日期]])*(表成绩单[数学]&lt;9E+307)*(表成绩单[数学]&gt;表成绩单[[#This Row],[数学]]))+1)</f>
        <v>413</v>
      </c>
      <c r="R248" s="29" cm="1">
        <f t="array" ref="R248">IF(表成绩单[[#This Row],[英语]]="","",SUMPRODUCT((表成绩单[考试日期]=表成绩单[[#This Row],[考试日期]])*(表成绩单[英语]&lt;9E+307)*(表成绩单[英语]&gt;表成绩单[[#This Row],[英语]]))+1)</f>
        <v>170</v>
      </c>
      <c r="S248" s="29" cm="1">
        <f t="array" ref="S248">IF(表成绩单[[#This Row],[物理]]="","",SUMPRODUCT((表成绩单[考试日期]=表成绩单[[#This Row],[考试日期]])*(表成绩单[物理]&lt;9E+307)*(表成绩单[物理]&gt;表成绩单[[#This Row],[物理]]))+1)</f>
        <v>54</v>
      </c>
      <c r="T248" s="29" cm="1">
        <f t="array" ref="T248">IF(表成绩单[[#This Row],[化学]]="","",SUMPRODUCT((表成绩单[考试日期]=表成绩单[[#This Row],[考试日期]])*(表成绩单[化学]&lt;9E+307)*(表成绩单[化学]&gt;表成绩单[[#This Row],[化学]]))+1)</f>
        <v>200</v>
      </c>
      <c r="U248" s="29" cm="1">
        <f t="array" ref="U248">IF(表成绩单[[#This Row],[政治]]="","",SUMPRODUCT((表成绩单[考试日期]=表成绩单[[#This Row],[考试日期]])*(表成绩单[政治]&lt;9E+307)*(表成绩单[政治]&gt;表成绩单[[#This Row],[政治]]))+1)</f>
        <v>507</v>
      </c>
      <c r="V248" s="29" cm="1">
        <f t="array" ref="V248">IF(表成绩单[[#This Row],[历史]]="","",SUMPRODUCT((表成绩单[考试日期]=表成绩单[[#This Row],[考试日期]])*(表成绩单[历史]&lt;9E+307)*(表成绩单[历史]&gt;表成绩单[[#This Row],[历史]]))+1)</f>
        <v>189</v>
      </c>
      <c r="W248" s="29" cm="1">
        <f t="array" ref="W248">IF(表成绩单[[#This Row],[总分]]="","",SUMPRODUCT((表成绩单[考试日期]=表成绩单[[#This Row],[考试日期]])*(表成绩单[总分]&lt;9E+307)*(表成绩单[总分]&gt;表成绩单[[#This Row],[总分]]))+1)</f>
        <v>242</v>
      </c>
    </row>
    <row r="249" ht="28" customHeight="1" spans="4:23">
      <c r="D249" s="31">
        <v>45975</v>
      </c>
      <c r="E249" s="29">
        <v>19178634</v>
      </c>
      <c r="F249" s="29" t="s">
        <v>25</v>
      </c>
      <c r="G249" s="29" t="s">
        <v>322</v>
      </c>
      <c r="H249" s="29">
        <v>108</v>
      </c>
      <c r="I249" s="29">
        <v>101</v>
      </c>
      <c r="J249" s="29">
        <v>85.5</v>
      </c>
      <c r="K249" s="29">
        <v>78</v>
      </c>
      <c r="L249" s="29">
        <v>74</v>
      </c>
      <c r="M249" s="29">
        <v>85</v>
      </c>
      <c r="N249" s="29">
        <v>68</v>
      </c>
      <c r="O249" s="32">
        <v>599.5</v>
      </c>
      <c r="P249" s="29" cm="1">
        <f t="array" ref="P249">IF(表成绩单[[#This Row],[语文]]="","",SUMPRODUCT((表成绩单[考试日期]=表成绩单[[#This Row],[考试日期]])*(表成绩单[语文]&lt;9E+307)*(表成绩单[语文]&gt;表成绩单[[#This Row],[语文]]))+1)</f>
        <v>27</v>
      </c>
      <c r="Q249" s="29" cm="1">
        <f t="array" ref="Q249">IF(表成绩单[[#This Row],[数学]]="","",SUMPRODUCT((表成绩单[考试日期]=表成绩单[[#This Row],[考试日期]])*(表成绩单[数学]&lt;9E+307)*(表成绩单[数学]&gt;表成绩单[[#This Row],[数学]]))+1)</f>
        <v>319</v>
      </c>
      <c r="R249" s="29" cm="1">
        <f t="array" ref="R249">IF(表成绩单[[#This Row],[英语]]="","",SUMPRODUCT((表成绩单[考试日期]=表成绩单[[#This Row],[考试日期]])*(表成绩单[英语]&lt;9E+307)*(表成绩单[英语]&gt;表成绩单[[#This Row],[英语]]))+1)</f>
        <v>54</v>
      </c>
      <c r="S249" s="29" cm="1">
        <f t="array" ref="S249">IF(表成绩单[[#This Row],[物理]]="","",SUMPRODUCT((表成绩单[考试日期]=表成绩单[[#This Row],[考试日期]])*(表成绩单[物理]&lt;9E+307)*(表成绩单[物理]&gt;表成绩单[[#This Row],[物理]]))+1)</f>
        <v>554</v>
      </c>
      <c r="T249" s="29" cm="1">
        <f t="array" ref="T249">IF(表成绩单[[#This Row],[化学]]="","",SUMPRODUCT((表成绩单[考试日期]=表成绩单[[#This Row],[考试日期]])*(表成绩单[化学]&lt;9E+307)*(表成绩单[化学]&gt;表成绩单[[#This Row],[化学]]))+1)</f>
        <v>337</v>
      </c>
      <c r="U249" s="29" cm="1">
        <f t="array" ref="U249">IF(表成绩单[[#This Row],[政治]]="","",SUMPRODUCT((表成绩单[考试日期]=表成绩单[[#This Row],[考试日期]])*(表成绩单[政治]&lt;9E+307)*(表成绩单[政治]&gt;表成绩单[[#This Row],[政治]]))+1)</f>
        <v>45</v>
      </c>
      <c r="V249" s="29" cm="1">
        <f t="array" ref="V249">IF(表成绩单[[#This Row],[历史]]="","",SUMPRODUCT((表成绩单[考试日期]=表成绩单[[#This Row],[考试日期]])*(表成绩单[历史]&lt;9E+307)*(表成绩单[历史]&gt;表成绩单[[#This Row],[历史]]))+1)</f>
        <v>571</v>
      </c>
      <c r="W249" s="29" cm="1">
        <f t="array" ref="W249">IF(表成绩单[[#This Row],[总分]]="","",SUMPRODUCT((表成绩单[考试日期]=表成绩单[[#This Row],[考试日期]])*(表成绩单[总分]&lt;9E+307)*(表成绩单[总分]&gt;表成绩单[[#This Row],[总分]]))+1)</f>
        <v>242</v>
      </c>
    </row>
    <row r="250" ht="28" customHeight="1" spans="4:23">
      <c r="D250" s="31">
        <v>45975</v>
      </c>
      <c r="E250" s="29">
        <v>19178645</v>
      </c>
      <c r="F250" s="29" t="s">
        <v>25</v>
      </c>
      <c r="G250" s="29" t="s">
        <v>323</v>
      </c>
      <c r="H250" s="29">
        <v>108</v>
      </c>
      <c r="I250" s="29">
        <v>97</v>
      </c>
      <c r="J250" s="29">
        <v>82.5</v>
      </c>
      <c r="K250" s="29">
        <v>77</v>
      </c>
      <c r="L250" s="29">
        <v>72</v>
      </c>
      <c r="M250" s="29">
        <v>88</v>
      </c>
      <c r="N250" s="29">
        <v>75</v>
      </c>
      <c r="O250" s="32">
        <v>599.5</v>
      </c>
      <c r="P250" s="29" cm="1">
        <f t="array" ref="P250">IF(表成绩单[[#This Row],[语文]]="","",SUMPRODUCT((表成绩单[考试日期]=表成绩单[[#This Row],[考试日期]])*(表成绩单[语文]&lt;9E+307)*(表成绩单[语文]&gt;表成绩单[[#This Row],[语文]]))+1)</f>
        <v>27</v>
      </c>
      <c r="Q250" s="29" cm="1">
        <f t="array" ref="Q250">IF(表成绩单[[#This Row],[数学]]="","",SUMPRODUCT((表成绩单[考试日期]=表成绩单[[#This Row],[考试日期]])*(表成绩单[数学]&lt;9E+307)*(表成绩单[数学]&gt;表成绩单[[#This Row],[数学]]))+1)</f>
        <v>389</v>
      </c>
      <c r="R250" s="29" cm="1">
        <f t="array" ref="R250">IF(表成绩单[[#This Row],[英语]]="","",SUMPRODUCT((表成绩单[考试日期]=表成绩单[[#This Row],[考试日期]])*(表成绩单[英语]&lt;9E+307)*(表成绩单[英语]&gt;表成绩单[[#This Row],[英语]]))+1)</f>
        <v>170</v>
      </c>
      <c r="S250" s="29" cm="1">
        <f t="array" ref="S250">IF(表成绩单[[#This Row],[物理]]="","",SUMPRODUCT((表成绩单[考试日期]=表成绩单[[#This Row],[考试日期]])*(表成绩单[物理]&lt;9E+307)*(表成绩单[物理]&gt;表成绩单[[#This Row],[物理]]))+1)</f>
        <v>572</v>
      </c>
      <c r="T250" s="29" cm="1">
        <f t="array" ref="T250">IF(表成绩单[[#This Row],[化学]]="","",SUMPRODUCT((表成绩单[考试日期]=表成绩单[[#This Row],[考试日期]])*(表成绩单[化学]&lt;9E+307)*(表成绩单[化学]&gt;表成绩单[[#This Row],[化学]]))+1)</f>
        <v>405</v>
      </c>
      <c r="U250" s="29" cm="1">
        <f t="array" ref="U250">IF(表成绩单[[#This Row],[政治]]="","",SUMPRODUCT((表成绩单[考试日期]=表成绩单[[#This Row],[考试日期]])*(表成绩单[政治]&lt;9E+307)*(表成绩单[政治]&gt;表成绩单[[#This Row],[政治]]))+1)</f>
        <v>4</v>
      </c>
      <c r="V250" s="29" cm="1">
        <f t="array" ref="V250">IF(表成绩单[[#This Row],[历史]]="","",SUMPRODUCT((表成绩单[考试日期]=表成绩单[[#This Row],[考试日期]])*(表成绩单[历史]&lt;9E+307)*(表成绩单[历史]&gt;表成绩单[[#This Row],[历史]]))+1)</f>
        <v>315</v>
      </c>
      <c r="W250" s="29" cm="1">
        <f t="array" ref="W250">IF(表成绩单[[#This Row],[总分]]="","",SUMPRODUCT((表成绩单[考试日期]=表成绩单[[#This Row],[考试日期]])*(表成绩单[总分]&lt;9E+307)*(表成绩单[总分]&gt;表成绩单[[#This Row],[总分]]))+1)</f>
        <v>242</v>
      </c>
    </row>
    <row r="251" ht="28" customHeight="1" spans="4:23">
      <c r="D251" s="31">
        <v>45975</v>
      </c>
      <c r="E251" s="29">
        <v>19173804</v>
      </c>
      <c r="F251" s="29" t="s">
        <v>65</v>
      </c>
      <c r="G251" s="29" t="s">
        <v>324</v>
      </c>
      <c r="H251" s="29">
        <v>101</v>
      </c>
      <c r="I251" s="29">
        <v>100</v>
      </c>
      <c r="J251" s="29">
        <v>76</v>
      </c>
      <c r="K251" s="29">
        <v>86</v>
      </c>
      <c r="L251" s="29">
        <v>80</v>
      </c>
      <c r="M251" s="29">
        <v>77</v>
      </c>
      <c r="N251" s="29">
        <v>79</v>
      </c>
      <c r="O251" s="32">
        <v>599</v>
      </c>
      <c r="P251" s="29" cm="1">
        <f t="array" ref="P251">IF(表成绩单[[#This Row],[语文]]="","",SUMPRODUCT((表成绩单[考试日期]=表成绩单[[#This Row],[考试日期]])*(表成绩单[语文]&lt;9E+307)*(表成绩单[语文]&gt;表成绩单[[#This Row],[语文]]))+1)</f>
        <v>190</v>
      </c>
      <c r="Q251" s="29" cm="1">
        <f t="array" ref="Q251">IF(表成绩单[[#This Row],[数学]]="","",SUMPRODUCT((表成绩单[考试日期]=表成绩单[[#This Row],[考试日期]])*(表成绩单[数学]&lt;9E+307)*(表成绩单[数学]&gt;表成绩单[[#This Row],[数学]]))+1)</f>
        <v>340</v>
      </c>
      <c r="R251" s="29" cm="1">
        <f t="array" ref="R251">IF(表成绩单[[#This Row],[英语]]="","",SUMPRODUCT((表成绩单[考试日期]=表成绩单[[#This Row],[考试日期]])*(表成绩单[英语]&lt;9E+307)*(表成绩单[英语]&gt;表成绩单[[#This Row],[英语]]))+1)</f>
        <v>399</v>
      </c>
      <c r="S251" s="29" cm="1">
        <f t="array" ref="S251">IF(表成绩单[[#This Row],[物理]]="","",SUMPRODUCT((表成绩单[考试日期]=表成绩单[[#This Row],[考试日期]])*(表成绩单[物理]&lt;9E+307)*(表成绩单[物理]&gt;表成绩单[[#This Row],[物理]]))+1)</f>
        <v>187</v>
      </c>
      <c r="T251" s="29" cm="1">
        <f t="array" ref="T251">IF(表成绩单[[#This Row],[化学]]="","",SUMPRODUCT((表成绩单[考试日期]=表成绩单[[#This Row],[考试日期]])*(表成绩单[化学]&lt;9E+307)*(表成绩单[化学]&gt;表成绩单[[#This Row],[化学]]))+1)</f>
        <v>129</v>
      </c>
      <c r="U251" s="29" cm="1">
        <f t="array" ref="U251">IF(表成绩单[[#This Row],[政治]]="","",SUMPRODUCT((表成绩单[考试日期]=表成绩单[[#This Row],[考试日期]])*(表成绩单[政治]&lt;9E+307)*(表成绩单[政治]&gt;表成绩单[[#This Row],[政治]]))+1)</f>
        <v>304</v>
      </c>
      <c r="V251" s="29" cm="1">
        <f t="array" ref="V251">IF(表成绩单[[#This Row],[历史]]="","",SUMPRODUCT((表成绩单[考试日期]=表成绩单[[#This Row],[考试日期]])*(表成绩单[历史]&lt;9E+307)*(表成绩单[历史]&gt;表成绩单[[#This Row],[历史]]))+1)</f>
        <v>144</v>
      </c>
      <c r="W251" s="29" cm="1">
        <f t="array" ref="W251">IF(表成绩单[[#This Row],[总分]]="","",SUMPRODUCT((表成绩单[考试日期]=表成绩单[[#This Row],[考试日期]])*(表成绩单[总分]&lt;9E+307)*(表成绩单[总分]&gt;表成绩单[[#This Row],[总分]]))+1)</f>
        <v>247</v>
      </c>
    </row>
    <row r="252" ht="28" customHeight="1" spans="4:23">
      <c r="D252" s="31">
        <v>45975</v>
      </c>
      <c r="E252" s="29">
        <v>19174449</v>
      </c>
      <c r="F252" s="29" t="s">
        <v>73</v>
      </c>
      <c r="G252" s="29" t="s">
        <v>325</v>
      </c>
      <c r="H252" s="29">
        <v>105</v>
      </c>
      <c r="I252" s="29">
        <v>111</v>
      </c>
      <c r="J252" s="29">
        <v>82</v>
      </c>
      <c r="K252" s="29">
        <v>82</v>
      </c>
      <c r="L252" s="29">
        <v>72</v>
      </c>
      <c r="M252" s="29">
        <v>75</v>
      </c>
      <c r="N252" s="29">
        <v>72</v>
      </c>
      <c r="O252" s="32">
        <v>599</v>
      </c>
      <c r="P252" s="29" cm="1">
        <f t="array" ref="P252">IF(表成绩单[[#This Row],[语文]]="","",SUMPRODUCT((表成绩单[考试日期]=表成绩单[[#This Row],[考试日期]])*(表成绩单[语文]&lt;9E+307)*(表成绩单[语文]&gt;表成绩单[[#This Row],[语文]]))+1)</f>
        <v>80</v>
      </c>
      <c r="Q252" s="29" cm="1">
        <f t="array" ref="Q252">IF(表成绩单[[#This Row],[数学]]="","",SUMPRODUCT((表成绩单[考试日期]=表成绩单[[#This Row],[考试日期]])*(表成绩单[数学]&lt;9E+307)*(表成绩单[数学]&gt;表成绩单[[#This Row],[数学]]))+1)</f>
        <v>134</v>
      </c>
      <c r="R252" s="29" cm="1">
        <f t="array" ref="R252">IF(表成绩单[[#This Row],[英语]]="","",SUMPRODUCT((表成绩单[考试日期]=表成绩单[[#This Row],[考试日期]])*(表成绩单[英语]&lt;9E+307)*(表成绩单[英语]&gt;表成绩单[[#This Row],[英语]]))+1)</f>
        <v>195</v>
      </c>
      <c r="S252" s="29" cm="1">
        <f t="array" ref="S252">IF(表成绩单[[#This Row],[物理]]="","",SUMPRODUCT((表成绩单[考试日期]=表成绩单[[#This Row],[考试日期]])*(表成绩单[物理]&lt;9E+307)*(表成绩单[物理]&gt;表成绩单[[#This Row],[物理]]))+1)</f>
        <v>433</v>
      </c>
      <c r="T252" s="29" cm="1">
        <f t="array" ref="T252">IF(表成绩单[[#This Row],[化学]]="","",SUMPRODUCT((表成绩单[考试日期]=表成绩单[[#This Row],[考试日期]])*(表成绩单[化学]&lt;9E+307)*(表成绩单[化学]&gt;表成绩单[[#This Row],[化学]]))+1)</f>
        <v>405</v>
      </c>
      <c r="U252" s="29" cm="1">
        <f t="array" ref="U252">IF(表成绩单[[#This Row],[政治]]="","",SUMPRODUCT((表成绩单[考试日期]=表成绩单[[#This Row],[考试日期]])*(表成绩单[政治]&lt;9E+307)*(表成绩单[政治]&gt;表成绩单[[#This Row],[政治]]))+1)</f>
        <v>363</v>
      </c>
      <c r="V252" s="29" cm="1">
        <f t="array" ref="V252">IF(表成绩单[[#This Row],[历史]]="","",SUMPRODUCT((表成绩单[考试日期]=表成绩单[[#This Row],[考试日期]])*(表成绩单[历史]&lt;9E+307)*(表成绩单[历史]&gt;表成绩单[[#This Row],[历史]]))+1)</f>
        <v>438</v>
      </c>
      <c r="W252" s="29" cm="1">
        <f t="array" ref="W252">IF(表成绩单[[#This Row],[总分]]="","",SUMPRODUCT((表成绩单[考试日期]=表成绩单[[#This Row],[考试日期]])*(表成绩单[总分]&lt;9E+307)*(表成绩单[总分]&gt;表成绩单[[#This Row],[总分]]))+1)</f>
        <v>247</v>
      </c>
    </row>
    <row r="253" ht="28" customHeight="1" spans="4:23">
      <c r="D253" s="31">
        <v>45975</v>
      </c>
      <c r="E253" s="29">
        <v>19174457</v>
      </c>
      <c r="F253" s="29" t="s">
        <v>73</v>
      </c>
      <c r="G253" s="29" t="s">
        <v>326</v>
      </c>
      <c r="H253" s="29">
        <v>104</v>
      </c>
      <c r="I253" s="29">
        <v>95</v>
      </c>
      <c r="J253" s="29">
        <v>85</v>
      </c>
      <c r="K253" s="29">
        <v>81</v>
      </c>
      <c r="L253" s="29">
        <v>78</v>
      </c>
      <c r="M253" s="29">
        <v>83</v>
      </c>
      <c r="N253" s="29">
        <v>73</v>
      </c>
      <c r="O253" s="32">
        <v>599</v>
      </c>
      <c r="P253" s="29" cm="1">
        <f t="array" ref="P253">IF(表成绩单[[#This Row],[语文]]="","",SUMPRODUCT((表成绩单[考试日期]=表成绩单[[#This Row],[考试日期]])*(表成绩单[语文]&lt;9E+307)*(表成绩单[语文]&gt;表成绩单[[#This Row],[语文]]))+1)</f>
        <v>104</v>
      </c>
      <c r="Q253" s="29" cm="1">
        <f t="array" ref="Q253">IF(表成绩单[[#This Row],[数学]]="","",SUMPRODUCT((表成绩单[考试日期]=表成绩单[[#This Row],[考试日期]])*(表成绩单[数学]&lt;9E+307)*(表成绩单[数学]&gt;表成绩单[[#This Row],[数学]]))+1)</f>
        <v>430</v>
      </c>
      <c r="R253" s="29" cm="1">
        <f t="array" ref="R253">IF(表成绩单[[#This Row],[英语]]="","",SUMPRODUCT((表成绩单[考试日期]=表成绩单[[#This Row],[考试日期]])*(表成绩单[英语]&lt;9E+307)*(表成绩单[英语]&gt;表成绩单[[#This Row],[英语]]))+1)</f>
        <v>69</v>
      </c>
      <c r="S253" s="29" cm="1">
        <f t="array" ref="S253">IF(表成绩单[[#This Row],[物理]]="","",SUMPRODUCT((表成绩单[考试日期]=表成绩单[[#This Row],[考试日期]])*(表成绩单[物理]&lt;9E+307)*(表成绩单[物理]&gt;表成绩单[[#This Row],[物理]]))+1)</f>
        <v>474</v>
      </c>
      <c r="T253" s="29" cm="1">
        <f t="array" ref="T253">IF(表成绩单[[#This Row],[化学]]="","",SUMPRODUCT((表成绩单[考试日期]=表成绩单[[#This Row],[考试日期]])*(表成绩单[化学]&lt;9E+307)*(表成绩单[化学]&gt;表成绩单[[#This Row],[化学]]))+1)</f>
        <v>200</v>
      </c>
      <c r="U253" s="29" cm="1">
        <f t="array" ref="U253">IF(表成绩单[[#This Row],[政治]]="","",SUMPRODUCT((表成绩单[考试日期]=表成绩单[[#This Row],[考试日期]])*(表成绩单[政治]&lt;9E+307)*(表成绩单[政治]&gt;表成绩单[[#This Row],[政治]]))+1)</f>
        <v>121</v>
      </c>
      <c r="V253" s="29" cm="1">
        <f t="array" ref="V253">IF(表成绩单[[#This Row],[历史]]="","",SUMPRODUCT((表成绩单[考试日期]=表成绩单[[#This Row],[考试日期]])*(表成绩单[历史]&lt;9E+307)*(表成绩单[历史]&gt;表成绩单[[#This Row],[历史]]))+1)</f>
        <v>395</v>
      </c>
      <c r="W253" s="29" cm="1">
        <f t="array" ref="W253">IF(表成绩单[[#This Row],[总分]]="","",SUMPRODUCT((表成绩单[考试日期]=表成绩单[[#This Row],[考试日期]])*(表成绩单[总分]&lt;9E+307)*(表成绩单[总分]&gt;表成绩单[[#This Row],[总分]]))+1)</f>
        <v>247</v>
      </c>
    </row>
    <row r="254" ht="28" customHeight="1" spans="4:23">
      <c r="D254" s="31">
        <v>45975</v>
      </c>
      <c r="E254" s="29">
        <v>19174469</v>
      </c>
      <c r="F254" s="29" t="s">
        <v>73</v>
      </c>
      <c r="G254" s="29" t="s">
        <v>327</v>
      </c>
      <c r="H254" s="29">
        <v>116</v>
      </c>
      <c r="I254" s="29">
        <v>104</v>
      </c>
      <c r="J254" s="29">
        <v>87</v>
      </c>
      <c r="K254" s="29">
        <v>82</v>
      </c>
      <c r="L254" s="29">
        <v>65</v>
      </c>
      <c r="M254" s="29">
        <v>70</v>
      </c>
      <c r="N254" s="29">
        <v>75</v>
      </c>
      <c r="O254" s="32">
        <v>599</v>
      </c>
      <c r="P254" s="29" cm="1">
        <f t="array" ref="P254">IF(表成绩单[[#This Row],[语文]]="","",SUMPRODUCT((表成绩单[考试日期]=表成绩单[[#This Row],[考试日期]])*(表成绩单[语文]&lt;9E+307)*(表成绩单[语文]&gt;表成绩单[[#This Row],[语文]]))+1)</f>
        <v>2</v>
      </c>
      <c r="Q254" s="29" cm="1">
        <f t="array" ref="Q254">IF(表成绩单[[#This Row],[数学]]="","",SUMPRODUCT((表成绩单[考试日期]=表成绩单[[#This Row],[考试日期]])*(表成绩单[数学]&lt;9E+307)*(表成绩单[数学]&gt;表成绩单[[#This Row],[数学]]))+1)</f>
        <v>260</v>
      </c>
      <c r="R254" s="29" cm="1">
        <f t="array" ref="R254">IF(表成绩单[[#This Row],[英语]]="","",SUMPRODUCT((表成绩单[考试日期]=表成绩单[[#This Row],[考试日期]])*(表成绩单[英语]&lt;9E+307)*(表成绩单[英语]&gt;表成绩单[[#This Row],[英语]]))+1)</f>
        <v>20</v>
      </c>
      <c r="S254" s="29" cm="1">
        <f t="array" ref="S254">IF(表成绩单[[#This Row],[物理]]="","",SUMPRODUCT((表成绩单[考试日期]=表成绩单[[#This Row],[考试日期]])*(表成绩单[物理]&lt;9E+307)*(表成绩单[物理]&gt;表成绩单[[#This Row],[物理]]))+1)</f>
        <v>433</v>
      </c>
      <c r="T254" s="29" cm="1">
        <f t="array" ref="T254">IF(表成绩单[[#This Row],[化学]]="","",SUMPRODUCT((表成绩单[考试日期]=表成绩单[[#This Row],[考试日期]])*(表成绩单[化学]&lt;9E+307)*(表成绩单[化学]&gt;表成绩单[[#This Row],[化学]]))+1)</f>
        <v>559</v>
      </c>
      <c r="U254" s="29" cm="1">
        <f t="array" ref="U254">IF(表成绩单[[#This Row],[政治]]="","",SUMPRODUCT((表成绩单[考试日期]=表成绩单[[#This Row],[考试日期]])*(表成绩单[政治]&lt;9E+307)*(表成绩单[政治]&gt;表成绩单[[#This Row],[政治]]))+1)</f>
        <v>493</v>
      </c>
      <c r="V254" s="29" cm="1">
        <f t="array" ref="V254">IF(表成绩单[[#This Row],[历史]]="","",SUMPRODUCT((表成绩单[考试日期]=表成绩单[[#This Row],[考试日期]])*(表成绩单[历史]&lt;9E+307)*(表成绩单[历史]&gt;表成绩单[[#This Row],[历史]]))+1)</f>
        <v>315</v>
      </c>
      <c r="W254" s="29" cm="1">
        <f t="array" ref="W254">IF(表成绩单[[#This Row],[总分]]="","",SUMPRODUCT((表成绩单[考试日期]=表成绩单[[#This Row],[考试日期]])*(表成绩单[总分]&lt;9E+307)*(表成绩单[总分]&gt;表成绩单[[#This Row],[总分]]))+1)</f>
        <v>247</v>
      </c>
    </row>
    <row r="255" ht="28" customHeight="1" spans="4:23">
      <c r="D255" s="31">
        <v>45975</v>
      </c>
      <c r="E255" s="29">
        <v>19175660</v>
      </c>
      <c r="F255" s="29" t="s">
        <v>66</v>
      </c>
      <c r="G255" s="29" t="s">
        <v>328</v>
      </c>
      <c r="H255" s="29">
        <v>96</v>
      </c>
      <c r="I255" s="29">
        <v>111</v>
      </c>
      <c r="J255" s="29">
        <v>76</v>
      </c>
      <c r="K255" s="29">
        <v>88</v>
      </c>
      <c r="L255" s="29">
        <v>82</v>
      </c>
      <c r="M255" s="29">
        <v>74</v>
      </c>
      <c r="N255" s="29">
        <v>72</v>
      </c>
      <c r="O255" s="32">
        <v>599</v>
      </c>
      <c r="P255" s="29" cm="1">
        <f t="array" ref="P255">IF(表成绩单[[#This Row],[语文]]="","",SUMPRODUCT((表成绩单[考试日期]=表成绩单[[#This Row],[考试日期]])*(表成绩单[语文]&lt;9E+307)*(表成绩单[语文]&gt;表成绩单[[#This Row],[语文]]))+1)</f>
        <v>387</v>
      </c>
      <c r="Q255" s="29" cm="1">
        <f t="array" ref="Q255">IF(表成绩单[[#This Row],[数学]]="","",SUMPRODUCT((表成绩单[考试日期]=表成绩单[[#This Row],[考试日期]])*(表成绩单[数学]&lt;9E+307)*(表成绩单[数学]&gt;表成绩单[[#This Row],[数学]]))+1)</f>
        <v>134</v>
      </c>
      <c r="R255" s="29" cm="1">
        <f t="array" ref="R255">IF(表成绩单[[#This Row],[英语]]="","",SUMPRODUCT((表成绩单[考试日期]=表成绩单[[#This Row],[考试日期]])*(表成绩单[英语]&lt;9E+307)*(表成绩单[英语]&gt;表成绩单[[#This Row],[英语]]))+1)</f>
        <v>399</v>
      </c>
      <c r="S255" s="29" cm="1">
        <f t="array" ref="S255">IF(表成绩单[[#This Row],[物理]]="","",SUMPRODUCT((表成绩单[考试日期]=表成绩单[[#This Row],[考试日期]])*(表成绩单[物理]&lt;9E+307)*(表成绩单[物理]&gt;表成绩单[[#This Row],[物理]]))+1)</f>
        <v>54</v>
      </c>
      <c r="T255" s="29" cm="1">
        <f t="array" ref="T255">IF(表成绩单[[#This Row],[化学]]="","",SUMPRODUCT((表成绩单[考试日期]=表成绩单[[#This Row],[考试日期]])*(表成绩单[化学]&lt;9E+307)*(表成绩单[化学]&gt;表成绩单[[#This Row],[化学]]))+1)</f>
        <v>71</v>
      </c>
      <c r="U255" s="29" cm="1">
        <f t="array" ref="U255">IF(表成绩单[[#This Row],[政治]]="","",SUMPRODUCT((表成绩单[考试日期]=表成绩单[[#This Row],[考试日期]])*(表成绩单[政治]&lt;9E+307)*(表成绩单[政治]&gt;表成绩单[[#This Row],[政治]]))+1)</f>
        <v>389</v>
      </c>
      <c r="V255" s="29" cm="1">
        <f t="array" ref="V255">IF(表成绩单[[#This Row],[历史]]="","",SUMPRODUCT((表成绩单[考试日期]=表成绩单[[#This Row],[考试日期]])*(表成绩单[历史]&lt;9E+307)*(表成绩单[历史]&gt;表成绩单[[#This Row],[历史]]))+1)</f>
        <v>438</v>
      </c>
      <c r="W255" s="29" cm="1">
        <f t="array" ref="W255">IF(表成绩单[[#This Row],[总分]]="","",SUMPRODUCT((表成绩单[考试日期]=表成绩单[[#This Row],[考试日期]])*(表成绩单[总分]&lt;9E+307)*(表成绩单[总分]&gt;表成绩单[[#This Row],[总分]]))+1)</f>
        <v>247</v>
      </c>
    </row>
    <row r="256" ht="28" customHeight="1" spans="4:23">
      <c r="D256" s="31">
        <v>45975</v>
      </c>
      <c r="E256" s="29">
        <v>19176872</v>
      </c>
      <c r="F256" s="29" t="s">
        <v>71</v>
      </c>
      <c r="G256" s="29" t="s">
        <v>329</v>
      </c>
      <c r="H256" s="29">
        <v>108</v>
      </c>
      <c r="I256" s="29">
        <v>94</v>
      </c>
      <c r="J256" s="29">
        <v>82</v>
      </c>
      <c r="K256" s="29">
        <v>86</v>
      </c>
      <c r="L256" s="29">
        <v>81</v>
      </c>
      <c r="M256" s="29">
        <v>73</v>
      </c>
      <c r="N256" s="29">
        <v>75</v>
      </c>
      <c r="O256" s="32">
        <v>599</v>
      </c>
      <c r="P256" s="29" cm="1">
        <f t="array" ref="P256">IF(表成绩单[[#This Row],[语文]]="","",SUMPRODUCT((表成绩单[考试日期]=表成绩单[[#This Row],[考试日期]])*(表成绩单[语文]&lt;9E+307)*(表成绩单[语文]&gt;表成绩单[[#This Row],[语文]]))+1)</f>
        <v>27</v>
      </c>
      <c r="Q256" s="29" cm="1">
        <f t="array" ref="Q256">IF(表成绩单[[#This Row],[数学]]="","",SUMPRODUCT((表成绩单[考试日期]=表成绩单[[#This Row],[考试日期]])*(表成绩单[数学]&lt;9E+307)*(表成绩单[数学]&gt;表成绩单[[#This Row],[数学]]))+1)</f>
        <v>454</v>
      </c>
      <c r="R256" s="29" cm="1">
        <f t="array" ref="R256">IF(表成绩单[[#This Row],[英语]]="","",SUMPRODUCT((表成绩单[考试日期]=表成绩单[[#This Row],[考试日期]])*(表成绩单[英语]&lt;9E+307)*(表成绩单[英语]&gt;表成绩单[[#This Row],[英语]]))+1)</f>
        <v>195</v>
      </c>
      <c r="S256" s="29" cm="1">
        <f t="array" ref="S256">IF(表成绩单[[#This Row],[物理]]="","",SUMPRODUCT((表成绩单[考试日期]=表成绩单[[#This Row],[考试日期]])*(表成绩单[物理]&lt;9E+307)*(表成绩单[物理]&gt;表成绩单[[#This Row],[物理]]))+1)</f>
        <v>187</v>
      </c>
      <c r="T256" s="29" cm="1">
        <f t="array" ref="T256">IF(表成绩单[[#This Row],[化学]]="","",SUMPRODUCT((表成绩单[考试日期]=表成绩单[[#This Row],[考试日期]])*(表成绩单[化学]&lt;9E+307)*(表成绩单[化学]&gt;表成绩单[[#This Row],[化学]]))+1)</f>
        <v>100</v>
      </c>
      <c r="U256" s="29" cm="1">
        <f t="array" ref="U256">IF(表成绩单[[#This Row],[政治]]="","",SUMPRODUCT((表成绩单[考试日期]=表成绩单[[#This Row],[考试日期]])*(表成绩单[政治]&lt;9E+307)*(表成绩单[政治]&gt;表成绩单[[#This Row],[政治]]))+1)</f>
        <v>418</v>
      </c>
      <c r="V256" s="29" cm="1">
        <f t="array" ref="V256">IF(表成绩单[[#This Row],[历史]]="","",SUMPRODUCT((表成绩单[考试日期]=表成绩单[[#This Row],[考试日期]])*(表成绩单[历史]&lt;9E+307)*(表成绩单[历史]&gt;表成绩单[[#This Row],[历史]]))+1)</f>
        <v>315</v>
      </c>
      <c r="W256" s="29" cm="1">
        <f t="array" ref="W256">IF(表成绩单[[#This Row],[总分]]="","",SUMPRODUCT((表成绩单[考试日期]=表成绩单[[#This Row],[考试日期]])*(表成绩单[总分]&lt;9E+307)*(表成绩单[总分]&gt;表成绩单[[#This Row],[总分]]))+1)</f>
        <v>247</v>
      </c>
    </row>
    <row r="257" ht="28" customHeight="1" spans="4:23">
      <c r="D257" s="31">
        <v>45975</v>
      </c>
      <c r="E257" s="29">
        <v>19173264</v>
      </c>
      <c r="F257" s="29" t="s">
        <v>61</v>
      </c>
      <c r="G257" s="29" t="s">
        <v>330</v>
      </c>
      <c r="H257" s="29">
        <v>100</v>
      </c>
      <c r="I257" s="29">
        <v>100</v>
      </c>
      <c r="J257" s="29">
        <v>81.5</v>
      </c>
      <c r="K257" s="29">
        <v>87</v>
      </c>
      <c r="L257" s="29">
        <v>69</v>
      </c>
      <c r="M257" s="29">
        <v>84</v>
      </c>
      <c r="N257" s="29">
        <v>77</v>
      </c>
      <c r="O257" s="32">
        <v>598.5</v>
      </c>
      <c r="P257" s="29" cm="1">
        <f t="array" ref="P257">IF(表成绩单[[#This Row],[语文]]="","",SUMPRODUCT((表成绩单[考试日期]=表成绩单[[#This Row],[考试日期]])*(表成绩单[语文]&lt;9E+307)*(表成绩单[语文]&gt;表成绩单[[#This Row],[语文]]))+1)</f>
        <v>223</v>
      </c>
      <c r="Q257" s="29" cm="1">
        <f t="array" ref="Q257">IF(表成绩单[[#This Row],[数学]]="","",SUMPRODUCT((表成绩单[考试日期]=表成绩单[[#This Row],[考试日期]])*(表成绩单[数学]&lt;9E+307)*(表成绩单[数学]&gt;表成绩单[[#This Row],[数学]]))+1)</f>
        <v>340</v>
      </c>
      <c r="R257" s="29" cm="1">
        <f t="array" ref="R257">IF(表成绩单[[#This Row],[英语]]="","",SUMPRODUCT((表成绩单[考试日期]=表成绩单[[#This Row],[考试日期]])*(表成绩单[英语]&lt;9E+307)*(表成绩单[英语]&gt;表成绩单[[#This Row],[英语]]))+1)</f>
        <v>220</v>
      </c>
      <c r="S257" s="29" cm="1">
        <f t="array" ref="S257">IF(表成绩单[[#This Row],[物理]]="","",SUMPRODUCT((表成绩单[考试日期]=表成绩单[[#This Row],[考试日期]])*(表成绩单[物理]&lt;9E+307)*(表成绩单[物理]&gt;表成绩单[[#This Row],[物理]]))+1)</f>
        <v>127</v>
      </c>
      <c r="T257" s="29" cm="1">
        <f t="array" ref="T257">IF(表成绩单[[#This Row],[化学]]="","",SUMPRODUCT((表成绩单[考试日期]=表成绩单[[#This Row],[考试日期]])*(表成绩单[化学]&lt;9E+307)*(表成绩单[化学]&gt;表成绩单[[#This Row],[化学]]))+1)</f>
        <v>478</v>
      </c>
      <c r="U257" s="29" cm="1">
        <f t="array" ref="U257">IF(表成绩单[[#This Row],[政治]]="","",SUMPRODUCT((表成绩单[考试日期]=表成绩单[[#This Row],[考试日期]])*(表成绩单[政治]&lt;9E+307)*(表成绩单[政治]&gt;表成绩单[[#This Row],[政治]]))+1)</f>
        <v>83</v>
      </c>
      <c r="V257" s="29" cm="1">
        <f t="array" ref="V257">IF(表成绩单[[#This Row],[历史]]="","",SUMPRODUCT((表成绩单[考试日期]=表成绩单[[#This Row],[考试日期]])*(表成绩单[历史]&lt;9E+307)*(表成绩单[历史]&gt;表成绩单[[#This Row],[历史]]))+1)</f>
        <v>237</v>
      </c>
      <c r="W257" s="29" cm="1">
        <f t="array" ref="W257">IF(表成绩单[[#This Row],[总分]]="","",SUMPRODUCT((表成绩单[考试日期]=表成绩单[[#This Row],[考试日期]])*(表成绩单[总分]&lt;9E+307)*(表成绩单[总分]&gt;表成绩单[[#This Row],[总分]]))+1)</f>
        <v>253</v>
      </c>
    </row>
    <row r="258" ht="28" customHeight="1" spans="4:23">
      <c r="D258" s="31">
        <v>45975</v>
      </c>
      <c r="E258" s="29">
        <v>19173775</v>
      </c>
      <c r="F258" s="29" t="s">
        <v>65</v>
      </c>
      <c r="G258" s="29" t="s">
        <v>331</v>
      </c>
      <c r="H258" s="29">
        <v>100</v>
      </c>
      <c r="I258" s="29">
        <v>97</v>
      </c>
      <c r="J258" s="29">
        <v>78.5</v>
      </c>
      <c r="K258" s="29">
        <v>84</v>
      </c>
      <c r="L258" s="29">
        <v>79</v>
      </c>
      <c r="M258" s="29">
        <v>83</v>
      </c>
      <c r="N258" s="29">
        <v>77</v>
      </c>
      <c r="O258" s="32">
        <v>598.5</v>
      </c>
      <c r="P258" s="29" cm="1">
        <f t="array" ref="P258">IF(表成绩单[[#This Row],[语文]]="","",SUMPRODUCT((表成绩单[考试日期]=表成绩单[[#This Row],[考试日期]])*(表成绩单[语文]&lt;9E+307)*(表成绩单[语文]&gt;表成绩单[[#This Row],[语文]]))+1)</f>
        <v>223</v>
      </c>
      <c r="Q258" s="29" cm="1">
        <f t="array" ref="Q258">IF(表成绩单[[#This Row],[数学]]="","",SUMPRODUCT((表成绩单[考试日期]=表成绩单[[#This Row],[考试日期]])*(表成绩单[数学]&lt;9E+307)*(表成绩单[数学]&gt;表成绩单[[#This Row],[数学]]))+1)</f>
        <v>389</v>
      </c>
      <c r="R258" s="29" cm="1">
        <f t="array" ref="R258">IF(表成绩单[[#This Row],[英语]]="","",SUMPRODUCT((表成绩单[考试日期]=表成绩单[[#This Row],[考试日期]])*(表成绩单[英语]&lt;9E+307)*(表成绩单[英语]&gt;表成绩单[[#This Row],[英语]]))+1)</f>
        <v>314</v>
      </c>
      <c r="S258" s="29" cm="1">
        <f t="array" ref="S258">IF(表成绩单[[#This Row],[物理]]="","",SUMPRODUCT((表成绩单[考试日期]=表成绩单[[#This Row],[考试日期]])*(表成绩单[物理]&lt;9E+307)*(表成绩单[物理]&gt;表成绩单[[#This Row],[物理]]))+1)</f>
        <v>344</v>
      </c>
      <c r="T258" s="29" cm="1">
        <f t="array" ref="T258">IF(表成绩单[[#This Row],[化学]]="","",SUMPRODUCT((表成绩单[考试日期]=表成绩单[[#This Row],[考试日期]])*(表成绩单[化学]&lt;9E+307)*(表成绩单[化学]&gt;表成绩单[[#This Row],[化学]]))+1)</f>
        <v>166</v>
      </c>
      <c r="U258" s="29" cm="1">
        <f t="array" ref="U258">IF(表成绩单[[#This Row],[政治]]="","",SUMPRODUCT((表成绩单[考试日期]=表成绩单[[#This Row],[考试日期]])*(表成绩单[政治]&lt;9E+307)*(表成绩单[政治]&gt;表成绩单[[#This Row],[政治]]))+1)</f>
        <v>121</v>
      </c>
      <c r="V258" s="29" cm="1">
        <f t="array" ref="V258">IF(表成绩单[[#This Row],[历史]]="","",SUMPRODUCT((表成绩单[考试日期]=表成绩单[[#This Row],[考试日期]])*(表成绩单[历史]&lt;9E+307)*(表成绩单[历史]&gt;表成绩单[[#This Row],[历史]]))+1)</f>
        <v>237</v>
      </c>
      <c r="W258" s="29" cm="1">
        <f t="array" ref="W258">IF(表成绩单[[#This Row],[总分]]="","",SUMPRODUCT((表成绩单[考试日期]=表成绩单[[#This Row],[考试日期]])*(表成绩单[总分]&lt;9E+307)*(表成绩单[总分]&gt;表成绩单[[#This Row],[总分]]))+1)</f>
        <v>253</v>
      </c>
    </row>
    <row r="259" ht="28" customHeight="1" spans="4:23">
      <c r="D259" s="31">
        <v>45975</v>
      </c>
      <c r="E259" s="29">
        <v>19174465</v>
      </c>
      <c r="F259" s="29" t="s">
        <v>73</v>
      </c>
      <c r="G259" s="29" t="s">
        <v>332</v>
      </c>
      <c r="H259" s="29">
        <v>97</v>
      </c>
      <c r="I259" s="29">
        <v>112</v>
      </c>
      <c r="J259" s="29">
        <v>79.5</v>
      </c>
      <c r="K259" s="29">
        <v>86</v>
      </c>
      <c r="L259" s="29">
        <v>74</v>
      </c>
      <c r="M259" s="29">
        <v>68</v>
      </c>
      <c r="N259" s="29">
        <v>82</v>
      </c>
      <c r="O259" s="32">
        <v>598.5</v>
      </c>
      <c r="P259" s="29" cm="1">
        <f t="array" ref="P259">IF(表成绩单[[#This Row],[语文]]="","",SUMPRODUCT((表成绩单[考试日期]=表成绩单[[#This Row],[考试日期]])*(表成绩单[语文]&lt;9E+307)*(表成绩单[语文]&gt;表成绩单[[#This Row],[语文]]))+1)</f>
        <v>349</v>
      </c>
      <c r="Q259" s="29" cm="1">
        <f t="array" ref="Q259">IF(表成绩单[[#This Row],[数学]]="","",SUMPRODUCT((表成绩单[考试日期]=表成绩单[[#This Row],[考试日期]])*(表成绩单[数学]&lt;9E+307)*(表成绩单[数学]&gt;表成绩单[[#This Row],[数学]]))+1)</f>
        <v>112</v>
      </c>
      <c r="R259" s="29" cm="1">
        <f t="array" ref="R259">IF(表成绩单[[#This Row],[英语]]="","",SUMPRODUCT((表成绩单[考试日期]=表成绩单[[#This Row],[考试日期]])*(表成绩单[英语]&lt;9E+307)*(表成绩单[英语]&gt;表成绩单[[#This Row],[英语]]))+1)</f>
        <v>279</v>
      </c>
      <c r="S259" s="29" cm="1">
        <f t="array" ref="S259">IF(表成绩单[[#This Row],[物理]]="","",SUMPRODUCT((表成绩单[考试日期]=表成绩单[[#This Row],[考试日期]])*(表成绩单[物理]&lt;9E+307)*(表成绩单[物理]&gt;表成绩单[[#This Row],[物理]]))+1)</f>
        <v>187</v>
      </c>
      <c r="T259" s="29" cm="1">
        <f t="array" ref="T259">IF(表成绩单[[#This Row],[化学]]="","",SUMPRODUCT((表成绩单[考试日期]=表成绩单[[#This Row],[考试日期]])*(表成绩单[化学]&lt;9E+307)*(表成绩单[化学]&gt;表成绩单[[#This Row],[化学]]))+1)</f>
        <v>337</v>
      </c>
      <c r="U259" s="29" cm="1">
        <f t="array" ref="U259">IF(表成绩单[[#This Row],[政治]]="","",SUMPRODUCT((表成绩单[考试日期]=表成绩单[[#This Row],[考试日期]])*(表成绩单[政治]&lt;9E+307)*(表成绩单[政治]&gt;表成绩单[[#This Row],[政治]]))+1)</f>
        <v>527</v>
      </c>
      <c r="V259" s="29" cm="1">
        <f t="array" ref="V259">IF(表成绩单[[#This Row],[历史]]="","",SUMPRODUCT((表成绩单[考试日期]=表成绩单[[#This Row],[考试日期]])*(表成绩单[历史]&lt;9E+307)*(表成绩单[历史]&gt;表成绩单[[#This Row],[历史]]))+1)</f>
        <v>35</v>
      </c>
      <c r="W259" s="29" cm="1">
        <f t="array" ref="W259">IF(表成绩单[[#This Row],[总分]]="","",SUMPRODUCT((表成绩单[考试日期]=表成绩单[[#This Row],[考试日期]])*(表成绩单[总分]&lt;9E+307)*(表成绩单[总分]&gt;表成绩单[[#This Row],[总分]]))+1)</f>
        <v>253</v>
      </c>
    </row>
    <row r="260" ht="28" customHeight="1" spans="4:23">
      <c r="D260" s="31">
        <v>45975</v>
      </c>
      <c r="E260" s="29">
        <v>19175698</v>
      </c>
      <c r="F260" s="29" t="s">
        <v>72</v>
      </c>
      <c r="G260" s="29" t="s">
        <v>333</v>
      </c>
      <c r="H260" s="29">
        <v>88</v>
      </c>
      <c r="I260" s="29">
        <v>107</v>
      </c>
      <c r="J260" s="29">
        <v>81.5</v>
      </c>
      <c r="K260" s="29">
        <v>88</v>
      </c>
      <c r="L260" s="29">
        <v>83</v>
      </c>
      <c r="M260" s="29">
        <v>76</v>
      </c>
      <c r="N260" s="29">
        <v>75</v>
      </c>
      <c r="O260" s="32">
        <v>598.5</v>
      </c>
      <c r="P260" s="29" cm="1">
        <f t="array" ref="P260">IF(表成绩单[[#This Row],[语文]]="","",SUMPRODUCT((表成绩单[考试日期]=表成绩单[[#This Row],[考试日期]])*(表成绩单[语文]&lt;9E+307)*(表成绩单[语文]&gt;表成绩单[[#This Row],[语文]]))+1)</f>
        <v>595</v>
      </c>
      <c r="Q260" s="29" cm="1">
        <f t="array" ref="Q260">IF(表成绩单[[#This Row],[数学]]="","",SUMPRODUCT((表成绩单[考试日期]=表成绩单[[#This Row],[考试日期]])*(表成绩单[数学]&lt;9E+307)*(表成绩单[数学]&gt;表成绩单[[#This Row],[数学]]))+1)</f>
        <v>200</v>
      </c>
      <c r="R260" s="29" cm="1">
        <f t="array" ref="R260">IF(表成绩单[[#This Row],[英语]]="","",SUMPRODUCT((表成绩单[考试日期]=表成绩单[[#This Row],[考试日期]])*(表成绩单[英语]&lt;9E+307)*(表成绩单[英语]&gt;表成绩单[[#This Row],[英语]]))+1)</f>
        <v>220</v>
      </c>
      <c r="S260" s="29" cm="1">
        <f t="array" ref="S260">IF(表成绩单[[#This Row],[物理]]="","",SUMPRODUCT((表成绩单[考试日期]=表成绩单[[#This Row],[考试日期]])*(表成绩单[物理]&lt;9E+307)*(表成绩单[物理]&gt;表成绩单[[#This Row],[物理]]))+1)</f>
        <v>54</v>
      </c>
      <c r="T260" s="29" cm="1">
        <f t="array" ref="T260">IF(表成绩单[[#This Row],[化学]]="","",SUMPRODUCT((表成绩单[考试日期]=表成绩单[[#This Row],[考试日期]])*(表成绩单[化学]&lt;9E+307)*(表成绩单[化学]&gt;表成绩单[[#This Row],[化学]]))+1)</f>
        <v>49</v>
      </c>
      <c r="U260" s="29" cm="1">
        <f t="array" ref="U260">IF(表成绩单[[#This Row],[政治]]="","",SUMPRODUCT((表成绩单[考试日期]=表成绩单[[#This Row],[考试日期]])*(表成绩单[政治]&lt;9E+307)*(表成绩单[政治]&gt;表成绩单[[#This Row],[政治]]))+1)</f>
        <v>329</v>
      </c>
      <c r="V260" s="29" cm="1">
        <f t="array" ref="V260">IF(表成绩单[[#This Row],[历史]]="","",SUMPRODUCT((表成绩单[考试日期]=表成绩单[[#This Row],[考试日期]])*(表成绩单[历史]&lt;9E+307)*(表成绩单[历史]&gt;表成绩单[[#This Row],[历史]]))+1)</f>
        <v>315</v>
      </c>
      <c r="W260" s="29" cm="1">
        <f t="array" ref="W260">IF(表成绩单[[#This Row],[总分]]="","",SUMPRODUCT((表成绩单[考试日期]=表成绩单[[#This Row],[考试日期]])*(表成绩单[总分]&lt;9E+307)*(表成绩单[总分]&gt;表成绩单[[#This Row],[总分]]))+1)</f>
        <v>253</v>
      </c>
    </row>
    <row r="261" ht="28" customHeight="1" spans="4:23">
      <c r="D261" s="31">
        <v>45975</v>
      </c>
      <c r="E261" s="29">
        <v>19175404</v>
      </c>
      <c r="F261" s="29" t="s">
        <v>74</v>
      </c>
      <c r="G261" s="29" t="s">
        <v>334</v>
      </c>
      <c r="H261" s="29">
        <v>96</v>
      </c>
      <c r="I261" s="29">
        <v>108</v>
      </c>
      <c r="J261" s="29">
        <v>77</v>
      </c>
      <c r="K261" s="29">
        <v>87</v>
      </c>
      <c r="L261" s="29">
        <v>71</v>
      </c>
      <c r="M261" s="29">
        <v>78</v>
      </c>
      <c r="N261" s="29">
        <v>81</v>
      </c>
      <c r="O261" s="32">
        <v>598</v>
      </c>
      <c r="P261" s="29" cm="1">
        <f t="array" ref="P261">IF(表成绩单[[#This Row],[语文]]="","",SUMPRODUCT((表成绩单[考试日期]=表成绩单[[#This Row],[考试日期]])*(表成绩单[语文]&lt;9E+307)*(表成绩单[语文]&gt;表成绩单[[#This Row],[语文]]))+1)</f>
        <v>387</v>
      </c>
      <c r="Q261" s="29" cm="1">
        <f t="array" ref="Q261">IF(表成绩单[[#This Row],[数学]]="","",SUMPRODUCT((表成绩单[考试日期]=表成绩单[[#This Row],[考试日期]])*(表成绩单[数学]&lt;9E+307)*(表成绩单[数学]&gt;表成绩单[[#This Row],[数学]]))+1)</f>
        <v>182</v>
      </c>
      <c r="R261" s="29" cm="1">
        <f t="array" ref="R261">IF(表成绩单[[#This Row],[英语]]="","",SUMPRODUCT((表成绩单[考试日期]=表成绩单[[#This Row],[考试日期]])*(表成绩单[英语]&lt;9E+307)*(表成绩单[英语]&gt;表成绩单[[#This Row],[英语]]))+1)</f>
        <v>369</v>
      </c>
      <c r="S261" s="29" cm="1">
        <f t="array" ref="S261">IF(表成绩单[[#This Row],[物理]]="","",SUMPRODUCT((表成绩单[考试日期]=表成绩单[[#This Row],[考试日期]])*(表成绩单[物理]&lt;9E+307)*(表成绩单[物理]&gt;表成绩单[[#This Row],[物理]]))+1)</f>
        <v>127</v>
      </c>
      <c r="T261" s="29" cm="1">
        <f t="array" ref="T261">IF(表成绩单[[#This Row],[化学]]="","",SUMPRODUCT((表成绩单[考试日期]=表成绩单[[#This Row],[考试日期]])*(表成绩单[化学]&lt;9E+307)*(表成绩单[化学]&gt;表成绩单[[#This Row],[化学]]))+1)</f>
        <v>432</v>
      </c>
      <c r="U261" s="29" cm="1">
        <f t="array" ref="U261">IF(表成绩单[[#This Row],[政治]]="","",SUMPRODUCT((表成绩单[考试日期]=表成绩单[[#This Row],[考试日期]])*(表成绩单[政治]&lt;9E+307)*(表成绩单[政治]&gt;表成绩单[[#This Row],[政治]]))+1)</f>
        <v>272</v>
      </c>
      <c r="V261" s="29" cm="1">
        <f t="array" ref="V261">IF(表成绩单[[#This Row],[历史]]="","",SUMPRODUCT((表成绩单[考试日期]=表成绩单[[#This Row],[考试日期]])*(表成绩单[历史]&lt;9E+307)*(表成绩单[历史]&gt;表成绩单[[#This Row],[历史]]))+1)</f>
        <v>63</v>
      </c>
      <c r="W261" s="29" cm="1">
        <f t="array" ref="W261">IF(表成绩单[[#This Row],[总分]]="","",SUMPRODUCT((表成绩单[考试日期]=表成绩单[[#This Row],[考试日期]])*(表成绩单[总分]&lt;9E+307)*(表成绩单[总分]&gt;表成绩单[[#This Row],[总分]]))+1)</f>
        <v>257</v>
      </c>
    </row>
    <row r="262" ht="28" customHeight="1" spans="4:23">
      <c r="D262" s="31">
        <v>45975</v>
      </c>
      <c r="E262" s="29">
        <v>19178618</v>
      </c>
      <c r="F262" s="29" t="s">
        <v>25</v>
      </c>
      <c r="G262" s="29" t="s">
        <v>335</v>
      </c>
      <c r="H262" s="29">
        <v>97</v>
      </c>
      <c r="I262" s="29">
        <v>107</v>
      </c>
      <c r="J262" s="29">
        <v>81</v>
      </c>
      <c r="K262" s="29">
        <v>86</v>
      </c>
      <c r="L262" s="29">
        <v>85</v>
      </c>
      <c r="M262" s="29">
        <v>69</v>
      </c>
      <c r="N262" s="29">
        <v>73</v>
      </c>
      <c r="O262" s="32">
        <v>598</v>
      </c>
      <c r="P262" s="29" cm="1">
        <f t="array" ref="P262">IF(表成绩单[[#This Row],[语文]]="","",SUMPRODUCT((表成绩单[考试日期]=表成绩单[[#This Row],[考试日期]])*(表成绩单[语文]&lt;9E+307)*(表成绩单[语文]&gt;表成绩单[[#This Row],[语文]]))+1)</f>
        <v>349</v>
      </c>
      <c r="Q262" s="29" cm="1">
        <f t="array" ref="Q262">IF(表成绩单[[#This Row],[数学]]="","",SUMPRODUCT((表成绩单[考试日期]=表成绩单[[#This Row],[考试日期]])*(表成绩单[数学]&lt;9E+307)*(表成绩单[数学]&gt;表成绩单[[#This Row],[数学]]))+1)</f>
        <v>200</v>
      </c>
      <c r="R262" s="29" cm="1">
        <f t="array" ref="R262">IF(表成绩单[[#This Row],[英语]]="","",SUMPRODUCT((表成绩单[考试日期]=表成绩单[[#This Row],[考试日期]])*(表成绩单[英语]&lt;9E+307)*(表成绩单[英语]&gt;表成绩单[[#This Row],[英语]]))+1)</f>
        <v>241</v>
      </c>
      <c r="S262" s="29" cm="1">
        <f t="array" ref="S262">IF(表成绩单[[#This Row],[物理]]="","",SUMPRODUCT((表成绩单[考试日期]=表成绩单[[#This Row],[考试日期]])*(表成绩单[物理]&lt;9E+307)*(表成绩单[物理]&gt;表成绩单[[#This Row],[物理]]))+1)</f>
        <v>187</v>
      </c>
      <c r="T262" s="29" cm="1">
        <f t="array" ref="T262">IF(表成绩单[[#This Row],[化学]]="","",SUMPRODUCT((表成绩单[考试日期]=表成绩单[[#This Row],[考试日期]])*(表成绩单[化学]&lt;9E+307)*(表成绩单[化学]&gt;表成绩单[[#This Row],[化学]]))+1)</f>
        <v>19</v>
      </c>
      <c r="U262" s="29" cm="1">
        <f t="array" ref="U262">IF(表成绩单[[#This Row],[政治]]="","",SUMPRODUCT((表成绩单[考试日期]=表成绩单[[#This Row],[考试日期]])*(表成绩单[政治]&lt;9E+307)*(表成绩单[政治]&gt;表成绩单[[#This Row],[政治]]))+1)</f>
        <v>507</v>
      </c>
      <c r="V262" s="29" cm="1">
        <f t="array" ref="V262">IF(表成绩单[[#This Row],[历史]]="","",SUMPRODUCT((表成绩单[考试日期]=表成绩单[[#This Row],[考试日期]])*(表成绩单[历史]&lt;9E+307)*(表成绩单[历史]&gt;表成绩单[[#This Row],[历史]]))+1)</f>
        <v>395</v>
      </c>
      <c r="W262" s="29" cm="1">
        <f t="array" ref="W262">IF(表成绩单[[#This Row],[总分]]="","",SUMPRODUCT((表成绩单[考试日期]=表成绩单[[#This Row],[考试日期]])*(表成绩单[总分]&lt;9E+307)*(表成绩单[总分]&gt;表成绩单[[#This Row],[总分]]))+1)</f>
        <v>257</v>
      </c>
    </row>
    <row r="263" ht="28" customHeight="1" spans="4:23">
      <c r="D263" s="31">
        <v>45975</v>
      </c>
      <c r="E263" s="29">
        <v>19171083</v>
      </c>
      <c r="F263" s="29" t="s">
        <v>67</v>
      </c>
      <c r="G263" s="29" t="s">
        <v>336</v>
      </c>
      <c r="H263" s="29">
        <v>94</v>
      </c>
      <c r="I263" s="29">
        <v>109</v>
      </c>
      <c r="J263" s="29">
        <v>78.5</v>
      </c>
      <c r="K263" s="29">
        <v>86</v>
      </c>
      <c r="L263" s="29">
        <v>76</v>
      </c>
      <c r="M263" s="29">
        <v>78</v>
      </c>
      <c r="N263" s="29">
        <v>76</v>
      </c>
      <c r="O263" s="32">
        <v>597.5</v>
      </c>
      <c r="P263" s="29" cm="1">
        <f t="array" ref="P263">IF(表成绩单[[#This Row],[语文]]="","",SUMPRODUCT((表成绩单[考试日期]=表成绩单[[#This Row],[考试日期]])*(表成绩单[语文]&lt;9E+307)*(表成绩单[语文]&gt;表成绩单[[#This Row],[语文]]))+1)</f>
        <v>452</v>
      </c>
      <c r="Q263" s="29" cm="1">
        <f t="array" ref="Q263">IF(表成绩单[[#This Row],[数学]]="","",SUMPRODUCT((表成绩单[考试日期]=表成绩单[[#This Row],[考试日期]])*(表成绩单[数学]&lt;9E+307)*(表成绩单[数学]&gt;表成绩单[[#This Row],[数学]]))+1)</f>
        <v>165</v>
      </c>
      <c r="R263" s="29" cm="1">
        <f t="array" ref="R263">IF(表成绩单[[#This Row],[英语]]="","",SUMPRODUCT((表成绩单[考试日期]=表成绩单[[#This Row],[考试日期]])*(表成绩单[英语]&lt;9E+307)*(表成绩单[英语]&gt;表成绩单[[#This Row],[英语]]))+1)</f>
        <v>314</v>
      </c>
      <c r="S263" s="29" cm="1">
        <f t="array" ref="S263">IF(表成绩单[[#This Row],[物理]]="","",SUMPRODUCT((表成绩单[考试日期]=表成绩单[[#This Row],[考试日期]])*(表成绩单[物理]&lt;9E+307)*(表成绩单[物理]&gt;表成绩单[[#This Row],[物理]]))+1)</f>
        <v>187</v>
      </c>
      <c r="T263" s="29" cm="1">
        <f t="array" ref="T263">IF(表成绩单[[#This Row],[化学]]="","",SUMPRODUCT((表成绩单[考试日期]=表成绩单[[#This Row],[考试日期]])*(表成绩单[化学]&lt;9E+307)*(表成绩单[化学]&gt;表成绩单[[#This Row],[化学]]))+1)</f>
        <v>268</v>
      </c>
      <c r="U263" s="29" cm="1">
        <f t="array" ref="U263">IF(表成绩单[[#This Row],[政治]]="","",SUMPRODUCT((表成绩单[考试日期]=表成绩单[[#This Row],[考试日期]])*(表成绩单[政治]&lt;9E+307)*(表成绩单[政治]&gt;表成绩单[[#This Row],[政治]]))+1)</f>
        <v>272</v>
      </c>
      <c r="V263" s="29" cm="1">
        <f t="array" ref="V263">IF(表成绩单[[#This Row],[历史]]="","",SUMPRODUCT((表成绩单[考试日期]=表成绩单[[#This Row],[考试日期]])*(表成绩单[历史]&lt;9E+307)*(表成绩单[历史]&gt;表成绩单[[#This Row],[历史]]))+1)</f>
        <v>278</v>
      </c>
      <c r="W263" s="29" cm="1">
        <f t="array" ref="W263">IF(表成绩单[[#This Row],[总分]]="","",SUMPRODUCT((表成绩单[考试日期]=表成绩单[[#This Row],[考试日期]])*(表成绩单[总分]&lt;9E+307)*(表成绩单[总分]&gt;表成绩单[[#This Row],[总分]]))+1)</f>
        <v>259</v>
      </c>
    </row>
    <row r="264" ht="28" customHeight="1" spans="4:23">
      <c r="D264" s="31">
        <v>45975</v>
      </c>
      <c r="E264" s="29">
        <v>19174470</v>
      </c>
      <c r="F264" s="29" t="s">
        <v>73</v>
      </c>
      <c r="G264" s="29" t="s">
        <v>337</v>
      </c>
      <c r="H264" s="29">
        <v>99</v>
      </c>
      <c r="I264" s="29">
        <v>103</v>
      </c>
      <c r="J264" s="29">
        <v>73.5</v>
      </c>
      <c r="K264" s="29">
        <v>87</v>
      </c>
      <c r="L264" s="29">
        <v>82</v>
      </c>
      <c r="M264" s="29">
        <v>78</v>
      </c>
      <c r="N264" s="29">
        <v>75</v>
      </c>
      <c r="O264" s="32">
        <v>597.5</v>
      </c>
      <c r="P264" s="29" cm="1">
        <f t="array" ref="P264">IF(表成绩单[[#This Row],[语文]]="","",SUMPRODUCT((表成绩单[考试日期]=表成绩单[[#This Row],[考试日期]])*(表成绩单[语文]&lt;9E+307)*(表成绩单[语文]&gt;表成绩单[[#This Row],[语文]]))+1)</f>
        <v>264</v>
      </c>
      <c r="Q264" s="29" cm="1">
        <f t="array" ref="Q264">IF(表成绩单[[#This Row],[数学]]="","",SUMPRODUCT((表成绩单[考试日期]=表成绩单[[#This Row],[考试日期]])*(表成绩单[数学]&lt;9E+307)*(表成绩单[数学]&gt;表成绩单[[#This Row],[数学]]))+1)</f>
        <v>277</v>
      </c>
      <c r="R264" s="29" cm="1">
        <f t="array" ref="R264">IF(表成绩单[[#This Row],[英语]]="","",SUMPRODUCT((表成绩单[考试日期]=表成绩单[[#This Row],[考试日期]])*(表成绩单[英语]&lt;9E+307)*(表成绩单[英语]&gt;表成绩单[[#This Row],[英语]]))+1)</f>
        <v>470</v>
      </c>
      <c r="S264" s="29" cm="1">
        <f t="array" ref="S264">IF(表成绩单[[#This Row],[物理]]="","",SUMPRODUCT((表成绩单[考试日期]=表成绩单[[#This Row],[考试日期]])*(表成绩单[物理]&lt;9E+307)*(表成绩单[物理]&gt;表成绩单[[#This Row],[物理]]))+1)</f>
        <v>127</v>
      </c>
      <c r="T264" s="29" cm="1">
        <f t="array" ref="T264">IF(表成绩单[[#This Row],[化学]]="","",SUMPRODUCT((表成绩单[考试日期]=表成绩单[[#This Row],[考试日期]])*(表成绩单[化学]&lt;9E+307)*(表成绩单[化学]&gt;表成绩单[[#This Row],[化学]]))+1)</f>
        <v>71</v>
      </c>
      <c r="U264" s="29" cm="1">
        <f t="array" ref="U264">IF(表成绩单[[#This Row],[政治]]="","",SUMPRODUCT((表成绩单[考试日期]=表成绩单[[#This Row],[考试日期]])*(表成绩单[政治]&lt;9E+307)*(表成绩单[政治]&gt;表成绩单[[#This Row],[政治]]))+1)</f>
        <v>272</v>
      </c>
      <c r="V264" s="29" cm="1">
        <f t="array" ref="V264">IF(表成绩单[[#This Row],[历史]]="","",SUMPRODUCT((表成绩单[考试日期]=表成绩单[[#This Row],[考试日期]])*(表成绩单[历史]&lt;9E+307)*(表成绩单[历史]&gt;表成绩单[[#This Row],[历史]]))+1)</f>
        <v>315</v>
      </c>
      <c r="W264" s="29" cm="1">
        <f t="array" ref="W264">IF(表成绩单[[#This Row],[总分]]="","",SUMPRODUCT((表成绩单[考试日期]=表成绩单[[#This Row],[考试日期]])*(表成绩单[总分]&lt;9E+307)*(表成绩单[总分]&gt;表成绩单[[#This Row],[总分]]))+1)</f>
        <v>259</v>
      </c>
    </row>
    <row r="265" ht="28" customHeight="1" spans="4:23">
      <c r="D265" s="31">
        <v>45975</v>
      </c>
      <c r="E265" s="29">
        <v>19175692</v>
      </c>
      <c r="F265" s="29" t="s">
        <v>72</v>
      </c>
      <c r="G265" s="29" t="s">
        <v>338</v>
      </c>
      <c r="H265" s="29">
        <v>98</v>
      </c>
      <c r="I265" s="29">
        <v>100</v>
      </c>
      <c r="J265" s="29">
        <v>82.5</v>
      </c>
      <c r="K265" s="29">
        <v>83</v>
      </c>
      <c r="L265" s="29">
        <v>74</v>
      </c>
      <c r="M265" s="29">
        <v>77</v>
      </c>
      <c r="N265" s="29">
        <v>83</v>
      </c>
      <c r="O265" s="32">
        <v>597.5</v>
      </c>
      <c r="P265" s="29" cm="1">
        <f t="array" ref="P265">IF(表成绩单[[#This Row],[语文]]="","",SUMPRODUCT((表成绩单[考试日期]=表成绩单[[#This Row],[考试日期]])*(表成绩单[语文]&lt;9E+307)*(表成绩单[语文]&gt;表成绩单[[#This Row],[语文]]))+1)</f>
        <v>305</v>
      </c>
      <c r="Q265" s="29" cm="1">
        <f t="array" ref="Q265">IF(表成绩单[[#This Row],[数学]]="","",SUMPRODUCT((表成绩单[考试日期]=表成绩单[[#This Row],[考试日期]])*(表成绩单[数学]&lt;9E+307)*(表成绩单[数学]&gt;表成绩单[[#This Row],[数学]]))+1)</f>
        <v>340</v>
      </c>
      <c r="R265" s="29" cm="1">
        <f t="array" ref="R265">IF(表成绩单[[#This Row],[英语]]="","",SUMPRODUCT((表成绩单[考试日期]=表成绩单[[#This Row],[考试日期]])*(表成绩单[英语]&lt;9E+307)*(表成绩单[英语]&gt;表成绩单[[#This Row],[英语]]))+1)</f>
        <v>170</v>
      </c>
      <c r="S265" s="29" cm="1">
        <f t="array" ref="S265">IF(表成绩单[[#This Row],[物理]]="","",SUMPRODUCT((表成绩单[考试日期]=表成绩单[[#This Row],[考试日期]])*(表成绩单[物理]&lt;9E+307)*(表成绩单[物理]&gt;表成绩单[[#This Row],[物理]]))+1)</f>
        <v>390</v>
      </c>
      <c r="T265" s="29" cm="1">
        <f t="array" ref="T265">IF(表成绩单[[#This Row],[化学]]="","",SUMPRODUCT((表成绩单[考试日期]=表成绩单[[#This Row],[考试日期]])*(表成绩单[化学]&lt;9E+307)*(表成绩单[化学]&gt;表成绩单[[#This Row],[化学]]))+1)</f>
        <v>337</v>
      </c>
      <c r="U265" s="29" cm="1">
        <f t="array" ref="U265">IF(表成绩单[[#This Row],[政治]]="","",SUMPRODUCT((表成绩单[考试日期]=表成绩单[[#This Row],[考试日期]])*(表成绩单[政治]&lt;9E+307)*(表成绩单[政治]&gt;表成绩单[[#This Row],[政治]]))+1)</f>
        <v>304</v>
      </c>
      <c r="V265" s="29" cm="1">
        <f t="array" ref="V265">IF(表成绩单[[#This Row],[历史]]="","",SUMPRODUCT((表成绩单[考试日期]=表成绩单[[#This Row],[考试日期]])*(表成绩单[历史]&lt;9E+307)*(表成绩单[历史]&gt;表成绩单[[#This Row],[历史]]))+1)</f>
        <v>18</v>
      </c>
      <c r="W265" s="29" cm="1">
        <f t="array" ref="W265">IF(表成绩单[[#This Row],[总分]]="","",SUMPRODUCT((表成绩单[考试日期]=表成绩单[[#This Row],[考试日期]])*(表成绩单[总分]&lt;9E+307)*(表成绩单[总分]&gt;表成绩单[[#This Row],[总分]]))+1)</f>
        <v>259</v>
      </c>
    </row>
    <row r="266" ht="28" customHeight="1" spans="4:23">
      <c r="D266" s="31">
        <v>45975</v>
      </c>
      <c r="E266" s="29">
        <v>19176155</v>
      </c>
      <c r="F266" s="29" t="s">
        <v>67</v>
      </c>
      <c r="G266" s="29" t="s">
        <v>339</v>
      </c>
      <c r="H266" s="29">
        <v>98</v>
      </c>
      <c r="I266" s="29">
        <v>97</v>
      </c>
      <c r="J266" s="29">
        <v>85.5</v>
      </c>
      <c r="K266" s="29">
        <v>85</v>
      </c>
      <c r="L266" s="29">
        <v>72</v>
      </c>
      <c r="M266" s="29">
        <v>82</v>
      </c>
      <c r="N266" s="29">
        <v>78</v>
      </c>
      <c r="O266" s="32">
        <v>597.5</v>
      </c>
      <c r="P266" s="29" cm="1">
        <f t="array" ref="P266">IF(表成绩单[[#This Row],[语文]]="","",SUMPRODUCT((表成绩单[考试日期]=表成绩单[[#This Row],[考试日期]])*(表成绩单[语文]&lt;9E+307)*(表成绩单[语文]&gt;表成绩单[[#This Row],[语文]]))+1)</f>
        <v>305</v>
      </c>
      <c r="Q266" s="29" cm="1">
        <f t="array" ref="Q266">IF(表成绩单[[#This Row],[数学]]="","",SUMPRODUCT((表成绩单[考试日期]=表成绩单[[#This Row],[考试日期]])*(表成绩单[数学]&lt;9E+307)*(表成绩单[数学]&gt;表成绩单[[#This Row],[数学]]))+1)</f>
        <v>389</v>
      </c>
      <c r="R266" s="29" cm="1">
        <f t="array" ref="R266">IF(表成绩单[[#This Row],[英语]]="","",SUMPRODUCT((表成绩单[考试日期]=表成绩单[[#This Row],[考试日期]])*(表成绩单[英语]&lt;9E+307)*(表成绩单[英语]&gt;表成绩单[[#This Row],[英语]]))+1)</f>
        <v>54</v>
      </c>
      <c r="S266" s="29" cm="1">
        <f t="array" ref="S266">IF(表成绩单[[#This Row],[物理]]="","",SUMPRODUCT((表成绩单[考试日期]=表成绩单[[#This Row],[考试日期]])*(表成绩单[物理]&lt;9E+307)*(表成绩单[物理]&gt;表成绩单[[#This Row],[物理]]))+1)</f>
        <v>263</v>
      </c>
      <c r="T266" s="29" cm="1">
        <f t="array" ref="T266">IF(表成绩单[[#This Row],[化学]]="","",SUMPRODUCT((表成绩单[考试日期]=表成绩单[[#This Row],[考试日期]])*(表成绩单[化学]&lt;9E+307)*(表成绩单[化学]&gt;表成绩单[[#This Row],[化学]]))+1)</f>
        <v>405</v>
      </c>
      <c r="U266" s="29" cm="1">
        <f t="array" ref="U266">IF(表成绩单[[#This Row],[政治]]="","",SUMPRODUCT((表成绩单[考试日期]=表成绩单[[#This Row],[考试日期]])*(表成绩单[政治]&lt;9E+307)*(表成绩单[政治]&gt;表成绩单[[#This Row],[政治]]))+1)</f>
        <v>157</v>
      </c>
      <c r="V266" s="29" cm="1">
        <f t="array" ref="V266">IF(表成绩单[[#This Row],[历史]]="","",SUMPRODUCT((表成绩单[考试日期]=表成绩单[[#This Row],[考试日期]])*(表成绩单[历史]&lt;9E+307)*(表成绩单[历史]&gt;表成绩单[[#This Row],[历史]]))+1)</f>
        <v>189</v>
      </c>
      <c r="W266" s="29" cm="1">
        <f t="array" ref="W266">IF(表成绩单[[#This Row],[总分]]="","",SUMPRODUCT((表成绩单[考试日期]=表成绩单[[#This Row],[考试日期]])*(表成绩单[总分]&lt;9E+307)*(表成绩单[总分]&gt;表成绩单[[#This Row],[总分]]))+1)</f>
        <v>259</v>
      </c>
    </row>
    <row r="267" ht="28" customHeight="1" spans="4:23">
      <c r="D267" s="31">
        <v>45975</v>
      </c>
      <c r="E267" s="29">
        <v>19176884</v>
      </c>
      <c r="F267" s="29" t="s">
        <v>71</v>
      </c>
      <c r="G267" s="29" t="s">
        <v>340</v>
      </c>
      <c r="H267" s="29">
        <v>102</v>
      </c>
      <c r="I267" s="29">
        <v>100</v>
      </c>
      <c r="J267" s="29">
        <v>74.5</v>
      </c>
      <c r="K267" s="29">
        <v>86</v>
      </c>
      <c r="L267" s="29">
        <v>81</v>
      </c>
      <c r="M267" s="29">
        <v>78</v>
      </c>
      <c r="N267" s="29">
        <v>76</v>
      </c>
      <c r="O267" s="32">
        <v>597.5</v>
      </c>
      <c r="P267" s="29" cm="1">
        <f t="array" ref="P267">IF(表成绩单[[#This Row],[语文]]="","",SUMPRODUCT((表成绩单[考试日期]=表成绩单[[#This Row],[考试日期]])*(表成绩单[语文]&lt;9E+307)*(表成绩单[语文]&gt;表成绩单[[#This Row],[语文]]))+1)</f>
        <v>154</v>
      </c>
      <c r="Q267" s="29" cm="1">
        <f t="array" ref="Q267">IF(表成绩单[[#This Row],[数学]]="","",SUMPRODUCT((表成绩单[考试日期]=表成绩单[[#This Row],[考试日期]])*(表成绩单[数学]&lt;9E+307)*(表成绩单[数学]&gt;表成绩单[[#This Row],[数学]]))+1)</f>
        <v>340</v>
      </c>
      <c r="R267" s="29" cm="1">
        <f t="array" ref="R267">IF(表成绩单[[#This Row],[英语]]="","",SUMPRODUCT((表成绩单[考试日期]=表成绩单[[#This Row],[考试日期]])*(表成绩单[英语]&lt;9E+307)*(表成绩单[英语]&gt;表成绩单[[#This Row],[英语]]))+1)</f>
        <v>445</v>
      </c>
      <c r="S267" s="29" cm="1">
        <f t="array" ref="S267">IF(表成绩单[[#This Row],[物理]]="","",SUMPRODUCT((表成绩单[考试日期]=表成绩单[[#This Row],[考试日期]])*(表成绩单[物理]&lt;9E+307)*(表成绩单[物理]&gt;表成绩单[[#This Row],[物理]]))+1)</f>
        <v>187</v>
      </c>
      <c r="T267" s="29" cm="1">
        <f t="array" ref="T267">IF(表成绩单[[#This Row],[化学]]="","",SUMPRODUCT((表成绩单[考试日期]=表成绩单[[#This Row],[考试日期]])*(表成绩单[化学]&lt;9E+307)*(表成绩单[化学]&gt;表成绩单[[#This Row],[化学]]))+1)</f>
        <v>100</v>
      </c>
      <c r="U267" s="29" cm="1">
        <f t="array" ref="U267">IF(表成绩单[[#This Row],[政治]]="","",SUMPRODUCT((表成绩单[考试日期]=表成绩单[[#This Row],[考试日期]])*(表成绩单[政治]&lt;9E+307)*(表成绩单[政治]&gt;表成绩单[[#This Row],[政治]]))+1)</f>
        <v>272</v>
      </c>
      <c r="V267" s="29" cm="1">
        <f t="array" ref="V267">IF(表成绩单[[#This Row],[历史]]="","",SUMPRODUCT((表成绩单[考试日期]=表成绩单[[#This Row],[考试日期]])*(表成绩单[历史]&lt;9E+307)*(表成绩单[历史]&gt;表成绩单[[#This Row],[历史]]))+1)</f>
        <v>278</v>
      </c>
      <c r="W267" s="29" cm="1">
        <f t="array" ref="W267">IF(表成绩单[[#This Row],[总分]]="","",SUMPRODUCT((表成绩单[考试日期]=表成绩单[[#This Row],[考试日期]])*(表成绩单[总分]&lt;9E+307)*(表成绩单[总分]&gt;表成绩单[[#This Row],[总分]]))+1)</f>
        <v>259</v>
      </c>
    </row>
    <row r="268" ht="28" customHeight="1" spans="4:23">
      <c r="D268" s="31">
        <v>45975</v>
      </c>
      <c r="E268" s="29">
        <v>19171092</v>
      </c>
      <c r="F268" s="29" t="s">
        <v>67</v>
      </c>
      <c r="G268" s="29" t="s">
        <v>341</v>
      </c>
      <c r="H268" s="29">
        <v>94</v>
      </c>
      <c r="I268" s="29">
        <v>99</v>
      </c>
      <c r="J268" s="29">
        <v>84</v>
      </c>
      <c r="K268" s="29">
        <v>87</v>
      </c>
      <c r="L268" s="29">
        <v>76</v>
      </c>
      <c r="M268" s="29">
        <v>83</v>
      </c>
      <c r="N268" s="29">
        <v>74</v>
      </c>
      <c r="O268" s="32">
        <v>597</v>
      </c>
      <c r="P268" s="29" cm="1">
        <f t="array" ref="P268">IF(表成绩单[[#This Row],[语文]]="","",SUMPRODUCT((表成绩单[考试日期]=表成绩单[[#This Row],[考试日期]])*(表成绩单[语文]&lt;9E+307)*(表成绩单[语文]&gt;表成绩单[[#This Row],[语文]]))+1)</f>
        <v>452</v>
      </c>
      <c r="Q268" s="29" cm="1">
        <f t="array" ref="Q268">IF(表成绩单[[#This Row],[数学]]="","",SUMPRODUCT((表成绩单[考试日期]=表成绩单[[#This Row],[考试日期]])*(表成绩单[数学]&lt;9E+307)*(表成绩单[数学]&gt;表成绩单[[#This Row],[数学]]))+1)</f>
        <v>361</v>
      </c>
      <c r="R268" s="29" cm="1">
        <f t="array" ref="R268">IF(表成绩单[[#This Row],[英语]]="","",SUMPRODUCT((表成绩单[考试日期]=表成绩单[[#This Row],[考试日期]])*(表成绩单[英语]&lt;9E+307)*(表成绩单[英语]&gt;表成绩单[[#This Row],[英语]]))+1)</f>
        <v>102</v>
      </c>
      <c r="S268" s="29" cm="1">
        <f t="array" ref="S268">IF(表成绩单[[#This Row],[物理]]="","",SUMPRODUCT((表成绩单[考试日期]=表成绩单[[#This Row],[考试日期]])*(表成绩单[物理]&lt;9E+307)*(表成绩单[物理]&gt;表成绩单[[#This Row],[物理]]))+1)</f>
        <v>127</v>
      </c>
      <c r="T268" s="29" cm="1">
        <f t="array" ref="T268">IF(表成绩单[[#This Row],[化学]]="","",SUMPRODUCT((表成绩单[考试日期]=表成绩单[[#This Row],[考试日期]])*(表成绩单[化学]&lt;9E+307)*(表成绩单[化学]&gt;表成绩单[[#This Row],[化学]]))+1)</f>
        <v>268</v>
      </c>
      <c r="U268" s="29" cm="1">
        <f t="array" ref="U268">IF(表成绩单[[#This Row],[政治]]="","",SUMPRODUCT((表成绩单[考试日期]=表成绩单[[#This Row],[考试日期]])*(表成绩单[政治]&lt;9E+307)*(表成绩单[政治]&gt;表成绩单[[#This Row],[政治]]))+1)</f>
        <v>121</v>
      </c>
      <c r="V268" s="29" cm="1">
        <f t="array" ref="V268">IF(表成绩单[[#This Row],[历史]]="","",SUMPRODUCT((表成绩单[考试日期]=表成绩单[[#This Row],[考试日期]])*(表成绩单[历史]&lt;9E+307)*(表成绩单[历史]&gt;表成绩单[[#This Row],[历史]]))+1)</f>
        <v>358</v>
      </c>
      <c r="W268" s="29" cm="1">
        <f t="array" ref="W268">IF(表成绩单[[#This Row],[总分]]="","",SUMPRODUCT((表成绩单[考试日期]=表成绩单[[#This Row],[考试日期]])*(表成绩单[总分]&lt;9E+307)*(表成绩单[总分]&gt;表成绩单[[#This Row],[总分]]))+1)</f>
        <v>264</v>
      </c>
    </row>
    <row r="269" ht="28" customHeight="1" spans="4:23">
      <c r="D269" s="31">
        <v>45975</v>
      </c>
      <c r="E269" s="29">
        <v>19174460</v>
      </c>
      <c r="F269" s="29" t="s">
        <v>73</v>
      </c>
      <c r="G269" s="29" t="s">
        <v>342</v>
      </c>
      <c r="H269" s="29">
        <v>102</v>
      </c>
      <c r="I269" s="29">
        <v>101</v>
      </c>
      <c r="J269" s="29">
        <v>80</v>
      </c>
      <c r="K269" s="29">
        <v>76</v>
      </c>
      <c r="L269" s="29">
        <v>82</v>
      </c>
      <c r="M269" s="29">
        <v>79</v>
      </c>
      <c r="N269" s="29">
        <v>77</v>
      </c>
      <c r="O269" s="32">
        <v>597</v>
      </c>
      <c r="P269" s="29" cm="1">
        <f t="array" ref="P269">IF(表成绩单[[#This Row],[语文]]="","",SUMPRODUCT((表成绩单[考试日期]=表成绩单[[#This Row],[考试日期]])*(表成绩单[语文]&lt;9E+307)*(表成绩单[语文]&gt;表成绩单[[#This Row],[语文]]))+1)</f>
        <v>154</v>
      </c>
      <c r="Q269" s="29" cm="1">
        <f t="array" ref="Q269">IF(表成绩单[[#This Row],[数学]]="","",SUMPRODUCT((表成绩单[考试日期]=表成绩单[[#This Row],[考试日期]])*(表成绩单[数学]&lt;9E+307)*(表成绩单[数学]&gt;表成绩单[[#This Row],[数学]]))+1)</f>
        <v>319</v>
      </c>
      <c r="R269" s="29" cm="1">
        <f t="array" ref="R269">IF(表成绩单[[#This Row],[英语]]="","",SUMPRODUCT((表成绩单[考试日期]=表成绩单[[#This Row],[考试日期]])*(表成绩单[英语]&lt;9E+307)*(表成绩单[英语]&gt;表成绩单[[#This Row],[英语]]))+1)</f>
        <v>268</v>
      </c>
      <c r="S269" s="29" cm="1">
        <f t="array" ref="S269">IF(表成绩单[[#This Row],[物理]]="","",SUMPRODUCT((表成绩单[考试日期]=表成绩单[[#This Row],[考试日期]])*(表成绩单[物理]&lt;9E+307)*(表成绩单[物理]&gt;表成绩单[[#This Row],[物理]]))+1)</f>
        <v>589</v>
      </c>
      <c r="T269" s="29" cm="1">
        <f t="array" ref="T269">IF(表成绩单[[#This Row],[化学]]="","",SUMPRODUCT((表成绩单[考试日期]=表成绩单[[#This Row],[考试日期]])*(表成绩单[化学]&lt;9E+307)*(表成绩单[化学]&gt;表成绩单[[#This Row],[化学]]))+1)</f>
        <v>71</v>
      </c>
      <c r="U269" s="29" cm="1">
        <f t="array" ref="U269">IF(表成绩单[[#This Row],[政治]]="","",SUMPRODUCT((表成绩单[考试日期]=表成绩单[[#This Row],[考试日期]])*(表成绩单[政治]&lt;9E+307)*(表成绩单[政治]&gt;表成绩单[[#This Row],[政治]]))+1)</f>
        <v>246</v>
      </c>
      <c r="V269" s="29" cm="1">
        <f t="array" ref="V269">IF(表成绩单[[#This Row],[历史]]="","",SUMPRODUCT((表成绩单[考试日期]=表成绩单[[#This Row],[考试日期]])*(表成绩单[历史]&lt;9E+307)*(表成绩单[历史]&gt;表成绩单[[#This Row],[历史]]))+1)</f>
        <v>237</v>
      </c>
      <c r="W269" s="29" cm="1">
        <f t="array" ref="W269">IF(表成绩单[[#This Row],[总分]]="","",SUMPRODUCT((表成绩单[考试日期]=表成绩单[[#This Row],[考试日期]])*(表成绩单[总分]&lt;9E+307)*(表成绩单[总分]&gt;表成绩单[[#This Row],[总分]]))+1)</f>
        <v>264</v>
      </c>
    </row>
    <row r="270" ht="28" customHeight="1" spans="4:23">
      <c r="D270" s="31">
        <v>45975</v>
      </c>
      <c r="E270" s="29">
        <v>19174466</v>
      </c>
      <c r="F270" s="29" t="s">
        <v>73</v>
      </c>
      <c r="G270" s="29" t="s">
        <v>343</v>
      </c>
      <c r="H270" s="29">
        <v>104</v>
      </c>
      <c r="I270" s="29">
        <v>106</v>
      </c>
      <c r="J270" s="29">
        <v>78</v>
      </c>
      <c r="K270" s="29">
        <v>88</v>
      </c>
      <c r="L270" s="29">
        <v>80</v>
      </c>
      <c r="M270" s="29">
        <v>72</v>
      </c>
      <c r="N270" s="29">
        <v>69</v>
      </c>
      <c r="O270" s="32">
        <v>597</v>
      </c>
      <c r="P270" s="29" cm="1">
        <f t="array" ref="P270">IF(表成绩单[[#This Row],[语文]]="","",SUMPRODUCT((表成绩单[考试日期]=表成绩单[[#This Row],[考试日期]])*(表成绩单[语文]&lt;9E+307)*(表成绩单[语文]&gt;表成绩单[[#This Row],[语文]]))+1)</f>
        <v>104</v>
      </c>
      <c r="Q270" s="29" cm="1">
        <f t="array" ref="Q270">IF(表成绩单[[#This Row],[数学]]="","",SUMPRODUCT((表成绩单[考试日期]=表成绩单[[#This Row],[考试日期]])*(表成绩单[数学]&lt;9E+307)*(表成绩单[数学]&gt;表成绩单[[#This Row],[数学]]))+1)</f>
        <v>220</v>
      </c>
      <c r="R270" s="29" cm="1">
        <f t="array" ref="R270">IF(表成绩单[[#This Row],[英语]]="","",SUMPRODUCT((表成绩单[考试日期]=表成绩单[[#This Row],[考试日期]])*(表成绩单[英语]&lt;9E+307)*(表成绩单[英语]&gt;表成绩单[[#This Row],[英语]]))+1)</f>
        <v>330</v>
      </c>
      <c r="S270" s="29" cm="1">
        <f t="array" ref="S270">IF(表成绩单[[#This Row],[物理]]="","",SUMPRODUCT((表成绩单[考试日期]=表成绩单[[#This Row],[考试日期]])*(表成绩单[物理]&lt;9E+307)*(表成绩单[物理]&gt;表成绩单[[#This Row],[物理]]))+1)</f>
        <v>54</v>
      </c>
      <c r="T270" s="29" cm="1">
        <f t="array" ref="T270">IF(表成绩单[[#This Row],[化学]]="","",SUMPRODUCT((表成绩单[考试日期]=表成绩单[[#This Row],[考试日期]])*(表成绩单[化学]&lt;9E+307)*(表成绩单[化学]&gt;表成绩单[[#This Row],[化学]]))+1)</f>
        <v>129</v>
      </c>
      <c r="U270" s="29" cm="1">
        <f t="array" ref="U270">IF(表成绩单[[#This Row],[政治]]="","",SUMPRODUCT((表成绩单[考试日期]=表成绩单[[#This Row],[考试日期]])*(表成绩单[政治]&lt;9E+307)*(表成绩单[政治]&gt;表成绩单[[#This Row],[政治]]))+1)</f>
        <v>448</v>
      </c>
      <c r="V270" s="29" cm="1">
        <f t="array" ref="V270">IF(表成绩单[[#This Row],[历史]]="","",SUMPRODUCT((表成绩单[考试日期]=表成绩单[[#This Row],[考试日期]])*(表成绩单[历史]&lt;9E+307)*(表成绩单[历史]&gt;表成绩单[[#This Row],[历史]]))+1)</f>
        <v>541</v>
      </c>
      <c r="W270" s="29" cm="1">
        <f t="array" ref="W270">IF(表成绩单[[#This Row],[总分]]="","",SUMPRODUCT((表成绩单[考试日期]=表成绩单[[#This Row],[考试日期]])*(表成绩单[总分]&lt;9E+307)*(表成绩单[总分]&gt;表成绩单[[#This Row],[总分]]))+1)</f>
        <v>264</v>
      </c>
    </row>
    <row r="271" ht="28" customHeight="1" spans="4:23">
      <c r="D271" s="31">
        <v>45975</v>
      </c>
      <c r="E271" s="29">
        <v>19174782</v>
      </c>
      <c r="F271" s="29" t="s">
        <v>69</v>
      </c>
      <c r="G271" s="29" t="s">
        <v>344</v>
      </c>
      <c r="H271" s="29">
        <v>95</v>
      </c>
      <c r="I271" s="29">
        <v>105</v>
      </c>
      <c r="J271" s="29">
        <v>79</v>
      </c>
      <c r="K271" s="29">
        <v>84</v>
      </c>
      <c r="L271" s="29">
        <v>78</v>
      </c>
      <c r="M271" s="29">
        <v>83</v>
      </c>
      <c r="N271" s="29">
        <v>73</v>
      </c>
      <c r="O271" s="32">
        <v>597</v>
      </c>
      <c r="P271" s="29" cm="1">
        <f t="array" ref="P271">IF(表成绩单[[#This Row],[语文]]="","",SUMPRODUCT((表成绩单[考试日期]=表成绩单[[#This Row],[考试日期]])*(表成绩单[语文]&lt;9E+307)*(表成绩单[语文]&gt;表成绩单[[#This Row],[语文]]))+1)</f>
        <v>420</v>
      </c>
      <c r="Q271" s="29" cm="1">
        <f t="array" ref="Q271">IF(表成绩单[[#This Row],[数学]]="","",SUMPRODUCT((表成绩单[考试日期]=表成绩单[[#This Row],[考试日期]])*(表成绩单[数学]&lt;9E+307)*(表成绩单[数学]&gt;表成绩单[[#This Row],[数学]]))+1)</f>
        <v>245</v>
      </c>
      <c r="R271" s="29" cm="1">
        <f t="array" ref="R271">IF(表成绩单[[#This Row],[英语]]="","",SUMPRODUCT((表成绩单[考试日期]=表成绩单[[#This Row],[考试日期]])*(表成绩单[英语]&lt;9E+307)*(表成绩单[英语]&gt;表成绩单[[#This Row],[英语]]))+1)</f>
        <v>292</v>
      </c>
      <c r="S271" s="29" cm="1">
        <f t="array" ref="S271">IF(表成绩单[[#This Row],[物理]]="","",SUMPRODUCT((表成绩单[考试日期]=表成绩单[[#This Row],[考试日期]])*(表成绩单[物理]&lt;9E+307)*(表成绩单[物理]&gt;表成绩单[[#This Row],[物理]]))+1)</f>
        <v>344</v>
      </c>
      <c r="T271" s="29" cm="1">
        <f t="array" ref="T271">IF(表成绩单[[#This Row],[化学]]="","",SUMPRODUCT((表成绩单[考试日期]=表成绩单[[#This Row],[考试日期]])*(表成绩单[化学]&lt;9E+307)*(表成绩单[化学]&gt;表成绩单[[#This Row],[化学]]))+1)</f>
        <v>200</v>
      </c>
      <c r="U271" s="29" cm="1">
        <f t="array" ref="U271">IF(表成绩单[[#This Row],[政治]]="","",SUMPRODUCT((表成绩单[考试日期]=表成绩单[[#This Row],[考试日期]])*(表成绩单[政治]&lt;9E+307)*(表成绩单[政治]&gt;表成绩单[[#This Row],[政治]]))+1)</f>
        <v>121</v>
      </c>
      <c r="V271" s="29" cm="1">
        <f t="array" ref="V271">IF(表成绩单[[#This Row],[历史]]="","",SUMPRODUCT((表成绩单[考试日期]=表成绩单[[#This Row],[考试日期]])*(表成绩单[历史]&lt;9E+307)*(表成绩单[历史]&gt;表成绩单[[#This Row],[历史]]))+1)</f>
        <v>395</v>
      </c>
      <c r="W271" s="29" cm="1">
        <f t="array" ref="W271">IF(表成绩单[[#This Row],[总分]]="","",SUMPRODUCT((表成绩单[考试日期]=表成绩单[[#This Row],[考试日期]])*(表成绩单[总分]&lt;9E+307)*(表成绩单[总分]&gt;表成绩单[[#This Row],[总分]]))+1)</f>
        <v>264</v>
      </c>
    </row>
    <row r="272" ht="28" customHeight="1" spans="4:23">
      <c r="D272" s="31">
        <v>45975</v>
      </c>
      <c r="E272" s="29">
        <v>19175707</v>
      </c>
      <c r="F272" s="29" t="s">
        <v>72</v>
      </c>
      <c r="G272" s="29" t="s">
        <v>345</v>
      </c>
      <c r="H272" s="29">
        <v>98</v>
      </c>
      <c r="I272" s="29">
        <v>104</v>
      </c>
      <c r="J272" s="29">
        <v>79</v>
      </c>
      <c r="K272" s="29">
        <v>81</v>
      </c>
      <c r="L272" s="29">
        <v>79</v>
      </c>
      <c r="M272" s="29">
        <v>81</v>
      </c>
      <c r="N272" s="29">
        <v>75</v>
      </c>
      <c r="O272" s="32">
        <v>597</v>
      </c>
      <c r="P272" s="29" cm="1">
        <f t="array" ref="P272">IF(表成绩单[[#This Row],[语文]]="","",SUMPRODUCT((表成绩单[考试日期]=表成绩单[[#This Row],[考试日期]])*(表成绩单[语文]&lt;9E+307)*(表成绩单[语文]&gt;表成绩单[[#This Row],[语文]]))+1)</f>
        <v>305</v>
      </c>
      <c r="Q272" s="29" cm="1">
        <f t="array" ref="Q272">IF(表成绩单[[#This Row],[数学]]="","",SUMPRODUCT((表成绩单[考试日期]=表成绩单[[#This Row],[考试日期]])*(表成绩单[数学]&lt;9E+307)*(表成绩单[数学]&gt;表成绩单[[#This Row],[数学]]))+1)</f>
        <v>260</v>
      </c>
      <c r="R272" s="29" cm="1">
        <f t="array" ref="R272">IF(表成绩单[[#This Row],[英语]]="","",SUMPRODUCT((表成绩单[考试日期]=表成绩单[[#This Row],[考试日期]])*(表成绩单[英语]&lt;9E+307)*(表成绩单[英语]&gt;表成绩单[[#This Row],[英语]]))+1)</f>
        <v>292</v>
      </c>
      <c r="S272" s="29" cm="1">
        <f t="array" ref="S272">IF(表成绩单[[#This Row],[物理]]="","",SUMPRODUCT((表成绩单[考试日期]=表成绩单[[#This Row],[考试日期]])*(表成绩单[物理]&lt;9E+307)*(表成绩单[物理]&gt;表成绩单[[#This Row],[物理]]))+1)</f>
        <v>474</v>
      </c>
      <c r="T272" s="29" cm="1">
        <f t="array" ref="T272">IF(表成绩单[[#This Row],[化学]]="","",SUMPRODUCT((表成绩单[考试日期]=表成绩单[[#This Row],[考试日期]])*(表成绩单[化学]&lt;9E+307)*(表成绩单[化学]&gt;表成绩单[[#This Row],[化学]]))+1)</f>
        <v>166</v>
      </c>
      <c r="U272" s="29" cm="1">
        <f t="array" ref="U272">IF(表成绩单[[#This Row],[政治]]="","",SUMPRODUCT((表成绩单[考试日期]=表成绩单[[#This Row],[考试日期]])*(表成绩单[政治]&lt;9E+307)*(表成绩单[政治]&gt;表成绩单[[#This Row],[政治]]))+1)</f>
        <v>180</v>
      </c>
      <c r="V272" s="29" cm="1">
        <f t="array" ref="V272">IF(表成绩单[[#This Row],[历史]]="","",SUMPRODUCT((表成绩单[考试日期]=表成绩单[[#This Row],[考试日期]])*(表成绩单[历史]&lt;9E+307)*(表成绩单[历史]&gt;表成绩单[[#This Row],[历史]]))+1)</f>
        <v>315</v>
      </c>
      <c r="W272" s="29" cm="1">
        <f t="array" ref="W272">IF(表成绩单[[#This Row],[总分]]="","",SUMPRODUCT((表成绩单[考试日期]=表成绩单[[#This Row],[考试日期]])*(表成绩单[总分]&lt;9E+307)*(表成绩单[总分]&gt;表成绩单[[#This Row],[总分]]))+1)</f>
        <v>264</v>
      </c>
    </row>
    <row r="273" ht="28" customHeight="1" spans="4:23">
      <c r="D273" s="31">
        <v>45975</v>
      </c>
      <c r="E273" s="29">
        <v>19176860</v>
      </c>
      <c r="F273" s="29" t="s">
        <v>71</v>
      </c>
      <c r="G273" s="29" t="s">
        <v>346</v>
      </c>
      <c r="H273" s="29">
        <v>96</v>
      </c>
      <c r="I273" s="29">
        <v>102</v>
      </c>
      <c r="J273" s="29">
        <v>84</v>
      </c>
      <c r="K273" s="29">
        <v>86</v>
      </c>
      <c r="L273" s="29">
        <v>79</v>
      </c>
      <c r="M273" s="29">
        <v>73</v>
      </c>
      <c r="N273" s="29">
        <v>77</v>
      </c>
      <c r="O273" s="32">
        <v>597</v>
      </c>
      <c r="P273" s="29" cm="1">
        <f t="array" ref="P273">IF(表成绩单[[#This Row],[语文]]="","",SUMPRODUCT((表成绩单[考试日期]=表成绩单[[#This Row],[考试日期]])*(表成绩单[语文]&lt;9E+307)*(表成绩单[语文]&gt;表成绩单[[#This Row],[语文]]))+1)</f>
        <v>387</v>
      </c>
      <c r="Q273" s="29" cm="1">
        <f t="array" ref="Q273">IF(表成绩单[[#This Row],[数学]]="","",SUMPRODUCT((表成绩单[考试日期]=表成绩单[[#This Row],[考试日期]])*(表成绩单[数学]&lt;9E+307)*(表成绩单[数学]&gt;表成绩单[[#This Row],[数学]]))+1)</f>
        <v>298</v>
      </c>
      <c r="R273" s="29" cm="1">
        <f t="array" ref="R273">IF(表成绩单[[#This Row],[英语]]="","",SUMPRODUCT((表成绩单[考试日期]=表成绩单[[#This Row],[考试日期]])*(表成绩单[英语]&lt;9E+307)*(表成绩单[英语]&gt;表成绩单[[#This Row],[英语]]))+1)</f>
        <v>102</v>
      </c>
      <c r="S273" s="29" cm="1">
        <f t="array" ref="S273">IF(表成绩单[[#This Row],[物理]]="","",SUMPRODUCT((表成绩单[考试日期]=表成绩单[[#This Row],[考试日期]])*(表成绩单[物理]&lt;9E+307)*(表成绩单[物理]&gt;表成绩单[[#This Row],[物理]]))+1)</f>
        <v>187</v>
      </c>
      <c r="T273" s="29" cm="1">
        <f t="array" ref="T273">IF(表成绩单[[#This Row],[化学]]="","",SUMPRODUCT((表成绩单[考试日期]=表成绩单[[#This Row],[考试日期]])*(表成绩单[化学]&lt;9E+307)*(表成绩单[化学]&gt;表成绩单[[#This Row],[化学]]))+1)</f>
        <v>166</v>
      </c>
      <c r="U273" s="29" cm="1">
        <f t="array" ref="U273">IF(表成绩单[[#This Row],[政治]]="","",SUMPRODUCT((表成绩单[考试日期]=表成绩单[[#This Row],[考试日期]])*(表成绩单[政治]&lt;9E+307)*(表成绩单[政治]&gt;表成绩单[[#This Row],[政治]]))+1)</f>
        <v>418</v>
      </c>
      <c r="V273" s="29" cm="1">
        <f t="array" ref="V273">IF(表成绩单[[#This Row],[历史]]="","",SUMPRODUCT((表成绩单[考试日期]=表成绩单[[#This Row],[考试日期]])*(表成绩单[历史]&lt;9E+307)*(表成绩单[历史]&gt;表成绩单[[#This Row],[历史]]))+1)</f>
        <v>237</v>
      </c>
      <c r="W273" s="29" cm="1">
        <f t="array" ref="W273">IF(表成绩单[[#This Row],[总分]]="","",SUMPRODUCT((表成绩单[考试日期]=表成绩单[[#This Row],[考试日期]])*(表成绩单[总分]&lt;9E+307)*(表成绩单[总分]&gt;表成绩单[[#This Row],[总分]]))+1)</f>
        <v>264</v>
      </c>
    </row>
    <row r="274" ht="28" customHeight="1" spans="4:23">
      <c r="D274" s="31">
        <v>45975</v>
      </c>
      <c r="E274" s="29">
        <v>19171090</v>
      </c>
      <c r="F274" s="29" t="s">
        <v>67</v>
      </c>
      <c r="G274" s="29" t="s">
        <v>347</v>
      </c>
      <c r="H274" s="29">
        <v>102</v>
      </c>
      <c r="I274" s="29">
        <v>106</v>
      </c>
      <c r="J274" s="29">
        <v>82.5</v>
      </c>
      <c r="K274" s="29">
        <v>84</v>
      </c>
      <c r="L274" s="29">
        <v>77</v>
      </c>
      <c r="M274" s="29">
        <v>76</v>
      </c>
      <c r="N274" s="29">
        <v>69</v>
      </c>
      <c r="O274" s="32">
        <v>596.5</v>
      </c>
      <c r="P274" s="29" cm="1">
        <f t="array" ref="P274">IF(表成绩单[[#This Row],[语文]]="","",SUMPRODUCT((表成绩单[考试日期]=表成绩单[[#This Row],[考试日期]])*(表成绩单[语文]&lt;9E+307)*(表成绩单[语文]&gt;表成绩单[[#This Row],[语文]]))+1)</f>
        <v>154</v>
      </c>
      <c r="Q274" s="29" cm="1">
        <f t="array" ref="Q274">IF(表成绩单[[#This Row],[数学]]="","",SUMPRODUCT((表成绩单[考试日期]=表成绩单[[#This Row],[考试日期]])*(表成绩单[数学]&lt;9E+307)*(表成绩单[数学]&gt;表成绩单[[#This Row],[数学]]))+1)</f>
        <v>220</v>
      </c>
      <c r="R274" s="29" cm="1">
        <f t="array" ref="R274">IF(表成绩单[[#This Row],[英语]]="","",SUMPRODUCT((表成绩单[考试日期]=表成绩单[[#This Row],[考试日期]])*(表成绩单[英语]&lt;9E+307)*(表成绩单[英语]&gt;表成绩单[[#This Row],[英语]]))+1)</f>
        <v>170</v>
      </c>
      <c r="S274" s="29" cm="1">
        <f t="array" ref="S274">IF(表成绩单[[#This Row],[物理]]="","",SUMPRODUCT((表成绩单[考试日期]=表成绩单[[#This Row],[考试日期]])*(表成绩单[物理]&lt;9E+307)*(表成绩单[物理]&gt;表成绩单[[#This Row],[物理]]))+1)</f>
        <v>344</v>
      </c>
      <c r="T274" s="29" cm="1">
        <f t="array" ref="T274">IF(表成绩单[[#This Row],[化学]]="","",SUMPRODUCT((表成绩单[考试日期]=表成绩单[[#This Row],[考试日期]])*(表成绩单[化学]&lt;9E+307)*(表成绩单[化学]&gt;表成绩单[[#This Row],[化学]]))+1)</f>
        <v>239</v>
      </c>
      <c r="U274" s="29" cm="1">
        <f t="array" ref="U274">IF(表成绩单[[#This Row],[政治]]="","",SUMPRODUCT((表成绩单[考试日期]=表成绩单[[#This Row],[考试日期]])*(表成绩单[政治]&lt;9E+307)*(表成绩单[政治]&gt;表成绩单[[#This Row],[政治]]))+1)</f>
        <v>329</v>
      </c>
      <c r="V274" s="29" cm="1">
        <f t="array" ref="V274">IF(表成绩单[[#This Row],[历史]]="","",SUMPRODUCT((表成绩单[考试日期]=表成绩单[[#This Row],[考试日期]])*(表成绩单[历史]&lt;9E+307)*(表成绩单[历史]&gt;表成绩单[[#This Row],[历史]]))+1)</f>
        <v>541</v>
      </c>
      <c r="W274" s="29" cm="1">
        <f t="array" ref="W274">IF(表成绩单[[#This Row],[总分]]="","",SUMPRODUCT((表成绩单[考试日期]=表成绩单[[#This Row],[考试日期]])*(表成绩单[总分]&lt;9E+307)*(表成绩单[总分]&gt;表成绩单[[#This Row],[总分]]))+1)</f>
        <v>270</v>
      </c>
    </row>
    <row r="275" ht="28" customHeight="1" spans="4:23">
      <c r="D275" s="31">
        <v>45975</v>
      </c>
      <c r="E275" s="29">
        <v>19174432</v>
      </c>
      <c r="F275" s="29" t="s">
        <v>73</v>
      </c>
      <c r="G275" s="29" t="s">
        <v>348</v>
      </c>
      <c r="H275" s="29">
        <v>99</v>
      </c>
      <c r="I275" s="29">
        <v>99</v>
      </c>
      <c r="J275" s="29">
        <v>82.5</v>
      </c>
      <c r="K275" s="29">
        <v>86</v>
      </c>
      <c r="L275" s="29">
        <v>75</v>
      </c>
      <c r="M275" s="29">
        <v>80</v>
      </c>
      <c r="N275" s="29">
        <v>75</v>
      </c>
      <c r="O275" s="32">
        <v>596.5</v>
      </c>
      <c r="P275" s="29" cm="1">
        <f t="array" ref="P275">IF(表成绩单[[#This Row],[语文]]="","",SUMPRODUCT((表成绩单[考试日期]=表成绩单[[#This Row],[考试日期]])*(表成绩单[语文]&lt;9E+307)*(表成绩单[语文]&gt;表成绩单[[#This Row],[语文]]))+1)</f>
        <v>264</v>
      </c>
      <c r="Q275" s="29" cm="1">
        <f t="array" ref="Q275">IF(表成绩单[[#This Row],[数学]]="","",SUMPRODUCT((表成绩单[考试日期]=表成绩单[[#This Row],[考试日期]])*(表成绩单[数学]&lt;9E+307)*(表成绩单[数学]&gt;表成绩单[[#This Row],[数学]]))+1)</f>
        <v>361</v>
      </c>
      <c r="R275" s="29" cm="1">
        <f t="array" ref="R275">IF(表成绩单[[#This Row],[英语]]="","",SUMPRODUCT((表成绩单[考试日期]=表成绩单[[#This Row],[考试日期]])*(表成绩单[英语]&lt;9E+307)*(表成绩单[英语]&gt;表成绩单[[#This Row],[英语]]))+1)</f>
        <v>170</v>
      </c>
      <c r="S275" s="29" cm="1">
        <f t="array" ref="S275">IF(表成绩单[[#This Row],[物理]]="","",SUMPRODUCT((表成绩单[考试日期]=表成绩单[[#This Row],[考试日期]])*(表成绩单[物理]&lt;9E+307)*(表成绩单[物理]&gt;表成绩单[[#This Row],[物理]]))+1)</f>
        <v>187</v>
      </c>
      <c r="T275" s="29" cm="1">
        <f t="array" ref="T275">IF(表成绩单[[#This Row],[化学]]="","",SUMPRODUCT((表成绩单[考试日期]=表成绩单[[#This Row],[考试日期]])*(表成绩单[化学]&lt;9E+307)*(表成绩单[化学]&gt;表成绩单[[#This Row],[化学]]))+1)</f>
        <v>310</v>
      </c>
      <c r="U275" s="29" cm="1">
        <f t="array" ref="U275">IF(表成绩单[[#This Row],[政治]]="","",SUMPRODUCT((表成绩单[考试日期]=表成绩单[[#This Row],[考试日期]])*(表成绩单[政治]&lt;9E+307)*(表成绩单[政治]&gt;表成绩单[[#This Row],[政治]]))+1)</f>
        <v>209</v>
      </c>
      <c r="V275" s="29" cm="1">
        <f t="array" ref="V275">IF(表成绩单[[#This Row],[历史]]="","",SUMPRODUCT((表成绩单[考试日期]=表成绩单[[#This Row],[考试日期]])*(表成绩单[历史]&lt;9E+307)*(表成绩单[历史]&gt;表成绩单[[#This Row],[历史]]))+1)</f>
        <v>315</v>
      </c>
      <c r="W275" s="29" cm="1">
        <f t="array" ref="W275">IF(表成绩单[[#This Row],[总分]]="","",SUMPRODUCT((表成绩单[考试日期]=表成绩单[[#This Row],[考试日期]])*(表成绩单[总分]&lt;9E+307)*(表成绩单[总分]&gt;表成绩单[[#This Row],[总分]]))+1)</f>
        <v>270</v>
      </c>
    </row>
    <row r="276" ht="28" customHeight="1" spans="4:23">
      <c r="D276" s="31">
        <v>45975</v>
      </c>
      <c r="E276" s="29">
        <v>19174804</v>
      </c>
      <c r="F276" s="29" t="s">
        <v>69</v>
      </c>
      <c r="G276" s="29" t="s">
        <v>349</v>
      </c>
      <c r="H276" s="29">
        <v>100</v>
      </c>
      <c r="I276" s="29">
        <v>112</v>
      </c>
      <c r="J276" s="29">
        <v>76.5</v>
      </c>
      <c r="K276" s="29">
        <v>83</v>
      </c>
      <c r="L276" s="29">
        <v>71</v>
      </c>
      <c r="M276" s="29">
        <v>84</v>
      </c>
      <c r="N276" s="29">
        <v>70</v>
      </c>
      <c r="O276" s="32">
        <v>596.5</v>
      </c>
      <c r="P276" s="29" cm="1">
        <f t="array" ref="P276">IF(表成绩单[[#This Row],[语文]]="","",SUMPRODUCT((表成绩单[考试日期]=表成绩单[[#This Row],[考试日期]])*(表成绩单[语文]&lt;9E+307)*(表成绩单[语文]&gt;表成绩单[[#This Row],[语文]]))+1)</f>
        <v>223</v>
      </c>
      <c r="Q276" s="29" cm="1">
        <f t="array" ref="Q276">IF(表成绩单[[#This Row],[数学]]="","",SUMPRODUCT((表成绩单[考试日期]=表成绩单[[#This Row],[考试日期]])*(表成绩单[数学]&lt;9E+307)*(表成绩单[数学]&gt;表成绩单[[#This Row],[数学]]))+1)</f>
        <v>112</v>
      </c>
      <c r="R276" s="29" cm="1">
        <f t="array" ref="R276">IF(表成绩单[[#This Row],[英语]]="","",SUMPRODUCT((表成绩单[考试日期]=表成绩单[[#This Row],[考试日期]])*(表成绩单[英语]&lt;9E+307)*(表成绩单[英语]&gt;表成绩单[[#This Row],[英语]]))+1)</f>
        <v>382</v>
      </c>
      <c r="S276" s="29" cm="1">
        <f t="array" ref="S276">IF(表成绩单[[#This Row],[物理]]="","",SUMPRODUCT((表成绩单[考试日期]=表成绩单[[#This Row],[考试日期]])*(表成绩单[物理]&lt;9E+307)*(表成绩单[物理]&gt;表成绩单[[#This Row],[物理]]))+1)</f>
        <v>390</v>
      </c>
      <c r="T276" s="29" cm="1">
        <f t="array" ref="T276">IF(表成绩单[[#This Row],[化学]]="","",SUMPRODUCT((表成绩单[考试日期]=表成绩单[[#This Row],[考试日期]])*(表成绩单[化学]&lt;9E+307)*(表成绩单[化学]&gt;表成绩单[[#This Row],[化学]]))+1)</f>
        <v>432</v>
      </c>
      <c r="U276" s="29" cm="1">
        <f t="array" ref="U276">IF(表成绩单[[#This Row],[政治]]="","",SUMPRODUCT((表成绩单[考试日期]=表成绩单[[#This Row],[考试日期]])*(表成绩单[政治]&lt;9E+307)*(表成绩单[政治]&gt;表成绩单[[#This Row],[政治]]))+1)</f>
        <v>83</v>
      </c>
      <c r="V276" s="29" cm="1">
        <f t="array" ref="V276">IF(表成绩单[[#This Row],[历史]]="","",SUMPRODUCT((表成绩单[考试日期]=表成绩单[[#This Row],[考试日期]])*(表成绩单[历史]&lt;9E+307)*(表成绩单[历史]&gt;表成绩单[[#This Row],[历史]]))+1)</f>
        <v>505</v>
      </c>
      <c r="W276" s="29" cm="1">
        <f t="array" ref="W276">IF(表成绩单[[#This Row],[总分]]="","",SUMPRODUCT((表成绩单[考试日期]=表成绩单[[#This Row],[考试日期]])*(表成绩单[总分]&lt;9E+307)*(表成绩单[总分]&gt;表成绩单[[#This Row],[总分]]))+1)</f>
        <v>270</v>
      </c>
    </row>
    <row r="277" ht="28" customHeight="1" spans="4:23">
      <c r="D277" s="31">
        <v>45975</v>
      </c>
      <c r="E277" s="29">
        <v>19175601</v>
      </c>
      <c r="F277" s="29" t="s">
        <v>57</v>
      </c>
      <c r="G277" s="29" t="s">
        <v>350</v>
      </c>
      <c r="H277" s="29">
        <v>96</v>
      </c>
      <c r="I277" s="29">
        <v>93</v>
      </c>
      <c r="J277" s="29">
        <v>84.5</v>
      </c>
      <c r="K277" s="29">
        <v>88</v>
      </c>
      <c r="L277" s="29">
        <v>81</v>
      </c>
      <c r="M277" s="29">
        <v>76</v>
      </c>
      <c r="N277" s="29">
        <v>78</v>
      </c>
      <c r="O277" s="32">
        <v>596.5</v>
      </c>
      <c r="P277" s="29" cm="1">
        <f t="array" ref="P277">IF(表成绩单[[#This Row],[语文]]="","",SUMPRODUCT((表成绩单[考试日期]=表成绩单[[#This Row],[考试日期]])*(表成绩单[语文]&lt;9E+307)*(表成绩单[语文]&gt;表成绩单[[#This Row],[语文]]))+1)</f>
        <v>387</v>
      </c>
      <c r="Q277" s="29" cm="1">
        <f t="array" ref="Q277">IF(表成绩单[[#This Row],[数学]]="","",SUMPRODUCT((表成绩单[考试日期]=表成绩单[[#This Row],[考试日期]])*(表成绩单[数学]&lt;9E+307)*(表成绩单[数学]&gt;表成绩单[[#This Row],[数学]]))+1)</f>
        <v>469</v>
      </c>
      <c r="R277" s="29" cm="1">
        <f t="array" ref="R277">IF(表成绩单[[#This Row],[英语]]="","",SUMPRODUCT((表成绩单[考试日期]=表成绩单[[#This Row],[考试日期]])*(表成绩单[英语]&lt;9E+307)*(表成绩单[英语]&gt;表成绩单[[#This Row],[英语]]))+1)</f>
        <v>85</v>
      </c>
      <c r="S277" s="29" cm="1">
        <f t="array" ref="S277">IF(表成绩单[[#This Row],[物理]]="","",SUMPRODUCT((表成绩单[考试日期]=表成绩单[[#This Row],[考试日期]])*(表成绩单[物理]&lt;9E+307)*(表成绩单[物理]&gt;表成绩单[[#This Row],[物理]]))+1)</f>
        <v>54</v>
      </c>
      <c r="T277" s="29" cm="1">
        <f t="array" ref="T277">IF(表成绩单[[#This Row],[化学]]="","",SUMPRODUCT((表成绩单[考试日期]=表成绩单[[#This Row],[考试日期]])*(表成绩单[化学]&lt;9E+307)*(表成绩单[化学]&gt;表成绩单[[#This Row],[化学]]))+1)</f>
        <v>100</v>
      </c>
      <c r="U277" s="29" cm="1">
        <f t="array" ref="U277">IF(表成绩单[[#This Row],[政治]]="","",SUMPRODUCT((表成绩单[考试日期]=表成绩单[[#This Row],[考试日期]])*(表成绩单[政治]&lt;9E+307)*(表成绩单[政治]&gt;表成绩单[[#This Row],[政治]]))+1)</f>
        <v>329</v>
      </c>
      <c r="V277" s="29" cm="1">
        <f t="array" ref="V277">IF(表成绩单[[#This Row],[历史]]="","",SUMPRODUCT((表成绩单[考试日期]=表成绩单[[#This Row],[考试日期]])*(表成绩单[历史]&lt;9E+307)*(表成绩单[历史]&gt;表成绩单[[#This Row],[历史]]))+1)</f>
        <v>189</v>
      </c>
      <c r="W277" s="29" cm="1">
        <f t="array" ref="W277">IF(表成绩单[[#This Row],[总分]]="","",SUMPRODUCT((表成绩单[考试日期]=表成绩单[[#This Row],[考试日期]])*(表成绩单[总分]&lt;9E+307)*(表成绩单[总分]&gt;表成绩单[[#This Row],[总分]]))+1)</f>
        <v>270</v>
      </c>
    </row>
    <row r="278" ht="28" customHeight="1" spans="4:23">
      <c r="D278" s="31">
        <v>45975</v>
      </c>
      <c r="E278" s="29">
        <v>19177206</v>
      </c>
      <c r="F278" s="29" t="s">
        <v>70</v>
      </c>
      <c r="G278" s="29" t="s">
        <v>351</v>
      </c>
      <c r="H278" s="29">
        <v>103</v>
      </c>
      <c r="I278" s="29">
        <v>106</v>
      </c>
      <c r="J278" s="29">
        <v>80.5</v>
      </c>
      <c r="K278" s="29">
        <v>85</v>
      </c>
      <c r="L278" s="29">
        <v>73</v>
      </c>
      <c r="M278" s="29">
        <v>77</v>
      </c>
      <c r="N278" s="29">
        <v>72</v>
      </c>
      <c r="O278" s="32">
        <v>596.5</v>
      </c>
      <c r="P278" s="29" cm="1">
        <f t="array" ref="P278">IF(表成绩单[[#This Row],[语文]]="","",SUMPRODUCT((表成绩单[考试日期]=表成绩单[[#This Row],[考试日期]])*(表成绩单[语文]&lt;9E+307)*(表成绩单[语文]&gt;表成绩单[[#This Row],[语文]]))+1)</f>
        <v>126</v>
      </c>
      <c r="Q278" s="29" cm="1">
        <f t="array" ref="Q278">IF(表成绩单[[#This Row],[数学]]="","",SUMPRODUCT((表成绩单[考试日期]=表成绩单[[#This Row],[考试日期]])*(表成绩单[数学]&lt;9E+307)*(表成绩单[数学]&gt;表成绩单[[#This Row],[数学]]))+1)</f>
        <v>220</v>
      </c>
      <c r="R278" s="29" cm="1">
        <f t="array" ref="R278">IF(表成绩单[[#This Row],[英语]]="","",SUMPRODUCT((表成绩单[考试日期]=表成绩单[[#This Row],[考试日期]])*(表成绩单[英语]&lt;9E+307)*(表成绩单[英语]&gt;表成绩单[[#This Row],[英语]]))+1)</f>
        <v>255</v>
      </c>
      <c r="S278" s="29" cm="1">
        <f t="array" ref="S278">IF(表成绩单[[#This Row],[物理]]="","",SUMPRODUCT((表成绩单[考试日期]=表成绩单[[#This Row],[考试日期]])*(表成绩单[物理]&lt;9E+307)*(表成绩单[物理]&gt;表成绩单[[#This Row],[物理]]))+1)</f>
        <v>263</v>
      </c>
      <c r="T278" s="29" cm="1">
        <f t="array" ref="T278">IF(表成绩单[[#This Row],[化学]]="","",SUMPRODUCT((表成绩单[考试日期]=表成绩单[[#This Row],[考试日期]])*(表成绩单[化学]&lt;9E+307)*(表成绩单[化学]&gt;表成绩单[[#This Row],[化学]]))+1)</f>
        <v>365</v>
      </c>
      <c r="U278" s="29" cm="1">
        <f t="array" ref="U278">IF(表成绩单[[#This Row],[政治]]="","",SUMPRODUCT((表成绩单[考试日期]=表成绩单[[#This Row],[考试日期]])*(表成绩单[政治]&lt;9E+307)*(表成绩单[政治]&gt;表成绩单[[#This Row],[政治]]))+1)</f>
        <v>304</v>
      </c>
      <c r="V278" s="29" cm="1">
        <f t="array" ref="V278">IF(表成绩单[[#This Row],[历史]]="","",SUMPRODUCT((表成绩单[考试日期]=表成绩单[[#This Row],[考试日期]])*(表成绩单[历史]&lt;9E+307)*(表成绩单[历史]&gt;表成绩单[[#This Row],[历史]]))+1)</f>
        <v>438</v>
      </c>
      <c r="W278" s="29" cm="1">
        <f t="array" ref="W278">IF(表成绩单[[#This Row],[总分]]="","",SUMPRODUCT((表成绩单[考试日期]=表成绩单[[#This Row],[考试日期]])*(表成绩单[总分]&lt;9E+307)*(表成绩单[总分]&gt;表成绩单[[#This Row],[总分]]))+1)</f>
        <v>270</v>
      </c>
    </row>
    <row r="279" ht="28" customHeight="1" spans="4:23">
      <c r="D279" s="31">
        <v>45975</v>
      </c>
      <c r="E279" s="29">
        <v>19174463</v>
      </c>
      <c r="F279" s="29" t="s">
        <v>73</v>
      </c>
      <c r="G279" s="29" t="s">
        <v>352</v>
      </c>
      <c r="H279" s="29">
        <v>98</v>
      </c>
      <c r="I279" s="29">
        <v>106</v>
      </c>
      <c r="J279" s="29">
        <v>83</v>
      </c>
      <c r="K279" s="29">
        <v>83</v>
      </c>
      <c r="L279" s="29">
        <v>74</v>
      </c>
      <c r="M279" s="29">
        <v>78</v>
      </c>
      <c r="N279" s="29">
        <v>74</v>
      </c>
      <c r="O279" s="32">
        <v>596</v>
      </c>
      <c r="P279" s="29" cm="1">
        <f t="array" ref="P279">IF(表成绩单[[#This Row],[语文]]="","",SUMPRODUCT((表成绩单[考试日期]=表成绩单[[#This Row],[考试日期]])*(表成绩单[语文]&lt;9E+307)*(表成绩单[语文]&gt;表成绩单[[#This Row],[语文]]))+1)</f>
        <v>305</v>
      </c>
      <c r="Q279" s="29" cm="1">
        <f t="array" ref="Q279">IF(表成绩单[[#This Row],[数学]]="","",SUMPRODUCT((表成绩单[考试日期]=表成绩单[[#This Row],[考试日期]])*(表成绩单[数学]&lt;9E+307)*(表成绩单[数学]&gt;表成绩单[[#This Row],[数学]]))+1)</f>
        <v>220</v>
      </c>
      <c r="R279" s="29" cm="1">
        <f t="array" ref="R279">IF(表成绩单[[#This Row],[英语]]="","",SUMPRODUCT((表成绩单[考试日期]=表成绩单[[#This Row],[考试日期]])*(表成绩单[英语]&lt;9E+307)*(表成绩单[英语]&gt;表成绩单[[#This Row],[英语]]))+1)</f>
        <v>146</v>
      </c>
      <c r="S279" s="29" cm="1">
        <f t="array" ref="S279">IF(表成绩单[[#This Row],[物理]]="","",SUMPRODUCT((表成绩单[考试日期]=表成绩单[[#This Row],[考试日期]])*(表成绩单[物理]&lt;9E+307)*(表成绩单[物理]&gt;表成绩单[[#This Row],[物理]]))+1)</f>
        <v>390</v>
      </c>
      <c r="T279" s="29" cm="1">
        <f t="array" ref="T279">IF(表成绩单[[#This Row],[化学]]="","",SUMPRODUCT((表成绩单[考试日期]=表成绩单[[#This Row],[考试日期]])*(表成绩单[化学]&lt;9E+307)*(表成绩单[化学]&gt;表成绩单[[#This Row],[化学]]))+1)</f>
        <v>337</v>
      </c>
      <c r="U279" s="29" cm="1">
        <f t="array" ref="U279">IF(表成绩单[[#This Row],[政治]]="","",SUMPRODUCT((表成绩单[考试日期]=表成绩单[[#This Row],[考试日期]])*(表成绩单[政治]&lt;9E+307)*(表成绩单[政治]&gt;表成绩单[[#This Row],[政治]]))+1)</f>
        <v>272</v>
      </c>
      <c r="V279" s="29" cm="1">
        <f t="array" ref="V279">IF(表成绩单[[#This Row],[历史]]="","",SUMPRODUCT((表成绩单[考试日期]=表成绩单[[#This Row],[考试日期]])*(表成绩单[历史]&lt;9E+307)*(表成绩单[历史]&gt;表成绩单[[#This Row],[历史]]))+1)</f>
        <v>358</v>
      </c>
      <c r="W279" s="29" cm="1">
        <f t="array" ref="W279">IF(表成绩单[[#This Row],[总分]]="","",SUMPRODUCT((表成绩单[考试日期]=表成绩单[[#This Row],[考试日期]])*(表成绩单[总分]&lt;9E+307)*(表成绩单[总分]&gt;表成绩单[[#This Row],[总分]]))+1)</f>
        <v>275</v>
      </c>
    </row>
    <row r="280" ht="28" customHeight="1" spans="4:23">
      <c r="D280" s="31">
        <v>45975</v>
      </c>
      <c r="E280" s="29">
        <v>19175680</v>
      </c>
      <c r="F280" s="29" t="s">
        <v>72</v>
      </c>
      <c r="G280" s="29" t="s">
        <v>353</v>
      </c>
      <c r="H280" s="29">
        <v>103</v>
      </c>
      <c r="I280" s="29">
        <v>95</v>
      </c>
      <c r="J280" s="29">
        <v>86</v>
      </c>
      <c r="K280" s="29">
        <v>85</v>
      </c>
      <c r="L280" s="29">
        <v>71</v>
      </c>
      <c r="M280" s="29">
        <v>82</v>
      </c>
      <c r="N280" s="29">
        <v>74</v>
      </c>
      <c r="O280" s="32">
        <v>596</v>
      </c>
      <c r="P280" s="29" cm="1">
        <f t="array" ref="P280">IF(表成绩单[[#This Row],[语文]]="","",SUMPRODUCT((表成绩单[考试日期]=表成绩单[[#This Row],[考试日期]])*(表成绩单[语文]&lt;9E+307)*(表成绩单[语文]&gt;表成绩单[[#This Row],[语文]]))+1)</f>
        <v>126</v>
      </c>
      <c r="Q280" s="29" cm="1">
        <f t="array" ref="Q280">IF(表成绩单[[#This Row],[数学]]="","",SUMPRODUCT((表成绩单[考试日期]=表成绩单[[#This Row],[考试日期]])*(表成绩单[数学]&lt;9E+307)*(表成绩单[数学]&gt;表成绩单[[#This Row],[数学]]))+1)</f>
        <v>430</v>
      </c>
      <c r="R280" s="29" cm="1">
        <f t="array" ref="R280">IF(表成绩单[[#This Row],[英语]]="","",SUMPRODUCT((表成绩单[考试日期]=表成绩单[[#This Row],[考试日期]])*(表成绩单[英语]&lt;9E+307)*(表成绩单[英语]&gt;表成绩单[[#This Row],[英语]]))+1)</f>
        <v>42</v>
      </c>
      <c r="S280" s="29" cm="1">
        <f t="array" ref="S280">IF(表成绩单[[#This Row],[物理]]="","",SUMPRODUCT((表成绩单[考试日期]=表成绩单[[#This Row],[考试日期]])*(表成绩单[物理]&lt;9E+307)*(表成绩单[物理]&gt;表成绩单[[#This Row],[物理]]))+1)</f>
        <v>263</v>
      </c>
      <c r="T280" s="29" cm="1">
        <f t="array" ref="T280">IF(表成绩单[[#This Row],[化学]]="","",SUMPRODUCT((表成绩单[考试日期]=表成绩单[[#This Row],[考试日期]])*(表成绩单[化学]&lt;9E+307)*(表成绩单[化学]&gt;表成绩单[[#This Row],[化学]]))+1)</f>
        <v>432</v>
      </c>
      <c r="U280" s="29" cm="1">
        <f t="array" ref="U280">IF(表成绩单[[#This Row],[政治]]="","",SUMPRODUCT((表成绩单[考试日期]=表成绩单[[#This Row],[考试日期]])*(表成绩单[政治]&lt;9E+307)*(表成绩单[政治]&gt;表成绩单[[#This Row],[政治]]))+1)</f>
        <v>157</v>
      </c>
      <c r="V280" s="29" cm="1">
        <f t="array" ref="V280">IF(表成绩单[[#This Row],[历史]]="","",SUMPRODUCT((表成绩单[考试日期]=表成绩单[[#This Row],[考试日期]])*(表成绩单[历史]&lt;9E+307)*(表成绩单[历史]&gt;表成绩单[[#This Row],[历史]]))+1)</f>
        <v>358</v>
      </c>
      <c r="W280" s="29" cm="1">
        <f t="array" ref="W280">IF(表成绩单[[#This Row],[总分]]="","",SUMPRODUCT((表成绩单[考试日期]=表成绩单[[#This Row],[考试日期]])*(表成绩单[总分]&lt;9E+307)*(表成绩单[总分]&gt;表成绩单[[#This Row],[总分]]))+1)</f>
        <v>275</v>
      </c>
    </row>
    <row r="281" ht="28" customHeight="1" spans="4:23">
      <c r="D281" s="31">
        <v>45975</v>
      </c>
      <c r="E281" s="29">
        <v>19175700</v>
      </c>
      <c r="F281" s="29" t="s">
        <v>72</v>
      </c>
      <c r="G281" s="29" t="s">
        <v>354</v>
      </c>
      <c r="H281" s="29">
        <v>96</v>
      </c>
      <c r="I281" s="29">
        <v>111</v>
      </c>
      <c r="J281" s="29">
        <v>85</v>
      </c>
      <c r="K281" s="29">
        <v>85</v>
      </c>
      <c r="L281" s="29">
        <v>69</v>
      </c>
      <c r="M281" s="29">
        <v>77</v>
      </c>
      <c r="N281" s="29">
        <v>73</v>
      </c>
      <c r="O281" s="32">
        <v>596</v>
      </c>
      <c r="P281" s="29" cm="1">
        <f t="array" ref="P281">IF(表成绩单[[#This Row],[语文]]="","",SUMPRODUCT((表成绩单[考试日期]=表成绩单[[#This Row],[考试日期]])*(表成绩单[语文]&lt;9E+307)*(表成绩单[语文]&gt;表成绩单[[#This Row],[语文]]))+1)</f>
        <v>387</v>
      </c>
      <c r="Q281" s="29" cm="1">
        <f t="array" ref="Q281">IF(表成绩单[[#This Row],[数学]]="","",SUMPRODUCT((表成绩单[考试日期]=表成绩单[[#This Row],[考试日期]])*(表成绩单[数学]&lt;9E+307)*(表成绩单[数学]&gt;表成绩单[[#This Row],[数学]]))+1)</f>
        <v>134</v>
      </c>
      <c r="R281" s="29" cm="1">
        <f t="array" ref="R281">IF(表成绩单[[#This Row],[英语]]="","",SUMPRODUCT((表成绩单[考试日期]=表成绩单[[#This Row],[考试日期]])*(表成绩单[英语]&lt;9E+307)*(表成绩单[英语]&gt;表成绩单[[#This Row],[英语]]))+1)</f>
        <v>69</v>
      </c>
      <c r="S281" s="29" cm="1">
        <f t="array" ref="S281">IF(表成绩单[[#This Row],[物理]]="","",SUMPRODUCT((表成绩单[考试日期]=表成绩单[[#This Row],[考试日期]])*(表成绩单[物理]&lt;9E+307)*(表成绩单[物理]&gt;表成绩单[[#This Row],[物理]]))+1)</f>
        <v>263</v>
      </c>
      <c r="T281" s="29" cm="1">
        <f t="array" ref="T281">IF(表成绩单[[#This Row],[化学]]="","",SUMPRODUCT((表成绩单[考试日期]=表成绩单[[#This Row],[考试日期]])*(表成绩单[化学]&lt;9E+307)*(表成绩单[化学]&gt;表成绩单[[#This Row],[化学]]))+1)</f>
        <v>478</v>
      </c>
      <c r="U281" s="29" cm="1">
        <f t="array" ref="U281">IF(表成绩单[[#This Row],[政治]]="","",SUMPRODUCT((表成绩单[考试日期]=表成绩单[[#This Row],[考试日期]])*(表成绩单[政治]&lt;9E+307)*(表成绩单[政治]&gt;表成绩单[[#This Row],[政治]]))+1)</f>
        <v>304</v>
      </c>
      <c r="V281" s="29" cm="1">
        <f t="array" ref="V281">IF(表成绩单[[#This Row],[历史]]="","",SUMPRODUCT((表成绩单[考试日期]=表成绩单[[#This Row],[考试日期]])*(表成绩单[历史]&lt;9E+307)*(表成绩单[历史]&gt;表成绩单[[#This Row],[历史]]))+1)</f>
        <v>395</v>
      </c>
      <c r="W281" s="29" cm="1">
        <f t="array" ref="W281">IF(表成绩单[[#This Row],[总分]]="","",SUMPRODUCT((表成绩单[考试日期]=表成绩单[[#This Row],[考试日期]])*(表成绩单[总分]&lt;9E+307)*(表成绩单[总分]&gt;表成绩单[[#This Row],[总分]]))+1)</f>
        <v>275</v>
      </c>
    </row>
    <row r="282" ht="28" customHeight="1" spans="4:23">
      <c r="D282" s="31">
        <v>45975</v>
      </c>
      <c r="E282" s="29">
        <v>19177670</v>
      </c>
      <c r="F282" s="29" t="s">
        <v>63</v>
      </c>
      <c r="G282" s="29" t="s">
        <v>355</v>
      </c>
      <c r="H282" s="29">
        <v>100</v>
      </c>
      <c r="I282" s="29">
        <v>100</v>
      </c>
      <c r="J282" s="29">
        <v>71</v>
      </c>
      <c r="K282" s="29">
        <v>89</v>
      </c>
      <c r="L282" s="29">
        <v>78</v>
      </c>
      <c r="M282" s="29">
        <v>79</v>
      </c>
      <c r="N282" s="29">
        <v>79</v>
      </c>
      <c r="O282" s="32">
        <v>596</v>
      </c>
      <c r="P282" s="29" cm="1">
        <f t="array" ref="P282">IF(表成绩单[[#This Row],[语文]]="","",SUMPRODUCT((表成绩单[考试日期]=表成绩单[[#This Row],[考试日期]])*(表成绩单[语文]&lt;9E+307)*(表成绩单[语文]&gt;表成绩单[[#This Row],[语文]]))+1)</f>
        <v>223</v>
      </c>
      <c r="Q282" s="29" cm="1">
        <f t="array" ref="Q282">IF(表成绩单[[#This Row],[数学]]="","",SUMPRODUCT((表成绩单[考试日期]=表成绩单[[#This Row],[考试日期]])*(表成绩单[数学]&lt;9E+307)*(表成绩单[数学]&gt;表成绩单[[#This Row],[数学]]))+1)</f>
        <v>340</v>
      </c>
      <c r="R282" s="29" cm="1">
        <f t="array" ref="R282">IF(表成绩单[[#This Row],[英语]]="","",SUMPRODUCT((表成绩单[考试日期]=表成绩单[[#This Row],[考试日期]])*(表成绩单[英语]&lt;9E+307)*(表成绩单[英语]&gt;表成绩单[[#This Row],[英语]]))+1)</f>
        <v>534</v>
      </c>
      <c r="S282" s="29" cm="1">
        <f t="array" ref="S282">IF(表成绩单[[#This Row],[物理]]="","",SUMPRODUCT((表成绩单[考试日期]=表成绩单[[#This Row],[考试日期]])*(表成绩单[物理]&lt;9E+307)*(表成绩单[物理]&gt;表成绩单[[#This Row],[物理]]))+1)</f>
        <v>18</v>
      </c>
      <c r="T282" s="29" cm="1">
        <f t="array" ref="T282">IF(表成绩单[[#This Row],[化学]]="","",SUMPRODUCT((表成绩单[考试日期]=表成绩单[[#This Row],[考试日期]])*(表成绩单[化学]&lt;9E+307)*(表成绩单[化学]&gt;表成绩单[[#This Row],[化学]]))+1)</f>
        <v>200</v>
      </c>
      <c r="U282" s="29" cm="1">
        <f t="array" ref="U282">IF(表成绩单[[#This Row],[政治]]="","",SUMPRODUCT((表成绩单[考试日期]=表成绩单[[#This Row],[考试日期]])*(表成绩单[政治]&lt;9E+307)*(表成绩单[政治]&gt;表成绩单[[#This Row],[政治]]))+1)</f>
        <v>246</v>
      </c>
      <c r="V282" s="29" cm="1">
        <f t="array" ref="V282">IF(表成绩单[[#This Row],[历史]]="","",SUMPRODUCT((表成绩单[考试日期]=表成绩单[[#This Row],[考试日期]])*(表成绩单[历史]&lt;9E+307)*(表成绩单[历史]&gt;表成绩单[[#This Row],[历史]]))+1)</f>
        <v>144</v>
      </c>
      <c r="W282" s="29" cm="1">
        <f t="array" ref="W282">IF(表成绩单[[#This Row],[总分]]="","",SUMPRODUCT((表成绩单[考试日期]=表成绩单[[#This Row],[考试日期]])*(表成绩单[总分]&lt;9E+307)*(表成绩单[总分]&gt;表成绩单[[#This Row],[总分]]))+1)</f>
        <v>275</v>
      </c>
    </row>
    <row r="283" ht="28" customHeight="1" spans="4:23">
      <c r="D283" s="31">
        <v>45975</v>
      </c>
      <c r="E283" s="29">
        <v>19173275</v>
      </c>
      <c r="F283" s="29" t="s">
        <v>61</v>
      </c>
      <c r="G283" s="29" t="s">
        <v>356</v>
      </c>
      <c r="H283" s="29">
        <v>99</v>
      </c>
      <c r="I283" s="29">
        <v>104</v>
      </c>
      <c r="J283" s="29">
        <v>84.5</v>
      </c>
      <c r="K283" s="29">
        <v>78</v>
      </c>
      <c r="L283" s="29">
        <v>74</v>
      </c>
      <c r="M283" s="29">
        <v>78</v>
      </c>
      <c r="N283" s="29">
        <v>78</v>
      </c>
      <c r="O283" s="32">
        <v>595.5</v>
      </c>
      <c r="P283" s="29" cm="1">
        <f t="array" ref="P283">IF(表成绩单[[#This Row],[语文]]="","",SUMPRODUCT((表成绩单[考试日期]=表成绩单[[#This Row],[考试日期]])*(表成绩单[语文]&lt;9E+307)*(表成绩单[语文]&gt;表成绩单[[#This Row],[语文]]))+1)</f>
        <v>264</v>
      </c>
      <c r="Q283" s="29" cm="1">
        <f t="array" ref="Q283">IF(表成绩单[[#This Row],[数学]]="","",SUMPRODUCT((表成绩单[考试日期]=表成绩单[[#This Row],[考试日期]])*(表成绩单[数学]&lt;9E+307)*(表成绩单[数学]&gt;表成绩单[[#This Row],[数学]]))+1)</f>
        <v>260</v>
      </c>
      <c r="R283" s="29" cm="1">
        <f t="array" ref="R283">IF(表成绩单[[#This Row],[英语]]="","",SUMPRODUCT((表成绩单[考试日期]=表成绩单[[#This Row],[考试日期]])*(表成绩单[英语]&lt;9E+307)*(表成绩单[英语]&gt;表成绩单[[#This Row],[英语]]))+1)</f>
        <v>85</v>
      </c>
      <c r="S283" s="29" cm="1">
        <f t="array" ref="S283">IF(表成绩单[[#This Row],[物理]]="","",SUMPRODUCT((表成绩单[考试日期]=表成绩单[[#This Row],[考试日期]])*(表成绩单[物理]&lt;9E+307)*(表成绩单[物理]&gt;表成绩单[[#This Row],[物理]]))+1)</f>
        <v>554</v>
      </c>
      <c r="T283" s="29" cm="1">
        <f t="array" ref="T283">IF(表成绩单[[#This Row],[化学]]="","",SUMPRODUCT((表成绩单[考试日期]=表成绩单[[#This Row],[考试日期]])*(表成绩单[化学]&lt;9E+307)*(表成绩单[化学]&gt;表成绩单[[#This Row],[化学]]))+1)</f>
        <v>337</v>
      </c>
      <c r="U283" s="29" cm="1">
        <f t="array" ref="U283">IF(表成绩单[[#This Row],[政治]]="","",SUMPRODUCT((表成绩单[考试日期]=表成绩单[[#This Row],[考试日期]])*(表成绩单[政治]&lt;9E+307)*(表成绩单[政治]&gt;表成绩单[[#This Row],[政治]]))+1)</f>
        <v>272</v>
      </c>
      <c r="V283" s="29" cm="1">
        <f t="array" ref="V283">IF(表成绩单[[#This Row],[历史]]="","",SUMPRODUCT((表成绩单[考试日期]=表成绩单[[#This Row],[考试日期]])*(表成绩单[历史]&lt;9E+307)*(表成绩单[历史]&gt;表成绩单[[#This Row],[历史]]))+1)</f>
        <v>189</v>
      </c>
      <c r="W283" s="29" cm="1">
        <f t="array" ref="W283">IF(表成绩单[[#This Row],[总分]]="","",SUMPRODUCT((表成绩单[考试日期]=表成绩单[[#This Row],[考试日期]])*(表成绩单[总分]&lt;9E+307)*(表成绩单[总分]&gt;表成绩单[[#This Row],[总分]]))+1)</f>
        <v>279</v>
      </c>
    </row>
    <row r="284" ht="28" customHeight="1" spans="4:23">
      <c r="D284" s="31">
        <v>45975</v>
      </c>
      <c r="E284" s="29">
        <v>19176018</v>
      </c>
      <c r="F284" s="29" t="s">
        <v>59</v>
      </c>
      <c r="G284" s="29" t="s">
        <v>357</v>
      </c>
      <c r="H284" s="29">
        <v>99</v>
      </c>
      <c r="I284" s="29">
        <v>103</v>
      </c>
      <c r="J284" s="29">
        <v>83.5</v>
      </c>
      <c r="K284" s="29">
        <v>88</v>
      </c>
      <c r="L284" s="29">
        <v>67</v>
      </c>
      <c r="M284" s="29">
        <v>71</v>
      </c>
      <c r="N284" s="29">
        <v>84</v>
      </c>
      <c r="O284" s="32">
        <v>595.5</v>
      </c>
      <c r="P284" s="29" cm="1">
        <f t="array" ref="P284">IF(表成绩单[[#This Row],[语文]]="","",SUMPRODUCT((表成绩单[考试日期]=表成绩单[[#This Row],[考试日期]])*(表成绩单[语文]&lt;9E+307)*(表成绩单[语文]&gt;表成绩单[[#This Row],[语文]]))+1)</f>
        <v>264</v>
      </c>
      <c r="Q284" s="29" cm="1">
        <f t="array" ref="Q284">IF(表成绩单[[#This Row],[数学]]="","",SUMPRODUCT((表成绩单[考试日期]=表成绩单[[#This Row],[考试日期]])*(表成绩单[数学]&lt;9E+307)*(表成绩单[数学]&gt;表成绩单[[#This Row],[数学]]))+1)</f>
        <v>277</v>
      </c>
      <c r="R284" s="29" cm="1">
        <f t="array" ref="R284">IF(表成绩单[[#This Row],[英语]]="","",SUMPRODUCT((表成绩单[考试日期]=表成绩单[[#This Row],[考试日期]])*(表成绩单[英语]&lt;9E+307)*(表成绩单[英语]&gt;表成绩单[[#This Row],[英语]]))+1)</f>
        <v>128</v>
      </c>
      <c r="S284" s="29" cm="1">
        <f t="array" ref="S284">IF(表成绩单[[#This Row],[物理]]="","",SUMPRODUCT((表成绩单[考试日期]=表成绩单[[#This Row],[考试日期]])*(表成绩单[物理]&lt;9E+307)*(表成绩单[物理]&gt;表成绩单[[#This Row],[物理]]))+1)</f>
        <v>54</v>
      </c>
      <c r="T284" s="29" cm="1">
        <f t="array" ref="T284">IF(表成绩单[[#This Row],[化学]]="","",SUMPRODUCT((表成绩单[考试日期]=表成绩单[[#This Row],[考试日期]])*(表成绩单[化学]&lt;9E+307)*(表成绩单[化学]&gt;表成绩单[[#This Row],[化学]]))+1)</f>
        <v>524</v>
      </c>
      <c r="U284" s="29" cm="1">
        <f t="array" ref="U284">IF(表成绩单[[#This Row],[政治]]="","",SUMPRODUCT((表成绩单[考试日期]=表成绩单[[#This Row],[考试日期]])*(表成绩单[政治]&lt;9E+307)*(表成绩单[政治]&gt;表成绩单[[#This Row],[政治]]))+1)</f>
        <v>467</v>
      </c>
      <c r="V284" s="29" cm="1">
        <f t="array" ref="V284">IF(表成绩单[[#This Row],[历史]]="","",SUMPRODUCT((表成绩单[考试日期]=表成绩单[[#This Row],[考试日期]])*(表成绩单[历史]&lt;9E+307)*(表成绩单[历史]&gt;表成绩单[[#This Row],[历史]]))+1)</f>
        <v>8</v>
      </c>
      <c r="W284" s="29" cm="1">
        <f t="array" ref="W284">IF(表成绩单[[#This Row],[总分]]="","",SUMPRODUCT((表成绩单[考试日期]=表成绩单[[#This Row],[考试日期]])*(表成绩单[总分]&lt;9E+307)*(表成绩单[总分]&gt;表成绩单[[#This Row],[总分]]))+1)</f>
        <v>279</v>
      </c>
    </row>
    <row r="285" ht="28" customHeight="1" spans="4:23">
      <c r="D285" s="31">
        <v>45975</v>
      </c>
      <c r="E285" s="29">
        <v>19167641</v>
      </c>
      <c r="F285" s="29" t="s">
        <v>1</v>
      </c>
      <c r="G285" s="29" t="s">
        <v>358</v>
      </c>
      <c r="H285" s="29">
        <v>104</v>
      </c>
      <c r="I285" s="29">
        <v>106</v>
      </c>
      <c r="J285" s="29">
        <v>82</v>
      </c>
      <c r="K285" s="29">
        <v>78</v>
      </c>
      <c r="L285" s="29">
        <v>78</v>
      </c>
      <c r="M285" s="29">
        <v>72</v>
      </c>
      <c r="N285" s="29">
        <v>75</v>
      </c>
      <c r="O285" s="32">
        <v>595</v>
      </c>
      <c r="P285" s="29" cm="1">
        <f t="array" ref="P285">IF(表成绩单[[#This Row],[语文]]="","",SUMPRODUCT((表成绩单[考试日期]=表成绩单[[#This Row],[考试日期]])*(表成绩单[语文]&lt;9E+307)*(表成绩单[语文]&gt;表成绩单[[#This Row],[语文]]))+1)</f>
        <v>104</v>
      </c>
      <c r="Q285" s="29" cm="1">
        <f t="array" ref="Q285">IF(表成绩单[[#This Row],[数学]]="","",SUMPRODUCT((表成绩单[考试日期]=表成绩单[[#This Row],[考试日期]])*(表成绩单[数学]&lt;9E+307)*(表成绩单[数学]&gt;表成绩单[[#This Row],[数学]]))+1)</f>
        <v>220</v>
      </c>
      <c r="R285" s="29" cm="1">
        <f t="array" ref="R285">IF(表成绩单[[#This Row],[英语]]="","",SUMPRODUCT((表成绩单[考试日期]=表成绩单[[#This Row],[考试日期]])*(表成绩单[英语]&lt;9E+307)*(表成绩单[英语]&gt;表成绩单[[#This Row],[英语]]))+1)</f>
        <v>195</v>
      </c>
      <c r="S285" s="29" cm="1">
        <f t="array" ref="S285">IF(表成绩单[[#This Row],[物理]]="","",SUMPRODUCT((表成绩单[考试日期]=表成绩单[[#This Row],[考试日期]])*(表成绩单[物理]&lt;9E+307)*(表成绩单[物理]&gt;表成绩单[[#This Row],[物理]]))+1)</f>
        <v>554</v>
      </c>
      <c r="T285" s="29" cm="1">
        <f t="array" ref="T285">IF(表成绩单[[#This Row],[化学]]="","",SUMPRODUCT((表成绩单[考试日期]=表成绩单[[#This Row],[考试日期]])*(表成绩单[化学]&lt;9E+307)*(表成绩单[化学]&gt;表成绩单[[#This Row],[化学]]))+1)</f>
        <v>200</v>
      </c>
      <c r="U285" s="29" cm="1">
        <f t="array" ref="U285">IF(表成绩单[[#This Row],[政治]]="","",SUMPRODUCT((表成绩单[考试日期]=表成绩单[[#This Row],[考试日期]])*(表成绩单[政治]&lt;9E+307)*(表成绩单[政治]&gt;表成绩单[[#This Row],[政治]]))+1)</f>
        <v>448</v>
      </c>
      <c r="V285" s="29" cm="1">
        <f t="array" ref="V285">IF(表成绩单[[#This Row],[历史]]="","",SUMPRODUCT((表成绩单[考试日期]=表成绩单[[#This Row],[考试日期]])*(表成绩单[历史]&lt;9E+307)*(表成绩单[历史]&gt;表成绩单[[#This Row],[历史]]))+1)</f>
        <v>315</v>
      </c>
      <c r="W285" s="29" cm="1">
        <f t="array" ref="W285">IF(表成绩单[[#This Row],[总分]]="","",SUMPRODUCT((表成绩单[考试日期]=表成绩单[[#This Row],[考试日期]])*(表成绩单[总分]&lt;9E+307)*(表成绩单[总分]&gt;表成绩单[[#This Row],[总分]]))+1)</f>
        <v>281</v>
      </c>
    </row>
    <row r="286" ht="28" customHeight="1" spans="4:23">
      <c r="D286" s="31">
        <v>45975</v>
      </c>
      <c r="E286" s="29">
        <v>19174778</v>
      </c>
      <c r="F286" s="29" t="s">
        <v>69</v>
      </c>
      <c r="G286" s="29" t="s">
        <v>359</v>
      </c>
      <c r="H286" s="29">
        <v>105</v>
      </c>
      <c r="I286" s="29">
        <v>103</v>
      </c>
      <c r="J286" s="29">
        <v>83</v>
      </c>
      <c r="K286" s="29">
        <v>86</v>
      </c>
      <c r="L286" s="29">
        <v>78</v>
      </c>
      <c r="M286" s="29">
        <v>67</v>
      </c>
      <c r="N286" s="29">
        <v>73</v>
      </c>
      <c r="O286" s="32">
        <v>595</v>
      </c>
      <c r="P286" s="29" cm="1">
        <f t="array" ref="P286">IF(表成绩单[[#This Row],[语文]]="","",SUMPRODUCT((表成绩单[考试日期]=表成绩单[[#This Row],[考试日期]])*(表成绩单[语文]&lt;9E+307)*(表成绩单[语文]&gt;表成绩单[[#This Row],[语文]]))+1)</f>
        <v>80</v>
      </c>
      <c r="Q286" s="29" cm="1">
        <f t="array" ref="Q286">IF(表成绩单[[#This Row],[数学]]="","",SUMPRODUCT((表成绩单[考试日期]=表成绩单[[#This Row],[考试日期]])*(表成绩单[数学]&lt;9E+307)*(表成绩单[数学]&gt;表成绩单[[#This Row],[数学]]))+1)</f>
        <v>277</v>
      </c>
      <c r="R286" s="29" cm="1">
        <f t="array" ref="R286">IF(表成绩单[[#This Row],[英语]]="","",SUMPRODUCT((表成绩单[考试日期]=表成绩单[[#This Row],[考试日期]])*(表成绩单[英语]&lt;9E+307)*(表成绩单[英语]&gt;表成绩单[[#This Row],[英语]]))+1)</f>
        <v>146</v>
      </c>
      <c r="S286" s="29" cm="1">
        <f t="array" ref="S286">IF(表成绩单[[#This Row],[物理]]="","",SUMPRODUCT((表成绩单[考试日期]=表成绩单[[#This Row],[考试日期]])*(表成绩单[物理]&lt;9E+307)*(表成绩单[物理]&gt;表成绩单[[#This Row],[物理]]))+1)</f>
        <v>187</v>
      </c>
      <c r="T286" s="29" cm="1">
        <f t="array" ref="T286">IF(表成绩单[[#This Row],[化学]]="","",SUMPRODUCT((表成绩单[考试日期]=表成绩单[[#This Row],[考试日期]])*(表成绩单[化学]&lt;9E+307)*(表成绩单[化学]&gt;表成绩单[[#This Row],[化学]]))+1)</f>
        <v>200</v>
      </c>
      <c r="U286" s="29" cm="1">
        <f t="array" ref="U286">IF(表成绩单[[#This Row],[政治]]="","",SUMPRODUCT((表成绩单[考试日期]=表成绩单[[#This Row],[考试日期]])*(表成绩单[政治]&lt;9E+307)*(表成绩单[政治]&gt;表成绩单[[#This Row],[政治]]))+1)</f>
        <v>543</v>
      </c>
      <c r="V286" s="29" cm="1">
        <f t="array" ref="V286">IF(表成绩单[[#This Row],[历史]]="","",SUMPRODUCT((表成绩单[考试日期]=表成绩单[[#This Row],[考试日期]])*(表成绩单[历史]&lt;9E+307)*(表成绩单[历史]&gt;表成绩单[[#This Row],[历史]]))+1)</f>
        <v>395</v>
      </c>
      <c r="W286" s="29" cm="1">
        <f t="array" ref="W286">IF(表成绩单[[#This Row],[总分]]="","",SUMPRODUCT((表成绩单[考试日期]=表成绩单[[#This Row],[考试日期]])*(表成绩单[总分]&lt;9E+307)*(表成绩单[总分]&gt;表成绩单[[#This Row],[总分]]))+1)</f>
        <v>281</v>
      </c>
    </row>
    <row r="287" ht="28" customHeight="1" spans="4:23">
      <c r="D287" s="31">
        <v>45975</v>
      </c>
      <c r="E287" s="29">
        <v>19176166</v>
      </c>
      <c r="F287" s="29" t="s">
        <v>67</v>
      </c>
      <c r="G287" s="29" t="s">
        <v>360</v>
      </c>
      <c r="H287" s="29">
        <v>92</v>
      </c>
      <c r="I287" s="29">
        <v>109</v>
      </c>
      <c r="J287" s="29">
        <v>76</v>
      </c>
      <c r="K287" s="29">
        <v>85</v>
      </c>
      <c r="L287" s="29">
        <v>73</v>
      </c>
      <c r="M287" s="29">
        <v>84</v>
      </c>
      <c r="N287" s="29">
        <v>76</v>
      </c>
      <c r="O287" s="32">
        <v>595</v>
      </c>
      <c r="P287" s="29" cm="1">
        <f t="array" ref="P287">IF(表成绩单[[#This Row],[语文]]="","",SUMPRODUCT((表成绩单[考试日期]=表成绩单[[#This Row],[考试日期]])*(表成绩单[语文]&lt;9E+307)*(表成绩单[语文]&gt;表成绩单[[#This Row],[语文]]))+1)</f>
        <v>517</v>
      </c>
      <c r="Q287" s="29" cm="1">
        <f t="array" ref="Q287">IF(表成绩单[[#This Row],[数学]]="","",SUMPRODUCT((表成绩单[考试日期]=表成绩单[[#This Row],[考试日期]])*(表成绩单[数学]&lt;9E+307)*(表成绩单[数学]&gt;表成绩单[[#This Row],[数学]]))+1)</f>
        <v>165</v>
      </c>
      <c r="R287" s="29" cm="1">
        <f t="array" ref="R287">IF(表成绩单[[#This Row],[英语]]="","",SUMPRODUCT((表成绩单[考试日期]=表成绩单[[#This Row],[考试日期]])*(表成绩单[英语]&lt;9E+307)*(表成绩单[英语]&gt;表成绩单[[#This Row],[英语]]))+1)</f>
        <v>399</v>
      </c>
      <c r="S287" s="29" cm="1">
        <f t="array" ref="S287">IF(表成绩单[[#This Row],[物理]]="","",SUMPRODUCT((表成绩单[考试日期]=表成绩单[[#This Row],[考试日期]])*(表成绩单[物理]&lt;9E+307)*(表成绩单[物理]&gt;表成绩单[[#This Row],[物理]]))+1)</f>
        <v>263</v>
      </c>
      <c r="T287" s="29" cm="1">
        <f t="array" ref="T287">IF(表成绩单[[#This Row],[化学]]="","",SUMPRODUCT((表成绩单[考试日期]=表成绩单[[#This Row],[考试日期]])*(表成绩单[化学]&lt;9E+307)*(表成绩单[化学]&gt;表成绩单[[#This Row],[化学]]))+1)</f>
        <v>365</v>
      </c>
      <c r="U287" s="29" cm="1">
        <f t="array" ref="U287">IF(表成绩单[[#This Row],[政治]]="","",SUMPRODUCT((表成绩单[考试日期]=表成绩单[[#This Row],[考试日期]])*(表成绩单[政治]&lt;9E+307)*(表成绩单[政治]&gt;表成绩单[[#This Row],[政治]]))+1)</f>
        <v>83</v>
      </c>
      <c r="V287" s="29" cm="1">
        <f t="array" ref="V287">IF(表成绩单[[#This Row],[历史]]="","",SUMPRODUCT((表成绩单[考试日期]=表成绩单[[#This Row],[考试日期]])*(表成绩单[历史]&lt;9E+307)*(表成绩单[历史]&gt;表成绩单[[#This Row],[历史]]))+1)</f>
        <v>278</v>
      </c>
      <c r="W287" s="29" cm="1">
        <f t="array" ref="W287">IF(表成绩单[[#This Row],[总分]]="","",SUMPRODUCT((表成绩单[考试日期]=表成绩单[[#This Row],[考试日期]])*(表成绩单[总分]&lt;9E+307)*(表成绩单[总分]&gt;表成绩单[[#This Row],[总分]]))+1)</f>
        <v>281</v>
      </c>
    </row>
    <row r="288" ht="28" customHeight="1" spans="4:23">
      <c r="D288" s="31">
        <v>45975</v>
      </c>
      <c r="E288" s="29">
        <v>19176879</v>
      </c>
      <c r="F288" s="29" t="s">
        <v>71</v>
      </c>
      <c r="G288" s="29" t="s">
        <v>361</v>
      </c>
      <c r="H288" s="29">
        <v>107</v>
      </c>
      <c r="I288" s="29">
        <v>100</v>
      </c>
      <c r="J288" s="29">
        <v>80</v>
      </c>
      <c r="K288" s="29">
        <v>78</v>
      </c>
      <c r="L288" s="29">
        <v>63</v>
      </c>
      <c r="M288" s="29">
        <v>84</v>
      </c>
      <c r="N288" s="29">
        <v>83</v>
      </c>
      <c r="O288" s="32">
        <v>595</v>
      </c>
      <c r="P288" s="29" cm="1">
        <f t="array" ref="P288">IF(表成绩单[[#This Row],[语文]]="","",SUMPRODUCT((表成绩单[考试日期]=表成绩单[[#This Row],[考试日期]])*(表成绩单[语文]&lt;9E+307)*(表成绩单[语文]&gt;表成绩单[[#This Row],[语文]]))+1)</f>
        <v>45</v>
      </c>
      <c r="Q288" s="29" cm="1">
        <f t="array" ref="Q288">IF(表成绩单[[#This Row],[数学]]="","",SUMPRODUCT((表成绩单[考试日期]=表成绩单[[#This Row],[考试日期]])*(表成绩单[数学]&lt;9E+307)*(表成绩单[数学]&gt;表成绩单[[#This Row],[数学]]))+1)</f>
        <v>340</v>
      </c>
      <c r="R288" s="29" cm="1">
        <f t="array" ref="R288">IF(表成绩单[[#This Row],[英语]]="","",SUMPRODUCT((表成绩单[考试日期]=表成绩单[[#This Row],[考试日期]])*(表成绩单[英语]&lt;9E+307)*(表成绩单[英语]&gt;表成绩单[[#This Row],[英语]]))+1)</f>
        <v>268</v>
      </c>
      <c r="S288" s="29" cm="1">
        <f t="array" ref="S288">IF(表成绩单[[#This Row],[物理]]="","",SUMPRODUCT((表成绩单[考试日期]=表成绩单[[#This Row],[考试日期]])*(表成绩单[物理]&lt;9E+307)*(表成绩单[物理]&gt;表成绩单[[#This Row],[物理]]))+1)</f>
        <v>554</v>
      </c>
      <c r="T288" s="29" cm="1">
        <f t="array" ref="T288">IF(表成绩单[[#This Row],[化学]]="","",SUMPRODUCT((表成绩单[考试日期]=表成绩单[[#This Row],[考试日期]])*(表成绩单[化学]&lt;9E+307)*(表成绩单[化学]&gt;表成绩单[[#This Row],[化学]]))+1)</f>
        <v>588</v>
      </c>
      <c r="U288" s="29" cm="1">
        <f t="array" ref="U288">IF(表成绩单[[#This Row],[政治]]="","",SUMPRODUCT((表成绩单[考试日期]=表成绩单[[#This Row],[考试日期]])*(表成绩单[政治]&lt;9E+307)*(表成绩单[政治]&gt;表成绩单[[#This Row],[政治]]))+1)</f>
        <v>83</v>
      </c>
      <c r="V288" s="29" cm="1">
        <f t="array" ref="V288">IF(表成绩单[[#This Row],[历史]]="","",SUMPRODUCT((表成绩单[考试日期]=表成绩单[[#This Row],[考试日期]])*(表成绩单[历史]&lt;9E+307)*(表成绩单[历史]&gt;表成绩单[[#This Row],[历史]]))+1)</f>
        <v>18</v>
      </c>
      <c r="W288" s="29" cm="1">
        <f t="array" ref="W288">IF(表成绩单[[#This Row],[总分]]="","",SUMPRODUCT((表成绩单[考试日期]=表成绩单[[#This Row],[考试日期]])*(表成绩单[总分]&lt;9E+307)*(表成绩单[总分]&gt;表成绩单[[#This Row],[总分]]))+1)</f>
        <v>281</v>
      </c>
    </row>
    <row r="289" ht="28" customHeight="1" spans="4:23">
      <c r="D289" s="31">
        <v>45975</v>
      </c>
      <c r="E289" s="29">
        <v>19173537</v>
      </c>
      <c r="F289" s="29" t="s">
        <v>1</v>
      </c>
      <c r="G289" s="29" t="s">
        <v>362</v>
      </c>
      <c r="H289" s="29">
        <v>103</v>
      </c>
      <c r="I289" s="29">
        <v>109</v>
      </c>
      <c r="J289" s="29">
        <v>77.5</v>
      </c>
      <c r="K289" s="29">
        <v>88</v>
      </c>
      <c r="L289" s="29">
        <v>76</v>
      </c>
      <c r="M289" s="29">
        <v>69</v>
      </c>
      <c r="N289" s="29">
        <v>72</v>
      </c>
      <c r="O289" s="32">
        <v>594.5</v>
      </c>
      <c r="P289" s="29" cm="1">
        <f t="array" ref="P289">IF(表成绩单[[#This Row],[语文]]="","",SUMPRODUCT((表成绩单[考试日期]=表成绩单[[#This Row],[考试日期]])*(表成绩单[语文]&lt;9E+307)*(表成绩单[语文]&gt;表成绩单[[#This Row],[语文]]))+1)</f>
        <v>126</v>
      </c>
      <c r="Q289" s="29" cm="1">
        <f t="array" ref="Q289">IF(表成绩单[[#This Row],[数学]]="","",SUMPRODUCT((表成绩单[考试日期]=表成绩单[[#This Row],[考试日期]])*(表成绩单[数学]&lt;9E+307)*(表成绩单[数学]&gt;表成绩单[[#This Row],[数学]]))+1)</f>
        <v>165</v>
      </c>
      <c r="R289" s="29" cm="1">
        <f t="array" ref="R289">IF(表成绩单[[#This Row],[英语]]="","",SUMPRODUCT((表成绩单[考试日期]=表成绩单[[#This Row],[考试日期]])*(表成绩单[英语]&lt;9E+307)*(表成绩单[英语]&gt;表成绩单[[#This Row],[英语]]))+1)</f>
        <v>345</v>
      </c>
      <c r="S289" s="29" cm="1">
        <f t="array" ref="S289">IF(表成绩单[[#This Row],[物理]]="","",SUMPRODUCT((表成绩单[考试日期]=表成绩单[[#This Row],[考试日期]])*(表成绩单[物理]&lt;9E+307)*(表成绩单[物理]&gt;表成绩单[[#This Row],[物理]]))+1)</f>
        <v>54</v>
      </c>
      <c r="T289" s="29" cm="1">
        <f t="array" ref="T289">IF(表成绩单[[#This Row],[化学]]="","",SUMPRODUCT((表成绩单[考试日期]=表成绩单[[#This Row],[考试日期]])*(表成绩单[化学]&lt;9E+307)*(表成绩单[化学]&gt;表成绩单[[#This Row],[化学]]))+1)</f>
        <v>268</v>
      </c>
      <c r="U289" s="29" cm="1">
        <f t="array" ref="U289">IF(表成绩单[[#This Row],[政治]]="","",SUMPRODUCT((表成绩单[考试日期]=表成绩单[[#This Row],[考试日期]])*(表成绩单[政治]&lt;9E+307)*(表成绩单[政治]&gt;表成绩单[[#This Row],[政治]]))+1)</f>
        <v>507</v>
      </c>
      <c r="V289" s="29" cm="1">
        <f t="array" ref="V289">IF(表成绩单[[#This Row],[历史]]="","",SUMPRODUCT((表成绩单[考试日期]=表成绩单[[#This Row],[考试日期]])*(表成绩单[历史]&lt;9E+307)*(表成绩单[历史]&gt;表成绩单[[#This Row],[历史]]))+1)</f>
        <v>438</v>
      </c>
      <c r="W289" s="29" cm="1">
        <f t="array" ref="W289">IF(表成绩单[[#This Row],[总分]]="","",SUMPRODUCT((表成绩单[考试日期]=表成绩单[[#This Row],[考试日期]])*(表成绩单[总分]&lt;9E+307)*(表成绩单[总分]&gt;表成绩单[[#This Row],[总分]]))+1)</f>
        <v>285</v>
      </c>
    </row>
    <row r="290" ht="28" customHeight="1" spans="4:23">
      <c r="D290" s="31">
        <v>45975</v>
      </c>
      <c r="E290" s="29">
        <v>19173802</v>
      </c>
      <c r="F290" s="29" t="s">
        <v>65</v>
      </c>
      <c r="G290" s="29" t="s">
        <v>363</v>
      </c>
      <c r="H290" s="29">
        <v>90</v>
      </c>
      <c r="I290" s="29">
        <v>118</v>
      </c>
      <c r="J290" s="29">
        <v>80.5</v>
      </c>
      <c r="K290" s="29">
        <v>85</v>
      </c>
      <c r="L290" s="29">
        <v>68</v>
      </c>
      <c r="M290" s="29">
        <v>78</v>
      </c>
      <c r="N290" s="29">
        <v>75</v>
      </c>
      <c r="O290" s="32">
        <v>594.5</v>
      </c>
      <c r="P290" s="29" cm="1">
        <f t="array" ref="P290">IF(表成绩单[[#This Row],[语文]]="","",SUMPRODUCT((表成绩单[考试日期]=表成绩单[[#This Row],[考试日期]])*(表成绩单[语文]&lt;9E+307)*(表成绩单[语文]&gt;表成绩单[[#This Row],[语文]]))+1)</f>
        <v>561</v>
      </c>
      <c r="Q290" s="29" cm="1">
        <f t="array" ref="Q290">IF(表成绩单[[#This Row],[数学]]="","",SUMPRODUCT((表成绩单[考试日期]=表成绩单[[#This Row],[考试日期]])*(表成绩单[数学]&lt;9E+307)*(表成绩单[数学]&gt;表成绩单[[#This Row],[数学]]))+1)</f>
        <v>22</v>
      </c>
      <c r="R290" s="29" cm="1">
        <f t="array" ref="R290">IF(表成绩单[[#This Row],[英语]]="","",SUMPRODUCT((表成绩单[考试日期]=表成绩单[[#This Row],[考试日期]])*(表成绩单[英语]&lt;9E+307)*(表成绩单[英语]&gt;表成绩单[[#This Row],[英语]]))+1)</f>
        <v>255</v>
      </c>
      <c r="S290" s="29" cm="1">
        <f t="array" ref="S290">IF(表成绩单[[#This Row],[物理]]="","",SUMPRODUCT((表成绩单[考试日期]=表成绩单[[#This Row],[考试日期]])*(表成绩单[物理]&lt;9E+307)*(表成绩单[物理]&gt;表成绩单[[#This Row],[物理]]))+1)</f>
        <v>263</v>
      </c>
      <c r="T290" s="29" cm="1">
        <f t="array" ref="T290">IF(表成绩单[[#This Row],[化学]]="","",SUMPRODUCT((表成绩单[考试日期]=表成绩单[[#This Row],[考试日期]])*(表成绩单[化学]&lt;9E+307)*(表成绩单[化学]&gt;表成绩单[[#This Row],[化学]]))+1)</f>
        <v>506</v>
      </c>
      <c r="U290" s="29" cm="1">
        <f t="array" ref="U290">IF(表成绩单[[#This Row],[政治]]="","",SUMPRODUCT((表成绩单[考试日期]=表成绩单[[#This Row],[考试日期]])*(表成绩单[政治]&lt;9E+307)*(表成绩单[政治]&gt;表成绩单[[#This Row],[政治]]))+1)</f>
        <v>272</v>
      </c>
      <c r="V290" s="29" cm="1">
        <f t="array" ref="V290">IF(表成绩单[[#This Row],[历史]]="","",SUMPRODUCT((表成绩单[考试日期]=表成绩单[[#This Row],[考试日期]])*(表成绩单[历史]&lt;9E+307)*(表成绩单[历史]&gt;表成绩单[[#This Row],[历史]]))+1)</f>
        <v>315</v>
      </c>
      <c r="W290" s="29" cm="1">
        <f t="array" ref="W290">IF(表成绩单[[#This Row],[总分]]="","",SUMPRODUCT((表成绩单[考试日期]=表成绩单[[#This Row],[考试日期]])*(表成绩单[总分]&lt;9E+307)*(表成绩单[总分]&gt;表成绩单[[#This Row],[总分]]))+1)</f>
        <v>285</v>
      </c>
    </row>
    <row r="291" ht="28" customHeight="1" spans="4:23">
      <c r="D291" s="31">
        <v>45975</v>
      </c>
      <c r="E291" s="29">
        <v>19175709</v>
      </c>
      <c r="F291" s="29" t="s">
        <v>72</v>
      </c>
      <c r="G291" s="29" t="s">
        <v>364</v>
      </c>
      <c r="H291" s="29">
        <v>103</v>
      </c>
      <c r="I291" s="29">
        <v>110</v>
      </c>
      <c r="J291" s="29">
        <v>83.5</v>
      </c>
      <c r="K291" s="29">
        <v>88</v>
      </c>
      <c r="L291" s="29">
        <v>74</v>
      </c>
      <c r="M291" s="29">
        <v>69</v>
      </c>
      <c r="N291" s="29">
        <v>67</v>
      </c>
      <c r="O291" s="32">
        <v>594.5</v>
      </c>
      <c r="P291" s="29" cm="1">
        <f t="array" ref="P291">IF(表成绩单[[#This Row],[语文]]="","",SUMPRODUCT((表成绩单[考试日期]=表成绩单[[#This Row],[考试日期]])*(表成绩单[语文]&lt;9E+307)*(表成绩单[语文]&gt;表成绩单[[#This Row],[语文]]))+1)</f>
        <v>126</v>
      </c>
      <c r="Q291" s="29" cm="1">
        <f t="array" ref="Q291">IF(表成绩单[[#This Row],[数学]]="","",SUMPRODUCT((表成绩单[考试日期]=表成绩单[[#This Row],[考试日期]])*(表成绩单[数学]&lt;9E+307)*(表成绩单[数学]&gt;表成绩单[[#This Row],[数学]]))+1)</f>
        <v>154</v>
      </c>
      <c r="R291" s="29" cm="1">
        <f t="array" ref="R291">IF(表成绩单[[#This Row],[英语]]="","",SUMPRODUCT((表成绩单[考试日期]=表成绩单[[#This Row],[考试日期]])*(表成绩单[英语]&lt;9E+307)*(表成绩单[英语]&gt;表成绩单[[#This Row],[英语]]))+1)</f>
        <v>128</v>
      </c>
      <c r="S291" s="29" cm="1">
        <f t="array" ref="S291">IF(表成绩单[[#This Row],[物理]]="","",SUMPRODUCT((表成绩单[考试日期]=表成绩单[[#This Row],[考试日期]])*(表成绩单[物理]&lt;9E+307)*(表成绩单[物理]&gt;表成绩单[[#This Row],[物理]]))+1)</f>
        <v>54</v>
      </c>
      <c r="T291" s="29" cm="1">
        <f t="array" ref="T291">IF(表成绩单[[#This Row],[化学]]="","",SUMPRODUCT((表成绩单[考试日期]=表成绩单[[#This Row],[考试日期]])*(表成绩单[化学]&lt;9E+307)*(表成绩单[化学]&gt;表成绩单[[#This Row],[化学]]))+1)</f>
        <v>337</v>
      </c>
      <c r="U291" s="29" cm="1">
        <f t="array" ref="U291">IF(表成绩单[[#This Row],[政治]]="","",SUMPRODUCT((表成绩单[考试日期]=表成绩单[[#This Row],[考试日期]])*(表成绩单[政治]&lt;9E+307)*(表成绩单[政治]&gt;表成绩单[[#This Row],[政治]]))+1)</f>
        <v>507</v>
      </c>
      <c r="V291" s="29" cm="1">
        <f t="array" ref="V291">IF(表成绩单[[#This Row],[历史]]="","",SUMPRODUCT((表成绩单[考试日期]=表成绩单[[#This Row],[考试日期]])*(表成绩单[历史]&lt;9E+307)*(表成绩单[历史]&gt;表成绩单[[#This Row],[历史]]))+1)</f>
        <v>597</v>
      </c>
      <c r="W291" s="29" cm="1">
        <f t="array" ref="W291">IF(表成绩单[[#This Row],[总分]]="","",SUMPRODUCT((表成绩单[考试日期]=表成绩单[[#This Row],[考试日期]])*(表成绩单[总分]&lt;9E+307)*(表成绩单[总分]&gt;表成绩单[[#This Row],[总分]]))+1)</f>
        <v>285</v>
      </c>
    </row>
    <row r="292" ht="28" customHeight="1" spans="4:23">
      <c r="D292" s="31">
        <v>45975</v>
      </c>
      <c r="E292" s="29">
        <v>19175313</v>
      </c>
      <c r="F292" s="29" t="s">
        <v>55</v>
      </c>
      <c r="G292" s="29" t="s">
        <v>365</v>
      </c>
      <c r="H292" s="29">
        <v>99</v>
      </c>
      <c r="I292" s="29">
        <v>102</v>
      </c>
      <c r="J292" s="29">
        <v>74</v>
      </c>
      <c r="K292" s="29">
        <v>86</v>
      </c>
      <c r="L292" s="29">
        <v>79</v>
      </c>
      <c r="M292" s="29">
        <v>73</v>
      </c>
      <c r="N292" s="29">
        <v>81</v>
      </c>
      <c r="O292" s="32">
        <v>594</v>
      </c>
      <c r="P292" s="29" cm="1">
        <f t="array" ref="P292">IF(表成绩单[[#This Row],[语文]]="","",SUMPRODUCT((表成绩单[考试日期]=表成绩单[[#This Row],[考试日期]])*(表成绩单[语文]&lt;9E+307)*(表成绩单[语文]&gt;表成绩单[[#This Row],[语文]]))+1)</f>
        <v>264</v>
      </c>
      <c r="Q292" s="29" cm="1">
        <f t="array" ref="Q292">IF(表成绩单[[#This Row],[数学]]="","",SUMPRODUCT((表成绩单[考试日期]=表成绩单[[#This Row],[考试日期]])*(表成绩单[数学]&lt;9E+307)*(表成绩单[数学]&gt;表成绩单[[#This Row],[数学]]))+1)</f>
        <v>298</v>
      </c>
      <c r="R292" s="29" cm="1">
        <f t="array" ref="R292">IF(表成绩单[[#This Row],[英语]]="","",SUMPRODUCT((表成绩单[考试日期]=表成绩单[[#This Row],[考试日期]])*(表成绩单[英语]&lt;9E+307)*(表成绩单[英语]&gt;表成绩单[[#This Row],[英语]]))+1)</f>
        <v>454</v>
      </c>
      <c r="S292" s="29" cm="1">
        <f t="array" ref="S292">IF(表成绩单[[#This Row],[物理]]="","",SUMPRODUCT((表成绩单[考试日期]=表成绩单[[#This Row],[考试日期]])*(表成绩单[物理]&lt;9E+307)*(表成绩单[物理]&gt;表成绩单[[#This Row],[物理]]))+1)</f>
        <v>187</v>
      </c>
      <c r="T292" s="29" cm="1">
        <f t="array" ref="T292">IF(表成绩单[[#This Row],[化学]]="","",SUMPRODUCT((表成绩单[考试日期]=表成绩单[[#This Row],[考试日期]])*(表成绩单[化学]&lt;9E+307)*(表成绩单[化学]&gt;表成绩单[[#This Row],[化学]]))+1)</f>
        <v>166</v>
      </c>
      <c r="U292" s="29" cm="1">
        <f t="array" ref="U292">IF(表成绩单[[#This Row],[政治]]="","",SUMPRODUCT((表成绩单[考试日期]=表成绩单[[#This Row],[考试日期]])*(表成绩单[政治]&lt;9E+307)*(表成绩单[政治]&gt;表成绩单[[#This Row],[政治]]))+1)</f>
        <v>418</v>
      </c>
      <c r="V292" s="29" cm="1">
        <f t="array" ref="V292">IF(表成绩单[[#This Row],[历史]]="","",SUMPRODUCT((表成绩单[考试日期]=表成绩单[[#This Row],[考试日期]])*(表成绩单[历史]&lt;9E+307)*(表成绩单[历史]&gt;表成绩单[[#This Row],[历史]]))+1)</f>
        <v>63</v>
      </c>
      <c r="W292" s="29" cm="1">
        <f t="array" ref="W292">IF(表成绩单[[#This Row],[总分]]="","",SUMPRODUCT((表成绩单[考试日期]=表成绩单[[#This Row],[考试日期]])*(表成绩单[总分]&lt;9E+307)*(表成绩单[总分]&gt;表成绩单[[#This Row],[总分]]))+1)</f>
        <v>288</v>
      </c>
    </row>
    <row r="293" ht="28" customHeight="1" spans="4:23">
      <c r="D293" s="31">
        <v>45975</v>
      </c>
      <c r="E293" s="29">
        <v>19176862</v>
      </c>
      <c r="F293" s="29" t="s">
        <v>71</v>
      </c>
      <c r="G293" s="29" t="s">
        <v>366</v>
      </c>
      <c r="H293" s="29">
        <v>101</v>
      </c>
      <c r="I293" s="29">
        <v>106</v>
      </c>
      <c r="J293" s="29">
        <v>78</v>
      </c>
      <c r="K293" s="29">
        <v>85</v>
      </c>
      <c r="L293" s="29">
        <v>78</v>
      </c>
      <c r="M293" s="29">
        <v>79</v>
      </c>
      <c r="N293" s="29">
        <v>67</v>
      </c>
      <c r="O293" s="32">
        <v>594</v>
      </c>
      <c r="P293" s="29" cm="1">
        <f t="array" ref="P293">IF(表成绩单[[#This Row],[语文]]="","",SUMPRODUCT((表成绩单[考试日期]=表成绩单[[#This Row],[考试日期]])*(表成绩单[语文]&lt;9E+307)*(表成绩单[语文]&gt;表成绩单[[#This Row],[语文]]))+1)</f>
        <v>190</v>
      </c>
      <c r="Q293" s="29" cm="1">
        <f t="array" ref="Q293">IF(表成绩单[[#This Row],[数学]]="","",SUMPRODUCT((表成绩单[考试日期]=表成绩单[[#This Row],[考试日期]])*(表成绩单[数学]&lt;9E+307)*(表成绩单[数学]&gt;表成绩单[[#This Row],[数学]]))+1)</f>
        <v>220</v>
      </c>
      <c r="R293" s="29" cm="1">
        <f t="array" ref="R293">IF(表成绩单[[#This Row],[英语]]="","",SUMPRODUCT((表成绩单[考试日期]=表成绩单[[#This Row],[考试日期]])*(表成绩单[英语]&lt;9E+307)*(表成绩单[英语]&gt;表成绩单[[#This Row],[英语]]))+1)</f>
        <v>330</v>
      </c>
      <c r="S293" s="29" cm="1">
        <f t="array" ref="S293">IF(表成绩单[[#This Row],[物理]]="","",SUMPRODUCT((表成绩单[考试日期]=表成绩单[[#This Row],[考试日期]])*(表成绩单[物理]&lt;9E+307)*(表成绩单[物理]&gt;表成绩单[[#This Row],[物理]]))+1)</f>
        <v>263</v>
      </c>
      <c r="T293" s="29" cm="1">
        <f t="array" ref="T293">IF(表成绩单[[#This Row],[化学]]="","",SUMPRODUCT((表成绩单[考试日期]=表成绩单[[#This Row],[考试日期]])*(表成绩单[化学]&lt;9E+307)*(表成绩单[化学]&gt;表成绩单[[#This Row],[化学]]))+1)</f>
        <v>200</v>
      </c>
      <c r="U293" s="29" cm="1">
        <f t="array" ref="U293">IF(表成绩单[[#This Row],[政治]]="","",SUMPRODUCT((表成绩单[考试日期]=表成绩单[[#This Row],[考试日期]])*(表成绩单[政治]&lt;9E+307)*(表成绩单[政治]&gt;表成绩单[[#This Row],[政治]]))+1)</f>
        <v>246</v>
      </c>
      <c r="V293" s="29" cm="1">
        <f t="array" ref="V293">IF(表成绩单[[#This Row],[历史]]="","",SUMPRODUCT((表成绩单[考试日期]=表成绩单[[#This Row],[考试日期]])*(表成绩单[历史]&lt;9E+307)*(表成绩单[历史]&gt;表成绩单[[#This Row],[历史]]))+1)</f>
        <v>597</v>
      </c>
      <c r="W293" s="29" cm="1">
        <f t="array" ref="W293">IF(表成绩单[[#This Row],[总分]]="","",SUMPRODUCT((表成绩单[考试日期]=表成绩单[[#This Row],[考试日期]])*(表成绩单[总分]&lt;9E+307)*(表成绩单[总分]&gt;表成绩单[[#This Row],[总分]]))+1)</f>
        <v>288</v>
      </c>
    </row>
    <row r="294" ht="28" customHeight="1" spans="4:23">
      <c r="D294" s="31">
        <v>45975</v>
      </c>
      <c r="E294" s="29">
        <v>19175690</v>
      </c>
      <c r="F294" s="29" t="s">
        <v>72</v>
      </c>
      <c r="G294" s="29" t="s">
        <v>367</v>
      </c>
      <c r="H294" s="29">
        <v>102</v>
      </c>
      <c r="I294" s="29">
        <v>102</v>
      </c>
      <c r="J294" s="29">
        <v>85.5</v>
      </c>
      <c r="K294" s="29">
        <v>82</v>
      </c>
      <c r="L294" s="29">
        <v>72</v>
      </c>
      <c r="M294" s="29">
        <v>79</v>
      </c>
      <c r="N294" s="29">
        <v>71</v>
      </c>
      <c r="O294" s="32">
        <v>593.5</v>
      </c>
      <c r="P294" s="29" cm="1">
        <f t="array" ref="P294">IF(表成绩单[[#This Row],[语文]]="","",SUMPRODUCT((表成绩单[考试日期]=表成绩单[[#This Row],[考试日期]])*(表成绩单[语文]&lt;9E+307)*(表成绩单[语文]&gt;表成绩单[[#This Row],[语文]]))+1)</f>
        <v>154</v>
      </c>
      <c r="Q294" s="29" cm="1">
        <f t="array" ref="Q294">IF(表成绩单[[#This Row],[数学]]="","",SUMPRODUCT((表成绩单[考试日期]=表成绩单[[#This Row],[考试日期]])*(表成绩单[数学]&lt;9E+307)*(表成绩单[数学]&gt;表成绩单[[#This Row],[数学]]))+1)</f>
        <v>298</v>
      </c>
      <c r="R294" s="29" cm="1">
        <f t="array" ref="R294">IF(表成绩单[[#This Row],[英语]]="","",SUMPRODUCT((表成绩单[考试日期]=表成绩单[[#This Row],[考试日期]])*(表成绩单[英语]&lt;9E+307)*(表成绩单[英语]&gt;表成绩单[[#This Row],[英语]]))+1)</f>
        <v>54</v>
      </c>
      <c r="S294" s="29" cm="1">
        <f t="array" ref="S294">IF(表成绩单[[#This Row],[物理]]="","",SUMPRODUCT((表成绩单[考试日期]=表成绩单[[#This Row],[考试日期]])*(表成绩单[物理]&lt;9E+307)*(表成绩单[物理]&gt;表成绩单[[#This Row],[物理]]))+1)</f>
        <v>433</v>
      </c>
      <c r="T294" s="29" cm="1">
        <f t="array" ref="T294">IF(表成绩单[[#This Row],[化学]]="","",SUMPRODUCT((表成绩单[考试日期]=表成绩单[[#This Row],[考试日期]])*(表成绩单[化学]&lt;9E+307)*(表成绩单[化学]&gt;表成绩单[[#This Row],[化学]]))+1)</f>
        <v>405</v>
      </c>
      <c r="U294" s="29" cm="1">
        <f t="array" ref="U294">IF(表成绩单[[#This Row],[政治]]="","",SUMPRODUCT((表成绩单[考试日期]=表成绩单[[#This Row],[考试日期]])*(表成绩单[政治]&lt;9E+307)*(表成绩单[政治]&gt;表成绩单[[#This Row],[政治]]))+1)</f>
        <v>246</v>
      </c>
      <c r="V294" s="29" cm="1">
        <f t="array" ref="V294">IF(表成绩单[[#This Row],[历史]]="","",SUMPRODUCT((表成绩单[考试日期]=表成绩单[[#This Row],[考试日期]])*(表成绩单[历史]&lt;9E+307)*(表成绩单[历史]&gt;表成绩单[[#This Row],[历史]]))+1)</f>
        <v>480</v>
      </c>
      <c r="W294" s="29" cm="1">
        <f t="array" ref="W294">IF(表成绩单[[#This Row],[总分]]="","",SUMPRODUCT((表成绩单[考试日期]=表成绩单[[#This Row],[考试日期]])*(表成绩单[总分]&lt;9E+307)*(表成绩单[总分]&gt;表成绩单[[#This Row],[总分]]))+1)</f>
        <v>290</v>
      </c>
    </row>
    <row r="295" ht="28" customHeight="1" spans="4:23">
      <c r="D295" s="31">
        <v>45975</v>
      </c>
      <c r="E295" s="29">
        <v>19177676</v>
      </c>
      <c r="F295" s="29" t="s">
        <v>63</v>
      </c>
      <c r="G295" s="29" t="s">
        <v>368</v>
      </c>
      <c r="H295" s="29">
        <v>104</v>
      </c>
      <c r="I295" s="29">
        <v>96</v>
      </c>
      <c r="J295" s="29">
        <v>78.5</v>
      </c>
      <c r="K295" s="29">
        <v>87</v>
      </c>
      <c r="L295" s="29">
        <v>73</v>
      </c>
      <c r="M295" s="29">
        <v>76</v>
      </c>
      <c r="N295" s="29">
        <v>79</v>
      </c>
      <c r="O295" s="32">
        <v>593.5</v>
      </c>
      <c r="P295" s="29" cm="1">
        <f t="array" ref="P295">IF(表成绩单[[#This Row],[语文]]="","",SUMPRODUCT((表成绩单[考试日期]=表成绩单[[#This Row],[考试日期]])*(表成绩单[语文]&lt;9E+307)*(表成绩单[语文]&gt;表成绩单[[#This Row],[语文]]))+1)</f>
        <v>104</v>
      </c>
      <c r="Q295" s="29" cm="1">
        <f t="array" ref="Q295">IF(表成绩单[[#This Row],[数学]]="","",SUMPRODUCT((表成绩单[考试日期]=表成绩单[[#This Row],[考试日期]])*(表成绩单[数学]&lt;9E+307)*(表成绩单[数学]&gt;表成绩单[[#This Row],[数学]]))+1)</f>
        <v>413</v>
      </c>
      <c r="R295" s="29" cm="1">
        <f t="array" ref="R295">IF(表成绩单[[#This Row],[英语]]="","",SUMPRODUCT((表成绩单[考试日期]=表成绩单[[#This Row],[考试日期]])*(表成绩单[英语]&lt;9E+307)*(表成绩单[英语]&gt;表成绩单[[#This Row],[英语]]))+1)</f>
        <v>314</v>
      </c>
      <c r="S295" s="29" cm="1">
        <f t="array" ref="S295">IF(表成绩单[[#This Row],[物理]]="","",SUMPRODUCT((表成绩单[考试日期]=表成绩单[[#This Row],[考试日期]])*(表成绩单[物理]&lt;9E+307)*(表成绩单[物理]&gt;表成绩单[[#This Row],[物理]]))+1)</f>
        <v>127</v>
      </c>
      <c r="T295" s="29" cm="1">
        <f t="array" ref="T295">IF(表成绩单[[#This Row],[化学]]="","",SUMPRODUCT((表成绩单[考试日期]=表成绩单[[#This Row],[考试日期]])*(表成绩单[化学]&lt;9E+307)*(表成绩单[化学]&gt;表成绩单[[#This Row],[化学]]))+1)</f>
        <v>365</v>
      </c>
      <c r="U295" s="29" cm="1">
        <f t="array" ref="U295">IF(表成绩单[[#This Row],[政治]]="","",SUMPRODUCT((表成绩单[考试日期]=表成绩单[[#This Row],[考试日期]])*(表成绩单[政治]&lt;9E+307)*(表成绩单[政治]&gt;表成绩单[[#This Row],[政治]]))+1)</f>
        <v>329</v>
      </c>
      <c r="V295" s="29" cm="1">
        <f t="array" ref="V295">IF(表成绩单[[#This Row],[历史]]="","",SUMPRODUCT((表成绩单[考试日期]=表成绩单[[#This Row],[考试日期]])*(表成绩单[历史]&lt;9E+307)*(表成绩单[历史]&gt;表成绩单[[#This Row],[历史]]))+1)</f>
        <v>144</v>
      </c>
      <c r="W295" s="29" cm="1">
        <f t="array" ref="W295">IF(表成绩单[[#This Row],[总分]]="","",SUMPRODUCT((表成绩单[考试日期]=表成绩单[[#This Row],[考试日期]])*(表成绩单[总分]&lt;9E+307)*(表成绩单[总分]&gt;表成绩单[[#This Row],[总分]]))+1)</f>
        <v>290</v>
      </c>
    </row>
    <row r="296" ht="28" customHeight="1" spans="4:23">
      <c r="D296" s="31">
        <v>45975</v>
      </c>
      <c r="E296" s="29">
        <v>19173533</v>
      </c>
      <c r="F296" s="29" t="s">
        <v>1</v>
      </c>
      <c r="G296" s="29" t="s">
        <v>369</v>
      </c>
      <c r="H296" s="29">
        <v>103</v>
      </c>
      <c r="I296" s="29">
        <v>106</v>
      </c>
      <c r="J296" s="29">
        <v>81</v>
      </c>
      <c r="K296" s="29">
        <v>87</v>
      </c>
      <c r="L296" s="29">
        <v>69</v>
      </c>
      <c r="M296" s="29">
        <v>68</v>
      </c>
      <c r="N296" s="29">
        <v>79</v>
      </c>
      <c r="O296" s="32">
        <v>593</v>
      </c>
      <c r="P296" s="29" cm="1">
        <f t="array" ref="P296">IF(表成绩单[[#This Row],[语文]]="","",SUMPRODUCT((表成绩单[考试日期]=表成绩单[[#This Row],[考试日期]])*(表成绩单[语文]&lt;9E+307)*(表成绩单[语文]&gt;表成绩单[[#This Row],[语文]]))+1)</f>
        <v>126</v>
      </c>
      <c r="Q296" s="29" cm="1">
        <f t="array" ref="Q296">IF(表成绩单[[#This Row],[数学]]="","",SUMPRODUCT((表成绩单[考试日期]=表成绩单[[#This Row],[考试日期]])*(表成绩单[数学]&lt;9E+307)*(表成绩单[数学]&gt;表成绩单[[#This Row],[数学]]))+1)</f>
        <v>220</v>
      </c>
      <c r="R296" s="29" cm="1">
        <f t="array" ref="R296">IF(表成绩单[[#This Row],[英语]]="","",SUMPRODUCT((表成绩单[考试日期]=表成绩单[[#This Row],[考试日期]])*(表成绩单[英语]&lt;9E+307)*(表成绩单[英语]&gt;表成绩单[[#This Row],[英语]]))+1)</f>
        <v>241</v>
      </c>
      <c r="S296" s="29" cm="1">
        <f t="array" ref="S296">IF(表成绩单[[#This Row],[物理]]="","",SUMPRODUCT((表成绩单[考试日期]=表成绩单[[#This Row],[考试日期]])*(表成绩单[物理]&lt;9E+307)*(表成绩单[物理]&gt;表成绩单[[#This Row],[物理]]))+1)</f>
        <v>127</v>
      </c>
      <c r="T296" s="29" cm="1">
        <f t="array" ref="T296">IF(表成绩单[[#This Row],[化学]]="","",SUMPRODUCT((表成绩单[考试日期]=表成绩单[[#This Row],[考试日期]])*(表成绩单[化学]&lt;9E+307)*(表成绩单[化学]&gt;表成绩单[[#This Row],[化学]]))+1)</f>
        <v>478</v>
      </c>
      <c r="U296" s="29" cm="1">
        <f t="array" ref="U296">IF(表成绩单[[#This Row],[政治]]="","",SUMPRODUCT((表成绩单[考试日期]=表成绩单[[#This Row],[考试日期]])*(表成绩单[政治]&lt;9E+307)*(表成绩单[政治]&gt;表成绩单[[#This Row],[政治]]))+1)</f>
        <v>527</v>
      </c>
      <c r="V296" s="29" cm="1">
        <f t="array" ref="V296">IF(表成绩单[[#This Row],[历史]]="","",SUMPRODUCT((表成绩单[考试日期]=表成绩单[[#This Row],[考试日期]])*(表成绩单[历史]&lt;9E+307)*(表成绩单[历史]&gt;表成绩单[[#This Row],[历史]]))+1)</f>
        <v>144</v>
      </c>
      <c r="W296" s="29" cm="1">
        <f t="array" ref="W296">IF(表成绩单[[#This Row],[总分]]="","",SUMPRODUCT((表成绩单[考试日期]=表成绩单[[#This Row],[考试日期]])*(表成绩单[总分]&lt;9E+307)*(表成绩单[总分]&gt;表成绩单[[#This Row],[总分]]))+1)</f>
        <v>292</v>
      </c>
    </row>
    <row r="297" ht="28" customHeight="1" spans="4:23">
      <c r="D297" s="31">
        <v>45975</v>
      </c>
      <c r="E297" s="29">
        <v>19174780</v>
      </c>
      <c r="F297" s="29" t="s">
        <v>69</v>
      </c>
      <c r="G297" s="29" t="s">
        <v>370</v>
      </c>
      <c r="H297" s="29">
        <v>89</v>
      </c>
      <c r="I297" s="29">
        <v>105</v>
      </c>
      <c r="J297" s="29">
        <v>74</v>
      </c>
      <c r="K297" s="29">
        <v>86</v>
      </c>
      <c r="L297" s="29">
        <v>78</v>
      </c>
      <c r="M297" s="29">
        <v>80</v>
      </c>
      <c r="N297" s="29">
        <v>81</v>
      </c>
      <c r="O297" s="32">
        <v>593</v>
      </c>
      <c r="P297" s="29" cm="1">
        <f t="array" ref="P297">IF(表成绩单[[#This Row],[语文]]="","",SUMPRODUCT((表成绩单[考试日期]=表成绩单[[#This Row],[考试日期]])*(表成绩单[语文]&lt;9E+307)*(表成绩单[语文]&gt;表成绩单[[#This Row],[语文]]))+1)</f>
        <v>582</v>
      </c>
      <c r="Q297" s="29" cm="1">
        <f t="array" ref="Q297">IF(表成绩单[[#This Row],[数学]]="","",SUMPRODUCT((表成绩单[考试日期]=表成绩单[[#This Row],[考试日期]])*(表成绩单[数学]&lt;9E+307)*(表成绩单[数学]&gt;表成绩单[[#This Row],[数学]]))+1)</f>
        <v>245</v>
      </c>
      <c r="R297" s="29" cm="1">
        <f t="array" ref="R297">IF(表成绩单[[#This Row],[英语]]="","",SUMPRODUCT((表成绩单[考试日期]=表成绩单[[#This Row],[考试日期]])*(表成绩单[英语]&lt;9E+307)*(表成绩单[英语]&gt;表成绩单[[#This Row],[英语]]))+1)</f>
        <v>454</v>
      </c>
      <c r="S297" s="29" cm="1">
        <f t="array" ref="S297">IF(表成绩单[[#This Row],[物理]]="","",SUMPRODUCT((表成绩单[考试日期]=表成绩单[[#This Row],[考试日期]])*(表成绩单[物理]&lt;9E+307)*(表成绩单[物理]&gt;表成绩单[[#This Row],[物理]]))+1)</f>
        <v>187</v>
      </c>
      <c r="T297" s="29" cm="1">
        <f t="array" ref="T297">IF(表成绩单[[#This Row],[化学]]="","",SUMPRODUCT((表成绩单[考试日期]=表成绩单[[#This Row],[考试日期]])*(表成绩单[化学]&lt;9E+307)*(表成绩单[化学]&gt;表成绩单[[#This Row],[化学]]))+1)</f>
        <v>200</v>
      </c>
      <c r="U297" s="29" cm="1">
        <f t="array" ref="U297">IF(表成绩单[[#This Row],[政治]]="","",SUMPRODUCT((表成绩单[考试日期]=表成绩单[[#This Row],[考试日期]])*(表成绩单[政治]&lt;9E+307)*(表成绩单[政治]&gt;表成绩单[[#This Row],[政治]]))+1)</f>
        <v>209</v>
      </c>
      <c r="V297" s="29" cm="1">
        <f t="array" ref="V297">IF(表成绩单[[#This Row],[历史]]="","",SUMPRODUCT((表成绩单[考试日期]=表成绩单[[#This Row],[考试日期]])*(表成绩单[历史]&lt;9E+307)*(表成绩单[历史]&gt;表成绩单[[#This Row],[历史]]))+1)</f>
        <v>63</v>
      </c>
      <c r="W297" s="29" cm="1">
        <f t="array" ref="W297">IF(表成绩单[[#This Row],[总分]]="","",SUMPRODUCT((表成绩单[考试日期]=表成绩单[[#This Row],[考试日期]])*(表成绩单[总分]&lt;9E+307)*(表成绩单[总分]&gt;表成绩单[[#This Row],[总分]]))+1)</f>
        <v>292</v>
      </c>
    </row>
    <row r="298" ht="28" customHeight="1" spans="4:23">
      <c r="D298" s="31">
        <v>45975</v>
      </c>
      <c r="E298" s="29">
        <v>19175418</v>
      </c>
      <c r="F298" s="29" t="s">
        <v>74</v>
      </c>
      <c r="G298" s="29" t="s">
        <v>371</v>
      </c>
      <c r="H298" s="29">
        <v>88</v>
      </c>
      <c r="I298" s="29">
        <v>115</v>
      </c>
      <c r="J298" s="29">
        <v>84</v>
      </c>
      <c r="K298" s="29">
        <v>85</v>
      </c>
      <c r="L298" s="29">
        <v>73</v>
      </c>
      <c r="M298" s="29">
        <v>70</v>
      </c>
      <c r="N298" s="29">
        <v>78</v>
      </c>
      <c r="O298" s="32">
        <v>593</v>
      </c>
      <c r="P298" s="29" cm="1">
        <f t="array" ref="P298">IF(表成绩单[[#This Row],[语文]]="","",SUMPRODUCT((表成绩单[考试日期]=表成绩单[[#This Row],[考试日期]])*(表成绩单[语文]&lt;9E+307)*(表成绩单[语文]&gt;表成绩单[[#This Row],[语文]]))+1)</f>
        <v>595</v>
      </c>
      <c r="Q298" s="29" cm="1">
        <f t="array" ref="Q298">IF(表成绩单[[#This Row],[数学]]="","",SUMPRODUCT((表成绩单[考试日期]=表成绩单[[#This Row],[考试日期]])*(表成绩单[数学]&lt;9E+307)*(表成绩单[数学]&gt;表成绩单[[#This Row],[数学]]))+1)</f>
        <v>63</v>
      </c>
      <c r="R298" s="29" cm="1">
        <f t="array" ref="R298">IF(表成绩单[[#This Row],[英语]]="","",SUMPRODUCT((表成绩单[考试日期]=表成绩单[[#This Row],[考试日期]])*(表成绩单[英语]&lt;9E+307)*(表成绩单[英语]&gt;表成绩单[[#This Row],[英语]]))+1)</f>
        <v>102</v>
      </c>
      <c r="S298" s="29" cm="1">
        <f t="array" ref="S298">IF(表成绩单[[#This Row],[物理]]="","",SUMPRODUCT((表成绩单[考试日期]=表成绩单[[#This Row],[考试日期]])*(表成绩单[物理]&lt;9E+307)*(表成绩单[物理]&gt;表成绩单[[#This Row],[物理]]))+1)</f>
        <v>263</v>
      </c>
      <c r="T298" s="29" cm="1">
        <f t="array" ref="T298">IF(表成绩单[[#This Row],[化学]]="","",SUMPRODUCT((表成绩单[考试日期]=表成绩单[[#This Row],[考试日期]])*(表成绩单[化学]&lt;9E+307)*(表成绩单[化学]&gt;表成绩单[[#This Row],[化学]]))+1)</f>
        <v>365</v>
      </c>
      <c r="U298" s="29" cm="1">
        <f t="array" ref="U298">IF(表成绩单[[#This Row],[政治]]="","",SUMPRODUCT((表成绩单[考试日期]=表成绩单[[#This Row],[考试日期]])*(表成绩单[政治]&lt;9E+307)*(表成绩单[政治]&gt;表成绩单[[#This Row],[政治]]))+1)</f>
        <v>493</v>
      </c>
      <c r="V298" s="29" cm="1">
        <f t="array" ref="V298">IF(表成绩单[[#This Row],[历史]]="","",SUMPRODUCT((表成绩单[考试日期]=表成绩单[[#This Row],[考试日期]])*(表成绩单[历史]&lt;9E+307)*(表成绩单[历史]&gt;表成绩单[[#This Row],[历史]]))+1)</f>
        <v>189</v>
      </c>
      <c r="W298" s="29" cm="1">
        <f t="array" ref="W298">IF(表成绩单[[#This Row],[总分]]="","",SUMPRODUCT((表成绩单[考试日期]=表成绩单[[#This Row],[考试日期]])*(表成绩单[总分]&lt;9E+307)*(表成绩单[总分]&gt;表成绩单[[#This Row],[总分]]))+1)</f>
        <v>292</v>
      </c>
    </row>
    <row r="299" ht="28" customHeight="1" spans="4:23">
      <c r="D299" s="31">
        <v>45975</v>
      </c>
      <c r="E299" s="29">
        <v>19178604</v>
      </c>
      <c r="F299" s="29" t="s">
        <v>64</v>
      </c>
      <c r="G299" s="29" t="s">
        <v>372</v>
      </c>
      <c r="H299" s="29">
        <v>102</v>
      </c>
      <c r="I299" s="29">
        <v>103</v>
      </c>
      <c r="J299" s="29">
        <v>74</v>
      </c>
      <c r="K299" s="29">
        <v>81</v>
      </c>
      <c r="L299" s="29">
        <v>74</v>
      </c>
      <c r="M299" s="29">
        <v>82</v>
      </c>
      <c r="N299" s="29">
        <v>77</v>
      </c>
      <c r="O299" s="32">
        <v>593</v>
      </c>
      <c r="P299" s="29" cm="1">
        <f t="array" ref="P299">IF(表成绩单[[#This Row],[语文]]="","",SUMPRODUCT((表成绩单[考试日期]=表成绩单[[#This Row],[考试日期]])*(表成绩单[语文]&lt;9E+307)*(表成绩单[语文]&gt;表成绩单[[#This Row],[语文]]))+1)</f>
        <v>154</v>
      </c>
      <c r="Q299" s="29" cm="1">
        <f t="array" ref="Q299">IF(表成绩单[[#This Row],[数学]]="","",SUMPRODUCT((表成绩单[考试日期]=表成绩单[[#This Row],[考试日期]])*(表成绩单[数学]&lt;9E+307)*(表成绩单[数学]&gt;表成绩单[[#This Row],[数学]]))+1)</f>
        <v>277</v>
      </c>
      <c r="R299" s="29" cm="1">
        <f t="array" ref="R299">IF(表成绩单[[#This Row],[英语]]="","",SUMPRODUCT((表成绩单[考试日期]=表成绩单[[#This Row],[考试日期]])*(表成绩单[英语]&lt;9E+307)*(表成绩单[英语]&gt;表成绩单[[#This Row],[英语]]))+1)</f>
        <v>454</v>
      </c>
      <c r="S299" s="29" cm="1">
        <f t="array" ref="S299">IF(表成绩单[[#This Row],[物理]]="","",SUMPRODUCT((表成绩单[考试日期]=表成绩单[[#This Row],[考试日期]])*(表成绩单[物理]&lt;9E+307)*(表成绩单[物理]&gt;表成绩单[[#This Row],[物理]]))+1)</f>
        <v>474</v>
      </c>
      <c r="T299" s="29" cm="1">
        <f t="array" ref="T299">IF(表成绩单[[#This Row],[化学]]="","",SUMPRODUCT((表成绩单[考试日期]=表成绩单[[#This Row],[考试日期]])*(表成绩单[化学]&lt;9E+307)*(表成绩单[化学]&gt;表成绩单[[#This Row],[化学]]))+1)</f>
        <v>337</v>
      </c>
      <c r="U299" s="29" cm="1">
        <f t="array" ref="U299">IF(表成绩单[[#This Row],[政治]]="","",SUMPRODUCT((表成绩单[考试日期]=表成绩单[[#This Row],[考试日期]])*(表成绩单[政治]&lt;9E+307)*(表成绩单[政治]&gt;表成绩单[[#This Row],[政治]]))+1)</f>
        <v>157</v>
      </c>
      <c r="V299" s="29" cm="1">
        <f t="array" ref="V299">IF(表成绩单[[#This Row],[历史]]="","",SUMPRODUCT((表成绩单[考试日期]=表成绩单[[#This Row],[考试日期]])*(表成绩单[历史]&lt;9E+307)*(表成绩单[历史]&gt;表成绩单[[#This Row],[历史]]))+1)</f>
        <v>237</v>
      </c>
      <c r="W299" s="29" cm="1">
        <f t="array" ref="W299">IF(表成绩单[[#This Row],[总分]]="","",SUMPRODUCT((表成绩单[考试日期]=表成绩单[[#This Row],[考试日期]])*(表成绩单[总分]&lt;9E+307)*(表成绩单[总分]&gt;表成绩单[[#This Row],[总分]]))+1)</f>
        <v>292</v>
      </c>
    </row>
    <row r="300" ht="28" customHeight="1" spans="4:23">
      <c r="D300" s="31">
        <v>45975</v>
      </c>
      <c r="E300" s="29">
        <v>19178624</v>
      </c>
      <c r="F300" s="29" t="s">
        <v>25</v>
      </c>
      <c r="G300" s="29" t="s">
        <v>373</v>
      </c>
      <c r="H300" s="29">
        <v>94</v>
      </c>
      <c r="I300" s="29">
        <v>109</v>
      </c>
      <c r="J300" s="29">
        <v>80</v>
      </c>
      <c r="K300" s="29">
        <v>85</v>
      </c>
      <c r="L300" s="29">
        <v>72</v>
      </c>
      <c r="M300" s="29">
        <v>81</v>
      </c>
      <c r="N300" s="29">
        <v>72</v>
      </c>
      <c r="O300" s="32">
        <v>593</v>
      </c>
      <c r="P300" s="29" cm="1">
        <f t="array" ref="P300">IF(表成绩单[[#This Row],[语文]]="","",SUMPRODUCT((表成绩单[考试日期]=表成绩单[[#This Row],[考试日期]])*(表成绩单[语文]&lt;9E+307)*(表成绩单[语文]&gt;表成绩单[[#This Row],[语文]]))+1)</f>
        <v>452</v>
      </c>
      <c r="Q300" s="29" cm="1">
        <f t="array" ref="Q300">IF(表成绩单[[#This Row],[数学]]="","",SUMPRODUCT((表成绩单[考试日期]=表成绩单[[#This Row],[考试日期]])*(表成绩单[数学]&lt;9E+307)*(表成绩单[数学]&gt;表成绩单[[#This Row],[数学]]))+1)</f>
        <v>165</v>
      </c>
      <c r="R300" s="29" cm="1">
        <f t="array" ref="R300">IF(表成绩单[[#This Row],[英语]]="","",SUMPRODUCT((表成绩单[考试日期]=表成绩单[[#This Row],[考试日期]])*(表成绩单[英语]&lt;9E+307)*(表成绩单[英语]&gt;表成绩单[[#This Row],[英语]]))+1)</f>
        <v>268</v>
      </c>
      <c r="S300" s="29" cm="1">
        <f t="array" ref="S300">IF(表成绩单[[#This Row],[物理]]="","",SUMPRODUCT((表成绩单[考试日期]=表成绩单[[#This Row],[考试日期]])*(表成绩单[物理]&lt;9E+307)*(表成绩单[物理]&gt;表成绩单[[#This Row],[物理]]))+1)</f>
        <v>263</v>
      </c>
      <c r="T300" s="29" cm="1">
        <f t="array" ref="T300">IF(表成绩单[[#This Row],[化学]]="","",SUMPRODUCT((表成绩单[考试日期]=表成绩单[[#This Row],[考试日期]])*(表成绩单[化学]&lt;9E+307)*(表成绩单[化学]&gt;表成绩单[[#This Row],[化学]]))+1)</f>
        <v>405</v>
      </c>
      <c r="U300" s="29" cm="1">
        <f t="array" ref="U300">IF(表成绩单[[#This Row],[政治]]="","",SUMPRODUCT((表成绩单[考试日期]=表成绩单[[#This Row],[考试日期]])*(表成绩单[政治]&lt;9E+307)*(表成绩单[政治]&gt;表成绩单[[#This Row],[政治]]))+1)</f>
        <v>180</v>
      </c>
      <c r="V300" s="29" cm="1">
        <f t="array" ref="V300">IF(表成绩单[[#This Row],[历史]]="","",SUMPRODUCT((表成绩单[考试日期]=表成绩单[[#This Row],[考试日期]])*(表成绩单[历史]&lt;9E+307)*(表成绩单[历史]&gt;表成绩单[[#This Row],[历史]]))+1)</f>
        <v>438</v>
      </c>
      <c r="W300" s="29" cm="1">
        <f t="array" ref="W300">IF(表成绩单[[#This Row],[总分]]="","",SUMPRODUCT((表成绩单[考试日期]=表成绩单[[#This Row],[考试日期]])*(表成绩单[总分]&lt;9E+307)*(表成绩单[总分]&gt;表成绩单[[#This Row],[总分]]))+1)</f>
        <v>292</v>
      </c>
    </row>
    <row r="301" ht="28" customHeight="1" spans="4:23">
      <c r="D301" s="31">
        <v>45975</v>
      </c>
      <c r="E301" s="29">
        <v>19167660</v>
      </c>
      <c r="F301" s="29" t="s">
        <v>1</v>
      </c>
      <c r="G301" s="29" t="s">
        <v>374</v>
      </c>
      <c r="H301" s="29">
        <v>100</v>
      </c>
      <c r="I301" s="29">
        <v>102</v>
      </c>
      <c r="J301" s="29">
        <v>82.5</v>
      </c>
      <c r="K301" s="29">
        <v>76</v>
      </c>
      <c r="L301" s="29">
        <v>84</v>
      </c>
      <c r="M301" s="29">
        <v>75</v>
      </c>
      <c r="N301" s="29">
        <v>73</v>
      </c>
      <c r="O301" s="32">
        <v>592.5</v>
      </c>
      <c r="P301" s="29" cm="1">
        <f t="array" ref="P301">IF(表成绩单[[#This Row],[语文]]="","",SUMPRODUCT((表成绩单[考试日期]=表成绩单[[#This Row],[考试日期]])*(表成绩单[语文]&lt;9E+307)*(表成绩单[语文]&gt;表成绩单[[#This Row],[语文]]))+1)</f>
        <v>223</v>
      </c>
      <c r="Q301" s="29" cm="1">
        <f t="array" ref="Q301">IF(表成绩单[[#This Row],[数学]]="","",SUMPRODUCT((表成绩单[考试日期]=表成绩单[[#This Row],[考试日期]])*(表成绩单[数学]&lt;9E+307)*(表成绩单[数学]&gt;表成绩单[[#This Row],[数学]]))+1)</f>
        <v>298</v>
      </c>
      <c r="R301" s="29" cm="1">
        <f t="array" ref="R301">IF(表成绩单[[#This Row],[英语]]="","",SUMPRODUCT((表成绩单[考试日期]=表成绩单[[#This Row],[考试日期]])*(表成绩单[英语]&lt;9E+307)*(表成绩单[英语]&gt;表成绩单[[#This Row],[英语]]))+1)</f>
        <v>170</v>
      </c>
      <c r="S301" s="29" cm="1">
        <f t="array" ref="S301">IF(表成绩单[[#This Row],[物理]]="","",SUMPRODUCT((表成绩单[考试日期]=表成绩单[[#This Row],[考试日期]])*(表成绩单[物理]&lt;9E+307)*(表成绩单[物理]&gt;表成绩单[[#This Row],[物理]]))+1)</f>
        <v>589</v>
      </c>
      <c r="T301" s="29" cm="1">
        <f t="array" ref="T301">IF(表成绩单[[#This Row],[化学]]="","",SUMPRODUCT((表成绩单[考试日期]=表成绩单[[#This Row],[考试日期]])*(表成绩单[化学]&lt;9E+307)*(表成绩单[化学]&gt;表成绩单[[#This Row],[化学]]))+1)</f>
        <v>33</v>
      </c>
      <c r="U301" s="29" cm="1">
        <f t="array" ref="U301">IF(表成绩单[[#This Row],[政治]]="","",SUMPRODUCT((表成绩单[考试日期]=表成绩单[[#This Row],[考试日期]])*(表成绩单[政治]&lt;9E+307)*(表成绩单[政治]&gt;表成绩单[[#This Row],[政治]]))+1)</f>
        <v>363</v>
      </c>
      <c r="V301" s="29" cm="1">
        <f t="array" ref="V301">IF(表成绩单[[#This Row],[历史]]="","",SUMPRODUCT((表成绩单[考试日期]=表成绩单[[#This Row],[考试日期]])*(表成绩单[历史]&lt;9E+307)*(表成绩单[历史]&gt;表成绩单[[#This Row],[历史]]))+1)</f>
        <v>395</v>
      </c>
      <c r="W301" s="29" cm="1">
        <f t="array" ref="W301">IF(表成绩单[[#This Row],[总分]]="","",SUMPRODUCT((表成绩单[考试日期]=表成绩单[[#This Row],[考试日期]])*(表成绩单[总分]&lt;9E+307)*(表成绩单[总分]&gt;表成绩单[[#This Row],[总分]]))+1)</f>
        <v>297</v>
      </c>
    </row>
    <row r="302" ht="28" customHeight="1" spans="4:23">
      <c r="D302" s="31">
        <v>45975</v>
      </c>
      <c r="E302" s="29">
        <v>19174796</v>
      </c>
      <c r="F302" s="29" t="s">
        <v>69</v>
      </c>
      <c r="G302" s="29" t="s">
        <v>375</v>
      </c>
      <c r="H302" s="29">
        <v>98</v>
      </c>
      <c r="I302" s="29">
        <v>115</v>
      </c>
      <c r="J302" s="29">
        <v>61</v>
      </c>
      <c r="K302" s="29">
        <v>82</v>
      </c>
      <c r="L302" s="29">
        <v>79</v>
      </c>
      <c r="M302" s="29">
        <v>80</v>
      </c>
      <c r="N302" s="29">
        <v>77</v>
      </c>
      <c r="O302" s="32">
        <v>592</v>
      </c>
      <c r="P302" s="29" cm="1">
        <f t="array" ref="P302">IF(表成绩单[[#This Row],[语文]]="","",SUMPRODUCT((表成绩单[考试日期]=表成绩单[[#This Row],[考试日期]])*(表成绩单[语文]&lt;9E+307)*(表成绩单[语文]&gt;表成绩单[[#This Row],[语文]]))+1)</f>
        <v>305</v>
      </c>
      <c r="Q302" s="29" cm="1">
        <f t="array" ref="Q302">IF(表成绩单[[#This Row],[数学]]="","",SUMPRODUCT((表成绩单[考试日期]=表成绩单[[#This Row],[考试日期]])*(表成绩单[数学]&lt;9E+307)*(表成绩单[数学]&gt;表成绩单[[#This Row],[数学]]))+1)</f>
        <v>63</v>
      </c>
      <c r="R302" s="29" cm="1">
        <f t="array" ref="R302">IF(表成绩单[[#This Row],[英语]]="","",SUMPRODUCT((表成绩单[考试日期]=表成绩单[[#This Row],[考试日期]])*(表成绩单[英语]&lt;9E+307)*(表成绩单[英语]&gt;表成绩单[[#This Row],[英语]]))+1)</f>
        <v>660</v>
      </c>
      <c r="S302" s="29" cm="1">
        <f t="array" ref="S302">IF(表成绩单[[#This Row],[物理]]="","",SUMPRODUCT((表成绩单[考试日期]=表成绩单[[#This Row],[考试日期]])*(表成绩单[物理]&lt;9E+307)*(表成绩单[物理]&gt;表成绩单[[#This Row],[物理]]))+1)</f>
        <v>433</v>
      </c>
      <c r="T302" s="29" cm="1">
        <f t="array" ref="T302">IF(表成绩单[[#This Row],[化学]]="","",SUMPRODUCT((表成绩单[考试日期]=表成绩单[[#This Row],[考试日期]])*(表成绩单[化学]&lt;9E+307)*(表成绩单[化学]&gt;表成绩单[[#This Row],[化学]]))+1)</f>
        <v>166</v>
      </c>
      <c r="U302" s="29" cm="1">
        <f t="array" ref="U302">IF(表成绩单[[#This Row],[政治]]="","",SUMPRODUCT((表成绩单[考试日期]=表成绩单[[#This Row],[考试日期]])*(表成绩单[政治]&lt;9E+307)*(表成绩单[政治]&gt;表成绩单[[#This Row],[政治]]))+1)</f>
        <v>209</v>
      </c>
      <c r="V302" s="29" cm="1">
        <f t="array" ref="V302">IF(表成绩单[[#This Row],[历史]]="","",SUMPRODUCT((表成绩单[考试日期]=表成绩单[[#This Row],[考试日期]])*(表成绩单[历史]&lt;9E+307)*(表成绩单[历史]&gt;表成绩单[[#This Row],[历史]]))+1)</f>
        <v>237</v>
      </c>
      <c r="W302" s="29" cm="1">
        <f t="array" ref="W302">IF(表成绩单[[#This Row],[总分]]="","",SUMPRODUCT((表成绩单[考试日期]=表成绩单[[#This Row],[考试日期]])*(表成绩单[总分]&lt;9E+307)*(表成绩单[总分]&gt;表成绩单[[#This Row],[总分]]))+1)</f>
        <v>298</v>
      </c>
    </row>
    <row r="303" ht="28" customHeight="1" spans="4:23">
      <c r="D303" s="31">
        <v>45975</v>
      </c>
      <c r="E303" s="29">
        <v>19175297</v>
      </c>
      <c r="F303" s="29" t="s">
        <v>55</v>
      </c>
      <c r="G303" s="29" t="s">
        <v>376</v>
      </c>
      <c r="H303" s="29">
        <v>96</v>
      </c>
      <c r="I303" s="29">
        <v>98</v>
      </c>
      <c r="J303" s="29">
        <v>82</v>
      </c>
      <c r="K303" s="29">
        <v>87</v>
      </c>
      <c r="L303" s="29">
        <v>81</v>
      </c>
      <c r="M303" s="29">
        <v>69</v>
      </c>
      <c r="N303" s="29">
        <v>79</v>
      </c>
      <c r="O303" s="32">
        <v>592</v>
      </c>
      <c r="P303" s="29" cm="1">
        <f t="array" ref="P303">IF(表成绩单[[#This Row],[语文]]="","",SUMPRODUCT((表成绩单[考试日期]=表成绩单[[#This Row],[考试日期]])*(表成绩单[语文]&lt;9E+307)*(表成绩单[语文]&gt;表成绩单[[#This Row],[语文]]))+1)</f>
        <v>387</v>
      </c>
      <c r="Q303" s="29" cm="1">
        <f t="array" ref="Q303">IF(表成绩单[[#This Row],[数学]]="","",SUMPRODUCT((表成绩单[考试日期]=表成绩单[[#This Row],[考试日期]])*(表成绩单[数学]&lt;9E+307)*(表成绩单[数学]&gt;表成绩单[[#This Row],[数学]]))+1)</f>
        <v>374</v>
      </c>
      <c r="R303" s="29" cm="1">
        <f t="array" ref="R303">IF(表成绩单[[#This Row],[英语]]="","",SUMPRODUCT((表成绩单[考试日期]=表成绩单[[#This Row],[考试日期]])*(表成绩单[英语]&lt;9E+307)*(表成绩单[英语]&gt;表成绩单[[#This Row],[英语]]))+1)</f>
        <v>195</v>
      </c>
      <c r="S303" s="29" cm="1">
        <f t="array" ref="S303">IF(表成绩单[[#This Row],[物理]]="","",SUMPRODUCT((表成绩单[考试日期]=表成绩单[[#This Row],[考试日期]])*(表成绩单[物理]&lt;9E+307)*(表成绩单[物理]&gt;表成绩单[[#This Row],[物理]]))+1)</f>
        <v>127</v>
      </c>
      <c r="T303" s="29" cm="1">
        <f t="array" ref="T303">IF(表成绩单[[#This Row],[化学]]="","",SUMPRODUCT((表成绩单[考试日期]=表成绩单[[#This Row],[考试日期]])*(表成绩单[化学]&lt;9E+307)*(表成绩单[化学]&gt;表成绩单[[#This Row],[化学]]))+1)</f>
        <v>100</v>
      </c>
      <c r="U303" s="29" cm="1">
        <f t="array" ref="U303">IF(表成绩单[[#This Row],[政治]]="","",SUMPRODUCT((表成绩单[考试日期]=表成绩单[[#This Row],[考试日期]])*(表成绩单[政治]&lt;9E+307)*(表成绩单[政治]&gt;表成绩单[[#This Row],[政治]]))+1)</f>
        <v>507</v>
      </c>
      <c r="V303" s="29" cm="1">
        <f t="array" ref="V303">IF(表成绩单[[#This Row],[历史]]="","",SUMPRODUCT((表成绩单[考试日期]=表成绩单[[#This Row],[考试日期]])*(表成绩单[历史]&lt;9E+307)*(表成绩单[历史]&gt;表成绩单[[#This Row],[历史]]))+1)</f>
        <v>144</v>
      </c>
      <c r="W303" s="29" cm="1">
        <f t="array" ref="W303">IF(表成绩单[[#This Row],[总分]]="","",SUMPRODUCT((表成绩单[考试日期]=表成绩单[[#This Row],[考试日期]])*(表成绩单[总分]&lt;9E+307)*(表成绩单[总分]&gt;表成绩单[[#This Row],[总分]]))+1)</f>
        <v>298</v>
      </c>
    </row>
    <row r="304" ht="28" customHeight="1" spans="4:23">
      <c r="D304" s="31">
        <v>45975</v>
      </c>
      <c r="E304" s="29">
        <v>19176169</v>
      </c>
      <c r="F304" s="29" t="s">
        <v>67</v>
      </c>
      <c r="G304" s="29" t="s">
        <v>377</v>
      </c>
      <c r="H304" s="29">
        <v>97</v>
      </c>
      <c r="I304" s="29">
        <v>104</v>
      </c>
      <c r="J304" s="29">
        <v>81</v>
      </c>
      <c r="K304" s="29">
        <v>84</v>
      </c>
      <c r="L304" s="29">
        <v>74</v>
      </c>
      <c r="M304" s="29">
        <v>78</v>
      </c>
      <c r="N304" s="29">
        <v>74</v>
      </c>
      <c r="O304" s="32">
        <v>592</v>
      </c>
      <c r="P304" s="29" cm="1">
        <f t="array" ref="P304">IF(表成绩单[[#This Row],[语文]]="","",SUMPRODUCT((表成绩单[考试日期]=表成绩单[[#This Row],[考试日期]])*(表成绩单[语文]&lt;9E+307)*(表成绩单[语文]&gt;表成绩单[[#This Row],[语文]]))+1)</f>
        <v>349</v>
      </c>
      <c r="Q304" s="29" cm="1">
        <f t="array" ref="Q304">IF(表成绩单[[#This Row],[数学]]="","",SUMPRODUCT((表成绩单[考试日期]=表成绩单[[#This Row],[考试日期]])*(表成绩单[数学]&lt;9E+307)*(表成绩单[数学]&gt;表成绩单[[#This Row],[数学]]))+1)</f>
        <v>260</v>
      </c>
      <c r="R304" s="29" cm="1">
        <f t="array" ref="R304">IF(表成绩单[[#This Row],[英语]]="","",SUMPRODUCT((表成绩单[考试日期]=表成绩单[[#This Row],[考试日期]])*(表成绩单[英语]&lt;9E+307)*(表成绩单[英语]&gt;表成绩单[[#This Row],[英语]]))+1)</f>
        <v>241</v>
      </c>
      <c r="S304" s="29" cm="1">
        <f t="array" ref="S304">IF(表成绩单[[#This Row],[物理]]="","",SUMPRODUCT((表成绩单[考试日期]=表成绩单[[#This Row],[考试日期]])*(表成绩单[物理]&lt;9E+307)*(表成绩单[物理]&gt;表成绩单[[#This Row],[物理]]))+1)</f>
        <v>344</v>
      </c>
      <c r="T304" s="29" cm="1">
        <f t="array" ref="T304">IF(表成绩单[[#This Row],[化学]]="","",SUMPRODUCT((表成绩单[考试日期]=表成绩单[[#This Row],[考试日期]])*(表成绩单[化学]&lt;9E+307)*(表成绩单[化学]&gt;表成绩单[[#This Row],[化学]]))+1)</f>
        <v>337</v>
      </c>
      <c r="U304" s="29" cm="1">
        <f t="array" ref="U304">IF(表成绩单[[#This Row],[政治]]="","",SUMPRODUCT((表成绩单[考试日期]=表成绩单[[#This Row],[考试日期]])*(表成绩单[政治]&lt;9E+307)*(表成绩单[政治]&gt;表成绩单[[#This Row],[政治]]))+1)</f>
        <v>272</v>
      </c>
      <c r="V304" s="29" cm="1">
        <f t="array" ref="V304">IF(表成绩单[[#This Row],[历史]]="","",SUMPRODUCT((表成绩单[考试日期]=表成绩单[[#This Row],[考试日期]])*(表成绩单[历史]&lt;9E+307)*(表成绩单[历史]&gt;表成绩单[[#This Row],[历史]]))+1)</f>
        <v>358</v>
      </c>
      <c r="W304" s="29" cm="1">
        <f t="array" ref="W304">IF(表成绩单[[#This Row],[总分]]="","",SUMPRODUCT((表成绩单[考试日期]=表成绩单[[#This Row],[考试日期]])*(表成绩单[总分]&lt;9E+307)*(表成绩单[总分]&gt;表成绩单[[#This Row],[总分]]))+1)</f>
        <v>298</v>
      </c>
    </row>
    <row r="305" ht="28" customHeight="1" spans="4:23">
      <c r="D305" s="31">
        <v>45975</v>
      </c>
      <c r="E305" s="29">
        <v>19176882</v>
      </c>
      <c r="F305" s="29" t="s">
        <v>71</v>
      </c>
      <c r="G305" s="29" t="s">
        <v>378</v>
      </c>
      <c r="H305" s="29">
        <v>100</v>
      </c>
      <c r="I305" s="29">
        <v>103</v>
      </c>
      <c r="J305" s="29">
        <v>79</v>
      </c>
      <c r="K305" s="29">
        <v>86</v>
      </c>
      <c r="L305" s="29">
        <v>65</v>
      </c>
      <c r="M305" s="29">
        <v>82</v>
      </c>
      <c r="N305" s="29">
        <v>77</v>
      </c>
      <c r="O305" s="32">
        <v>592</v>
      </c>
      <c r="P305" s="29" cm="1">
        <f t="array" ref="P305">IF(表成绩单[[#This Row],[语文]]="","",SUMPRODUCT((表成绩单[考试日期]=表成绩单[[#This Row],[考试日期]])*(表成绩单[语文]&lt;9E+307)*(表成绩单[语文]&gt;表成绩单[[#This Row],[语文]]))+1)</f>
        <v>223</v>
      </c>
      <c r="Q305" s="29" cm="1">
        <f t="array" ref="Q305">IF(表成绩单[[#This Row],[数学]]="","",SUMPRODUCT((表成绩单[考试日期]=表成绩单[[#This Row],[考试日期]])*(表成绩单[数学]&lt;9E+307)*(表成绩单[数学]&gt;表成绩单[[#This Row],[数学]]))+1)</f>
        <v>277</v>
      </c>
      <c r="R305" s="29" cm="1">
        <f t="array" ref="R305">IF(表成绩单[[#This Row],[英语]]="","",SUMPRODUCT((表成绩单[考试日期]=表成绩单[[#This Row],[考试日期]])*(表成绩单[英语]&lt;9E+307)*(表成绩单[英语]&gt;表成绩单[[#This Row],[英语]]))+1)</f>
        <v>292</v>
      </c>
      <c r="S305" s="29" cm="1">
        <f t="array" ref="S305">IF(表成绩单[[#This Row],[物理]]="","",SUMPRODUCT((表成绩单[考试日期]=表成绩单[[#This Row],[考试日期]])*(表成绩单[物理]&lt;9E+307)*(表成绩单[物理]&gt;表成绩单[[#This Row],[物理]]))+1)</f>
        <v>187</v>
      </c>
      <c r="T305" s="29" cm="1">
        <f t="array" ref="T305">IF(表成绩单[[#This Row],[化学]]="","",SUMPRODUCT((表成绩单[考试日期]=表成绩单[[#This Row],[考试日期]])*(表成绩单[化学]&lt;9E+307)*(表成绩单[化学]&gt;表成绩单[[#This Row],[化学]]))+1)</f>
        <v>559</v>
      </c>
      <c r="U305" s="29" cm="1">
        <f t="array" ref="U305">IF(表成绩单[[#This Row],[政治]]="","",SUMPRODUCT((表成绩单[考试日期]=表成绩单[[#This Row],[考试日期]])*(表成绩单[政治]&lt;9E+307)*(表成绩单[政治]&gt;表成绩单[[#This Row],[政治]]))+1)</f>
        <v>157</v>
      </c>
      <c r="V305" s="29" cm="1">
        <f t="array" ref="V305">IF(表成绩单[[#This Row],[历史]]="","",SUMPRODUCT((表成绩单[考试日期]=表成绩单[[#This Row],[考试日期]])*(表成绩单[历史]&lt;9E+307)*(表成绩单[历史]&gt;表成绩单[[#This Row],[历史]]))+1)</f>
        <v>237</v>
      </c>
      <c r="W305" s="29" cm="1">
        <f t="array" ref="W305">IF(表成绩单[[#This Row],[总分]]="","",SUMPRODUCT((表成绩单[考试日期]=表成绩单[[#This Row],[考试日期]])*(表成绩单[总分]&lt;9E+307)*(表成绩单[总分]&gt;表成绩单[[#This Row],[总分]]))+1)</f>
        <v>298</v>
      </c>
    </row>
    <row r="306" ht="28" customHeight="1" spans="4:23">
      <c r="D306" s="31">
        <v>45975</v>
      </c>
      <c r="E306" s="29">
        <v>19171081</v>
      </c>
      <c r="F306" s="29" t="s">
        <v>67</v>
      </c>
      <c r="G306" s="29" t="s">
        <v>379</v>
      </c>
      <c r="H306" s="29">
        <v>106</v>
      </c>
      <c r="I306" s="29">
        <v>93</v>
      </c>
      <c r="J306" s="29">
        <v>81.5</v>
      </c>
      <c r="K306" s="29">
        <v>85</v>
      </c>
      <c r="L306" s="29">
        <v>78</v>
      </c>
      <c r="M306" s="29">
        <v>72</v>
      </c>
      <c r="N306" s="29">
        <v>76</v>
      </c>
      <c r="O306" s="32">
        <v>591.5</v>
      </c>
      <c r="P306" s="29" cm="1">
        <f t="array" ref="P306">IF(表成绩单[[#This Row],[语文]]="","",SUMPRODUCT((表成绩单[考试日期]=表成绩单[[#This Row],[考试日期]])*(表成绩单[语文]&lt;9E+307)*(表成绩单[语文]&gt;表成绩单[[#This Row],[语文]]))+1)</f>
        <v>62</v>
      </c>
      <c r="Q306" s="29" cm="1">
        <f t="array" ref="Q306">IF(表成绩单[[#This Row],[数学]]="","",SUMPRODUCT((表成绩单[考试日期]=表成绩单[[#This Row],[考试日期]])*(表成绩单[数学]&lt;9E+307)*(表成绩单[数学]&gt;表成绩单[[#This Row],[数学]]))+1)</f>
        <v>469</v>
      </c>
      <c r="R306" s="29" cm="1">
        <f t="array" ref="R306">IF(表成绩单[[#This Row],[英语]]="","",SUMPRODUCT((表成绩单[考试日期]=表成绩单[[#This Row],[考试日期]])*(表成绩单[英语]&lt;9E+307)*(表成绩单[英语]&gt;表成绩单[[#This Row],[英语]]))+1)</f>
        <v>220</v>
      </c>
      <c r="S306" s="29" cm="1">
        <f t="array" ref="S306">IF(表成绩单[[#This Row],[物理]]="","",SUMPRODUCT((表成绩单[考试日期]=表成绩单[[#This Row],[考试日期]])*(表成绩单[物理]&lt;9E+307)*(表成绩单[物理]&gt;表成绩单[[#This Row],[物理]]))+1)</f>
        <v>263</v>
      </c>
      <c r="T306" s="29" cm="1">
        <f t="array" ref="T306">IF(表成绩单[[#This Row],[化学]]="","",SUMPRODUCT((表成绩单[考试日期]=表成绩单[[#This Row],[考试日期]])*(表成绩单[化学]&lt;9E+307)*(表成绩单[化学]&gt;表成绩单[[#This Row],[化学]]))+1)</f>
        <v>200</v>
      </c>
      <c r="U306" s="29" cm="1">
        <f t="array" ref="U306">IF(表成绩单[[#This Row],[政治]]="","",SUMPRODUCT((表成绩单[考试日期]=表成绩单[[#This Row],[考试日期]])*(表成绩单[政治]&lt;9E+307)*(表成绩单[政治]&gt;表成绩单[[#This Row],[政治]]))+1)</f>
        <v>448</v>
      </c>
      <c r="V306" s="29" cm="1">
        <f t="array" ref="V306">IF(表成绩单[[#This Row],[历史]]="","",SUMPRODUCT((表成绩单[考试日期]=表成绩单[[#This Row],[考试日期]])*(表成绩单[历史]&lt;9E+307)*(表成绩单[历史]&gt;表成绩单[[#This Row],[历史]]))+1)</f>
        <v>278</v>
      </c>
      <c r="W306" s="29" cm="1">
        <f t="array" ref="W306">IF(表成绩单[[#This Row],[总分]]="","",SUMPRODUCT((表成绩单[考试日期]=表成绩单[[#This Row],[考试日期]])*(表成绩单[总分]&lt;9E+307)*(表成绩单[总分]&gt;表成绩单[[#This Row],[总分]]))+1)</f>
        <v>302</v>
      </c>
    </row>
    <row r="307" ht="28" customHeight="1" spans="4:23">
      <c r="D307" s="31">
        <v>45975</v>
      </c>
      <c r="E307" s="29">
        <v>19175645</v>
      </c>
      <c r="F307" s="29" t="s">
        <v>66</v>
      </c>
      <c r="G307" s="29" t="s">
        <v>380</v>
      </c>
      <c r="H307" s="29">
        <v>104</v>
      </c>
      <c r="I307" s="29">
        <v>100</v>
      </c>
      <c r="J307" s="29">
        <v>65.5</v>
      </c>
      <c r="K307" s="29">
        <v>84</v>
      </c>
      <c r="L307" s="29">
        <v>73</v>
      </c>
      <c r="M307" s="29">
        <v>86</v>
      </c>
      <c r="N307" s="29">
        <v>79</v>
      </c>
      <c r="O307" s="32">
        <v>591.5</v>
      </c>
      <c r="P307" s="29" cm="1">
        <f t="array" ref="P307">IF(表成绩单[[#This Row],[语文]]="","",SUMPRODUCT((表成绩单[考试日期]=表成绩单[[#This Row],[考试日期]])*(表成绩单[语文]&lt;9E+307)*(表成绩单[语文]&gt;表成绩单[[#This Row],[语文]]))+1)</f>
        <v>104</v>
      </c>
      <c r="Q307" s="29" cm="1">
        <f t="array" ref="Q307">IF(表成绩单[[#This Row],[数学]]="","",SUMPRODUCT((表成绩单[考试日期]=表成绩单[[#This Row],[考试日期]])*(表成绩单[数学]&lt;9E+307)*(表成绩单[数学]&gt;表成绩单[[#This Row],[数学]]))+1)</f>
        <v>340</v>
      </c>
      <c r="R307" s="29" cm="1">
        <f t="array" ref="R307">IF(表成绩单[[#This Row],[英语]]="","",SUMPRODUCT((表成绩单[考试日期]=表成绩单[[#This Row],[考试日期]])*(表成绩单[英语]&lt;9E+307)*(表成绩单[英语]&gt;表成绩单[[#This Row],[英语]]))+1)</f>
        <v>614</v>
      </c>
      <c r="S307" s="29" cm="1">
        <f t="array" ref="S307">IF(表成绩单[[#This Row],[物理]]="","",SUMPRODUCT((表成绩单[考试日期]=表成绩单[[#This Row],[考试日期]])*(表成绩单[物理]&lt;9E+307)*(表成绩单[物理]&gt;表成绩单[[#This Row],[物理]]))+1)</f>
        <v>344</v>
      </c>
      <c r="T307" s="29" cm="1">
        <f t="array" ref="T307">IF(表成绩单[[#This Row],[化学]]="","",SUMPRODUCT((表成绩单[考试日期]=表成绩单[[#This Row],[考试日期]])*(表成绩单[化学]&lt;9E+307)*(表成绩单[化学]&gt;表成绩单[[#This Row],[化学]]))+1)</f>
        <v>365</v>
      </c>
      <c r="U307" s="29" cm="1">
        <f t="array" ref="U307">IF(表成绩单[[#This Row],[政治]]="","",SUMPRODUCT((表成绩单[考试日期]=表成绩单[[#This Row],[考试日期]])*(表成绩单[政治]&lt;9E+307)*(表成绩单[政治]&gt;表成绩单[[#This Row],[政治]]))+1)</f>
        <v>26</v>
      </c>
      <c r="V307" s="29" cm="1">
        <f t="array" ref="V307">IF(表成绩单[[#This Row],[历史]]="","",SUMPRODUCT((表成绩单[考试日期]=表成绩单[[#This Row],[考试日期]])*(表成绩单[历史]&lt;9E+307)*(表成绩单[历史]&gt;表成绩单[[#This Row],[历史]]))+1)</f>
        <v>144</v>
      </c>
      <c r="W307" s="29" cm="1">
        <f t="array" ref="W307">IF(表成绩单[[#This Row],[总分]]="","",SUMPRODUCT((表成绩单[考试日期]=表成绩单[[#This Row],[考试日期]])*(表成绩单[总分]&lt;9E+307)*(表成绩单[总分]&gt;表成绩单[[#This Row],[总分]]))+1)</f>
        <v>302</v>
      </c>
    </row>
    <row r="308" ht="28" customHeight="1" spans="4:23">
      <c r="D308" s="31">
        <v>45975</v>
      </c>
      <c r="E308" s="29">
        <v>19175671</v>
      </c>
      <c r="F308" s="29" t="s">
        <v>66</v>
      </c>
      <c r="G308" s="29" t="s">
        <v>381</v>
      </c>
      <c r="H308" s="29">
        <v>105</v>
      </c>
      <c r="I308" s="29">
        <v>115</v>
      </c>
      <c r="J308" s="29">
        <v>79.5</v>
      </c>
      <c r="K308" s="29">
        <v>84</v>
      </c>
      <c r="L308" s="29">
        <v>69</v>
      </c>
      <c r="M308" s="29">
        <v>67</v>
      </c>
      <c r="N308" s="29">
        <v>72</v>
      </c>
      <c r="O308" s="32">
        <v>591.5</v>
      </c>
      <c r="P308" s="29" cm="1">
        <f t="array" ref="P308">IF(表成绩单[[#This Row],[语文]]="","",SUMPRODUCT((表成绩单[考试日期]=表成绩单[[#This Row],[考试日期]])*(表成绩单[语文]&lt;9E+307)*(表成绩单[语文]&gt;表成绩单[[#This Row],[语文]]))+1)</f>
        <v>80</v>
      </c>
      <c r="Q308" s="29" cm="1">
        <f t="array" ref="Q308">IF(表成绩单[[#This Row],[数学]]="","",SUMPRODUCT((表成绩单[考试日期]=表成绩单[[#This Row],[考试日期]])*(表成绩单[数学]&lt;9E+307)*(表成绩单[数学]&gt;表成绩单[[#This Row],[数学]]))+1)</f>
        <v>63</v>
      </c>
      <c r="R308" s="29" cm="1">
        <f t="array" ref="R308">IF(表成绩单[[#This Row],[英语]]="","",SUMPRODUCT((表成绩单[考试日期]=表成绩单[[#This Row],[考试日期]])*(表成绩单[英语]&lt;9E+307)*(表成绩单[英语]&gt;表成绩单[[#This Row],[英语]]))+1)</f>
        <v>279</v>
      </c>
      <c r="S308" s="29" cm="1">
        <f t="array" ref="S308">IF(表成绩单[[#This Row],[物理]]="","",SUMPRODUCT((表成绩单[考试日期]=表成绩单[[#This Row],[考试日期]])*(表成绩单[物理]&lt;9E+307)*(表成绩单[物理]&gt;表成绩单[[#This Row],[物理]]))+1)</f>
        <v>344</v>
      </c>
      <c r="T308" s="29" cm="1">
        <f t="array" ref="T308">IF(表成绩单[[#This Row],[化学]]="","",SUMPRODUCT((表成绩单[考试日期]=表成绩单[[#This Row],[考试日期]])*(表成绩单[化学]&lt;9E+307)*(表成绩单[化学]&gt;表成绩单[[#This Row],[化学]]))+1)</f>
        <v>478</v>
      </c>
      <c r="U308" s="29" cm="1">
        <f t="array" ref="U308">IF(表成绩单[[#This Row],[政治]]="","",SUMPRODUCT((表成绩单[考试日期]=表成绩单[[#This Row],[考试日期]])*(表成绩单[政治]&lt;9E+307)*(表成绩单[政治]&gt;表成绩单[[#This Row],[政治]]))+1)</f>
        <v>543</v>
      </c>
      <c r="V308" s="29" cm="1">
        <f t="array" ref="V308">IF(表成绩单[[#This Row],[历史]]="","",SUMPRODUCT((表成绩单[考试日期]=表成绩单[[#This Row],[考试日期]])*(表成绩单[历史]&lt;9E+307)*(表成绩单[历史]&gt;表成绩单[[#This Row],[历史]]))+1)</f>
        <v>438</v>
      </c>
      <c r="W308" s="29" cm="1">
        <f t="array" ref="W308">IF(表成绩单[[#This Row],[总分]]="","",SUMPRODUCT((表成绩单[考试日期]=表成绩单[[#This Row],[考试日期]])*(表成绩单[总分]&lt;9E+307)*(表成绩单[总分]&gt;表成绩单[[#This Row],[总分]]))+1)</f>
        <v>302</v>
      </c>
    </row>
    <row r="309" ht="28" customHeight="1" spans="4:23">
      <c r="D309" s="31">
        <v>45975</v>
      </c>
      <c r="E309" s="29">
        <v>19175635</v>
      </c>
      <c r="F309" s="29" t="s">
        <v>66</v>
      </c>
      <c r="G309" s="29" t="s">
        <v>382</v>
      </c>
      <c r="H309" s="29">
        <v>91</v>
      </c>
      <c r="I309" s="29">
        <v>107</v>
      </c>
      <c r="J309" s="29">
        <v>84</v>
      </c>
      <c r="K309" s="29">
        <v>86</v>
      </c>
      <c r="L309" s="29">
        <v>74</v>
      </c>
      <c r="M309" s="29">
        <v>76</v>
      </c>
      <c r="N309" s="29">
        <v>73</v>
      </c>
      <c r="O309" s="32">
        <v>591</v>
      </c>
      <c r="P309" s="29" cm="1">
        <f t="array" ref="P309">IF(表成绩单[[#This Row],[语文]]="","",SUMPRODUCT((表成绩单[考试日期]=表成绩单[[#This Row],[考试日期]])*(表成绩单[语文]&lt;9E+307)*(表成绩单[语文]&gt;表成绩单[[#This Row],[语文]]))+1)</f>
        <v>536</v>
      </c>
      <c r="Q309" s="29" cm="1">
        <f t="array" ref="Q309">IF(表成绩单[[#This Row],[数学]]="","",SUMPRODUCT((表成绩单[考试日期]=表成绩单[[#This Row],[考试日期]])*(表成绩单[数学]&lt;9E+307)*(表成绩单[数学]&gt;表成绩单[[#This Row],[数学]]))+1)</f>
        <v>200</v>
      </c>
      <c r="R309" s="29" cm="1">
        <f t="array" ref="R309">IF(表成绩单[[#This Row],[英语]]="","",SUMPRODUCT((表成绩单[考试日期]=表成绩单[[#This Row],[考试日期]])*(表成绩单[英语]&lt;9E+307)*(表成绩单[英语]&gt;表成绩单[[#This Row],[英语]]))+1)</f>
        <v>102</v>
      </c>
      <c r="S309" s="29" cm="1">
        <f t="array" ref="S309">IF(表成绩单[[#This Row],[物理]]="","",SUMPRODUCT((表成绩单[考试日期]=表成绩单[[#This Row],[考试日期]])*(表成绩单[物理]&lt;9E+307)*(表成绩单[物理]&gt;表成绩单[[#This Row],[物理]]))+1)</f>
        <v>187</v>
      </c>
      <c r="T309" s="29" cm="1">
        <f t="array" ref="T309">IF(表成绩单[[#This Row],[化学]]="","",SUMPRODUCT((表成绩单[考试日期]=表成绩单[[#This Row],[考试日期]])*(表成绩单[化学]&lt;9E+307)*(表成绩单[化学]&gt;表成绩单[[#This Row],[化学]]))+1)</f>
        <v>337</v>
      </c>
      <c r="U309" s="29" cm="1">
        <f t="array" ref="U309">IF(表成绩单[[#This Row],[政治]]="","",SUMPRODUCT((表成绩单[考试日期]=表成绩单[[#This Row],[考试日期]])*(表成绩单[政治]&lt;9E+307)*(表成绩单[政治]&gt;表成绩单[[#This Row],[政治]]))+1)</f>
        <v>329</v>
      </c>
      <c r="V309" s="29" cm="1">
        <f t="array" ref="V309">IF(表成绩单[[#This Row],[历史]]="","",SUMPRODUCT((表成绩单[考试日期]=表成绩单[[#This Row],[考试日期]])*(表成绩单[历史]&lt;9E+307)*(表成绩单[历史]&gt;表成绩单[[#This Row],[历史]]))+1)</f>
        <v>395</v>
      </c>
      <c r="W309" s="29" cm="1">
        <f t="array" ref="W309">IF(表成绩单[[#This Row],[总分]]="","",SUMPRODUCT((表成绩单[考试日期]=表成绩单[[#This Row],[考试日期]])*(表成绩单[总分]&lt;9E+307)*(表成绩单[总分]&gt;表成绩单[[#This Row],[总分]]))+1)</f>
        <v>305</v>
      </c>
    </row>
    <row r="310" ht="28" customHeight="1" spans="4:23">
      <c r="D310" s="31">
        <v>45975</v>
      </c>
      <c r="E310" s="29">
        <v>19176162</v>
      </c>
      <c r="F310" s="29" t="s">
        <v>67</v>
      </c>
      <c r="G310" s="29" t="s">
        <v>383</v>
      </c>
      <c r="H310" s="29">
        <v>100</v>
      </c>
      <c r="I310" s="29">
        <v>95</v>
      </c>
      <c r="J310" s="29">
        <v>76</v>
      </c>
      <c r="K310" s="29">
        <v>85</v>
      </c>
      <c r="L310" s="29">
        <v>73</v>
      </c>
      <c r="M310" s="29">
        <v>82</v>
      </c>
      <c r="N310" s="29">
        <v>80</v>
      </c>
      <c r="O310" s="32">
        <v>591</v>
      </c>
      <c r="P310" s="29" cm="1">
        <f t="array" ref="P310">IF(表成绩单[[#This Row],[语文]]="","",SUMPRODUCT((表成绩单[考试日期]=表成绩单[[#This Row],[考试日期]])*(表成绩单[语文]&lt;9E+307)*(表成绩单[语文]&gt;表成绩单[[#This Row],[语文]]))+1)</f>
        <v>223</v>
      </c>
      <c r="Q310" s="29" cm="1">
        <f t="array" ref="Q310">IF(表成绩单[[#This Row],[数学]]="","",SUMPRODUCT((表成绩单[考试日期]=表成绩单[[#This Row],[考试日期]])*(表成绩单[数学]&lt;9E+307)*(表成绩单[数学]&gt;表成绩单[[#This Row],[数学]]))+1)</f>
        <v>430</v>
      </c>
      <c r="R310" s="29" cm="1">
        <f t="array" ref="R310">IF(表成绩单[[#This Row],[英语]]="","",SUMPRODUCT((表成绩单[考试日期]=表成绩单[[#This Row],[考试日期]])*(表成绩单[英语]&lt;9E+307)*(表成绩单[英语]&gt;表成绩单[[#This Row],[英语]]))+1)</f>
        <v>399</v>
      </c>
      <c r="S310" s="29" cm="1">
        <f t="array" ref="S310">IF(表成绩单[[#This Row],[物理]]="","",SUMPRODUCT((表成绩单[考试日期]=表成绩单[[#This Row],[考试日期]])*(表成绩单[物理]&lt;9E+307)*(表成绩单[物理]&gt;表成绩单[[#This Row],[物理]]))+1)</f>
        <v>263</v>
      </c>
      <c r="T310" s="29" cm="1">
        <f t="array" ref="T310">IF(表成绩单[[#This Row],[化学]]="","",SUMPRODUCT((表成绩单[考试日期]=表成绩单[[#This Row],[考试日期]])*(表成绩单[化学]&lt;9E+307)*(表成绩单[化学]&gt;表成绩单[[#This Row],[化学]]))+1)</f>
        <v>365</v>
      </c>
      <c r="U310" s="29" cm="1">
        <f t="array" ref="U310">IF(表成绩单[[#This Row],[政治]]="","",SUMPRODUCT((表成绩单[考试日期]=表成绩单[[#This Row],[考试日期]])*(表成绩单[政治]&lt;9E+307)*(表成绩单[政治]&gt;表成绩单[[#This Row],[政治]]))+1)</f>
        <v>157</v>
      </c>
      <c r="V310" s="29" cm="1">
        <f t="array" ref="V310">IF(表成绩单[[#This Row],[历史]]="","",SUMPRODUCT((表成绩单[考试日期]=表成绩单[[#This Row],[考试日期]])*(表成绩单[历史]&lt;9E+307)*(表成绩单[历史]&gt;表成绩单[[#This Row],[历史]]))+1)</f>
        <v>108</v>
      </c>
      <c r="W310" s="29" cm="1">
        <f t="array" ref="W310">IF(表成绩单[[#This Row],[总分]]="","",SUMPRODUCT((表成绩单[考试日期]=表成绩单[[#This Row],[考试日期]])*(表成绩单[总分]&lt;9E+307)*(表成绩单[总分]&gt;表成绩单[[#This Row],[总分]]))+1)</f>
        <v>305</v>
      </c>
    </row>
    <row r="311" ht="28" customHeight="1" spans="4:23">
      <c r="D311" s="31">
        <v>45975</v>
      </c>
      <c r="E311" s="29">
        <v>19176885</v>
      </c>
      <c r="F311" s="29" t="s">
        <v>71</v>
      </c>
      <c r="G311" s="29" t="s">
        <v>384</v>
      </c>
      <c r="H311" s="29">
        <v>98</v>
      </c>
      <c r="I311" s="29">
        <v>106</v>
      </c>
      <c r="J311" s="29">
        <v>76.5</v>
      </c>
      <c r="K311" s="29">
        <v>83</v>
      </c>
      <c r="L311" s="29">
        <v>79</v>
      </c>
      <c r="M311" s="29">
        <v>73</v>
      </c>
      <c r="N311" s="29">
        <v>75</v>
      </c>
      <c r="O311" s="32">
        <v>590.5</v>
      </c>
      <c r="P311" s="29" cm="1">
        <f t="array" ref="P311">IF(表成绩单[[#This Row],[语文]]="","",SUMPRODUCT((表成绩单[考试日期]=表成绩单[[#This Row],[考试日期]])*(表成绩单[语文]&lt;9E+307)*(表成绩单[语文]&gt;表成绩单[[#This Row],[语文]]))+1)</f>
        <v>305</v>
      </c>
      <c r="Q311" s="29" cm="1">
        <f t="array" ref="Q311">IF(表成绩单[[#This Row],[数学]]="","",SUMPRODUCT((表成绩单[考试日期]=表成绩单[[#This Row],[考试日期]])*(表成绩单[数学]&lt;9E+307)*(表成绩单[数学]&gt;表成绩单[[#This Row],[数学]]))+1)</f>
        <v>220</v>
      </c>
      <c r="R311" s="29" cm="1">
        <f t="array" ref="R311">IF(表成绩单[[#This Row],[英语]]="","",SUMPRODUCT((表成绩单[考试日期]=表成绩单[[#This Row],[考试日期]])*(表成绩单[英语]&lt;9E+307)*(表成绩单[英语]&gt;表成绩单[[#This Row],[英语]]))+1)</f>
        <v>382</v>
      </c>
      <c r="S311" s="29" cm="1">
        <f t="array" ref="S311">IF(表成绩单[[#This Row],[物理]]="","",SUMPRODUCT((表成绩单[考试日期]=表成绩单[[#This Row],[考试日期]])*(表成绩单[物理]&lt;9E+307)*(表成绩单[物理]&gt;表成绩单[[#This Row],[物理]]))+1)</f>
        <v>390</v>
      </c>
      <c r="T311" s="29" cm="1">
        <f t="array" ref="T311">IF(表成绩单[[#This Row],[化学]]="","",SUMPRODUCT((表成绩单[考试日期]=表成绩单[[#This Row],[考试日期]])*(表成绩单[化学]&lt;9E+307)*(表成绩单[化学]&gt;表成绩单[[#This Row],[化学]]))+1)</f>
        <v>166</v>
      </c>
      <c r="U311" s="29" cm="1">
        <f t="array" ref="U311">IF(表成绩单[[#This Row],[政治]]="","",SUMPRODUCT((表成绩单[考试日期]=表成绩单[[#This Row],[考试日期]])*(表成绩单[政治]&lt;9E+307)*(表成绩单[政治]&gt;表成绩单[[#This Row],[政治]]))+1)</f>
        <v>418</v>
      </c>
      <c r="V311" s="29" cm="1">
        <f t="array" ref="V311">IF(表成绩单[[#This Row],[历史]]="","",SUMPRODUCT((表成绩单[考试日期]=表成绩单[[#This Row],[考试日期]])*(表成绩单[历史]&lt;9E+307)*(表成绩单[历史]&gt;表成绩单[[#This Row],[历史]]))+1)</f>
        <v>315</v>
      </c>
      <c r="W311" s="29" cm="1">
        <f t="array" ref="W311">IF(表成绩单[[#This Row],[总分]]="","",SUMPRODUCT((表成绩单[考试日期]=表成绩单[[#This Row],[考试日期]])*(表成绩单[总分]&lt;9E+307)*(表成绩单[总分]&gt;表成绩单[[#This Row],[总分]]))+1)</f>
        <v>307</v>
      </c>
    </row>
    <row r="312" ht="28" customHeight="1" spans="4:23">
      <c r="D312" s="31">
        <v>45975</v>
      </c>
      <c r="E312" s="29">
        <v>19177210</v>
      </c>
      <c r="F312" s="29" t="s">
        <v>70</v>
      </c>
      <c r="G312" s="29" t="s">
        <v>385</v>
      </c>
      <c r="H312" s="29">
        <v>103</v>
      </c>
      <c r="I312" s="29">
        <v>99</v>
      </c>
      <c r="J312" s="29">
        <v>81.5</v>
      </c>
      <c r="K312" s="29">
        <v>83</v>
      </c>
      <c r="L312" s="29">
        <v>73</v>
      </c>
      <c r="M312" s="29">
        <v>78</v>
      </c>
      <c r="N312" s="29">
        <v>73</v>
      </c>
      <c r="O312" s="32">
        <v>590.5</v>
      </c>
      <c r="P312" s="29" cm="1">
        <f t="array" ref="P312">IF(表成绩单[[#This Row],[语文]]="","",SUMPRODUCT((表成绩单[考试日期]=表成绩单[[#This Row],[考试日期]])*(表成绩单[语文]&lt;9E+307)*(表成绩单[语文]&gt;表成绩单[[#This Row],[语文]]))+1)</f>
        <v>126</v>
      </c>
      <c r="Q312" s="29" cm="1">
        <f t="array" ref="Q312">IF(表成绩单[[#This Row],[数学]]="","",SUMPRODUCT((表成绩单[考试日期]=表成绩单[[#This Row],[考试日期]])*(表成绩单[数学]&lt;9E+307)*(表成绩单[数学]&gt;表成绩单[[#This Row],[数学]]))+1)</f>
        <v>361</v>
      </c>
      <c r="R312" s="29" cm="1">
        <f t="array" ref="R312">IF(表成绩单[[#This Row],[英语]]="","",SUMPRODUCT((表成绩单[考试日期]=表成绩单[[#This Row],[考试日期]])*(表成绩单[英语]&lt;9E+307)*(表成绩单[英语]&gt;表成绩单[[#This Row],[英语]]))+1)</f>
        <v>220</v>
      </c>
      <c r="S312" s="29" cm="1">
        <f t="array" ref="S312">IF(表成绩单[[#This Row],[物理]]="","",SUMPRODUCT((表成绩单[考试日期]=表成绩单[[#This Row],[考试日期]])*(表成绩单[物理]&lt;9E+307)*(表成绩单[物理]&gt;表成绩单[[#This Row],[物理]]))+1)</f>
        <v>390</v>
      </c>
      <c r="T312" s="29" cm="1">
        <f t="array" ref="T312">IF(表成绩单[[#This Row],[化学]]="","",SUMPRODUCT((表成绩单[考试日期]=表成绩单[[#This Row],[考试日期]])*(表成绩单[化学]&lt;9E+307)*(表成绩单[化学]&gt;表成绩单[[#This Row],[化学]]))+1)</f>
        <v>365</v>
      </c>
      <c r="U312" s="29" cm="1">
        <f t="array" ref="U312">IF(表成绩单[[#This Row],[政治]]="","",SUMPRODUCT((表成绩单[考试日期]=表成绩单[[#This Row],[考试日期]])*(表成绩单[政治]&lt;9E+307)*(表成绩单[政治]&gt;表成绩单[[#This Row],[政治]]))+1)</f>
        <v>272</v>
      </c>
      <c r="V312" s="29" cm="1">
        <f t="array" ref="V312">IF(表成绩单[[#This Row],[历史]]="","",SUMPRODUCT((表成绩单[考试日期]=表成绩单[[#This Row],[考试日期]])*(表成绩单[历史]&lt;9E+307)*(表成绩单[历史]&gt;表成绩单[[#This Row],[历史]]))+1)</f>
        <v>395</v>
      </c>
      <c r="W312" s="29" cm="1">
        <f t="array" ref="W312">IF(表成绩单[[#This Row],[总分]]="","",SUMPRODUCT((表成绩单[考试日期]=表成绩单[[#This Row],[考试日期]])*(表成绩单[总分]&lt;9E+307)*(表成绩单[总分]&gt;表成绩单[[#This Row],[总分]]))+1)</f>
        <v>307</v>
      </c>
    </row>
    <row r="313" ht="28" customHeight="1" spans="4:23">
      <c r="D313" s="31">
        <v>45975</v>
      </c>
      <c r="E313" s="29">
        <v>19177636</v>
      </c>
      <c r="F313" s="29" t="s">
        <v>63</v>
      </c>
      <c r="G313" s="29" t="s">
        <v>386</v>
      </c>
      <c r="H313" s="29">
        <v>101</v>
      </c>
      <c r="I313" s="29">
        <v>99</v>
      </c>
      <c r="J313" s="29">
        <v>77.5</v>
      </c>
      <c r="K313" s="29">
        <v>87</v>
      </c>
      <c r="L313" s="29">
        <v>71</v>
      </c>
      <c r="M313" s="29">
        <v>76</v>
      </c>
      <c r="N313" s="29">
        <v>79</v>
      </c>
      <c r="O313" s="32">
        <v>590.5</v>
      </c>
      <c r="P313" s="29" cm="1">
        <f t="array" ref="P313">IF(表成绩单[[#This Row],[语文]]="","",SUMPRODUCT((表成绩单[考试日期]=表成绩单[[#This Row],[考试日期]])*(表成绩单[语文]&lt;9E+307)*(表成绩单[语文]&gt;表成绩单[[#This Row],[语文]]))+1)</f>
        <v>190</v>
      </c>
      <c r="Q313" s="29" cm="1">
        <f t="array" ref="Q313">IF(表成绩单[[#This Row],[数学]]="","",SUMPRODUCT((表成绩单[考试日期]=表成绩单[[#This Row],[考试日期]])*(表成绩单[数学]&lt;9E+307)*(表成绩单[数学]&gt;表成绩单[[#This Row],[数学]]))+1)</f>
        <v>361</v>
      </c>
      <c r="R313" s="29" cm="1">
        <f t="array" ref="R313">IF(表成绩单[[#This Row],[英语]]="","",SUMPRODUCT((表成绩单[考试日期]=表成绩单[[#This Row],[考试日期]])*(表成绩单[英语]&lt;9E+307)*(表成绩单[英语]&gt;表成绩单[[#This Row],[英语]]))+1)</f>
        <v>345</v>
      </c>
      <c r="S313" s="29" cm="1">
        <f t="array" ref="S313">IF(表成绩单[[#This Row],[物理]]="","",SUMPRODUCT((表成绩单[考试日期]=表成绩单[[#This Row],[考试日期]])*(表成绩单[物理]&lt;9E+307)*(表成绩单[物理]&gt;表成绩单[[#This Row],[物理]]))+1)</f>
        <v>127</v>
      </c>
      <c r="T313" s="29" cm="1">
        <f t="array" ref="T313">IF(表成绩单[[#This Row],[化学]]="","",SUMPRODUCT((表成绩单[考试日期]=表成绩单[[#This Row],[考试日期]])*(表成绩单[化学]&lt;9E+307)*(表成绩单[化学]&gt;表成绩单[[#This Row],[化学]]))+1)</f>
        <v>432</v>
      </c>
      <c r="U313" s="29" cm="1">
        <f t="array" ref="U313">IF(表成绩单[[#This Row],[政治]]="","",SUMPRODUCT((表成绩单[考试日期]=表成绩单[[#This Row],[考试日期]])*(表成绩单[政治]&lt;9E+307)*(表成绩单[政治]&gt;表成绩单[[#This Row],[政治]]))+1)</f>
        <v>329</v>
      </c>
      <c r="V313" s="29" cm="1">
        <f t="array" ref="V313">IF(表成绩单[[#This Row],[历史]]="","",SUMPRODUCT((表成绩单[考试日期]=表成绩单[[#This Row],[考试日期]])*(表成绩单[历史]&lt;9E+307)*(表成绩单[历史]&gt;表成绩单[[#This Row],[历史]]))+1)</f>
        <v>144</v>
      </c>
      <c r="W313" s="29" cm="1">
        <f t="array" ref="W313">IF(表成绩单[[#This Row],[总分]]="","",SUMPRODUCT((表成绩单[考试日期]=表成绩单[[#This Row],[考试日期]])*(表成绩单[总分]&lt;9E+307)*(表成绩单[总分]&gt;表成绩单[[#This Row],[总分]]))+1)</f>
        <v>307</v>
      </c>
    </row>
    <row r="314" ht="28" customHeight="1" spans="4:23">
      <c r="D314" s="31">
        <v>45975</v>
      </c>
      <c r="E314" s="29">
        <v>19173277</v>
      </c>
      <c r="F314" s="29" t="s">
        <v>61</v>
      </c>
      <c r="G314" s="29" t="s">
        <v>387</v>
      </c>
      <c r="H314" s="29">
        <v>94</v>
      </c>
      <c r="I314" s="29">
        <v>109</v>
      </c>
      <c r="J314" s="29">
        <v>77</v>
      </c>
      <c r="K314" s="29">
        <v>87</v>
      </c>
      <c r="L314" s="29">
        <v>76</v>
      </c>
      <c r="M314" s="29">
        <v>73</v>
      </c>
      <c r="N314" s="29">
        <v>74</v>
      </c>
      <c r="O314" s="32">
        <v>590</v>
      </c>
      <c r="P314" s="29" cm="1">
        <f t="array" ref="P314">IF(表成绩单[[#This Row],[语文]]="","",SUMPRODUCT((表成绩单[考试日期]=表成绩单[[#This Row],[考试日期]])*(表成绩单[语文]&lt;9E+307)*(表成绩单[语文]&gt;表成绩单[[#This Row],[语文]]))+1)</f>
        <v>452</v>
      </c>
      <c r="Q314" s="29" cm="1">
        <f t="array" ref="Q314">IF(表成绩单[[#This Row],[数学]]="","",SUMPRODUCT((表成绩单[考试日期]=表成绩单[[#This Row],[考试日期]])*(表成绩单[数学]&lt;9E+307)*(表成绩单[数学]&gt;表成绩单[[#This Row],[数学]]))+1)</f>
        <v>165</v>
      </c>
      <c r="R314" s="29" cm="1">
        <f t="array" ref="R314">IF(表成绩单[[#This Row],[英语]]="","",SUMPRODUCT((表成绩单[考试日期]=表成绩单[[#This Row],[考试日期]])*(表成绩单[英语]&lt;9E+307)*(表成绩单[英语]&gt;表成绩单[[#This Row],[英语]]))+1)</f>
        <v>369</v>
      </c>
      <c r="S314" s="29" cm="1">
        <f t="array" ref="S314">IF(表成绩单[[#This Row],[物理]]="","",SUMPRODUCT((表成绩单[考试日期]=表成绩单[[#This Row],[考试日期]])*(表成绩单[物理]&lt;9E+307)*(表成绩单[物理]&gt;表成绩单[[#This Row],[物理]]))+1)</f>
        <v>127</v>
      </c>
      <c r="T314" s="29" cm="1">
        <f t="array" ref="T314">IF(表成绩单[[#This Row],[化学]]="","",SUMPRODUCT((表成绩单[考试日期]=表成绩单[[#This Row],[考试日期]])*(表成绩单[化学]&lt;9E+307)*(表成绩单[化学]&gt;表成绩单[[#This Row],[化学]]))+1)</f>
        <v>268</v>
      </c>
      <c r="U314" s="29" cm="1">
        <f t="array" ref="U314">IF(表成绩单[[#This Row],[政治]]="","",SUMPRODUCT((表成绩单[考试日期]=表成绩单[[#This Row],[考试日期]])*(表成绩单[政治]&lt;9E+307)*(表成绩单[政治]&gt;表成绩单[[#This Row],[政治]]))+1)</f>
        <v>418</v>
      </c>
      <c r="V314" s="29" cm="1">
        <f t="array" ref="V314">IF(表成绩单[[#This Row],[历史]]="","",SUMPRODUCT((表成绩单[考试日期]=表成绩单[[#This Row],[考试日期]])*(表成绩单[历史]&lt;9E+307)*(表成绩单[历史]&gt;表成绩单[[#This Row],[历史]]))+1)</f>
        <v>358</v>
      </c>
      <c r="W314" s="29" cm="1">
        <f t="array" ref="W314">IF(表成绩单[[#This Row],[总分]]="","",SUMPRODUCT((表成绩单[考试日期]=表成绩单[[#This Row],[考试日期]])*(表成绩单[总分]&lt;9E+307)*(表成绩单[总分]&gt;表成绩单[[#This Row],[总分]]))+1)</f>
        <v>310</v>
      </c>
    </row>
    <row r="315" ht="28" customHeight="1" spans="4:23">
      <c r="D315" s="31">
        <v>45975</v>
      </c>
      <c r="E315" s="29">
        <v>19174431</v>
      </c>
      <c r="F315" s="29" t="s">
        <v>73</v>
      </c>
      <c r="G315" s="29" t="s">
        <v>388</v>
      </c>
      <c r="H315" s="29">
        <v>102</v>
      </c>
      <c r="I315" s="29">
        <v>97</v>
      </c>
      <c r="J315" s="29">
        <v>84</v>
      </c>
      <c r="K315" s="29">
        <v>81</v>
      </c>
      <c r="L315" s="29">
        <v>70</v>
      </c>
      <c r="M315" s="29">
        <v>76</v>
      </c>
      <c r="N315" s="29">
        <v>80</v>
      </c>
      <c r="O315" s="32">
        <v>590</v>
      </c>
      <c r="P315" s="29" cm="1">
        <f t="array" ref="P315">IF(表成绩单[[#This Row],[语文]]="","",SUMPRODUCT((表成绩单[考试日期]=表成绩单[[#This Row],[考试日期]])*(表成绩单[语文]&lt;9E+307)*(表成绩单[语文]&gt;表成绩单[[#This Row],[语文]]))+1)</f>
        <v>154</v>
      </c>
      <c r="Q315" s="29" cm="1">
        <f t="array" ref="Q315">IF(表成绩单[[#This Row],[数学]]="","",SUMPRODUCT((表成绩单[考试日期]=表成绩单[[#This Row],[考试日期]])*(表成绩单[数学]&lt;9E+307)*(表成绩单[数学]&gt;表成绩单[[#This Row],[数学]]))+1)</f>
        <v>389</v>
      </c>
      <c r="R315" s="29" cm="1">
        <f t="array" ref="R315">IF(表成绩单[[#This Row],[英语]]="","",SUMPRODUCT((表成绩单[考试日期]=表成绩单[[#This Row],[考试日期]])*(表成绩单[英语]&lt;9E+307)*(表成绩单[英语]&gt;表成绩单[[#This Row],[英语]]))+1)</f>
        <v>102</v>
      </c>
      <c r="S315" s="29" cm="1">
        <f t="array" ref="S315">IF(表成绩单[[#This Row],[物理]]="","",SUMPRODUCT((表成绩单[考试日期]=表成绩单[[#This Row],[考试日期]])*(表成绩单[物理]&lt;9E+307)*(表成绩单[物理]&gt;表成绩单[[#This Row],[物理]]))+1)</f>
        <v>474</v>
      </c>
      <c r="T315" s="29" cm="1">
        <f t="array" ref="T315">IF(表成绩单[[#This Row],[化学]]="","",SUMPRODUCT((表成绩单[考试日期]=表成绩单[[#This Row],[考试日期]])*(表成绩单[化学]&lt;9E+307)*(表成绩单[化学]&gt;表成绩单[[#This Row],[化学]]))+1)</f>
        <v>453</v>
      </c>
      <c r="U315" s="29" cm="1">
        <f t="array" ref="U315">IF(表成绩单[[#This Row],[政治]]="","",SUMPRODUCT((表成绩单[考试日期]=表成绩单[[#This Row],[考试日期]])*(表成绩单[政治]&lt;9E+307)*(表成绩单[政治]&gt;表成绩单[[#This Row],[政治]]))+1)</f>
        <v>329</v>
      </c>
      <c r="V315" s="29" cm="1">
        <f t="array" ref="V315">IF(表成绩单[[#This Row],[历史]]="","",SUMPRODUCT((表成绩单[考试日期]=表成绩单[[#This Row],[考试日期]])*(表成绩单[历史]&lt;9E+307)*(表成绩单[历史]&gt;表成绩单[[#This Row],[历史]]))+1)</f>
        <v>108</v>
      </c>
      <c r="W315" s="29" cm="1">
        <f t="array" ref="W315">IF(表成绩单[[#This Row],[总分]]="","",SUMPRODUCT((表成绩单[考试日期]=表成绩单[[#This Row],[考试日期]])*(表成绩单[总分]&lt;9E+307)*(表成绩单[总分]&gt;表成绩单[[#This Row],[总分]]))+1)</f>
        <v>310</v>
      </c>
    </row>
    <row r="316" ht="28" customHeight="1" spans="4:23">
      <c r="D316" s="31">
        <v>45975</v>
      </c>
      <c r="E316" s="29">
        <v>19176167</v>
      </c>
      <c r="F316" s="29" t="s">
        <v>67</v>
      </c>
      <c r="G316" s="29" t="s">
        <v>389</v>
      </c>
      <c r="H316" s="29">
        <v>91</v>
      </c>
      <c r="I316" s="29">
        <v>112</v>
      </c>
      <c r="J316" s="29">
        <v>77</v>
      </c>
      <c r="K316" s="29">
        <v>88</v>
      </c>
      <c r="L316" s="29">
        <v>72</v>
      </c>
      <c r="M316" s="29">
        <v>77</v>
      </c>
      <c r="N316" s="29">
        <v>73</v>
      </c>
      <c r="O316" s="32">
        <v>590</v>
      </c>
      <c r="P316" s="29" cm="1">
        <f t="array" ref="P316">IF(表成绩单[[#This Row],[语文]]="","",SUMPRODUCT((表成绩单[考试日期]=表成绩单[[#This Row],[考试日期]])*(表成绩单[语文]&lt;9E+307)*(表成绩单[语文]&gt;表成绩单[[#This Row],[语文]]))+1)</f>
        <v>536</v>
      </c>
      <c r="Q316" s="29" cm="1">
        <f t="array" ref="Q316">IF(表成绩单[[#This Row],[数学]]="","",SUMPRODUCT((表成绩单[考试日期]=表成绩单[[#This Row],[考试日期]])*(表成绩单[数学]&lt;9E+307)*(表成绩单[数学]&gt;表成绩单[[#This Row],[数学]]))+1)</f>
        <v>112</v>
      </c>
      <c r="R316" s="29" cm="1">
        <f t="array" ref="R316">IF(表成绩单[[#This Row],[英语]]="","",SUMPRODUCT((表成绩单[考试日期]=表成绩单[[#This Row],[考试日期]])*(表成绩单[英语]&lt;9E+307)*(表成绩单[英语]&gt;表成绩单[[#This Row],[英语]]))+1)</f>
        <v>369</v>
      </c>
      <c r="S316" s="29" cm="1">
        <f t="array" ref="S316">IF(表成绩单[[#This Row],[物理]]="","",SUMPRODUCT((表成绩单[考试日期]=表成绩单[[#This Row],[考试日期]])*(表成绩单[物理]&lt;9E+307)*(表成绩单[物理]&gt;表成绩单[[#This Row],[物理]]))+1)</f>
        <v>54</v>
      </c>
      <c r="T316" s="29" cm="1">
        <f t="array" ref="T316">IF(表成绩单[[#This Row],[化学]]="","",SUMPRODUCT((表成绩单[考试日期]=表成绩单[[#This Row],[考试日期]])*(表成绩单[化学]&lt;9E+307)*(表成绩单[化学]&gt;表成绩单[[#This Row],[化学]]))+1)</f>
        <v>405</v>
      </c>
      <c r="U316" s="29" cm="1">
        <f t="array" ref="U316">IF(表成绩单[[#This Row],[政治]]="","",SUMPRODUCT((表成绩单[考试日期]=表成绩单[[#This Row],[考试日期]])*(表成绩单[政治]&lt;9E+307)*(表成绩单[政治]&gt;表成绩单[[#This Row],[政治]]))+1)</f>
        <v>304</v>
      </c>
      <c r="V316" s="29" cm="1">
        <f t="array" ref="V316">IF(表成绩单[[#This Row],[历史]]="","",SUMPRODUCT((表成绩单[考试日期]=表成绩单[[#This Row],[考试日期]])*(表成绩单[历史]&lt;9E+307)*(表成绩单[历史]&gt;表成绩单[[#This Row],[历史]]))+1)</f>
        <v>395</v>
      </c>
      <c r="W316" s="29" cm="1">
        <f t="array" ref="W316">IF(表成绩单[[#This Row],[总分]]="","",SUMPRODUCT((表成绩单[考试日期]=表成绩单[[#This Row],[考试日期]])*(表成绩单[总分]&lt;9E+307)*(表成绩单[总分]&gt;表成绩单[[#This Row],[总分]]))+1)</f>
        <v>310</v>
      </c>
    </row>
    <row r="317" ht="28" customHeight="1" spans="4:23">
      <c r="D317" s="31">
        <v>45975</v>
      </c>
      <c r="E317" s="29">
        <v>19176168</v>
      </c>
      <c r="F317" s="29" t="s">
        <v>67</v>
      </c>
      <c r="G317" s="29" t="s">
        <v>390</v>
      </c>
      <c r="H317" s="29">
        <v>97</v>
      </c>
      <c r="I317" s="29">
        <v>102</v>
      </c>
      <c r="J317" s="29">
        <v>82</v>
      </c>
      <c r="K317" s="29">
        <v>82</v>
      </c>
      <c r="L317" s="29">
        <v>84</v>
      </c>
      <c r="M317" s="29">
        <v>75</v>
      </c>
      <c r="N317" s="29">
        <v>68</v>
      </c>
      <c r="O317" s="32">
        <v>590</v>
      </c>
      <c r="P317" s="29" cm="1">
        <f t="array" ref="P317">IF(表成绩单[[#This Row],[语文]]="","",SUMPRODUCT((表成绩单[考试日期]=表成绩单[[#This Row],[考试日期]])*(表成绩单[语文]&lt;9E+307)*(表成绩单[语文]&gt;表成绩单[[#This Row],[语文]]))+1)</f>
        <v>349</v>
      </c>
      <c r="Q317" s="29" cm="1">
        <f t="array" ref="Q317">IF(表成绩单[[#This Row],[数学]]="","",SUMPRODUCT((表成绩单[考试日期]=表成绩单[[#This Row],[考试日期]])*(表成绩单[数学]&lt;9E+307)*(表成绩单[数学]&gt;表成绩单[[#This Row],[数学]]))+1)</f>
        <v>298</v>
      </c>
      <c r="R317" s="29" cm="1">
        <f t="array" ref="R317">IF(表成绩单[[#This Row],[英语]]="","",SUMPRODUCT((表成绩单[考试日期]=表成绩单[[#This Row],[考试日期]])*(表成绩单[英语]&lt;9E+307)*(表成绩单[英语]&gt;表成绩单[[#This Row],[英语]]))+1)</f>
        <v>195</v>
      </c>
      <c r="S317" s="29" cm="1">
        <f t="array" ref="S317">IF(表成绩单[[#This Row],[物理]]="","",SUMPRODUCT((表成绩单[考试日期]=表成绩单[[#This Row],[考试日期]])*(表成绩单[物理]&lt;9E+307)*(表成绩单[物理]&gt;表成绩单[[#This Row],[物理]]))+1)</f>
        <v>433</v>
      </c>
      <c r="T317" s="29" cm="1">
        <f t="array" ref="T317">IF(表成绩单[[#This Row],[化学]]="","",SUMPRODUCT((表成绩单[考试日期]=表成绩单[[#This Row],[考试日期]])*(表成绩单[化学]&lt;9E+307)*(表成绩单[化学]&gt;表成绩单[[#This Row],[化学]]))+1)</f>
        <v>33</v>
      </c>
      <c r="U317" s="29" cm="1">
        <f t="array" ref="U317">IF(表成绩单[[#This Row],[政治]]="","",SUMPRODUCT((表成绩单[考试日期]=表成绩单[[#This Row],[考试日期]])*(表成绩单[政治]&lt;9E+307)*(表成绩单[政治]&gt;表成绩单[[#This Row],[政治]]))+1)</f>
        <v>363</v>
      </c>
      <c r="V317" s="29" cm="1">
        <f t="array" ref="V317">IF(表成绩单[[#This Row],[历史]]="","",SUMPRODUCT((表成绩单[考试日期]=表成绩单[[#This Row],[考试日期]])*(表成绩单[历史]&lt;9E+307)*(表成绩单[历史]&gt;表成绩单[[#This Row],[历史]]))+1)</f>
        <v>571</v>
      </c>
      <c r="W317" s="29" cm="1">
        <f t="array" ref="W317">IF(表成绩单[[#This Row],[总分]]="","",SUMPRODUCT((表成绩单[考试日期]=表成绩单[[#This Row],[考试日期]])*(表成绩单[总分]&lt;9E+307)*(表成绩单[总分]&gt;表成绩单[[#This Row],[总分]]))+1)</f>
        <v>310</v>
      </c>
    </row>
    <row r="318" ht="28" customHeight="1" spans="4:23">
      <c r="D318" s="31">
        <v>45975</v>
      </c>
      <c r="E318" s="29">
        <v>19178574</v>
      </c>
      <c r="F318" s="29" t="s">
        <v>64</v>
      </c>
      <c r="G318" s="29" t="s">
        <v>391</v>
      </c>
      <c r="H318" s="29">
        <v>99</v>
      </c>
      <c r="I318" s="29">
        <v>105</v>
      </c>
      <c r="J318" s="29">
        <v>68</v>
      </c>
      <c r="K318" s="29">
        <v>89</v>
      </c>
      <c r="L318" s="29">
        <v>75</v>
      </c>
      <c r="M318" s="29">
        <v>82</v>
      </c>
      <c r="N318" s="29">
        <v>72</v>
      </c>
      <c r="O318" s="32">
        <v>590</v>
      </c>
      <c r="P318" s="29" cm="1">
        <f t="array" ref="P318">IF(表成绩单[[#This Row],[语文]]="","",SUMPRODUCT((表成绩单[考试日期]=表成绩单[[#This Row],[考试日期]])*(表成绩单[语文]&lt;9E+307)*(表成绩单[语文]&gt;表成绩单[[#This Row],[语文]]))+1)</f>
        <v>264</v>
      </c>
      <c r="Q318" s="29" cm="1">
        <f t="array" ref="Q318">IF(表成绩单[[#This Row],[数学]]="","",SUMPRODUCT((表成绩单[考试日期]=表成绩单[[#This Row],[考试日期]])*(表成绩单[数学]&lt;9E+307)*(表成绩单[数学]&gt;表成绩单[[#This Row],[数学]]))+1)</f>
        <v>245</v>
      </c>
      <c r="R318" s="29" cm="1">
        <f t="array" ref="R318">IF(表成绩单[[#This Row],[英语]]="","",SUMPRODUCT((表成绩单[考试日期]=表成绩单[[#This Row],[考试日期]])*(表成绩单[英语]&lt;9E+307)*(表成绩单[英语]&gt;表成绩单[[#This Row],[英语]]))+1)</f>
        <v>584</v>
      </c>
      <c r="S318" s="29" cm="1">
        <f t="array" ref="S318">IF(表成绩单[[#This Row],[物理]]="","",SUMPRODUCT((表成绩单[考试日期]=表成绩单[[#This Row],[考试日期]])*(表成绩单[物理]&lt;9E+307)*(表成绩单[物理]&gt;表成绩单[[#This Row],[物理]]))+1)</f>
        <v>18</v>
      </c>
      <c r="T318" s="29" cm="1">
        <f t="array" ref="T318">IF(表成绩单[[#This Row],[化学]]="","",SUMPRODUCT((表成绩单[考试日期]=表成绩单[[#This Row],[考试日期]])*(表成绩单[化学]&lt;9E+307)*(表成绩单[化学]&gt;表成绩单[[#This Row],[化学]]))+1)</f>
        <v>310</v>
      </c>
      <c r="U318" s="29" cm="1">
        <f t="array" ref="U318">IF(表成绩单[[#This Row],[政治]]="","",SUMPRODUCT((表成绩单[考试日期]=表成绩单[[#This Row],[考试日期]])*(表成绩单[政治]&lt;9E+307)*(表成绩单[政治]&gt;表成绩单[[#This Row],[政治]]))+1)</f>
        <v>157</v>
      </c>
      <c r="V318" s="29" cm="1">
        <f t="array" ref="V318">IF(表成绩单[[#This Row],[历史]]="","",SUMPRODUCT((表成绩单[考试日期]=表成绩单[[#This Row],[考试日期]])*(表成绩单[历史]&lt;9E+307)*(表成绩单[历史]&gt;表成绩单[[#This Row],[历史]]))+1)</f>
        <v>438</v>
      </c>
      <c r="W318" s="29" cm="1">
        <f t="array" ref="W318">IF(表成绩单[[#This Row],[总分]]="","",SUMPRODUCT((表成绩单[考试日期]=表成绩单[[#This Row],[考试日期]])*(表成绩单[总分]&lt;9E+307)*(表成绩单[总分]&gt;表成绩单[[#This Row],[总分]]))+1)</f>
        <v>310</v>
      </c>
    </row>
    <row r="319" ht="28" customHeight="1" spans="4:23">
      <c r="D319" s="31">
        <v>45975</v>
      </c>
      <c r="E319" s="29">
        <v>19178596</v>
      </c>
      <c r="F319" s="29" t="s">
        <v>64</v>
      </c>
      <c r="G319" s="29" t="s">
        <v>392</v>
      </c>
      <c r="H319" s="29">
        <v>93</v>
      </c>
      <c r="I319" s="29">
        <v>111</v>
      </c>
      <c r="J319" s="29">
        <v>79</v>
      </c>
      <c r="K319" s="29">
        <v>84</v>
      </c>
      <c r="L319" s="29">
        <v>79</v>
      </c>
      <c r="M319" s="29">
        <v>83</v>
      </c>
      <c r="N319" s="29">
        <v>61</v>
      </c>
      <c r="O319" s="32">
        <v>590</v>
      </c>
      <c r="P319" s="29" cm="1">
        <f t="array" ref="P319">IF(表成绩单[[#This Row],[语文]]="","",SUMPRODUCT((表成绩单[考试日期]=表成绩单[[#This Row],[考试日期]])*(表成绩单[语文]&lt;9E+307)*(表成绩单[语文]&gt;表成绩单[[#This Row],[语文]]))+1)</f>
        <v>489</v>
      </c>
      <c r="Q319" s="29" cm="1">
        <f t="array" ref="Q319">IF(表成绩单[[#This Row],[数学]]="","",SUMPRODUCT((表成绩单[考试日期]=表成绩单[[#This Row],[考试日期]])*(表成绩单[数学]&lt;9E+307)*(表成绩单[数学]&gt;表成绩单[[#This Row],[数学]]))+1)</f>
        <v>134</v>
      </c>
      <c r="R319" s="29" cm="1">
        <f t="array" ref="R319">IF(表成绩单[[#This Row],[英语]]="","",SUMPRODUCT((表成绩单[考试日期]=表成绩单[[#This Row],[考试日期]])*(表成绩单[英语]&lt;9E+307)*(表成绩单[英语]&gt;表成绩单[[#This Row],[英语]]))+1)</f>
        <v>292</v>
      </c>
      <c r="S319" s="29" cm="1">
        <f t="array" ref="S319">IF(表成绩单[[#This Row],[物理]]="","",SUMPRODUCT((表成绩单[考试日期]=表成绩单[[#This Row],[考试日期]])*(表成绩单[物理]&lt;9E+307)*(表成绩单[物理]&gt;表成绩单[[#This Row],[物理]]))+1)</f>
        <v>344</v>
      </c>
      <c r="T319" s="29" cm="1">
        <f t="array" ref="T319">IF(表成绩单[[#This Row],[化学]]="","",SUMPRODUCT((表成绩单[考试日期]=表成绩单[[#This Row],[考试日期]])*(表成绩单[化学]&lt;9E+307)*(表成绩单[化学]&gt;表成绩单[[#This Row],[化学]]))+1)</f>
        <v>166</v>
      </c>
      <c r="U319" s="29" cm="1">
        <f t="array" ref="U319">IF(表成绩单[[#This Row],[政治]]="","",SUMPRODUCT((表成绩单[考试日期]=表成绩单[[#This Row],[考试日期]])*(表成绩单[政治]&lt;9E+307)*(表成绩单[政治]&gt;表成绩单[[#This Row],[政治]]))+1)</f>
        <v>121</v>
      </c>
      <c r="V319" s="29" cm="1">
        <f t="array" ref="V319">IF(表成绩单[[#This Row],[历史]]="","",SUMPRODUCT((表成绩单[考试日期]=表成绩单[[#This Row],[考试日期]])*(表成绩单[历史]&lt;9E+307)*(表成绩单[历史]&gt;表成绩单[[#This Row],[历史]]))+1)</f>
        <v>702</v>
      </c>
      <c r="W319" s="29" cm="1">
        <f t="array" ref="W319">IF(表成绩单[[#This Row],[总分]]="","",SUMPRODUCT((表成绩单[考试日期]=表成绩单[[#This Row],[考试日期]])*(表成绩单[总分]&lt;9E+307)*(表成绩单[总分]&gt;表成绩单[[#This Row],[总分]]))+1)</f>
        <v>310</v>
      </c>
    </row>
    <row r="320" ht="28" customHeight="1" spans="4:23">
      <c r="D320" s="31">
        <v>45975</v>
      </c>
      <c r="E320" s="29">
        <v>19177590</v>
      </c>
      <c r="F320" s="29" t="s">
        <v>58</v>
      </c>
      <c r="G320" s="29" t="s">
        <v>393</v>
      </c>
      <c r="H320" s="29">
        <v>94</v>
      </c>
      <c r="I320" s="29">
        <v>106</v>
      </c>
      <c r="J320" s="29">
        <v>77</v>
      </c>
      <c r="K320" s="29">
        <v>88</v>
      </c>
      <c r="L320" s="29">
        <v>78</v>
      </c>
      <c r="M320" s="29">
        <v>69</v>
      </c>
      <c r="N320" s="29">
        <v>77</v>
      </c>
      <c r="O320" s="32">
        <v>589</v>
      </c>
      <c r="P320" s="29" cm="1">
        <f t="array" ref="P320">IF(表成绩单[[#This Row],[语文]]="","",SUMPRODUCT((表成绩单[考试日期]=表成绩单[[#This Row],[考试日期]])*(表成绩单[语文]&lt;9E+307)*(表成绩单[语文]&gt;表成绩单[[#This Row],[语文]]))+1)</f>
        <v>452</v>
      </c>
      <c r="Q320" s="29" cm="1">
        <f t="array" ref="Q320">IF(表成绩单[[#This Row],[数学]]="","",SUMPRODUCT((表成绩单[考试日期]=表成绩单[[#This Row],[考试日期]])*(表成绩单[数学]&lt;9E+307)*(表成绩单[数学]&gt;表成绩单[[#This Row],[数学]]))+1)</f>
        <v>220</v>
      </c>
      <c r="R320" s="29" cm="1">
        <f t="array" ref="R320">IF(表成绩单[[#This Row],[英语]]="","",SUMPRODUCT((表成绩单[考试日期]=表成绩单[[#This Row],[考试日期]])*(表成绩单[英语]&lt;9E+307)*(表成绩单[英语]&gt;表成绩单[[#This Row],[英语]]))+1)</f>
        <v>369</v>
      </c>
      <c r="S320" s="29" cm="1">
        <f t="array" ref="S320">IF(表成绩单[[#This Row],[物理]]="","",SUMPRODUCT((表成绩单[考试日期]=表成绩单[[#This Row],[考试日期]])*(表成绩单[物理]&lt;9E+307)*(表成绩单[物理]&gt;表成绩单[[#This Row],[物理]]))+1)</f>
        <v>54</v>
      </c>
      <c r="T320" s="29" cm="1">
        <f t="array" ref="T320">IF(表成绩单[[#This Row],[化学]]="","",SUMPRODUCT((表成绩单[考试日期]=表成绩单[[#This Row],[考试日期]])*(表成绩单[化学]&lt;9E+307)*(表成绩单[化学]&gt;表成绩单[[#This Row],[化学]]))+1)</f>
        <v>200</v>
      </c>
      <c r="U320" s="29" cm="1">
        <f t="array" ref="U320">IF(表成绩单[[#This Row],[政治]]="","",SUMPRODUCT((表成绩单[考试日期]=表成绩单[[#This Row],[考试日期]])*(表成绩单[政治]&lt;9E+307)*(表成绩单[政治]&gt;表成绩单[[#This Row],[政治]]))+1)</f>
        <v>507</v>
      </c>
      <c r="V320" s="29" cm="1">
        <f t="array" ref="V320">IF(表成绩单[[#This Row],[历史]]="","",SUMPRODUCT((表成绩单[考试日期]=表成绩单[[#This Row],[考试日期]])*(表成绩单[历史]&lt;9E+307)*(表成绩单[历史]&gt;表成绩单[[#This Row],[历史]]))+1)</f>
        <v>237</v>
      </c>
      <c r="W320" s="29" cm="1">
        <f t="array" ref="W320">IF(表成绩单[[#This Row],[总分]]="","",SUMPRODUCT((表成绩单[考试日期]=表成绩单[[#This Row],[考试日期]])*(表成绩单[总分]&lt;9E+307)*(表成绩单[总分]&gt;表成绩单[[#This Row],[总分]]))+1)</f>
        <v>316</v>
      </c>
    </row>
    <row r="321" ht="28" customHeight="1" spans="4:23">
      <c r="D321" s="31">
        <v>45975</v>
      </c>
      <c r="E321" s="29">
        <v>19178635</v>
      </c>
      <c r="F321" s="29" t="s">
        <v>25</v>
      </c>
      <c r="G321" s="29" t="s">
        <v>394</v>
      </c>
      <c r="H321" s="29">
        <v>96</v>
      </c>
      <c r="I321" s="29">
        <v>103</v>
      </c>
      <c r="J321" s="29">
        <v>76.5</v>
      </c>
      <c r="K321" s="29">
        <v>83</v>
      </c>
      <c r="L321" s="29">
        <v>73</v>
      </c>
      <c r="M321" s="29">
        <v>80</v>
      </c>
      <c r="N321" s="29">
        <v>77</v>
      </c>
      <c r="O321" s="32">
        <v>588.5</v>
      </c>
      <c r="P321" s="29" cm="1">
        <f t="array" ref="P321">IF(表成绩单[[#This Row],[语文]]="","",SUMPRODUCT((表成绩单[考试日期]=表成绩单[[#This Row],[考试日期]])*(表成绩单[语文]&lt;9E+307)*(表成绩单[语文]&gt;表成绩单[[#This Row],[语文]]))+1)</f>
        <v>387</v>
      </c>
      <c r="Q321" s="29" cm="1">
        <f t="array" ref="Q321">IF(表成绩单[[#This Row],[数学]]="","",SUMPRODUCT((表成绩单[考试日期]=表成绩单[[#This Row],[考试日期]])*(表成绩单[数学]&lt;9E+307)*(表成绩单[数学]&gt;表成绩单[[#This Row],[数学]]))+1)</f>
        <v>277</v>
      </c>
      <c r="R321" s="29" cm="1">
        <f t="array" ref="R321">IF(表成绩单[[#This Row],[英语]]="","",SUMPRODUCT((表成绩单[考试日期]=表成绩单[[#This Row],[考试日期]])*(表成绩单[英语]&lt;9E+307)*(表成绩单[英语]&gt;表成绩单[[#This Row],[英语]]))+1)</f>
        <v>382</v>
      </c>
      <c r="S321" s="29" cm="1">
        <f t="array" ref="S321">IF(表成绩单[[#This Row],[物理]]="","",SUMPRODUCT((表成绩单[考试日期]=表成绩单[[#This Row],[考试日期]])*(表成绩单[物理]&lt;9E+307)*(表成绩单[物理]&gt;表成绩单[[#This Row],[物理]]))+1)</f>
        <v>390</v>
      </c>
      <c r="T321" s="29" cm="1">
        <f t="array" ref="T321">IF(表成绩单[[#This Row],[化学]]="","",SUMPRODUCT((表成绩单[考试日期]=表成绩单[[#This Row],[考试日期]])*(表成绩单[化学]&lt;9E+307)*(表成绩单[化学]&gt;表成绩单[[#This Row],[化学]]))+1)</f>
        <v>365</v>
      </c>
      <c r="U321" s="29" cm="1">
        <f t="array" ref="U321">IF(表成绩单[[#This Row],[政治]]="","",SUMPRODUCT((表成绩单[考试日期]=表成绩单[[#This Row],[考试日期]])*(表成绩单[政治]&lt;9E+307)*(表成绩单[政治]&gt;表成绩单[[#This Row],[政治]]))+1)</f>
        <v>209</v>
      </c>
      <c r="V321" s="29" cm="1">
        <f t="array" ref="V321">IF(表成绩单[[#This Row],[历史]]="","",SUMPRODUCT((表成绩单[考试日期]=表成绩单[[#This Row],[考试日期]])*(表成绩单[历史]&lt;9E+307)*(表成绩单[历史]&gt;表成绩单[[#This Row],[历史]]))+1)</f>
        <v>237</v>
      </c>
      <c r="W321" s="29" cm="1">
        <f t="array" ref="W321">IF(表成绩单[[#This Row],[总分]]="","",SUMPRODUCT((表成绩单[考试日期]=表成绩单[[#This Row],[考试日期]])*(表成绩单[总分]&lt;9E+307)*(表成绩单[总分]&gt;表成绩单[[#This Row],[总分]]))+1)</f>
        <v>317</v>
      </c>
    </row>
    <row r="322" ht="28" customHeight="1" spans="4:23">
      <c r="D322" s="31">
        <v>45975</v>
      </c>
      <c r="E322" s="29">
        <v>19175701</v>
      </c>
      <c r="F322" s="29" t="s">
        <v>72</v>
      </c>
      <c r="G322" s="29" t="s">
        <v>395</v>
      </c>
      <c r="H322" s="29">
        <v>97</v>
      </c>
      <c r="I322" s="29">
        <v>100</v>
      </c>
      <c r="J322" s="29">
        <v>78</v>
      </c>
      <c r="K322" s="29">
        <v>82</v>
      </c>
      <c r="L322" s="29">
        <v>78</v>
      </c>
      <c r="M322" s="29">
        <v>73</v>
      </c>
      <c r="N322" s="29">
        <v>80</v>
      </c>
      <c r="O322" s="32">
        <v>588</v>
      </c>
      <c r="P322" s="29" cm="1">
        <f t="array" ref="P322">IF(表成绩单[[#This Row],[语文]]="","",SUMPRODUCT((表成绩单[考试日期]=表成绩单[[#This Row],[考试日期]])*(表成绩单[语文]&lt;9E+307)*(表成绩单[语文]&gt;表成绩单[[#This Row],[语文]]))+1)</f>
        <v>349</v>
      </c>
      <c r="Q322" s="29" cm="1">
        <f t="array" ref="Q322">IF(表成绩单[[#This Row],[数学]]="","",SUMPRODUCT((表成绩单[考试日期]=表成绩单[[#This Row],[考试日期]])*(表成绩单[数学]&lt;9E+307)*(表成绩单[数学]&gt;表成绩单[[#This Row],[数学]]))+1)</f>
        <v>340</v>
      </c>
      <c r="R322" s="29" cm="1">
        <f t="array" ref="R322">IF(表成绩单[[#This Row],[英语]]="","",SUMPRODUCT((表成绩单[考试日期]=表成绩单[[#This Row],[考试日期]])*(表成绩单[英语]&lt;9E+307)*(表成绩单[英语]&gt;表成绩单[[#This Row],[英语]]))+1)</f>
        <v>330</v>
      </c>
      <c r="S322" s="29" cm="1">
        <f t="array" ref="S322">IF(表成绩单[[#This Row],[物理]]="","",SUMPRODUCT((表成绩单[考试日期]=表成绩单[[#This Row],[考试日期]])*(表成绩单[物理]&lt;9E+307)*(表成绩单[物理]&gt;表成绩单[[#This Row],[物理]]))+1)</f>
        <v>433</v>
      </c>
      <c r="T322" s="29" cm="1">
        <f t="array" ref="T322">IF(表成绩单[[#This Row],[化学]]="","",SUMPRODUCT((表成绩单[考试日期]=表成绩单[[#This Row],[考试日期]])*(表成绩单[化学]&lt;9E+307)*(表成绩单[化学]&gt;表成绩单[[#This Row],[化学]]))+1)</f>
        <v>200</v>
      </c>
      <c r="U322" s="29" cm="1">
        <f t="array" ref="U322">IF(表成绩单[[#This Row],[政治]]="","",SUMPRODUCT((表成绩单[考试日期]=表成绩单[[#This Row],[考试日期]])*(表成绩单[政治]&lt;9E+307)*(表成绩单[政治]&gt;表成绩单[[#This Row],[政治]]))+1)</f>
        <v>418</v>
      </c>
      <c r="V322" s="29" cm="1">
        <f t="array" ref="V322">IF(表成绩单[[#This Row],[历史]]="","",SUMPRODUCT((表成绩单[考试日期]=表成绩单[[#This Row],[考试日期]])*(表成绩单[历史]&lt;9E+307)*(表成绩单[历史]&gt;表成绩单[[#This Row],[历史]]))+1)</f>
        <v>108</v>
      </c>
      <c r="W322" s="29" cm="1">
        <f t="array" ref="W322">IF(表成绩单[[#This Row],[总分]]="","",SUMPRODUCT((表成绩单[考试日期]=表成绩单[[#This Row],[考试日期]])*(表成绩单[总分]&lt;9E+307)*(表成绩单[总分]&gt;表成绩单[[#This Row],[总分]]))+1)</f>
        <v>318</v>
      </c>
    </row>
    <row r="323" ht="28" customHeight="1" spans="4:23">
      <c r="D323" s="31">
        <v>45975</v>
      </c>
      <c r="E323" s="29">
        <v>19176898</v>
      </c>
      <c r="F323" s="29" t="s">
        <v>71</v>
      </c>
      <c r="G323" s="29" t="s">
        <v>396</v>
      </c>
      <c r="H323" s="29">
        <v>93</v>
      </c>
      <c r="I323" s="29">
        <v>102</v>
      </c>
      <c r="J323" s="29">
        <v>84</v>
      </c>
      <c r="K323" s="29">
        <v>87</v>
      </c>
      <c r="L323" s="29">
        <v>69</v>
      </c>
      <c r="M323" s="29">
        <v>76</v>
      </c>
      <c r="N323" s="29">
        <v>77</v>
      </c>
      <c r="O323" s="32">
        <v>588</v>
      </c>
      <c r="P323" s="29" cm="1">
        <f t="array" ref="P323">IF(表成绩单[[#This Row],[语文]]="","",SUMPRODUCT((表成绩单[考试日期]=表成绩单[[#This Row],[考试日期]])*(表成绩单[语文]&lt;9E+307)*(表成绩单[语文]&gt;表成绩单[[#This Row],[语文]]))+1)</f>
        <v>489</v>
      </c>
      <c r="Q323" s="29" cm="1">
        <f t="array" ref="Q323">IF(表成绩单[[#This Row],[数学]]="","",SUMPRODUCT((表成绩单[考试日期]=表成绩单[[#This Row],[考试日期]])*(表成绩单[数学]&lt;9E+307)*(表成绩单[数学]&gt;表成绩单[[#This Row],[数学]]))+1)</f>
        <v>298</v>
      </c>
      <c r="R323" s="29" cm="1">
        <f t="array" ref="R323">IF(表成绩单[[#This Row],[英语]]="","",SUMPRODUCT((表成绩单[考试日期]=表成绩单[[#This Row],[考试日期]])*(表成绩单[英语]&lt;9E+307)*(表成绩单[英语]&gt;表成绩单[[#This Row],[英语]]))+1)</f>
        <v>102</v>
      </c>
      <c r="S323" s="29" cm="1">
        <f t="array" ref="S323">IF(表成绩单[[#This Row],[物理]]="","",SUMPRODUCT((表成绩单[考试日期]=表成绩单[[#This Row],[考试日期]])*(表成绩单[物理]&lt;9E+307)*(表成绩单[物理]&gt;表成绩单[[#This Row],[物理]]))+1)</f>
        <v>127</v>
      </c>
      <c r="T323" s="29" cm="1">
        <f t="array" ref="T323">IF(表成绩单[[#This Row],[化学]]="","",SUMPRODUCT((表成绩单[考试日期]=表成绩单[[#This Row],[考试日期]])*(表成绩单[化学]&lt;9E+307)*(表成绩单[化学]&gt;表成绩单[[#This Row],[化学]]))+1)</f>
        <v>478</v>
      </c>
      <c r="U323" s="29" cm="1">
        <f t="array" ref="U323">IF(表成绩单[[#This Row],[政治]]="","",SUMPRODUCT((表成绩单[考试日期]=表成绩单[[#This Row],[考试日期]])*(表成绩单[政治]&lt;9E+307)*(表成绩单[政治]&gt;表成绩单[[#This Row],[政治]]))+1)</f>
        <v>329</v>
      </c>
      <c r="V323" s="29" cm="1">
        <f t="array" ref="V323">IF(表成绩单[[#This Row],[历史]]="","",SUMPRODUCT((表成绩单[考试日期]=表成绩单[[#This Row],[考试日期]])*(表成绩单[历史]&lt;9E+307)*(表成绩单[历史]&gt;表成绩单[[#This Row],[历史]]))+1)</f>
        <v>237</v>
      </c>
      <c r="W323" s="29" cm="1">
        <f t="array" ref="W323">IF(表成绩单[[#This Row],[总分]]="","",SUMPRODUCT((表成绩单[考试日期]=表成绩单[[#This Row],[考试日期]])*(表成绩单[总分]&lt;9E+307)*(表成绩单[总分]&gt;表成绩单[[#This Row],[总分]]))+1)</f>
        <v>318</v>
      </c>
    </row>
    <row r="324" ht="28" customHeight="1" spans="4:23">
      <c r="D324" s="31">
        <v>45975</v>
      </c>
      <c r="E324" s="29">
        <v>19173267</v>
      </c>
      <c r="F324" s="29" t="s">
        <v>61</v>
      </c>
      <c r="G324" s="29" t="s">
        <v>397</v>
      </c>
      <c r="H324" s="29">
        <v>94</v>
      </c>
      <c r="I324" s="29">
        <v>103</v>
      </c>
      <c r="J324" s="29">
        <v>73.5</v>
      </c>
      <c r="K324" s="29">
        <v>87</v>
      </c>
      <c r="L324" s="29">
        <v>75</v>
      </c>
      <c r="M324" s="29">
        <v>81</v>
      </c>
      <c r="N324" s="29">
        <v>74</v>
      </c>
      <c r="O324" s="32">
        <v>587.5</v>
      </c>
      <c r="P324" s="29" cm="1">
        <f t="array" ref="P324">IF(表成绩单[[#This Row],[语文]]="","",SUMPRODUCT((表成绩单[考试日期]=表成绩单[[#This Row],[考试日期]])*(表成绩单[语文]&lt;9E+307)*(表成绩单[语文]&gt;表成绩单[[#This Row],[语文]]))+1)</f>
        <v>452</v>
      </c>
      <c r="Q324" s="29" cm="1">
        <f t="array" ref="Q324">IF(表成绩单[[#This Row],[数学]]="","",SUMPRODUCT((表成绩单[考试日期]=表成绩单[[#This Row],[考试日期]])*(表成绩单[数学]&lt;9E+307)*(表成绩单[数学]&gt;表成绩单[[#This Row],[数学]]))+1)</f>
        <v>277</v>
      </c>
      <c r="R324" s="29" cm="1">
        <f t="array" ref="R324">IF(表成绩单[[#This Row],[英语]]="","",SUMPRODUCT((表成绩单[考试日期]=表成绩单[[#This Row],[考试日期]])*(表成绩单[英语]&lt;9E+307)*(表成绩单[英语]&gt;表成绩单[[#This Row],[英语]]))+1)</f>
        <v>470</v>
      </c>
      <c r="S324" s="29" cm="1">
        <f t="array" ref="S324">IF(表成绩单[[#This Row],[物理]]="","",SUMPRODUCT((表成绩单[考试日期]=表成绩单[[#This Row],[考试日期]])*(表成绩单[物理]&lt;9E+307)*(表成绩单[物理]&gt;表成绩单[[#This Row],[物理]]))+1)</f>
        <v>127</v>
      </c>
      <c r="T324" s="29" cm="1">
        <f t="array" ref="T324">IF(表成绩单[[#This Row],[化学]]="","",SUMPRODUCT((表成绩单[考试日期]=表成绩单[[#This Row],[考试日期]])*(表成绩单[化学]&lt;9E+307)*(表成绩单[化学]&gt;表成绩单[[#This Row],[化学]]))+1)</f>
        <v>310</v>
      </c>
      <c r="U324" s="29" cm="1">
        <f t="array" ref="U324">IF(表成绩单[[#This Row],[政治]]="","",SUMPRODUCT((表成绩单[考试日期]=表成绩单[[#This Row],[考试日期]])*(表成绩单[政治]&lt;9E+307)*(表成绩单[政治]&gt;表成绩单[[#This Row],[政治]]))+1)</f>
        <v>180</v>
      </c>
      <c r="V324" s="29" cm="1">
        <f t="array" ref="V324">IF(表成绩单[[#This Row],[历史]]="","",SUMPRODUCT((表成绩单[考试日期]=表成绩单[[#This Row],[考试日期]])*(表成绩单[历史]&lt;9E+307)*(表成绩单[历史]&gt;表成绩单[[#This Row],[历史]]))+1)</f>
        <v>358</v>
      </c>
      <c r="W324" s="29" cm="1">
        <f t="array" ref="W324">IF(表成绩单[[#This Row],[总分]]="","",SUMPRODUCT((表成绩单[考试日期]=表成绩单[[#This Row],[考试日期]])*(表成绩单[总分]&lt;9E+307)*(表成绩单[总分]&gt;表成绩单[[#This Row],[总分]]))+1)</f>
        <v>320</v>
      </c>
    </row>
    <row r="325" ht="28" customHeight="1" spans="4:23">
      <c r="D325" s="31">
        <v>45975</v>
      </c>
      <c r="E325" s="29">
        <v>19173281</v>
      </c>
      <c r="F325" s="29" t="s">
        <v>61</v>
      </c>
      <c r="G325" s="29" t="s">
        <v>398</v>
      </c>
      <c r="H325" s="29">
        <v>95</v>
      </c>
      <c r="I325" s="29">
        <v>104</v>
      </c>
      <c r="J325" s="29">
        <v>78.5</v>
      </c>
      <c r="K325" s="29">
        <v>85</v>
      </c>
      <c r="L325" s="29">
        <v>72</v>
      </c>
      <c r="M325" s="29">
        <v>81</v>
      </c>
      <c r="N325" s="29">
        <v>72</v>
      </c>
      <c r="O325" s="32">
        <v>587.5</v>
      </c>
      <c r="P325" s="29" cm="1">
        <f t="array" ref="P325">IF(表成绩单[[#This Row],[语文]]="","",SUMPRODUCT((表成绩单[考试日期]=表成绩单[[#This Row],[考试日期]])*(表成绩单[语文]&lt;9E+307)*(表成绩单[语文]&gt;表成绩单[[#This Row],[语文]]))+1)</f>
        <v>420</v>
      </c>
      <c r="Q325" s="29" cm="1">
        <f t="array" ref="Q325">IF(表成绩单[[#This Row],[数学]]="","",SUMPRODUCT((表成绩单[考试日期]=表成绩单[[#This Row],[考试日期]])*(表成绩单[数学]&lt;9E+307)*(表成绩单[数学]&gt;表成绩单[[#This Row],[数学]]))+1)</f>
        <v>260</v>
      </c>
      <c r="R325" s="29" cm="1">
        <f t="array" ref="R325">IF(表成绩单[[#This Row],[英语]]="","",SUMPRODUCT((表成绩单[考试日期]=表成绩单[[#This Row],[考试日期]])*(表成绩单[英语]&lt;9E+307)*(表成绩单[英语]&gt;表成绩单[[#This Row],[英语]]))+1)</f>
        <v>314</v>
      </c>
      <c r="S325" s="29" cm="1">
        <f t="array" ref="S325">IF(表成绩单[[#This Row],[物理]]="","",SUMPRODUCT((表成绩单[考试日期]=表成绩单[[#This Row],[考试日期]])*(表成绩单[物理]&lt;9E+307)*(表成绩单[物理]&gt;表成绩单[[#This Row],[物理]]))+1)</f>
        <v>263</v>
      </c>
      <c r="T325" s="29" cm="1">
        <f t="array" ref="T325">IF(表成绩单[[#This Row],[化学]]="","",SUMPRODUCT((表成绩单[考试日期]=表成绩单[[#This Row],[考试日期]])*(表成绩单[化学]&lt;9E+307)*(表成绩单[化学]&gt;表成绩单[[#This Row],[化学]]))+1)</f>
        <v>405</v>
      </c>
      <c r="U325" s="29" cm="1">
        <f t="array" ref="U325">IF(表成绩单[[#This Row],[政治]]="","",SUMPRODUCT((表成绩单[考试日期]=表成绩单[[#This Row],[考试日期]])*(表成绩单[政治]&lt;9E+307)*(表成绩单[政治]&gt;表成绩单[[#This Row],[政治]]))+1)</f>
        <v>180</v>
      </c>
      <c r="V325" s="29" cm="1">
        <f t="array" ref="V325">IF(表成绩单[[#This Row],[历史]]="","",SUMPRODUCT((表成绩单[考试日期]=表成绩单[[#This Row],[考试日期]])*(表成绩单[历史]&lt;9E+307)*(表成绩单[历史]&gt;表成绩单[[#This Row],[历史]]))+1)</f>
        <v>438</v>
      </c>
      <c r="W325" s="29" cm="1">
        <f t="array" ref="W325">IF(表成绩单[[#This Row],[总分]]="","",SUMPRODUCT((表成绩单[考试日期]=表成绩单[[#This Row],[考试日期]])*(表成绩单[总分]&lt;9E+307)*(表成绩单[总分]&gt;表成绩单[[#This Row],[总分]]))+1)</f>
        <v>320</v>
      </c>
    </row>
    <row r="326" ht="28" customHeight="1" spans="4:23">
      <c r="D326" s="31">
        <v>45975</v>
      </c>
      <c r="E326" s="29">
        <v>19174459</v>
      </c>
      <c r="F326" s="29" t="s">
        <v>73</v>
      </c>
      <c r="G326" s="29" t="s">
        <v>399</v>
      </c>
      <c r="H326" s="29">
        <v>101</v>
      </c>
      <c r="I326" s="29">
        <v>107</v>
      </c>
      <c r="J326" s="29">
        <v>82.5</v>
      </c>
      <c r="K326" s="29">
        <v>80</v>
      </c>
      <c r="L326" s="29">
        <v>72</v>
      </c>
      <c r="M326" s="29">
        <v>73</v>
      </c>
      <c r="N326" s="29">
        <v>72</v>
      </c>
      <c r="O326" s="32">
        <v>587.5</v>
      </c>
      <c r="P326" s="29" cm="1">
        <f t="array" ref="P326">IF(表成绩单[[#This Row],[语文]]="","",SUMPRODUCT((表成绩单[考试日期]=表成绩单[[#This Row],[考试日期]])*(表成绩单[语文]&lt;9E+307)*(表成绩单[语文]&gt;表成绩单[[#This Row],[语文]]))+1)</f>
        <v>190</v>
      </c>
      <c r="Q326" s="29" cm="1">
        <f t="array" ref="Q326">IF(表成绩单[[#This Row],[数学]]="","",SUMPRODUCT((表成绩单[考试日期]=表成绩单[[#This Row],[考试日期]])*(表成绩单[数学]&lt;9E+307)*(表成绩单[数学]&gt;表成绩单[[#This Row],[数学]]))+1)</f>
        <v>200</v>
      </c>
      <c r="R326" s="29" cm="1">
        <f t="array" ref="R326">IF(表成绩单[[#This Row],[英语]]="","",SUMPRODUCT((表成绩单[考试日期]=表成绩单[[#This Row],[考试日期]])*(表成绩单[英语]&lt;9E+307)*(表成绩单[英语]&gt;表成绩单[[#This Row],[英语]]))+1)</f>
        <v>170</v>
      </c>
      <c r="S326" s="29" cm="1">
        <f t="array" ref="S326">IF(表成绩单[[#This Row],[物理]]="","",SUMPRODUCT((表成绩单[考试日期]=表成绩单[[#This Row],[考试日期]])*(表成绩单[物理]&lt;9E+307)*(表成绩单[物理]&gt;表成绩单[[#This Row],[物理]]))+1)</f>
        <v>507</v>
      </c>
      <c r="T326" s="29" cm="1">
        <f t="array" ref="T326">IF(表成绩单[[#This Row],[化学]]="","",SUMPRODUCT((表成绩单[考试日期]=表成绩单[[#This Row],[考试日期]])*(表成绩单[化学]&lt;9E+307)*(表成绩单[化学]&gt;表成绩单[[#This Row],[化学]]))+1)</f>
        <v>405</v>
      </c>
      <c r="U326" s="29" cm="1">
        <f t="array" ref="U326">IF(表成绩单[[#This Row],[政治]]="","",SUMPRODUCT((表成绩单[考试日期]=表成绩单[[#This Row],[考试日期]])*(表成绩单[政治]&lt;9E+307)*(表成绩单[政治]&gt;表成绩单[[#This Row],[政治]]))+1)</f>
        <v>418</v>
      </c>
      <c r="V326" s="29" cm="1">
        <f t="array" ref="V326">IF(表成绩单[[#This Row],[历史]]="","",SUMPRODUCT((表成绩单[考试日期]=表成绩单[[#This Row],[考试日期]])*(表成绩单[历史]&lt;9E+307)*(表成绩单[历史]&gt;表成绩单[[#This Row],[历史]]))+1)</f>
        <v>438</v>
      </c>
      <c r="W326" s="29" cm="1">
        <f t="array" ref="W326">IF(表成绩单[[#This Row],[总分]]="","",SUMPRODUCT((表成绩单[考试日期]=表成绩单[[#This Row],[考试日期]])*(表成绩单[总分]&lt;9E+307)*(表成绩单[总分]&gt;表成绩单[[#This Row],[总分]]))+1)</f>
        <v>320</v>
      </c>
    </row>
    <row r="327" ht="28" customHeight="1" spans="4:23">
      <c r="D327" s="31">
        <v>45975</v>
      </c>
      <c r="E327" s="29">
        <v>19175650</v>
      </c>
      <c r="F327" s="29" t="s">
        <v>66</v>
      </c>
      <c r="G327" s="29" t="s">
        <v>400</v>
      </c>
      <c r="H327" s="29">
        <v>104</v>
      </c>
      <c r="I327" s="29">
        <v>98</v>
      </c>
      <c r="J327" s="29">
        <v>81.5</v>
      </c>
      <c r="K327" s="29">
        <v>87</v>
      </c>
      <c r="L327" s="29">
        <v>73</v>
      </c>
      <c r="M327" s="29">
        <v>75</v>
      </c>
      <c r="N327" s="29">
        <v>69</v>
      </c>
      <c r="O327" s="32">
        <v>587.5</v>
      </c>
      <c r="P327" s="29" cm="1">
        <f t="array" ref="P327">IF(表成绩单[[#This Row],[语文]]="","",SUMPRODUCT((表成绩单[考试日期]=表成绩单[[#This Row],[考试日期]])*(表成绩单[语文]&lt;9E+307)*(表成绩单[语文]&gt;表成绩单[[#This Row],[语文]]))+1)</f>
        <v>104</v>
      </c>
      <c r="Q327" s="29" cm="1">
        <f t="array" ref="Q327">IF(表成绩单[[#This Row],[数学]]="","",SUMPRODUCT((表成绩单[考试日期]=表成绩单[[#This Row],[考试日期]])*(表成绩单[数学]&lt;9E+307)*(表成绩单[数学]&gt;表成绩单[[#This Row],[数学]]))+1)</f>
        <v>374</v>
      </c>
      <c r="R327" s="29" cm="1">
        <f t="array" ref="R327">IF(表成绩单[[#This Row],[英语]]="","",SUMPRODUCT((表成绩单[考试日期]=表成绩单[[#This Row],[考试日期]])*(表成绩单[英语]&lt;9E+307)*(表成绩单[英语]&gt;表成绩单[[#This Row],[英语]]))+1)</f>
        <v>220</v>
      </c>
      <c r="S327" s="29" cm="1">
        <f t="array" ref="S327">IF(表成绩单[[#This Row],[物理]]="","",SUMPRODUCT((表成绩单[考试日期]=表成绩单[[#This Row],[考试日期]])*(表成绩单[物理]&lt;9E+307)*(表成绩单[物理]&gt;表成绩单[[#This Row],[物理]]))+1)</f>
        <v>127</v>
      </c>
      <c r="T327" s="29" cm="1">
        <f t="array" ref="T327">IF(表成绩单[[#This Row],[化学]]="","",SUMPRODUCT((表成绩单[考试日期]=表成绩单[[#This Row],[考试日期]])*(表成绩单[化学]&lt;9E+307)*(表成绩单[化学]&gt;表成绩单[[#This Row],[化学]]))+1)</f>
        <v>365</v>
      </c>
      <c r="U327" s="29" cm="1">
        <f t="array" ref="U327">IF(表成绩单[[#This Row],[政治]]="","",SUMPRODUCT((表成绩单[考试日期]=表成绩单[[#This Row],[考试日期]])*(表成绩单[政治]&lt;9E+307)*(表成绩单[政治]&gt;表成绩单[[#This Row],[政治]]))+1)</f>
        <v>363</v>
      </c>
      <c r="V327" s="29" cm="1">
        <f t="array" ref="V327">IF(表成绩单[[#This Row],[历史]]="","",SUMPRODUCT((表成绩单[考试日期]=表成绩单[[#This Row],[考试日期]])*(表成绩单[历史]&lt;9E+307)*(表成绩单[历史]&gt;表成绩单[[#This Row],[历史]]))+1)</f>
        <v>541</v>
      </c>
      <c r="W327" s="29" cm="1">
        <f t="array" ref="W327">IF(表成绩单[[#This Row],[总分]]="","",SUMPRODUCT((表成绩单[考试日期]=表成绩单[[#This Row],[考试日期]])*(表成绩单[总分]&lt;9E+307)*(表成绩单[总分]&gt;表成绩单[[#This Row],[总分]]))+1)</f>
        <v>320</v>
      </c>
    </row>
    <row r="328" ht="28" customHeight="1" spans="4:23">
      <c r="D328" s="31">
        <v>45975</v>
      </c>
      <c r="E328" s="29">
        <v>19173265</v>
      </c>
      <c r="F328" s="29" t="s">
        <v>61</v>
      </c>
      <c r="G328" s="29" t="s">
        <v>401</v>
      </c>
      <c r="H328" s="29">
        <v>95</v>
      </c>
      <c r="I328" s="29">
        <v>98</v>
      </c>
      <c r="J328" s="29">
        <v>81</v>
      </c>
      <c r="K328" s="29">
        <v>85</v>
      </c>
      <c r="L328" s="29">
        <v>73</v>
      </c>
      <c r="M328" s="29">
        <v>76</v>
      </c>
      <c r="N328" s="29">
        <v>79</v>
      </c>
      <c r="O328" s="32">
        <v>587</v>
      </c>
      <c r="P328" s="29" cm="1">
        <f t="array" ref="P328">IF(表成绩单[[#This Row],[语文]]="","",SUMPRODUCT((表成绩单[考试日期]=表成绩单[[#This Row],[考试日期]])*(表成绩单[语文]&lt;9E+307)*(表成绩单[语文]&gt;表成绩单[[#This Row],[语文]]))+1)</f>
        <v>420</v>
      </c>
      <c r="Q328" s="29" cm="1">
        <f t="array" ref="Q328">IF(表成绩单[[#This Row],[数学]]="","",SUMPRODUCT((表成绩单[考试日期]=表成绩单[[#This Row],[考试日期]])*(表成绩单[数学]&lt;9E+307)*(表成绩单[数学]&gt;表成绩单[[#This Row],[数学]]))+1)</f>
        <v>374</v>
      </c>
      <c r="R328" s="29" cm="1">
        <f t="array" ref="R328">IF(表成绩单[[#This Row],[英语]]="","",SUMPRODUCT((表成绩单[考试日期]=表成绩单[[#This Row],[考试日期]])*(表成绩单[英语]&lt;9E+307)*(表成绩单[英语]&gt;表成绩单[[#This Row],[英语]]))+1)</f>
        <v>241</v>
      </c>
      <c r="S328" s="29" cm="1">
        <f t="array" ref="S328">IF(表成绩单[[#This Row],[物理]]="","",SUMPRODUCT((表成绩单[考试日期]=表成绩单[[#This Row],[考试日期]])*(表成绩单[物理]&lt;9E+307)*(表成绩单[物理]&gt;表成绩单[[#This Row],[物理]]))+1)</f>
        <v>263</v>
      </c>
      <c r="T328" s="29" cm="1">
        <f t="array" ref="T328">IF(表成绩单[[#This Row],[化学]]="","",SUMPRODUCT((表成绩单[考试日期]=表成绩单[[#This Row],[考试日期]])*(表成绩单[化学]&lt;9E+307)*(表成绩单[化学]&gt;表成绩单[[#This Row],[化学]]))+1)</f>
        <v>365</v>
      </c>
      <c r="U328" s="29" cm="1">
        <f t="array" ref="U328">IF(表成绩单[[#This Row],[政治]]="","",SUMPRODUCT((表成绩单[考试日期]=表成绩单[[#This Row],[考试日期]])*(表成绩单[政治]&lt;9E+307)*(表成绩单[政治]&gt;表成绩单[[#This Row],[政治]]))+1)</f>
        <v>329</v>
      </c>
      <c r="V328" s="29" cm="1">
        <f t="array" ref="V328">IF(表成绩单[[#This Row],[历史]]="","",SUMPRODUCT((表成绩单[考试日期]=表成绩单[[#This Row],[考试日期]])*(表成绩单[历史]&lt;9E+307)*(表成绩单[历史]&gt;表成绩单[[#This Row],[历史]]))+1)</f>
        <v>144</v>
      </c>
      <c r="W328" s="29" cm="1">
        <f t="array" ref="W328">IF(表成绩单[[#This Row],[总分]]="","",SUMPRODUCT((表成绩单[考试日期]=表成绩单[[#This Row],[考试日期]])*(表成绩单[总分]&lt;9E+307)*(表成绩单[总分]&gt;表成绩单[[#This Row],[总分]]))+1)</f>
        <v>324</v>
      </c>
    </row>
    <row r="329" ht="28" customHeight="1" spans="4:23">
      <c r="D329" s="31">
        <v>45975</v>
      </c>
      <c r="E329" s="29">
        <v>19174773</v>
      </c>
      <c r="F329" s="29" t="s">
        <v>69</v>
      </c>
      <c r="G329" s="29" t="s">
        <v>402</v>
      </c>
      <c r="H329" s="29">
        <v>97</v>
      </c>
      <c r="I329" s="29">
        <v>111</v>
      </c>
      <c r="J329" s="29">
        <v>78</v>
      </c>
      <c r="K329" s="29">
        <v>79</v>
      </c>
      <c r="L329" s="29">
        <v>67</v>
      </c>
      <c r="M329" s="29">
        <v>80</v>
      </c>
      <c r="N329" s="29">
        <v>75</v>
      </c>
      <c r="O329" s="32">
        <v>587</v>
      </c>
      <c r="P329" s="29" cm="1">
        <f t="array" ref="P329">IF(表成绩单[[#This Row],[语文]]="","",SUMPRODUCT((表成绩单[考试日期]=表成绩单[[#This Row],[考试日期]])*(表成绩单[语文]&lt;9E+307)*(表成绩单[语文]&gt;表成绩单[[#This Row],[语文]]))+1)</f>
        <v>349</v>
      </c>
      <c r="Q329" s="29" cm="1">
        <f t="array" ref="Q329">IF(表成绩单[[#This Row],[数学]]="","",SUMPRODUCT((表成绩单[考试日期]=表成绩单[[#This Row],[考试日期]])*(表成绩单[数学]&lt;9E+307)*(表成绩单[数学]&gt;表成绩单[[#This Row],[数学]]))+1)</f>
        <v>134</v>
      </c>
      <c r="R329" s="29" cm="1">
        <f t="array" ref="R329">IF(表成绩单[[#This Row],[英语]]="","",SUMPRODUCT((表成绩单[考试日期]=表成绩单[[#This Row],[考试日期]])*(表成绩单[英语]&lt;9E+307)*(表成绩单[英语]&gt;表成绩单[[#This Row],[英语]]))+1)</f>
        <v>330</v>
      </c>
      <c r="S329" s="29" cm="1">
        <f t="array" ref="S329">IF(表成绩单[[#This Row],[物理]]="","",SUMPRODUCT((表成绩单[考试日期]=表成绩单[[#This Row],[考试日期]])*(表成绩单[物理]&lt;9E+307)*(表成绩单[物理]&gt;表成绩单[[#This Row],[物理]]))+1)</f>
        <v>534</v>
      </c>
      <c r="T329" s="29" cm="1">
        <f t="array" ref="T329">IF(表成绩单[[#This Row],[化学]]="","",SUMPRODUCT((表成绩单[考试日期]=表成绩单[[#This Row],[考试日期]])*(表成绩单[化学]&lt;9E+307)*(表成绩单[化学]&gt;表成绩单[[#This Row],[化学]]))+1)</f>
        <v>524</v>
      </c>
      <c r="U329" s="29" cm="1">
        <f t="array" ref="U329">IF(表成绩单[[#This Row],[政治]]="","",SUMPRODUCT((表成绩单[考试日期]=表成绩单[[#This Row],[考试日期]])*(表成绩单[政治]&lt;9E+307)*(表成绩单[政治]&gt;表成绩单[[#This Row],[政治]]))+1)</f>
        <v>209</v>
      </c>
      <c r="V329" s="29" cm="1">
        <f t="array" ref="V329">IF(表成绩单[[#This Row],[历史]]="","",SUMPRODUCT((表成绩单[考试日期]=表成绩单[[#This Row],[考试日期]])*(表成绩单[历史]&lt;9E+307)*(表成绩单[历史]&gt;表成绩单[[#This Row],[历史]]))+1)</f>
        <v>315</v>
      </c>
      <c r="W329" s="29" cm="1">
        <f t="array" ref="W329">IF(表成绩单[[#This Row],[总分]]="","",SUMPRODUCT((表成绩单[考试日期]=表成绩单[[#This Row],[考试日期]])*(表成绩单[总分]&lt;9E+307)*(表成绩单[总分]&gt;表成绩单[[#This Row],[总分]]))+1)</f>
        <v>324</v>
      </c>
    </row>
    <row r="330" ht="28" customHeight="1" spans="4:23">
      <c r="D330" s="31">
        <v>45975</v>
      </c>
      <c r="E330" s="29">
        <v>19176170</v>
      </c>
      <c r="F330" s="29" t="s">
        <v>67</v>
      </c>
      <c r="G330" s="29" t="s">
        <v>403</v>
      </c>
      <c r="H330" s="29">
        <v>103</v>
      </c>
      <c r="I330" s="29">
        <v>91</v>
      </c>
      <c r="J330" s="29">
        <v>79</v>
      </c>
      <c r="K330" s="29">
        <v>82</v>
      </c>
      <c r="L330" s="29">
        <v>75</v>
      </c>
      <c r="M330" s="29">
        <v>79</v>
      </c>
      <c r="N330" s="29">
        <v>78</v>
      </c>
      <c r="O330" s="32">
        <v>587</v>
      </c>
      <c r="P330" s="29" cm="1">
        <f t="array" ref="P330">IF(表成绩单[[#This Row],[语文]]="","",SUMPRODUCT((表成绩单[考试日期]=表成绩单[[#This Row],[考试日期]])*(表成绩单[语文]&lt;9E+307)*(表成绩单[语文]&gt;表成绩单[[#This Row],[语文]]))+1)</f>
        <v>126</v>
      </c>
      <c r="Q330" s="29" cm="1">
        <f t="array" ref="Q330">IF(表成绩单[[#This Row],[数学]]="","",SUMPRODUCT((表成绩单[考试日期]=表成绩单[[#This Row],[考试日期]])*(表成绩单[数学]&lt;9E+307)*(表成绩单[数学]&gt;表成绩单[[#This Row],[数学]]))+1)</f>
        <v>495</v>
      </c>
      <c r="R330" s="29" cm="1">
        <f t="array" ref="R330">IF(表成绩单[[#This Row],[英语]]="","",SUMPRODUCT((表成绩单[考试日期]=表成绩单[[#This Row],[考试日期]])*(表成绩单[英语]&lt;9E+307)*(表成绩单[英语]&gt;表成绩单[[#This Row],[英语]]))+1)</f>
        <v>292</v>
      </c>
      <c r="S330" s="29" cm="1">
        <f t="array" ref="S330">IF(表成绩单[[#This Row],[物理]]="","",SUMPRODUCT((表成绩单[考试日期]=表成绩单[[#This Row],[考试日期]])*(表成绩单[物理]&lt;9E+307)*(表成绩单[物理]&gt;表成绩单[[#This Row],[物理]]))+1)</f>
        <v>433</v>
      </c>
      <c r="T330" s="29" cm="1">
        <f t="array" ref="T330">IF(表成绩单[[#This Row],[化学]]="","",SUMPRODUCT((表成绩单[考试日期]=表成绩单[[#This Row],[考试日期]])*(表成绩单[化学]&lt;9E+307)*(表成绩单[化学]&gt;表成绩单[[#This Row],[化学]]))+1)</f>
        <v>310</v>
      </c>
      <c r="U330" s="29" cm="1">
        <f t="array" ref="U330">IF(表成绩单[[#This Row],[政治]]="","",SUMPRODUCT((表成绩单[考试日期]=表成绩单[[#This Row],[考试日期]])*(表成绩单[政治]&lt;9E+307)*(表成绩单[政治]&gt;表成绩单[[#This Row],[政治]]))+1)</f>
        <v>246</v>
      </c>
      <c r="V330" s="29" cm="1">
        <f t="array" ref="V330">IF(表成绩单[[#This Row],[历史]]="","",SUMPRODUCT((表成绩单[考试日期]=表成绩单[[#This Row],[考试日期]])*(表成绩单[历史]&lt;9E+307)*(表成绩单[历史]&gt;表成绩单[[#This Row],[历史]]))+1)</f>
        <v>189</v>
      </c>
      <c r="W330" s="29" cm="1">
        <f t="array" ref="W330">IF(表成绩单[[#This Row],[总分]]="","",SUMPRODUCT((表成绩单[考试日期]=表成绩单[[#This Row],[考试日期]])*(表成绩单[总分]&lt;9E+307)*(表成绩单[总分]&gt;表成绩单[[#This Row],[总分]]))+1)</f>
        <v>324</v>
      </c>
    </row>
    <row r="331" ht="28" customHeight="1" spans="4:23">
      <c r="D331" s="31">
        <v>45975</v>
      </c>
      <c r="E331" s="29">
        <v>19176859</v>
      </c>
      <c r="F331" s="29" t="s">
        <v>71</v>
      </c>
      <c r="G331" s="29" t="s">
        <v>404</v>
      </c>
      <c r="H331" s="29">
        <v>101</v>
      </c>
      <c r="I331" s="29">
        <v>103</v>
      </c>
      <c r="J331" s="29">
        <v>73</v>
      </c>
      <c r="K331" s="29">
        <v>88</v>
      </c>
      <c r="L331" s="29">
        <v>75</v>
      </c>
      <c r="M331" s="29">
        <v>71</v>
      </c>
      <c r="N331" s="29">
        <v>76</v>
      </c>
      <c r="O331" s="32">
        <v>587</v>
      </c>
      <c r="P331" s="29" cm="1">
        <f t="array" ref="P331">IF(表成绩单[[#This Row],[语文]]="","",SUMPRODUCT((表成绩单[考试日期]=表成绩单[[#This Row],[考试日期]])*(表成绩单[语文]&lt;9E+307)*(表成绩单[语文]&gt;表成绩单[[#This Row],[语文]]))+1)</f>
        <v>190</v>
      </c>
      <c r="Q331" s="29" cm="1">
        <f t="array" ref="Q331">IF(表成绩单[[#This Row],[数学]]="","",SUMPRODUCT((表成绩单[考试日期]=表成绩单[[#This Row],[考试日期]])*(表成绩单[数学]&lt;9E+307)*(表成绩单[数学]&gt;表成绩单[[#This Row],[数学]]))+1)</f>
        <v>277</v>
      </c>
      <c r="R331" s="29" cm="1">
        <f t="array" ref="R331">IF(表成绩单[[#This Row],[英语]]="","",SUMPRODUCT((表成绩单[考试日期]=表成绩单[[#This Row],[考试日期]])*(表成绩单[英语]&lt;9E+307)*(表成绩单[英语]&gt;表成绩单[[#This Row],[英语]]))+1)</f>
        <v>485</v>
      </c>
      <c r="S331" s="29" cm="1">
        <f t="array" ref="S331">IF(表成绩单[[#This Row],[物理]]="","",SUMPRODUCT((表成绩单[考试日期]=表成绩单[[#This Row],[考试日期]])*(表成绩单[物理]&lt;9E+307)*(表成绩单[物理]&gt;表成绩单[[#This Row],[物理]]))+1)</f>
        <v>54</v>
      </c>
      <c r="T331" s="29" cm="1">
        <f t="array" ref="T331">IF(表成绩单[[#This Row],[化学]]="","",SUMPRODUCT((表成绩单[考试日期]=表成绩单[[#This Row],[考试日期]])*(表成绩单[化学]&lt;9E+307)*(表成绩单[化学]&gt;表成绩单[[#This Row],[化学]]))+1)</f>
        <v>310</v>
      </c>
      <c r="U331" s="29" cm="1">
        <f t="array" ref="U331">IF(表成绩单[[#This Row],[政治]]="","",SUMPRODUCT((表成绩单[考试日期]=表成绩单[[#This Row],[考试日期]])*(表成绩单[政治]&lt;9E+307)*(表成绩单[政治]&gt;表成绩单[[#This Row],[政治]]))+1)</f>
        <v>467</v>
      </c>
      <c r="V331" s="29" cm="1">
        <f t="array" ref="V331">IF(表成绩单[[#This Row],[历史]]="","",SUMPRODUCT((表成绩单[考试日期]=表成绩单[[#This Row],[考试日期]])*(表成绩单[历史]&lt;9E+307)*(表成绩单[历史]&gt;表成绩单[[#This Row],[历史]]))+1)</f>
        <v>278</v>
      </c>
      <c r="W331" s="29" cm="1">
        <f t="array" ref="W331">IF(表成绩单[[#This Row],[总分]]="","",SUMPRODUCT((表成绩单[考试日期]=表成绩单[[#This Row],[考试日期]])*(表成绩单[总分]&lt;9E+307)*(表成绩单[总分]&gt;表成绩单[[#This Row],[总分]]))+1)</f>
        <v>324</v>
      </c>
    </row>
    <row r="332" ht="28" customHeight="1" spans="4:23">
      <c r="D332" s="31">
        <v>45975</v>
      </c>
      <c r="E332" s="29">
        <v>19177634</v>
      </c>
      <c r="F332" s="29" t="s">
        <v>63</v>
      </c>
      <c r="G332" s="29" t="s">
        <v>405</v>
      </c>
      <c r="H332" s="29">
        <v>104</v>
      </c>
      <c r="I332" s="29">
        <v>82</v>
      </c>
      <c r="J332" s="29">
        <v>83</v>
      </c>
      <c r="K332" s="29">
        <v>87</v>
      </c>
      <c r="L332" s="29">
        <v>80</v>
      </c>
      <c r="M332" s="29">
        <v>85</v>
      </c>
      <c r="N332" s="29">
        <v>66</v>
      </c>
      <c r="O332" s="32">
        <v>587</v>
      </c>
      <c r="P332" s="29" cm="1">
        <f t="array" ref="P332">IF(表成绩单[[#This Row],[语文]]="","",SUMPRODUCT((表成绩单[考试日期]=表成绩单[[#This Row],[考试日期]])*(表成绩单[语文]&lt;9E+307)*(表成绩单[语文]&gt;表成绩单[[#This Row],[语文]]))+1)</f>
        <v>104</v>
      </c>
      <c r="Q332" s="29" cm="1">
        <f t="array" ref="Q332">IF(表成绩单[[#This Row],[数学]]="","",SUMPRODUCT((表成绩单[考试日期]=表成绩单[[#This Row],[考试日期]])*(表成绩单[数学]&lt;9E+307)*(表成绩单[数学]&gt;表成绩单[[#This Row],[数学]]))+1)</f>
        <v>607</v>
      </c>
      <c r="R332" s="29" cm="1">
        <f t="array" ref="R332">IF(表成绩单[[#This Row],[英语]]="","",SUMPRODUCT((表成绩单[考试日期]=表成绩单[[#This Row],[考试日期]])*(表成绩单[英语]&lt;9E+307)*(表成绩单[英语]&gt;表成绩单[[#This Row],[英语]]))+1)</f>
        <v>146</v>
      </c>
      <c r="S332" s="29" cm="1">
        <f t="array" ref="S332">IF(表成绩单[[#This Row],[物理]]="","",SUMPRODUCT((表成绩单[考试日期]=表成绩单[[#This Row],[考试日期]])*(表成绩单[物理]&lt;9E+307)*(表成绩单[物理]&gt;表成绩单[[#This Row],[物理]]))+1)</f>
        <v>127</v>
      </c>
      <c r="T332" s="29" cm="1">
        <f t="array" ref="T332">IF(表成绩单[[#This Row],[化学]]="","",SUMPRODUCT((表成绩单[考试日期]=表成绩单[[#This Row],[考试日期]])*(表成绩单[化学]&lt;9E+307)*(表成绩单[化学]&gt;表成绩单[[#This Row],[化学]]))+1)</f>
        <v>129</v>
      </c>
      <c r="U332" s="29" cm="1">
        <f t="array" ref="U332">IF(表成绩单[[#This Row],[政治]]="","",SUMPRODUCT((表成绩单[考试日期]=表成绩单[[#This Row],[考试日期]])*(表成绩单[政治]&lt;9E+307)*(表成绩单[政治]&gt;表成绩单[[#This Row],[政治]]))+1)</f>
        <v>45</v>
      </c>
      <c r="V332" s="29" cm="1">
        <f t="array" ref="V332">IF(表成绩单[[#This Row],[历史]]="","",SUMPRODUCT((表成绩单[考试日期]=表成绩单[[#This Row],[考试日期]])*(表成绩单[历史]&lt;9E+307)*(表成绩单[历史]&gt;表成绩单[[#This Row],[历史]]))+1)</f>
        <v>622</v>
      </c>
      <c r="W332" s="29" cm="1">
        <f t="array" ref="W332">IF(表成绩单[[#This Row],[总分]]="","",SUMPRODUCT((表成绩单[考试日期]=表成绩单[[#This Row],[考试日期]])*(表成绩单[总分]&lt;9E+307)*(表成绩单[总分]&gt;表成绩单[[#This Row],[总分]]))+1)</f>
        <v>324</v>
      </c>
    </row>
    <row r="333" ht="28" customHeight="1" spans="4:23">
      <c r="D333" s="31">
        <v>45975</v>
      </c>
      <c r="E333" s="29">
        <v>19177667</v>
      </c>
      <c r="F333" s="29" t="s">
        <v>63</v>
      </c>
      <c r="G333" s="29" t="s">
        <v>406</v>
      </c>
      <c r="H333" s="29">
        <v>98</v>
      </c>
      <c r="I333" s="29">
        <v>92</v>
      </c>
      <c r="J333" s="29">
        <v>83</v>
      </c>
      <c r="K333" s="29">
        <v>86</v>
      </c>
      <c r="L333" s="29">
        <v>72</v>
      </c>
      <c r="M333" s="29">
        <v>76</v>
      </c>
      <c r="N333" s="29">
        <v>80</v>
      </c>
      <c r="O333" s="32">
        <v>587</v>
      </c>
      <c r="P333" s="29" cm="1">
        <f t="array" ref="P333">IF(表成绩单[[#This Row],[语文]]="","",SUMPRODUCT((表成绩单[考试日期]=表成绩单[[#This Row],[考试日期]])*(表成绩单[语文]&lt;9E+307)*(表成绩单[语文]&gt;表成绩单[[#This Row],[语文]]))+1)</f>
        <v>305</v>
      </c>
      <c r="Q333" s="29" cm="1">
        <f t="array" ref="Q333">IF(表成绩单[[#This Row],[数学]]="","",SUMPRODUCT((表成绩单[考试日期]=表成绩单[[#This Row],[考试日期]])*(表成绩单[数学]&lt;9E+307)*(表成绩单[数学]&gt;表成绩单[[#This Row],[数学]]))+1)</f>
        <v>480</v>
      </c>
      <c r="R333" s="29" cm="1">
        <f t="array" ref="R333">IF(表成绩单[[#This Row],[英语]]="","",SUMPRODUCT((表成绩单[考试日期]=表成绩单[[#This Row],[考试日期]])*(表成绩单[英语]&lt;9E+307)*(表成绩单[英语]&gt;表成绩单[[#This Row],[英语]]))+1)</f>
        <v>146</v>
      </c>
      <c r="S333" s="29" cm="1">
        <f t="array" ref="S333">IF(表成绩单[[#This Row],[物理]]="","",SUMPRODUCT((表成绩单[考试日期]=表成绩单[[#This Row],[考试日期]])*(表成绩单[物理]&lt;9E+307)*(表成绩单[物理]&gt;表成绩单[[#This Row],[物理]]))+1)</f>
        <v>187</v>
      </c>
      <c r="T333" s="29" cm="1">
        <f t="array" ref="T333">IF(表成绩单[[#This Row],[化学]]="","",SUMPRODUCT((表成绩单[考试日期]=表成绩单[[#This Row],[考试日期]])*(表成绩单[化学]&lt;9E+307)*(表成绩单[化学]&gt;表成绩单[[#This Row],[化学]]))+1)</f>
        <v>405</v>
      </c>
      <c r="U333" s="29" cm="1">
        <f t="array" ref="U333">IF(表成绩单[[#This Row],[政治]]="","",SUMPRODUCT((表成绩单[考试日期]=表成绩单[[#This Row],[考试日期]])*(表成绩单[政治]&lt;9E+307)*(表成绩单[政治]&gt;表成绩单[[#This Row],[政治]]))+1)</f>
        <v>329</v>
      </c>
      <c r="V333" s="29" cm="1">
        <f t="array" ref="V333">IF(表成绩单[[#This Row],[历史]]="","",SUMPRODUCT((表成绩单[考试日期]=表成绩单[[#This Row],[考试日期]])*(表成绩单[历史]&lt;9E+307)*(表成绩单[历史]&gt;表成绩单[[#This Row],[历史]]))+1)</f>
        <v>108</v>
      </c>
      <c r="W333" s="29" cm="1">
        <f t="array" ref="W333">IF(表成绩单[[#This Row],[总分]]="","",SUMPRODUCT((表成绩单[考试日期]=表成绩单[[#This Row],[考试日期]])*(表成绩单[总分]&lt;9E+307)*(表成绩单[总分]&gt;表成绩单[[#This Row],[总分]]))+1)</f>
        <v>324</v>
      </c>
    </row>
    <row r="334" ht="28" customHeight="1" spans="4:23">
      <c r="D334" s="31">
        <v>45975</v>
      </c>
      <c r="E334" s="29">
        <v>19173261</v>
      </c>
      <c r="F334" s="29" t="s">
        <v>61</v>
      </c>
      <c r="G334" s="29" t="s">
        <v>407</v>
      </c>
      <c r="H334" s="29">
        <v>93</v>
      </c>
      <c r="I334" s="29">
        <v>101</v>
      </c>
      <c r="J334" s="29">
        <v>77.5</v>
      </c>
      <c r="K334" s="29">
        <v>83</v>
      </c>
      <c r="L334" s="29">
        <v>69</v>
      </c>
      <c r="M334" s="29">
        <v>83</v>
      </c>
      <c r="N334" s="29">
        <v>80</v>
      </c>
      <c r="O334" s="32">
        <v>586.5</v>
      </c>
      <c r="P334" s="29" cm="1">
        <f t="array" ref="P334">IF(表成绩单[[#This Row],[语文]]="","",SUMPRODUCT((表成绩单[考试日期]=表成绩单[[#This Row],[考试日期]])*(表成绩单[语文]&lt;9E+307)*(表成绩单[语文]&gt;表成绩单[[#This Row],[语文]]))+1)</f>
        <v>489</v>
      </c>
      <c r="Q334" s="29" cm="1">
        <f t="array" ref="Q334">IF(表成绩单[[#This Row],[数学]]="","",SUMPRODUCT((表成绩单[考试日期]=表成绩单[[#This Row],[考试日期]])*(表成绩单[数学]&lt;9E+307)*(表成绩单[数学]&gt;表成绩单[[#This Row],[数学]]))+1)</f>
        <v>319</v>
      </c>
      <c r="R334" s="29" cm="1">
        <f t="array" ref="R334">IF(表成绩单[[#This Row],[英语]]="","",SUMPRODUCT((表成绩单[考试日期]=表成绩单[[#This Row],[考试日期]])*(表成绩单[英语]&lt;9E+307)*(表成绩单[英语]&gt;表成绩单[[#This Row],[英语]]))+1)</f>
        <v>345</v>
      </c>
      <c r="S334" s="29" cm="1">
        <f t="array" ref="S334">IF(表成绩单[[#This Row],[物理]]="","",SUMPRODUCT((表成绩单[考试日期]=表成绩单[[#This Row],[考试日期]])*(表成绩单[物理]&lt;9E+307)*(表成绩单[物理]&gt;表成绩单[[#This Row],[物理]]))+1)</f>
        <v>390</v>
      </c>
      <c r="T334" s="29" cm="1">
        <f t="array" ref="T334">IF(表成绩单[[#This Row],[化学]]="","",SUMPRODUCT((表成绩单[考试日期]=表成绩单[[#This Row],[考试日期]])*(表成绩单[化学]&lt;9E+307)*(表成绩单[化学]&gt;表成绩单[[#This Row],[化学]]))+1)</f>
        <v>478</v>
      </c>
      <c r="U334" s="29" cm="1">
        <f t="array" ref="U334">IF(表成绩单[[#This Row],[政治]]="","",SUMPRODUCT((表成绩单[考试日期]=表成绩单[[#This Row],[考试日期]])*(表成绩单[政治]&lt;9E+307)*(表成绩单[政治]&gt;表成绩单[[#This Row],[政治]]))+1)</f>
        <v>121</v>
      </c>
      <c r="V334" s="29" cm="1">
        <f t="array" ref="V334">IF(表成绩单[[#This Row],[历史]]="","",SUMPRODUCT((表成绩单[考试日期]=表成绩单[[#This Row],[考试日期]])*(表成绩单[历史]&lt;9E+307)*(表成绩单[历史]&gt;表成绩单[[#This Row],[历史]]))+1)</f>
        <v>108</v>
      </c>
      <c r="W334" s="29" cm="1">
        <f t="array" ref="W334">IF(表成绩单[[#This Row],[总分]]="","",SUMPRODUCT((表成绩单[考试日期]=表成绩单[[#This Row],[考试日期]])*(表成绩单[总分]&lt;9E+307)*(表成绩单[总分]&gt;表成绩单[[#This Row],[总分]]))+1)</f>
        <v>330</v>
      </c>
    </row>
    <row r="335" ht="28" customHeight="1" spans="4:23">
      <c r="D335" s="31">
        <v>45975</v>
      </c>
      <c r="E335" s="29">
        <v>19174443</v>
      </c>
      <c r="F335" s="29" t="s">
        <v>73</v>
      </c>
      <c r="G335" s="29" t="s">
        <v>408</v>
      </c>
      <c r="H335" s="29">
        <v>96</v>
      </c>
      <c r="I335" s="29">
        <v>97</v>
      </c>
      <c r="J335" s="29">
        <v>85.5</v>
      </c>
      <c r="K335" s="29">
        <v>86</v>
      </c>
      <c r="L335" s="29">
        <v>75</v>
      </c>
      <c r="M335" s="29">
        <v>67</v>
      </c>
      <c r="N335" s="29">
        <v>80</v>
      </c>
      <c r="O335" s="32">
        <v>586.5</v>
      </c>
      <c r="P335" s="29" cm="1">
        <f t="array" ref="P335">IF(表成绩单[[#This Row],[语文]]="","",SUMPRODUCT((表成绩单[考试日期]=表成绩单[[#This Row],[考试日期]])*(表成绩单[语文]&lt;9E+307)*(表成绩单[语文]&gt;表成绩单[[#This Row],[语文]]))+1)</f>
        <v>387</v>
      </c>
      <c r="Q335" s="29" cm="1">
        <f t="array" ref="Q335">IF(表成绩单[[#This Row],[数学]]="","",SUMPRODUCT((表成绩单[考试日期]=表成绩单[[#This Row],[考试日期]])*(表成绩单[数学]&lt;9E+307)*(表成绩单[数学]&gt;表成绩单[[#This Row],[数学]]))+1)</f>
        <v>389</v>
      </c>
      <c r="R335" s="29" cm="1">
        <f t="array" ref="R335">IF(表成绩单[[#This Row],[英语]]="","",SUMPRODUCT((表成绩单[考试日期]=表成绩单[[#This Row],[考试日期]])*(表成绩单[英语]&lt;9E+307)*(表成绩单[英语]&gt;表成绩单[[#This Row],[英语]]))+1)</f>
        <v>54</v>
      </c>
      <c r="S335" s="29" cm="1">
        <f t="array" ref="S335">IF(表成绩单[[#This Row],[物理]]="","",SUMPRODUCT((表成绩单[考试日期]=表成绩单[[#This Row],[考试日期]])*(表成绩单[物理]&lt;9E+307)*(表成绩单[物理]&gt;表成绩单[[#This Row],[物理]]))+1)</f>
        <v>187</v>
      </c>
      <c r="T335" s="29" cm="1">
        <f t="array" ref="T335">IF(表成绩单[[#This Row],[化学]]="","",SUMPRODUCT((表成绩单[考试日期]=表成绩单[[#This Row],[考试日期]])*(表成绩单[化学]&lt;9E+307)*(表成绩单[化学]&gt;表成绩单[[#This Row],[化学]]))+1)</f>
        <v>310</v>
      </c>
      <c r="U335" s="29" cm="1">
        <f t="array" ref="U335">IF(表成绩单[[#This Row],[政治]]="","",SUMPRODUCT((表成绩单[考试日期]=表成绩单[[#This Row],[考试日期]])*(表成绩单[政治]&lt;9E+307)*(表成绩单[政治]&gt;表成绩单[[#This Row],[政治]]))+1)</f>
        <v>543</v>
      </c>
      <c r="V335" s="29" cm="1">
        <f t="array" ref="V335">IF(表成绩单[[#This Row],[历史]]="","",SUMPRODUCT((表成绩单[考试日期]=表成绩单[[#This Row],[考试日期]])*(表成绩单[历史]&lt;9E+307)*(表成绩单[历史]&gt;表成绩单[[#This Row],[历史]]))+1)</f>
        <v>108</v>
      </c>
      <c r="W335" s="29" cm="1">
        <f t="array" ref="W335">IF(表成绩单[[#This Row],[总分]]="","",SUMPRODUCT((表成绩单[考试日期]=表成绩单[[#This Row],[考试日期]])*(表成绩单[总分]&lt;9E+307)*(表成绩单[总分]&gt;表成绩单[[#This Row],[总分]]))+1)</f>
        <v>330</v>
      </c>
    </row>
    <row r="336" ht="28" customHeight="1" spans="4:23">
      <c r="D336" s="31">
        <v>45975</v>
      </c>
      <c r="E336" s="29">
        <v>19176886</v>
      </c>
      <c r="F336" s="29" t="s">
        <v>71</v>
      </c>
      <c r="G336" s="29" t="s">
        <v>409</v>
      </c>
      <c r="H336" s="29">
        <v>97</v>
      </c>
      <c r="I336" s="29">
        <v>102</v>
      </c>
      <c r="J336" s="29">
        <v>79.5</v>
      </c>
      <c r="K336" s="29">
        <v>84</v>
      </c>
      <c r="L336" s="29">
        <v>77</v>
      </c>
      <c r="M336" s="29">
        <v>75</v>
      </c>
      <c r="N336" s="29">
        <v>72</v>
      </c>
      <c r="O336" s="32">
        <v>586.5</v>
      </c>
      <c r="P336" s="29" cm="1">
        <f t="array" ref="P336">IF(表成绩单[[#This Row],[语文]]="","",SUMPRODUCT((表成绩单[考试日期]=表成绩单[[#This Row],[考试日期]])*(表成绩单[语文]&lt;9E+307)*(表成绩单[语文]&gt;表成绩单[[#This Row],[语文]]))+1)</f>
        <v>349</v>
      </c>
      <c r="Q336" s="29" cm="1">
        <f t="array" ref="Q336">IF(表成绩单[[#This Row],[数学]]="","",SUMPRODUCT((表成绩单[考试日期]=表成绩单[[#This Row],[考试日期]])*(表成绩单[数学]&lt;9E+307)*(表成绩单[数学]&gt;表成绩单[[#This Row],[数学]]))+1)</f>
        <v>298</v>
      </c>
      <c r="R336" s="29" cm="1">
        <f t="array" ref="R336">IF(表成绩单[[#This Row],[英语]]="","",SUMPRODUCT((表成绩单[考试日期]=表成绩单[[#This Row],[考试日期]])*(表成绩单[英语]&lt;9E+307)*(表成绩单[英语]&gt;表成绩单[[#This Row],[英语]]))+1)</f>
        <v>279</v>
      </c>
      <c r="S336" s="29" cm="1">
        <f t="array" ref="S336">IF(表成绩单[[#This Row],[物理]]="","",SUMPRODUCT((表成绩单[考试日期]=表成绩单[[#This Row],[考试日期]])*(表成绩单[物理]&lt;9E+307)*(表成绩单[物理]&gt;表成绩单[[#This Row],[物理]]))+1)</f>
        <v>344</v>
      </c>
      <c r="T336" s="29" cm="1">
        <f t="array" ref="T336">IF(表成绩单[[#This Row],[化学]]="","",SUMPRODUCT((表成绩单[考试日期]=表成绩单[[#This Row],[考试日期]])*(表成绩单[化学]&lt;9E+307)*(表成绩单[化学]&gt;表成绩单[[#This Row],[化学]]))+1)</f>
        <v>239</v>
      </c>
      <c r="U336" s="29" cm="1">
        <f t="array" ref="U336">IF(表成绩单[[#This Row],[政治]]="","",SUMPRODUCT((表成绩单[考试日期]=表成绩单[[#This Row],[考试日期]])*(表成绩单[政治]&lt;9E+307)*(表成绩单[政治]&gt;表成绩单[[#This Row],[政治]]))+1)</f>
        <v>363</v>
      </c>
      <c r="V336" s="29" cm="1">
        <f t="array" ref="V336">IF(表成绩单[[#This Row],[历史]]="","",SUMPRODUCT((表成绩单[考试日期]=表成绩单[[#This Row],[考试日期]])*(表成绩单[历史]&lt;9E+307)*(表成绩单[历史]&gt;表成绩单[[#This Row],[历史]]))+1)</f>
        <v>438</v>
      </c>
      <c r="W336" s="29" cm="1">
        <f t="array" ref="W336">IF(表成绩单[[#This Row],[总分]]="","",SUMPRODUCT((表成绩单[考试日期]=表成绩单[[#This Row],[考试日期]])*(表成绩单[总分]&lt;9E+307)*(表成绩单[总分]&gt;表成绩单[[#This Row],[总分]]))+1)</f>
        <v>330</v>
      </c>
    </row>
    <row r="337" ht="28" customHeight="1" spans="4:23">
      <c r="D337" s="31">
        <v>45975</v>
      </c>
      <c r="E337" s="29">
        <v>19173272</v>
      </c>
      <c r="F337" s="29" t="s">
        <v>61</v>
      </c>
      <c r="G337" s="29" t="s">
        <v>410</v>
      </c>
      <c r="H337" s="29">
        <v>97</v>
      </c>
      <c r="I337" s="29">
        <v>94</v>
      </c>
      <c r="J337" s="29">
        <v>77</v>
      </c>
      <c r="K337" s="29">
        <v>88</v>
      </c>
      <c r="L337" s="29">
        <v>80</v>
      </c>
      <c r="M337" s="29">
        <v>83</v>
      </c>
      <c r="N337" s="29">
        <v>67</v>
      </c>
      <c r="O337" s="32">
        <v>586</v>
      </c>
      <c r="P337" s="29" cm="1">
        <f t="array" ref="P337">IF(表成绩单[[#This Row],[语文]]="","",SUMPRODUCT((表成绩单[考试日期]=表成绩单[[#This Row],[考试日期]])*(表成绩单[语文]&lt;9E+307)*(表成绩单[语文]&gt;表成绩单[[#This Row],[语文]]))+1)</f>
        <v>349</v>
      </c>
      <c r="Q337" s="29" cm="1">
        <f t="array" ref="Q337">IF(表成绩单[[#This Row],[数学]]="","",SUMPRODUCT((表成绩单[考试日期]=表成绩单[[#This Row],[考试日期]])*(表成绩单[数学]&lt;9E+307)*(表成绩单[数学]&gt;表成绩单[[#This Row],[数学]]))+1)</f>
        <v>454</v>
      </c>
      <c r="R337" s="29" cm="1">
        <f t="array" ref="R337">IF(表成绩单[[#This Row],[英语]]="","",SUMPRODUCT((表成绩单[考试日期]=表成绩单[[#This Row],[考试日期]])*(表成绩单[英语]&lt;9E+307)*(表成绩单[英语]&gt;表成绩单[[#This Row],[英语]]))+1)</f>
        <v>369</v>
      </c>
      <c r="S337" s="29" cm="1">
        <f t="array" ref="S337">IF(表成绩单[[#This Row],[物理]]="","",SUMPRODUCT((表成绩单[考试日期]=表成绩单[[#This Row],[考试日期]])*(表成绩单[物理]&lt;9E+307)*(表成绩单[物理]&gt;表成绩单[[#This Row],[物理]]))+1)</f>
        <v>54</v>
      </c>
      <c r="T337" s="29" cm="1">
        <f t="array" ref="T337">IF(表成绩单[[#This Row],[化学]]="","",SUMPRODUCT((表成绩单[考试日期]=表成绩单[[#This Row],[考试日期]])*(表成绩单[化学]&lt;9E+307)*(表成绩单[化学]&gt;表成绩单[[#This Row],[化学]]))+1)</f>
        <v>129</v>
      </c>
      <c r="U337" s="29" cm="1">
        <f t="array" ref="U337">IF(表成绩单[[#This Row],[政治]]="","",SUMPRODUCT((表成绩单[考试日期]=表成绩单[[#This Row],[考试日期]])*(表成绩单[政治]&lt;9E+307)*(表成绩单[政治]&gt;表成绩单[[#This Row],[政治]]))+1)</f>
        <v>121</v>
      </c>
      <c r="V337" s="29" cm="1">
        <f t="array" ref="V337">IF(表成绩单[[#This Row],[历史]]="","",SUMPRODUCT((表成绩单[考试日期]=表成绩单[[#This Row],[考试日期]])*(表成绩单[历史]&lt;9E+307)*(表成绩单[历史]&gt;表成绩单[[#This Row],[历史]]))+1)</f>
        <v>597</v>
      </c>
      <c r="W337" s="29" cm="1">
        <f t="array" ref="W337">IF(表成绩单[[#This Row],[总分]]="","",SUMPRODUCT((表成绩单[考试日期]=表成绩单[[#This Row],[考试日期]])*(表成绩单[总分]&lt;9E+307)*(表成绩单[总分]&gt;表成绩单[[#This Row],[总分]]))+1)</f>
        <v>333</v>
      </c>
    </row>
    <row r="338" ht="28" customHeight="1" spans="4:23">
      <c r="D338" s="31">
        <v>45975</v>
      </c>
      <c r="E338" s="29">
        <v>19174790</v>
      </c>
      <c r="F338" s="29" t="s">
        <v>69</v>
      </c>
      <c r="G338" s="29" t="s">
        <v>411</v>
      </c>
      <c r="H338" s="29">
        <v>98</v>
      </c>
      <c r="I338" s="29">
        <v>101</v>
      </c>
      <c r="J338" s="29">
        <v>79</v>
      </c>
      <c r="K338" s="29">
        <v>84</v>
      </c>
      <c r="L338" s="29">
        <v>69</v>
      </c>
      <c r="M338" s="29">
        <v>83</v>
      </c>
      <c r="N338" s="29">
        <v>72</v>
      </c>
      <c r="O338" s="32">
        <v>586</v>
      </c>
      <c r="P338" s="29" cm="1">
        <f t="array" ref="P338">IF(表成绩单[[#This Row],[语文]]="","",SUMPRODUCT((表成绩单[考试日期]=表成绩单[[#This Row],[考试日期]])*(表成绩单[语文]&lt;9E+307)*(表成绩单[语文]&gt;表成绩单[[#This Row],[语文]]))+1)</f>
        <v>305</v>
      </c>
      <c r="Q338" s="29" cm="1">
        <f t="array" ref="Q338">IF(表成绩单[[#This Row],[数学]]="","",SUMPRODUCT((表成绩单[考试日期]=表成绩单[[#This Row],[考试日期]])*(表成绩单[数学]&lt;9E+307)*(表成绩单[数学]&gt;表成绩单[[#This Row],[数学]]))+1)</f>
        <v>319</v>
      </c>
      <c r="R338" s="29" cm="1">
        <f t="array" ref="R338">IF(表成绩单[[#This Row],[英语]]="","",SUMPRODUCT((表成绩单[考试日期]=表成绩单[[#This Row],[考试日期]])*(表成绩单[英语]&lt;9E+307)*(表成绩单[英语]&gt;表成绩单[[#This Row],[英语]]))+1)</f>
        <v>292</v>
      </c>
      <c r="S338" s="29" cm="1">
        <f t="array" ref="S338">IF(表成绩单[[#This Row],[物理]]="","",SUMPRODUCT((表成绩单[考试日期]=表成绩单[[#This Row],[考试日期]])*(表成绩单[物理]&lt;9E+307)*(表成绩单[物理]&gt;表成绩单[[#This Row],[物理]]))+1)</f>
        <v>344</v>
      </c>
      <c r="T338" s="29" cm="1">
        <f t="array" ref="T338">IF(表成绩单[[#This Row],[化学]]="","",SUMPRODUCT((表成绩单[考试日期]=表成绩单[[#This Row],[考试日期]])*(表成绩单[化学]&lt;9E+307)*(表成绩单[化学]&gt;表成绩单[[#This Row],[化学]]))+1)</f>
        <v>478</v>
      </c>
      <c r="U338" s="29" cm="1">
        <f t="array" ref="U338">IF(表成绩单[[#This Row],[政治]]="","",SUMPRODUCT((表成绩单[考试日期]=表成绩单[[#This Row],[考试日期]])*(表成绩单[政治]&lt;9E+307)*(表成绩单[政治]&gt;表成绩单[[#This Row],[政治]]))+1)</f>
        <v>121</v>
      </c>
      <c r="V338" s="29" cm="1">
        <f t="array" ref="V338">IF(表成绩单[[#This Row],[历史]]="","",SUMPRODUCT((表成绩单[考试日期]=表成绩单[[#This Row],[考试日期]])*(表成绩单[历史]&lt;9E+307)*(表成绩单[历史]&gt;表成绩单[[#This Row],[历史]]))+1)</f>
        <v>438</v>
      </c>
      <c r="W338" s="29" cm="1">
        <f t="array" ref="W338">IF(表成绩单[[#This Row],[总分]]="","",SUMPRODUCT((表成绩单[考试日期]=表成绩单[[#This Row],[考试日期]])*(表成绩单[总分]&lt;9E+307)*(表成绩单[总分]&gt;表成绩单[[#This Row],[总分]]))+1)</f>
        <v>333</v>
      </c>
    </row>
    <row r="339" ht="28" customHeight="1" spans="4:23">
      <c r="D339" s="31">
        <v>45975</v>
      </c>
      <c r="E339" s="29">
        <v>19177663</v>
      </c>
      <c r="F339" s="29" t="s">
        <v>63</v>
      </c>
      <c r="G339" s="29" t="s">
        <v>412</v>
      </c>
      <c r="H339" s="29">
        <v>94</v>
      </c>
      <c r="I339" s="29">
        <v>101</v>
      </c>
      <c r="J339" s="29">
        <v>73</v>
      </c>
      <c r="K339" s="29">
        <v>88</v>
      </c>
      <c r="L339" s="29">
        <v>77</v>
      </c>
      <c r="M339" s="29">
        <v>74</v>
      </c>
      <c r="N339" s="29">
        <v>79</v>
      </c>
      <c r="O339" s="32">
        <v>586</v>
      </c>
      <c r="P339" s="29" cm="1">
        <f t="array" ref="P339">IF(表成绩单[[#This Row],[语文]]="","",SUMPRODUCT((表成绩单[考试日期]=表成绩单[[#This Row],[考试日期]])*(表成绩单[语文]&lt;9E+307)*(表成绩单[语文]&gt;表成绩单[[#This Row],[语文]]))+1)</f>
        <v>452</v>
      </c>
      <c r="Q339" s="29" cm="1">
        <f t="array" ref="Q339">IF(表成绩单[[#This Row],[数学]]="","",SUMPRODUCT((表成绩单[考试日期]=表成绩单[[#This Row],[考试日期]])*(表成绩单[数学]&lt;9E+307)*(表成绩单[数学]&gt;表成绩单[[#This Row],[数学]]))+1)</f>
        <v>319</v>
      </c>
      <c r="R339" s="29" cm="1">
        <f t="array" ref="R339">IF(表成绩单[[#This Row],[英语]]="","",SUMPRODUCT((表成绩单[考试日期]=表成绩单[[#This Row],[考试日期]])*(表成绩单[英语]&lt;9E+307)*(表成绩单[英语]&gt;表成绩单[[#This Row],[英语]]))+1)</f>
        <v>485</v>
      </c>
      <c r="S339" s="29" cm="1">
        <f t="array" ref="S339">IF(表成绩单[[#This Row],[物理]]="","",SUMPRODUCT((表成绩单[考试日期]=表成绩单[[#This Row],[考试日期]])*(表成绩单[物理]&lt;9E+307)*(表成绩单[物理]&gt;表成绩单[[#This Row],[物理]]))+1)</f>
        <v>54</v>
      </c>
      <c r="T339" s="29" cm="1">
        <f t="array" ref="T339">IF(表成绩单[[#This Row],[化学]]="","",SUMPRODUCT((表成绩单[考试日期]=表成绩单[[#This Row],[考试日期]])*(表成绩单[化学]&lt;9E+307)*(表成绩单[化学]&gt;表成绩单[[#This Row],[化学]]))+1)</f>
        <v>239</v>
      </c>
      <c r="U339" s="29" cm="1">
        <f t="array" ref="U339">IF(表成绩单[[#This Row],[政治]]="","",SUMPRODUCT((表成绩单[考试日期]=表成绩单[[#This Row],[考试日期]])*(表成绩单[政治]&lt;9E+307)*(表成绩单[政治]&gt;表成绩单[[#This Row],[政治]]))+1)</f>
        <v>389</v>
      </c>
      <c r="V339" s="29" cm="1">
        <f t="array" ref="V339">IF(表成绩单[[#This Row],[历史]]="","",SUMPRODUCT((表成绩单[考试日期]=表成绩单[[#This Row],[考试日期]])*(表成绩单[历史]&lt;9E+307)*(表成绩单[历史]&gt;表成绩单[[#This Row],[历史]]))+1)</f>
        <v>144</v>
      </c>
      <c r="W339" s="29" cm="1">
        <f t="array" ref="W339">IF(表成绩单[[#This Row],[总分]]="","",SUMPRODUCT((表成绩单[考试日期]=表成绩单[[#This Row],[考试日期]])*(表成绩单[总分]&lt;9E+307)*(表成绩单[总分]&gt;表成绩单[[#This Row],[总分]]))+1)</f>
        <v>333</v>
      </c>
    </row>
    <row r="340" ht="28" customHeight="1" spans="4:23">
      <c r="D340" s="31">
        <v>45975</v>
      </c>
      <c r="E340" s="29">
        <v>19178626</v>
      </c>
      <c r="F340" s="29" t="s">
        <v>25</v>
      </c>
      <c r="G340" s="29" t="s">
        <v>413</v>
      </c>
      <c r="H340" s="29">
        <v>109</v>
      </c>
      <c r="I340" s="29">
        <v>90</v>
      </c>
      <c r="J340" s="29">
        <v>77.5</v>
      </c>
      <c r="K340" s="29">
        <v>79</v>
      </c>
      <c r="L340" s="29">
        <v>71</v>
      </c>
      <c r="M340" s="29">
        <v>86</v>
      </c>
      <c r="N340" s="29">
        <v>73</v>
      </c>
      <c r="O340" s="32">
        <v>585.5</v>
      </c>
      <c r="P340" s="29" cm="1">
        <f t="array" ref="P340">IF(表成绩单[[#This Row],[语文]]="","",SUMPRODUCT((表成绩单[考试日期]=表成绩单[[#This Row],[考试日期]])*(表成绩单[语文]&lt;9E+307)*(表成绩单[语文]&gt;表成绩单[[#This Row],[语文]]))+1)</f>
        <v>18</v>
      </c>
      <c r="Q340" s="29" cm="1">
        <f t="array" ref="Q340">IF(表成绩单[[#This Row],[数学]]="","",SUMPRODUCT((表成绩单[考试日期]=表成绩单[[#This Row],[考试日期]])*(表成绩单[数学]&lt;9E+307)*(表成绩单[数学]&gt;表成绩单[[#This Row],[数学]]))+1)</f>
        <v>506</v>
      </c>
      <c r="R340" s="29" cm="1">
        <f t="array" ref="R340">IF(表成绩单[[#This Row],[英语]]="","",SUMPRODUCT((表成绩单[考试日期]=表成绩单[[#This Row],[考试日期]])*(表成绩单[英语]&lt;9E+307)*(表成绩单[英语]&gt;表成绩单[[#This Row],[英语]]))+1)</f>
        <v>345</v>
      </c>
      <c r="S340" s="29" cm="1">
        <f t="array" ref="S340">IF(表成绩单[[#This Row],[物理]]="","",SUMPRODUCT((表成绩单[考试日期]=表成绩单[[#This Row],[考试日期]])*(表成绩单[物理]&lt;9E+307)*(表成绩单[物理]&gt;表成绩单[[#This Row],[物理]]))+1)</f>
        <v>534</v>
      </c>
      <c r="T340" s="29" cm="1">
        <f t="array" ref="T340">IF(表成绩单[[#This Row],[化学]]="","",SUMPRODUCT((表成绩单[考试日期]=表成绩单[[#This Row],[考试日期]])*(表成绩单[化学]&lt;9E+307)*(表成绩单[化学]&gt;表成绩单[[#This Row],[化学]]))+1)</f>
        <v>432</v>
      </c>
      <c r="U340" s="29" cm="1">
        <f t="array" ref="U340">IF(表成绩单[[#This Row],[政治]]="","",SUMPRODUCT((表成绩单[考试日期]=表成绩单[[#This Row],[考试日期]])*(表成绩单[政治]&lt;9E+307)*(表成绩单[政治]&gt;表成绩单[[#This Row],[政治]]))+1)</f>
        <v>26</v>
      </c>
      <c r="V340" s="29" cm="1">
        <f t="array" ref="V340">IF(表成绩单[[#This Row],[历史]]="","",SUMPRODUCT((表成绩单[考试日期]=表成绩单[[#This Row],[考试日期]])*(表成绩单[历史]&lt;9E+307)*(表成绩单[历史]&gt;表成绩单[[#This Row],[历史]]))+1)</f>
        <v>395</v>
      </c>
      <c r="W340" s="29" cm="1">
        <f t="array" ref="W340">IF(表成绩单[[#This Row],[总分]]="","",SUMPRODUCT((表成绩单[考试日期]=表成绩单[[#This Row],[考试日期]])*(表成绩单[总分]&lt;9E+307)*(表成绩单[总分]&gt;表成绩单[[#This Row],[总分]]))+1)</f>
        <v>336</v>
      </c>
    </row>
    <row r="341" ht="28" customHeight="1" spans="4:23">
      <c r="D341" s="31">
        <v>45975</v>
      </c>
      <c r="E341" s="29">
        <v>19175662</v>
      </c>
      <c r="F341" s="29" t="s">
        <v>66</v>
      </c>
      <c r="G341" s="29" t="s">
        <v>414</v>
      </c>
      <c r="H341" s="29">
        <v>100</v>
      </c>
      <c r="I341" s="29">
        <v>84</v>
      </c>
      <c r="J341" s="29">
        <v>82</v>
      </c>
      <c r="K341" s="29">
        <v>82</v>
      </c>
      <c r="L341" s="29">
        <v>76</v>
      </c>
      <c r="M341" s="29">
        <v>84</v>
      </c>
      <c r="N341" s="29">
        <v>77</v>
      </c>
      <c r="O341" s="32">
        <v>585</v>
      </c>
      <c r="P341" s="29" cm="1">
        <f t="array" ref="P341">IF(表成绩单[[#This Row],[语文]]="","",SUMPRODUCT((表成绩单[考试日期]=表成绩单[[#This Row],[考试日期]])*(表成绩单[语文]&lt;9E+307)*(表成绩单[语文]&gt;表成绩单[[#This Row],[语文]]))+1)</f>
        <v>223</v>
      </c>
      <c r="Q341" s="29" cm="1">
        <f t="array" ref="Q341">IF(表成绩单[[#This Row],[数学]]="","",SUMPRODUCT((表成绩单[考试日期]=表成绩单[[#This Row],[考试日期]])*(表成绩单[数学]&lt;9E+307)*(表成绩单[数学]&gt;表成绩单[[#This Row],[数学]]))+1)</f>
        <v>580</v>
      </c>
      <c r="R341" s="29" cm="1">
        <f t="array" ref="R341">IF(表成绩单[[#This Row],[英语]]="","",SUMPRODUCT((表成绩单[考试日期]=表成绩单[[#This Row],[考试日期]])*(表成绩单[英语]&lt;9E+307)*(表成绩单[英语]&gt;表成绩单[[#This Row],[英语]]))+1)</f>
        <v>195</v>
      </c>
      <c r="S341" s="29" cm="1">
        <f t="array" ref="S341">IF(表成绩单[[#This Row],[物理]]="","",SUMPRODUCT((表成绩单[考试日期]=表成绩单[[#This Row],[考试日期]])*(表成绩单[物理]&lt;9E+307)*(表成绩单[物理]&gt;表成绩单[[#This Row],[物理]]))+1)</f>
        <v>433</v>
      </c>
      <c r="T341" s="29" cm="1">
        <f t="array" ref="T341">IF(表成绩单[[#This Row],[化学]]="","",SUMPRODUCT((表成绩单[考试日期]=表成绩单[[#This Row],[考试日期]])*(表成绩单[化学]&lt;9E+307)*(表成绩单[化学]&gt;表成绩单[[#This Row],[化学]]))+1)</f>
        <v>268</v>
      </c>
      <c r="U341" s="29" cm="1">
        <f t="array" ref="U341">IF(表成绩单[[#This Row],[政治]]="","",SUMPRODUCT((表成绩单[考试日期]=表成绩单[[#This Row],[考试日期]])*(表成绩单[政治]&lt;9E+307)*(表成绩单[政治]&gt;表成绩单[[#This Row],[政治]]))+1)</f>
        <v>83</v>
      </c>
      <c r="V341" s="29" cm="1">
        <f t="array" ref="V341">IF(表成绩单[[#This Row],[历史]]="","",SUMPRODUCT((表成绩单[考试日期]=表成绩单[[#This Row],[考试日期]])*(表成绩单[历史]&lt;9E+307)*(表成绩单[历史]&gt;表成绩单[[#This Row],[历史]]))+1)</f>
        <v>237</v>
      </c>
      <c r="W341" s="29" cm="1">
        <f t="array" ref="W341">IF(表成绩单[[#This Row],[总分]]="","",SUMPRODUCT((表成绩单[考试日期]=表成绩单[[#This Row],[考试日期]])*(表成绩单[总分]&lt;9E+307)*(表成绩单[总分]&gt;表成绩单[[#This Row],[总分]]))+1)</f>
        <v>337</v>
      </c>
    </row>
    <row r="342" ht="28" customHeight="1" spans="4:23">
      <c r="D342" s="31">
        <v>45975</v>
      </c>
      <c r="E342" s="29">
        <v>19178649</v>
      </c>
      <c r="F342" s="29" t="s">
        <v>25</v>
      </c>
      <c r="G342" s="29" t="s">
        <v>415</v>
      </c>
      <c r="H342" s="29">
        <v>94</v>
      </c>
      <c r="I342" s="29">
        <v>98</v>
      </c>
      <c r="J342" s="29">
        <v>74</v>
      </c>
      <c r="K342" s="29">
        <v>89</v>
      </c>
      <c r="L342" s="29">
        <v>80</v>
      </c>
      <c r="M342" s="29">
        <v>72</v>
      </c>
      <c r="N342" s="29">
        <v>78</v>
      </c>
      <c r="O342" s="32">
        <v>585</v>
      </c>
      <c r="P342" s="29" cm="1">
        <f t="array" ref="P342">IF(表成绩单[[#This Row],[语文]]="","",SUMPRODUCT((表成绩单[考试日期]=表成绩单[[#This Row],[考试日期]])*(表成绩单[语文]&lt;9E+307)*(表成绩单[语文]&gt;表成绩单[[#This Row],[语文]]))+1)</f>
        <v>452</v>
      </c>
      <c r="Q342" s="29" cm="1">
        <f t="array" ref="Q342">IF(表成绩单[[#This Row],[数学]]="","",SUMPRODUCT((表成绩单[考试日期]=表成绩单[[#This Row],[考试日期]])*(表成绩单[数学]&lt;9E+307)*(表成绩单[数学]&gt;表成绩单[[#This Row],[数学]]))+1)</f>
        <v>374</v>
      </c>
      <c r="R342" s="29" cm="1">
        <f t="array" ref="R342">IF(表成绩单[[#This Row],[英语]]="","",SUMPRODUCT((表成绩单[考试日期]=表成绩单[[#This Row],[考试日期]])*(表成绩单[英语]&lt;9E+307)*(表成绩单[英语]&gt;表成绩单[[#This Row],[英语]]))+1)</f>
        <v>454</v>
      </c>
      <c r="S342" s="29" cm="1">
        <f t="array" ref="S342">IF(表成绩单[[#This Row],[物理]]="","",SUMPRODUCT((表成绩单[考试日期]=表成绩单[[#This Row],[考试日期]])*(表成绩单[物理]&lt;9E+307)*(表成绩单[物理]&gt;表成绩单[[#This Row],[物理]]))+1)</f>
        <v>18</v>
      </c>
      <c r="T342" s="29" cm="1">
        <f t="array" ref="T342">IF(表成绩单[[#This Row],[化学]]="","",SUMPRODUCT((表成绩单[考试日期]=表成绩单[[#This Row],[考试日期]])*(表成绩单[化学]&lt;9E+307)*(表成绩单[化学]&gt;表成绩单[[#This Row],[化学]]))+1)</f>
        <v>129</v>
      </c>
      <c r="U342" s="29" cm="1">
        <f t="array" ref="U342">IF(表成绩单[[#This Row],[政治]]="","",SUMPRODUCT((表成绩单[考试日期]=表成绩单[[#This Row],[考试日期]])*(表成绩单[政治]&lt;9E+307)*(表成绩单[政治]&gt;表成绩单[[#This Row],[政治]]))+1)</f>
        <v>448</v>
      </c>
      <c r="V342" s="29" cm="1">
        <f t="array" ref="V342">IF(表成绩单[[#This Row],[历史]]="","",SUMPRODUCT((表成绩单[考试日期]=表成绩单[[#This Row],[考试日期]])*(表成绩单[历史]&lt;9E+307)*(表成绩单[历史]&gt;表成绩单[[#This Row],[历史]]))+1)</f>
        <v>189</v>
      </c>
      <c r="W342" s="29" cm="1">
        <f t="array" ref="W342">IF(表成绩单[[#This Row],[总分]]="","",SUMPRODUCT((表成绩单[考试日期]=表成绩单[[#This Row],[考试日期]])*(表成绩单[总分]&lt;9E+307)*(表成绩单[总分]&gt;表成绩单[[#This Row],[总分]]))+1)</f>
        <v>337</v>
      </c>
    </row>
    <row r="343" ht="28" customHeight="1" spans="4:23">
      <c r="D343" s="31">
        <v>45975</v>
      </c>
      <c r="E343" s="29">
        <v>19174806</v>
      </c>
      <c r="F343" s="29" t="s">
        <v>69</v>
      </c>
      <c r="G343" s="29" t="s">
        <v>416</v>
      </c>
      <c r="H343" s="29">
        <v>99</v>
      </c>
      <c r="I343" s="29">
        <v>102</v>
      </c>
      <c r="J343" s="29">
        <v>75.5</v>
      </c>
      <c r="K343" s="29">
        <v>85</v>
      </c>
      <c r="L343" s="29">
        <v>69</v>
      </c>
      <c r="M343" s="29">
        <v>77</v>
      </c>
      <c r="N343" s="29">
        <v>77</v>
      </c>
      <c r="O343" s="32">
        <v>584.5</v>
      </c>
      <c r="P343" s="29" cm="1">
        <f t="array" ref="P343">IF(表成绩单[[#This Row],[语文]]="","",SUMPRODUCT((表成绩单[考试日期]=表成绩单[[#This Row],[考试日期]])*(表成绩单[语文]&lt;9E+307)*(表成绩单[语文]&gt;表成绩单[[#This Row],[语文]]))+1)</f>
        <v>264</v>
      </c>
      <c r="Q343" s="29" cm="1">
        <f t="array" ref="Q343">IF(表成绩单[[#This Row],[数学]]="","",SUMPRODUCT((表成绩单[考试日期]=表成绩单[[#This Row],[考试日期]])*(表成绩单[数学]&lt;9E+307)*(表成绩单[数学]&gt;表成绩单[[#This Row],[数学]]))+1)</f>
        <v>298</v>
      </c>
      <c r="R343" s="29" cm="1">
        <f t="array" ref="R343">IF(表成绩单[[#This Row],[英语]]="","",SUMPRODUCT((表成绩单[考试日期]=表成绩单[[#This Row],[考试日期]])*(表成绩单[英语]&lt;9E+307)*(表成绩单[英语]&gt;表成绩单[[#This Row],[英语]]))+1)</f>
        <v>418</v>
      </c>
      <c r="S343" s="29" cm="1">
        <f t="array" ref="S343">IF(表成绩单[[#This Row],[物理]]="","",SUMPRODUCT((表成绩单[考试日期]=表成绩单[[#This Row],[考试日期]])*(表成绩单[物理]&lt;9E+307)*(表成绩单[物理]&gt;表成绩单[[#This Row],[物理]]))+1)</f>
        <v>263</v>
      </c>
      <c r="T343" s="29" cm="1">
        <f t="array" ref="T343">IF(表成绩单[[#This Row],[化学]]="","",SUMPRODUCT((表成绩单[考试日期]=表成绩单[[#This Row],[考试日期]])*(表成绩单[化学]&lt;9E+307)*(表成绩单[化学]&gt;表成绩单[[#This Row],[化学]]))+1)</f>
        <v>478</v>
      </c>
      <c r="U343" s="29" cm="1">
        <f t="array" ref="U343">IF(表成绩单[[#This Row],[政治]]="","",SUMPRODUCT((表成绩单[考试日期]=表成绩单[[#This Row],[考试日期]])*(表成绩单[政治]&lt;9E+307)*(表成绩单[政治]&gt;表成绩单[[#This Row],[政治]]))+1)</f>
        <v>304</v>
      </c>
      <c r="V343" s="29" cm="1">
        <f t="array" ref="V343">IF(表成绩单[[#This Row],[历史]]="","",SUMPRODUCT((表成绩单[考试日期]=表成绩单[[#This Row],[考试日期]])*(表成绩单[历史]&lt;9E+307)*(表成绩单[历史]&gt;表成绩单[[#This Row],[历史]]))+1)</f>
        <v>237</v>
      </c>
      <c r="W343" s="29" cm="1">
        <f t="array" ref="W343">IF(表成绩单[[#This Row],[总分]]="","",SUMPRODUCT((表成绩单[考试日期]=表成绩单[[#This Row],[考试日期]])*(表成绩单[总分]&lt;9E+307)*(表成绩单[总分]&gt;表成绩单[[#This Row],[总分]]))+1)</f>
        <v>339</v>
      </c>
    </row>
    <row r="344" ht="28" customHeight="1" spans="4:23">
      <c r="D344" s="31">
        <v>45975</v>
      </c>
      <c r="E344" s="29">
        <v>19175394</v>
      </c>
      <c r="F344" s="29" t="s">
        <v>74</v>
      </c>
      <c r="G344" s="29" t="s">
        <v>417</v>
      </c>
      <c r="H344" s="29">
        <v>94</v>
      </c>
      <c r="I344" s="29">
        <v>106</v>
      </c>
      <c r="J344" s="29">
        <v>75.5</v>
      </c>
      <c r="K344" s="29">
        <v>89</v>
      </c>
      <c r="L344" s="29">
        <v>74</v>
      </c>
      <c r="M344" s="29">
        <v>74</v>
      </c>
      <c r="N344" s="29">
        <v>72</v>
      </c>
      <c r="O344" s="32">
        <v>584.5</v>
      </c>
      <c r="P344" s="29" cm="1">
        <f t="array" ref="P344">IF(表成绩单[[#This Row],[语文]]="","",SUMPRODUCT((表成绩单[考试日期]=表成绩单[[#This Row],[考试日期]])*(表成绩单[语文]&lt;9E+307)*(表成绩单[语文]&gt;表成绩单[[#This Row],[语文]]))+1)</f>
        <v>452</v>
      </c>
      <c r="Q344" s="29" cm="1">
        <f t="array" ref="Q344">IF(表成绩单[[#This Row],[数学]]="","",SUMPRODUCT((表成绩单[考试日期]=表成绩单[[#This Row],[考试日期]])*(表成绩单[数学]&lt;9E+307)*(表成绩单[数学]&gt;表成绩单[[#This Row],[数学]]))+1)</f>
        <v>220</v>
      </c>
      <c r="R344" s="29" cm="1">
        <f t="array" ref="R344">IF(表成绩单[[#This Row],[英语]]="","",SUMPRODUCT((表成绩单[考试日期]=表成绩单[[#This Row],[考试日期]])*(表成绩单[英语]&lt;9E+307)*(表成绩单[英语]&gt;表成绩单[[#This Row],[英语]]))+1)</f>
        <v>418</v>
      </c>
      <c r="S344" s="29" cm="1">
        <f t="array" ref="S344">IF(表成绩单[[#This Row],[物理]]="","",SUMPRODUCT((表成绩单[考试日期]=表成绩单[[#This Row],[考试日期]])*(表成绩单[物理]&lt;9E+307)*(表成绩单[物理]&gt;表成绩单[[#This Row],[物理]]))+1)</f>
        <v>18</v>
      </c>
      <c r="T344" s="29" cm="1">
        <f t="array" ref="T344">IF(表成绩单[[#This Row],[化学]]="","",SUMPRODUCT((表成绩单[考试日期]=表成绩单[[#This Row],[考试日期]])*(表成绩单[化学]&lt;9E+307)*(表成绩单[化学]&gt;表成绩单[[#This Row],[化学]]))+1)</f>
        <v>337</v>
      </c>
      <c r="U344" s="29" cm="1">
        <f t="array" ref="U344">IF(表成绩单[[#This Row],[政治]]="","",SUMPRODUCT((表成绩单[考试日期]=表成绩单[[#This Row],[考试日期]])*(表成绩单[政治]&lt;9E+307)*(表成绩单[政治]&gt;表成绩单[[#This Row],[政治]]))+1)</f>
        <v>389</v>
      </c>
      <c r="V344" s="29" cm="1">
        <f t="array" ref="V344">IF(表成绩单[[#This Row],[历史]]="","",SUMPRODUCT((表成绩单[考试日期]=表成绩单[[#This Row],[考试日期]])*(表成绩单[历史]&lt;9E+307)*(表成绩单[历史]&gt;表成绩单[[#This Row],[历史]]))+1)</f>
        <v>438</v>
      </c>
      <c r="W344" s="29" cm="1">
        <f t="array" ref="W344">IF(表成绩单[[#This Row],[总分]]="","",SUMPRODUCT((表成绩单[考试日期]=表成绩单[[#This Row],[考试日期]])*(表成绩单[总分]&lt;9E+307)*(表成绩单[总分]&gt;表成绩单[[#This Row],[总分]]))+1)</f>
        <v>339</v>
      </c>
    </row>
    <row r="345" ht="28" customHeight="1" spans="4:23">
      <c r="D345" s="31">
        <v>45975</v>
      </c>
      <c r="E345" s="29">
        <v>19177632</v>
      </c>
      <c r="F345" s="29" t="s">
        <v>63</v>
      </c>
      <c r="G345" s="29" t="s">
        <v>418</v>
      </c>
      <c r="H345" s="29">
        <v>95</v>
      </c>
      <c r="I345" s="29">
        <v>101</v>
      </c>
      <c r="J345" s="29">
        <v>77.5</v>
      </c>
      <c r="K345" s="29">
        <v>85</v>
      </c>
      <c r="L345" s="29">
        <v>71</v>
      </c>
      <c r="M345" s="29">
        <v>77</v>
      </c>
      <c r="N345" s="29">
        <v>78</v>
      </c>
      <c r="O345" s="32">
        <v>584.5</v>
      </c>
      <c r="P345" s="29" cm="1">
        <f t="array" ref="P345">IF(表成绩单[[#This Row],[语文]]="","",SUMPRODUCT((表成绩单[考试日期]=表成绩单[[#This Row],[考试日期]])*(表成绩单[语文]&lt;9E+307)*(表成绩单[语文]&gt;表成绩单[[#This Row],[语文]]))+1)</f>
        <v>420</v>
      </c>
      <c r="Q345" s="29" cm="1">
        <f t="array" ref="Q345">IF(表成绩单[[#This Row],[数学]]="","",SUMPRODUCT((表成绩单[考试日期]=表成绩单[[#This Row],[考试日期]])*(表成绩单[数学]&lt;9E+307)*(表成绩单[数学]&gt;表成绩单[[#This Row],[数学]]))+1)</f>
        <v>319</v>
      </c>
      <c r="R345" s="29" cm="1">
        <f t="array" ref="R345">IF(表成绩单[[#This Row],[英语]]="","",SUMPRODUCT((表成绩单[考试日期]=表成绩单[[#This Row],[考试日期]])*(表成绩单[英语]&lt;9E+307)*(表成绩单[英语]&gt;表成绩单[[#This Row],[英语]]))+1)</f>
        <v>345</v>
      </c>
      <c r="S345" s="29" cm="1">
        <f t="array" ref="S345">IF(表成绩单[[#This Row],[物理]]="","",SUMPRODUCT((表成绩单[考试日期]=表成绩单[[#This Row],[考试日期]])*(表成绩单[物理]&lt;9E+307)*(表成绩单[物理]&gt;表成绩单[[#This Row],[物理]]))+1)</f>
        <v>263</v>
      </c>
      <c r="T345" s="29" cm="1">
        <f t="array" ref="T345">IF(表成绩单[[#This Row],[化学]]="","",SUMPRODUCT((表成绩单[考试日期]=表成绩单[[#This Row],[考试日期]])*(表成绩单[化学]&lt;9E+307)*(表成绩单[化学]&gt;表成绩单[[#This Row],[化学]]))+1)</f>
        <v>432</v>
      </c>
      <c r="U345" s="29" cm="1">
        <f t="array" ref="U345">IF(表成绩单[[#This Row],[政治]]="","",SUMPRODUCT((表成绩单[考试日期]=表成绩单[[#This Row],[考试日期]])*(表成绩单[政治]&lt;9E+307)*(表成绩单[政治]&gt;表成绩单[[#This Row],[政治]]))+1)</f>
        <v>304</v>
      </c>
      <c r="V345" s="29" cm="1">
        <f t="array" ref="V345">IF(表成绩单[[#This Row],[历史]]="","",SUMPRODUCT((表成绩单[考试日期]=表成绩单[[#This Row],[考试日期]])*(表成绩单[历史]&lt;9E+307)*(表成绩单[历史]&gt;表成绩单[[#This Row],[历史]]))+1)</f>
        <v>189</v>
      </c>
      <c r="W345" s="29" cm="1">
        <f t="array" ref="W345">IF(表成绩单[[#This Row],[总分]]="","",SUMPRODUCT((表成绩单[考试日期]=表成绩单[[#This Row],[考试日期]])*(表成绩单[总分]&lt;9E+307)*(表成绩单[总分]&gt;表成绩单[[#This Row],[总分]]))+1)</f>
        <v>339</v>
      </c>
    </row>
    <row r="346" ht="28" customHeight="1" spans="4:23">
      <c r="D346" s="31">
        <v>45975</v>
      </c>
      <c r="E346" s="29">
        <v>19167644</v>
      </c>
      <c r="F346" s="29" t="s">
        <v>1</v>
      </c>
      <c r="G346" s="29" t="s">
        <v>419</v>
      </c>
      <c r="H346" s="29">
        <v>94</v>
      </c>
      <c r="I346" s="29">
        <v>108</v>
      </c>
      <c r="J346" s="29">
        <v>78.5</v>
      </c>
      <c r="K346" s="29">
        <v>85</v>
      </c>
      <c r="L346" s="29">
        <v>75</v>
      </c>
      <c r="M346" s="29">
        <v>65</v>
      </c>
      <c r="N346" s="29">
        <v>78</v>
      </c>
      <c r="O346" s="32">
        <v>583.5</v>
      </c>
      <c r="P346" s="29" cm="1">
        <f t="array" ref="P346">IF(表成绩单[[#This Row],[语文]]="","",SUMPRODUCT((表成绩单[考试日期]=表成绩单[[#This Row],[考试日期]])*(表成绩单[语文]&lt;9E+307)*(表成绩单[语文]&gt;表成绩单[[#This Row],[语文]]))+1)</f>
        <v>452</v>
      </c>
      <c r="Q346" s="29" cm="1">
        <f t="array" ref="Q346">IF(表成绩单[[#This Row],[数学]]="","",SUMPRODUCT((表成绩单[考试日期]=表成绩单[[#This Row],[考试日期]])*(表成绩单[数学]&lt;9E+307)*(表成绩单[数学]&gt;表成绩单[[#This Row],[数学]]))+1)</f>
        <v>182</v>
      </c>
      <c r="R346" s="29" cm="1">
        <f t="array" ref="R346">IF(表成绩单[[#This Row],[英语]]="","",SUMPRODUCT((表成绩单[考试日期]=表成绩单[[#This Row],[考试日期]])*(表成绩单[英语]&lt;9E+307)*(表成绩单[英语]&gt;表成绩单[[#This Row],[英语]]))+1)</f>
        <v>314</v>
      </c>
      <c r="S346" s="29" cm="1">
        <f t="array" ref="S346">IF(表成绩单[[#This Row],[物理]]="","",SUMPRODUCT((表成绩单[考试日期]=表成绩单[[#This Row],[考试日期]])*(表成绩单[物理]&lt;9E+307)*(表成绩单[物理]&gt;表成绩单[[#This Row],[物理]]))+1)</f>
        <v>263</v>
      </c>
      <c r="T346" s="29" cm="1">
        <f t="array" ref="T346">IF(表成绩单[[#This Row],[化学]]="","",SUMPRODUCT((表成绩单[考试日期]=表成绩单[[#This Row],[考试日期]])*(表成绩单[化学]&lt;9E+307)*(表成绩单[化学]&gt;表成绩单[[#This Row],[化学]]))+1)</f>
        <v>310</v>
      </c>
      <c r="U346" s="29" cm="1">
        <f t="array" ref="U346">IF(表成绩单[[#This Row],[政治]]="","",SUMPRODUCT((表成绩单[考试日期]=表成绩单[[#This Row],[考试日期]])*(表成绩单[政治]&lt;9E+307)*(表成绩单[政治]&gt;表成绩单[[#This Row],[政治]]))+1)</f>
        <v>579</v>
      </c>
      <c r="V346" s="29" cm="1">
        <f t="array" ref="V346">IF(表成绩单[[#This Row],[历史]]="","",SUMPRODUCT((表成绩单[考试日期]=表成绩单[[#This Row],[考试日期]])*(表成绩单[历史]&lt;9E+307)*(表成绩单[历史]&gt;表成绩单[[#This Row],[历史]]))+1)</f>
        <v>189</v>
      </c>
      <c r="W346" s="29" cm="1">
        <f t="array" ref="W346">IF(表成绩单[[#This Row],[总分]]="","",SUMPRODUCT((表成绩单[考试日期]=表成绩单[[#This Row],[考试日期]])*(表成绩单[总分]&lt;9E+307)*(表成绩单[总分]&gt;表成绩单[[#This Row],[总分]]))+1)</f>
        <v>342</v>
      </c>
    </row>
    <row r="347" ht="28" customHeight="1" spans="4:23">
      <c r="D347" s="31">
        <v>45975</v>
      </c>
      <c r="E347" s="29">
        <v>19177616</v>
      </c>
      <c r="F347" s="29" t="s">
        <v>58</v>
      </c>
      <c r="G347" s="29" t="s">
        <v>420</v>
      </c>
      <c r="H347" s="29">
        <v>95</v>
      </c>
      <c r="I347" s="29">
        <v>113</v>
      </c>
      <c r="J347" s="29">
        <v>73.5</v>
      </c>
      <c r="K347" s="29">
        <v>86</v>
      </c>
      <c r="L347" s="29">
        <v>72</v>
      </c>
      <c r="M347" s="29">
        <v>68</v>
      </c>
      <c r="N347" s="29">
        <v>76</v>
      </c>
      <c r="O347" s="32">
        <v>583.5</v>
      </c>
      <c r="P347" s="29" cm="1">
        <f t="array" ref="P347">IF(表成绩单[[#This Row],[语文]]="","",SUMPRODUCT((表成绩单[考试日期]=表成绩单[[#This Row],[考试日期]])*(表成绩单[语文]&lt;9E+307)*(表成绩单[语文]&gt;表成绩单[[#This Row],[语文]]))+1)</f>
        <v>420</v>
      </c>
      <c r="Q347" s="29" cm="1">
        <f t="array" ref="Q347">IF(表成绩单[[#This Row],[数学]]="","",SUMPRODUCT((表成绩单[考试日期]=表成绩单[[#This Row],[考试日期]])*(表成绩单[数学]&lt;9E+307)*(表成绩单[数学]&gt;表成绩单[[#This Row],[数学]]))+1)</f>
        <v>93</v>
      </c>
      <c r="R347" s="29" cm="1">
        <f t="array" ref="R347">IF(表成绩单[[#This Row],[英语]]="","",SUMPRODUCT((表成绩单[考试日期]=表成绩单[[#This Row],[考试日期]])*(表成绩单[英语]&lt;9E+307)*(表成绩单[英语]&gt;表成绩单[[#This Row],[英语]]))+1)</f>
        <v>470</v>
      </c>
      <c r="S347" s="29" cm="1">
        <f t="array" ref="S347">IF(表成绩单[[#This Row],[物理]]="","",SUMPRODUCT((表成绩单[考试日期]=表成绩单[[#This Row],[考试日期]])*(表成绩单[物理]&lt;9E+307)*(表成绩单[物理]&gt;表成绩单[[#This Row],[物理]]))+1)</f>
        <v>187</v>
      </c>
      <c r="T347" s="29" cm="1">
        <f t="array" ref="T347">IF(表成绩单[[#This Row],[化学]]="","",SUMPRODUCT((表成绩单[考试日期]=表成绩单[[#This Row],[考试日期]])*(表成绩单[化学]&lt;9E+307)*(表成绩单[化学]&gt;表成绩单[[#This Row],[化学]]))+1)</f>
        <v>405</v>
      </c>
      <c r="U347" s="29" cm="1">
        <f t="array" ref="U347">IF(表成绩单[[#This Row],[政治]]="","",SUMPRODUCT((表成绩单[考试日期]=表成绩单[[#This Row],[考试日期]])*(表成绩单[政治]&lt;9E+307)*(表成绩单[政治]&gt;表成绩单[[#This Row],[政治]]))+1)</f>
        <v>527</v>
      </c>
      <c r="V347" s="29" cm="1">
        <f t="array" ref="V347">IF(表成绩单[[#This Row],[历史]]="","",SUMPRODUCT((表成绩单[考试日期]=表成绩单[[#This Row],[考试日期]])*(表成绩单[历史]&lt;9E+307)*(表成绩单[历史]&gt;表成绩单[[#This Row],[历史]]))+1)</f>
        <v>278</v>
      </c>
      <c r="W347" s="29" cm="1">
        <f t="array" ref="W347">IF(表成绩单[[#This Row],[总分]]="","",SUMPRODUCT((表成绩单[考试日期]=表成绩单[[#This Row],[考试日期]])*(表成绩单[总分]&lt;9E+307)*(表成绩单[总分]&gt;表成绩单[[#This Row],[总分]]))+1)</f>
        <v>342</v>
      </c>
    </row>
    <row r="348" ht="28" customHeight="1" spans="4:23">
      <c r="D348" s="31">
        <v>45975</v>
      </c>
      <c r="E348" s="29">
        <v>19176887</v>
      </c>
      <c r="F348" s="29" t="s">
        <v>71</v>
      </c>
      <c r="G348" s="29" t="s">
        <v>421</v>
      </c>
      <c r="H348" s="29">
        <v>99</v>
      </c>
      <c r="I348" s="29">
        <v>103</v>
      </c>
      <c r="J348" s="29">
        <v>64</v>
      </c>
      <c r="K348" s="29">
        <v>86</v>
      </c>
      <c r="L348" s="29">
        <v>77</v>
      </c>
      <c r="M348" s="29">
        <v>79</v>
      </c>
      <c r="N348" s="29">
        <v>75</v>
      </c>
      <c r="O348" s="32">
        <v>583</v>
      </c>
      <c r="P348" s="29" cm="1">
        <f t="array" ref="P348">IF(表成绩单[[#This Row],[语文]]="","",SUMPRODUCT((表成绩单[考试日期]=表成绩单[[#This Row],[考试日期]])*(表成绩单[语文]&lt;9E+307)*(表成绩单[语文]&gt;表成绩单[[#This Row],[语文]]))+1)</f>
        <v>264</v>
      </c>
      <c r="Q348" s="29" cm="1">
        <f t="array" ref="Q348">IF(表成绩单[[#This Row],[数学]]="","",SUMPRODUCT((表成绩单[考试日期]=表成绩单[[#This Row],[考试日期]])*(表成绩单[数学]&lt;9E+307)*(表成绩单[数学]&gt;表成绩单[[#This Row],[数学]]))+1)</f>
        <v>277</v>
      </c>
      <c r="R348" s="29" cm="1">
        <f t="array" ref="R348">IF(表成绩单[[#This Row],[英语]]="","",SUMPRODUCT((表成绩单[考试日期]=表成绩单[[#This Row],[考试日期]])*(表成绩单[英语]&lt;9E+307)*(表成绩单[英语]&gt;表成绩单[[#This Row],[英语]]))+1)</f>
        <v>630</v>
      </c>
      <c r="S348" s="29" cm="1">
        <f t="array" ref="S348">IF(表成绩单[[#This Row],[物理]]="","",SUMPRODUCT((表成绩单[考试日期]=表成绩单[[#This Row],[考试日期]])*(表成绩单[物理]&lt;9E+307)*(表成绩单[物理]&gt;表成绩单[[#This Row],[物理]]))+1)</f>
        <v>187</v>
      </c>
      <c r="T348" s="29" cm="1">
        <f t="array" ref="T348">IF(表成绩单[[#This Row],[化学]]="","",SUMPRODUCT((表成绩单[考试日期]=表成绩单[[#This Row],[考试日期]])*(表成绩单[化学]&lt;9E+307)*(表成绩单[化学]&gt;表成绩单[[#This Row],[化学]]))+1)</f>
        <v>239</v>
      </c>
      <c r="U348" s="29" cm="1">
        <f t="array" ref="U348">IF(表成绩单[[#This Row],[政治]]="","",SUMPRODUCT((表成绩单[考试日期]=表成绩单[[#This Row],[考试日期]])*(表成绩单[政治]&lt;9E+307)*(表成绩单[政治]&gt;表成绩单[[#This Row],[政治]]))+1)</f>
        <v>246</v>
      </c>
      <c r="V348" s="29" cm="1">
        <f t="array" ref="V348">IF(表成绩单[[#This Row],[历史]]="","",SUMPRODUCT((表成绩单[考试日期]=表成绩单[[#This Row],[考试日期]])*(表成绩单[历史]&lt;9E+307)*(表成绩单[历史]&gt;表成绩单[[#This Row],[历史]]))+1)</f>
        <v>315</v>
      </c>
      <c r="W348" s="29" cm="1">
        <f t="array" ref="W348">IF(表成绩单[[#This Row],[总分]]="","",SUMPRODUCT((表成绩单[考试日期]=表成绩单[[#This Row],[考试日期]])*(表成绩单[总分]&lt;9E+307)*(表成绩单[总分]&gt;表成绩单[[#This Row],[总分]]))+1)</f>
        <v>344</v>
      </c>
    </row>
    <row r="349" ht="28" customHeight="1" spans="4:23">
      <c r="D349" s="31">
        <v>45975</v>
      </c>
      <c r="E349" s="29">
        <v>19176172</v>
      </c>
      <c r="F349" s="29" t="s">
        <v>67</v>
      </c>
      <c r="G349" s="29" t="s">
        <v>422</v>
      </c>
      <c r="H349" s="29">
        <v>91</v>
      </c>
      <c r="I349" s="29">
        <v>100</v>
      </c>
      <c r="J349" s="29">
        <v>74.5</v>
      </c>
      <c r="K349" s="29">
        <v>89</v>
      </c>
      <c r="L349" s="29">
        <v>82</v>
      </c>
      <c r="M349" s="29">
        <v>74</v>
      </c>
      <c r="N349" s="29">
        <v>72</v>
      </c>
      <c r="O349" s="32">
        <v>582.5</v>
      </c>
      <c r="P349" s="29" cm="1">
        <f t="array" ref="P349">IF(表成绩单[[#This Row],[语文]]="","",SUMPRODUCT((表成绩单[考试日期]=表成绩单[[#This Row],[考试日期]])*(表成绩单[语文]&lt;9E+307)*(表成绩单[语文]&gt;表成绩单[[#This Row],[语文]]))+1)</f>
        <v>536</v>
      </c>
      <c r="Q349" s="29" cm="1">
        <f t="array" ref="Q349">IF(表成绩单[[#This Row],[数学]]="","",SUMPRODUCT((表成绩单[考试日期]=表成绩单[[#This Row],[考试日期]])*(表成绩单[数学]&lt;9E+307)*(表成绩单[数学]&gt;表成绩单[[#This Row],[数学]]))+1)</f>
        <v>340</v>
      </c>
      <c r="R349" s="29" cm="1">
        <f t="array" ref="R349">IF(表成绩单[[#This Row],[英语]]="","",SUMPRODUCT((表成绩单[考试日期]=表成绩单[[#This Row],[考试日期]])*(表成绩单[英语]&lt;9E+307)*(表成绩单[英语]&gt;表成绩单[[#This Row],[英语]]))+1)</f>
        <v>445</v>
      </c>
      <c r="S349" s="29" cm="1">
        <f t="array" ref="S349">IF(表成绩单[[#This Row],[物理]]="","",SUMPRODUCT((表成绩单[考试日期]=表成绩单[[#This Row],[考试日期]])*(表成绩单[物理]&lt;9E+307)*(表成绩单[物理]&gt;表成绩单[[#This Row],[物理]]))+1)</f>
        <v>18</v>
      </c>
      <c r="T349" s="29" cm="1">
        <f t="array" ref="T349">IF(表成绩单[[#This Row],[化学]]="","",SUMPRODUCT((表成绩单[考试日期]=表成绩单[[#This Row],[考试日期]])*(表成绩单[化学]&lt;9E+307)*(表成绩单[化学]&gt;表成绩单[[#This Row],[化学]]))+1)</f>
        <v>71</v>
      </c>
      <c r="U349" s="29" cm="1">
        <f t="array" ref="U349">IF(表成绩单[[#This Row],[政治]]="","",SUMPRODUCT((表成绩单[考试日期]=表成绩单[[#This Row],[考试日期]])*(表成绩单[政治]&lt;9E+307)*(表成绩单[政治]&gt;表成绩单[[#This Row],[政治]]))+1)</f>
        <v>389</v>
      </c>
      <c r="V349" s="29" cm="1">
        <f t="array" ref="V349">IF(表成绩单[[#This Row],[历史]]="","",SUMPRODUCT((表成绩单[考试日期]=表成绩单[[#This Row],[考试日期]])*(表成绩单[历史]&lt;9E+307)*(表成绩单[历史]&gt;表成绩单[[#This Row],[历史]]))+1)</f>
        <v>438</v>
      </c>
      <c r="W349" s="29" cm="1">
        <f t="array" ref="W349">IF(表成绩单[[#This Row],[总分]]="","",SUMPRODUCT((表成绩单[考试日期]=表成绩单[[#This Row],[考试日期]])*(表成绩单[总分]&lt;9E+307)*(表成绩单[总分]&gt;表成绩单[[#This Row],[总分]]))+1)</f>
        <v>345</v>
      </c>
    </row>
    <row r="350" ht="28" customHeight="1" spans="4:23">
      <c r="D350" s="31">
        <v>45975</v>
      </c>
      <c r="E350" s="29">
        <v>19177673</v>
      </c>
      <c r="F350" s="29" t="s">
        <v>63</v>
      </c>
      <c r="G350" s="29" t="s">
        <v>423</v>
      </c>
      <c r="H350" s="29">
        <v>108</v>
      </c>
      <c r="I350" s="29">
        <v>96</v>
      </c>
      <c r="J350" s="29">
        <v>75.5</v>
      </c>
      <c r="K350" s="29">
        <v>83</v>
      </c>
      <c r="L350" s="29">
        <v>75</v>
      </c>
      <c r="M350" s="29">
        <v>74</v>
      </c>
      <c r="N350" s="29">
        <v>71</v>
      </c>
      <c r="O350" s="32">
        <v>582.5</v>
      </c>
      <c r="P350" s="29" cm="1">
        <f t="array" ref="P350">IF(表成绩单[[#This Row],[语文]]="","",SUMPRODUCT((表成绩单[考试日期]=表成绩单[[#This Row],[考试日期]])*(表成绩单[语文]&lt;9E+307)*(表成绩单[语文]&gt;表成绩单[[#This Row],[语文]]))+1)</f>
        <v>27</v>
      </c>
      <c r="Q350" s="29" cm="1">
        <f t="array" ref="Q350">IF(表成绩单[[#This Row],[数学]]="","",SUMPRODUCT((表成绩单[考试日期]=表成绩单[[#This Row],[考试日期]])*(表成绩单[数学]&lt;9E+307)*(表成绩单[数学]&gt;表成绩单[[#This Row],[数学]]))+1)</f>
        <v>413</v>
      </c>
      <c r="R350" s="29" cm="1">
        <f t="array" ref="R350">IF(表成绩单[[#This Row],[英语]]="","",SUMPRODUCT((表成绩单[考试日期]=表成绩单[[#This Row],[考试日期]])*(表成绩单[英语]&lt;9E+307)*(表成绩单[英语]&gt;表成绩单[[#This Row],[英语]]))+1)</f>
        <v>418</v>
      </c>
      <c r="S350" s="29" cm="1">
        <f t="array" ref="S350">IF(表成绩单[[#This Row],[物理]]="","",SUMPRODUCT((表成绩单[考试日期]=表成绩单[[#This Row],[考试日期]])*(表成绩单[物理]&lt;9E+307)*(表成绩单[物理]&gt;表成绩单[[#This Row],[物理]]))+1)</f>
        <v>390</v>
      </c>
      <c r="T350" s="29" cm="1">
        <f t="array" ref="T350">IF(表成绩单[[#This Row],[化学]]="","",SUMPRODUCT((表成绩单[考试日期]=表成绩单[[#This Row],[考试日期]])*(表成绩单[化学]&lt;9E+307)*(表成绩单[化学]&gt;表成绩单[[#This Row],[化学]]))+1)</f>
        <v>310</v>
      </c>
      <c r="U350" s="29" cm="1">
        <f t="array" ref="U350">IF(表成绩单[[#This Row],[政治]]="","",SUMPRODUCT((表成绩单[考试日期]=表成绩单[[#This Row],[考试日期]])*(表成绩单[政治]&lt;9E+307)*(表成绩单[政治]&gt;表成绩单[[#This Row],[政治]]))+1)</f>
        <v>389</v>
      </c>
      <c r="V350" s="29" cm="1">
        <f t="array" ref="V350">IF(表成绩单[[#This Row],[历史]]="","",SUMPRODUCT((表成绩单[考试日期]=表成绩单[[#This Row],[考试日期]])*(表成绩单[历史]&lt;9E+307)*(表成绩单[历史]&gt;表成绩单[[#This Row],[历史]]))+1)</f>
        <v>480</v>
      </c>
      <c r="W350" s="29" cm="1">
        <f t="array" ref="W350">IF(表成绩单[[#This Row],[总分]]="","",SUMPRODUCT((表成绩单[考试日期]=表成绩单[[#This Row],[考试日期]])*(表成绩单[总分]&lt;9E+307)*(表成绩单[总分]&gt;表成绩单[[#This Row],[总分]]))+1)</f>
        <v>345</v>
      </c>
    </row>
    <row r="351" ht="28" customHeight="1" spans="4:23">
      <c r="D351" s="31">
        <v>45975</v>
      </c>
      <c r="E351" s="29">
        <v>19173764</v>
      </c>
      <c r="F351" s="29" t="s">
        <v>65</v>
      </c>
      <c r="G351" s="29" t="s">
        <v>424</v>
      </c>
      <c r="H351" s="29">
        <v>99</v>
      </c>
      <c r="I351" s="29">
        <v>94</v>
      </c>
      <c r="J351" s="29">
        <v>76</v>
      </c>
      <c r="K351" s="29">
        <v>82</v>
      </c>
      <c r="L351" s="29">
        <v>71</v>
      </c>
      <c r="M351" s="29">
        <v>84</v>
      </c>
      <c r="N351" s="29">
        <v>76</v>
      </c>
      <c r="O351" s="32">
        <v>582</v>
      </c>
      <c r="P351" s="29" cm="1">
        <f t="array" ref="P351">IF(表成绩单[[#This Row],[语文]]="","",SUMPRODUCT((表成绩单[考试日期]=表成绩单[[#This Row],[考试日期]])*(表成绩单[语文]&lt;9E+307)*(表成绩单[语文]&gt;表成绩单[[#This Row],[语文]]))+1)</f>
        <v>264</v>
      </c>
      <c r="Q351" s="29" cm="1">
        <f t="array" ref="Q351">IF(表成绩单[[#This Row],[数学]]="","",SUMPRODUCT((表成绩单[考试日期]=表成绩单[[#This Row],[考试日期]])*(表成绩单[数学]&lt;9E+307)*(表成绩单[数学]&gt;表成绩单[[#This Row],[数学]]))+1)</f>
        <v>454</v>
      </c>
      <c r="R351" s="29" cm="1">
        <f t="array" ref="R351">IF(表成绩单[[#This Row],[英语]]="","",SUMPRODUCT((表成绩单[考试日期]=表成绩单[[#This Row],[考试日期]])*(表成绩单[英语]&lt;9E+307)*(表成绩单[英语]&gt;表成绩单[[#This Row],[英语]]))+1)</f>
        <v>399</v>
      </c>
      <c r="S351" s="29" cm="1">
        <f t="array" ref="S351">IF(表成绩单[[#This Row],[物理]]="","",SUMPRODUCT((表成绩单[考试日期]=表成绩单[[#This Row],[考试日期]])*(表成绩单[物理]&lt;9E+307)*(表成绩单[物理]&gt;表成绩单[[#This Row],[物理]]))+1)</f>
        <v>433</v>
      </c>
      <c r="T351" s="29" cm="1">
        <f t="array" ref="T351">IF(表成绩单[[#This Row],[化学]]="","",SUMPRODUCT((表成绩单[考试日期]=表成绩单[[#This Row],[考试日期]])*(表成绩单[化学]&lt;9E+307)*(表成绩单[化学]&gt;表成绩单[[#This Row],[化学]]))+1)</f>
        <v>432</v>
      </c>
      <c r="U351" s="29" cm="1">
        <f t="array" ref="U351">IF(表成绩单[[#This Row],[政治]]="","",SUMPRODUCT((表成绩单[考试日期]=表成绩单[[#This Row],[考试日期]])*(表成绩单[政治]&lt;9E+307)*(表成绩单[政治]&gt;表成绩单[[#This Row],[政治]]))+1)</f>
        <v>83</v>
      </c>
      <c r="V351" s="29" cm="1">
        <f t="array" ref="V351">IF(表成绩单[[#This Row],[历史]]="","",SUMPRODUCT((表成绩单[考试日期]=表成绩单[[#This Row],[考试日期]])*(表成绩单[历史]&lt;9E+307)*(表成绩单[历史]&gt;表成绩单[[#This Row],[历史]]))+1)</f>
        <v>278</v>
      </c>
      <c r="W351" s="29" cm="1">
        <f t="array" ref="W351">IF(表成绩单[[#This Row],[总分]]="","",SUMPRODUCT((表成绩单[考试日期]=表成绩单[[#This Row],[考试日期]])*(表成绩单[总分]&lt;9E+307)*(表成绩单[总分]&gt;表成绩单[[#This Row],[总分]]))+1)</f>
        <v>347</v>
      </c>
    </row>
    <row r="352" ht="28" customHeight="1" spans="4:23">
      <c r="D352" s="31">
        <v>45975</v>
      </c>
      <c r="E352" s="29">
        <v>19174471</v>
      </c>
      <c r="F352" s="29" t="s">
        <v>73</v>
      </c>
      <c r="G352" s="29" t="s">
        <v>425</v>
      </c>
      <c r="H352" s="29">
        <v>103</v>
      </c>
      <c r="I352" s="29">
        <v>88</v>
      </c>
      <c r="J352" s="29">
        <v>84</v>
      </c>
      <c r="K352" s="29">
        <v>85</v>
      </c>
      <c r="L352" s="29">
        <v>73</v>
      </c>
      <c r="M352" s="29">
        <v>76</v>
      </c>
      <c r="N352" s="29">
        <v>73</v>
      </c>
      <c r="O352" s="32">
        <v>582</v>
      </c>
      <c r="P352" s="29" cm="1">
        <f t="array" ref="P352">IF(表成绩单[[#This Row],[语文]]="","",SUMPRODUCT((表成绩单[考试日期]=表成绩单[[#This Row],[考试日期]])*(表成绩单[语文]&lt;9E+307)*(表成绩单[语文]&gt;表成绩单[[#This Row],[语文]]))+1)</f>
        <v>126</v>
      </c>
      <c r="Q352" s="29" cm="1">
        <f t="array" ref="Q352">IF(表成绩单[[#This Row],[数学]]="","",SUMPRODUCT((表成绩单[考试日期]=表成绩单[[#This Row],[考试日期]])*(表成绩单[数学]&lt;9E+307)*(表成绩单[数学]&gt;表成绩单[[#This Row],[数学]]))+1)</f>
        <v>527</v>
      </c>
      <c r="R352" s="29" cm="1">
        <f t="array" ref="R352">IF(表成绩单[[#This Row],[英语]]="","",SUMPRODUCT((表成绩单[考试日期]=表成绩单[[#This Row],[考试日期]])*(表成绩单[英语]&lt;9E+307)*(表成绩单[英语]&gt;表成绩单[[#This Row],[英语]]))+1)</f>
        <v>102</v>
      </c>
      <c r="S352" s="29" cm="1">
        <f t="array" ref="S352">IF(表成绩单[[#This Row],[物理]]="","",SUMPRODUCT((表成绩单[考试日期]=表成绩单[[#This Row],[考试日期]])*(表成绩单[物理]&lt;9E+307)*(表成绩单[物理]&gt;表成绩单[[#This Row],[物理]]))+1)</f>
        <v>263</v>
      </c>
      <c r="T352" s="29" cm="1">
        <f t="array" ref="T352">IF(表成绩单[[#This Row],[化学]]="","",SUMPRODUCT((表成绩单[考试日期]=表成绩单[[#This Row],[考试日期]])*(表成绩单[化学]&lt;9E+307)*(表成绩单[化学]&gt;表成绩单[[#This Row],[化学]]))+1)</f>
        <v>365</v>
      </c>
      <c r="U352" s="29" cm="1">
        <f t="array" ref="U352">IF(表成绩单[[#This Row],[政治]]="","",SUMPRODUCT((表成绩单[考试日期]=表成绩单[[#This Row],[考试日期]])*(表成绩单[政治]&lt;9E+307)*(表成绩单[政治]&gt;表成绩单[[#This Row],[政治]]))+1)</f>
        <v>329</v>
      </c>
      <c r="V352" s="29" cm="1">
        <f t="array" ref="V352">IF(表成绩单[[#This Row],[历史]]="","",SUMPRODUCT((表成绩单[考试日期]=表成绩单[[#This Row],[考试日期]])*(表成绩单[历史]&lt;9E+307)*(表成绩单[历史]&gt;表成绩单[[#This Row],[历史]]))+1)</f>
        <v>395</v>
      </c>
      <c r="W352" s="29" cm="1">
        <f t="array" ref="W352">IF(表成绩单[[#This Row],[总分]]="","",SUMPRODUCT((表成绩单[考试日期]=表成绩单[[#This Row],[考试日期]])*(表成绩单[总分]&lt;9E+307)*(表成绩单[总分]&gt;表成绩单[[#This Row],[总分]]))+1)</f>
        <v>347</v>
      </c>
    </row>
    <row r="353" ht="28" customHeight="1" spans="4:23">
      <c r="D353" s="31">
        <v>45975</v>
      </c>
      <c r="E353" s="29">
        <v>19174791</v>
      </c>
      <c r="F353" s="29" t="s">
        <v>69</v>
      </c>
      <c r="G353" s="29" t="s">
        <v>426</v>
      </c>
      <c r="H353" s="29">
        <v>97</v>
      </c>
      <c r="I353" s="29">
        <v>97</v>
      </c>
      <c r="J353" s="29">
        <v>83.5</v>
      </c>
      <c r="K353" s="29">
        <v>84</v>
      </c>
      <c r="L353" s="29">
        <v>83</v>
      </c>
      <c r="M353" s="29">
        <v>71</v>
      </c>
      <c r="N353" s="29">
        <v>66</v>
      </c>
      <c r="O353" s="32">
        <v>581.5</v>
      </c>
      <c r="P353" s="29" cm="1">
        <f t="array" ref="P353">IF(表成绩单[[#This Row],[语文]]="","",SUMPRODUCT((表成绩单[考试日期]=表成绩单[[#This Row],[考试日期]])*(表成绩单[语文]&lt;9E+307)*(表成绩单[语文]&gt;表成绩单[[#This Row],[语文]]))+1)</f>
        <v>349</v>
      </c>
      <c r="Q353" s="29" cm="1">
        <f t="array" ref="Q353">IF(表成绩单[[#This Row],[数学]]="","",SUMPRODUCT((表成绩单[考试日期]=表成绩单[[#This Row],[考试日期]])*(表成绩单[数学]&lt;9E+307)*(表成绩单[数学]&gt;表成绩单[[#This Row],[数学]]))+1)</f>
        <v>389</v>
      </c>
      <c r="R353" s="29" cm="1">
        <f t="array" ref="R353">IF(表成绩单[[#This Row],[英语]]="","",SUMPRODUCT((表成绩单[考试日期]=表成绩单[[#This Row],[考试日期]])*(表成绩单[英语]&lt;9E+307)*(表成绩单[英语]&gt;表成绩单[[#This Row],[英语]]))+1)</f>
        <v>128</v>
      </c>
      <c r="S353" s="29" cm="1">
        <f t="array" ref="S353">IF(表成绩单[[#This Row],[物理]]="","",SUMPRODUCT((表成绩单[考试日期]=表成绩单[[#This Row],[考试日期]])*(表成绩单[物理]&lt;9E+307)*(表成绩单[物理]&gt;表成绩单[[#This Row],[物理]]))+1)</f>
        <v>344</v>
      </c>
      <c r="T353" s="29" cm="1">
        <f t="array" ref="T353">IF(表成绩单[[#This Row],[化学]]="","",SUMPRODUCT((表成绩单[考试日期]=表成绩单[[#This Row],[考试日期]])*(表成绩单[化学]&lt;9E+307)*(表成绩单[化学]&gt;表成绩单[[#This Row],[化学]]))+1)</f>
        <v>49</v>
      </c>
      <c r="U353" s="29" cm="1">
        <f t="array" ref="U353">IF(表成绩单[[#This Row],[政治]]="","",SUMPRODUCT((表成绩单[考试日期]=表成绩单[[#This Row],[考试日期]])*(表成绩单[政治]&lt;9E+307)*(表成绩单[政治]&gt;表成绩单[[#This Row],[政治]]))+1)</f>
        <v>467</v>
      </c>
      <c r="V353" s="29" cm="1">
        <f t="array" ref="V353">IF(表成绩单[[#This Row],[历史]]="","",SUMPRODUCT((表成绩单[考试日期]=表成绩单[[#This Row],[考试日期]])*(表成绩单[历史]&lt;9E+307)*(表成绩单[历史]&gt;表成绩单[[#This Row],[历史]]))+1)</f>
        <v>622</v>
      </c>
      <c r="W353" s="29" cm="1">
        <f t="array" ref="W353">IF(表成绩单[[#This Row],[总分]]="","",SUMPRODUCT((表成绩单[考试日期]=表成绩单[[#This Row],[考试日期]])*(表成绩单[总分]&lt;9E+307)*(表成绩单[总分]&gt;表成绩单[[#This Row],[总分]]))+1)</f>
        <v>349</v>
      </c>
    </row>
    <row r="354" ht="28" customHeight="1" spans="4:23">
      <c r="D354" s="31">
        <v>45975</v>
      </c>
      <c r="E354" s="29">
        <v>19175411</v>
      </c>
      <c r="F354" s="29" t="s">
        <v>74</v>
      </c>
      <c r="G354" s="29" t="s">
        <v>427</v>
      </c>
      <c r="H354" s="29">
        <v>101</v>
      </c>
      <c r="I354" s="29">
        <v>112</v>
      </c>
      <c r="J354" s="29">
        <v>78.5</v>
      </c>
      <c r="K354" s="29">
        <v>84</v>
      </c>
      <c r="L354" s="29">
        <v>66</v>
      </c>
      <c r="M354" s="29">
        <v>76</v>
      </c>
      <c r="N354" s="29">
        <v>64</v>
      </c>
      <c r="O354" s="32">
        <v>581.5</v>
      </c>
      <c r="P354" s="29" cm="1">
        <f t="array" ref="P354">IF(表成绩单[[#This Row],[语文]]="","",SUMPRODUCT((表成绩单[考试日期]=表成绩单[[#This Row],[考试日期]])*(表成绩单[语文]&lt;9E+307)*(表成绩单[语文]&gt;表成绩单[[#This Row],[语文]]))+1)</f>
        <v>190</v>
      </c>
      <c r="Q354" s="29" cm="1">
        <f t="array" ref="Q354">IF(表成绩单[[#This Row],[数学]]="","",SUMPRODUCT((表成绩单[考试日期]=表成绩单[[#This Row],[考试日期]])*(表成绩单[数学]&lt;9E+307)*(表成绩单[数学]&gt;表成绩单[[#This Row],[数学]]))+1)</f>
        <v>112</v>
      </c>
      <c r="R354" s="29" cm="1">
        <f t="array" ref="R354">IF(表成绩单[[#This Row],[英语]]="","",SUMPRODUCT((表成绩单[考试日期]=表成绩单[[#This Row],[考试日期]])*(表成绩单[英语]&lt;9E+307)*(表成绩单[英语]&gt;表成绩单[[#This Row],[英语]]))+1)</f>
        <v>314</v>
      </c>
      <c r="S354" s="29" cm="1">
        <f t="array" ref="S354">IF(表成绩单[[#This Row],[物理]]="","",SUMPRODUCT((表成绩单[考试日期]=表成绩单[[#This Row],[考试日期]])*(表成绩单[物理]&lt;9E+307)*(表成绩单[物理]&gt;表成绩单[[#This Row],[物理]]))+1)</f>
        <v>344</v>
      </c>
      <c r="T354" s="29" cm="1">
        <f t="array" ref="T354">IF(表成绩单[[#This Row],[化学]]="","",SUMPRODUCT((表成绩单[考试日期]=表成绩单[[#This Row],[考试日期]])*(表成绩单[化学]&lt;9E+307)*(表成绩单[化学]&gt;表成绩单[[#This Row],[化学]]))+1)</f>
        <v>542</v>
      </c>
      <c r="U354" s="29" cm="1">
        <f t="array" ref="U354">IF(表成绩单[[#This Row],[政治]]="","",SUMPRODUCT((表成绩单[考试日期]=表成绩单[[#This Row],[考试日期]])*(表成绩单[政治]&lt;9E+307)*(表成绩单[政治]&gt;表成绩单[[#This Row],[政治]]))+1)</f>
        <v>329</v>
      </c>
      <c r="V354" s="29" cm="1">
        <f t="array" ref="V354">IF(表成绩单[[#This Row],[历史]]="","",SUMPRODUCT((表成绩单[考试日期]=表成绩单[[#This Row],[考试日期]])*(表成绩单[历史]&lt;9E+307)*(表成绩单[历史]&gt;表成绩单[[#This Row],[历史]]))+1)</f>
        <v>660</v>
      </c>
      <c r="W354" s="29" cm="1">
        <f t="array" ref="W354">IF(表成绩单[[#This Row],[总分]]="","",SUMPRODUCT((表成绩单[考试日期]=表成绩单[[#This Row],[考试日期]])*(表成绩单[总分]&lt;9E+307)*(表成绩单[总分]&gt;表成绩单[[#This Row],[总分]]))+1)</f>
        <v>349</v>
      </c>
    </row>
    <row r="355" ht="28" customHeight="1" spans="4:23">
      <c r="D355" s="31">
        <v>45975</v>
      </c>
      <c r="E355" s="29">
        <v>19175678</v>
      </c>
      <c r="F355" s="29" t="s">
        <v>72</v>
      </c>
      <c r="G355" s="29" t="s">
        <v>428</v>
      </c>
      <c r="H355" s="29">
        <v>95</v>
      </c>
      <c r="I355" s="29">
        <v>105</v>
      </c>
      <c r="J355" s="29">
        <v>75.5</v>
      </c>
      <c r="K355" s="29">
        <v>85</v>
      </c>
      <c r="L355" s="29">
        <v>74</v>
      </c>
      <c r="M355" s="29">
        <v>70</v>
      </c>
      <c r="N355" s="29">
        <v>77</v>
      </c>
      <c r="O355" s="32">
        <v>581.5</v>
      </c>
      <c r="P355" s="29" cm="1">
        <f t="array" ref="P355">IF(表成绩单[[#This Row],[语文]]="","",SUMPRODUCT((表成绩单[考试日期]=表成绩单[[#This Row],[考试日期]])*(表成绩单[语文]&lt;9E+307)*(表成绩单[语文]&gt;表成绩单[[#This Row],[语文]]))+1)</f>
        <v>420</v>
      </c>
      <c r="Q355" s="29" cm="1">
        <f t="array" ref="Q355">IF(表成绩单[[#This Row],[数学]]="","",SUMPRODUCT((表成绩单[考试日期]=表成绩单[[#This Row],[考试日期]])*(表成绩单[数学]&lt;9E+307)*(表成绩单[数学]&gt;表成绩单[[#This Row],[数学]]))+1)</f>
        <v>245</v>
      </c>
      <c r="R355" s="29" cm="1">
        <f t="array" ref="R355">IF(表成绩单[[#This Row],[英语]]="","",SUMPRODUCT((表成绩单[考试日期]=表成绩单[[#This Row],[考试日期]])*(表成绩单[英语]&lt;9E+307)*(表成绩单[英语]&gt;表成绩单[[#This Row],[英语]]))+1)</f>
        <v>418</v>
      </c>
      <c r="S355" s="29" cm="1">
        <f t="array" ref="S355">IF(表成绩单[[#This Row],[物理]]="","",SUMPRODUCT((表成绩单[考试日期]=表成绩单[[#This Row],[考试日期]])*(表成绩单[物理]&lt;9E+307)*(表成绩单[物理]&gt;表成绩单[[#This Row],[物理]]))+1)</f>
        <v>263</v>
      </c>
      <c r="T355" s="29" cm="1">
        <f t="array" ref="T355">IF(表成绩单[[#This Row],[化学]]="","",SUMPRODUCT((表成绩单[考试日期]=表成绩单[[#This Row],[考试日期]])*(表成绩单[化学]&lt;9E+307)*(表成绩单[化学]&gt;表成绩单[[#This Row],[化学]]))+1)</f>
        <v>337</v>
      </c>
      <c r="U355" s="29" cm="1">
        <f t="array" ref="U355">IF(表成绩单[[#This Row],[政治]]="","",SUMPRODUCT((表成绩单[考试日期]=表成绩单[[#This Row],[考试日期]])*(表成绩单[政治]&lt;9E+307)*(表成绩单[政治]&gt;表成绩单[[#This Row],[政治]]))+1)</f>
        <v>493</v>
      </c>
      <c r="V355" s="29" cm="1">
        <f t="array" ref="V355">IF(表成绩单[[#This Row],[历史]]="","",SUMPRODUCT((表成绩单[考试日期]=表成绩单[[#This Row],[考试日期]])*(表成绩单[历史]&lt;9E+307)*(表成绩单[历史]&gt;表成绩单[[#This Row],[历史]]))+1)</f>
        <v>237</v>
      </c>
      <c r="W355" s="29" cm="1">
        <f t="array" ref="W355">IF(表成绩单[[#This Row],[总分]]="","",SUMPRODUCT((表成绩单[考试日期]=表成绩单[[#This Row],[考试日期]])*(表成绩单[总分]&lt;9E+307)*(表成绩单[总分]&gt;表成绩单[[#This Row],[总分]]))+1)</f>
        <v>349</v>
      </c>
    </row>
    <row r="356" ht="28" customHeight="1" spans="4:23">
      <c r="D356" s="31">
        <v>45975</v>
      </c>
      <c r="E356" s="29">
        <v>19178594</v>
      </c>
      <c r="F356" s="29" t="s">
        <v>64</v>
      </c>
      <c r="G356" s="29" t="s">
        <v>429</v>
      </c>
      <c r="H356" s="29">
        <v>92</v>
      </c>
      <c r="I356" s="29">
        <v>101</v>
      </c>
      <c r="J356" s="29">
        <v>77.5</v>
      </c>
      <c r="K356" s="29">
        <v>86</v>
      </c>
      <c r="L356" s="29">
        <v>80</v>
      </c>
      <c r="M356" s="29">
        <v>71</v>
      </c>
      <c r="N356" s="29">
        <v>74</v>
      </c>
      <c r="O356" s="32">
        <v>581.5</v>
      </c>
      <c r="P356" s="29" cm="1">
        <f t="array" ref="P356">IF(表成绩单[[#This Row],[语文]]="","",SUMPRODUCT((表成绩单[考试日期]=表成绩单[[#This Row],[考试日期]])*(表成绩单[语文]&lt;9E+307)*(表成绩单[语文]&gt;表成绩单[[#This Row],[语文]]))+1)</f>
        <v>517</v>
      </c>
      <c r="Q356" s="29" cm="1">
        <f t="array" ref="Q356">IF(表成绩单[[#This Row],[数学]]="","",SUMPRODUCT((表成绩单[考试日期]=表成绩单[[#This Row],[考试日期]])*(表成绩单[数学]&lt;9E+307)*(表成绩单[数学]&gt;表成绩单[[#This Row],[数学]]))+1)</f>
        <v>319</v>
      </c>
      <c r="R356" s="29" cm="1">
        <f t="array" ref="R356">IF(表成绩单[[#This Row],[英语]]="","",SUMPRODUCT((表成绩单[考试日期]=表成绩单[[#This Row],[考试日期]])*(表成绩单[英语]&lt;9E+307)*(表成绩单[英语]&gt;表成绩单[[#This Row],[英语]]))+1)</f>
        <v>345</v>
      </c>
      <c r="S356" s="29" cm="1">
        <f t="array" ref="S356">IF(表成绩单[[#This Row],[物理]]="","",SUMPRODUCT((表成绩单[考试日期]=表成绩单[[#This Row],[考试日期]])*(表成绩单[物理]&lt;9E+307)*(表成绩单[物理]&gt;表成绩单[[#This Row],[物理]]))+1)</f>
        <v>187</v>
      </c>
      <c r="T356" s="29" cm="1">
        <f t="array" ref="T356">IF(表成绩单[[#This Row],[化学]]="","",SUMPRODUCT((表成绩单[考试日期]=表成绩单[[#This Row],[考试日期]])*(表成绩单[化学]&lt;9E+307)*(表成绩单[化学]&gt;表成绩单[[#This Row],[化学]]))+1)</f>
        <v>129</v>
      </c>
      <c r="U356" s="29" cm="1">
        <f t="array" ref="U356">IF(表成绩单[[#This Row],[政治]]="","",SUMPRODUCT((表成绩单[考试日期]=表成绩单[[#This Row],[考试日期]])*(表成绩单[政治]&lt;9E+307)*(表成绩单[政治]&gt;表成绩单[[#This Row],[政治]]))+1)</f>
        <v>467</v>
      </c>
      <c r="V356" s="29" cm="1">
        <f t="array" ref="V356">IF(表成绩单[[#This Row],[历史]]="","",SUMPRODUCT((表成绩单[考试日期]=表成绩单[[#This Row],[考试日期]])*(表成绩单[历史]&lt;9E+307)*(表成绩单[历史]&gt;表成绩单[[#This Row],[历史]]))+1)</f>
        <v>358</v>
      </c>
      <c r="W356" s="29" cm="1">
        <f t="array" ref="W356">IF(表成绩单[[#This Row],[总分]]="","",SUMPRODUCT((表成绩单[考试日期]=表成绩单[[#This Row],[考试日期]])*(表成绩单[总分]&lt;9E+307)*(表成绩单[总分]&gt;表成绩单[[#This Row],[总分]]))+1)</f>
        <v>349</v>
      </c>
    </row>
    <row r="357" ht="28" customHeight="1" spans="4:23">
      <c r="D357" s="31">
        <v>45975</v>
      </c>
      <c r="E357" s="29">
        <v>19171095</v>
      </c>
      <c r="F357" s="29" t="s">
        <v>67</v>
      </c>
      <c r="G357" s="29" t="s">
        <v>430</v>
      </c>
      <c r="H357" s="29">
        <v>97</v>
      </c>
      <c r="I357" s="29">
        <v>110</v>
      </c>
      <c r="J357" s="29">
        <v>77</v>
      </c>
      <c r="K357" s="29">
        <v>86</v>
      </c>
      <c r="L357" s="29">
        <v>69</v>
      </c>
      <c r="M357" s="29">
        <v>78</v>
      </c>
      <c r="N357" s="29">
        <v>64</v>
      </c>
      <c r="O357" s="32">
        <v>581</v>
      </c>
      <c r="P357" s="29" cm="1">
        <f t="array" ref="P357">IF(表成绩单[[#This Row],[语文]]="","",SUMPRODUCT((表成绩单[考试日期]=表成绩单[[#This Row],[考试日期]])*(表成绩单[语文]&lt;9E+307)*(表成绩单[语文]&gt;表成绩单[[#This Row],[语文]]))+1)</f>
        <v>349</v>
      </c>
      <c r="Q357" s="29" cm="1">
        <f t="array" ref="Q357">IF(表成绩单[[#This Row],[数学]]="","",SUMPRODUCT((表成绩单[考试日期]=表成绩单[[#This Row],[考试日期]])*(表成绩单[数学]&lt;9E+307)*(表成绩单[数学]&gt;表成绩单[[#This Row],[数学]]))+1)</f>
        <v>154</v>
      </c>
      <c r="R357" s="29" cm="1">
        <f t="array" ref="R357">IF(表成绩单[[#This Row],[英语]]="","",SUMPRODUCT((表成绩单[考试日期]=表成绩单[[#This Row],[考试日期]])*(表成绩单[英语]&lt;9E+307)*(表成绩单[英语]&gt;表成绩单[[#This Row],[英语]]))+1)</f>
        <v>369</v>
      </c>
      <c r="S357" s="29" cm="1">
        <f t="array" ref="S357">IF(表成绩单[[#This Row],[物理]]="","",SUMPRODUCT((表成绩单[考试日期]=表成绩单[[#This Row],[考试日期]])*(表成绩单[物理]&lt;9E+307)*(表成绩单[物理]&gt;表成绩单[[#This Row],[物理]]))+1)</f>
        <v>187</v>
      </c>
      <c r="T357" s="29" cm="1">
        <f t="array" ref="T357">IF(表成绩单[[#This Row],[化学]]="","",SUMPRODUCT((表成绩单[考试日期]=表成绩单[[#This Row],[考试日期]])*(表成绩单[化学]&lt;9E+307)*(表成绩单[化学]&gt;表成绩单[[#This Row],[化学]]))+1)</f>
        <v>478</v>
      </c>
      <c r="U357" s="29" cm="1">
        <f t="array" ref="U357">IF(表成绩单[[#This Row],[政治]]="","",SUMPRODUCT((表成绩单[考试日期]=表成绩单[[#This Row],[考试日期]])*(表成绩单[政治]&lt;9E+307)*(表成绩单[政治]&gt;表成绩单[[#This Row],[政治]]))+1)</f>
        <v>272</v>
      </c>
      <c r="V357" s="29" cm="1">
        <f t="array" ref="V357">IF(表成绩单[[#This Row],[历史]]="","",SUMPRODUCT((表成绩单[考试日期]=表成绩单[[#This Row],[考试日期]])*(表成绩单[历史]&lt;9E+307)*(表成绩单[历史]&gt;表成绩单[[#This Row],[历史]]))+1)</f>
        <v>660</v>
      </c>
      <c r="W357" s="29" cm="1">
        <f t="array" ref="W357">IF(表成绩单[[#This Row],[总分]]="","",SUMPRODUCT((表成绩单[考试日期]=表成绩单[[#This Row],[考试日期]])*(表成绩单[总分]&lt;9E+307)*(表成绩单[总分]&gt;表成绩单[[#This Row],[总分]]))+1)</f>
        <v>353</v>
      </c>
    </row>
    <row r="358" ht="28" customHeight="1" spans="4:23">
      <c r="D358" s="31">
        <v>45975</v>
      </c>
      <c r="E358" s="29">
        <v>19175682</v>
      </c>
      <c r="F358" s="29" t="s">
        <v>72</v>
      </c>
      <c r="G358" s="29" t="s">
        <v>431</v>
      </c>
      <c r="H358" s="29">
        <v>97</v>
      </c>
      <c r="I358" s="29">
        <v>108</v>
      </c>
      <c r="J358" s="29">
        <v>75</v>
      </c>
      <c r="K358" s="29">
        <v>83</v>
      </c>
      <c r="L358" s="29">
        <v>79</v>
      </c>
      <c r="M358" s="29">
        <v>70</v>
      </c>
      <c r="N358" s="29">
        <v>69</v>
      </c>
      <c r="O358" s="32">
        <v>581</v>
      </c>
      <c r="P358" s="29" cm="1">
        <f t="array" ref="P358">IF(表成绩单[[#This Row],[语文]]="","",SUMPRODUCT((表成绩单[考试日期]=表成绩单[[#This Row],[考试日期]])*(表成绩单[语文]&lt;9E+307)*(表成绩单[语文]&gt;表成绩单[[#This Row],[语文]]))+1)</f>
        <v>349</v>
      </c>
      <c r="Q358" s="29" cm="1">
        <f t="array" ref="Q358">IF(表成绩单[[#This Row],[数学]]="","",SUMPRODUCT((表成绩单[考试日期]=表成绩单[[#This Row],[考试日期]])*(表成绩单[数学]&lt;9E+307)*(表成绩单[数学]&gt;表成绩单[[#This Row],[数学]]))+1)</f>
        <v>182</v>
      </c>
      <c r="R358" s="29" cm="1">
        <f t="array" ref="R358">IF(表成绩单[[#This Row],[英语]]="","",SUMPRODUCT((表成绩单[考试日期]=表成绩单[[#This Row],[考试日期]])*(表成绩单[英语]&lt;9E+307)*(表成绩单[英语]&gt;表成绩单[[#This Row],[英语]]))+1)</f>
        <v>430</v>
      </c>
      <c r="S358" s="29" cm="1">
        <f t="array" ref="S358">IF(表成绩单[[#This Row],[物理]]="","",SUMPRODUCT((表成绩单[考试日期]=表成绩单[[#This Row],[考试日期]])*(表成绩单[物理]&lt;9E+307)*(表成绩单[物理]&gt;表成绩单[[#This Row],[物理]]))+1)</f>
        <v>390</v>
      </c>
      <c r="T358" s="29" cm="1">
        <f t="array" ref="T358">IF(表成绩单[[#This Row],[化学]]="","",SUMPRODUCT((表成绩单[考试日期]=表成绩单[[#This Row],[考试日期]])*(表成绩单[化学]&lt;9E+307)*(表成绩单[化学]&gt;表成绩单[[#This Row],[化学]]))+1)</f>
        <v>166</v>
      </c>
      <c r="U358" s="29" cm="1">
        <f t="array" ref="U358">IF(表成绩单[[#This Row],[政治]]="","",SUMPRODUCT((表成绩单[考试日期]=表成绩单[[#This Row],[考试日期]])*(表成绩单[政治]&lt;9E+307)*(表成绩单[政治]&gt;表成绩单[[#This Row],[政治]]))+1)</f>
        <v>493</v>
      </c>
      <c r="V358" s="29" cm="1">
        <f t="array" ref="V358">IF(表成绩单[[#This Row],[历史]]="","",SUMPRODUCT((表成绩单[考试日期]=表成绩单[[#This Row],[考试日期]])*(表成绩单[历史]&lt;9E+307)*(表成绩单[历史]&gt;表成绩单[[#This Row],[历史]]))+1)</f>
        <v>541</v>
      </c>
      <c r="W358" s="29" cm="1">
        <f t="array" ref="W358">IF(表成绩单[[#This Row],[总分]]="","",SUMPRODUCT((表成绩单[考试日期]=表成绩单[[#This Row],[考试日期]])*(表成绩单[总分]&lt;9E+307)*(表成绩单[总分]&gt;表成绩单[[#This Row],[总分]]))+1)</f>
        <v>353</v>
      </c>
    </row>
    <row r="359" ht="28" customHeight="1" spans="4:23">
      <c r="D359" s="31">
        <v>45975</v>
      </c>
      <c r="E359" s="29">
        <v>19177654</v>
      </c>
      <c r="F359" s="29" t="s">
        <v>63</v>
      </c>
      <c r="G359" s="29" t="s">
        <v>432</v>
      </c>
      <c r="H359" s="29">
        <v>92</v>
      </c>
      <c r="I359" s="29">
        <v>92</v>
      </c>
      <c r="J359" s="29">
        <v>76</v>
      </c>
      <c r="K359" s="29">
        <v>85</v>
      </c>
      <c r="L359" s="29">
        <v>77</v>
      </c>
      <c r="M359" s="29">
        <v>81</v>
      </c>
      <c r="N359" s="29">
        <v>78</v>
      </c>
      <c r="O359" s="32">
        <v>581</v>
      </c>
      <c r="P359" s="29" cm="1">
        <f t="array" ref="P359">IF(表成绩单[[#This Row],[语文]]="","",SUMPRODUCT((表成绩单[考试日期]=表成绩单[[#This Row],[考试日期]])*(表成绩单[语文]&lt;9E+307)*(表成绩单[语文]&gt;表成绩单[[#This Row],[语文]]))+1)</f>
        <v>517</v>
      </c>
      <c r="Q359" s="29" cm="1">
        <f t="array" ref="Q359">IF(表成绩单[[#This Row],[数学]]="","",SUMPRODUCT((表成绩单[考试日期]=表成绩单[[#This Row],[考试日期]])*(表成绩单[数学]&lt;9E+307)*(表成绩单[数学]&gt;表成绩单[[#This Row],[数学]]))+1)</f>
        <v>480</v>
      </c>
      <c r="R359" s="29" cm="1">
        <f t="array" ref="R359">IF(表成绩单[[#This Row],[英语]]="","",SUMPRODUCT((表成绩单[考试日期]=表成绩单[[#This Row],[考试日期]])*(表成绩单[英语]&lt;9E+307)*(表成绩单[英语]&gt;表成绩单[[#This Row],[英语]]))+1)</f>
        <v>399</v>
      </c>
      <c r="S359" s="29" cm="1">
        <f t="array" ref="S359">IF(表成绩单[[#This Row],[物理]]="","",SUMPRODUCT((表成绩单[考试日期]=表成绩单[[#This Row],[考试日期]])*(表成绩单[物理]&lt;9E+307)*(表成绩单[物理]&gt;表成绩单[[#This Row],[物理]]))+1)</f>
        <v>263</v>
      </c>
      <c r="T359" s="29" cm="1">
        <f t="array" ref="T359">IF(表成绩单[[#This Row],[化学]]="","",SUMPRODUCT((表成绩单[考试日期]=表成绩单[[#This Row],[考试日期]])*(表成绩单[化学]&lt;9E+307)*(表成绩单[化学]&gt;表成绩单[[#This Row],[化学]]))+1)</f>
        <v>239</v>
      </c>
      <c r="U359" s="29" cm="1">
        <f t="array" ref="U359">IF(表成绩单[[#This Row],[政治]]="","",SUMPRODUCT((表成绩单[考试日期]=表成绩单[[#This Row],[考试日期]])*(表成绩单[政治]&lt;9E+307)*(表成绩单[政治]&gt;表成绩单[[#This Row],[政治]]))+1)</f>
        <v>180</v>
      </c>
      <c r="V359" s="29" cm="1">
        <f t="array" ref="V359">IF(表成绩单[[#This Row],[历史]]="","",SUMPRODUCT((表成绩单[考试日期]=表成绩单[[#This Row],[考试日期]])*(表成绩单[历史]&lt;9E+307)*(表成绩单[历史]&gt;表成绩单[[#This Row],[历史]]))+1)</f>
        <v>189</v>
      </c>
      <c r="W359" s="29" cm="1">
        <f t="array" ref="W359">IF(表成绩单[[#This Row],[总分]]="","",SUMPRODUCT((表成绩单[考试日期]=表成绩单[[#This Row],[考试日期]])*(表成绩单[总分]&lt;9E+307)*(表成绩单[总分]&gt;表成绩单[[#This Row],[总分]]))+1)</f>
        <v>353</v>
      </c>
    </row>
    <row r="360" ht="28" customHeight="1" spans="4:23">
      <c r="D360" s="31">
        <v>45975</v>
      </c>
      <c r="E360" s="29">
        <v>19177661</v>
      </c>
      <c r="F360" s="29" t="s">
        <v>63</v>
      </c>
      <c r="G360" s="29" t="s">
        <v>433</v>
      </c>
      <c r="H360" s="29">
        <v>98</v>
      </c>
      <c r="I360" s="29">
        <v>94</v>
      </c>
      <c r="J360" s="29">
        <v>80</v>
      </c>
      <c r="K360" s="29">
        <v>87</v>
      </c>
      <c r="L360" s="29">
        <v>64</v>
      </c>
      <c r="M360" s="29">
        <v>79</v>
      </c>
      <c r="N360" s="29">
        <v>79</v>
      </c>
      <c r="O360" s="32">
        <v>581</v>
      </c>
      <c r="P360" s="29" cm="1">
        <f t="array" ref="P360">IF(表成绩单[[#This Row],[语文]]="","",SUMPRODUCT((表成绩单[考试日期]=表成绩单[[#This Row],[考试日期]])*(表成绩单[语文]&lt;9E+307)*(表成绩单[语文]&gt;表成绩单[[#This Row],[语文]]))+1)</f>
        <v>305</v>
      </c>
      <c r="Q360" s="29" cm="1">
        <f t="array" ref="Q360">IF(表成绩单[[#This Row],[数学]]="","",SUMPRODUCT((表成绩单[考试日期]=表成绩单[[#This Row],[考试日期]])*(表成绩单[数学]&lt;9E+307)*(表成绩单[数学]&gt;表成绩单[[#This Row],[数学]]))+1)</f>
        <v>454</v>
      </c>
      <c r="R360" s="29" cm="1">
        <f t="array" ref="R360">IF(表成绩单[[#This Row],[英语]]="","",SUMPRODUCT((表成绩单[考试日期]=表成绩单[[#This Row],[考试日期]])*(表成绩单[英语]&lt;9E+307)*(表成绩单[英语]&gt;表成绩单[[#This Row],[英语]]))+1)</f>
        <v>268</v>
      </c>
      <c r="S360" s="29" cm="1">
        <f t="array" ref="S360">IF(表成绩单[[#This Row],[物理]]="","",SUMPRODUCT((表成绩单[考试日期]=表成绩单[[#This Row],[考试日期]])*(表成绩单[物理]&lt;9E+307)*(表成绩单[物理]&gt;表成绩单[[#This Row],[物理]]))+1)</f>
        <v>127</v>
      </c>
      <c r="T360" s="29" cm="1">
        <f t="array" ref="T360">IF(表成绩单[[#This Row],[化学]]="","",SUMPRODUCT((表成绩单[考试日期]=表成绩单[[#This Row],[考试日期]])*(表成绩单[化学]&lt;9E+307)*(表成绩单[化学]&gt;表成绩单[[#This Row],[化学]]))+1)</f>
        <v>575</v>
      </c>
      <c r="U360" s="29" cm="1">
        <f t="array" ref="U360">IF(表成绩单[[#This Row],[政治]]="","",SUMPRODUCT((表成绩单[考试日期]=表成绩单[[#This Row],[考试日期]])*(表成绩单[政治]&lt;9E+307)*(表成绩单[政治]&gt;表成绩单[[#This Row],[政治]]))+1)</f>
        <v>246</v>
      </c>
      <c r="V360" s="29" cm="1">
        <f t="array" ref="V360">IF(表成绩单[[#This Row],[历史]]="","",SUMPRODUCT((表成绩单[考试日期]=表成绩单[[#This Row],[考试日期]])*(表成绩单[历史]&lt;9E+307)*(表成绩单[历史]&gt;表成绩单[[#This Row],[历史]]))+1)</f>
        <v>144</v>
      </c>
      <c r="W360" s="29" cm="1">
        <f t="array" ref="W360">IF(表成绩单[[#This Row],[总分]]="","",SUMPRODUCT((表成绩单[考试日期]=表成绩单[[#This Row],[考试日期]])*(表成绩单[总分]&lt;9E+307)*(表成绩单[总分]&gt;表成绩单[[#This Row],[总分]]))+1)</f>
        <v>353</v>
      </c>
    </row>
    <row r="361" ht="28" customHeight="1" spans="4:23">
      <c r="D361" s="31">
        <v>45975</v>
      </c>
      <c r="E361" s="29">
        <v>19178627</v>
      </c>
      <c r="F361" s="29" t="s">
        <v>25</v>
      </c>
      <c r="G361" s="29" t="s">
        <v>434</v>
      </c>
      <c r="H361" s="29">
        <v>93</v>
      </c>
      <c r="I361" s="29">
        <v>98</v>
      </c>
      <c r="J361" s="29">
        <v>79</v>
      </c>
      <c r="K361" s="29">
        <v>82</v>
      </c>
      <c r="L361" s="29">
        <v>75</v>
      </c>
      <c r="M361" s="29">
        <v>80</v>
      </c>
      <c r="N361" s="29">
        <v>74</v>
      </c>
      <c r="O361" s="32">
        <v>581</v>
      </c>
      <c r="P361" s="29" cm="1">
        <f t="array" ref="P361">IF(表成绩单[[#This Row],[语文]]="","",SUMPRODUCT((表成绩单[考试日期]=表成绩单[[#This Row],[考试日期]])*(表成绩单[语文]&lt;9E+307)*(表成绩单[语文]&gt;表成绩单[[#This Row],[语文]]))+1)</f>
        <v>489</v>
      </c>
      <c r="Q361" s="29" cm="1">
        <f t="array" ref="Q361">IF(表成绩单[[#This Row],[数学]]="","",SUMPRODUCT((表成绩单[考试日期]=表成绩单[[#This Row],[考试日期]])*(表成绩单[数学]&lt;9E+307)*(表成绩单[数学]&gt;表成绩单[[#This Row],[数学]]))+1)</f>
        <v>374</v>
      </c>
      <c r="R361" s="29" cm="1">
        <f t="array" ref="R361">IF(表成绩单[[#This Row],[英语]]="","",SUMPRODUCT((表成绩单[考试日期]=表成绩单[[#This Row],[考试日期]])*(表成绩单[英语]&lt;9E+307)*(表成绩单[英语]&gt;表成绩单[[#This Row],[英语]]))+1)</f>
        <v>292</v>
      </c>
      <c r="S361" s="29" cm="1">
        <f t="array" ref="S361">IF(表成绩单[[#This Row],[物理]]="","",SUMPRODUCT((表成绩单[考试日期]=表成绩单[[#This Row],[考试日期]])*(表成绩单[物理]&lt;9E+307)*(表成绩单[物理]&gt;表成绩单[[#This Row],[物理]]))+1)</f>
        <v>433</v>
      </c>
      <c r="T361" s="29" cm="1">
        <f t="array" ref="T361">IF(表成绩单[[#This Row],[化学]]="","",SUMPRODUCT((表成绩单[考试日期]=表成绩单[[#This Row],[考试日期]])*(表成绩单[化学]&lt;9E+307)*(表成绩单[化学]&gt;表成绩单[[#This Row],[化学]]))+1)</f>
        <v>310</v>
      </c>
      <c r="U361" s="29" cm="1">
        <f t="array" ref="U361">IF(表成绩单[[#This Row],[政治]]="","",SUMPRODUCT((表成绩单[考试日期]=表成绩单[[#This Row],[考试日期]])*(表成绩单[政治]&lt;9E+307)*(表成绩单[政治]&gt;表成绩单[[#This Row],[政治]]))+1)</f>
        <v>209</v>
      </c>
      <c r="V361" s="29" cm="1">
        <f t="array" ref="V361">IF(表成绩单[[#This Row],[历史]]="","",SUMPRODUCT((表成绩单[考试日期]=表成绩单[[#This Row],[考试日期]])*(表成绩单[历史]&lt;9E+307)*(表成绩单[历史]&gt;表成绩单[[#This Row],[历史]]))+1)</f>
        <v>358</v>
      </c>
      <c r="W361" s="29" cm="1">
        <f t="array" ref="W361">IF(表成绩单[[#This Row],[总分]]="","",SUMPRODUCT((表成绩单[考试日期]=表成绩单[[#This Row],[考试日期]])*(表成绩单[总分]&lt;9E+307)*(表成绩单[总分]&gt;表成绩单[[#This Row],[总分]]))+1)</f>
        <v>353</v>
      </c>
    </row>
    <row r="362" ht="28" customHeight="1" spans="4:23">
      <c r="D362" s="31">
        <v>45975</v>
      </c>
      <c r="E362" s="29">
        <v>19167658</v>
      </c>
      <c r="F362" s="29" t="s">
        <v>1</v>
      </c>
      <c r="G362" s="29" t="s">
        <v>435</v>
      </c>
      <c r="H362" s="29">
        <v>100</v>
      </c>
      <c r="I362" s="29">
        <v>112</v>
      </c>
      <c r="J362" s="29">
        <v>74.5</v>
      </c>
      <c r="K362" s="29">
        <v>82</v>
      </c>
      <c r="L362" s="29">
        <v>74</v>
      </c>
      <c r="M362" s="29">
        <v>75</v>
      </c>
      <c r="N362" s="29">
        <v>63</v>
      </c>
      <c r="O362" s="32">
        <v>580.5</v>
      </c>
      <c r="P362" s="29" cm="1">
        <f t="array" ref="P362">IF(表成绩单[[#This Row],[语文]]="","",SUMPRODUCT((表成绩单[考试日期]=表成绩单[[#This Row],[考试日期]])*(表成绩单[语文]&lt;9E+307)*(表成绩单[语文]&gt;表成绩单[[#This Row],[语文]]))+1)</f>
        <v>223</v>
      </c>
      <c r="Q362" s="29" cm="1">
        <f t="array" ref="Q362">IF(表成绩单[[#This Row],[数学]]="","",SUMPRODUCT((表成绩单[考试日期]=表成绩单[[#This Row],[考试日期]])*(表成绩单[数学]&lt;9E+307)*(表成绩单[数学]&gt;表成绩单[[#This Row],[数学]]))+1)</f>
        <v>112</v>
      </c>
      <c r="R362" s="29" cm="1">
        <f t="array" ref="R362">IF(表成绩单[[#This Row],[英语]]="","",SUMPRODUCT((表成绩单[考试日期]=表成绩单[[#This Row],[考试日期]])*(表成绩单[英语]&lt;9E+307)*(表成绩单[英语]&gt;表成绩单[[#This Row],[英语]]))+1)</f>
        <v>445</v>
      </c>
      <c r="S362" s="29" cm="1">
        <f t="array" ref="S362">IF(表成绩单[[#This Row],[物理]]="","",SUMPRODUCT((表成绩单[考试日期]=表成绩单[[#This Row],[考试日期]])*(表成绩单[物理]&lt;9E+307)*(表成绩单[物理]&gt;表成绩单[[#This Row],[物理]]))+1)</f>
        <v>433</v>
      </c>
      <c r="T362" s="29" cm="1">
        <f t="array" ref="T362">IF(表成绩单[[#This Row],[化学]]="","",SUMPRODUCT((表成绩单[考试日期]=表成绩单[[#This Row],[考试日期]])*(表成绩单[化学]&lt;9E+307)*(表成绩单[化学]&gt;表成绩单[[#This Row],[化学]]))+1)</f>
        <v>337</v>
      </c>
      <c r="U362" s="29" cm="1">
        <f t="array" ref="U362">IF(表成绩单[[#This Row],[政治]]="","",SUMPRODUCT((表成绩单[考试日期]=表成绩单[[#This Row],[考试日期]])*(表成绩单[政治]&lt;9E+307)*(表成绩单[政治]&gt;表成绩单[[#This Row],[政治]]))+1)</f>
        <v>363</v>
      </c>
      <c r="V362" s="29" cm="1">
        <f t="array" ref="V362">IF(表成绩单[[#This Row],[历史]]="","",SUMPRODUCT((表成绩单[考试日期]=表成绩单[[#This Row],[考试日期]])*(表成绩单[历史]&lt;9E+307)*(表成绩单[历史]&gt;表成绩单[[#This Row],[历史]]))+1)</f>
        <v>675</v>
      </c>
      <c r="W362" s="29" cm="1">
        <f t="array" ref="W362">IF(表成绩单[[#This Row],[总分]]="","",SUMPRODUCT((表成绩单[考试日期]=表成绩单[[#This Row],[考试日期]])*(表成绩单[总分]&lt;9E+307)*(表成绩单[总分]&gt;表成绩单[[#This Row],[总分]]))+1)</f>
        <v>358</v>
      </c>
    </row>
    <row r="363" ht="28" customHeight="1" spans="4:23">
      <c r="D363" s="31">
        <v>45975</v>
      </c>
      <c r="E363" s="29">
        <v>19173766</v>
      </c>
      <c r="F363" s="29" t="s">
        <v>65</v>
      </c>
      <c r="G363" s="29" t="s">
        <v>436</v>
      </c>
      <c r="H363" s="29">
        <v>100</v>
      </c>
      <c r="I363" s="29">
        <v>98</v>
      </c>
      <c r="J363" s="29">
        <v>76.5</v>
      </c>
      <c r="K363" s="29">
        <v>84</v>
      </c>
      <c r="L363" s="29">
        <v>64</v>
      </c>
      <c r="M363" s="29">
        <v>81</v>
      </c>
      <c r="N363" s="29">
        <v>77</v>
      </c>
      <c r="O363" s="32">
        <v>580.5</v>
      </c>
      <c r="P363" s="29" cm="1">
        <f t="array" ref="P363">IF(表成绩单[[#This Row],[语文]]="","",SUMPRODUCT((表成绩单[考试日期]=表成绩单[[#This Row],[考试日期]])*(表成绩单[语文]&lt;9E+307)*(表成绩单[语文]&gt;表成绩单[[#This Row],[语文]]))+1)</f>
        <v>223</v>
      </c>
      <c r="Q363" s="29" cm="1">
        <f t="array" ref="Q363">IF(表成绩单[[#This Row],[数学]]="","",SUMPRODUCT((表成绩单[考试日期]=表成绩单[[#This Row],[考试日期]])*(表成绩单[数学]&lt;9E+307)*(表成绩单[数学]&gt;表成绩单[[#This Row],[数学]]))+1)</f>
        <v>374</v>
      </c>
      <c r="R363" s="29" cm="1">
        <f t="array" ref="R363">IF(表成绩单[[#This Row],[英语]]="","",SUMPRODUCT((表成绩单[考试日期]=表成绩单[[#This Row],[考试日期]])*(表成绩单[英语]&lt;9E+307)*(表成绩单[英语]&gt;表成绩单[[#This Row],[英语]]))+1)</f>
        <v>382</v>
      </c>
      <c r="S363" s="29" cm="1">
        <f t="array" ref="S363">IF(表成绩单[[#This Row],[物理]]="","",SUMPRODUCT((表成绩单[考试日期]=表成绩单[[#This Row],[考试日期]])*(表成绩单[物理]&lt;9E+307)*(表成绩单[物理]&gt;表成绩单[[#This Row],[物理]]))+1)</f>
        <v>344</v>
      </c>
      <c r="T363" s="29" cm="1">
        <f t="array" ref="T363">IF(表成绩单[[#This Row],[化学]]="","",SUMPRODUCT((表成绩单[考试日期]=表成绩单[[#This Row],[考试日期]])*(表成绩单[化学]&lt;9E+307)*(表成绩单[化学]&gt;表成绩单[[#This Row],[化学]]))+1)</f>
        <v>575</v>
      </c>
      <c r="U363" s="29" cm="1">
        <f t="array" ref="U363">IF(表成绩单[[#This Row],[政治]]="","",SUMPRODUCT((表成绩单[考试日期]=表成绩单[[#This Row],[考试日期]])*(表成绩单[政治]&lt;9E+307)*(表成绩单[政治]&gt;表成绩单[[#This Row],[政治]]))+1)</f>
        <v>180</v>
      </c>
      <c r="V363" s="29" cm="1">
        <f t="array" ref="V363">IF(表成绩单[[#This Row],[历史]]="","",SUMPRODUCT((表成绩单[考试日期]=表成绩单[[#This Row],[考试日期]])*(表成绩单[历史]&lt;9E+307)*(表成绩单[历史]&gt;表成绩单[[#This Row],[历史]]))+1)</f>
        <v>237</v>
      </c>
      <c r="W363" s="29" cm="1">
        <f t="array" ref="W363">IF(表成绩单[[#This Row],[总分]]="","",SUMPRODUCT((表成绩单[考试日期]=表成绩单[[#This Row],[考试日期]])*(表成绩单[总分]&lt;9E+307)*(表成绩单[总分]&gt;表成绩单[[#This Row],[总分]]))+1)</f>
        <v>358</v>
      </c>
    </row>
    <row r="364" ht="28" customHeight="1" spans="4:23">
      <c r="D364" s="31">
        <v>45975</v>
      </c>
      <c r="E364" s="29">
        <v>19175626</v>
      </c>
      <c r="F364" s="29" t="s">
        <v>57</v>
      </c>
      <c r="G364" s="29" t="s">
        <v>437</v>
      </c>
      <c r="H364" s="29">
        <v>94</v>
      </c>
      <c r="I364" s="29">
        <v>87</v>
      </c>
      <c r="J364" s="29">
        <v>79.5</v>
      </c>
      <c r="K364" s="29">
        <v>90</v>
      </c>
      <c r="L364" s="29">
        <v>72</v>
      </c>
      <c r="M364" s="29">
        <v>82</v>
      </c>
      <c r="N364" s="29">
        <v>76</v>
      </c>
      <c r="O364" s="32">
        <v>580.5</v>
      </c>
      <c r="P364" s="29" cm="1">
        <f t="array" ref="P364">IF(表成绩单[[#This Row],[语文]]="","",SUMPRODUCT((表成绩单[考试日期]=表成绩单[[#This Row],[考试日期]])*(表成绩单[语文]&lt;9E+307)*(表成绩单[语文]&gt;表成绩单[[#This Row],[语文]]))+1)</f>
        <v>452</v>
      </c>
      <c r="Q364" s="29" cm="1">
        <f t="array" ref="Q364">IF(表成绩单[[#This Row],[数学]]="","",SUMPRODUCT((表成绩单[考试日期]=表成绩单[[#This Row],[考试日期]])*(表成绩单[数学]&lt;9E+307)*(表成绩单[数学]&gt;表成绩单[[#This Row],[数学]]))+1)</f>
        <v>547</v>
      </c>
      <c r="R364" s="29" cm="1">
        <f t="array" ref="R364">IF(表成绩单[[#This Row],[英语]]="","",SUMPRODUCT((表成绩单[考试日期]=表成绩单[[#This Row],[考试日期]])*(表成绩单[英语]&lt;9E+307)*(表成绩单[英语]&gt;表成绩单[[#This Row],[英语]]))+1)</f>
        <v>279</v>
      </c>
      <c r="S364" s="29" cm="1">
        <f t="array" ref="S364">IF(表成绩单[[#This Row],[物理]]="","",SUMPRODUCT((表成绩单[考试日期]=表成绩单[[#This Row],[考试日期]])*(表成绩单[物理]&lt;9E+307)*(表成绩单[物理]&gt;表成绩单[[#This Row],[物理]]))+1)</f>
        <v>1</v>
      </c>
      <c r="T364" s="29" cm="1">
        <f t="array" ref="T364">IF(表成绩单[[#This Row],[化学]]="","",SUMPRODUCT((表成绩单[考试日期]=表成绩单[[#This Row],[考试日期]])*(表成绩单[化学]&lt;9E+307)*(表成绩单[化学]&gt;表成绩单[[#This Row],[化学]]))+1)</f>
        <v>405</v>
      </c>
      <c r="U364" s="29" cm="1">
        <f t="array" ref="U364">IF(表成绩单[[#This Row],[政治]]="","",SUMPRODUCT((表成绩单[考试日期]=表成绩单[[#This Row],[考试日期]])*(表成绩单[政治]&lt;9E+307)*(表成绩单[政治]&gt;表成绩单[[#This Row],[政治]]))+1)</f>
        <v>157</v>
      </c>
      <c r="V364" s="29" cm="1">
        <f t="array" ref="V364">IF(表成绩单[[#This Row],[历史]]="","",SUMPRODUCT((表成绩单[考试日期]=表成绩单[[#This Row],[考试日期]])*(表成绩单[历史]&lt;9E+307)*(表成绩单[历史]&gt;表成绩单[[#This Row],[历史]]))+1)</f>
        <v>278</v>
      </c>
      <c r="W364" s="29" cm="1">
        <f t="array" ref="W364">IF(表成绩单[[#This Row],[总分]]="","",SUMPRODUCT((表成绩单[考试日期]=表成绩单[[#This Row],[考试日期]])*(表成绩单[总分]&lt;9E+307)*(表成绩单[总分]&gt;表成绩单[[#This Row],[总分]]))+1)</f>
        <v>358</v>
      </c>
    </row>
    <row r="365" ht="28" customHeight="1" spans="4:23">
      <c r="D365" s="31">
        <v>45975</v>
      </c>
      <c r="E365" s="29">
        <v>19175642</v>
      </c>
      <c r="F365" s="29" t="s">
        <v>66</v>
      </c>
      <c r="G365" s="29" t="s">
        <v>438</v>
      </c>
      <c r="H365" s="29">
        <v>98</v>
      </c>
      <c r="I365" s="29">
        <v>105</v>
      </c>
      <c r="J365" s="29">
        <v>74.5</v>
      </c>
      <c r="K365" s="29">
        <v>84</v>
      </c>
      <c r="L365" s="29">
        <v>75</v>
      </c>
      <c r="M365" s="29">
        <v>75</v>
      </c>
      <c r="N365" s="29">
        <v>69</v>
      </c>
      <c r="O365" s="32">
        <v>580.5</v>
      </c>
      <c r="P365" s="29" cm="1">
        <f t="array" ref="P365">IF(表成绩单[[#This Row],[语文]]="","",SUMPRODUCT((表成绩单[考试日期]=表成绩单[[#This Row],[考试日期]])*(表成绩单[语文]&lt;9E+307)*(表成绩单[语文]&gt;表成绩单[[#This Row],[语文]]))+1)</f>
        <v>305</v>
      </c>
      <c r="Q365" s="29" cm="1">
        <f t="array" ref="Q365">IF(表成绩单[[#This Row],[数学]]="","",SUMPRODUCT((表成绩单[考试日期]=表成绩单[[#This Row],[考试日期]])*(表成绩单[数学]&lt;9E+307)*(表成绩单[数学]&gt;表成绩单[[#This Row],[数学]]))+1)</f>
        <v>245</v>
      </c>
      <c r="R365" s="29" cm="1">
        <f t="array" ref="R365">IF(表成绩单[[#This Row],[英语]]="","",SUMPRODUCT((表成绩单[考试日期]=表成绩单[[#This Row],[考试日期]])*(表成绩单[英语]&lt;9E+307)*(表成绩单[英语]&gt;表成绩单[[#This Row],[英语]]))+1)</f>
        <v>445</v>
      </c>
      <c r="S365" s="29" cm="1">
        <f t="array" ref="S365">IF(表成绩单[[#This Row],[物理]]="","",SUMPRODUCT((表成绩单[考试日期]=表成绩单[[#This Row],[考试日期]])*(表成绩单[物理]&lt;9E+307)*(表成绩单[物理]&gt;表成绩单[[#This Row],[物理]]))+1)</f>
        <v>344</v>
      </c>
      <c r="T365" s="29" cm="1">
        <f t="array" ref="T365">IF(表成绩单[[#This Row],[化学]]="","",SUMPRODUCT((表成绩单[考试日期]=表成绩单[[#This Row],[考试日期]])*(表成绩单[化学]&lt;9E+307)*(表成绩单[化学]&gt;表成绩单[[#This Row],[化学]]))+1)</f>
        <v>310</v>
      </c>
      <c r="U365" s="29" cm="1">
        <f t="array" ref="U365">IF(表成绩单[[#This Row],[政治]]="","",SUMPRODUCT((表成绩单[考试日期]=表成绩单[[#This Row],[考试日期]])*(表成绩单[政治]&lt;9E+307)*(表成绩单[政治]&gt;表成绩单[[#This Row],[政治]]))+1)</f>
        <v>363</v>
      </c>
      <c r="V365" s="29" cm="1">
        <f t="array" ref="V365">IF(表成绩单[[#This Row],[历史]]="","",SUMPRODUCT((表成绩单[考试日期]=表成绩单[[#This Row],[考试日期]])*(表成绩单[历史]&lt;9E+307)*(表成绩单[历史]&gt;表成绩单[[#This Row],[历史]]))+1)</f>
        <v>541</v>
      </c>
      <c r="W365" s="29" cm="1">
        <f t="array" ref="W365">IF(表成绩单[[#This Row],[总分]]="","",SUMPRODUCT((表成绩单[考试日期]=表成绩单[[#This Row],[考试日期]])*(表成绩单[总分]&lt;9E+307)*(表成绩单[总分]&gt;表成绩单[[#This Row],[总分]]))+1)</f>
        <v>358</v>
      </c>
    </row>
    <row r="366" ht="28" customHeight="1" spans="4:23">
      <c r="D366" s="31">
        <v>45975</v>
      </c>
      <c r="E366" s="29">
        <v>36651092</v>
      </c>
      <c r="F366" s="29" t="s">
        <v>25</v>
      </c>
      <c r="G366" s="29" t="s">
        <v>439</v>
      </c>
      <c r="H366" s="29">
        <v>98</v>
      </c>
      <c r="I366" s="29">
        <v>88</v>
      </c>
      <c r="J366" s="29">
        <v>62.5</v>
      </c>
      <c r="K366" s="29">
        <v>86</v>
      </c>
      <c r="L366" s="29">
        <v>80</v>
      </c>
      <c r="M366" s="29">
        <v>85</v>
      </c>
      <c r="N366" s="29">
        <v>81</v>
      </c>
      <c r="O366" s="32">
        <v>580.5</v>
      </c>
      <c r="P366" s="29" cm="1">
        <f t="array" ref="P366">IF(表成绩单[[#This Row],[语文]]="","",SUMPRODUCT((表成绩单[考试日期]=表成绩单[[#This Row],[考试日期]])*(表成绩单[语文]&lt;9E+307)*(表成绩单[语文]&gt;表成绩单[[#This Row],[语文]]))+1)</f>
        <v>305</v>
      </c>
      <c r="Q366" s="29" cm="1">
        <f t="array" ref="Q366">IF(表成绩单[[#This Row],[数学]]="","",SUMPRODUCT((表成绩单[考试日期]=表成绩单[[#This Row],[考试日期]])*(表成绩单[数学]&lt;9E+307)*(表成绩单[数学]&gt;表成绩单[[#This Row],[数学]]))+1)</f>
        <v>527</v>
      </c>
      <c r="R366" s="29" cm="1">
        <f t="array" ref="R366">IF(表成绩单[[#This Row],[英语]]="","",SUMPRODUCT((表成绩单[考试日期]=表成绩单[[#This Row],[考试日期]])*(表成绩单[英语]&lt;9E+307)*(表成绩单[英语]&gt;表成绩单[[#This Row],[英语]]))+1)</f>
        <v>651</v>
      </c>
      <c r="S366" s="29" cm="1">
        <f t="array" ref="S366">IF(表成绩单[[#This Row],[物理]]="","",SUMPRODUCT((表成绩单[考试日期]=表成绩单[[#This Row],[考试日期]])*(表成绩单[物理]&lt;9E+307)*(表成绩单[物理]&gt;表成绩单[[#This Row],[物理]]))+1)</f>
        <v>187</v>
      </c>
      <c r="T366" s="29" cm="1">
        <f t="array" ref="T366">IF(表成绩单[[#This Row],[化学]]="","",SUMPRODUCT((表成绩单[考试日期]=表成绩单[[#This Row],[考试日期]])*(表成绩单[化学]&lt;9E+307)*(表成绩单[化学]&gt;表成绩单[[#This Row],[化学]]))+1)</f>
        <v>129</v>
      </c>
      <c r="U366" s="29" cm="1">
        <f t="array" ref="U366">IF(表成绩单[[#This Row],[政治]]="","",SUMPRODUCT((表成绩单[考试日期]=表成绩单[[#This Row],[考试日期]])*(表成绩单[政治]&lt;9E+307)*(表成绩单[政治]&gt;表成绩单[[#This Row],[政治]]))+1)</f>
        <v>45</v>
      </c>
      <c r="V366" s="29" cm="1">
        <f t="array" ref="V366">IF(表成绩单[[#This Row],[历史]]="","",SUMPRODUCT((表成绩单[考试日期]=表成绩单[[#This Row],[考试日期]])*(表成绩单[历史]&lt;9E+307)*(表成绩单[历史]&gt;表成绩单[[#This Row],[历史]]))+1)</f>
        <v>63</v>
      </c>
      <c r="W366" s="29" cm="1">
        <f t="array" ref="W366">IF(表成绩单[[#This Row],[总分]]="","",SUMPRODUCT((表成绩单[考试日期]=表成绩单[[#This Row],[考试日期]])*(表成绩单[总分]&lt;9E+307)*(表成绩单[总分]&gt;表成绩单[[#This Row],[总分]]))+1)</f>
        <v>358</v>
      </c>
    </row>
    <row r="367" ht="28" customHeight="1" spans="4:23">
      <c r="D367" s="31">
        <v>45975</v>
      </c>
      <c r="E367" s="29">
        <v>19174454</v>
      </c>
      <c r="F367" s="29" t="s">
        <v>73</v>
      </c>
      <c r="G367" s="29" t="s">
        <v>440</v>
      </c>
      <c r="H367" s="29">
        <v>92</v>
      </c>
      <c r="I367" s="29">
        <v>95</v>
      </c>
      <c r="J367" s="29">
        <v>78</v>
      </c>
      <c r="K367" s="29">
        <v>78</v>
      </c>
      <c r="L367" s="29">
        <v>76</v>
      </c>
      <c r="M367" s="29">
        <v>82</v>
      </c>
      <c r="N367" s="29">
        <v>79</v>
      </c>
      <c r="O367" s="32">
        <v>580</v>
      </c>
      <c r="P367" s="29" cm="1">
        <f t="array" ref="P367">IF(表成绩单[[#This Row],[语文]]="","",SUMPRODUCT((表成绩单[考试日期]=表成绩单[[#This Row],[考试日期]])*(表成绩单[语文]&lt;9E+307)*(表成绩单[语文]&gt;表成绩单[[#This Row],[语文]]))+1)</f>
        <v>517</v>
      </c>
      <c r="Q367" s="29" cm="1">
        <f t="array" ref="Q367">IF(表成绩单[[#This Row],[数学]]="","",SUMPRODUCT((表成绩单[考试日期]=表成绩单[[#This Row],[考试日期]])*(表成绩单[数学]&lt;9E+307)*(表成绩单[数学]&gt;表成绩单[[#This Row],[数学]]))+1)</f>
        <v>430</v>
      </c>
      <c r="R367" s="29" cm="1">
        <f t="array" ref="R367">IF(表成绩单[[#This Row],[英语]]="","",SUMPRODUCT((表成绩单[考试日期]=表成绩单[[#This Row],[考试日期]])*(表成绩单[英语]&lt;9E+307)*(表成绩单[英语]&gt;表成绩单[[#This Row],[英语]]))+1)</f>
        <v>330</v>
      </c>
      <c r="S367" s="29" cm="1">
        <f t="array" ref="S367">IF(表成绩单[[#This Row],[物理]]="","",SUMPRODUCT((表成绩单[考试日期]=表成绩单[[#This Row],[考试日期]])*(表成绩单[物理]&lt;9E+307)*(表成绩单[物理]&gt;表成绩单[[#This Row],[物理]]))+1)</f>
        <v>554</v>
      </c>
      <c r="T367" s="29" cm="1">
        <f t="array" ref="T367">IF(表成绩单[[#This Row],[化学]]="","",SUMPRODUCT((表成绩单[考试日期]=表成绩单[[#This Row],[考试日期]])*(表成绩单[化学]&lt;9E+307)*(表成绩单[化学]&gt;表成绩单[[#This Row],[化学]]))+1)</f>
        <v>268</v>
      </c>
      <c r="U367" s="29" cm="1">
        <f t="array" ref="U367">IF(表成绩单[[#This Row],[政治]]="","",SUMPRODUCT((表成绩单[考试日期]=表成绩单[[#This Row],[考试日期]])*(表成绩单[政治]&lt;9E+307)*(表成绩单[政治]&gt;表成绩单[[#This Row],[政治]]))+1)</f>
        <v>157</v>
      </c>
      <c r="V367" s="29" cm="1">
        <f t="array" ref="V367">IF(表成绩单[[#This Row],[历史]]="","",SUMPRODUCT((表成绩单[考试日期]=表成绩单[[#This Row],[考试日期]])*(表成绩单[历史]&lt;9E+307)*(表成绩单[历史]&gt;表成绩单[[#This Row],[历史]]))+1)</f>
        <v>144</v>
      </c>
      <c r="W367" s="29" cm="1">
        <f t="array" ref="W367">IF(表成绩单[[#This Row],[总分]]="","",SUMPRODUCT((表成绩单[考试日期]=表成绩单[[#This Row],[考试日期]])*(表成绩单[总分]&lt;9E+307)*(表成绩单[总分]&gt;表成绩单[[#This Row],[总分]]))+1)</f>
        <v>363</v>
      </c>
    </row>
    <row r="368" ht="28" customHeight="1" spans="4:23">
      <c r="D368" s="31">
        <v>45975</v>
      </c>
      <c r="E368" s="29">
        <v>19175663</v>
      </c>
      <c r="F368" s="29" t="s">
        <v>66</v>
      </c>
      <c r="G368" s="29" t="s">
        <v>441</v>
      </c>
      <c r="H368" s="29">
        <v>99</v>
      </c>
      <c r="I368" s="29">
        <v>92</v>
      </c>
      <c r="J368" s="29">
        <v>79</v>
      </c>
      <c r="K368" s="29">
        <v>81</v>
      </c>
      <c r="L368" s="29">
        <v>66</v>
      </c>
      <c r="M368" s="29">
        <v>85</v>
      </c>
      <c r="N368" s="29">
        <v>78</v>
      </c>
      <c r="O368" s="32">
        <v>580</v>
      </c>
      <c r="P368" s="29" cm="1">
        <f t="array" ref="P368">IF(表成绩单[[#This Row],[语文]]="","",SUMPRODUCT((表成绩单[考试日期]=表成绩单[[#This Row],[考试日期]])*(表成绩单[语文]&lt;9E+307)*(表成绩单[语文]&gt;表成绩单[[#This Row],[语文]]))+1)</f>
        <v>264</v>
      </c>
      <c r="Q368" s="29" cm="1">
        <f t="array" ref="Q368">IF(表成绩单[[#This Row],[数学]]="","",SUMPRODUCT((表成绩单[考试日期]=表成绩单[[#This Row],[考试日期]])*(表成绩单[数学]&lt;9E+307)*(表成绩单[数学]&gt;表成绩单[[#This Row],[数学]]))+1)</f>
        <v>480</v>
      </c>
      <c r="R368" s="29" cm="1">
        <f t="array" ref="R368">IF(表成绩单[[#This Row],[英语]]="","",SUMPRODUCT((表成绩单[考试日期]=表成绩单[[#This Row],[考试日期]])*(表成绩单[英语]&lt;9E+307)*(表成绩单[英语]&gt;表成绩单[[#This Row],[英语]]))+1)</f>
        <v>292</v>
      </c>
      <c r="S368" s="29" cm="1">
        <f t="array" ref="S368">IF(表成绩单[[#This Row],[物理]]="","",SUMPRODUCT((表成绩单[考试日期]=表成绩单[[#This Row],[考试日期]])*(表成绩单[物理]&lt;9E+307)*(表成绩单[物理]&gt;表成绩单[[#This Row],[物理]]))+1)</f>
        <v>474</v>
      </c>
      <c r="T368" s="29" cm="1">
        <f t="array" ref="T368">IF(表成绩单[[#This Row],[化学]]="","",SUMPRODUCT((表成绩单[考试日期]=表成绩单[[#This Row],[考试日期]])*(表成绩单[化学]&lt;9E+307)*(表成绩单[化学]&gt;表成绩单[[#This Row],[化学]]))+1)</f>
        <v>542</v>
      </c>
      <c r="U368" s="29" cm="1">
        <f t="array" ref="U368">IF(表成绩单[[#This Row],[政治]]="","",SUMPRODUCT((表成绩单[考试日期]=表成绩单[[#This Row],[考试日期]])*(表成绩单[政治]&lt;9E+307)*(表成绩单[政治]&gt;表成绩单[[#This Row],[政治]]))+1)</f>
        <v>45</v>
      </c>
      <c r="V368" s="29" cm="1">
        <f t="array" ref="V368">IF(表成绩单[[#This Row],[历史]]="","",SUMPRODUCT((表成绩单[考试日期]=表成绩单[[#This Row],[考试日期]])*(表成绩单[历史]&lt;9E+307)*(表成绩单[历史]&gt;表成绩单[[#This Row],[历史]]))+1)</f>
        <v>189</v>
      </c>
      <c r="W368" s="29" cm="1">
        <f t="array" ref="W368">IF(表成绩单[[#This Row],[总分]]="","",SUMPRODUCT((表成绩单[考试日期]=表成绩单[[#This Row],[考试日期]])*(表成绩单[总分]&lt;9E+307)*(表成绩单[总分]&gt;表成绩单[[#This Row],[总分]]))+1)</f>
        <v>363</v>
      </c>
    </row>
    <row r="369" ht="28" customHeight="1" spans="4:23">
      <c r="D369" s="31">
        <v>45975</v>
      </c>
      <c r="E369" s="29">
        <v>19176857</v>
      </c>
      <c r="F369" s="29" t="s">
        <v>71</v>
      </c>
      <c r="G369" s="29" t="s">
        <v>442</v>
      </c>
      <c r="H369" s="29">
        <v>90</v>
      </c>
      <c r="I369" s="29">
        <v>102</v>
      </c>
      <c r="J369" s="29">
        <v>74.5</v>
      </c>
      <c r="K369" s="29">
        <v>90</v>
      </c>
      <c r="L369" s="29">
        <v>71</v>
      </c>
      <c r="M369" s="29">
        <v>78</v>
      </c>
      <c r="N369" s="29">
        <v>74</v>
      </c>
      <c r="O369" s="32">
        <v>579.5</v>
      </c>
      <c r="P369" s="29" cm="1">
        <f t="array" ref="P369">IF(表成绩单[[#This Row],[语文]]="","",SUMPRODUCT((表成绩单[考试日期]=表成绩单[[#This Row],[考试日期]])*(表成绩单[语文]&lt;9E+307)*(表成绩单[语文]&gt;表成绩单[[#This Row],[语文]]))+1)</f>
        <v>561</v>
      </c>
      <c r="Q369" s="29" cm="1">
        <f t="array" ref="Q369">IF(表成绩单[[#This Row],[数学]]="","",SUMPRODUCT((表成绩单[考试日期]=表成绩单[[#This Row],[考试日期]])*(表成绩单[数学]&lt;9E+307)*(表成绩单[数学]&gt;表成绩单[[#This Row],[数学]]))+1)</f>
        <v>298</v>
      </c>
      <c r="R369" s="29" cm="1">
        <f t="array" ref="R369">IF(表成绩单[[#This Row],[英语]]="","",SUMPRODUCT((表成绩单[考试日期]=表成绩单[[#This Row],[考试日期]])*(表成绩单[英语]&lt;9E+307)*(表成绩单[英语]&gt;表成绩单[[#This Row],[英语]]))+1)</f>
        <v>445</v>
      </c>
      <c r="S369" s="29" cm="1">
        <f t="array" ref="S369">IF(表成绩单[[#This Row],[物理]]="","",SUMPRODUCT((表成绩单[考试日期]=表成绩单[[#This Row],[考试日期]])*(表成绩单[物理]&lt;9E+307)*(表成绩单[物理]&gt;表成绩单[[#This Row],[物理]]))+1)</f>
        <v>1</v>
      </c>
      <c r="T369" s="29" cm="1">
        <f t="array" ref="T369">IF(表成绩单[[#This Row],[化学]]="","",SUMPRODUCT((表成绩单[考试日期]=表成绩单[[#This Row],[考试日期]])*(表成绩单[化学]&lt;9E+307)*(表成绩单[化学]&gt;表成绩单[[#This Row],[化学]]))+1)</f>
        <v>432</v>
      </c>
      <c r="U369" s="29" cm="1">
        <f t="array" ref="U369">IF(表成绩单[[#This Row],[政治]]="","",SUMPRODUCT((表成绩单[考试日期]=表成绩单[[#This Row],[考试日期]])*(表成绩单[政治]&lt;9E+307)*(表成绩单[政治]&gt;表成绩单[[#This Row],[政治]]))+1)</f>
        <v>272</v>
      </c>
      <c r="V369" s="29" cm="1">
        <f t="array" ref="V369">IF(表成绩单[[#This Row],[历史]]="","",SUMPRODUCT((表成绩单[考试日期]=表成绩单[[#This Row],[考试日期]])*(表成绩单[历史]&lt;9E+307)*(表成绩单[历史]&gt;表成绩单[[#This Row],[历史]]))+1)</f>
        <v>358</v>
      </c>
      <c r="W369" s="29" cm="1">
        <f t="array" ref="W369">IF(表成绩单[[#This Row],[总分]]="","",SUMPRODUCT((表成绩单[考试日期]=表成绩单[[#This Row],[考试日期]])*(表成绩单[总分]&lt;9E+307)*(表成绩单[总分]&gt;表成绩单[[#This Row],[总分]]))+1)</f>
        <v>365</v>
      </c>
    </row>
    <row r="370" ht="28" customHeight="1" spans="4:23">
      <c r="D370" s="31">
        <v>45975</v>
      </c>
      <c r="E370" s="29">
        <v>19177647</v>
      </c>
      <c r="F370" s="29" t="s">
        <v>63</v>
      </c>
      <c r="G370" s="29" t="s">
        <v>443</v>
      </c>
      <c r="H370" s="29">
        <v>99</v>
      </c>
      <c r="I370" s="29">
        <v>86</v>
      </c>
      <c r="J370" s="29">
        <v>82.5</v>
      </c>
      <c r="K370" s="29">
        <v>85</v>
      </c>
      <c r="L370" s="29">
        <v>79</v>
      </c>
      <c r="M370" s="29">
        <v>72</v>
      </c>
      <c r="N370" s="29">
        <v>76</v>
      </c>
      <c r="O370" s="32">
        <v>579.5</v>
      </c>
      <c r="P370" s="29" cm="1">
        <f t="array" ref="P370">IF(表成绩单[[#This Row],[语文]]="","",SUMPRODUCT((表成绩单[考试日期]=表成绩单[[#This Row],[考试日期]])*(表成绩单[语文]&lt;9E+307)*(表成绩单[语文]&gt;表成绩单[[#This Row],[语文]]))+1)</f>
        <v>264</v>
      </c>
      <c r="Q370" s="29" cm="1">
        <f t="array" ref="Q370">IF(表成绩单[[#This Row],[数学]]="","",SUMPRODUCT((表成绩单[考试日期]=表成绩单[[#This Row],[考试日期]])*(表成绩单[数学]&lt;9E+307)*(表成绩单[数学]&gt;表成绩单[[#This Row],[数学]]))+1)</f>
        <v>562</v>
      </c>
      <c r="R370" s="29" cm="1">
        <f t="array" ref="R370">IF(表成绩单[[#This Row],[英语]]="","",SUMPRODUCT((表成绩单[考试日期]=表成绩单[[#This Row],[考试日期]])*(表成绩单[英语]&lt;9E+307)*(表成绩单[英语]&gt;表成绩单[[#This Row],[英语]]))+1)</f>
        <v>170</v>
      </c>
      <c r="S370" s="29" cm="1">
        <f t="array" ref="S370">IF(表成绩单[[#This Row],[物理]]="","",SUMPRODUCT((表成绩单[考试日期]=表成绩单[[#This Row],[考试日期]])*(表成绩单[物理]&lt;9E+307)*(表成绩单[物理]&gt;表成绩单[[#This Row],[物理]]))+1)</f>
        <v>263</v>
      </c>
      <c r="T370" s="29" cm="1">
        <f t="array" ref="T370">IF(表成绩单[[#This Row],[化学]]="","",SUMPRODUCT((表成绩单[考试日期]=表成绩单[[#This Row],[考试日期]])*(表成绩单[化学]&lt;9E+307)*(表成绩单[化学]&gt;表成绩单[[#This Row],[化学]]))+1)</f>
        <v>166</v>
      </c>
      <c r="U370" s="29" cm="1">
        <f t="array" ref="U370">IF(表成绩单[[#This Row],[政治]]="","",SUMPRODUCT((表成绩单[考试日期]=表成绩单[[#This Row],[考试日期]])*(表成绩单[政治]&lt;9E+307)*(表成绩单[政治]&gt;表成绩单[[#This Row],[政治]]))+1)</f>
        <v>448</v>
      </c>
      <c r="V370" s="29" cm="1">
        <f t="array" ref="V370">IF(表成绩单[[#This Row],[历史]]="","",SUMPRODUCT((表成绩单[考试日期]=表成绩单[[#This Row],[考试日期]])*(表成绩单[历史]&lt;9E+307)*(表成绩单[历史]&gt;表成绩单[[#This Row],[历史]]))+1)</f>
        <v>278</v>
      </c>
      <c r="W370" s="29" cm="1">
        <f t="array" ref="W370">IF(表成绩单[[#This Row],[总分]]="","",SUMPRODUCT((表成绩单[考试日期]=表成绩单[[#This Row],[考试日期]])*(表成绩单[总分]&lt;9E+307)*(表成绩单[总分]&gt;表成绩单[[#This Row],[总分]]))+1)</f>
        <v>365</v>
      </c>
    </row>
    <row r="371" ht="28" customHeight="1" spans="4:23">
      <c r="D371" s="31">
        <v>45975</v>
      </c>
      <c r="E371" s="29">
        <v>19173774</v>
      </c>
      <c r="F371" s="29" t="s">
        <v>65</v>
      </c>
      <c r="G371" s="29" t="s">
        <v>444</v>
      </c>
      <c r="H371" s="29">
        <v>88</v>
      </c>
      <c r="I371" s="29">
        <v>88</v>
      </c>
      <c r="J371" s="29">
        <v>85</v>
      </c>
      <c r="K371" s="29">
        <v>80</v>
      </c>
      <c r="L371" s="29">
        <v>78</v>
      </c>
      <c r="M371" s="29">
        <v>79</v>
      </c>
      <c r="N371" s="29">
        <v>81</v>
      </c>
      <c r="O371" s="32">
        <v>579</v>
      </c>
      <c r="P371" s="29" cm="1">
        <f t="array" ref="P371">IF(表成绩单[[#This Row],[语文]]="","",SUMPRODUCT((表成绩单[考试日期]=表成绩单[[#This Row],[考试日期]])*(表成绩单[语文]&lt;9E+307)*(表成绩单[语文]&gt;表成绩单[[#This Row],[语文]]))+1)</f>
        <v>595</v>
      </c>
      <c r="Q371" s="29" cm="1">
        <f t="array" ref="Q371">IF(表成绩单[[#This Row],[数学]]="","",SUMPRODUCT((表成绩单[考试日期]=表成绩单[[#This Row],[考试日期]])*(表成绩单[数学]&lt;9E+307)*(表成绩单[数学]&gt;表成绩单[[#This Row],[数学]]))+1)</f>
        <v>527</v>
      </c>
      <c r="R371" s="29" cm="1">
        <f t="array" ref="R371">IF(表成绩单[[#This Row],[英语]]="","",SUMPRODUCT((表成绩单[考试日期]=表成绩单[[#This Row],[考试日期]])*(表成绩单[英语]&lt;9E+307)*(表成绩单[英语]&gt;表成绩单[[#This Row],[英语]]))+1)</f>
        <v>69</v>
      </c>
      <c r="S371" s="29" cm="1">
        <f t="array" ref="S371">IF(表成绩单[[#This Row],[物理]]="","",SUMPRODUCT((表成绩单[考试日期]=表成绩单[[#This Row],[考试日期]])*(表成绩单[物理]&lt;9E+307)*(表成绩单[物理]&gt;表成绩单[[#This Row],[物理]]))+1)</f>
        <v>507</v>
      </c>
      <c r="T371" s="29" cm="1">
        <f t="array" ref="T371">IF(表成绩单[[#This Row],[化学]]="","",SUMPRODUCT((表成绩单[考试日期]=表成绩单[[#This Row],[考试日期]])*(表成绩单[化学]&lt;9E+307)*(表成绩单[化学]&gt;表成绩单[[#This Row],[化学]]))+1)</f>
        <v>200</v>
      </c>
      <c r="U371" s="29" cm="1">
        <f t="array" ref="U371">IF(表成绩单[[#This Row],[政治]]="","",SUMPRODUCT((表成绩单[考试日期]=表成绩单[[#This Row],[考试日期]])*(表成绩单[政治]&lt;9E+307)*(表成绩单[政治]&gt;表成绩单[[#This Row],[政治]]))+1)</f>
        <v>246</v>
      </c>
      <c r="V371" s="29" cm="1">
        <f t="array" ref="V371">IF(表成绩单[[#This Row],[历史]]="","",SUMPRODUCT((表成绩单[考试日期]=表成绩单[[#This Row],[考试日期]])*(表成绩单[历史]&lt;9E+307)*(表成绩单[历史]&gt;表成绩单[[#This Row],[历史]]))+1)</f>
        <v>63</v>
      </c>
      <c r="W371" s="29" cm="1">
        <f t="array" ref="W371">IF(表成绩单[[#This Row],[总分]]="","",SUMPRODUCT((表成绩单[考试日期]=表成绩单[[#This Row],[考试日期]])*(表成绩单[总分]&lt;9E+307)*(表成绩单[总分]&gt;表成绩单[[#This Row],[总分]]))+1)</f>
        <v>367</v>
      </c>
    </row>
    <row r="372" ht="28" customHeight="1" spans="4:23">
      <c r="D372" s="31">
        <v>45975</v>
      </c>
      <c r="E372" s="29">
        <v>19173786</v>
      </c>
      <c r="F372" s="29" t="s">
        <v>65</v>
      </c>
      <c r="G372" s="29" t="s">
        <v>445</v>
      </c>
      <c r="H372" s="29">
        <v>99</v>
      </c>
      <c r="I372" s="29">
        <v>93</v>
      </c>
      <c r="J372" s="29">
        <v>72</v>
      </c>
      <c r="K372" s="29">
        <v>79</v>
      </c>
      <c r="L372" s="29">
        <v>73</v>
      </c>
      <c r="M372" s="29">
        <v>83</v>
      </c>
      <c r="N372" s="29">
        <v>80</v>
      </c>
      <c r="O372" s="32">
        <v>579</v>
      </c>
      <c r="P372" s="29" cm="1">
        <f t="array" ref="P372">IF(表成绩单[[#This Row],[语文]]="","",SUMPRODUCT((表成绩单[考试日期]=表成绩单[[#This Row],[考试日期]])*(表成绩单[语文]&lt;9E+307)*(表成绩单[语文]&gt;表成绩单[[#This Row],[语文]]))+1)</f>
        <v>264</v>
      </c>
      <c r="Q372" s="29" cm="1">
        <f t="array" ref="Q372">IF(表成绩单[[#This Row],[数学]]="","",SUMPRODUCT((表成绩单[考试日期]=表成绩单[[#This Row],[考试日期]])*(表成绩单[数学]&lt;9E+307)*(表成绩单[数学]&gt;表成绩单[[#This Row],[数学]]))+1)</f>
        <v>469</v>
      </c>
      <c r="R372" s="29" cm="1">
        <f t="array" ref="R372">IF(表成绩单[[#This Row],[英语]]="","",SUMPRODUCT((表成绩单[考试日期]=表成绩单[[#This Row],[考试日期]])*(表成绩单[英语]&lt;9E+307)*(表成绩单[英语]&gt;表成绩单[[#This Row],[英语]]))+1)</f>
        <v>507</v>
      </c>
      <c r="S372" s="29" cm="1">
        <f t="array" ref="S372">IF(表成绩单[[#This Row],[物理]]="","",SUMPRODUCT((表成绩单[考试日期]=表成绩单[[#This Row],[考试日期]])*(表成绩单[物理]&lt;9E+307)*(表成绩单[物理]&gt;表成绩单[[#This Row],[物理]]))+1)</f>
        <v>534</v>
      </c>
      <c r="T372" s="29" cm="1">
        <f t="array" ref="T372">IF(表成绩单[[#This Row],[化学]]="","",SUMPRODUCT((表成绩单[考试日期]=表成绩单[[#This Row],[考试日期]])*(表成绩单[化学]&lt;9E+307)*(表成绩单[化学]&gt;表成绩单[[#This Row],[化学]]))+1)</f>
        <v>365</v>
      </c>
      <c r="U372" s="29" cm="1">
        <f t="array" ref="U372">IF(表成绩单[[#This Row],[政治]]="","",SUMPRODUCT((表成绩单[考试日期]=表成绩单[[#This Row],[考试日期]])*(表成绩单[政治]&lt;9E+307)*(表成绩单[政治]&gt;表成绩单[[#This Row],[政治]]))+1)</f>
        <v>121</v>
      </c>
      <c r="V372" s="29" cm="1">
        <f t="array" ref="V372">IF(表成绩单[[#This Row],[历史]]="","",SUMPRODUCT((表成绩单[考试日期]=表成绩单[[#This Row],[考试日期]])*(表成绩单[历史]&lt;9E+307)*(表成绩单[历史]&gt;表成绩单[[#This Row],[历史]]))+1)</f>
        <v>108</v>
      </c>
      <c r="W372" s="29" cm="1">
        <f t="array" ref="W372">IF(表成绩单[[#This Row],[总分]]="","",SUMPRODUCT((表成绩单[考试日期]=表成绩单[[#This Row],[考试日期]])*(表成绩单[总分]&lt;9E+307)*(表成绩单[总分]&gt;表成绩单[[#This Row],[总分]]))+1)</f>
        <v>367</v>
      </c>
    </row>
    <row r="373" ht="28" customHeight="1" spans="4:23">
      <c r="D373" s="31">
        <v>45975</v>
      </c>
      <c r="E373" s="29">
        <v>19176881</v>
      </c>
      <c r="F373" s="29" t="s">
        <v>71</v>
      </c>
      <c r="G373" s="29" t="s">
        <v>446</v>
      </c>
      <c r="H373" s="29">
        <v>98</v>
      </c>
      <c r="I373" s="29">
        <v>106</v>
      </c>
      <c r="J373" s="29">
        <v>75</v>
      </c>
      <c r="K373" s="29">
        <v>74</v>
      </c>
      <c r="L373" s="29">
        <v>73</v>
      </c>
      <c r="M373" s="29">
        <v>78</v>
      </c>
      <c r="N373" s="29">
        <v>75</v>
      </c>
      <c r="O373" s="32">
        <v>579</v>
      </c>
      <c r="P373" s="29" cm="1">
        <f t="array" ref="P373">IF(表成绩单[[#This Row],[语文]]="","",SUMPRODUCT((表成绩单[考试日期]=表成绩单[[#This Row],[考试日期]])*(表成绩单[语文]&lt;9E+307)*(表成绩单[语文]&gt;表成绩单[[#This Row],[语文]]))+1)</f>
        <v>305</v>
      </c>
      <c r="Q373" s="29" cm="1">
        <f t="array" ref="Q373">IF(表成绩单[[#This Row],[数学]]="","",SUMPRODUCT((表成绩单[考试日期]=表成绩单[[#This Row],[考试日期]])*(表成绩单[数学]&lt;9E+307)*(表成绩单[数学]&gt;表成绩单[[#This Row],[数学]]))+1)</f>
        <v>220</v>
      </c>
      <c r="R373" s="29" cm="1">
        <f t="array" ref="R373">IF(表成绩单[[#This Row],[英语]]="","",SUMPRODUCT((表成绩单[考试日期]=表成绩单[[#This Row],[考试日期]])*(表成绩单[英语]&lt;9E+307)*(表成绩单[英语]&gt;表成绩单[[#This Row],[英语]]))+1)</f>
        <v>430</v>
      </c>
      <c r="S373" s="29" cm="1">
        <f t="array" ref="S373">IF(表成绩单[[#This Row],[物理]]="","",SUMPRODUCT((表成绩单[考试日期]=表成绩单[[#This Row],[考试日期]])*(表成绩单[物理]&lt;9E+307)*(表成绩单[物理]&gt;表成绩单[[#This Row],[物理]]))+1)</f>
        <v>616</v>
      </c>
      <c r="T373" s="29" cm="1">
        <f t="array" ref="T373">IF(表成绩单[[#This Row],[化学]]="","",SUMPRODUCT((表成绩单[考试日期]=表成绩单[[#This Row],[考试日期]])*(表成绩单[化学]&lt;9E+307)*(表成绩单[化学]&gt;表成绩单[[#This Row],[化学]]))+1)</f>
        <v>365</v>
      </c>
      <c r="U373" s="29" cm="1">
        <f t="array" ref="U373">IF(表成绩单[[#This Row],[政治]]="","",SUMPRODUCT((表成绩单[考试日期]=表成绩单[[#This Row],[考试日期]])*(表成绩单[政治]&lt;9E+307)*(表成绩单[政治]&gt;表成绩单[[#This Row],[政治]]))+1)</f>
        <v>272</v>
      </c>
      <c r="V373" s="29" cm="1">
        <f t="array" ref="V373">IF(表成绩单[[#This Row],[历史]]="","",SUMPRODUCT((表成绩单[考试日期]=表成绩单[[#This Row],[考试日期]])*(表成绩单[历史]&lt;9E+307)*(表成绩单[历史]&gt;表成绩单[[#This Row],[历史]]))+1)</f>
        <v>315</v>
      </c>
      <c r="W373" s="29" cm="1">
        <f t="array" ref="W373">IF(表成绩单[[#This Row],[总分]]="","",SUMPRODUCT((表成绩单[考试日期]=表成绩单[[#This Row],[考试日期]])*(表成绩单[总分]&lt;9E+307)*(表成绩单[总分]&gt;表成绩单[[#This Row],[总分]]))+1)</f>
        <v>367</v>
      </c>
    </row>
    <row r="374" ht="28" customHeight="1" spans="4:23">
      <c r="D374" s="31">
        <v>45975</v>
      </c>
      <c r="E374" s="29">
        <v>19178616</v>
      </c>
      <c r="F374" s="29" t="s">
        <v>25</v>
      </c>
      <c r="G374" s="29" t="s">
        <v>447</v>
      </c>
      <c r="H374" s="29">
        <v>97</v>
      </c>
      <c r="I374" s="29">
        <v>95</v>
      </c>
      <c r="J374" s="29">
        <v>80</v>
      </c>
      <c r="K374" s="29">
        <v>81</v>
      </c>
      <c r="L374" s="29">
        <v>62</v>
      </c>
      <c r="M374" s="29">
        <v>84</v>
      </c>
      <c r="N374" s="29">
        <v>80</v>
      </c>
      <c r="O374" s="32">
        <v>579</v>
      </c>
      <c r="P374" s="29" cm="1">
        <f t="array" ref="P374">IF(表成绩单[[#This Row],[语文]]="","",SUMPRODUCT((表成绩单[考试日期]=表成绩单[[#This Row],[考试日期]])*(表成绩单[语文]&lt;9E+307)*(表成绩单[语文]&gt;表成绩单[[#This Row],[语文]]))+1)</f>
        <v>349</v>
      </c>
      <c r="Q374" s="29" cm="1">
        <f t="array" ref="Q374">IF(表成绩单[[#This Row],[数学]]="","",SUMPRODUCT((表成绩单[考试日期]=表成绩单[[#This Row],[考试日期]])*(表成绩单[数学]&lt;9E+307)*(表成绩单[数学]&gt;表成绩单[[#This Row],[数学]]))+1)</f>
        <v>430</v>
      </c>
      <c r="R374" s="29" cm="1">
        <f t="array" ref="R374">IF(表成绩单[[#This Row],[英语]]="","",SUMPRODUCT((表成绩单[考试日期]=表成绩单[[#This Row],[考试日期]])*(表成绩单[英语]&lt;9E+307)*(表成绩单[英语]&gt;表成绩单[[#This Row],[英语]]))+1)</f>
        <v>268</v>
      </c>
      <c r="S374" s="29" cm="1">
        <f t="array" ref="S374">IF(表成绩单[[#This Row],[物理]]="","",SUMPRODUCT((表成绩单[考试日期]=表成绩单[[#This Row],[考试日期]])*(表成绩单[物理]&lt;9E+307)*(表成绩单[物理]&gt;表成绩单[[#This Row],[物理]]))+1)</f>
        <v>474</v>
      </c>
      <c r="T374" s="29" cm="1">
        <f t="array" ref="T374">IF(表成绩单[[#This Row],[化学]]="","",SUMPRODUCT((表成绩单[考试日期]=表成绩单[[#This Row],[考试日期]])*(表成绩单[化学]&lt;9E+307)*(表成绩单[化学]&gt;表成绩单[[#This Row],[化学]]))+1)</f>
        <v>605</v>
      </c>
      <c r="U374" s="29" cm="1">
        <f t="array" ref="U374">IF(表成绩单[[#This Row],[政治]]="","",SUMPRODUCT((表成绩单[考试日期]=表成绩单[[#This Row],[考试日期]])*(表成绩单[政治]&lt;9E+307)*(表成绩单[政治]&gt;表成绩单[[#This Row],[政治]]))+1)</f>
        <v>83</v>
      </c>
      <c r="V374" s="29" cm="1">
        <f t="array" ref="V374">IF(表成绩单[[#This Row],[历史]]="","",SUMPRODUCT((表成绩单[考试日期]=表成绩单[[#This Row],[考试日期]])*(表成绩单[历史]&lt;9E+307)*(表成绩单[历史]&gt;表成绩单[[#This Row],[历史]]))+1)</f>
        <v>108</v>
      </c>
      <c r="W374" s="29" cm="1">
        <f t="array" ref="W374">IF(表成绩单[[#This Row],[总分]]="","",SUMPRODUCT((表成绩单[考试日期]=表成绩单[[#This Row],[考试日期]])*(表成绩单[总分]&lt;9E+307)*(表成绩单[总分]&gt;表成绩单[[#This Row],[总分]]))+1)</f>
        <v>367</v>
      </c>
    </row>
    <row r="375" ht="28" customHeight="1" spans="4:23">
      <c r="D375" s="31">
        <v>45975</v>
      </c>
      <c r="E375" s="29">
        <v>19173270</v>
      </c>
      <c r="F375" s="29" t="s">
        <v>61</v>
      </c>
      <c r="G375" s="29" t="s">
        <v>448</v>
      </c>
      <c r="H375" s="29">
        <v>95</v>
      </c>
      <c r="I375" s="29">
        <v>100</v>
      </c>
      <c r="J375" s="29">
        <v>70.5</v>
      </c>
      <c r="K375" s="29">
        <v>83</v>
      </c>
      <c r="L375" s="29">
        <v>75</v>
      </c>
      <c r="M375" s="29">
        <v>76</v>
      </c>
      <c r="N375" s="29">
        <v>79</v>
      </c>
      <c r="O375" s="32">
        <v>578.5</v>
      </c>
      <c r="P375" s="29" cm="1">
        <f t="array" ref="P375">IF(表成绩单[[#This Row],[语文]]="","",SUMPRODUCT((表成绩单[考试日期]=表成绩单[[#This Row],[考试日期]])*(表成绩单[语文]&lt;9E+307)*(表成绩单[语文]&gt;表成绩单[[#This Row],[语文]]))+1)</f>
        <v>420</v>
      </c>
      <c r="Q375" s="29" cm="1">
        <f t="array" ref="Q375">IF(表成绩单[[#This Row],[数学]]="","",SUMPRODUCT((表成绩单[考试日期]=表成绩单[[#This Row],[考试日期]])*(表成绩单[数学]&lt;9E+307)*(表成绩单[数学]&gt;表成绩单[[#This Row],[数学]]))+1)</f>
        <v>340</v>
      </c>
      <c r="R375" s="29" cm="1">
        <f t="array" ref="R375">IF(表成绩单[[#This Row],[英语]]="","",SUMPRODUCT((表成绩单[考试日期]=表成绩单[[#This Row],[考试日期]])*(表成绩单[英语]&lt;9E+307)*(表成绩单[英语]&gt;表成绩单[[#This Row],[英语]]))+1)</f>
        <v>545</v>
      </c>
      <c r="S375" s="29" cm="1">
        <f t="array" ref="S375">IF(表成绩单[[#This Row],[物理]]="","",SUMPRODUCT((表成绩单[考试日期]=表成绩单[[#This Row],[考试日期]])*(表成绩单[物理]&lt;9E+307)*(表成绩单[物理]&gt;表成绩单[[#This Row],[物理]]))+1)</f>
        <v>390</v>
      </c>
      <c r="T375" s="29" cm="1">
        <f t="array" ref="T375">IF(表成绩单[[#This Row],[化学]]="","",SUMPRODUCT((表成绩单[考试日期]=表成绩单[[#This Row],[考试日期]])*(表成绩单[化学]&lt;9E+307)*(表成绩单[化学]&gt;表成绩单[[#This Row],[化学]]))+1)</f>
        <v>310</v>
      </c>
      <c r="U375" s="29" cm="1">
        <f t="array" ref="U375">IF(表成绩单[[#This Row],[政治]]="","",SUMPRODUCT((表成绩单[考试日期]=表成绩单[[#This Row],[考试日期]])*(表成绩单[政治]&lt;9E+307)*(表成绩单[政治]&gt;表成绩单[[#This Row],[政治]]))+1)</f>
        <v>329</v>
      </c>
      <c r="V375" s="29" cm="1">
        <f t="array" ref="V375">IF(表成绩单[[#This Row],[历史]]="","",SUMPRODUCT((表成绩单[考试日期]=表成绩单[[#This Row],[考试日期]])*(表成绩单[历史]&lt;9E+307)*(表成绩单[历史]&gt;表成绩单[[#This Row],[历史]]))+1)</f>
        <v>144</v>
      </c>
      <c r="W375" s="29" cm="1">
        <f t="array" ref="W375">IF(表成绩单[[#This Row],[总分]]="","",SUMPRODUCT((表成绩单[考试日期]=表成绩单[[#This Row],[考试日期]])*(表成绩单[总分]&lt;9E+307)*(表成绩单[总分]&gt;表成绩单[[#This Row],[总分]]))+1)</f>
        <v>371</v>
      </c>
    </row>
    <row r="376" ht="28" customHeight="1" spans="4:23">
      <c r="D376" s="31">
        <v>45975</v>
      </c>
      <c r="E376" s="29">
        <v>19174447</v>
      </c>
      <c r="F376" s="29" t="s">
        <v>73</v>
      </c>
      <c r="G376" s="29" t="s">
        <v>449</v>
      </c>
      <c r="H376" s="29">
        <v>96</v>
      </c>
      <c r="I376" s="29">
        <v>95</v>
      </c>
      <c r="J376" s="29">
        <v>77.5</v>
      </c>
      <c r="K376" s="29">
        <v>80</v>
      </c>
      <c r="L376" s="29">
        <v>79</v>
      </c>
      <c r="M376" s="29">
        <v>74</v>
      </c>
      <c r="N376" s="29">
        <v>77</v>
      </c>
      <c r="O376" s="32">
        <v>578.5</v>
      </c>
      <c r="P376" s="29" cm="1">
        <f t="array" ref="P376">IF(表成绩单[[#This Row],[语文]]="","",SUMPRODUCT((表成绩单[考试日期]=表成绩单[[#This Row],[考试日期]])*(表成绩单[语文]&lt;9E+307)*(表成绩单[语文]&gt;表成绩单[[#This Row],[语文]]))+1)</f>
        <v>387</v>
      </c>
      <c r="Q376" s="29" cm="1">
        <f t="array" ref="Q376">IF(表成绩单[[#This Row],[数学]]="","",SUMPRODUCT((表成绩单[考试日期]=表成绩单[[#This Row],[考试日期]])*(表成绩单[数学]&lt;9E+307)*(表成绩单[数学]&gt;表成绩单[[#This Row],[数学]]))+1)</f>
        <v>430</v>
      </c>
      <c r="R376" s="29" cm="1">
        <f t="array" ref="R376">IF(表成绩单[[#This Row],[英语]]="","",SUMPRODUCT((表成绩单[考试日期]=表成绩单[[#This Row],[考试日期]])*(表成绩单[英语]&lt;9E+307)*(表成绩单[英语]&gt;表成绩单[[#This Row],[英语]]))+1)</f>
        <v>345</v>
      </c>
      <c r="S376" s="29" cm="1">
        <f t="array" ref="S376">IF(表成绩单[[#This Row],[物理]]="","",SUMPRODUCT((表成绩单[考试日期]=表成绩单[[#This Row],[考试日期]])*(表成绩单[物理]&lt;9E+307)*(表成绩单[物理]&gt;表成绩单[[#This Row],[物理]]))+1)</f>
        <v>507</v>
      </c>
      <c r="T376" s="29" cm="1">
        <f t="array" ref="T376">IF(表成绩单[[#This Row],[化学]]="","",SUMPRODUCT((表成绩单[考试日期]=表成绩单[[#This Row],[考试日期]])*(表成绩单[化学]&lt;9E+307)*(表成绩单[化学]&gt;表成绩单[[#This Row],[化学]]))+1)</f>
        <v>166</v>
      </c>
      <c r="U376" s="29" cm="1">
        <f t="array" ref="U376">IF(表成绩单[[#This Row],[政治]]="","",SUMPRODUCT((表成绩单[考试日期]=表成绩单[[#This Row],[考试日期]])*(表成绩单[政治]&lt;9E+307)*(表成绩单[政治]&gt;表成绩单[[#This Row],[政治]]))+1)</f>
        <v>389</v>
      </c>
      <c r="V376" s="29" cm="1">
        <f t="array" ref="V376">IF(表成绩单[[#This Row],[历史]]="","",SUMPRODUCT((表成绩单[考试日期]=表成绩单[[#This Row],[考试日期]])*(表成绩单[历史]&lt;9E+307)*(表成绩单[历史]&gt;表成绩单[[#This Row],[历史]]))+1)</f>
        <v>237</v>
      </c>
      <c r="W376" s="29" cm="1">
        <f t="array" ref="W376">IF(表成绩单[[#This Row],[总分]]="","",SUMPRODUCT((表成绩单[考试日期]=表成绩单[[#This Row],[考试日期]])*(表成绩单[总分]&lt;9E+307)*(表成绩单[总分]&gt;表成绩单[[#This Row],[总分]]))+1)</f>
        <v>371</v>
      </c>
    </row>
    <row r="377" ht="28" customHeight="1" spans="4:23">
      <c r="D377" s="31">
        <v>45975</v>
      </c>
      <c r="E377" s="29">
        <v>19175659</v>
      </c>
      <c r="F377" s="29" t="s">
        <v>66</v>
      </c>
      <c r="G377" s="29" t="s">
        <v>450</v>
      </c>
      <c r="H377" s="29">
        <v>96</v>
      </c>
      <c r="I377" s="29">
        <v>96</v>
      </c>
      <c r="J377" s="29">
        <v>84.5</v>
      </c>
      <c r="K377" s="29">
        <v>74</v>
      </c>
      <c r="L377" s="29">
        <v>73</v>
      </c>
      <c r="M377" s="29">
        <v>81</v>
      </c>
      <c r="N377" s="29">
        <v>74</v>
      </c>
      <c r="O377" s="32">
        <v>578.5</v>
      </c>
      <c r="P377" s="29" cm="1">
        <f t="array" ref="P377">IF(表成绩单[[#This Row],[语文]]="","",SUMPRODUCT((表成绩单[考试日期]=表成绩单[[#This Row],[考试日期]])*(表成绩单[语文]&lt;9E+307)*(表成绩单[语文]&gt;表成绩单[[#This Row],[语文]]))+1)</f>
        <v>387</v>
      </c>
      <c r="Q377" s="29" cm="1">
        <f t="array" ref="Q377">IF(表成绩单[[#This Row],[数学]]="","",SUMPRODUCT((表成绩单[考试日期]=表成绩单[[#This Row],[考试日期]])*(表成绩单[数学]&lt;9E+307)*(表成绩单[数学]&gt;表成绩单[[#This Row],[数学]]))+1)</f>
        <v>413</v>
      </c>
      <c r="R377" s="29" cm="1">
        <f t="array" ref="R377">IF(表成绩单[[#This Row],[英语]]="","",SUMPRODUCT((表成绩单[考试日期]=表成绩单[[#This Row],[考试日期]])*(表成绩单[英语]&lt;9E+307)*(表成绩单[英语]&gt;表成绩单[[#This Row],[英语]]))+1)</f>
        <v>85</v>
      </c>
      <c r="S377" s="29" cm="1">
        <f t="array" ref="S377">IF(表成绩单[[#This Row],[物理]]="","",SUMPRODUCT((表成绩单[考试日期]=表成绩单[[#This Row],[考试日期]])*(表成绩单[物理]&lt;9E+307)*(表成绩单[物理]&gt;表成绩单[[#This Row],[物理]]))+1)</f>
        <v>616</v>
      </c>
      <c r="T377" s="29" cm="1">
        <f t="array" ref="T377">IF(表成绩单[[#This Row],[化学]]="","",SUMPRODUCT((表成绩单[考试日期]=表成绩单[[#This Row],[考试日期]])*(表成绩单[化学]&lt;9E+307)*(表成绩单[化学]&gt;表成绩单[[#This Row],[化学]]))+1)</f>
        <v>365</v>
      </c>
      <c r="U377" s="29" cm="1">
        <f t="array" ref="U377">IF(表成绩单[[#This Row],[政治]]="","",SUMPRODUCT((表成绩单[考试日期]=表成绩单[[#This Row],[考试日期]])*(表成绩单[政治]&lt;9E+307)*(表成绩单[政治]&gt;表成绩单[[#This Row],[政治]]))+1)</f>
        <v>180</v>
      </c>
      <c r="V377" s="29" cm="1">
        <f t="array" ref="V377">IF(表成绩单[[#This Row],[历史]]="","",SUMPRODUCT((表成绩单[考试日期]=表成绩单[[#This Row],[考试日期]])*(表成绩单[历史]&lt;9E+307)*(表成绩单[历史]&gt;表成绩单[[#This Row],[历史]]))+1)</f>
        <v>358</v>
      </c>
      <c r="W377" s="29" cm="1">
        <f t="array" ref="W377">IF(表成绩单[[#This Row],[总分]]="","",SUMPRODUCT((表成绩单[考试日期]=表成绩单[[#This Row],[考试日期]])*(表成绩单[总分]&lt;9E+307)*(表成绩单[总分]&gt;表成绩单[[#This Row],[总分]]))+1)</f>
        <v>371</v>
      </c>
    </row>
    <row r="378" ht="28" customHeight="1" spans="4:23">
      <c r="D378" s="31">
        <v>45975</v>
      </c>
      <c r="E378" s="29">
        <v>19176160</v>
      </c>
      <c r="F378" s="29" t="s">
        <v>67</v>
      </c>
      <c r="G378" s="29" t="s">
        <v>451</v>
      </c>
      <c r="H378" s="29">
        <v>98</v>
      </c>
      <c r="I378" s="29">
        <v>104</v>
      </c>
      <c r="J378" s="29">
        <v>81.5</v>
      </c>
      <c r="K378" s="29">
        <v>83</v>
      </c>
      <c r="L378" s="29">
        <v>68</v>
      </c>
      <c r="M378" s="29">
        <v>75</v>
      </c>
      <c r="N378" s="29">
        <v>69</v>
      </c>
      <c r="O378" s="32">
        <v>578.5</v>
      </c>
      <c r="P378" s="29" cm="1">
        <f t="array" ref="P378">IF(表成绩单[[#This Row],[语文]]="","",SUMPRODUCT((表成绩单[考试日期]=表成绩单[[#This Row],[考试日期]])*(表成绩单[语文]&lt;9E+307)*(表成绩单[语文]&gt;表成绩单[[#This Row],[语文]]))+1)</f>
        <v>305</v>
      </c>
      <c r="Q378" s="29" cm="1">
        <f t="array" ref="Q378">IF(表成绩单[[#This Row],[数学]]="","",SUMPRODUCT((表成绩单[考试日期]=表成绩单[[#This Row],[考试日期]])*(表成绩单[数学]&lt;9E+307)*(表成绩单[数学]&gt;表成绩单[[#This Row],[数学]]))+1)</f>
        <v>260</v>
      </c>
      <c r="R378" s="29" cm="1">
        <f t="array" ref="R378">IF(表成绩单[[#This Row],[英语]]="","",SUMPRODUCT((表成绩单[考试日期]=表成绩单[[#This Row],[考试日期]])*(表成绩单[英语]&lt;9E+307)*(表成绩单[英语]&gt;表成绩单[[#This Row],[英语]]))+1)</f>
        <v>220</v>
      </c>
      <c r="S378" s="29" cm="1">
        <f t="array" ref="S378">IF(表成绩单[[#This Row],[物理]]="","",SUMPRODUCT((表成绩单[考试日期]=表成绩单[[#This Row],[考试日期]])*(表成绩单[物理]&lt;9E+307)*(表成绩单[物理]&gt;表成绩单[[#This Row],[物理]]))+1)</f>
        <v>390</v>
      </c>
      <c r="T378" s="29" cm="1">
        <f t="array" ref="T378">IF(表成绩单[[#This Row],[化学]]="","",SUMPRODUCT((表成绩单[考试日期]=表成绩单[[#This Row],[考试日期]])*(表成绩单[化学]&lt;9E+307)*(表成绩单[化学]&gt;表成绩单[[#This Row],[化学]]))+1)</f>
        <v>506</v>
      </c>
      <c r="U378" s="29" cm="1">
        <f t="array" ref="U378">IF(表成绩单[[#This Row],[政治]]="","",SUMPRODUCT((表成绩单[考试日期]=表成绩单[[#This Row],[考试日期]])*(表成绩单[政治]&lt;9E+307)*(表成绩单[政治]&gt;表成绩单[[#This Row],[政治]]))+1)</f>
        <v>363</v>
      </c>
      <c r="V378" s="29" cm="1">
        <f t="array" ref="V378">IF(表成绩单[[#This Row],[历史]]="","",SUMPRODUCT((表成绩单[考试日期]=表成绩单[[#This Row],[考试日期]])*(表成绩单[历史]&lt;9E+307)*(表成绩单[历史]&gt;表成绩单[[#This Row],[历史]]))+1)</f>
        <v>541</v>
      </c>
      <c r="W378" s="29" cm="1">
        <f t="array" ref="W378">IF(表成绩单[[#This Row],[总分]]="","",SUMPRODUCT((表成绩单[考试日期]=表成绩单[[#This Row],[考试日期]])*(表成绩单[总分]&lt;9E+307)*(表成绩单[总分]&gt;表成绩单[[#This Row],[总分]]))+1)</f>
        <v>371</v>
      </c>
    </row>
    <row r="379" ht="28" customHeight="1" spans="4:23">
      <c r="D379" s="31">
        <v>45975</v>
      </c>
      <c r="E379" s="29">
        <v>19177220</v>
      </c>
      <c r="F379" s="29" t="s">
        <v>70</v>
      </c>
      <c r="G379" s="29" t="s">
        <v>452</v>
      </c>
      <c r="H379" s="29">
        <v>98</v>
      </c>
      <c r="I379" s="29">
        <v>97</v>
      </c>
      <c r="J379" s="29">
        <v>74.5</v>
      </c>
      <c r="K379" s="29">
        <v>86</v>
      </c>
      <c r="L379" s="29">
        <v>75</v>
      </c>
      <c r="M379" s="29">
        <v>72</v>
      </c>
      <c r="N379" s="29">
        <v>76</v>
      </c>
      <c r="O379" s="32">
        <v>578.5</v>
      </c>
      <c r="P379" s="29" cm="1">
        <f t="array" ref="P379">IF(表成绩单[[#This Row],[语文]]="","",SUMPRODUCT((表成绩单[考试日期]=表成绩单[[#This Row],[考试日期]])*(表成绩单[语文]&lt;9E+307)*(表成绩单[语文]&gt;表成绩单[[#This Row],[语文]]))+1)</f>
        <v>305</v>
      </c>
      <c r="Q379" s="29" cm="1">
        <f t="array" ref="Q379">IF(表成绩单[[#This Row],[数学]]="","",SUMPRODUCT((表成绩单[考试日期]=表成绩单[[#This Row],[考试日期]])*(表成绩单[数学]&lt;9E+307)*(表成绩单[数学]&gt;表成绩单[[#This Row],[数学]]))+1)</f>
        <v>389</v>
      </c>
      <c r="R379" s="29" cm="1">
        <f t="array" ref="R379">IF(表成绩单[[#This Row],[英语]]="","",SUMPRODUCT((表成绩单[考试日期]=表成绩单[[#This Row],[考试日期]])*(表成绩单[英语]&lt;9E+307)*(表成绩单[英语]&gt;表成绩单[[#This Row],[英语]]))+1)</f>
        <v>445</v>
      </c>
      <c r="S379" s="29" cm="1">
        <f t="array" ref="S379">IF(表成绩单[[#This Row],[物理]]="","",SUMPRODUCT((表成绩单[考试日期]=表成绩单[[#This Row],[考试日期]])*(表成绩单[物理]&lt;9E+307)*(表成绩单[物理]&gt;表成绩单[[#This Row],[物理]]))+1)</f>
        <v>187</v>
      </c>
      <c r="T379" s="29" cm="1">
        <f t="array" ref="T379">IF(表成绩单[[#This Row],[化学]]="","",SUMPRODUCT((表成绩单[考试日期]=表成绩单[[#This Row],[考试日期]])*(表成绩单[化学]&lt;9E+307)*(表成绩单[化学]&gt;表成绩单[[#This Row],[化学]]))+1)</f>
        <v>310</v>
      </c>
      <c r="U379" s="29" cm="1">
        <f t="array" ref="U379">IF(表成绩单[[#This Row],[政治]]="","",SUMPRODUCT((表成绩单[考试日期]=表成绩单[[#This Row],[考试日期]])*(表成绩单[政治]&lt;9E+307)*(表成绩单[政治]&gt;表成绩单[[#This Row],[政治]]))+1)</f>
        <v>448</v>
      </c>
      <c r="V379" s="29" cm="1">
        <f t="array" ref="V379">IF(表成绩单[[#This Row],[历史]]="","",SUMPRODUCT((表成绩单[考试日期]=表成绩单[[#This Row],[考试日期]])*(表成绩单[历史]&lt;9E+307)*(表成绩单[历史]&gt;表成绩单[[#This Row],[历史]]))+1)</f>
        <v>278</v>
      </c>
      <c r="W379" s="29" cm="1">
        <f t="array" ref="W379">IF(表成绩单[[#This Row],[总分]]="","",SUMPRODUCT((表成绩单[考试日期]=表成绩单[[#This Row],[考试日期]])*(表成绩单[总分]&lt;9E+307)*(表成绩单[总分]&gt;表成绩单[[#This Row],[总分]]))+1)</f>
        <v>371</v>
      </c>
    </row>
    <row r="380" ht="28" customHeight="1" spans="4:23">
      <c r="D380" s="31">
        <v>45975</v>
      </c>
      <c r="E380" s="29">
        <v>19174437</v>
      </c>
      <c r="F380" s="29" t="s">
        <v>73</v>
      </c>
      <c r="G380" s="29" t="s">
        <v>453</v>
      </c>
      <c r="H380" s="29">
        <v>82</v>
      </c>
      <c r="I380" s="29">
        <v>99</v>
      </c>
      <c r="J380" s="29">
        <v>81</v>
      </c>
      <c r="K380" s="29">
        <v>83</v>
      </c>
      <c r="L380" s="29">
        <v>76</v>
      </c>
      <c r="M380" s="29">
        <v>80</v>
      </c>
      <c r="N380" s="29">
        <v>77</v>
      </c>
      <c r="O380" s="32">
        <v>578</v>
      </c>
      <c r="P380" s="29" cm="1">
        <f t="array" ref="P380">IF(表成绩单[[#This Row],[语文]]="","",SUMPRODUCT((表成绩单[考试日期]=表成绩单[[#This Row],[考试日期]])*(表成绩单[语文]&lt;9E+307)*(表成绩单[语文]&gt;表成绩单[[#This Row],[语文]]))+1)</f>
        <v>682</v>
      </c>
      <c r="Q380" s="29" cm="1">
        <f t="array" ref="Q380">IF(表成绩单[[#This Row],[数学]]="","",SUMPRODUCT((表成绩单[考试日期]=表成绩单[[#This Row],[考试日期]])*(表成绩单[数学]&lt;9E+307)*(表成绩单[数学]&gt;表成绩单[[#This Row],[数学]]))+1)</f>
        <v>361</v>
      </c>
      <c r="R380" s="29" cm="1">
        <f t="array" ref="R380">IF(表成绩单[[#This Row],[英语]]="","",SUMPRODUCT((表成绩单[考试日期]=表成绩单[[#This Row],[考试日期]])*(表成绩单[英语]&lt;9E+307)*(表成绩单[英语]&gt;表成绩单[[#This Row],[英语]]))+1)</f>
        <v>241</v>
      </c>
      <c r="S380" s="29" cm="1">
        <f t="array" ref="S380">IF(表成绩单[[#This Row],[物理]]="","",SUMPRODUCT((表成绩单[考试日期]=表成绩单[[#This Row],[考试日期]])*(表成绩单[物理]&lt;9E+307)*(表成绩单[物理]&gt;表成绩单[[#This Row],[物理]]))+1)</f>
        <v>390</v>
      </c>
      <c r="T380" s="29" cm="1">
        <f t="array" ref="T380">IF(表成绩单[[#This Row],[化学]]="","",SUMPRODUCT((表成绩单[考试日期]=表成绩单[[#This Row],[考试日期]])*(表成绩单[化学]&lt;9E+307)*(表成绩单[化学]&gt;表成绩单[[#This Row],[化学]]))+1)</f>
        <v>268</v>
      </c>
      <c r="U380" s="29" cm="1">
        <f t="array" ref="U380">IF(表成绩单[[#This Row],[政治]]="","",SUMPRODUCT((表成绩单[考试日期]=表成绩单[[#This Row],[考试日期]])*(表成绩单[政治]&lt;9E+307)*(表成绩单[政治]&gt;表成绩单[[#This Row],[政治]]))+1)</f>
        <v>209</v>
      </c>
      <c r="V380" s="29" cm="1">
        <f t="array" ref="V380">IF(表成绩单[[#This Row],[历史]]="","",SUMPRODUCT((表成绩单[考试日期]=表成绩单[[#This Row],[考试日期]])*(表成绩单[历史]&lt;9E+307)*(表成绩单[历史]&gt;表成绩单[[#This Row],[历史]]))+1)</f>
        <v>237</v>
      </c>
      <c r="W380" s="29" cm="1">
        <f t="array" ref="W380">IF(表成绩单[[#This Row],[总分]]="","",SUMPRODUCT((表成绩单[考试日期]=表成绩单[[#This Row],[考试日期]])*(表成绩单[总分]&lt;9E+307)*(表成绩单[总分]&gt;表成绩单[[#This Row],[总分]]))+1)</f>
        <v>376</v>
      </c>
    </row>
    <row r="381" ht="28" customHeight="1" spans="4:23">
      <c r="D381" s="31">
        <v>45975</v>
      </c>
      <c r="E381" s="29">
        <v>19174784</v>
      </c>
      <c r="F381" s="29" t="s">
        <v>69</v>
      </c>
      <c r="G381" s="29" t="s">
        <v>454</v>
      </c>
      <c r="H381" s="29">
        <v>99</v>
      </c>
      <c r="I381" s="29">
        <v>88</v>
      </c>
      <c r="J381" s="29">
        <v>85</v>
      </c>
      <c r="K381" s="29">
        <v>84</v>
      </c>
      <c r="L381" s="29">
        <v>77</v>
      </c>
      <c r="M381" s="29">
        <v>74</v>
      </c>
      <c r="N381" s="29">
        <v>71</v>
      </c>
      <c r="O381" s="32">
        <v>578</v>
      </c>
      <c r="P381" s="29" cm="1">
        <f t="array" ref="P381">IF(表成绩单[[#This Row],[语文]]="","",SUMPRODUCT((表成绩单[考试日期]=表成绩单[[#This Row],[考试日期]])*(表成绩单[语文]&lt;9E+307)*(表成绩单[语文]&gt;表成绩单[[#This Row],[语文]]))+1)</f>
        <v>264</v>
      </c>
      <c r="Q381" s="29" cm="1">
        <f t="array" ref="Q381">IF(表成绩单[[#This Row],[数学]]="","",SUMPRODUCT((表成绩单[考试日期]=表成绩单[[#This Row],[考试日期]])*(表成绩单[数学]&lt;9E+307)*(表成绩单[数学]&gt;表成绩单[[#This Row],[数学]]))+1)</f>
        <v>527</v>
      </c>
      <c r="R381" s="29" cm="1">
        <f t="array" ref="R381">IF(表成绩单[[#This Row],[英语]]="","",SUMPRODUCT((表成绩单[考试日期]=表成绩单[[#This Row],[考试日期]])*(表成绩单[英语]&lt;9E+307)*(表成绩单[英语]&gt;表成绩单[[#This Row],[英语]]))+1)</f>
        <v>69</v>
      </c>
      <c r="S381" s="29" cm="1">
        <f t="array" ref="S381">IF(表成绩单[[#This Row],[物理]]="","",SUMPRODUCT((表成绩单[考试日期]=表成绩单[[#This Row],[考试日期]])*(表成绩单[物理]&lt;9E+307)*(表成绩单[物理]&gt;表成绩单[[#This Row],[物理]]))+1)</f>
        <v>344</v>
      </c>
      <c r="T381" s="29" cm="1">
        <f t="array" ref="T381">IF(表成绩单[[#This Row],[化学]]="","",SUMPRODUCT((表成绩单[考试日期]=表成绩单[[#This Row],[考试日期]])*(表成绩单[化学]&lt;9E+307)*(表成绩单[化学]&gt;表成绩单[[#This Row],[化学]]))+1)</f>
        <v>239</v>
      </c>
      <c r="U381" s="29" cm="1">
        <f t="array" ref="U381">IF(表成绩单[[#This Row],[政治]]="","",SUMPRODUCT((表成绩单[考试日期]=表成绩单[[#This Row],[考试日期]])*(表成绩单[政治]&lt;9E+307)*(表成绩单[政治]&gt;表成绩单[[#This Row],[政治]]))+1)</f>
        <v>389</v>
      </c>
      <c r="V381" s="29" cm="1">
        <f t="array" ref="V381">IF(表成绩单[[#This Row],[历史]]="","",SUMPRODUCT((表成绩单[考试日期]=表成绩单[[#This Row],[考试日期]])*(表成绩单[历史]&lt;9E+307)*(表成绩单[历史]&gt;表成绩单[[#This Row],[历史]]))+1)</f>
        <v>480</v>
      </c>
      <c r="W381" s="29" cm="1">
        <f t="array" ref="W381">IF(表成绩单[[#This Row],[总分]]="","",SUMPRODUCT((表成绩单[考试日期]=表成绩单[[#This Row],[考试日期]])*(表成绩单[总分]&lt;9E+307)*(表成绩单[总分]&gt;表成绩单[[#This Row],[总分]]))+1)</f>
        <v>376</v>
      </c>
    </row>
    <row r="382" ht="28" customHeight="1" spans="4:23">
      <c r="D382" s="31">
        <v>45975</v>
      </c>
      <c r="E382" s="29">
        <v>19176011</v>
      </c>
      <c r="F382" s="29" t="s">
        <v>59</v>
      </c>
      <c r="G382" s="29" t="s">
        <v>455</v>
      </c>
      <c r="H382" s="29">
        <v>103</v>
      </c>
      <c r="I382" s="29">
        <v>89</v>
      </c>
      <c r="J382" s="29">
        <v>79</v>
      </c>
      <c r="K382" s="29">
        <v>85</v>
      </c>
      <c r="L382" s="29">
        <v>70</v>
      </c>
      <c r="M382" s="29">
        <v>76</v>
      </c>
      <c r="N382" s="29">
        <v>76</v>
      </c>
      <c r="O382" s="32">
        <v>578</v>
      </c>
      <c r="P382" s="29" cm="1">
        <f t="array" ref="P382">IF(表成绩单[[#This Row],[语文]]="","",SUMPRODUCT((表成绩单[考试日期]=表成绩单[[#This Row],[考试日期]])*(表成绩单[语文]&lt;9E+307)*(表成绩单[语文]&gt;表成绩单[[#This Row],[语文]]))+1)</f>
        <v>126</v>
      </c>
      <c r="Q382" s="29" cm="1">
        <f t="array" ref="Q382">IF(表成绩单[[#This Row],[数学]]="","",SUMPRODUCT((表成绩单[考试日期]=表成绩单[[#This Row],[考试日期]])*(表成绩单[数学]&lt;9E+307)*(表成绩单[数学]&gt;表成绩单[[#This Row],[数学]]))+1)</f>
        <v>518</v>
      </c>
      <c r="R382" s="29" cm="1">
        <f t="array" ref="R382">IF(表成绩单[[#This Row],[英语]]="","",SUMPRODUCT((表成绩单[考试日期]=表成绩单[[#This Row],[考试日期]])*(表成绩单[英语]&lt;9E+307)*(表成绩单[英语]&gt;表成绩单[[#This Row],[英语]]))+1)</f>
        <v>292</v>
      </c>
      <c r="S382" s="29" cm="1">
        <f t="array" ref="S382">IF(表成绩单[[#This Row],[物理]]="","",SUMPRODUCT((表成绩单[考试日期]=表成绩单[[#This Row],[考试日期]])*(表成绩单[物理]&lt;9E+307)*(表成绩单[物理]&gt;表成绩单[[#This Row],[物理]]))+1)</f>
        <v>263</v>
      </c>
      <c r="T382" s="29" cm="1">
        <f t="array" ref="T382">IF(表成绩单[[#This Row],[化学]]="","",SUMPRODUCT((表成绩单[考试日期]=表成绩单[[#This Row],[考试日期]])*(表成绩单[化学]&lt;9E+307)*(表成绩单[化学]&gt;表成绩单[[#This Row],[化学]]))+1)</f>
        <v>453</v>
      </c>
      <c r="U382" s="29" cm="1">
        <f t="array" ref="U382">IF(表成绩单[[#This Row],[政治]]="","",SUMPRODUCT((表成绩单[考试日期]=表成绩单[[#This Row],[考试日期]])*(表成绩单[政治]&lt;9E+307)*(表成绩单[政治]&gt;表成绩单[[#This Row],[政治]]))+1)</f>
        <v>329</v>
      </c>
      <c r="V382" s="29" cm="1">
        <f t="array" ref="V382">IF(表成绩单[[#This Row],[历史]]="","",SUMPRODUCT((表成绩单[考试日期]=表成绩单[[#This Row],[考试日期]])*(表成绩单[历史]&lt;9E+307)*(表成绩单[历史]&gt;表成绩单[[#This Row],[历史]]))+1)</f>
        <v>278</v>
      </c>
      <c r="W382" s="29" cm="1">
        <f t="array" ref="W382">IF(表成绩单[[#This Row],[总分]]="","",SUMPRODUCT((表成绩单[考试日期]=表成绩单[[#This Row],[考试日期]])*(表成绩单[总分]&lt;9E+307)*(表成绩单[总分]&gt;表成绩单[[#This Row],[总分]]))+1)</f>
        <v>376</v>
      </c>
    </row>
    <row r="383" ht="28" customHeight="1" spans="4:23">
      <c r="D383" s="31">
        <v>45975</v>
      </c>
      <c r="E383" s="29">
        <v>19175988</v>
      </c>
      <c r="F383" s="29" t="s">
        <v>59</v>
      </c>
      <c r="G383" s="29" t="s">
        <v>456</v>
      </c>
      <c r="H383" s="29">
        <v>101</v>
      </c>
      <c r="I383" s="29">
        <v>98</v>
      </c>
      <c r="J383" s="29">
        <v>71.5</v>
      </c>
      <c r="K383" s="29">
        <v>86</v>
      </c>
      <c r="L383" s="29">
        <v>78</v>
      </c>
      <c r="M383" s="29">
        <v>68</v>
      </c>
      <c r="N383" s="29">
        <v>75</v>
      </c>
      <c r="O383" s="32">
        <v>577.5</v>
      </c>
      <c r="P383" s="29" cm="1">
        <f t="array" ref="P383">IF(表成绩单[[#This Row],[语文]]="","",SUMPRODUCT((表成绩单[考试日期]=表成绩单[[#This Row],[考试日期]])*(表成绩单[语文]&lt;9E+307)*(表成绩单[语文]&gt;表成绩单[[#This Row],[语文]]))+1)</f>
        <v>190</v>
      </c>
      <c r="Q383" s="29" cm="1">
        <f t="array" ref="Q383">IF(表成绩单[[#This Row],[数学]]="","",SUMPRODUCT((表成绩单[考试日期]=表成绩单[[#This Row],[考试日期]])*(表成绩单[数学]&lt;9E+307)*(表成绩单[数学]&gt;表成绩单[[#This Row],[数学]]))+1)</f>
        <v>374</v>
      </c>
      <c r="R383" s="29" cm="1">
        <f t="array" ref="R383">IF(表成绩单[[#This Row],[英语]]="","",SUMPRODUCT((表成绩单[考试日期]=表成绩单[[#This Row],[考试日期]])*(表成绩单[英语]&lt;9E+307)*(表成绩单[英语]&gt;表成绩单[[#This Row],[英语]]))+1)</f>
        <v>520</v>
      </c>
      <c r="S383" s="29" cm="1">
        <f t="array" ref="S383">IF(表成绩单[[#This Row],[物理]]="","",SUMPRODUCT((表成绩单[考试日期]=表成绩单[[#This Row],[考试日期]])*(表成绩单[物理]&lt;9E+307)*(表成绩单[物理]&gt;表成绩单[[#This Row],[物理]]))+1)</f>
        <v>187</v>
      </c>
      <c r="T383" s="29" cm="1">
        <f t="array" ref="T383">IF(表成绩单[[#This Row],[化学]]="","",SUMPRODUCT((表成绩单[考试日期]=表成绩单[[#This Row],[考试日期]])*(表成绩单[化学]&lt;9E+307)*(表成绩单[化学]&gt;表成绩单[[#This Row],[化学]]))+1)</f>
        <v>200</v>
      </c>
      <c r="U383" s="29" cm="1">
        <f t="array" ref="U383">IF(表成绩单[[#This Row],[政治]]="","",SUMPRODUCT((表成绩单[考试日期]=表成绩单[[#This Row],[考试日期]])*(表成绩单[政治]&lt;9E+307)*(表成绩单[政治]&gt;表成绩单[[#This Row],[政治]]))+1)</f>
        <v>527</v>
      </c>
      <c r="V383" s="29" cm="1">
        <f t="array" ref="V383">IF(表成绩单[[#This Row],[历史]]="","",SUMPRODUCT((表成绩单[考试日期]=表成绩单[[#This Row],[考试日期]])*(表成绩单[历史]&lt;9E+307)*(表成绩单[历史]&gt;表成绩单[[#This Row],[历史]]))+1)</f>
        <v>315</v>
      </c>
      <c r="W383" s="29" cm="1">
        <f t="array" ref="W383">IF(表成绩单[[#This Row],[总分]]="","",SUMPRODUCT((表成绩单[考试日期]=表成绩单[[#This Row],[考试日期]])*(表成绩单[总分]&lt;9E+307)*(表成绩单[总分]&gt;表成绩单[[#This Row],[总分]]))+1)</f>
        <v>379</v>
      </c>
    </row>
    <row r="384" ht="28" customHeight="1" spans="4:23">
      <c r="D384" s="31">
        <v>45975</v>
      </c>
      <c r="E384" s="29">
        <v>19176173</v>
      </c>
      <c r="F384" s="29" t="s">
        <v>67</v>
      </c>
      <c r="G384" s="29" t="s">
        <v>457</v>
      </c>
      <c r="H384" s="29">
        <v>93</v>
      </c>
      <c r="I384" s="29">
        <v>104</v>
      </c>
      <c r="J384" s="29">
        <v>75.5</v>
      </c>
      <c r="K384" s="29">
        <v>85</v>
      </c>
      <c r="L384" s="29">
        <v>73</v>
      </c>
      <c r="M384" s="29">
        <v>80</v>
      </c>
      <c r="N384" s="29">
        <v>67</v>
      </c>
      <c r="O384" s="32">
        <v>577.5</v>
      </c>
      <c r="P384" s="29" cm="1">
        <f t="array" ref="P384">IF(表成绩单[[#This Row],[语文]]="","",SUMPRODUCT((表成绩单[考试日期]=表成绩单[[#This Row],[考试日期]])*(表成绩单[语文]&lt;9E+307)*(表成绩单[语文]&gt;表成绩单[[#This Row],[语文]]))+1)</f>
        <v>489</v>
      </c>
      <c r="Q384" s="29" cm="1">
        <f t="array" ref="Q384">IF(表成绩单[[#This Row],[数学]]="","",SUMPRODUCT((表成绩单[考试日期]=表成绩单[[#This Row],[考试日期]])*(表成绩单[数学]&lt;9E+307)*(表成绩单[数学]&gt;表成绩单[[#This Row],[数学]]))+1)</f>
        <v>260</v>
      </c>
      <c r="R384" s="29" cm="1">
        <f t="array" ref="R384">IF(表成绩单[[#This Row],[英语]]="","",SUMPRODUCT((表成绩单[考试日期]=表成绩单[[#This Row],[考试日期]])*(表成绩单[英语]&lt;9E+307)*(表成绩单[英语]&gt;表成绩单[[#This Row],[英语]]))+1)</f>
        <v>418</v>
      </c>
      <c r="S384" s="29" cm="1">
        <f t="array" ref="S384">IF(表成绩单[[#This Row],[物理]]="","",SUMPRODUCT((表成绩单[考试日期]=表成绩单[[#This Row],[考试日期]])*(表成绩单[物理]&lt;9E+307)*(表成绩单[物理]&gt;表成绩单[[#This Row],[物理]]))+1)</f>
        <v>263</v>
      </c>
      <c r="T384" s="29" cm="1">
        <f t="array" ref="T384">IF(表成绩单[[#This Row],[化学]]="","",SUMPRODUCT((表成绩单[考试日期]=表成绩单[[#This Row],[考试日期]])*(表成绩单[化学]&lt;9E+307)*(表成绩单[化学]&gt;表成绩单[[#This Row],[化学]]))+1)</f>
        <v>365</v>
      </c>
      <c r="U384" s="29" cm="1">
        <f t="array" ref="U384">IF(表成绩单[[#This Row],[政治]]="","",SUMPRODUCT((表成绩单[考试日期]=表成绩单[[#This Row],[考试日期]])*(表成绩单[政治]&lt;9E+307)*(表成绩单[政治]&gt;表成绩单[[#This Row],[政治]]))+1)</f>
        <v>209</v>
      </c>
      <c r="V384" s="29" cm="1">
        <f t="array" ref="V384">IF(表成绩单[[#This Row],[历史]]="","",SUMPRODUCT((表成绩单[考试日期]=表成绩单[[#This Row],[考试日期]])*(表成绩单[历史]&lt;9E+307)*(表成绩单[历史]&gt;表成绩单[[#This Row],[历史]]))+1)</f>
        <v>597</v>
      </c>
      <c r="W384" s="29" cm="1">
        <f t="array" ref="W384">IF(表成绩单[[#This Row],[总分]]="","",SUMPRODUCT((表成绩单[考试日期]=表成绩单[[#This Row],[考试日期]])*(表成绩单[总分]&lt;9E+307)*(表成绩单[总分]&gt;表成绩单[[#This Row],[总分]]))+1)</f>
        <v>379</v>
      </c>
    </row>
    <row r="385" ht="28" customHeight="1" spans="4:23">
      <c r="D385" s="31">
        <v>45975</v>
      </c>
      <c r="E385" s="29">
        <v>19174444</v>
      </c>
      <c r="F385" s="29" t="s">
        <v>73</v>
      </c>
      <c r="G385" s="29" t="s">
        <v>458</v>
      </c>
      <c r="H385" s="29">
        <v>91</v>
      </c>
      <c r="I385" s="29">
        <v>102</v>
      </c>
      <c r="J385" s="29">
        <v>72</v>
      </c>
      <c r="K385" s="29">
        <v>78</v>
      </c>
      <c r="L385" s="29">
        <v>77</v>
      </c>
      <c r="M385" s="29">
        <v>80</v>
      </c>
      <c r="N385" s="29">
        <v>77</v>
      </c>
      <c r="O385" s="32">
        <v>577</v>
      </c>
      <c r="P385" s="29" cm="1">
        <f t="array" ref="P385">IF(表成绩单[[#This Row],[语文]]="","",SUMPRODUCT((表成绩单[考试日期]=表成绩单[[#This Row],[考试日期]])*(表成绩单[语文]&lt;9E+307)*(表成绩单[语文]&gt;表成绩单[[#This Row],[语文]]))+1)</f>
        <v>536</v>
      </c>
      <c r="Q385" s="29" cm="1">
        <f t="array" ref="Q385">IF(表成绩单[[#This Row],[数学]]="","",SUMPRODUCT((表成绩单[考试日期]=表成绩单[[#This Row],[考试日期]])*(表成绩单[数学]&lt;9E+307)*(表成绩单[数学]&gt;表成绩单[[#This Row],[数学]]))+1)</f>
        <v>298</v>
      </c>
      <c r="R385" s="29" cm="1">
        <f t="array" ref="R385">IF(表成绩单[[#This Row],[英语]]="","",SUMPRODUCT((表成绩单[考试日期]=表成绩单[[#This Row],[考试日期]])*(表成绩单[英语]&lt;9E+307)*(表成绩单[英语]&gt;表成绩单[[#This Row],[英语]]))+1)</f>
        <v>507</v>
      </c>
      <c r="S385" s="29" cm="1">
        <f t="array" ref="S385">IF(表成绩单[[#This Row],[物理]]="","",SUMPRODUCT((表成绩单[考试日期]=表成绩单[[#This Row],[考试日期]])*(表成绩单[物理]&lt;9E+307)*(表成绩单[物理]&gt;表成绩单[[#This Row],[物理]]))+1)</f>
        <v>554</v>
      </c>
      <c r="T385" s="29" cm="1">
        <f t="array" ref="T385">IF(表成绩单[[#This Row],[化学]]="","",SUMPRODUCT((表成绩单[考试日期]=表成绩单[[#This Row],[考试日期]])*(表成绩单[化学]&lt;9E+307)*(表成绩单[化学]&gt;表成绩单[[#This Row],[化学]]))+1)</f>
        <v>239</v>
      </c>
      <c r="U385" s="29" cm="1">
        <f t="array" ref="U385">IF(表成绩单[[#This Row],[政治]]="","",SUMPRODUCT((表成绩单[考试日期]=表成绩单[[#This Row],[考试日期]])*(表成绩单[政治]&lt;9E+307)*(表成绩单[政治]&gt;表成绩单[[#This Row],[政治]]))+1)</f>
        <v>209</v>
      </c>
      <c r="V385" s="29" cm="1">
        <f t="array" ref="V385">IF(表成绩单[[#This Row],[历史]]="","",SUMPRODUCT((表成绩单[考试日期]=表成绩单[[#This Row],[考试日期]])*(表成绩单[历史]&lt;9E+307)*(表成绩单[历史]&gt;表成绩单[[#This Row],[历史]]))+1)</f>
        <v>237</v>
      </c>
      <c r="W385" s="29" cm="1">
        <f t="array" ref="W385">IF(表成绩单[[#This Row],[总分]]="","",SUMPRODUCT((表成绩单[考试日期]=表成绩单[[#This Row],[考试日期]])*(表成绩单[总分]&lt;9E+307)*(表成绩单[总分]&gt;表成绩单[[#This Row],[总分]]))+1)</f>
        <v>381</v>
      </c>
    </row>
    <row r="386" ht="28" customHeight="1" spans="4:23">
      <c r="D386" s="31">
        <v>45975</v>
      </c>
      <c r="E386" s="29">
        <v>19175669</v>
      </c>
      <c r="F386" s="29" t="s">
        <v>66</v>
      </c>
      <c r="G386" s="29" t="s">
        <v>459</v>
      </c>
      <c r="H386" s="29">
        <v>84</v>
      </c>
      <c r="I386" s="29">
        <v>101</v>
      </c>
      <c r="J386" s="29">
        <v>70</v>
      </c>
      <c r="K386" s="29">
        <v>86</v>
      </c>
      <c r="L386" s="29">
        <v>80</v>
      </c>
      <c r="M386" s="29">
        <v>83</v>
      </c>
      <c r="N386" s="29">
        <v>73</v>
      </c>
      <c r="O386" s="32">
        <v>577</v>
      </c>
      <c r="P386" s="29" cm="1">
        <f t="array" ref="P386">IF(表成绩单[[#This Row],[语文]]="","",SUMPRODUCT((表成绩单[考试日期]=表成绩单[[#This Row],[考试日期]])*(表成绩单[语文]&lt;9E+307)*(表成绩单[语文]&gt;表成绩单[[#This Row],[语文]]))+1)</f>
        <v>659</v>
      </c>
      <c r="Q386" s="29" cm="1">
        <f t="array" ref="Q386">IF(表成绩单[[#This Row],[数学]]="","",SUMPRODUCT((表成绩单[考试日期]=表成绩单[[#This Row],[考试日期]])*(表成绩单[数学]&lt;9E+307)*(表成绩单[数学]&gt;表成绩单[[#This Row],[数学]]))+1)</f>
        <v>319</v>
      </c>
      <c r="R386" s="29" cm="1">
        <f t="array" ref="R386">IF(表成绩单[[#This Row],[英语]]="","",SUMPRODUCT((表成绩单[考试日期]=表成绩单[[#This Row],[考试日期]])*(表成绩单[英语]&lt;9E+307)*(表成绩单[英语]&gt;表成绩单[[#This Row],[英语]]))+1)</f>
        <v>551</v>
      </c>
      <c r="S386" s="29" cm="1">
        <f t="array" ref="S386">IF(表成绩单[[#This Row],[物理]]="","",SUMPRODUCT((表成绩单[考试日期]=表成绩单[[#This Row],[考试日期]])*(表成绩单[物理]&lt;9E+307)*(表成绩单[物理]&gt;表成绩单[[#This Row],[物理]]))+1)</f>
        <v>187</v>
      </c>
      <c r="T386" s="29" cm="1">
        <f t="array" ref="T386">IF(表成绩单[[#This Row],[化学]]="","",SUMPRODUCT((表成绩单[考试日期]=表成绩单[[#This Row],[考试日期]])*(表成绩单[化学]&lt;9E+307)*(表成绩单[化学]&gt;表成绩单[[#This Row],[化学]]))+1)</f>
        <v>129</v>
      </c>
      <c r="U386" s="29" cm="1">
        <f t="array" ref="U386">IF(表成绩单[[#This Row],[政治]]="","",SUMPRODUCT((表成绩单[考试日期]=表成绩单[[#This Row],[考试日期]])*(表成绩单[政治]&lt;9E+307)*(表成绩单[政治]&gt;表成绩单[[#This Row],[政治]]))+1)</f>
        <v>121</v>
      </c>
      <c r="V386" s="29" cm="1">
        <f t="array" ref="V386">IF(表成绩单[[#This Row],[历史]]="","",SUMPRODUCT((表成绩单[考试日期]=表成绩单[[#This Row],[考试日期]])*(表成绩单[历史]&lt;9E+307)*(表成绩单[历史]&gt;表成绩单[[#This Row],[历史]]))+1)</f>
        <v>395</v>
      </c>
      <c r="W386" s="29" cm="1">
        <f t="array" ref="W386">IF(表成绩单[[#This Row],[总分]]="","",SUMPRODUCT((表成绩单[考试日期]=表成绩单[[#This Row],[考试日期]])*(表成绩单[总分]&lt;9E+307)*(表成绩单[总分]&gt;表成绩单[[#This Row],[总分]]))+1)</f>
        <v>381</v>
      </c>
    </row>
    <row r="387" ht="28" customHeight="1" spans="4:23">
      <c r="D387" s="31">
        <v>45975</v>
      </c>
      <c r="E387" s="29">
        <v>19178636</v>
      </c>
      <c r="F387" s="29" t="s">
        <v>25</v>
      </c>
      <c r="G387" s="29" t="s">
        <v>460</v>
      </c>
      <c r="H387" s="29">
        <v>100</v>
      </c>
      <c r="I387" s="29">
        <v>104</v>
      </c>
      <c r="J387" s="29">
        <v>70</v>
      </c>
      <c r="K387" s="29">
        <v>84</v>
      </c>
      <c r="L387" s="29">
        <v>72</v>
      </c>
      <c r="M387" s="29">
        <v>75</v>
      </c>
      <c r="N387" s="29">
        <v>72</v>
      </c>
      <c r="O387" s="32">
        <v>577</v>
      </c>
      <c r="P387" s="29" cm="1">
        <f t="array" ref="P387">IF(表成绩单[[#This Row],[语文]]="","",SUMPRODUCT((表成绩单[考试日期]=表成绩单[[#This Row],[考试日期]])*(表成绩单[语文]&lt;9E+307)*(表成绩单[语文]&gt;表成绩单[[#This Row],[语文]]))+1)</f>
        <v>223</v>
      </c>
      <c r="Q387" s="29" cm="1">
        <f t="array" ref="Q387">IF(表成绩单[[#This Row],[数学]]="","",SUMPRODUCT((表成绩单[考试日期]=表成绩单[[#This Row],[考试日期]])*(表成绩单[数学]&lt;9E+307)*(表成绩单[数学]&gt;表成绩单[[#This Row],[数学]]))+1)</f>
        <v>260</v>
      </c>
      <c r="R387" s="29" cm="1">
        <f t="array" ref="R387">IF(表成绩单[[#This Row],[英语]]="","",SUMPRODUCT((表成绩单[考试日期]=表成绩单[[#This Row],[考试日期]])*(表成绩单[英语]&lt;9E+307)*(表成绩单[英语]&gt;表成绩单[[#This Row],[英语]]))+1)</f>
        <v>551</v>
      </c>
      <c r="S387" s="29" cm="1">
        <f t="array" ref="S387">IF(表成绩单[[#This Row],[物理]]="","",SUMPRODUCT((表成绩单[考试日期]=表成绩单[[#This Row],[考试日期]])*(表成绩单[物理]&lt;9E+307)*(表成绩单[物理]&gt;表成绩单[[#This Row],[物理]]))+1)</f>
        <v>344</v>
      </c>
      <c r="T387" s="29" cm="1">
        <f t="array" ref="T387">IF(表成绩单[[#This Row],[化学]]="","",SUMPRODUCT((表成绩单[考试日期]=表成绩单[[#This Row],[考试日期]])*(表成绩单[化学]&lt;9E+307)*(表成绩单[化学]&gt;表成绩单[[#This Row],[化学]]))+1)</f>
        <v>405</v>
      </c>
      <c r="U387" s="29" cm="1">
        <f t="array" ref="U387">IF(表成绩单[[#This Row],[政治]]="","",SUMPRODUCT((表成绩单[考试日期]=表成绩单[[#This Row],[考试日期]])*(表成绩单[政治]&lt;9E+307)*(表成绩单[政治]&gt;表成绩单[[#This Row],[政治]]))+1)</f>
        <v>363</v>
      </c>
      <c r="V387" s="29" cm="1">
        <f t="array" ref="V387">IF(表成绩单[[#This Row],[历史]]="","",SUMPRODUCT((表成绩单[考试日期]=表成绩单[[#This Row],[考试日期]])*(表成绩单[历史]&lt;9E+307)*(表成绩单[历史]&gt;表成绩单[[#This Row],[历史]]))+1)</f>
        <v>438</v>
      </c>
      <c r="W387" s="29" cm="1">
        <f t="array" ref="W387">IF(表成绩单[[#This Row],[总分]]="","",SUMPRODUCT((表成绩单[考试日期]=表成绩单[[#This Row],[考试日期]])*(表成绩单[总分]&lt;9E+307)*(表成绩单[总分]&gt;表成绩单[[#This Row],[总分]]))+1)</f>
        <v>381</v>
      </c>
    </row>
    <row r="388" ht="28" customHeight="1" spans="4:23">
      <c r="D388" s="31">
        <v>45975</v>
      </c>
      <c r="E388" s="29">
        <v>19173780</v>
      </c>
      <c r="F388" s="29" t="s">
        <v>65</v>
      </c>
      <c r="G388" s="29" t="s">
        <v>461</v>
      </c>
      <c r="H388" s="29">
        <v>85</v>
      </c>
      <c r="I388" s="29">
        <v>94</v>
      </c>
      <c r="J388" s="29">
        <v>73.5</v>
      </c>
      <c r="K388" s="29">
        <v>82</v>
      </c>
      <c r="L388" s="29">
        <v>80</v>
      </c>
      <c r="M388" s="29">
        <v>84</v>
      </c>
      <c r="N388" s="29">
        <v>78</v>
      </c>
      <c r="O388" s="32">
        <v>576.5</v>
      </c>
      <c r="P388" s="29" cm="1">
        <f t="array" ref="P388">IF(表成绩单[[#This Row],[语文]]="","",SUMPRODUCT((表成绩单[考试日期]=表成绩单[[#This Row],[考试日期]])*(表成绩单[语文]&lt;9E+307)*(表成绩单[语文]&gt;表成绩单[[#This Row],[语文]]))+1)</f>
        <v>648</v>
      </c>
      <c r="Q388" s="29" cm="1">
        <f t="array" ref="Q388">IF(表成绩单[[#This Row],[数学]]="","",SUMPRODUCT((表成绩单[考试日期]=表成绩单[[#This Row],[考试日期]])*(表成绩单[数学]&lt;9E+307)*(表成绩单[数学]&gt;表成绩单[[#This Row],[数学]]))+1)</f>
        <v>454</v>
      </c>
      <c r="R388" s="29" cm="1">
        <f t="array" ref="R388">IF(表成绩单[[#This Row],[英语]]="","",SUMPRODUCT((表成绩单[考试日期]=表成绩单[[#This Row],[考试日期]])*(表成绩单[英语]&lt;9E+307)*(表成绩单[英语]&gt;表成绩单[[#This Row],[英语]]))+1)</f>
        <v>470</v>
      </c>
      <c r="S388" s="29" cm="1">
        <f t="array" ref="S388">IF(表成绩单[[#This Row],[物理]]="","",SUMPRODUCT((表成绩单[考试日期]=表成绩单[[#This Row],[考试日期]])*(表成绩单[物理]&lt;9E+307)*(表成绩单[物理]&gt;表成绩单[[#This Row],[物理]]))+1)</f>
        <v>433</v>
      </c>
      <c r="T388" s="29" cm="1">
        <f t="array" ref="T388">IF(表成绩单[[#This Row],[化学]]="","",SUMPRODUCT((表成绩单[考试日期]=表成绩单[[#This Row],[考试日期]])*(表成绩单[化学]&lt;9E+307)*(表成绩单[化学]&gt;表成绩单[[#This Row],[化学]]))+1)</f>
        <v>129</v>
      </c>
      <c r="U388" s="29" cm="1">
        <f t="array" ref="U388">IF(表成绩单[[#This Row],[政治]]="","",SUMPRODUCT((表成绩单[考试日期]=表成绩单[[#This Row],[考试日期]])*(表成绩单[政治]&lt;9E+307)*(表成绩单[政治]&gt;表成绩单[[#This Row],[政治]]))+1)</f>
        <v>83</v>
      </c>
      <c r="V388" s="29" cm="1">
        <f t="array" ref="V388">IF(表成绩单[[#This Row],[历史]]="","",SUMPRODUCT((表成绩单[考试日期]=表成绩单[[#This Row],[考试日期]])*(表成绩单[历史]&lt;9E+307)*(表成绩单[历史]&gt;表成绩单[[#This Row],[历史]]))+1)</f>
        <v>189</v>
      </c>
      <c r="W388" s="29" cm="1">
        <f t="array" ref="W388">IF(表成绩单[[#This Row],[总分]]="","",SUMPRODUCT((表成绩单[考试日期]=表成绩单[[#This Row],[考试日期]])*(表成绩单[总分]&lt;9E+307)*(表成绩单[总分]&gt;表成绩单[[#This Row],[总分]]))+1)</f>
        <v>384</v>
      </c>
    </row>
    <row r="389" ht="28" customHeight="1" spans="4:23">
      <c r="D389" s="31">
        <v>45975</v>
      </c>
      <c r="E389" s="29">
        <v>19173782</v>
      </c>
      <c r="F389" s="29" t="s">
        <v>65</v>
      </c>
      <c r="G389" s="29" t="s">
        <v>462</v>
      </c>
      <c r="H389" s="29">
        <v>87</v>
      </c>
      <c r="I389" s="29">
        <v>96</v>
      </c>
      <c r="J389" s="29">
        <v>77.5</v>
      </c>
      <c r="K389" s="29">
        <v>87</v>
      </c>
      <c r="L389" s="29">
        <v>73</v>
      </c>
      <c r="M389" s="29">
        <v>80</v>
      </c>
      <c r="N389" s="29">
        <v>76</v>
      </c>
      <c r="O389" s="32">
        <v>576.5</v>
      </c>
      <c r="P389" s="29" cm="1">
        <f t="array" ref="P389">IF(表成绩单[[#This Row],[语文]]="","",SUMPRODUCT((表成绩单[考试日期]=表成绩单[[#This Row],[考试日期]])*(表成绩单[语文]&lt;9E+307)*(表成绩单[语文]&gt;表成绩单[[#This Row],[语文]]))+1)</f>
        <v>615</v>
      </c>
      <c r="Q389" s="29" cm="1">
        <f t="array" ref="Q389">IF(表成绩单[[#This Row],[数学]]="","",SUMPRODUCT((表成绩单[考试日期]=表成绩单[[#This Row],[考试日期]])*(表成绩单[数学]&lt;9E+307)*(表成绩单[数学]&gt;表成绩单[[#This Row],[数学]]))+1)</f>
        <v>413</v>
      </c>
      <c r="R389" s="29" cm="1">
        <f t="array" ref="R389">IF(表成绩单[[#This Row],[英语]]="","",SUMPRODUCT((表成绩单[考试日期]=表成绩单[[#This Row],[考试日期]])*(表成绩单[英语]&lt;9E+307)*(表成绩单[英语]&gt;表成绩单[[#This Row],[英语]]))+1)</f>
        <v>345</v>
      </c>
      <c r="S389" s="29" cm="1">
        <f t="array" ref="S389">IF(表成绩单[[#This Row],[物理]]="","",SUMPRODUCT((表成绩单[考试日期]=表成绩单[[#This Row],[考试日期]])*(表成绩单[物理]&lt;9E+307)*(表成绩单[物理]&gt;表成绩单[[#This Row],[物理]]))+1)</f>
        <v>127</v>
      </c>
      <c r="T389" s="29" cm="1">
        <f t="array" ref="T389">IF(表成绩单[[#This Row],[化学]]="","",SUMPRODUCT((表成绩单[考试日期]=表成绩单[[#This Row],[考试日期]])*(表成绩单[化学]&lt;9E+307)*(表成绩单[化学]&gt;表成绩单[[#This Row],[化学]]))+1)</f>
        <v>365</v>
      </c>
      <c r="U389" s="29" cm="1">
        <f t="array" ref="U389">IF(表成绩单[[#This Row],[政治]]="","",SUMPRODUCT((表成绩单[考试日期]=表成绩单[[#This Row],[考试日期]])*(表成绩单[政治]&lt;9E+307)*(表成绩单[政治]&gt;表成绩单[[#This Row],[政治]]))+1)</f>
        <v>209</v>
      </c>
      <c r="V389" s="29" cm="1">
        <f t="array" ref="V389">IF(表成绩单[[#This Row],[历史]]="","",SUMPRODUCT((表成绩单[考试日期]=表成绩单[[#This Row],[考试日期]])*(表成绩单[历史]&lt;9E+307)*(表成绩单[历史]&gt;表成绩单[[#This Row],[历史]]))+1)</f>
        <v>278</v>
      </c>
      <c r="W389" s="29" cm="1">
        <f t="array" ref="W389">IF(表成绩单[[#This Row],[总分]]="","",SUMPRODUCT((表成绩单[考试日期]=表成绩单[[#This Row],[考试日期]])*(表成绩单[总分]&lt;9E+307)*(表成绩单[总分]&gt;表成绩单[[#This Row],[总分]]))+1)</f>
        <v>384</v>
      </c>
    </row>
    <row r="390" ht="28" customHeight="1" spans="4:23">
      <c r="D390" s="31">
        <v>45975</v>
      </c>
      <c r="E390" s="29">
        <v>19175392</v>
      </c>
      <c r="F390" s="29" t="s">
        <v>74</v>
      </c>
      <c r="G390" s="29" t="s">
        <v>463</v>
      </c>
      <c r="H390" s="29">
        <v>95</v>
      </c>
      <c r="I390" s="29">
        <v>95</v>
      </c>
      <c r="J390" s="29">
        <v>82</v>
      </c>
      <c r="K390" s="29">
        <v>85</v>
      </c>
      <c r="L390" s="29">
        <v>74</v>
      </c>
      <c r="M390" s="29">
        <v>73</v>
      </c>
      <c r="N390" s="29">
        <v>72</v>
      </c>
      <c r="O390" s="32">
        <v>576</v>
      </c>
      <c r="P390" s="29" cm="1">
        <f t="array" ref="P390">IF(表成绩单[[#This Row],[语文]]="","",SUMPRODUCT((表成绩单[考试日期]=表成绩单[[#This Row],[考试日期]])*(表成绩单[语文]&lt;9E+307)*(表成绩单[语文]&gt;表成绩单[[#This Row],[语文]]))+1)</f>
        <v>420</v>
      </c>
      <c r="Q390" s="29" cm="1">
        <f t="array" ref="Q390">IF(表成绩单[[#This Row],[数学]]="","",SUMPRODUCT((表成绩单[考试日期]=表成绩单[[#This Row],[考试日期]])*(表成绩单[数学]&lt;9E+307)*(表成绩单[数学]&gt;表成绩单[[#This Row],[数学]]))+1)</f>
        <v>430</v>
      </c>
      <c r="R390" s="29" cm="1">
        <f t="array" ref="R390">IF(表成绩单[[#This Row],[英语]]="","",SUMPRODUCT((表成绩单[考试日期]=表成绩单[[#This Row],[考试日期]])*(表成绩单[英语]&lt;9E+307)*(表成绩单[英语]&gt;表成绩单[[#This Row],[英语]]))+1)</f>
        <v>195</v>
      </c>
      <c r="S390" s="29" cm="1">
        <f t="array" ref="S390">IF(表成绩单[[#This Row],[物理]]="","",SUMPRODUCT((表成绩单[考试日期]=表成绩单[[#This Row],[考试日期]])*(表成绩单[物理]&lt;9E+307)*(表成绩单[物理]&gt;表成绩单[[#This Row],[物理]]))+1)</f>
        <v>263</v>
      </c>
      <c r="T390" s="29" cm="1">
        <f t="array" ref="T390">IF(表成绩单[[#This Row],[化学]]="","",SUMPRODUCT((表成绩单[考试日期]=表成绩单[[#This Row],[考试日期]])*(表成绩单[化学]&lt;9E+307)*(表成绩单[化学]&gt;表成绩单[[#This Row],[化学]]))+1)</f>
        <v>337</v>
      </c>
      <c r="U390" s="29" cm="1">
        <f t="array" ref="U390">IF(表成绩单[[#This Row],[政治]]="","",SUMPRODUCT((表成绩单[考试日期]=表成绩单[[#This Row],[考试日期]])*(表成绩单[政治]&lt;9E+307)*(表成绩单[政治]&gt;表成绩单[[#This Row],[政治]]))+1)</f>
        <v>418</v>
      </c>
      <c r="V390" s="29" cm="1">
        <f t="array" ref="V390">IF(表成绩单[[#This Row],[历史]]="","",SUMPRODUCT((表成绩单[考试日期]=表成绩单[[#This Row],[考试日期]])*(表成绩单[历史]&lt;9E+307)*(表成绩单[历史]&gt;表成绩单[[#This Row],[历史]]))+1)</f>
        <v>438</v>
      </c>
      <c r="W390" s="29" cm="1">
        <f t="array" ref="W390">IF(表成绩单[[#This Row],[总分]]="","",SUMPRODUCT((表成绩单[考试日期]=表成绩单[[#This Row],[考试日期]])*(表成绩单[总分]&lt;9E+307)*(表成绩单[总分]&gt;表成绩单[[#This Row],[总分]]))+1)</f>
        <v>386</v>
      </c>
    </row>
    <row r="391" ht="28" customHeight="1" spans="4:23">
      <c r="D391" s="31">
        <v>45975</v>
      </c>
      <c r="E391" s="29">
        <v>19175688</v>
      </c>
      <c r="F391" s="29" t="s">
        <v>72</v>
      </c>
      <c r="G391" s="29" t="s">
        <v>464</v>
      </c>
      <c r="H391" s="29">
        <v>96</v>
      </c>
      <c r="I391" s="29">
        <v>101</v>
      </c>
      <c r="J391" s="29">
        <v>88</v>
      </c>
      <c r="K391" s="29">
        <v>82</v>
      </c>
      <c r="L391" s="29">
        <v>69</v>
      </c>
      <c r="M391" s="29">
        <v>69</v>
      </c>
      <c r="N391" s="29">
        <v>71</v>
      </c>
      <c r="O391" s="32">
        <v>576</v>
      </c>
      <c r="P391" s="29" cm="1">
        <f t="array" ref="P391">IF(表成绩单[[#This Row],[语文]]="","",SUMPRODUCT((表成绩单[考试日期]=表成绩单[[#This Row],[考试日期]])*(表成绩单[语文]&lt;9E+307)*(表成绩单[语文]&gt;表成绩单[[#This Row],[语文]]))+1)</f>
        <v>387</v>
      </c>
      <c r="Q391" s="29" cm="1">
        <f t="array" ref="Q391">IF(表成绩单[[#This Row],[数学]]="","",SUMPRODUCT((表成绩单[考试日期]=表成绩单[[#This Row],[考试日期]])*(表成绩单[数学]&lt;9E+307)*(表成绩单[数学]&gt;表成绩单[[#This Row],[数学]]))+1)</f>
        <v>319</v>
      </c>
      <c r="R391" s="29" cm="1">
        <f t="array" ref="R391">IF(表成绩单[[#This Row],[英语]]="","",SUMPRODUCT((表成绩单[考试日期]=表成绩单[[#This Row],[考试日期]])*(表成绩单[英语]&lt;9E+307)*(表成绩单[英语]&gt;表成绩单[[#This Row],[英语]]))+1)</f>
        <v>10</v>
      </c>
      <c r="S391" s="29" cm="1">
        <f t="array" ref="S391">IF(表成绩单[[#This Row],[物理]]="","",SUMPRODUCT((表成绩单[考试日期]=表成绩单[[#This Row],[考试日期]])*(表成绩单[物理]&lt;9E+307)*(表成绩单[物理]&gt;表成绩单[[#This Row],[物理]]))+1)</f>
        <v>433</v>
      </c>
      <c r="T391" s="29" cm="1">
        <f t="array" ref="T391">IF(表成绩单[[#This Row],[化学]]="","",SUMPRODUCT((表成绩单[考试日期]=表成绩单[[#This Row],[考试日期]])*(表成绩单[化学]&lt;9E+307)*(表成绩单[化学]&gt;表成绩单[[#This Row],[化学]]))+1)</f>
        <v>478</v>
      </c>
      <c r="U391" s="29" cm="1">
        <f t="array" ref="U391">IF(表成绩单[[#This Row],[政治]]="","",SUMPRODUCT((表成绩单[考试日期]=表成绩单[[#This Row],[考试日期]])*(表成绩单[政治]&lt;9E+307)*(表成绩单[政治]&gt;表成绩单[[#This Row],[政治]]))+1)</f>
        <v>507</v>
      </c>
      <c r="V391" s="29" cm="1">
        <f t="array" ref="V391">IF(表成绩单[[#This Row],[历史]]="","",SUMPRODUCT((表成绩单[考试日期]=表成绩单[[#This Row],[考试日期]])*(表成绩单[历史]&lt;9E+307)*(表成绩单[历史]&gt;表成绩单[[#This Row],[历史]]))+1)</f>
        <v>480</v>
      </c>
      <c r="W391" s="29" cm="1">
        <f t="array" ref="W391">IF(表成绩单[[#This Row],[总分]]="","",SUMPRODUCT((表成绩单[考试日期]=表成绩单[[#This Row],[考试日期]])*(表成绩单[总分]&lt;9E+307)*(表成绩单[总分]&gt;表成绩单[[#This Row],[总分]]))+1)</f>
        <v>386</v>
      </c>
    </row>
    <row r="392" ht="28" customHeight="1" spans="4:23">
      <c r="D392" s="31">
        <v>45975</v>
      </c>
      <c r="E392" s="29">
        <v>19176893</v>
      </c>
      <c r="F392" s="29" t="s">
        <v>71</v>
      </c>
      <c r="G392" s="29" t="s">
        <v>465</v>
      </c>
      <c r="H392" s="29">
        <v>87</v>
      </c>
      <c r="I392" s="29">
        <v>106</v>
      </c>
      <c r="J392" s="29">
        <v>74</v>
      </c>
      <c r="K392" s="29">
        <v>86</v>
      </c>
      <c r="L392" s="29">
        <v>82</v>
      </c>
      <c r="M392" s="29">
        <v>70</v>
      </c>
      <c r="N392" s="29">
        <v>71</v>
      </c>
      <c r="O392" s="32">
        <v>576</v>
      </c>
      <c r="P392" s="29" cm="1">
        <f t="array" ref="P392">IF(表成绩单[[#This Row],[语文]]="","",SUMPRODUCT((表成绩单[考试日期]=表成绩单[[#This Row],[考试日期]])*(表成绩单[语文]&lt;9E+307)*(表成绩单[语文]&gt;表成绩单[[#This Row],[语文]]))+1)</f>
        <v>615</v>
      </c>
      <c r="Q392" s="29" cm="1">
        <f t="array" ref="Q392">IF(表成绩单[[#This Row],[数学]]="","",SUMPRODUCT((表成绩单[考试日期]=表成绩单[[#This Row],[考试日期]])*(表成绩单[数学]&lt;9E+307)*(表成绩单[数学]&gt;表成绩单[[#This Row],[数学]]))+1)</f>
        <v>220</v>
      </c>
      <c r="R392" s="29" cm="1">
        <f t="array" ref="R392">IF(表成绩单[[#This Row],[英语]]="","",SUMPRODUCT((表成绩单[考试日期]=表成绩单[[#This Row],[考试日期]])*(表成绩单[英语]&lt;9E+307)*(表成绩单[英语]&gt;表成绩单[[#This Row],[英语]]))+1)</f>
        <v>454</v>
      </c>
      <c r="S392" s="29" cm="1">
        <f t="array" ref="S392">IF(表成绩单[[#This Row],[物理]]="","",SUMPRODUCT((表成绩单[考试日期]=表成绩单[[#This Row],[考试日期]])*(表成绩单[物理]&lt;9E+307)*(表成绩单[物理]&gt;表成绩单[[#This Row],[物理]]))+1)</f>
        <v>187</v>
      </c>
      <c r="T392" s="29" cm="1">
        <f t="array" ref="T392">IF(表成绩单[[#This Row],[化学]]="","",SUMPRODUCT((表成绩单[考试日期]=表成绩单[[#This Row],[考试日期]])*(表成绩单[化学]&lt;9E+307)*(表成绩单[化学]&gt;表成绩单[[#This Row],[化学]]))+1)</f>
        <v>71</v>
      </c>
      <c r="U392" s="29" cm="1">
        <f t="array" ref="U392">IF(表成绩单[[#This Row],[政治]]="","",SUMPRODUCT((表成绩单[考试日期]=表成绩单[[#This Row],[考试日期]])*(表成绩单[政治]&lt;9E+307)*(表成绩单[政治]&gt;表成绩单[[#This Row],[政治]]))+1)</f>
        <v>493</v>
      </c>
      <c r="V392" s="29" cm="1">
        <f t="array" ref="V392">IF(表成绩单[[#This Row],[历史]]="","",SUMPRODUCT((表成绩单[考试日期]=表成绩单[[#This Row],[考试日期]])*(表成绩单[历史]&lt;9E+307)*(表成绩单[历史]&gt;表成绩单[[#This Row],[历史]]))+1)</f>
        <v>480</v>
      </c>
      <c r="W392" s="29" cm="1">
        <f t="array" ref="W392">IF(表成绩单[[#This Row],[总分]]="","",SUMPRODUCT((表成绩单[考试日期]=表成绩单[[#This Row],[考试日期]])*(表成绩单[总分]&lt;9E+307)*(表成绩单[总分]&gt;表成绩单[[#This Row],[总分]]))+1)</f>
        <v>386</v>
      </c>
    </row>
    <row r="393" ht="28" customHeight="1" spans="4:23">
      <c r="D393" s="31">
        <v>45975</v>
      </c>
      <c r="E393" s="29">
        <v>19176894</v>
      </c>
      <c r="F393" s="29" t="s">
        <v>71</v>
      </c>
      <c r="G393" s="29" t="s">
        <v>466</v>
      </c>
      <c r="H393" s="29">
        <v>94</v>
      </c>
      <c r="I393" s="29">
        <v>109</v>
      </c>
      <c r="J393" s="29">
        <v>74.5</v>
      </c>
      <c r="K393" s="29">
        <v>89</v>
      </c>
      <c r="L393" s="29">
        <v>75</v>
      </c>
      <c r="M393" s="29">
        <v>61</v>
      </c>
      <c r="N393" s="29">
        <v>73</v>
      </c>
      <c r="O393" s="32">
        <v>575.5</v>
      </c>
      <c r="P393" s="29" cm="1">
        <f t="array" ref="P393">IF(表成绩单[[#This Row],[语文]]="","",SUMPRODUCT((表成绩单[考试日期]=表成绩单[[#This Row],[考试日期]])*(表成绩单[语文]&lt;9E+307)*(表成绩单[语文]&gt;表成绩单[[#This Row],[语文]]))+1)</f>
        <v>452</v>
      </c>
      <c r="Q393" s="29" cm="1">
        <f t="array" ref="Q393">IF(表成绩单[[#This Row],[数学]]="","",SUMPRODUCT((表成绩单[考试日期]=表成绩单[[#This Row],[考试日期]])*(表成绩单[数学]&lt;9E+307)*(表成绩单[数学]&gt;表成绩单[[#This Row],[数学]]))+1)</f>
        <v>165</v>
      </c>
      <c r="R393" s="29" cm="1">
        <f t="array" ref="R393">IF(表成绩单[[#This Row],[英语]]="","",SUMPRODUCT((表成绩单[考试日期]=表成绩单[[#This Row],[考试日期]])*(表成绩单[英语]&lt;9E+307)*(表成绩单[英语]&gt;表成绩单[[#This Row],[英语]]))+1)</f>
        <v>445</v>
      </c>
      <c r="S393" s="29" cm="1">
        <f t="array" ref="S393">IF(表成绩单[[#This Row],[物理]]="","",SUMPRODUCT((表成绩单[考试日期]=表成绩单[[#This Row],[考试日期]])*(表成绩单[物理]&lt;9E+307)*(表成绩单[物理]&gt;表成绩单[[#This Row],[物理]]))+1)</f>
        <v>18</v>
      </c>
      <c r="T393" s="29" cm="1">
        <f t="array" ref="T393">IF(表成绩单[[#This Row],[化学]]="","",SUMPRODUCT((表成绩单[考试日期]=表成绩单[[#This Row],[考试日期]])*(表成绩单[化学]&lt;9E+307)*(表成绩单[化学]&gt;表成绩单[[#This Row],[化学]]))+1)</f>
        <v>310</v>
      </c>
      <c r="U393" s="29" cm="1">
        <f t="array" ref="U393">IF(表成绩单[[#This Row],[政治]]="","",SUMPRODUCT((表成绩单[考试日期]=表成绩单[[#This Row],[考试日期]])*(表成绩单[政治]&lt;9E+307)*(表成绩单[政治]&gt;表成绩单[[#This Row],[政治]]))+1)</f>
        <v>644</v>
      </c>
      <c r="V393" s="29" cm="1">
        <f t="array" ref="V393">IF(表成绩单[[#This Row],[历史]]="","",SUMPRODUCT((表成绩单[考试日期]=表成绩单[[#This Row],[考试日期]])*(表成绩单[历史]&lt;9E+307)*(表成绩单[历史]&gt;表成绩单[[#This Row],[历史]]))+1)</f>
        <v>395</v>
      </c>
      <c r="W393" s="29" cm="1">
        <f t="array" ref="W393">IF(表成绩单[[#This Row],[总分]]="","",SUMPRODUCT((表成绩单[考试日期]=表成绩单[[#This Row],[考试日期]])*(表成绩单[总分]&lt;9E+307)*(表成绩单[总分]&gt;表成绩单[[#This Row],[总分]]))+1)</f>
        <v>389</v>
      </c>
    </row>
    <row r="394" ht="28" customHeight="1" spans="4:23">
      <c r="D394" s="31">
        <v>45975</v>
      </c>
      <c r="E394" s="29">
        <v>19174436</v>
      </c>
      <c r="F394" s="29" t="s">
        <v>73</v>
      </c>
      <c r="G394" s="29" t="s">
        <v>467</v>
      </c>
      <c r="H394" s="29">
        <v>103</v>
      </c>
      <c r="I394" s="29">
        <v>96</v>
      </c>
      <c r="J394" s="29">
        <v>76</v>
      </c>
      <c r="K394" s="29">
        <v>73</v>
      </c>
      <c r="L394" s="29">
        <v>81</v>
      </c>
      <c r="M394" s="29">
        <v>73</v>
      </c>
      <c r="N394" s="29">
        <v>73</v>
      </c>
      <c r="O394" s="32">
        <v>575</v>
      </c>
      <c r="P394" s="29" cm="1">
        <f t="array" ref="P394">IF(表成绩单[[#This Row],[语文]]="","",SUMPRODUCT((表成绩单[考试日期]=表成绩单[[#This Row],[考试日期]])*(表成绩单[语文]&lt;9E+307)*(表成绩单[语文]&gt;表成绩单[[#This Row],[语文]]))+1)</f>
        <v>126</v>
      </c>
      <c r="Q394" s="29" cm="1">
        <f t="array" ref="Q394">IF(表成绩单[[#This Row],[数学]]="","",SUMPRODUCT((表成绩单[考试日期]=表成绩单[[#This Row],[考试日期]])*(表成绩单[数学]&lt;9E+307)*(表成绩单[数学]&gt;表成绩单[[#This Row],[数学]]))+1)</f>
        <v>413</v>
      </c>
      <c r="R394" s="29" cm="1">
        <f t="array" ref="R394">IF(表成绩单[[#This Row],[英语]]="","",SUMPRODUCT((表成绩单[考试日期]=表成绩单[[#This Row],[考试日期]])*(表成绩单[英语]&lt;9E+307)*(表成绩单[英语]&gt;表成绩单[[#This Row],[英语]]))+1)</f>
        <v>399</v>
      </c>
      <c r="S394" s="29" cm="1">
        <f t="array" ref="S394">IF(表成绩单[[#This Row],[物理]]="","",SUMPRODUCT((表成绩单[考试日期]=表成绩单[[#This Row],[考试日期]])*(表成绩单[物理]&lt;9E+307)*(表成绩单[物理]&gt;表成绩单[[#This Row],[物理]]))+1)</f>
        <v>626</v>
      </c>
      <c r="T394" s="29" cm="1">
        <f t="array" ref="T394">IF(表成绩单[[#This Row],[化学]]="","",SUMPRODUCT((表成绩单[考试日期]=表成绩单[[#This Row],[考试日期]])*(表成绩单[化学]&lt;9E+307)*(表成绩单[化学]&gt;表成绩单[[#This Row],[化学]]))+1)</f>
        <v>100</v>
      </c>
      <c r="U394" s="29" cm="1">
        <f t="array" ref="U394">IF(表成绩单[[#This Row],[政治]]="","",SUMPRODUCT((表成绩单[考试日期]=表成绩单[[#This Row],[考试日期]])*(表成绩单[政治]&lt;9E+307)*(表成绩单[政治]&gt;表成绩单[[#This Row],[政治]]))+1)</f>
        <v>418</v>
      </c>
      <c r="V394" s="29" cm="1">
        <f t="array" ref="V394">IF(表成绩单[[#This Row],[历史]]="","",SUMPRODUCT((表成绩单[考试日期]=表成绩单[[#This Row],[考试日期]])*(表成绩单[历史]&lt;9E+307)*(表成绩单[历史]&gt;表成绩单[[#This Row],[历史]]))+1)</f>
        <v>395</v>
      </c>
      <c r="W394" s="29" cm="1">
        <f t="array" ref="W394">IF(表成绩单[[#This Row],[总分]]="","",SUMPRODUCT((表成绩单[考试日期]=表成绩单[[#This Row],[考试日期]])*(表成绩单[总分]&lt;9E+307)*(表成绩单[总分]&gt;表成绩单[[#This Row],[总分]]))+1)</f>
        <v>390</v>
      </c>
    </row>
    <row r="395" ht="28" customHeight="1" spans="4:23">
      <c r="D395" s="31">
        <v>45975</v>
      </c>
      <c r="E395" s="29">
        <v>19178629</v>
      </c>
      <c r="F395" s="29" t="s">
        <v>25</v>
      </c>
      <c r="G395" s="29" t="s">
        <v>468</v>
      </c>
      <c r="H395" s="29">
        <v>96</v>
      </c>
      <c r="I395" s="29">
        <v>94</v>
      </c>
      <c r="J395" s="29">
        <v>82</v>
      </c>
      <c r="K395" s="29">
        <v>76</v>
      </c>
      <c r="L395" s="29">
        <v>67</v>
      </c>
      <c r="M395" s="29">
        <v>83</v>
      </c>
      <c r="N395" s="29">
        <v>77</v>
      </c>
      <c r="O395" s="32">
        <v>575</v>
      </c>
      <c r="P395" s="29" cm="1">
        <f t="array" ref="P395">IF(表成绩单[[#This Row],[语文]]="","",SUMPRODUCT((表成绩单[考试日期]=表成绩单[[#This Row],[考试日期]])*(表成绩单[语文]&lt;9E+307)*(表成绩单[语文]&gt;表成绩单[[#This Row],[语文]]))+1)</f>
        <v>387</v>
      </c>
      <c r="Q395" s="29" cm="1">
        <f t="array" ref="Q395">IF(表成绩单[[#This Row],[数学]]="","",SUMPRODUCT((表成绩单[考试日期]=表成绩单[[#This Row],[考试日期]])*(表成绩单[数学]&lt;9E+307)*(表成绩单[数学]&gt;表成绩单[[#This Row],[数学]]))+1)</f>
        <v>454</v>
      </c>
      <c r="R395" s="29" cm="1">
        <f t="array" ref="R395">IF(表成绩单[[#This Row],[英语]]="","",SUMPRODUCT((表成绩单[考试日期]=表成绩单[[#This Row],[考试日期]])*(表成绩单[英语]&lt;9E+307)*(表成绩单[英语]&gt;表成绩单[[#This Row],[英语]]))+1)</f>
        <v>195</v>
      </c>
      <c r="S395" s="29" cm="1">
        <f t="array" ref="S395">IF(表成绩单[[#This Row],[物理]]="","",SUMPRODUCT((表成绩单[考试日期]=表成绩单[[#This Row],[考试日期]])*(表成绩单[物理]&lt;9E+307)*(表成绩单[物理]&gt;表成绩单[[#This Row],[物理]]))+1)</f>
        <v>589</v>
      </c>
      <c r="T395" s="29" cm="1">
        <f t="array" ref="T395">IF(表成绩单[[#This Row],[化学]]="","",SUMPRODUCT((表成绩单[考试日期]=表成绩单[[#This Row],[考试日期]])*(表成绩单[化学]&lt;9E+307)*(表成绩单[化学]&gt;表成绩单[[#This Row],[化学]]))+1)</f>
        <v>524</v>
      </c>
      <c r="U395" s="29" cm="1">
        <f t="array" ref="U395">IF(表成绩单[[#This Row],[政治]]="","",SUMPRODUCT((表成绩单[考试日期]=表成绩单[[#This Row],[考试日期]])*(表成绩单[政治]&lt;9E+307)*(表成绩单[政治]&gt;表成绩单[[#This Row],[政治]]))+1)</f>
        <v>121</v>
      </c>
      <c r="V395" s="29" cm="1">
        <f t="array" ref="V395">IF(表成绩单[[#This Row],[历史]]="","",SUMPRODUCT((表成绩单[考试日期]=表成绩单[[#This Row],[考试日期]])*(表成绩单[历史]&lt;9E+307)*(表成绩单[历史]&gt;表成绩单[[#This Row],[历史]]))+1)</f>
        <v>237</v>
      </c>
      <c r="W395" s="29" cm="1">
        <f t="array" ref="W395">IF(表成绩单[[#This Row],[总分]]="","",SUMPRODUCT((表成绩单[考试日期]=表成绩单[[#This Row],[考试日期]])*(表成绩单[总分]&lt;9E+307)*(表成绩单[总分]&gt;表成绩单[[#This Row],[总分]]))+1)</f>
        <v>390</v>
      </c>
    </row>
    <row r="396" ht="28" customHeight="1" spans="4:23">
      <c r="D396" s="31">
        <v>45975</v>
      </c>
      <c r="E396" s="29">
        <v>19173797</v>
      </c>
      <c r="F396" s="29" t="s">
        <v>65</v>
      </c>
      <c r="G396" s="29" t="s">
        <v>469</v>
      </c>
      <c r="H396" s="29">
        <v>89</v>
      </c>
      <c r="I396" s="29">
        <v>104</v>
      </c>
      <c r="J396" s="29">
        <v>72.5</v>
      </c>
      <c r="K396" s="29">
        <v>89</v>
      </c>
      <c r="L396" s="29">
        <v>80</v>
      </c>
      <c r="M396" s="29">
        <v>69</v>
      </c>
      <c r="N396" s="29">
        <v>71</v>
      </c>
      <c r="O396" s="32">
        <v>574.5</v>
      </c>
      <c r="P396" s="29" cm="1">
        <f t="array" ref="P396">IF(表成绩单[[#This Row],[语文]]="","",SUMPRODUCT((表成绩单[考试日期]=表成绩单[[#This Row],[考试日期]])*(表成绩单[语文]&lt;9E+307)*(表成绩单[语文]&gt;表成绩单[[#This Row],[语文]]))+1)</f>
        <v>582</v>
      </c>
      <c r="Q396" s="29" cm="1">
        <f t="array" ref="Q396">IF(表成绩单[[#This Row],[数学]]="","",SUMPRODUCT((表成绩单[考试日期]=表成绩单[[#This Row],[考试日期]])*(表成绩单[数学]&lt;9E+307)*(表成绩单[数学]&gt;表成绩单[[#This Row],[数学]]))+1)</f>
        <v>260</v>
      </c>
      <c r="R396" s="29" cm="1">
        <f t="array" ref="R396">IF(表成绩单[[#This Row],[英语]]="","",SUMPRODUCT((表成绩单[考试日期]=表成绩单[[#This Row],[考试日期]])*(表成绩单[英语]&lt;9E+307)*(表成绩单[英语]&gt;表成绩单[[#This Row],[英语]]))+1)</f>
        <v>498</v>
      </c>
      <c r="S396" s="29" cm="1">
        <f t="array" ref="S396">IF(表成绩单[[#This Row],[物理]]="","",SUMPRODUCT((表成绩单[考试日期]=表成绩单[[#This Row],[考试日期]])*(表成绩单[物理]&lt;9E+307)*(表成绩单[物理]&gt;表成绩单[[#This Row],[物理]]))+1)</f>
        <v>18</v>
      </c>
      <c r="T396" s="29" cm="1">
        <f t="array" ref="T396">IF(表成绩单[[#This Row],[化学]]="","",SUMPRODUCT((表成绩单[考试日期]=表成绩单[[#This Row],[考试日期]])*(表成绩单[化学]&lt;9E+307)*(表成绩单[化学]&gt;表成绩单[[#This Row],[化学]]))+1)</f>
        <v>129</v>
      </c>
      <c r="U396" s="29" cm="1">
        <f t="array" ref="U396">IF(表成绩单[[#This Row],[政治]]="","",SUMPRODUCT((表成绩单[考试日期]=表成绩单[[#This Row],[考试日期]])*(表成绩单[政治]&lt;9E+307)*(表成绩单[政治]&gt;表成绩单[[#This Row],[政治]]))+1)</f>
        <v>507</v>
      </c>
      <c r="V396" s="29" cm="1">
        <f t="array" ref="V396">IF(表成绩单[[#This Row],[历史]]="","",SUMPRODUCT((表成绩单[考试日期]=表成绩单[[#This Row],[考试日期]])*(表成绩单[历史]&lt;9E+307)*(表成绩单[历史]&gt;表成绩单[[#This Row],[历史]]))+1)</f>
        <v>480</v>
      </c>
      <c r="W396" s="29" cm="1">
        <f t="array" ref="W396">IF(表成绩单[[#This Row],[总分]]="","",SUMPRODUCT((表成绩单[考试日期]=表成绩单[[#This Row],[考试日期]])*(表成绩单[总分]&lt;9E+307)*(表成绩单[总分]&gt;表成绩单[[#This Row],[总分]]))+1)</f>
        <v>392</v>
      </c>
    </row>
    <row r="397" ht="28" customHeight="1" spans="4:23">
      <c r="D397" s="31">
        <v>45975</v>
      </c>
      <c r="E397" s="29">
        <v>19172638</v>
      </c>
      <c r="F397" s="29" t="s">
        <v>60</v>
      </c>
      <c r="G397" s="29" t="s">
        <v>470</v>
      </c>
      <c r="H397" s="29">
        <v>100</v>
      </c>
      <c r="I397" s="29">
        <v>87</v>
      </c>
      <c r="J397" s="29">
        <v>83</v>
      </c>
      <c r="K397" s="29">
        <v>85</v>
      </c>
      <c r="L397" s="29">
        <v>68</v>
      </c>
      <c r="M397" s="29">
        <v>74</v>
      </c>
      <c r="N397" s="29">
        <v>77</v>
      </c>
      <c r="O397" s="32">
        <v>574</v>
      </c>
      <c r="P397" s="29" cm="1">
        <f t="array" ref="P397">IF(表成绩单[[#This Row],[语文]]="","",SUMPRODUCT((表成绩单[考试日期]=表成绩单[[#This Row],[考试日期]])*(表成绩单[语文]&lt;9E+307)*(表成绩单[语文]&gt;表成绩单[[#This Row],[语文]]))+1)</f>
        <v>223</v>
      </c>
      <c r="Q397" s="29" cm="1">
        <f t="array" ref="Q397">IF(表成绩单[[#This Row],[数学]]="","",SUMPRODUCT((表成绩单[考试日期]=表成绩单[[#This Row],[考试日期]])*(表成绩单[数学]&lt;9E+307)*(表成绩单[数学]&gt;表成绩单[[#This Row],[数学]]))+1)</f>
        <v>547</v>
      </c>
      <c r="R397" s="29" cm="1">
        <f t="array" ref="R397">IF(表成绩单[[#This Row],[英语]]="","",SUMPRODUCT((表成绩单[考试日期]=表成绩单[[#This Row],[考试日期]])*(表成绩单[英语]&lt;9E+307)*(表成绩单[英语]&gt;表成绩单[[#This Row],[英语]]))+1)</f>
        <v>146</v>
      </c>
      <c r="S397" s="29" cm="1">
        <f t="array" ref="S397">IF(表成绩单[[#This Row],[物理]]="","",SUMPRODUCT((表成绩单[考试日期]=表成绩单[[#This Row],[考试日期]])*(表成绩单[物理]&lt;9E+307)*(表成绩单[物理]&gt;表成绩单[[#This Row],[物理]]))+1)</f>
        <v>263</v>
      </c>
      <c r="T397" s="29" cm="1">
        <f t="array" ref="T397">IF(表成绩单[[#This Row],[化学]]="","",SUMPRODUCT((表成绩单[考试日期]=表成绩单[[#This Row],[考试日期]])*(表成绩单[化学]&lt;9E+307)*(表成绩单[化学]&gt;表成绩单[[#This Row],[化学]]))+1)</f>
        <v>506</v>
      </c>
      <c r="U397" s="29" cm="1">
        <f t="array" ref="U397">IF(表成绩单[[#This Row],[政治]]="","",SUMPRODUCT((表成绩单[考试日期]=表成绩单[[#This Row],[考试日期]])*(表成绩单[政治]&lt;9E+307)*(表成绩单[政治]&gt;表成绩单[[#This Row],[政治]]))+1)</f>
        <v>389</v>
      </c>
      <c r="V397" s="29" cm="1">
        <f t="array" ref="V397">IF(表成绩单[[#This Row],[历史]]="","",SUMPRODUCT((表成绩单[考试日期]=表成绩单[[#This Row],[考试日期]])*(表成绩单[历史]&lt;9E+307)*(表成绩单[历史]&gt;表成绩单[[#This Row],[历史]]))+1)</f>
        <v>237</v>
      </c>
      <c r="W397" s="29" cm="1">
        <f t="array" ref="W397">IF(表成绩单[[#This Row],[总分]]="","",SUMPRODUCT((表成绩单[考试日期]=表成绩单[[#This Row],[考试日期]])*(表成绩单[总分]&lt;9E+307)*(表成绩单[总分]&gt;表成绩单[[#This Row],[总分]]))+1)</f>
        <v>393</v>
      </c>
    </row>
    <row r="398" ht="28" customHeight="1" spans="4:23">
      <c r="D398" s="31">
        <v>45975</v>
      </c>
      <c r="E398" s="29">
        <v>19174461</v>
      </c>
      <c r="F398" s="29" t="s">
        <v>73</v>
      </c>
      <c r="G398" s="29" t="s">
        <v>471</v>
      </c>
      <c r="H398" s="29">
        <v>99</v>
      </c>
      <c r="I398" s="29">
        <v>82</v>
      </c>
      <c r="J398" s="29">
        <v>84</v>
      </c>
      <c r="K398" s="29">
        <v>85</v>
      </c>
      <c r="L398" s="29">
        <v>71</v>
      </c>
      <c r="M398" s="29">
        <v>81</v>
      </c>
      <c r="N398" s="29">
        <v>72</v>
      </c>
      <c r="O398" s="32">
        <v>574</v>
      </c>
      <c r="P398" s="29" cm="1">
        <f t="array" ref="P398">IF(表成绩单[[#This Row],[语文]]="","",SUMPRODUCT((表成绩单[考试日期]=表成绩单[[#This Row],[考试日期]])*(表成绩单[语文]&lt;9E+307)*(表成绩单[语文]&gt;表成绩单[[#This Row],[语文]]))+1)</f>
        <v>264</v>
      </c>
      <c r="Q398" s="29" cm="1">
        <f t="array" ref="Q398">IF(表成绩单[[#This Row],[数学]]="","",SUMPRODUCT((表成绩单[考试日期]=表成绩单[[#This Row],[考试日期]])*(表成绩单[数学]&lt;9E+307)*(表成绩单[数学]&gt;表成绩单[[#This Row],[数学]]))+1)</f>
        <v>607</v>
      </c>
      <c r="R398" s="29" cm="1">
        <f t="array" ref="R398">IF(表成绩单[[#This Row],[英语]]="","",SUMPRODUCT((表成绩单[考试日期]=表成绩单[[#This Row],[考试日期]])*(表成绩单[英语]&lt;9E+307)*(表成绩单[英语]&gt;表成绩单[[#This Row],[英语]]))+1)</f>
        <v>102</v>
      </c>
      <c r="S398" s="29" cm="1">
        <f t="array" ref="S398">IF(表成绩单[[#This Row],[物理]]="","",SUMPRODUCT((表成绩单[考试日期]=表成绩单[[#This Row],[考试日期]])*(表成绩单[物理]&lt;9E+307)*(表成绩单[物理]&gt;表成绩单[[#This Row],[物理]]))+1)</f>
        <v>263</v>
      </c>
      <c r="T398" s="29" cm="1">
        <f t="array" ref="T398">IF(表成绩单[[#This Row],[化学]]="","",SUMPRODUCT((表成绩单[考试日期]=表成绩单[[#This Row],[考试日期]])*(表成绩单[化学]&lt;9E+307)*(表成绩单[化学]&gt;表成绩单[[#This Row],[化学]]))+1)</f>
        <v>432</v>
      </c>
      <c r="U398" s="29" cm="1">
        <f t="array" ref="U398">IF(表成绩单[[#This Row],[政治]]="","",SUMPRODUCT((表成绩单[考试日期]=表成绩单[[#This Row],[考试日期]])*(表成绩单[政治]&lt;9E+307)*(表成绩单[政治]&gt;表成绩单[[#This Row],[政治]]))+1)</f>
        <v>180</v>
      </c>
      <c r="V398" s="29" cm="1">
        <f t="array" ref="V398">IF(表成绩单[[#This Row],[历史]]="","",SUMPRODUCT((表成绩单[考试日期]=表成绩单[[#This Row],[考试日期]])*(表成绩单[历史]&lt;9E+307)*(表成绩单[历史]&gt;表成绩单[[#This Row],[历史]]))+1)</f>
        <v>438</v>
      </c>
      <c r="W398" s="29" cm="1">
        <f t="array" ref="W398">IF(表成绩单[[#This Row],[总分]]="","",SUMPRODUCT((表成绩单[考试日期]=表成绩单[[#This Row],[考试日期]])*(表成绩单[总分]&lt;9E+307)*(表成绩单[总分]&gt;表成绩单[[#This Row],[总分]]))+1)</f>
        <v>393</v>
      </c>
    </row>
    <row r="399" ht="28" customHeight="1" spans="4:23">
      <c r="D399" s="31">
        <v>45975</v>
      </c>
      <c r="E399" s="29">
        <v>19174779</v>
      </c>
      <c r="F399" s="29" t="s">
        <v>69</v>
      </c>
      <c r="G399" s="29" t="s">
        <v>472</v>
      </c>
      <c r="H399" s="29">
        <v>97</v>
      </c>
      <c r="I399" s="29">
        <v>96</v>
      </c>
      <c r="J399" s="29">
        <v>78</v>
      </c>
      <c r="K399" s="29">
        <v>88</v>
      </c>
      <c r="L399" s="29">
        <v>67</v>
      </c>
      <c r="M399" s="29">
        <v>78</v>
      </c>
      <c r="N399" s="29">
        <v>70</v>
      </c>
      <c r="O399" s="32">
        <v>574</v>
      </c>
      <c r="P399" s="29" cm="1">
        <f t="array" ref="P399">IF(表成绩单[[#This Row],[语文]]="","",SUMPRODUCT((表成绩单[考试日期]=表成绩单[[#This Row],[考试日期]])*(表成绩单[语文]&lt;9E+307)*(表成绩单[语文]&gt;表成绩单[[#This Row],[语文]]))+1)</f>
        <v>349</v>
      </c>
      <c r="Q399" s="29" cm="1">
        <f t="array" ref="Q399">IF(表成绩单[[#This Row],[数学]]="","",SUMPRODUCT((表成绩单[考试日期]=表成绩单[[#This Row],[考试日期]])*(表成绩单[数学]&lt;9E+307)*(表成绩单[数学]&gt;表成绩单[[#This Row],[数学]]))+1)</f>
        <v>413</v>
      </c>
      <c r="R399" s="29" cm="1">
        <f t="array" ref="R399">IF(表成绩单[[#This Row],[英语]]="","",SUMPRODUCT((表成绩单[考试日期]=表成绩单[[#This Row],[考试日期]])*(表成绩单[英语]&lt;9E+307)*(表成绩单[英语]&gt;表成绩单[[#This Row],[英语]]))+1)</f>
        <v>330</v>
      </c>
      <c r="S399" s="29" cm="1">
        <f t="array" ref="S399">IF(表成绩单[[#This Row],[物理]]="","",SUMPRODUCT((表成绩单[考试日期]=表成绩单[[#This Row],[考试日期]])*(表成绩单[物理]&lt;9E+307)*(表成绩单[物理]&gt;表成绩单[[#This Row],[物理]]))+1)</f>
        <v>54</v>
      </c>
      <c r="T399" s="29" cm="1">
        <f t="array" ref="T399">IF(表成绩单[[#This Row],[化学]]="","",SUMPRODUCT((表成绩单[考试日期]=表成绩单[[#This Row],[考试日期]])*(表成绩单[化学]&lt;9E+307)*(表成绩单[化学]&gt;表成绩单[[#This Row],[化学]]))+1)</f>
        <v>524</v>
      </c>
      <c r="U399" s="29" cm="1">
        <f t="array" ref="U399">IF(表成绩单[[#This Row],[政治]]="","",SUMPRODUCT((表成绩单[考试日期]=表成绩单[[#This Row],[考试日期]])*(表成绩单[政治]&lt;9E+307)*(表成绩单[政治]&gt;表成绩单[[#This Row],[政治]]))+1)</f>
        <v>272</v>
      </c>
      <c r="V399" s="29" cm="1">
        <f t="array" ref="V399">IF(表成绩单[[#This Row],[历史]]="","",SUMPRODUCT((表成绩单[考试日期]=表成绩单[[#This Row],[考试日期]])*(表成绩单[历史]&lt;9E+307)*(表成绩单[历史]&gt;表成绩单[[#This Row],[历史]]))+1)</f>
        <v>505</v>
      </c>
      <c r="W399" s="29" cm="1">
        <f t="array" ref="W399">IF(表成绩单[[#This Row],[总分]]="","",SUMPRODUCT((表成绩单[考试日期]=表成绩单[[#This Row],[考试日期]])*(表成绩单[总分]&lt;9E+307)*(表成绩单[总分]&gt;表成绩单[[#This Row],[总分]]))+1)</f>
        <v>393</v>
      </c>
    </row>
    <row r="400" ht="28" customHeight="1" spans="4:23">
      <c r="D400" s="31">
        <v>45975</v>
      </c>
      <c r="E400" s="29">
        <v>19174794</v>
      </c>
      <c r="F400" s="29" t="s">
        <v>69</v>
      </c>
      <c r="G400" s="29" t="s">
        <v>473</v>
      </c>
      <c r="H400" s="29">
        <v>101</v>
      </c>
      <c r="I400" s="29">
        <v>84</v>
      </c>
      <c r="J400" s="29">
        <v>78</v>
      </c>
      <c r="K400" s="29">
        <v>81</v>
      </c>
      <c r="L400" s="29">
        <v>71</v>
      </c>
      <c r="M400" s="29">
        <v>80</v>
      </c>
      <c r="N400" s="29">
        <v>79</v>
      </c>
      <c r="O400" s="32">
        <v>574</v>
      </c>
      <c r="P400" s="29" cm="1">
        <f t="array" ref="P400">IF(表成绩单[[#This Row],[语文]]="","",SUMPRODUCT((表成绩单[考试日期]=表成绩单[[#This Row],[考试日期]])*(表成绩单[语文]&lt;9E+307)*(表成绩单[语文]&gt;表成绩单[[#This Row],[语文]]))+1)</f>
        <v>190</v>
      </c>
      <c r="Q400" s="29" cm="1">
        <f t="array" ref="Q400">IF(表成绩单[[#This Row],[数学]]="","",SUMPRODUCT((表成绩单[考试日期]=表成绩单[[#This Row],[考试日期]])*(表成绩单[数学]&lt;9E+307)*(表成绩单[数学]&gt;表成绩单[[#This Row],[数学]]))+1)</f>
        <v>580</v>
      </c>
      <c r="R400" s="29" cm="1">
        <f t="array" ref="R400">IF(表成绩单[[#This Row],[英语]]="","",SUMPRODUCT((表成绩单[考试日期]=表成绩单[[#This Row],[考试日期]])*(表成绩单[英语]&lt;9E+307)*(表成绩单[英语]&gt;表成绩单[[#This Row],[英语]]))+1)</f>
        <v>330</v>
      </c>
      <c r="S400" s="29" cm="1">
        <f t="array" ref="S400">IF(表成绩单[[#This Row],[物理]]="","",SUMPRODUCT((表成绩单[考试日期]=表成绩单[[#This Row],[考试日期]])*(表成绩单[物理]&lt;9E+307)*(表成绩单[物理]&gt;表成绩单[[#This Row],[物理]]))+1)</f>
        <v>474</v>
      </c>
      <c r="T400" s="29" cm="1">
        <f t="array" ref="T400">IF(表成绩单[[#This Row],[化学]]="","",SUMPRODUCT((表成绩单[考试日期]=表成绩单[[#This Row],[考试日期]])*(表成绩单[化学]&lt;9E+307)*(表成绩单[化学]&gt;表成绩单[[#This Row],[化学]]))+1)</f>
        <v>432</v>
      </c>
      <c r="U400" s="29" cm="1">
        <f t="array" ref="U400">IF(表成绩单[[#This Row],[政治]]="","",SUMPRODUCT((表成绩单[考试日期]=表成绩单[[#This Row],[考试日期]])*(表成绩单[政治]&lt;9E+307)*(表成绩单[政治]&gt;表成绩单[[#This Row],[政治]]))+1)</f>
        <v>209</v>
      </c>
      <c r="V400" s="29" cm="1">
        <f t="array" ref="V400">IF(表成绩单[[#This Row],[历史]]="","",SUMPRODUCT((表成绩单[考试日期]=表成绩单[[#This Row],[考试日期]])*(表成绩单[历史]&lt;9E+307)*(表成绩单[历史]&gt;表成绩单[[#This Row],[历史]]))+1)</f>
        <v>144</v>
      </c>
      <c r="W400" s="29" cm="1">
        <f t="array" ref="W400">IF(表成绩单[[#This Row],[总分]]="","",SUMPRODUCT((表成绩单[考试日期]=表成绩单[[#This Row],[考试日期]])*(表成绩单[总分]&lt;9E+307)*(表成绩单[总分]&gt;表成绩单[[#This Row],[总分]]))+1)</f>
        <v>393</v>
      </c>
    </row>
    <row r="401" ht="28" customHeight="1" spans="4:23">
      <c r="D401" s="31">
        <v>45975</v>
      </c>
      <c r="E401" s="29">
        <v>19175649</v>
      </c>
      <c r="F401" s="29" t="s">
        <v>66</v>
      </c>
      <c r="G401" s="29" t="s">
        <v>474</v>
      </c>
      <c r="H401" s="29">
        <v>93</v>
      </c>
      <c r="I401" s="29">
        <v>106</v>
      </c>
      <c r="J401" s="29">
        <v>81</v>
      </c>
      <c r="K401" s="29">
        <v>82</v>
      </c>
      <c r="L401" s="29">
        <v>68</v>
      </c>
      <c r="M401" s="29">
        <v>75</v>
      </c>
      <c r="N401" s="29">
        <v>69</v>
      </c>
      <c r="O401" s="32">
        <v>574</v>
      </c>
      <c r="P401" s="29" cm="1">
        <f t="array" ref="P401">IF(表成绩单[[#This Row],[语文]]="","",SUMPRODUCT((表成绩单[考试日期]=表成绩单[[#This Row],[考试日期]])*(表成绩单[语文]&lt;9E+307)*(表成绩单[语文]&gt;表成绩单[[#This Row],[语文]]))+1)</f>
        <v>489</v>
      </c>
      <c r="Q401" s="29" cm="1">
        <f t="array" ref="Q401">IF(表成绩单[[#This Row],[数学]]="","",SUMPRODUCT((表成绩单[考试日期]=表成绩单[[#This Row],[考试日期]])*(表成绩单[数学]&lt;9E+307)*(表成绩单[数学]&gt;表成绩单[[#This Row],[数学]]))+1)</f>
        <v>220</v>
      </c>
      <c r="R401" s="29" cm="1">
        <f t="array" ref="R401">IF(表成绩单[[#This Row],[英语]]="","",SUMPRODUCT((表成绩单[考试日期]=表成绩单[[#This Row],[考试日期]])*(表成绩单[英语]&lt;9E+307)*(表成绩单[英语]&gt;表成绩单[[#This Row],[英语]]))+1)</f>
        <v>241</v>
      </c>
      <c r="S401" s="29" cm="1">
        <f t="array" ref="S401">IF(表成绩单[[#This Row],[物理]]="","",SUMPRODUCT((表成绩单[考试日期]=表成绩单[[#This Row],[考试日期]])*(表成绩单[物理]&lt;9E+307)*(表成绩单[物理]&gt;表成绩单[[#This Row],[物理]]))+1)</f>
        <v>433</v>
      </c>
      <c r="T401" s="29" cm="1">
        <f t="array" ref="T401">IF(表成绩单[[#This Row],[化学]]="","",SUMPRODUCT((表成绩单[考试日期]=表成绩单[[#This Row],[考试日期]])*(表成绩单[化学]&lt;9E+307)*(表成绩单[化学]&gt;表成绩单[[#This Row],[化学]]))+1)</f>
        <v>506</v>
      </c>
      <c r="U401" s="29" cm="1">
        <f t="array" ref="U401">IF(表成绩单[[#This Row],[政治]]="","",SUMPRODUCT((表成绩单[考试日期]=表成绩单[[#This Row],[考试日期]])*(表成绩单[政治]&lt;9E+307)*(表成绩单[政治]&gt;表成绩单[[#This Row],[政治]]))+1)</f>
        <v>363</v>
      </c>
      <c r="V401" s="29" cm="1">
        <f t="array" ref="V401">IF(表成绩单[[#This Row],[历史]]="","",SUMPRODUCT((表成绩单[考试日期]=表成绩单[[#This Row],[考试日期]])*(表成绩单[历史]&lt;9E+307)*(表成绩单[历史]&gt;表成绩单[[#This Row],[历史]]))+1)</f>
        <v>541</v>
      </c>
      <c r="W401" s="29" cm="1">
        <f t="array" ref="W401">IF(表成绩单[[#This Row],[总分]]="","",SUMPRODUCT((表成绩单[考试日期]=表成绩单[[#This Row],[考试日期]])*(表成绩单[总分]&lt;9E+307)*(表成绩单[总分]&gt;表成绩单[[#This Row],[总分]]))+1)</f>
        <v>393</v>
      </c>
    </row>
    <row r="402" ht="28" customHeight="1" spans="4:23">
      <c r="D402" s="31">
        <v>45975</v>
      </c>
      <c r="E402" s="29">
        <v>19178582</v>
      </c>
      <c r="F402" s="29" t="s">
        <v>64</v>
      </c>
      <c r="G402" s="29" t="s">
        <v>475</v>
      </c>
      <c r="H402" s="29">
        <v>106</v>
      </c>
      <c r="I402" s="29">
        <v>91</v>
      </c>
      <c r="J402" s="29">
        <v>83</v>
      </c>
      <c r="K402" s="29">
        <v>72</v>
      </c>
      <c r="L402" s="29">
        <v>77</v>
      </c>
      <c r="M402" s="29">
        <v>70</v>
      </c>
      <c r="N402" s="29">
        <v>75</v>
      </c>
      <c r="O402" s="32">
        <v>574</v>
      </c>
      <c r="P402" s="29" cm="1">
        <f t="array" ref="P402">IF(表成绩单[[#This Row],[语文]]="","",SUMPRODUCT((表成绩单[考试日期]=表成绩单[[#This Row],[考试日期]])*(表成绩单[语文]&lt;9E+307)*(表成绩单[语文]&gt;表成绩单[[#This Row],[语文]]))+1)</f>
        <v>62</v>
      </c>
      <c r="Q402" s="29" cm="1">
        <f t="array" ref="Q402">IF(表成绩单[[#This Row],[数学]]="","",SUMPRODUCT((表成绩单[考试日期]=表成绩单[[#This Row],[考试日期]])*(表成绩单[数学]&lt;9E+307)*(表成绩单[数学]&gt;表成绩单[[#This Row],[数学]]))+1)</f>
        <v>495</v>
      </c>
      <c r="R402" s="29" cm="1">
        <f t="array" ref="R402">IF(表成绩单[[#This Row],[英语]]="","",SUMPRODUCT((表成绩单[考试日期]=表成绩单[[#This Row],[考试日期]])*(表成绩单[英语]&lt;9E+307)*(表成绩单[英语]&gt;表成绩单[[#This Row],[英语]]))+1)</f>
        <v>146</v>
      </c>
      <c r="S402" s="29" cm="1">
        <f t="array" ref="S402">IF(表成绩单[[#This Row],[物理]]="","",SUMPRODUCT((表成绩单[考试日期]=表成绩单[[#This Row],[考试日期]])*(表成绩单[物理]&lt;9E+307)*(表成绩单[物理]&gt;表成绩单[[#This Row],[物理]]))+1)</f>
        <v>633</v>
      </c>
      <c r="T402" s="29" cm="1">
        <f t="array" ref="T402">IF(表成绩单[[#This Row],[化学]]="","",SUMPRODUCT((表成绩单[考试日期]=表成绩单[[#This Row],[考试日期]])*(表成绩单[化学]&lt;9E+307)*(表成绩单[化学]&gt;表成绩单[[#This Row],[化学]]))+1)</f>
        <v>239</v>
      </c>
      <c r="U402" s="29" cm="1">
        <f t="array" ref="U402">IF(表成绩单[[#This Row],[政治]]="","",SUMPRODUCT((表成绩单[考试日期]=表成绩单[[#This Row],[考试日期]])*(表成绩单[政治]&lt;9E+307)*(表成绩单[政治]&gt;表成绩单[[#This Row],[政治]]))+1)</f>
        <v>493</v>
      </c>
      <c r="V402" s="29" cm="1">
        <f t="array" ref="V402">IF(表成绩单[[#This Row],[历史]]="","",SUMPRODUCT((表成绩单[考试日期]=表成绩单[[#This Row],[考试日期]])*(表成绩单[历史]&lt;9E+307)*(表成绩单[历史]&gt;表成绩单[[#This Row],[历史]]))+1)</f>
        <v>315</v>
      </c>
      <c r="W402" s="29" cm="1">
        <f t="array" ref="W402">IF(表成绩单[[#This Row],[总分]]="","",SUMPRODUCT((表成绩单[考试日期]=表成绩单[[#This Row],[考试日期]])*(表成绩单[总分]&lt;9E+307)*(表成绩单[总分]&gt;表成绩单[[#This Row],[总分]]))+1)</f>
        <v>393</v>
      </c>
    </row>
    <row r="403" ht="28" customHeight="1" spans="4:23">
      <c r="D403" s="31">
        <v>45975</v>
      </c>
      <c r="E403" s="29">
        <v>19176897</v>
      </c>
      <c r="F403" s="29" t="s">
        <v>71</v>
      </c>
      <c r="G403" s="29" t="s">
        <v>476</v>
      </c>
      <c r="H403" s="29">
        <v>88</v>
      </c>
      <c r="I403" s="29">
        <v>108</v>
      </c>
      <c r="J403" s="29">
        <v>76.5</v>
      </c>
      <c r="K403" s="29">
        <v>90</v>
      </c>
      <c r="L403" s="29">
        <v>72</v>
      </c>
      <c r="M403" s="29">
        <v>69</v>
      </c>
      <c r="N403" s="29">
        <v>70</v>
      </c>
      <c r="O403" s="32">
        <v>573.5</v>
      </c>
      <c r="P403" s="29" cm="1">
        <f t="array" ref="P403">IF(表成绩单[[#This Row],[语文]]="","",SUMPRODUCT((表成绩单[考试日期]=表成绩单[[#This Row],[考试日期]])*(表成绩单[语文]&lt;9E+307)*(表成绩单[语文]&gt;表成绩单[[#This Row],[语文]]))+1)</f>
        <v>595</v>
      </c>
      <c r="Q403" s="29" cm="1">
        <f t="array" ref="Q403">IF(表成绩单[[#This Row],[数学]]="","",SUMPRODUCT((表成绩单[考试日期]=表成绩单[[#This Row],[考试日期]])*(表成绩单[数学]&lt;9E+307)*(表成绩单[数学]&gt;表成绩单[[#This Row],[数学]]))+1)</f>
        <v>182</v>
      </c>
      <c r="R403" s="29" cm="1">
        <f t="array" ref="R403">IF(表成绩单[[#This Row],[英语]]="","",SUMPRODUCT((表成绩单[考试日期]=表成绩单[[#This Row],[考试日期]])*(表成绩单[英语]&lt;9E+307)*(表成绩单[英语]&gt;表成绩单[[#This Row],[英语]]))+1)</f>
        <v>382</v>
      </c>
      <c r="S403" s="29" cm="1">
        <f t="array" ref="S403">IF(表成绩单[[#This Row],[物理]]="","",SUMPRODUCT((表成绩单[考试日期]=表成绩单[[#This Row],[考试日期]])*(表成绩单[物理]&lt;9E+307)*(表成绩单[物理]&gt;表成绩单[[#This Row],[物理]]))+1)</f>
        <v>1</v>
      </c>
      <c r="T403" s="29" cm="1">
        <f t="array" ref="T403">IF(表成绩单[[#This Row],[化学]]="","",SUMPRODUCT((表成绩单[考试日期]=表成绩单[[#This Row],[考试日期]])*(表成绩单[化学]&lt;9E+307)*(表成绩单[化学]&gt;表成绩单[[#This Row],[化学]]))+1)</f>
        <v>405</v>
      </c>
      <c r="U403" s="29" cm="1">
        <f t="array" ref="U403">IF(表成绩单[[#This Row],[政治]]="","",SUMPRODUCT((表成绩单[考试日期]=表成绩单[[#This Row],[考试日期]])*(表成绩单[政治]&lt;9E+307)*(表成绩单[政治]&gt;表成绩单[[#This Row],[政治]]))+1)</f>
        <v>507</v>
      </c>
      <c r="V403" s="29" cm="1">
        <f t="array" ref="V403">IF(表成绩单[[#This Row],[历史]]="","",SUMPRODUCT((表成绩单[考试日期]=表成绩单[[#This Row],[考试日期]])*(表成绩单[历史]&lt;9E+307)*(表成绩单[历史]&gt;表成绩单[[#This Row],[历史]]))+1)</f>
        <v>505</v>
      </c>
      <c r="W403" s="29" cm="1">
        <f t="array" ref="W403">IF(表成绩单[[#This Row],[总分]]="","",SUMPRODUCT((表成绩单[考试日期]=表成绩单[[#This Row],[考试日期]])*(表成绩单[总分]&lt;9E+307)*(表成绩单[总分]&gt;表成绩单[[#This Row],[总分]]))+1)</f>
        <v>399</v>
      </c>
    </row>
    <row r="404" ht="28" customHeight="1" spans="4:23">
      <c r="D404" s="31">
        <v>45975</v>
      </c>
      <c r="E404" s="29">
        <v>19178617</v>
      </c>
      <c r="F404" s="29" t="s">
        <v>25</v>
      </c>
      <c r="G404" s="29" t="s">
        <v>477</v>
      </c>
      <c r="H404" s="29">
        <v>98</v>
      </c>
      <c r="I404" s="29">
        <v>96</v>
      </c>
      <c r="J404" s="29">
        <v>82.5</v>
      </c>
      <c r="K404" s="29">
        <v>87</v>
      </c>
      <c r="L404" s="29">
        <v>72</v>
      </c>
      <c r="M404" s="29">
        <v>68</v>
      </c>
      <c r="N404" s="29">
        <v>70</v>
      </c>
      <c r="O404" s="32">
        <v>573.5</v>
      </c>
      <c r="P404" s="29" cm="1">
        <f t="array" ref="P404">IF(表成绩单[[#This Row],[语文]]="","",SUMPRODUCT((表成绩单[考试日期]=表成绩单[[#This Row],[考试日期]])*(表成绩单[语文]&lt;9E+307)*(表成绩单[语文]&gt;表成绩单[[#This Row],[语文]]))+1)</f>
        <v>305</v>
      </c>
      <c r="Q404" s="29" cm="1">
        <f t="array" ref="Q404">IF(表成绩单[[#This Row],[数学]]="","",SUMPRODUCT((表成绩单[考试日期]=表成绩单[[#This Row],[考试日期]])*(表成绩单[数学]&lt;9E+307)*(表成绩单[数学]&gt;表成绩单[[#This Row],[数学]]))+1)</f>
        <v>413</v>
      </c>
      <c r="R404" s="29" cm="1">
        <f t="array" ref="R404">IF(表成绩单[[#This Row],[英语]]="","",SUMPRODUCT((表成绩单[考试日期]=表成绩单[[#This Row],[考试日期]])*(表成绩单[英语]&lt;9E+307)*(表成绩单[英语]&gt;表成绩单[[#This Row],[英语]]))+1)</f>
        <v>170</v>
      </c>
      <c r="S404" s="29" cm="1">
        <f t="array" ref="S404">IF(表成绩单[[#This Row],[物理]]="","",SUMPRODUCT((表成绩单[考试日期]=表成绩单[[#This Row],[考试日期]])*(表成绩单[物理]&lt;9E+307)*(表成绩单[物理]&gt;表成绩单[[#This Row],[物理]]))+1)</f>
        <v>127</v>
      </c>
      <c r="T404" s="29" cm="1">
        <f t="array" ref="T404">IF(表成绩单[[#This Row],[化学]]="","",SUMPRODUCT((表成绩单[考试日期]=表成绩单[[#This Row],[考试日期]])*(表成绩单[化学]&lt;9E+307)*(表成绩单[化学]&gt;表成绩单[[#This Row],[化学]]))+1)</f>
        <v>405</v>
      </c>
      <c r="U404" s="29" cm="1">
        <f t="array" ref="U404">IF(表成绩单[[#This Row],[政治]]="","",SUMPRODUCT((表成绩单[考试日期]=表成绩单[[#This Row],[考试日期]])*(表成绩单[政治]&lt;9E+307)*(表成绩单[政治]&gt;表成绩单[[#This Row],[政治]]))+1)</f>
        <v>527</v>
      </c>
      <c r="V404" s="29" cm="1">
        <f t="array" ref="V404">IF(表成绩单[[#This Row],[历史]]="","",SUMPRODUCT((表成绩单[考试日期]=表成绩单[[#This Row],[考试日期]])*(表成绩单[历史]&lt;9E+307)*(表成绩单[历史]&gt;表成绩单[[#This Row],[历史]]))+1)</f>
        <v>505</v>
      </c>
      <c r="W404" s="29" cm="1">
        <f t="array" ref="W404">IF(表成绩单[[#This Row],[总分]]="","",SUMPRODUCT((表成绩单[考试日期]=表成绩单[[#This Row],[考试日期]])*(表成绩单[总分]&lt;9E+307)*(表成绩单[总分]&gt;表成绩单[[#This Row],[总分]]))+1)</f>
        <v>399</v>
      </c>
    </row>
    <row r="405" ht="28" customHeight="1" spans="4:23">
      <c r="D405" s="31">
        <v>45975</v>
      </c>
      <c r="E405" s="29">
        <v>19173237</v>
      </c>
      <c r="F405" s="29" t="s">
        <v>61</v>
      </c>
      <c r="G405" s="29" t="s">
        <v>478</v>
      </c>
      <c r="H405" s="29">
        <v>92</v>
      </c>
      <c r="I405" s="29">
        <v>101</v>
      </c>
      <c r="J405" s="29">
        <v>67</v>
      </c>
      <c r="K405" s="29">
        <v>86</v>
      </c>
      <c r="L405" s="29">
        <v>76</v>
      </c>
      <c r="M405" s="29">
        <v>76</v>
      </c>
      <c r="N405" s="29">
        <v>75</v>
      </c>
      <c r="O405" s="32">
        <v>573</v>
      </c>
      <c r="P405" s="29" cm="1">
        <f t="array" ref="P405">IF(表成绩单[[#This Row],[语文]]="","",SUMPRODUCT((表成绩单[考试日期]=表成绩单[[#This Row],[考试日期]])*(表成绩单[语文]&lt;9E+307)*(表成绩单[语文]&gt;表成绩单[[#This Row],[语文]]))+1)</f>
        <v>517</v>
      </c>
      <c r="Q405" s="29" cm="1">
        <f t="array" ref="Q405">IF(表成绩单[[#This Row],[数学]]="","",SUMPRODUCT((表成绩单[考试日期]=表成绩单[[#This Row],[考试日期]])*(表成绩单[数学]&lt;9E+307)*(表成绩单[数学]&gt;表成绩单[[#This Row],[数学]]))+1)</f>
        <v>319</v>
      </c>
      <c r="R405" s="29" cm="1">
        <f t="array" ref="R405">IF(表成绩单[[#This Row],[英语]]="","",SUMPRODUCT((表成绩单[考试日期]=表成绩单[[#This Row],[考试日期]])*(表成绩单[英语]&lt;9E+307)*(表成绩单[英语]&gt;表成绩单[[#This Row],[英语]]))+1)</f>
        <v>596</v>
      </c>
      <c r="S405" s="29" cm="1">
        <f t="array" ref="S405">IF(表成绩单[[#This Row],[物理]]="","",SUMPRODUCT((表成绩单[考试日期]=表成绩单[[#This Row],[考试日期]])*(表成绩单[物理]&lt;9E+307)*(表成绩单[物理]&gt;表成绩单[[#This Row],[物理]]))+1)</f>
        <v>187</v>
      </c>
      <c r="T405" s="29" cm="1">
        <f t="array" ref="T405">IF(表成绩单[[#This Row],[化学]]="","",SUMPRODUCT((表成绩单[考试日期]=表成绩单[[#This Row],[考试日期]])*(表成绩单[化学]&lt;9E+307)*(表成绩单[化学]&gt;表成绩单[[#This Row],[化学]]))+1)</f>
        <v>268</v>
      </c>
      <c r="U405" s="29" cm="1">
        <f t="array" ref="U405">IF(表成绩单[[#This Row],[政治]]="","",SUMPRODUCT((表成绩单[考试日期]=表成绩单[[#This Row],[考试日期]])*(表成绩单[政治]&lt;9E+307)*(表成绩单[政治]&gt;表成绩单[[#This Row],[政治]]))+1)</f>
        <v>329</v>
      </c>
      <c r="V405" s="29" cm="1">
        <f t="array" ref="V405">IF(表成绩单[[#This Row],[历史]]="","",SUMPRODUCT((表成绩单[考试日期]=表成绩单[[#This Row],[考试日期]])*(表成绩单[历史]&lt;9E+307)*(表成绩单[历史]&gt;表成绩单[[#This Row],[历史]]))+1)</f>
        <v>315</v>
      </c>
      <c r="W405" s="29" cm="1">
        <f t="array" ref="W405">IF(表成绩单[[#This Row],[总分]]="","",SUMPRODUCT((表成绩单[考试日期]=表成绩单[[#This Row],[考试日期]])*(表成绩单[总分]&lt;9E+307)*(表成绩单[总分]&gt;表成绩单[[#This Row],[总分]]))+1)</f>
        <v>401</v>
      </c>
    </row>
    <row r="406" ht="28" customHeight="1" spans="4:23">
      <c r="D406" s="31">
        <v>45975</v>
      </c>
      <c r="E406" s="29">
        <v>19174775</v>
      </c>
      <c r="F406" s="29" t="s">
        <v>69</v>
      </c>
      <c r="G406" s="29" t="s">
        <v>479</v>
      </c>
      <c r="H406" s="29">
        <v>104</v>
      </c>
      <c r="I406" s="29">
        <v>85</v>
      </c>
      <c r="J406" s="29">
        <v>74</v>
      </c>
      <c r="K406" s="29">
        <v>84</v>
      </c>
      <c r="L406" s="29">
        <v>66</v>
      </c>
      <c r="M406" s="29">
        <v>78</v>
      </c>
      <c r="N406" s="29">
        <v>82</v>
      </c>
      <c r="O406" s="32">
        <v>573</v>
      </c>
      <c r="P406" s="29" cm="1">
        <f t="array" ref="P406">IF(表成绩单[[#This Row],[语文]]="","",SUMPRODUCT((表成绩单[考试日期]=表成绩单[[#This Row],[考试日期]])*(表成绩单[语文]&lt;9E+307)*(表成绩单[语文]&gt;表成绩单[[#This Row],[语文]]))+1)</f>
        <v>104</v>
      </c>
      <c r="Q406" s="29" cm="1">
        <f t="array" ref="Q406">IF(表成绩单[[#This Row],[数学]]="","",SUMPRODUCT((表成绩单[考试日期]=表成绩单[[#This Row],[考试日期]])*(表成绩单[数学]&lt;9E+307)*(表成绩单[数学]&gt;表成绩单[[#This Row],[数学]]))+1)</f>
        <v>571</v>
      </c>
      <c r="R406" s="29" cm="1">
        <f t="array" ref="R406">IF(表成绩单[[#This Row],[英语]]="","",SUMPRODUCT((表成绩单[考试日期]=表成绩单[[#This Row],[考试日期]])*(表成绩单[英语]&lt;9E+307)*(表成绩单[英语]&gt;表成绩单[[#This Row],[英语]]))+1)</f>
        <v>454</v>
      </c>
      <c r="S406" s="29" cm="1">
        <f t="array" ref="S406">IF(表成绩单[[#This Row],[物理]]="","",SUMPRODUCT((表成绩单[考试日期]=表成绩单[[#This Row],[考试日期]])*(表成绩单[物理]&lt;9E+307)*(表成绩单[物理]&gt;表成绩单[[#This Row],[物理]]))+1)</f>
        <v>344</v>
      </c>
      <c r="T406" s="29" cm="1">
        <f t="array" ref="T406">IF(表成绩单[[#This Row],[化学]]="","",SUMPRODUCT((表成绩单[考试日期]=表成绩单[[#This Row],[考试日期]])*(表成绩单[化学]&lt;9E+307)*(表成绩单[化学]&gt;表成绩单[[#This Row],[化学]]))+1)</f>
        <v>542</v>
      </c>
      <c r="U406" s="29" cm="1">
        <f t="array" ref="U406">IF(表成绩单[[#This Row],[政治]]="","",SUMPRODUCT((表成绩单[考试日期]=表成绩单[[#This Row],[考试日期]])*(表成绩单[政治]&lt;9E+307)*(表成绩单[政治]&gt;表成绩单[[#This Row],[政治]]))+1)</f>
        <v>272</v>
      </c>
      <c r="V406" s="29" cm="1">
        <f t="array" ref="V406">IF(表成绩单[[#This Row],[历史]]="","",SUMPRODUCT((表成绩单[考试日期]=表成绩单[[#This Row],[考试日期]])*(表成绩单[历史]&lt;9E+307)*(表成绩单[历史]&gt;表成绩单[[#This Row],[历史]]))+1)</f>
        <v>35</v>
      </c>
      <c r="W406" s="29" cm="1">
        <f t="array" ref="W406">IF(表成绩单[[#This Row],[总分]]="","",SUMPRODUCT((表成绩单[考试日期]=表成绩单[[#This Row],[考试日期]])*(表成绩单[总分]&lt;9E+307)*(表成绩单[总分]&gt;表成绩单[[#This Row],[总分]]))+1)</f>
        <v>401</v>
      </c>
    </row>
    <row r="407" ht="28" customHeight="1" spans="4:23">
      <c r="D407" s="31">
        <v>45975</v>
      </c>
      <c r="E407" s="29">
        <v>19175992</v>
      </c>
      <c r="F407" s="29" t="s">
        <v>59</v>
      </c>
      <c r="G407" s="29" t="s">
        <v>480</v>
      </c>
      <c r="H407" s="29">
        <v>88</v>
      </c>
      <c r="I407" s="29">
        <v>102</v>
      </c>
      <c r="J407" s="29">
        <v>79</v>
      </c>
      <c r="K407" s="29">
        <v>85</v>
      </c>
      <c r="L407" s="29">
        <v>76</v>
      </c>
      <c r="M407" s="29">
        <v>71</v>
      </c>
      <c r="N407" s="29">
        <v>72</v>
      </c>
      <c r="O407" s="32">
        <v>573</v>
      </c>
      <c r="P407" s="29" cm="1">
        <f t="array" ref="P407">IF(表成绩单[[#This Row],[语文]]="","",SUMPRODUCT((表成绩单[考试日期]=表成绩单[[#This Row],[考试日期]])*(表成绩单[语文]&lt;9E+307)*(表成绩单[语文]&gt;表成绩单[[#This Row],[语文]]))+1)</f>
        <v>595</v>
      </c>
      <c r="Q407" s="29" cm="1">
        <f t="array" ref="Q407">IF(表成绩单[[#This Row],[数学]]="","",SUMPRODUCT((表成绩单[考试日期]=表成绩单[[#This Row],[考试日期]])*(表成绩单[数学]&lt;9E+307)*(表成绩单[数学]&gt;表成绩单[[#This Row],[数学]]))+1)</f>
        <v>298</v>
      </c>
      <c r="R407" s="29" cm="1">
        <f t="array" ref="R407">IF(表成绩单[[#This Row],[英语]]="","",SUMPRODUCT((表成绩单[考试日期]=表成绩单[[#This Row],[考试日期]])*(表成绩单[英语]&lt;9E+307)*(表成绩单[英语]&gt;表成绩单[[#This Row],[英语]]))+1)</f>
        <v>292</v>
      </c>
      <c r="S407" s="29" cm="1">
        <f t="array" ref="S407">IF(表成绩单[[#This Row],[物理]]="","",SUMPRODUCT((表成绩单[考试日期]=表成绩单[[#This Row],[考试日期]])*(表成绩单[物理]&lt;9E+307)*(表成绩单[物理]&gt;表成绩单[[#This Row],[物理]]))+1)</f>
        <v>263</v>
      </c>
      <c r="T407" s="29" cm="1">
        <f t="array" ref="T407">IF(表成绩单[[#This Row],[化学]]="","",SUMPRODUCT((表成绩单[考试日期]=表成绩单[[#This Row],[考试日期]])*(表成绩单[化学]&lt;9E+307)*(表成绩单[化学]&gt;表成绩单[[#This Row],[化学]]))+1)</f>
        <v>268</v>
      </c>
      <c r="U407" s="29" cm="1">
        <f t="array" ref="U407">IF(表成绩单[[#This Row],[政治]]="","",SUMPRODUCT((表成绩单[考试日期]=表成绩单[[#This Row],[考试日期]])*(表成绩单[政治]&lt;9E+307)*(表成绩单[政治]&gt;表成绩单[[#This Row],[政治]]))+1)</f>
        <v>467</v>
      </c>
      <c r="V407" s="29" cm="1">
        <f t="array" ref="V407">IF(表成绩单[[#This Row],[历史]]="","",SUMPRODUCT((表成绩单[考试日期]=表成绩单[[#This Row],[考试日期]])*(表成绩单[历史]&lt;9E+307)*(表成绩单[历史]&gt;表成绩单[[#This Row],[历史]]))+1)</f>
        <v>438</v>
      </c>
      <c r="W407" s="29" cm="1">
        <f t="array" ref="W407">IF(表成绩单[[#This Row],[总分]]="","",SUMPRODUCT((表成绩单[考试日期]=表成绩单[[#This Row],[考试日期]])*(表成绩单[总分]&lt;9E+307)*(表成绩单[总分]&gt;表成绩单[[#This Row],[总分]]))+1)</f>
        <v>401</v>
      </c>
    </row>
    <row r="408" ht="28" customHeight="1" spans="4:23">
      <c r="D408" s="31">
        <v>45975</v>
      </c>
      <c r="E408" s="29">
        <v>19176161</v>
      </c>
      <c r="F408" s="29" t="s">
        <v>67</v>
      </c>
      <c r="G408" s="29" t="s">
        <v>481</v>
      </c>
      <c r="H408" s="29">
        <v>94</v>
      </c>
      <c r="I408" s="29">
        <v>85</v>
      </c>
      <c r="J408" s="29">
        <v>82</v>
      </c>
      <c r="K408" s="29">
        <v>86</v>
      </c>
      <c r="L408" s="29">
        <v>80</v>
      </c>
      <c r="M408" s="29">
        <v>71</v>
      </c>
      <c r="N408" s="29">
        <v>75</v>
      </c>
      <c r="O408" s="32">
        <v>573</v>
      </c>
      <c r="P408" s="29" cm="1">
        <f t="array" ref="P408">IF(表成绩单[[#This Row],[语文]]="","",SUMPRODUCT((表成绩单[考试日期]=表成绩单[[#This Row],[考试日期]])*(表成绩单[语文]&lt;9E+307)*(表成绩单[语文]&gt;表成绩单[[#This Row],[语文]]))+1)</f>
        <v>452</v>
      </c>
      <c r="Q408" s="29" cm="1">
        <f t="array" ref="Q408">IF(表成绩单[[#This Row],[数学]]="","",SUMPRODUCT((表成绩单[考试日期]=表成绩单[[#This Row],[考试日期]])*(表成绩单[数学]&lt;9E+307)*(表成绩单[数学]&gt;表成绩单[[#This Row],[数学]]))+1)</f>
        <v>571</v>
      </c>
      <c r="R408" s="29" cm="1">
        <f t="array" ref="R408">IF(表成绩单[[#This Row],[英语]]="","",SUMPRODUCT((表成绩单[考试日期]=表成绩单[[#This Row],[考试日期]])*(表成绩单[英语]&lt;9E+307)*(表成绩单[英语]&gt;表成绩单[[#This Row],[英语]]))+1)</f>
        <v>195</v>
      </c>
      <c r="S408" s="29" cm="1">
        <f t="array" ref="S408">IF(表成绩单[[#This Row],[物理]]="","",SUMPRODUCT((表成绩单[考试日期]=表成绩单[[#This Row],[考试日期]])*(表成绩单[物理]&lt;9E+307)*(表成绩单[物理]&gt;表成绩单[[#This Row],[物理]]))+1)</f>
        <v>187</v>
      </c>
      <c r="T408" s="29" cm="1">
        <f t="array" ref="T408">IF(表成绩单[[#This Row],[化学]]="","",SUMPRODUCT((表成绩单[考试日期]=表成绩单[[#This Row],[考试日期]])*(表成绩单[化学]&lt;9E+307)*(表成绩单[化学]&gt;表成绩单[[#This Row],[化学]]))+1)</f>
        <v>129</v>
      </c>
      <c r="U408" s="29" cm="1">
        <f t="array" ref="U408">IF(表成绩单[[#This Row],[政治]]="","",SUMPRODUCT((表成绩单[考试日期]=表成绩单[[#This Row],[考试日期]])*(表成绩单[政治]&lt;9E+307)*(表成绩单[政治]&gt;表成绩单[[#This Row],[政治]]))+1)</f>
        <v>467</v>
      </c>
      <c r="V408" s="29" cm="1">
        <f t="array" ref="V408">IF(表成绩单[[#This Row],[历史]]="","",SUMPRODUCT((表成绩单[考试日期]=表成绩单[[#This Row],[考试日期]])*(表成绩单[历史]&lt;9E+307)*(表成绩单[历史]&gt;表成绩单[[#This Row],[历史]]))+1)</f>
        <v>315</v>
      </c>
      <c r="W408" s="29" cm="1">
        <f t="array" ref="W408">IF(表成绩单[[#This Row],[总分]]="","",SUMPRODUCT((表成绩单[考试日期]=表成绩单[[#This Row],[考试日期]])*(表成绩单[总分]&lt;9E+307)*(表成绩单[总分]&gt;表成绩单[[#This Row],[总分]]))+1)</f>
        <v>401</v>
      </c>
    </row>
    <row r="409" ht="28" customHeight="1" spans="4:23">
      <c r="D409" s="31">
        <v>45975</v>
      </c>
      <c r="E409" s="29">
        <v>26750491</v>
      </c>
      <c r="F409" s="29" t="s">
        <v>66</v>
      </c>
      <c r="G409" s="29" t="s">
        <v>482</v>
      </c>
      <c r="H409" s="29">
        <v>93</v>
      </c>
      <c r="I409" s="29">
        <v>88</v>
      </c>
      <c r="J409" s="29">
        <v>84</v>
      </c>
      <c r="K409" s="29">
        <v>83</v>
      </c>
      <c r="L409" s="29">
        <v>75</v>
      </c>
      <c r="M409" s="29">
        <v>80</v>
      </c>
      <c r="N409" s="29">
        <v>70</v>
      </c>
      <c r="O409" s="32">
        <v>573</v>
      </c>
      <c r="P409" s="29" cm="1">
        <f t="array" ref="P409">IF(表成绩单[[#This Row],[语文]]="","",SUMPRODUCT((表成绩单[考试日期]=表成绩单[[#This Row],[考试日期]])*(表成绩单[语文]&lt;9E+307)*(表成绩单[语文]&gt;表成绩单[[#This Row],[语文]]))+1)</f>
        <v>489</v>
      </c>
      <c r="Q409" s="29" cm="1">
        <f t="array" ref="Q409">IF(表成绩单[[#This Row],[数学]]="","",SUMPRODUCT((表成绩单[考试日期]=表成绩单[[#This Row],[考试日期]])*(表成绩单[数学]&lt;9E+307)*(表成绩单[数学]&gt;表成绩单[[#This Row],[数学]]))+1)</f>
        <v>527</v>
      </c>
      <c r="R409" s="29" cm="1">
        <f t="array" ref="R409">IF(表成绩单[[#This Row],[英语]]="","",SUMPRODUCT((表成绩单[考试日期]=表成绩单[[#This Row],[考试日期]])*(表成绩单[英语]&lt;9E+307)*(表成绩单[英语]&gt;表成绩单[[#This Row],[英语]]))+1)</f>
        <v>102</v>
      </c>
      <c r="S409" s="29" cm="1">
        <f t="array" ref="S409">IF(表成绩单[[#This Row],[物理]]="","",SUMPRODUCT((表成绩单[考试日期]=表成绩单[[#This Row],[考试日期]])*(表成绩单[物理]&lt;9E+307)*(表成绩单[物理]&gt;表成绩单[[#This Row],[物理]]))+1)</f>
        <v>390</v>
      </c>
      <c r="T409" s="29" cm="1">
        <f t="array" ref="T409">IF(表成绩单[[#This Row],[化学]]="","",SUMPRODUCT((表成绩单[考试日期]=表成绩单[[#This Row],[考试日期]])*(表成绩单[化学]&lt;9E+307)*(表成绩单[化学]&gt;表成绩单[[#This Row],[化学]]))+1)</f>
        <v>310</v>
      </c>
      <c r="U409" s="29" cm="1">
        <f t="array" ref="U409">IF(表成绩单[[#This Row],[政治]]="","",SUMPRODUCT((表成绩单[考试日期]=表成绩单[[#This Row],[考试日期]])*(表成绩单[政治]&lt;9E+307)*(表成绩单[政治]&gt;表成绩单[[#This Row],[政治]]))+1)</f>
        <v>209</v>
      </c>
      <c r="V409" s="29" cm="1">
        <f t="array" ref="V409">IF(表成绩单[[#This Row],[历史]]="","",SUMPRODUCT((表成绩单[考试日期]=表成绩单[[#This Row],[考试日期]])*(表成绩单[历史]&lt;9E+307)*(表成绩单[历史]&gt;表成绩单[[#This Row],[历史]]))+1)</f>
        <v>505</v>
      </c>
      <c r="W409" s="29" cm="1">
        <f t="array" ref="W409">IF(表成绩单[[#This Row],[总分]]="","",SUMPRODUCT((表成绩单[考试日期]=表成绩单[[#This Row],[考试日期]])*(表成绩单[总分]&lt;9E+307)*(表成绩单[总分]&gt;表成绩单[[#This Row],[总分]]))+1)</f>
        <v>401</v>
      </c>
    </row>
    <row r="410" ht="28" customHeight="1" spans="4:23">
      <c r="D410" s="31">
        <v>45975</v>
      </c>
      <c r="E410" s="29">
        <v>19175676</v>
      </c>
      <c r="F410" s="29" t="s">
        <v>72</v>
      </c>
      <c r="G410" s="29" t="s">
        <v>483</v>
      </c>
      <c r="H410" s="29">
        <v>93</v>
      </c>
      <c r="I410" s="29">
        <v>106</v>
      </c>
      <c r="J410" s="29">
        <v>78.5</v>
      </c>
      <c r="K410" s="29">
        <v>86</v>
      </c>
      <c r="L410" s="29">
        <v>74</v>
      </c>
      <c r="M410" s="29">
        <v>66</v>
      </c>
      <c r="N410" s="29">
        <v>69</v>
      </c>
      <c r="O410" s="32">
        <v>572.5</v>
      </c>
      <c r="P410" s="29" cm="1">
        <f t="array" ref="P410">IF(表成绩单[[#This Row],[语文]]="","",SUMPRODUCT((表成绩单[考试日期]=表成绩单[[#This Row],[考试日期]])*(表成绩单[语文]&lt;9E+307)*(表成绩单[语文]&gt;表成绩单[[#This Row],[语文]]))+1)</f>
        <v>489</v>
      </c>
      <c r="Q410" s="29" cm="1">
        <f t="array" ref="Q410">IF(表成绩单[[#This Row],[数学]]="","",SUMPRODUCT((表成绩单[考试日期]=表成绩单[[#This Row],[考试日期]])*(表成绩单[数学]&lt;9E+307)*(表成绩单[数学]&gt;表成绩单[[#This Row],[数学]]))+1)</f>
        <v>220</v>
      </c>
      <c r="R410" s="29" cm="1">
        <f t="array" ref="R410">IF(表成绩单[[#This Row],[英语]]="","",SUMPRODUCT((表成绩单[考试日期]=表成绩单[[#This Row],[考试日期]])*(表成绩单[英语]&lt;9E+307)*(表成绩单[英语]&gt;表成绩单[[#This Row],[英语]]))+1)</f>
        <v>314</v>
      </c>
      <c r="S410" s="29" cm="1">
        <f t="array" ref="S410">IF(表成绩单[[#This Row],[物理]]="","",SUMPRODUCT((表成绩单[考试日期]=表成绩单[[#This Row],[考试日期]])*(表成绩单[物理]&lt;9E+307)*(表成绩单[物理]&gt;表成绩单[[#This Row],[物理]]))+1)</f>
        <v>187</v>
      </c>
      <c r="T410" s="29" cm="1">
        <f t="array" ref="T410">IF(表成绩单[[#This Row],[化学]]="","",SUMPRODUCT((表成绩单[考试日期]=表成绩单[[#This Row],[考试日期]])*(表成绩单[化学]&lt;9E+307)*(表成绩单[化学]&gt;表成绩单[[#This Row],[化学]]))+1)</f>
        <v>337</v>
      </c>
      <c r="U410" s="29" cm="1">
        <f t="array" ref="U410">IF(表成绩单[[#This Row],[政治]]="","",SUMPRODUCT((表成绩单[考试日期]=表成绩单[[#This Row],[考试日期]])*(表成绩单[政治]&lt;9E+307)*(表成绩单[政治]&gt;表成绩单[[#This Row],[政治]]))+1)</f>
        <v>555</v>
      </c>
      <c r="V410" s="29" cm="1">
        <f t="array" ref="V410">IF(表成绩单[[#This Row],[历史]]="","",SUMPRODUCT((表成绩单[考试日期]=表成绩单[[#This Row],[考试日期]])*(表成绩单[历史]&lt;9E+307)*(表成绩单[历史]&gt;表成绩单[[#This Row],[历史]]))+1)</f>
        <v>541</v>
      </c>
      <c r="W410" s="29" cm="1">
        <f t="array" ref="W410">IF(表成绩单[[#This Row],[总分]]="","",SUMPRODUCT((表成绩单[考试日期]=表成绩单[[#This Row],[考试日期]])*(表成绩单[总分]&lt;9E+307)*(表成绩单[总分]&gt;表成绩单[[#This Row],[总分]]))+1)</f>
        <v>406</v>
      </c>
    </row>
    <row r="411" ht="28" customHeight="1" spans="4:23">
      <c r="D411" s="31">
        <v>45975</v>
      </c>
      <c r="E411" s="29">
        <v>19173262</v>
      </c>
      <c r="F411" s="29" t="s">
        <v>61</v>
      </c>
      <c r="G411" s="29" t="s">
        <v>484</v>
      </c>
      <c r="H411" s="29">
        <v>91</v>
      </c>
      <c r="I411" s="29">
        <v>106</v>
      </c>
      <c r="J411" s="29">
        <v>61</v>
      </c>
      <c r="K411" s="29">
        <v>85</v>
      </c>
      <c r="L411" s="29">
        <v>80</v>
      </c>
      <c r="M411" s="29">
        <v>73</v>
      </c>
      <c r="N411" s="29">
        <v>76</v>
      </c>
      <c r="O411" s="32">
        <v>572</v>
      </c>
      <c r="P411" s="29" cm="1">
        <f t="array" ref="P411">IF(表成绩单[[#This Row],[语文]]="","",SUMPRODUCT((表成绩单[考试日期]=表成绩单[[#This Row],[考试日期]])*(表成绩单[语文]&lt;9E+307)*(表成绩单[语文]&gt;表成绩单[[#This Row],[语文]]))+1)</f>
        <v>536</v>
      </c>
      <c r="Q411" s="29" cm="1">
        <f t="array" ref="Q411">IF(表成绩单[[#This Row],[数学]]="","",SUMPRODUCT((表成绩单[考试日期]=表成绩单[[#This Row],[考试日期]])*(表成绩单[数学]&lt;9E+307)*(表成绩单[数学]&gt;表成绩单[[#This Row],[数学]]))+1)</f>
        <v>220</v>
      </c>
      <c r="R411" s="29" cm="1">
        <f t="array" ref="R411">IF(表成绩单[[#This Row],[英语]]="","",SUMPRODUCT((表成绩单[考试日期]=表成绩单[[#This Row],[考试日期]])*(表成绩单[英语]&lt;9E+307)*(表成绩单[英语]&gt;表成绩单[[#This Row],[英语]]))+1)</f>
        <v>660</v>
      </c>
      <c r="S411" s="29" cm="1">
        <f t="array" ref="S411">IF(表成绩单[[#This Row],[物理]]="","",SUMPRODUCT((表成绩单[考试日期]=表成绩单[[#This Row],[考试日期]])*(表成绩单[物理]&lt;9E+307)*(表成绩单[物理]&gt;表成绩单[[#This Row],[物理]]))+1)</f>
        <v>263</v>
      </c>
      <c r="T411" s="29" cm="1">
        <f t="array" ref="T411">IF(表成绩单[[#This Row],[化学]]="","",SUMPRODUCT((表成绩单[考试日期]=表成绩单[[#This Row],[考试日期]])*(表成绩单[化学]&lt;9E+307)*(表成绩单[化学]&gt;表成绩单[[#This Row],[化学]]))+1)</f>
        <v>129</v>
      </c>
      <c r="U411" s="29" cm="1">
        <f t="array" ref="U411">IF(表成绩单[[#This Row],[政治]]="","",SUMPRODUCT((表成绩单[考试日期]=表成绩单[[#This Row],[考试日期]])*(表成绩单[政治]&lt;9E+307)*(表成绩单[政治]&gt;表成绩单[[#This Row],[政治]]))+1)</f>
        <v>418</v>
      </c>
      <c r="V411" s="29" cm="1">
        <f t="array" ref="V411">IF(表成绩单[[#This Row],[历史]]="","",SUMPRODUCT((表成绩单[考试日期]=表成绩单[[#This Row],[考试日期]])*(表成绩单[历史]&lt;9E+307)*(表成绩单[历史]&gt;表成绩单[[#This Row],[历史]]))+1)</f>
        <v>278</v>
      </c>
      <c r="W411" s="29" cm="1">
        <f t="array" ref="W411">IF(表成绩单[[#This Row],[总分]]="","",SUMPRODUCT((表成绩单[考试日期]=表成绩单[[#This Row],[考试日期]])*(表成绩单[总分]&lt;9E+307)*(表成绩单[总分]&gt;表成绩单[[#This Row],[总分]]))+1)</f>
        <v>407</v>
      </c>
    </row>
    <row r="412" ht="28" customHeight="1" spans="4:23">
      <c r="D412" s="31">
        <v>45975</v>
      </c>
      <c r="E412" s="29">
        <v>19174810</v>
      </c>
      <c r="F412" s="29" t="s">
        <v>69</v>
      </c>
      <c r="G412" s="29" t="s">
        <v>485</v>
      </c>
      <c r="H412" s="29">
        <v>88</v>
      </c>
      <c r="I412" s="29">
        <v>107</v>
      </c>
      <c r="J412" s="29">
        <v>75</v>
      </c>
      <c r="K412" s="29">
        <v>86</v>
      </c>
      <c r="L412" s="29">
        <v>71</v>
      </c>
      <c r="M412" s="29">
        <v>69</v>
      </c>
      <c r="N412" s="29">
        <v>76</v>
      </c>
      <c r="O412" s="32">
        <v>572</v>
      </c>
      <c r="P412" s="29" cm="1">
        <f t="array" ref="P412">IF(表成绩单[[#This Row],[语文]]="","",SUMPRODUCT((表成绩单[考试日期]=表成绩单[[#This Row],[考试日期]])*(表成绩单[语文]&lt;9E+307)*(表成绩单[语文]&gt;表成绩单[[#This Row],[语文]]))+1)</f>
        <v>595</v>
      </c>
      <c r="Q412" s="29" cm="1">
        <f t="array" ref="Q412">IF(表成绩单[[#This Row],[数学]]="","",SUMPRODUCT((表成绩单[考试日期]=表成绩单[[#This Row],[考试日期]])*(表成绩单[数学]&lt;9E+307)*(表成绩单[数学]&gt;表成绩单[[#This Row],[数学]]))+1)</f>
        <v>200</v>
      </c>
      <c r="R412" s="29" cm="1">
        <f t="array" ref="R412">IF(表成绩单[[#This Row],[英语]]="","",SUMPRODUCT((表成绩单[考试日期]=表成绩单[[#This Row],[考试日期]])*(表成绩单[英语]&lt;9E+307)*(表成绩单[英语]&gt;表成绩单[[#This Row],[英语]]))+1)</f>
        <v>430</v>
      </c>
      <c r="S412" s="29" cm="1">
        <f t="array" ref="S412">IF(表成绩单[[#This Row],[物理]]="","",SUMPRODUCT((表成绩单[考试日期]=表成绩单[[#This Row],[考试日期]])*(表成绩单[物理]&lt;9E+307)*(表成绩单[物理]&gt;表成绩单[[#This Row],[物理]]))+1)</f>
        <v>187</v>
      </c>
      <c r="T412" s="29" cm="1">
        <f t="array" ref="T412">IF(表成绩单[[#This Row],[化学]]="","",SUMPRODUCT((表成绩单[考试日期]=表成绩单[[#This Row],[考试日期]])*(表成绩单[化学]&lt;9E+307)*(表成绩单[化学]&gt;表成绩单[[#This Row],[化学]]))+1)</f>
        <v>432</v>
      </c>
      <c r="U412" s="29" cm="1">
        <f t="array" ref="U412">IF(表成绩单[[#This Row],[政治]]="","",SUMPRODUCT((表成绩单[考试日期]=表成绩单[[#This Row],[考试日期]])*(表成绩单[政治]&lt;9E+307)*(表成绩单[政治]&gt;表成绩单[[#This Row],[政治]]))+1)</f>
        <v>507</v>
      </c>
      <c r="V412" s="29" cm="1">
        <f t="array" ref="V412">IF(表成绩单[[#This Row],[历史]]="","",SUMPRODUCT((表成绩单[考试日期]=表成绩单[[#This Row],[考试日期]])*(表成绩单[历史]&lt;9E+307)*(表成绩单[历史]&gt;表成绩单[[#This Row],[历史]]))+1)</f>
        <v>278</v>
      </c>
      <c r="W412" s="29" cm="1">
        <f t="array" ref="W412">IF(表成绩单[[#This Row],[总分]]="","",SUMPRODUCT((表成绩单[考试日期]=表成绩单[[#This Row],[考试日期]])*(表成绩单[总分]&lt;9E+307)*(表成绩单[总分]&gt;表成绩单[[#This Row],[总分]]))+1)</f>
        <v>407</v>
      </c>
    </row>
    <row r="413" ht="28" customHeight="1" spans="4:23">
      <c r="D413" s="31">
        <v>45975</v>
      </c>
      <c r="E413" s="29">
        <v>19176156</v>
      </c>
      <c r="F413" s="29" t="s">
        <v>67</v>
      </c>
      <c r="G413" s="29" t="s">
        <v>486</v>
      </c>
      <c r="H413" s="29">
        <v>97</v>
      </c>
      <c r="I413" s="29">
        <v>96</v>
      </c>
      <c r="J413" s="29">
        <v>70</v>
      </c>
      <c r="K413" s="29">
        <v>81</v>
      </c>
      <c r="L413" s="29">
        <v>73</v>
      </c>
      <c r="M413" s="29">
        <v>76</v>
      </c>
      <c r="N413" s="29">
        <v>79</v>
      </c>
      <c r="O413" s="32">
        <v>572</v>
      </c>
      <c r="P413" s="29" cm="1">
        <f t="array" ref="P413">IF(表成绩单[[#This Row],[语文]]="","",SUMPRODUCT((表成绩单[考试日期]=表成绩单[[#This Row],[考试日期]])*(表成绩单[语文]&lt;9E+307)*(表成绩单[语文]&gt;表成绩单[[#This Row],[语文]]))+1)</f>
        <v>349</v>
      </c>
      <c r="Q413" s="29" cm="1">
        <f t="array" ref="Q413">IF(表成绩单[[#This Row],[数学]]="","",SUMPRODUCT((表成绩单[考试日期]=表成绩单[[#This Row],[考试日期]])*(表成绩单[数学]&lt;9E+307)*(表成绩单[数学]&gt;表成绩单[[#This Row],[数学]]))+1)</f>
        <v>413</v>
      </c>
      <c r="R413" s="29" cm="1">
        <f t="array" ref="R413">IF(表成绩单[[#This Row],[英语]]="","",SUMPRODUCT((表成绩单[考试日期]=表成绩单[[#This Row],[考试日期]])*(表成绩单[英语]&lt;9E+307)*(表成绩单[英语]&gt;表成绩单[[#This Row],[英语]]))+1)</f>
        <v>551</v>
      </c>
      <c r="S413" s="29" cm="1">
        <f t="array" ref="S413">IF(表成绩单[[#This Row],[物理]]="","",SUMPRODUCT((表成绩单[考试日期]=表成绩单[[#This Row],[考试日期]])*(表成绩单[物理]&lt;9E+307)*(表成绩单[物理]&gt;表成绩单[[#This Row],[物理]]))+1)</f>
        <v>474</v>
      </c>
      <c r="T413" s="29" cm="1">
        <f t="array" ref="T413">IF(表成绩单[[#This Row],[化学]]="","",SUMPRODUCT((表成绩单[考试日期]=表成绩单[[#This Row],[考试日期]])*(表成绩单[化学]&lt;9E+307)*(表成绩单[化学]&gt;表成绩单[[#This Row],[化学]]))+1)</f>
        <v>365</v>
      </c>
      <c r="U413" s="29" cm="1">
        <f t="array" ref="U413">IF(表成绩单[[#This Row],[政治]]="","",SUMPRODUCT((表成绩单[考试日期]=表成绩单[[#This Row],[考试日期]])*(表成绩单[政治]&lt;9E+307)*(表成绩单[政治]&gt;表成绩单[[#This Row],[政治]]))+1)</f>
        <v>329</v>
      </c>
      <c r="V413" s="29" cm="1">
        <f t="array" ref="V413">IF(表成绩单[[#This Row],[历史]]="","",SUMPRODUCT((表成绩单[考试日期]=表成绩单[[#This Row],[考试日期]])*(表成绩单[历史]&lt;9E+307)*(表成绩单[历史]&gt;表成绩单[[#This Row],[历史]]))+1)</f>
        <v>144</v>
      </c>
      <c r="W413" s="29" cm="1">
        <f t="array" ref="W413">IF(表成绩单[[#This Row],[总分]]="","",SUMPRODUCT((表成绩单[考试日期]=表成绩单[[#This Row],[考试日期]])*(表成绩单[总分]&lt;9E+307)*(表成绩单[总分]&gt;表成绩单[[#This Row],[总分]]))+1)</f>
        <v>407</v>
      </c>
    </row>
    <row r="414" ht="28" customHeight="1" spans="4:23">
      <c r="D414" s="31">
        <v>45975</v>
      </c>
      <c r="E414" s="29">
        <v>19171093</v>
      </c>
      <c r="F414" s="29" t="s">
        <v>67</v>
      </c>
      <c r="G414" s="29" t="s">
        <v>487</v>
      </c>
      <c r="H414" s="29">
        <v>100</v>
      </c>
      <c r="I414" s="29">
        <v>97</v>
      </c>
      <c r="J414" s="29">
        <v>83</v>
      </c>
      <c r="K414" s="29">
        <v>77</v>
      </c>
      <c r="L414" s="29">
        <v>63</v>
      </c>
      <c r="M414" s="29">
        <v>75</v>
      </c>
      <c r="N414" s="29">
        <v>76</v>
      </c>
      <c r="O414" s="32">
        <v>571</v>
      </c>
      <c r="P414" s="29" cm="1">
        <f t="array" ref="P414">IF(表成绩单[[#This Row],[语文]]="","",SUMPRODUCT((表成绩单[考试日期]=表成绩单[[#This Row],[考试日期]])*(表成绩单[语文]&lt;9E+307)*(表成绩单[语文]&gt;表成绩单[[#This Row],[语文]]))+1)</f>
        <v>223</v>
      </c>
      <c r="Q414" s="29" cm="1">
        <f t="array" ref="Q414">IF(表成绩单[[#This Row],[数学]]="","",SUMPRODUCT((表成绩单[考试日期]=表成绩单[[#This Row],[考试日期]])*(表成绩单[数学]&lt;9E+307)*(表成绩单[数学]&gt;表成绩单[[#This Row],[数学]]))+1)</f>
        <v>389</v>
      </c>
      <c r="R414" s="29" cm="1">
        <f t="array" ref="R414">IF(表成绩单[[#This Row],[英语]]="","",SUMPRODUCT((表成绩单[考试日期]=表成绩单[[#This Row],[考试日期]])*(表成绩单[英语]&lt;9E+307)*(表成绩单[英语]&gt;表成绩单[[#This Row],[英语]]))+1)</f>
        <v>146</v>
      </c>
      <c r="S414" s="29" cm="1">
        <f t="array" ref="S414">IF(表成绩单[[#This Row],[物理]]="","",SUMPRODUCT((表成绩单[考试日期]=表成绩单[[#This Row],[考试日期]])*(表成绩单[物理]&lt;9E+307)*(表成绩单[物理]&gt;表成绩单[[#This Row],[物理]]))+1)</f>
        <v>572</v>
      </c>
      <c r="T414" s="29" cm="1">
        <f t="array" ref="T414">IF(表成绩单[[#This Row],[化学]]="","",SUMPRODUCT((表成绩单[考试日期]=表成绩单[[#This Row],[考试日期]])*(表成绩单[化学]&lt;9E+307)*(表成绩单[化学]&gt;表成绩单[[#This Row],[化学]]))+1)</f>
        <v>588</v>
      </c>
      <c r="U414" s="29" cm="1">
        <f t="array" ref="U414">IF(表成绩单[[#This Row],[政治]]="","",SUMPRODUCT((表成绩单[考试日期]=表成绩单[[#This Row],[考试日期]])*(表成绩单[政治]&lt;9E+307)*(表成绩单[政治]&gt;表成绩单[[#This Row],[政治]]))+1)</f>
        <v>363</v>
      </c>
      <c r="V414" s="29" cm="1">
        <f t="array" ref="V414">IF(表成绩单[[#This Row],[历史]]="","",SUMPRODUCT((表成绩单[考试日期]=表成绩单[[#This Row],[考试日期]])*(表成绩单[历史]&lt;9E+307)*(表成绩单[历史]&gt;表成绩单[[#This Row],[历史]]))+1)</f>
        <v>278</v>
      </c>
      <c r="W414" s="29" cm="1">
        <f t="array" ref="W414">IF(表成绩单[[#This Row],[总分]]="","",SUMPRODUCT((表成绩单[考试日期]=表成绩单[[#This Row],[考试日期]])*(表成绩单[总分]&lt;9E+307)*(表成绩单[总分]&gt;表成绩单[[#This Row],[总分]]))+1)</f>
        <v>410</v>
      </c>
    </row>
    <row r="415" ht="28" customHeight="1" spans="4:23">
      <c r="D415" s="31">
        <v>45975</v>
      </c>
      <c r="E415" s="29">
        <v>19175415</v>
      </c>
      <c r="F415" s="29" t="s">
        <v>74</v>
      </c>
      <c r="G415" s="29" t="s">
        <v>488</v>
      </c>
      <c r="H415" s="29">
        <v>96</v>
      </c>
      <c r="I415" s="29">
        <v>91</v>
      </c>
      <c r="J415" s="29">
        <v>62</v>
      </c>
      <c r="K415" s="29">
        <v>84</v>
      </c>
      <c r="L415" s="29">
        <v>83</v>
      </c>
      <c r="M415" s="29">
        <v>76</v>
      </c>
      <c r="N415" s="29">
        <v>79</v>
      </c>
      <c r="O415" s="32">
        <v>571</v>
      </c>
      <c r="P415" s="29" cm="1">
        <f t="array" ref="P415">IF(表成绩单[[#This Row],[语文]]="","",SUMPRODUCT((表成绩单[考试日期]=表成绩单[[#This Row],[考试日期]])*(表成绩单[语文]&lt;9E+307)*(表成绩单[语文]&gt;表成绩单[[#This Row],[语文]]))+1)</f>
        <v>387</v>
      </c>
      <c r="Q415" s="29" cm="1">
        <f t="array" ref="Q415">IF(表成绩单[[#This Row],[数学]]="","",SUMPRODUCT((表成绩单[考试日期]=表成绩单[[#This Row],[考试日期]])*(表成绩单[数学]&lt;9E+307)*(表成绩单[数学]&gt;表成绩单[[#This Row],[数学]]))+1)</f>
        <v>495</v>
      </c>
      <c r="R415" s="29" cm="1">
        <f t="array" ref="R415">IF(表成绩单[[#This Row],[英语]]="","",SUMPRODUCT((表成绩单[考试日期]=表成绩单[[#This Row],[考试日期]])*(表成绩单[英语]&lt;9E+307)*(表成绩单[英语]&gt;表成绩单[[#This Row],[英语]]))+1)</f>
        <v>655</v>
      </c>
      <c r="S415" s="29" cm="1">
        <f t="array" ref="S415">IF(表成绩单[[#This Row],[物理]]="","",SUMPRODUCT((表成绩单[考试日期]=表成绩单[[#This Row],[考试日期]])*(表成绩单[物理]&lt;9E+307)*(表成绩单[物理]&gt;表成绩单[[#This Row],[物理]]))+1)</f>
        <v>344</v>
      </c>
      <c r="T415" s="29" cm="1">
        <f t="array" ref="T415">IF(表成绩单[[#This Row],[化学]]="","",SUMPRODUCT((表成绩单[考试日期]=表成绩单[[#This Row],[考试日期]])*(表成绩单[化学]&lt;9E+307)*(表成绩单[化学]&gt;表成绩单[[#This Row],[化学]]))+1)</f>
        <v>49</v>
      </c>
      <c r="U415" s="29" cm="1">
        <f t="array" ref="U415">IF(表成绩单[[#This Row],[政治]]="","",SUMPRODUCT((表成绩单[考试日期]=表成绩单[[#This Row],[考试日期]])*(表成绩单[政治]&lt;9E+307)*(表成绩单[政治]&gt;表成绩单[[#This Row],[政治]]))+1)</f>
        <v>329</v>
      </c>
      <c r="V415" s="29" cm="1">
        <f t="array" ref="V415">IF(表成绩单[[#This Row],[历史]]="","",SUMPRODUCT((表成绩单[考试日期]=表成绩单[[#This Row],[考试日期]])*(表成绩单[历史]&lt;9E+307)*(表成绩单[历史]&gt;表成绩单[[#This Row],[历史]]))+1)</f>
        <v>144</v>
      </c>
      <c r="W415" s="29" cm="1">
        <f t="array" ref="W415">IF(表成绩单[[#This Row],[总分]]="","",SUMPRODUCT((表成绩单[考试日期]=表成绩单[[#This Row],[考试日期]])*(表成绩单[总分]&lt;9E+307)*(表成绩单[总分]&gt;表成绩单[[#This Row],[总分]]))+1)</f>
        <v>410</v>
      </c>
    </row>
    <row r="416" ht="28" customHeight="1" spans="4:23">
      <c r="D416" s="31">
        <v>45975</v>
      </c>
      <c r="E416" s="29">
        <v>36668257</v>
      </c>
      <c r="F416" s="29" t="s">
        <v>66</v>
      </c>
      <c r="G416" s="29" t="s">
        <v>489</v>
      </c>
      <c r="H416" s="29">
        <v>102</v>
      </c>
      <c r="I416" s="29">
        <v>86</v>
      </c>
      <c r="J416" s="29">
        <v>80</v>
      </c>
      <c r="K416" s="29">
        <v>81</v>
      </c>
      <c r="L416" s="29">
        <v>77</v>
      </c>
      <c r="M416" s="29">
        <v>76</v>
      </c>
      <c r="N416" s="29">
        <v>69</v>
      </c>
      <c r="O416" s="32">
        <v>571</v>
      </c>
      <c r="P416" s="29" cm="1">
        <f t="array" ref="P416">IF(表成绩单[[#This Row],[语文]]="","",SUMPRODUCT((表成绩单[考试日期]=表成绩单[[#This Row],[考试日期]])*(表成绩单[语文]&lt;9E+307)*(表成绩单[语文]&gt;表成绩单[[#This Row],[语文]]))+1)</f>
        <v>154</v>
      </c>
      <c r="Q416" s="29" cm="1">
        <f t="array" ref="Q416">IF(表成绩单[[#This Row],[数学]]="","",SUMPRODUCT((表成绩单[考试日期]=表成绩单[[#This Row],[考试日期]])*(表成绩单[数学]&lt;9E+307)*(表成绩单[数学]&gt;表成绩单[[#This Row],[数学]]))+1)</f>
        <v>562</v>
      </c>
      <c r="R416" s="29" cm="1">
        <f t="array" ref="R416">IF(表成绩单[[#This Row],[英语]]="","",SUMPRODUCT((表成绩单[考试日期]=表成绩单[[#This Row],[考试日期]])*(表成绩单[英语]&lt;9E+307)*(表成绩单[英语]&gt;表成绩单[[#This Row],[英语]]))+1)</f>
        <v>268</v>
      </c>
      <c r="S416" s="29" cm="1">
        <f t="array" ref="S416">IF(表成绩单[[#This Row],[物理]]="","",SUMPRODUCT((表成绩单[考试日期]=表成绩单[[#This Row],[考试日期]])*(表成绩单[物理]&lt;9E+307)*(表成绩单[物理]&gt;表成绩单[[#This Row],[物理]]))+1)</f>
        <v>474</v>
      </c>
      <c r="T416" s="29" cm="1">
        <f t="array" ref="T416">IF(表成绩单[[#This Row],[化学]]="","",SUMPRODUCT((表成绩单[考试日期]=表成绩单[[#This Row],[考试日期]])*(表成绩单[化学]&lt;9E+307)*(表成绩单[化学]&gt;表成绩单[[#This Row],[化学]]))+1)</f>
        <v>239</v>
      </c>
      <c r="U416" s="29" cm="1">
        <f t="array" ref="U416">IF(表成绩单[[#This Row],[政治]]="","",SUMPRODUCT((表成绩单[考试日期]=表成绩单[[#This Row],[考试日期]])*(表成绩单[政治]&lt;9E+307)*(表成绩单[政治]&gt;表成绩单[[#This Row],[政治]]))+1)</f>
        <v>329</v>
      </c>
      <c r="V416" s="29" cm="1">
        <f t="array" ref="V416">IF(表成绩单[[#This Row],[历史]]="","",SUMPRODUCT((表成绩单[考试日期]=表成绩单[[#This Row],[考试日期]])*(表成绩单[历史]&lt;9E+307)*(表成绩单[历史]&gt;表成绩单[[#This Row],[历史]]))+1)</f>
        <v>541</v>
      </c>
      <c r="W416" s="29" cm="1">
        <f t="array" ref="W416">IF(表成绩单[[#This Row],[总分]]="","",SUMPRODUCT((表成绩单[考试日期]=表成绩单[[#This Row],[考试日期]])*(表成绩单[总分]&lt;9E+307)*(表成绩单[总分]&gt;表成绩单[[#This Row],[总分]]))+1)</f>
        <v>410</v>
      </c>
    </row>
    <row r="417" ht="28" customHeight="1" spans="4:23">
      <c r="D417" s="31">
        <v>45975</v>
      </c>
      <c r="E417" s="29">
        <v>19172636</v>
      </c>
      <c r="F417" s="29" t="s">
        <v>60</v>
      </c>
      <c r="G417" s="29" t="s">
        <v>490</v>
      </c>
      <c r="H417" s="29">
        <v>93</v>
      </c>
      <c r="I417" s="29">
        <v>93</v>
      </c>
      <c r="J417" s="29">
        <v>76.5</v>
      </c>
      <c r="K417" s="29">
        <v>79</v>
      </c>
      <c r="L417" s="29">
        <v>77</v>
      </c>
      <c r="M417" s="29">
        <v>79</v>
      </c>
      <c r="N417" s="29">
        <v>73</v>
      </c>
      <c r="O417" s="32">
        <v>570.5</v>
      </c>
      <c r="P417" s="29" cm="1">
        <f t="array" ref="P417">IF(表成绩单[[#This Row],[语文]]="","",SUMPRODUCT((表成绩单[考试日期]=表成绩单[[#This Row],[考试日期]])*(表成绩单[语文]&lt;9E+307)*(表成绩单[语文]&gt;表成绩单[[#This Row],[语文]]))+1)</f>
        <v>489</v>
      </c>
      <c r="Q417" s="29" cm="1">
        <f t="array" ref="Q417">IF(表成绩单[[#This Row],[数学]]="","",SUMPRODUCT((表成绩单[考试日期]=表成绩单[[#This Row],[考试日期]])*(表成绩单[数学]&lt;9E+307)*(表成绩单[数学]&gt;表成绩单[[#This Row],[数学]]))+1)</f>
        <v>469</v>
      </c>
      <c r="R417" s="29" cm="1">
        <f t="array" ref="R417">IF(表成绩单[[#This Row],[英语]]="","",SUMPRODUCT((表成绩单[考试日期]=表成绩单[[#This Row],[考试日期]])*(表成绩单[英语]&lt;9E+307)*(表成绩单[英语]&gt;表成绩单[[#This Row],[英语]]))+1)</f>
        <v>382</v>
      </c>
      <c r="S417" s="29" cm="1">
        <f t="array" ref="S417">IF(表成绩单[[#This Row],[物理]]="","",SUMPRODUCT((表成绩单[考试日期]=表成绩单[[#This Row],[考试日期]])*(表成绩单[物理]&lt;9E+307)*(表成绩单[物理]&gt;表成绩单[[#This Row],[物理]]))+1)</f>
        <v>534</v>
      </c>
      <c r="T417" s="29" cm="1">
        <f t="array" ref="T417">IF(表成绩单[[#This Row],[化学]]="","",SUMPRODUCT((表成绩单[考试日期]=表成绩单[[#This Row],[考试日期]])*(表成绩单[化学]&lt;9E+307)*(表成绩单[化学]&gt;表成绩单[[#This Row],[化学]]))+1)</f>
        <v>239</v>
      </c>
      <c r="U417" s="29" cm="1">
        <f t="array" ref="U417">IF(表成绩单[[#This Row],[政治]]="","",SUMPRODUCT((表成绩单[考试日期]=表成绩单[[#This Row],[考试日期]])*(表成绩单[政治]&lt;9E+307)*(表成绩单[政治]&gt;表成绩单[[#This Row],[政治]]))+1)</f>
        <v>246</v>
      </c>
      <c r="V417" s="29" cm="1">
        <f t="array" ref="V417">IF(表成绩单[[#This Row],[历史]]="","",SUMPRODUCT((表成绩单[考试日期]=表成绩单[[#This Row],[考试日期]])*(表成绩单[历史]&lt;9E+307)*(表成绩单[历史]&gt;表成绩单[[#This Row],[历史]]))+1)</f>
        <v>395</v>
      </c>
      <c r="W417" s="29" cm="1">
        <f t="array" ref="W417">IF(表成绩单[[#This Row],[总分]]="","",SUMPRODUCT((表成绩单[考试日期]=表成绩单[[#This Row],[考试日期]])*(表成绩单[总分]&lt;9E+307)*(表成绩单[总分]&gt;表成绩单[[#This Row],[总分]]))+1)</f>
        <v>413</v>
      </c>
    </row>
    <row r="418" ht="28" customHeight="1" spans="4:23">
      <c r="D418" s="31">
        <v>45975</v>
      </c>
      <c r="E418" s="29">
        <v>19172640</v>
      </c>
      <c r="F418" s="29" t="s">
        <v>60</v>
      </c>
      <c r="G418" s="29" t="s">
        <v>491</v>
      </c>
      <c r="H418" s="29">
        <v>94</v>
      </c>
      <c r="I418" s="29">
        <v>97</v>
      </c>
      <c r="J418" s="29">
        <v>79.5</v>
      </c>
      <c r="K418" s="29">
        <v>79</v>
      </c>
      <c r="L418" s="29">
        <v>70</v>
      </c>
      <c r="M418" s="29">
        <v>80</v>
      </c>
      <c r="N418" s="29">
        <v>71</v>
      </c>
      <c r="O418" s="32">
        <v>570.5</v>
      </c>
      <c r="P418" s="29" cm="1">
        <f t="array" ref="P418">IF(表成绩单[[#This Row],[语文]]="","",SUMPRODUCT((表成绩单[考试日期]=表成绩单[[#This Row],[考试日期]])*(表成绩单[语文]&lt;9E+307)*(表成绩单[语文]&gt;表成绩单[[#This Row],[语文]]))+1)</f>
        <v>452</v>
      </c>
      <c r="Q418" s="29" cm="1">
        <f t="array" ref="Q418">IF(表成绩单[[#This Row],[数学]]="","",SUMPRODUCT((表成绩单[考试日期]=表成绩单[[#This Row],[考试日期]])*(表成绩单[数学]&lt;9E+307)*(表成绩单[数学]&gt;表成绩单[[#This Row],[数学]]))+1)</f>
        <v>389</v>
      </c>
      <c r="R418" s="29" cm="1">
        <f t="array" ref="R418">IF(表成绩单[[#This Row],[英语]]="","",SUMPRODUCT((表成绩单[考试日期]=表成绩单[[#This Row],[考试日期]])*(表成绩单[英语]&lt;9E+307)*(表成绩单[英语]&gt;表成绩单[[#This Row],[英语]]))+1)</f>
        <v>279</v>
      </c>
      <c r="S418" s="29" cm="1">
        <f t="array" ref="S418">IF(表成绩单[[#This Row],[物理]]="","",SUMPRODUCT((表成绩单[考试日期]=表成绩单[[#This Row],[考试日期]])*(表成绩单[物理]&lt;9E+307)*(表成绩单[物理]&gt;表成绩单[[#This Row],[物理]]))+1)</f>
        <v>534</v>
      </c>
      <c r="T418" s="29" cm="1">
        <f t="array" ref="T418">IF(表成绩单[[#This Row],[化学]]="","",SUMPRODUCT((表成绩单[考试日期]=表成绩单[[#This Row],[考试日期]])*(表成绩单[化学]&lt;9E+307)*(表成绩单[化学]&gt;表成绩单[[#This Row],[化学]]))+1)</f>
        <v>453</v>
      </c>
      <c r="U418" s="29" cm="1">
        <f t="array" ref="U418">IF(表成绩单[[#This Row],[政治]]="","",SUMPRODUCT((表成绩单[考试日期]=表成绩单[[#This Row],[考试日期]])*(表成绩单[政治]&lt;9E+307)*(表成绩单[政治]&gt;表成绩单[[#This Row],[政治]]))+1)</f>
        <v>209</v>
      </c>
      <c r="V418" s="29" cm="1">
        <f t="array" ref="V418">IF(表成绩单[[#This Row],[历史]]="","",SUMPRODUCT((表成绩单[考试日期]=表成绩单[[#This Row],[考试日期]])*(表成绩单[历史]&lt;9E+307)*(表成绩单[历史]&gt;表成绩单[[#This Row],[历史]]))+1)</f>
        <v>480</v>
      </c>
      <c r="W418" s="29" cm="1">
        <f t="array" ref="W418">IF(表成绩单[[#This Row],[总分]]="","",SUMPRODUCT((表成绩单[考试日期]=表成绩单[[#This Row],[考试日期]])*(表成绩单[总分]&lt;9E+307)*(表成绩单[总分]&gt;表成绩单[[#This Row],[总分]]))+1)</f>
        <v>413</v>
      </c>
    </row>
    <row r="419" ht="28" customHeight="1" spans="4:23">
      <c r="D419" s="31">
        <v>45975</v>
      </c>
      <c r="E419" s="29">
        <v>19173248</v>
      </c>
      <c r="F419" s="29" t="s">
        <v>61</v>
      </c>
      <c r="G419" s="29" t="s">
        <v>492</v>
      </c>
      <c r="H419" s="29">
        <v>92</v>
      </c>
      <c r="I419" s="29">
        <v>106</v>
      </c>
      <c r="J419" s="29">
        <v>69.5</v>
      </c>
      <c r="K419" s="29">
        <v>88</v>
      </c>
      <c r="L419" s="29">
        <v>79</v>
      </c>
      <c r="M419" s="29">
        <v>63</v>
      </c>
      <c r="N419" s="29">
        <v>73</v>
      </c>
      <c r="O419" s="32">
        <v>570.5</v>
      </c>
      <c r="P419" s="29" cm="1">
        <f t="array" ref="P419">IF(表成绩单[[#This Row],[语文]]="","",SUMPRODUCT((表成绩单[考试日期]=表成绩单[[#This Row],[考试日期]])*(表成绩单[语文]&lt;9E+307)*(表成绩单[语文]&gt;表成绩单[[#This Row],[语文]]))+1)</f>
        <v>517</v>
      </c>
      <c r="Q419" s="29" cm="1">
        <f t="array" ref="Q419">IF(表成绩单[[#This Row],[数学]]="","",SUMPRODUCT((表成绩单[考试日期]=表成绩单[[#This Row],[考试日期]])*(表成绩单[数学]&lt;9E+307)*(表成绩单[数学]&gt;表成绩单[[#This Row],[数学]]))+1)</f>
        <v>220</v>
      </c>
      <c r="R419" s="29" cm="1">
        <f t="array" ref="R419">IF(表成绩单[[#This Row],[英语]]="","",SUMPRODUCT((表成绩单[考试日期]=表成绩单[[#This Row],[考试日期]])*(表成绩单[英语]&lt;9E+307)*(表成绩单[英语]&gt;表成绩单[[#This Row],[英语]]))+1)</f>
        <v>560</v>
      </c>
      <c r="S419" s="29" cm="1">
        <f t="array" ref="S419">IF(表成绩单[[#This Row],[物理]]="","",SUMPRODUCT((表成绩单[考试日期]=表成绩单[[#This Row],[考试日期]])*(表成绩单[物理]&lt;9E+307)*(表成绩单[物理]&gt;表成绩单[[#This Row],[物理]]))+1)</f>
        <v>54</v>
      </c>
      <c r="T419" s="29" cm="1">
        <f t="array" ref="T419">IF(表成绩单[[#This Row],[化学]]="","",SUMPRODUCT((表成绩单[考试日期]=表成绩单[[#This Row],[考试日期]])*(表成绩单[化学]&lt;9E+307)*(表成绩单[化学]&gt;表成绩单[[#This Row],[化学]]))+1)</f>
        <v>166</v>
      </c>
      <c r="U419" s="29" cm="1">
        <f t="array" ref="U419">IF(表成绩单[[#This Row],[政治]]="","",SUMPRODUCT((表成绩单[考试日期]=表成绩单[[#This Row],[考试日期]])*(表成绩单[政治]&lt;9E+307)*(表成绩单[政治]&gt;表成绩单[[#This Row],[政治]]))+1)</f>
        <v>618</v>
      </c>
      <c r="V419" s="29" cm="1">
        <f t="array" ref="V419">IF(表成绩单[[#This Row],[历史]]="","",SUMPRODUCT((表成绩单[考试日期]=表成绩单[[#This Row],[考试日期]])*(表成绩单[历史]&lt;9E+307)*(表成绩单[历史]&gt;表成绩单[[#This Row],[历史]]))+1)</f>
        <v>395</v>
      </c>
      <c r="W419" s="29" cm="1">
        <f t="array" ref="W419">IF(表成绩单[[#This Row],[总分]]="","",SUMPRODUCT((表成绩单[考试日期]=表成绩单[[#This Row],[考试日期]])*(表成绩单[总分]&lt;9E+307)*(表成绩单[总分]&gt;表成绩单[[#This Row],[总分]]))+1)</f>
        <v>413</v>
      </c>
    </row>
    <row r="420" ht="28" customHeight="1" spans="4:23">
      <c r="D420" s="31">
        <v>45975</v>
      </c>
      <c r="E420" s="29">
        <v>19174738</v>
      </c>
      <c r="F420" s="29" t="s">
        <v>64</v>
      </c>
      <c r="G420" s="29" t="s">
        <v>493</v>
      </c>
      <c r="H420" s="29">
        <v>95</v>
      </c>
      <c r="I420" s="29">
        <v>106</v>
      </c>
      <c r="J420" s="29">
        <v>63.5</v>
      </c>
      <c r="K420" s="29">
        <v>86</v>
      </c>
      <c r="L420" s="29">
        <v>76</v>
      </c>
      <c r="M420" s="29">
        <v>73</v>
      </c>
      <c r="N420" s="29">
        <v>71</v>
      </c>
      <c r="O420" s="32">
        <v>570.5</v>
      </c>
      <c r="P420" s="29" cm="1">
        <f t="array" ref="P420">IF(表成绩单[[#This Row],[语文]]="","",SUMPRODUCT((表成绩单[考试日期]=表成绩单[[#This Row],[考试日期]])*(表成绩单[语文]&lt;9E+307)*(表成绩单[语文]&gt;表成绩单[[#This Row],[语文]]))+1)</f>
        <v>420</v>
      </c>
      <c r="Q420" s="29" cm="1">
        <f t="array" ref="Q420">IF(表成绩单[[#This Row],[数学]]="","",SUMPRODUCT((表成绩单[考试日期]=表成绩单[[#This Row],[考试日期]])*(表成绩单[数学]&lt;9E+307)*(表成绩单[数学]&gt;表成绩单[[#This Row],[数学]]))+1)</f>
        <v>220</v>
      </c>
      <c r="R420" s="29" cm="1">
        <f t="array" ref="R420">IF(表成绩单[[#This Row],[英语]]="","",SUMPRODUCT((表成绩单[考试日期]=表成绩单[[#This Row],[考试日期]])*(表成绩单[英语]&lt;9E+307)*(表成绩单[英语]&gt;表成绩单[[#This Row],[英语]]))+1)</f>
        <v>637</v>
      </c>
      <c r="S420" s="29" cm="1">
        <f t="array" ref="S420">IF(表成绩单[[#This Row],[物理]]="","",SUMPRODUCT((表成绩单[考试日期]=表成绩单[[#This Row],[考试日期]])*(表成绩单[物理]&lt;9E+307)*(表成绩单[物理]&gt;表成绩单[[#This Row],[物理]]))+1)</f>
        <v>187</v>
      </c>
      <c r="T420" s="29" cm="1">
        <f t="array" ref="T420">IF(表成绩单[[#This Row],[化学]]="","",SUMPRODUCT((表成绩单[考试日期]=表成绩单[[#This Row],[考试日期]])*(表成绩单[化学]&lt;9E+307)*(表成绩单[化学]&gt;表成绩单[[#This Row],[化学]]))+1)</f>
        <v>268</v>
      </c>
      <c r="U420" s="29" cm="1">
        <f t="array" ref="U420">IF(表成绩单[[#This Row],[政治]]="","",SUMPRODUCT((表成绩单[考试日期]=表成绩单[[#This Row],[考试日期]])*(表成绩单[政治]&lt;9E+307)*(表成绩单[政治]&gt;表成绩单[[#This Row],[政治]]))+1)</f>
        <v>418</v>
      </c>
      <c r="V420" s="29" cm="1">
        <f t="array" ref="V420">IF(表成绩单[[#This Row],[历史]]="","",SUMPRODUCT((表成绩单[考试日期]=表成绩单[[#This Row],[考试日期]])*(表成绩单[历史]&lt;9E+307)*(表成绩单[历史]&gt;表成绩单[[#This Row],[历史]]))+1)</f>
        <v>480</v>
      </c>
      <c r="W420" s="29" cm="1">
        <f t="array" ref="W420">IF(表成绩单[[#This Row],[总分]]="","",SUMPRODUCT((表成绩单[考试日期]=表成绩单[[#This Row],[考试日期]])*(表成绩单[总分]&lt;9E+307)*(表成绩单[总分]&gt;表成绩单[[#This Row],[总分]]))+1)</f>
        <v>413</v>
      </c>
    </row>
    <row r="421" ht="28" customHeight="1" spans="4:23">
      <c r="D421" s="31">
        <v>45975</v>
      </c>
      <c r="E421" s="29">
        <v>19174800</v>
      </c>
      <c r="F421" s="29" t="s">
        <v>69</v>
      </c>
      <c r="G421" s="29" t="s">
        <v>494</v>
      </c>
      <c r="H421" s="29">
        <v>93</v>
      </c>
      <c r="I421" s="29">
        <v>109</v>
      </c>
      <c r="J421" s="29">
        <v>56.5</v>
      </c>
      <c r="K421" s="29">
        <v>85</v>
      </c>
      <c r="L421" s="29">
        <v>71</v>
      </c>
      <c r="M421" s="29">
        <v>81</v>
      </c>
      <c r="N421" s="29">
        <v>75</v>
      </c>
      <c r="O421" s="32">
        <v>570.5</v>
      </c>
      <c r="P421" s="29" cm="1">
        <f t="array" ref="P421">IF(表成绩单[[#This Row],[语文]]="","",SUMPRODUCT((表成绩单[考试日期]=表成绩单[[#This Row],[考试日期]])*(表成绩单[语文]&lt;9E+307)*(表成绩单[语文]&gt;表成绩单[[#This Row],[语文]]))+1)</f>
        <v>489</v>
      </c>
      <c r="Q421" s="29" cm="1">
        <f t="array" ref="Q421">IF(表成绩单[[#This Row],[数学]]="","",SUMPRODUCT((表成绩单[考试日期]=表成绩单[[#This Row],[考试日期]])*(表成绩单[数学]&lt;9E+307)*(表成绩单[数学]&gt;表成绩单[[#This Row],[数学]]))+1)</f>
        <v>165</v>
      </c>
      <c r="R421" s="29" cm="1">
        <f t="array" ref="R421">IF(表成绩单[[#This Row],[英语]]="","",SUMPRODUCT((表成绩单[考试日期]=表成绩单[[#This Row],[考试日期]])*(表成绩单[英语]&lt;9E+307)*(表成绩单[英语]&gt;表成绩单[[#This Row],[英语]]))+1)</f>
        <v>692</v>
      </c>
      <c r="S421" s="29" cm="1">
        <f t="array" ref="S421">IF(表成绩单[[#This Row],[物理]]="","",SUMPRODUCT((表成绩单[考试日期]=表成绩单[[#This Row],[考试日期]])*(表成绩单[物理]&lt;9E+307)*(表成绩单[物理]&gt;表成绩单[[#This Row],[物理]]))+1)</f>
        <v>263</v>
      </c>
      <c r="T421" s="29" cm="1">
        <f t="array" ref="T421">IF(表成绩单[[#This Row],[化学]]="","",SUMPRODUCT((表成绩单[考试日期]=表成绩单[[#This Row],[考试日期]])*(表成绩单[化学]&lt;9E+307)*(表成绩单[化学]&gt;表成绩单[[#This Row],[化学]]))+1)</f>
        <v>432</v>
      </c>
      <c r="U421" s="29" cm="1">
        <f t="array" ref="U421">IF(表成绩单[[#This Row],[政治]]="","",SUMPRODUCT((表成绩单[考试日期]=表成绩单[[#This Row],[考试日期]])*(表成绩单[政治]&lt;9E+307)*(表成绩单[政治]&gt;表成绩单[[#This Row],[政治]]))+1)</f>
        <v>180</v>
      </c>
      <c r="V421" s="29" cm="1">
        <f t="array" ref="V421">IF(表成绩单[[#This Row],[历史]]="","",SUMPRODUCT((表成绩单[考试日期]=表成绩单[[#This Row],[考试日期]])*(表成绩单[历史]&lt;9E+307)*(表成绩单[历史]&gt;表成绩单[[#This Row],[历史]]))+1)</f>
        <v>315</v>
      </c>
      <c r="W421" s="29" cm="1">
        <f t="array" ref="W421">IF(表成绩单[[#This Row],[总分]]="","",SUMPRODUCT((表成绩单[考试日期]=表成绩单[[#This Row],[考试日期]])*(表成绩单[总分]&lt;9E+307)*(表成绩单[总分]&gt;表成绩单[[#This Row],[总分]]))+1)</f>
        <v>413</v>
      </c>
    </row>
    <row r="422" ht="28" customHeight="1" spans="4:23">
      <c r="D422" s="31">
        <v>45975</v>
      </c>
      <c r="E422" s="29">
        <v>19175417</v>
      </c>
      <c r="F422" s="29" t="s">
        <v>74</v>
      </c>
      <c r="G422" s="29" t="s">
        <v>495</v>
      </c>
      <c r="H422" s="29">
        <v>97</v>
      </c>
      <c r="I422" s="29">
        <v>92</v>
      </c>
      <c r="J422" s="29">
        <v>77.5</v>
      </c>
      <c r="K422" s="29">
        <v>82</v>
      </c>
      <c r="L422" s="29">
        <v>71</v>
      </c>
      <c r="M422" s="29">
        <v>79</v>
      </c>
      <c r="N422" s="29">
        <v>72</v>
      </c>
      <c r="O422" s="32">
        <v>570.5</v>
      </c>
      <c r="P422" s="29" cm="1">
        <f t="array" ref="P422">IF(表成绩单[[#This Row],[语文]]="","",SUMPRODUCT((表成绩单[考试日期]=表成绩单[[#This Row],[考试日期]])*(表成绩单[语文]&lt;9E+307)*(表成绩单[语文]&gt;表成绩单[[#This Row],[语文]]))+1)</f>
        <v>349</v>
      </c>
      <c r="Q422" s="29" cm="1">
        <f t="array" ref="Q422">IF(表成绩单[[#This Row],[数学]]="","",SUMPRODUCT((表成绩单[考试日期]=表成绩单[[#This Row],[考试日期]])*(表成绩单[数学]&lt;9E+307)*(表成绩单[数学]&gt;表成绩单[[#This Row],[数学]]))+1)</f>
        <v>480</v>
      </c>
      <c r="R422" s="29" cm="1">
        <f t="array" ref="R422">IF(表成绩单[[#This Row],[英语]]="","",SUMPRODUCT((表成绩单[考试日期]=表成绩单[[#This Row],[考试日期]])*(表成绩单[英语]&lt;9E+307)*(表成绩单[英语]&gt;表成绩单[[#This Row],[英语]]))+1)</f>
        <v>345</v>
      </c>
      <c r="S422" s="29" cm="1">
        <f t="array" ref="S422">IF(表成绩单[[#This Row],[物理]]="","",SUMPRODUCT((表成绩单[考试日期]=表成绩单[[#This Row],[考试日期]])*(表成绩单[物理]&lt;9E+307)*(表成绩单[物理]&gt;表成绩单[[#This Row],[物理]]))+1)</f>
        <v>433</v>
      </c>
      <c r="T422" s="29" cm="1">
        <f t="array" ref="T422">IF(表成绩单[[#This Row],[化学]]="","",SUMPRODUCT((表成绩单[考试日期]=表成绩单[[#This Row],[考试日期]])*(表成绩单[化学]&lt;9E+307)*(表成绩单[化学]&gt;表成绩单[[#This Row],[化学]]))+1)</f>
        <v>432</v>
      </c>
      <c r="U422" s="29" cm="1">
        <f t="array" ref="U422">IF(表成绩单[[#This Row],[政治]]="","",SUMPRODUCT((表成绩单[考试日期]=表成绩单[[#This Row],[考试日期]])*(表成绩单[政治]&lt;9E+307)*(表成绩单[政治]&gt;表成绩单[[#This Row],[政治]]))+1)</f>
        <v>246</v>
      </c>
      <c r="V422" s="29" cm="1">
        <f t="array" ref="V422">IF(表成绩单[[#This Row],[历史]]="","",SUMPRODUCT((表成绩单[考试日期]=表成绩单[[#This Row],[考试日期]])*(表成绩单[历史]&lt;9E+307)*(表成绩单[历史]&gt;表成绩单[[#This Row],[历史]]))+1)</f>
        <v>438</v>
      </c>
      <c r="W422" s="29" cm="1">
        <f t="array" ref="W422">IF(表成绩单[[#This Row],[总分]]="","",SUMPRODUCT((表成绩单[考试日期]=表成绩单[[#This Row],[考试日期]])*(表成绩单[总分]&lt;9E+307)*(表成绩单[总分]&gt;表成绩单[[#This Row],[总分]]))+1)</f>
        <v>413</v>
      </c>
    </row>
    <row r="423" ht="28" customHeight="1" spans="4:23">
      <c r="D423" s="31">
        <v>45975</v>
      </c>
      <c r="E423" s="29">
        <v>19178639</v>
      </c>
      <c r="F423" s="29" t="s">
        <v>25</v>
      </c>
      <c r="G423" s="29" t="s">
        <v>496</v>
      </c>
      <c r="H423" s="29">
        <v>94</v>
      </c>
      <c r="I423" s="29">
        <v>89</v>
      </c>
      <c r="J423" s="29">
        <v>76.5</v>
      </c>
      <c r="K423" s="29">
        <v>87</v>
      </c>
      <c r="L423" s="29">
        <v>78</v>
      </c>
      <c r="M423" s="29">
        <v>74</v>
      </c>
      <c r="N423" s="29">
        <v>72</v>
      </c>
      <c r="O423" s="32">
        <v>570.5</v>
      </c>
      <c r="P423" s="29" cm="1">
        <f t="array" ref="P423">IF(表成绩单[[#This Row],[语文]]="","",SUMPRODUCT((表成绩单[考试日期]=表成绩单[[#This Row],[考试日期]])*(表成绩单[语文]&lt;9E+307)*(表成绩单[语文]&gt;表成绩单[[#This Row],[语文]]))+1)</f>
        <v>452</v>
      </c>
      <c r="Q423" s="29" cm="1">
        <f t="array" ref="Q423">IF(表成绩单[[#This Row],[数学]]="","",SUMPRODUCT((表成绩单[考试日期]=表成绩单[[#This Row],[考试日期]])*(表成绩单[数学]&lt;9E+307)*(表成绩单[数学]&gt;表成绩单[[#This Row],[数学]]))+1)</f>
        <v>518</v>
      </c>
      <c r="R423" s="29" cm="1">
        <f t="array" ref="R423">IF(表成绩单[[#This Row],[英语]]="","",SUMPRODUCT((表成绩单[考试日期]=表成绩单[[#This Row],[考试日期]])*(表成绩单[英语]&lt;9E+307)*(表成绩单[英语]&gt;表成绩单[[#This Row],[英语]]))+1)</f>
        <v>382</v>
      </c>
      <c r="S423" s="29" cm="1">
        <f t="array" ref="S423">IF(表成绩单[[#This Row],[物理]]="","",SUMPRODUCT((表成绩单[考试日期]=表成绩单[[#This Row],[考试日期]])*(表成绩单[物理]&lt;9E+307)*(表成绩单[物理]&gt;表成绩单[[#This Row],[物理]]))+1)</f>
        <v>127</v>
      </c>
      <c r="T423" s="29" cm="1">
        <f t="array" ref="T423">IF(表成绩单[[#This Row],[化学]]="","",SUMPRODUCT((表成绩单[考试日期]=表成绩单[[#This Row],[考试日期]])*(表成绩单[化学]&lt;9E+307)*(表成绩单[化学]&gt;表成绩单[[#This Row],[化学]]))+1)</f>
        <v>200</v>
      </c>
      <c r="U423" s="29" cm="1">
        <f t="array" ref="U423">IF(表成绩单[[#This Row],[政治]]="","",SUMPRODUCT((表成绩单[考试日期]=表成绩单[[#This Row],[考试日期]])*(表成绩单[政治]&lt;9E+307)*(表成绩单[政治]&gt;表成绩单[[#This Row],[政治]]))+1)</f>
        <v>389</v>
      </c>
      <c r="V423" s="29" cm="1">
        <f t="array" ref="V423">IF(表成绩单[[#This Row],[历史]]="","",SUMPRODUCT((表成绩单[考试日期]=表成绩单[[#This Row],[考试日期]])*(表成绩单[历史]&lt;9E+307)*(表成绩单[历史]&gt;表成绩单[[#This Row],[历史]]))+1)</f>
        <v>438</v>
      </c>
      <c r="W423" s="29" cm="1">
        <f t="array" ref="W423">IF(表成绩单[[#This Row],[总分]]="","",SUMPRODUCT((表成绩单[考试日期]=表成绩单[[#This Row],[考试日期]])*(表成绩单[总分]&lt;9E+307)*(表成绩单[总分]&gt;表成绩单[[#This Row],[总分]]))+1)</f>
        <v>413</v>
      </c>
    </row>
    <row r="424" ht="28" customHeight="1" spans="4:23">
      <c r="D424" s="31">
        <v>45975</v>
      </c>
      <c r="E424" s="29">
        <v>19174742</v>
      </c>
      <c r="F424" s="29" t="s">
        <v>64</v>
      </c>
      <c r="G424" s="29" t="s">
        <v>497</v>
      </c>
      <c r="H424" s="29">
        <v>103</v>
      </c>
      <c r="I424" s="29">
        <v>100</v>
      </c>
      <c r="J424" s="29">
        <v>78</v>
      </c>
      <c r="K424" s="29">
        <v>78</v>
      </c>
      <c r="L424" s="29">
        <v>62</v>
      </c>
      <c r="M424" s="29">
        <v>79</v>
      </c>
      <c r="N424" s="29">
        <v>70</v>
      </c>
      <c r="O424" s="32">
        <v>570</v>
      </c>
      <c r="P424" s="29" cm="1">
        <f t="array" ref="P424">IF(表成绩单[[#This Row],[语文]]="","",SUMPRODUCT((表成绩单[考试日期]=表成绩单[[#This Row],[考试日期]])*(表成绩单[语文]&lt;9E+307)*(表成绩单[语文]&gt;表成绩单[[#This Row],[语文]]))+1)</f>
        <v>126</v>
      </c>
      <c r="Q424" s="29" cm="1">
        <f t="array" ref="Q424">IF(表成绩单[[#This Row],[数学]]="","",SUMPRODUCT((表成绩单[考试日期]=表成绩单[[#This Row],[考试日期]])*(表成绩单[数学]&lt;9E+307)*(表成绩单[数学]&gt;表成绩单[[#This Row],[数学]]))+1)</f>
        <v>340</v>
      </c>
      <c r="R424" s="29" cm="1">
        <f t="array" ref="R424">IF(表成绩单[[#This Row],[英语]]="","",SUMPRODUCT((表成绩单[考试日期]=表成绩单[[#This Row],[考试日期]])*(表成绩单[英语]&lt;9E+307)*(表成绩单[英语]&gt;表成绩单[[#This Row],[英语]]))+1)</f>
        <v>330</v>
      </c>
      <c r="S424" s="29" cm="1">
        <f t="array" ref="S424">IF(表成绩单[[#This Row],[物理]]="","",SUMPRODUCT((表成绩单[考试日期]=表成绩单[[#This Row],[考试日期]])*(表成绩单[物理]&lt;9E+307)*(表成绩单[物理]&gt;表成绩单[[#This Row],[物理]]))+1)</f>
        <v>554</v>
      </c>
      <c r="T424" s="29" cm="1">
        <f t="array" ref="T424">IF(表成绩单[[#This Row],[化学]]="","",SUMPRODUCT((表成绩单[考试日期]=表成绩单[[#This Row],[考试日期]])*(表成绩单[化学]&lt;9E+307)*(表成绩单[化学]&gt;表成绩单[[#This Row],[化学]]))+1)</f>
        <v>605</v>
      </c>
      <c r="U424" s="29" cm="1">
        <f t="array" ref="U424">IF(表成绩单[[#This Row],[政治]]="","",SUMPRODUCT((表成绩单[考试日期]=表成绩单[[#This Row],[考试日期]])*(表成绩单[政治]&lt;9E+307)*(表成绩单[政治]&gt;表成绩单[[#This Row],[政治]]))+1)</f>
        <v>246</v>
      </c>
      <c r="V424" s="29" cm="1">
        <f t="array" ref="V424">IF(表成绩单[[#This Row],[历史]]="","",SUMPRODUCT((表成绩单[考试日期]=表成绩单[[#This Row],[考试日期]])*(表成绩单[历史]&lt;9E+307)*(表成绩单[历史]&gt;表成绩单[[#This Row],[历史]]))+1)</f>
        <v>505</v>
      </c>
      <c r="W424" s="29" cm="1">
        <f t="array" ref="W424">IF(表成绩单[[#This Row],[总分]]="","",SUMPRODUCT((表成绩单[考试日期]=表成绩单[[#This Row],[考试日期]])*(表成绩单[总分]&lt;9E+307)*(表成绩单[总分]&gt;表成绩单[[#This Row],[总分]]))+1)</f>
        <v>420</v>
      </c>
    </row>
    <row r="425" ht="28" customHeight="1" spans="4:23">
      <c r="D425" s="31">
        <v>45975</v>
      </c>
      <c r="E425" s="29">
        <v>19175666</v>
      </c>
      <c r="F425" s="29" t="s">
        <v>66</v>
      </c>
      <c r="G425" s="29" t="s">
        <v>498</v>
      </c>
      <c r="H425" s="29">
        <v>85</v>
      </c>
      <c r="I425" s="29">
        <v>107</v>
      </c>
      <c r="J425" s="29">
        <v>73</v>
      </c>
      <c r="K425" s="29">
        <v>86</v>
      </c>
      <c r="L425" s="29">
        <v>81</v>
      </c>
      <c r="M425" s="29">
        <v>66</v>
      </c>
      <c r="N425" s="29">
        <v>72</v>
      </c>
      <c r="O425" s="32">
        <v>570</v>
      </c>
      <c r="P425" s="29" cm="1">
        <f t="array" ref="P425">IF(表成绩单[[#This Row],[语文]]="","",SUMPRODUCT((表成绩单[考试日期]=表成绩单[[#This Row],[考试日期]])*(表成绩单[语文]&lt;9E+307)*(表成绩单[语文]&gt;表成绩单[[#This Row],[语文]]))+1)</f>
        <v>648</v>
      </c>
      <c r="Q425" s="29" cm="1">
        <f t="array" ref="Q425">IF(表成绩单[[#This Row],[数学]]="","",SUMPRODUCT((表成绩单[考试日期]=表成绩单[[#This Row],[考试日期]])*(表成绩单[数学]&lt;9E+307)*(表成绩单[数学]&gt;表成绩单[[#This Row],[数学]]))+1)</f>
        <v>200</v>
      </c>
      <c r="R425" s="29" cm="1">
        <f t="array" ref="R425">IF(表成绩单[[#This Row],[英语]]="","",SUMPRODUCT((表成绩单[考试日期]=表成绩单[[#This Row],[考试日期]])*(表成绩单[英语]&lt;9E+307)*(表成绩单[英语]&gt;表成绩单[[#This Row],[英语]]))+1)</f>
        <v>485</v>
      </c>
      <c r="S425" s="29" cm="1">
        <f t="array" ref="S425">IF(表成绩单[[#This Row],[物理]]="","",SUMPRODUCT((表成绩单[考试日期]=表成绩单[[#This Row],[考试日期]])*(表成绩单[物理]&lt;9E+307)*(表成绩单[物理]&gt;表成绩单[[#This Row],[物理]]))+1)</f>
        <v>187</v>
      </c>
      <c r="T425" s="29" cm="1">
        <f t="array" ref="T425">IF(表成绩单[[#This Row],[化学]]="","",SUMPRODUCT((表成绩单[考试日期]=表成绩单[[#This Row],[考试日期]])*(表成绩单[化学]&lt;9E+307)*(表成绩单[化学]&gt;表成绩单[[#This Row],[化学]]))+1)</f>
        <v>100</v>
      </c>
      <c r="U425" s="29" cm="1">
        <f t="array" ref="U425">IF(表成绩单[[#This Row],[政治]]="","",SUMPRODUCT((表成绩单[考试日期]=表成绩单[[#This Row],[考试日期]])*(表成绩单[政治]&lt;9E+307)*(表成绩单[政治]&gt;表成绩单[[#This Row],[政治]]))+1)</f>
        <v>555</v>
      </c>
      <c r="V425" s="29" cm="1">
        <f t="array" ref="V425">IF(表成绩单[[#This Row],[历史]]="","",SUMPRODUCT((表成绩单[考试日期]=表成绩单[[#This Row],[考试日期]])*(表成绩单[历史]&lt;9E+307)*(表成绩单[历史]&gt;表成绩单[[#This Row],[历史]]))+1)</f>
        <v>438</v>
      </c>
      <c r="W425" s="29" cm="1">
        <f t="array" ref="W425">IF(表成绩单[[#This Row],[总分]]="","",SUMPRODUCT((表成绩单[考试日期]=表成绩单[[#This Row],[考试日期]])*(表成绩单[总分]&lt;9E+307)*(表成绩单[总分]&gt;表成绩单[[#This Row],[总分]]))+1)</f>
        <v>420</v>
      </c>
    </row>
    <row r="426" ht="28" customHeight="1" spans="4:23">
      <c r="D426" s="31">
        <v>45975</v>
      </c>
      <c r="E426" s="29">
        <v>19177639</v>
      </c>
      <c r="F426" s="29" t="s">
        <v>63</v>
      </c>
      <c r="G426" s="29" t="s">
        <v>499</v>
      </c>
      <c r="H426" s="29">
        <v>83</v>
      </c>
      <c r="I426" s="29">
        <v>96</v>
      </c>
      <c r="J426" s="29">
        <v>83</v>
      </c>
      <c r="K426" s="29">
        <v>81</v>
      </c>
      <c r="L426" s="29">
        <v>73</v>
      </c>
      <c r="M426" s="29">
        <v>76</v>
      </c>
      <c r="N426" s="29">
        <v>78</v>
      </c>
      <c r="O426" s="32">
        <v>570</v>
      </c>
      <c r="P426" s="29" cm="1">
        <f t="array" ref="P426">IF(表成绩单[[#This Row],[语文]]="","",SUMPRODUCT((表成绩单[考试日期]=表成绩单[[#This Row],[考试日期]])*(表成绩单[语文]&lt;9E+307)*(表成绩单[语文]&gt;表成绩单[[#This Row],[语文]]))+1)</f>
        <v>670</v>
      </c>
      <c r="Q426" s="29" cm="1">
        <f t="array" ref="Q426">IF(表成绩单[[#This Row],[数学]]="","",SUMPRODUCT((表成绩单[考试日期]=表成绩单[[#This Row],[考试日期]])*(表成绩单[数学]&lt;9E+307)*(表成绩单[数学]&gt;表成绩单[[#This Row],[数学]]))+1)</f>
        <v>413</v>
      </c>
      <c r="R426" s="29" cm="1">
        <f t="array" ref="R426">IF(表成绩单[[#This Row],[英语]]="","",SUMPRODUCT((表成绩单[考试日期]=表成绩单[[#This Row],[考试日期]])*(表成绩单[英语]&lt;9E+307)*(表成绩单[英语]&gt;表成绩单[[#This Row],[英语]]))+1)</f>
        <v>146</v>
      </c>
      <c r="S426" s="29" cm="1">
        <f t="array" ref="S426">IF(表成绩单[[#This Row],[物理]]="","",SUMPRODUCT((表成绩单[考试日期]=表成绩单[[#This Row],[考试日期]])*(表成绩单[物理]&lt;9E+307)*(表成绩单[物理]&gt;表成绩单[[#This Row],[物理]]))+1)</f>
        <v>474</v>
      </c>
      <c r="T426" s="29" cm="1">
        <f t="array" ref="T426">IF(表成绩单[[#This Row],[化学]]="","",SUMPRODUCT((表成绩单[考试日期]=表成绩单[[#This Row],[考试日期]])*(表成绩单[化学]&lt;9E+307)*(表成绩单[化学]&gt;表成绩单[[#This Row],[化学]]))+1)</f>
        <v>365</v>
      </c>
      <c r="U426" s="29" cm="1">
        <f t="array" ref="U426">IF(表成绩单[[#This Row],[政治]]="","",SUMPRODUCT((表成绩单[考试日期]=表成绩单[[#This Row],[考试日期]])*(表成绩单[政治]&lt;9E+307)*(表成绩单[政治]&gt;表成绩单[[#This Row],[政治]]))+1)</f>
        <v>329</v>
      </c>
      <c r="V426" s="29" cm="1">
        <f t="array" ref="V426">IF(表成绩单[[#This Row],[历史]]="","",SUMPRODUCT((表成绩单[考试日期]=表成绩单[[#This Row],[考试日期]])*(表成绩单[历史]&lt;9E+307)*(表成绩单[历史]&gt;表成绩单[[#This Row],[历史]]))+1)</f>
        <v>189</v>
      </c>
      <c r="W426" s="29" cm="1">
        <f t="array" ref="W426">IF(表成绩单[[#This Row],[总分]]="","",SUMPRODUCT((表成绩单[考试日期]=表成绩单[[#This Row],[考试日期]])*(表成绩单[总分]&lt;9E+307)*(表成绩单[总分]&gt;表成绩单[[#This Row],[总分]]))+1)</f>
        <v>420</v>
      </c>
    </row>
    <row r="427" ht="28" customHeight="1" spans="4:23">
      <c r="D427" s="31">
        <v>45975</v>
      </c>
      <c r="E427" s="29">
        <v>19176014</v>
      </c>
      <c r="F427" s="29" t="s">
        <v>59</v>
      </c>
      <c r="G427" s="29" t="s">
        <v>500</v>
      </c>
      <c r="H427" s="29">
        <v>99</v>
      </c>
      <c r="I427" s="29">
        <v>99</v>
      </c>
      <c r="J427" s="29">
        <v>68.5</v>
      </c>
      <c r="K427" s="29">
        <v>83</v>
      </c>
      <c r="L427" s="29">
        <v>73</v>
      </c>
      <c r="M427" s="29">
        <v>77</v>
      </c>
      <c r="N427" s="29">
        <v>70</v>
      </c>
      <c r="O427" s="32">
        <v>569.5</v>
      </c>
      <c r="P427" s="29" cm="1">
        <f t="array" ref="P427">IF(表成绩单[[#This Row],[语文]]="","",SUMPRODUCT((表成绩单[考试日期]=表成绩单[[#This Row],[考试日期]])*(表成绩单[语文]&lt;9E+307)*(表成绩单[语文]&gt;表成绩单[[#This Row],[语文]]))+1)</f>
        <v>264</v>
      </c>
      <c r="Q427" s="29" cm="1">
        <f t="array" ref="Q427">IF(表成绩单[[#This Row],[数学]]="","",SUMPRODUCT((表成绩单[考试日期]=表成绩单[[#This Row],[考试日期]])*(表成绩单[数学]&lt;9E+307)*(表成绩单[数学]&gt;表成绩单[[#This Row],[数学]]))+1)</f>
        <v>361</v>
      </c>
      <c r="R427" s="29" cm="1">
        <f t="array" ref="R427">IF(表成绩单[[#This Row],[英语]]="","",SUMPRODUCT((表成绩单[考试日期]=表成绩单[[#This Row],[考试日期]])*(表成绩单[英语]&lt;9E+307)*(表成绩单[英语]&gt;表成绩单[[#This Row],[英语]]))+1)</f>
        <v>571</v>
      </c>
      <c r="S427" s="29" cm="1">
        <f t="array" ref="S427">IF(表成绩单[[#This Row],[物理]]="","",SUMPRODUCT((表成绩单[考试日期]=表成绩单[[#This Row],[考试日期]])*(表成绩单[物理]&lt;9E+307)*(表成绩单[物理]&gt;表成绩单[[#This Row],[物理]]))+1)</f>
        <v>390</v>
      </c>
      <c r="T427" s="29" cm="1">
        <f t="array" ref="T427">IF(表成绩单[[#This Row],[化学]]="","",SUMPRODUCT((表成绩单[考试日期]=表成绩单[[#This Row],[考试日期]])*(表成绩单[化学]&lt;9E+307)*(表成绩单[化学]&gt;表成绩单[[#This Row],[化学]]))+1)</f>
        <v>365</v>
      </c>
      <c r="U427" s="29" cm="1">
        <f t="array" ref="U427">IF(表成绩单[[#This Row],[政治]]="","",SUMPRODUCT((表成绩单[考试日期]=表成绩单[[#This Row],[考试日期]])*(表成绩单[政治]&lt;9E+307)*(表成绩单[政治]&gt;表成绩单[[#This Row],[政治]]))+1)</f>
        <v>304</v>
      </c>
      <c r="V427" s="29" cm="1">
        <f t="array" ref="V427">IF(表成绩单[[#This Row],[历史]]="","",SUMPRODUCT((表成绩单[考试日期]=表成绩单[[#This Row],[考试日期]])*(表成绩单[历史]&lt;9E+307)*(表成绩单[历史]&gt;表成绩单[[#This Row],[历史]]))+1)</f>
        <v>505</v>
      </c>
      <c r="W427" s="29" cm="1">
        <f t="array" ref="W427">IF(表成绩单[[#This Row],[总分]]="","",SUMPRODUCT((表成绩单[考试日期]=表成绩单[[#This Row],[考试日期]])*(表成绩单[总分]&lt;9E+307)*(表成绩单[总分]&gt;表成绩单[[#This Row],[总分]]))+1)</f>
        <v>423</v>
      </c>
    </row>
    <row r="428" ht="28" customHeight="1" spans="4:23">
      <c r="D428" s="31">
        <v>45975</v>
      </c>
      <c r="E428" s="29">
        <v>30010796</v>
      </c>
      <c r="F428" s="29" t="s">
        <v>66</v>
      </c>
      <c r="G428" s="29" t="s">
        <v>501</v>
      </c>
      <c r="H428" s="29">
        <v>102</v>
      </c>
      <c r="I428" s="29">
        <v>98</v>
      </c>
      <c r="J428" s="29">
        <v>71.5</v>
      </c>
      <c r="K428" s="29">
        <v>82</v>
      </c>
      <c r="L428" s="29">
        <v>73</v>
      </c>
      <c r="M428" s="29">
        <v>62</v>
      </c>
      <c r="N428" s="29">
        <v>81</v>
      </c>
      <c r="O428" s="32">
        <v>569.5</v>
      </c>
      <c r="P428" s="29" cm="1">
        <f t="array" ref="P428">IF(表成绩单[[#This Row],[语文]]="","",SUMPRODUCT((表成绩单[考试日期]=表成绩单[[#This Row],[考试日期]])*(表成绩单[语文]&lt;9E+307)*(表成绩单[语文]&gt;表成绩单[[#This Row],[语文]]))+1)</f>
        <v>154</v>
      </c>
      <c r="Q428" s="29" cm="1">
        <f t="array" ref="Q428">IF(表成绩单[[#This Row],[数学]]="","",SUMPRODUCT((表成绩单[考试日期]=表成绩单[[#This Row],[考试日期]])*(表成绩单[数学]&lt;9E+307)*(表成绩单[数学]&gt;表成绩单[[#This Row],[数学]]))+1)</f>
        <v>374</v>
      </c>
      <c r="R428" s="29" cm="1">
        <f t="array" ref="R428">IF(表成绩单[[#This Row],[英语]]="","",SUMPRODUCT((表成绩单[考试日期]=表成绩单[[#This Row],[考试日期]])*(表成绩单[英语]&lt;9E+307)*(表成绩单[英语]&gt;表成绩单[[#This Row],[英语]]))+1)</f>
        <v>520</v>
      </c>
      <c r="S428" s="29" cm="1">
        <f t="array" ref="S428">IF(表成绩单[[#This Row],[物理]]="","",SUMPRODUCT((表成绩单[考试日期]=表成绩单[[#This Row],[考试日期]])*(表成绩单[物理]&lt;9E+307)*(表成绩单[物理]&gt;表成绩单[[#This Row],[物理]]))+1)</f>
        <v>433</v>
      </c>
      <c r="T428" s="29" cm="1">
        <f t="array" ref="T428">IF(表成绩单[[#This Row],[化学]]="","",SUMPRODUCT((表成绩单[考试日期]=表成绩单[[#This Row],[考试日期]])*(表成绩单[化学]&lt;9E+307)*(表成绩单[化学]&gt;表成绩单[[#This Row],[化学]]))+1)</f>
        <v>365</v>
      </c>
      <c r="U428" s="29" cm="1">
        <f t="array" ref="U428">IF(表成绩单[[#This Row],[政治]]="","",SUMPRODUCT((表成绩单[考试日期]=表成绩单[[#This Row],[考试日期]])*(表成绩单[政治]&lt;9E+307)*(表成绩单[政治]&gt;表成绩单[[#This Row],[政治]]))+1)</f>
        <v>628</v>
      </c>
      <c r="V428" s="29" cm="1">
        <f t="array" ref="V428">IF(表成绩单[[#This Row],[历史]]="","",SUMPRODUCT((表成绩单[考试日期]=表成绩单[[#This Row],[考试日期]])*(表成绩单[历史]&lt;9E+307)*(表成绩单[历史]&gt;表成绩单[[#This Row],[历史]]))+1)</f>
        <v>63</v>
      </c>
      <c r="W428" s="29" cm="1">
        <f t="array" ref="W428">IF(表成绩单[[#This Row],[总分]]="","",SUMPRODUCT((表成绩单[考试日期]=表成绩单[[#This Row],[考试日期]])*(表成绩单[总分]&lt;9E+307)*(表成绩单[总分]&gt;表成绩单[[#This Row],[总分]]))+1)</f>
        <v>423</v>
      </c>
    </row>
    <row r="429" ht="28" customHeight="1" spans="4:23">
      <c r="D429" s="31">
        <v>45975</v>
      </c>
      <c r="E429" s="29">
        <v>19173257</v>
      </c>
      <c r="F429" s="29" t="s">
        <v>61</v>
      </c>
      <c r="G429" s="29" t="s">
        <v>502</v>
      </c>
      <c r="H429" s="29">
        <v>92</v>
      </c>
      <c r="I429" s="29">
        <v>96</v>
      </c>
      <c r="J429" s="29">
        <v>81</v>
      </c>
      <c r="K429" s="29">
        <v>78</v>
      </c>
      <c r="L429" s="29">
        <v>70</v>
      </c>
      <c r="M429" s="29">
        <v>74</v>
      </c>
      <c r="N429" s="29">
        <v>78</v>
      </c>
      <c r="O429" s="32">
        <v>569</v>
      </c>
      <c r="P429" s="29" cm="1">
        <f t="array" ref="P429">IF(表成绩单[[#This Row],[语文]]="","",SUMPRODUCT((表成绩单[考试日期]=表成绩单[[#This Row],[考试日期]])*(表成绩单[语文]&lt;9E+307)*(表成绩单[语文]&gt;表成绩单[[#This Row],[语文]]))+1)</f>
        <v>517</v>
      </c>
      <c r="Q429" s="29" cm="1">
        <f t="array" ref="Q429">IF(表成绩单[[#This Row],[数学]]="","",SUMPRODUCT((表成绩单[考试日期]=表成绩单[[#This Row],[考试日期]])*(表成绩单[数学]&lt;9E+307)*(表成绩单[数学]&gt;表成绩单[[#This Row],[数学]]))+1)</f>
        <v>413</v>
      </c>
      <c r="R429" s="29" cm="1">
        <f t="array" ref="R429">IF(表成绩单[[#This Row],[英语]]="","",SUMPRODUCT((表成绩单[考试日期]=表成绩单[[#This Row],[考试日期]])*(表成绩单[英语]&lt;9E+307)*(表成绩单[英语]&gt;表成绩单[[#This Row],[英语]]))+1)</f>
        <v>241</v>
      </c>
      <c r="S429" s="29" cm="1">
        <f t="array" ref="S429">IF(表成绩单[[#This Row],[物理]]="","",SUMPRODUCT((表成绩单[考试日期]=表成绩单[[#This Row],[考试日期]])*(表成绩单[物理]&lt;9E+307)*(表成绩单[物理]&gt;表成绩单[[#This Row],[物理]]))+1)</f>
        <v>554</v>
      </c>
      <c r="T429" s="29" cm="1">
        <f t="array" ref="T429">IF(表成绩单[[#This Row],[化学]]="","",SUMPRODUCT((表成绩单[考试日期]=表成绩单[[#This Row],[考试日期]])*(表成绩单[化学]&lt;9E+307)*(表成绩单[化学]&gt;表成绩单[[#This Row],[化学]]))+1)</f>
        <v>453</v>
      </c>
      <c r="U429" s="29" cm="1">
        <f t="array" ref="U429">IF(表成绩单[[#This Row],[政治]]="","",SUMPRODUCT((表成绩单[考试日期]=表成绩单[[#This Row],[考试日期]])*(表成绩单[政治]&lt;9E+307)*(表成绩单[政治]&gt;表成绩单[[#This Row],[政治]]))+1)</f>
        <v>389</v>
      </c>
      <c r="V429" s="29" cm="1">
        <f t="array" ref="V429">IF(表成绩单[[#This Row],[历史]]="","",SUMPRODUCT((表成绩单[考试日期]=表成绩单[[#This Row],[考试日期]])*(表成绩单[历史]&lt;9E+307)*(表成绩单[历史]&gt;表成绩单[[#This Row],[历史]]))+1)</f>
        <v>189</v>
      </c>
      <c r="W429" s="29" cm="1">
        <f t="array" ref="W429">IF(表成绩单[[#This Row],[总分]]="","",SUMPRODUCT((表成绩单[考试日期]=表成绩单[[#This Row],[考试日期]])*(表成绩单[总分]&lt;9E+307)*(表成绩单[总分]&gt;表成绩单[[#This Row],[总分]]))+1)</f>
        <v>425</v>
      </c>
    </row>
    <row r="430" ht="28" customHeight="1" spans="4:23">
      <c r="D430" s="31">
        <v>45975</v>
      </c>
      <c r="E430" s="29">
        <v>19178637</v>
      </c>
      <c r="F430" s="29" t="s">
        <v>25</v>
      </c>
      <c r="G430" s="29" t="s">
        <v>503</v>
      </c>
      <c r="H430" s="29">
        <v>95</v>
      </c>
      <c r="I430" s="29">
        <v>99</v>
      </c>
      <c r="J430" s="29">
        <v>82</v>
      </c>
      <c r="K430" s="29">
        <v>82</v>
      </c>
      <c r="L430" s="29">
        <v>70</v>
      </c>
      <c r="M430" s="29">
        <v>71</v>
      </c>
      <c r="N430" s="29">
        <v>70</v>
      </c>
      <c r="O430" s="32">
        <v>569</v>
      </c>
      <c r="P430" s="29" cm="1">
        <f t="array" ref="P430">IF(表成绩单[[#This Row],[语文]]="","",SUMPRODUCT((表成绩单[考试日期]=表成绩单[[#This Row],[考试日期]])*(表成绩单[语文]&lt;9E+307)*(表成绩单[语文]&gt;表成绩单[[#This Row],[语文]]))+1)</f>
        <v>420</v>
      </c>
      <c r="Q430" s="29" cm="1">
        <f t="array" ref="Q430">IF(表成绩单[[#This Row],[数学]]="","",SUMPRODUCT((表成绩单[考试日期]=表成绩单[[#This Row],[考试日期]])*(表成绩单[数学]&lt;9E+307)*(表成绩单[数学]&gt;表成绩单[[#This Row],[数学]]))+1)</f>
        <v>361</v>
      </c>
      <c r="R430" s="29" cm="1">
        <f t="array" ref="R430">IF(表成绩单[[#This Row],[英语]]="","",SUMPRODUCT((表成绩单[考试日期]=表成绩单[[#This Row],[考试日期]])*(表成绩单[英语]&lt;9E+307)*(表成绩单[英语]&gt;表成绩单[[#This Row],[英语]]))+1)</f>
        <v>195</v>
      </c>
      <c r="S430" s="29" cm="1">
        <f t="array" ref="S430">IF(表成绩单[[#This Row],[物理]]="","",SUMPRODUCT((表成绩单[考试日期]=表成绩单[[#This Row],[考试日期]])*(表成绩单[物理]&lt;9E+307)*(表成绩单[物理]&gt;表成绩单[[#This Row],[物理]]))+1)</f>
        <v>433</v>
      </c>
      <c r="T430" s="29" cm="1">
        <f t="array" ref="T430">IF(表成绩单[[#This Row],[化学]]="","",SUMPRODUCT((表成绩单[考试日期]=表成绩单[[#This Row],[考试日期]])*(表成绩单[化学]&lt;9E+307)*(表成绩单[化学]&gt;表成绩单[[#This Row],[化学]]))+1)</f>
        <v>453</v>
      </c>
      <c r="U430" s="29" cm="1">
        <f t="array" ref="U430">IF(表成绩单[[#This Row],[政治]]="","",SUMPRODUCT((表成绩单[考试日期]=表成绩单[[#This Row],[考试日期]])*(表成绩单[政治]&lt;9E+307)*(表成绩单[政治]&gt;表成绩单[[#This Row],[政治]]))+1)</f>
        <v>467</v>
      </c>
      <c r="V430" s="29" cm="1">
        <f t="array" ref="V430">IF(表成绩单[[#This Row],[历史]]="","",SUMPRODUCT((表成绩单[考试日期]=表成绩单[[#This Row],[考试日期]])*(表成绩单[历史]&lt;9E+307)*(表成绩单[历史]&gt;表成绩单[[#This Row],[历史]]))+1)</f>
        <v>505</v>
      </c>
      <c r="W430" s="29" cm="1">
        <f t="array" ref="W430">IF(表成绩单[[#This Row],[总分]]="","",SUMPRODUCT((表成绩单[考试日期]=表成绩单[[#This Row],[考试日期]])*(表成绩单[总分]&lt;9E+307)*(表成绩单[总分]&gt;表成绩单[[#This Row],[总分]]))+1)</f>
        <v>425</v>
      </c>
    </row>
    <row r="431" ht="28" customHeight="1" spans="4:23">
      <c r="D431" s="31">
        <v>45975</v>
      </c>
      <c r="E431" s="29">
        <v>19174795</v>
      </c>
      <c r="F431" s="29" t="s">
        <v>69</v>
      </c>
      <c r="G431" s="29" t="s">
        <v>504</v>
      </c>
      <c r="H431" s="29">
        <v>95</v>
      </c>
      <c r="I431" s="29">
        <v>84</v>
      </c>
      <c r="J431" s="29">
        <v>83.5</v>
      </c>
      <c r="K431" s="29">
        <v>81</v>
      </c>
      <c r="L431" s="29">
        <v>75</v>
      </c>
      <c r="M431" s="29">
        <v>74</v>
      </c>
      <c r="N431" s="29">
        <v>76</v>
      </c>
      <c r="O431" s="32">
        <v>568.5</v>
      </c>
      <c r="P431" s="29" cm="1">
        <f t="array" ref="P431">IF(表成绩单[[#This Row],[语文]]="","",SUMPRODUCT((表成绩单[考试日期]=表成绩单[[#This Row],[考试日期]])*(表成绩单[语文]&lt;9E+307)*(表成绩单[语文]&gt;表成绩单[[#This Row],[语文]]))+1)</f>
        <v>420</v>
      </c>
      <c r="Q431" s="29" cm="1">
        <f t="array" ref="Q431">IF(表成绩单[[#This Row],[数学]]="","",SUMPRODUCT((表成绩单[考试日期]=表成绩单[[#This Row],[考试日期]])*(表成绩单[数学]&lt;9E+307)*(表成绩单[数学]&gt;表成绩单[[#This Row],[数学]]))+1)</f>
        <v>580</v>
      </c>
      <c r="R431" s="29" cm="1">
        <f t="array" ref="R431">IF(表成绩单[[#This Row],[英语]]="","",SUMPRODUCT((表成绩单[考试日期]=表成绩单[[#This Row],[考试日期]])*(表成绩单[英语]&lt;9E+307)*(表成绩单[英语]&gt;表成绩单[[#This Row],[英语]]))+1)</f>
        <v>128</v>
      </c>
      <c r="S431" s="29" cm="1">
        <f t="array" ref="S431">IF(表成绩单[[#This Row],[物理]]="","",SUMPRODUCT((表成绩单[考试日期]=表成绩单[[#This Row],[考试日期]])*(表成绩单[物理]&lt;9E+307)*(表成绩单[物理]&gt;表成绩单[[#This Row],[物理]]))+1)</f>
        <v>474</v>
      </c>
      <c r="T431" s="29" cm="1">
        <f t="array" ref="T431">IF(表成绩单[[#This Row],[化学]]="","",SUMPRODUCT((表成绩单[考试日期]=表成绩单[[#This Row],[考试日期]])*(表成绩单[化学]&lt;9E+307)*(表成绩单[化学]&gt;表成绩单[[#This Row],[化学]]))+1)</f>
        <v>310</v>
      </c>
      <c r="U431" s="29" cm="1">
        <f t="array" ref="U431">IF(表成绩单[[#This Row],[政治]]="","",SUMPRODUCT((表成绩单[考试日期]=表成绩单[[#This Row],[考试日期]])*(表成绩单[政治]&lt;9E+307)*(表成绩单[政治]&gt;表成绩单[[#This Row],[政治]]))+1)</f>
        <v>389</v>
      </c>
      <c r="V431" s="29" cm="1">
        <f t="array" ref="V431">IF(表成绩单[[#This Row],[历史]]="","",SUMPRODUCT((表成绩单[考试日期]=表成绩单[[#This Row],[考试日期]])*(表成绩单[历史]&lt;9E+307)*(表成绩单[历史]&gt;表成绩单[[#This Row],[历史]]))+1)</f>
        <v>278</v>
      </c>
      <c r="W431" s="29" cm="1">
        <f t="array" ref="W431">IF(表成绩单[[#This Row],[总分]]="","",SUMPRODUCT((表成绩单[考试日期]=表成绩单[[#This Row],[考试日期]])*(表成绩单[总分]&lt;9E+307)*(表成绩单[总分]&gt;表成绩单[[#This Row],[总分]]))+1)</f>
        <v>427</v>
      </c>
    </row>
    <row r="432" ht="28" customHeight="1" spans="4:23">
      <c r="D432" s="31">
        <v>45975</v>
      </c>
      <c r="E432" s="29">
        <v>19177640</v>
      </c>
      <c r="F432" s="29" t="s">
        <v>63</v>
      </c>
      <c r="G432" s="29" t="s">
        <v>505</v>
      </c>
      <c r="H432" s="29">
        <v>100</v>
      </c>
      <c r="I432" s="29">
        <v>93</v>
      </c>
      <c r="J432" s="29">
        <v>81.5</v>
      </c>
      <c r="K432" s="29">
        <v>81</v>
      </c>
      <c r="L432" s="29">
        <v>59</v>
      </c>
      <c r="M432" s="29">
        <v>75</v>
      </c>
      <c r="N432" s="29">
        <v>79</v>
      </c>
      <c r="O432" s="32">
        <v>568.5</v>
      </c>
      <c r="P432" s="29" cm="1">
        <f t="array" ref="P432">IF(表成绩单[[#This Row],[语文]]="","",SUMPRODUCT((表成绩单[考试日期]=表成绩单[[#This Row],[考试日期]])*(表成绩单[语文]&lt;9E+307)*(表成绩单[语文]&gt;表成绩单[[#This Row],[语文]]))+1)</f>
        <v>223</v>
      </c>
      <c r="Q432" s="29" cm="1">
        <f t="array" ref="Q432">IF(表成绩单[[#This Row],[数学]]="","",SUMPRODUCT((表成绩单[考试日期]=表成绩单[[#This Row],[考试日期]])*(表成绩单[数学]&lt;9E+307)*(表成绩单[数学]&gt;表成绩单[[#This Row],[数学]]))+1)</f>
        <v>469</v>
      </c>
      <c r="R432" s="29" cm="1">
        <f t="array" ref="R432">IF(表成绩单[[#This Row],[英语]]="","",SUMPRODUCT((表成绩单[考试日期]=表成绩单[[#This Row],[考试日期]])*(表成绩单[英语]&lt;9E+307)*(表成绩单[英语]&gt;表成绩单[[#This Row],[英语]]))+1)</f>
        <v>220</v>
      </c>
      <c r="S432" s="29" cm="1">
        <f t="array" ref="S432">IF(表成绩单[[#This Row],[物理]]="","",SUMPRODUCT((表成绩单[考试日期]=表成绩单[[#This Row],[考试日期]])*(表成绩单[物理]&lt;9E+307)*(表成绩单[物理]&gt;表成绩单[[#This Row],[物理]]))+1)</f>
        <v>474</v>
      </c>
      <c r="T432" s="29" cm="1">
        <f t="array" ref="T432">IF(表成绩单[[#This Row],[化学]]="","",SUMPRODUCT((表成绩单[考试日期]=表成绩单[[#This Row],[考试日期]])*(表成绩单[化学]&lt;9E+307)*(表成绩单[化学]&gt;表成绩单[[#This Row],[化学]]))+1)</f>
        <v>648</v>
      </c>
      <c r="U432" s="29" cm="1">
        <f t="array" ref="U432">IF(表成绩单[[#This Row],[政治]]="","",SUMPRODUCT((表成绩单[考试日期]=表成绩单[[#This Row],[考试日期]])*(表成绩单[政治]&lt;9E+307)*(表成绩单[政治]&gt;表成绩单[[#This Row],[政治]]))+1)</f>
        <v>363</v>
      </c>
      <c r="V432" s="29" cm="1">
        <f t="array" ref="V432">IF(表成绩单[[#This Row],[历史]]="","",SUMPRODUCT((表成绩单[考试日期]=表成绩单[[#This Row],[考试日期]])*(表成绩单[历史]&lt;9E+307)*(表成绩单[历史]&gt;表成绩单[[#This Row],[历史]]))+1)</f>
        <v>144</v>
      </c>
      <c r="W432" s="29" cm="1">
        <f t="array" ref="W432">IF(表成绩单[[#This Row],[总分]]="","",SUMPRODUCT((表成绩单[考试日期]=表成绩单[[#This Row],[考试日期]])*(表成绩单[总分]&lt;9E+307)*(表成绩单[总分]&gt;表成绩单[[#This Row],[总分]]))+1)</f>
        <v>427</v>
      </c>
    </row>
    <row r="433" ht="28" customHeight="1" spans="4:23">
      <c r="D433" s="31">
        <v>45975</v>
      </c>
      <c r="E433" s="29">
        <v>26750296</v>
      </c>
      <c r="F433" s="29" t="s">
        <v>66</v>
      </c>
      <c r="G433" s="29" t="s">
        <v>506</v>
      </c>
      <c r="H433" s="29">
        <v>99</v>
      </c>
      <c r="I433" s="29">
        <v>94</v>
      </c>
      <c r="J433" s="29">
        <v>79.5</v>
      </c>
      <c r="K433" s="29">
        <v>85</v>
      </c>
      <c r="L433" s="29">
        <v>70</v>
      </c>
      <c r="M433" s="29">
        <v>72</v>
      </c>
      <c r="N433" s="29">
        <v>69</v>
      </c>
      <c r="O433" s="32">
        <v>568.5</v>
      </c>
      <c r="P433" s="29" cm="1">
        <f t="array" ref="P433">IF(表成绩单[[#This Row],[语文]]="","",SUMPRODUCT((表成绩单[考试日期]=表成绩单[[#This Row],[考试日期]])*(表成绩单[语文]&lt;9E+307)*(表成绩单[语文]&gt;表成绩单[[#This Row],[语文]]))+1)</f>
        <v>264</v>
      </c>
      <c r="Q433" s="29" cm="1">
        <f t="array" ref="Q433">IF(表成绩单[[#This Row],[数学]]="","",SUMPRODUCT((表成绩单[考试日期]=表成绩单[[#This Row],[考试日期]])*(表成绩单[数学]&lt;9E+307)*(表成绩单[数学]&gt;表成绩单[[#This Row],[数学]]))+1)</f>
        <v>454</v>
      </c>
      <c r="R433" s="29" cm="1">
        <f t="array" ref="R433">IF(表成绩单[[#This Row],[英语]]="","",SUMPRODUCT((表成绩单[考试日期]=表成绩单[[#This Row],[考试日期]])*(表成绩单[英语]&lt;9E+307)*(表成绩单[英语]&gt;表成绩单[[#This Row],[英语]]))+1)</f>
        <v>279</v>
      </c>
      <c r="S433" s="29" cm="1">
        <f t="array" ref="S433">IF(表成绩单[[#This Row],[物理]]="","",SUMPRODUCT((表成绩单[考试日期]=表成绩单[[#This Row],[考试日期]])*(表成绩单[物理]&lt;9E+307)*(表成绩单[物理]&gt;表成绩单[[#This Row],[物理]]))+1)</f>
        <v>263</v>
      </c>
      <c r="T433" s="29" cm="1">
        <f t="array" ref="T433">IF(表成绩单[[#This Row],[化学]]="","",SUMPRODUCT((表成绩单[考试日期]=表成绩单[[#This Row],[考试日期]])*(表成绩单[化学]&lt;9E+307)*(表成绩单[化学]&gt;表成绩单[[#This Row],[化学]]))+1)</f>
        <v>453</v>
      </c>
      <c r="U433" s="29" cm="1">
        <f t="array" ref="U433">IF(表成绩单[[#This Row],[政治]]="","",SUMPRODUCT((表成绩单[考试日期]=表成绩单[[#This Row],[考试日期]])*(表成绩单[政治]&lt;9E+307)*(表成绩单[政治]&gt;表成绩单[[#This Row],[政治]]))+1)</f>
        <v>448</v>
      </c>
      <c r="V433" s="29" cm="1">
        <f t="array" ref="V433">IF(表成绩单[[#This Row],[历史]]="","",SUMPRODUCT((表成绩单[考试日期]=表成绩单[[#This Row],[考试日期]])*(表成绩单[历史]&lt;9E+307)*(表成绩单[历史]&gt;表成绩单[[#This Row],[历史]]))+1)</f>
        <v>541</v>
      </c>
      <c r="W433" s="29" cm="1">
        <f t="array" ref="W433">IF(表成绩单[[#This Row],[总分]]="","",SUMPRODUCT((表成绩单[考试日期]=表成绩单[[#This Row],[考试日期]])*(表成绩单[总分]&lt;9E+307)*(表成绩单[总分]&gt;表成绩单[[#This Row],[总分]]))+1)</f>
        <v>427</v>
      </c>
    </row>
    <row r="434" ht="28" customHeight="1" spans="4:23">
      <c r="D434" s="31">
        <v>45975</v>
      </c>
      <c r="E434" s="29">
        <v>19177204</v>
      </c>
      <c r="F434" s="29" t="s">
        <v>70</v>
      </c>
      <c r="G434" s="29" t="s">
        <v>507</v>
      </c>
      <c r="H434" s="29">
        <v>102</v>
      </c>
      <c r="I434" s="29">
        <v>99</v>
      </c>
      <c r="J434" s="29">
        <v>82</v>
      </c>
      <c r="K434" s="29">
        <v>88</v>
      </c>
      <c r="L434" s="29">
        <v>75</v>
      </c>
      <c r="M434" s="29">
        <v>55</v>
      </c>
      <c r="N434" s="29">
        <v>67</v>
      </c>
      <c r="O434" s="32">
        <v>568</v>
      </c>
      <c r="P434" s="29" cm="1">
        <f t="array" ref="P434">IF(表成绩单[[#This Row],[语文]]="","",SUMPRODUCT((表成绩单[考试日期]=表成绩单[[#This Row],[考试日期]])*(表成绩单[语文]&lt;9E+307)*(表成绩单[语文]&gt;表成绩单[[#This Row],[语文]]))+1)</f>
        <v>154</v>
      </c>
      <c r="Q434" s="29" cm="1">
        <f t="array" ref="Q434">IF(表成绩单[[#This Row],[数学]]="","",SUMPRODUCT((表成绩单[考试日期]=表成绩单[[#This Row],[考试日期]])*(表成绩单[数学]&lt;9E+307)*(表成绩单[数学]&gt;表成绩单[[#This Row],[数学]]))+1)</f>
        <v>361</v>
      </c>
      <c r="R434" s="29" cm="1">
        <f t="array" ref="R434">IF(表成绩单[[#This Row],[英语]]="","",SUMPRODUCT((表成绩单[考试日期]=表成绩单[[#This Row],[考试日期]])*(表成绩单[英语]&lt;9E+307)*(表成绩单[英语]&gt;表成绩单[[#This Row],[英语]]))+1)</f>
        <v>195</v>
      </c>
      <c r="S434" s="29" cm="1">
        <f t="array" ref="S434">IF(表成绩单[[#This Row],[物理]]="","",SUMPRODUCT((表成绩单[考试日期]=表成绩单[[#This Row],[考试日期]])*(表成绩单[物理]&lt;9E+307)*(表成绩单[物理]&gt;表成绩单[[#This Row],[物理]]))+1)</f>
        <v>54</v>
      </c>
      <c r="T434" s="29" cm="1">
        <f t="array" ref="T434">IF(表成绩单[[#This Row],[化学]]="","",SUMPRODUCT((表成绩单[考试日期]=表成绩单[[#This Row],[考试日期]])*(表成绩单[化学]&lt;9E+307)*(表成绩单[化学]&gt;表成绩单[[#This Row],[化学]]))+1)</f>
        <v>310</v>
      </c>
      <c r="U434" s="29" cm="1">
        <f t="array" ref="U434">IF(表成绩单[[#This Row],[政治]]="","",SUMPRODUCT((表成绩单[考试日期]=表成绩单[[#This Row],[考试日期]])*(表成绩单[政治]&lt;9E+307)*(表成绩单[政治]&gt;表成绩单[[#This Row],[政治]]))+1)</f>
        <v>713</v>
      </c>
      <c r="V434" s="29" cm="1">
        <f t="array" ref="V434">IF(表成绩单[[#This Row],[历史]]="","",SUMPRODUCT((表成绩单[考试日期]=表成绩单[[#This Row],[考试日期]])*(表成绩单[历史]&lt;9E+307)*(表成绩单[历史]&gt;表成绩单[[#This Row],[历史]]))+1)</f>
        <v>597</v>
      </c>
      <c r="W434" s="29" cm="1">
        <f t="array" ref="W434">IF(表成绩单[[#This Row],[总分]]="","",SUMPRODUCT((表成绩单[考试日期]=表成绩单[[#This Row],[考试日期]])*(表成绩单[总分]&lt;9E+307)*(表成绩单[总分]&gt;表成绩单[[#This Row],[总分]]))+1)</f>
        <v>430</v>
      </c>
    </row>
    <row r="435" ht="28" customHeight="1" spans="4:23">
      <c r="D435" s="31">
        <v>45975</v>
      </c>
      <c r="E435" s="29">
        <v>19178644</v>
      </c>
      <c r="F435" s="29" t="s">
        <v>25</v>
      </c>
      <c r="G435" s="29" t="s">
        <v>508</v>
      </c>
      <c r="H435" s="29">
        <v>88</v>
      </c>
      <c r="I435" s="29">
        <v>101</v>
      </c>
      <c r="J435" s="29">
        <v>84</v>
      </c>
      <c r="K435" s="29">
        <v>80</v>
      </c>
      <c r="L435" s="29">
        <v>74</v>
      </c>
      <c r="M435" s="29">
        <v>72</v>
      </c>
      <c r="N435" s="29">
        <v>69</v>
      </c>
      <c r="O435" s="32">
        <v>568</v>
      </c>
      <c r="P435" s="29" cm="1">
        <f t="array" ref="P435">IF(表成绩单[[#This Row],[语文]]="","",SUMPRODUCT((表成绩单[考试日期]=表成绩单[[#This Row],[考试日期]])*(表成绩单[语文]&lt;9E+307)*(表成绩单[语文]&gt;表成绩单[[#This Row],[语文]]))+1)</f>
        <v>595</v>
      </c>
      <c r="Q435" s="29" cm="1">
        <f t="array" ref="Q435">IF(表成绩单[[#This Row],[数学]]="","",SUMPRODUCT((表成绩单[考试日期]=表成绩单[[#This Row],[考试日期]])*(表成绩单[数学]&lt;9E+307)*(表成绩单[数学]&gt;表成绩单[[#This Row],[数学]]))+1)</f>
        <v>319</v>
      </c>
      <c r="R435" s="29" cm="1">
        <f t="array" ref="R435">IF(表成绩单[[#This Row],[英语]]="","",SUMPRODUCT((表成绩单[考试日期]=表成绩单[[#This Row],[考试日期]])*(表成绩单[英语]&lt;9E+307)*(表成绩单[英语]&gt;表成绩单[[#This Row],[英语]]))+1)</f>
        <v>102</v>
      </c>
      <c r="S435" s="29" cm="1">
        <f t="array" ref="S435">IF(表成绩单[[#This Row],[物理]]="","",SUMPRODUCT((表成绩单[考试日期]=表成绩单[[#This Row],[考试日期]])*(表成绩单[物理]&lt;9E+307)*(表成绩单[物理]&gt;表成绩单[[#This Row],[物理]]))+1)</f>
        <v>507</v>
      </c>
      <c r="T435" s="29" cm="1">
        <f t="array" ref="T435">IF(表成绩单[[#This Row],[化学]]="","",SUMPRODUCT((表成绩单[考试日期]=表成绩单[[#This Row],[考试日期]])*(表成绩单[化学]&lt;9E+307)*(表成绩单[化学]&gt;表成绩单[[#This Row],[化学]]))+1)</f>
        <v>337</v>
      </c>
      <c r="U435" s="29" cm="1">
        <f t="array" ref="U435">IF(表成绩单[[#This Row],[政治]]="","",SUMPRODUCT((表成绩单[考试日期]=表成绩单[[#This Row],[考试日期]])*(表成绩单[政治]&lt;9E+307)*(表成绩单[政治]&gt;表成绩单[[#This Row],[政治]]))+1)</f>
        <v>448</v>
      </c>
      <c r="V435" s="29" cm="1">
        <f t="array" ref="V435">IF(表成绩单[[#This Row],[历史]]="","",SUMPRODUCT((表成绩单[考试日期]=表成绩单[[#This Row],[考试日期]])*(表成绩单[历史]&lt;9E+307)*(表成绩单[历史]&gt;表成绩单[[#This Row],[历史]]))+1)</f>
        <v>541</v>
      </c>
      <c r="W435" s="29" cm="1">
        <f t="array" ref="W435">IF(表成绩单[[#This Row],[总分]]="","",SUMPRODUCT((表成绩单[考试日期]=表成绩单[[#This Row],[考试日期]])*(表成绩单[总分]&lt;9E+307)*(表成绩单[总分]&gt;表成绩单[[#This Row],[总分]]))+1)</f>
        <v>430</v>
      </c>
    </row>
    <row r="436" ht="28" customHeight="1" spans="4:23">
      <c r="D436" s="31">
        <v>45975</v>
      </c>
      <c r="E436" s="29">
        <v>19176865</v>
      </c>
      <c r="F436" s="29" t="s">
        <v>71</v>
      </c>
      <c r="G436" s="29" t="s">
        <v>509</v>
      </c>
      <c r="H436" s="29">
        <v>100</v>
      </c>
      <c r="I436" s="29">
        <v>97</v>
      </c>
      <c r="J436" s="29">
        <v>76.5</v>
      </c>
      <c r="K436" s="29">
        <v>85</v>
      </c>
      <c r="L436" s="29">
        <v>61</v>
      </c>
      <c r="M436" s="29">
        <v>75</v>
      </c>
      <c r="N436" s="29">
        <v>73</v>
      </c>
      <c r="O436" s="32">
        <v>567.5</v>
      </c>
      <c r="P436" s="29" cm="1">
        <f t="array" ref="P436">IF(表成绩单[[#This Row],[语文]]="","",SUMPRODUCT((表成绩单[考试日期]=表成绩单[[#This Row],[考试日期]])*(表成绩单[语文]&lt;9E+307)*(表成绩单[语文]&gt;表成绩单[[#This Row],[语文]]))+1)</f>
        <v>223</v>
      </c>
      <c r="Q436" s="29" cm="1">
        <f t="array" ref="Q436">IF(表成绩单[[#This Row],[数学]]="","",SUMPRODUCT((表成绩单[考试日期]=表成绩单[[#This Row],[考试日期]])*(表成绩单[数学]&lt;9E+307)*(表成绩单[数学]&gt;表成绩单[[#This Row],[数学]]))+1)</f>
        <v>389</v>
      </c>
      <c r="R436" s="29" cm="1">
        <f t="array" ref="R436">IF(表成绩单[[#This Row],[英语]]="","",SUMPRODUCT((表成绩单[考试日期]=表成绩单[[#This Row],[考试日期]])*(表成绩单[英语]&lt;9E+307)*(表成绩单[英语]&gt;表成绩单[[#This Row],[英语]]))+1)</f>
        <v>382</v>
      </c>
      <c r="S436" s="29" cm="1">
        <f t="array" ref="S436">IF(表成绩单[[#This Row],[物理]]="","",SUMPRODUCT((表成绩单[考试日期]=表成绩单[[#This Row],[考试日期]])*(表成绩单[物理]&lt;9E+307)*(表成绩单[物理]&gt;表成绩单[[#This Row],[物理]]))+1)</f>
        <v>263</v>
      </c>
      <c r="T436" s="29" cm="1">
        <f t="array" ref="T436">IF(表成绩单[[#This Row],[化学]]="","",SUMPRODUCT((表成绩单[考试日期]=表成绩单[[#This Row],[考试日期]])*(表成绩单[化学]&lt;9E+307)*(表成绩单[化学]&gt;表成绩单[[#This Row],[化学]]))+1)</f>
        <v>625</v>
      </c>
      <c r="U436" s="29" cm="1">
        <f t="array" ref="U436">IF(表成绩单[[#This Row],[政治]]="","",SUMPRODUCT((表成绩单[考试日期]=表成绩单[[#This Row],[考试日期]])*(表成绩单[政治]&lt;9E+307)*(表成绩单[政治]&gt;表成绩单[[#This Row],[政治]]))+1)</f>
        <v>363</v>
      </c>
      <c r="V436" s="29" cm="1">
        <f t="array" ref="V436">IF(表成绩单[[#This Row],[历史]]="","",SUMPRODUCT((表成绩单[考试日期]=表成绩单[[#This Row],[考试日期]])*(表成绩单[历史]&lt;9E+307)*(表成绩单[历史]&gt;表成绩单[[#This Row],[历史]]))+1)</f>
        <v>395</v>
      </c>
      <c r="W436" s="29" cm="1">
        <f t="array" ref="W436">IF(表成绩单[[#This Row],[总分]]="","",SUMPRODUCT((表成绩单[考试日期]=表成绩单[[#This Row],[考试日期]])*(表成绩单[总分]&lt;9E+307)*(表成绩单[总分]&gt;表成绩单[[#This Row],[总分]]))+1)</f>
        <v>432</v>
      </c>
    </row>
    <row r="437" ht="28" customHeight="1" spans="4:23">
      <c r="D437" s="31">
        <v>45975</v>
      </c>
      <c r="E437" s="29">
        <v>19175681</v>
      </c>
      <c r="F437" s="29" t="s">
        <v>72</v>
      </c>
      <c r="G437" s="29" t="s">
        <v>510</v>
      </c>
      <c r="H437" s="29">
        <v>94</v>
      </c>
      <c r="I437" s="29">
        <v>92</v>
      </c>
      <c r="J437" s="29">
        <v>84</v>
      </c>
      <c r="K437" s="29">
        <v>84</v>
      </c>
      <c r="L437" s="29">
        <v>68</v>
      </c>
      <c r="M437" s="29">
        <v>77</v>
      </c>
      <c r="N437" s="29">
        <v>68</v>
      </c>
      <c r="O437" s="32">
        <v>567</v>
      </c>
      <c r="P437" s="29" cm="1">
        <f t="array" ref="P437">IF(表成绩单[[#This Row],[语文]]="","",SUMPRODUCT((表成绩单[考试日期]=表成绩单[[#This Row],[考试日期]])*(表成绩单[语文]&lt;9E+307)*(表成绩单[语文]&gt;表成绩单[[#This Row],[语文]]))+1)</f>
        <v>452</v>
      </c>
      <c r="Q437" s="29" cm="1">
        <f t="array" ref="Q437">IF(表成绩单[[#This Row],[数学]]="","",SUMPRODUCT((表成绩单[考试日期]=表成绩单[[#This Row],[考试日期]])*(表成绩单[数学]&lt;9E+307)*(表成绩单[数学]&gt;表成绩单[[#This Row],[数学]]))+1)</f>
        <v>480</v>
      </c>
      <c r="R437" s="29" cm="1">
        <f t="array" ref="R437">IF(表成绩单[[#This Row],[英语]]="","",SUMPRODUCT((表成绩单[考试日期]=表成绩单[[#This Row],[考试日期]])*(表成绩单[英语]&lt;9E+307)*(表成绩单[英语]&gt;表成绩单[[#This Row],[英语]]))+1)</f>
        <v>102</v>
      </c>
      <c r="S437" s="29" cm="1">
        <f t="array" ref="S437">IF(表成绩单[[#This Row],[物理]]="","",SUMPRODUCT((表成绩单[考试日期]=表成绩单[[#This Row],[考试日期]])*(表成绩单[物理]&lt;9E+307)*(表成绩单[物理]&gt;表成绩单[[#This Row],[物理]]))+1)</f>
        <v>344</v>
      </c>
      <c r="T437" s="29" cm="1">
        <f t="array" ref="T437">IF(表成绩单[[#This Row],[化学]]="","",SUMPRODUCT((表成绩单[考试日期]=表成绩单[[#This Row],[考试日期]])*(表成绩单[化学]&lt;9E+307)*(表成绩单[化学]&gt;表成绩单[[#This Row],[化学]]))+1)</f>
        <v>506</v>
      </c>
      <c r="U437" s="29" cm="1">
        <f t="array" ref="U437">IF(表成绩单[[#This Row],[政治]]="","",SUMPRODUCT((表成绩单[考试日期]=表成绩单[[#This Row],[考试日期]])*(表成绩单[政治]&lt;9E+307)*(表成绩单[政治]&gt;表成绩单[[#This Row],[政治]]))+1)</f>
        <v>304</v>
      </c>
      <c r="V437" s="29" cm="1">
        <f t="array" ref="V437">IF(表成绩单[[#This Row],[历史]]="","",SUMPRODUCT((表成绩单[考试日期]=表成绩单[[#This Row],[考试日期]])*(表成绩单[历史]&lt;9E+307)*(表成绩单[历史]&gt;表成绩单[[#This Row],[历史]]))+1)</f>
        <v>571</v>
      </c>
      <c r="W437" s="29" cm="1">
        <f t="array" ref="W437">IF(表成绩单[[#This Row],[总分]]="","",SUMPRODUCT((表成绩单[考试日期]=表成绩单[[#This Row],[考试日期]])*(表成绩单[总分]&lt;9E+307)*(表成绩单[总分]&gt;表成绩单[[#This Row],[总分]]))+1)</f>
        <v>433</v>
      </c>
    </row>
    <row r="438" ht="28" customHeight="1" spans="4:23">
      <c r="D438" s="31">
        <v>45975</v>
      </c>
      <c r="E438" s="29">
        <v>19177228</v>
      </c>
      <c r="F438" s="29" t="s">
        <v>70</v>
      </c>
      <c r="G438" s="29" t="s">
        <v>511</v>
      </c>
      <c r="H438" s="29">
        <v>100</v>
      </c>
      <c r="I438" s="29">
        <v>83</v>
      </c>
      <c r="J438" s="29">
        <v>82</v>
      </c>
      <c r="K438" s="29">
        <v>78</v>
      </c>
      <c r="L438" s="29">
        <v>76</v>
      </c>
      <c r="M438" s="29">
        <v>78</v>
      </c>
      <c r="N438" s="29">
        <v>70</v>
      </c>
      <c r="O438" s="32">
        <v>567</v>
      </c>
      <c r="P438" s="29" cm="1">
        <f t="array" ref="P438">IF(表成绩单[[#This Row],[语文]]="","",SUMPRODUCT((表成绩单[考试日期]=表成绩单[[#This Row],[考试日期]])*(表成绩单[语文]&lt;9E+307)*(表成绩单[语文]&gt;表成绩单[[#This Row],[语文]]))+1)</f>
        <v>223</v>
      </c>
      <c r="Q438" s="29" cm="1">
        <f t="array" ref="Q438">IF(表成绩单[[#This Row],[数学]]="","",SUMPRODUCT((表成绩单[考试日期]=表成绩单[[#This Row],[考试日期]])*(表成绩单[数学]&lt;9E+307)*(表成绩单[数学]&gt;表成绩单[[#This Row],[数学]]))+1)</f>
        <v>592</v>
      </c>
      <c r="R438" s="29" cm="1">
        <f t="array" ref="R438">IF(表成绩单[[#This Row],[英语]]="","",SUMPRODUCT((表成绩单[考试日期]=表成绩单[[#This Row],[考试日期]])*(表成绩单[英语]&lt;9E+307)*(表成绩单[英语]&gt;表成绩单[[#This Row],[英语]]))+1)</f>
        <v>195</v>
      </c>
      <c r="S438" s="29" cm="1">
        <f t="array" ref="S438">IF(表成绩单[[#This Row],[物理]]="","",SUMPRODUCT((表成绩单[考试日期]=表成绩单[[#This Row],[考试日期]])*(表成绩单[物理]&lt;9E+307)*(表成绩单[物理]&gt;表成绩单[[#This Row],[物理]]))+1)</f>
        <v>554</v>
      </c>
      <c r="T438" s="29" cm="1">
        <f t="array" ref="T438">IF(表成绩单[[#This Row],[化学]]="","",SUMPRODUCT((表成绩单[考试日期]=表成绩单[[#This Row],[考试日期]])*(表成绩单[化学]&lt;9E+307)*(表成绩单[化学]&gt;表成绩单[[#This Row],[化学]]))+1)</f>
        <v>268</v>
      </c>
      <c r="U438" s="29" cm="1">
        <f t="array" ref="U438">IF(表成绩单[[#This Row],[政治]]="","",SUMPRODUCT((表成绩单[考试日期]=表成绩单[[#This Row],[考试日期]])*(表成绩单[政治]&lt;9E+307)*(表成绩单[政治]&gt;表成绩单[[#This Row],[政治]]))+1)</f>
        <v>272</v>
      </c>
      <c r="V438" s="29" cm="1">
        <f t="array" ref="V438">IF(表成绩单[[#This Row],[历史]]="","",SUMPRODUCT((表成绩单[考试日期]=表成绩单[[#This Row],[考试日期]])*(表成绩单[历史]&lt;9E+307)*(表成绩单[历史]&gt;表成绩单[[#This Row],[历史]]))+1)</f>
        <v>505</v>
      </c>
      <c r="W438" s="29" cm="1">
        <f t="array" ref="W438">IF(表成绩单[[#This Row],[总分]]="","",SUMPRODUCT((表成绩单[考试日期]=表成绩单[[#This Row],[考试日期]])*(表成绩单[总分]&lt;9E+307)*(表成绩单[总分]&gt;表成绩单[[#This Row],[总分]]))+1)</f>
        <v>433</v>
      </c>
    </row>
    <row r="439" ht="28" customHeight="1" spans="4:23">
      <c r="D439" s="31">
        <v>45975</v>
      </c>
      <c r="E439" s="29">
        <v>19176163</v>
      </c>
      <c r="F439" s="29" t="s">
        <v>67</v>
      </c>
      <c r="G439" s="29" t="s">
        <v>512</v>
      </c>
      <c r="H439" s="29">
        <v>86</v>
      </c>
      <c r="I439" s="29">
        <v>104</v>
      </c>
      <c r="J439" s="29">
        <v>62.5</v>
      </c>
      <c r="K439" s="29">
        <v>87</v>
      </c>
      <c r="L439" s="29">
        <v>71</v>
      </c>
      <c r="M439" s="29">
        <v>81</v>
      </c>
      <c r="N439" s="29">
        <v>75</v>
      </c>
      <c r="O439" s="32">
        <v>566.5</v>
      </c>
      <c r="P439" s="29" cm="1">
        <f t="array" ref="P439">IF(表成绩单[[#This Row],[语文]]="","",SUMPRODUCT((表成绩单[考试日期]=表成绩单[[#This Row],[考试日期]])*(表成绩单[语文]&lt;9E+307)*(表成绩单[语文]&gt;表成绩单[[#This Row],[语文]]))+1)</f>
        <v>635</v>
      </c>
      <c r="Q439" s="29" cm="1">
        <f t="array" ref="Q439">IF(表成绩单[[#This Row],[数学]]="","",SUMPRODUCT((表成绩单[考试日期]=表成绩单[[#This Row],[考试日期]])*(表成绩单[数学]&lt;9E+307)*(表成绩单[数学]&gt;表成绩单[[#This Row],[数学]]))+1)</f>
        <v>260</v>
      </c>
      <c r="R439" s="29" cm="1">
        <f t="array" ref="R439">IF(表成绩单[[#This Row],[英语]]="","",SUMPRODUCT((表成绩单[考试日期]=表成绩单[[#This Row],[考试日期]])*(表成绩单[英语]&lt;9E+307)*(表成绩单[英语]&gt;表成绩单[[#This Row],[英语]]))+1)</f>
        <v>651</v>
      </c>
      <c r="S439" s="29" cm="1">
        <f t="array" ref="S439">IF(表成绩单[[#This Row],[物理]]="","",SUMPRODUCT((表成绩单[考试日期]=表成绩单[[#This Row],[考试日期]])*(表成绩单[物理]&lt;9E+307)*(表成绩单[物理]&gt;表成绩单[[#This Row],[物理]]))+1)</f>
        <v>127</v>
      </c>
      <c r="T439" s="29" cm="1">
        <f t="array" ref="T439">IF(表成绩单[[#This Row],[化学]]="","",SUMPRODUCT((表成绩单[考试日期]=表成绩单[[#This Row],[考试日期]])*(表成绩单[化学]&lt;9E+307)*(表成绩单[化学]&gt;表成绩单[[#This Row],[化学]]))+1)</f>
        <v>432</v>
      </c>
      <c r="U439" s="29" cm="1">
        <f t="array" ref="U439">IF(表成绩单[[#This Row],[政治]]="","",SUMPRODUCT((表成绩单[考试日期]=表成绩单[[#This Row],[考试日期]])*(表成绩单[政治]&lt;9E+307)*(表成绩单[政治]&gt;表成绩单[[#This Row],[政治]]))+1)</f>
        <v>180</v>
      </c>
      <c r="V439" s="29" cm="1">
        <f t="array" ref="V439">IF(表成绩单[[#This Row],[历史]]="","",SUMPRODUCT((表成绩单[考试日期]=表成绩单[[#This Row],[考试日期]])*(表成绩单[历史]&lt;9E+307)*(表成绩单[历史]&gt;表成绩单[[#This Row],[历史]]))+1)</f>
        <v>315</v>
      </c>
      <c r="W439" s="29" cm="1">
        <f t="array" ref="W439">IF(表成绩单[[#This Row],[总分]]="","",SUMPRODUCT((表成绩单[考试日期]=表成绩单[[#This Row],[考试日期]])*(表成绩单[总分]&lt;9E+307)*(表成绩单[总分]&gt;表成绩单[[#This Row],[总分]]))+1)</f>
        <v>435</v>
      </c>
    </row>
    <row r="440" ht="28" customHeight="1" spans="4:23">
      <c r="D440" s="31">
        <v>45975</v>
      </c>
      <c r="E440" s="29">
        <v>19174739</v>
      </c>
      <c r="F440" s="29" t="s">
        <v>64</v>
      </c>
      <c r="G440" s="29" t="s">
        <v>513</v>
      </c>
      <c r="H440" s="29">
        <v>100</v>
      </c>
      <c r="I440" s="29">
        <v>95</v>
      </c>
      <c r="J440" s="29">
        <v>77</v>
      </c>
      <c r="K440" s="29">
        <v>83</v>
      </c>
      <c r="L440" s="29">
        <v>68</v>
      </c>
      <c r="M440" s="29">
        <v>77</v>
      </c>
      <c r="N440" s="29">
        <v>65</v>
      </c>
      <c r="O440" s="32">
        <v>565</v>
      </c>
      <c r="P440" s="29" cm="1">
        <f t="array" ref="P440">IF(表成绩单[[#This Row],[语文]]="","",SUMPRODUCT((表成绩单[考试日期]=表成绩单[[#This Row],[考试日期]])*(表成绩单[语文]&lt;9E+307)*(表成绩单[语文]&gt;表成绩单[[#This Row],[语文]]))+1)</f>
        <v>223</v>
      </c>
      <c r="Q440" s="29" cm="1">
        <f t="array" ref="Q440">IF(表成绩单[[#This Row],[数学]]="","",SUMPRODUCT((表成绩单[考试日期]=表成绩单[[#This Row],[考试日期]])*(表成绩单[数学]&lt;9E+307)*(表成绩单[数学]&gt;表成绩单[[#This Row],[数学]]))+1)</f>
        <v>430</v>
      </c>
      <c r="R440" s="29" cm="1">
        <f t="array" ref="R440">IF(表成绩单[[#This Row],[英语]]="","",SUMPRODUCT((表成绩单[考试日期]=表成绩单[[#This Row],[考试日期]])*(表成绩单[英语]&lt;9E+307)*(表成绩单[英语]&gt;表成绩单[[#This Row],[英语]]))+1)</f>
        <v>369</v>
      </c>
      <c r="S440" s="29" cm="1">
        <f t="array" ref="S440">IF(表成绩单[[#This Row],[物理]]="","",SUMPRODUCT((表成绩单[考试日期]=表成绩单[[#This Row],[考试日期]])*(表成绩单[物理]&lt;9E+307)*(表成绩单[物理]&gt;表成绩单[[#This Row],[物理]]))+1)</f>
        <v>390</v>
      </c>
      <c r="T440" s="29" cm="1">
        <f t="array" ref="T440">IF(表成绩单[[#This Row],[化学]]="","",SUMPRODUCT((表成绩单[考试日期]=表成绩单[[#This Row],[考试日期]])*(表成绩单[化学]&lt;9E+307)*(表成绩单[化学]&gt;表成绩单[[#This Row],[化学]]))+1)</f>
        <v>506</v>
      </c>
      <c r="U440" s="29" cm="1">
        <f t="array" ref="U440">IF(表成绩单[[#This Row],[政治]]="","",SUMPRODUCT((表成绩单[考试日期]=表成绩单[[#This Row],[考试日期]])*(表成绩单[政治]&lt;9E+307)*(表成绩单[政治]&gt;表成绩单[[#This Row],[政治]]))+1)</f>
        <v>304</v>
      </c>
      <c r="V440" s="29" cm="1">
        <f t="array" ref="V440">IF(表成绩单[[#This Row],[历史]]="","",SUMPRODUCT((表成绩单[考试日期]=表成绩单[[#This Row],[考试日期]])*(表成绩单[历史]&lt;9E+307)*(表成绩单[历史]&gt;表成绩单[[#This Row],[历史]]))+1)</f>
        <v>644</v>
      </c>
      <c r="W440" s="29" cm="1">
        <f t="array" ref="W440">IF(表成绩单[[#This Row],[总分]]="","",SUMPRODUCT((表成绩单[考试日期]=表成绩单[[#This Row],[考试日期]])*(表成绩单[总分]&lt;9E+307)*(表成绩单[总分]&gt;表成绩单[[#This Row],[总分]]))+1)</f>
        <v>436</v>
      </c>
    </row>
    <row r="441" ht="28" customHeight="1" spans="4:23">
      <c r="D441" s="31">
        <v>45975</v>
      </c>
      <c r="E441" s="29">
        <v>19174799</v>
      </c>
      <c r="F441" s="29" t="s">
        <v>69</v>
      </c>
      <c r="G441" s="29" t="s">
        <v>514</v>
      </c>
      <c r="H441" s="29">
        <v>103</v>
      </c>
      <c r="I441" s="29">
        <v>80</v>
      </c>
      <c r="J441" s="29">
        <v>79</v>
      </c>
      <c r="K441" s="29">
        <v>81</v>
      </c>
      <c r="L441" s="29">
        <v>77</v>
      </c>
      <c r="M441" s="29">
        <v>74</v>
      </c>
      <c r="N441" s="29">
        <v>71</v>
      </c>
      <c r="O441" s="32">
        <v>565</v>
      </c>
      <c r="P441" s="29" cm="1">
        <f t="array" ref="P441">IF(表成绩单[[#This Row],[语文]]="","",SUMPRODUCT((表成绩单[考试日期]=表成绩单[[#This Row],[考试日期]])*(表成绩单[语文]&lt;9E+307)*(表成绩单[语文]&gt;表成绩单[[#This Row],[语文]]))+1)</f>
        <v>126</v>
      </c>
      <c r="Q441" s="29" cm="1">
        <f t="array" ref="Q441">IF(表成绩单[[#This Row],[数学]]="","",SUMPRODUCT((表成绩单[考试日期]=表成绩单[[#This Row],[考试日期]])*(表成绩单[数学]&lt;9E+307)*(表成绩单[数学]&gt;表成绩单[[#This Row],[数学]]))+1)</f>
        <v>626</v>
      </c>
      <c r="R441" s="29" cm="1">
        <f t="array" ref="R441">IF(表成绩单[[#This Row],[英语]]="","",SUMPRODUCT((表成绩单[考试日期]=表成绩单[[#This Row],[考试日期]])*(表成绩单[英语]&lt;9E+307)*(表成绩单[英语]&gt;表成绩单[[#This Row],[英语]]))+1)</f>
        <v>292</v>
      </c>
      <c r="S441" s="29" cm="1">
        <f t="array" ref="S441">IF(表成绩单[[#This Row],[物理]]="","",SUMPRODUCT((表成绩单[考试日期]=表成绩单[[#This Row],[考试日期]])*(表成绩单[物理]&lt;9E+307)*(表成绩单[物理]&gt;表成绩单[[#This Row],[物理]]))+1)</f>
        <v>474</v>
      </c>
      <c r="T441" s="29" cm="1">
        <f t="array" ref="T441">IF(表成绩单[[#This Row],[化学]]="","",SUMPRODUCT((表成绩单[考试日期]=表成绩单[[#This Row],[考试日期]])*(表成绩单[化学]&lt;9E+307)*(表成绩单[化学]&gt;表成绩单[[#This Row],[化学]]))+1)</f>
        <v>239</v>
      </c>
      <c r="U441" s="29" cm="1">
        <f t="array" ref="U441">IF(表成绩单[[#This Row],[政治]]="","",SUMPRODUCT((表成绩单[考试日期]=表成绩单[[#This Row],[考试日期]])*(表成绩单[政治]&lt;9E+307)*(表成绩单[政治]&gt;表成绩单[[#This Row],[政治]]))+1)</f>
        <v>389</v>
      </c>
      <c r="V441" s="29" cm="1">
        <f t="array" ref="V441">IF(表成绩单[[#This Row],[历史]]="","",SUMPRODUCT((表成绩单[考试日期]=表成绩单[[#This Row],[考试日期]])*(表成绩单[历史]&lt;9E+307)*(表成绩单[历史]&gt;表成绩单[[#This Row],[历史]]))+1)</f>
        <v>480</v>
      </c>
      <c r="W441" s="29" cm="1">
        <f t="array" ref="W441">IF(表成绩单[[#This Row],[总分]]="","",SUMPRODUCT((表成绩单[考试日期]=表成绩单[[#This Row],[考试日期]])*(表成绩单[总分]&lt;9E+307)*(表成绩单[总分]&gt;表成绩单[[#This Row],[总分]]))+1)</f>
        <v>436</v>
      </c>
    </row>
    <row r="442" ht="28" customHeight="1" spans="4:23">
      <c r="D442" s="31">
        <v>45975</v>
      </c>
      <c r="E442" s="29">
        <v>19177617</v>
      </c>
      <c r="F442" s="29" t="s">
        <v>58</v>
      </c>
      <c r="G442" s="29" t="s">
        <v>515</v>
      </c>
      <c r="H442" s="29">
        <v>96</v>
      </c>
      <c r="I442" s="29">
        <v>88</v>
      </c>
      <c r="J442" s="29">
        <v>74</v>
      </c>
      <c r="K442" s="29">
        <v>83</v>
      </c>
      <c r="L442" s="29">
        <v>78</v>
      </c>
      <c r="M442" s="29">
        <v>68</v>
      </c>
      <c r="N442" s="29">
        <v>78</v>
      </c>
      <c r="O442" s="32">
        <v>565</v>
      </c>
      <c r="P442" s="29" cm="1">
        <f t="array" ref="P442">IF(表成绩单[[#This Row],[语文]]="","",SUMPRODUCT((表成绩单[考试日期]=表成绩单[[#This Row],[考试日期]])*(表成绩单[语文]&lt;9E+307)*(表成绩单[语文]&gt;表成绩单[[#This Row],[语文]]))+1)</f>
        <v>387</v>
      </c>
      <c r="Q442" s="29" cm="1">
        <f t="array" ref="Q442">IF(表成绩单[[#This Row],[数学]]="","",SUMPRODUCT((表成绩单[考试日期]=表成绩单[[#This Row],[考试日期]])*(表成绩单[数学]&lt;9E+307)*(表成绩单[数学]&gt;表成绩单[[#This Row],[数学]]))+1)</f>
        <v>527</v>
      </c>
      <c r="R442" s="29" cm="1">
        <f t="array" ref="R442">IF(表成绩单[[#This Row],[英语]]="","",SUMPRODUCT((表成绩单[考试日期]=表成绩单[[#This Row],[考试日期]])*(表成绩单[英语]&lt;9E+307)*(表成绩单[英语]&gt;表成绩单[[#This Row],[英语]]))+1)</f>
        <v>454</v>
      </c>
      <c r="S442" s="29" cm="1">
        <f t="array" ref="S442">IF(表成绩单[[#This Row],[物理]]="","",SUMPRODUCT((表成绩单[考试日期]=表成绩单[[#This Row],[考试日期]])*(表成绩单[物理]&lt;9E+307)*(表成绩单[物理]&gt;表成绩单[[#This Row],[物理]]))+1)</f>
        <v>390</v>
      </c>
      <c r="T442" s="29" cm="1">
        <f t="array" ref="T442">IF(表成绩单[[#This Row],[化学]]="","",SUMPRODUCT((表成绩单[考试日期]=表成绩单[[#This Row],[考试日期]])*(表成绩单[化学]&lt;9E+307)*(表成绩单[化学]&gt;表成绩单[[#This Row],[化学]]))+1)</f>
        <v>200</v>
      </c>
      <c r="U442" s="29" cm="1">
        <f t="array" ref="U442">IF(表成绩单[[#This Row],[政治]]="","",SUMPRODUCT((表成绩单[考试日期]=表成绩单[[#This Row],[考试日期]])*(表成绩单[政治]&lt;9E+307)*(表成绩单[政治]&gt;表成绩单[[#This Row],[政治]]))+1)</f>
        <v>527</v>
      </c>
      <c r="V442" s="29" cm="1">
        <f t="array" ref="V442">IF(表成绩单[[#This Row],[历史]]="","",SUMPRODUCT((表成绩单[考试日期]=表成绩单[[#This Row],[考试日期]])*(表成绩单[历史]&lt;9E+307)*(表成绩单[历史]&gt;表成绩单[[#This Row],[历史]]))+1)</f>
        <v>189</v>
      </c>
      <c r="W442" s="29" cm="1">
        <f t="array" ref="W442">IF(表成绩单[[#This Row],[总分]]="","",SUMPRODUCT((表成绩单[考试日期]=表成绩单[[#This Row],[考试日期]])*(表成绩单[总分]&lt;9E+307)*(表成绩单[总分]&gt;表成绩单[[#This Row],[总分]]))+1)</f>
        <v>436</v>
      </c>
    </row>
    <row r="443" ht="28" customHeight="1" spans="4:23">
      <c r="D443" s="31">
        <v>45975</v>
      </c>
      <c r="E443" s="29">
        <v>19171082</v>
      </c>
      <c r="F443" s="29" t="s">
        <v>67</v>
      </c>
      <c r="G443" s="29" t="s">
        <v>516</v>
      </c>
      <c r="H443" s="29">
        <v>95</v>
      </c>
      <c r="I443" s="29">
        <v>88</v>
      </c>
      <c r="J443" s="29">
        <v>81.5</v>
      </c>
      <c r="K443" s="29">
        <v>81</v>
      </c>
      <c r="L443" s="29">
        <v>80</v>
      </c>
      <c r="M443" s="29">
        <v>78</v>
      </c>
      <c r="N443" s="29">
        <v>61</v>
      </c>
      <c r="O443" s="32">
        <v>564.5</v>
      </c>
      <c r="P443" s="29" cm="1">
        <f t="array" ref="P443">IF(表成绩单[[#This Row],[语文]]="","",SUMPRODUCT((表成绩单[考试日期]=表成绩单[[#This Row],[考试日期]])*(表成绩单[语文]&lt;9E+307)*(表成绩单[语文]&gt;表成绩单[[#This Row],[语文]]))+1)</f>
        <v>420</v>
      </c>
      <c r="Q443" s="29" cm="1">
        <f t="array" ref="Q443">IF(表成绩单[[#This Row],[数学]]="","",SUMPRODUCT((表成绩单[考试日期]=表成绩单[[#This Row],[考试日期]])*(表成绩单[数学]&lt;9E+307)*(表成绩单[数学]&gt;表成绩单[[#This Row],[数学]]))+1)</f>
        <v>527</v>
      </c>
      <c r="R443" s="29" cm="1">
        <f t="array" ref="R443">IF(表成绩单[[#This Row],[英语]]="","",SUMPRODUCT((表成绩单[考试日期]=表成绩单[[#This Row],[考试日期]])*(表成绩单[英语]&lt;9E+307)*(表成绩单[英语]&gt;表成绩单[[#This Row],[英语]]))+1)</f>
        <v>220</v>
      </c>
      <c r="S443" s="29" cm="1">
        <f t="array" ref="S443">IF(表成绩单[[#This Row],[物理]]="","",SUMPRODUCT((表成绩单[考试日期]=表成绩单[[#This Row],[考试日期]])*(表成绩单[物理]&lt;9E+307)*(表成绩单[物理]&gt;表成绩单[[#This Row],[物理]]))+1)</f>
        <v>474</v>
      </c>
      <c r="T443" s="29" cm="1">
        <f t="array" ref="T443">IF(表成绩单[[#This Row],[化学]]="","",SUMPRODUCT((表成绩单[考试日期]=表成绩单[[#This Row],[考试日期]])*(表成绩单[化学]&lt;9E+307)*(表成绩单[化学]&gt;表成绩单[[#This Row],[化学]]))+1)</f>
        <v>129</v>
      </c>
      <c r="U443" s="29" cm="1">
        <f t="array" ref="U443">IF(表成绩单[[#This Row],[政治]]="","",SUMPRODUCT((表成绩单[考试日期]=表成绩单[[#This Row],[考试日期]])*(表成绩单[政治]&lt;9E+307)*(表成绩单[政治]&gt;表成绩单[[#This Row],[政治]]))+1)</f>
        <v>272</v>
      </c>
      <c r="V443" s="29" cm="1">
        <f t="array" ref="V443">IF(表成绩单[[#This Row],[历史]]="","",SUMPRODUCT((表成绩单[考试日期]=表成绩单[[#This Row],[考试日期]])*(表成绩单[历史]&lt;9E+307)*(表成绩单[历史]&gt;表成绩单[[#This Row],[历史]]))+1)</f>
        <v>702</v>
      </c>
      <c r="W443" s="29" cm="1">
        <f t="array" ref="W443">IF(表成绩单[[#This Row],[总分]]="","",SUMPRODUCT((表成绩单[考试日期]=表成绩单[[#This Row],[考试日期]])*(表成绩单[总分]&lt;9E+307)*(表成绩单[总分]&gt;表成绩单[[#This Row],[总分]]))+1)</f>
        <v>439</v>
      </c>
    </row>
    <row r="444" ht="28" customHeight="1" spans="4:23">
      <c r="D444" s="31">
        <v>45975</v>
      </c>
      <c r="E444" s="29">
        <v>19173765</v>
      </c>
      <c r="F444" s="29" t="s">
        <v>65</v>
      </c>
      <c r="G444" s="29" t="s">
        <v>517</v>
      </c>
      <c r="H444" s="29">
        <v>87</v>
      </c>
      <c r="I444" s="29">
        <v>99</v>
      </c>
      <c r="J444" s="29">
        <v>69.5</v>
      </c>
      <c r="K444" s="29">
        <v>86</v>
      </c>
      <c r="L444" s="29">
        <v>76</v>
      </c>
      <c r="M444" s="29">
        <v>75</v>
      </c>
      <c r="N444" s="29">
        <v>72</v>
      </c>
      <c r="O444" s="32">
        <v>564.5</v>
      </c>
      <c r="P444" s="29" cm="1">
        <f t="array" ref="P444">IF(表成绩单[[#This Row],[语文]]="","",SUMPRODUCT((表成绩单[考试日期]=表成绩单[[#This Row],[考试日期]])*(表成绩单[语文]&lt;9E+307)*(表成绩单[语文]&gt;表成绩单[[#This Row],[语文]]))+1)</f>
        <v>615</v>
      </c>
      <c r="Q444" s="29" cm="1">
        <f t="array" ref="Q444">IF(表成绩单[[#This Row],[数学]]="","",SUMPRODUCT((表成绩单[考试日期]=表成绩单[[#This Row],[考试日期]])*(表成绩单[数学]&lt;9E+307)*(表成绩单[数学]&gt;表成绩单[[#This Row],[数学]]))+1)</f>
        <v>361</v>
      </c>
      <c r="R444" s="29" cm="1">
        <f t="array" ref="R444">IF(表成绩单[[#This Row],[英语]]="","",SUMPRODUCT((表成绩单[考试日期]=表成绩单[[#This Row],[考试日期]])*(表成绩单[英语]&lt;9E+307)*(表成绩单[英语]&gt;表成绩单[[#This Row],[英语]]))+1)</f>
        <v>560</v>
      </c>
      <c r="S444" s="29" cm="1">
        <f t="array" ref="S444">IF(表成绩单[[#This Row],[物理]]="","",SUMPRODUCT((表成绩单[考试日期]=表成绩单[[#This Row],[考试日期]])*(表成绩单[物理]&lt;9E+307)*(表成绩单[物理]&gt;表成绩单[[#This Row],[物理]]))+1)</f>
        <v>187</v>
      </c>
      <c r="T444" s="29" cm="1">
        <f t="array" ref="T444">IF(表成绩单[[#This Row],[化学]]="","",SUMPRODUCT((表成绩单[考试日期]=表成绩单[[#This Row],[考试日期]])*(表成绩单[化学]&lt;9E+307)*(表成绩单[化学]&gt;表成绩单[[#This Row],[化学]]))+1)</f>
        <v>268</v>
      </c>
      <c r="U444" s="29" cm="1">
        <f t="array" ref="U444">IF(表成绩单[[#This Row],[政治]]="","",SUMPRODUCT((表成绩单[考试日期]=表成绩单[[#This Row],[考试日期]])*(表成绩单[政治]&lt;9E+307)*(表成绩单[政治]&gt;表成绩单[[#This Row],[政治]]))+1)</f>
        <v>363</v>
      </c>
      <c r="V444" s="29" cm="1">
        <f t="array" ref="V444">IF(表成绩单[[#This Row],[历史]]="","",SUMPRODUCT((表成绩单[考试日期]=表成绩单[[#This Row],[考试日期]])*(表成绩单[历史]&lt;9E+307)*(表成绩单[历史]&gt;表成绩单[[#This Row],[历史]]))+1)</f>
        <v>438</v>
      </c>
      <c r="W444" s="29" cm="1">
        <f t="array" ref="W444">IF(表成绩单[[#This Row],[总分]]="","",SUMPRODUCT((表成绩单[考试日期]=表成绩单[[#This Row],[考试日期]])*(表成绩单[总分]&lt;9E+307)*(表成绩单[总分]&gt;表成绩单[[#This Row],[总分]]))+1)</f>
        <v>439</v>
      </c>
    </row>
    <row r="445" ht="28" customHeight="1" spans="4:23">
      <c r="D445" s="31">
        <v>45975</v>
      </c>
      <c r="E445" s="29">
        <v>19175307</v>
      </c>
      <c r="F445" s="29" t="s">
        <v>55</v>
      </c>
      <c r="G445" s="29" t="s">
        <v>518</v>
      </c>
      <c r="H445" s="29">
        <v>89</v>
      </c>
      <c r="I445" s="29">
        <v>82</v>
      </c>
      <c r="J445" s="29">
        <v>71.5</v>
      </c>
      <c r="K445" s="29">
        <v>87</v>
      </c>
      <c r="L445" s="29">
        <v>78</v>
      </c>
      <c r="M445" s="29">
        <v>78</v>
      </c>
      <c r="N445" s="29">
        <v>79</v>
      </c>
      <c r="O445" s="32">
        <v>564.5</v>
      </c>
      <c r="P445" s="29" cm="1">
        <f t="array" ref="P445">IF(表成绩单[[#This Row],[语文]]="","",SUMPRODUCT((表成绩单[考试日期]=表成绩单[[#This Row],[考试日期]])*(表成绩单[语文]&lt;9E+307)*(表成绩单[语文]&gt;表成绩单[[#This Row],[语文]]))+1)</f>
        <v>582</v>
      </c>
      <c r="Q445" s="29" cm="1">
        <f t="array" ref="Q445">IF(表成绩单[[#This Row],[数学]]="","",SUMPRODUCT((表成绩单[考试日期]=表成绩单[[#This Row],[考试日期]])*(表成绩单[数学]&lt;9E+307)*(表成绩单[数学]&gt;表成绩单[[#This Row],[数学]]))+1)</f>
        <v>607</v>
      </c>
      <c r="R445" s="29" cm="1">
        <f t="array" ref="R445">IF(表成绩单[[#This Row],[英语]]="","",SUMPRODUCT((表成绩单[考试日期]=表成绩单[[#This Row],[考试日期]])*(表成绩单[英语]&lt;9E+307)*(表成绩单[英语]&gt;表成绩单[[#This Row],[英语]]))+1)</f>
        <v>520</v>
      </c>
      <c r="S445" s="29" cm="1">
        <f t="array" ref="S445">IF(表成绩单[[#This Row],[物理]]="","",SUMPRODUCT((表成绩单[考试日期]=表成绩单[[#This Row],[考试日期]])*(表成绩单[物理]&lt;9E+307)*(表成绩单[物理]&gt;表成绩单[[#This Row],[物理]]))+1)</f>
        <v>127</v>
      </c>
      <c r="T445" s="29" cm="1">
        <f t="array" ref="T445">IF(表成绩单[[#This Row],[化学]]="","",SUMPRODUCT((表成绩单[考试日期]=表成绩单[[#This Row],[考试日期]])*(表成绩单[化学]&lt;9E+307)*(表成绩单[化学]&gt;表成绩单[[#This Row],[化学]]))+1)</f>
        <v>200</v>
      </c>
      <c r="U445" s="29" cm="1">
        <f t="array" ref="U445">IF(表成绩单[[#This Row],[政治]]="","",SUMPRODUCT((表成绩单[考试日期]=表成绩单[[#This Row],[考试日期]])*(表成绩单[政治]&lt;9E+307)*(表成绩单[政治]&gt;表成绩单[[#This Row],[政治]]))+1)</f>
        <v>272</v>
      </c>
      <c r="V445" s="29" cm="1">
        <f t="array" ref="V445">IF(表成绩单[[#This Row],[历史]]="","",SUMPRODUCT((表成绩单[考试日期]=表成绩单[[#This Row],[考试日期]])*(表成绩单[历史]&lt;9E+307)*(表成绩单[历史]&gt;表成绩单[[#This Row],[历史]]))+1)</f>
        <v>144</v>
      </c>
      <c r="W445" s="29" cm="1">
        <f t="array" ref="W445">IF(表成绩单[[#This Row],[总分]]="","",SUMPRODUCT((表成绩单[考试日期]=表成绩单[[#This Row],[考试日期]])*(表成绩单[总分]&lt;9E+307)*(表成绩单[总分]&gt;表成绩单[[#This Row],[总分]]))+1)</f>
        <v>439</v>
      </c>
    </row>
    <row r="446" ht="28" customHeight="1" spans="4:23">
      <c r="D446" s="31">
        <v>45975</v>
      </c>
      <c r="E446" s="29">
        <v>19178581</v>
      </c>
      <c r="F446" s="29" t="s">
        <v>64</v>
      </c>
      <c r="G446" s="29" t="s">
        <v>519</v>
      </c>
      <c r="H446" s="29">
        <v>92</v>
      </c>
      <c r="I446" s="29">
        <v>86</v>
      </c>
      <c r="J446" s="29">
        <v>73.5</v>
      </c>
      <c r="K446" s="29">
        <v>81</v>
      </c>
      <c r="L446" s="29">
        <v>72</v>
      </c>
      <c r="M446" s="29">
        <v>85</v>
      </c>
      <c r="N446" s="29">
        <v>75</v>
      </c>
      <c r="O446" s="32">
        <v>564.5</v>
      </c>
      <c r="P446" s="29" cm="1">
        <f t="array" ref="P446">IF(表成绩单[[#This Row],[语文]]="","",SUMPRODUCT((表成绩单[考试日期]=表成绩单[[#This Row],[考试日期]])*(表成绩单[语文]&lt;9E+307)*(表成绩单[语文]&gt;表成绩单[[#This Row],[语文]]))+1)</f>
        <v>517</v>
      </c>
      <c r="Q446" s="29" cm="1">
        <f t="array" ref="Q446">IF(表成绩单[[#This Row],[数学]]="","",SUMPRODUCT((表成绩单[考试日期]=表成绩单[[#This Row],[考试日期]])*(表成绩单[数学]&lt;9E+307)*(表成绩单[数学]&gt;表成绩单[[#This Row],[数学]]))+1)</f>
        <v>562</v>
      </c>
      <c r="R446" s="29" cm="1">
        <f t="array" ref="R446">IF(表成绩单[[#This Row],[英语]]="","",SUMPRODUCT((表成绩单[考试日期]=表成绩单[[#This Row],[考试日期]])*(表成绩单[英语]&lt;9E+307)*(表成绩单[英语]&gt;表成绩单[[#This Row],[英语]]))+1)</f>
        <v>470</v>
      </c>
      <c r="S446" s="29" cm="1">
        <f t="array" ref="S446">IF(表成绩单[[#This Row],[物理]]="","",SUMPRODUCT((表成绩单[考试日期]=表成绩单[[#This Row],[考试日期]])*(表成绩单[物理]&lt;9E+307)*(表成绩单[物理]&gt;表成绩单[[#This Row],[物理]]))+1)</f>
        <v>474</v>
      </c>
      <c r="T446" s="29" cm="1">
        <f t="array" ref="T446">IF(表成绩单[[#This Row],[化学]]="","",SUMPRODUCT((表成绩单[考试日期]=表成绩单[[#This Row],[考试日期]])*(表成绩单[化学]&lt;9E+307)*(表成绩单[化学]&gt;表成绩单[[#This Row],[化学]]))+1)</f>
        <v>405</v>
      </c>
      <c r="U446" s="29" cm="1">
        <f t="array" ref="U446">IF(表成绩单[[#This Row],[政治]]="","",SUMPRODUCT((表成绩单[考试日期]=表成绩单[[#This Row],[考试日期]])*(表成绩单[政治]&lt;9E+307)*(表成绩单[政治]&gt;表成绩单[[#This Row],[政治]]))+1)</f>
        <v>45</v>
      </c>
      <c r="V446" s="29" cm="1">
        <f t="array" ref="V446">IF(表成绩单[[#This Row],[历史]]="","",SUMPRODUCT((表成绩单[考试日期]=表成绩单[[#This Row],[考试日期]])*(表成绩单[历史]&lt;9E+307)*(表成绩单[历史]&gt;表成绩单[[#This Row],[历史]]))+1)</f>
        <v>315</v>
      </c>
      <c r="W446" s="29" cm="1">
        <f t="array" ref="W446">IF(表成绩单[[#This Row],[总分]]="","",SUMPRODUCT((表成绩单[考试日期]=表成绩单[[#This Row],[考试日期]])*(表成绩单[总分]&lt;9E+307)*(表成绩单[总分]&gt;表成绩单[[#This Row],[总分]]))+1)</f>
        <v>439</v>
      </c>
    </row>
    <row r="447" ht="28" customHeight="1" spans="4:23">
      <c r="D447" s="31">
        <v>45975</v>
      </c>
      <c r="E447" s="29">
        <v>19177591</v>
      </c>
      <c r="F447" s="29" t="s">
        <v>58</v>
      </c>
      <c r="G447" s="29" t="s">
        <v>520</v>
      </c>
      <c r="H447" s="29">
        <v>96</v>
      </c>
      <c r="I447" s="29">
        <v>90</v>
      </c>
      <c r="J447" s="29">
        <v>73</v>
      </c>
      <c r="K447" s="29">
        <v>82</v>
      </c>
      <c r="L447" s="29">
        <v>68</v>
      </c>
      <c r="M447" s="29">
        <v>78</v>
      </c>
      <c r="N447" s="29">
        <v>77</v>
      </c>
      <c r="O447" s="32">
        <v>564</v>
      </c>
      <c r="P447" s="29" cm="1">
        <f t="array" ref="P447">IF(表成绩单[[#This Row],[语文]]="","",SUMPRODUCT((表成绩单[考试日期]=表成绩单[[#This Row],[考试日期]])*(表成绩单[语文]&lt;9E+307)*(表成绩单[语文]&gt;表成绩单[[#This Row],[语文]]))+1)</f>
        <v>387</v>
      </c>
      <c r="Q447" s="29" cm="1">
        <f t="array" ref="Q447">IF(表成绩单[[#This Row],[数学]]="","",SUMPRODUCT((表成绩单[考试日期]=表成绩单[[#This Row],[考试日期]])*(表成绩单[数学]&lt;9E+307)*(表成绩单[数学]&gt;表成绩单[[#This Row],[数学]]))+1)</f>
        <v>506</v>
      </c>
      <c r="R447" s="29" cm="1">
        <f t="array" ref="R447">IF(表成绩单[[#This Row],[英语]]="","",SUMPRODUCT((表成绩单[考试日期]=表成绩单[[#This Row],[考试日期]])*(表成绩单[英语]&lt;9E+307)*(表成绩单[英语]&gt;表成绩单[[#This Row],[英语]]))+1)</f>
        <v>485</v>
      </c>
      <c r="S447" s="29" cm="1">
        <f t="array" ref="S447">IF(表成绩单[[#This Row],[物理]]="","",SUMPRODUCT((表成绩单[考试日期]=表成绩单[[#This Row],[考试日期]])*(表成绩单[物理]&lt;9E+307)*(表成绩单[物理]&gt;表成绩单[[#This Row],[物理]]))+1)</f>
        <v>433</v>
      </c>
      <c r="T447" s="29" cm="1">
        <f t="array" ref="T447">IF(表成绩单[[#This Row],[化学]]="","",SUMPRODUCT((表成绩单[考试日期]=表成绩单[[#This Row],[考试日期]])*(表成绩单[化学]&lt;9E+307)*(表成绩单[化学]&gt;表成绩单[[#This Row],[化学]]))+1)</f>
        <v>506</v>
      </c>
      <c r="U447" s="29" cm="1">
        <f t="array" ref="U447">IF(表成绩单[[#This Row],[政治]]="","",SUMPRODUCT((表成绩单[考试日期]=表成绩单[[#This Row],[考试日期]])*(表成绩单[政治]&lt;9E+307)*(表成绩单[政治]&gt;表成绩单[[#This Row],[政治]]))+1)</f>
        <v>272</v>
      </c>
      <c r="V447" s="29" cm="1">
        <f t="array" ref="V447">IF(表成绩单[[#This Row],[历史]]="","",SUMPRODUCT((表成绩单[考试日期]=表成绩单[[#This Row],[考试日期]])*(表成绩单[历史]&lt;9E+307)*(表成绩单[历史]&gt;表成绩单[[#This Row],[历史]]))+1)</f>
        <v>237</v>
      </c>
      <c r="W447" s="29" cm="1">
        <f t="array" ref="W447">IF(表成绩单[[#This Row],[总分]]="","",SUMPRODUCT((表成绩单[考试日期]=表成绩单[[#This Row],[考试日期]])*(表成绩单[总分]&lt;9E+307)*(表成绩单[总分]&gt;表成绩单[[#This Row],[总分]]))+1)</f>
        <v>443</v>
      </c>
    </row>
    <row r="448" ht="28" customHeight="1" spans="4:23">
      <c r="D448" s="31">
        <v>45975</v>
      </c>
      <c r="E448" s="29">
        <v>19177630</v>
      </c>
      <c r="F448" s="29" t="s">
        <v>58</v>
      </c>
      <c r="G448" s="29" t="s">
        <v>521</v>
      </c>
      <c r="H448" s="29">
        <v>80</v>
      </c>
      <c r="I448" s="29">
        <v>95</v>
      </c>
      <c r="J448" s="29">
        <v>67</v>
      </c>
      <c r="K448" s="29">
        <v>84</v>
      </c>
      <c r="L448" s="29">
        <v>78</v>
      </c>
      <c r="M448" s="29">
        <v>77</v>
      </c>
      <c r="N448" s="29">
        <v>83</v>
      </c>
      <c r="O448" s="32">
        <v>564</v>
      </c>
      <c r="P448" s="29" cm="1">
        <f t="array" ref="P448">IF(表成绩单[[#This Row],[语文]]="","",SUMPRODUCT((表成绩单[考试日期]=表成绩单[[#This Row],[考试日期]])*(表成绩单[语文]&lt;9E+307)*(表成绩单[语文]&gt;表成绩单[[#This Row],[语文]]))+1)</f>
        <v>702</v>
      </c>
      <c r="Q448" s="29" cm="1">
        <f t="array" ref="Q448">IF(表成绩单[[#This Row],[数学]]="","",SUMPRODUCT((表成绩单[考试日期]=表成绩单[[#This Row],[考试日期]])*(表成绩单[数学]&lt;9E+307)*(表成绩单[数学]&gt;表成绩单[[#This Row],[数学]]))+1)</f>
        <v>430</v>
      </c>
      <c r="R448" s="29" cm="1">
        <f t="array" ref="R448">IF(表成绩单[[#This Row],[英语]]="","",SUMPRODUCT((表成绩单[考试日期]=表成绩单[[#This Row],[考试日期]])*(表成绩单[英语]&lt;9E+307)*(表成绩单[英语]&gt;表成绩单[[#This Row],[英语]]))+1)</f>
        <v>596</v>
      </c>
      <c r="S448" s="29" cm="1">
        <f t="array" ref="S448">IF(表成绩单[[#This Row],[物理]]="","",SUMPRODUCT((表成绩单[考试日期]=表成绩单[[#This Row],[考试日期]])*(表成绩单[物理]&lt;9E+307)*(表成绩单[物理]&gt;表成绩单[[#This Row],[物理]]))+1)</f>
        <v>344</v>
      </c>
      <c r="T448" s="29" cm="1">
        <f t="array" ref="T448">IF(表成绩单[[#This Row],[化学]]="","",SUMPRODUCT((表成绩单[考试日期]=表成绩单[[#This Row],[考试日期]])*(表成绩单[化学]&lt;9E+307)*(表成绩单[化学]&gt;表成绩单[[#This Row],[化学]]))+1)</f>
        <v>200</v>
      </c>
      <c r="U448" s="29" cm="1">
        <f t="array" ref="U448">IF(表成绩单[[#This Row],[政治]]="","",SUMPRODUCT((表成绩单[考试日期]=表成绩单[[#This Row],[考试日期]])*(表成绩单[政治]&lt;9E+307)*(表成绩单[政治]&gt;表成绩单[[#This Row],[政治]]))+1)</f>
        <v>304</v>
      </c>
      <c r="V448" s="29" cm="1">
        <f t="array" ref="V448">IF(表成绩单[[#This Row],[历史]]="","",SUMPRODUCT((表成绩单[考试日期]=表成绩单[[#This Row],[考试日期]])*(表成绩单[历史]&lt;9E+307)*(表成绩单[历史]&gt;表成绩单[[#This Row],[历史]]))+1)</f>
        <v>18</v>
      </c>
      <c r="W448" s="29" cm="1">
        <f t="array" ref="W448">IF(表成绩单[[#This Row],[总分]]="","",SUMPRODUCT((表成绩单[考试日期]=表成绩单[[#This Row],[考试日期]])*(表成绩单[总分]&lt;9E+307)*(表成绩单[总分]&gt;表成绩单[[#This Row],[总分]]))+1)</f>
        <v>443</v>
      </c>
    </row>
    <row r="449" ht="28" customHeight="1" spans="4:23">
      <c r="D449" s="31">
        <v>45975</v>
      </c>
      <c r="E449" s="29">
        <v>19175627</v>
      </c>
      <c r="F449" s="29" t="s">
        <v>57</v>
      </c>
      <c r="G449" s="29" t="s">
        <v>522</v>
      </c>
      <c r="H449" s="29">
        <v>90</v>
      </c>
      <c r="I449" s="29">
        <v>88</v>
      </c>
      <c r="J449" s="29">
        <v>67.5</v>
      </c>
      <c r="K449" s="29">
        <v>89</v>
      </c>
      <c r="L449" s="29">
        <v>80</v>
      </c>
      <c r="M449" s="29">
        <v>75</v>
      </c>
      <c r="N449" s="29">
        <v>74</v>
      </c>
      <c r="O449" s="32">
        <v>563.5</v>
      </c>
      <c r="P449" s="29" cm="1">
        <f t="array" ref="P449">IF(表成绩单[[#This Row],[语文]]="","",SUMPRODUCT((表成绩单[考试日期]=表成绩单[[#This Row],[考试日期]])*(表成绩单[语文]&lt;9E+307)*(表成绩单[语文]&gt;表成绩单[[#This Row],[语文]]))+1)</f>
        <v>561</v>
      </c>
      <c r="Q449" s="29" cm="1">
        <f t="array" ref="Q449">IF(表成绩单[[#This Row],[数学]]="","",SUMPRODUCT((表成绩单[考试日期]=表成绩单[[#This Row],[考试日期]])*(表成绩单[数学]&lt;9E+307)*(表成绩单[数学]&gt;表成绩单[[#This Row],[数学]]))+1)</f>
        <v>527</v>
      </c>
      <c r="R449" s="29" cm="1">
        <f t="array" ref="R449">IF(表成绩单[[#This Row],[英语]]="","",SUMPRODUCT((表成绩单[考试日期]=表成绩单[[#This Row],[考试日期]])*(表成绩单[英语]&lt;9E+307)*(表成绩单[英语]&gt;表成绩单[[#This Row],[英语]]))+1)</f>
        <v>590</v>
      </c>
      <c r="S449" s="29" cm="1">
        <f t="array" ref="S449">IF(表成绩单[[#This Row],[物理]]="","",SUMPRODUCT((表成绩单[考试日期]=表成绩单[[#This Row],[考试日期]])*(表成绩单[物理]&lt;9E+307)*(表成绩单[物理]&gt;表成绩单[[#This Row],[物理]]))+1)</f>
        <v>18</v>
      </c>
      <c r="T449" s="29" cm="1">
        <f t="array" ref="T449">IF(表成绩单[[#This Row],[化学]]="","",SUMPRODUCT((表成绩单[考试日期]=表成绩单[[#This Row],[考试日期]])*(表成绩单[化学]&lt;9E+307)*(表成绩单[化学]&gt;表成绩单[[#This Row],[化学]]))+1)</f>
        <v>129</v>
      </c>
      <c r="U449" s="29" cm="1">
        <f t="array" ref="U449">IF(表成绩单[[#This Row],[政治]]="","",SUMPRODUCT((表成绩单[考试日期]=表成绩单[[#This Row],[考试日期]])*(表成绩单[政治]&lt;9E+307)*(表成绩单[政治]&gt;表成绩单[[#This Row],[政治]]))+1)</f>
        <v>363</v>
      </c>
      <c r="V449" s="29" cm="1">
        <f t="array" ref="V449">IF(表成绩单[[#This Row],[历史]]="","",SUMPRODUCT((表成绩单[考试日期]=表成绩单[[#This Row],[考试日期]])*(表成绩单[历史]&lt;9E+307)*(表成绩单[历史]&gt;表成绩单[[#This Row],[历史]]))+1)</f>
        <v>358</v>
      </c>
      <c r="W449" s="29" cm="1">
        <f t="array" ref="W449">IF(表成绩单[[#This Row],[总分]]="","",SUMPRODUCT((表成绩单[考试日期]=表成绩单[[#This Row],[考试日期]])*(表成绩单[总分]&lt;9E+307)*(表成绩单[总分]&gt;表成绩单[[#This Row],[总分]]))+1)</f>
        <v>445</v>
      </c>
    </row>
    <row r="450" ht="28" customHeight="1" spans="4:23">
      <c r="D450" s="31">
        <v>45975</v>
      </c>
      <c r="E450" s="29">
        <v>19171091</v>
      </c>
      <c r="F450" s="29" t="s">
        <v>67</v>
      </c>
      <c r="G450" s="29" t="s">
        <v>523</v>
      </c>
      <c r="H450" s="29">
        <v>108</v>
      </c>
      <c r="I450" s="29">
        <v>90</v>
      </c>
      <c r="J450" s="29">
        <v>73</v>
      </c>
      <c r="K450" s="29">
        <v>78</v>
      </c>
      <c r="L450" s="29">
        <v>62</v>
      </c>
      <c r="M450" s="29">
        <v>73</v>
      </c>
      <c r="N450" s="29">
        <v>79</v>
      </c>
      <c r="O450" s="32">
        <v>563</v>
      </c>
      <c r="P450" s="29" cm="1">
        <f t="array" ref="P450">IF(表成绩单[[#This Row],[语文]]="","",SUMPRODUCT((表成绩单[考试日期]=表成绩单[[#This Row],[考试日期]])*(表成绩单[语文]&lt;9E+307)*(表成绩单[语文]&gt;表成绩单[[#This Row],[语文]]))+1)</f>
        <v>27</v>
      </c>
      <c r="Q450" s="29" cm="1">
        <f t="array" ref="Q450">IF(表成绩单[[#This Row],[数学]]="","",SUMPRODUCT((表成绩单[考试日期]=表成绩单[[#This Row],[考试日期]])*(表成绩单[数学]&lt;9E+307)*(表成绩单[数学]&gt;表成绩单[[#This Row],[数学]]))+1)</f>
        <v>506</v>
      </c>
      <c r="R450" s="29" cm="1">
        <f t="array" ref="R450">IF(表成绩单[[#This Row],[英语]]="","",SUMPRODUCT((表成绩单[考试日期]=表成绩单[[#This Row],[考试日期]])*(表成绩单[英语]&lt;9E+307)*(表成绩单[英语]&gt;表成绩单[[#This Row],[英语]]))+1)</f>
        <v>485</v>
      </c>
      <c r="S450" s="29" cm="1">
        <f t="array" ref="S450">IF(表成绩单[[#This Row],[物理]]="","",SUMPRODUCT((表成绩单[考试日期]=表成绩单[[#This Row],[考试日期]])*(表成绩单[物理]&lt;9E+307)*(表成绩单[物理]&gt;表成绩单[[#This Row],[物理]]))+1)</f>
        <v>554</v>
      </c>
      <c r="T450" s="29" cm="1">
        <f t="array" ref="T450">IF(表成绩单[[#This Row],[化学]]="","",SUMPRODUCT((表成绩单[考试日期]=表成绩单[[#This Row],[考试日期]])*(表成绩单[化学]&lt;9E+307)*(表成绩单[化学]&gt;表成绩单[[#This Row],[化学]]))+1)</f>
        <v>605</v>
      </c>
      <c r="U450" s="29" cm="1">
        <f t="array" ref="U450">IF(表成绩单[[#This Row],[政治]]="","",SUMPRODUCT((表成绩单[考试日期]=表成绩单[[#This Row],[考试日期]])*(表成绩单[政治]&lt;9E+307)*(表成绩单[政治]&gt;表成绩单[[#This Row],[政治]]))+1)</f>
        <v>418</v>
      </c>
      <c r="V450" s="29" cm="1">
        <f t="array" ref="V450">IF(表成绩单[[#This Row],[历史]]="","",SUMPRODUCT((表成绩单[考试日期]=表成绩单[[#This Row],[考试日期]])*(表成绩单[历史]&lt;9E+307)*(表成绩单[历史]&gt;表成绩单[[#This Row],[历史]]))+1)</f>
        <v>144</v>
      </c>
      <c r="W450" s="29" cm="1">
        <f t="array" ref="W450">IF(表成绩单[[#This Row],[总分]]="","",SUMPRODUCT((表成绩单[考试日期]=表成绩单[[#This Row],[考试日期]])*(表成绩单[总分]&lt;9E+307)*(表成绩单[总分]&gt;表成绩单[[#This Row],[总分]]))+1)</f>
        <v>446</v>
      </c>
    </row>
    <row r="451" ht="28" customHeight="1" spans="4:23">
      <c r="D451" s="31">
        <v>45975</v>
      </c>
      <c r="E451" s="29">
        <v>19173241</v>
      </c>
      <c r="F451" s="29" t="s">
        <v>61</v>
      </c>
      <c r="G451" s="29" t="s">
        <v>524</v>
      </c>
      <c r="H451" s="29">
        <v>106</v>
      </c>
      <c r="I451" s="29">
        <v>99</v>
      </c>
      <c r="J451" s="29">
        <v>72</v>
      </c>
      <c r="K451" s="29">
        <v>68</v>
      </c>
      <c r="L451" s="29">
        <v>62</v>
      </c>
      <c r="M451" s="29">
        <v>81</v>
      </c>
      <c r="N451" s="29">
        <v>75</v>
      </c>
      <c r="O451" s="32">
        <v>563</v>
      </c>
      <c r="P451" s="29" cm="1">
        <f t="array" ref="P451">IF(表成绩单[[#This Row],[语文]]="","",SUMPRODUCT((表成绩单[考试日期]=表成绩单[[#This Row],[考试日期]])*(表成绩单[语文]&lt;9E+307)*(表成绩单[语文]&gt;表成绩单[[#This Row],[语文]]))+1)</f>
        <v>62</v>
      </c>
      <c r="Q451" s="29" cm="1">
        <f t="array" ref="Q451">IF(表成绩单[[#This Row],[数学]]="","",SUMPRODUCT((表成绩单[考试日期]=表成绩单[[#This Row],[考试日期]])*(表成绩单[数学]&lt;9E+307)*(表成绩单[数学]&gt;表成绩单[[#This Row],[数学]]))+1)</f>
        <v>361</v>
      </c>
      <c r="R451" s="29" cm="1">
        <f t="array" ref="R451">IF(表成绩单[[#This Row],[英语]]="","",SUMPRODUCT((表成绩单[考试日期]=表成绩单[[#This Row],[考试日期]])*(表成绩单[英语]&lt;9E+307)*(表成绩单[英语]&gt;表成绩单[[#This Row],[英语]]))+1)</f>
        <v>507</v>
      </c>
      <c r="S451" s="29" cm="1">
        <f t="array" ref="S451">IF(表成绩单[[#This Row],[物理]]="","",SUMPRODUCT((表成绩单[考试日期]=表成绩单[[#This Row],[考试日期]])*(表成绩单[物理]&lt;9E+307)*(表成绩单[物理]&gt;表成绩单[[#This Row],[物理]]))+1)</f>
        <v>667</v>
      </c>
      <c r="T451" s="29" cm="1">
        <f t="array" ref="T451">IF(表成绩单[[#This Row],[化学]]="","",SUMPRODUCT((表成绩单[考试日期]=表成绩单[[#This Row],[考试日期]])*(表成绩单[化学]&lt;9E+307)*(表成绩单[化学]&gt;表成绩单[[#This Row],[化学]]))+1)</f>
        <v>605</v>
      </c>
      <c r="U451" s="29" cm="1">
        <f t="array" ref="U451">IF(表成绩单[[#This Row],[政治]]="","",SUMPRODUCT((表成绩单[考试日期]=表成绩单[[#This Row],[考试日期]])*(表成绩单[政治]&lt;9E+307)*(表成绩单[政治]&gt;表成绩单[[#This Row],[政治]]))+1)</f>
        <v>180</v>
      </c>
      <c r="V451" s="29" cm="1">
        <f t="array" ref="V451">IF(表成绩单[[#This Row],[历史]]="","",SUMPRODUCT((表成绩单[考试日期]=表成绩单[[#This Row],[考试日期]])*(表成绩单[历史]&lt;9E+307)*(表成绩单[历史]&gt;表成绩单[[#This Row],[历史]]))+1)</f>
        <v>315</v>
      </c>
      <c r="W451" s="29" cm="1">
        <f t="array" ref="W451">IF(表成绩单[[#This Row],[总分]]="","",SUMPRODUCT((表成绩单[考试日期]=表成绩单[[#This Row],[考试日期]])*(表成绩单[总分]&lt;9E+307)*(表成绩单[总分]&gt;表成绩单[[#This Row],[总分]]))+1)</f>
        <v>446</v>
      </c>
    </row>
    <row r="452" ht="28" customHeight="1" spans="4:23">
      <c r="D452" s="31">
        <v>45975</v>
      </c>
      <c r="E452" s="29">
        <v>19175658</v>
      </c>
      <c r="F452" s="29" t="s">
        <v>66</v>
      </c>
      <c r="G452" s="29" t="s">
        <v>525</v>
      </c>
      <c r="H452" s="29">
        <v>96</v>
      </c>
      <c r="I452" s="29">
        <v>92</v>
      </c>
      <c r="J452" s="29">
        <v>80</v>
      </c>
      <c r="K452" s="29">
        <v>86</v>
      </c>
      <c r="L452" s="29">
        <v>67</v>
      </c>
      <c r="M452" s="29">
        <v>63</v>
      </c>
      <c r="N452" s="29">
        <v>79</v>
      </c>
      <c r="O452" s="32">
        <v>563</v>
      </c>
      <c r="P452" s="29" cm="1">
        <f t="array" ref="P452">IF(表成绩单[[#This Row],[语文]]="","",SUMPRODUCT((表成绩单[考试日期]=表成绩单[[#This Row],[考试日期]])*(表成绩单[语文]&lt;9E+307)*(表成绩单[语文]&gt;表成绩单[[#This Row],[语文]]))+1)</f>
        <v>387</v>
      </c>
      <c r="Q452" s="29" cm="1">
        <f t="array" ref="Q452">IF(表成绩单[[#This Row],[数学]]="","",SUMPRODUCT((表成绩单[考试日期]=表成绩单[[#This Row],[考试日期]])*(表成绩单[数学]&lt;9E+307)*(表成绩单[数学]&gt;表成绩单[[#This Row],[数学]]))+1)</f>
        <v>480</v>
      </c>
      <c r="R452" s="29" cm="1">
        <f t="array" ref="R452">IF(表成绩单[[#This Row],[英语]]="","",SUMPRODUCT((表成绩单[考试日期]=表成绩单[[#This Row],[考试日期]])*(表成绩单[英语]&lt;9E+307)*(表成绩单[英语]&gt;表成绩单[[#This Row],[英语]]))+1)</f>
        <v>268</v>
      </c>
      <c r="S452" s="29" cm="1">
        <f t="array" ref="S452">IF(表成绩单[[#This Row],[物理]]="","",SUMPRODUCT((表成绩单[考试日期]=表成绩单[[#This Row],[考试日期]])*(表成绩单[物理]&lt;9E+307)*(表成绩单[物理]&gt;表成绩单[[#This Row],[物理]]))+1)</f>
        <v>187</v>
      </c>
      <c r="T452" s="29" cm="1">
        <f t="array" ref="T452">IF(表成绩单[[#This Row],[化学]]="","",SUMPRODUCT((表成绩单[考试日期]=表成绩单[[#This Row],[考试日期]])*(表成绩单[化学]&lt;9E+307)*(表成绩单[化学]&gt;表成绩单[[#This Row],[化学]]))+1)</f>
        <v>524</v>
      </c>
      <c r="U452" s="29" cm="1">
        <f t="array" ref="U452">IF(表成绩单[[#This Row],[政治]]="","",SUMPRODUCT((表成绩单[考试日期]=表成绩单[[#This Row],[考试日期]])*(表成绩单[政治]&lt;9E+307)*(表成绩单[政治]&gt;表成绩单[[#This Row],[政治]]))+1)</f>
        <v>618</v>
      </c>
      <c r="V452" s="29" cm="1">
        <f t="array" ref="V452">IF(表成绩单[[#This Row],[历史]]="","",SUMPRODUCT((表成绩单[考试日期]=表成绩单[[#This Row],[考试日期]])*(表成绩单[历史]&lt;9E+307)*(表成绩单[历史]&gt;表成绩单[[#This Row],[历史]]))+1)</f>
        <v>144</v>
      </c>
      <c r="W452" s="29" cm="1">
        <f t="array" ref="W452">IF(表成绩单[[#This Row],[总分]]="","",SUMPRODUCT((表成绩单[考试日期]=表成绩单[[#This Row],[考试日期]])*(表成绩单[总分]&lt;9E+307)*(表成绩单[总分]&gt;表成绩单[[#This Row],[总分]]))+1)</f>
        <v>446</v>
      </c>
    </row>
    <row r="453" ht="28" customHeight="1" spans="4:23">
      <c r="D453" s="31">
        <v>45975</v>
      </c>
      <c r="E453" s="29">
        <v>19174771</v>
      </c>
      <c r="F453" s="29" t="s">
        <v>69</v>
      </c>
      <c r="G453" s="29" t="s">
        <v>526</v>
      </c>
      <c r="H453" s="29">
        <v>86</v>
      </c>
      <c r="I453" s="29">
        <v>89</v>
      </c>
      <c r="J453" s="29">
        <v>77.5</v>
      </c>
      <c r="K453" s="29">
        <v>83</v>
      </c>
      <c r="L453" s="29">
        <v>80</v>
      </c>
      <c r="M453" s="29">
        <v>74</v>
      </c>
      <c r="N453" s="29">
        <v>73</v>
      </c>
      <c r="O453" s="32">
        <v>562.5</v>
      </c>
      <c r="P453" s="29" cm="1">
        <f t="array" ref="P453">IF(表成绩单[[#This Row],[语文]]="","",SUMPRODUCT((表成绩单[考试日期]=表成绩单[[#This Row],[考试日期]])*(表成绩单[语文]&lt;9E+307)*(表成绩单[语文]&gt;表成绩单[[#This Row],[语文]]))+1)</f>
        <v>635</v>
      </c>
      <c r="Q453" s="29" cm="1">
        <f t="array" ref="Q453">IF(表成绩单[[#This Row],[数学]]="","",SUMPRODUCT((表成绩单[考试日期]=表成绩单[[#This Row],[考试日期]])*(表成绩单[数学]&lt;9E+307)*(表成绩单[数学]&gt;表成绩单[[#This Row],[数学]]))+1)</f>
        <v>518</v>
      </c>
      <c r="R453" s="29" cm="1">
        <f t="array" ref="R453">IF(表成绩单[[#This Row],[英语]]="","",SUMPRODUCT((表成绩单[考试日期]=表成绩单[[#This Row],[考试日期]])*(表成绩单[英语]&lt;9E+307)*(表成绩单[英语]&gt;表成绩单[[#This Row],[英语]]))+1)</f>
        <v>345</v>
      </c>
      <c r="S453" s="29" cm="1">
        <f t="array" ref="S453">IF(表成绩单[[#This Row],[物理]]="","",SUMPRODUCT((表成绩单[考试日期]=表成绩单[[#This Row],[考试日期]])*(表成绩单[物理]&lt;9E+307)*(表成绩单[物理]&gt;表成绩单[[#This Row],[物理]]))+1)</f>
        <v>390</v>
      </c>
      <c r="T453" s="29" cm="1">
        <f t="array" ref="T453">IF(表成绩单[[#This Row],[化学]]="","",SUMPRODUCT((表成绩单[考试日期]=表成绩单[[#This Row],[考试日期]])*(表成绩单[化学]&lt;9E+307)*(表成绩单[化学]&gt;表成绩单[[#This Row],[化学]]))+1)</f>
        <v>129</v>
      </c>
      <c r="U453" s="29" cm="1">
        <f t="array" ref="U453">IF(表成绩单[[#This Row],[政治]]="","",SUMPRODUCT((表成绩单[考试日期]=表成绩单[[#This Row],[考试日期]])*(表成绩单[政治]&lt;9E+307)*(表成绩单[政治]&gt;表成绩单[[#This Row],[政治]]))+1)</f>
        <v>389</v>
      </c>
      <c r="V453" s="29" cm="1">
        <f t="array" ref="V453">IF(表成绩单[[#This Row],[历史]]="","",SUMPRODUCT((表成绩单[考试日期]=表成绩单[[#This Row],[考试日期]])*(表成绩单[历史]&lt;9E+307)*(表成绩单[历史]&gt;表成绩单[[#This Row],[历史]]))+1)</f>
        <v>395</v>
      </c>
      <c r="W453" s="29" cm="1">
        <f t="array" ref="W453">IF(表成绩单[[#This Row],[总分]]="","",SUMPRODUCT((表成绩单[考试日期]=表成绩单[[#This Row],[考试日期]])*(表成绩单[总分]&lt;9E+307)*(表成绩单[总分]&gt;表成绩单[[#This Row],[总分]]))+1)</f>
        <v>449</v>
      </c>
    </row>
    <row r="454" ht="28" customHeight="1" spans="4:23">
      <c r="D454" s="31">
        <v>45975</v>
      </c>
      <c r="E454" s="29">
        <v>19177216</v>
      </c>
      <c r="F454" s="29" t="s">
        <v>70</v>
      </c>
      <c r="G454" s="29" t="s">
        <v>527</v>
      </c>
      <c r="H454" s="29">
        <v>94</v>
      </c>
      <c r="I454" s="29">
        <v>93</v>
      </c>
      <c r="J454" s="29">
        <v>73.5</v>
      </c>
      <c r="K454" s="29">
        <v>82</v>
      </c>
      <c r="L454" s="29">
        <v>76</v>
      </c>
      <c r="M454" s="29">
        <v>77</v>
      </c>
      <c r="N454" s="29">
        <v>67</v>
      </c>
      <c r="O454" s="32">
        <v>562.5</v>
      </c>
      <c r="P454" s="29" cm="1">
        <f t="array" ref="P454">IF(表成绩单[[#This Row],[语文]]="","",SUMPRODUCT((表成绩单[考试日期]=表成绩单[[#This Row],[考试日期]])*(表成绩单[语文]&lt;9E+307)*(表成绩单[语文]&gt;表成绩单[[#This Row],[语文]]))+1)</f>
        <v>452</v>
      </c>
      <c r="Q454" s="29" cm="1">
        <f t="array" ref="Q454">IF(表成绩单[[#This Row],[数学]]="","",SUMPRODUCT((表成绩单[考试日期]=表成绩单[[#This Row],[考试日期]])*(表成绩单[数学]&lt;9E+307)*(表成绩单[数学]&gt;表成绩单[[#This Row],[数学]]))+1)</f>
        <v>469</v>
      </c>
      <c r="R454" s="29" cm="1">
        <f t="array" ref="R454">IF(表成绩单[[#This Row],[英语]]="","",SUMPRODUCT((表成绩单[考试日期]=表成绩单[[#This Row],[考试日期]])*(表成绩单[英语]&lt;9E+307)*(表成绩单[英语]&gt;表成绩单[[#This Row],[英语]]))+1)</f>
        <v>470</v>
      </c>
      <c r="S454" s="29" cm="1">
        <f t="array" ref="S454">IF(表成绩单[[#This Row],[物理]]="","",SUMPRODUCT((表成绩单[考试日期]=表成绩单[[#This Row],[考试日期]])*(表成绩单[物理]&lt;9E+307)*(表成绩单[物理]&gt;表成绩单[[#This Row],[物理]]))+1)</f>
        <v>433</v>
      </c>
      <c r="T454" s="29" cm="1">
        <f t="array" ref="T454">IF(表成绩单[[#This Row],[化学]]="","",SUMPRODUCT((表成绩单[考试日期]=表成绩单[[#This Row],[考试日期]])*(表成绩单[化学]&lt;9E+307)*(表成绩单[化学]&gt;表成绩单[[#This Row],[化学]]))+1)</f>
        <v>268</v>
      </c>
      <c r="U454" s="29" cm="1">
        <f t="array" ref="U454">IF(表成绩单[[#This Row],[政治]]="","",SUMPRODUCT((表成绩单[考试日期]=表成绩单[[#This Row],[考试日期]])*(表成绩单[政治]&lt;9E+307)*(表成绩单[政治]&gt;表成绩单[[#This Row],[政治]]))+1)</f>
        <v>304</v>
      </c>
      <c r="V454" s="29" cm="1">
        <f t="array" ref="V454">IF(表成绩单[[#This Row],[历史]]="","",SUMPRODUCT((表成绩单[考试日期]=表成绩单[[#This Row],[考试日期]])*(表成绩单[历史]&lt;9E+307)*(表成绩单[历史]&gt;表成绩单[[#This Row],[历史]]))+1)</f>
        <v>597</v>
      </c>
      <c r="W454" s="29" cm="1">
        <f t="array" ref="W454">IF(表成绩单[[#This Row],[总分]]="","",SUMPRODUCT((表成绩单[考试日期]=表成绩单[[#This Row],[考试日期]])*(表成绩单[总分]&lt;9E+307)*(表成绩单[总分]&gt;表成绩单[[#This Row],[总分]]))+1)</f>
        <v>449</v>
      </c>
    </row>
    <row r="455" ht="28" customHeight="1" spans="4:23">
      <c r="D455" s="31">
        <v>45975</v>
      </c>
      <c r="E455" s="29">
        <v>19177677</v>
      </c>
      <c r="F455" s="29" t="s">
        <v>63</v>
      </c>
      <c r="G455" s="29" t="s">
        <v>528</v>
      </c>
      <c r="H455" s="29">
        <v>93</v>
      </c>
      <c r="I455" s="29">
        <v>95</v>
      </c>
      <c r="J455" s="29">
        <v>69.5</v>
      </c>
      <c r="K455" s="29">
        <v>83</v>
      </c>
      <c r="L455" s="29">
        <v>68</v>
      </c>
      <c r="M455" s="29">
        <v>74</v>
      </c>
      <c r="N455" s="29">
        <v>80</v>
      </c>
      <c r="O455" s="32">
        <v>562.5</v>
      </c>
      <c r="P455" s="29" cm="1">
        <f t="array" ref="P455">IF(表成绩单[[#This Row],[语文]]="","",SUMPRODUCT((表成绩单[考试日期]=表成绩单[[#This Row],[考试日期]])*(表成绩单[语文]&lt;9E+307)*(表成绩单[语文]&gt;表成绩单[[#This Row],[语文]]))+1)</f>
        <v>489</v>
      </c>
      <c r="Q455" s="29" cm="1">
        <f t="array" ref="Q455">IF(表成绩单[[#This Row],[数学]]="","",SUMPRODUCT((表成绩单[考试日期]=表成绩单[[#This Row],[考试日期]])*(表成绩单[数学]&lt;9E+307)*(表成绩单[数学]&gt;表成绩单[[#This Row],[数学]]))+1)</f>
        <v>430</v>
      </c>
      <c r="R455" s="29" cm="1">
        <f t="array" ref="R455">IF(表成绩单[[#This Row],[英语]]="","",SUMPRODUCT((表成绩单[考试日期]=表成绩单[[#This Row],[考试日期]])*(表成绩单[英语]&lt;9E+307)*(表成绩单[英语]&gt;表成绩单[[#This Row],[英语]]))+1)</f>
        <v>560</v>
      </c>
      <c r="S455" s="29" cm="1">
        <f t="array" ref="S455">IF(表成绩单[[#This Row],[物理]]="","",SUMPRODUCT((表成绩单[考试日期]=表成绩单[[#This Row],[考试日期]])*(表成绩单[物理]&lt;9E+307)*(表成绩单[物理]&gt;表成绩单[[#This Row],[物理]]))+1)</f>
        <v>390</v>
      </c>
      <c r="T455" s="29" cm="1">
        <f t="array" ref="T455">IF(表成绩单[[#This Row],[化学]]="","",SUMPRODUCT((表成绩单[考试日期]=表成绩单[[#This Row],[考试日期]])*(表成绩单[化学]&lt;9E+307)*(表成绩单[化学]&gt;表成绩单[[#This Row],[化学]]))+1)</f>
        <v>506</v>
      </c>
      <c r="U455" s="29" cm="1">
        <f t="array" ref="U455">IF(表成绩单[[#This Row],[政治]]="","",SUMPRODUCT((表成绩单[考试日期]=表成绩单[[#This Row],[考试日期]])*(表成绩单[政治]&lt;9E+307)*(表成绩单[政治]&gt;表成绩单[[#This Row],[政治]]))+1)</f>
        <v>389</v>
      </c>
      <c r="V455" s="29" cm="1">
        <f t="array" ref="V455">IF(表成绩单[[#This Row],[历史]]="","",SUMPRODUCT((表成绩单[考试日期]=表成绩单[[#This Row],[考试日期]])*(表成绩单[历史]&lt;9E+307)*(表成绩单[历史]&gt;表成绩单[[#This Row],[历史]]))+1)</f>
        <v>108</v>
      </c>
      <c r="W455" s="29" cm="1">
        <f t="array" ref="W455">IF(表成绩单[[#This Row],[总分]]="","",SUMPRODUCT((表成绩单[考试日期]=表成绩单[[#This Row],[考试日期]])*(表成绩单[总分]&lt;9E+307)*(表成绩单[总分]&gt;表成绩单[[#This Row],[总分]]))+1)</f>
        <v>449</v>
      </c>
    </row>
    <row r="456" ht="28" customHeight="1" spans="4:23">
      <c r="D456" s="31">
        <v>45975</v>
      </c>
      <c r="E456" s="29">
        <v>19178605</v>
      </c>
      <c r="F456" s="29" t="s">
        <v>64</v>
      </c>
      <c r="G456" s="29" t="s">
        <v>529</v>
      </c>
      <c r="H456" s="29">
        <v>98</v>
      </c>
      <c r="I456" s="29">
        <v>93</v>
      </c>
      <c r="J456" s="29">
        <v>72.5</v>
      </c>
      <c r="K456" s="29">
        <v>72</v>
      </c>
      <c r="L456" s="29">
        <v>70</v>
      </c>
      <c r="M456" s="29">
        <v>87</v>
      </c>
      <c r="N456" s="29">
        <v>70</v>
      </c>
      <c r="O456" s="32">
        <v>562.5</v>
      </c>
      <c r="P456" s="29" cm="1">
        <f t="array" ref="P456">IF(表成绩单[[#This Row],[语文]]="","",SUMPRODUCT((表成绩单[考试日期]=表成绩单[[#This Row],[考试日期]])*(表成绩单[语文]&lt;9E+307)*(表成绩单[语文]&gt;表成绩单[[#This Row],[语文]]))+1)</f>
        <v>305</v>
      </c>
      <c r="Q456" s="29" cm="1">
        <f t="array" ref="Q456">IF(表成绩单[[#This Row],[数学]]="","",SUMPRODUCT((表成绩单[考试日期]=表成绩单[[#This Row],[考试日期]])*(表成绩单[数学]&lt;9E+307)*(表成绩单[数学]&gt;表成绩单[[#This Row],[数学]]))+1)</f>
        <v>469</v>
      </c>
      <c r="R456" s="29" cm="1">
        <f t="array" ref="R456">IF(表成绩单[[#This Row],[英语]]="","",SUMPRODUCT((表成绩单[考试日期]=表成绩单[[#This Row],[考试日期]])*(表成绩单[英语]&lt;9E+307)*(表成绩单[英语]&gt;表成绩单[[#This Row],[英语]]))+1)</f>
        <v>498</v>
      </c>
      <c r="S456" s="29" cm="1">
        <f t="array" ref="S456">IF(表成绩单[[#This Row],[物理]]="","",SUMPRODUCT((表成绩单[考试日期]=表成绩单[[#This Row],[考试日期]])*(表成绩单[物理]&lt;9E+307)*(表成绩单[物理]&gt;表成绩单[[#This Row],[物理]]))+1)</f>
        <v>633</v>
      </c>
      <c r="T456" s="29" cm="1">
        <f t="array" ref="T456">IF(表成绩单[[#This Row],[化学]]="","",SUMPRODUCT((表成绩单[考试日期]=表成绩单[[#This Row],[考试日期]])*(表成绩单[化学]&lt;9E+307)*(表成绩单[化学]&gt;表成绩单[[#This Row],[化学]]))+1)</f>
        <v>453</v>
      </c>
      <c r="U456" s="29" cm="1">
        <f t="array" ref="U456">IF(表成绩单[[#This Row],[政治]]="","",SUMPRODUCT((表成绩单[考试日期]=表成绩单[[#This Row],[考试日期]])*(表成绩单[政治]&lt;9E+307)*(表成绩单[政治]&gt;表成绩单[[#This Row],[政治]]))+1)</f>
        <v>13</v>
      </c>
      <c r="V456" s="29" cm="1">
        <f t="array" ref="V456">IF(表成绩单[[#This Row],[历史]]="","",SUMPRODUCT((表成绩单[考试日期]=表成绩单[[#This Row],[考试日期]])*(表成绩单[历史]&lt;9E+307)*(表成绩单[历史]&gt;表成绩单[[#This Row],[历史]]))+1)</f>
        <v>505</v>
      </c>
      <c r="W456" s="29" cm="1">
        <f t="array" ref="W456">IF(表成绩单[[#This Row],[总分]]="","",SUMPRODUCT((表成绩单[考试日期]=表成绩单[[#This Row],[考试日期]])*(表成绩单[总分]&lt;9E+307)*(表成绩单[总分]&gt;表成绩单[[#This Row],[总分]]))+1)</f>
        <v>449</v>
      </c>
    </row>
    <row r="457" ht="28" customHeight="1" spans="4:23">
      <c r="D457" s="31">
        <v>45975</v>
      </c>
      <c r="E457" s="29">
        <v>19173243</v>
      </c>
      <c r="F457" s="29" t="s">
        <v>61</v>
      </c>
      <c r="G457" s="29" t="s">
        <v>530</v>
      </c>
      <c r="H457" s="29">
        <v>98</v>
      </c>
      <c r="I457" s="29">
        <v>83</v>
      </c>
      <c r="J457" s="29">
        <v>74</v>
      </c>
      <c r="K457" s="29">
        <v>84</v>
      </c>
      <c r="L457" s="29">
        <v>76</v>
      </c>
      <c r="M457" s="29">
        <v>72</v>
      </c>
      <c r="N457" s="29">
        <v>75</v>
      </c>
      <c r="O457" s="32">
        <v>562</v>
      </c>
      <c r="P457" s="29" cm="1">
        <f t="array" ref="P457">IF(表成绩单[[#This Row],[语文]]="","",SUMPRODUCT((表成绩单[考试日期]=表成绩单[[#This Row],[考试日期]])*(表成绩单[语文]&lt;9E+307)*(表成绩单[语文]&gt;表成绩单[[#This Row],[语文]]))+1)</f>
        <v>305</v>
      </c>
      <c r="Q457" s="29" cm="1">
        <f t="array" ref="Q457">IF(表成绩单[[#This Row],[数学]]="","",SUMPRODUCT((表成绩单[考试日期]=表成绩单[[#This Row],[考试日期]])*(表成绩单[数学]&lt;9E+307)*(表成绩单[数学]&gt;表成绩单[[#This Row],[数学]]))+1)</f>
        <v>592</v>
      </c>
      <c r="R457" s="29" cm="1">
        <f t="array" ref="R457">IF(表成绩单[[#This Row],[英语]]="","",SUMPRODUCT((表成绩单[考试日期]=表成绩单[[#This Row],[考试日期]])*(表成绩单[英语]&lt;9E+307)*(表成绩单[英语]&gt;表成绩单[[#This Row],[英语]]))+1)</f>
        <v>454</v>
      </c>
      <c r="S457" s="29" cm="1">
        <f t="array" ref="S457">IF(表成绩单[[#This Row],[物理]]="","",SUMPRODUCT((表成绩单[考试日期]=表成绩单[[#This Row],[考试日期]])*(表成绩单[物理]&lt;9E+307)*(表成绩单[物理]&gt;表成绩单[[#This Row],[物理]]))+1)</f>
        <v>344</v>
      </c>
      <c r="T457" s="29" cm="1">
        <f t="array" ref="T457">IF(表成绩单[[#This Row],[化学]]="","",SUMPRODUCT((表成绩单[考试日期]=表成绩单[[#This Row],[考试日期]])*(表成绩单[化学]&lt;9E+307)*(表成绩单[化学]&gt;表成绩单[[#This Row],[化学]]))+1)</f>
        <v>268</v>
      </c>
      <c r="U457" s="29" cm="1">
        <f t="array" ref="U457">IF(表成绩单[[#This Row],[政治]]="","",SUMPRODUCT((表成绩单[考试日期]=表成绩单[[#This Row],[考试日期]])*(表成绩单[政治]&lt;9E+307)*(表成绩单[政治]&gt;表成绩单[[#This Row],[政治]]))+1)</f>
        <v>448</v>
      </c>
      <c r="V457" s="29" cm="1">
        <f t="array" ref="V457">IF(表成绩单[[#This Row],[历史]]="","",SUMPRODUCT((表成绩单[考试日期]=表成绩单[[#This Row],[考试日期]])*(表成绩单[历史]&lt;9E+307)*(表成绩单[历史]&gt;表成绩单[[#This Row],[历史]]))+1)</f>
        <v>315</v>
      </c>
      <c r="W457" s="29" cm="1">
        <f t="array" ref="W457">IF(表成绩单[[#This Row],[总分]]="","",SUMPRODUCT((表成绩单[考试日期]=表成绩单[[#This Row],[考试日期]])*(表成绩单[总分]&lt;9E+307)*(表成绩单[总分]&gt;表成绩单[[#This Row],[总分]]))+1)</f>
        <v>453</v>
      </c>
    </row>
    <row r="458" ht="28" customHeight="1" spans="4:23">
      <c r="D458" s="31">
        <v>45975</v>
      </c>
      <c r="E458" s="29">
        <v>19173255</v>
      </c>
      <c r="F458" s="29" t="s">
        <v>61</v>
      </c>
      <c r="G458" s="29" t="s">
        <v>531</v>
      </c>
      <c r="H458" s="29">
        <v>102</v>
      </c>
      <c r="I458" s="29">
        <v>94</v>
      </c>
      <c r="J458" s="29">
        <v>75</v>
      </c>
      <c r="K458" s="29">
        <v>79</v>
      </c>
      <c r="L458" s="29">
        <v>72</v>
      </c>
      <c r="M458" s="29">
        <v>67</v>
      </c>
      <c r="N458" s="29">
        <v>73</v>
      </c>
      <c r="O458" s="32">
        <v>562</v>
      </c>
      <c r="P458" s="29" cm="1">
        <f t="array" ref="P458">IF(表成绩单[[#This Row],[语文]]="","",SUMPRODUCT((表成绩单[考试日期]=表成绩单[[#This Row],[考试日期]])*(表成绩单[语文]&lt;9E+307)*(表成绩单[语文]&gt;表成绩单[[#This Row],[语文]]))+1)</f>
        <v>154</v>
      </c>
      <c r="Q458" s="29" cm="1">
        <f t="array" ref="Q458">IF(表成绩单[[#This Row],[数学]]="","",SUMPRODUCT((表成绩单[考试日期]=表成绩单[[#This Row],[考试日期]])*(表成绩单[数学]&lt;9E+307)*(表成绩单[数学]&gt;表成绩单[[#This Row],[数学]]))+1)</f>
        <v>454</v>
      </c>
      <c r="R458" s="29" cm="1">
        <f t="array" ref="R458">IF(表成绩单[[#This Row],[英语]]="","",SUMPRODUCT((表成绩单[考试日期]=表成绩单[[#This Row],[考试日期]])*(表成绩单[英语]&lt;9E+307)*(表成绩单[英语]&gt;表成绩单[[#This Row],[英语]]))+1)</f>
        <v>430</v>
      </c>
      <c r="S458" s="29" cm="1">
        <f t="array" ref="S458">IF(表成绩单[[#This Row],[物理]]="","",SUMPRODUCT((表成绩单[考试日期]=表成绩单[[#This Row],[考试日期]])*(表成绩单[物理]&lt;9E+307)*(表成绩单[物理]&gt;表成绩单[[#This Row],[物理]]))+1)</f>
        <v>534</v>
      </c>
      <c r="T458" s="29" cm="1">
        <f t="array" ref="T458">IF(表成绩单[[#This Row],[化学]]="","",SUMPRODUCT((表成绩单[考试日期]=表成绩单[[#This Row],[考试日期]])*(表成绩单[化学]&lt;9E+307)*(表成绩单[化学]&gt;表成绩单[[#This Row],[化学]]))+1)</f>
        <v>405</v>
      </c>
      <c r="U458" s="29" cm="1">
        <f t="array" ref="U458">IF(表成绩单[[#This Row],[政治]]="","",SUMPRODUCT((表成绩单[考试日期]=表成绩单[[#This Row],[考试日期]])*(表成绩单[政治]&lt;9E+307)*(表成绩单[政治]&gt;表成绩单[[#This Row],[政治]]))+1)</f>
        <v>543</v>
      </c>
      <c r="V458" s="29" cm="1">
        <f t="array" ref="V458">IF(表成绩单[[#This Row],[历史]]="","",SUMPRODUCT((表成绩单[考试日期]=表成绩单[[#This Row],[考试日期]])*(表成绩单[历史]&lt;9E+307)*(表成绩单[历史]&gt;表成绩单[[#This Row],[历史]]))+1)</f>
        <v>395</v>
      </c>
      <c r="W458" s="29" cm="1">
        <f t="array" ref="W458">IF(表成绩单[[#This Row],[总分]]="","",SUMPRODUCT((表成绩单[考试日期]=表成绩单[[#This Row],[考试日期]])*(表成绩单[总分]&lt;9E+307)*(表成绩单[总分]&gt;表成绩单[[#This Row],[总分]]))+1)</f>
        <v>453</v>
      </c>
    </row>
    <row r="459" ht="28" customHeight="1" spans="4:23">
      <c r="D459" s="31">
        <v>45975</v>
      </c>
      <c r="E459" s="29">
        <v>19173269</v>
      </c>
      <c r="F459" s="29" t="s">
        <v>61</v>
      </c>
      <c r="G459" s="29" t="s">
        <v>532</v>
      </c>
      <c r="H459" s="29">
        <v>94</v>
      </c>
      <c r="I459" s="29">
        <v>89</v>
      </c>
      <c r="J459" s="29">
        <v>77</v>
      </c>
      <c r="K459" s="29">
        <v>83</v>
      </c>
      <c r="L459" s="29">
        <v>65</v>
      </c>
      <c r="M459" s="29">
        <v>72</v>
      </c>
      <c r="N459" s="29">
        <v>82</v>
      </c>
      <c r="O459" s="32">
        <v>562</v>
      </c>
      <c r="P459" s="29" cm="1">
        <f t="array" ref="P459">IF(表成绩单[[#This Row],[语文]]="","",SUMPRODUCT((表成绩单[考试日期]=表成绩单[[#This Row],[考试日期]])*(表成绩单[语文]&lt;9E+307)*(表成绩单[语文]&gt;表成绩单[[#This Row],[语文]]))+1)</f>
        <v>452</v>
      </c>
      <c r="Q459" s="29" cm="1">
        <f t="array" ref="Q459">IF(表成绩单[[#This Row],[数学]]="","",SUMPRODUCT((表成绩单[考试日期]=表成绩单[[#This Row],[考试日期]])*(表成绩单[数学]&lt;9E+307)*(表成绩单[数学]&gt;表成绩单[[#This Row],[数学]]))+1)</f>
        <v>518</v>
      </c>
      <c r="R459" s="29" cm="1">
        <f t="array" ref="R459">IF(表成绩单[[#This Row],[英语]]="","",SUMPRODUCT((表成绩单[考试日期]=表成绩单[[#This Row],[考试日期]])*(表成绩单[英语]&lt;9E+307)*(表成绩单[英语]&gt;表成绩单[[#This Row],[英语]]))+1)</f>
        <v>369</v>
      </c>
      <c r="S459" s="29" cm="1">
        <f t="array" ref="S459">IF(表成绩单[[#This Row],[物理]]="","",SUMPRODUCT((表成绩单[考试日期]=表成绩单[[#This Row],[考试日期]])*(表成绩单[物理]&lt;9E+307)*(表成绩单[物理]&gt;表成绩单[[#This Row],[物理]]))+1)</f>
        <v>390</v>
      </c>
      <c r="T459" s="29" cm="1">
        <f t="array" ref="T459">IF(表成绩单[[#This Row],[化学]]="","",SUMPRODUCT((表成绩单[考试日期]=表成绩单[[#This Row],[考试日期]])*(表成绩单[化学]&lt;9E+307)*(表成绩单[化学]&gt;表成绩单[[#This Row],[化学]]))+1)</f>
        <v>559</v>
      </c>
      <c r="U459" s="29" cm="1">
        <f t="array" ref="U459">IF(表成绩单[[#This Row],[政治]]="","",SUMPRODUCT((表成绩单[考试日期]=表成绩单[[#This Row],[考试日期]])*(表成绩单[政治]&lt;9E+307)*(表成绩单[政治]&gt;表成绩单[[#This Row],[政治]]))+1)</f>
        <v>448</v>
      </c>
      <c r="V459" s="29" cm="1">
        <f t="array" ref="V459">IF(表成绩单[[#This Row],[历史]]="","",SUMPRODUCT((表成绩单[考试日期]=表成绩单[[#This Row],[考试日期]])*(表成绩单[历史]&lt;9E+307)*(表成绩单[历史]&gt;表成绩单[[#This Row],[历史]]))+1)</f>
        <v>35</v>
      </c>
      <c r="W459" s="29" cm="1">
        <f t="array" ref="W459">IF(表成绩单[[#This Row],[总分]]="","",SUMPRODUCT((表成绩单[考试日期]=表成绩单[[#This Row],[考试日期]])*(表成绩单[总分]&lt;9E+307)*(表成绩单[总分]&gt;表成绩单[[#This Row],[总分]]))+1)</f>
        <v>453</v>
      </c>
    </row>
    <row r="460" ht="28" customHeight="1" spans="4:23">
      <c r="D460" s="31">
        <v>45975</v>
      </c>
      <c r="E460" s="29">
        <v>19178614</v>
      </c>
      <c r="F460" s="29" t="s">
        <v>25</v>
      </c>
      <c r="G460" s="29" t="s">
        <v>533</v>
      </c>
      <c r="H460" s="29">
        <v>101</v>
      </c>
      <c r="I460" s="29">
        <v>97</v>
      </c>
      <c r="J460" s="29">
        <v>78</v>
      </c>
      <c r="K460" s="29">
        <v>77</v>
      </c>
      <c r="L460" s="29">
        <v>67</v>
      </c>
      <c r="M460" s="29">
        <v>71</v>
      </c>
      <c r="N460" s="29">
        <v>71</v>
      </c>
      <c r="O460" s="32">
        <v>562</v>
      </c>
      <c r="P460" s="29" cm="1">
        <f t="array" ref="P460">IF(表成绩单[[#This Row],[语文]]="","",SUMPRODUCT((表成绩单[考试日期]=表成绩单[[#This Row],[考试日期]])*(表成绩单[语文]&lt;9E+307)*(表成绩单[语文]&gt;表成绩单[[#This Row],[语文]]))+1)</f>
        <v>190</v>
      </c>
      <c r="Q460" s="29" cm="1">
        <f t="array" ref="Q460">IF(表成绩单[[#This Row],[数学]]="","",SUMPRODUCT((表成绩单[考试日期]=表成绩单[[#This Row],[考试日期]])*(表成绩单[数学]&lt;9E+307)*(表成绩单[数学]&gt;表成绩单[[#This Row],[数学]]))+1)</f>
        <v>389</v>
      </c>
      <c r="R460" s="29" cm="1">
        <f t="array" ref="R460">IF(表成绩单[[#This Row],[英语]]="","",SUMPRODUCT((表成绩单[考试日期]=表成绩单[[#This Row],[考试日期]])*(表成绩单[英语]&lt;9E+307)*(表成绩单[英语]&gt;表成绩单[[#This Row],[英语]]))+1)</f>
        <v>330</v>
      </c>
      <c r="S460" s="29" cm="1">
        <f t="array" ref="S460">IF(表成绩单[[#This Row],[物理]]="","",SUMPRODUCT((表成绩单[考试日期]=表成绩单[[#This Row],[考试日期]])*(表成绩单[物理]&lt;9E+307)*(表成绩单[物理]&gt;表成绩单[[#This Row],[物理]]))+1)</f>
        <v>572</v>
      </c>
      <c r="T460" s="29" cm="1">
        <f t="array" ref="T460">IF(表成绩单[[#This Row],[化学]]="","",SUMPRODUCT((表成绩单[考试日期]=表成绩单[[#This Row],[考试日期]])*(表成绩单[化学]&lt;9E+307)*(表成绩单[化学]&gt;表成绩单[[#This Row],[化学]]))+1)</f>
        <v>524</v>
      </c>
      <c r="U460" s="29" cm="1">
        <f t="array" ref="U460">IF(表成绩单[[#This Row],[政治]]="","",SUMPRODUCT((表成绩单[考试日期]=表成绩单[[#This Row],[考试日期]])*(表成绩单[政治]&lt;9E+307)*(表成绩单[政治]&gt;表成绩单[[#This Row],[政治]]))+1)</f>
        <v>467</v>
      </c>
      <c r="V460" s="29" cm="1">
        <f t="array" ref="V460">IF(表成绩单[[#This Row],[历史]]="","",SUMPRODUCT((表成绩单[考试日期]=表成绩单[[#This Row],[考试日期]])*(表成绩单[历史]&lt;9E+307)*(表成绩单[历史]&gt;表成绩单[[#This Row],[历史]]))+1)</f>
        <v>480</v>
      </c>
      <c r="W460" s="29" cm="1">
        <f t="array" ref="W460">IF(表成绩单[[#This Row],[总分]]="","",SUMPRODUCT((表成绩单[考试日期]=表成绩单[[#This Row],[考试日期]])*(表成绩单[总分]&lt;9E+307)*(表成绩单[总分]&gt;表成绩单[[#This Row],[总分]]))+1)</f>
        <v>453</v>
      </c>
    </row>
    <row r="461" ht="28" customHeight="1" spans="4:23">
      <c r="D461" s="31">
        <v>45975</v>
      </c>
      <c r="E461" s="29">
        <v>19178589</v>
      </c>
      <c r="F461" s="29" t="s">
        <v>64</v>
      </c>
      <c r="G461" s="29" t="s">
        <v>534</v>
      </c>
      <c r="H461" s="29">
        <v>100</v>
      </c>
      <c r="I461" s="29">
        <v>95</v>
      </c>
      <c r="J461" s="29">
        <v>81.5</v>
      </c>
      <c r="K461" s="29">
        <v>80</v>
      </c>
      <c r="L461" s="29">
        <v>62</v>
      </c>
      <c r="M461" s="29">
        <v>70</v>
      </c>
      <c r="N461" s="29">
        <v>73</v>
      </c>
      <c r="O461" s="32">
        <v>561.5</v>
      </c>
      <c r="P461" s="29" cm="1">
        <f t="array" ref="P461">IF(表成绩单[[#This Row],[语文]]="","",SUMPRODUCT((表成绩单[考试日期]=表成绩单[[#This Row],[考试日期]])*(表成绩单[语文]&lt;9E+307)*(表成绩单[语文]&gt;表成绩单[[#This Row],[语文]]))+1)</f>
        <v>223</v>
      </c>
      <c r="Q461" s="29" cm="1">
        <f t="array" ref="Q461">IF(表成绩单[[#This Row],[数学]]="","",SUMPRODUCT((表成绩单[考试日期]=表成绩单[[#This Row],[考试日期]])*(表成绩单[数学]&lt;9E+307)*(表成绩单[数学]&gt;表成绩单[[#This Row],[数学]]))+1)</f>
        <v>430</v>
      </c>
      <c r="R461" s="29" cm="1">
        <f t="array" ref="R461">IF(表成绩单[[#This Row],[英语]]="","",SUMPRODUCT((表成绩单[考试日期]=表成绩单[[#This Row],[考试日期]])*(表成绩单[英语]&lt;9E+307)*(表成绩单[英语]&gt;表成绩单[[#This Row],[英语]]))+1)</f>
        <v>220</v>
      </c>
      <c r="S461" s="29" cm="1">
        <f t="array" ref="S461">IF(表成绩单[[#This Row],[物理]]="","",SUMPRODUCT((表成绩单[考试日期]=表成绩单[[#This Row],[考试日期]])*(表成绩单[物理]&lt;9E+307)*(表成绩单[物理]&gt;表成绩单[[#This Row],[物理]]))+1)</f>
        <v>507</v>
      </c>
      <c r="T461" s="29" cm="1">
        <f t="array" ref="T461">IF(表成绩单[[#This Row],[化学]]="","",SUMPRODUCT((表成绩单[考试日期]=表成绩单[[#This Row],[考试日期]])*(表成绩单[化学]&lt;9E+307)*(表成绩单[化学]&gt;表成绩单[[#This Row],[化学]]))+1)</f>
        <v>605</v>
      </c>
      <c r="U461" s="29" cm="1">
        <f t="array" ref="U461">IF(表成绩单[[#This Row],[政治]]="","",SUMPRODUCT((表成绩单[考试日期]=表成绩单[[#This Row],[考试日期]])*(表成绩单[政治]&lt;9E+307)*(表成绩单[政治]&gt;表成绩单[[#This Row],[政治]]))+1)</f>
        <v>493</v>
      </c>
      <c r="V461" s="29" cm="1">
        <f t="array" ref="V461">IF(表成绩单[[#This Row],[历史]]="","",SUMPRODUCT((表成绩单[考试日期]=表成绩单[[#This Row],[考试日期]])*(表成绩单[历史]&lt;9E+307)*(表成绩单[历史]&gt;表成绩单[[#This Row],[历史]]))+1)</f>
        <v>395</v>
      </c>
      <c r="W461" s="29" cm="1">
        <f t="array" ref="W461">IF(表成绩单[[#This Row],[总分]]="","",SUMPRODUCT((表成绩单[考试日期]=表成绩单[[#This Row],[考试日期]])*(表成绩单[总分]&lt;9E+307)*(表成绩单[总分]&gt;表成绩单[[#This Row],[总分]]))+1)</f>
        <v>457</v>
      </c>
    </row>
    <row r="462" ht="28" customHeight="1" spans="4:23">
      <c r="D462" s="31">
        <v>45975</v>
      </c>
      <c r="E462" s="29">
        <v>19173538</v>
      </c>
      <c r="F462" s="29" t="s">
        <v>1</v>
      </c>
      <c r="G462" s="29" t="s">
        <v>535</v>
      </c>
      <c r="H462" s="29">
        <v>94</v>
      </c>
      <c r="I462" s="29">
        <v>112</v>
      </c>
      <c r="J462" s="29">
        <v>75</v>
      </c>
      <c r="K462" s="29">
        <v>75</v>
      </c>
      <c r="L462" s="29">
        <v>65</v>
      </c>
      <c r="M462" s="29">
        <v>64</v>
      </c>
      <c r="N462" s="29">
        <v>76</v>
      </c>
      <c r="O462" s="32">
        <v>561</v>
      </c>
      <c r="P462" s="29" cm="1">
        <f t="array" ref="P462">IF(表成绩单[[#This Row],[语文]]="","",SUMPRODUCT((表成绩单[考试日期]=表成绩单[[#This Row],[考试日期]])*(表成绩单[语文]&lt;9E+307)*(表成绩单[语文]&gt;表成绩单[[#This Row],[语文]]))+1)</f>
        <v>452</v>
      </c>
      <c r="Q462" s="29" cm="1">
        <f t="array" ref="Q462">IF(表成绩单[[#This Row],[数学]]="","",SUMPRODUCT((表成绩单[考试日期]=表成绩单[[#This Row],[考试日期]])*(表成绩单[数学]&lt;9E+307)*(表成绩单[数学]&gt;表成绩单[[#This Row],[数学]]))+1)</f>
        <v>112</v>
      </c>
      <c r="R462" s="29" cm="1">
        <f t="array" ref="R462">IF(表成绩单[[#This Row],[英语]]="","",SUMPRODUCT((表成绩单[考试日期]=表成绩单[[#This Row],[考试日期]])*(表成绩单[英语]&lt;9E+307)*(表成绩单[英语]&gt;表成绩单[[#This Row],[英语]]))+1)</f>
        <v>430</v>
      </c>
      <c r="S462" s="29" cm="1">
        <f t="array" ref="S462">IF(表成绩单[[#This Row],[物理]]="","",SUMPRODUCT((表成绩单[考试日期]=表成绩单[[#This Row],[考试日期]])*(表成绩单[物理]&lt;9E+307)*(表成绩单[物理]&gt;表成绩单[[#This Row],[物理]]))+1)</f>
        <v>601</v>
      </c>
      <c r="T462" s="29" cm="1">
        <f t="array" ref="T462">IF(表成绩单[[#This Row],[化学]]="","",SUMPRODUCT((表成绩单[考试日期]=表成绩单[[#This Row],[考试日期]])*(表成绩单[化学]&lt;9E+307)*(表成绩单[化学]&gt;表成绩单[[#This Row],[化学]]))+1)</f>
        <v>559</v>
      </c>
      <c r="U462" s="29" cm="1">
        <f t="array" ref="U462">IF(表成绩单[[#This Row],[政治]]="","",SUMPRODUCT((表成绩单[考试日期]=表成绩单[[#This Row],[考试日期]])*(表成绩单[政治]&lt;9E+307)*(表成绩单[政治]&gt;表成绩单[[#This Row],[政治]]))+1)</f>
        <v>599</v>
      </c>
      <c r="V462" s="29" cm="1">
        <f t="array" ref="V462">IF(表成绩单[[#This Row],[历史]]="","",SUMPRODUCT((表成绩单[考试日期]=表成绩单[[#This Row],[考试日期]])*(表成绩单[历史]&lt;9E+307)*(表成绩单[历史]&gt;表成绩单[[#This Row],[历史]]))+1)</f>
        <v>278</v>
      </c>
      <c r="W462" s="29" cm="1">
        <f t="array" ref="W462">IF(表成绩单[[#This Row],[总分]]="","",SUMPRODUCT((表成绩单[考试日期]=表成绩单[[#This Row],[考试日期]])*(表成绩单[总分]&lt;9E+307)*(表成绩单[总分]&gt;表成绩单[[#This Row],[总分]]))+1)</f>
        <v>458</v>
      </c>
    </row>
    <row r="463" ht="28" customHeight="1" spans="4:23">
      <c r="D463" s="31">
        <v>45975</v>
      </c>
      <c r="E463" s="29">
        <v>19174774</v>
      </c>
      <c r="F463" s="29" t="s">
        <v>69</v>
      </c>
      <c r="G463" s="29" t="s">
        <v>536</v>
      </c>
      <c r="H463" s="29">
        <v>86</v>
      </c>
      <c r="I463" s="29">
        <v>97</v>
      </c>
      <c r="J463" s="29">
        <v>72</v>
      </c>
      <c r="K463" s="29">
        <v>79</v>
      </c>
      <c r="L463" s="29">
        <v>79</v>
      </c>
      <c r="M463" s="29">
        <v>76</v>
      </c>
      <c r="N463" s="29">
        <v>72</v>
      </c>
      <c r="O463" s="32">
        <v>561</v>
      </c>
      <c r="P463" s="29" cm="1">
        <f t="array" ref="P463">IF(表成绩单[[#This Row],[语文]]="","",SUMPRODUCT((表成绩单[考试日期]=表成绩单[[#This Row],[考试日期]])*(表成绩单[语文]&lt;9E+307)*(表成绩单[语文]&gt;表成绩单[[#This Row],[语文]]))+1)</f>
        <v>635</v>
      </c>
      <c r="Q463" s="29" cm="1">
        <f t="array" ref="Q463">IF(表成绩单[[#This Row],[数学]]="","",SUMPRODUCT((表成绩单[考试日期]=表成绩单[[#This Row],[考试日期]])*(表成绩单[数学]&lt;9E+307)*(表成绩单[数学]&gt;表成绩单[[#This Row],[数学]]))+1)</f>
        <v>389</v>
      </c>
      <c r="R463" s="29" cm="1">
        <f t="array" ref="R463">IF(表成绩单[[#This Row],[英语]]="","",SUMPRODUCT((表成绩单[考试日期]=表成绩单[[#This Row],[考试日期]])*(表成绩单[英语]&lt;9E+307)*(表成绩单[英语]&gt;表成绩单[[#This Row],[英语]]))+1)</f>
        <v>507</v>
      </c>
      <c r="S463" s="29" cm="1">
        <f t="array" ref="S463">IF(表成绩单[[#This Row],[物理]]="","",SUMPRODUCT((表成绩单[考试日期]=表成绩单[[#This Row],[考试日期]])*(表成绩单[物理]&lt;9E+307)*(表成绩单[物理]&gt;表成绩单[[#This Row],[物理]]))+1)</f>
        <v>534</v>
      </c>
      <c r="T463" s="29" cm="1">
        <f t="array" ref="T463">IF(表成绩单[[#This Row],[化学]]="","",SUMPRODUCT((表成绩单[考试日期]=表成绩单[[#This Row],[考试日期]])*(表成绩单[化学]&lt;9E+307)*(表成绩单[化学]&gt;表成绩单[[#This Row],[化学]]))+1)</f>
        <v>166</v>
      </c>
      <c r="U463" s="29" cm="1">
        <f t="array" ref="U463">IF(表成绩单[[#This Row],[政治]]="","",SUMPRODUCT((表成绩单[考试日期]=表成绩单[[#This Row],[考试日期]])*(表成绩单[政治]&lt;9E+307)*(表成绩单[政治]&gt;表成绩单[[#This Row],[政治]]))+1)</f>
        <v>329</v>
      </c>
      <c r="V463" s="29" cm="1">
        <f t="array" ref="V463">IF(表成绩单[[#This Row],[历史]]="","",SUMPRODUCT((表成绩单[考试日期]=表成绩单[[#This Row],[考试日期]])*(表成绩单[历史]&lt;9E+307)*(表成绩单[历史]&gt;表成绩单[[#This Row],[历史]]))+1)</f>
        <v>438</v>
      </c>
      <c r="W463" s="29" cm="1">
        <f t="array" ref="W463">IF(表成绩单[[#This Row],[总分]]="","",SUMPRODUCT((表成绩单[考试日期]=表成绩单[[#This Row],[考试日期]])*(表成绩单[总分]&lt;9E+307)*(表成绩单[总分]&gt;表成绩单[[#This Row],[总分]]))+1)</f>
        <v>458</v>
      </c>
    </row>
    <row r="464" ht="28" customHeight="1" spans="4:23">
      <c r="D464" s="31">
        <v>45975</v>
      </c>
      <c r="E464" s="29">
        <v>19177656</v>
      </c>
      <c r="F464" s="29" t="s">
        <v>63</v>
      </c>
      <c r="G464" s="29" t="s">
        <v>537</v>
      </c>
      <c r="H464" s="29">
        <v>92</v>
      </c>
      <c r="I464" s="29">
        <v>81</v>
      </c>
      <c r="J464" s="29">
        <v>76</v>
      </c>
      <c r="K464" s="29">
        <v>88</v>
      </c>
      <c r="L464" s="29">
        <v>73</v>
      </c>
      <c r="M464" s="29">
        <v>77</v>
      </c>
      <c r="N464" s="29">
        <v>74</v>
      </c>
      <c r="O464" s="32">
        <v>561</v>
      </c>
      <c r="P464" s="29" cm="1">
        <f t="array" ref="P464">IF(表成绩单[[#This Row],[语文]]="","",SUMPRODUCT((表成绩单[考试日期]=表成绩单[[#This Row],[考试日期]])*(表成绩单[语文]&lt;9E+307)*(表成绩单[语文]&gt;表成绩单[[#This Row],[语文]]))+1)</f>
        <v>517</v>
      </c>
      <c r="Q464" s="29" cm="1">
        <f t="array" ref="Q464">IF(表成绩单[[#This Row],[数学]]="","",SUMPRODUCT((表成绩单[考试日期]=表成绩单[[#This Row],[考试日期]])*(表成绩单[数学]&lt;9E+307)*(表成绩单[数学]&gt;表成绩单[[#This Row],[数学]]))+1)</f>
        <v>620</v>
      </c>
      <c r="R464" s="29" cm="1">
        <f t="array" ref="R464">IF(表成绩单[[#This Row],[英语]]="","",SUMPRODUCT((表成绩单[考试日期]=表成绩单[[#This Row],[考试日期]])*(表成绩单[英语]&lt;9E+307)*(表成绩单[英语]&gt;表成绩单[[#This Row],[英语]]))+1)</f>
        <v>399</v>
      </c>
      <c r="S464" s="29" cm="1">
        <f t="array" ref="S464">IF(表成绩单[[#This Row],[物理]]="","",SUMPRODUCT((表成绩单[考试日期]=表成绩单[[#This Row],[考试日期]])*(表成绩单[物理]&lt;9E+307)*(表成绩单[物理]&gt;表成绩单[[#This Row],[物理]]))+1)</f>
        <v>54</v>
      </c>
      <c r="T464" s="29" cm="1">
        <f t="array" ref="T464">IF(表成绩单[[#This Row],[化学]]="","",SUMPRODUCT((表成绩单[考试日期]=表成绩单[[#This Row],[考试日期]])*(表成绩单[化学]&lt;9E+307)*(表成绩单[化学]&gt;表成绩单[[#This Row],[化学]]))+1)</f>
        <v>365</v>
      </c>
      <c r="U464" s="29" cm="1">
        <f t="array" ref="U464">IF(表成绩单[[#This Row],[政治]]="","",SUMPRODUCT((表成绩单[考试日期]=表成绩单[[#This Row],[考试日期]])*(表成绩单[政治]&lt;9E+307)*(表成绩单[政治]&gt;表成绩单[[#This Row],[政治]]))+1)</f>
        <v>304</v>
      </c>
      <c r="V464" s="29" cm="1">
        <f t="array" ref="V464">IF(表成绩单[[#This Row],[历史]]="","",SUMPRODUCT((表成绩单[考试日期]=表成绩单[[#This Row],[考试日期]])*(表成绩单[历史]&lt;9E+307)*(表成绩单[历史]&gt;表成绩单[[#This Row],[历史]]))+1)</f>
        <v>358</v>
      </c>
      <c r="W464" s="29" cm="1">
        <f t="array" ref="W464">IF(表成绩单[[#This Row],[总分]]="","",SUMPRODUCT((表成绩单[考试日期]=表成绩单[[#This Row],[考试日期]])*(表成绩单[总分]&lt;9E+307)*(表成绩单[总分]&gt;表成绩单[[#This Row],[总分]]))+1)</f>
        <v>458</v>
      </c>
    </row>
    <row r="465" ht="28" customHeight="1" spans="4:23">
      <c r="D465" s="31">
        <v>45975</v>
      </c>
      <c r="E465" s="29">
        <v>19176863</v>
      </c>
      <c r="F465" s="29" t="s">
        <v>71</v>
      </c>
      <c r="G465" s="29" t="s">
        <v>538</v>
      </c>
      <c r="H465" s="29">
        <v>99</v>
      </c>
      <c r="I465" s="29">
        <v>87</v>
      </c>
      <c r="J465" s="29">
        <v>74</v>
      </c>
      <c r="K465" s="29">
        <v>84</v>
      </c>
      <c r="L465" s="29">
        <v>66</v>
      </c>
      <c r="M465" s="29">
        <v>82</v>
      </c>
      <c r="N465" s="29">
        <v>68</v>
      </c>
      <c r="O465" s="32">
        <v>560</v>
      </c>
      <c r="P465" s="29" cm="1">
        <f t="array" ref="P465">IF(表成绩单[[#This Row],[语文]]="","",SUMPRODUCT((表成绩单[考试日期]=表成绩单[[#This Row],[考试日期]])*(表成绩单[语文]&lt;9E+307)*(表成绩单[语文]&gt;表成绩单[[#This Row],[语文]]))+1)</f>
        <v>264</v>
      </c>
      <c r="Q465" s="29" cm="1">
        <f t="array" ref="Q465">IF(表成绩单[[#This Row],[数学]]="","",SUMPRODUCT((表成绩单[考试日期]=表成绩单[[#This Row],[考试日期]])*(表成绩单[数学]&lt;9E+307)*(表成绩单[数学]&gt;表成绩单[[#This Row],[数学]]))+1)</f>
        <v>547</v>
      </c>
      <c r="R465" s="29" cm="1">
        <f t="array" ref="R465">IF(表成绩单[[#This Row],[英语]]="","",SUMPRODUCT((表成绩单[考试日期]=表成绩单[[#This Row],[考试日期]])*(表成绩单[英语]&lt;9E+307)*(表成绩单[英语]&gt;表成绩单[[#This Row],[英语]]))+1)</f>
        <v>454</v>
      </c>
      <c r="S465" s="29" cm="1">
        <f t="array" ref="S465">IF(表成绩单[[#This Row],[物理]]="","",SUMPRODUCT((表成绩单[考试日期]=表成绩单[[#This Row],[考试日期]])*(表成绩单[物理]&lt;9E+307)*(表成绩单[物理]&gt;表成绩单[[#This Row],[物理]]))+1)</f>
        <v>344</v>
      </c>
      <c r="T465" s="29" cm="1">
        <f t="array" ref="T465">IF(表成绩单[[#This Row],[化学]]="","",SUMPRODUCT((表成绩单[考试日期]=表成绩单[[#This Row],[考试日期]])*(表成绩单[化学]&lt;9E+307)*(表成绩单[化学]&gt;表成绩单[[#This Row],[化学]]))+1)</f>
        <v>542</v>
      </c>
      <c r="U465" s="29" cm="1">
        <f t="array" ref="U465">IF(表成绩单[[#This Row],[政治]]="","",SUMPRODUCT((表成绩单[考试日期]=表成绩单[[#This Row],[考试日期]])*(表成绩单[政治]&lt;9E+307)*(表成绩单[政治]&gt;表成绩单[[#This Row],[政治]]))+1)</f>
        <v>157</v>
      </c>
      <c r="V465" s="29" cm="1">
        <f t="array" ref="V465">IF(表成绩单[[#This Row],[历史]]="","",SUMPRODUCT((表成绩单[考试日期]=表成绩单[[#This Row],[考试日期]])*(表成绩单[历史]&lt;9E+307)*(表成绩单[历史]&gt;表成绩单[[#This Row],[历史]]))+1)</f>
        <v>571</v>
      </c>
      <c r="W465" s="29" cm="1">
        <f t="array" ref="W465">IF(表成绩单[[#This Row],[总分]]="","",SUMPRODUCT((表成绩单[考试日期]=表成绩单[[#This Row],[考试日期]])*(表成绩单[总分]&lt;9E+307)*(表成绩单[总分]&gt;表成绩单[[#This Row],[总分]]))+1)</f>
        <v>461</v>
      </c>
    </row>
    <row r="466" ht="28" customHeight="1" spans="4:23">
      <c r="D466" s="31">
        <v>45975</v>
      </c>
      <c r="E466" s="29">
        <v>19176176</v>
      </c>
      <c r="F466" s="29" t="s">
        <v>67</v>
      </c>
      <c r="G466" s="29" t="s">
        <v>539</v>
      </c>
      <c r="H466" s="29">
        <v>98</v>
      </c>
      <c r="I466" s="29">
        <v>88</v>
      </c>
      <c r="J466" s="29">
        <v>80.5</v>
      </c>
      <c r="K466" s="29">
        <v>83</v>
      </c>
      <c r="L466" s="29">
        <v>70</v>
      </c>
      <c r="M466" s="29">
        <v>71</v>
      </c>
      <c r="N466" s="29">
        <v>69</v>
      </c>
      <c r="O466" s="32">
        <v>559.5</v>
      </c>
      <c r="P466" s="29" cm="1">
        <f t="array" ref="P466">IF(表成绩单[[#This Row],[语文]]="","",SUMPRODUCT((表成绩单[考试日期]=表成绩单[[#This Row],[考试日期]])*(表成绩单[语文]&lt;9E+307)*(表成绩单[语文]&gt;表成绩单[[#This Row],[语文]]))+1)</f>
        <v>305</v>
      </c>
      <c r="Q466" s="29" cm="1">
        <f t="array" ref="Q466">IF(表成绩单[[#This Row],[数学]]="","",SUMPRODUCT((表成绩单[考试日期]=表成绩单[[#This Row],[考试日期]])*(表成绩单[数学]&lt;9E+307)*(表成绩单[数学]&gt;表成绩单[[#This Row],[数学]]))+1)</f>
        <v>527</v>
      </c>
      <c r="R466" s="29" cm="1">
        <f t="array" ref="R466">IF(表成绩单[[#This Row],[英语]]="","",SUMPRODUCT((表成绩单[考试日期]=表成绩单[[#This Row],[考试日期]])*(表成绩单[英语]&lt;9E+307)*(表成绩单[英语]&gt;表成绩单[[#This Row],[英语]]))+1)</f>
        <v>255</v>
      </c>
      <c r="S466" s="29" cm="1">
        <f t="array" ref="S466">IF(表成绩单[[#This Row],[物理]]="","",SUMPRODUCT((表成绩单[考试日期]=表成绩单[[#This Row],[考试日期]])*(表成绩单[物理]&lt;9E+307)*(表成绩单[物理]&gt;表成绩单[[#This Row],[物理]]))+1)</f>
        <v>390</v>
      </c>
      <c r="T466" s="29" cm="1">
        <f t="array" ref="T466">IF(表成绩单[[#This Row],[化学]]="","",SUMPRODUCT((表成绩单[考试日期]=表成绩单[[#This Row],[考试日期]])*(表成绩单[化学]&lt;9E+307)*(表成绩单[化学]&gt;表成绩单[[#This Row],[化学]]))+1)</f>
        <v>453</v>
      </c>
      <c r="U466" s="29" cm="1">
        <f t="array" ref="U466">IF(表成绩单[[#This Row],[政治]]="","",SUMPRODUCT((表成绩单[考试日期]=表成绩单[[#This Row],[考试日期]])*(表成绩单[政治]&lt;9E+307)*(表成绩单[政治]&gt;表成绩单[[#This Row],[政治]]))+1)</f>
        <v>467</v>
      </c>
      <c r="V466" s="29" cm="1">
        <f t="array" ref="V466">IF(表成绩单[[#This Row],[历史]]="","",SUMPRODUCT((表成绩单[考试日期]=表成绩单[[#This Row],[考试日期]])*(表成绩单[历史]&lt;9E+307)*(表成绩单[历史]&gt;表成绩单[[#This Row],[历史]]))+1)</f>
        <v>541</v>
      </c>
      <c r="W466" s="29" cm="1">
        <f t="array" ref="W466">IF(表成绩单[[#This Row],[总分]]="","",SUMPRODUCT((表成绩单[考试日期]=表成绩单[[#This Row],[考试日期]])*(表成绩单[总分]&lt;9E+307)*(表成绩单[总分]&gt;表成绩单[[#This Row],[总分]]))+1)</f>
        <v>462</v>
      </c>
    </row>
    <row r="467" ht="28" customHeight="1" spans="4:23">
      <c r="D467" s="31">
        <v>45975</v>
      </c>
      <c r="E467" s="29">
        <v>19171077</v>
      </c>
      <c r="F467" s="29" t="s">
        <v>67</v>
      </c>
      <c r="G467" s="29" t="s">
        <v>540</v>
      </c>
      <c r="H467" s="29">
        <v>88</v>
      </c>
      <c r="I467" s="29">
        <v>88</v>
      </c>
      <c r="J467" s="29">
        <v>79</v>
      </c>
      <c r="K467" s="29">
        <v>80</v>
      </c>
      <c r="L467" s="29">
        <v>82</v>
      </c>
      <c r="M467" s="29">
        <v>64</v>
      </c>
      <c r="N467" s="29">
        <v>78</v>
      </c>
      <c r="O467" s="32">
        <v>559</v>
      </c>
      <c r="P467" s="29" cm="1">
        <f t="array" ref="P467">IF(表成绩单[[#This Row],[语文]]="","",SUMPRODUCT((表成绩单[考试日期]=表成绩单[[#This Row],[考试日期]])*(表成绩单[语文]&lt;9E+307)*(表成绩单[语文]&gt;表成绩单[[#This Row],[语文]]))+1)</f>
        <v>595</v>
      </c>
      <c r="Q467" s="29" cm="1">
        <f t="array" ref="Q467">IF(表成绩单[[#This Row],[数学]]="","",SUMPRODUCT((表成绩单[考试日期]=表成绩单[[#This Row],[考试日期]])*(表成绩单[数学]&lt;9E+307)*(表成绩单[数学]&gt;表成绩单[[#This Row],[数学]]))+1)</f>
        <v>527</v>
      </c>
      <c r="R467" s="29" cm="1">
        <f t="array" ref="R467">IF(表成绩单[[#This Row],[英语]]="","",SUMPRODUCT((表成绩单[考试日期]=表成绩单[[#This Row],[考试日期]])*(表成绩单[英语]&lt;9E+307)*(表成绩单[英语]&gt;表成绩单[[#This Row],[英语]]))+1)</f>
        <v>292</v>
      </c>
      <c r="S467" s="29" cm="1">
        <f t="array" ref="S467">IF(表成绩单[[#This Row],[物理]]="","",SUMPRODUCT((表成绩单[考试日期]=表成绩单[[#This Row],[考试日期]])*(表成绩单[物理]&lt;9E+307)*(表成绩单[物理]&gt;表成绩单[[#This Row],[物理]]))+1)</f>
        <v>507</v>
      </c>
      <c r="T467" s="29" cm="1">
        <f t="array" ref="T467">IF(表成绩单[[#This Row],[化学]]="","",SUMPRODUCT((表成绩单[考试日期]=表成绩单[[#This Row],[考试日期]])*(表成绩单[化学]&lt;9E+307)*(表成绩单[化学]&gt;表成绩单[[#This Row],[化学]]))+1)</f>
        <v>71</v>
      </c>
      <c r="U467" s="29" cm="1">
        <f t="array" ref="U467">IF(表成绩单[[#This Row],[政治]]="","",SUMPRODUCT((表成绩单[考试日期]=表成绩单[[#This Row],[考试日期]])*(表成绩单[政治]&lt;9E+307)*(表成绩单[政治]&gt;表成绩单[[#This Row],[政治]]))+1)</f>
        <v>599</v>
      </c>
      <c r="V467" s="29" cm="1">
        <f t="array" ref="V467">IF(表成绩单[[#This Row],[历史]]="","",SUMPRODUCT((表成绩单[考试日期]=表成绩单[[#This Row],[考试日期]])*(表成绩单[历史]&lt;9E+307)*(表成绩单[历史]&gt;表成绩单[[#This Row],[历史]]))+1)</f>
        <v>189</v>
      </c>
      <c r="W467" s="29" cm="1">
        <f t="array" ref="W467">IF(表成绩单[[#This Row],[总分]]="","",SUMPRODUCT((表成绩单[考试日期]=表成绩单[[#This Row],[考试日期]])*(表成绩单[总分]&lt;9E+307)*(表成绩单[总分]&gt;表成绩单[[#This Row],[总分]]))+1)</f>
        <v>463</v>
      </c>
    </row>
    <row r="468" ht="28" customHeight="1" spans="4:23">
      <c r="D468" s="31">
        <v>45975</v>
      </c>
      <c r="E468" s="29">
        <v>19173795</v>
      </c>
      <c r="F468" s="29" t="s">
        <v>65</v>
      </c>
      <c r="G468" s="29" t="s">
        <v>541</v>
      </c>
      <c r="H468" s="29">
        <v>87</v>
      </c>
      <c r="I468" s="29">
        <v>98</v>
      </c>
      <c r="J468" s="29">
        <v>71.5</v>
      </c>
      <c r="K468" s="29">
        <v>84</v>
      </c>
      <c r="L468" s="29">
        <v>52</v>
      </c>
      <c r="M468" s="29">
        <v>85</v>
      </c>
      <c r="N468" s="29">
        <v>81</v>
      </c>
      <c r="O468" s="32">
        <v>558.5</v>
      </c>
      <c r="P468" s="29" cm="1">
        <f t="array" ref="P468">IF(表成绩单[[#This Row],[语文]]="","",SUMPRODUCT((表成绩单[考试日期]=表成绩单[[#This Row],[考试日期]])*(表成绩单[语文]&lt;9E+307)*(表成绩单[语文]&gt;表成绩单[[#This Row],[语文]]))+1)</f>
        <v>615</v>
      </c>
      <c r="Q468" s="29" cm="1">
        <f t="array" ref="Q468">IF(表成绩单[[#This Row],[数学]]="","",SUMPRODUCT((表成绩单[考试日期]=表成绩单[[#This Row],[考试日期]])*(表成绩单[数学]&lt;9E+307)*(表成绩单[数学]&gt;表成绩单[[#This Row],[数学]]))+1)</f>
        <v>374</v>
      </c>
      <c r="R468" s="29" cm="1">
        <f t="array" ref="R468">IF(表成绩单[[#This Row],[英语]]="","",SUMPRODUCT((表成绩单[考试日期]=表成绩单[[#This Row],[考试日期]])*(表成绩单[英语]&lt;9E+307)*(表成绩单[英语]&gt;表成绩单[[#This Row],[英语]]))+1)</f>
        <v>520</v>
      </c>
      <c r="S468" s="29" cm="1">
        <f t="array" ref="S468">IF(表成绩单[[#This Row],[物理]]="","",SUMPRODUCT((表成绩单[考试日期]=表成绩单[[#This Row],[考试日期]])*(表成绩单[物理]&lt;9E+307)*(表成绩单[物理]&gt;表成绩单[[#This Row],[物理]]))+1)</f>
        <v>344</v>
      </c>
      <c r="T468" s="29" cm="1">
        <f t="array" ref="T468">IF(表成绩单[[#This Row],[化学]]="","",SUMPRODUCT((表成绩单[考试日期]=表成绩单[[#This Row],[考试日期]])*(表成绩单[化学]&lt;9E+307)*(表成绩单[化学]&gt;表成绩单[[#This Row],[化学]]))+1)</f>
        <v>723</v>
      </c>
      <c r="U468" s="29" cm="1">
        <f t="array" ref="U468">IF(表成绩单[[#This Row],[政治]]="","",SUMPRODUCT((表成绩单[考试日期]=表成绩单[[#This Row],[考试日期]])*(表成绩单[政治]&lt;9E+307)*(表成绩单[政治]&gt;表成绩单[[#This Row],[政治]]))+1)</f>
        <v>45</v>
      </c>
      <c r="V468" s="29" cm="1">
        <f t="array" ref="V468">IF(表成绩单[[#This Row],[历史]]="","",SUMPRODUCT((表成绩单[考试日期]=表成绩单[[#This Row],[考试日期]])*(表成绩单[历史]&lt;9E+307)*(表成绩单[历史]&gt;表成绩单[[#This Row],[历史]]))+1)</f>
        <v>63</v>
      </c>
      <c r="W468" s="29" cm="1">
        <f t="array" ref="W468">IF(表成绩单[[#This Row],[总分]]="","",SUMPRODUCT((表成绩单[考试日期]=表成绩单[[#This Row],[考试日期]])*(表成绩单[总分]&lt;9E+307)*(表成绩单[总分]&gt;表成绩单[[#This Row],[总分]]))+1)</f>
        <v>464</v>
      </c>
    </row>
    <row r="469" ht="28" customHeight="1" spans="4:23">
      <c r="D469" s="31">
        <v>45975</v>
      </c>
      <c r="E469" s="29">
        <v>19175637</v>
      </c>
      <c r="F469" s="29" t="s">
        <v>66</v>
      </c>
      <c r="G469" s="29" t="s">
        <v>542</v>
      </c>
      <c r="H469" s="29">
        <v>88</v>
      </c>
      <c r="I469" s="29">
        <v>108</v>
      </c>
      <c r="J469" s="29">
        <v>73.5</v>
      </c>
      <c r="K469" s="29">
        <v>86</v>
      </c>
      <c r="L469" s="29">
        <v>67</v>
      </c>
      <c r="M469" s="29">
        <v>68</v>
      </c>
      <c r="N469" s="29">
        <v>68</v>
      </c>
      <c r="O469" s="32">
        <v>558.5</v>
      </c>
      <c r="P469" s="29" cm="1">
        <f t="array" ref="P469">IF(表成绩单[[#This Row],[语文]]="","",SUMPRODUCT((表成绩单[考试日期]=表成绩单[[#This Row],[考试日期]])*(表成绩单[语文]&lt;9E+307)*(表成绩单[语文]&gt;表成绩单[[#This Row],[语文]]))+1)</f>
        <v>595</v>
      </c>
      <c r="Q469" s="29" cm="1">
        <f t="array" ref="Q469">IF(表成绩单[[#This Row],[数学]]="","",SUMPRODUCT((表成绩单[考试日期]=表成绩单[[#This Row],[考试日期]])*(表成绩单[数学]&lt;9E+307)*(表成绩单[数学]&gt;表成绩单[[#This Row],[数学]]))+1)</f>
        <v>182</v>
      </c>
      <c r="R469" s="29" cm="1">
        <f t="array" ref="R469">IF(表成绩单[[#This Row],[英语]]="","",SUMPRODUCT((表成绩单[考试日期]=表成绩单[[#This Row],[考试日期]])*(表成绩单[英语]&lt;9E+307)*(表成绩单[英语]&gt;表成绩单[[#This Row],[英语]]))+1)</f>
        <v>470</v>
      </c>
      <c r="S469" s="29" cm="1">
        <f t="array" ref="S469">IF(表成绩单[[#This Row],[物理]]="","",SUMPRODUCT((表成绩单[考试日期]=表成绩单[[#This Row],[考试日期]])*(表成绩单[物理]&lt;9E+307)*(表成绩单[物理]&gt;表成绩单[[#This Row],[物理]]))+1)</f>
        <v>187</v>
      </c>
      <c r="T469" s="29" cm="1">
        <f t="array" ref="T469">IF(表成绩单[[#This Row],[化学]]="","",SUMPRODUCT((表成绩单[考试日期]=表成绩单[[#This Row],[考试日期]])*(表成绩单[化学]&lt;9E+307)*(表成绩单[化学]&gt;表成绩单[[#This Row],[化学]]))+1)</f>
        <v>524</v>
      </c>
      <c r="U469" s="29" cm="1">
        <f t="array" ref="U469">IF(表成绩单[[#This Row],[政治]]="","",SUMPRODUCT((表成绩单[考试日期]=表成绩单[[#This Row],[考试日期]])*(表成绩单[政治]&lt;9E+307)*(表成绩单[政治]&gt;表成绩单[[#This Row],[政治]]))+1)</f>
        <v>527</v>
      </c>
      <c r="V469" s="29" cm="1">
        <f t="array" ref="V469">IF(表成绩单[[#This Row],[历史]]="","",SUMPRODUCT((表成绩单[考试日期]=表成绩单[[#This Row],[考试日期]])*(表成绩单[历史]&lt;9E+307)*(表成绩单[历史]&gt;表成绩单[[#This Row],[历史]]))+1)</f>
        <v>571</v>
      </c>
      <c r="W469" s="29" cm="1">
        <f t="array" ref="W469">IF(表成绩单[[#This Row],[总分]]="","",SUMPRODUCT((表成绩单[考试日期]=表成绩单[[#This Row],[考试日期]])*(表成绩单[总分]&lt;9E+307)*(表成绩单[总分]&gt;表成绩单[[#This Row],[总分]]))+1)</f>
        <v>464</v>
      </c>
    </row>
    <row r="470" ht="28" customHeight="1" spans="4:23">
      <c r="D470" s="31">
        <v>45975</v>
      </c>
      <c r="E470" s="29">
        <v>19173535</v>
      </c>
      <c r="F470" s="29" t="s">
        <v>1</v>
      </c>
      <c r="G470" s="29" t="s">
        <v>543</v>
      </c>
      <c r="H470" s="29">
        <v>98</v>
      </c>
      <c r="I470" s="29">
        <v>101</v>
      </c>
      <c r="J470" s="29">
        <v>85</v>
      </c>
      <c r="K470" s="29">
        <v>80</v>
      </c>
      <c r="L470" s="29">
        <v>64</v>
      </c>
      <c r="M470" s="29">
        <v>60</v>
      </c>
      <c r="N470" s="29">
        <v>70</v>
      </c>
      <c r="O470" s="32">
        <v>558</v>
      </c>
      <c r="P470" s="29" cm="1">
        <f t="array" ref="P470">IF(表成绩单[[#This Row],[语文]]="","",SUMPRODUCT((表成绩单[考试日期]=表成绩单[[#This Row],[考试日期]])*(表成绩单[语文]&lt;9E+307)*(表成绩单[语文]&gt;表成绩单[[#This Row],[语文]]))+1)</f>
        <v>305</v>
      </c>
      <c r="Q470" s="29" cm="1">
        <f t="array" ref="Q470">IF(表成绩单[[#This Row],[数学]]="","",SUMPRODUCT((表成绩单[考试日期]=表成绩单[[#This Row],[考试日期]])*(表成绩单[数学]&lt;9E+307)*(表成绩单[数学]&gt;表成绩单[[#This Row],[数学]]))+1)</f>
        <v>319</v>
      </c>
      <c r="R470" s="29" cm="1">
        <f t="array" ref="R470">IF(表成绩单[[#This Row],[英语]]="","",SUMPRODUCT((表成绩单[考试日期]=表成绩单[[#This Row],[考试日期]])*(表成绩单[英语]&lt;9E+307)*(表成绩单[英语]&gt;表成绩单[[#This Row],[英语]]))+1)</f>
        <v>69</v>
      </c>
      <c r="S470" s="29" cm="1">
        <f t="array" ref="S470">IF(表成绩单[[#This Row],[物理]]="","",SUMPRODUCT((表成绩单[考试日期]=表成绩单[[#This Row],[考试日期]])*(表成绩单[物理]&lt;9E+307)*(表成绩单[物理]&gt;表成绩单[[#This Row],[物理]]))+1)</f>
        <v>507</v>
      </c>
      <c r="T470" s="29" cm="1">
        <f t="array" ref="T470">IF(表成绩单[[#This Row],[化学]]="","",SUMPRODUCT((表成绩单[考试日期]=表成绩单[[#This Row],[考试日期]])*(表成绩单[化学]&lt;9E+307)*(表成绩单[化学]&gt;表成绩单[[#This Row],[化学]]))+1)</f>
        <v>575</v>
      </c>
      <c r="U470" s="29" cm="1">
        <f t="array" ref="U470">IF(表成绩单[[#This Row],[政治]]="","",SUMPRODUCT((表成绩单[考试日期]=表成绩单[[#This Row],[考试日期]])*(表成绩单[政治]&lt;9E+307)*(表成绩单[政治]&gt;表成绩单[[#This Row],[政治]]))+1)</f>
        <v>671</v>
      </c>
      <c r="V470" s="29" cm="1">
        <f t="array" ref="V470">IF(表成绩单[[#This Row],[历史]]="","",SUMPRODUCT((表成绩单[考试日期]=表成绩单[[#This Row],[考试日期]])*(表成绩单[历史]&lt;9E+307)*(表成绩单[历史]&gt;表成绩单[[#This Row],[历史]]))+1)</f>
        <v>505</v>
      </c>
      <c r="W470" s="29" cm="1">
        <f t="array" ref="W470">IF(表成绩单[[#This Row],[总分]]="","",SUMPRODUCT((表成绩单[考试日期]=表成绩单[[#This Row],[考试日期]])*(表成绩单[总分]&lt;9E+307)*(表成绩单[总分]&gt;表成绩单[[#This Row],[总分]]))+1)</f>
        <v>466</v>
      </c>
    </row>
    <row r="471" ht="28" customHeight="1" spans="4:23">
      <c r="D471" s="31">
        <v>45975</v>
      </c>
      <c r="E471" s="29">
        <v>19175644</v>
      </c>
      <c r="F471" s="29" t="s">
        <v>66</v>
      </c>
      <c r="G471" s="29" t="s">
        <v>544</v>
      </c>
      <c r="H471" s="29">
        <v>91</v>
      </c>
      <c r="I471" s="29">
        <v>103</v>
      </c>
      <c r="J471" s="29">
        <v>75</v>
      </c>
      <c r="K471" s="29">
        <v>83</v>
      </c>
      <c r="L471" s="29">
        <v>73</v>
      </c>
      <c r="M471" s="29">
        <v>65</v>
      </c>
      <c r="N471" s="29">
        <v>68</v>
      </c>
      <c r="O471" s="32">
        <v>558</v>
      </c>
      <c r="P471" s="29" cm="1">
        <f t="array" ref="P471">IF(表成绩单[[#This Row],[语文]]="","",SUMPRODUCT((表成绩单[考试日期]=表成绩单[[#This Row],[考试日期]])*(表成绩单[语文]&lt;9E+307)*(表成绩单[语文]&gt;表成绩单[[#This Row],[语文]]))+1)</f>
        <v>536</v>
      </c>
      <c r="Q471" s="29" cm="1">
        <f t="array" ref="Q471">IF(表成绩单[[#This Row],[数学]]="","",SUMPRODUCT((表成绩单[考试日期]=表成绩单[[#This Row],[考试日期]])*(表成绩单[数学]&lt;9E+307)*(表成绩单[数学]&gt;表成绩单[[#This Row],[数学]]))+1)</f>
        <v>277</v>
      </c>
      <c r="R471" s="29" cm="1">
        <f t="array" ref="R471">IF(表成绩单[[#This Row],[英语]]="","",SUMPRODUCT((表成绩单[考试日期]=表成绩单[[#This Row],[考试日期]])*(表成绩单[英语]&lt;9E+307)*(表成绩单[英语]&gt;表成绩单[[#This Row],[英语]]))+1)</f>
        <v>430</v>
      </c>
      <c r="S471" s="29" cm="1">
        <f t="array" ref="S471">IF(表成绩单[[#This Row],[物理]]="","",SUMPRODUCT((表成绩单[考试日期]=表成绩单[[#This Row],[考试日期]])*(表成绩单[物理]&lt;9E+307)*(表成绩单[物理]&gt;表成绩单[[#This Row],[物理]]))+1)</f>
        <v>390</v>
      </c>
      <c r="T471" s="29" cm="1">
        <f t="array" ref="T471">IF(表成绩单[[#This Row],[化学]]="","",SUMPRODUCT((表成绩单[考试日期]=表成绩单[[#This Row],[考试日期]])*(表成绩单[化学]&lt;9E+307)*(表成绩单[化学]&gt;表成绩单[[#This Row],[化学]]))+1)</f>
        <v>365</v>
      </c>
      <c r="U471" s="29" cm="1">
        <f t="array" ref="U471">IF(表成绩单[[#This Row],[政治]]="","",SUMPRODUCT((表成绩单[考试日期]=表成绩单[[#This Row],[考试日期]])*(表成绩单[政治]&lt;9E+307)*(表成绩单[政治]&gt;表成绩单[[#This Row],[政治]]))+1)</f>
        <v>579</v>
      </c>
      <c r="V471" s="29" cm="1">
        <f t="array" ref="V471">IF(表成绩单[[#This Row],[历史]]="","",SUMPRODUCT((表成绩单[考试日期]=表成绩单[[#This Row],[考试日期]])*(表成绩单[历史]&lt;9E+307)*(表成绩单[历史]&gt;表成绩单[[#This Row],[历史]]))+1)</f>
        <v>571</v>
      </c>
      <c r="W471" s="29" cm="1">
        <f t="array" ref="W471">IF(表成绩单[[#This Row],[总分]]="","",SUMPRODUCT((表成绩单[考试日期]=表成绩单[[#This Row],[考试日期]])*(表成绩单[总分]&lt;9E+307)*(表成绩单[总分]&gt;表成绩单[[#This Row],[总分]]))+1)</f>
        <v>466</v>
      </c>
    </row>
    <row r="472" ht="28" customHeight="1" spans="4:23">
      <c r="D472" s="31">
        <v>45975</v>
      </c>
      <c r="E472" s="29">
        <v>19176870</v>
      </c>
      <c r="F472" s="29" t="s">
        <v>71</v>
      </c>
      <c r="G472" s="29" t="s">
        <v>545</v>
      </c>
      <c r="H472" s="29">
        <v>89</v>
      </c>
      <c r="I472" s="29">
        <v>107</v>
      </c>
      <c r="J472" s="29">
        <v>68</v>
      </c>
      <c r="K472" s="29">
        <v>86</v>
      </c>
      <c r="L472" s="29">
        <v>59</v>
      </c>
      <c r="M472" s="29">
        <v>76</v>
      </c>
      <c r="N472" s="29">
        <v>73</v>
      </c>
      <c r="O472" s="32">
        <v>558</v>
      </c>
      <c r="P472" s="29" cm="1">
        <f t="array" ref="P472">IF(表成绩单[[#This Row],[语文]]="","",SUMPRODUCT((表成绩单[考试日期]=表成绩单[[#This Row],[考试日期]])*(表成绩单[语文]&lt;9E+307)*(表成绩单[语文]&gt;表成绩单[[#This Row],[语文]]))+1)</f>
        <v>582</v>
      </c>
      <c r="Q472" s="29" cm="1">
        <f t="array" ref="Q472">IF(表成绩单[[#This Row],[数学]]="","",SUMPRODUCT((表成绩单[考试日期]=表成绩单[[#This Row],[考试日期]])*(表成绩单[数学]&lt;9E+307)*(表成绩单[数学]&gt;表成绩单[[#This Row],[数学]]))+1)</f>
        <v>200</v>
      </c>
      <c r="R472" s="29" cm="1">
        <f t="array" ref="R472">IF(表成绩单[[#This Row],[英语]]="","",SUMPRODUCT((表成绩单[考试日期]=表成绩单[[#This Row],[考试日期]])*(表成绩单[英语]&lt;9E+307)*(表成绩单[英语]&gt;表成绩单[[#This Row],[英语]]))+1)</f>
        <v>584</v>
      </c>
      <c r="S472" s="29" cm="1">
        <f t="array" ref="S472">IF(表成绩单[[#This Row],[物理]]="","",SUMPRODUCT((表成绩单[考试日期]=表成绩单[[#This Row],[考试日期]])*(表成绩单[物理]&lt;9E+307)*(表成绩单[物理]&gt;表成绩单[[#This Row],[物理]]))+1)</f>
        <v>187</v>
      </c>
      <c r="T472" s="29" cm="1">
        <f t="array" ref="T472">IF(表成绩单[[#This Row],[化学]]="","",SUMPRODUCT((表成绩单[考试日期]=表成绩单[[#This Row],[考试日期]])*(表成绩单[化学]&lt;9E+307)*(表成绩单[化学]&gt;表成绩单[[#This Row],[化学]]))+1)</f>
        <v>648</v>
      </c>
      <c r="U472" s="29" cm="1">
        <f t="array" ref="U472">IF(表成绩单[[#This Row],[政治]]="","",SUMPRODUCT((表成绩单[考试日期]=表成绩单[[#This Row],[考试日期]])*(表成绩单[政治]&lt;9E+307)*(表成绩单[政治]&gt;表成绩单[[#This Row],[政治]]))+1)</f>
        <v>329</v>
      </c>
      <c r="V472" s="29" cm="1">
        <f t="array" ref="V472">IF(表成绩单[[#This Row],[历史]]="","",SUMPRODUCT((表成绩单[考试日期]=表成绩单[[#This Row],[考试日期]])*(表成绩单[历史]&lt;9E+307)*(表成绩单[历史]&gt;表成绩单[[#This Row],[历史]]))+1)</f>
        <v>395</v>
      </c>
      <c r="W472" s="29" cm="1">
        <f t="array" ref="W472">IF(表成绩单[[#This Row],[总分]]="","",SUMPRODUCT((表成绩单[考试日期]=表成绩单[[#This Row],[考试日期]])*(表成绩单[总分]&lt;9E+307)*(表成绩单[总分]&gt;表成绩单[[#This Row],[总分]]))+1)</f>
        <v>466</v>
      </c>
    </row>
    <row r="473" ht="28" customHeight="1" spans="4:23">
      <c r="D473" s="31">
        <v>45975</v>
      </c>
      <c r="E473" s="29">
        <v>19173779</v>
      </c>
      <c r="F473" s="29" t="s">
        <v>65</v>
      </c>
      <c r="G473" s="29" t="s">
        <v>546</v>
      </c>
      <c r="H473" s="29">
        <v>80</v>
      </c>
      <c r="I473" s="29">
        <v>97</v>
      </c>
      <c r="J473" s="29">
        <v>71.5</v>
      </c>
      <c r="K473" s="29">
        <v>81</v>
      </c>
      <c r="L473" s="29">
        <v>79</v>
      </c>
      <c r="M473" s="29">
        <v>78</v>
      </c>
      <c r="N473" s="29">
        <v>71</v>
      </c>
      <c r="O473" s="32">
        <v>557.5</v>
      </c>
      <c r="P473" s="29" cm="1">
        <f t="array" ref="P473">IF(表成绩单[[#This Row],[语文]]="","",SUMPRODUCT((表成绩单[考试日期]=表成绩单[[#This Row],[考试日期]])*(表成绩单[语文]&lt;9E+307)*(表成绩单[语文]&gt;表成绩单[[#This Row],[语文]]))+1)</f>
        <v>702</v>
      </c>
      <c r="Q473" s="29" cm="1">
        <f t="array" ref="Q473">IF(表成绩单[[#This Row],[数学]]="","",SUMPRODUCT((表成绩单[考试日期]=表成绩单[[#This Row],[考试日期]])*(表成绩单[数学]&lt;9E+307)*(表成绩单[数学]&gt;表成绩单[[#This Row],[数学]]))+1)</f>
        <v>389</v>
      </c>
      <c r="R473" s="29" cm="1">
        <f t="array" ref="R473">IF(表成绩单[[#This Row],[英语]]="","",SUMPRODUCT((表成绩单[考试日期]=表成绩单[[#This Row],[考试日期]])*(表成绩单[英语]&lt;9E+307)*(表成绩单[英语]&gt;表成绩单[[#This Row],[英语]]))+1)</f>
        <v>520</v>
      </c>
      <c r="S473" s="29" cm="1">
        <f t="array" ref="S473">IF(表成绩单[[#This Row],[物理]]="","",SUMPRODUCT((表成绩单[考试日期]=表成绩单[[#This Row],[考试日期]])*(表成绩单[物理]&lt;9E+307)*(表成绩单[物理]&gt;表成绩单[[#This Row],[物理]]))+1)</f>
        <v>474</v>
      </c>
      <c r="T473" s="29" cm="1">
        <f t="array" ref="T473">IF(表成绩单[[#This Row],[化学]]="","",SUMPRODUCT((表成绩单[考试日期]=表成绩单[[#This Row],[考试日期]])*(表成绩单[化学]&lt;9E+307)*(表成绩单[化学]&gt;表成绩单[[#This Row],[化学]]))+1)</f>
        <v>166</v>
      </c>
      <c r="U473" s="29" cm="1">
        <f t="array" ref="U473">IF(表成绩单[[#This Row],[政治]]="","",SUMPRODUCT((表成绩单[考试日期]=表成绩单[[#This Row],[考试日期]])*(表成绩单[政治]&lt;9E+307)*(表成绩单[政治]&gt;表成绩单[[#This Row],[政治]]))+1)</f>
        <v>272</v>
      </c>
      <c r="V473" s="29" cm="1">
        <f t="array" ref="V473">IF(表成绩单[[#This Row],[历史]]="","",SUMPRODUCT((表成绩单[考试日期]=表成绩单[[#This Row],[考试日期]])*(表成绩单[历史]&lt;9E+307)*(表成绩单[历史]&gt;表成绩单[[#This Row],[历史]]))+1)</f>
        <v>480</v>
      </c>
      <c r="W473" s="29" cm="1">
        <f t="array" ref="W473">IF(表成绩单[[#This Row],[总分]]="","",SUMPRODUCT((表成绩单[考试日期]=表成绩单[[#This Row],[考试日期]])*(表成绩单[总分]&lt;9E+307)*(表成绩单[总分]&gt;表成绩单[[#This Row],[总分]]))+1)</f>
        <v>469</v>
      </c>
    </row>
    <row r="474" ht="28" customHeight="1" spans="4:23">
      <c r="D474" s="31">
        <v>45975</v>
      </c>
      <c r="E474" s="29">
        <v>19177198</v>
      </c>
      <c r="F474" s="29" t="s">
        <v>70</v>
      </c>
      <c r="G474" s="29" t="s">
        <v>547</v>
      </c>
      <c r="H474" s="29">
        <v>98</v>
      </c>
      <c r="I474" s="29">
        <v>103</v>
      </c>
      <c r="J474" s="29">
        <v>71.5</v>
      </c>
      <c r="K474" s="29">
        <v>87</v>
      </c>
      <c r="L474" s="29">
        <v>62</v>
      </c>
      <c r="M474" s="29">
        <v>66</v>
      </c>
      <c r="N474" s="29">
        <v>70</v>
      </c>
      <c r="O474" s="32">
        <v>557.5</v>
      </c>
      <c r="P474" s="29" cm="1">
        <f t="array" ref="P474">IF(表成绩单[[#This Row],[语文]]="","",SUMPRODUCT((表成绩单[考试日期]=表成绩单[[#This Row],[考试日期]])*(表成绩单[语文]&lt;9E+307)*(表成绩单[语文]&gt;表成绩单[[#This Row],[语文]]))+1)</f>
        <v>305</v>
      </c>
      <c r="Q474" s="29" cm="1">
        <f t="array" ref="Q474">IF(表成绩单[[#This Row],[数学]]="","",SUMPRODUCT((表成绩单[考试日期]=表成绩单[[#This Row],[考试日期]])*(表成绩单[数学]&lt;9E+307)*(表成绩单[数学]&gt;表成绩单[[#This Row],[数学]]))+1)</f>
        <v>277</v>
      </c>
      <c r="R474" s="29" cm="1">
        <f t="array" ref="R474">IF(表成绩单[[#This Row],[英语]]="","",SUMPRODUCT((表成绩单[考试日期]=表成绩单[[#This Row],[考试日期]])*(表成绩单[英语]&lt;9E+307)*(表成绩单[英语]&gt;表成绩单[[#This Row],[英语]]))+1)</f>
        <v>520</v>
      </c>
      <c r="S474" s="29" cm="1">
        <f t="array" ref="S474">IF(表成绩单[[#This Row],[物理]]="","",SUMPRODUCT((表成绩单[考试日期]=表成绩单[[#This Row],[考试日期]])*(表成绩单[物理]&lt;9E+307)*(表成绩单[物理]&gt;表成绩单[[#This Row],[物理]]))+1)</f>
        <v>127</v>
      </c>
      <c r="T474" s="29" cm="1">
        <f t="array" ref="T474">IF(表成绩单[[#This Row],[化学]]="","",SUMPRODUCT((表成绩单[考试日期]=表成绩单[[#This Row],[考试日期]])*(表成绩单[化学]&lt;9E+307)*(表成绩单[化学]&gt;表成绩单[[#This Row],[化学]]))+1)</f>
        <v>605</v>
      </c>
      <c r="U474" s="29" cm="1">
        <f t="array" ref="U474">IF(表成绩单[[#This Row],[政治]]="","",SUMPRODUCT((表成绩单[考试日期]=表成绩单[[#This Row],[考试日期]])*(表成绩单[政治]&lt;9E+307)*(表成绩单[政治]&gt;表成绩单[[#This Row],[政治]]))+1)</f>
        <v>555</v>
      </c>
      <c r="V474" s="29" cm="1">
        <f t="array" ref="V474">IF(表成绩单[[#This Row],[历史]]="","",SUMPRODUCT((表成绩单[考试日期]=表成绩单[[#This Row],[考试日期]])*(表成绩单[历史]&lt;9E+307)*(表成绩单[历史]&gt;表成绩单[[#This Row],[历史]]))+1)</f>
        <v>505</v>
      </c>
      <c r="W474" s="29" cm="1">
        <f t="array" ref="W474">IF(表成绩单[[#This Row],[总分]]="","",SUMPRODUCT((表成绩单[考试日期]=表成绩单[[#This Row],[考试日期]])*(表成绩单[总分]&lt;9E+307)*(表成绩单[总分]&gt;表成绩单[[#This Row],[总分]]))+1)</f>
        <v>469</v>
      </c>
    </row>
    <row r="475" ht="28" customHeight="1" spans="4:23">
      <c r="D475" s="31">
        <v>45975</v>
      </c>
      <c r="E475" s="29">
        <v>19175689</v>
      </c>
      <c r="F475" s="29" t="s">
        <v>72</v>
      </c>
      <c r="G475" s="29" t="s">
        <v>548</v>
      </c>
      <c r="H475" s="29">
        <v>98</v>
      </c>
      <c r="I475" s="29">
        <v>88</v>
      </c>
      <c r="J475" s="29">
        <v>72</v>
      </c>
      <c r="K475" s="29">
        <v>85</v>
      </c>
      <c r="L475" s="29">
        <v>76</v>
      </c>
      <c r="M475" s="29">
        <v>71</v>
      </c>
      <c r="N475" s="29">
        <v>67</v>
      </c>
      <c r="O475" s="32">
        <v>557</v>
      </c>
      <c r="P475" s="29" cm="1">
        <f t="array" ref="P475">IF(表成绩单[[#This Row],[语文]]="","",SUMPRODUCT((表成绩单[考试日期]=表成绩单[[#This Row],[考试日期]])*(表成绩单[语文]&lt;9E+307)*(表成绩单[语文]&gt;表成绩单[[#This Row],[语文]]))+1)</f>
        <v>305</v>
      </c>
      <c r="Q475" s="29" cm="1">
        <f t="array" ref="Q475">IF(表成绩单[[#This Row],[数学]]="","",SUMPRODUCT((表成绩单[考试日期]=表成绩单[[#This Row],[考试日期]])*(表成绩单[数学]&lt;9E+307)*(表成绩单[数学]&gt;表成绩单[[#This Row],[数学]]))+1)</f>
        <v>527</v>
      </c>
      <c r="R475" s="29" cm="1">
        <f t="array" ref="R475">IF(表成绩单[[#This Row],[英语]]="","",SUMPRODUCT((表成绩单[考试日期]=表成绩单[[#This Row],[考试日期]])*(表成绩单[英语]&lt;9E+307)*(表成绩单[英语]&gt;表成绩单[[#This Row],[英语]]))+1)</f>
        <v>507</v>
      </c>
      <c r="S475" s="29" cm="1">
        <f t="array" ref="S475">IF(表成绩单[[#This Row],[物理]]="","",SUMPRODUCT((表成绩单[考试日期]=表成绩单[[#This Row],[考试日期]])*(表成绩单[物理]&lt;9E+307)*(表成绩单[物理]&gt;表成绩单[[#This Row],[物理]]))+1)</f>
        <v>263</v>
      </c>
      <c r="T475" s="29" cm="1">
        <f t="array" ref="T475">IF(表成绩单[[#This Row],[化学]]="","",SUMPRODUCT((表成绩单[考试日期]=表成绩单[[#This Row],[考试日期]])*(表成绩单[化学]&lt;9E+307)*(表成绩单[化学]&gt;表成绩单[[#This Row],[化学]]))+1)</f>
        <v>268</v>
      </c>
      <c r="U475" s="29" cm="1">
        <f t="array" ref="U475">IF(表成绩单[[#This Row],[政治]]="","",SUMPRODUCT((表成绩单[考试日期]=表成绩单[[#This Row],[考试日期]])*(表成绩单[政治]&lt;9E+307)*(表成绩单[政治]&gt;表成绩单[[#This Row],[政治]]))+1)</f>
        <v>467</v>
      </c>
      <c r="V475" s="29" cm="1">
        <f t="array" ref="V475">IF(表成绩单[[#This Row],[历史]]="","",SUMPRODUCT((表成绩单[考试日期]=表成绩单[[#This Row],[考试日期]])*(表成绩单[历史]&lt;9E+307)*(表成绩单[历史]&gt;表成绩单[[#This Row],[历史]]))+1)</f>
        <v>597</v>
      </c>
      <c r="W475" s="29" cm="1">
        <f t="array" ref="W475">IF(表成绩单[[#This Row],[总分]]="","",SUMPRODUCT((表成绩单[考试日期]=表成绩单[[#This Row],[考试日期]])*(表成绩单[总分]&lt;9E+307)*(表成绩单[总分]&gt;表成绩单[[#This Row],[总分]]))+1)</f>
        <v>471</v>
      </c>
    </row>
    <row r="476" ht="28" customHeight="1" spans="4:23">
      <c r="D476" s="31">
        <v>45975</v>
      </c>
      <c r="E476" s="29">
        <v>19177650</v>
      </c>
      <c r="F476" s="29" t="s">
        <v>63</v>
      </c>
      <c r="G476" s="29" t="s">
        <v>549</v>
      </c>
      <c r="H476" s="29">
        <v>96</v>
      </c>
      <c r="I476" s="29">
        <v>112</v>
      </c>
      <c r="J476" s="29">
        <v>60</v>
      </c>
      <c r="K476" s="29">
        <v>84</v>
      </c>
      <c r="L476" s="29">
        <v>73</v>
      </c>
      <c r="M476" s="29">
        <v>62</v>
      </c>
      <c r="N476" s="29">
        <v>70</v>
      </c>
      <c r="O476" s="32">
        <v>557</v>
      </c>
      <c r="P476" s="29" cm="1">
        <f t="array" ref="P476">IF(表成绩单[[#This Row],[语文]]="","",SUMPRODUCT((表成绩单[考试日期]=表成绩单[[#This Row],[考试日期]])*(表成绩单[语文]&lt;9E+307)*(表成绩单[语文]&gt;表成绩单[[#This Row],[语文]]))+1)</f>
        <v>387</v>
      </c>
      <c r="Q476" s="29" cm="1">
        <f t="array" ref="Q476">IF(表成绩单[[#This Row],[数学]]="","",SUMPRODUCT((表成绩单[考试日期]=表成绩单[[#This Row],[考试日期]])*(表成绩单[数学]&lt;9E+307)*(表成绩单[数学]&gt;表成绩单[[#This Row],[数学]]))+1)</f>
        <v>112</v>
      </c>
      <c r="R476" s="29" cm="1">
        <f t="array" ref="R476">IF(表成绩单[[#This Row],[英语]]="","",SUMPRODUCT((表成绩单[考试日期]=表成绩单[[#This Row],[考试日期]])*(表成绩单[英语]&lt;9E+307)*(表成绩单[英语]&gt;表成绩单[[#This Row],[英语]]))+1)</f>
        <v>668</v>
      </c>
      <c r="S476" s="29" cm="1">
        <f t="array" ref="S476">IF(表成绩单[[#This Row],[物理]]="","",SUMPRODUCT((表成绩单[考试日期]=表成绩单[[#This Row],[考试日期]])*(表成绩单[物理]&lt;9E+307)*(表成绩单[物理]&gt;表成绩单[[#This Row],[物理]]))+1)</f>
        <v>344</v>
      </c>
      <c r="T476" s="29" cm="1">
        <f t="array" ref="T476">IF(表成绩单[[#This Row],[化学]]="","",SUMPRODUCT((表成绩单[考试日期]=表成绩单[[#This Row],[考试日期]])*(表成绩单[化学]&lt;9E+307)*(表成绩单[化学]&gt;表成绩单[[#This Row],[化学]]))+1)</f>
        <v>365</v>
      </c>
      <c r="U476" s="29" cm="1">
        <f t="array" ref="U476">IF(表成绩单[[#This Row],[政治]]="","",SUMPRODUCT((表成绩单[考试日期]=表成绩单[[#This Row],[考试日期]])*(表成绩单[政治]&lt;9E+307)*(表成绩单[政治]&gt;表成绩单[[#This Row],[政治]]))+1)</f>
        <v>628</v>
      </c>
      <c r="V476" s="29" cm="1">
        <f t="array" ref="V476">IF(表成绩单[[#This Row],[历史]]="","",SUMPRODUCT((表成绩单[考试日期]=表成绩单[[#This Row],[考试日期]])*(表成绩单[历史]&lt;9E+307)*(表成绩单[历史]&gt;表成绩单[[#This Row],[历史]]))+1)</f>
        <v>505</v>
      </c>
      <c r="W476" s="29" cm="1">
        <f t="array" ref="W476">IF(表成绩单[[#This Row],[总分]]="","",SUMPRODUCT((表成绩单[考试日期]=表成绩单[[#This Row],[考试日期]])*(表成绩单[总分]&lt;9E+307)*(表成绩单[总分]&gt;表成绩单[[#This Row],[总分]]))+1)</f>
        <v>471</v>
      </c>
    </row>
    <row r="477" ht="28" customHeight="1" spans="4:23">
      <c r="D477" s="31">
        <v>45975</v>
      </c>
      <c r="E477" s="29">
        <v>19172643</v>
      </c>
      <c r="F477" s="29" t="s">
        <v>60</v>
      </c>
      <c r="G477" s="29" t="s">
        <v>550</v>
      </c>
      <c r="H477" s="29">
        <v>94</v>
      </c>
      <c r="I477" s="29">
        <v>85</v>
      </c>
      <c r="J477" s="29">
        <v>78.5</v>
      </c>
      <c r="K477" s="29">
        <v>86</v>
      </c>
      <c r="L477" s="29">
        <v>67</v>
      </c>
      <c r="M477" s="29">
        <v>70</v>
      </c>
      <c r="N477" s="29">
        <v>76</v>
      </c>
      <c r="O477" s="32">
        <v>556.5</v>
      </c>
      <c r="P477" s="29" cm="1">
        <f t="array" ref="P477">IF(表成绩单[[#This Row],[语文]]="","",SUMPRODUCT((表成绩单[考试日期]=表成绩单[[#This Row],[考试日期]])*(表成绩单[语文]&lt;9E+307)*(表成绩单[语文]&gt;表成绩单[[#This Row],[语文]]))+1)</f>
        <v>452</v>
      </c>
      <c r="Q477" s="29" cm="1">
        <f t="array" ref="Q477">IF(表成绩单[[#This Row],[数学]]="","",SUMPRODUCT((表成绩单[考试日期]=表成绩单[[#This Row],[考试日期]])*(表成绩单[数学]&lt;9E+307)*(表成绩单[数学]&gt;表成绩单[[#This Row],[数学]]))+1)</f>
        <v>571</v>
      </c>
      <c r="R477" s="29" cm="1">
        <f t="array" ref="R477">IF(表成绩单[[#This Row],[英语]]="","",SUMPRODUCT((表成绩单[考试日期]=表成绩单[[#This Row],[考试日期]])*(表成绩单[英语]&lt;9E+307)*(表成绩单[英语]&gt;表成绩单[[#This Row],[英语]]))+1)</f>
        <v>314</v>
      </c>
      <c r="S477" s="29" cm="1">
        <f t="array" ref="S477">IF(表成绩单[[#This Row],[物理]]="","",SUMPRODUCT((表成绩单[考试日期]=表成绩单[[#This Row],[考试日期]])*(表成绩单[物理]&lt;9E+307)*(表成绩单[物理]&gt;表成绩单[[#This Row],[物理]]))+1)</f>
        <v>187</v>
      </c>
      <c r="T477" s="29" cm="1">
        <f t="array" ref="T477">IF(表成绩单[[#This Row],[化学]]="","",SUMPRODUCT((表成绩单[考试日期]=表成绩单[[#This Row],[考试日期]])*(表成绩单[化学]&lt;9E+307)*(表成绩单[化学]&gt;表成绩单[[#This Row],[化学]]))+1)</f>
        <v>524</v>
      </c>
      <c r="U477" s="29" cm="1">
        <f t="array" ref="U477">IF(表成绩单[[#This Row],[政治]]="","",SUMPRODUCT((表成绩单[考试日期]=表成绩单[[#This Row],[考试日期]])*(表成绩单[政治]&lt;9E+307)*(表成绩单[政治]&gt;表成绩单[[#This Row],[政治]]))+1)</f>
        <v>493</v>
      </c>
      <c r="V477" s="29" cm="1">
        <f t="array" ref="V477">IF(表成绩单[[#This Row],[历史]]="","",SUMPRODUCT((表成绩单[考试日期]=表成绩单[[#This Row],[考试日期]])*(表成绩单[历史]&lt;9E+307)*(表成绩单[历史]&gt;表成绩单[[#This Row],[历史]]))+1)</f>
        <v>278</v>
      </c>
      <c r="W477" s="29" cm="1">
        <f t="array" ref="W477">IF(表成绩单[[#This Row],[总分]]="","",SUMPRODUCT((表成绩单[考试日期]=表成绩单[[#This Row],[考试日期]])*(表成绩单[总分]&lt;9E+307)*(表成绩单[总分]&gt;表成绩单[[#This Row],[总分]]))+1)</f>
        <v>473</v>
      </c>
    </row>
    <row r="478" ht="28" customHeight="1" spans="4:23">
      <c r="D478" s="31">
        <v>45975</v>
      </c>
      <c r="E478" s="29">
        <v>19173244</v>
      </c>
      <c r="F478" s="29" t="s">
        <v>61</v>
      </c>
      <c r="G478" s="29" t="s">
        <v>551</v>
      </c>
      <c r="H478" s="29">
        <v>102</v>
      </c>
      <c r="I478" s="29">
        <v>82</v>
      </c>
      <c r="J478" s="29">
        <v>70.5</v>
      </c>
      <c r="K478" s="29">
        <v>83</v>
      </c>
      <c r="L478" s="29">
        <v>74</v>
      </c>
      <c r="M478" s="29">
        <v>74</v>
      </c>
      <c r="N478" s="29">
        <v>70</v>
      </c>
      <c r="O478" s="32">
        <v>555.5</v>
      </c>
      <c r="P478" s="29" cm="1">
        <f t="array" ref="P478">IF(表成绩单[[#This Row],[语文]]="","",SUMPRODUCT((表成绩单[考试日期]=表成绩单[[#This Row],[考试日期]])*(表成绩单[语文]&lt;9E+307)*(表成绩单[语文]&gt;表成绩单[[#This Row],[语文]]))+1)</f>
        <v>154</v>
      </c>
      <c r="Q478" s="29" cm="1">
        <f t="array" ref="Q478">IF(表成绩单[[#This Row],[数学]]="","",SUMPRODUCT((表成绩单[考试日期]=表成绩单[[#This Row],[考试日期]])*(表成绩单[数学]&lt;9E+307)*(表成绩单[数学]&gt;表成绩单[[#This Row],[数学]]))+1)</f>
        <v>607</v>
      </c>
      <c r="R478" s="29" cm="1">
        <f t="array" ref="R478">IF(表成绩单[[#This Row],[英语]]="","",SUMPRODUCT((表成绩单[考试日期]=表成绩单[[#This Row],[考试日期]])*(表成绩单[英语]&lt;9E+307)*(表成绩单[英语]&gt;表成绩单[[#This Row],[英语]]))+1)</f>
        <v>545</v>
      </c>
      <c r="S478" s="29" cm="1">
        <f t="array" ref="S478">IF(表成绩单[[#This Row],[物理]]="","",SUMPRODUCT((表成绩单[考试日期]=表成绩单[[#This Row],[考试日期]])*(表成绩单[物理]&lt;9E+307)*(表成绩单[物理]&gt;表成绩单[[#This Row],[物理]]))+1)</f>
        <v>390</v>
      </c>
      <c r="T478" s="29" cm="1">
        <f t="array" ref="T478">IF(表成绩单[[#This Row],[化学]]="","",SUMPRODUCT((表成绩单[考试日期]=表成绩单[[#This Row],[考试日期]])*(表成绩单[化学]&lt;9E+307)*(表成绩单[化学]&gt;表成绩单[[#This Row],[化学]]))+1)</f>
        <v>337</v>
      </c>
      <c r="U478" s="29" cm="1">
        <f t="array" ref="U478">IF(表成绩单[[#This Row],[政治]]="","",SUMPRODUCT((表成绩单[考试日期]=表成绩单[[#This Row],[考试日期]])*(表成绩单[政治]&lt;9E+307)*(表成绩单[政治]&gt;表成绩单[[#This Row],[政治]]))+1)</f>
        <v>389</v>
      </c>
      <c r="V478" s="29" cm="1">
        <f t="array" ref="V478">IF(表成绩单[[#This Row],[历史]]="","",SUMPRODUCT((表成绩单[考试日期]=表成绩单[[#This Row],[考试日期]])*(表成绩单[历史]&lt;9E+307)*(表成绩单[历史]&gt;表成绩单[[#This Row],[历史]]))+1)</f>
        <v>505</v>
      </c>
      <c r="W478" s="29" cm="1">
        <f t="array" ref="W478">IF(表成绩单[[#This Row],[总分]]="","",SUMPRODUCT((表成绩单[考试日期]=表成绩单[[#This Row],[考试日期]])*(表成绩单[总分]&lt;9E+307)*(表成绩单[总分]&gt;表成绩单[[#This Row],[总分]]))+1)</f>
        <v>474</v>
      </c>
    </row>
    <row r="479" ht="28" customHeight="1" spans="4:23">
      <c r="D479" s="31">
        <v>45975</v>
      </c>
      <c r="E479" s="29">
        <v>19172661</v>
      </c>
      <c r="F479" s="29" t="s">
        <v>60</v>
      </c>
      <c r="G479" s="29" t="s">
        <v>552</v>
      </c>
      <c r="H479" s="29">
        <v>97</v>
      </c>
      <c r="I479" s="29">
        <v>103</v>
      </c>
      <c r="J479" s="29">
        <v>67.5</v>
      </c>
      <c r="K479" s="29">
        <v>80</v>
      </c>
      <c r="L479" s="29">
        <v>59</v>
      </c>
      <c r="M479" s="29">
        <v>79</v>
      </c>
      <c r="N479" s="29">
        <v>69</v>
      </c>
      <c r="O479" s="32">
        <v>554.5</v>
      </c>
      <c r="P479" s="29" cm="1">
        <f t="array" ref="P479">IF(表成绩单[[#This Row],[语文]]="","",SUMPRODUCT((表成绩单[考试日期]=表成绩单[[#This Row],[考试日期]])*(表成绩单[语文]&lt;9E+307)*(表成绩单[语文]&gt;表成绩单[[#This Row],[语文]]))+1)</f>
        <v>349</v>
      </c>
      <c r="Q479" s="29" cm="1">
        <f t="array" ref="Q479">IF(表成绩单[[#This Row],[数学]]="","",SUMPRODUCT((表成绩单[考试日期]=表成绩单[[#This Row],[考试日期]])*(表成绩单[数学]&lt;9E+307)*(表成绩单[数学]&gt;表成绩单[[#This Row],[数学]]))+1)</f>
        <v>277</v>
      </c>
      <c r="R479" s="29" cm="1">
        <f t="array" ref="R479">IF(表成绩单[[#This Row],[英语]]="","",SUMPRODUCT((表成绩单[考试日期]=表成绩单[[#This Row],[考试日期]])*(表成绩单[英语]&lt;9E+307)*(表成绩单[英语]&gt;表成绩单[[#This Row],[英语]]))+1)</f>
        <v>590</v>
      </c>
      <c r="S479" s="29" cm="1">
        <f t="array" ref="S479">IF(表成绩单[[#This Row],[物理]]="","",SUMPRODUCT((表成绩单[考试日期]=表成绩单[[#This Row],[考试日期]])*(表成绩单[物理]&lt;9E+307)*(表成绩单[物理]&gt;表成绩单[[#This Row],[物理]]))+1)</f>
        <v>507</v>
      </c>
      <c r="T479" s="29" cm="1">
        <f t="array" ref="T479">IF(表成绩单[[#This Row],[化学]]="","",SUMPRODUCT((表成绩单[考试日期]=表成绩单[[#This Row],[考试日期]])*(表成绩单[化学]&lt;9E+307)*(表成绩单[化学]&gt;表成绩单[[#This Row],[化学]]))+1)</f>
        <v>648</v>
      </c>
      <c r="U479" s="29" cm="1">
        <f t="array" ref="U479">IF(表成绩单[[#This Row],[政治]]="","",SUMPRODUCT((表成绩单[考试日期]=表成绩单[[#This Row],[考试日期]])*(表成绩单[政治]&lt;9E+307)*(表成绩单[政治]&gt;表成绩单[[#This Row],[政治]]))+1)</f>
        <v>246</v>
      </c>
      <c r="V479" s="29" cm="1">
        <f t="array" ref="V479">IF(表成绩单[[#This Row],[历史]]="","",SUMPRODUCT((表成绩单[考试日期]=表成绩单[[#This Row],[考试日期]])*(表成绩单[历史]&lt;9E+307)*(表成绩单[历史]&gt;表成绩单[[#This Row],[历史]]))+1)</f>
        <v>541</v>
      </c>
      <c r="W479" s="29" cm="1">
        <f t="array" ref="W479">IF(表成绩单[[#This Row],[总分]]="","",SUMPRODUCT((表成绩单[考试日期]=表成绩单[[#This Row],[考试日期]])*(表成绩单[总分]&lt;9E+307)*(表成绩单[总分]&gt;表成绩单[[#This Row],[总分]]))+1)</f>
        <v>475</v>
      </c>
    </row>
    <row r="480" ht="28" customHeight="1" spans="4:23">
      <c r="D480" s="31">
        <v>45975</v>
      </c>
      <c r="E480" s="29">
        <v>19174433</v>
      </c>
      <c r="F480" s="29" t="s">
        <v>25</v>
      </c>
      <c r="G480" s="29" t="s">
        <v>553</v>
      </c>
      <c r="H480" s="29">
        <v>87</v>
      </c>
      <c r="I480" s="29">
        <v>106</v>
      </c>
      <c r="J480" s="29">
        <v>79.5</v>
      </c>
      <c r="K480" s="29">
        <v>78</v>
      </c>
      <c r="L480" s="29">
        <v>70</v>
      </c>
      <c r="M480" s="29">
        <v>73</v>
      </c>
      <c r="N480" s="29">
        <v>61</v>
      </c>
      <c r="O480" s="32">
        <v>554.5</v>
      </c>
      <c r="P480" s="29" cm="1">
        <f t="array" ref="P480">IF(表成绩单[[#This Row],[语文]]="","",SUMPRODUCT((表成绩单[考试日期]=表成绩单[[#This Row],[考试日期]])*(表成绩单[语文]&lt;9E+307)*(表成绩单[语文]&gt;表成绩单[[#This Row],[语文]]))+1)</f>
        <v>615</v>
      </c>
      <c r="Q480" s="29" cm="1">
        <f t="array" ref="Q480">IF(表成绩单[[#This Row],[数学]]="","",SUMPRODUCT((表成绩单[考试日期]=表成绩单[[#This Row],[考试日期]])*(表成绩单[数学]&lt;9E+307)*(表成绩单[数学]&gt;表成绩单[[#This Row],[数学]]))+1)</f>
        <v>220</v>
      </c>
      <c r="R480" s="29" cm="1">
        <f t="array" ref="R480">IF(表成绩单[[#This Row],[英语]]="","",SUMPRODUCT((表成绩单[考试日期]=表成绩单[[#This Row],[考试日期]])*(表成绩单[英语]&lt;9E+307)*(表成绩单[英语]&gt;表成绩单[[#This Row],[英语]]))+1)</f>
        <v>279</v>
      </c>
      <c r="S480" s="29" cm="1">
        <f t="array" ref="S480">IF(表成绩单[[#This Row],[物理]]="","",SUMPRODUCT((表成绩单[考试日期]=表成绩单[[#This Row],[考试日期]])*(表成绩单[物理]&lt;9E+307)*(表成绩单[物理]&gt;表成绩单[[#This Row],[物理]]))+1)</f>
        <v>554</v>
      </c>
      <c r="T480" s="29" cm="1">
        <f t="array" ref="T480">IF(表成绩单[[#This Row],[化学]]="","",SUMPRODUCT((表成绩单[考试日期]=表成绩单[[#This Row],[考试日期]])*(表成绩单[化学]&lt;9E+307)*(表成绩单[化学]&gt;表成绩单[[#This Row],[化学]]))+1)</f>
        <v>453</v>
      </c>
      <c r="U480" s="29" cm="1">
        <f t="array" ref="U480">IF(表成绩单[[#This Row],[政治]]="","",SUMPRODUCT((表成绩单[考试日期]=表成绩单[[#This Row],[考试日期]])*(表成绩单[政治]&lt;9E+307)*(表成绩单[政治]&gt;表成绩单[[#This Row],[政治]]))+1)</f>
        <v>418</v>
      </c>
      <c r="V480" s="29" cm="1">
        <f t="array" ref="V480">IF(表成绩单[[#This Row],[历史]]="","",SUMPRODUCT((表成绩单[考试日期]=表成绩单[[#This Row],[考试日期]])*(表成绩单[历史]&lt;9E+307)*(表成绩单[历史]&gt;表成绩单[[#This Row],[历史]]))+1)</f>
        <v>702</v>
      </c>
      <c r="W480" s="29" cm="1">
        <f t="array" ref="W480">IF(表成绩单[[#This Row],[总分]]="","",SUMPRODUCT((表成绩单[考试日期]=表成绩单[[#This Row],[考试日期]])*(表成绩单[总分]&lt;9E+307)*(表成绩单[总分]&gt;表成绩单[[#This Row],[总分]]))+1)</f>
        <v>475</v>
      </c>
    </row>
    <row r="481" ht="28" customHeight="1" spans="4:23">
      <c r="D481" s="31">
        <v>45975</v>
      </c>
      <c r="E481" s="29">
        <v>19171087</v>
      </c>
      <c r="F481" s="29" t="s">
        <v>67</v>
      </c>
      <c r="G481" s="29" t="s">
        <v>554</v>
      </c>
      <c r="H481" s="29">
        <v>95</v>
      </c>
      <c r="I481" s="29">
        <v>95</v>
      </c>
      <c r="J481" s="29">
        <v>79</v>
      </c>
      <c r="K481" s="29">
        <v>87</v>
      </c>
      <c r="L481" s="29">
        <v>67</v>
      </c>
      <c r="M481" s="29">
        <v>64</v>
      </c>
      <c r="N481" s="29">
        <v>67</v>
      </c>
      <c r="O481" s="32">
        <v>554</v>
      </c>
      <c r="P481" s="29" cm="1">
        <f t="array" ref="P481">IF(表成绩单[[#This Row],[语文]]="","",SUMPRODUCT((表成绩单[考试日期]=表成绩单[[#This Row],[考试日期]])*(表成绩单[语文]&lt;9E+307)*(表成绩单[语文]&gt;表成绩单[[#This Row],[语文]]))+1)</f>
        <v>420</v>
      </c>
      <c r="Q481" s="29" cm="1">
        <f t="array" ref="Q481">IF(表成绩单[[#This Row],[数学]]="","",SUMPRODUCT((表成绩单[考试日期]=表成绩单[[#This Row],[考试日期]])*(表成绩单[数学]&lt;9E+307)*(表成绩单[数学]&gt;表成绩单[[#This Row],[数学]]))+1)</f>
        <v>430</v>
      </c>
      <c r="R481" s="29" cm="1">
        <f t="array" ref="R481">IF(表成绩单[[#This Row],[英语]]="","",SUMPRODUCT((表成绩单[考试日期]=表成绩单[[#This Row],[考试日期]])*(表成绩单[英语]&lt;9E+307)*(表成绩单[英语]&gt;表成绩单[[#This Row],[英语]]))+1)</f>
        <v>292</v>
      </c>
      <c r="S481" s="29" cm="1">
        <f t="array" ref="S481">IF(表成绩单[[#This Row],[物理]]="","",SUMPRODUCT((表成绩单[考试日期]=表成绩单[[#This Row],[考试日期]])*(表成绩单[物理]&lt;9E+307)*(表成绩单[物理]&gt;表成绩单[[#This Row],[物理]]))+1)</f>
        <v>127</v>
      </c>
      <c r="T481" s="29" cm="1">
        <f t="array" ref="T481">IF(表成绩单[[#This Row],[化学]]="","",SUMPRODUCT((表成绩单[考试日期]=表成绩单[[#This Row],[考试日期]])*(表成绩单[化学]&lt;9E+307)*(表成绩单[化学]&gt;表成绩单[[#This Row],[化学]]))+1)</f>
        <v>524</v>
      </c>
      <c r="U481" s="29" cm="1">
        <f t="array" ref="U481">IF(表成绩单[[#This Row],[政治]]="","",SUMPRODUCT((表成绩单[考试日期]=表成绩单[[#This Row],[考试日期]])*(表成绩单[政治]&lt;9E+307)*(表成绩单[政治]&gt;表成绩单[[#This Row],[政治]]))+1)</f>
        <v>599</v>
      </c>
      <c r="V481" s="29" cm="1">
        <f t="array" ref="V481">IF(表成绩单[[#This Row],[历史]]="","",SUMPRODUCT((表成绩单[考试日期]=表成绩单[[#This Row],[考试日期]])*(表成绩单[历史]&lt;9E+307)*(表成绩单[历史]&gt;表成绩单[[#This Row],[历史]]))+1)</f>
        <v>597</v>
      </c>
      <c r="W481" s="29" cm="1">
        <f t="array" ref="W481">IF(表成绩单[[#This Row],[总分]]="","",SUMPRODUCT((表成绩单[考试日期]=表成绩单[[#This Row],[考试日期]])*(表成绩单[总分]&lt;9E+307)*(表成绩单[总分]&gt;表成绩单[[#This Row],[总分]]))+1)</f>
        <v>477</v>
      </c>
    </row>
    <row r="482" ht="28" customHeight="1" spans="4:23">
      <c r="D482" s="31">
        <v>45975</v>
      </c>
      <c r="E482" s="29">
        <v>19173784</v>
      </c>
      <c r="F482" s="29" t="s">
        <v>65</v>
      </c>
      <c r="G482" s="29" t="s">
        <v>555</v>
      </c>
      <c r="H482" s="29">
        <v>102</v>
      </c>
      <c r="I482" s="29">
        <v>85</v>
      </c>
      <c r="J482" s="29">
        <v>78</v>
      </c>
      <c r="K482" s="29">
        <v>76</v>
      </c>
      <c r="L482" s="29">
        <v>70</v>
      </c>
      <c r="M482" s="29">
        <v>73</v>
      </c>
      <c r="N482" s="29">
        <v>70</v>
      </c>
      <c r="O482" s="32">
        <v>554</v>
      </c>
      <c r="P482" s="29" cm="1">
        <f t="array" ref="P482">IF(表成绩单[[#This Row],[语文]]="","",SUMPRODUCT((表成绩单[考试日期]=表成绩单[[#This Row],[考试日期]])*(表成绩单[语文]&lt;9E+307)*(表成绩单[语文]&gt;表成绩单[[#This Row],[语文]]))+1)</f>
        <v>154</v>
      </c>
      <c r="Q482" s="29" cm="1">
        <f t="array" ref="Q482">IF(表成绩单[[#This Row],[数学]]="","",SUMPRODUCT((表成绩单[考试日期]=表成绩单[[#This Row],[考试日期]])*(表成绩单[数学]&lt;9E+307)*(表成绩单[数学]&gt;表成绩单[[#This Row],[数学]]))+1)</f>
        <v>571</v>
      </c>
      <c r="R482" s="29" cm="1">
        <f t="array" ref="R482">IF(表成绩单[[#This Row],[英语]]="","",SUMPRODUCT((表成绩单[考试日期]=表成绩单[[#This Row],[考试日期]])*(表成绩单[英语]&lt;9E+307)*(表成绩单[英语]&gt;表成绩单[[#This Row],[英语]]))+1)</f>
        <v>330</v>
      </c>
      <c r="S482" s="29" cm="1">
        <f t="array" ref="S482">IF(表成绩单[[#This Row],[物理]]="","",SUMPRODUCT((表成绩单[考试日期]=表成绩单[[#This Row],[考试日期]])*(表成绩单[物理]&lt;9E+307)*(表成绩单[物理]&gt;表成绩单[[#This Row],[物理]]))+1)</f>
        <v>589</v>
      </c>
      <c r="T482" s="29" cm="1">
        <f t="array" ref="T482">IF(表成绩单[[#This Row],[化学]]="","",SUMPRODUCT((表成绩单[考试日期]=表成绩单[[#This Row],[考试日期]])*(表成绩单[化学]&lt;9E+307)*(表成绩单[化学]&gt;表成绩单[[#This Row],[化学]]))+1)</f>
        <v>453</v>
      </c>
      <c r="U482" s="29" cm="1">
        <f t="array" ref="U482">IF(表成绩单[[#This Row],[政治]]="","",SUMPRODUCT((表成绩单[考试日期]=表成绩单[[#This Row],[考试日期]])*(表成绩单[政治]&lt;9E+307)*(表成绩单[政治]&gt;表成绩单[[#This Row],[政治]]))+1)</f>
        <v>418</v>
      </c>
      <c r="V482" s="29" cm="1">
        <f t="array" ref="V482">IF(表成绩单[[#This Row],[历史]]="","",SUMPRODUCT((表成绩单[考试日期]=表成绩单[[#This Row],[考试日期]])*(表成绩单[历史]&lt;9E+307)*(表成绩单[历史]&gt;表成绩单[[#This Row],[历史]]))+1)</f>
        <v>505</v>
      </c>
      <c r="W482" s="29" cm="1">
        <f t="array" ref="W482">IF(表成绩单[[#This Row],[总分]]="","",SUMPRODUCT((表成绩单[考试日期]=表成绩单[[#This Row],[考试日期]])*(表成绩单[总分]&lt;9E+307)*(表成绩单[总分]&gt;表成绩单[[#This Row],[总分]]))+1)</f>
        <v>477</v>
      </c>
    </row>
    <row r="483" ht="28" customHeight="1" spans="4:23">
      <c r="D483" s="31">
        <v>45975</v>
      </c>
      <c r="E483" s="29">
        <v>19174474</v>
      </c>
      <c r="F483" s="29" t="s">
        <v>73</v>
      </c>
      <c r="G483" s="29" t="s">
        <v>556</v>
      </c>
      <c r="H483" s="29">
        <v>89</v>
      </c>
      <c r="I483" s="29">
        <v>111</v>
      </c>
      <c r="J483" s="29">
        <v>72</v>
      </c>
      <c r="K483" s="29">
        <v>81</v>
      </c>
      <c r="L483" s="29">
        <v>81</v>
      </c>
      <c r="M483" s="29">
        <v>52</v>
      </c>
      <c r="N483" s="29">
        <v>68</v>
      </c>
      <c r="O483" s="32">
        <v>554</v>
      </c>
      <c r="P483" s="29" cm="1">
        <f t="array" ref="P483">IF(表成绩单[[#This Row],[语文]]="","",SUMPRODUCT((表成绩单[考试日期]=表成绩单[[#This Row],[考试日期]])*(表成绩单[语文]&lt;9E+307)*(表成绩单[语文]&gt;表成绩单[[#This Row],[语文]]))+1)</f>
        <v>582</v>
      </c>
      <c r="Q483" s="29" cm="1">
        <f t="array" ref="Q483">IF(表成绩单[[#This Row],[数学]]="","",SUMPRODUCT((表成绩单[考试日期]=表成绩单[[#This Row],[考试日期]])*(表成绩单[数学]&lt;9E+307)*(表成绩单[数学]&gt;表成绩单[[#This Row],[数学]]))+1)</f>
        <v>134</v>
      </c>
      <c r="R483" s="29" cm="1">
        <f t="array" ref="R483">IF(表成绩单[[#This Row],[英语]]="","",SUMPRODUCT((表成绩单[考试日期]=表成绩单[[#This Row],[考试日期]])*(表成绩单[英语]&lt;9E+307)*(表成绩单[英语]&gt;表成绩单[[#This Row],[英语]]))+1)</f>
        <v>507</v>
      </c>
      <c r="S483" s="29" cm="1">
        <f t="array" ref="S483">IF(表成绩单[[#This Row],[物理]]="","",SUMPRODUCT((表成绩单[考试日期]=表成绩单[[#This Row],[考试日期]])*(表成绩单[物理]&lt;9E+307)*(表成绩单[物理]&gt;表成绩单[[#This Row],[物理]]))+1)</f>
        <v>474</v>
      </c>
      <c r="T483" s="29" cm="1">
        <f t="array" ref="T483">IF(表成绩单[[#This Row],[化学]]="","",SUMPRODUCT((表成绩单[考试日期]=表成绩单[[#This Row],[考试日期]])*(表成绩单[化学]&lt;9E+307)*(表成绩单[化学]&gt;表成绩单[[#This Row],[化学]]))+1)</f>
        <v>100</v>
      </c>
      <c r="U483" s="29" cm="1">
        <f t="array" ref="U483">IF(表成绩单[[#This Row],[政治]]="","",SUMPRODUCT((表成绩单[考试日期]=表成绩单[[#This Row],[考试日期]])*(表成绩单[政治]&lt;9E+307)*(表成绩单[政治]&gt;表成绩单[[#This Row],[政治]]))+1)</f>
        <v>743</v>
      </c>
      <c r="V483" s="29" cm="1">
        <f t="array" ref="V483">IF(表成绩单[[#This Row],[历史]]="","",SUMPRODUCT((表成绩单[考试日期]=表成绩单[[#This Row],[考试日期]])*(表成绩单[历史]&lt;9E+307)*(表成绩单[历史]&gt;表成绩单[[#This Row],[历史]]))+1)</f>
        <v>571</v>
      </c>
      <c r="W483" s="29" cm="1">
        <f t="array" ref="W483">IF(表成绩单[[#This Row],[总分]]="","",SUMPRODUCT((表成绩单[考试日期]=表成绩单[[#This Row],[考试日期]])*(表成绩单[总分]&lt;9E+307)*(表成绩单[总分]&gt;表成绩单[[#This Row],[总分]]))+1)</f>
        <v>477</v>
      </c>
    </row>
    <row r="484" ht="28" customHeight="1" spans="4:23">
      <c r="D484" s="31">
        <v>45975</v>
      </c>
      <c r="E484" s="29">
        <v>19178623</v>
      </c>
      <c r="F484" s="29" t="s">
        <v>25</v>
      </c>
      <c r="G484" s="29" t="s">
        <v>557</v>
      </c>
      <c r="H484" s="29">
        <v>96</v>
      </c>
      <c r="I484" s="29">
        <v>92</v>
      </c>
      <c r="J484" s="29">
        <v>64</v>
      </c>
      <c r="K484" s="29">
        <v>83</v>
      </c>
      <c r="L484" s="29">
        <v>67</v>
      </c>
      <c r="M484" s="29">
        <v>80</v>
      </c>
      <c r="N484" s="29">
        <v>72</v>
      </c>
      <c r="O484" s="32">
        <v>554</v>
      </c>
      <c r="P484" s="29" cm="1">
        <f t="array" ref="P484">IF(表成绩单[[#This Row],[语文]]="","",SUMPRODUCT((表成绩单[考试日期]=表成绩单[[#This Row],[考试日期]])*(表成绩单[语文]&lt;9E+307)*(表成绩单[语文]&gt;表成绩单[[#This Row],[语文]]))+1)</f>
        <v>387</v>
      </c>
      <c r="Q484" s="29" cm="1">
        <f t="array" ref="Q484">IF(表成绩单[[#This Row],[数学]]="","",SUMPRODUCT((表成绩单[考试日期]=表成绩单[[#This Row],[考试日期]])*(表成绩单[数学]&lt;9E+307)*(表成绩单[数学]&gt;表成绩单[[#This Row],[数学]]))+1)</f>
        <v>480</v>
      </c>
      <c r="R484" s="29" cm="1">
        <f t="array" ref="R484">IF(表成绩单[[#This Row],[英语]]="","",SUMPRODUCT((表成绩单[考试日期]=表成绩单[[#This Row],[考试日期]])*(表成绩单[英语]&lt;9E+307)*(表成绩单[英语]&gt;表成绩单[[#This Row],[英语]]))+1)</f>
        <v>630</v>
      </c>
      <c r="S484" s="29" cm="1">
        <f t="array" ref="S484">IF(表成绩单[[#This Row],[物理]]="","",SUMPRODUCT((表成绩单[考试日期]=表成绩单[[#This Row],[考试日期]])*(表成绩单[物理]&lt;9E+307)*(表成绩单[物理]&gt;表成绩单[[#This Row],[物理]]))+1)</f>
        <v>390</v>
      </c>
      <c r="T484" s="29" cm="1">
        <f t="array" ref="T484">IF(表成绩单[[#This Row],[化学]]="","",SUMPRODUCT((表成绩单[考试日期]=表成绩单[[#This Row],[考试日期]])*(表成绩单[化学]&lt;9E+307)*(表成绩单[化学]&gt;表成绩单[[#This Row],[化学]]))+1)</f>
        <v>524</v>
      </c>
      <c r="U484" s="29" cm="1">
        <f t="array" ref="U484">IF(表成绩单[[#This Row],[政治]]="","",SUMPRODUCT((表成绩单[考试日期]=表成绩单[[#This Row],[考试日期]])*(表成绩单[政治]&lt;9E+307)*(表成绩单[政治]&gt;表成绩单[[#This Row],[政治]]))+1)</f>
        <v>209</v>
      </c>
      <c r="V484" s="29" cm="1">
        <f t="array" ref="V484">IF(表成绩单[[#This Row],[历史]]="","",SUMPRODUCT((表成绩单[考试日期]=表成绩单[[#This Row],[考试日期]])*(表成绩单[历史]&lt;9E+307)*(表成绩单[历史]&gt;表成绩单[[#This Row],[历史]]))+1)</f>
        <v>438</v>
      </c>
      <c r="W484" s="29" cm="1">
        <f t="array" ref="W484">IF(表成绩单[[#This Row],[总分]]="","",SUMPRODUCT((表成绩单[考试日期]=表成绩单[[#This Row],[考试日期]])*(表成绩单[总分]&lt;9E+307)*(表成绩单[总分]&gt;表成绩单[[#This Row],[总分]]))+1)</f>
        <v>477</v>
      </c>
    </row>
    <row r="485" ht="28" customHeight="1" spans="4:23">
      <c r="D485" s="31">
        <v>45975</v>
      </c>
      <c r="E485" s="29">
        <v>19178584</v>
      </c>
      <c r="F485" s="29" t="s">
        <v>64</v>
      </c>
      <c r="G485" s="29" t="s">
        <v>558</v>
      </c>
      <c r="H485" s="29">
        <v>97</v>
      </c>
      <c r="I485" s="29">
        <v>102</v>
      </c>
      <c r="J485" s="29">
        <v>76.5</v>
      </c>
      <c r="K485" s="29">
        <v>85</v>
      </c>
      <c r="L485" s="29">
        <v>56</v>
      </c>
      <c r="M485" s="29">
        <v>67</v>
      </c>
      <c r="N485" s="29">
        <v>70</v>
      </c>
      <c r="O485" s="32">
        <v>553.5</v>
      </c>
      <c r="P485" s="29" cm="1">
        <f t="array" ref="P485">IF(表成绩单[[#This Row],[语文]]="","",SUMPRODUCT((表成绩单[考试日期]=表成绩单[[#This Row],[考试日期]])*(表成绩单[语文]&lt;9E+307)*(表成绩单[语文]&gt;表成绩单[[#This Row],[语文]]))+1)</f>
        <v>349</v>
      </c>
      <c r="Q485" s="29" cm="1">
        <f t="array" ref="Q485">IF(表成绩单[[#This Row],[数学]]="","",SUMPRODUCT((表成绩单[考试日期]=表成绩单[[#This Row],[考试日期]])*(表成绩单[数学]&lt;9E+307)*(表成绩单[数学]&gt;表成绩单[[#This Row],[数学]]))+1)</f>
        <v>298</v>
      </c>
      <c r="R485" s="29" cm="1">
        <f t="array" ref="R485">IF(表成绩单[[#This Row],[英语]]="","",SUMPRODUCT((表成绩单[考试日期]=表成绩单[[#This Row],[考试日期]])*(表成绩单[英语]&lt;9E+307)*(表成绩单[英语]&gt;表成绩单[[#This Row],[英语]]))+1)</f>
        <v>382</v>
      </c>
      <c r="S485" s="29" cm="1">
        <f t="array" ref="S485">IF(表成绩单[[#This Row],[物理]]="","",SUMPRODUCT((表成绩单[考试日期]=表成绩单[[#This Row],[考试日期]])*(表成绩单[物理]&lt;9E+307)*(表成绩单[物理]&gt;表成绩单[[#This Row],[物理]]))+1)</f>
        <v>263</v>
      </c>
      <c r="T485" s="29" cm="1">
        <f t="array" ref="T485">IF(表成绩单[[#This Row],[化学]]="","",SUMPRODUCT((表成绩单[考试日期]=表成绩单[[#This Row],[考试日期]])*(表成绩单[化学]&lt;9E+307)*(表成绩单[化学]&gt;表成绩单[[#This Row],[化学]]))+1)</f>
        <v>680</v>
      </c>
      <c r="U485" s="29" cm="1">
        <f t="array" ref="U485">IF(表成绩单[[#This Row],[政治]]="","",SUMPRODUCT((表成绩单[考试日期]=表成绩单[[#This Row],[考试日期]])*(表成绩单[政治]&lt;9E+307)*(表成绩单[政治]&gt;表成绩单[[#This Row],[政治]]))+1)</f>
        <v>543</v>
      </c>
      <c r="V485" s="29" cm="1">
        <f t="array" ref="V485">IF(表成绩单[[#This Row],[历史]]="","",SUMPRODUCT((表成绩单[考试日期]=表成绩单[[#This Row],[考试日期]])*(表成绩单[历史]&lt;9E+307)*(表成绩单[历史]&gt;表成绩单[[#This Row],[历史]]))+1)</f>
        <v>505</v>
      </c>
      <c r="W485" s="29" cm="1">
        <f t="array" ref="W485">IF(表成绩单[[#This Row],[总分]]="","",SUMPRODUCT((表成绩单[考试日期]=表成绩单[[#This Row],[考试日期]])*(表成绩单[总分]&lt;9E+307)*(表成绩单[总分]&gt;表成绩单[[#This Row],[总分]]))+1)</f>
        <v>481</v>
      </c>
    </row>
    <row r="486" ht="28" customHeight="1" spans="4:23">
      <c r="D486" s="31">
        <v>45975</v>
      </c>
      <c r="E486" s="29">
        <v>19175614</v>
      </c>
      <c r="F486" s="29" t="s">
        <v>57</v>
      </c>
      <c r="G486" s="29" t="s">
        <v>559</v>
      </c>
      <c r="H486" s="29">
        <v>99</v>
      </c>
      <c r="I486" s="29">
        <v>82</v>
      </c>
      <c r="J486" s="29">
        <v>78</v>
      </c>
      <c r="K486" s="29">
        <v>80</v>
      </c>
      <c r="L486" s="29">
        <v>65</v>
      </c>
      <c r="M486" s="29">
        <v>75</v>
      </c>
      <c r="N486" s="29">
        <v>74</v>
      </c>
      <c r="O486" s="32">
        <v>553</v>
      </c>
      <c r="P486" s="29" cm="1">
        <f t="array" ref="P486">IF(表成绩单[[#This Row],[语文]]="","",SUMPRODUCT((表成绩单[考试日期]=表成绩单[[#This Row],[考试日期]])*(表成绩单[语文]&lt;9E+307)*(表成绩单[语文]&gt;表成绩单[[#This Row],[语文]]))+1)</f>
        <v>264</v>
      </c>
      <c r="Q486" s="29" cm="1">
        <f t="array" ref="Q486">IF(表成绩单[[#This Row],[数学]]="","",SUMPRODUCT((表成绩单[考试日期]=表成绩单[[#This Row],[考试日期]])*(表成绩单[数学]&lt;9E+307)*(表成绩单[数学]&gt;表成绩单[[#This Row],[数学]]))+1)</f>
        <v>607</v>
      </c>
      <c r="R486" s="29" cm="1">
        <f t="array" ref="R486">IF(表成绩单[[#This Row],[英语]]="","",SUMPRODUCT((表成绩单[考试日期]=表成绩单[[#This Row],[考试日期]])*(表成绩单[英语]&lt;9E+307)*(表成绩单[英语]&gt;表成绩单[[#This Row],[英语]]))+1)</f>
        <v>330</v>
      </c>
      <c r="S486" s="29" cm="1">
        <f t="array" ref="S486">IF(表成绩单[[#This Row],[物理]]="","",SUMPRODUCT((表成绩单[考试日期]=表成绩单[[#This Row],[考试日期]])*(表成绩单[物理]&lt;9E+307)*(表成绩单[物理]&gt;表成绩单[[#This Row],[物理]]))+1)</f>
        <v>507</v>
      </c>
      <c r="T486" s="29" cm="1">
        <f t="array" ref="T486">IF(表成绩单[[#This Row],[化学]]="","",SUMPRODUCT((表成绩单[考试日期]=表成绩单[[#This Row],[考试日期]])*(表成绩单[化学]&lt;9E+307)*(表成绩单[化学]&gt;表成绩单[[#This Row],[化学]]))+1)</f>
        <v>559</v>
      </c>
      <c r="U486" s="29" cm="1">
        <f t="array" ref="U486">IF(表成绩单[[#This Row],[政治]]="","",SUMPRODUCT((表成绩单[考试日期]=表成绩单[[#This Row],[考试日期]])*(表成绩单[政治]&lt;9E+307)*(表成绩单[政治]&gt;表成绩单[[#This Row],[政治]]))+1)</f>
        <v>363</v>
      </c>
      <c r="V486" s="29" cm="1">
        <f t="array" ref="V486">IF(表成绩单[[#This Row],[历史]]="","",SUMPRODUCT((表成绩单[考试日期]=表成绩单[[#This Row],[考试日期]])*(表成绩单[历史]&lt;9E+307)*(表成绩单[历史]&gt;表成绩单[[#This Row],[历史]]))+1)</f>
        <v>358</v>
      </c>
      <c r="W486" s="29" cm="1">
        <f t="array" ref="W486">IF(表成绩单[[#This Row],[总分]]="","",SUMPRODUCT((表成绩单[考试日期]=表成绩单[[#This Row],[考试日期]])*(表成绩单[总分]&lt;9E+307)*(表成绩单[总分]&gt;表成绩单[[#This Row],[总分]]))+1)</f>
        <v>482</v>
      </c>
    </row>
    <row r="487" ht="28" customHeight="1" spans="4:23">
      <c r="D487" s="31">
        <v>45975</v>
      </c>
      <c r="E487" s="29">
        <v>19175288</v>
      </c>
      <c r="F487" s="29" t="s">
        <v>55</v>
      </c>
      <c r="G487" s="29" t="s">
        <v>560</v>
      </c>
      <c r="H487" s="29">
        <v>97</v>
      </c>
      <c r="I487" s="29">
        <v>93</v>
      </c>
      <c r="J487" s="29">
        <v>81.5</v>
      </c>
      <c r="K487" s="29">
        <v>84</v>
      </c>
      <c r="L487" s="29">
        <v>66</v>
      </c>
      <c r="M487" s="29">
        <v>61</v>
      </c>
      <c r="N487" s="29">
        <v>70</v>
      </c>
      <c r="O487" s="32">
        <v>552.5</v>
      </c>
      <c r="P487" s="29" cm="1">
        <f t="array" ref="P487">IF(表成绩单[[#This Row],[语文]]="","",SUMPRODUCT((表成绩单[考试日期]=表成绩单[[#This Row],[考试日期]])*(表成绩单[语文]&lt;9E+307)*(表成绩单[语文]&gt;表成绩单[[#This Row],[语文]]))+1)</f>
        <v>349</v>
      </c>
      <c r="Q487" s="29" cm="1">
        <f t="array" ref="Q487">IF(表成绩单[[#This Row],[数学]]="","",SUMPRODUCT((表成绩单[考试日期]=表成绩单[[#This Row],[考试日期]])*(表成绩单[数学]&lt;9E+307)*(表成绩单[数学]&gt;表成绩单[[#This Row],[数学]]))+1)</f>
        <v>469</v>
      </c>
      <c r="R487" s="29" cm="1">
        <f t="array" ref="R487">IF(表成绩单[[#This Row],[英语]]="","",SUMPRODUCT((表成绩单[考试日期]=表成绩单[[#This Row],[考试日期]])*(表成绩单[英语]&lt;9E+307)*(表成绩单[英语]&gt;表成绩单[[#This Row],[英语]]))+1)</f>
        <v>220</v>
      </c>
      <c r="S487" s="29" cm="1">
        <f t="array" ref="S487">IF(表成绩单[[#This Row],[物理]]="","",SUMPRODUCT((表成绩单[考试日期]=表成绩单[[#This Row],[考试日期]])*(表成绩单[物理]&lt;9E+307)*(表成绩单[物理]&gt;表成绩单[[#This Row],[物理]]))+1)</f>
        <v>344</v>
      </c>
      <c r="T487" s="29" cm="1">
        <f t="array" ref="T487">IF(表成绩单[[#This Row],[化学]]="","",SUMPRODUCT((表成绩单[考试日期]=表成绩单[[#This Row],[考试日期]])*(表成绩单[化学]&lt;9E+307)*(表成绩单[化学]&gt;表成绩单[[#This Row],[化学]]))+1)</f>
        <v>542</v>
      </c>
      <c r="U487" s="29" cm="1">
        <f t="array" ref="U487">IF(表成绩单[[#This Row],[政治]]="","",SUMPRODUCT((表成绩单[考试日期]=表成绩单[[#This Row],[考试日期]])*(表成绩单[政治]&lt;9E+307)*(表成绩单[政治]&gt;表成绩单[[#This Row],[政治]]))+1)</f>
        <v>644</v>
      </c>
      <c r="V487" s="29" cm="1">
        <f t="array" ref="V487">IF(表成绩单[[#This Row],[历史]]="","",SUMPRODUCT((表成绩单[考试日期]=表成绩单[[#This Row],[考试日期]])*(表成绩单[历史]&lt;9E+307)*(表成绩单[历史]&gt;表成绩单[[#This Row],[历史]]))+1)</f>
        <v>505</v>
      </c>
      <c r="W487" s="29" cm="1">
        <f t="array" ref="W487">IF(表成绩单[[#This Row],[总分]]="","",SUMPRODUCT((表成绩单[考试日期]=表成绩单[[#This Row],[考试日期]])*(表成绩单[总分]&lt;9E+307)*(表成绩单[总分]&gt;表成绩单[[#This Row],[总分]]))+1)</f>
        <v>483</v>
      </c>
    </row>
    <row r="488" ht="28" customHeight="1" spans="4:23">
      <c r="D488" s="31">
        <v>45975</v>
      </c>
      <c r="E488" s="29">
        <v>19178597</v>
      </c>
      <c r="F488" s="29" t="s">
        <v>64</v>
      </c>
      <c r="G488" s="29" t="s">
        <v>561</v>
      </c>
      <c r="H488" s="29">
        <v>98</v>
      </c>
      <c r="I488" s="29">
        <v>98</v>
      </c>
      <c r="J488" s="29">
        <v>72</v>
      </c>
      <c r="K488" s="29">
        <v>81</v>
      </c>
      <c r="L488" s="29">
        <v>63</v>
      </c>
      <c r="M488" s="29">
        <v>71</v>
      </c>
      <c r="N488" s="29">
        <v>69</v>
      </c>
      <c r="O488" s="32">
        <v>552</v>
      </c>
      <c r="P488" s="29" cm="1">
        <f t="array" ref="P488">IF(表成绩单[[#This Row],[语文]]="","",SUMPRODUCT((表成绩单[考试日期]=表成绩单[[#This Row],[考试日期]])*(表成绩单[语文]&lt;9E+307)*(表成绩单[语文]&gt;表成绩单[[#This Row],[语文]]))+1)</f>
        <v>305</v>
      </c>
      <c r="Q488" s="29" cm="1">
        <f t="array" ref="Q488">IF(表成绩单[[#This Row],[数学]]="","",SUMPRODUCT((表成绩单[考试日期]=表成绩单[[#This Row],[考试日期]])*(表成绩单[数学]&lt;9E+307)*(表成绩单[数学]&gt;表成绩单[[#This Row],[数学]]))+1)</f>
        <v>374</v>
      </c>
      <c r="R488" s="29" cm="1">
        <f t="array" ref="R488">IF(表成绩单[[#This Row],[英语]]="","",SUMPRODUCT((表成绩单[考试日期]=表成绩单[[#This Row],[考试日期]])*(表成绩单[英语]&lt;9E+307)*(表成绩单[英语]&gt;表成绩单[[#This Row],[英语]]))+1)</f>
        <v>507</v>
      </c>
      <c r="S488" s="29" cm="1">
        <f t="array" ref="S488">IF(表成绩单[[#This Row],[物理]]="","",SUMPRODUCT((表成绩单[考试日期]=表成绩单[[#This Row],[考试日期]])*(表成绩单[物理]&lt;9E+307)*(表成绩单[物理]&gt;表成绩单[[#This Row],[物理]]))+1)</f>
        <v>474</v>
      </c>
      <c r="T488" s="29" cm="1">
        <f t="array" ref="T488">IF(表成绩单[[#This Row],[化学]]="","",SUMPRODUCT((表成绩单[考试日期]=表成绩单[[#This Row],[考试日期]])*(表成绩单[化学]&lt;9E+307)*(表成绩单[化学]&gt;表成绩单[[#This Row],[化学]]))+1)</f>
        <v>588</v>
      </c>
      <c r="U488" s="29" cm="1">
        <f t="array" ref="U488">IF(表成绩单[[#This Row],[政治]]="","",SUMPRODUCT((表成绩单[考试日期]=表成绩单[[#This Row],[考试日期]])*(表成绩单[政治]&lt;9E+307)*(表成绩单[政治]&gt;表成绩单[[#This Row],[政治]]))+1)</f>
        <v>467</v>
      </c>
      <c r="V488" s="29" cm="1">
        <f t="array" ref="V488">IF(表成绩单[[#This Row],[历史]]="","",SUMPRODUCT((表成绩单[考试日期]=表成绩单[[#This Row],[考试日期]])*(表成绩单[历史]&lt;9E+307)*(表成绩单[历史]&gt;表成绩单[[#This Row],[历史]]))+1)</f>
        <v>541</v>
      </c>
      <c r="W488" s="29" cm="1">
        <f t="array" ref="W488">IF(表成绩单[[#This Row],[总分]]="","",SUMPRODUCT((表成绩单[考试日期]=表成绩单[[#This Row],[考试日期]])*(表成绩单[总分]&lt;9E+307)*(表成绩单[总分]&gt;表成绩单[[#This Row],[总分]]))+1)</f>
        <v>484</v>
      </c>
    </row>
    <row r="489" ht="28" customHeight="1" spans="4:23">
      <c r="D489" s="31">
        <v>45975</v>
      </c>
      <c r="E489" s="29">
        <v>19175322</v>
      </c>
      <c r="F489" s="29" t="s">
        <v>55</v>
      </c>
      <c r="G489" s="29" t="s">
        <v>562</v>
      </c>
      <c r="H489" s="29">
        <v>93</v>
      </c>
      <c r="I489" s="29">
        <v>88</v>
      </c>
      <c r="J489" s="29">
        <v>72.5</v>
      </c>
      <c r="K489" s="29">
        <v>81</v>
      </c>
      <c r="L489" s="29">
        <v>68</v>
      </c>
      <c r="M489" s="29">
        <v>66</v>
      </c>
      <c r="N489" s="29">
        <v>83</v>
      </c>
      <c r="O489" s="32">
        <v>551.5</v>
      </c>
      <c r="P489" s="29" cm="1">
        <f t="array" ref="P489">IF(表成绩单[[#This Row],[语文]]="","",SUMPRODUCT((表成绩单[考试日期]=表成绩单[[#This Row],[考试日期]])*(表成绩单[语文]&lt;9E+307)*(表成绩单[语文]&gt;表成绩单[[#This Row],[语文]]))+1)</f>
        <v>489</v>
      </c>
      <c r="Q489" s="29" cm="1">
        <f t="array" ref="Q489">IF(表成绩单[[#This Row],[数学]]="","",SUMPRODUCT((表成绩单[考试日期]=表成绩单[[#This Row],[考试日期]])*(表成绩单[数学]&lt;9E+307)*(表成绩单[数学]&gt;表成绩单[[#This Row],[数学]]))+1)</f>
        <v>527</v>
      </c>
      <c r="R489" s="29" cm="1">
        <f t="array" ref="R489">IF(表成绩单[[#This Row],[英语]]="","",SUMPRODUCT((表成绩单[考试日期]=表成绩单[[#This Row],[考试日期]])*(表成绩单[英语]&lt;9E+307)*(表成绩单[英语]&gt;表成绩单[[#This Row],[英语]]))+1)</f>
        <v>498</v>
      </c>
      <c r="S489" s="29" cm="1">
        <f t="array" ref="S489">IF(表成绩单[[#This Row],[物理]]="","",SUMPRODUCT((表成绩单[考试日期]=表成绩单[[#This Row],[考试日期]])*(表成绩单[物理]&lt;9E+307)*(表成绩单[物理]&gt;表成绩单[[#This Row],[物理]]))+1)</f>
        <v>474</v>
      </c>
      <c r="T489" s="29" cm="1">
        <f t="array" ref="T489">IF(表成绩单[[#This Row],[化学]]="","",SUMPRODUCT((表成绩单[考试日期]=表成绩单[[#This Row],[考试日期]])*(表成绩单[化学]&lt;9E+307)*(表成绩单[化学]&gt;表成绩单[[#This Row],[化学]]))+1)</f>
        <v>506</v>
      </c>
      <c r="U489" s="29" cm="1">
        <f t="array" ref="U489">IF(表成绩单[[#This Row],[政治]]="","",SUMPRODUCT((表成绩单[考试日期]=表成绩单[[#This Row],[考试日期]])*(表成绩单[政治]&lt;9E+307)*(表成绩单[政治]&gt;表成绩单[[#This Row],[政治]]))+1)</f>
        <v>555</v>
      </c>
      <c r="V489" s="29" cm="1">
        <f t="array" ref="V489">IF(表成绩单[[#This Row],[历史]]="","",SUMPRODUCT((表成绩单[考试日期]=表成绩单[[#This Row],[考试日期]])*(表成绩单[历史]&lt;9E+307)*(表成绩单[历史]&gt;表成绩单[[#This Row],[历史]]))+1)</f>
        <v>18</v>
      </c>
      <c r="W489" s="29" cm="1">
        <f t="array" ref="W489">IF(表成绩单[[#This Row],[总分]]="","",SUMPRODUCT((表成绩单[考试日期]=表成绩单[[#This Row],[考试日期]])*(表成绩单[总分]&lt;9E+307)*(表成绩单[总分]&gt;表成绩单[[#This Row],[总分]]))+1)</f>
        <v>485</v>
      </c>
    </row>
    <row r="490" ht="28" customHeight="1" spans="4:23">
      <c r="D490" s="31">
        <v>45975</v>
      </c>
      <c r="E490" s="29">
        <v>19175625</v>
      </c>
      <c r="F490" s="29" t="s">
        <v>57</v>
      </c>
      <c r="G490" s="29" t="s">
        <v>563</v>
      </c>
      <c r="H490" s="29">
        <v>91</v>
      </c>
      <c r="I490" s="29">
        <v>85</v>
      </c>
      <c r="J490" s="29">
        <v>79</v>
      </c>
      <c r="K490" s="29">
        <v>79</v>
      </c>
      <c r="L490" s="29">
        <v>70</v>
      </c>
      <c r="M490" s="29">
        <v>70</v>
      </c>
      <c r="N490" s="29">
        <v>77</v>
      </c>
      <c r="O490" s="32">
        <v>551</v>
      </c>
      <c r="P490" s="29" cm="1">
        <f t="array" ref="P490">IF(表成绩单[[#This Row],[语文]]="","",SUMPRODUCT((表成绩单[考试日期]=表成绩单[[#This Row],[考试日期]])*(表成绩单[语文]&lt;9E+307)*(表成绩单[语文]&gt;表成绩单[[#This Row],[语文]]))+1)</f>
        <v>536</v>
      </c>
      <c r="Q490" s="29" cm="1">
        <f t="array" ref="Q490">IF(表成绩单[[#This Row],[数学]]="","",SUMPRODUCT((表成绩单[考试日期]=表成绩单[[#This Row],[考试日期]])*(表成绩单[数学]&lt;9E+307)*(表成绩单[数学]&gt;表成绩单[[#This Row],[数学]]))+1)</f>
        <v>571</v>
      </c>
      <c r="R490" s="29" cm="1">
        <f t="array" ref="R490">IF(表成绩单[[#This Row],[英语]]="","",SUMPRODUCT((表成绩单[考试日期]=表成绩单[[#This Row],[考试日期]])*(表成绩单[英语]&lt;9E+307)*(表成绩单[英语]&gt;表成绩单[[#This Row],[英语]]))+1)</f>
        <v>292</v>
      </c>
      <c r="S490" s="29" cm="1">
        <f t="array" ref="S490">IF(表成绩单[[#This Row],[物理]]="","",SUMPRODUCT((表成绩单[考试日期]=表成绩单[[#This Row],[考试日期]])*(表成绩单[物理]&lt;9E+307)*(表成绩单[物理]&gt;表成绩单[[#This Row],[物理]]))+1)</f>
        <v>534</v>
      </c>
      <c r="T490" s="29" cm="1">
        <f t="array" ref="T490">IF(表成绩单[[#This Row],[化学]]="","",SUMPRODUCT((表成绩单[考试日期]=表成绩单[[#This Row],[考试日期]])*(表成绩单[化学]&lt;9E+307)*(表成绩单[化学]&gt;表成绩单[[#This Row],[化学]]))+1)</f>
        <v>453</v>
      </c>
      <c r="U490" s="29" cm="1">
        <f t="array" ref="U490">IF(表成绩单[[#This Row],[政治]]="","",SUMPRODUCT((表成绩单[考试日期]=表成绩单[[#This Row],[考试日期]])*(表成绩单[政治]&lt;9E+307)*(表成绩单[政治]&gt;表成绩单[[#This Row],[政治]]))+1)</f>
        <v>493</v>
      </c>
      <c r="V490" s="29" cm="1">
        <f t="array" ref="V490">IF(表成绩单[[#This Row],[历史]]="","",SUMPRODUCT((表成绩单[考试日期]=表成绩单[[#This Row],[考试日期]])*(表成绩单[历史]&lt;9E+307)*(表成绩单[历史]&gt;表成绩单[[#This Row],[历史]]))+1)</f>
        <v>237</v>
      </c>
      <c r="W490" s="29" cm="1">
        <f t="array" ref="W490">IF(表成绩单[[#This Row],[总分]]="","",SUMPRODUCT((表成绩单[考试日期]=表成绩单[[#This Row],[考试日期]])*(表成绩单[总分]&lt;9E+307)*(表成绩单[总分]&gt;表成绩单[[#This Row],[总分]]))+1)</f>
        <v>486</v>
      </c>
    </row>
    <row r="491" ht="28" customHeight="1" spans="4:23">
      <c r="D491" s="31">
        <v>45975</v>
      </c>
      <c r="E491" s="29">
        <v>19173259</v>
      </c>
      <c r="F491" s="29" t="s">
        <v>61</v>
      </c>
      <c r="G491" s="29" t="s">
        <v>564</v>
      </c>
      <c r="H491" s="29">
        <v>90</v>
      </c>
      <c r="I491" s="29">
        <v>105</v>
      </c>
      <c r="J491" s="29">
        <v>67.5</v>
      </c>
      <c r="K491" s="29">
        <v>86</v>
      </c>
      <c r="L491" s="29">
        <v>66</v>
      </c>
      <c r="M491" s="29">
        <v>69</v>
      </c>
      <c r="N491" s="29">
        <v>67</v>
      </c>
      <c r="O491" s="32">
        <v>550.5</v>
      </c>
      <c r="P491" s="29" cm="1">
        <f t="array" ref="P491">IF(表成绩单[[#This Row],[语文]]="","",SUMPRODUCT((表成绩单[考试日期]=表成绩单[[#This Row],[考试日期]])*(表成绩单[语文]&lt;9E+307)*(表成绩单[语文]&gt;表成绩单[[#This Row],[语文]]))+1)</f>
        <v>561</v>
      </c>
      <c r="Q491" s="29" cm="1">
        <f t="array" ref="Q491">IF(表成绩单[[#This Row],[数学]]="","",SUMPRODUCT((表成绩单[考试日期]=表成绩单[[#This Row],[考试日期]])*(表成绩单[数学]&lt;9E+307)*(表成绩单[数学]&gt;表成绩单[[#This Row],[数学]]))+1)</f>
        <v>245</v>
      </c>
      <c r="R491" s="29" cm="1">
        <f t="array" ref="R491">IF(表成绩单[[#This Row],[英语]]="","",SUMPRODUCT((表成绩单[考试日期]=表成绩单[[#This Row],[考试日期]])*(表成绩单[英语]&lt;9E+307)*(表成绩单[英语]&gt;表成绩单[[#This Row],[英语]]))+1)</f>
        <v>590</v>
      </c>
      <c r="S491" s="29" cm="1">
        <f t="array" ref="S491">IF(表成绩单[[#This Row],[物理]]="","",SUMPRODUCT((表成绩单[考试日期]=表成绩单[[#This Row],[考试日期]])*(表成绩单[物理]&lt;9E+307)*(表成绩单[物理]&gt;表成绩单[[#This Row],[物理]]))+1)</f>
        <v>187</v>
      </c>
      <c r="T491" s="29" cm="1">
        <f t="array" ref="T491">IF(表成绩单[[#This Row],[化学]]="","",SUMPRODUCT((表成绩单[考试日期]=表成绩单[[#This Row],[考试日期]])*(表成绩单[化学]&lt;9E+307)*(表成绩单[化学]&gt;表成绩单[[#This Row],[化学]]))+1)</f>
        <v>542</v>
      </c>
      <c r="U491" s="29" cm="1">
        <f t="array" ref="U491">IF(表成绩单[[#This Row],[政治]]="","",SUMPRODUCT((表成绩单[考试日期]=表成绩单[[#This Row],[考试日期]])*(表成绩单[政治]&lt;9E+307)*(表成绩单[政治]&gt;表成绩单[[#This Row],[政治]]))+1)</f>
        <v>507</v>
      </c>
      <c r="V491" s="29" cm="1">
        <f t="array" ref="V491">IF(表成绩单[[#This Row],[历史]]="","",SUMPRODUCT((表成绩单[考试日期]=表成绩单[[#This Row],[考试日期]])*(表成绩单[历史]&lt;9E+307)*(表成绩单[历史]&gt;表成绩单[[#This Row],[历史]]))+1)</f>
        <v>597</v>
      </c>
      <c r="W491" s="29" cm="1">
        <f t="array" ref="W491">IF(表成绩单[[#This Row],[总分]]="","",SUMPRODUCT((表成绩单[考试日期]=表成绩单[[#This Row],[考试日期]])*(表成绩单[总分]&lt;9E+307)*(表成绩单[总分]&gt;表成绩单[[#This Row],[总分]]))+1)</f>
        <v>487</v>
      </c>
    </row>
    <row r="492" ht="28" customHeight="1" spans="4:23">
      <c r="D492" s="31">
        <v>45975</v>
      </c>
      <c r="E492" s="29">
        <v>19176015</v>
      </c>
      <c r="F492" s="29" t="s">
        <v>59</v>
      </c>
      <c r="G492" s="29" t="s">
        <v>565</v>
      </c>
      <c r="H492" s="29">
        <v>98</v>
      </c>
      <c r="I492" s="29">
        <v>91</v>
      </c>
      <c r="J492" s="29">
        <v>76.5</v>
      </c>
      <c r="K492" s="29">
        <v>86</v>
      </c>
      <c r="L492" s="29">
        <v>63</v>
      </c>
      <c r="M492" s="29">
        <v>64</v>
      </c>
      <c r="N492" s="29">
        <v>72</v>
      </c>
      <c r="O492" s="32">
        <v>550.5</v>
      </c>
      <c r="P492" s="29" cm="1">
        <f t="array" ref="P492">IF(表成绩单[[#This Row],[语文]]="","",SUMPRODUCT((表成绩单[考试日期]=表成绩单[[#This Row],[考试日期]])*(表成绩单[语文]&lt;9E+307)*(表成绩单[语文]&gt;表成绩单[[#This Row],[语文]]))+1)</f>
        <v>305</v>
      </c>
      <c r="Q492" s="29" cm="1">
        <f t="array" ref="Q492">IF(表成绩单[[#This Row],[数学]]="","",SUMPRODUCT((表成绩单[考试日期]=表成绩单[[#This Row],[考试日期]])*(表成绩单[数学]&lt;9E+307)*(表成绩单[数学]&gt;表成绩单[[#This Row],[数学]]))+1)</f>
        <v>495</v>
      </c>
      <c r="R492" s="29" cm="1">
        <f t="array" ref="R492">IF(表成绩单[[#This Row],[英语]]="","",SUMPRODUCT((表成绩单[考试日期]=表成绩单[[#This Row],[考试日期]])*(表成绩单[英语]&lt;9E+307)*(表成绩单[英语]&gt;表成绩单[[#This Row],[英语]]))+1)</f>
        <v>382</v>
      </c>
      <c r="S492" s="29" cm="1">
        <f t="array" ref="S492">IF(表成绩单[[#This Row],[物理]]="","",SUMPRODUCT((表成绩单[考试日期]=表成绩单[[#This Row],[考试日期]])*(表成绩单[物理]&lt;9E+307)*(表成绩单[物理]&gt;表成绩单[[#This Row],[物理]]))+1)</f>
        <v>187</v>
      </c>
      <c r="T492" s="29" cm="1">
        <f t="array" ref="T492">IF(表成绩单[[#This Row],[化学]]="","",SUMPRODUCT((表成绩单[考试日期]=表成绩单[[#This Row],[考试日期]])*(表成绩单[化学]&lt;9E+307)*(表成绩单[化学]&gt;表成绩单[[#This Row],[化学]]))+1)</f>
        <v>588</v>
      </c>
      <c r="U492" s="29" cm="1">
        <f t="array" ref="U492">IF(表成绩单[[#This Row],[政治]]="","",SUMPRODUCT((表成绩单[考试日期]=表成绩单[[#This Row],[考试日期]])*(表成绩单[政治]&lt;9E+307)*(表成绩单[政治]&gt;表成绩单[[#This Row],[政治]]))+1)</f>
        <v>599</v>
      </c>
      <c r="V492" s="29" cm="1">
        <f t="array" ref="V492">IF(表成绩单[[#This Row],[历史]]="","",SUMPRODUCT((表成绩单[考试日期]=表成绩单[[#This Row],[考试日期]])*(表成绩单[历史]&lt;9E+307)*(表成绩单[历史]&gt;表成绩单[[#This Row],[历史]]))+1)</f>
        <v>438</v>
      </c>
      <c r="W492" s="29" cm="1">
        <f t="array" ref="W492">IF(表成绩单[[#This Row],[总分]]="","",SUMPRODUCT((表成绩单[考试日期]=表成绩单[[#This Row],[考试日期]])*(表成绩单[总分]&lt;9E+307)*(表成绩单[总分]&gt;表成绩单[[#This Row],[总分]]))+1)</f>
        <v>487</v>
      </c>
    </row>
    <row r="493" ht="28" customHeight="1" spans="4:23">
      <c r="D493" s="31">
        <v>45975</v>
      </c>
      <c r="E493" s="29">
        <v>19173251</v>
      </c>
      <c r="F493" s="29" t="s">
        <v>61</v>
      </c>
      <c r="G493" s="29" t="s">
        <v>566</v>
      </c>
      <c r="H493" s="29">
        <v>85</v>
      </c>
      <c r="I493" s="29">
        <v>97</v>
      </c>
      <c r="J493" s="29">
        <v>68</v>
      </c>
      <c r="K493" s="29">
        <v>83</v>
      </c>
      <c r="L493" s="29">
        <v>78</v>
      </c>
      <c r="M493" s="29">
        <v>70</v>
      </c>
      <c r="N493" s="29">
        <v>69</v>
      </c>
      <c r="O493" s="32">
        <v>550</v>
      </c>
      <c r="P493" s="29" cm="1">
        <f t="array" ref="P493">IF(表成绩单[[#This Row],[语文]]="","",SUMPRODUCT((表成绩单[考试日期]=表成绩单[[#This Row],[考试日期]])*(表成绩单[语文]&lt;9E+307)*(表成绩单[语文]&gt;表成绩单[[#This Row],[语文]]))+1)</f>
        <v>648</v>
      </c>
      <c r="Q493" s="29" cm="1">
        <f t="array" ref="Q493">IF(表成绩单[[#This Row],[数学]]="","",SUMPRODUCT((表成绩单[考试日期]=表成绩单[[#This Row],[考试日期]])*(表成绩单[数学]&lt;9E+307)*(表成绩单[数学]&gt;表成绩单[[#This Row],[数学]]))+1)</f>
        <v>389</v>
      </c>
      <c r="R493" s="29" cm="1">
        <f t="array" ref="R493">IF(表成绩单[[#This Row],[英语]]="","",SUMPRODUCT((表成绩单[考试日期]=表成绩单[[#This Row],[考试日期]])*(表成绩单[英语]&lt;9E+307)*(表成绩单[英语]&gt;表成绩单[[#This Row],[英语]]))+1)</f>
        <v>584</v>
      </c>
      <c r="S493" s="29" cm="1">
        <f t="array" ref="S493">IF(表成绩单[[#This Row],[物理]]="","",SUMPRODUCT((表成绩单[考试日期]=表成绩单[[#This Row],[考试日期]])*(表成绩单[物理]&lt;9E+307)*(表成绩单[物理]&gt;表成绩单[[#This Row],[物理]]))+1)</f>
        <v>390</v>
      </c>
      <c r="T493" s="29" cm="1">
        <f t="array" ref="T493">IF(表成绩单[[#This Row],[化学]]="","",SUMPRODUCT((表成绩单[考试日期]=表成绩单[[#This Row],[考试日期]])*(表成绩单[化学]&lt;9E+307)*(表成绩单[化学]&gt;表成绩单[[#This Row],[化学]]))+1)</f>
        <v>200</v>
      </c>
      <c r="U493" s="29" cm="1">
        <f t="array" ref="U493">IF(表成绩单[[#This Row],[政治]]="","",SUMPRODUCT((表成绩单[考试日期]=表成绩单[[#This Row],[考试日期]])*(表成绩单[政治]&lt;9E+307)*(表成绩单[政治]&gt;表成绩单[[#This Row],[政治]]))+1)</f>
        <v>493</v>
      </c>
      <c r="V493" s="29" cm="1">
        <f t="array" ref="V493">IF(表成绩单[[#This Row],[历史]]="","",SUMPRODUCT((表成绩单[考试日期]=表成绩单[[#This Row],[考试日期]])*(表成绩单[历史]&lt;9E+307)*(表成绩单[历史]&gt;表成绩单[[#This Row],[历史]]))+1)</f>
        <v>541</v>
      </c>
      <c r="W493" s="29" cm="1">
        <f t="array" ref="W493">IF(表成绩单[[#This Row],[总分]]="","",SUMPRODUCT((表成绩单[考试日期]=表成绩单[[#This Row],[考试日期]])*(表成绩单[总分]&lt;9E+307)*(表成绩单[总分]&gt;表成绩单[[#This Row],[总分]]))+1)</f>
        <v>489</v>
      </c>
    </row>
    <row r="494" ht="28" customHeight="1" spans="4:23">
      <c r="D494" s="31">
        <v>45975</v>
      </c>
      <c r="E494" s="29">
        <v>19174445</v>
      </c>
      <c r="F494" s="29" t="s">
        <v>73</v>
      </c>
      <c r="G494" s="29" t="s">
        <v>567</v>
      </c>
      <c r="H494" s="29">
        <v>97</v>
      </c>
      <c r="I494" s="29">
        <v>97</v>
      </c>
      <c r="J494" s="29">
        <v>73</v>
      </c>
      <c r="K494" s="29">
        <v>69</v>
      </c>
      <c r="L494" s="29">
        <v>76</v>
      </c>
      <c r="M494" s="29">
        <v>65</v>
      </c>
      <c r="N494" s="29">
        <v>73</v>
      </c>
      <c r="O494" s="32">
        <v>550</v>
      </c>
      <c r="P494" s="29" cm="1">
        <f t="array" ref="P494">IF(表成绩单[[#This Row],[语文]]="","",SUMPRODUCT((表成绩单[考试日期]=表成绩单[[#This Row],[考试日期]])*(表成绩单[语文]&lt;9E+307)*(表成绩单[语文]&gt;表成绩单[[#This Row],[语文]]))+1)</f>
        <v>349</v>
      </c>
      <c r="Q494" s="29" cm="1">
        <f t="array" ref="Q494">IF(表成绩单[[#This Row],[数学]]="","",SUMPRODUCT((表成绩单[考试日期]=表成绩单[[#This Row],[考试日期]])*(表成绩单[数学]&lt;9E+307)*(表成绩单[数学]&gt;表成绩单[[#This Row],[数学]]))+1)</f>
        <v>389</v>
      </c>
      <c r="R494" s="29" cm="1">
        <f t="array" ref="R494">IF(表成绩单[[#This Row],[英语]]="","",SUMPRODUCT((表成绩单[考试日期]=表成绩单[[#This Row],[考试日期]])*(表成绩单[英语]&lt;9E+307)*(表成绩单[英语]&gt;表成绩单[[#This Row],[英语]]))+1)</f>
        <v>485</v>
      </c>
      <c r="S494" s="29" cm="1">
        <f t="array" ref="S494">IF(表成绩单[[#This Row],[物理]]="","",SUMPRODUCT((表成绩单[考试日期]=表成绩单[[#This Row],[考试日期]])*(表成绩单[物理]&lt;9E+307)*(表成绩单[物理]&gt;表成绩单[[#This Row],[物理]]))+1)</f>
        <v>662</v>
      </c>
      <c r="T494" s="29" cm="1">
        <f t="array" ref="T494">IF(表成绩单[[#This Row],[化学]]="","",SUMPRODUCT((表成绩单[考试日期]=表成绩单[[#This Row],[考试日期]])*(表成绩单[化学]&lt;9E+307)*(表成绩单[化学]&gt;表成绩单[[#This Row],[化学]]))+1)</f>
        <v>268</v>
      </c>
      <c r="U494" s="29" cm="1">
        <f t="array" ref="U494">IF(表成绩单[[#This Row],[政治]]="","",SUMPRODUCT((表成绩单[考试日期]=表成绩单[[#This Row],[考试日期]])*(表成绩单[政治]&lt;9E+307)*(表成绩单[政治]&gt;表成绩单[[#This Row],[政治]]))+1)</f>
        <v>579</v>
      </c>
      <c r="V494" s="29" cm="1">
        <f t="array" ref="V494">IF(表成绩单[[#This Row],[历史]]="","",SUMPRODUCT((表成绩单[考试日期]=表成绩单[[#This Row],[考试日期]])*(表成绩单[历史]&lt;9E+307)*(表成绩单[历史]&gt;表成绩单[[#This Row],[历史]]))+1)</f>
        <v>395</v>
      </c>
      <c r="W494" s="29" cm="1">
        <f t="array" ref="W494">IF(表成绩单[[#This Row],[总分]]="","",SUMPRODUCT((表成绩单[考试日期]=表成绩单[[#This Row],[考试日期]])*(表成绩单[总分]&lt;9E+307)*(表成绩单[总分]&gt;表成绩单[[#This Row],[总分]]))+1)</f>
        <v>489</v>
      </c>
    </row>
    <row r="495" ht="28" customHeight="1" spans="4:23">
      <c r="D495" s="31">
        <v>45975</v>
      </c>
      <c r="E495" s="29">
        <v>19174781</v>
      </c>
      <c r="F495" s="29" t="s">
        <v>69</v>
      </c>
      <c r="G495" s="29" t="s">
        <v>568</v>
      </c>
      <c r="H495" s="29">
        <v>92</v>
      </c>
      <c r="I495" s="29">
        <v>88</v>
      </c>
      <c r="J495" s="29">
        <v>75</v>
      </c>
      <c r="K495" s="29">
        <v>79</v>
      </c>
      <c r="L495" s="29">
        <v>58</v>
      </c>
      <c r="M495" s="29">
        <v>86</v>
      </c>
      <c r="N495" s="29">
        <v>72</v>
      </c>
      <c r="O495" s="32">
        <v>550</v>
      </c>
      <c r="P495" s="29" cm="1">
        <f t="array" ref="P495">IF(表成绩单[[#This Row],[语文]]="","",SUMPRODUCT((表成绩单[考试日期]=表成绩单[[#This Row],[考试日期]])*(表成绩单[语文]&lt;9E+307)*(表成绩单[语文]&gt;表成绩单[[#This Row],[语文]]))+1)</f>
        <v>517</v>
      </c>
      <c r="Q495" s="29" cm="1">
        <f t="array" ref="Q495">IF(表成绩单[[#This Row],[数学]]="","",SUMPRODUCT((表成绩单[考试日期]=表成绩单[[#This Row],[考试日期]])*(表成绩单[数学]&lt;9E+307)*(表成绩单[数学]&gt;表成绩单[[#This Row],[数学]]))+1)</f>
        <v>527</v>
      </c>
      <c r="R495" s="29" cm="1">
        <f t="array" ref="R495">IF(表成绩单[[#This Row],[英语]]="","",SUMPRODUCT((表成绩单[考试日期]=表成绩单[[#This Row],[考试日期]])*(表成绩单[英语]&lt;9E+307)*(表成绩单[英语]&gt;表成绩单[[#This Row],[英语]]))+1)</f>
        <v>430</v>
      </c>
      <c r="S495" s="29" cm="1">
        <f t="array" ref="S495">IF(表成绩单[[#This Row],[物理]]="","",SUMPRODUCT((表成绩单[考试日期]=表成绩单[[#This Row],[考试日期]])*(表成绩单[物理]&lt;9E+307)*(表成绩单[物理]&gt;表成绩单[[#This Row],[物理]]))+1)</f>
        <v>534</v>
      </c>
      <c r="T495" s="29" cm="1">
        <f t="array" ref="T495">IF(表成绩单[[#This Row],[化学]]="","",SUMPRODUCT((表成绩单[考试日期]=表成绩单[[#This Row],[考试日期]])*(表成绩单[化学]&lt;9E+307)*(表成绩单[化学]&gt;表成绩单[[#This Row],[化学]]))+1)</f>
        <v>659</v>
      </c>
      <c r="U495" s="29" cm="1">
        <f t="array" ref="U495">IF(表成绩单[[#This Row],[政治]]="","",SUMPRODUCT((表成绩单[考试日期]=表成绩单[[#This Row],[考试日期]])*(表成绩单[政治]&lt;9E+307)*(表成绩单[政治]&gt;表成绩单[[#This Row],[政治]]))+1)</f>
        <v>26</v>
      </c>
      <c r="V495" s="29" cm="1">
        <f t="array" ref="V495">IF(表成绩单[[#This Row],[历史]]="","",SUMPRODUCT((表成绩单[考试日期]=表成绩单[[#This Row],[考试日期]])*(表成绩单[历史]&lt;9E+307)*(表成绩单[历史]&gt;表成绩单[[#This Row],[历史]]))+1)</f>
        <v>438</v>
      </c>
      <c r="W495" s="29" cm="1">
        <f t="array" ref="W495">IF(表成绩单[[#This Row],[总分]]="","",SUMPRODUCT((表成绩单[考试日期]=表成绩单[[#This Row],[考试日期]])*(表成绩单[总分]&lt;9E+307)*(表成绩单[总分]&gt;表成绩单[[#This Row],[总分]]))+1)</f>
        <v>489</v>
      </c>
    </row>
    <row r="496" ht="28" customHeight="1" spans="4:23">
      <c r="D496" s="31">
        <v>45975</v>
      </c>
      <c r="E496" s="29">
        <v>19177658</v>
      </c>
      <c r="F496" s="29" t="s">
        <v>63</v>
      </c>
      <c r="G496" s="29" t="s">
        <v>569</v>
      </c>
      <c r="H496" s="29">
        <v>88</v>
      </c>
      <c r="I496" s="29">
        <v>115</v>
      </c>
      <c r="J496" s="29">
        <v>61</v>
      </c>
      <c r="K496" s="29">
        <v>85</v>
      </c>
      <c r="L496" s="29">
        <v>69</v>
      </c>
      <c r="M496" s="29">
        <v>62</v>
      </c>
      <c r="N496" s="29">
        <v>70</v>
      </c>
      <c r="O496" s="32">
        <v>550</v>
      </c>
      <c r="P496" s="29" cm="1">
        <f t="array" ref="P496">IF(表成绩单[[#This Row],[语文]]="","",SUMPRODUCT((表成绩单[考试日期]=表成绩单[[#This Row],[考试日期]])*(表成绩单[语文]&lt;9E+307)*(表成绩单[语文]&gt;表成绩单[[#This Row],[语文]]))+1)</f>
        <v>595</v>
      </c>
      <c r="Q496" s="29" cm="1">
        <f t="array" ref="Q496">IF(表成绩单[[#This Row],[数学]]="","",SUMPRODUCT((表成绩单[考试日期]=表成绩单[[#This Row],[考试日期]])*(表成绩单[数学]&lt;9E+307)*(表成绩单[数学]&gt;表成绩单[[#This Row],[数学]]))+1)</f>
        <v>63</v>
      </c>
      <c r="R496" s="29" cm="1">
        <f t="array" ref="R496">IF(表成绩单[[#This Row],[英语]]="","",SUMPRODUCT((表成绩单[考试日期]=表成绩单[[#This Row],[考试日期]])*(表成绩单[英语]&lt;9E+307)*(表成绩单[英语]&gt;表成绩单[[#This Row],[英语]]))+1)</f>
        <v>660</v>
      </c>
      <c r="S496" s="29" cm="1">
        <f t="array" ref="S496">IF(表成绩单[[#This Row],[物理]]="","",SUMPRODUCT((表成绩单[考试日期]=表成绩单[[#This Row],[考试日期]])*(表成绩单[物理]&lt;9E+307)*(表成绩单[物理]&gt;表成绩单[[#This Row],[物理]]))+1)</f>
        <v>263</v>
      </c>
      <c r="T496" s="29" cm="1">
        <f t="array" ref="T496">IF(表成绩单[[#This Row],[化学]]="","",SUMPRODUCT((表成绩单[考试日期]=表成绩单[[#This Row],[考试日期]])*(表成绩单[化学]&lt;9E+307)*(表成绩单[化学]&gt;表成绩单[[#This Row],[化学]]))+1)</f>
        <v>478</v>
      </c>
      <c r="U496" s="29" cm="1">
        <f t="array" ref="U496">IF(表成绩单[[#This Row],[政治]]="","",SUMPRODUCT((表成绩单[考试日期]=表成绩单[[#This Row],[考试日期]])*(表成绩单[政治]&lt;9E+307)*(表成绩单[政治]&gt;表成绩单[[#This Row],[政治]]))+1)</f>
        <v>628</v>
      </c>
      <c r="V496" s="29" cm="1">
        <f t="array" ref="V496">IF(表成绩单[[#This Row],[历史]]="","",SUMPRODUCT((表成绩单[考试日期]=表成绩单[[#This Row],[考试日期]])*(表成绩单[历史]&lt;9E+307)*(表成绩单[历史]&gt;表成绩单[[#This Row],[历史]]))+1)</f>
        <v>505</v>
      </c>
      <c r="W496" s="29" cm="1">
        <f t="array" ref="W496">IF(表成绩单[[#This Row],[总分]]="","",SUMPRODUCT((表成绩单[考试日期]=表成绩单[[#This Row],[考试日期]])*(表成绩单[总分]&lt;9E+307)*(表成绩单[总分]&gt;表成绩单[[#This Row],[总分]]))+1)</f>
        <v>489</v>
      </c>
    </row>
    <row r="497" ht="28" customHeight="1" spans="4:23">
      <c r="D497" s="31">
        <v>45975</v>
      </c>
      <c r="E497" s="29">
        <v>19178613</v>
      </c>
      <c r="F497" s="29" t="s">
        <v>25</v>
      </c>
      <c r="G497" s="29" t="s">
        <v>570</v>
      </c>
      <c r="H497" s="29">
        <v>92</v>
      </c>
      <c r="I497" s="29">
        <v>90</v>
      </c>
      <c r="J497" s="29">
        <v>69</v>
      </c>
      <c r="K497" s="29">
        <v>82</v>
      </c>
      <c r="L497" s="29">
        <v>78</v>
      </c>
      <c r="M497" s="29">
        <v>64</v>
      </c>
      <c r="N497" s="29">
        <v>74</v>
      </c>
      <c r="O497" s="32">
        <v>549</v>
      </c>
      <c r="P497" s="29" cm="1">
        <f t="array" ref="P497">IF(表成绩单[[#This Row],[语文]]="","",SUMPRODUCT((表成绩单[考试日期]=表成绩单[[#This Row],[考试日期]])*(表成绩单[语文]&lt;9E+307)*(表成绩单[语文]&gt;表成绩单[[#This Row],[语文]]))+1)</f>
        <v>517</v>
      </c>
      <c r="Q497" s="29" cm="1">
        <f t="array" ref="Q497">IF(表成绩单[[#This Row],[数学]]="","",SUMPRODUCT((表成绩单[考试日期]=表成绩单[[#This Row],[考试日期]])*(表成绩单[数学]&lt;9E+307)*(表成绩单[数学]&gt;表成绩单[[#This Row],[数学]]))+1)</f>
        <v>506</v>
      </c>
      <c r="R497" s="29" cm="1">
        <f t="array" ref="R497">IF(表成绩单[[#This Row],[英语]]="","",SUMPRODUCT((表成绩单[考试日期]=表成绩单[[#This Row],[考试日期]])*(表成绩单[英语]&lt;9E+307)*(表成绩单[英语]&gt;表成绩单[[#This Row],[英语]]))+1)</f>
        <v>566</v>
      </c>
      <c r="S497" s="29" cm="1">
        <f t="array" ref="S497">IF(表成绩单[[#This Row],[物理]]="","",SUMPRODUCT((表成绩单[考试日期]=表成绩单[[#This Row],[考试日期]])*(表成绩单[物理]&lt;9E+307)*(表成绩单[物理]&gt;表成绩单[[#This Row],[物理]]))+1)</f>
        <v>433</v>
      </c>
      <c r="T497" s="29" cm="1">
        <f t="array" ref="T497">IF(表成绩单[[#This Row],[化学]]="","",SUMPRODUCT((表成绩单[考试日期]=表成绩单[[#This Row],[考试日期]])*(表成绩单[化学]&lt;9E+307)*(表成绩单[化学]&gt;表成绩单[[#This Row],[化学]]))+1)</f>
        <v>200</v>
      </c>
      <c r="U497" s="29" cm="1">
        <f t="array" ref="U497">IF(表成绩单[[#This Row],[政治]]="","",SUMPRODUCT((表成绩单[考试日期]=表成绩单[[#This Row],[考试日期]])*(表成绩单[政治]&lt;9E+307)*(表成绩单[政治]&gt;表成绩单[[#This Row],[政治]]))+1)</f>
        <v>599</v>
      </c>
      <c r="V497" s="29" cm="1">
        <f t="array" ref="V497">IF(表成绩单[[#This Row],[历史]]="","",SUMPRODUCT((表成绩单[考试日期]=表成绩单[[#This Row],[考试日期]])*(表成绩单[历史]&lt;9E+307)*(表成绩单[历史]&gt;表成绩单[[#This Row],[历史]]))+1)</f>
        <v>358</v>
      </c>
      <c r="W497" s="29" cm="1">
        <f t="array" ref="W497">IF(表成绩单[[#This Row],[总分]]="","",SUMPRODUCT((表成绩单[考试日期]=表成绩单[[#This Row],[考试日期]])*(表成绩单[总分]&lt;9E+307)*(表成绩单[总分]&gt;表成绩单[[#This Row],[总分]]))+1)</f>
        <v>493</v>
      </c>
    </row>
    <row r="498" ht="28" customHeight="1" spans="4:23">
      <c r="D498" s="31">
        <v>45975</v>
      </c>
      <c r="E498" s="29">
        <v>19178625</v>
      </c>
      <c r="F498" s="29" t="s">
        <v>25</v>
      </c>
      <c r="G498" s="29" t="s">
        <v>571</v>
      </c>
      <c r="H498" s="29">
        <v>84</v>
      </c>
      <c r="I498" s="29">
        <v>100</v>
      </c>
      <c r="J498" s="29">
        <v>67</v>
      </c>
      <c r="K498" s="29">
        <v>79</v>
      </c>
      <c r="L498" s="29">
        <v>70</v>
      </c>
      <c r="M498" s="29">
        <v>76</v>
      </c>
      <c r="N498" s="29">
        <v>73</v>
      </c>
      <c r="O498" s="32">
        <v>549</v>
      </c>
      <c r="P498" s="29" cm="1">
        <f t="array" ref="P498">IF(表成绩单[[#This Row],[语文]]="","",SUMPRODUCT((表成绩单[考试日期]=表成绩单[[#This Row],[考试日期]])*(表成绩单[语文]&lt;9E+307)*(表成绩单[语文]&gt;表成绩单[[#This Row],[语文]]))+1)</f>
        <v>659</v>
      </c>
      <c r="Q498" s="29" cm="1">
        <f t="array" ref="Q498">IF(表成绩单[[#This Row],[数学]]="","",SUMPRODUCT((表成绩单[考试日期]=表成绩单[[#This Row],[考试日期]])*(表成绩单[数学]&lt;9E+307)*(表成绩单[数学]&gt;表成绩单[[#This Row],[数学]]))+1)</f>
        <v>340</v>
      </c>
      <c r="R498" s="29" cm="1">
        <f t="array" ref="R498">IF(表成绩单[[#This Row],[英语]]="","",SUMPRODUCT((表成绩单[考试日期]=表成绩单[[#This Row],[考试日期]])*(表成绩单[英语]&lt;9E+307)*(表成绩单[英语]&gt;表成绩单[[#This Row],[英语]]))+1)</f>
        <v>596</v>
      </c>
      <c r="S498" s="29" cm="1">
        <f t="array" ref="S498">IF(表成绩单[[#This Row],[物理]]="","",SUMPRODUCT((表成绩单[考试日期]=表成绩单[[#This Row],[考试日期]])*(表成绩单[物理]&lt;9E+307)*(表成绩单[物理]&gt;表成绩单[[#This Row],[物理]]))+1)</f>
        <v>534</v>
      </c>
      <c r="T498" s="29" cm="1">
        <f t="array" ref="T498">IF(表成绩单[[#This Row],[化学]]="","",SUMPRODUCT((表成绩单[考试日期]=表成绩单[[#This Row],[考试日期]])*(表成绩单[化学]&lt;9E+307)*(表成绩单[化学]&gt;表成绩单[[#This Row],[化学]]))+1)</f>
        <v>453</v>
      </c>
      <c r="U498" s="29" cm="1">
        <f t="array" ref="U498">IF(表成绩单[[#This Row],[政治]]="","",SUMPRODUCT((表成绩单[考试日期]=表成绩单[[#This Row],[考试日期]])*(表成绩单[政治]&lt;9E+307)*(表成绩单[政治]&gt;表成绩单[[#This Row],[政治]]))+1)</f>
        <v>329</v>
      </c>
      <c r="V498" s="29" cm="1">
        <f t="array" ref="V498">IF(表成绩单[[#This Row],[历史]]="","",SUMPRODUCT((表成绩单[考试日期]=表成绩单[[#This Row],[考试日期]])*(表成绩单[历史]&lt;9E+307)*(表成绩单[历史]&gt;表成绩单[[#This Row],[历史]]))+1)</f>
        <v>395</v>
      </c>
      <c r="W498" s="29" cm="1">
        <f t="array" ref="W498">IF(表成绩单[[#This Row],[总分]]="","",SUMPRODUCT((表成绩单[考试日期]=表成绩单[[#This Row],[考试日期]])*(表成绩单[总分]&lt;9E+307)*(表成绩单[总分]&gt;表成绩单[[#This Row],[总分]]))+1)</f>
        <v>493</v>
      </c>
    </row>
    <row r="499" ht="28" customHeight="1" spans="4:23">
      <c r="D499" s="31">
        <v>45975</v>
      </c>
      <c r="E499" s="29">
        <v>19176868</v>
      </c>
      <c r="F499" s="29" t="s">
        <v>71</v>
      </c>
      <c r="G499" s="29" t="s">
        <v>572</v>
      </c>
      <c r="H499" s="29">
        <v>94</v>
      </c>
      <c r="I499" s="29">
        <v>87</v>
      </c>
      <c r="J499" s="29">
        <v>80.5</v>
      </c>
      <c r="K499" s="29">
        <v>80</v>
      </c>
      <c r="L499" s="29">
        <v>66</v>
      </c>
      <c r="M499" s="29">
        <v>71</v>
      </c>
      <c r="N499" s="29">
        <v>70</v>
      </c>
      <c r="O499" s="32">
        <v>548.5</v>
      </c>
      <c r="P499" s="29" cm="1">
        <f t="array" ref="P499">IF(表成绩单[[#This Row],[语文]]="","",SUMPRODUCT((表成绩单[考试日期]=表成绩单[[#This Row],[考试日期]])*(表成绩单[语文]&lt;9E+307)*(表成绩单[语文]&gt;表成绩单[[#This Row],[语文]]))+1)</f>
        <v>452</v>
      </c>
      <c r="Q499" s="29" cm="1">
        <f t="array" ref="Q499">IF(表成绩单[[#This Row],[数学]]="","",SUMPRODUCT((表成绩单[考试日期]=表成绩单[[#This Row],[考试日期]])*(表成绩单[数学]&lt;9E+307)*(表成绩单[数学]&gt;表成绩单[[#This Row],[数学]]))+1)</f>
        <v>547</v>
      </c>
      <c r="R499" s="29" cm="1">
        <f t="array" ref="R499">IF(表成绩单[[#This Row],[英语]]="","",SUMPRODUCT((表成绩单[考试日期]=表成绩单[[#This Row],[考试日期]])*(表成绩单[英语]&lt;9E+307)*(表成绩单[英语]&gt;表成绩单[[#This Row],[英语]]))+1)</f>
        <v>255</v>
      </c>
      <c r="S499" s="29" cm="1">
        <f t="array" ref="S499">IF(表成绩单[[#This Row],[物理]]="","",SUMPRODUCT((表成绩单[考试日期]=表成绩单[[#This Row],[考试日期]])*(表成绩单[物理]&lt;9E+307)*(表成绩单[物理]&gt;表成绩单[[#This Row],[物理]]))+1)</f>
        <v>507</v>
      </c>
      <c r="T499" s="29" cm="1">
        <f t="array" ref="T499">IF(表成绩单[[#This Row],[化学]]="","",SUMPRODUCT((表成绩单[考试日期]=表成绩单[[#This Row],[考试日期]])*(表成绩单[化学]&lt;9E+307)*(表成绩单[化学]&gt;表成绩单[[#This Row],[化学]]))+1)</f>
        <v>542</v>
      </c>
      <c r="U499" s="29" cm="1">
        <f t="array" ref="U499">IF(表成绩单[[#This Row],[政治]]="","",SUMPRODUCT((表成绩单[考试日期]=表成绩单[[#This Row],[考试日期]])*(表成绩单[政治]&lt;9E+307)*(表成绩单[政治]&gt;表成绩单[[#This Row],[政治]]))+1)</f>
        <v>467</v>
      </c>
      <c r="V499" s="29" cm="1">
        <f t="array" ref="V499">IF(表成绩单[[#This Row],[历史]]="","",SUMPRODUCT((表成绩单[考试日期]=表成绩单[[#This Row],[考试日期]])*(表成绩单[历史]&lt;9E+307)*(表成绩单[历史]&gt;表成绩单[[#This Row],[历史]]))+1)</f>
        <v>505</v>
      </c>
      <c r="W499" s="29" cm="1">
        <f t="array" ref="W499">IF(表成绩单[[#This Row],[总分]]="","",SUMPRODUCT((表成绩单[考试日期]=表成绩单[[#This Row],[考试日期]])*(表成绩单[总分]&lt;9E+307)*(表成绩单[总分]&gt;表成绩单[[#This Row],[总分]]))+1)</f>
        <v>495</v>
      </c>
    </row>
    <row r="500" ht="28" customHeight="1" spans="4:23">
      <c r="D500" s="31">
        <v>45975</v>
      </c>
      <c r="E500" s="29">
        <v>19173800</v>
      </c>
      <c r="F500" s="29" t="s">
        <v>65</v>
      </c>
      <c r="G500" s="29" t="s">
        <v>573</v>
      </c>
      <c r="H500" s="29">
        <v>89</v>
      </c>
      <c r="I500" s="29">
        <v>102</v>
      </c>
      <c r="J500" s="29">
        <v>72</v>
      </c>
      <c r="K500" s="29">
        <v>75</v>
      </c>
      <c r="L500" s="29">
        <v>59</v>
      </c>
      <c r="M500" s="29">
        <v>72</v>
      </c>
      <c r="N500" s="29">
        <v>79</v>
      </c>
      <c r="O500" s="32">
        <v>548</v>
      </c>
      <c r="P500" s="29" cm="1">
        <f t="array" ref="P500">IF(表成绩单[[#This Row],[语文]]="","",SUMPRODUCT((表成绩单[考试日期]=表成绩单[[#This Row],[考试日期]])*(表成绩单[语文]&lt;9E+307)*(表成绩单[语文]&gt;表成绩单[[#This Row],[语文]]))+1)</f>
        <v>582</v>
      </c>
      <c r="Q500" s="29" cm="1">
        <f t="array" ref="Q500">IF(表成绩单[[#This Row],[数学]]="","",SUMPRODUCT((表成绩单[考试日期]=表成绩单[[#This Row],[考试日期]])*(表成绩单[数学]&lt;9E+307)*(表成绩单[数学]&gt;表成绩单[[#This Row],[数学]]))+1)</f>
        <v>298</v>
      </c>
      <c r="R500" s="29" cm="1">
        <f t="array" ref="R500">IF(表成绩单[[#This Row],[英语]]="","",SUMPRODUCT((表成绩单[考试日期]=表成绩单[[#This Row],[考试日期]])*(表成绩单[英语]&lt;9E+307)*(表成绩单[英语]&gt;表成绩单[[#This Row],[英语]]))+1)</f>
        <v>507</v>
      </c>
      <c r="S500" s="29" cm="1">
        <f t="array" ref="S500">IF(表成绩单[[#This Row],[物理]]="","",SUMPRODUCT((表成绩单[考试日期]=表成绩单[[#This Row],[考试日期]])*(表成绩单[物理]&lt;9E+307)*(表成绩单[物理]&gt;表成绩单[[#This Row],[物理]]))+1)</f>
        <v>601</v>
      </c>
      <c r="T500" s="29" cm="1">
        <f t="array" ref="T500">IF(表成绩单[[#This Row],[化学]]="","",SUMPRODUCT((表成绩单[考试日期]=表成绩单[[#This Row],[考试日期]])*(表成绩单[化学]&lt;9E+307)*(表成绩单[化学]&gt;表成绩单[[#This Row],[化学]]))+1)</f>
        <v>648</v>
      </c>
      <c r="U500" s="29" cm="1">
        <f t="array" ref="U500">IF(表成绩单[[#This Row],[政治]]="","",SUMPRODUCT((表成绩单[考试日期]=表成绩单[[#This Row],[考试日期]])*(表成绩单[政治]&lt;9E+307)*(表成绩单[政治]&gt;表成绩单[[#This Row],[政治]]))+1)</f>
        <v>448</v>
      </c>
      <c r="V500" s="29" cm="1">
        <f t="array" ref="V500">IF(表成绩单[[#This Row],[历史]]="","",SUMPRODUCT((表成绩单[考试日期]=表成绩单[[#This Row],[考试日期]])*(表成绩单[历史]&lt;9E+307)*(表成绩单[历史]&gt;表成绩单[[#This Row],[历史]]))+1)</f>
        <v>144</v>
      </c>
      <c r="W500" s="29" cm="1">
        <f t="array" ref="W500">IF(表成绩单[[#This Row],[总分]]="","",SUMPRODUCT((表成绩单[考试日期]=表成绩单[[#This Row],[考试日期]])*(表成绩单[总分]&lt;9E+307)*(表成绩单[总分]&gt;表成绩单[[#This Row],[总分]]))+1)</f>
        <v>496</v>
      </c>
    </row>
    <row r="501" ht="28" customHeight="1" spans="4:23">
      <c r="D501" s="31">
        <v>45975</v>
      </c>
      <c r="E501" s="29">
        <v>19176164</v>
      </c>
      <c r="F501" s="29" t="s">
        <v>67</v>
      </c>
      <c r="G501" s="29" t="s">
        <v>574</v>
      </c>
      <c r="H501" s="29">
        <v>89</v>
      </c>
      <c r="I501" s="29">
        <v>95</v>
      </c>
      <c r="J501" s="29">
        <v>70</v>
      </c>
      <c r="K501" s="29">
        <v>84</v>
      </c>
      <c r="L501" s="29">
        <v>78</v>
      </c>
      <c r="M501" s="29">
        <v>64</v>
      </c>
      <c r="N501" s="29">
        <v>68</v>
      </c>
      <c r="O501" s="32">
        <v>548</v>
      </c>
      <c r="P501" s="29" cm="1">
        <f t="array" ref="P501">IF(表成绩单[[#This Row],[语文]]="","",SUMPRODUCT((表成绩单[考试日期]=表成绩单[[#This Row],[考试日期]])*(表成绩单[语文]&lt;9E+307)*(表成绩单[语文]&gt;表成绩单[[#This Row],[语文]]))+1)</f>
        <v>582</v>
      </c>
      <c r="Q501" s="29" cm="1">
        <f t="array" ref="Q501">IF(表成绩单[[#This Row],[数学]]="","",SUMPRODUCT((表成绩单[考试日期]=表成绩单[[#This Row],[考试日期]])*(表成绩单[数学]&lt;9E+307)*(表成绩单[数学]&gt;表成绩单[[#This Row],[数学]]))+1)</f>
        <v>430</v>
      </c>
      <c r="R501" s="29" cm="1">
        <f t="array" ref="R501">IF(表成绩单[[#This Row],[英语]]="","",SUMPRODUCT((表成绩单[考试日期]=表成绩单[[#This Row],[考试日期]])*(表成绩单[英语]&lt;9E+307)*(表成绩单[英语]&gt;表成绩单[[#This Row],[英语]]))+1)</f>
        <v>551</v>
      </c>
      <c r="S501" s="29" cm="1">
        <f t="array" ref="S501">IF(表成绩单[[#This Row],[物理]]="","",SUMPRODUCT((表成绩单[考试日期]=表成绩单[[#This Row],[考试日期]])*(表成绩单[物理]&lt;9E+307)*(表成绩单[物理]&gt;表成绩单[[#This Row],[物理]]))+1)</f>
        <v>344</v>
      </c>
      <c r="T501" s="29" cm="1">
        <f t="array" ref="T501">IF(表成绩单[[#This Row],[化学]]="","",SUMPRODUCT((表成绩单[考试日期]=表成绩单[[#This Row],[考试日期]])*(表成绩单[化学]&lt;9E+307)*(表成绩单[化学]&gt;表成绩单[[#This Row],[化学]]))+1)</f>
        <v>200</v>
      </c>
      <c r="U501" s="29" cm="1">
        <f t="array" ref="U501">IF(表成绩单[[#This Row],[政治]]="","",SUMPRODUCT((表成绩单[考试日期]=表成绩单[[#This Row],[考试日期]])*(表成绩单[政治]&lt;9E+307)*(表成绩单[政治]&gt;表成绩单[[#This Row],[政治]]))+1)</f>
        <v>599</v>
      </c>
      <c r="V501" s="29" cm="1">
        <f t="array" ref="V501">IF(表成绩单[[#This Row],[历史]]="","",SUMPRODUCT((表成绩单[考试日期]=表成绩单[[#This Row],[考试日期]])*(表成绩单[历史]&lt;9E+307)*(表成绩单[历史]&gt;表成绩单[[#This Row],[历史]]))+1)</f>
        <v>571</v>
      </c>
      <c r="W501" s="29" cm="1">
        <f t="array" ref="W501">IF(表成绩单[[#This Row],[总分]]="","",SUMPRODUCT((表成绩单[考试日期]=表成绩单[[#This Row],[考试日期]])*(表成绩单[总分]&lt;9E+307)*(表成绩单[总分]&gt;表成绩单[[#This Row],[总分]]))+1)</f>
        <v>496</v>
      </c>
    </row>
    <row r="502" ht="28" customHeight="1" spans="4:23">
      <c r="D502" s="31">
        <v>45975</v>
      </c>
      <c r="E502" s="29">
        <v>19178619</v>
      </c>
      <c r="F502" s="29" t="s">
        <v>25</v>
      </c>
      <c r="G502" s="29" t="s">
        <v>575</v>
      </c>
      <c r="H502" s="29">
        <v>94</v>
      </c>
      <c r="I502" s="29">
        <v>90</v>
      </c>
      <c r="J502" s="29">
        <v>77.5</v>
      </c>
      <c r="K502" s="29">
        <v>77</v>
      </c>
      <c r="L502" s="29">
        <v>63</v>
      </c>
      <c r="M502" s="29">
        <v>79</v>
      </c>
      <c r="N502" s="29">
        <v>67</v>
      </c>
      <c r="O502" s="32">
        <v>547.5</v>
      </c>
      <c r="P502" s="29" cm="1">
        <f t="array" ref="P502">IF(表成绩单[[#This Row],[语文]]="","",SUMPRODUCT((表成绩单[考试日期]=表成绩单[[#This Row],[考试日期]])*(表成绩单[语文]&lt;9E+307)*(表成绩单[语文]&gt;表成绩单[[#This Row],[语文]]))+1)</f>
        <v>452</v>
      </c>
      <c r="Q502" s="29" cm="1">
        <f t="array" ref="Q502">IF(表成绩单[[#This Row],[数学]]="","",SUMPRODUCT((表成绩单[考试日期]=表成绩单[[#This Row],[考试日期]])*(表成绩单[数学]&lt;9E+307)*(表成绩单[数学]&gt;表成绩单[[#This Row],[数学]]))+1)</f>
        <v>506</v>
      </c>
      <c r="R502" s="29" cm="1">
        <f t="array" ref="R502">IF(表成绩单[[#This Row],[英语]]="","",SUMPRODUCT((表成绩单[考试日期]=表成绩单[[#This Row],[考试日期]])*(表成绩单[英语]&lt;9E+307)*(表成绩单[英语]&gt;表成绩单[[#This Row],[英语]]))+1)</f>
        <v>345</v>
      </c>
      <c r="S502" s="29" cm="1">
        <f t="array" ref="S502">IF(表成绩单[[#This Row],[物理]]="","",SUMPRODUCT((表成绩单[考试日期]=表成绩单[[#This Row],[考试日期]])*(表成绩单[物理]&lt;9E+307)*(表成绩单[物理]&gt;表成绩单[[#This Row],[物理]]))+1)</f>
        <v>572</v>
      </c>
      <c r="T502" s="29" cm="1">
        <f t="array" ref="T502">IF(表成绩单[[#This Row],[化学]]="","",SUMPRODUCT((表成绩单[考试日期]=表成绩单[[#This Row],[考试日期]])*(表成绩单[化学]&lt;9E+307)*(表成绩单[化学]&gt;表成绩单[[#This Row],[化学]]))+1)</f>
        <v>588</v>
      </c>
      <c r="U502" s="29" cm="1">
        <f t="array" ref="U502">IF(表成绩单[[#This Row],[政治]]="","",SUMPRODUCT((表成绩单[考试日期]=表成绩单[[#This Row],[考试日期]])*(表成绩单[政治]&lt;9E+307)*(表成绩单[政治]&gt;表成绩单[[#This Row],[政治]]))+1)</f>
        <v>246</v>
      </c>
      <c r="V502" s="29" cm="1">
        <f t="array" ref="V502">IF(表成绩单[[#This Row],[历史]]="","",SUMPRODUCT((表成绩单[考试日期]=表成绩单[[#This Row],[考试日期]])*(表成绩单[历史]&lt;9E+307)*(表成绩单[历史]&gt;表成绩单[[#This Row],[历史]]))+1)</f>
        <v>597</v>
      </c>
      <c r="W502" s="29" cm="1">
        <f t="array" ref="W502">IF(表成绩单[[#This Row],[总分]]="","",SUMPRODUCT((表成绩单[考试日期]=表成绩单[[#This Row],[考试日期]])*(表成绩单[总分]&lt;9E+307)*(表成绩单[总分]&gt;表成绩单[[#This Row],[总分]]))+1)</f>
        <v>498</v>
      </c>
    </row>
    <row r="503" ht="28" customHeight="1" spans="4:23">
      <c r="D503" s="31">
        <v>45975</v>
      </c>
      <c r="E503" s="29">
        <v>19171086</v>
      </c>
      <c r="F503" s="29" t="s">
        <v>67</v>
      </c>
      <c r="G503" s="29" t="s">
        <v>576</v>
      </c>
      <c r="H503" s="29">
        <v>96</v>
      </c>
      <c r="I503" s="29">
        <v>100</v>
      </c>
      <c r="J503" s="29">
        <v>60</v>
      </c>
      <c r="K503" s="29">
        <v>72</v>
      </c>
      <c r="L503" s="29">
        <v>76</v>
      </c>
      <c r="M503" s="29">
        <v>73</v>
      </c>
      <c r="N503" s="29">
        <v>70</v>
      </c>
      <c r="O503" s="32">
        <v>547</v>
      </c>
      <c r="P503" s="29" cm="1">
        <f t="array" ref="P503">IF(表成绩单[[#This Row],[语文]]="","",SUMPRODUCT((表成绩单[考试日期]=表成绩单[[#This Row],[考试日期]])*(表成绩单[语文]&lt;9E+307)*(表成绩单[语文]&gt;表成绩单[[#This Row],[语文]]))+1)</f>
        <v>387</v>
      </c>
      <c r="Q503" s="29" cm="1">
        <f t="array" ref="Q503">IF(表成绩单[[#This Row],[数学]]="","",SUMPRODUCT((表成绩单[考试日期]=表成绩单[[#This Row],[考试日期]])*(表成绩单[数学]&lt;9E+307)*(表成绩单[数学]&gt;表成绩单[[#This Row],[数学]]))+1)</f>
        <v>340</v>
      </c>
      <c r="R503" s="29" cm="1">
        <f t="array" ref="R503">IF(表成绩单[[#This Row],[英语]]="","",SUMPRODUCT((表成绩单[考试日期]=表成绩单[[#This Row],[考试日期]])*(表成绩单[英语]&lt;9E+307)*(表成绩单[英语]&gt;表成绩单[[#This Row],[英语]]))+1)</f>
        <v>668</v>
      </c>
      <c r="S503" s="29" cm="1">
        <f t="array" ref="S503">IF(表成绩单[[#This Row],[物理]]="","",SUMPRODUCT((表成绩单[考试日期]=表成绩单[[#This Row],[考试日期]])*(表成绩单[物理]&lt;9E+307)*(表成绩单[物理]&gt;表成绩单[[#This Row],[物理]]))+1)</f>
        <v>633</v>
      </c>
      <c r="T503" s="29" cm="1">
        <f t="array" ref="T503">IF(表成绩单[[#This Row],[化学]]="","",SUMPRODUCT((表成绩单[考试日期]=表成绩单[[#This Row],[考试日期]])*(表成绩单[化学]&lt;9E+307)*(表成绩单[化学]&gt;表成绩单[[#This Row],[化学]]))+1)</f>
        <v>268</v>
      </c>
      <c r="U503" s="29" cm="1">
        <f t="array" ref="U503">IF(表成绩单[[#This Row],[政治]]="","",SUMPRODUCT((表成绩单[考试日期]=表成绩单[[#This Row],[考试日期]])*(表成绩单[政治]&lt;9E+307)*(表成绩单[政治]&gt;表成绩单[[#This Row],[政治]]))+1)</f>
        <v>418</v>
      </c>
      <c r="V503" s="29" cm="1">
        <f t="array" ref="V503">IF(表成绩单[[#This Row],[历史]]="","",SUMPRODUCT((表成绩单[考试日期]=表成绩单[[#This Row],[考试日期]])*(表成绩单[历史]&lt;9E+307)*(表成绩单[历史]&gt;表成绩单[[#This Row],[历史]]))+1)</f>
        <v>505</v>
      </c>
      <c r="W503" s="29" cm="1">
        <f t="array" ref="W503">IF(表成绩单[[#This Row],[总分]]="","",SUMPRODUCT((表成绩单[考试日期]=表成绩单[[#This Row],[考试日期]])*(表成绩单[总分]&lt;9E+307)*(表成绩单[总分]&gt;表成绩单[[#This Row],[总分]]))+1)</f>
        <v>499</v>
      </c>
    </row>
    <row r="504" ht="28" customHeight="1" spans="4:23">
      <c r="D504" s="31">
        <v>45975</v>
      </c>
      <c r="E504" s="29">
        <v>19172625</v>
      </c>
      <c r="F504" s="29" t="s">
        <v>60</v>
      </c>
      <c r="G504" s="29" t="s">
        <v>577</v>
      </c>
      <c r="H504" s="29">
        <v>86</v>
      </c>
      <c r="I504" s="29">
        <v>83</v>
      </c>
      <c r="J504" s="29">
        <v>71</v>
      </c>
      <c r="K504" s="29">
        <v>88</v>
      </c>
      <c r="L504" s="29">
        <v>70</v>
      </c>
      <c r="M504" s="29">
        <v>82</v>
      </c>
      <c r="N504" s="29">
        <v>67</v>
      </c>
      <c r="O504" s="32">
        <v>547</v>
      </c>
      <c r="P504" s="29" cm="1">
        <f t="array" ref="P504">IF(表成绩单[[#This Row],[语文]]="","",SUMPRODUCT((表成绩单[考试日期]=表成绩单[[#This Row],[考试日期]])*(表成绩单[语文]&lt;9E+307)*(表成绩单[语文]&gt;表成绩单[[#This Row],[语文]]))+1)</f>
        <v>635</v>
      </c>
      <c r="Q504" s="29" cm="1">
        <f t="array" ref="Q504">IF(表成绩单[[#This Row],[数学]]="","",SUMPRODUCT((表成绩单[考试日期]=表成绩单[[#This Row],[考试日期]])*(表成绩单[数学]&lt;9E+307)*(表成绩单[数学]&gt;表成绩单[[#This Row],[数学]]))+1)</f>
        <v>592</v>
      </c>
      <c r="R504" s="29" cm="1">
        <f t="array" ref="R504">IF(表成绩单[[#This Row],[英语]]="","",SUMPRODUCT((表成绩单[考试日期]=表成绩单[[#This Row],[考试日期]])*(表成绩单[英语]&lt;9E+307)*(表成绩单[英语]&gt;表成绩单[[#This Row],[英语]]))+1)</f>
        <v>534</v>
      </c>
      <c r="S504" s="29" cm="1">
        <f t="array" ref="S504">IF(表成绩单[[#This Row],[物理]]="","",SUMPRODUCT((表成绩单[考试日期]=表成绩单[[#This Row],[考试日期]])*(表成绩单[物理]&lt;9E+307)*(表成绩单[物理]&gt;表成绩单[[#This Row],[物理]]))+1)</f>
        <v>54</v>
      </c>
      <c r="T504" s="29" cm="1">
        <f t="array" ref="T504">IF(表成绩单[[#This Row],[化学]]="","",SUMPRODUCT((表成绩单[考试日期]=表成绩单[[#This Row],[考试日期]])*(表成绩单[化学]&lt;9E+307)*(表成绩单[化学]&gt;表成绩单[[#This Row],[化学]]))+1)</f>
        <v>453</v>
      </c>
      <c r="U504" s="29" cm="1">
        <f t="array" ref="U504">IF(表成绩单[[#This Row],[政治]]="","",SUMPRODUCT((表成绩单[考试日期]=表成绩单[[#This Row],[考试日期]])*(表成绩单[政治]&lt;9E+307)*(表成绩单[政治]&gt;表成绩单[[#This Row],[政治]]))+1)</f>
        <v>157</v>
      </c>
      <c r="V504" s="29" cm="1">
        <f t="array" ref="V504">IF(表成绩单[[#This Row],[历史]]="","",SUMPRODUCT((表成绩单[考试日期]=表成绩单[[#This Row],[考试日期]])*(表成绩单[历史]&lt;9E+307)*(表成绩单[历史]&gt;表成绩单[[#This Row],[历史]]))+1)</f>
        <v>597</v>
      </c>
      <c r="W504" s="29" cm="1">
        <f t="array" ref="W504">IF(表成绩单[[#This Row],[总分]]="","",SUMPRODUCT((表成绩单[考试日期]=表成绩单[[#This Row],[考试日期]])*(表成绩单[总分]&lt;9E+307)*(表成绩单[总分]&gt;表成绩单[[#This Row],[总分]]))+1)</f>
        <v>499</v>
      </c>
    </row>
    <row r="505" ht="28" customHeight="1" spans="4:23">
      <c r="D505" s="31">
        <v>45975</v>
      </c>
      <c r="E505" s="29">
        <v>19173783</v>
      </c>
      <c r="F505" s="29" t="s">
        <v>65</v>
      </c>
      <c r="G505" s="29" t="s">
        <v>578</v>
      </c>
      <c r="H505" s="29">
        <v>81</v>
      </c>
      <c r="I505" s="29">
        <v>94</v>
      </c>
      <c r="J505" s="29">
        <v>77</v>
      </c>
      <c r="K505" s="29">
        <v>82</v>
      </c>
      <c r="L505" s="29">
        <v>79</v>
      </c>
      <c r="M505" s="29">
        <v>65</v>
      </c>
      <c r="N505" s="29">
        <v>69</v>
      </c>
      <c r="O505" s="32">
        <v>547</v>
      </c>
      <c r="P505" s="29" cm="1">
        <f t="array" ref="P505">IF(表成绩单[[#This Row],[语文]]="","",SUMPRODUCT((表成绩单[考试日期]=表成绩单[[#This Row],[考试日期]])*(表成绩单[语文]&lt;9E+307)*(表成绩单[语文]&gt;表成绩单[[#This Row],[语文]]))+1)</f>
        <v>688</v>
      </c>
      <c r="Q505" s="29" cm="1">
        <f t="array" ref="Q505">IF(表成绩单[[#This Row],[数学]]="","",SUMPRODUCT((表成绩单[考试日期]=表成绩单[[#This Row],[考试日期]])*(表成绩单[数学]&lt;9E+307)*(表成绩单[数学]&gt;表成绩单[[#This Row],[数学]]))+1)</f>
        <v>454</v>
      </c>
      <c r="R505" s="29" cm="1">
        <f t="array" ref="R505">IF(表成绩单[[#This Row],[英语]]="","",SUMPRODUCT((表成绩单[考试日期]=表成绩单[[#This Row],[考试日期]])*(表成绩单[英语]&lt;9E+307)*(表成绩单[英语]&gt;表成绩单[[#This Row],[英语]]))+1)</f>
        <v>369</v>
      </c>
      <c r="S505" s="29" cm="1">
        <f t="array" ref="S505">IF(表成绩单[[#This Row],[物理]]="","",SUMPRODUCT((表成绩单[考试日期]=表成绩单[[#This Row],[考试日期]])*(表成绩单[物理]&lt;9E+307)*(表成绩单[物理]&gt;表成绩单[[#This Row],[物理]]))+1)</f>
        <v>433</v>
      </c>
      <c r="T505" s="29" cm="1">
        <f t="array" ref="T505">IF(表成绩单[[#This Row],[化学]]="","",SUMPRODUCT((表成绩单[考试日期]=表成绩单[[#This Row],[考试日期]])*(表成绩单[化学]&lt;9E+307)*(表成绩单[化学]&gt;表成绩单[[#This Row],[化学]]))+1)</f>
        <v>166</v>
      </c>
      <c r="U505" s="29" cm="1">
        <f t="array" ref="U505">IF(表成绩单[[#This Row],[政治]]="","",SUMPRODUCT((表成绩单[考试日期]=表成绩单[[#This Row],[考试日期]])*(表成绩单[政治]&lt;9E+307)*(表成绩单[政治]&gt;表成绩单[[#This Row],[政治]]))+1)</f>
        <v>579</v>
      </c>
      <c r="V505" s="29" cm="1">
        <f t="array" ref="V505">IF(表成绩单[[#This Row],[历史]]="","",SUMPRODUCT((表成绩单[考试日期]=表成绩单[[#This Row],[考试日期]])*(表成绩单[历史]&lt;9E+307)*(表成绩单[历史]&gt;表成绩单[[#This Row],[历史]]))+1)</f>
        <v>541</v>
      </c>
      <c r="W505" s="29" cm="1">
        <f t="array" ref="W505">IF(表成绩单[[#This Row],[总分]]="","",SUMPRODUCT((表成绩单[考试日期]=表成绩单[[#This Row],[考试日期]])*(表成绩单[总分]&lt;9E+307)*(表成绩单[总分]&gt;表成绩单[[#This Row],[总分]]))+1)</f>
        <v>499</v>
      </c>
    </row>
    <row r="506" ht="28" customHeight="1" spans="4:23">
      <c r="D506" s="31">
        <v>45975</v>
      </c>
      <c r="E506" s="29">
        <v>19174798</v>
      </c>
      <c r="F506" s="29" t="s">
        <v>69</v>
      </c>
      <c r="G506" s="29" t="s">
        <v>579</v>
      </c>
      <c r="H506" s="29">
        <v>95</v>
      </c>
      <c r="I506" s="29">
        <v>92</v>
      </c>
      <c r="J506" s="29">
        <v>75</v>
      </c>
      <c r="K506" s="29">
        <v>82</v>
      </c>
      <c r="L506" s="29">
        <v>76</v>
      </c>
      <c r="M506" s="29">
        <v>57</v>
      </c>
      <c r="N506" s="29">
        <v>70</v>
      </c>
      <c r="O506" s="32">
        <v>547</v>
      </c>
      <c r="P506" s="29" cm="1">
        <f t="array" ref="P506">IF(表成绩单[[#This Row],[语文]]="","",SUMPRODUCT((表成绩单[考试日期]=表成绩单[[#This Row],[考试日期]])*(表成绩单[语文]&lt;9E+307)*(表成绩单[语文]&gt;表成绩单[[#This Row],[语文]]))+1)</f>
        <v>420</v>
      </c>
      <c r="Q506" s="29" cm="1">
        <f t="array" ref="Q506">IF(表成绩单[[#This Row],[数学]]="","",SUMPRODUCT((表成绩单[考试日期]=表成绩单[[#This Row],[考试日期]])*(表成绩单[数学]&lt;9E+307)*(表成绩单[数学]&gt;表成绩单[[#This Row],[数学]]))+1)</f>
        <v>480</v>
      </c>
      <c r="R506" s="29" cm="1">
        <f t="array" ref="R506">IF(表成绩单[[#This Row],[英语]]="","",SUMPRODUCT((表成绩单[考试日期]=表成绩单[[#This Row],[考试日期]])*(表成绩单[英语]&lt;9E+307)*(表成绩单[英语]&gt;表成绩单[[#This Row],[英语]]))+1)</f>
        <v>430</v>
      </c>
      <c r="S506" s="29" cm="1">
        <f t="array" ref="S506">IF(表成绩单[[#This Row],[物理]]="","",SUMPRODUCT((表成绩单[考试日期]=表成绩单[[#This Row],[考试日期]])*(表成绩单[物理]&lt;9E+307)*(表成绩单[物理]&gt;表成绩单[[#This Row],[物理]]))+1)</f>
        <v>433</v>
      </c>
      <c r="T506" s="29" cm="1">
        <f t="array" ref="T506">IF(表成绩单[[#This Row],[化学]]="","",SUMPRODUCT((表成绩单[考试日期]=表成绩单[[#This Row],[考试日期]])*(表成绩单[化学]&lt;9E+307)*(表成绩单[化学]&gt;表成绩单[[#This Row],[化学]]))+1)</f>
        <v>268</v>
      </c>
      <c r="U506" s="29" cm="1">
        <f t="array" ref="U506">IF(表成绩单[[#This Row],[政治]]="","",SUMPRODUCT((表成绩单[考试日期]=表成绩单[[#This Row],[考试日期]])*(表成绩单[政治]&lt;9E+307)*(表成绩单[政治]&gt;表成绩单[[#This Row],[政治]]))+1)</f>
        <v>698</v>
      </c>
      <c r="V506" s="29" cm="1">
        <f t="array" ref="V506">IF(表成绩单[[#This Row],[历史]]="","",SUMPRODUCT((表成绩单[考试日期]=表成绩单[[#This Row],[考试日期]])*(表成绩单[历史]&lt;9E+307)*(表成绩单[历史]&gt;表成绩单[[#This Row],[历史]]))+1)</f>
        <v>505</v>
      </c>
      <c r="W506" s="29" cm="1">
        <f t="array" ref="W506">IF(表成绩单[[#This Row],[总分]]="","",SUMPRODUCT((表成绩单[考试日期]=表成绩单[[#This Row],[考试日期]])*(表成绩单[总分]&lt;9E+307)*(表成绩单[总分]&gt;表成绩单[[#This Row],[总分]]))+1)</f>
        <v>499</v>
      </c>
    </row>
    <row r="507" ht="28" customHeight="1" spans="4:23">
      <c r="D507" s="31">
        <v>45975</v>
      </c>
      <c r="E507" s="29">
        <v>19175287</v>
      </c>
      <c r="F507" s="29" t="s">
        <v>55</v>
      </c>
      <c r="G507" s="29" t="s">
        <v>580</v>
      </c>
      <c r="H507" s="29">
        <v>82</v>
      </c>
      <c r="I507" s="29">
        <v>101</v>
      </c>
      <c r="J507" s="29">
        <v>63</v>
      </c>
      <c r="K507" s="29">
        <v>83</v>
      </c>
      <c r="L507" s="29">
        <v>76</v>
      </c>
      <c r="M507" s="29">
        <v>71</v>
      </c>
      <c r="N507" s="29">
        <v>71</v>
      </c>
      <c r="O507" s="32">
        <v>547</v>
      </c>
      <c r="P507" s="29" cm="1">
        <f t="array" ref="P507">IF(表成绩单[[#This Row],[语文]]="","",SUMPRODUCT((表成绩单[考试日期]=表成绩单[[#This Row],[考试日期]])*(表成绩单[语文]&lt;9E+307)*(表成绩单[语文]&gt;表成绩单[[#This Row],[语文]]))+1)</f>
        <v>682</v>
      </c>
      <c r="Q507" s="29" cm="1">
        <f t="array" ref="Q507">IF(表成绩单[[#This Row],[数学]]="","",SUMPRODUCT((表成绩单[考试日期]=表成绩单[[#This Row],[考试日期]])*(表成绩单[数学]&lt;9E+307)*(表成绩单[数学]&gt;表成绩单[[#This Row],[数学]]))+1)</f>
        <v>319</v>
      </c>
      <c r="R507" s="29" cm="1">
        <f t="array" ref="R507">IF(表成绩单[[#This Row],[英语]]="","",SUMPRODUCT((表成绩单[考试日期]=表成绩单[[#This Row],[考试日期]])*(表成绩单[英语]&lt;9E+307)*(表成绩单[英语]&gt;表成绩单[[#This Row],[英语]]))+1)</f>
        <v>642</v>
      </c>
      <c r="S507" s="29" cm="1">
        <f t="array" ref="S507">IF(表成绩单[[#This Row],[物理]]="","",SUMPRODUCT((表成绩单[考试日期]=表成绩单[[#This Row],[考试日期]])*(表成绩单[物理]&lt;9E+307)*(表成绩单[物理]&gt;表成绩单[[#This Row],[物理]]))+1)</f>
        <v>390</v>
      </c>
      <c r="T507" s="29" cm="1">
        <f t="array" ref="T507">IF(表成绩单[[#This Row],[化学]]="","",SUMPRODUCT((表成绩单[考试日期]=表成绩单[[#This Row],[考试日期]])*(表成绩单[化学]&lt;9E+307)*(表成绩单[化学]&gt;表成绩单[[#This Row],[化学]]))+1)</f>
        <v>268</v>
      </c>
      <c r="U507" s="29" cm="1">
        <f t="array" ref="U507">IF(表成绩单[[#This Row],[政治]]="","",SUMPRODUCT((表成绩单[考试日期]=表成绩单[[#This Row],[考试日期]])*(表成绩单[政治]&lt;9E+307)*(表成绩单[政治]&gt;表成绩单[[#This Row],[政治]]))+1)</f>
        <v>467</v>
      </c>
      <c r="V507" s="29" cm="1">
        <f t="array" ref="V507">IF(表成绩单[[#This Row],[历史]]="","",SUMPRODUCT((表成绩单[考试日期]=表成绩单[[#This Row],[考试日期]])*(表成绩单[历史]&lt;9E+307)*(表成绩单[历史]&gt;表成绩单[[#This Row],[历史]]))+1)</f>
        <v>480</v>
      </c>
      <c r="W507" s="29" cm="1">
        <f t="array" ref="W507">IF(表成绩单[[#This Row],[总分]]="","",SUMPRODUCT((表成绩单[考试日期]=表成绩单[[#This Row],[考试日期]])*(表成绩单[总分]&lt;9E+307)*(表成绩单[总分]&gt;表成绩单[[#This Row],[总分]]))+1)</f>
        <v>499</v>
      </c>
    </row>
    <row r="508" ht="28" customHeight="1" spans="4:23">
      <c r="D508" s="31">
        <v>45975</v>
      </c>
      <c r="E508" s="29">
        <v>19175308</v>
      </c>
      <c r="F508" s="29" t="s">
        <v>55</v>
      </c>
      <c r="G508" s="29" t="s">
        <v>581</v>
      </c>
      <c r="H508" s="29">
        <v>97</v>
      </c>
      <c r="I508" s="29">
        <v>80</v>
      </c>
      <c r="J508" s="29">
        <v>57</v>
      </c>
      <c r="K508" s="29">
        <v>81</v>
      </c>
      <c r="L508" s="29">
        <v>69</v>
      </c>
      <c r="M508" s="29">
        <v>84</v>
      </c>
      <c r="N508" s="29">
        <v>79</v>
      </c>
      <c r="O508" s="32">
        <v>547</v>
      </c>
      <c r="P508" s="29" cm="1">
        <f t="array" ref="P508">IF(表成绩单[[#This Row],[语文]]="","",SUMPRODUCT((表成绩单[考试日期]=表成绩单[[#This Row],[考试日期]])*(表成绩单[语文]&lt;9E+307)*(表成绩单[语文]&gt;表成绩单[[#This Row],[语文]]))+1)</f>
        <v>349</v>
      </c>
      <c r="Q508" s="29" cm="1">
        <f t="array" ref="Q508">IF(表成绩单[[#This Row],[数学]]="","",SUMPRODUCT((表成绩单[考试日期]=表成绩单[[#This Row],[考试日期]])*(表成绩单[数学]&lt;9E+307)*(表成绩单[数学]&gt;表成绩单[[#This Row],[数学]]))+1)</f>
        <v>626</v>
      </c>
      <c r="R508" s="29" cm="1">
        <f t="array" ref="R508">IF(表成绩单[[#This Row],[英语]]="","",SUMPRODUCT((表成绩单[考试日期]=表成绩单[[#This Row],[考试日期]])*(表成绩单[英语]&lt;9E+307)*(表成绩单[英语]&gt;表成绩单[[#This Row],[英语]]))+1)</f>
        <v>690</v>
      </c>
      <c r="S508" s="29" cm="1">
        <f t="array" ref="S508">IF(表成绩单[[#This Row],[物理]]="","",SUMPRODUCT((表成绩单[考试日期]=表成绩单[[#This Row],[考试日期]])*(表成绩单[物理]&lt;9E+307)*(表成绩单[物理]&gt;表成绩单[[#This Row],[物理]]))+1)</f>
        <v>474</v>
      </c>
      <c r="T508" s="29" cm="1">
        <f t="array" ref="T508">IF(表成绩单[[#This Row],[化学]]="","",SUMPRODUCT((表成绩单[考试日期]=表成绩单[[#This Row],[考试日期]])*(表成绩单[化学]&lt;9E+307)*(表成绩单[化学]&gt;表成绩单[[#This Row],[化学]]))+1)</f>
        <v>478</v>
      </c>
      <c r="U508" s="29" cm="1">
        <f t="array" ref="U508">IF(表成绩单[[#This Row],[政治]]="","",SUMPRODUCT((表成绩单[考试日期]=表成绩单[[#This Row],[考试日期]])*(表成绩单[政治]&lt;9E+307)*(表成绩单[政治]&gt;表成绩单[[#This Row],[政治]]))+1)</f>
        <v>83</v>
      </c>
      <c r="V508" s="29" cm="1">
        <f t="array" ref="V508">IF(表成绩单[[#This Row],[历史]]="","",SUMPRODUCT((表成绩单[考试日期]=表成绩单[[#This Row],[考试日期]])*(表成绩单[历史]&lt;9E+307)*(表成绩单[历史]&gt;表成绩单[[#This Row],[历史]]))+1)</f>
        <v>144</v>
      </c>
      <c r="W508" s="29" cm="1">
        <f t="array" ref="W508">IF(表成绩单[[#This Row],[总分]]="","",SUMPRODUCT((表成绩单[考试日期]=表成绩单[[#This Row],[考试日期]])*(表成绩单[总分]&lt;9E+307)*(表成绩单[总分]&gt;表成绩单[[#This Row],[总分]]))+1)</f>
        <v>499</v>
      </c>
    </row>
    <row r="509" ht="28" customHeight="1" spans="4:23">
      <c r="D509" s="31">
        <v>45975</v>
      </c>
      <c r="E509" s="29">
        <v>19175687</v>
      </c>
      <c r="F509" s="29" t="s">
        <v>72</v>
      </c>
      <c r="G509" s="29" t="s">
        <v>582</v>
      </c>
      <c r="H509" s="29">
        <v>91</v>
      </c>
      <c r="I509" s="29">
        <v>93</v>
      </c>
      <c r="J509" s="29">
        <v>74</v>
      </c>
      <c r="K509" s="29">
        <v>85</v>
      </c>
      <c r="L509" s="29">
        <v>65</v>
      </c>
      <c r="M509" s="29">
        <v>73</v>
      </c>
      <c r="N509" s="29">
        <v>66</v>
      </c>
      <c r="O509" s="32">
        <v>547</v>
      </c>
      <c r="P509" s="29" cm="1">
        <f t="array" ref="P509">IF(表成绩单[[#This Row],[语文]]="","",SUMPRODUCT((表成绩单[考试日期]=表成绩单[[#This Row],[考试日期]])*(表成绩单[语文]&lt;9E+307)*(表成绩单[语文]&gt;表成绩单[[#This Row],[语文]]))+1)</f>
        <v>536</v>
      </c>
      <c r="Q509" s="29" cm="1">
        <f t="array" ref="Q509">IF(表成绩单[[#This Row],[数学]]="","",SUMPRODUCT((表成绩单[考试日期]=表成绩单[[#This Row],[考试日期]])*(表成绩单[数学]&lt;9E+307)*(表成绩单[数学]&gt;表成绩单[[#This Row],[数学]]))+1)</f>
        <v>469</v>
      </c>
      <c r="R509" s="29" cm="1">
        <f t="array" ref="R509">IF(表成绩单[[#This Row],[英语]]="","",SUMPRODUCT((表成绩单[考试日期]=表成绩单[[#This Row],[考试日期]])*(表成绩单[英语]&lt;9E+307)*(表成绩单[英语]&gt;表成绩单[[#This Row],[英语]]))+1)</f>
        <v>454</v>
      </c>
      <c r="S509" s="29" cm="1">
        <f t="array" ref="S509">IF(表成绩单[[#This Row],[物理]]="","",SUMPRODUCT((表成绩单[考试日期]=表成绩单[[#This Row],[考试日期]])*(表成绩单[物理]&lt;9E+307)*(表成绩单[物理]&gt;表成绩单[[#This Row],[物理]]))+1)</f>
        <v>263</v>
      </c>
      <c r="T509" s="29" cm="1">
        <f t="array" ref="T509">IF(表成绩单[[#This Row],[化学]]="","",SUMPRODUCT((表成绩单[考试日期]=表成绩单[[#This Row],[考试日期]])*(表成绩单[化学]&lt;9E+307)*(表成绩单[化学]&gt;表成绩单[[#This Row],[化学]]))+1)</f>
        <v>559</v>
      </c>
      <c r="U509" s="29" cm="1">
        <f t="array" ref="U509">IF(表成绩单[[#This Row],[政治]]="","",SUMPRODUCT((表成绩单[考试日期]=表成绩单[[#This Row],[考试日期]])*(表成绩单[政治]&lt;9E+307)*(表成绩单[政治]&gt;表成绩单[[#This Row],[政治]]))+1)</f>
        <v>418</v>
      </c>
      <c r="V509" s="29" cm="1">
        <f t="array" ref="V509">IF(表成绩单[[#This Row],[历史]]="","",SUMPRODUCT((表成绩单[考试日期]=表成绩单[[#This Row],[考试日期]])*(表成绩单[历史]&lt;9E+307)*(表成绩单[历史]&gt;表成绩单[[#This Row],[历史]]))+1)</f>
        <v>622</v>
      </c>
      <c r="W509" s="29" cm="1">
        <f t="array" ref="W509">IF(表成绩单[[#This Row],[总分]]="","",SUMPRODUCT((表成绩单[考试日期]=表成绩单[[#This Row],[考试日期]])*(表成绩单[总分]&lt;9E+307)*(表成绩单[总分]&gt;表成绩单[[#This Row],[总分]]))+1)</f>
        <v>499</v>
      </c>
    </row>
    <row r="510" ht="28" customHeight="1" spans="4:23">
      <c r="D510" s="31">
        <v>45975</v>
      </c>
      <c r="E510" s="29">
        <v>19178643</v>
      </c>
      <c r="F510" s="29" t="s">
        <v>25</v>
      </c>
      <c r="G510" s="29" t="s">
        <v>583</v>
      </c>
      <c r="H510" s="29">
        <v>95</v>
      </c>
      <c r="I510" s="29">
        <v>95</v>
      </c>
      <c r="J510" s="29">
        <v>76</v>
      </c>
      <c r="K510" s="29">
        <v>83</v>
      </c>
      <c r="L510" s="29">
        <v>63</v>
      </c>
      <c r="M510" s="29">
        <v>63</v>
      </c>
      <c r="N510" s="29">
        <v>72</v>
      </c>
      <c r="O510" s="32">
        <v>547</v>
      </c>
      <c r="P510" s="29" cm="1">
        <f t="array" ref="P510">IF(表成绩单[[#This Row],[语文]]="","",SUMPRODUCT((表成绩单[考试日期]=表成绩单[[#This Row],[考试日期]])*(表成绩单[语文]&lt;9E+307)*(表成绩单[语文]&gt;表成绩单[[#This Row],[语文]]))+1)</f>
        <v>420</v>
      </c>
      <c r="Q510" s="29" cm="1">
        <f t="array" ref="Q510">IF(表成绩单[[#This Row],[数学]]="","",SUMPRODUCT((表成绩单[考试日期]=表成绩单[[#This Row],[考试日期]])*(表成绩单[数学]&lt;9E+307)*(表成绩单[数学]&gt;表成绩单[[#This Row],[数学]]))+1)</f>
        <v>430</v>
      </c>
      <c r="R510" s="29" cm="1">
        <f t="array" ref="R510">IF(表成绩单[[#This Row],[英语]]="","",SUMPRODUCT((表成绩单[考试日期]=表成绩单[[#This Row],[考试日期]])*(表成绩单[英语]&lt;9E+307)*(表成绩单[英语]&gt;表成绩单[[#This Row],[英语]]))+1)</f>
        <v>399</v>
      </c>
      <c r="S510" s="29" cm="1">
        <f t="array" ref="S510">IF(表成绩单[[#This Row],[物理]]="","",SUMPRODUCT((表成绩单[考试日期]=表成绩单[[#This Row],[考试日期]])*(表成绩单[物理]&lt;9E+307)*(表成绩单[物理]&gt;表成绩单[[#This Row],[物理]]))+1)</f>
        <v>390</v>
      </c>
      <c r="T510" s="29" cm="1">
        <f t="array" ref="T510">IF(表成绩单[[#This Row],[化学]]="","",SUMPRODUCT((表成绩单[考试日期]=表成绩单[[#This Row],[考试日期]])*(表成绩单[化学]&lt;9E+307)*(表成绩单[化学]&gt;表成绩单[[#This Row],[化学]]))+1)</f>
        <v>588</v>
      </c>
      <c r="U510" s="29" cm="1">
        <f t="array" ref="U510">IF(表成绩单[[#This Row],[政治]]="","",SUMPRODUCT((表成绩单[考试日期]=表成绩单[[#This Row],[考试日期]])*(表成绩单[政治]&lt;9E+307)*(表成绩单[政治]&gt;表成绩单[[#This Row],[政治]]))+1)</f>
        <v>618</v>
      </c>
      <c r="V510" s="29" cm="1">
        <f t="array" ref="V510">IF(表成绩单[[#This Row],[历史]]="","",SUMPRODUCT((表成绩单[考试日期]=表成绩单[[#This Row],[考试日期]])*(表成绩单[历史]&lt;9E+307)*(表成绩单[历史]&gt;表成绩单[[#This Row],[历史]]))+1)</f>
        <v>438</v>
      </c>
      <c r="W510" s="29" cm="1">
        <f t="array" ref="W510">IF(表成绩单[[#This Row],[总分]]="","",SUMPRODUCT((表成绩单[考试日期]=表成绩单[[#This Row],[考试日期]])*(表成绩单[总分]&lt;9E+307)*(表成绩单[总分]&gt;表成绩单[[#This Row],[总分]]))+1)</f>
        <v>499</v>
      </c>
    </row>
    <row r="511" ht="28" customHeight="1" spans="4:23">
      <c r="D511" s="31">
        <v>45975</v>
      </c>
      <c r="E511" s="29">
        <v>19177641</v>
      </c>
      <c r="F511" s="29" t="s">
        <v>63</v>
      </c>
      <c r="G511" s="29" t="s">
        <v>584</v>
      </c>
      <c r="H511" s="29">
        <v>93</v>
      </c>
      <c r="I511" s="29">
        <v>89</v>
      </c>
      <c r="J511" s="29">
        <v>73.5</v>
      </c>
      <c r="K511" s="29">
        <v>83</v>
      </c>
      <c r="L511" s="29">
        <v>64</v>
      </c>
      <c r="M511" s="29">
        <v>68</v>
      </c>
      <c r="N511" s="29">
        <v>76</v>
      </c>
      <c r="O511" s="32">
        <v>546.5</v>
      </c>
      <c r="P511" s="29" cm="1">
        <f t="array" ref="P511">IF(表成绩单[[#This Row],[语文]]="","",SUMPRODUCT((表成绩单[考试日期]=表成绩单[[#This Row],[考试日期]])*(表成绩单[语文]&lt;9E+307)*(表成绩单[语文]&gt;表成绩单[[#This Row],[语文]]))+1)</f>
        <v>489</v>
      </c>
      <c r="Q511" s="29" cm="1">
        <f t="array" ref="Q511">IF(表成绩单[[#This Row],[数学]]="","",SUMPRODUCT((表成绩单[考试日期]=表成绩单[[#This Row],[考试日期]])*(表成绩单[数学]&lt;9E+307)*(表成绩单[数学]&gt;表成绩单[[#This Row],[数学]]))+1)</f>
        <v>518</v>
      </c>
      <c r="R511" s="29" cm="1">
        <f t="array" ref="R511">IF(表成绩单[[#This Row],[英语]]="","",SUMPRODUCT((表成绩单[考试日期]=表成绩单[[#This Row],[考试日期]])*(表成绩单[英语]&lt;9E+307)*(表成绩单[英语]&gt;表成绩单[[#This Row],[英语]]))+1)</f>
        <v>470</v>
      </c>
      <c r="S511" s="29" cm="1">
        <f t="array" ref="S511">IF(表成绩单[[#This Row],[物理]]="","",SUMPRODUCT((表成绩单[考试日期]=表成绩单[[#This Row],[考试日期]])*(表成绩单[物理]&lt;9E+307)*(表成绩单[物理]&gt;表成绩单[[#This Row],[物理]]))+1)</f>
        <v>390</v>
      </c>
      <c r="T511" s="29" cm="1">
        <f t="array" ref="T511">IF(表成绩单[[#This Row],[化学]]="","",SUMPRODUCT((表成绩单[考试日期]=表成绩单[[#This Row],[考试日期]])*(表成绩单[化学]&lt;9E+307)*(表成绩单[化学]&gt;表成绩单[[#This Row],[化学]]))+1)</f>
        <v>575</v>
      </c>
      <c r="U511" s="29" cm="1">
        <f t="array" ref="U511">IF(表成绩单[[#This Row],[政治]]="","",SUMPRODUCT((表成绩单[考试日期]=表成绩单[[#This Row],[考试日期]])*(表成绩单[政治]&lt;9E+307)*(表成绩单[政治]&gt;表成绩单[[#This Row],[政治]]))+1)</f>
        <v>527</v>
      </c>
      <c r="V511" s="29" cm="1">
        <f t="array" ref="V511">IF(表成绩单[[#This Row],[历史]]="","",SUMPRODUCT((表成绩单[考试日期]=表成绩单[[#This Row],[考试日期]])*(表成绩单[历史]&lt;9E+307)*(表成绩单[历史]&gt;表成绩单[[#This Row],[历史]]))+1)</f>
        <v>278</v>
      </c>
      <c r="W511" s="29" cm="1">
        <f t="array" ref="W511">IF(表成绩单[[#This Row],[总分]]="","",SUMPRODUCT((表成绩单[考试日期]=表成绩单[[#This Row],[考试日期]])*(表成绩单[总分]&lt;9E+307)*(表成绩单[总分]&gt;表成绩单[[#This Row],[总分]]))+1)</f>
        <v>507</v>
      </c>
    </row>
    <row r="512" ht="28" customHeight="1" spans="4:23">
      <c r="D512" s="31">
        <v>45975</v>
      </c>
      <c r="E512" s="29">
        <v>19178586</v>
      </c>
      <c r="F512" s="29" t="s">
        <v>64</v>
      </c>
      <c r="G512" s="29" t="s">
        <v>585</v>
      </c>
      <c r="H512" s="29">
        <v>91</v>
      </c>
      <c r="I512" s="29">
        <v>92</v>
      </c>
      <c r="J512" s="29">
        <v>78.5</v>
      </c>
      <c r="K512" s="29">
        <v>78</v>
      </c>
      <c r="L512" s="29">
        <v>67</v>
      </c>
      <c r="M512" s="29">
        <v>66</v>
      </c>
      <c r="N512" s="29">
        <v>74</v>
      </c>
      <c r="O512" s="32">
        <v>546.5</v>
      </c>
      <c r="P512" s="29" cm="1">
        <f t="array" ref="P512">IF(表成绩单[[#This Row],[语文]]="","",SUMPRODUCT((表成绩单[考试日期]=表成绩单[[#This Row],[考试日期]])*(表成绩单[语文]&lt;9E+307)*(表成绩单[语文]&gt;表成绩单[[#This Row],[语文]]))+1)</f>
        <v>536</v>
      </c>
      <c r="Q512" s="29" cm="1">
        <f t="array" ref="Q512">IF(表成绩单[[#This Row],[数学]]="","",SUMPRODUCT((表成绩单[考试日期]=表成绩单[[#This Row],[考试日期]])*(表成绩单[数学]&lt;9E+307)*(表成绩单[数学]&gt;表成绩单[[#This Row],[数学]]))+1)</f>
        <v>480</v>
      </c>
      <c r="R512" s="29" cm="1">
        <f t="array" ref="R512">IF(表成绩单[[#This Row],[英语]]="","",SUMPRODUCT((表成绩单[考试日期]=表成绩单[[#This Row],[考试日期]])*(表成绩单[英语]&lt;9E+307)*(表成绩单[英语]&gt;表成绩单[[#This Row],[英语]]))+1)</f>
        <v>314</v>
      </c>
      <c r="S512" s="29" cm="1">
        <f t="array" ref="S512">IF(表成绩单[[#This Row],[物理]]="","",SUMPRODUCT((表成绩单[考试日期]=表成绩单[[#This Row],[考试日期]])*(表成绩单[物理]&lt;9E+307)*(表成绩单[物理]&gt;表成绩单[[#This Row],[物理]]))+1)</f>
        <v>554</v>
      </c>
      <c r="T512" s="29" cm="1">
        <f t="array" ref="T512">IF(表成绩单[[#This Row],[化学]]="","",SUMPRODUCT((表成绩单[考试日期]=表成绩单[[#This Row],[考试日期]])*(表成绩单[化学]&lt;9E+307)*(表成绩单[化学]&gt;表成绩单[[#This Row],[化学]]))+1)</f>
        <v>524</v>
      </c>
      <c r="U512" s="29" cm="1">
        <f t="array" ref="U512">IF(表成绩单[[#This Row],[政治]]="","",SUMPRODUCT((表成绩单[考试日期]=表成绩单[[#This Row],[考试日期]])*(表成绩单[政治]&lt;9E+307)*(表成绩单[政治]&gt;表成绩单[[#This Row],[政治]]))+1)</f>
        <v>555</v>
      </c>
      <c r="V512" s="29" cm="1">
        <f t="array" ref="V512">IF(表成绩单[[#This Row],[历史]]="","",SUMPRODUCT((表成绩单[考试日期]=表成绩单[[#This Row],[考试日期]])*(表成绩单[历史]&lt;9E+307)*(表成绩单[历史]&gt;表成绩单[[#This Row],[历史]]))+1)</f>
        <v>358</v>
      </c>
      <c r="W512" s="29" cm="1">
        <f t="array" ref="W512">IF(表成绩单[[#This Row],[总分]]="","",SUMPRODUCT((表成绩单[考试日期]=表成绩单[[#This Row],[考试日期]])*(表成绩单[总分]&lt;9E+307)*(表成绩单[总分]&gt;表成绩单[[#This Row],[总分]]))+1)</f>
        <v>507</v>
      </c>
    </row>
    <row r="513" ht="28" customHeight="1" spans="4:23">
      <c r="D513" s="31">
        <v>45975</v>
      </c>
      <c r="E513" s="29">
        <v>19174776</v>
      </c>
      <c r="F513" s="29" t="s">
        <v>69</v>
      </c>
      <c r="G513" s="29" t="s">
        <v>586</v>
      </c>
      <c r="H513" s="29">
        <v>87</v>
      </c>
      <c r="I513" s="29">
        <v>104</v>
      </c>
      <c r="J513" s="29">
        <v>71</v>
      </c>
      <c r="K513" s="29">
        <v>86</v>
      </c>
      <c r="L513" s="29">
        <v>59</v>
      </c>
      <c r="M513" s="29">
        <v>74</v>
      </c>
      <c r="N513" s="29">
        <v>65</v>
      </c>
      <c r="O513" s="32">
        <v>546</v>
      </c>
      <c r="P513" s="29" cm="1">
        <f t="array" ref="P513">IF(表成绩单[[#This Row],[语文]]="","",SUMPRODUCT((表成绩单[考试日期]=表成绩单[[#This Row],[考试日期]])*(表成绩单[语文]&lt;9E+307)*(表成绩单[语文]&gt;表成绩单[[#This Row],[语文]]))+1)</f>
        <v>615</v>
      </c>
      <c r="Q513" s="29" cm="1">
        <f t="array" ref="Q513">IF(表成绩单[[#This Row],[数学]]="","",SUMPRODUCT((表成绩单[考试日期]=表成绩单[[#This Row],[考试日期]])*(表成绩单[数学]&lt;9E+307)*(表成绩单[数学]&gt;表成绩单[[#This Row],[数学]]))+1)</f>
        <v>260</v>
      </c>
      <c r="R513" s="29" cm="1">
        <f t="array" ref="R513">IF(表成绩单[[#This Row],[英语]]="","",SUMPRODUCT((表成绩单[考试日期]=表成绩单[[#This Row],[考试日期]])*(表成绩单[英语]&lt;9E+307)*(表成绩单[英语]&gt;表成绩单[[#This Row],[英语]]))+1)</f>
        <v>534</v>
      </c>
      <c r="S513" s="29" cm="1">
        <f t="array" ref="S513">IF(表成绩单[[#This Row],[物理]]="","",SUMPRODUCT((表成绩单[考试日期]=表成绩单[[#This Row],[考试日期]])*(表成绩单[物理]&lt;9E+307)*(表成绩单[物理]&gt;表成绩单[[#This Row],[物理]]))+1)</f>
        <v>187</v>
      </c>
      <c r="T513" s="29" cm="1">
        <f t="array" ref="T513">IF(表成绩单[[#This Row],[化学]]="","",SUMPRODUCT((表成绩单[考试日期]=表成绩单[[#This Row],[考试日期]])*(表成绩单[化学]&lt;9E+307)*(表成绩单[化学]&gt;表成绩单[[#This Row],[化学]]))+1)</f>
        <v>648</v>
      </c>
      <c r="U513" s="29" cm="1">
        <f t="array" ref="U513">IF(表成绩单[[#This Row],[政治]]="","",SUMPRODUCT((表成绩单[考试日期]=表成绩单[[#This Row],[考试日期]])*(表成绩单[政治]&lt;9E+307)*(表成绩单[政治]&gt;表成绩单[[#This Row],[政治]]))+1)</f>
        <v>389</v>
      </c>
      <c r="V513" s="29" cm="1">
        <f t="array" ref="V513">IF(表成绩单[[#This Row],[历史]]="","",SUMPRODUCT((表成绩单[考试日期]=表成绩单[[#This Row],[考试日期]])*(表成绩单[历史]&lt;9E+307)*(表成绩单[历史]&gt;表成绩单[[#This Row],[历史]]))+1)</f>
        <v>644</v>
      </c>
      <c r="W513" s="29" cm="1">
        <f t="array" ref="W513">IF(表成绩单[[#This Row],[总分]]="","",SUMPRODUCT((表成绩单[考试日期]=表成绩单[[#This Row],[考试日期]])*(表成绩单[总分]&lt;9E+307)*(表成绩单[总分]&gt;表成绩单[[#This Row],[总分]]))+1)</f>
        <v>509</v>
      </c>
    </row>
    <row r="514" ht="28" customHeight="1" spans="4:23">
      <c r="D514" s="31">
        <v>45975</v>
      </c>
      <c r="E514" s="29">
        <v>19177646</v>
      </c>
      <c r="F514" s="29" t="s">
        <v>63</v>
      </c>
      <c r="G514" s="29" t="s">
        <v>587</v>
      </c>
      <c r="H514" s="29">
        <v>94</v>
      </c>
      <c r="I514" s="29">
        <v>82</v>
      </c>
      <c r="J514" s="29">
        <v>76</v>
      </c>
      <c r="K514" s="29">
        <v>82</v>
      </c>
      <c r="L514" s="29">
        <v>73</v>
      </c>
      <c r="M514" s="29">
        <v>61</v>
      </c>
      <c r="N514" s="29">
        <v>78</v>
      </c>
      <c r="O514" s="32">
        <v>546</v>
      </c>
      <c r="P514" s="29" cm="1">
        <f t="array" ref="P514">IF(表成绩单[[#This Row],[语文]]="","",SUMPRODUCT((表成绩单[考试日期]=表成绩单[[#This Row],[考试日期]])*(表成绩单[语文]&lt;9E+307)*(表成绩单[语文]&gt;表成绩单[[#This Row],[语文]]))+1)</f>
        <v>452</v>
      </c>
      <c r="Q514" s="29" cm="1">
        <f t="array" ref="Q514">IF(表成绩单[[#This Row],[数学]]="","",SUMPRODUCT((表成绩单[考试日期]=表成绩单[[#This Row],[考试日期]])*(表成绩单[数学]&lt;9E+307)*(表成绩单[数学]&gt;表成绩单[[#This Row],[数学]]))+1)</f>
        <v>607</v>
      </c>
      <c r="R514" s="29" cm="1">
        <f t="array" ref="R514">IF(表成绩单[[#This Row],[英语]]="","",SUMPRODUCT((表成绩单[考试日期]=表成绩单[[#This Row],[考试日期]])*(表成绩单[英语]&lt;9E+307)*(表成绩单[英语]&gt;表成绩单[[#This Row],[英语]]))+1)</f>
        <v>399</v>
      </c>
      <c r="S514" s="29" cm="1">
        <f t="array" ref="S514">IF(表成绩单[[#This Row],[物理]]="","",SUMPRODUCT((表成绩单[考试日期]=表成绩单[[#This Row],[考试日期]])*(表成绩单[物理]&lt;9E+307)*(表成绩单[物理]&gt;表成绩单[[#This Row],[物理]]))+1)</f>
        <v>433</v>
      </c>
      <c r="T514" s="29" cm="1">
        <f t="array" ref="T514">IF(表成绩单[[#This Row],[化学]]="","",SUMPRODUCT((表成绩单[考试日期]=表成绩单[[#This Row],[考试日期]])*(表成绩单[化学]&lt;9E+307)*(表成绩单[化学]&gt;表成绩单[[#This Row],[化学]]))+1)</f>
        <v>365</v>
      </c>
      <c r="U514" s="29" cm="1">
        <f t="array" ref="U514">IF(表成绩单[[#This Row],[政治]]="","",SUMPRODUCT((表成绩单[考试日期]=表成绩单[[#This Row],[考试日期]])*(表成绩单[政治]&lt;9E+307)*(表成绩单[政治]&gt;表成绩单[[#This Row],[政治]]))+1)</f>
        <v>644</v>
      </c>
      <c r="V514" s="29" cm="1">
        <f t="array" ref="V514">IF(表成绩单[[#This Row],[历史]]="","",SUMPRODUCT((表成绩单[考试日期]=表成绩单[[#This Row],[考试日期]])*(表成绩单[历史]&lt;9E+307)*(表成绩单[历史]&gt;表成绩单[[#This Row],[历史]]))+1)</f>
        <v>189</v>
      </c>
      <c r="W514" s="29" cm="1">
        <f t="array" ref="W514">IF(表成绩单[[#This Row],[总分]]="","",SUMPRODUCT((表成绩单[考试日期]=表成绩单[[#This Row],[考试日期]])*(表成绩单[总分]&lt;9E+307)*(表成绩单[总分]&gt;表成绩单[[#This Row],[总分]]))+1)</f>
        <v>509</v>
      </c>
    </row>
    <row r="515" ht="28" customHeight="1" spans="4:23">
      <c r="D515" s="31">
        <v>45975</v>
      </c>
      <c r="E515" s="29">
        <v>19173760</v>
      </c>
      <c r="F515" s="29" t="s">
        <v>65</v>
      </c>
      <c r="G515" s="29" t="s">
        <v>588</v>
      </c>
      <c r="H515" s="29">
        <v>91</v>
      </c>
      <c r="I515" s="29">
        <v>77</v>
      </c>
      <c r="J515" s="29">
        <v>79.5</v>
      </c>
      <c r="K515" s="29">
        <v>71</v>
      </c>
      <c r="L515" s="29">
        <v>70</v>
      </c>
      <c r="M515" s="29">
        <v>85</v>
      </c>
      <c r="N515" s="29">
        <v>72</v>
      </c>
      <c r="O515" s="32">
        <v>545.5</v>
      </c>
      <c r="P515" s="29" cm="1">
        <f t="array" ref="P515">IF(表成绩单[[#This Row],[语文]]="","",SUMPRODUCT((表成绩单[考试日期]=表成绩单[[#This Row],[考试日期]])*(表成绩单[语文]&lt;9E+307)*(表成绩单[语文]&gt;表成绩单[[#This Row],[语文]]))+1)</f>
        <v>536</v>
      </c>
      <c r="Q515" s="29" cm="1">
        <f t="array" ref="Q515">IF(表成绩单[[#This Row],[数学]]="","",SUMPRODUCT((表成绩单[考试日期]=表成绩单[[#This Row],[考试日期]])*(表成绩单[数学]&lt;9E+307)*(表成绩单[数学]&gt;表成绩单[[#This Row],[数学]]))+1)</f>
        <v>651</v>
      </c>
      <c r="R515" s="29" cm="1">
        <f t="array" ref="R515">IF(表成绩单[[#This Row],[英语]]="","",SUMPRODUCT((表成绩单[考试日期]=表成绩单[[#This Row],[考试日期]])*(表成绩单[英语]&lt;9E+307)*(表成绩单[英语]&gt;表成绩单[[#This Row],[英语]]))+1)</f>
        <v>279</v>
      </c>
      <c r="S515" s="29" cm="1">
        <f t="array" ref="S515">IF(表成绩单[[#This Row],[物理]]="","",SUMPRODUCT((表成绩单[考试日期]=表成绩单[[#This Row],[考试日期]])*(表成绩单[物理]&lt;9E+307)*(表成绩单[物理]&gt;表成绩单[[#This Row],[物理]]))+1)</f>
        <v>648</v>
      </c>
      <c r="T515" s="29" cm="1">
        <f t="array" ref="T515">IF(表成绩单[[#This Row],[化学]]="","",SUMPRODUCT((表成绩单[考试日期]=表成绩单[[#This Row],[考试日期]])*(表成绩单[化学]&lt;9E+307)*(表成绩单[化学]&gt;表成绩单[[#This Row],[化学]]))+1)</f>
        <v>453</v>
      </c>
      <c r="U515" s="29" cm="1">
        <f t="array" ref="U515">IF(表成绩单[[#This Row],[政治]]="","",SUMPRODUCT((表成绩单[考试日期]=表成绩单[[#This Row],[考试日期]])*(表成绩单[政治]&lt;9E+307)*(表成绩单[政治]&gt;表成绩单[[#This Row],[政治]]))+1)</f>
        <v>45</v>
      </c>
      <c r="V515" s="29" cm="1">
        <f t="array" ref="V515">IF(表成绩单[[#This Row],[历史]]="","",SUMPRODUCT((表成绩单[考试日期]=表成绩单[[#This Row],[考试日期]])*(表成绩单[历史]&lt;9E+307)*(表成绩单[历史]&gt;表成绩单[[#This Row],[历史]]))+1)</f>
        <v>438</v>
      </c>
      <c r="W515" s="29" cm="1">
        <f t="array" ref="W515">IF(表成绩单[[#This Row],[总分]]="","",SUMPRODUCT((表成绩单[考试日期]=表成绩单[[#This Row],[考试日期]])*(表成绩单[总分]&lt;9E+307)*(表成绩单[总分]&gt;表成绩单[[#This Row],[总分]]))+1)</f>
        <v>511</v>
      </c>
    </row>
    <row r="516" ht="28" customHeight="1" spans="4:23">
      <c r="D516" s="31">
        <v>45975</v>
      </c>
      <c r="E516" s="29">
        <v>19176020</v>
      </c>
      <c r="F516" s="29" t="s">
        <v>59</v>
      </c>
      <c r="G516" s="29" t="s">
        <v>589</v>
      </c>
      <c r="H516" s="29">
        <v>91</v>
      </c>
      <c r="I516" s="29">
        <v>92</v>
      </c>
      <c r="J516" s="29">
        <v>68.5</v>
      </c>
      <c r="K516" s="29">
        <v>80</v>
      </c>
      <c r="L516" s="29">
        <v>69</v>
      </c>
      <c r="M516" s="29">
        <v>78</v>
      </c>
      <c r="N516" s="29">
        <v>67</v>
      </c>
      <c r="O516" s="32">
        <v>545.5</v>
      </c>
      <c r="P516" s="29" cm="1">
        <f t="array" ref="P516">IF(表成绩单[[#This Row],[语文]]="","",SUMPRODUCT((表成绩单[考试日期]=表成绩单[[#This Row],[考试日期]])*(表成绩单[语文]&lt;9E+307)*(表成绩单[语文]&gt;表成绩单[[#This Row],[语文]]))+1)</f>
        <v>536</v>
      </c>
      <c r="Q516" s="29" cm="1">
        <f t="array" ref="Q516">IF(表成绩单[[#This Row],[数学]]="","",SUMPRODUCT((表成绩单[考试日期]=表成绩单[[#This Row],[考试日期]])*(表成绩单[数学]&lt;9E+307)*(表成绩单[数学]&gt;表成绩单[[#This Row],[数学]]))+1)</f>
        <v>480</v>
      </c>
      <c r="R516" s="29" cm="1">
        <f t="array" ref="R516">IF(表成绩单[[#This Row],[英语]]="","",SUMPRODUCT((表成绩单[考试日期]=表成绩单[[#This Row],[考试日期]])*(表成绩单[英语]&lt;9E+307)*(表成绩单[英语]&gt;表成绩单[[#This Row],[英语]]))+1)</f>
        <v>571</v>
      </c>
      <c r="S516" s="29" cm="1">
        <f t="array" ref="S516">IF(表成绩单[[#This Row],[物理]]="","",SUMPRODUCT((表成绩单[考试日期]=表成绩单[[#This Row],[考试日期]])*(表成绩单[物理]&lt;9E+307)*(表成绩单[物理]&gt;表成绩单[[#This Row],[物理]]))+1)</f>
        <v>507</v>
      </c>
      <c r="T516" s="29" cm="1">
        <f t="array" ref="T516">IF(表成绩单[[#This Row],[化学]]="","",SUMPRODUCT((表成绩单[考试日期]=表成绩单[[#This Row],[考试日期]])*(表成绩单[化学]&lt;9E+307)*(表成绩单[化学]&gt;表成绩单[[#This Row],[化学]]))+1)</f>
        <v>478</v>
      </c>
      <c r="U516" s="29" cm="1">
        <f t="array" ref="U516">IF(表成绩单[[#This Row],[政治]]="","",SUMPRODUCT((表成绩单[考试日期]=表成绩单[[#This Row],[考试日期]])*(表成绩单[政治]&lt;9E+307)*(表成绩单[政治]&gt;表成绩单[[#This Row],[政治]]))+1)</f>
        <v>272</v>
      </c>
      <c r="V516" s="29" cm="1">
        <f t="array" ref="V516">IF(表成绩单[[#This Row],[历史]]="","",SUMPRODUCT((表成绩单[考试日期]=表成绩单[[#This Row],[考试日期]])*(表成绩单[历史]&lt;9E+307)*(表成绩单[历史]&gt;表成绩单[[#This Row],[历史]]))+1)</f>
        <v>597</v>
      </c>
      <c r="W516" s="29" cm="1">
        <f t="array" ref="W516">IF(表成绩单[[#This Row],[总分]]="","",SUMPRODUCT((表成绩单[考试日期]=表成绩单[[#This Row],[考试日期]])*(表成绩单[总分]&lt;9E+307)*(表成绩单[总分]&gt;表成绩单[[#This Row],[总分]]))+1)</f>
        <v>511</v>
      </c>
    </row>
    <row r="517" ht="28" customHeight="1" spans="4:23">
      <c r="D517" s="31">
        <v>45975</v>
      </c>
      <c r="E517" s="29">
        <v>19171078</v>
      </c>
      <c r="F517" s="29" t="s">
        <v>67</v>
      </c>
      <c r="G517" s="29" t="s">
        <v>590</v>
      </c>
      <c r="H517" s="29">
        <v>86</v>
      </c>
      <c r="I517" s="29">
        <v>110</v>
      </c>
      <c r="J517" s="29">
        <v>42</v>
      </c>
      <c r="K517" s="29">
        <v>85</v>
      </c>
      <c r="L517" s="29">
        <v>72</v>
      </c>
      <c r="M517" s="29">
        <v>76</v>
      </c>
      <c r="N517" s="29">
        <v>74</v>
      </c>
      <c r="O517" s="32">
        <v>545</v>
      </c>
      <c r="P517" s="29" cm="1">
        <f t="array" ref="P517">IF(表成绩单[[#This Row],[语文]]="","",SUMPRODUCT((表成绩单[考试日期]=表成绩单[[#This Row],[考试日期]])*(表成绩单[语文]&lt;9E+307)*(表成绩单[语文]&gt;表成绩单[[#This Row],[语文]]))+1)</f>
        <v>635</v>
      </c>
      <c r="Q517" s="29" cm="1">
        <f t="array" ref="Q517">IF(表成绩单[[#This Row],[数学]]="","",SUMPRODUCT((表成绩单[考试日期]=表成绩单[[#This Row],[考试日期]])*(表成绩单[数学]&lt;9E+307)*(表成绩单[数学]&gt;表成绩单[[#This Row],[数学]]))+1)</f>
        <v>154</v>
      </c>
      <c r="R517" s="29" cm="1">
        <f t="array" ref="R517">IF(表成绩单[[#This Row],[英语]]="","",SUMPRODUCT((表成绩单[考试日期]=表成绩单[[#This Row],[考试日期]])*(表成绩单[英语]&lt;9E+307)*(表成绩单[英语]&gt;表成绩单[[#This Row],[英语]]))+1)</f>
        <v>761</v>
      </c>
      <c r="S517" s="29" cm="1">
        <f t="array" ref="S517">IF(表成绩单[[#This Row],[物理]]="","",SUMPRODUCT((表成绩单[考试日期]=表成绩单[[#This Row],[考试日期]])*(表成绩单[物理]&lt;9E+307)*(表成绩单[物理]&gt;表成绩单[[#This Row],[物理]]))+1)</f>
        <v>263</v>
      </c>
      <c r="T517" s="29" cm="1">
        <f t="array" ref="T517">IF(表成绩单[[#This Row],[化学]]="","",SUMPRODUCT((表成绩单[考试日期]=表成绩单[[#This Row],[考试日期]])*(表成绩单[化学]&lt;9E+307)*(表成绩单[化学]&gt;表成绩单[[#This Row],[化学]]))+1)</f>
        <v>405</v>
      </c>
      <c r="U517" s="29" cm="1">
        <f t="array" ref="U517">IF(表成绩单[[#This Row],[政治]]="","",SUMPRODUCT((表成绩单[考试日期]=表成绩单[[#This Row],[考试日期]])*(表成绩单[政治]&lt;9E+307)*(表成绩单[政治]&gt;表成绩单[[#This Row],[政治]]))+1)</f>
        <v>329</v>
      </c>
      <c r="V517" s="29" cm="1">
        <f t="array" ref="V517">IF(表成绩单[[#This Row],[历史]]="","",SUMPRODUCT((表成绩单[考试日期]=表成绩单[[#This Row],[考试日期]])*(表成绩单[历史]&lt;9E+307)*(表成绩单[历史]&gt;表成绩单[[#This Row],[历史]]))+1)</f>
        <v>358</v>
      </c>
      <c r="W517" s="29" cm="1">
        <f t="array" ref="W517">IF(表成绩单[[#This Row],[总分]]="","",SUMPRODUCT((表成绩单[考试日期]=表成绩单[[#This Row],[考试日期]])*(表成绩单[总分]&lt;9E+307)*(表成绩单[总分]&gt;表成绩单[[#This Row],[总分]]))+1)</f>
        <v>513</v>
      </c>
    </row>
    <row r="518" ht="28" customHeight="1" spans="4:23">
      <c r="D518" s="31">
        <v>45975</v>
      </c>
      <c r="E518" s="29">
        <v>19174456</v>
      </c>
      <c r="F518" s="29" t="s">
        <v>73</v>
      </c>
      <c r="G518" s="29" t="s">
        <v>591</v>
      </c>
      <c r="H518" s="29">
        <v>98</v>
      </c>
      <c r="I518" s="29">
        <v>81</v>
      </c>
      <c r="J518" s="29">
        <v>86.5</v>
      </c>
      <c r="K518" s="29">
        <v>82</v>
      </c>
      <c r="L518" s="29">
        <v>69</v>
      </c>
      <c r="M518" s="29">
        <v>64</v>
      </c>
      <c r="N518" s="29">
        <v>64</v>
      </c>
      <c r="O518" s="32">
        <v>544.5</v>
      </c>
      <c r="P518" s="29" cm="1">
        <f t="array" ref="P518">IF(表成绩单[[#This Row],[语文]]="","",SUMPRODUCT((表成绩单[考试日期]=表成绩单[[#This Row],[考试日期]])*(表成绩单[语文]&lt;9E+307)*(表成绩单[语文]&gt;表成绩单[[#This Row],[语文]]))+1)</f>
        <v>305</v>
      </c>
      <c r="Q518" s="29" cm="1">
        <f t="array" ref="Q518">IF(表成绩单[[#This Row],[数学]]="","",SUMPRODUCT((表成绩单[考试日期]=表成绩单[[#This Row],[考试日期]])*(表成绩单[数学]&lt;9E+307)*(表成绩单[数学]&gt;表成绩单[[#This Row],[数学]]))+1)</f>
        <v>620</v>
      </c>
      <c r="R518" s="29" cm="1">
        <f t="array" ref="R518">IF(表成绩单[[#This Row],[英语]]="","",SUMPRODUCT((表成绩单[考试日期]=表成绩单[[#This Row],[考试日期]])*(表成绩单[英语]&lt;9E+307)*(表成绩单[英语]&gt;表成绩单[[#This Row],[英语]]))+1)</f>
        <v>35</v>
      </c>
      <c r="S518" s="29" cm="1">
        <f t="array" ref="S518">IF(表成绩单[[#This Row],[物理]]="","",SUMPRODUCT((表成绩单[考试日期]=表成绩单[[#This Row],[考试日期]])*(表成绩单[物理]&lt;9E+307)*(表成绩单[物理]&gt;表成绩单[[#This Row],[物理]]))+1)</f>
        <v>433</v>
      </c>
      <c r="T518" s="29" cm="1">
        <f t="array" ref="T518">IF(表成绩单[[#This Row],[化学]]="","",SUMPRODUCT((表成绩单[考试日期]=表成绩单[[#This Row],[考试日期]])*(表成绩单[化学]&lt;9E+307)*(表成绩单[化学]&gt;表成绩单[[#This Row],[化学]]))+1)</f>
        <v>478</v>
      </c>
      <c r="U518" s="29" cm="1">
        <f t="array" ref="U518">IF(表成绩单[[#This Row],[政治]]="","",SUMPRODUCT((表成绩单[考试日期]=表成绩单[[#This Row],[考试日期]])*(表成绩单[政治]&lt;9E+307)*(表成绩单[政治]&gt;表成绩单[[#This Row],[政治]]))+1)</f>
        <v>599</v>
      </c>
      <c r="V518" s="29" cm="1">
        <f t="array" ref="V518">IF(表成绩单[[#This Row],[历史]]="","",SUMPRODUCT((表成绩单[考试日期]=表成绩单[[#This Row],[考试日期]])*(表成绩单[历史]&lt;9E+307)*(表成绩单[历史]&gt;表成绩单[[#This Row],[历史]]))+1)</f>
        <v>660</v>
      </c>
      <c r="W518" s="29" cm="1">
        <f t="array" ref="W518">IF(表成绩单[[#This Row],[总分]]="","",SUMPRODUCT((表成绩单[考试日期]=表成绩单[[#This Row],[考试日期]])*(表成绩单[总分]&lt;9E+307)*(表成绩单[总分]&gt;表成绩单[[#This Row],[总分]]))+1)</f>
        <v>514</v>
      </c>
    </row>
    <row r="519" ht="28" customHeight="1" spans="4:23">
      <c r="D519" s="31">
        <v>45975</v>
      </c>
      <c r="E519" s="29">
        <v>19176855</v>
      </c>
      <c r="F519" s="29" t="s">
        <v>71</v>
      </c>
      <c r="G519" s="29" t="s">
        <v>592</v>
      </c>
      <c r="H519" s="29">
        <v>96</v>
      </c>
      <c r="I519" s="29">
        <v>97</v>
      </c>
      <c r="J519" s="29">
        <v>71.5</v>
      </c>
      <c r="K519" s="29">
        <v>81</v>
      </c>
      <c r="L519" s="29">
        <v>55</v>
      </c>
      <c r="M519" s="29">
        <v>74</v>
      </c>
      <c r="N519" s="29">
        <v>70</v>
      </c>
      <c r="O519" s="32">
        <v>544.5</v>
      </c>
      <c r="P519" s="29" cm="1">
        <f t="array" ref="P519">IF(表成绩单[[#This Row],[语文]]="","",SUMPRODUCT((表成绩单[考试日期]=表成绩单[[#This Row],[考试日期]])*(表成绩单[语文]&lt;9E+307)*(表成绩单[语文]&gt;表成绩单[[#This Row],[语文]]))+1)</f>
        <v>387</v>
      </c>
      <c r="Q519" s="29" cm="1">
        <f t="array" ref="Q519">IF(表成绩单[[#This Row],[数学]]="","",SUMPRODUCT((表成绩单[考试日期]=表成绩单[[#This Row],[考试日期]])*(表成绩单[数学]&lt;9E+307)*(表成绩单[数学]&gt;表成绩单[[#This Row],[数学]]))+1)</f>
        <v>389</v>
      </c>
      <c r="R519" s="29" cm="1">
        <f t="array" ref="R519">IF(表成绩单[[#This Row],[英语]]="","",SUMPRODUCT((表成绩单[考试日期]=表成绩单[[#This Row],[考试日期]])*(表成绩单[英语]&lt;9E+307)*(表成绩单[英语]&gt;表成绩单[[#This Row],[英语]]))+1)</f>
        <v>520</v>
      </c>
      <c r="S519" s="29" cm="1">
        <f t="array" ref="S519">IF(表成绩单[[#This Row],[物理]]="","",SUMPRODUCT((表成绩单[考试日期]=表成绩单[[#This Row],[考试日期]])*(表成绩单[物理]&lt;9E+307)*(表成绩单[物理]&gt;表成绩单[[#This Row],[物理]]))+1)</f>
        <v>474</v>
      </c>
      <c r="T519" s="29" cm="1">
        <f t="array" ref="T519">IF(表成绩单[[#This Row],[化学]]="","",SUMPRODUCT((表成绩单[考试日期]=表成绩单[[#This Row],[考试日期]])*(表成绩单[化学]&lt;9E+307)*(表成绩单[化学]&gt;表成绩单[[#This Row],[化学]]))+1)</f>
        <v>692</v>
      </c>
      <c r="U519" s="29" cm="1">
        <f t="array" ref="U519">IF(表成绩单[[#This Row],[政治]]="","",SUMPRODUCT((表成绩单[考试日期]=表成绩单[[#This Row],[考试日期]])*(表成绩单[政治]&lt;9E+307)*(表成绩单[政治]&gt;表成绩单[[#This Row],[政治]]))+1)</f>
        <v>389</v>
      </c>
      <c r="V519" s="29" cm="1">
        <f t="array" ref="V519">IF(表成绩单[[#This Row],[历史]]="","",SUMPRODUCT((表成绩单[考试日期]=表成绩单[[#This Row],[考试日期]])*(表成绩单[历史]&lt;9E+307)*(表成绩单[历史]&gt;表成绩单[[#This Row],[历史]]))+1)</f>
        <v>505</v>
      </c>
      <c r="W519" s="29" cm="1">
        <f t="array" ref="W519">IF(表成绩单[[#This Row],[总分]]="","",SUMPRODUCT((表成绩单[考试日期]=表成绩单[[#This Row],[考试日期]])*(表成绩单[总分]&lt;9E+307)*(表成绩单[总分]&gt;表成绩单[[#This Row],[总分]]))+1)</f>
        <v>514</v>
      </c>
    </row>
    <row r="520" ht="28" customHeight="1" spans="4:23">
      <c r="D520" s="31">
        <v>45975</v>
      </c>
      <c r="E520" s="29">
        <v>19172630</v>
      </c>
      <c r="F520" s="29" t="s">
        <v>60</v>
      </c>
      <c r="G520" s="29" t="s">
        <v>593</v>
      </c>
      <c r="H520" s="29">
        <v>92</v>
      </c>
      <c r="I520" s="29">
        <v>93</v>
      </c>
      <c r="J520" s="29">
        <v>69.5</v>
      </c>
      <c r="K520" s="29">
        <v>85</v>
      </c>
      <c r="L520" s="29">
        <v>70</v>
      </c>
      <c r="M520" s="29">
        <v>64</v>
      </c>
      <c r="N520" s="29">
        <v>70</v>
      </c>
      <c r="O520" s="32">
        <v>543.5</v>
      </c>
      <c r="P520" s="29" cm="1">
        <f t="array" ref="P520">IF(表成绩单[[#This Row],[语文]]="","",SUMPRODUCT((表成绩单[考试日期]=表成绩单[[#This Row],[考试日期]])*(表成绩单[语文]&lt;9E+307)*(表成绩单[语文]&gt;表成绩单[[#This Row],[语文]]))+1)</f>
        <v>517</v>
      </c>
      <c r="Q520" s="29" cm="1">
        <f t="array" ref="Q520">IF(表成绩单[[#This Row],[数学]]="","",SUMPRODUCT((表成绩单[考试日期]=表成绩单[[#This Row],[考试日期]])*(表成绩单[数学]&lt;9E+307)*(表成绩单[数学]&gt;表成绩单[[#This Row],[数学]]))+1)</f>
        <v>469</v>
      </c>
      <c r="R520" s="29" cm="1">
        <f t="array" ref="R520">IF(表成绩单[[#This Row],[英语]]="","",SUMPRODUCT((表成绩单[考试日期]=表成绩单[[#This Row],[考试日期]])*(表成绩单[英语]&lt;9E+307)*(表成绩单[英语]&gt;表成绩单[[#This Row],[英语]]))+1)</f>
        <v>560</v>
      </c>
      <c r="S520" s="29" cm="1">
        <f t="array" ref="S520">IF(表成绩单[[#This Row],[物理]]="","",SUMPRODUCT((表成绩单[考试日期]=表成绩单[[#This Row],[考试日期]])*(表成绩单[物理]&lt;9E+307)*(表成绩单[物理]&gt;表成绩单[[#This Row],[物理]]))+1)</f>
        <v>263</v>
      </c>
      <c r="T520" s="29" cm="1">
        <f t="array" ref="T520">IF(表成绩单[[#This Row],[化学]]="","",SUMPRODUCT((表成绩单[考试日期]=表成绩单[[#This Row],[考试日期]])*(表成绩单[化学]&lt;9E+307)*(表成绩单[化学]&gt;表成绩单[[#This Row],[化学]]))+1)</f>
        <v>453</v>
      </c>
      <c r="U520" s="29" cm="1">
        <f t="array" ref="U520">IF(表成绩单[[#This Row],[政治]]="","",SUMPRODUCT((表成绩单[考试日期]=表成绩单[[#This Row],[考试日期]])*(表成绩单[政治]&lt;9E+307)*(表成绩单[政治]&gt;表成绩单[[#This Row],[政治]]))+1)</f>
        <v>599</v>
      </c>
      <c r="V520" s="29" cm="1">
        <f t="array" ref="V520">IF(表成绩单[[#This Row],[历史]]="","",SUMPRODUCT((表成绩单[考试日期]=表成绩单[[#This Row],[考试日期]])*(表成绩单[历史]&lt;9E+307)*(表成绩单[历史]&gt;表成绩单[[#This Row],[历史]]))+1)</f>
        <v>505</v>
      </c>
      <c r="W520" s="29" cm="1">
        <f t="array" ref="W520">IF(表成绩单[[#This Row],[总分]]="","",SUMPRODUCT((表成绩单[考试日期]=表成绩单[[#This Row],[考试日期]])*(表成绩单[总分]&lt;9E+307)*(表成绩单[总分]&gt;表成绩单[[#This Row],[总分]]))+1)</f>
        <v>516</v>
      </c>
    </row>
    <row r="521" ht="28" customHeight="1" spans="4:23">
      <c r="D521" s="31">
        <v>45975</v>
      </c>
      <c r="E521" s="29">
        <v>19178601</v>
      </c>
      <c r="F521" s="29" t="s">
        <v>64</v>
      </c>
      <c r="G521" s="29" t="s">
        <v>594</v>
      </c>
      <c r="H521" s="29">
        <v>101</v>
      </c>
      <c r="I521" s="29">
        <v>78</v>
      </c>
      <c r="J521" s="29">
        <v>70.5</v>
      </c>
      <c r="K521" s="29">
        <v>70</v>
      </c>
      <c r="L521" s="29">
        <v>63</v>
      </c>
      <c r="M521" s="29">
        <v>81</v>
      </c>
      <c r="N521" s="29">
        <v>80</v>
      </c>
      <c r="O521" s="32">
        <v>543.5</v>
      </c>
      <c r="P521" s="29" cm="1">
        <f t="array" ref="P521">IF(表成绩单[[#This Row],[语文]]="","",SUMPRODUCT((表成绩单[考试日期]=表成绩单[[#This Row],[考试日期]])*(表成绩单[语文]&lt;9E+307)*(表成绩单[语文]&gt;表成绩单[[#This Row],[语文]]))+1)</f>
        <v>190</v>
      </c>
      <c r="Q521" s="29" cm="1">
        <f t="array" ref="Q521">IF(表成绩单[[#This Row],[数学]]="","",SUMPRODUCT((表成绩单[考试日期]=表成绩单[[#This Row],[考试日期]])*(表成绩单[数学]&lt;9E+307)*(表成绩单[数学]&gt;表成绩单[[#This Row],[数学]]))+1)</f>
        <v>644</v>
      </c>
      <c r="R521" s="29" cm="1">
        <f t="array" ref="R521">IF(表成绩单[[#This Row],[英语]]="","",SUMPRODUCT((表成绩单[考试日期]=表成绩单[[#This Row],[考试日期]])*(表成绩单[英语]&lt;9E+307)*(表成绩单[英语]&gt;表成绩单[[#This Row],[英语]]))+1)</f>
        <v>545</v>
      </c>
      <c r="S521" s="29" cm="1">
        <f t="array" ref="S521">IF(表成绩单[[#This Row],[物理]]="","",SUMPRODUCT((表成绩单[考试日期]=表成绩单[[#This Row],[考试日期]])*(表成绩单[物理]&lt;9E+307)*(表成绩单[物理]&gt;表成绩单[[#This Row],[物理]]))+1)</f>
        <v>653</v>
      </c>
      <c r="T521" s="29" cm="1">
        <f t="array" ref="T521">IF(表成绩单[[#This Row],[化学]]="","",SUMPRODUCT((表成绩单[考试日期]=表成绩单[[#This Row],[考试日期]])*(表成绩单[化学]&lt;9E+307)*(表成绩单[化学]&gt;表成绩单[[#This Row],[化学]]))+1)</f>
        <v>588</v>
      </c>
      <c r="U521" s="29" cm="1">
        <f t="array" ref="U521">IF(表成绩单[[#This Row],[政治]]="","",SUMPRODUCT((表成绩单[考试日期]=表成绩单[[#This Row],[考试日期]])*(表成绩单[政治]&lt;9E+307)*(表成绩单[政治]&gt;表成绩单[[#This Row],[政治]]))+1)</f>
        <v>180</v>
      </c>
      <c r="V521" s="29" cm="1">
        <f t="array" ref="V521">IF(表成绩单[[#This Row],[历史]]="","",SUMPRODUCT((表成绩单[考试日期]=表成绩单[[#This Row],[考试日期]])*(表成绩单[历史]&lt;9E+307)*(表成绩单[历史]&gt;表成绩单[[#This Row],[历史]]))+1)</f>
        <v>108</v>
      </c>
      <c r="W521" s="29" cm="1">
        <f t="array" ref="W521">IF(表成绩单[[#This Row],[总分]]="","",SUMPRODUCT((表成绩单[考试日期]=表成绩单[[#This Row],[考试日期]])*(表成绩单[总分]&lt;9E+307)*(表成绩单[总分]&gt;表成绩单[[#This Row],[总分]]))+1)</f>
        <v>516</v>
      </c>
    </row>
    <row r="522" ht="28" customHeight="1" spans="4:23">
      <c r="D522" s="31">
        <v>45975</v>
      </c>
      <c r="E522" s="29">
        <v>19172632</v>
      </c>
      <c r="F522" s="29" t="s">
        <v>60</v>
      </c>
      <c r="G522" s="29" t="s">
        <v>595</v>
      </c>
      <c r="H522" s="29">
        <v>91</v>
      </c>
      <c r="I522" s="29">
        <v>84</v>
      </c>
      <c r="J522" s="29">
        <v>75</v>
      </c>
      <c r="K522" s="29">
        <v>84</v>
      </c>
      <c r="L522" s="29">
        <v>68</v>
      </c>
      <c r="M522" s="29">
        <v>69</v>
      </c>
      <c r="N522" s="29">
        <v>72</v>
      </c>
      <c r="O522" s="32">
        <v>543</v>
      </c>
      <c r="P522" s="29" cm="1">
        <f t="array" ref="P522">IF(表成绩单[[#This Row],[语文]]="","",SUMPRODUCT((表成绩单[考试日期]=表成绩单[[#This Row],[考试日期]])*(表成绩单[语文]&lt;9E+307)*(表成绩单[语文]&gt;表成绩单[[#This Row],[语文]]))+1)</f>
        <v>536</v>
      </c>
      <c r="Q522" s="29" cm="1">
        <f t="array" ref="Q522">IF(表成绩单[[#This Row],[数学]]="","",SUMPRODUCT((表成绩单[考试日期]=表成绩单[[#This Row],[考试日期]])*(表成绩单[数学]&lt;9E+307)*(表成绩单[数学]&gt;表成绩单[[#This Row],[数学]]))+1)</f>
        <v>580</v>
      </c>
      <c r="R522" s="29" cm="1">
        <f t="array" ref="R522">IF(表成绩单[[#This Row],[英语]]="","",SUMPRODUCT((表成绩单[考试日期]=表成绩单[[#This Row],[考试日期]])*(表成绩单[英语]&lt;9E+307)*(表成绩单[英语]&gt;表成绩单[[#This Row],[英语]]))+1)</f>
        <v>430</v>
      </c>
      <c r="S522" s="29" cm="1">
        <f t="array" ref="S522">IF(表成绩单[[#This Row],[物理]]="","",SUMPRODUCT((表成绩单[考试日期]=表成绩单[[#This Row],[考试日期]])*(表成绩单[物理]&lt;9E+307)*(表成绩单[物理]&gt;表成绩单[[#This Row],[物理]]))+1)</f>
        <v>344</v>
      </c>
      <c r="T522" s="29" cm="1">
        <f t="array" ref="T522">IF(表成绩单[[#This Row],[化学]]="","",SUMPRODUCT((表成绩单[考试日期]=表成绩单[[#This Row],[考试日期]])*(表成绩单[化学]&lt;9E+307)*(表成绩单[化学]&gt;表成绩单[[#This Row],[化学]]))+1)</f>
        <v>506</v>
      </c>
      <c r="U522" s="29" cm="1">
        <f t="array" ref="U522">IF(表成绩单[[#This Row],[政治]]="","",SUMPRODUCT((表成绩单[考试日期]=表成绩单[[#This Row],[考试日期]])*(表成绩单[政治]&lt;9E+307)*(表成绩单[政治]&gt;表成绩单[[#This Row],[政治]]))+1)</f>
        <v>507</v>
      </c>
      <c r="V522" s="29" cm="1">
        <f t="array" ref="V522">IF(表成绩单[[#This Row],[历史]]="","",SUMPRODUCT((表成绩单[考试日期]=表成绩单[[#This Row],[考试日期]])*(表成绩单[历史]&lt;9E+307)*(表成绩单[历史]&gt;表成绩单[[#This Row],[历史]]))+1)</f>
        <v>438</v>
      </c>
      <c r="W522" s="29" cm="1">
        <f t="array" ref="W522">IF(表成绩单[[#This Row],[总分]]="","",SUMPRODUCT((表成绩单[考试日期]=表成绩单[[#This Row],[考试日期]])*(表成绩单[总分]&lt;9E+307)*(表成绩单[总分]&gt;表成绩单[[#This Row],[总分]]))+1)</f>
        <v>518</v>
      </c>
    </row>
    <row r="523" ht="28" customHeight="1" spans="4:23">
      <c r="D523" s="31">
        <v>45975</v>
      </c>
      <c r="E523" s="29">
        <v>19175610</v>
      </c>
      <c r="F523" s="29" t="s">
        <v>57</v>
      </c>
      <c r="G523" s="29" t="s">
        <v>596</v>
      </c>
      <c r="H523" s="29">
        <v>93</v>
      </c>
      <c r="I523" s="29">
        <v>88</v>
      </c>
      <c r="J523" s="29">
        <v>75.5</v>
      </c>
      <c r="K523" s="29">
        <v>81</v>
      </c>
      <c r="L523" s="29">
        <v>67</v>
      </c>
      <c r="M523" s="29">
        <v>75</v>
      </c>
      <c r="N523" s="29">
        <v>63</v>
      </c>
      <c r="O523" s="32">
        <v>542.5</v>
      </c>
      <c r="P523" s="29" cm="1">
        <f t="array" ref="P523">IF(表成绩单[[#This Row],[语文]]="","",SUMPRODUCT((表成绩单[考试日期]=表成绩单[[#This Row],[考试日期]])*(表成绩单[语文]&lt;9E+307)*(表成绩单[语文]&gt;表成绩单[[#This Row],[语文]]))+1)</f>
        <v>489</v>
      </c>
      <c r="Q523" s="29" cm="1">
        <f t="array" ref="Q523">IF(表成绩单[[#This Row],[数学]]="","",SUMPRODUCT((表成绩单[考试日期]=表成绩单[[#This Row],[考试日期]])*(表成绩单[数学]&lt;9E+307)*(表成绩单[数学]&gt;表成绩单[[#This Row],[数学]]))+1)</f>
        <v>527</v>
      </c>
      <c r="R523" s="29" cm="1">
        <f t="array" ref="R523">IF(表成绩单[[#This Row],[英语]]="","",SUMPRODUCT((表成绩单[考试日期]=表成绩单[[#This Row],[考试日期]])*(表成绩单[英语]&lt;9E+307)*(表成绩单[英语]&gt;表成绩单[[#This Row],[英语]]))+1)</f>
        <v>418</v>
      </c>
      <c r="S523" s="29" cm="1">
        <f t="array" ref="S523">IF(表成绩单[[#This Row],[物理]]="","",SUMPRODUCT((表成绩单[考试日期]=表成绩单[[#This Row],[考试日期]])*(表成绩单[物理]&lt;9E+307)*(表成绩单[物理]&gt;表成绩单[[#This Row],[物理]]))+1)</f>
        <v>474</v>
      </c>
      <c r="T523" s="29" cm="1">
        <f t="array" ref="T523">IF(表成绩单[[#This Row],[化学]]="","",SUMPRODUCT((表成绩单[考试日期]=表成绩单[[#This Row],[考试日期]])*(表成绩单[化学]&lt;9E+307)*(表成绩单[化学]&gt;表成绩单[[#This Row],[化学]]))+1)</f>
        <v>524</v>
      </c>
      <c r="U523" s="29" cm="1">
        <f t="array" ref="U523">IF(表成绩单[[#This Row],[政治]]="","",SUMPRODUCT((表成绩单[考试日期]=表成绩单[[#This Row],[考试日期]])*(表成绩单[政治]&lt;9E+307)*(表成绩单[政治]&gt;表成绩单[[#This Row],[政治]]))+1)</f>
        <v>363</v>
      </c>
      <c r="V523" s="29" cm="1">
        <f t="array" ref="V523">IF(表成绩单[[#This Row],[历史]]="","",SUMPRODUCT((表成绩单[考试日期]=表成绩单[[#This Row],[考试日期]])*(表成绩单[历史]&lt;9E+307)*(表成绩单[历史]&gt;表成绩单[[#This Row],[历史]]))+1)</f>
        <v>675</v>
      </c>
      <c r="W523" s="29" cm="1">
        <f t="array" ref="W523">IF(表成绩单[[#This Row],[总分]]="","",SUMPRODUCT((表成绩单[考试日期]=表成绩单[[#This Row],[考试日期]])*(表成绩单[总分]&lt;9E+307)*(表成绩单[总分]&gt;表成绩单[[#This Row],[总分]]))+1)</f>
        <v>519</v>
      </c>
    </row>
    <row r="524" ht="28" customHeight="1" spans="4:23">
      <c r="D524" s="31">
        <v>45975</v>
      </c>
      <c r="E524" s="29">
        <v>19177633</v>
      </c>
      <c r="F524" s="29" t="s">
        <v>63</v>
      </c>
      <c r="G524" s="29" t="s">
        <v>597</v>
      </c>
      <c r="H524" s="29">
        <v>96</v>
      </c>
      <c r="I524" s="29">
        <v>85</v>
      </c>
      <c r="J524" s="29">
        <v>72.5</v>
      </c>
      <c r="K524" s="29">
        <v>85</v>
      </c>
      <c r="L524" s="29">
        <v>63</v>
      </c>
      <c r="M524" s="29">
        <v>72</v>
      </c>
      <c r="N524" s="29">
        <v>69</v>
      </c>
      <c r="O524" s="32">
        <v>542.5</v>
      </c>
      <c r="P524" s="29" cm="1">
        <f t="array" ref="P524">IF(表成绩单[[#This Row],[语文]]="","",SUMPRODUCT((表成绩单[考试日期]=表成绩单[[#This Row],[考试日期]])*(表成绩单[语文]&lt;9E+307)*(表成绩单[语文]&gt;表成绩单[[#This Row],[语文]]))+1)</f>
        <v>387</v>
      </c>
      <c r="Q524" s="29" cm="1">
        <f t="array" ref="Q524">IF(表成绩单[[#This Row],[数学]]="","",SUMPRODUCT((表成绩单[考试日期]=表成绩单[[#This Row],[考试日期]])*(表成绩单[数学]&lt;9E+307)*(表成绩单[数学]&gt;表成绩单[[#This Row],[数学]]))+1)</f>
        <v>571</v>
      </c>
      <c r="R524" s="29" cm="1">
        <f t="array" ref="R524">IF(表成绩单[[#This Row],[英语]]="","",SUMPRODUCT((表成绩单[考试日期]=表成绩单[[#This Row],[考试日期]])*(表成绩单[英语]&lt;9E+307)*(表成绩单[英语]&gt;表成绩单[[#This Row],[英语]]))+1)</f>
        <v>498</v>
      </c>
      <c r="S524" s="29" cm="1">
        <f t="array" ref="S524">IF(表成绩单[[#This Row],[物理]]="","",SUMPRODUCT((表成绩单[考试日期]=表成绩单[[#This Row],[考试日期]])*(表成绩单[物理]&lt;9E+307)*(表成绩单[物理]&gt;表成绩单[[#This Row],[物理]]))+1)</f>
        <v>263</v>
      </c>
      <c r="T524" s="29" cm="1">
        <f t="array" ref="T524">IF(表成绩单[[#This Row],[化学]]="","",SUMPRODUCT((表成绩单[考试日期]=表成绩单[[#This Row],[考试日期]])*(表成绩单[化学]&lt;9E+307)*(表成绩单[化学]&gt;表成绩单[[#This Row],[化学]]))+1)</f>
        <v>588</v>
      </c>
      <c r="U524" s="29" cm="1">
        <f t="array" ref="U524">IF(表成绩单[[#This Row],[政治]]="","",SUMPRODUCT((表成绩单[考试日期]=表成绩单[[#This Row],[考试日期]])*(表成绩单[政治]&lt;9E+307)*(表成绩单[政治]&gt;表成绩单[[#This Row],[政治]]))+1)</f>
        <v>448</v>
      </c>
      <c r="V524" s="29" cm="1">
        <f t="array" ref="V524">IF(表成绩单[[#This Row],[历史]]="","",SUMPRODUCT((表成绩单[考试日期]=表成绩单[[#This Row],[考试日期]])*(表成绩单[历史]&lt;9E+307)*(表成绩单[历史]&gt;表成绩单[[#This Row],[历史]]))+1)</f>
        <v>541</v>
      </c>
      <c r="W524" s="29" cm="1">
        <f t="array" ref="W524">IF(表成绩单[[#This Row],[总分]]="","",SUMPRODUCT((表成绩单[考试日期]=表成绩单[[#This Row],[考试日期]])*(表成绩单[总分]&lt;9E+307)*(表成绩单[总分]&gt;表成绩单[[#This Row],[总分]]))+1)</f>
        <v>519</v>
      </c>
    </row>
    <row r="525" ht="28" customHeight="1" spans="4:23">
      <c r="D525" s="31">
        <v>45975</v>
      </c>
      <c r="E525" s="29">
        <v>19177644</v>
      </c>
      <c r="F525" s="29" t="s">
        <v>63</v>
      </c>
      <c r="G525" s="29" t="s">
        <v>598</v>
      </c>
      <c r="H525" s="29">
        <v>87</v>
      </c>
      <c r="I525" s="29">
        <v>98</v>
      </c>
      <c r="J525" s="29">
        <v>68.5</v>
      </c>
      <c r="K525" s="29">
        <v>87</v>
      </c>
      <c r="L525" s="29">
        <v>62</v>
      </c>
      <c r="M525" s="29">
        <v>61</v>
      </c>
      <c r="N525" s="29">
        <v>78</v>
      </c>
      <c r="O525" s="32">
        <v>541.5</v>
      </c>
      <c r="P525" s="29" cm="1">
        <f t="array" ref="P525">IF(表成绩单[[#This Row],[语文]]="","",SUMPRODUCT((表成绩单[考试日期]=表成绩单[[#This Row],[考试日期]])*(表成绩单[语文]&lt;9E+307)*(表成绩单[语文]&gt;表成绩单[[#This Row],[语文]]))+1)</f>
        <v>615</v>
      </c>
      <c r="Q525" s="29" cm="1">
        <f t="array" ref="Q525">IF(表成绩单[[#This Row],[数学]]="","",SUMPRODUCT((表成绩单[考试日期]=表成绩单[[#This Row],[考试日期]])*(表成绩单[数学]&lt;9E+307)*(表成绩单[数学]&gt;表成绩单[[#This Row],[数学]]))+1)</f>
        <v>374</v>
      </c>
      <c r="R525" s="29" cm="1">
        <f t="array" ref="R525">IF(表成绩单[[#This Row],[英语]]="","",SUMPRODUCT((表成绩单[考试日期]=表成绩单[[#This Row],[考试日期]])*(表成绩单[英语]&lt;9E+307)*(表成绩单[英语]&gt;表成绩单[[#This Row],[英语]]))+1)</f>
        <v>571</v>
      </c>
      <c r="S525" s="29" cm="1">
        <f t="array" ref="S525">IF(表成绩单[[#This Row],[物理]]="","",SUMPRODUCT((表成绩单[考试日期]=表成绩单[[#This Row],[考试日期]])*(表成绩单[物理]&lt;9E+307)*(表成绩单[物理]&gt;表成绩单[[#This Row],[物理]]))+1)</f>
        <v>127</v>
      </c>
      <c r="T525" s="29" cm="1">
        <f t="array" ref="T525">IF(表成绩单[[#This Row],[化学]]="","",SUMPRODUCT((表成绩单[考试日期]=表成绩单[[#This Row],[考试日期]])*(表成绩单[化学]&lt;9E+307)*(表成绩单[化学]&gt;表成绩单[[#This Row],[化学]]))+1)</f>
        <v>605</v>
      </c>
      <c r="U525" s="29" cm="1">
        <f t="array" ref="U525">IF(表成绩单[[#This Row],[政治]]="","",SUMPRODUCT((表成绩单[考试日期]=表成绩单[[#This Row],[考试日期]])*(表成绩单[政治]&lt;9E+307)*(表成绩单[政治]&gt;表成绩单[[#This Row],[政治]]))+1)</f>
        <v>644</v>
      </c>
      <c r="V525" s="29" cm="1">
        <f t="array" ref="V525">IF(表成绩单[[#This Row],[历史]]="","",SUMPRODUCT((表成绩单[考试日期]=表成绩单[[#This Row],[考试日期]])*(表成绩单[历史]&lt;9E+307)*(表成绩单[历史]&gt;表成绩单[[#This Row],[历史]]))+1)</f>
        <v>189</v>
      </c>
      <c r="W525" s="29" cm="1">
        <f t="array" ref="W525">IF(表成绩单[[#This Row],[总分]]="","",SUMPRODUCT((表成绩单[考试日期]=表成绩单[[#This Row],[考试日期]])*(表成绩单[总分]&lt;9E+307)*(表成绩单[总分]&gt;表成绩单[[#This Row],[总分]]))+1)</f>
        <v>521</v>
      </c>
    </row>
    <row r="526" ht="28" customHeight="1" spans="4:23">
      <c r="D526" s="31">
        <v>45975</v>
      </c>
      <c r="E526" s="29">
        <v>19172646</v>
      </c>
      <c r="F526" s="29" t="s">
        <v>60</v>
      </c>
      <c r="G526" s="29" t="s">
        <v>599</v>
      </c>
      <c r="H526" s="29">
        <v>89</v>
      </c>
      <c r="I526" s="29">
        <v>90</v>
      </c>
      <c r="J526" s="29">
        <v>75</v>
      </c>
      <c r="K526" s="29">
        <v>77</v>
      </c>
      <c r="L526" s="29">
        <v>66</v>
      </c>
      <c r="M526" s="29">
        <v>66</v>
      </c>
      <c r="N526" s="29">
        <v>78</v>
      </c>
      <c r="O526" s="32">
        <v>541</v>
      </c>
      <c r="P526" s="29" cm="1">
        <f t="array" ref="P526">IF(表成绩单[[#This Row],[语文]]="","",SUMPRODUCT((表成绩单[考试日期]=表成绩单[[#This Row],[考试日期]])*(表成绩单[语文]&lt;9E+307)*(表成绩单[语文]&gt;表成绩单[[#This Row],[语文]]))+1)</f>
        <v>582</v>
      </c>
      <c r="Q526" s="29" cm="1">
        <f t="array" ref="Q526">IF(表成绩单[[#This Row],[数学]]="","",SUMPRODUCT((表成绩单[考试日期]=表成绩单[[#This Row],[考试日期]])*(表成绩单[数学]&lt;9E+307)*(表成绩单[数学]&gt;表成绩单[[#This Row],[数学]]))+1)</f>
        <v>506</v>
      </c>
      <c r="R526" s="29" cm="1">
        <f t="array" ref="R526">IF(表成绩单[[#This Row],[英语]]="","",SUMPRODUCT((表成绩单[考试日期]=表成绩单[[#This Row],[考试日期]])*(表成绩单[英语]&lt;9E+307)*(表成绩单[英语]&gt;表成绩单[[#This Row],[英语]]))+1)</f>
        <v>430</v>
      </c>
      <c r="S526" s="29" cm="1">
        <f t="array" ref="S526">IF(表成绩单[[#This Row],[物理]]="","",SUMPRODUCT((表成绩单[考试日期]=表成绩单[[#This Row],[考试日期]])*(表成绩单[物理]&lt;9E+307)*(表成绩单[物理]&gt;表成绩单[[#This Row],[物理]]))+1)</f>
        <v>572</v>
      </c>
      <c r="T526" s="29" cm="1">
        <f t="array" ref="T526">IF(表成绩单[[#This Row],[化学]]="","",SUMPRODUCT((表成绩单[考试日期]=表成绩单[[#This Row],[考试日期]])*(表成绩单[化学]&lt;9E+307)*(表成绩单[化学]&gt;表成绩单[[#This Row],[化学]]))+1)</f>
        <v>542</v>
      </c>
      <c r="U526" s="29" cm="1">
        <f t="array" ref="U526">IF(表成绩单[[#This Row],[政治]]="","",SUMPRODUCT((表成绩单[考试日期]=表成绩单[[#This Row],[考试日期]])*(表成绩单[政治]&lt;9E+307)*(表成绩单[政治]&gt;表成绩单[[#This Row],[政治]]))+1)</f>
        <v>555</v>
      </c>
      <c r="V526" s="29" cm="1">
        <f t="array" ref="V526">IF(表成绩单[[#This Row],[历史]]="","",SUMPRODUCT((表成绩单[考试日期]=表成绩单[[#This Row],[考试日期]])*(表成绩单[历史]&lt;9E+307)*(表成绩单[历史]&gt;表成绩单[[#This Row],[历史]]))+1)</f>
        <v>189</v>
      </c>
      <c r="W526" s="29" cm="1">
        <f t="array" ref="W526">IF(表成绩单[[#This Row],[总分]]="","",SUMPRODUCT((表成绩单[考试日期]=表成绩单[[#This Row],[考试日期]])*(表成绩单[总分]&lt;9E+307)*(表成绩单[总分]&gt;表成绩单[[#This Row],[总分]]))+1)</f>
        <v>522</v>
      </c>
    </row>
    <row r="527" ht="28" customHeight="1" spans="4:23">
      <c r="D527" s="31">
        <v>45975</v>
      </c>
      <c r="E527" s="29">
        <v>19173253</v>
      </c>
      <c r="F527" s="29" t="s">
        <v>61</v>
      </c>
      <c r="G527" s="29" t="s">
        <v>600</v>
      </c>
      <c r="H527" s="29">
        <v>86</v>
      </c>
      <c r="I527" s="29">
        <v>102</v>
      </c>
      <c r="J527" s="29">
        <v>65</v>
      </c>
      <c r="K527" s="29">
        <v>88</v>
      </c>
      <c r="L527" s="29">
        <v>68</v>
      </c>
      <c r="M527" s="29">
        <v>66</v>
      </c>
      <c r="N527" s="29">
        <v>66</v>
      </c>
      <c r="O527" s="32">
        <v>541</v>
      </c>
      <c r="P527" s="29" cm="1">
        <f t="array" ref="P527">IF(表成绩单[[#This Row],[语文]]="","",SUMPRODUCT((表成绩单[考试日期]=表成绩单[[#This Row],[考试日期]])*(表成绩单[语文]&lt;9E+307)*(表成绩单[语文]&gt;表成绩单[[#This Row],[语文]]))+1)</f>
        <v>635</v>
      </c>
      <c r="Q527" s="29" cm="1">
        <f t="array" ref="Q527">IF(表成绩单[[#This Row],[数学]]="","",SUMPRODUCT((表成绩单[考试日期]=表成绩单[[#This Row],[考试日期]])*(表成绩单[数学]&lt;9E+307)*(表成绩单[数学]&gt;表成绩单[[#This Row],[数学]]))+1)</f>
        <v>298</v>
      </c>
      <c r="R527" s="29" cm="1">
        <f t="array" ref="R527">IF(表成绩单[[#This Row],[英语]]="","",SUMPRODUCT((表成绩单[考试日期]=表成绩单[[#This Row],[考试日期]])*(表成绩单[英语]&lt;9E+307)*(表成绩单[英语]&gt;表成绩单[[#This Row],[英语]]))+1)</f>
        <v>616</v>
      </c>
      <c r="S527" s="29" cm="1">
        <f t="array" ref="S527">IF(表成绩单[[#This Row],[物理]]="","",SUMPRODUCT((表成绩单[考试日期]=表成绩单[[#This Row],[考试日期]])*(表成绩单[物理]&lt;9E+307)*(表成绩单[物理]&gt;表成绩单[[#This Row],[物理]]))+1)</f>
        <v>54</v>
      </c>
      <c r="T527" s="29" cm="1">
        <f t="array" ref="T527">IF(表成绩单[[#This Row],[化学]]="","",SUMPRODUCT((表成绩单[考试日期]=表成绩单[[#This Row],[考试日期]])*(表成绩单[化学]&lt;9E+307)*(表成绩单[化学]&gt;表成绩单[[#This Row],[化学]]))+1)</f>
        <v>506</v>
      </c>
      <c r="U527" s="29" cm="1">
        <f t="array" ref="U527">IF(表成绩单[[#This Row],[政治]]="","",SUMPRODUCT((表成绩单[考试日期]=表成绩单[[#This Row],[考试日期]])*(表成绩单[政治]&lt;9E+307)*(表成绩单[政治]&gt;表成绩单[[#This Row],[政治]]))+1)</f>
        <v>555</v>
      </c>
      <c r="V527" s="29" cm="1">
        <f t="array" ref="V527">IF(表成绩单[[#This Row],[历史]]="","",SUMPRODUCT((表成绩单[考试日期]=表成绩单[[#This Row],[考试日期]])*(表成绩单[历史]&lt;9E+307)*(表成绩单[历史]&gt;表成绩单[[#This Row],[历史]]))+1)</f>
        <v>622</v>
      </c>
      <c r="W527" s="29" cm="1">
        <f t="array" ref="W527">IF(表成绩单[[#This Row],[总分]]="","",SUMPRODUCT((表成绩单[考试日期]=表成绩单[[#This Row],[考试日期]])*(表成绩单[总分]&lt;9E+307)*(表成绩单[总分]&gt;表成绩单[[#This Row],[总分]]))+1)</f>
        <v>522</v>
      </c>
    </row>
    <row r="528" ht="28" customHeight="1" spans="4:23">
      <c r="D528" s="31">
        <v>45975</v>
      </c>
      <c r="E528" s="29">
        <v>19173788</v>
      </c>
      <c r="F528" s="29" t="s">
        <v>65</v>
      </c>
      <c r="G528" s="29" t="s">
        <v>601</v>
      </c>
      <c r="H528" s="29">
        <v>90</v>
      </c>
      <c r="I528" s="29">
        <v>101</v>
      </c>
      <c r="J528" s="29">
        <v>76</v>
      </c>
      <c r="K528" s="29">
        <v>73</v>
      </c>
      <c r="L528" s="29">
        <v>60</v>
      </c>
      <c r="M528" s="29">
        <v>67</v>
      </c>
      <c r="N528" s="29">
        <v>74</v>
      </c>
      <c r="O528" s="32">
        <v>541</v>
      </c>
      <c r="P528" s="29" cm="1">
        <f t="array" ref="P528">IF(表成绩单[[#This Row],[语文]]="","",SUMPRODUCT((表成绩单[考试日期]=表成绩单[[#This Row],[考试日期]])*(表成绩单[语文]&lt;9E+307)*(表成绩单[语文]&gt;表成绩单[[#This Row],[语文]]))+1)</f>
        <v>561</v>
      </c>
      <c r="Q528" s="29" cm="1">
        <f t="array" ref="Q528">IF(表成绩单[[#This Row],[数学]]="","",SUMPRODUCT((表成绩单[考试日期]=表成绩单[[#This Row],[考试日期]])*(表成绩单[数学]&lt;9E+307)*(表成绩单[数学]&gt;表成绩单[[#This Row],[数学]]))+1)</f>
        <v>319</v>
      </c>
      <c r="R528" s="29" cm="1">
        <f t="array" ref="R528">IF(表成绩单[[#This Row],[英语]]="","",SUMPRODUCT((表成绩单[考试日期]=表成绩单[[#This Row],[考试日期]])*(表成绩单[英语]&lt;9E+307)*(表成绩单[英语]&gt;表成绩单[[#This Row],[英语]]))+1)</f>
        <v>399</v>
      </c>
      <c r="S528" s="29" cm="1">
        <f t="array" ref="S528">IF(表成绩单[[#This Row],[物理]]="","",SUMPRODUCT((表成绩单[考试日期]=表成绩单[[#This Row],[考试日期]])*(表成绩单[物理]&lt;9E+307)*(表成绩单[物理]&gt;表成绩单[[#This Row],[物理]]))+1)</f>
        <v>626</v>
      </c>
      <c r="T528" s="29" cm="1">
        <f t="array" ref="T528">IF(表成绩单[[#This Row],[化学]]="","",SUMPRODUCT((表成绩单[考试日期]=表成绩单[[#This Row],[考试日期]])*(表成绩单[化学]&lt;9E+307)*(表成绩单[化学]&gt;表成绩单[[#This Row],[化学]]))+1)</f>
        <v>639</v>
      </c>
      <c r="U528" s="29" cm="1">
        <f t="array" ref="U528">IF(表成绩单[[#This Row],[政治]]="","",SUMPRODUCT((表成绩单[考试日期]=表成绩单[[#This Row],[考试日期]])*(表成绩单[政治]&lt;9E+307)*(表成绩单[政治]&gt;表成绩单[[#This Row],[政治]]))+1)</f>
        <v>543</v>
      </c>
      <c r="V528" s="29" cm="1">
        <f t="array" ref="V528">IF(表成绩单[[#This Row],[历史]]="","",SUMPRODUCT((表成绩单[考试日期]=表成绩单[[#This Row],[考试日期]])*(表成绩单[历史]&lt;9E+307)*(表成绩单[历史]&gt;表成绩单[[#This Row],[历史]]))+1)</f>
        <v>358</v>
      </c>
      <c r="W528" s="29" cm="1">
        <f t="array" ref="W528">IF(表成绩单[[#This Row],[总分]]="","",SUMPRODUCT((表成绩单[考试日期]=表成绩单[[#This Row],[考试日期]])*(表成绩单[总分]&lt;9E+307)*(表成绩单[总分]&gt;表成绩单[[#This Row],[总分]]))+1)</f>
        <v>522</v>
      </c>
    </row>
    <row r="529" ht="28" customHeight="1" spans="4:23">
      <c r="D529" s="31">
        <v>45975</v>
      </c>
      <c r="E529" s="29">
        <v>19178587</v>
      </c>
      <c r="F529" s="29" t="s">
        <v>64</v>
      </c>
      <c r="G529" s="29" t="s">
        <v>602</v>
      </c>
      <c r="H529" s="29">
        <v>103</v>
      </c>
      <c r="I529" s="29">
        <v>101</v>
      </c>
      <c r="J529" s="29">
        <v>69</v>
      </c>
      <c r="K529" s="29">
        <v>79</v>
      </c>
      <c r="L529" s="29">
        <v>55</v>
      </c>
      <c r="M529" s="29">
        <v>64</v>
      </c>
      <c r="N529" s="29">
        <v>70</v>
      </c>
      <c r="O529" s="32">
        <v>541</v>
      </c>
      <c r="P529" s="29" cm="1">
        <f t="array" ref="P529">IF(表成绩单[[#This Row],[语文]]="","",SUMPRODUCT((表成绩单[考试日期]=表成绩单[[#This Row],[考试日期]])*(表成绩单[语文]&lt;9E+307)*(表成绩单[语文]&gt;表成绩单[[#This Row],[语文]]))+1)</f>
        <v>126</v>
      </c>
      <c r="Q529" s="29" cm="1">
        <f t="array" ref="Q529">IF(表成绩单[[#This Row],[数学]]="","",SUMPRODUCT((表成绩单[考试日期]=表成绩单[[#This Row],[考试日期]])*(表成绩单[数学]&lt;9E+307)*(表成绩单[数学]&gt;表成绩单[[#This Row],[数学]]))+1)</f>
        <v>319</v>
      </c>
      <c r="R529" s="29" cm="1">
        <f t="array" ref="R529">IF(表成绩单[[#This Row],[英语]]="","",SUMPRODUCT((表成绩单[考试日期]=表成绩单[[#This Row],[考试日期]])*(表成绩单[英语]&lt;9E+307)*(表成绩单[英语]&gt;表成绩单[[#This Row],[英语]]))+1)</f>
        <v>566</v>
      </c>
      <c r="S529" s="29" cm="1">
        <f t="array" ref="S529">IF(表成绩单[[#This Row],[物理]]="","",SUMPRODUCT((表成绩单[考试日期]=表成绩单[[#This Row],[考试日期]])*(表成绩单[物理]&lt;9E+307)*(表成绩单[物理]&gt;表成绩单[[#This Row],[物理]]))+1)</f>
        <v>534</v>
      </c>
      <c r="T529" s="29" cm="1">
        <f t="array" ref="T529">IF(表成绩单[[#This Row],[化学]]="","",SUMPRODUCT((表成绩单[考试日期]=表成绩单[[#This Row],[考试日期]])*(表成绩单[化学]&lt;9E+307)*(表成绩单[化学]&gt;表成绩单[[#This Row],[化学]]))+1)</f>
        <v>692</v>
      </c>
      <c r="U529" s="29" cm="1">
        <f t="array" ref="U529">IF(表成绩单[[#This Row],[政治]]="","",SUMPRODUCT((表成绩单[考试日期]=表成绩单[[#This Row],[考试日期]])*(表成绩单[政治]&lt;9E+307)*(表成绩单[政治]&gt;表成绩单[[#This Row],[政治]]))+1)</f>
        <v>599</v>
      </c>
      <c r="V529" s="29" cm="1">
        <f t="array" ref="V529">IF(表成绩单[[#This Row],[历史]]="","",SUMPRODUCT((表成绩单[考试日期]=表成绩单[[#This Row],[考试日期]])*(表成绩单[历史]&lt;9E+307)*(表成绩单[历史]&gt;表成绩单[[#This Row],[历史]]))+1)</f>
        <v>505</v>
      </c>
      <c r="W529" s="29" cm="1">
        <f t="array" ref="W529">IF(表成绩单[[#This Row],[总分]]="","",SUMPRODUCT((表成绩单[考试日期]=表成绩单[[#This Row],[考试日期]])*(表成绩单[总分]&lt;9E+307)*(表成绩单[总分]&gt;表成绩单[[#This Row],[总分]]))+1)</f>
        <v>522</v>
      </c>
    </row>
    <row r="530" ht="28" customHeight="1" spans="4:23">
      <c r="D530" s="31">
        <v>45975</v>
      </c>
      <c r="E530" s="29">
        <v>19178610</v>
      </c>
      <c r="F530" s="29" t="s">
        <v>25</v>
      </c>
      <c r="G530" s="29" t="s">
        <v>603</v>
      </c>
      <c r="H530" s="29">
        <v>100</v>
      </c>
      <c r="I530" s="29">
        <v>82</v>
      </c>
      <c r="J530" s="29">
        <v>66</v>
      </c>
      <c r="K530" s="29">
        <v>83</v>
      </c>
      <c r="L530" s="29">
        <v>73</v>
      </c>
      <c r="M530" s="29">
        <v>60</v>
      </c>
      <c r="N530" s="29">
        <v>77</v>
      </c>
      <c r="O530" s="32">
        <v>541</v>
      </c>
      <c r="P530" s="29" cm="1">
        <f t="array" ref="P530">IF(表成绩单[[#This Row],[语文]]="","",SUMPRODUCT((表成绩单[考试日期]=表成绩单[[#This Row],[考试日期]])*(表成绩单[语文]&lt;9E+307)*(表成绩单[语文]&gt;表成绩单[[#This Row],[语文]]))+1)</f>
        <v>223</v>
      </c>
      <c r="Q530" s="29" cm="1">
        <f t="array" ref="Q530">IF(表成绩单[[#This Row],[数学]]="","",SUMPRODUCT((表成绩单[考试日期]=表成绩单[[#This Row],[考试日期]])*(表成绩单[数学]&lt;9E+307)*(表成绩单[数学]&gt;表成绩单[[#This Row],[数学]]))+1)</f>
        <v>607</v>
      </c>
      <c r="R530" s="29" cm="1">
        <f t="array" ref="R530">IF(表成绩单[[#This Row],[英语]]="","",SUMPRODUCT((表成绩单[考试日期]=表成绩单[[#This Row],[考试日期]])*(表成绩单[英语]&lt;9E+307)*(表成绩单[英语]&gt;表成绩单[[#This Row],[英语]]))+1)</f>
        <v>609</v>
      </c>
      <c r="S530" s="29" cm="1">
        <f t="array" ref="S530">IF(表成绩单[[#This Row],[物理]]="","",SUMPRODUCT((表成绩单[考试日期]=表成绩单[[#This Row],[考试日期]])*(表成绩单[物理]&lt;9E+307)*(表成绩单[物理]&gt;表成绩单[[#This Row],[物理]]))+1)</f>
        <v>390</v>
      </c>
      <c r="T530" s="29" cm="1">
        <f t="array" ref="T530">IF(表成绩单[[#This Row],[化学]]="","",SUMPRODUCT((表成绩单[考试日期]=表成绩单[[#This Row],[考试日期]])*(表成绩单[化学]&lt;9E+307)*(表成绩单[化学]&gt;表成绩单[[#This Row],[化学]]))+1)</f>
        <v>365</v>
      </c>
      <c r="U530" s="29" cm="1">
        <f t="array" ref="U530">IF(表成绩单[[#This Row],[政治]]="","",SUMPRODUCT((表成绩单[考试日期]=表成绩单[[#This Row],[考试日期]])*(表成绩单[政治]&lt;9E+307)*(表成绩单[政治]&gt;表成绩单[[#This Row],[政治]]))+1)</f>
        <v>671</v>
      </c>
      <c r="V530" s="29" cm="1">
        <f t="array" ref="V530">IF(表成绩单[[#This Row],[历史]]="","",SUMPRODUCT((表成绩单[考试日期]=表成绩单[[#This Row],[考试日期]])*(表成绩单[历史]&lt;9E+307)*(表成绩单[历史]&gt;表成绩单[[#This Row],[历史]]))+1)</f>
        <v>237</v>
      </c>
      <c r="W530" s="29" cm="1">
        <f t="array" ref="W530">IF(表成绩单[[#This Row],[总分]]="","",SUMPRODUCT((表成绩单[考试日期]=表成绩单[[#This Row],[考试日期]])*(表成绩单[总分]&lt;9E+307)*(表成绩单[总分]&gt;表成绩单[[#This Row],[总分]]))+1)</f>
        <v>522</v>
      </c>
    </row>
    <row r="531" ht="28" customHeight="1" spans="4:23">
      <c r="D531" s="31">
        <v>45975</v>
      </c>
      <c r="E531" s="29">
        <v>19177657</v>
      </c>
      <c r="F531" s="29" t="s">
        <v>63</v>
      </c>
      <c r="G531" s="29" t="s">
        <v>604</v>
      </c>
      <c r="H531" s="29">
        <v>94</v>
      </c>
      <c r="I531" s="29">
        <v>95</v>
      </c>
      <c r="J531" s="29">
        <v>63.5</v>
      </c>
      <c r="K531" s="29">
        <v>85</v>
      </c>
      <c r="L531" s="29">
        <v>64</v>
      </c>
      <c r="M531" s="29">
        <v>66</v>
      </c>
      <c r="N531" s="29">
        <v>73</v>
      </c>
      <c r="O531" s="32">
        <v>540.5</v>
      </c>
      <c r="P531" s="29" cm="1">
        <f t="array" ref="P531">IF(表成绩单[[#This Row],[语文]]="","",SUMPRODUCT((表成绩单[考试日期]=表成绩单[[#This Row],[考试日期]])*(表成绩单[语文]&lt;9E+307)*(表成绩单[语文]&gt;表成绩单[[#This Row],[语文]]))+1)</f>
        <v>452</v>
      </c>
      <c r="Q531" s="29" cm="1">
        <f t="array" ref="Q531">IF(表成绩单[[#This Row],[数学]]="","",SUMPRODUCT((表成绩单[考试日期]=表成绩单[[#This Row],[考试日期]])*(表成绩单[数学]&lt;9E+307)*(表成绩单[数学]&gt;表成绩单[[#This Row],[数学]]))+1)</f>
        <v>430</v>
      </c>
      <c r="R531" s="29" cm="1">
        <f t="array" ref="R531">IF(表成绩单[[#This Row],[英语]]="","",SUMPRODUCT((表成绩单[考试日期]=表成绩单[[#This Row],[考试日期]])*(表成绩单[英语]&lt;9E+307)*(表成绩单[英语]&gt;表成绩单[[#This Row],[英语]]))+1)</f>
        <v>637</v>
      </c>
      <c r="S531" s="29" cm="1">
        <f t="array" ref="S531">IF(表成绩单[[#This Row],[物理]]="","",SUMPRODUCT((表成绩单[考试日期]=表成绩单[[#This Row],[考试日期]])*(表成绩单[物理]&lt;9E+307)*(表成绩单[物理]&gt;表成绩单[[#This Row],[物理]]))+1)</f>
        <v>263</v>
      </c>
      <c r="T531" s="29" cm="1">
        <f t="array" ref="T531">IF(表成绩单[[#This Row],[化学]]="","",SUMPRODUCT((表成绩单[考试日期]=表成绩单[[#This Row],[考试日期]])*(表成绩单[化学]&lt;9E+307)*(表成绩单[化学]&gt;表成绩单[[#This Row],[化学]]))+1)</f>
        <v>575</v>
      </c>
      <c r="U531" s="29" cm="1">
        <f t="array" ref="U531">IF(表成绩单[[#This Row],[政治]]="","",SUMPRODUCT((表成绩单[考试日期]=表成绩单[[#This Row],[考试日期]])*(表成绩单[政治]&lt;9E+307)*(表成绩单[政治]&gt;表成绩单[[#This Row],[政治]]))+1)</f>
        <v>555</v>
      </c>
      <c r="V531" s="29" cm="1">
        <f t="array" ref="V531">IF(表成绩单[[#This Row],[历史]]="","",SUMPRODUCT((表成绩单[考试日期]=表成绩单[[#This Row],[考试日期]])*(表成绩单[历史]&lt;9E+307)*(表成绩单[历史]&gt;表成绩单[[#This Row],[历史]]))+1)</f>
        <v>395</v>
      </c>
      <c r="W531" s="29" cm="1">
        <f t="array" ref="W531">IF(表成绩单[[#This Row],[总分]]="","",SUMPRODUCT((表成绩单[考试日期]=表成绩单[[#This Row],[考试日期]])*(表成绩单[总分]&lt;9E+307)*(表成绩单[总分]&gt;表成绩单[[#This Row],[总分]]))+1)</f>
        <v>527</v>
      </c>
    </row>
    <row r="532" ht="28" customHeight="1" spans="4:23">
      <c r="D532" s="31">
        <v>45975</v>
      </c>
      <c r="E532" s="29">
        <v>19175309</v>
      </c>
      <c r="F532" s="29" t="s">
        <v>55</v>
      </c>
      <c r="G532" s="29" t="s">
        <v>605</v>
      </c>
      <c r="H532" s="29">
        <v>93</v>
      </c>
      <c r="I532" s="29">
        <v>80</v>
      </c>
      <c r="J532" s="29">
        <v>76</v>
      </c>
      <c r="K532" s="29">
        <v>82</v>
      </c>
      <c r="L532" s="29">
        <v>76</v>
      </c>
      <c r="M532" s="29">
        <v>61</v>
      </c>
      <c r="N532" s="29">
        <v>72</v>
      </c>
      <c r="O532" s="32">
        <v>540</v>
      </c>
      <c r="P532" s="29" cm="1">
        <f t="array" ref="P532">IF(表成绩单[[#This Row],[语文]]="","",SUMPRODUCT((表成绩单[考试日期]=表成绩单[[#This Row],[考试日期]])*(表成绩单[语文]&lt;9E+307)*(表成绩单[语文]&gt;表成绩单[[#This Row],[语文]]))+1)</f>
        <v>489</v>
      </c>
      <c r="Q532" s="29" cm="1">
        <f t="array" ref="Q532">IF(表成绩单[[#This Row],[数学]]="","",SUMPRODUCT((表成绩单[考试日期]=表成绩单[[#This Row],[考试日期]])*(表成绩单[数学]&lt;9E+307)*(表成绩单[数学]&gt;表成绩单[[#This Row],[数学]]))+1)</f>
        <v>626</v>
      </c>
      <c r="R532" s="29" cm="1">
        <f t="array" ref="R532">IF(表成绩单[[#This Row],[英语]]="","",SUMPRODUCT((表成绩单[考试日期]=表成绩单[[#This Row],[考试日期]])*(表成绩单[英语]&lt;9E+307)*(表成绩单[英语]&gt;表成绩单[[#This Row],[英语]]))+1)</f>
        <v>399</v>
      </c>
      <c r="S532" s="29" cm="1">
        <f t="array" ref="S532">IF(表成绩单[[#This Row],[物理]]="","",SUMPRODUCT((表成绩单[考试日期]=表成绩单[[#This Row],[考试日期]])*(表成绩单[物理]&lt;9E+307)*(表成绩单[物理]&gt;表成绩单[[#This Row],[物理]]))+1)</f>
        <v>433</v>
      </c>
      <c r="T532" s="29" cm="1">
        <f t="array" ref="T532">IF(表成绩单[[#This Row],[化学]]="","",SUMPRODUCT((表成绩单[考试日期]=表成绩单[[#This Row],[考试日期]])*(表成绩单[化学]&lt;9E+307)*(表成绩单[化学]&gt;表成绩单[[#This Row],[化学]]))+1)</f>
        <v>268</v>
      </c>
      <c r="U532" s="29" cm="1">
        <f t="array" ref="U532">IF(表成绩单[[#This Row],[政治]]="","",SUMPRODUCT((表成绩单[考试日期]=表成绩单[[#This Row],[考试日期]])*(表成绩单[政治]&lt;9E+307)*(表成绩单[政治]&gt;表成绩单[[#This Row],[政治]]))+1)</f>
        <v>644</v>
      </c>
      <c r="V532" s="29" cm="1">
        <f t="array" ref="V532">IF(表成绩单[[#This Row],[历史]]="","",SUMPRODUCT((表成绩单[考试日期]=表成绩单[[#This Row],[考试日期]])*(表成绩单[历史]&lt;9E+307)*(表成绩单[历史]&gt;表成绩单[[#This Row],[历史]]))+1)</f>
        <v>438</v>
      </c>
      <c r="W532" s="29" cm="1">
        <f t="array" ref="W532">IF(表成绩单[[#This Row],[总分]]="","",SUMPRODUCT((表成绩单[考试日期]=表成绩单[[#This Row],[考试日期]])*(表成绩单[总分]&lt;9E+307)*(表成绩单[总分]&gt;表成绩单[[#This Row],[总分]]))+1)</f>
        <v>528</v>
      </c>
    </row>
    <row r="533" ht="28" customHeight="1" spans="4:23">
      <c r="D533" s="31">
        <v>45975</v>
      </c>
      <c r="E533" s="29">
        <v>19174772</v>
      </c>
      <c r="F533" s="29" t="s">
        <v>69</v>
      </c>
      <c r="G533" s="29" t="s">
        <v>606</v>
      </c>
      <c r="H533" s="29">
        <v>93</v>
      </c>
      <c r="I533" s="29">
        <v>87</v>
      </c>
      <c r="J533" s="29">
        <v>74</v>
      </c>
      <c r="K533" s="29">
        <v>83</v>
      </c>
      <c r="L533" s="29">
        <v>70</v>
      </c>
      <c r="M533" s="29">
        <v>66</v>
      </c>
      <c r="N533" s="29">
        <v>66</v>
      </c>
      <c r="O533" s="32">
        <v>539</v>
      </c>
      <c r="P533" s="29" cm="1">
        <f t="array" ref="P533">IF(表成绩单[[#This Row],[语文]]="","",SUMPRODUCT((表成绩单[考试日期]=表成绩单[[#This Row],[考试日期]])*(表成绩单[语文]&lt;9E+307)*(表成绩单[语文]&gt;表成绩单[[#This Row],[语文]]))+1)</f>
        <v>489</v>
      </c>
      <c r="Q533" s="29" cm="1">
        <f t="array" ref="Q533">IF(表成绩单[[#This Row],[数学]]="","",SUMPRODUCT((表成绩单[考试日期]=表成绩单[[#This Row],[考试日期]])*(表成绩单[数学]&lt;9E+307)*(表成绩单[数学]&gt;表成绩单[[#This Row],[数学]]))+1)</f>
        <v>547</v>
      </c>
      <c r="R533" s="29" cm="1">
        <f t="array" ref="R533">IF(表成绩单[[#This Row],[英语]]="","",SUMPRODUCT((表成绩单[考试日期]=表成绩单[[#This Row],[考试日期]])*(表成绩单[英语]&lt;9E+307)*(表成绩单[英语]&gt;表成绩单[[#This Row],[英语]]))+1)</f>
        <v>454</v>
      </c>
      <c r="S533" s="29" cm="1">
        <f t="array" ref="S533">IF(表成绩单[[#This Row],[物理]]="","",SUMPRODUCT((表成绩单[考试日期]=表成绩单[[#This Row],[考试日期]])*(表成绩单[物理]&lt;9E+307)*(表成绩单[物理]&gt;表成绩单[[#This Row],[物理]]))+1)</f>
        <v>390</v>
      </c>
      <c r="T533" s="29" cm="1">
        <f t="array" ref="T533">IF(表成绩单[[#This Row],[化学]]="","",SUMPRODUCT((表成绩单[考试日期]=表成绩单[[#This Row],[考试日期]])*(表成绩单[化学]&lt;9E+307)*(表成绩单[化学]&gt;表成绩单[[#This Row],[化学]]))+1)</f>
        <v>453</v>
      </c>
      <c r="U533" s="29" cm="1">
        <f t="array" ref="U533">IF(表成绩单[[#This Row],[政治]]="","",SUMPRODUCT((表成绩单[考试日期]=表成绩单[[#This Row],[考试日期]])*(表成绩单[政治]&lt;9E+307)*(表成绩单[政治]&gt;表成绩单[[#This Row],[政治]]))+1)</f>
        <v>555</v>
      </c>
      <c r="V533" s="29" cm="1">
        <f t="array" ref="V533">IF(表成绩单[[#This Row],[历史]]="","",SUMPRODUCT((表成绩单[考试日期]=表成绩单[[#This Row],[考试日期]])*(表成绩单[历史]&lt;9E+307)*(表成绩单[历史]&gt;表成绩单[[#This Row],[历史]]))+1)</f>
        <v>622</v>
      </c>
      <c r="W533" s="29" cm="1">
        <f t="array" ref="W533">IF(表成绩单[[#This Row],[总分]]="","",SUMPRODUCT((表成绩单[考试日期]=表成绩单[[#This Row],[考试日期]])*(表成绩单[总分]&lt;9E+307)*(表成绩单[总分]&gt;表成绩单[[#This Row],[总分]]))+1)</f>
        <v>529</v>
      </c>
    </row>
    <row r="534" ht="28" customHeight="1" spans="4:23">
      <c r="D534" s="31">
        <v>45975</v>
      </c>
      <c r="E534" s="29">
        <v>19173762</v>
      </c>
      <c r="F534" s="29" t="s">
        <v>65</v>
      </c>
      <c r="G534" s="29" t="s">
        <v>607</v>
      </c>
      <c r="H534" s="29">
        <v>104</v>
      </c>
      <c r="I534" s="29">
        <v>83</v>
      </c>
      <c r="J534" s="29">
        <v>75.5</v>
      </c>
      <c r="K534" s="29">
        <v>72</v>
      </c>
      <c r="L534" s="29">
        <v>58</v>
      </c>
      <c r="M534" s="29">
        <v>74</v>
      </c>
      <c r="N534" s="29">
        <v>72</v>
      </c>
      <c r="O534" s="32">
        <v>538.5</v>
      </c>
      <c r="P534" s="29" cm="1">
        <f t="array" ref="P534">IF(表成绩单[[#This Row],[语文]]="","",SUMPRODUCT((表成绩单[考试日期]=表成绩单[[#This Row],[考试日期]])*(表成绩单[语文]&lt;9E+307)*(表成绩单[语文]&gt;表成绩单[[#This Row],[语文]]))+1)</f>
        <v>104</v>
      </c>
      <c r="Q534" s="29" cm="1">
        <f t="array" ref="Q534">IF(表成绩单[[#This Row],[数学]]="","",SUMPRODUCT((表成绩单[考试日期]=表成绩单[[#This Row],[考试日期]])*(表成绩单[数学]&lt;9E+307)*(表成绩单[数学]&gt;表成绩单[[#This Row],[数学]]))+1)</f>
        <v>592</v>
      </c>
      <c r="R534" s="29" cm="1">
        <f t="array" ref="R534">IF(表成绩单[[#This Row],[英语]]="","",SUMPRODUCT((表成绩单[考试日期]=表成绩单[[#This Row],[考试日期]])*(表成绩单[英语]&lt;9E+307)*(表成绩单[英语]&gt;表成绩单[[#This Row],[英语]]))+1)</f>
        <v>418</v>
      </c>
      <c r="S534" s="29" cm="1">
        <f t="array" ref="S534">IF(表成绩单[[#This Row],[物理]]="","",SUMPRODUCT((表成绩单[考试日期]=表成绩单[[#This Row],[考试日期]])*(表成绩单[物理]&lt;9E+307)*(表成绩单[物理]&gt;表成绩单[[#This Row],[物理]]))+1)</f>
        <v>633</v>
      </c>
      <c r="T534" s="29" cm="1">
        <f t="array" ref="T534">IF(表成绩单[[#This Row],[化学]]="","",SUMPRODUCT((表成绩单[考试日期]=表成绩单[[#This Row],[考试日期]])*(表成绩单[化学]&lt;9E+307)*(表成绩单[化学]&gt;表成绩单[[#This Row],[化学]]))+1)</f>
        <v>659</v>
      </c>
      <c r="U534" s="29" cm="1">
        <f t="array" ref="U534">IF(表成绩单[[#This Row],[政治]]="","",SUMPRODUCT((表成绩单[考试日期]=表成绩单[[#This Row],[考试日期]])*(表成绩单[政治]&lt;9E+307)*(表成绩单[政治]&gt;表成绩单[[#This Row],[政治]]))+1)</f>
        <v>389</v>
      </c>
      <c r="V534" s="29" cm="1">
        <f t="array" ref="V534">IF(表成绩单[[#This Row],[历史]]="","",SUMPRODUCT((表成绩单[考试日期]=表成绩单[[#This Row],[考试日期]])*(表成绩单[历史]&lt;9E+307)*(表成绩单[历史]&gt;表成绩单[[#This Row],[历史]]))+1)</f>
        <v>438</v>
      </c>
      <c r="W534" s="29" cm="1">
        <f t="array" ref="W534">IF(表成绩单[[#This Row],[总分]]="","",SUMPRODUCT((表成绩单[考试日期]=表成绩单[[#This Row],[考试日期]])*(表成绩单[总分]&lt;9E+307)*(表成绩单[总分]&gt;表成绩单[[#This Row],[总分]]))+1)</f>
        <v>530</v>
      </c>
    </row>
    <row r="535" ht="28" customHeight="1" spans="4:23">
      <c r="D535" s="31">
        <v>45975</v>
      </c>
      <c r="E535" s="29">
        <v>19176157</v>
      </c>
      <c r="F535" s="29" t="s">
        <v>67</v>
      </c>
      <c r="G535" s="29" t="s">
        <v>608</v>
      </c>
      <c r="H535" s="29">
        <v>94</v>
      </c>
      <c r="I535" s="29">
        <v>94</v>
      </c>
      <c r="J535" s="29">
        <v>78</v>
      </c>
      <c r="K535" s="29">
        <v>72</v>
      </c>
      <c r="L535" s="29">
        <v>55</v>
      </c>
      <c r="M535" s="29">
        <v>73</v>
      </c>
      <c r="N535" s="29">
        <v>72</v>
      </c>
      <c r="O535" s="32">
        <v>538</v>
      </c>
      <c r="P535" s="29" cm="1">
        <f t="array" ref="P535">IF(表成绩单[[#This Row],[语文]]="","",SUMPRODUCT((表成绩单[考试日期]=表成绩单[[#This Row],[考试日期]])*(表成绩单[语文]&lt;9E+307)*(表成绩单[语文]&gt;表成绩单[[#This Row],[语文]]))+1)</f>
        <v>452</v>
      </c>
      <c r="Q535" s="29" cm="1">
        <f t="array" ref="Q535">IF(表成绩单[[#This Row],[数学]]="","",SUMPRODUCT((表成绩单[考试日期]=表成绩单[[#This Row],[考试日期]])*(表成绩单[数学]&lt;9E+307)*(表成绩单[数学]&gt;表成绩单[[#This Row],[数学]]))+1)</f>
        <v>454</v>
      </c>
      <c r="R535" s="29" cm="1">
        <f t="array" ref="R535">IF(表成绩单[[#This Row],[英语]]="","",SUMPRODUCT((表成绩单[考试日期]=表成绩单[[#This Row],[考试日期]])*(表成绩单[英语]&lt;9E+307)*(表成绩单[英语]&gt;表成绩单[[#This Row],[英语]]))+1)</f>
        <v>330</v>
      </c>
      <c r="S535" s="29" cm="1">
        <f t="array" ref="S535">IF(表成绩单[[#This Row],[物理]]="","",SUMPRODUCT((表成绩单[考试日期]=表成绩单[[#This Row],[考试日期]])*(表成绩单[物理]&lt;9E+307)*(表成绩单[物理]&gt;表成绩单[[#This Row],[物理]]))+1)</f>
        <v>633</v>
      </c>
      <c r="T535" s="29" cm="1">
        <f t="array" ref="T535">IF(表成绩单[[#This Row],[化学]]="","",SUMPRODUCT((表成绩单[考试日期]=表成绩单[[#This Row],[考试日期]])*(表成绩单[化学]&lt;9E+307)*(表成绩单[化学]&gt;表成绩单[[#This Row],[化学]]))+1)</f>
        <v>692</v>
      </c>
      <c r="U535" s="29" cm="1">
        <f t="array" ref="U535">IF(表成绩单[[#This Row],[政治]]="","",SUMPRODUCT((表成绩单[考试日期]=表成绩单[[#This Row],[考试日期]])*(表成绩单[政治]&lt;9E+307)*(表成绩单[政治]&gt;表成绩单[[#This Row],[政治]]))+1)</f>
        <v>418</v>
      </c>
      <c r="V535" s="29" cm="1">
        <f t="array" ref="V535">IF(表成绩单[[#This Row],[历史]]="","",SUMPRODUCT((表成绩单[考试日期]=表成绩单[[#This Row],[考试日期]])*(表成绩单[历史]&lt;9E+307)*(表成绩单[历史]&gt;表成绩单[[#This Row],[历史]]))+1)</f>
        <v>438</v>
      </c>
      <c r="W535" s="29" cm="1">
        <f t="array" ref="W535">IF(表成绩单[[#This Row],[总分]]="","",SUMPRODUCT((表成绩单[考试日期]=表成绩单[[#This Row],[考试日期]])*(表成绩单[总分]&lt;9E+307)*(表成绩单[总分]&gt;表成绩单[[#This Row],[总分]]))+1)</f>
        <v>531</v>
      </c>
    </row>
    <row r="536" ht="28" customHeight="1" spans="4:23">
      <c r="D536" s="31">
        <v>45975</v>
      </c>
      <c r="E536" s="29">
        <v>19175665</v>
      </c>
      <c r="F536" s="29" t="s">
        <v>66</v>
      </c>
      <c r="G536" s="29" t="s">
        <v>609</v>
      </c>
      <c r="H536" s="29">
        <v>93</v>
      </c>
      <c r="I536" s="29">
        <v>92</v>
      </c>
      <c r="J536" s="29">
        <v>77.5</v>
      </c>
      <c r="K536" s="29">
        <v>59</v>
      </c>
      <c r="L536" s="29">
        <v>70</v>
      </c>
      <c r="M536" s="29">
        <v>74</v>
      </c>
      <c r="N536" s="29">
        <v>72</v>
      </c>
      <c r="O536" s="32">
        <v>537.5</v>
      </c>
      <c r="P536" s="29" cm="1">
        <f t="array" ref="P536">IF(表成绩单[[#This Row],[语文]]="","",SUMPRODUCT((表成绩单[考试日期]=表成绩单[[#This Row],[考试日期]])*(表成绩单[语文]&lt;9E+307)*(表成绩单[语文]&gt;表成绩单[[#This Row],[语文]]))+1)</f>
        <v>489</v>
      </c>
      <c r="Q536" s="29" cm="1">
        <f t="array" ref="Q536">IF(表成绩单[[#This Row],[数学]]="","",SUMPRODUCT((表成绩单[考试日期]=表成绩单[[#This Row],[考试日期]])*(表成绩单[数学]&lt;9E+307)*(表成绩单[数学]&gt;表成绩单[[#This Row],[数学]]))+1)</f>
        <v>480</v>
      </c>
      <c r="R536" s="29" cm="1">
        <f t="array" ref="R536">IF(表成绩单[[#This Row],[英语]]="","",SUMPRODUCT((表成绩单[考试日期]=表成绩单[[#This Row],[考试日期]])*(表成绩单[英语]&lt;9E+307)*(表成绩单[英语]&gt;表成绩单[[#This Row],[英语]]))+1)</f>
        <v>345</v>
      </c>
      <c r="S536" s="29" cm="1">
        <f t="array" ref="S536">IF(表成绩单[[#This Row],[物理]]="","",SUMPRODUCT((表成绩单[考试日期]=表成绩单[[#This Row],[考试日期]])*(表成绩单[物理]&lt;9E+307)*(表成绩单[物理]&gt;表成绩单[[#This Row],[物理]]))+1)</f>
        <v>721</v>
      </c>
      <c r="T536" s="29" cm="1">
        <f t="array" ref="T536">IF(表成绩单[[#This Row],[化学]]="","",SUMPRODUCT((表成绩单[考试日期]=表成绩单[[#This Row],[考试日期]])*(表成绩单[化学]&lt;9E+307)*(表成绩单[化学]&gt;表成绩单[[#This Row],[化学]]))+1)</f>
        <v>453</v>
      </c>
      <c r="U536" s="29" cm="1">
        <f t="array" ref="U536">IF(表成绩单[[#This Row],[政治]]="","",SUMPRODUCT((表成绩单[考试日期]=表成绩单[[#This Row],[考试日期]])*(表成绩单[政治]&lt;9E+307)*(表成绩单[政治]&gt;表成绩单[[#This Row],[政治]]))+1)</f>
        <v>389</v>
      </c>
      <c r="V536" s="29" cm="1">
        <f t="array" ref="V536">IF(表成绩单[[#This Row],[历史]]="","",SUMPRODUCT((表成绩单[考试日期]=表成绩单[[#This Row],[考试日期]])*(表成绩单[历史]&lt;9E+307)*(表成绩单[历史]&gt;表成绩单[[#This Row],[历史]]))+1)</f>
        <v>438</v>
      </c>
      <c r="W536" s="29" cm="1">
        <f t="array" ref="W536">IF(表成绩单[[#This Row],[总分]]="","",SUMPRODUCT((表成绩单[考试日期]=表成绩单[[#This Row],[考试日期]])*(表成绩单[总分]&lt;9E+307)*(表成绩单[总分]&gt;表成绩单[[#This Row],[总分]]))+1)</f>
        <v>532</v>
      </c>
    </row>
    <row r="537" ht="28" customHeight="1" spans="4:23">
      <c r="D537" s="31">
        <v>45975</v>
      </c>
      <c r="E537" s="29">
        <v>26756399</v>
      </c>
      <c r="F537" s="29" t="s">
        <v>58</v>
      </c>
      <c r="G537" s="29" t="s">
        <v>610</v>
      </c>
      <c r="H537" s="29">
        <v>90</v>
      </c>
      <c r="I537" s="29">
        <v>88</v>
      </c>
      <c r="J537" s="29">
        <v>77.5</v>
      </c>
      <c r="K537" s="29">
        <v>75</v>
      </c>
      <c r="L537" s="29">
        <v>69</v>
      </c>
      <c r="M537" s="29">
        <v>64</v>
      </c>
      <c r="N537" s="29">
        <v>74</v>
      </c>
      <c r="O537" s="32">
        <v>537.5</v>
      </c>
      <c r="P537" s="29" cm="1">
        <f t="array" ref="P537">IF(表成绩单[[#This Row],[语文]]="","",SUMPRODUCT((表成绩单[考试日期]=表成绩单[[#This Row],[考试日期]])*(表成绩单[语文]&lt;9E+307)*(表成绩单[语文]&gt;表成绩单[[#This Row],[语文]]))+1)</f>
        <v>561</v>
      </c>
      <c r="Q537" s="29" cm="1">
        <f t="array" ref="Q537">IF(表成绩单[[#This Row],[数学]]="","",SUMPRODUCT((表成绩单[考试日期]=表成绩单[[#This Row],[考试日期]])*(表成绩单[数学]&lt;9E+307)*(表成绩单[数学]&gt;表成绩单[[#This Row],[数学]]))+1)</f>
        <v>527</v>
      </c>
      <c r="R537" s="29" cm="1">
        <f t="array" ref="R537">IF(表成绩单[[#This Row],[英语]]="","",SUMPRODUCT((表成绩单[考试日期]=表成绩单[[#This Row],[考试日期]])*(表成绩单[英语]&lt;9E+307)*(表成绩单[英语]&gt;表成绩单[[#This Row],[英语]]))+1)</f>
        <v>345</v>
      </c>
      <c r="S537" s="29" cm="1">
        <f t="array" ref="S537">IF(表成绩单[[#This Row],[物理]]="","",SUMPRODUCT((表成绩单[考试日期]=表成绩单[[#This Row],[考试日期]])*(表成绩单[物理]&lt;9E+307)*(表成绩单[物理]&gt;表成绩单[[#This Row],[物理]]))+1)</f>
        <v>601</v>
      </c>
      <c r="T537" s="29" cm="1">
        <f t="array" ref="T537">IF(表成绩单[[#This Row],[化学]]="","",SUMPRODUCT((表成绩单[考试日期]=表成绩单[[#This Row],[考试日期]])*(表成绩单[化学]&lt;9E+307)*(表成绩单[化学]&gt;表成绩单[[#This Row],[化学]]))+1)</f>
        <v>478</v>
      </c>
      <c r="U537" s="29" cm="1">
        <f t="array" ref="U537">IF(表成绩单[[#This Row],[政治]]="","",SUMPRODUCT((表成绩单[考试日期]=表成绩单[[#This Row],[考试日期]])*(表成绩单[政治]&lt;9E+307)*(表成绩单[政治]&gt;表成绩单[[#This Row],[政治]]))+1)</f>
        <v>599</v>
      </c>
      <c r="V537" s="29" cm="1">
        <f t="array" ref="V537">IF(表成绩单[[#This Row],[历史]]="","",SUMPRODUCT((表成绩单[考试日期]=表成绩单[[#This Row],[考试日期]])*(表成绩单[历史]&lt;9E+307)*(表成绩单[历史]&gt;表成绩单[[#This Row],[历史]]))+1)</f>
        <v>358</v>
      </c>
      <c r="W537" s="29" cm="1">
        <f t="array" ref="W537">IF(表成绩单[[#This Row],[总分]]="","",SUMPRODUCT((表成绩单[考试日期]=表成绩单[[#This Row],[考试日期]])*(表成绩单[总分]&lt;9E+307)*(表成绩单[总分]&gt;表成绩单[[#This Row],[总分]]))+1)</f>
        <v>532</v>
      </c>
    </row>
    <row r="538" ht="28" customHeight="1" spans="4:23">
      <c r="D538" s="31">
        <v>45975</v>
      </c>
      <c r="E538" s="29">
        <v>19175657</v>
      </c>
      <c r="F538" s="29" t="s">
        <v>66</v>
      </c>
      <c r="G538" s="29" t="s">
        <v>611</v>
      </c>
      <c r="H538" s="29">
        <v>87</v>
      </c>
      <c r="I538" s="29">
        <v>84</v>
      </c>
      <c r="J538" s="29">
        <v>59</v>
      </c>
      <c r="K538" s="29">
        <v>86</v>
      </c>
      <c r="L538" s="29">
        <v>68</v>
      </c>
      <c r="M538" s="29">
        <v>72</v>
      </c>
      <c r="N538" s="29">
        <v>81</v>
      </c>
      <c r="O538" s="32">
        <v>537</v>
      </c>
      <c r="P538" s="29" cm="1">
        <f t="array" ref="P538">IF(表成绩单[[#This Row],[语文]]="","",SUMPRODUCT((表成绩单[考试日期]=表成绩单[[#This Row],[考试日期]])*(表成绩单[语文]&lt;9E+307)*(表成绩单[语文]&gt;表成绩单[[#This Row],[语文]]))+1)</f>
        <v>615</v>
      </c>
      <c r="Q538" s="29" cm="1">
        <f t="array" ref="Q538">IF(表成绩单[[#This Row],[数学]]="","",SUMPRODUCT((表成绩单[考试日期]=表成绩单[[#This Row],[考试日期]])*(表成绩单[数学]&lt;9E+307)*(表成绩单[数学]&gt;表成绩单[[#This Row],[数学]]))+1)</f>
        <v>580</v>
      </c>
      <c r="R538" s="29" cm="1">
        <f t="array" ref="R538">IF(表成绩单[[#This Row],[英语]]="","",SUMPRODUCT((表成绩单[考试日期]=表成绩单[[#This Row],[考试日期]])*(表成绩单[英语]&lt;9E+307)*(表成绩单[英语]&gt;表成绩单[[#This Row],[英语]]))+1)</f>
        <v>677</v>
      </c>
      <c r="S538" s="29" cm="1">
        <f t="array" ref="S538">IF(表成绩单[[#This Row],[物理]]="","",SUMPRODUCT((表成绩单[考试日期]=表成绩单[[#This Row],[考试日期]])*(表成绩单[物理]&lt;9E+307)*(表成绩单[物理]&gt;表成绩单[[#This Row],[物理]]))+1)</f>
        <v>187</v>
      </c>
      <c r="T538" s="29" cm="1">
        <f t="array" ref="T538">IF(表成绩单[[#This Row],[化学]]="","",SUMPRODUCT((表成绩单[考试日期]=表成绩单[[#This Row],[考试日期]])*(表成绩单[化学]&lt;9E+307)*(表成绩单[化学]&gt;表成绩单[[#This Row],[化学]]))+1)</f>
        <v>506</v>
      </c>
      <c r="U538" s="29" cm="1">
        <f t="array" ref="U538">IF(表成绩单[[#This Row],[政治]]="","",SUMPRODUCT((表成绩单[考试日期]=表成绩单[[#This Row],[考试日期]])*(表成绩单[政治]&lt;9E+307)*(表成绩单[政治]&gt;表成绩单[[#This Row],[政治]]))+1)</f>
        <v>448</v>
      </c>
      <c r="V538" s="29" cm="1">
        <f t="array" ref="V538">IF(表成绩单[[#This Row],[历史]]="","",SUMPRODUCT((表成绩单[考试日期]=表成绩单[[#This Row],[考试日期]])*(表成绩单[历史]&lt;9E+307)*(表成绩单[历史]&gt;表成绩单[[#This Row],[历史]]))+1)</f>
        <v>63</v>
      </c>
      <c r="W538" s="29" cm="1">
        <f t="array" ref="W538">IF(表成绩单[[#This Row],[总分]]="","",SUMPRODUCT((表成绩单[考试日期]=表成绩单[[#This Row],[考试日期]])*(表成绩单[总分]&lt;9E+307)*(表成绩单[总分]&gt;表成绩单[[#This Row],[总分]]))+1)</f>
        <v>534</v>
      </c>
    </row>
    <row r="539" ht="28" customHeight="1" spans="4:23">
      <c r="D539" s="31">
        <v>45975</v>
      </c>
      <c r="E539" s="29">
        <v>19178580</v>
      </c>
      <c r="F539" s="29" t="s">
        <v>64</v>
      </c>
      <c r="G539" s="29" t="s">
        <v>612</v>
      </c>
      <c r="H539" s="29">
        <v>91</v>
      </c>
      <c r="I539" s="29">
        <v>97</v>
      </c>
      <c r="J539" s="29">
        <v>70</v>
      </c>
      <c r="K539" s="29">
        <v>79</v>
      </c>
      <c r="L539" s="29">
        <v>65</v>
      </c>
      <c r="M539" s="29">
        <v>61</v>
      </c>
      <c r="N539" s="29">
        <v>73</v>
      </c>
      <c r="O539" s="32">
        <v>536</v>
      </c>
      <c r="P539" s="29" cm="1">
        <f t="array" ref="P539">IF(表成绩单[[#This Row],[语文]]="","",SUMPRODUCT((表成绩单[考试日期]=表成绩单[[#This Row],[考试日期]])*(表成绩单[语文]&lt;9E+307)*(表成绩单[语文]&gt;表成绩单[[#This Row],[语文]]))+1)</f>
        <v>536</v>
      </c>
      <c r="Q539" s="29" cm="1">
        <f t="array" ref="Q539">IF(表成绩单[[#This Row],[数学]]="","",SUMPRODUCT((表成绩单[考试日期]=表成绩单[[#This Row],[考试日期]])*(表成绩单[数学]&lt;9E+307)*(表成绩单[数学]&gt;表成绩单[[#This Row],[数学]]))+1)</f>
        <v>389</v>
      </c>
      <c r="R539" s="29" cm="1">
        <f t="array" ref="R539">IF(表成绩单[[#This Row],[英语]]="","",SUMPRODUCT((表成绩单[考试日期]=表成绩单[[#This Row],[考试日期]])*(表成绩单[英语]&lt;9E+307)*(表成绩单[英语]&gt;表成绩单[[#This Row],[英语]]))+1)</f>
        <v>551</v>
      </c>
      <c r="S539" s="29" cm="1">
        <f t="array" ref="S539">IF(表成绩单[[#This Row],[物理]]="","",SUMPRODUCT((表成绩单[考试日期]=表成绩单[[#This Row],[考试日期]])*(表成绩单[物理]&lt;9E+307)*(表成绩单[物理]&gt;表成绩单[[#This Row],[物理]]))+1)</f>
        <v>534</v>
      </c>
      <c r="T539" s="29" cm="1">
        <f t="array" ref="T539">IF(表成绩单[[#This Row],[化学]]="","",SUMPRODUCT((表成绩单[考试日期]=表成绩单[[#This Row],[考试日期]])*(表成绩单[化学]&lt;9E+307)*(表成绩单[化学]&gt;表成绩单[[#This Row],[化学]]))+1)</f>
        <v>559</v>
      </c>
      <c r="U539" s="29" cm="1">
        <f t="array" ref="U539">IF(表成绩单[[#This Row],[政治]]="","",SUMPRODUCT((表成绩单[考试日期]=表成绩单[[#This Row],[考试日期]])*(表成绩单[政治]&lt;9E+307)*(表成绩单[政治]&gt;表成绩单[[#This Row],[政治]]))+1)</f>
        <v>644</v>
      </c>
      <c r="V539" s="29" cm="1">
        <f t="array" ref="V539">IF(表成绩单[[#This Row],[历史]]="","",SUMPRODUCT((表成绩单[考试日期]=表成绩单[[#This Row],[考试日期]])*(表成绩单[历史]&lt;9E+307)*(表成绩单[历史]&gt;表成绩单[[#This Row],[历史]]))+1)</f>
        <v>395</v>
      </c>
      <c r="W539" s="29" cm="1">
        <f t="array" ref="W539">IF(表成绩单[[#This Row],[总分]]="","",SUMPRODUCT((表成绩单[考试日期]=表成绩单[[#This Row],[考试日期]])*(表成绩单[总分]&lt;9E+307)*(表成绩单[总分]&gt;表成绩单[[#This Row],[总分]]))+1)</f>
        <v>535</v>
      </c>
    </row>
    <row r="540" ht="28" customHeight="1" spans="4:23">
      <c r="D540" s="31">
        <v>45975</v>
      </c>
      <c r="E540" s="29">
        <v>19178591</v>
      </c>
      <c r="F540" s="29" t="s">
        <v>64</v>
      </c>
      <c r="G540" s="29" t="s">
        <v>613</v>
      </c>
      <c r="H540" s="29">
        <v>92</v>
      </c>
      <c r="I540" s="29">
        <v>95</v>
      </c>
      <c r="J540" s="29">
        <v>63</v>
      </c>
      <c r="K540" s="29">
        <v>86</v>
      </c>
      <c r="L540" s="29">
        <v>70</v>
      </c>
      <c r="M540" s="29">
        <v>62</v>
      </c>
      <c r="N540" s="29">
        <v>68</v>
      </c>
      <c r="O540" s="32">
        <v>536</v>
      </c>
      <c r="P540" s="29" cm="1">
        <f t="array" ref="P540">IF(表成绩单[[#This Row],[语文]]="","",SUMPRODUCT((表成绩单[考试日期]=表成绩单[[#This Row],[考试日期]])*(表成绩单[语文]&lt;9E+307)*(表成绩单[语文]&gt;表成绩单[[#This Row],[语文]]))+1)</f>
        <v>517</v>
      </c>
      <c r="Q540" s="29" cm="1">
        <f t="array" ref="Q540">IF(表成绩单[[#This Row],[数学]]="","",SUMPRODUCT((表成绩单[考试日期]=表成绩单[[#This Row],[考试日期]])*(表成绩单[数学]&lt;9E+307)*(表成绩单[数学]&gt;表成绩单[[#This Row],[数学]]))+1)</f>
        <v>430</v>
      </c>
      <c r="R540" s="29" cm="1">
        <f t="array" ref="R540">IF(表成绩单[[#This Row],[英语]]="","",SUMPRODUCT((表成绩单[考试日期]=表成绩单[[#This Row],[考试日期]])*(表成绩单[英语]&lt;9E+307)*(表成绩单[英语]&gt;表成绩单[[#This Row],[英语]]))+1)</f>
        <v>642</v>
      </c>
      <c r="S540" s="29" cm="1">
        <f t="array" ref="S540">IF(表成绩单[[#This Row],[物理]]="","",SUMPRODUCT((表成绩单[考试日期]=表成绩单[[#This Row],[考试日期]])*(表成绩单[物理]&lt;9E+307)*(表成绩单[物理]&gt;表成绩单[[#This Row],[物理]]))+1)</f>
        <v>187</v>
      </c>
      <c r="T540" s="29" cm="1">
        <f t="array" ref="T540">IF(表成绩单[[#This Row],[化学]]="","",SUMPRODUCT((表成绩单[考试日期]=表成绩单[[#This Row],[考试日期]])*(表成绩单[化学]&lt;9E+307)*(表成绩单[化学]&gt;表成绩单[[#This Row],[化学]]))+1)</f>
        <v>453</v>
      </c>
      <c r="U540" s="29" cm="1">
        <f t="array" ref="U540">IF(表成绩单[[#This Row],[政治]]="","",SUMPRODUCT((表成绩单[考试日期]=表成绩单[[#This Row],[考试日期]])*(表成绩单[政治]&lt;9E+307)*(表成绩单[政治]&gt;表成绩单[[#This Row],[政治]]))+1)</f>
        <v>628</v>
      </c>
      <c r="V540" s="29" cm="1">
        <f t="array" ref="V540">IF(表成绩单[[#This Row],[历史]]="","",SUMPRODUCT((表成绩单[考试日期]=表成绩单[[#This Row],[考试日期]])*(表成绩单[历史]&lt;9E+307)*(表成绩单[历史]&gt;表成绩单[[#This Row],[历史]]))+1)</f>
        <v>571</v>
      </c>
      <c r="W540" s="29" cm="1">
        <f t="array" ref="W540">IF(表成绩单[[#This Row],[总分]]="","",SUMPRODUCT((表成绩单[考试日期]=表成绩单[[#This Row],[考试日期]])*(表成绩单[总分]&lt;9E+307)*(表成绩单[总分]&gt;表成绩单[[#This Row],[总分]]))+1)</f>
        <v>535</v>
      </c>
    </row>
    <row r="541" ht="28" customHeight="1" spans="4:23">
      <c r="D541" s="31">
        <v>45975</v>
      </c>
      <c r="E541" s="29">
        <v>19175995</v>
      </c>
      <c r="F541" s="29" t="s">
        <v>59</v>
      </c>
      <c r="G541" s="29" t="s">
        <v>614</v>
      </c>
      <c r="H541" s="29">
        <v>97</v>
      </c>
      <c r="I541" s="29">
        <v>98</v>
      </c>
      <c r="J541" s="29">
        <v>52</v>
      </c>
      <c r="K541" s="29">
        <v>81</v>
      </c>
      <c r="L541" s="29">
        <v>73</v>
      </c>
      <c r="M541" s="29">
        <v>66</v>
      </c>
      <c r="N541" s="29">
        <v>68</v>
      </c>
      <c r="O541" s="32">
        <v>535</v>
      </c>
      <c r="P541" s="29" cm="1">
        <f t="array" ref="P541">IF(表成绩单[[#This Row],[语文]]="","",SUMPRODUCT((表成绩单[考试日期]=表成绩单[[#This Row],[考试日期]])*(表成绩单[语文]&lt;9E+307)*(表成绩单[语文]&gt;表成绩单[[#This Row],[语文]]))+1)</f>
        <v>349</v>
      </c>
      <c r="Q541" s="29" cm="1">
        <f t="array" ref="Q541">IF(表成绩单[[#This Row],[数学]]="","",SUMPRODUCT((表成绩单[考试日期]=表成绩单[[#This Row],[考试日期]])*(表成绩单[数学]&lt;9E+307)*(表成绩单[数学]&gt;表成绩单[[#This Row],[数学]]))+1)</f>
        <v>374</v>
      </c>
      <c r="R541" s="29" cm="1">
        <f t="array" ref="R541">IF(表成绩单[[#This Row],[英语]]="","",SUMPRODUCT((表成绩单[考试日期]=表成绩单[[#This Row],[考试日期]])*(表成绩单[英语]&lt;9E+307)*(表成绩单[英语]&gt;表成绩单[[#This Row],[英语]]))+1)</f>
        <v>714</v>
      </c>
      <c r="S541" s="29" cm="1">
        <f t="array" ref="S541">IF(表成绩单[[#This Row],[物理]]="","",SUMPRODUCT((表成绩单[考试日期]=表成绩单[[#This Row],[考试日期]])*(表成绩单[物理]&lt;9E+307)*(表成绩单[物理]&gt;表成绩单[[#This Row],[物理]]))+1)</f>
        <v>474</v>
      </c>
      <c r="T541" s="29" cm="1">
        <f t="array" ref="T541">IF(表成绩单[[#This Row],[化学]]="","",SUMPRODUCT((表成绩单[考试日期]=表成绩单[[#This Row],[考试日期]])*(表成绩单[化学]&lt;9E+307)*(表成绩单[化学]&gt;表成绩单[[#This Row],[化学]]))+1)</f>
        <v>365</v>
      </c>
      <c r="U541" s="29" cm="1">
        <f t="array" ref="U541">IF(表成绩单[[#This Row],[政治]]="","",SUMPRODUCT((表成绩单[考试日期]=表成绩单[[#This Row],[考试日期]])*(表成绩单[政治]&lt;9E+307)*(表成绩单[政治]&gt;表成绩单[[#This Row],[政治]]))+1)</f>
        <v>555</v>
      </c>
      <c r="V541" s="29" cm="1">
        <f t="array" ref="V541">IF(表成绩单[[#This Row],[历史]]="","",SUMPRODUCT((表成绩单[考试日期]=表成绩单[[#This Row],[考试日期]])*(表成绩单[历史]&lt;9E+307)*(表成绩单[历史]&gt;表成绩单[[#This Row],[历史]]))+1)</f>
        <v>571</v>
      </c>
      <c r="W541" s="29" cm="1">
        <f t="array" ref="W541">IF(表成绩单[[#This Row],[总分]]="","",SUMPRODUCT((表成绩单[考试日期]=表成绩单[[#This Row],[考试日期]])*(表成绩单[总分]&lt;9E+307)*(表成绩单[总分]&gt;表成绩单[[#This Row],[总分]]))+1)</f>
        <v>537</v>
      </c>
    </row>
    <row r="542" ht="28" customHeight="1" spans="4:23">
      <c r="D542" s="31">
        <v>45975</v>
      </c>
      <c r="E542" s="29">
        <v>19178588</v>
      </c>
      <c r="F542" s="29" t="s">
        <v>64</v>
      </c>
      <c r="G542" s="29" t="s">
        <v>615</v>
      </c>
      <c r="H542" s="29">
        <v>98</v>
      </c>
      <c r="I542" s="29">
        <v>94</v>
      </c>
      <c r="J542" s="29">
        <v>71</v>
      </c>
      <c r="K542" s="29">
        <v>81</v>
      </c>
      <c r="L542" s="29">
        <v>66</v>
      </c>
      <c r="M542" s="29">
        <v>59</v>
      </c>
      <c r="N542" s="29">
        <v>66</v>
      </c>
      <c r="O542" s="32">
        <v>535</v>
      </c>
      <c r="P542" s="29" cm="1">
        <f t="array" ref="P542">IF(表成绩单[[#This Row],[语文]]="","",SUMPRODUCT((表成绩单[考试日期]=表成绩单[[#This Row],[考试日期]])*(表成绩单[语文]&lt;9E+307)*(表成绩单[语文]&gt;表成绩单[[#This Row],[语文]]))+1)</f>
        <v>305</v>
      </c>
      <c r="Q542" s="29" cm="1">
        <f t="array" ref="Q542">IF(表成绩单[[#This Row],[数学]]="","",SUMPRODUCT((表成绩单[考试日期]=表成绩单[[#This Row],[考试日期]])*(表成绩单[数学]&lt;9E+307)*(表成绩单[数学]&gt;表成绩单[[#This Row],[数学]]))+1)</f>
        <v>454</v>
      </c>
      <c r="R542" s="29" cm="1">
        <f t="array" ref="R542">IF(表成绩单[[#This Row],[英语]]="","",SUMPRODUCT((表成绩单[考试日期]=表成绩单[[#This Row],[考试日期]])*(表成绩单[英语]&lt;9E+307)*(表成绩单[英语]&gt;表成绩单[[#This Row],[英语]]))+1)</f>
        <v>534</v>
      </c>
      <c r="S542" s="29" cm="1">
        <f t="array" ref="S542">IF(表成绩单[[#This Row],[物理]]="","",SUMPRODUCT((表成绩单[考试日期]=表成绩单[[#This Row],[考试日期]])*(表成绩单[物理]&lt;9E+307)*(表成绩单[物理]&gt;表成绩单[[#This Row],[物理]]))+1)</f>
        <v>474</v>
      </c>
      <c r="T542" s="29" cm="1">
        <f t="array" ref="T542">IF(表成绩单[[#This Row],[化学]]="","",SUMPRODUCT((表成绩单[考试日期]=表成绩单[[#This Row],[考试日期]])*(表成绩单[化学]&lt;9E+307)*(表成绩单[化学]&gt;表成绩单[[#This Row],[化学]]))+1)</f>
        <v>542</v>
      </c>
      <c r="U542" s="29" cm="1">
        <f t="array" ref="U542">IF(表成绩单[[#This Row],[政治]]="","",SUMPRODUCT((表成绩单[考试日期]=表成绩单[[#This Row],[考试日期]])*(表成绩单[政治]&lt;9E+307)*(表成绩单[政治]&gt;表成绩单[[#This Row],[政治]]))+1)</f>
        <v>681</v>
      </c>
      <c r="V542" s="29" cm="1">
        <f t="array" ref="V542">IF(表成绩单[[#This Row],[历史]]="","",SUMPRODUCT((表成绩单[考试日期]=表成绩单[[#This Row],[考试日期]])*(表成绩单[历史]&lt;9E+307)*(表成绩单[历史]&gt;表成绩单[[#This Row],[历史]]))+1)</f>
        <v>622</v>
      </c>
      <c r="W542" s="29" cm="1">
        <f t="array" ref="W542">IF(表成绩单[[#This Row],[总分]]="","",SUMPRODUCT((表成绩单[考试日期]=表成绩单[[#This Row],[考试日期]])*(表成绩单[总分]&lt;9E+307)*(表成绩单[总分]&gt;表成绩单[[#This Row],[总分]]))+1)</f>
        <v>537</v>
      </c>
    </row>
    <row r="543" ht="28" customHeight="1" spans="4:23">
      <c r="D543" s="31">
        <v>45975</v>
      </c>
      <c r="E543" s="29">
        <v>19178609</v>
      </c>
      <c r="F543" s="29" t="s">
        <v>25</v>
      </c>
      <c r="G543" s="29" t="s">
        <v>616</v>
      </c>
      <c r="H543" s="29">
        <v>98</v>
      </c>
      <c r="I543" s="29">
        <v>79</v>
      </c>
      <c r="J543" s="29">
        <v>60</v>
      </c>
      <c r="K543" s="29">
        <v>80</v>
      </c>
      <c r="L543" s="29">
        <v>69</v>
      </c>
      <c r="M543" s="29">
        <v>77</v>
      </c>
      <c r="N543" s="29">
        <v>72</v>
      </c>
      <c r="O543" s="32">
        <v>535</v>
      </c>
      <c r="P543" s="29" cm="1">
        <f t="array" ref="P543">IF(表成绩单[[#This Row],[语文]]="","",SUMPRODUCT((表成绩单[考试日期]=表成绩单[[#This Row],[考试日期]])*(表成绩单[语文]&lt;9E+307)*(表成绩单[语文]&gt;表成绩单[[#This Row],[语文]]))+1)</f>
        <v>305</v>
      </c>
      <c r="Q543" s="29" cm="1">
        <f t="array" ref="Q543">IF(表成绩单[[#This Row],[数学]]="","",SUMPRODUCT((表成绩单[考试日期]=表成绩单[[#This Row],[考试日期]])*(表成绩单[数学]&lt;9E+307)*(表成绩单[数学]&gt;表成绩单[[#This Row],[数学]]))+1)</f>
        <v>639</v>
      </c>
      <c r="R543" s="29" cm="1">
        <f t="array" ref="R543">IF(表成绩单[[#This Row],[英语]]="","",SUMPRODUCT((表成绩单[考试日期]=表成绩单[[#This Row],[考试日期]])*(表成绩单[英语]&lt;9E+307)*(表成绩单[英语]&gt;表成绩单[[#This Row],[英语]]))+1)</f>
        <v>668</v>
      </c>
      <c r="S543" s="29" cm="1">
        <f t="array" ref="S543">IF(表成绩单[[#This Row],[物理]]="","",SUMPRODUCT((表成绩单[考试日期]=表成绩单[[#This Row],[考试日期]])*(表成绩单[物理]&lt;9E+307)*(表成绩单[物理]&gt;表成绩单[[#This Row],[物理]]))+1)</f>
        <v>507</v>
      </c>
      <c r="T543" s="29" cm="1">
        <f t="array" ref="T543">IF(表成绩单[[#This Row],[化学]]="","",SUMPRODUCT((表成绩单[考试日期]=表成绩单[[#This Row],[考试日期]])*(表成绩单[化学]&lt;9E+307)*(表成绩单[化学]&gt;表成绩单[[#This Row],[化学]]))+1)</f>
        <v>478</v>
      </c>
      <c r="U543" s="29" cm="1">
        <f t="array" ref="U543">IF(表成绩单[[#This Row],[政治]]="","",SUMPRODUCT((表成绩单[考试日期]=表成绩单[[#This Row],[考试日期]])*(表成绩单[政治]&lt;9E+307)*(表成绩单[政治]&gt;表成绩单[[#This Row],[政治]]))+1)</f>
        <v>304</v>
      </c>
      <c r="V543" s="29" cm="1">
        <f t="array" ref="V543">IF(表成绩单[[#This Row],[历史]]="","",SUMPRODUCT((表成绩单[考试日期]=表成绩单[[#This Row],[考试日期]])*(表成绩单[历史]&lt;9E+307)*(表成绩单[历史]&gt;表成绩单[[#This Row],[历史]]))+1)</f>
        <v>438</v>
      </c>
      <c r="W543" s="29" cm="1">
        <f t="array" ref="W543">IF(表成绩单[[#This Row],[总分]]="","",SUMPRODUCT((表成绩单[考试日期]=表成绩单[[#This Row],[考试日期]])*(表成绩单[总分]&lt;9E+307)*(表成绩单[总分]&gt;表成绩单[[#This Row],[总分]]))+1)</f>
        <v>537</v>
      </c>
    </row>
    <row r="544" ht="28" customHeight="1" spans="4:23">
      <c r="D544" s="31">
        <v>45975</v>
      </c>
      <c r="E544" s="29">
        <v>19178648</v>
      </c>
      <c r="F544" s="29" t="s">
        <v>25</v>
      </c>
      <c r="G544" s="29" t="s">
        <v>617</v>
      </c>
      <c r="H544" s="29">
        <v>84</v>
      </c>
      <c r="I544" s="29">
        <v>92</v>
      </c>
      <c r="J544" s="29">
        <v>73</v>
      </c>
      <c r="K544" s="29">
        <v>85</v>
      </c>
      <c r="L544" s="29">
        <v>61</v>
      </c>
      <c r="M544" s="29">
        <v>73</v>
      </c>
      <c r="N544" s="29">
        <v>67</v>
      </c>
      <c r="O544" s="32">
        <v>535</v>
      </c>
      <c r="P544" s="29" cm="1">
        <f t="array" ref="P544">IF(表成绩单[[#This Row],[语文]]="","",SUMPRODUCT((表成绩单[考试日期]=表成绩单[[#This Row],[考试日期]])*(表成绩单[语文]&lt;9E+307)*(表成绩单[语文]&gt;表成绩单[[#This Row],[语文]]))+1)</f>
        <v>659</v>
      </c>
      <c r="Q544" s="29" cm="1">
        <f t="array" ref="Q544">IF(表成绩单[[#This Row],[数学]]="","",SUMPRODUCT((表成绩单[考试日期]=表成绩单[[#This Row],[考试日期]])*(表成绩单[数学]&lt;9E+307)*(表成绩单[数学]&gt;表成绩单[[#This Row],[数学]]))+1)</f>
        <v>480</v>
      </c>
      <c r="R544" s="29" cm="1">
        <f t="array" ref="R544">IF(表成绩单[[#This Row],[英语]]="","",SUMPRODUCT((表成绩单[考试日期]=表成绩单[[#This Row],[考试日期]])*(表成绩单[英语]&lt;9E+307)*(表成绩单[英语]&gt;表成绩单[[#This Row],[英语]]))+1)</f>
        <v>485</v>
      </c>
      <c r="S544" s="29" cm="1">
        <f t="array" ref="S544">IF(表成绩单[[#This Row],[物理]]="","",SUMPRODUCT((表成绩单[考试日期]=表成绩单[[#This Row],[考试日期]])*(表成绩单[物理]&lt;9E+307)*(表成绩单[物理]&gt;表成绩单[[#This Row],[物理]]))+1)</f>
        <v>263</v>
      </c>
      <c r="T544" s="29" cm="1">
        <f t="array" ref="T544">IF(表成绩单[[#This Row],[化学]]="","",SUMPRODUCT((表成绩单[考试日期]=表成绩单[[#This Row],[考试日期]])*(表成绩单[化学]&lt;9E+307)*(表成绩单[化学]&gt;表成绩单[[#This Row],[化学]]))+1)</f>
        <v>625</v>
      </c>
      <c r="U544" s="29" cm="1">
        <f t="array" ref="U544">IF(表成绩单[[#This Row],[政治]]="","",SUMPRODUCT((表成绩单[考试日期]=表成绩单[[#This Row],[考试日期]])*(表成绩单[政治]&lt;9E+307)*(表成绩单[政治]&gt;表成绩单[[#This Row],[政治]]))+1)</f>
        <v>418</v>
      </c>
      <c r="V544" s="29" cm="1">
        <f t="array" ref="V544">IF(表成绩单[[#This Row],[历史]]="","",SUMPRODUCT((表成绩单[考试日期]=表成绩单[[#This Row],[考试日期]])*(表成绩单[历史]&lt;9E+307)*(表成绩单[历史]&gt;表成绩单[[#This Row],[历史]]))+1)</f>
        <v>597</v>
      </c>
      <c r="W544" s="29" cm="1">
        <f t="array" ref="W544">IF(表成绩单[[#This Row],[总分]]="","",SUMPRODUCT((表成绩单[考试日期]=表成绩单[[#This Row],[考试日期]])*(表成绩单[总分]&lt;9E+307)*(表成绩单[总分]&gt;表成绩单[[#This Row],[总分]]))+1)</f>
        <v>537</v>
      </c>
    </row>
    <row r="545" ht="28" customHeight="1" spans="4:23">
      <c r="D545" s="31">
        <v>45975</v>
      </c>
      <c r="E545" s="29">
        <v>19177626</v>
      </c>
      <c r="F545" s="29" t="s">
        <v>58</v>
      </c>
      <c r="G545" s="29" t="s">
        <v>618</v>
      </c>
      <c r="H545" s="29">
        <v>88</v>
      </c>
      <c r="I545" s="29">
        <v>88</v>
      </c>
      <c r="J545" s="29">
        <v>75.5</v>
      </c>
      <c r="K545" s="29">
        <v>75</v>
      </c>
      <c r="L545" s="29">
        <v>70</v>
      </c>
      <c r="M545" s="29">
        <v>68</v>
      </c>
      <c r="N545" s="29">
        <v>70</v>
      </c>
      <c r="O545" s="32">
        <v>534.5</v>
      </c>
      <c r="P545" s="29" cm="1">
        <f t="array" ref="P545">IF(表成绩单[[#This Row],[语文]]="","",SUMPRODUCT((表成绩单[考试日期]=表成绩单[[#This Row],[考试日期]])*(表成绩单[语文]&lt;9E+307)*(表成绩单[语文]&gt;表成绩单[[#This Row],[语文]]))+1)</f>
        <v>595</v>
      </c>
      <c r="Q545" s="29" cm="1">
        <f t="array" ref="Q545">IF(表成绩单[[#This Row],[数学]]="","",SUMPRODUCT((表成绩单[考试日期]=表成绩单[[#This Row],[考试日期]])*(表成绩单[数学]&lt;9E+307)*(表成绩单[数学]&gt;表成绩单[[#This Row],[数学]]))+1)</f>
        <v>527</v>
      </c>
      <c r="R545" s="29" cm="1">
        <f t="array" ref="R545">IF(表成绩单[[#This Row],[英语]]="","",SUMPRODUCT((表成绩单[考试日期]=表成绩单[[#This Row],[考试日期]])*(表成绩单[英语]&lt;9E+307)*(表成绩单[英语]&gt;表成绩单[[#This Row],[英语]]))+1)</f>
        <v>418</v>
      </c>
      <c r="S545" s="29" cm="1">
        <f t="array" ref="S545">IF(表成绩单[[#This Row],[物理]]="","",SUMPRODUCT((表成绩单[考试日期]=表成绩单[[#This Row],[考试日期]])*(表成绩单[物理]&lt;9E+307)*(表成绩单[物理]&gt;表成绩单[[#This Row],[物理]]))+1)</f>
        <v>601</v>
      </c>
      <c r="T545" s="29" cm="1">
        <f t="array" ref="T545">IF(表成绩单[[#This Row],[化学]]="","",SUMPRODUCT((表成绩单[考试日期]=表成绩单[[#This Row],[考试日期]])*(表成绩单[化学]&lt;9E+307)*(表成绩单[化学]&gt;表成绩单[[#This Row],[化学]]))+1)</f>
        <v>453</v>
      </c>
      <c r="U545" s="29" cm="1">
        <f t="array" ref="U545">IF(表成绩单[[#This Row],[政治]]="","",SUMPRODUCT((表成绩单[考试日期]=表成绩单[[#This Row],[考试日期]])*(表成绩单[政治]&lt;9E+307)*(表成绩单[政治]&gt;表成绩单[[#This Row],[政治]]))+1)</f>
        <v>527</v>
      </c>
      <c r="V545" s="29" cm="1">
        <f t="array" ref="V545">IF(表成绩单[[#This Row],[历史]]="","",SUMPRODUCT((表成绩单[考试日期]=表成绩单[[#This Row],[考试日期]])*(表成绩单[历史]&lt;9E+307)*(表成绩单[历史]&gt;表成绩单[[#This Row],[历史]]))+1)</f>
        <v>505</v>
      </c>
      <c r="W545" s="29" cm="1">
        <f t="array" ref="W545">IF(表成绩单[[#This Row],[总分]]="","",SUMPRODUCT((表成绩单[考试日期]=表成绩单[[#This Row],[考试日期]])*(表成绩单[总分]&lt;9E+307)*(表成绩单[总分]&gt;表成绩单[[#This Row],[总分]]))+1)</f>
        <v>541</v>
      </c>
    </row>
    <row r="546" ht="28" customHeight="1" spans="4:23">
      <c r="D546" s="31">
        <v>45975</v>
      </c>
      <c r="E546" s="29">
        <v>19178641</v>
      </c>
      <c r="F546" s="29" t="s">
        <v>25</v>
      </c>
      <c r="G546" s="29" t="s">
        <v>619</v>
      </c>
      <c r="H546" s="29">
        <v>93</v>
      </c>
      <c r="I546" s="29">
        <v>71</v>
      </c>
      <c r="J546" s="29">
        <v>73.5</v>
      </c>
      <c r="K546" s="29">
        <v>78</v>
      </c>
      <c r="L546" s="29">
        <v>78</v>
      </c>
      <c r="M546" s="29">
        <v>69</v>
      </c>
      <c r="N546" s="29">
        <v>72</v>
      </c>
      <c r="O546" s="32">
        <v>534.5</v>
      </c>
      <c r="P546" s="29" cm="1">
        <f t="array" ref="P546">IF(表成绩单[[#This Row],[语文]]="","",SUMPRODUCT((表成绩单[考试日期]=表成绩单[[#This Row],[考试日期]])*(表成绩单[语文]&lt;9E+307)*(表成绩单[语文]&gt;表成绩单[[#This Row],[语文]]))+1)</f>
        <v>489</v>
      </c>
      <c r="Q546" s="29" cm="1">
        <f t="array" ref="Q546">IF(表成绩单[[#This Row],[数学]]="","",SUMPRODUCT((表成绩单[考试日期]=表成绩单[[#This Row],[考试日期]])*(表成绩单[数学]&lt;9E+307)*(表成绩单[数学]&gt;表成绩单[[#This Row],[数学]]))+1)</f>
        <v>679</v>
      </c>
      <c r="R546" s="29" cm="1">
        <f t="array" ref="R546">IF(表成绩单[[#This Row],[英语]]="","",SUMPRODUCT((表成绩单[考试日期]=表成绩单[[#This Row],[考试日期]])*(表成绩单[英语]&lt;9E+307)*(表成绩单[英语]&gt;表成绩单[[#This Row],[英语]]))+1)</f>
        <v>470</v>
      </c>
      <c r="S546" s="29" cm="1">
        <f t="array" ref="S546">IF(表成绩单[[#This Row],[物理]]="","",SUMPRODUCT((表成绩单[考试日期]=表成绩单[[#This Row],[考试日期]])*(表成绩单[物理]&lt;9E+307)*(表成绩单[物理]&gt;表成绩单[[#This Row],[物理]]))+1)</f>
        <v>554</v>
      </c>
      <c r="T546" s="29" cm="1">
        <f t="array" ref="T546">IF(表成绩单[[#This Row],[化学]]="","",SUMPRODUCT((表成绩单[考试日期]=表成绩单[[#This Row],[考试日期]])*(表成绩单[化学]&lt;9E+307)*(表成绩单[化学]&gt;表成绩单[[#This Row],[化学]]))+1)</f>
        <v>200</v>
      </c>
      <c r="U546" s="29" cm="1">
        <f t="array" ref="U546">IF(表成绩单[[#This Row],[政治]]="","",SUMPRODUCT((表成绩单[考试日期]=表成绩单[[#This Row],[考试日期]])*(表成绩单[政治]&lt;9E+307)*(表成绩单[政治]&gt;表成绩单[[#This Row],[政治]]))+1)</f>
        <v>507</v>
      </c>
      <c r="V546" s="29" cm="1">
        <f t="array" ref="V546">IF(表成绩单[[#This Row],[历史]]="","",SUMPRODUCT((表成绩单[考试日期]=表成绩单[[#This Row],[考试日期]])*(表成绩单[历史]&lt;9E+307)*(表成绩单[历史]&gt;表成绩单[[#This Row],[历史]]))+1)</f>
        <v>438</v>
      </c>
      <c r="W546" s="29" cm="1">
        <f t="array" ref="W546">IF(表成绩单[[#This Row],[总分]]="","",SUMPRODUCT((表成绩单[考试日期]=表成绩单[[#This Row],[考试日期]])*(表成绩单[总分]&lt;9E+307)*(表成绩单[总分]&gt;表成绩单[[#This Row],[总分]]))+1)</f>
        <v>541</v>
      </c>
    </row>
    <row r="547" ht="28" customHeight="1" spans="4:23">
      <c r="D547" s="31">
        <v>45975</v>
      </c>
      <c r="E547" s="29">
        <v>19173276</v>
      </c>
      <c r="F547" s="29" t="s">
        <v>61</v>
      </c>
      <c r="G547" s="29" t="s">
        <v>620</v>
      </c>
      <c r="H547" s="29">
        <v>86</v>
      </c>
      <c r="I547" s="29">
        <v>87</v>
      </c>
      <c r="J547" s="29">
        <v>71</v>
      </c>
      <c r="K547" s="29">
        <v>77</v>
      </c>
      <c r="L547" s="29">
        <v>61</v>
      </c>
      <c r="M547" s="29">
        <v>77</v>
      </c>
      <c r="N547" s="29">
        <v>75</v>
      </c>
      <c r="O547" s="32">
        <v>534</v>
      </c>
      <c r="P547" s="29" cm="1">
        <f t="array" ref="P547">IF(表成绩单[[#This Row],[语文]]="","",SUMPRODUCT((表成绩单[考试日期]=表成绩单[[#This Row],[考试日期]])*(表成绩单[语文]&lt;9E+307)*(表成绩单[语文]&gt;表成绩单[[#This Row],[语文]]))+1)</f>
        <v>635</v>
      </c>
      <c r="Q547" s="29" cm="1">
        <f t="array" ref="Q547">IF(表成绩单[[#This Row],[数学]]="","",SUMPRODUCT((表成绩单[考试日期]=表成绩单[[#This Row],[考试日期]])*(表成绩单[数学]&lt;9E+307)*(表成绩单[数学]&gt;表成绩单[[#This Row],[数学]]))+1)</f>
        <v>547</v>
      </c>
      <c r="R547" s="29" cm="1">
        <f t="array" ref="R547">IF(表成绩单[[#This Row],[英语]]="","",SUMPRODUCT((表成绩单[考试日期]=表成绩单[[#This Row],[考试日期]])*(表成绩单[英语]&lt;9E+307)*(表成绩单[英语]&gt;表成绩单[[#This Row],[英语]]))+1)</f>
        <v>534</v>
      </c>
      <c r="S547" s="29" cm="1">
        <f t="array" ref="S547">IF(表成绩单[[#This Row],[物理]]="","",SUMPRODUCT((表成绩单[考试日期]=表成绩单[[#This Row],[考试日期]])*(表成绩单[物理]&lt;9E+307)*(表成绩单[物理]&gt;表成绩单[[#This Row],[物理]]))+1)</f>
        <v>572</v>
      </c>
      <c r="T547" s="29" cm="1">
        <f t="array" ref="T547">IF(表成绩单[[#This Row],[化学]]="","",SUMPRODUCT((表成绩单[考试日期]=表成绩单[[#This Row],[考试日期]])*(表成绩单[化学]&lt;9E+307)*(表成绩单[化学]&gt;表成绩单[[#This Row],[化学]]))+1)</f>
        <v>625</v>
      </c>
      <c r="U547" s="29" cm="1">
        <f t="array" ref="U547">IF(表成绩单[[#This Row],[政治]]="","",SUMPRODUCT((表成绩单[考试日期]=表成绩单[[#This Row],[考试日期]])*(表成绩单[政治]&lt;9E+307)*(表成绩单[政治]&gt;表成绩单[[#This Row],[政治]]))+1)</f>
        <v>304</v>
      </c>
      <c r="V547" s="29" cm="1">
        <f t="array" ref="V547">IF(表成绩单[[#This Row],[历史]]="","",SUMPRODUCT((表成绩单[考试日期]=表成绩单[[#This Row],[考试日期]])*(表成绩单[历史]&lt;9E+307)*(表成绩单[历史]&gt;表成绩单[[#This Row],[历史]]))+1)</f>
        <v>315</v>
      </c>
      <c r="W547" s="29" cm="1">
        <f t="array" ref="W547">IF(表成绩单[[#This Row],[总分]]="","",SUMPRODUCT((表成绩单[考试日期]=表成绩单[[#This Row],[考试日期]])*(表成绩单[总分]&lt;9E+307)*(表成绩单[总分]&gt;表成绩单[[#This Row],[总分]]))+1)</f>
        <v>543</v>
      </c>
    </row>
    <row r="548" ht="28" customHeight="1" spans="4:23">
      <c r="D548" s="31">
        <v>45975</v>
      </c>
      <c r="E548" s="29">
        <v>19175318</v>
      </c>
      <c r="F548" s="29" t="s">
        <v>55</v>
      </c>
      <c r="G548" s="29" t="s">
        <v>621</v>
      </c>
      <c r="H548" s="29">
        <v>95</v>
      </c>
      <c r="I548" s="29">
        <v>91</v>
      </c>
      <c r="J548" s="29">
        <v>58</v>
      </c>
      <c r="K548" s="29">
        <v>82</v>
      </c>
      <c r="L548" s="29">
        <v>75</v>
      </c>
      <c r="M548" s="29">
        <v>65</v>
      </c>
      <c r="N548" s="29">
        <v>68</v>
      </c>
      <c r="O548" s="32">
        <v>534</v>
      </c>
      <c r="P548" s="29" cm="1">
        <f t="array" ref="P548">IF(表成绩单[[#This Row],[语文]]="","",SUMPRODUCT((表成绩单[考试日期]=表成绩单[[#This Row],[考试日期]])*(表成绩单[语文]&lt;9E+307)*(表成绩单[语文]&gt;表成绩单[[#This Row],[语文]]))+1)</f>
        <v>420</v>
      </c>
      <c r="Q548" s="29" cm="1">
        <f t="array" ref="Q548">IF(表成绩单[[#This Row],[数学]]="","",SUMPRODUCT((表成绩单[考试日期]=表成绩单[[#This Row],[考试日期]])*(表成绩单[数学]&lt;9E+307)*(表成绩单[数学]&gt;表成绩单[[#This Row],[数学]]))+1)</f>
        <v>495</v>
      </c>
      <c r="R548" s="29" cm="1">
        <f t="array" ref="R548">IF(表成绩单[[#This Row],[英语]]="","",SUMPRODUCT((表成绩单[考试日期]=表成绩单[[#This Row],[考试日期]])*(表成绩单[英语]&lt;9E+307)*(表成绩单[英语]&gt;表成绩单[[#This Row],[英语]]))+1)</f>
        <v>685</v>
      </c>
      <c r="S548" s="29" cm="1">
        <f t="array" ref="S548">IF(表成绩单[[#This Row],[物理]]="","",SUMPRODUCT((表成绩单[考试日期]=表成绩单[[#This Row],[考试日期]])*(表成绩单[物理]&lt;9E+307)*(表成绩单[物理]&gt;表成绩单[[#This Row],[物理]]))+1)</f>
        <v>433</v>
      </c>
      <c r="T548" s="29" cm="1">
        <f t="array" ref="T548">IF(表成绩单[[#This Row],[化学]]="","",SUMPRODUCT((表成绩单[考试日期]=表成绩单[[#This Row],[考试日期]])*(表成绩单[化学]&lt;9E+307)*(表成绩单[化学]&gt;表成绩单[[#This Row],[化学]]))+1)</f>
        <v>310</v>
      </c>
      <c r="U548" s="29" cm="1">
        <f t="array" ref="U548">IF(表成绩单[[#This Row],[政治]]="","",SUMPRODUCT((表成绩单[考试日期]=表成绩单[[#This Row],[考试日期]])*(表成绩单[政治]&lt;9E+307)*(表成绩单[政治]&gt;表成绩单[[#This Row],[政治]]))+1)</f>
        <v>579</v>
      </c>
      <c r="V548" s="29" cm="1">
        <f t="array" ref="V548">IF(表成绩单[[#This Row],[历史]]="","",SUMPRODUCT((表成绩单[考试日期]=表成绩单[[#This Row],[考试日期]])*(表成绩单[历史]&lt;9E+307)*(表成绩单[历史]&gt;表成绩单[[#This Row],[历史]]))+1)</f>
        <v>571</v>
      </c>
      <c r="W548" s="29" cm="1">
        <f t="array" ref="W548">IF(表成绩单[[#This Row],[总分]]="","",SUMPRODUCT((表成绩单[考试日期]=表成绩单[[#This Row],[考试日期]])*(表成绩单[总分]&lt;9E+307)*(表成绩单[总分]&gt;表成绩单[[#This Row],[总分]]))+1)</f>
        <v>543</v>
      </c>
    </row>
    <row r="549" ht="28" customHeight="1" spans="4:23">
      <c r="D549" s="31">
        <v>45975</v>
      </c>
      <c r="E549" s="29">
        <v>19175622</v>
      </c>
      <c r="F549" s="29" t="s">
        <v>57</v>
      </c>
      <c r="G549" s="29" t="s">
        <v>622</v>
      </c>
      <c r="H549" s="29">
        <v>95</v>
      </c>
      <c r="I549" s="29">
        <v>87</v>
      </c>
      <c r="J549" s="29">
        <v>49</v>
      </c>
      <c r="K549" s="29">
        <v>80</v>
      </c>
      <c r="L549" s="29">
        <v>76</v>
      </c>
      <c r="M549" s="29">
        <v>70</v>
      </c>
      <c r="N549" s="29">
        <v>77</v>
      </c>
      <c r="O549" s="32">
        <v>534</v>
      </c>
      <c r="P549" s="29" cm="1">
        <f t="array" ref="P549">IF(表成绩单[[#This Row],[语文]]="","",SUMPRODUCT((表成绩单[考试日期]=表成绩单[[#This Row],[考试日期]])*(表成绩单[语文]&lt;9E+307)*(表成绩单[语文]&gt;表成绩单[[#This Row],[语文]]))+1)</f>
        <v>420</v>
      </c>
      <c r="Q549" s="29" cm="1">
        <f t="array" ref="Q549">IF(表成绩单[[#This Row],[数学]]="","",SUMPRODUCT((表成绩单[考试日期]=表成绩单[[#This Row],[考试日期]])*(表成绩单[数学]&lt;9E+307)*(表成绩单[数学]&gt;表成绩单[[#This Row],[数学]]))+1)</f>
        <v>547</v>
      </c>
      <c r="R549" s="29" cm="1">
        <f t="array" ref="R549">IF(表成绩单[[#This Row],[英语]]="","",SUMPRODUCT((表成绩单[考试日期]=表成绩单[[#This Row],[考试日期]])*(表成绩单[英语]&lt;9E+307)*(表成绩单[英语]&gt;表成绩单[[#This Row],[英语]]))+1)</f>
        <v>731</v>
      </c>
      <c r="S549" s="29" cm="1">
        <f t="array" ref="S549">IF(表成绩单[[#This Row],[物理]]="","",SUMPRODUCT((表成绩单[考试日期]=表成绩单[[#This Row],[考试日期]])*(表成绩单[物理]&lt;9E+307)*(表成绩单[物理]&gt;表成绩单[[#This Row],[物理]]))+1)</f>
        <v>507</v>
      </c>
      <c r="T549" s="29" cm="1">
        <f t="array" ref="T549">IF(表成绩单[[#This Row],[化学]]="","",SUMPRODUCT((表成绩单[考试日期]=表成绩单[[#This Row],[考试日期]])*(表成绩单[化学]&lt;9E+307)*(表成绩单[化学]&gt;表成绩单[[#This Row],[化学]]))+1)</f>
        <v>268</v>
      </c>
      <c r="U549" s="29" cm="1">
        <f t="array" ref="U549">IF(表成绩单[[#This Row],[政治]]="","",SUMPRODUCT((表成绩单[考试日期]=表成绩单[[#This Row],[考试日期]])*(表成绩单[政治]&lt;9E+307)*(表成绩单[政治]&gt;表成绩单[[#This Row],[政治]]))+1)</f>
        <v>493</v>
      </c>
      <c r="V549" s="29" cm="1">
        <f t="array" ref="V549">IF(表成绩单[[#This Row],[历史]]="","",SUMPRODUCT((表成绩单[考试日期]=表成绩单[[#This Row],[考试日期]])*(表成绩单[历史]&lt;9E+307)*(表成绩单[历史]&gt;表成绩单[[#This Row],[历史]]))+1)</f>
        <v>237</v>
      </c>
      <c r="W549" s="29" cm="1">
        <f t="array" ref="W549">IF(表成绩单[[#This Row],[总分]]="","",SUMPRODUCT((表成绩单[考试日期]=表成绩单[[#This Row],[考试日期]])*(表成绩单[总分]&lt;9E+307)*(表成绩单[总分]&gt;表成绩单[[#This Row],[总分]]))+1)</f>
        <v>543</v>
      </c>
    </row>
    <row r="550" ht="28" customHeight="1" spans="4:23">
      <c r="D550" s="31">
        <v>45975</v>
      </c>
      <c r="E550" s="29">
        <v>19173266</v>
      </c>
      <c r="F550" s="29" t="s">
        <v>61</v>
      </c>
      <c r="G550" s="29" t="s">
        <v>623</v>
      </c>
      <c r="H550" s="29">
        <v>86</v>
      </c>
      <c r="I550" s="29">
        <v>96</v>
      </c>
      <c r="J550" s="29">
        <v>62</v>
      </c>
      <c r="K550" s="29">
        <v>80</v>
      </c>
      <c r="L550" s="29">
        <v>62</v>
      </c>
      <c r="M550" s="29">
        <v>76</v>
      </c>
      <c r="N550" s="29">
        <v>71</v>
      </c>
      <c r="O550" s="32">
        <v>533</v>
      </c>
      <c r="P550" s="29" cm="1">
        <f t="array" ref="P550">IF(表成绩单[[#This Row],[语文]]="","",SUMPRODUCT((表成绩单[考试日期]=表成绩单[[#This Row],[考试日期]])*(表成绩单[语文]&lt;9E+307)*(表成绩单[语文]&gt;表成绩单[[#This Row],[语文]]))+1)</f>
        <v>635</v>
      </c>
      <c r="Q550" s="29" cm="1">
        <f t="array" ref="Q550">IF(表成绩单[[#This Row],[数学]]="","",SUMPRODUCT((表成绩单[考试日期]=表成绩单[[#This Row],[考试日期]])*(表成绩单[数学]&lt;9E+307)*(表成绩单[数学]&gt;表成绩单[[#This Row],[数学]]))+1)</f>
        <v>413</v>
      </c>
      <c r="R550" s="29" cm="1">
        <f t="array" ref="R550">IF(表成绩单[[#This Row],[英语]]="","",SUMPRODUCT((表成绩单[考试日期]=表成绩单[[#This Row],[考试日期]])*(表成绩单[英语]&lt;9E+307)*(表成绩单[英语]&gt;表成绩单[[#This Row],[英语]]))+1)</f>
        <v>655</v>
      </c>
      <c r="S550" s="29" cm="1">
        <f t="array" ref="S550">IF(表成绩单[[#This Row],[物理]]="","",SUMPRODUCT((表成绩单[考试日期]=表成绩单[[#This Row],[考试日期]])*(表成绩单[物理]&lt;9E+307)*(表成绩单[物理]&gt;表成绩单[[#This Row],[物理]]))+1)</f>
        <v>507</v>
      </c>
      <c r="T550" s="29" cm="1">
        <f t="array" ref="T550">IF(表成绩单[[#This Row],[化学]]="","",SUMPRODUCT((表成绩单[考试日期]=表成绩单[[#This Row],[考试日期]])*(表成绩单[化学]&lt;9E+307)*(表成绩单[化学]&gt;表成绩单[[#This Row],[化学]]))+1)</f>
        <v>605</v>
      </c>
      <c r="U550" s="29" cm="1">
        <f t="array" ref="U550">IF(表成绩单[[#This Row],[政治]]="","",SUMPRODUCT((表成绩单[考试日期]=表成绩单[[#This Row],[考试日期]])*(表成绩单[政治]&lt;9E+307)*(表成绩单[政治]&gt;表成绩单[[#This Row],[政治]]))+1)</f>
        <v>329</v>
      </c>
      <c r="V550" s="29" cm="1">
        <f t="array" ref="V550">IF(表成绩单[[#This Row],[历史]]="","",SUMPRODUCT((表成绩单[考试日期]=表成绩单[[#This Row],[考试日期]])*(表成绩单[历史]&lt;9E+307)*(表成绩单[历史]&gt;表成绩单[[#This Row],[历史]]))+1)</f>
        <v>480</v>
      </c>
      <c r="W550" s="29" cm="1">
        <f t="array" ref="W550">IF(表成绩单[[#This Row],[总分]]="","",SUMPRODUCT((表成绩单[考试日期]=表成绩单[[#This Row],[考试日期]])*(表成绩单[总分]&lt;9E+307)*(表成绩单[总分]&gt;表成绩单[[#This Row],[总分]]))+1)</f>
        <v>546</v>
      </c>
    </row>
    <row r="551" ht="28" customHeight="1" spans="4:23">
      <c r="D551" s="31">
        <v>45975</v>
      </c>
      <c r="E551" s="29">
        <v>19173771</v>
      </c>
      <c r="F551" s="29" t="s">
        <v>65</v>
      </c>
      <c r="G551" s="29" t="s">
        <v>624</v>
      </c>
      <c r="H551" s="29">
        <v>90</v>
      </c>
      <c r="I551" s="29">
        <v>79</v>
      </c>
      <c r="J551" s="29">
        <v>77</v>
      </c>
      <c r="K551" s="29">
        <v>80</v>
      </c>
      <c r="L551" s="29">
        <v>66</v>
      </c>
      <c r="M551" s="29">
        <v>70</v>
      </c>
      <c r="N551" s="29">
        <v>71</v>
      </c>
      <c r="O551" s="32">
        <v>533</v>
      </c>
      <c r="P551" s="29" cm="1">
        <f t="array" ref="P551">IF(表成绩单[[#This Row],[语文]]="","",SUMPRODUCT((表成绩单[考试日期]=表成绩单[[#This Row],[考试日期]])*(表成绩单[语文]&lt;9E+307)*(表成绩单[语文]&gt;表成绩单[[#This Row],[语文]]))+1)</f>
        <v>561</v>
      </c>
      <c r="Q551" s="29" cm="1">
        <f t="array" ref="Q551">IF(表成绩单[[#This Row],[数学]]="","",SUMPRODUCT((表成绩单[考试日期]=表成绩单[[#This Row],[考试日期]])*(表成绩单[数学]&lt;9E+307)*(表成绩单[数学]&gt;表成绩单[[#This Row],[数学]]))+1)</f>
        <v>639</v>
      </c>
      <c r="R551" s="29" cm="1">
        <f t="array" ref="R551">IF(表成绩单[[#This Row],[英语]]="","",SUMPRODUCT((表成绩单[考试日期]=表成绩单[[#This Row],[考试日期]])*(表成绩单[英语]&lt;9E+307)*(表成绩单[英语]&gt;表成绩单[[#This Row],[英语]]))+1)</f>
        <v>369</v>
      </c>
      <c r="S551" s="29" cm="1">
        <f t="array" ref="S551">IF(表成绩单[[#This Row],[物理]]="","",SUMPRODUCT((表成绩单[考试日期]=表成绩单[[#This Row],[考试日期]])*(表成绩单[物理]&lt;9E+307)*(表成绩单[物理]&gt;表成绩单[[#This Row],[物理]]))+1)</f>
        <v>507</v>
      </c>
      <c r="T551" s="29" cm="1">
        <f t="array" ref="T551">IF(表成绩单[[#This Row],[化学]]="","",SUMPRODUCT((表成绩单[考试日期]=表成绩单[[#This Row],[考试日期]])*(表成绩单[化学]&lt;9E+307)*(表成绩单[化学]&gt;表成绩单[[#This Row],[化学]]))+1)</f>
        <v>542</v>
      </c>
      <c r="U551" s="29" cm="1">
        <f t="array" ref="U551">IF(表成绩单[[#This Row],[政治]]="","",SUMPRODUCT((表成绩单[考试日期]=表成绩单[[#This Row],[考试日期]])*(表成绩单[政治]&lt;9E+307)*(表成绩单[政治]&gt;表成绩单[[#This Row],[政治]]))+1)</f>
        <v>493</v>
      </c>
      <c r="V551" s="29" cm="1">
        <f t="array" ref="V551">IF(表成绩单[[#This Row],[历史]]="","",SUMPRODUCT((表成绩单[考试日期]=表成绩单[[#This Row],[考试日期]])*(表成绩单[历史]&lt;9E+307)*(表成绩单[历史]&gt;表成绩单[[#This Row],[历史]]))+1)</f>
        <v>480</v>
      </c>
      <c r="W551" s="29" cm="1">
        <f t="array" ref="W551">IF(表成绩单[[#This Row],[总分]]="","",SUMPRODUCT((表成绩单[考试日期]=表成绩单[[#This Row],[考试日期]])*(表成绩单[总分]&lt;9E+307)*(表成绩单[总分]&gt;表成绩单[[#This Row],[总分]]))+1)</f>
        <v>546</v>
      </c>
    </row>
    <row r="552" ht="28" customHeight="1" spans="4:23">
      <c r="D552" s="31">
        <v>45975</v>
      </c>
      <c r="E552" s="29">
        <v>19177662</v>
      </c>
      <c r="F552" s="29" t="s">
        <v>63</v>
      </c>
      <c r="G552" s="29" t="s">
        <v>625</v>
      </c>
      <c r="H552" s="29">
        <v>87</v>
      </c>
      <c r="I552" s="29">
        <v>100</v>
      </c>
      <c r="J552" s="29">
        <v>73</v>
      </c>
      <c r="K552" s="29">
        <v>81</v>
      </c>
      <c r="L552" s="29">
        <v>56</v>
      </c>
      <c r="M552" s="29">
        <v>63</v>
      </c>
      <c r="N552" s="29">
        <v>73</v>
      </c>
      <c r="O552" s="32">
        <v>533</v>
      </c>
      <c r="P552" s="29" cm="1">
        <f t="array" ref="P552">IF(表成绩单[[#This Row],[语文]]="","",SUMPRODUCT((表成绩单[考试日期]=表成绩单[[#This Row],[考试日期]])*(表成绩单[语文]&lt;9E+307)*(表成绩单[语文]&gt;表成绩单[[#This Row],[语文]]))+1)</f>
        <v>615</v>
      </c>
      <c r="Q552" s="29" cm="1">
        <f t="array" ref="Q552">IF(表成绩单[[#This Row],[数学]]="","",SUMPRODUCT((表成绩单[考试日期]=表成绩单[[#This Row],[考试日期]])*(表成绩单[数学]&lt;9E+307)*(表成绩单[数学]&gt;表成绩单[[#This Row],[数学]]))+1)</f>
        <v>340</v>
      </c>
      <c r="R552" s="29" cm="1">
        <f t="array" ref="R552">IF(表成绩单[[#This Row],[英语]]="","",SUMPRODUCT((表成绩单[考试日期]=表成绩单[[#This Row],[考试日期]])*(表成绩单[英语]&lt;9E+307)*(表成绩单[英语]&gt;表成绩单[[#This Row],[英语]]))+1)</f>
        <v>485</v>
      </c>
      <c r="S552" s="29" cm="1">
        <f t="array" ref="S552">IF(表成绩单[[#This Row],[物理]]="","",SUMPRODUCT((表成绩单[考试日期]=表成绩单[[#This Row],[考试日期]])*(表成绩单[物理]&lt;9E+307)*(表成绩单[物理]&gt;表成绩单[[#This Row],[物理]]))+1)</f>
        <v>474</v>
      </c>
      <c r="T552" s="29" cm="1">
        <f t="array" ref="T552">IF(表成绩单[[#This Row],[化学]]="","",SUMPRODUCT((表成绩单[考试日期]=表成绩单[[#This Row],[考试日期]])*(表成绩单[化学]&lt;9E+307)*(表成绩单[化学]&gt;表成绩单[[#This Row],[化学]]))+1)</f>
        <v>680</v>
      </c>
      <c r="U552" s="29" cm="1">
        <f t="array" ref="U552">IF(表成绩单[[#This Row],[政治]]="","",SUMPRODUCT((表成绩单[考试日期]=表成绩单[[#This Row],[考试日期]])*(表成绩单[政治]&lt;9E+307)*(表成绩单[政治]&gt;表成绩单[[#This Row],[政治]]))+1)</f>
        <v>618</v>
      </c>
      <c r="V552" s="29" cm="1">
        <f t="array" ref="V552">IF(表成绩单[[#This Row],[历史]]="","",SUMPRODUCT((表成绩单[考试日期]=表成绩单[[#This Row],[考试日期]])*(表成绩单[历史]&lt;9E+307)*(表成绩单[历史]&gt;表成绩单[[#This Row],[历史]]))+1)</f>
        <v>395</v>
      </c>
      <c r="W552" s="29" cm="1">
        <f t="array" ref="W552">IF(表成绩单[[#This Row],[总分]]="","",SUMPRODUCT((表成绩单[考试日期]=表成绩单[[#This Row],[考试日期]])*(表成绩单[总分]&lt;9E+307)*(表成绩单[总分]&gt;表成绩单[[#This Row],[总分]]))+1)</f>
        <v>546</v>
      </c>
    </row>
    <row r="553" ht="28" customHeight="1" spans="4:23">
      <c r="D553" s="31">
        <v>45975</v>
      </c>
      <c r="E553" s="29">
        <v>19174737</v>
      </c>
      <c r="F553" s="29" t="s">
        <v>64</v>
      </c>
      <c r="G553" s="29" t="s">
        <v>626</v>
      </c>
      <c r="H553" s="29">
        <v>97</v>
      </c>
      <c r="I553" s="29">
        <v>95</v>
      </c>
      <c r="J553" s="29">
        <v>70.5</v>
      </c>
      <c r="K553" s="29">
        <v>77</v>
      </c>
      <c r="L553" s="29">
        <v>78</v>
      </c>
      <c r="M553" s="29">
        <v>53</v>
      </c>
      <c r="N553" s="29">
        <v>62</v>
      </c>
      <c r="O553" s="32">
        <v>532.5</v>
      </c>
      <c r="P553" s="29" cm="1">
        <f t="array" ref="P553">IF(表成绩单[[#This Row],[语文]]="","",SUMPRODUCT((表成绩单[考试日期]=表成绩单[[#This Row],[考试日期]])*(表成绩单[语文]&lt;9E+307)*(表成绩单[语文]&gt;表成绩单[[#This Row],[语文]]))+1)</f>
        <v>349</v>
      </c>
      <c r="Q553" s="29" cm="1">
        <f t="array" ref="Q553">IF(表成绩单[[#This Row],[数学]]="","",SUMPRODUCT((表成绩单[考试日期]=表成绩单[[#This Row],[考试日期]])*(表成绩单[数学]&lt;9E+307)*(表成绩单[数学]&gt;表成绩单[[#This Row],[数学]]))+1)</f>
        <v>430</v>
      </c>
      <c r="R553" s="29" cm="1">
        <f t="array" ref="R553">IF(表成绩单[[#This Row],[英语]]="","",SUMPRODUCT((表成绩单[考试日期]=表成绩单[[#This Row],[考试日期]])*(表成绩单[英语]&lt;9E+307)*(表成绩单[英语]&gt;表成绩单[[#This Row],[英语]]))+1)</f>
        <v>545</v>
      </c>
      <c r="S553" s="29" cm="1">
        <f t="array" ref="S553">IF(表成绩单[[#This Row],[物理]]="","",SUMPRODUCT((表成绩单[考试日期]=表成绩单[[#This Row],[考试日期]])*(表成绩单[物理]&lt;9E+307)*(表成绩单[物理]&gt;表成绩单[[#This Row],[物理]]))+1)</f>
        <v>572</v>
      </c>
      <c r="T553" s="29" cm="1">
        <f t="array" ref="T553">IF(表成绩单[[#This Row],[化学]]="","",SUMPRODUCT((表成绩单[考试日期]=表成绩单[[#This Row],[考试日期]])*(表成绩单[化学]&lt;9E+307)*(表成绩单[化学]&gt;表成绩单[[#This Row],[化学]]))+1)</f>
        <v>200</v>
      </c>
      <c r="U553" s="29" cm="1">
        <f t="array" ref="U553">IF(表成绩单[[#This Row],[政治]]="","",SUMPRODUCT((表成绩单[考试日期]=表成绩单[[#This Row],[考试日期]])*(表成绩单[政治]&lt;9E+307)*(表成绩单[政治]&gt;表成绩单[[#This Row],[政治]]))+1)</f>
        <v>734</v>
      </c>
      <c r="V553" s="29" cm="1">
        <f t="array" ref="V553">IF(表成绩单[[#This Row],[历史]]="","",SUMPRODUCT((表成绩单[考试日期]=表成绩单[[#This Row],[考试日期]])*(表成绩单[历史]&lt;9E+307)*(表成绩单[历史]&gt;表成绩单[[#This Row],[历史]]))+1)</f>
        <v>688</v>
      </c>
      <c r="W553" s="29" cm="1">
        <f t="array" ref="W553">IF(表成绩单[[#This Row],[总分]]="","",SUMPRODUCT((表成绩单[考试日期]=表成绩单[[#This Row],[考试日期]])*(表成绩单[总分]&lt;9E+307)*(表成绩单[总分]&gt;表成绩单[[#This Row],[总分]]))+1)</f>
        <v>549</v>
      </c>
    </row>
    <row r="554" ht="28" customHeight="1" spans="4:23">
      <c r="D554" s="31">
        <v>45975</v>
      </c>
      <c r="E554" s="29">
        <v>19177605</v>
      </c>
      <c r="F554" s="29" t="s">
        <v>58</v>
      </c>
      <c r="G554" s="29" t="s">
        <v>627</v>
      </c>
      <c r="H554" s="29">
        <v>91</v>
      </c>
      <c r="I554" s="29">
        <v>95</v>
      </c>
      <c r="J554" s="29">
        <v>67.5</v>
      </c>
      <c r="K554" s="29">
        <v>86</v>
      </c>
      <c r="L554" s="29">
        <v>69</v>
      </c>
      <c r="M554" s="29">
        <v>51</v>
      </c>
      <c r="N554" s="29">
        <v>73</v>
      </c>
      <c r="O554" s="32">
        <v>532.5</v>
      </c>
      <c r="P554" s="29" cm="1">
        <f t="array" ref="P554">IF(表成绩单[[#This Row],[语文]]="","",SUMPRODUCT((表成绩单[考试日期]=表成绩单[[#This Row],[考试日期]])*(表成绩单[语文]&lt;9E+307)*(表成绩单[语文]&gt;表成绩单[[#This Row],[语文]]))+1)</f>
        <v>536</v>
      </c>
      <c r="Q554" s="29" cm="1">
        <f t="array" ref="Q554">IF(表成绩单[[#This Row],[数学]]="","",SUMPRODUCT((表成绩单[考试日期]=表成绩单[[#This Row],[考试日期]])*(表成绩单[数学]&lt;9E+307)*(表成绩单[数学]&gt;表成绩单[[#This Row],[数学]]))+1)</f>
        <v>430</v>
      </c>
      <c r="R554" s="29" cm="1">
        <f t="array" ref="R554">IF(表成绩单[[#This Row],[英语]]="","",SUMPRODUCT((表成绩单[考试日期]=表成绩单[[#This Row],[考试日期]])*(表成绩单[英语]&lt;9E+307)*(表成绩单[英语]&gt;表成绩单[[#This Row],[英语]]))+1)</f>
        <v>590</v>
      </c>
      <c r="S554" s="29" cm="1">
        <f t="array" ref="S554">IF(表成绩单[[#This Row],[物理]]="","",SUMPRODUCT((表成绩单[考试日期]=表成绩单[[#This Row],[考试日期]])*(表成绩单[物理]&lt;9E+307)*(表成绩单[物理]&gt;表成绩单[[#This Row],[物理]]))+1)</f>
        <v>187</v>
      </c>
      <c r="T554" s="29" cm="1">
        <f t="array" ref="T554">IF(表成绩单[[#This Row],[化学]]="","",SUMPRODUCT((表成绩单[考试日期]=表成绩单[[#This Row],[考试日期]])*(表成绩单[化学]&lt;9E+307)*(表成绩单[化学]&gt;表成绩单[[#This Row],[化学]]))+1)</f>
        <v>478</v>
      </c>
      <c r="U554" s="29" cm="1">
        <f t="array" ref="U554">IF(表成绩单[[#This Row],[政治]]="","",SUMPRODUCT((表成绩单[考试日期]=表成绩单[[#This Row],[考试日期]])*(表成绩单[政治]&lt;9E+307)*(表成绩单[政治]&gt;表成绩单[[#This Row],[政治]]))+1)</f>
        <v>753</v>
      </c>
      <c r="V554" s="29" cm="1">
        <f t="array" ref="V554">IF(表成绩单[[#This Row],[历史]]="","",SUMPRODUCT((表成绩单[考试日期]=表成绩单[[#This Row],[考试日期]])*(表成绩单[历史]&lt;9E+307)*(表成绩单[历史]&gt;表成绩单[[#This Row],[历史]]))+1)</f>
        <v>395</v>
      </c>
      <c r="W554" s="29" cm="1">
        <f t="array" ref="W554">IF(表成绩单[[#This Row],[总分]]="","",SUMPRODUCT((表成绩单[考试日期]=表成绩单[[#This Row],[考试日期]])*(表成绩单[总分]&lt;9E+307)*(表成绩单[总分]&gt;表成绩单[[#This Row],[总分]]))+1)</f>
        <v>549</v>
      </c>
    </row>
    <row r="555" ht="28" customHeight="1" spans="4:23">
      <c r="D555" s="31">
        <v>45975</v>
      </c>
      <c r="E555" s="29">
        <v>19176854</v>
      </c>
      <c r="F555" s="29" t="s">
        <v>71</v>
      </c>
      <c r="G555" s="29" t="s">
        <v>628</v>
      </c>
      <c r="H555" s="29">
        <v>101</v>
      </c>
      <c r="I555" s="29">
        <v>80</v>
      </c>
      <c r="J555" s="29">
        <v>75.5</v>
      </c>
      <c r="K555" s="29">
        <v>81</v>
      </c>
      <c r="L555" s="29">
        <v>60</v>
      </c>
      <c r="M555" s="29">
        <v>63</v>
      </c>
      <c r="N555" s="29">
        <v>71</v>
      </c>
      <c r="O555" s="32">
        <v>531.5</v>
      </c>
      <c r="P555" s="29" cm="1">
        <f t="array" ref="P555">IF(表成绩单[[#This Row],[语文]]="","",SUMPRODUCT((表成绩单[考试日期]=表成绩单[[#This Row],[考试日期]])*(表成绩单[语文]&lt;9E+307)*(表成绩单[语文]&gt;表成绩单[[#This Row],[语文]]))+1)</f>
        <v>190</v>
      </c>
      <c r="Q555" s="29" cm="1">
        <f t="array" ref="Q555">IF(表成绩单[[#This Row],[数学]]="","",SUMPRODUCT((表成绩单[考试日期]=表成绩单[[#This Row],[考试日期]])*(表成绩单[数学]&lt;9E+307)*(表成绩单[数学]&gt;表成绩单[[#This Row],[数学]]))+1)</f>
        <v>626</v>
      </c>
      <c r="R555" s="29" cm="1">
        <f t="array" ref="R555">IF(表成绩单[[#This Row],[英语]]="","",SUMPRODUCT((表成绩单[考试日期]=表成绩单[[#This Row],[考试日期]])*(表成绩单[英语]&lt;9E+307)*(表成绩单[英语]&gt;表成绩单[[#This Row],[英语]]))+1)</f>
        <v>418</v>
      </c>
      <c r="S555" s="29" cm="1">
        <f t="array" ref="S555">IF(表成绩单[[#This Row],[物理]]="","",SUMPRODUCT((表成绩单[考试日期]=表成绩单[[#This Row],[考试日期]])*(表成绩单[物理]&lt;9E+307)*(表成绩单[物理]&gt;表成绩单[[#This Row],[物理]]))+1)</f>
        <v>474</v>
      </c>
      <c r="T555" s="29" cm="1">
        <f t="array" ref="T555">IF(表成绩单[[#This Row],[化学]]="","",SUMPRODUCT((表成绩单[考试日期]=表成绩单[[#This Row],[考试日期]])*(表成绩单[化学]&lt;9E+307)*(表成绩单[化学]&gt;表成绩单[[#This Row],[化学]]))+1)</f>
        <v>639</v>
      </c>
      <c r="U555" s="29" cm="1">
        <f t="array" ref="U555">IF(表成绩单[[#This Row],[政治]]="","",SUMPRODUCT((表成绩单[考试日期]=表成绩单[[#This Row],[考试日期]])*(表成绩单[政治]&lt;9E+307)*(表成绩单[政治]&gt;表成绩单[[#This Row],[政治]]))+1)</f>
        <v>618</v>
      </c>
      <c r="V555" s="29" cm="1">
        <f t="array" ref="V555">IF(表成绩单[[#This Row],[历史]]="","",SUMPRODUCT((表成绩单[考试日期]=表成绩单[[#This Row],[考试日期]])*(表成绩单[历史]&lt;9E+307)*(表成绩单[历史]&gt;表成绩单[[#This Row],[历史]]))+1)</f>
        <v>480</v>
      </c>
      <c r="W555" s="29" cm="1">
        <f t="array" ref="W555">IF(表成绩单[[#This Row],[总分]]="","",SUMPRODUCT((表成绩单[考试日期]=表成绩单[[#This Row],[考试日期]])*(表成绩单[总分]&lt;9E+307)*(表成绩单[总分]&gt;表成绩单[[#This Row],[总分]]))+1)</f>
        <v>551</v>
      </c>
    </row>
    <row r="556" ht="28" customHeight="1" spans="4:23">
      <c r="D556" s="31">
        <v>45975</v>
      </c>
      <c r="E556" s="29">
        <v>19177635</v>
      </c>
      <c r="F556" s="29" t="s">
        <v>63</v>
      </c>
      <c r="G556" s="29" t="s">
        <v>629</v>
      </c>
      <c r="H556" s="29">
        <v>94</v>
      </c>
      <c r="I556" s="29">
        <v>96</v>
      </c>
      <c r="J556" s="29">
        <v>50.5</v>
      </c>
      <c r="K556" s="29">
        <v>88</v>
      </c>
      <c r="L556" s="29">
        <v>70</v>
      </c>
      <c r="M556" s="29">
        <v>62</v>
      </c>
      <c r="N556" s="29">
        <v>71</v>
      </c>
      <c r="O556" s="32">
        <v>531.5</v>
      </c>
      <c r="P556" s="29" cm="1">
        <f t="array" ref="P556">IF(表成绩单[[#This Row],[语文]]="","",SUMPRODUCT((表成绩单[考试日期]=表成绩单[[#This Row],[考试日期]])*(表成绩单[语文]&lt;9E+307)*(表成绩单[语文]&gt;表成绩单[[#This Row],[语文]]))+1)</f>
        <v>452</v>
      </c>
      <c r="Q556" s="29" cm="1">
        <f t="array" ref="Q556">IF(表成绩单[[#This Row],[数学]]="","",SUMPRODUCT((表成绩单[考试日期]=表成绩单[[#This Row],[考试日期]])*(表成绩单[数学]&lt;9E+307)*(表成绩单[数学]&gt;表成绩单[[#This Row],[数学]]))+1)</f>
        <v>413</v>
      </c>
      <c r="R556" s="29" cm="1">
        <f t="array" ref="R556">IF(表成绩单[[#This Row],[英语]]="","",SUMPRODUCT((表成绩单[考试日期]=表成绩单[[#This Row],[考试日期]])*(表成绩单[英语]&lt;9E+307)*(表成绩单[英语]&gt;表成绩单[[#This Row],[英语]]))+1)</f>
        <v>720</v>
      </c>
      <c r="S556" s="29" cm="1">
        <f t="array" ref="S556">IF(表成绩单[[#This Row],[物理]]="","",SUMPRODUCT((表成绩单[考试日期]=表成绩单[[#This Row],[考试日期]])*(表成绩单[物理]&lt;9E+307)*(表成绩单[物理]&gt;表成绩单[[#This Row],[物理]]))+1)</f>
        <v>54</v>
      </c>
      <c r="T556" s="29" cm="1">
        <f t="array" ref="T556">IF(表成绩单[[#This Row],[化学]]="","",SUMPRODUCT((表成绩单[考试日期]=表成绩单[[#This Row],[考试日期]])*(表成绩单[化学]&lt;9E+307)*(表成绩单[化学]&gt;表成绩单[[#This Row],[化学]]))+1)</f>
        <v>453</v>
      </c>
      <c r="U556" s="29" cm="1">
        <f t="array" ref="U556">IF(表成绩单[[#This Row],[政治]]="","",SUMPRODUCT((表成绩单[考试日期]=表成绩单[[#This Row],[考试日期]])*(表成绩单[政治]&lt;9E+307)*(表成绩单[政治]&gt;表成绩单[[#This Row],[政治]]))+1)</f>
        <v>628</v>
      </c>
      <c r="V556" s="29" cm="1">
        <f t="array" ref="V556">IF(表成绩单[[#This Row],[历史]]="","",SUMPRODUCT((表成绩单[考试日期]=表成绩单[[#This Row],[考试日期]])*(表成绩单[历史]&lt;9E+307)*(表成绩单[历史]&gt;表成绩单[[#This Row],[历史]]))+1)</f>
        <v>480</v>
      </c>
      <c r="W556" s="29" cm="1">
        <f t="array" ref="W556">IF(表成绩单[[#This Row],[总分]]="","",SUMPRODUCT((表成绩单[考试日期]=表成绩单[[#This Row],[考试日期]])*(表成绩单[总分]&lt;9E+307)*(表成绩单[总分]&gt;表成绩单[[#This Row],[总分]]))+1)</f>
        <v>551</v>
      </c>
    </row>
    <row r="557" ht="28" customHeight="1" spans="4:23">
      <c r="D557" s="31">
        <v>45975</v>
      </c>
      <c r="E557" s="29">
        <v>19178621</v>
      </c>
      <c r="F557" s="29" t="s">
        <v>25</v>
      </c>
      <c r="G557" s="29" t="s">
        <v>630</v>
      </c>
      <c r="H557" s="29">
        <v>94</v>
      </c>
      <c r="I557" s="29">
        <v>95</v>
      </c>
      <c r="J557" s="29">
        <v>72.5</v>
      </c>
      <c r="K557" s="29">
        <v>65</v>
      </c>
      <c r="L557" s="29">
        <v>66</v>
      </c>
      <c r="M557" s="29">
        <v>71</v>
      </c>
      <c r="N557" s="29">
        <v>68</v>
      </c>
      <c r="O557" s="32">
        <v>531.5</v>
      </c>
      <c r="P557" s="29" cm="1">
        <f t="array" ref="P557">IF(表成绩单[[#This Row],[语文]]="","",SUMPRODUCT((表成绩单[考试日期]=表成绩单[[#This Row],[考试日期]])*(表成绩单[语文]&lt;9E+307)*(表成绩单[语文]&gt;表成绩单[[#This Row],[语文]]))+1)</f>
        <v>452</v>
      </c>
      <c r="Q557" s="29" cm="1">
        <f t="array" ref="Q557">IF(表成绩单[[#This Row],[数学]]="","",SUMPRODUCT((表成绩单[考试日期]=表成绩单[[#This Row],[考试日期]])*(表成绩单[数学]&lt;9E+307)*(表成绩单[数学]&gt;表成绩单[[#This Row],[数学]]))+1)</f>
        <v>430</v>
      </c>
      <c r="R557" s="29" cm="1">
        <f t="array" ref="R557">IF(表成绩单[[#This Row],[英语]]="","",SUMPRODUCT((表成绩单[考试日期]=表成绩单[[#This Row],[考试日期]])*(表成绩单[英语]&lt;9E+307)*(表成绩单[英语]&gt;表成绩单[[#This Row],[英语]]))+1)</f>
        <v>498</v>
      </c>
      <c r="S557" s="29" cm="1">
        <f t="array" ref="S557">IF(表成绩单[[#This Row],[物理]]="","",SUMPRODUCT((表成绩单[考试日期]=表成绩单[[#This Row],[考试日期]])*(表成绩单[物理]&lt;9E+307)*(表成绩单[物理]&gt;表成绩单[[#This Row],[物理]]))+1)</f>
        <v>690</v>
      </c>
      <c r="T557" s="29" cm="1">
        <f t="array" ref="T557">IF(表成绩单[[#This Row],[化学]]="","",SUMPRODUCT((表成绩单[考试日期]=表成绩单[[#This Row],[考试日期]])*(表成绩单[化学]&lt;9E+307)*(表成绩单[化学]&gt;表成绩单[[#This Row],[化学]]))+1)</f>
        <v>542</v>
      </c>
      <c r="U557" s="29" cm="1">
        <f t="array" ref="U557">IF(表成绩单[[#This Row],[政治]]="","",SUMPRODUCT((表成绩单[考试日期]=表成绩单[[#This Row],[考试日期]])*(表成绩单[政治]&lt;9E+307)*(表成绩单[政治]&gt;表成绩单[[#This Row],[政治]]))+1)</f>
        <v>467</v>
      </c>
      <c r="V557" s="29" cm="1">
        <f t="array" ref="V557">IF(表成绩单[[#This Row],[历史]]="","",SUMPRODUCT((表成绩单[考试日期]=表成绩单[[#This Row],[考试日期]])*(表成绩单[历史]&lt;9E+307)*(表成绩单[历史]&gt;表成绩单[[#This Row],[历史]]))+1)</f>
        <v>571</v>
      </c>
      <c r="W557" s="29" cm="1">
        <f t="array" ref="W557">IF(表成绩单[[#This Row],[总分]]="","",SUMPRODUCT((表成绩单[考试日期]=表成绩单[[#This Row],[考试日期]])*(表成绩单[总分]&lt;9E+307)*(表成绩单[总分]&gt;表成绩单[[#This Row],[总分]]))+1)</f>
        <v>551</v>
      </c>
    </row>
    <row r="558" ht="28" customHeight="1" spans="4:23">
      <c r="D558" s="31">
        <v>45975</v>
      </c>
      <c r="E558" s="29">
        <v>19173794</v>
      </c>
      <c r="F558" s="29" t="s">
        <v>65</v>
      </c>
      <c r="G558" s="29" t="s">
        <v>631</v>
      </c>
      <c r="H558" s="29">
        <v>96</v>
      </c>
      <c r="I558" s="29">
        <v>74</v>
      </c>
      <c r="J558" s="29">
        <v>64</v>
      </c>
      <c r="K558" s="29">
        <v>77</v>
      </c>
      <c r="L558" s="29">
        <v>70</v>
      </c>
      <c r="M558" s="29">
        <v>79</v>
      </c>
      <c r="N558" s="29">
        <v>71</v>
      </c>
      <c r="O558" s="32">
        <v>531</v>
      </c>
      <c r="P558" s="29" cm="1">
        <f t="array" ref="P558">IF(表成绩单[[#This Row],[语文]]="","",SUMPRODUCT((表成绩单[考试日期]=表成绩单[[#This Row],[考试日期]])*(表成绩单[语文]&lt;9E+307)*(表成绩单[语文]&gt;表成绩单[[#This Row],[语文]]))+1)</f>
        <v>387</v>
      </c>
      <c r="Q558" s="29" cm="1">
        <f t="array" ref="Q558">IF(表成绩单[[#This Row],[数学]]="","",SUMPRODUCT((表成绩单[考试日期]=表成绩单[[#This Row],[考试日期]])*(表成绩单[数学]&lt;9E+307)*(表成绩单[数学]&gt;表成绩单[[#This Row],[数学]]))+1)</f>
        <v>667</v>
      </c>
      <c r="R558" s="29" cm="1">
        <f t="array" ref="R558">IF(表成绩单[[#This Row],[英语]]="","",SUMPRODUCT((表成绩单[考试日期]=表成绩单[[#This Row],[考试日期]])*(表成绩单[英语]&lt;9E+307)*(表成绩单[英语]&gt;表成绩单[[#This Row],[英语]]))+1)</f>
        <v>630</v>
      </c>
      <c r="S558" s="29" cm="1">
        <f t="array" ref="S558">IF(表成绩单[[#This Row],[物理]]="","",SUMPRODUCT((表成绩单[考试日期]=表成绩单[[#This Row],[考试日期]])*(表成绩单[物理]&lt;9E+307)*(表成绩单[物理]&gt;表成绩单[[#This Row],[物理]]))+1)</f>
        <v>572</v>
      </c>
      <c r="T558" s="29" cm="1">
        <f t="array" ref="T558">IF(表成绩单[[#This Row],[化学]]="","",SUMPRODUCT((表成绩单[考试日期]=表成绩单[[#This Row],[考试日期]])*(表成绩单[化学]&lt;9E+307)*(表成绩单[化学]&gt;表成绩单[[#This Row],[化学]]))+1)</f>
        <v>453</v>
      </c>
      <c r="U558" s="29" cm="1">
        <f t="array" ref="U558">IF(表成绩单[[#This Row],[政治]]="","",SUMPRODUCT((表成绩单[考试日期]=表成绩单[[#This Row],[考试日期]])*(表成绩单[政治]&lt;9E+307)*(表成绩单[政治]&gt;表成绩单[[#This Row],[政治]]))+1)</f>
        <v>246</v>
      </c>
      <c r="V558" s="29" cm="1">
        <f t="array" ref="V558">IF(表成绩单[[#This Row],[历史]]="","",SUMPRODUCT((表成绩单[考试日期]=表成绩单[[#This Row],[考试日期]])*(表成绩单[历史]&lt;9E+307)*(表成绩单[历史]&gt;表成绩单[[#This Row],[历史]]))+1)</f>
        <v>480</v>
      </c>
      <c r="W558" s="29" cm="1">
        <f t="array" ref="W558">IF(表成绩单[[#This Row],[总分]]="","",SUMPRODUCT((表成绩单[考试日期]=表成绩单[[#This Row],[考试日期]])*(表成绩单[总分]&lt;9E+307)*(表成绩单[总分]&gt;表成绩单[[#This Row],[总分]]))+1)</f>
        <v>554</v>
      </c>
    </row>
    <row r="559" ht="28" customHeight="1" spans="4:23">
      <c r="D559" s="31">
        <v>45975</v>
      </c>
      <c r="E559" s="29">
        <v>19175641</v>
      </c>
      <c r="F559" s="29" t="s">
        <v>66</v>
      </c>
      <c r="G559" s="29" t="s">
        <v>632</v>
      </c>
      <c r="H559" s="29">
        <v>95</v>
      </c>
      <c r="I559" s="29">
        <v>82</v>
      </c>
      <c r="J559" s="29">
        <v>65</v>
      </c>
      <c r="K559" s="29">
        <v>83</v>
      </c>
      <c r="L559" s="29">
        <v>76</v>
      </c>
      <c r="M559" s="29">
        <v>63</v>
      </c>
      <c r="N559" s="29">
        <v>67</v>
      </c>
      <c r="O559" s="32">
        <v>531</v>
      </c>
      <c r="P559" s="29" cm="1">
        <f t="array" ref="P559">IF(表成绩单[[#This Row],[语文]]="","",SUMPRODUCT((表成绩单[考试日期]=表成绩单[[#This Row],[考试日期]])*(表成绩单[语文]&lt;9E+307)*(表成绩单[语文]&gt;表成绩单[[#This Row],[语文]]))+1)</f>
        <v>420</v>
      </c>
      <c r="Q559" s="29" cm="1">
        <f t="array" ref="Q559">IF(表成绩单[[#This Row],[数学]]="","",SUMPRODUCT((表成绩单[考试日期]=表成绩单[[#This Row],[考试日期]])*(表成绩单[数学]&lt;9E+307)*(表成绩单[数学]&gt;表成绩单[[#This Row],[数学]]))+1)</f>
        <v>607</v>
      </c>
      <c r="R559" s="29" cm="1">
        <f t="array" ref="R559">IF(表成绩单[[#This Row],[英语]]="","",SUMPRODUCT((表成绩单[考试日期]=表成绩单[[#This Row],[考试日期]])*(表成绩单[英语]&lt;9E+307)*(表成绩单[英语]&gt;表成绩单[[#This Row],[英语]]))+1)</f>
        <v>616</v>
      </c>
      <c r="S559" s="29" cm="1">
        <f t="array" ref="S559">IF(表成绩单[[#This Row],[物理]]="","",SUMPRODUCT((表成绩单[考试日期]=表成绩单[[#This Row],[考试日期]])*(表成绩单[物理]&lt;9E+307)*(表成绩单[物理]&gt;表成绩单[[#This Row],[物理]]))+1)</f>
        <v>390</v>
      </c>
      <c r="T559" s="29" cm="1">
        <f t="array" ref="T559">IF(表成绩单[[#This Row],[化学]]="","",SUMPRODUCT((表成绩单[考试日期]=表成绩单[[#This Row],[考试日期]])*(表成绩单[化学]&lt;9E+307)*(表成绩单[化学]&gt;表成绩单[[#This Row],[化学]]))+1)</f>
        <v>268</v>
      </c>
      <c r="U559" s="29" cm="1">
        <f t="array" ref="U559">IF(表成绩单[[#This Row],[政治]]="","",SUMPRODUCT((表成绩单[考试日期]=表成绩单[[#This Row],[考试日期]])*(表成绩单[政治]&lt;9E+307)*(表成绩单[政治]&gt;表成绩单[[#This Row],[政治]]))+1)</f>
        <v>618</v>
      </c>
      <c r="V559" s="29" cm="1">
        <f t="array" ref="V559">IF(表成绩单[[#This Row],[历史]]="","",SUMPRODUCT((表成绩单[考试日期]=表成绩单[[#This Row],[考试日期]])*(表成绩单[历史]&lt;9E+307)*(表成绩单[历史]&gt;表成绩单[[#This Row],[历史]]))+1)</f>
        <v>597</v>
      </c>
      <c r="W559" s="29" cm="1">
        <f t="array" ref="W559">IF(表成绩单[[#This Row],[总分]]="","",SUMPRODUCT((表成绩单[考试日期]=表成绩单[[#This Row],[考试日期]])*(表成绩单[总分]&lt;9E+307)*(表成绩单[总分]&gt;表成绩单[[#This Row],[总分]]))+1)</f>
        <v>554</v>
      </c>
    </row>
    <row r="560" ht="28" customHeight="1" spans="4:23">
      <c r="D560" s="31">
        <v>45975</v>
      </c>
      <c r="E560" s="29">
        <v>19171076</v>
      </c>
      <c r="F560" s="29" t="s">
        <v>67</v>
      </c>
      <c r="G560" s="29" t="s">
        <v>633</v>
      </c>
      <c r="H560" s="29">
        <v>89</v>
      </c>
      <c r="I560" s="29">
        <v>93</v>
      </c>
      <c r="J560" s="29">
        <v>66.5</v>
      </c>
      <c r="K560" s="29">
        <v>84</v>
      </c>
      <c r="L560" s="29">
        <v>73</v>
      </c>
      <c r="M560" s="29">
        <v>65</v>
      </c>
      <c r="N560" s="29">
        <v>60</v>
      </c>
      <c r="O560" s="32">
        <v>530.5</v>
      </c>
      <c r="P560" s="29" cm="1">
        <f t="array" ref="P560">IF(表成绩单[[#This Row],[语文]]="","",SUMPRODUCT((表成绩单[考试日期]=表成绩单[[#This Row],[考试日期]])*(表成绩单[语文]&lt;9E+307)*(表成绩单[语文]&gt;表成绩单[[#This Row],[语文]]))+1)</f>
        <v>582</v>
      </c>
      <c r="Q560" s="29" cm="1">
        <f t="array" ref="Q560">IF(表成绩单[[#This Row],[数学]]="","",SUMPRODUCT((表成绩单[考试日期]=表成绩单[[#This Row],[考试日期]])*(表成绩单[数学]&lt;9E+307)*(表成绩单[数学]&gt;表成绩单[[#This Row],[数学]]))+1)</f>
        <v>469</v>
      </c>
      <c r="R560" s="29" cm="1">
        <f t="array" ref="R560">IF(表成绩单[[#This Row],[英语]]="","",SUMPRODUCT((表成绩单[考试日期]=表成绩单[[#This Row],[考试日期]])*(表成绩单[英语]&lt;9E+307)*(表成绩单[英语]&gt;表成绩单[[#This Row],[英语]]))+1)</f>
        <v>606</v>
      </c>
      <c r="S560" s="29" cm="1">
        <f t="array" ref="S560">IF(表成绩单[[#This Row],[物理]]="","",SUMPRODUCT((表成绩单[考试日期]=表成绩单[[#This Row],[考试日期]])*(表成绩单[物理]&lt;9E+307)*(表成绩单[物理]&gt;表成绩单[[#This Row],[物理]]))+1)</f>
        <v>344</v>
      </c>
      <c r="T560" s="29" cm="1">
        <f t="array" ref="T560">IF(表成绩单[[#This Row],[化学]]="","",SUMPRODUCT((表成绩单[考试日期]=表成绩单[[#This Row],[考试日期]])*(表成绩单[化学]&lt;9E+307)*(表成绩单[化学]&gt;表成绩单[[#This Row],[化学]]))+1)</f>
        <v>365</v>
      </c>
      <c r="U560" s="29" cm="1">
        <f t="array" ref="U560">IF(表成绩单[[#This Row],[政治]]="","",SUMPRODUCT((表成绩单[考试日期]=表成绩单[[#This Row],[考试日期]])*(表成绩单[政治]&lt;9E+307)*(表成绩单[政治]&gt;表成绩单[[#This Row],[政治]]))+1)</f>
        <v>579</v>
      </c>
      <c r="V560" s="29" cm="1">
        <f t="array" ref="V560">IF(表成绩单[[#This Row],[历史]]="","",SUMPRODUCT((表成绩单[考试日期]=表成绩单[[#This Row],[考试日期]])*(表成绩单[历史]&lt;9E+307)*(表成绩单[历史]&gt;表成绩单[[#This Row],[历史]]))+1)</f>
        <v>717</v>
      </c>
      <c r="W560" s="29" cm="1">
        <f t="array" ref="W560">IF(表成绩单[[#This Row],[总分]]="","",SUMPRODUCT((表成绩单[考试日期]=表成绩单[[#This Row],[考试日期]])*(表成绩单[总分]&lt;9E+307)*(表成绩单[总分]&gt;表成绩单[[#This Row],[总分]]))+1)</f>
        <v>556</v>
      </c>
    </row>
    <row r="561" ht="28" customHeight="1" spans="4:23">
      <c r="D561" s="31">
        <v>45975</v>
      </c>
      <c r="E561" s="29">
        <v>19178608</v>
      </c>
      <c r="F561" s="29" t="s">
        <v>64</v>
      </c>
      <c r="G561" s="29" t="s">
        <v>634</v>
      </c>
      <c r="H561" s="29">
        <v>92</v>
      </c>
      <c r="I561" s="29">
        <v>83</v>
      </c>
      <c r="J561" s="29">
        <v>68.5</v>
      </c>
      <c r="K561" s="29">
        <v>79</v>
      </c>
      <c r="L561" s="29">
        <v>73</v>
      </c>
      <c r="M561" s="29">
        <v>66</v>
      </c>
      <c r="N561" s="29">
        <v>69</v>
      </c>
      <c r="O561" s="32">
        <v>530.5</v>
      </c>
      <c r="P561" s="29" cm="1">
        <f t="array" ref="P561">IF(表成绩单[[#This Row],[语文]]="","",SUMPRODUCT((表成绩单[考试日期]=表成绩单[[#This Row],[考试日期]])*(表成绩单[语文]&lt;9E+307)*(表成绩单[语文]&gt;表成绩单[[#This Row],[语文]]))+1)</f>
        <v>517</v>
      </c>
      <c r="Q561" s="29" cm="1">
        <f t="array" ref="Q561">IF(表成绩单[[#This Row],[数学]]="","",SUMPRODUCT((表成绩单[考试日期]=表成绩单[[#This Row],[考试日期]])*(表成绩单[数学]&lt;9E+307)*(表成绩单[数学]&gt;表成绩单[[#This Row],[数学]]))+1)</f>
        <v>592</v>
      </c>
      <c r="R561" s="29" cm="1">
        <f t="array" ref="R561">IF(表成绩单[[#This Row],[英语]]="","",SUMPRODUCT((表成绩单[考试日期]=表成绩单[[#This Row],[考试日期]])*(表成绩单[英语]&lt;9E+307)*(表成绩单[英语]&gt;表成绩单[[#This Row],[英语]]))+1)</f>
        <v>571</v>
      </c>
      <c r="S561" s="29" cm="1">
        <f t="array" ref="S561">IF(表成绩单[[#This Row],[物理]]="","",SUMPRODUCT((表成绩单[考试日期]=表成绩单[[#This Row],[考试日期]])*(表成绩单[物理]&lt;9E+307)*(表成绩单[物理]&gt;表成绩单[[#This Row],[物理]]))+1)</f>
        <v>534</v>
      </c>
      <c r="T561" s="29" cm="1">
        <f t="array" ref="T561">IF(表成绩单[[#This Row],[化学]]="","",SUMPRODUCT((表成绩单[考试日期]=表成绩单[[#This Row],[考试日期]])*(表成绩单[化学]&lt;9E+307)*(表成绩单[化学]&gt;表成绩单[[#This Row],[化学]]))+1)</f>
        <v>365</v>
      </c>
      <c r="U561" s="29" cm="1">
        <f t="array" ref="U561">IF(表成绩单[[#This Row],[政治]]="","",SUMPRODUCT((表成绩单[考试日期]=表成绩单[[#This Row],[考试日期]])*(表成绩单[政治]&lt;9E+307)*(表成绩单[政治]&gt;表成绩单[[#This Row],[政治]]))+1)</f>
        <v>555</v>
      </c>
      <c r="V561" s="29" cm="1">
        <f t="array" ref="V561">IF(表成绩单[[#This Row],[历史]]="","",SUMPRODUCT((表成绩单[考试日期]=表成绩单[[#This Row],[考试日期]])*(表成绩单[历史]&lt;9E+307)*(表成绩单[历史]&gt;表成绩单[[#This Row],[历史]]))+1)</f>
        <v>541</v>
      </c>
      <c r="W561" s="29" cm="1">
        <f t="array" ref="W561">IF(表成绩单[[#This Row],[总分]]="","",SUMPRODUCT((表成绩单[考试日期]=表成绩单[[#This Row],[考试日期]])*(表成绩单[总分]&lt;9E+307)*(表成绩单[总分]&gt;表成绩单[[#This Row],[总分]]))+1)</f>
        <v>556</v>
      </c>
    </row>
    <row r="562" ht="28" customHeight="1" spans="4:23">
      <c r="D562" s="31">
        <v>45975</v>
      </c>
      <c r="E562" s="29">
        <v>19173796</v>
      </c>
      <c r="F562" s="29" t="s">
        <v>65</v>
      </c>
      <c r="G562" s="29" t="s">
        <v>635</v>
      </c>
      <c r="H562" s="29">
        <v>90</v>
      </c>
      <c r="I562" s="29">
        <v>89</v>
      </c>
      <c r="J562" s="29">
        <v>67</v>
      </c>
      <c r="K562" s="29">
        <v>86</v>
      </c>
      <c r="L562" s="29">
        <v>75</v>
      </c>
      <c r="M562" s="29">
        <v>57</v>
      </c>
      <c r="N562" s="29">
        <v>66</v>
      </c>
      <c r="O562" s="32">
        <v>530</v>
      </c>
      <c r="P562" s="29" cm="1">
        <f t="array" ref="P562">IF(表成绩单[[#This Row],[语文]]="","",SUMPRODUCT((表成绩单[考试日期]=表成绩单[[#This Row],[考试日期]])*(表成绩单[语文]&lt;9E+307)*(表成绩单[语文]&gt;表成绩单[[#This Row],[语文]]))+1)</f>
        <v>561</v>
      </c>
      <c r="Q562" s="29" cm="1">
        <f t="array" ref="Q562">IF(表成绩单[[#This Row],[数学]]="","",SUMPRODUCT((表成绩单[考试日期]=表成绩单[[#This Row],[考试日期]])*(表成绩单[数学]&lt;9E+307)*(表成绩单[数学]&gt;表成绩单[[#This Row],[数学]]))+1)</f>
        <v>518</v>
      </c>
      <c r="R562" s="29" cm="1">
        <f t="array" ref="R562">IF(表成绩单[[#This Row],[英语]]="","",SUMPRODUCT((表成绩单[考试日期]=表成绩单[[#This Row],[考试日期]])*(表成绩单[英语]&lt;9E+307)*(表成绩单[英语]&gt;表成绩单[[#This Row],[英语]]))+1)</f>
        <v>596</v>
      </c>
      <c r="S562" s="29" cm="1">
        <f t="array" ref="S562">IF(表成绩单[[#This Row],[物理]]="","",SUMPRODUCT((表成绩单[考试日期]=表成绩单[[#This Row],[考试日期]])*(表成绩单[物理]&lt;9E+307)*(表成绩单[物理]&gt;表成绩单[[#This Row],[物理]]))+1)</f>
        <v>187</v>
      </c>
      <c r="T562" s="29" cm="1">
        <f t="array" ref="T562">IF(表成绩单[[#This Row],[化学]]="","",SUMPRODUCT((表成绩单[考试日期]=表成绩单[[#This Row],[考试日期]])*(表成绩单[化学]&lt;9E+307)*(表成绩单[化学]&gt;表成绩单[[#This Row],[化学]]))+1)</f>
        <v>310</v>
      </c>
      <c r="U562" s="29" cm="1">
        <f t="array" ref="U562">IF(表成绩单[[#This Row],[政治]]="","",SUMPRODUCT((表成绩单[考试日期]=表成绩单[[#This Row],[考试日期]])*(表成绩单[政治]&lt;9E+307)*(表成绩单[政治]&gt;表成绩单[[#This Row],[政治]]))+1)</f>
        <v>698</v>
      </c>
      <c r="V562" s="29" cm="1">
        <f t="array" ref="V562">IF(表成绩单[[#This Row],[历史]]="","",SUMPRODUCT((表成绩单[考试日期]=表成绩单[[#This Row],[考试日期]])*(表成绩单[历史]&lt;9E+307)*(表成绩单[历史]&gt;表成绩单[[#This Row],[历史]]))+1)</f>
        <v>622</v>
      </c>
      <c r="W562" s="29" cm="1">
        <f t="array" ref="W562">IF(表成绩单[[#This Row],[总分]]="","",SUMPRODUCT((表成绩单[考试日期]=表成绩单[[#This Row],[考试日期]])*(表成绩单[总分]&lt;9E+307)*(表成绩单[总分]&gt;表成绩单[[#This Row],[总分]]))+1)</f>
        <v>558</v>
      </c>
    </row>
    <row r="563" ht="28" customHeight="1" spans="4:23">
      <c r="D563" s="31">
        <v>45975</v>
      </c>
      <c r="E563" s="29">
        <v>19175327</v>
      </c>
      <c r="F563" s="29" t="s">
        <v>55</v>
      </c>
      <c r="G563" s="29" t="s">
        <v>636</v>
      </c>
      <c r="H563" s="29">
        <v>90</v>
      </c>
      <c r="I563" s="29">
        <v>80</v>
      </c>
      <c r="J563" s="29">
        <v>63.5</v>
      </c>
      <c r="K563" s="29">
        <v>79</v>
      </c>
      <c r="L563" s="29">
        <v>61</v>
      </c>
      <c r="M563" s="29">
        <v>80</v>
      </c>
      <c r="N563" s="29">
        <v>76</v>
      </c>
      <c r="O563" s="32">
        <v>529.5</v>
      </c>
      <c r="P563" s="29" cm="1">
        <f t="array" ref="P563">IF(表成绩单[[#This Row],[语文]]="","",SUMPRODUCT((表成绩单[考试日期]=表成绩单[[#This Row],[考试日期]])*(表成绩单[语文]&lt;9E+307)*(表成绩单[语文]&gt;表成绩单[[#This Row],[语文]]))+1)</f>
        <v>561</v>
      </c>
      <c r="Q563" s="29" cm="1">
        <f t="array" ref="Q563">IF(表成绩单[[#This Row],[数学]]="","",SUMPRODUCT((表成绩单[考试日期]=表成绩单[[#This Row],[考试日期]])*(表成绩单[数学]&lt;9E+307)*(表成绩单[数学]&gt;表成绩单[[#This Row],[数学]]))+1)</f>
        <v>626</v>
      </c>
      <c r="R563" s="29" cm="1">
        <f t="array" ref="R563">IF(表成绩单[[#This Row],[英语]]="","",SUMPRODUCT((表成绩单[考试日期]=表成绩单[[#This Row],[考试日期]])*(表成绩单[英语]&lt;9E+307)*(表成绩单[英语]&gt;表成绩单[[#This Row],[英语]]))+1)</f>
        <v>637</v>
      </c>
      <c r="S563" s="29" cm="1">
        <f t="array" ref="S563">IF(表成绩单[[#This Row],[物理]]="","",SUMPRODUCT((表成绩单[考试日期]=表成绩单[[#This Row],[考试日期]])*(表成绩单[物理]&lt;9E+307)*(表成绩单[物理]&gt;表成绩单[[#This Row],[物理]]))+1)</f>
        <v>534</v>
      </c>
      <c r="T563" s="29" cm="1">
        <f t="array" ref="T563">IF(表成绩单[[#This Row],[化学]]="","",SUMPRODUCT((表成绩单[考试日期]=表成绩单[[#This Row],[考试日期]])*(表成绩单[化学]&lt;9E+307)*(表成绩单[化学]&gt;表成绩单[[#This Row],[化学]]))+1)</f>
        <v>625</v>
      </c>
      <c r="U563" s="29" cm="1">
        <f t="array" ref="U563">IF(表成绩单[[#This Row],[政治]]="","",SUMPRODUCT((表成绩单[考试日期]=表成绩单[[#This Row],[考试日期]])*(表成绩单[政治]&lt;9E+307)*(表成绩单[政治]&gt;表成绩单[[#This Row],[政治]]))+1)</f>
        <v>209</v>
      </c>
      <c r="V563" s="29" cm="1">
        <f t="array" ref="V563">IF(表成绩单[[#This Row],[历史]]="","",SUMPRODUCT((表成绩单[考试日期]=表成绩单[[#This Row],[考试日期]])*(表成绩单[历史]&lt;9E+307)*(表成绩单[历史]&gt;表成绩单[[#This Row],[历史]]))+1)</f>
        <v>278</v>
      </c>
      <c r="W563" s="29" cm="1">
        <f t="array" ref="W563">IF(表成绩单[[#This Row],[总分]]="","",SUMPRODUCT((表成绩单[考试日期]=表成绩单[[#This Row],[考试日期]])*(表成绩单[总分]&lt;9E+307)*(表成绩单[总分]&gt;表成绩单[[#This Row],[总分]]))+1)</f>
        <v>559</v>
      </c>
    </row>
    <row r="564" ht="28" customHeight="1" spans="4:23">
      <c r="D564" s="31">
        <v>45975</v>
      </c>
      <c r="E564" s="29">
        <v>19173256</v>
      </c>
      <c r="F564" s="29" t="s">
        <v>61</v>
      </c>
      <c r="G564" s="29" t="s">
        <v>637</v>
      </c>
      <c r="H564" s="29">
        <v>85</v>
      </c>
      <c r="I564" s="29">
        <v>85</v>
      </c>
      <c r="J564" s="29">
        <v>67</v>
      </c>
      <c r="K564" s="29">
        <v>88</v>
      </c>
      <c r="L564" s="29">
        <v>59</v>
      </c>
      <c r="M564" s="29">
        <v>71</v>
      </c>
      <c r="N564" s="29">
        <v>74</v>
      </c>
      <c r="O564" s="32">
        <v>529</v>
      </c>
      <c r="P564" s="29" cm="1">
        <f t="array" ref="P564">IF(表成绩单[[#This Row],[语文]]="","",SUMPRODUCT((表成绩单[考试日期]=表成绩单[[#This Row],[考试日期]])*(表成绩单[语文]&lt;9E+307)*(表成绩单[语文]&gt;表成绩单[[#This Row],[语文]]))+1)</f>
        <v>648</v>
      </c>
      <c r="Q564" s="29" cm="1">
        <f t="array" ref="Q564">IF(表成绩单[[#This Row],[数学]]="","",SUMPRODUCT((表成绩单[考试日期]=表成绩单[[#This Row],[考试日期]])*(表成绩单[数学]&lt;9E+307)*(表成绩单[数学]&gt;表成绩单[[#This Row],[数学]]))+1)</f>
        <v>571</v>
      </c>
      <c r="R564" s="29" cm="1">
        <f t="array" ref="R564">IF(表成绩单[[#This Row],[英语]]="","",SUMPRODUCT((表成绩单[考试日期]=表成绩单[[#This Row],[考试日期]])*(表成绩单[英语]&lt;9E+307)*(表成绩单[英语]&gt;表成绩单[[#This Row],[英语]]))+1)</f>
        <v>596</v>
      </c>
      <c r="S564" s="29" cm="1">
        <f t="array" ref="S564">IF(表成绩单[[#This Row],[物理]]="","",SUMPRODUCT((表成绩单[考试日期]=表成绩单[[#This Row],[考试日期]])*(表成绩单[物理]&lt;9E+307)*(表成绩单[物理]&gt;表成绩单[[#This Row],[物理]]))+1)</f>
        <v>54</v>
      </c>
      <c r="T564" s="29" cm="1">
        <f t="array" ref="T564">IF(表成绩单[[#This Row],[化学]]="","",SUMPRODUCT((表成绩单[考试日期]=表成绩单[[#This Row],[考试日期]])*(表成绩单[化学]&lt;9E+307)*(表成绩单[化学]&gt;表成绩单[[#This Row],[化学]]))+1)</f>
        <v>648</v>
      </c>
      <c r="U564" s="29" cm="1">
        <f t="array" ref="U564">IF(表成绩单[[#This Row],[政治]]="","",SUMPRODUCT((表成绩单[考试日期]=表成绩单[[#This Row],[考试日期]])*(表成绩单[政治]&lt;9E+307)*(表成绩单[政治]&gt;表成绩单[[#This Row],[政治]]))+1)</f>
        <v>467</v>
      </c>
      <c r="V564" s="29" cm="1">
        <f t="array" ref="V564">IF(表成绩单[[#This Row],[历史]]="","",SUMPRODUCT((表成绩单[考试日期]=表成绩单[[#This Row],[考试日期]])*(表成绩单[历史]&lt;9E+307)*(表成绩单[历史]&gt;表成绩单[[#This Row],[历史]]))+1)</f>
        <v>358</v>
      </c>
      <c r="W564" s="29" cm="1">
        <f t="array" ref="W564">IF(表成绩单[[#This Row],[总分]]="","",SUMPRODUCT((表成绩单[考试日期]=表成绩单[[#This Row],[考试日期]])*(表成绩单[总分]&lt;9E+307)*(表成绩单[总分]&gt;表成绩单[[#This Row],[总分]]))+1)</f>
        <v>560</v>
      </c>
    </row>
    <row r="565" ht="28" customHeight="1" spans="4:23">
      <c r="D565" s="31">
        <v>45975</v>
      </c>
      <c r="E565" s="29">
        <v>19173245</v>
      </c>
      <c r="F565" s="29" t="s">
        <v>61</v>
      </c>
      <c r="G565" s="29" t="s">
        <v>638</v>
      </c>
      <c r="H565" s="29">
        <v>79</v>
      </c>
      <c r="I565" s="29">
        <v>92</v>
      </c>
      <c r="J565" s="29">
        <v>50.5</v>
      </c>
      <c r="K565" s="29">
        <v>88</v>
      </c>
      <c r="L565" s="29">
        <v>85</v>
      </c>
      <c r="M565" s="29">
        <v>61</v>
      </c>
      <c r="N565" s="29">
        <v>73</v>
      </c>
      <c r="O565" s="32">
        <v>528.5</v>
      </c>
      <c r="P565" s="29" cm="1">
        <f t="array" ref="P565">IF(表成绩单[[#This Row],[语文]]="","",SUMPRODUCT((表成绩单[考试日期]=表成绩单[[#This Row],[考试日期]])*(表成绩单[语文]&lt;9E+307)*(表成绩单[语文]&gt;表成绩单[[#This Row],[语文]]))+1)</f>
        <v>716</v>
      </c>
      <c r="Q565" s="29" cm="1">
        <f t="array" ref="Q565">IF(表成绩单[[#This Row],[数学]]="","",SUMPRODUCT((表成绩单[考试日期]=表成绩单[[#This Row],[考试日期]])*(表成绩单[数学]&lt;9E+307)*(表成绩单[数学]&gt;表成绩单[[#This Row],[数学]]))+1)</f>
        <v>480</v>
      </c>
      <c r="R565" s="29" cm="1">
        <f t="array" ref="R565">IF(表成绩单[[#This Row],[英语]]="","",SUMPRODUCT((表成绩单[考试日期]=表成绩单[[#This Row],[考试日期]])*(表成绩单[英语]&lt;9E+307)*(表成绩单[英语]&gt;表成绩单[[#This Row],[英语]]))+1)</f>
        <v>720</v>
      </c>
      <c r="S565" s="29" cm="1">
        <f t="array" ref="S565">IF(表成绩单[[#This Row],[物理]]="","",SUMPRODUCT((表成绩单[考试日期]=表成绩单[[#This Row],[考试日期]])*(表成绩单[物理]&lt;9E+307)*(表成绩单[物理]&gt;表成绩单[[#This Row],[物理]]))+1)</f>
        <v>54</v>
      </c>
      <c r="T565" s="29" cm="1">
        <f t="array" ref="T565">IF(表成绩单[[#This Row],[化学]]="","",SUMPRODUCT((表成绩单[考试日期]=表成绩单[[#This Row],[考试日期]])*(表成绩单[化学]&lt;9E+307)*(表成绩单[化学]&gt;表成绩单[[#This Row],[化学]]))+1)</f>
        <v>19</v>
      </c>
      <c r="U565" s="29" cm="1">
        <f t="array" ref="U565">IF(表成绩单[[#This Row],[政治]]="","",SUMPRODUCT((表成绩单[考试日期]=表成绩单[[#This Row],[考试日期]])*(表成绩单[政治]&lt;9E+307)*(表成绩单[政治]&gt;表成绩单[[#This Row],[政治]]))+1)</f>
        <v>644</v>
      </c>
      <c r="V565" s="29" cm="1">
        <f t="array" ref="V565">IF(表成绩单[[#This Row],[历史]]="","",SUMPRODUCT((表成绩单[考试日期]=表成绩单[[#This Row],[考试日期]])*(表成绩单[历史]&lt;9E+307)*(表成绩单[历史]&gt;表成绩单[[#This Row],[历史]]))+1)</f>
        <v>395</v>
      </c>
      <c r="W565" s="29" cm="1">
        <f t="array" ref="W565">IF(表成绩单[[#This Row],[总分]]="","",SUMPRODUCT((表成绩单[考试日期]=表成绩单[[#This Row],[考试日期]])*(表成绩单[总分]&lt;9E+307)*(表成绩单[总分]&gt;表成绩单[[#This Row],[总分]]))+1)</f>
        <v>561</v>
      </c>
    </row>
    <row r="566" ht="28" customHeight="1" spans="4:23">
      <c r="D566" s="31">
        <v>45975</v>
      </c>
      <c r="E566" s="29">
        <v>19178607</v>
      </c>
      <c r="F566" s="29" t="s">
        <v>64</v>
      </c>
      <c r="G566" s="29" t="s">
        <v>639</v>
      </c>
      <c r="H566" s="29">
        <v>98</v>
      </c>
      <c r="I566" s="29">
        <v>83</v>
      </c>
      <c r="J566" s="29">
        <v>66.5</v>
      </c>
      <c r="K566" s="29">
        <v>81</v>
      </c>
      <c r="L566" s="29">
        <v>58</v>
      </c>
      <c r="M566" s="29">
        <v>74</v>
      </c>
      <c r="N566" s="29">
        <v>68</v>
      </c>
      <c r="O566" s="32">
        <v>528.5</v>
      </c>
      <c r="P566" s="29" cm="1">
        <f t="array" ref="P566">IF(表成绩单[[#This Row],[语文]]="","",SUMPRODUCT((表成绩单[考试日期]=表成绩单[[#This Row],[考试日期]])*(表成绩单[语文]&lt;9E+307)*(表成绩单[语文]&gt;表成绩单[[#This Row],[语文]]))+1)</f>
        <v>305</v>
      </c>
      <c r="Q566" s="29" cm="1">
        <f t="array" ref="Q566">IF(表成绩单[[#This Row],[数学]]="","",SUMPRODUCT((表成绩单[考试日期]=表成绩单[[#This Row],[考试日期]])*(表成绩单[数学]&lt;9E+307)*(表成绩单[数学]&gt;表成绩单[[#This Row],[数学]]))+1)</f>
        <v>592</v>
      </c>
      <c r="R566" s="29" cm="1">
        <f t="array" ref="R566">IF(表成绩单[[#This Row],[英语]]="","",SUMPRODUCT((表成绩单[考试日期]=表成绩单[[#This Row],[考试日期]])*(表成绩单[英语]&lt;9E+307)*(表成绩单[英语]&gt;表成绩单[[#This Row],[英语]]))+1)</f>
        <v>606</v>
      </c>
      <c r="S566" s="29" cm="1">
        <f t="array" ref="S566">IF(表成绩单[[#This Row],[物理]]="","",SUMPRODUCT((表成绩单[考试日期]=表成绩单[[#This Row],[考试日期]])*(表成绩单[物理]&lt;9E+307)*(表成绩单[物理]&gt;表成绩单[[#This Row],[物理]]))+1)</f>
        <v>474</v>
      </c>
      <c r="T566" s="29" cm="1">
        <f t="array" ref="T566">IF(表成绩单[[#This Row],[化学]]="","",SUMPRODUCT((表成绩单[考试日期]=表成绩单[[#This Row],[考试日期]])*(表成绩单[化学]&lt;9E+307)*(表成绩单[化学]&gt;表成绩单[[#This Row],[化学]]))+1)</f>
        <v>659</v>
      </c>
      <c r="U566" s="29" cm="1">
        <f t="array" ref="U566">IF(表成绩单[[#This Row],[政治]]="","",SUMPRODUCT((表成绩单[考试日期]=表成绩单[[#This Row],[考试日期]])*(表成绩单[政治]&lt;9E+307)*(表成绩单[政治]&gt;表成绩单[[#This Row],[政治]]))+1)</f>
        <v>389</v>
      </c>
      <c r="V566" s="29" cm="1">
        <f t="array" ref="V566">IF(表成绩单[[#This Row],[历史]]="","",SUMPRODUCT((表成绩单[考试日期]=表成绩单[[#This Row],[考试日期]])*(表成绩单[历史]&lt;9E+307)*(表成绩单[历史]&gt;表成绩单[[#This Row],[历史]]))+1)</f>
        <v>571</v>
      </c>
      <c r="W566" s="29" cm="1">
        <f t="array" ref="W566">IF(表成绩单[[#This Row],[总分]]="","",SUMPRODUCT((表成绩单[考试日期]=表成绩单[[#This Row],[考试日期]])*(表成绩单[总分]&lt;9E+307)*(表成绩单[总分]&gt;表成绩单[[#This Row],[总分]]))+1)</f>
        <v>561</v>
      </c>
    </row>
    <row r="567" ht="28" customHeight="1" spans="4:23">
      <c r="D567" s="31">
        <v>45975</v>
      </c>
      <c r="E567" s="29">
        <v>19175982</v>
      </c>
      <c r="F567" s="29" t="s">
        <v>59</v>
      </c>
      <c r="G567" s="29" t="s">
        <v>640</v>
      </c>
      <c r="H567" s="29">
        <v>97</v>
      </c>
      <c r="I567" s="29">
        <v>86</v>
      </c>
      <c r="J567" s="29">
        <v>73</v>
      </c>
      <c r="K567" s="29">
        <v>79</v>
      </c>
      <c r="L567" s="29">
        <v>69</v>
      </c>
      <c r="M567" s="29">
        <v>63</v>
      </c>
      <c r="N567" s="29">
        <v>61</v>
      </c>
      <c r="O567" s="32">
        <v>528</v>
      </c>
      <c r="P567" s="29" cm="1">
        <f t="array" ref="P567">IF(表成绩单[[#This Row],[语文]]="","",SUMPRODUCT((表成绩单[考试日期]=表成绩单[[#This Row],[考试日期]])*(表成绩单[语文]&lt;9E+307)*(表成绩单[语文]&gt;表成绩单[[#This Row],[语文]]))+1)</f>
        <v>349</v>
      </c>
      <c r="Q567" s="29" cm="1">
        <f t="array" ref="Q567">IF(表成绩单[[#This Row],[数学]]="","",SUMPRODUCT((表成绩单[考试日期]=表成绩单[[#This Row],[考试日期]])*(表成绩单[数学]&lt;9E+307)*(表成绩单[数学]&gt;表成绩单[[#This Row],[数学]]))+1)</f>
        <v>562</v>
      </c>
      <c r="R567" s="29" cm="1">
        <f t="array" ref="R567">IF(表成绩单[[#This Row],[英语]]="","",SUMPRODUCT((表成绩单[考试日期]=表成绩单[[#This Row],[考试日期]])*(表成绩单[英语]&lt;9E+307)*(表成绩单[英语]&gt;表成绩单[[#This Row],[英语]]))+1)</f>
        <v>485</v>
      </c>
      <c r="S567" s="29" cm="1">
        <f t="array" ref="S567">IF(表成绩单[[#This Row],[物理]]="","",SUMPRODUCT((表成绩单[考试日期]=表成绩单[[#This Row],[考试日期]])*(表成绩单[物理]&lt;9E+307)*(表成绩单[物理]&gt;表成绩单[[#This Row],[物理]]))+1)</f>
        <v>534</v>
      </c>
      <c r="T567" s="29" cm="1">
        <f t="array" ref="T567">IF(表成绩单[[#This Row],[化学]]="","",SUMPRODUCT((表成绩单[考试日期]=表成绩单[[#This Row],[考试日期]])*(表成绩单[化学]&lt;9E+307)*(表成绩单[化学]&gt;表成绩单[[#This Row],[化学]]))+1)</f>
        <v>478</v>
      </c>
      <c r="U567" s="29" cm="1">
        <f t="array" ref="U567">IF(表成绩单[[#This Row],[政治]]="","",SUMPRODUCT((表成绩单[考试日期]=表成绩单[[#This Row],[考试日期]])*(表成绩单[政治]&lt;9E+307)*(表成绩单[政治]&gt;表成绩单[[#This Row],[政治]]))+1)</f>
        <v>618</v>
      </c>
      <c r="V567" s="29" cm="1">
        <f t="array" ref="V567">IF(表成绩单[[#This Row],[历史]]="","",SUMPRODUCT((表成绩单[考试日期]=表成绩单[[#This Row],[考试日期]])*(表成绩单[历史]&lt;9E+307)*(表成绩单[历史]&gt;表成绩单[[#This Row],[历史]]))+1)</f>
        <v>702</v>
      </c>
      <c r="W567" s="29" cm="1">
        <f t="array" ref="W567">IF(表成绩单[[#This Row],[总分]]="","",SUMPRODUCT((表成绩单[考试日期]=表成绩单[[#This Row],[考试日期]])*(表成绩单[总分]&lt;9E+307)*(表成绩单[总分]&gt;表成绩单[[#This Row],[总分]]))+1)</f>
        <v>563</v>
      </c>
    </row>
    <row r="568" ht="28" customHeight="1" spans="4:23">
      <c r="D568" s="31">
        <v>45975</v>
      </c>
      <c r="E568" s="29">
        <v>19178600</v>
      </c>
      <c r="F568" s="29" t="s">
        <v>64</v>
      </c>
      <c r="G568" s="29" t="s">
        <v>641</v>
      </c>
      <c r="H568" s="29">
        <v>95</v>
      </c>
      <c r="I568" s="29">
        <v>78</v>
      </c>
      <c r="J568" s="29">
        <v>73</v>
      </c>
      <c r="K568" s="29">
        <v>70</v>
      </c>
      <c r="L568" s="29">
        <v>69</v>
      </c>
      <c r="M568" s="29">
        <v>72</v>
      </c>
      <c r="N568" s="29">
        <v>71</v>
      </c>
      <c r="O568" s="32">
        <v>528</v>
      </c>
      <c r="P568" s="29" cm="1">
        <f t="array" ref="P568">IF(表成绩单[[#This Row],[语文]]="","",SUMPRODUCT((表成绩单[考试日期]=表成绩单[[#This Row],[考试日期]])*(表成绩单[语文]&lt;9E+307)*(表成绩单[语文]&gt;表成绩单[[#This Row],[语文]]))+1)</f>
        <v>420</v>
      </c>
      <c r="Q568" s="29" cm="1">
        <f t="array" ref="Q568">IF(表成绩单[[#This Row],[数学]]="","",SUMPRODUCT((表成绩单[考试日期]=表成绩单[[#This Row],[考试日期]])*(表成绩单[数学]&lt;9E+307)*(表成绩单[数学]&gt;表成绩单[[#This Row],[数学]]))+1)</f>
        <v>644</v>
      </c>
      <c r="R568" s="29" cm="1">
        <f t="array" ref="R568">IF(表成绩单[[#This Row],[英语]]="","",SUMPRODUCT((表成绩单[考试日期]=表成绩单[[#This Row],[考试日期]])*(表成绩单[英语]&lt;9E+307)*(表成绩单[英语]&gt;表成绩单[[#This Row],[英语]]))+1)</f>
        <v>485</v>
      </c>
      <c r="S568" s="29" cm="1">
        <f t="array" ref="S568">IF(表成绩单[[#This Row],[物理]]="","",SUMPRODUCT((表成绩单[考试日期]=表成绩单[[#This Row],[考试日期]])*(表成绩单[物理]&lt;9E+307)*(表成绩单[物理]&gt;表成绩单[[#This Row],[物理]]))+1)</f>
        <v>653</v>
      </c>
      <c r="T568" s="29" cm="1">
        <f t="array" ref="T568">IF(表成绩单[[#This Row],[化学]]="","",SUMPRODUCT((表成绩单[考试日期]=表成绩单[[#This Row],[考试日期]])*(表成绩单[化学]&lt;9E+307)*(表成绩单[化学]&gt;表成绩单[[#This Row],[化学]]))+1)</f>
        <v>478</v>
      </c>
      <c r="U568" s="29" cm="1">
        <f t="array" ref="U568">IF(表成绩单[[#This Row],[政治]]="","",SUMPRODUCT((表成绩单[考试日期]=表成绩单[[#This Row],[考试日期]])*(表成绩单[政治]&lt;9E+307)*(表成绩单[政治]&gt;表成绩单[[#This Row],[政治]]))+1)</f>
        <v>448</v>
      </c>
      <c r="V568" s="29" cm="1">
        <f t="array" ref="V568">IF(表成绩单[[#This Row],[历史]]="","",SUMPRODUCT((表成绩单[考试日期]=表成绩单[[#This Row],[考试日期]])*(表成绩单[历史]&lt;9E+307)*(表成绩单[历史]&gt;表成绩单[[#This Row],[历史]]))+1)</f>
        <v>480</v>
      </c>
      <c r="W568" s="29" cm="1">
        <f t="array" ref="W568">IF(表成绩单[[#This Row],[总分]]="","",SUMPRODUCT((表成绩单[考试日期]=表成绩单[[#This Row],[考试日期]])*(表成绩单[总分]&lt;9E+307)*(表成绩单[总分]&gt;表成绩单[[#This Row],[总分]]))+1)</f>
        <v>563</v>
      </c>
    </row>
    <row r="569" ht="28" customHeight="1" spans="4:23">
      <c r="D569" s="31">
        <v>45975</v>
      </c>
      <c r="E569" s="29">
        <v>19175315</v>
      </c>
      <c r="F569" s="29" t="s">
        <v>55</v>
      </c>
      <c r="G569" s="29" t="s">
        <v>642</v>
      </c>
      <c r="H569" s="29">
        <v>94</v>
      </c>
      <c r="I569" s="29">
        <v>85</v>
      </c>
      <c r="J569" s="29">
        <v>68.5</v>
      </c>
      <c r="K569" s="29">
        <v>84</v>
      </c>
      <c r="L569" s="29">
        <v>76</v>
      </c>
      <c r="M569" s="29">
        <v>62</v>
      </c>
      <c r="N569" s="29">
        <v>58</v>
      </c>
      <c r="O569" s="32">
        <v>527.5</v>
      </c>
      <c r="P569" s="29" cm="1">
        <f t="array" ref="P569">IF(表成绩单[[#This Row],[语文]]="","",SUMPRODUCT((表成绩单[考试日期]=表成绩单[[#This Row],[考试日期]])*(表成绩单[语文]&lt;9E+307)*(表成绩单[语文]&gt;表成绩单[[#This Row],[语文]]))+1)</f>
        <v>452</v>
      </c>
      <c r="Q569" s="29" cm="1">
        <f t="array" ref="Q569">IF(表成绩单[[#This Row],[数学]]="","",SUMPRODUCT((表成绩单[考试日期]=表成绩单[[#This Row],[考试日期]])*(表成绩单[数学]&lt;9E+307)*(表成绩单[数学]&gt;表成绩单[[#This Row],[数学]]))+1)</f>
        <v>571</v>
      </c>
      <c r="R569" s="29" cm="1">
        <f t="array" ref="R569">IF(表成绩单[[#This Row],[英语]]="","",SUMPRODUCT((表成绩单[考试日期]=表成绩单[[#This Row],[考试日期]])*(表成绩单[英语]&lt;9E+307)*(表成绩单[英语]&gt;表成绩单[[#This Row],[英语]]))+1)</f>
        <v>571</v>
      </c>
      <c r="S569" s="29" cm="1">
        <f t="array" ref="S569">IF(表成绩单[[#This Row],[物理]]="","",SUMPRODUCT((表成绩单[考试日期]=表成绩单[[#This Row],[考试日期]])*(表成绩单[物理]&lt;9E+307)*(表成绩单[物理]&gt;表成绩单[[#This Row],[物理]]))+1)</f>
        <v>344</v>
      </c>
      <c r="T569" s="29" cm="1">
        <f t="array" ref="T569">IF(表成绩单[[#This Row],[化学]]="","",SUMPRODUCT((表成绩单[考试日期]=表成绩单[[#This Row],[考试日期]])*(表成绩单[化学]&lt;9E+307)*(表成绩单[化学]&gt;表成绩单[[#This Row],[化学]]))+1)</f>
        <v>268</v>
      </c>
      <c r="U569" s="29" cm="1">
        <f t="array" ref="U569">IF(表成绩单[[#This Row],[政治]]="","",SUMPRODUCT((表成绩单[考试日期]=表成绩单[[#This Row],[考试日期]])*(表成绩单[政治]&lt;9E+307)*(表成绩单[政治]&gt;表成绩单[[#This Row],[政治]]))+1)</f>
        <v>628</v>
      </c>
      <c r="V569" s="29" cm="1">
        <f t="array" ref="V569">IF(表成绩单[[#This Row],[历史]]="","",SUMPRODUCT((表成绩单[考试日期]=表成绩单[[#This Row],[考试日期]])*(表成绩单[历史]&lt;9E+307)*(表成绩单[历史]&gt;表成绩单[[#This Row],[历史]]))+1)</f>
        <v>735</v>
      </c>
      <c r="W569" s="29" cm="1">
        <f t="array" ref="W569">IF(表成绩单[[#This Row],[总分]]="","",SUMPRODUCT((表成绩单[考试日期]=表成绩单[[#This Row],[考试日期]])*(表成绩单[总分]&lt;9E+307)*(表成绩单[总分]&gt;表成绩单[[#This Row],[总分]]))+1)</f>
        <v>565</v>
      </c>
    </row>
    <row r="570" ht="28" customHeight="1" spans="4:23">
      <c r="D570" s="31">
        <v>45975</v>
      </c>
      <c r="E570" s="29">
        <v>19178652</v>
      </c>
      <c r="F570" s="29" t="s">
        <v>25</v>
      </c>
      <c r="G570" s="29" t="s">
        <v>643</v>
      </c>
      <c r="H570" s="29">
        <v>87</v>
      </c>
      <c r="I570" s="29">
        <v>91</v>
      </c>
      <c r="J570" s="29">
        <v>69.5</v>
      </c>
      <c r="K570" s="29">
        <v>82</v>
      </c>
      <c r="L570" s="29">
        <v>75</v>
      </c>
      <c r="M570" s="29">
        <v>61</v>
      </c>
      <c r="N570" s="29">
        <v>62</v>
      </c>
      <c r="O570" s="32">
        <v>527.5</v>
      </c>
      <c r="P570" s="29" cm="1">
        <f t="array" ref="P570">IF(表成绩单[[#This Row],[语文]]="","",SUMPRODUCT((表成绩单[考试日期]=表成绩单[[#This Row],[考试日期]])*(表成绩单[语文]&lt;9E+307)*(表成绩单[语文]&gt;表成绩单[[#This Row],[语文]]))+1)</f>
        <v>615</v>
      </c>
      <c r="Q570" s="29" cm="1">
        <f t="array" ref="Q570">IF(表成绩单[[#This Row],[数学]]="","",SUMPRODUCT((表成绩单[考试日期]=表成绩单[[#This Row],[考试日期]])*(表成绩单[数学]&lt;9E+307)*(表成绩单[数学]&gt;表成绩单[[#This Row],[数学]]))+1)</f>
        <v>495</v>
      </c>
      <c r="R570" s="29" cm="1">
        <f t="array" ref="R570">IF(表成绩单[[#This Row],[英语]]="","",SUMPRODUCT((表成绩单[考试日期]=表成绩单[[#This Row],[考试日期]])*(表成绩单[英语]&lt;9E+307)*(表成绩单[英语]&gt;表成绩单[[#This Row],[英语]]))+1)</f>
        <v>560</v>
      </c>
      <c r="S570" s="29" cm="1">
        <f t="array" ref="S570">IF(表成绩单[[#This Row],[物理]]="","",SUMPRODUCT((表成绩单[考试日期]=表成绩单[[#This Row],[考试日期]])*(表成绩单[物理]&lt;9E+307)*(表成绩单[物理]&gt;表成绩单[[#This Row],[物理]]))+1)</f>
        <v>433</v>
      </c>
      <c r="T570" s="29" cm="1">
        <f t="array" ref="T570">IF(表成绩单[[#This Row],[化学]]="","",SUMPRODUCT((表成绩单[考试日期]=表成绩单[[#This Row],[考试日期]])*(表成绩单[化学]&lt;9E+307)*(表成绩单[化学]&gt;表成绩单[[#This Row],[化学]]))+1)</f>
        <v>310</v>
      </c>
      <c r="U570" s="29" cm="1">
        <f t="array" ref="U570">IF(表成绩单[[#This Row],[政治]]="","",SUMPRODUCT((表成绩单[考试日期]=表成绩单[[#This Row],[考试日期]])*(表成绩单[政治]&lt;9E+307)*(表成绩单[政治]&gt;表成绩单[[#This Row],[政治]]))+1)</f>
        <v>644</v>
      </c>
      <c r="V570" s="29" cm="1">
        <f t="array" ref="V570">IF(表成绩单[[#This Row],[历史]]="","",SUMPRODUCT((表成绩单[考试日期]=表成绩单[[#This Row],[考试日期]])*(表成绩单[历史]&lt;9E+307)*(表成绩单[历史]&gt;表成绩单[[#This Row],[历史]]))+1)</f>
        <v>688</v>
      </c>
      <c r="W570" s="29" cm="1">
        <f t="array" ref="W570">IF(表成绩单[[#This Row],[总分]]="","",SUMPRODUCT((表成绩单[考试日期]=表成绩单[[#This Row],[考试日期]])*(表成绩单[总分]&lt;9E+307)*(表成绩单[总分]&gt;表成绩单[[#This Row],[总分]]))+1)</f>
        <v>565</v>
      </c>
    </row>
    <row r="571" ht="28" customHeight="1" spans="4:23">
      <c r="D571" s="31">
        <v>45975</v>
      </c>
      <c r="E571" s="29">
        <v>19172645</v>
      </c>
      <c r="F571" s="29" t="s">
        <v>60</v>
      </c>
      <c r="G571" s="29" t="s">
        <v>644</v>
      </c>
      <c r="H571" s="29">
        <v>88</v>
      </c>
      <c r="I571" s="29">
        <v>91</v>
      </c>
      <c r="J571" s="29">
        <v>66</v>
      </c>
      <c r="K571" s="29">
        <v>77</v>
      </c>
      <c r="L571" s="29">
        <v>62</v>
      </c>
      <c r="M571" s="29">
        <v>69</v>
      </c>
      <c r="N571" s="29">
        <v>74</v>
      </c>
      <c r="O571" s="32">
        <v>527</v>
      </c>
      <c r="P571" s="29" cm="1">
        <f t="array" ref="P571">IF(表成绩单[[#This Row],[语文]]="","",SUMPRODUCT((表成绩单[考试日期]=表成绩单[[#This Row],[考试日期]])*(表成绩单[语文]&lt;9E+307)*(表成绩单[语文]&gt;表成绩单[[#This Row],[语文]]))+1)</f>
        <v>595</v>
      </c>
      <c r="Q571" s="29" cm="1">
        <f t="array" ref="Q571">IF(表成绩单[[#This Row],[数学]]="","",SUMPRODUCT((表成绩单[考试日期]=表成绩单[[#This Row],[考试日期]])*(表成绩单[数学]&lt;9E+307)*(表成绩单[数学]&gt;表成绩单[[#This Row],[数学]]))+1)</f>
        <v>495</v>
      </c>
      <c r="R571" s="29" cm="1">
        <f t="array" ref="R571">IF(表成绩单[[#This Row],[英语]]="","",SUMPRODUCT((表成绩单[考试日期]=表成绩单[[#This Row],[考试日期]])*(表成绩单[英语]&lt;9E+307)*(表成绩单[英语]&gt;表成绩单[[#This Row],[英语]]))+1)</f>
        <v>609</v>
      </c>
      <c r="S571" s="29" cm="1">
        <f t="array" ref="S571">IF(表成绩单[[#This Row],[物理]]="","",SUMPRODUCT((表成绩单[考试日期]=表成绩单[[#This Row],[考试日期]])*(表成绩单[物理]&lt;9E+307)*(表成绩单[物理]&gt;表成绩单[[#This Row],[物理]]))+1)</f>
        <v>572</v>
      </c>
      <c r="T571" s="29" cm="1">
        <f t="array" ref="T571">IF(表成绩单[[#This Row],[化学]]="","",SUMPRODUCT((表成绩单[考试日期]=表成绩单[[#This Row],[考试日期]])*(表成绩单[化学]&lt;9E+307)*(表成绩单[化学]&gt;表成绩单[[#This Row],[化学]]))+1)</f>
        <v>605</v>
      </c>
      <c r="U571" s="29" cm="1">
        <f t="array" ref="U571">IF(表成绩单[[#This Row],[政治]]="","",SUMPRODUCT((表成绩单[考试日期]=表成绩单[[#This Row],[考试日期]])*(表成绩单[政治]&lt;9E+307)*(表成绩单[政治]&gt;表成绩单[[#This Row],[政治]]))+1)</f>
        <v>507</v>
      </c>
      <c r="V571" s="29" cm="1">
        <f t="array" ref="V571">IF(表成绩单[[#This Row],[历史]]="","",SUMPRODUCT((表成绩单[考试日期]=表成绩单[[#This Row],[考试日期]])*(表成绩单[历史]&lt;9E+307)*(表成绩单[历史]&gt;表成绩单[[#This Row],[历史]]))+1)</f>
        <v>358</v>
      </c>
      <c r="W571" s="29" cm="1">
        <f t="array" ref="W571">IF(表成绩单[[#This Row],[总分]]="","",SUMPRODUCT((表成绩单[考试日期]=表成绩单[[#This Row],[考试日期]])*(表成绩单[总分]&lt;9E+307)*(表成绩单[总分]&gt;表成绩单[[#This Row],[总分]]))+1)</f>
        <v>567</v>
      </c>
    </row>
    <row r="572" ht="28" customHeight="1" spans="4:23">
      <c r="D572" s="31">
        <v>45975</v>
      </c>
      <c r="E572" s="29">
        <v>19172654</v>
      </c>
      <c r="F572" s="29" t="s">
        <v>60</v>
      </c>
      <c r="G572" s="29" t="s">
        <v>645</v>
      </c>
      <c r="H572" s="29">
        <v>86</v>
      </c>
      <c r="I572" s="29">
        <v>94</v>
      </c>
      <c r="J572" s="29">
        <v>65</v>
      </c>
      <c r="K572" s="29">
        <v>87</v>
      </c>
      <c r="L572" s="29">
        <v>72</v>
      </c>
      <c r="M572" s="29">
        <v>64</v>
      </c>
      <c r="N572" s="29">
        <v>59</v>
      </c>
      <c r="O572" s="32">
        <v>527</v>
      </c>
      <c r="P572" s="29" cm="1">
        <f t="array" ref="P572">IF(表成绩单[[#This Row],[语文]]="","",SUMPRODUCT((表成绩单[考试日期]=表成绩单[[#This Row],[考试日期]])*(表成绩单[语文]&lt;9E+307)*(表成绩单[语文]&gt;表成绩单[[#This Row],[语文]]))+1)</f>
        <v>635</v>
      </c>
      <c r="Q572" s="29" cm="1">
        <f t="array" ref="Q572">IF(表成绩单[[#This Row],[数学]]="","",SUMPRODUCT((表成绩单[考试日期]=表成绩单[[#This Row],[考试日期]])*(表成绩单[数学]&lt;9E+307)*(表成绩单[数学]&gt;表成绩单[[#This Row],[数学]]))+1)</f>
        <v>454</v>
      </c>
      <c r="R572" s="29" cm="1">
        <f t="array" ref="R572">IF(表成绩单[[#This Row],[英语]]="","",SUMPRODUCT((表成绩单[考试日期]=表成绩单[[#This Row],[考试日期]])*(表成绩单[英语]&lt;9E+307)*(表成绩单[英语]&gt;表成绩单[[#This Row],[英语]]))+1)</f>
        <v>616</v>
      </c>
      <c r="S572" s="29" cm="1">
        <f t="array" ref="S572">IF(表成绩单[[#This Row],[物理]]="","",SUMPRODUCT((表成绩单[考试日期]=表成绩单[[#This Row],[考试日期]])*(表成绩单[物理]&lt;9E+307)*(表成绩单[物理]&gt;表成绩单[[#This Row],[物理]]))+1)</f>
        <v>127</v>
      </c>
      <c r="T572" s="29" cm="1">
        <f t="array" ref="T572">IF(表成绩单[[#This Row],[化学]]="","",SUMPRODUCT((表成绩单[考试日期]=表成绩单[[#This Row],[考试日期]])*(表成绩单[化学]&lt;9E+307)*(表成绩单[化学]&gt;表成绩单[[#This Row],[化学]]))+1)</f>
        <v>405</v>
      </c>
      <c r="U572" s="29" cm="1">
        <f t="array" ref="U572">IF(表成绩单[[#This Row],[政治]]="","",SUMPRODUCT((表成绩单[考试日期]=表成绩单[[#This Row],[考试日期]])*(表成绩单[政治]&lt;9E+307)*(表成绩单[政治]&gt;表成绩单[[#This Row],[政治]]))+1)</f>
        <v>599</v>
      </c>
      <c r="V572" s="29" cm="1">
        <f t="array" ref="V572">IF(表成绩单[[#This Row],[历史]]="","",SUMPRODUCT((表成绩单[考试日期]=表成绩单[[#This Row],[考试日期]])*(表成绩单[历史]&lt;9E+307)*(表成绩单[历史]&gt;表成绩单[[#This Row],[历史]]))+1)</f>
        <v>724</v>
      </c>
      <c r="W572" s="29" cm="1">
        <f t="array" ref="W572">IF(表成绩单[[#This Row],[总分]]="","",SUMPRODUCT((表成绩单[考试日期]=表成绩单[[#This Row],[考试日期]])*(表成绩单[总分]&lt;9E+307)*(表成绩单[总分]&gt;表成绩单[[#This Row],[总分]]))+1)</f>
        <v>567</v>
      </c>
    </row>
    <row r="573" ht="28" customHeight="1" spans="4:23">
      <c r="D573" s="31">
        <v>45975</v>
      </c>
      <c r="E573" s="29">
        <v>19177595</v>
      </c>
      <c r="F573" s="29" t="s">
        <v>58</v>
      </c>
      <c r="G573" s="29" t="s">
        <v>646</v>
      </c>
      <c r="H573" s="29">
        <v>93</v>
      </c>
      <c r="I573" s="29">
        <v>83</v>
      </c>
      <c r="J573" s="29">
        <v>71</v>
      </c>
      <c r="K573" s="29">
        <v>88</v>
      </c>
      <c r="L573" s="29">
        <v>58</v>
      </c>
      <c r="M573" s="29">
        <v>64</v>
      </c>
      <c r="N573" s="29">
        <v>70</v>
      </c>
      <c r="O573" s="32">
        <v>527</v>
      </c>
      <c r="P573" s="29" cm="1">
        <f t="array" ref="P573">IF(表成绩单[[#This Row],[语文]]="","",SUMPRODUCT((表成绩单[考试日期]=表成绩单[[#This Row],[考试日期]])*(表成绩单[语文]&lt;9E+307)*(表成绩单[语文]&gt;表成绩单[[#This Row],[语文]]))+1)</f>
        <v>489</v>
      </c>
      <c r="Q573" s="29" cm="1">
        <f t="array" ref="Q573">IF(表成绩单[[#This Row],[数学]]="","",SUMPRODUCT((表成绩单[考试日期]=表成绩单[[#This Row],[考试日期]])*(表成绩单[数学]&lt;9E+307)*(表成绩单[数学]&gt;表成绩单[[#This Row],[数学]]))+1)</f>
        <v>592</v>
      </c>
      <c r="R573" s="29" cm="1">
        <f t="array" ref="R573">IF(表成绩单[[#This Row],[英语]]="","",SUMPRODUCT((表成绩单[考试日期]=表成绩单[[#This Row],[考试日期]])*(表成绩单[英语]&lt;9E+307)*(表成绩单[英语]&gt;表成绩单[[#This Row],[英语]]))+1)</f>
        <v>534</v>
      </c>
      <c r="S573" s="29" cm="1">
        <f t="array" ref="S573">IF(表成绩单[[#This Row],[物理]]="","",SUMPRODUCT((表成绩单[考试日期]=表成绩单[[#This Row],[考试日期]])*(表成绩单[物理]&lt;9E+307)*(表成绩单[物理]&gt;表成绩单[[#This Row],[物理]]))+1)</f>
        <v>54</v>
      </c>
      <c r="T573" s="29" cm="1">
        <f t="array" ref="T573">IF(表成绩单[[#This Row],[化学]]="","",SUMPRODUCT((表成绩单[考试日期]=表成绩单[[#This Row],[考试日期]])*(表成绩单[化学]&lt;9E+307)*(表成绩单[化学]&gt;表成绩单[[#This Row],[化学]]))+1)</f>
        <v>659</v>
      </c>
      <c r="U573" s="29" cm="1">
        <f t="array" ref="U573">IF(表成绩单[[#This Row],[政治]]="","",SUMPRODUCT((表成绩单[考试日期]=表成绩单[[#This Row],[考试日期]])*(表成绩单[政治]&lt;9E+307)*(表成绩单[政治]&gt;表成绩单[[#This Row],[政治]]))+1)</f>
        <v>599</v>
      </c>
      <c r="V573" s="29" cm="1">
        <f t="array" ref="V573">IF(表成绩单[[#This Row],[历史]]="","",SUMPRODUCT((表成绩单[考试日期]=表成绩单[[#This Row],[考试日期]])*(表成绩单[历史]&lt;9E+307)*(表成绩单[历史]&gt;表成绩单[[#This Row],[历史]]))+1)</f>
        <v>505</v>
      </c>
      <c r="W573" s="29" cm="1">
        <f t="array" ref="W573">IF(表成绩单[[#This Row],[总分]]="","",SUMPRODUCT((表成绩单[考试日期]=表成绩单[[#This Row],[考试日期]])*(表成绩单[总分]&lt;9E+307)*(表成绩单[总分]&gt;表成绩单[[#This Row],[总分]]))+1)</f>
        <v>567</v>
      </c>
    </row>
    <row r="574" ht="28" customHeight="1" spans="4:23">
      <c r="D574" s="31">
        <v>45975</v>
      </c>
      <c r="E574" s="29">
        <v>19175609</v>
      </c>
      <c r="F574" s="29" t="s">
        <v>57</v>
      </c>
      <c r="G574" s="29" t="s">
        <v>647</v>
      </c>
      <c r="H574" s="29">
        <v>81</v>
      </c>
      <c r="I574" s="29">
        <v>96</v>
      </c>
      <c r="J574" s="29">
        <v>58.5</v>
      </c>
      <c r="K574" s="29">
        <v>85</v>
      </c>
      <c r="L574" s="29">
        <v>62</v>
      </c>
      <c r="M574" s="29">
        <v>76</v>
      </c>
      <c r="N574" s="29">
        <v>68</v>
      </c>
      <c r="O574" s="32">
        <v>526.5</v>
      </c>
      <c r="P574" s="29" cm="1">
        <f t="array" ref="P574">IF(表成绩单[[#This Row],[语文]]="","",SUMPRODUCT((表成绩单[考试日期]=表成绩单[[#This Row],[考试日期]])*(表成绩单[语文]&lt;9E+307)*(表成绩单[语文]&gt;表成绩单[[#This Row],[语文]]))+1)</f>
        <v>688</v>
      </c>
      <c r="Q574" s="29" cm="1">
        <f t="array" ref="Q574">IF(表成绩单[[#This Row],[数学]]="","",SUMPRODUCT((表成绩单[考试日期]=表成绩单[[#This Row],[考试日期]])*(表成绩单[数学]&lt;9E+307)*(表成绩单[数学]&gt;表成绩单[[#This Row],[数学]]))+1)</f>
        <v>413</v>
      </c>
      <c r="R574" s="29" cm="1">
        <f t="array" ref="R574">IF(表成绩单[[#This Row],[英语]]="","",SUMPRODUCT((表成绩单[考试日期]=表成绩单[[#This Row],[考试日期]])*(表成绩单[英语]&lt;9E+307)*(表成绩单[英语]&gt;表成绩单[[#This Row],[英语]]))+1)</f>
        <v>680</v>
      </c>
      <c r="S574" s="29" cm="1">
        <f t="array" ref="S574">IF(表成绩单[[#This Row],[物理]]="","",SUMPRODUCT((表成绩单[考试日期]=表成绩单[[#This Row],[考试日期]])*(表成绩单[物理]&lt;9E+307)*(表成绩单[物理]&gt;表成绩单[[#This Row],[物理]]))+1)</f>
        <v>263</v>
      </c>
      <c r="T574" s="29" cm="1">
        <f t="array" ref="T574">IF(表成绩单[[#This Row],[化学]]="","",SUMPRODUCT((表成绩单[考试日期]=表成绩单[[#This Row],[考试日期]])*(表成绩单[化学]&lt;9E+307)*(表成绩单[化学]&gt;表成绩单[[#This Row],[化学]]))+1)</f>
        <v>605</v>
      </c>
      <c r="U574" s="29" cm="1">
        <f t="array" ref="U574">IF(表成绩单[[#This Row],[政治]]="","",SUMPRODUCT((表成绩单[考试日期]=表成绩单[[#This Row],[考试日期]])*(表成绩单[政治]&lt;9E+307)*(表成绩单[政治]&gt;表成绩单[[#This Row],[政治]]))+1)</f>
        <v>329</v>
      </c>
      <c r="V574" s="29" cm="1">
        <f t="array" ref="V574">IF(表成绩单[[#This Row],[历史]]="","",SUMPRODUCT((表成绩单[考试日期]=表成绩单[[#This Row],[考试日期]])*(表成绩单[历史]&lt;9E+307)*(表成绩单[历史]&gt;表成绩单[[#This Row],[历史]]))+1)</f>
        <v>571</v>
      </c>
      <c r="W574" s="29" cm="1">
        <f t="array" ref="W574">IF(表成绩单[[#This Row],[总分]]="","",SUMPRODUCT((表成绩单[考试日期]=表成绩单[[#This Row],[考试日期]])*(表成绩单[总分]&lt;9E+307)*(表成绩单[总分]&gt;表成绩单[[#This Row],[总分]]))+1)</f>
        <v>570</v>
      </c>
    </row>
    <row r="575" ht="28" customHeight="1" spans="4:23">
      <c r="D575" s="31">
        <v>45975</v>
      </c>
      <c r="E575" s="29">
        <v>19175631</v>
      </c>
      <c r="F575" s="29" t="s">
        <v>57</v>
      </c>
      <c r="G575" s="29" t="s">
        <v>648</v>
      </c>
      <c r="H575" s="29">
        <v>89</v>
      </c>
      <c r="I575" s="29">
        <v>87</v>
      </c>
      <c r="J575" s="29">
        <v>60.5</v>
      </c>
      <c r="K575" s="29">
        <v>82</v>
      </c>
      <c r="L575" s="29">
        <v>68</v>
      </c>
      <c r="M575" s="29">
        <v>65</v>
      </c>
      <c r="N575" s="29">
        <v>75</v>
      </c>
      <c r="O575" s="32">
        <v>526.5</v>
      </c>
      <c r="P575" s="29" cm="1">
        <f t="array" ref="P575">IF(表成绩单[[#This Row],[语文]]="","",SUMPRODUCT((表成绩单[考试日期]=表成绩单[[#This Row],[考试日期]])*(表成绩单[语文]&lt;9E+307)*(表成绩单[语文]&gt;表成绩单[[#This Row],[语文]]))+1)</f>
        <v>582</v>
      </c>
      <c r="Q575" s="29" cm="1">
        <f t="array" ref="Q575">IF(表成绩单[[#This Row],[数学]]="","",SUMPRODUCT((表成绩单[考试日期]=表成绩单[[#This Row],[考试日期]])*(表成绩单[数学]&lt;9E+307)*(表成绩单[数学]&gt;表成绩单[[#This Row],[数学]]))+1)</f>
        <v>547</v>
      </c>
      <c r="R575" s="29" cm="1">
        <f t="array" ref="R575">IF(表成绩单[[#This Row],[英语]]="","",SUMPRODUCT((表成绩单[考试日期]=表成绩单[[#This Row],[考试日期]])*(表成绩单[英语]&lt;9E+307)*(表成绩单[英语]&gt;表成绩单[[#This Row],[英语]]))+1)</f>
        <v>664</v>
      </c>
      <c r="S575" s="29" cm="1">
        <f t="array" ref="S575">IF(表成绩单[[#This Row],[物理]]="","",SUMPRODUCT((表成绩单[考试日期]=表成绩单[[#This Row],[考试日期]])*(表成绩单[物理]&lt;9E+307)*(表成绩单[物理]&gt;表成绩单[[#This Row],[物理]]))+1)</f>
        <v>433</v>
      </c>
      <c r="T575" s="29" cm="1">
        <f t="array" ref="T575">IF(表成绩单[[#This Row],[化学]]="","",SUMPRODUCT((表成绩单[考试日期]=表成绩单[[#This Row],[考试日期]])*(表成绩单[化学]&lt;9E+307)*(表成绩单[化学]&gt;表成绩单[[#This Row],[化学]]))+1)</f>
        <v>506</v>
      </c>
      <c r="U575" s="29" cm="1">
        <f t="array" ref="U575">IF(表成绩单[[#This Row],[政治]]="","",SUMPRODUCT((表成绩单[考试日期]=表成绩单[[#This Row],[考试日期]])*(表成绩单[政治]&lt;9E+307)*(表成绩单[政治]&gt;表成绩单[[#This Row],[政治]]))+1)</f>
        <v>579</v>
      </c>
      <c r="V575" s="29" cm="1">
        <f t="array" ref="V575">IF(表成绩单[[#This Row],[历史]]="","",SUMPRODUCT((表成绩单[考试日期]=表成绩单[[#This Row],[考试日期]])*(表成绩单[历史]&lt;9E+307)*(表成绩单[历史]&gt;表成绩单[[#This Row],[历史]]))+1)</f>
        <v>315</v>
      </c>
      <c r="W575" s="29" cm="1">
        <f t="array" ref="W575">IF(表成绩单[[#This Row],[总分]]="","",SUMPRODUCT((表成绩单[考试日期]=表成绩单[[#This Row],[考试日期]])*(表成绩单[总分]&lt;9E+307)*(表成绩单[总分]&gt;表成绩单[[#This Row],[总分]]))+1)</f>
        <v>570</v>
      </c>
    </row>
    <row r="576" ht="28" customHeight="1" spans="4:23">
      <c r="D576" s="31">
        <v>45975</v>
      </c>
      <c r="E576" s="29">
        <v>19177606</v>
      </c>
      <c r="F576" s="29" t="s">
        <v>58</v>
      </c>
      <c r="G576" s="29" t="s">
        <v>649</v>
      </c>
      <c r="H576" s="29">
        <v>91</v>
      </c>
      <c r="I576" s="29">
        <v>86</v>
      </c>
      <c r="J576" s="29">
        <v>74.5</v>
      </c>
      <c r="K576" s="29">
        <v>80</v>
      </c>
      <c r="L576" s="29">
        <v>55</v>
      </c>
      <c r="M576" s="29">
        <v>66</v>
      </c>
      <c r="N576" s="29">
        <v>74</v>
      </c>
      <c r="O576" s="32">
        <v>526.5</v>
      </c>
      <c r="P576" s="29" cm="1">
        <f t="array" ref="P576">IF(表成绩单[[#This Row],[语文]]="","",SUMPRODUCT((表成绩单[考试日期]=表成绩单[[#This Row],[考试日期]])*(表成绩单[语文]&lt;9E+307)*(表成绩单[语文]&gt;表成绩单[[#This Row],[语文]]))+1)</f>
        <v>536</v>
      </c>
      <c r="Q576" s="29" cm="1">
        <f t="array" ref="Q576">IF(表成绩单[[#This Row],[数学]]="","",SUMPRODUCT((表成绩单[考试日期]=表成绩单[[#This Row],[考试日期]])*(表成绩单[数学]&lt;9E+307)*(表成绩单[数学]&gt;表成绩单[[#This Row],[数学]]))+1)</f>
        <v>562</v>
      </c>
      <c r="R576" s="29" cm="1">
        <f t="array" ref="R576">IF(表成绩单[[#This Row],[英语]]="","",SUMPRODUCT((表成绩单[考试日期]=表成绩单[[#This Row],[考试日期]])*(表成绩单[英语]&lt;9E+307)*(表成绩单[英语]&gt;表成绩单[[#This Row],[英语]]))+1)</f>
        <v>445</v>
      </c>
      <c r="S576" s="29" cm="1">
        <f t="array" ref="S576">IF(表成绩单[[#This Row],[物理]]="","",SUMPRODUCT((表成绩单[考试日期]=表成绩单[[#This Row],[考试日期]])*(表成绩单[物理]&lt;9E+307)*(表成绩单[物理]&gt;表成绩单[[#This Row],[物理]]))+1)</f>
        <v>507</v>
      </c>
      <c r="T576" s="29" cm="1">
        <f t="array" ref="T576">IF(表成绩单[[#This Row],[化学]]="","",SUMPRODUCT((表成绩单[考试日期]=表成绩单[[#This Row],[考试日期]])*(表成绩单[化学]&lt;9E+307)*(表成绩单[化学]&gt;表成绩单[[#This Row],[化学]]))+1)</f>
        <v>692</v>
      </c>
      <c r="U576" s="29" cm="1">
        <f t="array" ref="U576">IF(表成绩单[[#This Row],[政治]]="","",SUMPRODUCT((表成绩单[考试日期]=表成绩单[[#This Row],[考试日期]])*(表成绩单[政治]&lt;9E+307)*(表成绩单[政治]&gt;表成绩单[[#This Row],[政治]]))+1)</f>
        <v>555</v>
      </c>
      <c r="V576" s="29" cm="1">
        <f t="array" ref="V576">IF(表成绩单[[#This Row],[历史]]="","",SUMPRODUCT((表成绩单[考试日期]=表成绩单[[#This Row],[考试日期]])*(表成绩单[历史]&lt;9E+307)*(表成绩单[历史]&gt;表成绩单[[#This Row],[历史]]))+1)</f>
        <v>358</v>
      </c>
      <c r="W576" s="29" cm="1">
        <f t="array" ref="W576">IF(表成绩单[[#This Row],[总分]]="","",SUMPRODUCT((表成绩单[考试日期]=表成绩单[[#This Row],[考试日期]])*(表成绩单[总分]&lt;9E+307)*(表成绩单[总分]&gt;表成绩单[[#This Row],[总分]]))+1)</f>
        <v>570</v>
      </c>
    </row>
    <row r="577" ht="28" customHeight="1" spans="4:23">
      <c r="D577" s="31">
        <v>45975</v>
      </c>
      <c r="E577" s="29">
        <v>19175983</v>
      </c>
      <c r="F577" s="29" t="s">
        <v>59</v>
      </c>
      <c r="G577" s="29" t="s">
        <v>650</v>
      </c>
      <c r="H577" s="29">
        <v>95</v>
      </c>
      <c r="I577" s="29">
        <v>88</v>
      </c>
      <c r="J577" s="29">
        <v>73</v>
      </c>
      <c r="K577" s="29">
        <v>73</v>
      </c>
      <c r="L577" s="29">
        <v>64</v>
      </c>
      <c r="M577" s="29">
        <v>68</v>
      </c>
      <c r="N577" s="29">
        <v>65</v>
      </c>
      <c r="O577" s="32">
        <v>526</v>
      </c>
      <c r="P577" s="29" cm="1">
        <f t="array" ref="P577">IF(表成绩单[[#This Row],[语文]]="","",SUMPRODUCT((表成绩单[考试日期]=表成绩单[[#This Row],[考试日期]])*(表成绩单[语文]&lt;9E+307)*(表成绩单[语文]&gt;表成绩单[[#This Row],[语文]]))+1)</f>
        <v>420</v>
      </c>
      <c r="Q577" s="29" cm="1">
        <f t="array" ref="Q577">IF(表成绩单[[#This Row],[数学]]="","",SUMPRODUCT((表成绩单[考试日期]=表成绩单[[#This Row],[考试日期]])*(表成绩单[数学]&lt;9E+307)*(表成绩单[数学]&gt;表成绩单[[#This Row],[数学]]))+1)</f>
        <v>527</v>
      </c>
      <c r="R577" s="29" cm="1">
        <f t="array" ref="R577">IF(表成绩单[[#This Row],[英语]]="","",SUMPRODUCT((表成绩单[考试日期]=表成绩单[[#This Row],[考试日期]])*(表成绩单[英语]&lt;9E+307)*(表成绩单[英语]&gt;表成绩单[[#This Row],[英语]]))+1)</f>
        <v>485</v>
      </c>
      <c r="S577" s="29" cm="1">
        <f t="array" ref="S577">IF(表成绩单[[#This Row],[物理]]="","",SUMPRODUCT((表成绩单[考试日期]=表成绩单[[#This Row],[考试日期]])*(表成绩单[物理]&lt;9E+307)*(表成绩单[物理]&gt;表成绩单[[#This Row],[物理]]))+1)</f>
        <v>626</v>
      </c>
      <c r="T577" s="29" cm="1">
        <f t="array" ref="T577">IF(表成绩单[[#This Row],[化学]]="","",SUMPRODUCT((表成绩单[考试日期]=表成绩单[[#This Row],[考试日期]])*(表成绩单[化学]&lt;9E+307)*(表成绩单[化学]&gt;表成绩单[[#This Row],[化学]]))+1)</f>
        <v>575</v>
      </c>
      <c r="U577" s="29" cm="1">
        <f t="array" ref="U577">IF(表成绩单[[#This Row],[政治]]="","",SUMPRODUCT((表成绩单[考试日期]=表成绩单[[#This Row],[考试日期]])*(表成绩单[政治]&lt;9E+307)*(表成绩单[政治]&gt;表成绩单[[#This Row],[政治]]))+1)</f>
        <v>527</v>
      </c>
      <c r="V577" s="29" cm="1">
        <f t="array" ref="V577">IF(表成绩单[[#This Row],[历史]]="","",SUMPRODUCT((表成绩单[考试日期]=表成绩单[[#This Row],[考试日期]])*(表成绩单[历史]&lt;9E+307)*(表成绩单[历史]&gt;表成绩单[[#This Row],[历史]]))+1)</f>
        <v>644</v>
      </c>
      <c r="W577" s="29" cm="1">
        <f t="array" ref="W577">IF(表成绩单[[#This Row],[总分]]="","",SUMPRODUCT((表成绩单[考试日期]=表成绩单[[#This Row],[考试日期]])*(表成绩单[总分]&lt;9E+307)*(表成绩单[总分]&gt;表成绩单[[#This Row],[总分]]))+1)</f>
        <v>573</v>
      </c>
    </row>
    <row r="578" ht="28" customHeight="1" spans="4:23">
      <c r="D578" s="31">
        <v>45975</v>
      </c>
      <c r="E578" s="29">
        <v>19178622</v>
      </c>
      <c r="F578" s="29" t="s">
        <v>25</v>
      </c>
      <c r="G578" s="29" t="s">
        <v>651</v>
      </c>
      <c r="H578" s="29">
        <v>95</v>
      </c>
      <c r="I578" s="29">
        <v>82</v>
      </c>
      <c r="J578" s="29">
        <v>69.5</v>
      </c>
      <c r="K578" s="29">
        <v>74</v>
      </c>
      <c r="L578" s="29">
        <v>69</v>
      </c>
      <c r="M578" s="29">
        <v>74</v>
      </c>
      <c r="N578" s="29">
        <v>62</v>
      </c>
      <c r="O578" s="32">
        <v>525.5</v>
      </c>
      <c r="P578" s="29" cm="1">
        <f t="array" ref="P578">IF(表成绩单[[#This Row],[语文]]="","",SUMPRODUCT((表成绩单[考试日期]=表成绩单[[#This Row],[考试日期]])*(表成绩单[语文]&lt;9E+307)*(表成绩单[语文]&gt;表成绩单[[#This Row],[语文]]))+1)</f>
        <v>420</v>
      </c>
      <c r="Q578" s="29" cm="1">
        <f t="array" ref="Q578">IF(表成绩单[[#This Row],[数学]]="","",SUMPRODUCT((表成绩单[考试日期]=表成绩单[[#This Row],[考试日期]])*(表成绩单[数学]&lt;9E+307)*(表成绩单[数学]&gt;表成绩单[[#This Row],[数学]]))+1)</f>
        <v>607</v>
      </c>
      <c r="R578" s="29" cm="1">
        <f t="array" ref="R578">IF(表成绩单[[#This Row],[英语]]="","",SUMPRODUCT((表成绩单[考试日期]=表成绩单[[#This Row],[考试日期]])*(表成绩单[英语]&lt;9E+307)*(表成绩单[英语]&gt;表成绩单[[#This Row],[英语]]))+1)</f>
        <v>560</v>
      </c>
      <c r="S578" s="29" cm="1">
        <f t="array" ref="S578">IF(表成绩单[[#This Row],[物理]]="","",SUMPRODUCT((表成绩单[考试日期]=表成绩单[[#This Row],[考试日期]])*(表成绩单[物理]&lt;9E+307)*(表成绩单[物理]&gt;表成绩单[[#This Row],[物理]]))+1)</f>
        <v>616</v>
      </c>
      <c r="T578" s="29" cm="1">
        <f t="array" ref="T578">IF(表成绩单[[#This Row],[化学]]="","",SUMPRODUCT((表成绩单[考试日期]=表成绩单[[#This Row],[考试日期]])*(表成绩单[化学]&lt;9E+307)*(表成绩单[化学]&gt;表成绩单[[#This Row],[化学]]))+1)</f>
        <v>478</v>
      </c>
      <c r="U578" s="29" cm="1">
        <f t="array" ref="U578">IF(表成绩单[[#This Row],[政治]]="","",SUMPRODUCT((表成绩单[考试日期]=表成绩单[[#This Row],[考试日期]])*(表成绩单[政治]&lt;9E+307)*(表成绩单[政治]&gt;表成绩单[[#This Row],[政治]]))+1)</f>
        <v>389</v>
      </c>
      <c r="V578" s="29" cm="1">
        <f t="array" ref="V578">IF(表成绩单[[#This Row],[历史]]="","",SUMPRODUCT((表成绩单[考试日期]=表成绩单[[#This Row],[考试日期]])*(表成绩单[历史]&lt;9E+307)*(表成绩单[历史]&gt;表成绩单[[#This Row],[历史]]))+1)</f>
        <v>688</v>
      </c>
      <c r="W578" s="29" cm="1">
        <f t="array" ref="W578">IF(表成绩单[[#This Row],[总分]]="","",SUMPRODUCT((表成绩单[考试日期]=表成绩单[[#This Row],[考试日期]])*(表成绩单[总分]&lt;9E+307)*(表成绩单[总分]&gt;表成绩单[[#This Row],[总分]]))+1)</f>
        <v>574</v>
      </c>
    </row>
    <row r="579" ht="28" customHeight="1" spans="4:23">
      <c r="D579" s="31">
        <v>45975</v>
      </c>
      <c r="E579" s="29">
        <v>19175630</v>
      </c>
      <c r="F579" s="29" t="s">
        <v>57</v>
      </c>
      <c r="G579" s="29" t="s">
        <v>652</v>
      </c>
      <c r="H579" s="29">
        <v>90</v>
      </c>
      <c r="I579" s="29">
        <v>90</v>
      </c>
      <c r="J579" s="29">
        <v>72</v>
      </c>
      <c r="K579" s="29">
        <v>78</v>
      </c>
      <c r="L579" s="29">
        <v>68</v>
      </c>
      <c r="M579" s="29">
        <v>65</v>
      </c>
      <c r="N579" s="29">
        <v>61</v>
      </c>
      <c r="O579" s="32">
        <v>524</v>
      </c>
      <c r="P579" s="29" cm="1">
        <f t="array" ref="P579">IF(表成绩单[[#This Row],[语文]]="","",SUMPRODUCT((表成绩单[考试日期]=表成绩单[[#This Row],[考试日期]])*(表成绩单[语文]&lt;9E+307)*(表成绩单[语文]&gt;表成绩单[[#This Row],[语文]]))+1)</f>
        <v>561</v>
      </c>
      <c r="Q579" s="29" cm="1">
        <f t="array" ref="Q579">IF(表成绩单[[#This Row],[数学]]="","",SUMPRODUCT((表成绩单[考试日期]=表成绩单[[#This Row],[考试日期]])*(表成绩单[数学]&lt;9E+307)*(表成绩单[数学]&gt;表成绩单[[#This Row],[数学]]))+1)</f>
        <v>506</v>
      </c>
      <c r="R579" s="29" cm="1">
        <f t="array" ref="R579">IF(表成绩单[[#This Row],[英语]]="","",SUMPRODUCT((表成绩单[考试日期]=表成绩单[[#This Row],[考试日期]])*(表成绩单[英语]&lt;9E+307)*(表成绩单[英语]&gt;表成绩单[[#This Row],[英语]]))+1)</f>
        <v>507</v>
      </c>
      <c r="S579" s="29" cm="1">
        <f t="array" ref="S579">IF(表成绩单[[#This Row],[物理]]="","",SUMPRODUCT((表成绩单[考试日期]=表成绩单[[#This Row],[考试日期]])*(表成绩单[物理]&lt;9E+307)*(表成绩单[物理]&gt;表成绩单[[#This Row],[物理]]))+1)</f>
        <v>554</v>
      </c>
      <c r="T579" s="29" cm="1">
        <f t="array" ref="T579">IF(表成绩单[[#This Row],[化学]]="","",SUMPRODUCT((表成绩单[考试日期]=表成绩单[[#This Row],[考试日期]])*(表成绩单[化学]&lt;9E+307)*(表成绩单[化学]&gt;表成绩单[[#This Row],[化学]]))+1)</f>
        <v>506</v>
      </c>
      <c r="U579" s="29" cm="1">
        <f t="array" ref="U579">IF(表成绩单[[#This Row],[政治]]="","",SUMPRODUCT((表成绩单[考试日期]=表成绩单[[#This Row],[考试日期]])*(表成绩单[政治]&lt;9E+307)*(表成绩单[政治]&gt;表成绩单[[#This Row],[政治]]))+1)</f>
        <v>579</v>
      </c>
      <c r="V579" s="29" cm="1">
        <f t="array" ref="V579">IF(表成绩单[[#This Row],[历史]]="","",SUMPRODUCT((表成绩单[考试日期]=表成绩单[[#This Row],[考试日期]])*(表成绩单[历史]&lt;9E+307)*(表成绩单[历史]&gt;表成绩单[[#This Row],[历史]]))+1)</f>
        <v>702</v>
      </c>
      <c r="W579" s="29" cm="1">
        <f t="array" ref="W579">IF(表成绩单[[#This Row],[总分]]="","",SUMPRODUCT((表成绩单[考试日期]=表成绩单[[#This Row],[考试日期]])*(表成绩单[总分]&lt;9E+307)*(表成绩单[总分]&gt;表成绩单[[#This Row],[总分]]))+1)</f>
        <v>575</v>
      </c>
    </row>
    <row r="580" ht="28" customHeight="1" spans="4:23">
      <c r="D580" s="31">
        <v>45975</v>
      </c>
      <c r="E580" s="29">
        <v>19173252</v>
      </c>
      <c r="F580" s="29" t="s">
        <v>61</v>
      </c>
      <c r="G580" s="29" t="s">
        <v>653</v>
      </c>
      <c r="H580" s="29">
        <v>88</v>
      </c>
      <c r="I580" s="29">
        <v>97</v>
      </c>
      <c r="J580" s="29">
        <v>59.5</v>
      </c>
      <c r="K580" s="29">
        <v>77</v>
      </c>
      <c r="L580" s="29">
        <v>61</v>
      </c>
      <c r="M580" s="29">
        <v>67</v>
      </c>
      <c r="N580" s="29">
        <v>74</v>
      </c>
      <c r="O580" s="32">
        <v>523.5</v>
      </c>
      <c r="P580" s="29" cm="1">
        <f t="array" ref="P580">IF(表成绩单[[#This Row],[语文]]="","",SUMPRODUCT((表成绩单[考试日期]=表成绩单[[#This Row],[考试日期]])*(表成绩单[语文]&lt;9E+307)*(表成绩单[语文]&gt;表成绩单[[#This Row],[语文]]))+1)</f>
        <v>595</v>
      </c>
      <c r="Q580" s="29" cm="1">
        <f t="array" ref="Q580">IF(表成绩单[[#This Row],[数学]]="","",SUMPRODUCT((表成绩单[考试日期]=表成绩单[[#This Row],[考试日期]])*(表成绩单[数学]&lt;9E+307)*(表成绩单[数学]&gt;表成绩单[[#This Row],[数学]]))+1)</f>
        <v>389</v>
      </c>
      <c r="R580" s="29" cm="1">
        <f t="array" ref="R580">IF(表成绩单[[#This Row],[英语]]="","",SUMPRODUCT((表成绩单[考试日期]=表成绩单[[#This Row],[考试日期]])*(表成绩单[英语]&lt;9E+307)*(表成绩单[英语]&gt;表成绩单[[#This Row],[英语]]))+1)</f>
        <v>675</v>
      </c>
      <c r="S580" s="29" cm="1">
        <f t="array" ref="S580">IF(表成绩单[[#This Row],[物理]]="","",SUMPRODUCT((表成绩单[考试日期]=表成绩单[[#This Row],[考试日期]])*(表成绩单[物理]&lt;9E+307)*(表成绩单[物理]&gt;表成绩单[[#This Row],[物理]]))+1)</f>
        <v>572</v>
      </c>
      <c r="T580" s="29" cm="1">
        <f t="array" ref="T580">IF(表成绩单[[#This Row],[化学]]="","",SUMPRODUCT((表成绩单[考试日期]=表成绩单[[#This Row],[考试日期]])*(表成绩单[化学]&lt;9E+307)*(表成绩单[化学]&gt;表成绩单[[#This Row],[化学]]))+1)</f>
        <v>625</v>
      </c>
      <c r="U580" s="29" cm="1">
        <f t="array" ref="U580">IF(表成绩单[[#This Row],[政治]]="","",SUMPRODUCT((表成绩单[考试日期]=表成绩单[[#This Row],[考试日期]])*(表成绩单[政治]&lt;9E+307)*(表成绩单[政治]&gt;表成绩单[[#This Row],[政治]]))+1)</f>
        <v>543</v>
      </c>
      <c r="V580" s="29" cm="1">
        <f t="array" ref="V580">IF(表成绩单[[#This Row],[历史]]="","",SUMPRODUCT((表成绩单[考试日期]=表成绩单[[#This Row],[考试日期]])*(表成绩单[历史]&lt;9E+307)*(表成绩单[历史]&gt;表成绩单[[#This Row],[历史]]))+1)</f>
        <v>358</v>
      </c>
      <c r="W580" s="29" cm="1">
        <f t="array" ref="W580">IF(表成绩单[[#This Row],[总分]]="","",SUMPRODUCT((表成绩单[考试日期]=表成绩单[[#This Row],[考试日期]])*(表成绩单[总分]&lt;9E+307)*(表成绩单[总分]&gt;表成绩单[[#This Row],[总分]]))+1)</f>
        <v>576</v>
      </c>
    </row>
    <row r="581" ht="28" customHeight="1" spans="4:23">
      <c r="D581" s="31">
        <v>45975</v>
      </c>
      <c r="E581" s="29">
        <v>19174787</v>
      </c>
      <c r="F581" s="29" t="s">
        <v>69</v>
      </c>
      <c r="G581" s="29" t="s">
        <v>654</v>
      </c>
      <c r="H581" s="29">
        <v>98</v>
      </c>
      <c r="I581" s="29">
        <v>82</v>
      </c>
      <c r="J581" s="29">
        <v>72.5</v>
      </c>
      <c r="K581" s="29">
        <v>77</v>
      </c>
      <c r="L581" s="29">
        <v>71</v>
      </c>
      <c r="M581" s="29">
        <v>61</v>
      </c>
      <c r="N581" s="29">
        <v>62</v>
      </c>
      <c r="O581" s="32">
        <v>523.5</v>
      </c>
      <c r="P581" s="29" cm="1">
        <f t="array" ref="P581">IF(表成绩单[[#This Row],[语文]]="","",SUMPRODUCT((表成绩单[考试日期]=表成绩单[[#This Row],[考试日期]])*(表成绩单[语文]&lt;9E+307)*(表成绩单[语文]&gt;表成绩单[[#This Row],[语文]]))+1)</f>
        <v>305</v>
      </c>
      <c r="Q581" s="29" cm="1">
        <f t="array" ref="Q581">IF(表成绩单[[#This Row],[数学]]="","",SUMPRODUCT((表成绩单[考试日期]=表成绩单[[#This Row],[考试日期]])*(表成绩单[数学]&lt;9E+307)*(表成绩单[数学]&gt;表成绩单[[#This Row],[数学]]))+1)</f>
        <v>607</v>
      </c>
      <c r="R581" s="29" cm="1">
        <f t="array" ref="R581">IF(表成绩单[[#This Row],[英语]]="","",SUMPRODUCT((表成绩单[考试日期]=表成绩单[[#This Row],[考试日期]])*(表成绩单[英语]&lt;9E+307)*(表成绩单[英语]&gt;表成绩单[[#This Row],[英语]]))+1)</f>
        <v>498</v>
      </c>
      <c r="S581" s="29" cm="1">
        <f t="array" ref="S581">IF(表成绩单[[#This Row],[物理]]="","",SUMPRODUCT((表成绩单[考试日期]=表成绩单[[#This Row],[考试日期]])*(表成绩单[物理]&lt;9E+307)*(表成绩单[物理]&gt;表成绩单[[#This Row],[物理]]))+1)</f>
        <v>572</v>
      </c>
      <c r="T581" s="29" cm="1">
        <f t="array" ref="T581">IF(表成绩单[[#This Row],[化学]]="","",SUMPRODUCT((表成绩单[考试日期]=表成绩单[[#This Row],[考试日期]])*(表成绩单[化学]&lt;9E+307)*(表成绩单[化学]&gt;表成绩单[[#This Row],[化学]]))+1)</f>
        <v>432</v>
      </c>
      <c r="U581" s="29" cm="1">
        <f t="array" ref="U581">IF(表成绩单[[#This Row],[政治]]="","",SUMPRODUCT((表成绩单[考试日期]=表成绩单[[#This Row],[考试日期]])*(表成绩单[政治]&lt;9E+307)*(表成绩单[政治]&gt;表成绩单[[#This Row],[政治]]))+1)</f>
        <v>644</v>
      </c>
      <c r="V581" s="29" cm="1">
        <f t="array" ref="V581">IF(表成绩单[[#This Row],[历史]]="","",SUMPRODUCT((表成绩单[考试日期]=表成绩单[[#This Row],[考试日期]])*(表成绩单[历史]&lt;9E+307)*(表成绩单[历史]&gt;表成绩单[[#This Row],[历史]]))+1)</f>
        <v>688</v>
      </c>
      <c r="W581" s="29" cm="1">
        <f t="array" ref="W581">IF(表成绩单[[#This Row],[总分]]="","",SUMPRODUCT((表成绩单[考试日期]=表成绩单[[#This Row],[考试日期]])*(表成绩单[总分]&lt;9E+307)*(表成绩单[总分]&gt;表成绩单[[#This Row],[总分]]))+1)</f>
        <v>576</v>
      </c>
    </row>
    <row r="582" ht="28" customHeight="1" spans="4:23">
      <c r="D582" s="31">
        <v>45975</v>
      </c>
      <c r="E582" s="29">
        <v>19178611</v>
      </c>
      <c r="F582" s="29" t="s">
        <v>25</v>
      </c>
      <c r="G582" s="29" t="s">
        <v>655</v>
      </c>
      <c r="H582" s="29">
        <v>99</v>
      </c>
      <c r="I582" s="29">
        <v>80</v>
      </c>
      <c r="J582" s="29">
        <v>77.5</v>
      </c>
      <c r="K582" s="29">
        <v>72</v>
      </c>
      <c r="L582" s="29">
        <v>64</v>
      </c>
      <c r="M582" s="29">
        <v>61</v>
      </c>
      <c r="N582" s="29">
        <v>70</v>
      </c>
      <c r="O582" s="32">
        <v>523.5</v>
      </c>
      <c r="P582" s="29" cm="1">
        <f t="array" ref="P582">IF(表成绩单[[#This Row],[语文]]="","",SUMPRODUCT((表成绩单[考试日期]=表成绩单[[#This Row],[考试日期]])*(表成绩单[语文]&lt;9E+307)*(表成绩单[语文]&gt;表成绩单[[#This Row],[语文]]))+1)</f>
        <v>264</v>
      </c>
      <c r="Q582" s="29" cm="1">
        <f t="array" ref="Q582">IF(表成绩单[[#This Row],[数学]]="","",SUMPRODUCT((表成绩单[考试日期]=表成绩单[[#This Row],[考试日期]])*(表成绩单[数学]&lt;9E+307)*(表成绩单[数学]&gt;表成绩单[[#This Row],[数学]]))+1)</f>
        <v>626</v>
      </c>
      <c r="R582" s="29" cm="1">
        <f t="array" ref="R582">IF(表成绩单[[#This Row],[英语]]="","",SUMPRODUCT((表成绩单[考试日期]=表成绩单[[#This Row],[考试日期]])*(表成绩单[英语]&lt;9E+307)*(表成绩单[英语]&gt;表成绩单[[#This Row],[英语]]))+1)</f>
        <v>345</v>
      </c>
      <c r="S582" s="29" cm="1">
        <f t="array" ref="S582">IF(表成绩单[[#This Row],[物理]]="","",SUMPRODUCT((表成绩单[考试日期]=表成绩单[[#This Row],[考试日期]])*(表成绩单[物理]&lt;9E+307)*(表成绩单[物理]&gt;表成绩单[[#This Row],[物理]]))+1)</f>
        <v>633</v>
      </c>
      <c r="T582" s="29" cm="1">
        <f t="array" ref="T582">IF(表成绩单[[#This Row],[化学]]="","",SUMPRODUCT((表成绩单[考试日期]=表成绩单[[#This Row],[考试日期]])*(表成绩单[化学]&lt;9E+307)*(表成绩单[化学]&gt;表成绩单[[#This Row],[化学]]))+1)</f>
        <v>575</v>
      </c>
      <c r="U582" s="29" cm="1">
        <f t="array" ref="U582">IF(表成绩单[[#This Row],[政治]]="","",SUMPRODUCT((表成绩单[考试日期]=表成绩单[[#This Row],[考试日期]])*(表成绩单[政治]&lt;9E+307)*(表成绩单[政治]&gt;表成绩单[[#This Row],[政治]]))+1)</f>
        <v>644</v>
      </c>
      <c r="V582" s="29" cm="1">
        <f t="array" ref="V582">IF(表成绩单[[#This Row],[历史]]="","",SUMPRODUCT((表成绩单[考试日期]=表成绩单[[#This Row],[考试日期]])*(表成绩单[历史]&lt;9E+307)*(表成绩单[历史]&gt;表成绩单[[#This Row],[历史]]))+1)</f>
        <v>505</v>
      </c>
      <c r="W582" s="29" cm="1">
        <f t="array" ref="W582">IF(表成绩单[[#This Row],[总分]]="","",SUMPRODUCT((表成绩单[考试日期]=表成绩单[[#This Row],[考试日期]])*(表成绩单[总分]&lt;9E+307)*(表成绩单[总分]&gt;表成绩单[[#This Row],[总分]]))+1)</f>
        <v>576</v>
      </c>
    </row>
    <row r="583" ht="28" customHeight="1" spans="4:23">
      <c r="D583" s="31">
        <v>45975</v>
      </c>
      <c r="E583" s="29">
        <v>19175655</v>
      </c>
      <c r="F583" s="29" t="s">
        <v>66</v>
      </c>
      <c r="G583" s="29" t="s">
        <v>656</v>
      </c>
      <c r="H583" s="29">
        <v>96</v>
      </c>
      <c r="I583" s="29">
        <v>89</v>
      </c>
      <c r="J583" s="29">
        <v>64</v>
      </c>
      <c r="K583" s="29">
        <v>75</v>
      </c>
      <c r="L583" s="29">
        <v>63</v>
      </c>
      <c r="M583" s="29">
        <v>69</v>
      </c>
      <c r="N583" s="29">
        <v>67</v>
      </c>
      <c r="O583" s="32">
        <v>523</v>
      </c>
      <c r="P583" s="29" cm="1">
        <f t="array" ref="P583">IF(表成绩单[[#This Row],[语文]]="","",SUMPRODUCT((表成绩单[考试日期]=表成绩单[[#This Row],[考试日期]])*(表成绩单[语文]&lt;9E+307)*(表成绩单[语文]&gt;表成绩单[[#This Row],[语文]]))+1)</f>
        <v>387</v>
      </c>
      <c r="Q583" s="29" cm="1">
        <f t="array" ref="Q583">IF(表成绩单[[#This Row],[数学]]="","",SUMPRODUCT((表成绩单[考试日期]=表成绩单[[#This Row],[考试日期]])*(表成绩单[数学]&lt;9E+307)*(表成绩单[数学]&gt;表成绩单[[#This Row],[数学]]))+1)</f>
        <v>518</v>
      </c>
      <c r="R583" s="29" cm="1">
        <f t="array" ref="R583">IF(表成绩单[[#This Row],[英语]]="","",SUMPRODUCT((表成绩单[考试日期]=表成绩单[[#This Row],[考试日期]])*(表成绩单[英语]&lt;9E+307)*(表成绩单[英语]&gt;表成绩单[[#This Row],[英语]]))+1)</f>
        <v>630</v>
      </c>
      <c r="S583" s="29" cm="1">
        <f t="array" ref="S583">IF(表成绩单[[#This Row],[物理]]="","",SUMPRODUCT((表成绩单[考试日期]=表成绩单[[#This Row],[考试日期]])*(表成绩单[物理]&lt;9E+307)*(表成绩单[物理]&gt;表成绩单[[#This Row],[物理]]))+1)</f>
        <v>601</v>
      </c>
      <c r="T583" s="29" cm="1">
        <f t="array" ref="T583">IF(表成绩单[[#This Row],[化学]]="","",SUMPRODUCT((表成绩单[考试日期]=表成绩单[[#This Row],[考试日期]])*(表成绩单[化学]&lt;9E+307)*(表成绩单[化学]&gt;表成绩单[[#This Row],[化学]]))+1)</f>
        <v>588</v>
      </c>
      <c r="U583" s="29" cm="1">
        <f t="array" ref="U583">IF(表成绩单[[#This Row],[政治]]="","",SUMPRODUCT((表成绩单[考试日期]=表成绩单[[#This Row],[考试日期]])*(表成绩单[政治]&lt;9E+307)*(表成绩单[政治]&gt;表成绩单[[#This Row],[政治]]))+1)</f>
        <v>507</v>
      </c>
      <c r="V583" s="29" cm="1">
        <f t="array" ref="V583">IF(表成绩单[[#This Row],[历史]]="","",SUMPRODUCT((表成绩单[考试日期]=表成绩单[[#This Row],[考试日期]])*(表成绩单[历史]&lt;9E+307)*(表成绩单[历史]&gt;表成绩单[[#This Row],[历史]]))+1)</f>
        <v>597</v>
      </c>
      <c r="W583" s="29" cm="1">
        <f t="array" ref="W583">IF(表成绩单[[#This Row],[总分]]="","",SUMPRODUCT((表成绩单[考试日期]=表成绩单[[#This Row],[考试日期]])*(表成绩单[总分]&lt;9E+307)*(表成绩单[总分]&gt;表成绩单[[#This Row],[总分]]))+1)</f>
        <v>579</v>
      </c>
    </row>
    <row r="584" ht="28" customHeight="1" spans="4:23">
      <c r="D584" s="31">
        <v>45975</v>
      </c>
      <c r="E584" s="29">
        <v>19172623</v>
      </c>
      <c r="F584" s="29" t="s">
        <v>60</v>
      </c>
      <c r="G584" s="29" t="s">
        <v>657</v>
      </c>
      <c r="H584" s="29">
        <v>88</v>
      </c>
      <c r="I584" s="29">
        <v>86</v>
      </c>
      <c r="J584" s="29">
        <v>65</v>
      </c>
      <c r="K584" s="29">
        <v>77</v>
      </c>
      <c r="L584" s="29">
        <v>66</v>
      </c>
      <c r="M584" s="29">
        <v>71</v>
      </c>
      <c r="N584" s="29">
        <v>69</v>
      </c>
      <c r="O584" s="32">
        <v>522</v>
      </c>
      <c r="P584" s="29" cm="1">
        <f t="array" ref="P584">IF(表成绩单[[#This Row],[语文]]="","",SUMPRODUCT((表成绩单[考试日期]=表成绩单[[#This Row],[考试日期]])*(表成绩单[语文]&lt;9E+307)*(表成绩单[语文]&gt;表成绩单[[#This Row],[语文]]))+1)</f>
        <v>595</v>
      </c>
      <c r="Q584" s="29" cm="1">
        <f t="array" ref="Q584">IF(表成绩单[[#This Row],[数学]]="","",SUMPRODUCT((表成绩单[考试日期]=表成绩单[[#This Row],[考试日期]])*(表成绩单[数学]&lt;9E+307)*(表成绩单[数学]&gt;表成绩单[[#This Row],[数学]]))+1)</f>
        <v>562</v>
      </c>
      <c r="R584" s="29" cm="1">
        <f t="array" ref="R584">IF(表成绩单[[#This Row],[英语]]="","",SUMPRODUCT((表成绩单[考试日期]=表成绩单[[#This Row],[考试日期]])*(表成绩单[英语]&lt;9E+307)*(表成绩单[英语]&gt;表成绩单[[#This Row],[英语]]))+1)</f>
        <v>616</v>
      </c>
      <c r="S584" s="29" cm="1">
        <f t="array" ref="S584">IF(表成绩单[[#This Row],[物理]]="","",SUMPRODUCT((表成绩单[考试日期]=表成绩单[[#This Row],[考试日期]])*(表成绩单[物理]&lt;9E+307)*(表成绩单[物理]&gt;表成绩单[[#This Row],[物理]]))+1)</f>
        <v>572</v>
      </c>
      <c r="T584" s="29" cm="1">
        <f t="array" ref="T584">IF(表成绩单[[#This Row],[化学]]="","",SUMPRODUCT((表成绩单[考试日期]=表成绩单[[#This Row],[考试日期]])*(表成绩单[化学]&lt;9E+307)*(表成绩单[化学]&gt;表成绩单[[#This Row],[化学]]))+1)</f>
        <v>542</v>
      </c>
      <c r="U584" s="29" cm="1">
        <f t="array" ref="U584">IF(表成绩单[[#This Row],[政治]]="","",SUMPRODUCT((表成绩单[考试日期]=表成绩单[[#This Row],[考试日期]])*(表成绩单[政治]&lt;9E+307)*(表成绩单[政治]&gt;表成绩单[[#This Row],[政治]]))+1)</f>
        <v>467</v>
      </c>
      <c r="V584" s="29" cm="1">
        <f t="array" ref="V584">IF(表成绩单[[#This Row],[历史]]="","",SUMPRODUCT((表成绩单[考试日期]=表成绩单[[#This Row],[考试日期]])*(表成绩单[历史]&lt;9E+307)*(表成绩单[历史]&gt;表成绩单[[#This Row],[历史]]))+1)</f>
        <v>541</v>
      </c>
      <c r="W584" s="29" cm="1">
        <f t="array" ref="W584">IF(表成绩单[[#This Row],[总分]]="","",SUMPRODUCT((表成绩单[考试日期]=表成绩单[[#This Row],[考试日期]])*(表成绩单[总分]&lt;9E+307)*(表成绩单[总分]&gt;表成绩单[[#This Row],[总分]]))+1)</f>
        <v>580</v>
      </c>
    </row>
    <row r="585" ht="28" customHeight="1" spans="4:23">
      <c r="D585" s="31">
        <v>45975</v>
      </c>
      <c r="E585" s="29">
        <v>19173787</v>
      </c>
      <c r="F585" s="29" t="s">
        <v>65</v>
      </c>
      <c r="G585" s="29" t="s">
        <v>658</v>
      </c>
      <c r="H585" s="29">
        <v>72</v>
      </c>
      <c r="I585" s="29">
        <v>94</v>
      </c>
      <c r="J585" s="29">
        <v>68</v>
      </c>
      <c r="K585" s="29">
        <v>82</v>
      </c>
      <c r="L585" s="29">
        <v>72</v>
      </c>
      <c r="M585" s="29">
        <v>66</v>
      </c>
      <c r="N585" s="29">
        <v>68</v>
      </c>
      <c r="O585" s="32">
        <v>522</v>
      </c>
      <c r="P585" s="29" cm="1">
        <f t="array" ref="P585">IF(表成绩单[[#This Row],[语文]]="","",SUMPRODUCT((表成绩单[考试日期]=表成绩单[[#This Row],[考试日期]])*(表成绩单[语文]&lt;9E+307)*(表成绩单[语文]&gt;表成绩单[[#This Row],[语文]]))+1)</f>
        <v>759</v>
      </c>
      <c r="Q585" s="29" cm="1">
        <f t="array" ref="Q585">IF(表成绩单[[#This Row],[数学]]="","",SUMPRODUCT((表成绩单[考试日期]=表成绩单[[#This Row],[考试日期]])*(表成绩单[数学]&lt;9E+307)*(表成绩单[数学]&gt;表成绩单[[#This Row],[数学]]))+1)</f>
        <v>454</v>
      </c>
      <c r="R585" s="29" cm="1">
        <f t="array" ref="R585">IF(表成绩单[[#This Row],[英语]]="","",SUMPRODUCT((表成绩单[考试日期]=表成绩单[[#This Row],[考试日期]])*(表成绩单[英语]&lt;9E+307)*(表成绩单[英语]&gt;表成绩单[[#This Row],[英语]]))+1)</f>
        <v>584</v>
      </c>
      <c r="S585" s="29" cm="1">
        <f t="array" ref="S585">IF(表成绩单[[#This Row],[物理]]="","",SUMPRODUCT((表成绩单[考试日期]=表成绩单[[#This Row],[考试日期]])*(表成绩单[物理]&lt;9E+307)*(表成绩单[物理]&gt;表成绩单[[#This Row],[物理]]))+1)</f>
        <v>433</v>
      </c>
      <c r="T585" s="29" cm="1">
        <f t="array" ref="T585">IF(表成绩单[[#This Row],[化学]]="","",SUMPRODUCT((表成绩单[考试日期]=表成绩单[[#This Row],[考试日期]])*(表成绩单[化学]&lt;9E+307)*(表成绩单[化学]&gt;表成绩单[[#This Row],[化学]]))+1)</f>
        <v>405</v>
      </c>
      <c r="U585" s="29" cm="1">
        <f t="array" ref="U585">IF(表成绩单[[#This Row],[政治]]="","",SUMPRODUCT((表成绩单[考试日期]=表成绩单[[#This Row],[考试日期]])*(表成绩单[政治]&lt;9E+307)*(表成绩单[政治]&gt;表成绩单[[#This Row],[政治]]))+1)</f>
        <v>555</v>
      </c>
      <c r="V585" s="29" cm="1">
        <f t="array" ref="V585">IF(表成绩单[[#This Row],[历史]]="","",SUMPRODUCT((表成绩单[考试日期]=表成绩单[[#This Row],[考试日期]])*(表成绩单[历史]&lt;9E+307)*(表成绩单[历史]&gt;表成绩单[[#This Row],[历史]]))+1)</f>
        <v>571</v>
      </c>
      <c r="W585" s="29" cm="1">
        <f t="array" ref="W585">IF(表成绩单[[#This Row],[总分]]="","",SUMPRODUCT((表成绩单[考试日期]=表成绩单[[#This Row],[考试日期]])*(表成绩单[总分]&lt;9E+307)*(表成绩单[总分]&gt;表成绩单[[#This Row],[总分]]))+1)</f>
        <v>580</v>
      </c>
    </row>
    <row r="586" ht="28" customHeight="1" spans="4:23">
      <c r="D586" s="31">
        <v>45975</v>
      </c>
      <c r="E586" s="29">
        <v>19178595</v>
      </c>
      <c r="F586" s="29" t="s">
        <v>64</v>
      </c>
      <c r="G586" s="29" t="s">
        <v>659</v>
      </c>
      <c r="H586" s="29">
        <v>99</v>
      </c>
      <c r="I586" s="29">
        <v>83</v>
      </c>
      <c r="J586" s="29">
        <v>67</v>
      </c>
      <c r="K586" s="29">
        <v>83</v>
      </c>
      <c r="L586" s="29">
        <v>55</v>
      </c>
      <c r="M586" s="29">
        <v>69</v>
      </c>
      <c r="N586" s="29">
        <v>66</v>
      </c>
      <c r="O586" s="32">
        <v>522</v>
      </c>
      <c r="P586" s="29" cm="1">
        <f t="array" ref="P586">IF(表成绩单[[#This Row],[语文]]="","",SUMPRODUCT((表成绩单[考试日期]=表成绩单[[#This Row],[考试日期]])*(表成绩单[语文]&lt;9E+307)*(表成绩单[语文]&gt;表成绩单[[#This Row],[语文]]))+1)</f>
        <v>264</v>
      </c>
      <c r="Q586" s="29" cm="1">
        <f t="array" ref="Q586">IF(表成绩单[[#This Row],[数学]]="","",SUMPRODUCT((表成绩单[考试日期]=表成绩单[[#This Row],[考试日期]])*(表成绩单[数学]&lt;9E+307)*(表成绩单[数学]&gt;表成绩单[[#This Row],[数学]]))+1)</f>
        <v>592</v>
      </c>
      <c r="R586" s="29" cm="1">
        <f t="array" ref="R586">IF(表成绩单[[#This Row],[英语]]="","",SUMPRODUCT((表成绩单[考试日期]=表成绩单[[#This Row],[考试日期]])*(表成绩单[英语]&lt;9E+307)*(表成绩单[英语]&gt;表成绩单[[#This Row],[英语]]))+1)</f>
        <v>596</v>
      </c>
      <c r="S586" s="29" cm="1">
        <f t="array" ref="S586">IF(表成绩单[[#This Row],[物理]]="","",SUMPRODUCT((表成绩单[考试日期]=表成绩单[[#This Row],[考试日期]])*(表成绩单[物理]&lt;9E+307)*(表成绩单[物理]&gt;表成绩单[[#This Row],[物理]]))+1)</f>
        <v>390</v>
      </c>
      <c r="T586" s="29" cm="1">
        <f t="array" ref="T586">IF(表成绩单[[#This Row],[化学]]="","",SUMPRODUCT((表成绩单[考试日期]=表成绩单[[#This Row],[考试日期]])*(表成绩单[化学]&lt;9E+307)*(表成绩单[化学]&gt;表成绩单[[#This Row],[化学]]))+1)</f>
        <v>692</v>
      </c>
      <c r="U586" s="29" cm="1">
        <f t="array" ref="U586">IF(表成绩单[[#This Row],[政治]]="","",SUMPRODUCT((表成绩单[考试日期]=表成绩单[[#This Row],[考试日期]])*(表成绩单[政治]&lt;9E+307)*(表成绩单[政治]&gt;表成绩单[[#This Row],[政治]]))+1)</f>
        <v>507</v>
      </c>
      <c r="V586" s="29" cm="1">
        <f t="array" ref="V586">IF(表成绩单[[#This Row],[历史]]="","",SUMPRODUCT((表成绩单[考试日期]=表成绩单[[#This Row],[考试日期]])*(表成绩单[历史]&lt;9E+307)*(表成绩单[历史]&gt;表成绩单[[#This Row],[历史]]))+1)</f>
        <v>622</v>
      </c>
      <c r="W586" s="29" cm="1">
        <f t="array" ref="W586">IF(表成绩单[[#This Row],[总分]]="","",SUMPRODUCT((表成绩单[考试日期]=表成绩单[[#This Row],[考试日期]])*(表成绩单[总分]&lt;9E+307)*(表成绩单[总分]&gt;表成绩单[[#This Row],[总分]]))+1)</f>
        <v>580</v>
      </c>
    </row>
    <row r="587" ht="28" customHeight="1" spans="4:23">
      <c r="D587" s="31">
        <v>45975</v>
      </c>
      <c r="E587" s="29">
        <v>19175980</v>
      </c>
      <c r="F587" s="29" t="s">
        <v>59</v>
      </c>
      <c r="G587" s="29" t="s">
        <v>660</v>
      </c>
      <c r="H587" s="29">
        <v>92</v>
      </c>
      <c r="I587" s="29">
        <v>83</v>
      </c>
      <c r="J587" s="29">
        <v>56.5</v>
      </c>
      <c r="K587" s="29">
        <v>81</v>
      </c>
      <c r="L587" s="29">
        <v>73</v>
      </c>
      <c r="M587" s="29">
        <v>65</v>
      </c>
      <c r="N587" s="29">
        <v>71</v>
      </c>
      <c r="O587" s="32">
        <v>521.5</v>
      </c>
      <c r="P587" s="29" cm="1">
        <f t="array" ref="P587">IF(表成绩单[[#This Row],[语文]]="","",SUMPRODUCT((表成绩单[考试日期]=表成绩单[[#This Row],[考试日期]])*(表成绩单[语文]&lt;9E+307)*(表成绩单[语文]&gt;表成绩单[[#This Row],[语文]]))+1)</f>
        <v>517</v>
      </c>
      <c r="Q587" s="29" cm="1">
        <f t="array" ref="Q587">IF(表成绩单[[#This Row],[数学]]="","",SUMPRODUCT((表成绩单[考试日期]=表成绩单[[#This Row],[考试日期]])*(表成绩单[数学]&lt;9E+307)*(表成绩单[数学]&gt;表成绩单[[#This Row],[数学]]))+1)</f>
        <v>592</v>
      </c>
      <c r="R587" s="29" cm="1">
        <f t="array" ref="R587">IF(表成绩单[[#This Row],[英语]]="","",SUMPRODUCT((表成绩单[考试日期]=表成绩单[[#This Row],[考试日期]])*(表成绩单[英语]&lt;9E+307)*(表成绩单[英语]&gt;表成绩单[[#This Row],[英语]]))+1)</f>
        <v>692</v>
      </c>
      <c r="S587" s="29" cm="1">
        <f t="array" ref="S587">IF(表成绩单[[#This Row],[物理]]="","",SUMPRODUCT((表成绩单[考试日期]=表成绩单[[#This Row],[考试日期]])*(表成绩单[物理]&lt;9E+307)*(表成绩单[物理]&gt;表成绩单[[#This Row],[物理]]))+1)</f>
        <v>474</v>
      </c>
      <c r="T587" s="29" cm="1">
        <f t="array" ref="T587">IF(表成绩单[[#This Row],[化学]]="","",SUMPRODUCT((表成绩单[考试日期]=表成绩单[[#This Row],[考试日期]])*(表成绩单[化学]&lt;9E+307)*(表成绩单[化学]&gt;表成绩单[[#This Row],[化学]]))+1)</f>
        <v>365</v>
      </c>
      <c r="U587" s="29" cm="1">
        <f t="array" ref="U587">IF(表成绩单[[#This Row],[政治]]="","",SUMPRODUCT((表成绩单[考试日期]=表成绩单[[#This Row],[考试日期]])*(表成绩单[政治]&lt;9E+307)*(表成绩单[政治]&gt;表成绩单[[#This Row],[政治]]))+1)</f>
        <v>579</v>
      </c>
      <c r="V587" s="29" cm="1">
        <f t="array" ref="V587">IF(表成绩单[[#This Row],[历史]]="","",SUMPRODUCT((表成绩单[考试日期]=表成绩单[[#This Row],[考试日期]])*(表成绩单[历史]&lt;9E+307)*(表成绩单[历史]&gt;表成绩单[[#This Row],[历史]]))+1)</f>
        <v>480</v>
      </c>
      <c r="W587" s="29" cm="1">
        <f t="array" ref="W587">IF(表成绩单[[#This Row],[总分]]="","",SUMPRODUCT((表成绩单[考试日期]=表成绩单[[#This Row],[考试日期]])*(表成绩单[总分]&lt;9E+307)*(表成绩单[总分]&gt;表成绩单[[#This Row],[总分]]))+1)</f>
        <v>583</v>
      </c>
    </row>
    <row r="588" ht="28" customHeight="1" spans="4:23">
      <c r="D588" s="31">
        <v>45975</v>
      </c>
      <c r="E588" s="29">
        <v>19178598</v>
      </c>
      <c r="F588" s="29" t="s">
        <v>64</v>
      </c>
      <c r="G588" s="29" t="s">
        <v>661</v>
      </c>
      <c r="H588" s="29">
        <v>91</v>
      </c>
      <c r="I588" s="29">
        <v>97</v>
      </c>
      <c r="J588" s="29">
        <v>73.5</v>
      </c>
      <c r="K588" s="29">
        <v>75</v>
      </c>
      <c r="L588" s="29">
        <v>65</v>
      </c>
      <c r="M588" s="29">
        <v>55</v>
      </c>
      <c r="N588" s="29">
        <v>65</v>
      </c>
      <c r="O588" s="32">
        <v>521.5</v>
      </c>
      <c r="P588" s="29" cm="1">
        <f t="array" ref="P588">IF(表成绩单[[#This Row],[语文]]="","",SUMPRODUCT((表成绩单[考试日期]=表成绩单[[#This Row],[考试日期]])*(表成绩单[语文]&lt;9E+307)*(表成绩单[语文]&gt;表成绩单[[#This Row],[语文]]))+1)</f>
        <v>536</v>
      </c>
      <c r="Q588" s="29" cm="1">
        <f t="array" ref="Q588">IF(表成绩单[[#This Row],[数学]]="","",SUMPRODUCT((表成绩单[考试日期]=表成绩单[[#This Row],[考试日期]])*(表成绩单[数学]&lt;9E+307)*(表成绩单[数学]&gt;表成绩单[[#This Row],[数学]]))+1)</f>
        <v>389</v>
      </c>
      <c r="R588" s="29" cm="1">
        <f t="array" ref="R588">IF(表成绩单[[#This Row],[英语]]="","",SUMPRODUCT((表成绩单[考试日期]=表成绩单[[#This Row],[考试日期]])*(表成绩单[英语]&lt;9E+307)*(表成绩单[英语]&gt;表成绩单[[#This Row],[英语]]))+1)</f>
        <v>470</v>
      </c>
      <c r="S588" s="29" cm="1">
        <f t="array" ref="S588">IF(表成绩单[[#This Row],[物理]]="","",SUMPRODUCT((表成绩单[考试日期]=表成绩单[[#This Row],[考试日期]])*(表成绩单[物理]&lt;9E+307)*(表成绩单[物理]&gt;表成绩单[[#This Row],[物理]]))+1)</f>
        <v>601</v>
      </c>
      <c r="T588" s="29" cm="1">
        <f t="array" ref="T588">IF(表成绩单[[#This Row],[化学]]="","",SUMPRODUCT((表成绩单[考试日期]=表成绩单[[#This Row],[考试日期]])*(表成绩单[化学]&lt;9E+307)*(表成绩单[化学]&gt;表成绩单[[#This Row],[化学]]))+1)</f>
        <v>559</v>
      </c>
      <c r="U588" s="29" cm="1">
        <f t="array" ref="U588">IF(表成绩单[[#This Row],[政治]]="","",SUMPRODUCT((表成绩单[考试日期]=表成绩单[[#This Row],[考试日期]])*(表成绩单[政治]&lt;9E+307)*(表成绩单[政治]&gt;表成绩单[[#This Row],[政治]]))+1)</f>
        <v>713</v>
      </c>
      <c r="V588" s="29" cm="1">
        <f t="array" ref="V588">IF(表成绩单[[#This Row],[历史]]="","",SUMPRODUCT((表成绩单[考试日期]=表成绩单[[#This Row],[考试日期]])*(表成绩单[历史]&lt;9E+307)*(表成绩单[历史]&gt;表成绩单[[#This Row],[历史]]))+1)</f>
        <v>644</v>
      </c>
      <c r="W588" s="29" cm="1">
        <f t="array" ref="W588">IF(表成绩单[[#This Row],[总分]]="","",SUMPRODUCT((表成绩单[考试日期]=表成绩单[[#This Row],[考试日期]])*(表成绩单[总分]&lt;9E+307)*(表成绩单[总分]&gt;表成绩单[[#This Row],[总分]]))+1)</f>
        <v>583</v>
      </c>
    </row>
    <row r="589" ht="28" customHeight="1" spans="4:23">
      <c r="D589" s="31">
        <v>45975</v>
      </c>
      <c r="E589" s="29">
        <v>19172624</v>
      </c>
      <c r="F589" s="29" t="s">
        <v>60</v>
      </c>
      <c r="G589" s="29" t="s">
        <v>662</v>
      </c>
      <c r="H589" s="29">
        <v>81</v>
      </c>
      <c r="I589" s="29">
        <v>94</v>
      </c>
      <c r="J589" s="29">
        <v>74</v>
      </c>
      <c r="K589" s="29">
        <v>86</v>
      </c>
      <c r="L589" s="29">
        <v>77</v>
      </c>
      <c r="M589" s="29">
        <v>47</v>
      </c>
      <c r="N589" s="29">
        <v>62</v>
      </c>
      <c r="O589" s="32">
        <v>521</v>
      </c>
      <c r="P589" s="29" cm="1">
        <f t="array" ref="P589">IF(表成绩单[[#This Row],[语文]]="","",SUMPRODUCT((表成绩单[考试日期]=表成绩单[[#This Row],[考试日期]])*(表成绩单[语文]&lt;9E+307)*(表成绩单[语文]&gt;表成绩单[[#This Row],[语文]]))+1)</f>
        <v>688</v>
      </c>
      <c r="Q589" s="29" cm="1">
        <f t="array" ref="Q589">IF(表成绩单[[#This Row],[数学]]="","",SUMPRODUCT((表成绩单[考试日期]=表成绩单[[#This Row],[考试日期]])*(表成绩单[数学]&lt;9E+307)*(表成绩单[数学]&gt;表成绩单[[#This Row],[数学]]))+1)</f>
        <v>454</v>
      </c>
      <c r="R589" s="29" cm="1">
        <f t="array" ref="R589">IF(表成绩单[[#This Row],[英语]]="","",SUMPRODUCT((表成绩单[考试日期]=表成绩单[[#This Row],[考试日期]])*(表成绩单[英语]&lt;9E+307)*(表成绩单[英语]&gt;表成绩单[[#This Row],[英语]]))+1)</f>
        <v>454</v>
      </c>
      <c r="S589" s="29" cm="1">
        <f t="array" ref="S589">IF(表成绩单[[#This Row],[物理]]="","",SUMPRODUCT((表成绩单[考试日期]=表成绩单[[#This Row],[考试日期]])*(表成绩单[物理]&lt;9E+307)*(表成绩单[物理]&gt;表成绩单[[#This Row],[物理]]))+1)</f>
        <v>187</v>
      </c>
      <c r="T589" s="29" cm="1">
        <f t="array" ref="T589">IF(表成绩单[[#This Row],[化学]]="","",SUMPRODUCT((表成绩单[考试日期]=表成绩单[[#This Row],[考试日期]])*(表成绩单[化学]&lt;9E+307)*(表成绩单[化学]&gt;表成绩单[[#This Row],[化学]]))+1)</f>
        <v>239</v>
      </c>
      <c r="U589" s="29" cm="1">
        <f t="array" ref="U589">IF(表成绩单[[#This Row],[政治]]="","",SUMPRODUCT((表成绩单[考试日期]=表成绩单[[#This Row],[考试日期]])*(表成绩单[政治]&lt;9E+307)*(表成绩单[政治]&gt;表成绩单[[#This Row],[政治]]))+1)</f>
        <v>773</v>
      </c>
      <c r="V589" s="29" cm="1">
        <f t="array" ref="V589">IF(表成绩单[[#This Row],[历史]]="","",SUMPRODUCT((表成绩单[考试日期]=表成绩单[[#This Row],[考试日期]])*(表成绩单[历史]&lt;9E+307)*(表成绩单[历史]&gt;表成绩单[[#This Row],[历史]]))+1)</f>
        <v>688</v>
      </c>
      <c r="W589" s="29" cm="1">
        <f t="array" ref="W589">IF(表成绩单[[#This Row],[总分]]="","",SUMPRODUCT((表成绩单[考试日期]=表成绩单[[#This Row],[考试日期]])*(表成绩单[总分]&lt;9E+307)*(表成绩单[总分]&gt;表成绩单[[#This Row],[总分]]))+1)</f>
        <v>585</v>
      </c>
    </row>
    <row r="590" ht="28" customHeight="1" spans="4:23">
      <c r="D590" s="31">
        <v>45975</v>
      </c>
      <c r="E590" s="29">
        <v>19173280</v>
      </c>
      <c r="F590" s="29" t="s">
        <v>61</v>
      </c>
      <c r="G590" s="29" t="s">
        <v>663</v>
      </c>
      <c r="H590" s="29">
        <v>94</v>
      </c>
      <c r="I590" s="29">
        <v>88</v>
      </c>
      <c r="J590" s="29">
        <v>64</v>
      </c>
      <c r="K590" s="29">
        <v>72</v>
      </c>
      <c r="L590" s="29">
        <v>71</v>
      </c>
      <c r="M590" s="29">
        <v>62</v>
      </c>
      <c r="N590" s="29">
        <v>70</v>
      </c>
      <c r="O590" s="32">
        <v>521</v>
      </c>
      <c r="P590" s="29" cm="1">
        <f t="array" ref="P590">IF(表成绩单[[#This Row],[语文]]="","",SUMPRODUCT((表成绩单[考试日期]=表成绩单[[#This Row],[考试日期]])*(表成绩单[语文]&lt;9E+307)*(表成绩单[语文]&gt;表成绩单[[#This Row],[语文]]))+1)</f>
        <v>452</v>
      </c>
      <c r="Q590" s="29" cm="1">
        <f t="array" ref="Q590">IF(表成绩单[[#This Row],[数学]]="","",SUMPRODUCT((表成绩单[考试日期]=表成绩单[[#This Row],[考试日期]])*(表成绩单[数学]&lt;9E+307)*(表成绩单[数学]&gt;表成绩单[[#This Row],[数学]]))+1)</f>
        <v>527</v>
      </c>
      <c r="R590" s="29" cm="1">
        <f t="array" ref="R590">IF(表成绩单[[#This Row],[英语]]="","",SUMPRODUCT((表成绩单[考试日期]=表成绩单[[#This Row],[考试日期]])*(表成绩单[英语]&lt;9E+307)*(表成绩单[英语]&gt;表成绩单[[#This Row],[英语]]))+1)</f>
        <v>630</v>
      </c>
      <c r="S590" s="29" cm="1">
        <f t="array" ref="S590">IF(表成绩单[[#This Row],[物理]]="","",SUMPRODUCT((表成绩单[考试日期]=表成绩单[[#This Row],[考试日期]])*(表成绩单[物理]&lt;9E+307)*(表成绩单[物理]&gt;表成绩单[[#This Row],[物理]]))+1)</f>
        <v>633</v>
      </c>
      <c r="T590" s="29" cm="1">
        <f t="array" ref="T590">IF(表成绩单[[#This Row],[化学]]="","",SUMPRODUCT((表成绩单[考试日期]=表成绩单[[#This Row],[考试日期]])*(表成绩单[化学]&lt;9E+307)*(表成绩单[化学]&gt;表成绩单[[#This Row],[化学]]))+1)</f>
        <v>432</v>
      </c>
      <c r="U590" s="29" cm="1">
        <f t="array" ref="U590">IF(表成绩单[[#This Row],[政治]]="","",SUMPRODUCT((表成绩单[考试日期]=表成绩单[[#This Row],[考试日期]])*(表成绩单[政治]&lt;9E+307)*(表成绩单[政治]&gt;表成绩单[[#This Row],[政治]]))+1)</f>
        <v>628</v>
      </c>
      <c r="V590" s="29" cm="1">
        <f t="array" ref="V590">IF(表成绩单[[#This Row],[历史]]="","",SUMPRODUCT((表成绩单[考试日期]=表成绩单[[#This Row],[考试日期]])*(表成绩单[历史]&lt;9E+307)*(表成绩单[历史]&gt;表成绩单[[#This Row],[历史]]))+1)</f>
        <v>505</v>
      </c>
      <c r="W590" s="29" cm="1">
        <f t="array" ref="W590">IF(表成绩单[[#This Row],[总分]]="","",SUMPRODUCT((表成绩单[考试日期]=表成绩单[[#This Row],[考试日期]])*(表成绩单[总分]&lt;9E+307)*(表成绩单[总分]&gt;表成绩单[[#This Row],[总分]]))+1)</f>
        <v>585</v>
      </c>
    </row>
    <row r="591" ht="28" customHeight="1" spans="4:23">
      <c r="D591" s="31">
        <v>45975</v>
      </c>
      <c r="E591" s="29">
        <v>19175683</v>
      </c>
      <c r="F591" s="29" t="s">
        <v>72</v>
      </c>
      <c r="G591" s="29" t="s">
        <v>664</v>
      </c>
      <c r="H591" s="29">
        <v>91</v>
      </c>
      <c r="I591" s="29">
        <v>84</v>
      </c>
      <c r="J591" s="29">
        <v>78.5</v>
      </c>
      <c r="K591" s="29">
        <v>81</v>
      </c>
      <c r="L591" s="29">
        <v>60</v>
      </c>
      <c r="M591" s="29">
        <v>53</v>
      </c>
      <c r="N591" s="29">
        <v>73</v>
      </c>
      <c r="O591" s="32">
        <v>520.5</v>
      </c>
      <c r="P591" s="29" cm="1">
        <f t="array" ref="P591">IF(表成绩单[[#This Row],[语文]]="","",SUMPRODUCT((表成绩单[考试日期]=表成绩单[[#This Row],[考试日期]])*(表成绩单[语文]&lt;9E+307)*(表成绩单[语文]&gt;表成绩单[[#This Row],[语文]]))+1)</f>
        <v>536</v>
      </c>
      <c r="Q591" s="29" cm="1">
        <f t="array" ref="Q591">IF(表成绩单[[#This Row],[数学]]="","",SUMPRODUCT((表成绩单[考试日期]=表成绩单[[#This Row],[考试日期]])*(表成绩单[数学]&lt;9E+307)*(表成绩单[数学]&gt;表成绩单[[#This Row],[数学]]))+1)</f>
        <v>580</v>
      </c>
      <c r="R591" s="29" cm="1">
        <f t="array" ref="R591">IF(表成绩单[[#This Row],[英语]]="","",SUMPRODUCT((表成绩单[考试日期]=表成绩单[[#This Row],[考试日期]])*(表成绩单[英语]&lt;9E+307)*(表成绩单[英语]&gt;表成绩单[[#This Row],[英语]]))+1)</f>
        <v>314</v>
      </c>
      <c r="S591" s="29" cm="1">
        <f t="array" ref="S591">IF(表成绩单[[#This Row],[物理]]="","",SUMPRODUCT((表成绩单[考试日期]=表成绩单[[#This Row],[考试日期]])*(表成绩单[物理]&lt;9E+307)*(表成绩单[物理]&gt;表成绩单[[#This Row],[物理]]))+1)</f>
        <v>474</v>
      </c>
      <c r="T591" s="29" cm="1">
        <f t="array" ref="T591">IF(表成绩单[[#This Row],[化学]]="","",SUMPRODUCT((表成绩单[考试日期]=表成绩单[[#This Row],[考试日期]])*(表成绩单[化学]&lt;9E+307)*(表成绩单[化学]&gt;表成绩单[[#This Row],[化学]]))+1)</f>
        <v>639</v>
      </c>
      <c r="U591" s="29" cm="1">
        <f t="array" ref="U591">IF(表成绩单[[#This Row],[政治]]="","",SUMPRODUCT((表成绩单[考试日期]=表成绩单[[#This Row],[考试日期]])*(表成绩单[政治]&lt;9E+307)*(表成绩单[政治]&gt;表成绩单[[#This Row],[政治]]))+1)</f>
        <v>734</v>
      </c>
      <c r="V591" s="29" cm="1">
        <f t="array" ref="V591">IF(表成绩单[[#This Row],[历史]]="","",SUMPRODUCT((表成绩单[考试日期]=表成绩单[[#This Row],[考试日期]])*(表成绩单[历史]&lt;9E+307)*(表成绩单[历史]&gt;表成绩单[[#This Row],[历史]]))+1)</f>
        <v>395</v>
      </c>
      <c r="W591" s="29" cm="1">
        <f t="array" ref="W591">IF(表成绩单[[#This Row],[总分]]="","",SUMPRODUCT((表成绩单[考试日期]=表成绩单[[#This Row],[考试日期]])*(表成绩单[总分]&lt;9E+307)*(表成绩单[总分]&gt;表成绩单[[#This Row],[总分]]))+1)</f>
        <v>587</v>
      </c>
    </row>
    <row r="592" ht="28" customHeight="1" spans="4:23">
      <c r="D592" s="31">
        <v>45975</v>
      </c>
      <c r="E592" s="29">
        <v>19175618</v>
      </c>
      <c r="F592" s="29" t="s">
        <v>57</v>
      </c>
      <c r="G592" s="29" t="s">
        <v>665</v>
      </c>
      <c r="H592" s="29">
        <v>98</v>
      </c>
      <c r="I592" s="29">
        <v>72</v>
      </c>
      <c r="J592" s="29">
        <v>85</v>
      </c>
      <c r="K592" s="29">
        <v>72</v>
      </c>
      <c r="L592" s="29">
        <v>60</v>
      </c>
      <c r="M592" s="29">
        <v>74</v>
      </c>
      <c r="N592" s="29">
        <v>59</v>
      </c>
      <c r="O592" s="32">
        <v>520</v>
      </c>
      <c r="P592" s="29" cm="1">
        <f t="array" ref="P592">IF(表成绩单[[#This Row],[语文]]="","",SUMPRODUCT((表成绩单[考试日期]=表成绩单[[#This Row],[考试日期]])*(表成绩单[语文]&lt;9E+307)*(表成绩单[语文]&gt;表成绩单[[#This Row],[语文]]))+1)</f>
        <v>305</v>
      </c>
      <c r="Q592" s="29" cm="1">
        <f t="array" ref="Q592">IF(表成绩单[[#This Row],[数学]]="","",SUMPRODUCT((表成绩单[考试日期]=表成绩单[[#This Row],[考试日期]])*(表成绩单[数学]&lt;9E+307)*(表成绩单[数学]&gt;表成绩单[[#This Row],[数学]]))+1)</f>
        <v>674</v>
      </c>
      <c r="R592" s="29" cm="1">
        <f t="array" ref="R592">IF(表成绩单[[#This Row],[英语]]="","",SUMPRODUCT((表成绩单[考试日期]=表成绩单[[#This Row],[考试日期]])*(表成绩单[英语]&lt;9E+307)*(表成绩单[英语]&gt;表成绩单[[#This Row],[英语]]))+1)</f>
        <v>69</v>
      </c>
      <c r="S592" s="29" cm="1">
        <f t="array" ref="S592">IF(表成绩单[[#This Row],[物理]]="","",SUMPRODUCT((表成绩单[考试日期]=表成绩单[[#This Row],[考试日期]])*(表成绩单[物理]&lt;9E+307)*(表成绩单[物理]&gt;表成绩单[[#This Row],[物理]]))+1)</f>
        <v>633</v>
      </c>
      <c r="T592" s="29" cm="1">
        <f t="array" ref="T592">IF(表成绩单[[#This Row],[化学]]="","",SUMPRODUCT((表成绩单[考试日期]=表成绩单[[#This Row],[考试日期]])*(表成绩单[化学]&lt;9E+307)*(表成绩单[化学]&gt;表成绩单[[#This Row],[化学]]))+1)</f>
        <v>639</v>
      </c>
      <c r="U592" s="29" cm="1">
        <f t="array" ref="U592">IF(表成绩单[[#This Row],[政治]]="","",SUMPRODUCT((表成绩单[考试日期]=表成绩单[[#This Row],[考试日期]])*(表成绩单[政治]&lt;9E+307)*(表成绩单[政治]&gt;表成绩单[[#This Row],[政治]]))+1)</f>
        <v>389</v>
      </c>
      <c r="V592" s="29" cm="1">
        <f t="array" ref="V592">IF(表成绩单[[#This Row],[历史]]="","",SUMPRODUCT((表成绩单[考试日期]=表成绩单[[#This Row],[考试日期]])*(表成绩单[历史]&lt;9E+307)*(表成绩单[历史]&gt;表成绩单[[#This Row],[历史]]))+1)</f>
        <v>724</v>
      </c>
      <c r="W592" s="29" cm="1">
        <f t="array" ref="W592">IF(表成绩单[[#This Row],[总分]]="","",SUMPRODUCT((表成绩单[考试日期]=表成绩单[[#This Row],[考试日期]])*(表成绩单[总分]&lt;9E+307)*(表成绩单[总分]&gt;表成绩单[[#This Row],[总分]]))+1)</f>
        <v>588</v>
      </c>
    </row>
    <row r="593" ht="28" customHeight="1" spans="4:23">
      <c r="D593" s="31">
        <v>45975</v>
      </c>
      <c r="E593" s="29">
        <v>19172653</v>
      </c>
      <c r="F593" s="29" t="s">
        <v>60</v>
      </c>
      <c r="G593" s="29" t="s">
        <v>666</v>
      </c>
      <c r="H593" s="29">
        <v>98</v>
      </c>
      <c r="I593" s="29">
        <v>75</v>
      </c>
      <c r="J593" s="29">
        <v>77.5</v>
      </c>
      <c r="K593" s="29">
        <v>77</v>
      </c>
      <c r="L593" s="29">
        <v>62</v>
      </c>
      <c r="M593" s="29">
        <v>65</v>
      </c>
      <c r="N593" s="29">
        <v>65</v>
      </c>
      <c r="O593" s="32">
        <v>519.5</v>
      </c>
      <c r="P593" s="29" cm="1">
        <f t="array" ref="P593">IF(表成绩单[[#This Row],[语文]]="","",SUMPRODUCT((表成绩单[考试日期]=表成绩单[[#This Row],[考试日期]])*(表成绩单[语文]&lt;9E+307)*(表成绩单[语文]&gt;表成绩单[[#This Row],[语文]]))+1)</f>
        <v>305</v>
      </c>
      <c r="Q593" s="29" cm="1">
        <f t="array" ref="Q593">IF(表成绩单[[#This Row],[数学]]="","",SUMPRODUCT((表成绩单[考试日期]=表成绩单[[#This Row],[考试日期]])*(表成绩单[数学]&lt;9E+307)*(表成绩单[数学]&gt;表成绩单[[#This Row],[数学]]))+1)</f>
        <v>663</v>
      </c>
      <c r="R593" s="29" cm="1">
        <f t="array" ref="R593">IF(表成绩单[[#This Row],[英语]]="","",SUMPRODUCT((表成绩单[考试日期]=表成绩单[[#This Row],[考试日期]])*(表成绩单[英语]&lt;9E+307)*(表成绩单[英语]&gt;表成绩单[[#This Row],[英语]]))+1)</f>
        <v>345</v>
      </c>
      <c r="S593" s="29" cm="1">
        <f t="array" ref="S593">IF(表成绩单[[#This Row],[物理]]="","",SUMPRODUCT((表成绩单[考试日期]=表成绩单[[#This Row],[考试日期]])*(表成绩单[物理]&lt;9E+307)*(表成绩单[物理]&gt;表成绩单[[#This Row],[物理]]))+1)</f>
        <v>572</v>
      </c>
      <c r="T593" s="29" cm="1">
        <f t="array" ref="T593">IF(表成绩单[[#This Row],[化学]]="","",SUMPRODUCT((表成绩单[考试日期]=表成绩单[[#This Row],[考试日期]])*(表成绩单[化学]&lt;9E+307)*(表成绩单[化学]&gt;表成绩单[[#This Row],[化学]]))+1)</f>
        <v>605</v>
      </c>
      <c r="U593" s="29" cm="1">
        <f t="array" ref="U593">IF(表成绩单[[#This Row],[政治]]="","",SUMPRODUCT((表成绩单[考试日期]=表成绩单[[#This Row],[考试日期]])*(表成绩单[政治]&lt;9E+307)*(表成绩单[政治]&gt;表成绩单[[#This Row],[政治]]))+1)</f>
        <v>579</v>
      </c>
      <c r="V593" s="29" cm="1">
        <f t="array" ref="V593">IF(表成绩单[[#This Row],[历史]]="","",SUMPRODUCT((表成绩单[考试日期]=表成绩单[[#This Row],[考试日期]])*(表成绩单[历史]&lt;9E+307)*(表成绩单[历史]&gt;表成绩单[[#This Row],[历史]]))+1)</f>
        <v>644</v>
      </c>
      <c r="W593" s="29" cm="1">
        <f t="array" ref="W593">IF(表成绩单[[#This Row],[总分]]="","",SUMPRODUCT((表成绩单[考试日期]=表成绩单[[#This Row],[考试日期]])*(表成绩单[总分]&lt;9E+307)*(表成绩单[总分]&gt;表成绩单[[#This Row],[总分]]))+1)</f>
        <v>589</v>
      </c>
    </row>
    <row r="594" ht="28" customHeight="1" spans="4:23">
      <c r="D594" s="31">
        <v>45975</v>
      </c>
      <c r="E594" s="29">
        <v>19173260</v>
      </c>
      <c r="F594" s="29" t="s">
        <v>61</v>
      </c>
      <c r="G594" s="29" t="s">
        <v>667</v>
      </c>
      <c r="H594" s="29">
        <v>94</v>
      </c>
      <c r="I594" s="29">
        <v>87</v>
      </c>
      <c r="J594" s="29">
        <v>51.5</v>
      </c>
      <c r="K594" s="29">
        <v>85</v>
      </c>
      <c r="L594" s="29">
        <v>70</v>
      </c>
      <c r="M594" s="29">
        <v>67</v>
      </c>
      <c r="N594" s="29">
        <v>65</v>
      </c>
      <c r="O594" s="32">
        <v>519.5</v>
      </c>
      <c r="P594" s="29" cm="1">
        <f t="array" ref="P594">IF(表成绩单[[#This Row],[语文]]="","",SUMPRODUCT((表成绩单[考试日期]=表成绩单[[#This Row],[考试日期]])*(表成绩单[语文]&lt;9E+307)*(表成绩单[语文]&gt;表成绩单[[#This Row],[语文]]))+1)</f>
        <v>452</v>
      </c>
      <c r="Q594" s="29" cm="1">
        <f t="array" ref="Q594">IF(表成绩单[[#This Row],[数学]]="","",SUMPRODUCT((表成绩单[考试日期]=表成绩单[[#This Row],[考试日期]])*(表成绩单[数学]&lt;9E+307)*(表成绩单[数学]&gt;表成绩单[[#This Row],[数学]]))+1)</f>
        <v>547</v>
      </c>
      <c r="R594" s="29" cm="1">
        <f t="array" ref="R594">IF(表成绩单[[#This Row],[英语]]="","",SUMPRODUCT((表成绩单[考试日期]=表成绩单[[#This Row],[考试日期]])*(表成绩单[英语]&lt;9E+307)*(表成绩单[英语]&gt;表成绩单[[#This Row],[英语]]))+1)</f>
        <v>716</v>
      </c>
      <c r="S594" s="29" cm="1">
        <f t="array" ref="S594">IF(表成绩单[[#This Row],[物理]]="","",SUMPRODUCT((表成绩单[考试日期]=表成绩单[[#This Row],[考试日期]])*(表成绩单[物理]&lt;9E+307)*(表成绩单[物理]&gt;表成绩单[[#This Row],[物理]]))+1)</f>
        <v>263</v>
      </c>
      <c r="T594" s="29" cm="1">
        <f t="array" ref="T594">IF(表成绩单[[#This Row],[化学]]="","",SUMPRODUCT((表成绩单[考试日期]=表成绩单[[#This Row],[考试日期]])*(表成绩单[化学]&lt;9E+307)*(表成绩单[化学]&gt;表成绩单[[#This Row],[化学]]))+1)</f>
        <v>453</v>
      </c>
      <c r="U594" s="29" cm="1">
        <f t="array" ref="U594">IF(表成绩单[[#This Row],[政治]]="","",SUMPRODUCT((表成绩单[考试日期]=表成绩单[[#This Row],[考试日期]])*(表成绩单[政治]&lt;9E+307)*(表成绩单[政治]&gt;表成绩单[[#This Row],[政治]]))+1)</f>
        <v>543</v>
      </c>
      <c r="V594" s="29" cm="1">
        <f t="array" ref="V594">IF(表成绩单[[#This Row],[历史]]="","",SUMPRODUCT((表成绩单[考试日期]=表成绩单[[#This Row],[考试日期]])*(表成绩单[历史]&lt;9E+307)*(表成绩单[历史]&gt;表成绩单[[#This Row],[历史]]))+1)</f>
        <v>644</v>
      </c>
      <c r="W594" s="29" cm="1">
        <f t="array" ref="W594">IF(表成绩单[[#This Row],[总分]]="","",SUMPRODUCT((表成绩单[考试日期]=表成绩单[[#This Row],[考试日期]])*(表成绩单[总分]&lt;9E+307)*(表成绩单[总分]&gt;表成绩单[[#This Row],[总分]]))+1)</f>
        <v>589</v>
      </c>
    </row>
    <row r="595" ht="28" customHeight="1" spans="4:23">
      <c r="D595" s="31">
        <v>45975</v>
      </c>
      <c r="E595" s="29">
        <v>19174448</v>
      </c>
      <c r="F595" s="29" t="s">
        <v>73</v>
      </c>
      <c r="G595" s="29" t="s">
        <v>668</v>
      </c>
      <c r="H595" s="29">
        <v>97</v>
      </c>
      <c r="I595" s="29">
        <v>84</v>
      </c>
      <c r="J595" s="29">
        <v>75.5</v>
      </c>
      <c r="K595" s="29">
        <v>60</v>
      </c>
      <c r="L595" s="29">
        <v>64</v>
      </c>
      <c r="M595" s="29">
        <v>61</v>
      </c>
      <c r="N595" s="29">
        <v>78</v>
      </c>
      <c r="O595" s="32">
        <v>519.5</v>
      </c>
      <c r="P595" s="29" cm="1">
        <f t="array" ref="P595">IF(表成绩单[[#This Row],[语文]]="","",SUMPRODUCT((表成绩单[考试日期]=表成绩单[[#This Row],[考试日期]])*(表成绩单[语文]&lt;9E+307)*(表成绩单[语文]&gt;表成绩单[[#This Row],[语文]]))+1)</f>
        <v>349</v>
      </c>
      <c r="Q595" s="29" cm="1">
        <f t="array" ref="Q595">IF(表成绩单[[#This Row],[数学]]="","",SUMPRODUCT((表成绩单[考试日期]=表成绩单[[#This Row],[考试日期]])*(表成绩单[数学]&lt;9E+307)*(表成绩单[数学]&gt;表成绩单[[#This Row],[数学]]))+1)</f>
        <v>580</v>
      </c>
      <c r="R595" s="29" cm="1">
        <f t="array" ref="R595">IF(表成绩单[[#This Row],[英语]]="","",SUMPRODUCT((表成绩单[考试日期]=表成绩单[[#This Row],[考试日期]])*(表成绩单[英语]&lt;9E+307)*(表成绩单[英语]&gt;表成绩单[[#This Row],[英语]]))+1)</f>
        <v>418</v>
      </c>
      <c r="S595" s="29" cm="1">
        <f t="array" ref="S595">IF(表成绩单[[#This Row],[物理]]="","",SUMPRODUCT((表成绩单[考试日期]=表成绩单[[#This Row],[考试日期]])*(表成绩单[物理]&lt;9E+307)*(表成绩单[物理]&gt;表成绩单[[#This Row],[物理]]))+1)</f>
        <v>717</v>
      </c>
      <c r="T595" s="29" cm="1">
        <f t="array" ref="T595">IF(表成绩单[[#This Row],[化学]]="","",SUMPRODUCT((表成绩单[考试日期]=表成绩单[[#This Row],[考试日期]])*(表成绩单[化学]&lt;9E+307)*(表成绩单[化学]&gt;表成绩单[[#This Row],[化学]]))+1)</f>
        <v>575</v>
      </c>
      <c r="U595" s="29" cm="1">
        <f t="array" ref="U595">IF(表成绩单[[#This Row],[政治]]="","",SUMPRODUCT((表成绩单[考试日期]=表成绩单[[#This Row],[考试日期]])*(表成绩单[政治]&lt;9E+307)*(表成绩单[政治]&gt;表成绩单[[#This Row],[政治]]))+1)</f>
        <v>644</v>
      </c>
      <c r="V595" s="29" cm="1">
        <f t="array" ref="V595">IF(表成绩单[[#This Row],[历史]]="","",SUMPRODUCT((表成绩单[考试日期]=表成绩单[[#This Row],[考试日期]])*(表成绩单[历史]&lt;9E+307)*(表成绩单[历史]&gt;表成绩单[[#This Row],[历史]]))+1)</f>
        <v>189</v>
      </c>
      <c r="W595" s="29" cm="1">
        <f t="array" ref="W595">IF(表成绩单[[#This Row],[总分]]="","",SUMPRODUCT((表成绩单[考试日期]=表成绩单[[#This Row],[考试日期]])*(表成绩单[总分]&lt;9E+307)*(表成绩单[总分]&gt;表成绩单[[#This Row],[总分]]))+1)</f>
        <v>589</v>
      </c>
    </row>
    <row r="596" ht="28" customHeight="1" spans="4:23">
      <c r="D596" s="31">
        <v>45975</v>
      </c>
      <c r="E596" s="29">
        <v>19174741</v>
      </c>
      <c r="F596" s="29" t="s">
        <v>64</v>
      </c>
      <c r="G596" s="29" t="s">
        <v>669</v>
      </c>
      <c r="H596" s="29">
        <v>99</v>
      </c>
      <c r="I596" s="29">
        <v>72</v>
      </c>
      <c r="J596" s="29">
        <v>76.5</v>
      </c>
      <c r="K596" s="29">
        <v>69</v>
      </c>
      <c r="L596" s="29">
        <v>58</v>
      </c>
      <c r="M596" s="29">
        <v>73</v>
      </c>
      <c r="N596" s="29">
        <v>72</v>
      </c>
      <c r="O596" s="32">
        <v>519.5</v>
      </c>
      <c r="P596" s="29" cm="1">
        <f t="array" ref="P596">IF(表成绩单[[#This Row],[语文]]="","",SUMPRODUCT((表成绩单[考试日期]=表成绩单[[#This Row],[考试日期]])*(表成绩单[语文]&lt;9E+307)*(表成绩单[语文]&gt;表成绩单[[#This Row],[语文]]))+1)</f>
        <v>264</v>
      </c>
      <c r="Q596" s="29" cm="1">
        <f t="array" ref="Q596">IF(表成绩单[[#This Row],[数学]]="","",SUMPRODUCT((表成绩单[考试日期]=表成绩单[[#This Row],[考试日期]])*(表成绩单[数学]&lt;9E+307)*(表成绩单[数学]&gt;表成绩单[[#This Row],[数学]]))+1)</f>
        <v>674</v>
      </c>
      <c r="R596" s="29" cm="1">
        <f t="array" ref="R596">IF(表成绩单[[#This Row],[英语]]="","",SUMPRODUCT((表成绩单[考试日期]=表成绩单[[#This Row],[考试日期]])*(表成绩单[英语]&lt;9E+307)*(表成绩单[英语]&gt;表成绩单[[#This Row],[英语]]))+1)</f>
        <v>382</v>
      </c>
      <c r="S596" s="29" cm="1">
        <f t="array" ref="S596">IF(表成绩单[[#This Row],[物理]]="","",SUMPRODUCT((表成绩单[考试日期]=表成绩单[[#This Row],[考试日期]])*(表成绩单[物理]&lt;9E+307)*(表成绩单[物理]&gt;表成绩单[[#This Row],[物理]]))+1)</f>
        <v>662</v>
      </c>
      <c r="T596" s="29" cm="1">
        <f t="array" ref="T596">IF(表成绩单[[#This Row],[化学]]="","",SUMPRODUCT((表成绩单[考试日期]=表成绩单[[#This Row],[考试日期]])*(表成绩单[化学]&lt;9E+307)*(表成绩单[化学]&gt;表成绩单[[#This Row],[化学]]))+1)</f>
        <v>659</v>
      </c>
      <c r="U596" s="29" cm="1">
        <f t="array" ref="U596">IF(表成绩单[[#This Row],[政治]]="","",SUMPRODUCT((表成绩单[考试日期]=表成绩单[[#This Row],[考试日期]])*(表成绩单[政治]&lt;9E+307)*(表成绩单[政治]&gt;表成绩单[[#This Row],[政治]]))+1)</f>
        <v>418</v>
      </c>
      <c r="V596" s="29" cm="1">
        <f t="array" ref="V596">IF(表成绩单[[#This Row],[历史]]="","",SUMPRODUCT((表成绩单[考试日期]=表成绩单[[#This Row],[考试日期]])*(表成绩单[历史]&lt;9E+307)*(表成绩单[历史]&gt;表成绩单[[#This Row],[历史]]))+1)</f>
        <v>438</v>
      </c>
      <c r="W596" s="29" cm="1">
        <f t="array" ref="W596">IF(表成绩单[[#This Row],[总分]]="","",SUMPRODUCT((表成绩单[考试日期]=表成绩单[[#This Row],[考试日期]])*(表成绩单[总分]&lt;9E+307)*(表成绩单[总分]&gt;表成绩单[[#This Row],[总分]]))+1)</f>
        <v>589</v>
      </c>
    </row>
    <row r="597" ht="28" customHeight="1" spans="4:23">
      <c r="D597" s="31">
        <v>45975</v>
      </c>
      <c r="E597" s="29">
        <v>19178642</v>
      </c>
      <c r="F597" s="29" t="s">
        <v>25</v>
      </c>
      <c r="G597" s="29" t="s">
        <v>670</v>
      </c>
      <c r="H597" s="29">
        <v>91</v>
      </c>
      <c r="I597" s="29">
        <v>81</v>
      </c>
      <c r="J597" s="29">
        <v>68.5</v>
      </c>
      <c r="K597" s="29">
        <v>76</v>
      </c>
      <c r="L597" s="29">
        <v>58</v>
      </c>
      <c r="M597" s="29">
        <v>72</v>
      </c>
      <c r="N597" s="29">
        <v>73</v>
      </c>
      <c r="O597" s="32">
        <v>519.5</v>
      </c>
      <c r="P597" s="29" cm="1">
        <f t="array" ref="P597">IF(表成绩单[[#This Row],[语文]]="","",SUMPRODUCT((表成绩单[考试日期]=表成绩单[[#This Row],[考试日期]])*(表成绩单[语文]&lt;9E+307)*(表成绩单[语文]&gt;表成绩单[[#This Row],[语文]]))+1)</f>
        <v>536</v>
      </c>
      <c r="Q597" s="29" cm="1">
        <f t="array" ref="Q597">IF(表成绩单[[#This Row],[数学]]="","",SUMPRODUCT((表成绩单[考试日期]=表成绩单[[#This Row],[考试日期]])*(表成绩单[数学]&lt;9E+307)*(表成绩单[数学]&gt;表成绩单[[#This Row],[数学]]))+1)</f>
        <v>620</v>
      </c>
      <c r="R597" s="29" cm="1">
        <f t="array" ref="R597">IF(表成绩单[[#This Row],[英语]]="","",SUMPRODUCT((表成绩单[考试日期]=表成绩单[[#This Row],[考试日期]])*(表成绩单[英语]&lt;9E+307)*(表成绩单[英语]&gt;表成绩单[[#This Row],[英语]]))+1)</f>
        <v>571</v>
      </c>
      <c r="S597" s="29" cm="1">
        <f t="array" ref="S597">IF(表成绩单[[#This Row],[物理]]="","",SUMPRODUCT((表成绩单[考试日期]=表成绩单[[#This Row],[考试日期]])*(表成绩单[物理]&lt;9E+307)*(表成绩单[物理]&gt;表成绩单[[#This Row],[物理]]))+1)</f>
        <v>589</v>
      </c>
      <c r="T597" s="29" cm="1">
        <f t="array" ref="T597">IF(表成绩单[[#This Row],[化学]]="","",SUMPRODUCT((表成绩单[考试日期]=表成绩单[[#This Row],[考试日期]])*(表成绩单[化学]&lt;9E+307)*(表成绩单[化学]&gt;表成绩单[[#This Row],[化学]]))+1)</f>
        <v>659</v>
      </c>
      <c r="U597" s="29" cm="1">
        <f t="array" ref="U597">IF(表成绩单[[#This Row],[政治]]="","",SUMPRODUCT((表成绩单[考试日期]=表成绩单[[#This Row],[考试日期]])*(表成绩单[政治]&lt;9E+307)*(表成绩单[政治]&gt;表成绩单[[#This Row],[政治]]))+1)</f>
        <v>448</v>
      </c>
      <c r="V597" s="29" cm="1">
        <f t="array" ref="V597">IF(表成绩单[[#This Row],[历史]]="","",SUMPRODUCT((表成绩单[考试日期]=表成绩单[[#This Row],[考试日期]])*(表成绩单[历史]&lt;9E+307)*(表成绩单[历史]&gt;表成绩单[[#This Row],[历史]]))+1)</f>
        <v>395</v>
      </c>
      <c r="W597" s="29" cm="1">
        <f t="array" ref="W597">IF(表成绩单[[#This Row],[总分]]="","",SUMPRODUCT((表成绩单[考试日期]=表成绩单[[#This Row],[考试日期]])*(表成绩单[总分]&lt;9E+307)*(表成绩单[总分]&gt;表成绩单[[#This Row],[总分]]))+1)</f>
        <v>589</v>
      </c>
    </row>
    <row r="598" ht="28" customHeight="1" spans="4:23">
      <c r="D598" s="31">
        <v>45975</v>
      </c>
      <c r="E598" s="29">
        <v>19172634</v>
      </c>
      <c r="F598" s="29" t="s">
        <v>60</v>
      </c>
      <c r="G598" s="29" t="s">
        <v>671</v>
      </c>
      <c r="H598" s="29">
        <v>90</v>
      </c>
      <c r="I598" s="29">
        <v>86</v>
      </c>
      <c r="J598" s="29">
        <v>74</v>
      </c>
      <c r="K598" s="29">
        <v>76</v>
      </c>
      <c r="L598" s="29">
        <v>55</v>
      </c>
      <c r="M598" s="29">
        <v>64</v>
      </c>
      <c r="N598" s="29">
        <v>73</v>
      </c>
      <c r="O598" s="32">
        <v>518</v>
      </c>
      <c r="P598" s="29" cm="1">
        <f t="array" ref="P598">IF(表成绩单[[#This Row],[语文]]="","",SUMPRODUCT((表成绩单[考试日期]=表成绩单[[#This Row],[考试日期]])*(表成绩单[语文]&lt;9E+307)*(表成绩单[语文]&gt;表成绩单[[#This Row],[语文]]))+1)</f>
        <v>561</v>
      </c>
      <c r="Q598" s="29" cm="1">
        <f t="array" ref="Q598">IF(表成绩单[[#This Row],[数学]]="","",SUMPRODUCT((表成绩单[考试日期]=表成绩单[[#This Row],[考试日期]])*(表成绩单[数学]&lt;9E+307)*(表成绩单[数学]&gt;表成绩单[[#This Row],[数学]]))+1)</f>
        <v>562</v>
      </c>
      <c r="R598" s="29" cm="1">
        <f t="array" ref="R598">IF(表成绩单[[#This Row],[英语]]="","",SUMPRODUCT((表成绩单[考试日期]=表成绩单[[#This Row],[考试日期]])*(表成绩单[英语]&lt;9E+307)*(表成绩单[英语]&gt;表成绩单[[#This Row],[英语]]))+1)</f>
        <v>454</v>
      </c>
      <c r="S598" s="29" cm="1">
        <f t="array" ref="S598">IF(表成绩单[[#This Row],[物理]]="","",SUMPRODUCT((表成绩单[考试日期]=表成绩单[[#This Row],[考试日期]])*(表成绩单[物理]&lt;9E+307)*(表成绩单[物理]&gt;表成绩单[[#This Row],[物理]]))+1)</f>
        <v>589</v>
      </c>
      <c r="T598" s="29" cm="1">
        <f t="array" ref="T598">IF(表成绩单[[#This Row],[化学]]="","",SUMPRODUCT((表成绩单[考试日期]=表成绩单[[#This Row],[考试日期]])*(表成绩单[化学]&lt;9E+307)*(表成绩单[化学]&gt;表成绩单[[#This Row],[化学]]))+1)</f>
        <v>692</v>
      </c>
      <c r="U598" s="29" cm="1">
        <f t="array" ref="U598">IF(表成绩单[[#This Row],[政治]]="","",SUMPRODUCT((表成绩单[考试日期]=表成绩单[[#This Row],[考试日期]])*(表成绩单[政治]&lt;9E+307)*(表成绩单[政治]&gt;表成绩单[[#This Row],[政治]]))+1)</f>
        <v>599</v>
      </c>
      <c r="V598" s="29" cm="1">
        <f t="array" ref="V598">IF(表成绩单[[#This Row],[历史]]="","",SUMPRODUCT((表成绩单[考试日期]=表成绩单[[#This Row],[考试日期]])*(表成绩单[历史]&lt;9E+307)*(表成绩单[历史]&gt;表成绩单[[#This Row],[历史]]))+1)</f>
        <v>395</v>
      </c>
      <c r="W598" s="29" cm="1">
        <f t="array" ref="W598">IF(表成绩单[[#This Row],[总分]]="","",SUMPRODUCT((表成绩单[考试日期]=表成绩单[[#This Row],[考试日期]])*(表成绩单[总分]&lt;9E+307)*(表成绩单[总分]&gt;表成绩单[[#This Row],[总分]]))+1)</f>
        <v>594</v>
      </c>
    </row>
    <row r="599" ht="28" customHeight="1" spans="4:23">
      <c r="D599" s="31">
        <v>45975</v>
      </c>
      <c r="E599" s="29">
        <v>19173772</v>
      </c>
      <c r="F599" s="29" t="s">
        <v>65</v>
      </c>
      <c r="G599" s="29" t="s">
        <v>672</v>
      </c>
      <c r="H599" s="29">
        <v>90</v>
      </c>
      <c r="I599" s="29">
        <v>84</v>
      </c>
      <c r="J599" s="29">
        <v>71</v>
      </c>
      <c r="K599" s="29">
        <v>72</v>
      </c>
      <c r="L599" s="29">
        <v>55</v>
      </c>
      <c r="M599" s="29">
        <v>67</v>
      </c>
      <c r="N599" s="29">
        <v>79</v>
      </c>
      <c r="O599" s="32">
        <v>518</v>
      </c>
      <c r="P599" s="29" cm="1">
        <f t="array" ref="P599">IF(表成绩单[[#This Row],[语文]]="","",SUMPRODUCT((表成绩单[考试日期]=表成绩单[[#This Row],[考试日期]])*(表成绩单[语文]&lt;9E+307)*(表成绩单[语文]&gt;表成绩单[[#This Row],[语文]]))+1)</f>
        <v>561</v>
      </c>
      <c r="Q599" s="29" cm="1">
        <f t="array" ref="Q599">IF(表成绩单[[#This Row],[数学]]="","",SUMPRODUCT((表成绩单[考试日期]=表成绩单[[#This Row],[考试日期]])*(表成绩单[数学]&lt;9E+307)*(表成绩单[数学]&gt;表成绩单[[#This Row],[数学]]))+1)</f>
        <v>580</v>
      </c>
      <c r="R599" s="29" cm="1">
        <f t="array" ref="R599">IF(表成绩单[[#This Row],[英语]]="","",SUMPRODUCT((表成绩单[考试日期]=表成绩单[[#This Row],[考试日期]])*(表成绩单[英语]&lt;9E+307)*(表成绩单[英语]&gt;表成绩单[[#This Row],[英语]]))+1)</f>
        <v>534</v>
      </c>
      <c r="S599" s="29" cm="1">
        <f t="array" ref="S599">IF(表成绩单[[#This Row],[物理]]="","",SUMPRODUCT((表成绩单[考试日期]=表成绩单[[#This Row],[考试日期]])*(表成绩单[物理]&lt;9E+307)*(表成绩单[物理]&gt;表成绩单[[#This Row],[物理]]))+1)</f>
        <v>633</v>
      </c>
      <c r="T599" s="29" cm="1">
        <f t="array" ref="T599">IF(表成绩单[[#This Row],[化学]]="","",SUMPRODUCT((表成绩单[考试日期]=表成绩单[[#This Row],[考试日期]])*(表成绩单[化学]&lt;9E+307)*(表成绩单[化学]&gt;表成绩单[[#This Row],[化学]]))+1)</f>
        <v>692</v>
      </c>
      <c r="U599" s="29" cm="1">
        <f t="array" ref="U599">IF(表成绩单[[#This Row],[政治]]="","",SUMPRODUCT((表成绩单[考试日期]=表成绩单[[#This Row],[考试日期]])*(表成绩单[政治]&lt;9E+307)*(表成绩单[政治]&gt;表成绩单[[#This Row],[政治]]))+1)</f>
        <v>543</v>
      </c>
      <c r="V599" s="29" cm="1">
        <f t="array" ref="V599">IF(表成绩单[[#This Row],[历史]]="","",SUMPRODUCT((表成绩单[考试日期]=表成绩单[[#This Row],[考试日期]])*(表成绩单[历史]&lt;9E+307)*(表成绩单[历史]&gt;表成绩单[[#This Row],[历史]]))+1)</f>
        <v>144</v>
      </c>
      <c r="W599" s="29" cm="1">
        <f t="array" ref="W599">IF(表成绩单[[#This Row],[总分]]="","",SUMPRODUCT((表成绩单[考试日期]=表成绩单[[#This Row],[考试日期]])*(表成绩单[总分]&lt;9E+307)*(表成绩单[总分]&gt;表成绩单[[#This Row],[总分]]))+1)</f>
        <v>594</v>
      </c>
    </row>
    <row r="600" ht="28" customHeight="1" spans="4:23">
      <c r="D600" s="31">
        <v>45975</v>
      </c>
      <c r="E600" s="29">
        <v>19173776</v>
      </c>
      <c r="F600" s="29" t="s">
        <v>65</v>
      </c>
      <c r="G600" s="29" t="s">
        <v>673</v>
      </c>
      <c r="H600" s="29">
        <v>95</v>
      </c>
      <c r="I600" s="29">
        <v>61</v>
      </c>
      <c r="J600" s="29">
        <v>76</v>
      </c>
      <c r="K600" s="29">
        <v>76</v>
      </c>
      <c r="L600" s="29">
        <v>68</v>
      </c>
      <c r="M600" s="29">
        <v>73</v>
      </c>
      <c r="N600" s="29">
        <v>67</v>
      </c>
      <c r="O600" s="32">
        <v>516</v>
      </c>
      <c r="P600" s="29" cm="1">
        <f t="array" ref="P600">IF(表成绩单[[#This Row],[语文]]="","",SUMPRODUCT((表成绩单[考试日期]=表成绩单[[#This Row],[考试日期]])*(表成绩单[语文]&lt;9E+307)*(表成绩单[语文]&gt;表成绩单[[#This Row],[语文]]))+1)</f>
        <v>420</v>
      </c>
      <c r="Q600" s="29" cm="1">
        <f t="array" ref="Q600">IF(表成绩单[[#This Row],[数学]]="","",SUMPRODUCT((表成绩单[考试日期]=表成绩单[[#This Row],[考试日期]])*(表成绩单[数学]&lt;9E+307)*(表成绩单[数学]&gt;表成绩单[[#This Row],[数学]]))+1)</f>
        <v>726</v>
      </c>
      <c r="R600" s="29" cm="1">
        <f t="array" ref="R600">IF(表成绩单[[#This Row],[英语]]="","",SUMPRODUCT((表成绩单[考试日期]=表成绩单[[#This Row],[考试日期]])*(表成绩单[英语]&lt;9E+307)*(表成绩单[英语]&gt;表成绩单[[#This Row],[英语]]))+1)</f>
        <v>399</v>
      </c>
      <c r="S600" s="29" cm="1">
        <f t="array" ref="S600">IF(表成绩单[[#This Row],[物理]]="","",SUMPRODUCT((表成绩单[考试日期]=表成绩单[[#This Row],[考试日期]])*(表成绩单[物理]&lt;9E+307)*(表成绩单[物理]&gt;表成绩单[[#This Row],[物理]]))+1)</f>
        <v>589</v>
      </c>
      <c r="T600" s="29" cm="1">
        <f t="array" ref="T600">IF(表成绩单[[#This Row],[化学]]="","",SUMPRODUCT((表成绩单[考试日期]=表成绩单[[#This Row],[考试日期]])*(表成绩单[化学]&lt;9E+307)*(表成绩单[化学]&gt;表成绩单[[#This Row],[化学]]))+1)</f>
        <v>506</v>
      </c>
      <c r="U600" s="29" cm="1">
        <f t="array" ref="U600">IF(表成绩单[[#This Row],[政治]]="","",SUMPRODUCT((表成绩单[考试日期]=表成绩单[[#This Row],[考试日期]])*(表成绩单[政治]&lt;9E+307)*(表成绩单[政治]&gt;表成绩单[[#This Row],[政治]]))+1)</f>
        <v>418</v>
      </c>
      <c r="V600" s="29" cm="1">
        <f t="array" ref="V600">IF(表成绩单[[#This Row],[历史]]="","",SUMPRODUCT((表成绩单[考试日期]=表成绩单[[#This Row],[考试日期]])*(表成绩单[历史]&lt;9E+307)*(表成绩单[历史]&gt;表成绩单[[#This Row],[历史]]))+1)</f>
        <v>597</v>
      </c>
      <c r="W600" s="29" cm="1">
        <f t="array" ref="W600">IF(表成绩单[[#This Row],[总分]]="","",SUMPRODUCT((表成绩单[考试日期]=表成绩单[[#This Row],[考试日期]])*(表成绩单[总分]&lt;9E+307)*(表成绩单[总分]&gt;表成绩单[[#This Row],[总分]]))+1)</f>
        <v>596</v>
      </c>
    </row>
    <row r="601" ht="28" customHeight="1" spans="4:23">
      <c r="D601" s="31">
        <v>45975</v>
      </c>
      <c r="E601" s="29">
        <v>19175324</v>
      </c>
      <c r="F601" s="29" t="s">
        <v>55</v>
      </c>
      <c r="G601" s="29" t="s">
        <v>674</v>
      </c>
      <c r="H601" s="29">
        <v>97</v>
      </c>
      <c r="I601" s="29">
        <v>62</v>
      </c>
      <c r="J601" s="29">
        <v>67.5</v>
      </c>
      <c r="K601" s="29">
        <v>66</v>
      </c>
      <c r="L601" s="29">
        <v>68</v>
      </c>
      <c r="M601" s="29">
        <v>74</v>
      </c>
      <c r="N601" s="29">
        <v>81</v>
      </c>
      <c r="O601" s="32">
        <v>515.5</v>
      </c>
      <c r="P601" s="29" cm="1">
        <f t="array" ref="P601">IF(表成绩单[[#This Row],[语文]]="","",SUMPRODUCT((表成绩单[考试日期]=表成绩单[[#This Row],[考试日期]])*(表成绩单[语文]&lt;9E+307)*(表成绩单[语文]&gt;表成绩单[[#This Row],[语文]]))+1)</f>
        <v>349</v>
      </c>
      <c r="Q601" s="29" cm="1">
        <f t="array" ref="Q601">IF(表成绩单[[#This Row],[数学]]="","",SUMPRODUCT((表成绩单[考试日期]=表成绩单[[#This Row],[考试日期]])*(表成绩单[数学]&lt;9E+307)*(表成绩单[数学]&gt;表成绩单[[#This Row],[数学]]))+1)</f>
        <v>722</v>
      </c>
      <c r="R601" s="29" cm="1">
        <f t="array" ref="R601">IF(表成绩单[[#This Row],[英语]]="","",SUMPRODUCT((表成绩单[考试日期]=表成绩单[[#This Row],[考试日期]])*(表成绩单[英语]&lt;9E+307)*(表成绩单[英语]&gt;表成绩单[[#This Row],[英语]]))+1)</f>
        <v>590</v>
      </c>
      <c r="S601" s="29" cm="1">
        <f t="array" ref="S601">IF(表成绩单[[#This Row],[物理]]="","",SUMPRODUCT((表成绩单[考试日期]=表成绩单[[#This Row],[考试日期]])*(表成绩单[物理]&lt;9E+307)*(表成绩单[物理]&gt;表成绩单[[#This Row],[物理]]))+1)</f>
        <v>681</v>
      </c>
      <c r="T601" s="29" cm="1">
        <f t="array" ref="T601">IF(表成绩单[[#This Row],[化学]]="","",SUMPRODUCT((表成绩单[考试日期]=表成绩单[[#This Row],[考试日期]])*(表成绩单[化学]&lt;9E+307)*(表成绩单[化学]&gt;表成绩单[[#This Row],[化学]]))+1)</f>
        <v>506</v>
      </c>
      <c r="U601" s="29" cm="1">
        <f t="array" ref="U601">IF(表成绩单[[#This Row],[政治]]="","",SUMPRODUCT((表成绩单[考试日期]=表成绩单[[#This Row],[考试日期]])*(表成绩单[政治]&lt;9E+307)*(表成绩单[政治]&gt;表成绩单[[#This Row],[政治]]))+1)</f>
        <v>389</v>
      </c>
      <c r="V601" s="29" cm="1">
        <f t="array" ref="V601">IF(表成绩单[[#This Row],[历史]]="","",SUMPRODUCT((表成绩单[考试日期]=表成绩单[[#This Row],[考试日期]])*(表成绩单[历史]&lt;9E+307)*(表成绩单[历史]&gt;表成绩单[[#This Row],[历史]]))+1)</f>
        <v>63</v>
      </c>
      <c r="W601" s="29" cm="1">
        <f t="array" ref="W601">IF(表成绩单[[#This Row],[总分]]="","",SUMPRODUCT((表成绩单[考试日期]=表成绩单[[#This Row],[考试日期]])*(表成绩单[总分]&lt;9E+307)*(表成绩单[总分]&gt;表成绩单[[#This Row],[总分]]))+1)</f>
        <v>597</v>
      </c>
    </row>
    <row r="602" ht="28" customHeight="1" spans="4:23">
      <c r="D602" s="31">
        <v>45975</v>
      </c>
      <c r="E602" s="29">
        <v>19177655</v>
      </c>
      <c r="F602" s="29" t="s">
        <v>63</v>
      </c>
      <c r="G602" s="29" t="s">
        <v>675</v>
      </c>
      <c r="H602" s="29">
        <v>96</v>
      </c>
      <c r="I602" s="29">
        <v>82</v>
      </c>
      <c r="J602" s="29">
        <v>62.5</v>
      </c>
      <c r="K602" s="29">
        <v>74</v>
      </c>
      <c r="L602" s="29">
        <v>75</v>
      </c>
      <c r="M602" s="29">
        <v>61</v>
      </c>
      <c r="N602" s="29">
        <v>65</v>
      </c>
      <c r="O602" s="32">
        <v>515.5</v>
      </c>
      <c r="P602" s="29" cm="1">
        <f t="array" ref="P602">IF(表成绩单[[#This Row],[语文]]="","",SUMPRODUCT((表成绩单[考试日期]=表成绩单[[#This Row],[考试日期]])*(表成绩单[语文]&lt;9E+307)*(表成绩单[语文]&gt;表成绩单[[#This Row],[语文]]))+1)</f>
        <v>387</v>
      </c>
      <c r="Q602" s="29" cm="1">
        <f t="array" ref="Q602">IF(表成绩单[[#This Row],[数学]]="","",SUMPRODUCT((表成绩单[考试日期]=表成绩单[[#This Row],[考试日期]])*(表成绩单[数学]&lt;9E+307)*(表成绩单[数学]&gt;表成绩单[[#This Row],[数学]]))+1)</f>
        <v>607</v>
      </c>
      <c r="R602" s="29" cm="1">
        <f t="array" ref="R602">IF(表成绩单[[#This Row],[英语]]="","",SUMPRODUCT((表成绩单[考试日期]=表成绩单[[#This Row],[考试日期]])*(表成绩单[英语]&lt;9E+307)*(表成绩单[英语]&gt;表成绩单[[#This Row],[英语]]))+1)</f>
        <v>651</v>
      </c>
      <c r="S602" s="29" cm="1">
        <f t="array" ref="S602">IF(表成绩单[[#This Row],[物理]]="","",SUMPRODUCT((表成绩单[考试日期]=表成绩单[[#This Row],[考试日期]])*(表成绩单[物理]&lt;9E+307)*(表成绩单[物理]&gt;表成绩单[[#This Row],[物理]]))+1)</f>
        <v>616</v>
      </c>
      <c r="T602" s="29" cm="1">
        <f t="array" ref="T602">IF(表成绩单[[#This Row],[化学]]="","",SUMPRODUCT((表成绩单[考试日期]=表成绩单[[#This Row],[考试日期]])*(表成绩单[化学]&lt;9E+307)*(表成绩单[化学]&gt;表成绩单[[#This Row],[化学]]))+1)</f>
        <v>310</v>
      </c>
      <c r="U602" s="29" cm="1">
        <f t="array" ref="U602">IF(表成绩单[[#This Row],[政治]]="","",SUMPRODUCT((表成绩单[考试日期]=表成绩单[[#This Row],[考试日期]])*(表成绩单[政治]&lt;9E+307)*(表成绩单[政治]&gt;表成绩单[[#This Row],[政治]]))+1)</f>
        <v>644</v>
      </c>
      <c r="V602" s="29" cm="1">
        <f t="array" ref="V602">IF(表成绩单[[#This Row],[历史]]="","",SUMPRODUCT((表成绩单[考试日期]=表成绩单[[#This Row],[考试日期]])*(表成绩单[历史]&lt;9E+307)*(表成绩单[历史]&gt;表成绩单[[#This Row],[历史]]))+1)</f>
        <v>644</v>
      </c>
      <c r="W602" s="29" cm="1">
        <f t="array" ref="W602">IF(表成绩单[[#This Row],[总分]]="","",SUMPRODUCT((表成绩单[考试日期]=表成绩单[[#This Row],[考试日期]])*(表成绩单[总分]&lt;9E+307)*(表成绩单[总分]&gt;表成绩单[[#This Row],[总分]]))+1)</f>
        <v>597</v>
      </c>
    </row>
    <row r="603" ht="28" customHeight="1" spans="4:23">
      <c r="D603" s="31">
        <v>45975</v>
      </c>
      <c r="E603" s="29">
        <v>19173789</v>
      </c>
      <c r="F603" s="29" t="s">
        <v>65</v>
      </c>
      <c r="G603" s="29" t="s">
        <v>676</v>
      </c>
      <c r="H603" s="29">
        <v>80</v>
      </c>
      <c r="I603" s="29">
        <v>87</v>
      </c>
      <c r="J603" s="29">
        <v>68.5</v>
      </c>
      <c r="K603" s="29">
        <v>68</v>
      </c>
      <c r="L603" s="29">
        <v>74</v>
      </c>
      <c r="M603" s="29">
        <v>69</v>
      </c>
      <c r="N603" s="29">
        <v>68</v>
      </c>
      <c r="O603" s="32">
        <v>514.5</v>
      </c>
      <c r="P603" s="29" cm="1">
        <f t="array" ref="P603">IF(表成绩单[[#This Row],[语文]]="","",SUMPRODUCT((表成绩单[考试日期]=表成绩单[[#This Row],[考试日期]])*(表成绩单[语文]&lt;9E+307)*(表成绩单[语文]&gt;表成绩单[[#This Row],[语文]]))+1)</f>
        <v>702</v>
      </c>
      <c r="Q603" s="29" cm="1">
        <f t="array" ref="Q603">IF(表成绩单[[#This Row],[数学]]="","",SUMPRODUCT((表成绩单[考试日期]=表成绩单[[#This Row],[考试日期]])*(表成绩单[数学]&lt;9E+307)*(表成绩单[数学]&gt;表成绩单[[#This Row],[数学]]))+1)</f>
        <v>547</v>
      </c>
      <c r="R603" s="29" cm="1">
        <f t="array" ref="R603">IF(表成绩单[[#This Row],[英语]]="","",SUMPRODUCT((表成绩单[考试日期]=表成绩单[[#This Row],[考试日期]])*(表成绩单[英语]&lt;9E+307)*(表成绩单[英语]&gt;表成绩单[[#This Row],[英语]]))+1)</f>
        <v>571</v>
      </c>
      <c r="S603" s="29" cm="1">
        <f t="array" ref="S603">IF(表成绩单[[#This Row],[物理]]="","",SUMPRODUCT((表成绩单[考试日期]=表成绩单[[#This Row],[考试日期]])*(表成绩单[物理]&lt;9E+307)*(表成绩单[物理]&gt;表成绩单[[#This Row],[物理]]))+1)</f>
        <v>667</v>
      </c>
      <c r="T603" s="29" cm="1">
        <f t="array" ref="T603">IF(表成绩单[[#This Row],[化学]]="","",SUMPRODUCT((表成绩单[考试日期]=表成绩单[[#This Row],[考试日期]])*(表成绩单[化学]&lt;9E+307)*(表成绩单[化学]&gt;表成绩单[[#This Row],[化学]]))+1)</f>
        <v>337</v>
      </c>
      <c r="U603" s="29" cm="1">
        <f t="array" ref="U603">IF(表成绩单[[#This Row],[政治]]="","",SUMPRODUCT((表成绩单[考试日期]=表成绩单[[#This Row],[考试日期]])*(表成绩单[政治]&lt;9E+307)*(表成绩单[政治]&gt;表成绩单[[#This Row],[政治]]))+1)</f>
        <v>507</v>
      </c>
      <c r="V603" s="29" cm="1">
        <f t="array" ref="V603">IF(表成绩单[[#This Row],[历史]]="","",SUMPRODUCT((表成绩单[考试日期]=表成绩单[[#This Row],[考试日期]])*(表成绩单[历史]&lt;9E+307)*(表成绩单[历史]&gt;表成绩单[[#This Row],[历史]]))+1)</f>
        <v>571</v>
      </c>
      <c r="W603" s="29" cm="1">
        <f t="array" ref="W603">IF(表成绩单[[#This Row],[总分]]="","",SUMPRODUCT((表成绩单[考试日期]=表成绩单[[#This Row],[考试日期]])*(表成绩单[总分]&lt;9E+307)*(表成绩单[总分]&gt;表成绩单[[#This Row],[总分]]))+1)</f>
        <v>599</v>
      </c>
    </row>
    <row r="604" ht="28" customHeight="1" spans="4:23">
      <c r="D604" s="31">
        <v>45975</v>
      </c>
      <c r="E604" s="29">
        <v>19176005</v>
      </c>
      <c r="F604" s="29" t="s">
        <v>59</v>
      </c>
      <c r="G604" s="29" t="s">
        <v>677</v>
      </c>
      <c r="H604" s="29">
        <v>85</v>
      </c>
      <c r="I604" s="29">
        <v>83</v>
      </c>
      <c r="J604" s="29">
        <v>76.5</v>
      </c>
      <c r="K604" s="29">
        <v>68</v>
      </c>
      <c r="L604" s="29">
        <v>73</v>
      </c>
      <c r="M604" s="29">
        <v>66</v>
      </c>
      <c r="N604" s="29">
        <v>63</v>
      </c>
      <c r="O604" s="32">
        <v>514.5</v>
      </c>
      <c r="P604" s="29" cm="1">
        <f t="array" ref="P604">IF(表成绩单[[#This Row],[语文]]="","",SUMPRODUCT((表成绩单[考试日期]=表成绩单[[#This Row],[考试日期]])*(表成绩单[语文]&lt;9E+307)*(表成绩单[语文]&gt;表成绩单[[#This Row],[语文]]))+1)</f>
        <v>648</v>
      </c>
      <c r="Q604" s="29" cm="1">
        <f t="array" ref="Q604">IF(表成绩单[[#This Row],[数学]]="","",SUMPRODUCT((表成绩单[考试日期]=表成绩单[[#This Row],[考试日期]])*(表成绩单[数学]&lt;9E+307)*(表成绩单[数学]&gt;表成绩单[[#This Row],[数学]]))+1)</f>
        <v>592</v>
      </c>
      <c r="R604" s="29" cm="1">
        <f t="array" ref="R604">IF(表成绩单[[#This Row],[英语]]="","",SUMPRODUCT((表成绩单[考试日期]=表成绩单[[#This Row],[考试日期]])*(表成绩单[英语]&lt;9E+307)*(表成绩单[英语]&gt;表成绩单[[#This Row],[英语]]))+1)</f>
        <v>382</v>
      </c>
      <c r="S604" s="29" cm="1">
        <f t="array" ref="S604">IF(表成绩单[[#This Row],[物理]]="","",SUMPRODUCT((表成绩单[考试日期]=表成绩单[[#This Row],[考试日期]])*(表成绩单[物理]&lt;9E+307)*(表成绩单[物理]&gt;表成绩单[[#This Row],[物理]]))+1)</f>
        <v>667</v>
      </c>
      <c r="T604" s="29" cm="1">
        <f t="array" ref="T604">IF(表成绩单[[#This Row],[化学]]="","",SUMPRODUCT((表成绩单[考试日期]=表成绩单[[#This Row],[考试日期]])*(表成绩单[化学]&lt;9E+307)*(表成绩单[化学]&gt;表成绩单[[#This Row],[化学]]))+1)</f>
        <v>365</v>
      </c>
      <c r="U604" s="29" cm="1">
        <f t="array" ref="U604">IF(表成绩单[[#This Row],[政治]]="","",SUMPRODUCT((表成绩单[考试日期]=表成绩单[[#This Row],[考试日期]])*(表成绩单[政治]&lt;9E+307)*(表成绩单[政治]&gt;表成绩单[[#This Row],[政治]]))+1)</f>
        <v>555</v>
      </c>
      <c r="V604" s="29" cm="1">
        <f t="array" ref="V604">IF(表成绩单[[#This Row],[历史]]="","",SUMPRODUCT((表成绩单[考试日期]=表成绩单[[#This Row],[考试日期]])*(表成绩单[历史]&lt;9E+307)*(表成绩单[历史]&gt;表成绩单[[#This Row],[历史]]))+1)</f>
        <v>675</v>
      </c>
      <c r="W604" s="29" cm="1">
        <f t="array" ref="W604">IF(表成绩单[[#This Row],[总分]]="","",SUMPRODUCT((表成绩单[考试日期]=表成绩单[[#This Row],[考试日期]])*(表成绩单[总分]&lt;9E+307)*(表成绩单[总分]&gt;表成绩单[[#This Row],[总分]]))+1)</f>
        <v>599</v>
      </c>
    </row>
    <row r="605" ht="28" customHeight="1" spans="4:23">
      <c r="D605" s="31">
        <v>45975</v>
      </c>
      <c r="E605" s="29">
        <v>19177651</v>
      </c>
      <c r="F605" s="29" t="s">
        <v>63</v>
      </c>
      <c r="G605" s="29" t="s">
        <v>678</v>
      </c>
      <c r="H605" s="29">
        <v>90</v>
      </c>
      <c r="I605" s="29">
        <v>96</v>
      </c>
      <c r="J605" s="29">
        <v>55.5</v>
      </c>
      <c r="K605" s="29">
        <v>79</v>
      </c>
      <c r="L605" s="29">
        <v>64</v>
      </c>
      <c r="M605" s="29">
        <v>64</v>
      </c>
      <c r="N605" s="29">
        <v>66</v>
      </c>
      <c r="O605" s="32">
        <v>514.5</v>
      </c>
      <c r="P605" s="29" cm="1">
        <f t="array" ref="P605">IF(表成绩单[[#This Row],[语文]]="","",SUMPRODUCT((表成绩单[考试日期]=表成绩单[[#This Row],[考试日期]])*(表成绩单[语文]&lt;9E+307)*(表成绩单[语文]&gt;表成绩单[[#This Row],[语文]]))+1)</f>
        <v>561</v>
      </c>
      <c r="Q605" s="29" cm="1">
        <f t="array" ref="Q605">IF(表成绩单[[#This Row],[数学]]="","",SUMPRODUCT((表成绩单[考试日期]=表成绩单[[#This Row],[考试日期]])*(表成绩单[数学]&lt;9E+307)*(表成绩单[数学]&gt;表成绩单[[#This Row],[数学]]))+1)</f>
        <v>413</v>
      </c>
      <c r="R605" s="29" cm="1">
        <f t="array" ref="R605">IF(表成绩单[[#This Row],[英语]]="","",SUMPRODUCT((表成绩单[考试日期]=表成绩单[[#This Row],[考试日期]])*(表成绩单[英语]&lt;9E+307)*(表成绩单[英语]&gt;表成绩单[[#This Row],[英语]]))+1)</f>
        <v>698</v>
      </c>
      <c r="S605" s="29" cm="1">
        <f t="array" ref="S605">IF(表成绩单[[#This Row],[物理]]="","",SUMPRODUCT((表成绩单[考试日期]=表成绩单[[#This Row],[考试日期]])*(表成绩单[物理]&lt;9E+307)*(表成绩单[物理]&gt;表成绩单[[#This Row],[物理]]))+1)</f>
        <v>534</v>
      </c>
      <c r="T605" s="29" cm="1">
        <f t="array" ref="T605">IF(表成绩单[[#This Row],[化学]]="","",SUMPRODUCT((表成绩单[考试日期]=表成绩单[[#This Row],[考试日期]])*(表成绩单[化学]&lt;9E+307)*(表成绩单[化学]&gt;表成绩单[[#This Row],[化学]]))+1)</f>
        <v>575</v>
      </c>
      <c r="U605" s="29" cm="1">
        <f t="array" ref="U605">IF(表成绩单[[#This Row],[政治]]="","",SUMPRODUCT((表成绩单[考试日期]=表成绩单[[#This Row],[考试日期]])*(表成绩单[政治]&lt;9E+307)*(表成绩单[政治]&gt;表成绩单[[#This Row],[政治]]))+1)</f>
        <v>599</v>
      </c>
      <c r="V605" s="29" cm="1">
        <f t="array" ref="V605">IF(表成绩单[[#This Row],[历史]]="","",SUMPRODUCT((表成绩单[考试日期]=表成绩单[[#This Row],[考试日期]])*(表成绩单[历史]&lt;9E+307)*(表成绩单[历史]&gt;表成绩单[[#This Row],[历史]]))+1)</f>
        <v>622</v>
      </c>
      <c r="W605" s="29" cm="1">
        <f t="array" ref="W605">IF(表成绩单[[#This Row],[总分]]="","",SUMPRODUCT((表成绩单[考试日期]=表成绩单[[#This Row],[考试日期]])*(表成绩单[总分]&lt;9E+307)*(表成绩单[总分]&gt;表成绩单[[#This Row],[总分]]))+1)</f>
        <v>599</v>
      </c>
    </row>
    <row r="606" ht="28" customHeight="1" spans="4:23">
      <c r="D606" s="31">
        <v>45975</v>
      </c>
      <c r="E606" s="29">
        <v>19174734</v>
      </c>
      <c r="F606" s="29" t="s">
        <v>64</v>
      </c>
      <c r="G606" s="29" t="s">
        <v>679</v>
      </c>
      <c r="H606" s="29">
        <v>93</v>
      </c>
      <c r="I606" s="29">
        <v>83</v>
      </c>
      <c r="J606" s="29">
        <v>64</v>
      </c>
      <c r="K606" s="29">
        <v>82</v>
      </c>
      <c r="L606" s="29">
        <v>59</v>
      </c>
      <c r="M606" s="29">
        <v>73</v>
      </c>
      <c r="N606" s="29">
        <v>60</v>
      </c>
      <c r="O606" s="32">
        <v>514</v>
      </c>
      <c r="P606" s="29" cm="1">
        <f t="array" ref="P606">IF(表成绩单[[#This Row],[语文]]="","",SUMPRODUCT((表成绩单[考试日期]=表成绩单[[#This Row],[考试日期]])*(表成绩单[语文]&lt;9E+307)*(表成绩单[语文]&gt;表成绩单[[#This Row],[语文]]))+1)</f>
        <v>489</v>
      </c>
      <c r="Q606" s="29" cm="1">
        <f t="array" ref="Q606">IF(表成绩单[[#This Row],[数学]]="","",SUMPRODUCT((表成绩单[考试日期]=表成绩单[[#This Row],[考试日期]])*(表成绩单[数学]&lt;9E+307)*(表成绩单[数学]&gt;表成绩单[[#This Row],[数学]]))+1)</f>
        <v>592</v>
      </c>
      <c r="R606" s="29" cm="1">
        <f t="array" ref="R606">IF(表成绩单[[#This Row],[英语]]="","",SUMPRODUCT((表成绩单[考试日期]=表成绩单[[#This Row],[考试日期]])*(表成绩单[英语]&lt;9E+307)*(表成绩单[英语]&gt;表成绩单[[#This Row],[英语]]))+1)</f>
        <v>630</v>
      </c>
      <c r="S606" s="29" cm="1">
        <f t="array" ref="S606">IF(表成绩单[[#This Row],[物理]]="","",SUMPRODUCT((表成绩单[考试日期]=表成绩单[[#This Row],[考试日期]])*(表成绩单[物理]&lt;9E+307)*(表成绩单[物理]&gt;表成绩单[[#This Row],[物理]]))+1)</f>
        <v>433</v>
      </c>
      <c r="T606" s="29" cm="1">
        <f t="array" ref="T606">IF(表成绩单[[#This Row],[化学]]="","",SUMPRODUCT((表成绩单[考试日期]=表成绩单[[#This Row],[考试日期]])*(表成绩单[化学]&lt;9E+307)*(表成绩单[化学]&gt;表成绩单[[#This Row],[化学]]))+1)</f>
        <v>648</v>
      </c>
      <c r="U606" s="29" cm="1">
        <f t="array" ref="U606">IF(表成绩单[[#This Row],[政治]]="","",SUMPRODUCT((表成绩单[考试日期]=表成绩单[[#This Row],[考试日期]])*(表成绩单[政治]&lt;9E+307)*(表成绩单[政治]&gt;表成绩单[[#This Row],[政治]]))+1)</f>
        <v>418</v>
      </c>
      <c r="V606" s="29" cm="1">
        <f t="array" ref="V606">IF(表成绩单[[#This Row],[历史]]="","",SUMPRODUCT((表成绩单[考试日期]=表成绩单[[#This Row],[考试日期]])*(表成绩单[历史]&lt;9E+307)*(表成绩单[历史]&gt;表成绩单[[#This Row],[历史]]))+1)</f>
        <v>717</v>
      </c>
      <c r="W606" s="29" cm="1">
        <f t="array" ref="W606">IF(表成绩单[[#This Row],[总分]]="","",SUMPRODUCT((表成绩单[考试日期]=表成绩单[[#This Row],[考试日期]])*(表成绩单[总分]&lt;9E+307)*(表成绩单[总分]&gt;表成绩单[[#This Row],[总分]]))+1)</f>
        <v>602</v>
      </c>
    </row>
    <row r="607" ht="28" customHeight="1" spans="4:23">
      <c r="D607" s="31">
        <v>45975</v>
      </c>
      <c r="E607" s="29">
        <v>19175617</v>
      </c>
      <c r="F607" s="29" t="s">
        <v>57</v>
      </c>
      <c r="G607" s="29" t="s">
        <v>680</v>
      </c>
      <c r="H607" s="29">
        <v>90</v>
      </c>
      <c r="I607" s="29">
        <v>61</v>
      </c>
      <c r="J607" s="29">
        <v>71</v>
      </c>
      <c r="K607" s="29">
        <v>76</v>
      </c>
      <c r="L607" s="29">
        <v>77</v>
      </c>
      <c r="M607" s="29">
        <v>71</v>
      </c>
      <c r="N607" s="29">
        <v>68</v>
      </c>
      <c r="O607" s="32">
        <v>514</v>
      </c>
      <c r="P607" s="29" cm="1">
        <f t="array" ref="P607">IF(表成绩单[[#This Row],[语文]]="","",SUMPRODUCT((表成绩单[考试日期]=表成绩单[[#This Row],[考试日期]])*(表成绩单[语文]&lt;9E+307)*(表成绩单[语文]&gt;表成绩单[[#This Row],[语文]]))+1)</f>
        <v>561</v>
      </c>
      <c r="Q607" s="29" cm="1">
        <f t="array" ref="Q607">IF(表成绩单[[#This Row],[数学]]="","",SUMPRODUCT((表成绩单[考试日期]=表成绩单[[#This Row],[考试日期]])*(表成绩单[数学]&lt;9E+307)*(表成绩单[数学]&gt;表成绩单[[#This Row],[数学]]))+1)</f>
        <v>726</v>
      </c>
      <c r="R607" s="29" cm="1">
        <f t="array" ref="R607">IF(表成绩单[[#This Row],[英语]]="","",SUMPRODUCT((表成绩单[考试日期]=表成绩单[[#This Row],[考试日期]])*(表成绩单[英语]&lt;9E+307)*(表成绩单[英语]&gt;表成绩单[[#This Row],[英语]]))+1)</f>
        <v>534</v>
      </c>
      <c r="S607" s="29" cm="1">
        <f t="array" ref="S607">IF(表成绩单[[#This Row],[物理]]="","",SUMPRODUCT((表成绩单[考试日期]=表成绩单[[#This Row],[考试日期]])*(表成绩单[物理]&lt;9E+307)*(表成绩单[物理]&gt;表成绩单[[#This Row],[物理]]))+1)</f>
        <v>589</v>
      </c>
      <c r="T607" s="29" cm="1">
        <f t="array" ref="T607">IF(表成绩单[[#This Row],[化学]]="","",SUMPRODUCT((表成绩单[考试日期]=表成绩单[[#This Row],[考试日期]])*(表成绩单[化学]&lt;9E+307)*(表成绩单[化学]&gt;表成绩单[[#This Row],[化学]]))+1)</f>
        <v>239</v>
      </c>
      <c r="U607" s="29" cm="1">
        <f t="array" ref="U607">IF(表成绩单[[#This Row],[政治]]="","",SUMPRODUCT((表成绩单[考试日期]=表成绩单[[#This Row],[考试日期]])*(表成绩单[政治]&lt;9E+307)*(表成绩单[政治]&gt;表成绩单[[#This Row],[政治]]))+1)</f>
        <v>467</v>
      </c>
      <c r="V607" s="29" cm="1">
        <f t="array" ref="V607">IF(表成绩单[[#This Row],[历史]]="","",SUMPRODUCT((表成绩单[考试日期]=表成绩单[[#This Row],[考试日期]])*(表成绩单[历史]&lt;9E+307)*(表成绩单[历史]&gt;表成绩单[[#This Row],[历史]]))+1)</f>
        <v>571</v>
      </c>
      <c r="W607" s="29" cm="1">
        <f t="array" ref="W607">IF(表成绩单[[#This Row],[总分]]="","",SUMPRODUCT((表成绩单[考试日期]=表成绩单[[#This Row],[考试日期]])*(表成绩单[总分]&lt;9E+307)*(表成绩单[总分]&gt;表成绩单[[#This Row],[总分]]))+1)</f>
        <v>602</v>
      </c>
    </row>
    <row r="608" ht="28" customHeight="1" spans="4:23">
      <c r="D608" s="31">
        <v>45975</v>
      </c>
      <c r="E608" s="29">
        <v>19173763</v>
      </c>
      <c r="F608" s="29" t="s">
        <v>65</v>
      </c>
      <c r="G608" s="29" t="s">
        <v>681</v>
      </c>
      <c r="H608" s="29">
        <v>72</v>
      </c>
      <c r="I608" s="29">
        <v>87</v>
      </c>
      <c r="J608" s="29">
        <v>76</v>
      </c>
      <c r="K608" s="29">
        <v>72</v>
      </c>
      <c r="L608" s="29">
        <v>65</v>
      </c>
      <c r="M608" s="29">
        <v>67</v>
      </c>
      <c r="N608" s="29">
        <v>74</v>
      </c>
      <c r="O608" s="32">
        <v>513</v>
      </c>
      <c r="P608" s="29" cm="1">
        <f t="array" ref="P608">IF(表成绩单[[#This Row],[语文]]="","",SUMPRODUCT((表成绩单[考试日期]=表成绩单[[#This Row],[考试日期]])*(表成绩单[语文]&lt;9E+307)*(表成绩单[语文]&gt;表成绩单[[#This Row],[语文]]))+1)</f>
        <v>759</v>
      </c>
      <c r="Q608" s="29" cm="1">
        <f t="array" ref="Q608">IF(表成绩单[[#This Row],[数学]]="","",SUMPRODUCT((表成绩单[考试日期]=表成绩单[[#This Row],[考试日期]])*(表成绩单[数学]&lt;9E+307)*(表成绩单[数学]&gt;表成绩单[[#This Row],[数学]]))+1)</f>
        <v>547</v>
      </c>
      <c r="R608" s="29" cm="1">
        <f t="array" ref="R608">IF(表成绩单[[#This Row],[英语]]="","",SUMPRODUCT((表成绩单[考试日期]=表成绩单[[#This Row],[考试日期]])*(表成绩单[英语]&lt;9E+307)*(表成绩单[英语]&gt;表成绩单[[#This Row],[英语]]))+1)</f>
        <v>399</v>
      </c>
      <c r="S608" s="29" cm="1">
        <f t="array" ref="S608">IF(表成绩单[[#This Row],[物理]]="","",SUMPRODUCT((表成绩单[考试日期]=表成绩单[[#This Row],[考试日期]])*(表成绩单[物理]&lt;9E+307)*(表成绩单[物理]&gt;表成绩单[[#This Row],[物理]]))+1)</f>
        <v>633</v>
      </c>
      <c r="T608" s="29" cm="1">
        <f t="array" ref="T608">IF(表成绩单[[#This Row],[化学]]="","",SUMPRODUCT((表成绩单[考试日期]=表成绩单[[#This Row],[考试日期]])*(表成绩单[化学]&lt;9E+307)*(表成绩单[化学]&gt;表成绩单[[#This Row],[化学]]))+1)</f>
        <v>559</v>
      </c>
      <c r="U608" s="29" cm="1">
        <f t="array" ref="U608">IF(表成绩单[[#This Row],[政治]]="","",SUMPRODUCT((表成绩单[考试日期]=表成绩单[[#This Row],[考试日期]])*(表成绩单[政治]&lt;9E+307)*(表成绩单[政治]&gt;表成绩单[[#This Row],[政治]]))+1)</f>
        <v>543</v>
      </c>
      <c r="V608" s="29" cm="1">
        <f t="array" ref="V608">IF(表成绩单[[#This Row],[历史]]="","",SUMPRODUCT((表成绩单[考试日期]=表成绩单[[#This Row],[考试日期]])*(表成绩单[历史]&lt;9E+307)*(表成绩单[历史]&gt;表成绩单[[#This Row],[历史]]))+1)</f>
        <v>358</v>
      </c>
      <c r="W608" s="29" cm="1">
        <f t="array" ref="W608">IF(表成绩单[[#This Row],[总分]]="","",SUMPRODUCT((表成绩单[考试日期]=表成绩单[[#This Row],[考试日期]])*(表成绩单[总分]&lt;9E+307)*(表成绩单[总分]&gt;表成绩单[[#This Row],[总分]]))+1)</f>
        <v>604</v>
      </c>
    </row>
    <row r="609" ht="28" customHeight="1" spans="4:23">
      <c r="D609" s="31">
        <v>45975</v>
      </c>
      <c r="E609" s="29">
        <v>19177604</v>
      </c>
      <c r="F609" s="29" t="s">
        <v>58</v>
      </c>
      <c r="G609" s="29" t="s">
        <v>682</v>
      </c>
      <c r="H609" s="29">
        <v>90</v>
      </c>
      <c r="I609" s="29">
        <v>86</v>
      </c>
      <c r="J609" s="29">
        <v>71</v>
      </c>
      <c r="K609" s="29">
        <v>80</v>
      </c>
      <c r="L609" s="29">
        <v>59</v>
      </c>
      <c r="M609" s="29">
        <v>68</v>
      </c>
      <c r="N609" s="29">
        <v>59</v>
      </c>
      <c r="O609" s="32">
        <v>513</v>
      </c>
      <c r="P609" s="29" cm="1">
        <f t="array" ref="P609">IF(表成绩单[[#This Row],[语文]]="","",SUMPRODUCT((表成绩单[考试日期]=表成绩单[[#This Row],[考试日期]])*(表成绩单[语文]&lt;9E+307)*(表成绩单[语文]&gt;表成绩单[[#This Row],[语文]]))+1)</f>
        <v>561</v>
      </c>
      <c r="Q609" s="29" cm="1">
        <f t="array" ref="Q609">IF(表成绩单[[#This Row],[数学]]="","",SUMPRODUCT((表成绩单[考试日期]=表成绩单[[#This Row],[考试日期]])*(表成绩单[数学]&lt;9E+307)*(表成绩单[数学]&gt;表成绩单[[#This Row],[数学]]))+1)</f>
        <v>562</v>
      </c>
      <c r="R609" s="29" cm="1">
        <f t="array" ref="R609">IF(表成绩单[[#This Row],[英语]]="","",SUMPRODUCT((表成绩单[考试日期]=表成绩单[[#This Row],[考试日期]])*(表成绩单[英语]&lt;9E+307)*(表成绩单[英语]&gt;表成绩单[[#This Row],[英语]]))+1)</f>
        <v>534</v>
      </c>
      <c r="S609" s="29" cm="1">
        <f t="array" ref="S609">IF(表成绩单[[#This Row],[物理]]="","",SUMPRODUCT((表成绩单[考试日期]=表成绩单[[#This Row],[考试日期]])*(表成绩单[物理]&lt;9E+307)*(表成绩单[物理]&gt;表成绩单[[#This Row],[物理]]))+1)</f>
        <v>507</v>
      </c>
      <c r="T609" s="29" cm="1">
        <f t="array" ref="T609">IF(表成绩单[[#This Row],[化学]]="","",SUMPRODUCT((表成绩单[考试日期]=表成绩单[[#This Row],[考试日期]])*(表成绩单[化学]&lt;9E+307)*(表成绩单[化学]&gt;表成绩单[[#This Row],[化学]]))+1)</f>
        <v>648</v>
      </c>
      <c r="U609" s="29" cm="1">
        <f t="array" ref="U609">IF(表成绩单[[#This Row],[政治]]="","",SUMPRODUCT((表成绩单[考试日期]=表成绩单[[#This Row],[考试日期]])*(表成绩单[政治]&lt;9E+307)*(表成绩单[政治]&gt;表成绩单[[#This Row],[政治]]))+1)</f>
        <v>527</v>
      </c>
      <c r="V609" s="29" cm="1">
        <f t="array" ref="V609">IF(表成绩单[[#This Row],[历史]]="","",SUMPRODUCT((表成绩单[考试日期]=表成绩单[[#This Row],[考试日期]])*(表成绩单[历史]&lt;9E+307)*(表成绩单[历史]&gt;表成绩单[[#This Row],[历史]]))+1)</f>
        <v>724</v>
      </c>
      <c r="W609" s="29" cm="1">
        <f t="array" ref="W609">IF(表成绩单[[#This Row],[总分]]="","",SUMPRODUCT((表成绩单[考试日期]=表成绩单[[#This Row],[考试日期]])*(表成绩单[总分]&lt;9E+307)*(表成绩单[总分]&gt;表成绩单[[#This Row],[总分]]))+1)</f>
        <v>604</v>
      </c>
    </row>
    <row r="610" ht="28" customHeight="1" spans="4:23">
      <c r="D610" s="31">
        <v>45975</v>
      </c>
      <c r="E610" s="29">
        <v>19177638</v>
      </c>
      <c r="F610" s="29" t="s">
        <v>63</v>
      </c>
      <c r="G610" s="29" t="s">
        <v>683</v>
      </c>
      <c r="H610" s="29">
        <v>83</v>
      </c>
      <c r="I610" s="29">
        <v>91</v>
      </c>
      <c r="J610" s="29">
        <v>64.5</v>
      </c>
      <c r="K610" s="29">
        <v>80</v>
      </c>
      <c r="L610" s="29">
        <v>53</v>
      </c>
      <c r="M610" s="29">
        <v>71</v>
      </c>
      <c r="N610" s="29">
        <v>70</v>
      </c>
      <c r="O610" s="32">
        <v>512.5</v>
      </c>
      <c r="P610" s="29" cm="1">
        <f t="array" ref="P610">IF(表成绩单[[#This Row],[语文]]="","",SUMPRODUCT((表成绩单[考试日期]=表成绩单[[#This Row],[考试日期]])*(表成绩单[语文]&lt;9E+307)*(表成绩单[语文]&gt;表成绩单[[#This Row],[语文]]))+1)</f>
        <v>670</v>
      </c>
      <c r="Q610" s="29" cm="1">
        <f t="array" ref="Q610">IF(表成绩单[[#This Row],[数学]]="","",SUMPRODUCT((表成绩单[考试日期]=表成绩单[[#This Row],[考试日期]])*(表成绩单[数学]&lt;9E+307)*(表成绩单[数学]&gt;表成绩单[[#This Row],[数学]]))+1)</f>
        <v>495</v>
      </c>
      <c r="R610" s="29" cm="1">
        <f t="array" ref="R610">IF(表成绩单[[#This Row],[英语]]="","",SUMPRODUCT((表成绩单[考试日期]=表成绩单[[#This Row],[考试日期]])*(表成绩单[英语]&lt;9E+307)*(表成绩单[英语]&gt;表成绩单[[#This Row],[英语]]))+1)</f>
        <v>625</v>
      </c>
      <c r="S610" s="29" cm="1">
        <f t="array" ref="S610">IF(表成绩单[[#This Row],[物理]]="","",SUMPRODUCT((表成绩单[考试日期]=表成绩单[[#This Row],[考试日期]])*(表成绩单[物理]&lt;9E+307)*(表成绩单[物理]&gt;表成绩单[[#This Row],[物理]]))+1)</f>
        <v>507</v>
      </c>
      <c r="T610" s="29" cm="1">
        <f t="array" ref="T610">IF(表成绩单[[#This Row],[化学]]="","",SUMPRODUCT((表成绩单[考试日期]=表成绩单[[#This Row],[考试日期]])*(表成绩单[化学]&lt;9E+307)*(表成绩单[化学]&gt;表成绩单[[#This Row],[化学]]))+1)</f>
        <v>715</v>
      </c>
      <c r="U610" s="29" cm="1">
        <f t="array" ref="U610">IF(表成绩单[[#This Row],[政治]]="","",SUMPRODUCT((表成绩单[考试日期]=表成绩单[[#This Row],[考试日期]])*(表成绩单[政治]&lt;9E+307)*(表成绩单[政治]&gt;表成绩单[[#This Row],[政治]]))+1)</f>
        <v>467</v>
      </c>
      <c r="V610" s="29" cm="1">
        <f t="array" ref="V610">IF(表成绩单[[#This Row],[历史]]="","",SUMPRODUCT((表成绩单[考试日期]=表成绩单[[#This Row],[考试日期]])*(表成绩单[历史]&lt;9E+307)*(表成绩单[历史]&gt;表成绩单[[#This Row],[历史]]))+1)</f>
        <v>505</v>
      </c>
      <c r="W610" s="29" cm="1">
        <f t="array" ref="W610">IF(表成绩单[[#This Row],[总分]]="","",SUMPRODUCT((表成绩单[考试日期]=表成绩单[[#This Row],[考试日期]])*(表成绩单[总分]&lt;9E+307)*(表成绩单[总分]&gt;表成绩单[[#This Row],[总分]]))+1)</f>
        <v>606</v>
      </c>
    </row>
    <row r="611" ht="28" customHeight="1" spans="4:23">
      <c r="D611" s="31">
        <v>45975</v>
      </c>
      <c r="E611" s="29">
        <v>19178603</v>
      </c>
      <c r="F611" s="29" t="s">
        <v>64</v>
      </c>
      <c r="G611" s="29" t="s">
        <v>684</v>
      </c>
      <c r="H611" s="29">
        <v>95</v>
      </c>
      <c r="I611" s="29">
        <v>78</v>
      </c>
      <c r="J611" s="29">
        <v>77.5</v>
      </c>
      <c r="K611" s="29">
        <v>74</v>
      </c>
      <c r="L611" s="29">
        <v>60</v>
      </c>
      <c r="M611" s="29">
        <v>62</v>
      </c>
      <c r="N611" s="29">
        <v>66</v>
      </c>
      <c r="O611" s="32">
        <v>512.5</v>
      </c>
      <c r="P611" s="29" cm="1">
        <f t="array" ref="P611">IF(表成绩单[[#This Row],[语文]]="","",SUMPRODUCT((表成绩单[考试日期]=表成绩单[[#This Row],[考试日期]])*(表成绩单[语文]&lt;9E+307)*(表成绩单[语文]&gt;表成绩单[[#This Row],[语文]]))+1)</f>
        <v>420</v>
      </c>
      <c r="Q611" s="29" cm="1">
        <f t="array" ref="Q611">IF(表成绩单[[#This Row],[数学]]="","",SUMPRODUCT((表成绩单[考试日期]=表成绩单[[#This Row],[考试日期]])*(表成绩单[数学]&lt;9E+307)*(表成绩单[数学]&gt;表成绩单[[#This Row],[数学]]))+1)</f>
        <v>644</v>
      </c>
      <c r="R611" s="29" cm="1">
        <f t="array" ref="R611">IF(表成绩单[[#This Row],[英语]]="","",SUMPRODUCT((表成绩单[考试日期]=表成绩单[[#This Row],[考试日期]])*(表成绩单[英语]&lt;9E+307)*(表成绩单[英语]&gt;表成绩单[[#This Row],[英语]]))+1)</f>
        <v>345</v>
      </c>
      <c r="S611" s="29" cm="1">
        <f t="array" ref="S611">IF(表成绩单[[#This Row],[物理]]="","",SUMPRODUCT((表成绩单[考试日期]=表成绩单[[#This Row],[考试日期]])*(表成绩单[物理]&lt;9E+307)*(表成绩单[物理]&gt;表成绩单[[#This Row],[物理]]))+1)</f>
        <v>616</v>
      </c>
      <c r="T611" s="29" cm="1">
        <f t="array" ref="T611">IF(表成绩单[[#This Row],[化学]]="","",SUMPRODUCT((表成绩单[考试日期]=表成绩单[[#This Row],[考试日期]])*(表成绩单[化学]&lt;9E+307)*(表成绩单[化学]&gt;表成绩单[[#This Row],[化学]]))+1)</f>
        <v>639</v>
      </c>
      <c r="U611" s="29" cm="1">
        <f t="array" ref="U611">IF(表成绩单[[#This Row],[政治]]="","",SUMPRODUCT((表成绩单[考试日期]=表成绩单[[#This Row],[考试日期]])*(表成绩单[政治]&lt;9E+307)*(表成绩单[政治]&gt;表成绩单[[#This Row],[政治]]))+1)</f>
        <v>628</v>
      </c>
      <c r="V611" s="29" cm="1">
        <f t="array" ref="V611">IF(表成绩单[[#This Row],[历史]]="","",SUMPRODUCT((表成绩单[考试日期]=表成绩单[[#This Row],[考试日期]])*(表成绩单[历史]&lt;9E+307)*(表成绩单[历史]&gt;表成绩单[[#This Row],[历史]]))+1)</f>
        <v>622</v>
      </c>
      <c r="W611" s="29" cm="1">
        <f t="array" ref="W611">IF(表成绩单[[#This Row],[总分]]="","",SUMPRODUCT((表成绩单[考试日期]=表成绩单[[#This Row],[考试日期]])*(表成绩单[总分]&lt;9E+307)*(表成绩单[总分]&gt;表成绩单[[#This Row],[总分]]))+1)</f>
        <v>606</v>
      </c>
    </row>
    <row r="612" ht="28" customHeight="1" spans="4:23">
      <c r="D612" s="31">
        <v>45975</v>
      </c>
      <c r="E612" s="29">
        <v>19175998</v>
      </c>
      <c r="F612" s="29" t="s">
        <v>59</v>
      </c>
      <c r="G612" s="29" t="s">
        <v>685</v>
      </c>
      <c r="H612" s="29">
        <v>90</v>
      </c>
      <c r="I612" s="29">
        <v>70</v>
      </c>
      <c r="J612" s="29">
        <v>67</v>
      </c>
      <c r="K612" s="29">
        <v>74</v>
      </c>
      <c r="L612" s="29">
        <v>68</v>
      </c>
      <c r="M612" s="29">
        <v>68</v>
      </c>
      <c r="N612" s="29">
        <v>75</v>
      </c>
      <c r="O612" s="32">
        <v>512</v>
      </c>
      <c r="P612" s="29" cm="1">
        <f t="array" ref="P612">IF(表成绩单[[#This Row],[语文]]="","",SUMPRODUCT((表成绩单[考试日期]=表成绩单[[#This Row],[考试日期]])*(表成绩单[语文]&lt;9E+307)*(表成绩单[语文]&gt;表成绩单[[#This Row],[语文]]))+1)</f>
        <v>561</v>
      </c>
      <c r="Q612" s="29" cm="1">
        <f t="array" ref="Q612">IF(表成绩单[[#This Row],[数学]]="","",SUMPRODUCT((表成绩单[考试日期]=表成绩单[[#This Row],[考试日期]])*(表成绩单[数学]&lt;9E+307)*(表成绩单[数学]&gt;表成绩单[[#This Row],[数学]]))+1)</f>
        <v>683</v>
      </c>
      <c r="R612" s="29" cm="1">
        <f t="array" ref="R612">IF(表成绩单[[#This Row],[英语]]="","",SUMPRODUCT((表成绩单[考试日期]=表成绩单[[#This Row],[考试日期]])*(表成绩单[英语]&lt;9E+307)*(表成绩单[英语]&gt;表成绩单[[#This Row],[英语]]))+1)</f>
        <v>596</v>
      </c>
      <c r="S612" s="29" cm="1">
        <f t="array" ref="S612">IF(表成绩单[[#This Row],[物理]]="","",SUMPRODUCT((表成绩单[考试日期]=表成绩单[[#This Row],[考试日期]])*(表成绩单[物理]&lt;9E+307)*(表成绩单[物理]&gt;表成绩单[[#This Row],[物理]]))+1)</f>
        <v>616</v>
      </c>
      <c r="T612" s="29" cm="1">
        <f t="array" ref="T612">IF(表成绩单[[#This Row],[化学]]="","",SUMPRODUCT((表成绩单[考试日期]=表成绩单[[#This Row],[考试日期]])*(表成绩单[化学]&lt;9E+307)*(表成绩单[化学]&gt;表成绩单[[#This Row],[化学]]))+1)</f>
        <v>506</v>
      </c>
      <c r="U612" s="29" cm="1">
        <f t="array" ref="U612">IF(表成绩单[[#This Row],[政治]]="","",SUMPRODUCT((表成绩单[考试日期]=表成绩单[[#This Row],[考试日期]])*(表成绩单[政治]&lt;9E+307)*(表成绩单[政治]&gt;表成绩单[[#This Row],[政治]]))+1)</f>
        <v>527</v>
      </c>
      <c r="V612" s="29" cm="1">
        <f t="array" ref="V612">IF(表成绩单[[#This Row],[历史]]="","",SUMPRODUCT((表成绩单[考试日期]=表成绩单[[#This Row],[考试日期]])*(表成绩单[历史]&lt;9E+307)*(表成绩单[历史]&gt;表成绩单[[#This Row],[历史]]))+1)</f>
        <v>315</v>
      </c>
      <c r="W612" s="29" cm="1">
        <f t="array" ref="W612">IF(表成绩单[[#This Row],[总分]]="","",SUMPRODUCT((表成绩单[考试日期]=表成绩单[[#This Row],[考试日期]])*(表成绩单[总分]&lt;9E+307)*(表成绩单[总分]&gt;表成绩单[[#This Row],[总分]]))+1)</f>
        <v>608</v>
      </c>
    </row>
    <row r="613" ht="28" customHeight="1" spans="4:23">
      <c r="D613" s="31">
        <v>45975</v>
      </c>
      <c r="E613" s="29">
        <v>19171089</v>
      </c>
      <c r="F613" s="29" t="s">
        <v>67</v>
      </c>
      <c r="G613" s="29" t="s">
        <v>686</v>
      </c>
      <c r="H613" s="29">
        <v>84</v>
      </c>
      <c r="I613" s="29">
        <v>91</v>
      </c>
      <c r="J613" s="29">
        <v>60</v>
      </c>
      <c r="K613" s="29">
        <v>85</v>
      </c>
      <c r="L613" s="29">
        <v>67</v>
      </c>
      <c r="M613" s="29">
        <v>61</v>
      </c>
      <c r="N613" s="29">
        <v>63</v>
      </c>
      <c r="O613" s="32">
        <v>511</v>
      </c>
      <c r="P613" s="29" cm="1">
        <f t="array" ref="P613">IF(表成绩单[[#This Row],[语文]]="","",SUMPRODUCT((表成绩单[考试日期]=表成绩单[[#This Row],[考试日期]])*(表成绩单[语文]&lt;9E+307)*(表成绩单[语文]&gt;表成绩单[[#This Row],[语文]]))+1)</f>
        <v>659</v>
      </c>
      <c r="Q613" s="29" cm="1">
        <f t="array" ref="Q613">IF(表成绩单[[#This Row],[数学]]="","",SUMPRODUCT((表成绩单[考试日期]=表成绩单[[#This Row],[考试日期]])*(表成绩单[数学]&lt;9E+307)*(表成绩单[数学]&gt;表成绩单[[#This Row],[数学]]))+1)</f>
        <v>495</v>
      </c>
      <c r="R613" s="29" cm="1">
        <f t="array" ref="R613">IF(表成绩单[[#This Row],[英语]]="","",SUMPRODUCT((表成绩单[考试日期]=表成绩单[[#This Row],[考试日期]])*(表成绩单[英语]&lt;9E+307)*(表成绩单[英语]&gt;表成绩单[[#This Row],[英语]]))+1)</f>
        <v>668</v>
      </c>
      <c r="S613" s="29" cm="1">
        <f t="array" ref="S613">IF(表成绩单[[#This Row],[物理]]="","",SUMPRODUCT((表成绩单[考试日期]=表成绩单[[#This Row],[考试日期]])*(表成绩单[物理]&lt;9E+307)*(表成绩单[物理]&gt;表成绩单[[#This Row],[物理]]))+1)</f>
        <v>263</v>
      </c>
      <c r="T613" s="29" cm="1">
        <f t="array" ref="T613">IF(表成绩单[[#This Row],[化学]]="","",SUMPRODUCT((表成绩单[考试日期]=表成绩单[[#This Row],[考试日期]])*(表成绩单[化学]&lt;9E+307)*(表成绩单[化学]&gt;表成绩单[[#This Row],[化学]]))+1)</f>
        <v>524</v>
      </c>
      <c r="U613" s="29" cm="1">
        <f t="array" ref="U613">IF(表成绩单[[#This Row],[政治]]="","",SUMPRODUCT((表成绩单[考试日期]=表成绩单[[#This Row],[考试日期]])*(表成绩单[政治]&lt;9E+307)*(表成绩单[政治]&gt;表成绩单[[#This Row],[政治]]))+1)</f>
        <v>644</v>
      </c>
      <c r="V613" s="29" cm="1">
        <f t="array" ref="V613">IF(表成绩单[[#This Row],[历史]]="","",SUMPRODUCT((表成绩单[考试日期]=表成绩单[[#This Row],[考试日期]])*(表成绩单[历史]&lt;9E+307)*(表成绩单[历史]&gt;表成绩单[[#This Row],[历史]]))+1)</f>
        <v>675</v>
      </c>
      <c r="W613" s="29" cm="1">
        <f t="array" ref="W613">IF(表成绩单[[#This Row],[总分]]="","",SUMPRODUCT((表成绩单[考试日期]=表成绩单[[#This Row],[考试日期]])*(表成绩单[总分]&lt;9E+307)*(表成绩单[总分]&gt;表成绩单[[#This Row],[总分]]))+1)</f>
        <v>609</v>
      </c>
    </row>
    <row r="614" ht="28" customHeight="1" spans="4:23">
      <c r="D614" s="31">
        <v>45975</v>
      </c>
      <c r="E614" s="29">
        <v>19178583</v>
      </c>
      <c r="F614" s="29" t="s">
        <v>64</v>
      </c>
      <c r="G614" s="29" t="s">
        <v>687</v>
      </c>
      <c r="H614" s="29">
        <v>83</v>
      </c>
      <c r="I614" s="29">
        <v>95</v>
      </c>
      <c r="J614" s="29">
        <v>56.5</v>
      </c>
      <c r="K614" s="29">
        <v>74</v>
      </c>
      <c r="L614" s="29">
        <v>65</v>
      </c>
      <c r="M614" s="29">
        <v>66</v>
      </c>
      <c r="N614" s="29">
        <v>70</v>
      </c>
      <c r="O614" s="32">
        <v>509.5</v>
      </c>
      <c r="P614" s="29" cm="1">
        <f t="array" ref="P614">IF(表成绩单[[#This Row],[语文]]="","",SUMPRODUCT((表成绩单[考试日期]=表成绩单[[#This Row],[考试日期]])*(表成绩单[语文]&lt;9E+307)*(表成绩单[语文]&gt;表成绩单[[#This Row],[语文]]))+1)</f>
        <v>670</v>
      </c>
      <c r="Q614" s="29" cm="1">
        <f t="array" ref="Q614">IF(表成绩单[[#This Row],[数学]]="","",SUMPRODUCT((表成绩单[考试日期]=表成绩单[[#This Row],[考试日期]])*(表成绩单[数学]&lt;9E+307)*(表成绩单[数学]&gt;表成绩单[[#This Row],[数学]]))+1)</f>
        <v>430</v>
      </c>
      <c r="R614" s="29" cm="1">
        <f t="array" ref="R614">IF(表成绩单[[#This Row],[英语]]="","",SUMPRODUCT((表成绩单[考试日期]=表成绩单[[#This Row],[考试日期]])*(表成绩单[英语]&lt;9E+307)*(表成绩单[英语]&gt;表成绩单[[#This Row],[英语]]))+1)</f>
        <v>692</v>
      </c>
      <c r="S614" s="29" cm="1">
        <f t="array" ref="S614">IF(表成绩单[[#This Row],[物理]]="","",SUMPRODUCT((表成绩单[考试日期]=表成绩单[[#This Row],[考试日期]])*(表成绩单[物理]&lt;9E+307)*(表成绩单[物理]&gt;表成绩单[[#This Row],[物理]]))+1)</f>
        <v>616</v>
      </c>
      <c r="T614" s="29" cm="1">
        <f t="array" ref="T614">IF(表成绩单[[#This Row],[化学]]="","",SUMPRODUCT((表成绩单[考试日期]=表成绩单[[#This Row],[考试日期]])*(表成绩单[化学]&lt;9E+307)*(表成绩单[化学]&gt;表成绩单[[#This Row],[化学]]))+1)</f>
        <v>559</v>
      </c>
      <c r="U614" s="29" cm="1">
        <f t="array" ref="U614">IF(表成绩单[[#This Row],[政治]]="","",SUMPRODUCT((表成绩单[考试日期]=表成绩单[[#This Row],[考试日期]])*(表成绩单[政治]&lt;9E+307)*(表成绩单[政治]&gt;表成绩单[[#This Row],[政治]]))+1)</f>
        <v>555</v>
      </c>
      <c r="V614" s="29" cm="1">
        <f t="array" ref="V614">IF(表成绩单[[#This Row],[历史]]="","",SUMPRODUCT((表成绩单[考试日期]=表成绩单[[#This Row],[考试日期]])*(表成绩单[历史]&lt;9E+307)*(表成绩单[历史]&gt;表成绩单[[#This Row],[历史]]))+1)</f>
        <v>505</v>
      </c>
      <c r="W614" s="29" cm="1">
        <f t="array" ref="W614">IF(表成绩单[[#This Row],[总分]]="","",SUMPRODUCT((表成绩单[考试日期]=表成绩单[[#This Row],[考试日期]])*(表成绩单[总分]&lt;9E+307)*(表成绩单[总分]&gt;表成绩单[[#This Row],[总分]]))+1)</f>
        <v>610</v>
      </c>
    </row>
    <row r="615" ht="28" customHeight="1" spans="4:23">
      <c r="D615" s="31">
        <v>45975</v>
      </c>
      <c r="E615" s="29">
        <v>19178638</v>
      </c>
      <c r="F615" s="29" t="s">
        <v>25</v>
      </c>
      <c r="G615" s="29" t="s">
        <v>688</v>
      </c>
      <c r="H615" s="29">
        <v>96</v>
      </c>
      <c r="I615" s="29">
        <v>76</v>
      </c>
      <c r="J615" s="29">
        <v>72</v>
      </c>
      <c r="K615" s="29">
        <v>70</v>
      </c>
      <c r="L615" s="29">
        <v>62</v>
      </c>
      <c r="M615" s="29">
        <v>65</v>
      </c>
      <c r="N615" s="29">
        <v>68</v>
      </c>
      <c r="O615" s="32">
        <v>509</v>
      </c>
      <c r="P615" s="29" cm="1">
        <f t="array" ref="P615">IF(表成绩单[[#This Row],[语文]]="","",SUMPRODUCT((表成绩单[考试日期]=表成绩单[[#This Row],[考试日期]])*(表成绩单[语文]&lt;9E+307)*(表成绩单[语文]&gt;表成绩单[[#This Row],[语文]]))+1)</f>
        <v>387</v>
      </c>
      <c r="Q615" s="29" cm="1">
        <f t="array" ref="Q615">IF(表成绩单[[#This Row],[数学]]="","",SUMPRODUCT((表成绩单[考试日期]=表成绩单[[#This Row],[考试日期]])*(表成绩单[数学]&lt;9E+307)*(表成绩单[数学]&gt;表成绩单[[#This Row],[数学]]))+1)</f>
        <v>654</v>
      </c>
      <c r="R615" s="29" cm="1">
        <f t="array" ref="R615">IF(表成绩单[[#This Row],[英语]]="","",SUMPRODUCT((表成绩单[考试日期]=表成绩单[[#This Row],[考试日期]])*(表成绩单[英语]&lt;9E+307)*(表成绩单[英语]&gt;表成绩单[[#This Row],[英语]]))+1)</f>
        <v>507</v>
      </c>
      <c r="S615" s="29" cm="1">
        <f t="array" ref="S615">IF(表成绩单[[#This Row],[物理]]="","",SUMPRODUCT((表成绩单[考试日期]=表成绩单[[#This Row],[考试日期]])*(表成绩单[物理]&lt;9E+307)*(表成绩单[物理]&gt;表成绩单[[#This Row],[物理]]))+1)</f>
        <v>653</v>
      </c>
      <c r="T615" s="29" cm="1">
        <f t="array" ref="T615">IF(表成绩单[[#This Row],[化学]]="","",SUMPRODUCT((表成绩单[考试日期]=表成绩单[[#This Row],[考试日期]])*(表成绩单[化学]&lt;9E+307)*(表成绩单[化学]&gt;表成绩单[[#This Row],[化学]]))+1)</f>
        <v>605</v>
      </c>
      <c r="U615" s="29" cm="1">
        <f t="array" ref="U615">IF(表成绩单[[#This Row],[政治]]="","",SUMPRODUCT((表成绩单[考试日期]=表成绩单[[#This Row],[考试日期]])*(表成绩单[政治]&lt;9E+307)*(表成绩单[政治]&gt;表成绩单[[#This Row],[政治]]))+1)</f>
        <v>579</v>
      </c>
      <c r="V615" s="29" cm="1">
        <f t="array" ref="V615">IF(表成绩单[[#This Row],[历史]]="","",SUMPRODUCT((表成绩单[考试日期]=表成绩单[[#This Row],[考试日期]])*(表成绩单[历史]&lt;9E+307)*(表成绩单[历史]&gt;表成绩单[[#This Row],[历史]]))+1)</f>
        <v>571</v>
      </c>
      <c r="W615" s="29" cm="1">
        <f t="array" ref="W615">IF(表成绩单[[#This Row],[总分]]="","",SUMPRODUCT((表成绩单[考试日期]=表成绩单[[#This Row],[考试日期]])*(表成绩单[总分]&lt;9E+307)*(表成绩单[总分]&gt;表成绩单[[#This Row],[总分]]))+1)</f>
        <v>611</v>
      </c>
    </row>
    <row r="616" ht="28" customHeight="1" spans="4:23">
      <c r="D616" s="31">
        <v>45975</v>
      </c>
      <c r="E616" s="29">
        <v>19177593</v>
      </c>
      <c r="F616" s="29" t="s">
        <v>58</v>
      </c>
      <c r="G616" s="29" t="s">
        <v>689</v>
      </c>
      <c r="H616" s="29">
        <v>92</v>
      </c>
      <c r="I616" s="29">
        <v>71</v>
      </c>
      <c r="J616" s="29">
        <v>67.5</v>
      </c>
      <c r="K616" s="29">
        <v>72</v>
      </c>
      <c r="L616" s="29">
        <v>63</v>
      </c>
      <c r="M616" s="29">
        <v>78</v>
      </c>
      <c r="N616" s="29">
        <v>65</v>
      </c>
      <c r="O616" s="32">
        <v>508.5</v>
      </c>
      <c r="P616" s="29" cm="1">
        <f t="array" ref="P616">IF(表成绩单[[#This Row],[语文]]="","",SUMPRODUCT((表成绩单[考试日期]=表成绩单[[#This Row],[考试日期]])*(表成绩单[语文]&lt;9E+307)*(表成绩单[语文]&gt;表成绩单[[#This Row],[语文]]))+1)</f>
        <v>517</v>
      </c>
      <c r="Q616" s="29" cm="1">
        <f t="array" ref="Q616">IF(表成绩单[[#This Row],[数学]]="","",SUMPRODUCT((表成绩单[考试日期]=表成绩单[[#This Row],[考试日期]])*(表成绩单[数学]&lt;9E+307)*(表成绩单[数学]&gt;表成绩单[[#This Row],[数学]]))+1)</f>
        <v>679</v>
      </c>
      <c r="R616" s="29" cm="1">
        <f t="array" ref="R616">IF(表成绩单[[#This Row],[英语]]="","",SUMPRODUCT((表成绩单[考试日期]=表成绩单[[#This Row],[考试日期]])*(表成绩单[英语]&lt;9E+307)*(表成绩单[英语]&gt;表成绩单[[#This Row],[英语]]))+1)</f>
        <v>590</v>
      </c>
      <c r="S616" s="29" cm="1">
        <f t="array" ref="S616">IF(表成绩单[[#This Row],[物理]]="","",SUMPRODUCT((表成绩单[考试日期]=表成绩单[[#This Row],[考试日期]])*(表成绩单[物理]&lt;9E+307)*(表成绩单[物理]&gt;表成绩单[[#This Row],[物理]]))+1)</f>
        <v>633</v>
      </c>
      <c r="T616" s="29" cm="1">
        <f t="array" ref="T616">IF(表成绩单[[#This Row],[化学]]="","",SUMPRODUCT((表成绩单[考试日期]=表成绩单[[#This Row],[考试日期]])*(表成绩单[化学]&lt;9E+307)*(表成绩单[化学]&gt;表成绩单[[#This Row],[化学]]))+1)</f>
        <v>588</v>
      </c>
      <c r="U616" s="29" cm="1">
        <f t="array" ref="U616">IF(表成绩单[[#This Row],[政治]]="","",SUMPRODUCT((表成绩单[考试日期]=表成绩单[[#This Row],[考试日期]])*(表成绩单[政治]&lt;9E+307)*(表成绩单[政治]&gt;表成绩单[[#This Row],[政治]]))+1)</f>
        <v>272</v>
      </c>
      <c r="V616" s="29" cm="1">
        <f t="array" ref="V616">IF(表成绩单[[#This Row],[历史]]="","",SUMPRODUCT((表成绩单[考试日期]=表成绩单[[#This Row],[考试日期]])*(表成绩单[历史]&lt;9E+307)*(表成绩单[历史]&gt;表成绩单[[#This Row],[历史]]))+1)</f>
        <v>644</v>
      </c>
      <c r="W616" s="29" cm="1">
        <f t="array" ref="W616">IF(表成绩单[[#This Row],[总分]]="","",SUMPRODUCT((表成绩单[考试日期]=表成绩单[[#This Row],[考试日期]])*(表成绩单[总分]&lt;9E+307)*(表成绩单[总分]&gt;表成绩单[[#This Row],[总分]]))+1)</f>
        <v>612</v>
      </c>
    </row>
    <row r="617" ht="28" customHeight="1" spans="4:23">
      <c r="D617" s="31">
        <v>45975</v>
      </c>
      <c r="E617" s="29">
        <v>19175999</v>
      </c>
      <c r="F617" s="29" t="s">
        <v>59</v>
      </c>
      <c r="G617" s="29" t="s">
        <v>690</v>
      </c>
      <c r="H617" s="29">
        <v>86</v>
      </c>
      <c r="I617" s="29">
        <v>95</v>
      </c>
      <c r="J617" s="29">
        <v>62</v>
      </c>
      <c r="K617" s="29">
        <v>82</v>
      </c>
      <c r="L617" s="29">
        <v>64</v>
      </c>
      <c r="M617" s="29">
        <v>51</v>
      </c>
      <c r="N617" s="29">
        <v>68</v>
      </c>
      <c r="O617" s="32">
        <v>508</v>
      </c>
      <c r="P617" s="29" cm="1">
        <f t="array" ref="P617">IF(表成绩单[[#This Row],[语文]]="","",SUMPRODUCT((表成绩单[考试日期]=表成绩单[[#This Row],[考试日期]])*(表成绩单[语文]&lt;9E+307)*(表成绩单[语文]&gt;表成绩单[[#This Row],[语文]]))+1)</f>
        <v>635</v>
      </c>
      <c r="Q617" s="29" cm="1">
        <f t="array" ref="Q617">IF(表成绩单[[#This Row],[数学]]="","",SUMPRODUCT((表成绩单[考试日期]=表成绩单[[#This Row],[考试日期]])*(表成绩单[数学]&lt;9E+307)*(表成绩单[数学]&gt;表成绩单[[#This Row],[数学]]))+1)</f>
        <v>430</v>
      </c>
      <c r="R617" s="29" cm="1">
        <f t="array" ref="R617">IF(表成绩单[[#This Row],[英语]]="","",SUMPRODUCT((表成绩单[考试日期]=表成绩单[[#This Row],[考试日期]])*(表成绩单[英语]&lt;9E+307)*(表成绩单[英语]&gt;表成绩单[[#This Row],[英语]]))+1)</f>
        <v>655</v>
      </c>
      <c r="S617" s="29" cm="1">
        <f t="array" ref="S617">IF(表成绩单[[#This Row],[物理]]="","",SUMPRODUCT((表成绩单[考试日期]=表成绩单[[#This Row],[考试日期]])*(表成绩单[物理]&lt;9E+307)*(表成绩单[物理]&gt;表成绩单[[#This Row],[物理]]))+1)</f>
        <v>433</v>
      </c>
      <c r="T617" s="29" cm="1">
        <f t="array" ref="T617">IF(表成绩单[[#This Row],[化学]]="","",SUMPRODUCT((表成绩单[考试日期]=表成绩单[[#This Row],[考试日期]])*(表成绩单[化学]&lt;9E+307)*(表成绩单[化学]&gt;表成绩单[[#This Row],[化学]]))+1)</f>
        <v>575</v>
      </c>
      <c r="U617" s="29" cm="1">
        <f t="array" ref="U617">IF(表成绩单[[#This Row],[政治]]="","",SUMPRODUCT((表成绩单[考试日期]=表成绩单[[#This Row],[考试日期]])*(表成绩单[政治]&lt;9E+307)*(表成绩单[政治]&gt;表成绩单[[#This Row],[政治]]))+1)</f>
        <v>753</v>
      </c>
      <c r="V617" s="29" cm="1">
        <f t="array" ref="V617">IF(表成绩单[[#This Row],[历史]]="","",SUMPRODUCT((表成绩单[考试日期]=表成绩单[[#This Row],[考试日期]])*(表成绩单[历史]&lt;9E+307)*(表成绩单[历史]&gt;表成绩单[[#This Row],[历史]]))+1)</f>
        <v>571</v>
      </c>
      <c r="W617" s="29" cm="1">
        <f t="array" ref="W617">IF(表成绩单[[#This Row],[总分]]="","",SUMPRODUCT((表成绩单[考试日期]=表成绩单[[#This Row],[考试日期]])*(表成绩单[总分]&lt;9E+307)*(表成绩单[总分]&gt;表成绩单[[#This Row],[总分]]))+1)</f>
        <v>613</v>
      </c>
    </row>
    <row r="618" ht="28" customHeight="1" spans="4:23">
      <c r="D618" s="31">
        <v>45975</v>
      </c>
      <c r="E618" s="29">
        <v>19172631</v>
      </c>
      <c r="F618" s="29" t="s">
        <v>60</v>
      </c>
      <c r="G618" s="29" t="s">
        <v>691</v>
      </c>
      <c r="H618" s="29">
        <v>89</v>
      </c>
      <c r="I618" s="29">
        <v>95</v>
      </c>
      <c r="J618" s="29">
        <v>70</v>
      </c>
      <c r="K618" s="29">
        <v>80</v>
      </c>
      <c r="L618" s="29">
        <v>61</v>
      </c>
      <c r="M618" s="29">
        <v>49</v>
      </c>
      <c r="N618" s="29">
        <v>63</v>
      </c>
      <c r="O618" s="32">
        <v>507</v>
      </c>
      <c r="P618" s="29" cm="1">
        <f t="array" ref="P618">IF(表成绩单[[#This Row],[语文]]="","",SUMPRODUCT((表成绩单[考试日期]=表成绩单[[#This Row],[考试日期]])*(表成绩单[语文]&lt;9E+307)*(表成绩单[语文]&gt;表成绩单[[#This Row],[语文]]))+1)</f>
        <v>582</v>
      </c>
      <c r="Q618" s="29" cm="1">
        <f t="array" ref="Q618">IF(表成绩单[[#This Row],[数学]]="","",SUMPRODUCT((表成绩单[考试日期]=表成绩单[[#This Row],[考试日期]])*(表成绩单[数学]&lt;9E+307)*(表成绩单[数学]&gt;表成绩单[[#This Row],[数学]]))+1)</f>
        <v>430</v>
      </c>
      <c r="R618" s="29" cm="1">
        <f t="array" ref="R618">IF(表成绩单[[#This Row],[英语]]="","",SUMPRODUCT((表成绩单[考试日期]=表成绩单[[#This Row],[考试日期]])*(表成绩单[英语]&lt;9E+307)*(表成绩单[英语]&gt;表成绩单[[#This Row],[英语]]))+1)</f>
        <v>551</v>
      </c>
      <c r="S618" s="29" cm="1">
        <f t="array" ref="S618">IF(表成绩单[[#This Row],[物理]]="","",SUMPRODUCT((表成绩单[考试日期]=表成绩单[[#This Row],[考试日期]])*(表成绩单[物理]&lt;9E+307)*(表成绩单[物理]&gt;表成绩单[[#This Row],[物理]]))+1)</f>
        <v>507</v>
      </c>
      <c r="T618" s="29" cm="1">
        <f t="array" ref="T618">IF(表成绩单[[#This Row],[化学]]="","",SUMPRODUCT((表成绩单[考试日期]=表成绩单[[#This Row],[考试日期]])*(表成绩单[化学]&lt;9E+307)*(表成绩单[化学]&gt;表成绩单[[#This Row],[化学]]))+1)</f>
        <v>625</v>
      </c>
      <c r="U618" s="29" cm="1">
        <f t="array" ref="U618">IF(表成绩单[[#This Row],[政治]]="","",SUMPRODUCT((表成绩单[考试日期]=表成绩单[[#This Row],[考试日期]])*(表成绩单[政治]&lt;9E+307)*(表成绩单[政治]&gt;表成绩单[[#This Row],[政治]]))+1)</f>
        <v>764</v>
      </c>
      <c r="V618" s="29" cm="1">
        <f t="array" ref="V618">IF(表成绩单[[#This Row],[历史]]="","",SUMPRODUCT((表成绩单[考试日期]=表成绩单[[#This Row],[考试日期]])*(表成绩单[历史]&lt;9E+307)*(表成绩单[历史]&gt;表成绩单[[#This Row],[历史]]))+1)</f>
        <v>675</v>
      </c>
      <c r="W618" s="29" cm="1">
        <f t="array" ref="W618">IF(表成绩单[[#This Row],[总分]]="","",SUMPRODUCT((表成绩单[考试日期]=表成绩单[[#This Row],[考试日期]])*(表成绩单[总分]&lt;9E+307)*(表成绩单[总分]&gt;表成绩单[[#This Row],[总分]]))+1)</f>
        <v>614</v>
      </c>
    </row>
    <row r="619" ht="28" customHeight="1" spans="4:23">
      <c r="D619" s="31">
        <v>45975</v>
      </c>
      <c r="E619" s="29">
        <v>24040081</v>
      </c>
      <c r="F619" s="29" t="s">
        <v>58</v>
      </c>
      <c r="G619" s="29" t="s">
        <v>692</v>
      </c>
      <c r="H619" s="29">
        <v>85</v>
      </c>
      <c r="I619" s="29">
        <v>106</v>
      </c>
      <c r="J619" s="29">
        <v>68.5</v>
      </c>
      <c r="K619" s="29">
        <v>73</v>
      </c>
      <c r="L619" s="29">
        <v>58</v>
      </c>
      <c r="M619" s="29">
        <v>53</v>
      </c>
      <c r="N619" s="29">
        <v>62</v>
      </c>
      <c r="O619" s="32">
        <v>505.5</v>
      </c>
      <c r="P619" s="29" cm="1">
        <f t="array" ref="P619">IF(表成绩单[[#This Row],[语文]]="","",SUMPRODUCT((表成绩单[考试日期]=表成绩单[[#This Row],[考试日期]])*(表成绩单[语文]&lt;9E+307)*(表成绩单[语文]&gt;表成绩单[[#This Row],[语文]]))+1)</f>
        <v>648</v>
      </c>
      <c r="Q619" s="29" cm="1">
        <f t="array" ref="Q619">IF(表成绩单[[#This Row],[数学]]="","",SUMPRODUCT((表成绩单[考试日期]=表成绩单[[#This Row],[考试日期]])*(表成绩单[数学]&lt;9E+307)*(表成绩单[数学]&gt;表成绩单[[#This Row],[数学]]))+1)</f>
        <v>220</v>
      </c>
      <c r="R619" s="29" cm="1">
        <f t="array" ref="R619">IF(表成绩单[[#This Row],[英语]]="","",SUMPRODUCT((表成绩单[考试日期]=表成绩单[[#This Row],[考试日期]])*(表成绩单[英语]&lt;9E+307)*(表成绩单[英语]&gt;表成绩单[[#This Row],[英语]]))+1)</f>
        <v>571</v>
      </c>
      <c r="S619" s="29" cm="1">
        <f t="array" ref="S619">IF(表成绩单[[#This Row],[物理]]="","",SUMPRODUCT((表成绩单[考试日期]=表成绩单[[#This Row],[考试日期]])*(表成绩单[物理]&lt;9E+307)*(表成绩单[物理]&gt;表成绩单[[#This Row],[物理]]))+1)</f>
        <v>626</v>
      </c>
      <c r="T619" s="29" cm="1">
        <f t="array" ref="T619">IF(表成绩单[[#This Row],[化学]]="","",SUMPRODUCT((表成绩单[考试日期]=表成绩单[[#This Row],[考试日期]])*(表成绩单[化学]&lt;9E+307)*(表成绩单[化学]&gt;表成绩单[[#This Row],[化学]]))+1)</f>
        <v>659</v>
      </c>
      <c r="U619" s="29" cm="1">
        <f t="array" ref="U619">IF(表成绩单[[#This Row],[政治]]="","",SUMPRODUCT((表成绩单[考试日期]=表成绩单[[#This Row],[考试日期]])*(表成绩单[政治]&lt;9E+307)*(表成绩单[政治]&gt;表成绩单[[#This Row],[政治]]))+1)</f>
        <v>734</v>
      </c>
      <c r="V619" s="29" cm="1">
        <f t="array" ref="V619">IF(表成绩单[[#This Row],[历史]]="","",SUMPRODUCT((表成绩单[考试日期]=表成绩单[[#This Row],[考试日期]])*(表成绩单[历史]&lt;9E+307)*(表成绩单[历史]&gt;表成绩单[[#This Row],[历史]]))+1)</f>
        <v>688</v>
      </c>
      <c r="W619" s="29" cm="1">
        <f t="array" ref="W619">IF(表成绩单[[#This Row],[总分]]="","",SUMPRODUCT((表成绩单[考试日期]=表成绩单[[#This Row],[考试日期]])*(表成绩单[总分]&lt;9E+307)*(表成绩单[总分]&gt;表成绩单[[#This Row],[总分]]))+1)</f>
        <v>615</v>
      </c>
    </row>
    <row r="620" ht="28" customHeight="1" spans="4:23">
      <c r="D620" s="31">
        <v>45975</v>
      </c>
      <c r="E620" s="29">
        <v>19172629</v>
      </c>
      <c r="F620" s="29" t="s">
        <v>60</v>
      </c>
      <c r="G620" s="29" t="s">
        <v>693</v>
      </c>
      <c r="H620" s="29">
        <v>85</v>
      </c>
      <c r="I620" s="29">
        <v>74</v>
      </c>
      <c r="J620" s="29">
        <v>60</v>
      </c>
      <c r="K620" s="29">
        <v>79</v>
      </c>
      <c r="L620" s="29">
        <v>61</v>
      </c>
      <c r="M620" s="29">
        <v>75</v>
      </c>
      <c r="N620" s="29">
        <v>71</v>
      </c>
      <c r="O620" s="32">
        <v>505</v>
      </c>
      <c r="P620" s="29" cm="1">
        <f t="array" ref="P620">IF(表成绩单[[#This Row],[语文]]="","",SUMPRODUCT((表成绩单[考试日期]=表成绩单[[#This Row],[考试日期]])*(表成绩单[语文]&lt;9E+307)*(表成绩单[语文]&gt;表成绩单[[#This Row],[语文]]))+1)</f>
        <v>648</v>
      </c>
      <c r="Q620" s="29" cm="1">
        <f t="array" ref="Q620">IF(表成绩单[[#This Row],[数学]]="","",SUMPRODUCT((表成绩单[考试日期]=表成绩单[[#This Row],[考试日期]])*(表成绩单[数学]&lt;9E+307)*(表成绩单[数学]&gt;表成绩单[[#This Row],[数学]]))+1)</f>
        <v>667</v>
      </c>
      <c r="R620" s="29" cm="1">
        <f t="array" ref="R620">IF(表成绩单[[#This Row],[英语]]="","",SUMPRODUCT((表成绩单[考试日期]=表成绩单[[#This Row],[考试日期]])*(表成绩单[英语]&lt;9E+307)*(表成绩单[英语]&gt;表成绩单[[#This Row],[英语]]))+1)</f>
        <v>668</v>
      </c>
      <c r="S620" s="29" cm="1">
        <f t="array" ref="S620">IF(表成绩单[[#This Row],[物理]]="","",SUMPRODUCT((表成绩单[考试日期]=表成绩单[[#This Row],[考试日期]])*(表成绩单[物理]&lt;9E+307)*(表成绩单[物理]&gt;表成绩单[[#This Row],[物理]]))+1)</f>
        <v>534</v>
      </c>
      <c r="T620" s="29" cm="1">
        <f t="array" ref="T620">IF(表成绩单[[#This Row],[化学]]="","",SUMPRODUCT((表成绩单[考试日期]=表成绩单[[#This Row],[考试日期]])*(表成绩单[化学]&lt;9E+307)*(表成绩单[化学]&gt;表成绩单[[#This Row],[化学]]))+1)</f>
        <v>625</v>
      </c>
      <c r="U620" s="29" cm="1">
        <f t="array" ref="U620">IF(表成绩单[[#This Row],[政治]]="","",SUMPRODUCT((表成绩单[考试日期]=表成绩单[[#This Row],[考试日期]])*(表成绩单[政治]&lt;9E+307)*(表成绩单[政治]&gt;表成绩单[[#This Row],[政治]]))+1)</f>
        <v>363</v>
      </c>
      <c r="V620" s="29" cm="1">
        <f t="array" ref="V620">IF(表成绩单[[#This Row],[历史]]="","",SUMPRODUCT((表成绩单[考试日期]=表成绩单[[#This Row],[考试日期]])*(表成绩单[历史]&lt;9E+307)*(表成绩单[历史]&gt;表成绩单[[#This Row],[历史]]))+1)</f>
        <v>480</v>
      </c>
      <c r="W620" s="29" cm="1">
        <f t="array" ref="W620">IF(表成绩单[[#This Row],[总分]]="","",SUMPRODUCT((表成绩单[考试日期]=表成绩单[[#This Row],[考试日期]])*(表成绩单[总分]&lt;9E+307)*(表成绩单[总分]&gt;表成绩单[[#This Row],[总分]]))+1)</f>
        <v>616</v>
      </c>
    </row>
    <row r="621" ht="28" customHeight="1" spans="4:23">
      <c r="D621" s="31">
        <v>45975</v>
      </c>
      <c r="E621" s="29">
        <v>19177666</v>
      </c>
      <c r="F621" s="29" t="s">
        <v>63</v>
      </c>
      <c r="G621" s="29" t="s">
        <v>694</v>
      </c>
      <c r="H621" s="29">
        <v>95</v>
      </c>
      <c r="I621" s="29">
        <v>90</v>
      </c>
      <c r="J621" s="29">
        <v>58</v>
      </c>
      <c r="K621" s="29">
        <v>71</v>
      </c>
      <c r="L621" s="29">
        <v>65</v>
      </c>
      <c r="M621" s="29">
        <v>56</v>
      </c>
      <c r="N621" s="29">
        <v>69</v>
      </c>
      <c r="O621" s="32">
        <v>504</v>
      </c>
      <c r="P621" s="29" cm="1">
        <f t="array" ref="P621">IF(表成绩单[[#This Row],[语文]]="","",SUMPRODUCT((表成绩单[考试日期]=表成绩单[[#This Row],[考试日期]])*(表成绩单[语文]&lt;9E+307)*(表成绩单[语文]&gt;表成绩单[[#This Row],[语文]]))+1)</f>
        <v>420</v>
      </c>
      <c r="Q621" s="29" cm="1">
        <f t="array" ref="Q621">IF(表成绩单[[#This Row],[数学]]="","",SUMPRODUCT((表成绩单[考试日期]=表成绩单[[#This Row],[考试日期]])*(表成绩单[数学]&lt;9E+307)*(表成绩单[数学]&gt;表成绩单[[#This Row],[数学]]))+1)</f>
        <v>506</v>
      </c>
      <c r="R621" s="29" cm="1">
        <f t="array" ref="R621">IF(表成绩单[[#This Row],[英语]]="","",SUMPRODUCT((表成绩单[考试日期]=表成绩单[[#This Row],[考试日期]])*(表成绩单[英语]&lt;9E+307)*(表成绩单[英语]&gt;表成绩单[[#This Row],[英语]]))+1)</f>
        <v>685</v>
      </c>
      <c r="S621" s="29" cm="1">
        <f t="array" ref="S621">IF(表成绩单[[#This Row],[物理]]="","",SUMPRODUCT((表成绩单[考试日期]=表成绩单[[#This Row],[考试日期]])*(表成绩单[物理]&lt;9E+307)*(表成绩单[物理]&gt;表成绩单[[#This Row],[物理]]))+1)</f>
        <v>648</v>
      </c>
      <c r="T621" s="29" cm="1">
        <f t="array" ref="T621">IF(表成绩单[[#This Row],[化学]]="","",SUMPRODUCT((表成绩单[考试日期]=表成绩单[[#This Row],[考试日期]])*(表成绩单[化学]&lt;9E+307)*(表成绩单[化学]&gt;表成绩单[[#This Row],[化学]]))+1)</f>
        <v>559</v>
      </c>
      <c r="U621" s="29" cm="1">
        <f t="array" ref="U621">IF(表成绩单[[#This Row],[政治]]="","",SUMPRODUCT((表成绩单[考试日期]=表成绩单[[#This Row],[考试日期]])*(表成绩单[政治]&lt;9E+307)*(表成绩单[政治]&gt;表成绩单[[#This Row],[政治]]))+1)</f>
        <v>706</v>
      </c>
      <c r="V621" s="29" cm="1">
        <f t="array" ref="V621">IF(表成绩单[[#This Row],[历史]]="","",SUMPRODUCT((表成绩单[考试日期]=表成绩单[[#This Row],[考试日期]])*(表成绩单[历史]&lt;9E+307)*(表成绩单[历史]&gt;表成绩单[[#This Row],[历史]]))+1)</f>
        <v>541</v>
      </c>
      <c r="W621" s="29" cm="1">
        <f t="array" ref="W621">IF(表成绩单[[#This Row],[总分]]="","",SUMPRODUCT((表成绩单[考试日期]=表成绩单[[#This Row],[考试日期]])*(表成绩单[总分]&lt;9E+307)*(表成绩单[总分]&gt;表成绩单[[#This Row],[总分]]))+1)</f>
        <v>617</v>
      </c>
    </row>
    <row r="622" ht="28" customHeight="1" spans="4:23">
      <c r="D622" s="31">
        <v>45975</v>
      </c>
      <c r="E622" s="29">
        <v>19175621</v>
      </c>
      <c r="F622" s="29" t="s">
        <v>57</v>
      </c>
      <c r="G622" s="29" t="s">
        <v>695</v>
      </c>
      <c r="H622" s="29">
        <v>82</v>
      </c>
      <c r="I622" s="29">
        <v>78</v>
      </c>
      <c r="J622" s="29">
        <v>67</v>
      </c>
      <c r="K622" s="29">
        <v>76</v>
      </c>
      <c r="L622" s="29">
        <v>67</v>
      </c>
      <c r="M622" s="29">
        <v>65</v>
      </c>
      <c r="N622" s="29">
        <v>68</v>
      </c>
      <c r="O622" s="32">
        <v>503</v>
      </c>
      <c r="P622" s="29" cm="1">
        <f t="array" ref="P622">IF(表成绩单[[#This Row],[语文]]="","",SUMPRODUCT((表成绩单[考试日期]=表成绩单[[#This Row],[考试日期]])*(表成绩单[语文]&lt;9E+307)*(表成绩单[语文]&gt;表成绩单[[#This Row],[语文]]))+1)</f>
        <v>682</v>
      </c>
      <c r="Q622" s="29" cm="1">
        <f t="array" ref="Q622">IF(表成绩单[[#This Row],[数学]]="","",SUMPRODUCT((表成绩单[考试日期]=表成绩单[[#This Row],[考试日期]])*(表成绩单[数学]&lt;9E+307)*(表成绩单[数学]&gt;表成绩单[[#This Row],[数学]]))+1)</f>
        <v>644</v>
      </c>
      <c r="R622" s="29" cm="1">
        <f t="array" ref="R622">IF(表成绩单[[#This Row],[英语]]="","",SUMPRODUCT((表成绩单[考试日期]=表成绩单[[#This Row],[考试日期]])*(表成绩单[英语]&lt;9E+307)*(表成绩单[英语]&gt;表成绩单[[#This Row],[英语]]))+1)</f>
        <v>596</v>
      </c>
      <c r="S622" s="29" cm="1">
        <f t="array" ref="S622">IF(表成绩单[[#This Row],[物理]]="","",SUMPRODUCT((表成绩单[考试日期]=表成绩单[[#This Row],[考试日期]])*(表成绩单[物理]&lt;9E+307)*(表成绩单[物理]&gt;表成绩单[[#This Row],[物理]]))+1)</f>
        <v>589</v>
      </c>
      <c r="T622" s="29" cm="1">
        <f t="array" ref="T622">IF(表成绩单[[#This Row],[化学]]="","",SUMPRODUCT((表成绩单[考试日期]=表成绩单[[#This Row],[考试日期]])*(表成绩单[化学]&lt;9E+307)*(表成绩单[化学]&gt;表成绩单[[#This Row],[化学]]))+1)</f>
        <v>524</v>
      </c>
      <c r="U622" s="29" cm="1">
        <f t="array" ref="U622">IF(表成绩单[[#This Row],[政治]]="","",SUMPRODUCT((表成绩单[考试日期]=表成绩单[[#This Row],[考试日期]])*(表成绩单[政治]&lt;9E+307)*(表成绩单[政治]&gt;表成绩单[[#This Row],[政治]]))+1)</f>
        <v>579</v>
      </c>
      <c r="V622" s="29" cm="1">
        <f t="array" ref="V622">IF(表成绩单[[#This Row],[历史]]="","",SUMPRODUCT((表成绩单[考试日期]=表成绩单[[#This Row],[考试日期]])*(表成绩单[历史]&lt;9E+307)*(表成绩单[历史]&gt;表成绩单[[#This Row],[历史]]))+1)</f>
        <v>571</v>
      </c>
      <c r="W622" s="29" cm="1">
        <f t="array" ref="W622">IF(表成绩单[[#This Row],[总分]]="","",SUMPRODUCT((表成绩单[考试日期]=表成绩单[[#This Row],[考试日期]])*(表成绩单[总分]&lt;9E+307)*(表成绩单[总分]&gt;表成绩单[[#This Row],[总分]]))+1)</f>
        <v>618</v>
      </c>
    </row>
    <row r="623" ht="28" customHeight="1" spans="4:23">
      <c r="D623" s="31">
        <v>45975</v>
      </c>
      <c r="E623" s="29">
        <v>19173258</v>
      </c>
      <c r="F623" s="29" t="s">
        <v>61</v>
      </c>
      <c r="G623" s="29" t="s">
        <v>696</v>
      </c>
      <c r="H623" s="29">
        <v>87</v>
      </c>
      <c r="I623" s="29">
        <v>88</v>
      </c>
      <c r="J623" s="29">
        <v>58.5</v>
      </c>
      <c r="K623" s="29">
        <v>78</v>
      </c>
      <c r="L623" s="29">
        <v>58</v>
      </c>
      <c r="M623" s="29">
        <v>65</v>
      </c>
      <c r="N623" s="29">
        <v>68</v>
      </c>
      <c r="O623" s="32">
        <v>502.5</v>
      </c>
      <c r="P623" s="29" cm="1">
        <f t="array" ref="P623">IF(表成绩单[[#This Row],[语文]]="","",SUMPRODUCT((表成绩单[考试日期]=表成绩单[[#This Row],[考试日期]])*(表成绩单[语文]&lt;9E+307)*(表成绩单[语文]&gt;表成绩单[[#This Row],[语文]]))+1)</f>
        <v>615</v>
      </c>
      <c r="Q623" s="29" cm="1">
        <f t="array" ref="Q623">IF(表成绩单[[#This Row],[数学]]="","",SUMPRODUCT((表成绩单[考试日期]=表成绩单[[#This Row],[考试日期]])*(表成绩单[数学]&lt;9E+307)*(表成绩单[数学]&gt;表成绩单[[#This Row],[数学]]))+1)</f>
        <v>527</v>
      </c>
      <c r="R623" s="29" cm="1">
        <f t="array" ref="R623">IF(表成绩单[[#This Row],[英语]]="","",SUMPRODUCT((表成绩单[考试日期]=表成绩单[[#This Row],[考试日期]])*(表成绩单[英语]&lt;9E+307)*(表成绩单[英语]&gt;表成绩单[[#This Row],[英语]]))+1)</f>
        <v>680</v>
      </c>
      <c r="S623" s="29" cm="1">
        <f t="array" ref="S623">IF(表成绩单[[#This Row],[物理]]="","",SUMPRODUCT((表成绩单[考试日期]=表成绩单[[#This Row],[考试日期]])*(表成绩单[物理]&lt;9E+307)*(表成绩单[物理]&gt;表成绩单[[#This Row],[物理]]))+1)</f>
        <v>554</v>
      </c>
      <c r="T623" s="29" cm="1">
        <f t="array" ref="T623">IF(表成绩单[[#This Row],[化学]]="","",SUMPRODUCT((表成绩单[考试日期]=表成绩单[[#This Row],[考试日期]])*(表成绩单[化学]&lt;9E+307)*(表成绩单[化学]&gt;表成绩单[[#This Row],[化学]]))+1)</f>
        <v>659</v>
      </c>
      <c r="U623" s="29" cm="1">
        <f t="array" ref="U623">IF(表成绩单[[#This Row],[政治]]="","",SUMPRODUCT((表成绩单[考试日期]=表成绩单[[#This Row],[考试日期]])*(表成绩单[政治]&lt;9E+307)*(表成绩单[政治]&gt;表成绩单[[#This Row],[政治]]))+1)</f>
        <v>579</v>
      </c>
      <c r="V623" s="29" cm="1">
        <f t="array" ref="V623">IF(表成绩单[[#This Row],[历史]]="","",SUMPRODUCT((表成绩单[考试日期]=表成绩单[[#This Row],[考试日期]])*(表成绩单[历史]&lt;9E+307)*(表成绩单[历史]&gt;表成绩单[[#This Row],[历史]]))+1)</f>
        <v>571</v>
      </c>
      <c r="W623" s="29" cm="1">
        <f t="array" ref="W623">IF(表成绩单[[#This Row],[总分]]="","",SUMPRODUCT((表成绩单[考试日期]=表成绩单[[#This Row],[考试日期]])*(表成绩单[总分]&lt;9E+307)*(表成绩单[总分]&gt;表成绩单[[#This Row],[总分]]))+1)</f>
        <v>619</v>
      </c>
    </row>
    <row r="624" ht="28" customHeight="1" spans="4:23">
      <c r="D624" s="31">
        <v>45975</v>
      </c>
      <c r="E624" s="29">
        <v>26761258</v>
      </c>
      <c r="F624" s="29" t="s">
        <v>57</v>
      </c>
      <c r="G624" s="29" t="s">
        <v>697</v>
      </c>
      <c r="H624" s="29">
        <v>93</v>
      </c>
      <c r="I624" s="29">
        <v>76</v>
      </c>
      <c r="J624" s="29">
        <v>72.5</v>
      </c>
      <c r="K624" s="29">
        <v>73</v>
      </c>
      <c r="L624" s="29">
        <v>65</v>
      </c>
      <c r="M624" s="29">
        <v>64</v>
      </c>
      <c r="N624" s="29">
        <v>59</v>
      </c>
      <c r="O624" s="32">
        <v>502.5</v>
      </c>
      <c r="P624" s="29" cm="1">
        <f t="array" ref="P624">IF(表成绩单[[#This Row],[语文]]="","",SUMPRODUCT((表成绩单[考试日期]=表成绩单[[#This Row],[考试日期]])*(表成绩单[语文]&lt;9E+307)*(表成绩单[语文]&gt;表成绩单[[#This Row],[语文]]))+1)</f>
        <v>489</v>
      </c>
      <c r="Q624" s="29" cm="1">
        <f t="array" ref="Q624">IF(表成绩单[[#This Row],[数学]]="","",SUMPRODUCT((表成绩单[考试日期]=表成绩单[[#This Row],[考试日期]])*(表成绩单[数学]&lt;9E+307)*(表成绩单[数学]&gt;表成绩单[[#This Row],[数学]]))+1)</f>
        <v>654</v>
      </c>
      <c r="R624" s="29" cm="1">
        <f t="array" ref="R624">IF(表成绩单[[#This Row],[英语]]="","",SUMPRODUCT((表成绩单[考试日期]=表成绩单[[#This Row],[考试日期]])*(表成绩单[英语]&lt;9E+307)*(表成绩单[英语]&gt;表成绩单[[#This Row],[英语]]))+1)</f>
        <v>498</v>
      </c>
      <c r="S624" s="29" cm="1">
        <f t="array" ref="S624">IF(表成绩单[[#This Row],[物理]]="","",SUMPRODUCT((表成绩单[考试日期]=表成绩单[[#This Row],[考试日期]])*(表成绩单[物理]&lt;9E+307)*(表成绩单[物理]&gt;表成绩单[[#This Row],[物理]]))+1)</f>
        <v>626</v>
      </c>
      <c r="T624" s="29" cm="1">
        <f t="array" ref="T624">IF(表成绩单[[#This Row],[化学]]="","",SUMPRODUCT((表成绩单[考试日期]=表成绩单[[#This Row],[考试日期]])*(表成绩单[化学]&lt;9E+307)*(表成绩单[化学]&gt;表成绩单[[#This Row],[化学]]))+1)</f>
        <v>559</v>
      </c>
      <c r="U624" s="29" cm="1">
        <f t="array" ref="U624">IF(表成绩单[[#This Row],[政治]]="","",SUMPRODUCT((表成绩单[考试日期]=表成绩单[[#This Row],[考试日期]])*(表成绩单[政治]&lt;9E+307)*(表成绩单[政治]&gt;表成绩单[[#This Row],[政治]]))+1)</f>
        <v>599</v>
      </c>
      <c r="V624" s="29" cm="1">
        <f t="array" ref="V624">IF(表成绩单[[#This Row],[历史]]="","",SUMPRODUCT((表成绩单[考试日期]=表成绩单[[#This Row],[考试日期]])*(表成绩单[历史]&lt;9E+307)*(表成绩单[历史]&gt;表成绩单[[#This Row],[历史]]))+1)</f>
        <v>724</v>
      </c>
      <c r="W624" s="29" cm="1">
        <f t="array" ref="W624">IF(表成绩单[[#This Row],[总分]]="","",SUMPRODUCT((表成绩单[考试日期]=表成绩单[[#This Row],[考试日期]])*(表成绩单[总分]&lt;9E+307)*(表成绩单[总分]&gt;表成绩单[[#This Row],[总分]]))+1)</f>
        <v>619</v>
      </c>
    </row>
    <row r="625" ht="28" customHeight="1" spans="4:23">
      <c r="D625" s="31">
        <v>45975</v>
      </c>
      <c r="E625" s="29">
        <v>19173279</v>
      </c>
      <c r="F625" s="29" t="s">
        <v>61</v>
      </c>
      <c r="G625" s="29" t="s">
        <v>698</v>
      </c>
      <c r="H625" s="29">
        <v>76</v>
      </c>
      <c r="I625" s="29">
        <v>89</v>
      </c>
      <c r="J625" s="29">
        <v>66</v>
      </c>
      <c r="K625" s="29">
        <v>84</v>
      </c>
      <c r="L625" s="29">
        <v>60</v>
      </c>
      <c r="M625" s="29">
        <v>54</v>
      </c>
      <c r="N625" s="29">
        <v>73</v>
      </c>
      <c r="O625" s="32">
        <v>502</v>
      </c>
      <c r="P625" s="29" cm="1">
        <f t="array" ref="P625">IF(表成绩单[[#This Row],[语文]]="","",SUMPRODUCT((表成绩单[考试日期]=表成绩单[[#This Row],[考试日期]])*(表成绩单[语文]&lt;9E+307)*(表成绩单[语文]&gt;表成绩单[[#This Row],[语文]]))+1)</f>
        <v>743</v>
      </c>
      <c r="Q625" s="29" cm="1">
        <f t="array" ref="Q625">IF(表成绩单[[#This Row],[数学]]="","",SUMPRODUCT((表成绩单[考试日期]=表成绩单[[#This Row],[考试日期]])*(表成绩单[数学]&lt;9E+307)*(表成绩单[数学]&gt;表成绩单[[#This Row],[数学]]))+1)</f>
        <v>518</v>
      </c>
      <c r="R625" s="29" cm="1">
        <f t="array" ref="R625">IF(表成绩单[[#This Row],[英语]]="","",SUMPRODUCT((表成绩单[考试日期]=表成绩单[[#This Row],[考试日期]])*(表成绩单[英语]&lt;9E+307)*(表成绩单[英语]&gt;表成绩单[[#This Row],[英语]]))+1)</f>
        <v>609</v>
      </c>
      <c r="S625" s="29" cm="1">
        <f t="array" ref="S625">IF(表成绩单[[#This Row],[物理]]="","",SUMPRODUCT((表成绩单[考试日期]=表成绩单[[#This Row],[考试日期]])*(表成绩单[物理]&lt;9E+307)*(表成绩单[物理]&gt;表成绩单[[#This Row],[物理]]))+1)</f>
        <v>344</v>
      </c>
      <c r="T625" s="29" cm="1">
        <f t="array" ref="T625">IF(表成绩单[[#This Row],[化学]]="","",SUMPRODUCT((表成绩单[考试日期]=表成绩单[[#This Row],[考试日期]])*(表成绩单[化学]&lt;9E+307)*(表成绩单[化学]&gt;表成绩单[[#This Row],[化学]]))+1)</f>
        <v>639</v>
      </c>
      <c r="U625" s="29" cm="1">
        <f t="array" ref="U625">IF(表成绩单[[#This Row],[政治]]="","",SUMPRODUCT((表成绩单[考试日期]=表成绩单[[#This Row],[考试日期]])*(表成绩单[政治]&lt;9E+307)*(表成绩单[政治]&gt;表成绩单[[#This Row],[政治]]))+1)</f>
        <v>723</v>
      </c>
      <c r="V625" s="29" cm="1">
        <f t="array" ref="V625">IF(表成绩单[[#This Row],[历史]]="","",SUMPRODUCT((表成绩单[考试日期]=表成绩单[[#This Row],[考试日期]])*(表成绩单[历史]&lt;9E+307)*(表成绩单[历史]&gt;表成绩单[[#This Row],[历史]]))+1)</f>
        <v>395</v>
      </c>
      <c r="W625" s="29" cm="1">
        <f t="array" ref="W625">IF(表成绩单[[#This Row],[总分]]="","",SUMPRODUCT((表成绩单[考试日期]=表成绩单[[#This Row],[考试日期]])*(表成绩单[总分]&lt;9E+307)*(表成绩单[总分]&gt;表成绩单[[#This Row],[总分]]))+1)</f>
        <v>621</v>
      </c>
    </row>
    <row r="626" ht="28" customHeight="1" spans="4:23">
      <c r="D626" s="31">
        <v>45975</v>
      </c>
      <c r="E626" s="29">
        <v>19173282</v>
      </c>
      <c r="F626" s="29" t="s">
        <v>61</v>
      </c>
      <c r="G626" s="29" t="s">
        <v>699</v>
      </c>
      <c r="H626" s="29">
        <v>90</v>
      </c>
      <c r="I626" s="29">
        <v>70</v>
      </c>
      <c r="J626" s="29">
        <v>66</v>
      </c>
      <c r="K626" s="29">
        <v>77</v>
      </c>
      <c r="L626" s="29">
        <v>69</v>
      </c>
      <c r="M626" s="29">
        <v>60</v>
      </c>
      <c r="N626" s="29">
        <v>70</v>
      </c>
      <c r="O626" s="32">
        <v>502</v>
      </c>
      <c r="P626" s="29" cm="1">
        <f t="array" ref="P626">IF(表成绩单[[#This Row],[语文]]="","",SUMPRODUCT((表成绩单[考试日期]=表成绩单[[#This Row],[考试日期]])*(表成绩单[语文]&lt;9E+307)*(表成绩单[语文]&gt;表成绩单[[#This Row],[语文]]))+1)</f>
        <v>561</v>
      </c>
      <c r="Q626" s="29" cm="1">
        <f t="array" ref="Q626">IF(表成绩单[[#This Row],[数学]]="","",SUMPRODUCT((表成绩单[考试日期]=表成绩单[[#This Row],[考试日期]])*(表成绩单[数学]&lt;9E+307)*(表成绩单[数学]&gt;表成绩单[[#This Row],[数学]]))+1)</f>
        <v>683</v>
      </c>
      <c r="R626" s="29" cm="1">
        <f t="array" ref="R626">IF(表成绩单[[#This Row],[英语]]="","",SUMPRODUCT((表成绩单[考试日期]=表成绩单[[#This Row],[考试日期]])*(表成绩单[英语]&lt;9E+307)*(表成绩单[英语]&gt;表成绩单[[#This Row],[英语]]))+1)</f>
        <v>609</v>
      </c>
      <c r="S626" s="29" cm="1">
        <f t="array" ref="S626">IF(表成绩单[[#This Row],[物理]]="","",SUMPRODUCT((表成绩单[考试日期]=表成绩单[[#This Row],[考试日期]])*(表成绩单[物理]&lt;9E+307)*(表成绩单[物理]&gt;表成绩单[[#This Row],[物理]]))+1)</f>
        <v>572</v>
      </c>
      <c r="T626" s="29" cm="1">
        <f t="array" ref="T626">IF(表成绩单[[#This Row],[化学]]="","",SUMPRODUCT((表成绩单[考试日期]=表成绩单[[#This Row],[考试日期]])*(表成绩单[化学]&lt;9E+307)*(表成绩单[化学]&gt;表成绩单[[#This Row],[化学]]))+1)</f>
        <v>478</v>
      </c>
      <c r="U626" s="29" cm="1">
        <f t="array" ref="U626">IF(表成绩单[[#This Row],[政治]]="","",SUMPRODUCT((表成绩单[考试日期]=表成绩单[[#This Row],[考试日期]])*(表成绩单[政治]&lt;9E+307)*(表成绩单[政治]&gt;表成绩单[[#This Row],[政治]]))+1)</f>
        <v>671</v>
      </c>
      <c r="V626" s="29" cm="1">
        <f t="array" ref="V626">IF(表成绩单[[#This Row],[历史]]="","",SUMPRODUCT((表成绩单[考试日期]=表成绩单[[#This Row],[考试日期]])*(表成绩单[历史]&lt;9E+307)*(表成绩单[历史]&gt;表成绩单[[#This Row],[历史]]))+1)</f>
        <v>505</v>
      </c>
      <c r="W626" s="29" cm="1">
        <f t="array" ref="W626">IF(表成绩单[[#This Row],[总分]]="","",SUMPRODUCT((表成绩单[考试日期]=表成绩单[[#This Row],[考试日期]])*(表成绩单[总分]&lt;9E+307)*(表成绩单[总分]&gt;表成绩单[[#This Row],[总分]]))+1)</f>
        <v>621</v>
      </c>
    </row>
    <row r="627" ht="28" customHeight="1" spans="4:23">
      <c r="D627" s="31">
        <v>45975</v>
      </c>
      <c r="E627" s="29">
        <v>19175594</v>
      </c>
      <c r="F627" s="29" t="s">
        <v>57</v>
      </c>
      <c r="G627" s="29" t="s">
        <v>700</v>
      </c>
      <c r="H627" s="29">
        <v>94</v>
      </c>
      <c r="I627" s="29">
        <v>63</v>
      </c>
      <c r="J627" s="29">
        <v>74</v>
      </c>
      <c r="K627" s="29">
        <v>67</v>
      </c>
      <c r="L627" s="29">
        <v>57</v>
      </c>
      <c r="M627" s="29">
        <v>71</v>
      </c>
      <c r="N627" s="29">
        <v>76</v>
      </c>
      <c r="O627" s="32">
        <v>502</v>
      </c>
      <c r="P627" s="29" cm="1">
        <f t="array" ref="P627">IF(表成绩单[[#This Row],[语文]]="","",SUMPRODUCT((表成绩单[考试日期]=表成绩单[[#This Row],[考试日期]])*(表成绩单[语文]&lt;9E+307)*(表成绩单[语文]&gt;表成绩单[[#This Row],[语文]]))+1)</f>
        <v>452</v>
      </c>
      <c r="Q627" s="29" cm="1">
        <f t="array" ref="Q627">IF(表成绩单[[#This Row],[数学]]="","",SUMPRODUCT((表成绩单[考试日期]=表成绩单[[#This Row],[考试日期]])*(表成绩单[数学]&lt;9E+307)*(表成绩单[数学]&gt;表成绩单[[#This Row],[数学]]))+1)</f>
        <v>717</v>
      </c>
      <c r="R627" s="29" cm="1">
        <f t="array" ref="R627">IF(表成绩单[[#This Row],[英语]]="","",SUMPRODUCT((表成绩单[考试日期]=表成绩单[[#This Row],[考试日期]])*(表成绩单[英语]&lt;9E+307)*(表成绩单[英语]&gt;表成绩单[[#This Row],[英语]]))+1)</f>
        <v>454</v>
      </c>
      <c r="S627" s="29" cm="1">
        <f t="array" ref="S627">IF(表成绩单[[#This Row],[物理]]="","",SUMPRODUCT((表成绩单[考试日期]=表成绩单[[#This Row],[考试日期]])*(表成绩单[物理]&lt;9E+307)*(表成绩单[物理]&gt;表成绩单[[#This Row],[物理]]))+1)</f>
        <v>674</v>
      </c>
      <c r="T627" s="29" cm="1">
        <f t="array" ref="T627">IF(表成绩单[[#This Row],[化学]]="","",SUMPRODUCT((表成绩单[考试日期]=表成绩单[[#This Row],[考试日期]])*(表成绩单[化学]&lt;9E+307)*(表成绩单[化学]&gt;表成绩单[[#This Row],[化学]]))+1)</f>
        <v>676</v>
      </c>
      <c r="U627" s="29" cm="1">
        <f t="array" ref="U627">IF(表成绩单[[#This Row],[政治]]="","",SUMPRODUCT((表成绩单[考试日期]=表成绩单[[#This Row],[考试日期]])*(表成绩单[政治]&lt;9E+307)*(表成绩单[政治]&gt;表成绩单[[#This Row],[政治]]))+1)</f>
        <v>467</v>
      </c>
      <c r="V627" s="29" cm="1">
        <f t="array" ref="V627">IF(表成绩单[[#This Row],[历史]]="","",SUMPRODUCT((表成绩单[考试日期]=表成绩单[[#This Row],[考试日期]])*(表成绩单[历史]&lt;9E+307)*(表成绩单[历史]&gt;表成绩单[[#This Row],[历史]]))+1)</f>
        <v>278</v>
      </c>
      <c r="W627" s="29" cm="1">
        <f t="array" ref="W627">IF(表成绩单[[#This Row],[总分]]="","",SUMPRODUCT((表成绩单[考试日期]=表成绩单[[#This Row],[考试日期]])*(表成绩单[总分]&lt;9E+307)*(表成绩单[总分]&gt;表成绩单[[#This Row],[总分]]))+1)</f>
        <v>621</v>
      </c>
    </row>
    <row r="628" ht="28" customHeight="1" spans="4:23">
      <c r="D628" s="31">
        <v>45975</v>
      </c>
      <c r="E628" s="29">
        <v>19177648</v>
      </c>
      <c r="F628" s="29" t="s">
        <v>63</v>
      </c>
      <c r="G628" s="29" t="s">
        <v>701</v>
      </c>
      <c r="H628" s="29">
        <v>85</v>
      </c>
      <c r="I628" s="29">
        <v>92</v>
      </c>
      <c r="J628" s="29">
        <v>70</v>
      </c>
      <c r="K628" s="29">
        <v>79</v>
      </c>
      <c r="L628" s="29">
        <v>53</v>
      </c>
      <c r="M628" s="29">
        <v>52</v>
      </c>
      <c r="N628" s="29">
        <v>71</v>
      </c>
      <c r="O628" s="32">
        <v>502</v>
      </c>
      <c r="P628" s="29" cm="1">
        <f t="array" ref="P628">IF(表成绩单[[#This Row],[语文]]="","",SUMPRODUCT((表成绩单[考试日期]=表成绩单[[#This Row],[考试日期]])*(表成绩单[语文]&lt;9E+307)*(表成绩单[语文]&gt;表成绩单[[#This Row],[语文]]))+1)</f>
        <v>648</v>
      </c>
      <c r="Q628" s="29" cm="1">
        <f t="array" ref="Q628">IF(表成绩单[[#This Row],[数学]]="","",SUMPRODUCT((表成绩单[考试日期]=表成绩单[[#This Row],[考试日期]])*(表成绩单[数学]&lt;9E+307)*(表成绩单[数学]&gt;表成绩单[[#This Row],[数学]]))+1)</f>
        <v>480</v>
      </c>
      <c r="R628" s="29" cm="1">
        <f t="array" ref="R628">IF(表成绩单[[#This Row],[英语]]="","",SUMPRODUCT((表成绩单[考试日期]=表成绩单[[#This Row],[考试日期]])*(表成绩单[英语]&lt;9E+307)*(表成绩单[英语]&gt;表成绩单[[#This Row],[英语]]))+1)</f>
        <v>551</v>
      </c>
      <c r="S628" s="29" cm="1">
        <f t="array" ref="S628">IF(表成绩单[[#This Row],[物理]]="","",SUMPRODUCT((表成绩单[考试日期]=表成绩单[[#This Row],[考试日期]])*(表成绩单[物理]&lt;9E+307)*(表成绩单[物理]&gt;表成绩单[[#This Row],[物理]]))+1)</f>
        <v>534</v>
      </c>
      <c r="T628" s="29" cm="1">
        <f t="array" ref="T628">IF(表成绩单[[#This Row],[化学]]="","",SUMPRODUCT((表成绩单[考试日期]=表成绩单[[#This Row],[考试日期]])*(表成绩单[化学]&lt;9E+307)*(表成绩单[化学]&gt;表成绩单[[#This Row],[化学]]))+1)</f>
        <v>715</v>
      </c>
      <c r="U628" s="29" cm="1">
        <f t="array" ref="U628">IF(表成绩单[[#This Row],[政治]]="","",SUMPRODUCT((表成绩单[考试日期]=表成绩单[[#This Row],[考试日期]])*(表成绩单[政治]&lt;9E+307)*(表成绩单[政治]&gt;表成绩单[[#This Row],[政治]]))+1)</f>
        <v>743</v>
      </c>
      <c r="V628" s="29" cm="1">
        <f t="array" ref="V628">IF(表成绩单[[#This Row],[历史]]="","",SUMPRODUCT((表成绩单[考试日期]=表成绩单[[#This Row],[考试日期]])*(表成绩单[历史]&lt;9E+307)*(表成绩单[历史]&gt;表成绩单[[#This Row],[历史]]))+1)</f>
        <v>480</v>
      </c>
      <c r="W628" s="29" cm="1">
        <f t="array" ref="W628">IF(表成绩单[[#This Row],[总分]]="","",SUMPRODUCT((表成绩单[考试日期]=表成绩单[[#This Row],[考试日期]])*(表成绩单[总分]&lt;9E+307)*(表成绩单[总分]&gt;表成绩单[[#This Row],[总分]]))+1)</f>
        <v>621</v>
      </c>
    </row>
    <row r="629" ht="28" customHeight="1" spans="4:23">
      <c r="D629" s="31">
        <v>45975</v>
      </c>
      <c r="E629" s="29">
        <v>24028994</v>
      </c>
      <c r="F629" s="29" t="s">
        <v>59</v>
      </c>
      <c r="G629" s="29" t="s">
        <v>702</v>
      </c>
      <c r="H629" s="29">
        <v>87</v>
      </c>
      <c r="I629" s="29">
        <v>80</v>
      </c>
      <c r="J629" s="29">
        <v>75</v>
      </c>
      <c r="K629" s="29">
        <v>72</v>
      </c>
      <c r="L629" s="29">
        <v>64</v>
      </c>
      <c r="M629" s="29">
        <v>56</v>
      </c>
      <c r="N629" s="29">
        <v>68</v>
      </c>
      <c r="O629" s="32">
        <v>502</v>
      </c>
      <c r="P629" s="29" cm="1">
        <f t="array" ref="P629">IF(表成绩单[[#This Row],[语文]]="","",SUMPRODUCT((表成绩单[考试日期]=表成绩单[[#This Row],[考试日期]])*(表成绩单[语文]&lt;9E+307)*(表成绩单[语文]&gt;表成绩单[[#This Row],[语文]]))+1)</f>
        <v>615</v>
      </c>
      <c r="Q629" s="29" cm="1">
        <f t="array" ref="Q629">IF(表成绩单[[#This Row],[数学]]="","",SUMPRODUCT((表成绩单[考试日期]=表成绩单[[#This Row],[考试日期]])*(表成绩单[数学]&lt;9E+307)*(表成绩单[数学]&gt;表成绩单[[#This Row],[数学]]))+1)</f>
        <v>626</v>
      </c>
      <c r="R629" s="29" cm="1">
        <f t="array" ref="R629">IF(表成绩单[[#This Row],[英语]]="","",SUMPRODUCT((表成绩单[考试日期]=表成绩单[[#This Row],[考试日期]])*(表成绩单[英语]&lt;9E+307)*(表成绩单[英语]&gt;表成绩单[[#This Row],[英语]]))+1)</f>
        <v>430</v>
      </c>
      <c r="S629" s="29" cm="1">
        <f t="array" ref="S629">IF(表成绩单[[#This Row],[物理]]="","",SUMPRODUCT((表成绩单[考试日期]=表成绩单[[#This Row],[考试日期]])*(表成绩单[物理]&lt;9E+307)*(表成绩单[物理]&gt;表成绩单[[#This Row],[物理]]))+1)</f>
        <v>633</v>
      </c>
      <c r="T629" s="29" cm="1">
        <f t="array" ref="T629">IF(表成绩单[[#This Row],[化学]]="","",SUMPRODUCT((表成绩单[考试日期]=表成绩单[[#This Row],[考试日期]])*(表成绩单[化学]&lt;9E+307)*(表成绩单[化学]&gt;表成绩单[[#This Row],[化学]]))+1)</f>
        <v>575</v>
      </c>
      <c r="U629" s="29" cm="1">
        <f t="array" ref="U629">IF(表成绩单[[#This Row],[政治]]="","",SUMPRODUCT((表成绩单[考试日期]=表成绩单[[#This Row],[考试日期]])*(表成绩单[政治]&lt;9E+307)*(表成绩单[政治]&gt;表成绩单[[#This Row],[政治]]))+1)</f>
        <v>706</v>
      </c>
      <c r="V629" s="29" cm="1">
        <f t="array" ref="V629">IF(表成绩单[[#This Row],[历史]]="","",SUMPRODUCT((表成绩单[考试日期]=表成绩单[[#This Row],[考试日期]])*(表成绩单[历史]&lt;9E+307)*(表成绩单[历史]&gt;表成绩单[[#This Row],[历史]]))+1)</f>
        <v>571</v>
      </c>
      <c r="W629" s="29" cm="1">
        <f t="array" ref="W629">IF(表成绩单[[#This Row],[总分]]="","",SUMPRODUCT((表成绩单[考试日期]=表成绩单[[#This Row],[考试日期]])*(表成绩单[总分]&lt;9E+307)*(表成绩单[总分]&gt;表成绩单[[#This Row],[总分]]))+1)</f>
        <v>621</v>
      </c>
    </row>
    <row r="630" ht="28" customHeight="1" spans="4:23">
      <c r="D630" s="31">
        <v>45975</v>
      </c>
      <c r="E630" s="29">
        <v>19177596</v>
      </c>
      <c r="F630" s="29" t="s">
        <v>58</v>
      </c>
      <c r="G630" s="29" t="s">
        <v>703</v>
      </c>
      <c r="H630" s="29">
        <v>93</v>
      </c>
      <c r="I630" s="29">
        <v>76</v>
      </c>
      <c r="J630" s="29">
        <v>71.5</v>
      </c>
      <c r="K630" s="29">
        <v>75</v>
      </c>
      <c r="L630" s="29">
        <v>50</v>
      </c>
      <c r="M630" s="29">
        <v>61</v>
      </c>
      <c r="N630" s="29">
        <v>74</v>
      </c>
      <c r="O630" s="32">
        <v>500.5</v>
      </c>
      <c r="P630" s="29" cm="1">
        <f t="array" ref="P630">IF(表成绩单[[#This Row],[语文]]="","",SUMPRODUCT((表成绩单[考试日期]=表成绩单[[#This Row],[考试日期]])*(表成绩单[语文]&lt;9E+307)*(表成绩单[语文]&gt;表成绩单[[#This Row],[语文]]))+1)</f>
        <v>489</v>
      </c>
      <c r="Q630" s="29" cm="1">
        <f t="array" ref="Q630">IF(表成绩单[[#This Row],[数学]]="","",SUMPRODUCT((表成绩单[考试日期]=表成绩单[[#This Row],[考试日期]])*(表成绩单[数学]&lt;9E+307)*(表成绩单[数学]&gt;表成绩单[[#This Row],[数学]]))+1)</f>
        <v>654</v>
      </c>
      <c r="R630" s="29" cm="1">
        <f t="array" ref="R630">IF(表成绩单[[#This Row],[英语]]="","",SUMPRODUCT((表成绩单[考试日期]=表成绩单[[#This Row],[考试日期]])*(表成绩单[英语]&lt;9E+307)*(表成绩单[英语]&gt;表成绩单[[#This Row],[英语]]))+1)</f>
        <v>520</v>
      </c>
      <c r="S630" s="29" cm="1">
        <f t="array" ref="S630">IF(表成绩单[[#This Row],[物理]]="","",SUMPRODUCT((表成绩单[考试日期]=表成绩单[[#This Row],[考试日期]])*(表成绩单[物理]&lt;9E+307)*(表成绩单[物理]&gt;表成绩单[[#This Row],[物理]]))+1)</f>
        <v>601</v>
      </c>
      <c r="T630" s="29" cm="1">
        <f t="array" ref="T630">IF(表成绩单[[#This Row],[化学]]="","",SUMPRODUCT((表成绩单[考试日期]=表成绩单[[#This Row],[考试日期]])*(表成绩单[化学]&lt;9E+307)*(表成绩单[化学]&gt;表成绩单[[#This Row],[化学]]))+1)</f>
        <v>736</v>
      </c>
      <c r="U630" s="29" cm="1">
        <f t="array" ref="U630">IF(表成绩单[[#This Row],[政治]]="","",SUMPRODUCT((表成绩单[考试日期]=表成绩单[[#This Row],[考试日期]])*(表成绩单[政治]&lt;9E+307)*(表成绩单[政治]&gt;表成绩单[[#This Row],[政治]]))+1)</f>
        <v>644</v>
      </c>
      <c r="V630" s="29" cm="1">
        <f t="array" ref="V630">IF(表成绩单[[#This Row],[历史]]="","",SUMPRODUCT((表成绩单[考试日期]=表成绩单[[#This Row],[考试日期]])*(表成绩单[历史]&lt;9E+307)*(表成绩单[历史]&gt;表成绩单[[#This Row],[历史]]))+1)</f>
        <v>358</v>
      </c>
      <c r="W630" s="29" cm="1">
        <f t="array" ref="W630">IF(表成绩单[[#This Row],[总分]]="","",SUMPRODUCT((表成绩单[考试日期]=表成绩单[[#This Row],[考试日期]])*(表成绩单[总分]&lt;9E+307)*(表成绩单[总分]&gt;表成绩单[[#This Row],[总分]]))+1)</f>
        <v>626</v>
      </c>
    </row>
    <row r="631" ht="28" customHeight="1" spans="4:23">
      <c r="D631" s="31">
        <v>45975</v>
      </c>
      <c r="E631" s="29">
        <v>19177602</v>
      </c>
      <c r="F631" s="29" t="s">
        <v>58</v>
      </c>
      <c r="G631" s="29" t="s">
        <v>704</v>
      </c>
      <c r="H631" s="29">
        <v>73</v>
      </c>
      <c r="I631" s="29">
        <v>76</v>
      </c>
      <c r="J631" s="29">
        <v>71.5</v>
      </c>
      <c r="K631" s="29">
        <v>82</v>
      </c>
      <c r="L631" s="29">
        <v>71</v>
      </c>
      <c r="M631" s="29">
        <v>57</v>
      </c>
      <c r="N631" s="29">
        <v>70</v>
      </c>
      <c r="O631" s="32">
        <v>500.5</v>
      </c>
      <c r="P631" s="29" cm="1">
        <f t="array" ref="P631">IF(表成绩单[[#This Row],[语文]]="","",SUMPRODUCT((表成绩单[考试日期]=表成绩单[[#This Row],[考试日期]])*(表成绩单[语文]&lt;9E+307)*(表成绩单[语文]&gt;表成绩单[[#This Row],[语文]]))+1)</f>
        <v>756</v>
      </c>
      <c r="Q631" s="29" cm="1">
        <f t="array" ref="Q631">IF(表成绩单[[#This Row],[数学]]="","",SUMPRODUCT((表成绩单[考试日期]=表成绩单[[#This Row],[考试日期]])*(表成绩单[数学]&lt;9E+307)*(表成绩单[数学]&gt;表成绩单[[#This Row],[数学]]))+1)</f>
        <v>654</v>
      </c>
      <c r="R631" s="29" cm="1">
        <f t="array" ref="R631">IF(表成绩单[[#This Row],[英语]]="","",SUMPRODUCT((表成绩单[考试日期]=表成绩单[[#This Row],[考试日期]])*(表成绩单[英语]&lt;9E+307)*(表成绩单[英语]&gt;表成绩单[[#This Row],[英语]]))+1)</f>
        <v>520</v>
      </c>
      <c r="S631" s="29" cm="1">
        <f t="array" ref="S631">IF(表成绩单[[#This Row],[物理]]="","",SUMPRODUCT((表成绩单[考试日期]=表成绩单[[#This Row],[考试日期]])*(表成绩单[物理]&lt;9E+307)*(表成绩单[物理]&gt;表成绩单[[#This Row],[物理]]))+1)</f>
        <v>433</v>
      </c>
      <c r="T631" s="29" cm="1">
        <f t="array" ref="T631">IF(表成绩单[[#This Row],[化学]]="","",SUMPRODUCT((表成绩单[考试日期]=表成绩单[[#This Row],[考试日期]])*(表成绩单[化学]&lt;9E+307)*(表成绩单[化学]&gt;表成绩单[[#This Row],[化学]]))+1)</f>
        <v>432</v>
      </c>
      <c r="U631" s="29" cm="1">
        <f t="array" ref="U631">IF(表成绩单[[#This Row],[政治]]="","",SUMPRODUCT((表成绩单[考试日期]=表成绩单[[#This Row],[考试日期]])*(表成绩单[政治]&lt;9E+307)*(表成绩单[政治]&gt;表成绩单[[#This Row],[政治]]))+1)</f>
        <v>698</v>
      </c>
      <c r="V631" s="29" cm="1">
        <f t="array" ref="V631">IF(表成绩单[[#This Row],[历史]]="","",SUMPRODUCT((表成绩单[考试日期]=表成绩单[[#This Row],[考试日期]])*(表成绩单[历史]&lt;9E+307)*(表成绩单[历史]&gt;表成绩单[[#This Row],[历史]]))+1)</f>
        <v>505</v>
      </c>
      <c r="W631" s="29" cm="1">
        <f t="array" ref="W631">IF(表成绩单[[#This Row],[总分]]="","",SUMPRODUCT((表成绩单[考试日期]=表成绩单[[#This Row],[考试日期]])*(表成绩单[总分]&lt;9E+307)*(表成绩单[总分]&gt;表成绩单[[#This Row],[总分]]))+1)</f>
        <v>626</v>
      </c>
    </row>
    <row r="632" ht="28" customHeight="1" spans="4:23">
      <c r="D632" s="31">
        <v>45975</v>
      </c>
      <c r="E632" s="29">
        <v>19177613</v>
      </c>
      <c r="F632" s="29" t="s">
        <v>58</v>
      </c>
      <c r="G632" s="29" t="s">
        <v>705</v>
      </c>
      <c r="H632" s="29">
        <v>88</v>
      </c>
      <c r="I632" s="29">
        <v>65</v>
      </c>
      <c r="J632" s="29">
        <v>68.5</v>
      </c>
      <c r="K632" s="29">
        <v>75</v>
      </c>
      <c r="L632" s="29">
        <v>62</v>
      </c>
      <c r="M632" s="29">
        <v>69</v>
      </c>
      <c r="N632" s="29">
        <v>73</v>
      </c>
      <c r="O632" s="32">
        <v>500.5</v>
      </c>
      <c r="P632" s="29" cm="1">
        <f t="array" ref="P632">IF(表成绩单[[#This Row],[语文]]="","",SUMPRODUCT((表成绩单[考试日期]=表成绩单[[#This Row],[考试日期]])*(表成绩单[语文]&lt;9E+307)*(表成绩单[语文]&gt;表成绩单[[#This Row],[语文]]))+1)</f>
        <v>595</v>
      </c>
      <c r="Q632" s="29" cm="1">
        <f t="array" ref="Q632">IF(表成绩单[[#This Row],[数学]]="","",SUMPRODUCT((表成绩单[考试日期]=表成绩单[[#This Row],[考试日期]])*(表成绩单[数学]&lt;9E+307)*(表成绩单[数学]&gt;表成绩单[[#This Row],[数学]]))+1)</f>
        <v>706</v>
      </c>
      <c r="R632" s="29" cm="1">
        <f t="array" ref="R632">IF(表成绩单[[#This Row],[英语]]="","",SUMPRODUCT((表成绩单[考试日期]=表成绩单[[#This Row],[考试日期]])*(表成绩单[英语]&lt;9E+307)*(表成绩单[英语]&gt;表成绩单[[#This Row],[英语]]))+1)</f>
        <v>571</v>
      </c>
      <c r="S632" s="29" cm="1">
        <f t="array" ref="S632">IF(表成绩单[[#This Row],[物理]]="","",SUMPRODUCT((表成绩单[考试日期]=表成绩单[[#This Row],[考试日期]])*(表成绩单[物理]&lt;9E+307)*(表成绩单[物理]&gt;表成绩单[[#This Row],[物理]]))+1)</f>
        <v>601</v>
      </c>
      <c r="T632" s="29" cm="1">
        <f t="array" ref="T632">IF(表成绩单[[#This Row],[化学]]="","",SUMPRODUCT((表成绩单[考试日期]=表成绩单[[#This Row],[考试日期]])*(表成绩单[化学]&lt;9E+307)*(表成绩单[化学]&gt;表成绩单[[#This Row],[化学]]))+1)</f>
        <v>605</v>
      </c>
      <c r="U632" s="29" cm="1">
        <f t="array" ref="U632">IF(表成绩单[[#This Row],[政治]]="","",SUMPRODUCT((表成绩单[考试日期]=表成绩单[[#This Row],[考试日期]])*(表成绩单[政治]&lt;9E+307)*(表成绩单[政治]&gt;表成绩单[[#This Row],[政治]]))+1)</f>
        <v>507</v>
      </c>
      <c r="V632" s="29" cm="1">
        <f t="array" ref="V632">IF(表成绩单[[#This Row],[历史]]="","",SUMPRODUCT((表成绩单[考试日期]=表成绩单[[#This Row],[考试日期]])*(表成绩单[历史]&lt;9E+307)*(表成绩单[历史]&gt;表成绩单[[#This Row],[历史]]))+1)</f>
        <v>395</v>
      </c>
      <c r="W632" s="29" cm="1">
        <f t="array" ref="W632">IF(表成绩单[[#This Row],[总分]]="","",SUMPRODUCT((表成绩单[考试日期]=表成绩单[[#This Row],[考试日期]])*(表成绩单[总分]&lt;9E+307)*(表成绩单[总分]&gt;表成绩单[[#This Row],[总分]]))+1)</f>
        <v>626</v>
      </c>
    </row>
    <row r="633" ht="28" customHeight="1" spans="4:23">
      <c r="D633" s="31">
        <v>45975</v>
      </c>
      <c r="E633" s="29">
        <v>19175301</v>
      </c>
      <c r="F633" s="29" t="s">
        <v>55</v>
      </c>
      <c r="G633" s="29" t="s">
        <v>706</v>
      </c>
      <c r="H633" s="29">
        <v>90</v>
      </c>
      <c r="I633" s="29">
        <v>70</v>
      </c>
      <c r="J633" s="29">
        <v>77.5</v>
      </c>
      <c r="K633" s="29">
        <v>64</v>
      </c>
      <c r="L633" s="29">
        <v>61</v>
      </c>
      <c r="M633" s="29">
        <v>65</v>
      </c>
      <c r="N633" s="29">
        <v>72</v>
      </c>
      <c r="O633" s="32">
        <v>499.5</v>
      </c>
      <c r="P633" s="29" cm="1">
        <f t="array" ref="P633">IF(表成绩单[[#This Row],[语文]]="","",SUMPRODUCT((表成绩单[考试日期]=表成绩单[[#This Row],[考试日期]])*(表成绩单[语文]&lt;9E+307)*(表成绩单[语文]&gt;表成绩单[[#This Row],[语文]]))+1)</f>
        <v>561</v>
      </c>
      <c r="Q633" s="29" cm="1">
        <f t="array" ref="Q633">IF(表成绩单[[#This Row],[数学]]="","",SUMPRODUCT((表成绩单[考试日期]=表成绩单[[#This Row],[考试日期]])*(表成绩单[数学]&lt;9E+307)*(表成绩单[数学]&gt;表成绩单[[#This Row],[数学]]))+1)</f>
        <v>683</v>
      </c>
      <c r="R633" s="29" cm="1">
        <f t="array" ref="R633">IF(表成绩单[[#This Row],[英语]]="","",SUMPRODUCT((表成绩单[考试日期]=表成绩单[[#This Row],[考试日期]])*(表成绩单[英语]&lt;9E+307)*(表成绩单[英语]&gt;表成绩单[[#This Row],[英语]]))+1)</f>
        <v>345</v>
      </c>
      <c r="S633" s="29" cm="1">
        <f t="array" ref="S633">IF(表成绩单[[#This Row],[物理]]="","",SUMPRODUCT((表成绩单[考试日期]=表成绩单[[#This Row],[考试日期]])*(表成绩单[物理]&lt;9E+307)*(表成绩单[物理]&gt;表成绩单[[#This Row],[物理]]))+1)</f>
        <v>697</v>
      </c>
      <c r="T633" s="29" cm="1">
        <f t="array" ref="T633">IF(表成绩单[[#This Row],[化学]]="","",SUMPRODUCT((表成绩单[考试日期]=表成绩单[[#This Row],[考试日期]])*(表成绩单[化学]&lt;9E+307)*(表成绩单[化学]&gt;表成绩单[[#This Row],[化学]]))+1)</f>
        <v>625</v>
      </c>
      <c r="U633" s="29" cm="1">
        <f t="array" ref="U633">IF(表成绩单[[#This Row],[政治]]="","",SUMPRODUCT((表成绩单[考试日期]=表成绩单[[#This Row],[考试日期]])*(表成绩单[政治]&lt;9E+307)*(表成绩单[政治]&gt;表成绩单[[#This Row],[政治]]))+1)</f>
        <v>579</v>
      </c>
      <c r="V633" s="29" cm="1">
        <f t="array" ref="V633">IF(表成绩单[[#This Row],[历史]]="","",SUMPRODUCT((表成绩单[考试日期]=表成绩单[[#This Row],[考试日期]])*(表成绩单[历史]&lt;9E+307)*(表成绩单[历史]&gt;表成绩单[[#This Row],[历史]]))+1)</f>
        <v>438</v>
      </c>
      <c r="W633" s="29" cm="1">
        <f t="array" ref="W633">IF(表成绩单[[#This Row],[总分]]="","",SUMPRODUCT((表成绩单[考试日期]=表成绩单[[#This Row],[考试日期]])*(表成绩单[总分]&lt;9E+307)*(表成绩单[总分]&gt;表成绩单[[#This Row],[总分]]))+1)</f>
        <v>629</v>
      </c>
    </row>
    <row r="634" ht="28" customHeight="1" spans="4:23">
      <c r="D634" s="31">
        <v>45975</v>
      </c>
      <c r="E634" s="29">
        <v>19177643</v>
      </c>
      <c r="F634" s="29" t="s">
        <v>63</v>
      </c>
      <c r="G634" s="29" t="s">
        <v>707</v>
      </c>
      <c r="H634" s="29">
        <v>93</v>
      </c>
      <c r="I634" s="29">
        <v>80</v>
      </c>
      <c r="J634" s="29">
        <v>64.5</v>
      </c>
      <c r="K634" s="29">
        <v>63</v>
      </c>
      <c r="L634" s="29">
        <v>56</v>
      </c>
      <c r="M634" s="29">
        <v>74</v>
      </c>
      <c r="N634" s="29">
        <v>69</v>
      </c>
      <c r="O634" s="32">
        <v>499.5</v>
      </c>
      <c r="P634" s="29" cm="1">
        <f t="array" ref="P634">IF(表成绩单[[#This Row],[语文]]="","",SUMPRODUCT((表成绩单[考试日期]=表成绩单[[#This Row],[考试日期]])*(表成绩单[语文]&lt;9E+307)*(表成绩单[语文]&gt;表成绩单[[#This Row],[语文]]))+1)</f>
        <v>489</v>
      </c>
      <c r="Q634" s="29" cm="1">
        <f t="array" ref="Q634">IF(表成绩单[[#This Row],[数学]]="","",SUMPRODUCT((表成绩单[考试日期]=表成绩单[[#This Row],[考试日期]])*(表成绩单[数学]&lt;9E+307)*(表成绩单[数学]&gt;表成绩单[[#This Row],[数学]]))+1)</f>
        <v>626</v>
      </c>
      <c r="R634" s="29" cm="1">
        <f t="array" ref="R634">IF(表成绩单[[#This Row],[英语]]="","",SUMPRODUCT((表成绩单[考试日期]=表成绩单[[#This Row],[考试日期]])*(表成绩单[英语]&lt;9E+307)*(表成绩单[英语]&gt;表成绩单[[#This Row],[英语]]))+1)</f>
        <v>625</v>
      </c>
      <c r="S634" s="29" cm="1">
        <f t="array" ref="S634">IF(表成绩单[[#This Row],[物理]]="","",SUMPRODUCT((表成绩单[考试日期]=表成绩单[[#This Row],[考试日期]])*(表成绩单[物理]&lt;9E+307)*(表成绩单[物理]&gt;表成绩单[[#This Row],[物理]]))+1)</f>
        <v>702</v>
      </c>
      <c r="T634" s="29" cm="1">
        <f t="array" ref="T634">IF(表成绩单[[#This Row],[化学]]="","",SUMPRODUCT((表成绩单[考试日期]=表成绩单[[#This Row],[考试日期]])*(表成绩单[化学]&lt;9E+307)*(表成绩单[化学]&gt;表成绩单[[#This Row],[化学]]))+1)</f>
        <v>680</v>
      </c>
      <c r="U634" s="29" cm="1">
        <f t="array" ref="U634">IF(表成绩单[[#This Row],[政治]]="","",SUMPRODUCT((表成绩单[考试日期]=表成绩单[[#This Row],[考试日期]])*(表成绩单[政治]&lt;9E+307)*(表成绩单[政治]&gt;表成绩单[[#This Row],[政治]]))+1)</f>
        <v>389</v>
      </c>
      <c r="V634" s="29" cm="1">
        <f t="array" ref="V634">IF(表成绩单[[#This Row],[历史]]="","",SUMPRODUCT((表成绩单[考试日期]=表成绩单[[#This Row],[考试日期]])*(表成绩单[历史]&lt;9E+307)*(表成绩单[历史]&gt;表成绩单[[#This Row],[历史]]))+1)</f>
        <v>541</v>
      </c>
      <c r="W634" s="29" cm="1">
        <f t="array" ref="W634">IF(表成绩单[[#This Row],[总分]]="","",SUMPRODUCT((表成绩单[考试日期]=表成绩单[[#This Row],[考试日期]])*(表成绩单[总分]&lt;9E+307)*(表成绩单[总分]&gt;表成绩单[[#This Row],[总分]]))+1)</f>
        <v>629</v>
      </c>
    </row>
    <row r="635" ht="28" customHeight="1" spans="4:23">
      <c r="D635" s="31">
        <v>45975</v>
      </c>
      <c r="E635" s="29">
        <v>19175628</v>
      </c>
      <c r="F635" s="29" t="s">
        <v>57</v>
      </c>
      <c r="G635" s="29" t="s">
        <v>708</v>
      </c>
      <c r="H635" s="29">
        <v>98</v>
      </c>
      <c r="I635" s="29">
        <v>55</v>
      </c>
      <c r="J635" s="29">
        <v>79.5</v>
      </c>
      <c r="K635" s="29">
        <v>65</v>
      </c>
      <c r="L635" s="29">
        <v>70</v>
      </c>
      <c r="M635" s="29">
        <v>65</v>
      </c>
      <c r="N635" s="29">
        <v>66</v>
      </c>
      <c r="O635" s="32">
        <v>498.5</v>
      </c>
      <c r="P635" s="29" cm="1">
        <f t="array" ref="P635">IF(表成绩单[[#This Row],[语文]]="","",SUMPRODUCT((表成绩单[考试日期]=表成绩单[[#This Row],[考试日期]])*(表成绩单[语文]&lt;9E+307)*(表成绩单[语文]&gt;表成绩单[[#This Row],[语文]]))+1)</f>
        <v>305</v>
      </c>
      <c r="Q635" s="29" cm="1">
        <f t="array" ref="Q635">IF(表成绩单[[#This Row],[数学]]="","",SUMPRODUCT((表成绩单[考试日期]=表成绩单[[#This Row],[考试日期]])*(表成绩单[数学]&lt;9E+307)*(表成绩单[数学]&gt;表成绩单[[#This Row],[数学]]))+1)</f>
        <v>744</v>
      </c>
      <c r="R635" s="29" cm="1">
        <f t="array" ref="R635">IF(表成绩单[[#This Row],[英语]]="","",SUMPRODUCT((表成绩单[考试日期]=表成绩单[[#This Row],[考试日期]])*(表成绩单[英语]&lt;9E+307)*(表成绩单[英语]&gt;表成绩单[[#This Row],[英语]]))+1)</f>
        <v>279</v>
      </c>
      <c r="S635" s="29" cm="1">
        <f t="array" ref="S635">IF(表成绩单[[#This Row],[物理]]="","",SUMPRODUCT((表成绩单[考试日期]=表成绩单[[#This Row],[考试日期]])*(表成绩单[物理]&lt;9E+307)*(表成绩单[物理]&gt;表成绩单[[#This Row],[物理]]))+1)</f>
        <v>690</v>
      </c>
      <c r="T635" s="29" cm="1">
        <f t="array" ref="T635">IF(表成绩单[[#This Row],[化学]]="","",SUMPRODUCT((表成绩单[考试日期]=表成绩单[[#This Row],[考试日期]])*(表成绩单[化学]&lt;9E+307)*(表成绩单[化学]&gt;表成绩单[[#This Row],[化学]]))+1)</f>
        <v>453</v>
      </c>
      <c r="U635" s="29" cm="1">
        <f t="array" ref="U635">IF(表成绩单[[#This Row],[政治]]="","",SUMPRODUCT((表成绩单[考试日期]=表成绩单[[#This Row],[考试日期]])*(表成绩单[政治]&lt;9E+307)*(表成绩单[政治]&gt;表成绩单[[#This Row],[政治]]))+1)</f>
        <v>579</v>
      </c>
      <c r="V635" s="29" cm="1">
        <f t="array" ref="V635">IF(表成绩单[[#This Row],[历史]]="","",SUMPRODUCT((表成绩单[考试日期]=表成绩单[[#This Row],[考试日期]])*(表成绩单[历史]&lt;9E+307)*(表成绩单[历史]&gt;表成绩单[[#This Row],[历史]]))+1)</f>
        <v>622</v>
      </c>
      <c r="W635" s="29" cm="1">
        <f t="array" ref="W635">IF(表成绩单[[#This Row],[总分]]="","",SUMPRODUCT((表成绩单[考试日期]=表成绩单[[#This Row],[考试日期]])*(表成绩单[总分]&lt;9E+307)*(表成绩单[总分]&gt;表成绩单[[#This Row],[总分]]))+1)</f>
        <v>631</v>
      </c>
    </row>
    <row r="636" ht="28" customHeight="1" spans="4:23">
      <c r="D636" s="31">
        <v>45975</v>
      </c>
      <c r="E636" s="29">
        <v>19177611</v>
      </c>
      <c r="F636" s="29" t="s">
        <v>58</v>
      </c>
      <c r="G636" s="29" t="s">
        <v>709</v>
      </c>
      <c r="H636" s="29">
        <v>83</v>
      </c>
      <c r="I636" s="29">
        <v>92</v>
      </c>
      <c r="J636" s="29">
        <v>64</v>
      </c>
      <c r="K636" s="29">
        <v>76</v>
      </c>
      <c r="L636" s="29">
        <v>59</v>
      </c>
      <c r="M636" s="29">
        <v>58</v>
      </c>
      <c r="N636" s="29">
        <v>66</v>
      </c>
      <c r="O636" s="32">
        <v>498</v>
      </c>
      <c r="P636" s="29" cm="1">
        <f t="array" ref="P636">IF(表成绩单[[#This Row],[语文]]="","",SUMPRODUCT((表成绩单[考试日期]=表成绩单[[#This Row],[考试日期]])*(表成绩单[语文]&lt;9E+307)*(表成绩单[语文]&gt;表成绩单[[#This Row],[语文]]))+1)</f>
        <v>670</v>
      </c>
      <c r="Q636" s="29" cm="1">
        <f t="array" ref="Q636">IF(表成绩单[[#This Row],[数学]]="","",SUMPRODUCT((表成绩单[考试日期]=表成绩单[[#This Row],[考试日期]])*(表成绩单[数学]&lt;9E+307)*(表成绩单[数学]&gt;表成绩单[[#This Row],[数学]]))+1)</f>
        <v>480</v>
      </c>
      <c r="R636" s="29" cm="1">
        <f t="array" ref="R636">IF(表成绩单[[#This Row],[英语]]="","",SUMPRODUCT((表成绩单[考试日期]=表成绩单[[#This Row],[考试日期]])*(表成绩单[英语]&lt;9E+307)*(表成绩单[英语]&gt;表成绩单[[#This Row],[英语]]))+1)</f>
        <v>630</v>
      </c>
      <c r="S636" s="29" cm="1">
        <f t="array" ref="S636">IF(表成绩单[[#This Row],[物理]]="","",SUMPRODUCT((表成绩单[考试日期]=表成绩单[[#This Row],[考试日期]])*(表成绩单[物理]&lt;9E+307)*(表成绩单[物理]&gt;表成绩单[[#This Row],[物理]]))+1)</f>
        <v>589</v>
      </c>
      <c r="T636" s="29" cm="1">
        <f t="array" ref="T636">IF(表成绩单[[#This Row],[化学]]="","",SUMPRODUCT((表成绩单[考试日期]=表成绩单[[#This Row],[考试日期]])*(表成绩单[化学]&lt;9E+307)*(表成绩单[化学]&gt;表成绩单[[#This Row],[化学]]))+1)</f>
        <v>648</v>
      </c>
      <c r="U636" s="29" cm="1">
        <f t="array" ref="U636">IF(表成绩单[[#This Row],[政治]]="","",SUMPRODUCT((表成绩单[考试日期]=表成绩单[[#This Row],[考试日期]])*(表成绩单[政治]&lt;9E+307)*(表成绩单[政治]&gt;表成绩单[[#This Row],[政治]]))+1)</f>
        <v>691</v>
      </c>
      <c r="V636" s="29" cm="1">
        <f t="array" ref="V636">IF(表成绩单[[#This Row],[历史]]="","",SUMPRODUCT((表成绩单[考试日期]=表成绩单[[#This Row],[考试日期]])*(表成绩单[历史]&lt;9E+307)*(表成绩单[历史]&gt;表成绩单[[#This Row],[历史]]))+1)</f>
        <v>622</v>
      </c>
      <c r="W636" s="29" cm="1">
        <f t="array" ref="W636">IF(表成绩单[[#This Row],[总分]]="","",SUMPRODUCT((表成绩单[考试日期]=表成绩单[[#This Row],[考试日期]])*(表成绩单[总分]&lt;9E+307)*(表成绩单[总分]&gt;表成绩单[[#This Row],[总分]]))+1)</f>
        <v>632</v>
      </c>
    </row>
    <row r="637" ht="28" customHeight="1" spans="4:23">
      <c r="D637" s="31">
        <v>45975</v>
      </c>
      <c r="E637" s="29">
        <v>19175985</v>
      </c>
      <c r="F637" s="29" t="s">
        <v>59</v>
      </c>
      <c r="G637" s="29" t="s">
        <v>710</v>
      </c>
      <c r="H637" s="29">
        <v>83</v>
      </c>
      <c r="I637" s="29">
        <v>84</v>
      </c>
      <c r="J637" s="29">
        <v>56</v>
      </c>
      <c r="K637" s="29">
        <v>81</v>
      </c>
      <c r="L637" s="29">
        <v>55</v>
      </c>
      <c r="M637" s="29">
        <v>66</v>
      </c>
      <c r="N637" s="29">
        <v>72</v>
      </c>
      <c r="O637" s="32">
        <v>497</v>
      </c>
      <c r="P637" s="29" cm="1">
        <f t="array" ref="P637">IF(表成绩单[[#This Row],[语文]]="","",SUMPRODUCT((表成绩单[考试日期]=表成绩单[[#This Row],[考试日期]])*(表成绩单[语文]&lt;9E+307)*(表成绩单[语文]&gt;表成绩单[[#This Row],[语文]]))+1)</f>
        <v>670</v>
      </c>
      <c r="Q637" s="29" cm="1">
        <f t="array" ref="Q637">IF(表成绩单[[#This Row],[数学]]="","",SUMPRODUCT((表成绩单[考试日期]=表成绩单[[#This Row],[考试日期]])*(表成绩单[数学]&lt;9E+307)*(表成绩单[数学]&gt;表成绩单[[#This Row],[数学]]))+1)</f>
        <v>580</v>
      </c>
      <c r="R637" s="29" cm="1">
        <f t="array" ref="R637">IF(表成绩单[[#This Row],[英语]]="","",SUMPRODUCT((表成绩单[考试日期]=表成绩单[[#This Row],[考试日期]])*(表成绩单[英语]&lt;9E+307)*(表成绩单[英语]&gt;表成绩单[[#This Row],[英语]]))+1)</f>
        <v>696</v>
      </c>
      <c r="S637" s="29" cm="1">
        <f t="array" ref="S637">IF(表成绩单[[#This Row],[物理]]="","",SUMPRODUCT((表成绩单[考试日期]=表成绩单[[#This Row],[考试日期]])*(表成绩单[物理]&lt;9E+307)*(表成绩单[物理]&gt;表成绩单[[#This Row],[物理]]))+1)</f>
        <v>474</v>
      </c>
      <c r="T637" s="29" cm="1">
        <f t="array" ref="T637">IF(表成绩单[[#This Row],[化学]]="","",SUMPRODUCT((表成绩单[考试日期]=表成绩单[[#This Row],[考试日期]])*(表成绩单[化学]&lt;9E+307)*(表成绩单[化学]&gt;表成绩单[[#This Row],[化学]]))+1)</f>
        <v>692</v>
      </c>
      <c r="U637" s="29" cm="1">
        <f t="array" ref="U637">IF(表成绩单[[#This Row],[政治]]="","",SUMPRODUCT((表成绩单[考试日期]=表成绩单[[#This Row],[考试日期]])*(表成绩单[政治]&lt;9E+307)*(表成绩单[政治]&gt;表成绩单[[#This Row],[政治]]))+1)</f>
        <v>555</v>
      </c>
      <c r="V637" s="29" cm="1">
        <f t="array" ref="V637">IF(表成绩单[[#This Row],[历史]]="","",SUMPRODUCT((表成绩单[考试日期]=表成绩单[[#This Row],[考试日期]])*(表成绩单[历史]&lt;9E+307)*(表成绩单[历史]&gt;表成绩单[[#This Row],[历史]]))+1)</f>
        <v>438</v>
      </c>
      <c r="W637" s="29" cm="1">
        <f t="array" ref="W637">IF(表成绩单[[#This Row],[总分]]="","",SUMPRODUCT((表成绩单[考试日期]=表成绩单[[#This Row],[考试日期]])*(表成绩单[总分]&lt;9E+307)*(表成绩单[总分]&gt;表成绩单[[#This Row],[总分]]))+1)</f>
        <v>633</v>
      </c>
    </row>
    <row r="638" ht="28" customHeight="1" spans="4:23">
      <c r="D638" s="31">
        <v>45975</v>
      </c>
      <c r="E638" s="29">
        <v>19177659</v>
      </c>
      <c r="F638" s="29" t="s">
        <v>63</v>
      </c>
      <c r="G638" s="29" t="s">
        <v>711</v>
      </c>
      <c r="H638" s="29">
        <v>91</v>
      </c>
      <c r="I638" s="29">
        <v>86</v>
      </c>
      <c r="J638" s="29">
        <v>47</v>
      </c>
      <c r="K638" s="29">
        <v>81</v>
      </c>
      <c r="L638" s="29">
        <v>64</v>
      </c>
      <c r="M638" s="29">
        <v>65</v>
      </c>
      <c r="N638" s="29">
        <v>62</v>
      </c>
      <c r="O638" s="32">
        <v>496</v>
      </c>
      <c r="P638" s="29" cm="1">
        <f t="array" ref="P638">IF(表成绩单[[#This Row],[语文]]="","",SUMPRODUCT((表成绩单[考试日期]=表成绩单[[#This Row],[考试日期]])*(表成绩单[语文]&lt;9E+307)*(表成绩单[语文]&gt;表成绩单[[#This Row],[语文]]))+1)</f>
        <v>536</v>
      </c>
      <c r="Q638" s="29" cm="1">
        <f t="array" ref="Q638">IF(表成绩单[[#This Row],[数学]]="","",SUMPRODUCT((表成绩单[考试日期]=表成绩单[[#This Row],[考试日期]])*(表成绩单[数学]&lt;9E+307)*(表成绩单[数学]&gt;表成绩单[[#This Row],[数学]]))+1)</f>
        <v>562</v>
      </c>
      <c r="R638" s="29" cm="1">
        <f t="array" ref="R638">IF(表成绩单[[#This Row],[英语]]="","",SUMPRODUCT((表成绩单[考试日期]=表成绩单[[#This Row],[考试日期]])*(表成绩单[英语]&lt;9E+307)*(表成绩单[英语]&gt;表成绩单[[#This Row],[英语]]))+1)</f>
        <v>739</v>
      </c>
      <c r="S638" s="29" cm="1">
        <f t="array" ref="S638">IF(表成绩单[[#This Row],[物理]]="","",SUMPRODUCT((表成绩单[考试日期]=表成绩单[[#This Row],[考试日期]])*(表成绩单[物理]&lt;9E+307)*(表成绩单[物理]&gt;表成绩单[[#This Row],[物理]]))+1)</f>
        <v>474</v>
      </c>
      <c r="T638" s="29" cm="1">
        <f t="array" ref="T638">IF(表成绩单[[#This Row],[化学]]="","",SUMPRODUCT((表成绩单[考试日期]=表成绩单[[#This Row],[考试日期]])*(表成绩单[化学]&lt;9E+307)*(表成绩单[化学]&gt;表成绩单[[#This Row],[化学]]))+1)</f>
        <v>575</v>
      </c>
      <c r="U638" s="29" cm="1">
        <f t="array" ref="U638">IF(表成绩单[[#This Row],[政治]]="","",SUMPRODUCT((表成绩单[考试日期]=表成绩单[[#This Row],[考试日期]])*(表成绩单[政治]&lt;9E+307)*(表成绩单[政治]&gt;表成绩单[[#This Row],[政治]]))+1)</f>
        <v>579</v>
      </c>
      <c r="V638" s="29" cm="1">
        <f t="array" ref="V638">IF(表成绩单[[#This Row],[历史]]="","",SUMPRODUCT((表成绩单[考试日期]=表成绩单[[#This Row],[考试日期]])*(表成绩单[历史]&lt;9E+307)*(表成绩单[历史]&gt;表成绩单[[#This Row],[历史]]))+1)</f>
        <v>688</v>
      </c>
      <c r="W638" s="29" cm="1">
        <f t="array" ref="W638">IF(表成绩单[[#This Row],[总分]]="","",SUMPRODUCT((表成绩单[考试日期]=表成绩单[[#This Row],[考试日期]])*(表成绩单[总分]&lt;9E+307)*(表成绩单[总分]&gt;表成绩单[[#This Row],[总分]]))+1)</f>
        <v>634</v>
      </c>
    </row>
    <row r="639" ht="28" customHeight="1" spans="4:23">
      <c r="D639" s="31">
        <v>45975</v>
      </c>
      <c r="E639" s="29">
        <v>19173263</v>
      </c>
      <c r="F639" s="29" t="s">
        <v>61</v>
      </c>
      <c r="G639" s="29" t="s">
        <v>712</v>
      </c>
      <c r="H639" s="29">
        <v>87</v>
      </c>
      <c r="I639" s="29">
        <v>97</v>
      </c>
      <c r="J639" s="29">
        <v>49.5</v>
      </c>
      <c r="K639" s="29">
        <v>77</v>
      </c>
      <c r="L639" s="29">
        <v>75</v>
      </c>
      <c r="M639" s="29">
        <v>48</v>
      </c>
      <c r="N639" s="29">
        <v>62</v>
      </c>
      <c r="O639" s="32">
        <v>495.5</v>
      </c>
      <c r="P639" s="29" cm="1">
        <f t="array" ref="P639">IF(表成绩单[[#This Row],[语文]]="","",SUMPRODUCT((表成绩单[考试日期]=表成绩单[[#This Row],[考试日期]])*(表成绩单[语文]&lt;9E+307)*(表成绩单[语文]&gt;表成绩单[[#This Row],[语文]]))+1)</f>
        <v>615</v>
      </c>
      <c r="Q639" s="29" cm="1">
        <f t="array" ref="Q639">IF(表成绩单[[#This Row],[数学]]="","",SUMPRODUCT((表成绩单[考试日期]=表成绩单[[#This Row],[考试日期]])*(表成绩单[数学]&lt;9E+307)*(表成绩单[数学]&gt;表成绩单[[#This Row],[数学]]))+1)</f>
        <v>389</v>
      </c>
      <c r="R639" s="29" cm="1">
        <f t="array" ref="R639">IF(表成绩单[[#This Row],[英语]]="","",SUMPRODUCT((表成绩单[考试日期]=表成绩单[[#This Row],[考试日期]])*(表成绩单[英语]&lt;9E+307)*(表成绩单[英语]&gt;表成绩单[[#This Row],[英语]]))+1)</f>
        <v>729</v>
      </c>
      <c r="S639" s="29" cm="1">
        <f t="array" ref="S639">IF(表成绩单[[#This Row],[物理]]="","",SUMPRODUCT((表成绩单[考试日期]=表成绩单[[#This Row],[考试日期]])*(表成绩单[物理]&lt;9E+307)*(表成绩单[物理]&gt;表成绩单[[#This Row],[物理]]))+1)</f>
        <v>572</v>
      </c>
      <c r="T639" s="29" cm="1">
        <f t="array" ref="T639">IF(表成绩单[[#This Row],[化学]]="","",SUMPRODUCT((表成绩单[考试日期]=表成绩单[[#This Row],[考试日期]])*(表成绩单[化学]&lt;9E+307)*(表成绩单[化学]&gt;表成绩单[[#This Row],[化学]]))+1)</f>
        <v>310</v>
      </c>
      <c r="U639" s="29" cm="1">
        <f t="array" ref="U639">IF(表成绩单[[#This Row],[政治]]="","",SUMPRODUCT((表成绩单[考试日期]=表成绩单[[#This Row],[考试日期]])*(表成绩单[政治]&lt;9E+307)*(表成绩单[政治]&gt;表成绩单[[#This Row],[政治]]))+1)</f>
        <v>768</v>
      </c>
      <c r="V639" s="29" cm="1">
        <f t="array" ref="V639">IF(表成绩单[[#This Row],[历史]]="","",SUMPRODUCT((表成绩单[考试日期]=表成绩单[[#This Row],[考试日期]])*(表成绩单[历史]&lt;9E+307)*(表成绩单[历史]&gt;表成绩单[[#This Row],[历史]]))+1)</f>
        <v>688</v>
      </c>
      <c r="W639" s="29" cm="1">
        <f t="array" ref="W639">IF(表成绩单[[#This Row],[总分]]="","",SUMPRODUCT((表成绩单[考试日期]=表成绩单[[#This Row],[考试日期]])*(表成绩单[总分]&lt;9E+307)*(表成绩单[总分]&gt;表成绩单[[#This Row],[总分]]))+1)</f>
        <v>635</v>
      </c>
    </row>
    <row r="640" ht="28" customHeight="1" spans="4:23">
      <c r="D640" s="31">
        <v>45975</v>
      </c>
      <c r="E640" s="29">
        <v>19177610</v>
      </c>
      <c r="F640" s="29" t="s">
        <v>58</v>
      </c>
      <c r="G640" s="29" t="s">
        <v>713</v>
      </c>
      <c r="H640" s="29">
        <v>86</v>
      </c>
      <c r="I640" s="29">
        <v>76</v>
      </c>
      <c r="J640" s="29">
        <v>50.5</v>
      </c>
      <c r="K640" s="29">
        <v>75</v>
      </c>
      <c r="L640" s="29">
        <v>73</v>
      </c>
      <c r="M640" s="29">
        <v>71</v>
      </c>
      <c r="N640" s="29">
        <v>64</v>
      </c>
      <c r="O640" s="32">
        <v>495.5</v>
      </c>
      <c r="P640" s="29" cm="1">
        <f t="array" ref="P640">IF(表成绩单[[#This Row],[语文]]="","",SUMPRODUCT((表成绩单[考试日期]=表成绩单[[#This Row],[考试日期]])*(表成绩单[语文]&lt;9E+307)*(表成绩单[语文]&gt;表成绩单[[#This Row],[语文]]))+1)</f>
        <v>635</v>
      </c>
      <c r="Q640" s="29" cm="1">
        <f t="array" ref="Q640">IF(表成绩单[[#This Row],[数学]]="","",SUMPRODUCT((表成绩单[考试日期]=表成绩单[[#This Row],[考试日期]])*(表成绩单[数学]&lt;9E+307)*(表成绩单[数学]&gt;表成绩单[[#This Row],[数学]]))+1)</f>
        <v>654</v>
      </c>
      <c r="R640" s="29" cm="1">
        <f t="array" ref="R640">IF(表成绩单[[#This Row],[英语]]="","",SUMPRODUCT((表成绩单[考试日期]=表成绩单[[#This Row],[考试日期]])*(表成绩单[英语]&lt;9E+307)*(表成绩单[英语]&gt;表成绩单[[#This Row],[英语]]))+1)</f>
        <v>720</v>
      </c>
      <c r="S640" s="29" cm="1">
        <f t="array" ref="S640">IF(表成绩单[[#This Row],[物理]]="","",SUMPRODUCT((表成绩单[考试日期]=表成绩单[[#This Row],[考试日期]])*(表成绩单[物理]&lt;9E+307)*(表成绩单[物理]&gt;表成绩单[[#This Row],[物理]]))+1)</f>
        <v>601</v>
      </c>
      <c r="T640" s="29" cm="1">
        <f t="array" ref="T640">IF(表成绩单[[#This Row],[化学]]="","",SUMPRODUCT((表成绩单[考试日期]=表成绩单[[#This Row],[考试日期]])*(表成绩单[化学]&lt;9E+307)*(表成绩单[化学]&gt;表成绩单[[#This Row],[化学]]))+1)</f>
        <v>365</v>
      </c>
      <c r="U640" s="29" cm="1">
        <f t="array" ref="U640">IF(表成绩单[[#This Row],[政治]]="","",SUMPRODUCT((表成绩单[考试日期]=表成绩单[[#This Row],[考试日期]])*(表成绩单[政治]&lt;9E+307)*(表成绩单[政治]&gt;表成绩单[[#This Row],[政治]]))+1)</f>
        <v>467</v>
      </c>
      <c r="V640" s="29" cm="1">
        <f t="array" ref="V640">IF(表成绩单[[#This Row],[历史]]="","",SUMPRODUCT((表成绩单[考试日期]=表成绩单[[#This Row],[考试日期]])*(表成绩单[历史]&lt;9E+307)*(表成绩单[历史]&gt;表成绩单[[#This Row],[历史]]))+1)</f>
        <v>660</v>
      </c>
      <c r="W640" s="29" cm="1">
        <f t="array" ref="W640">IF(表成绩单[[#This Row],[总分]]="","",SUMPRODUCT((表成绩单[考试日期]=表成绩单[[#This Row],[考试日期]])*(表成绩单[总分]&lt;9E+307)*(表成绩单[总分]&gt;表成绩单[[#This Row],[总分]]))+1)</f>
        <v>635</v>
      </c>
    </row>
    <row r="641" ht="28" customHeight="1" spans="4:23">
      <c r="D641" s="31">
        <v>45975</v>
      </c>
      <c r="E641" s="29">
        <v>19177603</v>
      </c>
      <c r="F641" s="29" t="s">
        <v>58</v>
      </c>
      <c r="G641" s="29" t="s">
        <v>714</v>
      </c>
      <c r="H641" s="29">
        <v>83</v>
      </c>
      <c r="I641" s="29">
        <v>80</v>
      </c>
      <c r="J641" s="29">
        <v>68</v>
      </c>
      <c r="K641" s="29">
        <v>73</v>
      </c>
      <c r="L641" s="29">
        <v>72</v>
      </c>
      <c r="M641" s="29">
        <v>56</v>
      </c>
      <c r="N641" s="29">
        <v>62</v>
      </c>
      <c r="O641" s="32">
        <v>494</v>
      </c>
      <c r="P641" s="29" cm="1">
        <f t="array" ref="P641">IF(表成绩单[[#This Row],[语文]]="","",SUMPRODUCT((表成绩单[考试日期]=表成绩单[[#This Row],[考试日期]])*(表成绩单[语文]&lt;9E+307)*(表成绩单[语文]&gt;表成绩单[[#This Row],[语文]]))+1)</f>
        <v>670</v>
      </c>
      <c r="Q641" s="29" cm="1">
        <f t="array" ref="Q641">IF(表成绩单[[#This Row],[数学]]="","",SUMPRODUCT((表成绩单[考试日期]=表成绩单[[#This Row],[考试日期]])*(表成绩单[数学]&lt;9E+307)*(表成绩单[数学]&gt;表成绩单[[#This Row],[数学]]))+1)</f>
        <v>626</v>
      </c>
      <c r="R641" s="29" cm="1">
        <f t="array" ref="R641">IF(表成绩单[[#This Row],[英语]]="","",SUMPRODUCT((表成绩单[考试日期]=表成绩单[[#This Row],[考试日期]])*(表成绩单[英语]&lt;9E+307)*(表成绩单[英语]&gt;表成绩单[[#This Row],[英语]]))+1)</f>
        <v>584</v>
      </c>
      <c r="S641" s="29" cm="1">
        <f t="array" ref="S641">IF(表成绩单[[#This Row],[物理]]="","",SUMPRODUCT((表成绩单[考试日期]=表成绩单[[#This Row],[考试日期]])*(表成绩单[物理]&lt;9E+307)*(表成绩单[物理]&gt;表成绩单[[#This Row],[物理]]))+1)</f>
        <v>626</v>
      </c>
      <c r="T641" s="29" cm="1">
        <f t="array" ref="T641">IF(表成绩单[[#This Row],[化学]]="","",SUMPRODUCT((表成绩单[考试日期]=表成绩单[[#This Row],[考试日期]])*(表成绩单[化学]&lt;9E+307)*(表成绩单[化学]&gt;表成绩单[[#This Row],[化学]]))+1)</f>
        <v>405</v>
      </c>
      <c r="U641" s="29" cm="1">
        <f t="array" ref="U641">IF(表成绩单[[#This Row],[政治]]="","",SUMPRODUCT((表成绩单[考试日期]=表成绩单[[#This Row],[考试日期]])*(表成绩单[政治]&lt;9E+307)*(表成绩单[政治]&gt;表成绩单[[#This Row],[政治]]))+1)</f>
        <v>706</v>
      </c>
      <c r="V641" s="29" cm="1">
        <f t="array" ref="V641">IF(表成绩单[[#This Row],[历史]]="","",SUMPRODUCT((表成绩单[考试日期]=表成绩单[[#This Row],[考试日期]])*(表成绩单[历史]&lt;9E+307)*(表成绩单[历史]&gt;表成绩单[[#This Row],[历史]]))+1)</f>
        <v>688</v>
      </c>
      <c r="W641" s="29" cm="1">
        <f t="array" ref="W641">IF(表成绩单[[#This Row],[总分]]="","",SUMPRODUCT((表成绩单[考试日期]=表成绩单[[#This Row],[考试日期]])*(表成绩单[总分]&lt;9E+307)*(表成绩单[总分]&gt;表成绩单[[#This Row],[总分]]))+1)</f>
        <v>637</v>
      </c>
    </row>
    <row r="642" ht="28" customHeight="1" spans="4:23">
      <c r="D642" s="31">
        <v>45975</v>
      </c>
      <c r="E642" s="29">
        <v>19173785</v>
      </c>
      <c r="F642" s="29" t="s">
        <v>65</v>
      </c>
      <c r="G642" s="29" t="s">
        <v>715</v>
      </c>
      <c r="H642" s="29">
        <v>96</v>
      </c>
      <c r="I642" s="29">
        <v>62</v>
      </c>
      <c r="J642" s="29">
        <v>81.5</v>
      </c>
      <c r="K642" s="29">
        <v>61</v>
      </c>
      <c r="L642" s="29">
        <v>54</v>
      </c>
      <c r="M642" s="29">
        <v>71</v>
      </c>
      <c r="N642" s="29">
        <v>68</v>
      </c>
      <c r="O642" s="32">
        <v>493.5</v>
      </c>
      <c r="P642" s="29" cm="1">
        <f t="array" ref="P642">IF(表成绩单[[#This Row],[语文]]="","",SUMPRODUCT((表成绩单[考试日期]=表成绩单[[#This Row],[考试日期]])*(表成绩单[语文]&lt;9E+307)*(表成绩单[语文]&gt;表成绩单[[#This Row],[语文]]))+1)</f>
        <v>387</v>
      </c>
      <c r="Q642" s="29" cm="1">
        <f t="array" ref="Q642">IF(表成绩单[[#This Row],[数学]]="","",SUMPRODUCT((表成绩单[考试日期]=表成绩单[[#This Row],[考试日期]])*(表成绩单[数学]&lt;9E+307)*(表成绩单[数学]&gt;表成绩单[[#This Row],[数学]]))+1)</f>
        <v>722</v>
      </c>
      <c r="R642" s="29" cm="1">
        <f t="array" ref="R642">IF(表成绩单[[#This Row],[英语]]="","",SUMPRODUCT((表成绩单[考试日期]=表成绩单[[#This Row],[考试日期]])*(表成绩单[英语]&lt;9E+307)*(表成绩单[英语]&gt;表成绩单[[#This Row],[英语]]))+1)</f>
        <v>220</v>
      </c>
      <c r="S642" s="29" cm="1">
        <f t="array" ref="S642">IF(表成绩单[[#This Row],[物理]]="","",SUMPRODUCT((表成绩单[考试日期]=表成绩单[[#This Row],[考试日期]])*(表成绩单[物理]&lt;9E+307)*(表成绩单[物理]&gt;表成绩单[[#This Row],[物理]]))+1)</f>
        <v>712</v>
      </c>
      <c r="T642" s="29" cm="1">
        <f t="array" ref="T642">IF(表成绩单[[#This Row],[化学]]="","",SUMPRODUCT((表成绩单[考试日期]=表成绩单[[#This Row],[考试日期]])*(表成绩单[化学]&lt;9E+307)*(表成绩单[化学]&gt;表成绩单[[#This Row],[化学]]))+1)</f>
        <v>707</v>
      </c>
      <c r="U642" s="29" cm="1">
        <f t="array" ref="U642">IF(表成绩单[[#This Row],[政治]]="","",SUMPRODUCT((表成绩单[考试日期]=表成绩单[[#This Row],[考试日期]])*(表成绩单[政治]&lt;9E+307)*(表成绩单[政治]&gt;表成绩单[[#This Row],[政治]]))+1)</f>
        <v>467</v>
      </c>
      <c r="V642" s="29" cm="1">
        <f t="array" ref="V642">IF(表成绩单[[#This Row],[历史]]="","",SUMPRODUCT((表成绩单[考试日期]=表成绩单[[#This Row],[考试日期]])*(表成绩单[历史]&lt;9E+307)*(表成绩单[历史]&gt;表成绩单[[#This Row],[历史]]))+1)</f>
        <v>571</v>
      </c>
      <c r="W642" s="29" cm="1">
        <f t="array" ref="W642">IF(表成绩单[[#This Row],[总分]]="","",SUMPRODUCT((表成绩单[考试日期]=表成绩单[[#This Row],[考试日期]])*(表成绩单[总分]&lt;9E+307)*(表成绩单[总分]&gt;表成绩单[[#This Row],[总分]]))+1)</f>
        <v>638</v>
      </c>
    </row>
    <row r="643" ht="28" customHeight="1" spans="4:23">
      <c r="D643" s="31">
        <v>45975</v>
      </c>
      <c r="E643" s="29">
        <v>19176861</v>
      </c>
      <c r="F643" s="29" t="s">
        <v>71</v>
      </c>
      <c r="G643" s="29" t="s">
        <v>716</v>
      </c>
      <c r="H643" s="29">
        <v>91</v>
      </c>
      <c r="I643" s="29">
        <v>80</v>
      </c>
      <c r="J643" s="29">
        <v>75.5</v>
      </c>
      <c r="K643" s="29">
        <v>68</v>
      </c>
      <c r="L643" s="29">
        <v>58</v>
      </c>
      <c r="M643" s="29">
        <v>61</v>
      </c>
      <c r="N643" s="29">
        <v>60</v>
      </c>
      <c r="O643" s="32">
        <v>493.5</v>
      </c>
      <c r="P643" s="29" cm="1">
        <f t="array" ref="P643">IF(表成绩单[[#This Row],[语文]]="","",SUMPRODUCT((表成绩单[考试日期]=表成绩单[[#This Row],[考试日期]])*(表成绩单[语文]&lt;9E+307)*(表成绩单[语文]&gt;表成绩单[[#This Row],[语文]]))+1)</f>
        <v>536</v>
      </c>
      <c r="Q643" s="29" cm="1">
        <f t="array" ref="Q643">IF(表成绩单[[#This Row],[数学]]="","",SUMPRODUCT((表成绩单[考试日期]=表成绩单[[#This Row],[考试日期]])*(表成绩单[数学]&lt;9E+307)*(表成绩单[数学]&gt;表成绩单[[#This Row],[数学]]))+1)</f>
        <v>626</v>
      </c>
      <c r="R643" s="29" cm="1">
        <f t="array" ref="R643">IF(表成绩单[[#This Row],[英语]]="","",SUMPRODUCT((表成绩单[考试日期]=表成绩单[[#This Row],[考试日期]])*(表成绩单[英语]&lt;9E+307)*(表成绩单[英语]&gt;表成绩单[[#This Row],[英语]]))+1)</f>
        <v>418</v>
      </c>
      <c r="S643" s="29" cm="1">
        <f t="array" ref="S643">IF(表成绩单[[#This Row],[物理]]="","",SUMPRODUCT((表成绩单[考试日期]=表成绩单[[#This Row],[考试日期]])*(表成绩单[物理]&lt;9E+307)*(表成绩单[物理]&gt;表成绩单[[#This Row],[物理]]))+1)</f>
        <v>667</v>
      </c>
      <c r="T643" s="29" cm="1">
        <f t="array" ref="T643">IF(表成绩单[[#This Row],[化学]]="","",SUMPRODUCT((表成绩单[考试日期]=表成绩单[[#This Row],[考试日期]])*(表成绩单[化学]&lt;9E+307)*(表成绩单[化学]&gt;表成绩单[[#This Row],[化学]]))+1)</f>
        <v>659</v>
      </c>
      <c r="U643" s="29" cm="1">
        <f t="array" ref="U643">IF(表成绩单[[#This Row],[政治]]="","",SUMPRODUCT((表成绩单[考试日期]=表成绩单[[#This Row],[考试日期]])*(表成绩单[政治]&lt;9E+307)*(表成绩单[政治]&gt;表成绩单[[#This Row],[政治]]))+1)</f>
        <v>644</v>
      </c>
      <c r="V643" s="29" cm="1">
        <f t="array" ref="V643">IF(表成绩单[[#This Row],[历史]]="","",SUMPRODUCT((表成绩单[考试日期]=表成绩单[[#This Row],[考试日期]])*(表成绩单[历史]&lt;9E+307)*(表成绩单[历史]&gt;表成绩单[[#This Row],[历史]]))+1)</f>
        <v>717</v>
      </c>
      <c r="W643" s="29" cm="1">
        <f t="array" ref="W643">IF(表成绩单[[#This Row],[总分]]="","",SUMPRODUCT((表成绩单[考试日期]=表成绩单[[#This Row],[考试日期]])*(表成绩单[总分]&lt;9E+307)*(表成绩单[总分]&gt;表成绩单[[#This Row],[总分]]))+1)</f>
        <v>638</v>
      </c>
    </row>
    <row r="644" ht="28" customHeight="1" spans="4:23">
      <c r="D644" s="31">
        <v>45975</v>
      </c>
      <c r="E644" s="29">
        <v>19175606</v>
      </c>
      <c r="F644" s="29" t="s">
        <v>57</v>
      </c>
      <c r="G644" s="29" t="s">
        <v>717</v>
      </c>
      <c r="H644" s="29">
        <v>98</v>
      </c>
      <c r="I644" s="29">
        <v>52</v>
      </c>
      <c r="J644" s="29">
        <v>71</v>
      </c>
      <c r="K644" s="29">
        <v>75</v>
      </c>
      <c r="L644" s="29">
        <v>71</v>
      </c>
      <c r="M644" s="29">
        <v>60</v>
      </c>
      <c r="N644" s="29">
        <v>66</v>
      </c>
      <c r="O644" s="32">
        <v>493</v>
      </c>
      <c r="P644" s="29" cm="1">
        <f t="array" ref="P644">IF(表成绩单[[#This Row],[语文]]="","",SUMPRODUCT((表成绩单[考试日期]=表成绩单[[#This Row],[考试日期]])*(表成绩单[语文]&lt;9E+307)*(表成绩单[语文]&gt;表成绩单[[#This Row],[语文]]))+1)</f>
        <v>305</v>
      </c>
      <c r="Q644" s="29" cm="1">
        <f t="array" ref="Q644">IF(表成绩单[[#This Row],[数学]]="","",SUMPRODUCT((表成绩单[考试日期]=表成绩单[[#This Row],[考试日期]])*(表成绩单[数学]&lt;9E+307)*(表成绩单[数学]&gt;表成绩单[[#This Row],[数学]]))+1)</f>
        <v>752</v>
      </c>
      <c r="R644" s="29" cm="1">
        <f t="array" ref="R644">IF(表成绩单[[#This Row],[英语]]="","",SUMPRODUCT((表成绩单[考试日期]=表成绩单[[#This Row],[考试日期]])*(表成绩单[英语]&lt;9E+307)*(表成绩单[英语]&gt;表成绩单[[#This Row],[英语]]))+1)</f>
        <v>534</v>
      </c>
      <c r="S644" s="29" cm="1">
        <f t="array" ref="S644">IF(表成绩单[[#This Row],[物理]]="","",SUMPRODUCT((表成绩单[考试日期]=表成绩单[[#This Row],[考试日期]])*(表成绩单[物理]&lt;9E+307)*(表成绩单[物理]&gt;表成绩单[[#This Row],[物理]]))+1)</f>
        <v>601</v>
      </c>
      <c r="T644" s="29" cm="1">
        <f t="array" ref="T644">IF(表成绩单[[#This Row],[化学]]="","",SUMPRODUCT((表成绩单[考试日期]=表成绩单[[#This Row],[考试日期]])*(表成绩单[化学]&lt;9E+307)*(表成绩单[化学]&gt;表成绩单[[#This Row],[化学]]))+1)</f>
        <v>432</v>
      </c>
      <c r="U644" s="29" cm="1">
        <f t="array" ref="U644">IF(表成绩单[[#This Row],[政治]]="","",SUMPRODUCT((表成绩单[考试日期]=表成绩单[[#This Row],[考试日期]])*(表成绩单[政治]&lt;9E+307)*(表成绩单[政治]&gt;表成绩单[[#This Row],[政治]]))+1)</f>
        <v>671</v>
      </c>
      <c r="V644" s="29" cm="1">
        <f t="array" ref="V644">IF(表成绩单[[#This Row],[历史]]="","",SUMPRODUCT((表成绩单[考试日期]=表成绩单[[#This Row],[考试日期]])*(表成绩单[历史]&lt;9E+307)*(表成绩单[历史]&gt;表成绩单[[#This Row],[历史]]))+1)</f>
        <v>622</v>
      </c>
      <c r="W644" s="29" cm="1">
        <f t="array" ref="W644">IF(表成绩单[[#This Row],[总分]]="","",SUMPRODUCT((表成绩单[考试日期]=表成绩单[[#This Row],[考试日期]])*(表成绩单[总分]&lt;9E+307)*(表成绩单[总分]&gt;表成绩单[[#This Row],[总分]]))+1)</f>
        <v>640</v>
      </c>
    </row>
    <row r="645" ht="28" customHeight="1" spans="4:23">
      <c r="D645" s="31">
        <v>45975</v>
      </c>
      <c r="E645" s="29">
        <v>19177668</v>
      </c>
      <c r="F645" s="29" t="s">
        <v>63</v>
      </c>
      <c r="G645" s="29" t="s">
        <v>718</v>
      </c>
      <c r="H645" s="29">
        <v>96</v>
      </c>
      <c r="I645" s="29">
        <v>77</v>
      </c>
      <c r="J645" s="29">
        <v>72</v>
      </c>
      <c r="K645" s="29">
        <v>59</v>
      </c>
      <c r="L645" s="29">
        <v>57</v>
      </c>
      <c r="M645" s="29">
        <v>59</v>
      </c>
      <c r="N645" s="29">
        <v>73</v>
      </c>
      <c r="O645" s="32">
        <v>493</v>
      </c>
      <c r="P645" s="29" cm="1">
        <f t="array" ref="P645">IF(表成绩单[[#This Row],[语文]]="","",SUMPRODUCT((表成绩单[考试日期]=表成绩单[[#This Row],[考试日期]])*(表成绩单[语文]&lt;9E+307)*(表成绩单[语文]&gt;表成绩单[[#This Row],[语文]]))+1)</f>
        <v>387</v>
      </c>
      <c r="Q645" s="29" cm="1">
        <f t="array" ref="Q645">IF(表成绩单[[#This Row],[数学]]="","",SUMPRODUCT((表成绩单[考试日期]=表成绩单[[#This Row],[考试日期]])*(表成绩单[数学]&lt;9E+307)*(表成绩单[数学]&gt;表成绩单[[#This Row],[数学]]))+1)</f>
        <v>651</v>
      </c>
      <c r="R645" s="29" cm="1">
        <f t="array" ref="R645">IF(表成绩单[[#This Row],[英语]]="","",SUMPRODUCT((表成绩单[考试日期]=表成绩单[[#This Row],[考试日期]])*(表成绩单[英语]&lt;9E+307)*(表成绩单[英语]&gt;表成绩单[[#This Row],[英语]]))+1)</f>
        <v>507</v>
      </c>
      <c r="S645" s="29" cm="1">
        <f t="array" ref="S645">IF(表成绩单[[#This Row],[物理]]="","",SUMPRODUCT((表成绩单[考试日期]=表成绩单[[#This Row],[考试日期]])*(表成绩单[物理]&lt;9E+307)*(表成绩单[物理]&gt;表成绩单[[#This Row],[物理]]))+1)</f>
        <v>721</v>
      </c>
      <c r="T645" s="29" cm="1">
        <f t="array" ref="T645">IF(表成绩单[[#This Row],[化学]]="","",SUMPRODUCT((表成绩单[考试日期]=表成绩单[[#This Row],[考试日期]])*(表成绩单[化学]&lt;9E+307)*(表成绩单[化学]&gt;表成绩单[[#This Row],[化学]]))+1)</f>
        <v>676</v>
      </c>
      <c r="U645" s="29" cm="1">
        <f t="array" ref="U645">IF(表成绩单[[#This Row],[政治]]="","",SUMPRODUCT((表成绩单[考试日期]=表成绩单[[#This Row],[考试日期]])*(表成绩单[政治]&lt;9E+307)*(表成绩单[政治]&gt;表成绩单[[#This Row],[政治]]))+1)</f>
        <v>681</v>
      </c>
      <c r="V645" s="29" cm="1">
        <f t="array" ref="V645">IF(表成绩单[[#This Row],[历史]]="","",SUMPRODUCT((表成绩单[考试日期]=表成绩单[[#This Row],[考试日期]])*(表成绩单[历史]&lt;9E+307)*(表成绩单[历史]&gt;表成绩单[[#This Row],[历史]]))+1)</f>
        <v>395</v>
      </c>
      <c r="W645" s="29" cm="1">
        <f t="array" ref="W645">IF(表成绩单[[#This Row],[总分]]="","",SUMPRODUCT((表成绩单[考试日期]=表成绩单[[#This Row],[考试日期]])*(表成绩单[总分]&lt;9E+307)*(表成绩单[总分]&gt;表成绩单[[#This Row],[总分]]))+1)</f>
        <v>640</v>
      </c>
    </row>
    <row r="646" ht="28" customHeight="1" spans="4:23">
      <c r="D646" s="31">
        <v>45975</v>
      </c>
      <c r="E646" s="29">
        <v>19176019</v>
      </c>
      <c r="F646" s="29" t="s">
        <v>59</v>
      </c>
      <c r="G646" s="29" t="s">
        <v>719</v>
      </c>
      <c r="H646" s="29">
        <v>97</v>
      </c>
      <c r="I646" s="29">
        <v>70</v>
      </c>
      <c r="J646" s="29">
        <v>44.5</v>
      </c>
      <c r="K646" s="29">
        <v>65</v>
      </c>
      <c r="L646" s="29">
        <v>74</v>
      </c>
      <c r="M646" s="29">
        <v>76</v>
      </c>
      <c r="N646" s="29">
        <v>66</v>
      </c>
      <c r="O646" s="32">
        <v>492.5</v>
      </c>
      <c r="P646" s="29" cm="1">
        <f t="array" ref="P646">IF(表成绩单[[#This Row],[语文]]="","",SUMPRODUCT((表成绩单[考试日期]=表成绩单[[#This Row],[考试日期]])*(表成绩单[语文]&lt;9E+307)*(表成绩单[语文]&gt;表成绩单[[#This Row],[语文]]))+1)</f>
        <v>349</v>
      </c>
      <c r="Q646" s="29" cm="1">
        <f t="array" ref="Q646">IF(表成绩单[[#This Row],[数学]]="","",SUMPRODUCT((表成绩单[考试日期]=表成绩单[[#This Row],[考试日期]])*(表成绩单[数学]&lt;9E+307)*(表成绩单[数学]&gt;表成绩单[[#This Row],[数学]]))+1)</f>
        <v>683</v>
      </c>
      <c r="R646" s="29" cm="1">
        <f t="array" ref="R646">IF(表成绩单[[#This Row],[英语]]="","",SUMPRODUCT((表成绩单[考试日期]=表成绩单[[#This Row],[考试日期]])*(表成绩单[英语]&lt;9E+307)*(表成绩单[英语]&gt;表成绩单[[#This Row],[英语]]))+1)</f>
        <v>748</v>
      </c>
      <c r="S646" s="29" cm="1">
        <f t="array" ref="S646">IF(表成绩单[[#This Row],[物理]]="","",SUMPRODUCT((表成绩单[考试日期]=表成绩单[[#This Row],[考试日期]])*(表成绩单[物理]&lt;9E+307)*(表成绩单[物理]&gt;表成绩单[[#This Row],[物理]]))+1)</f>
        <v>690</v>
      </c>
      <c r="T646" s="29" cm="1">
        <f t="array" ref="T646">IF(表成绩单[[#This Row],[化学]]="","",SUMPRODUCT((表成绩单[考试日期]=表成绩单[[#This Row],[考试日期]])*(表成绩单[化学]&lt;9E+307)*(表成绩单[化学]&gt;表成绩单[[#This Row],[化学]]))+1)</f>
        <v>337</v>
      </c>
      <c r="U646" s="29" cm="1">
        <f t="array" ref="U646">IF(表成绩单[[#This Row],[政治]]="","",SUMPRODUCT((表成绩单[考试日期]=表成绩单[[#This Row],[考试日期]])*(表成绩单[政治]&lt;9E+307)*(表成绩单[政治]&gt;表成绩单[[#This Row],[政治]]))+1)</f>
        <v>329</v>
      </c>
      <c r="V646" s="29" cm="1">
        <f t="array" ref="V646">IF(表成绩单[[#This Row],[历史]]="","",SUMPRODUCT((表成绩单[考试日期]=表成绩单[[#This Row],[考试日期]])*(表成绩单[历史]&lt;9E+307)*(表成绩单[历史]&gt;表成绩单[[#This Row],[历史]]))+1)</f>
        <v>622</v>
      </c>
      <c r="W646" s="29" cm="1">
        <f t="array" ref="W646">IF(表成绩单[[#This Row],[总分]]="","",SUMPRODUCT((表成绩单[考试日期]=表成绩单[[#This Row],[考试日期]])*(表成绩单[总分]&lt;9E+307)*(表成绩单[总分]&gt;表成绩单[[#This Row],[总分]]))+1)</f>
        <v>642</v>
      </c>
    </row>
    <row r="647" ht="28" customHeight="1" spans="4:23">
      <c r="D647" s="31">
        <v>45975</v>
      </c>
      <c r="E647" s="29">
        <v>19175629</v>
      </c>
      <c r="F647" s="29" t="s">
        <v>57</v>
      </c>
      <c r="G647" s="29" t="s">
        <v>720</v>
      </c>
      <c r="H647" s="29">
        <v>97</v>
      </c>
      <c r="I647" s="29">
        <v>61</v>
      </c>
      <c r="J647" s="29">
        <v>72</v>
      </c>
      <c r="K647" s="29">
        <v>74</v>
      </c>
      <c r="L647" s="29">
        <v>56</v>
      </c>
      <c r="M647" s="29">
        <v>64</v>
      </c>
      <c r="N647" s="29">
        <v>68</v>
      </c>
      <c r="O647" s="32">
        <v>492</v>
      </c>
      <c r="P647" s="29" cm="1">
        <f t="array" ref="P647">IF(表成绩单[[#This Row],[语文]]="","",SUMPRODUCT((表成绩单[考试日期]=表成绩单[[#This Row],[考试日期]])*(表成绩单[语文]&lt;9E+307)*(表成绩单[语文]&gt;表成绩单[[#This Row],[语文]]))+1)</f>
        <v>349</v>
      </c>
      <c r="Q647" s="29" cm="1">
        <f t="array" ref="Q647">IF(表成绩单[[#This Row],[数学]]="","",SUMPRODUCT((表成绩单[考试日期]=表成绩单[[#This Row],[考试日期]])*(表成绩单[数学]&lt;9E+307)*(表成绩单[数学]&gt;表成绩单[[#This Row],[数学]]))+1)</f>
        <v>726</v>
      </c>
      <c r="R647" s="29" cm="1">
        <f t="array" ref="R647">IF(表成绩单[[#This Row],[英语]]="","",SUMPRODUCT((表成绩单[考试日期]=表成绩单[[#This Row],[考试日期]])*(表成绩单[英语]&lt;9E+307)*(表成绩单[英语]&gt;表成绩单[[#This Row],[英语]]))+1)</f>
        <v>507</v>
      </c>
      <c r="S647" s="29" cm="1">
        <f t="array" ref="S647">IF(表成绩单[[#This Row],[物理]]="","",SUMPRODUCT((表成绩单[考试日期]=表成绩单[[#This Row],[考试日期]])*(表成绩单[物理]&lt;9E+307)*(表成绩单[物理]&gt;表成绩单[[#This Row],[物理]]))+1)</f>
        <v>616</v>
      </c>
      <c r="T647" s="29" cm="1">
        <f t="array" ref="T647">IF(表成绩单[[#This Row],[化学]]="","",SUMPRODUCT((表成绩单[考试日期]=表成绩单[[#This Row],[考试日期]])*(表成绩单[化学]&lt;9E+307)*(表成绩单[化学]&gt;表成绩单[[#This Row],[化学]]))+1)</f>
        <v>680</v>
      </c>
      <c r="U647" s="29" cm="1">
        <f t="array" ref="U647">IF(表成绩单[[#This Row],[政治]]="","",SUMPRODUCT((表成绩单[考试日期]=表成绩单[[#This Row],[考试日期]])*(表成绩单[政治]&lt;9E+307)*(表成绩单[政治]&gt;表成绩单[[#This Row],[政治]]))+1)</f>
        <v>599</v>
      </c>
      <c r="V647" s="29" cm="1">
        <f t="array" ref="V647">IF(表成绩单[[#This Row],[历史]]="","",SUMPRODUCT((表成绩单[考试日期]=表成绩单[[#This Row],[考试日期]])*(表成绩单[历史]&lt;9E+307)*(表成绩单[历史]&gt;表成绩单[[#This Row],[历史]]))+1)</f>
        <v>571</v>
      </c>
      <c r="W647" s="29" cm="1">
        <f t="array" ref="W647">IF(表成绩单[[#This Row],[总分]]="","",SUMPRODUCT((表成绩单[考试日期]=表成绩单[[#This Row],[考试日期]])*(表成绩单[总分]&lt;9E+307)*(表成绩单[总分]&gt;表成绩单[[#This Row],[总分]]))+1)</f>
        <v>643</v>
      </c>
    </row>
    <row r="648" ht="28" customHeight="1" spans="4:23">
      <c r="D648" s="31">
        <v>45975</v>
      </c>
      <c r="E648" s="29">
        <v>19175620</v>
      </c>
      <c r="F648" s="29" t="s">
        <v>57</v>
      </c>
      <c r="G648" s="29" t="s">
        <v>721</v>
      </c>
      <c r="H648" s="29">
        <v>84</v>
      </c>
      <c r="I648" s="29">
        <v>69</v>
      </c>
      <c r="J648" s="29">
        <v>68.5</v>
      </c>
      <c r="K648" s="29">
        <v>80</v>
      </c>
      <c r="L648" s="29">
        <v>61</v>
      </c>
      <c r="M648" s="29">
        <v>62</v>
      </c>
      <c r="N648" s="29">
        <v>67</v>
      </c>
      <c r="O648" s="32">
        <v>491.5</v>
      </c>
      <c r="P648" s="29" cm="1">
        <f t="array" ref="P648">IF(表成绩单[[#This Row],[语文]]="","",SUMPRODUCT((表成绩单[考试日期]=表成绩单[[#This Row],[考试日期]])*(表成绩单[语文]&lt;9E+307)*(表成绩单[语文]&gt;表成绩单[[#This Row],[语文]]))+1)</f>
        <v>659</v>
      </c>
      <c r="Q648" s="29" cm="1">
        <f t="array" ref="Q648">IF(表成绩单[[#This Row],[数学]]="","",SUMPRODUCT((表成绩单[考试日期]=表成绩单[[#This Row],[考试日期]])*(表成绩单[数学]&lt;9E+307)*(表成绩单[数学]&gt;表成绩单[[#This Row],[数学]]))+1)</f>
        <v>690</v>
      </c>
      <c r="R648" s="29" cm="1">
        <f t="array" ref="R648">IF(表成绩单[[#This Row],[英语]]="","",SUMPRODUCT((表成绩单[考试日期]=表成绩单[[#This Row],[考试日期]])*(表成绩单[英语]&lt;9E+307)*(表成绩单[英语]&gt;表成绩单[[#This Row],[英语]]))+1)</f>
        <v>571</v>
      </c>
      <c r="S648" s="29" cm="1">
        <f t="array" ref="S648">IF(表成绩单[[#This Row],[物理]]="","",SUMPRODUCT((表成绩单[考试日期]=表成绩单[[#This Row],[考试日期]])*(表成绩单[物理]&lt;9E+307)*(表成绩单[物理]&gt;表成绩单[[#This Row],[物理]]))+1)</f>
        <v>507</v>
      </c>
      <c r="T648" s="29" cm="1">
        <f t="array" ref="T648">IF(表成绩单[[#This Row],[化学]]="","",SUMPRODUCT((表成绩单[考试日期]=表成绩单[[#This Row],[考试日期]])*(表成绩单[化学]&lt;9E+307)*(表成绩单[化学]&gt;表成绩单[[#This Row],[化学]]))+1)</f>
        <v>625</v>
      </c>
      <c r="U648" s="29" cm="1">
        <f t="array" ref="U648">IF(表成绩单[[#This Row],[政治]]="","",SUMPRODUCT((表成绩单[考试日期]=表成绩单[[#This Row],[考试日期]])*(表成绩单[政治]&lt;9E+307)*(表成绩单[政治]&gt;表成绩单[[#This Row],[政治]]))+1)</f>
        <v>628</v>
      </c>
      <c r="V648" s="29" cm="1">
        <f t="array" ref="V648">IF(表成绩单[[#This Row],[历史]]="","",SUMPRODUCT((表成绩单[考试日期]=表成绩单[[#This Row],[考试日期]])*(表成绩单[历史]&lt;9E+307)*(表成绩单[历史]&gt;表成绩单[[#This Row],[历史]]))+1)</f>
        <v>597</v>
      </c>
      <c r="W648" s="29" cm="1">
        <f t="array" ref="W648">IF(表成绩单[[#This Row],[总分]]="","",SUMPRODUCT((表成绩单[考试日期]=表成绩单[[#This Row],[考试日期]])*(表成绩单[总分]&lt;9E+307)*(表成绩单[总分]&gt;表成绩单[[#This Row],[总分]]))+1)</f>
        <v>644</v>
      </c>
    </row>
    <row r="649" ht="28" customHeight="1" spans="4:23">
      <c r="D649" s="31">
        <v>45975</v>
      </c>
      <c r="E649" s="29">
        <v>19175294</v>
      </c>
      <c r="F649" s="29" t="s">
        <v>55</v>
      </c>
      <c r="G649" s="29" t="s">
        <v>722</v>
      </c>
      <c r="H649" s="29">
        <v>93</v>
      </c>
      <c r="I649" s="29">
        <v>83</v>
      </c>
      <c r="J649" s="29">
        <v>69</v>
      </c>
      <c r="K649" s="29">
        <v>70</v>
      </c>
      <c r="L649" s="29">
        <v>58</v>
      </c>
      <c r="M649" s="29">
        <v>54</v>
      </c>
      <c r="N649" s="29">
        <v>64</v>
      </c>
      <c r="O649" s="32">
        <v>491</v>
      </c>
      <c r="P649" s="29" cm="1">
        <f t="array" ref="P649">IF(表成绩单[[#This Row],[语文]]="","",SUMPRODUCT((表成绩单[考试日期]=表成绩单[[#This Row],[考试日期]])*(表成绩单[语文]&lt;9E+307)*(表成绩单[语文]&gt;表成绩单[[#This Row],[语文]]))+1)</f>
        <v>489</v>
      </c>
      <c r="Q649" s="29" cm="1">
        <f t="array" ref="Q649">IF(表成绩单[[#This Row],[数学]]="","",SUMPRODUCT((表成绩单[考试日期]=表成绩单[[#This Row],[考试日期]])*(表成绩单[数学]&lt;9E+307)*(表成绩单[数学]&gt;表成绩单[[#This Row],[数学]]))+1)</f>
        <v>592</v>
      </c>
      <c r="R649" s="29" cm="1">
        <f t="array" ref="R649">IF(表成绩单[[#This Row],[英语]]="","",SUMPRODUCT((表成绩单[考试日期]=表成绩单[[#This Row],[考试日期]])*(表成绩单[英语]&lt;9E+307)*(表成绩单[英语]&gt;表成绩单[[#This Row],[英语]]))+1)</f>
        <v>566</v>
      </c>
      <c r="S649" s="29" cm="1">
        <f t="array" ref="S649">IF(表成绩单[[#This Row],[物理]]="","",SUMPRODUCT((表成绩单[考试日期]=表成绩单[[#This Row],[考试日期]])*(表成绩单[物理]&lt;9E+307)*(表成绩单[物理]&gt;表成绩单[[#This Row],[物理]]))+1)</f>
        <v>653</v>
      </c>
      <c r="T649" s="29" cm="1">
        <f t="array" ref="T649">IF(表成绩单[[#This Row],[化学]]="","",SUMPRODUCT((表成绩单[考试日期]=表成绩单[[#This Row],[考试日期]])*(表成绩单[化学]&lt;9E+307)*(表成绩单[化学]&gt;表成绩单[[#This Row],[化学]]))+1)</f>
        <v>659</v>
      </c>
      <c r="U649" s="29" cm="1">
        <f t="array" ref="U649">IF(表成绩单[[#This Row],[政治]]="","",SUMPRODUCT((表成绩单[考试日期]=表成绩单[[#This Row],[考试日期]])*(表成绩单[政治]&lt;9E+307)*(表成绩单[政治]&gt;表成绩单[[#This Row],[政治]]))+1)</f>
        <v>723</v>
      </c>
      <c r="V649" s="29" cm="1">
        <f t="array" ref="V649">IF(表成绩单[[#This Row],[历史]]="","",SUMPRODUCT((表成绩单[考试日期]=表成绩单[[#This Row],[考试日期]])*(表成绩单[历史]&lt;9E+307)*(表成绩单[历史]&gt;表成绩单[[#This Row],[历史]]))+1)</f>
        <v>660</v>
      </c>
      <c r="W649" s="29" cm="1">
        <f t="array" ref="W649">IF(表成绩单[[#This Row],[总分]]="","",SUMPRODUCT((表成绩单[考试日期]=表成绩单[[#This Row],[考试日期]])*(表成绩单[总分]&lt;9E+307)*(表成绩单[总分]&gt;表成绩单[[#This Row],[总分]]))+1)</f>
        <v>645</v>
      </c>
    </row>
    <row r="650" ht="28" customHeight="1" spans="4:23">
      <c r="D650" s="31">
        <v>45975</v>
      </c>
      <c r="E650" s="29">
        <v>19176009</v>
      </c>
      <c r="F650" s="29" t="s">
        <v>59</v>
      </c>
      <c r="G650" s="29" t="s">
        <v>723</v>
      </c>
      <c r="H650" s="29">
        <v>93</v>
      </c>
      <c r="I650" s="29">
        <v>62</v>
      </c>
      <c r="J650" s="29">
        <v>60</v>
      </c>
      <c r="K650" s="29">
        <v>60</v>
      </c>
      <c r="L650" s="29">
        <v>62</v>
      </c>
      <c r="M650" s="29">
        <v>72</v>
      </c>
      <c r="N650" s="29">
        <v>82</v>
      </c>
      <c r="O650" s="32">
        <v>491</v>
      </c>
      <c r="P650" s="29" cm="1">
        <f t="array" ref="P650">IF(表成绩单[[#This Row],[语文]]="","",SUMPRODUCT((表成绩单[考试日期]=表成绩单[[#This Row],[考试日期]])*(表成绩单[语文]&lt;9E+307)*(表成绩单[语文]&gt;表成绩单[[#This Row],[语文]]))+1)</f>
        <v>489</v>
      </c>
      <c r="Q650" s="29" cm="1">
        <f t="array" ref="Q650">IF(表成绩单[[#This Row],[数学]]="","",SUMPRODUCT((表成绩单[考试日期]=表成绩单[[#This Row],[考试日期]])*(表成绩单[数学]&lt;9E+307)*(表成绩单[数学]&gt;表成绩单[[#This Row],[数学]]))+1)</f>
        <v>722</v>
      </c>
      <c r="R650" s="29" cm="1">
        <f t="array" ref="R650">IF(表成绩单[[#This Row],[英语]]="","",SUMPRODUCT((表成绩单[考试日期]=表成绩单[[#This Row],[考试日期]])*(表成绩单[英语]&lt;9E+307)*(表成绩单[英语]&gt;表成绩单[[#This Row],[英语]]))+1)</f>
        <v>668</v>
      </c>
      <c r="S650" s="29" cm="1">
        <f t="array" ref="S650">IF(表成绩单[[#This Row],[物理]]="","",SUMPRODUCT((表成绩单[考试日期]=表成绩单[[#This Row],[考试日期]])*(表成绩单[物理]&lt;9E+307)*(表成绩单[物理]&gt;表成绩单[[#This Row],[物理]]))+1)</f>
        <v>717</v>
      </c>
      <c r="T650" s="29" cm="1">
        <f t="array" ref="T650">IF(表成绩单[[#This Row],[化学]]="","",SUMPRODUCT((表成绩单[考试日期]=表成绩单[[#This Row],[考试日期]])*(表成绩单[化学]&lt;9E+307)*(表成绩单[化学]&gt;表成绩单[[#This Row],[化学]]))+1)</f>
        <v>605</v>
      </c>
      <c r="U650" s="29" cm="1">
        <f t="array" ref="U650">IF(表成绩单[[#This Row],[政治]]="","",SUMPRODUCT((表成绩单[考试日期]=表成绩单[[#This Row],[考试日期]])*(表成绩单[政治]&lt;9E+307)*(表成绩单[政治]&gt;表成绩单[[#This Row],[政治]]))+1)</f>
        <v>448</v>
      </c>
      <c r="V650" s="29" cm="1">
        <f t="array" ref="V650">IF(表成绩单[[#This Row],[历史]]="","",SUMPRODUCT((表成绩单[考试日期]=表成绩单[[#This Row],[考试日期]])*(表成绩单[历史]&lt;9E+307)*(表成绩单[历史]&gt;表成绩单[[#This Row],[历史]]))+1)</f>
        <v>35</v>
      </c>
      <c r="W650" s="29" cm="1">
        <f t="array" ref="W650">IF(表成绩单[[#This Row],[总分]]="","",SUMPRODUCT((表成绩单[考试日期]=表成绩单[[#This Row],[考试日期]])*(表成绩单[总分]&lt;9E+307)*(表成绩单[总分]&gt;表成绩单[[#This Row],[总分]]))+1)</f>
        <v>645</v>
      </c>
    </row>
    <row r="651" ht="28" customHeight="1" spans="4:23">
      <c r="D651" s="31">
        <v>45975</v>
      </c>
      <c r="E651" s="29">
        <v>19176010</v>
      </c>
      <c r="F651" s="29" t="s">
        <v>59</v>
      </c>
      <c r="G651" s="29" t="s">
        <v>724</v>
      </c>
      <c r="H651" s="29">
        <v>90</v>
      </c>
      <c r="I651" s="29">
        <v>69</v>
      </c>
      <c r="J651" s="29">
        <v>70</v>
      </c>
      <c r="K651" s="29">
        <v>75</v>
      </c>
      <c r="L651" s="29">
        <v>62</v>
      </c>
      <c r="M651" s="29">
        <v>61</v>
      </c>
      <c r="N651" s="29">
        <v>64</v>
      </c>
      <c r="O651" s="32">
        <v>491</v>
      </c>
      <c r="P651" s="29" cm="1">
        <f t="array" ref="P651">IF(表成绩单[[#This Row],[语文]]="","",SUMPRODUCT((表成绩单[考试日期]=表成绩单[[#This Row],[考试日期]])*(表成绩单[语文]&lt;9E+307)*(表成绩单[语文]&gt;表成绩单[[#This Row],[语文]]))+1)</f>
        <v>561</v>
      </c>
      <c r="Q651" s="29" cm="1">
        <f t="array" ref="Q651">IF(表成绩单[[#This Row],[数学]]="","",SUMPRODUCT((表成绩单[考试日期]=表成绩单[[#This Row],[考试日期]])*(表成绩单[数学]&lt;9E+307)*(表成绩单[数学]&gt;表成绩单[[#This Row],[数学]]))+1)</f>
        <v>690</v>
      </c>
      <c r="R651" s="29" cm="1">
        <f t="array" ref="R651">IF(表成绩单[[#This Row],[英语]]="","",SUMPRODUCT((表成绩单[考试日期]=表成绩单[[#This Row],[考试日期]])*(表成绩单[英语]&lt;9E+307)*(表成绩单[英语]&gt;表成绩单[[#This Row],[英语]]))+1)</f>
        <v>551</v>
      </c>
      <c r="S651" s="29" cm="1">
        <f t="array" ref="S651">IF(表成绩单[[#This Row],[物理]]="","",SUMPRODUCT((表成绩单[考试日期]=表成绩单[[#This Row],[考试日期]])*(表成绩单[物理]&lt;9E+307)*(表成绩单[物理]&gt;表成绩单[[#This Row],[物理]]))+1)</f>
        <v>601</v>
      </c>
      <c r="T651" s="29" cm="1">
        <f t="array" ref="T651">IF(表成绩单[[#This Row],[化学]]="","",SUMPRODUCT((表成绩单[考试日期]=表成绩单[[#This Row],[考试日期]])*(表成绩单[化学]&lt;9E+307)*(表成绩单[化学]&gt;表成绩单[[#This Row],[化学]]))+1)</f>
        <v>605</v>
      </c>
      <c r="U651" s="29" cm="1">
        <f t="array" ref="U651">IF(表成绩单[[#This Row],[政治]]="","",SUMPRODUCT((表成绩单[考试日期]=表成绩单[[#This Row],[考试日期]])*(表成绩单[政治]&lt;9E+307)*(表成绩单[政治]&gt;表成绩单[[#This Row],[政治]]))+1)</f>
        <v>644</v>
      </c>
      <c r="V651" s="29" cm="1">
        <f t="array" ref="V651">IF(表成绩单[[#This Row],[历史]]="","",SUMPRODUCT((表成绩单[考试日期]=表成绩单[[#This Row],[考试日期]])*(表成绩单[历史]&lt;9E+307)*(表成绩单[历史]&gt;表成绩单[[#This Row],[历史]]))+1)</f>
        <v>660</v>
      </c>
      <c r="W651" s="29" cm="1">
        <f t="array" ref="W651">IF(表成绩单[[#This Row],[总分]]="","",SUMPRODUCT((表成绩单[考试日期]=表成绩单[[#This Row],[考试日期]])*(表成绩单[总分]&lt;9E+307)*(表成绩单[总分]&gt;表成绩单[[#This Row],[总分]]))+1)</f>
        <v>645</v>
      </c>
    </row>
    <row r="652" ht="28" customHeight="1" spans="4:23">
      <c r="D652" s="31">
        <v>45975</v>
      </c>
      <c r="E652" s="29">
        <v>19177671</v>
      </c>
      <c r="F652" s="29" t="s">
        <v>63</v>
      </c>
      <c r="G652" s="29" t="s">
        <v>725</v>
      </c>
      <c r="H652" s="29">
        <v>90</v>
      </c>
      <c r="I652" s="29">
        <v>58</v>
      </c>
      <c r="J652" s="29">
        <v>81</v>
      </c>
      <c r="K652" s="29">
        <v>59</v>
      </c>
      <c r="L652" s="29">
        <v>61</v>
      </c>
      <c r="M652" s="29">
        <v>68</v>
      </c>
      <c r="N652" s="29">
        <v>74</v>
      </c>
      <c r="O652" s="32">
        <v>491</v>
      </c>
      <c r="P652" s="29" cm="1">
        <f t="array" ref="P652">IF(表成绩单[[#This Row],[语文]]="","",SUMPRODUCT((表成绩单[考试日期]=表成绩单[[#This Row],[考试日期]])*(表成绩单[语文]&lt;9E+307)*(表成绩单[语文]&gt;表成绩单[[#This Row],[语文]]))+1)</f>
        <v>561</v>
      </c>
      <c r="Q652" s="29" cm="1">
        <f t="array" ref="Q652">IF(表成绩单[[#This Row],[数学]]="","",SUMPRODUCT((表成绩单[考试日期]=表成绩单[[#This Row],[考试日期]])*(表成绩单[数学]&lt;9E+307)*(表成绩单[数学]&gt;表成绩单[[#This Row],[数学]]))+1)</f>
        <v>738</v>
      </c>
      <c r="R652" s="29" cm="1">
        <f t="array" ref="R652">IF(表成绩单[[#This Row],[英语]]="","",SUMPRODUCT((表成绩单[考试日期]=表成绩单[[#This Row],[考试日期]])*(表成绩单[英语]&lt;9E+307)*(表成绩单[英语]&gt;表成绩单[[#This Row],[英语]]))+1)</f>
        <v>241</v>
      </c>
      <c r="S652" s="29" cm="1">
        <f t="array" ref="S652">IF(表成绩单[[#This Row],[物理]]="","",SUMPRODUCT((表成绩单[考试日期]=表成绩单[[#This Row],[考试日期]])*(表成绩单[物理]&lt;9E+307)*(表成绩单[物理]&gt;表成绩单[[#This Row],[物理]]))+1)</f>
        <v>721</v>
      </c>
      <c r="T652" s="29" cm="1">
        <f t="array" ref="T652">IF(表成绩单[[#This Row],[化学]]="","",SUMPRODUCT((表成绩单[考试日期]=表成绩单[[#This Row],[考试日期]])*(表成绩单[化学]&lt;9E+307)*(表成绩单[化学]&gt;表成绩单[[#This Row],[化学]]))+1)</f>
        <v>625</v>
      </c>
      <c r="U652" s="29" cm="1">
        <f t="array" ref="U652">IF(表成绩单[[#This Row],[政治]]="","",SUMPRODUCT((表成绩单[考试日期]=表成绩单[[#This Row],[考试日期]])*(表成绩单[政治]&lt;9E+307)*(表成绩单[政治]&gt;表成绩单[[#This Row],[政治]]))+1)</f>
        <v>527</v>
      </c>
      <c r="V652" s="29" cm="1">
        <f t="array" ref="V652">IF(表成绩单[[#This Row],[历史]]="","",SUMPRODUCT((表成绩单[考试日期]=表成绩单[[#This Row],[考试日期]])*(表成绩单[历史]&lt;9E+307)*(表成绩单[历史]&gt;表成绩单[[#This Row],[历史]]))+1)</f>
        <v>358</v>
      </c>
      <c r="W652" s="29" cm="1">
        <f t="array" ref="W652">IF(表成绩单[[#This Row],[总分]]="","",SUMPRODUCT((表成绩单[考试日期]=表成绩单[[#This Row],[考试日期]])*(表成绩单[总分]&lt;9E+307)*(表成绩单[总分]&gt;表成绩单[[#This Row],[总分]]))+1)</f>
        <v>645</v>
      </c>
    </row>
    <row r="653" ht="28" customHeight="1" spans="4:23">
      <c r="D653" s="31">
        <v>45975</v>
      </c>
      <c r="E653" s="29">
        <v>19173773</v>
      </c>
      <c r="F653" s="29" t="s">
        <v>65</v>
      </c>
      <c r="G653" s="29" t="s">
        <v>726</v>
      </c>
      <c r="H653" s="29">
        <v>75</v>
      </c>
      <c r="I653" s="29">
        <v>81</v>
      </c>
      <c r="J653" s="29">
        <v>60.5</v>
      </c>
      <c r="K653" s="29">
        <v>76</v>
      </c>
      <c r="L653" s="29">
        <v>63</v>
      </c>
      <c r="M653" s="29">
        <v>73</v>
      </c>
      <c r="N653" s="29">
        <v>62</v>
      </c>
      <c r="O653" s="32">
        <v>490.5</v>
      </c>
      <c r="P653" s="29" cm="1">
        <f t="array" ref="P653">IF(表成绩单[[#This Row],[语文]]="","",SUMPRODUCT((表成绩单[考试日期]=表成绩单[[#This Row],[考试日期]])*(表成绩单[语文]&lt;9E+307)*(表成绩单[语文]&gt;表成绩单[[#This Row],[语文]]))+1)</f>
        <v>747</v>
      </c>
      <c r="Q653" s="29" cm="1">
        <f t="array" ref="Q653">IF(表成绩单[[#This Row],[数学]]="","",SUMPRODUCT((表成绩单[考试日期]=表成绩单[[#This Row],[考试日期]])*(表成绩单[数学]&lt;9E+307)*(表成绩单[数学]&gt;表成绩单[[#This Row],[数学]]))+1)</f>
        <v>620</v>
      </c>
      <c r="R653" s="29" cm="1">
        <f t="array" ref="R653">IF(表成绩单[[#This Row],[英语]]="","",SUMPRODUCT((表成绩单[考试日期]=表成绩单[[#This Row],[考试日期]])*(表成绩单[英语]&lt;9E+307)*(表成绩单[英语]&gt;表成绩单[[#This Row],[英语]]))+1)</f>
        <v>664</v>
      </c>
      <c r="S653" s="29" cm="1">
        <f t="array" ref="S653">IF(表成绩单[[#This Row],[物理]]="","",SUMPRODUCT((表成绩单[考试日期]=表成绩单[[#This Row],[考试日期]])*(表成绩单[物理]&lt;9E+307)*(表成绩单[物理]&gt;表成绩单[[#This Row],[物理]]))+1)</f>
        <v>589</v>
      </c>
      <c r="T653" s="29" cm="1">
        <f t="array" ref="T653">IF(表成绩单[[#This Row],[化学]]="","",SUMPRODUCT((表成绩单[考试日期]=表成绩单[[#This Row],[考试日期]])*(表成绩单[化学]&lt;9E+307)*(表成绩单[化学]&gt;表成绩单[[#This Row],[化学]]))+1)</f>
        <v>588</v>
      </c>
      <c r="U653" s="29" cm="1">
        <f t="array" ref="U653">IF(表成绩单[[#This Row],[政治]]="","",SUMPRODUCT((表成绩单[考试日期]=表成绩单[[#This Row],[考试日期]])*(表成绩单[政治]&lt;9E+307)*(表成绩单[政治]&gt;表成绩单[[#This Row],[政治]]))+1)</f>
        <v>418</v>
      </c>
      <c r="V653" s="29" cm="1">
        <f t="array" ref="V653">IF(表成绩单[[#This Row],[历史]]="","",SUMPRODUCT((表成绩单[考试日期]=表成绩单[[#This Row],[考试日期]])*(表成绩单[历史]&lt;9E+307)*(表成绩单[历史]&gt;表成绩单[[#This Row],[历史]]))+1)</f>
        <v>688</v>
      </c>
      <c r="W653" s="29" cm="1">
        <f t="array" ref="W653">IF(表成绩单[[#This Row],[总分]]="","",SUMPRODUCT((表成绩单[考试日期]=表成绩单[[#This Row],[考试日期]])*(表成绩单[总分]&lt;9E+307)*(表成绩单[总分]&gt;表成绩单[[#This Row],[总分]]))+1)</f>
        <v>649</v>
      </c>
    </row>
    <row r="654" ht="28" customHeight="1" spans="4:23">
      <c r="D654" s="31">
        <v>45975</v>
      </c>
      <c r="E654" s="29">
        <v>19175603</v>
      </c>
      <c r="F654" s="29" t="s">
        <v>57</v>
      </c>
      <c r="G654" s="29" t="s">
        <v>727</v>
      </c>
      <c r="H654" s="29">
        <v>94</v>
      </c>
      <c r="I654" s="29">
        <v>78</v>
      </c>
      <c r="J654" s="29">
        <v>66</v>
      </c>
      <c r="K654" s="29">
        <v>64</v>
      </c>
      <c r="L654" s="29">
        <v>51</v>
      </c>
      <c r="M654" s="29">
        <v>66</v>
      </c>
      <c r="N654" s="29">
        <v>71</v>
      </c>
      <c r="O654" s="32">
        <v>490</v>
      </c>
      <c r="P654" s="29" cm="1">
        <f t="array" ref="P654">IF(表成绩单[[#This Row],[语文]]="","",SUMPRODUCT((表成绩单[考试日期]=表成绩单[[#This Row],[考试日期]])*(表成绩单[语文]&lt;9E+307)*(表成绩单[语文]&gt;表成绩单[[#This Row],[语文]]))+1)</f>
        <v>452</v>
      </c>
      <c r="Q654" s="29" cm="1">
        <f t="array" ref="Q654">IF(表成绩单[[#This Row],[数学]]="","",SUMPRODUCT((表成绩单[考试日期]=表成绩单[[#This Row],[考试日期]])*(表成绩单[数学]&lt;9E+307)*(表成绩单[数学]&gt;表成绩单[[#This Row],[数学]]))+1)</f>
        <v>644</v>
      </c>
      <c r="R654" s="29" cm="1">
        <f t="array" ref="R654">IF(表成绩单[[#This Row],[英语]]="","",SUMPRODUCT((表成绩单[考试日期]=表成绩单[[#This Row],[考试日期]])*(表成绩单[英语]&lt;9E+307)*(表成绩单[英语]&gt;表成绩单[[#This Row],[英语]]))+1)</f>
        <v>609</v>
      </c>
      <c r="S654" s="29" cm="1">
        <f t="array" ref="S654">IF(表成绩单[[#This Row],[物理]]="","",SUMPRODUCT((表成绩单[考试日期]=表成绩单[[#This Row],[考试日期]])*(表成绩单[物理]&lt;9E+307)*(表成绩单[物理]&gt;表成绩单[[#This Row],[物理]]))+1)</f>
        <v>697</v>
      </c>
      <c r="T654" s="29" cm="1">
        <f t="array" ref="T654">IF(表成绩单[[#This Row],[化学]]="","",SUMPRODUCT((表成绩单[考试日期]=表成绩单[[#This Row],[考试日期]])*(表成绩单[化学]&lt;9E+307)*(表成绩单[化学]&gt;表成绩单[[#This Row],[化学]]))+1)</f>
        <v>730</v>
      </c>
      <c r="U654" s="29" cm="1">
        <f t="array" ref="U654">IF(表成绩单[[#This Row],[政治]]="","",SUMPRODUCT((表成绩单[考试日期]=表成绩单[[#This Row],[考试日期]])*(表成绩单[政治]&lt;9E+307)*(表成绩单[政治]&gt;表成绩单[[#This Row],[政治]]))+1)</f>
        <v>555</v>
      </c>
      <c r="V654" s="29" cm="1">
        <f t="array" ref="V654">IF(表成绩单[[#This Row],[历史]]="","",SUMPRODUCT((表成绩单[考试日期]=表成绩单[[#This Row],[考试日期]])*(表成绩单[历史]&lt;9E+307)*(表成绩单[历史]&gt;表成绩单[[#This Row],[历史]]))+1)</f>
        <v>480</v>
      </c>
      <c r="W654" s="29" cm="1">
        <f t="array" ref="W654">IF(表成绩单[[#This Row],[总分]]="","",SUMPRODUCT((表成绩单[考试日期]=表成绩单[[#This Row],[考试日期]])*(表成绩单[总分]&lt;9E+307)*(表成绩单[总分]&gt;表成绩单[[#This Row],[总分]]))+1)</f>
        <v>650</v>
      </c>
    </row>
    <row r="655" ht="28" customHeight="1" spans="4:23">
      <c r="D655" s="31">
        <v>45975</v>
      </c>
      <c r="E655" s="29">
        <v>19174462</v>
      </c>
      <c r="F655" s="29" t="s">
        <v>73</v>
      </c>
      <c r="G655" s="29" t="s">
        <v>728</v>
      </c>
      <c r="H655" s="29">
        <v>96</v>
      </c>
      <c r="I655" s="29">
        <v>61</v>
      </c>
      <c r="J655" s="29">
        <v>71.5</v>
      </c>
      <c r="K655" s="29">
        <v>68</v>
      </c>
      <c r="L655" s="29">
        <v>53</v>
      </c>
      <c r="M655" s="29">
        <v>70</v>
      </c>
      <c r="N655" s="29">
        <v>70</v>
      </c>
      <c r="O655" s="32">
        <v>489.5</v>
      </c>
      <c r="P655" s="29" cm="1">
        <f t="array" ref="P655">IF(表成绩单[[#This Row],[语文]]="","",SUMPRODUCT((表成绩单[考试日期]=表成绩单[[#This Row],[考试日期]])*(表成绩单[语文]&lt;9E+307)*(表成绩单[语文]&gt;表成绩单[[#This Row],[语文]]))+1)</f>
        <v>387</v>
      </c>
      <c r="Q655" s="29" cm="1">
        <f t="array" ref="Q655">IF(表成绩单[[#This Row],[数学]]="","",SUMPRODUCT((表成绩单[考试日期]=表成绩单[[#This Row],[考试日期]])*(表成绩单[数学]&lt;9E+307)*(表成绩单[数学]&gt;表成绩单[[#This Row],[数学]]))+1)</f>
        <v>726</v>
      </c>
      <c r="R655" s="29" cm="1">
        <f t="array" ref="R655">IF(表成绩单[[#This Row],[英语]]="","",SUMPRODUCT((表成绩单[考试日期]=表成绩单[[#This Row],[考试日期]])*(表成绩单[英语]&lt;9E+307)*(表成绩单[英语]&gt;表成绩单[[#This Row],[英语]]))+1)</f>
        <v>520</v>
      </c>
      <c r="S655" s="29" cm="1">
        <f t="array" ref="S655">IF(表成绩单[[#This Row],[物理]]="","",SUMPRODUCT((表成绩单[考试日期]=表成绩单[[#This Row],[考试日期]])*(表成绩单[物理]&lt;9E+307)*(表成绩单[物理]&gt;表成绩单[[#This Row],[物理]]))+1)</f>
        <v>667</v>
      </c>
      <c r="T655" s="29" cm="1">
        <f t="array" ref="T655">IF(表成绩单[[#This Row],[化学]]="","",SUMPRODUCT((表成绩单[考试日期]=表成绩单[[#This Row],[考试日期]])*(表成绩单[化学]&lt;9E+307)*(表成绩单[化学]&gt;表成绩单[[#This Row],[化学]]))+1)</f>
        <v>715</v>
      </c>
      <c r="U655" s="29" cm="1">
        <f t="array" ref="U655">IF(表成绩单[[#This Row],[政治]]="","",SUMPRODUCT((表成绩单[考试日期]=表成绩单[[#This Row],[考试日期]])*(表成绩单[政治]&lt;9E+307)*(表成绩单[政治]&gt;表成绩单[[#This Row],[政治]]))+1)</f>
        <v>493</v>
      </c>
      <c r="V655" s="29" cm="1">
        <f t="array" ref="V655">IF(表成绩单[[#This Row],[历史]]="","",SUMPRODUCT((表成绩单[考试日期]=表成绩单[[#This Row],[考试日期]])*(表成绩单[历史]&lt;9E+307)*(表成绩单[历史]&gt;表成绩单[[#This Row],[历史]]))+1)</f>
        <v>505</v>
      </c>
      <c r="W655" s="29" cm="1">
        <f t="array" ref="W655">IF(表成绩单[[#This Row],[总分]]="","",SUMPRODUCT((表成绩单[考试日期]=表成绩单[[#This Row],[考试日期]])*(表成绩单[总分]&lt;9E+307)*(表成绩单[总分]&gt;表成绩单[[#This Row],[总分]]))+1)</f>
        <v>651</v>
      </c>
    </row>
    <row r="656" ht="28" customHeight="1" spans="4:23">
      <c r="D656" s="31">
        <v>45975</v>
      </c>
      <c r="E656" s="29">
        <v>19175306</v>
      </c>
      <c r="F656" s="29" t="s">
        <v>55</v>
      </c>
      <c r="G656" s="29" t="s">
        <v>729</v>
      </c>
      <c r="H656" s="29">
        <v>97</v>
      </c>
      <c r="I656" s="29">
        <v>65</v>
      </c>
      <c r="J656" s="29">
        <v>56.5</v>
      </c>
      <c r="K656" s="29">
        <v>63</v>
      </c>
      <c r="L656" s="29">
        <v>54</v>
      </c>
      <c r="M656" s="29">
        <v>78</v>
      </c>
      <c r="N656" s="29">
        <v>76</v>
      </c>
      <c r="O656" s="32">
        <v>489.5</v>
      </c>
      <c r="P656" s="29" cm="1">
        <f t="array" ref="P656">IF(表成绩单[[#This Row],[语文]]="","",SUMPRODUCT((表成绩单[考试日期]=表成绩单[[#This Row],[考试日期]])*(表成绩单[语文]&lt;9E+307)*(表成绩单[语文]&gt;表成绩单[[#This Row],[语文]]))+1)</f>
        <v>349</v>
      </c>
      <c r="Q656" s="29" cm="1">
        <f t="array" ref="Q656">IF(表成绩单[[#This Row],[数学]]="","",SUMPRODUCT((表成绩单[考试日期]=表成绩单[[#This Row],[考试日期]])*(表成绩单[数学]&lt;9E+307)*(表成绩单[数学]&gt;表成绩单[[#This Row],[数学]]))+1)</f>
        <v>706</v>
      </c>
      <c r="R656" s="29" cm="1">
        <f t="array" ref="R656">IF(表成绩单[[#This Row],[英语]]="","",SUMPRODUCT((表成绩单[考试日期]=表成绩单[[#This Row],[考试日期]])*(表成绩单[英语]&lt;9E+307)*(表成绩单[英语]&gt;表成绩单[[#This Row],[英语]]))+1)</f>
        <v>692</v>
      </c>
      <c r="S656" s="29" cm="1">
        <f t="array" ref="S656">IF(表成绩单[[#This Row],[物理]]="","",SUMPRODUCT((表成绩单[考试日期]=表成绩单[[#This Row],[考试日期]])*(表成绩单[物理]&lt;9E+307)*(表成绩单[物理]&gt;表成绩单[[#This Row],[物理]]))+1)</f>
        <v>702</v>
      </c>
      <c r="T656" s="29" cm="1">
        <f t="array" ref="T656">IF(表成绩单[[#This Row],[化学]]="","",SUMPRODUCT((表成绩单[考试日期]=表成绩单[[#This Row],[考试日期]])*(表成绩单[化学]&lt;9E+307)*(表成绩单[化学]&gt;表成绩单[[#This Row],[化学]]))+1)</f>
        <v>707</v>
      </c>
      <c r="U656" s="29" cm="1">
        <f t="array" ref="U656">IF(表成绩单[[#This Row],[政治]]="","",SUMPRODUCT((表成绩单[考试日期]=表成绩单[[#This Row],[考试日期]])*(表成绩单[政治]&lt;9E+307)*(表成绩单[政治]&gt;表成绩单[[#This Row],[政治]]))+1)</f>
        <v>272</v>
      </c>
      <c r="V656" s="29" cm="1">
        <f t="array" ref="V656">IF(表成绩单[[#This Row],[历史]]="","",SUMPRODUCT((表成绩单[考试日期]=表成绩单[[#This Row],[考试日期]])*(表成绩单[历史]&lt;9E+307)*(表成绩单[历史]&gt;表成绩单[[#This Row],[历史]]))+1)</f>
        <v>278</v>
      </c>
      <c r="W656" s="29" cm="1">
        <f t="array" ref="W656">IF(表成绩单[[#This Row],[总分]]="","",SUMPRODUCT((表成绩单[考试日期]=表成绩单[[#This Row],[考试日期]])*(表成绩单[总分]&lt;9E+307)*(表成绩单[总分]&gt;表成绩单[[#This Row],[总分]]))+1)</f>
        <v>651</v>
      </c>
    </row>
    <row r="657" ht="28" customHeight="1" spans="4:23">
      <c r="D657" s="31">
        <v>45975</v>
      </c>
      <c r="E657" s="29">
        <v>19173238</v>
      </c>
      <c r="F657" s="29" t="s">
        <v>61</v>
      </c>
      <c r="G657" s="29" t="s">
        <v>730</v>
      </c>
      <c r="H657" s="29">
        <v>95</v>
      </c>
      <c r="I657" s="29">
        <v>75</v>
      </c>
      <c r="J657" s="29">
        <v>54</v>
      </c>
      <c r="K657" s="29">
        <v>74</v>
      </c>
      <c r="L657" s="29">
        <v>53</v>
      </c>
      <c r="M657" s="29">
        <v>69</v>
      </c>
      <c r="N657" s="29">
        <v>69</v>
      </c>
      <c r="O657" s="32">
        <v>489</v>
      </c>
      <c r="P657" s="29" cm="1">
        <f t="array" ref="P657">IF(表成绩单[[#This Row],[语文]]="","",SUMPRODUCT((表成绩单[考试日期]=表成绩单[[#This Row],[考试日期]])*(表成绩单[语文]&lt;9E+307)*(表成绩单[语文]&gt;表成绩单[[#This Row],[语文]]))+1)</f>
        <v>420</v>
      </c>
      <c r="Q657" s="29" cm="1">
        <f t="array" ref="Q657">IF(表成绩单[[#This Row],[数学]]="","",SUMPRODUCT((表成绩单[考试日期]=表成绩单[[#This Row],[考试日期]])*(表成绩单[数学]&lt;9E+307)*(表成绩单[数学]&gt;表成绩单[[#This Row],[数学]]))+1)</f>
        <v>663</v>
      </c>
      <c r="R657" s="29" cm="1">
        <f t="array" ref="R657">IF(表成绩单[[#This Row],[英语]]="","",SUMPRODUCT((表成绩单[考试日期]=表成绩单[[#This Row],[考试日期]])*(表成绩单[英语]&lt;9E+307)*(表成绩单[英语]&gt;表成绩单[[#This Row],[英语]]))+1)</f>
        <v>705</v>
      </c>
      <c r="S657" s="29" cm="1">
        <f t="array" ref="S657">IF(表成绩单[[#This Row],[物理]]="","",SUMPRODUCT((表成绩单[考试日期]=表成绩单[[#This Row],[考试日期]])*(表成绩单[物理]&lt;9E+307)*(表成绩单[物理]&gt;表成绩单[[#This Row],[物理]]))+1)</f>
        <v>616</v>
      </c>
      <c r="T657" s="29" cm="1">
        <f t="array" ref="T657">IF(表成绩单[[#This Row],[化学]]="","",SUMPRODUCT((表成绩单[考试日期]=表成绩单[[#This Row],[考试日期]])*(表成绩单[化学]&lt;9E+307)*(表成绩单[化学]&gt;表成绩单[[#This Row],[化学]]))+1)</f>
        <v>715</v>
      </c>
      <c r="U657" s="29" cm="1">
        <f t="array" ref="U657">IF(表成绩单[[#This Row],[政治]]="","",SUMPRODUCT((表成绩单[考试日期]=表成绩单[[#This Row],[考试日期]])*(表成绩单[政治]&lt;9E+307)*(表成绩单[政治]&gt;表成绩单[[#This Row],[政治]]))+1)</f>
        <v>507</v>
      </c>
      <c r="V657" s="29" cm="1">
        <f t="array" ref="V657">IF(表成绩单[[#This Row],[历史]]="","",SUMPRODUCT((表成绩单[考试日期]=表成绩单[[#This Row],[考试日期]])*(表成绩单[历史]&lt;9E+307)*(表成绩单[历史]&gt;表成绩单[[#This Row],[历史]]))+1)</f>
        <v>541</v>
      </c>
      <c r="W657" s="29" cm="1">
        <f t="array" ref="W657">IF(表成绩单[[#This Row],[总分]]="","",SUMPRODUCT((表成绩单[考试日期]=表成绩单[[#This Row],[考试日期]])*(表成绩单[总分]&lt;9E+307)*(表成绩单[总分]&gt;表成绩单[[#This Row],[总分]]))+1)</f>
        <v>653</v>
      </c>
    </row>
    <row r="658" ht="28" customHeight="1" spans="4:23">
      <c r="D658" s="31">
        <v>45975</v>
      </c>
      <c r="E658" s="29">
        <v>26752435</v>
      </c>
      <c r="F658" s="29" t="s">
        <v>59</v>
      </c>
      <c r="G658" s="29" t="s">
        <v>731</v>
      </c>
      <c r="H658" s="29">
        <v>89</v>
      </c>
      <c r="I658" s="29">
        <v>83</v>
      </c>
      <c r="J658" s="29">
        <v>47</v>
      </c>
      <c r="K658" s="29">
        <v>75</v>
      </c>
      <c r="L658" s="29">
        <v>67</v>
      </c>
      <c r="M658" s="29">
        <v>62</v>
      </c>
      <c r="N658" s="29">
        <v>66</v>
      </c>
      <c r="O658" s="32">
        <v>489</v>
      </c>
      <c r="P658" s="29" cm="1">
        <f t="array" ref="P658">IF(表成绩单[[#This Row],[语文]]="","",SUMPRODUCT((表成绩单[考试日期]=表成绩单[[#This Row],[考试日期]])*(表成绩单[语文]&lt;9E+307)*(表成绩单[语文]&gt;表成绩单[[#This Row],[语文]]))+1)</f>
        <v>582</v>
      </c>
      <c r="Q658" s="29" cm="1">
        <f t="array" ref="Q658">IF(表成绩单[[#This Row],[数学]]="","",SUMPRODUCT((表成绩单[考试日期]=表成绩单[[#This Row],[考试日期]])*(表成绩单[数学]&lt;9E+307)*(表成绩单[数学]&gt;表成绩单[[#This Row],[数学]]))+1)</f>
        <v>592</v>
      </c>
      <c r="R658" s="29" cm="1">
        <f t="array" ref="R658">IF(表成绩单[[#This Row],[英语]]="","",SUMPRODUCT((表成绩单[考试日期]=表成绩单[[#This Row],[考试日期]])*(表成绩单[英语]&lt;9E+307)*(表成绩单[英语]&gt;表成绩单[[#This Row],[英语]]))+1)</f>
        <v>739</v>
      </c>
      <c r="S658" s="29" cm="1">
        <f t="array" ref="S658">IF(表成绩单[[#This Row],[物理]]="","",SUMPRODUCT((表成绩单[考试日期]=表成绩单[[#This Row],[考试日期]])*(表成绩单[物理]&lt;9E+307)*(表成绩单[物理]&gt;表成绩单[[#This Row],[物理]]))+1)</f>
        <v>601</v>
      </c>
      <c r="T658" s="29" cm="1">
        <f t="array" ref="T658">IF(表成绩单[[#This Row],[化学]]="","",SUMPRODUCT((表成绩单[考试日期]=表成绩单[[#This Row],[考试日期]])*(表成绩单[化学]&lt;9E+307)*(表成绩单[化学]&gt;表成绩单[[#This Row],[化学]]))+1)</f>
        <v>524</v>
      </c>
      <c r="U658" s="29" cm="1">
        <f t="array" ref="U658">IF(表成绩单[[#This Row],[政治]]="","",SUMPRODUCT((表成绩单[考试日期]=表成绩单[[#This Row],[考试日期]])*(表成绩单[政治]&lt;9E+307)*(表成绩单[政治]&gt;表成绩单[[#This Row],[政治]]))+1)</f>
        <v>628</v>
      </c>
      <c r="V658" s="29" cm="1">
        <f t="array" ref="V658">IF(表成绩单[[#This Row],[历史]]="","",SUMPRODUCT((表成绩单[考试日期]=表成绩单[[#This Row],[考试日期]])*(表成绩单[历史]&lt;9E+307)*(表成绩单[历史]&gt;表成绩单[[#This Row],[历史]]))+1)</f>
        <v>622</v>
      </c>
      <c r="W658" s="29" cm="1">
        <f t="array" ref="W658">IF(表成绩单[[#This Row],[总分]]="","",SUMPRODUCT((表成绩单[考试日期]=表成绩单[[#This Row],[考试日期]])*(表成绩单[总分]&lt;9E+307)*(表成绩单[总分]&gt;表成绩单[[#This Row],[总分]]))+1)</f>
        <v>653</v>
      </c>
    </row>
    <row r="659" ht="28" customHeight="1" spans="4:23">
      <c r="D659" s="31">
        <v>45975</v>
      </c>
      <c r="E659" s="29">
        <v>19175598</v>
      </c>
      <c r="F659" s="29" t="s">
        <v>57</v>
      </c>
      <c r="G659" s="29" t="s">
        <v>732</v>
      </c>
      <c r="H659" s="29">
        <v>81</v>
      </c>
      <c r="I659" s="29">
        <v>81</v>
      </c>
      <c r="J659" s="29">
        <v>68.5</v>
      </c>
      <c r="K659" s="29">
        <v>71</v>
      </c>
      <c r="L659" s="29">
        <v>67</v>
      </c>
      <c r="M659" s="29">
        <v>56</v>
      </c>
      <c r="N659" s="29">
        <v>63</v>
      </c>
      <c r="O659" s="32">
        <v>487.5</v>
      </c>
      <c r="P659" s="29" cm="1">
        <f t="array" ref="P659">IF(表成绩单[[#This Row],[语文]]="","",SUMPRODUCT((表成绩单[考试日期]=表成绩单[[#This Row],[考试日期]])*(表成绩单[语文]&lt;9E+307)*(表成绩单[语文]&gt;表成绩单[[#This Row],[语文]]))+1)</f>
        <v>688</v>
      </c>
      <c r="Q659" s="29" cm="1">
        <f t="array" ref="Q659">IF(表成绩单[[#This Row],[数学]]="","",SUMPRODUCT((表成绩单[考试日期]=表成绩单[[#This Row],[考试日期]])*(表成绩单[数学]&lt;9E+307)*(表成绩单[数学]&gt;表成绩单[[#This Row],[数学]]))+1)</f>
        <v>620</v>
      </c>
      <c r="R659" s="29" cm="1">
        <f t="array" ref="R659">IF(表成绩单[[#This Row],[英语]]="","",SUMPRODUCT((表成绩单[考试日期]=表成绩单[[#This Row],[考试日期]])*(表成绩单[英语]&lt;9E+307)*(表成绩单[英语]&gt;表成绩单[[#This Row],[英语]]))+1)</f>
        <v>571</v>
      </c>
      <c r="S659" s="29" cm="1">
        <f t="array" ref="S659">IF(表成绩单[[#This Row],[物理]]="","",SUMPRODUCT((表成绩单[考试日期]=表成绩单[[#This Row],[考试日期]])*(表成绩单[物理]&lt;9E+307)*(表成绩单[物理]&gt;表成绩单[[#This Row],[物理]]))+1)</f>
        <v>648</v>
      </c>
      <c r="T659" s="29" cm="1">
        <f t="array" ref="T659">IF(表成绩单[[#This Row],[化学]]="","",SUMPRODUCT((表成绩单[考试日期]=表成绩单[[#This Row],[考试日期]])*(表成绩单[化学]&lt;9E+307)*(表成绩单[化学]&gt;表成绩单[[#This Row],[化学]]))+1)</f>
        <v>524</v>
      </c>
      <c r="U659" s="29" cm="1">
        <f t="array" ref="U659">IF(表成绩单[[#This Row],[政治]]="","",SUMPRODUCT((表成绩单[考试日期]=表成绩单[[#This Row],[考试日期]])*(表成绩单[政治]&lt;9E+307)*(表成绩单[政治]&gt;表成绩单[[#This Row],[政治]]))+1)</f>
        <v>706</v>
      </c>
      <c r="V659" s="29" cm="1">
        <f t="array" ref="V659">IF(表成绩单[[#This Row],[历史]]="","",SUMPRODUCT((表成绩单[考试日期]=表成绩单[[#This Row],[考试日期]])*(表成绩单[历史]&lt;9E+307)*(表成绩单[历史]&gt;表成绩单[[#This Row],[历史]]))+1)</f>
        <v>675</v>
      </c>
      <c r="W659" s="29" cm="1">
        <f t="array" ref="W659">IF(表成绩单[[#This Row],[总分]]="","",SUMPRODUCT((表成绩单[考试日期]=表成绩单[[#This Row],[考试日期]])*(表成绩单[总分]&lt;9E+307)*(表成绩单[总分]&gt;表成绩单[[#This Row],[总分]]))+1)</f>
        <v>655</v>
      </c>
    </row>
    <row r="660" ht="28" customHeight="1" spans="4:23">
      <c r="D660" s="31">
        <v>45975</v>
      </c>
      <c r="E660" s="29">
        <v>19178578</v>
      </c>
      <c r="F660" s="29" t="s">
        <v>64</v>
      </c>
      <c r="G660" s="29" t="s">
        <v>733</v>
      </c>
      <c r="H660" s="29">
        <v>80</v>
      </c>
      <c r="I660" s="29">
        <v>96</v>
      </c>
      <c r="J660" s="29">
        <v>58.5</v>
      </c>
      <c r="K660" s="29">
        <v>82</v>
      </c>
      <c r="L660" s="29">
        <v>52</v>
      </c>
      <c r="M660" s="29">
        <v>61</v>
      </c>
      <c r="N660" s="29">
        <v>58</v>
      </c>
      <c r="O660" s="32">
        <v>487.5</v>
      </c>
      <c r="P660" s="29" cm="1">
        <f t="array" ref="P660">IF(表成绩单[[#This Row],[语文]]="","",SUMPRODUCT((表成绩单[考试日期]=表成绩单[[#This Row],[考试日期]])*(表成绩单[语文]&lt;9E+307)*(表成绩单[语文]&gt;表成绩单[[#This Row],[语文]]))+1)</f>
        <v>702</v>
      </c>
      <c r="Q660" s="29" cm="1">
        <f t="array" ref="Q660">IF(表成绩单[[#This Row],[数学]]="","",SUMPRODUCT((表成绩单[考试日期]=表成绩单[[#This Row],[考试日期]])*(表成绩单[数学]&lt;9E+307)*(表成绩单[数学]&gt;表成绩单[[#This Row],[数学]]))+1)</f>
        <v>413</v>
      </c>
      <c r="R660" s="29" cm="1">
        <f t="array" ref="R660">IF(表成绩单[[#This Row],[英语]]="","",SUMPRODUCT((表成绩单[考试日期]=表成绩单[[#This Row],[考试日期]])*(表成绩单[英语]&lt;9E+307)*(表成绩单[英语]&gt;表成绩单[[#This Row],[英语]]))+1)</f>
        <v>680</v>
      </c>
      <c r="S660" s="29" cm="1">
        <f t="array" ref="S660">IF(表成绩单[[#This Row],[物理]]="","",SUMPRODUCT((表成绩单[考试日期]=表成绩单[[#This Row],[考试日期]])*(表成绩单[物理]&lt;9E+307)*(表成绩单[物理]&gt;表成绩单[[#This Row],[物理]]))+1)</f>
        <v>433</v>
      </c>
      <c r="T660" s="29" cm="1">
        <f t="array" ref="T660">IF(表成绩单[[#This Row],[化学]]="","",SUMPRODUCT((表成绩单[考试日期]=表成绩单[[#This Row],[考试日期]])*(表成绩单[化学]&lt;9E+307)*(表成绩单[化学]&gt;表成绩单[[#This Row],[化学]]))+1)</f>
        <v>723</v>
      </c>
      <c r="U660" s="29" cm="1">
        <f t="array" ref="U660">IF(表成绩单[[#This Row],[政治]]="","",SUMPRODUCT((表成绩单[考试日期]=表成绩单[[#This Row],[考试日期]])*(表成绩单[政治]&lt;9E+307)*(表成绩单[政治]&gt;表成绩单[[#This Row],[政治]]))+1)</f>
        <v>644</v>
      </c>
      <c r="V660" s="29" cm="1">
        <f t="array" ref="V660">IF(表成绩单[[#This Row],[历史]]="","",SUMPRODUCT((表成绩单[考试日期]=表成绩单[[#This Row],[考试日期]])*(表成绩单[历史]&lt;9E+307)*(表成绩单[历史]&gt;表成绩单[[#This Row],[历史]]))+1)</f>
        <v>735</v>
      </c>
      <c r="W660" s="29" cm="1">
        <f t="array" ref="W660">IF(表成绩单[[#This Row],[总分]]="","",SUMPRODUCT((表成绩单[考试日期]=表成绩单[[#This Row],[考试日期]])*(表成绩单[总分]&lt;9E+307)*(表成绩单[总分]&gt;表成绩单[[#This Row],[总分]]))+1)</f>
        <v>655</v>
      </c>
    </row>
    <row r="661" ht="28" customHeight="1" spans="4:23">
      <c r="D661" s="31">
        <v>45975</v>
      </c>
      <c r="E661" s="29">
        <v>19173805</v>
      </c>
      <c r="F661" s="29" t="s">
        <v>65</v>
      </c>
      <c r="G661" s="29" t="s">
        <v>734</v>
      </c>
      <c r="H661" s="29">
        <v>81</v>
      </c>
      <c r="I661" s="29">
        <v>69</v>
      </c>
      <c r="J661" s="29">
        <v>70.5</v>
      </c>
      <c r="K661" s="29">
        <v>66</v>
      </c>
      <c r="L661" s="29">
        <v>69</v>
      </c>
      <c r="M661" s="29">
        <v>66</v>
      </c>
      <c r="N661" s="29">
        <v>63</v>
      </c>
      <c r="O661" s="32">
        <v>484.5</v>
      </c>
      <c r="P661" s="29" cm="1">
        <f t="array" ref="P661">IF(表成绩单[[#This Row],[语文]]="","",SUMPRODUCT((表成绩单[考试日期]=表成绩单[[#This Row],[考试日期]])*(表成绩单[语文]&lt;9E+307)*(表成绩单[语文]&gt;表成绩单[[#This Row],[语文]]))+1)</f>
        <v>688</v>
      </c>
      <c r="Q661" s="29" cm="1">
        <f t="array" ref="Q661">IF(表成绩单[[#This Row],[数学]]="","",SUMPRODUCT((表成绩单[考试日期]=表成绩单[[#This Row],[考试日期]])*(表成绩单[数学]&lt;9E+307)*(表成绩单[数学]&gt;表成绩单[[#This Row],[数学]]))+1)</f>
        <v>690</v>
      </c>
      <c r="R661" s="29" cm="1">
        <f t="array" ref="R661">IF(表成绩单[[#This Row],[英语]]="","",SUMPRODUCT((表成绩单[考试日期]=表成绩单[[#This Row],[考试日期]])*(表成绩单[英语]&lt;9E+307)*(表成绩单[英语]&gt;表成绩单[[#This Row],[英语]]))+1)</f>
        <v>545</v>
      </c>
      <c r="S661" s="29" cm="1">
        <f t="array" ref="S661">IF(表成绩单[[#This Row],[物理]]="","",SUMPRODUCT((表成绩单[考试日期]=表成绩单[[#This Row],[考试日期]])*(表成绩单[物理]&lt;9E+307)*(表成绩单[物理]&gt;表成绩单[[#This Row],[物理]]))+1)</f>
        <v>681</v>
      </c>
      <c r="T661" s="29" cm="1">
        <f t="array" ref="T661">IF(表成绩单[[#This Row],[化学]]="","",SUMPRODUCT((表成绩单[考试日期]=表成绩单[[#This Row],[考试日期]])*(表成绩单[化学]&lt;9E+307)*(表成绩单[化学]&gt;表成绩单[[#This Row],[化学]]))+1)</f>
        <v>478</v>
      </c>
      <c r="U661" s="29" cm="1">
        <f t="array" ref="U661">IF(表成绩单[[#This Row],[政治]]="","",SUMPRODUCT((表成绩单[考试日期]=表成绩单[[#This Row],[考试日期]])*(表成绩单[政治]&lt;9E+307)*(表成绩单[政治]&gt;表成绩单[[#This Row],[政治]]))+1)</f>
        <v>555</v>
      </c>
      <c r="V661" s="29" cm="1">
        <f t="array" ref="V661">IF(表成绩单[[#This Row],[历史]]="","",SUMPRODUCT((表成绩单[考试日期]=表成绩单[[#This Row],[考试日期]])*(表成绩单[历史]&lt;9E+307)*(表成绩单[历史]&gt;表成绩单[[#This Row],[历史]]))+1)</f>
        <v>675</v>
      </c>
      <c r="W661" s="29" cm="1">
        <f t="array" ref="W661">IF(表成绩单[[#This Row],[总分]]="","",SUMPRODUCT((表成绩单[考试日期]=表成绩单[[#This Row],[考试日期]])*(表成绩单[总分]&lt;9E+307)*(表成绩单[总分]&gt;表成绩单[[#This Row],[总分]]))+1)</f>
        <v>657</v>
      </c>
    </row>
    <row r="662" ht="28" customHeight="1" spans="4:23">
      <c r="D662" s="31">
        <v>45975</v>
      </c>
      <c r="E662" s="29">
        <v>19175981</v>
      </c>
      <c r="F662" s="29" t="s">
        <v>59</v>
      </c>
      <c r="G662" s="29" t="s">
        <v>735</v>
      </c>
      <c r="H662" s="29">
        <v>91</v>
      </c>
      <c r="I662" s="29">
        <v>73</v>
      </c>
      <c r="J662" s="29">
        <v>70.5</v>
      </c>
      <c r="K662" s="29">
        <v>64</v>
      </c>
      <c r="L662" s="29">
        <v>63</v>
      </c>
      <c r="M662" s="29">
        <v>64</v>
      </c>
      <c r="N662" s="29">
        <v>59</v>
      </c>
      <c r="O662" s="32">
        <v>484.5</v>
      </c>
      <c r="P662" s="29" cm="1">
        <f t="array" ref="P662">IF(表成绩单[[#This Row],[语文]]="","",SUMPRODUCT((表成绩单[考试日期]=表成绩单[[#This Row],[考试日期]])*(表成绩单[语文]&lt;9E+307)*(表成绩单[语文]&gt;表成绩单[[#This Row],[语文]]))+1)</f>
        <v>536</v>
      </c>
      <c r="Q662" s="29" cm="1">
        <f t="array" ref="Q662">IF(表成绩单[[#This Row],[数学]]="","",SUMPRODUCT((表成绩单[考试日期]=表成绩单[[#This Row],[考试日期]])*(表成绩单[数学]&lt;9E+307)*(表成绩单[数学]&gt;表成绩单[[#This Row],[数学]]))+1)</f>
        <v>671</v>
      </c>
      <c r="R662" s="29" cm="1">
        <f t="array" ref="R662">IF(表成绩单[[#This Row],[英语]]="","",SUMPRODUCT((表成绩单[考试日期]=表成绩单[[#This Row],[考试日期]])*(表成绩单[英语]&lt;9E+307)*(表成绩单[英语]&gt;表成绩单[[#This Row],[英语]]))+1)</f>
        <v>545</v>
      </c>
      <c r="S662" s="29" cm="1">
        <f t="array" ref="S662">IF(表成绩单[[#This Row],[物理]]="","",SUMPRODUCT((表成绩单[考试日期]=表成绩单[[#This Row],[考试日期]])*(表成绩单[物理]&lt;9E+307)*(表成绩单[物理]&gt;表成绩单[[#This Row],[物理]]))+1)</f>
        <v>697</v>
      </c>
      <c r="T662" s="29" cm="1">
        <f t="array" ref="T662">IF(表成绩单[[#This Row],[化学]]="","",SUMPRODUCT((表成绩单[考试日期]=表成绩单[[#This Row],[考试日期]])*(表成绩单[化学]&lt;9E+307)*(表成绩单[化学]&gt;表成绩单[[#This Row],[化学]]))+1)</f>
        <v>588</v>
      </c>
      <c r="U662" s="29" cm="1">
        <f t="array" ref="U662">IF(表成绩单[[#This Row],[政治]]="","",SUMPRODUCT((表成绩单[考试日期]=表成绩单[[#This Row],[考试日期]])*(表成绩单[政治]&lt;9E+307)*(表成绩单[政治]&gt;表成绩单[[#This Row],[政治]]))+1)</f>
        <v>599</v>
      </c>
      <c r="V662" s="29" cm="1">
        <f t="array" ref="V662">IF(表成绩单[[#This Row],[历史]]="","",SUMPRODUCT((表成绩单[考试日期]=表成绩单[[#This Row],[考试日期]])*(表成绩单[历史]&lt;9E+307)*(表成绩单[历史]&gt;表成绩单[[#This Row],[历史]]))+1)</f>
        <v>724</v>
      </c>
      <c r="W662" s="29" cm="1">
        <f t="array" ref="W662">IF(表成绩单[[#This Row],[总分]]="","",SUMPRODUCT((表成绩单[考试日期]=表成绩单[[#This Row],[考试日期]])*(表成绩单[总分]&lt;9E+307)*(表成绩单[总分]&gt;表成绩单[[#This Row],[总分]]))+1)</f>
        <v>657</v>
      </c>
    </row>
    <row r="663" ht="28" customHeight="1" spans="4:23">
      <c r="D663" s="31">
        <v>45975</v>
      </c>
      <c r="E663" s="29">
        <v>19172663</v>
      </c>
      <c r="F663" s="29" t="s">
        <v>60</v>
      </c>
      <c r="G663" s="29" t="s">
        <v>736</v>
      </c>
      <c r="H663" s="29">
        <v>79</v>
      </c>
      <c r="I663" s="29">
        <v>87</v>
      </c>
      <c r="J663" s="29">
        <v>47</v>
      </c>
      <c r="K663" s="29">
        <v>84</v>
      </c>
      <c r="L663" s="29">
        <v>62</v>
      </c>
      <c r="M663" s="29">
        <v>58</v>
      </c>
      <c r="N663" s="29">
        <v>67</v>
      </c>
      <c r="O663" s="32">
        <v>484</v>
      </c>
      <c r="P663" s="29" cm="1">
        <f t="array" ref="P663">IF(表成绩单[[#This Row],[语文]]="","",SUMPRODUCT((表成绩单[考试日期]=表成绩单[[#This Row],[考试日期]])*(表成绩单[语文]&lt;9E+307)*(表成绩单[语文]&gt;表成绩单[[#This Row],[语文]]))+1)</f>
        <v>716</v>
      </c>
      <c r="Q663" s="29" cm="1">
        <f t="array" ref="Q663">IF(表成绩单[[#This Row],[数学]]="","",SUMPRODUCT((表成绩单[考试日期]=表成绩单[[#This Row],[考试日期]])*(表成绩单[数学]&lt;9E+307)*(表成绩单[数学]&gt;表成绩单[[#This Row],[数学]]))+1)</f>
        <v>547</v>
      </c>
      <c r="R663" s="29" cm="1">
        <f t="array" ref="R663">IF(表成绩单[[#This Row],[英语]]="","",SUMPRODUCT((表成绩单[考试日期]=表成绩单[[#This Row],[考试日期]])*(表成绩单[英语]&lt;9E+307)*(表成绩单[英语]&gt;表成绩单[[#This Row],[英语]]))+1)</f>
        <v>739</v>
      </c>
      <c r="S663" s="29" cm="1">
        <f t="array" ref="S663">IF(表成绩单[[#This Row],[物理]]="","",SUMPRODUCT((表成绩单[考试日期]=表成绩单[[#This Row],[考试日期]])*(表成绩单[物理]&lt;9E+307)*(表成绩单[物理]&gt;表成绩单[[#This Row],[物理]]))+1)</f>
        <v>344</v>
      </c>
      <c r="T663" s="29" cm="1">
        <f t="array" ref="T663">IF(表成绩单[[#This Row],[化学]]="","",SUMPRODUCT((表成绩单[考试日期]=表成绩单[[#This Row],[考试日期]])*(表成绩单[化学]&lt;9E+307)*(表成绩单[化学]&gt;表成绩单[[#This Row],[化学]]))+1)</f>
        <v>605</v>
      </c>
      <c r="U663" s="29" cm="1">
        <f t="array" ref="U663">IF(表成绩单[[#This Row],[政治]]="","",SUMPRODUCT((表成绩单[考试日期]=表成绩单[[#This Row],[考试日期]])*(表成绩单[政治]&lt;9E+307)*(表成绩单[政治]&gt;表成绩单[[#This Row],[政治]]))+1)</f>
        <v>691</v>
      </c>
      <c r="V663" s="29" cm="1">
        <f t="array" ref="V663">IF(表成绩单[[#This Row],[历史]]="","",SUMPRODUCT((表成绩单[考试日期]=表成绩单[[#This Row],[考试日期]])*(表成绩单[历史]&lt;9E+307)*(表成绩单[历史]&gt;表成绩单[[#This Row],[历史]]))+1)</f>
        <v>597</v>
      </c>
      <c r="W663" s="29" cm="1">
        <f t="array" ref="W663">IF(表成绩单[[#This Row],[总分]]="","",SUMPRODUCT((表成绩单[考试日期]=表成绩单[[#This Row],[考试日期]])*(表成绩单[总分]&lt;9E+307)*(表成绩单[总分]&gt;表成绩单[[#This Row],[总分]]))+1)</f>
        <v>659</v>
      </c>
    </row>
    <row r="664" ht="28" customHeight="1" spans="4:23">
      <c r="D664" s="31">
        <v>45975</v>
      </c>
      <c r="E664" s="29">
        <v>19178599</v>
      </c>
      <c r="F664" s="29" t="s">
        <v>64</v>
      </c>
      <c r="G664" s="29" t="s">
        <v>737</v>
      </c>
      <c r="H664" s="29">
        <v>80</v>
      </c>
      <c r="I664" s="29">
        <v>83</v>
      </c>
      <c r="J664" s="29">
        <v>65</v>
      </c>
      <c r="K664" s="29">
        <v>76</v>
      </c>
      <c r="L664" s="29">
        <v>56</v>
      </c>
      <c r="M664" s="29">
        <v>66</v>
      </c>
      <c r="N664" s="29">
        <v>57</v>
      </c>
      <c r="O664" s="32">
        <v>483</v>
      </c>
      <c r="P664" s="29" cm="1">
        <f t="array" ref="P664">IF(表成绩单[[#This Row],[语文]]="","",SUMPRODUCT((表成绩单[考试日期]=表成绩单[[#This Row],[考试日期]])*(表成绩单[语文]&lt;9E+307)*(表成绩单[语文]&gt;表成绩单[[#This Row],[语文]]))+1)</f>
        <v>702</v>
      </c>
      <c r="Q664" s="29" cm="1">
        <f t="array" ref="Q664">IF(表成绩单[[#This Row],[数学]]="","",SUMPRODUCT((表成绩单[考试日期]=表成绩单[[#This Row],[考试日期]])*(表成绩单[数学]&lt;9E+307)*(表成绩单[数学]&gt;表成绩单[[#This Row],[数学]]))+1)</f>
        <v>592</v>
      </c>
      <c r="R664" s="29" cm="1">
        <f t="array" ref="R664">IF(表成绩单[[#This Row],[英语]]="","",SUMPRODUCT((表成绩单[考试日期]=表成绩单[[#This Row],[考试日期]])*(表成绩单[英语]&lt;9E+307)*(表成绩单[英语]&gt;表成绩单[[#This Row],[英语]]))+1)</f>
        <v>616</v>
      </c>
      <c r="S664" s="29" cm="1">
        <f t="array" ref="S664">IF(表成绩单[[#This Row],[物理]]="","",SUMPRODUCT((表成绩单[考试日期]=表成绩单[[#This Row],[考试日期]])*(表成绩单[物理]&lt;9E+307)*(表成绩单[物理]&gt;表成绩单[[#This Row],[物理]]))+1)</f>
        <v>589</v>
      </c>
      <c r="T664" s="29" cm="1">
        <f t="array" ref="T664">IF(表成绩单[[#This Row],[化学]]="","",SUMPRODUCT((表成绩单[考试日期]=表成绩单[[#This Row],[考试日期]])*(表成绩单[化学]&lt;9E+307)*(表成绩单[化学]&gt;表成绩单[[#This Row],[化学]]))+1)</f>
        <v>680</v>
      </c>
      <c r="U664" s="29" cm="1">
        <f t="array" ref="U664">IF(表成绩单[[#This Row],[政治]]="","",SUMPRODUCT((表成绩单[考试日期]=表成绩单[[#This Row],[考试日期]])*(表成绩单[政治]&lt;9E+307)*(表成绩单[政治]&gt;表成绩单[[#This Row],[政治]]))+1)</f>
        <v>555</v>
      </c>
      <c r="V664" s="29" cm="1">
        <f t="array" ref="V664">IF(表成绩单[[#This Row],[历史]]="","",SUMPRODUCT((表成绩单[考试日期]=表成绩单[[#This Row],[考试日期]])*(表成绩单[历史]&lt;9E+307)*(表成绩单[历史]&gt;表成绩单[[#This Row],[历史]]))+1)</f>
        <v>740</v>
      </c>
      <c r="W664" s="29" cm="1">
        <f t="array" ref="W664">IF(表成绩单[[#This Row],[总分]]="","",SUMPRODUCT((表成绩单[考试日期]=表成绩单[[#This Row],[考试日期]])*(表成绩单[总分]&lt;9E+307)*(表成绩单[总分]&gt;表成绩单[[#This Row],[总分]]))+1)</f>
        <v>660</v>
      </c>
    </row>
    <row r="665" ht="28" customHeight="1" spans="4:23">
      <c r="D665" s="31">
        <v>45975</v>
      </c>
      <c r="E665" s="29">
        <v>19173273</v>
      </c>
      <c r="F665" s="29" t="s">
        <v>61</v>
      </c>
      <c r="G665" s="29" t="s">
        <v>738</v>
      </c>
      <c r="H665" s="29">
        <v>79</v>
      </c>
      <c r="I665" s="29">
        <v>72</v>
      </c>
      <c r="J665" s="29">
        <v>44.5</v>
      </c>
      <c r="K665" s="29">
        <v>86</v>
      </c>
      <c r="L665" s="29">
        <v>69</v>
      </c>
      <c r="M665" s="29">
        <v>62</v>
      </c>
      <c r="N665" s="29">
        <v>69</v>
      </c>
      <c r="O665" s="32">
        <v>481.5</v>
      </c>
      <c r="P665" s="29" cm="1">
        <f t="array" ref="P665">IF(表成绩单[[#This Row],[语文]]="","",SUMPRODUCT((表成绩单[考试日期]=表成绩单[[#This Row],[考试日期]])*(表成绩单[语文]&lt;9E+307)*(表成绩单[语文]&gt;表成绩单[[#This Row],[语文]]))+1)</f>
        <v>716</v>
      </c>
      <c r="Q665" s="29" cm="1">
        <f t="array" ref="Q665">IF(表成绩单[[#This Row],[数学]]="","",SUMPRODUCT((表成绩单[考试日期]=表成绩单[[#This Row],[考试日期]])*(表成绩单[数学]&lt;9E+307)*(表成绩单[数学]&gt;表成绩单[[#This Row],[数学]]))+1)</f>
        <v>674</v>
      </c>
      <c r="R665" s="29" cm="1">
        <f t="array" ref="R665">IF(表成绩单[[#This Row],[英语]]="","",SUMPRODUCT((表成绩单[考试日期]=表成绩单[[#This Row],[考试日期]])*(表成绩单[英语]&lt;9E+307)*(表成绩单[英语]&gt;表成绩单[[#This Row],[英语]]))+1)</f>
        <v>748</v>
      </c>
      <c r="S665" s="29" cm="1">
        <f t="array" ref="S665">IF(表成绩单[[#This Row],[物理]]="","",SUMPRODUCT((表成绩单[考试日期]=表成绩单[[#This Row],[考试日期]])*(表成绩单[物理]&lt;9E+307)*(表成绩单[物理]&gt;表成绩单[[#This Row],[物理]]))+1)</f>
        <v>187</v>
      </c>
      <c r="T665" s="29" cm="1">
        <f t="array" ref="T665">IF(表成绩单[[#This Row],[化学]]="","",SUMPRODUCT((表成绩单[考试日期]=表成绩单[[#This Row],[考试日期]])*(表成绩单[化学]&lt;9E+307)*(表成绩单[化学]&gt;表成绩单[[#This Row],[化学]]))+1)</f>
        <v>478</v>
      </c>
      <c r="U665" s="29" cm="1">
        <f t="array" ref="U665">IF(表成绩单[[#This Row],[政治]]="","",SUMPRODUCT((表成绩单[考试日期]=表成绩单[[#This Row],[考试日期]])*(表成绩单[政治]&lt;9E+307)*(表成绩单[政治]&gt;表成绩单[[#This Row],[政治]]))+1)</f>
        <v>628</v>
      </c>
      <c r="V665" s="29" cm="1">
        <f t="array" ref="V665">IF(表成绩单[[#This Row],[历史]]="","",SUMPRODUCT((表成绩单[考试日期]=表成绩单[[#This Row],[考试日期]])*(表成绩单[历史]&lt;9E+307)*(表成绩单[历史]&gt;表成绩单[[#This Row],[历史]]))+1)</f>
        <v>541</v>
      </c>
      <c r="W665" s="29" cm="1">
        <f t="array" ref="W665">IF(表成绩单[[#This Row],[总分]]="","",SUMPRODUCT((表成绩单[考试日期]=表成绩单[[#This Row],[考试日期]])*(表成绩单[总分]&lt;9E+307)*(表成绩单[总分]&gt;表成绩单[[#This Row],[总分]]))+1)</f>
        <v>661</v>
      </c>
    </row>
    <row r="666" ht="28" customHeight="1" spans="4:23">
      <c r="D666" s="31">
        <v>45975</v>
      </c>
      <c r="E666" s="29">
        <v>19172658</v>
      </c>
      <c r="F666" s="29" t="s">
        <v>60</v>
      </c>
      <c r="G666" s="29" t="s">
        <v>739</v>
      </c>
      <c r="H666" s="29">
        <v>98</v>
      </c>
      <c r="I666" s="29">
        <v>63</v>
      </c>
      <c r="J666" s="29">
        <v>65</v>
      </c>
      <c r="K666" s="29">
        <v>66</v>
      </c>
      <c r="L666" s="29">
        <v>51</v>
      </c>
      <c r="M666" s="29">
        <v>72</v>
      </c>
      <c r="N666" s="29">
        <v>66</v>
      </c>
      <c r="O666" s="32">
        <v>481</v>
      </c>
      <c r="P666" s="29" cm="1">
        <f t="array" ref="P666">IF(表成绩单[[#This Row],[语文]]="","",SUMPRODUCT((表成绩单[考试日期]=表成绩单[[#This Row],[考试日期]])*(表成绩单[语文]&lt;9E+307)*(表成绩单[语文]&gt;表成绩单[[#This Row],[语文]]))+1)</f>
        <v>305</v>
      </c>
      <c r="Q666" s="29" cm="1">
        <f t="array" ref="Q666">IF(表成绩单[[#This Row],[数学]]="","",SUMPRODUCT((表成绩单[考试日期]=表成绩单[[#This Row],[考试日期]])*(表成绩单[数学]&lt;9E+307)*(表成绩单[数学]&gt;表成绩单[[#This Row],[数学]]))+1)</f>
        <v>717</v>
      </c>
      <c r="R666" s="29" cm="1">
        <f t="array" ref="R666">IF(表成绩单[[#This Row],[英语]]="","",SUMPRODUCT((表成绩单[考试日期]=表成绩单[[#This Row],[考试日期]])*(表成绩单[英语]&lt;9E+307)*(表成绩单[英语]&gt;表成绩单[[#This Row],[英语]]))+1)</f>
        <v>616</v>
      </c>
      <c r="S666" s="29" cm="1">
        <f t="array" ref="S666">IF(表成绩单[[#This Row],[物理]]="","",SUMPRODUCT((表成绩单[考试日期]=表成绩单[[#This Row],[考试日期]])*(表成绩单[物理]&lt;9E+307)*(表成绩单[物理]&gt;表成绩单[[#This Row],[物理]]))+1)</f>
        <v>681</v>
      </c>
      <c r="T666" s="29" cm="1">
        <f t="array" ref="T666">IF(表成绩单[[#This Row],[化学]]="","",SUMPRODUCT((表成绩单[考试日期]=表成绩单[[#This Row],[考试日期]])*(表成绩单[化学]&lt;9E+307)*(表成绩单[化学]&gt;表成绩单[[#This Row],[化学]]))+1)</f>
        <v>730</v>
      </c>
      <c r="U666" s="29" cm="1">
        <f t="array" ref="U666">IF(表成绩单[[#This Row],[政治]]="","",SUMPRODUCT((表成绩单[考试日期]=表成绩单[[#This Row],[考试日期]])*(表成绩单[政治]&lt;9E+307)*(表成绩单[政治]&gt;表成绩单[[#This Row],[政治]]))+1)</f>
        <v>448</v>
      </c>
      <c r="V666" s="29" cm="1">
        <f t="array" ref="V666">IF(表成绩单[[#This Row],[历史]]="","",SUMPRODUCT((表成绩单[考试日期]=表成绩单[[#This Row],[考试日期]])*(表成绩单[历史]&lt;9E+307)*(表成绩单[历史]&gt;表成绩单[[#This Row],[历史]]))+1)</f>
        <v>622</v>
      </c>
      <c r="W666" s="29" cm="1">
        <f t="array" ref="W666">IF(表成绩单[[#This Row],[总分]]="","",SUMPRODUCT((表成绩单[考试日期]=表成绩单[[#This Row],[考试日期]])*(表成绩单[总分]&lt;9E+307)*(表成绩单[总分]&gt;表成绩单[[#This Row],[总分]]))+1)</f>
        <v>662</v>
      </c>
    </row>
    <row r="667" ht="28" customHeight="1" spans="4:23">
      <c r="D667" s="31">
        <v>45975</v>
      </c>
      <c r="E667" s="29">
        <v>19177597</v>
      </c>
      <c r="F667" s="29" t="s">
        <v>58</v>
      </c>
      <c r="G667" s="29" t="s">
        <v>740</v>
      </c>
      <c r="H667" s="29">
        <v>80</v>
      </c>
      <c r="I667" s="29">
        <v>70</v>
      </c>
      <c r="J667" s="29">
        <v>51.5</v>
      </c>
      <c r="K667" s="29">
        <v>82</v>
      </c>
      <c r="L667" s="29">
        <v>61</v>
      </c>
      <c r="M667" s="29">
        <v>73</v>
      </c>
      <c r="N667" s="29">
        <v>63</v>
      </c>
      <c r="O667" s="32">
        <v>480.5</v>
      </c>
      <c r="P667" s="29" cm="1">
        <f t="array" ref="P667">IF(表成绩单[[#This Row],[语文]]="","",SUMPRODUCT((表成绩单[考试日期]=表成绩单[[#This Row],[考试日期]])*(表成绩单[语文]&lt;9E+307)*(表成绩单[语文]&gt;表成绩单[[#This Row],[语文]]))+1)</f>
        <v>702</v>
      </c>
      <c r="Q667" s="29" cm="1">
        <f t="array" ref="Q667">IF(表成绩单[[#This Row],[数学]]="","",SUMPRODUCT((表成绩单[考试日期]=表成绩单[[#This Row],[考试日期]])*(表成绩单[数学]&lt;9E+307)*(表成绩单[数学]&gt;表成绩单[[#This Row],[数学]]))+1)</f>
        <v>683</v>
      </c>
      <c r="R667" s="29" cm="1">
        <f t="array" ref="R667">IF(表成绩单[[#This Row],[英语]]="","",SUMPRODUCT((表成绩单[考试日期]=表成绩单[[#This Row],[考试日期]])*(表成绩单[英语]&lt;9E+307)*(表成绩单[英语]&gt;表成绩单[[#This Row],[英语]]))+1)</f>
        <v>716</v>
      </c>
      <c r="S667" s="29" cm="1">
        <f t="array" ref="S667">IF(表成绩单[[#This Row],[物理]]="","",SUMPRODUCT((表成绩单[考试日期]=表成绩单[[#This Row],[考试日期]])*(表成绩单[物理]&lt;9E+307)*(表成绩单[物理]&gt;表成绩单[[#This Row],[物理]]))+1)</f>
        <v>433</v>
      </c>
      <c r="T667" s="29" cm="1">
        <f t="array" ref="T667">IF(表成绩单[[#This Row],[化学]]="","",SUMPRODUCT((表成绩单[考试日期]=表成绩单[[#This Row],[考试日期]])*(表成绩单[化学]&lt;9E+307)*(表成绩单[化学]&gt;表成绩单[[#This Row],[化学]]))+1)</f>
        <v>625</v>
      </c>
      <c r="U667" s="29" cm="1">
        <f t="array" ref="U667">IF(表成绩单[[#This Row],[政治]]="","",SUMPRODUCT((表成绩单[考试日期]=表成绩单[[#This Row],[考试日期]])*(表成绩单[政治]&lt;9E+307)*(表成绩单[政治]&gt;表成绩单[[#This Row],[政治]]))+1)</f>
        <v>418</v>
      </c>
      <c r="V667" s="29" cm="1">
        <f t="array" ref="V667">IF(表成绩单[[#This Row],[历史]]="","",SUMPRODUCT((表成绩单[考试日期]=表成绩单[[#This Row],[考试日期]])*(表成绩单[历史]&lt;9E+307)*(表成绩单[历史]&gt;表成绩单[[#This Row],[历史]]))+1)</f>
        <v>675</v>
      </c>
      <c r="W667" s="29" cm="1">
        <f t="array" ref="W667">IF(表成绩单[[#This Row],[总分]]="","",SUMPRODUCT((表成绩单[考试日期]=表成绩单[[#This Row],[考试日期]])*(表成绩单[总分]&lt;9E+307)*(表成绩单[总分]&gt;表成绩单[[#This Row],[总分]]))+1)</f>
        <v>663</v>
      </c>
    </row>
    <row r="668" ht="28" customHeight="1" spans="4:23">
      <c r="D668" s="31">
        <v>45975</v>
      </c>
      <c r="E668" s="29">
        <v>19175611</v>
      </c>
      <c r="F668" s="29" t="s">
        <v>57</v>
      </c>
      <c r="G668" s="29" t="s">
        <v>741</v>
      </c>
      <c r="H668" s="29">
        <v>80</v>
      </c>
      <c r="I668" s="29">
        <v>76</v>
      </c>
      <c r="J668" s="29">
        <v>66.5</v>
      </c>
      <c r="K668" s="29">
        <v>67</v>
      </c>
      <c r="L668" s="29">
        <v>65</v>
      </c>
      <c r="M668" s="29">
        <v>66</v>
      </c>
      <c r="N668" s="29">
        <v>59</v>
      </c>
      <c r="O668" s="32">
        <v>479.5</v>
      </c>
      <c r="P668" s="29" cm="1">
        <f t="array" ref="P668">IF(表成绩单[[#This Row],[语文]]="","",SUMPRODUCT((表成绩单[考试日期]=表成绩单[[#This Row],[考试日期]])*(表成绩单[语文]&lt;9E+307)*(表成绩单[语文]&gt;表成绩单[[#This Row],[语文]]))+1)</f>
        <v>702</v>
      </c>
      <c r="Q668" s="29" cm="1">
        <f t="array" ref="Q668">IF(表成绩单[[#This Row],[数学]]="","",SUMPRODUCT((表成绩单[考试日期]=表成绩单[[#This Row],[考试日期]])*(表成绩单[数学]&lt;9E+307)*(表成绩单[数学]&gt;表成绩单[[#This Row],[数学]]))+1)</f>
        <v>654</v>
      </c>
      <c r="R668" s="29" cm="1">
        <f t="array" ref="R668">IF(表成绩单[[#This Row],[英语]]="","",SUMPRODUCT((表成绩单[考试日期]=表成绩单[[#This Row],[考试日期]])*(表成绩单[英语]&lt;9E+307)*(表成绩单[英语]&gt;表成绩单[[#This Row],[英语]]))+1)</f>
        <v>606</v>
      </c>
      <c r="S668" s="29" cm="1">
        <f t="array" ref="S668">IF(表成绩单[[#This Row],[物理]]="","",SUMPRODUCT((表成绩单[考试日期]=表成绩单[[#This Row],[考试日期]])*(表成绩单[物理]&lt;9E+307)*(表成绩单[物理]&gt;表成绩单[[#This Row],[物理]]))+1)</f>
        <v>674</v>
      </c>
      <c r="T668" s="29" cm="1">
        <f t="array" ref="T668">IF(表成绩单[[#This Row],[化学]]="","",SUMPRODUCT((表成绩单[考试日期]=表成绩单[[#This Row],[考试日期]])*(表成绩单[化学]&lt;9E+307)*(表成绩单[化学]&gt;表成绩单[[#This Row],[化学]]))+1)</f>
        <v>559</v>
      </c>
      <c r="U668" s="29" cm="1">
        <f t="array" ref="U668">IF(表成绩单[[#This Row],[政治]]="","",SUMPRODUCT((表成绩单[考试日期]=表成绩单[[#This Row],[考试日期]])*(表成绩单[政治]&lt;9E+307)*(表成绩单[政治]&gt;表成绩单[[#This Row],[政治]]))+1)</f>
        <v>555</v>
      </c>
      <c r="V668" s="29" cm="1">
        <f t="array" ref="V668">IF(表成绩单[[#This Row],[历史]]="","",SUMPRODUCT((表成绩单[考试日期]=表成绩单[[#This Row],[考试日期]])*(表成绩单[历史]&lt;9E+307)*(表成绩单[历史]&gt;表成绩单[[#This Row],[历史]]))+1)</f>
        <v>724</v>
      </c>
      <c r="W668" s="29" cm="1">
        <f t="array" ref="W668">IF(表成绩单[[#This Row],[总分]]="","",SUMPRODUCT((表成绩单[考试日期]=表成绩单[[#This Row],[考试日期]])*(表成绩单[总分]&lt;9E+307)*(表成绩单[总分]&gt;表成绩单[[#This Row],[总分]]))+1)</f>
        <v>664</v>
      </c>
    </row>
    <row r="669" ht="28" customHeight="1" spans="4:23">
      <c r="D669" s="31">
        <v>45975</v>
      </c>
      <c r="E669" s="29">
        <v>19173242</v>
      </c>
      <c r="F669" s="29" t="s">
        <v>61</v>
      </c>
      <c r="G669" s="29" t="s">
        <v>742</v>
      </c>
      <c r="H669" s="29">
        <v>83</v>
      </c>
      <c r="I669" s="29">
        <v>84</v>
      </c>
      <c r="J669" s="29">
        <v>65</v>
      </c>
      <c r="K669" s="29">
        <v>79</v>
      </c>
      <c r="L669" s="29">
        <v>68</v>
      </c>
      <c r="M669" s="29">
        <v>50</v>
      </c>
      <c r="N669" s="29">
        <v>50</v>
      </c>
      <c r="O669" s="32">
        <v>479</v>
      </c>
      <c r="P669" s="29" cm="1">
        <f t="array" ref="P669">IF(表成绩单[[#This Row],[语文]]="","",SUMPRODUCT((表成绩单[考试日期]=表成绩单[[#This Row],[考试日期]])*(表成绩单[语文]&lt;9E+307)*(表成绩单[语文]&gt;表成绩单[[#This Row],[语文]]))+1)</f>
        <v>670</v>
      </c>
      <c r="Q669" s="29" cm="1">
        <f t="array" ref="Q669">IF(表成绩单[[#This Row],[数学]]="","",SUMPRODUCT((表成绩单[考试日期]=表成绩单[[#This Row],[考试日期]])*(表成绩单[数学]&lt;9E+307)*(表成绩单[数学]&gt;表成绩单[[#This Row],[数学]]))+1)</f>
        <v>580</v>
      </c>
      <c r="R669" s="29" cm="1">
        <f t="array" ref="R669">IF(表成绩单[[#This Row],[英语]]="","",SUMPRODUCT((表成绩单[考试日期]=表成绩单[[#This Row],[考试日期]])*(表成绩单[英语]&lt;9E+307)*(表成绩单[英语]&gt;表成绩单[[#This Row],[英语]]))+1)</f>
        <v>616</v>
      </c>
      <c r="S669" s="29" cm="1">
        <f t="array" ref="S669">IF(表成绩单[[#This Row],[物理]]="","",SUMPRODUCT((表成绩单[考试日期]=表成绩单[[#This Row],[考试日期]])*(表成绩单[物理]&lt;9E+307)*(表成绩单[物理]&gt;表成绩单[[#This Row],[物理]]))+1)</f>
        <v>534</v>
      </c>
      <c r="T669" s="29" cm="1">
        <f t="array" ref="T669">IF(表成绩单[[#This Row],[化学]]="","",SUMPRODUCT((表成绩单[考试日期]=表成绩单[[#This Row],[考试日期]])*(表成绩单[化学]&lt;9E+307)*(表成绩单[化学]&gt;表成绩单[[#This Row],[化学]]))+1)</f>
        <v>506</v>
      </c>
      <c r="U669" s="29" cm="1">
        <f t="array" ref="U669">IF(表成绩单[[#This Row],[政治]]="","",SUMPRODUCT((表成绩单[考试日期]=表成绩单[[#This Row],[考试日期]])*(表成绩单[政治]&lt;9E+307)*(表成绩单[政治]&gt;表成绩单[[#This Row],[政治]]))+1)</f>
        <v>758</v>
      </c>
      <c r="V669" s="29" cm="1">
        <f t="array" ref="V669">IF(表成绩单[[#This Row],[历史]]="","",SUMPRODUCT((表成绩单[考试日期]=表成绩单[[#This Row],[考试日期]])*(表成绩单[历史]&lt;9E+307)*(表成绩单[历史]&gt;表成绩单[[#This Row],[历史]]))+1)</f>
        <v>770</v>
      </c>
      <c r="W669" s="29" cm="1">
        <f t="array" ref="W669">IF(表成绩单[[#This Row],[总分]]="","",SUMPRODUCT((表成绩单[考试日期]=表成绩单[[#This Row],[考试日期]])*(表成绩单[总分]&lt;9E+307)*(表成绩单[总分]&gt;表成绩单[[#This Row],[总分]]))+1)</f>
        <v>665</v>
      </c>
    </row>
    <row r="670" ht="28" customHeight="1" spans="4:23">
      <c r="D670" s="31">
        <v>45975</v>
      </c>
      <c r="E670" s="29">
        <v>19178631</v>
      </c>
      <c r="F670" s="29" t="s">
        <v>25</v>
      </c>
      <c r="G670" s="29" t="s">
        <v>743</v>
      </c>
      <c r="H670" s="29">
        <v>98</v>
      </c>
      <c r="I670" s="29">
        <v>76</v>
      </c>
      <c r="J670" s="29">
        <v>35.5</v>
      </c>
      <c r="K670" s="29">
        <v>77</v>
      </c>
      <c r="L670" s="29">
        <v>73</v>
      </c>
      <c r="M670" s="29">
        <v>55</v>
      </c>
      <c r="N670" s="29">
        <v>64</v>
      </c>
      <c r="O670" s="32">
        <v>478.5</v>
      </c>
      <c r="P670" s="29" cm="1">
        <f t="array" ref="P670">IF(表成绩单[[#This Row],[语文]]="","",SUMPRODUCT((表成绩单[考试日期]=表成绩单[[#This Row],[考试日期]])*(表成绩单[语文]&lt;9E+307)*(表成绩单[语文]&gt;表成绩单[[#This Row],[语文]]))+1)</f>
        <v>305</v>
      </c>
      <c r="Q670" s="29" cm="1">
        <f t="array" ref="Q670">IF(表成绩单[[#This Row],[数学]]="","",SUMPRODUCT((表成绩单[考试日期]=表成绩单[[#This Row],[考试日期]])*(表成绩单[数学]&lt;9E+307)*(表成绩单[数学]&gt;表成绩单[[#This Row],[数学]]))+1)</f>
        <v>654</v>
      </c>
      <c r="R670" s="29" cm="1">
        <f t="array" ref="R670">IF(表成绩单[[#This Row],[英语]]="","",SUMPRODUCT((表成绩单[考试日期]=表成绩单[[#This Row],[考试日期]])*(表成绩单[英语]&lt;9E+307)*(表成绩单[英语]&gt;表成绩单[[#This Row],[英语]]))+1)</f>
        <v>773</v>
      </c>
      <c r="S670" s="29" cm="1">
        <f t="array" ref="S670">IF(表成绩单[[#This Row],[物理]]="","",SUMPRODUCT((表成绩单[考试日期]=表成绩单[[#This Row],[考试日期]])*(表成绩单[物理]&lt;9E+307)*(表成绩单[物理]&gt;表成绩单[[#This Row],[物理]]))+1)</f>
        <v>572</v>
      </c>
      <c r="T670" s="29" cm="1">
        <f t="array" ref="T670">IF(表成绩单[[#This Row],[化学]]="","",SUMPRODUCT((表成绩单[考试日期]=表成绩单[[#This Row],[考试日期]])*(表成绩单[化学]&lt;9E+307)*(表成绩单[化学]&gt;表成绩单[[#This Row],[化学]]))+1)</f>
        <v>365</v>
      </c>
      <c r="U670" s="29" cm="1">
        <f t="array" ref="U670">IF(表成绩单[[#This Row],[政治]]="","",SUMPRODUCT((表成绩单[考试日期]=表成绩单[[#This Row],[考试日期]])*(表成绩单[政治]&lt;9E+307)*(表成绩单[政治]&gt;表成绩单[[#This Row],[政治]]))+1)</f>
        <v>713</v>
      </c>
      <c r="V670" s="29" cm="1">
        <f t="array" ref="V670">IF(表成绩单[[#This Row],[历史]]="","",SUMPRODUCT((表成绩单[考试日期]=表成绩单[[#This Row],[考试日期]])*(表成绩单[历史]&lt;9E+307)*(表成绩单[历史]&gt;表成绩单[[#This Row],[历史]]))+1)</f>
        <v>660</v>
      </c>
      <c r="W670" s="29" cm="1">
        <f t="array" ref="W670">IF(表成绩单[[#This Row],[总分]]="","",SUMPRODUCT((表成绩单[考试日期]=表成绩单[[#This Row],[考试日期]])*(表成绩单[总分]&lt;9E+307)*(表成绩单[总分]&gt;表成绩单[[#This Row],[总分]]))+1)</f>
        <v>666</v>
      </c>
    </row>
    <row r="671" ht="28" customHeight="1" spans="4:23">
      <c r="D671" s="31">
        <v>45975</v>
      </c>
      <c r="E671" s="29">
        <v>33603967</v>
      </c>
      <c r="F671" s="29" t="s">
        <v>66</v>
      </c>
      <c r="G671" s="29" t="s">
        <v>744</v>
      </c>
      <c r="H671" s="29">
        <v>80</v>
      </c>
      <c r="I671" s="29">
        <v>91</v>
      </c>
      <c r="J671" s="29">
        <v>71.5</v>
      </c>
      <c r="K671" s="29">
        <v>67</v>
      </c>
      <c r="L671" s="29">
        <v>48</v>
      </c>
      <c r="M671" s="29">
        <v>48</v>
      </c>
      <c r="N671" s="29">
        <v>73</v>
      </c>
      <c r="O671" s="32">
        <v>478.5</v>
      </c>
      <c r="P671" s="29" cm="1">
        <f t="array" ref="P671">IF(表成绩单[[#This Row],[语文]]="","",SUMPRODUCT((表成绩单[考试日期]=表成绩单[[#This Row],[考试日期]])*(表成绩单[语文]&lt;9E+307)*(表成绩单[语文]&gt;表成绩单[[#This Row],[语文]]))+1)</f>
        <v>702</v>
      </c>
      <c r="Q671" s="29" cm="1">
        <f t="array" ref="Q671">IF(表成绩单[[#This Row],[数学]]="","",SUMPRODUCT((表成绩单[考试日期]=表成绩单[[#This Row],[考试日期]])*(表成绩单[数学]&lt;9E+307)*(表成绩单[数学]&gt;表成绩单[[#This Row],[数学]]))+1)</f>
        <v>495</v>
      </c>
      <c r="R671" s="29" cm="1">
        <f t="array" ref="R671">IF(表成绩单[[#This Row],[英语]]="","",SUMPRODUCT((表成绩单[考试日期]=表成绩单[[#This Row],[考试日期]])*(表成绩单[英语]&lt;9E+307)*(表成绩单[英语]&gt;表成绩单[[#This Row],[英语]]))+1)</f>
        <v>520</v>
      </c>
      <c r="S671" s="29" cm="1">
        <f t="array" ref="S671">IF(表成绩单[[#This Row],[物理]]="","",SUMPRODUCT((表成绩单[考试日期]=表成绩单[[#This Row],[考试日期]])*(表成绩单[物理]&lt;9E+307)*(表成绩单[物理]&gt;表成绩单[[#This Row],[物理]]))+1)</f>
        <v>674</v>
      </c>
      <c r="T671" s="29" cm="1">
        <f t="array" ref="T671">IF(表成绩单[[#This Row],[化学]]="","",SUMPRODUCT((表成绩单[考试日期]=表成绩单[[#This Row],[考试日期]])*(表成绩单[化学]&lt;9E+307)*(表成绩单[化学]&gt;表成绩单[[#This Row],[化学]]))+1)</f>
        <v>747</v>
      </c>
      <c r="U671" s="29" cm="1">
        <f t="array" ref="U671">IF(表成绩单[[#This Row],[政治]]="","",SUMPRODUCT((表成绩单[考试日期]=表成绩单[[#This Row],[考试日期]])*(表成绩单[政治]&lt;9E+307)*(表成绩单[政治]&gt;表成绩单[[#This Row],[政治]]))+1)</f>
        <v>768</v>
      </c>
      <c r="V671" s="29" cm="1">
        <f t="array" ref="V671">IF(表成绩单[[#This Row],[历史]]="","",SUMPRODUCT((表成绩单[考试日期]=表成绩单[[#This Row],[考试日期]])*(表成绩单[历史]&lt;9E+307)*(表成绩单[历史]&gt;表成绩单[[#This Row],[历史]]))+1)</f>
        <v>395</v>
      </c>
      <c r="W671" s="29" cm="1">
        <f t="array" ref="W671">IF(表成绩单[[#This Row],[总分]]="","",SUMPRODUCT((表成绩单[考试日期]=表成绩单[[#This Row],[考试日期]])*(表成绩单[总分]&lt;9E+307)*(表成绩单[总分]&gt;表成绩单[[#This Row],[总分]]))+1)</f>
        <v>666</v>
      </c>
    </row>
    <row r="672" ht="28" customHeight="1" spans="4:23">
      <c r="D672" s="31">
        <v>45975</v>
      </c>
      <c r="E672" s="29">
        <v>19175596</v>
      </c>
      <c r="F672" s="29" t="s">
        <v>57</v>
      </c>
      <c r="G672" s="29" t="s">
        <v>745</v>
      </c>
      <c r="H672" s="29">
        <v>84</v>
      </c>
      <c r="I672" s="29">
        <v>68</v>
      </c>
      <c r="J672" s="29">
        <v>77</v>
      </c>
      <c r="K672" s="29">
        <v>59</v>
      </c>
      <c r="L672" s="29">
        <v>64</v>
      </c>
      <c r="M672" s="29">
        <v>65</v>
      </c>
      <c r="N672" s="29">
        <v>61</v>
      </c>
      <c r="O672" s="32">
        <v>478</v>
      </c>
      <c r="P672" s="29" cm="1">
        <f t="array" ref="P672">IF(表成绩单[[#This Row],[语文]]="","",SUMPRODUCT((表成绩单[考试日期]=表成绩单[[#This Row],[考试日期]])*(表成绩单[语文]&lt;9E+307)*(表成绩单[语文]&gt;表成绩单[[#This Row],[语文]]))+1)</f>
        <v>659</v>
      </c>
      <c r="Q672" s="29" cm="1">
        <f t="array" ref="Q672">IF(表成绩单[[#This Row],[数学]]="","",SUMPRODUCT((表成绩单[考试日期]=表成绩单[[#This Row],[考试日期]])*(表成绩单[数学]&lt;9E+307)*(表成绩单[数学]&gt;表成绩单[[#This Row],[数学]]))+1)</f>
        <v>696</v>
      </c>
      <c r="R672" s="29" cm="1">
        <f t="array" ref="R672">IF(表成绩单[[#This Row],[英语]]="","",SUMPRODUCT((表成绩单[考试日期]=表成绩单[[#This Row],[考试日期]])*(表成绩单[英语]&lt;9E+307)*(表成绩单[英语]&gt;表成绩单[[#This Row],[英语]]))+1)</f>
        <v>369</v>
      </c>
      <c r="S672" s="29" cm="1">
        <f t="array" ref="S672">IF(表成绩单[[#This Row],[物理]]="","",SUMPRODUCT((表成绩单[考试日期]=表成绩单[[#This Row],[考试日期]])*(表成绩单[物理]&lt;9E+307)*(表成绩单[物理]&gt;表成绩单[[#This Row],[物理]]))+1)</f>
        <v>721</v>
      </c>
      <c r="T672" s="29" cm="1">
        <f t="array" ref="T672">IF(表成绩单[[#This Row],[化学]]="","",SUMPRODUCT((表成绩单[考试日期]=表成绩单[[#This Row],[考试日期]])*(表成绩单[化学]&lt;9E+307)*(表成绩单[化学]&gt;表成绩单[[#This Row],[化学]]))+1)</f>
        <v>575</v>
      </c>
      <c r="U672" s="29" cm="1">
        <f t="array" ref="U672">IF(表成绩单[[#This Row],[政治]]="","",SUMPRODUCT((表成绩单[考试日期]=表成绩单[[#This Row],[考试日期]])*(表成绩单[政治]&lt;9E+307)*(表成绩单[政治]&gt;表成绩单[[#This Row],[政治]]))+1)</f>
        <v>579</v>
      </c>
      <c r="V672" s="29" cm="1">
        <f t="array" ref="V672">IF(表成绩单[[#This Row],[历史]]="","",SUMPRODUCT((表成绩单[考试日期]=表成绩单[[#This Row],[考试日期]])*(表成绩单[历史]&lt;9E+307)*(表成绩单[历史]&gt;表成绩单[[#This Row],[历史]]))+1)</f>
        <v>702</v>
      </c>
      <c r="W672" s="29" cm="1">
        <f t="array" ref="W672">IF(表成绩单[[#This Row],[总分]]="","",SUMPRODUCT((表成绩单[考试日期]=表成绩单[[#This Row],[考试日期]])*(表成绩单[总分]&lt;9E+307)*(表成绩单[总分]&gt;表成绩单[[#This Row],[总分]]))+1)</f>
        <v>668</v>
      </c>
    </row>
    <row r="673" ht="28" customHeight="1" spans="4:23">
      <c r="D673" s="31">
        <v>45975</v>
      </c>
      <c r="E673" s="29">
        <v>19175330</v>
      </c>
      <c r="F673" s="29" t="s">
        <v>55</v>
      </c>
      <c r="G673" s="29" t="s">
        <v>746</v>
      </c>
      <c r="H673" s="29">
        <v>81</v>
      </c>
      <c r="I673" s="29">
        <v>67</v>
      </c>
      <c r="J673" s="29">
        <v>60</v>
      </c>
      <c r="K673" s="29">
        <v>71</v>
      </c>
      <c r="L673" s="29">
        <v>63</v>
      </c>
      <c r="M673" s="29">
        <v>67</v>
      </c>
      <c r="N673" s="29">
        <v>68</v>
      </c>
      <c r="O673" s="32">
        <v>477</v>
      </c>
      <c r="P673" s="29" cm="1">
        <f t="array" ref="P673">IF(表成绩单[[#This Row],[语文]]="","",SUMPRODUCT((表成绩单[考试日期]=表成绩单[[#This Row],[考试日期]])*(表成绩单[语文]&lt;9E+307)*(表成绩单[语文]&gt;表成绩单[[#This Row],[语文]]))+1)</f>
        <v>688</v>
      </c>
      <c r="Q673" s="29" cm="1">
        <f t="array" ref="Q673">IF(表成绩单[[#This Row],[数学]]="","",SUMPRODUCT((表成绩单[考试日期]=表成绩单[[#This Row],[考试日期]])*(表成绩单[数学]&lt;9E+307)*(表成绩单[数学]&gt;表成绩单[[#This Row],[数学]]))+1)</f>
        <v>702</v>
      </c>
      <c r="R673" s="29" cm="1">
        <f t="array" ref="R673">IF(表成绩单[[#This Row],[英语]]="","",SUMPRODUCT((表成绩单[考试日期]=表成绩单[[#This Row],[考试日期]])*(表成绩单[英语]&lt;9E+307)*(表成绩单[英语]&gt;表成绩单[[#This Row],[英语]]))+1)</f>
        <v>668</v>
      </c>
      <c r="S673" s="29" cm="1">
        <f t="array" ref="S673">IF(表成绩单[[#This Row],[物理]]="","",SUMPRODUCT((表成绩单[考试日期]=表成绩单[[#This Row],[考试日期]])*(表成绩单[物理]&lt;9E+307)*(表成绩单[物理]&gt;表成绩单[[#This Row],[物理]]))+1)</f>
        <v>648</v>
      </c>
      <c r="T673" s="29" cm="1">
        <f t="array" ref="T673">IF(表成绩单[[#This Row],[化学]]="","",SUMPRODUCT((表成绩单[考试日期]=表成绩单[[#This Row],[考试日期]])*(表成绩单[化学]&lt;9E+307)*(表成绩单[化学]&gt;表成绩单[[#This Row],[化学]]))+1)</f>
        <v>588</v>
      </c>
      <c r="U673" s="29" cm="1">
        <f t="array" ref="U673">IF(表成绩单[[#This Row],[政治]]="","",SUMPRODUCT((表成绩单[考试日期]=表成绩单[[#This Row],[考试日期]])*(表成绩单[政治]&lt;9E+307)*(表成绩单[政治]&gt;表成绩单[[#This Row],[政治]]))+1)</f>
        <v>543</v>
      </c>
      <c r="V673" s="29" cm="1">
        <f t="array" ref="V673">IF(表成绩单[[#This Row],[历史]]="","",SUMPRODUCT((表成绩单[考试日期]=表成绩单[[#This Row],[考试日期]])*(表成绩单[历史]&lt;9E+307)*(表成绩单[历史]&gt;表成绩单[[#This Row],[历史]]))+1)</f>
        <v>571</v>
      </c>
      <c r="W673" s="29" cm="1">
        <f t="array" ref="W673">IF(表成绩单[[#This Row],[总分]]="","",SUMPRODUCT((表成绩单[考试日期]=表成绩单[[#This Row],[考试日期]])*(表成绩单[总分]&lt;9E+307)*(表成绩单[总分]&gt;表成绩单[[#This Row],[总分]]))+1)</f>
        <v>669</v>
      </c>
    </row>
    <row r="674" ht="28" customHeight="1" spans="4:23">
      <c r="D674" s="31">
        <v>45975</v>
      </c>
      <c r="E674" s="29">
        <v>19175289</v>
      </c>
      <c r="F674" s="29" t="s">
        <v>55</v>
      </c>
      <c r="G674" s="29" t="s">
        <v>747</v>
      </c>
      <c r="H674" s="29">
        <v>91</v>
      </c>
      <c r="I674" s="29">
        <v>83</v>
      </c>
      <c r="J674" s="29">
        <v>49</v>
      </c>
      <c r="K674" s="29">
        <v>68</v>
      </c>
      <c r="L674" s="29">
        <v>55</v>
      </c>
      <c r="M674" s="29">
        <v>63</v>
      </c>
      <c r="N674" s="29">
        <v>67</v>
      </c>
      <c r="O674" s="32">
        <v>476</v>
      </c>
      <c r="P674" s="29" cm="1">
        <f t="array" ref="P674">IF(表成绩单[[#This Row],[语文]]="","",SUMPRODUCT((表成绩单[考试日期]=表成绩单[[#This Row],[考试日期]])*(表成绩单[语文]&lt;9E+307)*(表成绩单[语文]&gt;表成绩单[[#This Row],[语文]]))+1)</f>
        <v>536</v>
      </c>
      <c r="Q674" s="29" cm="1">
        <f t="array" ref="Q674">IF(表成绩单[[#This Row],[数学]]="","",SUMPRODUCT((表成绩单[考试日期]=表成绩单[[#This Row],[考试日期]])*(表成绩单[数学]&lt;9E+307)*(表成绩单[数学]&gt;表成绩单[[#This Row],[数学]]))+1)</f>
        <v>592</v>
      </c>
      <c r="R674" s="29" cm="1">
        <f t="array" ref="R674">IF(表成绩单[[#This Row],[英语]]="","",SUMPRODUCT((表成绩单[考试日期]=表成绩单[[#This Row],[考试日期]])*(表成绩单[英语]&lt;9E+307)*(表成绩单[英语]&gt;表成绩单[[#This Row],[英语]]))+1)</f>
        <v>731</v>
      </c>
      <c r="S674" s="29" cm="1">
        <f t="array" ref="S674">IF(表成绩单[[#This Row],[物理]]="","",SUMPRODUCT((表成绩单[考试日期]=表成绩单[[#This Row],[考试日期]])*(表成绩单[物理]&lt;9E+307)*(表成绩单[物理]&gt;表成绩单[[#This Row],[物理]]))+1)</f>
        <v>667</v>
      </c>
      <c r="T674" s="29" cm="1">
        <f t="array" ref="T674">IF(表成绩单[[#This Row],[化学]]="","",SUMPRODUCT((表成绩单[考试日期]=表成绩单[[#This Row],[考试日期]])*(表成绩单[化学]&lt;9E+307)*(表成绩单[化学]&gt;表成绩单[[#This Row],[化学]]))+1)</f>
        <v>692</v>
      </c>
      <c r="U674" s="29" cm="1">
        <f t="array" ref="U674">IF(表成绩单[[#This Row],[政治]]="","",SUMPRODUCT((表成绩单[考试日期]=表成绩单[[#This Row],[考试日期]])*(表成绩单[政治]&lt;9E+307)*(表成绩单[政治]&gt;表成绩单[[#This Row],[政治]]))+1)</f>
        <v>618</v>
      </c>
      <c r="V674" s="29" cm="1">
        <f t="array" ref="V674">IF(表成绩单[[#This Row],[历史]]="","",SUMPRODUCT((表成绩单[考试日期]=表成绩单[[#This Row],[考试日期]])*(表成绩单[历史]&lt;9E+307)*(表成绩单[历史]&gt;表成绩单[[#This Row],[历史]]))+1)</f>
        <v>597</v>
      </c>
      <c r="W674" s="29" cm="1">
        <f t="array" ref="W674">IF(表成绩单[[#This Row],[总分]]="","",SUMPRODUCT((表成绩单[考试日期]=表成绩单[[#This Row],[考试日期]])*(表成绩单[总分]&lt;9E+307)*(表成绩单[总分]&gt;表成绩单[[#This Row],[总分]]))+1)</f>
        <v>670</v>
      </c>
    </row>
    <row r="675" ht="28" customHeight="1" spans="4:23">
      <c r="D675" s="31">
        <v>45975</v>
      </c>
      <c r="E675" s="29">
        <v>19177664</v>
      </c>
      <c r="F675" s="29" t="s">
        <v>63</v>
      </c>
      <c r="G675" s="29" t="s">
        <v>748</v>
      </c>
      <c r="H675" s="29">
        <v>86</v>
      </c>
      <c r="I675" s="29">
        <v>90</v>
      </c>
      <c r="J675" s="29">
        <v>62</v>
      </c>
      <c r="K675" s="29">
        <v>61</v>
      </c>
      <c r="L675" s="29">
        <v>49</v>
      </c>
      <c r="M675" s="29">
        <v>61</v>
      </c>
      <c r="N675" s="29">
        <v>67</v>
      </c>
      <c r="O675" s="32">
        <v>476</v>
      </c>
      <c r="P675" s="29" cm="1">
        <f t="array" ref="P675">IF(表成绩单[[#This Row],[语文]]="","",SUMPRODUCT((表成绩单[考试日期]=表成绩单[[#This Row],[考试日期]])*(表成绩单[语文]&lt;9E+307)*(表成绩单[语文]&gt;表成绩单[[#This Row],[语文]]))+1)</f>
        <v>635</v>
      </c>
      <c r="Q675" s="29" cm="1">
        <f t="array" ref="Q675">IF(表成绩单[[#This Row],[数学]]="","",SUMPRODUCT((表成绩单[考试日期]=表成绩单[[#This Row],[考试日期]])*(表成绩单[数学]&lt;9E+307)*(表成绩单[数学]&gt;表成绩单[[#This Row],[数学]]))+1)</f>
        <v>506</v>
      </c>
      <c r="R675" s="29" cm="1">
        <f t="array" ref="R675">IF(表成绩单[[#This Row],[英语]]="","",SUMPRODUCT((表成绩单[考试日期]=表成绩单[[#This Row],[考试日期]])*(表成绩单[英语]&lt;9E+307)*(表成绩单[英语]&gt;表成绩单[[#This Row],[英语]]))+1)</f>
        <v>655</v>
      </c>
      <c r="S675" s="29" cm="1">
        <f t="array" ref="S675">IF(表成绩单[[#This Row],[物理]]="","",SUMPRODUCT((表成绩单[考试日期]=表成绩单[[#This Row],[考试日期]])*(表成绩单[物理]&lt;9E+307)*(表成绩单[物理]&gt;表成绩单[[#This Row],[物理]]))+1)</f>
        <v>712</v>
      </c>
      <c r="T675" s="29" cm="1">
        <f t="array" ref="T675">IF(表成绩单[[#This Row],[化学]]="","",SUMPRODUCT((表成绩单[考试日期]=表成绩单[[#This Row],[考试日期]])*(表成绩单[化学]&lt;9E+307)*(表成绩单[化学]&gt;表成绩单[[#This Row],[化学]]))+1)</f>
        <v>743</v>
      </c>
      <c r="U675" s="29" cm="1">
        <f t="array" ref="U675">IF(表成绩单[[#This Row],[政治]]="","",SUMPRODUCT((表成绩单[考试日期]=表成绩单[[#This Row],[考试日期]])*(表成绩单[政治]&lt;9E+307)*(表成绩单[政治]&gt;表成绩单[[#This Row],[政治]]))+1)</f>
        <v>644</v>
      </c>
      <c r="V675" s="29" cm="1">
        <f t="array" ref="V675">IF(表成绩单[[#This Row],[历史]]="","",SUMPRODUCT((表成绩单[考试日期]=表成绩单[[#This Row],[考试日期]])*(表成绩单[历史]&lt;9E+307)*(表成绩单[历史]&gt;表成绩单[[#This Row],[历史]]))+1)</f>
        <v>597</v>
      </c>
      <c r="W675" s="29" cm="1">
        <f t="array" ref="W675">IF(表成绩单[[#This Row],[总分]]="","",SUMPRODUCT((表成绩单[考试日期]=表成绩单[[#This Row],[考试日期]])*(表成绩单[总分]&lt;9E+307)*(表成绩单[总分]&gt;表成绩单[[#This Row],[总分]]))+1)</f>
        <v>670</v>
      </c>
    </row>
    <row r="676" ht="28" customHeight="1" spans="4:23">
      <c r="D676" s="31">
        <v>45975</v>
      </c>
      <c r="E676" s="29">
        <v>19172651</v>
      </c>
      <c r="F676" s="29" t="s">
        <v>60</v>
      </c>
      <c r="G676" s="29" t="s">
        <v>749</v>
      </c>
      <c r="H676" s="29">
        <v>81</v>
      </c>
      <c r="I676" s="29">
        <v>80</v>
      </c>
      <c r="J676" s="29">
        <v>58</v>
      </c>
      <c r="K676" s="29">
        <v>78</v>
      </c>
      <c r="L676" s="29">
        <v>50</v>
      </c>
      <c r="M676" s="29">
        <v>66</v>
      </c>
      <c r="N676" s="29">
        <v>61</v>
      </c>
      <c r="O676" s="32">
        <v>474</v>
      </c>
      <c r="P676" s="29" cm="1">
        <f t="array" ref="P676">IF(表成绩单[[#This Row],[语文]]="","",SUMPRODUCT((表成绩单[考试日期]=表成绩单[[#This Row],[考试日期]])*(表成绩单[语文]&lt;9E+307)*(表成绩单[语文]&gt;表成绩单[[#This Row],[语文]]))+1)</f>
        <v>688</v>
      </c>
      <c r="Q676" s="29" cm="1">
        <f t="array" ref="Q676">IF(表成绩单[[#This Row],[数学]]="","",SUMPRODUCT((表成绩单[考试日期]=表成绩单[[#This Row],[考试日期]])*(表成绩单[数学]&lt;9E+307)*(表成绩单[数学]&gt;表成绩单[[#This Row],[数学]]))+1)</f>
        <v>626</v>
      </c>
      <c r="R676" s="29" cm="1">
        <f t="array" ref="R676">IF(表成绩单[[#This Row],[英语]]="","",SUMPRODUCT((表成绩单[考试日期]=表成绩单[[#This Row],[考试日期]])*(表成绩单[英语]&lt;9E+307)*(表成绩单[英语]&gt;表成绩单[[#This Row],[英语]]))+1)</f>
        <v>685</v>
      </c>
      <c r="S676" s="29" cm="1">
        <f t="array" ref="S676">IF(表成绩单[[#This Row],[物理]]="","",SUMPRODUCT((表成绩单[考试日期]=表成绩单[[#This Row],[考试日期]])*(表成绩单[物理]&lt;9E+307)*(表成绩单[物理]&gt;表成绩单[[#This Row],[物理]]))+1)</f>
        <v>554</v>
      </c>
      <c r="T676" s="29" cm="1">
        <f t="array" ref="T676">IF(表成绩单[[#This Row],[化学]]="","",SUMPRODUCT((表成绩单[考试日期]=表成绩单[[#This Row],[考试日期]])*(表成绩单[化学]&lt;9E+307)*(表成绩单[化学]&gt;表成绩单[[#This Row],[化学]]))+1)</f>
        <v>736</v>
      </c>
      <c r="U676" s="29" cm="1">
        <f t="array" ref="U676">IF(表成绩单[[#This Row],[政治]]="","",SUMPRODUCT((表成绩单[考试日期]=表成绩单[[#This Row],[考试日期]])*(表成绩单[政治]&lt;9E+307)*(表成绩单[政治]&gt;表成绩单[[#This Row],[政治]]))+1)</f>
        <v>555</v>
      </c>
      <c r="V676" s="29" cm="1">
        <f t="array" ref="V676">IF(表成绩单[[#This Row],[历史]]="","",SUMPRODUCT((表成绩单[考试日期]=表成绩单[[#This Row],[考试日期]])*(表成绩单[历史]&lt;9E+307)*(表成绩单[历史]&gt;表成绩单[[#This Row],[历史]]))+1)</f>
        <v>702</v>
      </c>
      <c r="W676" s="29" cm="1">
        <f t="array" ref="W676">IF(表成绩单[[#This Row],[总分]]="","",SUMPRODUCT((表成绩单[考试日期]=表成绩单[[#This Row],[考试日期]])*(表成绩单[总分]&lt;9E+307)*(表成绩单[总分]&gt;表成绩单[[#This Row],[总分]]))+1)</f>
        <v>672</v>
      </c>
    </row>
    <row r="677" ht="28" customHeight="1" spans="4:23">
      <c r="D677" s="31">
        <v>45975</v>
      </c>
      <c r="E677" s="29">
        <v>19176001</v>
      </c>
      <c r="F677" s="29" t="s">
        <v>59</v>
      </c>
      <c r="G677" s="29" t="s">
        <v>750</v>
      </c>
      <c r="H677" s="29">
        <v>88</v>
      </c>
      <c r="I677" s="29">
        <v>76</v>
      </c>
      <c r="J677" s="29">
        <v>65</v>
      </c>
      <c r="K677" s="29">
        <v>63</v>
      </c>
      <c r="L677" s="29">
        <v>54</v>
      </c>
      <c r="M677" s="29">
        <v>61</v>
      </c>
      <c r="N677" s="29">
        <v>67</v>
      </c>
      <c r="O677" s="32">
        <v>474</v>
      </c>
      <c r="P677" s="29" cm="1">
        <f t="array" ref="P677">IF(表成绩单[[#This Row],[语文]]="","",SUMPRODUCT((表成绩单[考试日期]=表成绩单[[#This Row],[考试日期]])*(表成绩单[语文]&lt;9E+307)*(表成绩单[语文]&gt;表成绩单[[#This Row],[语文]]))+1)</f>
        <v>595</v>
      </c>
      <c r="Q677" s="29" cm="1">
        <f t="array" ref="Q677">IF(表成绩单[[#This Row],[数学]]="","",SUMPRODUCT((表成绩单[考试日期]=表成绩单[[#This Row],[考试日期]])*(表成绩单[数学]&lt;9E+307)*(表成绩单[数学]&gt;表成绩单[[#This Row],[数学]]))+1)</f>
        <v>654</v>
      </c>
      <c r="R677" s="29" cm="1">
        <f t="array" ref="R677">IF(表成绩单[[#This Row],[英语]]="","",SUMPRODUCT((表成绩单[考试日期]=表成绩单[[#This Row],[考试日期]])*(表成绩单[英语]&lt;9E+307)*(表成绩单[英语]&gt;表成绩单[[#This Row],[英语]]))+1)</f>
        <v>616</v>
      </c>
      <c r="S677" s="29" cm="1">
        <f t="array" ref="S677">IF(表成绩单[[#This Row],[物理]]="","",SUMPRODUCT((表成绩单[考试日期]=表成绩单[[#This Row],[考试日期]])*(表成绩单[物理]&lt;9E+307)*(表成绩单[物理]&gt;表成绩单[[#This Row],[物理]]))+1)</f>
        <v>702</v>
      </c>
      <c r="T677" s="29" cm="1">
        <f t="array" ref="T677">IF(表成绩单[[#This Row],[化学]]="","",SUMPRODUCT((表成绩单[考试日期]=表成绩单[[#This Row],[考试日期]])*(表成绩单[化学]&lt;9E+307)*(表成绩单[化学]&gt;表成绩单[[#This Row],[化学]]))+1)</f>
        <v>707</v>
      </c>
      <c r="U677" s="29" cm="1">
        <f t="array" ref="U677">IF(表成绩单[[#This Row],[政治]]="","",SUMPRODUCT((表成绩单[考试日期]=表成绩单[[#This Row],[考试日期]])*(表成绩单[政治]&lt;9E+307)*(表成绩单[政治]&gt;表成绩单[[#This Row],[政治]]))+1)</f>
        <v>644</v>
      </c>
      <c r="V677" s="29" cm="1">
        <f t="array" ref="V677">IF(表成绩单[[#This Row],[历史]]="","",SUMPRODUCT((表成绩单[考试日期]=表成绩单[[#This Row],[考试日期]])*(表成绩单[历史]&lt;9E+307)*(表成绩单[历史]&gt;表成绩单[[#This Row],[历史]]))+1)</f>
        <v>597</v>
      </c>
      <c r="W677" s="29" cm="1">
        <f t="array" ref="W677">IF(表成绩单[[#This Row],[总分]]="","",SUMPRODUCT((表成绩单[考试日期]=表成绩单[[#This Row],[考试日期]])*(表成绩单[总分]&lt;9E+307)*(表成绩单[总分]&gt;表成绩单[[#This Row],[总分]]))+1)</f>
        <v>672</v>
      </c>
    </row>
    <row r="678" ht="28" customHeight="1" spans="4:23">
      <c r="D678" s="31">
        <v>45975</v>
      </c>
      <c r="E678" s="29">
        <v>19175379</v>
      </c>
      <c r="F678" s="29" t="s">
        <v>74</v>
      </c>
      <c r="G678" s="29" t="s">
        <v>751</v>
      </c>
      <c r="H678" s="29">
        <v>77</v>
      </c>
      <c r="I678" s="29">
        <v>84</v>
      </c>
      <c r="J678" s="29">
        <v>53.5</v>
      </c>
      <c r="K678" s="29">
        <v>81</v>
      </c>
      <c r="L678" s="29">
        <v>61</v>
      </c>
      <c r="M678" s="29">
        <v>55</v>
      </c>
      <c r="N678" s="29">
        <v>62</v>
      </c>
      <c r="O678" s="32">
        <v>473.5</v>
      </c>
      <c r="P678" s="29" cm="1">
        <f t="array" ref="P678">IF(表成绩单[[#This Row],[语文]]="","",SUMPRODUCT((表成绩单[考试日期]=表成绩单[[#This Row],[考试日期]])*(表成绩单[语文]&lt;9E+307)*(表成绩单[语文]&gt;表成绩单[[#This Row],[语文]]))+1)</f>
        <v>737</v>
      </c>
      <c r="Q678" s="29" cm="1">
        <f t="array" ref="Q678">IF(表成绩单[[#This Row],[数学]]="","",SUMPRODUCT((表成绩单[考试日期]=表成绩单[[#This Row],[考试日期]])*(表成绩单[数学]&lt;9E+307)*(表成绩单[数学]&gt;表成绩单[[#This Row],[数学]]))+1)</f>
        <v>580</v>
      </c>
      <c r="R678" s="29" cm="1">
        <f t="array" ref="R678">IF(表成绩单[[#This Row],[英语]]="","",SUMPRODUCT((表成绩单[考试日期]=表成绩单[[#This Row],[考试日期]])*(表成绩单[英语]&lt;9E+307)*(表成绩单[英语]&gt;表成绩单[[#This Row],[英语]]))+1)</f>
        <v>708</v>
      </c>
      <c r="S678" s="29" cm="1">
        <f t="array" ref="S678">IF(表成绩单[[#This Row],[物理]]="","",SUMPRODUCT((表成绩单[考试日期]=表成绩单[[#This Row],[考试日期]])*(表成绩单[物理]&lt;9E+307)*(表成绩单[物理]&gt;表成绩单[[#This Row],[物理]]))+1)</f>
        <v>474</v>
      </c>
      <c r="T678" s="29" cm="1">
        <f t="array" ref="T678">IF(表成绩单[[#This Row],[化学]]="","",SUMPRODUCT((表成绩单[考试日期]=表成绩单[[#This Row],[考试日期]])*(表成绩单[化学]&lt;9E+307)*(表成绩单[化学]&gt;表成绩单[[#This Row],[化学]]))+1)</f>
        <v>625</v>
      </c>
      <c r="U678" s="29" cm="1">
        <f t="array" ref="U678">IF(表成绩单[[#This Row],[政治]]="","",SUMPRODUCT((表成绩单[考试日期]=表成绩单[[#This Row],[考试日期]])*(表成绩单[政治]&lt;9E+307)*(表成绩单[政治]&gt;表成绩单[[#This Row],[政治]]))+1)</f>
        <v>713</v>
      </c>
      <c r="V678" s="29" cm="1">
        <f t="array" ref="V678">IF(表成绩单[[#This Row],[历史]]="","",SUMPRODUCT((表成绩单[考试日期]=表成绩单[[#This Row],[考试日期]])*(表成绩单[历史]&lt;9E+307)*(表成绩单[历史]&gt;表成绩单[[#This Row],[历史]]))+1)</f>
        <v>688</v>
      </c>
      <c r="W678" s="29" cm="1">
        <f t="array" ref="W678">IF(表成绩单[[#This Row],[总分]]="","",SUMPRODUCT((表成绩单[考试日期]=表成绩单[[#This Row],[考试日期]])*(表成绩单[总分]&lt;9E+307)*(表成绩单[总分]&gt;表成绩单[[#This Row],[总分]]))+1)</f>
        <v>674</v>
      </c>
    </row>
    <row r="679" ht="28" customHeight="1" spans="4:23">
      <c r="D679" s="31">
        <v>45975</v>
      </c>
      <c r="E679" s="29">
        <v>19173801</v>
      </c>
      <c r="F679" s="29" t="s">
        <v>65</v>
      </c>
      <c r="G679" s="29" t="s">
        <v>752</v>
      </c>
      <c r="H679" s="29">
        <v>71</v>
      </c>
      <c r="I679" s="29">
        <v>65</v>
      </c>
      <c r="J679" s="29">
        <v>76</v>
      </c>
      <c r="K679" s="29">
        <v>72</v>
      </c>
      <c r="L679" s="29">
        <v>58</v>
      </c>
      <c r="M679" s="29">
        <v>71</v>
      </c>
      <c r="N679" s="29">
        <v>60</v>
      </c>
      <c r="O679" s="32">
        <v>473</v>
      </c>
      <c r="P679" s="29" cm="1">
        <f t="array" ref="P679">IF(表成绩单[[#This Row],[语文]]="","",SUMPRODUCT((表成绩单[考试日期]=表成绩单[[#This Row],[考试日期]])*(表成绩单[语文]&lt;9E+307)*(表成绩单[语文]&gt;表成绩单[[#This Row],[语文]]))+1)</f>
        <v>765</v>
      </c>
      <c r="Q679" s="29" cm="1">
        <f t="array" ref="Q679">IF(表成绩单[[#This Row],[数学]]="","",SUMPRODUCT((表成绩单[考试日期]=表成绩单[[#This Row],[考试日期]])*(表成绩单[数学]&lt;9E+307)*(表成绩单[数学]&gt;表成绩单[[#This Row],[数学]]))+1)</f>
        <v>706</v>
      </c>
      <c r="R679" s="29" cm="1">
        <f t="array" ref="R679">IF(表成绩单[[#This Row],[英语]]="","",SUMPRODUCT((表成绩单[考试日期]=表成绩单[[#This Row],[考试日期]])*(表成绩单[英语]&lt;9E+307)*(表成绩单[英语]&gt;表成绩单[[#This Row],[英语]]))+1)</f>
        <v>399</v>
      </c>
      <c r="S679" s="29" cm="1">
        <f t="array" ref="S679">IF(表成绩单[[#This Row],[物理]]="","",SUMPRODUCT((表成绩单[考试日期]=表成绩单[[#This Row],[考试日期]])*(表成绩单[物理]&lt;9E+307)*(表成绩单[物理]&gt;表成绩单[[#This Row],[物理]]))+1)</f>
        <v>633</v>
      </c>
      <c r="T679" s="29" cm="1">
        <f t="array" ref="T679">IF(表成绩单[[#This Row],[化学]]="","",SUMPRODUCT((表成绩单[考试日期]=表成绩单[[#This Row],[考试日期]])*(表成绩单[化学]&lt;9E+307)*(表成绩单[化学]&gt;表成绩单[[#This Row],[化学]]))+1)</f>
        <v>659</v>
      </c>
      <c r="U679" s="29" cm="1">
        <f t="array" ref="U679">IF(表成绩单[[#This Row],[政治]]="","",SUMPRODUCT((表成绩单[考试日期]=表成绩单[[#This Row],[考试日期]])*(表成绩单[政治]&lt;9E+307)*(表成绩单[政治]&gt;表成绩单[[#This Row],[政治]]))+1)</f>
        <v>467</v>
      </c>
      <c r="V679" s="29" cm="1">
        <f t="array" ref="V679">IF(表成绩单[[#This Row],[历史]]="","",SUMPRODUCT((表成绩单[考试日期]=表成绩单[[#This Row],[考试日期]])*(表成绩单[历史]&lt;9E+307)*(表成绩单[历史]&gt;表成绩单[[#This Row],[历史]]))+1)</f>
        <v>717</v>
      </c>
      <c r="W679" s="29" cm="1">
        <f t="array" ref="W679">IF(表成绩单[[#This Row],[总分]]="","",SUMPRODUCT((表成绩单[考试日期]=表成绩单[[#This Row],[考试日期]])*(表成绩单[总分]&lt;9E+307)*(表成绩单[总分]&gt;表成绩单[[#This Row],[总分]]))+1)</f>
        <v>675</v>
      </c>
    </row>
    <row r="680" ht="28" customHeight="1" spans="4:23">
      <c r="D680" s="31">
        <v>45975</v>
      </c>
      <c r="E680" s="29">
        <v>19177619</v>
      </c>
      <c r="F680" s="29" t="s">
        <v>58</v>
      </c>
      <c r="G680" s="29" t="s">
        <v>753</v>
      </c>
      <c r="H680" s="29">
        <v>76</v>
      </c>
      <c r="I680" s="29">
        <v>75</v>
      </c>
      <c r="J680" s="29">
        <v>69</v>
      </c>
      <c r="K680" s="29">
        <v>75</v>
      </c>
      <c r="L680" s="29">
        <v>57</v>
      </c>
      <c r="M680" s="29">
        <v>61</v>
      </c>
      <c r="N680" s="29">
        <v>59</v>
      </c>
      <c r="O680" s="32">
        <v>472</v>
      </c>
      <c r="P680" s="29" cm="1">
        <f t="array" ref="P680">IF(表成绩单[[#This Row],[语文]]="","",SUMPRODUCT((表成绩单[考试日期]=表成绩单[[#This Row],[考试日期]])*(表成绩单[语文]&lt;9E+307)*(表成绩单[语文]&gt;表成绩单[[#This Row],[语文]]))+1)</f>
        <v>743</v>
      </c>
      <c r="Q680" s="29" cm="1">
        <f t="array" ref="Q680">IF(表成绩单[[#This Row],[数学]]="","",SUMPRODUCT((表成绩单[考试日期]=表成绩单[[#This Row],[考试日期]])*(表成绩单[数学]&lt;9E+307)*(表成绩单[数学]&gt;表成绩单[[#This Row],[数学]]))+1)</f>
        <v>663</v>
      </c>
      <c r="R680" s="29" cm="1">
        <f t="array" ref="R680">IF(表成绩单[[#This Row],[英语]]="","",SUMPRODUCT((表成绩单[考试日期]=表成绩单[[#This Row],[考试日期]])*(表成绩单[英语]&lt;9E+307)*(表成绩单[英语]&gt;表成绩单[[#This Row],[英语]]))+1)</f>
        <v>566</v>
      </c>
      <c r="S680" s="29" cm="1">
        <f t="array" ref="S680">IF(表成绩单[[#This Row],[物理]]="","",SUMPRODUCT((表成绩单[考试日期]=表成绩单[[#This Row],[考试日期]])*(表成绩单[物理]&lt;9E+307)*(表成绩单[物理]&gt;表成绩单[[#This Row],[物理]]))+1)</f>
        <v>601</v>
      </c>
      <c r="T680" s="29" cm="1">
        <f t="array" ref="T680">IF(表成绩单[[#This Row],[化学]]="","",SUMPRODUCT((表成绩单[考试日期]=表成绩单[[#This Row],[考试日期]])*(表成绩单[化学]&lt;9E+307)*(表成绩单[化学]&gt;表成绩单[[#This Row],[化学]]))+1)</f>
        <v>676</v>
      </c>
      <c r="U680" s="29" cm="1">
        <f t="array" ref="U680">IF(表成绩单[[#This Row],[政治]]="","",SUMPRODUCT((表成绩单[考试日期]=表成绩单[[#This Row],[考试日期]])*(表成绩单[政治]&lt;9E+307)*(表成绩单[政治]&gt;表成绩单[[#This Row],[政治]]))+1)</f>
        <v>644</v>
      </c>
      <c r="V680" s="29" cm="1">
        <f t="array" ref="V680">IF(表成绩单[[#This Row],[历史]]="","",SUMPRODUCT((表成绩单[考试日期]=表成绩单[[#This Row],[考试日期]])*(表成绩单[历史]&lt;9E+307)*(表成绩单[历史]&gt;表成绩单[[#This Row],[历史]]))+1)</f>
        <v>724</v>
      </c>
      <c r="W680" s="29" cm="1">
        <f t="array" ref="W680">IF(表成绩单[[#This Row],[总分]]="","",SUMPRODUCT((表成绩单[考试日期]=表成绩单[[#This Row],[考试日期]])*(表成绩单[总分]&lt;9E+307)*(表成绩单[总分]&gt;表成绩单[[#This Row],[总分]]))+1)</f>
        <v>676</v>
      </c>
    </row>
    <row r="681" ht="28" customHeight="1" spans="4:23">
      <c r="D681" s="31">
        <v>45975</v>
      </c>
      <c r="E681" s="29">
        <v>19178602</v>
      </c>
      <c r="F681" s="29" t="s">
        <v>64</v>
      </c>
      <c r="G681" s="29" t="s">
        <v>754</v>
      </c>
      <c r="H681" s="29">
        <v>91</v>
      </c>
      <c r="I681" s="29">
        <v>56</v>
      </c>
      <c r="J681" s="29">
        <v>43</v>
      </c>
      <c r="K681" s="29">
        <v>85</v>
      </c>
      <c r="L681" s="29">
        <v>73</v>
      </c>
      <c r="M681" s="29">
        <v>60</v>
      </c>
      <c r="N681" s="29">
        <v>63</v>
      </c>
      <c r="O681" s="32">
        <v>471</v>
      </c>
      <c r="P681" s="29" cm="1">
        <f t="array" ref="P681">IF(表成绩单[[#This Row],[语文]]="","",SUMPRODUCT((表成绩单[考试日期]=表成绩单[[#This Row],[考试日期]])*(表成绩单[语文]&lt;9E+307)*(表成绩单[语文]&gt;表成绩单[[#This Row],[语文]]))+1)</f>
        <v>536</v>
      </c>
      <c r="Q681" s="29" cm="1">
        <f t="array" ref="Q681">IF(表成绩单[[#This Row],[数学]]="","",SUMPRODUCT((表成绩单[考试日期]=表成绩单[[#This Row],[考试日期]])*(表成绩单[数学]&lt;9E+307)*(表成绩单[数学]&gt;表成绩单[[#This Row],[数学]]))+1)</f>
        <v>742</v>
      </c>
      <c r="R681" s="29" cm="1">
        <f t="array" ref="R681">IF(表成绩单[[#This Row],[英语]]="","",SUMPRODUCT((表成绩单[考试日期]=表成绩单[[#This Row],[考试日期]])*(表成绩单[英语]&lt;9E+307)*(表成绩单[英语]&gt;表成绩单[[#This Row],[英语]]))+1)</f>
        <v>757</v>
      </c>
      <c r="S681" s="29" cm="1">
        <f t="array" ref="S681">IF(表成绩单[[#This Row],[物理]]="","",SUMPRODUCT((表成绩单[考试日期]=表成绩单[[#This Row],[考试日期]])*(表成绩单[物理]&lt;9E+307)*(表成绩单[物理]&gt;表成绩单[[#This Row],[物理]]))+1)</f>
        <v>263</v>
      </c>
      <c r="T681" s="29" cm="1">
        <f t="array" ref="T681">IF(表成绩单[[#This Row],[化学]]="","",SUMPRODUCT((表成绩单[考试日期]=表成绩单[[#This Row],[考试日期]])*(表成绩单[化学]&lt;9E+307)*(表成绩单[化学]&gt;表成绩单[[#This Row],[化学]]))+1)</f>
        <v>365</v>
      </c>
      <c r="U681" s="29" cm="1">
        <f t="array" ref="U681">IF(表成绩单[[#This Row],[政治]]="","",SUMPRODUCT((表成绩单[考试日期]=表成绩单[[#This Row],[考试日期]])*(表成绩单[政治]&lt;9E+307)*(表成绩单[政治]&gt;表成绩单[[#This Row],[政治]]))+1)</f>
        <v>671</v>
      </c>
      <c r="V681" s="29" cm="1">
        <f t="array" ref="V681">IF(表成绩单[[#This Row],[历史]]="","",SUMPRODUCT((表成绩单[考试日期]=表成绩单[[#This Row],[考试日期]])*(表成绩单[历史]&lt;9E+307)*(表成绩单[历史]&gt;表成绩单[[#This Row],[历史]]))+1)</f>
        <v>675</v>
      </c>
      <c r="W681" s="29" cm="1">
        <f t="array" ref="W681">IF(表成绩单[[#This Row],[总分]]="","",SUMPRODUCT((表成绩单[考试日期]=表成绩单[[#This Row],[考试日期]])*(表成绩单[总分]&lt;9E+307)*(表成绩单[总分]&gt;表成绩单[[#This Row],[总分]]))+1)</f>
        <v>677</v>
      </c>
    </row>
    <row r="682" ht="28" customHeight="1" spans="4:23">
      <c r="D682" s="31">
        <v>45975</v>
      </c>
      <c r="E682" s="29">
        <v>19172664</v>
      </c>
      <c r="F682" s="29" t="s">
        <v>60</v>
      </c>
      <c r="G682" s="29" t="s">
        <v>755</v>
      </c>
      <c r="H682" s="29">
        <v>87</v>
      </c>
      <c r="I682" s="29">
        <v>71</v>
      </c>
      <c r="J682" s="29">
        <v>63</v>
      </c>
      <c r="K682" s="29">
        <v>70</v>
      </c>
      <c r="L682" s="29">
        <v>59</v>
      </c>
      <c r="M682" s="29">
        <v>58</v>
      </c>
      <c r="N682" s="29">
        <v>62</v>
      </c>
      <c r="O682" s="32">
        <v>470</v>
      </c>
      <c r="P682" s="29" cm="1">
        <f t="array" ref="P682">IF(表成绩单[[#This Row],[语文]]="","",SUMPRODUCT((表成绩单[考试日期]=表成绩单[[#This Row],[考试日期]])*(表成绩单[语文]&lt;9E+307)*(表成绩单[语文]&gt;表成绩单[[#This Row],[语文]]))+1)</f>
        <v>615</v>
      </c>
      <c r="Q682" s="29" cm="1">
        <f t="array" ref="Q682">IF(表成绩单[[#This Row],[数学]]="","",SUMPRODUCT((表成绩单[考试日期]=表成绩单[[#This Row],[考试日期]])*(表成绩单[数学]&lt;9E+307)*(表成绩单[数学]&gt;表成绩单[[#This Row],[数学]]))+1)</f>
        <v>679</v>
      </c>
      <c r="R682" s="29" cm="1">
        <f t="array" ref="R682">IF(表成绩单[[#This Row],[英语]]="","",SUMPRODUCT((表成绩单[考试日期]=表成绩单[[#This Row],[考试日期]])*(表成绩单[英语]&lt;9E+307)*(表成绩单[英语]&gt;表成绩单[[#This Row],[英语]]))+1)</f>
        <v>642</v>
      </c>
      <c r="S682" s="29" cm="1">
        <f t="array" ref="S682">IF(表成绩单[[#This Row],[物理]]="","",SUMPRODUCT((表成绩单[考试日期]=表成绩单[[#This Row],[考试日期]])*(表成绩单[物理]&lt;9E+307)*(表成绩单[物理]&gt;表成绩单[[#This Row],[物理]]))+1)</f>
        <v>653</v>
      </c>
      <c r="T682" s="29" cm="1">
        <f t="array" ref="T682">IF(表成绩单[[#This Row],[化学]]="","",SUMPRODUCT((表成绩单[考试日期]=表成绩单[[#This Row],[考试日期]])*(表成绩单[化学]&lt;9E+307)*(表成绩单[化学]&gt;表成绩单[[#This Row],[化学]]))+1)</f>
        <v>648</v>
      </c>
      <c r="U682" s="29" cm="1">
        <f t="array" ref="U682">IF(表成绩单[[#This Row],[政治]]="","",SUMPRODUCT((表成绩单[考试日期]=表成绩单[[#This Row],[考试日期]])*(表成绩单[政治]&lt;9E+307)*(表成绩单[政治]&gt;表成绩单[[#This Row],[政治]]))+1)</f>
        <v>691</v>
      </c>
      <c r="V682" s="29" cm="1">
        <f t="array" ref="V682">IF(表成绩单[[#This Row],[历史]]="","",SUMPRODUCT((表成绩单[考试日期]=表成绩单[[#This Row],[考试日期]])*(表成绩单[历史]&lt;9E+307)*(表成绩单[历史]&gt;表成绩单[[#This Row],[历史]]))+1)</f>
        <v>688</v>
      </c>
      <c r="W682" s="29" cm="1">
        <f t="array" ref="W682">IF(表成绩单[[#This Row],[总分]]="","",SUMPRODUCT((表成绩单[考试日期]=表成绩单[[#This Row],[考试日期]])*(表成绩单[总分]&lt;9E+307)*(表成绩单[总分]&gt;表成绩单[[#This Row],[总分]]))+1)</f>
        <v>678</v>
      </c>
    </row>
    <row r="683" ht="28" customHeight="1" spans="4:23">
      <c r="D683" s="31">
        <v>45975</v>
      </c>
      <c r="E683" s="29">
        <v>19177627</v>
      </c>
      <c r="F683" s="29" t="s">
        <v>58</v>
      </c>
      <c r="G683" s="29" t="s">
        <v>756</v>
      </c>
      <c r="H683" s="29">
        <v>91</v>
      </c>
      <c r="I683" s="29">
        <v>82</v>
      </c>
      <c r="J683" s="29">
        <v>68.5</v>
      </c>
      <c r="K683" s="29">
        <v>64</v>
      </c>
      <c r="L683" s="29">
        <v>47</v>
      </c>
      <c r="M683" s="29">
        <v>59</v>
      </c>
      <c r="N683" s="29">
        <v>58</v>
      </c>
      <c r="O683" s="32">
        <v>469.5</v>
      </c>
      <c r="P683" s="29" cm="1">
        <f t="array" ref="P683">IF(表成绩单[[#This Row],[语文]]="","",SUMPRODUCT((表成绩单[考试日期]=表成绩单[[#This Row],[考试日期]])*(表成绩单[语文]&lt;9E+307)*(表成绩单[语文]&gt;表成绩单[[#This Row],[语文]]))+1)</f>
        <v>536</v>
      </c>
      <c r="Q683" s="29" cm="1">
        <f t="array" ref="Q683">IF(表成绩单[[#This Row],[数学]]="","",SUMPRODUCT((表成绩单[考试日期]=表成绩单[[#This Row],[考试日期]])*(表成绩单[数学]&lt;9E+307)*(表成绩单[数学]&gt;表成绩单[[#This Row],[数学]]))+1)</f>
        <v>607</v>
      </c>
      <c r="R683" s="29" cm="1">
        <f t="array" ref="R683">IF(表成绩单[[#This Row],[英语]]="","",SUMPRODUCT((表成绩单[考试日期]=表成绩单[[#This Row],[考试日期]])*(表成绩单[英语]&lt;9E+307)*(表成绩单[英语]&gt;表成绩单[[#This Row],[英语]]))+1)</f>
        <v>571</v>
      </c>
      <c r="S683" s="29" cm="1">
        <f t="array" ref="S683">IF(表成绩单[[#This Row],[物理]]="","",SUMPRODUCT((表成绩单[考试日期]=表成绩单[[#This Row],[考试日期]])*(表成绩单[物理]&lt;9E+307)*(表成绩单[物理]&gt;表成绩单[[#This Row],[物理]]))+1)</f>
        <v>697</v>
      </c>
      <c r="T683" s="29" cm="1">
        <f t="array" ref="T683">IF(表成绩单[[#This Row],[化学]]="","",SUMPRODUCT((表成绩单[考试日期]=表成绩单[[#This Row],[考试日期]])*(表成绩单[化学]&lt;9E+307)*(表成绩单[化学]&gt;表成绩单[[#This Row],[化学]]))+1)</f>
        <v>750</v>
      </c>
      <c r="U683" s="29" cm="1">
        <f t="array" ref="U683">IF(表成绩单[[#This Row],[政治]]="","",SUMPRODUCT((表成绩单[考试日期]=表成绩单[[#This Row],[考试日期]])*(表成绩单[政治]&lt;9E+307)*(表成绩单[政治]&gt;表成绩单[[#This Row],[政治]]))+1)</f>
        <v>681</v>
      </c>
      <c r="V683" s="29" cm="1">
        <f t="array" ref="V683">IF(表成绩单[[#This Row],[历史]]="","",SUMPRODUCT((表成绩单[考试日期]=表成绩单[[#This Row],[考试日期]])*(表成绩单[历史]&lt;9E+307)*(表成绩单[历史]&gt;表成绩单[[#This Row],[历史]]))+1)</f>
        <v>735</v>
      </c>
      <c r="W683" s="29" cm="1">
        <f t="array" ref="W683">IF(表成绩单[[#This Row],[总分]]="","",SUMPRODUCT((表成绩单[考试日期]=表成绩单[[#This Row],[考试日期]])*(表成绩单[总分]&lt;9E+307)*(表成绩单[总分]&gt;表成绩单[[#This Row],[总分]]))+1)</f>
        <v>679</v>
      </c>
    </row>
    <row r="684" ht="28" customHeight="1" spans="4:23">
      <c r="D684" s="31">
        <v>45975</v>
      </c>
      <c r="E684" s="29">
        <v>24038265</v>
      </c>
      <c r="F684" s="29" t="s">
        <v>60</v>
      </c>
      <c r="G684" s="29" t="s">
        <v>757</v>
      </c>
      <c r="H684" s="29">
        <v>88</v>
      </c>
      <c r="I684" s="29">
        <v>55</v>
      </c>
      <c r="J684" s="29">
        <v>77</v>
      </c>
      <c r="K684" s="29">
        <v>51</v>
      </c>
      <c r="L684" s="29">
        <v>56</v>
      </c>
      <c r="M684" s="29">
        <v>61</v>
      </c>
      <c r="N684" s="29">
        <v>80</v>
      </c>
      <c r="O684" s="32">
        <v>468</v>
      </c>
      <c r="P684" s="29" cm="1">
        <f t="array" ref="P684">IF(表成绩单[[#This Row],[语文]]="","",SUMPRODUCT((表成绩单[考试日期]=表成绩单[[#This Row],[考试日期]])*(表成绩单[语文]&lt;9E+307)*(表成绩单[语文]&gt;表成绩单[[#This Row],[语文]]))+1)</f>
        <v>595</v>
      </c>
      <c r="Q684" s="29" cm="1">
        <f t="array" ref="Q684">IF(表成绩单[[#This Row],[数学]]="","",SUMPRODUCT((表成绩单[考试日期]=表成绩单[[#This Row],[考试日期]])*(表成绩单[数学]&lt;9E+307)*(表成绩单[数学]&gt;表成绩单[[#This Row],[数学]]))+1)</f>
        <v>744</v>
      </c>
      <c r="R684" s="29" cm="1">
        <f t="array" ref="R684">IF(表成绩单[[#This Row],[英语]]="","",SUMPRODUCT((表成绩单[考试日期]=表成绩单[[#This Row],[考试日期]])*(表成绩单[英语]&lt;9E+307)*(表成绩单[英语]&gt;表成绩单[[#This Row],[英语]]))+1)</f>
        <v>369</v>
      </c>
      <c r="S684" s="29" cm="1">
        <f t="array" ref="S684">IF(表成绩单[[#This Row],[物理]]="","",SUMPRODUCT((表成绩单[考试日期]=表成绩单[[#This Row],[考试日期]])*(表成绩单[物理]&lt;9E+307)*(表成绩单[物理]&gt;表成绩单[[#This Row],[物理]]))+1)</f>
        <v>758</v>
      </c>
      <c r="T684" s="29" cm="1">
        <f t="array" ref="T684">IF(表成绩单[[#This Row],[化学]]="","",SUMPRODUCT((表成绩单[考试日期]=表成绩单[[#This Row],[考试日期]])*(表成绩单[化学]&lt;9E+307)*(表成绩单[化学]&gt;表成绩单[[#This Row],[化学]]))+1)</f>
        <v>680</v>
      </c>
      <c r="U684" s="29" cm="1">
        <f t="array" ref="U684">IF(表成绩单[[#This Row],[政治]]="","",SUMPRODUCT((表成绩单[考试日期]=表成绩单[[#This Row],[考试日期]])*(表成绩单[政治]&lt;9E+307)*(表成绩单[政治]&gt;表成绩单[[#This Row],[政治]]))+1)</f>
        <v>644</v>
      </c>
      <c r="V684" s="29" cm="1">
        <f t="array" ref="V684">IF(表成绩单[[#This Row],[历史]]="","",SUMPRODUCT((表成绩单[考试日期]=表成绩单[[#This Row],[考试日期]])*(表成绩单[历史]&lt;9E+307)*(表成绩单[历史]&gt;表成绩单[[#This Row],[历史]]))+1)</f>
        <v>108</v>
      </c>
      <c r="W684" s="29" cm="1">
        <f t="array" ref="W684">IF(表成绩单[[#This Row],[总分]]="","",SUMPRODUCT((表成绩单[考试日期]=表成绩单[[#This Row],[考试日期]])*(表成绩单[总分]&lt;9E+307)*(表成绩单[总分]&gt;表成绩单[[#This Row],[总分]]))+1)</f>
        <v>680</v>
      </c>
    </row>
    <row r="685" ht="28" customHeight="1" spans="4:23">
      <c r="D685" s="31">
        <v>45975</v>
      </c>
      <c r="E685" s="29">
        <v>19172627</v>
      </c>
      <c r="F685" s="29" t="s">
        <v>60</v>
      </c>
      <c r="G685" s="29" t="s">
        <v>758</v>
      </c>
      <c r="H685" s="29">
        <v>83</v>
      </c>
      <c r="I685" s="29">
        <v>85</v>
      </c>
      <c r="J685" s="29">
        <v>36.5</v>
      </c>
      <c r="K685" s="29">
        <v>75</v>
      </c>
      <c r="L685" s="29">
        <v>60</v>
      </c>
      <c r="M685" s="29">
        <v>62</v>
      </c>
      <c r="N685" s="29">
        <v>65</v>
      </c>
      <c r="O685" s="32">
        <v>466.5</v>
      </c>
      <c r="P685" s="29" cm="1">
        <f t="array" ref="P685">IF(表成绩单[[#This Row],[语文]]="","",SUMPRODUCT((表成绩单[考试日期]=表成绩单[[#This Row],[考试日期]])*(表成绩单[语文]&lt;9E+307)*(表成绩单[语文]&gt;表成绩单[[#This Row],[语文]]))+1)</f>
        <v>670</v>
      </c>
      <c r="Q685" s="29" cm="1">
        <f t="array" ref="Q685">IF(表成绩单[[#This Row],[数学]]="","",SUMPRODUCT((表成绩单[考试日期]=表成绩单[[#This Row],[考试日期]])*(表成绩单[数学]&lt;9E+307)*(表成绩单[数学]&gt;表成绩单[[#This Row],[数学]]))+1)</f>
        <v>571</v>
      </c>
      <c r="R685" s="29" cm="1">
        <f t="array" ref="R685">IF(表成绩单[[#This Row],[英语]]="","",SUMPRODUCT((表成绩单[考试日期]=表成绩单[[#This Row],[考试日期]])*(表成绩单[英语]&lt;9E+307)*(表成绩单[英语]&gt;表成绩单[[#This Row],[英语]]))+1)</f>
        <v>772</v>
      </c>
      <c r="S685" s="29" cm="1">
        <f t="array" ref="S685">IF(表成绩单[[#This Row],[物理]]="","",SUMPRODUCT((表成绩单[考试日期]=表成绩单[[#This Row],[考试日期]])*(表成绩单[物理]&lt;9E+307)*(表成绩单[物理]&gt;表成绩单[[#This Row],[物理]]))+1)</f>
        <v>601</v>
      </c>
      <c r="T685" s="29" cm="1">
        <f t="array" ref="T685">IF(表成绩单[[#This Row],[化学]]="","",SUMPRODUCT((表成绩单[考试日期]=表成绩单[[#This Row],[考试日期]])*(表成绩单[化学]&lt;9E+307)*(表成绩单[化学]&gt;表成绩单[[#This Row],[化学]]))+1)</f>
        <v>639</v>
      </c>
      <c r="U685" s="29" cm="1">
        <f t="array" ref="U685">IF(表成绩单[[#This Row],[政治]]="","",SUMPRODUCT((表成绩单[考试日期]=表成绩单[[#This Row],[考试日期]])*(表成绩单[政治]&lt;9E+307)*(表成绩单[政治]&gt;表成绩单[[#This Row],[政治]]))+1)</f>
        <v>628</v>
      </c>
      <c r="V685" s="29" cm="1">
        <f t="array" ref="V685">IF(表成绩单[[#This Row],[历史]]="","",SUMPRODUCT((表成绩单[考试日期]=表成绩单[[#This Row],[考试日期]])*(表成绩单[历史]&lt;9E+307)*(表成绩单[历史]&gt;表成绩单[[#This Row],[历史]]))+1)</f>
        <v>644</v>
      </c>
      <c r="W685" s="29" cm="1">
        <f t="array" ref="W685">IF(表成绩单[[#This Row],[总分]]="","",SUMPRODUCT((表成绩单[考试日期]=表成绩单[[#This Row],[考试日期]])*(表成绩单[总分]&lt;9E+307)*(表成绩单[总分]&gt;表成绩单[[#This Row],[总分]]))+1)</f>
        <v>681</v>
      </c>
    </row>
    <row r="686" ht="28" customHeight="1" spans="4:23">
      <c r="D686" s="31">
        <v>45975</v>
      </c>
      <c r="E686" s="29">
        <v>19175305</v>
      </c>
      <c r="F686" s="29" t="s">
        <v>55</v>
      </c>
      <c r="G686" s="29" t="s">
        <v>759</v>
      </c>
      <c r="H686" s="29">
        <v>91</v>
      </c>
      <c r="I686" s="29">
        <v>65</v>
      </c>
      <c r="J686" s="29">
        <v>49.5</v>
      </c>
      <c r="K686" s="29">
        <v>58</v>
      </c>
      <c r="L686" s="29">
        <v>53</v>
      </c>
      <c r="M686" s="29">
        <v>80</v>
      </c>
      <c r="N686" s="29">
        <v>70</v>
      </c>
      <c r="O686" s="32">
        <v>466.5</v>
      </c>
      <c r="P686" s="29" cm="1">
        <f t="array" ref="P686">IF(表成绩单[[#This Row],[语文]]="","",SUMPRODUCT((表成绩单[考试日期]=表成绩单[[#This Row],[考试日期]])*(表成绩单[语文]&lt;9E+307)*(表成绩单[语文]&gt;表成绩单[[#This Row],[语文]]))+1)</f>
        <v>536</v>
      </c>
      <c r="Q686" s="29" cm="1">
        <f t="array" ref="Q686">IF(表成绩单[[#This Row],[数学]]="","",SUMPRODUCT((表成绩单[考试日期]=表成绩单[[#This Row],[考试日期]])*(表成绩单[数学]&lt;9E+307)*(表成绩单[数学]&gt;表成绩单[[#This Row],[数学]]))+1)</f>
        <v>706</v>
      </c>
      <c r="R686" s="29" cm="1">
        <f t="array" ref="R686">IF(表成绩单[[#This Row],[英语]]="","",SUMPRODUCT((表成绩单[考试日期]=表成绩单[[#This Row],[考试日期]])*(表成绩单[英语]&lt;9E+307)*(表成绩单[英语]&gt;表成绩单[[#This Row],[英语]]))+1)</f>
        <v>729</v>
      </c>
      <c r="S686" s="29" cm="1">
        <f t="array" ref="S686">IF(表成绩单[[#This Row],[物理]]="","",SUMPRODUCT((表成绩单[考试日期]=表成绩单[[#This Row],[考试日期]])*(表成绩单[物理]&lt;9E+307)*(表成绩单[物理]&gt;表成绩单[[#This Row],[物理]]))+1)</f>
        <v>726</v>
      </c>
      <c r="T686" s="29" cm="1">
        <f t="array" ref="T686">IF(表成绩单[[#This Row],[化学]]="","",SUMPRODUCT((表成绩单[考试日期]=表成绩单[[#This Row],[考试日期]])*(表成绩单[化学]&lt;9E+307)*(表成绩单[化学]&gt;表成绩单[[#This Row],[化学]]))+1)</f>
        <v>715</v>
      </c>
      <c r="U686" s="29" cm="1">
        <f t="array" ref="U686">IF(表成绩单[[#This Row],[政治]]="","",SUMPRODUCT((表成绩单[考试日期]=表成绩单[[#This Row],[考试日期]])*(表成绩单[政治]&lt;9E+307)*(表成绩单[政治]&gt;表成绩单[[#This Row],[政治]]))+1)</f>
        <v>209</v>
      </c>
      <c r="V686" s="29" cm="1">
        <f t="array" ref="V686">IF(表成绩单[[#This Row],[历史]]="","",SUMPRODUCT((表成绩单[考试日期]=表成绩单[[#This Row],[考试日期]])*(表成绩单[历史]&lt;9E+307)*(表成绩单[历史]&gt;表成绩单[[#This Row],[历史]]))+1)</f>
        <v>505</v>
      </c>
      <c r="W686" s="29" cm="1">
        <f t="array" ref="W686">IF(表成绩单[[#This Row],[总分]]="","",SUMPRODUCT((表成绩单[考试日期]=表成绩单[[#This Row],[考试日期]])*(表成绩单[总分]&lt;9E+307)*(表成绩单[总分]&gt;表成绩单[[#This Row],[总分]]))+1)</f>
        <v>681</v>
      </c>
    </row>
    <row r="687" ht="28" customHeight="1" spans="4:23">
      <c r="D687" s="31">
        <v>45975</v>
      </c>
      <c r="E687" s="29">
        <v>19176007</v>
      </c>
      <c r="F687" s="29" t="s">
        <v>59</v>
      </c>
      <c r="G687" s="29" t="s">
        <v>760</v>
      </c>
      <c r="H687" s="29">
        <v>75</v>
      </c>
      <c r="I687" s="29">
        <v>76</v>
      </c>
      <c r="J687" s="29">
        <v>63.5</v>
      </c>
      <c r="K687" s="29">
        <v>57</v>
      </c>
      <c r="L687" s="29">
        <v>61</v>
      </c>
      <c r="M687" s="29">
        <v>63</v>
      </c>
      <c r="N687" s="29">
        <v>71</v>
      </c>
      <c r="O687" s="32">
        <v>466.5</v>
      </c>
      <c r="P687" s="29" cm="1">
        <f t="array" ref="P687">IF(表成绩单[[#This Row],[语文]]="","",SUMPRODUCT((表成绩单[考试日期]=表成绩单[[#This Row],[考试日期]])*(表成绩单[语文]&lt;9E+307)*(表成绩单[语文]&gt;表成绩单[[#This Row],[语文]]))+1)</f>
        <v>747</v>
      </c>
      <c r="Q687" s="29" cm="1">
        <f t="array" ref="Q687">IF(表成绩单[[#This Row],[数学]]="","",SUMPRODUCT((表成绩单[考试日期]=表成绩单[[#This Row],[考试日期]])*(表成绩单[数学]&lt;9E+307)*(表成绩单[数学]&gt;表成绩单[[#This Row],[数学]]))+1)</f>
        <v>654</v>
      </c>
      <c r="R687" s="29" cm="1">
        <f t="array" ref="R687">IF(表成绩单[[#This Row],[英语]]="","",SUMPRODUCT((表成绩单[考试日期]=表成绩单[[#This Row],[考试日期]])*(表成绩单[英语]&lt;9E+307)*(表成绩单[英语]&gt;表成绩单[[#This Row],[英语]]))+1)</f>
        <v>637</v>
      </c>
      <c r="S687" s="29" cm="1">
        <f t="array" ref="S687">IF(表成绩单[[#This Row],[物理]]="","",SUMPRODUCT((表成绩单[考试日期]=表成绩单[[#This Row],[考试日期]])*(表成绩单[物理]&lt;9E+307)*(表成绩单[物理]&gt;表成绩单[[#This Row],[物理]]))+1)</f>
        <v>731</v>
      </c>
      <c r="T687" s="29" cm="1">
        <f t="array" ref="T687">IF(表成绩单[[#This Row],[化学]]="","",SUMPRODUCT((表成绩单[考试日期]=表成绩单[[#This Row],[考试日期]])*(表成绩单[化学]&lt;9E+307)*(表成绩单[化学]&gt;表成绩单[[#This Row],[化学]]))+1)</f>
        <v>625</v>
      </c>
      <c r="U687" s="29" cm="1">
        <f t="array" ref="U687">IF(表成绩单[[#This Row],[政治]]="","",SUMPRODUCT((表成绩单[考试日期]=表成绩单[[#This Row],[考试日期]])*(表成绩单[政治]&lt;9E+307)*(表成绩单[政治]&gt;表成绩单[[#This Row],[政治]]))+1)</f>
        <v>618</v>
      </c>
      <c r="V687" s="29" cm="1">
        <f t="array" ref="V687">IF(表成绩单[[#This Row],[历史]]="","",SUMPRODUCT((表成绩单[考试日期]=表成绩单[[#This Row],[考试日期]])*(表成绩单[历史]&lt;9E+307)*(表成绩单[历史]&gt;表成绩单[[#This Row],[历史]]))+1)</f>
        <v>480</v>
      </c>
      <c r="W687" s="29" cm="1">
        <f t="array" ref="W687">IF(表成绩单[[#This Row],[总分]]="","",SUMPRODUCT((表成绩单[考试日期]=表成绩单[[#This Row],[考试日期]])*(表成绩单[总分]&lt;9E+307)*(表成绩单[总分]&gt;表成绩单[[#This Row],[总分]]))+1)</f>
        <v>681</v>
      </c>
    </row>
    <row r="688" ht="28" customHeight="1" spans="4:23">
      <c r="D688" s="31">
        <v>45975</v>
      </c>
      <c r="E688" s="29">
        <v>19175325</v>
      </c>
      <c r="F688" s="29" t="s">
        <v>55</v>
      </c>
      <c r="G688" s="29" t="s">
        <v>761</v>
      </c>
      <c r="H688" s="29">
        <v>78</v>
      </c>
      <c r="I688" s="29">
        <v>87</v>
      </c>
      <c r="J688" s="29">
        <v>55</v>
      </c>
      <c r="K688" s="29">
        <v>71</v>
      </c>
      <c r="L688" s="29">
        <v>54</v>
      </c>
      <c r="M688" s="29">
        <v>57</v>
      </c>
      <c r="N688" s="29">
        <v>64</v>
      </c>
      <c r="O688" s="32">
        <v>466</v>
      </c>
      <c r="P688" s="29" cm="1">
        <f t="array" ref="P688">IF(表成绩单[[#This Row],[语文]]="","",SUMPRODUCT((表成绩单[考试日期]=表成绩单[[#This Row],[考试日期]])*(表成绩单[语文]&lt;9E+307)*(表成绩单[语文]&gt;表成绩单[[#This Row],[语文]]))+1)</f>
        <v>728</v>
      </c>
      <c r="Q688" s="29" cm="1">
        <f t="array" ref="Q688">IF(表成绩单[[#This Row],[数学]]="","",SUMPRODUCT((表成绩单[考试日期]=表成绩单[[#This Row],[考试日期]])*(表成绩单[数学]&lt;9E+307)*(表成绩单[数学]&gt;表成绩单[[#This Row],[数学]]))+1)</f>
        <v>547</v>
      </c>
      <c r="R688" s="29" cm="1">
        <f t="array" ref="R688">IF(表成绩单[[#This Row],[英语]]="","",SUMPRODUCT((表成绩单[考试日期]=表成绩单[[#This Row],[考试日期]])*(表成绩单[英语]&lt;9E+307)*(表成绩单[英语]&gt;表成绩单[[#This Row],[英语]]))+1)</f>
        <v>699</v>
      </c>
      <c r="S688" s="29" cm="1">
        <f t="array" ref="S688">IF(表成绩单[[#This Row],[物理]]="","",SUMPRODUCT((表成绩单[考试日期]=表成绩单[[#This Row],[考试日期]])*(表成绩单[物理]&lt;9E+307)*(表成绩单[物理]&gt;表成绩单[[#This Row],[物理]]))+1)</f>
        <v>648</v>
      </c>
      <c r="T688" s="29" cm="1">
        <f t="array" ref="T688">IF(表成绩单[[#This Row],[化学]]="","",SUMPRODUCT((表成绩单[考试日期]=表成绩单[[#This Row],[考试日期]])*(表成绩单[化学]&lt;9E+307)*(表成绩单[化学]&gt;表成绩单[[#This Row],[化学]]))+1)</f>
        <v>707</v>
      </c>
      <c r="U688" s="29" cm="1">
        <f t="array" ref="U688">IF(表成绩单[[#This Row],[政治]]="","",SUMPRODUCT((表成绩单[考试日期]=表成绩单[[#This Row],[考试日期]])*(表成绩单[政治]&lt;9E+307)*(表成绩单[政治]&gt;表成绩单[[#This Row],[政治]]))+1)</f>
        <v>698</v>
      </c>
      <c r="V688" s="29" cm="1">
        <f t="array" ref="V688">IF(表成绩单[[#This Row],[历史]]="","",SUMPRODUCT((表成绩单[考试日期]=表成绩单[[#This Row],[考试日期]])*(表成绩单[历史]&lt;9E+307)*(表成绩单[历史]&gt;表成绩单[[#This Row],[历史]]))+1)</f>
        <v>660</v>
      </c>
      <c r="W688" s="29" cm="1">
        <f t="array" ref="W688">IF(表成绩单[[#This Row],[总分]]="","",SUMPRODUCT((表成绩单[考试日期]=表成绩单[[#This Row],[考试日期]])*(表成绩单[总分]&lt;9E+307)*(表成绩单[总分]&gt;表成绩单[[#This Row],[总分]]))+1)</f>
        <v>684</v>
      </c>
    </row>
    <row r="689" ht="28" customHeight="1" spans="4:23">
      <c r="D689" s="31">
        <v>45975</v>
      </c>
      <c r="E689" s="29">
        <v>19178579</v>
      </c>
      <c r="F689" s="29" t="s">
        <v>64</v>
      </c>
      <c r="G689" s="29" t="s">
        <v>762</v>
      </c>
      <c r="H689" s="29">
        <v>90</v>
      </c>
      <c r="I689" s="29">
        <v>73</v>
      </c>
      <c r="J689" s="29">
        <v>59</v>
      </c>
      <c r="K689" s="29">
        <v>66</v>
      </c>
      <c r="L689" s="29">
        <v>47</v>
      </c>
      <c r="M689" s="29">
        <v>67</v>
      </c>
      <c r="N689" s="29">
        <v>64</v>
      </c>
      <c r="O689" s="32">
        <v>466</v>
      </c>
      <c r="P689" s="29" cm="1">
        <f t="array" ref="P689">IF(表成绩单[[#This Row],[语文]]="","",SUMPRODUCT((表成绩单[考试日期]=表成绩单[[#This Row],[考试日期]])*(表成绩单[语文]&lt;9E+307)*(表成绩单[语文]&gt;表成绩单[[#This Row],[语文]]))+1)</f>
        <v>561</v>
      </c>
      <c r="Q689" s="29" cm="1">
        <f t="array" ref="Q689">IF(表成绩单[[#This Row],[数学]]="","",SUMPRODUCT((表成绩单[考试日期]=表成绩单[[#This Row],[考试日期]])*(表成绩单[数学]&lt;9E+307)*(表成绩单[数学]&gt;表成绩单[[#This Row],[数学]]))+1)</f>
        <v>671</v>
      </c>
      <c r="R689" s="29" cm="1">
        <f t="array" ref="R689">IF(表成绩单[[#This Row],[英语]]="","",SUMPRODUCT((表成绩单[考试日期]=表成绩单[[#This Row],[考试日期]])*(表成绩单[英语]&lt;9E+307)*(表成绩单[英语]&gt;表成绩单[[#This Row],[英语]]))+1)</f>
        <v>677</v>
      </c>
      <c r="S689" s="29" cm="1">
        <f t="array" ref="S689">IF(表成绩单[[#This Row],[物理]]="","",SUMPRODUCT((表成绩单[考试日期]=表成绩单[[#This Row],[考试日期]])*(表成绩单[物理]&lt;9E+307)*(表成绩单[物理]&gt;表成绩单[[#This Row],[物理]]))+1)</f>
        <v>681</v>
      </c>
      <c r="T689" s="29" cm="1">
        <f t="array" ref="T689">IF(表成绩单[[#This Row],[化学]]="","",SUMPRODUCT((表成绩单[考试日期]=表成绩单[[#This Row],[考试日期]])*(表成绩单[化学]&lt;9E+307)*(表成绩单[化学]&gt;表成绩单[[#This Row],[化学]]))+1)</f>
        <v>750</v>
      </c>
      <c r="U689" s="29" cm="1">
        <f t="array" ref="U689">IF(表成绩单[[#This Row],[政治]]="","",SUMPRODUCT((表成绩单[考试日期]=表成绩单[[#This Row],[考试日期]])*(表成绩单[政治]&lt;9E+307)*(表成绩单[政治]&gt;表成绩单[[#This Row],[政治]]))+1)</f>
        <v>543</v>
      </c>
      <c r="V689" s="29" cm="1">
        <f t="array" ref="V689">IF(表成绩单[[#This Row],[历史]]="","",SUMPRODUCT((表成绩单[考试日期]=表成绩单[[#This Row],[考试日期]])*(表成绩单[历史]&lt;9E+307)*(表成绩单[历史]&gt;表成绩单[[#This Row],[历史]]))+1)</f>
        <v>660</v>
      </c>
      <c r="W689" s="29" cm="1">
        <f t="array" ref="W689">IF(表成绩单[[#This Row],[总分]]="","",SUMPRODUCT((表成绩单[考试日期]=表成绩单[[#This Row],[考试日期]])*(表成绩单[总分]&lt;9E+307)*(表成绩单[总分]&gt;表成绩单[[#This Row],[总分]]))+1)</f>
        <v>684</v>
      </c>
    </row>
    <row r="690" ht="28" customHeight="1" spans="4:23">
      <c r="D690" s="31">
        <v>45975</v>
      </c>
      <c r="E690" s="29">
        <v>19175615</v>
      </c>
      <c r="F690" s="29" t="s">
        <v>57</v>
      </c>
      <c r="G690" s="29" t="s">
        <v>763</v>
      </c>
      <c r="H690" s="29">
        <v>89</v>
      </c>
      <c r="I690" s="29">
        <v>70</v>
      </c>
      <c r="J690" s="29">
        <v>60.5</v>
      </c>
      <c r="K690" s="29">
        <v>66</v>
      </c>
      <c r="L690" s="29">
        <v>56</v>
      </c>
      <c r="M690" s="29">
        <v>59</v>
      </c>
      <c r="N690" s="29">
        <v>65</v>
      </c>
      <c r="O690" s="32">
        <v>465.5</v>
      </c>
      <c r="P690" s="29" cm="1">
        <f t="array" ref="P690">IF(表成绩单[[#This Row],[语文]]="","",SUMPRODUCT((表成绩单[考试日期]=表成绩单[[#This Row],[考试日期]])*(表成绩单[语文]&lt;9E+307)*(表成绩单[语文]&gt;表成绩单[[#This Row],[语文]]))+1)</f>
        <v>582</v>
      </c>
      <c r="Q690" s="29" cm="1">
        <f t="array" ref="Q690">IF(表成绩单[[#This Row],[数学]]="","",SUMPRODUCT((表成绩单[考试日期]=表成绩单[[#This Row],[考试日期]])*(表成绩单[数学]&lt;9E+307)*(表成绩单[数学]&gt;表成绩单[[#This Row],[数学]]))+1)</f>
        <v>683</v>
      </c>
      <c r="R690" s="29" cm="1">
        <f t="array" ref="R690">IF(表成绩单[[#This Row],[英语]]="","",SUMPRODUCT((表成绩单[考试日期]=表成绩单[[#This Row],[考试日期]])*(表成绩单[英语]&lt;9E+307)*(表成绩单[英语]&gt;表成绩单[[#This Row],[英语]]))+1)</f>
        <v>664</v>
      </c>
      <c r="S690" s="29" cm="1">
        <f t="array" ref="S690">IF(表成绩单[[#This Row],[物理]]="","",SUMPRODUCT((表成绩单[考试日期]=表成绩单[[#This Row],[考试日期]])*(表成绩单[物理]&lt;9E+307)*(表成绩单[物理]&gt;表成绩单[[#This Row],[物理]]))+1)</f>
        <v>681</v>
      </c>
      <c r="T690" s="29" cm="1">
        <f t="array" ref="T690">IF(表成绩单[[#This Row],[化学]]="","",SUMPRODUCT((表成绩单[考试日期]=表成绩单[[#This Row],[考试日期]])*(表成绩单[化学]&lt;9E+307)*(表成绩单[化学]&gt;表成绩单[[#This Row],[化学]]))+1)</f>
        <v>680</v>
      </c>
      <c r="U690" s="29" cm="1">
        <f t="array" ref="U690">IF(表成绩单[[#This Row],[政治]]="","",SUMPRODUCT((表成绩单[考试日期]=表成绩单[[#This Row],[考试日期]])*(表成绩单[政治]&lt;9E+307)*(表成绩单[政治]&gt;表成绩单[[#This Row],[政治]]))+1)</f>
        <v>681</v>
      </c>
      <c r="V690" s="29" cm="1">
        <f t="array" ref="V690">IF(表成绩单[[#This Row],[历史]]="","",SUMPRODUCT((表成绩单[考试日期]=表成绩单[[#This Row],[考试日期]])*(表成绩单[历史]&lt;9E+307)*(表成绩单[历史]&gt;表成绩单[[#This Row],[历史]]))+1)</f>
        <v>644</v>
      </c>
      <c r="W690" s="29" cm="1">
        <f t="array" ref="W690">IF(表成绩单[[#This Row],[总分]]="","",SUMPRODUCT((表成绩单[考试日期]=表成绩单[[#This Row],[考试日期]])*(表成绩单[总分]&lt;9E+307)*(表成绩单[总分]&gt;表成绩单[[#This Row],[总分]]))+1)</f>
        <v>686</v>
      </c>
    </row>
    <row r="691" ht="28" customHeight="1" spans="4:23">
      <c r="D691" s="31">
        <v>45975</v>
      </c>
      <c r="E691" s="29">
        <v>26754600</v>
      </c>
      <c r="F691" s="29" t="s">
        <v>55</v>
      </c>
      <c r="G691" s="29" t="s">
        <v>764</v>
      </c>
      <c r="H691" s="29">
        <v>87</v>
      </c>
      <c r="I691" s="29">
        <v>69</v>
      </c>
      <c r="J691" s="29">
        <v>42.5</v>
      </c>
      <c r="K691" s="29">
        <v>63</v>
      </c>
      <c r="L691" s="29">
        <v>56</v>
      </c>
      <c r="M691" s="29">
        <v>73</v>
      </c>
      <c r="N691" s="29">
        <v>74</v>
      </c>
      <c r="O691" s="32">
        <v>464.5</v>
      </c>
      <c r="P691" s="29" cm="1">
        <f t="array" ref="P691">IF(表成绩单[[#This Row],[语文]]="","",SUMPRODUCT((表成绩单[考试日期]=表成绩单[[#This Row],[考试日期]])*(表成绩单[语文]&lt;9E+307)*(表成绩单[语文]&gt;表成绩单[[#This Row],[语文]]))+1)</f>
        <v>615</v>
      </c>
      <c r="Q691" s="29" cm="1">
        <f t="array" ref="Q691">IF(表成绩单[[#This Row],[数学]]="","",SUMPRODUCT((表成绩单[考试日期]=表成绩单[[#This Row],[考试日期]])*(表成绩单[数学]&lt;9E+307)*(表成绩单[数学]&gt;表成绩单[[#This Row],[数学]]))+1)</f>
        <v>690</v>
      </c>
      <c r="R691" s="29" cm="1">
        <f t="array" ref="R691">IF(表成绩单[[#This Row],[英语]]="","",SUMPRODUCT((表成绩单[考试日期]=表成绩单[[#This Row],[考试日期]])*(表成绩单[英语]&lt;9E+307)*(表成绩单[英语]&gt;表成绩单[[#This Row],[英语]]))+1)</f>
        <v>759</v>
      </c>
      <c r="S691" s="29" cm="1">
        <f t="array" ref="S691">IF(表成绩单[[#This Row],[物理]]="","",SUMPRODUCT((表成绩单[考试日期]=表成绩单[[#This Row],[考试日期]])*(表成绩单[物理]&lt;9E+307)*(表成绩单[物理]&gt;表成绩单[[#This Row],[物理]]))+1)</f>
        <v>702</v>
      </c>
      <c r="T691" s="29" cm="1">
        <f t="array" ref="T691">IF(表成绩单[[#This Row],[化学]]="","",SUMPRODUCT((表成绩单[考试日期]=表成绩单[[#This Row],[考试日期]])*(表成绩单[化学]&lt;9E+307)*(表成绩单[化学]&gt;表成绩单[[#This Row],[化学]]))+1)</f>
        <v>680</v>
      </c>
      <c r="U691" s="29" cm="1">
        <f t="array" ref="U691">IF(表成绩单[[#This Row],[政治]]="","",SUMPRODUCT((表成绩单[考试日期]=表成绩单[[#This Row],[考试日期]])*(表成绩单[政治]&lt;9E+307)*(表成绩单[政治]&gt;表成绩单[[#This Row],[政治]]))+1)</f>
        <v>418</v>
      </c>
      <c r="V691" s="29" cm="1">
        <f t="array" ref="V691">IF(表成绩单[[#This Row],[历史]]="","",SUMPRODUCT((表成绩单[考试日期]=表成绩单[[#This Row],[考试日期]])*(表成绩单[历史]&lt;9E+307)*(表成绩单[历史]&gt;表成绩单[[#This Row],[历史]]))+1)</f>
        <v>358</v>
      </c>
      <c r="W691" s="29" cm="1">
        <f t="array" ref="W691">IF(表成绩单[[#This Row],[总分]]="","",SUMPRODUCT((表成绩单[考试日期]=表成绩单[[#This Row],[考试日期]])*(表成绩单[总分]&lt;9E+307)*(表成绩单[总分]&gt;表成绩单[[#This Row],[总分]]))+1)</f>
        <v>687</v>
      </c>
    </row>
    <row r="692" ht="28" customHeight="1" spans="4:23">
      <c r="D692" s="31">
        <v>45975</v>
      </c>
      <c r="E692" s="29">
        <v>24033000</v>
      </c>
      <c r="F692" s="29" t="s">
        <v>57</v>
      </c>
      <c r="G692" s="29" t="s">
        <v>765</v>
      </c>
      <c r="H692" s="29">
        <v>81</v>
      </c>
      <c r="I692" s="29">
        <v>71</v>
      </c>
      <c r="J692" s="29">
        <v>55</v>
      </c>
      <c r="K692" s="29">
        <v>62</v>
      </c>
      <c r="L692" s="29">
        <v>67</v>
      </c>
      <c r="M692" s="29">
        <v>64</v>
      </c>
      <c r="N692" s="29">
        <v>64</v>
      </c>
      <c r="O692" s="32">
        <v>464</v>
      </c>
      <c r="P692" s="29" cm="1">
        <f t="array" ref="P692">IF(表成绩单[[#This Row],[语文]]="","",SUMPRODUCT((表成绩单[考试日期]=表成绩单[[#This Row],[考试日期]])*(表成绩单[语文]&lt;9E+307)*(表成绩单[语文]&gt;表成绩单[[#This Row],[语文]]))+1)</f>
        <v>688</v>
      </c>
      <c r="Q692" s="29" cm="1">
        <f t="array" ref="Q692">IF(表成绩单[[#This Row],[数学]]="","",SUMPRODUCT((表成绩单[考试日期]=表成绩单[[#This Row],[考试日期]])*(表成绩单[数学]&lt;9E+307)*(表成绩单[数学]&gt;表成绩单[[#This Row],[数学]]))+1)</f>
        <v>679</v>
      </c>
      <c r="R692" s="29" cm="1">
        <f t="array" ref="R692">IF(表成绩单[[#This Row],[英语]]="","",SUMPRODUCT((表成绩单[考试日期]=表成绩单[[#This Row],[考试日期]])*(表成绩单[英语]&lt;9E+307)*(表成绩单[英语]&gt;表成绩单[[#This Row],[英语]]))+1)</f>
        <v>699</v>
      </c>
      <c r="S692" s="29" cm="1">
        <f t="array" ref="S692">IF(表成绩单[[#This Row],[物理]]="","",SUMPRODUCT((表成绩单[考试日期]=表成绩单[[#This Row],[考试日期]])*(表成绩单[物理]&lt;9E+307)*(表成绩单[物理]&gt;表成绩单[[#This Row],[物理]]))+1)</f>
        <v>709</v>
      </c>
      <c r="T692" s="29" cm="1">
        <f t="array" ref="T692">IF(表成绩单[[#This Row],[化学]]="","",SUMPRODUCT((表成绩单[考试日期]=表成绩单[[#This Row],[考试日期]])*(表成绩单[化学]&lt;9E+307)*(表成绩单[化学]&gt;表成绩单[[#This Row],[化学]]))+1)</f>
        <v>524</v>
      </c>
      <c r="U692" s="29" cm="1">
        <f t="array" ref="U692">IF(表成绩单[[#This Row],[政治]]="","",SUMPRODUCT((表成绩单[考试日期]=表成绩单[[#This Row],[考试日期]])*(表成绩单[政治]&lt;9E+307)*(表成绩单[政治]&gt;表成绩单[[#This Row],[政治]]))+1)</f>
        <v>599</v>
      </c>
      <c r="V692" s="29" cm="1">
        <f t="array" ref="V692">IF(表成绩单[[#This Row],[历史]]="","",SUMPRODUCT((表成绩单[考试日期]=表成绩单[[#This Row],[考试日期]])*(表成绩单[历史]&lt;9E+307)*(表成绩单[历史]&gt;表成绩单[[#This Row],[历史]]))+1)</f>
        <v>660</v>
      </c>
      <c r="W692" s="29" cm="1">
        <f t="array" ref="W692">IF(表成绩单[[#This Row],[总分]]="","",SUMPRODUCT((表成绩单[考试日期]=表成绩单[[#This Row],[考试日期]])*(表成绩单[总分]&lt;9E+307)*(表成绩单[总分]&gt;表成绩单[[#This Row],[总分]]))+1)</f>
        <v>688</v>
      </c>
    </row>
    <row r="693" ht="28" customHeight="1" spans="4:23">
      <c r="D693" s="31">
        <v>45975</v>
      </c>
      <c r="E693" s="29">
        <v>19175612</v>
      </c>
      <c r="F693" s="29" t="s">
        <v>57</v>
      </c>
      <c r="G693" s="29" t="s">
        <v>766</v>
      </c>
      <c r="H693" s="29">
        <v>79</v>
      </c>
      <c r="I693" s="29">
        <v>63</v>
      </c>
      <c r="J693" s="29">
        <v>64.5</v>
      </c>
      <c r="K693" s="29">
        <v>57</v>
      </c>
      <c r="L693" s="29">
        <v>69</v>
      </c>
      <c r="M693" s="29">
        <v>65</v>
      </c>
      <c r="N693" s="29">
        <v>66</v>
      </c>
      <c r="O693" s="32">
        <v>463.5</v>
      </c>
      <c r="P693" s="29" cm="1">
        <f t="array" ref="P693">IF(表成绩单[[#This Row],[语文]]="","",SUMPRODUCT((表成绩单[考试日期]=表成绩单[[#This Row],[考试日期]])*(表成绩单[语文]&lt;9E+307)*(表成绩单[语文]&gt;表成绩单[[#This Row],[语文]]))+1)</f>
        <v>716</v>
      </c>
      <c r="Q693" s="29" cm="1">
        <f t="array" ref="Q693">IF(表成绩单[[#This Row],[数学]]="","",SUMPRODUCT((表成绩单[考试日期]=表成绩单[[#This Row],[考试日期]])*(表成绩单[数学]&lt;9E+307)*(表成绩单[数学]&gt;表成绩单[[#This Row],[数学]]))+1)</f>
        <v>717</v>
      </c>
      <c r="R693" s="29" cm="1">
        <f t="array" ref="R693">IF(表成绩单[[#This Row],[英语]]="","",SUMPRODUCT((表成绩单[考试日期]=表成绩单[[#This Row],[考试日期]])*(表成绩单[英语]&lt;9E+307)*(表成绩单[英语]&gt;表成绩单[[#This Row],[英语]]))+1)</f>
        <v>625</v>
      </c>
      <c r="S693" s="29" cm="1">
        <f t="array" ref="S693">IF(表成绩单[[#This Row],[物理]]="","",SUMPRODUCT((表成绩单[考试日期]=表成绩单[[#This Row],[考试日期]])*(表成绩单[物理]&lt;9E+307)*(表成绩单[物理]&gt;表成绩单[[#This Row],[物理]]))+1)</f>
        <v>731</v>
      </c>
      <c r="T693" s="29" cm="1">
        <f t="array" ref="T693">IF(表成绩单[[#This Row],[化学]]="","",SUMPRODUCT((表成绩单[考试日期]=表成绩单[[#This Row],[考试日期]])*(表成绩单[化学]&lt;9E+307)*(表成绩单[化学]&gt;表成绩单[[#This Row],[化学]]))+1)</f>
        <v>478</v>
      </c>
      <c r="U693" s="29" cm="1">
        <f t="array" ref="U693">IF(表成绩单[[#This Row],[政治]]="","",SUMPRODUCT((表成绩单[考试日期]=表成绩单[[#This Row],[考试日期]])*(表成绩单[政治]&lt;9E+307)*(表成绩单[政治]&gt;表成绩单[[#This Row],[政治]]))+1)</f>
        <v>579</v>
      </c>
      <c r="V693" s="29" cm="1">
        <f t="array" ref="V693">IF(表成绩单[[#This Row],[历史]]="","",SUMPRODUCT((表成绩单[考试日期]=表成绩单[[#This Row],[考试日期]])*(表成绩单[历史]&lt;9E+307)*(表成绩单[历史]&gt;表成绩单[[#This Row],[历史]]))+1)</f>
        <v>622</v>
      </c>
      <c r="W693" s="29" cm="1">
        <f t="array" ref="W693">IF(表成绩单[[#This Row],[总分]]="","",SUMPRODUCT((表成绩单[考试日期]=表成绩单[[#This Row],[考试日期]])*(表成绩单[总分]&lt;9E+307)*(表成绩单[总分]&gt;表成绩单[[#This Row],[总分]]))+1)</f>
        <v>689</v>
      </c>
    </row>
    <row r="694" ht="28" customHeight="1" spans="4:23">
      <c r="D694" s="31">
        <v>45975</v>
      </c>
      <c r="E694" s="29">
        <v>19173798</v>
      </c>
      <c r="F694" s="29" t="s">
        <v>65</v>
      </c>
      <c r="G694" s="29" t="s">
        <v>767</v>
      </c>
      <c r="H694" s="29">
        <v>87</v>
      </c>
      <c r="I694" s="29">
        <v>79</v>
      </c>
      <c r="J694" s="29">
        <v>61</v>
      </c>
      <c r="K694" s="29">
        <v>52</v>
      </c>
      <c r="L694" s="29">
        <v>56</v>
      </c>
      <c r="M694" s="29">
        <v>59</v>
      </c>
      <c r="N694" s="29">
        <v>69</v>
      </c>
      <c r="O694" s="32">
        <v>463</v>
      </c>
      <c r="P694" s="29" cm="1">
        <f t="array" ref="P694">IF(表成绩单[[#This Row],[语文]]="","",SUMPRODUCT((表成绩单[考试日期]=表成绩单[[#This Row],[考试日期]])*(表成绩单[语文]&lt;9E+307)*(表成绩单[语文]&gt;表成绩单[[#This Row],[语文]]))+1)</f>
        <v>615</v>
      </c>
      <c r="Q694" s="29" cm="1">
        <f t="array" ref="Q694">IF(表成绩单[[#This Row],[数学]]="","",SUMPRODUCT((表成绩单[考试日期]=表成绩单[[#This Row],[考试日期]])*(表成绩单[数学]&lt;9E+307)*(表成绩单[数学]&gt;表成绩单[[#This Row],[数学]]))+1)</f>
        <v>639</v>
      </c>
      <c r="R694" s="29" cm="1">
        <f t="array" ref="R694">IF(表成绩单[[#This Row],[英语]]="","",SUMPRODUCT((表成绩单[考试日期]=表成绩单[[#This Row],[考试日期]])*(表成绩单[英语]&lt;9E+307)*(表成绩单[英语]&gt;表成绩单[[#This Row],[英语]]))+1)</f>
        <v>660</v>
      </c>
      <c r="S694" s="29" cm="1">
        <f t="array" ref="S694">IF(表成绩单[[#This Row],[物理]]="","",SUMPRODUCT((表成绩单[考试日期]=表成绩单[[#This Row],[考试日期]])*(表成绩单[物理]&lt;9E+307)*(表成绩单[物理]&gt;表成绩单[[#This Row],[物理]]))+1)</f>
        <v>753</v>
      </c>
      <c r="T694" s="29" cm="1">
        <f t="array" ref="T694">IF(表成绩单[[#This Row],[化学]]="","",SUMPRODUCT((表成绩单[考试日期]=表成绩单[[#This Row],[考试日期]])*(表成绩单[化学]&lt;9E+307)*(表成绩单[化学]&gt;表成绩单[[#This Row],[化学]]))+1)</f>
        <v>680</v>
      </c>
      <c r="U694" s="29" cm="1">
        <f t="array" ref="U694">IF(表成绩单[[#This Row],[政治]]="","",SUMPRODUCT((表成绩单[考试日期]=表成绩单[[#This Row],[考试日期]])*(表成绩单[政治]&lt;9E+307)*(表成绩单[政治]&gt;表成绩单[[#This Row],[政治]]))+1)</f>
        <v>681</v>
      </c>
      <c r="V694" s="29" cm="1">
        <f t="array" ref="V694">IF(表成绩单[[#This Row],[历史]]="","",SUMPRODUCT((表成绩单[考试日期]=表成绩单[[#This Row],[考试日期]])*(表成绩单[历史]&lt;9E+307)*(表成绩单[历史]&gt;表成绩单[[#This Row],[历史]]))+1)</f>
        <v>541</v>
      </c>
      <c r="W694" s="29" cm="1">
        <f t="array" ref="W694">IF(表成绩单[[#This Row],[总分]]="","",SUMPRODUCT((表成绩单[考试日期]=表成绩单[[#This Row],[考试日期]])*(表成绩单[总分]&lt;9E+307)*(表成绩单[总分]&gt;表成绩单[[#This Row],[总分]]))+1)</f>
        <v>690</v>
      </c>
    </row>
    <row r="695" ht="28" customHeight="1" spans="4:23">
      <c r="D695" s="31">
        <v>45975</v>
      </c>
      <c r="E695" s="29">
        <v>33609820</v>
      </c>
      <c r="F695" s="29" t="s">
        <v>55</v>
      </c>
      <c r="G695" s="29" t="s">
        <v>768</v>
      </c>
      <c r="H695" s="29">
        <v>78</v>
      </c>
      <c r="I695" s="29">
        <v>90</v>
      </c>
      <c r="J695" s="29">
        <v>62</v>
      </c>
      <c r="K695" s="29">
        <v>55</v>
      </c>
      <c r="L695" s="29">
        <v>63</v>
      </c>
      <c r="M695" s="29">
        <v>62</v>
      </c>
      <c r="N695" s="29">
        <v>52</v>
      </c>
      <c r="O695" s="32">
        <v>462</v>
      </c>
      <c r="P695" s="29" cm="1">
        <f t="array" ref="P695">IF(表成绩单[[#This Row],[语文]]="","",SUMPRODUCT((表成绩单[考试日期]=表成绩单[[#This Row],[考试日期]])*(表成绩单[语文]&lt;9E+307)*(表成绩单[语文]&gt;表成绩单[[#This Row],[语文]]))+1)</f>
        <v>728</v>
      </c>
      <c r="Q695" s="29" cm="1">
        <f t="array" ref="Q695">IF(表成绩单[[#This Row],[数学]]="","",SUMPRODUCT((表成绩单[考试日期]=表成绩单[[#This Row],[考试日期]])*(表成绩单[数学]&lt;9E+307)*(表成绩单[数学]&gt;表成绩单[[#This Row],[数学]]))+1)</f>
        <v>506</v>
      </c>
      <c r="R695" s="29" cm="1">
        <f t="array" ref="R695">IF(表成绩单[[#This Row],[英语]]="","",SUMPRODUCT((表成绩单[考试日期]=表成绩单[[#This Row],[考试日期]])*(表成绩单[英语]&lt;9E+307)*(表成绩单[英语]&gt;表成绩单[[#This Row],[英语]]))+1)</f>
        <v>655</v>
      </c>
      <c r="S695" s="29" cm="1">
        <f t="array" ref="S695">IF(表成绩单[[#This Row],[物理]]="","",SUMPRODUCT((表成绩单[考试日期]=表成绩单[[#This Row],[考试日期]])*(表成绩单[物理]&lt;9E+307)*(表成绩单[物理]&gt;表成绩单[[#This Row],[物理]]))+1)</f>
        <v>741</v>
      </c>
      <c r="T695" s="29" cm="1">
        <f t="array" ref="T695">IF(表成绩单[[#This Row],[化学]]="","",SUMPRODUCT((表成绩单[考试日期]=表成绩单[[#This Row],[考试日期]])*(表成绩单[化学]&lt;9E+307)*(表成绩单[化学]&gt;表成绩单[[#This Row],[化学]]))+1)</f>
        <v>588</v>
      </c>
      <c r="U695" s="29" cm="1">
        <f t="array" ref="U695">IF(表成绩单[[#This Row],[政治]]="","",SUMPRODUCT((表成绩单[考试日期]=表成绩单[[#This Row],[考试日期]])*(表成绩单[政治]&lt;9E+307)*(表成绩单[政治]&gt;表成绩单[[#This Row],[政治]]))+1)</f>
        <v>628</v>
      </c>
      <c r="V695" s="29" cm="1">
        <f t="array" ref="V695">IF(表成绩单[[#This Row],[历史]]="","",SUMPRODUCT((表成绩单[考试日期]=表成绩单[[#This Row],[考试日期]])*(表成绩单[历史]&lt;9E+307)*(表成绩单[历史]&gt;表成绩单[[#This Row],[历史]]))+1)</f>
        <v>764</v>
      </c>
      <c r="W695" s="29" cm="1">
        <f t="array" ref="W695">IF(表成绩单[[#This Row],[总分]]="","",SUMPRODUCT((表成绩单[考试日期]=表成绩单[[#This Row],[考试日期]])*(表成绩单[总分]&lt;9E+307)*(表成绩单[总分]&gt;表成绩单[[#This Row],[总分]]))+1)</f>
        <v>691</v>
      </c>
    </row>
    <row r="696" ht="28" customHeight="1" spans="4:23">
      <c r="D696" s="31">
        <v>45975</v>
      </c>
      <c r="E696" s="29">
        <v>19175607</v>
      </c>
      <c r="F696" s="29" t="s">
        <v>57</v>
      </c>
      <c r="G696" s="29" t="s">
        <v>769</v>
      </c>
      <c r="H696" s="29">
        <v>84</v>
      </c>
      <c r="I696" s="29">
        <v>72</v>
      </c>
      <c r="J696" s="29">
        <v>68</v>
      </c>
      <c r="K696" s="29">
        <v>63</v>
      </c>
      <c r="L696" s="29">
        <v>63</v>
      </c>
      <c r="M696" s="29">
        <v>55</v>
      </c>
      <c r="N696" s="29">
        <v>55</v>
      </c>
      <c r="O696" s="32">
        <v>460</v>
      </c>
      <c r="P696" s="29" cm="1">
        <f t="array" ref="P696">IF(表成绩单[[#This Row],[语文]]="","",SUMPRODUCT((表成绩单[考试日期]=表成绩单[[#This Row],[考试日期]])*(表成绩单[语文]&lt;9E+307)*(表成绩单[语文]&gt;表成绩单[[#This Row],[语文]]))+1)</f>
        <v>659</v>
      </c>
      <c r="Q696" s="29" cm="1">
        <f t="array" ref="Q696">IF(表成绩单[[#This Row],[数学]]="","",SUMPRODUCT((表成绩单[考试日期]=表成绩单[[#This Row],[考试日期]])*(表成绩单[数学]&lt;9E+307)*(表成绩单[数学]&gt;表成绩单[[#This Row],[数学]]))+1)</f>
        <v>674</v>
      </c>
      <c r="R696" s="29" cm="1">
        <f t="array" ref="R696">IF(表成绩单[[#This Row],[英语]]="","",SUMPRODUCT((表成绩单[考试日期]=表成绩单[[#This Row],[考试日期]])*(表成绩单[英语]&lt;9E+307)*(表成绩单[英语]&gt;表成绩单[[#This Row],[英语]]))+1)</f>
        <v>584</v>
      </c>
      <c r="S696" s="29" cm="1">
        <f t="array" ref="S696">IF(表成绩单[[#This Row],[物理]]="","",SUMPRODUCT((表成绩单[考试日期]=表成绩单[[#This Row],[考试日期]])*(表成绩单[物理]&lt;9E+307)*(表成绩单[物理]&gt;表成绩单[[#This Row],[物理]]))+1)</f>
        <v>702</v>
      </c>
      <c r="T696" s="29" cm="1">
        <f t="array" ref="T696">IF(表成绩单[[#This Row],[化学]]="","",SUMPRODUCT((表成绩单[考试日期]=表成绩单[[#This Row],[考试日期]])*(表成绩单[化学]&lt;9E+307)*(表成绩单[化学]&gt;表成绩单[[#This Row],[化学]]))+1)</f>
        <v>588</v>
      </c>
      <c r="U696" s="29" cm="1">
        <f t="array" ref="U696">IF(表成绩单[[#This Row],[政治]]="","",SUMPRODUCT((表成绩单[考试日期]=表成绩单[[#This Row],[考试日期]])*(表成绩单[政治]&lt;9E+307)*(表成绩单[政治]&gt;表成绩单[[#This Row],[政治]]))+1)</f>
        <v>713</v>
      </c>
      <c r="V696" s="29" cm="1">
        <f t="array" ref="V696">IF(表成绩单[[#This Row],[历史]]="","",SUMPRODUCT((表成绩单[考试日期]=表成绩单[[#This Row],[考试日期]])*(表成绩单[历史]&lt;9E+307)*(表成绩单[历史]&gt;表成绩单[[#This Row],[历史]]))+1)</f>
        <v>749</v>
      </c>
      <c r="W696" s="29" cm="1">
        <f t="array" ref="W696">IF(表成绩单[[#This Row],[总分]]="","",SUMPRODUCT((表成绩单[考试日期]=表成绩单[[#This Row],[考试日期]])*(表成绩单[总分]&lt;9E+307)*(表成绩单[总分]&gt;表成绩单[[#This Row],[总分]]))+1)</f>
        <v>692</v>
      </c>
    </row>
    <row r="697" ht="28" customHeight="1" spans="4:23">
      <c r="D697" s="31">
        <v>45975</v>
      </c>
      <c r="E697" s="29">
        <v>19177624</v>
      </c>
      <c r="F697" s="29" t="s">
        <v>58</v>
      </c>
      <c r="G697" s="29" t="s">
        <v>770</v>
      </c>
      <c r="H697" s="29">
        <v>78</v>
      </c>
      <c r="I697" s="29">
        <v>60</v>
      </c>
      <c r="J697" s="29">
        <v>65.5</v>
      </c>
      <c r="K697" s="29">
        <v>69</v>
      </c>
      <c r="L697" s="29">
        <v>46</v>
      </c>
      <c r="M697" s="29">
        <v>73</v>
      </c>
      <c r="N697" s="29">
        <v>68</v>
      </c>
      <c r="O697" s="32">
        <v>459.5</v>
      </c>
      <c r="P697" s="29" cm="1">
        <f t="array" ref="P697">IF(表成绩单[[#This Row],[语文]]="","",SUMPRODUCT((表成绩单[考试日期]=表成绩单[[#This Row],[考试日期]])*(表成绩单[语文]&lt;9E+307)*(表成绩单[语文]&gt;表成绩单[[#This Row],[语文]]))+1)</f>
        <v>728</v>
      </c>
      <c r="Q697" s="29" cm="1">
        <f t="array" ref="Q697">IF(表成绩单[[#This Row],[数学]]="","",SUMPRODUCT((表成绩单[考试日期]=表成绩单[[#This Row],[考试日期]])*(表成绩单[数学]&lt;9E+307)*(表成绩单[数学]&gt;表成绩单[[#This Row],[数学]]))+1)</f>
        <v>733</v>
      </c>
      <c r="R697" s="29" cm="1">
        <f t="array" ref="R697">IF(表成绩单[[#This Row],[英语]]="","",SUMPRODUCT((表成绩单[考试日期]=表成绩单[[#This Row],[考试日期]])*(表成绩单[英语]&lt;9E+307)*(表成绩单[英语]&gt;表成绩单[[#This Row],[英语]]))+1)</f>
        <v>614</v>
      </c>
      <c r="S697" s="29" cm="1">
        <f t="array" ref="S697">IF(表成绩单[[#This Row],[物理]]="","",SUMPRODUCT((表成绩单[考试日期]=表成绩单[[#This Row],[考试日期]])*(表成绩单[物理]&lt;9E+307)*(表成绩单[物理]&gt;表成绩单[[#This Row],[物理]]))+1)</f>
        <v>662</v>
      </c>
      <c r="T697" s="29" cm="1">
        <f t="array" ref="T697">IF(表成绩单[[#This Row],[化学]]="","",SUMPRODUCT((表成绩单[考试日期]=表成绩单[[#This Row],[考试日期]])*(表成绩单[化学]&lt;9E+307)*(表成绩单[化学]&gt;表成绩单[[#This Row],[化学]]))+1)</f>
        <v>757</v>
      </c>
      <c r="U697" s="29" cm="1">
        <f t="array" ref="U697">IF(表成绩单[[#This Row],[政治]]="","",SUMPRODUCT((表成绩单[考试日期]=表成绩单[[#This Row],[考试日期]])*(表成绩单[政治]&lt;9E+307)*(表成绩单[政治]&gt;表成绩单[[#This Row],[政治]]))+1)</f>
        <v>418</v>
      </c>
      <c r="V697" s="29" cm="1">
        <f t="array" ref="V697">IF(表成绩单[[#This Row],[历史]]="","",SUMPRODUCT((表成绩单[考试日期]=表成绩单[[#This Row],[考试日期]])*(表成绩单[历史]&lt;9E+307)*(表成绩单[历史]&gt;表成绩单[[#This Row],[历史]]))+1)</f>
        <v>571</v>
      </c>
      <c r="W697" s="29" cm="1">
        <f t="array" ref="W697">IF(表成绩单[[#This Row],[总分]]="","",SUMPRODUCT((表成绩单[考试日期]=表成绩单[[#This Row],[考试日期]])*(表成绩单[总分]&lt;9E+307)*(表成绩单[总分]&gt;表成绩单[[#This Row],[总分]]))+1)</f>
        <v>693</v>
      </c>
    </row>
    <row r="698" ht="28" customHeight="1" spans="4:23">
      <c r="D698" s="31">
        <v>45975</v>
      </c>
      <c r="E698" s="29">
        <v>19177599</v>
      </c>
      <c r="F698" s="29" t="s">
        <v>58</v>
      </c>
      <c r="G698" s="29" t="s">
        <v>771</v>
      </c>
      <c r="H698" s="29">
        <v>83</v>
      </c>
      <c r="I698" s="29">
        <v>65</v>
      </c>
      <c r="J698" s="29">
        <v>57.5</v>
      </c>
      <c r="K698" s="29">
        <v>68</v>
      </c>
      <c r="L698" s="29">
        <v>58</v>
      </c>
      <c r="M698" s="29">
        <v>56</v>
      </c>
      <c r="N698" s="29">
        <v>71</v>
      </c>
      <c r="O698" s="32">
        <v>458.5</v>
      </c>
      <c r="P698" s="29" cm="1">
        <f t="array" ref="P698">IF(表成绩单[[#This Row],[语文]]="","",SUMPRODUCT((表成绩单[考试日期]=表成绩单[[#This Row],[考试日期]])*(表成绩单[语文]&lt;9E+307)*(表成绩单[语文]&gt;表成绩单[[#This Row],[语文]]))+1)</f>
        <v>670</v>
      </c>
      <c r="Q698" s="29" cm="1">
        <f t="array" ref="Q698">IF(表成绩单[[#This Row],[数学]]="","",SUMPRODUCT((表成绩单[考试日期]=表成绩单[[#This Row],[考试日期]])*(表成绩单[数学]&lt;9E+307)*(表成绩单[数学]&gt;表成绩单[[#This Row],[数学]]))+1)</f>
        <v>706</v>
      </c>
      <c r="R698" s="29" cm="1">
        <f t="array" ref="R698">IF(表成绩单[[#This Row],[英语]]="","",SUMPRODUCT((表成绩单[考试日期]=表成绩单[[#This Row],[考试日期]])*(表成绩单[英语]&lt;9E+307)*(表成绩单[英语]&gt;表成绩单[[#This Row],[英语]]))+1)</f>
        <v>689</v>
      </c>
      <c r="S698" s="29" cm="1">
        <f t="array" ref="S698">IF(表成绩单[[#This Row],[物理]]="","",SUMPRODUCT((表成绩单[考试日期]=表成绩单[[#This Row],[考试日期]])*(表成绩单[物理]&lt;9E+307)*(表成绩单[物理]&gt;表成绩单[[#This Row],[物理]]))+1)</f>
        <v>667</v>
      </c>
      <c r="T698" s="29" cm="1">
        <f t="array" ref="T698">IF(表成绩单[[#This Row],[化学]]="","",SUMPRODUCT((表成绩单[考试日期]=表成绩单[[#This Row],[考试日期]])*(表成绩单[化学]&lt;9E+307)*(表成绩单[化学]&gt;表成绩单[[#This Row],[化学]]))+1)</f>
        <v>659</v>
      </c>
      <c r="U698" s="29" cm="1">
        <f t="array" ref="U698">IF(表成绩单[[#This Row],[政治]]="","",SUMPRODUCT((表成绩单[考试日期]=表成绩单[[#This Row],[考试日期]])*(表成绩单[政治]&lt;9E+307)*(表成绩单[政治]&gt;表成绩单[[#This Row],[政治]]))+1)</f>
        <v>706</v>
      </c>
      <c r="V698" s="29" cm="1">
        <f t="array" ref="V698">IF(表成绩单[[#This Row],[历史]]="","",SUMPRODUCT((表成绩单[考试日期]=表成绩单[[#This Row],[考试日期]])*(表成绩单[历史]&lt;9E+307)*(表成绩单[历史]&gt;表成绩单[[#This Row],[历史]]))+1)</f>
        <v>480</v>
      </c>
      <c r="W698" s="29" cm="1">
        <f t="array" ref="W698">IF(表成绩单[[#This Row],[总分]]="","",SUMPRODUCT((表成绩单[考试日期]=表成绩单[[#This Row],[考试日期]])*(表成绩单[总分]&lt;9E+307)*(表成绩单[总分]&gt;表成绩单[[#This Row],[总分]]))+1)</f>
        <v>694</v>
      </c>
    </row>
    <row r="699" ht="28" customHeight="1" spans="4:23">
      <c r="D699" s="31">
        <v>45975</v>
      </c>
      <c r="E699" s="29">
        <v>19178593</v>
      </c>
      <c r="F699" s="29" t="s">
        <v>64</v>
      </c>
      <c r="G699" s="29" t="s">
        <v>772</v>
      </c>
      <c r="H699" s="29">
        <v>88</v>
      </c>
      <c r="I699" s="29">
        <v>64</v>
      </c>
      <c r="J699" s="29">
        <v>52</v>
      </c>
      <c r="K699" s="29">
        <v>73</v>
      </c>
      <c r="L699" s="29">
        <v>65</v>
      </c>
      <c r="M699" s="29">
        <v>50</v>
      </c>
      <c r="N699" s="29">
        <v>66</v>
      </c>
      <c r="O699" s="32">
        <v>458</v>
      </c>
      <c r="P699" s="29" cm="1">
        <f t="array" ref="P699">IF(表成绩单[[#This Row],[语文]]="","",SUMPRODUCT((表成绩单[考试日期]=表成绩单[[#This Row],[考试日期]])*(表成绩单[语文]&lt;9E+307)*(表成绩单[语文]&gt;表成绩单[[#This Row],[语文]]))+1)</f>
        <v>595</v>
      </c>
      <c r="Q699" s="29" cm="1">
        <f t="array" ref="Q699">IF(表成绩单[[#This Row],[数学]]="","",SUMPRODUCT((表成绩单[考试日期]=表成绩单[[#This Row],[考试日期]])*(表成绩单[数学]&lt;9E+307)*(表成绩单[数学]&gt;表成绩单[[#This Row],[数学]]))+1)</f>
        <v>712</v>
      </c>
      <c r="R699" s="29" cm="1">
        <f t="array" ref="R699">IF(表成绩单[[#This Row],[英语]]="","",SUMPRODUCT((表成绩单[考试日期]=表成绩单[[#This Row],[考试日期]])*(表成绩单[英语]&lt;9E+307)*(表成绩单[英语]&gt;表成绩单[[#This Row],[英语]]))+1)</f>
        <v>714</v>
      </c>
      <c r="S699" s="29" cm="1">
        <f t="array" ref="S699">IF(表成绩单[[#This Row],[物理]]="","",SUMPRODUCT((表成绩单[考试日期]=表成绩单[[#This Row],[考试日期]])*(表成绩单[物理]&lt;9E+307)*(表成绩单[物理]&gt;表成绩单[[#This Row],[物理]]))+1)</f>
        <v>626</v>
      </c>
      <c r="T699" s="29" cm="1">
        <f t="array" ref="T699">IF(表成绩单[[#This Row],[化学]]="","",SUMPRODUCT((表成绩单[考试日期]=表成绩单[[#This Row],[考试日期]])*(表成绩单[化学]&lt;9E+307)*(表成绩单[化学]&gt;表成绩单[[#This Row],[化学]]))+1)</f>
        <v>559</v>
      </c>
      <c r="U699" s="29" cm="1">
        <f t="array" ref="U699">IF(表成绩单[[#This Row],[政治]]="","",SUMPRODUCT((表成绩单[考试日期]=表成绩单[[#This Row],[考试日期]])*(表成绩单[政治]&lt;9E+307)*(表成绩单[政治]&gt;表成绩单[[#This Row],[政治]]))+1)</f>
        <v>758</v>
      </c>
      <c r="V699" s="29" cm="1">
        <f t="array" ref="V699">IF(表成绩单[[#This Row],[历史]]="","",SUMPRODUCT((表成绩单[考试日期]=表成绩单[[#This Row],[考试日期]])*(表成绩单[历史]&lt;9E+307)*(表成绩单[历史]&gt;表成绩单[[#This Row],[历史]]))+1)</f>
        <v>622</v>
      </c>
      <c r="W699" s="29" cm="1">
        <f t="array" ref="W699">IF(表成绩单[[#This Row],[总分]]="","",SUMPRODUCT((表成绩单[考试日期]=表成绩单[[#This Row],[考试日期]])*(表成绩单[总分]&lt;9E+307)*(表成绩单[总分]&gt;表成绩单[[#This Row],[总分]]))+1)</f>
        <v>695</v>
      </c>
    </row>
    <row r="700" ht="28" customHeight="1" spans="4:23">
      <c r="D700" s="31">
        <v>45975</v>
      </c>
      <c r="E700" s="29">
        <v>19177612</v>
      </c>
      <c r="F700" s="29" t="s">
        <v>58</v>
      </c>
      <c r="G700" s="29" t="s">
        <v>773</v>
      </c>
      <c r="H700" s="29">
        <v>79</v>
      </c>
      <c r="I700" s="29">
        <v>78</v>
      </c>
      <c r="J700" s="29">
        <v>63</v>
      </c>
      <c r="K700" s="29">
        <v>74</v>
      </c>
      <c r="L700" s="29">
        <v>62</v>
      </c>
      <c r="M700" s="29">
        <v>45</v>
      </c>
      <c r="N700" s="29">
        <v>54</v>
      </c>
      <c r="O700" s="32">
        <v>455</v>
      </c>
      <c r="P700" s="29" cm="1">
        <f t="array" ref="P700">IF(表成绩单[[#This Row],[语文]]="","",SUMPRODUCT((表成绩单[考试日期]=表成绩单[[#This Row],[考试日期]])*(表成绩单[语文]&lt;9E+307)*(表成绩单[语文]&gt;表成绩单[[#This Row],[语文]]))+1)</f>
        <v>716</v>
      </c>
      <c r="Q700" s="29" cm="1">
        <f t="array" ref="Q700">IF(表成绩单[[#This Row],[数学]]="","",SUMPRODUCT((表成绩单[考试日期]=表成绩单[[#This Row],[考试日期]])*(表成绩单[数学]&lt;9E+307)*(表成绩单[数学]&gt;表成绩单[[#This Row],[数学]]))+1)</f>
        <v>644</v>
      </c>
      <c r="R700" s="29" cm="1">
        <f t="array" ref="R700">IF(表成绩单[[#This Row],[英语]]="","",SUMPRODUCT((表成绩单[考试日期]=表成绩单[[#This Row],[考试日期]])*(表成绩单[英语]&lt;9E+307)*(表成绩单[英语]&gt;表成绩单[[#This Row],[英语]]))+1)</f>
        <v>642</v>
      </c>
      <c r="S700" s="29" cm="1">
        <f t="array" ref="S700">IF(表成绩单[[#This Row],[物理]]="","",SUMPRODUCT((表成绩单[考试日期]=表成绩单[[#This Row],[考试日期]])*(表成绩单[物理]&lt;9E+307)*(表成绩单[物理]&gt;表成绩单[[#This Row],[物理]]))+1)</f>
        <v>616</v>
      </c>
      <c r="T700" s="29" cm="1">
        <f t="array" ref="T700">IF(表成绩单[[#This Row],[化学]]="","",SUMPRODUCT((表成绩单[考试日期]=表成绩单[[#This Row],[考试日期]])*(表成绩单[化学]&lt;9E+307)*(表成绩单[化学]&gt;表成绩单[[#This Row],[化学]]))+1)</f>
        <v>605</v>
      </c>
      <c r="U700" s="29" cm="1">
        <f t="array" ref="U700">IF(表成绩单[[#This Row],[政治]]="","",SUMPRODUCT((表成绩单[考试日期]=表成绩单[[#This Row],[考试日期]])*(表成绩单[政治]&lt;9E+307)*(表成绩单[政治]&gt;表成绩单[[#This Row],[政治]]))+1)</f>
        <v>779</v>
      </c>
      <c r="V700" s="29" cm="1">
        <f t="array" ref="V700">IF(表成绩单[[#This Row],[历史]]="","",SUMPRODUCT((表成绩单[考试日期]=表成绩单[[#This Row],[考试日期]])*(表成绩单[历史]&lt;9E+307)*(表成绩单[历史]&gt;表成绩单[[#This Row],[历史]]))+1)</f>
        <v>752</v>
      </c>
      <c r="W700" s="29" cm="1">
        <f t="array" ref="W700">IF(表成绩单[[#This Row],[总分]]="","",SUMPRODUCT((表成绩单[考试日期]=表成绩单[[#This Row],[考试日期]])*(表成绩单[总分]&lt;9E+307)*(表成绩单[总分]&gt;表成绩单[[#This Row],[总分]]))+1)</f>
        <v>696</v>
      </c>
    </row>
    <row r="701" ht="28" customHeight="1" spans="4:23">
      <c r="D701" s="31">
        <v>45975</v>
      </c>
      <c r="E701" s="29">
        <v>19177618</v>
      </c>
      <c r="F701" s="29" t="s">
        <v>58</v>
      </c>
      <c r="G701" s="29" t="s">
        <v>774</v>
      </c>
      <c r="H701" s="29">
        <v>75</v>
      </c>
      <c r="I701" s="29">
        <v>77</v>
      </c>
      <c r="J701" s="29">
        <v>62.5</v>
      </c>
      <c r="K701" s="29">
        <v>66</v>
      </c>
      <c r="L701" s="29">
        <v>62</v>
      </c>
      <c r="M701" s="29">
        <v>54</v>
      </c>
      <c r="N701" s="29">
        <v>56</v>
      </c>
      <c r="O701" s="32">
        <v>452.5</v>
      </c>
      <c r="P701" s="29" cm="1">
        <f t="array" ref="P701">IF(表成绩单[[#This Row],[语文]]="","",SUMPRODUCT((表成绩单[考试日期]=表成绩单[[#This Row],[考试日期]])*(表成绩单[语文]&lt;9E+307)*(表成绩单[语文]&gt;表成绩单[[#This Row],[语文]]))+1)</f>
        <v>747</v>
      </c>
      <c r="Q701" s="29" cm="1">
        <f t="array" ref="Q701">IF(表成绩单[[#This Row],[数学]]="","",SUMPRODUCT((表成绩单[考试日期]=表成绩单[[#This Row],[考试日期]])*(表成绩单[数学]&lt;9E+307)*(表成绩单[数学]&gt;表成绩单[[#This Row],[数学]]))+1)</f>
        <v>651</v>
      </c>
      <c r="R701" s="29" cm="1">
        <f t="array" ref="R701">IF(表成绩单[[#This Row],[英语]]="","",SUMPRODUCT((表成绩单[考试日期]=表成绩单[[#This Row],[考试日期]])*(表成绩单[英语]&lt;9E+307)*(表成绩单[英语]&gt;表成绩单[[#This Row],[英语]]))+1)</f>
        <v>651</v>
      </c>
      <c r="S701" s="29" cm="1">
        <f t="array" ref="S701">IF(表成绩单[[#This Row],[物理]]="","",SUMPRODUCT((表成绩单[考试日期]=表成绩单[[#This Row],[考试日期]])*(表成绩单[物理]&lt;9E+307)*(表成绩单[物理]&gt;表成绩单[[#This Row],[物理]]))+1)</f>
        <v>681</v>
      </c>
      <c r="T701" s="29" cm="1">
        <f t="array" ref="T701">IF(表成绩单[[#This Row],[化学]]="","",SUMPRODUCT((表成绩单[考试日期]=表成绩单[[#This Row],[考试日期]])*(表成绩单[化学]&lt;9E+307)*(表成绩单[化学]&gt;表成绩单[[#This Row],[化学]]))+1)</f>
        <v>605</v>
      </c>
      <c r="U701" s="29" cm="1">
        <f t="array" ref="U701">IF(表成绩单[[#This Row],[政治]]="","",SUMPRODUCT((表成绩单[考试日期]=表成绩单[[#This Row],[考试日期]])*(表成绩单[政治]&lt;9E+307)*(表成绩单[政治]&gt;表成绩单[[#This Row],[政治]]))+1)</f>
        <v>723</v>
      </c>
      <c r="V701" s="29" cm="1">
        <f t="array" ref="V701">IF(表成绩单[[#This Row],[历史]]="","",SUMPRODUCT((表成绩单[考试日期]=表成绩单[[#This Row],[考试日期]])*(表成绩单[历史]&lt;9E+307)*(表成绩单[历史]&gt;表成绩单[[#This Row],[历史]]))+1)</f>
        <v>743</v>
      </c>
      <c r="W701" s="29" cm="1">
        <f t="array" ref="W701">IF(表成绩单[[#This Row],[总分]]="","",SUMPRODUCT((表成绩单[考试日期]=表成绩单[[#This Row],[考试日期]])*(表成绩单[总分]&lt;9E+307)*(表成绩单[总分]&gt;表成绩单[[#This Row],[总分]]))+1)</f>
        <v>697</v>
      </c>
    </row>
    <row r="702" ht="28" customHeight="1" spans="4:23">
      <c r="D702" s="31">
        <v>45975</v>
      </c>
      <c r="E702" s="29">
        <v>19172633</v>
      </c>
      <c r="F702" s="29" t="s">
        <v>60</v>
      </c>
      <c r="G702" s="29" t="s">
        <v>775</v>
      </c>
      <c r="H702" s="29">
        <v>78</v>
      </c>
      <c r="I702" s="29">
        <v>80</v>
      </c>
      <c r="J702" s="29">
        <v>50.5</v>
      </c>
      <c r="K702" s="29">
        <v>57</v>
      </c>
      <c r="L702" s="29">
        <v>63</v>
      </c>
      <c r="M702" s="29">
        <v>58</v>
      </c>
      <c r="N702" s="29">
        <v>65</v>
      </c>
      <c r="O702" s="32">
        <v>451.5</v>
      </c>
      <c r="P702" s="29" cm="1">
        <f t="array" ref="P702">IF(表成绩单[[#This Row],[语文]]="","",SUMPRODUCT((表成绩单[考试日期]=表成绩单[[#This Row],[考试日期]])*(表成绩单[语文]&lt;9E+307)*(表成绩单[语文]&gt;表成绩单[[#This Row],[语文]]))+1)</f>
        <v>728</v>
      </c>
      <c r="Q702" s="29" cm="1">
        <f t="array" ref="Q702">IF(表成绩单[[#This Row],[数学]]="","",SUMPRODUCT((表成绩单[考试日期]=表成绩单[[#This Row],[考试日期]])*(表成绩单[数学]&lt;9E+307)*(表成绩单[数学]&gt;表成绩单[[#This Row],[数学]]))+1)</f>
        <v>626</v>
      </c>
      <c r="R702" s="29" cm="1">
        <f t="array" ref="R702">IF(表成绩单[[#This Row],[英语]]="","",SUMPRODUCT((表成绩单[考试日期]=表成绩单[[#This Row],[考试日期]])*(表成绩单[英语]&lt;9E+307)*(表成绩单[英语]&gt;表成绩单[[#This Row],[英语]]))+1)</f>
        <v>720</v>
      </c>
      <c r="S702" s="29" cm="1">
        <f t="array" ref="S702">IF(表成绩单[[#This Row],[物理]]="","",SUMPRODUCT((表成绩单[考试日期]=表成绩单[[#This Row],[考试日期]])*(表成绩单[物理]&lt;9E+307)*(表成绩单[物理]&gt;表成绩单[[#This Row],[物理]]))+1)</f>
        <v>731</v>
      </c>
      <c r="T702" s="29" cm="1">
        <f t="array" ref="T702">IF(表成绩单[[#This Row],[化学]]="","",SUMPRODUCT((表成绩单[考试日期]=表成绩单[[#This Row],[考试日期]])*(表成绩单[化学]&lt;9E+307)*(表成绩单[化学]&gt;表成绩单[[#This Row],[化学]]))+1)</f>
        <v>588</v>
      </c>
      <c r="U702" s="29" cm="1">
        <f t="array" ref="U702">IF(表成绩单[[#This Row],[政治]]="","",SUMPRODUCT((表成绩单[考试日期]=表成绩单[[#This Row],[考试日期]])*(表成绩单[政治]&lt;9E+307)*(表成绩单[政治]&gt;表成绩单[[#This Row],[政治]]))+1)</f>
        <v>691</v>
      </c>
      <c r="V702" s="29" cm="1">
        <f t="array" ref="V702">IF(表成绩单[[#This Row],[历史]]="","",SUMPRODUCT((表成绩单[考试日期]=表成绩单[[#This Row],[考试日期]])*(表成绩单[历史]&lt;9E+307)*(表成绩单[历史]&gt;表成绩单[[#This Row],[历史]]))+1)</f>
        <v>644</v>
      </c>
      <c r="W702" s="29" cm="1">
        <f t="array" ref="W702">IF(表成绩单[[#This Row],[总分]]="","",SUMPRODUCT((表成绩单[考试日期]=表成绩单[[#This Row],[考试日期]])*(表成绩单[总分]&lt;9E+307)*(表成绩单[总分]&gt;表成绩单[[#This Row],[总分]]))+1)</f>
        <v>698</v>
      </c>
    </row>
    <row r="703" ht="28" customHeight="1" spans="4:23">
      <c r="D703" s="31">
        <v>45975</v>
      </c>
      <c r="E703" s="29">
        <v>19176006</v>
      </c>
      <c r="F703" s="29" t="s">
        <v>59</v>
      </c>
      <c r="G703" s="29" t="s">
        <v>776</v>
      </c>
      <c r="H703" s="29">
        <v>88</v>
      </c>
      <c r="I703" s="29">
        <v>48</v>
      </c>
      <c r="J703" s="29">
        <v>50</v>
      </c>
      <c r="K703" s="29">
        <v>61</v>
      </c>
      <c r="L703" s="29">
        <v>55</v>
      </c>
      <c r="M703" s="29">
        <v>74</v>
      </c>
      <c r="N703" s="29">
        <v>74</v>
      </c>
      <c r="O703" s="32">
        <v>450</v>
      </c>
      <c r="P703" s="29" cm="1">
        <f t="array" ref="P703">IF(表成绩单[[#This Row],[语文]]="","",SUMPRODUCT((表成绩单[考试日期]=表成绩单[[#This Row],[考试日期]])*(表成绩单[语文]&lt;9E+307)*(表成绩单[语文]&gt;表成绩单[[#This Row],[语文]]))+1)</f>
        <v>595</v>
      </c>
      <c r="Q703" s="29" cm="1">
        <f t="array" ref="Q703">IF(表成绩单[[#This Row],[数学]]="","",SUMPRODUCT((表成绩单[考试日期]=表成绩单[[#This Row],[考试日期]])*(表成绩单[数学]&lt;9E+307)*(表成绩单[数学]&gt;表成绩单[[#This Row],[数学]]))+1)</f>
        <v>758</v>
      </c>
      <c r="R703" s="29" cm="1">
        <f t="array" ref="R703">IF(表成绩单[[#This Row],[英语]]="","",SUMPRODUCT((表成绩单[考试日期]=表成绩单[[#This Row],[考试日期]])*(表成绩单[英语]&lt;9E+307)*(表成绩单[英语]&gt;表成绩单[[#This Row],[英语]]))+1)</f>
        <v>726</v>
      </c>
      <c r="S703" s="29" cm="1">
        <f t="array" ref="S703">IF(表成绩单[[#This Row],[物理]]="","",SUMPRODUCT((表成绩单[考试日期]=表成绩单[[#This Row],[考试日期]])*(表成绩单[物理]&lt;9E+307)*(表成绩单[物理]&gt;表成绩单[[#This Row],[物理]]))+1)</f>
        <v>712</v>
      </c>
      <c r="T703" s="29" cm="1">
        <f t="array" ref="T703">IF(表成绩单[[#This Row],[化学]]="","",SUMPRODUCT((表成绩单[考试日期]=表成绩单[[#This Row],[考试日期]])*(表成绩单[化学]&lt;9E+307)*(表成绩单[化学]&gt;表成绩单[[#This Row],[化学]]))+1)</f>
        <v>692</v>
      </c>
      <c r="U703" s="29" cm="1">
        <f t="array" ref="U703">IF(表成绩单[[#This Row],[政治]]="","",SUMPRODUCT((表成绩单[考试日期]=表成绩单[[#This Row],[考试日期]])*(表成绩单[政治]&lt;9E+307)*(表成绩单[政治]&gt;表成绩单[[#This Row],[政治]]))+1)</f>
        <v>389</v>
      </c>
      <c r="V703" s="29" cm="1">
        <f t="array" ref="V703">IF(表成绩单[[#This Row],[历史]]="","",SUMPRODUCT((表成绩单[考试日期]=表成绩单[[#This Row],[考试日期]])*(表成绩单[历史]&lt;9E+307)*(表成绩单[历史]&gt;表成绩单[[#This Row],[历史]]))+1)</f>
        <v>358</v>
      </c>
      <c r="W703" s="29" cm="1">
        <f t="array" ref="W703">IF(表成绩单[[#This Row],[总分]]="","",SUMPRODUCT((表成绩单[考试日期]=表成绩单[[#This Row],[考试日期]])*(表成绩单[总分]&lt;9E+307)*(表成绩单[总分]&gt;表成绩单[[#This Row],[总分]]))+1)</f>
        <v>699</v>
      </c>
    </row>
    <row r="704" ht="28" customHeight="1" spans="4:23">
      <c r="D704" s="31">
        <v>45975</v>
      </c>
      <c r="E704" s="29">
        <v>19175664</v>
      </c>
      <c r="F704" s="29" t="s">
        <v>66</v>
      </c>
      <c r="G704" s="29" t="s">
        <v>777</v>
      </c>
      <c r="H704" s="29">
        <v>87</v>
      </c>
      <c r="I704" s="29">
        <v>64</v>
      </c>
      <c r="J704" s="29">
        <v>63</v>
      </c>
      <c r="K704" s="29">
        <v>56</v>
      </c>
      <c r="L704" s="29">
        <v>55</v>
      </c>
      <c r="M704" s="29">
        <v>57</v>
      </c>
      <c r="N704" s="29">
        <v>66</v>
      </c>
      <c r="O704" s="32">
        <v>448</v>
      </c>
      <c r="P704" s="29" cm="1">
        <f t="array" ref="P704">IF(表成绩单[[#This Row],[语文]]="","",SUMPRODUCT((表成绩单[考试日期]=表成绩单[[#This Row],[考试日期]])*(表成绩单[语文]&lt;9E+307)*(表成绩单[语文]&gt;表成绩单[[#This Row],[语文]]))+1)</f>
        <v>615</v>
      </c>
      <c r="Q704" s="29" cm="1">
        <f t="array" ref="Q704">IF(表成绩单[[#This Row],[数学]]="","",SUMPRODUCT((表成绩单[考试日期]=表成绩单[[#This Row],[考试日期]])*(表成绩单[数学]&lt;9E+307)*(表成绩单[数学]&gt;表成绩单[[#This Row],[数学]]))+1)</f>
        <v>712</v>
      </c>
      <c r="R704" s="29" cm="1">
        <f t="array" ref="R704">IF(表成绩单[[#This Row],[英语]]="","",SUMPRODUCT((表成绩单[考试日期]=表成绩单[[#This Row],[考试日期]])*(表成绩单[英语]&lt;9E+307)*(表成绩单[英语]&gt;表成绩单[[#This Row],[英语]]))+1)</f>
        <v>642</v>
      </c>
      <c r="S704" s="29" cm="1">
        <f t="array" ref="S704">IF(表成绩单[[#This Row],[物理]]="","",SUMPRODUCT((表成绩单[考试日期]=表成绩单[[#This Row],[考试日期]])*(表成绩单[物理]&lt;9E+307)*(表成绩单[物理]&gt;表成绩单[[#This Row],[物理]]))+1)</f>
        <v>737</v>
      </c>
      <c r="T704" s="29" cm="1">
        <f t="array" ref="T704">IF(表成绩单[[#This Row],[化学]]="","",SUMPRODUCT((表成绩单[考试日期]=表成绩单[[#This Row],[考试日期]])*(表成绩单[化学]&lt;9E+307)*(表成绩单[化学]&gt;表成绩单[[#This Row],[化学]]))+1)</f>
        <v>692</v>
      </c>
      <c r="U704" s="29" cm="1">
        <f t="array" ref="U704">IF(表成绩单[[#This Row],[政治]]="","",SUMPRODUCT((表成绩单[考试日期]=表成绩单[[#This Row],[考试日期]])*(表成绩单[政治]&lt;9E+307)*(表成绩单[政治]&gt;表成绩单[[#This Row],[政治]]))+1)</f>
        <v>698</v>
      </c>
      <c r="V704" s="29" cm="1">
        <f t="array" ref="V704">IF(表成绩单[[#This Row],[历史]]="","",SUMPRODUCT((表成绩单[考试日期]=表成绩单[[#This Row],[考试日期]])*(表成绩单[历史]&lt;9E+307)*(表成绩单[历史]&gt;表成绩单[[#This Row],[历史]]))+1)</f>
        <v>622</v>
      </c>
      <c r="W704" s="29" cm="1">
        <f t="array" ref="W704">IF(表成绩单[[#This Row],[总分]]="","",SUMPRODUCT((表成绩单[考试日期]=表成绩单[[#This Row],[考试日期]])*(表成绩单[总分]&lt;9E+307)*(表成绩单[总分]&gt;表成绩单[[#This Row],[总分]]))+1)</f>
        <v>700</v>
      </c>
    </row>
    <row r="705" ht="28" customHeight="1" spans="4:23">
      <c r="D705" s="31">
        <v>45975</v>
      </c>
      <c r="E705" s="29">
        <v>19175304</v>
      </c>
      <c r="F705" s="29" t="s">
        <v>55</v>
      </c>
      <c r="G705" s="29" t="s">
        <v>778</v>
      </c>
      <c r="H705" s="29">
        <v>85</v>
      </c>
      <c r="I705" s="29">
        <v>74</v>
      </c>
      <c r="J705" s="29">
        <v>39</v>
      </c>
      <c r="K705" s="29">
        <v>57</v>
      </c>
      <c r="L705" s="29">
        <v>66</v>
      </c>
      <c r="M705" s="29">
        <v>66</v>
      </c>
      <c r="N705" s="29">
        <v>60</v>
      </c>
      <c r="O705" s="32">
        <v>447</v>
      </c>
      <c r="P705" s="29" cm="1">
        <f t="array" ref="P705">IF(表成绩单[[#This Row],[语文]]="","",SUMPRODUCT((表成绩单[考试日期]=表成绩单[[#This Row],[考试日期]])*(表成绩单[语文]&lt;9E+307)*(表成绩单[语文]&gt;表成绩单[[#This Row],[语文]]))+1)</f>
        <v>648</v>
      </c>
      <c r="Q705" s="29" cm="1">
        <f t="array" ref="Q705">IF(表成绩单[[#This Row],[数学]]="","",SUMPRODUCT((表成绩单[考试日期]=表成绩单[[#This Row],[考试日期]])*(表成绩单[数学]&lt;9E+307)*(表成绩单[数学]&gt;表成绩单[[#This Row],[数学]]))+1)</f>
        <v>667</v>
      </c>
      <c r="R705" s="29" cm="1">
        <f t="array" ref="R705">IF(表成绩单[[#This Row],[英语]]="","",SUMPRODUCT((表成绩单[考试日期]=表成绩单[[#This Row],[考试日期]])*(表成绩单[英语]&lt;9E+307)*(表成绩单[英语]&gt;表成绩单[[#This Row],[英语]]))+1)</f>
        <v>766</v>
      </c>
      <c r="S705" s="29" cm="1">
        <f t="array" ref="S705">IF(表成绩单[[#This Row],[物理]]="","",SUMPRODUCT((表成绩单[考试日期]=表成绩单[[#This Row],[考试日期]])*(表成绩单[物理]&lt;9E+307)*(表成绩单[物理]&gt;表成绩单[[#This Row],[物理]]))+1)</f>
        <v>731</v>
      </c>
      <c r="T705" s="29" cm="1">
        <f t="array" ref="T705">IF(表成绩单[[#This Row],[化学]]="","",SUMPRODUCT((表成绩单[考试日期]=表成绩单[[#This Row],[考试日期]])*(表成绩单[化学]&lt;9E+307)*(表成绩单[化学]&gt;表成绩单[[#This Row],[化学]]))+1)</f>
        <v>542</v>
      </c>
      <c r="U705" s="29" cm="1">
        <f t="array" ref="U705">IF(表成绩单[[#This Row],[政治]]="","",SUMPRODUCT((表成绩单[考试日期]=表成绩单[[#This Row],[考试日期]])*(表成绩单[政治]&lt;9E+307)*(表成绩单[政治]&gt;表成绩单[[#This Row],[政治]]))+1)</f>
        <v>555</v>
      </c>
      <c r="V705" s="29" cm="1">
        <f t="array" ref="V705">IF(表成绩单[[#This Row],[历史]]="","",SUMPRODUCT((表成绩单[考试日期]=表成绩单[[#This Row],[考试日期]])*(表成绩单[历史]&lt;9E+307)*(表成绩单[历史]&gt;表成绩单[[#This Row],[历史]]))+1)</f>
        <v>717</v>
      </c>
      <c r="W705" s="29" cm="1">
        <f t="array" ref="W705">IF(表成绩单[[#This Row],[总分]]="","",SUMPRODUCT((表成绩单[考试日期]=表成绩单[[#This Row],[考试日期]])*(表成绩单[总分]&lt;9E+307)*(表成绩单[总分]&gt;表成绩单[[#This Row],[总分]]))+1)</f>
        <v>701</v>
      </c>
    </row>
    <row r="706" ht="28" customHeight="1" spans="4:23">
      <c r="D706" s="31">
        <v>45975</v>
      </c>
      <c r="E706" s="29">
        <v>19177629</v>
      </c>
      <c r="F706" s="29" t="s">
        <v>58</v>
      </c>
      <c r="G706" s="29" t="s">
        <v>779</v>
      </c>
      <c r="H706" s="29">
        <v>67</v>
      </c>
      <c r="I706" s="29">
        <v>75</v>
      </c>
      <c r="J706" s="29">
        <v>73</v>
      </c>
      <c r="K706" s="29">
        <v>81</v>
      </c>
      <c r="L706" s="29">
        <v>38</v>
      </c>
      <c r="M706" s="29">
        <v>55</v>
      </c>
      <c r="N706" s="29">
        <v>58</v>
      </c>
      <c r="O706" s="32">
        <v>447</v>
      </c>
      <c r="P706" s="29" cm="1">
        <f t="array" ref="P706">IF(表成绩单[[#This Row],[语文]]="","",SUMPRODUCT((表成绩单[考试日期]=表成绩单[[#This Row],[考试日期]])*(表成绩单[语文]&lt;9E+307)*(表成绩单[语文]&gt;表成绩单[[#This Row],[语文]]))+1)</f>
        <v>777</v>
      </c>
      <c r="Q706" s="29" cm="1">
        <f t="array" ref="Q706">IF(表成绩单[[#This Row],[数学]]="","",SUMPRODUCT((表成绩单[考试日期]=表成绩单[[#This Row],[考试日期]])*(表成绩单[数学]&lt;9E+307)*(表成绩单[数学]&gt;表成绩单[[#This Row],[数学]]))+1)</f>
        <v>663</v>
      </c>
      <c r="R706" s="29" cm="1">
        <f t="array" ref="R706">IF(表成绩单[[#This Row],[英语]]="","",SUMPRODUCT((表成绩单[考试日期]=表成绩单[[#This Row],[考试日期]])*(表成绩单[英语]&lt;9E+307)*(表成绩单[英语]&gt;表成绩单[[#This Row],[英语]]))+1)</f>
        <v>485</v>
      </c>
      <c r="S706" s="29" cm="1">
        <f t="array" ref="S706">IF(表成绩单[[#This Row],[物理]]="","",SUMPRODUCT((表成绩单[考试日期]=表成绩单[[#This Row],[考试日期]])*(表成绩单[物理]&lt;9E+307)*(表成绩单[物理]&gt;表成绩单[[#This Row],[物理]]))+1)</f>
        <v>474</v>
      </c>
      <c r="T706" s="29" cm="1">
        <f t="array" ref="T706">IF(表成绩单[[#This Row],[化学]]="","",SUMPRODUCT((表成绩单[考试日期]=表成绩单[[#This Row],[考试日期]])*(表成绩单[化学]&lt;9E+307)*(表成绩单[化学]&gt;表成绩单[[#This Row],[化学]]))+1)</f>
        <v>781</v>
      </c>
      <c r="U706" s="29" cm="1">
        <f t="array" ref="U706">IF(表成绩单[[#This Row],[政治]]="","",SUMPRODUCT((表成绩单[考试日期]=表成绩单[[#This Row],[考试日期]])*(表成绩单[政治]&lt;9E+307)*(表成绩单[政治]&gt;表成绩单[[#This Row],[政治]]))+1)</f>
        <v>713</v>
      </c>
      <c r="V706" s="29" cm="1">
        <f t="array" ref="V706">IF(表成绩单[[#This Row],[历史]]="","",SUMPRODUCT((表成绩单[考试日期]=表成绩单[[#This Row],[考试日期]])*(表成绩单[历史]&lt;9E+307)*(表成绩单[历史]&gt;表成绩单[[#This Row],[历史]]))+1)</f>
        <v>735</v>
      </c>
      <c r="W706" s="29" cm="1">
        <f t="array" ref="W706">IF(表成绩单[[#This Row],[总分]]="","",SUMPRODUCT((表成绩单[考试日期]=表成绩单[[#This Row],[考试日期]])*(表成绩单[总分]&lt;9E+307)*(表成绩单[总分]&gt;表成绩单[[#This Row],[总分]]))+1)</f>
        <v>701</v>
      </c>
    </row>
    <row r="707" ht="28" customHeight="1" spans="4:23">
      <c r="D707" s="31">
        <v>45975</v>
      </c>
      <c r="E707" s="29">
        <v>19173278</v>
      </c>
      <c r="F707" s="29" t="s">
        <v>61</v>
      </c>
      <c r="G707" s="29" t="s">
        <v>780</v>
      </c>
      <c r="H707" s="29">
        <v>65</v>
      </c>
      <c r="I707" s="29">
        <v>84</v>
      </c>
      <c r="J707" s="29">
        <v>50.5</v>
      </c>
      <c r="K707" s="29">
        <v>78</v>
      </c>
      <c r="L707" s="29">
        <v>58</v>
      </c>
      <c r="M707" s="29">
        <v>50</v>
      </c>
      <c r="N707" s="29">
        <v>61</v>
      </c>
      <c r="O707" s="32">
        <v>446.5</v>
      </c>
      <c r="P707" s="29" cm="1">
        <f t="array" ref="P707">IF(表成绩单[[#This Row],[语文]]="","",SUMPRODUCT((表成绩单[考试日期]=表成绩单[[#This Row],[考试日期]])*(表成绩单[语文]&lt;9E+307)*(表成绩单[语文]&gt;表成绩单[[#This Row],[语文]]))+1)</f>
        <v>784</v>
      </c>
      <c r="Q707" s="29" cm="1">
        <f t="array" ref="Q707">IF(表成绩单[[#This Row],[数学]]="","",SUMPRODUCT((表成绩单[考试日期]=表成绩单[[#This Row],[考试日期]])*(表成绩单[数学]&lt;9E+307)*(表成绩单[数学]&gt;表成绩单[[#This Row],[数学]]))+1)</f>
        <v>580</v>
      </c>
      <c r="R707" s="29" cm="1">
        <f t="array" ref="R707">IF(表成绩单[[#This Row],[英语]]="","",SUMPRODUCT((表成绩单[考试日期]=表成绩单[[#This Row],[考试日期]])*(表成绩单[英语]&lt;9E+307)*(表成绩单[英语]&gt;表成绩单[[#This Row],[英语]]))+1)</f>
        <v>720</v>
      </c>
      <c r="S707" s="29" cm="1">
        <f t="array" ref="S707">IF(表成绩单[[#This Row],[物理]]="","",SUMPRODUCT((表成绩单[考试日期]=表成绩单[[#This Row],[考试日期]])*(表成绩单[物理]&lt;9E+307)*(表成绩单[物理]&gt;表成绩单[[#This Row],[物理]]))+1)</f>
        <v>554</v>
      </c>
      <c r="T707" s="29" cm="1">
        <f t="array" ref="T707">IF(表成绩单[[#This Row],[化学]]="","",SUMPRODUCT((表成绩单[考试日期]=表成绩单[[#This Row],[考试日期]])*(表成绩单[化学]&lt;9E+307)*(表成绩单[化学]&gt;表成绩单[[#This Row],[化学]]))+1)</f>
        <v>659</v>
      </c>
      <c r="U707" s="29" cm="1">
        <f t="array" ref="U707">IF(表成绩单[[#This Row],[政治]]="","",SUMPRODUCT((表成绩单[考试日期]=表成绩单[[#This Row],[考试日期]])*(表成绩单[政治]&lt;9E+307)*(表成绩单[政治]&gt;表成绩单[[#This Row],[政治]]))+1)</f>
        <v>758</v>
      </c>
      <c r="V707" s="29" cm="1">
        <f t="array" ref="V707">IF(表成绩单[[#This Row],[历史]]="","",SUMPRODUCT((表成绩单[考试日期]=表成绩单[[#This Row],[考试日期]])*(表成绩单[历史]&lt;9E+307)*(表成绩单[历史]&gt;表成绩单[[#This Row],[历史]]))+1)</f>
        <v>702</v>
      </c>
      <c r="W707" s="29" cm="1">
        <f t="array" ref="W707">IF(表成绩单[[#This Row],[总分]]="","",SUMPRODUCT((表成绩单[考试日期]=表成绩单[[#This Row],[考试日期]])*(表成绩单[总分]&lt;9E+307)*(表成绩单[总分]&gt;表成绩单[[#This Row],[总分]]))+1)</f>
        <v>703</v>
      </c>
    </row>
    <row r="708" ht="28" customHeight="1" spans="4:23">
      <c r="D708" s="31">
        <v>45975</v>
      </c>
      <c r="E708" s="29">
        <v>19173790</v>
      </c>
      <c r="F708" s="29" t="s">
        <v>65</v>
      </c>
      <c r="G708" s="29" t="s">
        <v>781</v>
      </c>
      <c r="H708" s="29">
        <v>70</v>
      </c>
      <c r="I708" s="29">
        <v>81</v>
      </c>
      <c r="J708" s="29">
        <v>68.5</v>
      </c>
      <c r="K708" s="29">
        <v>63</v>
      </c>
      <c r="L708" s="29">
        <v>54</v>
      </c>
      <c r="M708" s="29">
        <v>43</v>
      </c>
      <c r="N708" s="29">
        <v>67</v>
      </c>
      <c r="O708" s="32">
        <v>446.5</v>
      </c>
      <c r="P708" s="29" cm="1">
        <f t="array" ref="P708">IF(表成绩单[[#This Row],[语文]]="","",SUMPRODUCT((表成绩单[考试日期]=表成绩单[[#This Row],[考试日期]])*(表成绩单[语文]&lt;9E+307)*(表成绩单[语文]&gt;表成绩单[[#This Row],[语文]]))+1)</f>
        <v>768</v>
      </c>
      <c r="Q708" s="29" cm="1">
        <f t="array" ref="Q708">IF(表成绩单[[#This Row],[数学]]="","",SUMPRODUCT((表成绩单[考试日期]=表成绩单[[#This Row],[考试日期]])*(表成绩单[数学]&lt;9E+307)*(表成绩单[数学]&gt;表成绩单[[#This Row],[数学]]))+1)</f>
        <v>620</v>
      </c>
      <c r="R708" s="29" cm="1">
        <f t="array" ref="R708">IF(表成绩单[[#This Row],[英语]]="","",SUMPRODUCT((表成绩单[考试日期]=表成绩单[[#This Row],[考试日期]])*(表成绩单[英语]&lt;9E+307)*(表成绩单[英语]&gt;表成绩单[[#This Row],[英语]]))+1)</f>
        <v>571</v>
      </c>
      <c r="S708" s="29" cm="1">
        <f t="array" ref="S708">IF(表成绩单[[#This Row],[物理]]="","",SUMPRODUCT((表成绩单[考试日期]=表成绩单[[#This Row],[考试日期]])*(表成绩单[物理]&lt;9E+307)*(表成绩单[物理]&gt;表成绩单[[#This Row],[物理]]))+1)</f>
        <v>702</v>
      </c>
      <c r="T708" s="29" cm="1">
        <f t="array" ref="T708">IF(表成绩单[[#This Row],[化学]]="","",SUMPRODUCT((表成绩单[考试日期]=表成绩单[[#This Row],[考试日期]])*(表成绩单[化学]&lt;9E+307)*(表成绩单[化学]&gt;表成绩单[[#This Row],[化学]]))+1)</f>
        <v>707</v>
      </c>
      <c r="U708" s="29" cm="1">
        <f t="array" ref="U708">IF(表成绩单[[#This Row],[政治]]="","",SUMPRODUCT((表成绩单[考试日期]=表成绩单[[#This Row],[考试日期]])*(表成绩单[政治]&lt;9E+307)*(表成绩单[政治]&gt;表成绩单[[#This Row],[政治]]))+1)</f>
        <v>783</v>
      </c>
      <c r="V708" s="29" cm="1">
        <f t="array" ref="V708">IF(表成绩单[[#This Row],[历史]]="","",SUMPRODUCT((表成绩单[考试日期]=表成绩单[[#This Row],[考试日期]])*(表成绩单[历史]&lt;9E+307)*(表成绩单[历史]&gt;表成绩单[[#This Row],[历史]]))+1)</f>
        <v>597</v>
      </c>
      <c r="W708" s="29" cm="1">
        <f t="array" ref="W708">IF(表成绩单[[#This Row],[总分]]="","",SUMPRODUCT((表成绩单[考试日期]=表成绩单[[#This Row],[考试日期]])*(表成绩单[总分]&lt;9E+307)*(表成绩单[总分]&gt;表成绩单[[#This Row],[总分]]))+1)</f>
        <v>703</v>
      </c>
    </row>
    <row r="709" ht="28" customHeight="1" spans="4:23">
      <c r="D709" s="31">
        <v>45975</v>
      </c>
      <c r="E709" s="29">
        <v>19175986</v>
      </c>
      <c r="F709" s="29" t="s">
        <v>59</v>
      </c>
      <c r="G709" s="29" t="s">
        <v>782</v>
      </c>
      <c r="H709" s="29">
        <v>98</v>
      </c>
      <c r="I709" s="29">
        <v>51</v>
      </c>
      <c r="J709" s="29">
        <v>43</v>
      </c>
      <c r="K709" s="29">
        <v>55</v>
      </c>
      <c r="L709" s="29">
        <v>66</v>
      </c>
      <c r="M709" s="29">
        <v>63</v>
      </c>
      <c r="N709" s="29">
        <v>69</v>
      </c>
      <c r="O709" s="32">
        <v>445</v>
      </c>
      <c r="P709" s="29" cm="1">
        <f t="array" ref="P709">IF(表成绩单[[#This Row],[语文]]="","",SUMPRODUCT((表成绩单[考试日期]=表成绩单[[#This Row],[考试日期]])*(表成绩单[语文]&lt;9E+307)*(表成绩单[语文]&gt;表成绩单[[#This Row],[语文]]))+1)</f>
        <v>305</v>
      </c>
      <c r="Q709" s="29" cm="1">
        <f t="array" ref="Q709">IF(表成绩单[[#This Row],[数学]]="","",SUMPRODUCT((表成绩单[考试日期]=表成绩单[[#This Row],[考试日期]])*(表成绩单[数学]&lt;9E+307)*(表成绩单[数学]&gt;表成绩单[[#This Row],[数学]]))+1)</f>
        <v>755</v>
      </c>
      <c r="R709" s="29" cm="1">
        <f t="array" ref="R709">IF(表成绩单[[#This Row],[英语]]="","",SUMPRODUCT((表成绩单[考试日期]=表成绩单[[#This Row],[考试日期]])*(表成绩单[英语]&lt;9E+307)*(表成绩单[英语]&gt;表成绩单[[#This Row],[英语]]))+1)</f>
        <v>757</v>
      </c>
      <c r="S709" s="29" cm="1">
        <f t="array" ref="S709">IF(表成绩单[[#This Row],[物理]]="","",SUMPRODUCT((表成绩单[考试日期]=表成绩单[[#This Row],[考试日期]])*(表成绩单[物理]&lt;9E+307)*(表成绩单[物理]&gt;表成绩单[[#This Row],[物理]]))+1)</f>
        <v>741</v>
      </c>
      <c r="T709" s="29" cm="1">
        <f t="array" ref="T709">IF(表成绩单[[#This Row],[化学]]="","",SUMPRODUCT((表成绩单[考试日期]=表成绩单[[#This Row],[考试日期]])*(表成绩单[化学]&lt;9E+307)*(表成绩单[化学]&gt;表成绩单[[#This Row],[化学]]))+1)</f>
        <v>542</v>
      </c>
      <c r="U709" s="29" cm="1">
        <f t="array" ref="U709">IF(表成绩单[[#This Row],[政治]]="","",SUMPRODUCT((表成绩单[考试日期]=表成绩单[[#This Row],[考试日期]])*(表成绩单[政治]&lt;9E+307)*(表成绩单[政治]&gt;表成绩单[[#This Row],[政治]]))+1)</f>
        <v>618</v>
      </c>
      <c r="V709" s="29" cm="1">
        <f t="array" ref="V709">IF(表成绩单[[#This Row],[历史]]="","",SUMPRODUCT((表成绩单[考试日期]=表成绩单[[#This Row],[考试日期]])*(表成绩单[历史]&lt;9E+307)*(表成绩单[历史]&gt;表成绩单[[#This Row],[历史]]))+1)</f>
        <v>541</v>
      </c>
      <c r="W709" s="29" cm="1">
        <f t="array" ref="W709">IF(表成绩单[[#This Row],[总分]]="","",SUMPRODUCT((表成绩单[考试日期]=表成绩单[[#This Row],[考试日期]])*(表成绩单[总分]&lt;9E+307)*(表成绩单[总分]&gt;表成绩单[[#This Row],[总分]]))+1)</f>
        <v>705</v>
      </c>
    </row>
    <row r="710" ht="28" customHeight="1" spans="4:23">
      <c r="D710" s="31">
        <v>45975</v>
      </c>
      <c r="E710" s="29">
        <v>19177623</v>
      </c>
      <c r="F710" s="29" t="s">
        <v>58</v>
      </c>
      <c r="G710" s="29" t="s">
        <v>783</v>
      </c>
      <c r="H710" s="29">
        <v>84</v>
      </c>
      <c r="I710" s="29">
        <v>59</v>
      </c>
      <c r="J710" s="29">
        <v>58</v>
      </c>
      <c r="K710" s="29">
        <v>69</v>
      </c>
      <c r="L710" s="29">
        <v>45</v>
      </c>
      <c r="M710" s="29">
        <v>66</v>
      </c>
      <c r="N710" s="29">
        <v>64</v>
      </c>
      <c r="O710" s="32">
        <v>445</v>
      </c>
      <c r="P710" s="29" cm="1">
        <f t="array" ref="P710">IF(表成绩单[[#This Row],[语文]]="","",SUMPRODUCT((表成绩单[考试日期]=表成绩单[[#This Row],[考试日期]])*(表成绩单[语文]&lt;9E+307)*(表成绩单[语文]&gt;表成绩单[[#This Row],[语文]]))+1)</f>
        <v>659</v>
      </c>
      <c r="Q710" s="29" cm="1">
        <f t="array" ref="Q710">IF(表成绩单[[#This Row],[数学]]="","",SUMPRODUCT((表成绩单[考试日期]=表成绩单[[#This Row],[考试日期]])*(表成绩单[数学]&lt;9E+307)*(表成绩单[数学]&gt;表成绩单[[#This Row],[数学]]))+1)</f>
        <v>736</v>
      </c>
      <c r="R710" s="29" cm="1">
        <f t="array" ref="R710">IF(表成绩单[[#This Row],[英语]]="","",SUMPRODUCT((表成绩单[考试日期]=表成绩单[[#This Row],[考试日期]])*(表成绩单[英语]&lt;9E+307)*(表成绩单[英语]&gt;表成绩单[[#This Row],[英语]]))+1)</f>
        <v>685</v>
      </c>
      <c r="S710" s="29" cm="1">
        <f t="array" ref="S710">IF(表成绩单[[#This Row],[物理]]="","",SUMPRODUCT((表成绩单[考试日期]=表成绩单[[#This Row],[考试日期]])*(表成绩单[物理]&lt;9E+307)*(表成绩单[物理]&gt;表成绩单[[#This Row],[物理]]))+1)</f>
        <v>662</v>
      </c>
      <c r="T710" s="29" cm="1">
        <f t="array" ref="T710">IF(表成绩单[[#This Row],[化学]]="","",SUMPRODUCT((表成绩单[考试日期]=表成绩单[[#This Row],[考试日期]])*(表成绩单[化学]&lt;9E+307)*(表成绩单[化学]&gt;表成绩单[[#This Row],[化学]]))+1)</f>
        <v>760</v>
      </c>
      <c r="U710" s="29" cm="1">
        <f t="array" ref="U710">IF(表成绩单[[#This Row],[政治]]="","",SUMPRODUCT((表成绩单[考试日期]=表成绩单[[#This Row],[考试日期]])*(表成绩单[政治]&lt;9E+307)*(表成绩单[政治]&gt;表成绩单[[#This Row],[政治]]))+1)</f>
        <v>555</v>
      </c>
      <c r="V710" s="29" cm="1">
        <f t="array" ref="V710">IF(表成绩单[[#This Row],[历史]]="","",SUMPRODUCT((表成绩单[考试日期]=表成绩单[[#This Row],[考试日期]])*(表成绩单[历史]&lt;9E+307)*(表成绩单[历史]&gt;表成绩单[[#This Row],[历史]]))+1)</f>
        <v>660</v>
      </c>
      <c r="W710" s="29" cm="1">
        <f t="array" ref="W710">IF(表成绩单[[#This Row],[总分]]="","",SUMPRODUCT((表成绩单[考试日期]=表成绩单[[#This Row],[考试日期]])*(表成绩单[总分]&lt;9E+307)*(表成绩单[总分]&gt;表成绩单[[#This Row],[总分]]))+1)</f>
        <v>705</v>
      </c>
    </row>
    <row r="711" ht="28" customHeight="1" spans="4:23">
      <c r="D711" s="31">
        <v>45975</v>
      </c>
      <c r="E711" s="29">
        <v>19173792</v>
      </c>
      <c r="F711" s="29" t="s">
        <v>65</v>
      </c>
      <c r="G711" s="29" t="s">
        <v>784</v>
      </c>
      <c r="H711" s="29">
        <v>77</v>
      </c>
      <c r="I711" s="29">
        <v>47</v>
      </c>
      <c r="J711" s="29">
        <v>63.5</v>
      </c>
      <c r="K711" s="29">
        <v>75</v>
      </c>
      <c r="L711" s="29">
        <v>60</v>
      </c>
      <c r="M711" s="29">
        <v>64</v>
      </c>
      <c r="N711" s="29">
        <v>56</v>
      </c>
      <c r="O711" s="32">
        <v>442.5</v>
      </c>
      <c r="P711" s="29" cm="1">
        <f t="array" ref="P711">IF(表成绩单[[#This Row],[语文]]="","",SUMPRODUCT((表成绩单[考试日期]=表成绩单[[#This Row],[考试日期]])*(表成绩单[语文]&lt;9E+307)*(表成绩单[语文]&gt;表成绩单[[#This Row],[语文]]))+1)</f>
        <v>737</v>
      </c>
      <c r="Q711" s="29" cm="1">
        <f t="array" ref="Q711">IF(表成绩单[[#This Row],[数学]]="","",SUMPRODUCT((表成绩单[考试日期]=表成绩单[[#This Row],[考试日期]])*(表成绩单[数学]&lt;9E+307)*(表成绩单[数学]&gt;表成绩单[[#This Row],[数学]]))+1)</f>
        <v>760</v>
      </c>
      <c r="R711" s="29" cm="1">
        <f t="array" ref="R711">IF(表成绩单[[#This Row],[英语]]="","",SUMPRODUCT((表成绩单[考试日期]=表成绩单[[#This Row],[考试日期]])*(表成绩单[英语]&lt;9E+307)*(表成绩单[英语]&gt;表成绩单[[#This Row],[英语]]))+1)</f>
        <v>637</v>
      </c>
      <c r="S711" s="29" cm="1">
        <f t="array" ref="S711">IF(表成绩单[[#This Row],[物理]]="","",SUMPRODUCT((表成绩单[考试日期]=表成绩单[[#This Row],[考试日期]])*(表成绩单[物理]&lt;9E+307)*(表成绩单[物理]&gt;表成绩单[[#This Row],[物理]]))+1)</f>
        <v>601</v>
      </c>
      <c r="T711" s="29" cm="1">
        <f t="array" ref="T711">IF(表成绩单[[#This Row],[化学]]="","",SUMPRODUCT((表成绩单[考试日期]=表成绩单[[#This Row],[考试日期]])*(表成绩单[化学]&lt;9E+307)*(表成绩单[化学]&gt;表成绩单[[#This Row],[化学]]))+1)</f>
        <v>639</v>
      </c>
      <c r="U711" s="29" cm="1">
        <f t="array" ref="U711">IF(表成绩单[[#This Row],[政治]]="","",SUMPRODUCT((表成绩单[考试日期]=表成绩单[[#This Row],[考试日期]])*(表成绩单[政治]&lt;9E+307)*(表成绩单[政治]&gt;表成绩单[[#This Row],[政治]]))+1)</f>
        <v>599</v>
      </c>
      <c r="V711" s="29" cm="1">
        <f t="array" ref="V711">IF(表成绩单[[#This Row],[历史]]="","",SUMPRODUCT((表成绩单[考试日期]=表成绩单[[#This Row],[考试日期]])*(表成绩单[历史]&lt;9E+307)*(表成绩单[历史]&gt;表成绩单[[#This Row],[历史]]))+1)</f>
        <v>743</v>
      </c>
      <c r="W711" s="29" cm="1">
        <f t="array" ref="W711">IF(表成绩单[[#This Row],[总分]]="","",SUMPRODUCT((表成绩单[考试日期]=表成绩单[[#This Row],[考试日期]])*(表成绩单[总分]&lt;9E+307)*(表成绩单[总分]&gt;表成绩单[[#This Row],[总分]]))+1)</f>
        <v>707</v>
      </c>
    </row>
    <row r="712" ht="28" customHeight="1" spans="4:23">
      <c r="D712" s="31">
        <v>45975</v>
      </c>
      <c r="E712" s="29">
        <v>19175323</v>
      </c>
      <c r="F712" s="29" t="s">
        <v>55</v>
      </c>
      <c r="G712" s="29" t="s">
        <v>785</v>
      </c>
      <c r="H712" s="29">
        <v>83</v>
      </c>
      <c r="I712" s="29">
        <v>66</v>
      </c>
      <c r="J712" s="29">
        <v>63</v>
      </c>
      <c r="K712" s="29">
        <v>54</v>
      </c>
      <c r="L712" s="29">
        <v>45</v>
      </c>
      <c r="M712" s="29">
        <v>61</v>
      </c>
      <c r="N712" s="29">
        <v>70</v>
      </c>
      <c r="O712" s="32">
        <v>442</v>
      </c>
      <c r="P712" s="29" cm="1">
        <f t="array" ref="P712">IF(表成绩单[[#This Row],[语文]]="","",SUMPRODUCT((表成绩单[考试日期]=表成绩单[[#This Row],[考试日期]])*(表成绩单[语文]&lt;9E+307)*(表成绩单[语文]&gt;表成绩单[[#This Row],[语文]]))+1)</f>
        <v>670</v>
      </c>
      <c r="Q712" s="29" cm="1">
        <f t="array" ref="Q712">IF(表成绩单[[#This Row],[数学]]="","",SUMPRODUCT((表成绩单[考试日期]=表成绩单[[#This Row],[考试日期]])*(表成绩单[数学]&lt;9E+307)*(表成绩单[数学]&gt;表成绩单[[#This Row],[数学]]))+1)</f>
        <v>705</v>
      </c>
      <c r="R712" s="29" cm="1">
        <f t="array" ref="R712">IF(表成绩单[[#This Row],[英语]]="","",SUMPRODUCT((表成绩单[考试日期]=表成绩单[[#This Row],[考试日期]])*(表成绩单[英语]&lt;9E+307)*(表成绩单[英语]&gt;表成绩单[[#This Row],[英语]]))+1)</f>
        <v>642</v>
      </c>
      <c r="S712" s="29" cm="1">
        <f t="array" ref="S712">IF(表成绩单[[#This Row],[物理]]="","",SUMPRODUCT((表成绩单[考试日期]=表成绩单[[#This Row],[考试日期]])*(表成绩单[物理]&lt;9E+307)*(表成绩单[物理]&gt;表成绩单[[#This Row],[物理]]))+1)</f>
        <v>746</v>
      </c>
      <c r="T712" s="29" cm="1">
        <f t="array" ref="T712">IF(表成绩单[[#This Row],[化学]]="","",SUMPRODUCT((表成绩单[考试日期]=表成绩单[[#This Row],[考试日期]])*(表成绩单[化学]&lt;9E+307)*(表成绩单[化学]&gt;表成绩单[[#This Row],[化学]]))+1)</f>
        <v>760</v>
      </c>
      <c r="U712" s="29" cm="1">
        <f t="array" ref="U712">IF(表成绩单[[#This Row],[政治]]="","",SUMPRODUCT((表成绩单[考试日期]=表成绩单[[#This Row],[考试日期]])*(表成绩单[政治]&lt;9E+307)*(表成绩单[政治]&gt;表成绩单[[#This Row],[政治]]))+1)</f>
        <v>644</v>
      </c>
      <c r="V712" s="29" cm="1">
        <f t="array" ref="V712">IF(表成绩单[[#This Row],[历史]]="","",SUMPRODUCT((表成绩单[考试日期]=表成绩单[[#This Row],[考试日期]])*(表成绩单[历史]&lt;9E+307)*(表成绩单[历史]&gt;表成绩单[[#This Row],[历史]]))+1)</f>
        <v>505</v>
      </c>
      <c r="W712" s="29" cm="1">
        <f t="array" ref="W712">IF(表成绩单[[#This Row],[总分]]="","",SUMPRODUCT((表成绩单[考试日期]=表成绩单[[#This Row],[考试日期]])*(表成绩单[总分]&lt;9E+307)*(表成绩单[总分]&gt;表成绩单[[#This Row],[总分]]))+1)</f>
        <v>708</v>
      </c>
    </row>
    <row r="713" ht="28" customHeight="1" spans="4:23">
      <c r="D713" s="31">
        <v>45975</v>
      </c>
      <c r="E713" s="29">
        <v>19175329</v>
      </c>
      <c r="F713" s="29" t="s">
        <v>55</v>
      </c>
      <c r="G713" s="29" t="s">
        <v>786</v>
      </c>
      <c r="H713" s="29">
        <v>82</v>
      </c>
      <c r="I713" s="29">
        <v>73</v>
      </c>
      <c r="J713" s="29">
        <v>47</v>
      </c>
      <c r="K713" s="29">
        <v>66</v>
      </c>
      <c r="L713" s="29">
        <v>59</v>
      </c>
      <c r="M713" s="29">
        <v>52</v>
      </c>
      <c r="N713" s="29">
        <v>63</v>
      </c>
      <c r="O713" s="32">
        <v>442</v>
      </c>
      <c r="P713" s="29" cm="1">
        <f t="array" ref="P713">IF(表成绩单[[#This Row],[语文]]="","",SUMPRODUCT((表成绩单[考试日期]=表成绩单[[#This Row],[考试日期]])*(表成绩单[语文]&lt;9E+307)*(表成绩单[语文]&gt;表成绩单[[#This Row],[语文]]))+1)</f>
        <v>682</v>
      </c>
      <c r="Q713" s="29" cm="1">
        <f t="array" ref="Q713">IF(表成绩单[[#This Row],[数学]]="","",SUMPRODUCT((表成绩单[考试日期]=表成绩单[[#This Row],[考试日期]])*(表成绩单[数学]&lt;9E+307)*(表成绩单[数学]&gt;表成绩单[[#This Row],[数学]]))+1)</f>
        <v>671</v>
      </c>
      <c r="R713" s="29" cm="1">
        <f t="array" ref="R713">IF(表成绩单[[#This Row],[英语]]="","",SUMPRODUCT((表成绩单[考试日期]=表成绩单[[#This Row],[考试日期]])*(表成绩单[英语]&lt;9E+307)*(表成绩单[英语]&gt;表成绩单[[#This Row],[英语]]))+1)</f>
        <v>739</v>
      </c>
      <c r="S713" s="29" cm="1">
        <f t="array" ref="S713">IF(表成绩单[[#This Row],[物理]]="","",SUMPRODUCT((表成绩单[考试日期]=表成绩单[[#This Row],[考试日期]])*(表成绩单[物理]&lt;9E+307)*(表成绩单[物理]&gt;表成绩单[[#This Row],[物理]]))+1)</f>
        <v>681</v>
      </c>
      <c r="T713" s="29" cm="1">
        <f t="array" ref="T713">IF(表成绩单[[#This Row],[化学]]="","",SUMPRODUCT((表成绩单[考试日期]=表成绩单[[#This Row],[考试日期]])*(表成绩单[化学]&lt;9E+307)*(表成绩单[化学]&gt;表成绩单[[#This Row],[化学]]))+1)</f>
        <v>648</v>
      </c>
      <c r="U713" s="29" cm="1">
        <f t="array" ref="U713">IF(表成绩单[[#This Row],[政治]]="","",SUMPRODUCT((表成绩单[考试日期]=表成绩单[[#This Row],[考试日期]])*(表成绩单[政治]&lt;9E+307)*(表成绩单[政治]&gt;表成绩单[[#This Row],[政治]]))+1)</f>
        <v>743</v>
      </c>
      <c r="V713" s="29" cm="1">
        <f t="array" ref="V713">IF(表成绩单[[#This Row],[历史]]="","",SUMPRODUCT((表成绩单[考试日期]=表成绩单[[#This Row],[考试日期]])*(表成绩单[历史]&lt;9E+307)*(表成绩单[历史]&gt;表成绩单[[#This Row],[历史]]))+1)</f>
        <v>675</v>
      </c>
      <c r="W713" s="29" cm="1">
        <f t="array" ref="W713">IF(表成绩单[[#This Row],[总分]]="","",SUMPRODUCT((表成绩单[考试日期]=表成绩单[[#This Row],[考试日期]])*(表成绩单[总分]&lt;9E+307)*(表成绩单[总分]&gt;表成绩单[[#This Row],[总分]]))+1)</f>
        <v>708</v>
      </c>
    </row>
    <row r="714" ht="28" customHeight="1" spans="4:23">
      <c r="D714" s="31">
        <v>45975</v>
      </c>
      <c r="E714" s="29">
        <v>19173803</v>
      </c>
      <c r="F714" s="29" t="s">
        <v>65</v>
      </c>
      <c r="G714" s="29" t="s">
        <v>787</v>
      </c>
      <c r="H714" s="29">
        <v>79</v>
      </c>
      <c r="I714" s="29">
        <v>52</v>
      </c>
      <c r="J714" s="29">
        <v>67</v>
      </c>
      <c r="K714" s="29">
        <v>50</v>
      </c>
      <c r="L714" s="29">
        <v>56</v>
      </c>
      <c r="M714" s="29">
        <v>72</v>
      </c>
      <c r="N714" s="29">
        <v>65</v>
      </c>
      <c r="O714" s="32">
        <v>441</v>
      </c>
      <c r="P714" s="29" cm="1">
        <f t="array" ref="P714">IF(表成绩单[[#This Row],[语文]]="","",SUMPRODUCT((表成绩单[考试日期]=表成绩单[[#This Row],[考试日期]])*(表成绩单[语文]&lt;9E+307)*(表成绩单[语文]&gt;表成绩单[[#This Row],[语文]]))+1)</f>
        <v>716</v>
      </c>
      <c r="Q714" s="29" cm="1">
        <f t="array" ref="Q714">IF(表成绩单[[#This Row],[数学]]="","",SUMPRODUCT((表成绩单[考试日期]=表成绩单[[#This Row],[考试日期]])*(表成绩单[数学]&lt;9E+307)*(表成绩单[数学]&gt;表成绩单[[#This Row],[数学]]))+1)</f>
        <v>752</v>
      </c>
      <c r="R714" s="29" cm="1">
        <f t="array" ref="R714">IF(表成绩单[[#This Row],[英语]]="","",SUMPRODUCT((表成绩单[考试日期]=表成绩单[[#This Row],[考试日期]])*(表成绩单[英语]&lt;9E+307)*(表成绩单[英语]&gt;表成绩单[[#This Row],[英语]]))+1)</f>
        <v>596</v>
      </c>
      <c r="S714" s="29" cm="1">
        <f t="array" ref="S714">IF(表成绩单[[#This Row],[物理]]="","",SUMPRODUCT((表成绩单[考试日期]=表成绩单[[#This Row],[考试日期]])*(表成绩单[物理]&lt;9E+307)*(表成绩单[物理]&gt;表成绩单[[#This Row],[物理]]))+1)</f>
        <v>760</v>
      </c>
      <c r="T714" s="29" cm="1">
        <f t="array" ref="T714">IF(表成绩单[[#This Row],[化学]]="","",SUMPRODUCT((表成绩单[考试日期]=表成绩单[[#This Row],[考试日期]])*(表成绩单[化学]&lt;9E+307)*(表成绩单[化学]&gt;表成绩单[[#This Row],[化学]]))+1)</f>
        <v>680</v>
      </c>
      <c r="U714" s="29" cm="1">
        <f t="array" ref="U714">IF(表成绩单[[#This Row],[政治]]="","",SUMPRODUCT((表成绩单[考试日期]=表成绩单[[#This Row],[考试日期]])*(表成绩单[政治]&lt;9E+307)*(表成绩单[政治]&gt;表成绩单[[#This Row],[政治]]))+1)</f>
        <v>448</v>
      </c>
      <c r="V714" s="29" cm="1">
        <f t="array" ref="V714">IF(表成绩单[[#This Row],[历史]]="","",SUMPRODUCT((表成绩单[考试日期]=表成绩单[[#This Row],[考试日期]])*(表成绩单[历史]&lt;9E+307)*(表成绩单[历史]&gt;表成绩单[[#This Row],[历史]]))+1)</f>
        <v>644</v>
      </c>
      <c r="W714" s="29" cm="1">
        <f t="array" ref="W714">IF(表成绩单[[#This Row],[总分]]="","",SUMPRODUCT((表成绩单[考试日期]=表成绩单[[#This Row],[考试日期]])*(表成绩单[总分]&lt;9E+307)*(表成绩单[总分]&gt;表成绩单[[#This Row],[总分]]))+1)</f>
        <v>710</v>
      </c>
    </row>
    <row r="715" ht="28" customHeight="1" spans="4:23">
      <c r="D715" s="31">
        <v>45975</v>
      </c>
      <c r="E715" s="29">
        <v>19175608</v>
      </c>
      <c r="F715" s="29" t="s">
        <v>57</v>
      </c>
      <c r="G715" s="29" t="s">
        <v>788</v>
      </c>
      <c r="H715" s="29">
        <v>94</v>
      </c>
      <c r="I715" s="29">
        <v>53</v>
      </c>
      <c r="J715" s="29">
        <v>51</v>
      </c>
      <c r="K715" s="29">
        <v>58</v>
      </c>
      <c r="L715" s="29">
        <v>66</v>
      </c>
      <c r="M715" s="29">
        <v>62</v>
      </c>
      <c r="N715" s="29">
        <v>57</v>
      </c>
      <c r="O715" s="32">
        <v>441</v>
      </c>
      <c r="P715" s="29" cm="1">
        <f t="array" ref="P715">IF(表成绩单[[#This Row],[语文]]="","",SUMPRODUCT((表成绩单[考试日期]=表成绩单[[#This Row],[考试日期]])*(表成绩单[语文]&lt;9E+307)*(表成绩单[语文]&gt;表成绩单[[#This Row],[语文]]))+1)</f>
        <v>452</v>
      </c>
      <c r="Q715" s="29" cm="1">
        <f t="array" ref="Q715">IF(表成绩单[[#This Row],[数学]]="","",SUMPRODUCT((表成绩单[考试日期]=表成绩单[[#This Row],[考试日期]])*(表成绩单[数学]&lt;9E+307)*(表成绩单[数学]&gt;表成绩单[[#This Row],[数学]]))+1)</f>
        <v>749</v>
      </c>
      <c r="R715" s="29" cm="1">
        <f t="array" ref="R715">IF(表成绩单[[#This Row],[英语]]="","",SUMPRODUCT((表成绩单[考试日期]=表成绩单[[#This Row],[考试日期]])*(表成绩单[英语]&lt;9E+307)*(表成绩单[英语]&gt;表成绩单[[#This Row],[英语]]))+1)</f>
        <v>718</v>
      </c>
      <c r="S715" s="29" cm="1">
        <f t="array" ref="S715">IF(表成绩单[[#This Row],[物理]]="","",SUMPRODUCT((表成绩单[考试日期]=表成绩单[[#This Row],[考试日期]])*(表成绩单[物理]&lt;9E+307)*(表成绩单[物理]&gt;表成绩单[[#This Row],[物理]]))+1)</f>
        <v>726</v>
      </c>
      <c r="T715" s="29" cm="1">
        <f t="array" ref="T715">IF(表成绩单[[#This Row],[化学]]="","",SUMPRODUCT((表成绩单[考试日期]=表成绩单[[#This Row],[考试日期]])*(表成绩单[化学]&lt;9E+307)*(表成绩单[化学]&gt;表成绩单[[#This Row],[化学]]))+1)</f>
        <v>542</v>
      </c>
      <c r="U715" s="29" cm="1">
        <f t="array" ref="U715">IF(表成绩单[[#This Row],[政治]]="","",SUMPRODUCT((表成绩单[考试日期]=表成绩单[[#This Row],[考试日期]])*(表成绩单[政治]&lt;9E+307)*(表成绩单[政治]&gt;表成绩单[[#This Row],[政治]]))+1)</f>
        <v>628</v>
      </c>
      <c r="V715" s="29" cm="1">
        <f t="array" ref="V715">IF(表成绩单[[#This Row],[历史]]="","",SUMPRODUCT((表成绩单[考试日期]=表成绩单[[#This Row],[考试日期]])*(表成绩单[历史]&lt;9E+307)*(表成绩单[历史]&gt;表成绩单[[#This Row],[历史]]))+1)</f>
        <v>740</v>
      </c>
      <c r="W715" s="29" cm="1">
        <f t="array" ref="W715">IF(表成绩单[[#This Row],[总分]]="","",SUMPRODUCT((表成绩单[考试日期]=表成绩单[[#This Row],[考试日期]])*(表成绩单[总分]&lt;9E+307)*(表成绩单[总分]&gt;表成绩单[[#This Row],[总分]]))+1)</f>
        <v>710</v>
      </c>
    </row>
    <row r="716" ht="28" customHeight="1" spans="4:23">
      <c r="D716" s="31">
        <v>45975</v>
      </c>
      <c r="E716" s="29">
        <v>19172655</v>
      </c>
      <c r="F716" s="29" t="s">
        <v>60</v>
      </c>
      <c r="G716" s="29" t="s">
        <v>789</v>
      </c>
      <c r="H716" s="29">
        <v>80</v>
      </c>
      <c r="I716" s="29">
        <v>74</v>
      </c>
      <c r="J716" s="29">
        <v>49</v>
      </c>
      <c r="K716" s="29">
        <v>65</v>
      </c>
      <c r="L716" s="29">
        <v>42</v>
      </c>
      <c r="M716" s="29">
        <v>61</v>
      </c>
      <c r="N716" s="29">
        <v>69</v>
      </c>
      <c r="O716" s="32">
        <v>440</v>
      </c>
      <c r="P716" s="29" cm="1">
        <f t="array" ref="P716">IF(表成绩单[[#This Row],[语文]]="","",SUMPRODUCT((表成绩单[考试日期]=表成绩单[[#This Row],[考试日期]])*(表成绩单[语文]&lt;9E+307)*(表成绩单[语文]&gt;表成绩单[[#This Row],[语文]]))+1)</f>
        <v>702</v>
      </c>
      <c r="Q716" s="29" cm="1">
        <f t="array" ref="Q716">IF(表成绩单[[#This Row],[数学]]="","",SUMPRODUCT((表成绩单[考试日期]=表成绩单[[#This Row],[考试日期]])*(表成绩单[数学]&lt;9E+307)*(表成绩单[数学]&gt;表成绩单[[#This Row],[数学]]))+1)</f>
        <v>667</v>
      </c>
      <c r="R716" s="29" cm="1">
        <f t="array" ref="R716">IF(表成绩单[[#This Row],[英语]]="","",SUMPRODUCT((表成绩单[考试日期]=表成绩单[[#This Row],[考试日期]])*(表成绩单[英语]&lt;9E+307)*(表成绩单[英语]&gt;表成绩单[[#This Row],[英语]]))+1)</f>
        <v>731</v>
      </c>
      <c r="S716" s="29" cm="1">
        <f t="array" ref="S716">IF(表成绩单[[#This Row],[物理]]="","",SUMPRODUCT((表成绩单[考试日期]=表成绩单[[#This Row],[考试日期]])*(表成绩单[物理]&lt;9E+307)*(表成绩单[物理]&gt;表成绩单[[#This Row],[物理]]))+1)</f>
        <v>690</v>
      </c>
      <c r="T716" s="29" cm="1">
        <f t="array" ref="T716">IF(表成绩单[[#This Row],[化学]]="","",SUMPRODUCT((表成绩单[考试日期]=表成绩单[[#This Row],[考试日期]])*(表成绩单[化学]&lt;9E+307)*(表成绩单[化学]&gt;表成绩单[[#This Row],[化学]]))+1)</f>
        <v>772</v>
      </c>
      <c r="U716" s="29" cm="1">
        <f t="array" ref="U716">IF(表成绩单[[#This Row],[政治]]="","",SUMPRODUCT((表成绩单[考试日期]=表成绩单[[#This Row],[考试日期]])*(表成绩单[政治]&lt;9E+307)*(表成绩单[政治]&gt;表成绩单[[#This Row],[政治]]))+1)</f>
        <v>644</v>
      </c>
      <c r="V716" s="29" cm="1">
        <f t="array" ref="V716">IF(表成绩单[[#This Row],[历史]]="","",SUMPRODUCT((表成绩单[考试日期]=表成绩单[[#This Row],[考试日期]])*(表成绩单[历史]&lt;9E+307)*(表成绩单[历史]&gt;表成绩单[[#This Row],[历史]]))+1)</f>
        <v>541</v>
      </c>
      <c r="W716" s="29" cm="1">
        <f t="array" ref="W716">IF(表成绩单[[#This Row],[总分]]="","",SUMPRODUCT((表成绩单[考试日期]=表成绩单[[#This Row],[考试日期]])*(表成绩单[总分]&lt;9E+307)*(表成绩单[总分]&gt;表成绩单[[#This Row],[总分]]))+1)</f>
        <v>712</v>
      </c>
    </row>
    <row r="717" ht="28" customHeight="1" spans="4:23">
      <c r="D717" s="31">
        <v>45975</v>
      </c>
      <c r="E717" s="29">
        <v>19177631</v>
      </c>
      <c r="F717" s="29" t="s">
        <v>58</v>
      </c>
      <c r="G717" s="29" t="s">
        <v>790</v>
      </c>
      <c r="H717" s="29">
        <v>80</v>
      </c>
      <c r="I717" s="29">
        <v>78</v>
      </c>
      <c r="J717" s="29">
        <v>54</v>
      </c>
      <c r="K717" s="29">
        <v>61</v>
      </c>
      <c r="L717" s="29">
        <v>46</v>
      </c>
      <c r="M717" s="29">
        <v>58</v>
      </c>
      <c r="N717" s="29">
        <v>63</v>
      </c>
      <c r="O717" s="32">
        <v>440</v>
      </c>
      <c r="P717" s="29" cm="1">
        <f t="array" ref="P717">IF(表成绩单[[#This Row],[语文]]="","",SUMPRODUCT((表成绩单[考试日期]=表成绩单[[#This Row],[考试日期]])*(表成绩单[语文]&lt;9E+307)*(表成绩单[语文]&gt;表成绩单[[#This Row],[语文]]))+1)</f>
        <v>702</v>
      </c>
      <c r="Q717" s="29" cm="1">
        <f t="array" ref="Q717">IF(表成绩单[[#This Row],[数学]]="","",SUMPRODUCT((表成绩单[考试日期]=表成绩单[[#This Row],[考试日期]])*(表成绩单[数学]&lt;9E+307)*(表成绩单[数学]&gt;表成绩单[[#This Row],[数学]]))+1)</f>
        <v>644</v>
      </c>
      <c r="R717" s="29" cm="1">
        <f t="array" ref="R717">IF(表成绩单[[#This Row],[英语]]="","",SUMPRODUCT((表成绩单[考试日期]=表成绩单[[#This Row],[考试日期]])*(表成绩单[英语]&lt;9E+307)*(表成绩单[英语]&gt;表成绩单[[#This Row],[英语]]))+1)</f>
        <v>705</v>
      </c>
      <c r="S717" s="29" cm="1">
        <f t="array" ref="S717">IF(表成绩单[[#This Row],[物理]]="","",SUMPRODUCT((表成绩单[考试日期]=表成绩单[[#This Row],[考试日期]])*(表成绩单[物理]&lt;9E+307)*(表成绩单[物理]&gt;表成绩单[[#This Row],[物理]]))+1)</f>
        <v>712</v>
      </c>
      <c r="T717" s="29" cm="1">
        <f t="array" ref="T717">IF(表成绩单[[#This Row],[化学]]="","",SUMPRODUCT((表成绩单[考试日期]=表成绩单[[#This Row],[考试日期]])*(表成绩单[化学]&lt;9E+307)*(表成绩单[化学]&gt;表成绩单[[#This Row],[化学]]))+1)</f>
        <v>757</v>
      </c>
      <c r="U717" s="29" cm="1">
        <f t="array" ref="U717">IF(表成绩单[[#This Row],[政治]]="","",SUMPRODUCT((表成绩单[考试日期]=表成绩单[[#This Row],[考试日期]])*(表成绩单[政治]&lt;9E+307)*(表成绩单[政治]&gt;表成绩单[[#This Row],[政治]]))+1)</f>
        <v>691</v>
      </c>
      <c r="V717" s="29" cm="1">
        <f t="array" ref="V717">IF(表成绩单[[#This Row],[历史]]="","",SUMPRODUCT((表成绩单[考试日期]=表成绩单[[#This Row],[考试日期]])*(表成绩单[历史]&lt;9E+307)*(表成绩单[历史]&gt;表成绩单[[#This Row],[历史]]))+1)</f>
        <v>675</v>
      </c>
      <c r="W717" s="29" cm="1">
        <f t="array" ref="W717">IF(表成绩单[[#This Row],[总分]]="","",SUMPRODUCT((表成绩单[考试日期]=表成绩单[[#This Row],[考试日期]])*(表成绩单[总分]&lt;9E+307)*(表成绩单[总分]&gt;表成绩单[[#This Row],[总分]]))+1)</f>
        <v>712</v>
      </c>
    </row>
    <row r="718" ht="28" customHeight="1" spans="4:23">
      <c r="D718" s="31">
        <v>45975</v>
      </c>
      <c r="E718" s="29">
        <v>19172659</v>
      </c>
      <c r="F718" s="29" t="s">
        <v>60</v>
      </c>
      <c r="G718" s="29" t="s">
        <v>791</v>
      </c>
      <c r="H718" s="29">
        <v>81</v>
      </c>
      <c r="I718" s="29">
        <v>51</v>
      </c>
      <c r="J718" s="29">
        <v>73.5</v>
      </c>
      <c r="K718" s="29">
        <v>55</v>
      </c>
      <c r="L718" s="29">
        <v>58</v>
      </c>
      <c r="M718" s="29">
        <v>56</v>
      </c>
      <c r="N718" s="29">
        <v>64</v>
      </c>
      <c r="O718" s="32">
        <v>438.5</v>
      </c>
      <c r="P718" s="29" cm="1">
        <f t="array" ref="P718">IF(表成绩单[[#This Row],[语文]]="","",SUMPRODUCT((表成绩单[考试日期]=表成绩单[[#This Row],[考试日期]])*(表成绩单[语文]&lt;9E+307)*(表成绩单[语文]&gt;表成绩单[[#This Row],[语文]]))+1)</f>
        <v>688</v>
      </c>
      <c r="Q718" s="29" cm="1">
        <f t="array" ref="Q718">IF(表成绩单[[#This Row],[数学]]="","",SUMPRODUCT((表成绩单[考试日期]=表成绩单[[#This Row],[考试日期]])*(表成绩单[数学]&lt;9E+307)*(表成绩单[数学]&gt;表成绩单[[#This Row],[数学]]))+1)</f>
        <v>755</v>
      </c>
      <c r="R718" s="29" cm="1">
        <f t="array" ref="R718">IF(表成绩单[[#This Row],[英语]]="","",SUMPRODUCT((表成绩单[考试日期]=表成绩单[[#This Row],[考试日期]])*(表成绩单[英语]&lt;9E+307)*(表成绩单[英语]&gt;表成绩单[[#This Row],[英语]]))+1)</f>
        <v>470</v>
      </c>
      <c r="S718" s="29" cm="1">
        <f t="array" ref="S718">IF(表成绩单[[#This Row],[物理]]="","",SUMPRODUCT((表成绩单[考试日期]=表成绩单[[#This Row],[考试日期]])*(表成绩单[物理]&lt;9E+307)*(表成绩单[物理]&gt;表成绩单[[#This Row],[物理]]))+1)</f>
        <v>741</v>
      </c>
      <c r="T718" s="29" cm="1">
        <f t="array" ref="T718">IF(表成绩单[[#This Row],[化学]]="","",SUMPRODUCT((表成绩单[考试日期]=表成绩单[[#This Row],[考试日期]])*(表成绩单[化学]&lt;9E+307)*(表成绩单[化学]&gt;表成绩单[[#This Row],[化学]]))+1)</f>
        <v>659</v>
      </c>
      <c r="U718" s="29" cm="1">
        <f t="array" ref="U718">IF(表成绩单[[#This Row],[政治]]="","",SUMPRODUCT((表成绩单[考试日期]=表成绩单[[#This Row],[考试日期]])*(表成绩单[政治]&lt;9E+307)*(表成绩单[政治]&gt;表成绩单[[#This Row],[政治]]))+1)</f>
        <v>706</v>
      </c>
      <c r="V718" s="29" cm="1">
        <f t="array" ref="V718">IF(表成绩单[[#This Row],[历史]]="","",SUMPRODUCT((表成绩单[考试日期]=表成绩单[[#This Row],[考试日期]])*(表成绩单[历史]&lt;9E+307)*(表成绩单[历史]&gt;表成绩单[[#This Row],[历史]]))+1)</f>
        <v>660</v>
      </c>
      <c r="W718" s="29" cm="1">
        <f t="array" ref="W718">IF(表成绩单[[#This Row],[总分]]="","",SUMPRODUCT((表成绩单[考试日期]=表成绩单[[#This Row],[考试日期]])*(表成绩单[总分]&lt;9E+307)*(表成绩单[总分]&gt;表成绩单[[#This Row],[总分]]))+1)</f>
        <v>714</v>
      </c>
    </row>
    <row r="719" ht="28" customHeight="1" spans="4:23">
      <c r="D719" s="31">
        <v>45975</v>
      </c>
      <c r="E719" s="29">
        <v>19176002</v>
      </c>
      <c r="F719" s="29" t="s">
        <v>59</v>
      </c>
      <c r="G719" s="29" t="s">
        <v>792</v>
      </c>
      <c r="H719" s="29">
        <v>79</v>
      </c>
      <c r="I719" s="29">
        <v>79</v>
      </c>
      <c r="J719" s="29">
        <v>37.5</v>
      </c>
      <c r="K719" s="29">
        <v>65</v>
      </c>
      <c r="L719" s="29">
        <v>57</v>
      </c>
      <c r="M719" s="29">
        <v>60</v>
      </c>
      <c r="N719" s="29">
        <v>61</v>
      </c>
      <c r="O719" s="32">
        <v>438.5</v>
      </c>
      <c r="P719" s="29" cm="1">
        <f t="array" ref="P719">IF(表成绩单[[#This Row],[语文]]="","",SUMPRODUCT((表成绩单[考试日期]=表成绩单[[#This Row],[考试日期]])*(表成绩单[语文]&lt;9E+307)*(表成绩单[语文]&gt;表成绩单[[#This Row],[语文]]))+1)</f>
        <v>716</v>
      </c>
      <c r="Q719" s="29" cm="1">
        <f t="array" ref="Q719">IF(表成绩单[[#This Row],[数学]]="","",SUMPRODUCT((表成绩单[考试日期]=表成绩单[[#This Row],[考试日期]])*(表成绩单[数学]&lt;9E+307)*(表成绩单[数学]&gt;表成绩单[[#This Row],[数学]]))+1)</f>
        <v>639</v>
      </c>
      <c r="R719" s="29" cm="1">
        <f t="array" ref="R719">IF(表成绩单[[#This Row],[英语]]="","",SUMPRODUCT((表成绩单[考试日期]=表成绩单[[#This Row],[考试日期]])*(表成绩单[英语]&lt;9E+307)*(表成绩单[英语]&gt;表成绩单[[#This Row],[英语]]))+1)</f>
        <v>771</v>
      </c>
      <c r="S719" s="29" cm="1">
        <f t="array" ref="S719">IF(表成绩单[[#This Row],[物理]]="","",SUMPRODUCT((表成绩单[考试日期]=表成绩单[[#This Row],[考试日期]])*(表成绩单[物理]&lt;9E+307)*(表成绩单[物理]&gt;表成绩单[[#This Row],[物理]]))+1)</f>
        <v>690</v>
      </c>
      <c r="T719" s="29" cm="1">
        <f t="array" ref="T719">IF(表成绩单[[#This Row],[化学]]="","",SUMPRODUCT((表成绩单[考试日期]=表成绩单[[#This Row],[考试日期]])*(表成绩单[化学]&lt;9E+307)*(表成绩单[化学]&gt;表成绩单[[#This Row],[化学]]))+1)</f>
        <v>676</v>
      </c>
      <c r="U719" s="29" cm="1">
        <f t="array" ref="U719">IF(表成绩单[[#This Row],[政治]]="","",SUMPRODUCT((表成绩单[考试日期]=表成绩单[[#This Row],[考试日期]])*(表成绩单[政治]&lt;9E+307)*(表成绩单[政治]&gt;表成绩单[[#This Row],[政治]]))+1)</f>
        <v>671</v>
      </c>
      <c r="V719" s="29" cm="1">
        <f t="array" ref="V719">IF(表成绩单[[#This Row],[历史]]="","",SUMPRODUCT((表成绩单[考试日期]=表成绩单[[#This Row],[考试日期]])*(表成绩单[历史]&lt;9E+307)*(表成绩单[历史]&gt;表成绩单[[#This Row],[历史]]))+1)</f>
        <v>702</v>
      </c>
      <c r="W719" s="29" cm="1">
        <f t="array" ref="W719">IF(表成绩单[[#This Row],[总分]]="","",SUMPRODUCT((表成绩单[考试日期]=表成绩单[[#This Row],[考试日期]])*(表成绩单[总分]&lt;9E+307)*(表成绩单[总分]&gt;表成绩单[[#This Row],[总分]]))+1)</f>
        <v>714</v>
      </c>
    </row>
    <row r="720" ht="28" customHeight="1" spans="4:23">
      <c r="D720" s="31">
        <v>45975</v>
      </c>
      <c r="E720" s="29">
        <v>19175590</v>
      </c>
      <c r="F720" s="29" t="s">
        <v>57</v>
      </c>
      <c r="G720" s="29" t="s">
        <v>793</v>
      </c>
      <c r="H720" s="29">
        <v>79</v>
      </c>
      <c r="I720" s="29">
        <v>68</v>
      </c>
      <c r="J720" s="29">
        <v>71</v>
      </c>
      <c r="K720" s="29">
        <v>55</v>
      </c>
      <c r="L720" s="29">
        <v>52</v>
      </c>
      <c r="M720" s="29">
        <v>49</v>
      </c>
      <c r="N720" s="29">
        <v>64</v>
      </c>
      <c r="O720" s="32">
        <v>438</v>
      </c>
      <c r="P720" s="29" cm="1">
        <f t="array" ref="P720">IF(表成绩单[[#This Row],[语文]]="","",SUMPRODUCT((表成绩单[考试日期]=表成绩单[[#This Row],[考试日期]])*(表成绩单[语文]&lt;9E+307)*(表成绩单[语文]&gt;表成绩单[[#This Row],[语文]]))+1)</f>
        <v>716</v>
      </c>
      <c r="Q720" s="29" cm="1">
        <f t="array" ref="Q720">IF(表成绩单[[#This Row],[数学]]="","",SUMPRODUCT((表成绩单[考试日期]=表成绩单[[#This Row],[考试日期]])*(表成绩单[数学]&lt;9E+307)*(表成绩单[数学]&gt;表成绩单[[#This Row],[数学]]))+1)</f>
        <v>696</v>
      </c>
      <c r="R720" s="29" cm="1">
        <f t="array" ref="R720">IF(表成绩单[[#This Row],[英语]]="","",SUMPRODUCT((表成绩单[考试日期]=表成绩单[[#This Row],[考试日期]])*(表成绩单[英语]&lt;9E+307)*(表成绩单[英语]&gt;表成绩单[[#This Row],[英语]]))+1)</f>
        <v>534</v>
      </c>
      <c r="S720" s="29" cm="1">
        <f t="array" ref="S720">IF(表成绩单[[#This Row],[物理]]="","",SUMPRODUCT((表成绩单[考试日期]=表成绩单[[#This Row],[考试日期]])*(表成绩单[物理]&lt;9E+307)*(表成绩单[物理]&gt;表成绩单[[#This Row],[物理]]))+1)</f>
        <v>741</v>
      </c>
      <c r="T720" s="29" cm="1">
        <f t="array" ref="T720">IF(表成绩单[[#This Row],[化学]]="","",SUMPRODUCT((表成绩单[考试日期]=表成绩单[[#This Row],[考试日期]])*(表成绩单[化学]&lt;9E+307)*(表成绩单[化学]&gt;表成绩单[[#This Row],[化学]]))+1)</f>
        <v>723</v>
      </c>
      <c r="U720" s="29" cm="1">
        <f t="array" ref="U720">IF(表成绩单[[#This Row],[政治]]="","",SUMPRODUCT((表成绩单[考试日期]=表成绩单[[#This Row],[考试日期]])*(表成绩单[政治]&lt;9E+307)*(表成绩单[政治]&gt;表成绩单[[#This Row],[政治]]))+1)</f>
        <v>764</v>
      </c>
      <c r="V720" s="29" cm="1">
        <f t="array" ref="V720">IF(表成绩单[[#This Row],[历史]]="","",SUMPRODUCT((表成绩单[考试日期]=表成绩单[[#This Row],[考试日期]])*(表成绩单[历史]&lt;9E+307)*(表成绩单[历史]&gt;表成绩单[[#This Row],[历史]]))+1)</f>
        <v>660</v>
      </c>
      <c r="W720" s="29" cm="1">
        <f t="array" ref="W720">IF(表成绩单[[#This Row],[总分]]="","",SUMPRODUCT((表成绩单[考试日期]=表成绩单[[#This Row],[考试日期]])*(表成绩单[总分]&lt;9E+307)*(表成绩单[总分]&gt;表成绩单[[#This Row],[总分]]))+1)</f>
        <v>716</v>
      </c>
    </row>
    <row r="721" ht="28" customHeight="1" spans="4:23">
      <c r="D721" s="31">
        <v>45975</v>
      </c>
      <c r="E721" s="29">
        <v>19172628</v>
      </c>
      <c r="F721" s="29" t="s">
        <v>60</v>
      </c>
      <c r="G721" s="29" t="s">
        <v>794</v>
      </c>
      <c r="H721" s="29">
        <v>82</v>
      </c>
      <c r="I721" s="29">
        <v>67</v>
      </c>
      <c r="J721" s="29">
        <v>43.5</v>
      </c>
      <c r="K721" s="29">
        <v>70</v>
      </c>
      <c r="L721" s="29">
        <v>55</v>
      </c>
      <c r="M721" s="29">
        <v>59</v>
      </c>
      <c r="N721" s="29">
        <v>56</v>
      </c>
      <c r="O721" s="32">
        <v>432.5</v>
      </c>
      <c r="P721" s="29" cm="1">
        <f t="array" ref="P721">IF(表成绩单[[#This Row],[语文]]="","",SUMPRODUCT((表成绩单[考试日期]=表成绩单[[#This Row],[考试日期]])*(表成绩单[语文]&lt;9E+307)*(表成绩单[语文]&gt;表成绩单[[#This Row],[语文]]))+1)</f>
        <v>682</v>
      </c>
      <c r="Q721" s="29" cm="1">
        <f t="array" ref="Q721">IF(表成绩单[[#This Row],[数学]]="","",SUMPRODUCT((表成绩单[考试日期]=表成绩单[[#This Row],[考试日期]])*(表成绩单[数学]&lt;9E+307)*(表成绩单[数学]&gt;表成绩单[[#This Row],[数学]]))+1)</f>
        <v>702</v>
      </c>
      <c r="R721" s="29" cm="1">
        <f t="array" ref="R721">IF(表成绩单[[#This Row],[英语]]="","",SUMPRODUCT((表成绩单[考试日期]=表成绩单[[#This Row],[考试日期]])*(表成绩单[英语]&lt;9E+307)*(表成绩单[英语]&gt;表成绩单[[#This Row],[英语]]))+1)</f>
        <v>756</v>
      </c>
      <c r="S721" s="29" cm="1">
        <f t="array" ref="S721">IF(表成绩单[[#This Row],[物理]]="","",SUMPRODUCT((表成绩单[考试日期]=表成绩单[[#This Row],[考试日期]])*(表成绩单[物理]&lt;9E+307)*(表成绩单[物理]&gt;表成绩单[[#This Row],[物理]]))+1)</f>
        <v>653</v>
      </c>
      <c r="T721" s="29" cm="1">
        <f t="array" ref="T721">IF(表成绩单[[#This Row],[化学]]="","",SUMPRODUCT((表成绩单[考试日期]=表成绩单[[#This Row],[考试日期]])*(表成绩单[化学]&lt;9E+307)*(表成绩单[化学]&gt;表成绩单[[#This Row],[化学]]))+1)</f>
        <v>692</v>
      </c>
      <c r="U721" s="29" cm="1">
        <f t="array" ref="U721">IF(表成绩单[[#This Row],[政治]]="","",SUMPRODUCT((表成绩单[考试日期]=表成绩单[[#This Row],[考试日期]])*(表成绩单[政治]&lt;9E+307)*(表成绩单[政治]&gt;表成绩单[[#This Row],[政治]]))+1)</f>
        <v>681</v>
      </c>
      <c r="V721" s="29" cm="1">
        <f t="array" ref="V721">IF(表成绩单[[#This Row],[历史]]="","",SUMPRODUCT((表成绩单[考试日期]=表成绩单[[#This Row],[考试日期]])*(表成绩单[历史]&lt;9E+307)*(表成绩单[历史]&gt;表成绩单[[#This Row],[历史]]))+1)</f>
        <v>743</v>
      </c>
      <c r="W721" s="29" cm="1">
        <f t="array" ref="W721">IF(表成绩单[[#This Row],[总分]]="","",SUMPRODUCT((表成绩单[考试日期]=表成绩单[[#This Row],[考试日期]])*(表成绩单[总分]&lt;9E+307)*(表成绩单[总分]&gt;表成绩单[[#This Row],[总分]]))+1)</f>
        <v>717</v>
      </c>
    </row>
    <row r="722" ht="28" customHeight="1" spans="4:23">
      <c r="D722" s="31">
        <v>45975</v>
      </c>
      <c r="E722" s="29">
        <v>19175320</v>
      </c>
      <c r="F722" s="29" t="s">
        <v>55</v>
      </c>
      <c r="G722" s="29" t="s">
        <v>795</v>
      </c>
      <c r="H722" s="29">
        <v>78</v>
      </c>
      <c r="I722" s="29">
        <v>67</v>
      </c>
      <c r="J722" s="29">
        <v>57</v>
      </c>
      <c r="K722" s="29">
        <v>64</v>
      </c>
      <c r="L722" s="29">
        <v>52</v>
      </c>
      <c r="M722" s="29">
        <v>59</v>
      </c>
      <c r="N722" s="29">
        <v>55</v>
      </c>
      <c r="O722" s="32">
        <v>432</v>
      </c>
      <c r="P722" s="29" cm="1">
        <f t="array" ref="P722">IF(表成绩单[[#This Row],[语文]]="","",SUMPRODUCT((表成绩单[考试日期]=表成绩单[[#This Row],[考试日期]])*(表成绩单[语文]&lt;9E+307)*(表成绩单[语文]&gt;表成绩单[[#This Row],[语文]]))+1)</f>
        <v>728</v>
      </c>
      <c r="Q722" s="29" cm="1">
        <f t="array" ref="Q722">IF(表成绩单[[#This Row],[数学]]="","",SUMPRODUCT((表成绩单[考试日期]=表成绩单[[#This Row],[考试日期]])*(表成绩单[数学]&lt;9E+307)*(表成绩单[数学]&gt;表成绩单[[#This Row],[数学]]))+1)</f>
        <v>702</v>
      </c>
      <c r="R722" s="29" cm="1">
        <f t="array" ref="R722">IF(表成绩单[[#This Row],[英语]]="","",SUMPRODUCT((表成绩单[考试日期]=表成绩单[[#This Row],[考试日期]])*(表成绩单[英语]&lt;9E+307)*(表成绩单[英语]&gt;表成绩单[[#This Row],[英语]]))+1)</f>
        <v>690</v>
      </c>
      <c r="S722" s="29" cm="1">
        <f t="array" ref="S722">IF(表成绩单[[#This Row],[物理]]="","",SUMPRODUCT((表成绩单[考试日期]=表成绩单[[#This Row],[考试日期]])*(表成绩单[物理]&lt;9E+307)*(表成绩单[物理]&gt;表成绩单[[#This Row],[物理]]))+1)</f>
        <v>697</v>
      </c>
      <c r="T722" s="29" cm="1">
        <f t="array" ref="T722">IF(表成绩单[[#This Row],[化学]]="","",SUMPRODUCT((表成绩单[考试日期]=表成绩单[[#This Row],[考试日期]])*(表成绩单[化学]&lt;9E+307)*(表成绩单[化学]&gt;表成绩单[[#This Row],[化学]]))+1)</f>
        <v>723</v>
      </c>
      <c r="U722" s="29" cm="1">
        <f t="array" ref="U722">IF(表成绩单[[#This Row],[政治]]="","",SUMPRODUCT((表成绩单[考试日期]=表成绩单[[#This Row],[考试日期]])*(表成绩单[政治]&lt;9E+307)*(表成绩单[政治]&gt;表成绩单[[#This Row],[政治]]))+1)</f>
        <v>681</v>
      </c>
      <c r="V722" s="29" cm="1">
        <f t="array" ref="V722">IF(表成绩单[[#This Row],[历史]]="","",SUMPRODUCT((表成绩单[考试日期]=表成绩单[[#This Row],[考试日期]])*(表成绩单[历史]&lt;9E+307)*(表成绩单[历史]&gt;表成绩单[[#This Row],[历史]]))+1)</f>
        <v>749</v>
      </c>
      <c r="W722" s="29" cm="1">
        <f t="array" ref="W722">IF(表成绩单[[#This Row],[总分]]="","",SUMPRODUCT((表成绩单[考试日期]=表成绩单[[#This Row],[考试日期]])*(表成绩单[总分]&lt;9E+307)*(表成绩单[总分]&gt;表成绩单[[#This Row],[总分]]))+1)</f>
        <v>718</v>
      </c>
    </row>
    <row r="723" ht="28" customHeight="1" spans="4:23">
      <c r="D723" s="31">
        <v>45975</v>
      </c>
      <c r="E723" s="29">
        <v>19172641</v>
      </c>
      <c r="F723" s="29" t="s">
        <v>60</v>
      </c>
      <c r="G723" s="29" t="s">
        <v>796</v>
      </c>
      <c r="H723" s="29">
        <v>85</v>
      </c>
      <c r="I723" s="29">
        <v>54</v>
      </c>
      <c r="J723" s="29">
        <v>59</v>
      </c>
      <c r="K723" s="29">
        <v>67</v>
      </c>
      <c r="L723" s="29">
        <v>65</v>
      </c>
      <c r="M723" s="29">
        <v>45</v>
      </c>
      <c r="N723" s="29">
        <v>56</v>
      </c>
      <c r="O723" s="32">
        <v>431</v>
      </c>
      <c r="P723" s="29" cm="1">
        <f t="array" ref="P723">IF(表成绩单[[#This Row],[语文]]="","",SUMPRODUCT((表成绩单[考试日期]=表成绩单[[#This Row],[考试日期]])*(表成绩单[语文]&lt;9E+307)*(表成绩单[语文]&gt;表成绩单[[#This Row],[语文]]))+1)</f>
        <v>648</v>
      </c>
      <c r="Q723" s="29" cm="1">
        <f t="array" ref="Q723">IF(表成绩单[[#This Row],[数学]]="","",SUMPRODUCT((表成绩单[考试日期]=表成绩单[[#This Row],[考试日期]])*(表成绩单[数学]&lt;9E+307)*(表成绩单[数学]&gt;表成绩单[[#This Row],[数学]]))+1)</f>
        <v>747</v>
      </c>
      <c r="R723" s="29" cm="1">
        <f t="array" ref="R723">IF(表成绩单[[#This Row],[英语]]="","",SUMPRODUCT((表成绩单[考试日期]=表成绩单[[#This Row],[考试日期]])*(表成绩单[英语]&lt;9E+307)*(表成绩单[英语]&gt;表成绩单[[#This Row],[英语]]))+1)</f>
        <v>677</v>
      </c>
      <c r="S723" s="29" cm="1">
        <f t="array" ref="S723">IF(表成绩单[[#This Row],[物理]]="","",SUMPRODUCT((表成绩单[考试日期]=表成绩单[[#This Row],[考试日期]])*(表成绩单[物理]&lt;9E+307)*(表成绩单[物理]&gt;表成绩单[[#This Row],[物理]]))+1)</f>
        <v>674</v>
      </c>
      <c r="T723" s="29" cm="1">
        <f t="array" ref="T723">IF(表成绩单[[#This Row],[化学]]="","",SUMPRODUCT((表成绩单[考试日期]=表成绩单[[#This Row],[考试日期]])*(表成绩单[化学]&lt;9E+307)*(表成绩单[化学]&gt;表成绩单[[#This Row],[化学]]))+1)</f>
        <v>559</v>
      </c>
      <c r="U723" s="29" cm="1">
        <f t="array" ref="U723">IF(表成绩单[[#This Row],[政治]]="","",SUMPRODUCT((表成绩单[考试日期]=表成绩单[[#This Row],[考试日期]])*(表成绩单[政治]&lt;9E+307)*(表成绩单[政治]&gt;表成绩单[[#This Row],[政治]]))+1)</f>
        <v>779</v>
      </c>
      <c r="V723" s="29" cm="1">
        <f t="array" ref="V723">IF(表成绩单[[#This Row],[历史]]="","",SUMPRODUCT((表成绩单[考试日期]=表成绩单[[#This Row],[考试日期]])*(表成绩单[历史]&lt;9E+307)*(表成绩单[历史]&gt;表成绩单[[#This Row],[历史]]))+1)</f>
        <v>743</v>
      </c>
      <c r="W723" s="29" cm="1">
        <f t="array" ref="W723">IF(表成绩单[[#This Row],[总分]]="","",SUMPRODUCT((表成绩单[考试日期]=表成绩单[[#This Row],[考试日期]])*(表成绩单[总分]&lt;9E+307)*(表成绩单[总分]&gt;表成绩单[[#This Row],[总分]]))+1)</f>
        <v>719</v>
      </c>
    </row>
    <row r="724" ht="28" customHeight="1" spans="4:23">
      <c r="D724" s="31">
        <v>45975</v>
      </c>
      <c r="E724" s="29">
        <v>19175295</v>
      </c>
      <c r="F724" s="29" t="s">
        <v>55</v>
      </c>
      <c r="G724" s="29" t="s">
        <v>797</v>
      </c>
      <c r="H724" s="29">
        <v>87</v>
      </c>
      <c r="I724" s="29">
        <v>72</v>
      </c>
      <c r="J724" s="29">
        <v>59.5</v>
      </c>
      <c r="K724" s="29">
        <v>62</v>
      </c>
      <c r="L724" s="29">
        <v>33</v>
      </c>
      <c r="M724" s="29">
        <v>68</v>
      </c>
      <c r="N724" s="29">
        <v>48</v>
      </c>
      <c r="O724" s="32">
        <v>429.5</v>
      </c>
      <c r="P724" s="29" cm="1">
        <f t="array" ref="P724">IF(表成绩单[[#This Row],[语文]]="","",SUMPRODUCT((表成绩单[考试日期]=表成绩单[[#This Row],[考试日期]])*(表成绩单[语文]&lt;9E+307)*(表成绩单[语文]&gt;表成绩单[[#This Row],[语文]]))+1)</f>
        <v>615</v>
      </c>
      <c r="Q724" s="29" cm="1">
        <f t="array" ref="Q724">IF(表成绩单[[#This Row],[数学]]="","",SUMPRODUCT((表成绩单[考试日期]=表成绩单[[#This Row],[考试日期]])*(表成绩单[数学]&lt;9E+307)*(表成绩单[数学]&gt;表成绩单[[#This Row],[数学]]))+1)</f>
        <v>674</v>
      </c>
      <c r="R724" s="29" cm="1">
        <f t="array" ref="R724">IF(表成绩单[[#This Row],[英语]]="","",SUMPRODUCT((表成绩单[考试日期]=表成绩单[[#This Row],[考试日期]])*(表成绩单[英语]&lt;9E+307)*(表成绩单[英语]&gt;表成绩单[[#This Row],[英语]]))+1)</f>
        <v>675</v>
      </c>
      <c r="S724" s="29" cm="1">
        <f t="array" ref="S724">IF(表成绩单[[#This Row],[物理]]="","",SUMPRODUCT((表成绩单[考试日期]=表成绩单[[#This Row],[考试日期]])*(表成绩单[物理]&lt;9E+307)*(表成绩单[物理]&gt;表成绩单[[#This Row],[物理]]))+1)</f>
        <v>709</v>
      </c>
      <c r="T724" s="29" cm="1">
        <f t="array" ref="T724">IF(表成绩单[[#This Row],[化学]]="","",SUMPRODUCT((表成绩单[考试日期]=表成绩单[[#This Row],[考试日期]])*(表成绩单[化学]&lt;9E+307)*(表成绩单[化学]&gt;表成绩单[[#This Row],[化学]]))+1)</f>
        <v>786</v>
      </c>
      <c r="U724" s="29" cm="1">
        <f t="array" ref="U724">IF(表成绩单[[#This Row],[政治]]="","",SUMPRODUCT((表成绩单[考试日期]=表成绩单[[#This Row],[考试日期]])*(表成绩单[政治]&lt;9E+307)*(表成绩单[政治]&gt;表成绩单[[#This Row],[政治]]))+1)</f>
        <v>527</v>
      </c>
      <c r="V724" s="29" cm="1">
        <f t="array" ref="V724">IF(表成绩单[[#This Row],[历史]]="","",SUMPRODUCT((表成绩单[考试日期]=表成绩单[[#This Row],[考试日期]])*(表成绩单[历史]&lt;9E+307)*(表成绩单[历史]&gt;表成绩单[[#This Row],[历史]]))+1)</f>
        <v>776</v>
      </c>
      <c r="W724" s="29" cm="1">
        <f t="array" ref="W724">IF(表成绩单[[#This Row],[总分]]="","",SUMPRODUCT((表成绩单[考试日期]=表成绩单[[#This Row],[考试日期]])*(表成绩单[总分]&lt;9E+307)*(表成绩单[总分]&gt;表成绩单[[#This Row],[总分]]))+1)</f>
        <v>720</v>
      </c>
    </row>
    <row r="725" ht="28" customHeight="1" spans="4:23">
      <c r="D725" s="31">
        <v>45975</v>
      </c>
      <c r="E725" s="29">
        <v>19175310</v>
      </c>
      <c r="F725" s="29" t="s">
        <v>55</v>
      </c>
      <c r="G725" s="29" t="s">
        <v>798</v>
      </c>
      <c r="H725" s="29">
        <v>84</v>
      </c>
      <c r="I725" s="29">
        <v>64</v>
      </c>
      <c r="J725" s="29">
        <v>64.5</v>
      </c>
      <c r="K725" s="29">
        <v>69</v>
      </c>
      <c r="L725" s="29">
        <v>44</v>
      </c>
      <c r="M725" s="29">
        <v>54</v>
      </c>
      <c r="N725" s="29">
        <v>50</v>
      </c>
      <c r="O725" s="32">
        <v>429.5</v>
      </c>
      <c r="P725" s="29" cm="1">
        <f t="array" ref="P725">IF(表成绩单[[#This Row],[语文]]="","",SUMPRODUCT((表成绩单[考试日期]=表成绩单[[#This Row],[考试日期]])*(表成绩单[语文]&lt;9E+307)*(表成绩单[语文]&gt;表成绩单[[#This Row],[语文]]))+1)</f>
        <v>659</v>
      </c>
      <c r="Q725" s="29" cm="1">
        <f t="array" ref="Q725">IF(表成绩单[[#This Row],[数学]]="","",SUMPRODUCT((表成绩单[考试日期]=表成绩单[[#This Row],[考试日期]])*(表成绩单[数学]&lt;9E+307)*(表成绩单[数学]&gt;表成绩单[[#This Row],[数学]]))+1)</f>
        <v>712</v>
      </c>
      <c r="R725" s="29" cm="1">
        <f t="array" ref="R725">IF(表成绩单[[#This Row],[英语]]="","",SUMPRODUCT((表成绩单[考试日期]=表成绩单[[#This Row],[考试日期]])*(表成绩单[英语]&lt;9E+307)*(表成绩单[英语]&gt;表成绩单[[#This Row],[英语]]))+1)</f>
        <v>625</v>
      </c>
      <c r="S725" s="29" cm="1">
        <f t="array" ref="S725">IF(表成绩单[[#This Row],[物理]]="","",SUMPRODUCT((表成绩单[考试日期]=表成绩单[[#This Row],[考试日期]])*(表成绩单[物理]&lt;9E+307)*(表成绩单[物理]&gt;表成绩单[[#This Row],[物理]]))+1)</f>
        <v>662</v>
      </c>
      <c r="T725" s="29" cm="1">
        <f t="array" ref="T725">IF(表成绩单[[#This Row],[化学]]="","",SUMPRODUCT((表成绩单[考试日期]=表成绩单[[#This Row],[考试日期]])*(表成绩单[化学]&lt;9E+307)*(表成绩单[化学]&gt;表成绩单[[#This Row],[化学]]))+1)</f>
        <v>765</v>
      </c>
      <c r="U725" s="29" cm="1">
        <f t="array" ref="U725">IF(表成绩单[[#This Row],[政治]]="","",SUMPRODUCT((表成绩单[考试日期]=表成绩单[[#This Row],[考试日期]])*(表成绩单[政治]&lt;9E+307)*(表成绩单[政治]&gt;表成绩单[[#This Row],[政治]]))+1)</f>
        <v>723</v>
      </c>
      <c r="V725" s="29" cm="1">
        <f t="array" ref="V725">IF(表成绩单[[#This Row],[历史]]="","",SUMPRODUCT((表成绩单[考试日期]=表成绩单[[#This Row],[考试日期]])*(表成绩单[历史]&lt;9E+307)*(表成绩单[历史]&gt;表成绩单[[#This Row],[历史]]))+1)</f>
        <v>770</v>
      </c>
      <c r="W725" s="29" cm="1">
        <f t="array" ref="W725">IF(表成绩单[[#This Row],[总分]]="","",SUMPRODUCT((表成绩单[考试日期]=表成绩单[[#This Row],[考试日期]])*(表成绩单[总分]&lt;9E+307)*(表成绩单[总分]&gt;表成绩单[[#This Row],[总分]]))+1)</f>
        <v>720</v>
      </c>
    </row>
    <row r="726" ht="28" customHeight="1" spans="4:23">
      <c r="D726" s="31">
        <v>45975</v>
      </c>
      <c r="E726" s="29">
        <v>19173254</v>
      </c>
      <c r="F726" s="29" t="s">
        <v>61</v>
      </c>
      <c r="G726" s="29" t="s">
        <v>799</v>
      </c>
      <c r="H726" s="29">
        <v>92</v>
      </c>
      <c r="I726" s="29">
        <v>61</v>
      </c>
      <c r="J726" s="29">
        <v>39.5</v>
      </c>
      <c r="K726" s="29">
        <v>63</v>
      </c>
      <c r="L726" s="29">
        <v>62</v>
      </c>
      <c r="M726" s="29">
        <v>46</v>
      </c>
      <c r="N726" s="29">
        <v>64</v>
      </c>
      <c r="O726" s="32">
        <v>427.5</v>
      </c>
      <c r="P726" s="29" cm="1">
        <f t="array" ref="P726">IF(表成绩单[[#This Row],[语文]]="","",SUMPRODUCT((表成绩单[考试日期]=表成绩单[[#This Row],[考试日期]])*(表成绩单[语文]&lt;9E+307)*(表成绩单[语文]&gt;表成绩单[[#This Row],[语文]]))+1)</f>
        <v>517</v>
      </c>
      <c r="Q726" s="29" cm="1">
        <f t="array" ref="Q726">IF(表成绩单[[#This Row],[数学]]="","",SUMPRODUCT((表成绩单[考试日期]=表成绩单[[#This Row],[考试日期]])*(表成绩单[数学]&lt;9E+307)*(表成绩单[数学]&gt;表成绩单[[#This Row],[数学]]))+1)</f>
        <v>726</v>
      </c>
      <c r="R726" s="29" cm="1">
        <f t="array" ref="R726">IF(表成绩单[[#This Row],[英语]]="","",SUMPRODUCT((表成绩单[考试日期]=表成绩单[[#This Row],[考试日期]])*(表成绩单[英语]&lt;9E+307)*(表成绩单[英语]&gt;表成绩单[[#This Row],[英语]]))+1)</f>
        <v>763</v>
      </c>
      <c r="S726" s="29" cm="1">
        <f t="array" ref="S726">IF(表成绩单[[#This Row],[物理]]="","",SUMPRODUCT((表成绩单[考试日期]=表成绩单[[#This Row],[考试日期]])*(表成绩单[物理]&lt;9E+307)*(表成绩单[物理]&gt;表成绩单[[#This Row],[物理]]))+1)</f>
        <v>702</v>
      </c>
      <c r="T726" s="29" cm="1">
        <f t="array" ref="T726">IF(表成绩单[[#This Row],[化学]]="","",SUMPRODUCT((表成绩单[考试日期]=表成绩单[[#This Row],[考试日期]])*(表成绩单[化学]&lt;9E+307)*(表成绩单[化学]&gt;表成绩单[[#This Row],[化学]]))+1)</f>
        <v>605</v>
      </c>
      <c r="U726" s="29" cm="1">
        <f t="array" ref="U726">IF(表成绩单[[#This Row],[政治]]="","",SUMPRODUCT((表成绩单[考试日期]=表成绩单[[#This Row],[考试日期]])*(表成绩单[政治]&lt;9E+307)*(表成绩单[政治]&gt;表成绩单[[#This Row],[政治]]))+1)</f>
        <v>774</v>
      </c>
      <c r="V726" s="29" cm="1">
        <f t="array" ref="V726">IF(表成绩单[[#This Row],[历史]]="","",SUMPRODUCT((表成绩单[考试日期]=表成绩单[[#This Row],[考试日期]])*(表成绩单[历史]&lt;9E+307)*(表成绩单[历史]&gt;表成绩单[[#This Row],[历史]]))+1)</f>
        <v>660</v>
      </c>
      <c r="W726" s="29" cm="1">
        <f t="array" ref="W726">IF(表成绩单[[#This Row],[总分]]="","",SUMPRODUCT((表成绩单[考试日期]=表成绩单[[#This Row],[考试日期]])*(表成绩单[总分]&lt;9E+307)*(表成绩单[总分]&gt;表成绩单[[#This Row],[总分]]))+1)</f>
        <v>722</v>
      </c>
    </row>
    <row r="727" ht="28" customHeight="1" spans="4:23">
      <c r="D727" s="31">
        <v>45975</v>
      </c>
      <c r="E727" s="29">
        <v>19175602</v>
      </c>
      <c r="F727" s="29" t="s">
        <v>57</v>
      </c>
      <c r="G727" s="29" t="s">
        <v>800</v>
      </c>
      <c r="H727" s="29">
        <v>92</v>
      </c>
      <c r="I727" s="29">
        <v>68</v>
      </c>
      <c r="J727" s="29">
        <v>50</v>
      </c>
      <c r="K727" s="29">
        <v>54</v>
      </c>
      <c r="L727" s="29">
        <v>48</v>
      </c>
      <c r="M727" s="29">
        <v>54</v>
      </c>
      <c r="N727" s="29">
        <v>61</v>
      </c>
      <c r="O727" s="32">
        <v>427</v>
      </c>
      <c r="P727" s="29" cm="1">
        <f t="array" ref="P727">IF(表成绩单[[#This Row],[语文]]="","",SUMPRODUCT((表成绩单[考试日期]=表成绩单[[#This Row],[考试日期]])*(表成绩单[语文]&lt;9E+307)*(表成绩单[语文]&gt;表成绩单[[#This Row],[语文]]))+1)</f>
        <v>517</v>
      </c>
      <c r="Q727" s="29" cm="1">
        <f t="array" ref="Q727">IF(表成绩单[[#This Row],[数学]]="","",SUMPRODUCT((表成绩单[考试日期]=表成绩单[[#This Row],[考试日期]])*(表成绩单[数学]&lt;9E+307)*(表成绩单[数学]&gt;表成绩单[[#This Row],[数学]]))+1)</f>
        <v>696</v>
      </c>
      <c r="R727" s="29" cm="1">
        <f t="array" ref="R727">IF(表成绩单[[#This Row],[英语]]="","",SUMPRODUCT((表成绩单[考试日期]=表成绩单[[#This Row],[考试日期]])*(表成绩单[英语]&lt;9E+307)*(表成绩单[英语]&gt;表成绩单[[#This Row],[英语]]))+1)</f>
        <v>726</v>
      </c>
      <c r="S727" s="29" cm="1">
        <f t="array" ref="S727">IF(表成绩单[[#This Row],[物理]]="","",SUMPRODUCT((表成绩单[考试日期]=表成绩单[[#This Row],[考试日期]])*(表成绩单[物理]&lt;9E+307)*(表成绩单[物理]&gt;表成绩单[[#This Row],[物理]]))+1)</f>
        <v>746</v>
      </c>
      <c r="T727" s="29" cm="1">
        <f t="array" ref="T727">IF(表成绩单[[#This Row],[化学]]="","",SUMPRODUCT((表成绩单[考试日期]=表成绩单[[#This Row],[考试日期]])*(表成绩单[化学]&lt;9E+307)*(表成绩单[化学]&gt;表成绩单[[#This Row],[化学]]))+1)</f>
        <v>747</v>
      </c>
      <c r="U727" s="29" cm="1">
        <f t="array" ref="U727">IF(表成绩单[[#This Row],[政治]]="","",SUMPRODUCT((表成绩单[考试日期]=表成绩单[[#This Row],[考试日期]])*(表成绩单[政治]&lt;9E+307)*(表成绩单[政治]&gt;表成绩单[[#This Row],[政治]]))+1)</f>
        <v>723</v>
      </c>
      <c r="V727" s="29" cm="1">
        <f t="array" ref="V727">IF(表成绩单[[#This Row],[历史]]="","",SUMPRODUCT((表成绩单[考试日期]=表成绩单[[#This Row],[考试日期]])*(表成绩单[历史]&lt;9E+307)*(表成绩单[历史]&gt;表成绩单[[#This Row],[历史]]))+1)</f>
        <v>702</v>
      </c>
      <c r="W727" s="29" cm="1">
        <f t="array" ref="W727">IF(表成绩单[[#This Row],[总分]]="","",SUMPRODUCT((表成绩单[考试日期]=表成绩单[[#This Row],[考试日期]])*(表成绩单[总分]&lt;9E+307)*(表成绩单[总分]&gt;表成绩单[[#This Row],[总分]]))+1)</f>
        <v>723</v>
      </c>
    </row>
    <row r="728" ht="28" customHeight="1" spans="4:23">
      <c r="D728" s="31">
        <v>45975</v>
      </c>
      <c r="E728" s="29">
        <v>19174736</v>
      </c>
      <c r="F728" s="29" t="s">
        <v>64</v>
      </c>
      <c r="G728" s="29" t="s">
        <v>801</v>
      </c>
      <c r="H728" s="29">
        <v>79</v>
      </c>
      <c r="I728" s="29">
        <v>68</v>
      </c>
      <c r="J728" s="29">
        <v>54.5</v>
      </c>
      <c r="K728" s="29">
        <v>61</v>
      </c>
      <c r="L728" s="29">
        <v>47</v>
      </c>
      <c r="M728" s="29">
        <v>59</v>
      </c>
      <c r="N728" s="29">
        <v>58</v>
      </c>
      <c r="O728" s="32">
        <v>426.5</v>
      </c>
      <c r="P728" s="29" cm="1">
        <f t="array" ref="P728">IF(表成绩单[[#This Row],[语文]]="","",SUMPRODUCT((表成绩单[考试日期]=表成绩单[[#This Row],[考试日期]])*(表成绩单[语文]&lt;9E+307)*(表成绩单[语文]&gt;表成绩单[[#This Row],[语文]]))+1)</f>
        <v>716</v>
      </c>
      <c r="Q728" s="29" cm="1">
        <f t="array" ref="Q728">IF(表成绩单[[#This Row],[数学]]="","",SUMPRODUCT((表成绩单[考试日期]=表成绩单[[#This Row],[考试日期]])*(表成绩单[数学]&lt;9E+307)*(表成绩单[数学]&gt;表成绩单[[#This Row],[数学]]))+1)</f>
        <v>696</v>
      </c>
      <c r="R728" s="29" cm="1">
        <f t="array" ref="R728">IF(表成绩单[[#This Row],[英语]]="","",SUMPRODUCT((表成绩单[考试日期]=表成绩单[[#This Row],[考试日期]])*(表成绩单[英语]&lt;9E+307)*(表成绩单[英语]&gt;表成绩单[[#This Row],[英语]]))+1)</f>
        <v>703</v>
      </c>
      <c r="S728" s="29" cm="1">
        <f t="array" ref="S728">IF(表成绩单[[#This Row],[物理]]="","",SUMPRODUCT((表成绩单[考试日期]=表成绩单[[#This Row],[考试日期]])*(表成绩单[物理]&lt;9E+307)*(表成绩单[物理]&gt;表成绩单[[#This Row],[物理]]))+1)</f>
        <v>712</v>
      </c>
      <c r="T728" s="29" cm="1">
        <f t="array" ref="T728">IF(表成绩单[[#This Row],[化学]]="","",SUMPRODUCT((表成绩单[考试日期]=表成绩单[[#This Row],[考试日期]])*(表成绩单[化学]&lt;9E+307)*(表成绩单[化学]&gt;表成绩单[[#This Row],[化学]]))+1)</f>
        <v>750</v>
      </c>
      <c r="U728" s="29" cm="1">
        <f t="array" ref="U728">IF(表成绩单[[#This Row],[政治]]="","",SUMPRODUCT((表成绩单[考试日期]=表成绩单[[#This Row],[考试日期]])*(表成绩单[政治]&lt;9E+307)*(表成绩单[政治]&gt;表成绩单[[#This Row],[政治]]))+1)</f>
        <v>681</v>
      </c>
      <c r="V728" s="29" cm="1">
        <f t="array" ref="V728">IF(表成绩单[[#This Row],[历史]]="","",SUMPRODUCT((表成绩单[考试日期]=表成绩单[[#This Row],[考试日期]])*(表成绩单[历史]&lt;9E+307)*(表成绩单[历史]&gt;表成绩单[[#This Row],[历史]]))+1)</f>
        <v>735</v>
      </c>
      <c r="W728" s="29" cm="1">
        <f t="array" ref="W728">IF(表成绩单[[#This Row],[总分]]="","",SUMPRODUCT((表成绩单[考试日期]=表成绩单[[#This Row],[考试日期]])*(表成绩单[总分]&lt;9E+307)*(表成绩单[总分]&gt;表成绩单[[#This Row],[总分]]))+1)</f>
        <v>724</v>
      </c>
    </row>
    <row r="729" ht="28" customHeight="1" spans="4:23">
      <c r="D729" s="31">
        <v>45975</v>
      </c>
      <c r="E729" s="29">
        <v>19176017</v>
      </c>
      <c r="F729" s="29" t="s">
        <v>59</v>
      </c>
      <c r="G729" s="29" t="s">
        <v>802</v>
      </c>
      <c r="H729" s="29">
        <v>79</v>
      </c>
      <c r="I729" s="29">
        <v>82</v>
      </c>
      <c r="J729" s="29">
        <v>47.5</v>
      </c>
      <c r="K729" s="29">
        <v>62</v>
      </c>
      <c r="L729" s="29">
        <v>42</v>
      </c>
      <c r="M729" s="29">
        <v>51</v>
      </c>
      <c r="N729" s="29">
        <v>63</v>
      </c>
      <c r="O729" s="32">
        <v>426.5</v>
      </c>
      <c r="P729" s="29" cm="1">
        <f t="array" ref="P729">IF(表成绩单[[#This Row],[语文]]="","",SUMPRODUCT((表成绩单[考试日期]=表成绩单[[#This Row],[考试日期]])*(表成绩单[语文]&lt;9E+307)*(表成绩单[语文]&gt;表成绩单[[#This Row],[语文]]))+1)</f>
        <v>716</v>
      </c>
      <c r="Q729" s="29" cm="1">
        <f t="array" ref="Q729">IF(表成绩单[[#This Row],[数学]]="","",SUMPRODUCT((表成绩单[考试日期]=表成绩单[[#This Row],[考试日期]])*(表成绩单[数学]&lt;9E+307)*(表成绩单[数学]&gt;表成绩单[[#This Row],[数学]]))+1)</f>
        <v>607</v>
      </c>
      <c r="R729" s="29" cm="1">
        <f t="array" ref="R729">IF(表成绩单[[#This Row],[英语]]="","",SUMPRODUCT((表成绩单[考试日期]=表成绩单[[#This Row],[考试日期]])*(表成绩单[英语]&lt;9E+307)*(表成绩单[英语]&gt;表成绩单[[#This Row],[英语]]))+1)</f>
        <v>738</v>
      </c>
      <c r="S729" s="29" cm="1">
        <f t="array" ref="S729">IF(表成绩单[[#This Row],[物理]]="","",SUMPRODUCT((表成绩单[考试日期]=表成绩单[[#This Row],[考试日期]])*(表成绩单[物理]&lt;9E+307)*(表成绩单[物理]&gt;表成绩单[[#This Row],[物理]]))+1)</f>
        <v>709</v>
      </c>
      <c r="T729" s="29" cm="1">
        <f t="array" ref="T729">IF(表成绩单[[#This Row],[化学]]="","",SUMPRODUCT((表成绩单[考试日期]=表成绩单[[#This Row],[考试日期]])*(表成绩单[化学]&lt;9E+307)*(表成绩单[化学]&gt;表成绩单[[#This Row],[化学]]))+1)</f>
        <v>772</v>
      </c>
      <c r="U729" s="29" cm="1">
        <f t="array" ref="U729">IF(表成绩单[[#This Row],[政治]]="","",SUMPRODUCT((表成绩单[考试日期]=表成绩单[[#This Row],[考试日期]])*(表成绩单[政治]&lt;9E+307)*(表成绩单[政治]&gt;表成绩单[[#This Row],[政治]]))+1)</f>
        <v>753</v>
      </c>
      <c r="V729" s="29" cm="1">
        <f t="array" ref="V729">IF(表成绩单[[#This Row],[历史]]="","",SUMPRODUCT((表成绩单[考试日期]=表成绩单[[#This Row],[考试日期]])*(表成绩单[历史]&lt;9E+307)*(表成绩单[历史]&gt;表成绩单[[#This Row],[历史]]))+1)</f>
        <v>675</v>
      </c>
      <c r="W729" s="29" cm="1">
        <f t="array" ref="W729">IF(表成绩单[[#This Row],[总分]]="","",SUMPRODUCT((表成绩单[考试日期]=表成绩单[[#This Row],[考试日期]])*(表成绩单[总分]&lt;9E+307)*(表成绩单[总分]&gt;表成绩单[[#This Row],[总分]]))+1)</f>
        <v>724</v>
      </c>
    </row>
    <row r="730" ht="28" customHeight="1" spans="4:23">
      <c r="D730" s="31">
        <v>45975</v>
      </c>
      <c r="E730" s="29">
        <v>19176022</v>
      </c>
      <c r="F730" s="29" t="s">
        <v>59</v>
      </c>
      <c r="G730" s="29" t="s">
        <v>803</v>
      </c>
      <c r="H730" s="29">
        <v>80</v>
      </c>
      <c r="I730" s="29">
        <v>64</v>
      </c>
      <c r="J730" s="29">
        <v>58.5</v>
      </c>
      <c r="K730" s="29">
        <v>53</v>
      </c>
      <c r="L730" s="29">
        <v>49</v>
      </c>
      <c r="M730" s="29">
        <v>55</v>
      </c>
      <c r="N730" s="29">
        <v>65</v>
      </c>
      <c r="O730" s="32">
        <v>424.5</v>
      </c>
      <c r="P730" s="29" cm="1">
        <f t="array" ref="P730">IF(表成绩单[[#This Row],[语文]]="","",SUMPRODUCT((表成绩单[考试日期]=表成绩单[[#This Row],[考试日期]])*(表成绩单[语文]&lt;9E+307)*(表成绩单[语文]&gt;表成绩单[[#This Row],[语文]]))+1)</f>
        <v>702</v>
      </c>
      <c r="Q730" s="29" cm="1">
        <f t="array" ref="Q730">IF(表成绩单[[#This Row],[数学]]="","",SUMPRODUCT((表成绩单[考试日期]=表成绩单[[#This Row],[考试日期]])*(表成绩单[数学]&lt;9E+307)*(表成绩单[数学]&gt;表成绩单[[#This Row],[数学]]))+1)</f>
        <v>712</v>
      </c>
      <c r="R730" s="29" cm="1">
        <f t="array" ref="R730">IF(表成绩单[[#This Row],[英语]]="","",SUMPRODUCT((表成绩单[考试日期]=表成绩单[[#This Row],[考试日期]])*(表成绩单[英语]&lt;9E+307)*(表成绩单[英语]&gt;表成绩单[[#This Row],[英语]]))+1)</f>
        <v>680</v>
      </c>
      <c r="S730" s="29" cm="1">
        <f t="array" ref="S730">IF(表成绩单[[#This Row],[物理]]="","",SUMPRODUCT((表成绩单[考试日期]=表成绩单[[#This Row],[考试日期]])*(表成绩单[物理]&lt;9E+307)*(表成绩单[物理]&gt;表成绩单[[#This Row],[物理]]))+1)</f>
        <v>750</v>
      </c>
      <c r="T730" s="29" cm="1">
        <f t="array" ref="T730">IF(表成绩单[[#This Row],[化学]]="","",SUMPRODUCT((表成绩单[考试日期]=表成绩单[[#This Row],[考试日期]])*(表成绩单[化学]&lt;9E+307)*(表成绩单[化学]&gt;表成绩单[[#This Row],[化学]]))+1)</f>
        <v>743</v>
      </c>
      <c r="U730" s="29" cm="1">
        <f t="array" ref="U730">IF(表成绩单[[#This Row],[政治]]="","",SUMPRODUCT((表成绩单[考试日期]=表成绩单[[#This Row],[考试日期]])*(表成绩单[政治]&lt;9E+307)*(表成绩单[政治]&gt;表成绩单[[#This Row],[政治]]))+1)</f>
        <v>713</v>
      </c>
      <c r="V730" s="29" cm="1">
        <f t="array" ref="V730">IF(表成绩单[[#This Row],[历史]]="","",SUMPRODUCT((表成绩单[考试日期]=表成绩单[[#This Row],[考试日期]])*(表成绩单[历史]&lt;9E+307)*(表成绩单[历史]&gt;表成绩单[[#This Row],[历史]]))+1)</f>
        <v>644</v>
      </c>
      <c r="W730" s="29" cm="1">
        <f t="array" ref="W730">IF(表成绩单[[#This Row],[总分]]="","",SUMPRODUCT((表成绩单[考试日期]=表成绩单[[#This Row],[考试日期]])*(表成绩单[总分]&lt;9E+307)*(表成绩单[总分]&gt;表成绩单[[#This Row],[总分]]))+1)</f>
        <v>726</v>
      </c>
    </row>
    <row r="731" ht="28" customHeight="1" spans="4:23">
      <c r="D731" s="31">
        <v>45975</v>
      </c>
      <c r="E731" s="29">
        <v>19178590</v>
      </c>
      <c r="F731" s="29" t="s">
        <v>64</v>
      </c>
      <c r="G731" s="29" t="s">
        <v>804</v>
      </c>
      <c r="H731" s="29">
        <v>97</v>
      </c>
      <c r="I731" s="29">
        <v>32</v>
      </c>
      <c r="J731" s="29">
        <v>73.5</v>
      </c>
      <c r="K731" s="29">
        <v>54</v>
      </c>
      <c r="L731" s="29">
        <v>55</v>
      </c>
      <c r="M731" s="29">
        <v>59</v>
      </c>
      <c r="N731" s="29">
        <v>52</v>
      </c>
      <c r="O731" s="32">
        <v>422.5</v>
      </c>
      <c r="P731" s="29" cm="1">
        <f t="array" ref="P731">IF(表成绩单[[#This Row],[语文]]="","",SUMPRODUCT((表成绩单[考试日期]=表成绩单[[#This Row],[考试日期]])*(表成绩单[语文]&lt;9E+307)*(表成绩单[语文]&gt;表成绩单[[#This Row],[语文]]))+1)</f>
        <v>349</v>
      </c>
      <c r="Q731" s="29" cm="1">
        <f t="array" ref="Q731">IF(表成绩单[[#This Row],[数学]]="","",SUMPRODUCT((表成绩单[考试日期]=表成绩单[[#This Row],[考试日期]])*(表成绩单[数学]&lt;9E+307)*(表成绩单[数学]&gt;表成绩单[[#This Row],[数学]]))+1)</f>
        <v>781</v>
      </c>
      <c r="R731" s="29" cm="1">
        <f t="array" ref="R731">IF(表成绩单[[#This Row],[英语]]="","",SUMPRODUCT((表成绩单[考试日期]=表成绩单[[#This Row],[考试日期]])*(表成绩单[英语]&lt;9E+307)*(表成绩单[英语]&gt;表成绩单[[#This Row],[英语]]))+1)</f>
        <v>470</v>
      </c>
      <c r="S731" s="29" cm="1">
        <f t="array" ref="S731">IF(表成绩单[[#This Row],[物理]]="","",SUMPRODUCT((表成绩单[考试日期]=表成绩单[[#This Row],[考试日期]])*(表成绩单[物理]&lt;9E+307)*(表成绩单[物理]&gt;表成绩单[[#This Row],[物理]]))+1)</f>
        <v>746</v>
      </c>
      <c r="T731" s="29" cm="1">
        <f t="array" ref="T731">IF(表成绩单[[#This Row],[化学]]="","",SUMPRODUCT((表成绩单[考试日期]=表成绩单[[#This Row],[考试日期]])*(表成绩单[化学]&lt;9E+307)*(表成绩单[化学]&gt;表成绩单[[#This Row],[化学]]))+1)</f>
        <v>692</v>
      </c>
      <c r="U731" s="29" cm="1">
        <f t="array" ref="U731">IF(表成绩单[[#This Row],[政治]]="","",SUMPRODUCT((表成绩单[考试日期]=表成绩单[[#This Row],[考试日期]])*(表成绩单[政治]&lt;9E+307)*(表成绩单[政治]&gt;表成绩单[[#This Row],[政治]]))+1)</f>
        <v>681</v>
      </c>
      <c r="V731" s="29" cm="1">
        <f t="array" ref="V731">IF(表成绩单[[#This Row],[历史]]="","",SUMPRODUCT((表成绩单[考试日期]=表成绩单[[#This Row],[考试日期]])*(表成绩单[历史]&lt;9E+307)*(表成绩单[历史]&gt;表成绩单[[#This Row],[历史]]))+1)</f>
        <v>764</v>
      </c>
      <c r="W731" s="29" cm="1">
        <f t="array" ref="W731">IF(表成绩单[[#This Row],[总分]]="","",SUMPRODUCT((表成绩单[考试日期]=表成绩单[[#This Row],[考试日期]])*(表成绩单[总分]&lt;9E+307)*(表成绩单[总分]&gt;表成绩单[[#This Row],[总分]]))+1)</f>
        <v>727</v>
      </c>
    </row>
    <row r="732" ht="28" customHeight="1" spans="4:23">
      <c r="D732" s="31">
        <v>45975</v>
      </c>
      <c r="E732" s="29">
        <v>19172660</v>
      </c>
      <c r="F732" s="29" t="s">
        <v>60</v>
      </c>
      <c r="G732" s="29" t="s">
        <v>805</v>
      </c>
      <c r="H732" s="29">
        <v>83</v>
      </c>
      <c r="I732" s="29">
        <v>70</v>
      </c>
      <c r="J732" s="29">
        <v>49</v>
      </c>
      <c r="K732" s="29">
        <v>67</v>
      </c>
      <c r="L732" s="29">
        <v>47</v>
      </c>
      <c r="M732" s="29">
        <v>53</v>
      </c>
      <c r="N732" s="29">
        <v>53</v>
      </c>
      <c r="O732" s="32">
        <v>422</v>
      </c>
      <c r="P732" s="29" cm="1">
        <f t="array" ref="P732">IF(表成绩单[[#This Row],[语文]]="","",SUMPRODUCT((表成绩单[考试日期]=表成绩单[[#This Row],[考试日期]])*(表成绩单[语文]&lt;9E+307)*(表成绩单[语文]&gt;表成绩单[[#This Row],[语文]]))+1)</f>
        <v>670</v>
      </c>
      <c r="Q732" s="29" cm="1">
        <f t="array" ref="Q732">IF(表成绩单[[#This Row],[数学]]="","",SUMPRODUCT((表成绩单[考试日期]=表成绩单[[#This Row],[考试日期]])*(表成绩单[数学]&lt;9E+307)*(表成绩单[数学]&gt;表成绩单[[#This Row],[数学]]))+1)</f>
        <v>683</v>
      </c>
      <c r="R732" s="29" cm="1">
        <f t="array" ref="R732">IF(表成绩单[[#This Row],[英语]]="","",SUMPRODUCT((表成绩单[考试日期]=表成绩单[[#This Row],[考试日期]])*(表成绩单[英语]&lt;9E+307)*(表成绩单[英语]&gt;表成绩单[[#This Row],[英语]]))+1)</f>
        <v>731</v>
      </c>
      <c r="S732" s="29" cm="1">
        <f t="array" ref="S732">IF(表成绩单[[#This Row],[物理]]="","",SUMPRODUCT((表成绩单[考试日期]=表成绩单[[#This Row],[考试日期]])*(表成绩单[物理]&lt;9E+307)*(表成绩单[物理]&gt;表成绩单[[#This Row],[物理]]))+1)</f>
        <v>674</v>
      </c>
      <c r="T732" s="29" cm="1">
        <f t="array" ref="T732">IF(表成绩单[[#This Row],[化学]]="","",SUMPRODUCT((表成绩单[考试日期]=表成绩单[[#This Row],[考试日期]])*(表成绩单[化学]&lt;9E+307)*(表成绩单[化学]&gt;表成绩单[[#This Row],[化学]]))+1)</f>
        <v>750</v>
      </c>
      <c r="U732" s="29" cm="1">
        <f t="array" ref="U732">IF(表成绩单[[#This Row],[政治]]="","",SUMPRODUCT((表成绩单[考试日期]=表成绩单[[#This Row],[考试日期]])*(表成绩单[政治]&lt;9E+307)*(表成绩单[政治]&gt;表成绩单[[#This Row],[政治]]))+1)</f>
        <v>734</v>
      </c>
      <c r="V732" s="29" cm="1">
        <f t="array" ref="V732">IF(表成绩单[[#This Row],[历史]]="","",SUMPRODUCT((表成绩单[考试日期]=表成绩单[[#This Row],[考试日期]])*(表成绩单[历史]&lt;9E+307)*(表成绩单[历史]&gt;表成绩单[[#This Row],[历史]]))+1)</f>
        <v>757</v>
      </c>
      <c r="W732" s="29" cm="1">
        <f t="array" ref="W732">IF(表成绩单[[#This Row],[总分]]="","",SUMPRODUCT((表成绩单[考试日期]=表成绩单[[#This Row],[考试日期]])*(表成绩单[总分]&lt;9E+307)*(表成绩单[总分]&gt;表成绩单[[#This Row],[总分]]))+1)</f>
        <v>728</v>
      </c>
    </row>
    <row r="733" ht="28" customHeight="1" spans="4:23">
      <c r="D733" s="31">
        <v>45975</v>
      </c>
      <c r="E733" s="29">
        <v>19176000</v>
      </c>
      <c r="F733" s="29" t="s">
        <v>59</v>
      </c>
      <c r="G733" s="29" t="s">
        <v>806</v>
      </c>
      <c r="H733" s="29">
        <v>76</v>
      </c>
      <c r="I733" s="29">
        <v>87</v>
      </c>
      <c r="J733" s="29">
        <v>32</v>
      </c>
      <c r="K733" s="29">
        <v>72</v>
      </c>
      <c r="L733" s="29">
        <v>50</v>
      </c>
      <c r="M733" s="29">
        <v>52</v>
      </c>
      <c r="N733" s="29">
        <v>53</v>
      </c>
      <c r="O733" s="32">
        <v>422</v>
      </c>
      <c r="P733" s="29" cm="1">
        <f t="array" ref="P733">IF(表成绩单[[#This Row],[语文]]="","",SUMPRODUCT((表成绩单[考试日期]=表成绩单[[#This Row],[考试日期]])*(表成绩单[语文]&lt;9E+307)*(表成绩单[语文]&gt;表成绩单[[#This Row],[语文]]))+1)</f>
        <v>743</v>
      </c>
      <c r="Q733" s="29" cm="1">
        <f t="array" ref="Q733">IF(表成绩单[[#This Row],[数学]]="","",SUMPRODUCT((表成绩单[考试日期]=表成绩单[[#This Row],[考试日期]])*(表成绩单[数学]&lt;9E+307)*(表成绩单[数学]&gt;表成绩单[[#This Row],[数学]]))+1)</f>
        <v>547</v>
      </c>
      <c r="R733" s="29" cm="1">
        <f t="array" ref="R733">IF(表成绩单[[#This Row],[英语]]="","",SUMPRODUCT((表成绩单[考试日期]=表成绩单[[#This Row],[考试日期]])*(表成绩单[英语]&lt;9E+307)*(表成绩单[英语]&gt;表成绩单[[#This Row],[英语]]))+1)</f>
        <v>779</v>
      </c>
      <c r="S733" s="29" cm="1">
        <f t="array" ref="S733">IF(表成绩单[[#This Row],[物理]]="","",SUMPRODUCT((表成绩单[考试日期]=表成绩单[[#This Row],[考试日期]])*(表成绩单[物理]&lt;9E+307)*(表成绩单[物理]&gt;表成绩单[[#This Row],[物理]]))+1)</f>
        <v>633</v>
      </c>
      <c r="T733" s="29" cm="1">
        <f t="array" ref="T733">IF(表成绩单[[#This Row],[化学]]="","",SUMPRODUCT((表成绩单[考试日期]=表成绩单[[#This Row],[考试日期]])*(表成绩单[化学]&lt;9E+307)*(表成绩单[化学]&gt;表成绩单[[#This Row],[化学]]))+1)</f>
        <v>736</v>
      </c>
      <c r="U733" s="29" cm="1">
        <f t="array" ref="U733">IF(表成绩单[[#This Row],[政治]]="","",SUMPRODUCT((表成绩单[考试日期]=表成绩单[[#This Row],[考试日期]])*(表成绩单[政治]&lt;9E+307)*(表成绩单[政治]&gt;表成绩单[[#This Row],[政治]]))+1)</f>
        <v>743</v>
      </c>
      <c r="V733" s="29" cm="1">
        <f t="array" ref="V733">IF(表成绩单[[#This Row],[历史]]="","",SUMPRODUCT((表成绩单[考试日期]=表成绩单[[#This Row],[考试日期]])*(表成绩单[历史]&lt;9E+307)*(表成绩单[历史]&gt;表成绩单[[#This Row],[历史]]))+1)</f>
        <v>757</v>
      </c>
      <c r="W733" s="29" cm="1">
        <f t="array" ref="W733">IF(表成绩单[[#This Row],[总分]]="","",SUMPRODUCT((表成绩单[考试日期]=表成绩单[[#This Row],[考试日期]])*(表成绩单[总分]&lt;9E+307)*(表成绩单[总分]&gt;表成绩单[[#This Row],[总分]]))+1)</f>
        <v>728</v>
      </c>
    </row>
    <row r="734" ht="28" customHeight="1" spans="4:23">
      <c r="D734" s="31">
        <v>45975</v>
      </c>
      <c r="E734" s="29">
        <v>19176004</v>
      </c>
      <c r="F734" s="29" t="s">
        <v>59</v>
      </c>
      <c r="G734" s="29" t="s">
        <v>807</v>
      </c>
      <c r="H734" s="29">
        <v>62</v>
      </c>
      <c r="I734" s="29">
        <v>89</v>
      </c>
      <c r="J734" s="29">
        <v>33.5</v>
      </c>
      <c r="K734" s="29">
        <v>70</v>
      </c>
      <c r="L734" s="29">
        <v>62</v>
      </c>
      <c r="M734" s="29">
        <v>54</v>
      </c>
      <c r="N734" s="29">
        <v>51</v>
      </c>
      <c r="O734" s="32">
        <v>421.5</v>
      </c>
      <c r="P734" s="29" cm="1">
        <f t="array" ref="P734">IF(表成绩单[[#This Row],[语文]]="","",SUMPRODUCT((表成绩单[考试日期]=表成绩单[[#This Row],[考试日期]])*(表成绩单[语文]&lt;9E+307)*(表成绩单[语文]&gt;表成绩单[[#This Row],[语文]]))+1)</f>
        <v>789</v>
      </c>
      <c r="Q734" s="29" cm="1">
        <f t="array" ref="Q734">IF(表成绩单[[#This Row],[数学]]="","",SUMPRODUCT((表成绩单[考试日期]=表成绩单[[#This Row],[考试日期]])*(表成绩单[数学]&lt;9E+307)*(表成绩单[数学]&gt;表成绩单[[#This Row],[数学]]))+1)</f>
        <v>518</v>
      </c>
      <c r="R734" s="29" cm="1">
        <f t="array" ref="R734">IF(表成绩单[[#This Row],[英语]]="","",SUMPRODUCT((表成绩单[考试日期]=表成绩单[[#This Row],[考试日期]])*(表成绩单[英语]&lt;9E+307)*(表成绩单[英语]&gt;表成绩单[[#This Row],[英语]]))+1)</f>
        <v>774</v>
      </c>
      <c r="S734" s="29" cm="1">
        <f t="array" ref="S734">IF(表成绩单[[#This Row],[物理]]="","",SUMPRODUCT((表成绩单[考试日期]=表成绩单[[#This Row],[考试日期]])*(表成绩单[物理]&lt;9E+307)*(表成绩单[物理]&gt;表成绩单[[#This Row],[物理]]))+1)</f>
        <v>653</v>
      </c>
      <c r="T734" s="29" cm="1">
        <f t="array" ref="T734">IF(表成绩单[[#This Row],[化学]]="","",SUMPRODUCT((表成绩单[考试日期]=表成绩单[[#This Row],[考试日期]])*(表成绩单[化学]&lt;9E+307)*(表成绩单[化学]&gt;表成绩单[[#This Row],[化学]]))+1)</f>
        <v>605</v>
      </c>
      <c r="U734" s="29" cm="1">
        <f t="array" ref="U734">IF(表成绩单[[#This Row],[政治]]="","",SUMPRODUCT((表成绩单[考试日期]=表成绩单[[#This Row],[考试日期]])*(表成绩单[政治]&lt;9E+307)*(表成绩单[政治]&gt;表成绩单[[#This Row],[政治]]))+1)</f>
        <v>723</v>
      </c>
      <c r="V734" s="29" cm="1">
        <f t="array" ref="V734">IF(表成绩单[[#This Row],[历史]]="","",SUMPRODUCT((表成绩单[考试日期]=表成绩单[[#This Row],[考试日期]])*(表成绩单[历史]&lt;9E+307)*(表成绩单[历史]&gt;表成绩单[[#This Row],[历史]]))+1)</f>
        <v>767</v>
      </c>
      <c r="W734" s="29" cm="1">
        <f t="array" ref="W734">IF(表成绩单[[#This Row],[总分]]="","",SUMPRODUCT((表成绩单[考试日期]=表成绩单[[#This Row],[考试日期]])*(表成绩单[总分]&lt;9E+307)*(表成绩单[总分]&gt;表成绩单[[#This Row],[总分]]))+1)</f>
        <v>730</v>
      </c>
    </row>
    <row r="735" ht="28" customHeight="1" spans="4:23">
      <c r="D735" s="31">
        <v>45975</v>
      </c>
      <c r="E735" s="29">
        <v>19175605</v>
      </c>
      <c r="F735" s="29" t="s">
        <v>57</v>
      </c>
      <c r="G735" s="29" t="s">
        <v>808</v>
      </c>
      <c r="H735" s="29">
        <v>76</v>
      </c>
      <c r="I735" s="29">
        <v>60</v>
      </c>
      <c r="J735" s="29">
        <v>44</v>
      </c>
      <c r="K735" s="29">
        <v>70</v>
      </c>
      <c r="L735" s="29">
        <v>63</v>
      </c>
      <c r="M735" s="29">
        <v>55</v>
      </c>
      <c r="N735" s="29">
        <v>53</v>
      </c>
      <c r="O735" s="32">
        <v>421</v>
      </c>
      <c r="P735" s="29" cm="1">
        <f t="array" ref="P735">IF(表成绩单[[#This Row],[语文]]="","",SUMPRODUCT((表成绩单[考试日期]=表成绩单[[#This Row],[考试日期]])*(表成绩单[语文]&lt;9E+307)*(表成绩单[语文]&gt;表成绩单[[#This Row],[语文]]))+1)</f>
        <v>743</v>
      </c>
      <c r="Q735" s="29" cm="1">
        <f t="array" ref="Q735">IF(表成绩单[[#This Row],[数学]]="","",SUMPRODUCT((表成绩单[考试日期]=表成绩单[[#This Row],[考试日期]])*(表成绩单[数学]&lt;9E+307)*(表成绩单[数学]&gt;表成绩单[[#This Row],[数学]]))+1)</f>
        <v>733</v>
      </c>
      <c r="R735" s="29" cm="1">
        <f t="array" ref="R735">IF(表成绩单[[#This Row],[英语]]="","",SUMPRODUCT((表成绩单[考试日期]=表成绩单[[#This Row],[考试日期]])*(表成绩单[英语]&lt;9E+307)*(表成绩单[英语]&gt;表成绩单[[#This Row],[英语]]))+1)</f>
        <v>754</v>
      </c>
      <c r="S735" s="29" cm="1">
        <f t="array" ref="S735">IF(表成绩单[[#This Row],[物理]]="","",SUMPRODUCT((表成绩单[考试日期]=表成绩单[[#This Row],[考试日期]])*(表成绩单[物理]&lt;9E+307)*(表成绩单[物理]&gt;表成绩单[[#This Row],[物理]]))+1)</f>
        <v>653</v>
      </c>
      <c r="T735" s="29" cm="1">
        <f t="array" ref="T735">IF(表成绩单[[#This Row],[化学]]="","",SUMPRODUCT((表成绩单[考试日期]=表成绩单[[#This Row],[考试日期]])*(表成绩单[化学]&lt;9E+307)*(表成绩单[化学]&gt;表成绩单[[#This Row],[化学]]))+1)</f>
        <v>588</v>
      </c>
      <c r="U735" s="29" cm="1">
        <f t="array" ref="U735">IF(表成绩单[[#This Row],[政治]]="","",SUMPRODUCT((表成绩单[考试日期]=表成绩单[[#This Row],[考试日期]])*(表成绩单[政治]&lt;9E+307)*(表成绩单[政治]&gt;表成绩单[[#This Row],[政治]]))+1)</f>
        <v>713</v>
      </c>
      <c r="V735" s="29" cm="1">
        <f t="array" ref="V735">IF(表成绩单[[#This Row],[历史]]="","",SUMPRODUCT((表成绩单[考试日期]=表成绩单[[#This Row],[考试日期]])*(表成绩单[历史]&lt;9E+307)*(表成绩单[历史]&gt;表成绩单[[#This Row],[历史]]))+1)</f>
        <v>757</v>
      </c>
      <c r="W735" s="29" cm="1">
        <f t="array" ref="W735">IF(表成绩单[[#This Row],[总分]]="","",SUMPRODUCT((表成绩单[考试日期]=表成绩单[[#This Row],[考试日期]])*(表成绩单[总分]&lt;9E+307)*(表成绩单[总分]&gt;表成绩单[[#This Row],[总分]]))+1)</f>
        <v>731</v>
      </c>
    </row>
    <row r="736" ht="28" customHeight="1" spans="4:23">
      <c r="D736" s="31">
        <v>45975</v>
      </c>
      <c r="E736" s="29">
        <v>19172635</v>
      </c>
      <c r="F736" s="29" t="s">
        <v>60</v>
      </c>
      <c r="G736" s="29" t="s">
        <v>809</v>
      </c>
      <c r="H736" s="29">
        <v>84</v>
      </c>
      <c r="I736" s="29">
        <v>59</v>
      </c>
      <c r="J736" s="29">
        <v>53</v>
      </c>
      <c r="K736" s="29">
        <v>52</v>
      </c>
      <c r="L736" s="29">
        <v>51</v>
      </c>
      <c r="M736" s="29">
        <v>65</v>
      </c>
      <c r="N736" s="29">
        <v>56</v>
      </c>
      <c r="O736" s="32">
        <v>420</v>
      </c>
      <c r="P736" s="29" cm="1">
        <f t="array" ref="P736">IF(表成绩单[[#This Row],[语文]]="","",SUMPRODUCT((表成绩单[考试日期]=表成绩单[[#This Row],[考试日期]])*(表成绩单[语文]&lt;9E+307)*(表成绩单[语文]&gt;表成绩单[[#This Row],[语文]]))+1)</f>
        <v>659</v>
      </c>
      <c r="Q736" s="29" cm="1">
        <f t="array" ref="Q736">IF(表成绩单[[#This Row],[数学]]="","",SUMPRODUCT((表成绩单[考试日期]=表成绩单[[#This Row],[考试日期]])*(表成绩单[数学]&lt;9E+307)*(表成绩单[数学]&gt;表成绩单[[#This Row],[数学]]))+1)</f>
        <v>736</v>
      </c>
      <c r="R736" s="29" cm="1">
        <f t="array" ref="R736">IF(表成绩单[[#This Row],[英语]]="","",SUMPRODUCT((表成绩单[考试日期]=表成绩单[[#This Row],[考试日期]])*(表成绩单[英语]&lt;9E+307)*(表成绩单[英语]&gt;表成绩单[[#This Row],[英语]]))+1)</f>
        <v>709</v>
      </c>
      <c r="S736" s="29" cm="1">
        <f t="array" ref="S736">IF(表成绩单[[#This Row],[物理]]="","",SUMPRODUCT((表成绩单[考试日期]=表成绩单[[#This Row],[考试日期]])*(表成绩单[物理]&lt;9E+307)*(表成绩单[物理]&gt;表成绩单[[#This Row],[物理]]))+1)</f>
        <v>753</v>
      </c>
      <c r="T736" s="29" cm="1">
        <f t="array" ref="T736">IF(表成绩单[[#This Row],[化学]]="","",SUMPRODUCT((表成绩单[考试日期]=表成绩单[[#This Row],[考试日期]])*(表成绩单[化学]&lt;9E+307)*(表成绩单[化学]&gt;表成绩单[[#This Row],[化学]]))+1)</f>
        <v>730</v>
      </c>
      <c r="U736" s="29" cm="1">
        <f t="array" ref="U736">IF(表成绩单[[#This Row],[政治]]="","",SUMPRODUCT((表成绩单[考试日期]=表成绩单[[#This Row],[考试日期]])*(表成绩单[政治]&lt;9E+307)*(表成绩单[政治]&gt;表成绩单[[#This Row],[政治]]))+1)</f>
        <v>579</v>
      </c>
      <c r="V736" s="29" cm="1">
        <f t="array" ref="V736">IF(表成绩单[[#This Row],[历史]]="","",SUMPRODUCT((表成绩单[考试日期]=表成绩单[[#This Row],[考试日期]])*(表成绩单[历史]&lt;9E+307)*(表成绩单[历史]&gt;表成绩单[[#This Row],[历史]]))+1)</f>
        <v>743</v>
      </c>
      <c r="W736" s="29" cm="1">
        <f t="array" ref="W736">IF(表成绩单[[#This Row],[总分]]="","",SUMPRODUCT((表成绩单[考试日期]=表成绩单[[#This Row],[考试日期]])*(表成绩单[总分]&lt;9E+307)*(表成绩单[总分]&gt;表成绩单[[#This Row],[总分]]))+1)</f>
        <v>732</v>
      </c>
    </row>
    <row r="737" ht="28" customHeight="1" spans="4:23">
      <c r="D737" s="31">
        <v>45975</v>
      </c>
      <c r="E737" s="29">
        <v>19175984</v>
      </c>
      <c r="F737" s="29" t="s">
        <v>59</v>
      </c>
      <c r="G737" s="29" t="s">
        <v>810</v>
      </c>
      <c r="H737" s="29">
        <v>83</v>
      </c>
      <c r="I737" s="29">
        <v>63</v>
      </c>
      <c r="J737" s="29">
        <v>63</v>
      </c>
      <c r="K737" s="29">
        <v>47</v>
      </c>
      <c r="L737" s="29">
        <v>50</v>
      </c>
      <c r="M737" s="29">
        <v>54</v>
      </c>
      <c r="N737" s="29">
        <v>60</v>
      </c>
      <c r="O737" s="32">
        <v>420</v>
      </c>
      <c r="P737" s="29" cm="1">
        <f t="array" ref="P737">IF(表成绩单[[#This Row],[语文]]="","",SUMPRODUCT((表成绩单[考试日期]=表成绩单[[#This Row],[考试日期]])*(表成绩单[语文]&lt;9E+307)*(表成绩单[语文]&gt;表成绩单[[#This Row],[语文]]))+1)</f>
        <v>670</v>
      </c>
      <c r="Q737" s="29" cm="1">
        <f t="array" ref="Q737">IF(表成绩单[[#This Row],[数学]]="","",SUMPRODUCT((表成绩单[考试日期]=表成绩单[[#This Row],[考试日期]])*(表成绩单[数学]&lt;9E+307)*(表成绩单[数学]&gt;表成绩单[[#This Row],[数学]]))+1)</f>
        <v>717</v>
      </c>
      <c r="R737" s="29" cm="1">
        <f t="array" ref="R737">IF(表成绩单[[#This Row],[英语]]="","",SUMPRODUCT((表成绩单[考试日期]=表成绩单[[#This Row],[考试日期]])*(表成绩单[英语]&lt;9E+307)*(表成绩单[英语]&gt;表成绩单[[#This Row],[英语]]))+1)</f>
        <v>642</v>
      </c>
      <c r="S737" s="29" cm="1">
        <f t="array" ref="S737">IF(表成绩单[[#This Row],[物理]]="","",SUMPRODUCT((表成绩单[考试日期]=表成绩单[[#This Row],[考试日期]])*(表成绩单[物理]&lt;9E+307)*(表成绩单[物理]&gt;表成绩单[[#This Row],[物理]]))+1)</f>
        <v>767</v>
      </c>
      <c r="T737" s="29" cm="1">
        <f t="array" ref="T737">IF(表成绩单[[#This Row],[化学]]="","",SUMPRODUCT((表成绩单[考试日期]=表成绩单[[#This Row],[考试日期]])*(表成绩单[化学]&lt;9E+307)*(表成绩单[化学]&gt;表成绩单[[#This Row],[化学]]))+1)</f>
        <v>736</v>
      </c>
      <c r="U737" s="29" cm="1">
        <f t="array" ref="U737">IF(表成绩单[[#This Row],[政治]]="","",SUMPRODUCT((表成绩单[考试日期]=表成绩单[[#This Row],[考试日期]])*(表成绩单[政治]&lt;9E+307)*(表成绩单[政治]&gt;表成绩单[[#This Row],[政治]]))+1)</f>
        <v>723</v>
      </c>
      <c r="V737" s="29" cm="1">
        <f t="array" ref="V737">IF(表成绩单[[#This Row],[历史]]="","",SUMPRODUCT((表成绩单[考试日期]=表成绩单[[#This Row],[考试日期]])*(表成绩单[历史]&lt;9E+307)*(表成绩单[历史]&gt;表成绩单[[#This Row],[历史]]))+1)</f>
        <v>717</v>
      </c>
      <c r="W737" s="29" cm="1">
        <f t="array" ref="W737">IF(表成绩单[[#This Row],[总分]]="","",SUMPRODUCT((表成绩单[考试日期]=表成绩单[[#This Row],[考试日期]])*(表成绩单[总分]&lt;9E+307)*(表成绩单[总分]&gt;表成绩单[[#This Row],[总分]]))+1)</f>
        <v>732</v>
      </c>
    </row>
    <row r="738" ht="28" customHeight="1" spans="4:23">
      <c r="D738" s="31">
        <v>45975</v>
      </c>
      <c r="E738" s="29">
        <v>19176016</v>
      </c>
      <c r="F738" s="29" t="s">
        <v>59</v>
      </c>
      <c r="G738" s="29" t="s">
        <v>811</v>
      </c>
      <c r="H738" s="29">
        <v>75</v>
      </c>
      <c r="I738" s="29">
        <v>69</v>
      </c>
      <c r="J738" s="29">
        <v>47</v>
      </c>
      <c r="K738" s="29">
        <v>58</v>
      </c>
      <c r="L738" s="29">
        <v>43</v>
      </c>
      <c r="M738" s="29">
        <v>53</v>
      </c>
      <c r="N738" s="29">
        <v>75</v>
      </c>
      <c r="O738" s="32">
        <v>420</v>
      </c>
      <c r="P738" s="29" cm="1">
        <f t="array" ref="P738">IF(表成绩单[[#This Row],[语文]]="","",SUMPRODUCT((表成绩单[考试日期]=表成绩单[[#This Row],[考试日期]])*(表成绩单[语文]&lt;9E+307)*(表成绩单[语文]&gt;表成绩单[[#This Row],[语文]]))+1)</f>
        <v>747</v>
      </c>
      <c r="Q738" s="29" cm="1">
        <f t="array" ref="Q738">IF(表成绩单[[#This Row],[数学]]="","",SUMPRODUCT((表成绩单[考试日期]=表成绩单[[#This Row],[考试日期]])*(表成绩单[数学]&lt;9E+307)*(表成绩单[数学]&gt;表成绩单[[#This Row],[数学]]))+1)</f>
        <v>690</v>
      </c>
      <c r="R738" s="29" cm="1">
        <f t="array" ref="R738">IF(表成绩单[[#This Row],[英语]]="","",SUMPRODUCT((表成绩单[考试日期]=表成绩单[[#This Row],[考试日期]])*(表成绩单[英语]&lt;9E+307)*(表成绩单[英语]&gt;表成绩单[[#This Row],[英语]]))+1)</f>
        <v>739</v>
      </c>
      <c r="S738" s="29" cm="1">
        <f t="array" ref="S738">IF(表成绩单[[#This Row],[物理]]="","",SUMPRODUCT((表成绩单[考试日期]=表成绩单[[#This Row],[考试日期]])*(表成绩单[物理]&lt;9E+307)*(表成绩单[物理]&gt;表成绩单[[#This Row],[物理]]))+1)</f>
        <v>726</v>
      </c>
      <c r="T738" s="29" cm="1">
        <f t="array" ref="T738">IF(表成绩单[[#This Row],[化学]]="","",SUMPRODUCT((表成绩单[考试日期]=表成绩单[[#This Row],[考试日期]])*(表成绩单[化学]&lt;9E+307)*(表成绩单[化学]&gt;表成绩单[[#This Row],[化学]]))+1)</f>
        <v>768</v>
      </c>
      <c r="U738" s="29" cm="1">
        <f t="array" ref="U738">IF(表成绩单[[#This Row],[政治]]="","",SUMPRODUCT((表成绩单[考试日期]=表成绩单[[#This Row],[考试日期]])*(表成绩单[政治]&lt;9E+307)*(表成绩单[政治]&gt;表成绩单[[#This Row],[政治]]))+1)</f>
        <v>734</v>
      </c>
      <c r="V738" s="29" cm="1">
        <f t="array" ref="V738">IF(表成绩单[[#This Row],[历史]]="","",SUMPRODUCT((表成绩单[考试日期]=表成绩单[[#This Row],[考试日期]])*(表成绩单[历史]&lt;9E+307)*(表成绩单[历史]&gt;表成绩单[[#This Row],[历史]]))+1)</f>
        <v>315</v>
      </c>
      <c r="W738" s="29" cm="1">
        <f t="array" ref="W738">IF(表成绩单[[#This Row],[总分]]="","",SUMPRODUCT((表成绩单[考试日期]=表成绩单[[#This Row],[考试日期]])*(表成绩单[总分]&lt;9E+307)*(表成绩单[总分]&gt;表成绩单[[#This Row],[总分]]))+1)</f>
        <v>732</v>
      </c>
    </row>
    <row r="739" ht="28" customHeight="1" spans="4:23">
      <c r="D739" s="31">
        <v>45975</v>
      </c>
      <c r="E739" s="29">
        <v>19175591</v>
      </c>
      <c r="F739" s="29" t="s">
        <v>57</v>
      </c>
      <c r="G739" s="29" t="s">
        <v>812</v>
      </c>
      <c r="H739" s="29">
        <v>69</v>
      </c>
      <c r="I739" s="29">
        <v>61</v>
      </c>
      <c r="J739" s="29">
        <v>44</v>
      </c>
      <c r="K739" s="29">
        <v>67</v>
      </c>
      <c r="L739" s="29">
        <v>60</v>
      </c>
      <c r="M739" s="29">
        <v>58</v>
      </c>
      <c r="N739" s="29">
        <v>60</v>
      </c>
      <c r="O739" s="32">
        <v>419</v>
      </c>
      <c r="P739" s="29" cm="1">
        <f t="array" ref="P739">IF(表成绩单[[#This Row],[语文]]="","",SUMPRODUCT((表成绩单[考试日期]=表成绩单[[#This Row],[考试日期]])*(表成绩单[语文]&lt;9E+307)*(表成绩单[语文]&gt;表成绩单[[#This Row],[语文]]))+1)</f>
        <v>770</v>
      </c>
      <c r="Q739" s="29" cm="1">
        <f t="array" ref="Q739">IF(表成绩单[[#This Row],[数学]]="","",SUMPRODUCT((表成绩单[考试日期]=表成绩单[[#This Row],[考试日期]])*(表成绩单[数学]&lt;9E+307)*(表成绩单[数学]&gt;表成绩单[[#This Row],[数学]]))+1)</f>
        <v>726</v>
      </c>
      <c r="R739" s="29" cm="1">
        <f t="array" ref="R739">IF(表成绩单[[#This Row],[英语]]="","",SUMPRODUCT((表成绩单[考试日期]=表成绩单[[#This Row],[考试日期]])*(表成绩单[英语]&lt;9E+307)*(表成绩单[英语]&gt;表成绩单[[#This Row],[英语]]))+1)</f>
        <v>754</v>
      </c>
      <c r="S739" s="29" cm="1">
        <f t="array" ref="S739">IF(表成绩单[[#This Row],[物理]]="","",SUMPRODUCT((表成绩单[考试日期]=表成绩单[[#This Row],[考试日期]])*(表成绩单[物理]&lt;9E+307)*(表成绩单[物理]&gt;表成绩单[[#This Row],[物理]]))+1)</f>
        <v>674</v>
      </c>
      <c r="T739" s="29" cm="1">
        <f t="array" ref="T739">IF(表成绩单[[#This Row],[化学]]="","",SUMPRODUCT((表成绩单[考试日期]=表成绩单[[#This Row],[考试日期]])*(表成绩单[化学]&lt;9E+307)*(表成绩单[化学]&gt;表成绩单[[#This Row],[化学]]))+1)</f>
        <v>639</v>
      </c>
      <c r="U739" s="29" cm="1">
        <f t="array" ref="U739">IF(表成绩单[[#This Row],[政治]]="","",SUMPRODUCT((表成绩单[考试日期]=表成绩单[[#This Row],[考试日期]])*(表成绩单[政治]&lt;9E+307)*(表成绩单[政治]&gt;表成绩单[[#This Row],[政治]]))+1)</f>
        <v>691</v>
      </c>
      <c r="V739" s="29" cm="1">
        <f t="array" ref="V739">IF(表成绩单[[#This Row],[历史]]="","",SUMPRODUCT((表成绩单[考试日期]=表成绩单[[#This Row],[考试日期]])*(表成绩单[历史]&lt;9E+307)*(表成绩单[历史]&gt;表成绩单[[#This Row],[历史]]))+1)</f>
        <v>717</v>
      </c>
      <c r="W739" s="29" cm="1">
        <f t="array" ref="W739">IF(表成绩单[[#This Row],[总分]]="","",SUMPRODUCT((表成绩单[考试日期]=表成绩单[[#This Row],[考试日期]])*(表成绩单[总分]&lt;9E+307)*(表成绩单[总分]&gt;表成绩单[[#This Row],[总分]]))+1)</f>
        <v>735</v>
      </c>
    </row>
    <row r="740" ht="28" customHeight="1" spans="4:23">
      <c r="D740" s="31">
        <v>45975</v>
      </c>
      <c r="E740" s="29">
        <v>19175997</v>
      </c>
      <c r="F740" s="29" t="s">
        <v>59</v>
      </c>
      <c r="G740" s="29" t="s">
        <v>813</v>
      </c>
      <c r="H740" s="29">
        <v>81</v>
      </c>
      <c r="I740" s="29">
        <v>62</v>
      </c>
      <c r="J740" s="29">
        <v>54</v>
      </c>
      <c r="K740" s="29">
        <v>50</v>
      </c>
      <c r="L740" s="29">
        <v>52</v>
      </c>
      <c r="M740" s="29">
        <v>52</v>
      </c>
      <c r="N740" s="29">
        <v>66</v>
      </c>
      <c r="O740" s="32">
        <v>417</v>
      </c>
      <c r="P740" s="29" cm="1">
        <f t="array" ref="P740">IF(表成绩单[[#This Row],[语文]]="","",SUMPRODUCT((表成绩单[考试日期]=表成绩单[[#This Row],[考试日期]])*(表成绩单[语文]&lt;9E+307)*(表成绩单[语文]&gt;表成绩单[[#This Row],[语文]]))+1)</f>
        <v>688</v>
      </c>
      <c r="Q740" s="29" cm="1">
        <f t="array" ref="Q740">IF(表成绩单[[#This Row],[数学]]="","",SUMPRODUCT((表成绩单[考试日期]=表成绩单[[#This Row],[考试日期]])*(表成绩单[数学]&lt;9E+307)*(表成绩单[数学]&gt;表成绩单[[#This Row],[数学]]))+1)</f>
        <v>722</v>
      </c>
      <c r="R740" s="29" cm="1">
        <f t="array" ref="R740">IF(表成绩单[[#This Row],[英语]]="","",SUMPRODUCT((表成绩单[考试日期]=表成绩单[[#This Row],[考试日期]])*(表成绩单[英语]&lt;9E+307)*(表成绩单[英语]&gt;表成绩单[[#This Row],[英语]]))+1)</f>
        <v>705</v>
      </c>
      <c r="S740" s="29" cm="1">
        <f t="array" ref="S740">IF(表成绩单[[#This Row],[物理]]="","",SUMPRODUCT((表成绩单[考试日期]=表成绩单[[#This Row],[考试日期]])*(表成绩单[物理]&lt;9E+307)*(表成绩单[物理]&gt;表成绩单[[#This Row],[物理]]))+1)</f>
        <v>760</v>
      </c>
      <c r="T740" s="29" cm="1">
        <f t="array" ref="T740">IF(表成绩单[[#This Row],[化学]]="","",SUMPRODUCT((表成绩单[考试日期]=表成绩单[[#This Row],[考试日期]])*(表成绩单[化学]&lt;9E+307)*(表成绩单[化学]&gt;表成绩单[[#This Row],[化学]]))+1)</f>
        <v>723</v>
      </c>
      <c r="U740" s="29" cm="1">
        <f t="array" ref="U740">IF(表成绩单[[#This Row],[政治]]="","",SUMPRODUCT((表成绩单[考试日期]=表成绩单[[#This Row],[考试日期]])*(表成绩单[政治]&lt;9E+307)*(表成绩单[政治]&gt;表成绩单[[#This Row],[政治]]))+1)</f>
        <v>743</v>
      </c>
      <c r="V740" s="29" cm="1">
        <f t="array" ref="V740">IF(表成绩单[[#This Row],[历史]]="","",SUMPRODUCT((表成绩单[考试日期]=表成绩单[[#This Row],[考试日期]])*(表成绩单[历史]&lt;9E+307)*(表成绩单[历史]&gt;表成绩单[[#This Row],[历史]]))+1)</f>
        <v>622</v>
      </c>
      <c r="W740" s="29" cm="1">
        <f t="array" ref="W740">IF(表成绩单[[#This Row],[总分]]="","",SUMPRODUCT((表成绩单[考试日期]=表成绩单[[#This Row],[考试日期]])*(表成绩单[总分]&lt;9E+307)*(表成绩单[总分]&gt;表成绩单[[#This Row],[总分]]))+1)</f>
        <v>736</v>
      </c>
    </row>
    <row r="741" ht="28" customHeight="1" spans="4:23">
      <c r="D741" s="31">
        <v>45975</v>
      </c>
      <c r="E741" s="29">
        <v>19172647</v>
      </c>
      <c r="F741" s="29" t="s">
        <v>60</v>
      </c>
      <c r="G741" s="29" t="s">
        <v>814</v>
      </c>
      <c r="H741" s="29">
        <v>66</v>
      </c>
      <c r="I741" s="29">
        <v>90</v>
      </c>
      <c r="J741" s="29">
        <v>38.5</v>
      </c>
      <c r="K741" s="29">
        <v>53</v>
      </c>
      <c r="L741" s="29">
        <v>52</v>
      </c>
      <c r="M741" s="29">
        <v>54</v>
      </c>
      <c r="N741" s="29">
        <v>63</v>
      </c>
      <c r="O741" s="32">
        <v>416.5</v>
      </c>
      <c r="P741" s="29" cm="1">
        <f t="array" ref="P741">IF(表成绩单[[#This Row],[语文]]="","",SUMPRODUCT((表成绩单[考试日期]=表成绩单[[#This Row],[考试日期]])*(表成绩单[语文]&lt;9E+307)*(表成绩单[语文]&gt;表成绩单[[#This Row],[语文]]))+1)</f>
        <v>780</v>
      </c>
      <c r="Q741" s="29" cm="1">
        <f t="array" ref="Q741">IF(表成绩单[[#This Row],[数学]]="","",SUMPRODUCT((表成绩单[考试日期]=表成绩单[[#This Row],[考试日期]])*(表成绩单[数学]&lt;9E+307)*(表成绩单[数学]&gt;表成绩单[[#This Row],[数学]]))+1)</f>
        <v>506</v>
      </c>
      <c r="R741" s="29" cm="1">
        <f t="array" ref="R741">IF(表成绩单[[#This Row],[英语]]="","",SUMPRODUCT((表成绩单[考试日期]=表成绩单[[#This Row],[考试日期]])*(表成绩单[英语]&lt;9E+307)*(表成绩单[英语]&gt;表成绩单[[#This Row],[英语]]))+1)</f>
        <v>768</v>
      </c>
      <c r="S741" s="29" cm="1">
        <f t="array" ref="S741">IF(表成绩单[[#This Row],[物理]]="","",SUMPRODUCT((表成绩单[考试日期]=表成绩单[[#This Row],[考试日期]])*(表成绩单[物理]&lt;9E+307)*(表成绩单[物理]&gt;表成绩单[[#This Row],[物理]]))+1)</f>
        <v>750</v>
      </c>
      <c r="T741" s="29" cm="1">
        <f t="array" ref="T741">IF(表成绩单[[#This Row],[化学]]="","",SUMPRODUCT((表成绩单[考试日期]=表成绩单[[#This Row],[考试日期]])*(表成绩单[化学]&lt;9E+307)*(表成绩单[化学]&gt;表成绩单[[#This Row],[化学]]))+1)</f>
        <v>723</v>
      </c>
      <c r="U741" s="29" cm="1">
        <f t="array" ref="U741">IF(表成绩单[[#This Row],[政治]]="","",SUMPRODUCT((表成绩单[考试日期]=表成绩单[[#This Row],[考试日期]])*(表成绩单[政治]&lt;9E+307)*(表成绩单[政治]&gt;表成绩单[[#This Row],[政治]]))+1)</f>
        <v>723</v>
      </c>
      <c r="V741" s="29" cm="1">
        <f t="array" ref="V741">IF(表成绩单[[#This Row],[历史]]="","",SUMPRODUCT((表成绩单[考试日期]=表成绩单[[#This Row],[考试日期]])*(表成绩单[历史]&lt;9E+307)*(表成绩单[历史]&gt;表成绩单[[#This Row],[历史]]))+1)</f>
        <v>675</v>
      </c>
      <c r="W741" s="29" cm="1">
        <f t="array" ref="W741">IF(表成绩单[[#This Row],[总分]]="","",SUMPRODUCT((表成绩单[考试日期]=表成绩单[[#This Row],[考试日期]])*(表成绩单[总分]&lt;9E+307)*(表成绩单[总分]&gt;表成绩单[[#This Row],[总分]]))+1)</f>
        <v>737</v>
      </c>
    </row>
    <row r="742" ht="28" customHeight="1" spans="4:23">
      <c r="D742" s="31">
        <v>45975</v>
      </c>
      <c r="E742" s="29">
        <v>19175296</v>
      </c>
      <c r="F742" s="29" t="s">
        <v>55</v>
      </c>
      <c r="G742" s="29" t="s">
        <v>815</v>
      </c>
      <c r="H742" s="29">
        <v>72</v>
      </c>
      <c r="I742" s="29">
        <v>79</v>
      </c>
      <c r="J742" s="29">
        <v>17.5</v>
      </c>
      <c r="K742" s="29">
        <v>66</v>
      </c>
      <c r="L742" s="29">
        <v>54</v>
      </c>
      <c r="M742" s="29">
        <v>60</v>
      </c>
      <c r="N742" s="29">
        <v>66</v>
      </c>
      <c r="O742" s="32">
        <v>414.5</v>
      </c>
      <c r="P742" s="29" cm="1">
        <f t="array" ref="P742">IF(表成绩单[[#This Row],[语文]]="","",SUMPRODUCT((表成绩单[考试日期]=表成绩单[[#This Row],[考试日期]])*(表成绩单[语文]&lt;9E+307)*(表成绩单[语文]&gt;表成绩单[[#This Row],[语文]]))+1)</f>
        <v>759</v>
      </c>
      <c r="Q742" s="29" cm="1">
        <f t="array" ref="Q742">IF(表成绩单[[#This Row],[数学]]="","",SUMPRODUCT((表成绩单[考试日期]=表成绩单[[#This Row],[考试日期]])*(表成绩单[数学]&lt;9E+307)*(表成绩单[数学]&gt;表成绩单[[#This Row],[数学]]))+1)</f>
        <v>639</v>
      </c>
      <c r="R742" s="29" cm="1">
        <f t="array" ref="R742">IF(表成绩单[[#This Row],[英语]]="","",SUMPRODUCT((表成绩单[考试日期]=表成绩单[[#This Row],[考试日期]])*(表成绩单[英语]&lt;9E+307)*(表成绩单[英语]&gt;表成绩单[[#This Row],[英语]]))+1)</f>
        <v>793</v>
      </c>
      <c r="S742" s="29" cm="1">
        <f t="array" ref="S742">IF(表成绩单[[#This Row],[物理]]="","",SUMPRODUCT((表成绩单[考试日期]=表成绩单[[#This Row],[考试日期]])*(表成绩单[物理]&lt;9E+307)*(表成绩单[物理]&gt;表成绩单[[#This Row],[物理]]))+1)</f>
        <v>681</v>
      </c>
      <c r="T742" s="29" cm="1">
        <f t="array" ref="T742">IF(表成绩单[[#This Row],[化学]]="","",SUMPRODUCT((表成绩单[考试日期]=表成绩单[[#This Row],[考试日期]])*(表成绩单[化学]&lt;9E+307)*(表成绩单[化学]&gt;表成绩单[[#This Row],[化学]]))+1)</f>
        <v>707</v>
      </c>
      <c r="U742" s="29" cm="1">
        <f t="array" ref="U742">IF(表成绩单[[#This Row],[政治]]="","",SUMPRODUCT((表成绩单[考试日期]=表成绩单[[#This Row],[考试日期]])*(表成绩单[政治]&lt;9E+307)*(表成绩单[政治]&gt;表成绩单[[#This Row],[政治]]))+1)</f>
        <v>671</v>
      </c>
      <c r="V742" s="29" cm="1">
        <f t="array" ref="V742">IF(表成绩单[[#This Row],[历史]]="","",SUMPRODUCT((表成绩单[考试日期]=表成绩单[[#This Row],[考试日期]])*(表成绩单[历史]&lt;9E+307)*(表成绩单[历史]&gt;表成绩单[[#This Row],[历史]]))+1)</f>
        <v>622</v>
      </c>
      <c r="W742" s="29" cm="1">
        <f t="array" ref="W742">IF(表成绩单[[#This Row],[总分]]="","",SUMPRODUCT((表成绩单[考试日期]=表成绩单[[#This Row],[考试日期]])*(表成绩单[总分]&lt;9E+307)*(表成绩单[总分]&gt;表成绩单[[#This Row],[总分]]))+1)</f>
        <v>738</v>
      </c>
    </row>
    <row r="743" ht="28" customHeight="1" spans="4:23">
      <c r="D743" s="31">
        <v>45975</v>
      </c>
      <c r="E743" s="29">
        <v>19178577</v>
      </c>
      <c r="F743" s="29" t="s">
        <v>64</v>
      </c>
      <c r="G743" s="29" t="s">
        <v>816</v>
      </c>
      <c r="H743" s="29">
        <v>77</v>
      </c>
      <c r="I743" s="29">
        <v>80</v>
      </c>
      <c r="J743" s="29">
        <v>42.5</v>
      </c>
      <c r="K743" s="29">
        <v>66</v>
      </c>
      <c r="L743" s="29">
        <v>53</v>
      </c>
      <c r="M743" s="29">
        <v>46</v>
      </c>
      <c r="N743" s="29">
        <v>50</v>
      </c>
      <c r="O743" s="32">
        <v>414.5</v>
      </c>
      <c r="P743" s="29" cm="1">
        <f t="array" ref="P743">IF(表成绩单[[#This Row],[语文]]="","",SUMPRODUCT((表成绩单[考试日期]=表成绩单[[#This Row],[考试日期]])*(表成绩单[语文]&lt;9E+307)*(表成绩单[语文]&gt;表成绩单[[#This Row],[语文]]))+1)</f>
        <v>737</v>
      </c>
      <c r="Q743" s="29" cm="1">
        <f t="array" ref="Q743">IF(表成绩单[[#This Row],[数学]]="","",SUMPRODUCT((表成绩单[考试日期]=表成绩单[[#This Row],[考试日期]])*(表成绩单[数学]&lt;9E+307)*(表成绩单[数学]&gt;表成绩单[[#This Row],[数学]]))+1)</f>
        <v>626</v>
      </c>
      <c r="R743" s="29" cm="1">
        <f t="array" ref="R743">IF(表成绩单[[#This Row],[英语]]="","",SUMPRODUCT((表成绩单[考试日期]=表成绩单[[#This Row],[考试日期]])*(表成绩单[英语]&lt;9E+307)*(表成绩单[英语]&gt;表成绩单[[#This Row],[英语]]))+1)</f>
        <v>759</v>
      </c>
      <c r="S743" s="29" cm="1">
        <f t="array" ref="S743">IF(表成绩单[[#This Row],[物理]]="","",SUMPRODUCT((表成绩单[考试日期]=表成绩单[[#This Row],[考试日期]])*(表成绩单[物理]&lt;9E+307)*(表成绩单[物理]&gt;表成绩单[[#This Row],[物理]]))+1)</f>
        <v>681</v>
      </c>
      <c r="T743" s="29" cm="1">
        <f t="array" ref="T743">IF(表成绩单[[#This Row],[化学]]="","",SUMPRODUCT((表成绩单[考试日期]=表成绩单[[#This Row],[考试日期]])*(表成绩单[化学]&lt;9E+307)*(表成绩单[化学]&gt;表成绩单[[#This Row],[化学]]))+1)</f>
        <v>715</v>
      </c>
      <c r="U743" s="29" cm="1">
        <f t="array" ref="U743">IF(表成绩单[[#This Row],[政治]]="","",SUMPRODUCT((表成绩单[考试日期]=表成绩单[[#This Row],[考试日期]])*(表成绩单[政治]&lt;9E+307)*(表成绩单[政治]&gt;表成绩单[[#This Row],[政治]]))+1)</f>
        <v>774</v>
      </c>
      <c r="V743" s="29" cm="1">
        <f t="array" ref="V743">IF(表成绩单[[#This Row],[历史]]="","",SUMPRODUCT((表成绩单[考试日期]=表成绩单[[#This Row],[考试日期]])*(表成绩单[历史]&lt;9E+307)*(表成绩单[历史]&gt;表成绩单[[#This Row],[历史]]))+1)</f>
        <v>770</v>
      </c>
      <c r="W743" s="29" cm="1">
        <f t="array" ref="W743">IF(表成绩单[[#This Row],[总分]]="","",SUMPRODUCT((表成绩单[考试日期]=表成绩单[[#This Row],[考试日期]])*(表成绩单[总分]&lt;9E+307)*(表成绩单[总分]&gt;表成绩单[[#This Row],[总分]]))+1)</f>
        <v>738</v>
      </c>
    </row>
    <row r="744" ht="28" customHeight="1" spans="4:23">
      <c r="D744" s="31">
        <v>45975</v>
      </c>
      <c r="E744" s="29">
        <v>19172649</v>
      </c>
      <c r="F744" s="29" t="s">
        <v>60</v>
      </c>
      <c r="G744" s="29" t="s">
        <v>817</v>
      </c>
      <c r="H744" s="29">
        <v>80</v>
      </c>
      <c r="I744" s="29">
        <v>54</v>
      </c>
      <c r="J744" s="29">
        <v>26</v>
      </c>
      <c r="K744" s="29">
        <v>65</v>
      </c>
      <c r="L744" s="29">
        <v>54</v>
      </c>
      <c r="M744" s="29">
        <v>62</v>
      </c>
      <c r="N744" s="29">
        <v>72</v>
      </c>
      <c r="O744" s="32">
        <v>413</v>
      </c>
      <c r="P744" s="29" cm="1">
        <f t="array" ref="P744">IF(表成绩单[[#This Row],[语文]]="","",SUMPRODUCT((表成绩单[考试日期]=表成绩单[[#This Row],[考试日期]])*(表成绩单[语文]&lt;9E+307)*(表成绩单[语文]&gt;表成绩单[[#This Row],[语文]]))+1)</f>
        <v>702</v>
      </c>
      <c r="Q744" s="29" cm="1">
        <f t="array" ref="Q744">IF(表成绩单[[#This Row],[数学]]="","",SUMPRODUCT((表成绩单[考试日期]=表成绩单[[#This Row],[考试日期]])*(表成绩单[数学]&lt;9E+307)*(表成绩单[数学]&gt;表成绩单[[#This Row],[数学]]))+1)</f>
        <v>747</v>
      </c>
      <c r="R744" s="29" cm="1">
        <f t="array" ref="R744">IF(表成绩单[[#This Row],[英语]]="","",SUMPRODUCT((表成绩单[考试日期]=表成绩单[[#This Row],[考试日期]])*(表成绩单[英语]&lt;9E+307)*(表成绩单[英语]&gt;表成绩单[[#This Row],[英语]]))+1)</f>
        <v>786</v>
      </c>
      <c r="S744" s="29" cm="1">
        <f t="array" ref="S744">IF(表成绩单[[#This Row],[物理]]="","",SUMPRODUCT((表成绩单[考试日期]=表成绩单[[#This Row],[考试日期]])*(表成绩单[物理]&lt;9E+307)*(表成绩单[物理]&gt;表成绩单[[#This Row],[物理]]))+1)</f>
        <v>690</v>
      </c>
      <c r="T744" s="29" cm="1">
        <f t="array" ref="T744">IF(表成绩单[[#This Row],[化学]]="","",SUMPRODUCT((表成绩单[考试日期]=表成绩单[[#This Row],[考试日期]])*(表成绩单[化学]&lt;9E+307)*(表成绩单[化学]&gt;表成绩单[[#This Row],[化学]]))+1)</f>
        <v>707</v>
      </c>
      <c r="U744" s="29" cm="1">
        <f t="array" ref="U744">IF(表成绩单[[#This Row],[政治]]="","",SUMPRODUCT((表成绩单[考试日期]=表成绩单[[#This Row],[考试日期]])*(表成绩单[政治]&lt;9E+307)*(表成绩单[政治]&gt;表成绩单[[#This Row],[政治]]))+1)</f>
        <v>628</v>
      </c>
      <c r="V744" s="29" cm="1">
        <f t="array" ref="V744">IF(表成绩单[[#This Row],[历史]]="","",SUMPRODUCT((表成绩单[考试日期]=表成绩单[[#This Row],[考试日期]])*(表成绩单[历史]&lt;9E+307)*(表成绩单[历史]&gt;表成绩单[[#This Row],[历史]]))+1)</f>
        <v>438</v>
      </c>
      <c r="W744" s="29" cm="1">
        <f t="array" ref="W744">IF(表成绩单[[#This Row],[总分]]="","",SUMPRODUCT((表成绩单[考试日期]=表成绩单[[#This Row],[考试日期]])*(表成绩单[总分]&lt;9E+307)*(表成绩单[总分]&gt;表成绩单[[#This Row],[总分]]))+1)</f>
        <v>740</v>
      </c>
    </row>
    <row r="745" ht="28" customHeight="1" spans="4:23">
      <c r="D745" s="31">
        <v>45975</v>
      </c>
      <c r="E745" s="29">
        <v>19173799</v>
      </c>
      <c r="F745" s="29" t="s">
        <v>65</v>
      </c>
      <c r="G745" s="29" t="s">
        <v>818</v>
      </c>
      <c r="H745" s="29">
        <v>72</v>
      </c>
      <c r="I745" s="29">
        <v>64</v>
      </c>
      <c r="J745" s="29">
        <v>64.5</v>
      </c>
      <c r="K745" s="29">
        <v>48</v>
      </c>
      <c r="L745" s="29">
        <v>49</v>
      </c>
      <c r="M745" s="29">
        <v>52</v>
      </c>
      <c r="N745" s="29">
        <v>62</v>
      </c>
      <c r="O745" s="32">
        <v>411.5</v>
      </c>
      <c r="P745" s="29" cm="1">
        <f t="array" ref="P745">IF(表成绩单[[#This Row],[语文]]="","",SUMPRODUCT((表成绩单[考试日期]=表成绩单[[#This Row],[考试日期]])*(表成绩单[语文]&lt;9E+307)*(表成绩单[语文]&gt;表成绩单[[#This Row],[语文]]))+1)</f>
        <v>759</v>
      </c>
      <c r="Q745" s="29" cm="1">
        <f t="array" ref="Q745">IF(表成绩单[[#This Row],[数学]]="","",SUMPRODUCT((表成绩单[考试日期]=表成绩单[[#This Row],[考试日期]])*(表成绩单[数学]&lt;9E+307)*(表成绩单[数学]&gt;表成绩单[[#This Row],[数学]]))+1)</f>
        <v>712</v>
      </c>
      <c r="R745" s="29" cm="1">
        <f t="array" ref="R745">IF(表成绩单[[#This Row],[英语]]="","",SUMPRODUCT((表成绩单[考试日期]=表成绩单[[#This Row],[考试日期]])*(表成绩单[英语]&lt;9E+307)*(表成绩单[英语]&gt;表成绩单[[#This Row],[英语]]))+1)</f>
        <v>625</v>
      </c>
      <c r="S745" s="29" cm="1">
        <f t="array" ref="S745">IF(表成绩单[[#This Row],[物理]]="","",SUMPRODUCT((表成绩单[考试日期]=表成绩单[[#This Row],[考试日期]])*(表成绩单[物理]&lt;9E+307)*(表成绩单[物理]&gt;表成绩单[[#This Row],[物理]]))+1)</f>
        <v>764</v>
      </c>
      <c r="T745" s="29" cm="1">
        <f t="array" ref="T745">IF(表成绩单[[#This Row],[化学]]="","",SUMPRODUCT((表成绩单[考试日期]=表成绩单[[#This Row],[考试日期]])*(表成绩单[化学]&lt;9E+307)*(表成绩单[化学]&gt;表成绩单[[#This Row],[化学]]))+1)</f>
        <v>743</v>
      </c>
      <c r="U745" s="29" cm="1">
        <f t="array" ref="U745">IF(表成绩单[[#This Row],[政治]]="","",SUMPRODUCT((表成绩单[考试日期]=表成绩单[[#This Row],[考试日期]])*(表成绩单[政治]&lt;9E+307)*(表成绩单[政治]&gt;表成绩单[[#This Row],[政治]]))+1)</f>
        <v>743</v>
      </c>
      <c r="V745" s="29" cm="1">
        <f t="array" ref="V745">IF(表成绩单[[#This Row],[历史]]="","",SUMPRODUCT((表成绩单[考试日期]=表成绩单[[#This Row],[考试日期]])*(表成绩单[历史]&lt;9E+307)*(表成绩单[历史]&gt;表成绩单[[#This Row],[历史]]))+1)</f>
        <v>688</v>
      </c>
      <c r="W745" s="29" cm="1">
        <f t="array" ref="W745">IF(表成绩单[[#This Row],[总分]]="","",SUMPRODUCT((表成绩单[考试日期]=表成绩单[[#This Row],[考试日期]])*(表成绩单[总分]&lt;9E+307)*(表成绩单[总分]&gt;表成绩单[[#This Row],[总分]]))+1)</f>
        <v>741</v>
      </c>
    </row>
    <row r="746" ht="28" customHeight="1" spans="4:23">
      <c r="D746" s="31">
        <v>45975</v>
      </c>
      <c r="E746" s="29">
        <v>19177669</v>
      </c>
      <c r="F746" s="29" t="s">
        <v>63</v>
      </c>
      <c r="G746" s="29" t="s">
        <v>819</v>
      </c>
      <c r="H746" s="29">
        <v>79</v>
      </c>
      <c r="I746" s="29">
        <v>48</v>
      </c>
      <c r="J746" s="29">
        <v>41.5</v>
      </c>
      <c r="K746" s="29">
        <v>65</v>
      </c>
      <c r="L746" s="29">
        <v>58</v>
      </c>
      <c r="M746" s="29">
        <v>55</v>
      </c>
      <c r="N746" s="29">
        <v>65</v>
      </c>
      <c r="O746" s="32">
        <v>411.5</v>
      </c>
      <c r="P746" s="29" cm="1">
        <f t="array" ref="P746">IF(表成绩单[[#This Row],[语文]]="","",SUMPRODUCT((表成绩单[考试日期]=表成绩单[[#This Row],[考试日期]])*(表成绩单[语文]&lt;9E+307)*(表成绩单[语文]&gt;表成绩单[[#This Row],[语文]]))+1)</f>
        <v>716</v>
      </c>
      <c r="Q746" s="29" cm="1">
        <f t="array" ref="Q746">IF(表成绩单[[#This Row],[数学]]="","",SUMPRODUCT((表成绩单[考试日期]=表成绩单[[#This Row],[考试日期]])*(表成绩单[数学]&lt;9E+307)*(表成绩单[数学]&gt;表成绩单[[#This Row],[数学]]))+1)</f>
        <v>758</v>
      </c>
      <c r="R746" s="29" cm="1">
        <f t="array" ref="R746">IF(表成绩单[[#This Row],[英语]]="","",SUMPRODUCT((表成绩单[考试日期]=表成绩单[[#This Row],[考试日期]])*(表成绩单[英语]&lt;9E+307)*(表成绩单[英语]&gt;表成绩单[[#This Row],[英语]]))+1)</f>
        <v>762</v>
      </c>
      <c r="S746" s="29" cm="1">
        <f t="array" ref="S746">IF(表成绩单[[#This Row],[物理]]="","",SUMPRODUCT((表成绩单[考试日期]=表成绩单[[#This Row],[考试日期]])*(表成绩单[物理]&lt;9E+307)*(表成绩单[物理]&gt;表成绩单[[#This Row],[物理]]))+1)</f>
        <v>690</v>
      </c>
      <c r="T746" s="29" cm="1">
        <f t="array" ref="T746">IF(表成绩单[[#This Row],[化学]]="","",SUMPRODUCT((表成绩单[考试日期]=表成绩单[[#This Row],[考试日期]])*(表成绩单[化学]&lt;9E+307)*(表成绩单[化学]&gt;表成绩单[[#This Row],[化学]]))+1)</f>
        <v>659</v>
      </c>
      <c r="U746" s="29" cm="1">
        <f t="array" ref="U746">IF(表成绩单[[#This Row],[政治]]="","",SUMPRODUCT((表成绩单[考试日期]=表成绩单[[#This Row],[考试日期]])*(表成绩单[政治]&lt;9E+307)*(表成绩单[政治]&gt;表成绩单[[#This Row],[政治]]))+1)</f>
        <v>713</v>
      </c>
      <c r="V746" s="29" cm="1">
        <f t="array" ref="V746">IF(表成绩单[[#This Row],[历史]]="","",SUMPRODUCT((表成绩单[考试日期]=表成绩单[[#This Row],[考试日期]])*(表成绩单[历史]&lt;9E+307)*(表成绩单[历史]&gt;表成绩单[[#This Row],[历史]]))+1)</f>
        <v>644</v>
      </c>
      <c r="W746" s="29" cm="1">
        <f t="array" ref="W746">IF(表成绩单[[#This Row],[总分]]="","",SUMPRODUCT((表成绩单[考试日期]=表成绩单[[#This Row],[考试日期]])*(表成绩单[总分]&lt;9E+307)*(表成绩单[总分]&gt;表成绩单[[#This Row],[总分]]))+1)</f>
        <v>741</v>
      </c>
    </row>
    <row r="747" ht="28" customHeight="1" spans="4:23">
      <c r="D747" s="31">
        <v>45975</v>
      </c>
      <c r="E747" s="29">
        <v>19175311</v>
      </c>
      <c r="F747" s="29" t="s">
        <v>55</v>
      </c>
      <c r="G747" s="29" t="s">
        <v>820</v>
      </c>
      <c r="H747" s="29">
        <v>81</v>
      </c>
      <c r="I747" s="29">
        <v>53</v>
      </c>
      <c r="J747" s="29">
        <v>63</v>
      </c>
      <c r="K747" s="29">
        <v>53</v>
      </c>
      <c r="L747" s="29">
        <v>47</v>
      </c>
      <c r="M747" s="29">
        <v>60</v>
      </c>
      <c r="N747" s="29">
        <v>54</v>
      </c>
      <c r="O747" s="32">
        <v>411</v>
      </c>
      <c r="P747" s="29" cm="1">
        <f t="array" ref="P747">IF(表成绩单[[#This Row],[语文]]="","",SUMPRODUCT((表成绩单[考试日期]=表成绩单[[#This Row],[考试日期]])*(表成绩单[语文]&lt;9E+307)*(表成绩单[语文]&gt;表成绩单[[#This Row],[语文]]))+1)</f>
        <v>688</v>
      </c>
      <c r="Q747" s="29" cm="1">
        <f t="array" ref="Q747">IF(表成绩单[[#This Row],[数学]]="","",SUMPRODUCT((表成绩单[考试日期]=表成绩单[[#This Row],[考试日期]])*(表成绩单[数学]&lt;9E+307)*(表成绩单[数学]&gt;表成绩单[[#This Row],[数学]]))+1)</f>
        <v>749</v>
      </c>
      <c r="R747" s="29" cm="1">
        <f t="array" ref="R747">IF(表成绩单[[#This Row],[英语]]="","",SUMPRODUCT((表成绩单[考试日期]=表成绩单[[#This Row],[考试日期]])*(表成绩单[英语]&lt;9E+307)*(表成绩单[英语]&gt;表成绩单[[#This Row],[英语]]))+1)</f>
        <v>642</v>
      </c>
      <c r="S747" s="29" cm="1">
        <f t="array" ref="S747">IF(表成绩单[[#This Row],[物理]]="","",SUMPRODUCT((表成绩单[考试日期]=表成绩单[[#This Row],[考试日期]])*(表成绩单[物理]&lt;9E+307)*(表成绩单[物理]&gt;表成绩单[[#This Row],[物理]]))+1)</f>
        <v>750</v>
      </c>
      <c r="T747" s="29" cm="1">
        <f t="array" ref="T747">IF(表成绩单[[#This Row],[化学]]="","",SUMPRODUCT((表成绩单[考试日期]=表成绩单[[#This Row],[考试日期]])*(表成绩单[化学]&lt;9E+307)*(表成绩单[化学]&gt;表成绩单[[#This Row],[化学]]))+1)</f>
        <v>750</v>
      </c>
      <c r="U747" s="29" cm="1">
        <f t="array" ref="U747">IF(表成绩单[[#This Row],[政治]]="","",SUMPRODUCT((表成绩单[考试日期]=表成绩单[[#This Row],[考试日期]])*(表成绩单[政治]&lt;9E+307)*(表成绩单[政治]&gt;表成绩单[[#This Row],[政治]]))+1)</f>
        <v>671</v>
      </c>
      <c r="V747" s="29" cm="1">
        <f t="array" ref="V747">IF(表成绩单[[#This Row],[历史]]="","",SUMPRODUCT((表成绩单[考试日期]=表成绩单[[#This Row],[考试日期]])*(表成绩单[历史]&lt;9E+307)*(表成绩单[历史]&gt;表成绩单[[#This Row],[历史]]))+1)</f>
        <v>752</v>
      </c>
      <c r="W747" s="29" cm="1">
        <f t="array" ref="W747">IF(表成绩单[[#This Row],[总分]]="","",SUMPRODUCT((表成绩单[考试日期]=表成绩单[[#This Row],[考试日期]])*(表成绩单[总分]&lt;9E+307)*(表成绩单[总分]&gt;表成绩单[[#This Row],[总分]]))+1)</f>
        <v>743</v>
      </c>
    </row>
    <row r="748" ht="28" customHeight="1" spans="4:23">
      <c r="D748" s="31">
        <v>45975</v>
      </c>
      <c r="E748" s="29">
        <v>19178646</v>
      </c>
      <c r="F748" s="29" t="s">
        <v>25</v>
      </c>
      <c r="G748" s="29" t="s">
        <v>821</v>
      </c>
      <c r="H748" s="29">
        <v>85</v>
      </c>
      <c r="I748" s="29">
        <v>61</v>
      </c>
      <c r="J748" s="29">
        <v>49</v>
      </c>
      <c r="K748" s="29">
        <v>58</v>
      </c>
      <c r="L748" s="29">
        <v>58</v>
      </c>
      <c r="M748" s="29">
        <v>53</v>
      </c>
      <c r="N748" s="29">
        <v>47</v>
      </c>
      <c r="O748" s="32">
        <v>411</v>
      </c>
      <c r="P748" s="29" cm="1">
        <f t="array" ref="P748">IF(表成绩单[[#This Row],[语文]]="","",SUMPRODUCT((表成绩单[考试日期]=表成绩单[[#This Row],[考试日期]])*(表成绩单[语文]&lt;9E+307)*(表成绩单[语文]&gt;表成绩单[[#This Row],[语文]]))+1)</f>
        <v>648</v>
      </c>
      <c r="Q748" s="29" cm="1">
        <f t="array" ref="Q748">IF(表成绩单[[#This Row],[数学]]="","",SUMPRODUCT((表成绩单[考试日期]=表成绩单[[#This Row],[考试日期]])*(表成绩单[数学]&lt;9E+307)*(表成绩单[数学]&gt;表成绩单[[#This Row],[数学]]))+1)</f>
        <v>726</v>
      </c>
      <c r="R748" s="29" cm="1">
        <f t="array" ref="R748">IF(表成绩单[[#This Row],[英语]]="","",SUMPRODUCT((表成绩单[考试日期]=表成绩单[[#This Row],[考试日期]])*(表成绩单[英语]&lt;9E+307)*(表成绩单[英语]&gt;表成绩单[[#This Row],[英语]]))+1)</f>
        <v>731</v>
      </c>
      <c r="S748" s="29" cm="1">
        <f t="array" ref="S748">IF(表成绩单[[#This Row],[物理]]="","",SUMPRODUCT((表成绩单[考试日期]=表成绩单[[#This Row],[考试日期]])*(表成绩单[物理]&lt;9E+307)*(表成绩单[物理]&gt;表成绩单[[#This Row],[物理]]))+1)</f>
        <v>726</v>
      </c>
      <c r="T748" s="29" cm="1">
        <f t="array" ref="T748">IF(表成绩单[[#This Row],[化学]]="","",SUMPRODUCT((表成绩单[考试日期]=表成绩单[[#This Row],[考试日期]])*(表成绩单[化学]&lt;9E+307)*(表成绩单[化学]&gt;表成绩单[[#This Row],[化学]]))+1)</f>
        <v>659</v>
      </c>
      <c r="U748" s="29" cm="1">
        <f t="array" ref="U748">IF(表成绩单[[#This Row],[政治]]="","",SUMPRODUCT((表成绩单[考试日期]=表成绩单[[#This Row],[考试日期]])*(表成绩单[政治]&lt;9E+307)*(表成绩单[政治]&gt;表成绩单[[#This Row],[政治]]))+1)</f>
        <v>734</v>
      </c>
      <c r="V748" s="29" cm="1">
        <f t="array" ref="V748">IF(表成绩单[[#This Row],[历史]]="","",SUMPRODUCT((表成绩单[考试日期]=表成绩单[[#This Row],[考试日期]])*(表成绩单[历史]&lt;9E+307)*(表成绩单[历史]&gt;表成绩单[[#This Row],[历史]]))+1)</f>
        <v>779</v>
      </c>
      <c r="W748" s="29" cm="1">
        <f t="array" ref="W748">IF(表成绩单[[#This Row],[总分]]="","",SUMPRODUCT((表成绩单[考试日期]=表成绩单[[#This Row],[考试日期]])*(表成绩单[总分]&lt;9E+307)*(表成绩单[总分]&gt;表成绩单[[#This Row],[总分]]))+1)</f>
        <v>743</v>
      </c>
    </row>
    <row r="749" ht="28" customHeight="1" spans="4:23">
      <c r="D749" s="31">
        <v>45975</v>
      </c>
      <c r="E749" s="29">
        <v>19175312</v>
      </c>
      <c r="F749" s="29" t="s">
        <v>55</v>
      </c>
      <c r="G749" s="29" t="s">
        <v>822</v>
      </c>
      <c r="H749" s="29">
        <v>81</v>
      </c>
      <c r="I749" s="29">
        <v>88</v>
      </c>
      <c r="J749" s="29">
        <v>39</v>
      </c>
      <c r="K749" s="29">
        <v>43</v>
      </c>
      <c r="L749" s="29">
        <v>49</v>
      </c>
      <c r="M749" s="29">
        <v>61</v>
      </c>
      <c r="N749" s="29">
        <v>45</v>
      </c>
      <c r="O749" s="32">
        <v>406</v>
      </c>
      <c r="P749" s="29" cm="1">
        <f t="array" ref="P749">IF(表成绩单[[#This Row],[语文]]="","",SUMPRODUCT((表成绩单[考试日期]=表成绩单[[#This Row],[考试日期]])*(表成绩单[语文]&lt;9E+307)*(表成绩单[语文]&gt;表成绩单[[#This Row],[语文]]))+1)</f>
        <v>688</v>
      </c>
      <c r="Q749" s="29" cm="1">
        <f t="array" ref="Q749">IF(表成绩单[[#This Row],[数学]]="","",SUMPRODUCT((表成绩单[考试日期]=表成绩单[[#This Row],[考试日期]])*(表成绩单[数学]&lt;9E+307)*(表成绩单[数学]&gt;表成绩单[[#This Row],[数学]]))+1)</f>
        <v>527</v>
      </c>
      <c r="R749" s="29" cm="1">
        <f t="array" ref="R749">IF(表成绩单[[#This Row],[英语]]="","",SUMPRODUCT((表成绩单[考试日期]=表成绩单[[#This Row],[考试日期]])*(表成绩单[英语]&lt;9E+307)*(表成绩单[英语]&gt;表成绩单[[#This Row],[英语]]))+1)</f>
        <v>766</v>
      </c>
      <c r="S749" s="29" cm="1">
        <f t="array" ref="S749">IF(表成绩单[[#This Row],[物理]]="","",SUMPRODUCT((表成绩单[考试日期]=表成绩单[[#This Row],[考试日期]])*(表成绩单[物理]&lt;9E+307)*(表成绩单[物理]&gt;表成绩单[[#This Row],[物理]]))+1)</f>
        <v>779</v>
      </c>
      <c r="T749" s="29" cm="1">
        <f t="array" ref="T749">IF(表成绩单[[#This Row],[化学]]="","",SUMPRODUCT((表成绩单[考试日期]=表成绩单[[#This Row],[考试日期]])*(表成绩单[化学]&lt;9E+307)*(表成绩单[化学]&gt;表成绩单[[#This Row],[化学]]))+1)</f>
        <v>743</v>
      </c>
      <c r="U749" s="29" cm="1">
        <f t="array" ref="U749">IF(表成绩单[[#This Row],[政治]]="","",SUMPRODUCT((表成绩单[考试日期]=表成绩单[[#This Row],[考试日期]])*(表成绩单[政治]&lt;9E+307)*(表成绩单[政治]&gt;表成绩单[[#This Row],[政治]]))+1)</f>
        <v>644</v>
      </c>
      <c r="V749" s="29" cm="1">
        <f t="array" ref="V749">IF(表成绩单[[#This Row],[历史]]="","",SUMPRODUCT((表成绩单[考试日期]=表成绩单[[#This Row],[考试日期]])*(表成绩单[历史]&lt;9E+307)*(表成绩单[历史]&gt;表成绩单[[#This Row],[历史]]))+1)</f>
        <v>780</v>
      </c>
      <c r="W749" s="29" cm="1">
        <f t="array" ref="W749">IF(表成绩单[[#This Row],[总分]]="","",SUMPRODUCT((表成绩单[考试日期]=表成绩单[[#This Row],[考试日期]])*(表成绩单[总分]&lt;9E+307)*(表成绩单[总分]&gt;表成绩单[[#This Row],[总分]]))+1)</f>
        <v>745</v>
      </c>
    </row>
    <row r="750" ht="28" customHeight="1" spans="4:23">
      <c r="D750" s="31">
        <v>45975</v>
      </c>
      <c r="E750" s="29">
        <v>19175303</v>
      </c>
      <c r="F750" s="29" t="s">
        <v>55</v>
      </c>
      <c r="G750" s="29" t="s">
        <v>823</v>
      </c>
      <c r="H750" s="29">
        <v>77</v>
      </c>
      <c r="I750" s="29">
        <v>57</v>
      </c>
      <c r="J750" s="29">
        <v>46.5</v>
      </c>
      <c r="K750" s="29">
        <v>59</v>
      </c>
      <c r="L750" s="29">
        <v>44</v>
      </c>
      <c r="M750" s="29">
        <v>55</v>
      </c>
      <c r="N750" s="29">
        <v>67</v>
      </c>
      <c r="O750" s="32">
        <v>405.5</v>
      </c>
      <c r="P750" s="29" cm="1">
        <f t="array" ref="P750">IF(表成绩单[[#This Row],[语文]]="","",SUMPRODUCT((表成绩单[考试日期]=表成绩单[[#This Row],[考试日期]])*(表成绩单[语文]&lt;9E+307)*(表成绩单[语文]&gt;表成绩单[[#This Row],[语文]]))+1)</f>
        <v>737</v>
      </c>
      <c r="Q750" s="29" cm="1">
        <f t="array" ref="Q750">IF(表成绩单[[#This Row],[数学]]="","",SUMPRODUCT((表成绩单[考试日期]=表成绩单[[#This Row],[考试日期]])*(表成绩单[数学]&lt;9E+307)*(表成绩单[数学]&gt;表成绩单[[#This Row],[数学]]))+1)</f>
        <v>739</v>
      </c>
      <c r="R750" s="29" cm="1">
        <f t="array" ref="R750">IF(表成绩单[[#This Row],[英语]]="","",SUMPRODUCT((表成绩单[考试日期]=表成绩单[[#This Row],[考试日期]])*(表成绩单[英语]&lt;9E+307)*(表成绩单[英语]&gt;表成绩单[[#This Row],[英语]]))+1)</f>
        <v>744</v>
      </c>
      <c r="S750" s="29" cm="1">
        <f t="array" ref="S750">IF(表成绩单[[#This Row],[物理]]="","",SUMPRODUCT((表成绩单[考试日期]=表成绩单[[#This Row],[考试日期]])*(表成绩单[物理]&lt;9E+307)*(表成绩单[物理]&gt;表成绩单[[#This Row],[物理]]))+1)</f>
        <v>721</v>
      </c>
      <c r="T750" s="29" cm="1">
        <f t="array" ref="T750">IF(表成绩单[[#This Row],[化学]]="","",SUMPRODUCT((表成绩单[考试日期]=表成绩单[[#This Row],[考试日期]])*(表成绩单[化学]&lt;9E+307)*(表成绩单[化学]&gt;表成绩单[[#This Row],[化学]]))+1)</f>
        <v>765</v>
      </c>
      <c r="U750" s="29" cm="1">
        <f t="array" ref="U750">IF(表成绩单[[#This Row],[政治]]="","",SUMPRODUCT((表成绩单[考试日期]=表成绩单[[#This Row],[考试日期]])*(表成绩单[政治]&lt;9E+307)*(表成绩单[政治]&gt;表成绩单[[#This Row],[政治]]))+1)</f>
        <v>713</v>
      </c>
      <c r="V750" s="29" cm="1">
        <f t="array" ref="V750">IF(表成绩单[[#This Row],[历史]]="","",SUMPRODUCT((表成绩单[考试日期]=表成绩单[[#This Row],[考试日期]])*(表成绩单[历史]&lt;9E+307)*(表成绩单[历史]&gt;表成绩单[[#This Row],[历史]]))+1)</f>
        <v>597</v>
      </c>
      <c r="W750" s="29" cm="1">
        <f t="array" ref="W750">IF(表成绩单[[#This Row],[总分]]="","",SUMPRODUCT((表成绩单[考试日期]=表成绩单[[#This Row],[考试日期]])*(表成绩单[总分]&lt;9E+307)*(表成绩单[总分]&gt;表成绩单[[#This Row],[总分]]))+1)</f>
        <v>746</v>
      </c>
    </row>
    <row r="751" ht="28" customHeight="1" spans="4:23">
      <c r="D751" s="31">
        <v>45975</v>
      </c>
      <c r="E751" s="29">
        <v>19173271</v>
      </c>
      <c r="F751" s="29" t="s">
        <v>61</v>
      </c>
      <c r="G751" s="29" t="s">
        <v>824</v>
      </c>
      <c r="H751" s="29">
        <v>80</v>
      </c>
      <c r="I751" s="29">
        <v>28</v>
      </c>
      <c r="J751" s="29">
        <v>65</v>
      </c>
      <c r="K751" s="29">
        <v>60</v>
      </c>
      <c r="L751" s="29">
        <v>50</v>
      </c>
      <c r="M751" s="29">
        <v>61</v>
      </c>
      <c r="N751" s="29">
        <v>61</v>
      </c>
      <c r="O751" s="32">
        <v>405</v>
      </c>
      <c r="P751" s="29" cm="1">
        <f t="array" ref="P751">IF(表成绩单[[#This Row],[语文]]="","",SUMPRODUCT((表成绩单[考试日期]=表成绩单[[#This Row],[考试日期]])*(表成绩单[语文]&lt;9E+307)*(表成绩单[语文]&gt;表成绩单[[#This Row],[语文]]))+1)</f>
        <v>702</v>
      </c>
      <c r="Q751" s="29" cm="1">
        <f t="array" ref="Q751">IF(表成绩单[[#This Row],[数学]]="","",SUMPRODUCT((表成绩单[考试日期]=表成绩单[[#This Row],[考试日期]])*(表成绩单[数学]&lt;9E+307)*(表成绩单[数学]&gt;表成绩单[[#This Row],[数学]]))+1)</f>
        <v>785</v>
      </c>
      <c r="R751" s="29" cm="1">
        <f t="array" ref="R751">IF(表成绩单[[#This Row],[英语]]="","",SUMPRODUCT((表成绩单[考试日期]=表成绩单[[#This Row],[考试日期]])*(表成绩单[英语]&lt;9E+307)*(表成绩单[英语]&gt;表成绩单[[#This Row],[英语]]))+1)</f>
        <v>616</v>
      </c>
      <c r="S751" s="29" cm="1">
        <f t="array" ref="S751">IF(表成绩单[[#This Row],[物理]]="","",SUMPRODUCT((表成绩单[考试日期]=表成绩单[[#This Row],[考试日期]])*(表成绩单[物理]&lt;9E+307)*(表成绩单[物理]&gt;表成绩单[[#This Row],[物理]]))+1)</f>
        <v>717</v>
      </c>
      <c r="T751" s="29" cm="1">
        <f t="array" ref="T751">IF(表成绩单[[#This Row],[化学]]="","",SUMPRODUCT((表成绩单[考试日期]=表成绩单[[#This Row],[考试日期]])*(表成绩单[化学]&lt;9E+307)*(表成绩单[化学]&gt;表成绩单[[#This Row],[化学]]))+1)</f>
        <v>736</v>
      </c>
      <c r="U751" s="29" cm="1">
        <f t="array" ref="U751">IF(表成绩单[[#This Row],[政治]]="","",SUMPRODUCT((表成绩单[考试日期]=表成绩单[[#This Row],[考试日期]])*(表成绩单[政治]&lt;9E+307)*(表成绩单[政治]&gt;表成绩单[[#This Row],[政治]]))+1)</f>
        <v>644</v>
      </c>
      <c r="V751" s="29" cm="1">
        <f t="array" ref="V751">IF(表成绩单[[#This Row],[历史]]="","",SUMPRODUCT((表成绩单[考试日期]=表成绩单[[#This Row],[考试日期]])*(表成绩单[历史]&lt;9E+307)*(表成绩单[历史]&gt;表成绩单[[#This Row],[历史]]))+1)</f>
        <v>702</v>
      </c>
      <c r="W751" s="29" cm="1">
        <f t="array" ref="W751">IF(表成绩单[[#This Row],[总分]]="","",SUMPRODUCT((表成绩单[考试日期]=表成绩单[[#This Row],[考试日期]])*(表成绩单[总分]&lt;9E+307)*(表成绩单[总分]&gt;表成绩单[[#This Row],[总分]]))+1)</f>
        <v>747</v>
      </c>
    </row>
    <row r="752" ht="28" customHeight="1" spans="4:23">
      <c r="D752" s="31">
        <v>45975</v>
      </c>
      <c r="E752" s="29">
        <v>19176008</v>
      </c>
      <c r="F752" s="29" t="s">
        <v>59</v>
      </c>
      <c r="G752" s="29" t="s">
        <v>825</v>
      </c>
      <c r="H752" s="29">
        <v>87</v>
      </c>
      <c r="I752" s="29">
        <v>68</v>
      </c>
      <c r="J752" s="29">
        <v>30</v>
      </c>
      <c r="K752" s="29">
        <v>47</v>
      </c>
      <c r="L752" s="29">
        <v>58</v>
      </c>
      <c r="M752" s="29">
        <v>52</v>
      </c>
      <c r="N752" s="29">
        <v>61</v>
      </c>
      <c r="O752" s="32">
        <v>403</v>
      </c>
      <c r="P752" s="29" cm="1">
        <f t="array" ref="P752">IF(表成绩单[[#This Row],[语文]]="","",SUMPRODUCT((表成绩单[考试日期]=表成绩单[[#This Row],[考试日期]])*(表成绩单[语文]&lt;9E+307)*(表成绩单[语文]&gt;表成绩单[[#This Row],[语文]]))+1)</f>
        <v>615</v>
      </c>
      <c r="Q752" s="29" cm="1">
        <f t="array" ref="Q752">IF(表成绩单[[#This Row],[数学]]="","",SUMPRODUCT((表成绩单[考试日期]=表成绩单[[#This Row],[考试日期]])*(表成绩单[数学]&lt;9E+307)*(表成绩单[数学]&gt;表成绩单[[#This Row],[数学]]))+1)</f>
        <v>696</v>
      </c>
      <c r="R752" s="29" cm="1">
        <f t="array" ref="R752">IF(表成绩单[[#This Row],[英语]]="","",SUMPRODUCT((表成绩单[考试日期]=表成绩单[[#This Row],[考试日期]])*(表成绩单[英语]&lt;9E+307)*(表成绩单[英语]&gt;表成绩单[[#This Row],[英语]]))+1)</f>
        <v>781</v>
      </c>
      <c r="S752" s="29" cm="1">
        <f t="array" ref="S752">IF(表成绩单[[#This Row],[物理]]="","",SUMPRODUCT((表成绩单[考试日期]=表成绩单[[#This Row],[考试日期]])*(表成绩单[物理]&lt;9E+307)*(表成绩单[物理]&gt;表成绩单[[#This Row],[物理]]))+1)</f>
        <v>767</v>
      </c>
      <c r="T752" s="29" cm="1">
        <f t="array" ref="T752">IF(表成绩单[[#This Row],[化学]]="","",SUMPRODUCT((表成绩单[考试日期]=表成绩单[[#This Row],[考试日期]])*(表成绩单[化学]&lt;9E+307)*(表成绩单[化学]&gt;表成绩单[[#This Row],[化学]]))+1)</f>
        <v>659</v>
      </c>
      <c r="U752" s="29" cm="1">
        <f t="array" ref="U752">IF(表成绩单[[#This Row],[政治]]="","",SUMPRODUCT((表成绩单[考试日期]=表成绩单[[#This Row],[考试日期]])*(表成绩单[政治]&lt;9E+307)*(表成绩单[政治]&gt;表成绩单[[#This Row],[政治]]))+1)</f>
        <v>743</v>
      </c>
      <c r="V752" s="29" cm="1">
        <f t="array" ref="V752">IF(表成绩单[[#This Row],[历史]]="","",SUMPRODUCT((表成绩单[考试日期]=表成绩单[[#This Row],[考试日期]])*(表成绩单[历史]&lt;9E+307)*(表成绩单[历史]&gt;表成绩单[[#This Row],[历史]]))+1)</f>
        <v>702</v>
      </c>
      <c r="W752" s="29" cm="1">
        <f t="array" ref="W752">IF(表成绩单[[#This Row],[总分]]="","",SUMPRODUCT((表成绩单[考试日期]=表成绩单[[#This Row],[考试日期]])*(表成绩单[总分]&lt;9E+307)*(表成绩单[总分]&gt;表成绩单[[#This Row],[总分]]))+1)</f>
        <v>748</v>
      </c>
    </row>
    <row r="753" ht="28" customHeight="1" spans="4:23">
      <c r="D753" s="31">
        <v>45975</v>
      </c>
      <c r="E753" s="29">
        <v>19175703</v>
      </c>
      <c r="F753" s="29" t="s">
        <v>72</v>
      </c>
      <c r="G753" s="29" t="s">
        <v>826</v>
      </c>
      <c r="H753" s="29">
        <v>77</v>
      </c>
      <c r="I753" s="29">
        <v>47</v>
      </c>
      <c r="J753" s="29">
        <v>60.5</v>
      </c>
      <c r="K753" s="29">
        <v>60</v>
      </c>
      <c r="L753" s="29">
        <v>41</v>
      </c>
      <c r="M753" s="29">
        <v>50</v>
      </c>
      <c r="N753" s="29">
        <v>66</v>
      </c>
      <c r="O753" s="32">
        <v>401.5</v>
      </c>
      <c r="P753" s="29" cm="1">
        <f t="array" ref="P753">IF(表成绩单[[#This Row],[语文]]="","",SUMPRODUCT((表成绩单[考试日期]=表成绩单[[#This Row],[考试日期]])*(表成绩单[语文]&lt;9E+307)*(表成绩单[语文]&gt;表成绩单[[#This Row],[语文]]))+1)</f>
        <v>737</v>
      </c>
      <c r="Q753" s="29" cm="1">
        <f t="array" ref="Q753">IF(表成绩单[[#This Row],[数学]]="","",SUMPRODUCT((表成绩单[考试日期]=表成绩单[[#This Row],[考试日期]])*(表成绩单[数学]&lt;9E+307)*(表成绩单[数学]&gt;表成绩单[[#This Row],[数学]]))+1)</f>
        <v>760</v>
      </c>
      <c r="R753" s="29" cm="1">
        <f t="array" ref="R753">IF(表成绩单[[#This Row],[英语]]="","",SUMPRODUCT((表成绩单[考试日期]=表成绩单[[#This Row],[考试日期]])*(表成绩单[英语]&lt;9E+307)*(表成绩单[英语]&gt;表成绩单[[#This Row],[英语]]))+1)</f>
        <v>664</v>
      </c>
      <c r="S753" s="29" cm="1">
        <f t="array" ref="S753">IF(表成绩单[[#This Row],[物理]]="","",SUMPRODUCT((表成绩单[考试日期]=表成绩单[[#This Row],[考试日期]])*(表成绩单[物理]&lt;9E+307)*(表成绩单[物理]&gt;表成绩单[[#This Row],[物理]]))+1)</f>
        <v>717</v>
      </c>
      <c r="T753" s="29" cm="1">
        <f t="array" ref="T753">IF(表成绩单[[#This Row],[化学]]="","",SUMPRODUCT((表成绩单[考试日期]=表成绩单[[#This Row],[考试日期]])*(表成绩单[化学]&lt;9E+307)*(表成绩单[化学]&gt;表成绩单[[#This Row],[化学]]))+1)</f>
        <v>777</v>
      </c>
      <c r="U753" s="29" cm="1">
        <f t="array" ref="U753">IF(表成绩单[[#This Row],[政治]]="","",SUMPRODUCT((表成绩单[考试日期]=表成绩单[[#This Row],[考试日期]])*(表成绩单[政治]&lt;9E+307)*(表成绩单[政治]&gt;表成绩单[[#This Row],[政治]]))+1)</f>
        <v>758</v>
      </c>
      <c r="V753" s="29" cm="1">
        <f t="array" ref="V753">IF(表成绩单[[#This Row],[历史]]="","",SUMPRODUCT((表成绩单[考试日期]=表成绩单[[#This Row],[考试日期]])*(表成绩单[历史]&lt;9E+307)*(表成绩单[历史]&gt;表成绩单[[#This Row],[历史]]))+1)</f>
        <v>622</v>
      </c>
      <c r="W753" s="29" cm="1">
        <f t="array" ref="W753">IF(表成绩单[[#This Row],[总分]]="","",SUMPRODUCT((表成绩单[考试日期]=表成绩单[[#This Row],[考试日期]])*(表成绩单[总分]&lt;9E+307)*(表成绩单[总分]&gt;表成绩单[[#This Row],[总分]]))+1)</f>
        <v>749</v>
      </c>
    </row>
    <row r="754" ht="28" customHeight="1" spans="4:23">
      <c r="D754" s="31">
        <v>45975</v>
      </c>
      <c r="E754" s="29">
        <v>19175321</v>
      </c>
      <c r="F754" s="29" t="s">
        <v>55</v>
      </c>
      <c r="G754" s="29" t="s">
        <v>827</v>
      </c>
      <c r="H754" s="29">
        <v>75</v>
      </c>
      <c r="I754" s="29">
        <v>69</v>
      </c>
      <c r="J754" s="29">
        <v>32</v>
      </c>
      <c r="K754" s="29">
        <v>50</v>
      </c>
      <c r="L754" s="29">
        <v>48</v>
      </c>
      <c r="M754" s="29">
        <v>62</v>
      </c>
      <c r="N754" s="29">
        <v>65</v>
      </c>
      <c r="O754" s="32">
        <v>401</v>
      </c>
      <c r="P754" s="29" cm="1">
        <f t="array" ref="P754">IF(表成绩单[[#This Row],[语文]]="","",SUMPRODUCT((表成绩单[考试日期]=表成绩单[[#This Row],[考试日期]])*(表成绩单[语文]&lt;9E+307)*(表成绩单[语文]&gt;表成绩单[[#This Row],[语文]]))+1)</f>
        <v>747</v>
      </c>
      <c r="Q754" s="29" cm="1">
        <f t="array" ref="Q754">IF(表成绩单[[#This Row],[数学]]="","",SUMPRODUCT((表成绩单[考试日期]=表成绩单[[#This Row],[考试日期]])*(表成绩单[数学]&lt;9E+307)*(表成绩单[数学]&gt;表成绩单[[#This Row],[数学]]))+1)</f>
        <v>690</v>
      </c>
      <c r="R754" s="29" cm="1">
        <f t="array" ref="R754">IF(表成绩单[[#This Row],[英语]]="","",SUMPRODUCT((表成绩单[考试日期]=表成绩单[[#This Row],[考试日期]])*(表成绩单[英语]&lt;9E+307)*(表成绩单[英语]&gt;表成绩单[[#This Row],[英语]]))+1)</f>
        <v>779</v>
      </c>
      <c r="S754" s="29" cm="1">
        <f t="array" ref="S754">IF(表成绩单[[#This Row],[物理]]="","",SUMPRODUCT((表成绩单[考试日期]=表成绩单[[#This Row],[考试日期]])*(表成绩单[物理]&lt;9E+307)*(表成绩单[物理]&gt;表成绩单[[#This Row],[物理]]))+1)</f>
        <v>760</v>
      </c>
      <c r="T754" s="29" cm="1">
        <f t="array" ref="T754">IF(表成绩单[[#This Row],[化学]]="","",SUMPRODUCT((表成绩单[考试日期]=表成绩单[[#This Row],[考试日期]])*(表成绩单[化学]&lt;9E+307)*(表成绩单[化学]&gt;表成绩单[[#This Row],[化学]]))+1)</f>
        <v>747</v>
      </c>
      <c r="U754" s="29" cm="1">
        <f t="array" ref="U754">IF(表成绩单[[#This Row],[政治]]="","",SUMPRODUCT((表成绩单[考试日期]=表成绩单[[#This Row],[考试日期]])*(表成绩单[政治]&lt;9E+307)*(表成绩单[政治]&gt;表成绩单[[#This Row],[政治]]))+1)</f>
        <v>628</v>
      </c>
      <c r="V754" s="29" cm="1">
        <f t="array" ref="V754">IF(表成绩单[[#This Row],[历史]]="","",SUMPRODUCT((表成绩单[考试日期]=表成绩单[[#This Row],[考试日期]])*(表成绩单[历史]&lt;9E+307)*(表成绩单[历史]&gt;表成绩单[[#This Row],[历史]]))+1)</f>
        <v>644</v>
      </c>
      <c r="W754" s="29" cm="1">
        <f t="array" ref="W754">IF(表成绩单[[#This Row],[总分]]="","",SUMPRODUCT((表成绩单[考试日期]=表成绩单[[#This Row],[考试日期]])*(表成绩单[总分]&lt;9E+307)*(表成绩单[总分]&gt;表成绩单[[#This Row],[总分]]))+1)</f>
        <v>750</v>
      </c>
    </row>
    <row r="755" ht="28" customHeight="1" spans="4:23">
      <c r="D755" s="31">
        <v>45975</v>
      </c>
      <c r="E755" s="29">
        <v>19173767</v>
      </c>
      <c r="F755" s="29" t="s">
        <v>65</v>
      </c>
      <c r="G755" s="29" t="s">
        <v>828</v>
      </c>
      <c r="H755" s="29">
        <v>88</v>
      </c>
      <c r="I755" s="29">
        <v>47</v>
      </c>
      <c r="J755" s="29">
        <v>72.5</v>
      </c>
      <c r="K755" s="29">
        <v>38</v>
      </c>
      <c r="L755" s="29">
        <v>37</v>
      </c>
      <c r="M755" s="29">
        <v>58</v>
      </c>
      <c r="N755" s="29">
        <v>59</v>
      </c>
      <c r="O755" s="32">
        <v>399.5</v>
      </c>
      <c r="P755" s="29" cm="1">
        <f t="array" ref="P755">IF(表成绩单[[#This Row],[语文]]="","",SUMPRODUCT((表成绩单[考试日期]=表成绩单[[#This Row],[考试日期]])*(表成绩单[语文]&lt;9E+307)*(表成绩单[语文]&gt;表成绩单[[#This Row],[语文]]))+1)</f>
        <v>595</v>
      </c>
      <c r="Q755" s="29" cm="1">
        <f t="array" ref="Q755">IF(表成绩单[[#This Row],[数学]]="","",SUMPRODUCT((表成绩单[考试日期]=表成绩单[[#This Row],[考试日期]])*(表成绩单[数学]&lt;9E+307)*(表成绩单[数学]&gt;表成绩单[[#This Row],[数学]]))+1)</f>
        <v>760</v>
      </c>
      <c r="R755" s="29" cm="1">
        <f t="array" ref="R755">IF(表成绩单[[#This Row],[英语]]="","",SUMPRODUCT((表成绩单[考试日期]=表成绩单[[#This Row],[考试日期]])*(表成绩单[英语]&lt;9E+307)*(表成绩单[英语]&gt;表成绩单[[#This Row],[英语]]))+1)</f>
        <v>498</v>
      </c>
      <c r="S755" s="29" cm="1">
        <f t="array" ref="S755">IF(表成绩单[[#This Row],[物理]]="","",SUMPRODUCT((表成绩单[考试日期]=表成绩单[[#This Row],[考试日期]])*(表成绩单[物理]&lt;9E+307)*(表成绩单[物理]&gt;表成绩单[[#This Row],[物理]]))+1)</f>
        <v>786</v>
      </c>
      <c r="T755" s="29" cm="1">
        <f t="array" ref="T755">IF(表成绩单[[#This Row],[化学]]="","",SUMPRODUCT((表成绩单[考试日期]=表成绩单[[#This Row],[考试日期]])*(表成绩单[化学]&lt;9E+307)*(表成绩单[化学]&gt;表成绩单[[#This Row],[化学]]))+1)</f>
        <v>782</v>
      </c>
      <c r="U755" s="29" cm="1">
        <f t="array" ref="U755">IF(表成绩单[[#This Row],[政治]]="","",SUMPRODUCT((表成绩单[考试日期]=表成绩单[[#This Row],[考试日期]])*(表成绩单[政治]&lt;9E+307)*(表成绩单[政治]&gt;表成绩单[[#This Row],[政治]]))+1)</f>
        <v>691</v>
      </c>
      <c r="V755" s="29" cm="1">
        <f t="array" ref="V755">IF(表成绩单[[#This Row],[历史]]="","",SUMPRODUCT((表成绩单[考试日期]=表成绩单[[#This Row],[考试日期]])*(表成绩单[历史]&lt;9E+307)*(表成绩单[历史]&gt;表成绩单[[#This Row],[历史]]))+1)</f>
        <v>724</v>
      </c>
      <c r="W755" s="29" cm="1">
        <f t="array" ref="W755">IF(表成绩单[[#This Row],[总分]]="","",SUMPRODUCT((表成绩单[考试日期]=表成绩单[[#This Row],[考试日期]])*(表成绩单[总分]&lt;9E+307)*(表成绩单[总分]&gt;表成绩单[[#This Row],[总分]]))+1)</f>
        <v>751</v>
      </c>
    </row>
    <row r="756" ht="28" customHeight="1" spans="4:23">
      <c r="D756" s="31">
        <v>45975</v>
      </c>
      <c r="E756" s="29">
        <v>19172657</v>
      </c>
      <c r="F756" s="29" t="s">
        <v>60</v>
      </c>
      <c r="G756" s="29" t="s">
        <v>829</v>
      </c>
      <c r="H756" s="29">
        <v>78</v>
      </c>
      <c r="I756" s="29">
        <v>45</v>
      </c>
      <c r="J756" s="29">
        <v>53</v>
      </c>
      <c r="K756" s="29">
        <v>46</v>
      </c>
      <c r="L756" s="29">
        <v>43</v>
      </c>
      <c r="M756" s="29">
        <v>60</v>
      </c>
      <c r="N756" s="29">
        <v>74</v>
      </c>
      <c r="O756" s="32">
        <v>399</v>
      </c>
      <c r="P756" s="29" cm="1">
        <f t="array" ref="P756">IF(表成绩单[[#This Row],[语文]]="","",SUMPRODUCT((表成绩单[考试日期]=表成绩单[[#This Row],[考试日期]])*(表成绩单[语文]&lt;9E+307)*(表成绩单[语文]&gt;表成绩单[[#This Row],[语文]]))+1)</f>
        <v>728</v>
      </c>
      <c r="Q756" s="29" cm="1">
        <f t="array" ref="Q756">IF(表成绩单[[#This Row],[数学]]="","",SUMPRODUCT((表成绩单[考试日期]=表成绩单[[#This Row],[考试日期]])*(表成绩单[数学]&lt;9E+307)*(表成绩单[数学]&gt;表成绩单[[#This Row],[数学]]))+1)</f>
        <v>767</v>
      </c>
      <c r="R756" s="29" cm="1">
        <f t="array" ref="R756">IF(表成绩单[[#This Row],[英语]]="","",SUMPRODUCT((表成绩单[考试日期]=表成绩单[[#This Row],[考试日期]])*(表成绩单[英语]&lt;9E+307)*(表成绩单[英语]&gt;表成绩单[[#This Row],[英语]]))+1)</f>
        <v>709</v>
      </c>
      <c r="S756" s="29" cm="1">
        <f t="array" ref="S756">IF(表成绩单[[#This Row],[物理]]="","",SUMPRODUCT((表成绩单[考试日期]=表成绩单[[#This Row],[考试日期]])*(表成绩单[物理]&lt;9E+307)*(表成绩单[物理]&gt;表成绩单[[#This Row],[物理]]))+1)</f>
        <v>772</v>
      </c>
      <c r="T756" s="29" cm="1">
        <f t="array" ref="T756">IF(表成绩单[[#This Row],[化学]]="","",SUMPRODUCT((表成绩单[考试日期]=表成绩单[[#This Row],[考试日期]])*(表成绩单[化学]&lt;9E+307)*(表成绩单[化学]&gt;表成绩单[[#This Row],[化学]]))+1)</f>
        <v>768</v>
      </c>
      <c r="U756" s="29" cm="1">
        <f t="array" ref="U756">IF(表成绩单[[#This Row],[政治]]="","",SUMPRODUCT((表成绩单[考试日期]=表成绩单[[#This Row],[考试日期]])*(表成绩单[政治]&lt;9E+307)*(表成绩单[政治]&gt;表成绩单[[#This Row],[政治]]))+1)</f>
        <v>671</v>
      </c>
      <c r="V756" s="29" cm="1">
        <f t="array" ref="V756">IF(表成绩单[[#This Row],[历史]]="","",SUMPRODUCT((表成绩单[考试日期]=表成绩单[[#This Row],[考试日期]])*(表成绩单[历史]&lt;9E+307)*(表成绩单[历史]&gt;表成绩单[[#This Row],[历史]]))+1)</f>
        <v>358</v>
      </c>
      <c r="W756" s="29" cm="1">
        <f t="array" ref="W756">IF(表成绩单[[#This Row],[总分]]="","",SUMPRODUCT((表成绩单[考试日期]=表成绩单[[#This Row],[考试日期]])*(表成绩单[总分]&lt;9E+307)*(表成绩单[总分]&gt;表成绩单[[#This Row],[总分]]))+1)</f>
        <v>752</v>
      </c>
    </row>
    <row r="757" ht="28" customHeight="1" spans="4:23">
      <c r="D757" s="31">
        <v>45975</v>
      </c>
      <c r="E757" s="29">
        <v>19177620</v>
      </c>
      <c r="F757" s="29" t="s">
        <v>58</v>
      </c>
      <c r="G757" s="29" t="s">
        <v>830</v>
      </c>
      <c r="H757" s="29">
        <v>75</v>
      </c>
      <c r="I757" s="29">
        <v>57</v>
      </c>
      <c r="J757" s="29">
        <v>63</v>
      </c>
      <c r="K757" s="29">
        <v>56</v>
      </c>
      <c r="L757" s="29">
        <v>45</v>
      </c>
      <c r="M757" s="29">
        <v>46</v>
      </c>
      <c r="N757" s="29">
        <v>54</v>
      </c>
      <c r="O757" s="32">
        <v>396</v>
      </c>
      <c r="P757" s="29" cm="1">
        <f t="array" ref="P757">IF(表成绩单[[#This Row],[语文]]="","",SUMPRODUCT((表成绩单[考试日期]=表成绩单[[#This Row],[考试日期]])*(表成绩单[语文]&lt;9E+307)*(表成绩单[语文]&gt;表成绩单[[#This Row],[语文]]))+1)</f>
        <v>747</v>
      </c>
      <c r="Q757" s="29" cm="1">
        <f t="array" ref="Q757">IF(表成绩单[[#This Row],[数学]]="","",SUMPRODUCT((表成绩单[考试日期]=表成绩单[[#This Row],[考试日期]])*(表成绩单[数学]&lt;9E+307)*(表成绩单[数学]&gt;表成绩单[[#This Row],[数学]]))+1)</f>
        <v>739</v>
      </c>
      <c r="R757" s="29" cm="1">
        <f t="array" ref="R757">IF(表成绩单[[#This Row],[英语]]="","",SUMPRODUCT((表成绩单[考试日期]=表成绩单[[#This Row],[考试日期]])*(表成绩单[英语]&lt;9E+307)*(表成绩单[英语]&gt;表成绩单[[#This Row],[英语]]))+1)</f>
        <v>642</v>
      </c>
      <c r="S757" s="29" cm="1">
        <f t="array" ref="S757">IF(表成绩单[[#This Row],[物理]]="","",SUMPRODUCT((表成绩单[考试日期]=表成绩单[[#This Row],[考试日期]])*(表成绩单[物理]&lt;9E+307)*(表成绩单[物理]&gt;表成绩单[[#This Row],[物理]]))+1)</f>
        <v>737</v>
      </c>
      <c r="T757" s="29" cm="1">
        <f t="array" ref="T757">IF(表成绩单[[#This Row],[化学]]="","",SUMPRODUCT((表成绩单[考试日期]=表成绩单[[#This Row],[考试日期]])*(表成绩单[化学]&lt;9E+307)*(表成绩单[化学]&gt;表成绩单[[#This Row],[化学]]))+1)</f>
        <v>760</v>
      </c>
      <c r="U757" s="29" cm="1">
        <f t="array" ref="U757">IF(表成绩单[[#This Row],[政治]]="","",SUMPRODUCT((表成绩单[考试日期]=表成绩单[[#This Row],[考试日期]])*(表成绩单[政治]&lt;9E+307)*(表成绩单[政治]&gt;表成绩单[[#This Row],[政治]]))+1)</f>
        <v>774</v>
      </c>
      <c r="V757" s="29" cm="1">
        <f t="array" ref="V757">IF(表成绩单[[#This Row],[历史]]="","",SUMPRODUCT((表成绩单[考试日期]=表成绩单[[#This Row],[考试日期]])*(表成绩单[历史]&lt;9E+307)*(表成绩单[历史]&gt;表成绩单[[#This Row],[历史]]))+1)</f>
        <v>752</v>
      </c>
      <c r="W757" s="29" cm="1">
        <f t="array" ref="W757">IF(表成绩单[[#This Row],[总分]]="","",SUMPRODUCT((表成绩单[考试日期]=表成绩单[[#This Row],[考试日期]])*(表成绩单[总分]&lt;9E+307)*(表成绩单[总分]&gt;表成绩单[[#This Row],[总分]]))+1)</f>
        <v>753</v>
      </c>
    </row>
    <row r="758" ht="28" customHeight="1" spans="4:23">
      <c r="D758" s="31">
        <v>45975</v>
      </c>
      <c r="E758" s="29">
        <v>19173778</v>
      </c>
      <c r="F758" s="29" t="s">
        <v>65</v>
      </c>
      <c r="G758" s="29" t="s">
        <v>831</v>
      </c>
      <c r="H758" s="29">
        <v>67</v>
      </c>
      <c r="I758" s="29">
        <v>55</v>
      </c>
      <c r="J758" s="29">
        <v>38.5</v>
      </c>
      <c r="K758" s="29">
        <v>58</v>
      </c>
      <c r="L758" s="29">
        <v>55</v>
      </c>
      <c r="M758" s="29">
        <v>60</v>
      </c>
      <c r="N758" s="29">
        <v>61</v>
      </c>
      <c r="O758" s="32">
        <v>394.5</v>
      </c>
      <c r="P758" s="29" cm="1">
        <f t="array" ref="P758">IF(表成绩单[[#This Row],[语文]]="","",SUMPRODUCT((表成绩单[考试日期]=表成绩单[[#This Row],[考试日期]])*(表成绩单[语文]&lt;9E+307)*(表成绩单[语文]&gt;表成绩单[[#This Row],[语文]]))+1)</f>
        <v>777</v>
      </c>
      <c r="Q758" s="29" cm="1">
        <f t="array" ref="Q758">IF(表成绩单[[#This Row],[数学]]="","",SUMPRODUCT((表成绩单[考试日期]=表成绩单[[#This Row],[考试日期]])*(表成绩单[数学]&lt;9E+307)*(表成绩单[数学]&gt;表成绩单[[#This Row],[数学]]))+1)</f>
        <v>744</v>
      </c>
      <c r="R758" s="29" cm="1">
        <f t="array" ref="R758">IF(表成绩单[[#This Row],[英语]]="","",SUMPRODUCT((表成绩单[考试日期]=表成绩单[[#This Row],[考试日期]])*(表成绩单[英语]&lt;9E+307)*(表成绩单[英语]&gt;表成绩单[[#This Row],[英语]]))+1)</f>
        <v>768</v>
      </c>
      <c r="S758" s="29" cm="1">
        <f t="array" ref="S758">IF(表成绩单[[#This Row],[物理]]="","",SUMPRODUCT((表成绩单[考试日期]=表成绩单[[#This Row],[考试日期]])*(表成绩单[物理]&lt;9E+307)*(表成绩单[物理]&gt;表成绩单[[#This Row],[物理]]))+1)</f>
        <v>726</v>
      </c>
      <c r="T758" s="29" cm="1">
        <f t="array" ref="T758">IF(表成绩单[[#This Row],[化学]]="","",SUMPRODUCT((表成绩单[考试日期]=表成绩单[[#This Row],[考试日期]])*(表成绩单[化学]&lt;9E+307)*(表成绩单[化学]&gt;表成绩单[[#This Row],[化学]]))+1)</f>
        <v>692</v>
      </c>
      <c r="U758" s="29" cm="1">
        <f t="array" ref="U758">IF(表成绩单[[#This Row],[政治]]="","",SUMPRODUCT((表成绩单[考试日期]=表成绩单[[#This Row],[考试日期]])*(表成绩单[政治]&lt;9E+307)*(表成绩单[政治]&gt;表成绩单[[#This Row],[政治]]))+1)</f>
        <v>671</v>
      </c>
      <c r="V758" s="29" cm="1">
        <f t="array" ref="V758">IF(表成绩单[[#This Row],[历史]]="","",SUMPRODUCT((表成绩单[考试日期]=表成绩单[[#This Row],[考试日期]])*(表成绩单[历史]&lt;9E+307)*(表成绩单[历史]&gt;表成绩单[[#This Row],[历史]]))+1)</f>
        <v>702</v>
      </c>
      <c r="W758" s="29" cm="1">
        <f t="array" ref="W758">IF(表成绩单[[#This Row],[总分]]="","",SUMPRODUCT((表成绩单[考试日期]=表成绩单[[#This Row],[考试日期]])*(表成绩单[总分]&lt;9E+307)*(表成绩单[总分]&gt;表成绩单[[#This Row],[总分]]))+1)</f>
        <v>754</v>
      </c>
    </row>
    <row r="759" ht="28" customHeight="1" spans="4:23">
      <c r="D759" s="31">
        <v>45975</v>
      </c>
      <c r="E759" s="29">
        <v>19177622</v>
      </c>
      <c r="F759" s="29" t="s">
        <v>58</v>
      </c>
      <c r="G759" s="29" t="s">
        <v>832</v>
      </c>
      <c r="H759" s="29">
        <v>78</v>
      </c>
      <c r="I759" s="29">
        <v>41</v>
      </c>
      <c r="J759" s="29">
        <v>45.5</v>
      </c>
      <c r="K759" s="29">
        <v>72</v>
      </c>
      <c r="L759" s="29">
        <v>56</v>
      </c>
      <c r="M759" s="29">
        <v>56</v>
      </c>
      <c r="N759" s="29">
        <v>43</v>
      </c>
      <c r="O759" s="32">
        <v>391.5</v>
      </c>
      <c r="P759" s="29" cm="1">
        <f t="array" ref="P759">IF(表成绩单[[#This Row],[语文]]="","",SUMPRODUCT((表成绩单[考试日期]=表成绩单[[#This Row],[考试日期]])*(表成绩单[语文]&lt;9E+307)*(表成绩单[语文]&gt;表成绩单[[#This Row],[语文]]))+1)</f>
        <v>728</v>
      </c>
      <c r="Q759" s="29" cm="1">
        <f t="array" ref="Q759">IF(表成绩单[[#This Row],[数学]]="","",SUMPRODUCT((表成绩单[考试日期]=表成绩单[[#This Row],[考试日期]])*(表成绩单[数学]&lt;9E+307)*(表成绩单[数学]&gt;表成绩单[[#This Row],[数学]]))+1)</f>
        <v>772</v>
      </c>
      <c r="R759" s="29" cm="1">
        <f t="array" ref="R759">IF(表成绩单[[#This Row],[英语]]="","",SUMPRODUCT((表成绩单[考试日期]=表成绩单[[#This Row],[考试日期]])*(表成绩单[英语]&lt;9E+307)*(表成绩单[英语]&gt;表成绩单[[#This Row],[英语]]))+1)</f>
        <v>746</v>
      </c>
      <c r="S759" s="29" cm="1">
        <f t="array" ref="S759">IF(表成绩单[[#This Row],[物理]]="","",SUMPRODUCT((表成绩单[考试日期]=表成绩单[[#This Row],[考试日期]])*(表成绩单[物理]&lt;9E+307)*(表成绩单[物理]&gt;表成绩单[[#This Row],[物理]]))+1)</f>
        <v>633</v>
      </c>
      <c r="T759" s="29" cm="1">
        <f t="array" ref="T759">IF(表成绩单[[#This Row],[化学]]="","",SUMPRODUCT((表成绩单[考试日期]=表成绩单[[#This Row],[考试日期]])*(表成绩单[化学]&lt;9E+307)*(表成绩单[化学]&gt;表成绩单[[#This Row],[化学]]))+1)</f>
        <v>680</v>
      </c>
      <c r="U759" s="29" cm="1">
        <f t="array" ref="U759">IF(表成绩单[[#This Row],[政治]]="","",SUMPRODUCT((表成绩单[考试日期]=表成绩单[[#This Row],[考试日期]])*(表成绩单[政治]&lt;9E+307)*(表成绩单[政治]&gt;表成绩单[[#This Row],[政治]]))+1)</f>
        <v>706</v>
      </c>
      <c r="V759" s="29" cm="1">
        <f t="array" ref="V759">IF(表成绩单[[#This Row],[历史]]="","",SUMPRODUCT((表成绩单[考试日期]=表成绩单[[#This Row],[考试日期]])*(表成绩单[历史]&lt;9E+307)*(表成绩单[历史]&gt;表成绩单[[#This Row],[历史]]))+1)</f>
        <v>782</v>
      </c>
      <c r="W759" s="29" cm="1">
        <f t="array" ref="W759">IF(表成绩单[[#This Row],[总分]]="","",SUMPRODUCT((表成绩单[考试日期]=表成绩单[[#This Row],[考试日期]])*(表成绩单[总分]&lt;9E+307)*(表成绩单[总分]&gt;表成绩单[[#This Row],[总分]]))+1)</f>
        <v>755</v>
      </c>
    </row>
    <row r="760" ht="28" customHeight="1" spans="4:23">
      <c r="D760" s="31">
        <v>45975</v>
      </c>
      <c r="E760" s="29">
        <v>19175292</v>
      </c>
      <c r="F760" s="29" t="s">
        <v>55</v>
      </c>
      <c r="G760" s="29" t="s">
        <v>833</v>
      </c>
      <c r="H760" s="29">
        <v>81</v>
      </c>
      <c r="I760" s="29">
        <v>68</v>
      </c>
      <c r="J760" s="29">
        <v>56</v>
      </c>
      <c r="K760" s="29">
        <v>35</v>
      </c>
      <c r="L760" s="29">
        <v>51</v>
      </c>
      <c r="M760" s="29">
        <v>57</v>
      </c>
      <c r="N760" s="29">
        <v>42</v>
      </c>
      <c r="O760" s="32">
        <v>390</v>
      </c>
      <c r="P760" s="29" cm="1">
        <f t="array" ref="P760">IF(表成绩单[[#This Row],[语文]]="","",SUMPRODUCT((表成绩单[考试日期]=表成绩单[[#This Row],[考试日期]])*(表成绩单[语文]&lt;9E+307)*(表成绩单[语文]&gt;表成绩单[[#This Row],[语文]]))+1)</f>
        <v>688</v>
      </c>
      <c r="Q760" s="29" cm="1">
        <f t="array" ref="Q760">IF(表成绩单[[#This Row],[数学]]="","",SUMPRODUCT((表成绩单[考试日期]=表成绩单[[#This Row],[考试日期]])*(表成绩单[数学]&lt;9E+307)*(表成绩单[数学]&gt;表成绩单[[#This Row],[数学]]))+1)</f>
        <v>696</v>
      </c>
      <c r="R760" s="29" cm="1">
        <f t="array" ref="R760">IF(表成绩单[[#This Row],[英语]]="","",SUMPRODUCT((表成绩单[考试日期]=表成绩单[[#This Row],[考试日期]])*(表成绩单[英语]&lt;9E+307)*(表成绩单[英语]&gt;表成绩单[[#This Row],[英语]]))+1)</f>
        <v>696</v>
      </c>
      <c r="S760" s="29" cm="1">
        <f t="array" ref="S760">IF(表成绩单[[#This Row],[物理]]="","",SUMPRODUCT((表成绩单[考试日期]=表成绩单[[#This Row],[考试日期]])*(表成绩单[物理]&lt;9E+307)*(表成绩单[物理]&gt;表成绩单[[#This Row],[物理]]))+1)</f>
        <v>790</v>
      </c>
      <c r="T760" s="29" cm="1">
        <f t="array" ref="T760">IF(表成绩单[[#This Row],[化学]]="","",SUMPRODUCT((表成绩单[考试日期]=表成绩单[[#This Row],[考试日期]])*(表成绩单[化学]&lt;9E+307)*(表成绩单[化学]&gt;表成绩单[[#This Row],[化学]]))+1)</f>
        <v>730</v>
      </c>
      <c r="U760" s="29" cm="1">
        <f t="array" ref="U760">IF(表成绩单[[#This Row],[政治]]="","",SUMPRODUCT((表成绩单[考试日期]=表成绩单[[#This Row],[考试日期]])*(表成绩单[政治]&lt;9E+307)*(表成绩单[政治]&gt;表成绩单[[#This Row],[政治]]))+1)</f>
        <v>698</v>
      </c>
      <c r="V760" s="29" cm="1">
        <f t="array" ref="V760">IF(表成绩单[[#This Row],[历史]]="","",SUMPRODUCT((表成绩单[考试日期]=表成绩单[[#This Row],[考试日期]])*(表成绩单[历史]&lt;9E+307)*(表成绩单[历史]&gt;表成绩单[[#This Row],[历史]]))+1)</f>
        <v>785</v>
      </c>
      <c r="W760" s="29" cm="1">
        <f t="array" ref="W760">IF(表成绩单[[#This Row],[总分]]="","",SUMPRODUCT((表成绩单[考试日期]=表成绩单[[#This Row],[考试日期]])*(表成绩单[总分]&lt;9E+307)*(表成绩单[总分]&gt;表成绩单[[#This Row],[总分]]))+1)</f>
        <v>756</v>
      </c>
    </row>
    <row r="761" ht="28" customHeight="1" spans="4:23">
      <c r="D761" s="31">
        <v>45975</v>
      </c>
      <c r="E761" s="29">
        <v>19172622</v>
      </c>
      <c r="F761" s="29" t="s">
        <v>60</v>
      </c>
      <c r="G761" s="29" t="s">
        <v>834</v>
      </c>
      <c r="H761" s="29">
        <v>66</v>
      </c>
      <c r="I761" s="29">
        <v>87</v>
      </c>
      <c r="J761" s="29">
        <v>32.5</v>
      </c>
      <c r="K761" s="29">
        <v>57</v>
      </c>
      <c r="L761" s="29">
        <v>29</v>
      </c>
      <c r="M761" s="29">
        <v>61</v>
      </c>
      <c r="N761" s="29">
        <v>57</v>
      </c>
      <c r="O761" s="32">
        <v>389.5</v>
      </c>
      <c r="P761" s="29" cm="1">
        <f t="array" ref="P761">IF(表成绩单[[#This Row],[语文]]="","",SUMPRODUCT((表成绩单[考试日期]=表成绩单[[#This Row],[考试日期]])*(表成绩单[语文]&lt;9E+307)*(表成绩单[语文]&gt;表成绩单[[#This Row],[语文]]))+1)</f>
        <v>780</v>
      </c>
      <c r="Q761" s="29" cm="1">
        <f t="array" ref="Q761">IF(表成绩单[[#This Row],[数学]]="","",SUMPRODUCT((表成绩单[考试日期]=表成绩单[[#This Row],[考试日期]])*(表成绩单[数学]&lt;9E+307)*(表成绩单[数学]&gt;表成绩单[[#This Row],[数学]]))+1)</f>
        <v>547</v>
      </c>
      <c r="R761" s="29" cm="1">
        <f t="array" ref="R761">IF(表成绩单[[#This Row],[英语]]="","",SUMPRODUCT((表成绩单[考试日期]=表成绩单[[#This Row],[考试日期]])*(表成绩单[英语]&lt;9E+307)*(表成绩单[英语]&gt;表成绩单[[#This Row],[英语]]))+1)</f>
        <v>776</v>
      </c>
      <c r="S761" s="29" cm="1">
        <f t="array" ref="S761">IF(表成绩单[[#This Row],[物理]]="","",SUMPRODUCT((表成绩单[考试日期]=表成绩单[[#This Row],[考试日期]])*(表成绩单[物理]&lt;9E+307)*(表成绩单[物理]&gt;表成绩单[[#This Row],[物理]]))+1)</f>
        <v>731</v>
      </c>
      <c r="T761" s="29" cm="1">
        <f t="array" ref="T761">IF(表成绩单[[#This Row],[化学]]="","",SUMPRODUCT((表成绩单[考试日期]=表成绩单[[#This Row],[考试日期]])*(表成绩单[化学]&lt;9E+307)*(表成绩单[化学]&gt;表成绩单[[#This Row],[化学]]))+1)</f>
        <v>791</v>
      </c>
      <c r="U761" s="29" cm="1">
        <f t="array" ref="U761">IF(表成绩单[[#This Row],[政治]]="","",SUMPRODUCT((表成绩单[考试日期]=表成绩单[[#This Row],[考试日期]])*(表成绩单[政治]&lt;9E+307)*(表成绩单[政治]&gt;表成绩单[[#This Row],[政治]]))+1)</f>
        <v>644</v>
      </c>
      <c r="V761" s="29" cm="1">
        <f t="array" ref="V761">IF(表成绩单[[#This Row],[历史]]="","",SUMPRODUCT((表成绩单[考试日期]=表成绩单[[#This Row],[考试日期]])*(表成绩单[历史]&lt;9E+307)*(表成绩单[历史]&gt;表成绩单[[#This Row],[历史]]))+1)</f>
        <v>740</v>
      </c>
      <c r="W761" s="29" cm="1">
        <f t="array" ref="W761">IF(表成绩单[[#This Row],[总分]]="","",SUMPRODUCT((表成绩单[考试日期]=表成绩单[[#This Row],[考试日期]])*(表成绩单[总分]&lt;9E+307)*(表成绩单[总分]&gt;表成绩单[[#This Row],[总分]]))+1)</f>
        <v>757</v>
      </c>
    </row>
    <row r="762" ht="28" customHeight="1" spans="4:23">
      <c r="D762" s="31">
        <v>45975</v>
      </c>
      <c r="E762" s="29">
        <v>19173768</v>
      </c>
      <c r="F762" s="29" t="s">
        <v>65</v>
      </c>
      <c r="G762" s="29" t="s">
        <v>835</v>
      </c>
      <c r="H762" s="29">
        <v>77</v>
      </c>
      <c r="I762" s="29">
        <v>32</v>
      </c>
      <c r="J762" s="29">
        <v>55</v>
      </c>
      <c r="K762" s="29">
        <v>55</v>
      </c>
      <c r="L762" s="29">
        <v>42</v>
      </c>
      <c r="M762" s="29">
        <v>61</v>
      </c>
      <c r="N762" s="29">
        <v>67</v>
      </c>
      <c r="O762" s="32">
        <v>389</v>
      </c>
      <c r="P762" s="29" cm="1">
        <f t="array" ref="P762">IF(表成绩单[[#This Row],[语文]]="","",SUMPRODUCT((表成绩单[考试日期]=表成绩单[[#This Row],[考试日期]])*(表成绩单[语文]&lt;9E+307)*(表成绩单[语文]&gt;表成绩单[[#This Row],[语文]]))+1)</f>
        <v>737</v>
      </c>
      <c r="Q762" s="29" cm="1">
        <f t="array" ref="Q762">IF(表成绩单[[#This Row],[数学]]="","",SUMPRODUCT((表成绩单[考试日期]=表成绩单[[#This Row],[考试日期]])*(表成绩单[数学]&lt;9E+307)*(表成绩单[数学]&gt;表成绩单[[#This Row],[数学]]))+1)</f>
        <v>781</v>
      </c>
      <c r="R762" s="29" cm="1">
        <f t="array" ref="R762">IF(表成绩单[[#This Row],[英语]]="","",SUMPRODUCT((表成绩单[考试日期]=表成绩单[[#This Row],[考试日期]])*(表成绩单[英语]&lt;9E+307)*(表成绩单[英语]&gt;表成绩单[[#This Row],[英语]]))+1)</f>
        <v>699</v>
      </c>
      <c r="S762" s="29" cm="1">
        <f t="array" ref="S762">IF(表成绩单[[#This Row],[物理]]="","",SUMPRODUCT((表成绩单[考试日期]=表成绩单[[#This Row],[考试日期]])*(表成绩单[物理]&lt;9E+307)*(表成绩单[物理]&gt;表成绩单[[#This Row],[物理]]))+1)</f>
        <v>741</v>
      </c>
      <c r="T762" s="29" cm="1">
        <f t="array" ref="T762">IF(表成绩单[[#This Row],[化学]]="","",SUMPRODUCT((表成绩单[考试日期]=表成绩单[[#This Row],[考试日期]])*(表成绩单[化学]&lt;9E+307)*(表成绩单[化学]&gt;表成绩单[[#This Row],[化学]]))+1)</f>
        <v>772</v>
      </c>
      <c r="U762" s="29" cm="1">
        <f t="array" ref="U762">IF(表成绩单[[#This Row],[政治]]="","",SUMPRODUCT((表成绩单[考试日期]=表成绩单[[#This Row],[考试日期]])*(表成绩单[政治]&lt;9E+307)*(表成绩单[政治]&gt;表成绩单[[#This Row],[政治]]))+1)</f>
        <v>644</v>
      </c>
      <c r="V762" s="29" cm="1">
        <f t="array" ref="V762">IF(表成绩单[[#This Row],[历史]]="","",SUMPRODUCT((表成绩单[考试日期]=表成绩单[[#This Row],[考试日期]])*(表成绩单[历史]&lt;9E+307)*(表成绩单[历史]&gt;表成绩单[[#This Row],[历史]]))+1)</f>
        <v>597</v>
      </c>
      <c r="W762" s="29" cm="1">
        <f t="array" ref="W762">IF(表成绩单[[#This Row],[总分]]="","",SUMPRODUCT((表成绩单[考试日期]=表成绩单[[#This Row],[考试日期]])*(表成绩单[总分]&lt;9E+307)*(表成绩单[总分]&gt;表成绩单[[#This Row],[总分]]))+1)</f>
        <v>758</v>
      </c>
    </row>
    <row r="763" ht="28" customHeight="1" spans="4:23">
      <c r="D763" s="31">
        <v>45975</v>
      </c>
      <c r="E763" s="29">
        <v>19177621</v>
      </c>
      <c r="F763" s="29" t="s">
        <v>58</v>
      </c>
      <c r="G763" s="29" t="s">
        <v>836</v>
      </c>
      <c r="H763" s="29">
        <v>68</v>
      </c>
      <c r="I763" s="29">
        <v>57</v>
      </c>
      <c r="J763" s="29">
        <v>50.5</v>
      </c>
      <c r="K763" s="29">
        <v>56</v>
      </c>
      <c r="L763" s="29">
        <v>52</v>
      </c>
      <c r="M763" s="29">
        <v>48</v>
      </c>
      <c r="N763" s="29">
        <v>55</v>
      </c>
      <c r="O763" s="32">
        <v>386.5</v>
      </c>
      <c r="P763" s="29" cm="1">
        <f t="array" ref="P763">IF(表成绩单[[#This Row],[语文]]="","",SUMPRODUCT((表成绩单[考试日期]=表成绩单[[#This Row],[考试日期]])*(表成绩单[语文]&lt;9E+307)*(表成绩单[语文]&gt;表成绩单[[#This Row],[语文]]))+1)</f>
        <v>774</v>
      </c>
      <c r="Q763" s="29" cm="1">
        <f t="array" ref="Q763">IF(表成绩单[[#This Row],[数学]]="","",SUMPRODUCT((表成绩单[考试日期]=表成绩单[[#This Row],[考试日期]])*(表成绩单[数学]&lt;9E+307)*(表成绩单[数学]&gt;表成绩单[[#This Row],[数学]]))+1)</f>
        <v>739</v>
      </c>
      <c r="R763" s="29" cm="1">
        <f t="array" ref="R763">IF(表成绩单[[#This Row],[英语]]="","",SUMPRODUCT((表成绩单[考试日期]=表成绩单[[#This Row],[考试日期]])*(表成绩单[英语]&lt;9E+307)*(表成绩单[英语]&gt;表成绩单[[#This Row],[英语]]))+1)</f>
        <v>720</v>
      </c>
      <c r="S763" s="29" cm="1">
        <f t="array" ref="S763">IF(表成绩单[[#This Row],[物理]]="","",SUMPRODUCT((表成绩单[考试日期]=表成绩单[[#This Row],[考试日期]])*(表成绩单[物理]&lt;9E+307)*(表成绩单[物理]&gt;表成绩单[[#This Row],[物理]]))+1)</f>
        <v>737</v>
      </c>
      <c r="T763" s="29" cm="1">
        <f t="array" ref="T763">IF(表成绩单[[#This Row],[化学]]="","",SUMPRODUCT((表成绩单[考试日期]=表成绩单[[#This Row],[考试日期]])*(表成绩单[化学]&lt;9E+307)*(表成绩单[化学]&gt;表成绩单[[#This Row],[化学]]))+1)</f>
        <v>723</v>
      </c>
      <c r="U763" s="29" cm="1">
        <f t="array" ref="U763">IF(表成绩单[[#This Row],[政治]]="","",SUMPRODUCT((表成绩单[考试日期]=表成绩单[[#This Row],[考试日期]])*(表成绩单[政治]&lt;9E+307)*(表成绩单[政治]&gt;表成绩单[[#This Row],[政治]]))+1)</f>
        <v>768</v>
      </c>
      <c r="V763" s="29" cm="1">
        <f t="array" ref="V763">IF(表成绩单[[#This Row],[历史]]="","",SUMPRODUCT((表成绩单[考试日期]=表成绩单[[#This Row],[考试日期]])*(表成绩单[历史]&lt;9E+307)*(表成绩单[历史]&gt;表成绩单[[#This Row],[历史]]))+1)</f>
        <v>749</v>
      </c>
      <c r="W763" s="29" cm="1">
        <f t="array" ref="W763">IF(表成绩单[[#This Row],[总分]]="","",SUMPRODUCT((表成绩单[考试日期]=表成绩单[[#This Row],[考试日期]])*(表成绩单[总分]&lt;9E+307)*(表成绩单[总分]&gt;表成绩单[[#This Row],[总分]]))+1)</f>
        <v>760</v>
      </c>
    </row>
    <row r="764" ht="28" customHeight="1" spans="4:23">
      <c r="D764" s="31">
        <v>45975</v>
      </c>
      <c r="E764" s="29">
        <v>19173770</v>
      </c>
      <c r="F764" s="29" t="s">
        <v>65</v>
      </c>
      <c r="G764" s="29" t="s">
        <v>837</v>
      </c>
      <c r="H764" s="29">
        <v>78</v>
      </c>
      <c r="I764" s="29">
        <v>42</v>
      </c>
      <c r="J764" s="29">
        <v>67</v>
      </c>
      <c r="K764" s="29">
        <v>51</v>
      </c>
      <c r="L764" s="29">
        <v>34</v>
      </c>
      <c r="M764" s="29">
        <v>51</v>
      </c>
      <c r="N764" s="29">
        <v>59</v>
      </c>
      <c r="O764" s="32">
        <v>382</v>
      </c>
      <c r="P764" s="29" cm="1">
        <f t="array" ref="P764">IF(表成绩单[[#This Row],[语文]]="","",SUMPRODUCT((表成绩单[考试日期]=表成绩单[[#This Row],[考试日期]])*(表成绩单[语文]&lt;9E+307)*(表成绩单[语文]&gt;表成绩单[[#This Row],[语文]]))+1)</f>
        <v>728</v>
      </c>
      <c r="Q764" s="29" cm="1">
        <f t="array" ref="Q764">IF(表成绩单[[#This Row],[数学]]="","",SUMPRODUCT((表成绩单[考试日期]=表成绩单[[#This Row],[考试日期]])*(表成绩单[数学]&lt;9E+307)*(表成绩单[数学]&gt;表成绩单[[#This Row],[数学]]))+1)</f>
        <v>770</v>
      </c>
      <c r="R764" s="29" cm="1">
        <f t="array" ref="R764">IF(表成绩单[[#This Row],[英语]]="","",SUMPRODUCT((表成绩单[考试日期]=表成绩单[[#This Row],[考试日期]])*(表成绩单[英语]&lt;9E+307)*(表成绩单[英语]&gt;表成绩单[[#This Row],[英语]]))+1)</f>
        <v>596</v>
      </c>
      <c r="S764" s="29" cm="1">
        <f t="array" ref="S764">IF(表成绩单[[#This Row],[物理]]="","",SUMPRODUCT((表成绩单[考试日期]=表成绩单[[#This Row],[考试日期]])*(表成绩单[物理]&lt;9E+307)*(表成绩单[物理]&gt;表成绩单[[#This Row],[物理]]))+1)</f>
        <v>758</v>
      </c>
      <c r="T764" s="29" cm="1">
        <f t="array" ref="T764">IF(表成绩单[[#This Row],[化学]]="","",SUMPRODUCT((表成绩单[考试日期]=表成绩单[[#This Row],[考试日期]])*(表成绩单[化学]&lt;9E+307)*(表成绩单[化学]&gt;表成绩单[[#This Row],[化学]]))+1)</f>
        <v>785</v>
      </c>
      <c r="U764" s="29" cm="1">
        <f t="array" ref="U764">IF(表成绩单[[#This Row],[政治]]="","",SUMPRODUCT((表成绩单[考试日期]=表成绩单[[#This Row],[考试日期]])*(表成绩单[政治]&lt;9E+307)*(表成绩单[政治]&gt;表成绩单[[#This Row],[政治]]))+1)</f>
        <v>753</v>
      </c>
      <c r="V764" s="29" cm="1">
        <f t="array" ref="V764">IF(表成绩单[[#This Row],[历史]]="","",SUMPRODUCT((表成绩单[考试日期]=表成绩单[[#This Row],[考试日期]])*(表成绩单[历史]&lt;9E+307)*(表成绩单[历史]&gt;表成绩单[[#This Row],[历史]]))+1)</f>
        <v>724</v>
      </c>
      <c r="W764" s="29" cm="1">
        <f t="array" ref="W764">IF(表成绩单[[#This Row],[总分]]="","",SUMPRODUCT((表成绩单[考试日期]=表成绩单[[#This Row],[考试日期]])*(表成绩单[总分]&lt;9E+307)*(表成绩单[总分]&gt;表成绩单[[#This Row],[总分]]))+1)</f>
        <v>761</v>
      </c>
    </row>
    <row r="765" ht="28" customHeight="1" spans="4:23">
      <c r="D765" s="31">
        <v>45975</v>
      </c>
      <c r="E765" s="29">
        <v>19172642</v>
      </c>
      <c r="F765" s="29" t="s">
        <v>60</v>
      </c>
      <c r="G765" s="29" t="s">
        <v>838</v>
      </c>
      <c r="H765" s="29">
        <v>82</v>
      </c>
      <c r="I765" s="29">
        <v>32</v>
      </c>
      <c r="J765" s="29">
        <v>55</v>
      </c>
      <c r="K765" s="29">
        <v>52</v>
      </c>
      <c r="L765" s="29">
        <v>56</v>
      </c>
      <c r="M765" s="29">
        <v>54</v>
      </c>
      <c r="N765" s="29">
        <v>50</v>
      </c>
      <c r="O765" s="32">
        <v>381</v>
      </c>
      <c r="P765" s="29" cm="1">
        <f t="array" ref="P765">IF(表成绩单[[#This Row],[语文]]="","",SUMPRODUCT((表成绩单[考试日期]=表成绩单[[#This Row],[考试日期]])*(表成绩单[语文]&lt;9E+307)*(表成绩单[语文]&gt;表成绩单[[#This Row],[语文]]))+1)</f>
        <v>682</v>
      </c>
      <c r="Q765" s="29" cm="1">
        <f t="array" ref="Q765">IF(表成绩单[[#This Row],[数学]]="","",SUMPRODUCT((表成绩单[考试日期]=表成绩单[[#This Row],[考试日期]])*(表成绩单[数学]&lt;9E+307)*(表成绩单[数学]&gt;表成绩单[[#This Row],[数学]]))+1)</f>
        <v>781</v>
      </c>
      <c r="R765" s="29" cm="1">
        <f t="array" ref="R765">IF(表成绩单[[#This Row],[英语]]="","",SUMPRODUCT((表成绩单[考试日期]=表成绩单[[#This Row],[考试日期]])*(表成绩单[英语]&lt;9E+307)*(表成绩单[英语]&gt;表成绩单[[#This Row],[英语]]))+1)</f>
        <v>699</v>
      </c>
      <c r="S765" s="29" cm="1">
        <f t="array" ref="S765">IF(表成绩单[[#This Row],[物理]]="","",SUMPRODUCT((表成绩单[考试日期]=表成绩单[[#This Row],[考试日期]])*(表成绩单[物理]&lt;9E+307)*(表成绩单[物理]&gt;表成绩单[[#This Row],[物理]]))+1)</f>
        <v>753</v>
      </c>
      <c r="T765" s="29" cm="1">
        <f t="array" ref="T765">IF(表成绩单[[#This Row],[化学]]="","",SUMPRODUCT((表成绩单[考试日期]=表成绩单[[#This Row],[考试日期]])*(表成绩单[化学]&lt;9E+307)*(表成绩单[化学]&gt;表成绩单[[#This Row],[化学]]))+1)</f>
        <v>680</v>
      </c>
      <c r="U765" s="29" cm="1">
        <f t="array" ref="U765">IF(表成绩单[[#This Row],[政治]]="","",SUMPRODUCT((表成绩单[考试日期]=表成绩单[[#This Row],[考试日期]])*(表成绩单[政治]&lt;9E+307)*(表成绩单[政治]&gt;表成绩单[[#This Row],[政治]]))+1)</f>
        <v>723</v>
      </c>
      <c r="V765" s="29" cm="1">
        <f t="array" ref="V765">IF(表成绩单[[#This Row],[历史]]="","",SUMPRODUCT((表成绩单[考试日期]=表成绩单[[#This Row],[考试日期]])*(表成绩单[历史]&lt;9E+307)*(表成绩单[历史]&gt;表成绩单[[#This Row],[历史]]))+1)</f>
        <v>770</v>
      </c>
      <c r="W765" s="29" cm="1">
        <f t="array" ref="W765">IF(表成绩单[[#This Row],[总分]]="","",SUMPRODUCT((表成绩单[考试日期]=表成绩单[[#This Row],[考试日期]])*(表成绩单[总分]&lt;9E+307)*(表成绩单[总分]&gt;表成绩单[[#This Row],[总分]]))+1)</f>
        <v>762</v>
      </c>
    </row>
    <row r="766" ht="28" customHeight="1" spans="4:23">
      <c r="D766" s="31">
        <v>45975</v>
      </c>
      <c r="E766" s="29">
        <v>19175989</v>
      </c>
      <c r="F766" s="29" t="s">
        <v>59</v>
      </c>
      <c r="G766" s="29" t="s">
        <v>839</v>
      </c>
      <c r="H766" s="29">
        <v>72</v>
      </c>
      <c r="I766" s="29">
        <v>53</v>
      </c>
      <c r="J766" s="29">
        <v>53</v>
      </c>
      <c r="K766" s="29">
        <v>52</v>
      </c>
      <c r="L766" s="29">
        <v>37</v>
      </c>
      <c r="M766" s="29">
        <v>53</v>
      </c>
      <c r="N766" s="29">
        <v>61</v>
      </c>
      <c r="O766" s="32">
        <v>381</v>
      </c>
      <c r="P766" s="29" cm="1">
        <f t="array" ref="P766">IF(表成绩单[[#This Row],[语文]]="","",SUMPRODUCT((表成绩单[考试日期]=表成绩单[[#This Row],[考试日期]])*(表成绩单[语文]&lt;9E+307)*(表成绩单[语文]&gt;表成绩单[[#This Row],[语文]]))+1)</f>
        <v>759</v>
      </c>
      <c r="Q766" s="29" cm="1">
        <f t="array" ref="Q766">IF(表成绩单[[#This Row],[数学]]="","",SUMPRODUCT((表成绩单[考试日期]=表成绩单[[#This Row],[考试日期]])*(表成绩单[数学]&lt;9E+307)*(表成绩单[数学]&gt;表成绩单[[#This Row],[数学]]))+1)</f>
        <v>749</v>
      </c>
      <c r="R766" s="29" cm="1">
        <f t="array" ref="R766">IF(表成绩单[[#This Row],[英语]]="","",SUMPRODUCT((表成绩单[考试日期]=表成绩单[[#This Row],[考试日期]])*(表成绩单[英语]&lt;9E+307)*(表成绩单[英语]&gt;表成绩单[[#This Row],[英语]]))+1)</f>
        <v>709</v>
      </c>
      <c r="S766" s="29" cm="1">
        <f t="array" ref="S766">IF(表成绩单[[#This Row],[物理]]="","",SUMPRODUCT((表成绩单[考试日期]=表成绩单[[#This Row],[考试日期]])*(表成绩单[物理]&lt;9E+307)*(表成绩单[物理]&gt;表成绩单[[#This Row],[物理]]))+1)</f>
        <v>753</v>
      </c>
      <c r="T766" s="29" cm="1">
        <f t="array" ref="T766">IF(表成绩单[[#This Row],[化学]]="","",SUMPRODUCT((表成绩单[考试日期]=表成绩单[[#This Row],[考试日期]])*(表成绩单[化学]&lt;9E+307)*(表成绩单[化学]&gt;表成绩单[[#This Row],[化学]]))+1)</f>
        <v>782</v>
      </c>
      <c r="U766" s="29" cm="1">
        <f t="array" ref="U766">IF(表成绩单[[#This Row],[政治]]="","",SUMPRODUCT((表成绩单[考试日期]=表成绩单[[#This Row],[考试日期]])*(表成绩单[政治]&lt;9E+307)*(表成绩单[政治]&gt;表成绩单[[#This Row],[政治]]))+1)</f>
        <v>734</v>
      </c>
      <c r="V766" s="29" cm="1">
        <f t="array" ref="V766">IF(表成绩单[[#This Row],[历史]]="","",SUMPRODUCT((表成绩单[考试日期]=表成绩单[[#This Row],[考试日期]])*(表成绩单[历史]&lt;9E+307)*(表成绩单[历史]&gt;表成绩单[[#This Row],[历史]]))+1)</f>
        <v>702</v>
      </c>
      <c r="W766" s="29" cm="1">
        <f t="array" ref="W766">IF(表成绩单[[#This Row],[总分]]="","",SUMPRODUCT((表成绩单[考试日期]=表成绩单[[#This Row],[考试日期]])*(表成绩单[总分]&lt;9E+307)*(表成绩单[总分]&gt;表成绩单[[#This Row],[总分]]))+1)</f>
        <v>762</v>
      </c>
    </row>
    <row r="767" ht="28" customHeight="1" spans="4:23">
      <c r="D767" s="31">
        <v>45975</v>
      </c>
      <c r="E767" s="29">
        <v>19176013</v>
      </c>
      <c r="F767" s="29" t="s">
        <v>59</v>
      </c>
      <c r="G767" s="29" t="s">
        <v>840</v>
      </c>
      <c r="H767" s="29">
        <v>64</v>
      </c>
      <c r="I767" s="29">
        <v>56</v>
      </c>
      <c r="J767" s="29">
        <v>38.5</v>
      </c>
      <c r="K767" s="29">
        <v>67</v>
      </c>
      <c r="L767" s="29">
        <v>65</v>
      </c>
      <c r="M767" s="29">
        <v>38</v>
      </c>
      <c r="N767" s="29">
        <v>51</v>
      </c>
      <c r="O767" s="32">
        <v>379.5</v>
      </c>
      <c r="P767" s="29" cm="1">
        <f t="array" ref="P767">IF(表成绩单[[#This Row],[语文]]="","",SUMPRODUCT((表成绩单[考试日期]=表成绩单[[#This Row],[考试日期]])*(表成绩单[语文]&lt;9E+307)*(表成绩单[语文]&gt;表成绩单[[#This Row],[语文]]))+1)</f>
        <v>785</v>
      </c>
      <c r="Q767" s="29" cm="1">
        <f t="array" ref="Q767">IF(表成绩单[[#This Row],[数学]]="","",SUMPRODUCT((表成绩单[考试日期]=表成绩单[[#This Row],[考试日期]])*(表成绩单[数学]&lt;9E+307)*(表成绩单[数学]&gt;表成绩单[[#This Row],[数学]]))+1)</f>
        <v>742</v>
      </c>
      <c r="R767" s="29" cm="1">
        <f t="array" ref="R767">IF(表成绩单[[#This Row],[英语]]="","",SUMPRODUCT((表成绩单[考试日期]=表成绩单[[#This Row],[考试日期]])*(表成绩单[英语]&lt;9E+307)*(表成绩单[英语]&gt;表成绩单[[#This Row],[英语]]))+1)</f>
        <v>768</v>
      </c>
      <c r="S767" s="29" cm="1">
        <f t="array" ref="S767">IF(表成绩单[[#This Row],[物理]]="","",SUMPRODUCT((表成绩单[考试日期]=表成绩单[[#This Row],[考试日期]])*(表成绩单[物理]&lt;9E+307)*(表成绩单[物理]&gt;表成绩单[[#This Row],[物理]]))+1)</f>
        <v>674</v>
      </c>
      <c r="T767" s="29" cm="1">
        <f t="array" ref="T767">IF(表成绩单[[#This Row],[化学]]="","",SUMPRODUCT((表成绩单[考试日期]=表成绩单[[#This Row],[考试日期]])*(表成绩单[化学]&lt;9E+307)*(表成绩单[化学]&gt;表成绩单[[#This Row],[化学]]))+1)</f>
        <v>559</v>
      </c>
      <c r="U767" s="29" cm="1">
        <f t="array" ref="U767">IF(表成绩单[[#This Row],[政治]]="","",SUMPRODUCT((表成绩单[考试日期]=表成绩单[[#This Row],[考试日期]])*(表成绩单[政治]&lt;9E+307)*(表成绩单[政治]&gt;表成绩单[[#This Row],[政治]]))+1)</f>
        <v>787</v>
      </c>
      <c r="V767" s="29" cm="1">
        <f t="array" ref="V767">IF(表成绩单[[#This Row],[历史]]="","",SUMPRODUCT((表成绩单[考试日期]=表成绩单[[#This Row],[考试日期]])*(表成绩单[历史]&lt;9E+307)*(表成绩单[历史]&gt;表成绩单[[#This Row],[历史]]))+1)</f>
        <v>767</v>
      </c>
      <c r="W767" s="29" cm="1">
        <f t="array" ref="W767">IF(表成绩单[[#This Row],[总分]]="","",SUMPRODUCT((表成绩单[考试日期]=表成绩单[[#This Row],[考试日期]])*(表成绩单[总分]&lt;9E+307)*(表成绩单[总分]&gt;表成绩单[[#This Row],[总分]]))+1)</f>
        <v>764</v>
      </c>
    </row>
    <row r="768" ht="28" customHeight="1" spans="4:23">
      <c r="D768" s="31">
        <v>45975</v>
      </c>
      <c r="E768" s="29">
        <v>19177607</v>
      </c>
      <c r="F768" s="29" t="s">
        <v>58</v>
      </c>
      <c r="G768" s="29" t="s">
        <v>841</v>
      </c>
      <c r="H768" s="29">
        <v>69</v>
      </c>
      <c r="I768" s="29">
        <v>49</v>
      </c>
      <c r="J768" s="29">
        <v>44.5</v>
      </c>
      <c r="K768" s="29">
        <v>56</v>
      </c>
      <c r="L768" s="29">
        <v>53</v>
      </c>
      <c r="M768" s="29">
        <v>52</v>
      </c>
      <c r="N768" s="29">
        <v>54</v>
      </c>
      <c r="O768" s="32">
        <v>377.5</v>
      </c>
      <c r="P768" s="29" cm="1">
        <f t="array" ref="P768">IF(表成绩单[[#This Row],[语文]]="","",SUMPRODUCT((表成绩单[考试日期]=表成绩单[[#This Row],[考试日期]])*(表成绩单[语文]&lt;9E+307)*(表成绩单[语文]&gt;表成绩单[[#This Row],[语文]]))+1)</f>
        <v>770</v>
      </c>
      <c r="Q768" s="29" cm="1">
        <f t="array" ref="Q768">IF(表成绩单[[#This Row],[数学]]="","",SUMPRODUCT((表成绩单[考试日期]=表成绩单[[#This Row],[考试日期]])*(表成绩单[数学]&lt;9E+307)*(表成绩单[数学]&gt;表成绩单[[#This Row],[数学]]))+1)</f>
        <v>757</v>
      </c>
      <c r="R768" s="29" cm="1">
        <f t="array" ref="R768">IF(表成绩单[[#This Row],[英语]]="","",SUMPRODUCT((表成绩单[考试日期]=表成绩单[[#This Row],[考试日期]])*(表成绩单[英语]&lt;9E+307)*(表成绩单[英语]&gt;表成绩单[[#This Row],[英语]]))+1)</f>
        <v>748</v>
      </c>
      <c r="S768" s="29" cm="1">
        <f t="array" ref="S768">IF(表成绩单[[#This Row],[物理]]="","",SUMPRODUCT((表成绩单[考试日期]=表成绩单[[#This Row],[考试日期]])*(表成绩单[物理]&lt;9E+307)*(表成绩单[物理]&gt;表成绩单[[#This Row],[物理]]))+1)</f>
        <v>737</v>
      </c>
      <c r="T768" s="29" cm="1">
        <f t="array" ref="T768">IF(表成绩单[[#This Row],[化学]]="","",SUMPRODUCT((表成绩单[考试日期]=表成绩单[[#This Row],[考试日期]])*(表成绩单[化学]&lt;9E+307)*(表成绩单[化学]&gt;表成绩单[[#This Row],[化学]]))+1)</f>
        <v>715</v>
      </c>
      <c r="U768" s="29" cm="1">
        <f t="array" ref="U768">IF(表成绩单[[#This Row],[政治]]="","",SUMPRODUCT((表成绩单[考试日期]=表成绩单[[#This Row],[考试日期]])*(表成绩单[政治]&lt;9E+307)*(表成绩单[政治]&gt;表成绩单[[#This Row],[政治]]))+1)</f>
        <v>743</v>
      </c>
      <c r="V768" s="29" cm="1">
        <f t="array" ref="V768">IF(表成绩单[[#This Row],[历史]]="","",SUMPRODUCT((表成绩单[考试日期]=表成绩单[[#This Row],[考试日期]])*(表成绩单[历史]&lt;9E+307)*(表成绩单[历史]&gt;表成绩单[[#This Row],[历史]]))+1)</f>
        <v>752</v>
      </c>
      <c r="W768" s="29" cm="1">
        <f t="array" ref="W768">IF(表成绩单[[#This Row],[总分]]="","",SUMPRODUCT((表成绩单[考试日期]=表成绩单[[#This Row],[考试日期]])*(表成绩单[总分]&lt;9E+307)*(表成绩单[总分]&gt;表成绩单[[#This Row],[总分]]))+1)</f>
        <v>765</v>
      </c>
    </row>
    <row r="769" ht="28" customHeight="1" spans="4:23">
      <c r="D769" s="31">
        <v>45975</v>
      </c>
      <c r="E769" s="29">
        <v>19175302</v>
      </c>
      <c r="F769" s="29" t="s">
        <v>55</v>
      </c>
      <c r="G769" s="29" t="s">
        <v>842</v>
      </c>
      <c r="H769" s="29">
        <v>74</v>
      </c>
      <c r="I769" s="29">
        <v>52</v>
      </c>
      <c r="J769" s="29">
        <v>50</v>
      </c>
      <c r="K769" s="29">
        <v>48</v>
      </c>
      <c r="L769" s="29">
        <v>45</v>
      </c>
      <c r="M769" s="29">
        <v>53</v>
      </c>
      <c r="N769" s="29">
        <v>50</v>
      </c>
      <c r="O769" s="32">
        <v>372</v>
      </c>
      <c r="P769" s="29" cm="1">
        <f t="array" ref="P769">IF(表成绩单[[#This Row],[语文]]="","",SUMPRODUCT((表成绩单[考试日期]=表成绩单[[#This Row],[考试日期]])*(表成绩单[语文]&lt;9E+307)*(表成绩单[语文]&gt;表成绩单[[#This Row],[语文]]))+1)</f>
        <v>754</v>
      </c>
      <c r="Q769" s="29" cm="1">
        <f t="array" ref="Q769">IF(表成绩单[[#This Row],[数学]]="","",SUMPRODUCT((表成绩单[考试日期]=表成绩单[[#This Row],[考试日期]])*(表成绩单[数学]&lt;9E+307)*(表成绩单[数学]&gt;表成绩单[[#This Row],[数学]]))+1)</f>
        <v>752</v>
      </c>
      <c r="R769" s="29" cm="1">
        <f t="array" ref="R769">IF(表成绩单[[#This Row],[英语]]="","",SUMPRODUCT((表成绩单[考试日期]=表成绩单[[#This Row],[考试日期]])*(表成绩单[英语]&lt;9E+307)*(表成绩单[英语]&gt;表成绩单[[#This Row],[英语]]))+1)</f>
        <v>726</v>
      </c>
      <c r="S769" s="29" cm="1">
        <f t="array" ref="S769">IF(表成绩单[[#This Row],[物理]]="","",SUMPRODUCT((表成绩单[考试日期]=表成绩单[[#This Row],[考试日期]])*(表成绩单[物理]&lt;9E+307)*(表成绩单[物理]&gt;表成绩单[[#This Row],[物理]]))+1)</f>
        <v>764</v>
      </c>
      <c r="T769" s="29" cm="1">
        <f t="array" ref="T769">IF(表成绩单[[#This Row],[化学]]="","",SUMPRODUCT((表成绩单[考试日期]=表成绩单[[#This Row],[考试日期]])*(表成绩单[化学]&lt;9E+307)*(表成绩单[化学]&gt;表成绩单[[#This Row],[化学]]))+1)</f>
        <v>760</v>
      </c>
      <c r="U769" s="29" cm="1">
        <f t="array" ref="U769">IF(表成绩单[[#This Row],[政治]]="","",SUMPRODUCT((表成绩单[考试日期]=表成绩单[[#This Row],[考试日期]])*(表成绩单[政治]&lt;9E+307)*(表成绩单[政治]&gt;表成绩单[[#This Row],[政治]]))+1)</f>
        <v>734</v>
      </c>
      <c r="V769" s="29" cm="1">
        <f t="array" ref="V769">IF(表成绩单[[#This Row],[历史]]="","",SUMPRODUCT((表成绩单[考试日期]=表成绩单[[#This Row],[考试日期]])*(表成绩单[历史]&lt;9E+307)*(表成绩单[历史]&gt;表成绩单[[#This Row],[历史]]))+1)</f>
        <v>770</v>
      </c>
      <c r="W769" s="29" cm="1">
        <f t="array" ref="W769">IF(表成绩单[[#This Row],[总分]]="","",SUMPRODUCT((表成绩单[考试日期]=表成绩单[[#This Row],[考试日期]])*(表成绩单[总分]&lt;9E+307)*(表成绩单[总分]&gt;表成绩单[[#This Row],[总分]]))+1)</f>
        <v>766</v>
      </c>
    </row>
    <row r="770" ht="28" customHeight="1" spans="4:23">
      <c r="D770" s="31">
        <v>45975</v>
      </c>
      <c r="E770" s="29">
        <v>19175623</v>
      </c>
      <c r="F770" s="29" t="s">
        <v>57</v>
      </c>
      <c r="G770" s="29" t="s">
        <v>843</v>
      </c>
      <c r="H770" s="29">
        <v>68</v>
      </c>
      <c r="I770" s="29">
        <v>63</v>
      </c>
      <c r="J770" s="29">
        <v>44.5</v>
      </c>
      <c r="K770" s="29">
        <v>45</v>
      </c>
      <c r="L770" s="29">
        <v>51</v>
      </c>
      <c r="M770" s="29">
        <v>57</v>
      </c>
      <c r="N770" s="29">
        <v>43</v>
      </c>
      <c r="O770" s="32">
        <v>371.5</v>
      </c>
      <c r="P770" s="29" cm="1">
        <f t="array" ref="P770">IF(表成绩单[[#This Row],[语文]]="","",SUMPRODUCT((表成绩单[考试日期]=表成绩单[[#This Row],[考试日期]])*(表成绩单[语文]&lt;9E+307)*(表成绩单[语文]&gt;表成绩单[[#This Row],[语文]]))+1)</f>
        <v>774</v>
      </c>
      <c r="Q770" s="29" cm="1">
        <f t="array" ref="Q770">IF(表成绩单[[#This Row],[数学]]="","",SUMPRODUCT((表成绩单[考试日期]=表成绩单[[#This Row],[考试日期]])*(表成绩单[数学]&lt;9E+307)*(表成绩单[数学]&gt;表成绩单[[#This Row],[数学]]))+1)</f>
        <v>717</v>
      </c>
      <c r="R770" s="29" cm="1">
        <f t="array" ref="R770">IF(表成绩单[[#This Row],[英语]]="","",SUMPRODUCT((表成绩单[考试日期]=表成绩单[[#This Row],[考试日期]])*(表成绩单[英语]&lt;9E+307)*(表成绩单[英语]&gt;表成绩单[[#This Row],[英语]]))+1)</f>
        <v>748</v>
      </c>
      <c r="S770" s="29" cm="1">
        <f t="array" ref="S770">IF(表成绩单[[#This Row],[物理]]="","",SUMPRODUCT((表成绩单[考试日期]=表成绩单[[#This Row],[考试日期]])*(表成绩单[物理]&lt;9E+307)*(表成绩单[物理]&gt;表成绩单[[#This Row],[物理]]))+1)</f>
        <v>777</v>
      </c>
      <c r="T770" s="29" cm="1">
        <f t="array" ref="T770">IF(表成绩单[[#This Row],[化学]]="","",SUMPRODUCT((表成绩单[考试日期]=表成绩单[[#This Row],[考试日期]])*(表成绩单[化学]&lt;9E+307)*(表成绩单[化学]&gt;表成绩单[[#This Row],[化学]]))+1)</f>
        <v>730</v>
      </c>
      <c r="U770" s="29" cm="1">
        <f t="array" ref="U770">IF(表成绩单[[#This Row],[政治]]="","",SUMPRODUCT((表成绩单[考试日期]=表成绩单[[#This Row],[考试日期]])*(表成绩单[政治]&lt;9E+307)*(表成绩单[政治]&gt;表成绩单[[#This Row],[政治]]))+1)</f>
        <v>698</v>
      </c>
      <c r="V770" s="29" cm="1">
        <f t="array" ref="V770">IF(表成绩单[[#This Row],[历史]]="","",SUMPRODUCT((表成绩单[考试日期]=表成绩单[[#This Row],[考试日期]])*(表成绩单[历史]&lt;9E+307)*(表成绩单[历史]&gt;表成绩单[[#This Row],[历史]]))+1)</f>
        <v>782</v>
      </c>
      <c r="W770" s="29" cm="1">
        <f t="array" ref="W770">IF(表成绩单[[#This Row],[总分]]="","",SUMPRODUCT((表成绩单[考试日期]=表成绩单[[#This Row],[考试日期]])*(表成绩单[总分]&lt;9E+307)*(表成绩单[总分]&gt;表成绩单[[#This Row],[总分]]))+1)</f>
        <v>767</v>
      </c>
    </row>
    <row r="771" ht="28" customHeight="1" spans="4:23">
      <c r="D771" s="31">
        <v>45975</v>
      </c>
      <c r="E771" s="29">
        <v>19177615</v>
      </c>
      <c r="F771" s="29" t="s">
        <v>58</v>
      </c>
      <c r="G771" s="29" t="s">
        <v>844</v>
      </c>
      <c r="H771" s="29">
        <v>73</v>
      </c>
      <c r="I771" s="29">
        <v>34</v>
      </c>
      <c r="J771" s="29">
        <v>39.5</v>
      </c>
      <c r="K771" s="29">
        <v>52</v>
      </c>
      <c r="L771" s="29">
        <v>50</v>
      </c>
      <c r="M771" s="29">
        <v>57</v>
      </c>
      <c r="N771" s="29">
        <v>64</v>
      </c>
      <c r="O771" s="32">
        <v>369.5</v>
      </c>
      <c r="P771" s="29" cm="1">
        <f t="array" ref="P771">IF(表成绩单[[#This Row],[语文]]="","",SUMPRODUCT((表成绩单[考试日期]=表成绩单[[#This Row],[考试日期]])*(表成绩单[语文]&lt;9E+307)*(表成绩单[语文]&gt;表成绩单[[#This Row],[语文]]))+1)</f>
        <v>756</v>
      </c>
      <c r="Q771" s="29" cm="1">
        <f t="array" ref="Q771">IF(表成绩单[[#This Row],[数学]]="","",SUMPRODUCT((表成绩单[考试日期]=表成绩单[[#This Row],[考试日期]])*(表成绩单[数学]&lt;9E+307)*(表成绩单[数学]&gt;表成绩单[[#This Row],[数学]]))+1)</f>
        <v>778</v>
      </c>
      <c r="R771" s="29" cm="1">
        <f t="array" ref="R771">IF(表成绩单[[#This Row],[英语]]="","",SUMPRODUCT((表成绩单[考试日期]=表成绩单[[#This Row],[考试日期]])*(表成绩单[英语]&lt;9E+307)*(表成绩单[英语]&gt;表成绩单[[#This Row],[英语]]))+1)</f>
        <v>763</v>
      </c>
      <c r="S771" s="29" cm="1">
        <f t="array" ref="S771">IF(表成绩单[[#This Row],[物理]]="","",SUMPRODUCT((表成绩单[考试日期]=表成绩单[[#This Row],[考试日期]])*(表成绩单[物理]&lt;9E+307)*(表成绩单[物理]&gt;表成绩单[[#This Row],[物理]]))+1)</f>
        <v>753</v>
      </c>
      <c r="T771" s="29" cm="1">
        <f t="array" ref="T771">IF(表成绩单[[#This Row],[化学]]="","",SUMPRODUCT((表成绩单[考试日期]=表成绩单[[#This Row],[考试日期]])*(表成绩单[化学]&lt;9E+307)*(表成绩单[化学]&gt;表成绩单[[#This Row],[化学]]))+1)</f>
        <v>736</v>
      </c>
      <c r="U771" s="29" cm="1">
        <f t="array" ref="U771">IF(表成绩单[[#This Row],[政治]]="","",SUMPRODUCT((表成绩单[考试日期]=表成绩单[[#This Row],[考试日期]])*(表成绩单[政治]&lt;9E+307)*(表成绩单[政治]&gt;表成绩单[[#This Row],[政治]]))+1)</f>
        <v>698</v>
      </c>
      <c r="V771" s="29" cm="1">
        <f t="array" ref="V771">IF(表成绩单[[#This Row],[历史]]="","",SUMPRODUCT((表成绩单[考试日期]=表成绩单[[#This Row],[考试日期]])*(表成绩单[历史]&lt;9E+307)*(表成绩单[历史]&gt;表成绩单[[#This Row],[历史]]))+1)</f>
        <v>660</v>
      </c>
      <c r="W771" s="29" cm="1">
        <f t="array" ref="W771">IF(表成绩单[[#This Row],[总分]]="","",SUMPRODUCT((表成绩单[考试日期]=表成绩单[[#This Row],[考试日期]])*(表成绩单[总分]&lt;9E+307)*(表成绩单[总分]&gt;表成绩单[[#This Row],[总分]]))+1)</f>
        <v>768</v>
      </c>
    </row>
    <row r="772" ht="28" customHeight="1" spans="4:23">
      <c r="D772" s="31">
        <v>45975</v>
      </c>
      <c r="E772" s="29">
        <v>19175597</v>
      </c>
      <c r="F772" s="29" t="s">
        <v>57</v>
      </c>
      <c r="G772" s="29" t="s">
        <v>845</v>
      </c>
      <c r="H772" s="29">
        <v>86</v>
      </c>
      <c r="I772" s="29">
        <v>42</v>
      </c>
      <c r="J772" s="29">
        <v>32.5</v>
      </c>
      <c r="K772" s="29">
        <v>46</v>
      </c>
      <c r="L772" s="29">
        <v>54</v>
      </c>
      <c r="M772" s="29">
        <v>48</v>
      </c>
      <c r="N772" s="29">
        <v>56</v>
      </c>
      <c r="O772" s="32">
        <v>364.5</v>
      </c>
      <c r="P772" s="29" cm="1">
        <f t="array" ref="P772">IF(表成绩单[[#This Row],[语文]]="","",SUMPRODUCT((表成绩单[考试日期]=表成绩单[[#This Row],[考试日期]])*(表成绩单[语文]&lt;9E+307)*(表成绩单[语文]&gt;表成绩单[[#This Row],[语文]]))+1)</f>
        <v>635</v>
      </c>
      <c r="Q772" s="29" cm="1">
        <f t="array" ref="Q772">IF(表成绩单[[#This Row],[数学]]="","",SUMPRODUCT((表成绩单[考试日期]=表成绩单[[#This Row],[考试日期]])*(表成绩单[数学]&lt;9E+307)*(表成绩单[数学]&gt;表成绩单[[#This Row],[数学]]))+1)</f>
        <v>770</v>
      </c>
      <c r="R772" s="29" cm="1">
        <f t="array" ref="R772">IF(表成绩单[[#This Row],[英语]]="","",SUMPRODUCT((表成绩单[考试日期]=表成绩单[[#This Row],[考试日期]])*(表成绩单[英语]&lt;9E+307)*(表成绩单[英语]&gt;表成绩单[[#This Row],[英语]]))+1)</f>
        <v>776</v>
      </c>
      <c r="S772" s="29" cm="1">
        <f t="array" ref="S772">IF(表成绩单[[#This Row],[物理]]="","",SUMPRODUCT((表成绩单[考试日期]=表成绩单[[#This Row],[考试日期]])*(表成绩单[物理]&lt;9E+307)*(表成绩单[物理]&gt;表成绩单[[#This Row],[物理]]))+1)</f>
        <v>772</v>
      </c>
      <c r="T772" s="29" cm="1">
        <f t="array" ref="T772">IF(表成绩单[[#This Row],[化学]]="","",SUMPRODUCT((表成绩单[考试日期]=表成绩单[[#This Row],[考试日期]])*(表成绩单[化学]&lt;9E+307)*(表成绩单[化学]&gt;表成绩单[[#This Row],[化学]]))+1)</f>
        <v>707</v>
      </c>
      <c r="U772" s="29" cm="1">
        <f t="array" ref="U772">IF(表成绩单[[#This Row],[政治]]="","",SUMPRODUCT((表成绩单[考试日期]=表成绩单[[#This Row],[考试日期]])*(表成绩单[政治]&lt;9E+307)*(表成绩单[政治]&gt;表成绩单[[#This Row],[政治]]))+1)</f>
        <v>768</v>
      </c>
      <c r="V772" s="29" cm="1">
        <f t="array" ref="V772">IF(表成绩单[[#This Row],[历史]]="","",SUMPRODUCT((表成绩单[考试日期]=表成绩单[[#This Row],[考试日期]])*(表成绩单[历史]&lt;9E+307)*(表成绩单[历史]&gt;表成绩单[[#This Row],[历史]]))+1)</f>
        <v>743</v>
      </c>
      <c r="W772" s="29" cm="1">
        <f t="array" ref="W772">IF(表成绩单[[#This Row],[总分]]="","",SUMPRODUCT((表成绩单[考试日期]=表成绩单[[#This Row],[考试日期]])*(表成绩单[总分]&lt;9E+307)*(表成绩单[总分]&gt;表成绩单[[#This Row],[总分]]))+1)</f>
        <v>769</v>
      </c>
    </row>
    <row r="773" ht="28" customHeight="1" spans="4:23">
      <c r="D773" s="31">
        <v>45975</v>
      </c>
      <c r="E773" s="29">
        <v>19172639</v>
      </c>
      <c r="F773" s="29" t="s">
        <v>60</v>
      </c>
      <c r="G773" s="29" t="s">
        <v>846</v>
      </c>
      <c r="H773" s="29">
        <v>72</v>
      </c>
      <c r="I773" s="29">
        <v>43</v>
      </c>
      <c r="J773" s="29">
        <v>44.5</v>
      </c>
      <c r="K773" s="29">
        <v>43</v>
      </c>
      <c r="L773" s="29">
        <v>45</v>
      </c>
      <c r="M773" s="29">
        <v>41</v>
      </c>
      <c r="N773" s="29">
        <v>72</v>
      </c>
      <c r="O773" s="32">
        <v>360.5</v>
      </c>
      <c r="P773" s="29" cm="1">
        <f t="array" ref="P773">IF(表成绩单[[#This Row],[语文]]="","",SUMPRODUCT((表成绩单[考试日期]=表成绩单[[#This Row],[考试日期]])*(表成绩单[语文]&lt;9E+307)*(表成绩单[语文]&gt;表成绩单[[#This Row],[语文]]))+1)</f>
        <v>759</v>
      </c>
      <c r="Q773" s="29" cm="1">
        <f t="array" ref="Q773">IF(表成绩单[[#This Row],[数学]]="","",SUMPRODUCT((表成绩单[考试日期]=表成绩单[[#This Row],[考试日期]])*(表成绩单[数学]&lt;9E+307)*(表成绩单[数学]&gt;表成绩单[[#This Row],[数学]]))+1)</f>
        <v>769</v>
      </c>
      <c r="R773" s="29" cm="1">
        <f t="array" ref="R773">IF(表成绩单[[#This Row],[英语]]="","",SUMPRODUCT((表成绩单[考试日期]=表成绩单[[#This Row],[考试日期]])*(表成绩单[英语]&lt;9E+307)*(表成绩单[英语]&gt;表成绩单[[#This Row],[英语]]))+1)</f>
        <v>748</v>
      </c>
      <c r="S773" s="29" cm="1">
        <f t="array" ref="S773">IF(表成绩单[[#This Row],[物理]]="","",SUMPRODUCT((表成绩单[考试日期]=表成绩单[[#This Row],[考试日期]])*(表成绩单[物理]&lt;9E+307)*(表成绩单[物理]&gt;表成绩单[[#This Row],[物理]]))+1)</f>
        <v>779</v>
      </c>
      <c r="T773" s="29" cm="1">
        <f t="array" ref="T773">IF(表成绩单[[#This Row],[化学]]="","",SUMPRODUCT((表成绩单[考试日期]=表成绩单[[#This Row],[考试日期]])*(表成绩单[化学]&lt;9E+307)*(表成绩单[化学]&gt;表成绩单[[#This Row],[化学]]))+1)</f>
        <v>760</v>
      </c>
      <c r="U773" s="29" cm="1">
        <f t="array" ref="U773">IF(表成绩单[[#This Row],[政治]]="","",SUMPRODUCT((表成绩单[考试日期]=表成绩单[[#This Row],[考试日期]])*(表成绩单[政治]&lt;9E+307)*(表成绩单[政治]&gt;表成绩单[[#This Row],[政治]]))+1)</f>
        <v>785</v>
      </c>
      <c r="V773" s="29" cm="1">
        <f t="array" ref="V773">IF(表成绩单[[#This Row],[历史]]="","",SUMPRODUCT((表成绩单[考试日期]=表成绩单[[#This Row],[考试日期]])*(表成绩单[历史]&lt;9E+307)*(表成绩单[历史]&gt;表成绩单[[#This Row],[历史]]))+1)</f>
        <v>438</v>
      </c>
      <c r="W773" s="29" cm="1">
        <f t="array" ref="W773">IF(表成绩单[[#This Row],[总分]]="","",SUMPRODUCT((表成绩单[考试日期]=表成绩单[[#This Row],[考试日期]])*(表成绩单[总分]&lt;9E+307)*(表成绩单[总分]&gt;表成绩单[[#This Row],[总分]]))+1)</f>
        <v>770</v>
      </c>
    </row>
    <row r="774" ht="28" customHeight="1" spans="4:23">
      <c r="D774" s="31">
        <v>45975</v>
      </c>
      <c r="E774" s="29">
        <v>19172656</v>
      </c>
      <c r="F774" s="29" t="s">
        <v>60</v>
      </c>
      <c r="G774" s="29" t="s">
        <v>847</v>
      </c>
      <c r="H774" s="29">
        <v>71</v>
      </c>
      <c r="I774" s="29">
        <v>39</v>
      </c>
      <c r="J774" s="29">
        <v>44.5</v>
      </c>
      <c r="K774" s="29">
        <v>54</v>
      </c>
      <c r="L774" s="29">
        <v>43</v>
      </c>
      <c r="M774" s="29">
        <v>52</v>
      </c>
      <c r="N774" s="29">
        <v>53</v>
      </c>
      <c r="O774" s="32">
        <v>356.5</v>
      </c>
      <c r="P774" s="29" cm="1">
        <f t="array" ref="P774">IF(表成绩单[[#This Row],[语文]]="","",SUMPRODUCT((表成绩单[考试日期]=表成绩单[[#This Row],[考试日期]])*(表成绩单[语文]&lt;9E+307)*(表成绩单[语文]&gt;表成绩单[[#This Row],[语文]]))+1)</f>
        <v>765</v>
      </c>
      <c r="Q774" s="29" cm="1">
        <f t="array" ref="Q774">IF(表成绩单[[#This Row],[数学]]="","",SUMPRODUCT((表成绩单[考试日期]=表成绩单[[#This Row],[考试日期]])*(表成绩单[数学]&lt;9E+307)*(表成绩单[数学]&gt;表成绩单[[#This Row],[数学]]))+1)</f>
        <v>773</v>
      </c>
      <c r="R774" s="29" cm="1">
        <f t="array" ref="R774">IF(表成绩单[[#This Row],[英语]]="","",SUMPRODUCT((表成绩单[考试日期]=表成绩单[[#This Row],[考试日期]])*(表成绩单[英语]&lt;9E+307)*(表成绩单[英语]&gt;表成绩单[[#This Row],[英语]]))+1)</f>
        <v>748</v>
      </c>
      <c r="S774" s="29" cm="1">
        <f t="array" ref="S774">IF(表成绩单[[#This Row],[物理]]="","",SUMPRODUCT((表成绩单[考试日期]=表成绩单[[#This Row],[考试日期]])*(表成绩单[物理]&lt;9E+307)*(表成绩单[物理]&gt;表成绩单[[#This Row],[物理]]))+1)</f>
        <v>746</v>
      </c>
      <c r="T774" s="29" cm="1">
        <f t="array" ref="T774">IF(表成绩单[[#This Row],[化学]]="","",SUMPRODUCT((表成绩单[考试日期]=表成绩单[[#This Row],[考试日期]])*(表成绩单[化学]&lt;9E+307)*(表成绩单[化学]&gt;表成绩单[[#This Row],[化学]]))+1)</f>
        <v>768</v>
      </c>
      <c r="U774" s="29" cm="1">
        <f t="array" ref="U774">IF(表成绩单[[#This Row],[政治]]="","",SUMPRODUCT((表成绩单[考试日期]=表成绩单[[#This Row],[考试日期]])*(表成绩单[政治]&lt;9E+307)*(表成绩单[政治]&gt;表成绩单[[#This Row],[政治]]))+1)</f>
        <v>743</v>
      </c>
      <c r="V774" s="29" cm="1">
        <f t="array" ref="V774">IF(表成绩单[[#This Row],[历史]]="","",SUMPRODUCT((表成绩单[考试日期]=表成绩单[[#This Row],[考试日期]])*(表成绩单[历史]&lt;9E+307)*(表成绩单[历史]&gt;表成绩单[[#This Row],[历史]]))+1)</f>
        <v>757</v>
      </c>
      <c r="W774" s="29" cm="1">
        <f t="array" ref="W774">IF(表成绩单[[#This Row],[总分]]="","",SUMPRODUCT((表成绩单[考试日期]=表成绩单[[#This Row],[考试日期]])*(表成绩单[总分]&lt;9E+307)*(表成绩单[总分]&gt;表成绩单[[#This Row],[总分]]))+1)</f>
        <v>771</v>
      </c>
    </row>
    <row r="775" ht="28" customHeight="1" spans="4:23">
      <c r="D775" s="31">
        <v>45975</v>
      </c>
      <c r="E775" s="29">
        <v>19175328</v>
      </c>
      <c r="F775" s="29" t="s">
        <v>55</v>
      </c>
      <c r="G775" s="29" t="s">
        <v>848</v>
      </c>
      <c r="H775" s="29">
        <v>79</v>
      </c>
      <c r="I775" s="29">
        <v>44</v>
      </c>
      <c r="J775" s="29">
        <v>23.5</v>
      </c>
      <c r="K775" s="29">
        <v>46</v>
      </c>
      <c r="L775" s="29">
        <v>47</v>
      </c>
      <c r="M775" s="29">
        <v>59</v>
      </c>
      <c r="N775" s="29">
        <v>53</v>
      </c>
      <c r="O775" s="32">
        <v>351.5</v>
      </c>
      <c r="P775" s="29" cm="1">
        <f t="array" ref="P775">IF(表成绩单[[#This Row],[语文]]="","",SUMPRODUCT((表成绩单[考试日期]=表成绩单[[#This Row],[考试日期]])*(表成绩单[语文]&lt;9E+307)*(表成绩单[语文]&gt;表成绩单[[#This Row],[语文]]))+1)</f>
        <v>716</v>
      </c>
      <c r="Q775" s="29" cm="1">
        <f t="array" ref="Q775">IF(表成绩单[[#This Row],[数学]]="","",SUMPRODUCT((表成绩单[考试日期]=表成绩单[[#This Row],[考试日期]])*(表成绩单[数学]&lt;9E+307)*(表成绩单[数学]&gt;表成绩单[[#This Row],[数学]]))+1)</f>
        <v>768</v>
      </c>
      <c r="R775" s="29" cm="1">
        <f t="array" ref="R775">IF(表成绩单[[#This Row],[英语]]="","",SUMPRODUCT((表成绩单[考试日期]=表成绩单[[#This Row],[考试日期]])*(表成绩单[英语]&lt;9E+307)*(表成绩单[英语]&gt;表成绩单[[#This Row],[英语]]))+1)</f>
        <v>788</v>
      </c>
      <c r="S775" s="29" cm="1">
        <f t="array" ref="S775">IF(表成绩单[[#This Row],[物理]]="","",SUMPRODUCT((表成绩单[考试日期]=表成绩单[[#This Row],[考试日期]])*(表成绩单[物理]&lt;9E+307)*(表成绩单[物理]&gt;表成绩单[[#This Row],[物理]]))+1)</f>
        <v>772</v>
      </c>
      <c r="T775" s="29" cm="1">
        <f t="array" ref="T775">IF(表成绩单[[#This Row],[化学]]="","",SUMPRODUCT((表成绩单[考试日期]=表成绩单[[#This Row],[考试日期]])*(表成绩单[化学]&lt;9E+307)*(表成绩单[化学]&gt;表成绩单[[#This Row],[化学]]))+1)</f>
        <v>750</v>
      </c>
      <c r="U775" s="29" cm="1">
        <f t="array" ref="U775">IF(表成绩单[[#This Row],[政治]]="","",SUMPRODUCT((表成绩单[考试日期]=表成绩单[[#This Row],[考试日期]])*(表成绩单[政治]&lt;9E+307)*(表成绩单[政治]&gt;表成绩单[[#This Row],[政治]]))+1)</f>
        <v>681</v>
      </c>
      <c r="V775" s="29" cm="1">
        <f t="array" ref="V775">IF(表成绩单[[#This Row],[历史]]="","",SUMPRODUCT((表成绩单[考试日期]=表成绩单[[#This Row],[考试日期]])*(表成绩单[历史]&lt;9E+307)*(表成绩单[历史]&gt;表成绩单[[#This Row],[历史]]))+1)</f>
        <v>757</v>
      </c>
      <c r="W775" s="29" cm="1">
        <f t="array" ref="W775">IF(表成绩单[[#This Row],[总分]]="","",SUMPRODUCT((表成绩单[考试日期]=表成绩单[[#This Row],[考试日期]])*(表成绩单[总分]&lt;9E+307)*(表成绩单[总分]&gt;表成绩单[[#This Row],[总分]]))+1)</f>
        <v>772</v>
      </c>
    </row>
    <row r="776" ht="28" customHeight="1" spans="4:23">
      <c r="D776" s="31">
        <v>45975</v>
      </c>
      <c r="E776" s="29">
        <v>19175996</v>
      </c>
      <c r="F776" s="29" t="s">
        <v>59</v>
      </c>
      <c r="G776" s="29" t="s">
        <v>849</v>
      </c>
      <c r="H776" s="29">
        <v>67</v>
      </c>
      <c r="I776" s="29">
        <v>39</v>
      </c>
      <c r="J776" s="29">
        <v>19</v>
      </c>
      <c r="K776" s="29">
        <v>57</v>
      </c>
      <c r="L776" s="29">
        <v>69</v>
      </c>
      <c r="M776" s="29">
        <v>38</v>
      </c>
      <c r="N776" s="29">
        <v>62</v>
      </c>
      <c r="O776" s="32">
        <v>351</v>
      </c>
      <c r="P776" s="29" cm="1">
        <f t="array" ref="P776">IF(表成绩单[[#This Row],[语文]]="","",SUMPRODUCT((表成绩单[考试日期]=表成绩单[[#This Row],[考试日期]])*(表成绩单[语文]&lt;9E+307)*(表成绩单[语文]&gt;表成绩单[[#This Row],[语文]]))+1)</f>
        <v>777</v>
      </c>
      <c r="Q776" s="29" cm="1">
        <f t="array" ref="Q776">IF(表成绩单[[#This Row],[数学]]="","",SUMPRODUCT((表成绩单[考试日期]=表成绩单[[#This Row],[考试日期]])*(表成绩单[数学]&lt;9E+307)*(表成绩单[数学]&gt;表成绩单[[#This Row],[数学]]))+1)</f>
        <v>773</v>
      </c>
      <c r="R776" s="29" cm="1">
        <f t="array" ref="R776">IF(表成绩单[[#This Row],[英语]]="","",SUMPRODUCT((表成绩单[考试日期]=表成绩单[[#This Row],[考试日期]])*(表成绩单[英语]&lt;9E+307)*(表成绩单[英语]&gt;表成绩单[[#This Row],[英语]]))+1)</f>
        <v>792</v>
      </c>
      <c r="S776" s="29" cm="1">
        <f t="array" ref="S776">IF(表成绩单[[#This Row],[物理]]="","",SUMPRODUCT((表成绩单[考试日期]=表成绩单[[#This Row],[考试日期]])*(表成绩单[物理]&lt;9E+307)*(表成绩单[物理]&gt;表成绩单[[#This Row],[物理]]))+1)</f>
        <v>731</v>
      </c>
      <c r="T776" s="29" cm="1">
        <f t="array" ref="T776">IF(表成绩单[[#This Row],[化学]]="","",SUMPRODUCT((表成绩单[考试日期]=表成绩单[[#This Row],[考试日期]])*(表成绩单[化学]&lt;9E+307)*(表成绩单[化学]&gt;表成绩单[[#This Row],[化学]]))+1)</f>
        <v>478</v>
      </c>
      <c r="U776" s="29" cm="1">
        <f t="array" ref="U776">IF(表成绩单[[#This Row],[政治]]="","",SUMPRODUCT((表成绩单[考试日期]=表成绩单[[#This Row],[考试日期]])*(表成绩单[政治]&lt;9E+307)*(表成绩单[政治]&gt;表成绩单[[#This Row],[政治]]))+1)</f>
        <v>787</v>
      </c>
      <c r="V776" s="29" cm="1">
        <f t="array" ref="V776">IF(表成绩单[[#This Row],[历史]]="","",SUMPRODUCT((表成绩单[考试日期]=表成绩单[[#This Row],[考试日期]])*(表成绩单[历史]&lt;9E+307)*(表成绩单[历史]&gt;表成绩单[[#This Row],[历史]]))+1)</f>
        <v>688</v>
      </c>
      <c r="W776" s="29" cm="1">
        <f t="array" ref="W776">IF(表成绩单[[#This Row],[总分]]="","",SUMPRODUCT((表成绩单[考试日期]=表成绩单[[#This Row],[考试日期]])*(表成绩单[总分]&lt;9E+307)*(表成绩单[总分]&gt;表成绩单[[#This Row],[总分]]))+1)</f>
        <v>773</v>
      </c>
    </row>
    <row r="777" ht="28" customHeight="1" spans="4:23">
      <c r="D777" s="31">
        <v>45975</v>
      </c>
      <c r="E777" s="29">
        <v>19175599</v>
      </c>
      <c r="F777" s="29" t="s">
        <v>57</v>
      </c>
      <c r="G777" s="29" t="s">
        <v>850</v>
      </c>
      <c r="H777" s="29">
        <v>84</v>
      </c>
      <c r="I777" s="29">
        <v>46</v>
      </c>
      <c r="J777" s="29">
        <v>49</v>
      </c>
      <c r="K777" s="29">
        <v>36</v>
      </c>
      <c r="L777" s="29">
        <v>37</v>
      </c>
      <c r="M777" s="29">
        <v>50</v>
      </c>
      <c r="N777" s="29">
        <v>48</v>
      </c>
      <c r="O777" s="32">
        <v>350</v>
      </c>
      <c r="P777" s="29" cm="1">
        <f t="array" ref="P777">IF(表成绩单[[#This Row],[语文]]="","",SUMPRODUCT((表成绩单[考试日期]=表成绩单[[#This Row],[考试日期]])*(表成绩单[语文]&lt;9E+307)*(表成绩单[语文]&gt;表成绩单[[#This Row],[语文]]))+1)</f>
        <v>659</v>
      </c>
      <c r="Q777" s="29" cm="1">
        <f t="array" ref="Q777">IF(表成绩单[[#This Row],[数学]]="","",SUMPRODUCT((表成绩单[考试日期]=表成绩单[[#This Row],[考试日期]])*(表成绩单[数学]&lt;9E+307)*(表成绩单[数学]&gt;表成绩单[[#This Row],[数学]]))+1)</f>
        <v>763</v>
      </c>
      <c r="R777" s="29" cm="1">
        <f t="array" ref="R777">IF(表成绩单[[#This Row],[英语]]="","",SUMPRODUCT((表成绩单[考试日期]=表成绩单[[#This Row],[考试日期]])*(表成绩单[英语]&lt;9E+307)*(表成绩单[英语]&gt;表成绩单[[#This Row],[英语]]))+1)</f>
        <v>731</v>
      </c>
      <c r="S777" s="29" cm="1">
        <f t="array" ref="S777">IF(表成绩单[[#This Row],[物理]]="","",SUMPRODUCT((表成绩单[考试日期]=表成绩单[[#This Row],[考试日期]])*(表成绩单[物理]&lt;9E+307)*(表成绩单[物理]&gt;表成绩单[[#This Row],[物理]]))+1)</f>
        <v>789</v>
      </c>
      <c r="T777" s="29" cm="1">
        <f t="array" ref="T777">IF(表成绩单[[#This Row],[化学]]="","",SUMPRODUCT((表成绩单[考试日期]=表成绩单[[#This Row],[考试日期]])*(表成绩单[化学]&lt;9E+307)*(表成绩单[化学]&gt;表成绩单[[#This Row],[化学]]))+1)</f>
        <v>782</v>
      </c>
      <c r="U777" s="29" cm="1">
        <f t="array" ref="U777">IF(表成绩单[[#This Row],[政治]]="","",SUMPRODUCT((表成绩单[考试日期]=表成绩单[[#This Row],[考试日期]])*(表成绩单[政治]&lt;9E+307)*(表成绩单[政治]&gt;表成绩单[[#This Row],[政治]]))+1)</f>
        <v>758</v>
      </c>
      <c r="V777" s="29" cm="1">
        <f t="array" ref="V777">IF(表成绩单[[#This Row],[历史]]="","",SUMPRODUCT((表成绩单[考试日期]=表成绩单[[#This Row],[考试日期]])*(表成绩单[历史]&lt;9E+307)*(表成绩单[历史]&gt;表成绩单[[#This Row],[历史]]))+1)</f>
        <v>776</v>
      </c>
      <c r="W777" s="29" cm="1">
        <f t="array" ref="W777">IF(表成绩单[[#This Row],[总分]]="","",SUMPRODUCT((表成绩单[考试日期]=表成绩单[[#This Row],[考试日期]])*(表成绩单[总分]&lt;9E+307)*(表成绩单[总分]&gt;表成绩单[[#This Row],[总分]]))+1)</f>
        <v>774</v>
      </c>
    </row>
    <row r="778" ht="28" customHeight="1" spans="4:23">
      <c r="D778" s="31">
        <v>45975</v>
      </c>
      <c r="E778" s="29">
        <v>19175291</v>
      </c>
      <c r="F778" s="29" t="s">
        <v>55</v>
      </c>
      <c r="G778" s="29" t="s">
        <v>851</v>
      </c>
      <c r="H778" s="29">
        <v>71</v>
      </c>
      <c r="I778" s="29">
        <v>46</v>
      </c>
      <c r="J778" s="29">
        <v>26.5</v>
      </c>
      <c r="K778" s="29">
        <v>47</v>
      </c>
      <c r="L778" s="29">
        <v>53</v>
      </c>
      <c r="M778" s="29">
        <v>53</v>
      </c>
      <c r="N778" s="29">
        <v>51</v>
      </c>
      <c r="O778" s="32">
        <v>347.5</v>
      </c>
      <c r="P778" s="29" cm="1">
        <f t="array" ref="P778">IF(表成绩单[[#This Row],[语文]]="","",SUMPRODUCT((表成绩单[考试日期]=表成绩单[[#This Row],[考试日期]])*(表成绩单[语文]&lt;9E+307)*(表成绩单[语文]&gt;表成绩单[[#This Row],[语文]]))+1)</f>
        <v>765</v>
      </c>
      <c r="Q778" s="29" cm="1">
        <f t="array" ref="Q778">IF(表成绩单[[#This Row],[数学]]="","",SUMPRODUCT((表成绩单[考试日期]=表成绩单[[#This Row],[考试日期]])*(表成绩单[数学]&lt;9E+307)*(表成绩单[数学]&gt;表成绩单[[#This Row],[数学]]))+1)</f>
        <v>763</v>
      </c>
      <c r="R778" s="29" cm="1">
        <f t="array" ref="R778">IF(表成绩单[[#This Row],[英语]]="","",SUMPRODUCT((表成绩单[考试日期]=表成绩单[[#This Row],[考试日期]])*(表成绩单[英语]&lt;9E+307)*(表成绩单[英语]&gt;表成绩单[[#This Row],[英语]]))+1)</f>
        <v>783</v>
      </c>
      <c r="S778" s="29" cm="1">
        <f t="array" ref="S778">IF(表成绩单[[#This Row],[物理]]="","",SUMPRODUCT((表成绩单[考试日期]=表成绩单[[#This Row],[考试日期]])*(表成绩单[物理]&lt;9E+307)*(表成绩单[物理]&gt;表成绩单[[#This Row],[物理]]))+1)</f>
        <v>767</v>
      </c>
      <c r="T778" s="29" cm="1">
        <f t="array" ref="T778">IF(表成绩单[[#This Row],[化学]]="","",SUMPRODUCT((表成绩单[考试日期]=表成绩单[[#This Row],[考试日期]])*(表成绩单[化学]&lt;9E+307)*(表成绩单[化学]&gt;表成绩单[[#This Row],[化学]]))+1)</f>
        <v>715</v>
      </c>
      <c r="U778" s="29" cm="1">
        <f t="array" ref="U778">IF(表成绩单[[#This Row],[政治]]="","",SUMPRODUCT((表成绩单[考试日期]=表成绩单[[#This Row],[考试日期]])*(表成绩单[政治]&lt;9E+307)*(表成绩单[政治]&gt;表成绩单[[#This Row],[政治]]))+1)</f>
        <v>734</v>
      </c>
      <c r="V778" s="29" cm="1">
        <f t="array" ref="V778">IF(表成绩单[[#This Row],[历史]]="","",SUMPRODUCT((表成绩单[考试日期]=表成绩单[[#This Row],[考试日期]])*(表成绩单[历史]&lt;9E+307)*(表成绩单[历史]&gt;表成绩单[[#This Row],[历史]]))+1)</f>
        <v>767</v>
      </c>
      <c r="W778" s="29" cm="1">
        <f t="array" ref="W778">IF(表成绩单[[#This Row],[总分]]="","",SUMPRODUCT((表成绩单[考试日期]=表成绩单[[#This Row],[考试日期]])*(表成绩单[总分]&lt;9E+307)*(表成绩单[总分]&gt;表成绩单[[#This Row],[总分]]))+1)</f>
        <v>775</v>
      </c>
    </row>
    <row r="779" ht="28" customHeight="1" spans="4:23">
      <c r="D779" s="31">
        <v>45975</v>
      </c>
      <c r="E779" s="29">
        <v>19175317</v>
      </c>
      <c r="F779" s="29" t="s">
        <v>55</v>
      </c>
      <c r="G779" s="29" t="s">
        <v>852</v>
      </c>
      <c r="H779" s="29">
        <v>66</v>
      </c>
      <c r="I779" s="29">
        <v>39</v>
      </c>
      <c r="J779" s="29">
        <v>54.5</v>
      </c>
      <c r="K779" s="29">
        <v>41</v>
      </c>
      <c r="L779" s="29">
        <v>39</v>
      </c>
      <c r="M779" s="29">
        <v>52</v>
      </c>
      <c r="N779" s="29">
        <v>54</v>
      </c>
      <c r="O779" s="32">
        <v>345.5</v>
      </c>
      <c r="P779" s="29" cm="1">
        <f t="array" ref="P779">IF(表成绩单[[#This Row],[语文]]="","",SUMPRODUCT((表成绩单[考试日期]=表成绩单[[#This Row],[考试日期]])*(表成绩单[语文]&lt;9E+307)*(表成绩单[语文]&gt;表成绩单[[#This Row],[语文]]))+1)</f>
        <v>780</v>
      </c>
      <c r="Q779" s="29" cm="1">
        <f t="array" ref="Q779">IF(表成绩单[[#This Row],[数学]]="","",SUMPRODUCT((表成绩单[考试日期]=表成绩单[[#This Row],[考试日期]])*(表成绩单[数学]&lt;9E+307)*(表成绩单[数学]&gt;表成绩单[[#This Row],[数学]]))+1)</f>
        <v>773</v>
      </c>
      <c r="R779" s="29" cm="1">
        <f t="array" ref="R779">IF(表成绩单[[#This Row],[英语]]="","",SUMPRODUCT((表成绩单[考试日期]=表成绩单[[#This Row],[考试日期]])*(表成绩单[英语]&lt;9E+307)*(表成绩单[英语]&gt;表成绩单[[#This Row],[英语]]))+1)</f>
        <v>703</v>
      </c>
      <c r="S779" s="29" cm="1">
        <f t="array" ref="S779">IF(表成绩单[[#This Row],[物理]]="","",SUMPRODUCT((表成绩单[考试日期]=表成绩单[[#This Row],[考试日期]])*(表成绩单[物理]&lt;9E+307)*(表成绩单[物理]&gt;表成绩单[[#This Row],[物理]]))+1)</f>
        <v>782</v>
      </c>
      <c r="T779" s="29" cm="1">
        <f t="array" ref="T779">IF(表成绩单[[#This Row],[化学]]="","",SUMPRODUCT((表成绩单[考试日期]=表成绩单[[#This Row],[考试日期]])*(表成绩单[化学]&lt;9E+307)*(表成绩单[化学]&gt;表成绩单[[#This Row],[化学]]))+1)</f>
        <v>780</v>
      </c>
      <c r="U779" s="29" cm="1">
        <f t="array" ref="U779">IF(表成绩单[[#This Row],[政治]]="","",SUMPRODUCT((表成绩单[考试日期]=表成绩单[[#This Row],[考试日期]])*(表成绩单[政治]&lt;9E+307)*(表成绩单[政治]&gt;表成绩单[[#This Row],[政治]]))+1)</f>
        <v>743</v>
      </c>
      <c r="V779" s="29" cm="1">
        <f t="array" ref="V779">IF(表成绩单[[#This Row],[历史]]="","",SUMPRODUCT((表成绩单[考试日期]=表成绩单[[#This Row],[考试日期]])*(表成绩单[历史]&lt;9E+307)*(表成绩单[历史]&gt;表成绩单[[#This Row],[历史]]))+1)</f>
        <v>752</v>
      </c>
      <c r="W779" s="29" cm="1">
        <f t="array" ref="W779">IF(表成绩单[[#This Row],[总分]]="","",SUMPRODUCT((表成绩单[考试日期]=表成绩单[[#This Row],[考试日期]])*(表成绩单[总分]&lt;9E+307)*(表成绩单[总分]&gt;表成绩单[[#This Row],[总分]]))+1)</f>
        <v>776</v>
      </c>
    </row>
    <row r="780" ht="28" customHeight="1" spans="4:23">
      <c r="D780" s="31">
        <v>45975</v>
      </c>
      <c r="E780" s="29">
        <v>19177608</v>
      </c>
      <c r="F780" s="29" t="s">
        <v>58</v>
      </c>
      <c r="G780" s="29" t="s">
        <v>853</v>
      </c>
      <c r="H780" s="29">
        <v>59</v>
      </c>
      <c r="I780" s="29">
        <v>60</v>
      </c>
      <c r="J780" s="29">
        <v>26.5</v>
      </c>
      <c r="K780" s="29">
        <v>70</v>
      </c>
      <c r="L780" s="29">
        <v>42</v>
      </c>
      <c r="M780" s="29">
        <v>45</v>
      </c>
      <c r="N780" s="29">
        <v>42</v>
      </c>
      <c r="O780" s="32">
        <v>344.5</v>
      </c>
      <c r="P780" s="29" cm="1">
        <f t="array" ref="P780">IF(表成绩单[[#This Row],[语文]]="","",SUMPRODUCT((表成绩单[考试日期]=表成绩单[[#This Row],[考试日期]])*(表成绩单[语文]&lt;9E+307)*(表成绩单[语文]&gt;表成绩单[[#This Row],[语文]]))+1)</f>
        <v>791</v>
      </c>
      <c r="Q780" s="29" cm="1">
        <f t="array" ref="Q780">IF(表成绩单[[#This Row],[数学]]="","",SUMPRODUCT((表成绩单[考试日期]=表成绩单[[#This Row],[考试日期]])*(表成绩单[数学]&lt;9E+307)*(表成绩单[数学]&gt;表成绩单[[#This Row],[数学]]))+1)</f>
        <v>733</v>
      </c>
      <c r="R780" s="29" cm="1">
        <f t="array" ref="R780">IF(表成绩单[[#This Row],[英语]]="","",SUMPRODUCT((表成绩单[考试日期]=表成绩单[[#This Row],[考试日期]])*(表成绩单[英语]&lt;9E+307)*(表成绩单[英语]&gt;表成绩单[[#This Row],[英语]]))+1)</f>
        <v>783</v>
      </c>
      <c r="S780" s="29" cm="1">
        <f t="array" ref="S780">IF(表成绩单[[#This Row],[物理]]="","",SUMPRODUCT((表成绩单[考试日期]=表成绩单[[#This Row],[考试日期]])*(表成绩单[物理]&lt;9E+307)*(表成绩单[物理]&gt;表成绩单[[#This Row],[物理]]))+1)</f>
        <v>653</v>
      </c>
      <c r="T780" s="29" cm="1">
        <f t="array" ref="T780">IF(表成绩单[[#This Row],[化学]]="","",SUMPRODUCT((表成绩单[考试日期]=表成绩单[[#This Row],[考试日期]])*(表成绩单[化学]&lt;9E+307)*(表成绩单[化学]&gt;表成绩单[[#This Row],[化学]]))+1)</f>
        <v>772</v>
      </c>
      <c r="U780" s="29" cm="1">
        <f t="array" ref="U780">IF(表成绩单[[#This Row],[政治]]="","",SUMPRODUCT((表成绩单[考试日期]=表成绩单[[#This Row],[考试日期]])*(表成绩单[政治]&lt;9E+307)*(表成绩单[政治]&gt;表成绩单[[#This Row],[政治]]))+1)</f>
        <v>779</v>
      </c>
      <c r="V780" s="29" cm="1">
        <f t="array" ref="V780">IF(表成绩单[[#This Row],[历史]]="","",SUMPRODUCT((表成绩单[考试日期]=表成绩单[[#This Row],[考试日期]])*(表成绩单[历史]&lt;9E+307)*(表成绩单[历史]&gt;表成绩单[[#This Row],[历史]]))+1)</f>
        <v>785</v>
      </c>
      <c r="W780" s="29" cm="1">
        <f t="array" ref="W780">IF(表成绩单[[#This Row],[总分]]="","",SUMPRODUCT((表成绩单[考试日期]=表成绩单[[#This Row],[考试日期]])*(表成绩单[总分]&lt;9E+307)*(表成绩单[总分]&gt;表成绩单[[#This Row],[总分]]))+1)</f>
        <v>777</v>
      </c>
    </row>
    <row r="781" ht="28" customHeight="1" spans="4:23">
      <c r="D781" s="31">
        <v>45975</v>
      </c>
      <c r="E781" s="29">
        <v>19175613</v>
      </c>
      <c r="F781" s="29" t="s">
        <v>57</v>
      </c>
      <c r="G781" s="29" t="s">
        <v>854</v>
      </c>
      <c r="H781" s="29">
        <v>74</v>
      </c>
      <c r="I781" s="29">
        <v>65</v>
      </c>
      <c r="J781" s="29">
        <v>26.5</v>
      </c>
      <c r="K781" s="29">
        <v>40</v>
      </c>
      <c r="L781" s="29">
        <v>46</v>
      </c>
      <c r="M781" s="29">
        <v>48</v>
      </c>
      <c r="N781" s="29">
        <v>43</v>
      </c>
      <c r="O781" s="32">
        <v>342.5</v>
      </c>
      <c r="P781" s="29" cm="1">
        <f t="array" ref="P781">IF(表成绩单[[#This Row],[语文]]="","",SUMPRODUCT((表成绩单[考试日期]=表成绩单[[#This Row],[考试日期]])*(表成绩单[语文]&lt;9E+307)*(表成绩单[语文]&gt;表成绩单[[#This Row],[语文]]))+1)</f>
        <v>754</v>
      </c>
      <c r="Q781" s="29" cm="1">
        <f t="array" ref="Q781">IF(表成绩单[[#This Row],[数学]]="","",SUMPRODUCT((表成绩单[考试日期]=表成绩单[[#This Row],[考试日期]])*(表成绩单[数学]&lt;9E+307)*(表成绩单[数学]&gt;表成绩单[[#This Row],[数学]]))+1)</f>
        <v>706</v>
      </c>
      <c r="R781" s="29" cm="1">
        <f t="array" ref="R781">IF(表成绩单[[#This Row],[英语]]="","",SUMPRODUCT((表成绩单[考试日期]=表成绩单[[#This Row],[考试日期]])*(表成绩单[英语]&lt;9E+307)*(表成绩单[英语]&gt;表成绩单[[#This Row],[英语]]))+1)</f>
        <v>783</v>
      </c>
      <c r="S781" s="29" cm="1">
        <f t="array" ref="S781">IF(表成绩单[[#This Row],[物理]]="","",SUMPRODUCT((表成绩单[考试日期]=表成绩单[[#This Row],[考试日期]])*(表成绩单[物理]&lt;9E+307)*(表成绩单[物理]&gt;表成绩单[[#This Row],[物理]]))+1)</f>
        <v>783</v>
      </c>
      <c r="T781" s="29" cm="1">
        <f t="array" ref="T781">IF(表成绩单[[#This Row],[化学]]="","",SUMPRODUCT((表成绩单[考试日期]=表成绩单[[#This Row],[考试日期]])*(表成绩单[化学]&lt;9E+307)*(表成绩单[化学]&gt;表成绩单[[#This Row],[化学]]))+1)</f>
        <v>757</v>
      </c>
      <c r="U781" s="29" cm="1">
        <f t="array" ref="U781">IF(表成绩单[[#This Row],[政治]]="","",SUMPRODUCT((表成绩单[考试日期]=表成绩单[[#This Row],[考试日期]])*(表成绩单[政治]&lt;9E+307)*(表成绩单[政治]&gt;表成绩单[[#This Row],[政治]]))+1)</f>
        <v>768</v>
      </c>
      <c r="V781" s="29" cm="1">
        <f t="array" ref="V781">IF(表成绩单[[#This Row],[历史]]="","",SUMPRODUCT((表成绩单[考试日期]=表成绩单[[#This Row],[考试日期]])*(表成绩单[历史]&lt;9E+307)*(表成绩单[历史]&gt;表成绩单[[#This Row],[历史]]))+1)</f>
        <v>782</v>
      </c>
      <c r="W781" s="29" cm="1">
        <f t="array" ref="W781">IF(表成绩单[[#This Row],[总分]]="","",SUMPRODUCT((表成绩单[考试日期]=表成绩单[[#This Row],[考试日期]])*(表成绩单[总分]&lt;9E+307)*(表成绩单[总分]&gt;表成绩单[[#This Row],[总分]]))+1)</f>
        <v>778</v>
      </c>
    </row>
    <row r="782" ht="28" customHeight="1" spans="4:23">
      <c r="D782" s="31">
        <v>45975</v>
      </c>
      <c r="E782" s="29">
        <v>19173239</v>
      </c>
      <c r="F782" s="29" t="s">
        <v>61</v>
      </c>
      <c r="G782" s="29" t="s">
        <v>855</v>
      </c>
      <c r="H782" s="29">
        <v>81</v>
      </c>
      <c r="I782" s="29">
        <v>36</v>
      </c>
      <c r="J782" s="29">
        <v>46.5</v>
      </c>
      <c r="K782" s="29">
        <v>49</v>
      </c>
      <c r="L782" s="29">
        <v>29</v>
      </c>
      <c r="M782" s="29">
        <v>49</v>
      </c>
      <c r="N782" s="29">
        <v>49</v>
      </c>
      <c r="O782" s="32">
        <v>339.5</v>
      </c>
      <c r="P782" s="29" cm="1">
        <f t="array" ref="P782">IF(表成绩单[[#This Row],[语文]]="","",SUMPRODUCT((表成绩单[考试日期]=表成绩单[[#This Row],[考试日期]])*(表成绩单[语文]&lt;9E+307)*(表成绩单[语文]&gt;表成绩单[[#This Row],[语文]]))+1)</f>
        <v>688</v>
      </c>
      <c r="Q782" s="29" cm="1">
        <f t="array" ref="Q782">IF(表成绩单[[#This Row],[数学]]="","",SUMPRODUCT((表成绩单[考试日期]=表成绩单[[#This Row],[考试日期]])*(表成绩单[数学]&lt;9E+307)*(表成绩单[数学]&gt;表成绩单[[#This Row],[数学]]))+1)</f>
        <v>777</v>
      </c>
      <c r="R782" s="29" cm="1">
        <f t="array" ref="R782">IF(表成绩单[[#This Row],[英语]]="","",SUMPRODUCT((表成绩单[考试日期]=表成绩单[[#This Row],[考试日期]])*(表成绩单[英语]&lt;9E+307)*(表成绩单[英语]&gt;表成绩单[[#This Row],[英语]]))+1)</f>
        <v>744</v>
      </c>
      <c r="S782" s="29" cm="1">
        <f t="array" ref="S782">IF(表成绩单[[#This Row],[物理]]="","",SUMPRODUCT((表成绩单[考试日期]=表成绩单[[#This Row],[考试日期]])*(表成绩单[物理]&lt;9E+307)*(表成绩单[物理]&gt;表成绩单[[#This Row],[物理]]))+1)</f>
        <v>763</v>
      </c>
      <c r="T782" s="29" cm="1">
        <f t="array" ref="T782">IF(表成绩单[[#This Row],[化学]]="","",SUMPRODUCT((表成绩单[考试日期]=表成绩单[[#This Row],[考试日期]])*(表成绩单[化学]&lt;9E+307)*(表成绩单[化学]&gt;表成绩单[[#This Row],[化学]]))+1)</f>
        <v>791</v>
      </c>
      <c r="U782" s="29" cm="1">
        <f t="array" ref="U782">IF(表成绩单[[#This Row],[政治]]="","",SUMPRODUCT((表成绩单[考试日期]=表成绩单[[#This Row],[考试日期]])*(表成绩单[政治]&lt;9E+307)*(表成绩单[政治]&gt;表成绩单[[#This Row],[政治]]))+1)</f>
        <v>764</v>
      </c>
      <c r="V782" s="29" cm="1">
        <f t="array" ref="V782">IF(表成绩单[[#This Row],[历史]]="","",SUMPRODUCT((表成绩单[考试日期]=表成绩单[[#This Row],[考试日期]])*(表成绩单[历史]&lt;9E+307)*(表成绩单[历史]&gt;表成绩单[[#This Row],[历史]]))+1)</f>
        <v>775</v>
      </c>
      <c r="W782" s="29" cm="1">
        <f t="array" ref="W782">IF(表成绩单[[#This Row],[总分]]="","",SUMPRODUCT((表成绩单[考试日期]=表成绩单[[#This Row],[考试日期]])*(表成绩单[总分]&lt;9E+307)*(表成绩单[总分]&gt;表成绩单[[#This Row],[总分]]))+1)</f>
        <v>779</v>
      </c>
    </row>
    <row r="783" ht="28" customHeight="1" spans="4:23">
      <c r="D783" s="31">
        <v>45975</v>
      </c>
      <c r="E783" s="29">
        <v>19177674</v>
      </c>
      <c r="F783" s="29" t="s">
        <v>63</v>
      </c>
      <c r="G783" s="29" t="s">
        <v>856</v>
      </c>
      <c r="H783" s="29">
        <v>80</v>
      </c>
      <c r="I783" s="29">
        <v>46</v>
      </c>
      <c r="J783" s="29">
        <v>21.5</v>
      </c>
      <c r="K783" s="29">
        <v>37</v>
      </c>
      <c r="L783" s="29">
        <v>47</v>
      </c>
      <c r="M783" s="29">
        <v>46</v>
      </c>
      <c r="N783" s="29">
        <v>61</v>
      </c>
      <c r="O783" s="32">
        <v>338.5</v>
      </c>
      <c r="P783" s="29" cm="1">
        <f t="array" ref="P783">IF(表成绩单[[#This Row],[语文]]="","",SUMPRODUCT((表成绩单[考试日期]=表成绩单[[#This Row],[考试日期]])*(表成绩单[语文]&lt;9E+307)*(表成绩单[语文]&gt;表成绩单[[#This Row],[语文]]))+1)</f>
        <v>702</v>
      </c>
      <c r="Q783" s="29" cm="1">
        <f t="array" ref="Q783">IF(表成绩单[[#This Row],[数学]]="","",SUMPRODUCT((表成绩单[考试日期]=表成绩单[[#This Row],[考试日期]])*(表成绩单[数学]&lt;9E+307)*(表成绩单[数学]&gt;表成绩单[[#This Row],[数学]]))+1)</f>
        <v>763</v>
      </c>
      <c r="R783" s="29" cm="1">
        <f t="array" ref="R783">IF(表成绩单[[#This Row],[英语]]="","",SUMPRODUCT((表成绩单[考试日期]=表成绩单[[#This Row],[考试日期]])*(表成绩单[英语]&lt;9E+307)*(表成绩单[英语]&gt;表成绩单[[#This Row],[英语]]))+1)</f>
        <v>790</v>
      </c>
      <c r="S783" s="29" cm="1">
        <f t="array" ref="S783">IF(表成绩单[[#This Row],[物理]]="","",SUMPRODUCT((表成绩单[考试日期]=表成绩单[[#This Row],[考试日期]])*(表成绩单[物理]&lt;9E+307)*(表成绩单[物理]&gt;表成绩单[[#This Row],[物理]]))+1)</f>
        <v>788</v>
      </c>
      <c r="T783" s="29" cm="1">
        <f t="array" ref="T783">IF(表成绩单[[#This Row],[化学]]="","",SUMPRODUCT((表成绩单[考试日期]=表成绩单[[#This Row],[考试日期]])*(表成绩单[化学]&lt;9E+307)*(表成绩单[化学]&gt;表成绩单[[#This Row],[化学]]))+1)</f>
        <v>750</v>
      </c>
      <c r="U783" s="29" cm="1">
        <f t="array" ref="U783">IF(表成绩单[[#This Row],[政治]]="","",SUMPRODUCT((表成绩单[考试日期]=表成绩单[[#This Row],[考试日期]])*(表成绩单[政治]&lt;9E+307)*(表成绩单[政治]&gt;表成绩单[[#This Row],[政治]]))+1)</f>
        <v>774</v>
      </c>
      <c r="V783" s="29" cm="1">
        <f t="array" ref="V783">IF(表成绩单[[#This Row],[历史]]="","",SUMPRODUCT((表成绩单[考试日期]=表成绩单[[#This Row],[考试日期]])*(表成绩单[历史]&lt;9E+307)*(表成绩单[历史]&gt;表成绩单[[#This Row],[历史]]))+1)</f>
        <v>702</v>
      </c>
      <c r="W783" s="29" cm="1">
        <f t="array" ref="W783">IF(表成绩单[[#This Row],[总分]]="","",SUMPRODUCT((表成绩单[考试日期]=表成绩单[[#This Row],[考试日期]])*(表成绩单[总分]&lt;9E+307)*(表成绩单[总分]&gt;表成绩单[[#This Row],[总分]]))+1)</f>
        <v>780</v>
      </c>
    </row>
    <row r="784" ht="28" customHeight="1" spans="4:23">
      <c r="D784" s="31">
        <v>45975</v>
      </c>
      <c r="E784" s="29">
        <v>19177628</v>
      </c>
      <c r="F784" s="29" t="s">
        <v>58</v>
      </c>
      <c r="G784" s="29" t="s">
        <v>857</v>
      </c>
      <c r="H784" s="29">
        <v>73</v>
      </c>
      <c r="I784" s="29">
        <v>27</v>
      </c>
      <c r="J784" s="29">
        <v>52.5</v>
      </c>
      <c r="K784" s="29">
        <v>46</v>
      </c>
      <c r="L784" s="29">
        <v>40</v>
      </c>
      <c r="M784" s="29">
        <v>50</v>
      </c>
      <c r="N784" s="29">
        <v>48</v>
      </c>
      <c r="O784" s="32">
        <v>336.5</v>
      </c>
      <c r="P784" s="29" cm="1">
        <f t="array" ref="P784">IF(表成绩单[[#This Row],[语文]]="","",SUMPRODUCT((表成绩单[考试日期]=表成绩单[[#This Row],[考试日期]])*(表成绩单[语文]&lt;9E+307)*(表成绩单[语文]&gt;表成绩单[[#This Row],[语文]]))+1)</f>
        <v>756</v>
      </c>
      <c r="Q784" s="29" cm="1">
        <f t="array" ref="Q784">IF(表成绩单[[#This Row],[数学]]="","",SUMPRODUCT((表成绩单[考试日期]=表成绩单[[#This Row],[考试日期]])*(表成绩单[数学]&lt;9E+307)*(表成绩单[数学]&gt;表成绩单[[#This Row],[数学]]))+1)</f>
        <v>787</v>
      </c>
      <c r="R784" s="29" cm="1">
        <f t="array" ref="R784">IF(表成绩单[[#This Row],[英语]]="","",SUMPRODUCT((表成绩单[考试日期]=表成绩单[[#This Row],[考试日期]])*(表成绩单[英语]&lt;9E+307)*(表成绩单[英语]&gt;表成绩单[[#This Row],[英语]]))+1)</f>
        <v>712</v>
      </c>
      <c r="S784" s="29" cm="1">
        <f t="array" ref="S784">IF(表成绩单[[#This Row],[物理]]="","",SUMPRODUCT((表成绩单[考试日期]=表成绩单[[#This Row],[考试日期]])*(表成绩单[物理]&lt;9E+307)*(表成绩单[物理]&gt;表成绩单[[#This Row],[物理]]))+1)</f>
        <v>772</v>
      </c>
      <c r="T784" s="29" cm="1">
        <f t="array" ref="T784">IF(表成绩单[[#This Row],[化学]]="","",SUMPRODUCT((表成绩单[考试日期]=表成绩单[[#This Row],[考试日期]])*(表成绩单[化学]&lt;9E+307)*(表成绩单[化学]&gt;表成绩单[[#This Row],[化学]]))+1)</f>
        <v>778</v>
      </c>
      <c r="U784" s="29" cm="1">
        <f t="array" ref="U784">IF(表成绩单[[#This Row],[政治]]="","",SUMPRODUCT((表成绩单[考试日期]=表成绩单[[#This Row],[考试日期]])*(表成绩单[政治]&lt;9E+307)*(表成绩单[政治]&gt;表成绩单[[#This Row],[政治]]))+1)</f>
        <v>758</v>
      </c>
      <c r="V784" s="29" cm="1">
        <f t="array" ref="V784">IF(表成绩单[[#This Row],[历史]]="","",SUMPRODUCT((表成绩单[考试日期]=表成绩单[[#This Row],[考试日期]])*(表成绩单[历史]&lt;9E+307)*(表成绩单[历史]&gt;表成绩单[[#This Row],[历史]]))+1)</f>
        <v>776</v>
      </c>
      <c r="W784" s="29" cm="1">
        <f t="array" ref="W784">IF(表成绩单[[#This Row],[总分]]="","",SUMPRODUCT((表成绩单[考试日期]=表成绩单[[#This Row],[考试日期]])*(表成绩单[总分]&lt;9E+307)*(表成绩单[总分]&gt;表成绩单[[#This Row],[总分]]))+1)</f>
        <v>781</v>
      </c>
    </row>
    <row r="785" ht="28" customHeight="1" spans="4:23">
      <c r="D785" s="31">
        <v>45975</v>
      </c>
      <c r="E785" s="29">
        <v>19175314</v>
      </c>
      <c r="F785" s="29" t="s">
        <v>55</v>
      </c>
      <c r="G785" s="29" t="s">
        <v>858</v>
      </c>
      <c r="H785" s="29">
        <v>66</v>
      </c>
      <c r="I785" s="29">
        <v>23</v>
      </c>
      <c r="J785" s="29">
        <v>51</v>
      </c>
      <c r="K785" s="29">
        <v>39</v>
      </c>
      <c r="L785" s="29">
        <v>43</v>
      </c>
      <c r="M785" s="29">
        <v>54</v>
      </c>
      <c r="N785" s="29">
        <v>53</v>
      </c>
      <c r="O785" s="32">
        <v>329</v>
      </c>
      <c r="P785" s="29" cm="1">
        <f t="array" ref="P785">IF(表成绩单[[#This Row],[语文]]="","",SUMPRODUCT((表成绩单[考试日期]=表成绩单[[#This Row],[考试日期]])*(表成绩单[语文]&lt;9E+307)*(表成绩单[语文]&gt;表成绩单[[#This Row],[语文]]))+1)</f>
        <v>780</v>
      </c>
      <c r="Q785" s="29" cm="1">
        <f t="array" ref="Q785">IF(表成绩单[[#This Row],[数学]]="","",SUMPRODUCT((表成绩单[考试日期]=表成绩单[[#This Row],[考试日期]])*(表成绩单[数学]&lt;9E+307)*(表成绩单[数学]&gt;表成绩单[[#This Row],[数学]]))+1)</f>
        <v>790</v>
      </c>
      <c r="R785" s="29" cm="1">
        <f t="array" ref="R785">IF(表成绩单[[#This Row],[英语]]="","",SUMPRODUCT((表成绩单[考试日期]=表成绩单[[#This Row],[考试日期]])*(表成绩单[英语]&lt;9E+307)*(表成绩单[英语]&gt;表成绩单[[#This Row],[英语]]))+1)</f>
        <v>718</v>
      </c>
      <c r="S785" s="29" cm="1">
        <f t="array" ref="S785">IF(表成绩单[[#This Row],[物理]]="","",SUMPRODUCT((表成绩单[考试日期]=表成绩单[[#This Row],[考试日期]])*(表成绩单[物理]&lt;9E+307)*(表成绩单[物理]&gt;表成绩单[[#This Row],[物理]]))+1)</f>
        <v>785</v>
      </c>
      <c r="T785" s="29" cm="1">
        <f t="array" ref="T785">IF(表成绩单[[#This Row],[化学]]="","",SUMPRODUCT((表成绩单[考试日期]=表成绩单[[#This Row],[考试日期]])*(表成绩单[化学]&lt;9E+307)*(表成绩单[化学]&gt;表成绩单[[#This Row],[化学]]))+1)</f>
        <v>768</v>
      </c>
      <c r="U785" s="29" cm="1">
        <f t="array" ref="U785">IF(表成绩单[[#This Row],[政治]]="","",SUMPRODUCT((表成绩单[考试日期]=表成绩单[[#This Row],[考试日期]])*(表成绩单[政治]&lt;9E+307)*(表成绩单[政治]&gt;表成绩单[[#This Row],[政治]]))+1)</f>
        <v>723</v>
      </c>
      <c r="V785" s="29" cm="1">
        <f t="array" ref="V785">IF(表成绩单[[#This Row],[历史]]="","",SUMPRODUCT((表成绩单[考试日期]=表成绩单[[#This Row],[考试日期]])*(表成绩单[历史]&lt;9E+307)*(表成绩单[历史]&gt;表成绩单[[#This Row],[历史]]))+1)</f>
        <v>757</v>
      </c>
      <c r="W785" s="29" cm="1">
        <f t="array" ref="W785">IF(表成绩单[[#This Row],[总分]]="","",SUMPRODUCT((表成绩单[考试日期]=表成绩单[[#This Row],[考试日期]])*(表成绩单[总分]&lt;9E+307)*(表成绩单[总分]&gt;表成绩单[[#This Row],[总分]]))+1)</f>
        <v>782</v>
      </c>
    </row>
    <row r="786" ht="28" customHeight="1" spans="4:23">
      <c r="D786" s="31">
        <v>45975</v>
      </c>
      <c r="E786" s="29">
        <v>19176003</v>
      </c>
      <c r="F786" s="29" t="s">
        <v>59</v>
      </c>
      <c r="G786" s="29" t="s">
        <v>859</v>
      </c>
      <c r="H786" s="29">
        <v>68</v>
      </c>
      <c r="I786" s="29">
        <v>27</v>
      </c>
      <c r="J786" s="29">
        <v>45</v>
      </c>
      <c r="K786" s="29">
        <v>47</v>
      </c>
      <c r="L786" s="29">
        <v>51</v>
      </c>
      <c r="M786" s="29">
        <v>43</v>
      </c>
      <c r="N786" s="29">
        <v>45</v>
      </c>
      <c r="O786" s="32">
        <v>326</v>
      </c>
      <c r="P786" s="29" cm="1">
        <f t="array" ref="P786">IF(表成绩单[[#This Row],[语文]]="","",SUMPRODUCT((表成绩单[考试日期]=表成绩单[[#This Row],[考试日期]])*(表成绩单[语文]&lt;9E+307)*(表成绩单[语文]&gt;表成绩单[[#This Row],[语文]]))+1)</f>
        <v>774</v>
      </c>
      <c r="Q786" s="29" cm="1">
        <f t="array" ref="Q786">IF(表成绩单[[#This Row],[数学]]="","",SUMPRODUCT((表成绩单[考试日期]=表成绩单[[#This Row],[考试日期]])*(表成绩单[数学]&lt;9E+307)*(表成绩单[数学]&gt;表成绩单[[#This Row],[数学]]))+1)</f>
        <v>787</v>
      </c>
      <c r="R786" s="29" cm="1">
        <f t="array" ref="R786">IF(表成绩单[[#This Row],[英语]]="","",SUMPRODUCT((表成绩单[考试日期]=表成绩单[[#This Row],[考试日期]])*(表成绩单[英语]&lt;9E+307)*(表成绩单[英语]&gt;表成绩单[[#This Row],[英语]]))+1)</f>
        <v>747</v>
      </c>
      <c r="S786" s="29" cm="1">
        <f t="array" ref="S786">IF(表成绩单[[#This Row],[物理]]="","",SUMPRODUCT((表成绩单[考试日期]=表成绩单[[#This Row],[考试日期]])*(表成绩单[物理]&lt;9E+307)*(表成绩单[物理]&gt;表成绩单[[#This Row],[物理]]))+1)</f>
        <v>767</v>
      </c>
      <c r="T786" s="29" cm="1">
        <f t="array" ref="T786">IF(表成绩单[[#This Row],[化学]]="","",SUMPRODUCT((表成绩单[考试日期]=表成绩单[[#This Row],[考试日期]])*(表成绩单[化学]&lt;9E+307)*(表成绩单[化学]&gt;表成绩单[[#This Row],[化学]]))+1)</f>
        <v>730</v>
      </c>
      <c r="U786" s="29" cm="1">
        <f t="array" ref="U786">IF(表成绩单[[#This Row],[政治]]="","",SUMPRODUCT((表成绩单[考试日期]=表成绩单[[#This Row],[考试日期]])*(表成绩单[政治]&lt;9E+307)*(表成绩单[政治]&gt;表成绩单[[#This Row],[政治]]))+1)</f>
        <v>783</v>
      </c>
      <c r="V786" s="29" cm="1">
        <f t="array" ref="V786">IF(表成绩单[[#This Row],[历史]]="","",SUMPRODUCT((表成绩单[考试日期]=表成绩单[[#This Row],[考试日期]])*(表成绩单[历史]&lt;9E+307)*(表成绩单[历史]&gt;表成绩单[[#This Row],[历史]]))+1)</f>
        <v>780</v>
      </c>
      <c r="W786" s="29" cm="1">
        <f t="array" ref="W786">IF(表成绩单[[#This Row],[总分]]="","",SUMPRODUCT((表成绩单[考试日期]=表成绩单[[#This Row],[考试日期]])*(表成绩单[总分]&lt;9E+307)*(表成绩单[总分]&gt;表成绩单[[#This Row],[总分]]))+1)</f>
        <v>783</v>
      </c>
    </row>
    <row r="787" ht="28" customHeight="1" spans="4:23">
      <c r="D787" s="31">
        <v>45975</v>
      </c>
      <c r="E787" s="29">
        <v>19176021</v>
      </c>
      <c r="F787" s="29" t="s">
        <v>59</v>
      </c>
      <c r="G787" s="29" t="s">
        <v>860</v>
      </c>
      <c r="H787" s="29">
        <v>63</v>
      </c>
      <c r="I787" s="29">
        <v>34</v>
      </c>
      <c r="J787" s="29">
        <v>33.5</v>
      </c>
      <c r="K787" s="29">
        <v>42</v>
      </c>
      <c r="L787" s="29">
        <v>44</v>
      </c>
      <c r="M787" s="29">
        <v>45</v>
      </c>
      <c r="N787" s="29">
        <v>59</v>
      </c>
      <c r="O787" s="32">
        <v>320.5</v>
      </c>
      <c r="P787" s="29" cm="1">
        <f t="array" ref="P787">IF(表成绩单[[#This Row],[语文]]="","",SUMPRODUCT((表成绩单[考试日期]=表成绩单[[#This Row],[考试日期]])*(表成绩单[语文]&lt;9E+307)*(表成绩单[语文]&gt;表成绩单[[#This Row],[语文]]))+1)</f>
        <v>788</v>
      </c>
      <c r="Q787" s="29" cm="1">
        <f t="array" ref="Q787">IF(表成绩单[[#This Row],[数学]]="","",SUMPRODUCT((表成绩单[考试日期]=表成绩单[[#This Row],[考试日期]])*(表成绩单[数学]&lt;9E+307)*(表成绩单[数学]&gt;表成绩单[[#This Row],[数学]]))+1)</f>
        <v>778</v>
      </c>
      <c r="R787" s="29" cm="1">
        <f t="array" ref="R787">IF(表成绩单[[#This Row],[英语]]="","",SUMPRODUCT((表成绩单[考试日期]=表成绩单[[#This Row],[考试日期]])*(表成绩单[英语]&lt;9E+307)*(表成绩单[英语]&gt;表成绩单[[#This Row],[英语]]))+1)</f>
        <v>774</v>
      </c>
      <c r="S787" s="29" cm="1">
        <f t="array" ref="S787">IF(表成绩单[[#This Row],[物理]]="","",SUMPRODUCT((表成绩单[考试日期]=表成绩单[[#This Row],[考试日期]])*(表成绩单[物理]&lt;9E+307)*(表成绩单[物理]&gt;表成绩单[[#This Row],[物理]]))+1)</f>
        <v>781</v>
      </c>
      <c r="T787" s="29" cm="1">
        <f t="array" ref="T787">IF(表成绩单[[#This Row],[化学]]="","",SUMPRODUCT((表成绩单[考试日期]=表成绩单[[#This Row],[考试日期]])*(表成绩单[化学]&lt;9E+307)*(表成绩单[化学]&gt;表成绩单[[#This Row],[化学]]))+1)</f>
        <v>765</v>
      </c>
      <c r="U787" s="29" cm="1">
        <f t="array" ref="U787">IF(表成绩单[[#This Row],[政治]]="","",SUMPRODUCT((表成绩单[考试日期]=表成绩单[[#This Row],[考试日期]])*(表成绩单[政治]&lt;9E+307)*(表成绩单[政治]&gt;表成绩单[[#This Row],[政治]]))+1)</f>
        <v>779</v>
      </c>
      <c r="V787" s="29" cm="1">
        <f t="array" ref="V787">IF(表成绩单[[#This Row],[历史]]="","",SUMPRODUCT((表成绩单[考试日期]=表成绩单[[#This Row],[考试日期]])*(表成绩单[历史]&lt;9E+307)*(表成绩单[历史]&gt;表成绩单[[#This Row],[历史]]))+1)</f>
        <v>724</v>
      </c>
      <c r="W787" s="29" cm="1">
        <f t="array" ref="W787">IF(表成绩单[[#This Row],[总分]]="","",SUMPRODUCT((表成绩单[考试日期]=表成绩单[[#This Row],[考试日期]])*(表成绩单[总分]&lt;9E+307)*(表成绩单[总分]&gt;表成绩单[[#This Row],[总分]]))+1)</f>
        <v>784</v>
      </c>
    </row>
    <row r="788" ht="28" customHeight="1" spans="4:23">
      <c r="D788" s="31">
        <v>45975</v>
      </c>
      <c r="E788" s="29">
        <v>19177589</v>
      </c>
      <c r="F788" s="29" t="s">
        <v>58</v>
      </c>
      <c r="G788" s="29" t="s">
        <v>861</v>
      </c>
      <c r="H788" s="29">
        <v>70</v>
      </c>
      <c r="I788" s="29">
        <v>46</v>
      </c>
      <c r="J788" s="29">
        <v>52.5</v>
      </c>
      <c r="K788" s="29">
        <v>46</v>
      </c>
      <c r="L788" s="29">
        <v>31</v>
      </c>
      <c r="M788" s="29">
        <v>35</v>
      </c>
      <c r="N788" s="29">
        <v>40</v>
      </c>
      <c r="O788" s="32">
        <v>320.5</v>
      </c>
      <c r="P788" s="29" cm="1">
        <f t="array" ref="P788">IF(表成绩单[[#This Row],[语文]]="","",SUMPRODUCT((表成绩单[考试日期]=表成绩单[[#This Row],[考试日期]])*(表成绩单[语文]&lt;9E+307)*(表成绩单[语文]&gt;表成绩单[[#This Row],[语文]]))+1)</f>
        <v>768</v>
      </c>
      <c r="Q788" s="29" cm="1">
        <f t="array" ref="Q788">IF(表成绩单[[#This Row],[数学]]="","",SUMPRODUCT((表成绩单[考试日期]=表成绩单[[#This Row],[考试日期]])*(表成绩单[数学]&lt;9E+307)*(表成绩单[数学]&gt;表成绩单[[#This Row],[数学]]))+1)</f>
        <v>763</v>
      </c>
      <c r="R788" s="29" cm="1">
        <f t="array" ref="R788">IF(表成绩单[[#This Row],[英语]]="","",SUMPRODUCT((表成绩单[考试日期]=表成绩单[[#This Row],[考试日期]])*(表成绩单[英语]&lt;9E+307)*(表成绩单[英语]&gt;表成绩单[[#This Row],[英语]]))+1)</f>
        <v>712</v>
      </c>
      <c r="S788" s="29" cm="1">
        <f t="array" ref="S788">IF(表成绩单[[#This Row],[物理]]="","",SUMPRODUCT((表成绩单[考试日期]=表成绩单[[#This Row],[考试日期]])*(表成绩单[物理]&lt;9E+307)*(表成绩单[物理]&gt;表成绩单[[#This Row],[物理]]))+1)</f>
        <v>772</v>
      </c>
      <c r="T788" s="29" cm="1">
        <f t="array" ref="T788">IF(表成绩单[[#This Row],[化学]]="","",SUMPRODUCT((表成绩单[考试日期]=表成绩单[[#This Row],[考试日期]])*(表成绩单[化学]&lt;9E+307)*(表成绩单[化学]&gt;表成绩单[[#This Row],[化学]]))+1)</f>
        <v>788</v>
      </c>
      <c r="U788" s="29" cm="1">
        <f t="array" ref="U788">IF(表成绩单[[#This Row],[政治]]="","",SUMPRODUCT((表成绩单[考试日期]=表成绩单[[#This Row],[考试日期]])*(表成绩单[政治]&lt;9E+307)*(表成绩单[政治]&gt;表成绩单[[#This Row],[政治]]))+1)</f>
        <v>791</v>
      </c>
      <c r="V788" s="29" cm="1">
        <f t="array" ref="V788">IF(表成绩单[[#This Row],[历史]]="","",SUMPRODUCT((表成绩单[考试日期]=表成绩单[[#This Row],[考试日期]])*(表成绩单[历史]&lt;9E+307)*(表成绩单[历史]&gt;表成绩单[[#This Row],[历史]]))+1)</f>
        <v>787</v>
      </c>
      <c r="W788" s="29" cm="1">
        <f t="array" ref="W788">IF(表成绩单[[#This Row],[总分]]="","",SUMPRODUCT((表成绩单[考试日期]=表成绩单[[#This Row],[考试日期]])*(表成绩单[总分]&lt;9E+307)*(表成绩单[总分]&gt;表成绩单[[#This Row],[总分]]))+1)</f>
        <v>784</v>
      </c>
    </row>
    <row r="789" ht="28" customHeight="1" spans="4:23">
      <c r="D789" s="31">
        <v>45975</v>
      </c>
      <c r="E789" s="29">
        <v>19175600</v>
      </c>
      <c r="F789" s="29" t="s">
        <v>57</v>
      </c>
      <c r="G789" s="29" t="s">
        <v>862</v>
      </c>
      <c r="H789" s="29">
        <v>75</v>
      </c>
      <c r="I789" s="29">
        <v>27</v>
      </c>
      <c r="J789" s="29">
        <v>39.5</v>
      </c>
      <c r="K789" s="29">
        <v>45</v>
      </c>
      <c r="L789" s="29">
        <v>40</v>
      </c>
      <c r="M789" s="29">
        <v>51</v>
      </c>
      <c r="N789" s="29">
        <v>38</v>
      </c>
      <c r="O789" s="32">
        <v>315.5</v>
      </c>
      <c r="P789" s="29" cm="1">
        <f t="array" ref="P789">IF(表成绩单[[#This Row],[语文]]="","",SUMPRODUCT((表成绩单[考试日期]=表成绩单[[#This Row],[考试日期]])*(表成绩单[语文]&lt;9E+307)*(表成绩单[语文]&gt;表成绩单[[#This Row],[语文]]))+1)</f>
        <v>747</v>
      </c>
      <c r="Q789" s="29" cm="1">
        <f t="array" ref="Q789">IF(表成绩单[[#This Row],[数学]]="","",SUMPRODUCT((表成绩单[考试日期]=表成绩单[[#This Row],[考试日期]])*(表成绩单[数学]&lt;9E+307)*(表成绩单[数学]&gt;表成绩单[[#This Row],[数学]]))+1)</f>
        <v>787</v>
      </c>
      <c r="R789" s="29" cm="1">
        <f t="array" ref="R789">IF(表成绩单[[#This Row],[英语]]="","",SUMPRODUCT((表成绩单[考试日期]=表成绩单[[#This Row],[考试日期]])*(表成绩单[英语]&lt;9E+307)*(表成绩单[英语]&gt;表成绩单[[#This Row],[英语]]))+1)</f>
        <v>763</v>
      </c>
      <c r="S789" s="29" cm="1">
        <f t="array" ref="S789">IF(表成绩单[[#This Row],[物理]]="","",SUMPRODUCT((表成绩单[考试日期]=表成绩单[[#This Row],[考试日期]])*(表成绩单[物理]&lt;9E+307)*(表成绩单[物理]&gt;表成绩单[[#This Row],[物理]]))+1)</f>
        <v>777</v>
      </c>
      <c r="T789" s="29" cm="1">
        <f t="array" ref="T789">IF(表成绩单[[#This Row],[化学]]="","",SUMPRODUCT((表成绩单[考试日期]=表成绩单[[#This Row],[考试日期]])*(表成绩单[化学]&lt;9E+307)*(表成绩单[化学]&gt;表成绩单[[#This Row],[化学]]))+1)</f>
        <v>778</v>
      </c>
      <c r="U789" s="29" cm="1">
        <f t="array" ref="U789">IF(表成绩单[[#This Row],[政治]]="","",SUMPRODUCT((表成绩单[考试日期]=表成绩单[[#This Row],[考试日期]])*(表成绩单[政治]&lt;9E+307)*(表成绩单[政治]&gt;表成绩单[[#This Row],[政治]]))+1)</f>
        <v>753</v>
      </c>
      <c r="V789" s="29" cm="1">
        <f t="array" ref="V789">IF(表成绩单[[#This Row],[历史]]="","",SUMPRODUCT((表成绩单[考试日期]=表成绩单[[#This Row],[考试日期]])*(表成绩单[历史]&lt;9E+307)*(表成绩单[历史]&gt;表成绩单[[#This Row],[历史]]))+1)</f>
        <v>789</v>
      </c>
      <c r="W789" s="29" cm="1">
        <f t="array" ref="W789">IF(表成绩单[[#This Row],[总分]]="","",SUMPRODUCT((表成绩单[考试日期]=表成绩单[[#This Row],[考试日期]])*(表成绩单[总分]&lt;9E+307)*(表成绩单[总分]&gt;表成绩单[[#This Row],[总分]]))+1)</f>
        <v>786</v>
      </c>
    </row>
    <row r="790" ht="28" customHeight="1" spans="4:23">
      <c r="D790" s="31">
        <v>45975</v>
      </c>
      <c r="E790" s="29">
        <v>26753945</v>
      </c>
      <c r="F790" s="29" t="s">
        <v>57</v>
      </c>
      <c r="G790" s="29" t="s">
        <v>863</v>
      </c>
      <c r="H790" s="29">
        <v>69</v>
      </c>
      <c r="I790" s="29">
        <v>22</v>
      </c>
      <c r="J790" s="29">
        <v>26</v>
      </c>
      <c r="K790" s="29">
        <v>47</v>
      </c>
      <c r="L790" s="29">
        <v>55</v>
      </c>
      <c r="M790" s="29">
        <v>37</v>
      </c>
      <c r="N790" s="29">
        <v>59</v>
      </c>
      <c r="O790" s="32">
        <v>315</v>
      </c>
      <c r="P790" s="29" cm="1">
        <f t="array" ref="P790">IF(表成绩单[[#This Row],[语文]]="","",SUMPRODUCT((表成绩单[考试日期]=表成绩单[[#This Row],[考试日期]])*(表成绩单[语文]&lt;9E+307)*(表成绩单[语文]&gt;表成绩单[[#This Row],[语文]]))+1)</f>
        <v>770</v>
      </c>
      <c r="Q790" s="29" cm="1">
        <f t="array" ref="Q790">IF(表成绩单[[#This Row],[数学]]="","",SUMPRODUCT((表成绩单[考试日期]=表成绩单[[#This Row],[考试日期]])*(表成绩单[数学]&lt;9E+307)*(表成绩单[数学]&gt;表成绩单[[#This Row],[数学]]))+1)</f>
        <v>792</v>
      </c>
      <c r="R790" s="29" cm="1">
        <f t="array" ref="R790">IF(表成绩单[[#This Row],[英语]]="","",SUMPRODUCT((表成绩单[考试日期]=表成绩单[[#This Row],[考试日期]])*(表成绩单[英语]&lt;9E+307)*(表成绩单[英语]&gt;表成绩单[[#This Row],[英语]]))+1)</f>
        <v>786</v>
      </c>
      <c r="S790" s="29" cm="1">
        <f t="array" ref="S790">IF(表成绩单[[#This Row],[物理]]="","",SUMPRODUCT((表成绩单[考试日期]=表成绩单[[#This Row],[考试日期]])*(表成绩单[物理]&lt;9E+307)*(表成绩单[物理]&gt;表成绩单[[#This Row],[物理]]))+1)</f>
        <v>767</v>
      </c>
      <c r="T790" s="29" cm="1">
        <f t="array" ref="T790">IF(表成绩单[[#This Row],[化学]]="","",SUMPRODUCT((表成绩单[考试日期]=表成绩单[[#This Row],[考试日期]])*(表成绩单[化学]&lt;9E+307)*(表成绩单[化学]&gt;表成绩单[[#This Row],[化学]]))+1)</f>
        <v>692</v>
      </c>
      <c r="U790" s="29" cm="1">
        <f t="array" ref="U790">IF(表成绩单[[#This Row],[政治]]="","",SUMPRODUCT((表成绩单[考试日期]=表成绩单[[#This Row],[考试日期]])*(表成绩单[政治]&lt;9E+307)*(表成绩单[政治]&gt;表成绩单[[#This Row],[政治]]))+1)</f>
        <v>790</v>
      </c>
      <c r="V790" s="29" cm="1">
        <f t="array" ref="V790">IF(表成绩单[[#This Row],[历史]]="","",SUMPRODUCT((表成绩单[考试日期]=表成绩单[[#This Row],[考试日期]])*(表成绩单[历史]&lt;9E+307)*(表成绩单[历史]&gt;表成绩单[[#This Row],[历史]]))+1)</f>
        <v>724</v>
      </c>
      <c r="W790" s="29" cm="1">
        <f t="array" ref="W790">IF(表成绩单[[#This Row],[总分]]="","",SUMPRODUCT((表成绩单[考试日期]=表成绩单[[#This Row],[考试日期]])*(表成绩单[总分]&lt;9E+307)*(表成绩单[总分]&gt;表成绩单[[#This Row],[总分]]))+1)</f>
        <v>787</v>
      </c>
    </row>
    <row r="791" ht="28" customHeight="1" spans="4:23">
      <c r="D791" s="31">
        <v>45975</v>
      </c>
      <c r="E791" s="29">
        <v>19177609</v>
      </c>
      <c r="F791" s="29" t="s">
        <v>58</v>
      </c>
      <c r="G791" s="29" t="s">
        <v>864</v>
      </c>
      <c r="H791" s="29">
        <v>64</v>
      </c>
      <c r="I791" s="29">
        <v>38</v>
      </c>
      <c r="J791" s="29">
        <v>30</v>
      </c>
      <c r="K791" s="29">
        <v>48</v>
      </c>
      <c r="L791" s="29">
        <v>42</v>
      </c>
      <c r="M791" s="29">
        <v>49</v>
      </c>
      <c r="N791" s="29">
        <v>40</v>
      </c>
      <c r="O791" s="32">
        <v>311</v>
      </c>
      <c r="P791" s="29" cm="1">
        <f t="array" ref="P791">IF(表成绩单[[#This Row],[语文]]="","",SUMPRODUCT((表成绩单[考试日期]=表成绩单[[#This Row],[考试日期]])*(表成绩单[语文]&lt;9E+307)*(表成绩单[语文]&gt;表成绩单[[#This Row],[语文]]))+1)</f>
        <v>785</v>
      </c>
      <c r="Q791" s="29" cm="1">
        <f t="array" ref="Q791">IF(表成绩单[[#This Row],[数学]]="","",SUMPRODUCT((表成绩单[考试日期]=表成绩单[[#This Row],[考试日期]])*(表成绩单[数学]&lt;9E+307)*(表成绩单[数学]&gt;表成绩单[[#This Row],[数学]]))+1)</f>
        <v>776</v>
      </c>
      <c r="R791" s="29" cm="1">
        <f t="array" ref="R791">IF(表成绩单[[#This Row],[英语]]="","",SUMPRODUCT((表成绩单[考试日期]=表成绩单[[#This Row],[考试日期]])*(表成绩单[英语]&lt;9E+307)*(表成绩单[英语]&gt;表成绩单[[#This Row],[英语]]))+1)</f>
        <v>781</v>
      </c>
      <c r="S791" s="29" cm="1">
        <f t="array" ref="S791">IF(表成绩单[[#This Row],[物理]]="","",SUMPRODUCT((表成绩单[考试日期]=表成绩单[[#This Row],[考试日期]])*(表成绩单[物理]&lt;9E+307)*(表成绩单[物理]&gt;表成绩单[[#This Row],[物理]]))+1)</f>
        <v>764</v>
      </c>
      <c r="T791" s="29" cm="1">
        <f t="array" ref="T791">IF(表成绩单[[#This Row],[化学]]="","",SUMPRODUCT((表成绩单[考试日期]=表成绩单[[#This Row],[考试日期]])*(表成绩单[化学]&lt;9E+307)*(表成绩单[化学]&gt;表成绩单[[#This Row],[化学]]))+1)</f>
        <v>772</v>
      </c>
      <c r="U791" s="29" cm="1">
        <f t="array" ref="U791">IF(表成绩单[[#This Row],[政治]]="","",SUMPRODUCT((表成绩单[考试日期]=表成绩单[[#This Row],[考试日期]])*(表成绩单[政治]&lt;9E+307)*(表成绩单[政治]&gt;表成绩单[[#This Row],[政治]]))+1)</f>
        <v>764</v>
      </c>
      <c r="V791" s="29" cm="1">
        <f t="array" ref="V791">IF(表成绩单[[#This Row],[历史]]="","",SUMPRODUCT((表成绩单[考试日期]=表成绩单[[#This Row],[考试日期]])*(表成绩单[历史]&lt;9E+307)*(表成绩单[历史]&gt;表成绩单[[#This Row],[历史]]))+1)</f>
        <v>787</v>
      </c>
      <c r="W791" s="29" cm="1">
        <f t="array" ref="W791">IF(表成绩单[[#This Row],[总分]]="","",SUMPRODUCT((表成绩单[考试日期]=表成绩单[[#This Row],[考试日期]])*(表成绩单[总分]&lt;9E+307)*(表成绩单[总分]&gt;表成绩单[[#This Row],[总分]]))+1)</f>
        <v>788</v>
      </c>
    </row>
    <row r="792" ht="28" customHeight="1" spans="4:23">
      <c r="D792" s="31">
        <v>45975</v>
      </c>
      <c r="E792" s="29">
        <v>19172637</v>
      </c>
      <c r="F792" s="29" t="s">
        <v>60</v>
      </c>
      <c r="G792" s="29" t="s">
        <v>865</v>
      </c>
      <c r="H792" s="29">
        <v>61</v>
      </c>
      <c r="I792" s="29">
        <v>31</v>
      </c>
      <c r="J792" s="29">
        <v>58.5</v>
      </c>
      <c r="K792" s="29">
        <v>32</v>
      </c>
      <c r="L792" s="29">
        <v>31</v>
      </c>
      <c r="M792" s="29">
        <v>41</v>
      </c>
      <c r="N792" s="29">
        <v>52</v>
      </c>
      <c r="O792" s="32">
        <v>306.5</v>
      </c>
      <c r="P792" s="29" cm="1">
        <f t="array" ref="P792">IF(表成绩单[[#This Row],[语文]]="","",SUMPRODUCT((表成绩单[考试日期]=表成绩单[[#This Row],[考试日期]])*(表成绩单[语文]&lt;9E+307)*(表成绩单[语文]&gt;表成绩单[[#This Row],[语文]]))+1)</f>
        <v>790</v>
      </c>
      <c r="Q792" s="29" cm="1">
        <f t="array" ref="Q792">IF(表成绩单[[#This Row],[数学]]="","",SUMPRODUCT((表成绩单[考试日期]=表成绩单[[#This Row],[考试日期]])*(表成绩单[数学]&lt;9E+307)*(表成绩单[数学]&gt;表成绩单[[#This Row],[数学]]))+1)</f>
        <v>784</v>
      </c>
      <c r="R792" s="29" cm="1">
        <f t="array" ref="R792">IF(表成绩单[[#This Row],[英语]]="","",SUMPRODUCT((表成绩单[考试日期]=表成绩单[[#This Row],[考试日期]])*(表成绩单[英语]&lt;9E+307)*(表成绩单[英语]&gt;表成绩单[[#This Row],[英语]]))+1)</f>
        <v>680</v>
      </c>
      <c r="S792" s="29" cm="1">
        <f t="array" ref="S792">IF(表成绩单[[#This Row],[物理]]="","",SUMPRODUCT((表成绩单[考试日期]=表成绩单[[#This Row],[考试日期]])*(表成绩单[物理]&lt;9E+307)*(表成绩单[物理]&gt;表成绩单[[#This Row],[物理]]))+1)</f>
        <v>791</v>
      </c>
      <c r="T792" s="29" cm="1">
        <f t="array" ref="T792">IF(表成绩单[[#This Row],[化学]]="","",SUMPRODUCT((表成绩单[考试日期]=表成绩单[[#This Row],[考试日期]])*(表成绩单[化学]&lt;9E+307)*(表成绩单[化学]&gt;表成绩单[[#This Row],[化学]]))+1)</f>
        <v>788</v>
      </c>
      <c r="U792" s="29" cm="1">
        <f t="array" ref="U792">IF(表成绩单[[#This Row],[政治]]="","",SUMPRODUCT((表成绩单[考试日期]=表成绩单[[#This Row],[考试日期]])*(表成绩单[政治]&lt;9E+307)*(表成绩单[政治]&gt;表成绩单[[#This Row],[政治]]))+1)</f>
        <v>785</v>
      </c>
      <c r="V792" s="29" cm="1">
        <f t="array" ref="V792">IF(表成绩单[[#This Row],[历史]]="","",SUMPRODUCT((表成绩单[考试日期]=表成绩单[[#This Row],[考试日期]])*(表成绩单[历史]&lt;9E+307)*(表成绩单[历史]&gt;表成绩单[[#This Row],[历史]]))+1)</f>
        <v>764</v>
      </c>
      <c r="W792" s="29" cm="1">
        <f t="array" ref="W792">IF(表成绩单[[#This Row],[总分]]="","",SUMPRODUCT((表成绩单[考试日期]=表成绩单[[#This Row],[考试日期]])*(表成绩单[总分]&lt;9E+307)*(表成绩单[总分]&gt;表成绩单[[#This Row],[总分]]))+1)</f>
        <v>789</v>
      </c>
    </row>
    <row r="793" ht="28" customHeight="1" spans="4:23">
      <c r="D793" s="31">
        <v>45975</v>
      </c>
      <c r="E793" s="29">
        <v>19173769</v>
      </c>
      <c r="F793" s="29" t="s">
        <v>65</v>
      </c>
      <c r="G793" s="29" t="s">
        <v>866</v>
      </c>
      <c r="H793" s="29">
        <v>64</v>
      </c>
      <c r="I793" s="29">
        <v>16</v>
      </c>
      <c r="J793" s="29">
        <v>32.5</v>
      </c>
      <c r="K793" s="29">
        <v>40</v>
      </c>
      <c r="L793" s="29">
        <v>50</v>
      </c>
      <c r="M793" s="29">
        <v>46</v>
      </c>
      <c r="N793" s="29">
        <v>53</v>
      </c>
      <c r="O793" s="32">
        <v>301.5</v>
      </c>
      <c r="P793" s="29" cm="1">
        <f t="array" ref="P793">IF(表成绩单[[#This Row],[语文]]="","",SUMPRODUCT((表成绩单[考试日期]=表成绩单[[#This Row],[考试日期]])*(表成绩单[语文]&lt;9E+307)*(表成绩单[语文]&gt;表成绩单[[#This Row],[语文]]))+1)</f>
        <v>785</v>
      </c>
      <c r="Q793" s="29" cm="1">
        <f t="array" ref="Q793">IF(表成绩单[[#This Row],[数学]]="","",SUMPRODUCT((表成绩单[考试日期]=表成绩单[[#This Row],[考试日期]])*(表成绩单[数学]&lt;9E+307)*(表成绩单[数学]&gt;表成绩单[[#This Row],[数学]]))+1)</f>
        <v>793</v>
      </c>
      <c r="R793" s="29" cm="1">
        <f t="array" ref="R793">IF(表成绩单[[#This Row],[英语]]="","",SUMPRODUCT((表成绩单[考试日期]=表成绩单[[#This Row],[考试日期]])*(表成绩单[英语]&lt;9E+307)*(表成绩单[英语]&gt;表成绩单[[#This Row],[英语]]))+1)</f>
        <v>776</v>
      </c>
      <c r="S793" s="29" cm="1">
        <f t="array" ref="S793">IF(表成绩单[[#This Row],[物理]]="","",SUMPRODUCT((表成绩单[考试日期]=表成绩单[[#This Row],[考试日期]])*(表成绩单[物理]&lt;9E+307)*(表成绩单[物理]&gt;表成绩单[[#This Row],[物理]]))+1)</f>
        <v>783</v>
      </c>
      <c r="T793" s="29" cm="1">
        <f t="array" ref="T793">IF(表成绩单[[#This Row],[化学]]="","",SUMPRODUCT((表成绩单[考试日期]=表成绩单[[#This Row],[考试日期]])*(表成绩单[化学]&lt;9E+307)*(表成绩单[化学]&gt;表成绩单[[#This Row],[化学]]))+1)</f>
        <v>736</v>
      </c>
      <c r="U793" s="29" cm="1">
        <f t="array" ref="U793">IF(表成绩单[[#This Row],[政治]]="","",SUMPRODUCT((表成绩单[考试日期]=表成绩单[[#This Row],[考试日期]])*(表成绩单[政治]&lt;9E+307)*(表成绩单[政治]&gt;表成绩单[[#This Row],[政治]]))+1)</f>
        <v>774</v>
      </c>
      <c r="V793" s="29" cm="1">
        <f t="array" ref="V793">IF(表成绩单[[#This Row],[历史]]="","",SUMPRODUCT((表成绩单[考试日期]=表成绩单[[#This Row],[考试日期]])*(表成绩单[历史]&lt;9E+307)*(表成绩单[历史]&gt;表成绩单[[#This Row],[历史]]))+1)</f>
        <v>757</v>
      </c>
      <c r="W793" s="29" cm="1">
        <f t="array" ref="W793">IF(表成绩单[[#This Row],[总分]]="","",SUMPRODUCT((表成绩单[考试日期]=表成绩单[[#This Row],[考试日期]])*(表成绩单[总分]&lt;9E+307)*(表成绩单[总分]&gt;表成绩单[[#This Row],[总分]]))+1)</f>
        <v>790</v>
      </c>
    </row>
    <row r="794" ht="28" customHeight="1" spans="4:23">
      <c r="D794" s="31">
        <v>45975</v>
      </c>
      <c r="E794" s="29">
        <v>19175298</v>
      </c>
      <c r="F794" s="29" t="s">
        <v>55</v>
      </c>
      <c r="G794" s="29" t="s">
        <v>867</v>
      </c>
      <c r="H794" s="29">
        <v>69</v>
      </c>
      <c r="I794" s="29">
        <v>33</v>
      </c>
      <c r="J794" s="29">
        <v>23</v>
      </c>
      <c r="K794" s="29">
        <v>38</v>
      </c>
      <c r="L794" s="29">
        <v>28</v>
      </c>
      <c r="M794" s="29">
        <v>54</v>
      </c>
      <c r="N794" s="29">
        <v>31</v>
      </c>
      <c r="O794" s="32">
        <v>276</v>
      </c>
      <c r="P794" s="29" cm="1">
        <f t="array" ref="P794">IF(表成绩单[[#This Row],[语文]]="","",SUMPRODUCT((表成绩单[考试日期]=表成绩单[[#This Row],[考试日期]])*(表成绩单[语文]&lt;9E+307)*(表成绩单[语文]&gt;表成绩单[[#This Row],[语文]]))+1)</f>
        <v>770</v>
      </c>
      <c r="Q794" s="29" cm="1">
        <f t="array" ref="Q794">IF(表成绩单[[#This Row],[数学]]="","",SUMPRODUCT((表成绩单[考试日期]=表成绩单[[#This Row],[考试日期]])*(表成绩单[数学]&lt;9E+307)*(表成绩单[数学]&gt;表成绩单[[#This Row],[数学]]))+1)</f>
        <v>780</v>
      </c>
      <c r="R794" s="29" cm="1">
        <f t="array" ref="R794">IF(表成绩单[[#This Row],[英语]]="","",SUMPRODUCT((表成绩单[考试日期]=表成绩单[[#This Row],[考试日期]])*(表成绩单[英语]&lt;9E+307)*(表成绩单[英语]&gt;表成绩单[[#This Row],[英语]]))+1)</f>
        <v>789</v>
      </c>
      <c r="S794" s="29" cm="1">
        <f t="array" ref="S794">IF(表成绩单[[#This Row],[物理]]="","",SUMPRODUCT((表成绩单[考试日期]=表成绩单[[#This Row],[考试日期]])*(表成绩单[物理]&lt;9E+307)*(表成绩单[物理]&gt;表成绩单[[#This Row],[物理]]))+1)</f>
        <v>786</v>
      </c>
      <c r="T794" s="29" cm="1">
        <f t="array" ref="T794">IF(表成绩单[[#This Row],[化学]]="","",SUMPRODUCT((表成绩单[考试日期]=表成绩单[[#This Row],[考试日期]])*(表成绩单[化学]&lt;9E+307)*(表成绩单[化学]&gt;表成绩单[[#This Row],[化学]]))+1)</f>
        <v>793</v>
      </c>
      <c r="U794" s="29" cm="1">
        <f t="array" ref="U794">IF(表成绩单[[#This Row],[政治]]="","",SUMPRODUCT((表成绩单[考试日期]=表成绩单[[#This Row],[考试日期]])*(表成绩单[政治]&lt;9E+307)*(表成绩单[政治]&gt;表成绩单[[#This Row],[政治]]))+1)</f>
        <v>723</v>
      </c>
      <c r="V794" s="29" cm="1">
        <f t="array" ref="V794">IF(表成绩单[[#This Row],[历史]]="","",SUMPRODUCT((表成绩单[考试日期]=表成绩单[[#This Row],[考试日期]])*(表成绩单[历史]&lt;9E+307)*(表成绩单[历史]&gt;表成绩单[[#This Row],[历史]]))+1)</f>
        <v>792</v>
      </c>
      <c r="W794" s="29" cm="1">
        <f t="array" ref="W794">IF(表成绩单[[#This Row],[总分]]="","",SUMPRODUCT((表成绩单[考试日期]=表成绩单[[#This Row],[考试日期]])*(表成绩单[总分]&lt;9E+307)*(表成绩单[总分]&gt;表成绩单[[#This Row],[总分]]))+1)</f>
        <v>791</v>
      </c>
    </row>
    <row r="795" ht="28" customHeight="1" spans="4:23">
      <c r="D795" s="31">
        <v>45975</v>
      </c>
      <c r="E795" s="29">
        <v>19175993</v>
      </c>
      <c r="F795" s="29" t="s">
        <v>59</v>
      </c>
      <c r="G795" s="29" t="s">
        <v>868</v>
      </c>
      <c r="H795" s="29">
        <v>38</v>
      </c>
      <c r="I795" s="29">
        <v>23</v>
      </c>
      <c r="J795" s="29">
        <v>48</v>
      </c>
      <c r="K795" s="29">
        <v>30</v>
      </c>
      <c r="L795" s="29">
        <v>33</v>
      </c>
      <c r="M795" s="29">
        <v>38</v>
      </c>
      <c r="N795" s="29">
        <v>38</v>
      </c>
      <c r="O795" s="32">
        <v>248</v>
      </c>
      <c r="P795" s="29" cm="1">
        <f t="array" ref="P795">IF(表成绩单[[#This Row],[语文]]="","",SUMPRODUCT((表成绩单[考试日期]=表成绩单[[#This Row],[考试日期]])*(表成绩单[语文]&lt;9E+307)*(表成绩单[语文]&gt;表成绩单[[#This Row],[语文]]))+1)</f>
        <v>794</v>
      </c>
      <c r="Q795" s="29" cm="1">
        <f t="array" ref="Q795">IF(表成绩单[[#This Row],[数学]]="","",SUMPRODUCT((表成绩单[考试日期]=表成绩单[[#This Row],[考试日期]])*(表成绩单[数学]&lt;9E+307)*(表成绩单[数学]&gt;表成绩单[[#This Row],[数学]]))+1)</f>
        <v>790</v>
      </c>
      <c r="R795" s="29" cm="1">
        <f t="array" ref="R795">IF(表成绩单[[#This Row],[英语]]="","",SUMPRODUCT((表成绩单[考试日期]=表成绩单[[#This Row],[考试日期]])*(表成绩单[英语]&lt;9E+307)*(表成绩单[英语]&gt;表成绩单[[#This Row],[英语]]))+1)</f>
        <v>737</v>
      </c>
      <c r="S795" s="29" cm="1">
        <f t="array" ref="S795">IF(表成绩单[[#This Row],[物理]]="","",SUMPRODUCT((表成绩单[考试日期]=表成绩单[[#This Row],[考试日期]])*(表成绩单[物理]&lt;9E+307)*(表成绩单[物理]&gt;表成绩单[[#This Row],[物理]]))+1)</f>
        <v>792</v>
      </c>
      <c r="T795" s="29" cm="1">
        <f t="array" ref="T795">IF(表成绩单[[#This Row],[化学]]="","",SUMPRODUCT((表成绩单[考试日期]=表成绩单[[#This Row],[考试日期]])*(表成绩单[化学]&lt;9E+307)*(表成绩单[化学]&gt;表成绩单[[#This Row],[化学]]))+1)</f>
        <v>786</v>
      </c>
      <c r="U795" s="29" cm="1">
        <f t="array" ref="U795">IF(表成绩单[[#This Row],[政治]]="","",SUMPRODUCT((表成绩单[考试日期]=表成绩单[[#This Row],[考试日期]])*(表成绩单[政治]&lt;9E+307)*(表成绩单[政治]&gt;表成绩单[[#This Row],[政治]]))+1)</f>
        <v>787</v>
      </c>
      <c r="V795" s="29" cm="1">
        <f t="array" ref="V795">IF(表成绩单[[#This Row],[历史]]="","",SUMPRODUCT((表成绩单[考试日期]=表成绩单[[#This Row],[考试日期]])*(表成绩单[历史]&lt;9E+307)*(表成绩单[历史]&gt;表成绩单[[#This Row],[历史]]))+1)</f>
        <v>789</v>
      </c>
      <c r="W795" s="29" cm="1">
        <f t="array" ref="W795">IF(表成绩单[[#This Row],[总分]]="","",SUMPRODUCT((表成绩单[考试日期]=表成绩单[[#This Row],[考试日期]])*(表成绩单[总分]&lt;9E+307)*(表成绩单[总分]&gt;表成绩单[[#This Row],[总分]]))+1)</f>
        <v>792</v>
      </c>
    </row>
    <row r="796" ht="28" customHeight="1" spans="4:23">
      <c r="D796" s="31">
        <v>45975</v>
      </c>
      <c r="E796" s="29">
        <v>19175300</v>
      </c>
      <c r="F796" s="29" t="s">
        <v>55</v>
      </c>
      <c r="G796" s="29" t="s">
        <v>869</v>
      </c>
      <c r="H796" s="29">
        <v>49</v>
      </c>
      <c r="I796" s="29">
        <v>9</v>
      </c>
      <c r="J796" s="29">
        <v>20</v>
      </c>
      <c r="K796" s="29">
        <v>23</v>
      </c>
      <c r="L796" s="29">
        <v>30</v>
      </c>
      <c r="M796" s="29">
        <v>33</v>
      </c>
      <c r="N796" s="29">
        <v>34</v>
      </c>
      <c r="O796" s="32">
        <v>198</v>
      </c>
      <c r="P796" s="29" cm="1">
        <f t="array" ref="P796">IF(表成绩单[[#This Row],[语文]]="","",SUMPRODUCT((表成绩单[考试日期]=表成绩单[[#This Row],[考试日期]])*(表成绩单[语文]&lt;9E+307)*(表成绩单[语文]&gt;表成绩单[[#This Row],[语文]]))+1)</f>
        <v>793</v>
      </c>
      <c r="Q796" s="29" cm="1">
        <f t="array" ref="Q796">IF(表成绩单[[#This Row],[数学]]="","",SUMPRODUCT((表成绩单[考试日期]=表成绩单[[#This Row],[考试日期]])*(表成绩单[数学]&lt;9E+307)*(表成绩单[数学]&gt;表成绩单[[#This Row],[数学]]))+1)</f>
        <v>794</v>
      </c>
      <c r="R796" s="29" cm="1">
        <f t="array" ref="R796">IF(表成绩单[[#This Row],[英语]]="","",SUMPRODUCT((表成绩单[考试日期]=表成绩单[[#This Row],[考试日期]])*(表成绩单[英语]&lt;9E+307)*(表成绩单[英语]&gt;表成绩单[[#This Row],[英语]]))+1)</f>
        <v>791</v>
      </c>
      <c r="S796" s="29" cm="1">
        <f t="array" ref="S796">IF(表成绩单[[#This Row],[物理]]="","",SUMPRODUCT((表成绩单[考试日期]=表成绩单[[#This Row],[考试日期]])*(表成绩单[物理]&lt;9E+307)*(表成绩单[物理]&gt;表成绩单[[#This Row],[物理]]))+1)</f>
        <v>793</v>
      </c>
      <c r="T796" s="29" cm="1">
        <f t="array" ref="T796">IF(表成绩单[[#This Row],[化学]]="","",SUMPRODUCT((表成绩单[考试日期]=表成绩单[[#This Row],[考试日期]])*(表成绩单[化学]&lt;9E+307)*(表成绩单[化学]&gt;表成绩单[[#This Row],[化学]]))+1)</f>
        <v>790</v>
      </c>
      <c r="U796" s="29" cm="1">
        <f t="array" ref="U796">IF(表成绩单[[#This Row],[政治]]="","",SUMPRODUCT((表成绩单[考试日期]=表成绩单[[#This Row],[考试日期]])*(表成绩单[政治]&lt;9E+307)*(表成绩单[政治]&gt;表成绩单[[#This Row],[政治]]))+1)</f>
        <v>792</v>
      </c>
      <c r="V796" s="29" cm="1">
        <f t="array" ref="V796">IF(表成绩单[[#This Row],[历史]]="","",SUMPRODUCT((表成绩单[考试日期]=表成绩单[[#This Row],[考试日期]])*(表成绩单[历史]&lt;9E+307)*(表成绩单[历史]&gt;表成绩单[[#This Row],[历史]]))+1)</f>
        <v>791</v>
      </c>
      <c r="W796" s="29" cm="1">
        <f t="array" ref="W796">IF(表成绩单[[#This Row],[总分]]="","",SUMPRODUCT((表成绩单[考试日期]=表成绩单[[#This Row],[考试日期]])*(表成绩单[总分]&lt;9E+307)*(表成绩单[总分]&gt;表成绩单[[#This Row],[总分]]))+1)</f>
        <v>793</v>
      </c>
    </row>
    <row r="797" ht="28" customHeight="1" spans="4:23">
      <c r="D797" s="31">
        <v>45975</v>
      </c>
      <c r="E797" s="29">
        <v>19175593</v>
      </c>
      <c r="F797" s="29" t="s">
        <v>57</v>
      </c>
      <c r="G797" s="29" t="s">
        <v>870</v>
      </c>
      <c r="H797" s="29">
        <v>50</v>
      </c>
      <c r="I797" s="29">
        <v>28</v>
      </c>
      <c r="J797" s="29">
        <v>16.5</v>
      </c>
      <c r="K797" s="29">
        <v>18</v>
      </c>
      <c r="L797" s="29">
        <v>19</v>
      </c>
      <c r="M797" s="29">
        <v>30</v>
      </c>
      <c r="N797" s="29">
        <v>26</v>
      </c>
      <c r="O797" s="32">
        <v>187.5</v>
      </c>
      <c r="P797" s="29" cm="1">
        <f t="array" ref="P797">IF(表成绩单[[#This Row],[语文]]="","",SUMPRODUCT((表成绩单[考试日期]=表成绩单[[#This Row],[考试日期]])*(表成绩单[语文]&lt;9E+307)*(表成绩单[语文]&gt;表成绩单[[#This Row],[语文]]))+1)</f>
        <v>792</v>
      </c>
      <c r="Q797" s="29" cm="1">
        <f t="array" ref="Q797">IF(表成绩单[[#This Row],[数学]]="","",SUMPRODUCT((表成绩单[考试日期]=表成绩单[[#This Row],[考试日期]])*(表成绩单[数学]&lt;9E+307)*(表成绩单[数学]&gt;表成绩单[[#This Row],[数学]]))+1)</f>
        <v>785</v>
      </c>
      <c r="R797" s="29" cm="1">
        <f t="array" ref="R797">IF(表成绩单[[#This Row],[英语]]="","",SUMPRODUCT((表成绩单[考试日期]=表成绩单[[#This Row],[考试日期]])*(表成绩单[英语]&lt;9E+307)*(表成绩单[英语]&gt;表成绩单[[#This Row],[英语]]))+1)</f>
        <v>794</v>
      </c>
      <c r="S797" s="29" cm="1">
        <f t="array" ref="S797">IF(表成绩单[[#This Row],[物理]]="","",SUMPRODUCT((表成绩单[考试日期]=表成绩单[[#This Row],[考试日期]])*(表成绩单[物理]&lt;9E+307)*(表成绩单[物理]&gt;表成绩单[[#This Row],[物理]]))+1)</f>
        <v>794</v>
      </c>
      <c r="T797" s="29" cm="1">
        <f t="array" ref="T797">IF(表成绩单[[#This Row],[化学]]="","",SUMPRODUCT((表成绩单[考试日期]=表成绩单[[#This Row],[考试日期]])*(表成绩单[化学]&lt;9E+307)*(表成绩单[化学]&gt;表成绩单[[#This Row],[化学]]))+1)</f>
        <v>794</v>
      </c>
      <c r="U797" s="29" cm="1">
        <f t="array" ref="U797">IF(表成绩单[[#This Row],[政治]]="","",SUMPRODUCT((表成绩单[考试日期]=表成绩单[[#This Row],[考试日期]])*(表成绩单[政治]&lt;9E+307)*(表成绩单[政治]&gt;表成绩单[[#This Row],[政治]]))+1)</f>
        <v>793</v>
      </c>
      <c r="V797" s="29" cm="1">
        <f t="array" ref="V797">IF(表成绩单[[#This Row],[历史]]="","",SUMPRODUCT((表成绩单[考试日期]=表成绩单[[#This Row],[考试日期]])*(表成绩单[历史]&lt;9E+307)*(表成绩单[历史]&gt;表成绩单[[#This Row],[历史]]))+1)</f>
        <v>793</v>
      </c>
      <c r="W797" s="29" cm="1">
        <f t="array" ref="W797">IF(表成绩单[[#This Row],[总分]]="","",SUMPRODUCT((表成绩单[考试日期]=表成绩单[[#This Row],[考试日期]])*(表成绩单[总分]&lt;9E+307)*(表成绩单[总分]&gt;表成绩单[[#This Row],[总分]]))+1)</f>
        <v>794</v>
      </c>
    </row>
    <row r="798" ht="28" customHeight="1" spans="4:23">
      <c r="D798" s="31">
        <v>45975</v>
      </c>
      <c r="E798" s="29">
        <v>19172662</v>
      </c>
      <c r="F798" s="29" t="s">
        <v>60</v>
      </c>
      <c r="G798" s="29" t="s">
        <v>871</v>
      </c>
      <c r="H798" s="29"/>
      <c r="I798" s="29"/>
      <c r="J798" s="29"/>
      <c r="K798" s="29"/>
      <c r="L798" s="29"/>
      <c r="M798" s="29">
        <v>16</v>
      </c>
      <c r="N798" s="29"/>
      <c r="O798" s="32">
        <v>16</v>
      </c>
      <c r="P798" s="29" t="str" cm="1">
        <f t="array" ref="P798">IF(表成绩单[[#This Row],[语文]]="","",SUMPRODUCT((表成绩单[考试日期]=表成绩单[[#This Row],[考试日期]])*(表成绩单[语文]&lt;9E+307)*(表成绩单[语文]&gt;表成绩单[[#This Row],[语文]]))+1)</f>
        <v/>
      </c>
      <c r="Q798" s="29" t="str" cm="1">
        <f t="array" ref="Q798">IF(表成绩单[[#This Row],[数学]]="","",SUMPRODUCT((表成绩单[考试日期]=表成绩单[[#This Row],[考试日期]])*(表成绩单[数学]&lt;9E+307)*(表成绩单[数学]&gt;表成绩单[[#This Row],[数学]]))+1)</f>
        <v/>
      </c>
      <c r="R798" s="29" t="str" cm="1">
        <f t="array" ref="R798">IF(表成绩单[[#This Row],[英语]]="","",SUMPRODUCT((表成绩单[考试日期]=表成绩单[[#This Row],[考试日期]])*(表成绩单[英语]&lt;9E+307)*(表成绩单[英语]&gt;表成绩单[[#This Row],[英语]]))+1)</f>
        <v/>
      </c>
      <c r="S798" s="29" t="str" cm="1">
        <f t="array" ref="S798">IF(表成绩单[[#This Row],[物理]]="","",SUMPRODUCT((表成绩单[考试日期]=表成绩单[[#This Row],[考试日期]])*(表成绩单[物理]&lt;9E+307)*(表成绩单[物理]&gt;表成绩单[[#This Row],[物理]]))+1)</f>
        <v/>
      </c>
      <c r="T798" s="29" t="str" cm="1">
        <f t="array" ref="T798">IF(表成绩单[[#This Row],[化学]]="","",SUMPRODUCT((表成绩单[考试日期]=表成绩单[[#This Row],[考试日期]])*(表成绩单[化学]&lt;9E+307)*(表成绩单[化学]&gt;表成绩单[[#This Row],[化学]]))+1)</f>
        <v/>
      </c>
      <c r="U798" s="29" cm="1">
        <f t="array" ref="U798">IF(表成绩单[[#This Row],[政治]]="","",SUMPRODUCT((表成绩单[考试日期]=表成绩单[[#This Row],[考试日期]])*(表成绩单[政治]&lt;9E+307)*(表成绩单[政治]&gt;表成绩单[[#This Row],[政治]]))+1)</f>
        <v>794</v>
      </c>
      <c r="V798" s="29" t="str" cm="1">
        <f t="array" ref="V798">IF(表成绩单[[#This Row],[历史]]="","",SUMPRODUCT((表成绩单[考试日期]=表成绩单[[#This Row],[考试日期]])*(表成绩单[历史]&lt;9E+307)*(表成绩单[历史]&gt;表成绩单[[#This Row],[历史]]))+1)</f>
        <v/>
      </c>
      <c r="W798" s="29" cm="1">
        <f t="array" ref="W798">IF(表成绩单[[#This Row],[总分]]="","",SUMPRODUCT((表成绩单[考试日期]=表成绩单[[#This Row],[考试日期]])*(表成绩单[总分]&lt;9E+307)*(表成绩单[总分]&gt;表成绩单[[#This Row],[总分]]))+1)</f>
        <v>795</v>
      </c>
    </row>
    <row r="799" ht="28" customHeight="1" spans="4:23">
      <c r="D799" s="31">
        <v>45975</v>
      </c>
      <c r="E799" s="29">
        <v>19173791</v>
      </c>
      <c r="F799" s="29" t="s">
        <v>65</v>
      </c>
      <c r="G799" s="29" t="s">
        <v>872</v>
      </c>
      <c r="H799" s="29"/>
      <c r="I799" s="29"/>
      <c r="J799" s="29"/>
      <c r="K799" s="29"/>
      <c r="L799" s="29"/>
      <c r="M799" s="29"/>
      <c r="N799" s="29"/>
      <c r="O799" s="32"/>
      <c r="P799" s="29" t="str" cm="1">
        <f t="array" ref="P799">IF(表成绩单[[#This Row],[语文]]="","",SUMPRODUCT((表成绩单[考试日期]=表成绩单[[#This Row],[考试日期]])*(表成绩单[语文]&lt;9E+307)*(表成绩单[语文]&gt;表成绩单[[#This Row],[语文]]))+1)</f>
        <v/>
      </c>
      <c r="Q799" s="29" t="str" cm="1">
        <f t="array" ref="Q799">IF(表成绩单[[#This Row],[数学]]="","",SUMPRODUCT((表成绩单[考试日期]=表成绩单[[#This Row],[考试日期]])*(表成绩单[数学]&lt;9E+307)*(表成绩单[数学]&gt;表成绩单[[#This Row],[数学]]))+1)</f>
        <v/>
      </c>
      <c r="R799" s="29" t="str" cm="1">
        <f t="array" ref="R799">IF(表成绩单[[#This Row],[英语]]="","",SUMPRODUCT((表成绩单[考试日期]=表成绩单[[#This Row],[考试日期]])*(表成绩单[英语]&lt;9E+307)*(表成绩单[英语]&gt;表成绩单[[#This Row],[英语]]))+1)</f>
        <v/>
      </c>
      <c r="S799" s="29" t="str" cm="1">
        <f t="array" ref="S799">IF(表成绩单[[#This Row],[物理]]="","",SUMPRODUCT((表成绩单[考试日期]=表成绩单[[#This Row],[考试日期]])*(表成绩单[物理]&lt;9E+307)*(表成绩单[物理]&gt;表成绩单[[#This Row],[物理]]))+1)</f>
        <v/>
      </c>
      <c r="T799" s="29" t="str" cm="1">
        <f t="array" ref="T799">IF(表成绩单[[#This Row],[化学]]="","",SUMPRODUCT((表成绩单[考试日期]=表成绩单[[#This Row],[考试日期]])*(表成绩单[化学]&lt;9E+307)*(表成绩单[化学]&gt;表成绩单[[#This Row],[化学]]))+1)</f>
        <v/>
      </c>
      <c r="U799" s="29" t="str" cm="1">
        <f t="array" ref="U799">IF(表成绩单[[#This Row],[政治]]="","",SUMPRODUCT((表成绩单[考试日期]=表成绩单[[#This Row],[考试日期]])*(表成绩单[政治]&lt;9E+307)*(表成绩单[政治]&gt;表成绩单[[#This Row],[政治]]))+1)</f>
        <v/>
      </c>
      <c r="V799" s="29" t="str" cm="1">
        <f t="array" ref="V799">IF(表成绩单[[#This Row],[历史]]="","",SUMPRODUCT((表成绩单[考试日期]=表成绩单[[#This Row],[考试日期]])*(表成绩单[历史]&lt;9E+307)*(表成绩单[历史]&gt;表成绩单[[#This Row],[历史]]))+1)</f>
        <v/>
      </c>
      <c r="W799" s="29" t="str" cm="1">
        <f t="array" ref="W799">IF(表成绩单[[#This Row],[总分]]="","",SUMPRODUCT((表成绩单[考试日期]=表成绩单[[#This Row],[考试日期]])*(表成绩单[总分]&lt;9E+307)*(表成绩单[总分]&gt;表成绩单[[#This Row],[总分]]))+1)</f>
        <v/>
      </c>
    </row>
    <row r="800" ht="28" customHeight="1" spans="4:23">
      <c r="D800" s="31">
        <v>45975</v>
      </c>
      <c r="E800" s="29">
        <v>19174808</v>
      </c>
      <c r="F800" s="29" t="s">
        <v>69</v>
      </c>
      <c r="G800" s="29" t="s">
        <v>873</v>
      </c>
      <c r="H800" s="29">
        <v>78</v>
      </c>
      <c r="I800" s="29">
        <v>90</v>
      </c>
      <c r="J800" s="29">
        <v>70</v>
      </c>
      <c r="K800" s="29">
        <v>82</v>
      </c>
      <c r="L800" s="29">
        <v>67</v>
      </c>
      <c r="M800" s="29"/>
      <c r="N800" s="29"/>
      <c r="O800" s="32">
        <v>387</v>
      </c>
      <c r="P800" s="29" cm="1">
        <f t="array" ref="P800">IF(表成绩单[[#This Row],[语文]]="","",SUMPRODUCT((表成绩单[考试日期]=表成绩单[[#This Row],[考试日期]])*(表成绩单[语文]&lt;9E+307)*(表成绩单[语文]&gt;表成绩单[[#This Row],[语文]]))+1)</f>
        <v>728</v>
      </c>
      <c r="Q800" s="29" cm="1">
        <f t="array" ref="Q800">IF(表成绩单[[#This Row],[数学]]="","",SUMPRODUCT((表成绩单[考试日期]=表成绩单[[#This Row],[考试日期]])*(表成绩单[数学]&lt;9E+307)*(表成绩单[数学]&gt;表成绩单[[#This Row],[数学]]))+1)</f>
        <v>506</v>
      </c>
      <c r="R800" s="29" cm="1">
        <f t="array" ref="R800">IF(表成绩单[[#This Row],[英语]]="","",SUMPRODUCT((表成绩单[考试日期]=表成绩单[[#This Row],[考试日期]])*(表成绩单[英语]&lt;9E+307)*(表成绩单[英语]&gt;表成绩单[[#This Row],[英语]]))+1)</f>
        <v>551</v>
      </c>
      <c r="S800" s="29" cm="1">
        <f t="array" ref="S800">IF(表成绩单[[#This Row],[物理]]="","",SUMPRODUCT((表成绩单[考试日期]=表成绩单[[#This Row],[考试日期]])*(表成绩单[物理]&lt;9E+307)*(表成绩单[物理]&gt;表成绩单[[#This Row],[物理]]))+1)</f>
        <v>433</v>
      </c>
      <c r="T800" s="29" cm="1">
        <f t="array" ref="T800">IF(表成绩单[[#This Row],[化学]]="","",SUMPRODUCT((表成绩单[考试日期]=表成绩单[[#This Row],[考试日期]])*(表成绩单[化学]&lt;9E+307)*(表成绩单[化学]&gt;表成绩单[[#This Row],[化学]]))+1)</f>
        <v>524</v>
      </c>
      <c r="U800" s="29" t="str" cm="1">
        <f t="array" ref="U800">IF(表成绩单[[#This Row],[政治]]="","",SUMPRODUCT((表成绩单[考试日期]=表成绩单[[#This Row],[考试日期]])*(表成绩单[政治]&lt;9E+307)*(表成绩单[政治]&gt;表成绩单[[#This Row],[政治]]))+1)</f>
        <v/>
      </c>
      <c r="V800" s="29" t="str" cm="1">
        <f t="array" ref="V800">IF(表成绩单[[#This Row],[历史]]="","",SUMPRODUCT((表成绩单[考试日期]=表成绩单[[#This Row],[考试日期]])*(表成绩单[历史]&lt;9E+307)*(表成绩单[历史]&gt;表成绩单[[#This Row],[历史]]))+1)</f>
        <v/>
      </c>
      <c r="W800" s="29" cm="1">
        <f t="array" ref="W800">IF(表成绩单[[#This Row],[总分]]="","",SUMPRODUCT((表成绩单[考试日期]=表成绩单[[#This Row],[考试日期]])*(表成绩单[总分]&lt;9E+307)*(表成绩单[总分]&gt;表成绩单[[#This Row],[总分]]))+1)</f>
        <v>759</v>
      </c>
    </row>
    <row r="801" ht="28" customHeight="1" spans="4:23">
      <c r="D801" s="31">
        <v>45975</v>
      </c>
      <c r="E801" s="29">
        <v>19175319</v>
      </c>
      <c r="F801" s="29" t="s">
        <v>55</v>
      </c>
      <c r="G801" s="29" t="s">
        <v>874</v>
      </c>
      <c r="H801" s="29"/>
      <c r="I801" s="29"/>
      <c r="J801" s="29"/>
      <c r="K801" s="29"/>
      <c r="L801" s="29"/>
      <c r="M801" s="29"/>
      <c r="N801" s="29"/>
      <c r="O801" s="32"/>
      <c r="P801" s="29" t="str" cm="1">
        <f t="array" ref="P801">IF(表成绩单[[#This Row],[语文]]="","",SUMPRODUCT((表成绩单[考试日期]=表成绩单[[#This Row],[考试日期]])*(表成绩单[语文]&lt;9E+307)*(表成绩单[语文]&gt;表成绩单[[#This Row],[语文]]))+1)</f>
        <v/>
      </c>
      <c r="Q801" s="29" t="str" cm="1">
        <f t="array" ref="Q801">IF(表成绩单[[#This Row],[数学]]="","",SUMPRODUCT((表成绩单[考试日期]=表成绩单[[#This Row],[考试日期]])*(表成绩单[数学]&lt;9E+307)*(表成绩单[数学]&gt;表成绩单[[#This Row],[数学]]))+1)</f>
        <v/>
      </c>
      <c r="R801" s="29" t="str" cm="1">
        <f t="array" ref="R801">IF(表成绩单[[#This Row],[英语]]="","",SUMPRODUCT((表成绩单[考试日期]=表成绩单[[#This Row],[考试日期]])*(表成绩单[英语]&lt;9E+307)*(表成绩单[英语]&gt;表成绩单[[#This Row],[英语]]))+1)</f>
        <v/>
      </c>
      <c r="S801" s="29" t="str" cm="1">
        <f t="array" ref="S801">IF(表成绩单[[#This Row],[物理]]="","",SUMPRODUCT((表成绩单[考试日期]=表成绩单[[#This Row],[考试日期]])*(表成绩单[物理]&lt;9E+307)*(表成绩单[物理]&gt;表成绩单[[#This Row],[物理]]))+1)</f>
        <v/>
      </c>
      <c r="T801" s="29" t="str" cm="1">
        <f t="array" ref="T801">IF(表成绩单[[#This Row],[化学]]="","",SUMPRODUCT((表成绩单[考试日期]=表成绩单[[#This Row],[考试日期]])*(表成绩单[化学]&lt;9E+307)*(表成绩单[化学]&gt;表成绩单[[#This Row],[化学]]))+1)</f>
        <v/>
      </c>
      <c r="U801" s="29" t="str" cm="1">
        <f t="array" ref="U801">IF(表成绩单[[#This Row],[政治]]="","",SUMPRODUCT((表成绩单[考试日期]=表成绩单[[#This Row],[考试日期]])*(表成绩单[政治]&lt;9E+307)*(表成绩单[政治]&gt;表成绩单[[#This Row],[政治]]))+1)</f>
        <v/>
      </c>
      <c r="V801" s="29" t="str" cm="1">
        <f t="array" ref="V801">IF(表成绩单[[#This Row],[历史]]="","",SUMPRODUCT((表成绩单[考试日期]=表成绩单[[#This Row],[考试日期]])*(表成绩单[历史]&lt;9E+307)*(表成绩单[历史]&gt;表成绩单[[#This Row],[历史]]))+1)</f>
        <v/>
      </c>
      <c r="W801" s="29" t="str" cm="1">
        <f t="array" ref="W801">IF(表成绩单[[#This Row],[总分]]="","",SUMPRODUCT((表成绩单[考试日期]=表成绩单[[#This Row],[考试日期]])*(表成绩单[总分]&lt;9E+307)*(表成绩单[总分]&gt;表成绩单[[#This Row],[总分]]))+1)</f>
        <v/>
      </c>
    </row>
    <row r="802" ht="28" customHeight="1" spans="4:23">
      <c r="D802" s="31">
        <v>45975</v>
      </c>
      <c r="E802" s="29">
        <v>19175592</v>
      </c>
      <c r="F802" s="29" t="s">
        <v>57</v>
      </c>
      <c r="G802" s="29" t="s">
        <v>875</v>
      </c>
      <c r="H802" s="29"/>
      <c r="I802" s="29"/>
      <c r="J802" s="29"/>
      <c r="K802" s="29"/>
      <c r="L802" s="29"/>
      <c r="M802" s="29"/>
      <c r="N802" s="29"/>
      <c r="O802" s="32"/>
      <c r="P802" s="29" t="str" cm="1">
        <f t="array" ref="P802">IF(表成绩单[[#This Row],[语文]]="","",SUMPRODUCT((表成绩单[考试日期]=表成绩单[[#This Row],[考试日期]])*(表成绩单[语文]&lt;9E+307)*(表成绩单[语文]&gt;表成绩单[[#This Row],[语文]]))+1)</f>
        <v/>
      </c>
      <c r="Q802" s="29" t="str" cm="1">
        <f t="array" ref="Q802">IF(表成绩单[[#This Row],[数学]]="","",SUMPRODUCT((表成绩单[考试日期]=表成绩单[[#This Row],[考试日期]])*(表成绩单[数学]&lt;9E+307)*(表成绩单[数学]&gt;表成绩单[[#This Row],[数学]]))+1)</f>
        <v/>
      </c>
      <c r="R802" s="29" t="str" cm="1">
        <f t="array" ref="R802">IF(表成绩单[[#This Row],[英语]]="","",SUMPRODUCT((表成绩单[考试日期]=表成绩单[[#This Row],[考试日期]])*(表成绩单[英语]&lt;9E+307)*(表成绩单[英语]&gt;表成绩单[[#This Row],[英语]]))+1)</f>
        <v/>
      </c>
      <c r="S802" s="29" t="str" cm="1">
        <f t="array" ref="S802">IF(表成绩单[[#This Row],[物理]]="","",SUMPRODUCT((表成绩单[考试日期]=表成绩单[[#This Row],[考试日期]])*(表成绩单[物理]&lt;9E+307)*(表成绩单[物理]&gt;表成绩单[[#This Row],[物理]]))+1)</f>
        <v/>
      </c>
      <c r="T802" s="29" t="str" cm="1">
        <f t="array" ref="T802">IF(表成绩单[[#This Row],[化学]]="","",SUMPRODUCT((表成绩单[考试日期]=表成绩单[[#This Row],[考试日期]])*(表成绩单[化学]&lt;9E+307)*(表成绩单[化学]&gt;表成绩单[[#This Row],[化学]]))+1)</f>
        <v/>
      </c>
      <c r="U802" s="29" t="str" cm="1">
        <f t="array" ref="U802">IF(表成绩单[[#This Row],[政治]]="","",SUMPRODUCT((表成绩单[考试日期]=表成绩单[[#This Row],[考试日期]])*(表成绩单[政治]&lt;9E+307)*(表成绩单[政治]&gt;表成绩单[[#This Row],[政治]]))+1)</f>
        <v/>
      </c>
      <c r="V802" s="29" t="str" cm="1">
        <f t="array" ref="V802">IF(表成绩单[[#This Row],[历史]]="","",SUMPRODUCT((表成绩单[考试日期]=表成绩单[[#This Row],[考试日期]])*(表成绩单[历史]&lt;9E+307)*(表成绩单[历史]&gt;表成绩单[[#This Row],[历史]]))+1)</f>
        <v/>
      </c>
      <c r="W802" s="29" t="str" cm="1">
        <f t="array" ref="W802">IF(表成绩单[[#This Row],[总分]]="","",SUMPRODUCT((表成绩单[考试日期]=表成绩单[[#This Row],[考试日期]])*(表成绩单[总分]&lt;9E+307)*(表成绩单[总分]&gt;表成绩单[[#This Row],[总分]]))+1)</f>
        <v/>
      </c>
    </row>
    <row r="803" ht="28" customHeight="1" spans="4:23">
      <c r="D803" s="31">
        <v>45975</v>
      </c>
      <c r="E803" s="29">
        <v>19175619</v>
      </c>
      <c r="F803" s="29" t="s">
        <v>57</v>
      </c>
      <c r="G803" s="29" t="s">
        <v>876</v>
      </c>
      <c r="H803" s="29"/>
      <c r="I803" s="29"/>
      <c r="J803" s="29"/>
      <c r="K803" s="29"/>
      <c r="L803" s="29"/>
      <c r="M803" s="29"/>
      <c r="N803" s="29"/>
      <c r="O803" s="32"/>
      <c r="P803" s="29" t="str" cm="1">
        <f t="array" ref="P803">IF(表成绩单[[#This Row],[语文]]="","",SUMPRODUCT((表成绩单[考试日期]=表成绩单[[#This Row],[考试日期]])*(表成绩单[语文]&lt;9E+307)*(表成绩单[语文]&gt;表成绩单[[#This Row],[语文]]))+1)</f>
        <v/>
      </c>
      <c r="Q803" s="29" t="str" cm="1">
        <f t="array" ref="Q803">IF(表成绩单[[#This Row],[数学]]="","",SUMPRODUCT((表成绩单[考试日期]=表成绩单[[#This Row],[考试日期]])*(表成绩单[数学]&lt;9E+307)*(表成绩单[数学]&gt;表成绩单[[#This Row],[数学]]))+1)</f>
        <v/>
      </c>
      <c r="R803" s="29" t="str" cm="1">
        <f t="array" ref="R803">IF(表成绩单[[#This Row],[英语]]="","",SUMPRODUCT((表成绩单[考试日期]=表成绩单[[#This Row],[考试日期]])*(表成绩单[英语]&lt;9E+307)*(表成绩单[英语]&gt;表成绩单[[#This Row],[英语]]))+1)</f>
        <v/>
      </c>
      <c r="S803" s="29" t="str" cm="1">
        <f t="array" ref="S803">IF(表成绩单[[#This Row],[物理]]="","",SUMPRODUCT((表成绩单[考试日期]=表成绩单[[#This Row],[考试日期]])*(表成绩单[物理]&lt;9E+307)*(表成绩单[物理]&gt;表成绩单[[#This Row],[物理]]))+1)</f>
        <v/>
      </c>
      <c r="T803" s="29" t="str" cm="1">
        <f t="array" ref="T803">IF(表成绩单[[#This Row],[化学]]="","",SUMPRODUCT((表成绩单[考试日期]=表成绩单[[#This Row],[考试日期]])*(表成绩单[化学]&lt;9E+307)*(表成绩单[化学]&gt;表成绩单[[#This Row],[化学]]))+1)</f>
        <v/>
      </c>
      <c r="U803" s="29" t="str" cm="1">
        <f t="array" ref="U803">IF(表成绩单[[#This Row],[政治]]="","",SUMPRODUCT((表成绩单[考试日期]=表成绩单[[#This Row],[考试日期]])*(表成绩单[政治]&lt;9E+307)*(表成绩单[政治]&gt;表成绩单[[#This Row],[政治]]))+1)</f>
        <v/>
      </c>
      <c r="V803" s="29" t="str" cm="1">
        <f t="array" ref="V803">IF(表成绩单[[#This Row],[历史]]="","",SUMPRODUCT((表成绩单[考试日期]=表成绩单[[#This Row],[考试日期]])*(表成绩单[历史]&lt;9E+307)*(表成绩单[历史]&gt;表成绩单[[#This Row],[历史]]))+1)</f>
        <v/>
      </c>
      <c r="W803" s="29" t="str" cm="1">
        <f t="array" ref="W803">IF(表成绩单[[#This Row],[总分]]="","",SUMPRODUCT((表成绩单[考试日期]=表成绩单[[#This Row],[考试日期]])*(表成绩单[总分]&lt;9E+307)*(表成绩单[总分]&gt;表成绩单[[#This Row],[总分]]))+1)</f>
        <v/>
      </c>
    </row>
    <row r="804" ht="28" customHeight="1" spans="4:23">
      <c r="D804" s="31">
        <v>45975</v>
      </c>
      <c r="E804" s="29">
        <v>19175624</v>
      </c>
      <c r="F804" s="29" t="s">
        <v>57</v>
      </c>
      <c r="G804" s="29" t="s">
        <v>877</v>
      </c>
      <c r="H804" s="29"/>
      <c r="I804" s="29"/>
      <c r="J804" s="29"/>
      <c r="K804" s="29"/>
      <c r="L804" s="29"/>
      <c r="M804" s="29"/>
      <c r="N804" s="29"/>
      <c r="O804" s="32"/>
      <c r="P804" s="29" t="str" cm="1">
        <f t="array" ref="P804">IF(表成绩单[[#This Row],[语文]]="","",SUMPRODUCT((表成绩单[考试日期]=表成绩单[[#This Row],[考试日期]])*(表成绩单[语文]&lt;9E+307)*(表成绩单[语文]&gt;表成绩单[[#This Row],[语文]]))+1)</f>
        <v/>
      </c>
      <c r="Q804" s="29" t="str" cm="1">
        <f t="array" ref="Q804">IF(表成绩单[[#This Row],[数学]]="","",SUMPRODUCT((表成绩单[考试日期]=表成绩单[[#This Row],[考试日期]])*(表成绩单[数学]&lt;9E+307)*(表成绩单[数学]&gt;表成绩单[[#This Row],[数学]]))+1)</f>
        <v/>
      </c>
      <c r="R804" s="29" t="str" cm="1">
        <f t="array" ref="R804">IF(表成绩单[[#This Row],[英语]]="","",SUMPRODUCT((表成绩单[考试日期]=表成绩单[[#This Row],[考试日期]])*(表成绩单[英语]&lt;9E+307)*(表成绩单[英语]&gt;表成绩单[[#This Row],[英语]]))+1)</f>
        <v/>
      </c>
      <c r="S804" s="29" t="str" cm="1">
        <f t="array" ref="S804">IF(表成绩单[[#This Row],[物理]]="","",SUMPRODUCT((表成绩单[考试日期]=表成绩单[[#This Row],[考试日期]])*(表成绩单[物理]&lt;9E+307)*(表成绩单[物理]&gt;表成绩单[[#This Row],[物理]]))+1)</f>
        <v/>
      </c>
      <c r="T804" s="29" t="str" cm="1">
        <f t="array" ref="T804">IF(表成绩单[[#This Row],[化学]]="","",SUMPRODUCT((表成绩单[考试日期]=表成绩单[[#This Row],[考试日期]])*(表成绩单[化学]&lt;9E+307)*(表成绩单[化学]&gt;表成绩单[[#This Row],[化学]]))+1)</f>
        <v/>
      </c>
      <c r="U804" s="29" t="str" cm="1">
        <f t="array" ref="U804">IF(表成绩单[[#This Row],[政治]]="","",SUMPRODUCT((表成绩单[考试日期]=表成绩单[[#This Row],[考试日期]])*(表成绩单[政治]&lt;9E+307)*(表成绩单[政治]&gt;表成绩单[[#This Row],[政治]]))+1)</f>
        <v/>
      </c>
      <c r="V804" s="29" t="str" cm="1">
        <f t="array" ref="V804">IF(表成绩单[[#This Row],[历史]]="","",SUMPRODUCT((表成绩单[考试日期]=表成绩单[[#This Row],[考试日期]])*(表成绩单[历史]&lt;9E+307)*(表成绩单[历史]&gt;表成绩单[[#This Row],[历史]]))+1)</f>
        <v/>
      </c>
      <c r="W804" s="29" t="str" cm="1">
        <f t="array" ref="W804">IF(表成绩单[[#This Row],[总分]]="","",SUMPRODUCT((表成绩单[考试日期]=表成绩单[[#This Row],[考试日期]])*(表成绩单[总分]&lt;9E+307)*(表成绩单[总分]&gt;表成绩单[[#This Row],[总分]]))+1)</f>
        <v/>
      </c>
    </row>
    <row r="805" ht="28" customHeight="1" spans="4:23">
      <c r="D805" s="31">
        <v>45975</v>
      </c>
      <c r="E805" s="29">
        <v>19177598</v>
      </c>
      <c r="F805" s="29" t="s">
        <v>58</v>
      </c>
      <c r="G805" s="29" t="s">
        <v>878</v>
      </c>
      <c r="H805" s="29"/>
      <c r="I805" s="29"/>
      <c r="J805" s="29"/>
      <c r="K805" s="29"/>
      <c r="L805" s="29"/>
      <c r="M805" s="29"/>
      <c r="N805" s="29"/>
      <c r="O805" s="32"/>
      <c r="P805" s="29" t="str" cm="1">
        <f t="array" ref="P805">IF(表成绩单[[#This Row],[语文]]="","",SUMPRODUCT((表成绩单[考试日期]=表成绩单[[#This Row],[考试日期]])*(表成绩单[语文]&lt;9E+307)*(表成绩单[语文]&gt;表成绩单[[#This Row],[语文]]))+1)</f>
        <v/>
      </c>
      <c r="Q805" s="29" t="str" cm="1">
        <f t="array" ref="Q805">IF(表成绩单[[#This Row],[数学]]="","",SUMPRODUCT((表成绩单[考试日期]=表成绩单[[#This Row],[考试日期]])*(表成绩单[数学]&lt;9E+307)*(表成绩单[数学]&gt;表成绩单[[#This Row],[数学]]))+1)</f>
        <v/>
      </c>
      <c r="R805" s="29" t="str" cm="1">
        <f t="array" ref="R805">IF(表成绩单[[#This Row],[英语]]="","",SUMPRODUCT((表成绩单[考试日期]=表成绩单[[#This Row],[考试日期]])*(表成绩单[英语]&lt;9E+307)*(表成绩单[英语]&gt;表成绩单[[#This Row],[英语]]))+1)</f>
        <v/>
      </c>
      <c r="S805" s="29" t="str" cm="1">
        <f t="array" ref="S805">IF(表成绩单[[#This Row],[物理]]="","",SUMPRODUCT((表成绩单[考试日期]=表成绩单[[#This Row],[考试日期]])*(表成绩单[物理]&lt;9E+307)*(表成绩单[物理]&gt;表成绩单[[#This Row],[物理]]))+1)</f>
        <v/>
      </c>
      <c r="T805" s="29" t="str" cm="1">
        <f t="array" ref="T805">IF(表成绩单[[#This Row],[化学]]="","",SUMPRODUCT((表成绩单[考试日期]=表成绩单[[#This Row],[考试日期]])*(表成绩单[化学]&lt;9E+307)*(表成绩单[化学]&gt;表成绩单[[#This Row],[化学]]))+1)</f>
        <v/>
      </c>
      <c r="U805" s="29" t="str" cm="1">
        <f t="array" ref="U805">IF(表成绩单[[#This Row],[政治]]="","",SUMPRODUCT((表成绩单[考试日期]=表成绩单[[#This Row],[考试日期]])*(表成绩单[政治]&lt;9E+307)*(表成绩单[政治]&gt;表成绩单[[#This Row],[政治]]))+1)</f>
        <v/>
      </c>
      <c r="V805" s="29" t="str" cm="1">
        <f t="array" ref="V805">IF(表成绩单[[#This Row],[历史]]="","",SUMPRODUCT((表成绩单[考试日期]=表成绩单[[#This Row],[考试日期]])*(表成绩单[历史]&lt;9E+307)*(表成绩单[历史]&gt;表成绩单[[#This Row],[历史]]))+1)</f>
        <v/>
      </c>
      <c r="W805" s="29" t="str" cm="1">
        <f t="array" ref="W805">IF(表成绩单[[#This Row],[总分]]="","",SUMPRODUCT((表成绩单[考试日期]=表成绩单[[#This Row],[考试日期]])*(表成绩单[总分]&lt;9E+307)*(表成绩单[总分]&gt;表成绩单[[#This Row],[总分]]))+1)</f>
        <v/>
      </c>
    </row>
    <row r="806" ht="28" customHeight="1" spans="4:23">
      <c r="D806" s="31">
        <v>46003</v>
      </c>
      <c r="E806" s="29">
        <v>19173522</v>
      </c>
      <c r="F806" s="29" t="s">
        <v>1</v>
      </c>
      <c r="G806" s="29" t="s">
        <v>3</v>
      </c>
      <c r="H806" s="29">
        <v>109</v>
      </c>
      <c r="I806" s="29">
        <v>107</v>
      </c>
      <c r="J806" s="29">
        <v>84.5</v>
      </c>
      <c r="K806" s="29">
        <v>99</v>
      </c>
      <c r="L806" s="29">
        <v>99</v>
      </c>
      <c r="M806" s="29">
        <v>84</v>
      </c>
      <c r="N806" s="29">
        <v>88</v>
      </c>
      <c r="O806" s="32">
        <v>670.5</v>
      </c>
      <c r="P806" s="29" cm="1">
        <f t="array" ref="P806">IF(表成绩单[[#This Row],[语文]]="","",SUMPRODUCT((表成绩单[考试日期]=表成绩单[[#This Row],[考试日期]])*(表成绩单[语文]&lt;9E+307)*(表成绩单[语文]&gt;表成绩单[[#This Row],[语文]]))+1)</f>
        <v>111</v>
      </c>
      <c r="Q806" s="29" cm="1">
        <f t="array" ref="Q806">IF(表成绩单[[#This Row],[数学]]="","",SUMPRODUCT((表成绩单[考试日期]=表成绩单[[#This Row],[考试日期]])*(表成绩单[数学]&lt;9E+307)*(表成绩单[数学]&gt;表成绩单[[#This Row],[数学]]))+1)</f>
        <v>20</v>
      </c>
      <c r="R806" s="29" cm="1">
        <f t="array" ref="R806">IF(表成绩单[[#This Row],[英语]]="","",SUMPRODUCT((表成绩单[考试日期]=表成绩单[[#This Row],[考试日期]])*(表成绩单[英语]&lt;9E+307)*(表成绩单[英语]&gt;表成绩单[[#This Row],[英语]]))+1)</f>
        <v>37</v>
      </c>
      <c r="S806" s="29" cm="1">
        <f t="array" ref="S806">IF(表成绩单[[#This Row],[物理]]="","",SUMPRODUCT((表成绩单[考试日期]=表成绩单[[#This Row],[考试日期]])*(表成绩单[物理]&lt;9E+307)*(表成绩单[物理]&gt;表成绩单[[#This Row],[物理]]))+1)</f>
        <v>9</v>
      </c>
      <c r="T806" s="29" cm="1">
        <f t="array" ref="T806">IF(表成绩单[[#This Row],[化学]]="","",SUMPRODUCT((表成绩单[考试日期]=表成绩单[[#This Row],[考试日期]])*(表成绩单[化学]&lt;9E+307)*(表成绩单[化学]&gt;表成绩单[[#This Row],[化学]]))+1)</f>
        <v>2</v>
      </c>
      <c r="U806" s="29" cm="1">
        <f t="array" ref="U806">IF(表成绩单[[#This Row],[政治]]="","",SUMPRODUCT((表成绩单[考试日期]=表成绩单[[#This Row],[考试日期]])*(表成绩单[政治]&lt;9E+307)*(表成绩单[政治]&gt;表成绩单[[#This Row],[政治]]))+1)</f>
        <v>2</v>
      </c>
      <c r="V806" s="29" cm="1">
        <f t="array" ref="V806">IF(表成绩单[[#This Row],[历史]]="","",SUMPRODUCT((表成绩单[考试日期]=表成绩单[[#This Row],[考试日期]])*(表成绩单[历史]&lt;9E+307)*(表成绩单[历史]&gt;表成绩单[[#This Row],[历史]]))+1)</f>
        <v>1</v>
      </c>
      <c r="W806" s="29" cm="1">
        <f t="array" ref="W806">IF(表成绩单[[#This Row],[总分]]="","",SUMPRODUCT((表成绩单[考试日期]=表成绩单[[#This Row],[考试日期]])*(表成绩单[总分]&lt;9E+307)*(表成绩单[总分]&gt;表成绩单[[#This Row],[总分]]))+1)</f>
        <v>1</v>
      </c>
    </row>
    <row r="807" ht="28" customHeight="1" spans="4:23">
      <c r="D807" s="31">
        <v>46003</v>
      </c>
      <c r="E807" s="29">
        <v>19175384</v>
      </c>
      <c r="F807" s="29" t="s">
        <v>74</v>
      </c>
      <c r="G807" s="29" t="s">
        <v>131</v>
      </c>
      <c r="H807" s="29">
        <v>113</v>
      </c>
      <c r="I807" s="29">
        <v>113</v>
      </c>
      <c r="J807" s="29">
        <v>86</v>
      </c>
      <c r="K807" s="29">
        <v>96</v>
      </c>
      <c r="L807" s="29">
        <v>97</v>
      </c>
      <c r="M807" s="29">
        <v>79</v>
      </c>
      <c r="N807" s="29">
        <v>84</v>
      </c>
      <c r="O807" s="32">
        <v>668</v>
      </c>
      <c r="P807" s="29" cm="1">
        <f t="array" ref="P807">IF(表成绩单[[#This Row],[语文]]="","",SUMPRODUCT((表成绩单[考试日期]=表成绩单[[#This Row],[考试日期]])*(表成绩单[语文]&lt;9E+307)*(表成绩单[语文]&gt;表成绩单[[#This Row],[语文]]))+1)</f>
        <v>22</v>
      </c>
      <c r="Q807" s="29" cm="1">
        <f t="array" ref="Q807">IF(表成绩单[[#This Row],[数学]]="","",SUMPRODUCT((表成绩单[考试日期]=表成绩单[[#This Row],[考试日期]])*(表成绩单[数学]&lt;9E+307)*(表成绩单[数学]&gt;表成绩单[[#This Row],[数学]]))+1)</f>
        <v>3</v>
      </c>
      <c r="R807" s="29" cm="1">
        <f t="array" ref="R807">IF(表成绩单[[#This Row],[英语]]="","",SUMPRODUCT((表成绩单[考试日期]=表成绩单[[#This Row],[考试日期]])*(表成绩单[英语]&lt;9E+307)*(表成绩单[英语]&gt;表成绩单[[#This Row],[英语]]))+1)</f>
        <v>16</v>
      </c>
      <c r="S807" s="29" cm="1">
        <f t="array" ref="S807">IF(表成绩单[[#This Row],[物理]]="","",SUMPRODUCT((表成绩单[考试日期]=表成绩单[[#This Row],[考试日期]])*(表成绩单[物理]&lt;9E+307)*(表成绩单[物理]&gt;表成绩单[[#This Row],[物理]]))+1)</f>
        <v>64</v>
      </c>
      <c r="T807" s="29" cm="1">
        <f t="array" ref="T807">IF(表成绩单[[#This Row],[化学]]="","",SUMPRODUCT((表成绩单[考试日期]=表成绩单[[#This Row],[考试日期]])*(表成绩单[化学]&lt;9E+307)*(表成绩单[化学]&gt;表成绩单[[#This Row],[化学]]))+1)</f>
        <v>13</v>
      </c>
      <c r="U807" s="29" cm="1">
        <f t="array" ref="U807">IF(表成绩单[[#This Row],[政治]]="","",SUMPRODUCT((表成绩单[考试日期]=表成绩单[[#This Row],[考试日期]])*(表成绩单[政治]&lt;9E+307)*(表成绩单[政治]&gt;表成绩单[[#This Row],[政治]]))+1)</f>
        <v>36</v>
      </c>
      <c r="V807" s="29" cm="1">
        <f t="array" ref="V807">IF(表成绩单[[#This Row],[历史]]="","",SUMPRODUCT((表成绩单[考试日期]=表成绩单[[#This Row],[考试日期]])*(表成绩单[历史]&lt;9E+307)*(表成绩单[历史]&gt;表成绩单[[#This Row],[历史]]))+1)</f>
        <v>30</v>
      </c>
      <c r="W807" s="29" cm="1">
        <f t="array" ref="W807">IF(表成绩单[[#This Row],[总分]]="","",SUMPRODUCT((表成绩单[考试日期]=表成绩单[[#This Row],[考试日期]])*(表成绩单[总分]&lt;9E+307)*(表成绩单[总分]&gt;表成绩单[[#This Row],[总分]]))+1)</f>
        <v>2</v>
      </c>
    </row>
    <row r="808" ht="28" customHeight="1" spans="4:23">
      <c r="D808" s="31">
        <v>46003</v>
      </c>
      <c r="E808" s="29">
        <v>19174435</v>
      </c>
      <c r="F808" s="29" t="s">
        <v>73</v>
      </c>
      <c r="G808" s="29" t="s">
        <v>82</v>
      </c>
      <c r="H808" s="29">
        <v>115</v>
      </c>
      <c r="I808" s="29">
        <v>102</v>
      </c>
      <c r="J808" s="29">
        <v>88.5</v>
      </c>
      <c r="K808" s="29">
        <v>99</v>
      </c>
      <c r="L808" s="29">
        <v>98</v>
      </c>
      <c r="M808" s="29">
        <v>80</v>
      </c>
      <c r="N808" s="29">
        <v>84</v>
      </c>
      <c r="O808" s="32">
        <v>666.5</v>
      </c>
      <c r="P808" s="29" cm="1">
        <f t="array" ref="P808">IF(表成绩单[[#This Row],[语文]]="","",SUMPRODUCT((表成绩单[考试日期]=表成绩单[[#This Row],[考试日期]])*(表成绩单[语文]&lt;9E+307)*(表成绩单[语文]&gt;表成绩单[[#This Row],[语文]]))+1)</f>
        <v>7</v>
      </c>
      <c r="Q808" s="29" cm="1">
        <f t="array" ref="Q808">IF(表成绩单[[#This Row],[数学]]="","",SUMPRODUCT((表成绩单[考试日期]=表成绩单[[#This Row],[考试日期]])*(表成绩单[数学]&lt;9E+307)*(表成绩单[数学]&gt;表成绩单[[#This Row],[数学]]))+1)</f>
        <v>52</v>
      </c>
      <c r="R808" s="29" cm="1">
        <f t="array" ref="R808">IF(表成绩单[[#This Row],[英语]]="","",SUMPRODUCT((表成绩单[考试日期]=表成绩单[[#This Row],[考试日期]])*(表成绩单[英语]&lt;9E+307)*(表成绩单[英语]&gt;表成绩单[[#This Row],[英语]]))+1)</f>
        <v>3</v>
      </c>
      <c r="S808" s="29" cm="1">
        <f t="array" ref="S808">IF(表成绩单[[#This Row],[物理]]="","",SUMPRODUCT((表成绩单[考试日期]=表成绩单[[#This Row],[考试日期]])*(表成绩单[物理]&lt;9E+307)*(表成绩单[物理]&gt;表成绩单[[#This Row],[物理]]))+1)</f>
        <v>9</v>
      </c>
      <c r="T808" s="29" cm="1">
        <f t="array" ref="T808">IF(表成绩单[[#This Row],[化学]]="","",SUMPRODUCT((表成绩单[考试日期]=表成绩单[[#This Row],[考试日期]])*(表成绩单[化学]&lt;9E+307)*(表成绩单[化学]&gt;表成绩单[[#This Row],[化学]]))+1)</f>
        <v>8</v>
      </c>
      <c r="U808" s="29" cm="1">
        <f t="array" ref="U808">IF(表成绩单[[#This Row],[政治]]="","",SUMPRODUCT((表成绩单[考试日期]=表成绩单[[#This Row],[考试日期]])*(表成绩单[政治]&lt;9E+307)*(表成绩单[政治]&gt;表成绩单[[#This Row],[政治]]))+1)</f>
        <v>28</v>
      </c>
      <c r="V808" s="29" cm="1">
        <f t="array" ref="V808">IF(表成绩单[[#This Row],[历史]]="","",SUMPRODUCT((表成绩单[考试日期]=表成绩单[[#This Row],[考试日期]])*(表成绩单[历史]&lt;9E+307)*(表成绩单[历史]&gt;表成绩单[[#This Row],[历史]]))+1)</f>
        <v>30</v>
      </c>
      <c r="W808" s="29" cm="1">
        <f t="array" ref="W808">IF(表成绩单[[#This Row],[总分]]="","",SUMPRODUCT((表成绩单[考试日期]=表成绩单[[#This Row],[考试日期]])*(表成绩单[总分]&lt;9E+307)*(表成绩单[总分]&gt;表成绩单[[#This Row],[总分]]))+1)</f>
        <v>3</v>
      </c>
    </row>
    <row r="809" ht="28" customHeight="1" spans="4:23">
      <c r="D809" s="31">
        <v>46003</v>
      </c>
      <c r="E809" s="29">
        <v>19176896</v>
      </c>
      <c r="F809" s="29" t="s">
        <v>71</v>
      </c>
      <c r="G809" s="29" t="s">
        <v>80</v>
      </c>
      <c r="H809" s="29">
        <v>112</v>
      </c>
      <c r="I809" s="29">
        <v>109</v>
      </c>
      <c r="J809" s="29">
        <v>89</v>
      </c>
      <c r="K809" s="29">
        <v>91</v>
      </c>
      <c r="L809" s="29">
        <v>97</v>
      </c>
      <c r="M809" s="29">
        <v>80</v>
      </c>
      <c r="N809" s="29">
        <v>85</v>
      </c>
      <c r="O809" s="32">
        <v>663</v>
      </c>
      <c r="P809" s="29" cm="1">
        <f t="array" ref="P809">IF(表成绩单[[#This Row],[语文]]="","",SUMPRODUCT((表成绩单[考试日期]=表成绩单[[#This Row],[考试日期]])*(表成绩单[语文]&lt;9E+307)*(表成绩单[语文]&gt;表成绩单[[#This Row],[语文]]))+1)</f>
        <v>36</v>
      </c>
      <c r="Q809" s="29" cm="1">
        <f t="array" ref="Q809">IF(表成绩单[[#This Row],[数学]]="","",SUMPRODUCT((表成绩单[考试日期]=表成绩单[[#This Row],[考试日期]])*(表成绩单[数学]&lt;9E+307)*(表成绩单[数学]&gt;表成绩单[[#This Row],[数学]]))+1)</f>
        <v>10</v>
      </c>
      <c r="R809" s="29" cm="1">
        <f t="array" ref="R809">IF(表成绩单[[#This Row],[英语]]="","",SUMPRODUCT((表成绩单[考试日期]=表成绩单[[#This Row],[考试日期]])*(表成绩单[英语]&lt;9E+307)*(表成绩单[英语]&gt;表成绩单[[#This Row],[英语]]))+1)</f>
        <v>2</v>
      </c>
      <c r="S809" s="29" cm="1">
        <f t="array" ref="S809">IF(表成绩单[[#This Row],[物理]]="","",SUMPRODUCT((表成绩单[考试日期]=表成绩单[[#This Row],[考试日期]])*(表成绩单[物理]&lt;9E+307)*(表成绩单[物理]&gt;表成绩单[[#This Row],[物理]]))+1)</f>
        <v>220</v>
      </c>
      <c r="T809" s="29" cm="1">
        <f t="array" ref="T809">IF(表成绩单[[#This Row],[化学]]="","",SUMPRODUCT((表成绩单[考试日期]=表成绩单[[#This Row],[考试日期]])*(表成绩单[化学]&lt;9E+307)*(表成绩单[化学]&gt;表成绩单[[#This Row],[化学]]))+1)</f>
        <v>13</v>
      </c>
      <c r="U809" s="29" cm="1">
        <f t="array" ref="U809">IF(表成绩单[[#This Row],[政治]]="","",SUMPRODUCT((表成绩单[考试日期]=表成绩单[[#This Row],[考试日期]])*(表成绩单[政治]&lt;9E+307)*(表成绩单[政治]&gt;表成绩单[[#This Row],[政治]]))+1)</f>
        <v>28</v>
      </c>
      <c r="V809" s="29" cm="1">
        <f t="array" ref="V809">IF(表成绩单[[#This Row],[历史]]="","",SUMPRODUCT((表成绩单[考试日期]=表成绩单[[#This Row],[考试日期]])*(表成绩单[历史]&lt;9E+307)*(表成绩单[历史]&gt;表成绩单[[#This Row],[历史]]))+1)</f>
        <v>12</v>
      </c>
      <c r="W809" s="29" cm="1">
        <f t="array" ref="W809">IF(表成绩单[[#This Row],[总分]]="","",SUMPRODUCT((表成绩单[考试日期]=表成绩单[[#This Row],[考试日期]])*(表成绩单[总分]&lt;9E+307)*(表成绩单[总分]&gt;表成绩单[[#This Row],[总分]]))+1)</f>
        <v>4</v>
      </c>
    </row>
    <row r="810" ht="28" customHeight="1" spans="4:23">
      <c r="D810" s="31">
        <v>46003</v>
      </c>
      <c r="E810" s="29">
        <v>19175395</v>
      </c>
      <c r="F810" s="29" t="s">
        <v>74</v>
      </c>
      <c r="G810" s="29" t="s">
        <v>111</v>
      </c>
      <c r="H810" s="29">
        <v>117</v>
      </c>
      <c r="I810" s="29">
        <v>106</v>
      </c>
      <c r="J810" s="29">
        <v>83.5</v>
      </c>
      <c r="K810" s="29">
        <v>99</v>
      </c>
      <c r="L810" s="29">
        <v>95</v>
      </c>
      <c r="M810" s="29">
        <v>80</v>
      </c>
      <c r="N810" s="29">
        <v>80</v>
      </c>
      <c r="O810" s="32">
        <v>660.5</v>
      </c>
      <c r="P810" s="29" cm="1">
        <f t="array" ref="P810">IF(表成绩单[[#This Row],[语文]]="","",SUMPRODUCT((表成绩单[考试日期]=表成绩单[[#This Row],[考试日期]])*(表成绩单[语文]&lt;9E+307)*(表成绩单[语文]&gt;表成绩单[[#This Row],[语文]]))+1)</f>
        <v>3</v>
      </c>
      <c r="Q810" s="29" cm="1">
        <f t="array" ref="Q810">IF(表成绩单[[#This Row],[数学]]="","",SUMPRODUCT((表成绩单[考试日期]=表成绩单[[#This Row],[考试日期]])*(表成绩单[数学]&lt;9E+307)*(表成绩单[数学]&gt;表成绩单[[#This Row],[数学]]))+1)</f>
        <v>23</v>
      </c>
      <c r="R810" s="29" cm="1">
        <f t="array" ref="R810">IF(表成绩单[[#This Row],[英语]]="","",SUMPRODUCT((表成绩单[考试日期]=表成绩单[[#This Row],[考试日期]])*(表成绩单[英语]&lt;9E+307)*(表成绩单[英语]&gt;表成绩单[[#This Row],[英语]]))+1)</f>
        <v>57</v>
      </c>
      <c r="S810" s="29" cm="1">
        <f t="array" ref="S810">IF(表成绩单[[#This Row],[物理]]="","",SUMPRODUCT((表成绩单[考试日期]=表成绩单[[#This Row],[考试日期]])*(表成绩单[物理]&lt;9E+307)*(表成绩单[物理]&gt;表成绩单[[#This Row],[物理]]))+1)</f>
        <v>9</v>
      </c>
      <c r="T810" s="29" cm="1">
        <f t="array" ref="T810">IF(表成绩单[[#This Row],[化学]]="","",SUMPRODUCT((表成绩单[考试日期]=表成绩单[[#This Row],[考试日期]])*(表成绩单[化学]&lt;9E+307)*(表成绩单[化学]&gt;表成绩单[[#This Row],[化学]]))+1)</f>
        <v>37</v>
      </c>
      <c r="U810" s="29" cm="1">
        <f t="array" ref="U810">IF(表成绩单[[#This Row],[政治]]="","",SUMPRODUCT((表成绩单[考试日期]=表成绩单[[#This Row],[考试日期]])*(表成绩单[政治]&lt;9E+307)*(表成绩单[政治]&gt;表成绩单[[#This Row],[政治]]))+1)</f>
        <v>28</v>
      </c>
      <c r="V810" s="29" cm="1">
        <f t="array" ref="V810">IF(表成绩单[[#This Row],[历史]]="","",SUMPRODUCT((表成绩单[考试日期]=表成绩单[[#This Row],[考试日期]])*(表成绩单[历史]&lt;9E+307)*(表成绩单[历史]&gt;表成绩单[[#This Row],[历史]]))+1)</f>
        <v>116</v>
      </c>
      <c r="W810" s="29" cm="1">
        <f t="array" ref="W810">IF(表成绩单[[#This Row],[总分]]="","",SUMPRODUCT((表成绩单[考试日期]=表成绩单[[#This Row],[考试日期]])*(表成绩单[总分]&lt;9E+307)*(表成绩单[总分]&gt;表成绩单[[#This Row],[总分]]))+1)</f>
        <v>5</v>
      </c>
    </row>
    <row r="811" ht="28" customHeight="1" spans="4:23">
      <c r="D811" s="31">
        <v>46003</v>
      </c>
      <c r="E811" s="29">
        <v>19173524</v>
      </c>
      <c r="F811" s="29" t="s">
        <v>1</v>
      </c>
      <c r="G811" s="29" t="s">
        <v>124</v>
      </c>
      <c r="H811" s="29">
        <v>115</v>
      </c>
      <c r="I811" s="29">
        <v>109</v>
      </c>
      <c r="J811" s="29">
        <v>86</v>
      </c>
      <c r="K811" s="29">
        <v>100</v>
      </c>
      <c r="L811" s="29">
        <v>96</v>
      </c>
      <c r="M811" s="29">
        <v>76</v>
      </c>
      <c r="N811" s="29">
        <v>76</v>
      </c>
      <c r="O811" s="32">
        <v>658</v>
      </c>
      <c r="P811" s="29" cm="1">
        <f t="array" ref="P811">IF(表成绩单[[#This Row],[语文]]="","",SUMPRODUCT((表成绩单[考试日期]=表成绩单[[#This Row],[考试日期]])*(表成绩单[语文]&lt;9E+307)*(表成绩单[语文]&gt;表成绩单[[#This Row],[语文]]))+1)</f>
        <v>7</v>
      </c>
      <c r="Q811" s="29" cm="1">
        <f t="array" ref="Q811">IF(表成绩单[[#This Row],[数学]]="","",SUMPRODUCT((表成绩单[考试日期]=表成绩单[[#This Row],[考试日期]])*(表成绩单[数学]&lt;9E+307)*(表成绩单[数学]&gt;表成绩单[[#This Row],[数学]]))+1)</f>
        <v>10</v>
      </c>
      <c r="R811" s="29" cm="1">
        <f t="array" ref="R811">IF(表成绩单[[#This Row],[英语]]="","",SUMPRODUCT((表成绩单[考试日期]=表成绩单[[#This Row],[考试日期]])*(表成绩单[英语]&lt;9E+307)*(表成绩单[英语]&gt;表成绩单[[#This Row],[英语]]))+1)</f>
        <v>16</v>
      </c>
      <c r="S811" s="29" cm="1">
        <f t="array" ref="S811">IF(表成绩单[[#This Row],[物理]]="","",SUMPRODUCT((表成绩单[考试日期]=表成绩单[[#This Row],[考试日期]])*(表成绩单[物理]&lt;9E+307)*(表成绩单[物理]&gt;表成绩单[[#This Row],[物理]]))+1)</f>
        <v>1</v>
      </c>
      <c r="T811" s="29" cm="1">
        <f t="array" ref="T811">IF(表成绩单[[#This Row],[化学]]="","",SUMPRODUCT((表成绩单[考试日期]=表成绩单[[#This Row],[考试日期]])*(表成绩单[化学]&lt;9E+307)*(表成绩单[化学]&gt;表成绩单[[#This Row],[化学]]))+1)</f>
        <v>24</v>
      </c>
      <c r="U811" s="29" cm="1">
        <f t="array" ref="U811">IF(表成绩单[[#This Row],[政治]]="","",SUMPRODUCT((表成绩单[考试日期]=表成绩单[[#This Row],[考试日期]])*(表成绩单[政治]&lt;9E+307)*(表成绩单[政治]&gt;表成绩单[[#This Row],[政治]]))+1)</f>
        <v>77</v>
      </c>
      <c r="V811" s="29" cm="1">
        <f t="array" ref="V811">IF(表成绩单[[#This Row],[历史]]="","",SUMPRODUCT((表成绩单[考试日期]=表成绩单[[#This Row],[考试日期]])*(表成绩单[历史]&lt;9E+307)*(表成绩单[历史]&gt;表成绩单[[#This Row],[历史]]))+1)</f>
        <v>279</v>
      </c>
      <c r="W811" s="29" cm="1">
        <f t="array" ref="W811">IF(表成绩单[[#This Row],[总分]]="","",SUMPRODUCT((表成绩单[考试日期]=表成绩单[[#This Row],[考试日期]])*(表成绩单[总分]&lt;9E+307)*(表成绩单[总分]&gt;表成绩单[[#This Row],[总分]]))+1)</f>
        <v>6</v>
      </c>
    </row>
    <row r="812" ht="28" customHeight="1" spans="4:23">
      <c r="D812" s="31">
        <v>46003</v>
      </c>
      <c r="E812" s="29">
        <v>19175400</v>
      </c>
      <c r="F812" s="29" t="s">
        <v>74</v>
      </c>
      <c r="G812" s="29" t="s">
        <v>84</v>
      </c>
      <c r="H812" s="29">
        <v>113</v>
      </c>
      <c r="I812" s="29">
        <v>106</v>
      </c>
      <c r="J812" s="29">
        <v>86</v>
      </c>
      <c r="K812" s="29">
        <v>98</v>
      </c>
      <c r="L812" s="29">
        <v>97</v>
      </c>
      <c r="M812" s="29">
        <v>76</v>
      </c>
      <c r="N812" s="29">
        <v>81</v>
      </c>
      <c r="O812" s="32">
        <v>657</v>
      </c>
      <c r="P812" s="29" cm="1">
        <f t="array" ref="P812">IF(表成绩单[[#This Row],[语文]]="","",SUMPRODUCT((表成绩单[考试日期]=表成绩单[[#This Row],[考试日期]])*(表成绩单[语文]&lt;9E+307)*(表成绩单[语文]&gt;表成绩单[[#This Row],[语文]]))+1)</f>
        <v>22</v>
      </c>
      <c r="Q812" s="29" cm="1">
        <f t="array" ref="Q812">IF(表成绩单[[#This Row],[数学]]="","",SUMPRODUCT((表成绩单[考试日期]=表成绩单[[#This Row],[考试日期]])*(表成绩单[数学]&lt;9E+307)*(表成绩单[数学]&gt;表成绩单[[#This Row],[数学]]))+1)</f>
        <v>23</v>
      </c>
      <c r="R812" s="29" cm="1">
        <f t="array" ref="R812">IF(表成绩单[[#This Row],[英语]]="","",SUMPRODUCT((表成绩单[考试日期]=表成绩单[[#This Row],[考试日期]])*(表成绩单[英语]&lt;9E+307)*(表成绩单[英语]&gt;表成绩单[[#This Row],[英语]]))+1)</f>
        <v>16</v>
      </c>
      <c r="S812" s="29" cm="1">
        <f t="array" ref="S812">IF(表成绩单[[#This Row],[物理]]="","",SUMPRODUCT((表成绩单[考试日期]=表成绩单[[#This Row],[考试日期]])*(表成绩单[物理]&lt;9E+307)*(表成绩单[物理]&gt;表成绩单[[#This Row],[物理]]))+1)</f>
        <v>26</v>
      </c>
      <c r="T812" s="29" cm="1">
        <f t="array" ref="T812">IF(表成绩单[[#This Row],[化学]]="","",SUMPRODUCT((表成绩单[考试日期]=表成绩单[[#This Row],[考试日期]])*(表成绩单[化学]&lt;9E+307)*(表成绩单[化学]&gt;表成绩单[[#This Row],[化学]]))+1)</f>
        <v>13</v>
      </c>
      <c r="U812" s="29" cm="1">
        <f t="array" ref="U812">IF(表成绩单[[#This Row],[政治]]="","",SUMPRODUCT((表成绩单[考试日期]=表成绩单[[#This Row],[考试日期]])*(表成绩单[政治]&lt;9E+307)*(表成绩单[政治]&gt;表成绩单[[#This Row],[政治]]))+1)</f>
        <v>77</v>
      </c>
      <c r="V812" s="29" cm="1">
        <f t="array" ref="V812">IF(表成绩单[[#This Row],[历史]]="","",SUMPRODUCT((表成绩单[考试日期]=表成绩单[[#This Row],[考试日期]])*(表成绩单[历史]&lt;9E+307)*(表成绩单[历史]&gt;表成绩单[[#This Row],[历史]]))+1)</f>
        <v>92</v>
      </c>
      <c r="W812" s="29" cm="1">
        <f t="array" ref="W812">IF(表成绩单[[#This Row],[总分]]="","",SUMPRODUCT((表成绩单[考试日期]=表成绩单[[#This Row],[考试日期]])*(表成绩单[总分]&lt;9E+307)*(表成绩单[总分]&gt;表成绩单[[#This Row],[总分]]))+1)</f>
        <v>7</v>
      </c>
    </row>
    <row r="813" ht="28" customHeight="1" spans="4:23">
      <c r="D813" s="31">
        <v>46003</v>
      </c>
      <c r="E813" s="29">
        <v>19175393</v>
      </c>
      <c r="F813" s="29" t="s">
        <v>74</v>
      </c>
      <c r="G813" s="29" t="s">
        <v>114</v>
      </c>
      <c r="H813" s="29">
        <v>111</v>
      </c>
      <c r="I813" s="29">
        <v>100</v>
      </c>
      <c r="J813" s="29">
        <v>84</v>
      </c>
      <c r="K813" s="29">
        <v>97</v>
      </c>
      <c r="L813" s="29">
        <v>95</v>
      </c>
      <c r="M813" s="29">
        <v>82</v>
      </c>
      <c r="N813" s="29">
        <v>86</v>
      </c>
      <c r="O813" s="32">
        <v>655</v>
      </c>
      <c r="P813" s="29" cm="1">
        <f t="array" ref="P813">IF(表成绩单[[#This Row],[语文]]="","",SUMPRODUCT((表成绩单[考试日期]=表成绩单[[#This Row],[考试日期]])*(表成绩单[语文]&lt;9E+307)*(表成绩单[语文]&gt;表成绩单[[#This Row],[语文]]))+1)</f>
        <v>56</v>
      </c>
      <c r="Q813" s="29" cm="1">
        <f t="array" ref="Q813">IF(表成绩单[[#This Row],[数学]]="","",SUMPRODUCT((表成绩单[考试日期]=表成绩单[[#This Row],[考试日期]])*(表成绩单[数学]&lt;9E+307)*(表成绩单[数学]&gt;表成绩单[[#This Row],[数学]]))+1)</f>
        <v>77</v>
      </c>
      <c r="R813" s="29" cm="1">
        <f t="array" ref="R813">IF(表成绩单[[#This Row],[英语]]="","",SUMPRODUCT((表成绩单[考试日期]=表成绩单[[#This Row],[考试日期]])*(表成绩单[英语]&lt;9E+307)*(表成绩单[英语]&gt;表成绩单[[#This Row],[英语]]))+1)</f>
        <v>48</v>
      </c>
      <c r="S813" s="29" cm="1">
        <f t="array" ref="S813">IF(表成绩单[[#This Row],[物理]]="","",SUMPRODUCT((表成绩单[考试日期]=表成绩单[[#This Row],[考试日期]])*(表成绩单[物理]&lt;9E+307)*(表成绩单[物理]&gt;表成绩单[[#This Row],[物理]]))+1)</f>
        <v>43</v>
      </c>
      <c r="T813" s="29" cm="1">
        <f t="array" ref="T813">IF(表成绩单[[#This Row],[化学]]="","",SUMPRODUCT((表成绩单[考试日期]=表成绩单[[#This Row],[考试日期]])*(表成绩单[化学]&lt;9E+307)*(表成绩单[化学]&gt;表成绩单[[#This Row],[化学]]))+1)</f>
        <v>37</v>
      </c>
      <c r="U813" s="29" cm="1">
        <f t="array" ref="U813">IF(表成绩单[[#This Row],[政治]]="","",SUMPRODUCT((表成绩单[考试日期]=表成绩单[[#This Row],[考试日期]])*(表成绩单[政治]&lt;9E+307)*(表成绩单[政治]&gt;表成绩单[[#This Row],[政治]]))+1)</f>
        <v>13</v>
      </c>
      <c r="V813" s="29" cm="1">
        <f t="array" ref="V813">IF(表成绩单[[#This Row],[历史]]="","",SUMPRODUCT((表成绩单[考试日期]=表成绩单[[#This Row],[考试日期]])*(表成绩单[历史]&lt;9E+307)*(表成绩单[历史]&gt;表成绩单[[#This Row],[历史]]))+1)</f>
        <v>6</v>
      </c>
      <c r="W813" s="29" cm="1">
        <f t="array" ref="W813">IF(表成绩单[[#This Row],[总分]]="","",SUMPRODUCT((表成绩单[考试日期]=表成绩单[[#This Row],[考试日期]])*(表成绩单[总分]&lt;9E+307)*(表成绩单[总分]&gt;表成绩单[[#This Row],[总分]]))+1)</f>
        <v>8</v>
      </c>
    </row>
    <row r="814" ht="28" customHeight="1" spans="4:23">
      <c r="D814" s="31">
        <v>46003</v>
      </c>
      <c r="E814" s="29">
        <v>19175396</v>
      </c>
      <c r="F814" s="29" t="s">
        <v>74</v>
      </c>
      <c r="G814" s="29" t="s">
        <v>98</v>
      </c>
      <c r="H814" s="29">
        <v>107</v>
      </c>
      <c r="I814" s="29">
        <v>106</v>
      </c>
      <c r="J814" s="29">
        <v>83</v>
      </c>
      <c r="K814" s="29">
        <v>98</v>
      </c>
      <c r="L814" s="29">
        <v>98</v>
      </c>
      <c r="M814" s="29">
        <v>82</v>
      </c>
      <c r="N814" s="29">
        <v>81</v>
      </c>
      <c r="O814" s="32">
        <v>655</v>
      </c>
      <c r="P814" s="29" cm="1">
        <f t="array" ref="P814">IF(表成绩单[[#This Row],[语文]]="","",SUMPRODUCT((表成绩单[考试日期]=表成绩单[[#This Row],[考试日期]])*(表成绩单[语文]&lt;9E+307)*(表成绩单[语文]&gt;表成绩单[[#This Row],[语文]]))+1)</f>
        <v>182</v>
      </c>
      <c r="Q814" s="29" cm="1">
        <f t="array" ref="Q814">IF(表成绩单[[#This Row],[数学]]="","",SUMPRODUCT((表成绩单[考试日期]=表成绩单[[#This Row],[考试日期]])*(表成绩单[数学]&lt;9E+307)*(表成绩单[数学]&gt;表成绩单[[#This Row],[数学]]))+1)</f>
        <v>23</v>
      </c>
      <c r="R814" s="29" cm="1">
        <f t="array" ref="R814">IF(表成绩单[[#This Row],[英语]]="","",SUMPRODUCT((表成绩单[考试日期]=表成绩单[[#This Row],[考试日期]])*(表成绩单[英语]&lt;9E+307)*(表成绩单[英语]&gt;表成绩单[[#This Row],[英语]]))+1)</f>
        <v>70</v>
      </c>
      <c r="S814" s="29" cm="1">
        <f t="array" ref="S814">IF(表成绩单[[#This Row],[物理]]="","",SUMPRODUCT((表成绩单[考试日期]=表成绩单[[#This Row],[考试日期]])*(表成绩单[物理]&lt;9E+307)*(表成绩单[物理]&gt;表成绩单[[#This Row],[物理]]))+1)</f>
        <v>26</v>
      </c>
      <c r="T814" s="29" cm="1">
        <f t="array" ref="T814">IF(表成绩单[[#This Row],[化学]]="","",SUMPRODUCT((表成绩单[考试日期]=表成绩单[[#This Row],[考试日期]])*(表成绩单[化学]&lt;9E+307)*(表成绩单[化学]&gt;表成绩单[[#This Row],[化学]]))+1)</f>
        <v>8</v>
      </c>
      <c r="U814" s="29" cm="1">
        <f t="array" ref="U814">IF(表成绩单[[#This Row],[政治]]="","",SUMPRODUCT((表成绩单[考试日期]=表成绩单[[#This Row],[考试日期]])*(表成绩单[政治]&lt;9E+307)*(表成绩单[政治]&gt;表成绩单[[#This Row],[政治]]))+1)</f>
        <v>13</v>
      </c>
      <c r="V814" s="29" cm="1">
        <f t="array" ref="V814">IF(表成绩单[[#This Row],[历史]]="","",SUMPRODUCT((表成绩单[考试日期]=表成绩单[[#This Row],[考试日期]])*(表成绩单[历史]&lt;9E+307)*(表成绩单[历史]&gt;表成绩单[[#This Row],[历史]]))+1)</f>
        <v>92</v>
      </c>
      <c r="W814" s="29" cm="1">
        <f t="array" ref="W814">IF(表成绩单[[#This Row],[总分]]="","",SUMPRODUCT((表成绩单[考试日期]=表成绩单[[#This Row],[考试日期]])*(表成绩单[总分]&lt;9E+307)*(表成绩单[总分]&gt;表成绩单[[#This Row],[总分]]))+1)</f>
        <v>8</v>
      </c>
    </row>
    <row r="815" ht="28" customHeight="1" spans="4:23">
      <c r="D815" s="31">
        <v>46003</v>
      </c>
      <c r="E815" s="29">
        <v>19175407</v>
      </c>
      <c r="F815" s="29" t="s">
        <v>74</v>
      </c>
      <c r="G815" s="29" t="s">
        <v>128</v>
      </c>
      <c r="H815" s="29">
        <v>114</v>
      </c>
      <c r="I815" s="29">
        <v>102</v>
      </c>
      <c r="J815" s="29">
        <v>87.5</v>
      </c>
      <c r="K815" s="29">
        <v>95</v>
      </c>
      <c r="L815" s="29">
        <v>95</v>
      </c>
      <c r="M815" s="29">
        <v>76</v>
      </c>
      <c r="N815" s="29">
        <v>85</v>
      </c>
      <c r="O815" s="32">
        <v>654.5</v>
      </c>
      <c r="P815" s="29" cm="1">
        <f t="array" ref="P815">IF(表成绩单[[#This Row],[语文]]="","",SUMPRODUCT((表成绩单[考试日期]=表成绩单[[#This Row],[考试日期]])*(表成绩单[语文]&lt;9E+307)*(表成绩单[语文]&gt;表成绩单[[#This Row],[语文]]))+1)</f>
        <v>13</v>
      </c>
      <c r="Q815" s="29" cm="1">
        <f t="array" ref="Q815">IF(表成绩单[[#This Row],[数学]]="","",SUMPRODUCT((表成绩单[考试日期]=表成绩单[[#This Row],[考试日期]])*(表成绩单[数学]&lt;9E+307)*(表成绩单[数学]&gt;表成绩单[[#This Row],[数学]]))+1)</f>
        <v>52</v>
      </c>
      <c r="R815" s="29" cm="1">
        <f t="array" ref="R815">IF(表成绩单[[#This Row],[英语]]="","",SUMPRODUCT((表成绩单[考试日期]=表成绩单[[#This Row],[考试日期]])*(表成绩单[英语]&lt;9E+307)*(表成绩单[英语]&gt;表成绩单[[#This Row],[英语]]))+1)</f>
        <v>6</v>
      </c>
      <c r="S815" s="29" cm="1">
        <f t="array" ref="S815">IF(表成绩单[[#This Row],[物理]]="","",SUMPRODUCT((表成绩单[考试日期]=表成绩单[[#This Row],[考试日期]])*(表成绩单[物理]&lt;9E+307)*(表成绩单[物理]&gt;表成绩单[[#This Row],[物理]]))+1)</f>
        <v>97</v>
      </c>
      <c r="T815" s="29" cm="1">
        <f t="array" ref="T815">IF(表成绩单[[#This Row],[化学]]="","",SUMPRODUCT((表成绩单[考试日期]=表成绩单[[#This Row],[考试日期]])*(表成绩单[化学]&lt;9E+307)*(表成绩单[化学]&gt;表成绩单[[#This Row],[化学]]))+1)</f>
        <v>37</v>
      </c>
      <c r="U815" s="29" cm="1">
        <f t="array" ref="U815">IF(表成绩单[[#This Row],[政治]]="","",SUMPRODUCT((表成绩单[考试日期]=表成绩单[[#This Row],[考试日期]])*(表成绩单[政治]&lt;9E+307)*(表成绩单[政治]&gt;表成绩单[[#This Row],[政治]]))+1)</f>
        <v>77</v>
      </c>
      <c r="V815" s="29" cm="1">
        <f t="array" ref="V815">IF(表成绩单[[#This Row],[历史]]="","",SUMPRODUCT((表成绩单[考试日期]=表成绩单[[#This Row],[考试日期]])*(表成绩单[历史]&lt;9E+307)*(表成绩单[历史]&gt;表成绩单[[#This Row],[历史]]))+1)</f>
        <v>12</v>
      </c>
      <c r="W815" s="29" cm="1">
        <f t="array" ref="W815">IF(表成绩单[[#This Row],[总分]]="","",SUMPRODUCT((表成绩单[考试日期]=表成绩单[[#This Row],[考试日期]])*(表成绩单[总分]&lt;9E+307)*(表成绩单[总分]&gt;表成绩单[[#This Row],[总分]]))+1)</f>
        <v>10</v>
      </c>
    </row>
    <row r="816" ht="28" customHeight="1" spans="4:23">
      <c r="D816" s="31">
        <v>46003</v>
      </c>
      <c r="E816" s="29">
        <v>19176874</v>
      </c>
      <c r="F816" s="29" t="s">
        <v>71</v>
      </c>
      <c r="G816" s="29" t="s">
        <v>87</v>
      </c>
      <c r="H816" s="29">
        <v>113</v>
      </c>
      <c r="I816" s="29">
        <v>101</v>
      </c>
      <c r="J816" s="29">
        <v>83.5</v>
      </c>
      <c r="K816" s="29">
        <v>94</v>
      </c>
      <c r="L816" s="29">
        <v>93</v>
      </c>
      <c r="M816" s="29">
        <v>85</v>
      </c>
      <c r="N816" s="29">
        <v>85</v>
      </c>
      <c r="O816" s="32">
        <v>654.5</v>
      </c>
      <c r="P816" s="29" cm="1">
        <f t="array" ref="P816">IF(表成绩单[[#This Row],[语文]]="","",SUMPRODUCT((表成绩单[考试日期]=表成绩单[[#This Row],[考试日期]])*(表成绩单[语文]&lt;9E+307)*(表成绩单[语文]&gt;表成绩单[[#This Row],[语文]]))+1)</f>
        <v>22</v>
      </c>
      <c r="Q816" s="29" cm="1">
        <f t="array" ref="Q816">IF(表成绩单[[#This Row],[数学]]="","",SUMPRODUCT((表成绩单[考试日期]=表成绩单[[#This Row],[考试日期]])*(表成绩单[数学]&lt;9E+307)*(表成绩单[数学]&gt;表成绩单[[#This Row],[数学]]))+1)</f>
        <v>68</v>
      </c>
      <c r="R816" s="29" cm="1">
        <f t="array" ref="R816">IF(表成绩单[[#This Row],[英语]]="","",SUMPRODUCT((表成绩单[考试日期]=表成绩单[[#This Row],[考试日期]])*(表成绩单[英语]&lt;9E+307)*(表成绩单[英语]&gt;表成绩单[[#This Row],[英语]]))+1)</f>
        <v>57</v>
      </c>
      <c r="S816" s="29" cm="1">
        <f t="array" ref="S816">IF(表成绩单[[#This Row],[物理]]="","",SUMPRODUCT((表成绩单[考试日期]=表成绩单[[#This Row],[考试日期]])*(表成绩单[物理]&lt;9E+307)*(表成绩单[物理]&gt;表成绩单[[#This Row],[物理]]))+1)</f>
        <v>125</v>
      </c>
      <c r="T816" s="29" cm="1">
        <f t="array" ref="T816">IF(表成绩单[[#This Row],[化学]]="","",SUMPRODUCT((表成绩单[考试日期]=表成绩单[[#This Row],[考试日期]])*(表成绩单[化学]&lt;9E+307)*(表成绩单[化学]&gt;表成绩单[[#This Row],[化学]]))+1)</f>
        <v>73</v>
      </c>
      <c r="U816" s="29" cm="1">
        <f t="array" ref="U816">IF(表成绩单[[#This Row],[政治]]="","",SUMPRODUCT((表成绩单[考试日期]=表成绩单[[#This Row],[考试日期]])*(表成绩单[政治]&lt;9E+307)*(表成绩单[政治]&gt;表成绩单[[#This Row],[政治]]))+1)</f>
        <v>1</v>
      </c>
      <c r="V816" s="29" cm="1">
        <f t="array" ref="V816">IF(表成绩单[[#This Row],[历史]]="","",SUMPRODUCT((表成绩单[考试日期]=表成绩单[[#This Row],[考试日期]])*(表成绩单[历史]&lt;9E+307)*(表成绩单[历史]&gt;表成绩单[[#This Row],[历史]]))+1)</f>
        <v>12</v>
      </c>
      <c r="W816" s="29" cm="1">
        <f t="array" ref="W816">IF(表成绩单[[#This Row],[总分]]="","",SUMPRODUCT((表成绩单[考试日期]=表成绩单[[#This Row],[考试日期]])*(表成绩单[总分]&lt;9E+307)*(表成绩单[总分]&gt;表成绩单[[#This Row],[总分]]))+1)</f>
        <v>10</v>
      </c>
    </row>
    <row r="817" ht="28" customHeight="1" spans="4:23">
      <c r="D817" s="31">
        <v>46003</v>
      </c>
      <c r="E817" s="29">
        <v>19173532</v>
      </c>
      <c r="F817" s="29" t="s">
        <v>1</v>
      </c>
      <c r="G817" s="29" t="s">
        <v>125</v>
      </c>
      <c r="H817" s="29">
        <v>112</v>
      </c>
      <c r="I817" s="29">
        <v>113</v>
      </c>
      <c r="J817" s="29">
        <v>86</v>
      </c>
      <c r="K817" s="29">
        <v>97</v>
      </c>
      <c r="L817" s="29">
        <v>93</v>
      </c>
      <c r="M817" s="29">
        <v>73</v>
      </c>
      <c r="N817" s="29">
        <v>80</v>
      </c>
      <c r="O817" s="32">
        <v>654</v>
      </c>
      <c r="P817" s="29" cm="1">
        <f t="array" ref="P817">IF(表成绩单[[#This Row],[语文]]="","",SUMPRODUCT((表成绩单[考试日期]=表成绩单[[#This Row],[考试日期]])*(表成绩单[语文]&lt;9E+307)*(表成绩单[语文]&gt;表成绩单[[#This Row],[语文]]))+1)</f>
        <v>36</v>
      </c>
      <c r="Q817" s="29" cm="1">
        <f t="array" ref="Q817">IF(表成绩单[[#This Row],[数学]]="","",SUMPRODUCT((表成绩单[考试日期]=表成绩单[[#This Row],[考试日期]])*(表成绩单[数学]&lt;9E+307)*(表成绩单[数学]&gt;表成绩单[[#This Row],[数学]]))+1)</f>
        <v>3</v>
      </c>
      <c r="R817" s="29" cm="1">
        <f t="array" ref="R817">IF(表成绩单[[#This Row],[英语]]="","",SUMPRODUCT((表成绩单[考试日期]=表成绩单[[#This Row],[考试日期]])*(表成绩单[英语]&lt;9E+307)*(表成绩单[英语]&gt;表成绩单[[#This Row],[英语]]))+1)</f>
        <v>16</v>
      </c>
      <c r="S817" s="29" cm="1">
        <f t="array" ref="S817">IF(表成绩单[[#This Row],[物理]]="","",SUMPRODUCT((表成绩单[考试日期]=表成绩单[[#This Row],[考试日期]])*(表成绩单[物理]&lt;9E+307)*(表成绩单[物理]&gt;表成绩单[[#This Row],[物理]]))+1)</f>
        <v>43</v>
      </c>
      <c r="T817" s="29" cm="1">
        <f t="array" ref="T817">IF(表成绩单[[#This Row],[化学]]="","",SUMPRODUCT((表成绩单[考试日期]=表成绩单[[#This Row],[考试日期]])*(表成绩单[化学]&lt;9E+307)*(表成绩单[化学]&gt;表成绩单[[#This Row],[化学]]))+1)</f>
        <v>73</v>
      </c>
      <c r="U817" s="29" cm="1">
        <f t="array" ref="U817">IF(表成绩单[[#This Row],[政治]]="","",SUMPRODUCT((表成绩单[考试日期]=表成绩单[[#This Row],[考试日期]])*(表成绩单[政治]&lt;9E+307)*(表成绩单[政治]&gt;表成绩单[[#This Row],[政治]]))+1)</f>
        <v>139</v>
      </c>
      <c r="V817" s="29" cm="1">
        <f t="array" ref="V817">IF(表成绩单[[#This Row],[历史]]="","",SUMPRODUCT((表成绩单[考试日期]=表成绩单[[#This Row],[考试日期]])*(表成绩单[历史]&lt;9E+307)*(表成绩单[历史]&gt;表成绩单[[#This Row],[历史]]))+1)</f>
        <v>116</v>
      </c>
      <c r="W817" s="29" cm="1">
        <f t="array" ref="W817">IF(表成绩单[[#This Row],[总分]]="","",SUMPRODUCT((表成绩单[考试日期]=表成绩单[[#This Row],[考试日期]])*(表成绩单[总分]&lt;9E+307)*(表成绩单[总分]&gt;表成绩单[[#This Row],[总分]]))+1)</f>
        <v>12</v>
      </c>
    </row>
    <row r="818" ht="28" customHeight="1" spans="4:23">
      <c r="D818" s="31">
        <v>46003</v>
      </c>
      <c r="E818" s="29">
        <v>19173523</v>
      </c>
      <c r="F818" s="29" t="s">
        <v>1</v>
      </c>
      <c r="G818" s="29" t="s">
        <v>119</v>
      </c>
      <c r="H818" s="29">
        <v>111</v>
      </c>
      <c r="I818" s="29">
        <v>112</v>
      </c>
      <c r="J818" s="29">
        <v>81</v>
      </c>
      <c r="K818" s="29">
        <v>93</v>
      </c>
      <c r="L818" s="29">
        <v>93</v>
      </c>
      <c r="M818" s="29">
        <v>82</v>
      </c>
      <c r="N818" s="29">
        <v>80</v>
      </c>
      <c r="O818" s="32">
        <v>652</v>
      </c>
      <c r="P818" s="29" cm="1">
        <f t="array" ref="P818">IF(表成绩单[[#This Row],[语文]]="","",SUMPRODUCT((表成绩单[考试日期]=表成绩单[[#This Row],[考试日期]])*(表成绩单[语文]&lt;9E+307)*(表成绩单[语文]&gt;表成绩单[[#This Row],[语文]]))+1)</f>
        <v>56</v>
      </c>
      <c r="Q818" s="29" cm="1">
        <f t="array" ref="Q818">IF(表成绩单[[#This Row],[数学]]="","",SUMPRODUCT((表成绩单[考试日期]=表成绩单[[#This Row],[考试日期]])*(表成绩单[数学]&lt;9E+307)*(表成绩单[数学]&gt;表成绩单[[#This Row],[数学]]))+1)</f>
        <v>5</v>
      </c>
      <c r="R818" s="29" cm="1">
        <f t="array" ref="R818">IF(表成绩单[[#This Row],[英语]]="","",SUMPRODUCT((表成绩单[考试日期]=表成绩单[[#This Row],[考试日期]])*(表成绩单[英语]&lt;9E+307)*(表成绩单[英语]&gt;表成绩单[[#This Row],[英语]]))+1)</f>
        <v>131</v>
      </c>
      <c r="S818" s="29" cm="1">
        <f t="array" ref="S818">IF(表成绩单[[#This Row],[物理]]="","",SUMPRODUCT((表成绩单[考试日期]=表成绩单[[#This Row],[考试日期]])*(表成绩单[物理]&lt;9E+307)*(表成绩单[物理]&gt;表成绩单[[#This Row],[物理]]))+1)</f>
        <v>163</v>
      </c>
      <c r="T818" s="29" cm="1">
        <f t="array" ref="T818">IF(表成绩单[[#This Row],[化学]]="","",SUMPRODUCT((表成绩单[考试日期]=表成绩单[[#This Row],[考试日期]])*(表成绩单[化学]&lt;9E+307)*(表成绩单[化学]&gt;表成绩单[[#This Row],[化学]]))+1)</f>
        <v>73</v>
      </c>
      <c r="U818" s="29" cm="1">
        <f t="array" ref="U818">IF(表成绩单[[#This Row],[政治]]="","",SUMPRODUCT((表成绩单[考试日期]=表成绩单[[#This Row],[考试日期]])*(表成绩单[政治]&lt;9E+307)*(表成绩单[政治]&gt;表成绩单[[#This Row],[政治]]))+1)</f>
        <v>13</v>
      </c>
      <c r="V818" s="29" cm="1">
        <f t="array" ref="V818">IF(表成绩单[[#This Row],[历史]]="","",SUMPRODUCT((表成绩单[考试日期]=表成绩单[[#This Row],[考试日期]])*(表成绩单[历史]&lt;9E+307)*(表成绩单[历史]&gt;表成绩单[[#This Row],[历史]]))+1)</f>
        <v>116</v>
      </c>
      <c r="W818" s="29" cm="1">
        <f t="array" ref="W818">IF(表成绩单[[#This Row],[总分]]="","",SUMPRODUCT((表成绩单[考试日期]=表成绩单[[#This Row],[考试日期]])*(表成绩单[总分]&lt;9E+307)*(表成绩单[总分]&gt;表成绩单[[#This Row],[总分]]))+1)</f>
        <v>13</v>
      </c>
    </row>
    <row r="819" ht="28" customHeight="1" spans="4:23">
      <c r="D819" s="31">
        <v>46003</v>
      </c>
      <c r="E819" s="29">
        <v>19173521</v>
      </c>
      <c r="F819" s="29" t="s">
        <v>1</v>
      </c>
      <c r="G819" s="29" t="s">
        <v>109</v>
      </c>
      <c r="H819" s="29">
        <v>112</v>
      </c>
      <c r="I819" s="29">
        <v>103</v>
      </c>
      <c r="J819" s="29">
        <v>86</v>
      </c>
      <c r="K819" s="29">
        <v>95</v>
      </c>
      <c r="L819" s="29">
        <v>100</v>
      </c>
      <c r="M819" s="29">
        <v>68</v>
      </c>
      <c r="N819" s="29">
        <v>87</v>
      </c>
      <c r="O819" s="32">
        <v>651</v>
      </c>
      <c r="P819" s="29" cm="1">
        <f t="array" ref="P819">IF(表成绩单[[#This Row],[语文]]="","",SUMPRODUCT((表成绩单[考试日期]=表成绩单[[#This Row],[考试日期]])*(表成绩单[语文]&lt;9E+307)*(表成绩单[语文]&gt;表成绩单[[#This Row],[语文]]))+1)</f>
        <v>36</v>
      </c>
      <c r="Q819" s="29" cm="1">
        <f t="array" ref="Q819">IF(表成绩单[[#This Row],[数学]]="","",SUMPRODUCT((表成绩单[考试日期]=表成绩单[[#This Row],[考试日期]])*(表成绩单[数学]&lt;9E+307)*(表成绩单[数学]&gt;表成绩单[[#This Row],[数学]]))+1)</f>
        <v>41</v>
      </c>
      <c r="R819" s="29" cm="1">
        <f t="array" ref="R819">IF(表成绩单[[#This Row],[英语]]="","",SUMPRODUCT((表成绩单[考试日期]=表成绩单[[#This Row],[考试日期]])*(表成绩单[英语]&lt;9E+307)*(表成绩单[英语]&gt;表成绩单[[#This Row],[英语]]))+1)</f>
        <v>16</v>
      </c>
      <c r="S819" s="29" cm="1">
        <f t="array" ref="S819">IF(表成绩单[[#This Row],[物理]]="","",SUMPRODUCT((表成绩单[考试日期]=表成绩单[[#This Row],[考试日期]])*(表成绩单[物理]&lt;9E+307)*(表成绩单[物理]&gt;表成绩单[[#This Row],[物理]]))+1)</f>
        <v>97</v>
      </c>
      <c r="T819" s="29" cm="1">
        <f t="array" ref="T819">IF(表成绩单[[#This Row],[化学]]="","",SUMPRODUCT((表成绩单[考试日期]=表成绩单[[#This Row],[考试日期]])*(表成绩单[化学]&lt;9E+307)*(表成绩单[化学]&gt;表成绩单[[#This Row],[化学]]))+1)</f>
        <v>1</v>
      </c>
      <c r="U819" s="29" cm="1">
        <f t="array" ref="U819">IF(表成绩单[[#This Row],[政治]]="","",SUMPRODUCT((表成绩单[考试日期]=表成绩单[[#This Row],[考试日期]])*(表成绩单[政治]&lt;9E+307)*(表成绩单[政治]&gt;表成绩单[[#This Row],[政治]]))+1)</f>
        <v>237</v>
      </c>
      <c r="V819" s="29" cm="1">
        <f t="array" ref="V819">IF(表成绩单[[#This Row],[历史]]="","",SUMPRODUCT((表成绩单[考试日期]=表成绩单[[#This Row],[考试日期]])*(表成绩单[历史]&lt;9E+307)*(表成绩单[历史]&gt;表成绩单[[#This Row],[历史]]))+1)</f>
        <v>3</v>
      </c>
      <c r="W819" s="29" cm="1">
        <f t="array" ref="W819">IF(表成绩单[[#This Row],[总分]]="","",SUMPRODUCT((表成绩单[考试日期]=表成绩单[[#This Row],[考试日期]])*(表成绩单[总分]&lt;9E+307)*(表成绩单[总分]&gt;表成绩单[[#This Row],[总分]]))+1)</f>
        <v>14</v>
      </c>
    </row>
    <row r="820" ht="28" customHeight="1" spans="4:23">
      <c r="D820" s="31">
        <v>46003</v>
      </c>
      <c r="E820" s="29">
        <v>19176883</v>
      </c>
      <c r="F820" s="29" t="s">
        <v>71</v>
      </c>
      <c r="G820" s="29" t="s">
        <v>85</v>
      </c>
      <c r="H820" s="29">
        <v>115</v>
      </c>
      <c r="I820" s="29">
        <v>100</v>
      </c>
      <c r="J820" s="29">
        <v>80.5</v>
      </c>
      <c r="K820" s="29">
        <v>99</v>
      </c>
      <c r="L820" s="29">
        <v>90</v>
      </c>
      <c r="M820" s="29">
        <v>82</v>
      </c>
      <c r="N820" s="29">
        <v>84</v>
      </c>
      <c r="O820" s="32">
        <v>650.5</v>
      </c>
      <c r="P820" s="29" cm="1">
        <f t="array" ref="P820">IF(表成绩单[[#This Row],[语文]]="","",SUMPRODUCT((表成绩单[考试日期]=表成绩单[[#This Row],[考试日期]])*(表成绩单[语文]&lt;9E+307)*(表成绩单[语文]&gt;表成绩单[[#This Row],[语文]]))+1)</f>
        <v>7</v>
      </c>
      <c r="Q820" s="29" cm="1">
        <f t="array" ref="Q820">IF(表成绩单[[#This Row],[数学]]="","",SUMPRODUCT((表成绩单[考试日期]=表成绩单[[#This Row],[考试日期]])*(表成绩单[数学]&lt;9E+307)*(表成绩单[数学]&gt;表成绩单[[#This Row],[数学]]))+1)</f>
        <v>77</v>
      </c>
      <c r="R820" s="29" cm="1">
        <f t="array" ref="R820">IF(表成绩单[[#This Row],[英语]]="","",SUMPRODUCT((表成绩单[考试日期]=表成绩单[[#This Row],[考试日期]])*(表成绩单[英语]&lt;9E+307)*(表成绩单[英语]&gt;表成绩单[[#This Row],[英语]]))+1)</f>
        <v>147</v>
      </c>
      <c r="S820" s="29" cm="1">
        <f t="array" ref="S820">IF(表成绩单[[#This Row],[物理]]="","",SUMPRODUCT((表成绩单[考试日期]=表成绩单[[#This Row],[考试日期]])*(表成绩单[物理]&lt;9E+307)*(表成绩单[物理]&gt;表成绩单[[#This Row],[物理]]))+1)</f>
        <v>9</v>
      </c>
      <c r="T820" s="29" cm="1">
        <f t="array" ref="T820">IF(表成绩单[[#This Row],[化学]]="","",SUMPRODUCT((表成绩单[考试日期]=表成绩单[[#This Row],[考试日期]])*(表成绩单[化学]&lt;9E+307)*(表成绩单[化学]&gt;表成绩单[[#This Row],[化学]]))+1)</f>
        <v>140</v>
      </c>
      <c r="U820" s="29" cm="1">
        <f t="array" ref="U820">IF(表成绩单[[#This Row],[政治]]="","",SUMPRODUCT((表成绩单[考试日期]=表成绩单[[#This Row],[考试日期]])*(表成绩单[政治]&lt;9E+307)*(表成绩单[政治]&gt;表成绩单[[#This Row],[政治]]))+1)</f>
        <v>13</v>
      </c>
      <c r="V820" s="29" cm="1">
        <f t="array" ref="V820">IF(表成绩单[[#This Row],[历史]]="","",SUMPRODUCT((表成绩单[考试日期]=表成绩单[[#This Row],[考试日期]])*(表成绩单[历史]&lt;9E+307)*(表成绩单[历史]&gt;表成绩单[[#This Row],[历史]]))+1)</f>
        <v>30</v>
      </c>
      <c r="W820" s="29" cm="1">
        <f t="array" ref="W820">IF(表成绩单[[#This Row],[总分]]="","",SUMPRODUCT((表成绩单[考试日期]=表成绩单[[#This Row],[考试日期]])*(表成绩单[总分]&lt;9E+307)*(表成绩单[总分]&gt;表成绩单[[#This Row],[总分]]))+1)</f>
        <v>15</v>
      </c>
    </row>
    <row r="821" ht="28" customHeight="1" spans="4:23">
      <c r="D821" s="31">
        <v>46003</v>
      </c>
      <c r="E821" s="29">
        <v>19173525</v>
      </c>
      <c r="F821" s="29" t="s">
        <v>1</v>
      </c>
      <c r="G821" s="29" t="s">
        <v>91</v>
      </c>
      <c r="H821" s="29">
        <v>114</v>
      </c>
      <c r="I821" s="29">
        <v>97</v>
      </c>
      <c r="J821" s="29">
        <v>90</v>
      </c>
      <c r="K821" s="29">
        <v>90</v>
      </c>
      <c r="L821" s="29">
        <v>97</v>
      </c>
      <c r="M821" s="29">
        <v>76</v>
      </c>
      <c r="N821" s="29">
        <v>86</v>
      </c>
      <c r="O821" s="32">
        <v>650</v>
      </c>
      <c r="P821" s="29" cm="1">
        <f t="array" ref="P821">IF(表成绩单[[#This Row],[语文]]="","",SUMPRODUCT((表成绩单[考试日期]=表成绩单[[#This Row],[考试日期]])*(表成绩单[语文]&lt;9E+307)*(表成绩单[语文]&gt;表成绩单[[#This Row],[语文]]))+1)</f>
        <v>13</v>
      </c>
      <c r="Q821" s="29" cm="1">
        <f t="array" ref="Q821">IF(表成绩单[[#This Row],[数学]]="","",SUMPRODUCT((表成绩单[考试日期]=表成绩单[[#This Row],[考试日期]])*(表成绩单[数学]&lt;9E+307)*(表成绩单[数学]&gt;表成绩单[[#This Row],[数学]]))+1)</f>
        <v>104</v>
      </c>
      <c r="R821" s="29" cm="1">
        <f t="array" ref="R821">IF(表成绩单[[#This Row],[英语]]="","",SUMPRODUCT((表成绩单[考试日期]=表成绩单[[#This Row],[考试日期]])*(表成绩单[英语]&lt;9E+307)*(表成绩单[英语]&gt;表成绩单[[#This Row],[英语]]))+1)</f>
        <v>1</v>
      </c>
      <c r="S821" s="29" cm="1">
        <f t="array" ref="S821">IF(表成绩单[[#This Row],[物理]]="","",SUMPRODUCT((表成绩单[考试日期]=表成绩单[[#This Row],[考试日期]])*(表成绩单[物理]&lt;9E+307)*(表成绩单[物理]&gt;表成绩单[[#This Row],[物理]]))+1)</f>
        <v>237</v>
      </c>
      <c r="T821" s="29" cm="1">
        <f t="array" ref="T821">IF(表成绩单[[#This Row],[化学]]="","",SUMPRODUCT((表成绩单[考试日期]=表成绩单[[#This Row],[考试日期]])*(表成绩单[化学]&lt;9E+307)*(表成绩单[化学]&gt;表成绩单[[#This Row],[化学]]))+1)</f>
        <v>13</v>
      </c>
      <c r="U821" s="29" cm="1">
        <f t="array" ref="U821">IF(表成绩单[[#This Row],[政治]]="","",SUMPRODUCT((表成绩单[考试日期]=表成绩单[[#This Row],[考试日期]])*(表成绩单[政治]&lt;9E+307)*(表成绩单[政治]&gt;表成绩单[[#This Row],[政治]]))+1)</f>
        <v>77</v>
      </c>
      <c r="V821" s="29" cm="1">
        <f t="array" ref="V821">IF(表成绩单[[#This Row],[历史]]="","",SUMPRODUCT((表成绩单[考试日期]=表成绩单[[#This Row],[考试日期]])*(表成绩单[历史]&lt;9E+307)*(表成绩单[历史]&gt;表成绩单[[#This Row],[历史]]))+1)</f>
        <v>6</v>
      </c>
      <c r="W821" s="29" cm="1">
        <f t="array" ref="W821">IF(表成绩单[[#This Row],[总分]]="","",SUMPRODUCT((表成绩单[考试日期]=表成绩单[[#This Row],[考试日期]])*(表成绩单[总分]&lt;9E+307)*(表成绩单[总分]&gt;表成绩单[[#This Row],[总分]]))+1)</f>
        <v>16</v>
      </c>
    </row>
    <row r="822" ht="28" customHeight="1" spans="4:23">
      <c r="D822" s="31">
        <v>46003</v>
      </c>
      <c r="E822" s="29">
        <v>19176892</v>
      </c>
      <c r="F822" s="29" t="s">
        <v>71</v>
      </c>
      <c r="G822" s="29" t="s">
        <v>100</v>
      </c>
      <c r="H822" s="29">
        <v>109</v>
      </c>
      <c r="I822" s="29">
        <v>103</v>
      </c>
      <c r="J822" s="29">
        <v>81</v>
      </c>
      <c r="K822" s="29">
        <v>99</v>
      </c>
      <c r="L822" s="29">
        <v>95</v>
      </c>
      <c r="M822" s="29">
        <v>78</v>
      </c>
      <c r="N822" s="29">
        <v>85</v>
      </c>
      <c r="O822" s="32">
        <v>650</v>
      </c>
      <c r="P822" s="29" cm="1">
        <f t="array" ref="P822">IF(表成绩单[[#This Row],[语文]]="","",SUMPRODUCT((表成绩单[考试日期]=表成绩单[[#This Row],[考试日期]])*(表成绩单[语文]&lt;9E+307)*(表成绩单[语文]&gt;表成绩单[[#This Row],[语文]]))+1)</f>
        <v>111</v>
      </c>
      <c r="Q822" s="29" cm="1">
        <f t="array" ref="Q822">IF(表成绩单[[#This Row],[数学]]="","",SUMPRODUCT((表成绩单[考试日期]=表成绩单[[#This Row],[考试日期]])*(表成绩单[数学]&lt;9E+307)*(表成绩单[数学]&gt;表成绩单[[#This Row],[数学]]))+1)</f>
        <v>41</v>
      </c>
      <c r="R822" s="29" cm="1">
        <f t="array" ref="R822">IF(表成绩单[[#This Row],[英语]]="","",SUMPRODUCT((表成绩单[考试日期]=表成绩单[[#This Row],[考试日期]])*(表成绩单[英语]&lt;9E+307)*(表成绩单[英语]&gt;表成绩单[[#This Row],[英语]]))+1)</f>
        <v>131</v>
      </c>
      <c r="S822" s="29" cm="1">
        <f t="array" ref="S822">IF(表成绩单[[#This Row],[物理]]="","",SUMPRODUCT((表成绩单[考试日期]=表成绩单[[#This Row],[考试日期]])*(表成绩单[物理]&lt;9E+307)*(表成绩单[物理]&gt;表成绩单[[#This Row],[物理]]))+1)</f>
        <v>9</v>
      </c>
      <c r="T822" s="29" cm="1">
        <f t="array" ref="T822">IF(表成绩单[[#This Row],[化学]]="","",SUMPRODUCT((表成绩单[考试日期]=表成绩单[[#This Row],[考试日期]])*(表成绩单[化学]&lt;9E+307)*(表成绩单[化学]&gt;表成绩单[[#This Row],[化学]]))+1)</f>
        <v>37</v>
      </c>
      <c r="U822" s="29" cm="1">
        <f t="array" ref="U822">IF(表成绩单[[#This Row],[政治]]="","",SUMPRODUCT((表成绩单[考试日期]=表成绩单[[#This Row],[考试日期]])*(表成绩单[政治]&lt;9E+307)*(表成绩单[政治]&gt;表成绩单[[#This Row],[政治]]))+1)</f>
        <v>46</v>
      </c>
      <c r="V822" s="29" cm="1">
        <f t="array" ref="V822">IF(表成绩单[[#This Row],[历史]]="","",SUMPRODUCT((表成绩单[考试日期]=表成绩单[[#This Row],[考试日期]])*(表成绩单[历史]&lt;9E+307)*(表成绩单[历史]&gt;表成绩单[[#This Row],[历史]]))+1)</f>
        <v>12</v>
      </c>
      <c r="W822" s="29" cm="1">
        <f t="array" ref="W822">IF(表成绩单[[#This Row],[总分]]="","",SUMPRODUCT((表成绩单[考试日期]=表成绩单[[#This Row],[考试日期]])*(表成绩单[总分]&lt;9E+307)*(表成绩单[总分]&gt;表成绩单[[#This Row],[总分]]))+1)</f>
        <v>16</v>
      </c>
    </row>
    <row r="823" ht="28" customHeight="1" spans="4:23">
      <c r="D823" s="31">
        <v>46003</v>
      </c>
      <c r="E823" s="29">
        <v>19177208</v>
      </c>
      <c r="F823" s="29" t="s">
        <v>70</v>
      </c>
      <c r="G823" s="29" t="s">
        <v>163</v>
      </c>
      <c r="H823" s="29">
        <v>107</v>
      </c>
      <c r="I823" s="29">
        <v>105</v>
      </c>
      <c r="J823" s="29">
        <v>82</v>
      </c>
      <c r="K823" s="29">
        <v>100</v>
      </c>
      <c r="L823" s="29">
        <v>99</v>
      </c>
      <c r="M823" s="29">
        <v>76</v>
      </c>
      <c r="N823" s="29">
        <v>81</v>
      </c>
      <c r="O823" s="32">
        <v>650</v>
      </c>
      <c r="P823" s="29" cm="1">
        <f t="array" ref="P823">IF(表成绩单[[#This Row],[语文]]="","",SUMPRODUCT((表成绩单[考试日期]=表成绩单[[#This Row],[考试日期]])*(表成绩单[语文]&lt;9E+307)*(表成绩单[语文]&gt;表成绩单[[#This Row],[语文]]))+1)</f>
        <v>182</v>
      </c>
      <c r="Q823" s="29" cm="1">
        <f t="array" ref="Q823">IF(表成绩单[[#This Row],[数学]]="","",SUMPRODUCT((表成绩单[考试日期]=表成绩单[[#This Row],[考试日期]])*(表成绩单[数学]&lt;9E+307)*(表成绩单[数学]&gt;表成绩单[[#This Row],[数学]]))+1)</f>
        <v>33</v>
      </c>
      <c r="R823" s="29" cm="1">
        <f t="array" ref="R823">IF(表成绩单[[#This Row],[英语]]="","",SUMPRODUCT((表成绩单[考试日期]=表成绩单[[#This Row],[考试日期]])*(表成绩单[英语]&lt;9E+307)*(表成绩单[英语]&gt;表成绩单[[#This Row],[英语]]))+1)</f>
        <v>96</v>
      </c>
      <c r="S823" s="29" cm="1">
        <f t="array" ref="S823">IF(表成绩单[[#This Row],[物理]]="","",SUMPRODUCT((表成绩单[考试日期]=表成绩单[[#This Row],[考试日期]])*(表成绩单[物理]&lt;9E+307)*(表成绩单[物理]&gt;表成绩单[[#This Row],[物理]]))+1)</f>
        <v>1</v>
      </c>
      <c r="T823" s="29" cm="1">
        <f t="array" ref="T823">IF(表成绩单[[#This Row],[化学]]="","",SUMPRODUCT((表成绩单[考试日期]=表成绩单[[#This Row],[考试日期]])*(表成绩单[化学]&lt;9E+307)*(表成绩单[化学]&gt;表成绩单[[#This Row],[化学]]))+1)</f>
        <v>2</v>
      </c>
      <c r="U823" s="29" cm="1">
        <f t="array" ref="U823">IF(表成绩单[[#This Row],[政治]]="","",SUMPRODUCT((表成绩单[考试日期]=表成绩单[[#This Row],[考试日期]])*(表成绩单[政治]&lt;9E+307)*(表成绩单[政治]&gt;表成绩单[[#This Row],[政治]]))+1)</f>
        <v>77</v>
      </c>
      <c r="V823" s="29" cm="1">
        <f t="array" ref="V823">IF(表成绩单[[#This Row],[历史]]="","",SUMPRODUCT((表成绩单[考试日期]=表成绩单[[#This Row],[考试日期]])*(表成绩单[历史]&lt;9E+307)*(表成绩单[历史]&gt;表成绩单[[#This Row],[历史]]))+1)</f>
        <v>92</v>
      </c>
      <c r="W823" s="29" cm="1">
        <f t="array" ref="W823">IF(表成绩单[[#This Row],[总分]]="","",SUMPRODUCT((表成绩单[考试日期]=表成绩单[[#This Row],[考试日期]])*(表成绩单[总分]&lt;9E+307)*(表成绩单[总分]&gt;表成绩单[[#This Row],[总分]]))+1)</f>
        <v>16</v>
      </c>
    </row>
    <row r="824" ht="28" customHeight="1" spans="4:23">
      <c r="D824" s="31">
        <v>46003</v>
      </c>
      <c r="E824" s="29">
        <v>19173531</v>
      </c>
      <c r="F824" s="29" t="s">
        <v>1</v>
      </c>
      <c r="G824" s="29" t="s">
        <v>102</v>
      </c>
      <c r="H824" s="29">
        <v>106</v>
      </c>
      <c r="I824" s="29">
        <v>106</v>
      </c>
      <c r="J824" s="29">
        <v>81.5</v>
      </c>
      <c r="K824" s="29">
        <v>98</v>
      </c>
      <c r="L824" s="29">
        <v>96</v>
      </c>
      <c r="M824" s="29">
        <v>78</v>
      </c>
      <c r="N824" s="29">
        <v>84</v>
      </c>
      <c r="O824" s="32">
        <v>649.5</v>
      </c>
      <c r="P824" s="29" cm="1">
        <f t="array" ref="P824">IF(表成绩单[[#This Row],[语文]]="","",SUMPRODUCT((表成绩单[考试日期]=表成绩单[[#This Row],[考试日期]])*(表成绩单[语文]&lt;9E+307)*(表成绩单[语文]&gt;表成绩单[[#This Row],[语文]]))+1)</f>
        <v>210</v>
      </c>
      <c r="Q824" s="29" cm="1">
        <f t="array" ref="Q824">IF(表成绩单[[#This Row],[数学]]="","",SUMPRODUCT((表成绩单[考试日期]=表成绩单[[#This Row],[考试日期]])*(表成绩单[数学]&lt;9E+307)*(表成绩单[数学]&gt;表成绩单[[#This Row],[数学]]))+1)</f>
        <v>23</v>
      </c>
      <c r="R824" s="29" cm="1">
        <f t="array" ref="R824">IF(表成绩单[[#This Row],[英语]]="","",SUMPRODUCT((表成绩单[考试日期]=表成绩单[[#This Row],[考试日期]])*(表成绩单[英语]&lt;9E+307)*(表成绩单[英语]&gt;表成绩单[[#This Row],[英语]]))+1)</f>
        <v>113</v>
      </c>
      <c r="S824" s="29" cm="1">
        <f t="array" ref="S824">IF(表成绩单[[#This Row],[物理]]="","",SUMPRODUCT((表成绩单[考试日期]=表成绩单[[#This Row],[考试日期]])*(表成绩单[物理]&lt;9E+307)*(表成绩单[物理]&gt;表成绩单[[#This Row],[物理]]))+1)</f>
        <v>26</v>
      </c>
      <c r="T824" s="29" cm="1">
        <f t="array" ref="T824">IF(表成绩单[[#This Row],[化学]]="","",SUMPRODUCT((表成绩单[考试日期]=表成绩单[[#This Row],[考试日期]])*(表成绩单[化学]&lt;9E+307)*(表成绩单[化学]&gt;表成绩单[[#This Row],[化学]]))+1)</f>
        <v>24</v>
      </c>
      <c r="U824" s="29" cm="1">
        <f t="array" ref="U824">IF(表成绩单[[#This Row],[政治]]="","",SUMPRODUCT((表成绩单[考试日期]=表成绩单[[#This Row],[考试日期]])*(表成绩单[政治]&lt;9E+307)*(表成绩单[政治]&gt;表成绩单[[#This Row],[政治]]))+1)</f>
        <v>46</v>
      </c>
      <c r="V824" s="29" cm="1">
        <f t="array" ref="V824">IF(表成绩单[[#This Row],[历史]]="","",SUMPRODUCT((表成绩单[考试日期]=表成绩单[[#This Row],[考试日期]])*(表成绩单[历史]&lt;9E+307)*(表成绩单[历史]&gt;表成绩单[[#This Row],[历史]]))+1)</f>
        <v>30</v>
      </c>
      <c r="W824" s="29" cm="1">
        <f t="array" ref="W824">IF(表成绩单[[#This Row],[总分]]="","",SUMPRODUCT((表成绩单[考试日期]=表成绩单[[#This Row],[考试日期]])*(表成绩单[总分]&lt;9E+307)*(表成绩单[总分]&gt;表成绩单[[#This Row],[总分]]))+1)</f>
        <v>19</v>
      </c>
    </row>
    <row r="825" ht="28" customHeight="1" spans="4:23">
      <c r="D825" s="31">
        <v>46003</v>
      </c>
      <c r="E825" s="29">
        <v>19175413</v>
      </c>
      <c r="F825" s="29" t="s">
        <v>74</v>
      </c>
      <c r="G825" s="29" t="s">
        <v>117</v>
      </c>
      <c r="H825" s="29">
        <v>110</v>
      </c>
      <c r="I825" s="29">
        <v>103</v>
      </c>
      <c r="J825" s="29">
        <v>83.5</v>
      </c>
      <c r="K825" s="29">
        <v>94</v>
      </c>
      <c r="L825" s="29">
        <v>98</v>
      </c>
      <c r="M825" s="29">
        <v>80</v>
      </c>
      <c r="N825" s="29">
        <v>81</v>
      </c>
      <c r="O825" s="32">
        <v>649.5</v>
      </c>
      <c r="P825" s="29" cm="1">
        <f t="array" ref="P825">IF(表成绩单[[#This Row],[语文]]="","",SUMPRODUCT((表成绩单[考试日期]=表成绩单[[#This Row],[考试日期]])*(表成绩单[语文]&lt;9E+307)*(表成绩单[语文]&gt;表成绩单[[#This Row],[语文]]))+1)</f>
        <v>84</v>
      </c>
      <c r="Q825" s="29" cm="1">
        <f t="array" ref="Q825">IF(表成绩单[[#This Row],[数学]]="","",SUMPRODUCT((表成绩单[考试日期]=表成绩单[[#This Row],[考试日期]])*(表成绩单[数学]&lt;9E+307)*(表成绩单[数学]&gt;表成绩单[[#This Row],[数学]]))+1)</f>
        <v>41</v>
      </c>
      <c r="R825" s="29" cm="1">
        <f t="array" ref="R825">IF(表成绩单[[#This Row],[英语]]="","",SUMPRODUCT((表成绩单[考试日期]=表成绩单[[#This Row],[考试日期]])*(表成绩单[英语]&lt;9E+307)*(表成绩单[英语]&gt;表成绩单[[#This Row],[英语]]))+1)</f>
        <v>57</v>
      </c>
      <c r="S825" s="29" cm="1">
        <f t="array" ref="S825">IF(表成绩单[[#This Row],[物理]]="","",SUMPRODUCT((表成绩单[考试日期]=表成绩单[[#This Row],[考试日期]])*(表成绩单[物理]&lt;9E+307)*(表成绩单[物理]&gt;表成绩单[[#This Row],[物理]]))+1)</f>
        <v>125</v>
      </c>
      <c r="T825" s="29" cm="1">
        <f t="array" ref="T825">IF(表成绩单[[#This Row],[化学]]="","",SUMPRODUCT((表成绩单[考试日期]=表成绩单[[#This Row],[考试日期]])*(表成绩单[化学]&lt;9E+307)*(表成绩单[化学]&gt;表成绩单[[#This Row],[化学]]))+1)</f>
        <v>8</v>
      </c>
      <c r="U825" s="29" cm="1">
        <f t="array" ref="U825">IF(表成绩单[[#This Row],[政治]]="","",SUMPRODUCT((表成绩单[考试日期]=表成绩单[[#This Row],[考试日期]])*(表成绩单[政治]&lt;9E+307)*(表成绩单[政治]&gt;表成绩单[[#This Row],[政治]]))+1)</f>
        <v>28</v>
      </c>
      <c r="V825" s="29" cm="1">
        <f t="array" ref="V825">IF(表成绩单[[#This Row],[历史]]="","",SUMPRODUCT((表成绩单[考试日期]=表成绩单[[#This Row],[考试日期]])*(表成绩单[历史]&lt;9E+307)*(表成绩单[历史]&gt;表成绩单[[#This Row],[历史]]))+1)</f>
        <v>92</v>
      </c>
      <c r="W825" s="29" cm="1">
        <f t="array" ref="W825">IF(表成绩单[[#This Row],[总分]]="","",SUMPRODUCT((表成绩单[考试日期]=表成绩单[[#This Row],[考试日期]])*(表成绩单[总分]&lt;9E+307)*(表成绩单[总分]&gt;表成绩单[[#This Row],[总分]]))+1)</f>
        <v>19</v>
      </c>
    </row>
    <row r="826" ht="28" customHeight="1" spans="4:23">
      <c r="D826" s="31">
        <v>46003</v>
      </c>
      <c r="E826" s="29">
        <v>19175651</v>
      </c>
      <c r="F826" s="29" t="s">
        <v>66</v>
      </c>
      <c r="G826" s="29" t="s">
        <v>211</v>
      </c>
      <c r="H826" s="29">
        <v>116</v>
      </c>
      <c r="I826" s="29">
        <v>94</v>
      </c>
      <c r="J826" s="29">
        <v>83.5</v>
      </c>
      <c r="K826" s="29">
        <v>93</v>
      </c>
      <c r="L826" s="29">
        <v>99</v>
      </c>
      <c r="M826" s="29">
        <v>84</v>
      </c>
      <c r="N826" s="29">
        <v>80</v>
      </c>
      <c r="O826" s="32">
        <v>649.5</v>
      </c>
      <c r="P826" s="29" cm="1">
        <f t="array" ref="P826">IF(表成绩单[[#This Row],[语文]]="","",SUMPRODUCT((表成绩单[考试日期]=表成绩单[[#This Row],[考试日期]])*(表成绩单[语文]&lt;9E+307)*(表成绩单[语文]&gt;表成绩单[[#This Row],[语文]]))+1)</f>
        <v>5</v>
      </c>
      <c r="Q826" s="29" cm="1">
        <f t="array" ref="Q826">IF(表成绩单[[#This Row],[数学]]="","",SUMPRODUCT((表成绩单[考试日期]=表成绩单[[#This Row],[考试日期]])*(表成绩单[数学]&lt;9E+307)*(表成绩单[数学]&gt;表成绩单[[#This Row],[数学]]))+1)</f>
        <v>142</v>
      </c>
      <c r="R826" s="29" cm="1">
        <f t="array" ref="R826">IF(表成绩单[[#This Row],[英语]]="","",SUMPRODUCT((表成绩单[考试日期]=表成绩单[[#This Row],[考试日期]])*(表成绩单[英语]&lt;9E+307)*(表成绩单[英语]&gt;表成绩单[[#This Row],[英语]]))+1)</f>
        <v>57</v>
      </c>
      <c r="S826" s="29" cm="1">
        <f t="array" ref="S826">IF(表成绩单[[#This Row],[物理]]="","",SUMPRODUCT((表成绩单[考试日期]=表成绩单[[#This Row],[考试日期]])*(表成绩单[物理]&lt;9E+307)*(表成绩单[物理]&gt;表成绩单[[#This Row],[物理]]))+1)</f>
        <v>163</v>
      </c>
      <c r="T826" s="29" cm="1">
        <f t="array" ref="T826">IF(表成绩单[[#This Row],[化学]]="","",SUMPRODUCT((表成绩单[考试日期]=表成绩单[[#This Row],[考试日期]])*(表成绩单[化学]&lt;9E+307)*(表成绩单[化学]&gt;表成绩单[[#This Row],[化学]]))+1)</f>
        <v>2</v>
      </c>
      <c r="U826" s="29" cm="1">
        <f t="array" ref="U826">IF(表成绩单[[#This Row],[政治]]="","",SUMPRODUCT((表成绩单[考试日期]=表成绩单[[#This Row],[考试日期]])*(表成绩单[政治]&lt;9E+307)*(表成绩单[政治]&gt;表成绩单[[#This Row],[政治]]))+1)</f>
        <v>2</v>
      </c>
      <c r="V826" s="29" cm="1">
        <f t="array" ref="V826">IF(表成绩单[[#This Row],[历史]]="","",SUMPRODUCT((表成绩单[考试日期]=表成绩单[[#This Row],[考试日期]])*(表成绩单[历史]&lt;9E+307)*(表成绩单[历史]&gt;表成绩单[[#This Row],[历史]]))+1)</f>
        <v>116</v>
      </c>
      <c r="W826" s="29" cm="1">
        <f t="array" ref="W826">IF(表成绩单[[#This Row],[总分]]="","",SUMPRODUCT((表成绩单[考试日期]=表成绩单[[#This Row],[考试日期]])*(表成绩单[总分]&lt;9E+307)*(表成绩单[总分]&gt;表成绩单[[#This Row],[总分]]))+1)</f>
        <v>19</v>
      </c>
    </row>
    <row r="827" ht="28" customHeight="1" spans="4:23">
      <c r="D827" s="31">
        <v>46003</v>
      </c>
      <c r="E827" s="29">
        <v>19177200</v>
      </c>
      <c r="F827" s="29" t="s">
        <v>70</v>
      </c>
      <c r="G827" s="29" t="s">
        <v>177</v>
      </c>
      <c r="H827" s="29">
        <v>112</v>
      </c>
      <c r="I827" s="29">
        <v>106</v>
      </c>
      <c r="J827" s="29">
        <v>81</v>
      </c>
      <c r="K827" s="29">
        <v>96</v>
      </c>
      <c r="L827" s="29">
        <v>93</v>
      </c>
      <c r="M827" s="29">
        <v>81</v>
      </c>
      <c r="N827" s="29">
        <v>80</v>
      </c>
      <c r="O827" s="32">
        <v>649</v>
      </c>
      <c r="P827" s="29" cm="1">
        <f t="array" ref="P827">IF(表成绩单[[#This Row],[语文]]="","",SUMPRODUCT((表成绩单[考试日期]=表成绩单[[#This Row],[考试日期]])*(表成绩单[语文]&lt;9E+307)*(表成绩单[语文]&gt;表成绩单[[#This Row],[语文]]))+1)</f>
        <v>36</v>
      </c>
      <c r="Q827" s="29" cm="1">
        <f t="array" ref="Q827">IF(表成绩单[[#This Row],[数学]]="","",SUMPRODUCT((表成绩单[考试日期]=表成绩单[[#This Row],[考试日期]])*(表成绩单[数学]&lt;9E+307)*(表成绩单[数学]&gt;表成绩单[[#This Row],[数学]]))+1)</f>
        <v>23</v>
      </c>
      <c r="R827" s="29" cm="1">
        <f t="array" ref="R827">IF(表成绩单[[#This Row],[英语]]="","",SUMPRODUCT((表成绩单[考试日期]=表成绩单[[#This Row],[考试日期]])*(表成绩单[英语]&lt;9E+307)*(表成绩单[英语]&gt;表成绩单[[#This Row],[英语]]))+1)</f>
        <v>131</v>
      </c>
      <c r="S827" s="29" cm="1">
        <f t="array" ref="S827">IF(表成绩单[[#This Row],[物理]]="","",SUMPRODUCT((表成绩单[考试日期]=表成绩单[[#This Row],[考试日期]])*(表成绩单[物理]&lt;9E+307)*(表成绩单[物理]&gt;表成绩单[[#This Row],[物理]]))+1)</f>
        <v>64</v>
      </c>
      <c r="T827" s="29" cm="1">
        <f t="array" ref="T827">IF(表成绩单[[#This Row],[化学]]="","",SUMPRODUCT((表成绩单[考试日期]=表成绩单[[#This Row],[考试日期]])*(表成绩单[化学]&lt;9E+307)*(表成绩单[化学]&gt;表成绩单[[#This Row],[化学]]))+1)</f>
        <v>73</v>
      </c>
      <c r="U827" s="29" cm="1">
        <f t="array" ref="U827">IF(表成绩单[[#This Row],[政治]]="","",SUMPRODUCT((表成绩单[考试日期]=表成绩单[[#This Row],[考试日期]])*(表成绩单[政治]&lt;9E+307)*(表成绩单[政治]&gt;表成绩单[[#This Row],[政治]]))+1)</f>
        <v>22</v>
      </c>
      <c r="V827" s="29" cm="1">
        <f t="array" ref="V827">IF(表成绩单[[#This Row],[历史]]="","",SUMPRODUCT((表成绩单[考试日期]=表成绩单[[#This Row],[考试日期]])*(表成绩单[历史]&lt;9E+307)*(表成绩单[历史]&gt;表成绩单[[#This Row],[历史]]))+1)</f>
        <v>116</v>
      </c>
      <c r="W827" s="29" cm="1">
        <f t="array" ref="W827">IF(表成绩单[[#This Row],[总分]]="","",SUMPRODUCT((表成绩单[考试日期]=表成绩单[[#This Row],[考试日期]])*(表成绩单[总分]&lt;9E+307)*(表成绩单[总分]&gt;表成绩单[[#This Row],[总分]]))+1)</f>
        <v>22</v>
      </c>
    </row>
    <row r="828" ht="28" customHeight="1" spans="4:23">
      <c r="D828" s="31">
        <v>46003</v>
      </c>
      <c r="E828" s="29">
        <v>19175397</v>
      </c>
      <c r="F828" s="29" t="s">
        <v>74</v>
      </c>
      <c r="G828" s="29" t="s">
        <v>92</v>
      </c>
      <c r="H828" s="29">
        <v>104</v>
      </c>
      <c r="I828" s="29">
        <v>110</v>
      </c>
      <c r="J828" s="29">
        <v>86</v>
      </c>
      <c r="K828" s="29">
        <v>95</v>
      </c>
      <c r="L828" s="29">
        <v>95</v>
      </c>
      <c r="M828" s="29">
        <v>76</v>
      </c>
      <c r="N828" s="29">
        <v>81</v>
      </c>
      <c r="O828" s="32">
        <v>647</v>
      </c>
      <c r="P828" s="29" cm="1">
        <f t="array" ref="P828">IF(表成绩单[[#This Row],[语文]]="","",SUMPRODUCT((表成绩单[考试日期]=表成绩单[[#This Row],[考试日期]])*(表成绩单[语文]&lt;9E+307)*(表成绩单[语文]&gt;表成绩单[[#This Row],[语文]]))+1)</f>
        <v>290</v>
      </c>
      <c r="Q828" s="29" cm="1">
        <f t="array" ref="Q828">IF(表成绩单[[#This Row],[数学]]="","",SUMPRODUCT((表成绩单[考试日期]=表成绩单[[#This Row],[考试日期]])*(表成绩单[数学]&lt;9E+307)*(表成绩单[数学]&gt;表成绩单[[#This Row],[数学]]))+1)</f>
        <v>8</v>
      </c>
      <c r="R828" s="29" cm="1">
        <f t="array" ref="R828">IF(表成绩单[[#This Row],[英语]]="","",SUMPRODUCT((表成绩单[考试日期]=表成绩单[[#This Row],[考试日期]])*(表成绩单[英语]&lt;9E+307)*(表成绩单[英语]&gt;表成绩单[[#This Row],[英语]]))+1)</f>
        <v>16</v>
      </c>
      <c r="S828" s="29" cm="1">
        <f t="array" ref="S828">IF(表成绩单[[#This Row],[物理]]="","",SUMPRODUCT((表成绩单[考试日期]=表成绩单[[#This Row],[考试日期]])*(表成绩单[物理]&lt;9E+307)*(表成绩单[物理]&gt;表成绩单[[#This Row],[物理]]))+1)</f>
        <v>97</v>
      </c>
      <c r="T828" s="29" cm="1">
        <f t="array" ref="T828">IF(表成绩单[[#This Row],[化学]]="","",SUMPRODUCT((表成绩单[考试日期]=表成绩单[[#This Row],[考试日期]])*(表成绩单[化学]&lt;9E+307)*(表成绩单[化学]&gt;表成绩单[[#This Row],[化学]]))+1)</f>
        <v>37</v>
      </c>
      <c r="U828" s="29" cm="1">
        <f t="array" ref="U828">IF(表成绩单[[#This Row],[政治]]="","",SUMPRODUCT((表成绩单[考试日期]=表成绩单[[#This Row],[考试日期]])*(表成绩单[政治]&lt;9E+307)*(表成绩单[政治]&gt;表成绩单[[#This Row],[政治]]))+1)</f>
        <v>77</v>
      </c>
      <c r="V828" s="29" cm="1">
        <f t="array" ref="V828">IF(表成绩单[[#This Row],[历史]]="","",SUMPRODUCT((表成绩单[考试日期]=表成绩单[[#This Row],[考试日期]])*(表成绩单[历史]&lt;9E+307)*(表成绩单[历史]&gt;表成绩单[[#This Row],[历史]]))+1)</f>
        <v>92</v>
      </c>
      <c r="W828" s="29" cm="1">
        <f t="array" ref="W828">IF(表成绩单[[#This Row],[总分]]="","",SUMPRODUCT((表成绩单[考试日期]=表成绩单[[#This Row],[考试日期]])*(表成绩单[总分]&lt;9E+307)*(表成绩单[总分]&gt;表成绩单[[#This Row],[总分]]))+1)</f>
        <v>23</v>
      </c>
    </row>
    <row r="829" ht="28" customHeight="1" spans="4:23">
      <c r="D829" s="31">
        <v>46003</v>
      </c>
      <c r="E829" s="29">
        <v>19177236</v>
      </c>
      <c r="F829" s="29" t="s">
        <v>70</v>
      </c>
      <c r="G829" s="29" t="s">
        <v>238</v>
      </c>
      <c r="H829" s="29">
        <v>113</v>
      </c>
      <c r="I829" s="29">
        <v>103</v>
      </c>
      <c r="J829" s="29">
        <v>83.5</v>
      </c>
      <c r="K829" s="29">
        <v>94</v>
      </c>
      <c r="L829" s="29">
        <v>93</v>
      </c>
      <c r="M829" s="29">
        <v>84</v>
      </c>
      <c r="N829" s="29">
        <v>76</v>
      </c>
      <c r="O829" s="32">
        <v>646.5</v>
      </c>
      <c r="P829" s="29" cm="1">
        <f t="array" ref="P829">IF(表成绩单[[#This Row],[语文]]="","",SUMPRODUCT((表成绩单[考试日期]=表成绩单[[#This Row],[考试日期]])*(表成绩单[语文]&lt;9E+307)*(表成绩单[语文]&gt;表成绩单[[#This Row],[语文]]))+1)</f>
        <v>22</v>
      </c>
      <c r="Q829" s="29" cm="1">
        <f t="array" ref="Q829">IF(表成绩单[[#This Row],[数学]]="","",SUMPRODUCT((表成绩单[考试日期]=表成绩单[[#This Row],[考试日期]])*(表成绩单[数学]&lt;9E+307)*(表成绩单[数学]&gt;表成绩单[[#This Row],[数学]]))+1)</f>
        <v>41</v>
      </c>
      <c r="R829" s="29" cm="1">
        <f t="array" ref="R829">IF(表成绩单[[#This Row],[英语]]="","",SUMPRODUCT((表成绩单[考试日期]=表成绩单[[#This Row],[考试日期]])*(表成绩单[英语]&lt;9E+307)*(表成绩单[英语]&gt;表成绩单[[#This Row],[英语]]))+1)</f>
        <v>57</v>
      </c>
      <c r="S829" s="29" cm="1">
        <f t="array" ref="S829">IF(表成绩单[[#This Row],[物理]]="","",SUMPRODUCT((表成绩单[考试日期]=表成绩单[[#This Row],[考试日期]])*(表成绩单[物理]&lt;9E+307)*(表成绩单[物理]&gt;表成绩单[[#This Row],[物理]]))+1)</f>
        <v>125</v>
      </c>
      <c r="T829" s="29" cm="1">
        <f t="array" ref="T829">IF(表成绩单[[#This Row],[化学]]="","",SUMPRODUCT((表成绩单[考试日期]=表成绩单[[#This Row],[考试日期]])*(表成绩单[化学]&lt;9E+307)*(表成绩单[化学]&gt;表成绩单[[#This Row],[化学]]))+1)</f>
        <v>73</v>
      </c>
      <c r="U829" s="29" cm="1">
        <f t="array" ref="U829">IF(表成绩单[[#This Row],[政治]]="","",SUMPRODUCT((表成绩单[考试日期]=表成绩单[[#This Row],[考试日期]])*(表成绩单[政治]&lt;9E+307)*(表成绩单[政治]&gt;表成绩单[[#This Row],[政治]]))+1)</f>
        <v>2</v>
      </c>
      <c r="V829" s="29" cm="1">
        <f t="array" ref="V829">IF(表成绩单[[#This Row],[历史]]="","",SUMPRODUCT((表成绩单[考试日期]=表成绩单[[#This Row],[考试日期]])*(表成绩单[历史]&lt;9E+307)*(表成绩单[历史]&gt;表成绩单[[#This Row],[历史]]))+1)</f>
        <v>279</v>
      </c>
      <c r="W829" s="29" cm="1">
        <f t="array" ref="W829">IF(表成绩单[[#This Row],[总分]]="","",SUMPRODUCT((表成绩单[考试日期]=表成绩单[[#This Row],[考试日期]])*(表成绩单[总分]&lt;9E+307)*(表成绩单[总分]&gt;表成绩单[[#This Row],[总分]]))+1)</f>
        <v>24</v>
      </c>
    </row>
    <row r="830" ht="28" customHeight="1" spans="4:23">
      <c r="D830" s="31">
        <v>46003</v>
      </c>
      <c r="E830" s="29">
        <v>19175402</v>
      </c>
      <c r="F830" s="29" t="s">
        <v>74</v>
      </c>
      <c r="G830" s="29" t="s">
        <v>95</v>
      </c>
      <c r="H830" s="29">
        <v>110</v>
      </c>
      <c r="I830" s="29">
        <v>94</v>
      </c>
      <c r="J830" s="29">
        <v>84.5</v>
      </c>
      <c r="K830" s="29">
        <v>100</v>
      </c>
      <c r="L830" s="29">
        <v>93</v>
      </c>
      <c r="M830" s="29">
        <v>79</v>
      </c>
      <c r="N830" s="29">
        <v>85</v>
      </c>
      <c r="O830" s="32">
        <v>645.5</v>
      </c>
      <c r="P830" s="29" cm="1">
        <f t="array" ref="P830">IF(表成绩单[[#This Row],[语文]]="","",SUMPRODUCT((表成绩单[考试日期]=表成绩单[[#This Row],[考试日期]])*(表成绩单[语文]&lt;9E+307)*(表成绩单[语文]&gt;表成绩单[[#This Row],[语文]]))+1)</f>
        <v>84</v>
      </c>
      <c r="Q830" s="29" cm="1">
        <f t="array" ref="Q830">IF(表成绩单[[#This Row],[数学]]="","",SUMPRODUCT((表成绩单[考试日期]=表成绩单[[#This Row],[考试日期]])*(表成绩单[数学]&lt;9E+307)*(表成绩单[数学]&gt;表成绩单[[#This Row],[数学]]))+1)</f>
        <v>142</v>
      </c>
      <c r="R830" s="29" cm="1">
        <f t="array" ref="R830">IF(表成绩单[[#This Row],[英语]]="","",SUMPRODUCT((表成绩单[考试日期]=表成绩单[[#This Row],[考试日期]])*(表成绩单[英语]&lt;9E+307)*(表成绩单[英语]&gt;表成绩单[[#This Row],[英语]]))+1)</f>
        <v>37</v>
      </c>
      <c r="S830" s="29" cm="1">
        <f t="array" ref="S830">IF(表成绩单[[#This Row],[物理]]="","",SUMPRODUCT((表成绩单[考试日期]=表成绩单[[#This Row],[考试日期]])*(表成绩单[物理]&lt;9E+307)*(表成绩单[物理]&gt;表成绩单[[#This Row],[物理]]))+1)</f>
        <v>1</v>
      </c>
      <c r="T830" s="29" cm="1">
        <f t="array" ref="T830">IF(表成绩单[[#This Row],[化学]]="","",SUMPRODUCT((表成绩单[考试日期]=表成绩单[[#This Row],[考试日期]])*(表成绩单[化学]&lt;9E+307)*(表成绩单[化学]&gt;表成绩单[[#This Row],[化学]]))+1)</f>
        <v>73</v>
      </c>
      <c r="U830" s="29" cm="1">
        <f t="array" ref="U830">IF(表成绩单[[#This Row],[政治]]="","",SUMPRODUCT((表成绩单[考试日期]=表成绩单[[#This Row],[考试日期]])*(表成绩单[政治]&lt;9E+307)*(表成绩单[政治]&gt;表成绩单[[#This Row],[政治]]))+1)</f>
        <v>36</v>
      </c>
      <c r="V830" s="29" cm="1">
        <f t="array" ref="V830">IF(表成绩单[[#This Row],[历史]]="","",SUMPRODUCT((表成绩单[考试日期]=表成绩单[[#This Row],[考试日期]])*(表成绩单[历史]&lt;9E+307)*(表成绩单[历史]&gt;表成绩单[[#This Row],[历史]]))+1)</f>
        <v>12</v>
      </c>
      <c r="W830" s="29" cm="1">
        <f t="array" ref="W830">IF(表成绩单[[#This Row],[总分]]="","",SUMPRODUCT((表成绩单[考试日期]=表成绩单[[#This Row],[考试日期]])*(表成绩单[总分]&lt;9E+307)*(表成绩单[总分]&gt;表成绩单[[#This Row],[总分]]))+1)</f>
        <v>25</v>
      </c>
    </row>
    <row r="831" ht="28" customHeight="1" spans="4:23">
      <c r="D831" s="31">
        <v>46003</v>
      </c>
      <c r="E831" s="29">
        <v>19167652</v>
      </c>
      <c r="F831" s="29" t="s">
        <v>1</v>
      </c>
      <c r="G831" s="29" t="s">
        <v>89</v>
      </c>
      <c r="H831" s="29">
        <v>110</v>
      </c>
      <c r="I831" s="29">
        <v>107</v>
      </c>
      <c r="J831" s="29">
        <v>87</v>
      </c>
      <c r="K831" s="29">
        <v>93</v>
      </c>
      <c r="L831" s="29">
        <v>92</v>
      </c>
      <c r="M831" s="29">
        <v>76</v>
      </c>
      <c r="N831" s="29">
        <v>80</v>
      </c>
      <c r="O831" s="32">
        <v>645</v>
      </c>
      <c r="P831" s="29" cm="1">
        <f t="array" ref="P831">IF(表成绩单[[#This Row],[语文]]="","",SUMPRODUCT((表成绩单[考试日期]=表成绩单[[#This Row],[考试日期]])*(表成绩单[语文]&lt;9E+307)*(表成绩单[语文]&gt;表成绩单[[#This Row],[语文]]))+1)</f>
        <v>84</v>
      </c>
      <c r="Q831" s="29" cm="1">
        <f t="array" ref="Q831">IF(表成绩单[[#This Row],[数学]]="","",SUMPRODUCT((表成绩单[考试日期]=表成绩单[[#This Row],[考试日期]])*(表成绩单[数学]&lt;9E+307)*(表成绩单[数学]&gt;表成绩单[[#This Row],[数学]]))+1)</f>
        <v>20</v>
      </c>
      <c r="R831" s="29" cm="1">
        <f t="array" ref="R831">IF(表成绩单[[#This Row],[英语]]="","",SUMPRODUCT((表成绩单[考试日期]=表成绩单[[#This Row],[考试日期]])*(表成绩单[英语]&lt;9E+307)*(表成绩单[英语]&gt;表成绩单[[#This Row],[英语]]))+1)</f>
        <v>10</v>
      </c>
      <c r="S831" s="29" cm="1">
        <f t="array" ref="S831">IF(表成绩单[[#This Row],[物理]]="","",SUMPRODUCT((表成绩单[考试日期]=表成绩单[[#This Row],[考试日期]])*(表成绩单[物理]&lt;9E+307)*(表成绩单[物理]&gt;表成绩单[[#This Row],[物理]]))+1)</f>
        <v>163</v>
      </c>
      <c r="T831" s="29" cm="1">
        <f t="array" ref="T831">IF(表成绩单[[#This Row],[化学]]="","",SUMPRODUCT((表成绩单[考试日期]=表成绩单[[#This Row],[考试日期]])*(表成绩单[化学]&lt;9E+307)*(表成绩单[化学]&gt;表成绩单[[#This Row],[化学]]))+1)</f>
        <v>102</v>
      </c>
      <c r="U831" s="29" cm="1">
        <f t="array" ref="U831">IF(表成绩单[[#This Row],[政治]]="","",SUMPRODUCT((表成绩单[考试日期]=表成绩单[[#This Row],[考试日期]])*(表成绩单[政治]&lt;9E+307)*(表成绩单[政治]&gt;表成绩单[[#This Row],[政治]]))+1)</f>
        <v>77</v>
      </c>
      <c r="V831" s="29" cm="1">
        <f t="array" ref="V831">IF(表成绩单[[#This Row],[历史]]="","",SUMPRODUCT((表成绩单[考试日期]=表成绩单[[#This Row],[考试日期]])*(表成绩单[历史]&lt;9E+307)*(表成绩单[历史]&gt;表成绩单[[#This Row],[历史]]))+1)</f>
        <v>116</v>
      </c>
      <c r="W831" s="29" cm="1">
        <f t="array" ref="W831">IF(表成绩单[[#This Row],[总分]]="","",SUMPRODUCT((表成绩单[考试日期]=表成绩单[[#This Row],[考试日期]])*(表成绩单[总分]&lt;9E+307)*(表成绩单[总分]&gt;表成绩单[[#This Row],[总分]]))+1)</f>
        <v>26</v>
      </c>
    </row>
    <row r="832" ht="28" customHeight="1" spans="4:23">
      <c r="D832" s="31">
        <v>46003</v>
      </c>
      <c r="E832" s="29">
        <v>19174450</v>
      </c>
      <c r="F832" s="29" t="s">
        <v>73</v>
      </c>
      <c r="G832" s="29" t="s">
        <v>90</v>
      </c>
      <c r="H832" s="29">
        <v>108</v>
      </c>
      <c r="I832" s="29">
        <v>96</v>
      </c>
      <c r="J832" s="29">
        <v>88</v>
      </c>
      <c r="K832" s="29">
        <v>99</v>
      </c>
      <c r="L832" s="29">
        <v>95</v>
      </c>
      <c r="M832" s="29">
        <v>74</v>
      </c>
      <c r="N832" s="29">
        <v>85</v>
      </c>
      <c r="O832" s="32">
        <v>645</v>
      </c>
      <c r="P832" s="29" cm="1">
        <f t="array" ref="P832">IF(表成绩单[[#This Row],[语文]]="","",SUMPRODUCT((表成绩单[考试日期]=表成绩单[[#This Row],[考试日期]])*(表成绩单[语文]&lt;9E+307)*(表成绩单[语文]&gt;表成绩单[[#This Row],[语文]]))+1)</f>
        <v>154</v>
      </c>
      <c r="Q832" s="29" cm="1">
        <f t="array" ref="Q832">IF(表成绩单[[#This Row],[数学]]="","",SUMPRODUCT((表成绩单[考试日期]=表成绩单[[#This Row],[考试日期]])*(表成绩单[数学]&lt;9E+307)*(表成绩单[数学]&gt;表成绩单[[#This Row],[数学]]))+1)</f>
        <v>114</v>
      </c>
      <c r="R832" s="29" cm="1">
        <f t="array" ref="R832">IF(表成绩单[[#This Row],[英语]]="","",SUMPRODUCT((表成绩单[考试日期]=表成绩单[[#This Row],[考试日期]])*(表成绩单[英语]&lt;9E+307)*(表成绩单[英语]&gt;表成绩单[[#This Row],[英语]]))+1)</f>
        <v>5</v>
      </c>
      <c r="S832" s="29" cm="1">
        <f t="array" ref="S832">IF(表成绩单[[#This Row],[物理]]="","",SUMPRODUCT((表成绩单[考试日期]=表成绩单[[#This Row],[考试日期]])*(表成绩单[物理]&lt;9E+307)*(表成绩单[物理]&gt;表成绩单[[#This Row],[物理]]))+1)</f>
        <v>9</v>
      </c>
      <c r="T832" s="29" cm="1">
        <f t="array" ref="T832">IF(表成绩单[[#This Row],[化学]]="","",SUMPRODUCT((表成绩单[考试日期]=表成绩单[[#This Row],[考试日期]])*(表成绩单[化学]&lt;9E+307)*(表成绩单[化学]&gt;表成绩单[[#This Row],[化学]]))+1)</f>
        <v>37</v>
      </c>
      <c r="U832" s="29" cm="1">
        <f t="array" ref="U832">IF(表成绩单[[#This Row],[政治]]="","",SUMPRODUCT((表成绩单[考试日期]=表成绩单[[#This Row],[考试日期]])*(表成绩单[政治]&lt;9E+307)*(表成绩单[政治]&gt;表成绩单[[#This Row],[政治]]))+1)</f>
        <v>121</v>
      </c>
      <c r="V832" s="29" cm="1">
        <f t="array" ref="V832">IF(表成绩单[[#This Row],[历史]]="","",SUMPRODUCT((表成绩单[考试日期]=表成绩单[[#This Row],[考试日期]])*(表成绩单[历史]&lt;9E+307)*(表成绩单[历史]&gt;表成绩单[[#This Row],[历史]]))+1)</f>
        <v>12</v>
      </c>
      <c r="W832" s="29" cm="1">
        <f t="array" ref="W832">IF(表成绩单[[#This Row],[总分]]="","",SUMPRODUCT((表成绩单[考试日期]=表成绩单[[#This Row],[考试日期]])*(表成绩单[总分]&lt;9E+307)*(表成绩单[总分]&gt;表成绩单[[#This Row],[总分]]))+1)</f>
        <v>26</v>
      </c>
    </row>
    <row r="833" ht="28" customHeight="1" spans="4:23">
      <c r="D833" s="31">
        <v>46003</v>
      </c>
      <c r="E833" s="29">
        <v>19167643</v>
      </c>
      <c r="F833" s="29" t="s">
        <v>1</v>
      </c>
      <c r="G833" s="29" t="s">
        <v>88</v>
      </c>
      <c r="H833" s="29">
        <v>107</v>
      </c>
      <c r="I833" s="29">
        <v>108</v>
      </c>
      <c r="J833" s="29">
        <v>87.5</v>
      </c>
      <c r="K833" s="29">
        <v>96</v>
      </c>
      <c r="L833" s="29">
        <v>88</v>
      </c>
      <c r="M833" s="29">
        <v>76</v>
      </c>
      <c r="N833" s="29">
        <v>82</v>
      </c>
      <c r="O833" s="32">
        <v>644.5</v>
      </c>
      <c r="P833" s="29" cm="1">
        <f t="array" ref="P833">IF(表成绩单[[#This Row],[语文]]="","",SUMPRODUCT((表成绩单[考试日期]=表成绩单[[#This Row],[考试日期]])*(表成绩单[语文]&lt;9E+307)*(表成绩单[语文]&gt;表成绩单[[#This Row],[语文]]))+1)</f>
        <v>182</v>
      </c>
      <c r="Q833" s="29" cm="1">
        <f t="array" ref="Q833">IF(表成绩单[[#This Row],[数学]]="","",SUMPRODUCT((表成绩单[考试日期]=表成绩单[[#This Row],[考试日期]])*(表成绩单[数学]&lt;9E+307)*(表成绩单[数学]&gt;表成绩单[[#This Row],[数学]]))+1)</f>
        <v>15</v>
      </c>
      <c r="R833" s="29" cm="1">
        <f t="array" ref="R833">IF(表成绩单[[#This Row],[英语]]="","",SUMPRODUCT((表成绩单[考试日期]=表成绩单[[#This Row],[考试日期]])*(表成绩单[英语]&lt;9E+307)*(表成绩单[英语]&gt;表成绩单[[#This Row],[英语]]))+1)</f>
        <v>6</v>
      </c>
      <c r="S833" s="29" cm="1">
        <f t="array" ref="S833">IF(表成绩单[[#This Row],[物理]]="","",SUMPRODUCT((表成绩单[考试日期]=表成绩单[[#This Row],[考试日期]])*(表成绩单[物理]&lt;9E+307)*(表成绩单[物理]&gt;表成绩单[[#This Row],[物理]]))+1)</f>
        <v>64</v>
      </c>
      <c r="T833" s="29" cm="1">
        <f t="array" ref="T833">IF(表成绩单[[#This Row],[化学]]="","",SUMPRODUCT((表成绩单[考试日期]=表成绩单[[#This Row],[考试日期]])*(表成绩单[化学]&lt;9E+307)*(表成绩单[化学]&gt;表成绩单[[#This Row],[化学]]))+1)</f>
        <v>175</v>
      </c>
      <c r="U833" s="29" cm="1">
        <f t="array" ref="U833">IF(表成绩单[[#This Row],[政治]]="","",SUMPRODUCT((表成绩单[考试日期]=表成绩单[[#This Row],[考试日期]])*(表成绩单[政治]&lt;9E+307)*(表成绩单[政治]&gt;表成绩单[[#This Row],[政治]]))+1)</f>
        <v>77</v>
      </c>
      <c r="V833" s="29" cm="1">
        <f t="array" ref="V833">IF(表成绩单[[#This Row],[历史]]="","",SUMPRODUCT((表成绩单[考试日期]=表成绩单[[#This Row],[考试日期]])*(表成绩单[历史]&lt;9E+307)*(表成绩单[历史]&gt;表成绩单[[#This Row],[历史]]))+1)</f>
        <v>66</v>
      </c>
      <c r="W833" s="29" cm="1">
        <f t="array" ref="W833">IF(表成绩单[[#This Row],[总分]]="","",SUMPRODUCT((表成绩单[考试日期]=表成绩单[[#This Row],[考试日期]])*(表成绩单[总分]&lt;9E+307)*(表成绩单[总分]&gt;表成绩单[[#This Row],[总分]]))+1)</f>
        <v>28</v>
      </c>
    </row>
    <row r="834" ht="28" customHeight="1" spans="4:23">
      <c r="D834" s="31">
        <v>46003</v>
      </c>
      <c r="E834" s="29">
        <v>19175710</v>
      </c>
      <c r="F834" s="29" t="s">
        <v>72</v>
      </c>
      <c r="G834" s="29" t="s">
        <v>122</v>
      </c>
      <c r="H834" s="29">
        <v>109</v>
      </c>
      <c r="I834" s="29">
        <v>114</v>
      </c>
      <c r="J834" s="29">
        <v>76.5</v>
      </c>
      <c r="K834" s="29">
        <v>94</v>
      </c>
      <c r="L834" s="29">
        <v>94</v>
      </c>
      <c r="M834" s="29">
        <v>74</v>
      </c>
      <c r="N834" s="29">
        <v>83</v>
      </c>
      <c r="O834" s="32">
        <v>644.5</v>
      </c>
      <c r="P834" s="29" cm="1">
        <f t="array" ref="P834">IF(表成绩单[[#This Row],[语文]]="","",SUMPRODUCT((表成绩单[考试日期]=表成绩单[[#This Row],[考试日期]])*(表成绩单[语文]&lt;9E+307)*(表成绩单[语文]&gt;表成绩单[[#This Row],[语文]]))+1)</f>
        <v>111</v>
      </c>
      <c r="Q834" s="29" cm="1">
        <f t="array" ref="Q834">IF(表成绩单[[#This Row],[数学]]="","",SUMPRODUCT((表成绩单[考试日期]=表成绩单[[#This Row],[考试日期]])*(表成绩单[数学]&lt;9E+307)*(表成绩单[数学]&gt;表成绩单[[#This Row],[数学]]))+1)</f>
        <v>1</v>
      </c>
      <c r="R834" s="29" cm="1">
        <f t="array" ref="R834">IF(表成绩单[[#This Row],[英语]]="","",SUMPRODUCT((表成绩单[考试日期]=表成绩单[[#This Row],[考试日期]])*(表成绩单[英语]&lt;9E+307)*(表成绩单[英语]&gt;表成绩单[[#This Row],[英语]]))+1)</f>
        <v>272</v>
      </c>
      <c r="S834" s="29" cm="1">
        <f t="array" ref="S834">IF(表成绩单[[#This Row],[物理]]="","",SUMPRODUCT((表成绩单[考试日期]=表成绩单[[#This Row],[考试日期]])*(表成绩单[物理]&lt;9E+307)*(表成绩单[物理]&gt;表成绩单[[#This Row],[物理]]))+1)</f>
        <v>125</v>
      </c>
      <c r="T834" s="29" cm="1">
        <f t="array" ref="T834">IF(表成绩单[[#This Row],[化学]]="","",SUMPRODUCT((表成绩单[考试日期]=表成绩单[[#This Row],[考试日期]])*(表成绩单[化学]&lt;9E+307)*(表成绩单[化学]&gt;表成绩单[[#This Row],[化学]]))+1)</f>
        <v>56</v>
      </c>
      <c r="U834" s="29" cm="1">
        <f t="array" ref="U834">IF(表成绩单[[#This Row],[政治]]="","",SUMPRODUCT((表成绩单[考试日期]=表成绩单[[#This Row],[考试日期]])*(表成绩单[政治]&lt;9E+307)*(表成绩单[政治]&gt;表成绩单[[#This Row],[政治]]))+1)</f>
        <v>121</v>
      </c>
      <c r="V834" s="29" cm="1">
        <f t="array" ref="V834">IF(表成绩单[[#This Row],[历史]]="","",SUMPRODUCT((表成绩单[考试日期]=表成绩单[[#This Row],[考试日期]])*(表成绩单[历史]&lt;9E+307)*(表成绩单[历史]&gt;表成绩单[[#This Row],[历史]]))+1)</f>
        <v>46</v>
      </c>
      <c r="W834" s="29" cm="1">
        <f t="array" ref="W834">IF(表成绩单[[#This Row],[总分]]="","",SUMPRODUCT((表成绩单[考试日期]=表成绩单[[#This Row],[考试日期]])*(表成绩单[总分]&lt;9E+307)*(表成绩单[总分]&gt;表成绩单[[#This Row],[总分]]))+1)</f>
        <v>28</v>
      </c>
    </row>
    <row r="835" ht="28" customHeight="1" spans="4:23">
      <c r="D835" s="31">
        <v>46003</v>
      </c>
      <c r="E835" s="29">
        <v>19173540</v>
      </c>
      <c r="F835" s="29" t="s">
        <v>1</v>
      </c>
      <c r="G835" s="29" t="s">
        <v>209</v>
      </c>
      <c r="H835" s="29">
        <v>111</v>
      </c>
      <c r="I835" s="29">
        <v>110</v>
      </c>
      <c r="J835" s="29">
        <v>80.5</v>
      </c>
      <c r="K835" s="29">
        <v>97</v>
      </c>
      <c r="L835" s="29">
        <v>93</v>
      </c>
      <c r="M835" s="29">
        <v>73</v>
      </c>
      <c r="N835" s="29">
        <v>79</v>
      </c>
      <c r="O835" s="32">
        <v>643.5</v>
      </c>
      <c r="P835" s="29" cm="1">
        <f t="array" ref="P835">IF(表成绩单[[#This Row],[语文]]="","",SUMPRODUCT((表成绩单[考试日期]=表成绩单[[#This Row],[考试日期]])*(表成绩单[语文]&lt;9E+307)*(表成绩单[语文]&gt;表成绩单[[#This Row],[语文]]))+1)</f>
        <v>56</v>
      </c>
      <c r="Q835" s="29" cm="1">
        <f t="array" ref="Q835">IF(表成绩单[[#This Row],[数学]]="","",SUMPRODUCT((表成绩单[考试日期]=表成绩单[[#This Row],[考试日期]])*(表成绩单[数学]&lt;9E+307)*(表成绩单[数学]&gt;表成绩单[[#This Row],[数学]]))+1)</f>
        <v>8</v>
      </c>
      <c r="R835" s="29" cm="1">
        <f t="array" ref="R835">IF(表成绩单[[#This Row],[英语]]="","",SUMPRODUCT((表成绩单[考试日期]=表成绩单[[#This Row],[考试日期]])*(表成绩单[英语]&lt;9E+307)*(表成绩单[英语]&gt;表成绩单[[#This Row],[英语]]))+1)</f>
        <v>147</v>
      </c>
      <c r="S835" s="29" cm="1">
        <f t="array" ref="S835">IF(表成绩单[[#This Row],[物理]]="","",SUMPRODUCT((表成绩单[考试日期]=表成绩单[[#This Row],[考试日期]])*(表成绩单[物理]&lt;9E+307)*(表成绩单[物理]&gt;表成绩单[[#This Row],[物理]]))+1)</f>
        <v>43</v>
      </c>
      <c r="T835" s="29" cm="1">
        <f t="array" ref="T835">IF(表成绩单[[#This Row],[化学]]="","",SUMPRODUCT((表成绩单[考试日期]=表成绩单[[#This Row],[考试日期]])*(表成绩单[化学]&lt;9E+307)*(表成绩单[化学]&gt;表成绩单[[#This Row],[化学]]))+1)</f>
        <v>73</v>
      </c>
      <c r="U835" s="29" cm="1">
        <f t="array" ref="U835">IF(表成绩单[[#This Row],[政治]]="","",SUMPRODUCT((表成绩单[考试日期]=表成绩单[[#This Row],[考试日期]])*(表成绩单[政治]&lt;9E+307)*(表成绩单[政治]&gt;表成绩单[[#This Row],[政治]]))+1)</f>
        <v>139</v>
      </c>
      <c r="V835" s="29" cm="1">
        <f t="array" ref="V835">IF(表成绩单[[#This Row],[历史]]="","",SUMPRODUCT((表成绩单[考试日期]=表成绩单[[#This Row],[考试日期]])*(表成绩单[历史]&lt;9E+307)*(表成绩单[历史]&gt;表成绩单[[#This Row],[历史]]))+1)</f>
        <v>149</v>
      </c>
      <c r="W835" s="29" cm="1">
        <f t="array" ref="W835">IF(表成绩单[[#This Row],[总分]]="","",SUMPRODUCT((表成绩单[考试日期]=表成绩单[[#This Row],[考试日期]])*(表成绩单[总分]&lt;9E+307)*(表成绩单[总分]&gt;表成绩单[[#This Row],[总分]]))+1)</f>
        <v>30</v>
      </c>
    </row>
    <row r="836" ht="28" customHeight="1" spans="4:23">
      <c r="D836" s="31">
        <v>46003</v>
      </c>
      <c r="E836" s="29">
        <v>19173539</v>
      </c>
      <c r="F836" s="29" t="s">
        <v>1</v>
      </c>
      <c r="G836" s="29" t="s">
        <v>113</v>
      </c>
      <c r="H836" s="29">
        <v>111</v>
      </c>
      <c r="I836" s="29">
        <v>103</v>
      </c>
      <c r="J836" s="29">
        <v>86</v>
      </c>
      <c r="K836" s="29">
        <v>91</v>
      </c>
      <c r="L836" s="29">
        <v>97</v>
      </c>
      <c r="M836" s="29">
        <v>74</v>
      </c>
      <c r="N836" s="29">
        <v>81</v>
      </c>
      <c r="O836" s="32">
        <v>643</v>
      </c>
      <c r="P836" s="29" cm="1">
        <f t="array" ref="P836">IF(表成绩单[[#This Row],[语文]]="","",SUMPRODUCT((表成绩单[考试日期]=表成绩单[[#This Row],[考试日期]])*(表成绩单[语文]&lt;9E+307)*(表成绩单[语文]&gt;表成绩单[[#This Row],[语文]]))+1)</f>
        <v>56</v>
      </c>
      <c r="Q836" s="29" cm="1">
        <f t="array" ref="Q836">IF(表成绩单[[#This Row],[数学]]="","",SUMPRODUCT((表成绩单[考试日期]=表成绩单[[#This Row],[考试日期]])*(表成绩单[数学]&lt;9E+307)*(表成绩单[数学]&gt;表成绩单[[#This Row],[数学]]))+1)</f>
        <v>41</v>
      </c>
      <c r="R836" s="29" cm="1">
        <f t="array" ref="R836">IF(表成绩单[[#This Row],[英语]]="","",SUMPRODUCT((表成绩单[考试日期]=表成绩单[[#This Row],[考试日期]])*(表成绩单[英语]&lt;9E+307)*(表成绩单[英语]&gt;表成绩单[[#This Row],[英语]]))+1)</f>
        <v>16</v>
      </c>
      <c r="S836" s="29" cm="1">
        <f t="array" ref="S836">IF(表成绩单[[#This Row],[物理]]="","",SUMPRODUCT((表成绩单[考试日期]=表成绩单[[#This Row],[考试日期]])*(表成绩单[物理]&lt;9E+307)*(表成绩单[物理]&gt;表成绩单[[#This Row],[物理]]))+1)</f>
        <v>220</v>
      </c>
      <c r="T836" s="29" cm="1">
        <f t="array" ref="T836">IF(表成绩单[[#This Row],[化学]]="","",SUMPRODUCT((表成绩单[考试日期]=表成绩单[[#This Row],[考试日期]])*(表成绩单[化学]&lt;9E+307)*(表成绩单[化学]&gt;表成绩单[[#This Row],[化学]]))+1)</f>
        <v>13</v>
      </c>
      <c r="U836" s="29" cm="1">
        <f t="array" ref="U836">IF(表成绩单[[#This Row],[政治]]="","",SUMPRODUCT((表成绩单[考试日期]=表成绩单[[#This Row],[考试日期]])*(表成绩单[政治]&lt;9E+307)*(表成绩单[政治]&gt;表成绩单[[#This Row],[政治]]))+1)</f>
        <v>121</v>
      </c>
      <c r="V836" s="29" cm="1">
        <f t="array" ref="V836">IF(表成绩单[[#This Row],[历史]]="","",SUMPRODUCT((表成绩单[考试日期]=表成绩单[[#This Row],[考试日期]])*(表成绩单[历史]&lt;9E+307)*(表成绩单[历史]&gt;表成绩单[[#This Row],[历史]]))+1)</f>
        <v>92</v>
      </c>
      <c r="W836" s="29" cm="1">
        <f t="array" ref="W836">IF(表成绩单[[#This Row],[总分]]="","",SUMPRODUCT((表成绩单[考试日期]=表成绩单[[#This Row],[考试日期]])*(表成绩单[总分]&lt;9E+307)*(表成绩单[总分]&gt;表成绩单[[#This Row],[总分]]))+1)</f>
        <v>31</v>
      </c>
    </row>
    <row r="837" ht="28" customHeight="1" spans="4:23">
      <c r="D837" s="31">
        <v>46003</v>
      </c>
      <c r="E837" s="29">
        <v>19175646</v>
      </c>
      <c r="F837" s="29" t="s">
        <v>66</v>
      </c>
      <c r="G837" s="29" t="s">
        <v>143</v>
      </c>
      <c r="H837" s="29">
        <v>110</v>
      </c>
      <c r="I837" s="29">
        <v>102</v>
      </c>
      <c r="J837" s="29">
        <v>80</v>
      </c>
      <c r="K837" s="29">
        <v>96</v>
      </c>
      <c r="L837" s="29">
        <v>96</v>
      </c>
      <c r="M837" s="29">
        <v>79</v>
      </c>
      <c r="N837" s="29">
        <v>80</v>
      </c>
      <c r="O837" s="32">
        <v>643</v>
      </c>
      <c r="P837" s="29" cm="1">
        <f t="array" ref="P837">IF(表成绩单[[#This Row],[语文]]="","",SUMPRODUCT((表成绩单[考试日期]=表成绩单[[#This Row],[考试日期]])*(表成绩单[语文]&lt;9E+307)*(表成绩单[语文]&gt;表成绩单[[#This Row],[语文]]))+1)</f>
        <v>84</v>
      </c>
      <c r="Q837" s="29" cm="1">
        <f t="array" ref="Q837">IF(表成绩单[[#This Row],[数学]]="","",SUMPRODUCT((表成绩单[考试日期]=表成绩单[[#This Row],[考试日期]])*(表成绩单[数学]&lt;9E+307)*(表成绩单[数学]&gt;表成绩单[[#This Row],[数学]]))+1)</f>
        <v>52</v>
      </c>
      <c r="R837" s="29" cm="1">
        <f t="array" ref="R837">IF(表成绩单[[#This Row],[英语]]="","",SUMPRODUCT((表成绩单[考试日期]=表成绩单[[#This Row],[考试日期]])*(表成绩单[英语]&lt;9E+307)*(表成绩单[英语]&gt;表成绩单[[#This Row],[英语]]))+1)</f>
        <v>170</v>
      </c>
      <c r="S837" s="29" cm="1">
        <f t="array" ref="S837">IF(表成绩单[[#This Row],[物理]]="","",SUMPRODUCT((表成绩单[考试日期]=表成绩单[[#This Row],[考试日期]])*(表成绩单[物理]&lt;9E+307)*(表成绩单[物理]&gt;表成绩单[[#This Row],[物理]]))+1)</f>
        <v>64</v>
      </c>
      <c r="T837" s="29" cm="1">
        <f t="array" ref="T837">IF(表成绩单[[#This Row],[化学]]="","",SUMPRODUCT((表成绩单[考试日期]=表成绩单[[#This Row],[考试日期]])*(表成绩单[化学]&lt;9E+307)*(表成绩单[化学]&gt;表成绩单[[#This Row],[化学]]))+1)</f>
        <v>24</v>
      </c>
      <c r="U837" s="29" cm="1">
        <f t="array" ref="U837">IF(表成绩单[[#This Row],[政治]]="","",SUMPRODUCT((表成绩单[考试日期]=表成绩单[[#This Row],[考试日期]])*(表成绩单[政治]&lt;9E+307)*(表成绩单[政治]&gt;表成绩单[[#This Row],[政治]]))+1)</f>
        <v>36</v>
      </c>
      <c r="V837" s="29" cm="1">
        <f t="array" ref="V837">IF(表成绩单[[#This Row],[历史]]="","",SUMPRODUCT((表成绩单[考试日期]=表成绩单[[#This Row],[考试日期]])*(表成绩单[历史]&lt;9E+307)*(表成绩单[历史]&gt;表成绩单[[#This Row],[历史]]))+1)</f>
        <v>116</v>
      </c>
      <c r="W837" s="29" cm="1">
        <f t="array" ref="W837">IF(表成绩单[[#This Row],[总分]]="","",SUMPRODUCT((表成绩单[考试日期]=表成绩单[[#This Row],[考试日期]])*(表成绩单[总分]&lt;9E+307)*(表成绩单[总分]&gt;表成绩单[[#This Row],[总分]]))+1)</f>
        <v>31</v>
      </c>
    </row>
    <row r="838" ht="28" customHeight="1" spans="4:23">
      <c r="D838" s="31">
        <v>46003</v>
      </c>
      <c r="E838" s="29">
        <v>19174789</v>
      </c>
      <c r="F838" s="29" t="s">
        <v>69</v>
      </c>
      <c r="G838" s="29" t="s">
        <v>86</v>
      </c>
      <c r="H838" s="29">
        <v>118</v>
      </c>
      <c r="I838" s="29">
        <v>109</v>
      </c>
      <c r="J838" s="29">
        <v>81</v>
      </c>
      <c r="K838" s="29">
        <v>99</v>
      </c>
      <c r="L838" s="29">
        <v>70</v>
      </c>
      <c r="M838" s="29">
        <v>80</v>
      </c>
      <c r="N838" s="29">
        <v>85</v>
      </c>
      <c r="O838" s="32">
        <v>642</v>
      </c>
      <c r="P838" s="29" cm="1">
        <f t="array" ref="P838">IF(表成绩单[[#This Row],[语文]]="","",SUMPRODUCT((表成绩单[考试日期]=表成绩单[[#This Row],[考试日期]])*(表成绩单[语文]&lt;9E+307)*(表成绩单[语文]&gt;表成绩单[[#This Row],[语文]]))+1)</f>
        <v>1</v>
      </c>
      <c r="Q838" s="29" cm="1">
        <f t="array" ref="Q838">IF(表成绩单[[#This Row],[数学]]="","",SUMPRODUCT((表成绩单[考试日期]=表成绩单[[#This Row],[考试日期]])*(表成绩单[数学]&lt;9E+307)*(表成绩单[数学]&gt;表成绩单[[#This Row],[数学]]))+1)</f>
        <v>10</v>
      </c>
      <c r="R838" s="29" cm="1">
        <f t="array" ref="R838">IF(表成绩单[[#This Row],[英语]]="","",SUMPRODUCT((表成绩单[考试日期]=表成绩单[[#This Row],[考试日期]])*(表成绩单[英语]&lt;9E+307)*(表成绩单[英语]&gt;表成绩单[[#This Row],[英语]]))+1)</f>
        <v>131</v>
      </c>
      <c r="S838" s="29" cm="1">
        <f t="array" ref="S838">IF(表成绩单[[#This Row],[物理]]="","",SUMPRODUCT((表成绩单[考试日期]=表成绩单[[#This Row],[考试日期]])*(表成绩单[物理]&lt;9E+307)*(表成绩单[物理]&gt;表成绩单[[#This Row],[物理]]))+1)</f>
        <v>9</v>
      </c>
      <c r="T838" s="29" cm="1">
        <f t="array" ref="T838">IF(表成绩单[[#This Row],[化学]]="","",SUMPRODUCT((表成绩单[考试日期]=表成绩单[[#This Row],[考试日期]])*(表成绩单[化学]&lt;9E+307)*(表成绩单[化学]&gt;表成绩单[[#This Row],[化学]]))+1)</f>
        <v>498</v>
      </c>
      <c r="U838" s="29" cm="1">
        <f t="array" ref="U838">IF(表成绩单[[#This Row],[政治]]="","",SUMPRODUCT((表成绩单[考试日期]=表成绩单[[#This Row],[考试日期]])*(表成绩单[政治]&lt;9E+307)*(表成绩单[政治]&gt;表成绩单[[#This Row],[政治]]))+1)</f>
        <v>28</v>
      </c>
      <c r="V838" s="29" cm="1">
        <f t="array" ref="V838">IF(表成绩单[[#This Row],[历史]]="","",SUMPRODUCT((表成绩单[考试日期]=表成绩单[[#This Row],[考试日期]])*(表成绩单[历史]&lt;9E+307)*(表成绩单[历史]&gt;表成绩单[[#This Row],[历史]]))+1)</f>
        <v>12</v>
      </c>
      <c r="W838" s="29" cm="1">
        <f t="array" ref="W838">IF(表成绩单[[#This Row],[总分]]="","",SUMPRODUCT((表成绩单[考试日期]=表成绩单[[#This Row],[考试日期]])*(表成绩单[总分]&lt;9E+307)*(表成绩单[总分]&gt;表成绩单[[#This Row],[总分]]))+1)</f>
        <v>33</v>
      </c>
    </row>
    <row r="839" ht="28" customHeight="1" spans="4:23">
      <c r="D839" s="31">
        <v>46003</v>
      </c>
      <c r="E839" s="29">
        <v>19173543</v>
      </c>
      <c r="F839" s="29" t="s">
        <v>1</v>
      </c>
      <c r="G839" s="29" t="s">
        <v>127</v>
      </c>
      <c r="H839" s="29">
        <v>114</v>
      </c>
      <c r="I839" s="29">
        <v>100</v>
      </c>
      <c r="J839" s="29">
        <v>86.5</v>
      </c>
      <c r="K839" s="29">
        <v>96</v>
      </c>
      <c r="L839" s="29">
        <v>95</v>
      </c>
      <c r="M839" s="29">
        <v>70</v>
      </c>
      <c r="N839" s="29">
        <v>80</v>
      </c>
      <c r="O839" s="32">
        <v>641.5</v>
      </c>
      <c r="P839" s="29" cm="1">
        <f t="array" ref="P839">IF(表成绩单[[#This Row],[语文]]="","",SUMPRODUCT((表成绩单[考试日期]=表成绩单[[#This Row],[考试日期]])*(表成绩单[语文]&lt;9E+307)*(表成绩单[语文]&gt;表成绩单[[#This Row],[语文]]))+1)</f>
        <v>13</v>
      </c>
      <c r="Q839" s="29" cm="1">
        <f t="array" ref="Q839">IF(表成绩单[[#This Row],[数学]]="","",SUMPRODUCT((表成绩单[考试日期]=表成绩单[[#This Row],[考试日期]])*(表成绩单[数学]&lt;9E+307)*(表成绩单[数学]&gt;表成绩单[[#This Row],[数学]]))+1)</f>
        <v>77</v>
      </c>
      <c r="R839" s="29" cm="1">
        <f t="array" ref="R839">IF(表成绩单[[#This Row],[英语]]="","",SUMPRODUCT((表成绩单[考试日期]=表成绩单[[#This Row],[考试日期]])*(表成绩单[英语]&lt;9E+307)*(表成绩单[英语]&gt;表成绩单[[#This Row],[英语]]))+1)</f>
        <v>15</v>
      </c>
      <c r="S839" s="29" cm="1">
        <f t="array" ref="S839">IF(表成绩单[[#This Row],[物理]]="","",SUMPRODUCT((表成绩单[考试日期]=表成绩单[[#This Row],[考试日期]])*(表成绩单[物理]&lt;9E+307)*(表成绩单[物理]&gt;表成绩单[[#This Row],[物理]]))+1)</f>
        <v>64</v>
      </c>
      <c r="T839" s="29" cm="1">
        <f t="array" ref="T839">IF(表成绩单[[#This Row],[化学]]="","",SUMPRODUCT((表成绩单[考试日期]=表成绩单[[#This Row],[考试日期]])*(表成绩单[化学]&lt;9E+307)*(表成绩单[化学]&gt;表成绩单[[#This Row],[化学]]))+1)</f>
        <v>37</v>
      </c>
      <c r="U839" s="29" cm="1">
        <f t="array" ref="U839">IF(表成绩单[[#This Row],[政治]]="","",SUMPRODUCT((表成绩单[考试日期]=表成绩单[[#This Row],[考试日期]])*(表成绩单[政治]&lt;9E+307)*(表成绩单[政治]&gt;表成绩单[[#This Row],[政治]]))+1)</f>
        <v>184</v>
      </c>
      <c r="V839" s="29" cm="1">
        <f t="array" ref="V839">IF(表成绩单[[#This Row],[历史]]="","",SUMPRODUCT((表成绩单[考试日期]=表成绩单[[#This Row],[考试日期]])*(表成绩单[历史]&lt;9E+307)*(表成绩单[历史]&gt;表成绩单[[#This Row],[历史]]))+1)</f>
        <v>116</v>
      </c>
      <c r="W839" s="29" cm="1">
        <f t="array" ref="W839">IF(表成绩单[[#This Row],[总分]]="","",SUMPRODUCT((表成绩单[考试日期]=表成绩单[[#This Row],[考试日期]])*(表成绩单[总分]&lt;9E+307)*(表成绩单[总分]&gt;表成绩单[[#This Row],[总分]]))+1)</f>
        <v>34</v>
      </c>
    </row>
    <row r="840" ht="28" customHeight="1" spans="4:23">
      <c r="D840" s="31">
        <v>46003</v>
      </c>
      <c r="E840" s="29">
        <v>19175405</v>
      </c>
      <c r="F840" s="29" t="s">
        <v>74</v>
      </c>
      <c r="G840" s="29" t="s">
        <v>203</v>
      </c>
      <c r="H840" s="29">
        <v>104</v>
      </c>
      <c r="I840" s="29">
        <v>109</v>
      </c>
      <c r="J840" s="29">
        <v>80.5</v>
      </c>
      <c r="K840" s="29">
        <v>97</v>
      </c>
      <c r="L840" s="29">
        <v>94</v>
      </c>
      <c r="M840" s="29">
        <v>74</v>
      </c>
      <c r="N840" s="29">
        <v>83</v>
      </c>
      <c r="O840" s="32">
        <v>641.5</v>
      </c>
      <c r="P840" s="29" cm="1">
        <f t="array" ref="P840">IF(表成绩单[[#This Row],[语文]]="","",SUMPRODUCT((表成绩单[考试日期]=表成绩单[[#This Row],[考试日期]])*(表成绩单[语文]&lt;9E+307)*(表成绩单[语文]&gt;表成绩单[[#This Row],[语文]]))+1)</f>
        <v>290</v>
      </c>
      <c r="Q840" s="29" cm="1">
        <f t="array" ref="Q840">IF(表成绩单[[#This Row],[数学]]="","",SUMPRODUCT((表成绩单[考试日期]=表成绩单[[#This Row],[考试日期]])*(表成绩单[数学]&lt;9E+307)*(表成绩单[数学]&gt;表成绩单[[#This Row],[数学]]))+1)</f>
        <v>10</v>
      </c>
      <c r="R840" s="29" cm="1">
        <f t="array" ref="R840">IF(表成绩单[[#This Row],[英语]]="","",SUMPRODUCT((表成绩单[考试日期]=表成绩单[[#This Row],[考试日期]])*(表成绩单[英语]&lt;9E+307)*(表成绩单[英语]&gt;表成绩单[[#This Row],[英语]]))+1)</f>
        <v>147</v>
      </c>
      <c r="S840" s="29" cm="1">
        <f t="array" ref="S840">IF(表成绩单[[#This Row],[物理]]="","",SUMPRODUCT((表成绩单[考试日期]=表成绩单[[#This Row],[考试日期]])*(表成绩单[物理]&lt;9E+307)*(表成绩单[物理]&gt;表成绩单[[#This Row],[物理]]))+1)</f>
        <v>43</v>
      </c>
      <c r="T840" s="29" cm="1">
        <f t="array" ref="T840">IF(表成绩单[[#This Row],[化学]]="","",SUMPRODUCT((表成绩单[考试日期]=表成绩单[[#This Row],[考试日期]])*(表成绩单[化学]&lt;9E+307)*(表成绩单[化学]&gt;表成绩单[[#This Row],[化学]]))+1)</f>
        <v>56</v>
      </c>
      <c r="U840" s="29" cm="1">
        <f t="array" ref="U840">IF(表成绩单[[#This Row],[政治]]="","",SUMPRODUCT((表成绩单[考试日期]=表成绩单[[#This Row],[考试日期]])*(表成绩单[政治]&lt;9E+307)*(表成绩单[政治]&gt;表成绩单[[#This Row],[政治]]))+1)</f>
        <v>121</v>
      </c>
      <c r="V840" s="29" cm="1">
        <f t="array" ref="V840">IF(表成绩单[[#This Row],[历史]]="","",SUMPRODUCT((表成绩单[考试日期]=表成绩单[[#This Row],[考试日期]])*(表成绩单[历史]&lt;9E+307)*(表成绩单[历史]&gt;表成绩单[[#This Row],[历史]]))+1)</f>
        <v>46</v>
      </c>
      <c r="W840" s="29" cm="1">
        <f t="array" ref="W840">IF(表成绩单[[#This Row],[总分]]="","",SUMPRODUCT((表成绩单[考试日期]=表成绩单[[#This Row],[考试日期]])*(表成绩单[总分]&lt;9E+307)*(表成绩单[总分]&gt;表成绩单[[#This Row],[总分]]))+1)</f>
        <v>34</v>
      </c>
    </row>
    <row r="841" ht="28" customHeight="1" spans="4:23">
      <c r="D841" s="31">
        <v>46003</v>
      </c>
      <c r="E841" s="29">
        <v>19167656</v>
      </c>
      <c r="F841" s="29" t="s">
        <v>1</v>
      </c>
      <c r="G841" s="29" t="s">
        <v>97</v>
      </c>
      <c r="H841" s="29">
        <v>111</v>
      </c>
      <c r="I841" s="29">
        <v>102</v>
      </c>
      <c r="J841" s="29">
        <v>83</v>
      </c>
      <c r="K841" s="29">
        <v>95</v>
      </c>
      <c r="L841" s="29">
        <v>91</v>
      </c>
      <c r="M841" s="29">
        <v>80</v>
      </c>
      <c r="N841" s="29">
        <v>79</v>
      </c>
      <c r="O841" s="32">
        <v>641</v>
      </c>
      <c r="P841" s="29" cm="1">
        <f t="array" ref="P841">IF(表成绩单[[#This Row],[语文]]="","",SUMPRODUCT((表成绩单[考试日期]=表成绩单[[#This Row],[考试日期]])*(表成绩单[语文]&lt;9E+307)*(表成绩单[语文]&gt;表成绩单[[#This Row],[语文]]))+1)</f>
        <v>56</v>
      </c>
      <c r="Q841" s="29" cm="1">
        <f t="array" ref="Q841">IF(表成绩单[[#This Row],[数学]]="","",SUMPRODUCT((表成绩单[考试日期]=表成绩单[[#This Row],[考试日期]])*(表成绩单[数学]&lt;9E+307)*(表成绩单[数学]&gt;表成绩单[[#This Row],[数学]]))+1)</f>
        <v>52</v>
      </c>
      <c r="R841" s="29" cm="1">
        <f t="array" ref="R841">IF(表成绩单[[#This Row],[英语]]="","",SUMPRODUCT((表成绩单[考试日期]=表成绩单[[#This Row],[考试日期]])*(表成绩单[英语]&lt;9E+307)*(表成绩单[英语]&gt;表成绩单[[#This Row],[英语]]))+1)</f>
        <v>70</v>
      </c>
      <c r="S841" s="29" cm="1">
        <f t="array" ref="S841">IF(表成绩单[[#This Row],[物理]]="","",SUMPRODUCT((表成绩单[考试日期]=表成绩单[[#This Row],[考试日期]])*(表成绩单[物理]&lt;9E+307)*(表成绩单[物理]&gt;表成绩单[[#This Row],[物理]]))+1)</f>
        <v>97</v>
      </c>
      <c r="T841" s="29" cm="1">
        <f t="array" ref="T841">IF(表成绩单[[#This Row],[化学]]="","",SUMPRODUCT((表成绩单[考试日期]=表成绩单[[#This Row],[考试日期]])*(表成绩单[化学]&lt;9E+307)*(表成绩单[化学]&gt;表成绩单[[#This Row],[化学]]))+1)</f>
        <v>127</v>
      </c>
      <c r="U841" s="29" cm="1">
        <f t="array" ref="U841">IF(表成绩单[[#This Row],[政治]]="","",SUMPRODUCT((表成绩单[考试日期]=表成绩单[[#This Row],[考试日期]])*(表成绩单[政治]&lt;9E+307)*(表成绩单[政治]&gt;表成绩单[[#This Row],[政治]]))+1)</f>
        <v>28</v>
      </c>
      <c r="V841" s="29" cm="1">
        <f t="array" ref="V841">IF(表成绩单[[#This Row],[历史]]="","",SUMPRODUCT((表成绩单[考试日期]=表成绩单[[#This Row],[考试日期]])*(表成绩单[历史]&lt;9E+307)*(表成绩单[历史]&gt;表成绩单[[#This Row],[历史]]))+1)</f>
        <v>149</v>
      </c>
      <c r="W841" s="29" cm="1">
        <f t="array" ref="W841">IF(表成绩单[[#This Row],[总分]]="","",SUMPRODUCT((表成绩单[考试日期]=表成绩单[[#This Row],[考试日期]])*(表成绩单[总分]&lt;9E+307)*(表成绩单[总分]&gt;表成绩单[[#This Row],[总分]]))+1)</f>
        <v>36</v>
      </c>
    </row>
    <row r="842" ht="28" customHeight="1" spans="4:23">
      <c r="D842" s="31">
        <v>46003</v>
      </c>
      <c r="E842" s="29">
        <v>19175388</v>
      </c>
      <c r="F842" s="29" t="s">
        <v>74</v>
      </c>
      <c r="G842" s="29" t="s">
        <v>138</v>
      </c>
      <c r="H842" s="29">
        <v>105</v>
      </c>
      <c r="I842" s="29">
        <v>98</v>
      </c>
      <c r="J842" s="29">
        <v>85</v>
      </c>
      <c r="K842" s="29">
        <v>95</v>
      </c>
      <c r="L842" s="29">
        <v>88</v>
      </c>
      <c r="M842" s="29">
        <v>83</v>
      </c>
      <c r="N842" s="29">
        <v>87</v>
      </c>
      <c r="O842" s="32">
        <v>641</v>
      </c>
      <c r="P842" s="29" cm="1">
        <f t="array" ref="P842">IF(表成绩单[[#This Row],[语文]]="","",SUMPRODUCT((表成绩单[考试日期]=表成绩单[[#This Row],[考试日期]])*(表成绩单[语文]&lt;9E+307)*(表成绩单[语文]&gt;表成绩单[[#This Row],[语文]]))+1)</f>
        <v>247</v>
      </c>
      <c r="Q842" s="29" cm="1">
        <f t="array" ref="Q842">IF(表成绩单[[#This Row],[数学]]="","",SUMPRODUCT((表成绩单[考试日期]=表成绩单[[#This Row],[考试日期]])*(表成绩单[数学]&lt;9E+307)*(表成绩单[数学]&gt;表成绩单[[#This Row],[数学]]))+1)</f>
        <v>93</v>
      </c>
      <c r="R842" s="29" cm="1">
        <f t="array" ref="R842">IF(表成绩单[[#This Row],[英语]]="","",SUMPRODUCT((表成绩单[考试日期]=表成绩单[[#This Row],[考试日期]])*(表成绩单[英语]&lt;9E+307)*(表成绩单[英语]&gt;表成绩单[[#This Row],[英语]]))+1)</f>
        <v>30</v>
      </c>
      <c r="S842" s="29" cm="1">
        <f t="array" ref="S842">IF(表成绩单[[#This Row],[物理]]="","",SUMPRODUCT((表成绩单[考试日期]=表成绩单[[#This Row],[考试日期]])*(表成绩单[物理]&lt;9E+307)*(表成绩单[物理]&gt;表成绩单[[#This Row],[物理]]))+1)</f>
        <v>97</v>
      </c>
      <c r="T842" s="29" cm="1">
        <f t="array" ref="T842">IF(表成绩单[[#This Row],[化学]]="","",SUMPRODUCT((表成绩单[考试日期]=表成绩单[[#This Row],[考试日期]])*(表成绩单[化学]&lt;9E+307)*(表成绩单[化学]&gt;表成绩单[[#This Row],[化学]]))+1)</f>
        <v>175</v>
      </c>
      <c r="U842" s="29" cm="1">
        <f t="array" ref="U842">IF(表成绩单[[#This Row],[政治]]="","",SUMPRODUCT((表成绩单[考试日期]=表成绩单[[#This Row],[考试日期]])*(表成绩单[政治]&lt;9E+307)*(表成绩单[政治]&gt;表成绩单[[#This Row],[政治]]))+1)</f>
        <v>6</v>
      </c>
      <c r="V842" s="29" cm="1">
        <f t="array" ref="V842">IF(表成绩单[[#This Row],[历史]]="","",SUMPRODUCT((表成绩单[考试日期]=表成绩单[[#This Row],[考试日期]])*(表成绩单[历史]&lt;9E+307)*(表成绩单[历史]&gt;表成绩单[[#This Row],[历史]]))+1)</f>
        <v>3</v>
      </c>
      <c r="W842" s="29" cm="1">
        <f t="array" ref="W842">IF(表成绩单[[#This Row],[总分]]="","",SUMPRODUCT((表成绩单[考试日期]=表成绩单[[#This Row],[考试日期]])*(表成绩单[总分]&lt;9E+307)*(表成绩单[总分]&gt;表成绩单[[#This Row],[总分]]))+1)</f>
        <v>36</v>
      </c>
    </row>
    <row r="843" ht="28" customHeight="1" spans="4:23">
      <c r="D843" s="31">
        <v>46003</v>
      </c>
      <c r="E843" s="29">
        <v>19175389</v>
      </c>
      <c r="F843" s="29" t="s">
        <v>74</v>
      </c>
      <c r="G843" s="29" t="s">
        <v>103</v>
      </c>
      <c r="H843" s="29">
        <v>110</v>
      </c>
      <c r="I843" s="29">
        <v>101</v>
      </c>
      <c r="J843" s="29">
        <v>78</v>
      </c>
      <c r="K843" s="29">
        <v>97</v>
      </c>
      <c r="L843" s="29">
        <v>94</v>
      </c>
      <c r="M843" s="29">
        <v>76</v>
      </c>
      <c r="N843" s="29">
        <v>85</v>
      </c>
      <c r="O843" s="32">
        <v>641</v>
      </c>
      <c r="P843" s="29" cm="1">
        <f t="array" ref="P843">IF(表成绩单[[#This Row],[语文]]="","",SUMPRODUCT((表成绩单[考试日期]=表成绩单[[#This Row],[考试日期]])*(表成绩单[语文]&lt;9E+307)*(表成绩单[语文]&gt;表成绩单[[#This Row],[语文]]))+1)</f>
        <v>84</v>
      </c>
      <c r="Q843" s="29" cm="1">
        <f t="array" ref="Q843">IF(表成绩单[[#This Row],[数学]]="","",SUMPRODUCT((表成绩单[考试日期]=表成绩单[[#This Row],[考试日期]])*(表成绩单[数学]&lt;9E+307)*(表成绩单[数学]&gt;表成绩单[[#This Row],[数学]]))+1)</f>
        <v>68</v>
      </c>
      <c r="R843" s="29" cm="1">
        <f t="array" ref="R843">IF(表成绩单[[#This Row],[英语]]="","",SUMPRODUCT((表成绩单[考试日期]=表成绩单[[#This Row],[考试日期]])*(表成绩单[英语]&lt;9E+307)*(表成绩单[英语]&gt;表成绩单[[#This Row],[英语]]))+1)</f>
        <v>214</v>
      </c>
      <c r="S843" s="29" cm="1">
        <f t="array" ref="S843">IF(表成绩单[[#This Row],[物理]]="","",SUMPRODUCT((表成绩单[考试日期]=表成绩单[[#This Row],[考试日期]])*(表成绩单[物理]&lt;9E+307)*(表成绩单[物理]&gt;表成绩单[[#This Row],[物理]]))+1)</f>
        <v>43</v>
      </c>
      <c r="T843" s="29" cm="1">
        <f t="array" ref="T843">IF(表成绩单[[#This Row],[化学]]="","",SUMPRODUCT((表成绩单[考试日期]=表成绩单[[#This Row],[考试日期]])*(表成绩单[化学]&lt;9E+307)*(表成绩单[化学]&gt;表成绩单[[#This Row],[化学]]))+1)</f>
        <v>56</v>
      </c>
      <c r="U843" s="29" cm="1">
        <f t="array" ref="U843">IF(表成绩单[[#This Row],[政治]]="","",SUMPRODUCT((表成绩单[考试日期]=表成绩单[[#This Row],[考试日期]])*(表成绩单[政治]&lt;9E+307)*(表成绩单[政治]&gt;表成绩单[[#This Row],[政治]]))+1)</f>
        <v>77</v>
      </c>
      <c r="V843" s="29" cm="1">
        <f t="array" ref="V843">IF(表成绩单[[#This Row],[历史]]="","",SUMPRODUCT((表成绩单[考试日期]=表成绩单[[#This Row],[考试日期]])*(表成绩单[历史]&lt;9E+307)*(表成绩单[历史]&gt;表成绩单[[#This Row],[历史]]))+1)</f>
        <v>12</v>
      </c>
      <c r="W843" s="29" cm="1">
        <f t="array" ref="W843">IF(表成绩单[[#This Row],[总分]]="","",SUMPRODUCT((表成绩单[考试日期]=表成绩单[[#This Row],[考试日期]])*(表成绩单[总分]&lt;9E+307)*(表成绩单[总分]&gt;表成绩单[[#This Row],[总分]]))+1)</f>
        <v>36</v>
      </c>
    </row>
    <row r="844" ht="28" customHeight="1" spans="4:23">
      <c r="D844" s="31">
        <v>46003</v>
      </c>
      <c r="E844" s="29">
        <v>19175409</v>
      </c>
      <c r="F844" s="29" t="s">
        <v>74</v>
      </c>
      <c r="G844" s="29" t="s">
        <v>112</v>
      </c>
      <c r="H844" s="29">
        <v>106</v>
      </c>
      <c r="I844" s="29">
        <v>109</v>
      </c>
      <c r="J844" s="29">
        <v>82</v>
      </c>
      <c r="K844" s="29">
        <v>94</v>
      </c>
      <c r="L844" s="29">
        <v>97</v>
      </c>
      <c r="M844" s="29">
        <v>76</v>
      </c>
      <c r="N844" s="29">
        <v>77</v>
      </c>
      <c r="O844" s="32">
        <v>641</v>
      </c>
      <c r="P844" s="29" cm="1">
        <f t="array" ref="P844">IF(表成绩单[[#This Row],[语文]]="","",SUMPRODUCT((表成绩单[考试日期]=表成绩单[[#This Row],[考试日期]])*(表成绩单[语文]&lt;9E+307)*(表成绩单[语文]&gt;表成绩单[[#This Row],[语文]]))+1)</f>
        <v>210</v>
      </c>
      <c r="Q844" s="29" cm="1">
        <f t="array" ref="Q844">IF(表成绩单[[#This Row],[数学]]="","",SUMPRODUCT((表成绩单[考试日期]=表成绩单[[#This Row],[考试日期]])*(表成绩单[数学]&lt;9E+307)*(表成绩单[数学]&gt;表成绩单[[#This Row],[数学]]))+1)</f>
        <v>10</v>
      </c>
      <c r="R844" s="29" cm="1">
        <f t="array" ref="R844">IF(表成绩单[[#This Row],[英语]]="","",SUMPRODUCT((表成绩单[考试日期]=表成绩单[[#This Row],[考试日期]])*(表成绩单[英语]&lt;9E+307)*(表成绩单[英语]&gt;表成绩单[[#This Row],[英语]]))+1)</f>
        <v>96</v>
      </c>
      <c r="S844" s="29" cm="1">
        <f t="array" ref="S844">IF(表成绩单[[#This Row],[物理]]="","",SUMPRODUCT((表成绩单[考试日期]=表成绩单[[#This Row],[考试日期]])*(表成绩单[物理]&lt;9E+307)*(表成绩单[物理]&gt;表成绩单[[#This Row],[物理]]))+1)</f>
        <v>125</v>
      </c>
      <c r="T844" s="29" cm="1">
        <f t="array" ref="T844">IF(表成绩单[[#This Row],[化学]]="","",SUMPRODUCT((表成绩单[考试日期]=表成绩单[[#This Row],[考试日期]])*(表成绩单[化学]&lt;9E+307)*(表成绩单[化学]&gt;表成绩单[[#This Row],[化学]]))+1)</f>
        <v>13</v>
      </c>
      <c r="U844" s="29" cm="1">
        <f t="array" ref="U844">IF(表成绩单[[#This Row],[政治]]="","",SUMPRODUCT((表成绩单[考试日期]=表成绩单[[#This Row],[考试日期]])*(表成绩单[政治]&lt;9E+307)*(表成绩单[政治]&gt;表成绩单[[#This Row],[政治]]))+1)</f>
        <v>77</v>
      </c>
      <c r="V844" s="29" cm="1">
        <f t="array" ref="V844">IF(表成绩单[[#This Row],[历史]]="","",SUMPRODUCT((表成绩单[考试日期]=表成绩单[[#This Row],[考试日期]])*(表成绩单[历史]&lt;9E+307)*(表成绩单[历史]&gt;表成绩单[[#This Row],[历史]]))+1)</f>
        <v>235</v>
      </c>
      <c r="W844" s="29" cm="1">
        <f t="array" ref="W844">IF(表成绩单[[#This Row],[总分]]="","",SUMPRODUCT((表成绩单[考试日期]=表成绩单[[#This Row],[考试日期]])*(表成绩单[总分]&lt;9E+307)*(表成绩单[总分]&gt;表成绩单[[#This Row],[总分]]))+1)</f>
        <v>36</v>
      </c>
    </row>
    <row r="845" ht="28" customHeight="1" spans="4:23">
      <c r="D845" s="31">
        <v>46003</v>
      </c>
      <c r="E845" s="29">
        <v>19176891</v>
      </c>
      <c r="F845" s="29" t="s">
        <v>71</v>
      </c>
      <c r="G845" s="29" t="s">
        <v>133</v>
      </c>
      <c r="H845" s="29">
        <v>111</v>
      </c>
      <c r="I845" s="29">
        <v>100</v>
      </c>
      <c r="J845" s="29">
        <v>79.5</v>
      </c>
      <c r="K845" s="29">
        <v>94</v>
      </c>
      <c r="L845" s="29">
        <v>93</v>
      </c>
      <c r="M845" s="29">
        <v>78</v>
      </c>
      <c r="N845" s="29">
        <v>84</v>
      </c>
      <c r="O845" s="32">
        <v>639.5</v>
      </c>
      <c r="P845" s="29" cm="1">
        <f t="array" ref="P845">IF(表成绩单[[#This Row],[语文]]="","",SUMPRODUCT((表成绩单[考试日期]=表成绩单[[#This Row],[考试日期]])*(表成绩单[语文]&lt;9E+307)*(表成绩单[语文]&gt;表成绩单[[#This Row],[语文]]))+1)</f>
        <v>56</v>
      </c>
      <c r="Q845" s="29" cm="1">
        <f t="array" ref="Q845">IF(表成绩单[[#This Row],[数学]]="","",SUMPRODUCT((表成绩单[考试日期]=表成绩单[[#This Row],[考试日期]])*(表成绩单[数学]&lt;9E+307)*(表成绩单[数学]&gt;表成绩单[[#This Row],[数学]]))+1)</f>
        <v>77</v>
      </c>
      <c r="R845" s="29" cm="1">
        <f t="array" ref="R845">IF(表成绩单[[#This Row],[英语]]="","",SUMPRODUCT((表成绩单[考试日期]=表成绩单[[#This Row],[考试日期]])*(表成绩单[英语]&lt;9E+307)*(表成绩单[英语]&gt;表成绩单[[#This Row],[英语]]))+1)</f>
        <v>180</v>
      </c>
      <c r="S845" s="29" cm="1">
        <f t="array" ref="S845">IF(表成绩单[[#This Row],[物理]]="","",SUMPRODUCT((表成绩单[考试日期]=表成绩单[[#This Row],[考试日期]])*(表成绩单[物理]&lt;9E+307)*(表成绩单[物理]&gt;表成绩单[[#This Row],[物理]]))+1)</f>
        <v>125</v>
      </c>
      <c r="T845" s="29" cm="1">
        <f t="array" ref="T845">IF(表成绩单[[#This Row],[化学]]="","",SUMPRODUCT((表成绩单[考试日期]=表成绩单[[#This Row],[考试日期]])*(表成绩单[化学]&lt;9E+307)*(表成绩单[化学]&gt;表成绩单[[#This Row],[化学]]))+1)</f>
        <v>73</v>
      </c>
      <c r="U845" s="29" cm="1">
        <f t="array" ref="U845">IF(表成绩单[[#This Row],[政治]]="","",SUMPRODUCT((表成绩单[考试日期]=表成绩单[[#This Row],[考试日期]])*(表成绩单[政治]&lt;9E+307)*(表成绩单[政治]&gt;表成绩单[[#This Row],[政治]]))+1)</f>
        <v>46</v>
      </c>
      <c r="V845" s="29" cm="1">
        <f t="array" ref="V845">IF(表成绩单[[#This Row],[历史]]="","",SUMPRODUCT((表成绩单[考试日期]=表成绩单[[#This Row],[考试日期]])*(表成绩单[历史]&lt;9E+307)*(表成绩单[历史]&gt;表成绩单[[#This Row],[历史]]))+1)</f>
        <v>30</v>
      </c>
      <c r="W845" s="29" cm="1">
        <f t="array" ref="W845">IF(表成绩单[[#This Row],[总分]]="","",SUMPRODUCT((表成绩单[考试日期]=表成绩单[[#This Row],[考试日期]])*(表成绩单[总分]&lt;9E+307)*(表成绩单[总分]&gt;表成绩单[[#This Row],[总分]]))+1)</f>
        <v>40</v>
      </c>
    </row>
    <row r="846" ht="28" customHeight="1" spans="4:23">
      <c r="D846" s="31">
        <v>46003</v>
      </c>
      <c r="E846" s="29">
        <v>19171094</v>
      </c>
      <c r="F846" s="29" t="s">
        <v>67</v>
      </c>
      <c r="G846" s="29" t="s">
        <v>142</v>
      </c>
      <c r="H846" s="29">
        <v>108</v>
      </c>
      <c r="I846" s="29">
        <v>103</v>
      </c>
      <c r="J846" s="29">
        <v>74</v>
      </c>
      <c r="K846" s="29">
        <v>95</v>
      </c>
      <c r="L846" s="29">
        <v>97</v>
      </c>
      <c r="M846" s="29">
        <v>81</v>
      </c>
      <c r="N846" s="29">
        <v>81</v>
      </c>
      <c r="O846" s="32">
        <v>639</v>
      </c>
      <c r="P846" s="29" cm="1">
        <f t="array" ref="P846">IF(表成绩单[[#This Row],[语文]]="","",SUMPRODUCT((表成绩单[考试日期]=表成绩单[[#This Row],[考试日期]])*(表成绩单[语文]&lt;9E+307)*(表成绩单[语文]&gt;表成绩单[[#This Row],[语文]]))+1)</f>
        <v>154</v>
      </c>
      <c r="Q846" s="29" cm="1">
        <f t="array" ref="Q846">IF(表成绩单[[#This Row],[数学]]="","",SUMPRODUCT((表成绩单[考试日期]=表成绩单[[#This Row],[考试日期]])*(表成绩单[数学]&lt;9E+307)*(表成绩单[数学]&gt;表成绩单[[#This Row],[数学]]))+1)</f>
        <v>41</v>
      </c>
      <c r="R846" s="29" cm="1">
        <f t="array" ref="R846">IF(表成绩单[[#This Row],[英语]]="","",SUMPRODUCT((表成绩单[考试日期]=表成绩单[[#This Row],[考试日期]])*(表成绩单[英语]&lt;9E+307)*(表成绩单[英语]&gt;表成绩单[[#This Row],[英语]]))+1)</f>
        <v>344</v>
      </c>
      <c r="S846" s="29" cm="1">
        <f t="array" ref="S846">IF(表成绩单[[#This Row],[物理]]="","",SUMPRODUCT((表成绩单[考试日期]=表成绩单[[#This Row],[考试日期]])*(表成绩单[物理]&lt;9E+307)*(表成绩单[物理]&gt;表成绩单[[#This Row],[物理]]))+1)</f>
        <v>97</v>
      </c>
      <c r="T846" s="29" cm="1">
        <f t="array" ref="T846">IF(表成绩单[[#This Row],[化学]]="","",SUMPRODUCT((表成绩单[考试日期]=表成绩单[[#This Row],[考试日期]])*(表成绩单[化学]&lt;9E+307)*(表成绩单[化学]&gt;表成绩单[[#This Row],[化学]]))+1)</f>
        <v>13</v>
      </c>
      <c r="U846" s="29" cm="1">
        <f t="array" ref="U846">IF(表成绩单[[#This Row],[政治]]="","",SUMPRODUCT((表成绩单[考试日期]=表成绩单[[#This Row],[考试日期]])*(表成绩单[政治]&lt;9E+307)*(表成绩单[政治]&gt;表成绩单[[#This Row],[政治]]))+1)</f>
        <v>22</v>
      </c>
      <c r="V846" s="29" cm="1">
        <f t="array" ref="V846">IF(表成绩单[[#This Row],[历史]]="","",SUMPRODUCT((表成绩单[考试日期]=表成绩单[[#This Row],[考试日期]])*(表成绩单[历史]&lt;9E+307)*(表成绩单[历史]&gt;表成绩单[[#This Row],[历史]]))+1)</f>
        <v>92</v>
      </c>
      <c r="W846" s="29" cm="1">
        <f t="array" ref="W846">IF(表成绩单[[#This Row],[总分]]="","",SUMPRODUCT((表成绩单[考试日期]=表成绩单[[#This Row],[考试日期]])*(表成绩单[总分]&lt;9E+307)*(表成绩单[总分]&gt;表成绩单[[#This Row],[总分]]))+1)</f>
        <v>41</v>
      </c>
    </row>
    <row r="847" ht="28" customHeight="1" spans="4:23">
      <c r="D847" s="31">
        <v>46003</v>
      </c>
      <c r="E847" s="29">
        <v>19175696</v>
      </c>
      <c r="F847" s="29" t="s">
        <v>72</v>
      </c>
      <c r="G847" s="29" t="s">
        <v>169</v>
      </c>
      <c r="H847" s="29">
        <v>106</v>
      </c>
      <c r="I847" s="29">
        <v>99</v>
      </c>
      <c r="J847" s="29">
        <v>81</v>
      </c>
      <c r="K847" s="29">
        <v>100</v>
      </c>
      <c r="L847" s="29">
        <v>92</v>
      </c>
      <c r="M847" s="29">
        <v>82</v>
      </c>
      <c r="N847" s="29">
        <v>79</v>
      </c>
      <c r="O847" s="32">
        <v>639</v>
      </c>
      <c r="P847" s="29" cm="1">
        <f t="array" ref="P847">IF(表成绩单[[#This Row],[语文]]="","",SUMPRODUCT((表成绩单[考试日期]=表成绩单[[#This Row],[考试日期]])*(表成绩单[语文]&lt;9E+307)*(表成绩单[语文]&gt;表成绩单[[#This Row],[语文]]))+1)</f>
        <v>210</v>
      </c>
      <c r="Q847" s="29" cm="1">
        <f t="array" ref="Q847">IF(表成绩单[[#This Row],[数学]]="","",SUMPRODUCT((表成绩单[考试日期]=表成绩单[[#This Row],[考试日期]])*(表成绩单[数学]&lt;9E+307)*(表成绩单[数学]&gt;表成绩单[[#This Row],[数学]]))+1)</f>
        <v>88</v>
      </c>
      <c r="R847" s="29" cm="1">
        <f t="array" ref="R847">IF(表成绩单[[#This Row],[英语]]="","",SUMPRODUCT((表成绩单[考试日期]=表成绩单[[#This Row],[考试日期]])*(表成绩单[英语]&lt;9E+307)*(表成绩单[英语]&gt;表成绩单[[#This Row],[英语]]))+1)</f>
        <v>131</v>
      </c>
      <c r="S847" s="29" cm="1">
        <f t="array" ref="S847">IF(表成绩单[[#This Row],[物理]]="","",SUMPRODUCT((表成绩单[考试日期]=表成绩单[[#This Row],[考试日期]])*(表成绩单[物理]&lt;9E+307)*(表成绩单[物理]&gt;表成绩单[[#This Row],[物理]]))+1)</f>
        <v>1</v>
      </c>
      <c r="T847" s="29" cm="1">
        <f t="array" ref="T847">IF(表成绩单[[#This Row],[化学]]="","",SUMPRODUCT((表成绩单[考试日期]=表成绩单[[#This Row],[考试日期]])*(表成绩单[化学]&lt;9E+307)*(表成绩单[化学]&gt;表成绩单[[#This Row],[化学]]))+1)</f>
        <v>102</v>
      </c>
      <c r="U847" s="29" cm="1">
        <f t="array" ref="U847">IF(表成绩单[[#This Row],[政治]]="","",SUMPRODUCT((表成绩单[考试日期]=表成绩单[[#This Row],[考试日期]])*(表成绩单[政治]&lt;9E+307)*(表成绩单[政治]&gt;表成绩单[[#This Row],[政治]]))+1)</f>
        <v>13</v>
      </c>
      <c r="V847" s="29" cm="1">
        <f t="array" ref="V847">IF(表成绩单[[#This Row],[历史]]="","",SUMPRODUCT((表成绩单[考试日期]=表成绩单[[#This Row],[考试日期]])*(表成绩单[历史]&lt;9E+307)*(表成绩单[历史]&gt;表成绩单[[#This Row],[历史]]))+1)</f>
        <v>149</v>
      </c>
      <c r="W847" s="29" cm="1">
        <f t="array" ref="W847">IF(表成绩单[[#This Row],[总分]]="","",SUMPRODUCT((表成绩单[考试日期]=表成绩单[[#This Row],[考试日期]])*(表成绩单[总分]&lt;9E+307)*(表成绩单[总分]&gt;表成绩单[[#This Row],[总分]]))+1)</f>
        <v>41</v>
      </c>
    </row>
    <row r="848" ht="28" customHeight="1" spans="4:23">
      <c r="D848" s="31">
        <v>46003</v>
      </c>
      <c r="E848" s="29">
        <v>19175416</v>
      </c>
      <c r="F848" s="29" t="s">
        <v>74</v>
      </c>
      <c r="G848" s="29" t="s">
        <v>99</v>
      </c>
      <c r="H848" s="29">
        <v>112</v>
      </c>
      <c r="I848" s="29">
        <v>106</v>
      </c>
      <c r="J848" s="29">
        <v>84.5</v>
      </c>
      <c r="K848" s="29">
        <v>97</v>
      </c>
      <c r="L848" s="29">
        <v>86</v>
      </c>
      <c r="M848" s="29">
        <v>75</v>
      </c>
      <c r="N848" s="29">
        <v>78</v>
      </c>
      <c r="O848" s="32">
        <v>638.5</v>
      </c>
      <c r="P848" s="29" cm="1">
        <f t="array" ref="P848">IF(表成绩单[[#This Row],[语文]]="","",SUMPRODUCT((表成绩单[考试日期]=表成绩单[[#This Row],[考试日期]])*(表成绩单[语文]&lt;9E+307)*(表成绩单[语文]&gt;表成绩单[[#This Row],[语文]]))+1)</f>
        <v>36</v>
      </c>
      <c r="Q848" s="29" cm="1">
        <f t="array" ref="Q848">IF(表成绩单[[#This Row],[数学]]="","",SUMPRODUCT((表成绩单[考试日期]=表成绩单[[#This Row],[考试日期]])*(表成绩单[数学]&lt;9E+307)*(表成绩单[数学]&gt;表成绩单[[#This Row],[数学]]))+1)</f>
        <v>23</v>
      </c>
      <c r="R848" s="29" cm="1">
        <f t="array" ref="R848">IF(表成绩单[[#This Row],[英语]]="","",SUMPRODUCT((表成绩单[考试日期]=表成绩单[[#This Row],[考试日期]])*(表成绩单[英语]&lt;9E+307)*(表成绩单[英语]&gt;表成绩单[[#This Row],[英语]]))+1)</f>
        <v>37</v>
      </c>
      <c r="S848" s="29" cm="1">
        <f t="array" ref="S848">IF(表成绩单[[#This Row],[物理]]="","",SUMPRODUCT((表成绩单[考试日期]=表成绩单[[#This Row],[考试日期]])*(表成绩单[物理]&lt;9E+307)*(表成绩单[物理]&gt;表成绩单[[#This Row],[物理]]))+1)</f>
        <v>43</v>
      </c>
      <c r="T848" s="29" cm="1">
        <f t="array" ref="T848">IF(表成绩单[[#This Row],[化学]]="","",SUMPRODUCT((表成绩单[考试日期]=表成绩单[[#This Row],[考试日期]])*(表成绩单[化学]&lt;9E+307)*(表成绩单[化学]&gt;表成绩单[[#This Row],[化学]]))+1)</f>
        <v>223</v>
      </c>
      <c r="U848" s="29" cm="1">
        <f t="array" ref="U848">IF(表成绩单[[#This Row],[政治]]="","",SUMPRODUCT((表成绩单[考试日期]=表成绩单[[#This Row],[考试日期]])*(表成绩单[政治]&lt;9E+307)*(表成绩单[政治]&gt;表成绩单[[#This Row],[政治]]))+1)</f>
        <v>102</v>
      </c>
      <c r="V848" s="29" cm="1">
        <f t="array" ref="V848">IF(表成绩单[[#This Row],[历史]]="","",SUMPRODUCT((表成绩单[考试日期]=表成绩单[[#This Row],[考试日期]])*(表成绩单[历史]&lt;9E+307)*(表成绩单[历史]&gt;表成绩单[[#This Row],[历史]]))+1)</f>
        <v>190</v>
      </c>
      <c r="W848" s="29" cm="1">
        <f t="array" ref="W848">IF(表成绩单[[#This Row],[总分]]="","",SUMPRODUCT((表成绩单[考试日期]=表成绩单[[#This Row],[考试日期]])*(表成绩单[总分]&lt;9E+307)*(表成绩单[总分]&gt;表成绩单[[#This Row],[总分]]))+1)</f>
        <v>43</v>
      </c>
    </row>
    <row r="849" ht="28" customHeight="1" spans="4:23">
      <c r="D849" s="31">
        <v>46003</v>
      </c>
      <c r="E849" s="29">
        <v>19175684</v>
      </c>
      <c r="F849" s="29" t="s">
        <v>72</v>
      </c>
      <c r="G849" s="29" t="s">
        <v>140</v>
      </c>
      <c r="H849" s="29">
        <v>112</v>
      </c>
      <c r="I849" s="29">
        <v>104</v>
      </c>
      <c r="J849" s="29">
        <v>77.5</v>
      </c>
      <c r="K849" s="29">
        <v>97</v>
      </c>
      <c r="L849" s="29">
        <v>87</v>
      </c>
      <c r="M849" s="29">
        <v>77</v>
      </c>
      <c r="N849" s="29">
        <v>84</v>
      </c>
      <c r="O849" s="32">
        <v>638.5</v>
      </c>
      <c r="P849" s="29" cm="1">
        <f t="array" ref="P849">IF(表成绩单[[#This Row],[语文]]="","",SUMPRODUCT((表成绩单[考试日期]=表成绩单[[#This Row],[考试日期]])*(表成绩单[语文]&lt;9E+307)*(表成绩单[语文]&gt;表成绩单[[#This Row],[语文]]))+1)</f>
        <v>36</v>
      </c>
      <c r="Q849" s="29" cm="1">
        <f t="array" ref="Q849">IF(表成绩单[[#This Row],[数学]]="","",SUMPRODUCT((表成绩单[考试日期]=表成绩单[[#This Row],[考试日期]])*(表成绩单[数学]&lt;9E+307)*(表成绩单[数学]&gt;表成绩单[[#This Row],[数学]]))+1)</f>
        <v>39</v>
      </c>
      <c r="R849" s="29" cm="1">
        <f t="array" ref="R849">IF(表成绩单[[#This Row],[英语]]="","",SUMPRODUCT((表成绩单[考试日期]=表成绩单[[#This Row],[考试日期]])*(表成绩单[英语]&lt;9E+307)*(表成绩单[英语]&gt;表成绩单[[#This Row],[英语]]))+1)</f>
        <v>230</v>
      </c>
      <c r="S849" s="29" cm="1">
        <f t="array" ref="S849">IF(表成绩单[[#This Row],[物理]]="","",SUMPRODUCT((表成绩单[考试日期]=表成绩单[[#This Row],[考试日期]])*(表成绩单[物理]&lt;9E+307)*(表成绩单[物理]&gt;表成绩单[[#This Row],[物理]]))+1)</f>
        <v>43</v>
      </c>
      <c r="T849" s="29" cm="1">
        <f t="array" ref="T849">IF(表成绩单[[#This Row],[化学]]="","",SUMPRODUCT((表成绩单[考试日期]=表成绩单[[#This Row],[考试日期]])*(表成绩单[化学]&lt;9E+307)*(表成绩单[化学]&gt;表成绩单[[#This Row],[化学]]))+1)</f>
        <v>201</v>
      </c>
      <c r="U849" s="29" cm="1">
        <f t="array" ref="U849">IF(表成绩单[[#This Row],[政治]]="","",SUMPRODUCT((表成绩单[考试日期]=表成绩单[[#This Row],[考试日期]])*(表成绩单[政治]&lt;9E+307)*(表成绩单[政治]&gt;表成绩单[[#This Row],[政治]]))+1)</f>
        <v>64</v>
      </c>
      <c r="V849" s="29" cm="1">
        <f t="array" ref="V849">IF(表成绩单[[#This Row],[历史]]="","",SUMPRODUCT((表成绩单[考试日期]=表成绩单[[#This Row],[考试日期]])*(表成绩单[历史]&lt;9E+307)*(表成绩单[历史]&gt;表成绩单[[#This Row],[历史]]))+1)</f>
        <v>30</v>
      </c>
      <c r="W849" s="29" cm="1">
        <f t="array" ref="W849">IF(表成绩单[[#This Row],[总分]]="","",SUMPRODUCT((表成绩单[考试日期]=表成绩单[[#This Row],[考试日期]])*(表成绩单[总分]&lt;9E+307)*(表成绩单[总分]&gt;表成绩单[[#This Row],[总分]]))+1)</f>
        <v>43</v>
      </c>
    </row>
    <row r="850" ht="28" customHeight="1" spans="4:23">
      <c r="D850" s="31">
        <v>46003</v>
      </c>
      <c r="E850" s="29">
        <v>19175706</v>
      </c>
      <c r="F850" s="29" t="s">
        <v>72</v>
      </c>
      <c r="G850" s="29" t="s">
        <v>132</v>
      </c>
      <c r="H850" s="29">
        <v>105</v>
      </c>
      <c r="I850" s="29">
        <v>103</v>
      </c>
      <c r="J850" s="29">
        <v>81.5</v>
      </c>
      <c r="K850" s="29">
        <v>100</v>
      </c>
      <c r="L850" s="29">
        <v>87</v>
      </c>
      <c r="M850" s="29">
        <v>82</v>
      </c>
      <c r="N850" s="29">
        <v>80</v>
      </c>
      <c r="O850" s="32">
        <v>638.5</v>
      </c>
      <c r="P850" s="29" cm="1">
        <f t="array" ref="P850">IF(表成绩单[[#This Row],[语文]]="","",SUMPRODUCT((表成绩单[考试日期]=表成绩单[[#This Row],[考试日期]])*(表成绩单[语文]&lt;9E+307)*(表成绩单[语文]&gt;表成绩单[[#This Row],[语文]]))+1)</f>
        <v>247</v>
      </c>
      <c r="Q850" s="29" cm="1">
        <f t="array" ref="Q850">IF(表成绩单[[#This Row],[数学]]="","",SUMPRODUCT((表成绩单[考试日期]=表成绩单[[#This Row],[考试日期]])*(表成绩单[数学]&lt;9E+307)*(表成绩单[数学]&gt;表成绩单[[#This Row],[数学]]))+1)</f>
        <v>41</v>
      </c>
      <c r="R850" s="29" cm="1">
        <f t="array" ref="R850">IF(表成绩单[[#This Row],[英语]]="","",SUMPRODUCT((表成绩单[考试日期]=表成绩单[[#This Row],[考试日期]])*(表成绩单[英语]&lt;9E+307)*(表成绩单[英语]&gt;表成绩单[[#This Row],[英语]]))+1)</f>
        <v>113</v>
      </c>
      <c r="S850" s="29" cm="1">
        <f t="array" ref="S850">IF(表成绩单[[#This Row],[物理]]="","",SUMPRODUCT((表成绩单[考试日期]=表成绩单[[#This Row],[考试日期]])*(表成绩单[物理]&lt;9E+307)*(表成绩单[物理]&gt;表成绩单[[#This Row],[物理]]))+1)</f>
        <v>1</v>
      </c>
      <c r="T850" s="29" cm="1">
        <f t="array" ref="T850">IF(表成绩单[[#This Row],[化学]]="","",SUMPRODUCT((表成绩单[考试日期]=表成绩单[[#This Row],[考试日期]])*(表成绩单[化学]&lt;9E+307)*(表成绩单[化学]&gt;表成绩单[[#This Row],[化学]]))+1)</f>
        <v>201</v>
      </c>
      <c r="U850" s="29" cm="1">
        <f t="array" ref="U850">IF(表成绩单[[#This Row],[政治]]="","",SUMPRODUCT((表成绩单[考试日期]=表成绩单[[#This Row],[考试日期]])*(表成绩单[政治]&lt;9E+307)*(表成绩单[政治]&gt;表成绩单[[#This Row],[政治]]))+1)</f>
        <v>13</v>
      </c>
      <c r="V850" s="29" cm="1">
        <f t="array" ref="V850">IF(表成绩单[[#This Row],[历史]]="","",SUMPRODUCT((表成绩单[考试日期]=表成绩单[[#This Row],[考试日期]])*(表成绩单[历史]&lt;9E+307)*(表成绩单[历史]&gt;表成绩单[[#This Row],[历史]]))+1)</f>
        <v>116</v>
      </c>
      <c r="W850" s="29" cm="1">
        <f t="array" ref="W850">IF(表成绩单[[#This Row],[总分]]="","",SUMPRODUCT((表成绩单[考试日期]=表成绩单[[#This Row],[考试日期]])*(表成绩单[总分]&lt;9E+307)*(表成绩单[总分]&gt;表成绩单[[#This Row],[总分]]))+1)</f>
        <v>43</v>
      </c>
    </row>
    <row r="851" ht="28" customHeight="1" spans="4:23">
      <c r="D851" s="31">
        <v>46003</v>
      </c>
      <c r="E851" s="29">
        <v>19176890</v>
      </c>
      <c r="F851" s="29" t="s">
        <v>71</v>
      </c>
      <c r="G851" s="29" t="s">
        <v>159</v>
      </c>
      <c r="H851" s="29">
        <v>114</v>
      </c>
      <c r="I851" s="29">
        <v>96</v>
      </c>
      <c r="J851" s="29">
        <v>84.5</v>
      </c>
      <c r="K851" s="29">
        <v>100</v>
      </c>
      <c r="L851" s="29">
        <v>86</v>
      </c>
      <c r="M851" s="29">
        <v>77</v>
      </c>
      <c r="N851" s="29">
        <v>81</v>
      </c>
      <c r="O851" s="32">
        <v>638.5</v>
      </c>
      <c r="P851" s="29" cm="1">
        <f t="array" ref="P851">IF(表成绩单[[#This Row],[语文]]="","",SUMPRODUCT((表成绩单[考试日期]=表成绩单[[#This Row],[考试日期]])*(表成绩单[语文]&lt;9E+307)*(表成绩单[语文]&gt;表成绩单[[#This Row],[语文]]))+1)</f>
        <v>13</v>
      </c>
      <c r="Q851" s="29" cm="1">
        <f t="array" ref="Q851">IF(表成绩单[[#This Row],[数学]]="","",SUMPRODUCT((表成绩单[考试日期]=表成绩单[[#This Row],[考试日期]])*(表成绩单[数学]&lt;9E+307)*(表成绩单[数学]&gt;表成绩单[[#This Row],[数学]]))+1)</f>
        <v>114</v>
      </c>
      <c r="R851" s="29" cm="1">
        <f t="array" ref="R851">IF(表成绩单[[#This Row],[英语]]="","",SUMPRODUCT((表成绩单[考试日期]=表成绩单[[#This Row],[考试日期]])*(表成绩单[英语]&lt;9E+307)*(表成绩单[英语]&gt;表成绩单[[#This Row],[英语]]))+1)</f>
        <v>37</v>
      </c>
      <c r="S851" s="29" cm="1">
        <f t="array" ref="S851">IF(表成绩单[[#This Row],[物理]]="","",SUMPRODUCT((表成绩单[考试日期]=表成绩单[[#This Row],[考试日期]])*(表成绩单[物理]&lt;9E+307)*(表成绩单[物理]&gt;表成绩单[[#This Row],[物理]]))+1)</f>
        <v>1</v>
      </c>
      <c r="T851" s="29" cm="1">
        <f t="array" ref="T851">IF(表成绩单[[#This Row],[化学]]="","",SUMPRODUCT((表成绩单[考试日期]=表成绩单[[#This Row],[考试日期]])*(表成绩单[化学]&lt;9E+307)*(表成绩单[化学]&gt;表成绩单[[#This Row],[化学]]))+1)</f>
        <v>223</v>
      </c>
      <c r="U851" s="29" cm="1">
        <f t="array" ref="U851">IF(表成绩单[[#This Row],[政治]]="","",SUMPRODUCT((表成绩单[考试日期]=表成绩单[[#This Row],[考试日期]])*(表成绩单[政治]&lt;9E+307)*(表成绩单[政治]&gt;表成绩单[[#This Row],[政治]]))+1)</f>
        <v>64</v>
      </c>
      <c r="V851" s="29" cm="1">
        <f t="array" ref="V851">IF(表成绩单[[#This Row],[历史]]="","",SUMPRODUCT((表成绩单[考试日期]=表成绩单[[#This Row],[考试日期]])*(表成绩单[历史]&lt;9E+307)*(表成绩单[历史]&gt;表成绩单[[#This Row],[历史]]))+1)</f>
        <v>92</v>
      </c>
      <c r="W851" s="29" cm="1">
        <f t="array" ref="W851">IF(表成绩单[[#This Row],[总分]]="","",SUMPRODUCT((表成绩单[考试日期]=表成绩单[[#This Row],[考试日期]])*(表成绩单[总分]&lt;9E+307)*(表成绩单[总分]&gt;表成绩单[[#This Row],[总分]]))+1)</f>
        <v>43</v>
      </c>
    </row>
    <row r="852" ht="28" customHeight="1" spans="4:23">
      <c r="D852" s="31">
        <v>46003</v>
      </c>
      <c r="E852" s="29">
        <v>19175383</v>
      </c>
      <c r="F852" s="29" t="s">
        <v>74</v>
      </c>
      <c r="G852" s="29" t="s">
        <v>104</v>
      </c>
      <c r="H852" s="29">
        <v>114</v>
      </c>
      <c r="I852" s="29">
        <v>104</v>
      </c>
      <c r="J852" s="29">
        <v>87.5</v>
      </c>
      <c r="K852" s="29">
        <v>96</v>
      </c>
      <c r="L852" s="29">
        <v>93</v>
      </c>
      <c r="M852" s="29">
        <v>66</v>
      </c>
      <c r="N852" s="29">
        <v>77</v>
      </c>
      <c r="O852" s="32">
        <v>637.5</v>
      </c>
      <c r="P852" s="29" cm="1">
        <f t="array" ref="P852">IF(表成绩单[[#This Row],[语文]]="","",SUMPRODUCT((表成绩单[考试日期]=表成绩单[[#This Row],[考试日期]])*(表成绩单[语文]&lt;9E+307)*(表成绩单[语文]&gt;表成绩单[[#This Row],[语文]]))+1)</f>
        <v>13</v>
      </c>
      <c r="Q852" s="29" cm="1">
        <f t="array" ref="Q852">IF(表成绩单[[#This Row],[数学]]="","",SUMPRODUCT((表成绩单[考试日期]=表成绩单[[#This Row],[考试日期]])*(表成绩单[数学]&lt;9E+307)*(表成绩单[数学]&gt;表成绩单[[#This Row],[数学]]))+1)</f>
        <v>39</v>
      </c>
      <c r="R852" s="29" cm="1">
        <f t="array" ref="R852">IF(表成绩单[[#This Row],[英语]]="","",SUMPRODUCT((表成绩单[考试日期]=表成绩单[[#This Row],[考试日期]])*(表成绩单[英语]&lt;9E+307)*(表成绩单[英语]&gt;表成绩单[[#This Row],[英语]]))+1)</f>
        <v>6</v>
      </c>
      <c r="S852" s="29" cm="1">
        <f t="array" ref="S852">IF(表成绩单[[#This Row],[物理]]="","",SUMPRODUCT((表成绩单[考试日期]=表成绩单[[#This Row],[考试日期]])*(表成绩单[物理]&lt;9E+307)*(表成绩单[物理]&gt;表成绩单[[#This Row],[物理]]))+1)</f>
        <v>64</v>
      </c>
      <c r="T852" s="29" cm="1">
        <f t="array" ref="T852">IF(表成绩单[[#This Row],[化学]]="","",SUMPRODUCT((表成绩单[考试日期]=表成绩单[[#This Row],[考试日期]])*(表成绩单[化学]&lt;9E+307)*(表成绩单[化学]&gt;表成绩单[[#This Row],[化学]]))+1)</f>
        <v>73</v>
      </c>
      <c r="U852" s="29" cm="1">
        <f t="array" ref="U852">IF(表成绩单[[#This Row],[政治]]="","",SUMPRODUCT((表成绩单[考试日期]=表成绩单[[#This Row],[考试日期]])*(表成绩单[政治]&lt;9E+307)*(表成绩单[政治]&gt;表成绩单[[#This Row],[政治]]))+1)</f>
        <v>289</v>
      </c>
      <c r="V852" s="29" cm="1">
        <f t="array" ref="V852">IF(表成绩单[[#This Row],[历史]]="","",SUMPRODUCT((表成绩单[考试日期]=表成绩单[[#This Row],[考试日期]])*(表成绩单[历史]&lt;9E+307)*(表成绩单[历史]&gt;表成绩单[[#This Row],[历史]]))+1)</f>
        <v>235</v>
      </c>
      <c r="W852" s="29" cm="1">
        <f t="array" ref="W852">IF(表成绩单[[#This Row],[总分]]="","",SUMPRODUCT((表成绩单[考试日期]=表成绩单[[#This Row],[考试日期]])*(表成绩单[总分]&lt;9E+307)*(表成绩单[总分]&gt;表成绩单[[#This Row],[总分]]))+1)</f>
        <v>47</v>
      </c>
    </row>
    <row r="853" ht="28" customHeight="1" spans="4:23">
      <c r="D853" s="31">
        <v>46003</v>
      </c>
      <c r="E853" s="29">
        <v>19176875</v>
      </c>
      <c r="F853" s="29" t="s">
        <v>71</v>
      </c>
      <c r="G853" s="29" t="s">
        <v>81</v>
      </c>
      <c r="H853" s="29">
        <v>111</v>
      </c>
      <c r="I853" s="29">
        <v>93</v>
      </c>
      <c r="J853" s="29">
        <v>83</v>
      </c>
      <c r="K853" s="29">
        <v>93</v>
      </c>
      <c r="L853" s="29">
        <v>93</v>
      </c>
      <c r="M853" s="29">
        <v>84</v>
      </c>
      <c r="N853" s="29">
        <v>80</v>
      </c>
      <c r="O853" s="32">
        <v>637</v>
      </c>
      <c r="P853" s="29" cm="1">
        <f t="array" ref="P853">IF(表成绩单[[#This Row],[语文]]="","",SUMPRODUCT((表成绩单[考试日期]=表成绩单[[#This Row],[考试日期]])*(表成绩单[语文]&lt;9E+307)*(表成绩单[语文]&gt;表成绩单[[#This Row],[语文]]))+1)</f>
        <v>56</v>
      </c>
      <c r="Q853" s="29" cm="1">
        <f t="array" ref="Q853">IF(表成绩单[[#This Row],[数学]]="","",SUMPRODUCT((表成绩单[考试日期]=表成绩单[[#This Row],[考试日期]])*(表成绩单[数学]&lt;9E+307)*(表成绩单[数学]&gt;表成绩单[[#This Row],[数学]]))+1)</f>
        <v>155</v>
      </c>
      <c r="R853" s="29" cm="1">
        <f t="array" ref="R853">IF(表成绩单[[#This Row],[英语]]="","",SUMPRODUCT((表成绩单[考试日期]=表成绩单[[#This Row],[考试日期]])*(表成绩单[英语]&lt;9E+307)*(表成绩单[英语]&gt;表成绩单[[#This Row],[英语]]))+1)</f>
        <v>70</v>
      </c>
      <c r="S853" s="29" cm="1">
        <f t="array" ref="S853">IF(表成绩单[[#This Row],[物理]]="","",SUMPRODUCT((表成绩单[考试日期]=表成绩单[[#This Row],[考试日期]])*(表成绩单[物理]&lt;9E+307)*(表成绩单[物理]&gt;表成绩单[[#This Row],[物理]]))+1)</f>
        <v>163</v>
      </c>
      <c r="T853" s="29" cm="1">
        <f t="array" ref="T853">IF(表成绩单[[#This Row],[化学]]="","",SUMPRODUCT((表成绩单[考试日期]=表成绩单[[#This Row],[考试日期]])*(表成绩单[化学]&lt;9E+307)*(表成绩单[化学]&gt;表成绩单[[#This Row],[化学]]))+1)</f>
        <v>73</v>
      </c>
      <c r="U853" s="29" cm="1">
        <f t="array" ref="U853">IF(表成绩单[[#This Row],[政治]]="","",SUMPRODUCT((表成绩单[考试日期]=表成绩单[[#This Row],[考试日期]])*(表成绩单[政治]&lt;9E+307)*(表成绩单[政治]&gt;表成绩单[[#This Row],[政治]]))+1)</f>
        <v>2</v>
      </c>
      <c r="V853" s="29" cm="1">
        <f t="array" ref="V853">IF(表成绩单[[#This Row],[历史]]="","",SUMPRODUCT((表成绩单[考试日期]=表成绩单[[#This Row],[考试日期]])*(表成绩单[历史]&lt;9E+307)*(表成绩单[历史]&gt;表成绩单[[#This Row],[历史]]))+1)</f>
        <v>116</v>
      </c>
      <c r="W853" s="29" cm="1">
        <f t="array" ref="W853">IF(表成绩单[[#This Row],[总分]]="","",SUMPRODUCT((表成绩单[考试日期]=表成绩单[[#This Row],[考试日期]])*(表成绩单[总分]&lt;9E+307)*(表成绩单[总分]&gt;表成绩单[[#This Row],[总分]]))+1)</f>
        <v>48</v>
      </c>
    </row>
    <row r="854" ht="28" customHeight="1" spans="4:23">
      <c r="D854" s="31">
        <v>46003</v>
      </c>
      <c r="E854" s="29">
        <v>36665452</v>
      </c>
      <c r="F854" s="29" t="s">
        <v>67</v>
      </c>
      <c r="G854" s="29" t="s">
        <v>172</v>
      </c>
      <c r="H854" s="29">
        <v>108</v>
      </c>
      <c r="I854" s="29">
        <v>102</v>
      </c>
      <c r="J854" s="29">
        <v>77</v>
      </c>
      <c r="K854" s="29">
        <v>96</v>
      </c>
      <c r="L854" s="29">
        <v>95</v>
      </c>
      <c r="M854" s="29">
        <v>76</v>
      </c>
      <c r="N854" s="29">
        <v>83</v>
      </c>
      <c r="O854" s="32">
        <v>637</v>
      </c>
      <c r="P854" s="29" cm="1">
        <f t="array" ref="P854">IF(表成绩单[[#This Row],[语文]]="","",SUMPRODUCT((表成绩单[考试日期]=表成绩单[[#This Row],[考试日期]])*(表成绩单[语文]&lt;9E+307)*(表成绩单[语文]&gt;表成绩单[[#This Row],[语文]]))+1)</f>
        <v>154</v>
      </c>
      <c r="Q854" s="29" cm="1">
        <f t="array" ref="Q854">IF(表成绩单[[#This Row],[数学]]="","",SUMPRODUCT((表成绩单[考试日期]=表成绩单[[#This Row],[考试日期]])*(表成绩单[数学]&lt;9E+307)*(表成绩单[数学]&gt;表成绩单[[#This Row],[数学]]))+1)</f>
        <v>52</v>
      </c>
      <c r="R854" s="29" cm="1">
        <f t="array" ref="R854">IF(表成绩单[[#This Row],[英语]]="","",SUMPRODUCT((表成绩单[考试日期]=表成绩单[[#This Row],[考试日期]])*(表成绩单[英语]&lt;9E+307)*(表成绩单[英语]&gt;表成绩单[[#This Row],[英语]]))+1)</f>
        <v>255</v>
      </c>
      <c r="S854" s="29" cm="1">
        <f t="array" ref="S854">IF(表成绩单[[#This Row],[物理]]="","",SUMPRODUCT((表成绩单[考试日期]=表成绩单[[#This Row],[考试日期]])*(表成绩单[物理]&lt;9E+307)*(表成绩单[物理]&gt;表成绩单[[#This Row],[物理]]))+1)</f>
        <v>64</v>
      </c>
      <c r="T854" s="29" cm="1">
        <f t="array" ref="T854">IF(表成绩单[[#This Row],[化学]]="","",SUMPRODUCT((表成绩单[考试日期]=表成绩单[[#This Row],[考试日期]])*(表成绩单[化学]&lt;9E+307)*(表成绩单[化学]&gt;表成绩单[[#This Row],[化学]]))+1)</f>
        <v>37</v>
      </c>
      <c r="U854" s="29" cm="1">
        <f t="array" ref="U854">IF(表成绩单[[#This Row],[政治]]="","",SUMPRODUCT((表成绩单[考试日期]=表成绩单[[#This Row],[考试日期]])*(表成绩单[政治]&lt;9E+307)*(表成绩单[政治]&gt;表成绩单[[#This Row],[政治]]))+1)</f>
        <v>77</v>
      </c>
      <c r="V854" s="29" cm="1">
        <f t="array" ref="V854">IF(表成绩单[[#This Row],[历史]]="","",SUMPRODUCT((表成绩单[考试日期]=表成绩单[[#This Row],[考试日期]])*(表成绩单[历史]&lt;9E+307)*(表成绩单[历史]&gt;表成绩单[[#This Row],[历史]]))+1)</f>
        <v>46</v>
      </c>
      <c r="W854" s="29" cm="1">
        <f t="array" ref="W854">IF(表成绩单[[#This Row],[总分]]="","",SUMPRODUCT((表成绩单[考试日期]=表成绩单[[#This Row],[考试日期]])*(表成绩单[总分]&lt;9E+307)*(表成绩单[总分]&gt;表成绩单[[#This Row],[总分]]))+1)</f>
        <v>48</v>
      </c>
    </row>
    <row r="855" ht="28" customHeight="1" spans="4:23">
      <c r="D855" s="31">
        <v>46003</v>
      </c>
      <c r="E855" s="29">
        <v>19173528</v>
      </c>
      <c r="F855" s="29" t="s">
        <v>1</v>
      </c>
      <c r="G855" s="29" t="s">
        <v>105</v>
      </c>
      <c r="H855" s="29">
        <v>111</v>
      </c>
      <c r="I855" s="29">
        <v>102</v>
      </c>
      <c r="J855" s="29">
        <v>82.5</v>
      </c>
      <c r="K855" s="29">
        <v>89</v>
      </c>
      <c r="L855" s="29">
        <v>95</v>
      </c>
      <c r="M855" s="29">
        <v>78</v>
      </c>
      <c r="N855" s="29">
        <v>79</v>
      </c>
      <c r="O855" s="32">
        <v>636.5</v>
      </c>
      <c r="P855" s="29" cm="1">
        <f t="array" ref="P855">IF(表成绩单[[#This Row],[语文]]="","",SUMPRODUCT((表成绩单[考试日期]=表成绩单[[#This Row],[考试日期]])*(表成绩单[语文]&lt;9E+307)*(表成绩单[语文]&gt;表成绩单[[#This Row],[语文]]))+1)</f>
        <v>56</v>
      </c>
      <c r="Q855" s="29" cm="1">
        <f t="array" ref="Q855">IF(表成绩单[[#This Row],[数学]]="","",SUMPRODUCT((表成绩单[考试日期]=表成绩单[[#This Row],[考试日期]])*(表成绩单[数学]&lt;9E+307)*(表成绩单[数学]&gt;表成绩单[[#This Row],[数学]]))+1)</f>
        <v>52</v>
      </c>
      <c r="R855" s="29" cm="1">
        <f t="array" ref="R855">IF(表成绩单[[#This Row],[英语]]="","",SUMPRODUCT((表成绩单[考试日期]=表成绩单[[#This Row],[考试日期]])*(表成绩单[英语]&lt;9E+307)*(表成绩单[英语]&gt;表成绩单[[#This Row],[英语]]))+1)</f>
        <v>85</v>
      </c>
      <c r="S855" s="29" cm="1">
        <f t="array" ref="S855">IF(表成绩单[[#This Row],[物理]]="","",SUMPRODUCT((表成绩单[考试日期]=表成绩单[[#This Row],[考试日期]])*(表成绩单[物理]&lt;9E+307)*(表成绩单[物理]&gt;表成绩单[[#This Row],[物理]]))+1)</f>
        <v>269</v>
      </c>
      <c r="T855" s="29" cm="1">
        <f t="array" ref="T855">IF(表成绩单[[#This Row],[化学]]="","",SUMPRODUCT((表成绩单[考试日期]=表成绩单[[#This Row],[考试日期]])*(表成绩单[化学]&lt;9E+307)*(表成绩单[化学]&gt;表成绩单[[#This Row],[化学]]))+1)</f>
        <v>37</v>
      </c>
      <c r="U855" s="29" cm="1">
        <f t="array" ref="U855">IF(表成绩单[[#This Row],[政治]]="","",SUMPRODUCT((表成绩单[考试日期]=表成绩单[[#This Row],[考试日期]])*(表成绩单[政治]&lt;9E+307)*(表成绩单[政治]&gt;表成绩单[[#This Row],[政治]]))+1)</f>
        <v>46</v>
      </c>
      <c r="V855" s="29" cm="1">
        <f t="array" ref="V855">IF(表成绩单[[#This Row],[历史]]="","",SUMPRODUCT((表成绩单[考试日期]=表成绩单[[#This Row],[考试日期]])*(表成绩单[历史]&lt;9E+307)*(表成绩单[历史]&gt;表成绩单[[#This Row],[历史]]))+1)</f>
        <v>149</v>
      </c>
      <c r="W855" s="29" cm="1">
        <f t="array" ref="W855">IF(表成绩单[[#This Row],[总分]]="","",SUMPRODUCT((表成绩单[考试日期]=表成绩单[[#This Row],[考试日期]])*(表成绩单[总分]&lt;9E+307)*(表成绩单[总分]&gt;表成绩单[[#This Row],[总分]]))+1)</f>
        <v>50</v>
      </c>
    </row>
    <row r="856" ht="28" customHeight="1" spans="4:23">
      <c r="D856" s="31">
        <v>46003</v>
      </c>
      <c r="E856" s="29">
        <v>19177230</v>
      </c>
      <c r="F856" s="29" t="s">
        <v>70</v>
      </c>
      <c r="G856" s="29" t="s">
        <v>150</v>
      </c>
      <c r="H856" s="29">
        <v>110</v>
      </c>
      <c r="I856" s="29">
        <v>106</v>
      </c>
      <c r="J856" s="29">
        <v>80.5</v>
      </c>
      <c r="K856" s="29">
        <v>95</v>
      </c>
      <c r="L856" s="29">
        <v>91</v>
      </c>
      <c r="M856" s="29">
        <v>73</v>
      </c>
      <c r="N856" s="29">
        <v>81</v>
      </c>
      <c r="O856" s="32">
        <v>636.5</v>
      </c>
      <c r="P856" s="29" cm="1">
        <f t="array" ref="P856">IF(表成绩单[[#This Row],[语文]]="","",SUMPRODUCT((表成绩单[考试日期]=表成绩单[[#This Row],[考试日期]])*(表成绩单[语文]&lt;9E+307)*(表成绩单[语文]&gt;表成绩单[[#This Row],[语文]]))+1)</f>
        <v>84</v>
      </c>
      <c r="Q856" s="29" cm="1">
        <f t="array" ref="Q856">IF(表成绩单[[#This Row],[数学]]="","",SUMPRODUCT((表成绩单[考试日期]=表成绩单[[#This Row],[考试日期]])*(表成绩单[数学]&lt;9E+307)*(表成绩单[数学]&gt;表成绩单[[#This Row],[数学]]))+1)</f>
        <v>23</v>
      </c>
      <c r="R856" s="29" cm="1">
        <f t="array" ref="R856">IF(表成绩单[[#This Row],[英语]]="","",SUMPRODUCT((表成绩单[考试日期]=表成绩单[[#This Row],[考试日期]])*(表成绩单[英语]&lt;9E+307)*(表成绩单[英语]&gt;表成绩单[[#This Row],[英语]]))+1)</f>
        <v>147</v>
      </c>
      <c r="S856" s="29" cm="1">
        <f t="array" ref="S856">IF(表成绩单[[#This Row],[物理]]="","",SUMPRODUCT((表成绩单[考试日期]=表成绩单[[#This Row],[考试日期]])*(表成绩单[物理]&lt;9E+307)*(表成绩单[物理]&gt;表成绩单[[#This Row],[物理]]))+1)</f>
        <v>97</v>
      </c>
      <c r="T856" s="29" cm="1">
        <f t="array" ref="T856">IF(表成绩单[[#This Row],[化学]]="","",SUMPRODUCT((表成绩单[考试日期]=表成绩单[[#This Row],[考试日期]])*(表成绩单[化学]&lt;9E+307)*(表成绩单[化学]&gt;表成绩单[[#This Row],[化学]]))+1)</f>
        <v>127</v>
      </c>
      <c r="U856" s="29" cm="1">
        <f t="array" ref="U856">IF(表成绩单[[#This Row],[政治]]="","",SUMPRODUCT((表成绩单[考试日期]=表成绩单[[#This Row],[考试日期]])*(表成绩单[政治]&lt;9E+307)*(表成绩单[政治]&gt;表成绩单[[#This Row],[政治]]))+1)</f>
        <v>139</v>
      </c>
      <c r="V856" s="29" cm="1">
        <f t="array" ref="V856">IF(表成绩单[[#This Row],[历史]]="","",SUMPRODUCT((表成绩单[考试日期]=表成绩单[[#This Row],[考试日期]])*(表成绩单[历史]&lt;9E+307)*(表成绩单[历史]&gt;表成绩单[[#This Row],[历史]]))+1)</f>
        <v>92</v>
      </c>
      <c r="W856" s="29" cm="1">
        <f t="array" ref="W856">IF(表成绩单[[#This Row],[总分]]="","",SUMPRODUCT((表成绩单[考试日期]=表成绩单[[#This Row],[考试日期]])*(表成绩单[总分]&lt;9E+307)*(表成绩单[总分]&gt;表成绩单[[#This Row],[总分]]))+1)</f>
        <v>50</v>
      </c>
    </row>
    <row r="857" ht="28" customHeight="1" spans="4:23">
      <c r="D857" s="31">
        <v>46003</v>
      </c>
      <c r="E857" s="29">
        <v>19167655</v>
      </c>
      <c r="F857" s="29" t="s">
        <v>1</v>
      </c>
      <c r="G857" s="29" t="s">
        <v>115</v>
      </c>
      <c r="H857" s="29">
        <v>107</v>
      </c>
      <c r="I857" s="29">
        <v>101</v>
      </c>
      <c r="J857" s="29">
        <v>82</v>
      </c>
      <c r="K857" s="29">
        <v>95</v>
      </c>
      <c r="L857" s="29">
        <v>96</v>
      </c>
      <c r="M857" s="29">
        <v>76</v>
      </c>
      <c r="N857" s="29">
        <v>79</v>
      </c>
      <c r="O857" s="32">
        <v>636</v>
      </c>
      <c r="P857" s="29" cm="1">
        <f t="array" ref="P857">IF(表成绩单[[#This Row],[语文]]="","",SUMPRODUCT((表成绩单[考试日期]=表成绩单[[#This Row],[考试日期]])*(表成绩单[语文]&lt;9E+307)*(表成绩单[语文]&gt;表成绩单[[#This Row],[语文]]))+1)</f>
        <v>182</v>
      </c>
      <c r="Q857" s="29" cm="1">
        <f t="array" ref="Q857">IF(表成绩单[[#This Row],[数学]]="","",SUMPRODUCT((表成绩单[考试日期]=表成绩单[[#This Row],[考试日期]])*(表成绩单[数学]&lt;9E+307)*(表成绩单[数学]&gt;表成绩单[[#This Row],[数学]]))+1)</f>
        <v>68</v>
      </c>
      <c r="R857" s="29" cm="1">
        <f t="array" ref="R857">IF(表成绩单[[#This Row],[英语]]="","",SUMPRODUCT((表成绩单[考试日期]=表成绩单[[#This Row],[考试日期]])*(表成绩单[英语]&lt;9E+307)*(表成绩单[英语]&gt;表成绩单[[#This Row],[英语]]))+1)</f>
        <v>96</v>
      </c>
      <c r="S857" s="29" cm="1">
        <f t="array" ref="S857">IF(表成绩单[[#This Row],[物理]]="","",SUMPRODUCT((表成绩单[考试日期]=表成绩单[[#This Row],[考试日期]])*(表成绩单[物理]&lt;9E+307)*(表成绩单[物理]&gt;表成绩单[[#This Row],[物理]]))+1)</f>
        <v>97</v>
      </c>
      <c r="T857" s="29" cm="1">
        <f t="array" ref="T857">IF(表成绩单[[#This Row],[化学]]="","",SUMPRODUCT((表成绩单[考试日期]=表成绩单[[#This Row],[考试日期]])*(表成绩单[化学]&lt;9E+307)*(表成绩单[化学]&gt;表成绩单[[#This Row],[化学]]))+1)</f>
        <v>24</v>
      </c>
      <c r="U857" s="29" cm="1">
        <f t="array" ref="U857">IF(表成绩单[[#This Row],[政治]]="","",SUMPRODUCT((表成绩单[考试日期]=表成绩单[[#This Row],[考试日期]])*(表成绩单[政治]&lt;9E+307)*(表成绩单[政治]&gt;表成绩单[[#This Row],[政治]]))+1)</f>
        <v>77</v>
      </c>
      <c r="V857" s="29" cm="1">
        <f t="array" ref="V857">IF(表成绩单[[#This Row],[历史]]="","",SUMPRODUCT((表成绩单[考试日期]=表成绩单[[#This Row],[考试日期]])*(表成绩单[历史]&lt;9E+307)*(表成绩单[历史]&gt;表成绩单[[#This Row],[历史]]))+1)</f>
        <v>149</v>
      </c>
      <c r="W857" s="29" cm="1">
        <f t="array" ref="W857">IF(表成绩单[[#This Row],[总分]]="","",SUMPRODUCT((表成绩单[考试日期]=表成绩单[[#This Row],[考试日期]])*(表成绩单[总分]&lt;9E+307)*(表成绩单[总分]&gt;表成绩单[[#This Row],[总分]]))+1)</f>
        <v>52</v>
      </c>
    </row>
    <row r="858" ht="28" customHeight="1" spans="4:23">
      <c r="D858" s="31">
        <v>46003</v>
      </c>
      <c r="E858" s="29">
        <v>19177199</v>
      </c>
      <c r="F858" s="29" t="s">
        <v>70</v>
      </c>
      <c r="G858" s="29" t="s">
        <v>161</v>
      </c>
      <c r="H858" s="29">
        <v>103</v>
      </c>
      <c r="I858" s="29">
        <v>102</v>
      </c>
      <c r="J858" s="29">
        <v>81</v>
      </c>
      <c r="K858" s="29">
        <v>98</v>
      </c>
      <c r="L858" s="29">
        <v>99</v>
      </c>
      <c r="M858" s="29">
        <v>78</v>
      </c>
      <c r="N858" s="29">
        <v>75</v>
      </c>
      <c r="O858" s="32">
        <v>636</v>
      </c>
      <c r="P858" s="29" cm="1">
        <f t="array" ref="P858">IF(表成绩单[[#This Row],[语文]]="","",SUMPRODUCT((表成绩单[考试日期]=表成绩单[[#This Row],[考试日期]])*(表成绩单[语文]&lt;9E+307)*(表成绩单[语文]&gt;表成绩单[[#This Row],[语文]]))+1)</f>
        <v>333</v>
      </c>
      <c r="Q858" s="29" cm="1">
        <f t="array" ref="Q858">IF(表成绩单[[#This Row],[数学]]="","",SUMPRODUCT((表成绩单[考试日期]=表成绩单[[#This Row],[考试日期]])*(表成绩单[数学]&lt;9E+307)*(表成绩单[数学]&gt;表成绩单[[#This Row],[数学]]))+1)</f>
        <v>52</v>
      </c>
      <c r="R858" s="29" cm="1">
        <f t="array" ref="R858">IF(表成绩单[[#This Row],[英语]]="","",SUMPRODUCT((表成绩单[考试日期]=表成绩单[[#This Row],[考试日期]])*(表成绩单[英语]&lt;9E+307)*(表成绩单[英语]&gt;表成绩单[[#This Row],[英语]]))+1)</f>
        <v>131</v>
      </c>
      <c r="S858" s="29" cm="1">
        <f t="array" ref="S858">IF(表成绩单[[#This Row],[物理]]="","",SUMPRODUCT((表成绩单[考试日期]=表成绩单[[#This Row],[考试日期]])*(表成绩单[物理]&lt;9E+307)*(表成绩单[物理]&gt;表成绩单[[#This Row],[物理]]))+1)</f>
        <v>26</v>
      </c>
      <c r="T858" s="29" cm="1">
        <f t="array" ref="T858">IF(表成绩单[[#This Row],[化学]]="","",SUMPRODUCT((表成绩单[考试日期]=表成绩单[[#This Row],[考试日期]])*(表成绩单[化学]&lt;9E+307)*(表成绩单[化学]&gt;表成绩单[[#This Row],[化学]]))+1)</f>
        <v>2</v>
      </c>
      <c r="U858" s="29" cm="1">
        <f t="array" ref="U858">IF(表成绩单[[#This Row],[政治]]="","",SUMPRODUCT((表成绩单[考试日期]=表成绩单[[#This Row],[考试日期]])*(表成绩单[政治]&lt;9E+307)*(表成绩单[政治]&gt;表成绩单[[#This Row],[政治]]))+1)</f>
        <v>46</v>
      </c>
      <c r="V858" s="29" cm="1">
        <f t="array" ref="V858">IF(表成绩单[[#This Row],[历史]]="","",SUMPRODUCT((表成绩单[考试日期]=表成绩单[[#This Row],[考试日期]])*(表成绩单[历史]&lt;9E+307)*(表成绩单[历史]&gt;表成绩单[[#This Row],[历史]]))+1)</f>
        <v>329</v>
      </c>
      <c r="W858" s="29" cm="1">
        <f t="array" ref="W858">IF(表成绩单[[#This Row],[总分]]="","",SUMPRODUCT((表成绩单[考试日期]=表成绩单[[#This Row],[考试日期]])*(表成绩单[总分]&lt;9E+307)*(表成绩单[总分]&gt;表成绩单[[#This Row],[总分]]))+1)</f>
        <v>52</v>
      </c>
    </row>
    <row r="859" ht="28" customHeight="1" spans="4:23">
      <c r="D859" s="31">
        <v>46003</v>
      </c>
      <c r="E859" s="29">
        <v>19174468</v>
      </c>
      <c r="F859" s="29" t="s">
        <v>73</v>
      </c>
      <c r="G859" s="29" t="s">
        <v>234</v>
      </c>
      <c r="H859" s="29">
        <v>105</v>
      </c>
      <c r="I859" s="29">
        <v>98</v>
      </c>
      <c r="J859" s="29">
        <v>81.5</v>
      </c>
      <c r="K859" s="29">
        <v>96</v>
      </c>
      <c r="L859" s="29">
        <v>96</v>
      </c>
      <c r="M859" s="29">
        <v>76</v>
      </c>
      <c r="N859" s="29">
        <v>83</v>
      </c>
      <c r="O859" s="32">
        <v>635.5</v>
      </c>
      <c r="P859" s="29" cm="1">
        <f t="array" ref="P859">IF(表成绩单[[#This Row],[语文]]="","",SUMPRODUCT((表成绩单[考试日期]=表成绩单[[#This Row],[考试日期]])*(表成绩单[语文]&lt;9E+307)*(表成绩单[语文]&gt;表成绩单[[#This Row],[语文]]))+1)</f>
        <v>247</v>
      </c>
      <c r="Q859" s="29" cm="1">
        <f t="array" ref="Q859">IF(表成绩单[[#This Row],[数学]]="","",SUMPRODUCT((表成绩单[考试日期]=表成绩单[[#This Row],[考试日期]])*(表成绩单[数学]&lt;9E+307)*(表成绩单[数学]&gt;表成绩单[[#This Row],[数学]]))+1)</f>
        <v>93</v>
      </c>
      <c r="R859" s="29" cm="1">
        <f t="array" ref="R859">IF(表成绩单[[#This Row],[英语]]="","",SUMPRODUCT((表成绩单[考试日期]=表成绩单[[#This Row],[考试日期]])*(表成绩单[英语]&lt;9E+307)*(表成绩单[英语]&gt;表成绩单[[#This Row],[英语]]))+1)</f>
        <v>113</v>
      </c>
      <c r="S859" s="29" cm="1">
        <f t="array" ref="S859">IF(表成绩单[[#This Row],[物理]]="","",SUMPRODUCT((表成绩单[考试日期]=表成绩单[[#This Row],[考试日期]])*(表成绩单[物理]&lt;9E+307)*(表成绩单[物理]&gt;表成绩单[[#This Row],[物理]]))+1)</f>
        <v>64</v>
      </c>
      <c r="T859" s="29" cm="1">
        <f t="array" ref="T859">IF(表成绩单[[#This Row],[化学]]="","",SUMPRODUCT((表成绩单[考试日期]=表成绩单[[#This Row],[考试日期]])*(表成绩单[化学]&lt;9E+307)*(表成绩单[化学]&gt;表成绩单[[#This Row],[化学]]))+1)</f>
        <v>24</v>
      </c>
      <c r="U859" s="29" cm="1">
        <f t="array" ref="U859">IF(表成绩单[[#This Row],[政治]]="","",SUMPRODUCT((表成绩单[考试日期]=表成绩单[[#This Row],[考试日期]])*(表成绩单[政治]&lt;9E+307)*(表成绩单[政治]&gt;表成绩单[[#This Row],[政治]]))+1)</f>
        <v>77</v>
      </c>
      <c r="V859" s="29" cm="1">
        <f t="array" ref="V859">IF(表成绩单[[#This Row],[历史]]="","",SUMPRODUCT((表成绩单[考试日期]=表成绩单[[#This Row],[考试日期]])*(表成绩单[历史]&lt;9E+307)*(表成绩单[历史]&gt;表成绩单[[#This Row],[历史]]))+1)</f>
        <v>46</v>
      </c>
      <c r="W859" s="29" cm="1">
        <f t="array" ref="W859">IF(表成绩单[[#This Row],[总分]]="","",SUMPRODUCT((表成绩单[考试日期]=表成绩单[[#This Row],[考试日期]])*(表成绩单[总分]&lt;9E+307)*(表成绩单[总分]&gt;表成绩单[[#This Row],[总分]]))+1)</f>
        <v>54</v>
      </c>
    </row>
    <row r="860" ht="28" customHeight="1" spans="4:23">
      <c r="D860" s="31">
        <v>46003</v>
      </c>
      <c r="E860" s="29">
        <v>19173274</v>
      </c>
      <c r="F860" s="29" t="s">
        <v>61</v>
      </c>
      <c r="G860" s="29" t="s">
        <v>154</v>
      </c>
      <c r="H860" s="29">
        <v>106</v>
      </c>
      <c r="I860" s="29">
        <v>96</v>
      </c>
      <c r="J860" s="29">
        <v>78</v>
      </c>
      <c r="K860" s="29">
        <v>100</v>
      </c>
      <c r="L860" s="29">
        <v>96</v>
      </c>
      <c r="M860" s="29">
        <v>79</v>
      </c>
      <c r="N860" s="29">
        <v>80</v>
      </c>
      <c r="O860" s="32">
        <v>635</v>
      </c>
      <c r="P860" s="29" cm="1">
        <f t="array" ref="P860">IF(表成绩单[[#This Row],[语文]]="","",SUMPRODUCT((表成绩单[考试日期]=表成绩单[[#This Row],[考试日期]])*(表成绩单[语文]&lt;9E+307)*(表成绩单[语文]&gt;表成绩单[[#This Row],[语文]]))+1)</f>
        <v>210</v>
      </c>
      <c r="Q860" s="29" cm="1">
        <f t="array" ref="Q860">IF(表成绩单[[#This Row],[数学]]="","",SUMPRODUCT((表成绩单[考试日期]=表成绩单[[#This Row],[考试日期]])*(表成绩单[数学]&lt;9E+307)*(表成绩单[数学]&gt;表成绩单[[#This Row],[数学]]))+1)</f>
        <v>114</v>
      </c>
      <c r="R860" s="29" cm="1">
        <f t="array" ref="R860">IF(表成绩单[[#This Row],[英语]]="","",SUMPRODUCT((表成绩单[考试日期]=表成绩单[[#This Row],[考试日期]])*(表成绩单[英语]&lt;9E+307)*(表成绩单[英语]&gt;表成绩单[[#This Row],[英语]]))+1)</f>
        <v>214</v>
      </c>
      <c r="S860" s="29" cm="1">
        <f t="array" ref="S860">IF(表成绩单[[#This Row],[物理]]="","",SUMPRODUCT((表成绩单[考试日期]=表成绩单[[#This Row],[考试日期]])*(表成绩单[物理]&lt;9E+307)*(表成绩单[物理]&gt;表成绩单[[#This Row],[物理]]))+1)</f>
        <v>1</v>
      </c>
      <c r="T860" s="29" cm="1">
        <f t="array" ref="T860">IF(表成绩单[[#This Row],[化学]]="","",SUMPRODUCT((表成绩单[考试日期]=表成绩单[[#This Row],[考试日期]])*(表成绩单[化学]&lt;9E+307)*(表成绩单[化学]&gt;表成绩单[[#This Row],[化学]]))+1)</f>
        <v>24</v>
      </c>
      <c r="U860" s="29" cm="1">
        <f t="array" ref="U860">IF(表成绩单[[#This Row],[政治]]="","",SUMPRODUCT((表成绩单[考试日期]=表成绩单[[#This Row],[考试日期]])*(表成绩单[政治]&lt;9E+307)*(表成绩单[政治]&gt;表成绩单[[#This Row],[政治]]))+1)</f>
        <v>36</v>
      </c>
      <c r="V860" s="29" cm="1">
        <f t="array" ref="V860">IF(表成绩单[[#This Row],[历史]]="","",SUMPRODUCT((表成绩单[考试日期]=表成绩单[[#This Row],[考试日期]])*(表成绩单[历史]&lt;9E+307)*(表成绩单[历史]&gt;表成绩单[[#This Row],[历史]]))+1)</f>
        <v>116</v>
      </c>
      <c r="W860" s="29" cm="1">
        <f t="array" ref="W860">IF(表成绩单[[#This Row],[总分]]="","",SUMPRODUCT((表成绩单[考试日期]=表成绩单[[#This Row],[考试日期]])*(表成绩单[总分]&lt;9E+307)*(表成绩单[总分]&gt;表成绩单[[#This Row],[总分]]))+1)</f>
        <v>55</v>
      </c>
    </row>
    <row r="861" ht="28" customHeight="1" spans="4:23">
      <c r="D861" s="31">
        <v>46003</v>
      </c>
      <c r="E861" s="29">
        <v>19175421</v>
      </c>
      <c r="F861" s="29" t="s">
        <v>74</v>
      </c>
      <c r="G861" s="29" t="s">
        <v>198</v>
      </c>
      <c r="H861" s="29">
        <v>102</v>
      </c>
      <c r="I861" s="29">
        <v>105</v>
      </c>
      <c r="J861" s="29">
        <v>83</v>
      </c>
      <c r="K861" s="29">
        <v>96</v>
      </c>
      <c r="L861" s="29">
        <v>97</v>
      </c>
      <c r="M861" s="29">
        <v>70</v>
      </c>
      <c r="N861" s="29">
        <v>82</v>
      </c>
      <c r="O861" s="32">
        <v>635</v>
      </c>
      <c r="P861" s="29" cm="1">
        <f t="array" ref="P861">IF(表成绩单[[#This Row],[语文]]="","",SUMPRODUCT((表成绩单[考试日期]=表成绩单[[#This Row],[考试日期]])*(表成绩单[语文]&lt;9E+307)*(表成绩单[语文]&gt;表成绩单[[#This Row],[语文]]))+1)</f>
        <v>366</v>
      </c>
      <c r="Q861" s="29" cm="1">
        <f t="array" ref="Q861">IF(表成绩单[[#This Row],[数学]]="","",SUMPRODUCT((表成绩单[考试日期]=表成绩单[[#This Row],[考试日期]])*(表成绩单[数学]&lt;9E+307)*(表成绩单[数学]&gt;表成绩单[[#This Row],[数学]]))+1)</f>
        <v>33</v>
      </c>
      <c r="R861" s="29" cm="1">
        <f t="array" ref="R861">IF(表成绩单[[#This Row],[英语]]="","",SUMPRODUCT((表成绩单[考试日期]=表成绩单[[#This Row],[考试日期]])*(表成绩单[英语]&lt;9E+307)*(表成绩单[英语]&gt;表成绩单[[#This Row],[英语]]))+1)</f>
        <v>70</v>
      </c>
      <c r="S861" s="29" cm="1">
        <f t="array" ref="S861">IF(表成绩单[[#This Row],[物理]]="","",SUMPRODUCT((表成绩单[考试日期]=表成绩单[[#This Row],[考试日期]])*(表成绩单[物理]&lt;9E+307)*(表成绩单[物理]&gt;表成绩单[[#This Row],[物理]]))+1)</f>
        <v>64</v>
      </c>
      <c r="T861" s="29" cm="1">
        <f t="array" ref="T861">IF(表成绩单[[#This Row],[化学]]="","",SUMPRODUCT((表成绩单[考试日期]=表成绩单[[#This Row],[考试日期]])*(表成绩单[化学]&lt;9E+307)*(表成绩单[化学]&gt;表成绩单[[#This Row],[化学]]))+1)</f>
        <v>13</v>
      </c>
      <c r="U861" s="29" cm="1">
        <f t="array" ref="U861">IF(表成绩单[[#This Row],[政治]]="","",SUMPRODUCT((表成绩单[考试日期]=表成绩单[[#This Row],[考试日期]])*(表成绩单[政治]&lt;9E+307)*(表成绩单[政治]&gt;表成绩单[[#This Row],[政治]]))+1)</f>
        <v>184</v>
      </c>
      <c r="V861" s="29" cm="1">
        <f t="array" ref="V861">IF(表成绩单[[#This Row],[历史]]="","",SUMPRODUCT((表成绩单[考试日期]=表成绩单[[#This Row],[考试日期]])*(表成绩单[历史]&lt;9E+307)*(表成绩单[历史]&gt;表成绩单[[#This Row],[历史]]))+1)</f>
        <v>66</v>
      </c>
      <c r="W861" s="29" cm="1">
        <f t="array" ref="W861">IF(表成绩单[[#This Row],[总分]]="","",SUMPRODUCT((表成绩单[考试日期]=表成绩单[[#This Row],[考试日期]])*(表成绩单[总分]&lt;9E+307)*(表成绩单[总分]&gt;表成绩单[[#This Row],[总分]]))+1)</f>
        <v>55</v>
      </c>
    </row>
    <row r="862" ht="28" customHeight="1" spans="4:23">
      <c r="D862" s="31">
        <v>46003</v>
      </c>
      <c r="E862" s="29">
        <v>19175654</v>
      </c>
      <c r="F862" s="29" t="s">
        <v>66</v>
      </c>
      <c r="G862" s="29" t="s">
        <v>225</v>
      </c>
      <c r="H862" s="29">
        <v>113</v>
      </c>
      <c r="I862" s="29">
        <v>93</v>
      </c>
      <c r="J862" s="29">
        <v>84</v>
      </c>
      <c r="K862" s="29">
        <v>83</v>
      </c>
      <c r="L862" s="29">
        <v>99</v>
      </c>
      <c r="M862" s="29">
        <v>75</v>
      </c>
      <c r="N862" s="29">
        <v>88</v>
      </c>
      <c r="O862" s="32">
        <v>635</v>
      </c>
      <c r="P862" s="29" cm="1">
        <f t="array" ref="P862">IF(表成绩单[[#This Row],[语文]]="","",SUMPRODUCT((表成绩单[考试日期]=表成绩单[[#This Row],[考试日期]])*(表成绩单[语文]&lt;9E+307)*(表成绩单[语文]&gt;表成绩单[[#This Row],[语文]]))+1)</f>
        <v>22</v>
      </c>
      <c r="Q862" s="29" cm="1">
        <f t="array" ref="Q862">IF(表成绩单[[#This Row],[数学]]="","",SUMPRODUCT((表成绩单[考试日期]=表成绩单[[#This Row],[考试日期]])*(表成绩单[数学]&lt;9E+307)*(表成绩单[数学]&gt;表成绩单[[#This Row],[数学]]))+1)</f>
        <v>155</v>
      </c>
      <c r="R862" s="29" cm="1">
        <f t="array" ref="R862">IF(表成绩单[[#This Row],[英语]]="","",SUMPRODUCT((表成绩单[考试日期]=表成绩单[[#This Row],[考试日期]])*(表成绩单[英语]&lt;9E+307)*(表成绩单[英语]&gt;表成绩单[[#This Row],[英语]]))+1)</f>
        <v>48</v>
      </c>
      <c r="S862" s="29" cm="1">
        <f t="array" ref="S862">IF(表成绩单[[#This Row],[物理]]="","",SUMPRODUCT((表成绩单[考试日期]=表成绩单[[#This Row],[考试日期]])*(表成绩单[物理]&lt;9E+307)*(表成绩单[物理]&gt;表成绩单[[#This Row],[物理]]))+1)</f>
        <v>376</v>
      </c>
      <c r="T862" s="29" cm="1">
        <f t="array" ref="T862">IF(表成绩单[[#This Row],[化学]]="","",SUMPRODUCT((表成绩单[考试日期]=表成绩单[[#This Row],[考试日期]])*(表成绩单[化学]&lt;9E+307)*(表成绩单[化学]&gt;表成绩单[[#This Row],[化学]]))+1)</f>
        <v>2</v>
      </c>
      <c r="U862" s="29" cm="1">
        <f t="array" ref="U862">IF(表成绩单[[#This Row],[政治]]="","",SUMPRODUCT((表成绩单[考试日期]=表成绩单[[#This Row],[考试日期]])*(表成绩单[政治]&lt;9E+307)*(表成绩单[政治]&gt;表成绩单[[#This Row],[政治]]))+1)</f>
        <v>102</v>
      </c>
      <c r="V862" s="29" cm="1">
        <f t="array" ref="V862">IF(表成绩单[[#This Row],[历史]]="","",SUMPRODUCT((表成绩单[考试日期]=表成绩单[[#This Row],[考试日期]])*(表成绩单[历史]&lt;9E+307)*(表成绩单[历史]&gt;表成绩单[[#This Row],[历史]]))+1)</f>
        <v>1</v>
      </c>
      <c r="W862" s="29" cm="1">
        <f t="array" ref="W862">IF(表成绩单[[#This Row],[总分]]="","",SUMPRODUCT((表成绩单[考试日期]=表成绩单[[#This Row],[考试日期]])*(表成绩单[总分]&lt;9E+307)*(表成绩单[总分]&gt;表成绩单[[#This Row],[总分]]))+1)</f>
        <v>55</v>
      </c>
    </row>
    <row r="863" ht="28" customHeight="1" spans="4:23">
      <c r="D863" s="31">
        <v>46003</v>
      </c>
      <c r="E863" s="29">
        <v>19177223</v>
      </c>
      <c r="F863" s="29" t="s">
        <v>70</v>
      </c>
      <c r="G863" s="29" t="s">
        <v>171</v>
      </c>
      <c r="H863" s="29">
        <v>109</v>
      </c>
      <c r="I863" s="29">
        <v>98</v>
      </c>
      <c r="J863" s="29">
        <v>86</v>
      </c>
      <c r="K863" s="29">
        <v>96</v>
      </c>
      <c r="L863" s="29">
        <v>89</v>
      </c>
      <c r="M863" s="29">
        <v>76</v>
      </c>
      <c r="N863" s="29">
        <v>81</v>
      </c>
      <c r="O863" s="32">
        <v>635</v>
      </c>
      <c r="P863" s="29" cm="1">
        <f t="array" ref="P863">IF(表成绩单[[#This Row],[语文]]="","",SUMPRODUCT((表成绩单[考试日期]=表成绩单[[#This Row],[考试日期]])*(表成绩单[语文]&lt;9E+307)*(表成绩单[语文]&gt;表成绩单[[#This Row],[语文]]))+1)</f>
        <v>111</v>
      </c>
      <c r="Q863" s="29" cm="1">
        <f t="array" ref="Q863">IF(表成绩单[[#This Row],[数学]]="","",SUMPRODUCT((表成绩单[考试日期]=表成绩单[[#This Row],[考试日期]])*(表成绩单[数学]&lt;9E+307)*(表成绩单[数学]&gt;表成绩单[[#This Row],[数学]]))+1)</f>
        <v>93</v>
      </c>
      <c r="R863" s="29" cm="1">
        <f t="array" ref="R863">IF(表成绩单[[#This Row],[英语]]="","",SUMPRODUCT((表成绩单[考试日期]=表成绩单[[#This Row],[考试日期]])*(表成绩单[英语]&lt;9E+307)*(表成绩单[英语]&gt;表成绩单[[#This Row],[英语]]))+1)</f>
        <v>16</v>
      </c>
      <c r="S863" s="29" cm="1">
        <f t="array" ref="S863">IF(表成绩单[[#This Row],[物理]]="","",SUMPRODUCT((表成绩单[考试日期]=表成绩单[[#This Row],[考试日期]])*(表成绩单[物理]&lt;9E+307)*(表成绩单[物理]&gt;表成绩单[[#This Row],[物理]]))+1)</f>
        <v>64</v>
      </c>
      <c r="T863" s="29" cm="1">
        <f t="array" ref="T863">IF(表成绩单[[#This Row],[化学]]="","",SUMPRODUCT((表成绩单[考试日期]=表成绩单[[#This Row],[考试日期]])*(表成绩单[化学]&lt;9E+307)*(表成绩单[化学]&gt;表成绩单[[#This Row],[化学]]))+1)</f>
        <v>157</v>
      </c>
      <c r="U863" s="29" cm="1">
        <f t="array" ref="U863">IF(表成绩单[[#This Row],[政治]]="","",SUMPRODUCT((表成绩单[考试日期]=表成绩单[[#This Row],[考试日期]])*(表成绩单[政治]&lt;9E+307)*(表成绩单[政治]&gt;表成绩单[[#This Row],[政治]]))+1)</f>
        <v>77</v>
      </c>
      <c r="V863" s="29" cm="1">
        <f t="array" ref="V863">IF(表成绩单[[#This Row],[历史]]="","",SUMPRODUCT((表成绩单[考试日期]=表成绩单[[#This Row],[考试日期]])*(表成绩单[历史]&lt;9E+307)*(表成绩单[历史]&gt;表成绩单[[#This Row],[历史]]))+1)</f>
        <v>92</v>
      </c>
      <c r="W863" s="29" cm="1">
        <f t="array" ref="W863">IF(表成绩单[[#This Row],[总分]]="","",SUMPRODUCT((表成绩单[考试日期]=表成绩单[[#This Row],[考试日期]])*(表成绩单[总分]&lt;9E+307)*(表成绩单[总分]&gt;表成绩单[[#This Row],[总分]]))+1)</f>
        <v>55</v>
      </c>
    </row>
    <row r="864" ht="28" customHeight="1" spans="4:23">
      <c r="D864" s="31">
        <v>46003</v>
      </c>
      <c r="E864" s="29">
        <v>19177233</v>
      </c>
      <c r="F864" s="29" t="s">
        <v>70</v>
      </c>
      <c r="G864" s="29" t="s">
        <v>164</v>
      </c>
      <c r="H864" s="29">
        <v>112</v>
      </c>
      <c r="I864" s="29">
        <v>86</v>
      </c>
      <c r="J864" s="29">
        <v>83</v>
      </c>
      <c r="K864" s="29">
        <v>98</v>
      </c>
      <c r="L864" s="29">
        <v>94</v>
      </c>
      <c r="M864" s="29">
        <v>79</v>
      </c>
      <c r="N864" s="29">
        <v>83</v>
      </c>
      <c r="O864" s="32">
        <v>635</v>
      </c>
      <c r="P864" s="29" cm="1">
        <f t="array" ref="P864">IF(表成绩单[[#This Row],[语文]]="","",SUMPRODUCT((表成绩单[考试日期]=表成绩单[[#This Row],[考试日期]])*(表成绩单[语文]&lt;9E+307)*(表成绩单[语文]&gt;表成绩单[[#This Row],[语文]]))+1)</f>
        <v>36</v>
      </c>
      <c r="Q864" s="29" cm="1">
        <f t="array" ref="Q864">IF(表成绩单[[#This Row],[数学]]="","",SUMPRODUCT((表成绩单[考试日期]=表成绩单[[#This Row],[考试日期]])*(表成绩单[数学]&lt;9E+307)*(表成绩单[数学]&gt;表成绩单[[#This Row],[数学]]))+1)</f>
        <v>231</v>
      </c>
      <c r="R864" s="29" cm="1">
        <f t="array" ref="R864">IF(表成绩单[[#This Row],[英语]]="","",SUMPRODUCT((表成绩单[考试日期]=表成绩单[[#This Row],[考试日期]])*(表成绩单[英语]&lt;9E+307)*(表成绩单[英语]&gt;表成绩单[[#This Row],[英语]]))+1)</f>
        <v>70</v>
      </c>
      <c r="S864" s="29" cm="1">
        <f t="array" ref="S864">IF(表成绩单[[#This Row],[物理]]="","",SUMPRODUCT((表成绩单[考试日期]=表成绩单[[#This Row],[考试日期]])*(表成绩单[物理]&lt;9E+307)*(表成绩单[物理]&gt;表成绩单[[#This Row],[物理]]))+1)</f>
        <v>26</v>
      </c>
      <c r="T864" s="29" cm="1">
        <f t="array" ref="T864">IF(表成绩单[[#This Row],[化学]]="","",SUMPRODUCT((表成绩单[考试日期]=表成绩单[[#This Row],[考试日期]])*(表成绩单[化学]&lt;9E+307)*(表成绩单[化学]&gt;表成绩单[[#This Row],[化学]]))+1)</f>
        <v>56</v>
      </c>
      <c r="U864" s="29" cm="1">
        <f t="array" ref="U864">IF(表成绩单[[#This Row],[政治]]="","",SUMPRODUCT((表成绩单[考试日期]=表成绩单[[#This Row],[考试日期]])*(表成绩单[政治]&lt;9E+307)*(表成绩单[政治]&gt;表成绩单[[#This Row],[政治]]))+1)</f>
        <v>36</v>
      </c>
      <c r="V864" s="29" cm="1">
        <f t="array" ref="V864">IF(表成绩单[[#This Row],[历史]]="","",SUMPRODUCT((表成绩单[考试日期]=表成绩单[[#This Row],[考试日期]])*(表成绩单[历史]&lt;9E+307)*(表成绩单[历史]&gt;表成绩单[[#This Row],[历史]]))+1)</f>
        <v>46</v>
      </c>
      <c r="W864" s="29" cm="1">
        <f t="array" ref="W864">IF(表成绩单[[#This Row],[总分]]="","",SUMPRODUCT((表成绩单[考试日期]=表成绩单[[#This Row],[考试日期]])*(表成绩单[总分]&lt;9E+307)*(表成绩单[总分]&gt;表成绩单[[#This Row],[总分]]))+1)</f>
        <v>55</v>
      </c>
    </row>
    <row r="865" ht="28" customHeight="1" spans="4:23">
      <c r="D865" s="31">
        <v>46003</v>
      </c>
      <c r="E865" s="29">
        <v>19175401</v>
      </c>
      <c r="F865" s="29" t="s">
        <v>74</v>
      </c>
      <c r="G865" s="29" t="s">
        <v>101</v>
      </c>
      <c r="H865" s="29">
        <v>105</v>
      </c>
      <c r="I865" s="29">
        <v>101</v>
      </c>
      <c r="J865" s="29">
        <v>83.5</v>
      </c>
      <c r="K865" s="29">
        <v>98</v>
      </c>
      <c r="L865" s="29">
        <v>95</v>
      </c>
      <c r="M865" s="29">
        <v>70</v>
      </c>
      <c r="N865" s="29">
        <v>82</v>
      </c>
      <c r="O865" s="32">
        <v>634.5</v>
      </c>
      <c r="P865" s="29" cm="1">
        <f t="array" ref="P865">IF(表成绩单[[#This Row],[语文]]="","",SUMPRODUCT((表成绩单[考试日期]=表成绩单[[#This Row],[考试日期]])*(表成绩单[语文]&lt;9E+307)*(表成绩单[语文]&gt;表成绩单[[#This Row],[语文]]))+1)</f>
        <v>247</v>
      </c>
      <c r="Q865" s="29" cm="1">
        <f t="array" ref="Q865">IF(表成绩单[[#This Row],[数学]]="","",SUMPRODUCT((表成绩单[考试日期]=表成绩单[[#This Row],[考试日期]])*(表成绩单[数学]&lt;9E+307)*(表成绩单[数学]&gt;表成绩单[[#This Row],[数学]]))+1)</f>
        <v>68</v>
      </c>
      <c r="R865" s="29" cm="1">
        <f t="array" ref="R865">IF(表成绩单[[#This Row],[英语]]="","",SUMPRODUCT((表成绩单[考试日期]=表成绩单[[#This Row],[考试日期]])*(表成绩单[英语]&lt;9E+307)*(表成绩单[英语]&gt;表成绩单[[#This Row],[英语]]))+1)</f>
        <v>57</v>
      </c>
      <c r="S865" s="29" cm="1">
        <f t="array" ref="S865">IF(表成绩单[[#This Row],[物理]]="","",SUMPRODUCT((表成绩单[考试日期]=表成绩单[[#This Row],[考试日期]])*(表成绩单[物理]&lt;9E+307)*(表成绩单[物理]&gt;表成绩单[[#This Row],[物理]]))+1)</f>
        <v>26</v>
      </c>
      <c r="T865" s="29" cm="1">
        <f t="array" ref="T865">IF(表成绩单[[#This Row],[化学]]="","",SUMPRODUCT((表成绩单[考试日期]=表成绩单[[#This Row],[考试日期]])*(表成绩单[化学]&lt;9E+307)*(表成绩单[化学]&gt;表成绩单[[#This Row],[化学]]))+1)</f>
        <v>37</v>
      </c>
      <c r="U865" s="29" cm="1">
        <f t="array" ref="U865">IF(表成绩单[[#This Row],[政治]]="","",SUMPRODUCT((表成绩单[考试日期]=表成绩单[[#This Row],[考试日期]])*(表成绩单[政治]&lt;9E+307)*(表成绩单[政治]&gt;表成绩单[[#This Row],[政治]]))+1)</f>
        <v>184</v>
      </c>
      <c r="V865" s="29" cm="1">
        <f t="array" ref="V865">IF(表成绩单[[#This Row],[历史]]="","",SUMPRODUCT((表成绩单[考试日期]=表成绩单[[#This Row],[考试日期]])*(表成绩单[历史]&lt;9E+307)*(表成绩单[历史]&gt;表成绩单[[#This Row],[历史]]))+1)</f>
        <v>66</v>
      </c>
      <c r="W865" s="29" cm="1">
        <f t="array" ref="W865">IF(表成绩单[[#This Row],[总分]]="","",SUMPRODUCT((表成绩单[考试日期]=表成绩单[[#This Row],[考试日期]])*(表成绩单[总分]&lt;9E+307)*(表成绩单[总分]&gt;表成绩单[[#This Row],[总分]]))+1)</f>
        <v>60</v>
      </c>
    </row>
    <row r="866" ht="28" customHeight="1" spans="4:23">
      <c r="D866" s="31">
        <v>46003</v>
      </c>
      <c r="E866" s="29">
        <v>19175410</v>
      </c>
      <c r="F866" s="29" t="s">
        <v>74</v>
      </c>
      <c r="G866" s="29" t="s">
        <v>146</v>
      </c>
      <c r="H866" s="29">
        <v>118</v>
      </c>
      <c r="I866" s="29">
        <v>95</v>
      </c>
      <c r="J866" s="29">
        <v>83.5</v>
      </c>
      <c r="K866" s="29">
        <v>94</v>
      </c>
      <c r="L866" s="29">
        <v>88</v>
      </c>
      <c r="M866" s="29">
        <v>73</v>
      </c>
      <c r="N866" s="29">
        <v>83</v>
      </c>
      <c r="O866" s="32">
        <v>634.5</v>
      </c>
      <c r="P866" s="29" cm="1">
        <f t="array" ref="P866">IF(表成绩单[[#This Row],[语文]]="","",SUMPRODUCT((表成绩单[考试日期]=表成绩单[[#This Row],[考试日期]])*(表成绩单[语文]&lt;9E+307)*(表成绩单[语文]&gt;表成绩单[[#This Row],[语文]]))+1)</f>
        <v>1</v>
      </c>
      <c r="Q866" s="29" cm="1">
        <f t="array" ref="Q866">IF(表成绩单[[#This Row],[数学]]="","",SUMPRODUCT((表成绩单[考试日期]=表成绩单[[#This Row],[考试日期]])*(表成绩单[数学]&lt;9E+307)*(表成绩单[数学]&gt;表成绩单[[#This Row],[数学]]))+1)</f>
        <v>122</v>
      </c>
      <c r="R866" s="29" cm="1">
        <f t="array" ref="R866">IF(表成绩单[[#This Row],[英语]]="","",SUMPRODUCT((表成绩单[考试日期]=表成绩单[[#This Row],[考试日期]])*(表成绩单[英语]&lt;9E+307)*(表成绩单[英语]&gt;表成绩单[[#This Row],[英语]]))+1)</f>
        <v>57</v>
      </c>
      <c r="S866" s="29" cm="1">
        <f t="array" ref="S866">IF(表成绩单[[#This Row],[物理]]="","",SUMPRODUCT((表成绩单[考试日期]=表成绩单[[#This Row],[考试日期]])*(表成绩单[物理]&lt;9E+307)*(表成绩单[物理]&gt;表成绩单[[#This Row],[物理]]))+1)</f>
        <v>125</v>
      </c>
      <c r="T866" s="29" cm="1">
        <f t="array" ref="T866">IF(表成绩单[[#This Row],[化学]]="","",SUMPRODUCT((表成绩单[考试日期]=表成绩单[[#This Row],[考试日期]])*(表成绩单[化学]&lt;9E+307)*(表成绩单[化学]&gt;表成绩单[[#This Row],[化学]]))+1)</f>
        <v>175</v>
      </c>
      <c r="U866" s="29" cm="1">
        <f t="array" ref="U866">IF(表成绩单[[#This Row],[政治]]="","",SUMPRODUCT((表成绩单[考试日期]=表成绩单[[#This Row],[考试日期]])*(表成绩单[政治]&lt;9E+307)*(表成绩单[政治]&gt;表成绩单[[#This Row],[政治]]))+1)</f>
        <v>139</v>
      </c>
      <c r="V866" s="29" cm="1">
        <f t="array" ref="V866">IF(表成绩单[[#This Row],[历史]]="","",SUMPRODUCT((表成绩单[考试日期]=表成绩单[[#This Row],[考试日期]])*(表成绩单[历史]&lt;9E+307)*(表成绩单[历史]&gt;表成绩单[[#This Row],[历史]]))+1)</f>
        <v>46</v>
      </c>
      <c r="W866" s="29" cm="1">
        <f t="array" ref="W866">IF(表成绩单[[#This Row],[总分]]="","",SUMPRODUCT((表成绩单[考试日期]=表成绩单[[#This Row],[考试日期]])*(表成绩单[总分]&lt;9E+307)*(表成绩单[总分]&gt;表成绩单[[#This Row],[总分]]))+1)</f>
        <v>60</v>
      </c>
    </row>
    <row r="867" ht="28" customHeight="1" spans="4:23">
      <c r="D867" s="31">
        <v>46003</v>
      </c>
      <c r="E867" s="29">
        <v>19174472</v>
      </c>
      <c r="F867" s="29" t="s">
        <v>73</v>
      </c>
      <c r="G867" s="29" t="s">
        <v>186</v>
      </c>
      <c r="H867" s="29">
        <v>117</v>
      </c>
      <c r="I867" s="29">
        <v>95</v>
      </c>
      <c r="J867" s="29">
        <v>87</v>
      </c>
      <c r="K867" s="29">
        <v>94</v>
      </c>
      <c r="L867" s="29">
        <v>95</v>
      </c>
      <c r="M867" s="29">
        <v>68</v>
      </c>
      <c r="N867" s="29">
        <v>78</v>
      </c>
      <c r="O867" s="32">
        <v>634</v>
      </c>
      <c r="P867" s="29" cm="1">
        <f t="array" ref="P867">IF(表成绩单[[#This Row],[语文]]="","",SUMPRODUCT((表成绩单[考试日期]=表成绩单[[#This Row],[考试日期]])*(表成绩单[语文]&lt;9E+307)*(表成绩单[语文]&gt;表成绩单[[#This Row],[语文]]))+1)</f>
        <v>3</v>
      </c>
      <c r="Q867" s="29" cm="1">
        <f t="array" ref="Q867">IF(表成绩单[[#This Row],[数学]]="","",SUMPRODUCT((表成绩单[考试日期]=表成绩单[[#This Row],[考试日期]])*(表成绩单[数学]&lt;9E+307)*(表成绩单[数学]&gt;表成绩单[[#This Row],[数学]]))+1)</f>
        <v>122</v>
      </c>
      <c r="R867" s="29" cm="1">
        <f t="array" ref="R867">IF(表成绩单[[#This Row],[英语]]="","",SUMPRODUCT((表成绩单[考试日期]=表成绩单[[#This Row],[考试日期]])*(表成绩单[英语]&lt;9E+307)*(表成绩单[英语]&gt;表成绩单[[#This Row],[英语]]))+1)</f>
        <v>10</v>
      </c>
      <c r="S867" s="29" cm="1">
        <f t="array" ref="S867">IF(表成绩单[[#This Row],[物理]]="","",SUMPRODUCT((表成绩单[考试日期]=表成绩单[[#This Row],[考试日期]])*(表成绩单[物理]&lt;9E+307)*(表成绩单[物理]&gt;表成绩单[[#This Row],[物理]]))+1)</f>
        <v>125</v>
      </c>
      <c r="T867" s="29" cm="1">
        <f t="array" ref="T867">IF(表成绩单[[#This Row],[化学]]="","",SUMPRODUCT((表成绩单[考试日期]=表成绩单[[#This Row],[考试日期]])*(表成绩单[化学]&lt;9E+307)*(表成绩单[化学]&gt;表成绩单[[#This Row],[化学]]))+1)</f>
        <v>37</v>
      </c>
      <c r="U867" s="29" cm="1">
        <f t="array" ref="U867">IF(表成绩单[[#This Row],[政治]]="","",SUMPRODUCT((表成绩单[考试日期]=表成绩单[[#This Row],[考试日期]])*(表成绩单[政治]&lt;9E+307)*(表成绩单[政治]&gt;表成绩单[[#This Row],[政治]]))+1)</f>
        <v>237</v>
      </c>
      <c r="V867" s="29" cm="1">
        <f t="array" ref="V867">IF(表成绩单[[#This Row],[历史]]="","",SUMPRODUCT((表成绩单[考试日期]=表成绩单[[#This Row],[考试日期]])*(表成绩单[历史]&lt;9E+307)*(表成绩单[历史]&gt;表成绩单[[#This Row],[历史]]))+1)</f>
        <v>190</v>
      </c>
      <c r="W867" s="29" cm="1">
        <f t="array" ref="W867">IF(表成绩单[[#This Row],[总分]]="","",SUMPRODUCT((表成绩单[考试日期]=表成绩单[[#This Row],[考试日期]])*(表成绩单[总分]&lt;9E+307)*(表成绩单[总分]&gt;表成绩单[[#This Row],[总分]]))+1)</f>
        <v>62</v>
      </c>
    </row>
    <row r="868" ht="28" customHeight="1" spans="4:23">
      <c r="D868" s="31">
        <v>46003</v>
      </c>
      <c r="E868" s="29">
        <v>19177196</v>
      </c>
      <c r="F868" s="29" t="s">
        <v>70</v>
      </c>
      <c r="G868" s="29" t="s">
        <v>93</v>
      </c>
      <c r="H868" s="29">
        <v>116</v>
      </c>
      <c r="I868" s="29">
        <v>93</v>
      </c>
      <c r="J868" s="29">
        <v>84</v>
      </c>
      <c r="K868" s="29">
        <v>94</v>
      </c>
      <c r="L868" s="29">
        <v>94</v>
      </c>
      <c r="M868" s="29">
        <v>75</v>
      </c>
      <c r="N868" s="29">
        <v>78</v>
      </c>
      <c r="O868" s="32">
        <v>634</v>
      </c>
      <c r="P868" s="29" cm="1">
        <f t="array" ref="P868">IF(表成绩单[[#This Row],[语文]]="","",SUMPRODUCT((表成绩单[考试日期]=表成绩单[[#This Row],[考试日期]])*(表成绩单[语文]&lt;9E+307)*(表成绩单[语文]&gt;表成绩单[[#This Row],[语文]]))+1)</f>
        <v>5</v>
      </c>
      <c r="Q868" s="29" cm="1">
        <f t="array" ref="Q868">IF(表成绩单[[#This Row],[数学]]="","",SUMPRODUCT((表成绩单[考试日期]=表成绩单[[#This Row],[考试日期]])*(表成绩单[数学]&lt;9E+307)*(表成绩单[数学]&gt;表成绩单[[#This Row],[数学]]))+1)</f>
        <v>155</v>
      </c>
      <c r="R868" s="29" cm="1">
        <f t="array" ref="R868">IF(表成绩单[[#This Row],[英语]]="","",SUMPRODUCT((表成绩单[考试日期]=表成绩单[[#This Row],[考试日期]])*(表成绩单[英语]&lt;9E+307)*(表成绩单[英语]&gt;表成绩单[[#This Row],[英语]]))+1)</f>
        <v>48</v>
      </c>
      <c r="S868" s="29" cm="1">
        <f t="array" ref="S868">IF(表成绩单[[#This Row],[物理]]="","",SUMPRODUCT((表成绩单[考试日期]=表成绩单[[#This Row],[考试日期]])*(表成绩单[物理]&lt;9E+307)*(表成绩单[物理]&gt;表成绩单[[#This Row],[物理]]))+1)</f>
        <v>125</v>
      </c>
      <c r="T868" s="29" cm="1">
        <f t="array" ref="T868">IF(表成绩单[[#This Row],[化学]]="","",SUMPRODUCT((表成绩单[考试日期]=表成绩单[[#This Row],[考试日期]])*(表成绩单[化学]&lt;9E+307)*(表成绩单[化学]&gt;表成绩单[[#This Row],[化学]]))+1)</f>
        <v>56</v>
      </c>
      <c r="U868" s="29" cm="1">
        <f t="array" ref="U868">IF(表成绩单[[#This Row],[政治]]="","",SUMPRODUCT((表成绩单[考试日期]=表成绩单[[#This Row],[考试日期]])*(表成绩单[政治]&lt;9E+307)*(表成绩单[政治]&gt;表成绩单[[#This Row],[政治]]))+1)</f>
        <v>102</v>
      </c>
      <c r="V868" s="29" cm="1">
        <f t="array" ref="V868">IF(表成绩单[[#This Row],[历史]]="","",SUMPRODUCT((表成绩单[考试日期]=表成绩单[[#This Row],[考试日期]])*(表成绩单[历史]&lt;9E+307)*(表成绩单[历史]&gt;表成绩单[[#This Row],[历史]]))+1)</f>
        <v>190</v>
      </c>
      <c r="W868" s="29" cm="1">
        <f t="array" ref="W868">IF(表成绩单[[#This Row],[总分]]="","",SUMPRODUCT((表成绩单[考试日期]=表成绩单[[#This Row],[考试日期]])*(表成绩单[总分]&lt;9E+307)*(表成绩单[总分]&gt;表成绩单[[#This Row],[总分]]))+1)</f>
        <v>62</v>
      </c>
    </row>
    <row r="869" ht="28" customHeight="1" spans="4:23">
      <c r="D869" s="31">
        <v>46003</v>
      </c>
      <c r="E869" s="29">
        <v>19175697</v>
      </c>
      <c r="F869" s="29" t="s">
        <v>72</v>
      </c>
      <c r="G869" s="29" t="s">
        <v>135</v>
      </c>
      <c r="H869" s="29">
        <v>112</v>
      </c>
      <c r="I869" s="29">
        <v>97</v>
      </c>
      <c r="J869" s="29">
        <v>85.5</v>
      </c>
      <c r="K869" s="29">
        <v>95</v>
      </c>
      <c r="L869" s="29">
        <v>90</v>
      </c>
      <c r="M869" s="29">
        <v>68</v>
      </c>
      <c r="N869" s="29">
        <v>85</v>
      </c>
      <c r="O869" s="32">
        <v>632.5</v>
      </c>
      <c r="P869" s="29" cm="1">
        <f t="array" ref="P869">IF(表成绩单[[#This Row],[语文]]="","",SUMPRODUCT((表成绩单[考试日期]=表成绩单[[#This Row],[考试日期]])*(表成绩单[语文]&lt;9E+307)*(表成绩单[语文]&gt;表成绩单[[#This Row],[语文]]))+1)</f>
        <v>36</v>
      </c>
      <c r="Q869" s="29" cm="1">
        <f t="array" ref="Q869">IF(表成绩单[[#This Row],[数学]]="","",SUMPRODUCT((表成绩单[考试日期]=表成绩单[[#This Row],[考试日期]])*(表成绩单[数学]&lt;9E+307)*(表成绩单[数学]&gt;表成绩单[[#This Row],[数学]]))+1)</f>
        <v>104</v>
      </c>
      <c r="R869" s="29" cm="1">
        <f t="array" ref="R869">IF(表成绩单[[#This Row],[英语]]="","",SUMPRODUCT((表成绩单[考试日期]=表成绩单[[#This Row],[考试日期]])*(表成绩单[英语]&lt;9E+307)*(表成绩单[英语]&gt;表成绩单[[#This Row],[英语]]))+1)</f>
        <v>26</v>
      </c>
      <c r="S869" s="29" cm="1">
        <f t="array" ref="S869">IF(表成绩单[[#This Row],[物理]]="","",SUMPRODUCT((表成绩单[考试日期]=表成绩单[[#This Row],[考试日期]])*(表成绩单[物理]&lt;9E+307)*(表成绩单[物理]&gt;表成绩单[[#This Row],[物理]]))+1)</f>
        <v>97</v>
      </c>
      <c r="T869" s="29" cm="1">
        <f t="array" ref="T869">IF(表成绩单[[#This Row],[化学]]="","",SUMPRODUCT((表成绩单[考试日期]=表成绩单[[#This Row],[考试日期]])*(表成绩单[化学]&lt;9E+307)*(表成绩单[化学]&gt;表成绩单[[#This Row],[化学]]))+1)</f>
        <v>140</v>
      </c>
      <c r="U869" s="29" cm="1">
        <f t="array" ref="U869">IF(表成绩单[[#This Row],[政治]]="","",SUMPRODUCT((表成绩单[考试日期]=表成绩单[[#This Row],[考试日期]])*(表成绩单[政治]&lt;9E+307)*(表成绩单[政治]&gt;表成绩单[[#This Row],[政治]]))+1)</f>
        <v>237</v>
      </c>
      <c r="V869" s="29" cm="1">
        <f t="array" ref="V869">IF(表成绩单[[#This Row],[历史]]="","",SUMPRODUCT((表成绩单[考试日期]=表成绩单[[#This Row],[考试日期]])*(表成绩单[历史]&lt;9E+307)*(表成绩单[历史]&gt;表成绩单[[#This Row],[历史]]))+1)</f>
        <v>12</v>
      </c>
      <c r="W869" s="29" cm="1">
        <f t="array" ref="W869">IF(表成绩单[[#This Row],[总分]]="","",SUMPRODUCT((表成绩单[考试日期]=表成绩单[[#This Row],[考试日期]])*(表成绩单[总分]&lt;9E+307)*(表成绩单[总分]&gt;表成绩单[[#This Row],[总分]]))+1)</f>
        <v>64</v>
      </c>
    </row>
    <row r="870" ht="28" customHeight="1" spans="4:23">
      <c r="D870" s="31">
        <v>46003</v>
      </c>
      <c r="E870" s="29">
        <v>19173520</v>
      </c>
      <c r="F870" s="29" t="s">
        <v>1</v>
      </c>
      <c r="G870" s="29" t="s">
        <v>144</v>
      </c>
      <c r="H870" s="29">
        <v>111</v>
      </c>
      <c r="I870" s="29">
        <v>102</v>
      </c>
      <c r="J870" s="29">
        <v>87</v>
      </c>
      <c r="K870" s="29">
        <v>89</v>
      </c>
      <c r="L870" s="29">
        <v>89</v>
      </c>
      <c r="M870" s="29">
        <v>71</v>
      </c>
      <c r="N870" s="29">
        <v>83</v>
      </c>
      <c r="O870" s="32">
        <v>632</v>
      </c>
      <c r="P870" s="29" cm="1">
        <f t="array" ref="P870">IF(表成绩单[[#This Row],[语文]]="","",SUMPRODUCT((表成绩单[考试日期]=表成绩单[[#This Row],[考试日期]])*(表成绩单[语文]&lt;9E+307)*(表成绩单[语文]&gt;表成绩单[[#This Row],[语文]]))+1)</f>
        <v>56</v>
      </c>
      <c r="Q870" s="29" cm="1">
        <f t="array" ref="Q870">IF(表成绩单[[#This Row],[数学]]="","",SUMPRODUCT((表成绩单[考试日期]=表成绩单[[#This Row],[考试日期]])*(表成绩单[数学]&lt;9E+307)*(表成绩单[数学]&gt;表成绩单[[#This Row],[数学]]))+1)</f>
        <v>52</v>
      </c>
      <c r="R870" s="29" cm="1">
        <f t="array" ref="R870">IF(表成绩单[[#This Row],[英语]]="","",SUMPRODUCT((表成绩单[考试日期]=表成绩单[[#This Row],[考试日期]])*(表成绩单[英语]&lt;9E+307)*(表成绩单[英语]&gt;表成绩单[[#This Row],[英语]]))+1)</f>
        <v>10</v>
      </c>
      <c r="S870" s="29" cm="1">
        <f t="array" ref="S870">IF(表成绩单[[#This Row],[物理]]="","",SUMPRODUCT((表成绩单[考试日期]=表成绩单[[#This Row],[考试日期]])*(表成绩单[物理]&lt;9E+307)*(表成绩单[物理]&gt;表成绩单[[#This Row],[物理]]))+1)</f>
        <v>269</v>
      </c>
      <c r="T870" s="29" cm="1">
        <f t="array" ref="T870">IF(表成绩单[[#This Row],[化学]]="","",SUMPRODUCT((表成绩单[考试日期]=表成绩单[[#This Row],[考试日期]])*(表成绩单[化学]&lt;9E+307)*(表成绩单[化学]&gt;表成绩单[[#This Row],[化学]]))+1)</f>
        <v>157</v>
      </c>
      <c r="U870" s="29" cm="1">
        <f t="array" ref="U870">IF(表成绩单[[#This Row],[政治]]="","",SUMPRODUCT((表成绩单[考试日期]=表成绩单[[#This Row],[考试日期]])*(表成绩单[政治]&lt;9E+307)*(表成绩单[政治]&gt;表成绩单[[#This Row],[政治]]))+1)</f>
        <v>168</v>
      </c>
      <c r="V870" s="29" cm="1">
        <f t="array" ref="V870">IF(表成绩单[[#This Row],[历史]]="","",SUMPRODUCT((表成绩单[考试日期]=表成绩单[[#This Row],[考试日期]])*(表成绩单[历史]&lt;9E+307)*(表成绩单[历史]&gt;表成绩单[[#This Row],[历史]]))+1)</f>
        <v>46</v>
      </c>
      <c r="W870" s="29" cm="1">
        <f t="array" ref="W870">IF(表成绩单[[#This Row],[总分]]="","",SUMPRODUCT((表成绩单[考试日期]=表成绩单[[#This Row],[考试日期]])*(表成绩单[总分]&lt;9E+307)*(表成绩单[总分]&gt;表成绩单[[#This Row],[总分]]))+1)</f>
        <v>65</v>
      </c>
    </row>
    <row r="871" ht="28" customHeight="1" spans="4:23">
      <c r="D871" s="31">
        <v>46003</v>
      </c>
      <c r="E871" s="29">
        <v>19173529</v>
      </c>
      <c r="F871" s="29" t="s">
        <v>1</v>
      </c>
      <c r="G871" s="29" t="s">
        <v>183</v>
      </c>
      <c r="H871" s="29">
        <v>112</v>
      </c>
      <c r="I871" s="29">
        <v>105</v>
      </c>
      <c r="J871" s="29">
        <v>75</v>
      </c>
      <c r="K871" s="29">
        <v>99</v>
      </c>
      <c r="L871" s="29">
        <v>89</v>
      </c>
      <c r="M871" s="29">
        <v>67</v>
      </c>
      <c r="N871" s="29">
        <v>85</v>
      </c>
      <c r="O871" s="32">
        <v>632</v>
      </c>
      <c r="P871" s="29" cm="1">
        <f t="array" ref="P871">IF(表成绩单[[#This Row],[语文]]="","",SUMPRODUCT((表成绩单[考试日期]=表成绩单[[#This Row],[考试日期]])*(表成绩单[语文]&lt;9E+307)*(表成绩单[语文]&gt;表成绩单[[#This Row],[语文]]))+1)</f>
        <v>36</v>
      </c>
      <c r="Q871" s="29" cm="1">
        <f t="array" ref="Q871">IF(表成绩单[[#This Row],[数学]]="","",SUMPRODUCT((表成绩单[考试日期]=表成绩单[[#This Row],[考试日期]])*(表成绩单[数学]&lt;9E+307)*(表成绩单[数学]&gt;表成绩单[[#This Row],[数学]]))+1)</f>
        <v>33</v>
      </c>
      <c r="R871" s="29" cm="1">
        <f t="array" ref="R871">IF(表成绩单[[#This Row],[英语]]="","",SUMPRODUCT((表成绩单[考试日期]=表成绩单[[#This Row],[考试日期]])*(表成绩单[英语]&lt;9E+307)*(表成绩单[英语]&gt;表成绩单[[#This Row],[英语]]))+1)</f>
        <v>314</v>
      </c>
      <c r="S871" s="29" cm="1">
        <f t="array" ref="S871">IF(表成绩单[[#This Row],[物理]]="","",SUMPRODUCT((表成绩单[考试日期]=表成绩单[[#This Row],[考试日期]])*(表成绩单[物理]&lt;9E+307)*(表成绩单[物理]&gt;表成绩单[[#This Row],[物理]]))+1)</f>
        <v>9</v>
      </c>
      <c r="T871" s="29" cm="1">
        <f t="array" ref="T871">IF(表成绩单[[#This Row],[化学]]="","",SUMPRODUCT((表成绩单[考试日期]=表成绩单[[#This Row],[考试日期]])*(表成绩单[化学]&lt;9E+307)*(表成绩单[化学]&gt;表成绩单[[#This Row],[化学]]))+1)</f>
        <v>157</v>
      </c>
      <c r="U871" s="29" cm="1">
        <f t="array" ref="U871">IF(表成绩单[[#This Row],[政治]]="","",SUMPRODUCT((表成绩单[考试日期]=表成绩单[[#This Row],[考试日期]])*(表成绩单[政治]&lt;9E+307)*(表成绩单[政治]&gt;表成绩单[[#This Row],[政治]]))+1)</f>
        <v>264</v>
      </c>
      <c r="V871" s="29" cm="1">
        <f t="array" ref="V871">IF(表成绩单[[#This Row],[历史]]="","",SUMPRODUCT((表成绩单[考试日期]=表成绩单[[#This Row],[考试日期]])*(表成绩单[历史]&lt;9E+307)*(表成绩单[历史]&gt;表成绩单[[#This Row],[历史]]))+1)</f>
        <v>12</v>
      </c>
      <c r="W871" s="29" cm="1">
        <f t="array" ref="W871">IF(表成绩单[[#This Row],[总分]]="","",SUMPRODUCT((表成绩单[考试日期]=表成绩单[[#This Row],[考试日期]])*(表成绩单[总分]&lt;9E+307)*(表成绩单[总分]&gt;表成绩单[[#This Row],[总分]]))+1)</f>
        <v>65</v>
      </c>
    </row>
    <row r="872" ht="28" customHeight="1" spans="4:23">
      <c r="D872" s="31">
        <v>46003</v>
      </c>
      <c r="E872" s="29">
        <v>19174441</v>
      </c>
      <c r="F872" s="29" t="s">
        <v>73</v>
      </c>
      <c r="G872" s="29" t="s">
        <v>126</v>
      </c>
      <c r="H872" s="29">
        <v>113</v>
      </c>
      <c r="I872" s="29">
        <v>90</v>
      </c>
      <c r="J872" s="29">
        <v>85</v>
      </c>
      <c r="K872" s="29">
        <v>99</v>
      </c>
      <c r="L872" s="29">
        <v>99</v>
      </c>
      <c r="M872" s="29">
        <v>70</v>
      </c>
      <c r="N872" s="29">
        <v>76</v>
      </c>
      <c r="O872" s="32">
        <v>632</v>
      </c>
      <c r="P872" s="29" cm="1">
        <f t="array" ref="P872">IF(表成绩单[[#This Row],[语文]]="","",SUMPRODUCT((表成绩单[考试日期]=表成绩单[[#This Row],[考试日期]])*(表成绩单[语文]&lt;9E+307)*(表成绩单[语文]&gt;表成绩单[[#This Row],[语文]]))+1)</f>
        <v>22</v>
      </c>
      <c r="Q872" s="29" cm="1">
        <f t="array" ref="Q872">IF(表成绩单[[#This Row],[数学]]="","",SUMPRODUCT((表成绩单[考试日期]=表成绩单[[#This Row],[考试日期]])*(表成绩单[数学]&lt;9E+307)*(表成绩单[数学]&gt;表成绩单[[#This Row],[数学]]))+1)</f>
        <v>196</v>
      </c>
      <c r="R872" s="29" cm="1">
        <f t="array" ref="R872">IF(表成绩单[[#This Row],[英语]]="","",SUMPRODUCT((表成绩单[考试日期]=表成绩单[[#This Row],[考试日期]])*(表成绩单[英语]&lt;9E+307)*(表成绩单[英语]&gt;表成绩单[[#This Row],[英语]]))+1)</f>
        <v>30</v>
      </c>
      <c r="S872" s="29" cm="1">
        <f t="array" ref="S872">IF(表成绩单[[#This Row],[物理]]="","",SUMPRODUCT((表成绩单[考试日期]=表成绩单[[#This Row],[考试日期]])*(表成绩单[物理]&lt;9E+307)*(表成绩单[物理]&gt;表成绩单[[#This Row],[物理]]))+1)</f>
        <v>9</v>
      </c>
      <c r="T872" s="29" cm="1">
        <f t="array" ref="T872">IF(表成绩单[[#This Row],[化学]]="","",SUMPRODUCT((表成绩单[考试日期]=表成绩单[[#This Row],[考试日期]])*(表成绩单[化学]&lt;9E+307)*(表成绩单[化学]&gt;表成绩单[[#This Row],[化学]]))+1)</f>
        <v>2</v>
      </c>
      <c r="U872" s="29" cm="1">
        <f t="array" ref="U872">IF(表成绩单[[#This Row],[政治]]="","",SUMPRODUCT((表成绩单[考试日期]=表成绩单[[#This Row],[考试日期]])*(表成绩单[政治]&lt;9E+307)*(表成绩单[政治]&gt;表成绩单[[#This Row],[政治]]))+1)</f>
        <v>184</v>
      </c>
      <c r="V872" s="29" cm="1">
        <f t="array" ref="V872">IF(表成绩单[[#This Row],[历史]]="","",SUMPRODUCT((表成绩单[考试日期]=表成绩单[[#This Row],[考试日期]])*(表成绩单[历史]&lt;9E+307)*(表成绩单[历史]&gt;表成绩单[[#This Row],[历史]]))+1)</f>
        <v>279</v>
      </c>
      <c r="W872" s="29" cm="1">
        <f t="array" ref="W872">IF(表成绩单[[#This Row],[总分]]="","",SUMPRODUCT((表成绩单[考试日期]=表成绩单[[#This Row],[考试日期]])*(表成绩单[总分]&lt;9E+307)*(表成绩单[总分]&gt;表成绩单[[#This Row],[总分]]))+1)</f>
        <v>65</v>
      </c>
    </row>
    <row r="873" ht="28" customHeight="1" spans="4:23">
      <c r="D873" s="31">
        <v>46003</v>
      </c>
      <c r="E873" s="29">
        <v>19167654</v>
      </c>
      <c r="F873" s="29" t="s">
        <v>1</v>
      </c>
      <c r="G873" s="29" t="s">
        <v>107</v>
      </c>
      <c r="H873" s="29">
        <v>106</v>
      </c>
      <c r="I873" s="29">
        <v>105</v>
      </c>
      <c r="J873" s="29">
        <v>80.5</v>
      </c>
      <c r="K873" s="29">
        <v>94</v>
      </c>
      <c r="L873" s="29">
        <v>93</v>
      </c>
      <c r="M873" s="29">
        <v>68</v>
      </c>
      <c r="N873" s="29">
        <v>85</v>
      </c>
      <c r="O873" s="32">
        <v>631.5</v>
      </c>
      <c r="P873" s="29" cm="1">
        <f t="array" ref="P873">IF(表成绩单[[#This Row],[语文]]="","",SUMPRODUCT((表成绩单[考试日期]=表成绩单[[#This Row],[考试日期]])*(表成绩单[语文]&lt;9E+307)*(表成绩单[语文]&gt;表成绩单[[#This Row],[语文]]))+1)</f>
        <v>210</v>
      </c>
      <c r="Q873" s="29" cm="1">
        <f t="array" ref="Q873">IF(表成绩单[[#This Row],[数学]]="","",SUMPRODUCT((表成绩单[考试日期]=表成绩单[[#This Row],[考试日期]])*(表成绩单[数学]&lt;9E+307)*(表成绩单[数学]&gt;表成绩单[[#This Row],[数学]]))+1)</f>
        <v>33</v>
      </c>
      <c r="R873" s="29" cm="1">
        <f t="array" ref="R873">IF(表成绩单[[#This Row],[英语]]="","",SUMPRODUCT((表成绩单[考试日期]=表成绩单[[#This Row],[考试日期]])*(表成绩单[英语]&lt;9E+307)*(表成绩单[英语]&gt;表成绩单[[#This Row],[英语]]))+1)</f>
        <v>147</v>
      </c>
      <c r="S873" s="29" cm="1">
        <f t="array" ref="S873">IF(表成绩单[[#This Row],[物理]]="","",SUMPRODUCT((表成绩单[考试日期]=表成绩单[[#This Row],[考试日期]])*(表成绩单[物理]&lt;9E+307)*(表成绩单[物理]&gt;表成绩单[[#This Row],[物理]]))+1)</f>
        <v>125</v>
      </c>
      <c r="T873" s="29" cm="1">
        <f t="array" ref="T873">IF(表成绩单[[#This Row],[化学]]="","",SUMPRODUCT((表成绩单[考试日期]=表成绩单[[#This Row],[考试日期]])*(表成绩单[化学]&lt;9E+307)*(表成绩单[化学]&gt;表成绩单[[#This Row],[化学]]))+1)</f>
        <v>73</v>
      </c>
      <c r="U873" s="29" cm="1">
        <f t="array" ref="U873">IF(表成绩单[[#This Row],[政治]]="","",SUMPRODUCT((表成绩单[考试日期]=表成绩单[[#This Row],[考试日期]])*(表成绩单[政治]&lt;9E+307)*(表成绩单[政治]&gt;表成绩单[[#This Row],[政治]]))+1)</f>
        <v>237</v>
      </c>
      <c r="V873" s="29" cm="1">
        <f t="array" ref="V873">IF(表成绩单[[#This Row],[历史]]="","",SUMPRODUCT((表成绩单[考试日期]=表成绩单[[#This Row],[考试日期]])*(表成绩单[历史]&lt;9E+307)*(表成绩单[历史]&gt;表成绩单[[#This Row],[历史]]))+1)</f>
        <v>12</v>
      </c>
      <c r="W873" s="29" cm="1">
        <f t="array" ref="W873">IF(表成绩单[[#This Row],[总分]]="","",SUMPRODUCT((表成绩单[考试日期]=表成绩单[[#This Row],[考试日期]])*(表成绩单[总分]&lt;9E+307)*(表成绩单[总分]&gt;表成绩单[[#This Row],[总分]]))+1)</f>
        <v>68</v>
      </c>
    </row>
    <row r="874" ht="28" customHeight="1" spans="4:23">
      <c r="D874" s="31">
        <v>46003</v>
      </c>
      <c r="E874" s="29">
        <v>19176880</v>
      </c>
      <c r="F874" s="29" t="s">
        <v>71</v>
      </c>
      <c r="G874" s="29" t="s">
        <v>189</v>
      </c>
      <c r="H874" s="29">
        <v>112</v>
      </c>
      <c r="I874" s="29">
        <v>108</v>
      </c>
      <c r="J874" s="29">
        <v>80.5</v>
      </c>
      <c r="K874" s="29">
        <v>98</v>
      </c>
      <c r="L874" s="29">
        <v>90</v>
      </c>
      <c r="M874" s="29">
        <v>60</v>
      </c>
      <c r="N874" s="29">
        <v>83</v>
      </c>
      <c r="O874" s="32">
        <v>631.5</v>
      </c>
      <c r="P874" s="29" cm="1">
        <f t="array" ref="P874">IF(表成绩单[[#This Row],[语文]]="","",SUMPRODUCT((表成绩单[考试日期]=表成绩单[[#This Row],[考试日期]])*(表成绩单[语文]&lt;9E+307)*(表成绩单[语文]&gt;表成绩单[[#This Row],[语文]]))+1)</f>
        <v>36</v>
      </c>
      <c r="Q874" s="29" cm="1">
        <f t="array" ref="Q874">IF(表成绩单[[#This Row],[数学]]="","",SUMPRODUCT((表成绩单[考试日期]=表成绩单[[#This Row],[考试日期]])*(表成绩单[数学]&lt;9E+307)*(表成绩单[数学]&gt;表成绩单[[#This Row],[数学]]))+1)</f>
        <v>15</v>
      </c>
      <c r="R874" s="29" cm="1">
        <f t="array" ref="R874">IF(表成绩单[[#This Row],[英语]]="","",SUMPRODUCT((表成绩单[考试日期]=表成绩单[[#This Row],[考试日期]])*(表成绩单[英语]&lt;9E+307)*(表成绩单[英语]&gt;表成绩单[[#This Row],[英语]]))+1)</f>
        <v>147</v>
      </c>
      <c r="S874" s="29" cm="1">
        <f t="array" ref="S874">IF(表成绩单[[#This Row],[物理]]="","",SUMPRODUCT((表成绩单[考试日期]=表成绩单[[#This Row],[考试日期]])*(表成绩单[物理]&lt;9E+307)*(表成绩单[物理]&gt;表成绩单[[#This Row],[物理]]))+1)</f>
        <v>26</v>
      </c>
      <c r="T874" s="29" cm="1">
        <f t="array" ref="T874">IF(表成绩单[[#This Row],[化学]]="","",SUMPRODUCT((表成绩单[考试日期]=表成绩单[[#This Row],[考试日期]])*(表成绩单[化学]&lt;9E+307)*(表成绩单[化学]&gt;表成绩单[[#This Row],[化学]]))+1)</f>
        <v>140</v>
      </c>
      <c r="U874" s="29" cm="1">
        <f t="array" ref="U874">IF(表成绩单[[#This Row],[政治]]="","",SUMPRODUCT((表成绩单[考试日期]=表成绩单[[#This Row],[考试日期]])*(表成绩单[政治]&lt;9E+307)*(表成绩单[政治]&gt;表成绩单[[#This Row],[政治]]))+1)</f>
        <v>421</v>
      </c>
      <c r="V874" s="29" cm="1">
        <f t="array" ref="V874">IF(表成绩单[[#This Row],[历史]]="","",SUMPRODUCT((表成绩单[考试日期]=表成绩单[[#This Row],[考试日期]])*(表成绩单[历史]&lt;9E+307)*(表成绩单[历史]&gt;表成绩单[[#This Row],[历史]]))+1)</f>
        <v>46</v>
      </c>
      <c r="W874" s="29" cm="1">
        <f t="array" ref="W874">IF(表成绩单[[#This Row],[总分]]="","",SUMPRODUCT((表成绩单[考试日期]=表成绩单[[#This Row],[考试日期]])*(表成绩单[总分]&lt;9E+307)*(表成绩单[总分]&gt;表成绩单[[#This Row],[总分]]))+1)</f>
        <v>68</v>
      </c>
    </row>
    <row r="875" ht="28" customHeight="1" spans="4:23">
      <c r="D875" s="31">
        <v>46003</v>
      </c>
      <c r="E875" s="29">
        <v>19174803</v>
      </c>
      <c r="F875" s="29" t="s">
        <v>69</v>
      </c>
      <c r="G875" s="29" t="s">
        <v>191</v>
      </c>
      <c r="H875" s="29">
        <v>109</v>
      </c>
      <c r="I875" s="29">
        <v>100</v>
      </c>
      <c r="J875" s="29">
        <v>75</v>
      </c>
      <c r="K875" s="29">
        <v>98</v>
      </c>
      <c r="L875" s="29">
        <v>88</v>
      </c>
      <c r="M875" s="29">
        <v>78</v>
      </c>
      <c r="N875" s="29">
        <v>83</v>
      </c>
      <c r="O875" s="32">
        <v>631</v>
      </c>
      <c r="P875" s="29" cm="1">
        <f t="array" ref="P875">IF(表成绩单[[#This Row],[语文]]="","",SUMPRODUCT((表成绩单[考试日期]=表成绩单[[#This Row],[考试日期]])*(表成绩单[语文]&lt;9E+307)*(表成绩单[语文]&gt;表成绩单[[#This Row],[语文]]))+1)</f>
        <v>111</v>
      </c>
      <c r="Q875" s="29" cm="1">
        <f t="array" ref="Q875">IF(表成绩单[[#This Row],[数学]]="","",SUMPRODUCT((表成绩单[考试日期]=表成绩单[[#This Row],[考试日期]])*(表成绩单[数学]&lt;9E+307)*(表成绩单[数学]&gt;表成绩单[[#This Row],[数学]]))+1)</f>
        <v>77</v>
      </c>
      <c r="R875" s="29" cm="1">
        <f t="array" ref="R875">IF(表成绩单[[#This Row],[英语]]="","",SUMPRODUCT((表成绩单[考试日期]=表成绩单[[#This Row],[考试日期]])*(表成绩单[英语]&lt;9E+307)*(表成绩单[英语]&gt;表成绩单[[#This Row],[英语]]))+1)</f>
        <v>314</v>
      </c>
      <c r="S875" s="29" cm="1">
        <f t="array" ref="S875">IF(表成绩单[[#This Row],[物理]]="","",SUMPRODUCT((表成绩单[考试日期]=表成绩单[[#This Row],[考试日期]])*(表成绩单[物理]&lt;9E+307)*(表成绩单[物理]&gt;表成绩单[[#This Row],[物理]]))+1)</f>
        <v>26</v>
      </c>
      <c r="T875" s="29" cm="1">
        <f t="array" ref="T875">IF(表成绩单[[#This Row],[化学]]="","",SUMPRODUCT((表成绩单[考试日期]=表成绩单[[#This Row],[考试日期]])*(表成绩单[化学]&lt;9E+307)*(表成绩单[化学]&gt;表成绩单[[#This Row],[化学]]))+1)</f>
        <v>175</v>
      </c>
      <c r="U875" s="29" cm="1">
        <f t="array" ref="U875">IF(表成绩单[[#This Row],[政治]]="","",SUMPRODUCT((表成绩单[考试日期]=表成绩单[[#This Row],[考试日期]])*(表成绩单[政治]&lt;9E+307)*(表成绩单[政治]&gt;表成绩单[[#This Row],[政治]]))+1)</f>
        <v>46</v>
      </c>
      <c r="V875" s="29" cm="1">
        <f t="array" ref="V875">IF(表成绩单[[#This Row],[历史]]="","",SUMPRODUCT((表成绩单[考试日期]=表成绩单[[#This Row],[考试日期]])*(表成绩单[历史]&lt;9E+307)*(表成绩单[历史]&gt;表成绩单[[#This Row],[历史]]))+1)</f>
        <v>46</v>
      </c>
      <c r="W875" s="29" cm="1">
        <f t="array" ref="W875">IF(表成绩单[[#This Row],[总分]]="","",SUMPRODUCT((表成绩单[考试日期]=表成绩单[[#This Row],[考试日期]])*(表成绩单[总分]&lt;9E+307)*(表成绩单[总分]&gt;表成绩单[[#This Row],[总分]]))+1)</f>
        <v>70</v>
      </c>
    </row>
    <row r="876" ht="28" customHeight="1" spans="4:23">
      <c r="D876" s="31">
        <v>46003</v>
      </c>
      <c r="E876" s="29">
        <v>19175414</v>
      </c>
      <c r="F876" s="29" t="s">
        <v>74</v>
      </c>
      <c r="G876" s="29" t="s">
        <v>130</v>
      </c>
      <c r="H876" s="29">
        <v>106</v>
      </c>
      <c r="I876" s="29">
        <v>97</v>
      </c>
      <c r="J876" s="29">
        <v>81.5</v>
      </c>
      <c r="K876" s="29">
        <v>94</v>
      </c>
      <c r="L876" s="29">
        <v>88</v>
      </c>
      <c r="M876" s="29">
        <v>81</v>
      </c>
      <c r="N876" s="29">
        <v>83</v>
      </c>
      <c r="O876" s="32">
        <v>630.5</v>
      </c>
      <c r="P876" s="29" cm="1">
        <f t="array" ref="P876">IF(表成绩单[[#This Row],[语文]]="","",SUMPRODUCT((表成绩单[考试日期]=表成绩单[[#This Row],[考试日期]])*(表成绩单[语文]&lt;9E+307)*(表成绩单[语文]&gt;表成绩单[[#This Row],[语文]]))+1)</f>
        <v>210</v>
      </c>
      <c r="Q876" s="29" cm="1">
        <f t="array" ref="Q876">IF(表成绩单[[#This Row],[数学]]="","",SUMPRODUCT((表成绩单[考试日期]=表成绩单[[#This Row],[考试日期]])*(表成绩单[数学]&lt;9E+307)*(表成绩单[数学]&gt;表成绩单[[#This Row],[数学]]))+1)</f>
        <v>104</v>
      </c>
      <c r="R876" s="29" cm="1">
        <f t="array" ref="R876">IF(表成绩单[[#This Row],[英语]]="","",SUMPRODUCT((表成绩单[考试日期]=表成绩单[[#This Row],[考试日期]])*(表成绩单[英语]&lt;9E+307)*(表成绩单[英语]&gt;表成绩单[[#This Row],[英语]]))+1)</f>
        <v>113</v>
      </c>
      <c r="S876" s="29" cm="1">
        <f t="array" ref="S876">IF(表成绩单[[#This Row],[物理]]="","",SUMPRODUCT((表成绩单[考试日期]=表成绩单[[#This Row],[考试日期]])*(表成绩单[物理]&lt;9E+307)*(表成绩单[物理]&gt;表成绩单[[#This Row],[物理]]))+1)</f>
        <v>125</v>
      </c>
      <c r="T876" s="29" cm="1">
        <f t="array" ref="T876">IF(表成绩单[[#This Row],[化学]]="","",SUMPRODUCT((表成绩单[考试日期]=表成绩单[[#This Row],[考试日期]])*(表成绩单[化学]&lt;9E+307)*(表成绩单[化学]&gt;表成绩单[[#This Row],[化学]]))+1)</f>
        <v>175</v>
      </c>
      <c r="U876" s="29" cm="1">
        <f t="array" ref="U876">IF(表成绩单[[#This Row],[政治]]="","",SUMPRODUCT((表成绩单[考试日期]=表成绩单[[#This Row],[考试日期]])*(表成绩单[政治]&lt;9E+307)*(表成绩单[政治]&gt;表成绩单[[#This Row],[政治]]))+1)</f>
        <v>22</v>
      </c>
      <c r="V876" s="29" cm="1">
        <f t="array" ref="V876">IF(表成绩单[[#This Row],[历史]]="","",SUMPRODUCT((表成绩单[考试日期]=表成绩单[[#This Row],[考试日期]])*(表成绩单[历史]&lt;9E+307)*(表成绩单[历史]&gt;表成绩单[[#This Row],[历史]]))+1)</f>
        <v>46</v>
      </c>
      <c r="W876" s="29" cm="1">
        <f t="array" ref="W876">IF(表成绩单[[#This Row],[总分]]="","",SUMPRODUCT((表成绩单[考试日期]=表成绩单[[#This Row],[考试日期]])*(表成绩单[总分]&lt;9E+307)*(表成绩单[总分]&gt;表成绩单[[#This Row],[总分]]))+1)</f>
        <v>71</v>
      </c>
    </row>
    <row r="877" ht="28" customHeight="1" spans="4:23">
      <c r="D877" s="31">
        <v>46003</v>
      </c>
      <c r="E877" s="29">
        <v>19175675</v>
      </c>
      <c r="F877" s="29" t="s">
        <v>72</v>
      </c>
      <c r="G877" s="29" t="s">
        <v>226</v>
      </c>
      <c r="H877" s="29">
        <v>114</v>
      </c>
      <c r="I877" s="29">
        <v>111</v>
      </c>
      <c r="J877" s="29">
        <v>77.5</v>
      </c>
      <c r="K877" s="29">
        <v>87</v>
      </c>
      <c r="L877" s="29">
        <v>92</v>
      </c>
      <c r="M877" s="29">
        <v>71</v>
      </c>
      <c r="N877" s="29">
        <v>78</v>
      </c>
      <c r="O877" s="32">
        <v>630.5</v>
      </c>
      <c r="P877" s="29" cm="1">
        <f t="array" ref="P877">IF(表成绩单[[#This Row],[语文]]="","",SUMPRODUCT((表成绩单[考试日期]=表成绩单[[#This Row],[考试日期]])*(表成绩单[语文]&lt;9E+307)*(表成绩单[语文]&gt;表成绩单[[#This Row],[语文]]))+1)</f>
        <v>13</v>
      </c>
      <c r="Q877" s="29" cm="1">
        <f t="array" ref="Q877">IF(表成绩单[[#This Row],[数学]]="","",SUMPRODUCT((表成绩单[考试日期]=表成绩单[[#This Row],[考试日期]])*(表成绩单[数学]&lt;9E+307)*(表成绩单[数学]&gt;表成绩单[[#This Row],[数学]]))+1)</f>
        <v>6</v>
      </c>
      <c r="R877" s="29" cm="1">
        <f t="array" ref="R877">IF(表成绩单[[#This Row],[英语]]="","",SUMPRODUCT((表成绩单[考试日期]=表成绩单[[#This Row],[考试日期]])*(表成绩单[英语]&lt;9E+307)*(表成绩单[英语]&gt;表成绩单[[#This Row],[英语]]))+1)</f>
        <v>230</v>
      </c>
      <c r="S877" s="29" cm="1">
        <f t="array" ref="S877">IF(表成绩单[[#This Row],[物理]]="","",SUMPRODUCT((表成绩单[考试日期]=表成绩单[[#This Row],[考试日期]])*(表成绩单[物理]&lt;9E+307)*(表成绩单[物理]&gt;表成绩单[[#This Row],[物理]]))+1)</f>
        <v>306</v>
      </c>
      <c r="T877" s="29" cm="1">
        <f t="array" ref="T877">IF(表成绩单[[#This Row],[化学]]="","",SUMPRODUCT((表成绩单[考试日期]=表成绩单[[#This Row],[考试日期]])*(表成绩单[化学]&lt;9E+307)*(表成绩单[化学]&gt;表成绩单[[#This Row],[化学]]))+1)</f>
        <v>102</v>
      </c>
      <c r="U877" s="29" cm="1">
        <f t="array" ref="U877">IF(表成绩单[[#This Row],[政治]]="","",SUMPRODUCT((表成绩单[考试日期]=表成绩单[[#This Row],[考试日期]])*(表成绩单[政治]&lt;9E+307)*(表成绩单[政治]&gt;表成绩单[[#This Row],[政治]]))+1)</f>
        <v>168</v>
      </c>
      <c r="V877" s="29" cm="1">
        <f t="array" ref="V877">IF(表成绩单[[#This Row],[历史]]="","",SUMPRODUCT((表成绩单[考试日期]=表成绩单[[#This Row],[考试日期]])*(表成绩单[历史]&lt;9E+307)*(表成绩单[历史]&gt;表成绩单[[#This Row],[历史]]))+1)</f>
        <v>190</v>
      </c>
      <c r="W877" s="29" cm="1">
        <f t="array" ref="W877">IF(表成绩单[[#This Row],[总分]]="","",SUMPRODUCT((表成绩单[考试日期]=表成绩单[[#This Row],[考试日期]])*(表成绩单[总分]&lt;9E+307)*(表成绩单[总分]&gt;表成绩单[[#This Row],[总分]]))+1)</f>
        <v>71</v>
      </c>
    </row>
    <row r="878" ht="28" customHeight="1" spans="4:23">
      <c r="D878" s="31">
        <v>46003</v>
      </c>
      <c r="E878" s="29">
        <v>19177203</v>
      </c>
      <c r="F878" s="29" t="s">
        <v>70</v>
      </c>
      <c r="G878" s="29" t="s">
        <v>83</v>
      </c>
      <c r="H878" s="29">
        <v>111</v>
      </c>
      <c r="I878" s="29">
        <v>93</v>
      </c>
      <c r="J878" s="29">
        <v>81.5</v>
      </c>
      <c r="K878" s="29">
        <v>94</v>
      </c>
      <c r="L878" s="29">
        <v>92</v>
      </c>
      <c r="M878" s="29">
        <v>77</v>
      </c>
      <c r="N878" s="29">
        <v>82</v>
      </c>
      <c r="O878" s="32">
        <v>630.5</v>
      </c>
      <c r="P878" s="29" cm="1">
        <f t="array" ref="P878">IF(表成绩单[[#This Row],[语文]]="","",SUMPRODUCT((表成绩单[考试日期]=表成绩单[[#This Row],[考试日期]])*(表成绩单[语文]&lt;9E+307)*(表成绩单[语文]&gt;表成绩单[[#This Row],[语文]]))+1)</f>
        <v>56</v>
      </c>
      <c r="Q878" s="29" cm="1">
        <f t="array" ref="Q878">IF(表成绩单[[#This Row],[数学]]="","",SUMPRODUCT((表成绩单[考试日期]=表成绩单[[#This Row],[考试日期]])*(表成绩单[数学]&lt;9E+307)*(表成绩单[数学]&gt;表成绩单[[#This Row],[数学]]))+1)</f>
        <v>155</v>
      </c>
      <c r="R878" s="29" cm="1">
        <f t="array" ref="R878">IF(表成绩单[[#This Row],[英语]]="","",SUMPRODUCT((表成绩单[考试日期]=表成绩单[[#This Row],[考试日期]])*(表成绩单[英语]&lt;9E+307)*(表成绩单[英语]&gt;表成绩单[[#This Row],[英语]]))+1)</f>
        <v>113</v>
      </c>
      <c r="S878" s="29" cm="1">
        <f t="array" ref="S878">IF(表成绩单[[#This Row],[物理]]="","",SUMPRODUCT((表成绩单[考试日期]=表成绩单[[#This Row],[考试日期]])*(表成绩单[物理]&lt;9E+307)*(表成绩单[物理]&gt;表成绩单[[#This Row],[物理]]))+1)</f>
        <v>125</v>
      </c>
      <c r="T878" s="29" cm="1">
        <f t="array" ref="T878">IF(表成绩单[[#This Row],[化学]]="","",SUMPRODUCT((表成绩单[考试日期]=表成绩单[[#This Row],[考试日期]])*(表成绩单[化学]&lt;9E+307)*(表成绩单[化学]&gt;表成绩单[[#This Row],[化学]]))+1)</f>
        <v>102</v>
      </c>
      <c r="U878" s="29" cm="1">
        <f t="array" ref="U878">IF(表成绩单[[#This Row],[政治]]="","",SUMPRODUCT((表成绩单[考试日期]=表成绩单[[#This Row],[考试日期]])*(表成绩单[政治]&lt;9E+307)*(表成绩单[政治]&gt;表成绩单[[#This Row],[政治]]))+1)</f>
        <v>64</v>
      </c>
      <c r="V878" s="29" cm="1">
        <f t="array" ref="V878">IF(表成绩单[[#This Row],[历史]]="","",SUMPRODUCT((表成绩单[考试日期]=表成绩单[[#This Row],[考试日期]])*(表成绩单[历史]&lt;9E+307)*(表成绩单[历史]&gt;表成绩单[[#This Row],[历史]]))+1)</f>
        <v>66</v>
      </c>
      <c r="W878" s="29" cm="1">
        <f t="array" ref="W878">IF(表成绩单[[#This Row],[总分]]="","",SUMPRODUCT((表成绩单[考试日期]=表成绩单[[#This Row],[考试日期]])*(表成绩单[总分]&lt;9E+307)*(表成绩单[总分]&gt;表成绩单[[#This Row],[总分]]))+1)</f>
        <v>71</v>
      </c>
    </row>
    <row r="879" ht="28" customHeight="1" spans="4:23">
      <c r="D879" s="31">
        <v>46003</v>
      </c>
      <c r="E879" s="29">
        <v>19171079</v>
      </c>
      <c r="F879" s="29" t="s">
        <v>67</v>
      </c>
      <c r="G879" s="29" t="s">
        <v>141</v>
      </c>
      <c r="H879" s="29">
        <v>106</v>
      </c>
      <c r="I879" s="29">
        <v>102</v>
      </c>
      <c r="J879" s="29">
        <v>81</v>
      </c>
      <c r="K879" s="29">
        <v>97</v>
      </c>
      <c r="L879" s="29">
        <v>94</v>
      </c>
      <c r="M879" s="29">
        <v>72</v>
      </c>
      <c r="N879" s="29">
        <v>78</v>
      </c>
      <c r="O879" s="32">
        <v>630</v>
      </c>
      <c r="P879" s="29" cm="1">
        <f t="array" ref="P879">IF(表成绩单[[#This Row],[语文]]="","",SUMPRODUCT((表成绩单[考试日期]=表成绩单[[#This Row],[考试日期]])*(表成绩单[语文]&lt;9E+307)*(表成绩单[语文]&gt;表成绩单[[#This Row],[语文]]))+1)</f>
        <v>210</v>
      </c>
      <c r="Q879" s="29" cm="1">
        <f t="array" ref="Q879">IF(表成绩单[[#This Row],[数学]]="","",SUMPRODUCT((表成绩单[考试日期]=表成绩单[[#This Row],[考试日期]])*(表成绩单[数学]&lt;9E+307)*(表成绩单[数学]&gt;表成绩单[[#This Row],[数学]]))+1)</f>
        <v>52</v>
      </c>
      <c r="R879" s="29" cm="1">
        <f t="array" ref="R879">IF(表成绩单[[#This Row],[英语]]="","",SUMPRODUCT((表成绩单[考试日期]=表成绩单[[#This Row],[考试日期]])*(表成绩单[英语]&lt;9E+307)*(表成绩单[英语]&gt;表成绩单[[#This Row],[英语]]))+1)</f>
        <v>131</v>
      </c>
      <c r="S879" s="29" cm="1">
        <f t="array" ref="S879">IF(表成绩单[[#This Row],[物理]]="","",SUMPRODUCT((表成绩单[考试日期]=表成绩单[[#This Row],[考试日期]])*(表成绩单[物理]&lt;9E+307)*(表成绩单[物理]&gt;表成绩单[[#This Row],[物理]]))+1)</f>
        <v>43</v>
      </c>
      <c r="T879" s="29" cm="1">
        <f t="array" ref="T879">IF(表成绩单[[#This Row],[化学]]="","",SUMPRODUCT((表成绩单[考试日期]=表成绩单[[#This Row],[考试日期]])*(表成绩单[化学]&lt;9E+307)*(表成绩单[化学]&gt;表成绩单[[#This Row],[化学]]))+1)</f>
        <v>56</v>
      </c>
      <c r="U879" s="29" cm="1">
        <f t="array" ref="U879">IF(表成绩单[[#This Row],[政治]]="","",SUMPRODUCT((表成绩单[考试日期]=表成绩单[[#This Row],[考试日期]])*(表成绩单[政治]&lt;9E+307)*(表成绩单[政治]&gt;表成绩单[[#This Row],[政治]]))+1)</f>
        <v>155</v>
      </c>
      <c r="V879" s="29" cm="1">
        <f t="array" ref="V879">IF(表成绩单[[#This Row],[历史]]="","",SUMPRODUCT((表成绩单[考试日期]=表成绩单[[#This Row],[考试日期]])*(表成绩单[历史]&lt;9E+307)*(表成绩单[历史]&gt;表成绩单[[#This Row],[历史]]))+1)</f>
        <v>190</v>
      </c>
      <c r="W879" s="29" cm="1">
        <f t="array" ref="W879">IF(表成绩单[[#This Row],[总分]]="","",SUMPRODUCT((表成绩单[考试日期]=表成绩单[[#This Row],[考试日期]])*(表成绩单[总分]&lt;9E+307)*(表成绩单[总分]&gt;表成绩单[[#This Row],[总分]]))+1)</f>
        <v>74</v>
      </c>
    </row>
    <row r="880" ht="28" customHeight="1" spans="4:23">
      <c r="D880" s="31">
        <v>46003</v>
      </c>
      <c r="E880" s="29">
        <v>19175695</v>
      </c>
      <c r="F880" s="29" t="s">
        <v>72</v>
      </c>
      <c r="G880" s="29" t="s">
        <v>148</v>
      </c>
      <c r="H880" s="29">
        <v>108</v>
      </c>
      <c r="I880" s="29">
        <v>108</v>
      </c>
      <c r="J880" s="29">
        <v>76.5</v>
      </c>
      <c r="K880" s="29">
        <v>97</v>
      </c>
      <c r="L880" s="29">
        <v>93</v>
      </c>
      <c r="M880" s="29">
        <v>65</v>
      </c>
      <c r="N880" s="29">
        <v>82</v>
      </c>
      <c r="O880" s="32">
        <v>629.5</v>
      </c>
      <c r="P880" s="29" cm="1">
        <f t="array" ref="P880">IF(表成绩单[[#This Row],[语文]]="","",SUMPRODUCT((表成绩单[考试日期]=表成绩单[[#This Row],[考试日期]])*(表成绩单[语文]&lt;9E+307)*(表成绩单[语文]&gt;表成绩单[[#This Row],[语文]]))+1)</f>
        <v>154</v>
      </c>
      <c r="Q880" s="29" cm="1">
        <f t="array" ref="Q880">IF(表成绩单[[#This Row],[数学]]="","",SUMPRODUCT((表成绩单[考试日期]=表成绩单[[#This Row],[考试日期]])*(表成绩单[数学]&lt;9E+307)*(表成绩单[数学]&gt;表成绩单[[#This Row],[数学]]))+1)</f>
        <v>15</v>
      </c>
      <c r="R880" s="29" cm="1">
        <f t="array" ref="R880">IF(表成绩单[[#This Row],[英语]]="","",SUMPRODUCT((表成绩单[考试日期]=表成绩单[[#This Row],[考试日期]])*(表成绩单[英语]&lt;9E+307)*(表成绩单[英语]&gt;表成绩单[[#This Row],[英语]]))+1)</f>
        <v>272</v>
      </c>
      <c r="S880" s="29" cm="1">
        <f t="array" ref="S880">IF(表成绩单[[#This Row],[物理]]="","",SUMPRODUCT((表成绩单[考试日期]=表成绩单[[#This Row],[考试日期]])*(表成绩单[物理]&lt;9E+307)*(表成绩单[物理]&gt;表成绩单[[#This Row],[物理]]))+1)</f>
        <v>43</v>
      </c>
      <c r="T880" s="29" cm="1">
        <f t="array" ref="T880">IF(表成绩单[[#This Row],[化学]]="","",SUMPRODUCT((表成绩单[考试日期]=表成绩单[[#This Row],[考试日期]])*(表成绩单[化学]&lt;9E+307)*(表成绩单[化学]&gt;表成绩单[[#This Row],[化学]]))+1)</f>
        <v>73</v>
      </c>
      <c r="U880" s="29" cm="1">
        <f t="array" ref="U880">IF(表成绩单[[#This Row],[政治]]="","",SUMPRODUCT((表成绩单[考试日期]=表成绩单[[#This Row],[考试日期]])*(表成绩单[政治]&lt;9E+307)*(表成绩单[政治]&gt;表成绩单[[#This Row],[政治]]))+1)</f>
        <v>314</v>
      </c>
      <c r="V880" s="29" cm="1">
        <f t="array" ref="V880">IF(表成绩单[[#This Row],[历史]]="","",SUMPRODUCT((表成绩单[考试日期]=表成绩单[[#This Row],[考试日期]])*(表成绩单[历史]&lt;9E+307)*(表成绩单[历史]&gt;表成绩单[[#This Row],[历史]]))+1)</f>
        <v>66</v>
      </c>
      <c r="W880" s="29" cm="1">
        <f t="array" ref="W880">IF(表成绩单[[#This Row],[总分]]="","",SUMPRODUCT((表成绩单[考试日期]=表成绩单[[#This Row],[考试日期]])*(表成绩单[总分]&lt;9E+307)*(表成绩单[总分]&gt;表成绩单[[#This Row],[总分]]))+1)</f>
        <v>75</v>
      </c>
    </row>
    <row r="881" ht="28" customHeight="1" spans="4:23">
      <c r="D881" s="31">
        <v>46003</v>
      </c>
      <c r="E881" s="29">
        <v>19167642</v>
      </c>
      <c r="F881" s="29" t="s">
        <v>1</v>
      </c>
      <c r="G881" s="29" t="s">
        <v>151</v>
      </c>
      <c r="H881" s="29">
        <v>107</v>
      </c>
      <c r="I881" s="29">
        <v>95</v>
      </c>
      <c r="J881" s="29">
        <v>86</v>
      </c>
      <c r="K881" s="29">
        <v>99</v>
      </c>
      <c r="L881" s="29">
        <v>92</v>
      </c>
      <c r="M881" s="29">
        <v>71</v>
      </c>
      <c r="N881" s="29">
        <v>79</v>
      </c>
      <c r="O881" s="32">
        <v>629</v>
      </c>
      <c r="P881" s="29" cm="1">
        <f t="array" ref="P881">IF(表成绩单[[#This Row],[语文]]="","",SUMPRODUCT((表成绩单[考试日期]=表成绩单[[#This Row],[考试日期]])*(表成绩单[语文]&lt;9E+307)*(表成绩单[语文]&gt;表成绩单[[#This Row],[语文]]))+1)</f>
        <v>182</v>
      </c>
      <c r="Q881" s="29" cm="1">
        <f t="array" ref="Q881">IF(表成绩单[[#This Row],[数学]]="","",SUMPRODUCT((表成绩单[考试日期]=表成绩单[[#This Row],[考试日期]])*(表成绩单[数学]&lt;9E+307)*(表成绩单[数学]&gt;表成绩单[[#This Row],[数学]]))+1)</f>
        <v>122</v>
      </c>
      <c r="R881" s="29" cm="1">
        <f t="array" ref="R881">IF(表成绩单[[#This Row],[英语]]="","",SUMPRODUCT((表成绩单[考试日期]=表成绩单[[#This Row],[考试日期]])*(表成绩单[英语]&lt;9E+307)*(表成绩单[英语]&gt;表成绩单[[#This Row],[英语]]))+1)</f>
        <v>16</v>
      </c>
      <c r="S881" s="29" cm="1">
        <f t="array" ref="S881">IF(表成绩单[[#This Row],[物理]]="","",SUMPRODUCT((表成绩单[考试日期]=表成绩单[[#This Row],[考试日期]])*(表成绩单[物理]&lt;9E+307)*(表成绩单[物理]&gt;表成绩单[[#This Row],[物理]]))+1)</f>
        <v>9</v>
      </c>
      <c r="T881" s="29" cm="1">
        <f t="array" ref="T881">IF(表成绩单[[#This Row],[化学]]="","",SUMPRODUCT((表成绩单[考试日期]=表成绩单[[#This Row],[考试日期]])*(表成绩单[化学]&lt;9E+307)*(表成绩单[化学]&gt;表成绩单[[#This Row],[化学]]))+1)</f>
        <v>102</v>
      </c>
      <c r="U881" s="29" cm="1">
        <f t="array" ref="U881">IF(表成绩单[[#This Row],[政治]]="","",SUMPRODUCT((表成绩单[考试日期]=表成绩单[[#This Row],[考试日期]])*(表成绩单[政治]&lt;9E+307)*(表成绩单[政治]&gt;表成绩单[[#This Row],[政治]]))+1)</f>
        <v>168</v>
      </c>
      <c r="V881" s="29" cm="1">
        <f t="array" ref="V881">IF(表成绩单[[#This Row],[历史]]="","",SUMPRODUCT((表成绩单[考试日期]=表成绩单[[#This Row],[考试日期]])*(表成绩单[历史]&lt;9E+307)*(表成绩单[历史]&gt;表成绩单[[#This Row],[历史]]))+1)</f>
        <v>149</v>
      </c>
      <c r="W881" s="29" cm="1">
        <f t="array" ref="W881">IF(表成绩单[[#This Row],[总分]]="","",SUMPRODUCT((表成绩单[考试日期]=表成绩单[[#This Row],[考试日期]])*(表成绩单[总分]&lt;9E+307)*(表成绩单[总分]&gt;表成绩单[[#This Row],[总分]]))+1)</f>
        <v>76</v>
      </c>
    </row>
    <row r="882" ht="28" customHeight="1" spans="4:23">
      <c r="D882" s="31">
        <v>46003</v>
      </c>
      <c r="E882" s="29">
        <v>19174811</v>
      </c>
      <c r="F882" s="29" t="s">
        <v>69</v>
      </c>
      <c r="G882" s="29" t="s">
        <v>110</v>
      </c>
      <c r="H882" s="29">
        <v>109</v>
      </c>
      <c r="I882" s="29">
        <v>101</v>
      </c>
      <c r="J882" s="29">
        <v>82</v>
      </c>
      <c r="K882" s="29">
        <v>95</v>
      </c>
      <c r="L882" s="29">
        <v>94</v>
      </c>
      <c r="M882" s="29">
        <v>67</v>
      </c>
      <c r="N882" s="29">
        <v>81</v>
      </c>
      <c r="O882" s="32">
        <v>629</v>
      </c>
      <c r="P882" s="29" cm="1">
        <f t="array" ref="P882">IF(表成绩单[[#This Row],[语文]]="","",SUMPRODUCT((表成绩单[考试日期]=表成绩单[[#This Row],[考试日期]])*(表成绩单[语文]&lt;9E+307)*(表成绩单[语文]&gt;表成绩单[[#This Row],[语文]]))+1)</f>
        <v>111</v>
      </c>
      <c r="Q882" s="29" cm="1">
        <f t="array" ref="Q882">IF(表成绩单[[#This Row],[数学]]="","",SUMPRODUCT((表成绩单[考试日期]=表成绩单[[#This Row],[考试日期]])*(表成绩单[数学]&lt;9E+307)*(表成绩单[数学]&gt;表成绩单[[#This Row],[数学]]))+1)</f>
        <v>68</v>
      </c>
      <c r="R882" s="29" cm="1">
        <f t="array" ref="R882">IF(表成绩单[[#This Row],[英语]]="","",SUMPRODUCT((表成绩单[考试日期]=表成绩单[[#This Row],[考试日期]])*(表成绩单[英语]&lt;9E+307)*(表成绩单[英语]&gt;表成绩单[[#This Row],[英语]]))+1)</f>
        <v>96</v>
      </c>
      <c r="S882" s="29" cm="1">
        <f t="array" ref="S882">IF(表成绩单[[#This Row],[物理]]="","",SUMPRODUCT((表成绩单[考试日期]=表成绩单[[#This Row],[考试日期]])*(表成绩单[物理]&lt;9E+307)*(表成绩单[物理]&gt;表成绩单[[#This Row],[物理]]))+1)</f>
        <v>97</v>
      </c>
      <c r="T882" s="29" cm="1">
        <f t="array" ref="T882">IF(表成绩单[[#This Row],[化学]]="","",SUMPRODUCT((表成绩单[考试日期]=表成绩单[[#This Row],[考试日期]])*(表成绩单[化学]&lt;9E+307)*(表成绩单[化学]&gt;表成绩单[[#This Row],[化学]]))+1)</f>
        <v>56</v>
      </c>
      <c r="U882" s="29" cm="1">
        <f t="array" ref="U882">IF(表成绩单[[#This Row],[政治]]="","",SUMPRODUCT((表成绩单[考试日期]=表成绩单[[#This Row],[考试日期]])*(表成绩单[政治]&lt;9E+307)*(表成绩单[政治]&gt;表成绩单[[#This Row],[政治]]))+1)</f>
        <v>264</v>
      </c>
      <c r="V882" s="29" cm="1">
        <f t="array" ref="V882">IF(表成绩单[[#This Row],[历史]]="","",SUMPRODUCT((表成绩单[考试日期]=表成绩单[[#This Row],[考试日期]])*(表成绩单[历史]&lt;9E+307)*(表成绩单[历史]&gt;表成绩单[[#This Row],[历史]]))+1)</f>
        <v>92</v>
      </c>
      <c r="W882" s="29" cm="1">
        <f t="array" ref="W882">IF(表成绩单[[#This Row],[总分]]="","",SUMPRODUCT((表成绩单[考试日期]=表成绩单[[#This Row],[考试日期]])*(表成绩单[总分]&lt;9E+307)*(表成绩单[总分]&gt;表成绩单[[#This Row],[总分]]))+1)</f>
        <v>76</v>
      </c>
    </row>
    <row r="883" ht="28" customHeight="1" spans="4:23">
      <c r="D883" s="31">
        <v>46003</v>
      </c>
      <c r="E883" s="29">
        <v>19177225</v>
      </c>
      <c r="F883" s="29" t="s">
        <v>70</v>
      </c>
      <c r="G883" s="29" t="s">
        <v>166</v>
      </c>
      <c r="H883" s="29">
        <v>111</v>
      </c>
      <c r="I883" s="29">
        <v>106</v>
      </c>
      <c r="J883" s="29">
        <v>74</v>
      </c>
      <c r="K883" s="29">
        <v>94</v>
      </c>
      <c r="L883" s="29">
        <v>89</v>
      </c>
      <c r="M883" s="29">
        <v>75</v>
      </c>
      <c r="N883" s="29">
        <v>80</v>
      </c>
      <c r="O883" s="32">
        <v>629</v>
      </c>
      <c r="P883" s="29" cm="1">
        <f t="array" ref="P883">IF(表成绩单[[#This Row],[语文]]="","",SUMPRODUCT((表成绩单[考试日期]=表成绩单[[#This Row],[考试日期]])*(表成绩单[语文]&lt;9E+307)*(表成绩单[语文]&gt;表成绩单[[#This Row],[语文]]))+1)</f>
        <v>56</v>
      </c>
      <c r="Q883" s="29" cm="1">
        <f t="array" ref="Q883">IF(表成绩单[[#This Row],[数学]]="","",SUMPRODUCT((表成绩单[考试日期]=表成绩单[[#This Row],[考试日期]])*(表成绩单[数学]&lt;9E+307)*(表成绩单[数学]&gt;表成绩单[[#This Row],[数学]]))+1)</f>
        <v>23</v>
      </c>
      <c r="R883" s="29" cm="1">
        <f t="array" ref="R883">IF(表成绩单[[#This Row],[英语]]="","",SUMPRODUCT((表成绩单[考试日期]=表成绩单[[#This Row],[考试日期]])*(表成绩单[英语]&lt;9E+307)*(表成绩单[英语]&gt;表成绩单[[#This Row],[英语]]))+1)</f>
        <v>344</v>
      </c>
      <c r="S883" s="29" cm="1">
        <f t="array" ref="S883">IF(表成绩单[[#This Row],[物理]]="","",SUMPRODUCT((表成绩单[考试日期]=表成绩单[[#This Row],[考试日期]])*(表成绩单[物理]&lt;9E+307)*(表成绩单[物理]&gt;表成绩单[[#This Row],[物理]]))+1)</f>
        <v>125</v>
      </c>
      <c r="T883" s="29" cm="1">
        <f t="array" ref="T883">IF(表成绩单[[#This Row],[化学]]="","",SUMPRODUCT((表成绩单[考试日期]=表成绩单[[#This Row],[考试日期]])*(表成绩单[化学]&lt;9E+307)*(表成绩单[化学]&gt;表成绩单[[#This Row],[化学]]))+1)</f>
        <v>157</v>
      </c>
      <c r="U883" s="29" cm="1">
        <f t="array" ref="U883">IF(表成绩单[[#This Row],[政治]]="","",SUMPRODUCT((表成绩单[考试日期]=表成绩单[[#This Row],[考试日期]])*(表成绩单[政治]&lt;9E+307)*(表成绩单[政治]&gt;表成绩单[[#This Row],[政治]]))+1)</f>
        <v>102</v>
      </c>
      <c r="V883" s="29" cm="1">
        <f t="array" ref="V883">IF(表成绩单[[#This Row],[历史]]="","",SUMPRODUCT((表成绩单[考试日期]=表成绩单[[#This Row],[考试日期]])*(表成绩单[历史]&lt;9E+307)*(表成绩单[历史]&gt;表成绩单[[#This Row],[历史]]))+1)</f>
        <v>116</v>
      </c>
      <c r="W883" s="29" cm="1">
        <f t="array" ref="W883">IF(表成绩单[[#This Row],[总分]]="","",SUMPRODUCT((表成绩单[考试日期]=表成绩单[[#This Row],[考试日期]])*(表成绩单[总分]&lt;9E+307)*(表成绩单[总分]&gt;表成绩单[[#This Row],[总分]]))+1)</f>
        <v>76</v>
      </c>
    </row>
    <row r="884" ht="28" customHeight="1" spans="4:23">
      <c r="D884" s="31">
        <v>46003</v>
      </c>
      <c r="E884" s="29">
        <v>19175694</v>
      </c>
      <c r="F884" s="29" t="s">
        <v>72</v>
      </c>
      <c r="G884" s="29" t="s">
        <v>188</v>
      </c>
      <c r="H884" s="29">
        <v>107</v>
      </c>
      <c r="I884" s="29">
        <v>105</v>
      </c>
      <c r="J884" s="29">
        <v>72.5</v>
      </c>
      <c r="K884" s="29">
        <v>98</v>
      </c>
      <c r="L884" s="29">
        <v>93</v>
      </c>
      <c r="M884" s="29">
        <v>72</v>
      </c>
      <c r="N884" s="29">
        <v>81</v>
      </c>
      <c r="O884" s="32">
        <v>628.5</v>
      </c>
      <c r="P884" s="29" cm="1">
        <f t="array" ref="P884">IF(表成绩单[[#This Row],[语文]]="","",SUMPRODUCT((表成绩单[考试日期]=表成绩单[[#This Row],[考试日期]])*(表成绩单[语文]&lt;9E+307)*(表成绩单[语文]&gt;表成绩单[[#This Row],[语文]]))+1)</f>
        <v>182</v>
      </c>
      <c r="Q884" s="29" cm="1">
        <f t="array" ref="Q884">IF(表成绩单[[#This Row],[数学]]="","",SUMPRODUCT((表成绩单[考试日期]=表成绩单[[#This Row],[考试日期]])*(表成绩单[数学]&lt;9E+307)*(表成绩单[数学]&gt;表成绩单[[#This Row],[数学]]))+1)</f>
        <v>33</v>
      </c>
      <c r="R884" s="29" cm="1">
        <f t="array" ref="R884">IF(表成绩单[[#This Row],[英语]]="","",SUMPRODUCT((表成绩单[考试日期]=表成绩单[[#This Row],[考试日期]])*(表成绩单[英语]&lt;9E+307)*(表成绩单[英语]&gt;表成绩单[[#This Row],[英语]]))+1)</f>
        <v>373</v>
      </c>
      <c r="S884" s="29" cm="1">
        <f t="array" ref="S884">IF(表成绩单[[#This Row],[物理]]="","",SUMPRODUCT((表成绩单[考试日期]=表成绩单[[#This Row],[考试日期]])*(表成绩单[物理]&lt;9E+307)*(表成绩单[物理]&gt;表成绩单[[#This Row],[物理]]))+1)</f>
        <v>26</v>
      </c>
      <c r="T884" s="29" cm="1">
        <f t="array" ref="T884">IF(表成绩单[[#This Row],[化学]]="","",SUMPRODUCT((表成绩单[考试日期]=表成绩单[[#This Row],[考试日期]])*(表成绩单[化学]&lt;9E+307)*(表成绩单[化学]&gt;表成绩单[[#This Row],[化学]]))+1)</f>
        <v>73</v>
      </c>
      <c r="U884" s="29" cm="1">
        <f t="array" ref="U884">IF(表成绩单[[#This Row],[政治]]="","",SUMPRODUCT((表成绩单[考试日期]=表成绩单[[#This Row],[考试日期]])*(表成绩单[政治]&lt;9E+307)*(表成绩单[政治]&gt;表成绩单[[#This Row],[政治]]))+1)</f>
        <v>155</v>
      </c>
      <c r="V884" s="29" cm="1">
        <f t="array" ref="V884">IF(表成绩单[[#This Row],[历史]]="","",SUMPRODUCT((表成绩单[考试日期]=表成绩单[[#This Row],[考试日期]])*(表成绩单[历史]&lt;9E+307)*(表成绩单[历史]&gt;表成绩单[[#This Row],[历史]]))+1)</f>
        <v>92</v>
      </c>
      <c r="W884" s="29" cm="1">
        <f t="array" ref="W884">IF(表成绩单[[#This Row],[总分]]="","",SUMPRODUCT((表成绩单[考试日期]=表成绩单[[#This Row],[考试日期]])*(表成绩单[总分]&lt;9E+307)*(表成绩单[总分]&gt;表成绩单[[#This Row],[总分]]))+1)</f>
        <v>79</v>
      </c>
    </row>
    <row r="885" ht="28" customHeight="1" spans="4:23">
      <c r="D885" s="31">
        <v>46003</v>
      </c>
      <c r="E885" s="29">
        <v>19176871</v>
      </c>
      <c r="F885" s="29" t="s">
        <v>71</v>
      </c>
      <c r="G885" s="29" t="s">
        <v>123</v>
      </c>
      <c r="H885" s="29">
        <v>106</v>
      </c>
      <c r="I885" s="29">
        <v>102</v>
      </c>
      <c r="J885" s="29">
        <v>81.5</v>
      </c>
      <c r="K885" s="29">
        <v>97</v>
      </c>
      <c r="L885" s="29">
        <v>89</v>
      </c>
      <c r="M885" s="29">
        <v>76</v>
      </c>
      <c r="N885" s="29">
        <v>77</v>
      </c>
      <c r="O885" s="32">
        <v>628.5</v>
      </c>
      <c r="P885" s="29" cm="1">
        <f t="array" ref="P885">IF(表成绩单[[#This Row],[语文]]="","",SUMPRODUCT((表成绩单[考试日期]=表成绩单[[#This Row],[考试日期]])*(表成绩单[语文]&lt;9E+307)*(表成绩单[语文]&gt;表成绩单[[#This Row],[语文]]))+1)</f>
        <v>210</v>
      </c>
      <c r="Q885" s="29" cm="1">
        <f t="array" ref="Q885">IF(表成绩单[[#This Row],[数学]]="","",SUMPRODUCT((表成绩单[考试日期]=表成绩单[[#This Row],[考试日期]])*(表成绩单[数学]&lt;9E+307)*(表成绩单[数学]&gt;表成绩单[[#This Row],[数学]]))+1)</f>
        <v>52</v>
      </c>
      <c r="R885" s="29" cm="1">
        <f t="array" ref="R885">IF(表成绩单[[#This Row],[英语]]="","",SUMPRODUCT((表成绩单[考试日期]=表成绩单[[#This Row],[考试日期]])*(表成绩单[英语]&lt;9E+307)*(表成绩单[英语]&gt;表成绩单[[#This Row],[英语]]))+1)</f>
        <v>113</v>
      </c>
      <c r="S885" s="29" cm="1">
        <f t="array" ref="S885">IF(表成绩单[[#This Row],[物理]]="","",SUMPRODUCT((表成绩单[考试日期]=表成绩单[[#This Row],[考试日期]])*(表成绩单[物理]&lt;9E+307)*(表成绩单[物理]&gt;表成绩单[[#This Row],[物理]]))+1)</f>
        <v>43</v>
      </c>
      <c r="T885" s="29" cm="1">
        <f t="array" ref="T885">IF(表成绩单[[#This Row],[化学]]="","",SUMPRODUCT((表成绩单[考试日期]=表成绩单[[#This Row],[考试日期]])*(表成绩单[化学]&lt;9E+307)*(表成绩单[化学]&gt;表成绩单[[#This Row],[化学]]))+1)</f>
        <v>157</v>
      </c>
      <c r="U885" s="29" cm="1">
        <f t="array" ref="U885">IF(表成绩单[[#This Row],[政治]]="","",SUMPRODUCT((表成绩单[考试日期]=表成绩单[[#This Row],[考试日期]])*(表成绩单[政治]&lt;9E+307)*(表成绩单[政治]&gt;表成绩单[[#This Row],[政治]]))+1)</f>
        <v>77</v>
      </c>
      <c r="V885" s="29" cm="1">
        <f t="array" ref="V885">IF(表成绩单[[#This Row],[历史]]="","",SUMPRODUCT((表成绩单[考试日期]=表成绩单[[#This Row],[考试日期]])*(表成绩单[历史]&lt;9E+307)*(表成绩单[历史]&gt;表成绩单[[#This Row],[历史]]))+1)</f>
        <v>235</v>
      </c>
      <c r="W885" s="29" cm="1">
        <f t="array" ref="W885">IF(表成绩单[[#This Row],[总分]]="","",SUMPRODUCT((表成绩单[考试日期]=表成绩单[[#This Row],[考试日期]])*(表成绩单[总分]&lt;9E+307)*(表成绩单[总分]&gt;表成绩单[[#This Row],[总分]]))+1)</f>
        <v>79</v>
      </c>
    </row>
    <row r="886" ht="28" customHeight="1" spans="4:23">
      <c r="D886" s="31">
        <v>46003</v>
      </c>
      <c r="E886" s="29">
        <v>19174792</v>
      </c>
      <c r="F886" s="29" t="s">
        <v>69</v>
      </c>
      <c r="G886" s="29" t="s">
        <v>108</v>
      </c>
      <c r="H886" s="29">
        <v>110</v>
      </c>
      <c r="I886" s="29">
        <v>83</v>
      </c>
      <c r="J886" s="29">
        <v>84</v>
      </c>
      <c r="K886" s="29">
        <v>97</v>
      </c>
      <c r="L886" s="29">
        <v>90</v>
      </c>
      <c r="M886" s="29">
        <v>82</v>
      </c>
      <c r="N886" s="29">
        <v>82</v>
      </c>
      <c r="O886" s="32">
        <v>628</v>
      </c>
      <c r="P886" s="29" cm="1">
        <f t="array" ref="P886">IF(表成绩单[[#This Row],[语文]]="","",SUMPRODUCT((表成绩单[考试日期]=表成绩单[[#This Row],[考试日期]])*(表成绩单[语文]&lt;9E+307)*(表成绩单[语文]&gt;表成绩单[[#This Row],[语文]]))+1)</f>
        <v>84</v>
      </c>
      <c r="Q886" s="29" cm="1">
        <f t="array" ref="Q886">IF(表成绩单[[#This Row],[数学]]="","",SUMPRODUCT((表成绩单[考试日期]=表成绩单[[#This Row],[考试日期]])*(表成绩单[数学]&lt;9E+307)*(表成绩单[数学]&gt;表成绩单[[#This Row],[数学]]))+1)</f>
        <v>272</v>
      </c>
      <c r="R886" s="29" cm="1">
        <f t="array" ref="R886">IF(表成绩单[[#This Row],[英语]]="","",SUMPRODUCT((表成绩单[考试日期]=表成绩单[[#This Row],[考试日期]])*(表成绩单[英语]&lt;9E+307)*(表成绩单[英语]&gt;表成绩单[[#This Row],[英语]]))+1)</f>
        <v>48</v>
      </c>
      <c r="S886" s="29" cm="1">
        <f t="array" ref="S886">IF(表成绩单[[#This Row],[物理]]="","",SUMPRODUCT((表成绩单[考试日期]=表成绩单[[#This Row],[考试日期]])*(表成绩单[物理]&lt;9E+307)*(表成绩单[物理]&gt;表成绩单[[#This Row],[物理]]))+1)</f>
        <v>43</v>
      </c>
      <c r="T886" s="29" cm="1">
        <f t="array" ref="T886">IF(表成绩单[[#This Row],[化学]]="","",SUMPRODUCT((表成绩单[考试日期]=表成绩单[[#This Row],[考试日期]])*(表成绩单[化学]&lt;9E+307)*(表成绩单[化学]&gt;表成绩单[[#This Row],[化学]]))+1)</f>
        <v>140</v>
      </c>
      <c r="U886" s="29" cm="1">
        <f t="array" ref="U886">IF(表成绩单[[#This Row],[政治]]="","",SUMPRODUCT((表成绩单[考试日期]=表成绩单[[#This Row],[考试日期]])*(表成绩单[政治]&lt;9E+307)*(表成绩单[政治]&gt;表成绩单[[#This Row],[政治]]))+1)</f>
        <v>13</v>
      </c>
      <c r="V886" s="29" cm="1">
        <f t="array" ref="V886">IF(表成绩单[[#This Row],[历史]]="","",SUMPRODUCT((表成绩单[考试日期]=表成绩单[[#This Row],[考试日期]])*(表成绩单[历史]&lt;9E+307)*(表成绩单[历史]&gt;表成绩单[[#This Row],[历史]]))+1)</f>
        <v>66</v>
      </c>
      <c r="W886" s="29" cm="1">
        <f t="array" ref="W886">IF(表成绩单[[#This Row],[总分]]="","",SUMPRODUCT((表成绩单[考试日期]=表成绩单[[#This Row],[考试日期]])*(表成绩单[总分]&lt;9E+307)*(表成绩单[总分]&gt;表成绩单[[#This Row],[总分]]))+1)</f>
        <v>81</v>
      </c>
    </row>
    <row r="887" ht="28" customHeight="1" spans="4:23">
      <c r="D887" s="31">
        <v>46003</v>
      </c>
      <c r="E887" s="29">
        <v>19175691</v>
      </c>
      <c r="F887" s="29" t="s">
        <v>72</v>
      </c>
      <c r="G887" s="29" t="s">
        <v>147</v>
      </c>
      <c r="H887" s="29">
        <v>108</v>
      </c>
      <c r="I887" s="29">
        <v>92</v>
      </c>
      <c r="J887" s="29">
        <v>75.5</v>
      </c>
      <c r="K887" s="29">
        <v>98</v>
      </c>
      <c r="L887" s="29">
        <v>98</v>
      </c>
      <c r="M887" s="29">
        <v>79</v>
      </c>
      <c r="N887" s="29">
        <v>77</v>
      </c>
      <c r="O887" s="32">
        <v>627.5</v>
      </c>
      <c r="P887" s="29" cm="1">
        <f t="array" ref="P887">IF(表成绩单[[#This Row],[语文]]="","",SUMPRODUCT((表成绩单[考试日期]=表成绩单[[#This Row],[考试日期]])*(表成绩单[语文]&lt;9E+307)*(表成绩单[语文]&gt;表成绩单[[#This Row],[语文]]))+1)</f>
        <v>154</v>
      </c>
      <c r="Q887" s="29" cm="1">
        <f t="array" ref="Q887">IF(表成绩单[[#This Row],[数学]]="","",SUMPRODUCT((表成绩单[考试日期]=表成绩单[[#This Row],[考试日期]])*(表成绩单[数学]&lt;9E+307)*(表成绩单[数学]&gt;表成绩单[[#This Row],[数学]]))+1)</f>
        <v>170</v>
      </c>
      <c r="R887" s="29" cm="1">
        <f t="array" ref="R887">IF(表成绩单[[#This Row],[英语]]="","",SUMPRODUCT((表成绩单[考试日期]=表成绩单[[#This Row],[考试日期]])*(表成绩单[英语]&lt;9E+307)*(表成绩单[英语]&gt;表成绩单[[#This Row],[英语]]))+1)</f>
        <v>299</v>
      </c>
      <c r="S887" s="29" cm="1">
        <f t="array" ref="S887">IF(表成绩单[[#This Row],[物理]]="","",SUMPRODUCT((表成绩单[考试日期]=表成绩单[[#This Row],[考试日期]])*(表成绩单[物理]&lt;9E+307)*(表成绩单[物理]&gt;表成绩单[[#This Row],[物理]]))+1)</f>
        <v>26</v>
      </c>
      <c r="T887" s="29" cm="1">
        <f t="array" ref="T887">IF(表成绩单[[#This Row],[化学]]="","",SUMPRODUCT((表成绩单[考试日期]=表成绩单[[#This Row],[考试日期]])*(表成绩单[化学]&lt;9E+307)*(表成绩单[化学]&gt;表成绩单[[#This Row],[化学]]))+1)</f>
        <v>8</v>
      </c>
      <c r="U887" s="29" cm="1">
        <f t="array" ref="U887">IF(表成绩单[[#This Row],[政治]]="","",SUMPRODUCT((表成绩单[考试日期]=表成绩单[[#This Row],[考试日期]])*(表成绩单[政治]&lt;9E+307)*(表成绩单[政治]&gt;表成绩单[[#This Row],[政治]]))+1)</f>
        <v>36</v>
      </c>
      <c r="V887" s="29" cm="1">
        <f t="array" ref="V887">IF(表成绩单[[#This Row],[历史]]="","",SUMPRODUCT((表成绩单[考试日期]=表成绩单[[#This Row],[考试日期]])*(表成绩单[历史]&lt;9E+307)*(表成绩单[历史]&gt;表成绩单[[#This Row],[历史]]))+1)</f>
        <v>235</v>
      </c>
      <c r="W887" s="29" cm="1">
        <f t="array" ref="W887">IF(表成绩单[[#This Row],[总分]]="","",SUMPRODUCT((表成绩单[考试日期]=表成绩单[[#This Row],[考试日期]])*(表成绩单[总分]&lt;9E+307)*(表成绩单[总分]&gt;表成绩单[[#This Row],[总分]]))+1)</f>
        <v>82</v>
      </c>
    </row>
    <row r="888" ht="28" customHeight="1" spans="4:23">
      <c r="D888" s="31">
        <v>46003</v>
      </c>
      <c r="E888" s="29">
        <v>19167650</v>
      </c>
      <c r="F888" s="29" t="s">
        <v>1</v>
      </c>
      <c r="G888" s="29" t="s">
        <v>274</v>
      </c>
      <c r="H888" s="29">
        <v>107</v>
      </c>
      <c r="I888" s="29">
        <v>100</v>
      </c>
      <c r="J888" s="29">
        <v>84</v>
      </c>
      <c r="K888" s="29">
        <v>89</v>
      </c>
      <c r="L888" s="29">
        <v>95</v>
      </c>
      <c r="M888" s="29">
        <v>69</v>
      </c>
      <c r="N888" s="29">
        <v>83</v>
      </c>
      <c r="O888" s="32">
        <v>627</v>
      </c>
      <c r="P888" s="29" cm="1">
        <f t="array" ref="P888">IF(表成绩单[[#This Row],[语文]]="","",SUMPRODUCT((表成绩单[考试日期]=表成绩单[[#This Row],[考试日期]])*(表成绩单[语文]&lt;9E+307)*(表成绩单[语文]&gt;表成绩单[[#This Row],[语文]]))+1)</f>
        <v>182</v>
      </c>
      <c r="Q888" s="29" cm="1">
        <f t="array" ref="Q888">IF(表成绩单[[#This Row],[数学]]="","",SUMPRODUCT((表成绩单[考试日期]=表成绩单[[#This Row],[考试日期]])*(表成绩单[数学]&lt;9E+307)*(表成绩单[数学]&gt;表成绩单[[#This Row],[数学]]))+1)</f>
        <v>77</v>
      </c>
      <c r="R888" s="29" cm="1">
        <f t="array" ref="R888">IF(表成绩单[[#This Row],[英语]]="","",SUMPRODUCT((表成绩单[考试日期]=表成绩单[[#This Row],[考试日期]])*(表成绩单[英语]&lt;9E+307)*(表成绩单[英语]&gt;表成绩单[[#This Row],[英语]]))+1)</f>
        <v>48</v>
      </c>
      <c r="S888" s="29" cm="1">
        <f t="array" ref="S888">IF(表成绩单[[#This Row],[物理]]="","",SUMPRODUCT((表成绩单[考试日期]=表成绩单[[#This Row],[考试日期]])*(表成绩单[物理]&lt;9E+307)*(表成绩单[物理]&gt;表成绩单[[#This Row],[物理]]))+1)</f>
        <v>269</v>
      </c>
      <c r="T888" s="29" cm="1">
        <f t="array" ref="T888">IF(表成绩单[[#This Row],[化学]]="","",SUMPRODUCT((表成绩单[考试日期]=表成绩单[[#This Row],[考试日期]])*(表成绩单[化学]&lt;9E+307)*(表成绩单[化学]&gt;表成绩单[[#This Row],[化学]]))+1)</f>
        <v>37</v>
      </c>
      <c r="U888" s="29" cm="1">
        <f t="array" ref="U888">IF(表成绩单[[#This Row],[政治]]="","",SUMPRODUCT((表成绩单[考试日期]=表成绩单[[#This Row],[考试日期]])*(表成绩单[政治]&lt;9E+307)*(表成绩单[政治]&gt;表成绩单[[#This Row],[政治]]))+1)</f>
        <v>212</v>
      </c>
      <c r="V888" s="29" cm="1">
        <f t="array" ref="V888">IF(表成绩单[[#This Row],[历史]]="","",SUMPRODUCT((表成绩单[考试日期]=表成绩单[[#This Row],[考试日期]])*(表成绩单[历史]&lt;9E+307)*(表成绩单[历史]&gt;表成绩单[[#This Row],[历史]]))+1)</f>
        <v>46</v>
      </c>
      <c r="W888" s="29" cm="1">
        <f t="array" ref="W888">IF(表成绩单[[#This Row],[总分]]="","",SUMPRODUCT((表成绩单[考试日期]=表成绩单[[#This Row],[考试日期]])*(表成绩单[总分]&lt;9E+307)*(表成绩单[总分]&gt;表成绩单[[#This Row],[总分]]))+1)</f>
        <v>83</v>
      </c>
    </row>
    <row r="889" ht="28" customHeight="1" spans="4:23">
      <c r="D889" s="31">
        <v>46003</v>
      </c>
      <c r="E889" s="29">
        <v>19174439</v>
      </c>
      <c r="F889" s="29" t="s">
        <v>73</v>
      </c>
      <c r="G889" s="29" t="s">
        <v>202</v>
      </c>
      <c r="H889" s="29">
        <v>111</v>
      </c>
      <c r="I889" s="29">
        <v>85</v>
      </c>
      <c r="J889" s="29">
        <v>87</v>
      </c>
      <c r="K889" s="29">
        <v>96</v>
      </c>
      <c r="L889" s="29">
        <v>91</v>
      </c>
      <c r="M889" s="29">
        <v>77</v>
      </c>
      <c r="N889" s="29">
        <v>80</v>
      </c>
      <c r="O889" s="32">
        <v>627</v>
      </c>
      <c r="P889" s="29" cm="1">
        <f t="array" ref="P889">IF(表成绩单[[#This Row],[语文]]="","",SUMPRODUCT((表成绩单[考试日期]=表成绩单[[#This Row],[考试日期]])*(表成绩单[语文]&lt;9E+307)*(表成绩单[语文]&gt;表成绩单[[#This Row],[语文]]))+1)</f>
        <v>56</v>
      </c>
      <c r="Q889" s="29" cm="1">
        <f t="array" ref="Q889">IF(表成绩单[[#This Row],[数学]]="","",SUMPRODUCT((表成绩单[考试日期]=表成绩单[[#This Row],[考试日期]])*(表成绩单[数学]&lt;9E+307)*(表成绩单[数学]&gt;表成绩单[[#This Row],[数学]]))+1)</f>
        <v>249</v>
      </c>
      <c r="R889" s="29" cm="1">
        <f t="array" ref="R889">IF(表成绩单[[#This Row],[英语]]="","",SUMPRODUCT((表成绩单[考试日期]=表成绩单[[#This Row],[考试日期]])*(表成绩单[英语]&lt;9E+307)*(表成绩单[英语]&gt;表成绩单[[#This Row],[英语]]))+1)</f>
        <v>10</v>
      </c>
      <c r="S889" s="29" cm="1">
        <f t="array" ref="S889">IF(表成绩单[[#This Row],[物理]]="","",SUMPRODUCT((表成绩单[考试日期]=表成绩单[[#This Row],[考试日期]])*(表成绩单[物理]&lt;9E+307)*(表成绩单[物理]&gt;表成绩单[[#This Row],[物理]]))+1)</f>
        <v>64</v>
      </c>
      <c r="T889" s="29" cm="1">
        <f t="array" ref="T889">IF(表成绩单[[#This Row],[化学]]="","",SUMPRODUCT((表成绩单[考试日期]=表成绩单[[#This Row],[考试日期]])*(表成绩单[化学]&lt;9E+307)*(表成绩单[化学]&gt;表成绩单[[#This Row],[化学]]))+1)</f>
        <v>127</v>
      </c>
      <c r="U889" s="29" cm="1">
        <f t="array" ref="U889">IF(表成绩单[[#This Row],[政治]]="","",SUMPRODUCT((表成绩单[考试日期]=表成绩单[[#This Row],[考试日期]])*(表成绩单[政治]&lt;9E+307)*(表成绩单[政治]&gt;表成绩单[[#This Row],[政治]]))+1)</f>
        <v>64</v>
      </c>
      <c r="V889" s="29" cm="1">
        <f t="array" ref="V889">IF(表成绩单[[#This Row],[历史]]="","",SUMPRODUCT((表成绩单[考试日期]=表成绩单[[#This Row],[考试日期]])*(表成绩单[历史]&lt;9E+307)*(表成绩单[历史]&gt;表成绩单[[#This Row],[历史]]))+1)</f>
        <v>116</v>
      </c>
      <c r="W889" s="29" cm="1">
        <f t="array" ref="W889">IF(表成绩单[[#This Row],[总分]]="","",SUMPRODUCT((表成绩单[考试日期]=表成绩单[[#This Row],[考试日期]])*(表成绩单[总分]&lt;9E+307)*(表成绩单[总分]&gt;表成绩单[[#This Row],[总分]]))+1)</f>
        <v>83</v>
      </c>
    </row>
    <row r="890" ht="28" customHeight="1" spans="4:23">
      <c r="D890" s="31">
        <v>46003</v>
      </c>
      <c r="E890" s="29">
        <v>19174786</v>
      </c>
      <c r="F890" s="29" t="s">
        <v>69</v>
      </c>
      <c r="G890" s="29" t="s">
        <v>180</v>
      </c>
      <c r="H890" s="29">
        <v>110</v>
      </c>
      <c r="I890" s="29">
        <v>99</v>
      </c>
      <c r="J890" s="29">
        <v>87</v>
      </c>
      <c r="K890" s="29">
        <v>94</v>
      </c>
      <c r="L890" s="29">
        <v>88</v>
      </c>
      <c r="M890" s="29">
        <v>67</v>
      </c>
      <c r="N890" s="29">
        <v>82</v>
      </c>
      <c r="O890" s="32">
        <v>627</v>
      </c>
      <c r="P890" s="29" cm="1">
        <f t="array" ref="P890">IF(表成绩单[[#This Row],[语文]]="","",SUMPRODUCT((表成绩单[考试日期]=表成绩单[[#This Row],[考试日期]])*(表成绩单[语文]&lt;9E+307)*(表成绩单[语文]&gt;表成绩单[[#This Row],[语文]]))+1)</f>
        <v>84</v>
      </c>
      <c r="Q890" s="29" cm="1">
        <f t="array" ref="Q890">IF(表成绩单[[#This Row],[数学]]="","",SUMPRODUCT((表成绩单[考试日期]=表成绩单[[#This Row],[考试日期]])*(表成绩单[数学]&lt;9E+307)*(表成绩单[数学]&gt;表成绩单[[#This Row],[数学]]))+1)</f>
        <v>88</v>
      </c>
      <c r="R890" s="29" cm="1">
        <f t="array" ref="R890">IF(表成绩单[[#This Row],[英语]]="","",SUMPRODUCT((表成绩单[考试日期]=表成绩单[[#This Row],[考试日期]])*(表成绩单[英语]&lt;9E+307)*(表成绩单[英语]&gt;表成绩单[[#This Row],[英语]]))+1)</f>
        <v>10</v>
      </c>
      <c r="S890" s="29" cm="1">
        <f t="array" ref="S890">IF(表成绩单[[#This Row],[物理]]="","",SUMPRODUCT((表成绩单[考试日期]=表成绩单[[#This Row],[考试日期]])*(表成绩单[物理]&lt;9E+307)*(表成绩单[物理]&gt;表成绩单[[#This Row],[物理]]))+1)</f>
        <v>125</v>
      </c>
      <c r="T890" s="29" cm="1">
        <f t="array" ref="T890">IF(表成绩单[[#This Row],[化学]]="","",SUMPRODUCT((表成绩单[考试日期]=表成绩单[[#This Row],[考试日期]])*(表成绩单[化学]&lt;9E+307)*(表成绩单[化学]&gt;表成绩单[[#This Row],[化学]]))+1)</f>
        <v>175</v>
      </c>
      <c r="U890" s="29" cm="1">
        <f t="array" ref="U890">IF(表成绩单[[#This Row],[政治]]="","",SUMPRODUCT((表成绩单[考试日期]=表成绩单[[#This Row],[考试日期]])*(表成绩单[政治]&lt;9E+307)*(表成绩单[政治]&gt;表成绩单[[#This Row],[政治]]))+1)</f>
        <v>264</v>
      </c>
      <c r="V890" s="29" cm="1">
        <f t="array" ref="V890">IF(表成绩单[[#This Row],[历史]]="","",SUMPRODUCT((表成绩单[考试日期]=表成绩单[[#This Row],[考试日期]])*(表成绩单[历史]&lt;9E+307)*(表成绩单[历史]&gt;表成绩单[[#This Row],[历史]]))+1)</f>
        <v>66</v>
      </c>
      <c r="W890" s="29" cm="1">
        <f t="array" ref="W890">IF(表成绩单[[#This Row],[总分]]="","",SUMPRODUCT((表成绩单[考试日期]=表成绩单[[#This Row],[考试日期]])*(表成绩单[总分]&lt;9E+307)*(表成绩单[总分]&gt;表成绩单[[#This Row],[总分]]))+1)</f>
        <v>83</v>
      </c>
    </row>
    <row r="891" ht="28" customHeight="1" spans="4:23">
      <c r="D891" s="31">
        <v>46003</v>
      </c>
      <c r="E891" s="29">
        <v>19177235</v>
      </c>
      <c r="F891" s="29" t="s">
        <v>70</v>
      </c>
      <c r="G891" s="29" t="s">
        <v>137</v>
      </c>
      <c r="H891" s="29">
        <v>109</v>
      </c>
      <c r="I891" s="29">
        <v>106</v>
      </c>
      <c r="J891" s="29">
        <v>79</v>
      </c>
      <c r="K891" s="29">
        <v>94</v>
      </c>
      <c r="L891" s="29">
        <v>92</v>
      </c>
      <c r="M891" s="29">
        <v>71</v>
      </c>
      <c r="N891" s="29">
        <v>76</v>
      </c>
      <c r="O891" s="32">
        <v>627</v>
      </c>
      <c r="P891" s="29" cm="1">
        <f t="array" ref="P891">IF(表成绩单[[#This Row],[语文]]="","",SUMPRODUCT((表成绩单[考试日期]=表成绩单[[#This Row],[考试日期]])*(表成绩单[语文]&lt;9E+307)*(表成绩单[语文]&gt;表成绩单[[#This Row],[语文]]))+1)</f>
        <v>111</v>
      </c>
      <c r="Q891" s="29" cm="1">
        <f t="array" ref="Q891">IF(表成绩单[[#This Row],[数学]]="","",SUMPRODUCT((表成绩单[考试日期]=表成绩单[[#This Row],[考试日期]])*(表成绩单[数学]&lt;9E+307)*(表成绩单[数学]&gt;表成绩单[[#This Row],[数学]]))+1)</f>
        <v>23</v>
      </c>
      <c r="R891" s="29" cm="1">
        <f t="array" ref="R891">IF(表成绩单[[#This Row],[英语]]="","",SUMPRODUCT((表成绩单[考试日期]=表成绩单[[#This Row],[考试日期]])*(表成绩单[英语]&lt;9E+307)*(表成绩单[英语]&gt;表成绩单[[#This Row],[英语]]))+1)</f>
        <v>188</v>
      </c>
      <c r="S891" s="29" cm="1">
        <f t="array" ref="S891">IF(表成绩单[[#This Row],[物理]]="","",SUMPRODUCT((表成绩单[考试日期]=表成绩单[[#This Row],[考试日期]])*(表成绩单[物理]&lt;9E+307)*(表成绩单[物理]&gt;表成绩单[[#This Row],[物理]]))+1)</f>
        <v>125</v>
      </c>
      <c r="T891" s="29" cm="1">
        <f t="array" ref="T891">IF(表成绩单[[#This Row],[化学]]="","",SUMPRODUCT((表成绩单[考试日期]=表成绩单[[#This Row],[考试日期]])*(表成绩单[化学]&lt;9E+307)*(表成绩单[化学]&gt;表成绩单[[#This Row],[化学]]))+1)</f>
        <v>102</v>
      </c>
      <c r="U891" s="29" cm="1">
        <f t="array" ref="U891">IF(表成绩单[[#This Row],[政治]]="","",SUMPRODUCT((表成绩单[考试日期]=表成绩单[[#This Row],[考试日期]])*(表成绩单[政治]&lt;9E+307)*(表成绩单[政治]&gt;表成绩单[[#This Row],[政治]]))+1)</f>
        <v>168</v>
      </c>
      <c r="V891" s="29" cm="1">
        <f t="array" ref="V891">IF(表成绩单[[#This Row],[历史]]="","",SUMPRODUCT((表成绩单[考试日期]=表成绩单[[#This Row],[考试日期]])*(表成绩单[历史]&lt;9E+307)*(表成绩单[历史]&gt;表成绩单[[#This Row],[历史]]))+1)</f>
        <v>279</v>
      </c>
      <c r="W891" s="29" cm="1">
        <f t="array" ref="W891">IF(表成绩单[[#This Row],[总分]]="","",SUMPRODUCT((表成绩单[考试日期]=表成绩单[[#This Row],[考试日期]])*(表成绩单[总分]&lt;9E+307)*(表成绩单[总分]&gt;表成绩单[[#This Row],[总分]]))+1)</f>
        <v>83</v>
      </c>
    </row>
    <row r="892" ht="28" customHeight="1" spans="4:23">
      <c r="D892" s="31">
        <v>46003</v>
      </c>
      <c r="E892" s="29">
        <v>19175403</v>
      </c>
      <c r="F892" s="29" t="s">
        <v>74</v>
      </c>
      <c r="G892" s="29" t="s">
        <v>96</v>
      </c>
      <c r="H892" s="29">
        <v>106</v>
      </c>
      <c r="I892" s="29">
        <v>96</v>
      </c>
      <c r="J892" s="29">
        <v>81.5</v>
      </c>
      <c r="K892" s="29">
        <v>89</v>
      </c>
      <c r="L892" s="29">
        <v>97</v>
      </c>
      <c r="M892" s="29">
        <v>72</v>
      </c>
      <c r="N892" s="29">
        <v>85</v>
      </c>
      <c r="O892" s="32">
        <v>626.5</v>
      </c>
      <c r="P892" s="29" cm="1">
        <f t="array" ref="P892">IF(表成绩单[[#This Row],[语文]]="","",SUMPRODUCT((表成绩单[考试日期]=表成绩单[[#This Row],[考试日期]])*(表成绩单[语文]&lt;9E+307)*(表成绩单[语文]&gt;表成绩单[[#This Row],[语文]]))+1)</f>
        <v>210</v>
      </c>
      <c r="Q892" s="29" cm="1">
        <f t="array" ref="Q892">IF(表成绩单[[#This Row],[数学]]="","",SUMPRODUCT((表成绩单[考试日期]=表成绩单[[#This Row],[考试日期]])*(表成绩单[数学]&lt;9E+307)*(表成绩单[数学]&gt;表成绩单[[#This Row],[数学]]))+1)</f>
        <v>114</v>
      </c>
      <c r="R892" s="29" cm="1">
        <f t="array" ref="R892">IF(表成绩单[[#This Row],[英语]]="","",SUMPRODUCT((表成绩单[考试日期]=表成绩单[[#This Row],[考试日期]])*(表成绩单[英语]&lt;9E+307)*(表成绩单[英语]&gt;表成绩单[[#This Row],[英语]]))+1)</f>
        <v>113</v>
      </c>
      <c r="S892" s="29" cm="1">
        <f t="array" ref="S892">IF(表成绩单[[#This Row],[物理]]="","",SUMPRODUCT((表成绩单[考试日期]=表成绩单[[#This Row],[考试日期]])*(表成绩单[物理]&lt;9E+307)*(表成绩单[物理]&gt;表成绩单[[#This Row],[物理]]))+1)</f>
        <v>269</v>
      </c>
      <c r="T892" s="29" cm="1">
        <f t="array" ref="T892">IF(表成绩单[[#This Row],[化学]]="","",SUMPRODUCT((表成绩单[考试日期]=表成绩单[[#This Row],[考试日期]])*(表成绩单[化学]&lt;9E+307)*(表成绩单[化学]&gt;表成绩单[[#This Row],[化学]]))+1)</f>
        <v>13</v>
      </c>
      <c r="U892" s="29" cm="1">
        <f t="array" ref="U892">IF(表成绩单[[#This Row],[政治]]="","",SUMPRODUCT((表成绩单[考试日期]=表成绩单[[#This Row],[考试日期]])*(表成绩单[政治]&lt;9E+307)*(表成绩单[政治]&gt;表成绩单[[#This Row],[政治]]))+1)</f>
        <v>155</v>
      </c>
      <c r="V892" s="29" cm="1">
        <f t="array" ref="V892">IF(表成绩单[[#This Row],[历史]]="","",SUMPRODUCT((表成绩单[考试日期]=表成绩单[[#This Row],[考试日期]])*(表成绩单[历史]&lt;9E+307)*(表成绩单[历史]&gt;表成绩单[[#This Row],[历史]]))+1)</f>
        <v>12</v>
      </c>
      <c r="W892" s="29" cm="1">
        <f t="array" ref="W892">IF(表成绩单[[#This Row],[总分]]="","",SUMPRODUCT((表成绩单[考试日期]=表成绩单[[#This Row],[考试日期]])*(表成绩单[总分]&lt;9E+307)*(表成绩单[总分]&gt;表成绩单[[#This Row],[总分]]))+1)</f>
        <v>87</v>
      </c>
    </row>
    <row r="893" ht="28" customHeight="1" spans="4:23">
      <c r="D893" s="31">
        <v>46003</v>
      </c>
      <c r="E893" s="29">
        <v>19167645</v>
      </c>
      <c r="F893" s="29" t="s">
        <v>1</v>
      </c>
      <c r="G893" s="29" t="s">
        <v>173</v>
      </c>
      <c r="H893" s="29">
        <v>107</v>
      </c>
      <c r="I893" s="29">
        <v>108</v>
      </c>
      <c r="J893" s="29">
        <v>79</v>
      </c>
      <c r="K893" s="29">
        <v>91</v>
      </c>
      <c r="L893" s="29">
        <v>88</v>
      </c>
      <c r="M893" s="29">
        <v>68</v>
      </c>
      <c r="N893" s="29">
        <v>85</v>
      </c>
      <c r="O893" s="32">
        <v>626</v>
      </c>
      <c r="P893" s="29" cm="1">
        <f t="array" ref="P893">IF(表成绩单[[#This Row],[语文]]="","",SUMPRODUCT((表成绩单[考试日期]=表成绩单[[#This Row],[考试日期]])*(表成绩单[语文]&lt;9E+307)*(表成绩单[语文]&gt;表成绩单[[#This Row],[语文]]))+1)</f>
        <v>182</v>
      </c>
      <c r="Q893" s="29" cm="1">
        <f t="array" ref="Q893">IF(表成绩单[[#This Row],[数学]]="","",SUMPRODUCT((表成绩单[考试日期]=表成绩单[[#This Row],[考试日期]])*(表成绩单[数学]&lt;9E+307)*(表成绩单[数学]&gt;表成绩单[[#This Row],[数学]]))+1)</f>
        <v>15</v>
      </c>
      <c r="R893" s="29" cm="1">
        <f t="array" ref="R893">IF(表成绩单[[#This Row],[英语]]="","",SUMPRODUCT((表成绩单[考试日期]=表成绩单[[#This Row],[考试日期]])*(表成绩单[英语]&lt;9E+307)*(表成绩单[英语]&gt;表成绩单[[#This Row],[英语]]))+1)</f>
        <v>188</v>
      </c>
      <c r="S893" s="29" cm="1">
        <f t="array" ref="S893">IF(表成绩单[[#This Row],[物理]]="","",SUMPRODUCT((表成绩单[考试日期]=表成绩单[[#This Row],[考试日期]])*(表成绩单[物理]&lt;9E+307)*(表成绩单[物理]&gt;表成绩单[[#This Row],[物理]]))+1)</f>
        <v>220</v>
      </c>
      <c r="T893" s="29" cm="1">
        <f t="array" ref="T893">IF(表成绩单[[#This Row],[化学]]="","",SUMPRODUCT((表成绩单[考试日期]=表成绩单[[#This Row],[考试日期]])*(表成绩单[化学]&lt;9E+307)*(表成绩单[化学]&gt;表成绩单[[#This Row],[化学]]))+1)</f>
        <v>175</v>
      </c>
      <c r="U893" s="29" cm="1">
        <f t="array" ref="U893">IF(表成绩单[[#This Row],[政治]]="","",SUMPRODUCT((表成绩单[考试日期]=表成绩单[[#This Row],[考试日期]])*(表成绩单[政治]&lt;9E+307)*(表成绩单[政治]&gt;表成绩单[[#This Row],[政治]]))+1)</f>
        <v>237</v>
      </c>
      <c r="V893" s="29" cm="1">
        <f t="array" ref="V893">IF(表成绩单[[#This Row],[历史]]="","",SUMPRODUCT((表成绩单[考试日期]=表成绩单[[#This Row],[考试日期]])*(表成绩单[历史]&lt;9E+307)*(表成绩单[历史]&gt;表成绩单[[#This Row],[历史]]))+1)</f>
        <v>12</v>
      </c>
      <c r="W893" s="29" cm="1">
        <f t="array" ref="W893">IF(表成绩单[[#This Row],[总分]]="","",SUMPRODUCT((表成绩单[考试日期]=表成绩单[[#This Row],[考试日期]])*(表成绩单[总分]&lt;9E+307)*(表成绩单[总分]&gt;表成绩单[[#This Row],[总分]]))+1)</f>
        <v>88</v>
      </c>
    </row>
    <row r="894" ht="28" customHeight="1" spans="4:23">
      <c r="D894" s="31">
        <v>46003</v>
      </c>
      <c r="E894" s="29">
        <v>19175382</v>
      </c>
      <c r="F894" s="29" t="s">
        <v>74</v>
      </c>
      <c r="G894" s="29" t="s">
        <v>224</v>
      </c>
      <c r="H894" s="29">
        <v>105</v>
      </c>
      <c r="I894" s="29">
        <v>103</v>
      </c>
      <c r="J894" s="29">
        <v>78.5</v>
      </c>
      <c r="K894" s="29">
        <v>96</v>
      </c>
      <c r="L894" s="29">
        <v>96</v>
      </c>
      <c r="M894" s="29">
        <v>69</v>
      </c>
      <c r="N894" s="29">
        <v>78</v>
      </c>
      <c r="O894" s="32">
        <v>625.5</v>
      </c>
      <c r="P894" s="29" cm="1">
        <f t="array" ref="P894">IF(表成绩单[[#This Row],[语文]]="","",SUMPRODUCT((表成绩单[考试日期]=表成绩单[[#This Row],[考试日期]])*(表成绩单[语文]&lt;9E+307)*(表成绩单[语文]&gt;表成绩单[[#This Row],[语文]]))+1)</f>
        <v>247</v>
      </c>
      <c r="Q894" s="29" cm="1">
        <f t="array" ref="Q894">IF(表成绩单[[#This Row],[数学]]="","",SUMPRODUCT((表成绩单[考试日期]=表成绩单[[#This Row],[考试日期]])*(表成绩单[数学]&lt;9E+307)*(表成绩单[数学]&gt;表成绩单[[#This Row],[数学]]))+1)</f>
        <v>41</v>
      </c>
      <c r="R894" s="29" cm="1">
        <f t="array" ref="R894">IF(表成绩单[[#This Row],[英语]]="","",SUMPRODUCT((表成绩单[考试日期]=表成绩单[[#This Row],[考试日期]])*(表成绩单[英语]&lt;9E+307)*(表成绩单[英语]&gt;表成绩单[[#This Row],[英语]]))+1)</f>
        <v>206</v>
      </c>
      <c r="S894" s="29" cm="1">
        <f t="array" ref="S894">IF(表成绩单[[#This Row],[物理]]="","",SUMPRODUCT((表成绩单[考试日期]=表成绩单[[#This Row],[考试日期]])*(表成绩单[物理]&lt;9E+307)*(表成绩单[物理]&gt;表成绩单[[#This Row],[物理]]))+1)</f>
        <v>64</v>
      </c>
      <c r="T894" s="29" cm="1">
        <f t="array" ref="T894">IF(表成绩单[[#This Row],[化学]]="","",SUMPRODUCT((表成绩单[考试日期]=表成绩单[[#This Row],[考试日期]])*(表成绩单[化学]&lt;9E+307)*(表成绩单[化学]&gt;表成绩单[[#This Row],[化学]]))+1)</f>
        <v>24</v>
      </c>
      <c r="U894" s="29" cm="1">
        <f t="array" ref="U894">IF(表成绩单[[#This Row],[政治]]="","",SUMPRODUCT((表成绩单[考试日期]=表成绩单[[#This Row],[考试日期]])*(表成绩单[政治]&lt;9E+307)*(表成绩单[政治]&gt;表成绩单[[#This Row],[政治]]))+1)</f>
        <v>212</v>
      </c>
      <c r="V894" s="29" cm="1">
        <f t="array" ref="V894">IF(表成绩单[[#This Row],[历史]]="","",SUMPRODUCT((表成绩单[考试日期]=表成绩单[[#This Row],[考试日期]])*(表成绩单[历史]&lt;9E+307)*(表成绩单[历史]&gt;表成绩单[[#This Row],[历史]]))+1)</f>
        <v>190</v>
      </c>
      <c r="W894" s="29" cm="1">
        <f t="array" ref="W894">IF(表成绩单[[#This Row],[总分]]="","",SUMPRODUCT((表成绩单[考试日期]=表成绩单[[#This Row],[考试日期]])*(表成绩单[总分]&lt;9E+307)*(表成绩单[总分]&gt;表成绩单[[#This Row],[总分]]))+1)</f>
        <v>89</v>
      </c>
    </row>
    <row r="895" ht="28" customHeight="1" spans="4:23">
      <c r="D895" s="31">
        <v>46003</v>
      </c>
      <c r="E895" s="29">
        <v>19167649</v>
      </c>
      <c r="F895" s="29" t="s">
        <v>1</v>
      </c>
      <c r="G895" s="29" t="s">
        <v>153</v>
      </c>
      <c r="H895" s="29">
        <v>112</v>
      </c>
      <c r="I895" s="29">
        <v>98</v>
      </c>
      <c r="J895" s="29">
        <v>84.5</v>
      </c>
      <c r="K895" s="29">
        <v>98</v>
      </c>
      <c r="L895" s="29">
        <v>93</v>
      </c>
      <c r="M895" s="29">
        <v>64</v>
      </c>
      <c r="N895" s="29">
        <v>75</v>
      </c>
      <c r="O895" s="32">
        <v>624.5</v>
      </c>
      <c r="P895" s="29" cm="1">
        <f t="array" ref="P895">IF(表成绩单[[#This Row],[语文]]="","",SUMPRODUCT((表成绩单[考试日期]=表成绩单[[#This Row],[考试日期]])*(表成绩单[语文]&lt;9E+307)*(表成绩单[语文]&gt;表成绩单[[#This Row],[语文]]))+1)</f>
        <v>36</v>
      </c>
      <c r="Q895" s="29" cm="1">
        <f t="array" ref="Q895">IF(表成绩单[[#This Row],[数学]]="","",SUMPRODUCT((表成绩单[考试日期]=表成绩单[[#This Row],[考试日期]])*(表成绩单[数学]&lt;9E+307)*(表成绩单[数学]&gt;表成绩单[[#This Row],[数学]]))+1)</f>
        <v>93</v>
      </c>
      <c r="R895" s="29" cm="1">
        <f t="array" ref="R895">IF(表成绩单[[#This Row],[英语]]="","",SUMPRODUCT((表成绩单[考试日期]=表成绩单[[#This Row],[考试日期]])*(表成绩单[英语]&lt;9E+307)*(表成绩单[英语]&gt;表成绩单[[#This Row],[英语]]))+1)</f>
        <v>37</v>
      </c>
      <c r="S895" s="29" cm="1">
        <f t="array" ref="S895">IF(表成绩单[[#This Row],[物理]]="","",SUMPRODUCT((表成绩单[考试日期]=表成绩单[[#This Row],[考试日期]])*(表成绩单[物理]&lt;9E+307)*(表成绩单[物理]&gt;表成绩单[[#This Row],[物理]]))+1)</f>
        <v>26</v>
      </c>
      <c r="T895" s="29" cm="1">
        <f t="array" ref="T895">IF(表成绩单[[#This Row],[化学]]="","",SUMPRODUCT((表成绩单[考试日期]=表成绩单[[#This Row],[考试日期]])*(表成绩单[化学]&lt;9E+307)*(表成绩单[化学]&gt;表成绩单[[#This Row],[化学]]))+1)</f>
        <v>73</v>
      </c>
      <c r="U895" s="29" cm="1">
        <f t="array" ref="U895">IF(表成绩单[[#This Row],[政治]]="","",SUMPRODUCT((表成绩单[考试日期]=表成绩单[[#This Row],[考试日期]])*(表成绩单[政治]&lt;9E+307)*(表成绩单[政治]&gt;表成绩单[[#This Row],[政治]]))+1)</f>
        <v>337</v>
      </c>
      <c r="V895" s="29" cm="1">
        <f t="array" ref="V895">IF(表成绩单[[#This Row],[历史]]="","",SUMPRODUCT((表成绩单[考试日期]=表成绩单[[#This Row],[考试日期]])*(表成绩单[历史]&lt;9E+307)*(表成绩单[历史]&gt;表成绩单[[#This Row],[历史]]))+1)</f>
        <v>329</v>
      </c>
      <c r="W895" s="29" cm="1">
        <f t="array" ref="W895">IF(表成绩单[[#This Row],[总分]]="","",SUMPRODUCT((表成绩单[考试日期]=表成绩单[[#This Row],[考试日期]])*(表成绩单[总分]&lt;9E+307)*(表成绩单[总分]&gt;表成绩单[[#This Row],[总分]]))+1)</f>
        <v>90</v>
      </c>
    </row>
    <row r="896" ht="28" customHeight="1" spans="4:23">
      <c r="D896" s="31">
        <v>46003</v>
      </c>
      <c r="E896" s="29">
        <v>19175391</v>
      </c>
      <c r="F896" s="29" t="s">
        <v>74</v>
      </c>
      <c r="G896" s="29" t="s">
        <v>94</v>
      </c>
      <c r="H896" s="29">
        <v>109</v>
      </c>
      <c r="I896" s="29">
        <v>93</v>
      </c>
      <c r="J896" s="29">
        <v>84.5</v>
      </c>
      <c r="K896" s="29">
        <v>93</v>
      </c>
      <c r="L896" s="29">
        <v>93</v>
      </c>
      <c r="M896" s="29">
        <v>73</v>
      </c>
      <c r="N896" s="29">
        <v>79</v>
      </c>
      <c r="O896" s="32">
        <v>624.5</v>
      </c>
      <c r="P896" s="29" cm="1">
        <f t="array" ref="P896">IF(表成绩单[[#This Row],[语文]]="","",SUMPRODUCT((表成绩单[考试日期]=表成绩单[[#This Row],[考试日期]])*(表成绩单[语文]&lt;9E+307)*(表成绩单[语文]&gt;表成绩单[[#This Row],[语文]]))+1)</f>
        <v>111</v>
      </c>
      <c r="Q896" s="29" cm="1">
        <f t="array" ref="Q896">IF(表成绩单[[#This Row],[数学]]="","",SUMPRODUCT((表成绩单[考试日期]=表成绩单[[#This Row],[考试日期]])*(表成绩单[数学]&lt;9E+307)*(表成绩单[数学]&gt;表成绩单[[#This Row],[数学]]))+1)</f>
        <v>155</v>
      </c>
      <c r="R896" s="29" cm="1">
        <f t="array" ref="R896">IF(表成绩单[[#This Row],[英语]]="","",SUMPRODUCT((表成绩单[考试日期]=表成绩单[[#This Row],[考试日期]])*(表成绩单[英语]&lt;9E+307)*(表成绩单[英语]&gt;表成绩单[[#This Row],[英语]]))+1)</f>
        <v>37</v>
      </c>
      <c r="S896" s="29" cm="1">
        <f t="array" ref="S896">IF(表成绩单[[#This Row],[物理]]="","",SUMPRODUCT((表成绩单[考试日期]=表成绩单[[#This Row],[考试日期]])*(表成绩单[物理]&lt;9E+307)*(表成绩单[物理]&gt;表成绩单[[#This Row],[物理]]))+1)</f>
        <v>163</v>
      </c>
      <c r="T896" s="29" cm="1">
        <f t="array" ref="T896">IF(表成绩单[[#This Row],[化学]]="","",SUMPRODUCT((表成绩单[考试日期]=表成绩单[[#This Row],[考试日期]])*(表成绩单[化学]&lt;9E+307)*(表成绩单[化学]&gt;表成绩单[[#This Row],[化学]]))+1)</f>
        <v>73</v>
      </c>
      <c r="U896" s="29" cm="1">
        <f t="array" ref="U896">IF(表成绩单[[#This Row],[政治]]="","",SUMPRODUCT((表成绩单[考试日期]=表成绩单[[#This Row],[考试日期]])*(表成绩单[政治]&lt;9E+307)*(表成绩单[政治]&gt;表成绩单[[#This Row],[政治]]))+1)</f>
        <v>139</v>
      </c>
      <c r="V896" s="29" cm="1">
        <f t="array" ref="V896">IF(表成绩单[[#This Row],[历史]]="","",SUMPRODUCT((表成绩单[考试日期]=表成绩单[[#This Row],[考试日期]])*(表成绩单[历史]&lt;9E+307)*(表成绩单[历史]&gt;表成绩单[[#This Row],[历史]]))+1)</f>
        <v>149</v>
      </c>
      <c r="W896" s="29" cm="1">
        <f t="array" ref="W896">IF(表成绩单[[#This Row],[总分]]="","",SUMPRODUCT((表成绩单[考试日期]=表成绩单[[#This Row],[考试日期]])*(表成绩单[总分]&lt;9E+307)*(表成绩单[总分]&gt;表成绩单[[#This Row],[总分]]))+1)</f>
        <v>90</v>
      </c>
    </row>
    <row r="897" ht="28" customHeight="1" spans="4:23">
      <c r="D897" s="31">
        <v>46003</v>
      </c>
      <c r="E897" s="29">
        <v>19174783</v>
      </c>
      <c r="F897" s="29" t="s">
        <v>69</v>
      </c>
      <c r="G897" s="29" t="s">
        <v>269</v>
      </c>
      <c r="H897" s="29">
        <v>105</v>
      </c>
      <c r="I897" s="29">
        <v>102</v>
      </c>
      <c r="J897" s="29">
        <v>77</v>
      </c>
      <c r="K897" s="29">
        <v>95</v>
      </c>
      <c r="L897" s="29">
        <v>98</v>
      </c>
      <c r="M897" s="29">
        <v>75</v>
      </c>
      <c r="N897" s="29">
        <v>72</v>
      </c>
      <c r="O897" s="32">
        <v>624</v>
      </c>
      <c r="P897" s="29" cm="1">
        <f t="array" ref="P897">IF(表成绩单[[#This Row],[语文]]="","",SUMPRODUCT((表成绩单[考试日期]=表成绩单[[#This Row],[考试日期]])*(表成绩单[语文]&lt;9E+307)*(表成绩单[语文]&gt;表成绩单[[#This Row],[语文]]))+1)</f>
        <v>247</v>
      </c>
      <c r="Q897" s="29" cm="1">
        <f t="array" ref="Q897">IF(表成绩单[[#This Row],[数学]]="","",SUMPRODUCT((表成绩单[考试日期]=表成绩单[[#This Row],[考试日期]])*(表成绩单[数学]&lt;9E+307)*(表成绩单[数学]&gt;表成绩单[[#This Row],[数学]]))+1)</f>
        <v>52</v>
      </c>
      <c r="R897" s="29" cm="1">
        <f t="array" ref="R897">IF(表成绩单[[#This Row],[英语]]="","",SUMPRODUCT((表成绩单[考试日期]=表成绩单[[#This Row],[考试日期]])*(表成绩单[英语]&lt;9E+307)*(表成绩单[英语]&gt;表成绩单[[#This Row],[英语]]))+1)</f>
        <v>255</v>
      </c>
      <c r="S897" s="29" cm="1">
        <f t="array" ref="S897">IF(表成绩单[[#This Row],[物理]]="","",SUMPRODUCT((表成绩单[考试日期]=表成绩单[[#This Row],[考试日期]])*(表成绩单[物理]&lt;9E+307)*(表成绩单[物理]&gt;表成绩单[[#This Row],[物理]]))+1)</f>
        <v>97</v>
      </c>
      <c r="T897" s="29" cm="1">
        <f t="array" ref="T897">IF(表成绩单[[#This Row],[化学]]="","",SUMPRODUCT((表成绩单[考试日期]=表成绩单[[#This Row],[考试日期]])*(表成绩单[化学]&lt;9E+307)*(表成绩单[化学]&gt;表成绩单[[#This Row],[化学]]))+1)</f>
        <v>8</v>
      </c>
      <c r="U897" s="29" cm="1">
        <f t="array" ref="U897">IF(表成绩单[[#This Row],[政治]]="","",SUMPRODUCT((表成绩单[考试日期]=表成绩单[[#This Row],[考试日期]])*(表成绩单[政治]&lt;9E+307)*(表成绩单[政治]&gt;表成绩单[[#This Row],[政治]]))+1)</f>
        <v>102</v>
      </c>
      <c r="V897" s="29" cm="1">
        <f t="array" ref="V897">IF(表成绩单[[#This Row],[历史]]="","",SUMPRODUCT((表成绩单[考试日期]=表成绩单[[#This Row],[考试日期]])*(表成绩单[历史]&lt;9E+307)*(表成绩单[历史]&gt;表成绩单[[#This Row],[历史]]))+1)</f>
        <v>439</v>
      </c>
      <c r="W897" s="29" cm="1">
        <f t="array" ref="W897">IF(表成绩单[[#This Row],[总分]]="","",SUMPRODUCT((表成绩单[考试日期]=表成绩单[[#This Row],[考试日期]])*(表成绩单[总分]&lt;9E+307)*(表成绩单[总分]&gt;表成绩单[[#This Row],[总分]]))+1)</f>
        <v>92</v>
      </c>
    </row>
    <row r="898" ht="28" customHeight="1" spans="4:23">
      <c r="D898" s="31">
        <v>46003</v>
      </c>
      <c r="E898" s="29">
        <v>19173250</v>
      </c>
      <c r="F898" s="29" t="s">
        <v>61</v>
      </c>
      <c r="G898" s="29" t="s">
        <v>221</v>
      </c>
      <c r="H898" s="29">
        <v>111</v>
      </c>
      <c r="I898" s="29">
        <v>92</v>
      </c>
      <c r="J898" s="29">
        <v>81.5</v>
      </c>
      <c r="K898" s="29">
        <v>99</v>
      </c>
      <c r="L898" s="29">
        <v>88</v>
      </c>
      <c r="M898" s="29">
        <v>72</v>
      </c>
      <c r="N898" s="29">
        <v>80</v>
      </c>
      <c r="O898" s="32">
        <v>623.5</v>
      </c>
      <c r="P898" s="29" cm="1">
        <f t="array" ref="P898">IF(表成绩单[[#This Row],[语文]]="","",SUMPRODUCT((表成绩单[考试日期]=表成绩单[[#This Row],[考试日期]])*(表成绩单[语文]&lt;9E+307)*(表成绩单[语文]&gt;表成绩单[[#This Row],[语文]]))+1)</f>
        <v>56</v>
      </c>
      <c r="Q898" s="29" cm="1">
        <f t="array" ref="Q898">IF(表成绩单[[#This Row],[数学]]="","",SUMPRODUCT((表成绩单[考试日期]=表成绩单[[#This Row],[考试日期]])*(表成绩单[数学]&lt;9E+307)*(表成绩单[数学]&gt;表成绩单[[#This Row],[数学]]))+1)</f>
        <v>170</v>
      </c>
      <c r="R898" s="29" cm="1">
        <f t="array" ref="R898">IF(表成绩单[[#This Row],[英语]]="","",SUMPRODUCT((表成绩单[考试日期]=表成绩单[[#This Row],[考试日期]])*(表成绩单[英语]&lt;9E+307)*(表成绩单[英语]&gt;表成绩单[[#This Row],[英语]]))+1)</f>
        <v>113</v>
      </c>
      <c r="S898" s="29" cm="1">
        <f t="array" ref="S898">IF(表成绩单[[#This Row],[物理]]="","",SUMPRODUCT((表成绩单[考试日期]=表成绩单[[#This Row],[考试日期]])*(表成绩单[物理]&lt;9E+307)*(表成绩单[物理]&gt;表成绩单[[#This Row],[物理]]))+1)</f>
        <v>9</v>
      </c>
      <c r="T898" s="29" cm="1">
        <f t="array" ref="T898">IF(表成绩单[[#This Row],[化学]]="","",SUMPRODUCT((表成绩单[考试日期]=表成绩单[[#This Row],[考试日期]])*(表成绩单[化学]&lt;9E+307)*(表成绩单[化学]&gt;表成绩单[[#This Row],[化学]]))+1)</f>
        <v>175</v>
      </c>
      <c r="U898" s="29" cm="1">
        <f t="array" ref="U898">IF(表成绩单[[#This Row],[政治]]="","",SUMPRODUCT((表成绩单[考试日期]=表成绩单[[#This Row],[考试日期]])*(表成绩单[政治]&lt;9E+307)*(表成绩单[政治]&gt;表成绩单[[#This Row],[政治]]))+1)</f>
        <v>155</v>
      </c>
      <c r="V898" s="29" cm="1">
        <f t="array" ref="V898">IF(表成绩单[[#This Row],[历史]]="","",SUMPRODUCT((表成绩单[考试日期]=表成绩单[[#This Row],[考试日期]])*(表成绩单[历史]&lt;9E+307)*(表成绩单[历史]&gt;表成绩单[[#This Row],[历史]]))+1)</f>
        <v>116</v>
      </c>
      <c r="W898" s="29" cm="1">
        <f t="array" ref="W898">IF(表成绩单[[#This Row],[总分]]="","",SUMPRODUCT((表成绩单[考试日期]=表成绩单[[#This Row],[考试日期]])*(表成绩单[总分]&lt;9E+307)*(表成绩单[总分]&gt;表成绩单[[#This Row],[总分]]))+1)</f>
        <v>93</v>
      </c>
    </row>
    <row r="899" ht="28" customHeight="1" spans="4:23">
      <c r="D899" s="31">
        <v>46003</v>
      </c>
      <c r="E899" s="29">
        <v>19175386</v>
      </c>
      <c r="F899" s="29" t="s">
        <v>74</v>
      </c>
      <c r="G899" s="29" t="s">
        <v>197</v>
      </c>
      <c r="H899" s="29">
        <v>108</v>
      </c>
      <c r="I899" s="29">
        <v>91</v>
      </c>
      <c r="J899" s="29">
        <v>81.5</v>
      </c>
      <c r="K899" s="29">
        <v>94</v>
      </c>
      <c r="L899" s="29">
        <v>90</v>
      </c>
      <c r="M899" s="29">
        <v>82</v>
      </c>
      <c r="N899" s="29">
        <v>77</v>
      </c>
      <c r="O899" s="32">
        <v>623.5</v>
      </c>
      <c r="P899" s="29" cm="1">
        <f t="array" ref="P899">IF(表成绩单[[#This Row],[语文]]="","",SUMPRODUCT((表成绩单[考试日期]=表成绩单[[#This Row],[考试日期]])*(表成绩单[语文]&lt;9E+307)*(表成绩单[语文]&gt;表成绩单[[#This Row],[语文]]))+1)</f>
        <v>154</v>
      </c>
      <c r="Q899" s="29" cm="1">
        <f t="array" ref="Q899">IF(表成绩单[[#This Row],[数学]]="","",SUMPRODUCT((表成绩单[考试日期]=表成绩单[[#This Row],[考试日期]])*(表成绩单[数学]&lt;9E+307)*(表成绩单[数学]&gt;表成绩单[[#This Row],[数学]]))+1)</f>
        <v>184</v>
      </c>
      <c r="R899" s="29" cm="1">
        <f t="array" ref="R899">IF(表成绩单[[#This Row],[英语]]="","",SUMPRODUCT((表成绩单[考试日期]=表成绩单[[#This Row],[考试日期]])*(表成绩单[英语]&lt;9E+307)*(表成绩单[英语]&gt;表成绩单[[#This Row],[英语]]))+1)</f>
        <v>113</v>
      </c>
      <c r="S899" s="29" cm="1">
        <f t="array" ref="S899">IF(表成绩单[[#This Row],[物理]]="","",SUMPRODUCT((表成绩单[考试日期]=表成绩单[[#This Row],[考试日期]])*(表成绩单[物理]&lt;9E+307)*(表成绩单[物理]&gt;表成绩单[[#This Row],[物理]]))+1)</f>
        <v>125</v>
      </c>
      <c r="T899" s="29" cm="1">
        <f t="array" ref="T899">IF(表成绩单[[#This Row],[化学]]="","",SUMPRODUCT((表成绩单[考试日期]=表成绩单[[#This Row],[考试日期]])*(表成绩单[化学]&lt;9E+307)*(表成绩单[化学]&gt;表成绩单[[#This Row],[化学]]))+1)</f>
        <v>140</v>
      </c>
      <c r="U899" s="29" cm="1">
        <f t="array" ref="U899">IF(表成绩单[[#This Row],[政治]]="","",SUMPRODUCT((表成绩单[考试日期]=表成绩单[[#This Row],[考试日期]])*(表成绩单[政治]&lt;9E+307)*(表成绩单[政治]&gt;表成绩单[[#This Row],[政治]]))+1)</f>
        <v>13</v>
      </c>
      <c r="V899" s="29" cm="1">
        <f t="array" ref="V899">IF(表成绩单[[#This Row],[历史]]="","",SUMPRODUCT((表成绩单[考试日期]=表成绩单[[#This Row],[考试日期]])*(表成绩单[历史]&lt;9E+307)*(表成绩单[历史]&gt;表成绩单[[#This Row],[历史]]))+1)</f>
        <v>235</v>
      </c>
      <c r="W899" s="29" cm="1">
        <f t="array" ref="W899">IF(表成绩单[[#This Row],[总分]]="","",SUMPRODUCT((表成绩单[考试日期]=表成绩单[[#This Row],[考试日期]])*(表成绩单[总分]&lt;9E+307)*(表成绩单[总分]&gt;表成绩单[[#This Row],[总分]]))+1)</f>
        <v>93</v>
      </c>
    </row>
    <row r="900" ht="28" customHeight="1" spans="4:23">
      <c r="D900" s="31">
        <v>46003</v>
      </c>
      <c r="E900" s="29">
        <v>19176899</v>
      </c>
      <c r="F900" s="29" t="s">
        <v>71</v>
      </c>
      <c r="G900" s="29" t="s">
        <v>136</v>
      </c>
      <c r="H900" s="29">
        <v>106</v>
      </c>
      <c r="I900" s="29">
        <v>107</v>
      </c>
      <c r="J900" s="29">
        <v>69.5</v>
      </c>
      <c r="K900" s="29">
        <v>96</v>
      </c>
      <c r="L900" s="29">
        <v>96</v>
      </c>
      <c r="M900" s="29">
        <v>70</v>
      </c>
      <c r="N900" s="29">
        <v>79</v>
      </c>
      <c r="O900" s="32">
        <v>623.5</v>
      </c>
      <c r="P900" s="29" cm="1">
        <f t="array" ref="P900">IF(表成绩单[[#This Row],[语文]]="","",SUMPRODUCT((表成绩单[考试日期]=表成绩单[[#This Row],[考试日期]])*(表成绩单[语文]&lt;9E+307)*(表成绩单[语文]&gt;表成绩单[[#This Row],[语文]]))+1)</f>
        <v>210</v>
      </c>
      <c r="Q900" s="29" cm="1">
        <f t="array" ref="Q900">IF(表成绩单[[#This Row],[数学]]="","",SUMPRODUCT((表成绩单[考试日期]=表成绩单[[#This Row],[考试日期]])*(表成绩单[数学]&lt;9E+307)*(表成绩单[数学]&gt;表成绩单[[#This Row],[数学]]))+1)</f>
        <v>20</v>
      </c>
      <c r="R900" s="29" cm="1">
        <f t="array" ref="R900">IF(表成绩单[[#This Row],[英语]]="","",SUMPRODUCT((表成绩单[考试日期]=表成绩单[[#This Row],[考试日期]])*(表成绩单[英语]&lt;9E+307)*(表成绩单[英语]&gt;表成绩单[[#This Row],[英语]]))+1)</f>
        <v>426</v>
      </c>
      <c r="S900" s="29" cm="1">
        <f t="array" ref="S900">IF(表成绩单[[#This Row],[物理]]="","",SUMPRODUCT((表成绩单[考试日期]=表成绩单[[#This Row],[考试日期]])*(表成绩单[物理]&lt;9E+307)*(表成绩单[物理]&gt;表成绩单[[#This Row],[物理]]))+1)</f>
        <v>64</v>
      </c>
      <c r="T900" s="29" cm="1">
        <f t="array" ref="T900">IF(表成绩单[[#This Row],[化学]]="","",SUMPRODUCT((表成绩单[考试日期]=表成绩单[[#This Row],[考试日期]])*(表成绩单[化学]&lt;9E+307)*(表成绩单[化学]&gt;表成绩单[[#This Row],[化学]]))+1)</f>
        <v>24</v>
      </c>
      <c r="U900" s="29" cm="1">
        <f t="array" ref="U900">IF(表成绩单[[#This Row],[政治]]="","",SUMPRODUCT((表成绩单[考试日期]=表成绩单[[#This Row],[考试日期]])*(表成绩单[政治]&lt;9E+307)*(表成绩单[政治]&gt;表成绩单[[#This Row],[政治]]))+1)</f>
        <v>184</v>
      </c>
      <c r="V900" s="29" cm="1">
        <f t="array" ref="V900">IF(表成绩单[[#This Row],[历史]]="","",SUMPRODUCT((表成绩单[考试日期]=表成绩单[[#This Row],[考试日期]])*(表成绩单[历史]&lt;9E+307)*(表成绩单[历史]&gt;表成绩单[[#This Row],[历史]]))+1)</f>
        <v>149</v>
      </c>
      <c r="W900" s="29" cm="1">
        <f t="array" ref="W900">IF(表成绩单[[#This Row],[总分]]="","",SUMPRODUCT((表成绩单[考试日期]=表成绩单[[#This Row],[考试日期]])*(表成绩单[总分]&lt;9E+307)*(表成绩单[总分]&gt;表成绩单[[#This Row],[总分]]))+1)</f>
        <v>93</v>
      </c>
    </row>
    <row r="901" ht="28" customHeight="1" spans="4:23">
      <c r="D901" s="31">
        <v>46003</v>
      </c>
      <c r="E901" s="29">
        <v>19175398</v>
      </c>
      <c r="F901" s="29" t="s">
        <v>74</v>
      </c>
      <c r="G901" s="29" t="s">
        <v>168</v>
      </c>
      <c r="H901" s="29">
        <v>100</v>
      </c>
      <c r="I901" s="29">
        <v>108</v>
      </c>
      <c r="J901" s="29">
        <v>77</v>
      </c>
      <c r="K901" s="29">
        <v>94</v>
      </c>
      <c r="L901" s="29">
        <v>96</v>
      </c>
      <c r="M901" s="29">
        <v>69</v>
      </c>
      <c r="N901" s="29">
        <v>79</v>
      </c>
      <c r="O901" s="32">
        <v>623</v>
      </c>
      <c r="P901" s="29" cm="1">
        <f t="array" ref="P901">IF(表成绩单[[#This Row],[语文]]="","",SUMPRODUCT((表成绩单[考试日期]=表成绩单[[#This Row],[考试日期]])*(表成绩单[语文]&lt;9E+307)*(表成绩单[语文]&gt;表成绩单[[#This Row],[语文]]))+1)</f>
        <v>414</v>
      </c>
      <c r="Q901" s="29" cm="1">
        <f t="array" ref="Q901">IF(表成绩单[[#This Row],[数学]]="","",SUMPRODUCT((表成绩单[考试日期]=表成绩单[[#This Row],[考试日期]])*(表成绩单[数学]&lt;9E+307)*(表成绩单[数学]&gt;表成绩单[[#This Row],[数学]]))+1)</f>
        <v>15</v>
      </c>
      <c r="R901" s="29" cm="1">
        <f t="array" ref="R901">IF(表成绩单[[#This Row],[英语]]="","",SUMPRODUCT((表成绩单[考试日期]=表成绩单[[#This Row],[考试日期]])*(表成绩单[英语]&lt;9E+307)*(表成绩单[英语]&gt;表成绩单[[#This Row],[英语]]))+1)</f>
        <v>255</v>
      </c>
      <c r="S901" s="29" cm="1">
        <f t="array" ref="S901">IF(表成绩单[[#This Row],[物理]]="","",SUMPRODUCT((表成绩单[考试日期]=表成绩单[[#This Row],[考试日期]])*(表成绩单[物理]&lt;9E+307)*(表成绩单[物理]&gt;表成绩单[[#This Row],[物理]]))+1)</f>
        <v>125</v>
      </c>
      <c r="T901" s="29" cm="1">
        <f t="array" ref="T901">IF(表成绩单[[#This Row],[化学]]="","",SUMPRODUCT((表成绩单[考试日期]=表成绩单[[#This Row],[考试日期]])*(表成绩单[化学]&lt;9E+307)*(表成绩单[化学]&gt;表成绩单[[#This Row],[化学]]))+1)</f>
        <v>24</v>
      </c>
      <c r="U901" s="29" cm="1">
        <f t="array" ref="U901">IF(表成绩单[[#This Row],[政治]]="","",SUMPRODUCT((表成绩单[考试日期]=表成绩单[[#This Row],[考试日期]])*(表成绩单[政治]&lt;9E+307)*(表成绩单[政治]&gt;表成绩单[[#This Row],[政治]]))+1)</f>
        <v>212</v>
      </c>
      <c r="V901" s="29" cm="1">
        <f t="array" ref="V901">IF(表成绩单[[#This Row],[历史]]="","",SUMPRODUCT((表成绩单[考试日期]=表成绩单[[#This Row],[考试日期]])*(表成绩单[历史]&lt;9E+307)*(表成绩单[历史]&gt;表成绩单[[#This Row],[历史]]))+1)</f>
        <v>149</v>
      </c>
      <c r="W901" s="29" cm="1">
        <f t="array" ref="W901">IF(表成绩单[[#This Row],[总分]]="","",SUMPRODUCT((表成绩单[考试日期]=表成绩单[[#This Row],[考试日期]])*(表成绩单[总分]&lt;9E+307)*(表成绩单[总分]&gt;表成绩单[[#This Row],[总分]]))+1)</f>
        <v>96</v>
      </c>
    </row>
    <row r="902" ht="28" customHeight="1" spans="4:23">
      <c r="D902" s="31">
        <v>46003</v>
      </c>
      <c r="E902" s="29">
        <v>19175685</v>
      </c>
      <c r="F902" s="29" t="s">
        <v>72</v>
      </c>
      <c r="G902" s="29" t="s">
        <v>236</v>
      </c>
      <c r="H902" s="29">
        <v>107</v>
      </c>
      <c r="I902" s="29">
        <v>99</v>
      </c>
      <c r="J902" s="29">
        <v>79</v>
      </c>
      <c r="K902" s="29">
        <v>93</v>
      </c>
      <c r="L902" s="29">
        <v>90</v>
      </c>
      <c r="M902" s="29">
        <v>71</v>
      </c>
      <c r="N902" s="29">
        <v>84</v>
      </c>
      <c r="O902" s="32">
        <v>623</v>
      </c>
      <c r="P902" s="29" cm="1">
        <f t="array" ref="P902">IF(表成绩单[[#This Row],[语文]]="","",SUMPRODUCT((表成绩单[考试日期]=表成绩单[[#This Row],[考试日期]])*(表成绩单[语文]&lt;9E+307)*(表成绩单[语文]&gt;表成绩单[[#This Row],[语文]]))+1)</f>
        <v>182</v>
      </c>
      <c r="Q902" s="29" cm="1">
        <f t="array" ref="Q902">IF(表成绩单[[#This Row],[数学]]="","",SUMPRODUCT((表成绩单[考试日期]=表成绩单[[#This Row],[考试日期]])*(表成绩单[数学]&lt;9E+307)*(表成绩单[数学]&gt;表成绩单[[#This Row],[数学]]))+1)</f>
        <v>88</v>
      </c>
      <c r="R902" s="29" cm="1">
        <f t="array" ref="R902">IF(表成绩单[[#This Row],[英语]]="","",SUMPRODUCT((表成绩单[考试日期]=表成绩单[[#This Row],[考试日期]])*(表成绩单[英语]&lt;9E+307)*(表成绩单[英语]&gt;表成绩单[[#This Row],[英语]]))+1)</f>
        <v>188</v>
      </c>
      <c r="S902" s="29" cm="1">
        <f t="array" ref="S902">IF(表成绩单[[#This Row],[物理]]="","",SUMPRODUCT((表成绩单[考试日期]=表成绩单[[#This Row],[考试日期]])*(表成绩单[物理]&lt;9E+307)*(表成绩单[物理]&gt;表成绩单[[#This Row],[物理]]))+1)</f>
        <v>163</v>
      </c>
      <c r="T902" s="29" cm="1">
        <f t="array" ref="T902">IF(表成绩单[[#This Row],[化学]]="","",SUMPRODUCT((表成绩单[考试日期]=表成绩单[[#This Row],[考试日期]])*(表成绩单[化学]&lt;9E+307)*(表成绩单[化学]&gt;表成绩单[[#This Row],[化学]]))+1)</f>
        <v>140</v>
      </c>
      <c r="U902" s="29" cm="1">
        <f t="array" ref="U902">IF(表成绩单[[#This Row],[政治]]="","",SUMPRODUCT((表成绩单[考试日期]=表成绩单[[#This Row],[考试日期]])*(表成绩单[政治]&lt;9E+307)*(表成绩单[政治]&gt;表成绩单[[#This Row],[政治]]))+1)</f>
        <v>168</v>
      </c>
      <c r="V902" s="29" cm="1">
        <f t="array" ref="V902">IF(表成绩单[[#This Row],[历史]]="","",SUMPRODUCT((表成绩单[考试日期]=表成绩单[[#This Row],[考试日期]])*(表成绩单[历史]&lt;9E+307)*(表成绩单[历史]&gt;表成绩单[[#This Row],[历史]]))+1)</f>
        <v>30</v>
      </c>
      <c r="W902" s="29" cm="1">
        <f t="array" ref="W902">IF(表成绩单[[#This Row],[总分]]="","",SUMPRODUCT((表成绩单[考试日期]=表成绩单[[#This Row],[考试日期]])*(表成绩单[总分]&lt;9E+307)*(表成绩单[总分]&gt;表成绩单[[#This Row],[总分]]))+1)</f>
        <v>96</v>
      </c>
    </row>
    <row r="903" ht="28" customHeight="1" spans="4:23">
      <c r="D903" s="31">
        <v>46003</v>
      </c>
      <c r="E903" s="29">
        <v>19177211</v>
      </c>
      <c r="F903" s="29" t="s">
        <v>70</v>
      </c>
      <c r="G903" s="29" t="s">
        <v>165</v>
      </c>
      <c r="H903" s="29">
        <v>109</v>
      </c>
      <c r="I903" s="29">
        <v>88</v>
      </c>
      <c r="J903" s="29">
        <v>85</v>
      </c>
      <c r="K903" s="29">
        <v>92</v>
      </c>
      <c r="L903" s="29">
        <v>83</v>
      </c>
      <c r="M903" s="29">
        <v>78</v>
      </c>
      <c r="N903" s="29">
        <v>87</v>
      </c>
      <c r="O903" s="32">
        <v>622</v>
      </c>
      <c r="P903" s="29" cm="1">
        <f t="array" ref="P903">IF(表成绩单[[#This Row],[语文]]="","",SUMPRODUCT((表成绩单[考试日期]=表成绩单[[#This Row],[考试日期]])*(表成绩单[语文]&lt;9E+307)*(表成绩单[语文]&gt;表成绩单[[#This Row],[语文]]))+1)</f>
        <v>111</v>
      </c>
      <c r="Q903" s="29" cm="1">
        <f t="array" ref="Q903">IF(表成绩单[[#This Row],[数学]]="","",SUMPRODUCT((表成绩单[考试日期]=表成绩单[[#This Row],[考试日期]])*(表成绩单[数学]&lt;9E+307)*(表成绩单[数学]&gt;表成绩单[[#This Row],[数学]]))+1)</f>
        <v>213</v>
      </c>
      <c r="R903" s="29" cm="1">
        <f t="array" ref="R903">IF(表成绩单[[#This Row],[英语]]="","",SUMPRODUCT((表成绩单[考试日期]=表成绩单[[#This Row],[考试日期]])*(表成绩单[英语]&lt;9E+307)*(表成绩单[英语]&gt;表成绩单[[#This Row],[英语]]))+1)</f>
        <v>30</v>
      </c>
      <c r="S903" s="29" cm="1">
        <f t="array" ref="S903">IF(表成绩单[[#This Row],[物理]]="","",SUMPRODUCT((表成绩单[考试日期]=表成绩单[[#This Row],[考试日期]])*(表成绩单[物理]&lt;9E+307)*(表成绩单[物理]&gt;表成绩单[[#This Row],[物理]]))+1)</f>
        <v>191</v>
      </c>
      <c r="T903" s="29" cm="1">
        <f t="array" ref="T903">IF(表成绩单[[#This Row],[化学]]="","",SUMPRODUCT((表成绩单[考试日期]=表成绩单[[#This Row],[考试日期]])*(表成绩单[化学]&lt;9E+307)*(表成绩单[化学]&gt;表成绩单[[#This Row],[化学]]))+1)</f>
        <v>272</v>
      </c>
      <c r="U903" s="29" cm="1">
        <f t="array" ref="U903">IF(表成绩单[[#This Row],[政治]]="","",SUMPRODUCT((表成绩单[考试日期]=表成绩单[[#This Row],[考试日期]])*(表成绩单[政治]&lt;9E+307)*(表成绩单[政治]&gt;表成绩单[[#This Row],[政治]]))+1)</f>
        <v>46</v>
      </c>
      <c r="V903" s="29" cm="1">
        <f t="array" ref="V903">IF(表成绩单[[#This Row],[历史]]="","",SUMPRODUCT((表成绩单[考试日期]=表成绩单[[#This Row],[考试日期]])*(表成绩单[历史]&lt;9E+307)*(表成绩单[历史]&gt;表成绩单[[#This Row],[历史]]))+1)</f>
        <v>3</v>
      </c>
      <c r="W903" s="29" cm="1">
        <f t="array" ref="W903">IF(表成绩单[[#This Row],[总分]]="","",SUMPRODUCT((表成绩单[考试日期]=表成绩单[[#This Row],[考试日期]])*(表成绩单[总分]&lt;9E+307)*(表成绩单[总分]&gt;表成绩单[[#This Row],[总分]]))+1)</f>
        <v>98</v>
      </c>
    </row>
    <row r="904" ht="28" customHeight="1" spans="4:23">
      <c r="D904" s="31">
        <v>46003</v>
      </c>
      <c r="E904" s="29">
        <v>19175674</v>
      </c>
      <c r="F904" s="29" t="s">
        <v>72</v>
      </c>
      <c r="G904" s="29" t="s">
        <v>215</v>
      </c>
      <c r="H904" s="29">
        <v>113</v>
      </c>
      <c r="I904" s="29">
        <v>96</v>
      </c>
      <c r="J904" s="29">
        <v>78</v>
      </c>
      <c r="K904" s="29">
        <v>92</v>
      </c>
      <c r="L904" s="29">
        <v>92</v>
      </c>
      <c r="M904" s="29">
        <v>69</v>
      </c>
      <c r="N904" s="29">
        <v>81</v>
      </c>
      <c r="O904" s="32">
        <v>621</v>
      </c>
      <c r="P904" s="29" cm="1">
        <f t="array" ref="P904">IF(表成绩单[[#This Row],[语文]]="","",SUMPRODUCT((表成绩单[考试日期]=表成绩单[[#This Row],[考试日期]])*(表成绩单[语文]&lt;9E+307)*(表成绩单[语文]&gt;表成绩单[[#This Row],[语文]]))+1)</f>
        <v>22</v>
      </c>
      <c r="Q904" s="29" cm="1">
        <f t="array" ref="Q904">IF(表成绩单[[#This Row],[数学]]="","",SUMPRODUCT((表成绩单[考试日期]=表成绩单[[#This Row],[考试日期]])*(表成绩单[数学]&lt;9E+307)*(表成绩单[数学]&gt;表成绩单[[#This Row],[数学]]))+1)</f>
        <v>114</v>
      </c>
      <c r="R904" s="29" cm="1">
        <f t="array" ref="R904">IF(表成绩单[[#This Row],[英语]]="","",SUMPRODUCT((表成绩单[考试日期]=表成绩单[[#This Row],[考试日期]])*(表成绩单[英语]&lt;9E+307)*(表成绩单[英语]&gt;表成绩单[[#This Row],[英语]]))+1)</f>
        <v>214</v>
      </c>
      <c r="S904" s="29" cm="1">
        <f t="array" ref="S904">IF(表成绩单[[#This Row],[物理]]="","",SUMPRODUCT((表成绩单[考试日期]=表成绩单[[#This Row],[考试日期]])*(表成绩单[物理]&lt;9E+307)*(表成绩单[物理]&gt;表成绩单[[#This Row],[物理]]))+1)</f>
        <v>191</v>
      </c>
      <c r="T904" s="29" cm="1">
        <f t="array" ref="T904">IF(表成绩单[[#This Row],[化学]]="","",SUMPRODUCT((表成绩单[考试日期]=表成绩单[[#This Row],[考试日期]])*(表成绩单[化学]&lt;9E+307)*(表成绩单[化学]&gt;表成绩单[[#This Row],[化学]]))+1)</f>
        <v>102</v>
      </c>
      <c r="U904" s="29" cm="1">
        <f t="array" ref="U904">IF(表成绩单[[#This Row],[政治]]="","",SUMPRODUCT((表成绩单[考试日期]=表成绩单[[#This Row],[考试日期]])*(表成绩单[政治]&lt;9E+307)*(表成绩单[政治]&gt;表成绩单[[#This Row],[政治]]))+1)</f>
        <v>212</v>
      </c>
      <c r="V904" s="29" cm="1">
        <f t="array" ref="V904">IF(表成绩单[[#This Row],[历史]]="","",SUMPRODUCT((表成绩单[考试日期]=表成绩单[[#This Row],[考试日期]])*(表成绩单[历史]&lt;9E+307)*(表成绩单[历史]&gt;表成绩单[[#This Row],[历史]]))+1)</f>
        <v>92</v>
      </c>
      <c r="W904" s="29" cm="1">
        <f t="array" ref="W904">IF(表成绩单[[#This Row],[总分]]="","",SUMPRODUCT((表成绩单[考试日期]=表成绩单[[#This Row],[考试日期]])*(表成绩单[总分]&lt;9E+307)*(表成绩单[总分]&gt;表成绩单[[#This Row],[总分]]))+1)</f>
        <v>99</v>
      </c>
    </row>
    <row r="905" ht="28" customHeight="1" spans="4:23">
      <c r="D905" s="31">
        <v>46003</v>
      </c>
      <c r="E905" s="29">
        <v>19177195</v>
      </c>
      <c r="F905" s="29" t="s">
        <v>70</v>
      </c>
      <c r="G905" s="29" t="s">
        <v>239</v>
      </c>
      <c r="H905" s="29">
        <v>104</v>
      </c>
      <c r="I905" s="29">
        <v>100</v>
      </c>
      <c r="J905" s="29">
        <v>78</v>
      </c>
      <c r="K905" s="29">
        <v>93</v>
      </c>
      <c r="L905" s="29">
        <v>90</v>
      </c>
      <c r="M905" s="29">
        <v>78</v>
      </c>
      <c r="N905" s="29">
        <v>78</v>
      </c>
      <c r="O905" s="32">
        <v>621</v>
      </c>
      <c r="P905" s="29" cm="1">
        <f t="array" ref="P905">IF(表成绩单[[#This Row],[语文]]="","",SUMPRODUCT((表成绩单[考试日期]=表成绩单[[#This Row],[考试日期]])*(表成绩单[语文]&lt;9E+307)*(表成绩单[语文]&gt;表成绩单[[#This Row],[语文]]))+1)</f>
        <v>290</v>
      </c>
      <c r="Q905" s="29" cm="1">
        <f t="array" ref="Q905">IF(表成绩单[[#This Row],[数学]]="","",SUMPRODUCT((表成绩单[考试日期]=表成绩单[[#This Row],[考试日期]])*(表成绩单[数学]&lt;9E+307)*(表成绩单[数学]&gt;表成绩单[[#This Row],[数学]]))+1)</f>
        <v>77</v>
      </c>
      <c r="R905" s="29" cm="1">
        <f t="array" ref="R905">IF(表成绩单[[#This Row],[英语]]="","",SUMPRODUCT((表成绩单[考试日期]=表成绩单[[#This Row],[考试日期]])*(表成绩单[英语]&lt;9E+307)*(表成绩单[英语]&gt;表成绩单[[#This Row],[英语]]))+1)</f>
        <v>214</v>
      </c>
      <c r="S905" s="29" cm="1">
        <f t="array" ref="S905">IF(表成绩单[[#This Row],[物理]]="","",SUMPRODUCT((表成绩单[考试日期]=表成绩单[[#This Row],[考试日期]])*(表成绩单[物理]&lt;9E+307)*(表成绩单[物理]&gt;表成绩单[[#This Row],[物理]]))+1)</f>
        <v>163</v>
      </c>
      <c r="T905" s="29" cm="1">
        <f t="array" ref="T905">IF(表成绩单[[#This Row],[化学]]="","",SUMPRODUCT((表成绩单[考试日期]=表成绩单[[#This Row],[考试日期]])*(表成绩单[化学]&lt;9E+307)*(表成绩单[化学]&gt;表成绩单[[#This Row],[化学]]))+1)</f>
        <v>140</v>
      </c>
      <c r="U905" s="29" cm="1">
        <f t="array" ref="U905">IF(表成绩单[[#This Row],[政治]]="","",SUMPRODUCT((表成绩单[考试日期]=表成绩单[[#This Row],[考试日期]])*(表成绩单[政治]&lt;9E+307)*(表成绩单[政治]&gt;表成绩单[[#This Row],[政治]]))+1)</f>
        <v>46</v>
      </c>
      <c r="V905" s="29" cm="1">
        <f t="array" ref="V905">IF(表成绩单[[#This Row],[历史]]="","",SUMPRODUCT((表成绩单[考试日期]=表成绩单[[#This Row],[考试日期]])*(表成绩单[历史]&lt;9E+307)*(表成绩单[历史]&gt;表成绩单[[#This Row],[历史]]))+1)</f>
        <v>190</v>
      </c>
      <c r="W905" s="29" cm="1">
        <f t="array" ref="W905">IF(表成绩单[[#This Row],[总分]]="","",SUMPRODUCT((表成绩单[考试日期]=表成绩单[[#This Row],[考试日期]])*(表成绩单[总分]&lt;9E+307)*(表成绩单[总分]&gt;表成绩单[[#This Row],[总分]]))+1)</f>
        <v>99</v>
      </c>
    </row>
    <row r="906" ht="28" customHeight="1" spans="4:23">
      <c r="D906" s="31">
        <v>46003</v>
      </c>
      <c r="E906" s="29">
        <v>19167647</v>
      </c>
      <c r="F906" s="29" t="s">
        <v>1</v>
      </c>
      <c r="G906" s="29" t="s">
        <v>152</v>
      </c>
      <c r="H906" s="29">
        <v>107</v>
      </c>
      <c r="I906" s="29">
        <v>94</v>
      </c>
      <c r="J906" s="29">
        <v>80.5</v>
      </c>
      <c r="K906" s="29">
        <v>93</v>
      </c>
      <c r="L906" s="29">
        <v>91</v>
      </c>
      <c r="M906" s="29">
        <v>73</v>
      </c>
      <c r="N906" s="29">
        <v>82</v>
      </c>
      <c r="O906" s="32">
        <v>620.5</v>
      </c>
      <c r="P906" s="29" cm="1">
        <f t="array" ref="P906">IF(表成绩单[[#This Row],[语文]]="","",SUMPRODUCT((表成绩单[考试日期]=表成绩单[[#This Row],[考试日期]])*(表成绩单[语文]&lt;9E+307)*(表成绩单[语文]&gt;表成绩单[[#This Row],[语文]]))+1)</f>
        <v>182</v>
      </c>
      <c r="Q906" s="29" cm="1">
        <f t="array" ref="Q906">IF(表成绩单[[#This Row],[数学]]="","",SUMPRODUCT((表成绩单[考试日期]=表成绩单[[#This Row],[考试日期]])*(表成绩单[数学]&lt;9E+307)*(表成绩单[数学]&gt;表成绩单[[#This Row],[数学]]))+1)</f>
        <v>142</v>
      </c>
      <c r="R906" s="29" cm="1">
        <f t="array" ref="R906">IF(表成绩单[[#This Row],[英语]]="","",SUMPRODUCT((表成绩单[考试日期]=表成绩单[[#This Row],[考试日期]])*(表成绩单[英语]&lt;9E+307)*(表成绩单[英语]&gt;表成绩单[[#This Row],[英语]]))+1)</f>
        <v>147</v>
      </c>
      <c r="S906" s="29" cm="1">
        <f t="array" ref="S906">IF(表成绩单[[#This Row],[物理]]="","",SUMPRODUCT((表成绩单[考试日期]=表成绩单[[#This Row],[考试日期]])*(表成绩单[物理]&lt;9E+307)*(表成绩单[物理]&gt;表成绩单[[#This Row],[物理]]))+1)</f>
        <v>163</v>
      </c>
      <c r="T906" s="29" cm="1">
        <f t="array" ref="T906">IF(表成绩单[[#This Row],[化学]]="","",SUMPRODUCT((表成绩单[考试日期]=表成绩单[[#This Row],[考试日期]])*(表成绩单[化学]&lt;9E+307)*(表成绩单[化学]&gt;表成绩单[[#This Row],[化学]]))+1)</f>
        <v>127</v>
      </c>
      <c r="U906" s="29" cm="1">
        <f t="array" ref="U906">IF(表成绩单[[#This Row],[政治]]="","",SUMPRODUCT((表成绩单[考试日期]=表成绩单[[#This Row],[考试日期]])*(表成绩单[政治]&lt;9E+307)*(表成绩单[政治]&gt;表成绩单[[#This Row],[政治]]))+1)</f>
        <v>139</v>
      </c>
      <c r="V906" s="29" cm="1">
        <f t="array" ref="V906">IF(表成绩单[[#This Row],[历史]]="","",SUMPRODUCT((表成绩单[考试日期]=表成绩单[[#This Row],[考试日期]])*(表成绩单[历史]&lt;9E+307)*(表成绩单[历史]&gt;表成绩单[[#This Row],[历史]]))+1)</f>
        <v>66</v>
      </c>
      <c r="W906" s="29" cm="1">
        <f t="array" ref="W906">IF(表成绩单[[#This Row],[总分]]="","",SUMPRODUCT((表成绩单[考试日期]=表成绩单[[#This Row],[考试日期]])*(表成绩单[总分]&lt;9E+307)*(表成绩单[总分]&gt;表成绩单[[#This Row],[总分]]))+1)</f>
        <v>101</v>
      </c>
    </row>
    <row r="907" ht="28" customHeight="1" spans="4:23">
      <c r="D907" s="31">
        <v>46003</v>
      </c>
      <c r="E907" s="29">
        <v>19173530</v>
      </c>
      <c r="F907" s="29" t="s">
        <v>1</v>
      </c>
      <c r="G907" s="29" t="s">
        <v>182</v>
      </c>
      <c r="H907" s="29">
        <v>112</v>
      </c>
      <c r="I907" s="29">
        <v>94</v>
      </c>
      <c r="J907" s="29">
        <v>82.5</v>
      </c>
      <c r="K907" s="29">
        <v>90</v>
      </c>
      <c r="L907" s="29">
        <v>93</v>
      </c>
      <c r="M907" s="29">
        <v>69</v>
      </c>
      <c r="N907" s="29">
        <v>80</v>
      </c>
      <c r="O907" s="32">
        <v>620.5</v>
      </c>
      <c r="P907" s="29" cm="1">
        <f t="array" ref="P907">IF(表成绩单[[#This Row],[语文]]="","",SUMPRODUCT((表成绩单[考试日期]=表成绩单[[#This Row],[考试日期]])*(表成绩单[语文]&lt;9E+307)*(表成绩单[语文]&gt;表成绩单[[#This Row],[语文]]))+1)</f>
        <v>36</v>
      </c>
      <c r="Q907" s="29" cm="1">
        <f t="array" ref="Q907">IF(表成绩单[[#This Row],[数学]]="","",SUMPRODUCT((表成绩单[考试日期]=表成绩单[[#This Row],[考试日期]])*(表成绩单[数学]&lt;9E+307)*(表成绩单[数学]&gt;表成绩单[[#This Row],[数学]]))+1)</f>
        <v>142</v>
      </c>
      <c r="R907" s="29" cm="1">
        <f t="array" ref="R907">IF(表成绩单[[#This Row],[英语]]="","",SUMPRODUCT((表成绩单[考试日期]=表成绩单[[#This Row],[考试日期]])*(表成绩单[英语]&lt;9E+307)*(表成绩单[英语]&gt;表成绩单[[#This Row],[英语]]))+1)</f>
        <v>85</v>
      </c>
      <c r="S907" s="29" cm="1">
        <f t="array" ref="S907">IF(表成绩单[[#This Row],[物理]]="","",SUMPRODUCT((表成绩单[考试日期]=表成绩单[[#This Row],[考试日期]])*(表成绩单[物理]&lt;9E+307)*(表成绩单[物理]&gt;表成绩单[[#This Row],[物理]]))+1)</f>
        <v>237</v>
      </c>
      <c r="T907" s="29" cm="1">
        <f t="array" ref="T907">IF(表成绩单[[#This Row],[化学]]="","",SUMPRODUCT((表成绩单[考试日期]=表成绩单[[#This Row],[考试日期]])*(表成绩单[化学]&lt;9E+307)*(表成绩单[化学]&gt;表成绩单[[#This Row],[化学]]))+1)</f>
        <v>73</v>
      </c>
      <c r="U907" s="29" cm="1">
        <f t="array" ref="U907">IF(表成绩单[[#This Row],[政治]]="","",SUMPRODUCT((表成绩单[考试日期]=表成绩单[[#This Row],[考试日期]])*(表成绩单[政治]&lt;9E+307)*(表成绩单[政治]&gt;表成绩单[[#This Row],[政治]]))+1)</f>
        <v>212</v>
      </c>
      <c r="V907" s="29" cm="1">
        <f t="array" ref="V907">IF(表成绩单[[#This Row],[历史]]="","",SUMPRODUCT((表成绩单[考试日期]=表成绩单[[#This Row],[考试日期]])*(表成绩单[历史]&lt;9E+307)*(表成绩单[历史]&gt;表成绩单[[#This Row],[历史]]))+1)</f>
        <v>116</v>
      </c>
      <c r="W907" s="29" cm="1">
        <f t="array" ref="W907">IF(表成绩单[[#This Row],[总分]]="","",SUMPRODUCT((表成绩单[考试日期]=表成绩单[[#This Row],[考试日期]])*(表成绩单[总分]&lt;9E+307)*(表成绩单[总分]&gt;表成绩单[[#This Row],[总分]]))+1)</f>
        <v>101</v>
      </c>
    </row>
    <row r="908" ht="28" customHeight="1" spans="4:23">
      <c r="D908" s="31">
        <v>46003</v>
      </c>
      <c r="E908" s="29">
        <v>19174793</v>
      </c>
      <c r="F908" s="29" t="s">
        <v>69</v>
      </c>
      <c r="G908" s="29" t="s">
        <v>158</v>
      </c>
      <c r="H908" s="29">
        <v>110</v>
      </c>
      <c r="I908" s="29">
        <v>93</v>
      </c>
      <c r="J908" s="29">
        <v>74.5</v>
      </c>
      <c r="K908" s="29">
        <v>97</v>
      </c>
      <c r="L908" s="29">
        <v>97</v>
      </c>
      <c r="M908" s="29">
        <v>73</v>
      </c>
      <c r="N908" s="29">
        <v>76</v>
      </c>
      <c r="O908" s="32">
        <v>620.5</v>
      </c>
      <c r="P908" s="29" cm="1">
        <f t="array" ref="P908">IF(表成绩单[[#This Row],[语文]]="","",SUMPRODUCT((表成绩单[考试日期]=表成绩单[[#This Row],[考试日期]])*(表成绩单[语文]&lt;9E+307)*(表成绩单[语文]&gt;表成绩单[[#This Row],[语文]]))+1)</f>
        <v>84</v>
      </c>
      <c r="Q908" s="29" cm="1">
        <f t="array" ref="Q908">IF(表成绩单[[#This Row],[数学]]="","",SUMPRODUCT((表成绩单[考试日期]=表成绩单[[#This Row],[考试日期]])*(表成绩单[数学]&lt;9E+307)*(表成绩单[数学]&gt;表成绩单[[#This Row],[数学]]))+1)</f>
        <v>155</v>
      </c>
      <c r="R908" s="29" cm="1">
        <f t="array" ref="R908">IF(表成绩单[[#This Row],[英语]]="","",SUMPRODUCT((表成绩单[考试日期]=表成绩单[[#This Row],[考试日期]])*(表成绩单[英语]&lt;9E+307)*(表成绩单[英语]&gt;表成绩单[[#This Row],[英语]]))+1)</f>
        <v>328</v>
      </c>
      <c r="S908" s="29" cm="1">
        <f t="array" ref="S908">IF(表成绩单[[#This Row],[物理]]="","",SUMPRODUCT((表成绩单[考试日期]=表成绩单[[#This Row],[考试日期]])*(表成绩单[物理]&lt;9E+307)*(表成绩单[物理]&gt;表成绩单[[#This Row],[物理]]))+1)</f>
        <v>43</v>
      </c>
      <c r="T908" s="29" cm="1">
        <f t="array" ref="T908">IF(表成绩单[[#This Row],[化学]]="","",SUMPRODUCT((表成绩单[考试日期]=表成绩单[[#This Row],[考试日期]])*(表成绩单[化学]&lt;9E+307)*(表成绩单[化学]&gt;表成绩单[[#This Row],[化学]]))+1)</f>
        <v>13</v>
      </c>
      <c r="U908" s="29" cm="1">
        <f t="array" ref="U908">IF(表成绩单[[#This Row],[政治]]="","",SUMPRODUCT((表成绩单[考试日期]=表成绩单[[#This Row],[考试日期]])*(表成绩单[政治]&lt;9E+307)*(表成绩单[政治]&gt;表成绩单[[#This Row],[政治]]))+1)</f>
        <v>139</v>
      </c>
      <c r="V908" s="29" cm="1">
        <f t="array" ref="V908">IF(表成绩单[[#This Row],[历史]]="","",SUMPRODUCT((表成绩单[考试日期]=表成绩单[[#This Row],[考试日期]])*(表成绩单[历史]&lt;9E+307)*(表成绩单[历史]&gt;表成绩单[[#This Row],[历史]]))+1)</f>
        <v>279</v>
      </c>
      <c r="W908" s="29" cm="1">
        <f t="array" ref="W908">IF(表成绩单[[#This Row],[总分]]="","",SUMPRODUCT((表成绩单[考试日期]=表成绩单[[#This Row],[考试日期]])*(表成绩单[总分]&lt;9E+307)*(表成绩单[总分]&gt;表成绩单[[#This Row],[总分]]))+1)</f>
        <v>101</v>
      </c>
    </row>
    <row r="909" ht="28" customHeight="1" spans="4:23">
      <c r="D909" s="31">
        <v>46003</v>
      </c>
      <c r="E909" s="29">
        <v>19175656</v>
      </c>
      <c r="F909" s="29" t="s">
        <v>66</v>
      </c>
      <c r="G909" s="29" t="s">
        <v>187</v>
      </c>
      <c r="H909" s="29">
        <v>109</v>
      </c>
      <c r="I909" s="29">
        <v>82</v>
      </c>
      <c r="J909" s="29">
        <v>85.5</v>
      </c>
      <c r="K909" s="29">
        <v>97</v>
      </c>
      <c r="L909" s="29">
        <v>93</v>
      </c>
      <c r="M909" s="29">
        <v>75</v>
      </c>
      <c r="N909" s="29">
        <v>79</v>
      </c>
      <c r="O909" s="32">
        <v>620.5</v>
      </c>
      <c r="P909" s="29" cm="1">
        <f t="array" ref="P909">IF(表成绩单[[#This Row],[语文]]="","",SUMPRODUCT((表成绩单[考试日期]=表成绩单[[#This Row],[考试日期]])*(表成绩单[语文]&lt;9E+307)*(表成绩单[语文]&gt;表成绩单[[#This Row],[语文]]))+1)</f>
        <v>111</v>
      </c>
      <c r="Q909" s="29" cm="1">
        <f t="array" ref="Q909">IF(表成绩单[[#This Row],[数学]]="","",SUMPRODUCT((表成绩单[考试日期]=表成绩单[[#This Row],[考试日期]])*(表成绩单[数学]&lt;9E+307)*(表成绩单[数学]&gt;表成绩单[[#This Row],[数学]]))+1)</f>
        <v>290</v>
      </c>
      <c r="R909" s="29" cm="1">
        <f t="array" ref="R909">IF(表成绩单[[#This Row],[英语]]="","",SUMPRODUCT((表成绩单[考试日期]=表成绩单[[#This Row],[考试日期]])*(表成绩单[英语]&lt;9E+307)*(表成绩单[英语]&gt;表成绩单[[#This Row],[英语]]))+1)</f>
        <v>26</v>
      </c>
      <c r="S909" s="29" cm="1">
        <f t="array" ref="S909">IF(表成绩单[[#This Row],[物理]]="","",SUMPRODUCT((表成绩单[考试日期]=表成绩单[[#This Row],[考试日期]])*(表成绩单[物理]&lt;9E+307)*(表成绩单[物理]&gt;表成绩单[[#This Row],[物理]]))+1)</f>
        <v>43</v>
      </c>
      <c r="T909" s="29" cm="1">
        <f t="array" ref="T909">IF(表成绩单[[#This Row],[化学]]="","",SUMPRODUCT((表成绩单[考试日期]=表成绩单[[#This Row],[考试日期]])*(表成绩单[化学]&lt;9E+307)*(表成绩单[化学]&gt;表成绩单[[#This Row],[化学]]))+1)</f>
        <v>73</v>
      </c>
      <c r="U909" s="29" cm="1">
        <f t="array" ref="U909">IF(表成绩单[[#This Row],[政治]]="","",SUMPRODUCT((表成绩单[考试日期]=表成绩单[[#This Row],[考试日期]])*(表成绩单[政治]&lt;9E+307)*(表成绩单[政治]&gt;表成绩单[[#This Row],[政治]]))+1)</f>
        <v>102</v>
      </c>
      <c r="V909" s="29" cm="1">
        <f t="array" ref="V909">IF(表成绩单[[#This Row],[历史]]="","",SUMPRODUCT((表成绩单[考试日期]=表成绩单[[#This Row],[考试日期]])*(表成绩单[历史]&lt;9E+307)*(表成绩单[历史]&gt;表成绩单[[#This Row],[历史]]))+1)</f>
        <v>149</v>
      </c>
      <c r="W909" s="29" cm="1">
        <f t="array" ref="W909">IF(表成绩单[[#This Row],[总分]]="","",SUMPRODUCT((表成绩单[考试日期]=表成绩单[[#This Row],[考试日期]])*(表成绩单[总分]&lt;9E+307)*(表成绩单[总分]&gt;表成绩单[[#This Row],[总分]]))+1)</f>
        <v>101</v>
      </c>
    </row>
    <row r="910" ht="28" customHeight="1" spans="4:23">
      <c r="D910" s="31">
        <v>46003</v>
      </c>
      <c r="E910" s="29">
        <v>19177221</v>
      </c>
      <c r="F910" s="29" t="s">
        <v>70</v>
      </c>
      <c r="G910" s="29" t="s">
        <v>106</v>
      </c>
      <c r="H910" s="29">
        <v>108</v>
      </c>
      <c r="I910" s="29">
        <v>86</v>
      </c>
      <c r="J910" s="29">
        <v>81.5</v>
      </c>
      <c r="K910" s="29">
        <v>96</v>
      </c>
      <c r="L910" s="29">
        <v>82</v>
      </c>
      <c r="M910" s="29">
        <v>83</v>
      </c>
      <c r="N910" s="29">
        <v>84</v>
      </c>
      <c r="O910" s="32">
        <v>620.5</v>
      </c>
      <c r="P910" s="29" cm="1">
        <f t="array" ref="P910">IF(表成绩单[[#This Row],[语文]]="","",SUMPRODUCT((表成绩单[考试日期]=表成绩单[[#This Row],[考试日期]])*(表成绩单[语文]&lt;9E+307)*(表成绩单[语文]&gt;表成绩单[[#This Row],[语文]]))+1)</f>
        <v>154</v>
      </c>
      <c r="Q910" s="29" cm="1">
        <f t="array" ref="Q910">IF(表成绩单[[#This Row],[数学]]="","",SUMPRODUCT((表成绩单[考试日期]=表成绩单[[#This Row],[考试日期]])*(表成绩单[数学]&lt;9E+307)*(表成绩单[数学]&gt;表成绩单[[#This Row],[数学]]))+1)</f>
        <v>231</v>
      </c>
      <c r="R910" s="29" cm="1">
        <f t="array" ref="R910">IF(表成绩单[[#This Row],[英语]]="","",SUMPRODUCT((表成绩单[考试日期]=表成绩单[[#This Row],[考试日期]])*(表成绩单[英语]&lt;9E+307)*(表成绩单[英语]&gt;表成绩单[[#This Row],[英语]]))+1)</f>
        <v>113</v>
      </c>
      <c r="S910" s="29" cm="1">
        <f t="array" ref="S910">IF(表成绩单[[#This Row],[物理]]="","",SUMPRODUCT((表成绩单[考试日期]=表成绩单[[#This Row],[考试日期]])*(表成绩单[物理]&lt;9E+307)*(表成绩单[物理]&gt;表成绩单[[#This Row],[物理]]))+1)</f>
        <v>64</v>
      </c>
      <c r="T910" s="29" cm="1">
        <f t="array" ref="T910">IF(表成绩单[[#This Row],[化学]]="","",SUMPRODUCT((表成绩单[考试日期]=表成绩单[[#This Row],[考试日期]])*(表成绩单[化学]&lt;9E+307)*(表成绩单[化学]&gt;表成绩单[[#This Row],[化学]]))+1)</f>
        <v>286</v>
      </c>
      <c r="U910" s="29" cm="1">
        <f t="array" ref="U910">IF(表成绩单[[#This Row],[政治]]="","",SUMPRODUCT((表成绩单[考试日期]=表成绩单[[#This Row],[考试日期]])*(表成绩单[政治]&lt;9E+307)*(表成绩单[政治]&gt;表成绩单[[#This Row],[政治]]))+1)</f>
        <v>6</v>
      </c>
      <c r="V910" s="29" cm="1">
        <f t="array" ref="V910">IF(表成绩单[[#This Row],[历史]]="","",SUMPRODUCT((表成绩单[考试日期]=表成绩单[[#This Row],[考试日期]])*(表成绩单[历史]&lt;9E+307)*(表成绩单[历史]&gt;表成绩单[[#This Row],[历史]]))+1)</f>
        <v>30</v>
      </c>
      <c r="W910" s="29" cm="1">
        <f t="array" ref="W910">IF(表成绩单[[#This Row],[总分]]="","",SUMPRODUCT((表成绩单[考试日期]=表成绩单[[#This Row],[考试日期]])*(表成绩单[总分]&lt;9E+307)*(表成绩单[总分]&gt;表成绩单[[#This Row],[总分]]))+1)</f>
        <v>101</v>
      </c>
    </row>
    <row r="911" ht="28" customHeight="1" spans="4:23">
      <c r="D911" s="31">
        <v>46003</v>
      </c>
      <c r="E911" s="29">
        <v>19174440</v>
      </c>
      <c r="F911" s="29" t="s">
        <v>73</v>
      </c>
      <c r="G911" s="29" t="s">
        <v>251</v>
      </c>
      <c r="H911" s="29">
        <v>108</v>
      </c>
      <c r="I911" s="29">
        <v>102</v>
      </c>
      <c r="J911" s="29">
        <v>82</v>
      </c>
      <c r="K911" s="29">
        <v>90</v>
      </c>
      <c r="L911" s="29">
        <v>91</v>
      </c>
      <c r="M911" s="29">
        <v>69</v>
      </c>
      <c r="N911" s="29">
        <v>78</v>
      </c>
      <c r="O911" s="32">
        <v>620</v>
      </c>
      <c r="P911" s="29" cm="1">
        <f t="array" ref="P911">IF(表成绩单[[#This Row],[语文]]="","",SUMPRODUCT((表成绩单[考试日期]=表成绩单[[#This Row],[考试日期]])*(表成绩单[语文]&lt;9E+307)*(表成绩单[语文]&gt;表成绩单[[#This Row],[语文]]))+1)</f>
        <v>154</v>
      </c>
      <c r="Q911" s="29" cm="1">
        <f t="array" ref="Q911">IF(表成绩单[[#This Row],[数学]]="","",SUMPRODUCT((表成绩单[考试日期]=表成绩单[[#This Row],[考试日期]])*(表成绩单[数学]&lt;9E+307)*(表成绩单[数学]&gt;表成绩单[[#This Row],[数学]]))+1)</f>
        <v>52</v>
      </c>
      <c r="R911" s="29" cm="1">
        <f t="array" ref="R911">IF(表成绩单[[#This Row],[英语]]="","",SUMPRODUCT((表成绩单[考试日期]=表成绩单[[#This Row],[考试日期]])*(表成绩单[英语]&lt;9E+307)*(表成绩单[英语]&gt;表成绩单[[#This Row],[英语]]))+1)</f>
        <v>96</v>
      </c>
      <c r="S911" s="29" cm="1">
        <f t="array" ref="S911">IF(表成绩单[[#This Row],[物理]]="","",SUMPRODUCT((表成绩单[考试日期]=表成绩单[[#This Row],[考试日期]])*(表成绩单[物理]&lt;9E+307)*(表成绩单[物理]&gt;表成绩单[[#This Row],[物理]]))+1)</f>
        <v>237</v>
      </c>
      <c r="T911" s="29" cm="1">
        <f t="array" ref="T911">IF(表成绩单[[#This Row],[化学]]="","",SUMPRODUCT((表成绩单[考试日期]=表成绩单[[#This Row],[考试日期]])*(表成绩单[化学]&lt;9E+307)*(表成绩单[化学]&gt;表成绩单[[#This Row],[化学]]))+1)</f>
        <v>127</v>
      </c>
      <c r="U911" s="29" cm="1">
        <f t="array" ref="U911">IF(表成绩单[[#This Row],[政治]]="","",SUMPRODUCT((表成绩单[考试日期]=表成绩单[[#This Row],[考试日期]])*(表成绩单[政治]&lt;9E+307)*(表成绩单[政治]&gt;表成绩单[[#This Row],[政治]]))+1)</f>
        <v>212</v>
      </c>
      <c r="V911" s="29" cm="1">
        <f t="array" ref="V911">IF(表成绩单[[#This Row],[历史]]="","",SUMPRODUCT((表成绩单[考试日期]=表成绩单[[#This Row],[考试日期]])*(表成绩单[历史]&lt;9E+307)*(表成绩单[历史]&gt;表成绩单[[#This Row],[历史]]))+1)</f>
        <v>190</v>
      </c>
      <c r="W911" s="29" cm="1">
        <f t="array" ref="W911">IF(表成绩单[[#This Row],[总分]]="","",SUMPRODUCT((表成绩单[考试日期]=表成绩单[[#This Row],[考试日期]])*(表成绩单[总分]&lt;9E+307)*(表成绩单[总分]&gt;表成绩单[[#This Row],[总分]]))+1)</f>
        <v>106</v>
      </c>
    </row>
    <row r="912" ht="28" customHeight="1" spans="4:23">
      <c r="D912" s="31">
        <v>46003</v>
      </c>
      <c r="E912" s="29">
        <v>19177672</v>
      </c>
      <c r="F912" s="29" t="s">
        <v>63</v>
      </c>
      <c r="G912" s="29" t="s">
        <v>160</v>
      </c>
      <c r="H912" s="29">
        <v>101</v>
      </c>
      <c r="I912" s="29">
        <v>94</v>
      </c>
      <c r="J912" s="29">
        <v>84.5</v>
      </c>
      <c r="K912" s="29">
        <v>97</v>
      </c>
      <c r="L912" s="29">
        <v>92</v>
      </c>
      <c r="M912" s="29">
        <v>74</v>
      </c>
      <c r="N912" s="29">
        <v>77</v>
      </c>
      <c r="O912" s="32">
        <v>619.5</v>
      </c>
      <c r="P912" s="29" cm="1">
        <f t="array" ref="P912">IF(表成绩单[[#This Row],[语文]]="","",SUMPRODUCT((表成绩单[考试日期]=表成绩单[[#This Row],[考试日期]])*(表成绩单[语文]&lt;9E+307)*(表成绩单[语文]&gt;表成绩单[[#This Row],[语文]]))+1)</f>
        <v>387</v>
      </c>
      <c r="Q912" s="29" cm="1">
        <f t="array" ref="Q912">IF(表成绩单[[#This Row],[数学]]="","",SUMPRODUCT((表成绩单[考试日期]=表成绩单[[#This Row],[考试日期]])*(表成绩单[数学]&lt;9E+307)*(表成绩单[数学]&gt;表成绩单[[#This Row],[数学]]))+1)</f>
        <v>142</v>
      </c>
      <c r="R912" s="29" cm="1">
        <f t="array" ref="R912">IF(表成绩单[[#This Row],[英语]]="","",SUMPRODUCT((表成绩单[考试日期]=表成绩单[[#This Row],[考试日期]])*(表成绩单[英语]&lt;9E+307)*(表成绩单[英语]&gt;表成绩单[[#This Row],[英语]]))+1)</f>
        <v>37</v>
      </c>
      <c r="S912" s="29" cm="1">
        <f t="array" ref="S912">IF(表成绩单[[#This Row],[物理]]="","",SUMPRODUCT((表成绩单[考试日期]=表成绩单[[#This Row],[考试日期]])*(表成绩单[物理]&lt;9E+307)*(表成绩单[物理]&gt;表成绩单[[#This Row],[物理]]))+1)</f>
        <v>43</v>
      </c>
      <c r="T912" s="29" cm="1">
        <f t="array" ref="T912">IF(表成绩单[[#This Row],[化学]]="","",SUMPRODUCT((表成绩单[考试日期]=表成绩单[[#This Row],[考试日期]])*(表成绩单[化学]&lt;9E+307)*(表成绩单[化学]&gt;表成绩单[[#This Row],[化学]]))+1)</f>
        <v>102</v>
      </c>
      <c r="U912" s="29" cm="1">
        <f t="array" ref="U912">IF(表成绩单[[#This Row],[政治]]="","",SUMPRODUCT((表成绩单[考试日期]=表成绩单[[#This Row],[考试日期]])*(表成绩单[政治]&lt;9E+307)*(表成绩单[政治]&gt;表成绩单[[#This Row],[政治]]))+1)</f>
        <v>121</v>
      </c>
      <c r="V912" s="29" cm="1">
        <f t="array" ref="V912">IF(表成绩单[[#This Row],[历史]]="","",SUMPRODUCT((表成绩单[考试日期]=表成绩单[[#This Row],[考试日期]])*(表成绩单[历史]&lt;9E+307)*(表成绩单[历史]&gt;表成绩单[[#This Row],[历史]]))+1)</f>
        <v>235</v>
      </c>
      <c r="W912" s="29" cm="1">
        <f t="array" ref="W912">IF(表成绩单[[#This Row],[总分]]="","",SUMPRODUCT((表成绩单[考试日期]=表成绩单[[#This Row],[考试日期]])*(表成绩单[总分]&lt;9E+307)*(表成绩单[总分]&gt;表成绩单[[#This Row],[总分]]))+1)</f>
        <v>107</v>
      </c>
    </row>
    <row r="913" ht="28" customHeight="1" spans="4:23">
      <c r="D913" s="31">
        <v>46003</v>
      </c>
      <c r="E913" s="29">
        <v>19178630</v>
      </c>
      <c r="F913" s="29" t="s">
        <v>25</v>
      </c>
      <c r="G913" s="29" t="s">
        <v>27</v>
      </c>
      <c r="H913" s="29">
        <v>106</v>
      </c>
      <c r="I913" s="29">
        <v>87</v>
      </c>
      <c r="J913" s="29">
        <v>84.5</v>
      </c>
      <c r="K913" s="29">
        <v>94</v>
      </c>
      <c r="L913" s="29">
        <v>90</v>
      </c>
      <c r="M913" s="29">
        <v>74</v>
      </c>
      <c r="N913" s="29">
        <v>84</v>
      </c>
      <c r="O913" s="32">
        <v>619.5</v>
      </c>
      <c r="P913" s="29" cm="1">
        <f t="array" ref="P913">IF(表成绩单[[#This Row],[语文]]="","",SUMPRODUCT((表成绩单[考试日期]=表成绩单[[#This Row],[考试日期]])*(表成绩单[语文]&lt;9E+307)*(表成绩单[语文]&gt;表成绩单[[#This Row],[语文]]))+1)</f>
        <v>210</v>
      </c>
      <c r="Q913" s="29" cm="1">
        <f t="array" ref="Q913">IF(表成绩单[[#This Row],[数学]]="","",SUMPRODUCT((表成绩单[考试日期]=表成绩单[[#This Row],[考试日期]])*(表成绩单[数学]&lt;9E+307)*(表成绩单[数学]&gt;表成绩单[[#This Row],[数学]]))+1)</f>
        <v>223</v>
      </c>
      <c r="R913" s="29" cm="1">
        <f t="array" ref="R913">IF(表成绩单[[#This Row],[英语]]="","",SUMPRODUCT((表成绩单[考试日期]=表成绩单[[#This Row],[考试日期]])*(表成绩单[英语]&lt;9E+307)*(表成绩单[英语]&gt;表成绩单[[#This Row],[英语]]))+1)</f>
        <v>37</v>
      </c>
      <c r="S913" s="29" cm="1">
        <f t="array" ref="S913">IF(表成绩单[[#This Row],[物理]]="","",SUMPRODUCT((表成绩单[考试日期]=表成绩单[[#This Row],[考试日期]])*(表成绩单[物理]&lt;9E+307)*(表成绩单[物理]&gt;表成绩单[[#This Row],[物理]]))+1)</f>
        <v>125</v>
      </c>
      <c r="T913" s="29" cm="1">
        <f t="array" ref="T913">IF(表成绩单[[#This Row],[化学]]="","",SUMPRODUCT((表成绩单[考试日期]=表成绩单[[#This Row],[考试日期]])*(表成绩单[化学]&lt;9E+307)*(表成绩单[化学]&gt;表成绩单[[#This Row],[化学]]))+1)</f>
        <v>140</v>
      </c>
      <c r="U913" s="29" cm="1">
        <f t="array" ref="U913">IF(表成绩单[[#This Row],[政治]]="","",SUMPRODUCT((表成绩单[考试日期]=表成绩单[[#This Row],[考试日期]])*(表成绩单[政治]&lt;9E+307)*(表成绩单[政治]&gt;表成绩单[[#This Row],[政治]]))+1)</f>
        <v>121</v>
      </c>
      <c r="V913" s="29" cm="1">
        <f t="array" ref="V913">IF(表成绩单[[#This Row],[历史]]="","",SUMPRODUCT((表成绩单[考试日期]=表成绩单[[#This Row],[考试日期]])*(表成绩单[历史]&lt;9E+307)*(表成绩单[历史]&gt;表成绩单[[#This Row],[历史]]))+1)</f>
        <v>30</v>
      </c>
      <c r="W913" s="29" cm="1">
        <f t="array" ref="W913">IF(表成绩单[[#This Row],[总分]]="","",SUMPRODUCT((表成绩单[考试日期]=表成绩单[[#This Row],[考试日期]])*(表成绩单[总分]&lt;9E+307)*(表成绩单[总分]&gt;表成绩单[[#This Row],[总分]]))+1)</f>
        <v>107</v>
      </c>
    </row>
    <row r="914" ht="28" customHeight="1" spans="4:23">
      <c r="D914" s="31">
        <v>46003</v>
      </c>
      <c r="E914" s="29">
        <v>19174452</v>
      </c>
      <c r="F914" s="29" t="s">
        <v>73</v>
      </c>
      <c r="G914" s="29" t="s">
        <v>210</v>
      </c>
      <c r="H914" s="29">
        <v>109</v>
      </c>
      <c r="I914" s="29">
        <v>94</v>
      </c>
      <c r="J914" s="29">
        <v>83</v>
      </c>
      <c r="K914" s="29">
        <v>88</v>
      </c>
      <c r="L914" s="29">
        <v>94</v>
      </c>
      <c r="M914" s="29">
        <v>66</v>
      </c>
      <c r="N914" s="29">
        <v>85</v>
      </c>
      <c r="O914" s="32">
        <v>619</v>
      </c>
      <c r="P914" s="29" cm="1">
        <f t="array" ref="P914">IF(表成绩单[[#This Row],[语文]]="","",SUMPRODUCT((表成绩单[考试日期]=表成绩单[[#This Row],[考试日期]])*(表成绩单[语文]&lt;9E+307)*(表成绩单[语文]&gt;表成绩单[[#This Row],[语文]]))+1)</f>
        <v>111</v>
      </c>
      <c r="Q914" s="29" cm="1">
        <f t="array" ref="Q914">IF(表成绩单[[#This Row],[数学]]="","",SUMPRODUCT((表成绩单[考试日期]=表成绩单[[#This Row],[考试日期]])*(表成绩单[数学]&lt;9E+307)*(表成绩单[数学]&gt;表成绩单[[#This Row],[数学]]))+1)</f>
        <v>142</v>
      </c>
      <c r="R914" s="29" cm="1">
        <f t="array" ref="R914">IF(表成绩单[[#This Row],[英语]]="","",SUMPRODUCT((表成绩单[考试日期]=表成绩单[[#This Row],[考试日期]])*(表成绩单[英语]&lt;9E+307)*(表成绩单[英语]&gt;表成绩单[[#This Row],[英语]]))+1)</f>
        <v>70</v>
      </c>
      <c r="S914" s="29" cm="1">
        <f t="array" ref="S914">IF(表成绩单[[#This Row],[物理]]="","",SUMPRODUCT((表成绩单[考试日期]=表成绩单[[#This Row],[考试日期]])*(表成绩单[物理]&lt;9E+307)*(表成绩单[物理]&gt;表成绩单[[#This Row],[物理]]))+1)</f>
        <v>291</v>
      </c>
      <c r="T914" s="29" cm="1">
        <f t="array" ref="T914">IF(表成绩单[[#This Row],[化学]]="","",SUMPRODUCT((表成绩单[考试日期]=表成绩单[[#This Row],[考试日期]])*(表成绩单[化学]&lt;9E+307)*(表成绩单[化学]&gt;表成绩单[[#This Row],[化学]]))+1)</f>
        <v>56</v>
      </c>
      <c r="U914" s="29" cm="1">
        <f t="array" ref="U914">IF(表成绩单[[#This Row],[政治]]="","",SUMPRODUCT((表成绩单[考试日期]=表成绩单[[#This Row],[考试日期]])*(表成绩单[政治]&lt;9E+307)*(表成绩单[政治]&gt;表成绩单[[#This Row],[政治]]))+1)</f>
        <v>289</v>
      </c>
      <c r="V914" s="29" cm="1">
        <f t="array" ref="V914">IF(表成绩单[[#This Row],[历史]]="","",SUMPRODUCT((表成绩单[考试日期]=表成绩单[[#This Row],[考试日期]])*(表成绩单[历史]&lt;9E+307)*(表成绩单[历史]&gt;表成绩单[[#This Row],[历史]]))+1)</f>
        <v>12</v>
      </c>
      <c r="W914" s="29" cm="1">
        <f t="array" ref="W914">IF(表成绩单[[#This Row],[总分]]="","",SUMPRODUCT((表成绩单[考试日期]=表成绩单[[#This Row],[考试日期]])*(表成绩单[总分]&lt;9E+307)*(表成绩单[总分]&gt;表成绩单[[#This Row],[总分]]))+1)</f>
        <v>109</v>
      </c>
    </row>
    <row r="915" ht="28" customHeight="1" spans="4:23">
      <c r="D915" s="31">
        <v>46003</v>
      </c>
      <c r="E915" s="29">
        <v>19175380</v>
      </c>
      <c r="F915" s="29" t="s">
        <v>74</v>
      </c>
      <c r="G915" s="29" t="s">
        <v>174</v>
      </c>
      <c r="H915" s="29">
        <v>111</v>
      </c>
      <c r="I915" s="29">
        <v>95</v>
      </c>
      <c r="J915" s="29">
        <v>80.5</v>
      </c>
      <c r="K915" s="29">
        <v>87</v>
      </c>
      <c r="L915" s="29">
        <v>92</v>
      </c>
      <c r="M915" s="29">
        <v>74</v>
      </c>
      <c r="N915" s="29">
        <v>79</v>
      </c>
      <c r="O915" s="32">
        <v>618.5</v>
      </c>
      <c r="P915" s="29" cm="1">
        <f t="array" ref="P915">IF(表成绩单[[#This Row],[语文]]="","",SUMPRODUCT((表成绩单[考试日期]=表成绩单[[#This Row],[考试日期]])*(表成绩单[语文]&lt;9E+307)*(表成绩单[语文]&gt;表成绩单[[#This Row],[语文]]))+1)</f>
        <v>56</v>
      </c>
      <c r="Q915" s="29" cm="1">
        <f t="array" ref="Q915">IF(表成绩单[[#This Row],[数学]]="","",SUMPRODUCT((表成绩单[考试日期]=表成绩单[[#This Row],[考试日期]])*(表成绩单[数学]&lt;9E+307)*(表成绩单[数学]&gt;表成绩单[[#This Row],[数学]]))+1)</f>
        <v>122</v>
      </c>
      <c r="R915" s="29" cm="1">
        <f t="array" ref="R915">IF(表成绩单[[#This Row],[英语]]="","",SUMPRODUCT((表成绩单[考试日期]=表成绩单[[#This Row],[考试日期]])*(表成绩单[英语]&lt;9E+307)*(表成绩单[英语]&gt;表成绩单[[#This Row],[英语]]))+1)</f>
        <v>147</v>
      </c>
      <c r="S915" s="29" cm="1">
        <f t="array" ref="S915">IF(表成绩单[[#This Row],[物理]]="","",SUMPRODUCT((表成绩单[考试日期]=表成绩单[[#This Row],[考试日期]])*(表成绩单[物理]&lt;9E+307)*(表成绩单[物理]&gt;表成绩单[[#This Row],[物理]]))+1)</f>
        <v>306</v>
      </c>
      <c r="T915" s="29" cm="1">
        <f t="array" ref="T915">IF(表成绩单[[#This Row],[化学]]="","",SUMPRODUCT((表成绩单[考试日期]=表成绩单[[#This Row],[考试日期]])*(表成绩单[化学]&lt;9E+307)*(表成绩单[化学]&gt;表成绩单[[#This Row],[化学]]))+1)</f>
        <v>102</v>
      </c>
      <c r="U915" s="29" cm="1">
        <f t="array" ref="U915">IF(表成绩单[[#This Row],[政治]]="","",SUMPRODUCT((表成绩单[考试日期]=表成绩单[[#This Row],[考试日期]])*(表成绩单[政治]&lt;9E+307)*(表成绩单[政治]&gt;表成绩单[[#This Row],[政治]]))+1)</f>
        <v>121</v>
      </c>
      <c r="V915" s="29" cm="1">
        <f t="array" ref="V915">IF(表成绩单[[#This Row],[历史]]="","",SUMPRODUCT((表成绩单[考试日期]=表成绩单[[#This Row],[考试日期]])*(表成绩单[历史]&lt;9E+307)*(表成绩单[历史]&gt;表成绩单[[#This Row],[历史]]))+1)</f>
        <v>149</v>
      </c>
      <c r="W915" s="29" cm="1">
        <f t="array" ref="W915">IF(表成绩单[[#This Row],[总分]]="","",SUMPRODUCT((表成绩单[考试日期]=表成绩单[[#This Row],[考试日期]])*(表成绩单[总分]&lt;9E+307)*(表成绩单[总分]&gt;表成绩单[[#This Row],[总分]]))+1)</f>
        <v>110</v>
      </c>
    </row>
    <row r="916" ht="28" customHeight="1" spans="4:23">
      <c r="D916" s="31">
        <v>46003</v>
      </c>
      <c r="E916" s="29">
        <v>19175670</v>
      </c>
      <c r="F916" s="29" t="s">
        <v>66</v>
      </c>
      <c r="G916" s="29" t="s">
        <v>297</v>
      </c>
      <c r="H916" s="29">
        <v>106</v>
      </c>
      <c r="I916" s="29">
        <v>95</v>
      </c>
      <c r="J916" s="29">
        <v>66.5</v>
      </c>
      <c r="K916" s="29">
        <v>99</v>
      </c>
      <c r="L916" s="29">
        <v>93</v>
      </c>
      <c r="M916" s="29">
        <v>74</v>
      </c>
      <c r="N916" s="29">
        <v>85</v>
      </c>
      <c r="O916" s="32">
        <v>618.5</v>
      </c>
      <c r="P916" s="29" cm="1">
        <f t="array" ref="P916">IF(表成绩单[[#This Row],[语文]]="","",SUMPRODUCT((表成绩单[考试日期]=表成绩单[[#This Row],[考试日期]])*(表成绩单[语文]&lt;9E+307)*(表成绩单[语文]&gt;表成绩单[[#This Row],[语文]]))+1)</f>
        <v>210</v>
      </c>
      <c r="Q916" s="29" cm="1">
        <f t="array" ref="Q916">IF(表成绩单[[#This Row],[数学]]="","",SUMPRODUCT((表成绩单[考试日期]=表成绩单[[#This Row],[考试日期]])*(表成绩单[数学]&lt;9E+307)*(表成绩单[数学]&gt;表成绩单[[#This Row],[数学]]))+1)</f>
        <v>122</v>
      </c>
      <c r="R916" s="29" cm="1">
        <f t="array" ref="R916">IF(表成绩单[[#This Row],[英语]]="","",SUMPRODUCT((表成绩单[考试日期]=表成绩单[[#This Row],[考试日期]])*(表成绩单[英语]&lt;9E+307)*(表成绩单[英语]&gt;表成绩单[[#This Row],[英语]]))+1)</f>
        <v>465</v>
      </c>
      <c r="S916" s="29" cm="1">
        <f t="array" ref="S916">IF(表成绩单[[#This Row],[物理]]="","",SUMPRODUCT((表成绩单[考试日期]=表成绩单[[#This Row],[考试日期]])*(表成绩单[物理]&lt;9E+307)*(表成绩单[物理]&gt;表成绩单[[#This Row],[物理]]))+1)</f>
        <v>9</v>
      </c>
      <c r="T916" s="29" cm="1">
        <f t="array" ref="T916">IF(表成绩单[[#This Row],[化学]]="","",SUMPRODUCT((表成绩单[考试日期]=表成绩单[[#This Row],[考试日期]])*(表成绩单[化学]&lt;9E+307)*(表成绩单[化学]&gt;表成绩单[[#This Row],[化学]]))+1)</f>
        <v>73</v>
      </c>
      <c r="U916" s="29" cm="1">
        <f t="array" ref="U916">IF(表成绩单[[#This Row],[政治]]="","",SUMPRODUCT((表成绩单[考试日期]=表成绩单[[#This Row],[考试日期]])*(表成绩单[政治]&lt;9E+307)*(表成绩单[政治]&gt;表成绩单[[#This Row],[政治]]))+1)</f>
        <v>121</v>
      </c>
      <c r="V916" s="29" cm="1">
        <f t="array" ref="V916">IF(表成绩单[[#This Row],[历史]]="","",SUMPRODUCT((表成绩单[考试日期]=表成绩单[[#This Row],[考试日期]])*(表成绩单[历史]&lt;9E+307)*(表成绩单[历史]&gt;表成绩单[[#This Row],[历史]]))+1)</f>
        <v>12</v>
      </c>
      <c r="W916" s="29" cm="1">
        <f t="array" ref="W916">IF(表成绩单[[#This Row],[总分]]="","",SUMPRODUCT((表成绩单[考试日期]=表成绩单[[#This Row],[考试日期]])*(表成绩单[总分]&lt;9E+307)*(表成绩单[总分]&gt;表成绩单[[#This Row],[总分]]))+1)</f>
        <v>110</v>
      </c>
    </row>
    <row r="917" ht="28" customHeight="1" spans="4:23">
      <c r="D917" s="31">
        <v>46003</v>
      </c>
      <c r="E917" s="29">
        <v>19175705</v>
      </c>
      <c r="F917" s="29" t="s">
        <v>72</v>
      </c>
      <c r="G917" s="29" t="s">
        <v>275</v>
      </c>
      <c r="H917" s="29">
        <v>101</v>
      </c>
      <c r="I917" s="29">
        <v>114</v>
      </c>
      <c r="J917" s="29">
        <v>73.5</v>
      </c>
      <c r="K917" s="29">
        <v>97</v>
      </c>
      <c r="L917" s="29">
        <v>86</v>
      </c>
      <c r="M917" s="29">
        <v>64</v>
      </c>
      <c r="N917" s="29">
        <v>83</v>
      </c>
      <c r="O917" s="32">
        <v>618.5</v>
      </c>
      <c r="P917" s="29" cm="1">
        <f t="array" ref="P917">IF(表成绩单[[#This Row],[语文]]="","",SUMPRODUCT((表成绩单[考试日期]=表成绩单[[#This Row],[考试日期]])*(表成绩单[语文]&lt;9E+307)*(表成绩单[语文]&gt;表成绩单[[#This Row],[语文]]))+1)</f>
        <v>387</v>
      </c>
      <c r="Q917" s="29" cm="1">
        <f t="array" ref="Q917">IF(表成绩单[[#This Row],[数学]]="","",SUMPRODUCT((表成绩单[考试日期]=表成绩单[[#This Row],[考试日期]])*(表成绩单[数学]&lt;9E+307)*(表成绩单[数学]&gt;表成绩单[[#This Row],[数学]]))+1)</f>
        <v>1</v>
      </c>
      <c r="R917" s="29" cm="1">
        <f t="array" ref="R917">IF(表成绩单[[#This Row],[英语]]="","",SUMPRODUCT((表成绩单[考试日期]=表成绩单[[#This Row],[考试日期]])*(表成绩单[英语]&lt;9E+307)*(表成绩单[英语]&gt;表成绩单[[#This Row],[英语]]))+1)</f>
        <v>355</v>
      </c>
      <c r="S917" s="29" cm="1">
        <f t="array" ref="S917">IF(表成绩单[[#This Row],[物理]]="","",SUMPRODUCT((表成绩单[考试日期]=表成绩单[[#This Row],[考试日期]])*(表成绩单[物理]&lt;9E+307)*(表成绩单[物理]&gt;表成绩单[[#This Row],[物理]]))+1)</f>
        <v>43</v>
      </c>
      <c r="T917" s="29" cm="1">
        <f t="array" ref="T917">IF(表成绩单[[#This Row],[化学]]="","",SUMPRODUCT((表成绩单[考试日期]=表成绩单[[#This Row],[考试日期]])*(表成绩单[化学]&lt;9E+307)*(表成绩单[化学]&gt;表成绩单[[#This Row],[化学]]))+1)</f>
        <v>223</v>
      </c>
      <c r="U917" s="29" cm="1">
        <f t="array" ref="U917">IF(表成绩单[[#This Row],[政治]]="","",SUMPRODUCT((表成绩单[考试日期]=表成绩单[[#This Row],[考试日期]])*(表成绩单[政治]&lt;9E+307)*(表成绩单[政治]&gt;表成绩单[[#This Row],[政治]]))+1)</f>
        <v>337</v>
      </c>
      <c r="V917" s="29" cm="1">
        <f t="array" ref="V917">IF(表成绩单[[#This Row],[历史]]="","",SUMPRODUCT((表成绩单[考试日期]=表成绩单[[#This Row],[考试日期]])*(表成绩单[历史]&lt;9E+307)*(表成绩单[历史]&gt;表成绩单[[#This Row],[历史]]))+1)</f>
        <v>46</v>
      </c>
      <c r="W917" s="29" cm="1">
        <f t="array" ref="W917">IF(表成绩单[[#This Row],[总分]]="","",SUMPRODUCT((表成绩单[考试日期]=表成绩单[[#This Row],[考试日期]])*(表成绩单[总分]&lt;9E+307)*(表成绩单[总分]&gt;表成绩单[[#This Row],[总分]]))+1)</f>
        <v>110</v>
      </c>
    </row>
    <row r="918" ht="28" customHeight="1" spans="4:23">
      <c r="D918" s="31">
        <v>46003</v>
      </c>
      <c r="E918" s="29">
        <v>19174782</v>
      </c>
      <c r="F918" s="29" t="s">
        <v>69</v>
      </c>
      <c r="G918" s="29" t="s">
        <v>344</v>
      </c>
      <c r="H918" s="29">
        <v>113</v>
      </c>
      <c r="I918" s="29">
        <v>98</v>
      </c>
      <c r="J918" s="29">
        <v>79</v>
      </c>
      <c r="K918" s="29">
        <v>90</v>
      </c>
      <c r="L918" s="29">
        <v>86</v>
      </c>
      <c r="M918" s="29">
        <v>76</v>
      </c>
      <c r="N918" s="29">
        <v>76</v>
      </c>
      <c r="O918" s="32">
        <v>618</v>
      </c>
      <c r="P918" s="29" cm="1">
        <f t="array" ref="P918">IF(表成绩单[[#This Row],[语文]]="","",SUMPRODUCT((表成绩单[考试日期]=表成绩单[[#This Row],[考试日期]])*(表成绩单[语文]&lt;9E+307)*(表成绩单[语文]&gt;表成绩单[[#This Row],[语文]]))+1)</f>
        <v>22</v>
      </c>
      <c r="Q918" s="29" cm="1">
        <f t="array" ref="Q918">IF(表成绩单[[#This Row],[数学]]="","",SUMPRODUCT((表成绩单[考试日期]=表成绩单[[#This Row],[考试日期]])*(表成绩单[数学]&lt;9E+307)*(表成绩单[数学]&gt;表成绩单[[#This Row],[数学]]))+1)</f>
        <v>93</v>
      </c>
      <c r="R918" s="29" cm="1">
        <f t="array" ref="R918">IF(表成绩单[[#This Row],[英语]]="","",SUMPRODUCT((表成绩单[考试日期]=表成绩单[[#This Row],[考试日期]])*(表成绩单[英语]&lt;9E+307)*(表成绩单[英语]&gt;表成绩单[[#This Row],[英语]]))+1)</f>
        <v>188</v>
      </c>
      <c r="S918" s="29" cm="1">
        <f t="array" ref="S918">IF(表成绩单[[#This Row],[物理]]="","",SUMPRODUCT((表成绩单[考试日期]=表成绩单[[#This Row],[考试日期]])*(表成绩单[物理]&lt;9E+307)*(表成绩单[物理]&gt;表成绩单[[#This Row],[物理]]))+1)</f>
        <v>237</v>
      </c>
      <c r="T918" s="29" cm="1">
        <f t="array" ref="T918">IF(表成绩单[[#This Row],[化学]]="","",SUMPRODUCT((表成绩单[考试日期]=表成绩单[[#This Row],[考试日期]])*(表成绩单[化学]&lt;9E+307)*(表成绩单[化学]&gt;表成绩单[[#This Row],[化学]]))+1)</f>
        <v>223</v>
      </c>
      <c r="U918" s="29" cm="1">
        <f t="array" ref="U918">IF(表成绩单[[#This Row],[政治]]="","",SUMPRODUCT((表成绩单[考试日期]=表成绩单[[#This Row],[考试日期]])*(表成绩单[政治]&lt;9E+307)*(表成绩单[政治]&gt;表成绩单[[#This Row],[政治]]))+1)</f>
        <v>77</v>
      </c>
      <c r="V918" s="29" cm="1">
        <f t="array" ref="V918">IF(表成绩单[[#This Row],[历史]]="","",SUMPRODUCT((表成绩单[考试日期]=表成绩单[[#This Row],[考试日期]])*(表成绩单[历史]&lt;9E+307)*(表成绩单[历史]&gt;表成绩单[[#This Row],[历史]]))+1)</f>
        <v>279</v>
      </c>
      <c r="W918" s="29" cm="1">
        <f t="array" ref="W918">IF(表成绩单[[#This Row],[总分]]="","",SUMPRODUCT((表成绩单[考试日期]=表成绩单[[#This Row],[考试日期]])*(表成绩单[总分]&lt;9E+307)*(表成绩单[总分]&gt;表成绩单[[#This Row],[总分]]))+1)</f>
        <v>113</v>
      </c>
    </row>
    <row r="919" ht="28" customHeight="1" spans="4:23">
      <c r="D919" s="31">
        <v>46003</v>
      </c>
      <c r="E919" s="29">
        <v>19174805</v>
      </c>
      <c r="F919" s="29" t="s">
        <v>69</v>
      </c>
      <c r="G919" s="29" t="s">
        <v>134</v>
      </c>
      <c r="H919" s="29">
        <v>114</v>
      </c>
      <c r="I919" s="29">
        <v>96</v>
      </c>
      <c r="J919" s="29">
        <v>80</v>
      </c>
      <c r="K919" s="29">
        <v>94</v>
      </c>
      <c r="L919" s="29">
        <v>94</v>
      </c>
      <c r="M919" s="29">
        <v>64</v>
      </c>
      <c r="N919" s="29">
        <v>76</v>
      </c>
      <c r="O919" s="32">
        <v>618</v>
      </c>
      <c r="P919" s="29" cm="1">
        <f t="array" ref="P919">IF(表成绩单[[#This Row],[语文]]="","",SUMPRODUCT((表成绩单[考试日期]=表成绩单[[#This Row],[考试日期]])*(表成绩单[语文]&lt;9E+307)*(表成绩单[语文]&gt;表成绩单[[#This Row],[语文]]))+1)</f>
        <v>13</v>
      </c>
      <c r="Q919" s="29" cm="1">
        <f t="array" ref="Q919">IF(表成绩单[[#This Row],[数学]]="","",SUMPRODUCT((表成绩单[考试日期]=表成绩单[[#This Row],[考试日期]])*(表成绩单[数学]&lt;9E+307)*(表成绩单[数学]&gt;表成绩单[[#This Row],[数学]]))+1)</f>
        <v>114</v>
      </c>
      <c r="R919" s="29" cm="1">
        <f t="array" ref="R919">IF(表成绩单[[#This Row],[英语]]="","",SUMPRODUCT((表成绩单[考试日期]=表成绩单[[#This Row],[考试日期]])*(表成绩单[英语]&lt;9E+307)*(表成绩单[英语]&gt;表成绩单[[#This Row],[英语]]))+1)</f>
        <v>170</v>
      </c>
      <c r="S919" s="29" cm="1">
        <f t="array" ref="S919">IF(表成绩单[[#This Row],[物理]]="","",SUMPRODUCT((表成绩单[考试日期]=表成绩单[[#This Row],[考试日期]])*(表成绩单[物理]&lt;9E+307)*(表成绩单[物理]&gt;表成绩单[[#This Row],[物理]]))+1)</f>
        <v>125</v>
      </c>
      <c r="T919" s="29" cm="1">
        <f t="array" ref="T919">IF(表成绩单[[#This Row],[化学]]="","",SUMPRODUCT((表成绩单[考试日期]=表成绩单[[#This Row],[考试日期]])*(表成绩单[化学]&lt;9E+307)*(表成绩单[化学]&gt;表成绩单[[#This Row],[化学]]))+1)</f>
        <v>56</v>
      </c>
      <c r="U919" s="29" cm="1">
        <f t="array" ref="U919">IF(表成绩单[[#This Row],[政治]]="","",SUMPRODUCT((表成绩单[考试日期]=表成绩单[[#This Row],[考试日期]])*(表成绩单[政治]&lt;9E+307)*(表成绩单[政治]&gt;表成绩单[[#This Row],[政治]]))+1)</f>
        <v>337</v>
      </c>
      <c r="V919" s="29" cm="1">
        <f t="array" ref="V919">IF(表成绩单[[#This Row],[历史]]="","",SUMPRODUCT((表成绩单[考试日期]=表成绩单[[#This Row],[考试日期]])*(表成绩单[历史]&lt;9E+307)*(表成绩单[历史]&gt;表成绩单[[#This Row],[历史]]))+1)</f>
        <v>279</v>
      </c>
      <c r="W919" s="29" cm="1">
        <f t="array" ref="W919">IF(表成绩单[[#This Row],[总分]]="","",SUMPRODUCT((表成绩单[考试日期]=表成绩单[[#This Row],[考试日期]])*(表成绩单[总分]&lt;9E+307)*(表成绩单[总分]&gt;表成绩单[[#This Row],[总分]]))+1)</f>
        <v>113</v>
      </c>
    </row>
    <row r="920" ht="28" customHeight="1" spans="4:23">
      <c r="D920" s="31">
        <v>46003</v>
      </c>
      <c r="E920" s="29">
        <v>19175701</v>
      </c>
      <c r="F920" s="29" t="s">
        <v>72</v>
      </c>
      <c r="G920" s="29" t="s">
        <v>395</v>
      </c>
      <c r="H920" s="29">
        <v>111</v>
      </c>
      <c r="I920" s="29">
        <v>89</v>
      </c>
      <c r="J920" s="29">
        <v>85</v>
      </c>
      <c r="K920" s="29">
        <v>96</v>
      </c>
      <c r="L920" s="29">
        <v>90</v>
      </c>
      <c r="M920" s="29">
        <v>65</v>
      </c>
      <c r="N920" s="29">
        <v>82</v>
      </c>
      <c r="O920" s="32">
        <v>618</v>
      </c>
      <c r="P920" s="29" cm="1">
        <f t="array" ref="P920">IF(表成绩单[[#This Row],[语文]]="","",SUMPRODUCT((表成绩单[考试日期]=表成绩单[[#This Row],[考试日期]])*(表成绩单[语文]&lt;9E+307)*(表成绩单[语文]&gt;表成绩单[[#This Row],[语文]]))+1)</f>
        <v>56</v>
      </c>
      <c r="Q920" s="29" cm="1">
        <f t="array" ref="Q920">IF(表成绩单[[#This Row],[数学]]="","",SUMPRODUCT((表成绩单[考试日期]=表成绩单[[#This Row],[考试日期]])*(表成绩单[数学]&lt;9E+307)*(表成绩单[数学]&gt;表成绩单[[#This Row],[数学]]))+1)</f>
        <v>201</v>
      </c>
      <c r="R920" s="29" cm="1">
        <f t="array" ref="R920">IF(表成绩单[[#This Row],[英语]]="","",SUMPRODUCT((表成绩单[考试日期]=表成绩单[[#This Row],[考试日期]])*(表成绩单[英语]&lt;9E+307)*(表成绩单[英语]&gt;表成绩单[[#This Row],[英语]]))+1)</f>
        <v>30</v>
      </c>
      <c r="S920" s="29" cm="1">
        <f t="array" ref="S920">IF(表成绩单[[#This Row],[物理]]="","",SUMPRODUCT((表成绩单[考试日期]=表成绩单[[#This Row],[考试日期]])*(表成绩单[物理]&lt;9E+307)*(表成绩单[物理]&gt;表成绩单[[#This Row],[物理]]))+1)</f>
        <v>64</v>
      </c>
      <c r="T920" s="29" cm="1">
        <f t="array" ref="T920">IF(表成绩单[[#This Row],[化学]]="","",SUMPRODUCT((表成绩单[考试日期]=表成绩单[[#This Row],[考试日期]])*(表成绩单[化学]&lt;9E+307)*(表成绩单[化学]&gt;表成绩单[[#This Row],[化学]]))+1)</f>
        <v>140</v>
      </c>
      <c r="U920" s="29" cm="1">
        <f t="array" ref="U920">IF(表成绩单[[#This Row],[政治]]="","",SUMPRODUCT((表成绩单[考试日期]=表成绩单[[#This Row],[考试日期]])*(表成绩单[政治]&lt;9E+307)*(表成绩单[政治]&gt;表成绩单[[#This Row],[政治]]))+1)</f>
        <v>314</v>
      </c>
      <c r="V920" s="29" cm="1">
        <f t="array" ref="V920">IF(表成绩单[[#This Row],[历史]]="","",SUMPRODUCT((表成绩单[考试日期]=表成绩单[[#This Row],[考试日期]])*(表成绩单[历史]&lt;9E+307)*(表成绩单[历史]&gt;表成绩单[[#This Row],[历史]]))+1)</f>
        <v>66</v>
      </c>
      <c r="W920" s="29" cm="1">
        <f t="array" ref="W920">IF(表成绩单[[#This Row],[总分]]="","",SUMPRODUCT((表成绩单[考试日期]=表成绩单[[#This Row],[考试日期]])*(表成绩单[总分]&lt;9E+307)*(表成绩单[总分]&gt;表成绩单[[#This Row],[总分]]))+1)</f>
        <v>113</v>
      </c>
    </row>
    <row r="921" ht="28" customHeight="1" spans="4:23">
      <c r="D921" s="31">
        <v>46003</v>
      </c>
      <c r="E921" s="29">
        <v>19176888</v>
      </c>
      <c r="F921" s="29" t="s">
        <v>71</v>
      </c>
      <c r="G921" s="29" t="s">
        <v>120</v>
      </c>
      <c r="H921" s="29">
        <v>107</v>
      </c>
      <c r="I921" s="29">
        <v>100</v>
      </c>
      <c r="J921" s="29">
        <v>78</v>
      </c>
      <c r="K921" s="29">
        <v>94</v>
      </c>
      <c r="L921" s="29">
        <v>93</v>
      </c>
      <c r="M921" s="29">
        <v>71</v>
      </c>
      <c r="N921" s="29">
        <v>75</v>
      </c>
      <c r="O921" s="32">
        <v>618</v>
      </c>
      <c r="P921" s="29" cm="1">
        <f t="array" ref="P921">IF(表成绩单[[#This Row],[语文]]="","",SUMPRODUCT((表成绩单[考试日期]=表成绩单[[#This Row],[考试日期]])*(表成绩单[语文]&lt;9E+307)*(表成绩单[语文]&gt;表成绩单[[#This Row],[语文]]))+1)</f>
        <v>182</v>
      </c>
      <c r="Q921" s="29" cm="1">
        <f t="array" ref="Q921">IF(表成绩单[[#This Row],[数学]]="","",SUMPRODUCT((表成绩单[考试日期]=表成绩单[[#This Row],[考试日期]])*(表成绩单[数学]&lt;9E+307)*(表成绩单[数学]&gt;表成绩单[[#This Row],[数学]]))+1)</f>
        <v>77</v>
      </c>
      <c r="R921" s="29" cm="1">
        <f t="array" ref="R921">IF(表成绩单[[#This Row],[英语]]="","",SUMPRODUCT((表成绩单[考试日期]=表成绩单[[#This Row],[考试日期]])*(表成绩单[英语]&lt;9E+307)*(表成绩单[英语]&gt;表成绩单[[#This Row],[英语]]))+1)</f>
        <v>214</v>
      </c>
      <c r="S921" s="29" cm="1">
        <f t="array" ref="S921">IF(表成绩单[[#This Row],[物理]]="","",SUMPRODUCT((表成绩单[考试日期]=表成绩单[[#This Row],[考试日期]])*(表成绩单[物理]&lt;9E+307)*(表成绩单[物理]&gt;表成绩单[[#This Row],[物理]]))+1)</f>
        <v>125</v>
      </c>
      <c r="T921" s="29" cm="1">
        <f t="array" ref="T921">IF(表成绩单[[#This Row],[化学]]="","",SUMPRODUCT((表成绩单[考试日期]=表成绩单[[#This Row],[考试日期]])*(表成绩单[化学]&lt;9E+307)*(表成绩单[化学]&gt;表成绩单[[#This Row],[化学]]))+1)</f>
        <v>73</v>
      </c>
      <c r="U921" s="29" cm="1">
        <f t="array" ref="U921">IF(表成绩单[[#This Row],[政治]]="","",SUMPRODUCT((表成绩单[考试日期]=表成绩单[[#This Row],[考试日期]])*(表成绩单[政治]&lt;9E+307)*(表成绩单[政治]&gt;表成绩单[[#This Row],[政治]]))+1)</f>
        <v>168</v>
      </c>
      <c r="V921" s="29" cm="1">
        <f t="array" ref="V921">IF(表成绩单[[#This Row],[历史]]="","",SUMPRODUCT((表成绩单[考试日期]=表成绩单[[#This Row],[考试日期]])*(表成绩单[历史]&lt;9E+307)*(表成绩单[历史]&gt;表成绩单[[#This Row],[历史]]))+1)</f>
        <v>329</v>
      </c>
      <c r="W921" s="29" cm="1">
        <f t="array" ref="W921">IF(表成绩单[[#This Row],[总分]]="","",SUMPRODUCT((表成绩单[考试日期]=表成绩单[[#This Row],[考试日期]])*(表成绩单[总分]&lt;9E+307)*(表成绩单[总分]&gt;表成绩单[[#This Row],[总分]]))+1)</f>
        <v>113</v>
      </c>
    </row>
    <row r="922" ht="28" customHeight="1" spans="4:23">
      <c r="D922" s="31">
        <v>46003</v>
      </c>
      <c r="E922" s="29">
        <v>19176895</v>
      </c>
      <c r="F922" s="29" t="s">
        <v>71</v>
      </c>
      <c r="G922" s="29" t="s">
        <v>231</v>
      </c>
      <c r="H922" s="29">
        <v>109</v>
      </c>
      <c r="I922" s="29">
        <v>94</v>
      </c>
      <c r="J922" s="29">
        <v>83</v>
      </c>
      <c r="K922" s="29">
        <v>98</v>
      </c>
      <c r="L922" s="29">
        <v>92</v>
      </c>
      <c r="M922" s="29">
        <v>64</v>
      </c>
      <c r="N922" s="29">
        <v>78</v>
      </c>
      <c r="O922" s="32">
        <v>618</v>
      </c>
      <c r="P922" s="29" cm="1">
        <f t="array" ref="P922">IF(表成绩单[[#This Row],[语文]]="","",SUMPRODUCT((表成绩单[考试日期]=表成绩单[[#This Row],[考试日期]])*(表成绩单[语文]&lt;9E+307)*(表成绩单[语文]&gt;表成绩单[[#This Row],[语文]]))+1)</f>
        <v>111</v>
      </c>
      <c r="Q922" s="29" cm="1">
        <f t="array" ref="Q922">IF(表成绩单[[#This Row],[数学]]="","",SUMPRODUCT((表成绩单[考试日期]=表成绩单[[#This Row],[考试日期]])*(表成绩单[数学]&lt;9E+307)*(表成绩单[数学]&gt;表成绩单[[#This Row],[数学]]))+1)</f>
        <v>142</v>
      </c>
      <c r="R922" s="29" cm="1">
        <f t="array" ref="R922">IF(表成绩单[[#This Row],[英语]]="","",SUMPRODUCT((表成绩单[考试日期]=表成绩单[[#This Row],[考试日期]])*(表成绩单[英语]&lt;9E+307)*(表成绩单[英语]&gt;表成绩单[[#This Row],[英语]]))+1)</f>
        <v>70</v>
      </c>
      <c r="S922" s="29" cm="1">
        <f t="array" ref="S922">IF(表成绩单[[#This Row],[物理]]="","",SUMPRODUCT((表成绩单[考试日期]=表成绩单[[#This Row],[考试日期]])*(表成绩单[物理]&lt;9E+307)*(表成绩单[物理]&gt;表成绩单[[#This Row],[物理]]))+1)</f>
        <v>26</v>
      </c>
      <c r="T922" s="29" cm="1">
        <f t="array" ref="T922">IF(表成绩单[[#This Row],[化学]]="","",SUMPRODUCT((表成绩单[考试日期]=表成绩单[[#This Row],[考试日期]])*(表成绩单[化学]&lt;9E+307)*(表成绩单[化学]&gt;表成绩单[[#This Row],[化学]]))+1)</f>
        <v>102</v>
      </c>
      <c r="U922" s="29" cm="1">
        <f t="array" ref="U922">IF(表成绩单[[#This Row],[政治]]="","",SUMPRODUCT((表成绩单[考试日期]=表成绩单[[#This Row],[考试日期]])*(表成绩单[政治]&lt;9E+307)*(表成绩单[政治]&gt;表成绩单[[#This Row],[政治]]))+1)</f>
        <v>337</v>
      </c>
      <c r="V922" s="29" cm="1">
        <f t="array" ref="V922">IF(表成绩单[[#This Row],[历史]]="","",SUMPRODUCT((表成绩单[考试日期]=表成绩单[[#This Row],[考试日期]])*(表成绩单[历史]&lt;9E+307)*(表成绩单[历史]&gt;表成绩单[[#This Row],[历史]]))+1)</f>
        <v>190</v>
      </c>
      <c r="W922" s="29" cm="1">
        <f t="array" ref="W922">IF(表成绩单[[#This Row],[总分]]="","",SUMPRODUCT((表成绩单[考试日期]=表成绩单[[#This Row],[考试日期]])*(表成绩单[总分]&lt;9E+307)*(表成绩单[总分]&gt;表成绩单[[#This Row],[总分]]))+1)</f>
        <v>113</v>
      </c>
    </row>
    <row r="923" ht="28" customHeight="1" spans="4:23">
      <c r="D923" s="31">
        <v>46003</v>
      </c>
      <c r="E923" s="29">
        <v>19167659</v>
      </c>
      <c r="F923" s="29" t="s">
        <v>1</v>
      </c>
      <c r="G923" s="29" t="s">
        <v>116</v>
      </c>
      <c r="H923" s="29">
        <v>103</v>
      </c>
      <c r="I923" s="29">
        <v>98</v>
      </c>
      <c r="J923" s="29">
        <v>81.5</v>
      </c>
      <c r="K923" s="29">
        <v>96</v>
      </c>
      <c r="L923" s="29">
        <v>95</v>
      </c>
      <c r="M923" s="29">
        <v>58</v>
      </c>
      <c r="N923" s="29">
        <v>86</v>
      </c>
      <c r="O923" s="32">
        <v>617.5</v>
      </c>
      <c r="P923" s="29" cm="1">
        <f t="array" ref="P923">IF(表成绩单[[#This Row],[语文]]="","",SUMPRODUCT((表成绩单[考试日期]=表成绩单[[#This Row],[考试日期]])*(表成绩单[语文]&lt;9E+307)*(表成绩单[语文]&gt;表成绩单[[#This Row],[语文]]))+1)</f>
        <v>333</v>
      </c>
      <c r="Q923" s="29" cm="1">
        <f t="array" ref="Q923">IF(表成绩单[[#This Row],[数学]]="","",SUMPRODUCT((表成绩单[考试日期]=表成绩单[[#This Row],[考试日期]])*(表成绩单[数学]&lt;9E+307)*(表成绩单[数学]&gt;表成绩单[[#This Row],[数学]]))+1)</f>
        <v>93</v>
      </c>
      <c r="R923" s="29" cm="1">
        <f t="array" ref="R923">IF(表成绩单[[#This Row],[英语]]="","",SUMPRODUCT((表成绩单[考试日期]=表成绩单[[#This Row],[考试日期]])*(表成绩单[英语]&lt;9E+307)*(表成绩单[英语]&gt;表成绩单[[#This Row],[英语]]))+1)</f>
        <v>113</v>
      </c>
      <c r="S923" s="29" cm="1">
        <f t="array" ref="S923">IF(表成绩单[[#This Row],[物理]]="","",SUMPRODUCT((表成绩单[考试日期]=表成绩单[[#This Row],[考试日期]])*(表成绩单[物理]&lt;9E+307)*(表成绩单[物理]&gt;表成绩单[[#This Row],[物理]]))+1)</f>
        <v>64</v>
      </c>
      <c r="T923" s="29" cm="1">
        <f t="array" ref="T923">IF(表成绩单[[#This Row],[化学]]="","",SUMPRODUCT((表成绩单[考试日期]=表成绩单[[#This Row],[考试日期]])*(表成绩单[化学]&lt;9E+307)*(表成绩单[化学]&gt;表成绩单[[#This Row],[化学]]))+1)</f>
        <v>37</v>
      </c>
      <c r="U923" s="29" cm="1">
        <f t="array" ref="U923">IF(表成绩单[[#This Row],[政治]]="","",SUMPRODUCT((表成绩单[考试日期]=表成绩单[[#This Row],[考试日期]])*(表成绩单[政治]&lt;9E+307)*(表成绩单[政治]&gt;表成绩单[[#This Row],[政治]]))+1)</f>
        <v>454</v>
      </c>
      <c r="V923" s="29" cm="1">
        <f t="array" ref="V923">IF(表成绩单[[#This Row],[历史]]="","",SUMPRODUCT((表成绩单[考试日期]=表成绩单[[#This Row],[考试日期]])*(表成绩单[历史]&lt;9E+307)*(表成绩单[历史]&gt;表成绩单[[#This Row],[历史]]))+1)</f>
        <v>6</v>
      </c>
      <c r="W923" s="29" cm="1">
        <f t="array" ref="W923">IF(表成绩单[[#This Row],[总分]]="","",SUMPRODUCT((表成绩单[考试日期]=表成绩单[[#This Row],[考试日期]])*(表成绩单[总分]&lt;9E+307)*(表成绩单[总分]&gt;表成绩单[[#This Row],[总分]]))+1)</f>
        <v>118</v>
      </c>
    </row>
    <row r="924" ht="28" customHeight="1" spans="4:23">
      <c r="D924" s="31">
        <v>46003</v>
      </c>
      <c r="E924" s="29">
        <v>19171088</v>
      </c>
      <c r="F924" s="29" t="s">
        <v>67</v>
      </c>
      <c r="G924" s="29" t="s">
        <v>262</v>
      </c>
      <c r="H924" s="29">
        <v>105</v>
      </c>
      <c r="I924" s="29">
        <v>95</v>
      </c>
      <c r="J924" s="29">
        <v>73.5</v>
      </c>
      <c r="K924" s="29">
        <v>95</v>
      </c>
      <c r="L924" s="29">
        <v>96</v>
      </c>
      <c r="M924" s="29">
        <v>75</v>
      </c>
      <c r="N924" s="29">
        <v>78</v>
      </c>
      <c r="O924" s="32">
        <v>617.5</v>
      </c>
      <c r="P924" s="29" cm="1">
        <f t="array" ref="P924">IF(表成绩单[[#This Row],[语文]]="","",SUMPRODUCT((表成绩单[考试日期]=表成绩单[[#This Row],[考试日期]])*(表成绩单[语文]&lt;9E+307)*(表成绩单[语文]&gt;表成绩单[[#This Row],[语文]]))+1)</f>
        <v>247</v>
      </c>
      <c r="Q924" s="29" cm="1">
        <f t="array" ref="Q924">IF(表成绩单[[#This Row],[数学]]="","",SUMPRODUCT((表成绩单[考试日期]=表成绩单[[#This Row],[考试日期]])*(表成绩单[数学]&lt;9E+307)*(表成绩单[数学]&gt;表成绩单[[#This Row],[数学]]))+1)</f>
        <v>122</v>
      </c>
      <c r="R924" s="29" cm="1">
        <f t="array" ref="R924">IF(表成绩单[[#This Row],[英语]]="","",SUMPRODUCT((表成绩单[考试日期]=表成绩单[[#This Row],[考试日期]])*(表成绩单[英语]&lt;9E+307)*(表成绩单[英语]&gt;表成绩单[[#This Row],[英语]]))+1)</f>
        <v>355</v>
      </c>
      <c r="S924" s="29" cm="1">
        <f t="array" ref="S924">IF(表成绩单[[#This Row],[物理]]="","",SUMPRODUCT((表成绩单[考试日期]=表成绩单[[#This Row],[考试日期]])*(表成绩单[物理]&lt;9E+307)*(表成绩单[物理]&gt;表成绩单[[#This Row],[物理]]))+1)</f>
        <v>97</v>
      </c>
      <c r="T924" s="29" cm="1">
        <f t="array" ref="T924">IF(表成绩单[[#This Row],[化学]]="","",SUMPRODUCT((表成绩单[考试日期]=表成绩单[[#This Row],[考试日期]])*(表成绩单[化学]&lt;9E+307)*(表成绩单[化学]&gt;表成绩单[[#This Row],[化学]]))+1)</f>
        <v>24</v>
      </c>
      <c r="U924" s="29" cm="1">
        <f t="array" ref="U924">IF(表成绩单[[#This Row],[政治]]="","",SUMPRODUCT((表成绩单[考试日期]=表成绩单[[#This Row],[考试日期]])*(表成绩单[政治]&lt;9E+307)*(表成绩单[政治]&gt;表成绩单[[#This Row],[政治]]))+1)</f>
        <v>102</v>
      </c>
      <c r="V924" s="29" cm="1">
        <f t="array" ref="V924">IF(表成绩单[[#This Row],[历史]]="","",SUMPRODUCT((表成绩单[考试日期]=表成绩单[[#This Row],[考试日期]])*(表成绩单[历史]&lt;9E+307)*(表成绩单[历史]&gt;表成绩单[[#This Row],[历史]]))+1)</f>
        <v>190</v>
      </c>
      <c r="W924" s="29" cm="1">
        <f t="array" ref="W924">IF(表成绩单[[#This Row],[总分]]="","",SUMPRODUCT((表成绩单[考试日期]=表成绩单[[#This Row],[考试日期]])*(表成绩单[总分]&lt;9E+307)*(表成绩单[总分]&gt;表成绩单[[#This Row],[总分]]))+1)</f>
        <v>118</v>
      </c>
    </row>
    <row r="925" ht="28" customHeight="1" spans="4:23">
      <c r="D925" s="31">
        <v>46003</v>
      </c>
      <c r="E925" s="29">
        <v>19175679</v>
      </c>
      <c r="F925" s="29" t="s">
        <v>72</v>
      </c>
      <c r="G925" s="29" t="s">
        <v>155</v>
      </c>
      <c r="H925" s="29">
        <v>93</v>
      </c>
      <c r="I925" s="29">
        <v>102</v>
      </c>
      <c r="J925" s="29">
        <v>76.5</v>
      </c>
      <c r="K925" s="29">
        <v>99</v>
      </c>
      <c r="L925" s="29">
        <v>96</v>
      </c>
      <c r="M925" s="29">
        <v>70</v>
      </c>
      <c r="N925" s="29">
        <v>81</v>
      </c>
      <c r="O925" s="32">
        <v>617.5</v>
      </c>
      <c r="P925" s="29" cm="1">
        <f t="array" ref="P925">IF(表成绩单[[#This Row],[语文]]="","",SUMPRODUCT((表成绩单[考试日期]=表成绩单[[#This Row],[考试日期]])*(表成绩单[语文]&lt;9E+307)*(表成绩单[语文]&gt;表成绩单[[#This Row],[语文]]))+1)</f>
        <v>555</v>
      </c>
      <c r="Q925" s="29" cm="1">
        <f t="array" ref="Q925">IF(表成绩单[[#This Row],[数学]]="","",SUMPRODUCT((表成绩单[考试日期]=表成绩单[[#This Row],[考试日期]])*(表成绩单[数学]&lt;9E+307)*(表成绩单[数学]&gt;表成绩单[[#This Row],[数学]]))+1)</f>
        <v>52</v>
      </c>
      <c r="R925" s="29" cm="1">
        <f t="array" ref="R925">IF(表成绩单[[#This Row],[英语]]="","",SUMPRODUCT((表成绩单[考试日期]=表成绩单[[#This Row],[考试日期]])*(表成绩单[英语]&lt;9E+307)*(表成绩单[英语]&gt;表成绩单[[#This Row],[英语]]))+1)</f>
        <v>272</v>
      </c>
      <c r="S925" s="29" cm="1">
        <f t="array" ref="S925">IF(表成绩单[[#This Row],[物理]]="","",SUMPRODUCT((表成绩单[考试日期]=表成绩单[[#This Row],[考试日期]])*(表成绩单[物理]&lt;9E+307)*(表成绩单[物理]&gt;表成绩单[[#This Row],[物理]]))+1)</f>
        <v>9</v>
      </c>
      <c r="T925" s="29" cm="1">
        <f t="array" ref="T925">IF(表成绩单[[#This Row],[化学]]="","",SUMPRODUCT((表成绩单[考试日期]=表成绩单[[#This Row],[考试日期]])*(表成绩单[化学]&lt;9E+307)*(表成绩单[化学]&gt;表成绩单[[#This Row],[化学]]))+1)</f>
        <v>24</v>
      </c>
      <c r="U925" s="29" cm="1">
        <f t="array" ref="U925">IF(表成绩单[[#This Row],[政治]]="","",SUMPRODUCT((表成绩单[考试日期]=表成绩单[[#This Row],[考试日期]])*(表成绩单[政治]&lt;9E+307)*(表成绩单[政治]&gt;表成绩单[[#This Row],[政治]]))+1)</f>
        <v>184</v>
      </c>
      <c r="V925" s="29" cm="1">
        <f t="array" ref="V925">IF(表成绩单[[#This Row],[历史]]="","",SUMPRODUCT((表成绩单[考试日期]=表成绩单[[#This Row],[考试日期]])*(表成绩单[历史]&lt;9E+307)*(表成绩单[历史]&gt;表成绩单[[#This Row],[历史]]))+1)</f>
        <v>92</v>
      </c>
      <c r="W925" s="29" cm="1">
        <f t="array" ref="W925">IF(表成绩单[[#This Row],[总分]]="","",SUMPRODUCT((表成绩单[考试日期]=表成绩单[[#This Row],[考试日期]])*(表成绩单[总分]&lt;9E+307)*(表成绩单[总分]&gt;表成绩单[[#This Row],[总分]]))+1)</f>
        <v>118</v>
      </c>
    </row>
    <row r="926" ht="28" customHeight="1" spans="4:23">
      <c r="D926" s="31">
        <v>46003</v>
      </c>
      <c r="E926" s="29">
        <v>19176878</v>
      </c>
      <c r="F926" s="29" t="s">
        <v>71</v>
      </c>
      <c r="G926" s="29" t="s">
        <v>303</v>
      </c>
      <c r="H926" s="29">
        <v>104</v>
      </c>
      <c r="I926" s="29">
        <v>87</v>
      </c>
      <c r="J926" s="29">
        <v>77.5</v>
      </c>
      <c r="K926" s="29">
        <v>96</v>
      </c>
      <c r="L926" s="29">
        <v>94</v>
      </c>
      <c r="M926" s="29">
        <v>83</v>
      </c>
      <c r="N926" s="29">
        <v>76</v>
      </c>
      <c r="O926" s="32">
        <v>617.5</v>
      </c>
      <c r="P926" s="29" cm="1">
        <f t="array" ref="P926">IF(表成绩单[[#This Row],[语文]]="","",SUMPRODUCT((表成绩单[考试日期]=表成绩单[[#This Row],[考试日期]])*(表成绩单[语文]&lt;9E+307)*(表成绩单[语文]&gt;表成绩单[[#This Row],[语文]]))+1)</f>
        <v>290</v>
      </c>
      <c r="Q926" s="29" cm="1">
        <f t="array" ref="Q926">IF(表成绩单[[#This Row],[数学]]="","",SUMPRODUCT((表成绩单[考试日期]=表成绩单[[#This Row],[考试日期]])*(表成绩单[数学]&lt;9E+307)*(表成绩单[数学]&gt;表成绩单[[#This Row],[数学]]))+1)</f>
        <v>223</v>
      </c>
      <c r="R926" s="29" cm="1">
        <f t="array" ref="R926">IF(表成绩单[[#This Row],[英语]]="","",SUMPRODUCT((表成绩单[考试日期]=表成绩单[[#This Row],[考试日期]])*(表成绩单[英语]&lt;9E+307)*(表成绩单[英语]&gt;表成绩单[[#This Row],[英语]]))+1)</f>
        <v>230</v>
      </c>
      <c r="S926" s="29" cm="1">
        <f t="array" ref="S926">IF(表成绩单[[#This Row],[物理]]="","",SUMPRODUCT((表成绩单[考试日期]=表成绩单[[#This Row],[考试日期]])*(表成绩单[物理]&lt;9E+307)*(表成绩单[物理]&gt;表成绩单[[#This Row],[物理]]))+1)</f>
        <v>64</v>
      </c>
      <c r="T926" s="29" cm="1">
        <f t="array" ref="T926">IF(表成绩单[[#This Row],[化学]]="","",SUMPRODUCT((表成绩单[考试日期]=表成绩单[[#This Row],[考试日期]])*(表成绩单[化学]&lt;9E+307)*(表成绩单[化学]&gt;表成绩单[[#This Row],[化学]]))+1)</f>
        <v>56</v>
      </c>
      <c r="U926" s="29" cm="1">
        <f t="array" ref="U926">IF(表成绩单[[#This Row],[政治]]="","",SUMPRODUCT((表成绩单[考试日期]=表成绩单[[#This Row],[考试日期]])*(表成绩单[政治]&lt;9E+307)*(表成绩单[政治]&gt;表成绩单[[#This Row],[政治]]))+1)</f>
        <v>6</v>
      </c>
      <c r="V926" s="29" cm="1">
        <f t="array" ref="V926">IF(表成绩单[[#This Row],[历史]]="","",SUMPRODUCT((表成绩单[考试日期]=表成绩单[[#This Row],[考试日期]])*(表成绩单[历史]&lt;9E+307)*(表成绩单[历史]&gt;表成绩单[[#This Row],[历史]]))+1)</f>
        <v>279</v>
      </c>
      <c r="W926" s="29" cm="1">
        <f t="array" ref="W926">IF(表成绩单[[#This Row],[总分]]="","",SUMPRODUCT((表成绩单[考试日期]=表成绩单[[#This Row],[考试日期]])*(表成绩单[总分]&lt;9E+307)*(表成绩单[总分]&gt;表成绩单[[#This Row],[总分]]))+1)</f>
        <v>118</v>
      </c>
    </row>
    <row r="927" ht="28" customHeight="1" spans="4:23">
      <c r="D927" s="31">
        <v>46003</v>
      </c>
      <c r="E927" s="29">
        <v>19177197</v>
      </c>
      <c r="F927" s="29" t="s">
        <v>70</v>
      </c>
      <c r="G927" s="29" t="s">
        <v>281</v>
      </c>
      <c r="H927" s="29">
        <v>106</v>
      </c>
      <c r="I927" s="29">
        <v>92</v>
      </c>
      <c r="J927" s="29">
        <v>72</v>
      </c>
      <c r="K927" s="29">
        <v>92</v>
      </c>
      <c r="L927" s="29">
        <v>90</v>
      </c>
      <c r="M927" s="29">
        <v>83</v>
      </c>
      <c r="N927" s="29">
        <v>82</v>
      </c>
      <c r="O927" s="32">
        <v>617</v>
      </c>
      <c r="P927" s="29" cm="1">
        <f t="array" ref="P927">IF(表成绩单[[#This Row],[语文]]="","",SUMPRODUCT((表成绩单[考试日期]=表成绩单[[#This Row],[考试日期]])*(表成绩单[语文]&lt;9E+307)*(表成绩单[语文]&gt;表成绩单[[#This Row],[语文]]))+1)</f>
        <v>210</v>
      </c>
      <c r="Q927" s="29" cm="1">
        <f t="array" ref="Q927">IF(表成绩单[[#This Row],[数学]]="","",SUMPRODUCT((表成绩单[考试日期]=表成绩单[[#This Row],[考试日期]])*(表成绩单[数学]&lt;9E+307)*(表成绩单[数学]&gt;表成绩单[[#This Row],[数学]]))+1)</f>
        <v>170</v>
      </c>
      <c r="R927" s="29" cm="1">
        <f t="array" ref="R927">IF(表成绩单[[#This Row],[英语]]="","",SUMPRODUCT((表成绩单[考试日期]=表成绩单[[#This Row],[考试日期]])*(表成绩单[英语]&lt;9E+307)*(表成绩单[英语]&gt;表成绩单[[#This Row],[英语]]))+1)</f>
        <v>386</v>
      </c>
      <c r="S927" s="29" cm="1">
        <f t="array" ref="S927">IF(表成绩单[[#This Row],[物理]]="","",SUMPRODUCT((表成绩单[考试日期]=表成绩单[[#This Row],[考试日期]])*(表成绩单[物理]&lt;9E+307)*(表成绩单[物理]&gt;表成绩单[[#This Row],[物理]]))+1)</f>
        <v>191</v>
      </c>
      <c r="T927" s="29" cm="1">
        <f t="array" ref="T927">IF(表成绩单[[#This Row],[化学]]="","",SUMPRODUCT((表成绩单[考试日期]=表成绩单[[#This Row],[考试日期]])*(表成绩单[化学]&lt;9E+307)*(表成绩单[化学]&gt;表成绩单[[#This Row],[化学]]))+1)</f>
        <v>140</v>
      </c>
      <c r="U927" s="29" cm="1">
        <f t="array" ref="U927">IF(表成绩单[[#This Row],[政治]]="","",SUMPRODUCT((表成绩单[考试日期]=表成绩单[[#This Row],[考试日期]])*(表成绩单[政治]&lt;9E+307)*(表成绩单[政治]&gt;表成绩单[[#This Row],[政治]]))+1)</f>
        <v>6</v>
      </c>
      <c r="V927" s="29" cm="1">
        <f t="array" ref="V927">IF(表成绩单[[#This Row],[历史]]="","",SUMPRODUCT((表成绩单[考试日期]=表成绩单[[#This Row],[考试日期]])*(表成绩单[历史]&lt;9E+307)*(表成绩单[历史]&gt;表成绩单[[#This Row],[历史]]))+1)</f>
        <v>66</v>
      </c>
      <c r="W927" s="29" cm="1">
        <f t="array" ref="W927">IF(表成绩单[[#This Row],[总分]]="","",SUMPRODUCT((表成绩单[考试日期]=表成绩单[[#This Row],[考试日期]])*(表成绩单[总分]&lt;9E+307)*(表成绩单[总分]&gt;表成绩单[[#This Row],[总分]]))+1)</f>
        <v>122</v>
      </c>
    </row>
    <row r="928" ht="28" customHeight="1" spans="4:23">
      <c r="D928" s="31">
        <v>46003</v>
      </c>
      <c r="E928" s="29">
        <v>19177227</v>
      </c>
      <c r="F928" s="29" t="s">
        <v>70</v>
      </c>
      <c r="G928" s="29" t="s">
        <v>212</v>
      </c>
      <c r="H928" s="29">
        <v>109</v>
      </c>
      <c r="I928" s="29">
        <v>84</v>
      </c>
      <c r="J928" s="29">
        <v>81</v>
      </c>
      <c r="K928" s="29">
        <v>95</v>
      </c>
      <c r="L928" s="29">
        <v>89</v>
      </c>
      <c r="M928" s="29">
        <v>83</v>
      </c>
      <c r="N928" s="29">
        <v>76</v>
      </c>
      <c r="O928" s="32">
        <v>617</v>
      </c>
      <c r="P928" s="29" cm="1">
        <f t="array" ref="P928">IF(表成绩单[[#This Row],[语文]]="","",SUMPRODUCT((表成绩单[考试日期]=表成绩单[[#This Row],[考试日期]])*(表成绩单[语文]&lt;9E+307)*(表成绩单[语文]&gt;表成绩单[[#This Row],[语文]]))+1)</f>
        <v>111</v>
      </c>
      <c r="Q928" s="29" cm="1">
        <f t="array" ref="Q928">IF(表成绩单[[#This Row],[数学]]="","",SUMPRODUCT((表成绩单[考试日期]=表成绩单[[#This Row],[考试日期]])*(表成绩单[数学]&lt;9E+307)*(表成绩单[数学]&gt;表成绩单[[#This Row],[数学]]))+1)</f>
        <v>259</v>
      </c>
      <c r="R928" s="29" cm="1">
        <f t="array" ref="R928">IF(表成绩单[[#This Row],[英语]]="","",SUMPRODUCT((表成绩单[考试日期]=表成绩单[[#This Row],[考试日期]])*(表成绩单[英语]&lt;9E+307)*(表成绩单[英语]&gt;表成绩单[[#This Row],[英语]]))+1)</f>
        <v>131</v>
      </c>
      <c r="S928" s="29" cm="1">
        <f t="array" ref="S928">IF(表成绩单[[#This Row],[物理]]="","",SUMPRODUCT((表成绩单[考试日期]=表成绩单[[#This Row],[考试日期]])*(表成绩单[物理]&lt;9E+307)*(表成绩单[物理]&gt;表成绩单[[#This Row],[物理]]))+1)</f>
        <v>97</v>
      </c>
      <c r="T928" s="29" cm="1">
        <f t="array" ref="T928">IF(表成绩单[[#This Row],[化学]]="","",SUMPRODUCT((表成绩单[考试日期]=表成绩单[[#This Row],[考试日期]])*(表成绩单[化学]&lt;9E+307)*(表成绩单[化学]&gt;表成绩单[[#This Row],[化学]]))+1)</f>
        <v>157</v>
      </c>
      <c r="U928" s="29" cm="1">
        <f t="array" ref="U928">IF(表成绩单[[#This Row],[政治]]="","",SUMPRODUCT((表成绩单[考试日期]=表成绩单[[#This Row],[考试日期]])*(表成绩单[政治]&lt;9E+307)*(表成绩单[政治]&gt;表成绩单[[#This Row],[政治]]))+1)</f>
        <v>6</v>
      </c>
      <c r="V928" s="29" cm="1">
        <f t="array" ref="V928">IF(表成绩单[[#This Row],[历史]]="","",SUMPRODUCT((表成绩单[考试日期]=表成绩单[[#This Row],[考试日期]])*(表成绩单[历史]&lt;9E+307)*(表成绩单[历史]&gt;表成绩单[[#This Row],[历史]]))+1)</f>
        <v>279</v>
      </c>
      <c r="W928" s="29" cm="1">
        <f t="array" ref="W928">IF(表成绩单[[#This Row],[总分]]="","",SUMPRODUCT((表成绩单[考试日期]=表成绩单[[#This Row],[考试日期]])*(表成绩单[总分]&lt;9E+307)*(表成绩单[总分]&gt;表成绩单[[#This Row],[总分]]))+1)</f>
        <v>122</v>
      </c>
    </row>
    <row r="929" ht="28" customHeight="1" spans="4:23">
      <c r="D929" s="31">
        <v>46003</v>
      </c>
      <c r="E929" s="29">
        <v>19171080</v>
      </c>
      <c r="F929" s="29" t="s">
        <v>67</v>
      </c>
      <c r="G929" s="29" t="s">
        <v>195</v>
      </c>
      <c r="H929" s="29">
        <v>110</v>
      </c>
      <c r="I929" s="29">
        <v>95</v>
      </c>
      <c r="J929" s="29">
        <v>79.5</v>
      </c>
      <c r="K929" s="29">
        <v>91</v>
      </c>
      <c r="L929" s="29">
        <v>94</v>
      </c>
      <c r="M929" s="29">
        <v>69</v>
      </c>
      <c r="N929" s="29">
        <v>78</v>
      </c>
      <c r="O929" s="32">
        <v>616.5</v>
      </c>
      <c r="P929" s="29" cm="1">
        <f t="array" ref="P929">IF(表成绩单[[#This Row],[语文]]="","",SUMPRODUCT((表成绩单[考试日期]=表成绩单[[#This Row],[考试日期]])*(表成绩单[语文]&lt;9E+307)*(表成绩单[语文]&gt;表成绩单[[#This Row],[语文]]))+1)</f>
        <v>84</v>
      </c>
      <c r="Q929" s="29" cm="1">
        <f t="array" ref="Q929">IF(表成绩单[[#This Row],[数学]]="","",SUMPRODUCT((表成绩单[考试日期]=表成绩单[[#This Row],[考试日期]])*(表成绩单[数学]&lt;9E+307)*(表成绩单[数学]&gt;表成绩单[[#This Row],[数学]]))+1)</f>
        <v>122</v>
      </c>
      <c r="R929" s="29" cm="1">
        <f t="array" ref="R929">IF(表成绩单[[#This Row],[英语]]="","",SUMPRODUCT((表成绩单[考试日期]=表成绩单[[#This Row],[考试日期]])*(表成绩单[英语]&lt;9E+307)*(表成绩单[英语]&gt;表成绩单[[#This Row],[英语]]))+1)</f>
        <v>180</v>
      </c>
      <c r="S929" s="29" cm="1">
        <f t="array" ref="S929">IF(表成绩单[[#This Row],[物理]]="","",SUMPRODUCT((表成绩单[考试日期]=表成绩单[[#This Row],[考试日期]])*(表成绩单[物理]&lt;9E+307)*(表成绩单[物理]&gt;表成绩单[[#This Row],[物理]]))+1)</f>
        <v>220</v>
      </c>
      <c r="T929" s="29" cm="1">
        <f t="array" ref="T929">IF(表成绩单[[#This Row],[化学]]="","",SUMPRODUCT((表成绩单[考试日期]=表成绩单[[#This Row],[考试日期]])*(表成绩单[化学]&lt;9E+307)*(表成绩单[化学]&gt;表成绩单[[#This Row],[化学]]))+1)</f>
        <v>56</v>
      </c>
      <c r="U929" s="29" cm="1">
        <f t="array" ref="U929">IF(表成绩单[[#This Row],[政治]]="","",SUMPRODUCT((表成绩单[考试日期]=表成绩单[[#This Row],[考试日期]])*(表成绩单[政治]&lt;9E+307)*(表成绩单[政治]&gt;表成绩单[[#This Row],[政治]]))+1)</f>
        <v>212</v>
      </c>
      <c r="V929" s="29" cm="1">
        <f t="array" ref="V929">IF(表成绩单[[#This Row],[历史]]="","",SUMPRODUCT((表成绩单[考试日期]=表成绩单[[#This Row],[考试日期]])*(表成绩单[历史]&lt;9E+307)*(表成绩单[历史]&gt;表成绩单[[#This Row],[历史]]))+1)</f>
        <v>190</v>
      </c>
      <c r="W929" s="29" cm="1">
        <f t="array" ref="W929">IF(表成绩单[[#This Row],[总分]]="","",SUMPRODUCT((表成绩单[考试日期]=表成绩单[[#This Row],[考试日期]])*(表成绩单[总分]&lt;9E+307)*(表成绩单[总分]&gt;表成绩单[[#This Row],[总分]]))+1)</f>
        <v>124</v>
      </c>
    </row>
    <row r="930" ht="28" customHeight="1" spans="4:23">
      <c r="D930" s="31">
        <v>46003</v>
      </c>
      <c r="E930" s="29">
        <v>19173526</v>
      </c>
      <c r="F930" s="29" t="s">
        <v>1</v>
      </c>
      <c r="G930" s="29" t="s">
        <v>240</v>
      </c>
      <c r="H930" s="29">
        <v>101</v>
      </c>
      <c r="I930" s="29">
        <v>103</v>
      </c>
      <c r="J930" s="29">
        <v>81</v>
      </c>
      <c r="K930" s="29">
        <v>93</v>
      </c>
      <c r="L930" s="29">
        <v>92</v>
      </c>
      <c r="M930" s="29">
        <v>68</v>
      </c>
      <c r="N930" s="29">
        <v>78</v>
      </c>
      <c r="O930" s="32">
        <v>616</v>
      </c>
      <c r="P930" s="29" cm="1">
        <f t="array" ref="P930">IF(表成绩单[[#This Row],[语文]]="","",SUMPRODUCT((表成绩单[考试日期]=表成绩单[[#This Row],[考试日期]])*(表成绩单[语文]&lt;9E+307)*(表成绩单[语文]&gt;表成绩单[[#This Row],[语文]]))+1)</f>
        <v>387</v>
      </c>
      <c r="Q930" s="29" cm="1">
        <f t="array" ref="Q930">IF(表成绩单[[#This Row],[数学]]="","",SUMPRODUCT((表成绩单[考试日期]=表成绩单[[#This Row],[考试日期]])*(表成绩单[数学]&lt;9E+307)*(表成绩单[数学]&gt;表成绩单[[#This Row],[数学]]))+1)</f>
        <v>41</v>
      </c>
      <c r="R930" s="29" cm="1">
        <f t="array" ref="R930">IF(表成绩单[[#This Row],[英语]]="","",SUMPRODUCT((表成绩单[考试日期]=表成绩单[[#This Row],[考试日期]])*(表成绩单[英语]&lt;9E+307)*(表成绩单[英语]&gt;表成绩单[[#This Row],[英语]]))+1)</f>
        <v>131</v>
      </c>
      <c r="S930" s="29" cm="1">
        <f t="array" ref="S930">IF(表成绩单[[#This Row],[物理]]="","",SUMPRODUCT((表成绩单[考试日期]=表成绩单[[#This Row],[考试日期]])*(表成绩单[物理]&lt;9E+307)*(表成绩单[物理]&gt;表成绩单[[#This Row],[物理]]))+1)</f>
        <v>163</v>
      </c>
      <c r="T930" s="29" cm="1">
        <f t="array" ref="T930">IF(表成绩单[[#This Row],[化学]]="","",SUMPRODUCT((表成绩单[考试日期]=表成绩单[[#This Row],[考试日期]])*(表成绩单[化学]&lt;9E+307)*(表成绩单[化学]&gt;表成绩单[[#This Row],[化学]]))+1)</f>
        <v>102</v>
      </c>
      <c r="U930" s="29" cm="1">
        <f t="array" ref="U930">IF(表成绩单[[#This Row],[政治]]="","",SUMPRODUCT((表成绩单[考试日期]=表成绩单[[#This Row],[考试日期]])*(表成绩单[政治]&lt;9E+307)*(表成绩单[政治]&gt;表成绩单[[#This Row],[政治]]))+1)</f>
        <v>237</v>
      </c>
      <c r="V930" s="29" cm="1">
        <f t="array" ref="V930">IF(表成绩单[[#This Row],[历史]]="","",SUMPRODUCT((表成绩单[考试日期]=表成绩单[[#This Row],[考试日期]])*(表成绩单[历史]&lt;9E+307)*(表成绩单[历史]&gt;表成绩单[[#This Row],[历史]]))+1)</f>
        <v>190</v>
      </c>
      <c r="W930" s="29" cm="1">
        <f t="array" ref="W930">IF(表成绩单[[#This Row],[总分]]="","",SUMPRODUCT((表成绩单[考试日期]=表成绩单[[#This Row],[考试日期]])*(表成绩单[总分]&lt;9E+307)*(表成绩单[总分]&gt;表成绩单[[#This Row],[总分]]))+1)</f>
        <v>125</v>
      </c>
    </row>
    <row r="931" ht="28" customHeight="1" spans="4:23">
      <c r="D931" s="31">
        <v>46003</v>
      </c>
      <c r="E931" s="29">
        <v>19174467</v>
      </c>
      <c r="F931" s="29" t="s">
        <v>73</v>
      </c>
      <c r="G931" s="29" t="s">
        <v>167</v>
      </c>
      <c r="H931" s="29">
        <v>106</v>
      </c>
      <c r="I931" s="29">
        <v>88</v>
      </c>
      <c r="J931" s="29">
        <v>82</v>
      </c>
      <c r="K931" s="29">
        <v>95</v>
      </c>
      <c r="L931" s="29">
        <v>86</v>
      </c>
      <c r="M931" s="29">
        <v>78</v>
      </c>
      <c r="N931" s="29">
        <v>81</v>
      </c>
      <c r="O931" s="32">
        <v>616</v>
      </c>
      <c r="P931" s="29" cm="1">
        <f t="array" ref="P931">IF(表成绩单[[#This Row],[语文]]="","",SUMPRODUCT((表成绩单[考试日期]=表成绩单[[#This Row],[考试日期]])*(表成绩单[语文]&lt;9E+307)*(表成绩单[语文]&gt;表成绩单[[#This Row],[语文]]))+1)</f>
        <v>210</v>
      </c>
      <c r="Q931" s="29" cm="1">
        <f t="array" ref="Q931">IF(表成绩单[[#This Row],[数学]]="","",SUMPRODUCT((表成绩单[考试日期]=表成绩单[[#This Row],[考试日期]])*(表成绩单[数学]&lt;9E+307)*(表成绩单[数学]&gt;表成绩单[[#This Row],[数学]]))+1)</f>
        <v>213</v>
      </c>
      <c r="R931" s="29" cm="1">
        <f t="array" ref="R931">IF(表成绩单[[#This Row],[英语]]="","",SUMPRODUCT((表成绩单[考试日期]=表成绩单[[#This Row],[考试日期]])*(表成绩单[英语]&lt;9E+307)*(表成绩单[英语]&gt;表成绩单[[#This Row],[英语]]))+1)</f>
        <v>96</v>
      </c>
      <c r="S931" s="29" cm="1">
        <f t="array" ref="S931">IF(表成绩单[[#This Row],[物理]]="","",SUMPRODUCT((表成绩单[考试日期]=表成绩单[[#This Row],[考试日期]])*(表成绩单[物理]&lt;9E+307)*(表成绩单[物理]&gt;表成绩单[[#This Row],[物理]]))+1)</f>
        <v>97</v>
      </c>
      <c r="T931" s="29" cm="1">
        <f t="array" ref="T931">IF(表成绩单[[#This Row],[化学]]="","",SUMPRODUCT((表成绩单[考试日期]=表成绩单[[#This Row],[考试日期]])*(表成绩单[化学]&lt;9E+307)*(表成绩单[化学]&gt;表成绩单[[#This Row],[化学]]))+1)</f>
        <v>223</v>
      </c>
      <c r="U931" s="29" cm="1">
        <f t="array" ref="U931">IF(表成绩单[[#This Row],[政治]]="","",SUMPRODUCT((表成绩单[考试日期]=表成绩单[[#This Row],[考试日期]])*(表成绩单[政治]&lt;9E+307)*(表成绩单[政治]&gt;表成绩单[[#This Row],[政治]]))+1)</f>
        <v>46</v>
      </c>
      <c r="V931" s="29" cm="1">
        <f t="array" ref="V931">IF(表成绩单[[#This Row],[历史]]="","",SUMPRODUCT((表成绩单[考试日期]=表成绩单[[#This Row],[考试日期]])*(表成绩单[历史]&lt;9E+307)*(表成绩单[历史]&gt;表成绩单[[#This Row],[历史]]))+1)</f>
        <v>92</v>
      </c>
      <c r="W931" s="29" cm="1">
        <f t="array" ref="W931">IF(表成绩单[[#This Row],[总分]]="","",SUMPRODUCT((表成绩单[考试日期]=表成绩单[[#This Row],[考试日期]])*(表成绩单[总分]&lt;9E+307)*(表成绩单[总分]&gt;表成绩单[[#This Row],[总分]]))+1)</f>
        <v>125</v>
      </c>
    </row>
    <row r="932" ht="28" customHeight="1" spans="4:23">
      <c r="D932" s="31">
        <v>46003</v>
      </c>
      <c r="E932" s="29">
        <v>19175708</v>
      </c>
      <c r="F932" s="29" t="s">
        <v>72</v>
      </c>
      <c r="G932" s="29" t="s">
        <v>230</v>
      </c>
      <c r="H932" s="29">
        <v>98</v>
      </c>
      <c r="I932" s="29">
        <v>98</v>
      </c>
      <c r="J932" s="29">
        <v>73.5</v>
      </c>
      <c r="K932" s="29">
        <v>94</v>
      </c>
      <c r="L932" s="29">
        <v>96</v>
      </c>
      <c r="M932" s="29">
        <v>76</v>
      </c>
      <c r="N932" s="29">
        <v>80</v>
      </c>
      <c r="O932" s="32">
        <v>615.5</v>
      </c>
      <c r="P932" s="29" cm="1">
        <f t="array" ref="P932">IF(表成绩单[[#This Row],[语文]]="","",SUMPRODUCT((表成绩单[考试日期]=表成绩单[[#This Row],[考试日期]])*(表成绩单[语文]&lt;9E+307)*(表成绩单[语文]&gt;表成绩单[[#This Row],[语文]]))+1)</f>
        <v>463</v>
      </c>
      <c r="Q932" s="29" cm="1">
        <f t="array" ref="Q932">IF(表成绩单[[#This Row],[数学]]="","",SUMPRODUCT((表成绩单[考试日期]=表成绩单[[#This Row],[考试日期]])*(表成绩单[数学]&lt;9E+307)*(表成绩单[数学]&gt;表成绩单[[#This Row],[数学]]))+1)</f>
        <v>93</v>
      </c>
      <c r="R932" s="29" cm="1">
        <f t="array" ref="R932">IF(表成绩单[[#This Row],[英语]]="","",SUMPRODUCT((表成绩单[考试日期]=表成绩单[[#This Row],[考试日期]])*(表成绩单[英语]&lt;9E+307)*(表成绩单[英语]&gt;表成绩单[[#This Row],[英语]]))+1)</f>
        <v>355</v>
      </c>
      <c r="S932" s="29" cm="1">
        <f t="array" ref="S932">IF(表成绩单[[#This Row],[物理]]="","",SUMPRODUCT((表成绩单[考试日期]=表成绩单[[#This Row],[考试日期]])*(表成绩单[物理]&lt;9E+307)*(表成绩单[物理]&gt;表成绩单[[#This Row],[物理]]))+1)</f>
        <v>125</v>
      </c>
      <c r="T932" s="29" cm="1">
        <f t="array" ref="T932">IF(表成绩单[[#This Row],[化学]]="","",SUMPRODUCT((表成绩单[考试日期]=表成绩单[[#This Row],[考试日期]])*(表成绩单[化学]&lt;9E+307)*(表成绩单[化学]&gt;表成绩单[[#This Row],[化学]]))+1)</f>
        <v>24</v>
      </c>
      <c r="U932" s="29" cm="1">
        <f t="array" ref="U932">IF(表成绩单[[#This Row],[政治]]="","",SUMPRODUCT((表成绩单[考试日期]=表成绩单[[#This Row],[考试日期]])*(表成绩单[政治]&lt;9E+307)*(表成绩单[政治]&gt;表成绩单[[#This Row],[政治]]))+1)</f>
        <v>77</v>
      </c>
      <c r="V932" s="29" cm="1">
        <f t="array" ref="V932">IF(表成绩单[[#This Row],[历史]]="","",SUMPRODUCT((表成绩单[考试日期]=表成绩单[[#This Row],[考试日期]])*(表成绩单[历史]&lt;9E+307)*(表成绩单[历史]&gt;表成绩单[[#This Row],[历史]]))+1)</f>
        <v>116</v>
      </c>
      <c r="W932" s="29" cm="1">
        <f t="array" ref="W932">IF(表成绩单[[#This Row],[总分]]="","",SUMPRODUCT((表成绩单[考试日期]=表成绩单[[#This Row],[考试日期]])*(表成绩单[总分]&lt;9E+307)*(表成绩单[总分]&gt;表成绩单[[#This Row],[总分]]))+1)</f>
        <v>127</v>
      </c>
    </row>
    <row r="933" ht="28" customHeight="1" spans="4:23">
      <c r="D933" s="31">
        <v>46003</v>
      </c>
      <c r="E933" s="29">
        <v>19177193</v>
      </c>
      <c r="F933" s="29" t="s">
        <v>70</v>
      </c>
      <c r="G933" s="29" t="s">
        <v>192</v>
      </c>
      <c r="H933" s="29">
        <v>111</v>
      </c>
      <c r="I933" s="29">
        <v>97</v>
      </c>
      <c r="J933" s="29">
        <v>80.5</v>
      </c>
      <c r="K933" s="29">
        <v>91</v>
      </c>
      <c r="L933" s="29">
        <v>95</v>
      </c>
      <c r="M933" s="29">
        <v>67</v>
      </c>
      <c r="N933" s="29">
        <v>74</v>
      </c>
      <c r="O933" s="32">
        <v>615.5</v>
      </c>
      <c r="P933" s="29" cm="1">
        <f t="array" ref="P933">IF(表成绩单[[#This Row],[语文]]="","",SUMPRODUCT((表成绩单[考试日期]=表成绩单[[#This Row],[考试日期]])*(表成绩单[语文]&lt;9E+307)*(表成绩单[语文]&gt;表成绩单[[#This Row],[语文]]))+1)</f>
        <v>56</v>
      </c>
      <c r="Q933" s="29" cm="1">
        <f t="array" ref="Q933">IF(表成绩单[[#This Row],[数学]]="","",SUMPRODUCT((表成绩单[考试日期]=表成绩单[[#This Row],[考试日期]])*(表成绩单[数学]&lt;9E+307)*(表成绩单[数学]&gt;表成绩单[[#This Row],[数学]]))+1)</f>
        <v>104</v>
      </c>
      <c r="R933" s="29" cm="1">
        <f t="array" ref="R933">IF(表成绩单[[#This Row],[英语]]="","",SUMPRODUCT((表成绩单[考试日期]=表成绩单[[#This Row],[考试日期]])*(表成绩单[英语]&lt;9E+307)*(表成绩单[英语]&gt;表成绩单[[#This Row],[英语]]))+1)</f>
        <v>147</v>
      </c>
      <c r="S933" s="29" cm="1">
        <f t="array" ref="S933">IF(表成绩单[[#This Row],[物理]]="","",SUMPRODUCT((表成绩单[考试日期]=表成绩单[[#This Row],[考试日期]])*(表成绩单[物理]&lt;9E+307)*(表成绩单[物理]&gt;表成绩单[[#This Row],[物理]]))+1)</f>
        <v>220</v>
      </c>
      <c r="T933" s="29" cm="1">
        <f t="array" ref="T933">IF(表成绩单[[#This Row],[化学]]="","",SUMPRODUCT((表成绩单[考试日期]=表成绩单[[#This Row],[考试日期]])*(表成绩单[化学]&lt;9E+307)*(表成绩单[化学]&gt;表成绩单[[#This Row],[化学]]))+1)</f>
        <v>37</v>
      </c>
      <c r="U933" s="29" cm="1">
        <f t="array" ref="U933">IF(表成绩单[[#This Row],[政治]]="","",SUMPRODUCT((表成绩单[考试日期]=表成绩单[[#This Row],[考试日期]])*(表成绩单[政治]&lt;9E+307)*(表成绩单[政治]&gt;表成绩单[[#This Row],[政治]]))+1)</f>
        <v>264</v>
      </c>
      <c r="V933" s="29" cm="1">
        <f t="array" ref="V933">IF(表成绩单[[#This Row],[历史]]="","",SUMPRODUCT((表成绩单[考试日期]=表成绩单[[#This Row],[考试日期]])*(表成绩单[历史]&lt;9E+307)*(表成绩单[历史]&gt;表成绩单[[#This Row],[历史]]))+1)</f>
        <v>371</v>
      </c>
      <c r="W933" s="29" cm="1">
        <f t="array" ref="W933">IF(表成绩单[[#This Row],[总分]]="","",SUMPRODUCT((表成绩单[考试日期]=表成绩单[[#This Row],[考试日期]])*(表成绩单[总分]&lt;9E+307)*(表成绩单[总分]&gt;表成绩单[[#This Row],[总分]]))+1)</f>
        <v>127</v>
      </c>
    </row>
    <row r="934" ht="28" customHeight="1" spans="4:23">
      <c r="D934" s="31">
        <v>46003</v>
      </c>
      <c r="E934" s="29">
        <v>19178573</v>
      </c>
      <c r="F934" s="29" t="s">
        <v>64</v>
      </c>
      <c r="G934" s="29" t="s">
        <v>284</v>
      </c>
      <c r="H934" s="29">
        <v>104</v>
      </c>
      <c r="I934" s="29">
        <v>91</v>
      </c>
      <c r="J934" s="29">
        <v>82.5</v>
      </c>
      <c r="K934" s="29">
        <v>94</v>
      </c>
      <c r="L934" s="29">
        <v>90</v>
      </c>
      <c r="M934" s="29">
        <v>72</v>
      </c>
      <c r="N934" s="29">
        <v>82</v>
      </c>
      <c r="O934" s="32">
        <v>615.5</v>
      </c>
      <c r="P934" s="29" cm="1">
        <f t="array" ref="P934">IF(表成绩单[[#This Row],[语文]]="","",SUMPRODUCT((表成绩单[考试日期]=表成绩单[[#This Row],[考试日期]])*(表成绩单[语文]&lt;9E+307)*(表成绩单[语文]&gt;表成绩单[[#This Row],[语文]]))+1)</f>
        <v>290</v>
      </c>
      <c r="Q934" s="29" cm="1">
        <f t="array" ref="Q934">IF(表成绩单[[#This Row],[数学]]="","",SUMPRODUCT((表成绩单[考试日期]=表成绩单[[#This Row],[考试日期]])*(表成绩单[数学]&lt;9E+307)*(表成绩单[数学]&gt;表成绩单[[#This Row],[数学]]))+1)</f>
        <v>184</v>
      </c>
      <c r="R934" s="29" cm="1">
        <f t="array" ref="R934">IF(表成绩单[[#This Row],[英语]]="","",SUMPRODUCT((表成绩单[考试日期]=表成绩单[[#This Row],[考试日期]])*(表成绩单[英语]&lt;9E+307)*(表成绩单[英语]&gt;表成绩单[[#This Row],[英语]]))+1)</f>
        <v>85</v>
      </c>
      <c r="S934" s="29" cm="1">
        <f t="array" ref="S934">IF(表成绩单[[#This Row],[物理]]="","",SUMPRODUCT((表成绩单[考试日期]=表成绩单[[#This Row],[考试日期]])*(表成绩单[物理]&lt;9E+307)*(表成绩单[物理]&gt;表成绩单[[#This Row],[物理]]))+1)</f>
        <v>125</v>
      </c>
      <c r="T934" s="29" cm="1">
        <f t="array" ref="T934">IF(表成绩单[[#This Row],[化学]]="","",SUMPRODUCT((表成绩单[考试日期]=表成绩单[[#This Row],[考试日期]])*(表成绩单[化学]&lt;9E+307)*(表成绩单[化学]&gt;表成绩单[[#This Row],[化学]]))+1)</f>
        <v>140</v>
      </c>
      <c r="U934" s="29" cm="1">
        <f t="array" ref="U934">IF(表成绩单[[#This Row],[政治]]="","",SUMPRODUCT((表成绩单[考试日期]=表成绩单[[#This Row],[考试日期]])*(表成绩单[政治]&lt;9E+307)*(表成绩单[政治]&gt;表成绩单[[#This Row],[政治]]))+1)</f>
        <v>155</v>
      </c>
      <c r="V934" s="29" cm="1">
        <f t="array" ref="V934">IF(表成绩单[[#This Row],[历史]]="","",SUMPRODUCT((表成绩单[考试日期]=表成绩单[[#This Row],[考试日期]])*(表成绩单[历史]&lt;9E+307)*(表成绩单[历史]&gt;表成绩单[[#This Row],[历史]]))+1)</f>
        <v>66</v>
      </c>
      <c r="W934" s="29" cm="1">
        <f t="array" ref="W934">IF(表成绩单[[#This Row],[总分]]="","",SUMPRODUCT((表成绩单[考试日期]=表成绩单[[#This Row],[考试日期]])*(表成绩单[总分]&lt;9E+307)*(表成绩单[总分]&gt;表成绩单[[#This Row],[总分]]))+1)</f>
        <v>127</v>
      </c>
    </row>
    <row r="935" ht="28" customHeight="1" spans="4:23">
      <c r="D935" s="31">
        <v>46003</v>
      </c>
      <c r="E935" s="29">
        <v>19175420</v>
      </c>
      <c r="F935" s="29" t="s">
        <v>74</v>
      </c>
      <c r="G935" s="29" t="s">
        <v>129</v>
      </c>
      <c r="H935" s="29">
        <v>104</v>
      </c>
      <c r="I935" s="29">
        <v>105</v>
      </c>
      <c r="J935" s="29">
        <v>82</v>
      </c>
      <c r="K935" s="29">
        <v>86</v>
      </c>
      <c r="L935" s="29">
        <v>92</v>
      </c>
      <c r="M935" s="29">
        <v>71</v>
      </c>
      <c r="N935" s="29">
        <v>75</v>
      </c>
      <c r="O935" s="32">
        <v>615</v>
      </c>
      <c r="P935" s="29" cm="1">
        <f t="array" ref="P935">IF(表成绩单[[#This Row],[语文]]="","",SUMPRODUCT((表成绩单[考试日期]=表成绩单[[#This Row],[考试日期]])*(表成绩单[语文]&lt;9E+307)*(表成绩单[语文]&gt;表成绩单[[#This Row],[语文]]))+1)</f>
        <v>290</v>
      </c>
      <c r="Q935" s="29" cm="1">
        <f t="array" ref="Q935">IF(表成绩单[[#This Row],[数学]]="","",SUMPRODUCT((表成绩单[考试日期]=表成绩单[[#This Row],[考试日期]])*(表成绩单[数学]&lt;9E+307)*(表成绩单[数学]&gt;表成绩单[[#This Row],[数学]]))+1)</f>
        <v>33</v>
      </c>
      <c r="R935" s="29" cm="1">
        <f t="array" ref="R935">IF(表成绩单[[#This Row],[英语]]="","",SUMPRODUCT((表成绩单[考试日期]=表成绩单[[#This Row],[考试日期]])*(表成绩单[英语]&lt;9E+307)*(表成绩单[英语]&gt;表成绩单[[#This Row],[英语]]))+1)</f>
        <v>96</v>
      </c>
      <c r="S935" s="29" cm="1">
        <f t="array" ref="S935">IF(表成绩单[[#This Row],[物理]]="","",SUMPRODUCT((表成绩单[考试日期]=表成绩单[[#This Row],[考试日期]])*(表成绩单[物理]&lt;9E+307)*(表成绩单[物理]&gt;表成绩单[[#This Row],[物理]]))+1)</f>
        <v>336</v>
      </c>
      <c r="T935" s="29" cm="1">
        <f t="array" ref="T935">IF(表成绩单[[#This Row],[化学]]="","",SUMPRODUCT((表成绩单[考试日期]=表成绩单[[#This Row],[考试日期]])*(表成绩单[化学]&lt;9E+307)*(表成绩单[化学]&gt;表成绩单[[#This Row],[化学]]))+1)</f>
        <v>102</v>
      </c>
      <c r="U935" s="29" cm="1">
        <f t="array" ref="U935">IF(表成绩单[[#This Row],[政治]]="","",SUMPRODUCT((表成绩单[考试日期]=表成绩单[[#This Row],[考试日期]])*(表成绩单[政治]&lt;9E+307)*(表成绩单[政治]&gt;表成绩单[[#This Row],[政治]]))+1)</f>
        <v>168</v>
      </c>
      <c r="V935" s="29" cm="1">
        <f t="array" ref="V935">IF(表成绩单[[#This Row],[历史]]="","",SUMPRODUCT((表成绩单[考试日期]=表成绩单[[#This Row],[考试日期]])*(表成绩单[历史]&lt;9E+307)*(表成绩单[历史]&gt;表成绩单[[#This Row],[历史]]))+1)</f>
        <v>329</v>
      </c>
      <c r="W935" s="29" cm="1">
        <f t="array" ref="W935">IF(表成绩单[[#This Row],[总分]]="","",SUMPRODUCT((表成绩单[考试日期]=表成绩单[[#This Row],[考试日期]])*(表成绩单[总分]&lt;9E+307)*(表成绩单[总分]&gt;表成绩单[[#This Row],[总分]]))+1)</f>
        <v>130</v>
      </c>
    </row>
    <row r="936" ht="28" customHeight="1" spans="4:23">
      <c r="D936" s="31">
        <v>46003</v>
      </c>
      <c r="E936" s="29">
        <v>19174453</v>
      </c>
      <c r="F936" s="29" t="s">
        <v>73</v>
      </c>
      <c r="G936" s="29" t="s">
        <v>247</v>
      </c>
      <c r="H936" s="29">
        <v>113</v>
      </c>
      <c r="I936" s="29">
        <v>83</v>
      </c>
      <c r="J936" s="29">
        <v>87.5</v>
      </c>
      <c r="K936" s="29">
        <v>85</v>
      </c>
      <c r="L936" s="29">
        <v>90</v>
      </c>
      <c r="M936" s="29">
        <v>77</v>
      </c>
      <c r="N936" s="29">
        <v>79</v>
      </c>
      <c r="O936" s="32">
        <v>614.5</v>
      </c>
      <c r="P936" s="29" cm="1">
        <f t="array" ref="P936">IF(表成绩单[[#This Row],[语文]]="","",SUMPRODUCT((表成绩单[考试日期]=表成绩单[[#This Row],[考试日期]])*(表成绩单[语文]&lt;9E+307)*(表成绩单[语文]&gt;表成绩单[[#This Row],[语文]]))+1)</f>
        <v>22</v>
      </c>
      <c r="Q936" s="29" cm="1">
        <f t="array" ref="Q936">IF(表成绩单[[#This Row],[数学]]="","",SUMPRODUCT((表成绩单[考试日期]=表成绩单[[#This Row],[考试日期]])*(表成绩单[数学]&lt;9E+307)*(表成绩单[数学]&gt;表成绩单[[#This Row],[数学]]))+1)</f>
        <v>272</v>
      </c>
      <c r="R936" s="29" cm="1">
        <f t="array" ref="R936">IF(表成绩单[[#This Row],[英语]]="","",SUMPRODUCT((表成绩单[考试日期]=表成绩单[[#This Row],[考试日期]])*(表成绩单[英语]&lt;9E+307)*(表成绩单[英语]&gt;表成绩单[[#This Row],[英语]]))+1)</f>
        <v>6</v>
      </c>
      <c r="S936" s="29" cm="1">
        <f t="array" ref="S936">IF(表成绩单[[#This Row],[物理]]="","",SUMPRODUCT((表成绩单[考试日期]=表成绩单[[#This Row],[考试日期]])*(表成绩单[物理]&lt;9E+307)*(表成绩单[物理]&gt;表成绩单[[#This Row],[物理]]))+1)</f>
        <v>348</v>
      </c>
      <c r="T936" s="29" cm="1">
        <f t="array" ref="T936">IF(表成绩单[[#This Row],[化学]]="","",SUMPRODUCT((表成绩单[考试日期]=表成绩单[[#This Row],[考试日期]])*(表成绩单[化学]&lt;9E+307)*(表成绩单[化学]&gt;表成绩单[[#This Row],[化学]]))+1)</f>
        <v>140</v>
      </c>
      <c r="U936" s="29" cm="1">
        <f t="array" ref="U936">IF(表成绩单[[#This Row],[政治]]="","",SUMPRODUCT((表成绩单[考试日期]=表成绩单[[#This Row],[考试日期]])*(表成绩单[政治]&lt;9E+307)*(表成绩单[政治]&gt;表成绩单[[#This Row],[政治]]))+1)</f>
        <v>64</v>
      </c>
      <c r="V936" s="29" cm="1">
        <f t="array" ref="V936">IF(表成绩单[[#This Row],[历史]]="","",SUMPRODUCT((表成绩单[考试日期]=表成绩单[[#This Row],[考试日期]])*(表成绩单[历史]&lt;9E+307)*(表成绩单[历史]&gt;表成绩单[[#This Row],[历史]]))+1)</f>
        <v>149</v>
      </c>
      <c r="W936" s="29" cm="1">
        <f t="array" ref="W936">IF(表成绩单[[#This Row],[总分]]="","",SUMPRODUCT((表成绩单[考试日期]=表成绩单[[#This Row],[考试日期]])*(表成绩单[总分]&lt;9E+307)*(表成绩单[总分]&gt;表成绩单[[#This Row],[总分]]))+1)</f>
        <v>131</v>
      </c>
    </row>
    <row r="937" ht="28" customHeight="1" spans="4:23">
      <c r="D937" s="31">
        <v>46003</v>
      </c>
      <c r="E937" s="29">
        <v>19167641</v>
      </c>
      <c r="F937" s="29" t="s">
        <v>1</v>
      </c>
      <c r="G937" s="29" t="s">
        <v>358</v>
      </c>
      <c r="H937" s="29">
        <v>106</v>
      </c>
      <c r="I937" s="29">
        <v>101</v>
      </c>
      <c r="J937" s="29">
        <v>73</v>
      </c>
      <c r="K937" s="29">
        <v>99</v>
      </c>
      <c r="L937" s="29">
        <v>93</v>
      </c>
      <c r="M937" s="29">
        <v>65</v>
      </c>
      <c r="N937" s="29">
        <v>77</v>
      </c>
      <c r="O937" s="32">
        <v>614</v>
      </c>
      <c r="P937" s="29" cm="1">
        <f t="array" ref="P937">IF(表成绩单[[#This Row],[语文]]="","",SUMPRODUCT((表成绩单[考试日期]=表成绩单[[#This Row],[考试日期]])*(表成绩单[语文]&lt;9E+307)*(表成绩单[语文]&gt;表成绩单[[#This Row],[语文]]))+1)</f>
        <v>210</v>
      </c>
      <c r="Q937" s="29" cm="1">
        <f t="array" ref="Q937">IF(表成绩单[[#This Row],[数学]]="","",SUMPRODUCT((表成绩单[考试日期]=表成绩单[[#This Row],[考试日期]])*(表成绩单[数学]&lt;9E+307)*(表成绩单[数学]&gt;表成绩单[[#This Row],[数学]]))+1)</f>
        <v>68</v>
      </c>
      <c r="R937" s="29" cm="1">
        <f t="array" ref="R937">IF(表成绩单[[#This Row],[英语]]="","",SUMPRODUCT((表成绩单[考试日期]=表成绩单[[#This Row],[考试日期]])*(表成绩单[英语]&lt;9E+307)*(表成绩单[英语]&gt;表成绩单[[#This Row],[英语]]))+1)</f>
        <v>363</v>
      </c>
      <c r="S937" s="29" cm="1">
        <f t="array" ref="S937">IF(表成绩单[[#This Row],[物理]]="","",SUMPRODUCT((表成绩单[考试日期]=表成绩单[[#This Row],[考试日期]])*(表成绩单[物理]&lt;9E+307)*(表成绩单[物理]&gt;表成绩单[[#This Row],[物理]]))+1)</f>
        <v>9</v>
      </c>
      <c r="T937" s="29" cm="1">
        <f t="array" ref="T937">IF(表成绩单[[#This Row],[化学]]="","",SUMPRODUCT((表成绩单[考试日期]=表成绩单[[#This Row],[考试日期]])*(表成绩单[化学]&lt;9E+307)*(表成绩单[化学]&gt;表成绩单[[#This Row],[化学]]))+1)</f>
        <v>73</v>
      </c>
      <c r="U937" s="29" cm="1">
        <f t="array" ref="U937">IF(表成绩单[[#This Row],[政治]]="","",SUMPRODUCT((表成绩单[考试日期]=表成绩单[[#This Row],[考试日期]])*(表成绩单[政治]&lt;9E+307)*(表成绩单[政治]&gt;表成绩单[[#This Row],[政治]]))+1)</f>
        <v>314</v>
      </c>
      <c r="V937" s="29" cm="1">
        <f t="array" ref="V937">IF(表成绩单[[#This Row],[历史]]="","",SUMPRODUCT((表成绩单[考试日期]=表成绩单[[#This Row],[考试日期]])*(表成绩单[历史]&lt;9E+307)*(表成绩单[历史]&gt;表成绩单[[#This Row],[历史]]))+1)</f>
        <v>235</v>
      </c>
      <c r="W937" s="29" cm="1">
        <f t="array" ref="W937">IF(表成绩单[[#This Row],[总分]]="","",SUMPRODUCT((表成绩单[考试日期]=表成绩单[[#This Row],[考试日期]])*(表成绩单[总分]&lt;9E+307)*(表成绩单[总分]&gt;表成绩单[[#This Row],[总分]]))+1)</f>
        <v>132</v>
      </c>
    </row>
    <row r="938" ht="28" customHeight="1" spans="4:23">
      <c r="D938" s="31">
        <v>46003</v>
      </c>
      <c r="E938" s="29">
        <v>19177202</v>
      </c>
      <c r="F938" s="29" t="s">
        <v>70</v>
      </c>
      <c r="G938" s="29" t="s">
        <v>162</v>
      </c>
      <c r="H938" s="29">
        <v>105</v>
      </c>
      <c r="I938" s="29">
        <v>100</v>
      </c>
      <c r="J938" s="29">
        <v>81</v>
      </c>
      <c r="K938" s="29">
        <v>90</v>
      </c>
      <c r="L938" s="29">
        <v>94</v>
      </c>
      <c r="M938" s="29">
        <v>62</v>
      </c>
      <c r="N938" s="29">
        <v>82</v>
      </c>
      <c r="O938" s="32">
        <v>614</v>
      </c>
      <c r="P938" s="29" cm="1">
        <f t="array" ref="P938">IF(表成绩单[[#This Row],[语文]]="","",SUMPRODUCT((表成绩单[考试日期]=表成绩单[[#This Row],[考试日期]])*(表成绩单[语文]&lt;9E+307)*(表成绩单[语文]&gt;表成绩单[[#This Row],[语文]]))+1)</f>
        <v>247</v>
      </c>
      <c r="Q938" s="29" cm="1">
        <f t="array" ref="Q938">IF(表成绩单[[#This Row],[数学]]="","",SUMPRODUCT((表成绩单[考试日期]=表成绩单[[#This Row],[考试日期]])*(表成绩单[数学]&lt;9E+307)*(表成绩单[数学]&gt;表成绩单[[#This Row],[数学]]))+1)</f>
        <v>77</v>
      </c>
      <c r="R938" s="29" cm="1">
        <f t="array" ref="R938">IF(表成绩单[[#This Row],[英语]]="","",SUMPRODUCT((表成绩单[考试日期]=表成绩单[[#This Row],[考试日期]])*(表成绩单[英语]&lt;9E+307)*(表成绩单[英语]&gt;表成绩单[[#This Row],[英语]]))+1)</f>
        <v>131</v>
      </c>
      <c r="S938" s="29" cm="1">
        <f t="array" ref="S938">IF(表成绩单[[#This Row],[物理]]="","",SUMPRODUCT((表成绩单[考试日期]=表成绩单[[#This Row],[考试日期]])*(表成绩单[物理]&lt;9E+307)*(表成绩单[物理]&gt;表成绩单[[#This Row],[物理]]))+1)</f>
        <v>237</v>
      </c>
      <c r="T938" s="29" cm="1">
        <f t="array" ref="T938">IF(表成绩单[[#This Row],[化学]]="","",SUMPRODUCT((表成绩单[考试日期]=表成绩单[[#This Row],[考试日期]])*(表成绩单[化学]&lt;9E+307)*(表成绩单[化学]&gt;表成绩单[[#This Row],[化学]]))+1)</f>
        <v>56</v>
      </c>
      <c r="U938" s="29" cm="1">
        <f t="array" ref="U938">IF(表成绩单[[#This Row],[政治]]="","",SUMPRODUCT((表成绩单[考试日期]=表成绩单[[#This Row],[考试日期]])*(表成绩单[政治]&lt;9E+307)*(表成绩单[政治]&gt;表成绩单[[#This Row],[政治]]))+1)</f>
        <v>381</v>
      </c>
      <c r="V938" s="29" cm="1">
        <f t="array" ref="V938">IF(表成绩单[[#This Row],[历史]]="","",SUMPRODUCT((表成绩单[考试日期]=表成绩单[[#This Row],[考试日期]])*(表成绩单[历史]&lt;9E+307)*(表成绩单[历史]&gt;表成绩单[[#This Row],[历史]]))+1)</f>
        <v>66</v>
      </c>
      <c r="W938" s="29" cm="1">
        <f t="array" ref="W938">IF(表成绩单[[#This Row],[总分]]="","",SUMPRODUCT((表成绩单[考试日期]=表成绩单[[#This Row],[考试日期]])*(表成绩单[总分]&lt;9E+307)*(表成绩单[总分]&gt;表成绩单[[#This Row],[总分]]))+1)</f>
        <v>132</v>
      </c>
    </row>
    <row r="939" ht="28" customHeight="1" spans="4:23">
      <c r="D939" s="31">
        <v>46003</v>
      </c>
      <c r="E939" s="29">
        <v>19176856</v>
      </c>
      <c r="F939" s="29" t="s">
        <v>71</v>
      </c>
      <c r="G939" s="29" t="s">
        <v>206</v>
      </c>
      <c r="H939" s="29">
        <v>110</v>
      </c>
      <c r="I939" s="29">
        <v>92</v>
      </c>
      <c r="J939" s="29">
        <v>75.5</v>
      </c>
      <c r="K939" s="29">
        <v>92</v>
      </c>
      <c r="L939" s="29">
        <v>86</v>
      </c>
      <c r="M939" s="29">
        <v>83</v>
      </c>
      <c r="N939" s="29">
        <v>75</v>
      </c>
      <c r="O939" s="32">
        <v>613.5</v>
      </c>
      <c r="P939" s="29" cm="1">
        <f t="array" ref="P939">IF(表成绩单[[#This Row],[语文]]="","",SUMPRODUCT((表成绩单[考试日期]=表成绩单[[#This Row],[考试日期]])*(表成绩单[语文]&lt;9E+307)*(表成绩单[语文]&gt;表成绩单[[#This Row],[语文]]))+1)</f>
        <v>84</v>
      </c>
      <c r="Q939" s="29" cm="1">
        <f t="array" ref="Q939">IF(表成绩单[[#This Row],[数学]]="","",SUMPRODUCT((表成绩单[考试日期]=表成绩单[[#This Row],[考试日期]])*(表成绩单[数学]&lt;9E+307)*(表成绩单[数学]&gt;表成绩单[[#This Row],[数学]]))+1)</f>
        <v>170</v>
      </c>
      <c r="R939" s="29" cm="1">
        <f t="array" ref="R939">IF(表成绩单[[#This Row],[英语]]="","",SUMPRODUCT((表成绩单[考试日期]=表成绩单[[#This Row],[考试日期]])*(表成绩单[英语]&lt;9E+307)*(表成绩单[英语]&gt;表成绩单[[#This Row],[英语]]))+1)</f>
        <v>299</v>
      </c>
      <c r="S939" s="29" cm="1">
        <f t="array" ref="S939">IF(表成绩单[[#This Row],[物理]]="","",SUMPRODUCT((表成绩单[考试日期]=表成绩单[[#This Row],[考试日期]])*(表成绩单[物理]&lt;9E+307)*(表成绩单[物理]&gt;表成绩单[[#This Row],[物理]]))+1)</f>
        <v>191</v>
      </c>
      <c r="T939" s="29" cm="1">
        <f t="array" ref="T939">IF(表成绩单[[#This Row],[化学]]="","",SUMPRODUCT((表成绩单[考试日期]=表成绩单[[#This Row],[考试日期]])*(表成绩单[化学]&lt;9E+307)*(表成绩单[化学]&gt;表成绩单[[#This Row],[化学]]))+1)</f>
        <v>223</v>
      </c>
      <c r="U939" s="29" cm="1">
        <f t="array" ref="U939">IF(表成绩单[[#This Row],[政治]]="","",SUMPRODUCT((表成绩单[考试日期]=表成绩单[[#This Row],[考试日期]])*(表成绩单[政治]&lt;9E+307)*(表成绩单[政治]&gt;表成绩单[[#This Row],[政治]]))+1)</f>
        <v>6</v>
      </c>
      <c r="V939" s="29" cm="1">
        <f t="array" ref="V939">IF(表成绩单[[#This Row],[历史]]="","",SUMPRODUCT((表成绩单[考试日期]=表成绩单[[#This Row],[考试日期]])*(表成绩单[历史]&lt;9E+307)*(表成绩单[历史]&gt;表成绩单[[#This Row],[历史]]))+1)</f>
        <v>329</v>
      </c>
      <c r="W939" s="29" cm="1">
        <f t="array" ref="W939">IF(表成绩单[[#This Row],[总分]]="","",SUMPRODUCT((表成绩单[考试日期]=表成绩单[[#This Row],[考试日期]])*(表成绩单[总分]&lt;9E+307)*(表成绩单[总分]&gt;表成绩单[[#This Row],[总分]]))+1)</f>
        <v>134</v>
      </c>
    </row>
    <row r="940" ht="28" customHeight="1" spans="4:23">
      <c r="D940" s="31">
        <v>46003</v>
      </c>
      <c r="E940" s="29">
        <v>19176869</v>
      </c>
      <c r="F940" s="29" t="s">
        <v>71</v>
      </c>
      <c r="G940" s="29" t="s">
        <v>156</v>
      </c>
      <c r="H940" s="29">
        <v>109</v>
      </c>
      <c r="I940" s="29">
        <v>84</v>
      </c>
      <c r="J940" s="29">
        <v>76.5</v>
      </c>
      <c r="K940" s="29">
        <v>96</v>
      </c>
      <c r="L940" s="29">
        <v>91</v>
      </c>
      <c r="M940" s="29">
        <v>76</v>
      </c>
      <c r="N940" s="29">
        <v>81</v>
      </c>
      <c r="O940" s="32">
        <v>613.5</v>
      </c>
      <c r="P940" s="29" cm="1">
        <f t="array" ref="P940">IF(表成绩单[[#This Row],[语文]]="","",SUMPRODUCT((表成绩单[考试日期]=表成绩单[[#This Row],[考试日期]])*(表成绩单[语文]&lt;9E+307)*(表成绩单[语文]&gt;表成绩单[[#This Row],[语文]]))+1)</f>
        <v>111</v>
      </c>
      <c r="Q940" s="29" cm="1">
        <f t="array" ref="Q940">IF(表成绩单[[#This Row],[数学]]="","",SUMPRODUCT((表成绩单[考试日期]=表成绩单[[#This Row],[考试日期]])*(表成绩单[数学]&lt;9E+307)*(表成绩单[数学]&gt;表成绩单[[#This Row],[数学]]))+1)</f>
        <v>259</v>
      </c>
      <c r="R940" s="29" cm="1">
        <f t="array" ref="R940">IF(表成绩单[[#This Row],[英语]]="","",SUMPRODUCT((表成绩单[考试日期]=表成绩单[[#This Row],[考试日期]])*(表成绩单[英语]&lt;9E+307)*(表成绩单[英语]&gt;表成绩单[[#This Row],[英语]]))+1)</f>
        <v>272</v>
      </c>
      <c r="S940" s="29" cm="1">
        <f t="array" ref="S940">IF(表成绩单[[#This Row],[物理]]="","",SUMPRODUCT((表成绩单[考试日期]=表成绩单[[#This Row],[考试日期]])*(表成绩单[物理]&lt;9E+307)*(表成绩单[物理]&gt;表成绩单[[#This Row],[物理]]))+1)</f>
        <v>64</v>
      </c>
      <c r="T940" s="29" cm="1">
        <f t="array" ref="T940">IF(表成绩单[[#This Row],[化学]]="","",SUMPRODUCT((表成绩单[考试日期]=表成绩单[[#This Row],[考试日期]])*(表成绩单[化学]&lt;9E+307)*(表成绩单[化学]&gt;表成绩单[[#This Row],[化学]]))+1)</f>
        <v>127</v>
      </c>
      <c r="U940" s="29" cm="1">
        <f t="array" ref="U940">IF(表成绩单[[#This Row],[政治]]="","",SUMPRODUCT((表成绩单[考试日期]=表成绩单[[#This Row],[考试日期]])*(表成绩单[政治]&lt;9E+307)*(表成绩单[政治]&gt;表成绩单[[#This Row],[政治]]))+1)</f>
        <v>77</v>
      </c>
      <c r="V940" s="29" cm="1">
        <f t="array" ref="V940">IF(表成绩单[[#This Row],[历史]]="","",SUMPRODUCT((表成绩单[考试日期]=表成绩单[[#This Row],[考试日期]])*(表成绩单[历史]&lt;9E+307)*(表成绩单[历史]&gt;表成绩单[[#This Row],[历史]]))+1)</f>
        <v>92</v>
      </c>
      <c r="W940" s="29" cm="1">
        <f t="array" ref="W940">IF(表成绩单[[#This Row],[总分]]="","",SUMPRODUCT((表成绩单[考试日期]=表成绩单[[#This Row],[考试日期]])*(表成绩单[总分]&lt;9E+307)*(表成绩单[总分]&gt;表成绩单[[#This Row],[总分]]))+1)</f>
        <v>134</v>
      </c>
    </row>
    <row r="941" ht="28" customHeight="1" spans="4:23">
      <c r="D941" s="31">
        <v>46003</v>
      </c>
      <c r="E941" s="29">
        <v>19175316</v>
      </c>
      <c r="F941" s="29" t="s">
        <v>66</v>
      </c>
      <c r="G941" s="29" t="s">
        <v>272</v>
      </c>
      <c r="H941" s="29">
        <v>103</v>
      </c>
      <c r="I941" s="29">
        <v>94</v>
      </c>
      <c r="J941" s="29">
        <v>80</v>
      </c>
      <c r="K941" s="29">
        <v>93</v>
      </c>
      <c r="L941" s="29">
        <v>95</v>
      </c>
      <c r="M941" s="29">
        <v>71</v>
      </c>
      <c r="N941" s="29">
        <v>77</v>
      </c>
      <c r="O941" s="32">
        <v>613</v>
      </c>
      <c r="P941" s="29" cm="1">
        <f t="array" ref="P941">IF(表成绩单[[#This Row],[语文]]="","",SUMPRODUCT((表成绩单[考试日期]=表成绩单[[#This Row],[考试日期]])*(表成绩单[语文]&lt;9E+307)*(表成绩单[语文]&gt;表成绩单[[#This Row],[语文]]))+1)</f>
        <v>333</v>
      </c>
      <c r="Q941" s="29" cm="1">
        <f t="array" ref="Q941">IF(表成绩单[[#This Row],[数学]]="","",SUMPRODUCT((表成绩单[考试日期]=表成绩单[[#This Row],[考试日期]])*(表成绩单[数学]&lt;9E+307)*(表成绩单[数学]&gt;表成绩单[[#This Row],[数学]]))+1)</f>
        <v>142</v>
      </c>
      <c r="R941" s="29" cm="1">
        <f t="array" ref="R941">IF(表成绩单[[#This Row],[英语]]="","",SUMPRODUCT((表成绩单[考试日期]=表成绩单[[#This Row],[考试日期]])*(表成绩单[英语]&lt;9E+307)*(表成绩单[英语]&gt;表成绩单[[#This Row],[英语]]))+1)</f>
        <v>170</v>
      </c>
      <c r="S941" s="29" cm="1">
        <f t="array" ref="S941">IF(表成绩单[[#This Row],[物理]]="","",SUMPRODUCT((表成绩单[考试日期]=表成绩单[[#This Row],[考试日期]])*(表成绩单[物理]&lt;9E+307)*(表成绩单[物理]&gt;表成绩单[[#This Row],[物理]]))+1)</f>
        <v>163</v>
      </c>
      <c r="T941" s="29" cm="1">
        <f t="array" ref="T941">IF(表成绩单[[#This Row],[化学]]="","",SUMPRODUCT((表成绩单[考试日期]=表成绩单[[#This Row],[考试日期]])*(表成绩单[化学]&lt;9E+307)*(表成绩单[化学]&gt;表成绩单[[#This Row],[化学]]))+1)</f>
        <v>37</v>
      </c>
      <c r="U941" s="29" cm="1">
        <f t="array" ref="U941">IF(表成绩单[[#This Row],[政治]]="","",SUMPRODUCT((表成绩单[考试日期]=表成绩单[[#This Row],[考试日期]])*(表成绩单[政治]&lt;9E+307)*(表成绩单[政治]&gt;表成绩单[[#This Row],[政治]]))+1)</f>
        <v>168</v>
      </c>
      <c r="V941" s="29" cm="1">
        <f t="array" ref="V941">IF(表成绩单[[#This Row],[历史]]="","",SUMPRODUCT((表成绩单[考试日期]=表成绩单[[#This Row],[考试日期]])*(表成绩单[历史]&lt;9E+307)*(表成绩单[历史]&gt;表成绩单[[#This Row],[历史]]))+1)</f>
        <v>235</v>
      </c>
      <c r="W941" s="29" cm="1">
        <f t="array" ref="W941">IF(表成绩单[[#This Row],[总分]]="","",SUMPRODUCT((表成绩单[考试日期]=表成绩单[[#This Row],[考试日期]])*(表成绩单[总分]&lt;9E+307)*(表成绩单[总分]&gt;表成绩单[[#This Row],[总分]]))+1)</f>
        <v>136</v>
      </c>
    </row>
    <row r="942" ht="28" customHeight="1" spans="4:23">
      <c r="D942" s="31">
        <v>46003</v>
      </c>
      <c r="E942" s="29">
        <v>19174802</v>
      </c>
      <c r="F942" s="29" t="s">
        <v>69</v>
      </c>
      <c r="G942" s="29" t="s">
        <v>271</v>
      </c>
      <c r="H942" s="29">
        <v>105</v>
      </c>
      <c r="I942" s="29">
        <v>98</v>
      </c>
      <c r="J942" s="29">
        <v>76.5</v>
      </c>
      <c r="K942" s="29">
        <v>92</v>
      </c>
      <c r="L942" s="29">
        <v>95</v>
      </c>
      <c r="M942" s="29">
        <v>64</v>
      </c>
      <c r="N942" s="29">
        <v>82</v>
      </c>
      <c r="O942" s="32">
        <v>612.5</v>
      </c>
      <c r="P942" s="29" cm="1">
        <f t="array" ref="P942">IF(表成绩单[[#This Row],[语文]]="","",SUMPRODUCT((表成绩单[考试日期]=表成绩单[[#This Row],[考试日期]])*(表成绩单[语文]&lt;9E+307)*(表成绩单[语文]&gt;表成绩单[[#This Row],[语文]]))+1)</f>
        <v>247</v>
      </c>
      <c r="Q942" s="29" cm="1">
        <f t="array" ref="Q942">IF(表成绩单[[#This Row],[数学]]="","",SUMPRODUCT((表成绩单[考试日期]=表成绩单[[#This Row],[考试日期]])*(表成绩单[数学]&lt;9E+307)*(表成绩单[数学]&gt;表成绩单[[#This Row],[数学]]))+1)</f>
        <v>93</v>
      </c>
      <c r="R942" s="29" cm="1">
        <f t="array" ref="R942">IF(表成绩单[[#This Row],[英语]]="","",SUMPRODUCT((表成绩单[考试日期]=表成绩单[[#This Row],[考试日期]])*(表成绩单[英语]&lt;9E+307)*(表成绩单[英语]&gt;表成绩单[[#This Row],[英语]]))+1)</f>
        <v>272</v>
      </c>
      <c r="S942" s="29" cm="1">
        <f t="array" ref="S942">IF(表成绩单[[#This Row],[物理]]="","",SUMPRODUCT((表成绩单[考试日期]=表成绩单[[#This Row],[考试日期]])*(表成绩单[物理]&lt;9E+307)*(表成绩单[物理]&gt;表成绩单[[#This Row],[物理]]))+1)</f>
        <v>191</v>
      </c>
      <c r="T942" s="29" cm="1">
        <f t="array" ref="T942">IF(表成绩单[[#This Row],[化学]]="","",SUMPRODUCT((表成绩单[考试日期]=表成绩单[[#This Row],[考试日期]])*(表成绩单[化学]&lt;9E+307)*(表成绩单[化学]&gt;表成绩单[[#This Row],[化学]]))+1)</f>
        <v>37</v>
      </c>
      <c r="U942" s="29" cm="1">
        <f t="array" ref="U942">IF(表成绩单[[#This Row],[政治]]="","",SUMPRODUCT((表成绩单[考试日期]=表成绩单[[#This Row],[考试日期]])*(表成绩单[政治]&lt;9E+307)*(表成绩单[政治]&gt;表成绩单[[#This Row],[政治]]))+1)</f>
        <v>337</v>
      </c>
      <c r="V942" s="29" cm="1">
        <f t="array" ref="V942">IF(表成绩单[[#This Row],[历史]]="","",SUMPRODUCT((表成绩单[考试日期]=表成绩单[[#This Row],[考试日期]])*(表成绩单[历史]&lt;9E+307)*(表成绩单[历史]&gt;表成绩单[[#This Row],[历史]]))+1)</f>
        <v>66</v>
      </c>
      <c r="W942" s="29" cm="1">
        <f t="array" ref="W942">IF(表成绩单[[#This Row],[总分]]="","",SUMPRODUCT((表成绩单[考试日期]=表成绩单[[#This Row],[考试日期]])*(表成绩单[总分]&lt;9E+307)*(表成绩单[总分]&gt;表成绩单[[#This Row],[总分]]))+1)</f>
        <v>137</v>
      </c>
    </row>
    <row r="943" ht="28" customHeight="1" spans="4:23">
      <c r="D943" s="31">
        <v>46003</v>
      </c>
      <c r="E943" s="29">
        <v>19175385</v>
      </c>
      <c r="F943" s="29" t="s">
        <v>74</v>
      </c>
      <c r="G943" s="29" t="s">
        <v>299</v>
      </c>
      <c r="H943" s="29">
        <v>106</v>
      </c>
      <c r="I943" s="29">
        <v>94</v>
      </c>
      <c r="J943" s="29">
        <v>77</v>
      </c>
      <c r="K943" s="29">
        <v>86</v>
      </c>
      <c r="L943" s="29">
        <v>88</v>
      </c>
      <c r="M943" s="29">
        <v>75</v>
      </c>
      <c r="N943" s="29">
        <v>85</v>
      </c>
      <c r="O943" s="32">
        <v>611</v>
      </c>
      <c r="P943" s="29" cm="1">
        <f t="array" ref="P943">IF(表成绩单[[#This Row],[语文]]="","",SUMPRODUCT((表成绩单[考试日期]=表成绩单[[#This Row],[考试日期]])*(表成绩单[语文]&lt;9E+307)*(表成绩单[语文]&gt;表成绩单[[#This Row],[语文]]))+1)</f>
        <v>210</v>
      </c>
      <c r="Q943" s="29" cm="1">
        <f t="array" ref="Q943">IF(表成绩单[[#This Row],[数学]]="","",SUMPRODUCT((表成绩单[考试日期]=表成绩单[[#This Row],[考试日期]])*(表成绩单[数学]&lt;9E+307)*(表成绩单[数学]&gt;表成绩单[[#This Row],[数学]]))+1)</f>
        <v>142</v>
      </c>
      <c r="R943" s="29" cm="1">
        <f t="array" ref="R943">IF(表成绩单[[#This Row],[英语]]="","",SUMPRODUCT((表成绩单[考试日期]=表成绩单[[#This Row],[考试日期]])*(表成绩单[英语]&lt;9E+307)*(表成绩单[英语]&gt;表成绩单[[#This Row],[英语]]))+1)</f>
        <v>255</v>
      </c>
      <c r="S943" s="29" cm="1">
        <f t="array" ref="S943">IF(表成绩单[[#This Row],[物理]]="","",SUMPRODUCT((表成绩单[考试日期]=表成绩单[[#This Row],[考试日期]])*(表成绩单[物理]&lt;9E+307)*(表成绩单[物理]&gt;表成绩单[[#This Row],[物理]]))+1)</f>
        <v>336</v>
      </c>
      <c r="T943" s="29" cm="1">
        <f t="array" ref="T943">IF(表成绩单[[#This Row],[化学]]="","",SUMPRODUCT((表成绩单[考试日期]=表成绩单[[#This Row],[考试日期]])*(表成绩单[化学]&lt;9E+307)*(表成绩单[化学]&gt;表成绩单[[#This Row],[化学]]))+1)</f>
        <v>175</v>
      </c>
      <c r="U943" s="29" cm="1">
        <f t="array" ref="U943">IF(表成绩单[[#This Row],[政治]]="","",SUMPRODUCT((表成绩单[考试日期]=表成绩单[[#This Row],[考试日期]])*(表成绩单[政治]&lt;9E+307)*(表成绩单[政治]&gt;表成绩单[[#This Row],[政治]]))+1)</f>
        <v>102</v>
      </c>
      <c r="V943" s="29" cm="1">
        <f t="array" ref="V943">IF(表成绩单[[#This Row],[历史]]="","",SUMPRODUCT((表成绩单[考试日期]=表成绩单[[#This Row],[考试日期]])*(表成绩单[历史]&lt;9E+307)*(表成绩单[历史]&gt;表成绩单[[#This Row],[历史]]))+1)</f>
        <v>12</v>
      </c>
      <c r="W943" s="29" cm="1">
        <f t="array" ref="W943">IF(表成绩单[[#This Row],[总分]]="","",SUMPRODUCT((表成绩单[考试日期]=表成绩单[[#This Row],[考试日期]])*(表成绩单[总分]&lt;9E+307)*(表成绩单[总分]&gt;表成绩单[[#This Row],[总分]]))+1)</f>
        <v>138</v>
      </c>
    </row>
    <row r="944" ht="28" customHeight="1" spans="4:23">
      <c r="D944" s="31">
        <v>46003</v>
      </c>
      <c r="E944" s="29">
        <v>19175668</v>
      </c>
      <c r="F944" s="29" t="s">
        <v>66</v>
      </c>
      <c r="G944" s="29" t="s">
        <v>270</v>
      </c>
      <c r="H944" s="29">
        <v>107</v>
      </c>
      <c r="I944" s="29">
        <v>85</v>
      </c>
      <c r="J944" s="29">
        <v>83</v>
      </c>
      <c r="K944" s="29">
        <v>85</v>
      </c>
      <c r="L944" s="29">
        <v>92</v>
      </c>
      <c r="M944" s="29">
        <v>75</v>
      </c>
      <c r="N944" s="29">
        <v>84</v>
      </c>
      <c r="O944" s="32">
        <v>611</v>
      </c>
      <c r="P944" s="29" cm="1">
        <f t="array" ref="P944">IF(表成绩单[[#This Row],[语文]]="","",SUMPRODUCT((表成绩单[考试日期]=表成绩单[[#This Row],[考试日期]])*(表成绩单[语文]&lt;9E+307)*(表成绩单[语文]&gt;表成绩单[[#This Row],[语文]]))+1)</f>
        <v>182</v>
      </c>
      <c r="Q944" s="29" cm="1">
        <f t="array" ref="Q944">IF(表成绩单[[#This Row],[数学]]="","",SUMPRODUCT((表成绩单[考试日期]=表成绩单[[#This Row],[考试日期]])*(表成绩单[数学]&lt;9E+307)*(表成绩单[数学]&gt;表成绩单[[#This Row],[数学]]))+1)</f>
        <v>249</v>
      </c>
      <c r="R944" s="29" cm="1">
        <f t="array" ref="R944">IF(表成绩单[[#This Row],[英语]]="","",SUMPRODUCT((表成绩单[考试日期]=表成绩单[[#This Row],[考试日期]])*(表成绩单[英语]&lt;9E+307)*(表成绩单[英语]&gt;表成绩单[[#This Row],[英语]]))+1)</f>
        <v>70</v>
      </c>
      <c r="S944" s="29" cm="1">
        <f t="array" ref="S944">IF(表成绩单[[#This Row],[物理]]="","",SUMPRODUCT((表成绩单[考试日期]=表成绩单[[#This Row],[考试日期]])*(表成绩单[物理]&lt;9E+307)*(表成绩单[物理]&gt;表成绩单[[#This Row],[物理]]))+1)</f>
        <v>348</v>
      </c>
      <c r="T944" s="29" cm="1">
        <f t="array" ref="T944">IF(表成绩单[[#This Row],[化学]]="","",SUMPRODUCT((表成绩单[考试日期]=表成绩单[[#This Row],[考试日期]])*(表成绩单[化学]&lt;9E+307)*(表成绩单[化学]&gt;表成绩单[[#This Row],[化学]]))+1)</f>
        <v>102</v>
      </c>
      <c r="U944" s="29" cm="1">
        <f t="array" ref="U944">IF(表成绩单[[#This Row],[政治]]="","",SUMPRODUCT((表成绩单[考试日期]=表成绩单[[#This Row],[考试日期]])*(表成绩单[政治]&lt;9E+307)*(表成绩单[政治]&gt;表成绩单[[#This Row],[政治]]))+1)</f>
        <v>102</v>
      </c>
      <c r="V944" s="29" cm="1">
        <f t="array" ref="V944">IF(表成绩单[[#This Row],[历史]]="","",SUMPRODUCT((表成绩单[考试日期]=表成绩单[[#This Row],[考试日期]])*(表成绩单[历史]&lt;9E+307)*(表成绩单[历史]&gt;表成绩单[[#This Row],[历史]]))+1)</f>
        <v>30</v>
      </c>
      <c r="W944" s="29" cm="1">
        <f t="array" ref="W944">IF(表成绩单[[#This Row],[总分]]="","",SUMPRODUCT((表成绩单[考试日期]=表成绩单[[#This Row],[考试日期]])*(表成绩单[总分]&lt;9E+307)*(表成绩单[总分]&gt;表成绩单[[#This Row],[总分]]))+1)</f>
        <v>138</v>
      </c>
    </row>
    <row r="945" ht="28" customHeight="1" spans="4:23">
      <c r="D945" s="31">
        <v>46003</v>
      </c>
      <c r="E945" s="29">
        <v>19177212</v>
      </c>
      <c r="F945" s="29" t="s">
        <v>70</v>
      </c>
      <c r="G945" s="29" t="s">
        <v>207</v>
      </c>
      <c r="H945" s="29">
        <v>102</v>
      </c>
      <c r="I945" s="29">
        <v>89</v>
      </c>
      <c r="J945" s="29">
        <v>76</v>
      </c>
      <c r="K945" s="29">
        <v>96</v>
      </c>
      <c r="L945" s="29">
        <v>88</v>
      </c>
      <c r="M945" s="29">
        <v>77</v>
      </c>
      <c r="N945" s="29">
        <v>83</v>
      </c>
      <c r="O945" s="32">
        <v>611</v>
      </c>
      <c r="P945" s="29" cm="1">
        <f t="array" ref="P945">IF(表成绩单[[#This Row],[语文]]="","",SUMPRODUCT((表成绩单[考试日期]=表成绩单[[#This Row],[考试日期]])*(表成绩单[语文]&lt;9E+307)*(表成绩单[语文]&gt;表成绩单[[#This Row],[语文]]))+1)</f>
        <v>366</v>
      </c>
      <c r="Q945" s="29" cm="1">
        <f t="array" ref="Q945">IF(表成绩单[[#This Row],[数学]]="","",SUMPRODUCT((表成绩单[考试日期]=表成绩单[[#This Row],[考试日期]])*(表成绩单[数学]&lt;9E+307)*(表成绩单[数学]&gt;表成绩单[[#This Row],[数学]]))+1)</f>
        <v>201</v>
      </c>
      <c r="R945" s="29" cm="1">
        <f t="array" ref="R945">IF(表成绩单[[#This Row],[英语]]="","",SUMPRODUCT((表成绩单[考试日期]=表成绩单[[#This Row],[考试日期]])*(表成绩单[英语]&lt;9E+307)*(表成绩单[英语]&gt;表成绩单[[#This Row],[英语]]))+1)</f>
        <v>288</v>
      </c>
      <c r="S945" s="29" cm="1">
        <f t="array" ref="S945">IF(表成绩单[[#This Row],[物理]]="","",SUMPRODUCT((表成绩单[考试日期]=表成绩单[[#This Row],[考试日期]])*(表成绩单[物理]&lt;9E+307)*(表成绩单[物理]&gt;表成绩单[[#This Row],[物理]]))+1)</f>
        <v>64</v>
      </c>
      <c r="T945" s="29" cm="1">
        <f t="array" ref="T945">IF(表成绩单[[#This Row],[化学]]="","",SUMPRODUCT((表成绩单[考试日期]=表成绩单[[#This Row],[考试日期]])*(表成绩单[化学]&lt;9E+307)*(表成绩单[化学]&gt;表成绩单[[#This Row],[化学]]))+1)</f>
        <v>175</v>
      </c>
      <c r="U945" s="29" cm="1">
        <f t="array" ref="U945">IF(表成绩单[[#This Row],[政治]]="","",SUMPRODUCT((表成绩单[考试日期]=表成绩单[[#This Row],[考试日期]])*(表成绩单[政治]&lt;9E+307)*(表成绩单[政治]&gt;表成绩单[[#This Row],[政治]]))+1)</f>
        <v>64</v>
      </c>
      <c r="V945" s="29" cm="1">
        <f t="array" ref="V945">IF(表成绩单[[#This Row],[历史]]="","",SUMPRODUCT((表成绩单[考试日期]=表成绩单[[#This Row],[考试日期]])*(表成绩单[历史]&lt;9E+307)*(表成绩单[历史]&gt;表成绩单[[#This Row],[历史]]))+1)</f>
        <v>46</v>
      </c>
      <c r="W945" s="29" cm="1">
        <f t="array" ref="W945">IF(表成绩单[[#This Row],[总分]]="","",SUMPRODUCT((表成绩单[考试日期]=表成绩单[[#This Row],[考试日期]])*(表成绩单[总分]&lt;9E+307)*(表成绩单[总分]&gt;表成绩单[[#This Row],[总分]]))+1)</f>
        <v>138</v>
      </c>
    </row>
    <row r="946" ht="28" customHeight="1" spans="4:23">
      <c r="D946" s="31">
        <v>46003</v>
      </c>
      <c r="E946" s="29">
        <v>19174446</v>
      </c>
      <c r="F946" s="29" t="s">
        <v>73</v>
      </c>
      <c r="G946" s="29" t="s">
        <v>185</v>
      </c>
      <c r="H946" s="29">
        <v>112</v>
      </c>
      <c r="I946" s="29">
        <v>96</v>
      </c>
      <c r="J946" s="29">
        <v>84.5</v>
      </c>
      <c r="K946" s="29">
        <v>91</v>
      </c>
      <c r="L946" s="29">
        <v>82</v>
      </c>
      <c r="M946" s="29">
        <v>70</v>
      </c>
      <c r="N946" s="29">
        <v>75</v>
      </c>
      <c r="O946" s="32">
        <v>610.5</v>
      </c>
      <c r="P946" s="29" cm="1">
        <f t="array" ref="P946">IF(表成绩单[[#This Row],[语文]]="","",SUMPRODUCT((表成绩单[考试日期]=表成绩单[[#This Row],[考试日期]])*(表成绩单[语文]&lt;9E+307)*(表成绩单[语文]&gt;表成绩单[[#This Row],[语文]]))+1)</f>
        <v>36</v>
      </c>
      <c r="Q946" s="29" cm="1">
        <f t="array" ref="Q946">IF(表成绩单[[#This Row],[数学]]="","",SUMPRODUCT((表成绩单[考试日期]=表成绩单[[#This Row],[考试日期]])*(表成绩单[数学]&lt;9E+307)*(表成绩单[数学]&gt;表成绩单[[#This Row],[数学]]))+1)</f>
        <v>114</v>
      </c>
      <c r="R946" s="29" cm="1">
        <f t="array" ref="R946">IF(表成绩单[[#This Row],[英语]]="","",SUMPRODUCT((表成绩单[考试日期]=表成绩单[[#This Row],[考试日期]])*(表成绩单[英语]&lt;9E+307)*(表成绩单[英语]&gt;表成绩单[[#This Row],[英语]]))+1)</f>
        <v>37</v>
      </c>
      <c r="S946" s="29" cm="1">
        <f t="array" ref="S946">IF(表成绩单[[#This Row],[物理]]="","",SUMPRODUCT((表成绩单[考试日期]=表成绩单[[#This Row],[考试日期]])*(表成绩单[物理]&lt;9E+307)*(表成绩单[物理]&gt;表成绩单[[#This Row],[物理]]))+1)</f>
        <v>220</v>
      </c>
      <c r="T946" s="29" cm="1">
        <f t="array" ref="T946">IF(表成绩单[[#This Row],[化学]]="","",SUMPRODUCT((表成绩单[考试日期]=表成绩单[[#This Row],[考试日期]])*(表成绩单[化学]&lt;9E+307)*(表成绩单[化学]&gt;表成绩单[[#This Row],[化学]]))+1)</f>
        <v>286</v>
      </c>
      <c r="U946" s="29" cm="1">
        <f t="array" ref="U946">IF(表成绩单[[#This Row],[政治]]="","",SUMPRODUCT((表成绩单[考试日期]=表成绩单[[#This Row],[考试日期]])*(表成绩单[政治]&lt;9E+307)*(表成绩单[政治]&gt;表成绩单[[#This Row],[政治]]))+1)</f>
        <v>184</v>
      </c>
      <c r="V946" s="29" cm="1">
        <f t="array" ref="V946">IF(表成绩单[[#This Row],[历史]]="","",SUMPRODUCT((表成绩单[考试日期]=表成绩单[[#This Row],[考试日期]])*(表成绩单[历史]&lt;9E+307)*(表成绩单[历史]&gt;表成绩单[[#This Row],[历史]]))+1)</f>
        <v>329</v>
      </c>
      <c r="W946" s="29" cm="1">
        <f t="array" ref="W946">IF(表成绩单[[#This Row],[总分]]="","",SUMPRODUCT((表成绩单[考试日期]=表成绩单[[#This Row],[考试日期]])*(表成绩单[总分]&lt;9E+307)*(表成绩单[总分]&gt;表成绩单[[#This Row],[总分]]))+1)</f>
        <v>141</v>
      </c>
    </row>
    <row r="947" ht="28" customHeight="1" spans="4:23">
      <c r="D947" s="31">
        <v>46003</v>
      </c>
      <c r="E947" s="29">
        <v>19177234</v>
      </c>
      <c r="F947" s="29" t="s">
        <v>70</v>
      </c>
      <c r="G947" s="29" t="s">
        <v>258</v>
      </c>
      <c r="H947" s="29">
        <v>110</v>
      </c>
      <c r="I947" s="29">
        <v>91</v>
      </c>
      <c r="J947" s="29">
        <v>79.5</v>
      </c>
      <c r="K947" s="29">
        <v>96</v>
      </c>
      <c r="L947" s="29">
        <v>85</v>
      </c>
      <c r="M947" s="29">
        <v>80</v>
      </c>
      <c r="N947" s="29">
        <v>69</v>
      </c>
      <c r="O947" s="32">
        <v>610.5</v>
      </c>
      <c r="P947" s="29" cm="1">
        <f t="array" ref="P947">IF(表成绩单[[#This Row],[语文]]="","",SUMPRODUCT((表成绩单[考试日期]=表成绩单[[#This Row],[考试日期]])*(表成绩单[语文]&lt;9E+307)*(表成绩单[语文]&gt;表成绩单[[#This Row],[语文]]))+1)</f>
        <v>84</v>
      </c>
      <c r="Q947" s="29" cm="1">
        <f t="array" ref="Q947">IF(表成绩单[[#This Row],[数学]]="","",SUMPRODUCT((表成绩单[考试日期]=表成绩单[[#This Row],[考试日期]])*(表成绩单[数学]&lt;9E+307)*(表成绩单[数学]&gt;表成绩单[[#This Row],[数学]]))+1)</f>
        <v>184</v>
      </c>
      <c r="R947" s="29" cm="1">
        <f t="array" ref="R947">IF(表成绩单[[#This Row],[英语]]="","",SUMPRODUCT((表成绩单[考试日期]=表成绩单[[#This Row],[考试日期]])*(表成绩单[英语]&lt;9E+307)*(表成绩单[英语]&gt;表成绩单[[#This Row],[英语]]))+1)</f>
        <v>180</v>
      </c>
      <c r="S947" s="29" cm="1">
        <f t="array" ref="S947">IF(表成绩单[[#This Row],[物理]]="","",SUMPRODUCT((表成绩单[考试日期]=表成绩单[[#This Row],[考试日期]])*(表成绩单[物理]&lt;9E+307)*(表成绩单[物理]&gt;表成绩单[[#This Row],[物理]]))+1)</f>
        <v>64</v>
      </c>
      <c r="T947" s="29" cm="1">
        <f t="array" ref="T947">IF(表成绩单[[#This Row],[化学]]="","",SUMPRODUCT((表成绩单[考试日期]=表成绩单[[#This Row],[考试日期]])*(表成绩单[化学]&lt;9E+307)*(表成绩单[化学]&gt;表成绩单[[#This Row],[化学]]))+1)</f>
        <v>240</v>
      </c>
      <c r="U947" s="29" cm="1">
        <f t="array" ref="U947">IF(表成绩单[[#This Row],[政治]]="","",SUMPRODUCT((表成绩单[考试日期]=表成绩单[[#This Row],[考试日期]])*(表成绩单[政治]&lt;9E+307)*(表成绩单[政治]&gt;表成绩单[[#This Row],[政治]]))+1)</f>
        <v>28</v>
      </c>
      <c r="V947" s="29" cm="1">
        <f t="array" ref="V947">IF(表成绩单[[#This Row],[历史]]="","",SUMPRODUCT((表成绩单[考试日期]=表成绩单[[#This Row],[考试日期]])*(表成绩单[历史]&lt;9E+307)*(表成绩单[历史]&gt;表成绩单[[#This Row],[历史]]))+1)</f>
        <v>516</v>
      </c>
      <c r="W947" s="29" cm="1">
        <f t="array" ref="W947">IF(表成绩单[[#This Row],[总分]]="","",SUMPRODUCT((表成绩单[考试日期]=表成绩单[[#This Row],[考试日期]])*(表成绩单[总分]&lt;9E+307)*(表成绩单[总分]&gt;表成绩单[[#This Row],[总分]]))+1)</f>
        <v>141</v>
      </c>
    </row>
    <row r="948" ht="28" customHeight="1" spans="4:23">
      <c r="D948" s="31">
        <v>46003</v>
      </c>
      <c r="E948" s="29">
        <v>19175387</v>
      </c>
      <c r="F948" s="29" t="s">
        <v>74</v>
      </c>
      <c r="G948" s="29" t="s">
        <v>184</v>
      </c>
      <c r="H948" s="29">
        <v>108</v>
      </c>
      <c r="I948" s="29">
        <v>82</v>
      </c>
      <c r="J948" s="29">
        <v>82</v>
      </c>
      <c r="K948" s="29">
        <v>93</v>
      </c>
      <c r="L948" s="29">
        <v>88</v>
      </c>
      <c r="M948" s="29">
        <v>78</v>
      </c>
      <c r="N948" s="29">
        <v>79</v>
      </c>
      <c r="O948" s="32">
        <v>610</v>
      </c>
      <c r="P948" s="29" cm="1">
        <f t="array" ref="P948">IF(表成绩单[[#This Row],[语文]]="","",SUMPRODUCT((表成绩单[考试日期]=表成绩单[[#This Row],[考试日期]])*(表成绩单[语文]&lt;9E+307)*(表成绩单[语文]&gt;表成绩单[[#This Row],[语文]]))+1)</f>
        <v>154</v>
      </c>
      <c r="Q948" s="29" cm="1">
        <f t="array" ref="Q948">IF(表成绩单[[#This Row],[数学]]="","",SUMPRODUCT((表成绩单[考试日期]=表成绩单[[#This Row],[考试日期]])*(表成绩单[数学]&lt;9E+307)*(表成绩单[数学]&gt;表成绩单[[#This Row],[数学]]))+1)</f>
        <v>290</v>
      </c>
      <c r="R948" s="29" cm="1">
        <f t="array" ref="R948">IF(表成绩单[[#This Row],[英语]]="","",SUMPRODUCT((表成绩单[考试日期]=表成绩单[[#This Row],[考试日期]])*(表成绩单[英语]&lt;9E+307)*(表成绩单[英语]&gt;表成绩单[[#This Row],[英语]]))+1)</f>
        <v>96</v>
      </c>
      <c r="S948" s="29" cm="1">
        <f t="array" ref="S948">IF(表成绩单[[#This Row],[物理]]="","",SUMPRODUCT((表成绩单[考试日期]=表成绩单[[#This Row],[考试日期]])*(表成绩单[物理]&lt;9E+307)*(表成绩单[物理]&gt;表成绩单[[#This Row],[物理]]))+1)</f>
        <v>163</v>
      </c>
      <c r="T948" s="29" cm="1">
        <f t="array" ref="T948">IF(表成绩单[[#This Row],[化学]]="","",SUMPRODUCT((表成绩单[考试日期]=表成绩单[[#This Row],[考试日期]])*(表成绩单[化学]&lt;9E+307)*(表成绩单[化学]&gt;表成绩单[[#This Row],[化学]]))+1)</f>
        <v>175</v>
      </c>
      <c r="U948" s="29" cm="1">
        <f t="array" ref="U948">IF(表成绩单[[#This Row],[政治]]="","",SUMPRODUCT((表成绩单[考试日期]=表成绩单[[#This Row],[考试日期]])*(表成绩单[政治]&lt;9E+307)*(表成绩单[政治]&gt;表成绩单[[#This Row],[政治]]))+1)</f>
        <v>46</v>
      </c>
      <c r="V948" s="29" cm="1">
        <f t="array" ref="V948">IF(表成绩单[[#This Row],[历史]]="","",SUMPRODUCT((表成绩单[考试日期]=表成绩单[[#This Row],[考试日期]])*(表成绩单[历史]&lt;9E+307)*(表成绩单[历史]&gt;表成绩单[[#This Row],[历史]]))+1)</f>
        <v>149</v>
      </c>
      <c r="W948" s="29" cm="1">
        <f t="array" ref="W948">IF(表成绩单[[#This Row],[总分]]="","",SUMPRODUCT((表成绩单[考试日期]=表成绩单[[#This Row],[考试日期]])*(表成绩单[总分]&lt;9E+307)*(表成绩单[总分]&gt;表成绩单[[#This Row],[总分]]))+1)</f>
        <v>143</v>
      </c>
    </row>
    <row r="949" ht="28" customHeight="1" spans="4:23">
      <c r="D949" s="31">
        <v>46003</v>
      </c>
      <c r="E949" s="29">
        <v>19175673</v>
      </c>
      <c r="F949" s="29" t="s">
        <v>72</v>
      </c>
      <c r="G949" s="29" t="s">
        <v>201</v>
      </c>
      <c r="H949" s="29">
        <v>109</v>
      </c>
      <c r="I949" s="29">
        <v>100</v>
      </c>
      <c r="J949" s="29">
        <v>78</v>
      </c>
      <c r="K949" s="29">
        <v>99</v>
      </c>
      <c r="L949" s="29">
        <v>80</v>
      </c>
      <c r="M949" s="29">
        <v>65</v>
      </c>
      <c r="N949" s="29">
        <v>79</v>
      </c>
      <c r="O949" s="32">
        <v>610</v>
      </c>
      <c r="P949" s="29" cm="1">
        <f t="array" ref="P949">IF(表成绩单[[#This Row],[语文]]="","",SUMPRODUCT((表成绩单[考试日期]=表成绩单[[#This Row],[考试日期]])*(表成绩单[语文]&lt;9E+307)*(表成绩单[语文]&gt;表成绩单[[#This Row],[语文]]))+1)</f>
        <v>111</v>
      </c>
      <c r="Q949" s="29" cm="1">
        <f t="array" ref="Q949">IF(表成绩单[[#This Row],[数学]]="","",SUMPRODUCT((表成绩单[考试日期]=表成绩单[[#This Row],[考试日期]])*(表成绩单[数学]&lt;9E+307)*(表成绩单[数学]&gt;表成绩单[[#This Row],[数学]]))+1)</f>
        <v>77</v>
      </c>
      <c r="R949" s="29" cm="1">
        <f t="array" ref="R949">IF(表成绩单[[#This Row],[英语]]="","",SUMPRODUCT((表成绩单[考试日期]=表成绩单[[#This Row],[考试日期]])*(表成绩单[英语]&lt;9E+307)*(表成绩单[英语]&gt;表成绩单[[#This Row],[英语]]))+1)</f>
        <v>214</v>
      </c>
      <c r="S949" s="29" cm="1">
        <f t="array" ref="S949">IF(表成绩单[[#This Row],[物理]]="","",SUMPRODUCT((表成绩单[考试日期]=表成绩单[[#This Row],[考试日期]])*(表成绩单[物理]&lt;9E+307)*(表成绩单[物理]&gt;表成绩单[[#This Row],[物理]]))+1)</f>
        <v>9</v>
      </c>
      <c r="T949" s="29" cm="1">
        <f t="array" ref="T949">IF(表成绩单[[#This Row],[化学]]="","",SUMPRODUCT((表成绩单[考试日期]=表成绩单[[#This Row],[考试日期]])*(表成绩单[化学]&lt;9E+307)*(表成绩单[化学]&gt;表成绩单[[#This Row],[化学]]))+1)</f>
        <v>327</v>
      </c>
      <c r="U949" s="29" cm="1">
        <f t="array" ref="U949">IF(表成绩单[[#This Row],[政治]]="","",SUMPRODUCT((表成绩单[考试日期]=表成绩单[[#This Row],[考试日期]])*(表成绩单[政治]&lt;9E+307)*(表成绩单[政治]&gt;表成绩单[[#This Row],[政治]]))+1)</f>
        <v>314</v>
      </c>
      <c r="V949" s="29" cm="1">
        <f t="array" ref="V949">IF(表成绩单[[#This Row],[历史]]="","",SUMPRODUCT((表成绩单[考试日期]=表成绩单[[#This Row],[考试日期]])*(表成绩单[历史]&lt;9E+307)*(表成绩单[历史]&gt;表成绩单[[#This Row],[历史]]))+1)</f>
        <v>149</v>
      </c>
      <c r="W949" s="29" cm="1">
        <f t="array" ref="W949">IF(表成绩单[[#This Row],[总分]]="","",SUMPRODUCT((表成绩单[考试日期]=表成绩单[[#This Row],[考试日期]])*(表成绩单[总分]&lt;9E+307)*(表成绩单[总分]&gt;表成绩单[[#This Row],[总分]]))+1)</f>
        <v>143</v>
      </c>
    </row>
    <row r="950" ht="28" customHeight="1" spans="4:23">
      <c r="D950" s="31">
        <v>46003</v>
      </c>
      <c r="E950" s="29">
        <v>19175698</v>
      </c>
      <c r="F950" s="29" t="s">
        <v>72</v>
      </c>
      <c r="G950" s="29" t="s">
        <v>333</v>
      </c>
      <c r="H950" s="29">
        <v>94</v>
      </c>
      <c r="I950" s="29">
        <v>111</v>
      </c>
      <c r="J950" s="29">
        <v>74.5</v>
      </c>
      <c r="K950" s="29">
        <v>84</v>
      </c>
      <c r="L950" s="29">
        <v>95</v>
      </c>
      <c r="M950" s="29">
        <v>70</v>
      </c>
      <c r="N950" s="29">
        <v>81</v>
      </c>
      <c r="O950" s="32">
        <v>609.5</v>
      </c>
      <c r="P950" s="29" cm="1">
        <f t="array" ref="P950">IF(表成绩单[[#This Row],[语文]]="","",SUMPRODUCT((表成绩单[考试日期]=表成绩单[[#This Row],[考试日期]])*(表成绩单[语文]&lt;9E+307)*(表成绩单[语文]&gt;表成绩单[[#This Row],[语文]]))+1)</f>
        <v>537</v>
      </c>
      <c r="Q950" s="29" cm="1">
        <f t="array" ref="Q950">IF(表成绩单[[#This Row],[数学]]="","",SUMPRODUCT((表成绩单[考试日期]=表成绩单[[#This Row],[考试日期]])*(表成绩单[数学]&lt;9E+307)*(表成绩单[数学]&gt;表成绩单[[#This Row],[数学]]))+1)</f>
        <v>6</v>
      </c>
      <c r="R950" s="29" cm="1">
        <f t="array" ref="R950">IF(表成绩单[[#This Row],[英语]]="","",SUMPRODUCT((表成绩单[考试日期]=表成绩单[[#This Row],[考试日期]])*(表成绩单[英语]&lt;9E+307)*(表成绩单[英语]&gt;表成绩单[[#This Row],[英语]]))+1)</f>
        <v>328</v>
      </c>
      <c r="S950" s="29" cm="1">
        <f t="array" ref="S950">IF(表成绩单[[#This Row],[物理]]="","",SUMPRODUCT((表成绩单[考试日期]=表成绩单[[#This Row],[考试日期]])*(表成绩单[物理]&lt;9E+307)*(表成绩单[物理]&gt;表成绩单[[#This Row],[物理]]))+1)</f>
        <v>368</v>
      </c>
      <c r="T950" s="29" cm="1">
        <f t="array" ref="T950">IF(表成绩单[[#This Row],[化学]]="","",SUMPRODUCT((表成绩单[考试日期]=表成绩单[[#This Row],[考试日期]])*(表成绩单[化学]&lt;9E+307)*(表成绩单[化学]&gt;表成绩单[[#This Row],[化学]]))+1)</f>
        <v>37</v>
      </c>
      <c r="U950" s="29" cm="1">
        <f t="array" ref="U950">IF(表成绩单[[#This Row],[政治]]="","",SUMPRODUCT((表成绩单[考试日期]=表成绩单[[#This Row],[考试日期]])*(表成绩单[政治]&lt;9E+307)*(表成绩单[政治]&gt;表成绩单[[#This Row],[政治]]))+1)</f>
        <v>184</v>
      </c>
      <c r="V950" s="29" cm="1">
        <f t="array" ref="V950">IF(表成绩单[[#This Row],[历史]]="","",SUMPRODUCT((表成绩单[考试日期]=表成绩单[[#This Row],[考试日期]])*(表成绩单[历史]&lt;9E+307)*(表成绩单[历史]&gt;表成绩单[[#This Row],[历史]]))+1)</f>
        <v>92</v>
      </c>
      <c r="W950" s="29" cm="1">
        <f t="array" ref="W950">IF(表成绩单[[#This Row],[总分]]="","",SUMPRODUCT((表成绩单[考试日期]=表成绩单[[#This Row],[考试日期]])*(表成绩单[总分]&lt;9E+307)*(表成绩单[总分]&gt;表成绩单[[#This Row],[总分]]))+1)</f>
        <v>145</v>
      </c>
    </row>
    <row r="951" ht="28" customHeight="1" spans="4:23">
      <c r="D951" s="31">
        <v>46003</v>
      </c>
      <c r="E951" s="29">
        <v>19177645</v>
      </c>
      <c r="F951" s="29" t="s">
        <v>63</v>
      </c>
      <c r="G951" s="29" t="s">
        <v>264</v>
      </c>
      <c r="H951" s="29">
        <v>105</v>
      </c>
      <c r="I951" s="29">
        <v>95</v>
      </c>
      <c r="J951" s="29">
        <v>80.5</v>
      </c>
      <c r="K951" s="29">
        <v>93</v>
      </c>
      <c r="L951" s="29">
        <v>87</v>
      </c>
      <c r="M951" s="29">
        <v>76</v>
      </c>
      <c r="N951" s="29">
        <v>73</v>
      </c>
      <c r="O951" s="32">
        <v>609.5</v>
      </c>
      <c r="P951" s="29" cm="1">
        <f t="array" ref="P951">IF(表成绩单[[#This Row],[语文]]="","",SUMPRODUCT((表成绩单[考试日期]=表成绩单[[#This Row],[考试日期]])*(表成绩单[语文]&lt;9E+307)*(表成绩单[语文]&gt;表成绩单[[#This Row],[语文]]))+1)</f>
        <v>247</v>
      </c>
      <c r="Q951" s="29" cm="1">
        <f t="array" ref="Q951">IF(表成绩单[[#This Row],[数学]]="","",SUMPRODUCT((表成绩单[考试日期]=表成绩单[[#This Row],[考试日期]])*(表成绩单[数学]&lt;9E+307)*(表成绩单[数学]&gt;表成绩单[[#This Row],[数学]]))+1)</f>
        <v>122</v>
      </c>
      <c r="R951" s="29" cm="1">
        <f t="array" ref="R951">IF(表成绩单[[#This Row],[英语]]="","",SUMPRODUCT((表成绩单[考试日期]=表成绩单[[#This Row],[考试日期]])*(表成绩单[英语]&lt;9E+307)*(表成绩单[英语]&gt;表成绩单[[#This Row],[英语]]))+1)</f>
        <v>147</v>
      </c>
      <c r="S951" s="29" cm="1">
        <f t="array" ref="S951">IF(表成绩单[[#This Row],[物理]]="","",SUMPRODUCT((表成绩单[考试日期]=表成绩单[[#This Row],[考试日期]])*(表成绩单[物理]&lt;9E+307)*(表成绩单[物理]&gt;表成绩单[[#This Row],[物理]]))+1)</f>
        <v>163</v>
      </c>
      <c r="T951" s="29" cm="1">
        <f t="array" ref="T951">IF(表成绩单[[#This Row],[化学]]="","",SUMPRODUCT((表成绩单[考试日期]=表成绩单[[#This Row],[考试日期]])*(表成绩单[化学]&lt;9E+307)*(表成绩单[化学]&gt;表成绩单[[#This Row],[化学]]))+1)</f>
        <v>201</v>
      </c>
      <c r="U951" s="29" cm="1">
        <f t="array" ref="U951">IF(表成绩单[[#This Row],[政治]]="","",SUMPRODUCT((表成绩单[考试日期]=表成绩单[[#This Row],[考试日期]])*(表成绩单[政治]&lt;9E+307)*(表成绩单[政治]&gt;表成绩单[[#This Row],[政治]]))+1)</f>
        <v>77</v>
      </c>
      <c r="V951" s="29" cm="1">
        <f t="array" ref="V951">IF(表成绩单[[#This Row],[历史]]="","",SUMPRODUCT((表成绩单[考试日期]=表成绩单[[#This Row],[考试日期]])*(表成绩单[历史]&lt;9E+307)*(表成绩单[历史]&gt;表成绩单[[#This Row],[历史]]))+1)</f>
        <v>403</v>
      </c>
      <c r="W951" s="29" cm="1">
        <f t="array" ref="W951">IF(表成绩单[[#This Row],[总分]]="","",SUMPRODUCT((表成绩单[考试日期]=表成绩单[[#This Row],[考试日期]])*(表成绩单[总分]&lt;9E+307)*(表成绩单[总分]&gt;表成绩单[[#This Row],[总分]]))+1)</f>
        <v>145</v>
      </c>
    </row>
    <row r="952" ht="28" customHeight="1" spans="4:23">
      <c r="D952" s="31">
        <v>46003</v>
      </c>
      <c r="E952" s="29">
        <v>19176155</v>
      </c>
      <c r="F952" s="29" t="s">
        <v>67</v>
      </c>
      <c r="G952" s="29" t="s">
        <v>339</v>
      </c>
      <c r="H952" s="29">
        <v>103</v>
      </c>
      <c r="I952" s="29">
        <v>89</v>
      </c>
      <c r="J952" s="29">
        <v>86</v>
      </c>
      <c r="K952" s="29">
        <v>91</v>
      </c>
      <c r="L952" s="29">
        <v>88</v>
      </c>
      <c r="M952" s="29">
        <v>78</v>
      </c>
      <c r="N952" s="29">
        <v>74</v>
      </c>
      <c r="O952" s="32">
        <v>609</v>
      </c>
      <c r="P952" s="29" cm="1">
        <f t="array" ref="P952">IF(表成绩单[[#This Row],[语文]]="","",SUMPRODUCT((表成绩单[考试日期]=表成绩单[[#This Row],[考试日期]])*(表成绩单[语文]&lt;9E+307)*(表成绩单[语文]&gt;表成绩单[[#This Row],[语文]]))+1)</f>
        <v>333</v>
      </c>
      <c r="Q952" s="29" cm="1">
        <f t="array" ref="Q952">IF(表成绩单[[#This Row],[数学]]="","",SUMPRODUCT((表成绩单[考试日期]=表成绩单[[#This Row],[考试日期]])*(表成绩单[数学]&lt;9E+307)*(表成绩单[数学]&gt;表成绩单[[#This Row],[数学]]))+1)</f>
        <v>201</v>
      </c>
      <c r="R952" s="29" cm="1">
        <f t="array" ref="R952">IF(表成绩单[[#This Row],[英语]]="","",SUMPRODUCT((表成绩单[考试日期]=表成绩单[[#This Row],[考试日期]])*(表成绩单[英语]&lt;9E+307)*(表成绩单[英语]&gt;表成绩单[[#This Row],[英语]]))+1)</f>
        <v>16</v>
      </c>
      <c r="S952" s="29" cm="1">
        <f t="array" ref="S952">IF(表成绩单[[#This Row],[物理]]="","",SUMPRODUCT((表成绩单[考试日期]=表成绩单[[#This Row],[考试日期]])*(表成绩单[物理]&lt;9E+307)*(表成绩单[物理]&gt;表成绩单[[#This Row],[物理]]))+1)</f>
        <v>220</v>
      </c>
      <c r="T952" s="29" cm="1">
        <f t="array" ref="T952">IF(表成绩单[[#This Row],[化学]]="","",SUMPRODUCT((表成绩单[考试日期]=表成绩单[[#This Row],[考试日期]])*(表成绩单[化学]&lt;9E+307)*(表成绩单[化学]&gt;表成绩单[[#This Row],[化学]]))+1)</f>
        <v>175</v>
      </c>
      <c r="U952" s="29" cm="1">
        <f t="array" ref="U952">IF(表成绩单[[#This Row],[政治]]="","",SUMPRODUCT((表成绩单[考试日期]=表成绩单[[#This Row],[考试日期]])*(表成绩单[政治]&lt;9E+307)*(表成绩单[政治]&gt;表成绩单[[#This Row],[政治]]))+1)</f>
        <v>46</v>
      </c>
      <c r="V952" s="29" cm="1">
        <f t="array" ref="V952">IF(表成绩单[[#This Row],[历史]]="","",SUMPRODUCT((表成绩单[考试日期]=表成绩单[[#This Row],[考试日期]])*(表成绩单[历史]&lt;9E+307)*(表成绩单[历史]&gt;表成绩单[[#This Row],[历史]]))+1)</f>
        <v>371</v>
      </c>
      <c r="W952" s="29" cm="1">
        <f t="array" ref="W952">IF(表成绩单[[#This Row],[总分]]="","",SUMPRODUCT((表成绩单[考试日期]=表成绩单[[#This Row],[考试日期]])*(表成绩单[总分]&lt;9E+307)*(表成绩单[总分]&gt;表成绩单[[#This Row],[总分]]))+1)</f>
        <v>147</v>
      </c>
    </row>
    <row r="953" ht="28" customHeight="1" spans="4:23">
      <c r="D953" s="31">
        <v>46003</v>
      </c>
      <c r="E953" s="29">
        <v>19176162</v>
      </c>
      <c r="F953" s="29" t="s">
        <v>67</v>
      </c>
      <c r="G953" s="29" t="s">
        <v>383</v>
      </c>
      <c r="H953" s="29">
        <v>108</v>
      </c>
      <c r="I953" s="29">
        <v>85</v>
      </c>
      <c r="J953" s="29">
        <v>79</v>
      </c>
      <c r="K953" s="29">
        <v>89</v>
      </c>
      <c r="L953" s="29">
        <v>91</v>
      </c>
      <c r="M953" s="29">
        <v>73</v>
      </c>
      <c r="N953" s="29">
        <v>84</v>
      </c>
      <c r="O953" s="32">
        <v>609</v>
      </c>
      <c r="P953" s="29" cm="1">
        <f t="array" ref="P953">IF(表成绩单[[#This Row],[语文]]="","",SUMPRODUCT((表成绩单[考试日期]=表成绩单[[#This Row],[考试日期]])*(表成绩单[语文]&lt;9E+307)*(表成绩单[语文]&gt;表成绩单[[#This Row],[语文]]))+1)</f>
        <v>154</v>
      </c>
      <c r="Q953" s="29" cm="1">
        <f t="array" ref="Q953">IF(表成绩单[[#This Row],[数学]]="","",SUMPRODUCT((表成绩单[考试日期]=表成绩单[[#This Row],[考试日期]])*(表成绩单[数学]&lt;9E+307)*(表成绩单[数学]&gt;表成绩单[[#This Row],[数学]]))+1)</f>
        <v>249</v>
      </c>
      <c r="R953" s="29" cm="1">
        <f t="array" ref="R953">IF(表成绩单[[#This Row],[英语]]="","",SUMPRODUCT((表成绩单[考试日期]=表成绩单[[#This Row],[考试日期]])*(表成绩单[英语]&lt;9E+307)*(表成绩单[英语]&gt;表成绩单[[#This Row],[英语]]))+1)</f>
        <v>188</v>
      </c>
      <c r="S953" s="29" cm="1">
        <f t="array" ref="S953">IF(表成绩单[[#This Row],[物理]]="","",SUMPRODUCT((表成绩单[考试日期]=表成绩单[[#This Row],[考试日期]])*(表成绩单[物理]&lt;9E+307)*(表成绩单[物理]&gt;表成绩单[[#This Row],[物理]]))+1)</f>
        <v>269</v>
      </c>
      <c r="T953" s="29" cm="1">
        <f t="array" ref="T953">IF(表成绩单[[#This Row],[化学]]="","",SUMPRODUCT((表成绩单[考试日期]=表成绩单[[#This Row],[考试日期]])*(表成绩单[化学]&lt;9E+307)*(表成绩单[化学]&gt;表成绩单[[#This Row],[化学]]))+1)</f>
        <v>127</v>
      </c>
      <c r="U953" s="29" cm="1">
        <f t="array" ref="U953">IF(表成绩单[[#This Row],[政治]]="","",SUMPRODUCT((表成绩单[考试日期]=表成绩单[[#This Row],[考试日期]])*(表成绩单[政治]&lt;9E+307)*(表成绩单[政治]&gt;表成绩单[[#This Row],[政治]]))+1)</f>
        <v>139</v>
      </c>
      <c r="V953" s="29" cm="1">
        <f t="array" ref="V953">IF(表成绩单[[#This Row],[历史]]="","",SUMPRODUCT((表成绩单[考试日期]=表成绩单[[#This Row],[考试日期]])*(表成绩单[历史]&lt;9E+307)*(表成绩单[历史]&gt;表成绩单[[#This Row],[历史]]))+1)</f>
        <v>30</v>
      </c>
      <c r="W953" s="29" cm="1">
        <f t="array" ref="W953">IF(表成绩单[[#This Row],[总分]]="","",SUMPRODUCT((表成绩单[考试日期]=表成绩单[[#This Row],[考试日期]])*(表成绩单[总分]&lt;9E+307)*(表成绩单[总分]&gt;表成绩单[[#This Row],[总分]]))+1)</f>
        <v>147</v>
      </c>
    </row>
    <row r="954" ht="28" customHeight="1" spans="4:23">
      <c r="D954" s="31">
        <v>46003</v>
      </c>
      <c r="E954" s="29">
        <v>19174788</v>
      </c>
      <c r="F954" s="29" t="s">
        <v>69</v>
      </c>
      <c r="G954" s="29" t="s">
        <v>278</v>
      </c>
      <c r="H954" s="29">
        <v>113</v>
      </c>
      <c r="I954" s="29">
        <v>75</v>
      </c>
      <c r="J954" s="29">
        <v>74.5</v>
      </c>
      <c r="K954" s="29">
        <v>97</v>
      </c>
      <c r="L954" s="29">
        <v>93</v>
      </c>
      <c r="M954" s="29">
        <v>79</v>
      </c>
      <c r="N954" s="29">
        <v>77</v>
      </c>
      <c r="O954" s="32">
        <v>608.5</v>
      </c>
      <c r="P954" s="29" cm="1">
        <f t="array" ref="P954">IF(表成绩单[[#This Row],[语文]]="","",SUMPRODUCT((表成绩单[考试日期]=表成绩单[[#This Row],[考试日期]])*(表成绩单[语文]&lt;9E+307)*(表成绩单[语文]&gt;表成绩单[[#This Row],[语文]]))+1)</f>
        <v>22</v>
      </c>
      <c r="Q954" s="29" cm="1">
        <f t="array" ref="Q954">IF(表成绩单[[#This Row],[数学]]="","",SUMPRODUCT((表成绩单[考试日期]=表成绩单[[#This Row],[考试日期]])*(表成绩单[数学]&lt;9E+307)*(表成绩单[数学]&gt;表成绩单[[#This Row],[数学]]))+1)</f>
        <v>364</v>
      </c>
      <c r="R954" s="29" cm="1">
        <f t="array" ref="R954">IF(表成绩单[[#This Row],[英语]]="","",SUMPRODUCT((表成绩单[考试日期]=表成绩单[[#This Row],[考试日期]])*(表成绩单[英语]&lt;9E+307)*(表成绩单[英语]&gt;表成绩单[[#This Row],[英语]]))+1)</f>
        <v>328</v>
      </c>
      <c r="S954" s="29" cm="1">
        <f t="array" ref="S954">IF(表成绩单[[#This Row],[物理]]="","",SUMPRODUCT((表成绩单[考试日期]=表成绩单[[#This Row],[考试日期]])*(表成绩单[物理]&lt;9E+307)*(表成绩单[物理]&gt;表成绩单[[#This Row],[物理]]))+1)</f>
        <v>43</v>
      </c>
      <c r="T954" s="29" cm="1">
        <f t="array" ref="T954">IF(表成绩单[[#This Row],[化学]]="","",SUMPRODUCT((表成绩单[考试日期]=表成绩单[[#This Row],[考试日期]])*(表成绩单[化学]&lt;9E+307)*(表成绩单[化学]&gt;表成绩单[[#This Row],[化学]]))+1)</f>
        <v>73</v>
      </c>
      <c r="U954" s="29" cm="1">
        <f t="array" ref="U954">IF(表成绩单[[#This Row],[政治]]="","",SUMPRODUCT((表成绩单[考试日期]=表成绩单[[#This Row],[考试日期]])*(表成绩单[政治]&lt;9E+307)*(表成绩单[政治]&gt;表成绩单[[#This Row],[政治]]))+1)</f>
        <v>36</v>
      </c>
      <c r="V954" s="29" cm="1">
        <f t="array" ref="V954">IF(表成绩单[[#This Row],[历史]]="","",SUMPRODUCT((表成绩单[考试日期]=表成绩单[[#This Row],[考试日期]])*(表成绩单[历史]&lt;9E+307)*(表成绩单[历史]&gt;表成绩单[[#This Row],[历史]]))+1)</f>
        <v>235</v>
      </c>
      <c r="W954" s="29" cm="1">
        <f t="array" ref="W954">IF(表成绩单[[#This Row],[总分]]="","",SUMPRODUCT((表成绩单[考试日期]=表成绩单[[#This Row],[考试日期]])*(表成绩单[总分]&lt;9E+307)*(表成绩单[总分]&gt;表成绩单[[#This Row],[总分]]))+1)</f>
        <v>149</v>
      </c>
    </row>
    <row r="955" ht="28" customHeight="1" spans="4:23">
      <c r="D955" s="31">
        <v>46003</v>
      </c>
      <c r="E955" s="29">
        <v>19176177</v>
      </c>
      <c r="F955" s="29" t="s">
        <v>67</v>
      </c>
      <c r="G955" s="29" t="s">
        <v>149</v>
      </c>
      <c r="H955" s="29">
        <v>99</v>
      </c>
      <c r="I955" s="29">
        <v>95</v>
      </c>
      <c r="J955" s="29">
        <v>80.5</v>
      </c>
      <c r="K955" s="29">
        <v>86</v>
      </c>
      <c r="L955" s="29">
        <v>95</v>
      </c>
      <c r="M955" s="29">
        <v>67</v>
      </c>
      <c r="N955" s="29">
        <v>86</v>
      </c>
      <c r="O955" s="32">
        <v>608.5</v>
      </c>
      <c r="P955" s="29" cm="1">
        <f t="array" ref="P955">IF(表成绩单[[#This Row],[语文]]="","",SUMPRODUCT((表成绩单[考试日期]=表成绩单[[#This Row],[考试日期]])*(表成绩单[语文]&lt;9E+307)*(表成绩单[语文]&gt;表成绩单[[#This Row],[语文]]))+1)</f>
        <v>440</v>
      </c>
      <c r="Q955" s="29" cm="1">
        <f t="array" ref="Q955">IF(表成绩单[[#This Row],[数学]]="","",SUMPRODUCT((表成绩单[考试日期]=表成绩单[[#This Row],[考试日期]])*(表成绩单[数学]&lt;9E+307)*(表成绩单[数学]&gt;表成绩单[[#This Row],[数学]]))+1)</f>
        <v>122</v>
      </c>
      <c r="R955" s="29" cm="1">
        <f t="array" ref="R955">IF(表成绩单[[#This Row],[英语]]="","",SUMPRODUCT((表成绩单[考试日期]=表成绩单[[#This Row],[考试日期]])*(表成绩单[英语]&lt;9E+307)*(表成绩单[英语]&gt;表成绩单[[#This Row],[英语]]))+1)</f>
        <v>147</v>
      </c>
      <c r="S955" s="29" cm="1">
        <f t="array" ref="S955">IF(表成绩单[[#This Row],[物理]]="","",SUMPRODUCT((表成绩单[考试日期]=表成绩单[[#This Row],[考试日期]])*(表成绩单[物理]&lt;9E+307)*(表成绩单[物理]&gt;表成绩单[[#This Row],[物理]]))+1)</f>
        <v>336</v>
      </c>
      <c r="T955" s="29" cm="1">
        <f t="array" ref="T955">IF(表成绩单[[#This Row],[化学]]="","",SUMPRODUCT((表成绩单[考试日期]=表成绩单[[#This Row],[考试日期]])*(表成绩单[化学]&lt;9E+307)*(表成绩单[化学]&gt;表成绩单[[#This Row],[化学]]))+1)</f>
        <v>37</v>
      </c>
      <c r="U955" s="29" cm="1">
        <f t="array" ref="U955">IF(表成绩单[[#This Row],[政治]]="","",SUMPRODUCT((表成绩单[考试日期]=表成绩单[[#This Row],[考试日期]])*(表成绩单[政治]&lt;9E+307)*(表成绩单[政治]&gt;表成绩单[[#This Row],[政治]]))+1)</f>
        <v>264</v>
      </c>
      <c r="V955" s="29" cm="1">
        <f t="array" ref="V955">IF(表成绩单[[#This Row],[历史]]="","",SUMPRODUCT((表成绩单[考试日期]=表成绩单[[#This Row],[考试日期]])*(表成绩单[历史]&lt;9E+307)*(表成绩单[历史]&gt;表成绩单[[#This Row],[历史]]))+1)</f>
        <v>6</v>
      </c>
      <c r="W955" s="29" cm="1">
        <f t="array" ref="W955">IF(表成绩单[[#This Row],[总分]]="","",SUMPRODUCT((表成绩单[考试日期]=表成绩单[[#This Row],[考试日期]])*(表成绩单[总分]&lt;9E+307)*(表成绩单[总分]&gt;表成绩单[[#This Row],[总分]]))+1)</f>
        <v>149</v>
      </c>
    </row>
    <row r="956" ht="28" customHeight="1" spans="4:23">
      <c r="D956" s="31">
        <v>46003</v>
      </c>
      <c r="E956" s="29">
        <v>19176884</v>
      </c>
      <c r="F956" s="29" t="s">
        <v>71</v>
      </c>
      <c r="G956" s="29" t="s">
        <v>340</v>
      </c>
      <c r="H956" s="29">
        <v>110</v>
      </c>
      <c r="I956" s="29">
        <v>93</v>
      </c>
      <c r="J956" s="29">
        <v>81.5</v>
      </c>
      <c r="K956" s="29">
        <v>98</v>
      </c>
      <c r="L956" s="29">
        <v>87</v>
      </c>
      <c r="M956" s="29">
        <v>60</v>
      </c>
      <c r="N956" s="29">
        <v>79</v>
      </c>
      <c r="O956" s="32">
        <v>608.5</v>
      </c>
      <c r="P956" s="29" cm="1">
        <f t="array" ref="P956">IF(表成绩单[[#This Row],[语文]]="","",SUMPRODUCT((表成绩单[考试日期]=表成绩单[[#This Row],[考试日期]])*(表成绩单[语文]&lt;9E+307)*(表成绩单[语文]&gt;表成绩单[[#This Row],[语文]]))+1)</f>
        <v>84</v>
      </c>
      <c r="Q956" s="29" cm="1">
        <f t="array" ref="Q956">IF(表成绩单[[#This Row],[数学]]="","",SUMPRODUCT((表成绩单[考试日期]=表成绩单[[#This Row],[考试日期]])*(表成绩单[数学]&lt;9E+307)*(表成绩单[数学]&gt;表成绩单[[#This Row],[数学]]))+1)</f>
        <v>155</v>
      </c>
      <c r="R956" s="29" cm="1">
        <f t="array" ref="R956">IF(表成绩单[[#This Row],[英语]]="","",SUMPRODUCT((表成绩单[考试日期]=表成绩单[[#This Row],[考试日期]])*(表成绩单[英语]&lt;9E+307)*(表成绩单[英语]&gt;表成绩单[[#This Row],[英语]]))+1)</f>
        <v>113</v>
      </c>
      <c r="S956" s="29" cm="1">
        <f t="array" ref="S956">IF(表成绩单[[#This Row],[物理]]="","",SUMPRODUCT((表成绩单[考试日期]=表成绩单[[#This Row],[考试日期]])*(表成绩单[物理]&lt;9E+307)*(表成绩单[物理]&gt;表成绩单[[#This Row],[物理]]))+1)</f>
        <v>26</v>
      </c>
      <c r="T956" s="29" cm="1">
        <f t="array" ref="T956">IF(表成绩单[[#This Row],[化学]]="","",SUMPRODUCT((表成绩单[考试日期]=表成绩单[[#This Row],[考试日期]])*(表成绩单[化学]&lt;9E+307)*(表成绩单[化学]&gt;表成绩单[[#This Row],[化学]]))+1)</f>
        <v>201</v>
      </c>
      <c r="U956" s="29" cm="1">
        <f t="array" ref="U956">IF(表成绩单[[#This Row],[政治]]="","",SUMPRODUCT((表成绩单[考试日期]=表成绩单[[#This Row],[考试日期]])*(表成绩单[政治]&lt;9E+307)*(表成绩单[政治]&gt;表成绩单[[#This Row],[政治]]))+1)</f>
        <v>421</v>
      </c>
      <c r="V956" s="29" cm="1">
        <f t="array" ref="V956">IF(表成绩单[[#This Row],[历史]]="","",SUMPRODUCT((表成绩单[考试日期]=表成绩单[[#This Row],[考试日期]])*(表成绩单[历史]&lt;9E+307)*(表成绩单[历史]&gt;表成绩单[[#This Row],[历史]]))+1)</f>
        <v>149</v>
      </c>
      <c r="W956" s="29" cm="1">
        <f t="array" ref="W956">IF(表成绩单[[#This Row],[总分]]="","",SUMPRODUCT((表成绩单[考试日期]=表成绩单[[#This Row],[考试日期]])*(表成绩单[总分]&lt;9E+307)*(表成绩单[总分]&gt;表成绩单[[#This Row],[总分]]))+1)</f>
        <v>149</v>
      </c>
    </row>
    <row r="957" ht="28" customHeight="1" spans="4:23">
      <c r="D957" s="31">
        <v>46003</v>
      </c>
      <c r="E957" s="29">
        <v>19177201</v>
      </c>
      <c r="F957" s="29" t="s">
        <v>70</v>
      </c>
      <c r="G957" s="29" t="s">
        <v>196</v>
      </c>
      <c r="H957" s="29">
        <v>104</v>
      </c>
      <c r="I957" s="29">
        <v>103</v>
      </c>
      <c r="J957" s="29">
        <v>73</v>
      </c>
      <c r="K957" s="29">
        <v>95</v>
      </c>
      <c r="L957" s="29">
        <v>89</v>
      </c>
      <c r="M957" s="29">
        <v>66</v>
      </c>
      <c r="N957" s="29">
        <v>78</v>
      </c>
      <c r="O957" s="32">
        <v>608</v>
      </c>
      <c r="P957" s="29" cm="1">
        <f t="array" ref="P957">IF(表成绩单[[#This Row],[语文]]="","",SUMPRODUCT((表成绩单[考试日期]=表成绩单[[#This Row],[考试日期]])*(表成绩单[语文]&lt;9E+307)*(表成绩单[语文]&gt;表成绩单[[#This Row],[语文]]))+1)</f>
        <v>290</v>
      </c>
      <c r="Q957" s="29" cm="1">
        <f t="array" ref="Q957">IF(表成绩单[[#This Row],[数学]]="","",SUMPRODUCT((表成绩单[考试日期]=表成绩单[[#This Row],[考试日期]])*(表成绩单[数学]&lt;9E+307)*(表成绩单[数学]&gt;表成绩单[[#This Row],[数学]]))+1)</f>
        <v>41</v>
      </c>
      <c r="R957" s="29" cm="1">
        <f t="array" ref="R957">IF(表成绩单[[#This Row],[英语]]="","",SUMPRODUCT((表成绩单[考试日期]=表成绩单[[#This Row],[考试日期]])*(表成绩单[英语]&lt;9E+307)*(表成绩单[英语]&gt;表成绩单[[#This Row],[英语]]))+1)</f>
        <v>363</v>
      </c>
      <c r="S957" s="29" cm="1">
        <f t="array" ref="S957">IF(表成绩单[[#This Row],[物理]]="","",SUMPRODUCT((表成绩单[考试日期]=表成绩单[[#This Row],[考试日期]])*(表成绩单[物理]&lt;9E+307)*(表成绩单[物理]&gt;表成绩单[[#This Row],[物理]]))+1)</f>
        <v>97</v>
      </c>
      <c r="T957" s="29" cm="1">
        <f t="array" ref="T957">IF(表成绩单[[#This Row],[化学]]="","",SUMPRODUCT((表成绩单[考试日期]=表成绩单[[#This Row],[考试日期]])*(表成绩单[化学]&lt;9E+307)*(表成绩单[化学]&gt;表成绩单[[#This Row],[化学]]))+1)</f>
        <v>157</v>
      </c>
      <c r="U957" s="29" cm="1">
        <f t="array" ref="U957">IF(表成绩单[[#This Row],[政治]]="","",SUMPRODUCT((表成绩单[考试日期]=表成绩单[[#This Row],[考试日期]])*(表成绩单[政治]&lt;9E+307)*(表成绩单[政治]&gt;表成绩单[[#This Row],[政治]]))+1)</f>
        <v>289</v>
      </c>
      <c r="V957" s="29" cm="1">
        <f t="array" ref="V957">IF(表成绩单[[#This Row],[历史]]="","",SUMPRODUCT((表成绩单[考试日期]=表成绩单[[#This Row],[考试日期]])*(表成绩单[历史]&lt;9E+307)*(表成绩单[历史]&gt;表成绩单[[#This Row],[历史]]))+1)</f>
        <v>190</v>
      </c>
      <c r="W957" s="29" cm="1">
        <f t="array" ref="W957">IF(表成绩单[[#This Row],[总分]]="","",SUMPRODUCT((表成绩单[考试日期]=表成绩单[[#This Row],[考试日期]])*(表成绩单[总分]&lt;9E+307)*(表成绩单[总分]&gt;表成绩单[[#This Row],[总分]]))+1)</f>
        <v>152</v>
      </c>
    </row>
    <row r="958" ht="28" customHeight="1" spans="4:23">
      <c r="D958" s="31">
        <v>46003</v>
      </c>
      <c r="E958" s="29">
        <v>19173268</v>
      </c>
      <c r="F958" s="29" t="s">
        <v>61</v>
      </c>
      <c r="G958" s="29" t="s">
        <v>190</v>
      </c>
      <c r="H958" s="29">
        <v>108</v>
      </c>
      <c r="I958" s="29">
        <v>86</v>
      </c>
      <c r="J958" s="29">
        <v>84.5</v>
      </c>
      <c r="K958" s="29">
        <v>92</v>
      </c>
      <c r="L958" s="29">
        <v>81</v>
      </c>
      <c r="M958" s="29">
        <v>78</v>
      </c>
      <c r="N958" s="29">
        <v>78</v>
      </c>
      <c r="O958" s="32">
        <v>607.5</v>
      </c>
      <c r="P958" s="29" cm="1">
        <f t="array" ref="P958">IF(表成绩单[[#This Row],[语文]]="","",SUMPRODUCT((表成绩单[考试日期]=表成绩单[[#This Row],[考试日期]])*(表成绩单[语文]&lt;9E+307)*(表成绩单[语文]&gt;表成绩单[[#This Row],[语文]]))+1)</f>
        <v>154</v>
      </c>
      <c r="Q958" s="29" cm="1">
        <f t="array" ref="Q958">IF(表成绩单[[#This Row],[数学]]="","",SUMPRODUCT((表成绩单[考试日期]=表成绩单[[#This Row],[考试日期]])*(表成绩单[数学]&lt;9E+307)*(表成绩单[数学]&gt;表成绩单[[#This Row],[数学]]))+1)</f>
        <v>231</v>
      </c>
      <c r="R958" s="29" cm="1">
        <f t="array" ref="R958">IF(表成绩单[[#This Row],[英语]]="","",SUMPRODUCT((表成绩单[考试日期]=表成绩单[[#This Row],[考试日期]])*(表成绩单[英语]&lt;9E+307)*(表成绩单[英语]&gt;表成绩单[[#This Row],[英语]]))+1)</f>
        <v>37</v>
      </c>
      <c r="S958" s="29" cm="1">
        <f t="array" ref="S958">IF(表成绩单[[#This Row],[物理]]="","",SUMPRODUCT((表成绩单[考试日期]=表成绩单[[#This Row],[考试日期]])*(表成绩单[物理]&lt;9E+307)*(表成绩单[物理]&gt;表成绩单[[#This Row],[物理]]))+1)</f>
        <v>191</v>
      </c>
      <c r="T958" s="29" cm="1">
        <f t="array" ref="T958">IF(表成绩单[[#This Row],[化学]]="","",SUMPRODUCT((表成绩单[考试日期]=表成绩单[[#This Row],[考试日期]])*(表成绩单[化学]&lt;9E+307)*(表成绩单[化学]&gt;表成绩单[[#This Row],[化学]]))+1)</f>
        <v>308</v>
      </c>
      <c r="U958" s="29" cm="1">
        <f t="array" ref="U958">IF(表成绩单[[#This Row],[政治]]="","",SUMPRODUCT((表成绩单[考试日期]=表成绩单[[#This Row],[考试日期]])*(表成绩单[政治]&lt;9E+307)*(表成绩单[政治]&gt;表成绩单[[#This Row],[政治]]))+1)</f>
        <v>46</v>
      </c>
      <c r="V958" s="29" cm="1">
        <f t="array" ref="V958">IF(表成绩单[[#This Row],[历史]]="","",SUMPRODUCT((表成绩单[考试日期]=表成绩单[[#This Row],[考试日期]])*(表成绩单[历史]&lt;9E+307)*(表成绩单[历史]&gt;表成绩单[[#This Row],[历史]]))+1)</f>
        <v>190</v>
      </c>
      <c r="W958" s="29" cm="1">
        <f t="array" ref="W958">IF(表成绩单[[#This Row],[总分]]="","",SUMPRODUCT((表成绩单[考试日期]=表成绩单[[#This Row],[考试日期]])*(表成绩单[总分]&lt;9E+307)*(表成绩单[总分]&gt;表成绩单[[#This Row],[总分]]))+1)</f>
        <v>153</v>
      </c>
    </row>
    <row r="959" ht="28" customHeight="1" spans="4:23">
      <c r="D959" s="31">
        <v>46003</v>
      </c>
      <c r="E959" s="29">
        <v>19174438</v>
      </c>
      <c r="F959" s="29" t="s">
        <v>73</v>
      </c>
      <c r="G959" s="29" t="s">
        <v>179</v>
      </c>
      <c r="H959" s="29">
        <v>111</v>
      </c>
      <c r="I959" s="29">
        <v>92</v>
      </c>
      <c r="J959" s="29">
        <v>77.5</v>
      </c>
      <c r="K959" s="29">
        <v>89</v>
      </c>
      <c r="L959" s="29">
        <v>88</v>
      </c>
      <c r="M959" s="29">
        <v>71</v>
      </c>
      <c r="N959" s="29">
        <v>79</v>
      </c>
      <c r="O959" s="32">
        <v>607.5</v>
      </c>
      <c r="P959" s="29" cm="1">
        <f t="array" ref="P959">IF(表成绩单[[#This Row],[语文]]="","",SUMPRODUCT((表成绩单[考试日期]=表成绩单[[#This Row],[考试日期]])*(表成绩单[语文]&lt;9E+307)*(表成绩单[语文]&gt;表成绩单[[#This Row],[语文]]))+1)</f>
        <v>56</v>
      </c>
      <c r="Q959" s="29" cm="1">
        <f t="array" ref="Q959">IF(表成绩单[[#This Row],[数学]]="","",SUMPRODUCT((表成绩单[考试日期]=表成绩单[[#This Row],[考试日期]])*(表成绩单[数学]&lt;9E+307)*(表成绩单[数学]&gt;表成绩单[[#This Row],[数学]]))+1)</f>
        <v>170</v>
      </c>
      <c r="R959" s="29" cm="1">
        <f t="array" ref="R959">IF(表成绩单[[#This Row],[英语]]="","",SUMPRODUCT((表成绩单[考试日期]=表成绩单[[#This Row],[考试日期]])*(表成绩单[英语]&lt;9E+307)*(表成绩单[英语]&gt;表成绩单[[#This Row],[英语]]))+1)</f>
        <v>230</v>
      </c>
      <c r="S959" s="29" cm="1">
        <f t="array" ref="S959">IF(表成绩单[[#This Row],[物理]]="","",SUMPRODUCT((表成绩单[考试日期]=表成绩单[[#This Row],[考试日期]])*(表成绩单[物理]&lt;9E+307)*(表成绩单[物理]&gt;表成绩单[[#This Row],[物理]]))+1)</f>
        <v>269</v>
      </c>
      <c r="T959" s="29" cm="1">
        <f t="array" ref="T959">IF(表成绩单[[#This Row],[化学]]="","",SUMPRODUCT((表成绩单[考试日期]=表成绩单[[#This Row],[考试日期]])*(表成绩单[化学]&lt;9E+307)*(表成绩单[化学]&gt;表成绩单[[#This Row],[化学]]))+1)</f>
        <v>175</v>
      </c>
      <c r="U959" s="29" cm="1">
        <f t="array" ref="U959">IF(表成绩单[[#This Row],[政治]]="","",SUMPRODUCT((表成绩单[考试日期]=表成绩单[[#This Row],[考试日期]])*(表成绩单[政治]&lt;9E+307)*(表成绩单[政治]&gt;表成绩单[[#This Row],[政治]]))+1)</f>
        <v>168</v>
      </c>
      <c r="V959" s="29" cm="1">
        <f t="array" ref="V959">IF(表成绩单[[#This Row],[历史]]="","",SUMPRODUCT((表成绩单[考试日期]=表成绩单[[#This Row],[考试日期]])*(表成绩单[历史]&lt;9E+307)*(表成绩单[历史]&gt;表成绩单[[#This Row],[历史]]))+1)</f>
        <v>149</v>
      </c>
      <c r="W959" s="29" cm="1">
        <f t="array" ref="W959">IF(表成绩单[[#This Row],[总分]]="","",SUMPRODUCT((表成绩单[考试日期]=表成绩单[[#This Row],[考试日期]])*(表成绩单[总分]&lt;9E+307)*(表成绩单[总分]&gt;表成绩单[[#This Row],[总分]]))+1)</f>
        <v>153</v>
      </c>
    </row>
    <row r="960" ht="28" customHeight="1" spans="4:23">
      <c r="D960" s="31">
        <v>46003</v>
      </c>
      <c r="E960" s="29">
        <v>19175634</v>
      </c>
      <c r="F960" s="29" t="s">
        <v>66</v>
      </c>
      <c r="G960" s="29" t="s">
        <v>255</v>
      </c>
      <c r="H960" s="29">
        <v>115</v>
      </c>
      <c r="I960" s="29">
        <v>91</v>
      </c>
      <c r="J960" s="29">
        <v>77.5</v>
      </c>
      <c r="K960" s="29">
        <v>100</v>
      </c>
      <c r="L960" s="29">
        <v>94</v>
      </c>
      <c r="M960" s="29">
        <v>55</v>
      </c>
      <c r="N960" s="29">
        <v>75</v>
      </c>
      <c r="O960" s="32">
        <v>607.5</v>
      </c>
      <c r="P960" s="29" cm="1">
        <f t="array" ref="P960">IF(表成绩单[[#This Row],[语文]]="","",SUMPRODUCT((表成绩单[考试日期]=表成绩单[[#This Row],[考试日期]])*(表成绩单[语文]&lt;9E+307)*(表成绩单[语文]&gt;表成绩单[[#This Row],[语文]]))+1)</f>
        <v>7</v>
      </c>
      <c r="Q960" s="29" cm="1">
        <f t="array" ref="Q960">IF(表成绩单[[#This Row],[数学]]="","",SUMPRODUCT((表成绩单[考试日期]=表成绩单[[#This Row],[考试日期]])*(表成绩单[数学]&lt;9E+307)*(表成绩单[数学]&gt;表成绩单[[#This Row],[数学]]))+1)</f>
        <v>184</v>
      </c>
      <c r="R960" s="29" cm="1">
        <f t="array" ref="R960">IF(表成绩单[[#This Row],[英语]]="","",SUMPRODUCT((表成绩单[考试日期]=表成绩单[[#This Row],[考试日期]])*(表成绩单[英语]&lt;9E+307)*(表成绩单[英语]&gt;表成绩单[[#This Row],[英语]]))+1)</f>
        <v>230</v>
      </c>
      <c r="S960" s="29" cm="1">
        <f t="array" ref="S960">IF(表成绩单[[#This Row],[物理]]="","",SUMPRODUCT((表成绩单[考试日期]=表成绩单[[#This Row],[考试日期]])*(表成绩单[物理]&lt;9E+307)*(表成绩单[物理]&gt;表成绩单[[#This Row],[物理]]))+1)</f>
        <v>1</v>
      </c>
      <c r="T960" s="29" cm="1">
        <f t="array" ref="T960">IF(表成绩单[[#This Row],[化学]]="","",SUMPRODUCT((表成绩单[考试日期]=表成绩单[[#This Row],[考试日期]])*(表成绩单[化学]&lt;9E+307)*(表成绩单[化学]&gt;表成绩单[[#This Row],[化学]]))+1)</f>
        <v>56</v>
      </c>
      <c r="U960" s="29" cm="1">
        <f t="array" ref="U960">IF(表成绩单[[#This Row],[政治]]="","",SUMPRODUCT((表成绩单[考试日期]=表成绩单[[#This Row],[考试日期]])*(表成绩单[政治]&lt;9E+307)*(表成绩单[政治]&gt;表成绩单[[#This Row],[政治]]))+1)</f>
        <v>513</v>
      </c>
      <c r="V960" s="29" cm="1">
        <f t="array" ref="V960">IF(表成绩单[[#This Row],[历史]]="","",SUMPRODUCT((表成绩单[考试日期]=表成绩单[[#This Row],[考试日期]])*(表成绩单[历史]&lt;9E+307)*(表成绩单[历史]&gt;表成绩单[[#This Row],[历史]]))+1)</f>
        <v>329</v>
      </c>
      <c r="W960" s="29" cm="1">
        <f t="array" ref="W960">IF(表成绩单[[#This Row],[总分]]="","",SUMPRODUCT((表成绩单[考试日期]=表成绩单[[#This Row],[考试日期]])*(表成绩单[总分]&lt;9E+307)*(表成绩单[总分]&gt;表成绩单[[#This Row],[总分]]))+1)</f>
        <v>153</v>
      </c>
    </row>
    <row r="961" ht="28" customHeight="1" spans="4:23">
      <c r="D961" s="31">
        <v>46003</v>
      </c>
      <c r="E961" s="29">
        <v>19177625</v>
      </c>
      <c r="F961" s="29" t="s">
        <v>58</v>
      </c>
      <c r="G961" s="29" t="s">
        <v>244</v>
      </c>
      <c r="H961" s="29">
        <v>109</v>
      </c>
      <c r="I961" s="29">
        <v>98</v>
      </c>
      <c r="J961" s="29">
        <v>72.5</v>
      </c>
      <c r="K961" s="29">
        <v>90</v>
      </c>
      <c r="L961" s="29">
        <v>92</v>
      </c>
      <c r="M961" s="29">
        <v>74</v>
      </c>
      <c r="N961" s="29">
        <v>72</v>
      </c>
      <c r="O961" s="32">
        <v>607.5</v>
      </c>
      <c r="P961" s="29" cm="1">
        <f t="array" ref="P961">IF(表成绩单[[#This Row],[语文]]="","",SUMPRODUCT((表成绩单[考试日期]=表成绩单[[#This Row],[考试日期]])*(表成绩单[语文]&lt;9E+307)*(表成绩单[语文]&gt;表成绩单[[#This Row],[语文]]))+1)</f>
        <v>111</v>
      </c>
      <c r="Q961" s="29" cm="1">
        <f t="array" ref="Q961">IF(表成绩单[[#This Row],[数学]]="","",SUMPRODUCT((表成绩单[考试日期]=表成绩单[[#This Row],[考试日期]])*(表成绩单[数学]&lt;9E+307)*(表成绩单[数学]&gt;表成绩单[[#This Row],[数学]]))+1)</f>
        <v>93</v>
      </c>
      <c r="R961" s="29" cm="1">
        <f t="array" ref="R961">IF(表成绩单[[#This Row],[英语]]="","",SUMPRODUCT((表成绩单[考试日期]=表成绩单[[#This Row],[考试日期]])*(表成绩单[英语]&lt;9E+307)*(表成绩单[英语]&gt;表成绩单[[#This Row],[英语]]))+1)</f>
        <v>373</v>
      </c>
      <c r="S961" s="29" cm="1">
        <f t="array" ref="S961">IF(表成绩单[[#This Row],[物理]]="","",SUMPRODUCT((表成绩单[考试日期]=表成绩单[[#This Row],[考试日期]])*(表成绩单[物理]&lt;9E+307)*(表成绩单[物理]&gt;表成绩单[[#This Row],[物理]]))+1)</f>
        <v>237</v>
      </c>
      <c r="T961" s="29" cm="1">
        <f t="array" ref="T961">IF(表成绩单[[#This Row],[化学]]="","",SUMPRODUCT((表成绩单[考试日期]=表成绩单[[#This Row],[考试日期]])*(表成绩单[化学]&lt;9E+307)*(表成绩单[化学]&gt;表成绩单[[#This Row],[化学]]))+1)</f>
        <v>102</v>
      </c>
      <c r="U961" s="29" cm="1">
        <f t="array" ref="U961">IF(表成绩单[[#This Row],[政治]]="","",SUMPRODUCT((表成绩单[考试日期]=表成绩单[[#This Row],[考试日期]])*(表成绩单[政治]&lt;9E+307)*(表成绩单[政治]&gt;表成绩单[[#This Row],[政治]]))+1)</f>
        <v>121</v>
      </c>
      <c r="V961" s="29" cm="1">
        <f t="array" ref="V961">IF(表成绩单[[#This Row],[历史]]="","",SUMPRODUCT((表成绩单[考试日期]=表成绩单[[#This Row],[考试日期]])*(表成绩单[历史]&lt;9E+307)*(表成绩单[历史]&gt;表成绩单[[#This Row],[历史]]))+1)</f>
        <v>439</v>
      </c>
      <c r="W961" s="29" cm="1">
        <f t="array" ref="W961">IF(表成绩单[[#This Row],[总分]]="","",SUMPRODUCT((表成绩单[考试日期]=表成绩单[[#This Row],[考试日期]])*(表成绩单[总分]&lt;9E+307)*(表成绩单[总分]&gt;表成绩单[[#This Row],[总分]]))+1)</f>
        <v>153</v>
      </c>
    </row>
    <row r="962" ht="28" customHeight="1" spans="4:23">
      <c r="D962" s="31">
        <v>46003</v>
      </c>
      <c r="E962" s="29">
        <v>19176858</v>
      </c>
      <c r="F962" s="29" t="s">
        <v>71</v>
      </c>
      <c r="G962" s="29" t="s">
        <v>199</v>
      </c>
      <c r="H962" s="29">
        <v>101</v>
      </c>
      <c r="I962" s="29">
        <v>95</v>
      </c>
      <c r="J962" s="29">
        <v>74</v>
      </c>
      <c r="K962" s="29">
        <v>92</v>
      </c>
      <c r="L962" s="29">
        <v>92</v>
      </c>
      <c r="M962" s="29">
        <v>73</v>
      </c>
      <c r="N962" s="29">
        <v>80</v>
      </c>
      <c r="O962" s="32">
        <v>607</v>
      </c>
      <c r="P962" s="29" cm="1">
        <f t="array" ref="P962">IF(表成绩单[[#This Row],[语文]]="","",SUMPRODUCT((表成绩单[考试日期]=表成绩单[[#This Row],[考试日期]])*(表成绩单[语文]&lt;9E+307)*(表成绩单[语文]&gt;表成绩单[[#This Row],[语文]]))+1)</f>
        <v>387</v>
      </c>
      <c r="Q962" s="29" cm="1">
        <f t="array" ref="Q962">IF(表成绩单[[#This Row],[数学]]="","",SUMPRODUCT((表成绩单[考试日期]=表成绩单[[#This Row],[考试日期]])*(表成绩单[数学]&lt;9E+307)*(表成绩单[数学]&gt;表成绩单[[#This Row],[数学]]))+1)</f>
        <v>122</v>
      </c>
      <c r="R962" s="29" cm="1">
        <f t="array" ref="R962">IF(表成绩单[[#This Row],[英语]]="","",SUMPRODUCT((表成绩单[考试日期]=表成绩单[[#This Row],[考试日期]])*(表成绩单[英语]&lt;9E+307)*(表成绩单[英语]&gt;表成绩单[[#This Row],[英语]]))+1)</f>
        <v>344</v>
      </c>
      <c r="S962" s="29" cm="1">
        <f t="array" ref="S962">IF(表成绩单[[#This Row],[物理]]="","",SUMPRODUCT((表成绩单[考试日期]=表成绩单[[#This Row],[考试日期]])*(表成绩单[物理]&lt;9E+307)*(表成绩单[物理]&gt;表成绩单[[#This Row],[物理]]))+1)</f>
        <v>191</v>
      </c>
      <c r="T962" s="29" cm="1">
        <f t="array" ref="T962">IF(表成绩单[[#This Row],[化学]]="","",SUMPRODUCT((表成绩单[考试日期]=表成绩单[[#This Row],[考试日期]])*(表成绩单[化学]&lt;9E+307)*(表成绩单[化学]&gt;表成绩单[[#This Row],[化学]]))+1)</f>
        <v>102</v>
      </c>
      <c r="U962" s="29" cm="1">
        <f t="array" ref="U962">IF(表成绩单[[#This Row],[政治]]="","",SUMPRODUCT((表成绩单[考试日期]=表成绩单[[#This Row],[考试日期]])*(表成绩单[政治]&lt;9E+307)*(表成绩单[政治]&gt;表成绩单[[#This Row],[政治]]))+1)</f>
        <v>139</v>
      </c>
      <c r="V962" s="29" cm="1">
        <f t="array" ref="V962">IF(表成绩单[[#This Row],[历史]]="","",SUMPRODUCT((表成绩单[考试日期]=表成绩单[[#This Row],[考试日期]])*(表成绩单[历史]&lt;9E+307)*(表成绩单[历史]&gt;表成绩单[[#This Row],[历史]]))+1)</f>
        <v>116</v>
      </c>
      <c r="W962" s="29" cm="1">
        <f t="array" ref="W962">IF(表成绩单[[#This Row],[总分]]="","",SUMPRODUCT((表成绩单[考试日期]=表成绩单[[#This Row],[考试日期]])*(表成绩单[总分]&lt;9E+307)*(表成绩单[总分]&gt;表成绩单[[#This Row],[总分]]))+1)</f>
        <v>157</v>
      </c>
    </row>
    <row r="963" ht="28" customHeight="1" spans="4:23">
      <c r="D963" s="31">
        <v>46003</v>
      </c>
      <c r="E963" s="29">
        <v>19177205</v>
      </c>
      <c r="F963" s="29" t="s">
        <v>70</v>
      </c>
      <c r="G963" s="29" t="s">
        <v>304</v>
      </c>
      <c r="H963" s="29">
        <v>110</v>
      </c>
      <c r="I963" s="29">
        <v>73</v>
      </c>
      <c r="J963" s="29">
        <v>83</v>
      </c>
      <c r="K963" s="29">
        <v>93</v>
      </c>
      <c r="L963" s="29">
        <v>88</v>
      </c>
      <c r="M963" s="29">
        <v>76</v>
      </c>
      <c r="N963" s="29">
        <v>84</v>
      </c>
      <c r="O963" s="32">
        <v>607</v>
      </c>
      <c r="P963" s="29" cm="1">
        <f t="array" ref="P963">IF(表成绩单[[#This Row],[语文]]="","",SUMPRODUCT((表成绩单[考试日期]=表成绩单[[#This Row],[考试日期]])*(表成绩单[语文]&lt;9E+307)*(表成绩单[语文]&gt;表成绩单[[#This Row],[语文]]))+1)</f>
        <v>84</v>
      </c>
      <c r="Q963" s="29" cm="1">
        <f t="array" ref="Q963">IF(表成绩单[[#This Row],[数学]]="","",SUMPRODUCT((表成绩单[考试日期]=表成绩单[[#This Row],[考试日期]])*(表成绩单[数学]&lt;9E+307)*(表成绩单[数学]&gt;表成绩单[[#This Row],[数学]]))+1)</f>
        <v>386</v>
      </c>
      <c r="R963" s="29" cm="1">
        <f t="array" ref="R963">IF(表成绩单[[#This Row],[英语]]="","",SUMPRODUCT((表成绩单[考试日期]=表成绩单[[#This Row],[考试日期]])*(表成绩单[英语]&lt;9E+307)*(表成绩单[英语]&gt;表成绩单[[#This Row],[英语]]))+1)</f>
        <v>70</v>
      </c>
      <c r="S963" s="29" cm="1">
        <f t="array" ref="S963">IF(表成绩单[[#This Row],[物理]]="","",SUMPRODUCT((表成绩单[考试日期]=表成绩单[[#This Row],[考试日期]])*(表成绩单[物理]&lt;9E+307)*(表成绩单[物理]&gt;表成绩单[[#This Row],[物理]]))+1)</f>
        <v>163</v>
      </c>
      <c r="T963" s="29" cm="1">
        <f t="array" ref="T963">IF(表成绩单[[#This Row],[化学]]="","",SUMPRODUCT((表成绩单[考试日期]=表成绩单[[#This Row],[考试日期]])*(表成绩单[化学]&lt;9E+307)*(表成绩单[化学]&gt;表成绩单[[#This Row],[化学]]))+1)</f>
        <v>175</v>
      </c>
      <c r="U963" s="29" cm="1">
        <f t="array" ref="U963">IF(表成绩单[[#This Row],[政治]]="","",SUMPRODUCT((表成绩单[考试日期]=表成绩单[[#This Row],[考试日期]])*(表成绩单[政治]&lt;9E+307)*(表成绩单[政治]&gt;表成绩单[[#This Row],[政治]]))+1)</f>
        <v>77</v>
      </c>
      <c r="V963" s="29" cm="1">
        <f t="array" ref="V963">IF(表成绩单[[#This Row],[历史]]="","",SUMPRODUCT((表成绩单[考试日期]=表成绩单[[#This Row],[考试日期]])*(表成绩单[历史]&lt;9E+307)*(表成绩单[历史]&gt;表成绩单[[#This Row],[历史]]))+1)</f>
        <v>30</v>
      </c>
      <c r="W963" s="29" cm="1">
        <f t="array" ref="W963">IF(表成绩单[[#This Row],[总分]]="","",SUMPRODUCT((表成绩单[考试日期]=表成绩单[[#This Row],[考试日期]])*(表成绩单[总分]&lt;9E+307)*(表成绩单[总分]&gt;表成绩单[[#This Row],[总分]]))+1)</f>
        <v>157</v>
      </c>
    </row>
    <row r="964" ht="28" customHeight="1" spans="4:23">
      <c r="D964" s="31">
        <v>46003</v>
      </c>
      <c r="E964" s="29">
        <v>19177222</v>
      </c>
      <c r="F964" s="29" t="s">
        <v>70</v>
      </c>
      <c r="G964" s="29" t="s">
        <v>193</v>
      </c>
      <c r="H964" s="29">
        <v>107</v>
      </c>
      <c r="I964" s="29">
        <v>90</v>
      </c>
      <c r="J964" s="29">
        <v>76</v>
      </c>
      <c r="K964" s="29">
        <v>89</v>
      </c>
      <c r="L964" s="29">
        <v>94</v>
      </c>
      <c r="M964" s="29">
        <v>73</v>
      </c>
      <c r="N964" s="29">
        <v>78</v>
      </c>
      <c r="O964" s="32">
        <v>607</v>
      </c>
      <c r="P964" s="29" cm="1">
        <f t="array" ref="P964">IF(表成绩单[[#This Row],[语文]]="","",SUMPRODUCT((表成绩单[考试日期]=表成绩单[[#This Row],[考试日期]])*(表成绩单[语文]&lt;9E+307)*(表成绩单[语文]&gt;表成绩单[[#This Row],[语文]]))+1)</f>
        <v>182</v>
      </c>
      <c r="Q964" s="29" cm="1">
        <f t="array" ref="Q964">IF(表成绩单[[#This Row],[数学]]="","",SUMPRODUCT((表成绩单[考试日期]=表成绩单[[#This Row],[考试日期]])*(表成绩单[数学]&lt;9E+307)*(表成绩单[数学]&gt;表成绩单[[#This Row],[数学]]))+1)</f>
        <v>196</v>
      </c>
      <c r="R964" s="29" cm="1">
        <f t="array" ref="R964">IF(表成绩单[[#This Row],[英语]]="","",SUMPRODUCT((表成绩单[考试日期]=表成绩单[[#This Row],[考试日期]])*(表成绩单[英语]&lt;9E+307)*(表成绩单[英语]&gt;表成绩单[[#This Row],[英语]]))+1)</f>
        <v>288</v>
      </c>
      <c r="S964" s="29" cm="1">
        <f t="array" ref="S964">IF(表成绩单[[#This Row],[物理]]="","",SUMPRODUCT((表成绩单[考试日期]=表成绩单[[#This Row],[考试日期]])*(表成绩单[物理]&lt;9E+307)*(表成绩单[物理]&gt;表成绩单[[#This Row],[物理]]))+1)</f>
        <v>269</v>
      </c>
      <c r="T964" s="29" cm="1">
        <f t="array" ref="T964">IF(表成绩单[[#This Row],[化学]]="","",SUMPRODUCT((表成绩单[考试日期]=表成绩单[[#This Row],[考试日期]])*(表成绩单[化学]&lt;9E+307)*(表成绩单[化学]&gt;表成绩单[[#This Row],[化学]]))+1)</f>
        <v>56</v>
      </c>
      <c r="U964" s="29" cm="1">
        <f t="array" ref="U964">IF(表成绩单[[#This Row],[政治]]="","",SUMPRODUCT((表成绩单[考试日期]=表成绩单[[#This Row],[考试日期]])*(表成绩单[政治]&lt;9E+307)*(表成绩单[政治]&gt;表成绩单[[#This Row],[政治]]))+1)</f>
        <v>139</v>
      </c>
      <c r="V964" s="29" cm="1">
        <f t="array" ref="V964">IF(表成绩单[[#This Row],[历史]]="","",SUMPRODUCT((表成绩单[考试日期]=表成绩单[[#This Row],[考试日期]])*(表成绩单[历史]&lt;9E+307)*(表成绩单[历史]&gt;表成绩单[[#This Row],[历史]]))+1)</f>
        <v>190</v>
      </c>
      <c r="W964" s="29" cm="1">
        <f t="array" ref="W964">IF(表成绩单[[#This Row],[总分]]="","",SUMPRODUCT((表成绩单[考试日期]=表成绩单[[#This Row],[考试日期]])*(表成绩单[总分]&lt;9E+307)*(表成绩单[总分]&gt;表成绩单[[#This Row],[总分]]))+1)</f>
        <v>157</v>
      </c>
    </row>
    <row r="965" ht="28" customHeight="1" spans="4:23">
      <c r="D965" s="31">
        <v>46003</v>
      </c>
      <c r="E965" s="29">
        <v>19174463</v>
      </c>
      <c r="F965" s="29" t="s">
        <v>73</v>
      </c>
      <c r="G965" s="29" t="s">
        <v>352</v>
      </c>
      <c r="H965" s="29">
        <v>105</v>
      </c>
      <c r="I965" s="29">
        <v>84</v>
      </c>
      <c r="J965" s="29">
        <v>78.5</v>
      </c>
      <c r="K965" s="29">
        <v>96</v>
      </c>
      <c r="L965" s="29">
        <v>93</v>
      </c>
      <c r="M965" s="29">
        <v>70</v>
      </c>
      <c r="N965" s="29">
        <v>80</v>
      </c>
      <c r="O965" s="32">
        <v>606.5</v>
      </c>
      <c r="P965" s="29" cm="1">
        <f t="array" ref="P965">IF(表成绩单[[#This Row],[语文]]="","",SUMPRODUCT((表成绩单[考试日期]=表成绩单[[#This Row],[考试日期]])*(表成绩单[语文]&lt;9E+307)*(表成绩单[语文]&gt;表成绩单[[#This Row],[语文]]))+1)</f>
        <v>247</v>
      </c>
      <c r="Q965" s="29" cm="1">
        <f t="array" ref="Q965">IF(表成绩单[[#This Row],[数学]]="","",SUMPRODUCT((表成绩单[考试日期]=表成绩单[[#This Row],[考试日期]])*(表成绩单[数学]&lt;9E+307)*(表成绩单[数学]&gt;表成绩单[[#This Row],[数学]]))+1)</f>
        <v>259</v>
      </c>
      <c r="R965" s="29" cm="1">
        <f t="array" ref="R965">IF(表成绩单[[#This Row],[英语]]="","",SUMPRODUCT((表成绩单[考试日期]=表成绩单[[#This Row],[考试日期]])*(表成绩单[英语]&lt;9E+307)*(表成绩单[英语]&gt;表成绩单[[#This Row],[英语]]))+1)</f>
        <v>206</v>
      </c>
      <c r="S965" s="29" cm="1">
        <f t="array" ref="S965">IF(表成绩单[[#This Row],[物理]]="","",SUMPRODUCT((表成绩单[考试日期]=表成绩单[[#This Row],[考试日期]])*(表成绩单[物理]&lt;9E+307)*(表成绩单[物理]&gt;表成绩单[[#This Row],[物理]]))+1)</f>
        <v>64</v>
      </c>
      <c r="T965" s="29" cm="1">
        <f t="array" ref="T965">IF(表成绩单[[#This Row],[化学]]="","",SUMPRODUCT((表成绩单[考试日期]=表成绩单[[#This Row],[考试日期]])*(表成绩单[化学]&lt;9E+307)*(表成绩单[化学]&gt;表成绩单[[#This Row],[化学]]))+1)</f>
        <v>73</v>
      </c>
      <c r="U965" s="29" cm="1">
        <f t="array" ref="U965">IF(表成绩单[[#This Row],[政治]]="","",SUMPRODUCT((表成绩单[考试日期]=表成绩单[[#This Row],[考试日期]])*(表成绩单[政治]&lt;9E+307)*(表成绩单[政治]&gt;表成绩单[[#This Row],[政治]]))+1)</f>
        <v>184</v>
      </c>
      <c r="V965" s="29" cm="1">
        <f t="array" ref="V965">IF(表成绩单[[#This Row],[历史]]="","",SUMPRODUCT((表成绩单[考试日期]=表成绩单[[#This Row],[考试日期]])*(表成绩单[历史]&lt;9E+307)*(表成绩单[历史]&gt;表成绩单[[#This Row],[历史]]))+1)</f>
        <v>116</v>
      </c>
      <c r="W965" s="29" cm="1">
        <f t="array" ref="W965">IF(表成绩单[[#This Row],[总分]]="","",SUMPRODUCT((表成绩单[考试日期]=表成绩单[[#This Row],[考试日期]])*(表成绩单[总分]&lt;9E+307)*(表成绩单[总分]&gt;表成绩单[[#This Row],[总分]]))+1)</f>
        <v>160</v>
      </c>
    </row>
    <row r="966" ht="28" customHeight="1" spans="4:23">
      <c r="D966" s="31">
        <v>46003</v>
      </c>
      <c r="E966" s="29">
        <v>19177649</v>
      </c>
      <c r="F966" s="29" t="s">
        <v>63</v>
      </c>
      <c r="G966" s="29" t="s">
        <v>254</v>
      </c>
      <c r="H966" s="29">
        <v>103</v>
      </c>
      <c r="I966" s="29">
        <v>85</v>
      </c>
      <c r="J966" s="29">
        <v>88.5</v>
      </c>
      <c r="K966" s="29">
        <v>88</v>
      </c>
      <c r="L966" s="29">
        <v>92</v>
      </c>
      <c r="M966" s="29">
        <v>75</v>
      </c>
      <c r="N966" s="29">
        <v>75</v>
      </c>
      <c r="O966" s="32">
        <v>606.5</v>
      </c>
      <c r="P966" s="29" cm="1">
        <f t="array" ref="P966">IF(表成绩单[[#This Row],[语文]]="","",SUMPRODUCT((表成绩单[考试日期]=表成绩单[[#This Row],[考试日期]])*(表成绩单[语文]&lt;9E+307)*(表成绩单[语文]&gt;表成绩单[[#This Row],[语文]]))+1)</f>
        <v>333</v>
      </c>
      <c r="Q966" s="29" cm="1">
        <f t="array" ref="Q966">IF(表成绩单[[#This Row],[数学]]="","",SUMPRODUCT((表成绩单[考试日期]=表成绩单[[#This Row],[考试日期]])*(表成绩单[数学]&lt;9E+307)*(表成绩单[数学]&gt;表成绩单[[#This Row],[数学]]))+1)</f>
        <v>249</v>
      </c>
      <c r="R966" s="29" cm="1">
        <f t="array" ref="R966">IF(表成绩单[[#This Row],[英语]]="","",SUMPRODUCT((表成绩单[考试日期]=表成绩单[[#This Row],[考试日期]])*(表成绩单[英语]&lt;9E+307)*(表成绩单[英语]&gt;表成绩单[[#This Row],[英语]]))+1)</f>
        <v>3</v>
      </c>
      <c r="S966" s="29" cm="1">
        <f t="array" ref="S966">IF(表成绩单[[#This Row],[物理]]="","",SUMPRODUCT((表成绩单[考试日期]=表成绩单[[#This Row],[考试日期]])*(表成绩单[物理]&lt;9E+307)*(表成绩单[物理]&gt;表成绩单[[#This Row],[物理]]))+1)</f>
        <v>291</v>
      </c>
      <c r="T966" s="29" cm="1">
        <f t="array" ref="T966">IF(表成绩单[[#This Row],[化学]]="","",SUMPRODUCT((表成绩单[考试日期]=表成绩单[[#This Row],[考试日期]])*(表成绩单[化学]&lt;9E+307)*(表成绩单[化学]&gt;表成绩单[[#This Row],[化学]]))+1)</f>
        <v>102</v>
      </c>
      <c r="U966" s="29" cm="1">
        <f t="array" ref="U966">IF(表成绩单[[#This Row],[政治]]="","",SUMPRODUCT((表成绩单[考试日期]=表成绩单[[#This Row],[考试日期]])*(表成绩单[政治]&lt;9E+307)*(表成绩单[政治]&gt;表成绩单[[#This Row],[政治]]))+1)</f>
        <v>102</v>
      </c>
      <c r="V966" s="29" cm="1">
        <f t="array" ref="V966">IF(表成绩单[[#This Row],[历史]]="","",SUMPRODUCT((表成绩单[考试日期]=表成绩单[[#This Row],[考试日期]])*(表成绩单[历史]&lt;9E+307)*(表成绩单[历史]&gt;表成绩单[[#This Row],[历史]]))+1)</f>
        <v>329</v>
      </c>
      <c r="W966" s="29" cm="1">
        <f t="array" ref="W966">IF(表成绩单[[#This Row],[总分]]="","",SUMPRODUCT((表成绩单[考试日期]=表成绩单[[#This Row],[考试日期]])*(表成绩单[总分]&lt;9E+307)*(表成绩单[总分]&gt;表成绩单[[#This Row],[总分]]))+1)</f>
        <v>160</v>
      </c>
    </row>
    <row r="967" ht="28" customHeight="1" spans="4:23">
      <c r="D967" s="31">
        <v>46003</v>
      </c>
      <c r="E967" s="29">
        <v>19176889</v>
      </c>
      <c r="F967" s="29" t="s">
        <v>71</v>
      </c>
      <c r="G967" s="29" t="s">
        <v>277</v>
      </c>
      <c r="H967" s="29">
        <v>110</v>
      </c>
      <c r="I967" s="29">
        <v>89</v>
      </c>
      <c r="J967" s="29">
        <v>78</v>
      </c>
      <c r="K967" s="29">
        <v>92</v>
      </c>
      <c r="L967" s="29">
        <v>90</v>
      </c>
      <c r="M967" s="29">
        <v>63</v>
      </c>
      <c r="N967" s="29">
        <v>84</v>
      </c>
      <c r="O967" s="32">
        <v>606</v>
      </c>
      <c r="P967" s="29" cm="1">
        <f t="array" ref="P967">IF(表成绩单[[#This Row],[语文]]="","",SUMPRODUCT((表成绩单[考试日期]=表成绩单[[#This Row],[考试日期]])*(表成绩单[语文]&lt;9E+307)*(表成绩单[语文]&gt;表成绩单[[#This Row],[语文]]))+1)</f>
        <v>84</v>
      </c>
      <c r="Q967" s="29" cm="1">
        <f t="array" ref="Q967">IF(表成绩单[[#This Row],[数学]]="","",SUMPRODUCT((表成绩单[考试日期]=表成绩单[[#This Row],[考试日期]])*(表成绩单[数学]&lt;9E+307)*(表成绩单[数学]&gt;表成绩单[[#This Row],[数学]]))+1)</f>
        <v>201</v>
      </c>
      <c r="R967" s="29" cm="1">
        <f t="array" ref="R967">IF(表成绩单[[#This Row],[英语]]="","",SUMPRODUCT((表成绩单[考试日期]=表成绩单[[#This Row],[考试日期]])*(表成绩单[英语]&lt;9E+307)*(表成绩单[英语]&gt;表成绩单[[#This Row],[英语]]))+1)</f>
        <v>214</v>
      </c>
      <c r="S967" s="29" cm="1">
        <f t="array" ref="S967">IF(表成绩单[[#This Row],[物理]]="","",SUMPRODUCT((表成绩单[考试日期]=表成绩单[[#This Row],[考试日期]])*(表成绩单[物理]&lt;9E+307)*(表成绩单[物理]&gt;表成绩单[[#This Row],[物理]]))+1)</f>
        <v>191</v>
      </c>
      <c r="T967" s="29" cm="1">
        <f t="array" ref="T967">IF(表成绩单[[#This Row],[化学]]="","",SUMPRODUCT((表成绩单[考试日期]=表成绩单[[#This Row],[考试日期]])*(表成绩单[化学]&lt;9E+307)*(表成绩单[化学]&gt;表成绩单[[#This Row],[化学]]))+1)</f>
        <v>140</v>
      </c>
      <c r="U967" s="29" cm="1">
        <f t="array" ref="U967">IF(表成绩单[[#This Row],[政治]]="","",SUMPRODUCT((表成绩单[考试日期]=表成绩单[[#This Row],[考试日期]])*(表成绩单[政治]&lt;9E+307)*(表成绩单[政治]&gt;表成绩单[[#This Row],[政治]]))+1)</f>
        <v>360</v>
      </c>
      <c r="V967" s="29" cm="1">
        <f t="array" ref="V967">IF(表成绩单[[#This Row],[历史]]="","",SUMPRODUCT((表成绩单[考试日期]=表成绩单[[#This Row],[考试日期]])*(表成绩单[历史]&lt;9E+307)*(表成绩单[历史]&gt;表成绩单[[#This Row],[历史]]))+1)</f>
        <v>30</v>
      </c>
      <c r="W967" s="29" cm="1">
        <f t="array" ref="W967">IF(表成绩单[[#This Row],[总分]]="","",SUMPRODUCT((表成绩单[考试日期]=表成绩单[[#This Row],[考试日期]])*(表成绩单[总分]&lt;9E+307)*(表成绩单[总分]&gt;表成绩单[[#This Row],[总分]]))+1)</f>
        <v>162</v>
      </c>
    </row>
    <row r="968" ht="28" customHeight="1" spans="4:23">
      <c r="D968" s="31">
        <v>46003</v>
      </c>
      <c r="E968" s="29">
        <v>19173761</v>
      </c>
      <c r="F968" s="29" t="s">
        <v>65</v>
      </c>
      <c r="G968" s="29" t="s">
        <v>217</v>
      </c>
      <c r="H968" s="29">
        <v>112</v>
      </c>
      <c r="I968" s="29">
        <v>81</v>
      </c>
      <c r="J968" s="29">
        <v>72.5</v>
      </c>
      <c r="K968" s="29">
        <v>95</v>
      </c>
      <c r="L968" s="29">
        <v>88</v>
      </c>
      <c r="M968" s="29">
        <v>81</v>
      </c>
      <c r="N968" s="29">
        <v>76</v>
      </c>
      <c r="O968" s="32">
        <v>605.5</v>
      </c>
      <c r="P968" s="29" cm="1">
        <f t="array" ref="P968">IF(表成绩单[[#This Row],[语文]]="","",SUMPRODUCT((表成绩单[考试日期]=表成绩单[[#This Row],[考试日期]])*(表成绩单[语文]&lt;9E+307)*(表成绩单[语文]&gt;表成绩单[[#This Row],[语文]]))+1)</f>
        <v>36</v>
      </c>
      <c r="Q968" s="29" cm="1">
        <f t="array" ref="Q968">IF(表成绩单[[#This Row],[数学]]="","",SUMPRODUCT((表成绩单[考试日期]=表成绩单[[#This Row],[考试日期]])*(表成绩单[数学]&lt;9E+307)*(表成绩单[数学]&gt;表成绩单[[#This Row],[数学]]))+1)</f>
        <v>302</v>
      </c>
      <c r="R968" s="29" cm="1">
        <f t="array" ref="R968">IF(表成绩单[[#This Row],[英语]]="","",SUMPRODUCT((表成绩单[考试日期]=表成绩单[[#This Row],[考试日期]])*(表成绩单[英语]&lt;9E+307)*(表成绩单[英语]&gt;表成绩单[[#This Row],[英语]]))+1)</f>
        <v>373</v>
      </c>
      <c r="S968" s="29" cm="1">
        <f t="array" ref="S968">IF(表成绩单[[#This Row],[物理]]="","",SUMPRODUCT((表成绩单[考试日期]=表成绩单[[#This Row],[考试日期]])*(表成绩单[物理]&lt;9E+307)*(表成绩单[物理]&gt;表成绩单[[#This Row],[物理]]))+1)</f>
        <v>97</v>
      </c>
      <c r="T968" s="29" cm="1">
        <f t="array" ref="T968">IF(表成绩单[[#This Row],[化学]]="","",SUMPRODUCT((表成绩单[考试日期]=表成绩单[[#This Row],[考试日期]])*(表成绩单[化学]&lt;9E+307)*(表成绩单[化学]&gt;表成绩单[[#This Row],[化学]]))+1)</f>
        <v>175</v>
      </c>
      <c r="U968" s="29" cm="1">
        <f t="array" ref="U968">IF(表成绩单[[#This Row],[政治]]="","",SUMPRODUCT((表成绩单[考试日期]=表成绩单[[#This Row],[考试日期]])*(表成绩单[政治]&lt;9E+307)*(表成绩单[政治]&gt;表成绩单[[#This Row],[政治]]))+1)</f>
        <v>22</v>
      </c>
      <c r="V968" s="29" cm="1">
        <f t="array" ref="V968">IF(表成绩单[[#This Row],[历史]]="","",SUMPRODUCT((表成绩单[考试日期]=表成绩单[[#This Row],[考试日期]])*(表成绩单[历史]&lt;9E+307)*(表成绩单[历史]&gt;表成绩单[[#This Row],[历史]]))+1)</f>
        <v>279</v>
      </c>
      <c r="W968" s="29" cm="1">
        <f t="array" ref="W968">IF(表成绩单[[#This Row],[总分]]="","",SUMPRODUCT((表成绩单[考试日期]=表成绩单[[#This Row],[考试日期]])*(表成绩单[总分]&lt;9E+307)*(表成绩单[总分]&gt;表成绩单[[#This Row],[总分]]))+1)</f>
        <v>163</v>
      </c>
    </row>
    <row r="969" ht="28" customHeight="1" spans="4:23">
      <c r="D969" s="31">
        <v>46003</v>
      </c>
      <c r="E969" s="29">
        <v>19174458</v>
      </c>
      <c r="F969" s="29" t="s">
        <v>73</v>
      </c>
      <c r="G969" s="29" t="s">
        <v>118</v>
      </c>
      <c r="H969" s="29">
        <v>115</v>
      </c>
      <c r="I969" s="29">
        <v>79</v>
      </c>
      <c r="J969" s="29">
        <v>84.5</v>
      </c>
      <c r="K969" s="29">
        <v>94</v>
      </c>
      <c r="L969" s="29">
        <v>91</v>
      </c>
      <c r="M969" s="29">
        <v>70</v>
      </c>
      <c r="N969" s="29">
        <v>72</v>
      </c>
      <c r="O969" s="32">
        <v>605.5</v>
      </c>
      <c r="P969" s="29" cm="1">
        <f t="array" ref="P969">IF(表成绩单[[#This Row],[语文]]="","",SUMPRODUCT((表成绩单[考试日期]=表成绩单[[#This Row],[考试日期]])*(表成绩单[语文]&lt;9E+307)*(表成绩单[语文]&gt;表成绩单[[#This Row],[语文]]))+1)</f>
        <v>7</v>
      </c>
      <c r="Q969" s="29" cm="1">
        <f t="array" ref="Q969">IF(表成绩单[[#This Row],[数学]]="","",SUMPRODUCT((表成绩单[考试日期]=表成绩单[[#This Row],[考试日期]])*(表成绩单[数学]&lt;9E+307)*(表成绩单[数学]&gt;表成绩单[[#This Row],[数学]]))+1)</f>
        <v>324</v>
      </c>
      <c r="R969" s="29" cm="1">
        <f t="array" ref="R969">IF(表成绩单[[#This Row],[英语]]="","",SUMPRODUCT((表成绩单[考试日期]=表成绩单[[#This Row],[考试日期]])*(表成绩单[英语]&lt;9E+307)*(表成绩单[英语]&gt;表成绩单[[#This Row],[英语]]))+1)</f>
        <v>37</v>
      </c>
      <c r="S969" s="29" cm="1">
        <f t="array" ref="S969">IF(表成绩单[[#This Row],[物理]]="","",SUMPRODUCT((表成绩单[考试日期]=表成绩单[[#This Row],[考试日期]])*(表成绩单[物理]&lt;9E+307)*(表成绩单[物理]&gt;表成绩单[[#This Row],[物理]]))+1)</f>
        <v>125</v>
      </c>
      <c r="T969" s="29" cm="1">
        <f t="array" ref="T969">IF(表成绩单[[#This Row],[化学]]="","",SUMPRODUCT((表成绩单[考试日期]=表成绩单[[#This Row],[考试日期]])*(表成绩单[化学]&lt;9E+307)*(表成绩单[化学]&gt;表成绩单[[#This Row],[化学]]))+1)</f>
        <v>127</v>
      </c>
      <c r="U969" s="29" cm="1">
        <f t="array" ref="U969">IF(表成绩单[[#This Row],[政治]]="","",SUMPRODUCT((表成绩单[考试日期]=表成绩单[[#This Row],[考试日期]])*(表成绩单[政治]&lt;9E+307)*(表成绩单[政治]&gt;表成绩单[[#This Row],[政治]]))+1)</f>
        <v>184</v>
      </c>
      <c r="V969" s="29" cm="1">
        <f t="array" ref="V969">IF(表成绩单[[#This Row],[历史]]="","",SUMPRODUCT((表成绩单[考试日期]=表成绩单[[#This Row],[考试日期]])*(表成绩单[历史]&lt;9E+307)*(表成绩单[历史]&gt;表成绩单[[#This Row],[历史]]))+1)</f>
        <v>439</v>
      </c>
      <c r="W969" s="29" cm="1">
        <f t="array" ref="W969">IF(表成绩单[[#This Row],[总分]]="","",SUMPRODUCT((表成绩单[考试日期]=表成绩单[[#This Row],[考试日期]])*(表成绩单[总分]&lt;9E+307)*(表成绩单[总分]&gt;表成绩单[[#This Row],[总分]]))+1)</f>
        <v>163</v>
      </c>
    </row>
    <row r="970" ht="28" customHeight="1" spans="4:23">
      <c r="D970" s="31">
        <v>46003</v>
      </c>
      <c r="E970" s="29">
        <v>19174797</v>
      </c>
      <c r="F970" s="29" t="s">
        <v>69</v>
      </c>
      <c r="G970" s="29" t="s">
        <v>176</v>
      </c>
      <c r="H970" s="29">
        <v>105</v>
      </c>
      <c r="I970" s="29">
        <v>102</v>
      </c>
      <c r="J970" s="29">
        <v>72.5</v>
      </c>
      <c r="K970" s="29">
        <v>90</v>
      </c>
      <c r="L970" s="29">
        <v>89</v>
      </c>
      <c r="M970" s="29">
        <v>68</v>
      </c>
      <c r="N970" s="29">
        <v>79</v>
      </c>
      <c r="O970" s="32">
        <v>605.5</v>
      </c>
      <c r="P970" s="29" cm="1">
        <f t="array" ref="P970">IF(表成绩单[[#This Row],[语文]]="","",SUMPRODUCT((表成绩单[考试日期]=表成绩单[[#This Row],[考试日期]])*(表成绩单[语文]&lt;9E+307)*(表成绩单[语文]&gt;表成绩单[[#This Row],[语文]]))+1)</f>
        <v>247</v>
      </c>
      <c r="Q970" s="29" cm="1">
        <f t="array" ref="Q970">IF(表成绩单[[#This Row],[数学]]="","",SUMPRODUCT((表成绩单[考试日期]=表成绩单[[#This Row],[考试日期]])*(表成绩单[数学]&lt;9E+307)*(表成绩单[数学]&gt;表成绩单[[#This Row],[数学]]))+1)</f>
        <v>52</v>
      </c>
      <c r="R970" s="29" cm="1">
        <f t="array" ref="R970">IF(表成绩单[[#This Row],[英语]]="","",SUMPRODUCT((表成绩单[考试日期]=表成绩单[[#This Row],[考试日期]])*(表成绩单[英语]&lt;9E+307)*(表成绩单[英语]&gt;表成绩单[[#This Row],[英语]]))+1)</f>
        <v>373</v>
      </c>
      <c r="S970" s="29" cm="1">
        <f t="array" ref="S970">IF(表成绩单[[#This Row],[物理]]="","",SUMPRODUCT((表成绩单[考试日期]=表成绩单[[#This Row],[考试日期]])*(表成绩单[物理]&lt;9E+307)*(表成绩单[物理]&gt;表成绩单[[#This Row],[物理]]))+1)</f>
        <v>237</v>
      </c>
      <c r="T970" s="29" cm="1">
        <f t="array" ref="T970">IF(表成绩单[[#This Row],[化学]]="","",SUMPRODUCT((表成绩单[考试日期]=表成绩单[[#This Row],[考试日期]])*(表成绩单[化学]&lt;9E+307)*(表成绩单[化学]&gt;表成绩单[[#This Row],[化学]]))+1)</f>
        <v>157</v>
      </c>
      <c r="U970" s="29" cm="1">
        <f t="array" ref="U970">IF(表成绩单[[#This Row],[政治]]="","",SUMPRODUCT((表成绩单[考试日期]=表成绩单[[#This Row],[考试日期]])*(表成绩单[政治]&lt;9E+307)*(表成绩单[政治]&gt;表成绩单[[#This Row],[政治]]))+1)</f>
        <v>237</v>
      </c>
      <c r="V970" s="29" cm="1">
        <f t="array" ref="V970">IF(表成绩单[[#This Row],[历史]]="","",SUMPRODUCT((表成绩单[考试日期]=表成绩单[[#This Row],[考试日期]])*(表成绩单[历史]&lt;9E+307)*(表成绩单[历史]&gt;表成绩单[[#This Row],[历史]]))+1)</f>
        <v>149</v>
      </c>
      <c r="W970" s="29" cm="1">
        <f t="array" ref="W970">IF(表成绩单[[#This Row],[总分]]="","",SUMPRODUCT((表成绩单[考试日期]=表成绩单[[#This Row],[考试日期]])*(表成绩单[总分]&lt;9E+307)*(表成绩单[总分]&gt;表成绩单[[#This Row],[总分]]))+1)</f>
        <v>163</v>
      </c>
    </row>
    <row r="971" ht="28" customHeight="1" spans="4:23">
      <c r="D971" s="31">
        <v>46003</v>
      </c>
      <c r="E971" s="29">
        <v>19175412</v>
      </c>
      <c r="F971" s="29" t="s">
        <v>74</v>
      </c>
      <c r="G971" s="29" t="s">
        <v>181</v>
      </c>
      <c r="H971" s="29">
        <v>105</v>
      </c>
      <c r="I971" s="29">
        <v>87</v>
      </c>
      <c r="J971" s="29">
        <v>83.5</v>
      </c>
      <c r="K971" s="29">
        <v>86</v>
      </c>
      <c r="L971" s="29">
        <v>87</v>
      </c>
      <c r="M971" s="29">
        <v>75</v>
      </c>
      <c r="N971" s="29">
        <v>82</v>
      </c>
      <c r="O971" s="32">
        <v>605.5</v>
      </c>
      <c r="P971" s="29" cm="1">
        <f t="array" ref="P971">IF(表成绩单[[#This Row],[语文]]="","",SUMPRODUCT((表成绩单[考试日期]=表成绩单[[#This Row],[考试日期]])*(表成绩单[语文]&lt;9E+307)*(表成绩单[语文]&gt;表成绩单[[#This Row],[语文]]))+1)</f>
        <v>247</v>
      </c>
      <c r="Q971" s="29" cm="1">
        <f t="array" ref="Q971">IF(表成绩单[[#This Row],[数学]]="","",SUMPRODUCT((表成绩单[考试日期]=表成绩单[[#This Row],[考试日期]])*(表成绩单[数学]&lt;9E+307)*(表成绩单[数学]&gt;表成绩单[[#This Row],[数学]]))+1)</f>
        <v>223</v>
      </c>
      <c r="R971" s="29" cm="1">
        <f t="array" ref="R971">IF(表成绩单[[#This Row],[英语]]="","",SUMPRODUCT((表成绩单[考试日期]=表成绩单[[#This Row],[考试日期]])*(表成绩单[英语]&lt;9E+307)*(表成绩单[英语]&gt;表成绩单[[#This Row],[英语]]))+1)</f>
        <v>57</v>
      </c>
      <c r="S971" s="29" cm="1">
        <f t="array" ref="S971">IF(表成绩单[[#This Row],[物理]]="","",SUMPRODUCT((表成绩单[考试日期]=表成绩单[[#This Row],[考试日期]])*(表成绩单[物理]&lt;9E+307)*(表成绩单[物理]&gt;表成绩单[[#This Row],[物理]]))+1)</f>
        <v>336</v>
      </c>
      <c r="T971" s="29" cm="1">
        <f t="array" ref="T971">IF(表成绩单[[#This Row],[化学]]="","",SUMPRODUCT((表成绩单[考试日期]=表成绩单[[#This Row],[考试日期]])*(表成绩单[化学]&lt;9E+307)*(表成绩单[化学]&gt;表成绩单[[#This Row],[化学]]))+1)</f>
        <v>201</v>
      </c>
      <c r="U971" s="29" cm="1">
        <f t="array" ref="U971">IF(表成绩单[[#This Row],[政治]]="","",SUMPRODUCT((表成绩单[考试日期]=表成绩单[[#This Row],[考试日期]])*(表成绩单[政治]&lt;9E+307)*(表成绩单[政治]&gt;表成绩单[[#This Row],[政治]]))+1)</f>
        <v>102</v>
      </c>
      <c r="V971" s="29" cm="1">
        <f t="array" ref="V971">IF(表成绩单[[#This Row],[历史]]="","",SUMPRODUCT((表成绩单[考试日期]=表成绩单[[#This Row],[考试日期]])*(表成绩单[历史]&lt;9E+307)*(表成绩单[历史]&gt;表成绩单[[#This Row],[历史]]))+1)</f>
        <v>66</v>
      </c>
      <c r="W971" s="29" cm="1">
        <f t="array" ref="W971">IF(表成绩单[[#This Row],[总分]]="","",SUMPRODUCT((表成绩单[考试日期]=表成绩单[[#This Row],[考试日期]])*(表成绩单[总分]&lt;9E+307)*(表成绩单[总分]&gt;表成绩单[[#This Row],[总分]]))+1)</f>
        <v>163</v>
      </c>
    </row>
    <row r="972" ht="28" customHeight="1" spans="4:23">
      <c r="D972" s="31">
        <v>46003</v>
      </c>
      <c r="E972" s="29">
        <v>19176168</v>
      </c>
      <c r="F972" s="29" t="s">
        <v>67</v>
      </c>
      <c r="G972" s="29" t="s">
        <v>390</v>
      </c>
      <c r="H972" s="29">
        <v>108</v>
      </c>
      <c r="I972" s="29">
        <v>93</v>
      </c>
      <c r="J972" s="29">
        <v>74</v>
      </c>
      <c r="K972" s="29">
        <v>96</v>
      </c>
      <c r="L972" s="29">
        <v>94</v>
      </c>
      <c r="M972" s="29">
        <v>65</v>
      </c>
      <c r="N972" s="29">
        <v>75</v>
      </c>
      <c r="O972" s="32">
        <v>605</v>
      </c>
      <c r="P972" s="29" cm="1">
        <f t="array" ref="P972">IF(表成绩单[[#This Row],[语文]]="","",SUMPRODUCT((表成绩单[考试日期]=表成绩单[[#This Row],[考试日期]])*(表成绩单[语文]&lt;9E+307)*(表成绩单[语文]&gt;表成绩单[[#This Row],[语文]]))+1)</f>
        <v>154</v>
      </c>
      <c r="Q972" s="29" cm="1">
        <f t="array" ref="Q972">IF(表成绩单[[#This Row],[数学]]="","",SUMPRODUCT((表成绩单[考试日期]=表成绩单[[#This Row],[考试日期]])*(表成绩单[数学]&lt;9E+307)*(表成绩单[数学]&gt;表成绩单[[#This Row],[数学]]))+1)</f>
        <v>155</v>
      </c>
      <c r="R972" s="29" cm="1">
        <f t="array" ref="R972">IF(表成绩单[[#This Row],[英语]]="","",SUMPRODUCT((表成绩单[考试日期]=表成绩单[[#This Row],[考试日期]])*(表成绩单[英语]&lt;9E+307)*(表成绩单[英语]&gt;表成绩单[[#This Row],[英语]]))+1)</f>
        <v>344</v>
      </c>
      <c r="S972" s="29" cm="1">
        <f t="array" ref="S972">IF(表成绩单[[#This Row],[物理]]="","",SUMPRODUCT((表成绩单[考试日期]=表成绩单[[#This Row],[考试日期]])*(表成绩单[物理]&lt;9E+307)*(表成绩单[物理]&gt;表成绩单[[#This Row],[物理]]))+1)</f>
        <v>64</v>
      </c>
      <c r="T972" s="29" cm="1">
        <f t="array" ref="T972">IF(表成绩单[[#This Row],[化学]]="","",SUMPRODUCT((表成绩单[考试日期]=表成绩单[[#This Row],[考试日期]])*(表成绩单[化学]&lt;9E+307)*(表成绩单[化学]&gt;表成绩单[[#This Row],[化学]]))+1)</f>
        <v>56</v>
      </c>
      <c r="U972" s="29" cm="1">
        <f t="array" ref="U972">IF(表成绩单[[#This Row],[政治]]="","",SUMPRODUCT((表成绩单[考试日期]=表成绩单[[#This Row],[考试日期]])*(表成绩单[政治]&lt;9E+307)*(表成绩单[政治]&gt;表成绩单[[#This Row],[政治]]))+1)</f>
        <v>314</v>
      </c>
      <c r="V972" s="29" cm="1">
        <f t="array" ref="V972">IF(表成绩单[[#This Row],[历史]]="","",SUMPRODUCT((表成绩单[考试日期]=表成绩单[[#This Row],[考试日期]])*(表成绩单[历史]&lt;9E+307)*(表成绩单[历史]&gt;表成绩单[[#This Row],[历史]]))+1)</f>
        <v>329</v>
      </c>
      <c r="W972" s="29" cm="1">
        <f t="array" ref="W972">IF(表成绩单[[#This Row],[总分]]="","",SUMPRODUCT((表成绩单[考试日期]=表成绩单[[#This Row],[考试日期]])*(表成绩单[总分]&lt;9E+307)*(表成绩单[总分]&gt;表成绩单[[#This Row],[总分]]))+1)</f>
        <v>167</v>
      </c>
    </row>
    <row r="973" ht="28" customHeight="1" spans="4:23">
      <c r="D973" s="31">
        <v>46003</v>
      </c>
      <c r="E973" s="29">
        <v>19177219</v>
      </c>
      <c r="F973" s="29" t="s">
        <v>70</v>
      </c>
      <c r="G973" s="29" t="s">
        <v>170</v>
      </c>
      <c r="H973" s="29">
        <v>103</v>
      </c>
      <c r="I973" s="29">
        <v>98</v>
      </c>
      <c r="J973" s="29">
        <v>75</v>
      </c>
      <c r="K973" s="29">
        <v>95</v>
      </c>
      <c r="L973" s="29">
        <v>79</v>
      </c>
      <c r="M973" s="29">
        <v>73</v>
      </c>
      <c r="N973" s="29">
        <v>82</v>
      </c>
      <c r="O973" s="32">
        <v>605</v>
      </c>
      <c r="P973" s="29" cm="1">
        <f t="array" ref="P973">IF(表成绩单[[#This Row],[语文]]="","",SUMPRODUCT((表成绩单[考试日期]=表成绩单[[#This Row],[考试日期]])*(表成绩单[语文]&lt;9E+307)*(表成绩单[语文]&gt;表成绩单[[#This Row],[语文]]))+1)</f>
        <v>333</v>
      </c>
      <c r="Q973" s="29" cm="1">
        <f t="array" ref="Q973">IF(表成绩单[[#This Row],[数学]]="","",SUMPRODUCT((表成绩单[考试日期]=表成绩单[[#This Row],[考试日期]])*(表成绩单[数学]&lt;9E+307)*(表成绩单[数学]&gt;表成绩单[[#This Row],[数学]]))+1)</f>
        <v>93</v>
      </c>
      <c r="R973" s="29" cm="1">
        <f t="array" ref="R973">IF(表成绩单[[#This Row],[英语]]="","",SUMPRODUCT((表成绩单[考试日期]=表成绩单[[#This Row],[考试日期]])*(表成绩单[英语]&lt;9E+307)*(表成绩单[英语]&gt;表成绩单[[#This Row],[英语]]))+1)</f>
        <v>314</v>
      </c>
      <c r="S973" s="29" cm="1">
        <f t="array" ref="S973">IF(表成绩单[[#This Row],[物理]]="","",SUMPRODUCT((表成绩单[考试日期]=表成绩单[[#This Row],[考试日期]])*(表成绩单[物理]&lt;9E+307)*(表成绩单[物理]&gt;表成绩单[[#This Row],[物理]]))+1)</f>
        <v>97</v>
      </c>
      <c r="T973" s="29" cm="1">
        <f t="array" ref="T973">IF(表成绩单[[#This Row],[化学]]="","",SUMPRODUCT((表成绩单[考试日期]=表成绩单[[#This Row],[考试日期]])*(表成绩单[化学]&lt;9E+307)*(表成绩单[化学]&gt;表成绩单[[#This Row],[化学]]))+1)</f>
        <v>351</v>
      </c>
      <c r="U973" s="29" cm="1">
        <f t="array" ref="U973">IF(表成绩单[[#This Row],[政治]]="","",SUMPRODUCT((表成绩单[考试日期]=表成绩单[[#This Row],[考试日期]])*(表成绩单[政治]&lt;9E+307)*(表成绩单[政治]&gt;表成绩单[[#This Row],[政治]]))+1)</f>
        <v>139</v>
      </c>
      <c r="V973" s="29" cm="1">
        <f t="array" ref="V973">IF(表成绩单[[#This Row],[历史]]="","",SUMPRODUCT((表成绩单[考试日期]=表成绩单[[#This Row],[考试日期]])*(表成绩单[历史]&lt;9E+307)*(表成绩单[历史]&gt;表成绩单[[#This Row],[历史]]))+1)</f>
        <v>66</v>
      </c>
      <c r="W973" s="29" cm="1">
        <f t="array" ref="W973">IF(表成绩单[[#This Row],[总分]]="","",SUMPRODUCT((表成绩单[考试日期]=表成绩单[[#This Row],[考试日期]])*(表成绩单[总分]&lt;9E+307)*(表成绩单[总分]&gt;表成绩单[[#This Row],[总分]]))+1)</f>
        <v>167</v>
      </c>
    </row>
    <row r="974" ht="28" customHeight="1" spans="4:23">
      <c r="D974" s="31">
        <v>46003</v>
      </c>
      <c r="E974" s="29">
        <v>19173247</v>
      </c>
      <c r="F974" s="29" t="s">
        <v>61</v>
      </c>
      <c r="G974" s="29" t="s">
        <v>175</v>
      </c>
      <c r="H974" s="29">
        <v>103</v>
      </c>
      <c r="I974" s="29">
        <v>82</v>
      </c>
      <c r="J974" s="29">
        <v>77</v>
      </c>
      <c r="K974" s="29">
        <v>96</v>
      </c>
      <c r="L974" s="29">
        <v>85</v>
      </c>
      <c r="M974" s="29">
        <v>81</v>
      </c>
      <c r="N974" s="29">
        <v>80</v>
      </c>
      <c r="O974" s="32">
        <v>604</v>
      </c>
      <c r="P974" s="29" cm="1">
        <f t="array" ref="P974">IF(表成绩单[[#This Row],[语文]]="","",SUMPRODUCT((表成绩单[考试日期]=表成绩单[[#This Row],[考试日期]])*(表成绩单[语文]&lt;9E+307)*(表成绩单[语文]&gt;表成绩单[[#This Row],[语文]]))+1)</f>
        <v>333</v>
      </c>
      <c r="Q974" s="29" cm="1">
        <f t="array" ref="Q974">IF(表成绩单[[#This Row],[数学]]="","",SUMPRODUCT((表成绩单[考试日期]=表成绩单[[#This Row],[考试日期]])*(表成绩单[数学]&lt;9E+307)*(表成绩单[数学]&gt;表成绩单[[#This Row],[数学]]))+1)</f>
        <v>290</v>
      </c>
      <c r="R974" s="29" cm="1">
        <f t="array" ref="R974">IF(表成绩单[[#This Row],[英语]]="","",SUMPRODUCT((表成绩单[考试日期]=表成绩单[[#This Row],[考试日期]])*(表成绩单[英语]&lt;9E+307)*(表成绩单[英语]&gt;表成绩单[[#This Row],[英语]]))+1)</f>
        <v>255</v>
      </c>
      <c r="S974" s="29" cm="1">
        <f t="array" ref="S974">IF(表成绩单[[#This Row],[物理]]="","",SUMPRODUCT((表成绩单[考试日期]=表成绩单[[#This Row],[考试日期]])*(表成绩单[物理]&lt;9E+307)*(表成绩单[物理]&gt;表成绩单[[#This Row],[物理]]))+1)</f>
        <v>64</v>
      </c>
      <c r="T974" s="29" cm="1">
        <f t="array" ref="T974">IF(表成绩单[[#This Row],[化学]]="","",SUMPRODUCT((表成绩单[考试日期]=表成绩单[[#This Row],[考试日期]])*(表成绩单[化学]&lt;9E+307)*(表成绩单[化学]&gt;表成绩单[[#This Row],[化学]]))+1)</f>
        <v>240</v>
      </c>
      <c r="U974" s="29" cm="1">
        <f t="array" ref="U974">IF(表成绩单[[#This Row],[政治]]="","",SUMPRODUCT((表成绩单[考试日期]=表成绩单[[#This Row],[考试日期]])*(表成绩单[政治]&lt;9E+307)*(表成绩单[政治]&gt;表成绩单[[#This Row],[政治]]))+1)</f>
        <v>22</v>
      </c>
      <c r="V974" s="29" cm="1">
        <f t="array" ref="V974">IF(表成绩单[[#This Row],[历史]]="","",SUMPRODUCT((表成绩单[考试日期]=表成绩单[[#This Row],[考试日期]])*(表成绩单[历史]&lt;9E+307)*(表成绩单[历史]&gt;表成绩单[[#This Row],[历史]]))+1)</f>
        <v>116</v>
      </c>
      <c r="W974" s="29" cm="1">
        <f t="array" ref="W974">IF(表成绩单[[#This Row],[总分]]="","",SUMPRODUCT((表成绩单[考试日期]=表成绩单[[#This Row],[考试日期]])*(表成绩单[总分]&lt;9E+307)*(表成绩单[总分]&gt;表成绩单[[#This Row],[总分]]))+1)</f>
        <v>169</v>
      </c>
    </row>
    <row r="975" ht="28" customHeight="1" spans="4:23">
      <c r="D975" s="31">
        <v>46003</v>
      </c>
      <c r="E975" s="29">
        <v>19176175</v>
      </c>
      <c r="F975" s="29" t="s">
        <v>67</v>
      </c>
      <c r="G975" s="29" t="s">
        <v>276</v>
      </c>
      <c r="H975" s="29">
        <v>112</v>
      </c>
      <c r="I975" s="29">
        <v>84</v>
      </c>
      <c r="J975" s="29">
        <v>82</v>
      </c>
      <c r="K975" s="29">
        <v>95</v>
      </c>
      <c r="L975" s="29">
        <v>87</v>
      </c>
      <c r="M975" s="29">
        <v>62</v>
      </c>
      <c r="N975" s="29">
        <v>82</v>
      </c>
      <c r="O975" s="32">
        <v>604</v>
      </c>
      <c r="P975" s="29" cm="1">
        <f t="array" ref="P975">IF(表成绩单[[#This Row],[语文]]="","",SUMPRODUCT((表成绩单[考试日期]=表成绩单[[#This Row],[考试日期]])*(表成绩单[语文]&lt;9E+307)*(表成绩单[语文]&gt;表成绩单[[#This Row],[语文]]))+1)</f>
        <v>36</v>
      </c>
      <c r="Q975" s="29" cm="1">
        <f t="array" ref="Q975">IF(表成绩单[[#This Row],[数学]]="","",SUMPRODUCT((表成绩单[考试日期]=表成绩单[[#This Row],[考试日期]])*(表成绩单[数学]&lt;9E+307)*(表成绩单[数学]&gt;表成绩单[[#This Row],[数学]]))+1)</f>
        <v>259</v>
      </c>
      <c r="R975" s="29" cm="1">
        <f t="array" ref="R975">IF(表成绩单[[#This Row],[英语]]="","",SUMPRODUCT((表成绩单[考试日期]=表成绩单[[#This Row],[考试日期]])*(表成绩单[英语]&lt;9E+307)*(表成绩单[英语]&gt;表成绩单[[#This Row],[英语]]))+1)</f>
        <v>96</v>
      </c>
      <c r="S975" s="29" cm="1">
        <f t="array" ref="S975">IF(表成绩单[[#This Row],[物理]]="","",SUMPRODUCT((表成绩单[考试日期]=表成绩单[[#This Row],[考试日期]])*(表成绩单[物理]&lt;9E+307)*(表成绩单[物理]&gt;表成绩单[[#This Row],[物理]]))+1)</f>
        <v>97</v>
      </c>
      <c r="T975" s="29" cm="1">
        <f t="array" ref="T975">IF(表成绩单[[#This Row],[化学]]="","",SUMPRODUCT((表成绩单[考试日期]=表成绩单[[#This Row],[考试日期]])*(表成绩单[化学]&lt;9E+307)*(表成绩单[化学]&gt;表成绩单[[#This Row],[化学]]))+1)</f>
        <v>201</v>
      </c>
      <c r="U975" s="29" cm="1">
        <f t="array" ref="U975">IF(表成绩单[[#This Row],[政治]]="","",SUMPRODUCT((表成绩单[考试日期]=表成绩单[[#This Row],[考试日期]])*(表成绩单[政治]&lt;9E+307)*(表成绩单[政治]&gt;表成绩单[[#This Row],[政治]]))+1)</f>
        <v>381</v>
      </c>
      <c r="V975" s="29" cm="1">
        <f t="array" ref="V975">IF(表成绩单[[#This Row],[历史]]="","",SUMPRODUCT((表成绩单[考试日期]=表成绩单[[#This Row],[考试日期]])*(表成绩单[历史]&lt;9E+307)*(表成绩单[历史]&gt;表成绩单[[#This Row],[历史]]))+1)</f>
        <v>66</v>
      </c>
      <c r="W975" s="29" cm="1">
        <f t="array" ref="W975">IF(表成绩单[[#This Row],[总分]]="","",SUMPRODUCT((表成绩单[考试日期]=表成绩单[[#This Row],[考试日期]])*(表成绩单[总分]&lt;9E+307)*(表成绩单[总分]&gt;表成绩单[[#This Row],[总分]]))+1)</f>
        <v>169</v>
      </c>
    </row>
    <row r="976" ht="28" customHeight="1" spans="4:23">
      <c r="D976" s="31">
        <v>46003</v>
      </c>
      <c r="E976" s="29">
        <v>19177213</v>
      </c>
      <c r="F976" s="29" t="s">
        <v>70</v>
      </c>
      <c r="G976" s="29" t="s">
        <v>282</v>
      </c>
      <c r="H976" s="29">
        <v>104</v>
      </c>
      <c r="I976" s="29">
        <v>86</v>
      </c>
      <c r="J976" s="29">
        <v>79</v>
      </c>
      <c r="K976" s="29">
        <v>94</v>
      </c>
      <c r="L976" s="29">
        <v>91</v>
      </c>
      <c r="M976" s="29">
        <v>65</v>
      </c>
      <c r="N976" s="29">
        <v>85</v>
      </c>
      <c r="O976" s="32">
        <v>604</v>
      </c>
      <c r="P976" s="29" cm="1">
        <f t="array" ref="P976">IF(表成绩单[[#This Row],[语文]]="","",SUMPRODUCT((表成绩单[考试日期]=表成绩单[[#This Row],[考试日期]])*(表成绩单[语文]&lt;9E+307)*(表成绩单[语文]&gt;表成绩单[[#This Row],[语文]]))+1)</f>
        <v>290</v>
      </c>
      <c r="Q976" s="29" cm="1">
        <f t="array" ref="Q976">IF(表成绩单[[#This Row],[数学]]="","",SUMPRODUCT((表成绩单[考试日期]=表成绩单[[#This Row],[考试日期]])*(表成绩单[数学]&lt;9E+307)*(表成绩单[数学]&gt;表成绩单[[#This Row],[数学]]))+1)</f>
        <v>231</v>
      </c>
      <c r="R976" s="29" cm="1">
        <f t="array" ref="R976">IF(表成绩单[[#This Row],[英语]]="","",SUMPRODUCT((表成绩单[考试日期]=表成绩单[[#This Row],[考试日期]])*(表成绩单[英语]&lt;9E+307)*(表成绩单[英语]&gt;表成绩单[[#This Row],[英语]]))+1)</f>
        <v>188</v>
      </c>
      <c r="S976" s="29" cm="1">
        <f t="array" ref="S976">IF(表成绩单[[#This Row],[物理]]="","",SUMPRODUCT((表成绩单[考试日期]=表成绩单[[#This Row],[考试日期]])*(表成绩单[物理]&lt;9E+307)*(表成绩单[物理]&gt;表成绩单[[#This Row],[物理]]))+1)</f>
        <v>125</v>
      </c>
      <c r="T976" s="29" cm="1">
        <f t="array" ref="T976">IF(表成绩单[[#This Row],[化学]]="","",SUMPRODUCT((表成绩单[考试日期]=表成绩单[[#This Row],[考试日期]])*(表成绩单[化学]&lt;9E+307)*(表成绩单[化学]&gt;表成绩单[[#This Row],[化学]]))+1)</f>
        <v>127</v>
      </c>
      <c r="U976" s="29" cm="1">
        <f t="array" ref="U976">IF(表成绩单[[#This Row],[政治]]="","",SUMPRODUCT((表成绩单[考试日期]=表成绩单[[#This Row],[考试日期]])*(表成绩单[政治]&lt;9E+307)*(表成绩单[政治]&gt;表成绩单[[#This Row],[政治]]))+1)</f>
        <v>314</v>
      </c>
      <c r="V976" s="29" cm="1">
        <f t="array" ref="V976">IF(表成绩单[[#This Row],[历史]]="","",SUMPRODUCT((表成绩单[考试日期]=表成绩单[[#This Row],[考试日期]])*(表成绩单[历史]&lt;9E+307)*(表成绩单[历史]&gt;表成绩单[[#This Row],[历史]]))+1)</f>
        <v>12</v>
      </c>
      <c r="W976" s="29" cm="1">
        <f t="array" ref="W976">IF(表成绩单[[#This Row],[总分]]="","",SUMPRODUCT((表成绩单[考试日期]=表成绩单[[#This Row],[考试日期]])*(表成绩单[总分]&lt;9E+307)*(表成绩单[总分]&gt;表成绩单[[#This Row],[总分]]))+1)</f>
        <v>169</v>
      </c>
    </row>
    <row r="977" ht="28" customHeight="1" spans="4:23">
      <c r="D977" s="31">
        <v>46003</v>
      </c>
      <c r="E977" s="29">
        <v>19175671</v>
      </c>
      <c r="F977" s="29" t="s">
        <v>66</v>
      </c>
      <c r="G977" s="29" t="s">
        <v>381</v>
      </c>
      <c r="H977" s="29">
        <v>113</v>
      </c>
      <c r="I977" s="29">
        <v>101</v>
      </c>
      <c r="J977" s="29">
        <v>78.5</v>
      </c>
      <c r="K977" s="29">
        <v>92</v>
      </c>
      <c r="L977" s="29">
        <v>82</v>
      </c>
      <c r="M977" s="29">
        <v>62</v>
      </c>
      <c r="N977" s="29">
        <v>75</v>
      </c>
      <c r="O977" s="32">
        <v>603.5</v>
      </c>
      <c r="P977" s="29" cm="1">
        <f t="array" ref="P977">IF(表成绩单[[#This Row],[语文]]="","",SUMPRODUCT((表成绩单[考试日期]=表成绩单[[#This Row],[考试日期]])*(表成绩单[语文]&lt;9E+307)*(表成绩单[语文]&gt;表成绩单[[#This Row],[语文]]))+1)</f>
        <v>22</v>
      </c>
      <c r="Q977" s="29" cm="1">
        <f t="array" ref="Q977">IF(表成绩单[[#This Row],[数学]]="","",SUMPRODUCT((表成绩单[考试日期]=表成绩单[[#This Row],[考试日期]])*(表成绩单[数学]&lt;9E+307)*(表成绩单[数学]&gt;表成绩单[[#This Row],[数学]]))+1)</f>
        <v>68</v>
      </c>
      <c r="R977" s="29" cm="1">
        <f t="array" ref="R977">IF(表成绩单[[#This Row],[英语]]="","",SUMPRODUCT((表成绩单[考试日期]=表成绩单[[#This Row],[考试日期]])*(表成绩单[英语]&lt;9E+307)*(表成绩单[英语]&gt;表成绩单[[#This Row],[英语]]))+1)</f>
        <v>206</v>
      </c>
      <c r="S977" s="29" cm="1">
        <f t="array" ref="S977">IF(表成绩单[[#This Row],[物理]]="","",SUMPRODUCT((表成绩单[考试日期]=表成绩单[[#This Row],[考试日期]])*(表成绩单[物理]&lt;9E+307)*(表成绩单[物理]&gt;表成绩单[[#This Row],[物理]]))+1)</f>
        <v>191</v>
      </c>
      <c r="T977" s="29" cm="1">
        <f t="array" ref="T977">IF(表成绩单[[#This Row],[化学]]="","",SUMPRODUCT((表成绩单[考试日期]=表成绩单[[#This Row],[考试日期]])*(表成绩单[化学]&lt;9E+307)*(表成绩单[化学]&gt;表成绩单[[#This Row],[化学]]))+1)</f>
        <v>286</v>
      </c>
      <c r="U977" s="29" cm="1">
        <f t="array" ref="U977">IF(表成绩单[[#This Row],[政治]]="","",SUMPRODUCT((表成绩单[考试日期]=表成绩单[[#This Row],[考试日期]])*(表成绩单[政治]&lt;9E+307)*(表成绩单[政治]&gt;表成绩单[[#This Row],[政治]]))+1)</f>
        <v>381</v>
      </c>
      <c r="V977" s="29" cm="1">
        <f t="array" ref="V977">IF(表成绩单[[#This Row],[历史]]="","",SUMPRODUCT((表成绩单[考试日期]=表成绩单[[#This Row],[考试日期]])*(表成绩单[历史]&lt;9E+307)*(表成绩单[历史]&gt;表成绩单[[#This Row],[历史]]))+1)</f>
        <v>329</v>
      </c>
      <c r="W977" s="29" cm="1">
        <f t="array" ref="W977">IF(表成绩单[[#This Row],[总分]]="","",SUMPRODUCT((表成绩单[考试日期]=表成绩单[[#This Row],[考试日期]])*(表成绩单[总分]&lt;9E+307)*(表成绩单[总分]&gt;表成绩单[[#This Row],[总分]]))+1)</f>
        <v>172</v>
      </c>
    </row>
    <row r="978" ht="28" customHeight="1" spans="4:23">
      <c r="D978" s="31">
        <v>46003</v>
      </c>
      <c r="E978" s="29">
        <v>19176873</v>
      </c>
      <c r="F978" s="29" t="s">
        <v>71</v>
      </c>
      <c r="G978" s="29" t="s">
        <v>257</v>
      </c>
      <c r="H978" s="29">
        <v>109</v>
      </c>
      <c r="I978" s="29">
        <v>106</v>
      </c>
      <c r="J978" s="29">
        <v>70.5</v>
      </c>
      <c r="K978" s="29">
        <v>92</v>
      </c>
      <c r="L978" s="29">
        <v>86</v>
      </c>
      <c r="M978" s="29">
        <v>64</v>
      </c>
      <c r="N978" s="29">
        <v>76</v>
      </c>
      <c r="O978" s="32">
        <v>603.5</v>
      </c>
      <c r="P978" s="29" cm="1">
        <f t="array" ref="P978">IF(表成绩单[[#This Row],[语文]]="","",SUMPRODUCT((表成绩单[考试日期]=表成绩单[[#This Row],[考试日期]])*(表成绩单[语文]&lt;9E+307)*(表成绩单[语文]&gt;表成绩单[[#This Row],[语文]]))+1)</f>
        <v>111</v>
      </c>
      <c r="Q978" s="29" cm="1">
        <f t="array" ref="Q978">IF(表成绩单[[#This Row],[数学]]="","",SUMPRODUCT((表成绩单[考试日期]=表成绩单[[#This Row],[考试日期]])*(表成绩单[数学]&lt;9E+307)*(表成绩单[数学]&gt;表成绩单[[#This Row],[数学]]))+1)</f>
        <v>23</v>
      </c>
      <c r="R978" s="29" cm="1">
        <f t="array" ref="R978">IF(表成绩单[[#This Row],[英语]]="","",SUMPRODUCT((表成绩单[考试日期]=表成绩单[[#This Row],[考试日期]])*(表成绩单[英语]&lt;9E+307)*(表成绩单[英语]&gt;表成绩单[[#This Row],[英语]]))+1)</f>
        <v>413</v>
      </c>
      <c r="S978" s="29" cm="1">
        <f t="array" ref="S978">IF(表成绩单[[#This Row],[物理]]="","",SUMPRODUCT((表成绩单[考试日期]=表成绩单[[#This Row],[考试日期]])*(表成绩单[物理]&lt;9E+307)*(表成绩单[物理]&gt;表成绩单[[#This Row],[物理]]))+1)</f>
        <v>191</v>
      </c>
      <c r="T978" s="29" cm="1">
        <f t="array" ref="T978">IF(表成绩单[[#This Row],[化学]]="","",SUMPRODUCT((表成绩单[考试日期]=表成绩单[[#This Row],[考试日期]])*(表成绩单[化学]&lt;9E+307)*(表成绩单[化学]&gt;表成绩单[[#This Row],[化学]]))+1)</f>
        <v>223</v>
      </c>
      <c r="U978" s="29" cm="1">
        <f t="array" ref="U978">IF(表成绩单[[#This Row],[政治]]="","",SUMPRODUCT((表成绩单[考试日期]=表成绩单[[#This Row],[考试日期]])*(表成绩单[政治]&lt;9E+307)*(表成绩单[政治]&gt;表成绩单[[#This Row],[政治]]))+1)</f>
        <v>337</v>
      </c>
      <c r="V978" s="29" cm="1">
        <f t="array" ref="V978">IF(表成绩单[[#This Row],[历史]]="","",SUMPRODUCT((表成绩单[考试日期]=表成绩单[[#This Row],[考试日期]])*(表成绩单[历史]&lt;9E+307)*(表成绩单[历史]&gt;表成绩单[[#This Row],[历史]]))+1)</f>
        <v>279</v>
      </c>
      <c r="W978" s="29" cm="1">
        <f t="array" ref="W978">IF(表成绩单[[#This Row],[总分]]="","",SUMPRODUCT((表成绩单[考试日期]=表成绩单[[#This Row],[考试日期]])*(表成绩单[总分]&lt;9E+307)*(表成绩单[总分]&gt;表成绩单[[#This Row],[总分]]))+1)</f>
        <v>172</v>
      </c>
    </row>
    <row r="979" ht="28" customHeight="1" spans="4:23">
      <c r="D979" s="31">
        <v>46003</v>
      </c>
      <c r="E979" s="29">
        <v>19177232</v>
      </c>
      <c r="F979" s="29" t="s">
        <v>70</v>
      </c>
      <c r="G979" s="29" t="s">
        <v>293</v>
      </c>
      <c r="H979" s="29">
        <v>100</v>
      </c>
      <c r="I979" s="29">
        <v>94</v>
      </c>
      <c r="J979" s="29">
        <v>76.5</v>
      </c>
      <c r="K979" s="29">
        <v>96</v>
      </c>
      <c r="L979" s="29">
        <v>97</v>
      </c>
      <c r="M979" s="29">
        <v>61</v>
      </c>
      <c r="N979" s="29">
        <v>79</v>
      </c>
      <c r="O979" s="32">
        <v>603.5</v>
      </c>
      <c r="P979" s="29" cm="1">
        <f t="array" ref="P979">IF(表成绩单[[#This Row],[语文]]="","",SUMPRODUCT((表成绩单[考试日期]=表成绩单[[#This Row],[考试日期]])*(表成绩单[语文]&lt;9E+307)*(表成绩单[语文]&gt;表成绩单[[#This Row],[语文]]))+1)</f>
        <v>414</v>
      </c>
      <c r="Q979" s="29" cm="1">
        <f t="array" ref="Q979">IF(表成绩单[[#This Row],[数学]]="","",SUMPRODUCT((表成绩单[考试日期]=表成绩单[[#This Row],[考试日期]])*(表成绩单[数学]&lt;9E+307)*(表成绩单[数学]&gt;表成绩单[[#This Row],[数学]]))+1)</f>
        <v>142</v>
      </c>
      <c r="R979" s="29" cm="1">
        <f t="array" ref="R979">IF(表成绩单[[#This Row],[英语]]="","",SUMPRODUCT((表成绩单[考试日期]=表成绩单[[#This Row],[考试日期]])*(表成绩单[英语]&lt;9E+307)*(表成绩单[英语]&gt;表成绩单[[#This Row],[英语]]))+1)</f>
        <v>272</v>
      </c>
      <c r="S979" s="29" cm="1">
        <f t="array" ref="S979">IF(表成绩单[[#This Row],[物理]]="","",SUMPRODUCT((表成绩单[考试日期]=表成绩单[[#This Row],[考试日期]])*(表成绩单[物理]&lt;9E+307)*(表成绩单[物理]&gt;表成绩单[[#This Row],[物理]]))+1)</f>
        <v>64</v>
      </c>
      <c r="T979" s="29" cm="1">
        <f t="array" ref="T979">IF(表成绩单[[#This Row],[化学]]="","",SUMPRODUCT((表成绩单[考试日期]=表成绩单[[#This Row],[考试日期]])*(表成绩单[化学]&lt;9E+307)*(表成绩单[化学]&gt;表成绩单[[#This Row],[化学]]))+1)</f>
        <v>13</v>
      </c>
      <c r="U979" s="29" cm="1">
        <f t="array" ref="U979">IF(表成绩单[[#This Row],[政治]]="","",SUMPRODUCT((表成绩单[考试日期]=表成绩单[[#This Row],[考试日期]])*(表成绩单[政治]&lt;9E+307)*(表成绩单[政治]&gt;表成绩单[[#This Row],[政治]]))+1)</f>
        <v>400</v>
      </c>
      <c r="V979" s="29" cm="1">
        <f t="array" ref="V979">IF(表成绩单[[#This Row],[历史]]="","",SUMPRODUCT((表成绩单[考试日期]=表成绩单[[#This Row],[考试日期]])*(表成绩单[历史]&lt;9E+307)*(表成绩单[历史]&gt;表成绩单[[#This Row],[历史]]))+1)</f>
        <v>149</v>
      </c>
      <c r="W979" s="29" cm="1">
        <f t="array" ref="W979">IF(表成绩单[[#This Row],[总分]]="","",SUMPRODUCT((表成绩单[考试日期]=表成绩单[[#This Row],[考试日期]])*(表成绩单[总分]&lt;9E+307)*(表成绩单[总分]&gt;表成绩单[[#This Row],[总分]]))+1)</f>
        <v>172</v>
      </c>
    </row>
    <row r="980" ht="28" customHeight="1" spans="4:23">
      <c r="D980" s="31">
        <v>46003</v>
      </c>
      <c r="E980" s="29">
        <v>19167648</v>
      </c>
      <c r="F980" s="29" t="s">
        <v>1</v>
      </c>
      <c r="G980" s="29" t="s">
        <v>205</v>
      </c>
      <c r="H980" s="29">
        <v>105</v>
      </c>
      <c r="I980" s="29">
        <v>95</v>
      </c>
      <c r="J980" s="29">
        <v>78</v>
      </c>
      <c r="K980" s="29">
        <v>91</v>
      </c>
      <c r="L980" s="29">
        <v>92</v>
      </c>
      <c r="M980" s="29">
        <v>62</v>
      </c>
      <c r="N980" s="29">
        <v>80</v>
      </c>
      <c r="O980" s="32">
        <v>603</v>
      </c>
      <c r="P980" s="29" cm="1">
        <f t="array" ref="P980">IF(表成绩单[[#This Row],[语文]]="","",SUMPRODUCT((表成绩单[考试日期]=表成绩单[[#This Row],[考试日期]])*(表成绩单[语文]&lt;9E+307)*(表成绩单[语文]&gt;表成绩单[[#This Row],[语文]]))+1)</f>
        <v>247</v>
      </c>
      <c r="Q980" s="29" cm="1">
        <f t="array" ref="Q980">IF(表成绩单[[#This Row],[数学]]="","",SUMPRODUCT((表成绩单[考试日期]=表成绩单[[#This Row],[考试日期]])*(表成绩单[数学]&lt;9E+307)*(表成绩单[数学]&gt;表成绩单[[#This Row],[数学]]))+1)</f>
        <v>122</v>
      </c>
      <c r="R980" s="29" cm="1">
        <f t="array" ref="R980">IF(表成绩单[[#This Row],[英语]]="","",SUMPRODUCT((表成绩单[考试日期]=表成绩单[[#This Row],[考试日期]])*(表成绩单[英语]&lt;9E+307)*(表成绩单[英语]&gt;表成绩单[[#This Row],[英语]]))+1)</f>
        <v>214</v>
      </c>
      <c r="S980" s="29" cm="1">
        <f t="array" ref="S980">IF(表成绩单[[#This Row],[物理]]="","",SUMPRODUCT((表成绩单[考试日期]=表成绩单[[#This Row],[考试日期]])*(表成绩单[物理]&lt;9E+307)*(表成绩单[物理]&gt;表成绩单[[#This Row],[物理]]))+1)</f>
        <v>220</v>
      </c>
      <c r="T980" s="29" cm="1">
        <f t="array" ref="T980">IF(表成绩单[[#This Row],[化学]]="","",SUMPRODUCT((表成绩单[考试日期]=表成绩单[[#This Row],[考试日期]])*(表成绩单[化学]&lt;9E+307)*(表成绩单[化学]&gt;表成绩单[[#This Row],[化学]]))+1)</f>
        <v>102</v>
      </c>
      <c r="U980" s="29" cm="1">
        <f t="array" ref="U980">IF(表成绩单[[#This Row],[政治]]="","",SUMPRODUCT((表成绩单[考试日期]=表成绩单[[#This Row],[考试日期]])*(表成绩单[政治]&lt;9E+307)*(表成绩单[政治]&gt;表成绩单[[#This Row],[政治]]))+1)</f>
        <v>381</v>
      </c>
      <c r="V980" s="29" cm="1">
        <f t="array" ref="V980">IF(表成绩单[[#This Row],[历史]]="","",SUMPRODUCT((表成绩单[考试日期]=表成绩单[[#This Row],[考试日期]])*(表成绩单[历史]&lt;9E+307)*(表成绩单[历史]&gt;表成绩单[[#This Row],[历史]]))+1)</f>
        <v>116</v>
      </c>
      <c r="W980" s="29" cm="1">
        <f t="array" ref="W980">IF(表成绩单[[#This Row],[总分]]="","",SUMPRODUCT((表成绩单[考试日期]=表成绩单[[#This Row],[考试日期]])*(表成绩单[总分]&lt;9E+307)*(表成绩单[总分]&gt;表成绩单[[#This Row],[总分]]))+1)</f>
        <v>175</v>
      </c>
    </row>
    <row r="981" ht="28" customHeight="1" spans="4:23">
      <c r="D981" s="31">
        <v>46003</v>
      </c>
      <c r="E981" s="29">
        <v>19173534</v>
      </c>
      <c r="F981" s="29" t="s">
        <v>1</v>
      </c>
      <c r="G981" s="29" t="s">
        <v>157</v>
      </c>
      <c r="H981" s="29">
        <v>104</v>
      </c>
      <c r="I981" s="29">
        <v>99</v>
      </c>
      <c r="J981" s="29">
        <v>78.5</v>
      </c>
      <c r="K981" s="29">
        <v>90</v>
      </c>
      <c r="L981" s="29">
        <v>80</v>
      </c>
      <c r="M981" s="29">
        <v>72</v>
      </c>
      <c r="N981" s="29">
        <v>79</v>
      </c>
      <c r="O981" s="32">
        <v>602.5</v>
      </c>
      <c r="P981" s="29" cm="1">
        <f t="array" ref="P981">IF(表成绩单[[#This Row],[语文]]="","",SUMPRODUCT((表成绩单[考试日期]=表成绩单[[#This Row],[考试日期]])*(表成绩单[语文]&lt;9E+307)*(表成绩单[语文]&gt;表成绩单[[#This Row],[语文]]))+1)</f>
        <v>290</v>
      </c>
      <c r="Q981" s="29" cm="1">
        <f t="array" ref="Q981">IF(表成绩单[[#This Row],[数学]]="","",SUMPRODUCT((表成绩单[考试日期]=表成绩单[[#This Row],[考试日期]])*(表成绩单[数学]&lt;9E+307)*(表成绩单[数学]&gt;表成绩单[[#This Row],[数学]]))+1)</f>
        <v>88</v>
      </c>
      <c r="R981" s="29" cm="1">
        <f t="array" ref="R981">IF(表成绩单[[#This Row],[英语]]="","",SUMPRODUCT((表成绩单[考试日期]=表成绩单[[#This Row],[考试日期]])*(表成绩单[英语]&lt;9E+307)*(表成绩单[英语]&gt;表成绩单[[#This Row],[英语]]))+1)</f>
        <v>206</v>
      </c>
      <c r="S981" s="29" cm="1">
        <f t="array" ref="S981">IF(表成绩单[[#This Row],[物理]]="","",SUMPRODUCT((表成绩单[考试日期]=表成绩单[[#This Row],[考试日期]])*(表成绩单[物理]&lt;9E+307)*(表成绩单[物理]&gt;表成绩单[[#This Row],[物理]]))+1)</f>
        <v>237</v>
      </c>
      <c r="T981" s="29" cm="1">
        <f t="array" ref="T981">IF(表成绩单[[#This Row],[化学]]="","",SUMPRODUCT((表成绩单[考试日期]=表成绩单[[#This Row],[考试日期]])*(表成绩单[化学]&lt;9E+307)*(表成绩单[化学]&gt;表成绩单[[#This Row],[化学]]))+1)</f>
        <v>327</v>
      </c>
      <c r="U981" s="29" cm="1">
        <f t="array" ref="U981">IF(表成绩单[[#This Row],[政治]]="","",SUMPRODUCT((表成绩单[考试日期]=表成绩单[[#This Row],[考试日期]])*(表成绩单[政治]&lt;9E+307)*(表成绩单[政治]&gt;表成绩单[[#This Row],[政治]]))+1)</f>
        <v>155</v>
      </c>
      <c r="V981" s="29" cm="1">
        <f t="array" ref="V981">IF(表成绩单[[#This Row],[历史]]="","",SUMPRODUCT((表成绩单[考试日期]=表成绩单[[#This Row],[考试日期]])*(表成绩单[历史]&lt;9E+307)*(表成绩单[历史]&gt;表成绩单[[#This Row],[历史]]))+1)</f>
        <v>149</v>
      </c>
      <c r="W981" s="29" cm="1">
        <f t="array" ref="W981">IF(表成绩单[[#This Row],[总分]]="","",SUMPRODUCT((表成绩单[考试日期]=表成绩单[[#This Row],[考试日期]])*(表成绩单[总分]&lt;9E+307)*(表成绩单[总分]&gt;表成绩单[[#This Row],[总分]]))+1)</f>
        <v>176</v>
      </c>
    </row>
    <row r="982" ht="28" customHeight="1" spans="4:23">
      <c r="D982" s="31">
        <v>46003</v>
      </c>
      <c r="E982" s="29">
        <v>19175418</v>
      </c>
      <c r="F982" s="29" t="s">
        <v>74</v>
      </c>
      <c r="G982" s="29" t="s">
        <v>371</v>
      </c>
      <c r="H982" s="29">
        <v>111</v>
      </c>
      <c r="I982" s="29">
        <v>97</v>
      </c>
      <c r="J982" s="29">
        <v>84</v>
      </c>
      <c r="K982" s="29">
        <v>90</v>
      </c>
      <c r="L982" s="29">
        <v>82</v>
      </c>
      <c r="M982" s="29">
        <v>61</v>
      </c>
      <c r="N982" s="29">
        <v>77</v>
      </c>
      <c r="O982" s="32">
        <v>602</v>
      </c>
      <c r="P982" s="29" cm="1">
        <f t="array" ref="P982">IF(表成绩单[[#This Row],[语文]]="","",SUMPRODUCT((表成绩单[考试日期]=表成绩单[[#This Row],[考试日期]])*(表成绩单[语文]&lt;9E+307)*(表成绩单[语文]&gt;表成绩单[[#This Row],[语文]]))+1)</f>
        <v>56</v>
      </c>
      <c r="Q982" s="29" cm="1">
        <f t="array" ref="Q982">IF(表成绩单[[#This Row],[数学]]="","",SUMPRODUCT((表成绩单[考试日期]=表成绩单[[#This Row],[考试日期]])*(表成绩单[数学]&lt;9E+307)*(表成绩单[数学]&gt;表成绩单[[#This Row],[数学]]))+1)</f>
        <v>104</v>
      </c>
      <c r="R982" s="29" cm="1">
        <f t="array" ref="R982">IF(表成绩单[[#This Row],[英语]]="","",SUMPRODUCT((表成绩单[考试日期]=表成绩单[[#This Row],[考试日期]])*(表成绩单[英语]&lt;9E+307)*(表成绩单[英语]&gt;表成绩单[[#This Row],[英语]]))+1)</f>
        <v>48</v>
      </c>
      <c r="S982" s="29" cm="1">
        <f t="array" ref="S982">IF(表成绩单[[#This Row],[物理]]="","",SUMPRODUCT((表成绩单[考试日期]=表成绩单[[#This Row],[考试日期]])*(表成绩单[物理]&lt;9E+307)*(表成绩单[物理]&gt;表成绩单[[#This Row],[物理]]))+1)</f>
        <v>237</v>
      </c>
      <c r="T982" s="29" cm="1">
        <f t="array" ref="T982">IF(表成绩单[[#This Row],[化学]]="","",SUMPRODUCT((表成绩单[考试日期]=表成绩单[[#This Row],[考试日期]])*(表成绩单[化学]&lt;9E+307)*(表成绩单[化学]&gt;表成绩单[[#This Row],[化学]]))+1)</f>
        <v>286</v>
      </c>
      <c r="U982" s="29" cm="1">
        <f t="array" ref="U982">IF(表成绩单[[#This Row],[政治]]="","",SUMPRODUCT((表成绩单[考试日期]=表成绩单[[#This Row],[考试日期]])*(表成绩单[政治]&lt;9E+307)*(表成绩单[政治]&gt;表成绩单[[#This Row],[政治]]))+1)</f>
        <v>400</v>
      </c>
      <c r="V982" s="29" cm="1">
        <f t="array" ref="V982">IF(表成绩单[[#This Row],[历史]]="","",SUMPRODUCT((表成绩单[考试日期]=表成绩单[[#This Row],[考试日期]])*(表成绩单[历史]&lt;9E+307)*(表成绩单[历史]&gt;表成绩单[[#This Row],[历史]]))+1)</f>
        <v>235</v>
      </c>
      <c r="W982" s="29" cm="1">
        <f t="array" ref="W982">IF(表成绩单[[#This Row],[总分]]="","",SUMPRODUCT((表成绩单[考试日期]=表成绩单[[#This Row],[考试日期]])*(表成绩单[总分]&lt;9E+307)*(表成绩单[总分]&gt;表成绩单[[#This Row],[总分]]))+1)</f>
        <v>177</v>
      </c>
    </row>
    <row r="983" ht="28" customHeight="1" spans="4:23">
      <c r="D983" s="31">
        <v>46003</v>
      </c>
      <c r="E983" s="29">
        <v>19176857</v>
      </c>
      <c r="F983" s="29" t="s">
        <v>71</v>
      </c>
      <c r="G983" s="29" t="s">
        <v>442</v>
      </c>
      <c r="H983" s="29">
        <v>111</v>
      </c>
      <c r="I983" s="29">
        <v>88</v>
      </c>
      <c r="J983" s="29">
        <v>79</v>
      </c>
      <c r="K983" s="29">
        <v>89</v>
      </c>
      <c r="L983" s="29">
        <v>82</v>
      </c>
      <c r="M983" s="29">
        <v>72</v>
      </c>
      <c r="N983" s="29">
        <v>81</v>
      </c>
      <c r="O983" s="32">
        <v>602</v>
      </c>
      <c r="P983" s="29" cm="1">
        <f t="array" ref="P983">IF(表成绩单[[#This Row],[语文]]="","",SUMPRODUCT((表成绩单[考试日期]=表成绩单[[#This Row],[考试日期]])*(表成绩单[语文]&lt;9E+307)*(表成绩单[语文]&gt;表成绩单[[#This Row],[语文]]))+1)</f>
        <v>56</v>
      </c>
      <c r="Q983" s="29" cm="1">
        <f t="array" ref="Q983">IF(表成绩单[[#This Row],[数学]]="","",SUMPRODUCT((表成绩单[考试日期]=表成绩单[[#This Row],[考试日期]])*(表成绩单[数学]&lt;9E+307)*(表成绩单[数学]&gt;表成绩单[[#This Row],[数学]]))+1)</f>
        <v>213</v>
      </c>
      <c r="R983" s="29" cm="1">
        <f t="array" ref="R983">IF(表成绩单[[#This Row],[英语]]="","",SUMPRODUCT((表成绩单[考试日期]=表成绩单[[#This Row],[考试日期]])*(表成绩单[英语]&lt;9E+307)*(表成绩单[英语]&gt;表成绩单[[#This Row],[英语]]))+1)</f>
        <v>188</v>
      </c>
      <c r="S983" s="29" cm="1">
        <f t="array" ref="S983">IF(表成绩单[[#This Row],[物理]]="","",SUMPRODUCT((表成绩单[考试日期]=表成绩单[[#This Row],[考试日期]])*(表成绩单[物理]&lt;9E+307)*(表成绩单[物理]&gt;表成绩单[[#This Row],[物理]]))+1)</f>
        <v>269</v>
      </c>
      <c r="T983" s="29" cm="1">
        <f t="array" ref="T983">IF(表成绩单[[#This Row],[化学]]="","",SUMPRODUCT((表成绩单[考试日期]=表成绩单[[#This Row],[考试日期]])*(表成绩单[化学]&lt;9E+307)*(表成绩单[化学]&gt;表成绩单[[#This Row],[化学]]))+1)</f>
        <v>286</v>
      </c>
      <c r="U983" s="29" cm="1">
        <f t="array" ref="U983">IF(表成绩单[[#This Row],[政治]]="","",SUMPRODUCT((表成绩单[考试日期]=表成绩单[[#This Row],[考试日期]])*(表成绩单[政治]&lt;9E+307)*(表成绩单[政治]&gt;表成绩单[[#This Row],[政治]]))+1)</f>
        <v>155</v>
      </c>
      <c r="V983" s="29" cm="1">
        <f t="array" ref="V983">IF(表成绩单[[#This Row],[历史]]="","",SUMPRODUCT((表成绩单[考试日期]=表成绩单[[#This Row],[考试日期]])*(表成绩单[历史]&lt;9E+307)*(表成绩单[历史]&gt;表成绩单[[#This Row],[历史]]))+1)</f>
        <v>92</v>
      </c>
      <c r="W983" s="29" cm="1">
        <f t="array" ref="W983">IF(表成绩单[[#This Row],[总分]]="","",SUMPRODUCT((表成绩单[考试日期]=表成绩单[[#This Row],[考试日期]])*(表成绩单[总分]&lt;9E+307)*(表成绩单[总分]&gt;表成绩单[[#This Row],[总分]]))+1)</f>
        <v>177</v>
      </c>
    </row>
    <row r="984" ht="28" customHeight="1" spans="4:23">
      <c r="D984" s="31">
        <v>46003</v>
      </c>
      <c r="E984" s="29">
        <v>19176158</v>
      </c>
      <c r="F984" s="29" t="s">
        <v>67</v>
      </c>
      <c r="G984" s="29" t="s">
        <v>237</v>
      </c>
      <c r="H984" s="29">
        <v>111</v>
      </c>
      <c r="I984" s="29">
        <v>87</v>
      </c>
      <c r="J984" s="29">
        <v>80.5</v>
      </c>
      <c r="K984" s="29">
        <v>96</v>
      </c>
      <c r="L984" s="29">
        <v>76</v>
      </c>
      <c r="M984" s="29">
        <v>74</v>
      </c>
      <c r="N984" s="29">
        <v>77</v>
      </c>
      <c r="O984" s="32">
        <v>601.5</v>
      </c>
      <c r="P984" s="29" cm="1">
        <f t="array" ref="P984">IF(表成绩单[[#This Row],[语文]]="","",SUMPRODUCT((表成绩单[考试日期]=表成绩单[[#This Row],[考试日期]])*(表成绩单[语文]&lt;9E+307)*(表成绩单[语文]&gt;表成绩单[[#This Row],[语文]]))+1)</f>
        <v>56</v>
      </c>
      <c r="Q984" s="29" cm="1">
        <f t="array" ref="Q984">IF(表成绩单[[#This Row],[数学]]="","",SUMPRODUCT((表成绩单[考试日期]=表成绩单[[#This Row],[考试日期]])*(表成绩单[数学]&lt;9E+307)*(表成绩单[数学]&gt;表成绩单[[#This Row],[数学]]))+1)</f>
        <v>223</v>
      </c>
      <c r="R984" s="29" cm="1">
        <f t="array" ref="R984">IF(表成绩单[[#This Row],[英语]]="","",SUMPRODUCT((表成绩单[考试日期]=表成绩单[[#This Row],[考试日期]])*(表成绩单[英语]&lt;9E+307)*(表成绩单[英语]&gt;表成绩单[[#This Row],[英语]]))+1)</f>
        <v>147</v>
      </c>
      <c r="S984" s="29" cm="1">
        <f t="array" ref="S984">IF(表成绩单[[#This Row],[物理]]="","",SUMPRODUCT((表成绩单[考试日期]=表成绩单[[#This Row],[考试日期]])*(表成绩单[物理]&lt;9E+307)*(表成绩单[物理]&gt;表成绩单[[#This Row],[物理]]))+1)</f>
        <v>64</v>
      </c>
      <c r="T984" s="29" cm="1">
        <f t="array" ref="T984">IF(表成绩单[[#This Row],[化学]]="","",SUMPRODUCT((表成绩单[考试日期]=表成绩单[[#This Row],[考试日期]])*(表成绩单[化学]&lt;9E+307)*(表成绩单[化学]&gt;表成绩单[[#This Row],[化学]]))+1)</f>
        <v>402</v>
      </c>
      <c r="U984" s="29" cm="1">
        <f t="array" ref="U984">IF(表成绩单[[#This Row],[政治]]="","",SUMPRODUCT((表成绩单[考试日期]=表成绩单[[#This Row],[考试日期]])*(表成绩单[政治]&lt;9E+307)*(表成绩单[政治]&gt;表成绩单[[#This Row],[政治]]))+1)</f>
        <v>121</v>
      </c>
      <c r="V984" s="29" cm="1">
        <f t="array" ref="V984">IF(表成绩单[[#This Row],[历史]]="","",SUMPRODUCT((表成绩单[考试日期]=表成绩单[[#This Row],[考试日期]])*(表成绩单[历史]&lt;9E+307)*(表成绩单[历史]&gt;表成绩单[[#This Row],[历史]]))+1)</f>
        <v>235</v>
      </c>
      <c r="W984" s="29" cm="1">
        <f t="array" ref="W984">IF(表成绩单[[#This Row],[总分]]="","",SUMPRODUCT((表成绩单[考试日期]=表成绩单[[#This Row],[考试日期]])*(表成绩单[总分]&lt;9E+307)*(表成绩单[总分]&gt;表成绩单[[#This Row],[总分]]))+1)</f>
        <v>179</v>
      </c>
    </row>
    <row r="985" ht="28" customHeight="1" spans="4:23">
      <c r="D985" s="31">
        <v>46003</v>
      </c>
      <c r="E985" s="29">
        <v>19175686</v>
      </c>
      <c r="F985" s="29" t="s">
        <v>72</v>
      </c>
      <c r="G985" s="29" t="s">
        <v>263</v>
      </c>
      <c r="H985" s="29">
        <v>109</v>
      </c>
      <c r="I985" s="29">
        <v>91</v>
      </c>
      <c r="J985" s="29">
        <v>79</v>
      </c>
      <c r="K985" s="29">
        <v>92</v>
      </c>
      <c r="L985" s="29">
        <v>83</v>
      </c>
      <c r="M985" s="29">
        <v>73</v>
      </c>
      <c r="N985" s="29">
        <v>74</v>
      </c>
      <c r="O985" s="32">
        <v>601</v>
      </c>
      <c r="P985" s="29" cm="1">
        <f t="array" ref="P985">IF(表成绩单[[#This Row],[语文]]="","",SUMPRODUCT((表成绩单[考试日期]=表成绩单[[#This Row],[考试日期]])*(表成绩单[语文]&lt;9E+307)*(表成绩单[语文]&gt;表成绩单[[#This Row],[语文]]))+1)</f>
        <v>111</v>
      </c>
      <c r="Q985" s="29" cm="1">
        <f t="array" ref="Q985">IF(表成绩单[[#This Row],[数学]]="","",SUMPRODUCT((表成绩单[考试日期]=表成绩单[[#This Row],[考试日期]])*(表成绩单[数学]&lt;9E+307)*(表成绩单[数学]&gt;表成绩单[[#This Row],[数学]]))+1)</f>
        <v>184</v>
      </c>
      <c r="R985" s="29" cm="1">
        <f t="array" ref="R985">IF(表成绩单[[#This Row],[英语]]="","",SUMPRODUCT((表成绩单[考试日期]=表成绩单[[#This Row],[考试日期]])*(表成绩单[英语]&lt;9E+307)*(表成绩单[英语]&gt;表成绩单[[#This Row],[英语]]))+1)</f>
        <v>188</v>
      </c>
      <c r="S985" s="29" cm="1">
        <f t="array" ref="S985">IF(表成绩单[[#This Row],[物理]]="","",SUMPRODUCT((表成绩单[考试日期]=表成绩单[[#This Row],[考试日期]])*(表成绩单[物理]&lt;9E+307)*(表成绩单[物理]&gt;表成绩单[[#This Row],[物理]]))+1)</f>
        <v>191</v>
      </c>
      <c r="T985" s="29" cm="1">
        <f t="array" ref="T985">IF(表成绩单[[#This Row],[化学]]="","",SUMPRODUCT((表成绩单[考试日期]=表成绩单[[#This Row],[考试日期]])*(表成绩单[化学]&lt;9E+307)*(表成绩单[化学]&gt;表成绩单[[#This Row],[化学]]))+1)</f>
        <v>272</v>
      </c>
      <c r="U985" s="29" cm="1">
        <f t="array" ref="U985">IF(表成绩单[[#This Row],[政治]]="","",SUMPRODUCT((表成绩单[考试日期]=表成绩单[[#This Row],[考试日期]])*(表成绩单[政治]&lt;9E+307)*(表成绩单[政治]&gt;表成绩单[[#This Row],[政治]]))+1)</f>
        <v>139</v>
      </c>
      <c r="V985" s="29" cm="1">
        <f t="array" ref="V985">IF(表成绩单[[#This Row],[历史]]="","",SUMPRODUCT((表成绩单[考试日期]=表成绩单[[#This Row],[考试日期]])*(表成绩单[历史]&lt;9E+307)*(表成绩单[历史]&gt;表成绩单[[#This Row],[历史]]))+1)</f>
        <v>371</v>
      </c>
      <c r="W985" s="29" cm="1">
        <f t="array" ref="W985">IF(表成绩单[[#This Row],[总分]]="","",SUMPRODUCT((表成绩单[考试日期]=表成绩单[[#This Row],[考试日期]])*(表成绩单[总分]&lt;9E+307)*(表成绩单[总分]&gt;表成绩单[[#This Row],[总分]]))+1)</f>
        <v>180</v>
      </c>
    </row>
    <row r="986" ht="28" customHeight="1" spans="4:23">
      <c r="D986" s="31">
        <v>46003</v>
      </c>
      <c r="E986" s="29">
        <v>19177209</v>
      </c>
      <c r="F986" s="29" t="s">
        <v>70</v>
      </c>
      <c r="G986" s="29" t="s">
        <v>245</v>
      </c>
      <c r="H986" s="29">
        <v>106</v>
      </c>
      <c r="I986" s="29">
        <v>83</v>
      </c>
      <c r="J986" s="29">
        <v>80</v>
      </c>
      <c r="K986" s="29">
        <v>92</v>
      </c>
      <c r="L986" s="29">
        <v>85</v>
      </c>
      <c r="M986" s="29">
        <v>78</v>
      </c>
      <c r="N986" s="29">
        <v>77</v>
      </c>
      <c r="O986" s="32">
        <v>601</v>
      </c>
      <c r="P986" s="29" cm="1">
        <f t="array" ref="P986">IF(表成绩单[[#This Row],[语文]]="","",SUMPRODUCT((表成绩单[考试日期]=表成绩单[[#This Row],[考试日期]])*(表成绩单[语文]&lt;9E+307)*(表成绩单[语文]&gt;表成绩单[[#This Row],[语文]]))+1)</f>
        <v>210</v>
      </c>
      <c r="Q986" s="29" cm="1">
        <f t="array" ref="Q986">IF(表成绩单[[#This Row],[数学]]="","",SUMPRODUCT((表成绩单[考试日期]=表成绩单[[#This Row],[考试日期]])*(表成绩单[数学]&lt;9E+307)*(表成绩单[数学]&gt;表成绩单[[#This Row],[数学]]))+1)</f>
        <v>272</v>
      </c>
      <c r="R986" s="29" cm="1">
        <f t="array" ref="R986">IF(表成绩单[[#This Row],[英语]]="","",SUMPRODUCT((表成绩单[考试日期]=表成绩单[[#This Row],[考试日期]])*(表成绩单[英语]&lt;9E+307)*(表成绩单[英语]&gt;表成绩单[[#This Row],[英语]]))+1)</f>
        <v>170</v>
      </c>
      <c r="S986" s="29" cm="1">
        <f t="array" ref="S986">IF(表成绩单[[#This Row],[物理]]="","",SUMPRODUCT((表成绩单[考试日期]=表成绩单[[#This Row],[考试日期]])*(表成绩单[物理]&lt;9E+307)*(表成绩单[物理]&gt;表成绩单[[#This Row],[物理]]))+1)</f>
        <v>191</v>
      </c>
      <c r="T986" s="29" cm="1">
        <f t="array" ref="T986">IF(表成绩单[[#This Row],[化学]]="","",SUMPRODUCT((表成绩单[考试日期]=表成绩单[[#This Row],[考试日期]])*(表成绩单[化学]&lt;9E+307)*(表成绩单[化学]&gt;表成绩单[[#This Row],[化学]]))+1)</f>
        <v>240</v>
      </c>
      <c r="U986" s="29" cm="1">
        <f t="array" ref="U986">IF(表成绩单[[#This Row],[政治]]="","",SUMPRODUCT((表成绩单[考试日期]=表成绩单[[#This Row],[考试日期]])*(表成绩单[政治]&lt;9E+307)*(表成绩单[政治]&gt;表成绩单[[#This Row],[政治]]))+1)</f>
        <v>46</v>
      </c>
      <c r="V986" s="29" cm="1">
        <f t="array" ref="V986">IF(表成绩单[[#This Row],[历史]]="","",SUMPRODUCT((表成绩单[考试日期]=表成绩单[[#This Row],[考试日期]])*(表成绩单[历史]&lt;9E+307)*(表成绩单[历史]&gt;表成绩单[[#This Row],[历史]]))+1)</f>
        <v>235</v>
      </c>
      <c r="W986" s="29" cm="1">
        <f t="array" ref="W986">IF(表成绩单[[#This Row],[总分]]="","",SUMPRODUCT((表成绩单[考试日期]=表成绩单[[#This Row],[考试日期]])*(表成绩单[总分]&lt;9E+307)*(表成绩单[总分]&gt;表成绩单[[#This Row],[总分]]))+1)</f>
        <v>180</v>
      </c>
    </row>
    <row r="987" ht="28" customHeight="1" spans="4:23">
      <c r="D987" s="31">
        <v>46003</v>
      </c>
      <c r="E987" s="29">
        <v>19177634</v>
      </c>
      <c r="F987" s="29" t="s">
        <v>63</v>
      </c>
      <c r="G987" s="29" t="s">
        <v>405</v>
      </c>
      <c r="H987" s="29">
        <v>111</v>
      </c>
      <c r="I987" s="29">
        <v>82</v>
      </c>
      <c r="J987" s="29">
        <v>80</v>
      </c>
      <c r="K987" s="29">
        <v>89</v>
      </c>
      <c r="L987" s="29">
        <v>84</v>
      </c>
      <c r="M987" s="29">
        <v>78</v>
      </c>
      <c r="N987" s="29">
        <v>76</v>
      </c>
      <c r="O987" s="32">
        <v>600</v>
      </c>
      <c r="P987" s="29" cm="1">
        <f t="array" ref="P987">IF(表成绩单[[#This Row],[语文]]="","",SUMPRODUCT((表成绩单[考试日期]=表成绩单[[#This Row],[考试日期]])*(表成绩单[语文]&lt;9E+307)*(表成绩单[语文]&gt;表成绩单[[#This Row],[语文]]))+1)</f>
        <v>56</v>
      </c>
      <c r="Q987" s="29" cm="1">
        <f t="array" ref="Q987">IF(表成绩单[[#This Row],[数学]]="","",SUMPRODUCT((表成绩单[考试日期]=表成绩单[[#This Row],[考试日期]])*(表成绩单[数学]&lt;9E+307)*(表成绩单[数学]&gt;表成绩单[[#This Row],[数学]]))+1)</f>
        <v>290</v>
      </c>
      <c r="R987" s="29" cm="1">
        <f t="array" ref="R987">IF(表成绩单[[#This Row],[英语]]="","",SUMPRODUCT((表成绩单[考试日期]=表成绩单[[#This Row],[考试日期]])*(表成绩单[英语]&lt;9E+307)*(表成绩单[英语]&gt;表成绩单[[#This Row],[英语]]))+1)</f>
        <v>170</v>
      </c>
      <c r="S987" s="29" cm="1">
        <f t="array" ref="S987">IF(表成绩单[[#This Row],[物理]]="","",SUMPRODUCT((表成绩单[考试日期]=表成绩单[[#This Row],[考试日期]])*(表成绩单[物理]&lt;9E+307)*(表成绩单[物理]&gt;表成绩单[[#This Row],[物理]]))+1)</f>
        <v>269</v>
      </c>
      <c r="T987" s="29" cm="1">
        <f t="array" ref="T987">IF(表成绩单[[#This Row],[化学]]="","",SUMPRODUCT((表成绩单[考试日期]=表成绩单[[#This Row],[考试日期]])*(表成绩单[化学]&lt;9E+307)*(表成绩单[化学]&gt;表成绩单[[#This Row],[化学]]))+1)</f>
        <v>258</v>
      </c>
      <c r="U987" s="29" cm="1">
        <f t="array" ref="U987">IF(表成绩单[[#This Row],[政治]]="","",SUMPRODUCT((表成绩单[考试日期]=表成绩单[[#This Row],[考试日期]])*(表成绩单[政治]&lt;9E+307)*(表成绩单[政治]&gt;表成绩单[[#This Row],[政治]]))+1)</f>
        <v>46</v>
      </c>
      <c r="V987" s="29" cm="1">
        <f t="array" ref="V987">IF(表成绩单[[#This Row],[历史]]="","",SUMPRODUCT((表成绩单[考试日期]=表成绩单[[#This Row],[考试日期]])*(表成绩单[历史]&lt;9E+307)*(表成绩单[历史]&gt;表成绩单[[#This Row],[历史]]))+1)</f>
        <v>279</v>
      </c>
      <c r="W987" s="29" cm="1">
        <f t="array" ref="W987">IF(表成绩单[[#This Row],[总分]]="","",SUMPRODUCT((表成绩单[考试日期]=表成绩单[[#This Row],[考试日期]])*(表成绩单[总分]&lt;9E+307)*(表成绩单[总分]&gt;表成绩单[[#This Row],[总分]]))+1)</f>
        <v>182</v>
      </c>
    </row>
    <row r="988" ht="28" customHeight="1" spans="4:23">
      <c r="D988" s="31">
        <v>46003</v>
      </c>
      <c r="E988" s="29">
        <v>19178576</v>
      </c>
      <c r="F988" s="29" t="s">
        <v>64</v>
      </c>
      <c r="G988" s="29" t="s">
        <v>213</v>
      </c>
      <c r="H988" s="29">
        <v>106</v>
      </c>
      <c r="I988" s="29">
        <v>95</v>
      </c>
      <c r="J988" s="29">
        <v>76</v>
      </c>
      <c r="K988" s="29">
        <v>87</v>
      </c>
      <c r="L988" s="29">
        <v>86</v>
      </c>
      <c r="M988" s="29">
        <v>71</v>
      </c>
      <c r="N988" s="29">
        <v>79</v>
      </c>
      <c r="O988" s="32">
        <v>600</v>
      </c>
      <c r="P988" s="29" cm="1">
        <f t="array" ref="P988">IF(表成绩单[[#This Row],[语文]]="","",SUMPRODUCT((表成绩单[考试日期]=表成绩单[[#This Row],[考试日期]])*(表成绩单[语文]&lt;9E+307)*(表成绩单[语文]&gt;表成绩单[[#This Row],[语文]]))+1)</f>
        <v>210</v>
      </c>
      <c r="Q988" s="29" cm="1">
        <f t="array" ref="Q988">IF(表成绩单[[#This Row],[数学]]="","",SUMPRODUCT((表成绩单[考试日期]=表成绩单[[#This Row],[考试日期]])*(表成绩单[数学]&lt;9E+307)*(表成绩单[数学]&gt;表成绩单[[#This Row],[数学]]))+1)</f>
        <v>122</v>
      </c>
      <c r="R988" s="29" cm="1">
        <f t="array" ref="R988">IF(表成绩单[[#This Row],[英语]]="","",SUMPRODUCT((表成绩单[考试日期]=表成绩单[[#This Row],[考试日期]])*(表成绩单[英语]&lt;9E+307)*(表成绩单[英语]&gt;表成绩单[[#This Row],[英语]]))+1)</f>
        <v>288</v>
      </c>
      <c r="S988" s="29" cm="1">
        <f t="array" ref="S988">IF(表成绩单[[#This Row],[物理]]="","",SUMPRODUCT((表成绩单[考试日期]=表成绩单[[#This Row],[考试日期]])*(表成绩单[物理]&lt;9E+307)*(表成绩单[物理]&gt;表成绩单[[#This Row],[物理]]))+1)</f>
        <v>306</v>
      </c>
      <c r="T988" s="29" cm="1">
        <f t="array" ref="T988">IF(表成绩单[[#This Row],[化学]]="","",SUMPRODUCT((表成绩单[考试日期]=表成绩单[[#This Row],[考试日期]])*(表成绩单[化学]&lt;9E+307)*(表成绩单[化学]&gt;表成绩单[[#This Row],[化学]]))+1)</f>
        <v>223</v>
      </c>
      <c r="U988" s="29" cm="1">
        <f t="array" ref="U988">IF(表成绩单[[#This Row],[政治]]="","",SUMPRODUCT((表成绩单[考试日期]=表成绩单[[#This Row],[考试日期]])*(表成绩单[政治]&lt;9E+307)*(表成绩单[政治]&gt;表成绩单[[#This Row],[政治]]))+1)</f>
        <v>168</v>
      </c>
      <c r="V988" s="29" cm="1">
        <f t="array" ref="V988">IF(表成绩单[[#This Row],[历史]]="","",SUMPRODUCT((表成绩单[考试日期]=表成绩单[[#This Row],[考试日期]])*(表成绩单[历史]&lt;9E+307)*(表成绩单[历史]&gt;表成绩单[[#This Row],[历史]]))+1)</f>
        <v>149</v>
      </c>
      <c r="W988" s="29" cm="1">
        <f t="array" ref="W988">IF(表成绩单[[#This Row],[总分]]="","",SUMPRODUCT((表成绩单[考试日期]=表成绩单[[#This Row],[考试日期]])*(表成绩单[总分]&lt;9E+307)*(表成绩单[总分]&gt;表成绩单[[#This Row],[总分]]))+1)</f>
        <v>182</v>
      </c>
    </row>
    <row r="989" ht="28" customHeight="1" spans="4:23">
      <c r="D989" s="31">
        <v>46003</v>
      </c>
      <c r="E989" s="29">
        <v>19175601</v>
      </c>
      <c r="F989" s="29" t="s">
        <v>57</v>
      </c>
      <c r="G989" s="29" t="s">
        <v>350</v>
      </c>
      <c r="H989" s="29">
        <v>101</v>
      </c>
      <c r="I989" s="29">
        <v>80</v>
      </c>
      <c r="J989" s="29">
        <v>81.5</v>
      </c>
      <c r="K989" s="29">
        <v>97</v>
      </c>
      <c r="L989" s="29">
        <v>93</v>
      </c>
      <c r="M989" s="29">
        <v>64</v>
      </c>
      <c r="N989" s="29">
        <v>83</v>
      </c>
      <c r="O989" s="32">
        <v>599.5</v>
      </c>
      <c r="P989" s="29" cm="1">
        <f t="array" ref="P989">IF(表成绩单[[#This Row],[语文]]="","",SUMPRODUCT((表成绩单[考试日期]=表成绩单[[#This Row],[考试日期]])*(表成绩单[语文]&lt;9E+307)*(表成绩单[语文]&gt;表成绩单[[#This Row],[语文]]))+1)</f>
        <v>387</v>
      </c>
      <c r="Q989" s="29" cm="1">
        <f t="array" ref="Q989">IF(表成绩单[[#This Row],[数学]]="","",SUMPRODUCT((表成绩单[考试日期]=表成绩单[[#This Row],[考试日期]])*(表成绩单[数学]&lt;9E+307)*(表成绩单[数学]&gt;表成绩单[[#This Row],[数学]]))+1)</f>
        <v>310</v>
      </c>
      <c r="R989" s="29" cm="1">
        <f t="array" ref="R989">IF(表成绩单[[#This Row],[英语]]="","",SUMPRODUCT((表成绩单[考试日期]=表成绩单[[#This Row],[考试日期]])*(表成绩单[英语]&lt;9E+307)*(表成绩单[英语]&gt;表成绩单[[#This Row],[英语]]))+1)</f>
        <v>113</v>
      </c>
      <c r="S989" s="29" cm="1">
        <f t="array" ref="S989">IF(表成绩单[[#This Row],[物理]]="","",SUMPRODUCT((表成绩单[考试日期]=表成绩单[[#This Row],[考试日期]])*(表成绩单[物理]&lt;9E+307)*(表成绩单[物理]&gt;表成绩单[[#This Row],[物理]]))+1)</f>
        <v>43</v>
      </c>
      <c r="T989" s="29" cm="1">
        <f t="array" ref="T989">IF(表成绩单[[#This Row],[化学]]="","",SUMPRODUCT((表成绩单[考试日期]=表成绩单[[#This Row],[考试日期]])*(表成绩单[化学]&lt;9E+307)*(表成绩单[化学]&gt;表成绩单[[#This Row],[化学]]))+1)</f>
        <v>73</v>
      </c>
      <c r="U989" s="29" cm="1">
        <f t="array" ref="U989">IF(表成绩单[[#This Row],[政治]]="","",SUMPRODUCT((表成绩单[考试日期]=表成绩单[[#This Row],[考试日期]])*(表成绩单[政治]&lt;9E+307)*(表成绩单[政治]&gt;表成绩单[[#This Row],[政治]]))+1)</f>
        <v>337</v>
      </c>
      <c r="V989" s="29" cm="1">
        <f t="array" ref="V989">IF(表成绩单[[#This Row],[历史]]="","",SUMPRODUCT((表成绩单[考试日期]=表成绩单[[#This Row],[考试日期]])*(表成绩单[历史]&lt;9E+307)*(表成绩单[历史]&gt;表成绩单[[#This Row],[历史]]))+1)</f>
        <v>46</v>
      </c>
      <c r="W989" s="29" cm="1">
        <f t="array" ref="W989">IF(表成绩单[[#This Row],[总分]]="","",SUMPRODUCT((表成绩单[考试日期]=表成绩单[[#This Row],[考试日期]])*(表成绩单[总分]&lt;9E+307)*(表成绩单[总分]&gt;表成绩单[[#This Row],[总分]]))+1)</f>
        <v>184</v>
      </c>
    </row>
    <row r="990" ht="28" customHeight="1" spans="4:23">
      <c r="D990" s="31">
        <v>46003</v>
      </c>
      <c r="E990" s="29">
        <v>19175419</v>
      </c>
      <c r="F990" s="29" t="s">
        <v>74</v>
      </c>
      <c r="G990" s="29" t="s">
        <v>222</v>
      </c>
      <c r="H990" s="29">
        <v>108</v>
      </c>
      <c r="I990" s="29">
        <v>91</v>
      </c>
      <c r="J990" s="29">
        <v>74</v>
      </c>
      <c r="K990" s="29">
        <v>95</v>
      </c>
      <c r="L990" s="29">
        <v>76</v>
      </c>
      <c r="M990" s="29">
        <v>77</v>
      </c>
      <c r="N990" s="29">
        <v>78</v>
      </c>
      <c r="O990" s="32">
        <v>599</v>
      </c>
      <c r="P990" s="29" cm="1">
        <f t="array" ref="P990">IF(表成绩单[[#This Row],[语文]]="","",SUMPRODUCT((表成绩单[考试日期]=表成绩单[[#This Row],[考试日期]])*(表成绩单[语文]&lt;9E+307)*(表成绩单[语文]&gt;表成绩单[[#This Row],[语文]]))+1)</f>
        <v>154</v>
      </c>
      <c r="Q990" s="29" cm="1">
        <f t="array" ref="Q990">IF(表成绩单[[#This Row],[数学]]="","",SUMPRODUCT((表成绩单[考试日期]=表成绩单[[#This Row],[考试日期]])*(表成绩单[数学]&lt;9E+307)*(表成绩单[数学]&gt;表成绩单[[#This Row],[数学]]))+1)</f>
        <v>184</v>
      </c>
      <c r="R990" s="29" cm="1">
        <f t="array" ref="R990">IF(表成绩单[[#This Row],[英语]]="","",SUMPRODUCT((表成绩单[考试日期]=表成绩单[[#This Row],[考试日期]])*(表成绩单[英语]&lt;9E+307)*(表成绩单[英语]&gt;表成绩单[[#This Row],[英语]]))+1)</f>
        <v>344</v>
      </c>
      <c r="S990" s="29" cm="1">
        <f t="array" ref="S990">IF(表成绩单[[#This Row],[物理]]="","",SUMPRODUCT((表成绩单[考试日期]=表成绩单[[#This Row],[考试日期]])*(表成绩单[物理]&lt;9E+307)*(表成绩单[物理]&gt;表成绩单[[#This Row],[物理]]))+1)</f>
        <v>97</v>
      </c>
      <c r="T990" s="29" cm="1">
        <f t="array" ref="T990">IF(表成绩单[[#This Row],[化学]]="","",SUMPRODUCT((表成绩单[考试日期]=表成绩单[[#This Row],[考试日期]])*(表成绩单[化学]&lt;9E+307)*(表成绩单[化学]&gt;表成绩单[[#This Row],[化学]]))+1)</f>
        <v>402</v>
      </c>
      <c r="U990" s="29" cm="1">
        <f t="array" ref="U990">IF(表成绩单[[#This Row],[政治]]="","",SUMPRODUCT((表成绩单[考试日期]=表成绩单[[#This Row],[考试日期]])*(表成绩单[政治]&lt;9E+307)*(表成绩单[政治]&gt;表成绩单[[#This Row],[政治]]))+1)</f>
        <v>64</v>
      </c>
      <c r="V990" s="29" cm="1">
        <f t="array" ref="V990">IF(表成绩单[[#This Row],[历史]]="","",SUMPRODUCT((表成绩单[考试日期]=表成绩单[[#This Row],[考试日期]])*(表成绩单[历史]&lt;9E+307)*(表成绩单[历史]&gt;表成绩单[[#This Row],[历史]]))+1)</f>
        <v>190</v>
      </c>
      <c r="W990" s="29" cm="1">
        <f t="array" ref="W990">IF(表成绩单[[#This Row],[总分]]="","",SUMPRODUCT((表成绩单[考试日期]=表成绩单[[#This Row],[考试日期]])*(表成绩单[总分]&lt;9E+307)*(表成绩单[总分]&gt;表成绩单[[#This Row],[总分]]))+1)</f>
        <v>185</v>
      </c>
    </row>
    <row r="991" ht="28" customHeight="1" spans="4:23">
      <c r="D991" s="31">
        <v>46003</v>
      </c>
      <c r="E991" s="29">
        <v>19175690</v>
      </c>
      <c r="F991" s="29" t="s">
        <v>72</v>
      </c>
      <c r="G991" s="29" t="s">
        <v>367</v>
      </c>
      <c r="H991" s="29">
        <v>97</v>
      </c>
      <c r="I991" s="29">
        <v>86</v>
      </c>
      <c r="J991" s="29">
        <v>85</v>
      </c>
      <c r="K991" s="29">
        <v>94</v>
      </c>
      <c r="L991" s="29">
        <v>86</v>
      </c>
      <c r="M991" s="29">
        <v>69</v>
      </c>
      <c r="N991" s="29">
        <v>82</v>
      </c>
      <c r="O991" s="32">
        <v>599</v>
      </c>
      <c r="P991" s="29" cm="1">
        <f t="array" ref="P991">IF(表成绩单[[#This Row],[语文]]="","",SUMPRODUCT((表成绩单[考试日期]=表成绩单[[#This Row],[考试日期]])*(表成绩单[语文]&lt;9E+307)*(表成绩单[语文]&gt;表成绩单[[#This Row],[语文]]))+1)</f>
        <v>488</v>
      </c>
      <c r="Q991" s="29" cm="1">
        <f t="array" ref="Q991">IF(表成绩单[[#This Row],[数学]]="","",SUMPRODUCT((表成绩单[考试日期]=表成绩单[[#This Row],[考试日期]])*(表成绩单[数学]&lt;9E+307)*(表成绩单[数学]&gt;表成绩单[[#This Row],[数学]]))+1)</f>
        <v>231</v>
      </c>
      <c r="R991" s="29" cm="1">
        <f t="array" ref="R991">IF(表成绩单[[#This Row],[英语]]="","",SUMPRODUCT((表成绩单[考试日期]=表成绩单[[#This Row],[考试日期]])*(表成绩单[英语]&lt;9E+307)*(表成绩单[英语]&gt;表成绩单[[#This Row],[英语]]))+1)</f>
        <v>30</v>
      </c>
      <c r="S991" s="29" cm="1">
        <f t="array" ref="S991">IF(表成绩单[[#This Row],[物理]]="","",SUMPRODUCT((表成绩单[考试日期]=表成绩单[[#This Row],[考试日期]])*(表成绩单[物理]&lt;9E+307)*(表成绩单[物理]&gt;表成绩单[[#This Row],[物理]]))+1)</f>
        <v>125</v>
      </c>
      <c r="T991" s="29" cm="1">
        <f t="array" ref="T991">IF(表成绩单[[#This Row],[化学]]="","",SUMPRODUCT((表成绩单[考试日期]=表成绩单[[#This Row],[考试日期]])*(表成绩单[化学]&lt;9E+307)*(表成绩单[化学]&gt;表成绩单[[#This Row],[化学]]))+1)</f>
        <v>223</v>
      </c>
      <c r="U991" s="29" cm="1">
        <f t="array" ref="U991">IF(表成绩单[[#This Row],[政治]]="","",SUMPRODUCT((表成绩单[考试日期]=表成绩单[[#This Row],[考试日期]])*(表成绩单[政治]&lt;9E+307)*(表成绩单[政治]&gt;表成绩单[[#This Row],[政治]]))+1)</f>
        <v>212</v>
      </c>
      <c r="V991" s="29" cm="1">
        <f t="array" ref="V991">IF(表成绩单[[#This Row],[历史]]="","",SUMPRODUCT((表成绩单[考试日期]=表成绩单[[#This Row],[考试日期]])*(表成绩单[历史]&lt;9E+307)*(表成绩单[历史]&gt;表成绩单[[#This Row],[历史]]))+1)</f>
        <v>66</v>
      </c>
      <c r="W991" s="29" cm="1">
        <f t="array" ref="W991">IF(表成绩单[[#This Row],[总分]]="","",SUMPRODUCT((表成绩单[考试日期]=表成绩单[[#This Row],[考试日期]])*(表成绩单[总分]&lt;9E+307)*(表成绩单[总分]&gt;表成绩单[[#This Row],[总分]]))+1)</f>
        <v>185</v>
      </c>
    </row>
    <row r="992" ht="28" customHeight="1" spans="4:23">
      <c r="D992" s="31">
        <v>46003</v>
      </c>
      <c r="E992" s="29">
        <v>19177218</v>
      </c>
      <c r="F992" s="29" t="s">
        <v>70</v>
      </c>
      <c r="G992" s="29" t="s">
        <v>121</v>
      </c>
      <c r="H992" s="29">
        <v>107</v>
      </c>
      <c r="I992" s="29">
        <v>93</v>
      </c>
      <c r="J992" s="29">
        <v>77</v>
      </c>
      <c r="K992" s="29">
        <v>81</v>
      </c>
      <c r="L992" s="29">
        <v>87</v>
      </c>
      <c r="M992" s="29">
        <v>78</v>
      </c>
      <c r="N992" s="29">
        <v>76</v>
      </c>
      <c r="O992" s="32">
        <v>599</v>
      </c>
      <c r="P992" s="29" cm="1">
        <f t="array" ref="P992">IF(表成绩单[[#This Row],[语文]]="","",SUMPRODUCT((表成绩单[考试日期]=表成绩单[[#This Row],[考试日期]])*(表成绩单[语文]&lt;9E+307)*(表成绩单[语文]&gt;表成绩单[[#This Row],[语文]]))+1)</f>
        <v>182</v>
      </c>
      <c r="Q992" s="29" cm="1">
        <f t="array" ref="Q992">IF(表成绩单[[#This Row],[数学]]="","",SUMPRODUCT((表成绩单[考试日期]=表成绩单[[#This Row],[考试日期]])*(表成绩单[数学]&lt;9E+307)*(表成绩单[数学]&gt;表成绩单[[#This Row],[数学]]))+1)</f>
        <v>155</v>
      </c>
      <c r="R992" s="29" cm="1">
        <f t="array" ref="R992">IF(表成绩单[[#This Row],[英语]]="","",SUMPRODUCT((表成绩单[考试日期]=表成绩单[[#This Row],[考试日期]])*(表成绩单[英语]&lt;9E+307)*(表成绩单[英语]&gt;表成绩单[[#This Row],[英语]]))+1)</f>
        <v>255</v>
      </c>
      <c r="S992" s="29" cm="1">
        <f t="array" ref="S992">IF(表成绩单[[#This Row],[物理]]="","",SUMPRODUCT((表成绩单[考试日期]=表成绩单[[#This Row],[考试日期]])*(表成绩单[物理]&lt;9E+307)*(表成绩单[物理]&gt;表成绩单[[#This Row],[物理]]))+1)</f>
        <v>405</v>
      </c>
      <c r="T992" s="29" cm="1">
        <f t="array" ref="T992">IF(表成绩单[[#This Row],[化学]]="","",SUMPRODUCT((表成绩单[考试日期]=表成绩单[[#This Row],[考试日期]])*(表成绩单[化学]&lt;9E+307)*(表成绩单[化学]&gt;表成绩单[[#This Row],[化学]]))+1)</f>
        <v>201</v>
      </c>
      <c r="U992" s="29" cm="1">
        <f t="array" ref="U992">IF(表成绩单[[#This Row],[政治]]="","",SUMPRODUCT((表成绩单[考试日期]=表成绩单[[#This Row],[考试日期]])*(表成绩单[政治]&lt;9E+307)*(表成绩单[政治]&gt;表成绩单[[#This Row],[政治]]))+1)</f>
        <v>46</v>
      </c>
      <c r="V992" s="29" cm="1">
        <f t="array" ref="V992">IF(表成绩单[[#This Row],[历史]]="","",SUMPRODUCT((表成绩单[考试日期]=表成绩单[[#This Row],[考试日期]])*(表成绩单[历史]&lt;9E+307)*(表成绩单[历史]&gt;表成绩单[[#This Row],[历史]]))+1)</f>
        <v>279</v>
      </c>
      <c r="W992" s="29" cm="1">
        <f t="array" ref="W992">IF(表成绩单[[#This Row],[总分]]="","",SUMPRODUCT((表成绩单[考试日期]=表成绩单[[#This Row],[考试日期]])*(表成绩单[总分]&lt;9E+307)*(表成绩单[总分]&gt;表成绩单[[#This Row],[总分]]))+1)</f>
        <v>185</v>
      </c>
    </row>
    <row r="993" ht="28" customHeight="1" spans="4:23">
      <c r="D993" s="31">
        <v>46003</v>
      </c>
      <c r="E993" s="29">
        <v>19174785</v>
      </c>
      <c r="F993" s="29" t="s">
        <v>69</v>
      </c>
      <c r="G993" s="29" t="s">
        <v>289</v>
      </c>
      <c r="H993" s="29">
        <v>103</v>
      </c>
      <c r="I993" s="29">
        <v>84</v>
      </c>
      <c r="J993" s="29">
        <v>80.5</v>
      </c>
      <c r="K993" s="29">
        <v>89</v>
      </c>
      <c r="L993" s="29">
        <v>89</v>
      </c>
      <c r="M993" s="29">
        <v>77</v>
      </c>
      <c r="N993" s="29">
        <v>76</v>
      </c>
      <c r="O993" s="32">
        <v>598.5</v>
      </c>
      <c r="P993" s="29" cm="1">
        <f t="array" ref="P993">IF(表成绩单[[#This Row],[语文]]="","",SUMPRODUCT((表成绩单[考试日期]=表成绩单[[#This Row],[考试日期]])*(表成绩单[语文]&lt;9E+307)*(表成绩单[语文]&gt;表成绩单[[#This Row],[语文]]))+1)</f>
        <v>333</v>
      </c>
      <c r="Q993" s="29" cm="1">
        <f t="array" ref="Q993">IF(表成绩单[[#This Row],[数学]]="","",SUMPRODUCT((表成绩单[考试日期]=表成绩单[[#This Row],[考试日期]])*(表成绩单[数学]&lt;9E+307)*(表成绩单[数学]&gt;表成绩单[[#This Row],[数学]]))+1)</f>
        <v>259</v>
      </c>
      <c r="R993" s="29" cm="1">
        <f t="array" ref="R993">IF(表成绩单[[#This Row],[英语]]="","",SUMPRODUCT((表成绩单[考试日期]=表成绩单[[#This Row],[考试日期]])*(表成绩单[英语]&lt;9E+307)*(表成绩单[英语]&gt;表成绩单[[#This Row],[英语]]))+1)</f>
        <v>147</v>
      </c>
      <c r="S993" s="29" cm="1">
        <f t="array" ref="S993">IF(表成绩单[[#This Row],[物理]]="","",SUMPRODUCT((表成绩单[考试日期]=表成绩单[[#This Row],[考试日期]])*(表成绩单[物理]&lt;9E+307)*(表成绩单[物理]&gt;表成绩单[[#This Row],[物理]]))+1)</f>
        <v>269</v>
      </c>
      <c r="T993" s="29" cm="1">
        <f t="array" ref="T993">IF(表成绩单[[#This Row],[化学]]="","",SUMPRODUCT((表成绩单[考试日期]=表成绩单[[#This Row],[考试日期]])*(表成绩单[化学]&lt;9E+307)*(表成绩单[化学]&gt;表成绩单[[#This Row],[化学]]))+1)</f>
        <v>157</v>
      </c>
      <c r="U993" s="29" cm="1">
        <f t="array" ref="U993">IF(表成绩单[[#This Row],[政治]]="","",SUMPRODUCT((表成绩单[考试日期]=表成绩单[[#This Row],[考试日期]])*(表成绩单[政治]&lt;9E+307)*(表成绩单[政治]&gt;表成绩单[[#This Row],[政治]]))+1)</f>
        <v>64</v>
      </c>
      <c r="V993" s="29" cm="1">
        <f t="array" ref="V993">IF(表成绩单[[#This Row],[历史]]="","",SUMPRODUCT((表成绩单[考试日期]=表成绩单[[#This Row],[考试日期]])*(表成绩单[历史]&lt;9E+307)*(表成绩单[历史]&gt;表成绩单[[#This Row],[历史]]))+1)</f>
        <v>279</v>
      </c>
      <c r="W993" s="29" cm="1">
        <f t="array" ref="W993">IF(表成绩单[[#This Row],[总分]]="","",SUMPRODUCT((表成绩单[考试日期]=表成绩单[[#This Row],[考试日期]])*(表成绩单[总分]&lt;9E+307)*(表成绩单[总分]&gt;表成绩单[[#This Row],[总分]]))+1)</f>
        <v>188</v>
      </c>
    </row>
    <row r="994" ht="28" customHeight="1" spans="4:23">
      <c r="D994" s="31">
        <v>46003</v>
      </c>
      <c r="E994" s="29">
        <v>19178606</v>
      </c>
      <c r="F994" s="29" t="s">
        <v>64</v>
      </c>
      <c r="G994" s="29" t="s">
        <v>318</v>
      </c>
      <c r="H994" s="29">
        <v>112</v>
      </c>
      <c r="I994" s="29">
        <v>86</v>
      </c>
      <c r="J994" s="29">
        <v>71.5</v>
      </c>
      <c r="K994" s="29">
        <v>96</v>
      </c>
      <c r="L994" s="29">
        <v>91</v>
      </c>
      <c r="M994" s="29">
        <v>64</v>
      </c>
      <c r="N994" s="29">
        <v>78</v>
      </c>
      <c r="O994" s="32">
        <v>598.5</v>
      </c>
      <c r="P994" s="29" cm="1">
        <f t="array" ref="P994">IF(表成绩单[[#This Row],[语文]]="","",SUMPRODUCT((表成绩单[考试日期]=表成绩单[[#This Row],[考试日期]])*(表成绩单[语文]&lt;9E+307)*(表成绩单[语文]&gt;表成绩单[[#This Row],[语文]]))+1)</f>
        <v>36</v>
      </c>
      <c r="Q994" s="29" cm="1">
        <f t="array" ref="Q994">IF(表成绩单[[#This Row],[数学]]="","",SUMPRODUCT((表成绩单[考试日期]=表成绩单[[#This Row],[考试日期]])*(表成绩单[数学]&lt;9E+307)*(表成绩单[数学]&gt;表成绩单[[#This Row],[数学]]))+1)</f>
        <v>231</v>
      </c>
      <c r="R994" s="29" cm="1">
        <f t="array" ref="R994">IF(表成绩单[[#This Row],[英语]]="","",SUMPRODUCT((表成绩单[考试日期]=表成绩单[[#This Row],[考试日期]])*(表成绩单[英语]&lt;9E+307)*(表成绩单[英语]&gt;表成绩单[[#This Row],[英语]]))+1)</f>
        <v>396</v>
      </c>
      <c r="S994" s="29" cm="1">
        <f t="array" ref="S994">IF(表成绩单[[#This Row],[物理]]="","",SUMPRODUCT((表成绩单[考试日期]=表成绩单[[#This Row],[考试日期]])*(表成绩单[物理]&lt;9E+307)*(表成绩单[物理]&gt;表成绩单[[#This Row],[物理]]))+1)</f>
        <v>64</v>
      </c>
      <c r="T994" s="29" cm="1">
        <f t="array" ref="T994">IF(表成绩单[[#This Row],[化学]]="","",SUMPRODUCT((表成绩单[考试日期]=表成绩单[[#This Row],[考试日期]])*(表成绩单[化学]&lt;9E+307)*(表成绩单[化学]&gt;表成绩单[[#This Row],[化学]]))+1)</f>
        <v>127</v>
      </c>
      <c r="U994" s="29" cm="1">
        <f t="array" ref="U994">IF(表成绩单[[#This Row],[政治]]="","",SUMPRODUCT((表成绩单[考试日期]=表成绩单[[#This Row],[考试日期]])*(表成绩单[政治]&lt;9E+307)*(表成绩单[政治]&gt;表成绩单[[#This Row],[政治]]))+1)</f>
        <v>337</v>
      </c>
      <c r="V994" s="29" cm="1">
        <f t="array" ref="V994">IF(表成绩单[[#This Row],[历史]]="","",SUMPRODUCT((表成绩单[考试日期]=表成绩单[[#This Row],[考试日期]])*(表成绩单[历史]&lt;9E+307)*(表成绩单[历史]&gt;表成绩单[[#This Row],[历史]]))+1)</f>
        <v>190</v>
      </c>
      <c r="W994" s="29" cm="1">
        <f t="array" ref="W994">IF(表成绩单[[#This Row],[总分]]="","",SUMPRODUCT((表成绩单[考试日期]=表成绩单[[#This Row],[考试日期]])*(表成绩单[总分]&lt;9E+307)*(表成绩单[总分]&gt;表成绩单[[#This Row],[总分]]))+1)</f>
        <v>188</v>
      </c>
    </row>
    <row r="995" ht="28" customHeight="1" spans="4:23">
      <c r="D995" s="31">
        <v>46003</v>
      </c>
      <c r="E995" s="29">
        <v>19174801</v>
      </c>
      <c r="F995" s="29" t="s">
        <v>69</v>
      </c>
      <c r="G995" s="29" t="s">
        <v>279</v>
      </c>
      <c r="H995" s="29">
        <v>109</v>
      </c>
      <c r="I995" s="29">
        <v>82</v>
      </c>
      <c r="J995" s="29">
        <v>77.5</v>
      </c>
      <c r="K995" s="29">
        <v>85</v>
      </c>
      <c r="L995" s="29">
        <v>87</v>
      </c>
      <c r="M995" s="29">
        <v>79</v>
      </c>
      <c r="N995" s="29">
        <v>78</v>
      </c>
      <c r="O995" s="32">
        <v>597.5</v>
      </c>
      <c r="P995" s="29" cm="1">
        <f t="array" ref="P995">IF(表成绩单[[#This Row],[语文]]="","",SUMPRODUCT((表成绩单[考试日期]=表成绩单[[#This Row],[考试日期]])*(表成绩单[语文]&lt;9E+307)*(表成绩单[语文]&gt;表成绩单[[#This Row],[语文]]))+1)</f>
        <v>111</v>
      </c>
      <c r="Q995" s="29" cm="1">
        <f t="array" ref="Q995">IF(表成绩单[[#This Row],[数学]]="","",SUMPRODUCT((表成绩单[考试日期]=表成绩单[[#This Row],[考试日期]])*(表成绩单[数学]&lt;9E+307)*(表成绩单[数学]&gt;表成绩单[[#This Row],[数学]]))+1)</f>
        <v>290</v>
      </c>
      <c r="R995" s="29" cm="1">
        <f t="array" ref="R995">IF(表成绩单[[#This Row],[英语]]="","",SUMPRODUCT((表成绩单[考试日期]=表成绩单[[#This Row],[考试日期]])*(表成绩单[英语]&lt;9E+307)*(表成绩单[英语]&gt;表成绩单[[#This Row],[英语]]))+1)</f>
        <v>230</v>
      </c>
      <c r="S995" s="29" cm="1">
        <f t="array" ref="S995">IF(表成绩单[[#This Row],[物理]]="","",SUMPRODUCT((表成绩单[考试日期]=表成绩单[[#This Row],[考试日期]])*(表成绩单[物理]&lt;9E+307)*(表成绩单[物理]&gt;表成绩单[[#This Row],[物理]]))+1)</f>
        <v>348</v>
      </c>
      <c r="T995" s="29" cm="1">
        <f t="array" ref="T995">IF(表成绩单[[#This Row],[化学]]="","",SUMPRODUCT((表成绩单[考试日期]=表成绩单[[#This Row],[考试日期]])*(表成绩单[化学]&lt;9E+307)*(表成绩单[化学]&gt;表成绩单[[#This Row],[化学]]))+1)</f>
        <v>201</v>
      </c>
      <c r="U995" s="29" cm="1">
        <f t="array" ref="U995">IF(表成绩单[[#This Row],[政治]]="","",SUMPRODUCT((表成绩单[考试日期]=表成绩单[[#This Row],[考试日期]])*(表成绩单[政治]&lt;9E+307)*(表成绩单[政治]&gt;表成绩单[[#This Row],[政治]]))+1)</f>
        <v>36</v>
      </c>
      <c r="V995" s="29" cm="1">
        <f t="array" ref="V995">IF(表成绩单[[#This Row],[历史]]="","",SUMPRODUCT((表成绩单[考试日期]=表成绩单[[#This Row],[考试日期]])*(表成绩单[历史]&lt;9E+307)*(表成绩单[历史]&gt;表成绩单[[#This Row],[历史]]))+1)</f>
        <v>190</v>
      </c>
      <c r="W995" s="29" cm="1">
        <f t="array" ref="W995">IF(表成绩单[[#This Row],[总分]]="","",SUMPRODUCT((表成绩单[考试日期]=表成绩单[[#This Row],[考试日期]])*(表成绩单[总分]&lt;9E+307)*(表成绩单[总分]&gt;表成绩单[[#This Row],[总分]]))+1)</f>
        <v>190</v>
      </c>
    </row>
    <row r="996" ht="28" customHeight="1" spans="4:23">
      <c r="D996" s="31">
        <v>46003</v>
      </c>
      <c r="E996" s="29">
        <v>19177214</v>
      </c>
      <c r="F996" s="29" t="s">
        <v>70</v>
      </c>
      <c r="G996" s="29" t="s">
        <v>283</v>
      </c>
      <c r="H996" s="29">
        <v>104</v>
      </c>
      <c r="I996" s="29">
        <v>92</v>
      </c>
      <c r="J996" s="29">
        <v>77.5</v>
      </c>
      <c r="K996" s="29">
        <v>96</v>
      </c>
      <c r="L996" s="29">
        <v>82</v>
      </c>
      <c r="M996" s="29">
        <v>67</v>
      </c>
      <c r="N996" s="29">
        <v>79</v>
      </c>
      <c r="O996" s="32">
        <v>597.5</v>
      </c>
      <c r="P996" s="29" cm="1">
        <f t="array" ref="P996">IF(表成绩单[[#This Row],[语文]]="","",SUMPRODUCT((表成绩单[考试日期]=表成绩单[[#This Row],[考试日期]])*(表成绩单[语文]&lt;9E+307)*(表成绩单[语文]&gt;表成绩单[[#This Row],[语文]]))+1)</f>
        <v>290</v>
      </c>
      <c r="Q996" s="29" cm="1">
        <f t="array" ref="Q996">IF(表成绩单[[#This Row],[数学]]="","",SUMPRODUCT((表成绩单[考试日期]=表成绩单[[#This Row],[考试日期]])*(表成绩单[数学]&lt;9E+307)*(表成绩单[数学]&gt;表成绩单[[#This Row],[数学]]))+1)</f>
        <v>170</v>
      </c>
      <c r="R996" s="29" cm="1">
        <f t="array" ref="R996">IF(表成绩单[[#This Row],[英语]]="","",SUMPRODUCT((表成绩单[考试日期]=表成绩单[[#This Row],[考试日期]])*(表成绩单[英语]&lt;9E+307)*(表成绩单[英语]&gt;表成绩单[[#This Row],[英语]]))+1)</f>
        <v>230</v>
      </c>
      <c r="S996" s="29" cm="1">
        <f t="array" ref="S996">IF(表成绩单[[#This Row],[物理]]="","",SUMPRODUCT((表成绩单[考试日期]=表成绩单[[#This Row],[考试日期]])*(表成绩单[物理]&lt;9E+307)*(表成绩单[物理]&gt;表成绩单[[#This Row],[物理]]))+1)</f>
        <v>64</v>
      </c>
      <c r="T996" s="29" cm="1">
        <f t="array" ref="T996">IF(表成绩单[[#This Row],[化学]]="","",SUMPRODUCT((表成绩单[考试日期]=表成绩单[[#This Row],[考试日期]])*(表成绩单[化学]&lt;9E+307)*(表成绩单[化学]&gt;表成绩单[[#This Row],[化学]]))+1)</f>
        <v>286</v>
      </c>
      <c r="U996" s="29" cm="1">
        <f t="array" ref="U996">IF(表成绩单[[#This Row],[政治]]="","",SUMPRODUCT((表成绩单[考试日期]=表成绩单[[#This Row],[考试日期]])*(表成绩单[政治]&lt;9E+307)*(表成绩单[政治]&gt;表成绩单[[#This Row],[政治]]))+1)</f>
        <v>264</v>
      </c>
      <c r="V996" s="29" cm="1">
        <f t="array" ref="V996">IF(表成绩单[[#This Row],[历史]]="","",SUMPRODUCT((表成绩单[考试日期]=表成绩单[[#This Row],[考试日期]])*(表成绩单[历史]&lt;9E+307)*(表成绩单[历史]&gt;表成绩单[[#This Row],[历史]]))+1)</f>
        <v>149</v>
      </c>
      <c r="W996" s="29" cm="1">
        <f t="array" ref="W996">IF(表成绩单[[#This Row],[总分]]="","",SUMPRODUCT((表成绩单[考试日期]=表成绩单[[#This Row],[考试日期]])*(表成绩单[总分]&lt;9E+307)*(表成绩单[总分]&gt;表成绩单[[#This Row],[总分]]))+1)</f>
        <v>190</v>
      </c>
    </row>
    <row r="997" ht="28" customHeight="1" spans="4:23">
      <c r="D997" s="31">
        <v>46003</v>
      </c>
      <c r="E997" s="29">
        <v>19167657</v>
      </c>
      <c r="F997" s="29" t="s">
        <v>1</v>
      </c>
      <c r="G997" s="29" t="s">
        <v>214</v>
      </c>
      <c r="H997" s="29">
        <v>108</v>
      </c>
      <c r="I997" s="29">
        <v>86</v>
      </c>
      <c r="J997" s="29">
        <v>85</v>
      </c>
      <c r="K997" s="29">
        <v>90</v>
      </c>
      <c r="L997" s="29">
        <v>79</v>
      </c>
      <c r="M997" s="29">
        <v>66</v>
      </c>
      <c r="N997" s="29">
        <v>83</v>
      </c>
      <c r="O997" s="32">
        <v>597</v>
      </c>
      <c r="P997" s="29" cm="1">
        <f t="array" ref="P997">IF(表成绩单[[#This Row],[语文]]="","",SUMPRODUCT((表成绩单[考试日期]=表成绩单[[#This Row],[考试日期]])*(表成绩单[语文]&lt;9E+307)*(表成绩单[语文]&gt;表成绩单[[#This Row],[语文]]))+1)</f>
        <v>154</v>
      </c>
      <c r="Q997" s="29" cm="1">
        <f t="array" ref="Q997">IF(表成绩单[[#This Row],[数学]]="","",SUMPRODUCT((表成绩单[考试日期]=表成绩单[[#This Row],[考试日期]])*(表成绩单[数学]&lt;9E+307)*(表成绩单[数学]&gt;表成绩单[[#This Row],[数学]]))+1)</f>
        <v>231</v>
      </c>
      <c r="R997" s="29" cm="1">
        <f t="array" ref="R997">IF(表成绩单[[#This Row],[英语]]="","",SUMPRODUCT((表成绩单[考试日期]=表成绩单[[#This Row],[考试日期]])*(表成绩单[英语]&lt;9E+307)*(表成绩单[英语]&gt;表成绩单[[#This Row],[英语]]))+1)</f>
        <v>30</v>
      </c>
      <c r="S997" s="29" cm="1">
        <f t="array" ref="S997">IF(表成绩单[[#This Row],[物理]]="","",SUMPRODUCT((表成绩单[考试日期]=表成绩单[[#This Row],[考试日期]])*(表成绩单[物理]&lt;9E+307)*(表成绩单[物理]&gt;表成绩单[[#This Row],[物理]]))+1)</f>
        <v>237</v>
      </c>
      <c r="T997" s="29" cm="1">
        <f t="array" ref="T997">IF(表成绩单[[#This Row],[化学]]="","",SUMPRODUCT((表成绩单[考试日期]=表成绩单[[#This Row],[考试日期]])*(表成绩单[化学]&lt;9E+307)*(表成绩单[化学]&gt;表成绩单[[#This Row],[化学]]))+1)</f>
        <v>351</v>
      </c>
      <c r="U997" s="29" cm="1">
        <f t="array" ref="U997">IF(表成绩单[[#This Row],[政治]]="","",SUMPRODUCT((表成绩单[考试日期]=表成绩单[[#This Row],[考试日期]])*(表成绩单[政治]&lt;9E+307)*(表成绩单[政治]&gt;表成绩单[[#This Row],[政治]]))+1)</f>
        <v>289</v>
      </c>
      <c r="V997" s="29" cm="1">
        <f t="array" ref="V997">IF(表成绩单[[#This Row],[历史]]="","",SUMPRODUCT((表成绩单[考试日期]=表成绩单[[#This Row],[考试日期]])*(表成绩单[历史]&lt;9E+307)*(表成绩单[历史]&gt;表成绩单[[#This Row],[历史]]))+1)</f>
        <v>46</v>
      </c>
      <c r="W997" s="29" cm="1">
        <f t="array" ref="W997">IF(表成绩单[[#This Row],[总分]]="","",SUMPRODUCT((表成绩单[考试日期]=表成绩单[[#This Row],[考试日期]])*(表成绩单[总分]&lt;9E+307)*(表成绩单[总分]&gt;表成绩单[[#This Row],[总分]]))+1)</f>
        <v>192</v>
      </c>
    </row>
    <row r="998" ht="28" customHeight="1" spans="4:23">
      <c r="D998" s="31">
        <v>46003</v>
      </c>
      <c r="E998" s="29">
        <v>19175297</v>
      </c>
      <c r="F998" s="29" t="s">
        <v>55</v>
      </c>
      <c r="G998" s="29" t="s">
        <v>376</v>
      </c>
      <c r="H998" s="29">
        <v>105</v>
      </c>
      <c r="I998" s="29">
        <v>93</v>
      </c>
      <c r="J998" s="29">
        <v>66</v>
      </c>
      <c r="K998" s="29">
        <v>95</v>
      </c>
      <c r="L998" s="29">
        <v>95</v>
      </c>
      <c r="M998" s="29">
        <v>68</v>
      </c>
      <c r="N998" s="29">
        <v>75</v>
      </c>
      <c r="O998" s="32">
        <v>597</v>
      </c>
      <c r="P998" s="29" cm="1">
        <f t="array" ref="P998">IF(表成绩单[[#This Row],[语文]]="","",SUMPRODUCT((表成绩单[考试日期]=表成绩单[[#This Row],[考试日期]])*(表成绩单[语文]&lt;9E+307)*(表成绩单[语文]&gt;表成绩单[[#This Row],[语文]]))+1)</f>
        <v>247</v>
      </c>
      <c r="Q998" s="29" cm="1">
        <f t="array" ref="Q998">IF(表成绩单[[#This Row],[数学]]="","",SUMPRODUCT((表成绩单[考试日期]=表成绩单[[#This Row],[考试日期]])*(表成绩单[数学]&lt;9E+307)*(表成绩单[数学]&gt;表成绩单[[#This Row],[数学]]))+1)</f>
        <v>155</v>
      </c>
      <c r="R998" s="29" cm="1">
        <f t="array" ref="R998">IF(表成绩单[[#This Row],[英语]]="","",SUMPRODUCT((表成绩单[考试日期]=表成绩单[[#This Row],[考试日期]])*(表成绩单[英语]&lt;9E+307)*(表成绩单[英语]&gt;表成绩单[[#This Row],[英语]]))+1)</f>
        <v>467</v>
      </c>
      <c r="S998" s="29" cm="1">
        <f t="array" ref="S998">IF(表成绩单[[#This Row],[物理]]="","",SUMPRODUCT((表成绩单[考试日期]=表成绩单[[#This Row],[考试日期]])*(表成绩单[物理]&lt;9E+307)*(表成绩单[物理]&gt;表成绩单[[#This Row],[物理]]))+1)</f>
        <v>97</v>
      </c>
      <c r="T998" s="29" cm="1">
        <f t="array" ref="T998">IF(表成绩单[[#This Row],[化学]]="","",SUMPRODUCT((表成绩单[考试日期]=表成绩单[[#This Row],[考试日期]])*(表成绩单[化学]&lt;9E+307)*(表成绩单[化学]&gt;表成绩单[[#This Row],[化学]]))+1)</f>
        <v>37</v>
      </c>
      <c r="U998" s="29" cm="1">
        <f t="array" ref="U998">IF(表成绩单[[#This Row],[政治]]="","",SUMPRODUCT((表成绩单[考试日期]=表成绩单[[#This Row],[考试日期]])*(表成绩单[政治]&lt;9E+307)*(表成绩单[政治]&gt;表成绩单[[#This Row],[政治]]))+1)</f>
        <v>237</v>
      </c>
      <c r="V998" s="29" cm="1">
        <f t="array" ref="V998">IF(表成绩单[[#This Row],[历史]]="","",SUMPRODUCT((表成绩单[考试日期]=表成绩单[[#This Row],[考试日期]])*(表成绩单[历史]&lt;9E+307)*(表成绩单[历史]&gt;表成绩单[[#This Row],[历史]]))+1)</f>
        <v>329</v>
      </c>
      <c r="W998" s="29" cm="1">
        <f t="array" ref="W998">IF(表成绩单[[#This Row],[总分]]="","",SUMPRODUCT((表成绩单[考试日期]=表成绩单[[#This Row],[考试日期]])*(表成绩单[总分]&lt;9E+307)*(表成绩单[总分]&gt;表成绩单[[#This Row],[总分]]))+1)</f>
        <v>192</v>
      </c>
    </row>
    <row r="999" ht="28" customHeight="1" spans="4:23">
      <c r="D999" s="31">
        <v>46003</v>
      </c>
      <c r="E999" s="29">
        <v>19175704</v>
      </c>
      <c r="F999" s="29" t="s">
        <v>72</v>
      </c>
      <c r="G999" s="29" t="s">
        <v>291</v>
      </c>
      <c r="H999" s="29">
        <v>115</v>
      </c>
      <c r="I999" s="29">
        <v>80</v>
      </c>
      <c r="J999" s="29">
        <v>83.5</v>
      </c>
      <c r="K999" s="29">
        <v>96</v>
      </c>
      <c r="L999" s="29">
        <v>72</v>
      </c>
      <c r="M999" s="29">
        <v>74</v>
      </c>
      <c r="N999" s="29">
        <v>76</v>
      </c>
      <c r="O999" s="32">
        <v>596.5</v>
      </c>
      <c r="P999" s="29" cm="1">
        <f t="array" ref="P999">IF(表成绩单[[#This Row],[语文]]="","",SUMPRODUCT((表成绩单[考试日期]=表成绩单[[#This Row],[考试日期]])*(表成绩单[语文]&lt;9E+307)*(表成绩单[语文]&gt;表成绩单[[#This Row],[语文]]))+1)</f>
        <v>7</v>
      </c>
      <c r="Q999" s="29" cm="1">
        <f t="array" ref="Q999">IF(表成绩单[[#This Row],[数学]]="","",SUMPRODUCT((表成绩单[考试日期]=表成绩单[[#This Row],[考试日期]])*(表成绩单[数学]&lt;9E+307)*(表成绩单[数学]&gt;表成绩单[[#This Row],[数学]]))+1)</f>
        <v>310</v>
      </c>
      <c r="R999" s="29" cm="1">
        <f t="array" ref="R999">IF(表成绩单[[#This Row],[英语]]="","",SUMPRODUCT((表成绩单[考试日期]=表成绩单[[#This Row],[考试日期]])*(表成绩单[英语]&lt;9E+307)*(表成绩单[英语]&gt;表成绩单[[#This Row],[英语]]))+1)</f>
        <v>57</v>
      </c>
      <c r="S999" s="29" cm="1">
        <f t="array" ref="S999">IF(表成绩单[[#This Row],[物理]]="","",SUMPRODUCT((表成绩单[考试日期]=表成绩单[[#This Row],[考试日期]])*(表成绩单[物理]&lt;9E+307)*(表成绩单[物理]&gt;表成绩单[[#This Row],[物理]]))+1)</f>
        <v>64</v>
      </c>
      <c r="T999" s="29" cm="1">
        <f t="array" ref="T999">IF(表成绩单[[#This Row],[化学]]="","",SUMPRODUCT((表成绩单[考试日期]=表成绩单[[#This Row],[考试日期]])*(表成绩单[化学]&lt;9E+307)*(表成绩单[化学]&gt;表成绩单[[#This Row],[化学]]))+1)</f>
        <v>472</v>
      </c>
      <c r="U999" s="29" cm="1">
        <f t="array" ref="U999">IF(表成绩单[[#This Row],[政治]]="","",SUMPRODUCT((表成绩单[考试日期]=表成绩单[[#This Row],[考试日期]])*(表成绩单[政治]&lt;9E+307)*(表成绩单[政治]&gt;表成绩单[[#This Row],[政治]]))+1)</f>
        <v>121</v>
      </c>
      <c r="V999" s="29" cm="1">
        <f t="array" ref="V999">IF(表成绩单[[#This Row],[历史]]="","",SUMPRODUCT((表成绩单[考试日期]=表成绩单[[#This Row],[考试日期]])*(表成绩单[历史]&lt;9E+307)*(表成绩单[历史]&gt;表成绩单[[#This Row],[历史]]))+1)</f>
        <v>279</v>
      </c>
      <c r="W999" s="29" cm="1">
        <f t="array" ref="W999">IF(表成绩单[[#This Row],[总分]]="","",SUMPRODUCT((表成绩单[考试日期]=表成绩单[[#This Row],[考试日期]])*(表成绩单[总分]&lt;9E+307)*(表成绩单[总分]&gt;表成绩单[[#This Row],[总分]]))+1)</f>
        <v>194</v>
      </c>
    </row>
    <row r="1000" ht="28" customHeight="1" spans="4:23">
      <c r="D1000" s="31">
        <v>46003</v>
      </c>
      <c r="E1000" s="29">
        <v>19171092</v>
      </c>
      <c r="F1000" s="29" t="s">
        <v>67</v>
      </c>
      <c r="G1000" s="29" t="s">
        <v>341</v>
      </c>
      <c r="H1000" s="29">
        <v>106</v>
      </c>
      <c r="I1000" s="29">
        <v>92</v>
      </c>
      <c r="J1000" s="29">
        <v>80.5</v>
      </c>
      <c r="K1000" s="29">
        <v>87</v>
      </c>
      <c r="L1000" s="29">
        <v>90</v>
      </c>
      <c r="M1000" s="29">
        <v>66</v>
      </c>
      <c r="N1000" s="29">
        <v>74</v>
      </c>
      <c r="O1000" s="32">
        <v>595.5</v>
      </c>
      <c r="P1000" s="29" cm="1">
        <f t="array" ref="P1000">IF(表成绩单[[#This Row],[语文]]="","",SUMPRODUCT((表成绩单[考试日期]=表成绩单[[#This Row],[考试日期]])*(表成绩单[语文]&lt;9E+307)*(表成绩单[语文]&gt;表成绩单[[#This Row],[语文]]))+1)</f>
        <v>210</v>
      </c>
      <c r="Q1000" s="29" cm="1">
        <f t="array" ref="Q1000">IF(表成绩单[[#This Row],[数学]]="","",SUMPRODUCT((表成绩单[考试日期]=表成绩单[[#This Row],[考试日期]])*(表成绩单[数学]&lt;9E+307)*(表成绩单[数学]&gt;表成绩单[[#This Row],[数学]]))+1)</f>
        <v>170</v>
      </c>
      <c r="R1000" s="29" cm="1">
        <f t="array" ref="R1000">IF(表成绩单[[#This Row],[英语]]="","",SUMPRODUCT((表成绩单[考试日期]=表成绩单[[#This Row],[考试日期]])*(表成绩单[英语]&lt;9E+307)*(表成绩单[英语]&gt;表成绩单[[#This Row],[英语]]))+1)</f>
        <v>147</v>
      </c>
      <c r="S1000" s="29" cm="1">
        <f t="array" ref="S1000">IF(表成绩单[[#This Row],[物理]]="","",SUMPRODUCT((表成绩单[考试日期]=表成绩单[[#This Row],[考试日期]])*(表成绩单[物理]&lt;9E+307)*(表成绩单[物理]&gt;表成绩单[[#This Row],[物理]]))+1)</f>
        <v>306</v>
      </c>
      <c r="T1000" s="29" cm="1">
        <f t="array" ref="T1000">IF(表成绩单[[#This Row],[化学]]="","",SUMPRODUCT((表成绩单[考试日期]=表成绩单[[#This Row],[考试日期]])*(表成绩单[化学]&lt;9E+307)*(表成绩单[化学]&gt;表成绩单[[#This Row],[化学]]))+1)</f>
        <v>140</v>
      </c>
      <c r="U1000" s="29" cm="1">
        <f t="array" ref="U1000">IF(表成绩单[[#This Row],[政治]]="","",SUMPRODUCT((表成绩单[考试日期]=表成绩单[[#This Row],[考试日期]])*(表成绩单[政治]&lt;9E+307)*(表成绩单[政治]&gt;表成绩单[[#This Row],[政治]]))+1)</f>
        <v>289</v>
      </c>
      <c r="V1000" s="29" cm="1">
        <f t="array" ref="V1000">IF(表成绩单[[#This Row],[历史]]="","",SUMPRODUCT((表成绩单[考试日期]=表成绩单[[#This Row],[考试日期]])*(表成绩单[历史]&lt;9E+307)*(表成绩单[历史]&gt;表成绩单[[#This Row],[历史]]))+1)</f>
        <v>371</v>
      </c>
      <c r="W1000" s="29" cm="1">
        <f t="array" ref="W1000">IF(表成绩单[[#This Row],[总分]]="","",SUMPRODUCT((表成绩单[考试日期]=表成绩单[[#This Row],[考试日期]])*(表成绩单[总分]&lt;9E+307)*(表成绩单[总分]&gt;表成绩单[[#This Row],[总分]]))+1)</f>
        <v>195</v>
      </c>
    </row>
    <row r="1001" ht="28" customHeight="1" spans="4:23">
      <c r="D1001" s="31">
        <v>46003</v>
      </c>
      <c r="E1001" s="29">
        <v>19175381</v>
      </c>
      <c r="F1001" s="29" t="s">
        <v>74</v>
      </c>
      <c r="G1001" s="29" t="s">
        <v>260</v>
      </c>
      <c r="H1001" s="29">
        <v>100</v>
      </c>
      <c r="I1001" s="29">
        <v>101</v>
      </c>
      <c r="J1001" s="29">
        <v>83.5</v>
      </c>
      <c r="K1001" s="29">
        <v>86</v>
      </c>
      <c r="L1001" s="29">
        <v>91</v>
      </c>
      <c r="M1001" s="29">
        <v>57</v>
      </c>
      <c r="N1001" s="29">
        <v>77</v>
      </c>
      <c r="O1001" s="32">
        <v>595.5</v>
      </c>
      <c r="P1001" s="29" cm="1">
        <f t="array" ref="P1001">IF(表成绩单[[#This Row],[语文]]="","",SUMPRODUCT((表成绩单[考试日期]=表成绩单[[#This Row],[考试日期]])*(表成绩单[语文]&lt;9E+307)*(表成绩单[语文]&gt;表成绩单[[#This Row],[语文]]))+1)</f>
        <v>414</v>
      </c>
      <c r="Q1001" s="29" cm="1">
        <f t="array" ref="Q1001">IF(表成绩单[[#This Row],[数学]]="","",SUMPRODUCT((表成绩单[考试日期]=表成绩单[[#This Row],[考试日期]])*(表成绩单[数学]&lt;9E+307)*(表成绩单[数学]&gt;表成绩单[[#This Row],[数学]]))+1)</f>
        <v>68</v>
      </c>
      <c r="R1001" s="29" cm="1">
        <f t="array" ref="R1001">IF(表成绩单[[#This Row],[英语]]="","",SUMPRODUCT((表成绩单[考试日期]=表成绩单[[#This Row],[考试日期]])*(表成绩单[英语]&lt;9E+307)*(表成绩单[英语]&gt;表成绩单[[#This Row],[英语]]))+1)</f>
        <v>57</v>
      </c>
      <c r="S1001" s="29" cm="1">
        <f t="array" ref="S1001">IF(表成绩单[[#This Row],[物理]]="","",SUMPRODUCT((表成绩单[考试日期]=表成绩单[[#This Row],[考试日期]])*(表成绩单[物理]&lt;9E+307)*(表成绩单[物理]&gt;表成绩单[[#This Row],[物理]]))+1)</f>
        <v>336</v>
      </c>
      <c r="T1001" s="29" cm="1">
        <f t="array" ref="T1001">IF(表成绩单[[#This Row],[化学]]="","",SUMPRODUCT((表成绩单[考试日期]=表成绩单[[#This Row],[考试日期]])*(表成绩单[化学]&lt;9E+307)*(表成绩单[化学]&gt;表成绩单[[#This Row],[化学]]))+1)</f>
        <v>127</v>
      </c>
      <c r="U1001" s="29" cm="1">
        <f t="array" ref="U1001">IF(表成绩单[[#This Row],[政治]]="","",SUMPRODUCT((表成绩单[考试日期]=表成绩单[[#This Row],[考试日期]])*(表成绩单[政治]&lt;9E+307)*(表成绩单[政治]&gt;表成绩单[[#This Row],[政治]]))+1)</f>
        <v>474</v>
      </c>
      <c r="V1001" s="29" cm="1">
        <f t="array" ref="V1001">IF(表成绩单[[#This Row],[历史]]="","",SUMPRODUCT((表成绩单[考试日期]=表成绩单[[#This Row],[考试日期]])*(表成绩单[历史]&lt;9E+307)*(表成绩单[历史]&gt;表成绩单[[#This Row],[历史]]))+1)</f>
        <v>235</v>
      </c>
      <c r="W1001" s="29" cm="1">
        <f t="array" ref="W1001">IF(表成绩单[[#This Row],[总分]]="","",SUMPRODUCT((表成绩单[考试日期]=表成绩单[[#This Row],[考试日期]])*(表成绩单[总分]&lt;9E+307)*(表成绩单[总分]&gt;表成绩单[[#This Row],[总分]]))+1)</f>
        <v>195</v>
      </c>
    </row>
    <row r="1002" ht="28" customHeight="1" spans="4:23">
      <c r="D1002" s="31">
        <v>46003</v>
      </c>
      <c r="E1002" s="29">
        <v>19175643</v>
      </c>
      <c r="F1002" s="29" t="s">
        <v>66</v>
      </c>
      <c r="G1002" s="29" t="s">
        <v>139</v>
      </c>
      <c r="H1002" s="29">
        <v>106</v>
      </c>
      <c r="I1002" s="29">
        <v>75</v>
      </c>
      <c r="J1002" s="29">
        <v>85.5</v>
      </c>
      <c r="K1002" s="29">
        <v>97</v>
      </c>
      <c r="L1002" s="29">
        <v>87</v>
      </c>
      <c r="M1002" s="29">
        <v>66</v>
      </c>
      <c r="N1002" s="29">
        <v>79</v>
      </c>
      <c r="O1002" s="32">
        <v>595.5</v>
      </c>
      <c r="P1002" s="29" cm="1">
        <f t="array" ref="P1002">IF(表成绩单[[#This Row],[语文]]="","",SUMPRODUCT((表成绩单[考试日期]=表成绩单[[#This Row],[考试日期]])*(表成绩单[语文]&lt;9E+307)*(表成绩单[语文]&gt;表成绩单[[#This Row],[语文]]))+1)</f>
        <v>210</v>
      </c>
      <c r="Q1002" s="29" cm="1">
        <f t="array" ref="Q1002">IF(表成绩单[[#This Row],[数学]]="","",SUMPRODUCT((表成绩单[考试日期]=表成绩单[[#This Row],[考试日期]])*(表成绩单[数学]&lt;9E+307)*(表成绩单[数学]&gt;表成绩单[[#This Row],[数学]]))+1)</f>
        <v>364</v>
      </c>
      <c r="R1002" s="29" cm="1">
        <f t="array" ref="R1002">IF(表成绩单[[#This Row],[英语]]="","",SUMPRODUCT((表成绩单[考试日期]=表成绩单[[#This Row],[考试日期]])*(表成绩单[英语]&lt;9E+307)*(表成绩单[英语]&gt;表成绩单[[#This Row],[英语]]))+1)</f>
        <v>26</v>
      </c>
      <c r="S1002" s="29" cm="1">
        <f t="array" ref="S1002">IF(表成绩单[[#This Row],[物理]]="","",SUMPRODUCT((表成绩单[考试日期]=表成绩单[[#This Row],[考试日期]])*(表成绩单[物理]&lt;9E+307)*(表成绩单[物理]&gt;表成绩单[[#This Row],[物理]]))+1)</f>
        <v>43</v>
      </c>
      <c r="T1002" s="29" cm="1">
        <f t="array" ref="T1002">IF(表成绩单[[#This Row],[化学]]="","",SUMPRODUCT((表成绩单[考试日期]=表成绩单[[#This Row],[考试日期]])*(表成绩单[化学]&lt;9E+307)*(表成绩单[化学]&gt;表成绩单[[#This Row],[化学]]))+1)</f>
        <v>201</v>
      </c>
      <c r="U1002" s="29" cm="1">
        <f t="array" ref="U1002">IF(表成绩单[[#This Row],[政治]]="","",SUMPRODUCT((表成绩单[考试日期]=表成绩单[[#This Row],[考试日期]])*(表成绩单[政治]&lt;9E+307)*(表成绩单[政治]&gt;表成绩单[[#This Row],[政治]]))+1)</f>
        <v>289</v>
      </c>
      <c r="V1002" s="29" cm="1">
        <f t="array" ref="V1002">IF(表成绩单[[#This Row],[历史]]="","",SUMPRODUCT((表成绩单[考试日期]=表成绩单[[#This Row],[考试日期]])*(表成绩单[历史]&lt;9E+307)*(表成绩单[历史]&gt;表成绩单[[#This Row],[历史]]))+1)</f>
        <v>149</v>
      </c>
      <c r="W1002" s="29" cm="1">
        <f t="array" ref="W1002">IF(表成绩单[[#This Row],[总分]]="","",SUMPRODUCT((表成绩单[考试日期]=表成绩单[[#This Row],[考试日期]])*(表成绩单[总分]&lt;9E+307)*(表成绩单[总分]&gt;表成绩单[[#This Row],[总分]]))+1)</f>
        <v>195</v>
      </c>
    </row>
    <row r="1003" ht="28" customHeight="1" spans="4:23">
      <c r="D1003" s="31">
        <v>46003</v>
      </c>
      <c r="E1003" s="29">
        <v>19174466</v>
      </c>
      <c r="F1003" s="29" t="s">
        <v>73</v>
      </c>
      <c r="G1003" s="29" t="s">
        <v>343</v>
      </c>
      <c r="H1003" s="29">
        <v>114</v>
      </c>
      <c r="I1003" s="29">
        <v>84</v>
      </c>
      <c r="J1003" s="29">
        <v>80</v>
      </c>
      <c r="K1003" s="29">
        <v>93</v>
      </c>
      <c r="L1003" s="29">
        <v>85</v>
      </c>
      <c r="M1003" s="29">
        <v>67</v>
      </c>
      <c r="N1003" s="29">
        <v>72</v>
      </c>
      <c r="O1003" s="32">
        <v>595</v>
      </c>
      <c r="P1003" s="29" cm="1">
        <f t="array" ref="P1003">IF(表成绩单[[#This Row],[语文]]="","",SUMPRODUCT((表成绩单[考试日期]=表成绩单[[#This Row],[考试日期]])*(表成绩单[语文]&lt;9E+307)*(表成绩单[语文]&gt;表成绩单[[#This Row],[语文]]))+1)</f>
        <v>13</v>
      </c>
      <c r="Q1003" s="29" cm="1">
        <f t="array" ref="Q1003">IF(表成绩单[[#This Row],[数学]]="","",SUMPRODUCT((表成绩单[考试日期]=表成绩单[[#This Row],[考试日期]])*(表成绩单[数学]&lt;9E+307)*(表成绩单[数学]&gt;表成绩单[[#This Row],[数学]]))+1)</f>
        <v>259</v>
      </c>
      <c r="R1003" s="29" cm="1">
        <f t="array" ref="R1003">IF(表成绩单[[#This Row],[英语]]="","",SUMPRODUCT((表成绩单[考试日期]=表成绩单[[#This Row],[考试日期]])*(表成绩单[英语]&lt;9E+307)*(表成绩单[英语]&gt;表成绩单[[#This Row],[英语]]))+1)</f>
        <v>170</v>
      </c>
      <c r="S1003" s="29" cm="1">
        <f t="array" ref="S1003">IF(表成绩单[[#This Row],[物理]]="","",SUMPRODUCT((表成绩单[考试日期]=表成绩单[[#This Row],[考试日期]])*(表成绩单[物理]&lt;9E+307)*(表成绩单[物理]&gt;表成绩单[[#This Row],[物理]]))+1)</f>
        <v>163</v>
      </c>
      <c r="T1003" s="29" cm="1">
        <f t="array" ref="T1003">IF(表成绩单[[#This Row],[化学]]="","",SUMPRODUCT((表成绩单[考试日期]=表成绩单[[#This Row],[考试日期]])*(表成绩单[化学]&lt;9E+307)*(表成绩单[化学]&gt;表成绩单[[#This Row],[化学]]))+1)</f>
        <v>240</v>
      </c>
      <c r="U1003" s="29" cm="1">
        <f t="array" ref="U1003">IF(表成绩单[[#This Row],[政治]]="","",SUMPRODUCT((表成绩单[考试日期]=表成绩单[[#This Row],[考试日期]])*(表成绩单[政治]&lt;9E+307)*(表成绩单[政治]&gt;表成绩单[[#This Row],[政治]]))+1)</f>
        <v>264</v>
      </c>
      <c r="V1003" s="29" cm="1">
        <f t="array" ref="V1003">IF(表成绩单[[#This Row],[历史]]="","",SUMPRODUCT((表成绩单[考试日期]=表成绩单[[#This Row],[考试日期]])*(表成绩单[历史]&lt;9E+307)*(表成绩单[历史]&gt;表成绩单[[#This Row],[历史]]))+1)</f>
        <v>439</v>
      </c>
      <c r="W1003" s="29" cm="1">
        <f t="array" ref="W1003">IF(表成绩单[[#This Row],[总分]]="","",SUMPRODUCT((表成绩单[考试日期]=表成绩单[[#This Row],[考试日期]])*(表成绩单[总分]&lt;9E+307)*(表成绩单[总分]&gt;表成绩单[[#This Row],[总分]]))+1)</f>
        <v>198</v>
      </c>
    </row>
    <row r="1004" ht="28" customHeight="1" spans="4:23">
      <c r="D1004" s="31">
        <v>46003</v>
      </c>
      <c r="E1004" s="29">
        <v>19167660</v>
      </c>
      <c r="F1004" s="29" t="s">
        <v>1</v>
      </c>
      <c r="G1004" s="29" t="s">
        <v>374</v>
      </c>
      <c r="H1004" s="29">
        <v>105</v>
      </c>
      <c r="I1004" s="29">
        <v>98</v>
      </c>
      <c r="J1004" s="29">
        <v>76.5</v>
      </c>
      <c r="K1004" s="29">
        <v>87</v>
      </c>
      <c r="L1004" s="29">
        <v>82</v>
      </c>
      <c r="M1004" s="29">
        <v>66</v>
      </c>
      <c r="N1004" s="29">
        <v>80</v>
      </c>
      <c r="O1004" s="32">
        <v>594.5</v>
      </c>
      <c r="P1004" s="29" cm="1">
        <f t="array" ref="P1004">IF(表成绩单[[#This Row],[语文]]="","",SUMPRODUCT((表成绩单[考试日期]=表成绩单[[#This Row],[考试日期]])*(表成绩单[语文]&lt;9E+307)*(表成绩单[语文]&gt;表成绩单[[#This Row],[语文]]))+1)</f>
        <v>247</v>
      </c>
      <c r="Q1004" s="29" cm="1">
        <f t="array" ref="Q1004">IF(表成绩单[[#This Row],[数学]]="","",SUMPRODUCT((表成绩单[考试日期]=表成绩单[[#This Row],[考试日期]])*(表成绩单[数学]&lt;9E+307)*(表成绩单[数学]&gt;表成绩单[[#This Row],[数学]]))+1)</f>
        <v>93</v>
      </c>
      <c r="R1004" s="29" cm="1">
        <f t="array" ref="R1004">IF(表成绩单[[#This Row],[英语]]="","",SUMPRODUCT((表成绩单[考试日期]=表成绩单[[#This Row],[考试日期]])*(表成绩单[英语]&lt;9E+307)*(表成绩单[英语]&gt;表成绩单[[#This Row],[英语]]))+1)</f>
        <v>272</v>
      </c>
      <c r="S1004" s="29" cm="1">
        <f t="array" ref="S1004">IF(表成绩单[[#This Row],[物理]]="","",SUMPRODUCT((表成绩单[考试日期]=表成绩单[[#This Row],[考试日期]])*(表成绩单[物理]&lt;9E+307)*(表成绩单[物理]&gt;表成绩单[[#This Row],[物理]]))+1)</f>
        <v>306</v>
      </c>
      <c r="T1004" s="29" cm="1">
        <f t="array" ref="T1004">IF(表成绩单[[#This Row],[化学]]="","",SUMPRODUCT((表成绩单[考试日期]=表成绩单[[#This Row],[考试日期]])*(表成绩单[化学]&lt;9E+307)*(表成绩单[化学]&gt;表成绩单[[#This Row],[化学]]))+1)</f>
        <v>286</v>
      </c>
      <c r="U1004" s="29" cm="1">
        <f t="array" ref="U1004">IF(表成绩单[[#This Row],[政治]]="","",SUMPRODUCT((表成绩单[考试日期]=表成绩单[[#This Row],[考试日期]])*(表成绩单[政治]&lt;9E+307)*(表成绩单[政治]&gt;表成绩单[[#This Row],[政治]]))+1)</f>
        <v>289</v>
      </c>
      <c r="V1004" s="29" cm="1">
        <f t="array" ref="V1004">IF(表成绩单[[#This Row],[历史]]="","",SUMPRODUCT((表成绩单[考试日期]=表成绩单[[#This Row],[考试日期]])*(表成绩单[历史]&lt;9E+307)*(表成绩单[历史]&gt;表成绩单[[#This Row],[历史]]))+1)</f>
        <v>116</v>
      </c>
      <c r="W1004" s="29" cm="1">
        <f t="array" ref="W1004">IF(表成绩单[[#This Row],[总分]]="","",SUMPRODUCT((表成绩单[考试日期]=表成绩单[[#This Row],[考试日期]])*(表成绩单[总分]&lt;9E+307)*(表成绩单[总分]&gt;表成绩单[[#This Row],[总分]]))+1)</f>
        <v>199</v>
      </c>
    </row>
    <row r="1005" ht="28" customHeight="1" spans="4:23">
      <c r="D1005" s="31">
        <v>46003</v>
      </c>
      <c r="E1005" s="29">
        <v>19174459</v>
      </c>
      <c r="F1005" s="29" t="s">
        <v>73</v>
      </c>
      <c r="G1005" s="29" t="s">
        <v>399</v>
      </c>
      <c r="H1005" s="29">
        <v>109</v>
      </c>
      <c r="I1005" s="29">
        <v>86</v>
      </c>
      <c r="J1005" s="29">
        <v>81.5</v>
      </c>
      <c r="K1005" s="29">
        <v>92</v>
      </c>
      <c r="L1005" s="29">
        <v>81</v>
      </c>
      <c r="M1005" s="29">
        <v>70</v>
      </c>
      <c r="N1005" s="29">
        <v>75</v>
      </c>
      <c r="O1005" s="32">
        <v>594.5</v>
      </c>
      <c r="P1005" s="29" cm="1">
        <f t="array" ref="P1005">IF(表成绩单[[#This Row],[语文]]="","",SUMPRODUCT((表成绩单[考试日期]=表成绩单[[#This Row],[考试日期]])*(表成绩单[语文]&lt;9E+307)*(表成绩单[语文]&gt;表成绩单[[#This Row],[语文]]))+1)</f>
        <v>111</v>
      </c>
      <c r="Q1005" s="29" cm="1">
        <f t="array" ref="Q1005">IF(表成绩单[[#This Row],[数学]]="","",SUMPRODUCT((表成绩单[考试日期]=表成绩单[[#This Row],[考试日期]])*(表成绩单[数学]&lt;9E+307)*(表成绩单[数学]&gt;表成绩单[[#This Row],[数学]]))+1)</f>
        <v>231</v>
      </c>
      <c r="R1005" s="29" cm="1">
        <f t="array" ref="R1005">IF(表成绩单[[#This Row],[英语]]="","",SUMPRODUCT((表成绩单[考试日期]=表成绩单[[#This Row],[考试日期]])*(表成绩单[英语]&lt;9E+307)*(表成绩单[英语]&gt;表成绩单[[#This Row],[英语]]))+1)</f>
        <v>113</v>
      </c>
      <c r="S1005" s="29" cm="1">
        <f t="array" ref="S1005">IF(表成绩单[[#This Row],[物理]]="","",SUMPRODUCT((表成绩单[考试日期]=表成绩单[[#This Row],[考试日期]])*(表成绩单[物理]&lt;9E+307)*(表成绩单[物理]&gt;表成绩单[[#This Row],[物理]]))+1)</f>
        <v>191</v>
      </c>
      <c r="T1005" s="29" cm="1">
        <f t="array" ref="T1005">IF(表成绩单[[#This Row],[化学]]="","",SUMPRODUCT((表成绩单[考试日期]=表成绩单[[#This Row],[考试日期]])*(表成绩单[化学]&lt;9E+307)*(表成绩单[化学]&gt;表成绩单[[#This Row],[化学]]))+1)</f>
        <v>308</v>
      </c>
      <c r="U1005" s="29" cm="1">
        <f t="array" ref="U1005">IF(表成绩单[[#This Row],[政治]]="","",SUMPRODUCT((表成绩单[考试日期]=表成绩单[[#This Row],[考试日期]])*(表成绩单[政治]&lt;9E+307)*(表成绩单[政治]&gt;表成绩单[[#This Row],[政治]]))+1)</f>
        <v>184</v>
      </c>
      <c r="V1005" s="29" cm="1">
        <f t="array" ref="V1005">IF(表成绩单[[#This Row],[历史]]="","",SUMPRODUCT((表成绩单[考试日期]=表成绩单[[#This Row],[考试日期]])*(表成绩单[历史]&lt;9E+307)*(表成绩单[历史]&gt;表成绩单[[#This Row],[历史]]))+1)</f>
        <v>329</v>
      </c>
      <c r="W1005" s="29" cm="1">
        <f t="array" ref="W1005">IF(表成绩单[[#This Row],[总分]]="","",SUMPRODUCT((表成绩单[考试日期]=表成绩单[[#This Row],[考试日期]])*(表成绩单[总分]&lt;9E+307)*(表成绩单[总分]&gt;表成绩单[[#This Row],[总分]]))+1)</f>
        <v>199</v>
      </c>
    </row>
    <row r="1006" ht="28" customHeight="1" spans="4:23">
      <c r="D1006" s="31">
        <v>46003</v>
      </c>
      <c r="E1006" s="29">
        <v>19177194</v>
      </c>
      <c r="F1006" s="29" t="s">
        <v>70</v>
      </c>
      <c r="G1006" s="29" t="s">
        <v>246</v>
      </c>
      <c r="H1006" s="29">
        <v>110</v>
      </c>
      <c r="I1006" s="29">
        <v>74</v>
      </c>
      <c r="J1006" s="29">
        <v>75.5</v>
      </c>
      <c r="K1006" s="29">
        <v>93</v>
      </c>
      <c r="L1006" s="29">
        <v>90</v>
      </c>
      <c r="M1006" s="29">
        <v>69</v>
      </c>
      <c r="N1006" s="29">
        <v>83</v>
      </c>
      <c r="O1006" s="32">
        <v>594.5</v>
      </c>
      <c r="P1006" s="29" cm="1">
        <f t="array" ref="P1006">IF(表成绩单[[#This Row],[语文]]="","",SUMPRODUCT((表成绩单[考试日期]=表成绩单[[#This Row],[考试日期]])*(表成绩单[语文]&lt;9E+307)*(表成绩单[语文]&gt;表成绩单[[#This Row],[语文]]))+1)</f>
        <v>84</v>
      </c>
      <c r="Q1006" s="29" cm="1">
        <f t="array" ref="Q1006">IF(表成绩单[[#This Row],[数学]]="","",SUMPRODUCT((表成绩单[考试日期]=表成绩单[[#This Row],[考试日期]])*(表成绩单[数学]&lt;9E+307)*(表成绩单[数学]&gt;表成绩单[[#This Row],[数学]]))+1)</f>
        <v>380</v>
      </c>
      <c r="R1006" s="29" cm="1">
        <f t="array" ref="R1006">IF(表成绩单[[#This Row],[英语]]="","",SUMPRODUCT((表成绩单[考试日期]=表成绩单[[#This Row],[考试日期]])*(表成绩单[英语]&lt;9E+307)*(表成绩单[英语]&gt;表成绩单[[#This Row],[英语]]))+1)</f>
        <v>299</v>
      </c>
      <c r="S1006" s="29" cm="1">
        <f t="array" ref="S1006">IF(表成绩单[[#This Row],[物理]]="","",SUMPRODUCT((表成绩单[考试日期]=表成绩单[[#This Row],[考试日期]])*(表成绩单[物理]&lt;9E+307)*(表成绩单[物理]&gt;表成绩单[[#This Row],[物理]]))+1)</f>
        <v>163</v>
      </c>
      <c r="T1006" s="29" cm="1">
        <f t="array" ref="T1006">IF(表成绩单[[#This Row],[化学]]="","",SUMPRODUCT((表成绩单[考试日期]=表成绩单[[#This Row],[考试日期]])*(表成绩单[化学]&lt;9E+307)*(表成绩单[化学]&gt;表成绩单[[#This Row],[化学]]))+1)</f>
        <v>140</v>
      </c>
      <c r="U1006" s="29" cm="1">
        <f t="array" ref="U1006">IF(表成绩单[[#This Row],[政治]]="","",SUMPRODUCT((表成绩单[考试日期]=表成绩单[[#This Row],[考试日期]])*(表成绩单[政治]&lt;9E+307)*(表成绩单[政治]&gt;表成绩单[[#This Row],[政治]]))+1)</f>
        <v>212</v>
      </c>
      <c r="V1006" s="29" cm="1">
        <f t="array" ref="V1006">IF(表成绩单[[#This Row],[历史]]="","",SUMPRODUCT((表成绩单[考试日期]=表成绩单[[#This Row],[考试日期]])*(表成绩单[历史]&lt;9E+307)*(表成绩单[历史]&gt;表成绩单[[#This Row],[历史]]))+1)</f>
        <v>46</v>
      </c>
      <c r="W1006" s="29" cm="1">
        <f t="array" ref="W1006">IF(表成绩单[[#This Row],[总分]]="","",SUMPRODUCT((表成绩单[考试日期]=表成绩单[[#This Row],[考试日期]])*(表成绩单[总分]&lt;9E+307)*(表成绩单[总分]&gt;表成绩单[[#This Row],[总分]]))+1)</f>
        <v>199</v>
      </c>
    </row>
    <row r="1007" ht="28" customHeight="1" spans="4:23">
      <c r="D1007" s="31">
        <v>46003</v>
      </c>
      <c r="E1007" s="29">
        <v>19174432</v>
      </c>
      <c r="F1007" s="29" t="s">
        <v>73</v>
      </c>
      <c r="G1007" s="29" t="s">
        <v>348</v>
      </c>
      <c r="H1007" s="29">
        <v>102</v>
      </c>
      <c r="I1007" s="29">
        <v>79</v>
      </c>
      <c r="J1007" s="29">
        <v>84</v>
      </c>
      <c r="K1007" s="29">
        <v>94</v>
      </c>
      <c r="L1007" s="29">
        <v>78</v>
      </c>
      <c r="M1007" s="29">
        <v>74</v>
      </c>
      <c r="N1007" s="29">
        <v>83</v>
      </c>
      <c r="O1007" s="32">
        <v>594</v>
      </c>
      <c r="P1007" s="29" cm="1">
        <f t="array" ref="P1007">IF(表成绩单[[#This Row],[语文]]="","",SUMPRODUCT((表成绩单[考试日期]=表成绩单[[#This Row],[考试日期]])*(表成绩单[语文]&lt;9E+307)*(表成绩单[语文]&gt;表成绩单[[#This Row],[语文]]))+1)</f>
        <v>366</v>
      </c>
      <c r="Q1007" s="29" cm="1">
        <f t="array" ref="Q1007">IF(表成绩单[[#This Row],[数学]]="","",SUMPRODUCT((表成绩单[考试日期]=表成绩单[[#This Row],[考试日期]])*(表成绩单[数学]&lt;9E+307)*(表成绩单[数学]&gt;表成绩单[[#This Row],[数学]]))+1)</f>
        <v>324</v>
      </c>
      <c r="R1007" s="29" cm="1">
        <f t="array" ref="R1007">IF(表成绩单[[#This Row],[英语]]="","",SUMPRODUCT((表成绩单[考试日期]=表成绩单[[#This Row],[考试日期]])*(表成绩单[英语]&lt;9E+307)*(表成绩单[英语]&gt;表成绩单[[#This Row],[英语]]))+1)</f>
        <v>48</v>
      </c>
      <c r="S1007" s="29" cm="1">
        <f t="array" ref="S1007">IF(表成绩单[[#This Row],[物理]]="","",SUMPRODUCT((表成绩单[考试日期]=表成绩单[[#This Row],[考试日期]])*(表成绩单[物理]&lt;9E+307)*(表成绩单[物理]&gt;表成绩单[[#This Row],[物理]]))+1)</f>
        <v>125</v>
      </c>
      <c r="T1007" s="29" cm="1">
        <f t="array" ref="T1007">IF(表成绩单[[#This Row],[化学]]="","",SUMPRODUCT((表成绩单[考试日期]=表成绩单[[#This Row],[考试日期]])*(表成绩单[化学]&lt;9E+307)*(表成绩单[化学]&gt;表成绩单[[#This Row],[化学]]))+1)</f>
        <v>373</v>
      </c>
      <c r="U1007" s="29" cm="1">
        <f t="array" ref="U1007">IF(表成绩单[[#This Row],[政治]]="","",SUMPRODUCT((表成绩单[考试日期]=表成绩单[[#This Row],[考试日期]])*(表成绩单[政治]&lt;9E+307)*(表成绩单[政治]&gt;表成绩单[[#This Row],[政治]]))+1)</f>
        <v>121</v>
      </c>
      <c r="V1007" s="29" cm="1">
        <f t="array" ref="V1007">IF(表成绩单[[#This Row],[历史]]="","",SUMPRODUCT((表成绩单[考试日期]=表成绩单[[#This Row],[考试日期]])*(表成绩单[历史]&lt;9E+307)*(表成绩单[历史]&gt;表成绩单[[#This Row],[历史]]))+1)</f>
        <v>46</v>
      </c>
      <c r="W1007" s="29" cm="1">
        <f t="array" ref="W1007">IF(表成绩单[[#This Row],[总分]]="","",SUMPRODUCT((表成绩单[考试日期]=表成绩单[[#This Row],[考试日期]])*(表成绩单[总分]&lt;9E+307)*(表成绩单[总分]&gt;表成绩单[[#This Row],[总分]]))+1)</f>
        <v>202</v>
      </c>
    </row>
    <row r="1008" ht="28" customHeight="1" spans="4:23">
      <c r="D1008" s="31">
        <v>46003</v>
      </c>
      <c r="E1008" s="29">
        <v>19174447</v>
      </c>
      <c r="F1008" s="29" t="s">
        <v>73</v>
      </c>
      <c r="G1008" s="29" t="s">
        <v>449</v>
      </c>
      <c r="H1008" s="29">
        <v>109</v>
      </c>
      <c r="I1008" s="29">
        <v>82</v>
      </c>
      <c r="J1008" s="29">
        <v>82</v>
      </c>
      <c r="K1008" s="29">
        <v>93</v>
      </c>
      <c r="L1008" s="29">
        <v>87</v>
      </c>
      <c r="M1008" s="29">
        <v>67</v>
      </c>
      <c r="N1008" s="29">
        <v>74</v>
      </c>
      <c r="O1008" s="32">
        <v>594</v>
      </c>
      <c r="P1008" s="29" cm="1">
        <f t="array" ref="P1008">IF(表成绩单[[#This Row],[语文]]="","",SUMPRODUCT((表成绩单[考试日期]=表成绩单[[#This Row],[考试日期]])*(表成绩单[语文]&lt;9E+307)*(表成绩单[语文]&gt;表成绩单[[#This Row],[语文]]))+1)</f>
        <v>111</v>
      </c>
      <c r="Q1008" s="29" cm="1">
        <f t="array" ref="Q1008">IF(表成绩单[[#This Row],[数学]]="","",SUMPRODUCT((表成绩单[考试日期]=表成绩单[[#This Row],[考试日期]])*(表成绩单[数学]&lt;9E+307)*(表成绩单[数学]&gt;表成绩单[[#This Row],[数学]]))+1)</f>
        <v>290</v>
      </c>
      <c r="R1008" s="29" cm="1">
        <f t="array" ref="R1008">IF(表成绩单[[#This Row],[英语]]="","",SUMPRODUCT((表成绩单[考试日期]=表成绩单[[#This Row],[考试日期]])*(表成绩单[英语]&lt;9E+307)*(表成绩单[英语]&gt;表成绩单[[#This Row],[英语]]))+1)</f>
        <v>96</v>
      </c>
      <c r="S1008" s="29" cm="1">
        <f t="array" ref="S1008">IF(表成绩单[[#This Row],[物理]]="","",SUMPRODUCT((表成绩单[考试日期]=表成绩单[[#This Row],[考试日期]])*(表成绩单[物理]&lt;9E+307)*(表成绩单[物理]&gt;表成绩单[[#This Row],[物理]]))+1)</f>
        <v>163</v>
      </c>
      <c r="T1008" s="29" cm="1">
        <f t="array" ref="T1008">IF(表成绩单[[#This Row],[化学]]="","",SUMPRODUCT((表成绩单[考试日期]=表成绩单[[#This Row],[考试日期]])*(表成绩单[化学]&lt;9E+307)*(表成绩单[化学]&gt;表成绩单[[#This Row],[化学]]))+1)</f>
        <v>201</v>
      </c>
      <c r="U1008" s="29" cm="1">
        <f t="array" ref="U1008">IF(表成绩单[[#This Row],[政治]]="","",SUMPRODUCT((表成绩单[考试日期]=表成绩单[[#This Row],[考试日期]])*(表成绩单[政治]&lt;9E+307)*(表成绩单[政治]&gt;表成绩单[[#This Row],[政治]]))+1)</f>
        <v>264</v>
      </c>
      <c r="V1008" s="29" cm="1">
        <f t="array" ref="V1008">IF(表成绩单[[#This Row],[历史]]="","",SUMPRODUCT((表成绩单[考试日期]=表成绩单[[#This Row],[考试日期]])*(表成绩单[历史]&lt;9E+307)*(表成绩单[历史]&gt;表成绩单[[#This Row],[历史]]))+1)</f>
        <v>371</v>
      </c>
      <c r="W1008" s="29" cm="1">
        <f t="array" ref="W1008">IF(表成绩单[[#This Row],[总分]]="","",SUMPRODUCT((表成绩单[考试日期]=表成绩单[[#This Row],[考试日期]])*(表成绩单[总分]&lt;9E+307)*(表成绩单[总分]&gt;表成绩单[[#This Row],[总分]]))+1)</f>
        <v>202</v>
      </c>
    </row>
    <row r="1009" ht="28" customHeight="1" spans="4:23">
      <c r="D1009" s="31">
        <v>46003</v>
      </c>
      <c r="E1009" s="29">
        <v>19174460</v>
      </c>
      <c r="F1009" s="29" t="s">
        <v>73</v>
      </c>
      <c r="G1009" s="29" t="s">
        <v>342</v>
      </c>
      <c r="H1009" s="29">
        <v>111</v>
      </c>
      <c r="I1009" s="29">
        <v>80</v>
      </c>
      <c r="J1009" s="29">
        <v>78</v>
      </c>
      <c r="K1009" s="29">
        <v>91</v>
      </c>
      <c r="L1009" s="29">
        <v>89</v>
      </c>
      <c r="M1009" s="29">
        <v>69</v>
      </c>
      <c r="N1009" s="29">
        <v>76</v>
      </c>
      <c r="O1009" s="32">
        <v>594</v>
      </c>
      <c r="P1009" s="29" cm="1">
        <f t="array" ref="P1009">IF(表成绩单[[#This Row],[语文]]="","",SUMPRODUCT((表成绩单[考试日期]=表成绩单[[#This Row],[考试日期]])*(表成绩单[语文]&lt;9E+307)*(表成绩单[语文]&gt;表成绩单[[#This Row],[语文]]))+1)</f>
        <v>56</v>
      </c>
      <c r="Q1009" s="29" cm="1">
        <f t="array" ref="Q1009">IF(表成绩单[[#This Row],[数学]]="","",SUMPRODUCT((表成绩单[考试日期]=表成绩单[[#This Row],[考试日期]])*(表成绩单[数学]&lt;9E+307)*(表成绩单[数学]&gt;表成绩单[[#This Row],[数学]]))+1)</f>
        <v>310</v>
      </c>
      <c r="R1009" s="29" cm="1">
        <f t="array" ref="R1009">IF(表成绩单[[#This Row],[英语]]="","",SUMPRODUCT((表成绩单[考试日期]=表成绩单[[#This Row],[考试日期]])*(表成绩单[英语]&lt;9E+307)*(表成绩单[英语]&gt;表成绩单[[#This Row],[英语]]))+1)</f>
        <v>214</v>
      </c>
      <c r="S1009" s="29" cm="1">
        <f t="array" ref="S1009">IF(表成绩单[[#This Row],[物理]]="","",SUMPRODUCT((表成绩单[考试日期]=表成绩单[[#This Row],[考试日期]])*(表成绩单[物理]&lt;9E+307)*(表成绩单[物理]&gt;表成绩单[[#This Row],[物理]]))+1)</f>
        <v>220</v>
      </c>
      <c r="T1009" s="29" cm="1">
        <f t="array" ref="T1009">IF(表成绩单[[#This Row],[化学]]="","",SUMPRODUCT((表成绩单[考试日期]=表成绩单[[#This Row],[考试日期]])*(表成绩单[化学]&lt;9E+307)*(表成绩单[化学]&gt;表成绩单[[#This Row],[化学]]))+1)</f>
        <v>157</v>
      </c>
      <c r="U1009" s="29" cm="1">
        <f t="array" ref="U1009">IF(表成绩单[[#This Row],[政治]]="","",SUMPRODUCT((表成绩单[考试日期]=表成绩单[[#This Row],[考试日期]])*(表成绩单[政治]&lt;9E+307)*(表成绩单[政治]&gt;表成绩单[[#This Row],[政治]]))+1)</f>
        <v>212</v>
      </c>
      <c r="V1009" s="29" cm="1">
        <f t="array" ref="V1009">IF(表成绩单[[#This Row],[历史]]="","",SUMPRODUCT((表成绩单[考试日期]=表成绩单[[#This Row],[考试日期]])*(表成绩单[历史]&lt;9E+307)*(表成绩单[历史]&gt;表成绩单[[#This Row],[历史]]))+1)</f>
        <v>279</v>
      </c>
      <c r="W1009" s="29" cm="1">
        <f t="array" ref="W1009">IF(表成绩单[[#This Row],[总分]]="","",SUMPRODUCT((表成绩单[考试日期]=表成绩单[[#This Row],[考试日期]])*(表成绩单[总分]&lt;9E+307)*(表成绩单[总分]&gt;表成绩单[[#This Row],[总分]]))+1)</f>
        <v>202</v>
      </c>
    </row>
    <row r="1010" ht="28" customHeight="1" spans="4:23">
      <c r="D1010" s="31">
        <v>46003</v>
      </c>
      <c r="E1010" s="29">
        <v>19175390</v>
      </c>
      <c r="F1010" s="29" t="s">
        <v>74</v>
      </c>
      <c r="G1010" s="29" t="s">
        <v>235</v>
      </c>
      <c r="H1010" s="29">
        <v>106</v>
      </c>
      <c r="I1010" s="29">
        <v>97</v>
      </c>
      <c r="J1010" s="29">
        <v>82</v>
      </c>
      <c r="K1010" s="29">
        <v>87</v>
      </c>
      <c r="L1010" s="29">
        <v>68</v>
      </c>
      <c r="M1010" s="29">
        <v>81</v>
      </c>
      <c r="N1010" s="29">
        <v>73</v>
      </c>
      <c r="O1010" s="32">
        <v>594</v>
      </c>
      <c r="P1010" s="29" cm="1">
        <f t="array" ref="P1010">IF(表成绩单[[#This Row],[语文]]="","",SUMPRODUCT((表成绩单[考试日期]=表成绩单[[#This Row],[考试日期]])*(表成绩单[语文]&lt;9E+307)*(表成绩单[语文]&gt;表成绩单[[#This Row],[语文]]))+1)</f>
        <v>210</v>
      </c>
      <c r="Q1010" s="29" cm="1">
        <f t="array" ref="Q1010">IF(表成绩单[[#This Row],[数学]]="","",SUMPRODUCT((表成绩单[考试日期]=表成绩单[[#This Row],[考试日期]])*(表成绩单[数学]&lt;9E+307)*(表成绩单[数学]&gt;表成绩单[[#This Row],[数学]]))+1)</f>
        <v>104</v>
      </c>
      <c r="R1010" s="29" cm="1">
        <f t="array" ref="R1010">IF(表成绩单[[#This Row],[英语]]="","",SUMPRODUCT((表成绩单[考试日期]=表成绩单[[#This Row],[考试日期]])*(表成绩单[英语]&lt;9E+307)*(表成绩单[英语]&gt;表成绩单[[#This Row],[英语]]))+1)</f>
        <v>96</v>
      </c>
      <c r="S1010" s="29" cm="1">
        <f t="array" ref="S1010">IF(表成绩单[[#This Row],[物理]]="","",SUMPRODUCT((表成绩单[考试日期]=表成绩单[[#This Row],[考试日期]])*(表成绩单[物理]&lt;9E+307)*(表成绩单[物理]&gt;表成绩单[[#This Row],[物理]]))+1)</f>
        <v>306</v>
      </c>
      <c r="T1010" s="29" cm="1">
        <f t="array" ref="T1010">IF(表成绩单[[#This Row],[化学]]="","",SUMPRODUCT((表成绩单[考试日期]=表成绩单[[#This Row],[考试日期]])*(表成绩单[化学]&lt;9E+307)*(表成绩单[化学]&gt;表成绩单[[#This Row],[化学]]))+1)</f>
        <v>514</v>
      </c>
      <c r="U1010" s="29" cm="1">
        <f t="array" ref="U1010">IF(表成绩单[[#This Row],[政治]]="","",SUMPRODUCT((表成绩单[考试日期]=表成绩单[[#This Row],[考试日期]])*(表成绩单[政治]&lt;9E+307)*(表成绩单[政治]&gt;表成绩单[[#This Row],[政治]]))+1)</f>
        <v>22</v>
      </c>
      <c r="V1010" s="29" cm="1">
        <f t="array" ref="V1010">IF(表成绩单[[#This Row],[历史]]="","",SUMPRODUCT((表成绩单[考试日期]=表成绩单[[#This Row],[考试日期]])*(表成绩单[历史]&lt;9E+307)*(表成绩单[历史]&gt;表成绩单[[#This Row],[历史]]))+1)</f>
        <v>403</v>
      </c>
      <c r="W1010" s="29" cm="1">
        <f t="array" ref="W1010">IF(表成绩单[[#This Row],[总分]]="","",SUMPRODUCT((表成绩单[考试日期]=表成绩单[[#This Row],[考试日期]])*(表成绩单[总分]&lt;9E+307)*(表成绩单[总分]&gt;表成绩单[[#This Row],[总分]]))+1)</f>
        <v>202</v>
      </c>
    </row>
    <row r="1011" ht="28" customHeight="1" spans="4:23">
      <c r="D1011" s="31">
        <v>46003</v>
      </c>
      <c r="E1011" s="29">
        <v>19174455</v>
      </c>
      <c r="F1011" s="29" t="s">
        <v>73</v>
      </c>
      <c r="G1011" s="29" t="s">
        <v>220</v>
      </c>
      <c r="H1011" s="29">
        <v>112</v>
      </c>
      <c r="I1011" s="29">
        <v>86</v>
      </c>
      <c r="J1011" s="29">
        <v>71.5</v>
      </c>
      <c r="K1011" s="29">
        <v>88</v>
      </c>
      <c r="L1011" s="29">
        <v>93</v>
      </c>
      <c r="M1011" s="29">
        <v>66</v>
      </c>
      <c r="N1011" s="29">
        <v>77</v>
      </c>
      <c r="O1011" s="32">
        <v>593.5</v>
      </c>
      <c r="P1011" s="29" cm="1">
        <f t="array" ref="P1011">IF(表成绩单[[#This Row],[语文]]="","",SUMPRODUCT((表成绩单[考试日期]=表成绩单[[#This Row],[考试日期]])*(表成绩单[语文]&lt;9E+307)*(表成绩单[语文]&gt;表成绩单[[#This Row],[语文]]))+1)</f>
        <v>36</v>
      </c>
      <c r="Q1011" s="29" cm="1">
        <f t="array" ref="Q1011">IF(表成绩单[[#This Row],[数学]]="","",SUMPRODUCT((表成绩单[考试日期]=表成绩单[[#This Row],[考试日期]])*(表成绩单[数学]&lt;9E+307)*(表成绩单[数学]&gt;表成绩单[[#This Row],[数学]]))+1)</f>
        <v>231</v>
      </c>
      <c r="R1011" s="29" cm="1">
        <f t="array" ref="R1011">IF(表成绩单[[#This Row],[英语]]="","",SUMPRODUCT((表成绩单[考试日期]=表成绩单[[#This Row],[考试日期]])*(表成绩单[英语]&lt;9E+307)*(表成绩单[英语]&gt;表成绩单[[#This Row],[英语]]))+1)</f>
        <v>396</v>
      </c>
      <c r="S1011" s="29" cm="1">
        <f t="array" ref="S1011">IF(表成绩单[[#This Row],[物理]]="","",SUMPRODUCT((表成绩单[考试日期]=表成绩单[[#This Row],[考试日期]])*(表成绩单[物理]&lt;9E+307)*(表成绩单[物理]&gt;表成绩单[[#This Row],[物理]]))+1)</f>
        <v>291</v>
      </c>
      <c r="T1011" s="29" cm="1">
        <f t="array" ref="T1011">IF(表成绩单[[#This Row],[化学]]="","",SUMPRODUCT((表成绩单[考试日期]=表成绩单[[#This Row],[考试日期]])*(表成绩单[化学]&lt;9E+307)*(表成绩单[化学]&gt;表成绩单[[#This Row],[化学]]))+1)</f>
        <v>73</v>
      </c>
      <c r="U1011" s="29" cm="1">
        <f t="array" ref="U1011">IF(表成绩单[[#This Row],[政治]]="","",SUMPRODUCT((表成绩单[考试日期]=表成绩单[[#This Row],[考试日期]])*(表成绩单[政治]&lt;9E+307)*(表成绩单[政治]&gt;表成绩单[[#This Row],[政治]]))+1)</f>
        <v>289</v>
      </c>
      <c r="V1011" s="29" cm="1">
        <f t="array" ref="V1011">IF(表成绩单[[#This Row],[历史]]="","",SUMPRODUCT((表成绩单[考试日期]=表成绩单[[#This Row],[考试日期]])*(表成绩单[历史]&lt;9E+307)*(表成绩单[历史]&gt;表成绩单[[#This Row],[历史]]))+1)</f>
        <v>235</v>
      </c>
      <c r="W1011" s="29" cm="1">
        <f t="array" ref="W1011">IF(表成绩单[[#This Row],[总分]]="","",SUMPRODUCT((表成绩单[考试日期]=表成绩单[[#This Row],[考试日期]])*(表成绩单[总分]&lt;9E+307)*(表成绩单[总分]&gt;表成绩单[[#This Row],[总分]]))+1)</f>
        <v>206</v>
      </c>
    </row>
    <row r="1012" ht="28" customHeight="1" spans="4:23">
      <c r="D1012" s="31">
        <v>46003</v>
      </c>
      <c r="E1012" s="29">
        <v>19174464</v>
      </c>
      <c r="F1012" s="29" t="s">
        <v>73</v>
      </c>
      <c r="G1012" s="29" t="s">
        <v>307</v>
      </c>
      <c r="H1012" s="29">
        <v>107</v>
      </c>
      <c r="I1012" s="29">
        <v>103</v>
      </c>
      <c r="J1012" s="29">
        <v>83.5</v>
      </c>
      <c r="K1012" s="29">
        <v>81</v>
      </c>
      <c r="L1012" s="29">
        <v>83</v>
      </c>
      <c r="M1012" s="29">
        <v>63</v>
      </c>
      <c r="N1012" s="29">
        <v>73</v>
      </c>
      <c r="O1012" s="32">
        <v>593.5</v>
      </c>
      <c r="P1012" s="29" cm="1">
        <f t="array" ref="P1012">IF(表成绩单[[#This Row],[语文]]="","",SUMPRODUCT((表成绩单[考试日期]=表成绩单[[#This Row],[考试日期]])*(表成绩单[语文]&lt;9E+307)*(表成绩单[语文]&gt;表成绩单[[#This Row],[语文]]))+1)</f>
        <v>182</v>
      </c>
      <c r="Q1012" s="29" cm="1">
        <f t="array" ref="Q1012">IF(表成绩单[[#This Row],[数学]]="","",SUMPRODUCT((表成绩单[考试日期]=表成绩单[[#This Row],[考试日期]])*(表成绩单[数学]&lt;9E+307)*(表成绩单[数学]&gt;表成绩单[[#This Row],[数学]]))+1)</f>
        <v>41</v>
      </c>
      <c r="R1012" s="29" cm="1">
        <f t="array" ref="R1012">IF(表成绩单[[#This Row],[英语]]="","",SUMPRODUCT((表成绩单[考试日期]=表成绩单[[#This Row],[考试日期]])*(表成绩单[英语]&lt;9E+307)*(表成绩单[英语]&gt;表成绩单[[#This Row],[英语]]))+1)</f>
        <v>57</v>
      </c>
      <c r="S1012" s="29" cm="1">
        <f t="array" ref="S1012">IF(表成绩单[[#This Row],[物理]]="","",SUMPRODUCT((表成绩单[考试日期]=表成绩单[[#This Row],[考试日期]])*(表成绩单[物理]&lt;9E+307)*(表成绩单[物理]&gt;表成绩单[[#This Row],[物理]]))+1)</f>
        <v>405</v>
      </c>
      <c r="T1012" s="29" cm="1">
        <f t="array" ref="T1012">IF(表成绩单[[#This Row],[化学]]="","",SUMPRODUCT((表成绩单[考试日期]=表成绩单[[#This Row],[考试日期]])*(表成绩单[化学]&lt;9E+307)*(表成绩单[化学]&gt;表成绩单[[#This Row],[化学]]))+1)</f>
        <v>272</v>
      </c>
      <c r="U1012" s="29" cm="1">
        <f t="array" ref="U1012">IF(表成绩单[[#This Row],[政治]]="","",SUMPRODUCT((表成绩单[考试日期]=表成绩单[[#This Row],[考试日期]])*(表成绩单[政治]&lt;9E+307)*(表成绩单[政治]&gt;表成绩单[[#This Row],[政治]]))+1)</f>
        <v>360</v>
      </c>
      <c r="V1012" s="29" cm="1">
        <f t="array" ref="V1012">IF(表成绩单[[#This Row],[历史]]="","",SUMPRODUCT((表成绩单[考试日期]=表成绩单[[#This Row],[考试日期]])*(表成绩单[历史]&lt;9E+307)*(表成绩单[历史]&gt;表成绩单[[#This Row],[历史]]))+1)</f>
        <v>403</v>
      </c>
      <c r="W1012" s="29" cm="1">
        <f t="array" ref="W1012">IF(表成绩单[[#This Row],[总分]]="","",SUMPRODUCT((表成绩单[考试日期]=表成绩单[[#This Row],[考试日期]])*(表成绩单[总分]&lt;9E+307)*(表成绩单[总分]&gt;表成绩单[[#This Row],[总分]]))+1)</f>
        <v>206</v>
      </c>
    </row>
    <row r="1013" ht="28" customHeight="1" spans="4:23">
      <c r="D1013" s="31">
        <v>46003</v>
      </c>
      <c r="E1013" s="29">
        <v>19175709</v>
      </c>
      <c r="F1013" s="29" t="s">
        <v>72</v>
      </c>
      <c r="G1013" s="29" t="s">
        <v>364</v>
      </c>
      <c r="H1013" s="29">
        <v>100</v>
      </c>
      <c r="I1013" s="29">
        <v>100</v>
      </c>
      <c r="J1013" s="29">
        <v>82.5</v>
      </c>
      <c r="K1013" s="29">
        <v>90</v>
      </c>
      <c r="L1013" s="29">
        <v>81</v>
      </c>
      <c r="M1013" s="29">
        <v>65</v>
      </c>
      <c r="N1013" s="29">
        <v>75</v>
      </c>
      <c r="O1013" s="32">
        <v>593.5</v>
      </c>
      <c r="P1013" s="29" cm="1">
        <f t="array" ref="P1013">IF(表成绩单[[#This Row],[语文]]="","",SUMPRODUCT((表成绩单[考试日期]=表成绩单[[#This Row],[考试日期]])*(表成绩单[语文]&lt;9E+307)*(表成绩单[语文]&gt;表成绩单[[#This Row],[语文]]))+1)</f>
        <v>414</v>
      </c>
      <c r="Q1013" s="29" cm="1">
        <f t="array" ref="Q1013">IF(表成绩单[[#This Row],[数学]]="","",SUMPRODUCT((表成绩单[考试日期]=表成绩单[[#This Row],[考试日期]])*(表成绩单[数学]&lt;9E+307)*(表成绩单[数学]&gt;表成绩单[[#This Row],[数学]]))+1)</f>
        <v>77</v>
      </c>
      <c r="R1013" s="29" cm="1">
        <f t="array" ref="R1013">IF(表成绩单[[#This Row],[英语]]="","",SUMPRODUCT((表成绩单[考试日期]=表成绩单[[#This Row],[考试日期]])*(表成绩单[英语]&lt;9E+307)*(表成绩单[英语]&gt;表成绩单[[#This Row],[英语]]))+1)</f>
        <v>85</v>
      </c>
      <c r="S1013" s="29" cm="1">
        <f t="array" ref="S1013">IF(表成绩单[[#This Row],[物理]]="","",SUMPRODUCT((表成绩单[考试日期]=表成绩单[[#This Row],[考试日期]])*(表成绩单[物理]&lt;9E+307)*(表成绩单[物理]&gt;表成绩单[[#This Row],[物理]]))+1)</f>
        <v>237</v>
      </c>
      <c r="T1013" s="29" cm="1">
        <f t="array" ref="T1013">IF(表成绩单[[#This Row],[化学]]="","",SUMPRODUCT((表成绩单[考试日期]=表成绩单[[#This Row],[考试日期]])*(表成绩单[化学]&lt;9E+307)*(表成绩单[化学]&gt;表成绩单[[#This Row],[化学]]))+1)</f>
        <v>308</v>
      </c>
      <c r="U1013" s="29" cm="1">
        <f t="array" ref="U1013">IF(表成绩单[[#This Row],[政治]]="","",SUMPRODUCT((表成绩单[考试日期]=表成绩单[[#This Row],[考试日期]])*(表成绩单[政治]&lt;9E+307)*(表成绩单[政治]&gt;表成绩单[[#This Row],[政治]]))+1)</f>
        <v>314</v>
      </c>
      <c r="V1013" s="29" cm="1">
        <f t="array" ref="V1013">IF(表成绩单[[#This Row],[历史]]="","",SUMPRODUCT((表成绩单[考试日期]=表成绩单[[#This Row],[考试日期]])*(表成绩单[历史]&lt;9E+307)*(表成绩单[历史]&gt;表成绩单[[#This Row],[历史]]))+1)</f>
        <v>329</v>
      </c>
      <c r="W1013" s="29" cm="1">
        <f t="array" ref="W1013">IF(表成绩单[[#This Row],[总分]]="","",SUMPRODUCT((表成绩单[考试日期]=表成绩单[[#This Row],[考试日期]])*(表成绩单[总分]&lt;9E+307)*(表成绩单[总分]&gt;表成绩单[[#This Row],[总分]]))+1)</f>
        <v>206</v>
      </c>
    </row>
    <row r="1014" ht="28" customHeight="1" spans="4:23">
      <c r="D1014" s="31">
        <v>46003</v>
      </c>
      <c r="E1014" s="29">
        <v>19176166</v>
      </c>
      <c r="F1014" s="29" t="s">
        <v>67</v>
      </c>
      <c r="G1014" s="29" t="s">
        <v>360</v>
      </c>
      <c r="H1014" s="29">
        <v>106</v>
      </c>
      <c r="I1014" s="29">
        <v>91</v>
      </c>
      <c r="J1014" s="29">
        <v>76.5</v>
      </c>
      <c r="K1014" s="29">
        <v>91</v>
      </c>
      <c r="L1014" s="29">
        <v>85</v>
      </c>
      <c r="M1014" s="29">
        <v>63</v>
      </c>
      <c r="N1014" s="29">
        <v>81</v>
      </c>
      <c r="O1014" s="32">
        <v>593.5</v>
      </c>
      <c r="P1014" s="29" cm="1">
        <f t="array" ref="P1014">IF(表成绩单[[#This Row],[语文]]="","",SUMPRODUCT((表成绩单[考试日期]=表成绩单[[#This Row],[考试日期]])*(表成绩单[语文]&lt;9E+307)*(表成绩单[语文]&gt;表成绩单[[#This Row],[语文]]))+1)</f>
        <v>210</v>
      </c>
      <c r="Q1014" s="29" cm="1">
        <f t="array" ref="Q1014">IF(表成绩单[[#This Row],[数学]]="","",SUMPRODUCT((表成绩单[考试日期]=表成绩单[[#This Row],[考试日期]])*(表成绩单[数学]&lt;9E+307)*(表成绩单[数学]&gt;表成绩单[[#This Row],[数学]]))+1)</f>
        <v>184</v>
      </c>
      <c r="R1014" s="29" cm="1">
        <f t="array" ref="R1014">IF(表成绩单[[#This Row],[英语]]="","",SUMPRODUCT((表成绩单[考试日期]=表成绩单[[#This Row],[考试日期]])*(表成绩单[英语]&lt;9E+307)*(表成绩单[英语]&gt;表成绩单[[#This Row],[英语]]))+1)</f>
        <v>272</v>
      </c>
      <c r="S1014" s="29" cm="1">
        <f t="array" ref="S1014">IF(表成绩单[[#This Row],[物理]]="","",SUMPRODUCT((表成绩单[考试日期]=表成绩单[[#This Row],[考试日期]])*(表成绩单[物理]&lt;9E+307)*(表成绩单[物理]&gt;表成绩单[[#This Row],[物理]]))+1)</f>
        <v>220</v>
      </c>
      <c r="T1014" s="29" cm="1">
        <f t="array" ref="T1014">IF(表成绩单[[#This Row],[化学]]="","",SUMPRODUCT((表成绩单[考试日期]=表成绩单[[#This Row],[考试日期]])*(表成绩单[化学]&lt;9E+307)*(表成绩单[化学]&gt;表成绩单[[#This Row],[化学]]))+1)</f>
        <v>240</v>
      </c>
      <c r="U1014" s="29" cm="1">
        <f t="array" ref="U1014">IF(表成绩单[[#This Row],[政治]]="","",SUMPRODUCT((表成绩单[考试日期]=表成绩单[[#This Row],[考试日期]])*(表成绩单[政治]&lt;9E+307)*(表成绩单[政治]&gt;表成绩单[[#This Row],[政治]]))+1)</f>
        <v>360</v>
      </c>
      <c r="V1014" s="29" cm="1">
        <f t="array" ref="V1014">IF(表成绩单[[#This Row],[历史]]="","",SUMPRODUCT((表成绩单[考试日期]=表成绩单[[#This Row],[考试日期]])*(表成绩单[历史]&lt;9E+307)*(表成绩单[历史]&gt;表成绩单[[#This Row],[历史]]))+1)</f>
        <v>92</v>
      </c>
      <c r="W1014" s="29" cm="1">
        <f t="array" ref="W1014">IF(表成绩单[[#This Row],[总分]]="","",SUMPRODUCT((表成绩单[考试日期]=表成绩单[[#This Row],[考试日期]])*(表成绩单[总分]&lt;9E+307)*(表成绩单[总分]&gt;表成绩单[[#This Row],[总分]]))+1)</f>
        <v>206</v>
      </c>
    </row>
    <row r="1015" ht="28" customHeight="1" spans="4:23">
      <c r="D1015" s="31">
        <v>46003</v>
      </c>
      <c r="E1015" s="29">
        <v>19177660</v>
      </c>
      <c r="F1015" s="29" t="s">
        <v>63</v>
      </c>
      <c r="G1015" s="29" t="s">
        <v>204</v>
      </c>
      <c r="H1015" s="29">
        <v>104</v>
      </c>
      <c r="I1015" s="29">
        <v>97</v>
      </c>
      <c r="J1015" s="29">
        <v>70.5</v>
      </c>
      <c r="K1015" s="29">
        <v>84</v>
      </c>
      <c r="L1015" s="29">
        <v>94</v>
      </c>
      <c r="M1015" s="29">
        <v>64</v>
      </c>
      <c r="N1015" s="29">
        <v>80</v>
      </c>
      <c r="O1015" s="32">
        <v>593.5</v>
      </c>
      <c r="P1015" s="29" cm="1">
        <f t="array" ref="P1015">IF(表成绩单[[#This Row],[语文]]="","",SUMPRODUCT((表成绩单[考试日期]=表成绩单[[#This Row],[考试日期]])*(表成绩单[语文]&lt;9E+307)*(表成绩单[语文]&gt;表成绩单[[#This Row],[语文]]))+1)</f>
        <v>290</v>
      </c>
      <c r="Q1015" s="29" cm="1">
        <f t="array" ref="Q1015">IF(表成绩单[[#This Row],[数学]]="","",SUMPRODUCT((表成绩单[考试日期]=表成绩单[[#This Row],[考试日期]])*(表成绩单[数学]&lt;9E+307)*(表成绩单[数学]&gt;表成绩单[[#This Row],[数学]]))+1)</f>
        <v>104</v>
      </c>
      <c r="R1015" s="29" cm="1">
        <f t="array" ref="R1015">IF(表成绩单[[#This Row],[英语]]="","",SUMPRODUCT((表成绩单[考试日期]=表成绩单[[#This Row],[考试日期]])*(表成绩单[英语]&lt;9E+307)*(表成绩单[英语]&gt;表成绩单[[#This Row],[英语]]))+1)</f>
        <v>413</v>
      </c>
      <c r="S1015" s="29" cm="1">
        <f t="array" ref="S1015">IF(表成绩单[[#This Row],[物理]]="","",SUMPRODUCT((表成绩单[考试日期]=表成绩单[[#This Row],[考试日期]])*(表成绩单[物理]&lt;9E+307)*(表成绩单[物理]&gt;表成绩单[[#This Row],[物理]]))+1)</f>
        <v>368</v>
      </c>
      <c r="T1015" s="29" cm="1">
        <f t="array" ref="T1015">IF(表成绩单[[#This Row],[化学]]="","",SUMPRODUCT((表成绩单[考试日期]=表成绩单[[#This Row],[考试日期]])*(表成绩单[化学]&lt;9E+307)*(表成绩单[化学]&gt;表成绩单[[#This Row],[化学]]))+1)</f>
        <v>56</v>
      </c>
      <c r="U1015" s="29" cm="1">
        <f t="array" ref="U1015">IF(表成绩单[[#This Row],[政治]]="","",SUMPRODUCT((表成绩单[考试日期]=表成绩单[[#This Row],[考试日期]])*(表成绩单[政治]&lt;9E+307)*(表成绩单[政治]&gt;表成绩单[[#This Row],[政治]]))+1)</f>
        <v>337</v>
      </c>
      <c r="V1015" s="29" cm="1">
        <f t="array" ref="V1015">IF(表成绩单[[#This Row],[历史]]="","",SUMPRODUCT((表成绩单[考试日期]=表成绩单[[#This Row],[考试日期]])*(表成绩单[历史]&lt;9E+307)*(表成绩单[历史]&gt;表成绩单[[#This Row],[历史]]))+1)</f>
        <v>116</v>
      </c>
      <c r="W1015" s="29" cm="1">
        <f t="array" ref="W1015">IF(表成绩单[[#This Row],[总分]]="","",SUMPRODUCT((表成绩单[考试日期]=表成绩单[[#This Row],[考试日期]])*(表成绩单[总分]&lt;9E+307)*(表成绩单[总分]&gt;表成绩单[[#This Row],[总分]]))+1)</f>
        <v>206</v>
      </c>
    </row>
    <row r="1016" ht="28" customHeight="1" spans="4:23">
      <c r="D1016" s="31">
        <v>46003</v>
      </c>
      <c r="E1016" s="29">
        <v>19173541</v>
      </c>
      <c r="F1016" s="29" t="s">
        <v>1</v>
      </c>
      <c r="G1016" s="29" t="s">
        <v>249</v>
      </c>
      <c r="H1016" s="29">
        <v>109</v>
      </c>
      <c r="I1016" s="29">
        <v>87</v>
      </c>
      <c r="J1016" s="29">
        <v>79</v>
      </c>
      <c r="K1016" s="29">
        <v>87</v>
      </c>
      <c r="L1016" s="29">
        <v>79</v>
      </c>
      <c r="M1016" s="29">
        <v>70</v>
      </c>
      <c r="N1016" s="29">
        <v>82</v>
      </c>
      <c r="O1016" s="32">
        <v>593</v>
      </c>
      <c r="P1016" s="29" cm="1">
        <f t="array" ref="P1016">IF(表成绩单[[#This Row],[语文]]="","",SUMPRODUCT((表成绩单[考试日期]=表成绩单[[#This Row],[考试日期]])*(表成绩单[语文]&lt;9E+307)*(表成绩单[语文]&gt;表成绩单[[#This Row],[语文]]))+1)</f>
        <v>111</v>
      </c>
      <c r="Q1016" s="29" cm="1">
        <f t="array" ref="Q1016">IF(表成绩单[[#This Row],[数学]]="","",SUMPRODUCT((表成绩单[考试日期]=表成绩单[[#This Row],[考试日期]])*(表成绩单[数学]&lt;9E+307)*(表成绩单[数学]&gt;表成绩单[[#This Row],[数学]]))+1)</f>
        <v>223</v>
      </c>
      <c r="R1016" s="29" cm="1">
        <f t="array" ref="R1016">IF(表成绩单[[#This Row],[英语]]="","",SUMPRODUCT((表成绩单[考试日期]=表成绩单[[#This Row],[考试日期]])*(表成绩单[英语]&lt;9E+307)*(表成绩单[英语]&gt;表成绩单[[#This Row],[英语]]))+1)</f>
        <v>188</v>
      </c>
      <c r="S1016" s="29" cm="1">
        <f t="array" ref="S1016">IF(表成绩单[[#This Row],[物理]]="","",SUMPRODUCT((表成绩单[考试日期]=表成绩单[[#This Row],[考试日期]])*(表成绩单[物理]&lt;9E+307)*(表成绩单[物理]&gt;表成绩单[[#This Row],[物理]]))+1)</f>
        <v>306</v>
      </c>
      <c r="T1016" s="29" cm="1">
        <f t="array" ref="T1016">IF(表成绩单[[#This Row],[化学]]="","",SUMPRODUCT((表成绩单[考试日期]=表成绩单[[#This Row],[考试日期]])*(表成绩单[化学]&lt;9E+307)*(表成绩单[化学]&gt;表成绩单[[#This Row],[化学]]))+1)</f>
        <v>351</v>
      </c>
      <c r="U1016" s="29" cm="1">
        <f t="array" ref="U1016">IF(表成绩单[[#This Row],[政治]]="","",SUMPRODUCT((表成绩单[考试日期]=表成绩单[[#This Row],[考试日期]])*(表成绩单[政治]&lt;9E+307)*(表成绩单[政治]&gt;表成绩单[[#This Row],[政治]]))+1)</f>
        <v>184</v>
      </c>
      <c r="V1016" s="29" cm="1">
        <f t="array" ref="V1016">IF(表成绩单[[#This Row],[历史]]="","",SUMPRODUCT((表成绩单[考试日期]=表成绩单[[#This Row],[考试日期]])*(表成绩单[历史]&lt;9E+307)*(表成绩单[历史]&gt;表成绩单[[#This Row],[历史]]))+1)</f>
        <v>66</v>
      </c>
      <c r="W1016" s="29" cm="1">
        <f t="array" ref="W1016">IF(表成绩单[[#This Row],[总分]]="","",SUMPRODUCT((表成绩单[考试日期]=表成绩单[[#This Row],[考试日期]])*(表成绩单[总分]&lt;9E+307)*(表成绩单[总分]&gt;表成绩单[[#This Row],[总分]]))+1)</f>
        <v>211</v>
      </c>
    </row>
    <row r="1017" ht="28" customHeight="1" spans="4:23">
      <c r="D1017" s="31">
        <v>46003</v>
      </c>
      <c r="E1017" s="29">
        <v>19174457</v>
      </c>
      <c r="F1017" s="29" t="s">
        <v>73</v>
      </c>
      <c r="G1017" s="29" t="s">
        <v>326</v>
      </c>
      <c r="H1017" s="29">
        <v>104</v>
      </c>
      <c r="I1017" s="29">
        <v>80</v>
      </c>
      <c r="J1017" s="29">
        <v>81</v>
      </c>
      <c r="K1017" s="29">
        <v>99</v>
      </c>
      <c r="L1017" s="29">
        <v>81</v>
      </c>
      <c r="M1017" s="29">
        <v>71</v>
      </c>
      <c r="N1017" s="29">
        <v>77</v>
      </c>
      <c r="O1017" s="32">
        <v>593</v>
      </c>
      <c r="P1017" s="29" cm="1">
        <f t="array" ref="P1017">IF(表成绩单[[#This Row],[语文]]="","",SUMPRODUCT((表成绩单[考试日期]=表成绩单[[#This Row],[考试日期]])*(表成绩单[语文]&lt;9E+307)*(表成绩单[语文]&gt;表成绩单[[#This Row],[语文]]))+1)</f>
        <v>290</v>
      </c>
      <c r="Q1017" s="29" cm="1">
        <f t="array" ref="Q1017">IF(表成绩单[[#This Row],[数学]]="","",SUMPRODUCT((表成绩单[考试日期]=表成绩单[[#This Row],[考试日期]])*(表成绩单[数学]&lt;9E+307)*(表成绩单[数学]&gt;表成绩单[[#This Row],[数学]]))+1)</f>
        <v>310</v>
      </c>
      <c r="R1017" s="29" cm="1">
        <f t="array" ref="R1017">IF(表成绩单[[#This Row],[英语]]="","",SUMPRODUCT((表成绩单[考试日期]=表成绩单[[#This Row],[考试日期]])*(表成绩单[英语]&lt;9E+307)*(表成绩单[英语]&gt;表成绩单[[#This Row],[英语]]))+1)</f>
        <v>131</v>
      </c>
      <c r="S1017" s="29" cm="1">
        <f t="array" ref="S1017">IF(表成绩单[[#This Row],[物理]]="","",SUMPRODUCT((表成绩单[考试日期]=表成绩单[[#This Row],[考试日期]])*(表成绩单[物理]&lt;9E+307)*(表成绩单[物理]&gt;表成绩单[[#This Row],[物理]]))+1)</f>
        <v>9</v>
      </c>
      <c r="T1017" s="29" cm="1">
        <f t="array" ref="T1017">IF(表成绩单[[#This Row],[化学]]="","",SUMPRODUCT((表成绩单[考试日期]=表成绩单[[#This Row],[考试日期]])*(表成绩单[化学]&lt;9E+307)*(表成绩单[化学]&gt;表成绩单[[#This Row],[化学]]))+1)</f>
        <v>308</v>
      </c>
      <c r="U1017" s="29" cm="1">
        <f t="array" ref="U1017">IF(表成绩单[[#This Row],[政治]]="","",SUMPRODUCT((表成绩单[考试日期]=表成绩单[[#This Row],[考试日期]])*(表成绩单[政治]&lt;9E+307)*(表成绩单[政治]&gt;表成绩单[[#This Row],[政治]]))+1)</f>
        <v>168</v>
      </c>
      <c r="V1017" s="29" cm="1">
        <f t="array" ref="V1017">IF(表成绩单[[#This Row],[历史]]="","",SUMPRODUCT((表成绩单[考试日期]=表成绩单[[#This Row],[考试日期]])*(表成绩单[历史]&lt;9E+307)*(表成绩单[历史]&gt;表成绩单[[#This Row],[历史]]))+1)</f>
        <v>235</v>
      </c>
      <c r="W1017" s="29" cm="1">
        <f t="array" ref="W1017">IF(表成绩单[[#This Row],[总分]]="","",SUMPRODUCT((表成绩单[考试日期]=表成绩单[[#This Row],[考试日期]])*(表成绩单[总分]&lt;9E+307)*(表成绩单[总分]&gt;表成绩单[[#This Row],[总分]]))+1)</f>
        <v>211</v>
      </c>
    </row>
    <row r="1018" ht="28" customHeight="1" spans="4:23">
      <c r="D1018" s="31">
        <v>46003</v>
      </c>
      <c r="E1018" s="29">
        <v>19174807</v>
      </c>
      <c r="F1018" s="29" t="s">
        <v>69</v>
      </c>
      <c r="G1018" s="29" t="s">
        <v>280</v>
      </c>
      <c r="H1018" s="29">
        <v>105</v>
      </c>
      <c r="I1018" s="29">
        <v>95</v>
      </c>
      <c r="J1018" s="29">
        <v>78</v>
      </c>
      <c r="K1018" s="29">
        <v>88</v>
      </c>
      <c r="L1018" s="29">
        <v>86</v>
      </c>
      <c r="M1018" s="29">
        <v>68</v>
      </c>
      <c r="N1018" s="29">
        <v>73</v>
      </c>
      <c r="O1018" s="32">
        <v>593</v>
      </c>
      <c r="P1018" s="29" cm="1">
        <f t="array" ref="P1018">IF(表成绩单[[#This Row],[语文]]="","",SUMPRODUCT((表成绩单[考试日期]=表成绩单[[#This Row],[考试日期]])*(表成绩单[语文]&lt;9E+307)*(表成绩单[语文]&gt;表成绩单[[#This Row],[语文]]))+1)</f>
        <v>247</v>
      </c>
      <c r="Q1018" s="29" cm="1">
        <f t="array" ref="Q1018">IF(表成绩单[[#This Row],[数学]]="","",SUMPRODUCT((表成绩单[考试日期]=表成绩单[[#This Row],[考试日期]])*(表成绩单[数学]&lt;9E+307)*(表成绩单[数学]&gt;表成绩单[[#This Row],[数学]]))+1)</f>
        <v>122</v>
      </c>
      <c r="R1018" s="29" cm="1">
        <f t="array" ref="R1018">IF(表成绩单[[#This Row],[英语]]="","",SUMPRODUCT((表成绩单[考试日期]=表成绩单[[#This Row],[考试日期]])*(表成绩单[英语]&lt;9E+307)*(表成绩单[英语]&gt;表成绩单[[#This Row],[英语]]))+1)</f>
        <v>214</v>
      </c>
      <c r="S1018" s="29" cm="1">
        <f t="array" ref="S1018">IF(表成绩单[[#This Row],[物理]]="","",SUMPRODUCT((表成绩单[考试日期]=表成绩单[[#This Row],[考试日期]])*(表成绩单[物理]&lt;9E+307)*(表成绩单[物理]&gt;表成绩单[[#This Row],[物理]]))+1)</f>
        <v>291</v>
      </c>
      <c r="T1018" s="29" cm="1">
        <f t="array" ref="T1018">IF(表成绩单[[#This Row],[化学]]="","",SUMPRODUCT((表成绩单[考试日期]=表成绩单[[#This Row],[考试日期]])*(表成绩单[化学]&lt;9E+307)*(表成绩单[化学]&gt;表成绩单[[#This Row],[化学]]))+1)</f>
        <v>223</v>
      </c>
      <c r="U1018" s="29" cm="1">
        <f t="array" ref="U1018">IF(表成绩单[[#This Row],[政治]]="","",SUMPRODUCT((表成绩单[考试日期]=表成绩单[[#This Row],[考试日期]])*(表成绩单[政治]&lt;9E+307)*(表成绩单[政治]&gt;表成绩单[[#This Row],[政治]]))+1)</f>
        <v>237</v>
      </c>
      <c r="V1018" s="29" cm="1">
        <f t="array" ref="V1018">IF(表成绩单[[#This Row],[历史]]="","",SUMPRODUCT((表成绩单[考试日期]=表成绩单[[#This Row],[考试日期]])*(表成绩单[历史]&lt;9E+307)*(表成绩单[历史]&gt;表成绩单[[#This Row],[历史]]))+1)</f>
        <v>403</v>
      </c>
      <c r="W1018" s="29" cm="1">
        <f t="array" ref="W1018">IF(表成绩单[[#This Row],[总分]]="","",SUMPRODUCT((表成绩单[考试日期]=表成绩单[[#This Row],[考试日期]])*(表成绩单[总分]&lt;9E+307)*(表成绩单[总分]&gt;表成绩单[[#This Row],[总分]]))+1)</f>
        <v>211</v>
      </c>
    </row>
    <row r="1019" ht="28" customHeight="1" spans="4:23">
      <c r="D1019" s="31">
        <v>46003</v>
      </c>
      <c r="E1019" s="29">
        <v>19175693</v>
      </c>
      <c r="F1019" s="29" t="s">
        <v>72</v>
      </c>
      <c r="G1019" s="29" t="s">
        <v>242</v>
      </c>
      <c r="H1019" s="29">
        <v>109</v>
      </c>
      <c r="I1019" s="29">
        <v>89</v>
      </c>
      <c r="J1019" s="29">
        <v>76</v>
      </c>
      <c r="K1019" s="29">
        <v>85</v>
      </c>
      <c r="L1019" s="29">
        <v>85</v>
      </c>
      <c r="M1019" s="29">
        <v>66</v>
      </c>
      <c r="N1019" s="29">
        <v>83</v>
      </c>
      <c r="O1019" s="32">
        <v>593</v>
      </c>
      <c r="P1019" s="29" cm="1">
        <f t="array" ref="P1019">IF(表成绩单[[#This Row],[语文]]="","",SUMPRODUCT((表成绩单[考试日期]=表成绩单[[#This Row],[考试日期]])*(表成绩单[语文]&lt;9E+307)*(表成绩单[语文]&gt;表成绩单[[#This Row],[语文]]))+1)</f>
        <v>111</v>
      </c>
      <c r="Q1019" s="29" cm="1">
        <f t="array" ref="Q1019">IF(表成绩单[[#This Row],[数学]]="","",SUMPRODUCT((表成绩单[考试日期]=表成绩单[[#This Row],[考试日期]])*(表成绩单[数学]&lt;9E+307)*(表成绩单[数学]&gt;表成绩单[[#This Row],[数学]]))+1)</f>
        <v>201</v>
      </c>
      <c r="R1019" s="29" cm="1">
        <f t="array" ref="R1019">IF(表成绩单[[#This Row],[英语]]="","",SUMPRODUCT((表成绩单[考试日期]=表成绩单[[#This Row],[考试日期]])*(表成绩单[英语]&lt;9E+307)*(表成绩单[英语]&gt;表成绩单[[#This Row],[英语]]))+1)</f>
        <v>288</v>
      </c>
      <c r="S1019" s="29" cm="1">
        <f t="array" ref="S1019">IF(表成绩单[[#This Row],[物理]]="","",SUMPRODUCT((表成绩单[考试日期]=表成绩单[[#This Row],[考试日期]])*(表成绩单[物理]&lt;9E+307)*(表成绩单[物理]&gt;表成绩单[[#This Row],[物理]]))+1)</f>
        <v>348</v>
      </c>
      <c r="T1019" s="29" cm="1">
        <f t="array" ref="T1019">IF(表成绩单[[#This Row],[化学]]="","",SUMPRODUCT((表成绩单[考试日期]=表成绩单[[#This Row],[考试日期]])*(表成绩单[化学]&lt;9E+307)*(表成绩单[化学]&gt;表成绩单[[#This Row],[化学]]))+1)</f>
        <v>240</v>
      </c>
      <c r="U1019" s="29" cm="1">
        <f t="array" ref="U1019">IF(表成绩单[[#This Row],[政治]]="","",SUMPRODUCT((表成绩单[考试日期]=表成绩单[[#This Row],[考试日期]])*(表成绩单[政治]&lt;9E+307)*(表成绩单[政治]&gt;表成绩单[[#This Row],[政治]]))+1)</f>
        <v>289</v>
      </c>
      <c r="V1019" s="29" cm="1">
        <f t="array" ref="V1019">IF(表成绩单[[#This Row],[历史]]="","",SUMPRODUCT((表成绩单[考试日期]=表成绩单[[#This Row],[考试日期]])*(表成绩单[历史]&lt;9E+307)*(表成绩单[历史]&gt;表成绩单[[#This Row],[历史]]))+1)</f>
        <v>46</v>
      </c>
      <c r="W1019" s="29" cm="1">
        <f t="array" ref="W1019">IF(表成绩单[[#This Row],[总分]]="","",SUMPRODUCT((表成绩单[考试日期]=表成绩单[[#This Row],[考试日期]])*(表成绩单[总分]&lt;9E+307)*(表成绩单[总分]&gt;表成绩单[[#This Row],[总分]]))+1)</f>
        <v>211</v>
      </c>
    </row>
    <row r="1020" ht="28" customHeight="1" spans="4:23">
      <c r="D1020" s="31">
        <v>46003</v>
      </c>
      <c r="E1020" s="29">
        <v>19176877</v>
      </c>
      <c r="F1020" s="29" t="s">
        <v>71</v>
      </c>
      <c r="G1020" s="29" t="s">
        <v>286</v>
      </c>
      <c r="H1020" s="29">
        <v>105</v>
      </c>
      <c r="I1020" s="29">
        <v>94</v>
      </c>
      <c r="J1020" s="29">
        <v>76.5</v>
      </c>
      <c r="K1020" s="29">
        <v>92</v>
      </c>
      <c r="L1020" s="29">
        <v>88</v>
      </c>
      <c r="M1020" s="29">
        <v>66</v>
      </c>
      <c r="N1020" s="29">
        <v>71</v>
      </c>
      <c r="O1020" s="32">
        <v>592.5</v>
      </c>
      <c r="P1020" s="29" cm="1">
        <f t="array" ref="P1020">IF(表成绩单[[#This Row],[语文]]="","",SUMPRODUCT((表成绩单[考试日期]=表成绩单[[#This Row],[考试日期]])*(表成绩单[语文]&lt;9E+307)*(表成绩单[语文]&gt;表成绩单[[#This Row],[语文]]))+1)</f>
        <v>247</v>
      </c>
      <c r="Q1020" s="29" cm="1">
        <f t="array" ref="Q1020">IF(表成绩单[[#This Row],[数学]]="","",SUMPRODUCT((表成绩单[考试日期]=表成绩单[[#This Row],[考试日期]])*(表成绩单[数学]&lt;9E+307)*(表成绩单[数学]&gt;表成绩单[[#This Row],[数学]]))+1)</f>
        <v>142</v>
      </c>
      <c r="R1020" s="29" cm="1">
        <f t="array" ref="R1020">IF(表成绩单[[#This Row],[英语]]="","",SUMPRODUCT((表成绩单[考试日期]=表成绩单[[#This Row],[考试日期]])*(表成绩单[英语]&lt;9E+307)*(表成绩单[英语]&gt;表成绩单[[#This Row],[英语]]))+1)</f>
        <v>272</v>
      </c>
      <c r="S1020" s="29" cm="1">
        <f t="array" ref="S1020">IF(表成绩单[[#This Row],[物理]]="","",SUMPRODUCT((表成绩单[考试日期]=表成绩单[[#This Row],[考试日期]])*(表成绩单[物理]&lt;9E+307)*(表成绩单[物理]&gt;表成绩单[[#This Row],[物理]]))+1)</f>
        <v>191</v>
      </c>
      <c r="T1020" s="29" cm="1">
        <f t="array" ref="T1020">IF(表成绩单[[#This Row],[化学]]="","",SUMPRODUCT((表成绩单[考试日期]=表成绩单[[#This Row],[考试日期]])*(表成绩单[化学]&lt;9E+307)*(表成绩单[化学]&gt;表成绩单[[#This Row],[化学]]))+1)</f>
        <v>175</v>
      </c>
      <c r="U1020" s="29" cm="1">
        <f t="array" ref="U1020">IF(表成绩单[[#This Row],[政治]]="","",SUMPRODUCT((表成绩单[考试日期]=表成绩单[[#This Row],[考试日期]])*(表成绩单[政治]&lt;9E+307)*(表成绩单[政治]&gt;表成绩单[[#This Row],[政治]]))+1)</f>
        <v>289</v>
      </c>
      <c r="V1020" s="29" cm="1">
        <f t="array" ref="V1020">IF(表成绩单[[#This Row],[历史]]="","",SUMPRODUCT((表成绩单[考试日期]=表成绩单[[#This Row],[考试日期]])*(表成绩单[历史]&lt;9E+307)*(表成绩单[历史]&gt;表成绩单[[#This Row],[历史]]))+1)</f>
        <v>471</v>
      </c>
      <c r="W1020" s="29" cm="1">
        <f t="array" ref="W1020">IF(表成绩单[[#This Row],[总分]]="","",SUMPRODUCT((表成绩单[考试日期]=表成绩单[[#This Row],[考试日期]])*(表成绩单[总分]&lt;9E+307)*(表成绩单[总分]&gt;表成绩单[[#This Row],[总分]]))+1)</f>
        <v>215</v>
      </c>
    </row>
    <row r="1021" ht="28" customHeight="1" spans="4:23">
      <c r="D1021" s="31">
        <v>46003</v>
      </c>
      <c r="E1021" s="29">
        <v>19178596</v>
      </c>
      <c r="F1021" s="29" t="s">
        <v>64</v>
      </c>
      <c r="G1021" s="29" t="s">
        <v>392</v>
      </c>
      <c r="H1021" s="29">
        <v>102</v>
      </c>
      <c r="I1021" s="29">
        <v>91</v>
      </c>
      <c r="J1021" s="29">
        <v>72.5</v>
      </c>
      <c r="K1021" s="29">
        <v>93</v>
      </c>
      <c r="L1021" s="29">
        <v>89</v>
      </c>
      <c r="M1021" s="29">
        <v>69</v>
      </c>
      <c r="N1021" s="29">
        <v>76</v>
      </c>
      <c r="O1021" s="32">
        <v>592.5</v>
      </c>
      <c r="P1021" s="29" cm="1">
        <f t="array" ref="P1021">IF(表成绩单[[#This Row],[语文]]="","",SUMPRODUCT((表成绩单[考试日期]=表成绩单[[#This Row],[考试日期]])*(表成绩单[语文]&lt;9E+307)*(表成绩单[语文]&gt;表成绩单[[#This Row],[语文]]))+1)</f>
        <v>366</v>
      </c>
      <c r="Q1021" s="29" cm="1">
        <f t="array" ref="Q1021">IF(表成绩单[[#This Row],[数学]]="","",SUMPRODUCT((表成绩单[考试日期]=表成绩单[[#This Row],[考试日期]])*(表成绩单[数学]&lt;9E+307)*(表成绩单[数学]&gt;表成绩单[[#This Row],[数学]]))+1)</f>
        <v>184</v>
      </c>
      <c r="R1021" s="29" cm="1">
        <f t="array" ref="R1021">IF(表成绩单[[#This Row],[英语]]="","",SUMPRODUCT((表成绩单[考试日期]=表成绩单[[#This Row],[考试日期]])*(表成绩单[英语]&lt;9E+307)*(表成绩单[英语]&gt;表成绩单[[#This Row],[英语]]))+1)</f>
        <v>373</v>
      </c>
      <c r="S1021" s="29" cm="1">
        <f t="array" ref="S1021">IF(表成绩单[[#This Row],[物理]]="","",SUMPRODUCT((表成绩单[考试日期]=表成绩单[[#This Row],[考试日期]])*(表成绩单[物理]&lt;9E+307)*(表成绩单[物理]&gt;表成绩单[[#This Row],[物理]]))+1)</f>
        <v>163</v>
      </c>
      <c r="T1021" s="29" cm="1">
        <f t="array" ref="T1021">IF(表成绩单[[#This Row],[化学]]="","",SUMPRODUCT((表成绩单[考试日期]=表成绩单[[#This Row],[考试日期]])*(表成绩单[化学]&lt;9E+307)*(表成绩单[化学]&gt;表成绩单[[#This Row],[化学]]))+1)</f>
        <v>157</v>
      </c>
      <c r="U1021" s="29" cm="1">
        <f t="array" ref="U1021">IF(表成绩单[[#This Row],[政治]]="","",SUMPRODUCT((表成绩单[考试日期]=表成绩单[[#This Row],[考试日期]])*(表成绩单[政治]&lt;9E+307)*(表成绩单[政治]&gt;表成绩单[[#This Row],[政治]]))+1)</f>
        <v>212</v>
      </c>
      <c r="V1021" s="29" cm="1">
        <f t="array" ref="V1021">IF(表成绩单[[#This Row],[历史]]="","",SUMPRODUCT((表成绩单[考试日期]=表成绩单[[#This Row],[考试日期]])*(表成绩单[历史]&lt;9E+307)*(表成绩单[历史]&gt;表成绩单[[#This Row],[历史]]))+1)</f>
        <v>279</v>
      </c>
      <c r="W1021" s="29" cm="1">
        <f t="array" ref="W1021">IF(表成绩单[[#This Row],[总分]]="","",SUMPRODUCT((表成绩单[考试日期]=表成绩单[[#This Row],[考试日期]])*(表成绩单[总分]&lt;9E+307)*(表成绩单[总分]&gt;表成绩单[[#This Row],[总分]]))+1)</f>
        <v>215</v>
      </c>
    </row>
    <row r="1022" ht="28" customHeight="1" spans="4:23">
      <c r="D1022" s="31">
        <v>46003</v>
      </c>
      <c r="E1022" s="29">
        <v>19177215</v>
      </c>
      <c r="F1022" s="29" t="s">
        <v>70</v>
      </c>
      <c r="G1022" s="29" t="s">
        <v>292</v>
      </c>
      <c r="H1022" s="29">
        <v>108</v>
      </c>
      <c r="I1022" s="29">
        <v>96</v>
      </c>
      <c r="J1022" s="29">
        <v>80</v>
      </c>
      <c r="K1022" s="29">
        <v>87</v>
      </c>
      <c r="L1022" s="29">
        <v>86</v>
      </c>
      <c r="M1022" s="29">
        <v>64</v>
      </c>
      <c r="N1022" s="29">
        <v>71</v>
      </c>
      <c r="O1022" s="32">
        <v>592</v>
      </c>
      <c r="P1022" s="29" cm="1">
        <f t="array" ref="P1022">IF(表成绩单[[#This Row],[语文]]="","",SUMPRODUCT((表成绩单[考试日期]=表成绩单[[#This Row],[考试日期]])*(表成绩单[语文]&lt;9E+307)*(表成绩单[语文]&gt;表成绩单[[#This Row],[语文]]))+1)</f>
        <v>154</v>
      </c>
      <c r="Q1022" s="29" cm="1">
        <f t="array" ref="Q1022">IF(表成绩单[[#This Row],[数学]]="","",SUMPRODUCT((表成绩单[考试日期]=表成绩单[[#This Row],[考试日期]])*(表成绩单[数学]&lt;9E+307)*(表成绩单[数学]&gt;表成绩单[[#This Row],[数学]]))+1)</f>
        <v>114</v>
      </c>
      <c r="R1022" s="29" cm="1">
        <f t="array" ref="R1022">IF(表成绩单[[#This Row],[英语]]="","",SUMPRODUCT((表成绩单[考试日期]=表成绩单[[#This Row],[考试日期]])*(表成绩单[英语]&lt;9E+307)*(表成绩单[英语]&gt;表成绩单[[#This Row],[英语]]))+1)</f>
        <v>170</v>
      </c>
      <c r="S1022" s="29" cm="1">
        <f t="array" ref="S1022">IF(表成绩单[[#This Row],[物理]]="","",SUMPRODUCT((表成绩单[考试日期]=表成绩单[[#This Row],[考试日期]])*(表成绩单[物理]&lt;9E+307)*(表成绩单[物理]&gt;表成绩单[[#This Row],[物理]]))+1)</f>
        <v>306</v>
      </c>
      <c r="T1022" s="29" cm="1">
        <f t="array" ref="T1022">IF(表成绩单[[#This Row],[化学]]="","",SUMPRODUCT((表成绩单[考试日期]=表成绩单[[#This Row],[考试日期]])*(表成绩单[化学]&lt;9E+307)*(表成绩单[化学]&gt;表成绩单[[#This Row],[化学]]))+1)</f>
        <v>223</v>
      </c>
      <c r="U1022" s="29" cm="1">
        <f t="array" ref="U1022">IF(表成绩单[[#This Row],[政治]]="","",SUMPRODUCT((表成绩单[考试日期]=表成绩单[[#This Row],[考试日期]])*(表成绩单[政治]&lt;9E+307)*(表成绩单[政治]&gt;表成绩单[[#This Row],[政治]]))+1)</f>
        <v>337</v>
      </c>
      <c r="V1022" s="29" cm="1">
        <f t="array" ref="V1022">IF(表成绩单[[#This Row],[历史]]="","",SUMPRODUCT((表成绩单[考试日期]=表成绩单[[#This Row],[考试日期]])*(表成绩单[历史]&lt;9E+307)*(表成绩单[历史]&gt;表成绩单[[#This Row],[历史]]))+1)</f>
        <v>471</v>
      </c>
      <c r="W1022" s="29" cm="1">
        <f t="array" ref="W1022">IF(表成绩单[[#This Row],[总分]]="","",SUMPRODUCT((表成绩单[考试日期]=表成绩单[[#This Row],[考试日期]])*(表成绩单[总分]&lt;9E+307)*(表成绩单[总分]&gt;表成绩单[[#This Row],[总分]]))+1)</f>
        <v>217</v>
      </c>
    </row>
    <row r="1023" ht="28" customHeight="1" spans="4:23">
      <c r="D1023" s="31">
        <v>46003</v>
      </c>
      <c r="E1023" s="29">
        <v>19175406</v>
      </c>
      <c r="F1023" s="29" t="s">
        <v>74</v>
      </c>
      <c r="G1023" s="29" t="s">
        <v>252</v>
      </c>
      <c r="H1023" s="29">
        <v>104</v>
      </c>
      <c r="I1023" s="29">
        <v>81</v>
      </c>
      <c r="J1023" s="29">
        <v>81.5</v>
      </c>
      <c r="K1023" s="29">
        <v>96</v>
      </c>
      <c r="L1023" s="29">
        <v>88</v>
      </c>
      <c r="M1023" s="29">
        <v>64</v>
      </c>
      <c r="N1023" s="29">
        <v>77</v>
      </c>
      <c r="O1023" s="32">
        <v>591.5</v>
      </c>
      <c r="P1023" s="29" cm="1">
        <f t="array" ref="P1023">IF(表成绩单[[#This Row],[语文]]="","",SUMPRODUCT((表成绩单[考试日期]=表成绩单[[#This Row],[考试日期]])*(表成绩单[语文]&lt;9E+307)*(表成绩单[语文]&gt;表成绩单[[#This Row],[语文]]))+1)</f>
        <v>290</v>
      </c>
      <c r="Q1023" s="29" cm="1">
        <f t="array" ref="Q1023">IF(表成绩单[[#This Row],[数学]]="","",SUMPRODUCT((表成绩单[考试日期]=表成绩单[[#This Row],[考试日期]])*(表成绩单[数学]&lt;9E+307)*(表成绩单[数学]&gt;表成绩单[[#This Row],[数学]]))+1)</f>
        <v>302</v>
      </c>
      <c r="R1023" s="29" cm="1">
        <f t="array" ref="R1023">IF(表成绩单[[#This Row],[英语]]="","",SUMPRODUCT((表成绩单[考试日期]=表成绩单[[#This Row],[考试日期]])*(表成绩单[英语]&lt;9E+307)*(表成绩单[英语]&gt;表成绩单[[#This Row],[英语]]))+1)</f>
        <v>113</v>
      </c>
      <c r="S1023" s="29" cm="1">
        <f t="array" ref="S1023">IF(表成绩单[[#This Row],[物理]]="","",SUMPRODUCT((表成绩单[考试日期]=表成绩单[[#This Row],[考试日期]])*(表成绩单[物理]&lt;9E+307)*(表成绩单[物理]&gt;表成绩单[[#This Row],[物理]]))+1)</f>
        <v>64</v>
      </c>
      <c r="T1023" s="29" cm="1">
        <f t="array" ref="T1023">IF(表成绩单[[#This Row],[化学]]="","",SUMPRODUCT((表成绩单[考试日期]=表成绩单[[#This Row],[考试日期]])*(表成绩单[化学]&lt;9E+307)*(表成绩单[化学]&gt;表成绩单[[#This Row],[化学]]))+1)</f>
        <v>175</v>
      </c>
      <c r="U1023" s="29" cm="1">
        <f t="array" ref="U1023">IF(表成绩单[[#This Row],[政治]]="","",SUMPRODUCT((表成绩单[考试日期]=表成绩单[[#This Row],[考试日期]])*(表成绩单[政治]&lt;9E+307)*(表成绩单[政治]&gt;表成绩单[[#This Row],[政治]]))+1)</f>
        <v>337</v>
      </c>
      <c r="V1023" s="29" cm="1">
        <f t="array" ref="V1023">IF(表成绩单[[#This Row],[历史]]="","",SUMPRODUCT((表成绩单[考试日期]=表成绩单[[#This Row],[考试日期]])*(表成绩单[历史]&lt;9E+307)*(表成绩单[历史]&gt;表成绩单[[#This Row],[历史]]))+1)</f>
        <v>235</v>
      </c>
      <c r="W1023" s="29" cm="1">
        <f t="array" ref="W1023">IF(表成绩单[[#This Row],[总分]]="","",SUMPRODUCT((表成绩单[考试日期]=表成绩单[[#This Row],[考试日期]])*(表成绩单[总分]&lt;9E+307)*(表成绩单[总分]&gt;表成绩单[[#This Row],[总分]]))+1)</f>
        <v>218</v>
      </c>
    </row>
    <row r="1024" ht="28" customHeight="1" spans="4:23">
      <c r="D1024" s="31">
        <v>46003</v>
      </c>
      <c r="E1024" s="29">
        <v>19177206</v>
      </c>
      <c r="F1024" s="29" t="s">
        <v>70</v>
      </c>
      <c r="G1024" s="29" t="s">
        <v>351</v>
      </c>
      <c r="H1024" s="29">
        <v>107</v>
      </c>
      <c r="I1024" s="29">
        <v>88</v>
      </c>
      <c r="J1024" s="29">
        <v>79.5</v>
      </c>
      <c r="K1024" s="29">
        <v>94</v>
      </c>
      <c r="L1024" s="29">
        <v>80</v>
      </c>
      <c r="M1024" s="29">
        <v>63</v>
      </c>
      <c r="N1024" s="29">
        <v>80</v>
      </c>
      <c r="O1024" s="32">
        <v>591.5</v>
      </c>
      <c r="P1024" s="29" cm="1">
        <f t="array" ref="P1024">IF(表成绩单[[#This Row],[语文]]="","",SUMPRODUCT((表成绩单[考试日期]=表成绩单[[#This Row],[考试日期]])*(表成绩单[语文]&lt;9E+307)*(表成绩单[语文]&gt;表成绩单[[#This Row],[语文]]))+1)</f>
        <v>182</v>
      </c>
      <c r="Q1024" s="29" cm="1">
        <f t="array" ref="Q1024">IF(表成绩单[[#This Row],[数学]]="","",SUMPRODUCT((表成绩单[考试日期]=表成绩单[[#This Row],[考试日期]])*(表成绩单[数学]&lt;9E+307)*(表成绩单[数学]&gt;表成绩单[[#This Row],[数学]]))+1)</f>
        <v>213</v>
      </c>
      <c r="R1024" s="29" cm="1">
        <f t="array" ref="R1024">IF(表成绩单[[#This Row],[英语]]="","",SUMPRODUCT((表成绩单[考试日期]=表成绩单[[#This Row],[考试日期]])*(表成绩单[英语]&lt;9E+307)*(表成绩单[英语]&gt;表成绩单[[#This Row],[英语]]))+1)</f>
        <v>180</v>
      </c>
      <c r="S1024" s="29" cm="1">
        <f t="array" ref="S1024">IF(表成绩单[[#This Row],[物理]]="","",SUMPRODUCT((表成绩单[考试日期]=表成绩单[[#This Row],[考试日期]])*(表成绩单[物理]&lt;9E+307)*(表成绩单[物理]&gt;表成绩单[[#This Row],[物理]]))+1)</f>
        <v>125</v>
      </c>
      <c r="T1024" s="29" cm="1">
        <f t="array" ref="T1024">IF(表成绩单[[#This Row],[化学]]="","",SUMPRODUCT((表成绩单[考试日期]=表成绩单[[#This Row],[考试日期]])*(表成绩单[化学]&lt;9E+307)*(表成绩单[化学]&gt;表成绩单[[#This Row],[化学]]))+1)</f>
        <v>327</v>
      </c>
      <c r="U1024" s="29" cm="1">
        <f t="array" ref="U1024">IF(表成绩单[[#This Row],[政治]]="","",SUMPRODUCT((表成绩单[考试日期]=表成绩单[[#This Row],[考试日期]])*(表成绩单[政治]&lt;9E+307)*(表成绩单[政治]&gt;表成绩单[[#This Row],[政治]]))+1)</f>
        <v>360</v>
      </c>
      <c r="V1024" s="29" cm="1">
        <f t="array" ref="V1024">IF(表成绩单[[#This Row],[历史]]="","",SUMPRODUCT((表成绩单[考试日期]=表成绩单[[#This Row],[考试日期]])*(表成绩单[历史]&lt;9E+307)*(表成绩单[历史]&gt;表成绩单[[#This Row],[历史]]))+1)</f>
        <v>116</v>
      </c>
      <c r="W1024" s="29" cm="1">
        <f t="array" ref="W1024">IF(表成绩单[[#This Row],[总分]]="","",SUMPRODUCT((表成绩单[考试日期]=表成绩单[[#This Row],[考试日期]])*(表成绩单[总分]&lt;9E+307)*(表成绩单[总分]&gt;表成绩单[[#This Row],[总分]]))+1)</f>
        <v>218</v>
      </c>
    </row>
    <row r="1025" ht="28" customHeight="1" spans="4:23">
      <c r="D1025" s="31">
        <v>46003</v>
      </c>
      <c r="E1025" s="29">
        <v>19175639</v>
      </c>
      <c r="F1025" s="29" t="s">
        <v>66</v>
      </c>
      <c r="G1025" s="29" t="s">
        <v>314</v>
      </c>
      <c r="H1025" s="29">
        <v>104</v>
      </c>
      <c r="I1025" s="29">
        <v>83</v>
      </c>
      <c r="J1025" s="29">
        <v>81</v>
      </c>
      <c r="K1025" s="29">
        <v>93</v>
      </c>
      <c r="L1025" s="29">
        <v>85</v>
      </c>
      <c r="M1025" s="29">
        <v>70</v>
      </c>
      <c r="N1025" s="29">
        <v>75</v>
      </c>
      <c r="O1025" s="32">
        <v>591</v>
      </c>
      <c r="P1025" s="29" cm="1">
        <f t="array" ref="P1025">IF(表成绩单[[#This Row],[语文]]="","",SUMPRODUCT((表成绩单[考试日期]=表成绩单[[#This Row],[考试日期]])*(表成绩单[语文]&lt;9E+307)*(表成绩单[语文]&gt;表成绩单[[#This Row],[语文]]))+1)</f>
        <v>290</v>
      </c>
      <c r="Q1025" s="29" cm="1">
        <f t="array" ref="Q1025">IF(表成绩单[[#This Row],[数学]]="","",SUMPRODUCT((表成绩单[考试日期]=表成绩单[[#This Row],[考试日期]])*(表成绩单[数学]&lt;9E+307)*(表成绩单[数学]&gt;表成绩单[[#This Row],[数学]]))+1)</f>
        <v>272</v>
      </c>
      <c r="R1025" s="29" cm="1">
        <f t="array" ref="R1025">IF(表成绩单[[#This Row],[英语]]="","",SUMPRODUCT((表成绩单[考试日期]=表成绩单[[#This Row],[考试日期]])*(表成绩单[英语]&lt;9E+307)*(表成绩单[英语]&gt;表成绩单[[#This Row],[英语]]))+1)</f>
        <v>131</v>
      </c>
      <c r="S1025" s="29" cm="1">
        <f t="array" ref="S1025">IF(表成绩单[[#This Row],[物理]]="","",SUMPRODUCT((表成绩单[考试日期]=表成绩单[[#This Row],[考试日期]])*(表成绩单[物理]&lt;9E+307)*(表成绩单[物理]&gt;表成绩单[[#This Row],[物理]]))+1)</f>
        <v>163</v>
      </c>
      <c r="T1025" s="29" cm="1">
        <f t="array" ref="T1025">IF(表成绩单[[#This Row],[化学]]="","",SUMPRODUCT((表成绩单[考试日期]=表成绩单[[#This Row],[考试日期]])*(表成绩单[化学]&lt;9E+307)*(表成绩单[化学]&gt;表成绩单[[#This Row],[化学]]))+1)</f>
        <v>240</v>
      </c>
      <c r="U1025" s="29" cm="1">
        <f t="array" ref="U1025">IF(表成绩单[[#This Row],[政治]]="","",SUMPRODUCT((表成绩单[考试日期]=表成绩单[[#This Row],[考试日期]])*(表成绩单[政治]&lt;9E+307)*(表成绩单[政治]&gt;表成绩单[[#This Row],[政治]]))+1)</f>
        <v>184</v>
      </c>
      <c r="V1025" s="29" cm="1">
        <f t="array" ref="V1025">IF(表成绩单[[#This Row],[历史]]="","",SUMPRODUCT((表成绩单[考试日期]=表成绩单[[#This Row],[考试日期]])*(表成绩单[历史]&lt;9E+307)*(表成绩单[历史]&gt;表成绩单[[#This Row],[历史]]))+1)</f>
        <v>329</v>
      </c>
      <c r="W1025" s="29" cm="1">
        <f t="array" ref="W1025">IF(表成绩单[[#This Row],[总分]]="","",SUMPRODUCT((表成绩单[考试日期]=表成绩单[[#This Row],[考试日期]])*(表成绩单[总分]&lt;9E+307)*(表成绩单[总分]&gt;表成绩单[[#This Row],[总分]]))+1)</f>
        <v>220</v>
      </c>
    </row>
    <row r="1026" ht="28" customHeight="1" spans="4:23">
      <c r="D1026" s="31">
        <v>46003</v>
      </c>
      <c r="E1026" s="29">
        <v>19176885</v>
      </c>
      <c r="F1026" s="29" t="s">
        <v>71</v>
      </c>
      <c r="G1026" s="29" t="s">
        <v>384</v>
      </c>
      <c r="H1026" s="29">
        <v>101</v>
      </c>
      <c r="I1026" s="29">
        <v>97</v>
      </c>
      <c r="J1026" s="29">
        <v>79</v>
      </c>
      <c r="K1026" s="29">
        <v>90</v>
      </c>
      <c r="L1026" s="29">
        <v>88</v>
      </c>
      <c r="M1026" s="29">
        <v>61</v>
      </c>
      <c r="N1026" s="29">
        <v>75</v>
      </c>
      <c r="O1026" s="32">
        <v>591</v>
      </c>
      <c r="P1026" s="29" cm="1">
        <f t="array" ref="P1026">IF(表成绩单[[#This Row],[语文]]="","",SUMPRODUCT((表成绩单[考试日期]=表成绩单[[#This Row],[考试日期]])*(表成绩单[语文]&lt;9E+307)*(表成绩单[语文]&gt;表成绩单[[#This Row],[语文]]))+1)</f>
        <v>387</v>
      </c>
      <c r="Q1026" s="29" cm="1">
        <f t="array" ref="Q1026">IF(表成绩单[[#This Row],[数学]]="","",SUMPRODUCT((表成绩单[考试日期]=表成绩单[[#This Row],[考试日期]])*(表成绩单[数学]&lt;9E+307)*(表成绩单[数学]&gt;表成绩单[[#This Row],[数学]]))+1)</f>
        <v>104</v>
      </c>
      <c r="R1026" s="29" cm="1">
        <f t="array" ref="R1026">IF(表成绩单[[#This Row],[英语]]="","",SUMPRODUCT((表成绩单[考试日期]=表成绩单[[#This Row],[考试日期]])*(表成绩单[英语]&lt;9E+307)*(表成绩单[英语]&gt;表成绩单[[#This Row],[英语]]))+1)</f>
        <v>188</v>
      </c>
      <c r="S1026" s="29" cm="1">
        <f t="array" ref="S1026">IF(表成绩单[[#This Row],[物理]]="","",SUMPRODUCT((表成绩单[考试日期]=表成绩单[[#This Row],[考试日期]])*(表成绩单[物理]&lt;9E+307)*(表成绩单[物理]&gt;表成绩单[[#This Row],[物理]]))+1)</f>
        <v>237</v>
      </c>
      <c r="T1026" s="29" cm="1">
        <f t="array" ref="T1026">IF(表成绩单[[#This Row],[化学]]="","",SUMPRODUCT((表成绩单[考试日期]=表成绩单[[#This Row],[考试日期]])*(表成绩单[化学]&lt;9E+307)*(表成绩单[化学]&gt;表成绩单[[#This Row],[化学]]))+1)</f>
        <v>175</v>
      </c>
      <c r="U1026" s="29" cm="1">
        <f t="array" ref="U1026">IF(表成绩单[[#This Row],[政治]]="","",SUMPRODUCT((表成绩单[考试日期]=表成绩单[[#This Row],[考试日期]])*(表成绩单[政治]&lt;9E+307)*(表成绩单[政治]&gt;表成绩单[[#This Row],[政治]]))+1)</f>
        <v>400</v>
      </c>
      <c r="V1026" s="29" cm="1">
        <f t="array" ref="V1026">IF(表成绩单[[#This Row],[历史]]="","",SUMPRODUCT((表成绩单[考试日期]=表成绩单[[#This Row],[考试日期]])*(表成绩单[历史]&lt;9E+307)*(表成绩单[历史]&gt;表成绩单[[#This Row],[历史]]))+1)</f>
        <v>329</v>
      </c>
      <c r="W1026" s="29" cm="1">
        <f t="array" ref="W1026">IF(表成绩单[[#This Row],[总分]]="","",SUMPRODUCT((表成绩单[考试日期]=表成绩单[[#This Row],[考试日期]])*(表成绩单[总分]&lt;9E+307)*(表成绩单[总分]&gt;表成绩单[[#This Row],[总分]]))+1)</f>
        <v>220</v>
      </c>
    </row>
    <row r="1027" ht="28" customHeight="1" spans="4:23">
      <c r="D1027" s="31">
        <v>46003</v>
      </c>
      <c r="E1027" s="29">
        <v>19174470</v>
      </c>
      <c r="F1027" s="29" t="s">
        <v>73</v>
      </c>
      <c r="G1027" s="29" t="s">
        <v>337</v>
      </c>
      <c r="H1027" s="29">
        <v>98</v>
      </c>
      <c r="I1027" s="29">
        <v>78</v>
      </c>
      <c r="J1027" s="29">
        <v>80.5</v>
      </c>
      <c r="K1027" s="29">
        <v>92</v>
      </c>
      <c r="L1027" s="29">
        <v>94</v>
      </c>
      <c r="M1027" s="29">
        <v>69</v>
      </c>
      <c r="N1027" s="29">
        <v>79</v>
      </c>
      <c r="O1027" s="32">
        <v>590.5</v>
      </c>
      <c r="P1027" s="29" cm="1">
        <f t="array" ref="P1027">IF(表成绩单[[#This Row],[语文]]="","",SUMPRODUCT((表成绩单[考试日期]=表成绩单[[#This Row],[考试日期]])*(表成绩单[语文]&lt;9E+307)*(表成绩单[语文]&gt;表成绩单[[#This Row],[语文]]))+1)</f>
        <v>463</v>
      </c>
      <c r="Q1027" s="29" cm="1">
        <f t="array" ref="Q1027">IF(表成绩单[[#This Row],[数学]]="","",SUMPRODUCT((表成绩单[考试日期]=表成绩单[[#This Row],[考试日期]])*(表成绩单[数学]&lt;9E+307)*(表成绩单[数学]&gt;表成绩单[[#This Row],[数学]]))+1)</f>
        <v>335</v>
      </c>
      <c r="R1027" s="29" cm="1">
        <f t="array" ref="R1027">IF(表成绩单[[#This Row],[英语]]="","",SUMPRODUCT((表成绩单[考试日期]=表成绩单[[#This Row],[考试日期]])*(表成绩单[英语]&lt;9E+307)*(表成绩单[英语]&gt;表成绩单[[#This Row],[英语]]))+1)</f>
        <v>147</v>
      </c>
      <c r="S1027" s="29" cm="1">
        <f t="array" ref="S1027">IF(表成绩单[[#This Row],[物理]]="","",SUMPRODUCT((表成绩单[考试日期]=表成绩单[[#This Row],[考试日期]])*(表成绩单[物理]&lt;9E+307)*(表成绩单[物理]&gt;表成绩单[[#This Row],[物理]]))+1)</f>
        <v>191</v>
      </c>
      <c r="T1027" s="29" cm="1">
        <f t="array" ref="T1027">IF(表成绩单[[#This Row],[化学]]="","",SUMPRODUCT((表成绩单[考试日期]=表成绩单[[#This Row],[考试日期]])*(表成绩单[化学]&lt;9E+307)*(表成绩单[化学]&gt;表成绩单[[#This Row],[化学]]))+1)</f>
        <v>56</v>
      </c>
      <c r="U1027" s="29" cm="1">
        <f t="array" ref="U1027">IF(表成绩单[[#This Row],[政治]]="","",SUMPRODUCT((表成绩单[考试日期]=表成绩单[[#This Row],[考试日期]])*(表成绩单[政治]&lt;9E+307)*(表成绩单[政治]&gt;表成绩单[[#This Row],[政治]]))+1)</f>
        <v>212</v>
      </c>
      <c r="V1027" s="29" cm="1">
        <f t="array" ref="V1027">IF(表成绩单[[#This Row],[历史]]="","",SUMPRODUCT((表成绩单[考试日期]=表成绩单[[#This Row],[考试日期]])*(表成绩单[历史]&lt;9E+307)*(表成绩单[历史]&gt;表成绩单[[#This Row],[历史]]))+1)</f>
        <v>149</v>
      </c>
      <c r="W1027" s="29" cm="1">
        <f t="array" ref="W1027">IF(表成绩单[[#This Row],[总分]]="","",SUMPRODUCT((表成绩单[考试日期]=表成绩单[[#This Row],[考试日期]])*(表成绩单[总分]&lt;9E+307)*(表成绩单[总分]&gt;表成绩单[[#This Row],[总分]]))+1)</f>
        <v>222</v>
      </c>
    </row>
    <row r="1028" ht="28" customHeight="1" spans="4:23">
      <c r="D1028" s="31">
        <v>46003</v>
      </c>
      <c r="E1028" s="29">
        <v>19175626</v>
      </c>
      <c r="F1028" s="29" t="s">
        <v>57</v>
      </c>
      <c r="G1028" s="29" t="s">
        <v>437</v>
      </c>
      <c r="H1028" s="29">
        <v>105</v>
      </c>
      <c r="I1028" s="29">
        <v>80</v>
      </c>
      <c r="J1028" s="29">
        <v>73.5</v>
      </c>
      <c r="K1028" s="29">
        <v>98</v>
      </c>
      <c r="L1028" s="29">
        <v>85</v>
      </c>
      <c r="M1028" s="29">
        <v>71</v>
      </c>
      <c r="N1028" s="29">
        <v>78</v>
      </c>
      <c r="O1028" s="32">
        <v>590.5</v>
      </c>
      <c r="P1028" s="29" cm="1">
        <f t="array" ref="P1028">IF(表成绩单[[#This Row],[语文]]="","",SUMPRODUCT((表成绩单[考试日期]=表成绩单[[#This Row],[考试日期]])*(表成绩单[语文]&lt;9E+307)*(表成绩单[语文]&gt;表成绩单[[#This Row],[语文]]))+1)</f>
        <v>247</v>
      </c>
      <c r="Q1028" s="29" cm="1">
        <f t="array" ref="Q1028">IF(表成绩单[[#This Row],[数学]]="","",SUMPRODUCT((表成绩单[考试日期]=表成绩单[[#This Row],[考试日期]])*(表成绩单[数学]&lt;9E+307)*(表成绩单[数学]&gt;表成绩单[[#This Row],[数学]]))+1)</f>
        <v>310</v>
      </c>
      <c r="R1028" s="29" cm="1">
        <f t="array" ref="R1028">IF(表成绩单[[#This Row],[英语]]="","",SUMPRODUCT((表成绩单[考试日期]=表成绩单[[#This Row],[考试日期]])*(表成绩单[英语]&lt;9E+307)*(表成绩单[英语]&gt;表成绩单[[#This Row],[英语]]))+1)</f>
        <v>355</v>
      </c>
      <c r="S1028" s="29" cm="1">
        <f t="array" ref="S1028">IF(表成绩单[[#This Row],[物理]]="","",SUMPRODUCT((表成绩单[考试日期]=表成绩单[[#This Row],[考试日期]])*(表成绩单[物理]&lt;9E+307)*(表成绩单[物理]&gt;表成绩单[[#This Row],[物理]]))+1)</f>
        <v>26</v>
      </c>
      <c r="T1028" s="29" cm="1">
        <f t="array" ref="T1028">IF(表成绩单[[#This Row],[化学]]="","",SUMPRODUCT((表成绩单[考试日期]=表成绩单[[#This Row],[考试日期]])*(表成绩单[化学]&lt;9E+307)*(表成绩单[化学]&gt;表成绩单[[#This Row],[化学]]))+1)</f>
        <v>240</v>
      </c>
      <c r="U1028" s="29" cm="1">
        <f t="array" ref="U1028">IF(表成绩单[[#This Row],[政治]]="","",SUMPRODUCT((表成绩单[考试日期]=表成绩单[[#This Row],[考试日期]])*(表成绩单[政治]&lt;9E+307)*(表成绩单[政治]&gt;表成绩单[[#This Row],[政治]]))+1)</f>
        <v>168</v>
      </c>
      <c r="V1028" s="29" cm="1">
        <f t="array" ref="V1028">IF(表成绩单[[#This Row],[历史]]="","",SUMPRODUCT((表成绩单[考试日期]=表成绩单[[#This Row],[考试日期]])*(表成绩单[历史]&lt;9E+307)*(表成绩单[历史]&gt;表成绩单[[#This Row],[历史]]))+1)</f>
        <v>190</v>
      </c>
      <c r="W1028" s="29" cm="1">
        <f t="array" ref="W1028">IF(表成绩单[[#This Row],[总分]]="","",SUMPRODUCT((表成绩单[考试日期]=表成绩单[[#This Row],[考试日期]])*(表成绩单[总分]&lt;9E+307)*(表成绩单[总分]&gt;表成绩单[[#This Row],[总分]]))+1)</f>
        <v>222</v>
      </c>
    </row>
    <row r="1029" ht="28" customHeight="1" spans="4:23">
      <c r="D1029" s="31">
        <v>46003</v>
      </c>
      <c r="E1029" s="29">
        <v>19176167</v>
      </c>
      <c r="F1029" s="29" t="s">
        <v>67</v>
      </c>
      <c r="G1029" s="29" t="s">
        <v>389</v>
      </c>
      <c r="H1029" s="29">
        <v>104</v>
      </c>
      <c r="I1029" s="29">
        <v>95</v>
      </c>
      <c r="J1029" s="29">
        <v>73.5</v>
      </c>
      <c r="K1029" s="29">
        <v>96</v>
      </c>
      <c r="L1029" s="29">
        <v>89</v>
      </c>
      <c r="M1029" s="29">
        <v>66</v>
      </c>
      <c r="N1029" s="29">
        <v>67</v>
      </c>
      <c r="O1029" s="32">
        <v>590.5</v>
      </c>
      <c r="P1029" s="29" cm="1">
        <f t="array" ref="P1029">IF(表成绩单[[#This Row],[语文]]="","",SUMPRODUCT((表成绩单[考试日期]=表成绩单[[#This Row],[考试日期]])*(表成绩单[语文]&lt;9E+307)*(表成绩单[语文]&gt;表成绩单[[#This Row],[语文]]))+1)</f>
        <v>290</v>
      </c>
      <c r="Q1029" s="29" cm="1">
        <f t="array" ref="Q1029">IF(表成绩单[[#This Row],[数学]]="","",SUMPRODUCT((表成绩单[考试日期]=表成绩单[[#This Row],[考试日期]])*(表成绩单[数学]&lt;9E+307)*(表成绩单[数学]&gt;表成绩单[[#This Row],[数学]]))+1)</f>
        <v>122</v>
      </c>
      <c r="R1029" s="29" cm="1">
        <f t="array" ref="R1029">IF(表成绩单[[#This Row],[英语]]="","",SUMPRODUCT((表成绩单[考试日期]=表成绩单[[#This Row],[考试日期]])*(表成绩单[英语]&lt;9E+307)*(表成绩单[英语]&gt;表成绩单[[#This Row],[英语]]))+1)</f>
        <v>355</v>
      </c>
      <c r="S1029" s="29" cm="1">
        <f t="array" ref="S1029">IF(表成绩单[[#This Row],[物理]]="","",SUMPRODUCT((表成绩单[考试日期]=表成绩单[[#This Row],[考试日期]])*(表成绩单[物理]&lt;9E+307)*(表成绩单[物理]&gt;表成绩单[[#This Row],[物理]]))+1)</f>
        <v>64</v>
      </c>
      <c r="T1029" s="29" cm="1">
        <f t="array" ref="T1029">IF(表成绩单[[#This Row],[化学]]="","",SUMPRODUCT((表成绩单[考试日期]=表成绩单[[#This Row],[考试日期]])*(表成绩单[化学]&lt;9E+307)*(表成绩单[化学]&gt;表成绩单[[#This Row],[化学]]))+1)</f>
        <v>157</v>
      </c>
      <c r="U1029" s="29" cm="1">
        <f t="array" ref="U1029">IF(表成绩单[[#This Row],[政治]]="","",SUMPRODUCT((表成绩单[考试日期]=表成绩单[[#This Row],[考试日期]])*(表成绩单[政治]&lt;9E+307)*(表成绩单[政治]&gt;表成绩单[[#This Row],[政治]]))+1)</f>
        <v>289</v>
      </c>
      <c r="V1029" s="29" cm="1">
        <f t="array" ref="V1029">IF(表成绩单[[#This Row],[历史]]="","",SUMPRODUCT((表成绩单[考试日期]=表成绩单[[#This Row],[考试日期]])*(表成绩单[历史]&lt;9E+307)*(表成绩单[历史]&gt;表成绩单[[#This Row],[历史]]))+1)</f>
        <v>549</v>
      </c>
      <c r="W1029" s="29" cm="1">
        <f t="array" ref="W1029">IF(表成绩单[[#This Row],[总分]]="","",SUMPRODUCT((表成绩单[考试日期]=表成绩单[[#This Row],[考试日期]])*(表成绩单[总分]&lt;9E+307)*(表成绩单[总分]&gt;表成绩单[[#This Row],[总分]]))+1)</f>
        <v>222</v>
      </c>
    </row>
    <row r="1030" ht="28" customHeight="1" spans="4:23">
      <c r="D1030" s="31">
        <v>46003</v>
      </c>
      <c r="E1030" s="29">
        <v>19174735</v>
      </c>
      <c r="F1030" s="29" t="s">
        <v>64</v>
      </c>
      <c r="G1030" s="29" t="s">
        <v>316</v>
      </c>
      <c r="H1030" s="29">
        <v>112</v>
      </c>
      <c r="I1030" s="29">
        <v>74</v>
      </c>
      <c r="J1030" s="29">
        <v>83</v>
      </c>
      <c r="K1030" s="29">
        <v>87</v>
      </c>
      <c r="L1030" s="29">
        <v>81</v>
      </c>
      <c r="M1030" s="29">
        <v>75</v>
      </c>
      <c r="N1030" s="29">
        <v>78</v>
      </c>
      <c r="O1030" s="32">
        <v>590</v>
      </c>
      <c r="P1030" s="29" cm="1">
        <f t="array" ref="P1030">IF(表成绩单[[#This Row],[语文]]="","",SUMPRODUCT((表成绩单[考试日期]=表成绩单[[#This Row],[考试日期]])*(表成绩单[语文]&lt;9E+307)*(表成绩单[语文]&gt;表成绩单[[#This Row],[语文]]))+1)</f>
        <v>36</v>
      </c>
      <c r="Q1030" s="29" cm="1">
        <f t="array" ref="Q1030">IF(表成绩单[[#This Row],[数学]]="","",SUMPRODUCT((表成绩单[考试日期]=表成绩单[[#This Row],[考试日期]])*(表成绩单[数学]&lt;9E+307)*(表成绩单[数学]&gt;表成绩单[[#This Row],[数学]]))+1)</f>
        <v>380</v>
      </c>
      <c r="R1030" s="29" cm="1">
        <f t="array" ref="R1030">IF(表成绩单[[#This Row],[英语]]="","",SUMPRODUCT((表成绩单[考试日期]=表成绩单[[#This Row],[考试日期]])*(表成绩单[英语]&lt;9E+307)*(表成绩单[英语]&gt;表成绩单[[#This Row],[英语]]))+1)</f>
        <v>70</v>
      </c>
      <c r="S1030" s="29" cm="1">
        <f t="array" ref="S1030">IF(表成绩单[[#This Row],[物理]]="","",SUMPRODUCT((表成绩单[考试日期]=表成绩单[[#This Row],[考试日期]])*(表成绩单[物理]&lt;9E+307)*(表成绩单[物理]&gt;表成绩单[[#This Row],[物理]]))+1)</f>
        <v>306</v>
      </c>
      <c r="T1030" s="29" cm="1">
        <f t="array" ref="T1030">IF(表成绩单[[#This Row],[化学]]="","",SUMPRODUCT((表成绩单[考试日期]=表成绩单[[#This Row],[考试日期]])*(表成绩单[化学]&lt;9E+307)*(表成绩单[化学]&gt;表成绩单[[#This Row],[化学]]))+1)</f>
        <v>308</v>
      </c>
      <c r="U1030" s="29" cm="1">
        <f t="array" ref="U1030">IF(表成绩单[[#This Row],[政治]]="","",SUMPRODUCT((表成绩单[考试日期]=表成绩单[[#This Row],[考试日期]])*(表成绩单[政治]&lt;9E+307)*(表成绩单[政治]&gt;表成绩单[[#This Row],[政治]]))+1)</f>
        <v>102</v>
      </c>
      <c r="V1030" s="29" cm="1">
        <f t="array" ref="V1030">IF(表成绩单[[#This Row],[历史]]="","",SUMPRODUCT((表成绩单[考试日期]=表成绩单[[#This Row],[考试日期]])*(表成绩单[历史]&lt;9E+307)*(表成绩单[历史]&gt;表成绩单[[#This Row],[历史]]))+1)</f>
        <v>190</v>
      </c>
      <c r="W1030" s="29" cm="1">
        <f t="array" ref="W1030">IF(表成绩单[[#This Row],[总分]]="","",SUMPRODUCT((表成绩单[考试日期]=表成绩单[[#This Row],[考试日期]])*(表成绩单[总分]&lt;9E+307)*(表成绩单[总分]&gt;表成绩单[[#This Row],[总分]]))+1)</f>
        <v>225</v>
      </c>
    </row>
    <row r="1031" ht="28" customHeight="1" spans="4:23">
      <c r="D1031" s="31">
        <v>46003</v>
      </c>
      <c r="E1031" s="29">
        <v>19175711</v>
      </c>
      <c r="F1031" s="29" t="s">
        <v>72</v>
      </c>
      <c r="G1031" s="29" t="s">
        <v>309</v>
      </c>
      <c r="H1031" s="29">
        <v>110</v>
      </c>
      <c r="I1031" s="29">
        <v>79</v>
      </c>
      <c r="J1031" s="29">
        <v>75</v>
      </c>
      <c r="K1031" s="29">
        <v>97</v>
      </c>
      <c r="L1031" s="29">
        <v>79</v>
      </c>
      <c r="M1031" s="29">
        <v>74</v>
      </c>
      <c r="N1031" s="29">
        <v>76</v>
      </c>
      <c r="O1031" s="32">
        <v>590</v>
      </c>
      <c r="P1031" s="29" cm="1">
        <f t="array" ref="P1031">IF(表成绩单[[#This Row],[语文]]="","",SUMPRODUCT((表成绩单[考试日期]=表成绩单[[#This Row],[考试日期]])*(表成绩单[语文]&lt;9E+307)*(表成绩单[语文]&gt;表成绩单[[#This Row],[语文]]))+1)</f>
        <v>84</v>
      </c>
      <c r="Q1031" s="29" cm="1">
        <f t="array" ref="Q1031">IF(表成绩单[[#This Row],[数学]]="","",SUMPRODUCT((表成绩单[考试日期]=表成绩单[[#This Row],[考试日期]])*(表成绩单[数学]&lt;9E+307)*(表成绩单[数学]&gt;表成绩单[[#This Row],[数学]]))+1)</f>
        <v>324</v>
      </c>
      <c r="R1031" s="29" cm="1">
        <f t="array" ref="R1031">IF(表成绩单[[#This Row],[英语]]="","",SUMPRODUCT((表成绩单[考试日期]=表成绩单[[#This Row],[考试日期]])*(表成绩单[英语]&lt;9E+307)*(表成绩单[英语]&gt;表成绩单[[#This Row],[英语]]))+1)</f>
        <v>314</v>
      </c>
      <c r="S1031" s="29" cm="1">
        <f t="array" ref="S1031">IF(表成绩单[[#This Row],[物理]]="","",SUMPRODUCT((表成绩单[考试日期]=表成绩单[[#This Row],[考试日期]])*(表成绩单[物理]&lt;9E+307)*(表成绩单[物理]&gt;表成绩单[[#This Row],[物理]]))+1)</f>
        <v>43</v>
      </c>
      <c r="T1031" s="29" cm="1">
        <f t="array" ref="T1031">IF(表成绩单[[#This Row],[化学]]="","",SUMPRODUCT((表成绩单[考试日期]=表成绩单[[#This Row],[考试日期]])*(表成绩单[化学]&lt;9E+307)*(表成绩单[化学]&gt;表成绩单[[#This Row],[化学]]))+1)</f>
        <v>351</v>
      </c>
      <c r="U1031" s="29" cm="1">
        <f t="array" ref="U1031">IF(表成绩单[[#This Row],[政治]]="","",SUMPRODUCT((表成绩单[考试日期]=表成绩单[[#This Row],[考试日期]])*(表成绩单[政治]&lt;9E+307)*(表成绩单[政治]&gt;表成绩单[[#This Row],[政治]]))+1)</f>
        <v>121</v>
      </c>
      <c r="V1031" s="29" cm="1">
        <f t="array" ref="V1031">IF(表成绩单[[#This Row],[历史]]="","",SUMPRODUCT((表成绩单[考试日期]=表成绩单[[#This Row],[考试日期]])*(表成绩单[历史]&lt;9E+307)*(表成绩单[历史]&gt;表成绩单[[#This Row],[历史]]))+1)</f>
        <v>279</v>
      </c>
      <c r="W1031" s="29" cm="1">
        <f t="array" ref="W1031">IF(表成绩单[[#This Row],[总分]]="","",SUMPRODUCT((表成绩单[考试日期]=表成绩单[[#This Row],[考试日期]])*(表成绩单[总分]&lt;9E+307)*(表成绩单[总分]&gt;表成绩单[[#This Row],[总分]]))+1)</f>
        <v>225</v>
      </c>
    </row>
    <row r="1032" ht="28" customHeight="1" spans="4:23">
      <c r="D1032" s="31">
        <v>46003</v>
      </c>
      <c r="E1032" s="29">
        <v>19176862</v>
      </c>
      <c r="F1032" s="29" t="s">
        <v>71</v>
      </c>
      <c r="G1032" s="29" t="s">
        <v>366</v>
      </c>
      <c r="H1032" s="29">
        <v>101</v>
      </c>
      <c r="I1032" s="29">
        <v>89</v>
      </c>
      <c r="J1032" s="29">
        <v>79</v>
      </c>
      <c r="K1032" s="29">
        <v>87</v>
      </c>
      <c r="L1032" s="29">
        <v>84</v>
      </c>
      <c r="M1032" s="29">
        <v>71</v>
      </c>
      <c r="N1032" s="29">
        <v>79</v>
      </c>
      <c r="O1032" s="32">
        <v>590</v>
      </c>
      <c r="P1032" s="29" cm="1">
        <f t="array" ref="P1032">IF(表成绩单[[#This Row],[语文]]="","",SUMPRODUCT((表成绩单[考试日期]=表成绩单[[#This Row],[考试日期]])*(表成绩单[语文]&lt;9E+307)*(表成绩单[语文]&gt;表成绩单[[#This Row],[语文]]))+1)</f>
        <v>387</v>
      </c>
      <c r="Q1032" s="29" cm="1">
        <f t="array" ref="Q1032">IF(表成绩单[[#This Row],[数学]]="","",SUMPRODUCT((表成绩单[考试日期]=表成绩单[[#This Row],[考试日期]])*(表成绩单[数学]&lt;9E+307)*(表成绩单[数学]&gt;表成绩单[[#This Row],[数学]]))+1)</f>
        <v>201</v>
      </c>
      <c r="R1032" s="29" cm="1">
        <f t="array" ref="R1032">IF(表成绩单[[#This Row],[英语]]="","",SUMPRODUCT((表成绩单[考试日期]=表成绩单[[#This Row],[考试日期]])*(表成绩单[英语]&lt;9E+307)*(表成绩单[英语]&gt;表成绩单[[#This Row],[英语]]))+1)</f>
        <v>188</v>
      </c>
      <c r="S1032" s="29" cm="1">
        <f t="array" ref="S1032">IF(表成绩单[[#This Row],[物理]]="","",SUMPRODUCT((表成绩单[考试日期]=表成绩单[[#This Row],[考试日期]])*(表成绩单[物理]&lt;9E+307)*(表成绩单[物理]&gt;表成绩单[[#This Row],[物理]]))+1)</f>
        <v>306</v>
      </c>
      <c r="T1032" s="29" cm="1">
        <f t="array" ref="T1032">IF(表成绩单[[#This Row],[化学]]="","",SUMPRODUCT((表成绩单[考试日期]=表成绩单[[#This Row],[考试日期]])*(表成绩单[化学]&lt;9E+307)*(表成绩单[化学]&gt;表成绩单[[#This Row],[化学]]))+1)</f>
        <v>258</v>
      </c>
      <c r="U1032" s="29" cm="1">
        <f t="array" ref="U1032">IF(表成绩单[[#This Row],[政治]]="","",SUMPRODUCT((表成绩单[考试日期]=表成绩单[[#This Row],[考试日期]])*(表成绩单[政治]&lt;9E+307)*(表成绩单[政治]&gt;表成绩单[[#This Row],[政治]]))+1)</f>
        <v>168</v>
      </c>
      <c r="V1032" s="29" cm="1">
        <f t="array" ref="V1032">IF(表成绩单[[#This Row],[历史]]="","",SUMPRODUCT((表成绩单[考试日期]=表成绩单[[#This Row],[考试日期]])*(表成绩单[历史]&lt;9E+307)*(表成绩单[历史]&gt;表成绩单[[#This Row],[历史]]))+1)</f>
        <v>149</v>
      </c>
      <c r="W1032" s="29" cm="1">
        <f t="array" ref="W1032">IF(表成绩单[[#This Row],[总分]]="","",SUMPRODUCT((表成绩单[考试日期]=表成绩单[[#This Row],[考试日期]])*(表成绩单[总分]&lt;9E+307)*(表成绩单[总分]&gt;表成绩单[[#This Row],[总分]]))+1)</f>
        <v>225</v>
      </c>
    </row>
    <row r="1033" ht="28" customHeight="1" spans="4:23">
      <c r="D1033" s="31">
        <v>46003</v>
      </c>
      <c r="E1033" s="29">
        <v>19177675</v>
      </c>
      <c r="F1033" s="29" t="s">
        <v>63</v>
      </c>
      <c r="G1033" s="29" t="s">
        <v>261</v>
      </c>
      <c r="H1033" s="29">
        <v>102</v>
      </c>
      <c r="I1033" s="29">
        <v>86</v>
      </c>
      <c r="J1033" s="29">
        <v>77</v>
      </c>
      <c r="K1033" s="29">
        <v>92</v>
      </c>
      <c r="L1033" s="29">
        <v>75</v>
      </c>
      <c r="M1033" s="29">
        <v>82</v>
      </c>
      <c r="N1033" s="29">
        <v>76</v>
      </c>
      <c r="O1033" s="32">
        <v>590</v>
      </c>
      <c r="P1033" s="29" cm="1">
        <f t="array" ref="P1033">IF(表成绩单[[#This Row],[语文]]="","",SUMPRODUCT((表成绩单[考试日期]=表成绩单[[#This Row],[考试日期]])*(表成绩单[语文]&lt;9E+307)*(表成绩单[语文]&gt;表成绩单[[#This Row],[语文]]))+1)</f>
        <v>366</v>
      </c>
      <c r="Q1033" s="29" cm="1">
        <f t="array" ref="Q1033">IF(表成绩单[[#This Row],[数学]]="","",SUMPRODUCT((表成绩单[考试日期]=表成绩单[[#This Row],[考试日期]])*(表成绩单[数学]&lt;9E+307)*(表成绩单[数学]&gt;表成绩单[[#This Row],[数学]]))+1)</f>
        <v>231</v>
      </c>
      <c r="R1033" s="29" cm="1">
        <f t="array" ref="R1033">IF(表成绩单[[#This Row],[英语]]="","",SUMPRODUCT((表成绩单[考试日期]=表成绩单[[#This Row],[考试日期]])*(表成绩单[英语]&lt;9E+307)*(表成绩单[英语]&gt;表成绩单[[#This Row],[英语]]))+1)</f>
        <v>255</v>
      </c>
      <c r="S1033" s="29" cm="1">
        <f t="array" ref="S1033">IF(表成绩单[[#This Row],[物理]]="","",SUMPRODUCT((表成绩单[考试日期]=表成绩单[[#This Row],[考试日期]])*(表成绩单[物理]&lt;9E+307)*(表成绩单[物理]&gt;表成绩单[[#This Row],[物理]]))+1)</f>
        <v>191</v>
      </c>
      <c r="T1033" s="29" cm="1">
        <f t="array" ref="T1033">IF(表成绩单[[#This Row],[化学]]="","",SUMPRODUCT((表成绩单[考试日期]=表成绩单[[#This Row],[考试日期]])*(表成绩单[化学]&lt;9E+307)*(表成绩单[化学]&gt;表成绩单[[#This Row],[化学]]))+1)</f>
        <v>421</v>
      </c>
      <c r="U1033" s="29" cm="1">
        <f t="array" ref="U1033">IF(表成绩单[[#This Row],[政治]]="","",SUMPRODUCT((表成绩单[考试日期]=表成绩单[[#This Row],[考试日期]])*(表成绩单[政治]&lt;9E+307)*(表成绩单[政治]&gt;表成绩单[[#This Row],[政治]]))+1)</f>
        <v>13</v>
      </c>
      <c r="V1033" s="29" cm="1">
        <f t="array" ref="V1033">IF(表成绩单[[#This Row],[历史]]="","",SUMPRODUCT((表成绩单[考试日期]=表成绩单[[#This Row],[考试日期]])*(表成绩单[历史]&lt;9E+307)*(表成绩单[历史]&gt;表成绩单[[#This Row],[历史]]))+1)</f>
        <v>279</v>
      </c>
      <c r="W1033" s="29" cm="1">
        <f t="array" ref="W1033">IF(表成绩单[[#This Row],[总分]]="","",SUMPRODUCT((表成绩单[考试日期]=表成绩单[[#This Row],[考试日期]])*(表成绩单[总分]&lt;9E+307)*(表成绩单[总分]&gt;表成绩单[[#This Row],[总分]]))+1)</f>
        <v>225</v>
      </c>
    </row>
    <row r="1034" ht="28" customHeight="1" spans="4:23">
      <c r="D1034" s="31">
        <v>46003</v>
      </c>
      <c r="E1034" s="29">
        <v>19178620</v>
      </c>
      <c r="F1034" s="29" t="s">
        <v>25</v>
      </c>
      <c r="G1034" s="29" t="s">
        <v>265</v>
      </c>
      <c r="H1034" s="29">
        <v>105</v>
      </c>
      <c r="I1034" s="29">
        <v>85</v>
      </c>
      <c r="J1034" s="29">
        <v>80.5</v>
      </c>
      <c r="K1034" s="29">
        <v>83</v>
      </c>
      <c r="L1034" s="29">
        <v>84</v>
      </c>
      <c r="M1034" s="29">
        <v>66</v>
      </c>
      <c r="N1034" s="29">
        <v>86</v>
      </c>
      <c r="O1034" s="32">
        <v>589.5</v>
      </c>
      <c r="P1034" s="29" cm="1">
        <f t="array" ref="P1034">IF(表成绩单[[#This Row],[语文]]="","",SUMPRODUCT((表成绩单[考试日期]=表成绩单[[#This Row],[考试日期]])*(表成绩单[语文]&lt;9E+307)*(表成绩单[语文]&gt;表成绩单[[#This Row],[语文]]))+1)</f>
        <v>247</v>
      </c>
      <c r="Q1034" s="29" cm="1">
        <f t="array" ref="Q1034">IF(表成绩单[[#This Row],[数学]]="","",SUMPRODUCT((表成绩单[考试日期]=表成绩单[[#This Row],[考试日期]])*(表成绩单[数学]&lt;9E+307)*(表成绩单[数学]&gt;表成绩单[[#This Row],[数学]]))+1)</f>
        <v>249</v>
      </c>
      <c r="R1034" s="29" cm="1">
        <f t="array" ref="R1034">IF(表成绩单[[#This Row],[英语]]="","",SUMPRODUCT((表成绩单[考试日期]=表成绩单[[#This Row],[考试日期]])*(表成绩单[英语]&lt;9E+307)*(表成绩单[英语]&gt;表成绩单[[#This Row],[英语]]))+1)</f>
        <v>147</v>
      </c>
      <c r="S1034" s="29" cm="1">
        <f t="array" ref="S1034">IF(表成绩单[[#This Row],[物理]]="","",SUMPRODUCT((表成绩单[考试日期]=表成绩单[[#This Row],[考试日期]])*(表成绩单[物理]&lt;9E+307)*(表成绩单[物理]&gt;表成绩单[[#This Row],[物理]]))+1)</f>
        <v>376</v>
      </c>
      <c r="T1034" s="29" cm="1">
        <f t="array" ref="T1034">IF(表成绩单[[#This Row],[化学]]="","",SUMPRODUCT((表成绩单[考试日期]=表成绩单[[#This Row],[考试日期]])*(表成绩单[化学]&lt;9E+307)*(表成绩单[化学]&gt;表成绩单[[#This Row],[化学]]))+1)</f>
        <v>258</v>
      </c>
      <c r="U1034" s="29" cm="1">
        <f t="array" ref="U1034">IF(表成绩单[[#This Row],[政治]]="","",SUMPRODUCT((表成绩单[考试日期]=表成绩单[[#This Row],[考试日期]])*(表成绩单[政治]&lt;9E+307)*(表成绩单[政治]&gt;表成绩单[[#This Row],[政治]]))+1)</f>
        <v>289</v>
      </c>
      <c r="V1034" s="29" cm="1">
        <f t="array" ref="V1034">IF(表成绩单[[#This Row],[历史]]="","",SUMPRODUCT((表成绩单[考试日期]=表成绩单[[#This Row],[考试日期]])*(表成绩单[历史]&lt;9E+307)*(表成绩单[历史]&gt;表成绩单[[#This Row],[历史]]))+1)</f>
        <v>6</v>
      </c>
      <c r="W1034" s="29" cm="1">
        <f t="array" ref="W1034">IF(表成绩单[[#This Row],[总分]]="","",SUMPRODUCT((表成绩单[考试日期]=表成绩单[[#This Row],[考试日期]])*(表成绩单[总分]&lt;9E+307)*(表成绩单[总分]&gt;表成绩单[[#This Row],[总分]]))+1)</f>
        <v>229</v>
      </c>
    </row>
    <row r="1035" ht="28" customHeight="1" spans="4:23">
      <c r="D1035" s="31">
        <v>46003</v>
      </c>
      <c r="E1035" s="29">
        <v>19173542</v>
      </c>
      <c r="F1035" s="29" t="s">
        <v>1</v>
      </c>
      <c r="G1035" s="29" t="s">
        <v>250</v>
      </c>
      <c r="H1035" s="29">
        <v>113</v>
      </c>
      <c r="I1035" s="29">
        <v>88</v>
      </c>
      <c r="J1035" s="29">
        <v>83</v>
      </c>
      <c r="K1035" s="29">
        <v>82</v>
      </c>
      <c r="L1035" s="29">
        <v>77</v>
      </c>
      <c r="M1035" s="29">
        <v>67</v>
      </c>
      <c r="N1035" s="29">
        <v>79</v>
      </c>
      <c r="O1035" s="32">
        <v>589</v>
      </c>
      <c r="P1035" s="29" cm="1">
        <f t="array" ref="P1035">IF(表成绩单[[#This Row],[语文]]="","",SUMPRODUCT((表成绩单[考试日期]=表成绩单[[#This Row],[考试日期]])*(表成绩单[语文]&lt;9E+307)*(表成绩单[语文]&gt;表成绩单[[#This Row],[语文]]))+1)</f>
        <v>22</v>
      </c>
      <c r="Q1035" s="29" cm="1">
        <f t="array" ref="Q1035">IF(表成绩单[[#This Row],[数学]]="","",SUMPRODUCT((表成绩单[考试日期]=表成绩单[[#This Row],[考试日期]])*(表成绩单[数学]&lt;9E+307)*(表成绩单[数学]&gt;表成绩单[[#This Row],[数学]]))+1)</f>
        <v>213</v>
      </c>
      <c r="R1035" s="29" cm="1">
        <f t="array" ref="R1035">IF(表成绩单[[#This Row],[英语]]="","",SUMPRODUCT((表成绩单[考试日期]=表成绩单[[#This Row],[考试日期]])*(表成绩单[英语]&lt;9E+307)*(表成绩单[英语]&gt;表成绩单[[#This Row],[英语]]))+1)</f>
        <v>70</v>
      </c>
      <c r="S1035" s="29" cm="1">
        <f t="array" ref="S1035">IF(表成绩单[[#This Row],[物理]]="","",SUMPRODUCT((表成绩单[考试日期]=表成绩单[[#This Row],[考试日期]])*(表成绩单[物理]&lt;9E+307)*(表成绩单[物理]&gt;表成绩单[[#This Row],[物理]]))+1)</f>
        <v>395</v>
      </c>
      <c r="T1035" s="29" cm="1">
        <f t="array" ref="T1035">IF(表成绩单[[#This Row],[化学]]="","",SUMPRODUCT((表成绩单[考试日期]=表成绩单[[#This Row],[考试日期]])*(表成绩单[化学]&lt;9E+307)*(表成绩单[化学]&gt;表成绩单[[#This Row],[化学]]))+1)</f>
        <v>388</v>
      </c>
      <c r="U1035" s="29" cm="1">
        <f t="array" ref="U1035">IF(表成绩单[[#This Row],[政治]]="","",SUMPRODUCT((表成绩单[考试日期]=表成绩单[[#This Row],[考试日期]])*(表成绩单[政治]&lt;9E+307)*(表成绩单[政治]&gt;表成绩单[[#This Row],[政治]]))+1)</f>
        <v>264</v>
      </c>
      <c r="V1035" s="29" cm="1">
        <f t="array" ref="V1035">IF(表成绩单[[#This Row],[历史]]="","",SUMPRODUCT((表成绩单[考试日期]=表成绩单[[#This Row],[考试日期]])*(表成绩单[历史]&lt;9E+307)*(表成绩单[历史]&gt;表成绩单[[#This Row],[历史]]))+1)</f>
        <v>149</v>
      </c>
      <c r="W1035" s="29" cm="1">
        <f t="array" ref="W1035">IF(表成绩单[[#This Row],[总分]]="","",SUMPRODUCT((表成绩单[考试日期]=表成绩单[[#This Row],[考试日期]])*(表成绩单[总分]&lt;9E+307)*(表成绩单[总分]&gt;表成绩单[[#This Row],[总分]]))+1)</f>
        <v>230</v>
      </c>
    </row>
    <row r="1036" ht="28" customHeight="1" spans="4:23">
      <c r="D1036" s="31">
        <v>46003</v>
      </c>
      <c r="E1036" s="29">
        <v>19174790</v>
      </c>
      <c r="F1036" s="29" t="s">
        <v>69</v>
      </c>
      <c r="G1036" s="29" t="s">
        <v>411</v>
      </c>
      <c r="H1036" s="29">
        <v>110</v>
      </c>
      <c r="I1036" s="29">
        <v>92</v>
      </c>
      <c r="J1036" s="29">
        <v>72</v>
      </c>
      <c r="K1036" s="29">
        <v>92</v>
      </c>
      <c r="L1036" s="29">
        <v>74</v>
      </c>
      <c r="M1036" s="29">
        <v>73</v>
      </c>
      <c r="N1036" s="29">
        <v>76</v>
      </c>
      <c r="O1036" s="32">
        <v>589</v>
      </c>
      <c r="P1036" s="29" cm="1">
        <f t="array" ref="P1036">IF(表成绩单[[#This Row],[语文]]="","",SUMPRODUCT((表成绩单[考试日期]=表成绩单[[#This Row],[考试日期]])*(表成绩单[语文]&lt;9E+307)*(表成绩单[语文]&gt;表成绩单[[#This Row],[语文]]))+1)</f>
        <v>84</v>
      </c>
      <c r="Q1036" s="29" cm="1">
        <f t="array" ref="Q1036">IF(表成绩单[[#This Row],[数学]]="","",SUMPRODUCT((表成绩单[考试日期]=表成绩单[[#This Row],[考试日期]])*(表成绩单[数学]&lt;9E+307)*(表成绩单[数学]&gt;表成绩单[[#This Row],[数学]]))+1)</f>
        <v>170</v>
      </c>
      <c r="R1036" s="29" cm="1">
        <f t="array" ref="R1036">IF(表成绩单[[#This Row],[英语]]="","",SUMPRODUCT((表成绩单[考试日期]=表成绩单[[#This Row],[考试日期]])*(表成绩单[英语]&lt;9E+307)*(表成绩单[英语]&gt;表成绩单[[#This Row],[英语]]))+1)</f>
        <v>386</v>
      </c>
      <c r="S1036" s="29" cm="1">
        <f t="array" ref="S1036">IF(表成绩单[[#This Row],[物理]]="","",SUMPRODUCT((表成绩单[考试日期]=表成绩单[[#This Row],[考试日期]])*(表成绩单[物理]&lt;9E+307)*(表成绩单[物理]&gt;表成绩单[[#This Row],[物理]]))+1)</f>
        <v>191</v>
      </c>
      <c r="T1036" s="29" cm="1">
        <f t="array" ref="T1036">IF(表成绩单[[#This Row],[化学]]="","",SUMPRODUCT((表成绩单[考试日期]=表成绩单[[#This Row],[考试日期]])*(表成绩单[化学]&lt;9E+307)*(表成绩单[化学]&gt;表成绩单[[#This Row],[化学]]))+1)</f>
        <v>440</v>
      </c>
      <c r="U1036" s="29" cm="1">
        <f t="array" ref="U1036">IF(表成绩单[[#This Row],[政治]]="","",SUMPRODUCT((表成绩单[考试日期]=表成绩单[[#This Row],[考试日期]])*(表成绩单[政治]&lt;9E+307)*(表成绩单[政治]&gt;表成绩单[[#This Row],[政治]]))+1)</f>
        <v>139</v>
      </c>
      <c r="V1036" s="29" cm="1">
        <f t="array" ref="V1036">IF(表成绩单[[#This Row],[历史]]="","",SUMPRODUCT((表成绩单[考试日期]=表成绩单[[#This Row],[考试日期]])*(表成绩单[历史]&lt;9E+307)*(表成绩单[历史]&gt;表成绩单[[#This Row],[历史]]))+1)</f>
        <v>279</v>
      </c>
      <c r="W1036" s="29" cm="1">
        <f t="array" ref="W1036">IF(表成绩单[[#This Row],[总分]]="","",SUMPRODUCT((表成绩单[考试日期]=表成绩单[[#This Row],[考试日期]])*(表成绩单[总分]&lt;9E+307)*(表成绩单[总分]&gt;表成绩单[[#This Row],[总分]]))+1)</f>
        <v>230</v>
      </c>
    </row>
    <row r="1037" ht="28" customHeight="1" spans="4:23">
      <c r="D1037" s="31">
        <v>46003</v>
      </c>
      <c r="E1037" s="29">
        <v>19178604</v>
      </c>
      <c r="F1037" s="29" t="s">
        <v>64</v>
      </c>
      <c r="G1037" s="29" t="s">
        <v>372</v>
      </c>
      <c r="H1037" s="29">
        <v>110</v>
      </c>
      <c r="I1037" s="29">
        <v>90</v>
      </c>
      <c r="J1037" s="29">
        <v>77</v>
      </c>
      <c r="K1037" s="29">
        <v>79</v>
      </c>
      <c r="L1037" s="29">
        <v>85</v>
      </c>
      <c r="M1037" s="29">
        <v>75</v>
      </c>
      <c r="N1037" s="29">
        <v>73</v>
      </c>
      <c r="O1037" s="32">
        <v>589</v>
      </c>
      <c r="P1037" s="29" cm="1">
        <f t="array" ref="P1037">IF(表成绩单[[#This Row],[语文]]="","",SUMPRODUCT((表成绩单[考试日期]=表成绩单[[#This Row],[考试日期]])*(表成绩单[语文]&lt;9E+307)*(表成绩单[语文]&gt;表成绩单[[#This Row],[语文]]))+1)</f>
        <v>84</v>
      </c>
      <c r="Q1037" s="29" cm="1">
        <f t="array" ref="Q1037">IF(表成绩单[[#This Row],[数学]]="","",SUMPRODUCT((表成绩单[考试日期]=表成绩单[[#This Row],[考试日期]])*(表成绩单[数学]&lt;9E+307)*(表成绩单[数学]&gt;表成绩单[[#This Row],[数学]]))+1)</f>
        <v>196</v>
      </c>
      <c r="R1037" s="29" cm="1">
        <f t="array" ref="R1037">IF(表成绩单[[#This Row],[英语]]="","",SUMPRODUCT((表成绩单[考试日期]=表成绩单[[#This Row],[考试日期]])*(表成绩单[英语]&lt;9E+307)*(表成绩单[英语]&gt;表成绩单[[#This Row],[英语]]))+1)</f>
        <v>255</v>
      </c>
      <c r="S1037" s="29" cm="1">
        <f t="array" ref="S1037">IF(表成绩单[[#This Row],[物理]]="","",SUMPRODUCT((表成绩单[考试日期]=表成绩单[[#This Row],[考试日期]])*(表成绩单[物理]&lt;9E+307)*(表成绩单[物理]&gt;表成绩单[[#This Row],[物理]]))+1)</f>
        <v>432</v>
      </c>
      <c r="T1037" s="29" cm="1">
        <f t="array" ref="T1037">IF(表成绩单[[#This Row],[化学]]="","",SUMPRODUCT((表成绩单[考试日期]=表成绩单[[#This Row],[考试日期]])*(表成绩单[化学]&lt;9E+307)*(表成绩单[化学]&gt;表成绩单[[#This Row],[化学]]))+1)</f>
        <v>240</v>
      </c>
      <c r="U1037" s="29" cm="1">
        <f t="array" ref="U1037">IF(表成绩单[[#This Row],[政治]]="","",SUMPRODUCT((表成绩单[考试日期]=表成绩单[[#This Row],[考试日期]])*(表成绩单[政治]&lt;9E+307)*(表成绩单[政治]&gt;表成绩单[[#This Row],[政治]]))+1)</f>
        <v>102</v>
      </c>
      <c r="V1037" s="29" cm="1">
        <f t="array" ref="V1037">IF(表成绩单[[#This Row],[历史]]="","",SUMPRODUCT((表成绩单[考试日期]=表成绩单[[#This Row],[考试日期]])*(表成绩单[历史]&lt;9E+307)*(表成绩单[历史]&gt;表成绩单[[#This Row],[历史]]))+1)</f>
        <v>403</v>
      </c>
      <c r="W1037" s="29" cm="1">
        <f t="array" ref="W1037">IF(表成绩单[[#This Row],[总分]]="","",SUMPRODUCT((表成绩单[考试日期]=表成绩单[[#This Row],[考试日期]])*(表成绩单[总分]&lt;9E+307)*(表成绩单[总分]&gt;表成绩单[[#This Row],[总分]]))+1)</f>
        <v>230</v>
      </c>
    </row>
    <row r="1038" ht="28" customHeight="1" spans="4:23">
      <c r="D1038" s="31">
        <v>46003</v>
      </c>
      <c r="E1038" s="29">
        <v>36645763</v>
      </c>
      <c r="F1038" s="29" t="s">
        <v>72</v>
      </c>
      <c r="G1038" s="29" t="s">
        <v>208</v>
      </c>
      <c r="H1038" s="29">
        <v>109</v>
      </c>
      <c r="I1038" s="29">
        <v>83</v>
      </c>
      <c r="J1038" s="29">
        <v>77</v>
      </c>
      <c r="K1038" s="29">
        <v>84</v>
      </c>
      <c r="L1038" s="29">
        <v>81</v>
      </c>
      <c r="M1038" s="29">
        <v>77</v>
      </c>
      <c r="N1038" s="29">
        <v>78</v>
      </c>
      <c r="O1038" s="32">
        <v>589</v>
      </c>
      <c r="P1038" s="29" cm="1">
        <f t="array" ref="P1038">IF(表成绩单[[#This Row],[语文]]="","",SUMPRODUCT((表成绩单[考试日期]=表成绩单[[#This Row],[考试日期]])*(表成绩单[语文]&lt;9E+307)*(表成绩单[语文]&gt;表成绩单[[#This Row],[语文]]))+1)</f>
        <v>111</v>
      </c>
      <c r="Q1038" s="29" cm="1">
        <f t="array" ref="Q1038">IF(表成绩单[[#This Row],[数学]]="","",SUMPRODUCT((表成绩单[考试日期]=表成绩单[[#This Row],[考试日期]])*(表成绩单[数学]&lt;9E+307)*(表成绩单[数学]&gt;表成绩单[[#This Row],[数学]]))+1)</f>
        <v>272</v>
      </c>
      <c r="R1038" s="29" cm="1">
        <f t="array" ref="R1038">IF(表成绩单[[#This Row],[英语]]="","",SUMPRODUCT((表成绩单[考试日期]=表成绩单[[#This Row],[考试日期]])*(表成绩单[英语]&lt;9E+307)*(表成绩单[英语]&gt;表成绩单[[#This Row],[英语]]))+1)</f>
        <v>255</v>
      </c>
      <c r="S1038" s="29" cm="1">
        <f t="array" ref="S1038">IF(表成绩单[[#This Row],[物理]]="","",SUMPRODUCT((表成绩单[考试日期]=表成绩单[[#This Row],[考试日期]])*(表成绩单[物理]&lt;9E+307)*(表成绩单[物理]&gt;表成绩单[[#This Row],[物理]]))+1)</f>
        <v>368</v>
      </c>
      <c r="T1038" s="29" cm="1">
        <f t="array" ref="T1038">IF(表成绩单[[#This Row],[化学]]="","",SUMPRODUCT((表成绩单[考试日期]=表成绩单[[#This Row],[考试日期]])*(表成绩单[化学]&lt;9E+307)*(表成绩单[化学]&gt;表成绩单[[#This Row],[化学]]))+1)</f>
        <v>308</v>
      </c>
      <c r="U1038" s="29" cm="1">
        <f t="array" ref="U1038">IF(表成绩单[[#This Row],[政治]]="","",SUMPRODUCT((表成绩单[考试日期]=表成绩单[[#This Row],[考试日期]])*(表成绩单[政治]&lt;9E+307)*(表成绩单[政治]&gt;表成绩单[[#This Row],[政治]]))+1)</f>
        <v>64</v>
      </c>
      <c r="V1038" s="29" cm="1">
        <f t="array" ref="V1038">IF(表成绩单[[#This Row],[历史]]="","",SUMPRODUCT((表成绩单[考试日期]=表成绩单[[#This Row],[考试日期]])*(表成绩单[历史]&lt;9E+307)*(表成绩单[历史]&gt;表成绩单[[#This Row],[历史]]))+1)</f>
        <v>190</v>
      </c>
      <c r="W1038" s="29" cm="1">
        <f t="array" ref="W1038">IF(表成绩单[[#This Row],[总分]]="","",SUMPRODUCT((表成绩单[考试日期]=表成绩单[[#This Row],[考试日期]])*(表成绩单[总分]&lt;9E+307)*(表成绩单[总分]&gt;表成绩单[[#This Row],[总分]]))+1)</f>
        <v>230</v>
      </c>
    </row>
    <row r="1039" ht="28" customHeight="1" spans="4:23">
      <c r="D1039" s="31">
        <v>46003</v>
      </c>
      <c r="E1039" s="29">
        <v>19174443</v>
      </c>
      <c r="F1039" s="29" t="s">
        <v>73</v>
      </c>
      <c r="G1039" s="29" t="s">
        <v>408</v>
      </c>
      <c r="H1039" s="29">
        <v>108</v>
      </c>
      <c r="I1039" s="29">
        <v>84</v>
      </c>
      <c r="J1039" s="29">
        <v>85</v>
      </c>
      <c r="K1039" s="29">
        <v>83</v>
      </c>
      <c r="L1039" s="29">
        <v>93</v>
      </c>
      <c r="M1039" s="29">
        <v>61</v>
      </c>
      <c r="N1039" s="29">
        <v>74</v>
      </c>
      <c r="O1039" s="32">
        <v>588</v>
      </c>
      <c r="P1039" s="29" cm="1">
        <f t="array" ref="P1039">IF(表成绩单[[#This Row],[语文]]="","",SUMPRODUCT((表成绩单[考试日期]=表成绩单[[#This Row],[考试日期]])*(表成绩单[语文]&lt;9E+307)*(表成绩单[语文]&gt;表成绩单[[#This Row],[语文]]))+1)</f>
        <v>154</v>
      </c>
      <c r="Q1039" s="29" cm="1">
        <f t="array" ref="Q1039">IF(表成绩单[[#This Row],[数学]]="","",SUMPRODUCT((表成绩单[考试日期]=表成绩单[[#This Row],[考试日期]])*(表成绩单[数学]&lt;9E+307)*(表成绩单[数学]&gt;表成绩单[[#This Row],[数学]]))+1)</f>
        <v>259</v>
      </c>
      <c r="R1039" s="29" cm="1">
        <f t="array" ref="R1039">IF(表成绩单[[#This Row],[英语]]="","",SUMPRODUCT((表成绩单[考试日期]=表成绩单[[#This Row],[考试日期]])*(表成绩单[英语]&lt;9E+307)*(表成绩单[英语]&gt;表成绩单[[#This Row],[英语]]))+1)</f>
        <v>30</v>
      </c>
      <c r="S1039" s="29" cm="1">
        <f t="array" ref="S1039">IF(表成绩单[[#This Row],[物理]]="","",SUMPRODUCT((表成绩单[考试日期]=表成绩单[[#This Row],[考试日期]])*(表成绩单[物理]&lt;9E+307)*(表成绩单[物理]&gt;表成绩单[[#This Row],[物理]]))+1)</f>
        <v>376</v>
      </c>
      <c r="T1039" s="29" cm="1">
        <f t="array" ref="T1039">IF(表成绩单[[#This Row],[化学]]="","",SUMPRODUCT((表成绩单[考试日期]=表成绩单[[#This Row],[考试日期]])*(表成绩单[化学]&lt;9E+307)*(表成绩单[化学]&gt;表成绩单[[#This Row],[化学]]))+1)</f>
        <v>73</v>
      </c>
      <c r="U1039" s="29" cm="1">
        <f t="array" ref="U1039">IF(表成绩单[[#This Row],[政治]]="","",SUMPRODUCT((表成绩单[考试日期]=表成绩单[[#This Row],[考试日期]])*(表成绩单[政治]&lt;9E+307)*(表成绩单[政治]&gt;表成绩单[[#This Row],[政治]]))+1)</f>
        <v>400</v>
      </c>
      <c r="V1039" s="29" cm="1">
        <f t="array" ref="V1039">IF(表成绩单[[#This Row],[历史]]="","",SUMPRODUCT((表成绩单[考试日期]=表成绩单[[#This Row],[考试日期]])*(表成绩单[历史]&lt;9E+307)*(表成绩单[历史]&gt;表成绩单[[#This Row],[历史]]))+1)</f>
        <v>371</v>
      </c>
      <c r="W1039" s="29" cm="1">
        <f t="array" ref="W1039">IF(表成绩单[[#This Row],[总分]]="","",SUMPRODUCT((表成绩单[考试日期]=表成绩单[[#This Row],[考试日期]])*(表成绩单[总分]&lt;9E+307)*(表成绩单[总分]&gt;表成绩单[[#This Row],[总分]]))+1)</f>
        <v>234</v>
      </c>
    </row>
    <row r="1040" ht="28" customHeight="1" spans="4:23">
      <c r="D1040" s="31">
        <v>46003</v>
      </c>
      <c r="E1040" s="29">
        <v>19174796</v>
      </c>
      <c r="F1040" s="29" t="s">
        <v>69</v>
      </c>
      <c r="G1040" s="29" t="s">
        <v>375</v>
      </c>
      <c r="H1040" s="29">
        <v>98</v>
      </c>
      <c r="I1040" s="29">
        <v>102</v>
      </c>
      <c r="J1040" s="29">
        <v>71</v>
      </c>
      <c r="K1040" s="29">
        <v>87</v>
      </c>
      <c r="L1040" s="29">
        <v>86</v>
      </c>
      <c r="M1040" s="29">
        <v>70</v>
      </c>
      <c r="N1040" s="29">
        <v>74</v>
      </c>
      <c r="O1040" s="32">
        <v>588</v>
      </c>
      <c r="P1040" s="29" cm="1">
        <f t="array" ref="P1040">IF(表成绩单[[#This Row],[语文]]="","",SUMPRODUCT((表成绩单[考试日期]=表成绩单[[#This Row],[考试日期]])*(表成绩单[语文]&lt;9E+307)*(表成绩单[语文]&gt;表成绩单[[#This Row],[语文]]))+1)</f>
        <v>463</v>
      </c>
      <c r="Q1040" s="29" cm="1">
        <f t="array" ref="Q1040">IF(表成绩单[[#This Row],[数学]]="","",SUMPRODUCT((表成绩单[考试日期]=表成绩单[[#This Row],[考试日期]])*(表成绩单[数学]&lt;9E+307)*(表成绩单[数学]&gt;表成绩单[[#This Row],[数学]]))+1)</f>
        <v>52</v>
      </c>
      <c r="R1040" s="29" cm="1">
        <f t="array" ref="R1040">IF(表成绩单[[#This Row],[英语]]="","",SUMPRODUCT((表成绩单[考试日期]=表成绩单[[#This Row],[考试日期]])*(表成绩单[英语]&lt;9E+307)*(表成绩单[英语]&gt;表成绩单[[#This Row],[英语]]))+1)</f>
        <v>404</v>
      </c>
      <c r="S1040" s="29" cm="1">
        <f t="array" ref="S1040">IF(表成绩单[[#This Row],[物理]]="","",SUMPRODUCT((表成绩单[考试日期]=表成绩单[[#This Row],[考试日期]])*(表成绩单[物理]&lt;9E+307)*(表成绩单[物理]&gt;表成绩单[[#This Row],[物理]]))+1)</f>
        <v>306</v>
      </c>
      <c r="T1040" s="29" cm="1">
        <f t="array" ref="T1040">IF(表成绩单[[#This Row],[化学]]="","",SUMPRODUCT((表成绩单[考试日期]=表成绩单[[#This Row],[考试日期]])*(表成绩单[化学]&lt;9E+307)*(表成绩单[化学]&gt;表成绩单[[#This Row],[化学]]))+1)</f>
        <v>223</v>
      </c>
      <c r="U1040" s="29" cm="1">
        <f t="array" ref="U1040">IF(表成绩单[[#This Row],[政治]]="","",SUMPRODUCT((表成绩单[考试日期]=表成绩单[[#This Row],[考试日期]])*(表成绩单[政治]&lt;9E+307)*(表成绩单[政治]&gt;表成绩单[[#This Row],[政治]]))+1)</f>
        <v>184</v>
      </c>
      <c r="V1040" s="29" cm="1">
        <f t="array" ref="V1040">IF(表成绩单[[#This Row],[历史]]="","",SUMPRODUCT((表成绩单[考试日期]=表成绩单[[#This Row],[考试日期]])*(表成绩单[历史]&lt;9E+307)*(表成绩单[历史]&gt;表成绩单[[#This Row],[历史]]))+1)</f>
        <v>371</v>
      </c>
      <c r="W1040" s="29" cm="1">
        <f t="array" ref="W1040">IF(表成绩单[[#This Row],[总分]]="","",SUMPRODUCT((表成绩单[考试日期]=表成绩单[[#This Row],[考试日期]])*(表成绩单[总分]&lt;9E+307)*(表成绩单[总分]&gt;表成绩单[[#This Row],[总分]]))+1)</f>
        <v>234</v>
      </c>
    </row>
    <row r="1041" ht="28" customHeight="1" spans="4:23">
      <c r="D1041" s="31">
        <v>46003</v>
      </c>
      <c r="E1041" s="29">
        <v>19176876</v>
      </c>
      <c r="F1041" s="29" t="s">
        <v>71</v>
      </c>
      <c r="G1041" s="29" t="s">
        <v>243</v>
      </c>
      <c r="H1041" s="29">
        <v>105</v>
      </c>
      <c r="I1041" s="29">
        <v>88</v>
      </c>
      <c r="J1041" s="29">
        <v>77</v>
      </c>
      <c r="K1041" s="29">
        <v>93</v>
      </c>
      <c r="L1041" s="29">
        <v>83</v>
      </c>
      <c r="M1041" s="29">
        <v>70</v>
      </c>
      <c r="N1041" s="29">
        <v>72</v>
      </c>
      <c r="O1041" s="32">
        <v>588</v>
      </c>
      <c r="P1041" s="29" cm="1">
        <f t="array" ref="P1041">IF(表成绩单[[#This Row],[语文]]="","",SUMPRODUCT((表成绩单[考试日期]=表成绩单[[#This Row],[考试日期]])*(表成绩单[语文]&lt;9E+307)*(表成绩单[语文]&gt;表成绩单[[#This Row],[语文]]))+1)</f>
        <v>247</v>
      </c>
      <c r="Q1041" s="29" cm="1">
        <f t="array" ref="Q1041">IF(表成绩单[[#This Row],[数学]]="","",SUMPRODUCT((表成绩单[考试日期]=表成绩单[[#This Row],[考试日期]])*(表成绩单[数学]&lt;9E+307)*(表成绩单[数学]&gt;表成绩单[[#This Row],[数学]]))+1)</f>
        <v>213</v>
      </c>
      <c r="R1041" s="29" cm="1">
        <f t="array" ref="R1041">IF(表成绩单[[#This Row],[英语]]="","",SUMPRODUCT((表成绩单[考试日期]=表成绩单[[#This Row],[考试日期]])*(表成绩单[英语]&lt;9E+307)*(表成绩单[英语]&gt;表成绩单[[#This Row],[英语]]))+1)</f>
        <v>255</v>
      </c>
      <c r="S1041" s="29" cm="1">
        <f t="array" ref="S1041">IF(表成绩单[[#This Row],[物理]]="","",SUMPRODUCT((表成绩单[考试日期]=表成绩单[[#This Row],[考试日期]])*(表成绩单[物理]&lt;9E+307)*(表成绩单[物理]&gt;表成绩单[[#This Row],[物理]]))+1)</f>
        <v>163</v>
      </c>
      <c r="T1041" s="29" cm="1">
        <f t="array" ref="T1041">IF(表成绩单[[#This Row],[化学]]="","",SUMPRODUCT((表成绩单[考试日期]=表成绩单[[#This Row],[考试日期]])*(表成绩单[化学]&lt;9E+307)*(表成绩单[化学]&gt;表成绩单[[#This Row],[化学]]))+1)</f>
        <v>272</v>
      </c>
      <c r="U1041" s="29" cm="1">
        <f t="array" ref="U1041">IF(表成绩单[[#This Row],[政治]]="","",SUMPRODUCT((表成绩单[考试日期]=表成绩单[[#This Row],[考试日期]])*(表成绩单[政治]&lt;9E+307)*(表成绩单[政治]&gt;表成绩单[[#This Row],[政治]]))+1)</f>
        <v>184</v>
      </c>
      <c r="V1041" s="29" cm="1">
        <f t="array" ref="V1041">IF(表成绩单[[#This Row],[历史]]="","",SUMPRODUCT((表成绩单[考试日期]=表成绩单[[#This Row],[考试日期]])*(表成绩单[历史]&lt;9E+307)*(表成绩单[历史]&gt;表成绩单[[#This Row],[历史]]))+1)</f>
        <v>439</v>
      </c>
      <c r="W1041" s="29" cm="1">
        <f t="array" ref="W1041">IF(表成绩单[[#This Row],[总分]]="","",SUMPRODUCT((表成绩单[考试日期]=表成绩单[[#This Row],[考试日期]])*(表成绩单[总分]&lt;9E+307)*(表成绩单[总分]&gt;表成绩单[[#This Row],[总分]]))+1)</f>
        <v>234</v>
      </c>
    </row>
    <row r="1042" ht="28" customHeight="1" spans="4:23">
      <c r="D1042" s="31">
        <v>46003</v>
      </c>
      <c r="E1042" s="29">
        <v>19177653</v>
      </c>
      <c r="F1042" s="29" t="s">
        <v>63</v>
      </c>
      <c r="G1042" s="29" t="s">
        <v>321</v>
      </c>
      <c r="H1042" s="29">
        <v>111</v>
      </c>
      <c r="I1042" s="29">
        <v>72</v>
      </c>
      <c r="J1042" s="29">
        <v>77</v>
      </c>
      <c r="K1042" s="29">
        <v>90</v>
      </c>
      <c r="L1042" s="29">
        <v>93</v>
      </c>
      <c r="M1042" s="29">
        <v>67</v>
      </c>
      <c r="N1042" s="29">
        <v>78</v>
      </c>
      <c r="O1042" s="32">
        <v>588</v>
      </c>
      <c r="P1042" s="29" cm="1">
        <f t="array" ref="P1042">IF(表成绩单[[#This Row],[语文]]="","",SUMPRODUCT((表成绩单[考试日期]=表成绩单[[#This Row],[考试日期]])*(表成绩单[语文]&lt;9E+307)*(表成绩单[语文]&gt;表成绩单[[#This Row],[语文]]))+1)</f>
        <v>56</v>
      </c>
      <c r="Q1042" s="29" cm="1">
        <f t="array" ref="Q1042">IF(表成绩单[[#This Row],[数学]]="","",SUMPRODUCT((表成绩单[考试日期]=表成绩单[[#This Row],[考试日期]])*(表成绩单[数学]&lt;9E+307)*(表成绩单[数学]&gt;表成绩单[[#This Row],[数学]]))+1)</f>
        <v>396</v>
      </c>
      <c r="R1042" s="29" cm="1">
        <f t="array" ref="R1042">IF(表成绩单[[#This Row],[英语]]="","",SUMPRODUCT((表成绩单[考试日期]=表成绩单[[#This Row],[考试日期]])*(表成绩单[英语]&lt;9E+307)*(表成绩单[英语]&gt;表成绩单[[#This Row],[英语]]))+1)</f>
        <v>255</v>
      </c>
      <c r="S1042" s="29" cm="1">
        <f t="array" ref="S1042">IF(表成绩单[[#This Row],[物理]]="","",SUMPRODUCT((表成绩单[考试日期]=表成绩单[[#This Row],[考试日期]])*(表成绩单[物理]&lt;9E+307)*(表成绩单[物理]&gt;表成绩单[[#This Row],[物理]]))+1)</f>
        <v>237</v>
      </c>
      <c r="T1042" s="29" cm="1">
        <f t="array" ref="T1042">IF(表成绩单[[#This Row],[化学]]="","",SUMPRODUCT((表成绩单[考试日期]=表成绩单[[#This Row],[考试日期]])*(表成绩单[化学]&lt;9E+307)*(表成绩单[化学]&gt;表成绩单[[#This Row],[化学]]))+1)</f>
        <v>73</v>
      </c>
      <c r="U1042" s="29" cm="1">
        <f t="array" ref="U1042">IF(表成绩单[[#This Row],[政治]]="","",SUMPRODUCT((表成绩单[考试日期]=表成绩单[[#This Row],[考试日期]])*(表成绩单[政治]&lt;9E+307)*(表成绩单[政治]&gt;表成绩单[[#This Row],[政治]]))+1)</f>
        <v>264</v>
      </c>
      <c r="V1042" s="29" cm="1">
        <f t="array" ref="V1042">IF(表成绩单[[#This Row],[历史]]="","",SUMPRODUCT((表成绩单[考试日期]=表成绩单[[#This Row],[考试日期]])*(表成绩单[历史]&lt;9E+307)*(表成绩单[历史]&gt;表成绩单[[#This Row],[历史]]))+1)</f>
        <v>190</v>
      </c>
      <c r="W1042" s="29" cm="1">
        <f t="array" ref="W1042">IF(表成绩单[[#This Row],[总分]]="","",SUMPRODUCT((表成绩单[考试日期]=表成绩单[[#This Row],[考试日期]])*(表成绩单[总分]&lt;9E+307)*(表成绩单[总分]&gt;表成绩单[[#This Row],[总分]]))+1)</f>
        <v>234</v>
      </c>
    </row>
    <row r="1043" ht="28" customHeight="1" spans="4:23">
      <c r="D1043" s="31">
        <v>46003</v>
      </c>
      <c r="E1043" s="29">
        <v>19174777</v>
      </c>
      <c r="F1043" s="29" t="s">
        <v>69</v>
      </c>
      <c r="G1043" s="29" t="s">
        <v>298</v>
      </c>
      <c r="H1043" s="29">
        <v>111</v>
      </c>
      <c r="I1043" s="29">
        <v>81</v>
      </c>
      <c r="J1043" s="29">
        <v>77.5</v>
      </c>
      <c r="K1043" s="29">
        <v>85</v>
      </c>
      <c r="L1043" s="29">
        <v>82</v>
      </c>
      <c r="M1043" s="29">
        <v>73</v>
      </c>
      <c r="N1043" s="29">
        <v>78</v>
      </c>
      <c r="O1043" s="32">
        <v>587.5</v>
      </c>
      <c r="P1043" s="29" cm="1">
        <f t="array" ref="P1043">IF(表成绩单[[#This Row],[语文]]="","",SUMPRODUCT((表成绩单[考试日期]=表成绩单[[#This Row],[考试日期]])*(表成绩单[语文]&lt;9E+307)*(表成绩单[语文]&gt;表成绩单[[#This Row],[语文]]))+1)</f>
        <v>56</v>
      </c>
      <c r="Q1043" s="29" cm="1">
        <f t="array" ref="Q1043">IF(表成绩单[[#This Row],[数学]]="","",SUMPRODUCT((表成绩单[考试日期]=表成绩单[[#This Row],[考试日期]])*(表成绩单[数学]&lt;9E+307)*(表成绩单[数学]&gt;表成绩单[[#This Row],[数学]]))+1)</f>
        <v>302</v>
      </c>
      <c r="R1043" s="29" cm="1">
        <f t="array" ref="R1043">IF(表成绩单[[#This Row],[英语]]="","",SUMPRODUCT((表成绩单[考试日期]=表成绩单[[#This Row],[考试日期]])*(表成绩单[英语]&lt;9E+307)*(表成绩单[英语]&gt;表成绩单[[#This Row],[英语]]))+1)</f>
        <v>230</v>
      </c>
      <c r="S1043" s="29" cm="1">
        <f t="array" ref="S1043">IF(表成绩单[[#This Row],[物理]]="","",SUMPRODUCT((表成绩单[考试日期]=表成绩单[[#This Row],[考试日期]])*(表成绩单[物理]&lt;9E+307)*(表成绩单[物理]&gt;表成绩单[[#This Row],[物理]]))+1)</f>
        <v>348</v>
      </c>
      <c r="T1043" s="29" cm="1">
        <f t="array" ref="T1043">IF(表成绩单[[#This Row],[化学]]="","",SUMPRODUCT((表成绩单[考试日期]=表成绩单[[#This Row],[考试日期]])*(表成绩单[化学]&lt;9E+307)*(表成绩单[化学]&gt;表成绩单[[#This Row],[化学]]))+1)</f>
        <v>286</v>
      </c>
      <c r="U1043" s="29" cm="1">
        <f t="array" ref="U1043">IF(表成绩单[[#This Row],[政治]]="","",SUMPRODUCT((表成绩单[考试日期]=表成绩单[[#This Row],[考试日期]])*(表成绩单[政治]&lt;9E+307)*(表成绩单[政治]&gt;表成绩单[[#This Row],[政治]]))+1)</f>
        <v>139</v>
      </c>
      <c r="V1043" s="29" cm="1">
        <f t="array" ref="V1043">IF(表成绩单[[#This Row],[历史]]="","",SUMPRODUCT((表成绩单[考试日期]=表成绩单[[#This Row],[考试日期]])*(表成绩单[历史]&lt;9E+307)*(表成绩单[历史]&gt;表成绩单[[#This Row],[历史]]))+1)</f>
        <v>190</v>
      </c>
      <c r="W1043" s="29" cm="1">
        <f t="array" ref="W1043">IF(表成绩单[[#This Row],[总分]]="","",SUMPRODUCT((表成绩单[考试日期]=表成绩单[[#This Row],[考试日期]])*(表成绩单[总分]&lt;9E+307)*(表成绩单[总分]&gt;表成绩单[[#This Row],[总分]]))+1)</f>
        <v>238</v>
      </c>
    </row>
    <row r="1044" ht="28" customHeight="1" spans="4:23">
      <c r="D1044" s="31">
        <v>46003</v>
      </c>
      <c r="E1044" s="29">
        <v>19178639</v>
      </c>
      <c r="F1044" s="29" t="s">
        <v>25</v>
      </c>
      <c r="G1044" s="29" t="s">
        <v>496</v>
      </c>
      <c r="H1044" s="29">
        <v>102</v>
      </c>
      <c r="I1044" s="29">
        <v>84</v>
      </c>
      <c r="J1044" s="29">
        <v>71</v>
      </c>
      <c r="K1044" s="29">
        <v>96</v>
      </c>
      <c r="L1044" s="29">
        <v>84</v>
      </c>
      <c r="M1044" s="29">
        <v>69</v>
      </c>
      <c r="N1044" s="29">
        <v>80</v>
      </c>
      <c r="O1044" s="32">
        <v>586</v>
      </c>
      <c r="P1044" s="29" cm="1">
        <f t="array" ref="P1044">IF(表成绩单[[#This Row],[语文]]="","",SUMPRODUCT((表成绩单[考试日期]=表成绩单[[#This Row],[考试日期]])*(表成绩单[语文]&lt;9E+307)*(表成绩单[语文]&gt;表成绩单[[#This Row],[语文]]))+1)</f>
        <v>366</v>
      </c>
      <c r="Q1044" s="29" cm="1">
        <f t="array" ref="Q1044">IF(表成绩单[[#This Row],[数学]]="","",SUMPRODUCT((表成绩单[考试日期]=表成绩单[[#This Row],[考试日期]])*(表成绩单[数学]&lt;9E+307)*(表成绩单[数学]&gt;表成绩单[[#This Row],[数学]]))+1)</f>
        <v>259</v>
      </c>
      <c r="R1044" s="29" cm="1">
        <f t="array" ref="R1044">IF(表成绩单[[#This Row],[英语]]="","",SUMPRODUCT((表成绩单[考试日期]=表成绩单[[#This Row],[考试日期]])*(表成绩单[英语]&lt;9E+307)*(表成绩单[英语]&gt;表成绩单[[#This Row],[英语]]))+1)</f>
        <v>404</v>
      </c>
      <c r="S1044" s="29" cm="1">
        <f t="array" ref="S1044">IF(表成绩单[[#This Row],[物理]]="","",SUMPRODUCT((表成绩单[考试日期]=表成绩单[[#This Row],[考试日期]])*(表成绩单[物理]&lt;9E+307)*(表成绩单[物理]&gt;表成绩单[[#This Row],[物理]]))+1)</f>
        <v>64</v>
      </c>
      <c r="T1044" s="29" cm="1">
        <f t="array" ref="T1044">IF(表成绩单[[#This Row],[化学]]="","",SUMPRODUCT((表成绩单[考试日期]=表成绩单[[#This Row],[考试日期]])*(表成绩单[化学]&lt;9E+307)*(表成绩单[化学]&gt;表成绩单[[#This Row],[化学]]))+1)</f>
        <v>258</v>
      </c>
      <c r="U1044" s="29" cm="1">
        <f t="array" ref="U1044">IF(表成绩单[[#This Row],[政治]]="","",SUMPRODUCT((表成绩单[考试日期]=表成绩单[[#This Row],[考试日期]])*(表成绩单[政治]&lt;9E+307)*(表成绩单[政治]&gt;表成绩单[[#This Row],[政治]]))+1)</f>
        <v>212</v>
      </c>
      <c r="V1044" s="29" cm="1">
        <f t="array" ref="V1044">IF(表成绩单[[#This Row],[历史]]="","",SUMPRODUCT((表成绩单[考试日期]=表成绩单[[#This Row],[考试日期]])*(表成绩单[历史]&lt;9E+307)*(表成绩单[历史]&gt;表成绩单[[#This Row],[历史]]))+1)</f>
        <v>116</v>
      </c>
      <c r="W1044" s="29" cm="1">
        <f t="array" ref="W1044">IF(表成绩单[[#This Row],[总分]]="","",SUMPRODUCT((表成绩单[考试日期]=表成绩单[[#This Row],[考试日期]])*(表成绩单[总分]&lt;9E+307)*(表成绩单[总分]&gt;表成绩单[[#This Row],[总分]]))+1)</f>
        <v>239</v>
      </c>
    </row>
    <row r="1045" ht="28" customHeight="1" spans="4:23">
      <c r="D1045" s="31">
        <v>46003</v>
      </c>
      <c r="E1045" s="29">
        <v>19173775</v>
      </c>
      <c r="F1045" s="29" t="s">
        <v>65</v>
      </c>
      <c r="G1045" s="29" t="s">
        <v>331</v>
      </c>
      <c r="H1045" s="29">
        <v>106</v>
      </c>
      <c r="I1045" s="29">
        <v>82</v>
      </c>
      <c r="J1045" s="29">
        <v>77.5</v>
      </c>
      <c r="K1045" s="29">
        <v>87</v>
      </c>
      <c r="L1045" s="29">
        <v>81</v>
      </c>
      <c r="M1045" s="29">
        <v>77</v>
      </c>
      <c r="N1045" s="29">
        <v>75</v>
      </c>
      <c r="O1045" s="32">
        <v>585.5</v>
      </c>
      <c r="P1045" s="29" cm="1">
        <f t="array" ref="P1045">IF(表成绩单[[#This Row],[语文]]="","",SUMPRODUCT((表成绩单[考试日期]=表成绩单[[#This Row],[考试日期]])*(表成绩单[语文]&lt;9E+307)*(表成绩单[语文]&gt;表成绩单[[#This Row],[语文]]))+1)</f>
        <v>210</v>
      </c>
      <c r="Q1045" s="29" cm="1">
        <f t="array" ref="Q1045">IF(表成绩单[[#This Row],[数学]]="","",SUMPRODUCT((表成绩单[考试日期]=表成绩单[[#This Row],[考试日期]])*(表成绩单[数学]&lt;9E+307)*(表成绩单[数学]&gt;表成绩单[[#This Row],[数学]]))+1)</f>
        <v>290</v>
      </c>
      <c r="R1045" s="29" cm="1">
        <f t="array" ref="R1045">IF(表成绩单[[#This Row],[英语]]="","",SUMPRODUCT((表成绩单[考试日期]=表成绩单[[#This Row],[考试日期]])*(表成绩单[英语]&lt;9E+307)*(表成绩单[英语]&gt;表成绩单[[#This Row],[英语]]))+1)</f>
        <v>230</v>
      </c>
      <c r="S1045" s="29" cm="1">
        <f t="array" ref="S1045">IF(表成绩单[[#This Row],[物理]]="","",SUMPRODUCT((表成绩单[考试日期]=表成绩单[[#This Row],[考试日期]])*(表成绩单[物理]&lt;9E+307)*(表成绩单[物理]&gt;表成绩单[[#This Row],[物理]]))+1)</f>
        <v>306</v>
      </c>
      <c r="T1045" s="29" cm="1">
        <f t="array" ref="T1045">IF(表成绩单[[#This Row],[化学]]="","",SUMPRODUCT((表成绩单[考试日期]=表成绩单[[#This Row],[考试日期]])*(表成绩单[化学]&lt;9E+307)*(表成绩单[化学]&gt;表成绩单[[#This Row],[化学]]))+1)</f>
        <v>308</v>
      </c>
      <c r="U1045" s="29" cm="1">
        <f t="array" ref="U1045">IF(表成绩单[[#This Row],[政治]]="","",SUMPRODUCT((表成绩单[考试日期]=表成绩单[[#This Row],[考试日期]])*(表成绩单[政治]&lt;9E+307)*(表成绩单[政治]&gt;表成绩单[[#This Row],[政治]]))+1)</f>
        <v>64</v>
      </c>
      <c r="V1045" s="29" cm="1">
        <f t="array" ref="V1045">IF(表成绩单[[#This Row],[历史]]="","",SUMPRODUCT((表成绩单[考试日期]=表成绩单[[#This Row],[考试日期]])*(表成绩单[历史]&lt;9E+307)*(表成绩单[历史]&gt;表成绩单[[#This Row],[历史]]))+1)</f>
        <v>329</v>
      </c>
      <c r="W1045" s="29" cm="1">
        <f t="array" ref="W1045">IF(表成绩单[[#This Row],[总分]]="","",SUMPRODUCT((表成绩单[考试日期]=表成绩单[[#This Row],[考试日期]])*(表成绩单[总分]&lt;9E+307)*(表成绩单[总分]&gt;表成绩单[[#This Row],[总分]]))+1)</f>
        <v>240</v>
      </c>
    </row>
    <row r="1046" ht="28" customHeight="1" spans="4:23">
      <c r="D1046" s="31">
        <v>46003</v>
      </c>
      <c r="E1046" s="29">
        <v>19175702</v>
      </c>
      <c r="F1046" s="29" t="s">
        <v>72</v>
      </c>
      <c r="G1046" s="29" t="s">
        <v>273</v>
      </c>
      <c r="H1046" s="29">
        <v>110</v>
      </c>
      <c r="I1046" s="29">
        <v>92</v>
      </c>
      <c r="J1046" s="29">
        <v>85.5</v>
      </c>
      <c r="K1046" s="29">
        <v>92</v>
      </c>
      <c r="L1046" s="29">
        <v>75</v>
      </c>
      <c r="M1046" s="29">
        <v>56</v>
      </c>
      <c r="N1046" s="29">
        <v>75</v>
      </c>
      <c r="O1046" s="32">
        <v>585.5</v>
      </c>
      <c r="P1046" s="29" cm="1">
        <f t="array" ref="P1046">IF(表成绩单[[#This Row],[语文]]="","",SUMPRODUCT((表成绩单[考试日期]=表成绩单[[#This Row],[考试日期]])*(表成绩单[语文]&lt;9E+307)*(表成绩单[语文]&gt;表成绩单[[#This Row],[语文]]))+1)</f>
        <v>84</v>
      </c>
      <c r="Q1046" s="29" cm="1">
        <f t="array" ref="Q1046">IF(表成绩单[[#This Row],[数学]]="","",SUMPRODUCT((表成绩单[考试日期]=表成绩单[[#This Row],[考试日期]])*(表成绩单[数学]&lt;9E+307)*(表成绩单[数学]&gt;表成绩单[[#This Row],[数学]]))+1)</f>
        <v>170</v>
      </c>
      <c r="R1046" s="29" cm="1">
        <f t="array" ref="R1046">IF(表成绩单[[#This Row],[英语]]="","",SUMPRODUCT((表成绩单[考试日期]=表成绩单[[#This Row],[考试日期]])*(表成绩单[英语]&lt;9E+307)*(表成绩单[英语]&gt;表成绩单[[#This Row],[英语]]))+1)</f>
        <v>26</v>
      </c>
      <c r="S1046" s="29" cm="1">
        <f t="array" ref="S1046">IF(表成绩单[[#This Row],[物理]]="","",SUMPRODUCT((表成绩单[考试日期]=表成绩单[[#This Row],[考试日期]])*(表成绩单[物理]&lt;9E+307)*(表成绩单[物理]&gt;表成绩单[[#This Row],[物理]]))+1)</f>
        <v>191</v>
      </c>
      <c r="T1046" s="29" cm="1">
        <f t="array" ref="T1046">IF(表成绩单[[#This Row],[化学]]="","",SUMPRODUCT((表成绩单[考试日期]=表成绩单[[#This Row],[考试日期]])*(表成绩单[化学]&lt;9E+307)*(表成绩单[化学]&gt;表成绩单[[#This Row],[化学]]))+1)</f>
        <v>421</v>
      </c>
      <c r="U1046" s="29" cm="1">
        <f t="array" ref="U1046">IF(表成绩单[[#This Row],[政治]]="","",SUMPRODUCT((表成绩单[考试日期]=表成绩单[[#This Row],[考试日期]])*(表成绩单[政治]&lt;9E+307)*(表成绩单[政治]&gt;表成绩单[[#This Row],[政治]]))+1)</f>
        <v>492</v>
      </c>
      <c r="V1046" s="29" cm="1">
        <f t="array" ref="V1046">IF(表成绩单[[#This Row],[历史]]="","",SUMPRODUCT((表成绩单[考试日期]=表成绩单[[#This Row],[考试日期]])*(表成绩单[历史]&lt;9E+307)*(表成绩单[历史]&gt;表成绩单[[#This Row],[历史]]))+1)</f>
        <v>329</v>
      </c>
      <c r="W1046" s="29" cm="1">
        <f t="array" ref="W1046">IF(表成绩单[[#This Row],[总分]]="","",SUMPRODUCT((表成绩单[考试日期]=表成绩单[[#This Row],[考试日期]])*(表成绩单[总分]&lt;9E+307)*(表成绩单[总分]&gt;表成绩单[[#This Row],[总分]]))+1)</f>
        <v>240</v>
      </c>
    </row>
    <row r="1047" ht="28" customHeight="1" spans="4:23">
      <c r="D1047" s="31">
        <v>46003</v>
      </c>
      <c r="E1047" s="29">
        <v>19175648</v>
      </c>
      <c r="F1047" s="29" t="s">
        <v>66</v>
      </c>
      <c r="G1047" s="29" t="s">
        <v>300</v>
      </c>
      <c r="H1047" s="29">
        <v>110</v>
      </c>
      <c r="I1047" s="29">
        <v>85</v>
      </c>
      <c r="J1047" s="29">
        <v>76.5</v>
      </c>
      <c r="K1047" s="29">
        <v>93</v>
      </c>
      <c r="L1047" s="29">
        <v>75</v>
      </c>
      <c r="M1047" s="29">
        <v>68</v>
      </c>
      <c r="N1047" s="29">
        <v>77</v>
      </c>
      <c r="O1047" s="32">
        <v>584.5</v>
      </c>
      <c r="P1047" s="29" cm="1">
        <f t="array" ref="P1047">IF(表成绩单[[#This Row],[语文]]="","",SUMPRODUCT((表成绩单[考试日期]=表成绩单[[#This Row],[考试日期]])*(表成绩单[语文]&lt;9E+307)*(表成绩单[语文]&gt;表成绩单[[#This Row],[语文]]))+1)</f>
        <v>84</v>
      </c>
      <c r="Q1047" s="29" cm="1">
        <f t="array" ref="Q1047">IF(表成绩单[[#This Row],[数学]]="","",SUMPRODUCT((表成绩单[考试日期]=表成绩单[[#This Row],[考试日期]])*(表成绩单[数学]&lt;9E+307)*(表成绩单[数学]&gt;表成绩单[[#This Row],[数学]]))+1)</f>
        <v>249</v>
      </c>
      <c r="R1047" s="29" cm="1">
        <f t="array" ref="R1047">IF(表成绩单[[#This Row],[英语]]="","",SUMPRODUCT((表成绩单[考试日期]=表成绩单[[#This Row],[考试日期]])*(表成绩单[英语]&lt;9E+307)*(表成绩单[英语]&gt;表成绩单[[#This Row],[英语]]))+1)</f>
        <v>272</v>
      </c>
      <c r="S1047" s="29" cm="1">
        <f t="array" ref="S1047">IF(表成绩单[[#This Row],[物理]]="","",SUMPRODUCT((表成绩单[考试日期]=表成绩单[[#This Row],[考试日期]])*(表成绩单[物理]&lt;9E+307)*(表成绩单[物理]&gt;表成绩单[[#This Row],[物理]]))+1)</f>
        <v>163</v>
      </c>
      <c r="T1047" s="29" cm="1">
        <f t="array" ref="T1047">IF(表成绩单[[#This Row],[化学]]="","",SUMPRODUCT((表成绩单[考试日期]=表成绩单[[#This Row],[考试日期]])*(表成绩单[化学]&lt;9E+307)*(表成绩单[化学]&gt;表成绩单[[#This Row],[化学]]))+1)</f>
        <v>421</v>
      </c>
      <c r="U1047" s="29" cm="1">
        <f t="array" ref="U1047">IF(表成绩单[[#This Row],[政治]]="","",SUMPRODUCT((表成绩单[考试日期]=表成绩单[[#This Row],[考试日期]])*(表成绩单[政治]&lt;9E+307)*(表成绩单[政治]&gt;表成绩单[[#This Row],[政治]]))+1)</f>
        <v>237</v>
      </c>
      <c r="V1047" s="29" cm="1">
        <f t="array" ref="V1047">IF(表成绩单[[#This Row],[历史]]="","",SUMPRODUCT((表成绩单[考试日期]=表成绩单[[#This Row],[考试日期]])*(表成绩单[历史]&lt;9E+307)*(表成绩单[历史]&gt;表成绩单[[#This Row],[历史]]))+1)</f>
        <v>235</v>
      </c>
      <c r="W1047" s="29" cm="1">
        <f t="array" ref="W1047">IF(表成绩单[[#This Row],[总分]]="","",SUMPRODUCT((表成绩单[考试日期]=表成绩单[[#This Row],[考试日期]])*(表成绩单[总分]&lt;9E+307)*(表成绩单[总分]&gt;表成绩单[[#This Row],[总分]]))+1)</f>
        <v>242</v>
      </c>
    </row>
    <row r="1048" ht="28" customHeight="1" spans="4:23">
      <c r="D1048" s="31">
        <v>46003</v>
      </c>
      <c r="E1048" s="29">
        <v>19175662</v>
      </c>
      <c r="F1048" s="29" t="s">
        <v>66</v>
      </c>
      <c r="G1048" s="29" t="s">
        <v>414</v>
      </c>
      <c r="H1048" s="29">
        <v>109</v>
      </c>
      <c r="I1048" s="29">
        <v>79</v>
      </c>
      <c r="J1048" s="29">
        <v>79</v>
      </c>
      <c r="K1048" s="29">
        <v>85</v>
      </c>
      <c r="L1048" s="29">
        <v>85</v>
      </c>
      <c r="M1048" s="29">
        <v>67</v>
      </c>
      <c r="N1048" s="29">
        <v>80</v>
      </c>
      <c r="O1048" s="32">
        <v>584</v>
      </c>
      <c r="P1048" s="29" cm="1">
        <f t="array" ref="P1048">IF(表成绩单[[#This Row],[语文]]="","",SUMPRODUCT((表成绩单[考试日期]=表成绩单[[#This Row],[考试日期]])*(表成绩单[语文]&lt;9E+307)*(表成绩单[语文]&gt;表成绩单[[#This Row],[语文]]))+1)</f>
        <v>111</v>
      </c>
      <c r="Q1048" s="29" cm="1">
        <f t="array" ref="Q1048">IF(表成绩单[[#This Row],[数学]]="","",SUMPRODUCT((表成绩单[考试日期]=表成绩单[[#This Row],[考试日期]])*(表成绩单[数学]&lt;9E+307)*(表成绩单[数学]&gt;表成绩单[[#This Row],[数学]]))+1)</f>
        <v>324</v>
      </c>
      <c r="R1048" s="29" cm="1">
        <f t="array" ref="R1048">IF(表成绩单[[#This Row],[英语]]="","",SUMPRODUCT((表成绩单[考试日期]=表成绩单[[#This Row],[考试日期]])*(表成绩单[英语]&lt;9E+307)*(表成绩单[英语]&gt;表成绩单[[#This Row],[英语]]))+1)</f>
        <v>188</v>
      </c>
      <c r="S1048" s="29" cm="1">
        <f t="array" ref="S1048">IF(表成绩单[[#This Row],[物理]]="","",SUMPRODUCT((表成绩单[考试日期]=表成绩单[[#This Row],[考试日期]])*(表成绩单[物理]&lt;9E+307)*(表成绩单[物理]&gt;表成绩单[[#This Row],[物理]]))+1)</f>
        <v>348</v>
      </c>
      <c r="T1048" s="29" cm="1">
        <f t="array" ref="T1048">IF(表成绩单[[#This Row],[化学]]="","",SUMPRODUCT((表成绩单[考试日期]=表成绩单[[#This Row],[考试日期]])*(表成绩单[化学]&lt;9E+307)*(表成绩单[化学]&gt;表成绩单[[#This Row],[化学]]))+1)</f>
        <v>240</v>
      </c>
      <c r="U1048" s="29" cm="1">
        <f t="array" ref="U1048">IF(表成绩单[[#This Row],[政治]]="","",SUMPRODUCT((表成绩单[考试日期]=表成绩单[[#This Row],[考试日期]])*(表成绩单[政治]&lt;9E+307)*(表成绩单[政治]&gt;表成绩单[[#This Row],[政治]]))+1)</f>
        <v>264</v>
      </c>
      <c r="V1048" s="29" cm="1">
        <f t="array" ref="V1048">IF(表成绩单[[#This Row],[历史]]="","",SUMPRODUCT((表成绩单[考试日期]=表成绩单[[#This Row],[考试日期]])*(表成绩单[历史]&lt;9E+307)*(表成绩单[历史]&gt;表成绩单[[#This Row],[历史]]))+1)</f>
        <v>116</v>
      </c>
      <c r="W1048" s="29" cm="1">
        <f t="array" ref="W1048">IF(表成绩单[[#This Row],[总分]]="","",SUMPRODUCT((表成绩单[考试日期]=表成绩单[[#This Row],[考试日期]])*(表成绩单[总分]&lt;9E+307)*(表成绩单[总分]&gt;表成绩单[[#This Row],[总分]]))+1)</f>
        <v>243</v>
      </c>
    </row>
    <row r="1049" ht="28" customHeight="1" spans="4:23">
      <c r="D1049" s="31">
        <v>46003</v>
      </c>
      <c r="E1049" s="29">
        <v>19177217</v>
      </c>
      <c r="F1049" s="29" t="s">
        <v>70</v>
      </c>
      <c r="G1049" s="29" t="s">
        <v>216</v>
      </c>
      <c r="H1049" s="29">
        <v>111</v>
      </c>
      <c r="I1049" s="29">
        <v>85</v>
      </c>
      <c r="J1049" s="29">
        <v>66</v>
      </c>
      <c r="K1049" s="29">
        <v>93</v>
      </c>
      <c r="L1049" s="29">
        <v>88</v>
      </c>
      <c r="M1049" s="29">
        <v>70</v>
      </c>
      <c r="N1049" s="29">
        <v>71</v>
      </c>
      <c r="O1049" s="32">
        <v>584</v>
      </c>
      <c r="P1049" s="29" cm="1">
        <f t="array" ref="P1049">IF(表成绩单[[#This Row],[语文]]="","",SUMPRODUCT((表成绩单[考试日期]=表成绩单[[#This Row],[考试日期]])*(表成绩单[语文]&lt;9E+307)*(表成绩单[语文]&gt;表成绩单[[#This Row],[语文]]))+1)</f>
        <v>56</v>
      </c>
      <c r="Q1049" s="29" cm="1">
        <f t="array" ref="Q1049">IF(表成绩单[[#This Row],[数学]]="","",SUMPRODUCT((表成绩单[考试日期]=表成绩单[[#This Row],[考试日期]])*(表成绩单[数学]&lt;9E+307)*(表成绩单[数学]&gt;表成绩单[[#This Row],[数学]]))+1)</f>
        <v>249</v>
      </c>
      <c r="R1049" s="29" cm="1">
        <f t="array" ref="R1049">IF(表成绩单[[#This Row],[英语]]="","",SUMPRODUCT((表成绩单[考试日期]=表成绩单[[#This Row],[考试日期]])*(表成绩单[英语]&lt;9E+307)*(表成绩单[英语]&gt;表成绩单[[#This Row],[英语]]))+1)</f>
        <v>467</v>
      </c>
      <c r="S1049" s="29" cm="1">
        <f t="array" ref="S1049">IF(表成绩单[[#This Row],[物理]]="","",SUMPRODUCT((表成绩单[考试日期]=表成绩单[[#This Row],[考试日期]])*(表成绩单[物理]&lt;9E+307)*(表成绩单[物理]&gt;表成绩单[[#This Row],[物理]]))+1)</f>
        <v>163</v>
      </c>
      <c r="T1049" s="29" cm="1">
        <f t="array" ref="T1049">IF(表成绩单[[#This Row],[化学]]="","",SUMPRODUCT((表成绩单[考试日期]=表成绩单[[#This Row],[考试日期]])*(表成绩单[化学]&lt;9E+307)*(表成绩单[化学]&gt;表成绩单[[#This Row],[化学]]))+1)</f>
        <v>175</v>
      </c>
      <c r="U1049" s="29" cm="1">
        <f t="array" ref="U1049">IF(表成绩单[[#This Row],[政治]]="","",SUMPRODUCT((表成绩单[考试日期]=表成绩单[[#This Row],[考试日期]])*(表成绩单[政治]&lt;9E+307)*(表成绩单[政治]&gt;表成绩单[[#This Row],[政治]]))+1)</f>
        <v>184</v>
      </c>
      <c r="V1049" s="29" cm="1">
        <f t="array" ref="V1049">IF(表成绩单[[#This Row],[历史]]="","",SUMPRODUCT((表成绩单[考试日期]=表成绩单[[#This Row],[考试日期]])*(表成绩单[历史]&lt;9E+307)*(表成绩单[历史]&gt;表成绩单[[#This Row],[历史]]))+1)</f>
        <v>471</v>
      </c>
      <c r="W1049" s="29" cm="1">
        <f t="array" ref="W1049">IF(表成绩单[[#This Row],[总分]]="","",SUMPRODUCT((表成绩单[考试日期]=表成绩单[[#This Row],[考试日期]])*(表成绩单[总分]&lt;9E+307)*(表成绩单[总分]&gt;表成绩单[[#This Row],[总分]]))+1)</f>
        <v>243</v>
      </c>
    </row>
    <row r="1050" ht="28" customHeight="1" spans="4:23">
      <c r="D1050" s="31">
        <v>46003</v>
      </c>
      <c r="E1050" s="29">
        <v>19178633</v>
      </c>
      <c r="F1050" s="29" t="s">
        <v>25</v>
      </c>
      <c r="G1050" s="29" t="s">
        <v>315</v>
      </c>
      <c r="H1050" s="29">
        <v>107</v>
      </c>
      <c r="I1050" s="29">
        <v>79</v>
      </c>
      <c r="J1050" s="29">
        <v>76</v>
      </c>
      <c r="K1050" s="29">
        <v>92</v>
      </c>
      <c r="L1050" s="29">
        <v>77</v>
      </c>
      <c r="M1050" s="29">
        <v>76</v>
      </c>
      <c r="N1050" s="29">
        <v>77</v>
      </c>
      <c r="O1050" s="32">
        <v>584</v>
      </c>
      <c r="P1050" s="29" cm="1">
        <f t="array" ref="P1050">IF(表成绩单[[#This Row],[语文]]="","",SUMPRODUCT((表成绩单[考试日期]=表成绩单[[#This Row],[考试日期]])*(表成绩单[语文]&lt;9E+307)*(表成绩单[语文]&gt;表成绩单[[#This Row],[语文]]))+1)</f>
        <v>182</v>
      </c>
      <c r="Q1050" s="29" cm="1">
        <f t="array" ref="Q1050">IF(表成绩单[[#This Row],[数学]]="","",SUMPRODUCT((表成绩单[考试日期]=表成绩单[[#This Row],[考试日期]])*(表成绩单[数学]&lt;9E+307)*(表成绩单[数学]&gt;表成绩单[[#This Row],[数学]]))+1)</f>
        <v>324</v>
      </c>
      <c r="R1050" s="29" cm="1">
        <f t="array" ref="R1050">IF(表成绩单[[#This Row],[英语]]="","",SUMPRODUCT((表成绩单[考试日期]=表成绩单[[#This Row],[考试日期]])*(表成绩单[英语]&lt;9E+307)*(表成绩单[英语]&gt;表成绩单[[#This Row],[英语]]))+1)</f>
        <v>288</v>
      </c>
      <c r="S1050" s="29" cm="1">
        <f t="array" ref="S1050">IF(表成绩单[[#This Row],[物理]]="","",SUMPRODUCT((表成绩单[考试日期]=表成绩单[[#This Row],[考试日期]])*(表成绩单[物理]&lt;9E+307)*(表成绩单[物理]&gt;表成绩单[[#This Row],[物理]]))+1)</f>
        <v>191</v>
      </c>
      <c r="T1050" s="29" cm="1">
        <f t="array" ref="T1050">IF(表成绩单[[#This Row],[化学]]="","",SUMPRODUCT((表成绩单[考试日期]=表成绩单[[#This Row],[考试日期]])*(表成绩单[化学]&lt;9E+307)*(表成绩单[化学]&gt;表成绩单[[#This Row],[化学]]))+1)</f>
        <v>388</v>
      </c>
      <c r="U1050" s="29" cm="1">
        <f t="array" ref="U1050">IF(表成绩单[[#This Row],[政治]]="","",SUMPRODUCT((表成绩单[考试日期]=表成绩单[[#This Row],[考试日期]])*(表成绩单[政治]&lt;9E+307)*(表成绩单[政治]&gt;表成绩单[[#This Row],[政治]]))+1)</f>
        <v>77</v>
      </c>
      <c r="V1050" s="29" cm="1">
        <f t="array" ref="V1050">IF(表成绩单[[#This Row],[历史]]="","",SUMPRODUCT((表成绩单[考试日期]=表成绩单[[#This Row],[考试日期]])*(表成绩单[历史]&lt;9E+307)*(表成绩单[历史]&gt;表成绩单[[#This Row],[历史]]))+1)</f>
        <v>235</v>
      </c>
      <c r="W1050" s="29" cm="1">
        <f t="array" ref="W1050">IF(表成绩单[[#This Row],[总分]]="","",SUMPRODUCT((表成绩单[考试日期]=表成绩单[[#This Row],[考试日期]])*(表成绩单[总分]&lt;9E+307)*(表成绩单[总分]&gt;表成绩单[[#This Row],[总分]]))+1)</f>
        <v>243</v>
      </c>
    </row>
    <row r="1051" ht="28" customHeight="1" spans="4:23">
      <c r="D1051" s="31">
        <v>46003</v>
      </c>
      <c r="E1051" s="29">
        <v>19175647</v>
      </c>
      <c r="F1051" s="29" t="s">
        <v>66</v>
      </c>
      <c r="G1051" s="29" t="s">
        <v>200</v>
      </c>
      <c r="H1051" s="29">
        <v>109</v>
      </c>
      <c r="I1051" s="29">
        <v>85</v>
      </c>
      <c r="J1051" s="29">
        <v>75</v>
      </c>
      <c r="K1051" s="29">
        <v>89</v>
      </c>
      <c r="L1051" s="29">
        <v>77</v>
      </c>
      <c r="M1051" s="29">
        <v>66</v>
      </c>
      <c r="N1051" s="29">
        <v>82</v>
      </c>
      <c r="O1051" s="32">
        <v>583</v>
      </c>
      <c r="P1051" s="29" cm="1">
        <f t="array" ref="P1051">IF(表成绩单[[#This Row],[语文]]="","",SUMPRODUCT((表成绩单[考试日期]=表成绩单[[#This Row],[考试日期]])*(表成绩单[语文]&lt;9E+307)*(表成绩单[语文]&gt;表成绩单[[#This Row],[语文]]))+1)</f>
        <v>111</v>
      </c>
      <c r="Q1051" s="29" cm="1">
        <f t="array" ref="Q1051">IF(表成绩单[[#This Row],[数学]]="","",SUMPRODUCT((表成绩单[考试日期]=表成绩单[[#This Row],[考试日期]])*(表成绩单[数学]&lt;9E+307)*(表成绩单[数学]&gt;表成绩单[[#This Row],[数学]]))+1)</f>
        <v>249</v>
      </c>
      <c r="R1051" s="29" cm="1">
        <f t="array" ref="R1051">IF(表成绩单[[#This Row],[英语]]="","",SUMPRODUCT((表成绩单[考试日期]=表成绩单[[#This Row],[考试日期]])*(表成绩单[英语]&lt;9E+307)*(表成绩单[英语]&gt;表成绩单[[#This Row],[英语]]))+1)</f>
        <v>314</v>
      </c>
      <c r="S1051" s="29" cm="1">
        <f t="array" ref="S1051">IF(表成绩单[[#This Row],[物理]]="","",SUMPRODUCT((表成绩单[考试日期]=表成绩单[[#This Row],[考试日期]])*(表成绩单[物理]&lt;9E+307)*(表成绩单[物理]&gt;表成绩单[[#This Row],[物理]]))+1)</f>
        <v>269</v>
      </c>
      <c r="T1051" s="29" cm="1">
        <f t="array" ref="T1051">IF(表成绩单[[#This Row],[化学]]="","",SUMPRODUCT((表成绩单[考试日期]=表成绩单[[#This Row],[考试日期]])*(表成绩单[化学]&lt;9E+307)*(表成绩单[化学]&gt;表成绩单[[#This Row],[化学]]))+1)</f>
        <v>388</v>
      </c>
      <c r="U1051" s="29" cm="1">
        <f t="array" ref="U1051">IF(表成绩单[[#This Row],[政治]]="","",SUMPRODUCT((表成绩单[考试日期]=表成绩单[[#This Row],[考试日期]])*(表成绩单[政治]&lt;9E+307)*(表成绩单[政治]&gt;表成绩单[[#This Row],[政治]]))+1)</f>
        <v>289</v>
      </c>
      <c r="V1051" s="29" cm="1">
        <f t="array" ref="V1051">IF(表成绩单[[#This Row],[历史]]="","",SUMPRODUCT((表成绩单[考试日期]=表成绩单[[#This Row],[考试日期]])*(表成绩单[历史]&lt;9E+307)*(表成绩单[历史]&gt;表成绩单[[#This Row],[历史]]))+1)</f>
        <v>66</v>
      </c>
      <c r="W1051" s="29" cm="1">
        <f t="array" ref="W1051">IF(表成绩单[[#This Row],[总分]]="","",SUMPRODUCT((表成绩单[考试日期]=表成绩单[[#This Row],[考试日期]])*(表成绩单[总分]&lt;9E+307)*(表成绩单[总分]&gt;表成绩单[[#This Row],[总分]]))+1)</f>
        <v>246</v>
      </c>
    </row>
    <row r="1052" ht="28" customHeight="1" spans="4:23">
      <c r="D1052" s="31">
        <v>46003</v>
      </c>
      <c r="E1052" s="29">
        <v>19174471</v>
      </c>
      <c r="F1052" s="29" t="s">
        <v>73</v>
      </c>
      <c r="G1052" s="29" t="s">
        <v>425</v>
      </c>
      <c r="H1052" s="29">
        <v>108</v>
      </c>
      <c r="I1052" s="29">
        <v>83</v>
      </c>
      <c r="J1052" s="29">
        <v>78</v>
      </c>
      <c r="K1052" s="29">
        <v>96</v>
      </c>
      <c r="L1052" s="29">
        <v>82</v>
      </c>
      <c r="M1052" s="29">
        <v>55</v>
      </c>
      <c r="N1052" s="29">
        <v>80</v>
      </c>
      <c r="O1052" s="32">
        <v>582</v>
      </c>
      <c r="P1052" s="29" cm="1">
        <f t="array" ref="P1052">IF(表成绩单[[#This Row],[语文]]="","",SUMPRODUCT((表成绩单[考试日期]=表成绩单[[#This Row],[考试日期]])*(表成绩单[语文]&lt;9E+307)*(表成绩单[语文]&gt;表成绩单[[#This Row],[语文]]))+1)</f>
        <v>154</v>
      </c>
      <c r="Q1052" s="29" cm="1">
        <f t="array" ref="Q1052">IF(表成绩单[[#This Row],[数学]]="","",SUMPRODUCT((表成绩单[考试日期]=表成绩单[[#This Row],[考试日期]])*(表成绩单[数学]&lt;9E+307)*(表成绩单[数学]&gt;表成绩单[[#This Row],[数学]]))+1)</f>
        <v>272</v>
      </c>
      <c r="R1052" s="29" cm="1">
        <f t="array" ref="R1052">IF(表成绩单[[#This Row],[英语]]="","",SUMPRODUCT((表成绩单[考试日期]=表成绩单[[#This Row],[考试日期]])*(表成绩单[英语]&lt;9E+307)*(表成绩单[英语]&gt;表成绩单[[#This Row],[英语]]))+1)</f>
        <v>214</v>
      </c>
      <c r="S1052" s="29" cm="1">
        <f t="array" ref="S1052">IF(表成绩单[[#This Row],[物理]]="","",SUMPRODUCT((表成绩单[考试日期]=表成绩单[[#This Row],[考试日期]])*(表成绩单[物理]&lt;9E+307)*(表成绩单[物理]&gt;表成绩单[[#This Row],[物理]]))+1)</f>
        <v>64</v>
      </c>
      <c r="T1052" s="29" cm="1">
        <f t="array" ref="T1052">IF(表成绩单[[#This Row],[化学]]="","",SUMPRODUCT((表成绩单[考试日期]=表成绩单[[#This Row],[考试日期]])*(表成绩单[化学]&lt;9E+307)*(表成绩单[化学]&gt;表成绩单[[#This Row],[化学]]))+1)</f>
        <v>286</v>
      </c>
      <c r="U1052" s="29" cm="1">
        <f t="array" ref="U1052">IF(表成绩单[[#This Row],[政治]]="","",SUMPRODUCT((表成绩单[考试日期]=表成绩单[[#This Row],[考试日期]])*(表成绩单[政治]&lt;9E+307)*(表成绩单[政治]&gt;表成绩单[[#This Row],[政治]]))+1)</f>
        <v>513</v>
      </c>
      <c r="V1052" s="29" cm="1">
        <f t="array" ref="V1052">IF(表成绩单[[#This Row],[历史]]="","",SUMPRODUCT((表成绩单[考试日期]=表成绩单[[#This Row],[考试日期]])*(表成绩单[历史]&lt;9E+307)*(表成绩单[历史]&gt;表成绩单[[#This Row],[历史]]))+1)</f>
        <v>116</v>
      </c>
      <c r="W1052" s="29" cm="1">
        <f t="array" ref="W1052">IF(表成绩单[[#This Row],[总分]]="","",SUMPRODUCT((表成绩单[考试日期]=表成绩单[[#This Row],[考试日期]])*(表成绩单[总分]&lt;9E+307)*(表成绩单[总分]&gt;表成绩单[[#This Row],[总分]]))+1)</f>
        <v>247</v>
      </c>
    </row>
    <row r="1053" ht="28" customHeight="1" spans="4:23">
      <c r="D1053" s="31">
        <v>46003</v>
      </c>
      <c r="E1053" s="29">
        <v>19174739</v>
      </c>
      <c r="F1053" s="29" t="s">
        <v>64</v>
      </c>
      <c r="G1053" s="29" t="s">
        <v>513</v>
      </c>
      <c r="H1053" s="29">
        <v>110</v>
      </c>
      <c r="I1053" s="29">
        <v>90</v>
      </c>
      <c r="J1053" s="29">
        <v>76</v>
      </c>
      <c r="K1053" s="29">
        <v>95</v>
      </c>
      <c r="L1053" s="29">
        <v>70</v>
      </c>
      <c r="M1053" s="29">
        <v>72</v>
      </c>
      <c r="N1053" s="29">
        <v>69</v>
      </c>
      <c r="O1053" s="32">
        <v>582</v>
      </c>
      <c r="P1053" s="29" cm="1">
        <f t="array" ref="P1053">IF(表成绩单[[#This Row],[语文]]="","",SUMPRODUCT((表成绩单[考试日期]=表成绩单[[#This Row],[考试日期]])*(表成绩单[语文]&lt;9E+307)*(表成绩单[语文]&gt;表成绩单[[#This Row],[语文]]))+1)</f>
        <v>84</v>
      </c>
      <c r="Q1053" s="29" cm="1">
        <f t="array" ref="Q1053">IF(表成绩单[[#This Row],[数学]]="","",SUMPRODUCT((表成绩单[考试日期]=表成绩单[[#This Row],[考试日期]])*(表成绩单[数学]&lt;9E+307)*(表成绩单[数学]&gt;表成绩单[[#This Row],[数学]]))+1)</f>
        <v>196</v>
      </c>
      <c r="R1053" s="29" cm="1">
        <f t="array" ref="R1053">IF(表成绩单[[#This Row],[英语]]="","",SUMPRODUCT((表成绩单[考试日期]=表成绩单[[#This Row],[考试日期]])*(表成绩单[英语]&lt;9E+307)*(表成绩单[英语]&gt;表成绩单[[#This Row],[英语]]))+1)</f>
        <v>288</v>
      </c>
      <c r="S1053" s="29" cm="1">
        <f t="array" ref="S1053">IF(表成绩单[[#This Row],[物理]]="","",SUMPRODUCT((表成绩单[考试日期]=表成绩单[[#This Row],[考试日期]])*(表成绩单[物理]&lt;9E+307)*(表成绩单[物理]&gt;表成绩单[[#This Row],[物理]]))+1)</f>
        <v>97</v>
      </c>
      <c r="T1053" s="29" cm="1">
        <f t="array" ref="T1053">IF(表成绩单[[#This Row],[化学]]="","",SUMPRODUCT((表成绩单[考试日期]=表成绩单[[#This Row],[考试日期]])*(表成绩单[化学]&lt;9E+307)*(表成绩单[化学]&gt;表成绩单[[#This Row],[化学]]))+1)</f>
        <v>498</v>
      </c>
      <c r="U1053" s="29" cm="1">
        <f t="array" ref="U1053">IF(表成绩单[[#This Row],[政治]]="","",SUMPRODUCT((表成绩单[考试日期]=表成绩单[[#This Row],[考试日期]])*(表成绩单[政治]&lt;9E+307)*(表成绩单[政治]&gt;表成绩单[[#This Row],[政治]]))+1)</f>
        <v>155</v>
      </c>
      <c r="V1053" s="29" cm="1">
        <f t="array" ref="V1053">IF(表成绩单[[#This Row],[历史]]="","",SUMPRODUCT((表成绩单[考试日期]=表成绩单[[#This Row],[考试日期]])*(表成绩单[历史]&lt;9E+307)*(表成绩单[历史]&gt;表成绩单[[#This Row],[历史]]))+1)</f>
        <v>516</v>
      </c>
      <c r="W1053" s="29" cm="1">
        <f t="array" ref="W1053">IF(表成绩单[[#This Row],[总分]]="","",SUMPRODUCT((表成绩单[考试日期]=表成绩单[[#This Row],[考试日期]])*(表成绩单[总分]&lt;9E+307)*(表成绩单[总分]&gt;表成绩单[[#This Row],[总分]]))+1)</f>
        <v>247</v>
      </c>
    </row>
    <row r="1054" ht="28" customHeight="1" spans="4:23">
      <c r="D1054" s="31">
        <v>46003</v>
      </c>
      <c r="E1054" s="29">
        <v>19176898</v>
      </c>
      <c r="F1054" s="29" t="s">
        <v>71</v>
      </c>
      <c r="G1054" s="29" t="s">
        <v>396</v>
      </c>
      <c r="H1054" s="29">
        <v>105</v>
      </c>
      <c r="I1054" s="29">
        <v>83</v>
      </c>
      <c r="J1054" s="29">
        <v>83</v>
      </c>
      <c r="K1054" s="29">
        <v>93</v>
      </c>
      <c r="L1054" s="29">
        <v>78</v>
      </c>
      <c r="M1054" s="29">
        <v>62</v>
      </c>
      <c r="N1054" s="29">
        <v>78</v>
      </c>
      <c r="O1054" s="32">
        <v>582</v>
      </c>
      <c r="P1054" s="29" cm="1">
        <f t="array" ref="P1054">IF(表成绩单[[#This Row],[语文]]="","",SUMPRODUCT((表成绩单[考试日期]=表成绩单[[#This Row],[考试日期]])*(表成绩单[语文]&lt;9E+307)*(表成绩单[语文]&gt;表成绩单[[#This Row],[语文]]))+1)</f>
        <v>247</v>
      </c>
      <c r="Q1054" s="29" cm="1">
        <f t="array" ref="Q1054">IF(表成绩单[[#This Row],[数学]]="","",SUMPRODUCT((表成绩单[考试日期]=表成绩单[[#This Row],[考试日期]])*(表成绩单[数学]&lt;9E+307)*(表成绩单[数学]&gt;表成绩单[[#This Row],[数学]]))+1)</f>
        <v>272</v>
      </c>
      <c r="R1054" s="29" cm="1">
        <f t="array" ref="R1054">IF(表成绩单[[#This Row],[英语]]="","",SUMPRODUCT((表成绩单[考试日期]=表成绩单[[#This Row],[考试日期]])*(表成绩单[英语]&lt;9E+307)*(表成绩单[英语]&gt;表成绩单[[#This Row],[英语]]))+1)</f>
        <v>70</v>
      </c>
      <c r="S1054" s="29" cm="1">
        <f t="array" ref="S1054">IF(表成绩单[[#This Row],[物理]]="","",SUMPRODUCT((表成绩单[考试日期]=表成绩单[[#This Row],[考试日期]])*(表成绩单[物理]&lt;9E+307)*(表成绩单[物理]&gt;表成绩单[[#This Row],[物理]]))+1)</f>
        <v>163</v>
      </c>
      <c r="T1054" s="29" cm="1">
        <f t="array" ref="T1054">IF(表成绩单[[#This Row],[化学]]="","",SUMPRODUCT((表成绩单[考试日期]=表成绩单[[#This Row],[考试日期]])*(表成绩单[化学]&lt;9E+307)*(表成绩单[化学]&gt;表成绩单[[#This Row],[化学]]))+1)</f>
        <v>373</v>
      </c>
      <c r="U1054" s="29" cm="1">
        <f t="array" ref="U1054">IF(表成绩单[[#This Row],[政治]]="","",SUMPRODUCT((表成绩单[考试日期]=表成绩单[[#This Row],[考试日期]])*(表成绩单[政治]&lt;9E+307)*(表成绩单[政治]&gt;表成绩单[[#This Row],[政治]]))+1)</f>
        <v>381</v>
      </c>
      <c r="V1054" s="29" cm="1">
        <f t="array" ref="V1054">IF(表成绩单[[#This Row],[历史]]="","",SUMPRODUCT((表成绩单[考试日期]=表成绩单[[#This Row],[考试日期]])*(表成绩单[历史]&lt;9E+307)*(表成绩单[历史]&gt;表成绩单[[#This Row],[历史]]))+1)</f>
        <v>190</v>
      </c>
      <c r="W1054" s="29" cm="1">
        <f t="array" ref="W1054">IF(表成绩单[[#This Row],[总分]]="","",SUMPRODUCT((表成绩单[考试日期]=表成绩单[[#This Row],[考试日期]])*(表成绩单[总分]&lt;9E+307)*(表成绩单[总分]&gt;表成绩单[[#This Row],[总分]]))+1)</f>
        <v>247</v>
      </c>
    </row>
    <row r="1055" ht="28" customHeight="1" spans="4:23">
      <c r="D1055" s="31">
        <v>46003</v>
      </c>
      <c r="E1055" s="29">
        <v>19173537</v>
      </c>
      <c r="F1055" s="29" t="s">
        <v>1</v>
      </c>
      <c r="G1055" s="29" t="s">
        <v>362</v>
      </c>
      <c r="H1055" s="29">
        <v>101</v>
      </c>
      <c r="I1055" s="29">
        <v>97</v>
      </c>
      <c r="J1055" s="29">
        <v>80.5</v>
      </c>
      <c r="K1055" s="29">
        <v>83</v>
      </c>
      <c r="L1055" s="29">
        <v>83</v>
      </c>
      <c r="M1055" s="29">
        <v>61</v>
      </c>
      <c r="N1055" s="29">
        <v>76</v>
      </c>
      <c r="O1055" s="32">
        <v>581.5</v>
      </c>
      <c r="P1055" s="29" cm="1">
        <f t="array" ref="P1055">IF(表成绩单[[#This Row],[语文]]="","",SUMPRODUCT((表成绩单[考试日期]=表成绩单[[#This Row],[考试日期]])*(表成绩单[语文]&lt;9E+307)*(表成绩单[语文]&gt;表成绩单[[#This Row],[语文]]))+1)</f>
        <v>387</v>
      </c>
      <c r="Q1055" s="29" cm="1">
        <f t="array" ref="Q1055">IF(表成绩单[[#This Row],[数学]]="","",SUMPRODUCT((表成绩单[考试日期]=表成绩单[[#This Row],[考试日期]])*(表成绩单[数学]&lt;9E+307)*(表成绩单[数学]&gt;表成绩单[[#This Row],[数学]]))+1)</f>
        <v>104</v>
      </c>
      <c r="R1055" s="29" cm="1">
        <f t="array" ref="R1055">IF(表成绩单[[#This Row],[英语]]="","",SUMPRODUCT((表成绩单[考试日期]=表成绩单[[#This Row],[考试日期]])*(表成绩单[英语]&lt;9E+307)*(表成绩单[英语]&gt;表成绩单[[#This Row],[英语]]))+1)</f>
        <v>147</v>
      </c>
      <c r="S1055" s="29" cm="1">
        <f t="array" ref="S1055">IF(表成绩单[[#This Row],[物理]]="","",SUMPRODUCT((表成绩单[考试日期]=表成绩单[[#This Row],[考试日期]])*(表成绩单[物理]&lt;9E+307)*(表成绩单[物理]&gt;表成绩单[[#This Row],[物理]]))+1)</f>
        <v>376</v>
      </c>
      <c r="T1055" s="29" cm="1">
        <f t="array" ref="T1055">IF(表成绩单[[#This Row],[化学]]="","",SUMPRODUCT((表成绩单[考试日期]=表成绩单[[#This Row],[考试日期]])*(表成绩单[化学]&lt;9E+307)*(表成绩单[化学]&gt;表成绩单[[#This Row],[化学]]))+1)</f>
        <v>272</v>
      </c>
      <c r="U1055" s="29" cm="1">
        <f t="array" ref="U1055">IF(表成绩单[[#This Row],[政治]]="","",SUMPRODUCT((表成绩单[考试日期]=表成绩单[[#This Row],[考试日期]])*(表成绩单[政治]&lt;9E+307)*(表成绩单[政治]&gt;表成绩单[[#This Row],[政治]]))+1)</f>
        <v>400</v>
      </c>
      <c r="V1055" s="29" cm="1">
        <f t="array" ref="V1055">IF(表成绩单[[#This Row],[历史]]="","",SUMPRODUCT((表成绩单[考试日期]=表成绩单[[#This Row],[考试日期]])*(表成绩单[历史]&lt;9E+307)*(表成绩单[历史]&gt;表成绩单[[#This Row],[历史]]))+1)</f>
        <v>279</v>
      </c>
      <c r="W1055" s="29" cm="1">
        <f t="array" ref="W1055">IF(表成绩单[[#This Row],[总分]]="","",SUMPRODUCT((表成绩单[考试日期]=表成绩单[[#This Row],[考试日期]])*(表成绩单[总分]&lt;9E+307)*(表成绩单[总分]&gt;表成绩单[[#This Row],[总分]]))+1)</f>
        <v>250</v>
      </c>
    </row>
    <row r="1056" ht="28" customHeight="1" spans="4:23">
      <c r="D1056" s="31">
        <v>46003</v>
      </c>
      <c r="E1056" s="29">
        <v>19173764</v>
      </c>
      <c r="F1056" s="29" t="s">
        <v>65</v>
      </c>
      <c r="G1056" s="29" t="s">
        <v>424</v>
      </c>
      <c r="H1056" s="29">
        <v>104</v>
      </c>
      <c r="I1056" s="29">
        <v>71</v>
      </c>
      <c r="J1056" s="29">
        <v>82.5</v>
      </c>
      <c r="K1056" s="29">
        <v>91</v>
      </c>
      <c r="L1056" s="29">
        <v>84</v>
      </c>
      <c r="M1056" s="29">
        <v>74</v>
      </c>
      <c r="N1056" s="29">
        <v>75</v>
      </c>
      <c r="O1056" s="32">
        <v>581.5</v>
      </c>
      <c r="P1056" s="29" cm="1">
        <f t="array" ref="P1056">IF(表成绩单[[#This Row],[语文]]="","",SUMPRODUCT((表成绩单[考试日期]=表成绩单[[#This Row],[考试日期]])*(表成绩单[语文]&lt;9E+307)*(表成绩单[语文]&gt;表成绩单[[#This Row],[语文]]))+1)</f>
        <v>290</v>
      </c>
      <c r="Q1056" s="29" cm="1">
        <f t="array" ref="Q1056">IF(表成绩单[[#This Row],[数学]]="","",SUMPRODUCT((表成绩单[考试日期]=表成绩单[[#This Row],[考试日期]])*(表成绩单[数学]&lt;9E+307)*(表成绩单[数学]&gt;表成绩单[[#This Row],[数学]]))+1)</f>
        <v>412</v>
      </c>
      <c r="R1056" s="29" cm="1">
        <f t="array" ref="R1056">IF(表成绩单[[#This Row],[英语]]="","",SUMPRODUCT((表成绩单[考试日期]=表成绩单[[#This Row],[考试日期]])*(表成绩单[英语]&lt;9E+307)*(表成绩单[英语]&gt;表成绩单[[#This Row],[英语]]))+1)</f>
        <v>85</v>
      </c>
      <c r="S1056" s="29" cm="1">
        <f t="array" ref="S1056">IF(表成绩单[[#This Row],[物理]]="","",SUMPRODUCT((表成绩单[考试日期]=表成绩单[[#This Row],[考试日期]])*(表成绩单[物理]&lt;9E+307)*(表成绩单[物理]&gt;表成绩单[[#This Row],[物理]]))+1)</f>
        <v>220</v>
      </c>
      <c r="T1056" s="29" cm="1">
        <f t="array" ref="T1056">IF(表成绩单[[#This Row],[化学]]="","",SUMPRODUCT((表成绩单[考试日期]=表成绩单[[#This Row],[考试日期]])*(表成绩单[化学]&lt;9E+307)*(表成绩单[化学]&gt;表成绩单[[#This Row],[化学]]))+1)</f>
        <v>258</v>
      </c>
      <c r="U1056" s="29" cm="1">
        <f t="array" ref="U1056">IF(表成绩单[[#This Row],[政治]]="","",SUMPRODUCT((表成绩单[考试日期]=表成绩单[[#This Row],[考试日期]])*(表成绩单[政治]&lt;9E+307)*(表成绩单[政治]&gt;表成绩单[[#This Row],[政治]]))+1)</f>
        <v>121</v>
      </c>
      <c r="V1056" s="29" cm="1">
        <f t="array" ref="V1056">IF(表成绩单[[#This Row],[历史]]="","",SUMPRODUCT((表成绩单[考试日期]=表成绩单[[#This Row],[考试日期]])*(表成绩单[历史]&lt;9E+307)*(表成绩单[历史]&gt;表成绩单[[#This Row],[历史]]))+1)</f>
        <v>329</v>
      </c>
      <c r="W1056" s="29" cm="1">
        <f t="array" ref="W1056">IF(表成绩单[[#This Row],[总分]]="","",SUMPRODUCT((表成绩单[考试日期]=表成绩单[[#This Row],[考试日期]])*(表成绩单[总分]&lt;9E+307)*(表成绩单[总分]&gt;表成绩单[[#This Row],[总分]]))+1)</f>
        <v>250</v>
      </c>
    </row>
    <row r="1057" ht="28" customHeight="1" spans="4:23">
      <c r="D1057" s="31">
        <v>46003</v>
      </c>
      <c r="E1057" s="29">
        <v>19175636</v>
      </c>
      <c r="F1057" s="29" t="s">
        <v>66</v>
      </c>
      <c r="G1057" s="29" t="s">
        <v>285</v>
      </c>
      <c r="H1057" s="29">
        <v>113</v>
      </c>
      <c r="I1057" s="29">
        <v>76</v>
      </c>
      <c r="J1057" s="29">
        <v>82.5</v>
      </c>
      <c r="K1057" s="29">
        <v>90</v>
      </c>
      <c r="L1057" s="29">
        <v>70</v>
      </c>
      <c r="M1057" s="29">
        <v>77</v>
      </c>
      <c r="N1057" s="29">
        <v>73</v>
      </c>
      <c r="O1057" s="32">
        <v>581.5</v>
      </c>
      <c r="P1057" s="29" cm="1">
        <f t="array" ref="P1057">IF(表成绩单[[#This Row],[语文]]="","",SUMPRODUCT((表成绩单[考试日期]=表成绩单[[#This Row],[考试日期]])*(表成绩单[语文]&lt;9E+307)*(表成绩单[语文]&gt;表成绩单[[#This Row],[语文]]))+1)</f>
        <v>22</v>
      </c>
      <c r="Q1057" s="29" cm="1">
        <f t="array" ref="Q1057">IF(表成绩单[[#This Row],[数学]]="","",SUMPRODUCT((表成绩单[考试日期]=表成绩单[[#This Row],[考试日期]])*(表成绩单[数学]&lt;9E+307)*(表成绩单[数学]&gt;表成绩单[[#This Row],[数学]]))+1)</f>
        <v>356</v>
      </c>
      <c r="R1057" s="29" cm="1">
        <f t="array" ref="R1057">IF(表成绩单[[#This Row],[英语]]="","",SUMPRODUCT((表成绩单[考试日期]=表成绩单[[#This Row],[考试日期]])*(表成绩单[英语]&lt;9E+307)*(表成绩单[英语]&gt;表成绩单[[#This Row],[英语]]))+1)</f>
        <v>85</v>
      </c>
      <c r="S1057" s="29" cm="1">
        <f t="array" ref="S1057">IF(表成绩单[[#This Row],[物理]]="","",SUMPRODUCT((表成绩单[考试日期]=表成绩单[[#This Row],[考试日期]])*(表成绩单[物理]&lt;9E+307)*(表成绩单[物理]&gt;表成绩单[[#This Row],[物理]]))+1)</f>
        <v>237</v>
      </c>
      <c r="T1057" s="29" cm="1">
        <f t="array" ref="T1057">IF(表成绩单[[#This Row],[化学]]="","",SUMPRODUCT((表成绩单[考试日期]=表成绩单[[#This Row],[考试日期]])*(表成绩单[化学]&lt;9E+307)*(表成绩单[化学]&gt;表成绩单[[#This Row],[化学]]))+1)</f>
        <v>498</v>
      </c>
      <c r="U1057" s="29" cm="1">
        <f t="array" ref="U1057">IF(表成绩单[[#This Row],[政治]]="","",SUMPRODUCT((表成绩单[考试日期]=表成绩单[[#This Row],[考试日期]])*(表成绩单[政治]&lt;9E+307)*(表成绩单[政治]&gt;表成绩单[[#This Row],[政治]]))+1)</f>
        <v>64</v>
      </c>
      <c r="V1057" s="29" cm="1">
        <f t="array" ref="V1057">IF(表成绩单[[#This Row],[历史]]="","",SUMPRODUCT((表成绩单[考试日期]=表成绩单[[#This Row],[考试日期]])*(表成绩单[历史]&lt;9E+307)*(表成绩单[历史]&gt;表成绩单[[#This Row],[历史]]))+1)</f>
        <v>403</v>
      </c>
      <c r="W1057" s="29" cm="1">
        <f t="array" ref="W1057">IF(表成绩单[[#This Row],[总分]]="","",SUMPRODUCT((表成绩单[考试日期]=表成绩单[[#This Row],[考试日期]])*(表成绩单[总分]&lt;9E+307)*(表成绩单[总分]&gt;表成绩单[[#This Row],[总分]]))+1)</f>
        <v>250</v>
      </c>
    </row>
    <row r="1058" ht="28" customHeight="1" spans="4:23">
      <c r="D1058" s="31">
        <v>46003</v>
      </c>
      <c r="E1058" s="29">
        <v>19178650</v>
      </c>
      <c r="F1058" s="29" t="s">
        <v>25</v>
      </c>
      <c r="G1058" s="29" t="s">
        <v>294</v>
      </c>
      <c r="H1058" s="29">
        <v>98</v>
      </c>
      <c r="I1058" s="29">
        <v>87</v>
      </c>
      <c r="J1058" s="29">
        <v>75.5</v>
      </c>
      <c r="K1058" s="29">
        <v>89</v>
      </c>
      <c r="L1058" s="29">
        <v>86</v>
      </c>
      <c r="M1058" s="29">
        <v>76</v>
      </c>
      <c r="N1058" s="29">
        <v>70</v>
      </c>
      <c r="O1058" s="32">
        <v>581.5</v>
      </c>
      <c r="P1058" s="29" cm="1">
        <f t="array" ref="P1058">IF(表成绩单[[#This Row],[语文]]="","",SUMPRODUCT((表成绩单[考试日期]=表成绩单[[#This Row],[考试日期]])*(表成绩单[语文]&lt;9E+307)*(表成绩单[语文]&gt;表成绩单[[#This Row],[语文]]))+1)</f>
        <v>463</v>
      </c>
      <c r="Q1058" s="29" cm="1">
        <f t="array" ref="Q1058">IF(表成绩单[[#This Row],[数学]]="","",SUMPRODUCT((表成绩单[考试日期]=表成绩单[[#This Row],[考试日期]])*(表成绩单[数学]&lt;9E+307)*(表成绩单[数学]&gt;表成绩单[[#This Row],[数学]]))+1)</f>
        <v>223</v>
      </c>
      <c r="R1058" s="29" cm="1">
        <f t="array" ref="R1058">IF(表成绩单[[#This Row],[英语]]="","",SUMPRODUCT((表成绩单[考试日期]=表成绩单[[#This Row],[考试日期]])*(表成绩单[英语]&lt;9E+307)*(表成绩单[英语]&gt;表成绩单[[#This Row],[英语]]))+1)</f>
        <v>299</v>
      </c>
      <c r="S1058" s="29" cm="1">
        <f t="array" ref="S1058">IF(表成绩单[[#This Row],[物理]]="","",SUMPRODUCT((表成绩单[考试日期]=表成绩单[[#This Row],[考试日期]])*(表成绩单[物理]&lt;9E+307)*(表成绩单[物理]&gt;表成绩单[[#This Row],[物理]]))+1)</f>
        <v>269</v>
      </c>
      <c r="T1058" s="29" cm="1">
        <f t="array" ref="T1058">IF(表成绩单[[#This Row],[化学]]="","",SUMPRODUCT((表成绩单[考试日期]=表成绩单[[#This Row],[考试日期]])*(表成绩单[化学]&lt;9E+307)*(表成绩单[化学]&gt;表成绩单[[#This Row],[化学]]))+1)</f>
        <v>223</v>
      </c>
      <c r="U1058" s="29" cm="1">
        <f t="array" ref="U1058">IF(表成绩单[[#This Row],[政治]]="","",SUMPRODUCT((表成绩单[考试日期]=表成绩单[[#This Row],[考试日期]])*(表成绩单[政治]&lt;9E+307)*(表成绩单[政治]&gt;表成绩单[[#This Row],[政治]]))+1)</f>
        <v>77</v>
      </c>
      <c r="V1058" s="29" cm="1">
        <f t="array" ref="V1058">IF(表成绩单[[#This Row],[历史]]="","",SUMPRODUCT((表成绩单[考试日期]=表成绩单[[#This Row],[考试日期]])*(表成绩单[历史]&lt;9E+307)*(表成绩单[历史]&gt;表成绩单[[#This Row],[历史]]))+1)</f>
        <v>499</v>
      </c>
      <c r="W1058" s="29" cm="1">
        <f t="array" ref="W1058">IF(表成绩单[[#This Row],[总分]]="","",SUMPRODUCT((表成绩单[考试日期]=表成绩单[[#This Row],[考试日期]])*(表成绩单[总分]&lt;9E+307)*(表成绩单[总分]&gt;表成绩单[[#This Row],[总分]]))+1)</f>
        <v>250</v>
      </c>
    </row>
    <row r="1059" ht="28" customHeight="1" spans="4:23">
      <c r="D1059" s="31">
        <v>46003</v>
      </c>
      <c r="E1059" s="29">
        <v>19174430</v>
      </c>
      <c r="F1059" s="29" t="s">
        <v>73</v>
      </c>
      <c r="G1059" s="29" t="s">
        <v>312</v>
      </c>
      <c r="H1059" s="29">
        <v>108</v>
      </c>
      <c r="I1059" s="29">
        <v>70</v>
      </c>
      <c r="J1059" s="29">
        <v>82.5</v>
      </c>
      <c r="K1059" s="29">
        <v>94</v>
      </c>
      <c r="L1059" s="29">
        <v>73</v>
      </c>
      <c r="M1059" s="29">
        <v>70</v>
      </c>
      <c r="N1059" s="29">
        <v>83</v>
      </c>
      <c r="O1059" s="32">
        <v>580.5</v>
      </c>
      <c r="P1059" s="29" cm="1">
        <f t="array" ref="P1059">IF(表成绩单[[#This Row],[语文]]="","",SUMPRODUCT((表成绩单[考试日期]=表成绩单[[#This Row],[考试日期]])*(表成绩单[语文]&lt;9E+307)*(表成绩单[语文]&gt;表成绩单[[#This Row],[语文]]))+1)</f>
        <v>154</v>
      </c>
      <c r="Q1059" s="29" cm="1">
        <f t="array" ref="Q1059">IF(表成绩单[[#This Row],[数学]]="","",SUMPRODUCT((表成绩单[考试日期]=表成绩单[[#This Row],[考试日期]])*(表成绩单[数学]&lt;9E+307)*(表成绩单[数学]&gt;表成绩单[[#This Row],[数学]]))+1)</f>
        <v>426</v>
      </c>
      <c r="R1059" s="29" cm="1">
        <f t="array" ref="R1059">IF(表成绩单[[#This Row],[英语]]="","",SUMPRODUCT((表成绩单[考试日期]=表成绩单[[#This Row],[考试日期]])*(表成绩单[英语]&lt;9E+307)*(表成绩单[英语]&gt;表成绩单[[#This Row],[英语]]))+1)</f>
        <v>85</v>
      </c>
      <c r="S1059" s="29" cm="1">
        <f t="array" ref="S1059">IF(表成绩单[[#This Row],[物理]]="","",SUMPRODUCT((表成绩单[考试日期]=表成绩单[[#This Row],[考试日期]])*(表成绩单[物理]&lt;9E+307)*(表成绩单[物理]&gt;表成绩单[[#This Row],[物理]]))+1)</f>
        <v>125</v>
      </c>
      <c r="T1059" s="29" cm="1">
        <f t="array" ref="T1059">IF(表成绩单[[#This Row],[化学]]="","",SUMPRODUCT((表成绩单[考试日期]=表成绩单[[#This Row],[考试日期]])*(表成绩单[化学]&lt;9E+307)*(表成绩单[化学]&gt;表成绩单[[#This Row],[化学]]))+1)</f>
        <v>457</v>
      </c>
      <c r="U1059" s="29" cm="1">
        <f t="array" ref="U1059">IF(表成绩单[[#This Row],[政治]]="","",SUMPRODUCT((表成绩单[考试日期]=表成绩单[[#This Row],[考试日期]])*(表成绩单[政治]&lt;9E+307)*(表成绩单[政治]&gt;表成绩单[[#This Row],[政治]]))+1)</f>
        <v>184</v>
      </c>
      <c r="V1059" s="29" cm="1">
        <f t="array" ref="V1059">IF(表成绩单[[#This Row],[历史]]="","",SUMPRODUCT((表成绩单[考试日期]=表成绩单[[#This Row],[考试日期]])*(表成绩单[历史]&lt;9E+307)*(表成绩单[历史]&gt;表成绩单[[#This Row],[历史]]))+1)</f>
        <v>46</v>
      </c>
      <c r="W1059" s="29" cm="1">
        <f t="array" ref="W1059">IF(表成绩单[[#This Row],[总分]]="","",SUMPRODUCT((表成绩单[考试日期]=表成绩单[[#This Row],[考试日期]])*(表成绩单[总分]&lt;9E+307)*(表成绩单[总分]&gt;表成绩单[[#This Row],[总分]]))+1)</f>
        <v>254</v>
      </c>
    </row>
    <row r="1060" ht="28" customHeight="1" spans="4:23">
      <c r="D1060" s="31">
        <v>46003</v>
      </c>
      <c r="E1060" s="29">
        <v>19175399</v>
      </c>
      <c r="F1060" s="29" t="s">
        <v>74</v>
      </c>
      <c r="G1060" s="29" t="s">
        <v>317</v>
      </c>
      <c r="H1060" s="29">
        <v>114</v>
      </c>
      <c r="I1060" s="29">
        <v>79</v>
      </c>
      <c r="J1060" s="29">
        <v>80.5</v>
      </c>
      <c r="K1060" s="29">
        <v>80</v>
      </c>
      <c r="L1060" s="29">
        <v>76</v>
      </c>
      <c r="M1060" s="29">
        <v>74</v>
      </c>
      <c r="N1060" s="29">
        <v>77</v>
      </c>
      <c r="O1060" s="32">
        <v>580.5</v>
      </c>
      <c r="P1060" s="29" cm="1">
        <f t="array" ref="P1060">IF(表成绩单[[#This Row],[语文]]="","",SUMPRODUCT((表成绩单[考试日期]=表成绩单[[#This Row],[考试日期]])*(表成绩单[语文]&lt;9E+307)*(表成绩单[语文]&gt;表成绩单[[#This Row],[语文]]))+1)</f>
        <v>13</v>
      </c>
      <c r="Q1060" s="29" cm="1">
        <f t="array" ref="Q1060">IF(表成绩单[[#This Row],[数学]]="","",SUMPRODUCT((表成绩单[考试日期]=表成绩单[[#This Row],[考试日期]])*(表成绩单[数学]&lt;9E+307)*(表成绩单[数学]&gt;表成绩单[[#This Row],[数学]]))+1)</f>
        <v>324</v>
      </c>
      <c r="R1060" s="29" cm="1">
        <f t="array" ref="R1060">IF(表成绩单[[#This Row],[英语]]="","",SUMPRODUCT((表成绩单[考试日期]=表成绩单[[#This Row],[考试日期]])*(表成绩单[英语]&lt;9E+307)*(表成绩单[英语]&gt;表成绩单[[#This Row],[英语]]))+1)</f>
        <v>147</v>
      </c>
      <c r="S1060" s="29" cm="1">
        <f t="array" ref="S1060">IF(表成绩单[[#This Row],[物理]]="","",SUMPRODUCT((表成绩单[考试日期]=表成绩单[[#This Row],[考试日期]])*(表成绩单[物理]&lt;9E+307)*(表成绩单[物理]&gt;表成绩单[[#This Row],[物理]]))+1)</f>
        <v>422</v>
      </c>
      <c r="T1060" s="29" cm="1">
        <f t="array" ref="T1060">IF(表成绩单[[#This Row],[化学]]="","",SUMPRODUCT((表成绩单[考试日期]=表成绩单[[#This Row],[考试日期]])*(表成绩单[化学]&lt;9E+307)*(表成绩单[化学]&gt;表成绩单[[#This Row],[化学]]))+1)</f>
        <v>402</v>
      </c>
      <c r="U1060" s="29" cm="1">
        <f t="array" ref="U1060">IF(表成绩单[[#This Row],[政治]]="","",SUMPRODUCT((表成绩单[考试日期]=表成绩单[[#This Row],[考试日期]])*(表成绩单[政治]&lt;9E+307)*(表成绩单[政治]&gt;表成绩单[[#This Row],[政治]]))+1)</f>
        <v>121</v>
      </c>
      <c r="V1060" s="29" cm="1">
        <f t="array" ref="V1060">IF(表成绩单[[#This Row],[历史]]="","",SUMPRODUCT((表成绩单[考试日期]=表成绩单[[#This Row],[考试日期]])*(表成绩单[历史]&lt;9E+307)*(表成绩单[历史]&gt;表成绩单[[#This Row],[历史]]))+1)</f>
        <v>235</v>
      </c>
      <c r="W1060" s="29" cm="1">
        <f t="array" ref="W1060">IF(表成绩单[[#This Row],[总分]]="","",SUMPRODUCT((表成绩单[考试日期]=表成绩单[[#This Row],[考试日期]])*(表成绩单[总分]&lt;9E+307)*(表成绩单[总分]&gt;表成绩单[[#This Row],[总分]]))+1)</f>
        <v>254</v>
      </c>
    </row>
    <row r="1061" ht="28" customHeight="1" spans="4:23">
      <c r="D1061" s="31">
        <v>46003</v>
      </c>
      <c r="E1061" s="29">
        <v>19175677</v>
      </c>
      <c r="F1061" s="29" t="s">
        <v>72</v>
      </c>
      <c r="G1061" s="29" t="s">
        <v>253</v>
      </c>
      <c r="H1061" s="29">
        <v>105</v>
      </c>
      <c r="I1061" s="29">
        <v>89</v>
      </c>
      <c r="J1061" s="29">
        <v>76.5</v>
      </c>
      <c r="K1061" s="29">
        <v>88</v>
      </c>
      <c r="L1061" s="29">
        <v>87</v>
      </c>
      <c r="M1061" s="29">
        <v>62</v>
      </c>
      <c r="N1061" s="29">
        <v>73</v>
      </c>
      <c r="O1061" s="32">
        <v>580.5</v>
      </c>
      <c r="P1061" s="29" cm="1">
        <f t="array" ref="P1061">IF(表成绩单[[#This Row],[语文]]="","",SUMPRODUCT((表成绩单[考试日期]=表成绩单[[#This Row],[考试日期]])*(表成绩单[语文]&lt;9E+307)*(表成绩单[语文]&gt;表成绩单[[#This Row],[语文]]))+1)</f>
        <v>247</v>
      </c>
      <c r="Q1061" s="29" cm="1">
        <f t="array" ref="Q1061">IF(表成绩单[[#This Row],[数学]]="","",SUMPRODUCT((表成绩单[考试日期]=表成绩单[[#This Row],[考试日期]])*(表成绩单[数学]&lt;9E+307)*(表成绩单[数学]&gt;表成绩单[[#This Row],[数学]]))+1)</f>
        <v>201</v>
      </c>
      <c r="R1061" s="29" cm="1">
        <f t="array" ref="R1061">IF(表成绩单[[#This Row],[英语]]="","",SUMPRODUCT((表成绩单[考试日期]=表成绩单[[#This Row],[考试日期]])*(表成绩单[英语]&lt;9E+307)*(表成绩单[英语]&gt;表成绩单[[#This Row],[英语]]))+1)</f>
        <v>272</v>
      </c>
      <c r="S1061" s="29" cm="1">
        <f t="array" ref="S1061">IF(表成绩单[[#This Row],[物理]]="","",SUMPRODUCT((表成绩单[考试日期]=表成绩单[[#This Row],[考试日期]])*(表成绩单[物理]&lt;9E+307)*(表成绩单[物理]&gt;表成绩单[[#This Row],[物理]]))+1)</f>
        <v>291</v>
      </c>
      <c r="T1061" s="29" cm="1">
        <f t="array" ref="T1061">IF(表成绩单[[#This Row],[化学]]="","",SUMPRODUCT((表成绩单[考试日期]=表成绩单[[#This Row],[考试日期]])*(表成绩单[化学]&lt;9E+307)*(表成绩单[化学]&gt;表成绩单[[#This Row],[化学]]))+1)</f>
        <v>201</v>
      </c>
      <c r="U1061" s="29" cm="1">
        <f t="array" ref="U1061">IF(表成绩单[[#This Row],[政治]]="","",SUMPRODUCT((表成绩单[考试日期]=表成绩单[[#This Row],[考试日期]])*(表成绩单[政治]&lt;9E+307)*(表成绩单[政治]&gt;表成绩单[[#This Row],[政治]]))+1)</f>
        <v>381</v>
      </c>
      <c r="V1061" s="29" cm="1">
        <f t="array" ref="V1061">IF(表成绩单[[#This Row],[历史]]="","",SUMPRODUCT((表成绩单[考试日期]=表成绩单[[#This Row],[考试日期]])*(表成绩单[历史]&lt;9E+307)*(表成绩单[历史]&gt;表成绩单[[#This Row],[历史]]))+1)</f>
        <v>403</v>
      </c>
      <c r="W1061" s="29" cm="1">
        <f t="array" ref="W1061">IF(表成绩单[[#This Row],[总分]]="","",SUMPRODUCT((表成绩单[考试日期]=表成绩单[[#This Row],[考试日期]])*(表成绩单[总分]&lt;9E+307)*(表成绩单[总分]&gt;表成绩单[[#This Row],[总分]]))+1)</f>
        <v>254</v>
      </c>
    </row>
    <row r="1062" ht="28" customHeight="1" spans="4:23">
      <c r="D1062" s="31">
        <v>46003</v>
      </c>
      <c r="E1062" s="29">
        <v>19176894</v>
      </c>
      <c r="F1062" s="29" t="s">
        <v>71</v>
      </c>
      <c r="G1062" s="29" t="s">
        <v>466</v>
      </c>
      <c r="H1062" s="29">
        <v>105</v>
      </c>
      <c r="I1062" s="29">
        <v>99</v>
      </c>
      <c r="J1062" s="29">
        <v>68.5</v>
      </c>
      <c r="K1062" s="29">
        <v>94</v>
      </c>
      <c r="L1062" s="29">
        <v>87</v>
      </c>
      <c r="M1062" s="29">
        <v>47</v>
      </c>
      <c r="N1062" s="29">
        <v>80</v>
      </c>
      <c r="O1062" s="32">
        <v>580.5</v>
      </c>
      <c r="P1062" s="29" cm="1">
        <f t="array" ref="P1062">IF(表成绩单[[#This Row],[语文]]="","",SUMPRODUCT((表成绩单[考试日期]=表成绩单[[#This Row],[考试日期]])*(表成绩单[语文]&lt;9E+307)*(表成绩单[语文]&gt;表成绩单[[#This Row],[语文]]))+1)</f>
        <v>247</v>
      </c>
      <c r="Q1062" s="29" cm="1">
        <f t="array" ref="Q1062">IF(表成绩单[[#This Row],[数学]]="","",SUMPRODUCT((表成绩单[考试日期]=表成绩单[[#This Row],[考试日期]])*(表成绩单[数学]&lt;9E+307)*(表成绩单[数学]&gt;表成绩单[[#This Row],[数学]]))+1)</f>
        <v>88</v>
      </c>
      <c r="R1062" s="29" cm="1">
        <f t="array" ref="R1062">IF(表成绩单[[#This Row],[英语]]="","",SUMPRODUCT((表成绩单[考试日期]=表成绩单[[#This Row],[考试日期]])*(表成绩单[英语]&lt;9E+307)*(表成绩单[英语]&gt;表成绩单[[#This Row],[英语]]))+1)</f>
        <v>446</v>
      </c>
      <c r="S1062" s="29" cm="1">
        <f t="array" ref="S1062">IF(表成绩单[[#This Row],[物理]]="","",SUMPRODUCT((表成绩单[考试日期]=表成绩单[[#This Row],[考试日期]])*(表成绩单[物理]&lt;9E+307)*(表成绩单[物理]&gt;表成绩单[[#This Row],[物理]]))+1)</f>
        <v>125</v>
      </c>
      <c r="T1062" s="29" cm="1">
        <f t="array" ref="T1062">IF(表成绩单[[#This Row],[化学]]="","",SUMPRODUCT((表成绩单[考试日期]=表成绩单[[#This Row],[考试日期]])*(表成绩单[化学]&lt;9E+307)*(表成绩单[化学]&gt;表成绩单[[#This Row],[化学]]))+1)</f>
        <v>201</v>
      </c>
      <c r="U1062" s="29" cm="1">
        <f t="array" ref="U1062">IF(表成绩单[[#This Row],[政治]]="","",SUMPRODUCT((表成绩单[考试日期]=表成绩单[[#This Row],[考试日期]])*(表成绩单[政治]&lt;9E+307)*(表成绩单[政治]&gt;表成绩单[[#This Row],[政治]]))+1)</f>
        <v>619</v>
      </c>
      <c r="V1062" s="29" cm="1">
        <f t="array" ref="V1062">IF(表成绩单[[#This Row],[历史]]="","",SUMPRODUCT((表成绩单[考试日期]=表成绩单[[#This Row],[考试日期]])*(表成绩单[历史]&lt;9E+307)*(表成绩单[历史]&gt;表成绩单[[#This Row],[历史]]))+1)</f>
        <v>116</v>
      </c>
      <c r="W1062" s="29" cm="1">
        <f t="array" ref="W1062">IF(表成绩单[[#This Row],[总分]]="","",SUMPRODUCT((表成绩单[考试日期]=表成绩单[[#This Row],[考试日期]])*(表成绩单[总分]&lt;9E+307)*(表成绩单[总分]&gt;表成绩单[[#This Row],[总分]]))+1)</f>
        <v>254</v>
      </c>
    </row>
    <row r="1063" ht="28" customHeight="1" spans="4:23">
      <c r="D1063" s="31">
        <v>46003</v>
      </c>
      <c r="E1063" s="29">
        <v>26750491</v>
      </c>
      <c r="F1063" s="29" t="s">
        <v>66</v>
      </c>
      <c r="G1063" s="29" t="s">
        <v>482</v>
      </c>
      <c r="H1063" s="29">
        <v>101</v>
      </c>
      <c r="I1063" s="29">
        <v>94</v>
      </c>
      <c r="J1063" s="29">
        <v>75.5</v>
      </c>
      <c r="K1063" s="29">
        <v>91</v>
      </c>
      <c r="L1063" s="29">
        <v>82</v>
      </c>
      <c r="M1063" s="29">
        <v>65</v>
      </c>
      <c r="N1063" s="29">
        <v>72</v>
      </c>
      <c r="O1063" s="32">
        <v>580.5</v>
      </c>
      <c r="P1063" s="29" cm="1">
        <f t="array" ref="P1063">IF(表成绩单[[#This Row],[语文]]="","",SUMPRODUCT((表成绩单[考试日期]=表成绩单[[#This Row],[考试日期]])*(表成绩单[语文]&lt;9E+307)*(表成绩单[语文]&gt;表成绩单[[#This Row],[语文]]))+1)</f>
        <v>387</v>
      </c>
      <c r="Q1063" s="29" cm="1">
        <f t="array" ref="Q1063">IF(表成绩单[[#This Row],[数学]]="","",SUMPRODUCT((表成绩单[考试日期]=表成绩单[[#This Row],[考试日期]])*(表成绩单[数学]&lt;9E+307)*(表成绩单[数学]&gt;表成绩单[[#This Row],[数学]]))+1)</f>
        <v>142</v>
      </c>
      <c r="R1063" s="29" cm="1">
        <f t="array" ref="R1063">IF(表成绩单[[#This Row],[英语]]="","",SUMPRODUCT((表成绩单[考试日期]=表成绩单[[#This Row],[考试日期]])*(表成绩单[英语]&lt;9E+307)*(表成绩单[英语]&gt;表成绩单[[#This Row],[英语]]))+1)</f>
        <v>299</v>
      </c>
      <c r="S1063" s="29" cm="1">
        <f t="array" ref="S1063">IF(表成绩单[[#This Row],[物理]]="","",SUMPRODUCT((表成绩单[考试日期]=表成绩单[[#This Row],[考试日期]])*(表成绩单[物理]&lt;9E+307)*(表成绩单[物理]&gt;表成绩单[[#This Row],[物理]]))+1)</f>
        <v>220</v>
      </c>
      <c r="T1063" s="29" cm="1">
        <f t="array" ref="T1063">IF(表成绩单[[#This Row],[化学]]="","",SUMPRODUCT((表成绩单[考试日期]=表成绩单[[#This Row],[考试日期]])*(表成绩单[化学]&lt;9E+307)*(表成绩单[化学]&gt;表成绩单[[#This Row],[化学]]))+1)</f>
        <v>286</v>
      </c>
      <c r="U1063" s="29" cm="1">
        <f t="array" ref="U1063">IF(表成绩单[[#This Row],[政治]]="","",SUMPRODUCT((表成绩单[考试日期]=表成绩单[[#This Row],[考试日期]])*(表成绩单[政治]&lt;9E+307)*(表成绩单[政治]&gt;表成绩单[[#This Row],[政治]]))+1)</f>
        <v>314</v>
      </c>
      <c r="V1063" s="29" cm="1">
        <f t="array" ref="V1063">IF(表成绩单[[#This Row],[历史]]="","",SUMPRODUCT((表成绩单[考试日期]=表成绩单[[#This Row],[考试日期]])*(表成绩单[历史]&lt;9E+307)*(表成绩单[历史]&gt;表成绩单[[#This Row],[历史]]))+1)</f>
        <v>439</v>
      </c>
      <c r="W1063" s="29" cm="1">
        <f t="array" ref="W1063">IF(表成绩单[[#This Row],[总分]]="","",SUMPRODUCT((表成绩单[考试日期]=表成绩单[[#This Row],[考试日期]])*(表成绩单[总分]&lt;9E+307)*(表成绩单[总分]&gt;表成绩单[[#This Row],[总分]]))+1)</f>
        <v>254</v>
      </c>
    </row>
    <row r="1064" ht="28" customHeight="1" spans="4:23">
      <c r="D1064" s="31">
        <v>46003</v>
      </c>
      <c r="E1064" s="29">
        <v>19175707</v>
      </c>
      <c r="F1064" s="29" t="s">
        <v>72</v>
      </c>
      <c r="G1064" s="29" t="s">
        <v>345</v>
      </c>
      <c r="H1064" s="29">
        <v>97</v>
      </c>
      <c r="I1064" s="29">
        <v>93</v>
      </c>
      <c r="J1064" s="29">
        <v>71</v>
      </c>
      <c r="K1064" s="29">
        <v>86</v>
      </c>
      <c r="L1064" s="29">
        <v>87</v>
      </c>
      <c r="M1064" s="29">
        <v>68</v>
      </c>
      <c r="N1064" s="29">
        <v>78</v>
      </c>
      <c r="O1064" s="32">
        <v>580</v>
      </c>
      <c r="P1064" s="29" cm="1">
        <f t="array" ref="P1064">IF(表成绩单[[#This Row],[语文]]="","",SUMPRODUCT((表成绩单[考试日期]=表成绩单[[#This Row],[考试日期]])*(表成绩单[语文]&lt;9E+307)*(表成绩单[语文]&gt;表成绩单[[#This Row],[语文]]))+1)</f>
        <v>488</v>
      </c>
      <c r="Q1064" s="29" cm="1">
        <f t="array" ref="Q1064">IF(表成绩单[[#This Row],[数学]]="","",SUMPRODUCT((表成绩单[考试日期]=表成绩单[[#This Row],[考试日期]])*(表成绩单[数学]&lt;9E+307)*(表成绩单[数学]&gt;表成绩单[[#This Row],[数学]]))+1)</f>
        <v>155</v>
      </c>
      <c r="R1064" s="29" cm="1">
        <f t="array" ref="R1064">IF(表成绩单[[#This Row],[英语]]="","",SUMPRODUCT((表成绩单[考试日期]=表成绩单[[#This Row],[考试日期]])*(表成绩单[英语]&lt;9E+307)*(表成绩单[英语]&gt;表成绩单[[#This Row],[英语]]))+1)</f>
        <v>404</v>
      </c>
      <c r="S1064" s="29" cm="1">
        <f t="array" ref="S1064">IF(表成绩单[[#This Row],[物理]]="","",SUMPRODUCT((表成绩单[考试日期]=表成绩单[[#This Row],[考试日期]])*(表成绩单[物理]&lt;9E+307)*(表成绩单[物理]&gt;表成绩单[[#This Row],[物理]]))+1)</f>
        <v>336</v>
      </c>
      <c r="T1064" s="29" cm="1">
        <f t="array" ref="T1064">IF(表成绩单[[#This Row],[化学]]="","",SUMPRODUCT((表成绩单[考试日期]=表成绩单[[#This Row],[考试日期]])*(表成绩单[化学]&lt;9E+307)*(表成绩单[化学]&gt;表成绩单[[#This Row],[化学]]))+1)</f>
        <v>201</v>
      </c>
      <c r="U1064" s="29" cm="1">
        <f t="array" ref="U1064">IF(表成绩单[[#This Row],[政治]]="","",SUMPRODUCT((表成绩单[考试日期]=表成绩单[[#This Row],[考试日期]])*(表成绩单[政治]&lt;9E+307)*(表成绩单[政治]&gt;表成绩单[[#This Row],[政治]]))+1)</f>
        <v>237</v>
      </c>
      <c r="V1064" s="29" cm="1">
        <f t="array" ref="V1064">IF(表成绩单[[#This Row],[历史]]="","",SUMPRODUCT((表成绩单[考试日期]=表成绩单[[#This Row],[考试日期]])*(表成绩单[历史]&lt;9E+307)*(表成绩单[历史]&gt;表成绩单[[#This Row],[历史]]))+1)</f>
        <v>190</v>
      </c>
      <c r="W1064" s="29" cm="1">
        <f t="array" ref="W1064">IF(表成绩单[[#This Row],[总分]]="","",SUMPRODUCT((表成绩单[考试日期]=表成绩单[[#This Row],[考试日期]])*(表成绩单[总分]&lt;9E+307)*(表成绩单[总分]&gt;表成绩单[[#This Row],[总分]]))+1)</f>
        <v>259</v>
      </c>
    </row>
    <row r="1065" ht="28" customHeight="1" spans="4:23">
      <c r="D1065" s="31">
        <v>46003</v>
      </c>
      <c r="E1065" s="29">
        <v>19175680</v>
      </c>
      <c r="F1065" s="29" t="s">
        <v>72</v>
      </c>
      <c r="G1065" s="29" t="s">
        <v>353</v>
      </c>
      <c r="H1065" s="29">
        <v>111</v>
      </c>
      <c r="I1065" s="29">
        <v>73</v>
      </c>
      <c r="J1065" s="29">
        <v>82.5</v>
      </c>
      <c r="K1065" s="29">
        <v>88</v>
      </c>
      <c r="L1065" s="29">
        <v>83</v>
      </c>
      <c r="M1065" s="29">
        <v>65</v>
      </c>
      <c r="N1065" s="29">
        <v>77</v>
      </c>
      <c r="O1065" s="32">
        <v>579.5</v>
      </c>
      <c r="P1065" s="29" cm="1">
        <f t="array" ref="P1065">IF(表成绩单[[#This Row],[语文]]="","",SUMPRODUCT((表成绩单[考试日期]=表成绩单[[#This Row],[考试日期]])*(表成绩单[语文]&lt;9E+307)*(表成绩单[语文]&gt;表成绩单[[#This Row],[语文]]))+1)</f>
        <v>56</v>
      </c>
      <c r="Q1065" s="29" cm="1">
        <f t="array" ref="Q1065">IF(表成绩单[[#This Row],[数学]]="","",SUMPRODUCT((表成绩单[考试日期]=表成绩单[[#This Row],[考试日期]])*(表成绩单[数学]&lt;9E+307)*(表成绩单[数学]&gt;表成绩单[[#This Row],[数学]]))+1)</f>
        <v>386</v>
      </c>
      <c r="R1065" s="29" cm="1">
        <f t="array" ref="R1065">IF(表成绩单[[#This Row],[英语]]="","",SUMPRODUCT((表成绩单[考试日期]=表成绩单[[#This Row],[考试日期]])*(表成绩单[英语]&lt;9E+307)*(表成绩单[英语]&gt;表成绩单[[#This Row],[英语]]))+1)</f>
        <v>85</v>
      </c>
      <c r="S1065" s="29" cm="1">
        <f t="array" ref="S1065">IF(表成绩单[[#This Row],[物理]]="","",SUMPRODUCT((表成绩单[考试日期]=表成绩单[[#This Row],[考试日期]])*(表成绩单[物理]&lt;9E+307)*(表成绩单[物理]&gt;表成绩单[[#This Row],[物理]]))+1)</f>
        <v>291</v>
      </c>
      <c r="T1065" s="29" cm="1">
        <f t="array" ref="T1065">IF(表成绩单[[#This Row],[化学]]="","",SUMPRODUCT((表成绩单[考试日期]=表成绩单[[#This Row],[考试日期]])*(表成绩单[化学]&lt;9E+307)*(表成绩单[化学]&gt;表成绩单[[#This Row],[化学]]))+1)</f>
        <v>272</v>
      </c>
      <c r="U1065" s="29" cm="1">
        <f t="array" ref="U1065">IF(表成绩单[[#This Row],[政治]]="","",SUMPRODUCT((表成绩单[考试日期]=表成绩单[[#This Row],[考试日期]])*(表成绩单[政治]&lt;9E+307)*(表成绩单[政治]&gt;表成绩单[[#This Row],[政治]]))+1)</f>
        <v>314</v>
      </c>
      <c r="V1065" s="29" cm="1">
        <f t="array" ref="V1065">IF(表成绩单[[#This Row],[历史]]="","",SUMPRODUCT((表成绩单[考试日期]=表成绩单[[#This Row],[考试日期]])*(表成绩单[历史]&lt;9E+307)*(表成绩单[历史]&gt;表成绩单[[#This Row],[历史]]))+1)</f>
        <v>235</v>
      </c>
      <c r="W1065" s="29" cm="1">
        <f t="array" ref="W1065">IF(表成绩单[[#This Row],[总分]]="","",SUMPRODUCT((表成绩单[考试日期]=表成绩单[[#This Row],[考试日期]])*(表成绩单[总分]&lt;9E+307)*(表成绩单[总分]&gt;表成绩单[[#This Row],[总分]]))+1)</f>
        <v>260</v>
      </c>
    </row>
    <row r="1066" ht="28" customHeight="1" spans="4:23">
      <c r="D1066" s="31">
        <v>46003</v>
      </c>
      <c r="E1066" s="29">
        <v>19175992</v>
      </c>
      <c r="F1066" s="29" t="s">
        <v>59</v>
      </c>
      <c r="G1066" s="29" t="s">
        <v>480</v>
      </c>
      <c r="H1066" s="29">
        <v>106</v>
      </c>
      <c r="I1066" s="29">
        <v>69</v>
      </c>
      <c r="J1066" s="29">
        <v>74.5</v>
      </c>
      <c r="K1066" s="29">
        <v>97</v>
      </c>
      <c r="L1066" s="29">
        <v>92</v>
      </c>
      <c r="M1066" s="29">
        <v>65</v>
      </c>
      <c r="N1066" s="29">
        <v>76</v>
      </c>
      <c r="O1066" s="32">
        <v>579.5</v>
      </c>
      <c r="P1066" s="29" cm="1">
        <f t="array" ref="P1066">IF(表成绩单[[#This Row],[语文]]="","",SUMPRODUCT((表成绩单[考试日期]=表成绩单[[#This Row],[考试日期]])*(表成绩单[语文]&lt;9E+307)*(表成绩单[语文]&gt;表成绩单[[#This Row],[语文]]))+1)</f>
        <v>210</v>
      </c>
      <c r="Q1066" s="29" cm="1">
        <f t="array" ref="Q1066">IF(表成绩单[[#This Row],[数学]]="","",SUMPRODUCT((表成绩单[考试日期]=表成绩单[[#This Row],[考试日期]])*(表成绩单[数学]&lt;9E+307)*(表成绩单[数学]&gt;表成绩单[[#This Row],[数学]]))+1)</f>
        <v>437</v>
      </c>
      <c r="R1066" s="29" cm="1">
        <f t="array" ref="R1066">IF(表成绩单[[#This Row],[英语]]="","",SUMPRODUCT((表成绩单[考试日期]=表成绩单[[#This Row],[考试日期]])*(表成绩单[英语]&lt;9E+307)*(表成绩单[英语]&gt;表成绩单[[#This Row],[英语]]))+1)</f>
        <v>328</v>
      </c>
      <c r="S1066" s="29" cm="1">
        <f t="array" ref="S1066">IF(表成绩单[[#This Row],[物理]]="","",SUMPRODUCT((表成绩单[考试日期]=表成绩单[[#This Row],[考试日期]])*(表成绩单[物理]&lt;9E+307)*(表成绩单[物理]&gt;表成绩单[[#This Row],[物理]]))+1)</f>
        <v>43</v>
      </c>
      <c r="T1066" s="29" cm="1">
        <f t="array" ref="T1066">IF(表成绩单[[#This Row],[化学]]="","",SUMPRODUCT((表成绩单[考试日期]=表成绩单[[#This Row],[考试日期]])*(表成绩单[化学]&lt;9E+307)*(表成绩单[化学]&gt;表成绩单[[#This Row],[化学]]))+1)</f>
        <v>102</v>
      </c>
      <c r="U1066" s="29" cm="1">
        <f t="array" ref="U1066">IF(表成绩单[[#This Row],[政治]]="","",SUMPRODUCT((表成绩单[考试日期]=表成绩单[[#This Row],[考试日期]])*(表成绩单[政治]&lt;9E+307)*(表成绩单[政治]&gt;表成绩单[[#This Row],[政治]]))+1)</f>
        <v>314</v>
      </c>
      <c r="V1066" s="29" cm="1">
        <f t="array" ref="V1066">IF(表成绩单[[#This Row],[历史]]="","",SUMPRODUCT((表成绩单[考试日期]=表成绩单[[#This Row],[考试日期]])*(表成绩单[历史]&lt;9E+307)*(表成绩单[历史]&gt;表成绩单[[#This Row],[历史]]))+1)</f>
        <v>279</v>
      </c>
      <c r="W1066" s="29" cm="1">
        <f t="array" ref="W1066">IF(表成绩单[[#This Row],[总分]]="","",SUMPRODUCT((表成绩单[考试日期]=表成绩单[[#This Row],[考试日期]])*(表成绩单[总分]&lt;9E+307)*(表成绩单[总分]&gt;表成绩单[[#This Row],[总分]]))+1)</f>
        <v>260</v>
      </c>
    </row>
    <row r="1067" ht="28" customHeight="1" spans="4:23">
      <c r="D1067" s="31">
        <v>46003</v>
      </c>
      <c r="E1067" s="29">
        <v>19173277</v>
      </c>
      <c r="F1067" s="29" t="s">
        <v>61</v>
      </c>
      <c r="G1067" s="29" t="s">
        <v>387</v>
      </c>
      <c r="H1067" s="29">
        <v>95</v>
      </c>
      <c r="I1067" s="29">
        <v>101</v>
      </c>
      <c r="J1067" s="29">
        <v>74</v>
      </c>
      <c r="K1067" s="29">
        <v>98</v>
      </c>
      <c r="L1067" s="29">
        <v>77</v>
      </c>
      <c r="M1067" s="29">
        <v>68</v>
      </c>
      <c r="N1067" s="29">
        <v>66</v>
      </c>
      <c r="O1067" s="32">
        <v>579</v>
      </c>
      <c r="P1067" s="29" cm="1">
        <f t="array" ref="P1067">IF(表成绩单[[#This Row],[语文]]="","",SUMPRODUCT((表成绩单[考试日期]=表成绩单[[#This Row],[考试日期]])*(表成绩单[语文]&lt;9E+307)*(表成绩单[语文]&gt;表成绩单[[#This Row],[语文]]))+1)</f>
        <v>522</v>
      </c>
      <c r="Q1067" s="29" cm="1">
        <f t="array" ref="Q1067">IF(表成绩单[[#This Row],[数学]]="","",SUMPRODUCT((表成绩单[考试日期]=表成绩单[[#This Row],[考试日期]])*(表成绩单[数学]&lt;9E+307)*(表成绩单[数学]&gt;表成绩单[[#This Row],[数学]]))+1)</f>
        <v>68</v>
      </c>
      <c r="R1067" s="29" cm="1">
        <f t="array" ref="R1067">IF(表成绩单[[#This Row],[英语]]="","",SUMPRODUCT((表成绩单[考试日期]=表成绩单[[#This Row],[考试日期]])*(表成绩单[英语]&lt;9E+307)*(表成绩单[英语]&gt;表成绩单[[#This Row],[英语]]))+1)</f>
        <v>344</v>
      </c>
      <c r="S1067" s="29" cm="1">
        <f t="array" ref="S1067">IF(表成绩单[[#This Row],[物理]]="","",SUMPRODUCT((表成绩单[考试日期]=表成绩单[[#This Row],[考试日期]])*(表成绩单[物理]&lt;9E+307)*(表成绩单[物理]&gt;表成绩单[[#This Row],[物理]]))+1)</f>
        <v>26</v>
      </c>
      <c r="T1067" s="29" cm="1">
        <f t="array" ref="T1067">IF(表成绩单[[#This Row],[化学]]="","",SUMPRODUCT((表成绩单[考试日期]=表成绩单[[#This Row],[考试日期]])*(表成绩单[化学]&lt;9E+307)*(表成绩单[化学]&gt;表成绩单[[#This Row],[化学]]))+1)</f>
        <v>388</v>
      </c>
      <c r="U1067" s="29" cm="1">
        <f t="array" ref="U1067">IF(表成绩单[[#This Row],[政治]]="","",SUMPRODUCT((表成绩单[考试日期]=表成绩单[[#This Row],[考试日期]])*(表成绩单[政治]&lt;9E+307)*(表成绩单[政治]&gt;表成绩单[[#This Row],[政治]]))+1)</f>
        <v>237</v>
      </c>
      <c r="V1067" s="29" cm="1">
        <f t="array" ref="V1067">IF(表成绩单[[#This Row],[历史]]="","",SUMPRODUCT((表成绩单[考试日期]=表成绩单[[#This Row],[考试日期]])*(表成绩单[历史]&lt;9E+307)*(表成绩单[历史]&gt;表成绩单[[#This Row],[历史]]))+1)</f>
        <v>571</v>
      </c>
      <c r="W1067" s="29" cm="1">
        <f t="array" ref="W1067">IF(表成绩单[[#This Row],[总分]]="","",SUMPRODUCT((表成绩单[考试日期]=表成绩单[[#This Row],[考试日期]])*(表成绩单[总分]&lt;9E+307)*(表成绩单[总分]&gt;表成绩单[[#This Row],[总分]]))+1)</f>
        <v>262</v>
      </c>
    </row>
    <row r="1068" ht="28" customHeight="1" spans="4:23">
      <c r="D1068" s="31">
        <v>46003</v>
      </c>
      <c r="E1068" s="29">
        <v>19174469</v>
      </c>
      <c r="F1068" s="29" t="s">
        <v>73</v>
      </c>
      <c r="G1068" s="29" t="s">
        <v>327</v>
      </c>
      <c r="H1068" s="29">
        <v>107</v>
      </c>
      <c r="I1068" s="29">
        <v>76</v>
      </c>
      <c r="J1068" s="29">
        <v>83</v>
      </c>
      <c r="K1068" s="29">
        <v>97</v>
      </c>
      <c r="L1068" s="29">
        <v>78</v>
      </c>
      <c r="M1068" s="29">
        <v>63</v>
      </c>
      <c r="N1068" s="29">
        <v>75</v>
      </c>
      <c r="O1068" s="32">
        <v>579</v>
      </c>
      <c r="P1068" s="29" cm="1">
        <f t="array" ref="P1068">IF(表成绩单[[#This Row],[语文]]="","",SUMPRODUCT((表成绩单[考试日期]=表成绩单[[#This Row],[考试日期]])*(表成绩单[语文]&lt;9E+307)*(表成绩单[语文]&gt;表成绩单[[#This Row],[语文]]))+1)</f>
        <v>182</v>
      </c>
      <c r="Q1068" s="29" cm="1">
        <f t="array" ref="Q1068">IF(表成绩单[[#This Row],[数学]]="","",SUMPRODUCT((表成绩单[考试日期]=表成绩单[[#This Row],[考试日期]])*(表成绩单[数学]&lt;9E+307)*(表成绩单[数学]&gt;表成绩单[[#This Row],[数学]]))+1)</f>
        <v>356</v>
      </c>
      <c r="R1068" s="29" cm="1">
        <f t="array" ref="R1068">IF(表成绩单[[#This Row],[英语]]="","",SUMPRODUCT((表成绩单[考试日期]=表成绩单[[#This Row],[考试日期]])*(表成绩单[英语]&lt;9E+307)*(表成绩单[英语]&gt;表成绩单[[#This Row],[英语]]))+1)</f>
        <v>70</v>
      </c>
      <c r="S1068" s="29" cm="1">
        <f t="array" ref="S1068">IF(表成绩单[[#This Row],[物理]]="","",SUMPRODUCT((表成绩单[考试日期]=表成绩单[[#This Row],[考试日期]])*(表成绩单[物理]&lt;9E+307)*(表成绩单[物理]&gt;表成绩单[[#This Row],[物理]]))+1)</f>
        <v>43</v>
      </c>
      <c r="T1068" s="29" cm="1">
        <f t="array" ref="T1068">IF(表成绩单[[#This Row],[化学]]="","",SUMPRODUCT((表成绩单[考试日期]=表成绩单[[#This Row],[考试日期]])*(表成绩单[化学]&lt;9E+307)*(表成绩单[化学]&gt;表成绩单[[#This Row],[化学]]))+1)</f>
        <v>373</v>
      </c>
      <c r="U1068" s="29" cm="1">
        <f t="array" ref="U1068">IF(表成绩单[[#This Row],[政治]]="","",SUMPRODUCT((表成绩单[考试日期]=表成绩单[[#This Row],[考试日期]])*(表成绩单[政治]&lt;9E+307)*(表成绩单[政治]&gt;表成绩单[[#This Row],[政治]]))+1)</f>
        <v>360</v>
      </c>
      <c r="V1068" s="29" cm="1">
        <f t="array" ref="V1068">IF(表成绩单[[#This Row],[历史]]="","",SUMPRODUCT((表成绩单[考试日期]=表成绩单[[#This Row],[考试日期]])*(表成绩单[历史]&lt;9E+307)*(表成绩单[历史]&gt;表成绩单[[#This Row],[历史]]))+1)</f>
        <v>329</v>
      </c>
      <c r="W1068" s="29" cm="1">
        <f t="array" ref="W1068">IF(表成绩单[[#This Row],[总分]]="","",SUMPRODUCT((表成绩单[考试日期]=表成绩单[[#This Row],[考试日期]])*(表成绩单[总分]&lt;9E+307)*(表成绩单[总分]&gt;表成绩单[[#This Row],[总分]]))+1)</f>
        <v>262</v>
      </c>
    </row>
    <row r="1069" ht="28" customHeight="1" spans="4:23">
      <c r="D1069" s="31">
        <v>46003</v>
      </c>
      <c r="E1069" s="29">
        <v>19175394</v>
      </c>
      <c r="F1069" s="29" t="s">
        <v>74</v>
      </c>
      <c r="G1069" s="29" t="s">
        <v>417</v>
      </c>
      <c r="H1069" s="29">
        <v>98</v>
      </c>
      <c r="I1069" s="29">
        <v>87</v>
      </c>
      <c r="J1069" s="29">
        <v>69.5</v>
      </c>
      <c r="K1069" s="29">
        <v>99</v>
      </c>
      <c r="L1069" s="29">
        <v>96</v>
      </c>
      <c r="M1069" s="29">
        <v>57</v>
      </c>
      <c r="N1069" s="29">
        <v>72</v>
      </c>
      <c r="O1069" s="32">
        <v>578.5</v>
      </c>
      <c r="P1069" s="29" cm="1">
        <f t="array" ref="P1069">IF(表成绩单[[#This Row],[语文]]="","",SUMPRODUCT((表成绩单[考试日期]=表成绩单[[#This Row],[考试日期]])*(表成绩单[语文]&lt;9E+307)*(表成绩单[语文]&gt;表成绩单[[#This Row],[语文]]))+1)</f>
        <v>463</v>
      </c>
      <c r="Q1069" s="29" cm="1">
        <f t="array" ref="Q1069">IF(表成绩单[[#This Row],[数学]]="","",SUMPRODUCT((表成绩单[考试日期]=表成绩单[[#This Row],[考试日期]])*(表成绩单[数学]&lt;9E+307)*(表成绩单[数学]&gt;表成绩单[[#This Row],[数学]]))+1)</f>
        <v>223</v>
      </c>
      <c r="R1069" s="29" cm="1">
        <f t="array" ref="R1069">IF(表成绩单[[#This Row],[英语]]="","",SUMPRODUCT((表成绩单[考试日期]=表成绩单[[#This Row],[考试日期]])*(表成绩单[英语]&lt;9E+307)*(表成绩单[英语]&gt;表成绩单[[#This Row],[英语]]))+1)</f>
        <v>426</v>
      </c>
      <c r="S1069" s="29" cm="1">
        <f t="array" ref="S1069">IF(表成绩单[[#This Row],[物理]]="","",SUMPRODUCT((表成绩单[考试日期]=表成绩单[[#This Row],[考试日期]])*(表成绩单[物理]&lt;9E+307)*(表成绩单[物理]&gt;表成绩单[[#This Row],[物理]]))+1)</f>
        <v>9</v>
      </c>
      <c r="T1069" s="29" cm="1">
        <f t="array" ref="T1069">IF(表成绩单[[#This Row],[化学]]="","",SUMPRODUCT((表成绩单[考试日期]=表成绩单[[#This Row],[考试日期]])*(表成绩单[化学]&lt;9E+307)*(表成绩单[化学]&gt;表成绩单[[#This Row],[化学]]))+1)</f>
        <v>24</v>
      </c>
      <c r="U1069" s="29" cm="1">
        <f t="array" ref="U1069">IF(表成绩单[[#This Row],[政治]]="","",SUMPRODUCT((表成绩单[考试日期]=表成绩单[[#This Row],[考试日期]])*(表成绩单[政治]&lt;9E+307)*(表成绩单[政治]&gt;表成绩单[[#This Row],[政治]]))+1)</f>
        <v>474</v>
      </c>
      <c r="V1069" s="29" cm="1">
        <f t="array" ref="V1069">IF(表成绩单[[#This Row],[历史]]="","",SUMPRODUCT((表成绩单[考试日期]=表成绩单[[#This Row],[考试日期]])*(表成绩单[历史]&lt;9E+307)*(表成绩单[历史]&gt;表成绩单[[#This Row],[历史]]))+1)</f>
        <v>439</v>
      </c>
      <c r="W1069" s="29" cm="1">
        <f t="array" ref="W1069">IF(表成绩单[[#This Row],[总分]]="","",SUMPRODUCT((表成绩单[考试日期]=表成绩单[[#This Row],[考试日期]])*(表成绩单[总分]&lt;9E+307)*(表成绩单[总分]&gt;表成绩单[[#This Row],[总分]]))+1)</f>
        <v>264</v>
      </c>
    </row>
    <row r="1070" ht="28" customHeight="1" spans="4:23">
      <c r="D1070" s="31">
        <v>46003</v>
      </c>
      <c r="E1070" s="29">
        <v>19167651</v>
      </c>
      <c r="F1070" s="29" t="s">
        <v>1</v>
      </c>
      <c r="G1070" s="29" t="s">
        <v>259</v>
      </c>
      <c r="H1070" s="29">
        <v>106</v>
      </c>
      <c r="I1070" s="29">
        <v>78</v>
      </c>
      <c r="J1070" s="29">
        <v>80.5</v>
      </c>
      <c r="K1070" s="29">
        <v>98</v>
      </c>
      <c r="L1070" s="29">
        <v>79</v>
      </c>
      <c r="M1070" s="29">
        <v>61</v>
      </c>
      <c r="N1070" s="29">
        <v>75</v>
      </c>
      <c r="O1070" s="32">
        <v>577.5</v>
      </c>
      <c r="P1070" s="29" cm="1">
        <f t="array" ref="P1070">IF(表成绩单[[#This Row],[语文]]="","",SUMPRODUCT((表成绩单[考试日期]=表成绩单[[#This Row],[考试日期]])*(表成绩单[语文]&lt;9E+307)*(表成绩单[语文]&gt;表成绩单[[#This Row],[语文]]))+1)</f>
        <v>210</v>
      </c>
      <c r="Q1070" s="29" cm="1">
        <f t="array" ref="Q1070">IF(表成绩单[[#This Row],[数学]]="","",SUMPRODUCT((表成绩单[考试日期]=表成绩单[[#This Row],[考试日期]])*(表成绩单[数学]&lt;9E+307)*(表成绩单[数学]&gt;表成绩单[[#This Row],[数学]]))+1)</f>
        <v>335</v>
      </c>
      <c r="R1070" s="29" cm="1">
        <f t="array" ref="R1070">IF(表成绩单[[#This Row],[英语]]="","",SUMPRODUCT((表成绩单[考试日期]=表成绩单[[#This Row],[考试日期]])*(表成绩单[英语]&lt;9E+307)*(表成绩单[英语]&gt;表成绩单[[#This Row],[英语]]))+1)</f>
        <v>147</v>
      </c>
      <c r="S1070" s="29" cm="1">
        <f t="array" ref="S1070">IF(表成绩单[[#This Row],[物理]]="","",SUMPRODUCT((表成绩单[考试日期]=表成绩单[[#This Row],[考试日期]])*(表成绩单[物理]&lt;9E+307)*(表成绩单[物理]&gt;表成绩单[[#This Row],[物理]]))+1)</f>
        <v>26</v>
      </c>
      <c r="T1070" s="29" cm="1">
        <f t="array" ref="T1070">IF(表成绩单[[#This Row],[化学]]="","",SUMPRODUCT((表成绩单[考试日期]=表成绩单[[#This Row],[考试日期]])*(表成绩单[化学]&lt;9E+307)*(表成绩单[化学]&gt;表成绩单[[#This Row],[化学]]))+1)</f>
        <v>351</v>
      </c>
      <c r="U1070" s="29" cm="1">
        <f t="array" ref="U1070">IF(表成绩单[[#This Row],[政治]]="","",SUMPRODUCT((表成绩单[考试日期]=表成绩单[[#This Row],[考试日期]])*(表成绩单[政治]&lt;9E+307)*(表成绩单[政治]&gt;表成绩单[[#This Row],[政治]]))+1)</f>
        <v>400</v>
      </c>
      <c r="V1070" s="29" cm="1">
        <f t="array" ref="V1070">IF(表成绩单[[#This Row],[历史]]="","",SUMPRODUCT((表成绩单[考试日期]=表成绩单[[#This Row],[考试日期]])*(表成绩单[历史]&lt;9E+307)*(表成绩单[历史]&gt;表成绩单[[#This Row],[历史]]))+1)</f>
        <v>329</v>
      </c>
      <c r="W1070" s="29" cm="1">
        <f t="array" ref="W1070">IF(表成绩单[[#This Row],[总分]]="","",SUMPRODUCT((表成绩单[考试日期]=表成绩单[[#This Row],[考试日期]])*(表成绩单[总分]&lt;9E+307)*(表成绩单[总分]&gt;表成绩单[[#This Row],[总分]]))+1)</f>
        <v>265</v>
      </c>
    </row>
    <row r="1071" ht="28" customHeight="1" spans="4:23">
      <c r="D1071" s="31">
        <v>46003</v>
      </c>
      <c r="E1071" s="29">
        <v>19171090</v>
      </c>
      <c r="F1071" s="29" t="s">
        <v>67</v>
      </c>
      <c r="G1071" s="29" t="s">
        <v>347</v>
      </c>
      <c r="H1071" s="29">
        <v>109</v>
      </c>
      <c r="I1071" s="29">
        <v>95</v>
      </c>
      <c r="J1071" s="29">
        <v>77.5</v>
      </c>
      <c r="K1071" s="29">
        <v>81</v>
      </c>
      <c r="L1071" s="29">
        <v>80</v>
      </c>
      <c r="M1071" s="29">
        <v>62</v>
      </c>
      <c r="N1071" s="29">
        <v>73</v>
      </c>
      <c r="O1071" s="32">
        <v>577.5</v>
      </c>
      <c r="P1071" s="29" cm="1">
        <f t="array" ref="P1071">IF(表成绩单[[#This Row],[语文]]="","",SUMPRODUCT((表成绩单[考试日期]=表成绩单[[#This Row],[考试日期]])*(表成绩单[语文]&lt;9E+307)*(表成绩单[语文]&gt;表成绩单[[#This Row],[语文]]))+1)</f>
        <v>111</v>
      </c>
      <c r="Q1071" s="29" cm="1">
        <f t="array" ref="Q1071">IF(表成绩单[[#This Row],[数学]]="","",SUMPRODUCT((表成绩单[考试日期]=表成绩单[[#This Row],[考试日期]])*(表成绩单[数学]&lt;9E+307)*(表成绩单[数学]&gt;表成绩单[[#This Row],[数学]]))+1)</f>
        <v>122</v>
      </c>
      <c r="R1071" s="29" cm="1">
        <f t="array" ref="R1071">IF(表成绩单[[#This Row],[英语]]="","",SUMPRODUCT((表成绩单[考试日期]=表成绩单[[#This Row],[考试日期]])*(表成绩单[英语]&lt;9E+307)*(表成绩单[英语]&gt;表成绩单[[#This Row],[英语]]))+1)</f>
        <v>230</v>
      </c>
      <c r="S1071" s="29" cm="1">
        <f t="array" ref="S1071">IF(表成绩单[[#This Row],[物理]]="","",SUMPRODUCT((表成绩单[考试日期]=表成绩单[[#This Row],[考试日期]])*(表成绩单[物理]&lt;9E+307)*(表成绩单[物理]&gt;表成绩单[[#This Row],[物理]]))+1)</f>
        <v>405</v>
      </c>
      <c r="T1071" s="29" cm="1">
        <f t="array" ref="T1071">IF(表成绩单[[#This Row],[化学]]="","",SUMPRODUCT((表成绩单[考试日期]=表成绩单[[#This Row],[考试日期]])*(表成绩单[化学]&lt;9E+307)*(表成绩单[化学]&gt;表成绩单[[#This Row],[化学]]))+1)</f>
        <v>327</v>
      </c>
      <c r="U1071" s="29" cm="1">
        <f t="array" ref="U1071">IF(表成绩单[[#This Row],[政治]]="","",SUMPRODUCT((表成绩单[考试日期]=表成绩单[[#This Row],[考试日期]])*(表成绩单[政治]&lt;9E+307)*(表成绩单[政治]&gt;表成绩单[[#This Row],[政治]]))+1)</f>
        <v>381</v>
      </c>
      <c r="V1071" s="29" cm="1">
        <f t="array" ref="V1071">IF(表成绩单[[#This Row],[历史]]="","",SUMPRODUCT((表成绩单[考试日期]=表成绩单[[#This Row],[考试日期]])*(表成绩单[历史]&lt;9E+307)*(表成绩单[历史]&gt;表成绩单[[#This Row],[历史]]))+1)</f>
        <v>403</v>
      </c>
      <c r="W1071" s="29" cm="1">
        <f t="array" ref="W1071">IF(表成绩单[[#This Row],[总分]]="","",SUMPRODUCT((表成绩单[考试日期]=表成绩单[[#This Row],[考试日期]])*(表成绩单[总分]&lt;9E+307)*(表成绩单[总分]&gt;表成绩单[[#This Row],[总分]]))+1)</f>
        <v>265</v>
      </c>
    </row>
    <row r="1072" ht="28" customHeight="1" spans="4:23">
      <c r="D1072" s="31">
        <v>46003</v>
      </c>
      <c r="E1072" s="29">
        <v>19177673</v>
      </c>
      <c r="F1072" s="29" t="s">
        <v>63</v>
      </c>
      <c r="G1072" s="29" t="s">
        <v>423</v>
      </c>
      <c r="H1072" s="29">
        <v>104</v>
      </c>
      <c r="I1072" s="29">
        <v>89</v>
      </c>
      <c r="J1072" s="29">
        <v>73.5</v>
      </c>
      <c r="K1072" s="29">
        <v>94</v>
      </c>
      <c r="L1072" s="29">
        <v>75</v>
      </c>
      <c r="M1072" s="29">
        <v>63</v>
      </c>
      <c r="N1072" s="29">
        <v>79</v>
      </c>
      <c r="O1072" s="32">
        <v>577.5</v>
      </c>
      <c r="P1072" s="29" cm="1">
        <f t="array" ref="P1072">IF(表成绩单[[#This Row],[语文]]="","",SUMPRODUCT((表成绩单[考试日期]=表成绩单[[#This Row],[考试日期]])*(表成绩单[语文]&lt;9E+307)*(表成绩单[语文]&gt;表成绩单[[#This Row],[语文]]))+1)</f>
        <v>290</v>
      </c>
      <c r="Q1072" s="29" cm="1">
        <f t="array" ref="Q1072">IF(表成绩单[[#This Row],[数学]]="","",SUMPRODUCT((表成绩单[考试日期]=表成绩单[[#This Row],[考试日期]])*(表成绩单[数学]&lt;9E+307)*(表成绩单[数学]&gt;表成绩单[[#This Row],[数学]]))+1)</f>
        <v>201</v>
      </c>
      <c r="R1072" s="29" cm="1">
        <f t="array" ref="R1072">IF(表成绩单[[#This Row],[英语]]="","",SUMPRODUCT((表成绩单[考试日期]=表成绩单[[#This Row],[考试日期]])*(表成绩单[英语]&lt;9E+307)*(表成绩单[英语]&gt;表成绩单[[#This Row],[英语]]))+1)</f>
        <v>355</v>
      </c>
      <c r="S1072" s="29" cm="1">
        <f t="array" ref="S1072">IF(表成绩单[[#This Row],[物理]]="","",SUMPRODUCT((表成绩单[考试日期]=表成绩单[[#This Row],[考试日期]])*(表成绩单[物理]&lt;9E+307)*(表成绩单[物理]&gt;表成绩单[[#This Row],[物理]]))+1)</f>
        <v>125</v>
      </c>
      <c r="T1072" s="29" cm="1">
        <f t="array" ref="T1072">IF(表成绩单[[#This Row],[化学]]="","",SUMPRODUCT((表成绩单[考试日期]=表成绩单[[#This Row],[考试日期]])*(表成绩单[化学]&lt;9E+307)*(表成绩单[化学]&gt;表成绩单[[#This Row],[化学]]))+1)</f>
        <v>421</v>
      </c>
      <c r="U1072" s="29" cm="1">
        <f t="array" ref="U1072">IF(表成绩单[[#This Row],[政治]]="","",SUMPRODUCT((表成绩单[考试日期]=表成绩单[[#This Row],[考试日期]])*(表成绩单[政治]&lt;9E+307)*(表成绩单[政治]&gt;表成绩单[[#This Row],[政治]]))+1)</f>
        <v>360</v>
      </c>
      <c r="V1072" s="29" cm="1">
        <f t="array" ref="V1072">IF(表成绩单[[#This Row],[历史]]="","",SUMPRODUCT((表成绩单[考试日期]=表成绩单[[#This Row],[考试日期]])*(表成绩单[历史]&lt;9E+307)*(表成绩单[历史]&gt;表成绩单[[#This Row],[历史]]))+1)</f>
        <v>149</v>
      </c>
      <c r="W1072" s="29" cm="1">
        <f t="array" ref="W1072">IF(表成绩单[[#This Row],[总分]]="","",SUMPRODUCT((表成绩单[考试日期]=表成绩单[[#This Row],[考试日期]])*(表成绩单[总分]&lt;9E+307)*(表成绩单[总分]&gt;表成绩单[[#This Row],[总分]]))+1)</f>
        <v>265</v>
      </c>
    </row>
    <row r="1073" ht="28" customHeight="1" spans="4:23">
      <c r="D1073" s="31">
        <v>46003</v>
      </c>
      <c r="E1073" s="29">
        <v>19173797</v>
      </c>
      <c r="F1073" s="29" t="s">
        <v>65</v>
      </c>
      <c r="G1073" s="29" t="s">
        <v>469</v>
      </c>
      <c r="H1073" s="29">
        <v>92</v>
      </c>
      <c r="I1073" s="29">
        <v>84</v>
      </c>
      <c r="J1073" s="29">
        <v>69</v>
      </c>
      <c r="K1073" s="29">
        <v>95</v>
      </c>
      <c r="L1073" s="29">
        <v>93</v>
      </c>
      <c r="M1073" s="29">
        <v>69</v>
      </c>
      <c r="N1073" s="29">
        <v>75</v>
      </c>
      <c r="O1073" s="32">
        <v>577</v>
      </c>
      <c r="P1073" s="29" cm="1">
        <f t="array" ref="P1073">IF(表成绩单[[#This Row],[语文]]="","",SUMPRODUCT((表成绩单[考试日期]=表成绩单[[#This Row],[考试日期]])*(表成绩单[语文]&lt;9E+307)*(表成绩单[语文]&gt;表成绩单[[#This Row],[语文]]))+1)</f>
        <v>569</v>
      </c>
      <c r="Q1073" s="29" cm="1">
        <f t="array" ref="Q1073">IF(表成绩单[[#This Row],[数学]]="","",SUMPRODUCT((表成绩单[考试日期]=表成绩单[[#This Row],[考试日期]])*(表成绩单[数学]&lt;9E+307)*(表成绩单[数学]&gt;表成绩单[[#This Row],[数学]]))+1)</f>
        <v>259</v>
      </c>
      <c r="R1073" s="29" cm="1">
        <f t="array" ref="R1073">IF(表成绩单[[#This Row],[英语]]="","",SUMPRODUCT((表成绩单[考试日期]=表成绩单[[#This Row],[考试日期]])*(表成绩单[英语]&lt;9E+307)*(表成绩单[英语]&gt;表成绩单[[#This Row],[英语]]))+1)</f>
        <v>434</v>
      </c>
      <c r="S1073" s="29" cm="1">
        <f t="array" ref="S1073">IF(表成绩单[[#This Row],[物理]]="","",SUMPRODUCT((表成绩单[考试日期]=表成绩单[[#This Row],[考试日期]])*(表成绩单[物理]&lt;9E+307)*(表成绩单[物理]&gt;表成绩单[[#This Row],[物理]]))+1)</f>
        <v>97</v>
      </c>
      <c r="T1073" s="29" cm="1">
        <f t="array" ref="T1073">IF(表成绩单[[#This Row],[化学]]="","",SUMPRODUCT((表成绩单[考试日期]=表成绩单[[#This Row],[考试日期]])*(表成绩单[化学]&lt;9E+307)*(表成绩单[化学]&gt;表成绩单[[#This Row],[化学]]))+1)</f>
        <v>73</v>
      </c>
      <c r="U1073" s="29" cm="1">
        <f t="array" ref="U1073">IF(表成绩单[[#This Row],[政治]]="","",SUMPRODUCT((表成绩单[考试日期]=表成绩单[[#This Row],[考试日期]])*(表成绩单[政治]&lt;9E+307)*(表成绩单[政治]&gt;表成绩单[[#This Row],[政治]]))+1)</f>
        <v>212</v>
      </c>
      <c r="V1073" s="29" cm="1">
        <f t="array" ref="V1073">IF(表成绩单[[#This Row],[历史]]="","",SUMPRODUCT((表成绩单[考试日期]=表成绩单[[#This Row],[考试日期]])*(表成绩单[历史]&lt;9E+307)*(表成绩单[历史]&gt;表成绩单[[#This Row],[历史]]))+1)</f>
        <v>329</v>
      </c>
      <c r="W1073" s="29" cm="1">
        <f t="array" ref="W1073">IF(表成绩单[[#This Row],[总分]]="","",SUMPRODUCT((表成绩单[考试日期]=表成绩单[[#This Row],[考试日期]])*(表成绩单[总分]&lt;9E+307)*(表成绩单[总分]&gt;表成绩单[[#This Row],[总分]]))+1)</f>
        <v>268</v>
      </c>
    </row>
    <row r="1074" ht="28" customHeight="1" spans="4:23">
      <c r="D1074" s="31">
        <v>46003</v>
      </c>
      <c r="E1074" s="29">
        <v>19174437</v>
      </c>
      <c r="F1074" s="29" t="s">
        <v>73</v>
      </c>
      <c r="G1074" s="29" t="s">
        <v>453</v>
      </c>
      <c r="H1074" s="29">
        <v>102</v>
      </c>
      <c r="I1074" s="29">
        <v>86</v>
      </c>
      <c r="J1074" s="29">
        <v>83</v>
      </c>
      <c r="K1074" s="29">
        <v>85</v>
      </c>
      <c r="L1074" s="29">
        <v>84</v>
      </c>
      <c r="M1074" s="29">
        <v>64</v>
      </c>
      <c r="N1074" s="29">
        <v>73</v>
      </c>
      <c r="O1074" s="32">
        <v>577</v>
      </c>
      <c r="P1074" s="29" cm="1">
        <f t="array" ref="P1074">IF(表成绩单[[#This Row],[语文]]="","",SUMPRODUCT((表成绩单[考试日期]=表成绩单[[#This Row],[考试日期]])*(表成绩单[语文]&lt;9E+307)*(表成绩单[语文]&gt;表成绩单[[#This Row],[语文]]))+1)</f>
        <v>366</v>
      </c>
      <c r="Q1074" s="29" cm="1">
        <f t="array" ref="Q1074">IF(表成绩单[[#This Row],[数学]]="","",SUMPRODUCT((表成绩单[考试日期]=表成绩单[[#This Row],[考试日期]])*(表成绩单[数学]&lt;9E+307)*(表成绩单[数学]&gt;表成绩单[[#This Row],[数学]]))+1)</f>
        <v>231</v>
      </c>
      <c r="R1074" s="29" cm="1">
        <f t="array" ref="R1074">IF(表成绩单[[#This Row],[英语]]="","",SUMPRODUCT((表成绩单[考试日期]=表成绩单[[#This Row],[考试日期]])*(表成绩单[英语]&lt;9E+307)*(表成绩单[英语]&gt;表成绩单[[#This Row],[英语]]))+1)</f>
        <v>70</v>
      </c>
      <c r="S1074" s="29" cm="1">
        <f t="array" ref="S1074">IF(表成绩单[[#This Row],[物理]]="","",SUMPRODUCT((表成绩单[考试日期]=表成绩单[[#This Row],[考试日期]])*(表成绩单[物理]&lt;9E+307)*(表成绩单[物理]&gt;表成绩单[[#This Row],[物理]]))+1)</f>
        <v>348</v>
      </c>
      <c r="T1074" s="29" cm="1">
        <f t="array" ref="T1074">IF(表成绩单[[#This Row],[化学]]="","",SUMPRODUCT((表成绩单[考试日期]=表成绩单[[#This Row],[考试日期]])*(表成绩单[化学]&lt;9E+307)*(表成绩单[化学]&gt;表成绩单[[#This Row],[化学]]))+1)</f>
        <v>258</v>
      </c>
      <c r="U1074" s="29" cm="1">
        <f t="array" ref="U1074">IF(表成绩单[[#This Row],[政治]]="","",SUMPRODUCT((表成绩单[考试日期]=表成绩单[[#This Row],[考试日期]])*(表成绩单[政治]&lt;9E+307)*(表成绩单[政治]&gt;表成绩单[[#This Row],[政治]]))+1)</f>
        <v>337</v>
      </c>
      <c r="V1074" s="29" cm="1">
        <f t="array" ref="V1074">IF(表成绩单[[#This Row],[历史]]="","",SUMPRODUCT((表成绩单[考试日期]=表成绩单[[#This Row],[考试日期]])*(表成绩单[历史]&lt;9E+307)*(表成绩单[历史]&gt;表成绩单[[#This Row],[历史]]))+1)</f>
        <v>403</v>
      </c>
      <c r="W1074" s="29" cm="1">
        <f t="array" ref="W1074">IF(表成绩单[[#This Row],[总分]]="","",SUMPRODUCT((表成绩单[考试日期]=表成绩单[[#This Row],[考试日期]])*(表成绩单[总分]&lt;9E+307)*(表成绩单[总分]&gt;表成绩单[[#This Row],[总分]]))+1)</f>
        <v>268</v>
      </c>
    </row>
    <row r="1075" ht="28" customHeight="1" spans="4:23">
      <c r="D1075" s="31">
        <v>46003</v>
      </c>
      <c r="E1075" s="29">
        <v>19176881</v>
      </c>
      <c r="F1075" s="29" t="s">
        <v>71</v>
      </c>
      <c r="G1075" s="29" t="s">
        <v>446</v>
      </c>
      <c r="H1075" s="29">
        <v>110</v>
      </c>
      <c r="I1075" s="29">
        <v>89</v>
      </c>
      <c r="J1075" s="29">
        <v>74</v>
      </c>
      <c r="K1075" s="29">
        <v>86</v>
      </c>
      <c r="L1075" s="29">
        <v>74</v>
      </c>
      <c r="M1075" s="29">
        <v>66</v>
      </c>
      <c r="N1075" s="29">
        <v>78</v>
      </c>
      <c r="O1075" s="32">
        <v>577</v>
      </c>
      <c r="P1075" s="29" cm="1">
        <f t="array" ref="P1075">IF(表成绩单[[#This Row],[语文]]="","",SUMPRODUCT((表成绩单[考试日期]=表成绩单[[#This Row],[考试日期]])*(表成绩单[语文]&lt;9E+307)*(表成绩单[语文]&gt;表成绩单[[#This Row],[语文]]))+1)</f>
        <v>84</v>
      </c>
      <c r="Q1075" s="29" cm="1">
        <f t="array" ref="Q1075">IF(表成绩单[[#This Row],[数学]]="","",SUMPRODUCT((表成绩单[考试日期]=表成绩单[[#This Row],[考试日期]])*(表成绩单[数学]&lt;9E+307)*(表成绩单[数学]&gt;表成绩单[[#This Row],[数学]]))+1)</f>
        <v>201</v>
      </c>
      <c r="R1075" s="29" cm="1">
        <f t="array" ref="R1075">IF(表成绩单[[#This Row],[英语]]="","",SUMPRODUCT((表成绩单[考试日期]=表成绩单[[#This Row],[考试日期]])*(表成绩单[英语]&lt;9E+307)*(表成绩单[英语]&gt;表成绩单[[#This Row],[英语]]))+1)</f>
        <v>344</v>
      </c>
      <c r="S1075" s="29" cm="1">
        <f t="array" ref="S1075">IF(表成绩单[[#This Row],[物理]]="","",SUMPRODUCT((表成绩单[考试日期]=表成绩单[[#This Row],[考试日期]])*(表成绩单[物理]&lt;9E+307)*(表成绩单[物理]&gt;表成绩单[[#This Row],[物理]]))+1)</f>
        <v>336</v>
      </c>
      <c r="T1075" s="29" cm="1">
        <f t="array" ref="T1075">IF(表成绩单[[#This Row],[化学]]="","",SUMPRODUCT((表成绩单[考试日期]=表成绩单[[#This Row],[考试日期]])*(表成绩单[化学]&lt;9E+307)*(表成绩单[化学]&gt;表成绩单[[#This Row],[化学]]))+1)</f>
        <v>440</v>
      </c>
      <c r="U1075" s="29" cm="1">
        <f t="array" ref="U1075">IF(表成绩单[[#This Row],[政治]]="","",SUMPRODUCT((表成绩单[考试日期]=表成绩单[[#This Row],[考试日期]])*(表成绩单[政治]&lt;9E+307)*(表成绩单[政治]&gt;表成绩单[[#This Row],[政治]]))+1)</f>
        <v>289</v>
      </c>
      <c r="V1075" s="29" cm="1">
        <f t="array" ref="V1075">IF(表成绩单[[#This Row],[历史]]="","",SUMPRODUCT((表成绩单[考试日期]=表成绩单[[#This Row],[考试日期]])*(表成绩单[历史]&lt;9E+307)*(表成绩单[历史]&gt;表成绩单[[#This Row],[历史]]))+1)</f>
        <v>190</v>
      </c>
      <c r="W1075" s="29" cm="1">
        <f t="array" ref="W1075">IF(表成绩单[[#This Row],[总分]]="","",SUMPRODUCT((表成绩单[考试日期]=表成绩单[[#This Row],[考试日期]])*(表成绩单[总分]&lt;9E+307)*(表成绩单[总分]&gt;表成绩单[[#This Row],[总分]]))+1)</f>
        <v>268</v>
      </c>
    </row>
    <row r="1076" ht="28" customHeight="1" spans="4:23">
      <c r="D1076" s="31">
        <v>46003</v>
      </c>
      <c r="E1076" s="29">
        <v>19173793</v>
      </c>
      <c r="F1076" s="29" t="s">
        <v>65</v>
      </c>
      <c r="G1076" s="29" t="s">
        <v>295</v>
      </c>
      <c r="H1076" s="29">
        <v>105</v>
      </c>
      <c r="I1076" s="29">
        <v>77</v>
      </c>
      <c r="J1076" s="29">
        <v>79.5</v>
      </c>
      <c r="K1076" s="29">
        <v>84</v>
      </c>
      <c r="L1076" s="29">
        <v>89</v>
      </c>
      <c r="M1076" s="29">
        <v>63</v>
      </c>
      <c r="N1076" s="29">
        <v>79</v>
      </c>
      <c r="O1076" s="32">
        <v>576.5</v>
      </c>
      <c r="P1076" s="29" cm="1">
        <f t="array" ref="P1076">IF(表成绩单[[#This Row],[语文]]="","",SUMPRODUCT((表成绩单[考试日期]=表成绩单[[#This Row],[考试日期]])*(表成绩单[语文]&lt;9E+307)*(表成绩单[语文]&gt;表成绩单[[#This Row],[语文]]))+1)</f>
        <v>247</v>
      </c>
      <c r="Q1076" s="29" cm="1">
        <f t="array" ref="Q1076">IF(表成绩单[[#This Row],[数学]]="","",SUMPRODUCT((表成绩单[考试日期]=表成绩单[[#This Row],[考试日期]])*(表成绩单[数学]&lt;9E+307)*(表成绩单[数学]&gt;表成绩单[[#This Row],[数学]]))+1)</f>
        <v>343</v>
      </c>
      <c r="R1076" s="29" cm="1">
        <f t="array" ref="R1076">IF(表成绩单[[#This Row],[英语]]="","",SUMPRODUCT((表成绩单[考试日期]=表成绩单[[#This Row],[考试日期]])*(表成绩单[英语]&lt;9E+307)*(表成绩单[英语]&gt;表成绩单[[#This Row],[英语]]))+1)</f>
        <v>180</v>
      </c>
      <c r="S1076" s="29" cm="1">
        <f t="array" ref="S1076">IF(表成绩单[[#This Row],[物理]]="","",SUMPRODUCT((表成绩单[考试日期]=表成绩单[[#This Row],[考试日期]])*(表成绩单[物理]&lt;9E+307)*(表成绩单[物理]&gt;表成绩单[[#This Row],[物理]]))+1)</f>
        <v>368</v>
      </c>
      <c r="T1076" s="29" cm="1">
        <f t="array" ref="T1076">IF(表成绩单[[#This Row],[化学]]="","",SUMPRODUCT((表成绩单[考试日期]=表成绩单[[#This Row],[考试日期]])*(表成绩单[化学]&lt;9E+307)*(表成绩单[化学]&gt;表成绩单[[#This Row],[化学]]))+1)</f>
        <v>157</v>
      </c>
      <c r="U1076" s="29" cm="1">
        <f t="array" ref="U1076">IF(表成绩单[[#This Row],[政治]]="","",SUMPRODUCT((表成绩单[考试日期]=表成绩单[[#This Row],[考试日期]])*(表成绩单[政治]&lt;9E+307)*(表成绩单[政治]&gt;表成绩单[[#This Row],[政治]]))+1)</f>
        <v>360</v>
      </c>
      <c r="V1076" s="29" cm="1">
        <f t="array" ref="V1076">IF(表成绩单[[#This Row],[历史]]="","",SUMPRODUCT((表成绩单[考试日期]=表成绩单[[#This Row],[考试日期]])*(表成绩单[历史]&lt;9E+307)*(表成绩单[历史]&gt;表成绩单[[#This Row],[历史]]))+1)</f>
        <v>149</v>
      </c>
      <c r="W1076" s="29" cm="1">
        <f t="array" ref="W1076">IF(表成绩单[[#This Row],[总分]]="","",SUMPRODUCT((表成绩单[考试日期]=表成绩单[[#This Row],[考试日期]])*(表成绩单[总分]&lt;9E+307)*(表成绩单[总分]&gt;表成绩单[[#This Row],[总分]]))+1)</f>
        <v>271</v>
      </c>
    </row>
    <row r="1077" ht="28" customHeight="1" spans="4:23">
      <c r="D1077" s="31">
        <v>46003</v>
      </c>
      <c r="E1077" s="29">
        <v>19174780</v>
      </c>
      <c r="F1077" s="29" t="s">
        <v>69</v>
      </c>
      <c r="G1077" s="29" t="s">
        <v>370</v>
      </c>
      <c r="H1077" s="29">
        <v>106</v>
      </c>
      <c r="I1077" s="29">
        <v>77</v>
      </c>
      <c r="J1077" s="29">
        <v>72.5</v>
      </c>
      <c r="K1077" s="29">
        <v>95</v>
      </c>
      <c r="L1077" s="29">
        <v>92</v>
      </c>
      <c r="M1077" s="29">
        <v>58</v>
      </c>
      <c r="N1077" s="29">
        <v>76</v>
      </c>
      <c r="O1077" s="32">
        <v>576.5</v>
      </c>
      <c r="P1077" s="29" cm="1">
        <f t="array" ref="P1077">IF(表成绩单[[#This Row],[语文]]="","",SUMPRODUCT((表成绩单[考试日期]=表成绩单[[#This Row],[考试日期]])*(表成绩单[语文]&lt;9E+307)*(表成绩单[语文]&gt;表成绩单[[#This Row],[语文]]))+1)</f>
        <v>210</v>
      </c>
      <c r="Q1077" s="29" cm="1">
        <f t="array" ref="Q1077">IF(表成绩单[[#This Row],[数学]]="","",SUMPRODUCT((表成绩单[考试日期]=表成绩单[[#This Row],[考试日期]])*(表成绩单[数学]&lt;9E+307)*(表成绩单[数学]&gt;表成绩单[[#This Row],[数学]]))+1)</f>
        <v>343</v>
      </c>
      <c r="R1077" s="29" cm="1">
        <f t="array" ref="R1077">IF(表成绩单[[#This Row],[英语]]="","",SUMPRODUCT((表成绩单[考试日期]=表成绩单[[#This Row],[考试日期]])*(表成绩单[英语]&lt;9E+307)*(表成绩单[英语]&gt;表成绩单[[#This Row],[英语]]))+1)</f>
        <v>373</v>
      </c>
      <c r="S1077" s="29" cm="1">
        <f t="array" ref="S1077">IF(表成绩单[[#This Row],[物理]]="","",SUMPRODUCT((表成绩单[考试日期]=表成绩单[[#This Row],[考试日期]])*(表成绩单[物理]&lt;9E+307)*(表成绩单[物理]&gt;表成绩单[[#This Row],[物理]]))+1)</f>
        <v>97</v>
      </c>
      <c r="T1077" s="29" cm="1">
        <f t="array" ref="T1077">IF(表成绩单[[#This Row],[化学]]="","",SUMPRODUCT((表成绩单[考试日期]=表成绩单[[#This Row],[考试日期]])*(表成绩单[化学]&lt;9E+307)*(表成绩单[化学]&gt;表成绩单[[#This Row],[化学]]))+1)</f>
        <v>102</v>
      </c>
      <c r="U1077" s="29" cm="1">
        <f t="array" ref="U1077">IF(表成绩单[[#This Row],[政治]]="","",SUMPRODUCT((表成绩单[考试日期]=表成绩单[[#This Row],[考试日期]])*(表成绩单[政治]&lt;9E+307)*(表成绩单[政治]&gt;表成绩单[[#This Row],[政治]]))+1)</f>
        <v>454</v>
      </c>
      <c r="V1077" s="29" cm="1">
        <f t="array" ref="V1077">IF(表成绩单[[#This Row],[历史]]="","",SUMPRODUCT((表成绩单[考试日期]=表成绩单[[#This Row],[考试日期]])*(表成绩单[历史]&lt;9E+307)*(表成绩单[历史]&gt;表成绩单[[#This Row],[历史]]))+1)</f>
        <v>279</v>
      </c>
      <c r="W1077" s="29" cm="1">
        <f t="array" ref="W1077">IF(表成绩单[[#This Row],[总分]]="","",SUMPRODUCT((表成绩单[考试日期]=表成绩单[[#This Row],[考试日期]])*(表成绩单[总分]&lt;9E+307)*(表成绩单[总分]&gt;表成绩单[[#This Row],[总分]]))+1)</f>
        <v>271</v>
      </c>
    </row>
    <row r="1078" ht="28" customHeight="1" spans="4:23">
      <c r="D1078" s="31">
        <v>46003</v>
      </c>
      <c r="E1078" s="29">
        <v>19175635</v>
      </c>
      <c r="F1078" s="29" t="s">
        <v>66</v>
      </c>
      <c r="G1078" s="29" t="s">
        <v>382</v>
      </c>
      <c r="H1078" s="29">
        <v>100</v>
      </c>
      <c r="I1078" s="29">
        <v>92</v>
      </c>
      <c r="J1078" s="29">
        <v>80.5</v>
      </c>
      <c r="K1078" s="29">
        <v>94</v>
      </c>
      <c r="L1078" s="29">
        <v>79</v>
      </c>
      <c r="M1078" s="29">
        <v>61</v>
      </c>
      <c r="N1078" s="29">
        <v>70</v>
      </c>
      <c r="O1078" s="32">
        <v>576.5</v>
      </c>
      <c r="P1078" s="29" cm="1">
        <f t="array" ref="P1078">IF(表成绩单[[#This Row],[语文]]="","",SUMPRODUCT((表成绩单[考试日期]=表成绩单[[#This Row],[考试日期]])*(表成绩单[语文]&lt;9E+307)*(表成绩单[语文]&gt;表成绩单[[#This Row],[语文]]))+1)</f>
        <v>414</v>
      </c>
      <c r="Q1078" s="29" cm="1">
        <f t="array" ref="Q1078">IF(表成绩单[[#This Row],[数学]]="","",SUMPRODUCT((表成绩单[考试日期]=表成绩单[[#This Row],[考试日期]])*(表成绩单[数学]&lt;9E+307)*(表成绩单[数学]&gt;表成绩单[[#This Row],[数学]]))+1)</f>
        <v>170</v>
      </c>
      <c r="R1078" s="29" cm="1">
        <f t="array" ref="R1078">IF(表成绩单[[#This Row],[英语]]="","",SUMPRODUCT((表成绩单[考试日期]=表成绩单[[#This Row],[考试日期]])*(表成绩单[英语]&lt;9E+307)*(表成绩单[英语]&gt;表成绩单[[#This Row],[英语]]))+1)</f>
        <v>147</v>
      </c>
      <c r="S1078" s="29" cm="1">
        <f t="array" ref="S1078">IF(表成绩单[[#This Row],[物理]]="","",SUMPRODUCT((表成绩单[考试日期]=表成绩单[[#This Row],[考试日期]])*(表成绩单[物理]&lt;9E+307)*(表成绩单[物理]&gt;表成绩单[[#This Row],[物理]]))+1)</f>
        <v>125</v>
      </c>
      <c r="T1078" s="29" cm="1">
        <f t="array" ref="T1078">IF(表成绩单[[#This Row],[化学]]="","",SUMPRODUCT((表成绩单[考试日期]=表成绩单[[#This Row],[考试日期]])*(表成绩单[化学]&lt;9E+307)*(表成绩单[化学]&gt;表成绩单[[#This Row],[化学]]))+1)</f>
        <v>351</v>
      </c>
      <c r="U1078" s="29" cm="1">
        <f t="array" ref="U1078">IF(表成绩单[[#This Row],[政治]]="","",SUMPRODUCT((表成绩单[考试日期]=表成绩单[[#This Row],[考试日期]])*(表成绩单[政治]&lt;9E+307)*(表成绩单[政治]&gt;表成绩单[[#This Row],[政治]]))+1)</f>
        <v>400</v>
      </c>
      <c r="V1078" s="29" cm="1">
        <f t="array" ref="V1078">IF(表成绩单[[#This Row],[历史]]="","",SUMPRODUCT((表成绩单[考试日期]=表成绩单[[#This Row],[考试日期]])*(表成绩单[历史]&lt;9E+307)*(表成绩单[历史]&gt;表成绩单[[#This Row],[历史]]))+1)</f>
        <v>499</v>
      </c>
      <c r="W1078" s="29" cm="1">
        <f t="array" ref="W1078">IF(表成绩单[[#This Row],[总分]]="","",SUMPRODUCT((表成绩单[考试日期]=表成绩单[[#This Row],[考试日期]])*(表成绩单[总分]&lt;9E+307)*(表成绩单[总分]&gt;表成绩单[[#This Row],[总分]]))+1)</f>
        <v>271</v>
      </c>
    </row>
    <row r="1079" ht="28" customHeight="1" spans="4:23">
      <c r="D1079" s="31">
        <v>46003</v>
      </c>
      <c r="E1079" s="29">
        <v>19176853</v>
      </c>
      <c r="F1079" s="29" t="s">
        <v>71</v>
      </c>
      <c r="G1079" s="29" t="s">
        <v>256</v>
      </c>
      <c r="H1079" s="29">
        <v>103</v>
      </c>
      <c r="I1079" s="29">
        <v>75</v>
      </c>
      <c r="J1079" s="29">
        <v>82.5</v>
      </c>
      <c r="K1079" s="29">
        <v>90</v>
      </c>
      <c r="L1079" s="29">
        <v>87</v>
      </c>
      <c r="M1079" s="29">
        <v>69</v>
      </c>
      <c r="N1079" s="29">
        <v>70</v>
      </c>
      <c r="O1079" s="32">
        <v>576.5</v>
      </c>
      <c r="P1079" s="29" cm="1">
        <f t="array" ref="P1079">IF(表成绩单[[#This Row],[语文]]="","",SUMPRODUCT((表成绩单[考试日期]=表成绩单[[#This Row],[考试日期]])*(表成绩单[语文]&lt;9E+307)*(表成绩单[语文]&gt;表成绩单[[#This Row],[语文]]))+1)</f>
        <v>333</v>
      </c>
      <c r="Q1079" s="29" cm="1">
        <f t="array" ref="Q1079">IF(表成绩单[[#This Row],[数学]]="","",SUMPRODUCT((表成绩单[考试日期]=表成绩单[[#This Row],[考试日期]])*(表成绩单[数学]&lt;9E+307)*(表成绩单[数学]&gt;表成绩单[[#This Row],[数学]]))+1)</f>
        <v>364</v>
      </c>
      <c r="R1079" s="29" cm="1">
        <f t="array" ref="R1079">IF(表成绩单[[#This Row],[英语]]="","",SUMPRODUCT((表成绩单[考试日期]=表成绩单[[#This Row],[考试日期]])*(表成绩单[英语]&lt;9E+307)*(表成绩单[英语]&gt;表成绩单[[#This Row],[英语]]))+1)</f>
        <v>85</v>
      </c>
      <c r="S1079" s="29" cm="1">
        <f t="array" ref="S1079">IF(表成绩单[[#This Row],[物理]]="","",SUMPRODUCT((表成绩单[考试日期]=表成绩单[[#This Row],[考试日期]])*(表成绩单[物理]&lt;9E+307)*(表成绩单[物理]&gt;表成绩单[[#This Row],[物理]]))+1)</f>
        <v>237</v>
      </c>
      <c r="T1079" s="29" cm="1">
        <f t="array" ref="T1079">IF(表成绩单[[#This Row],[化学]]="","",SUMPRODUCT((表成绩单[考试日期]=表成绩单[[#This Row],[考试日期]])*(表成绩单[化学]&lt;9E+307)*(表成绩单[化学]&gt;表成绩单[[#This Row],[化学]]))+1)</f>
        <v>201</v>
      </c>
      <c r="U1079" s="29" cm="1">
        <f t="array" ref="U1079">IF(表成绩单[[#This Row],[政治]]="","",SUMPRODUCT((表成绩单[考试日期]=表成绩单[[#This Row],[考试日期]])*(表成绩单[政治]&lt;9E+307)*(表成绩单[政治]&gt;表成绩单[[#This Row],[政治]]))+1)</f>
        <v>212</v>
      </c>
      <c r="V1079" s="29" cm="1">
        <f t="array" ref="V1079">IF(表成绩单[[#This Row],[历史]]="","",SUMPRODUCT((表成绩单[考试日期]=表成绩单[[#This Row],[考试日期]])*(表成绩单[历史]&lt;9E+307)*(表成绩单[历史]&gt;表成绩单[[#This Row],[历史]]))+1)</f>
        <v>499</v>
      </c>
      <c r="W1079" s="29" cm="1">
        <f t="array" ref="W1079">IF(表成绩单[[#This Row],[总分]]="","",SUMPRODUCT((表成绩单[考试日期]=表成绩单[[#This Row],[考试日期]])*(表成绩单[总分]&lt;9E+307)*(表成绩单[总分]&gt;表成绩单[[#This Row],[总分]]))+1)</f>
        <v>271</v>
      </c>
    </row>
    <row r="1080" ht="28" customHeight="1" spans="4:23">
      <c r="D1080" s="31">
        <v>46003</v>
      </c>
      <c r="E1080" s="29">
        <v>19176864</v>
      </c>
      <c r="F1080" s="29" t="s">
        <v>71</v>
      </c>
      <c r="G1080" s="29" t="s">
        <v>310</v>
      </c>
      <c r="H1080" s="29">
        <v>107</v>
      </c>
      <c r="I1080" s="29">
        <v>80</v>
      </c>
      <c r="J1080" s="29">
        <v>79.5</v>
      </c>
      <c r="K1080" s="29">
        <v>92</v>
      </c>
      <c r="L1080" s="29">
        <v>87</v>
      </c>
      <c r="M1080" s="29">
        <v>52</v>
      </c>
      <c r="N1080" s="29">
        <v>79</v>
      </c>
      <c r="O1080" s="32">
        <v>576.5</v>
      </c>
      <c r="P1080" s="29" cm="1">
        <f t="array" ref="P1080">IF(表成绩单[[#This Row],[语文]]="","",SUMPRODUCT((表成绩单[考试日期]=表成绩单[[#This Row],[考试日期]])*(表成绩单[语文]&lt;9E+307)*(表成绩单[语文]&gt;表成绩单[[#This Row],[语文]]))+1)</f>
        <v>182</v>
      </c>
      <c r="Q1080" s="29" cm="1">
        <f t="array" ref="Q1080">IF(表成绩单[[#This Row],[数学]]="","",SUMPRODUCT((表成绩单[考试日期]=表成绩单[[#This Row],[考试日期]])*(表成绩单[数学]&lt;9E+307)*(表成绩单[数学]&gt;表成绩单[[#This Row],[数学]]))+1)</f>
        <v>310</v>
      </c>
      <c r="R1080" s="29" cm="1">
        <f t="array" ref="R1080">IF(表成绩单[[#This Row],[英语]]="","",SUMPRODUCT((表成绩单[考试日期]=表成绩单[[#This Row],[考试日期]])*(表成绩单[英语]&lt;9E+307)*(表成绩单[英语]&gt;表成绩单[[#This Row],[英语]]))+1)</f>
        <v>180</v>
      </c>
      <c r="S1080" s="29" cm="1">
        <f t="array" ref="S1080">IF(表成绩单[[#This Row],[物理]]="","",SUMPRODUCT((表成绩单[考试日期]=表成绩单[[#This Row],[考试日期]])*(表成绩单[物理]&lt;9E+307)*(表成绩单[物理]&gt;表成绩单[[#This Row],[物理]]))+1)</f>
        <v>191</v>
      </c>
      <c r="T1080" s="29" cm="1">
        <f t="array" ref="T1080">IF(表成绩单[[#This Row],[化学]]="","",SUMPRODUCT((表成绩单[考试日期]=表成绩单[[#This Row],[考试日期]])*(表成绩单[化学]&lt;9E+307)*(表成绩单[化学]&gt;表成绩单[[#This Row],[化学]]))+1)</f>
        <v>201</v>
      </c>
      <c r="U1080" s="29" cm="1">
        <f t="array" ref="U1080">IF(表成绩单[[#This Row],[政治]]="","",SUMPRODUCT((表成绩单[考试日期]=表成绩单[[#This Row],[考试日期]])*(表成绩单[政治]&lt;9E+307)*(表成绩单[政治]&gt;表成绩单[[#This Row],[政治]]))+1)</f>
        <v>560</v>
      </c>
      <c r="V1080" s="29" cm="1">
        <f t="array" ref="V1080">IF(表成绩单[[#This Row],[历史]]="","",SUMPRODUCT((表成绩单[考试日期]=表成绩单[[#This Row],[考试日期]])*(表成绩单[历史]&lt;9E+307)*(表成绩单[历史]&gt;表成绩单[[#This Row],[历史]]))+1)</f>
        <v>149</v>
      </c>
      <c r="W1080" s="29" cm="1">
        <f t="array" ref="W1080">IF(表成绩单[[#This Row],[总分]]="","",SUMPRODUCT((表成绩单[考试日期]=表成绩单[[#This Row],[考试日期]])*(表成绩单[总分]&lt;9E+307)*(表成绩单[总分]&gt;表成绩单[[#This Row],[总分]]))+1)</f>
        <v>271</v>
      </c>
    </row>
    <row r="1081" ht="28" customHeight="1" spans="4:23">
      <c r="D1081" s="31">
        <v>46003</v>
      </c>
      <c r="E1081" s="29">
        <v>19174442</v>
      </c>
      <c r="F1081" s="29" t="s">
        <v>73</v>
      </c>
      <c r="G1081" s="29" t="s">
        <v>288</v>
      </c>
      <c r="H1081" s="29">
        <v>111</v>
      </c>
      <c r="I1081" s="29">
        <v>68</v>
      </c>
      <c r="J1081" s="29">
        <v>82</v>
      </c>
      <c r="K1081" s="29">
        <v>85</v>
      </c>
      <c r="L1081" s="29">
        <v>84</v>
      </c>
      <c r="M1081" s="29">
        <v>64</v>
      </c>
      <c r="N1081" s="29">
        <v>82</v>
      </c>
      <c r="O1081" s="32">
        <v>576</v>
      </c>
      <c r="P1081" s="29" cm="1">
        <f t="array" ref="P1081">IF(表成绩单[[#This Row],[语文]]="","",SUMPRODUCT((表成绩单[考试日期]=表成绩单[[#This Row],[考试日期]])*(表成绩单[语文]&lt;9E+307)*(表成绩单[语文]&gt;表成绩单[[#This Row],[语文]]))+1)</f>
        <v>56</v>
      </c>
      <c r="Q1081" s="29" cm="1">
        <f t="array" ref="Q1081">IF(表成绩单[[#This Row],[数学]]="","",SUMPRODUCT((表成绩单[考试日期]=表成绩单[[#This Row],[考试日期]])*(表成绩单[数学]&lt;9E+307)*(表成绩单[数学]&gt;表成绩单[[#This Row],[数学]]))+1)</f>
        <v>450</v>
      </c>
      <c r="R1081" s="29" cm="1">
        <f t="array" ref="R1081">IF(表成绩单[[#This Row],[英语]]="","",SUMPRODUCT((表成绩单[考试日期]=表成绩单[[#This Row],[考试日期]])*(表成绩单[英语]&lt;9E+307)*(表成绩单[英语]&gt;表成绩单[[#This Row],[英语]]))+1)</f>
        <v>96</v>
      </c>
      <c r="S1081" s="29" cm="1">
        <f t="array" ref="S1081">IF(表成绩单[[#This Row],[物理]]="","",SUMPRODUCT((表成绩单[考试日期]=表成绩单[[#This Row],[考试日期]])*(表成绩单[物理]&lt;9E+307)*(表成绩单[物理]&gt;表成绩单[[#This Row],[物理]]))+1)</f>
        <v>348</v>
      </c>
      <c r="T1081" s="29" cm="1">
        <f t="array" ref="T1081">IF(表成绩单[[#This Row],[化学]]="","",SUMPRODUCT((表成绩单[考试日期]=表成绩单[[#This Row],[考试日期]])*(表成绩单[化学]&lt;9E+307)*(表成绩单[化学]&gt;表成绩单[[#This Row],[化学]]))+1)</f>
        <v>258</v>
      </c>
      <c r="U1081" s="29" cm="1">
        <f t="array" ref="U1081">IF(表成绩单[[#This Row],[政治]]="","",SUMPRODUCT((表成绩单[考试日期]=表成绩单[[#This Row],[考试日期]])*(表成绩单[政治]&lt;9E+307)*(表成绩单[政治]&gt;表成绩单[[#This Row],[政治]]))+1)</f>
        <v>337</v>
      </c>
      <c r="V1081" s="29" cm="1">
        <f t="array" ref="V1081">IF(表成绩单[[#This Row],[历史]]="","",SUMPRODUCT((表成绩单[考试日期]=表成绩单[[#This Row],[考试日期]])*(表成绩单[历史]&lt;9E+307)*(表成绩单[历史]&gt;表成绩单[[#This Row],[历史]]))+1)</f>
        <v>66</v>
      </c>
      <c r="W1081" s="29" cm="1">
        <f t="array" ref="W1081">IF(表成绩单[[#This Row],[总分]]="","",SUMPRODUCT((表成绩单[考试日期]=表成绩单[[#This Row],[考试日期]])*(表成绩单[总分]&lt;9E+307)*(表成绩单[总分]&gt;表成绩单[[#This Row],[总分]]))+1)</f>
        <v>276</v>
      </c>
    </row>
    <row r="1082" ht="28" customHeight="1" spans="4:23">
      <c r="D1082" s="31">
        <v>46003</v>
      </c>
      <c r="E1082" s="29">
        <v>19174451</v>
      </c>
      <c r="F1082" s="29" t="s">
        <v>73</v>
      </c>
      <c r="G1082" s="29" t="s">
        <v>241</v>
      </c>
      <c r="H1082" s="29">
        <v>111</v>
      </c>
      <c r="I1082" s="29">
        <v>60</v>
      </c>
      <c r="J1082" s="29">
        <v>81</v>
      </c>
      <c r="K1082" s="29">
        <v>90</v>
      </c>
      <c r="L1082" s="29">
        <v>82</v>
      </c>
      <c r="M1082" s="29">
        <v>72</v>
      </c>
      <c r="N1082" s="29">
        <v>80</v>
      </c>
      <c r="O1082" s="32">
        <v>576</v>
      </c>
      <c r="P1082" s="29" cm="1">
        <f t="array" ref="P1082">IF(表成绩单[[#This Row],[语文]]="","",SUMPRODUCT((表成绩单[考试日期]=表成绩单[[#This Row],[考试日期]])*(表成绩单[语文]&lt;9E+307)*(表成绩单[语文]&gt;表成绩单[[#This Row],[语文]]))+1)</f>
        <v>56</v>
      </c>
      <c r="Q1082" s="29" cm="1">
        <f t="array" ref="Q1082">IF(表成绩单[[#This Row],[数学]]="","",SUMPRODUCT((表成绩单[考试日期]=表成绩单[[#This Row],[考试日期]])*(表成绩单[数学]&lt;9E+307)*(表成绩单[数学]&gt;表成绩单[[#This Row],[数学]]))+1)</f>
        <v>519</v>
      </c>
      <c r="R1082" s="29" cm="1">
        <f t="array" ref="R1082">IF(表成绩单[[#This Row],[英语]]="","",SUMPRODUCT((表成绩单[考试日期]=表成绩单[[#This Row],[考试日期]])*(表成绩单[英语]&lt;9E+307)*(表成绩单[英语]&gt;表成绩单[[#This Row],[英语]]))+1)</f>
        <v>131</v>
      </c>
      <c r="S1082" s="29" cm="1">
        <f t="array" ref="S1082">IF(表成绩单[[#This Row],[物理]]="","",SUMPRODUCT((表成绩单[考试日期]=表成绩单[[#This Row],[考试日期]])*(表成绩单[物理]&lt;9E+307)*(表成绩单[物理]&gt;表成绩单[[#This Row],[物理]]))+1)</f>
        <v>237</v>
      </c>
      <c r="T1082" s="29" cm="1">
        <f t="array" ref="T1082">IF(表成绩单[[#This Row],[化学]]="","",SUMPRODUCT((表成绩单[考试日期]=表成绩单[[#This Row],[考试日期]])*(表成绩单[化学]&lt;9E+307)*(表成绩单[化学]&gt;表成绩单[[#This Row],[化学]]))+1)</f>
        <v>286</v>
      </c>
      <c r="U1082" s="29" cm="1">
        <f t="array" ref="U1082">IF(表成绩单[[#This Row],[政治]]="","",SUMPRODUCT((表成绩单[考试日期]=表成绩单[[#This Row],[考试日期]])*(表成绩单[政治]&lt;9E+307)*(表成绩单[政治]&gt;表成绩单[[#This Row],[政治]]))+1)</f>
        <v>155</v>
      </c>
      <c r="V1082" s="29" cm="1">
        <f t="array" ref="V1082">IF(表成绩单[[#This Row],[历史]]="","",SUMPRODUCT((表成绩单[考试日期]=表成绩单[[#This Row],[考试日期]])*(表成绩单[历史]&lt;9E+307)*(表成绩单[历史]&gt;表成绩单[[#This Row],[历史]]))+1)</f>
        <v>116</v>
      </c>
      <c r="W1082" s="29" cm="1">
        <f t="array" ref="W1082">IF(表成绩单[[#This Row],[总分]]="","",SUMPRODUCT((表成绩单[考试日期]=表成绩单[[#This Row],[考试日期]])*(表成绩单[总分]&lt;9E+307)*(表成绩单[总分]&gt;表成绩单[[#This Row],[总分]]))+1)</f>
        <v>276</v>
      </c>
    </row>
    <row r="1083" ht="28" customHeight="1" spans="4:23">
      <c r="D1083" s="31">
        <v>46003</v>
      </c>
      <c r="E1083" s="29">
        <v>19175642</v>
      </c>
      <c r="F1083" s="29" t="s">
        <v>66</v>
      </c>
      <c r="G1083" s="29" t="s">
        <v>438</v>
      </c>
      <c r="H1083" s="29">
        <v>109</v>
      </c>
      <c r="I1083" s="29">
        <v>83</v>
      </c>
      <c r="J1083" s="29">
        <v>67.5</v>
      </c>
      <c r="K1083" s="29">
        <v>94</v>
      </c>
      <c r="L1083" s="29">
        <v>80</v>
      </c>
      <c r="M1083" s="29">
        <v>67</v>
      </c>
      <c r="N1083" s="29">
        <v>75</v>
      </c>
      <c r="O1083" s="32">
        <v>575.5</v>
      </c>
      <c r="P1083" s="29" cm="1">
        <f t="array" ref="P1083">IF(表成绩单[[#This Row],[语文]]="","",SUMPRODUCT((表成绩单[考试日期]=表成绩单[[#This Row],[考试日期]])*(表成绩单[语文]&lt;9E+307)*(表成绩单[语文]&gt;表成绩单[[#This Row],[语文]]))+1)</f>
        <v>111</v>
      </c>
      <c r="Q1083" s="29" cm="1">
        <f t="array" ref="Q1083">IF(表成绩单[[#This Row],[数学]]="","",SUMPRODUCT((表成绩单[考试日期]=表成绩单[[#This Row],[考试日期]])*(表成绩单[数学]&lt;9E+307)*(表成绩单[数学]&gt;表成绩单[[#This Row],[数学]]))+1)</f>
        <v>272</v>
      </c>
      <c r="R1083" s="29" cm="1">
        <f t="array" ref="R1083">IF(表成绩单[[#This Row],[英语]]="","",SUMPRODUCT((表成绩单[考试日期]=表成绩单[[#This Row],[考试日期]])*(表成绩单[英语]&lt;9E+307)*(表成绩单[英语]&gt;表成绩单[[#This Row],[英语]]))+1)</f>
        <v>453</v>
      </c>
      <c r="S1083" s="29" cm="1">
        <f t="array" ref="S1083">IF(表成绩单[[#This Row],[物理]]="","",SUMPRODUCT((表成绩单[考试日期]=表成绩单[[#This Row],[考试日期]])*(表成绩单[物理]&lt;9E+307)*(表成绩单[物理]&gt;表成绩单[[#This Row],[物理]]))+1)</f>
        <v>125</v>
      </c>
      <c r="T1083" s="29" cm="1">
        <f t="array" ref="T1083">IF(表成绩单[[#This Row],[化学]]="","",SUMPRODUCT((表成绩单[考试日期]=表成绩单[[#This Row],[考试日期]])*(表成绩单[化学]&lt;9E+307)*(表成绩单[化学]&gt;表成绩单[[#This Row],[化学]]))+1)</f>
        <v>327</v>
      </c>
      <c r="U1083" s="29" cm="1">
        <f t="array" ref="U1083">IF(表成绩单[[#This Row],[政治]]="","",SUMPRODUCT((表成绩单[考试日期]=表成绩单[[#This Row],[考试日期]])*(表成绩单[政治]&lt;9E+307)*(表成绩单[政治]&gt;表成绩单[[#This Row],[政治]]))+1)</f>
        <v>264</v>
      </c>
      <c r="V1083" s="29" cm="1">
        <f t="array" ref="V1083">IF(表成绩单[[#This Row],[历史]]="","",SUMPRODUCT((表成绩单[考试日期]=表成绩单[[#This Row],[考试日期]])*(表成绩单[历史]&lt;9E+307)*(表成绩单[历史]&gt;表成绩单[[#This Row],[历史]]))+1)</f>
        <v>329</v>
      </c>
      <c r="W1083" s="29" cm="1">
        <f t="array" ref="W1083">IF(表成绩单[[#This Row],[总分]]="","",SUMPRODUCT((表成绩单[考试日期]=表成绩单[[#This Row],[考试日期]])*(表成绩单[总分]&lt;9E+307)*(表成绩单[总分]&gt;表成绩单[[#This Row],[总分]]))+1)</f>
        <v>278</v>
      </c>
    </row>
    <row r="1084" ht="28" customHeight="1" spans="4:23">
      <c r="D1084" s="31">
        <v>46003</v>
      </c>
      <c r="E1084" s="29">
        <v>19176018</v>
      </c>
      <c r="F1084" s="29" t="s">
        <v>59</v>
      </c>
      <c r="G1084" s="29" t="s">
        <v>357</v>
      </c>
      <c r="H1084" s="29">
        <v>99</v>
      </c>
      <c r="I1084" s="29">
        <v>92</v>
      </c>
      <c r="J1084" s="29">
        <v>77.5</v>
      </c>
      <c r="K1084" s="29">
        <v>87</v>
      </c>
      <c r="L1084" s="29">
        <v>82</v>
      </c>
      <c r="M1084" s="29">
        <v>62</v>
      </c>
      <c r="N1084" s="29">
        <v>76</v>
      </c>
      <c r="O1084" s="32">
        <v>575.5</v>
      </c>
      <c r="P1084" s="29" cm="1">
        <f t="array" ref="P1084">IF(表成绩单[[#This Row],[语文]]="","",SUMPRODUCT((表成绩单[考试日期]=表成绩单[[#This Row],[考试日期]])*(表成绩单[语文]&lt;9E+307)*(表成绩单[语文]&gt;表成绩单[[#This Row],[语文]]))+1)</f>
        <v>440</v>
      </c>
      <c r="Q1084" s="29" cm="1">
        <f t="array" ref="Q1084">IF(表成绩单[[#This Row],[数学]]="","",SUMPRODUCT((表成绩单[考试日期]=表成绩单[[#This Row],[考试日期]])*(表成绩单[数学]&lt;9E+307)*(表成绩单[数学]&gt;表成绩单[[#This Row],[数学]]))+1)</f>
        <v>170</v>
      </c>
      <c r="R1084" s="29" cm="1">
        <f t="array" ref="R1084">IF(表成绩单[[#This Row],[英语]]="","",SUMPRODUCT((表成绩单[考试日期]=表成绩单[[#This Row],[考试日期]])*(表成绩单[英语]&lt;9E+307)*(表成绩单[英语]&gt;表成绩单[[#This Row],[英语]]))+1)</f>
        <v>230</v>
      </c>
      <c r="S1084" s="29" cm="1">
        <f t="array" ref="S1084">IF(表成绩单[[#This Row],[物理]]="","",SUMPRODUCT((表成绩单[考试日期]=表成绩单[[#This Row],[考试日期]])*(表成绩单[物理]&lt;9E+307)*(表成绩单[物理]&gt;表成绩单[[#This Row],[物理]]))+1)</f>
        <v>306</v>
      </c>
      <c r="T1084" s="29" cm="1">
        <f t="array" ref="T1084">IF(表成绩单[[#This Row],[化学]]="","",SUMPRODUCT((表成绩单[考试日期]=表成绩单[[#This Row],[考试日期]])*(表成绩单[化学]&lt;9E+307)*(表成绩单[化学]&gt;表成绩单[[#This Row],[化学]]))+1)</f>
        <v>286</v>
      </c>
      <c r="U1084" s="29" cm="1">
        <f t="array" ref="U1084">IF(表成绩单[[#This Row],[政治]]="","",SUMPRODUCT((表成绩单[考试日期]=表成绩单[[#This Row],[考试日期]])*(表成绩单[政治]&lt;9E+307)*(表成绩单[政治]&gt;表成绩单[[#This Row],[政治]]))+1)</f>
        <v>381</v>
      </c>
      <c r="V1084" s="29" cm="1">
        <f t="array" ref="V1084">IF(表成绩单[[#This Row],[历史]]="","",SUMPRODUCT((表成绩单[考试日期]=表成绩单[[#This Row],[考试日期]])*(表成绩单[历史]&lt;9E+307)*(表成绩单[历史]&gt;表成绩单[[#This Row],[历史]]))+1)</f>
        <v>279</v>
      </c>
      <c r="W1084" s="29" cm="1">
        <f t="array" ref="W1084">IF(表成绩单[[#This Row],[总分]]="","",SUMPRODUCT((表成绩单[考试日期]=表成绩单[[#This Row],[考试日期]])*(表成绩单[总分]&lt;9E+307)*(表成绩单[总分]&gt;表成绩单[[#This Row],[总分]]))+1)</f>
        <v>278</v>
      </c>
    </row>
    <row r="1085" ht="28" customHeight="1" spans="4:23">
      <c r="D1085" s="31">
        <v>46003</v>
      </c>
      <c r="E1085" s="29">
        <v>19176897</v>
      </c>
      <c r="F1085" s="29" t="s">
        <v>71</v>
      </c>
      <c r="G1085" s="29" t="s">
        <v>476</v>
      </c>
      <c r="H1085" s="29">
        <v>108</v>
      </c>
      <c r="I1085" s="29">
        <v>86</v>
      </c>
      <c r="J1085" s="29">
        <v>75.5</v>
      </c>
      <c r="K1085" s="29">
        <v>95</v>
      </c>
      <c r="L1085" s="29">
        <v>93</v>
      </c>
      <c r="M1085" s="29">
        <v>51</v>
      </c>
      <c r="N1085" s="29">
        <v>67</v>
      </c>
      <c r="O1085" s="32">
        <v>575.5</v>
      </c>
      <c r="P1085" s="29" cm="1">
        <f t="array" ref="P1085">IF(表成绩单[[#This Row],[语文]]="","",SUMPRODUCT((表成绩单[考试日期]=表成绩单[[#This Row],[考试日期]])*(表成绩单[语文]&lt;9E+307)*(表成绩单[语文]&gt;表成绩单[[#This Row],[语文]]))+1)</f>
        <v>154</v>
      </c>
      <c r="Q1085" s="29" cm="1">
        <f t="array" ref="Q1085">IF(表成绩单[[#This Row],[数学]]="","",SUMPRODUCT((表成绩单[考试日期]=表成绩单[[#This Row],[考试日期]])*(表成绩单[数学]&lt;9E+307)*(表成绩单[数学]&gt;表成绩单[[#This Row],[数学]]))+1)</f>
        <v>231</v>
      </c>
      <c r="R1085" s="29" cm="1">
        <f t="array" ref="R1085">IF(表成绩单[[#This Row],[英语]]="","",SUMPRODUCT((表成绩单[考试日期]=表成绩单[[#This Row],[考试日期]])*(表成绩单[英语]&lt;9E+307)*(表成绩单[英语]&gt;表成绩单[[#This Row],[英语]]))+1)</f>
        <v>299</v>
      </c>
      <c r="S1085" s="29" cm="1">
        <f t="array" ref="S1085">IF(表成绩单[[#This Row],[物理]]="","",SUMPRODUCT((表成绩单[考试日期]=表成绩单[[#This Row],[考试日期]])*(表成绩单[物理]&lt;9E+307)*(表成绩单[物理]&gt;表成绩单[[#This Row],[物理]]))+1)</f>
        <v>97</v>
      </c>
      <c r="T1085" s="29" cm="1">
        <f t="array" ref="T1085">IF(表成绩单[[#This Row],[化学]]="","",SUMPRODUCT((表成绩单[考试日期]=表成绩单[[#This Row],[考试日期]])*(表成绩单[化学]&lt;9E+307)*(表成绩单[化学]&gt;表成绩单[[#This Row],[化学]]))+1)</f>
        <v>73</v>
      </c>
      <c r="U1085" s="29" cm="1">
        <f t="array" ref="U1085">IF(表成绩单[[#This Row],[政治]]="","",SUMPRODUCT((表成绩单[考试日期]=表成绩单[[#This Row],[考试日期]])*(表成绩单[政治]&lt;9E+307)*(表成绩单[政治]&gt;表成绩单[[#This Row],[政治]]))+1)</f>
        <v>571</v>
      </c>
      <c r="V1085" s="29" cm="1">
        <f t="array" ref="V1085">IF(表成绩单[[#This Row],[历史]]="","",SUMPRODUCT((表成绩单[考试日期]=表成绩单[[#This Row],[考试日期]])*(表成绩单[历史]&lt;9E+307)*(表成绩单[历史]&gt;表成绩单[[#This Row],[历史]]))+1)</f>
        <v>549</v>
      </c>
      <c r="W1085" s="29" cm="1">
        <f t="array" ref="W1085">IF(表成绩单[[#This Row],[总分]]="","",SUMPRODUCT((表成绩单[考试日期]=表成绩单[[#This Row],[考试日期]])*(表成绩单[总分]&lt;9E+307)*(表成绩单[总分]&gt;表成绩单[[#This Row],[总分]]))+1)</f>
        <v>278</v>
      </c>
    </row>
    <row r="1086" ht="28" customHeight="1" spans="4:23">
      <c r="D1086" s="31">
        <v>46003</v>
      </c>
      <c r="E1086" s="29">
        <v>19171085</v>
      </c>
      <c r="F1086" s="29" t="s">
        <v>67</v>
      </c>
      <c r="G1086" s="29" t="s">
        <v>248</v>
      </c>
      <c r="H1086" s="29">
        <v>105</v>
      </c>
      <c r="I1086" s="29">
        <v>83</v>
      </c>
      <c r="J1086" s="29">
        <v>69</v>
      </c>
      <c r="K1086" s="29">
        <v>83</v>
      </c>
      <c r="L1086" s="29">
        <v>79</v>
      </c>
      <c r="M1086" s="29">
        <v>76</v>
      </c>
      <c r="N1086" s="29">
        <v>80</v>
      </c>
      <c r="O1086" s="32">
        <v>575</v>
      </c>
      <c r="P1086" s="29" cm="1">
        <f t="array" ref="P1086">IF(表成绩单[[#This Row],[语文]]="","",SUMPRODUCT((表成绩单[考试日期]=表成绩单[[#This Row],[考试日期]])*(表成绩单[语文]&lt;9E+307)*(表成绩单[语文]&gt;表成绩单[[#This Row],[语文]]))+1)</f>
        <v>247</v>
      </c>
      <c r="Q1086" s="29" cm="1">
        <f t="array" ref="Q1086">IF(表成绩单[[#This Row],[数学]]="","",SUMPRODUCT((表成绩单[考试日期]=表成绩单[[#This Row],[考试日期]])*(表成绩单[数学]&lt;9E+307)*(表成绩单[数学]&gt;表成绩单[[#This Row],[数学]]))+1)</f>
        <v>272</v>
      </c>
      <c r="R1086" s="29" cm="1">
        <f t="array" ref="R1086">IF(表成绩单[[#This Row],[英语]]="","",SUMPRODUCT((表成绩单[考试日期]=表成绩单[[#This Row],[考试日期]])*(表成绩单[英语]&lt;9E+307)*(表成绩单[英语]&gt;表成绩单[[#This Row],[英语]]))+1)</f>
        <v>434</v>
      </c>
      <c r="S1086" s="29" cm="1">
        <f t="array" ref="S1086">IF(表成绩单[[#This Row],[物理]]="","",SUMPRODUCT((表成绩单[考试日期]=表成绩单[[#This Row],[考试日期]])*(表成绩单[物理]&lt;9E+307)*(表成绩单[物理]&gt;表成绩单[[#This Row],[物理]]))+1)</f>
        <v>376</v>
      </c>
      <c r="T1086" s="29" cm="1">
        <f t="array" ref="T1086">IF(表成绩单[[#This Row],[化学]]="","",SUMPRODUCT((表成绩单[考试日期]=表成绩单[[#This Row],[考试日期]])*(表成绩单[化学]&lt;9E+307)*(表成绩单[化学]&gt;表成绩单[[#This Row],[化学]]))+1)</f>
        <v>351</v>
      </c>
      <c r="U1086" s="29" cm="1">
        <f t="array" ref="U1086">IF(表成绩单[[#This Row],[政治]]="","",SUMPRODUCT((表成绩单[考试日期]=表成绩单[[#This Row],[考试日期]])*(表成绩单[政治]&lt;9E+307)*(表成绩单[政治]&gt;表成绩单[[#This Row],[政治]]))+1)</f>
        <v>77</v>
      </c>
      <c r="V1086" s="29" cm="1">
        <f t="array" ref="V1086">IF(表成绩单[[#This Row],[历史]]="","",SUMPRODUCT((表成绩单[考试日期]=表成绩单[[#This Row],[考试日期]])*(表成绩单[历史]&lt;9E+307)*(表成绩单[历史]&gt;表成绩单[[#This Row],[历史]]))+1)</f>
        <v>116</v>
      </c>
      <c r="W1086" s="29" cm="1">
        <f t="array" ref="W1086">IF(表成绩单[[#This Row],[总分]]="","",SUMPRODUCT((表成绩单[考试日期]=表成绩单[[#This Row],[考试日期]])*(表成绩单[总分]&lt;9E+307)*(表成绩单[总分]&gt;表成绩单[[#This Row],[总分]]))+1)</f>
        <v>281</v>
      </c>
    </row>
    <row r="1087" ht="28" customHeight="1" spans="4:23">
      <c r="D1087" s="31">
        <v>46003</v>
      </c>
      <c r="E1087" s="29">
        <v>19175678</v>
      </c>
      <c r="F1087" s="29" t="s">
        <v>72</v>
      </c>
      <c r="G1087" s="29" t="s">
        <v>428</v>
      </c>
      <c r="H1087" s="29">
        <v>89</v>
      </c>
      <c r="I1087" s="29">
        <v>88</v>
      </c>
      <c r="J1087" s="29">
        <v>79</v>
      </c>
      <c r="K1087" s="29">
        <v>93</v>
      </c>
      <c r="L1087" s="29">
        <v>88</v>
      </c>
      <c r="M1087" s="29">
        <v>67</v>
      </c>
      <c r="N1087" s="29">
        <v>71</v>
      </c>
      <c r="O1087" s="32">
        <v>575</v>
      </c>
      <c r="P1087" s="29" cm="1">
        <f t="array" ref="P1087">IF(表成绩单[[#This Row],[语文]]="","",SUMPRODUCT((表成绩单[考试日期]=表成绩单[[#This Row],[考试日期]])*(表成绩单[语文]&lt;9E+307)*(表成绩单[语文]&gt;表成绩单[[#This Row],[语文]]))+1)</f>
        <v>598</v>
      </c>
      <c r="Q1087" s="29" cm="1">
        <f t="array" ref="Q1087">IF(表成绩单[[#This Row],[数学]]="","",SUMPRODUCT((表成绩单[考试日期]=表成绩单[[#This Row],[考试日期]])*(表成绩单[数学]&lt;9E+307)*(表成绩单[数学]&gt;表成绩单[[#This Row],[数学]]))+1)</f>
        <v>213</v>
      </c>
      <c r="R1087" s="29" cm="1">
        <f t="array" ref="R1087">IF(表成绩单[[#This Row],[英语]]="","",SUMPRODUCT((表成绩单[考试日期]=表成绩单[[#This Row],[考试日期]])*(表成绩单[英语]&lt;9E+307)*(表成绩单[英语]&gt;表成绩单[[#This Row],[英语]]))+1)</f>
        <v>188</v>
      </c>
      <c r="S1087" s="29" cm="1">
        <f t="array" ref="S1087">IF(表成绩单[[#This Row],[物理]]="","",SUMPRODUCT((表成绩单[考试日期]=表成绩单[[#This Row],[考试日期]])*(表成绩单[物理]&lt;9E+307)*(表成绩单[物理]&gt;表成绩单[[#This Row],[物理]]))+1)</f>
        <v>163</v>
      </c>
      <c r="T1087" s="29" cm="1">
        <f t="array" ref="T1087">IF(表成绩单[[#This Row],[化学]]="","",SUMPRODUCT((表成绩单[考试日期]=表成绩单[[#This Row],[考试日期]])*(表成绩单[化学]&lt;9E+307)*(表成绩单[化学]&gt;表成绩单[[#This Row],[化学]]))+1)</f>
        <v>175</v>
      </c>
      <c r="U1087" s="29" cm="1">
        <f t="array" ref="U1087">IF(表成绩单[[#This Row],[政治]]="","",SUMPRODUCT((表成绩单[考试日期]=表成绩单[[#This Row],[考试日期]])*(表成绩单[政治]&lt;9E+307)*(表成绩单[政治]&gt;表成绩单[[#This Row],[政治]]))+1)</f>
        <v>264</v>
      </c>
      <c r="V1087" s="29" cm="1">
        <f t="array" ref="V1087">IF(表成绩单[[#This Row],[历史]]="","",SUMPRODUCT((表成绩单[考试日期]=表成绩单[[#This Row],[考试日期]])*(表成绩单[历史]&lt;9E+307)*(表成绩单[历史]&gt;表成绩单[[#This Row],[历史]]))+1)</f>
        <v>471</v>
      </c>
      <c r="W1087" s="29" cm="1">
        <f t="array" ref="W1087">IF(表成绩单[[#This Row],[总分]]="","",SUMPRODUCT((表成绩单[考试日期]=表成绩单[[#This Row],[考试日期]])*(表成绩单[总分]&lt;9E+307)*(表成绩单[总分]&gt;表成绩单[[#This Row],[总分]]))+1)</f>
        <v>281</v>
      </c>
    </row>
    <row r="1088" ht="28" customHeight="1" spans="4:23">
      <c r="D1088" s="31">
        <v>46003</v>
      </c>
      <c r="E1088" s="29">
        <v>19175700</v>
      </c>
      <c r="F1088" s="29" t="s">
        <v>72</v>
      </c>
      <c r="G1088" s="29" t="s">
        <v>354</v>
      </c>
      <c r="H1088" s="29">
        <v>103</v>
      </c>
      <c r="I1088" s="29">
        <v>85</v>
      </c>
      <c r="J1088" s="29">
        <v>84</v>
      </c>
      <c r="K1088" s="29">
        <v>83</v>
      </c>
      <c r="L1088" s="29">
        <v>82</v>
      </c>
      <c r="M1088" s="29">
        <v>66</v>
      </c>
      <c r="N1088" s="29">
        <v>72</v>
      </c>
      <c r="O1088" s="32">
        <v>575</v>
      </c>
      <c r="P1088" s="29" cm="1">
        <f t="array" ref="P1088">IF(表成绩单[[#This Row],[语文]]="","",SUMPRODUCT((表成绩单[考试日期]=表成绩单[[#This Row],[考试日期]])*(表成绩单[语文]&lt;9E+307)*(表成绩单[语文]&gt;表成绩单[[#This Row],[语文]]))+1)</f>
        <v>333</v>
      </c>
      <c r="Q1088" s="29" cm="1">
        <f t="array" ref="Q1088">IF(表成绩单[[#This Row],[数学]]="","",SUMPRODUCT((表成绩单[考试日期]=表成绩单[[#This Row],[考试日期]])*(表成绩单[数学]&lt;9E+307)*(表成绩单[数学]&gt;表成绩单[[#This Row],[数学]]))+1)</f>
        <v>249</v>
      </c>
      <c r="R1088" s="29" cm="1">
        <f t="array" ref="R1088">IF(表成绩单[[#This Row],[英语]]="","",SUMPRODUCT((表成绩单[考试日期]=表成绩单[[#This Row],[考试日期]])*(表成绩单[英语]&lt;9E+307)*(表成绩单[英语]&gt;表成绩单[[#This Row],[英语]]))+1)</f>
        <v>48</v>
      </c>
      <c r="S1088" s="29" cm="1">
        <f t="array" ref="S1088">IF(表成绩单[[#This Row],[物理]]="","",SUMPRODUCT((表成绩单[考试日期]=表成绩单[[#This Row],[考试日期]])*(表成绩单[物理]&lt;9E+307)*(表成绩单[物理]&gt;表成绩单[[#This Row],[物理]]))+1)</f>
        <v>376</v>
      </c>
      <c r="T1088" s="29" cm="1">
        <f t="array" ref="T1088">IF(表成绩单[[#This Row],[化学]]="","",SUMPRODUCT((表成绩单[考试日期]=表成绩单[[#This Row],[考试日期]])*(表成绩单[化学]&lt;9E+307)*(表成绩单[化学]&gt;表成绩单[[#This Row],[化学]]))+1)</f>
        <v>286</v>
      </c>
      <c r="U1088" s="29" cm="1">
        <f t="array" ref="U1088">IF(表成绩单[[#This Row],[政治]]="","",SUMPRODUCT((表成绩单[考试日期]=表成绩单[[#This Row],[考试日期]])*(表成绩单[政治]&lt;9E+307)*(表成绩单[政治]&gt;表成绩单[[#This Row],[政治]]))+1)</f>
        <v>289</v>
      </c>
      <c r="V1088" s="29" cm="1">
        <f t="array" ref="V1088">IF(表成绩单[[#This Row],[历史]]="","",SUMPRODUCT((表成绩单[考试日期]=表成绩单[[#This Row],[考试日期]])*(表成绩单[历史]&lt;9E+307)*(表成绩单[历史]&gt;表成绩单[[#This Row],[历史]]))+1)</f>
        <v>439</v>
      </c>
      <c r="W1088" s="29" cm="1">
        <f t="array" ref="W1088">IF(表成绩单[[#This Row],[总分]]="","",SUMPRODUCT((表成绩单[考试日期]=表成绩单[[#This Row],[考试日期]])*(表成绩单[总分]&lt;9E+307)*(表成绩单[总分]&gt;表成绩单[[#This Row],[总分]]))+1)</f>
        <v>281</v>
      </c>
    </row>
    <row r="1089" ht="28" customHeight="1" spans="4:23">
      <c r="D1089" s="31">
        <v>46003</v>
      </c>
      <c r="E1089" s="29">
        <v>19175404</v>
      </c>
      <c r="F1089" s="29" t="s">
        <v>74</v>
      </c>
      <c r="G1089" s="29" t="s">
        <v>334</v>
      </c>
      <c r="H1089" s="29">
        <v>109</v>
      </c>
      <c r="I1089" s="29">
        <v>95</v>
      </c>
      <c r="J1089" s="29">
        <v>78</v>
      </c>
      <c r="K1089" s="29">
        <v>91</v>
      </c>
      <c r="L1089" s="29">
        <v>72</v>
      </c>
      <c r="M1089" s="29">
        <v>61</v>
      </c>
      <c r="N1089" s="29">
        <v>68</v>
      </c>
      <c r="O1089" s="32">
        <v>574</v>
      </c>
      <c r="P1089" s="29" cm="1">
        <f t="array" ref="P1089">IF(表成绩单[[#This Row],[语文]]="","",SUMPRODUCT((表成绩单[考试日期]=表成绩单[[#This Row],[考试日期]])*(表成绩单[语文]&lt;9E+307)*(表成绩单[语文]&gt;表成绩单[[#This Row],[语文]]))+1)</f>
        <v>111</v>
      </c>
      <c r="Q1089" s="29" cm="1">
        <f t="array" ref="Q1089">IF(表成绩单[[#This Row],[数学]]="","",SUMPRODUCT((表成绩单[考试日期]=表成绩单[[#This Row],[考试日期]])*(表成绩单[数学]&lt;9E+307)*(表成绩单[数学]&gt;表成绩单[[#This Row],[数学]]))+1)</f>
        <v>122</v>
      </c>
      <c r="R1089" s="29" cm="1">
        <f t="array" ref="R1089">IF(表成绩单[[#This Row],[英语]]="","",SUMPRODUCT((表成绩单[考试日期]=表成绩单[[#This Row],[考试日期]])*(表成绩单[英语]&lt;9E+307)*(表成绩单[英语]&gt;表成绩单[[#This Row],[英语]]))+1)</f>
        <v>214</v>
      </c>
      <c r="S1089" s="29" cm="1">
        <f t="array" ref="S1089">IF(表成绩单[[#This Row],[物理]]="","",SUMPRODUCT((表成绩单[考试日期]=表成绩单[[#This Row],[考试日期]])*(表成绩单[物理]&lt;9E+307)*(表成绩单[物理]&gt;表成绩单[[#This Row],[物理]]))+1)</f>
        <v>220</v>
      </c>
      <c r="T1089" s="29" cm="1">
        <f t="array" ref="T1089">IF(表成绩单[[#This Row],[化学]]="","",SUMPRODUCT((表成绩单[考试日期]=表成绩单[[#This Row],[考试日期]])*(表成绩单[化学]&lt;9E+307)*(表成绩单[化学]&gt;表成绩单[[#This Row],[化学]]))+1)</f>
        <v>472</v>
      </c>
      <c r="U1089" s="29" cm="1">
        <f t="array" ref="U1089">IF(表成绩单[[#This Row],[政治]]="","",SUMPRODUCT((表成绩单[考试日期]=表成绩单[[#This Row],[考试日期]])*(表成绩单[政治]&lt;9E+307)*(表成绩单[政治]&gt;表成绩单[[#This Row],[政治]]))+1)</f>
        <v>400</v>
      </c>
      <c r="V1089" s="29" cm="1">
        <f t="array" ref="V1089">IF(表成绩单[[#This Row],[历史]]="","",SUMPRODUCT((表成绩单[考试日期]=表成绩单[[#This Row],[考试日期]])*(表成绩单[历史]&lt;9E+307)*(表成绩单[历史]&gt;表成绩单[[#This Row],[历史]]))+1)</f>
        <v>536</v>
      </c>
      <c r="W1089" s="29" cm="1">
        <f t="array" ref="W1089">IF(表成绩单[[#This Row],[总分]]="","",SUMPRODUCT((表成绩单[考试日期]=表成绩单[[#This Row],[考试日期]])*(表成绩单[总分]&lt;9E+307)*(表成绩单[总分]&gt;表成绩单[[#This Row],[总分]]))+1)</f>
        <v>284</v>
      </c>
    </row>
    <row r="1090" ht="28" customHeight="1" spans="4:23">
      <c r="D1090" s="31">
        <v>46003</v>
      </c>
      <c r="E1090" s="29">
        <v>19175682</v>
      </c>
      <c r="F1090" s="29" t="s">
        <v>72</v>
      </c>
      <c r="G1090" s="29" t="s">
        <v>431</v>
      </c>
      <c r="H1090" s="29">
        <v>97</v>
      </c>
      <c r="I1090" s="29">
        <v>79</v>
      </c>
      <c r="J1090" s="29">
        <v>75</v>
      </c>
      <c r="K1090" s="29">
        <v>93</v>
      </c>
      <c r="L1090" s="29">
        <v>92</v>
      </c>
      <c r="M1090" s="29">
        <v>67</v>
      </c>
      <c r="N1090" s="29">
        <v>71</v>
      </c>
      <c r="O1090" s="32">
        <v>574</v>
      </c>
      <c r="P1090" s="29" cm="1">
        <f t="array" ref="P1090">IF(表成绩单[[#This Row],[语文]]="","",SUMPRODUCT((表成绩单[考试日期]=表成绩单[[#This Row],[考试日期]])*(表成绩单[语文]&lt;9E+307)*(表成绩单[语文]&gt;表成绩单[[#This Row],[语文]]))+1)</f>
        <v>488</v>
      </c>
      <c r="Q1090" s="29" cm="1">
        <f t="array" ref="Q1090">IF(表成绩单[[#This Row],[数学]]="","",SUMPRODUCT((表成绩单[考试日期]=表成绩单[[#This Row],[考试日期]])*(表成绩单[数学]&lt;9E+307)*(表成绩单[数学]&gt;表成绩单[[#This Row],[数学]]))+1)</f>
        <v>324</v>
      </c>
      <c r="R1090" s="29" cm="1">
        <f t="array" ref="R1090">IF(表成绩单[[#This Row],[英语]]="","",SUMPRODUCT((表成绩单[考试日期]=表成绩单[[#This Row],[考试日期]])*(表成绩单[英语]&lt;9E+307)*(表成绩单[英语]&gt;表成绩单[[#This Row],[英语]]))+1)</f>
        <v>314</v>
      </c>
      <c r="S1090" s="29" cm="1">
        <f t="array" ref="S1090">IF(表成绩单[[#This Row],[物理]]="","",SUMPRODUCT((表成绩单[考试日期]=表成绩单[[#This Row],[考试日期]])*(表成绩单[物理]&lt;9E+307)*(表成绩单[物理]&gt;表成绩单[[#This Row],[物理]]))+1)</f>
        <v>163</v>
      </c>
      <c r="T1090" s="29" cm="1">
        <f t="array" ref="T1090">IF(表成绩单[[#This Row],[化学]]="","",SUMPRODUCT((表成绩单[考试日期]=表成绩单[[#This Row],[考试日期]])*(表成绩单[化学]&lt;9E+307)*(表成绩单[化学]&gt;表成绩单[[#This Row],[化学]]))+1)</f>
        <v>102</v>
      </c>
      <c r="U1090" s="29" cm="1">
        <f t="array" ref="U1090">IF(表成绩单[[#This Row],[政治]]="","",SUMPRODUCT((表成绩单[考试日期]=表成绩单[[#This Row],[考试日期]])*(表成绩单[政治]&lt;9E+307)*(表成绩单[政治]&gt;表成绩单[[#This Row],[政治]]))+1)</f>
        <v>264</v>
      </c>
      <c r="V1090" s="29" cm="1">
        <f t="array" ref="V1090">IF(表成绩单[[#This Row],[历史]]="","",SUMPRODUCT((表成绩单[考试日期]=表成绩单[[#This Row],[考试日期]])*(表成绩单[历史]&lt;9E+307)*(表成绩单[历史]&gt;表成绩单[[#This Row],[历史]]))+1)</f>
        <v>471</v>
      </c>
      <c r="W1090" s="29" cm="1">
        <f t="array" ref="W1090">IF(表成绩单[[#This Row],[总分]]="","",SUMPRODUCT((表成绩单[考试日期]=表成绩单[[#This Row],[考试日期]])*(表成绩单[总分]&lt;9E+307)*(表成绩单[总分]&gt;表成绩单[[#This Row],[总分]]))+1)</f>
        <v>284</v>
      </c>
    </row>
    <row r="1091" ht="28" customHeight="1" spans="4:23">
      <c r="D1091" s="31">
        <v>46003</v>
      </c>
      <c r="E1091" s="29">
        <v>19174431</v>
      </c>
      <c r="F1091" s="29" t="s">
        <v>73</v>
      </c>
      <c r="G1091" s="29" t="s">
        <v>388</v>
      </c>
      <c r="H1091" s="29">
        <v>105</v>
      </c>
      <c r="I1091" s="29">
        <v>76</v>
      </c>
      <c r="J1091" s="29">
        <v>81.5</v>
      </c>
      <c r="K1091" s="29">
        <v>87</v>
      </c>
      <c r="L1091" s="29">
        <v>82</v>
      </c>
      <c r="M1091" s="29">
        <v>68</v>
      </c>
      <c r="N1091" s="29">
        <v>74</v>
      </c>
      <c r="O1091" s="32">
        <v>573.5</v>
      </c>
      <c r="P1091" s="29" cm="1">
        <f t="array" ref="P1091">IF(表成绩单[[#This Row],[语文]]="","",SUMPRODUCT((表成绩单[考试日期]=表成绩单[[#This Row],[考试日期]])*(表成绩单[语文]&lt;9E+307)*(表成绩单[语文]&gt;表成绩单[[#This Row],[语文]]))+1)</f>
        <v>247</v>
      </c>
      <c r="Q1091" s="29" cm="1">
        <f t="array" ref="Q1091">IF(表成绩单[[#This Row],[数学]]="","",SUMPRODUCT((表成绩单[考试日期]=表成绩单[[#This Row],[考试日期]])*(表成绩单[数学]&lt;9E+307)*(表成绩单[数学]&gt;表成绩单[[#This Row],[数学]]))+1)</f>
        <v>356</v>
      </c>
      <c r="R1091" s="29" cm="1">
        <f t="array" ref="R1091">IF(表成绩单[[#This Row],[英语]]="","",SUMPRODUCT((表成绩单[考试日期]=表成绩单[[#This Row],[考试日期]])*(表成绩单[英语]&lt;9E+307)*(表成绩单[英语]&gt;表成绩单[[#This Row],[英语]]))+1)</f>
        <v>113</v>
      </c>
      <c r="S1091" s="29" cm="1">
        <f t="array" ref="S1091">IF(表成绩单[[#This Row],[物理]]="","",SUMPRODUCT((表成绩单[考试日期]=表成绩单[[#This Row],[考试日期]])*(表成绩单[物理]&lt;9E+307)*(表成绩单[物理]&gt;表成绩单[[#This Row],[物理]]))+1)</f>
        <v>306</v>
      </c>
      <c r="T1091" s="29" cm="1">
        <f t="array" ref="T1091">IF(表成绩单[[#This Row],[化学]]="","",SUMPRODUCT((表成绩单[考试日期]=表成绩单[[#This Row],[考试日期]])*(表成绩单[化学]&lt;9E+307)*(表成绩单[化学]&gt;表成绩单[[#This Row],[化学]]))+1)</f>
        <v>286</v>
      </c>
      <c r="U1091" s="29" cm="1">
        <f t="array" ref="U1091">IF(表成绩单[[#This Row],[政治]]="","",SUMPRODUCT((表成绩单[考试日期]=表成绩单[[#This Row],[考试日期]])*(表成绩单[政治]&lt;9E+307)*(表成绩单[政治]&gt;表成绩单[[#This Row],[政治]]))+1)</f>
        <v>237</v>
      </c>
      <c r="V1091" s="29" cm="1">
        <f t="array" ref="V1091">IF(表成绩单[[#This Row],[历史]]="","",SUMPRODUCT((表成绩单[考试日期]=表成绩单[[#This Row],[考试日期]])*(表成绩单[历史]&lt;9E+307)*(表成绩单[历史]&gt;表成绩单[[#This Row],[历史]]))+1)</f>
        <v>371</v>
      </c>
      <c r="W1091" s="29" cm="1">
        <f t="array" ref="W1091">IF(表成绩单[[#This Row],[总分]]="","",SUMPRODUCT((表成绩单[考试日期]=表成绩单[[#This Row],[考试日期]])*(表成绩单[总分]&lt;9E+307)*(表成绩单[总分]&gt;表成绩单[[#This Row],[总分]]))+1)</f>
        <v>286</v>
      </c>
    </row>
    <row r="1092" ht="28" customHeight="1" spans="4:23">
      <c r="D1092" s="31">
        <v>46003</v>
      </c>
      <c r="E1092" s="29">
        <v>19174449</v>
      </c>
      <c r="F1092" s="29" t="s">
        <v>73</v>
      </c>
      <c r="G1092" s="29" t="s">
        <v>325</v>
      </c>
      <c r="H1092" s="29">
        <v>106</v>
      </c>
      <c r="I1092" s="29">
        <v>80</v>
      </c>
      <c r="J1092" s="29">
        <v>78.5</v>
      </c>
      <c r="K1092" s="29">
        <v>95</v>
      </c>
      <c r="L1092" s="29">
        <v>83</v>
      </c>
      <c r="M1092" s="29">
        <v>54</v>
      </c>
      <c r="N1092" s="29">
        <v>77</v>
      </c>
      <c r="O1092" s="32">
        <v>573.5</v>
      </c>
      <c r="P1092" s="29" cm="1">
        <f t="array" ref="P1092">IF(表成绩单[[#This Row],[语文]]="","",SUMPRODUCT((表成绩单[考试日期]=表成绩单[[#This Row],[考试日期]])*(表成绩单[语文]&lt;9E+307)*(表成绩单[语文]&gt;表成绩单[[#This Row],[语文]]))+1)</f>
        <v>210</v>
      </c>
      <c r="Q1092" s="29" cm="1">
        <f t="array" ref="Q1092">IF(表成绩单[[#This Row],[数学]]="","",SUMPRODUCT((表成绩单[考试日期]=表成绩单[[#This Row],[考试日期]])*(表成绩单[数学]&lt;9E+307)*(表成绩单[数学]&gt;表成绩单[[#This Row],[数学]]))+1)</f>
        <v>310</v>
      </c>
      <c r="R1092" s="29" cm="1">
        <f t="array" ref="R1092">IF(表成绩单[[#This Row],[英语]]="","",SUMPRODUCT((表成绩单[考试日期]=表成绩单[[#This Row],[考试日期]])*(表成绩单[英语]&lt;9E+307)*(表成绩单[英语]&gt;表成绩单[[#This Row],[英语]]))+1)</f>
        <v>206</v>
      </c>
      <c r="S1092" s="29" cm="1">
        <f t="array" ref="S1092">IF(表成绩单[[#This Row],[物理]]="","",SUMPRODUCT((表成绩单[考试日期]=表成绩单[[#This Row],[考试日期]])*(表成绩单[物理]&lt;9E+307)*(表成绩单[物理]&gt;表成绩单[[#This Row],[物理]]))+1)</f>
        <v>97</v>
      </c>
      <c r="T1092" s="29" cm="1">
        <f t="array" ref="T1092">IF(表成绩单[[#This Row],[化学]]="","",SUMPRODUCT((表成绩单[考试日期]=表成绩单[[#This Row],[考试日期]])*(表成绩单[化学]&lt;9E+307)*(表成绩单[化学]&gt;表成绩单[[#This Row],[化学]]))+1)</f>
        <v>272</v>
      </c>
      <c r="U1092" s="29" cm="1">
        <f t="array" ref="U1092">IF(表成绩单[[#This Row],[政治]]="","",SUMPRODUCT((表成绩单[考试日期]=表成绩单[[#This Row],[考试日期]])*(表成绩单[政治]&lt;9E+307)*(表成绩单[政治]&gt;表成绩单[[#This Row],[政治]]))+1)</f>
        <v>524</v>
      </c>
      <c r="V1092" s="29" cm="1">
        <f t="array" ref="V1092">IF(表成绩单[[#This Row],[历史]]="","",SUMPRODUCT((表成绩单[考试日期]=表成绩单[[#This Row],[考试日期]])*(表成绩单[历史]&lt;9E+307)*(表成绩单[历史]&gt;表成绩单[[#This Row],[历史]]))+1)</f>
        <v>235</v>
      </c>
      <c r="W1092" s="29" cm="1">
        <f t="array" ref="W1092">IF(表成绩单[[#This Row],[总分]]="","",SUMPRODUCT((表成绩单[考试日期]=表成绩单[[#This Row],[考试日期]])*(表成绩单[总分]&lt;9E+307)*(表成绩单[总分]&gt;表成绩单[[#This Row],[总分]]))+1)</f>
        <v>286</v>
      </c>
    </row>
    <row r="1093" ht="28" customHeight="1" spans="4:23">
      <c r="D1093" s="31">
        <v>46003</v>
      </c>
      <c r="E1093" s="29">
        <v>19174806</v>
      </c>
      <c r="F1093" s="29" t="s">
        <v>69</v>
      </c>
      <c r="G1093" s="29" t="s">
        <v>416</v>
      </c>
      <c r="H1093" s="29">
        <v>98</v>
      </c>
      <c r="I1093" s="29">
        <v>81</v>
      </c>
      <c r="J1093" s="29">
        <v>72.5</v>
      </c>
      <c r="K1093" s="29">
        <v>90</v>
      </c>
      <c r="L1093" s="29">
        <v>90</v>
      </c>
      <c r="M1093" s="29">
        <v>58</v>
      </c>
      <c r="N1093" s="29">
        <v>84</v>
      </c>
      <c r="O1093" s="32">
        <v>573.5</v>
      </c>
      <c r="P1093" s="29" cm="1">
        <f t="array" ref="P1093">IF(表成绩单[[#This Row],[语文]]="","",SUMPRODUCT((表成绩单[考试日期]=表成绩单[[#This Row],[考试日期]])*(表成绩单[语文]&lt;9E+307)*(表成绩单[语文]&gt;表成绩单[[#This Row],[语文]]))+1)</f>
        <v>463</v>
      </c>
      <c r="Q1093" s="29" cm="1">
        <f t="array" ref="Q1093">IF(表成绩单[[#This Row],[数学]]="","",SUMPRODUCT((表成绩单[考试日期]=表成绩单[[#This Row],[考试日期]])*(表成绩单[数学]&lt;9E+307)*(表成绩单[数学]&gt;表成绩单[[#This Row],[数学]]))+1)</f>
        <v>302</v>
      </c>
      <c r="R1093" s="29" cm="1">
        <f t="array" ref="R1093">IF(表成绩单[[#This Row],[英语]]="","",SUMPRODUCT((表成绩单[考试日期]=表成绩单[[#This Row],[考试日期]])*(表成绩单[英语]&lt;9E+307)*(表成绩单[英语]&gt;表成绩单[[#This Row],[英语]]))+1)</f>
        <v>373</v>
      </c>
      <c r="S1093" s="29" cm="1">
        <f t="array" ref="S1093">IF(表成绩单[[#This Row],[物理]]="","",SUMPRODUCT((表成绩单[考试日期]=表成绩单[[#This Row],[考试日期]])*(表成绩单[物理]&lt;9E+307)*(表成绩单[物理]&gt;表成绩单[[#This Row],[物理]]))+1)</f>
        <v>237</v>
      </c>
      <c r="T1093" s="29" cm="1">
        <f t="array" ref="T1093">IF(表成绩单[[#This Row],[化学]]="","",SUMPRODUCT((表成绩单[考试日期]=表成绩单[[#This Row],[考试日期]])*(表成绩单[化学]&lt;9E+307)*(表成绩单[化学]&gt;表成绩单[[#This Row],[化学]]))+1)</f>
        <v>140</v>
      </c>
      <c r="U1093" s="29" cm="1">
        <f t="array" ref="U1093">IF(表成绩单[[#This Row],[政治]]="","",SUMPRODUCT((表成绩单[考试日期]=表成绩单[[#This Row],[考试日期]])*(表成绩单[政治]&lt;9E+307)*(表成绩单[政治]&gt;表成绩单[[#This Row],[政治]]))+1)</f>
        <v>454</v>
      </c>
      <c r="V1093" s="29" cm="1">
        <f t="array" ref="V1093">IF(表成绩单[[#This Row],[历史]]="","",SUMPRODUCT((表成绩单[考试日期]=表成绩单[[#This Row],[考试日期]])*(表成绩单[历史]&lt;9E+307)*(表成绩单[历史]&gt;表成绩单[[#This Row],[历史]]))+1)</f>
        <v>30</v>
      </c>
      <c r="W1093" s="29" cm="1">
        <f t="array" ref="W1093">IF(表成绩单[[#This Row],[总分]]="","",SUMPRODUCT((表成绩单[考试日期]=表成绩单[[#This Row],[考试日期]])*(表成绩单[总分]&lt;9E+307)*(表成绩单[总分]&gt;表成绩单[[#This Row],[总分]]))+1)</f>
        <v>286</v>
      </c>
    </row>
    <row r="1094" ht="28" customHeight="1" spans="4:23">
      <c r="D1094" s="31">
        <v>46003</v>
      </c>
      <c r="E1094" s="29">
        <v>19177231</v>
      </c>
      <c r="F1094" s="29" t="s">
        <v>70</v>
      </c>
      <c r="G1094" s="29" t="s">
        <v>311</v>
      </c>
      <c r="H1094" s="29">
        <v>103</v>
      </c>
      <c r="I1094" s="29">
        <v>75</v>
      </c>
      <c r="J1094" s="29">
        <v>70.5</v>
      </c>
      <c r="K1094" s="29">
        <v>90</v>
      </c>
      <c r="L1094" s="29">
        <v>87</v>
      </c>
      <c r="M1094" s="29">
        <v>65</v>
      </c>
      <c r="N1094" s="29">
        <v>83</v>
      </c>
      <c r="O1094" s="32">
        <v>573.5</v>
      </c>
      <c r="P1094" s="29" cm="1">
        <f t="array" ref="P1094">IF(表成绩单[[#This Row],[语文]]="","",SUMPRODUCT((表成绩单[考试日期]=表成绩单[[#This Row],[考试日期]])*(表成绩单[语文]&lt;9E+307)*(表成绩单[语文]&gt;表成绩单[[#This Row],[语文]]))+1)</f>
        <v>333</v>
      </c>
      <c r="Q1094" s="29" cm="1">
        <f t="array" ref="Q1094">IF(表成绩单[[#This Row],[数学]]="","",SUMPRODUCT((表成绩单[考试日期]=表成绩单[[#This Row],[考试日期]])*(表成绩单[数学]&lt;9E+307)*(表成绩单[数学]&gt;表成绩单[[#This Row],[数学]]))+1)</f>
        <v>364</v>
      </c>
      <c r="R1094" s="29" cm="1">
        <f t="array" ref="R1094">IF(表成绩单[[#This Row],[英语]]="","",SUMPRODUCT((表成绩单[考试日期]=表成绩单[[#This Row],[考试日期]])*(表成绩单[英语]&lt;9E+307)*(表成绩单[英语]&gt;表成绩单[[#This Row],[英语]]))+1)</f>
        <v>413</v>
      </c>
      <c r="S1094" s="29" cm="1">
        <f t="array" ref="S1094">IF(表成绩单[[#This Row],[物理]]="","",SUMPRODUCT((表成绩单[考试日期]=表成绩单[[#This Row],[考试日期]])*(表成绩单[物理]&lt;9E+307)*(表成绩单[物理]&gt;表成绩单[[#This Row],[物理]]))+1)</f>
        <v>237</v>
      </c>
      <c r="T1094" s="29" cm="1">
        <f t="array" ref="T1094">IF(表成绩单[[#This Row],[化学]]="","",SUMPRODUCT((表成绩单[考试日期]=表成绩单[[#This Row],[考试日期]])*(表成绩单[化学]&lt;9E+307)*(表成绩单[化学]&gt;表成绩单[[#This Row],[化学]]))+1)</f>
        <v>201</v>
      </c>
      <c r="U1094" s="29" cm="1">
        <f t="array" ref="U1094">IF(表成绩单[[#This Row],[政治]]="","",SUMPRODUCT((表成绩单[考试日期]=表成绩单[[#This Row],[考试日期]])*(表成绩单[政治]&lt;9E+307)*(表成绩单[政治]&gt;表成绩单[[#This Row],[政治]]))+1)</f>
        <v>314</v>
      </c>
      <c r="V1094" s="29" cm="1">
        <f t="array" ref="V1094">IF(表成绩单[[#This Row],[历史]]="","",SUMPRODUCT((表成绩单[考试日期]=表成绩单[[#This Row],[考试日期]])*(表成绩单[历史]&lt;9E+307)*(表成绩单[历史]&gt;表成绩单[[#This Row],[历史]]))+1)</f>
        <v>46</v>
      </c>
      <c r="W1094" s="29" cm="1">
        <f t="array" ref="W1094">IF(表成绩单[[#This Row],[总分]]="","",SUMPRODUCT((表成绩单[考试日期]=表成绩单[[#This Row],[考试日期]])*(表成绩单[总分]&lt;9E+307)*(表成绩单[总分]&gt;表成绩单[[#This Row],[总分]]))+1)</f>
        <v>286</v>
      </c>
    </row>
    <row r="1095" ht="28" customHeight="1" spans="4:23">
      <c r="D1095" s="31">
        <v>46003</v>
      </c>
      <c r="E1095" s="29">
        <v>19173262</v>
      </c>
      <c r="F1095" s="29" t="s">
        <v>61</v>
      </c>
      <c r="G1095" s="29" t="s">
        <v>484</v>
      </c>
      <c r="H1095" s="29">
        <v>101</v>
      </c>
      <c r="I1095" s="29">
        <v>102</v>
      </c>
      <c r="J1095" s="29">
        <v>54</v>
      </c>
      <c r="K1095" s="29">
        <v>90</v>
      </c>
      <c r="L1095" s="29">
        <v>89</v>
      </c>
      <c r="M1095" s="29">
        <v>61</v>
      </c>
      <c r="N1095" s="29">
        <v>76</v>
      </c>
      <c r="O1095" s="32">
        <v>573</v>
      </c>
      <c r="P1095" s="29" cm="1">
        <f t="array" ref="P1095">IF(表成绩单[[#This Row],[语文]]="","",SUMPRODUCT((表成绩单[考试日期]=表成绩单[[#This Row],[考试日期]])*(表成绩单[语文]&lt;9E+307)*(表成绩单[语文]&gt;表成绩单[[#This Row],[语文]]))+1)</f>
        <v>387</v>
      </c>
      <c r="Q1095" s="29" cm="1">
        <f t="array" ref="Q1095">IF(表成绩单[[#This Row],[数学]]="","",SUMPRODUCT((表成绩单[考试日期]=表成绩单[[#This Row],[考试日期]])*(表成绩单[数学]&lt;9E+307)*(表成绩单[数学]&gt;表成绩单[[#This Row],[数学]]))+1)</f>
        <v>52</v>
      </c>
      <c r="R1095" s="29" cm="1">
        <f t="array" ref="R1095">IF(表成绩单[[#This Row],[英语]]="","",SUMPRODUCT((表成绩单[考试日期]=表成绩单[[#This Row],[考试日期]])*(表成绩单[英语]&lt;9E+307)*(表成绩单[英语]&gt;表成绩单[[#This Row],[英语]]))+1)</f>
        <v>575</v>
      </c>
      <c r="S1095" s="29" cm="1">
        <f t="array" ref="S1095">IF(表成绩单[[#This Row],[物理]]="","",SUMPRODUCT((表成绩单[考试日期]=表成绩单[[#This Row],[考试日期]])*(表成绩单[物理]&lt;9E+307)*(表成绩单[物理]&gt;表成绩单[[#This Row],[物理]]))+1)</f>
        <v>237</v>
      </c>
      <c r="T1095" s="29" cm="1">
        <f t="array" ref="T1095">IF(表成绩单[[#This Row],[化学]]="","",SUMPRODUCT((表成绩单[考试日期]=表成绩单[[#This Row],[考试日期]])*(表成绩单[化学]&lt;9E+307)*(表成绩单[化学]&gt;表成绩单[[#This Row],[化学]]))+1)</f>
        <v>157</v>
      </c>
      <c r="U1095" s="29" cm="1">
        <f t="array" ref="U1095">IF(表成绩单[[#This Row],[政治]]="","",SUMPRODUCT((表成绩单[考试日期]=表成绩单[[#This Row],[考试日期]])*(表成绩单[政治]&lt;9E+307)*(表成绩单[政治]&gt;表成绩单[[#This Row],[政治]]))+1)</f>
        <v>400</v>
      </c>
      <c r="V1095" s="29" cm="1">
        <f t="array" ref="V1095">IF(表成绩单[[#This Row],[历史]]="","",SUMPRODUCT((表成绩单[考试日期]=表成绩单[[#This Row],[考试日期]])*(表成绩单[历史]&lt;9E+307)*(表成绩单[历史]&gt;表成绩单[[#This Row],[历史]]))+1)</f>
        <v>279</v>
      </c>
      <c r="W1095" s="29" cm="1">
        <f t="array" ref="W1095">IF(表成绩单[[#This Row],[总分]]="","",SUMPRODUCT((表成绩单[考试日期]=表成绩单[[#This Row],[考试日期]])*(表成绩单[总分]&lt;9E+307)*(表成绩单[总分]&gt;表成绩单[[#This Row],[总分]]))+1)</f>
        <v>290</v>
      </c>
    </row>
    <row r="1096" ht="28" customHeight="1" spans="4:23">
      <c r="D1096" s="31">
        <v>46003</v>
      </c>
      <c r="E1096" s="29">
        <v>19174804</v>
      </c>
      <c r="F1096" s="29" t="s">
        <v>69</v>
      </c>
      <c r="G1096" s="29" t="s">
        <v>349</v>
      </c>
      <c r="H1096" s="29">
        <v>99</v>
      </c>
      <c r="I1096" s="29">
        <v>82</v>
      </c>
      <c r="J1096" s="29">
        <v>73</v>
      </c>
      <c r="K1096" s="29">
        <v>95</v>
      </c>
      <c r="L1096" s="29">
        <v>85</v>
      </c>
      <c r="M1096" s="29">
        <v>57</v>
      </c>
      <c r="N1096" s="29">
        <v>82</v>
      </c>
      <c r="O1096" s="32">
        <v>573</v>
      </c>
      <c r="P1096" s="29" cm="1">
        <f t="array" ref="P1096">IF(表成绩单[[#This Row],[语文]]="","",SUMPRODUCT((表成绩单[考试日期]=表成绩单[[#This Row],[考试日期]])*(表成绩单[语文]&lt;9E+307)*(表成绩单[语文]&gt;表成绩单[[#This Row],[语文]]))+1)</f>
        <v>440</v>
      </c>
      <c r="Q1096" s="29" cm="1">
        <f t="array" ref="Q1096">IF(表成绩单[[#This Row],[数学]]="","",SUMPRODUCT((表成绩单[考试日期]=表成绩单[[#This Row],[考试日期]])*(表成绩单[数学]&lt;9E+307)*(表成绩单[数学]&gt;表成绩单[[#This Row],[数学]]))+1)</f>
        <v>290</v>
      </c>
      <c r="R1096" s="29" cm="1">
        <f t="array" ref="R1096">IF(表成绩单[[#This Row],[英语]]="","",SUMPRODUCT((表成绩单[考试日期]=表成绩单[[#This Row],[考试日期]])*(表成绩单[英语]&lt;9E+307)*(表成绩单[英语]&gt;表成绩单[[#This Row],[英语]]))+1)</f>
        <v>363</v>
      </c>
      <c r="S1096" s="29" cm="1">
        <f t="array" ref="S1096">IF(表成绩单[[#This Row],[物理]]="","",SUMPRODUCT((表成绩单[考试日期]=表成绩单[[#This Row],[考试日期]])*(表成绩单[物理]&lt;9E+307)*(表成绩单[物理]&gt;表成绩单[[#This Row],[物理]]))+1)</f>
        <v>97</v>
      </c>
      <c r="T1096" s="29" cm="1">
        <f t="array" ref="T1096">IF(表成绩单[[#This Row],[化学]]="","",SUMPRODUCT((表成绩单[考试日期]=表成绩单[[#This Row],[考试日期]])*(表成绩单[化学]&lt;9E+307)*(表成绩单[化学]&gt;表成绩单[[#This Row],[化学]]))+1)</f>
        <v>240</v>
      </c>
      <c r="U1096" s="29" cm="1">
        <f t="array" ref="U1096">IF(表成绩单[[#This Row],[政治]]="","",SUMPRODUCT((表成绩单[考试日期]=表成绩单[[#This Row],[考试日期]])*(表成绩单[政治]&lt;9E+307)*(表成绩单[政治]&gt;表成绩单[[#This Row],[政治]]))+1)</f>
        <v>474</v>
      </c>
      <c r="V1096" s="29" cm="1">
        <f t="array" ref="V1096">IF(表成绩单[[#This Row],[历史]]="","",SUMPRODUCT((表成绩单[考试日期]=表成绩单[[#This Row],[考试日期]])*(表成绩单[历史]&lt;9E+307)*(表成绩单[历史]&gt;表成绩单[[#This Row],[历史]]))+1)</f>
        <v>66</v>
      </c>
      <c r="W1096" s="29" cm="1">
        <f t="array" ref="W1096">IF(表成绩单[[#This Row],[总分]]="","",SUMPRODUCT((表成绩单[考试日期]=表成绩单[[#This Row],[考试日期]])*(表成绩单[总分]&lt;9E+307)*(表成绩单[总分]&gt;表成绩单[[#This Row],[总分]]))+1)</f>
        <v>290</v>
      </c>
    </row>
    <row r="1097" ht="28" customHeight="1" spans="4:23">
      <c r="D1097" s="31">
        <v>46003</v>
      </c>
      <c r="E1097" s="29">
        <v>19175672</v>
      </c>
      <c r="F1097" s="29" t="s">
        <v>72</v>
      </c>
      <c r="G1097" s="29" t="s">
        <v>194</v>
      </c>
      <c r="H1097" s="29">
        <v>108</v>
      </c>
      <c r="I1097" s="29">
        <v>86</v>
      </c>
      <c r="J1097" s="29">
        <v>78.5</v>
      </c>
      <c r="K1097" s="29">
        <v>83</v>
      </c>
      <c r="L1097" s="29">
        <v>80</v>
      </c>
      <c r="M1097" s="29">
        <v>63</v>
      </c>
      <c r="N1097" s="29">
        <v>74</v>
      </c>
      <c r="O1097" s="32">
        <v>572.5</v>
      </c>
      <c r="P1097" s="29" cm="1">
        <f t="array" ref="P1097">IF(表成绩单[[#This Row],[语文]]="","",SUMPRODUCT((表成绩单[考试日期]=表成绩单[[#This Row],[考试日期]])*(表成绩单[语文]&lt;9E+307)*(表成绩单[语文]&gt;表成绩单[[#This Row],[语文]]))+1)</f>
        <v>154</v>
      </c>
      <c r="Q1097" s="29" cm="1">
        <f t="array" ref="Q1097">IF(表成绩单[[#This Row],[数学]]="","",SUMPRODUCT((表成绩单[考试日期]=表成绩单[[#This Row],[考试日期]])*(表成绩单[数学]&lt;9E+307)*(表成绩单[数学]&gt;表成绩单[[#This Row],[数学]]))+1)</f>
        <v>231</v>
      </c>
      <c r="R1097" s="29" cm="1">
        <f t="array" ref="R1097">IF(表成绩单[[#This Row],[英语]]="","",SUMPRODUCT((表成绩单[考试日期]=表成绩单[[#This Row],[考试日期]])*(表成绩单[英语]&lt;9E+307)*(表成绩单[英语]&gt;表成绩单[[#This Row],[英语]]))+1)</f>
        <v>206</v>
      </c>
      <c r="S1097" s="29" cm="1">
        <f t="array" ref="S1097">IF(表成绩单[[#This Row],[物理]]="","",SUMPRODUCT((表成绩单[考试日期]=表成绩单[[#This Row],[考试日期]])*(表成绩单[物理]&lt;9E+307)*(表成绩单[物理]&gt;表成绩单[[#This Row],[物理]]))+1)</f>
        <v>376</v>
      </c>
      <c r="T1097" s="29" cm="1">
        <f t="array" ref="T1097">IF(表成绩单[[#This Row],[化学]]="","",SUMPRODUCT((表成绩单[考试日期]=表成绩单[[#This Row],[考试日期]])*(表成绩单[化学]&lt;9E+307)*(表成绩单[化学]&gt;表成绩单[[#This Row],[化学]]))+1)</f>
        <v>327</v>
      </c>
      <c r="U1097" s="29" cm="1">
        <f t="array" ref="U1097">IF(表成绩单[[#This Row],[政治]]="","",SUMPRODUCT((表成绩单[考试日期]=表成绩单[[#This Row],[考试日期]])*(表成绩单[政治]&lt;9E+307)*(表成绩单[政治]&gt;表成绩单[[#This Row],[政治]]))+1)</f>
        <v>360</v>
      </c>
      <c r="V1097" s="29" cm="1">
        <f t="array" ref="V1097">IF(表成绩单[[#This Row],[历史]]="","",SUMPRODUCT((表成绩单[考试日期]=表成绩单[[#This Row],[考试日期]])*(表成绩单[历史]&lt;9E+307)*(表成绩单[历史]&gt;表成绩单[[#This Row],[历史]]))+1)</f>
        <v>371</v>
      </c>
      <c r="W1097" s="29" cm="1">
        <f t="array" ref="W1097">IF(表成绩单[[#This Row],[总分]]="","",SUMPRODUCT((表成绩单[考试日期]=表成绩单[[#This Row],[考试日期]])*(表成绩单[总分]&lt;9E+307)*(表成绩单[总分]&gt;表成绩单[[#This Row],[总分]]))+1)</f>
        <v>292</v>
      </c>
    </row>
    <row r="1098" ht="28" customHeight="1" spans="4:23">
      <c r="D1098" s="31">
        <v>46003</v>
      </c>
      <c r="E1098" s="29">
        <v>19177637</v>
      </c>
      <c r="F1098" s="29" t="s">
        <v>63</v>
      </c>
      <c r="G1098" s="29" t="s">
        <v>301</v>
      </c>
      <c r="H1098" s="29">
        <v>104</v>
      </c>
      <c r="I1098" s="29">
        <v>86</v>
      </c>
      <c r="J1098" s="29">
        <v>69</v>
      </c>
      <c r="K1098" s="29">
        <v>95</v>
      </c>
      <c r="L1098" s="29">
        <v>77</v>
      </c>
      <c r="M1098" s="29">
        <v>59</v>
      </c>
      <c r="N1098" s="29">
        <v>82</v>
      </c>
      <c r="O1098" s="32">
        <v>572</v>
      </c>
      <c r="P1098" s="29" cm="1">
        <f t="array" ref="P1098">IF(表成绩单[[#This Row],[语文]]="","",SUMPRODUCT((表成绩单[考试日期]=表成绩单[[#This Row],[考试日期]])*(表成绩单[语文]&lt;9E+307)*(表成绩单[语文]&gt;表成绩单[[#This Row],[语文]]))+1)</f>
        <v>290</v>
      </c>
      <c r="Q1098" s="29" cm="1">
        <f t="array" ref="Q1098">IF(表成绩单[[#This Row],[数学]]="","",SUMPRODUCT((表成绩单[考试日期]=表成绩单[[#This Row],[考试日期]])*(表成绩单[数学]&lt;9E+307)*(表成绩单[数学]&gt;表成绩单[[#This Row],[数学]]))+1)</f>
        <v>231</v>
      </c>
      <c r="R1098" s="29" cm="1">
        <f t="array" ref="R1098">IF(表成绩单[[#This Row],[英语]]="","",SUMPRODUCT((表成绩单[考试日期]=表成绩单[[#This Row],[考试日期]])*(表成绩单[英语]&lt;9E+307)*(表成绩单[英语]&gt;表成绩单[[#This Row],[英语]]))+1)</f>
        <v>434</v>
      </c>
      <c r="S1098" s="29" cm="1">
        <f t="array" ref="S1098">IF(表成绩单[[#This Row],[物理]]="","",SUMPRODUCT((表成绩单[考试日期]=表成绩单[[#This Row],[考试日期]])*(表成绩单[物理]&lt;9E+307)*(表成绩单[物理]&gt;表成绩单[[#This Row],[物理]]))+1)</f>
        <v>97</v>
      </c>
      <c r="T1098" s="29" cm="1">
        <f t="array" ref="T1098">IF(表成绩单[[#This Row],[化学]]="","",SUMPRODUCT((表成绩单[考试日期]=表成绩单[[#This Row],[考试日期]])*(表成绩单[化学]&lt;9E+307)*(表成绩单[化学]&gt;表成绩单[[#This Row],[化学]]))+1)</f>
        <v>388</v>
      </c>
      <c r="U1098" s="29" cm="1">
        <f t="array" ref="U1098">IF(表成绩单[[#This Row],[政治]]="","",SUMPRODUCT((表成绩单[考试日期]=表成绩单[[#This Row],[考试日期]])*(表成绩单[政治]&lt;9E+307)*(表成绩单[政治]&gt;表成绩单[[#This Row],[政治]]))+1)</f>
        <v>435</v>
      </c>
      <c r="V1098" s="29" cm="1">
        <f t="array" ref="V1098">IF(表成绩单[[#This Row],[历史]]="","",SUMPRODUCT((表成绩单[考试日期]=表成绩单[[#This Row],[考试日期]])*(表成绩单[历史]&lt;9E+307)*(表成绩单[历史]&gt;表成绩单[[#This Row],[历史]]))+1)</f>
        <v>66</v>
      </c>
      <c r="W1098" s="29" cm="1">
        <f t="array" ref="W1098">IF(表成绩单[[#This Row],[总分]]="","",SUMPRODUCT((表成绩单[考试日期]=表成绩单[[#This Row],[考试日期]])*(表成绩单[总分]&lt;9E+307)*(表成绩单[总分]&gt;表成绩单[[#This Row],[总分]]))+1)</f>
        <v>293</v>
      </c>
    </row>
    <row r="1099" ht="28" customHeight="1" spans="4:23">
      <c r="D1099" s="31">
        <v>46003</v>
      </c>
      <c r="E1099" s="29">
        <v>19177654</v>
      </c>
      <c r="F1099" s="29" t="s">
        <v>63</v>
      </c>
      <c r="G1099" s="29" t="s">
        <v>432</v>
      </c>
      <c r="H1099" s="29">
        <v>102</v>
      </c>
      <c r="I1099" s="29">
        <v>72</v>
      </c>
      <c r="J1099" s="29">
        <v>73</v>
      </c>
      <c r="K1099" s="29">
        <v>92</v>
      </c>
      <c r="L1099" s="29">
        <v>82</v>
      </c>
      <c r="M1099" s="29">
        <v>78</v>
      </c>
      <c r="N1099" s="29">
        <v>73</v>
      </c>
      <c r="O1099" s="32">
        <v>572</v>
      </c>
      <c r="P1099" s="29" cm="1">
        <f t="array" ref="P1099">IF(表成绩单[[#This Row],[语文]]="","",SUMPRODUCT((表成绩单[考试日期]=表成绩单[[#This Row],[考试日期]])*(表成绩单[语文]&lt;9E+307)*(表成绩单[语文]&gt;表成绩单[[#This Row],[语文]]))+1)</f>
        <v>366</v>
      </c>
      <c r="Q1099" s="29" cm="1">
        <f t="array" ref="Q1099">IF(表成绩单[[#This Row],[数学]]="","",SUMPRODUCT((表成绩单[考试日期]=表成绩单[[#This Row],[考试日期]])*(表成绩单[数学]&lt;9E+307)*(表成绩单[数学]&gt;表成绩单[[#This Row],[数学]]))+1)</f>
        <v>396</v>
      </c>
      <c r="R1099" s="29" cm="1">
        <f t="array" ref="R1099">IF(表成绩单[[#This Row],[英语]]="","",SUMPRODUCT((表成绩单[考试日期]=表成绩单[[#This Row],[考试日期]])*(表成绩单[英语]&lt;9E+307)*(表成绩单[英语]&gt;表成绩单[[#This Row],[英语]]))+1)</f>
        <v>363</v>
      </c>
      <c r="S1099" s="29" cm="1">
        <f t="array" ref="S1099">IF(表成绩单[[#This Row],[物理]]="","",SUMPRODUCT((表成绩单[考试日期]=表成绩单[[#This Row],[考试日期]])*(表成绩单[物理]&lt;9E+307)*(表成绩单[物理]&gt;表成绩单[[#This Row],[物理]]))+1)</f>
        <v>191</v>
      </c>
      <c r="T1099" s="29" cm="1">
        <f t="array" ref="T1099">IF(表成绩单[[#This Row],[化学]]="","",SUMPRODUCT((表成绩单[考试日期]=表成绩单[[#This Row],[考试日期]])*(表成绩单[化学]&lt;9E+307)*(表成绩单[化学]&gt;表成绩单[[#This Row],[化学]]))+1)</f>
        <v>286</v>
      </c>
      <c r="U1099" s="29" cm="1">
        <f t="array" ref="U1099">IF(表成绩单[[#This Row],[政治]]="","",SUMPRODUCT((表成绩单[考试日期]=表成绩单[[#This Row],[考试日期]])*(表成绩单[政治]&lt;9E+307)*(表成绩单[政治]&gt;表成绩单[[#This Row],[政治]]))+1)</f>
        <v>46</v>
      </c>
      <c r="V1099" s="29" cm="1">
        <f t="array" ref="V1099">IF(表成绩单[[#This Row],[历史]]="","",SUMPRODUCT((表成绩单[考试日期]=表成绩单[[#This Row],[考试日期]])*(表成绩单[历史]&lt;9E+307)*(表成绩单[历史]&gt;表成绩单[[#This Row],[历史]]))+1)</f>
        <v>403</v>
      </c>
      <c r="W1099" s="29" cm="1">
        <f t="array" ref="W1099">IF(表成绩单[[#This Row],[总分]]="","",SUMPRODUCT((表成绩单[考试日期]=表成绩单[[#This Row],[考试日期]])*(表成绩单[总分]&lt;9E+307)*(表成绩单[总分]&gt;表成绩单[[#This Row],[总分]]))+1)</f>
        <v>293</v>
      </c>
    </row>
    <row r="1100" ht="28" customHeight="1" spans="4:23">
      <c r="D1100" s="31">
        <v>46003</v>
      </c>
      <c r="E1100" s="29">
        <v>19174454</v>
      </c>
      <c r="F1100" s="29" t="s">
        <v>73</v>
      </c>
      <c r="G1100" s="29" t="s">
        <v>440</v>
      </c>
      <c r="H1100" s="29">
        <v>106</v>
      </c>
      <c r="I1100" s="29">
        <v>77</v>
      </c>
      <c r="J1100" s="29">
        <v>78.5</v>
      </c>
      <c r="K1100" s="29">
        <v>79</v>
      </c>
      <c r="L1100" s="29">
        <v>80</v>
      </c>
      <c r="M1100" s="29">
        <v>75</v>
      </c>
      <c r="N1100" s="29">
        <v>76</v>
      </c>
      <c r="O1100" s="32">
        <v>571.5</v>
      </c>
      <c r="P1100" s="29" cm="1">
        <f t="array" ref="P1100">IF(表成绩单[[#This Row],[语文]]="","",SUMPRODUCT((表成绩单[考试日期]=表成绩单[[#This Row],[考试日期]])*(表成绩单[语文]&lt;9E+307)*(表成绩单[语文]&gt;表成绩单[[#This Row],[语文]]))+1)</f>
        <v>210</v>
      </c>
      <c r="Q1100" s="29" cm="1">
        <f t="array" ref="Q1100">IF(表成绩单[[#This Row],[数学]]="","",SUMPRODUCT((表成绩单[考试日期]=表成绩单[[#This Row],[考试日期]])*(表成绩单[数学]&lt;9E+307)*(表成绩单[数学]&gt;表成绩单[[#This Row],[数学]]))+1)</f>
        <v>343</v>
      </c>
      <c r="R1100" s="29" cm="1">
        <f t="array" ref="R1100">IF(表成绩单[[#This Row],[英语]]="","",SUMPRODUCT((表成绩单[考试日期]=表成绩单[[#This Row],[考试日期]])*(表成绩单[英语]&lt;9E+307)*(表成绩单[英语]&gt;表成绩单[[#This Row],[英语]]))+1)</f>
        <v>206</v>
      </c>
      <c r="S1100" s="29" cm="1">
        <f t="array" ref="S1100">IF(表成绩单[[#This Row],[物理]]="","",SUMPRODUCT((表成绩单[考试日期]=表成绩单[[#This Row],[考试日期]])*(表成绩单[物理]&lt;9E+307)*(表成绩单[物理]&gt;表成绩单[[#This Row],[物理]]))+1)</f>
        <v>432</v>
      </c>
      <c r="T1100" s="29" cm="1">
        <f t="array" ref="T1100">IF(表成绩单[[#This Row],[化学]]="","",SUMPRODUCT((表成绩单[考试日期]=表成绩单[[#This Row],[考试日期]])*(表成绩单[化学]&lt;9E+307)*(表成绩单[化学]&gt;表成绩单[[#This Row],[化学]]))+1)</f>
        <v>327</v>
      </c>
      <c r="U1100" s="29" cm="1">
        <f t="array" ref="U1100">IF(表成绩单[[#This Row],[政治]]="","",SUMPRODUCT((表成绩单[考试日期]=表成绩单[[#This Row],[考试日期]])*(表成绩单[政治]&lt;9E+307)*(表成绩单[政治]&gt;表成绩单[[#This Row],[政治]]))+1)</f>
        <v>102</v>
      </c>
      <c r="V1100" s="29" cm="1">
        <f t="array" ref="V1100">IF(表成绩单[[#This Row],[历史]]="","",SUMPRODUCT((表成绩单[考试日期]=表成绩单[[#This Row],[考试日期]])*(表成绩单[历史]&lt;9E+307)*(表成绩单[历史]&gt;表成绩单[[#This Row],[历史]]))+1)</f>
        <v>279</v>
      </c>
      <c r="W1100" s="29" cm="1">
        <f t="array" ref="W1100">IF(表成绩单[[#This Row],[总分]]="","",SUMPRODUCT((表成绩单[考试日期]=表成绩单[[#This Row],[考试日期]])*(表成绩单[总分]&lt;9E+307)*(表成绩单[总分]&gt;表成绩单[[#This Row],[总分]]))+1)</f>
        <v>295</v>
      </c>
    </row>
    <row r="1101" ht="28" customHeight="1" spans="4:23">
      <c r="D1101" s="31">
        <v>46003</v>
      </c>
      <c r="E1101" s="29">
        <v>19175660</v>
      </c>
      <c r="F1101" s="29" t="s">
        <v>66</v>
      </c>
      <c r="G1101" s="29" t="s">
        <v>328</v>
      </c>
      <c r="H1101" s="29">
        <v>100</v>
      </c>
      <c r="I1101" s="29">
        <v>76</v>
      </c>
      <c r="J1101" s="29">
        <v>77.5</v>
      </c>
      <c r="K1101" s="29">
        <v>94</v>
      </c>
      <c r="L1101" s="29">
        <v>92</v>
      </c>
      <c r="M1101" s="29">
        <v>60</v>
      </c>
      <c r="N1101" s="29">
        <v>72</v>
      </c>
      <c r="O1101" s="32">
        <v>571.5</v>
      </c>
      <c r="P1101" s="29" cm="1">
        <f t="array" ref="P1101">IF(表成绩单[[#This Row],[语文]]="","",SUMPRODUCT((表成绩单[考试日期]=表成绩单[[#This Row],[考试日期]])*(表成绩单[语文]&lt;9E+307)*(表成绩单[语文]&gt;表成绩单[[#This Row],[语文]]))+1)</f>
        <v>414</v>
      </c>
      <c r="Q1101" s="29" cm="1">
        <f t="array" ref="Q1101">IF(表成绩单[[#This Row],[数学]]="","",SUMPRODUCT((表成绩单[考试日期]=表成绩单[[#This Row],[考试日期]])*(表成绩单[数学]&lt;9E+307)*(表成绩单[数学]&gt;表成绩单[[#This Row],[数学]]))+1)</f>
        <v>356</v>
      </c>
      <c r="R1101" s="29" cm="1">
        <f t="array" ref="R1101">IF(表成绩单[[#This Row],[英语]]="","",SUMPRODUCT((表成绩单[考试日期]=表成绩单[[#This Row],[考试日期]])*(表成绩单[英语]&lt;9E+307)*(表成绩单[英语]&gt;表成绩单[[#This Row],[英语]]))+1)</f>
        <v>230</v>
      </c>
      <c r="S1101" s="29" cm="1">
        <f t="array" ref="S1101">IF(表成绩单[[#This Row],[物理]]="","",SUMPRODUCT((表成绩单[考试日期]=表成绩单[[#This Row],[考试日期]])*(表成绩单[物理]&lt;9E+307)*(表成绩单[物理]&gt;表成绩单[[#This Row],[物理]]))+1)</f>
        <v>125</v>
      </c>
      <c r="T1101" s="29" cm="1">
        <f t="array" ref="T1101">IF(表成绩单[[#This Row],[化学]]="","",SUMPRODUCT((表成绩单[考试日期]=表成绩单[[#This Row],[考试日期]])*(表成绩单[化学]&lt;9E+307)*(表成绩单[化学]&gt;表成绩单[[#This Row],[化学]]))+1)</f>
        <v>102</v>
      </c>
      <c r="U1101" s="29" cm="1">
        <f t="array" ref="U1101">IF(表成绩单[[#This Row],[政治]]="","",SUMPRODUCT((表成绩单[考试日期]=表成绩单[[#This Row],[考试日期]])*(表成绩单[政治]&lt;9E+307)*(表成绩单[政治]&gt;表成绩单[[#This Row],[政治]]))+1)</f>
        <v>421</v>
      </c>
      <c r="V1101" s="29" cm="1">
        <f t="array" ref="V1101">IF(表成绩单[[#This Row],[历史]]="","",SUMPRODUCT((表成绩单[考试日期]=表成绩单[[#This Row],[考试日期]])*(表成绩单[历史]&lt;9E+307)*(表成绩单[历史]&gt;表成绩单[[#This Row],[历史]]))+1)</f>
        <v>439</v>
      </c>
      <c r="W1101" s="29" cm="1">
        <f t="array" ref="W1101">IF(表成绩单[[#This Row],[总分]]="","",SUMPRODUCT((表成绩单[考试日期]=表成绩单[[#This Row],[考试日期]])*(表成绩单[总分]&lt;9E+307)*(表成绩单[总分]&gt;表成绩单[[#This Row],[总分]]))+1)</f>
        <v>295</v>
      </c>
    </row>
    <row r="1102" ht="28" customHeight="1" spans="4:23">
      <c r="D1102" s="31">
        <v>46003</v>
      </c>
      <c r="E1102" s="29">
        <v>19173261</v>
      </c>
      <c r="F1102" s="29" t="s">
        <v>61</v>
      </c>
      <c r="G1102" s="29" t="s">
        <v>407</v>
      </c>
      <c r="H1102" s="29">
        <v>103</v>
      </c>
      <c r="I1102" s="29">
        <v>89</v>
      </c>
      <c r="J1102" s="29">
        <v>76.5</v>
      </c>
      <c r="K1102" s="29">
        <v>76</v>
      </c>
      <c r="L1102" s="29">
        <v>73</v>
      </c>
      <c r="M1102" s="29">
        <v>79</v>
      </c>
      <c r="N1102" s="29">
        <v>74</v>
      </c>
      <c r="O1102" s="32">
        <v>570.5</v>
      </c>
      <c r="P1102" s="29" cm="1">
        <f t="array" ref="P1102">IF(表成绩单[[#This Row],[语文]]="","",SUMPRODUCT((表成绩单[考试日期]=表成绩单[[#This Row],[考试日期]])*(表成绩单[语文]&lt;9E+307)*(表成绩单[语文]&gt;表成绩单[[#This Row],[语文]]))+1)</f>
        <v>333</v>
      </c>
      <c r="Q1102" s="29" cm="1">
        <f t="array" ref="Q1102">IF(表成绩单[[#This Row],[数学]]="","",SUMPRODUCT((表成绩单[考试日期]=表成绩单[[#This Row],[考试日期]])*(表成绩单[数学]&lt;9E+307)*(表成绩单[数学]&gt;表成绩单[[#This Row],[数学]]))+1)</f>
        <v>201</v>
      </c>
      <c r="R1102" s="29" cm="1">
        <f t="array" ref="R1102">IF(表成绩单[[#This Row],[英语]]="","",SUMPRODUCT((表成绩单[考试日期]=表成绩单[[#This Row],[考试日期]])*(表成绩单[英语]&lt;9E+307)*(表成绩单[英语]&gt;表成绩单[[#This Row],[英语]]))+1)</f>
        <v>272</v>
      </c>
      <c r="S1102" s="29" cm="1">
        <f t="array" ref="S1102">IF(表成绩单[[#This Row],[物理]]="","",SUMPRODUCT((表成绩单[考试日期]=表成绩单[[#This Row],[考试日期]])*(表成绩单[物理]&lt;9E+307)*(表成绩单[物理]&gt;表成绩单[[#This Row],[物理]]))+1)</f>
        <v>463</v>
      </c>
      <c r="T1102" s="29" cm="1">
        <f t="array" ref="T1102">IF(表成绩单[[#This Row],[化学]]="","",SUMPRODUCT((表成绩单[考试日期]=表成绩单[[#This Row],[考试日期]])*(表成绩单[化学]&lt;9E+307)*(表成绩单[化学]&gt;表成绩单[[#This Row],[化学]]))+1)</f>
        <v>457</v>
      </c>
      <c r="U1102" s="29" cm="1">
        <f t="array" ref="U1102">IF(表成绩单[[#This Row],[政治]]="","",SUMPRODUCT((表成绩单[考试日期]=表成绩单[[#This Row],[考试日期]])*(表成绩单[政治]&lt;9E+307)*(表成绩单[政治]&gt;表成绩单[[#This Row],[政治]]))+1)</f>
        <v>36</v>
      </c>
      <c r="V1102" s="29" cm="1">
        <f t="array" ref="V1102">IF(表成绩单[[#This Row],[历史]]="","",SUMPRODUCT((表成绩单[考试日期]=表成绩单[[#This Row],[考试日期]])*(表成绩单[历史]&lt;9E+307)*(表成绩单[历史]&gt;表成绩单[[#This Row],[历史]]))+1)</f>
        <v>371</v>
      </c>
      <c r="W1102" s="29" cm="1">
        <f t="array" ref="W1102">IF(表成绩单[[#This Row],[总分]]="","",SUMPRODUCT((表成绩单[考试日期]=表成绩单[[#This Row],[考试日期]])*(表成绩单[总分]&lt;9E+307)*(表成绩单[总分]&gt;表成绩单[[#This Row],[总分]]))+1)</f>
        <v>297</v>
      </c>
    </row>
    <row r="1103" ht="28" customHeight="1" spans="4:23">
      <c r="D1103" s="31">
        <v>46003</v>
      </c>
      <c r="E1103" s="29">
        <v>19173275</v>
      </c>
      <c r="F1103" s="29" t="s">
        <v>61</v>
      </c>
      <c r="G1103" s="29" t="s">
        <v>356</v>
      </c>
      <c r="H1103" s="29">
        <v>108</v>
      </c>
      <c r="I1103" s="29">
        <v>66</v>
      </c>
      <c r="J1103" s="29">
        <v>79.5</v>
      </c>
      <c r="K1103" s="29">
        <v>87</v>
      </c>
      <c r="L1103" s="29">
        <v>74</v>
      </c>
      <c r="M1103" s="29">
        <v>78</v>
      </c>
      <c r="N1103" s="29">
        <v>78</v>
      </c>
      <c r="O1103" s="32">
        <v>570.5</v>
      </c>
      <c r="P1103" s="29" cm="1">
        <f t="array" ref="P1103">IF(表成绩单[[#This Row],[语文]]="","",SUMPRODUCT((表成绩单[考试日期]=表成绩单[[#This Row],[考试日期]])*(表成绩单[语文]&lt;9E+307)*(表成绩单[语文]&gt;表成绩单[[#This Row],[语文]]))+1)</f>
        <v>154</v>
      </c>
      <c r="Q1103" s="29" cm="1">
        <f t="array" ref="Q1103">IF(表成绩单[[#This Row],[数学]]="","",SUMPRODUCT((表成绩单[考试日期]=表成绩单[[#This Row],[考试日期]])*(表成绩单[数学]&lt;9E+307)*(表成绩单[数学]&gt;表成绩单[[#This Row],[数学]]))+1)</f>
        <v>467</v>
      </c>
      <c r="R1103" s="29" cm="1">
        <f t="array" ref="R1103">IF(表成绩单[[#This Row],[英语]]="","",SUMPRODUCT((表成绩单[考试日期]=表成绩单[[#This Row],[考试日期]])*(表成绩单[英语]&lt;9E+307)*(表成绩单[英语]&gt;表成绩单[[#This Row],[英语]]))+1)</f>
        <v>180</v>
      </c>
      <c r="S1103" s="29" cm="1">
        <f t="array" ref="S1103">IF(表成绩单[[#This Row],[物理]]="","",SUMPRODUCT((表成绩单[考试日期]=表成绩单[[#This Row],[考试日期]])*(表成绩单[物理]&lt;9E+307)*(表成绩单[物理]&gt;表成绩单[[#This Row],[物理]]))+1)</f>
        <v>306</v>
      </c>
      <c r="T1103" s="29" cm="1">
        <f t="array" ref="T1103">IF(表成绩单[[#This Row],[化学]]="","",SUMPRODUCT((表成绩单[考试日期]=表成绩单[[#This Row],[考试日期]])*(表成绩单[化学]&lt;9E+307)*(表成绩单[化学]&gt;表成绩单[[#This Row],[化学]]))+1)</f>
        <v>440</v>
      </c>
      <c r="U1103" s="29" cm="1">
        <f t="array" ref="U1103">IF(表成绩单[[#This Row],[政治]]="","",SUMPRODUCT((表成绩单[考试日期]=表成绩单[[#This Row],[考试日期]])*(表成绩单[政治]&lt;9E+307)*(表成绩单[政治]&gt;表成绩单[[#This Row],[政治]]))+1)</f>
        <v>46</v>
      </c>
      <c r="V1103" s="29" cm="1">
        <f t="array" ref="V1103">IF(表成绩单[[#This Row],[历史]]="","",SUMPRODUCT((表成绩单[考试日期]=表成绩单[[#This Row],[考试日期]])*(表成绩单[历史]&lt;9E+307)*(表成绩单[历史]&gt;表成绩单[[#This Row],[历史]]))+1)</f>
        <v>190</v>
      </c>
      <c r="W1103" s="29" cm="1">
        <f t="array" ref="W1103">IF(表成绩单[[#This Row],[总分]]="","",SUMPRODUCT((表成绩单[考试日期]=表成绩单[[#This Row],[考试日期]])*(表成绩单[总分]&lt;9E+307)*(表成绩单[总分]&gt;表成绩单[[#This Row],[总分]]))+1)</f>
        <v>297</v>
      </c>
    </row>
    <row r="1104" ht="28" customHeight="1" spans="4:23">
      <c r="D1104" s="31">
        <v>46003</v>
      </c>
      <c r="E1104" s="29">
        <v>19175692</v>
      </c>
      <c r="F1104" s="29" t="s">
        <v>72</v>
      </c>
      <c r="G1104" s="29" t="s">
        <v>338</v>
      </c>
      <c r="H1104" s="29">
        <v>103</v>
      </c>
      <c r="I1104" s="29">
        <v>75</v>
      </c>
      <c r="J1104" s="29">
        <v>76</v>
      </c>
      <c r="K1104" s="29">
        <v>86</v>
      </c>
      <c r="L1104" s="29">
        <v>83</v>
      </c>
      <c r="M1104" s="29">
        <v>68</v>
      </c>
      <c r="N1104" s="29">
        <v>79</v>
      </c>
      <c r="O1104" s="32">
        <v>570</v>
      </c>
      <c r="P1104" s="29" cm="1">
        <f t="array" ref="P1104">IF(表成绩单[[#This Row],[语文]]="","",SUMPRODUCT((表成绩单[考试日期]=表成绩单[[#This Row],[考试日期]])*(表成绩单[语文]&lt;9E+307)*(表成绩单[语文]&gt;表成绩单[[#This Row],[语文]]))+1)</f>
        <v>333</v>
      </c>
      <c r="Q1104" s="29" cm="1">
        <f t="array" ref="Q1104">IF(表成绩单[[#This Row],[数学]]="","",SUMPRODUCT((表成绩单[考试日期]=表成绩单[[#This Row],[考试日期]])*(表成绩单[数学]&lt;9E+307)*(表成绩单[数学]&gt;表成绩单[[#This Row],[数学]]))+1)</f>
        <v>364</v>
      </c>
      <c r="R1104" s="29" cm="1">
        <f t="array" ref="R1104">IF(表成绩单[[#This Row],[英语]]="","",SUMPRODUCT((表成绩单[考试日期]=表成绩单[[#This Row],[考试日期]])*(表成绩单[英语]&lt;9E+307)*(表成绩单[英语]&gt;表成绩单[[#This Row],[英语]]))+1)</f>
        <v>288</v>
      </c>
      <c r="S1104" s="29" cm="1">
        <f t="array" ref="S1104">IF(表成绩单[[#This Row],[物理]]="","",SUMPRODUCT((表成绩单[考试日期]=表成绩单[[#This Row],[考试日期]])*(表成绩单[物理]&lt;9E+307)*(表成绩单[物理]&gt;表成绩单[[#This Row],[物理]]))+1)</f>
        <v>336</v>
      </c>
      <c r="T1104" s="29" cm="1">
        <f t="array" ref="T1104">IF(表成绩单[[#This Row],[化学]]="","",SUMPRODUCT((表成绩单[考试日期]=表成绩单[[#This Row],[考试日期]])*(表成绩单[化学]&lt;9E+307)*(表成绩单[化学]&gt;表成绩单[[#This Row],[化学]]))+1)</f>
        <v>272</v>
      </c>
      <c r="U1104" s="29" cm="1">
        <f t="array" ref="U1104">IF(表成绩单[[#This Row],[政治]]="","",SUMPRODUCT((表成绩单[考试日期]=表成绩单[[#This Row],[考试日期]])*(表成绩单[政治]&lt;9E+307)*(表成绩单[政治]&gt;表成绩单[[#This Row],[政治]]))+1)</f>
        <v>237</v>
      </c>
      <c r="V1104" s="29" cm="1">
        <f t="array" ref="V1104">IF(表成绩单[[#This Row],[历史]]="","",SUMPRODUCT((表成绩单[考试日期]=表成绩单[[#This Row],[考试日期]])*(表成绩单[历史]&lt;9E+307)*(表成绩单[历史]&gt;表成绩单[[#This Row],[历史]]))+1)</f>
        <v>149</v>
      </c>
      <c r="W1104" s="29" cm="1">
        <f t="array" ref="W1104">IF(表成绩单[[#This Row],[总分]]="","",SUMPRODUCT((表成绩单[考试日期]=表成绩单[[#This Row],[考试日期]])*(表成绩单[总分]&lt;9E+307)*(表成绩单[总分]&gt;表成绩单[[#This Row],[总分]]))+1)</f>
        <v>299</v>
      </c>
    </row>
    <row r="1105" ht="28" customHeight="1" spans="4:23">
      <c r="D1105" s="31">
        <v>46003</v>
      </c>
      <c r="E1105" s="29">
        <v>19175411</v>
      </c>
      <c r="F1105" s="29" t="s">
        <v>74</v>
      </c>
      <c r="G1105" s="29" t="s">
        <v>427</v>
      </c>
      <c r="H1105" s="29">
        <v>98</v>
      </c>
      <c r="I1105" s="29">
        <v>89</v>
      </c>
      <c r="J1105" s="29">
        <v>74.5</v>
      </c>
      <c r="K1105" s="29">
        <v>87</v>
      </c>
      <c r="L1105" s="29">
        <v>81</v>
      </c>
      <c r="M1105" s="29">
        <v>69</v>
      </c>
      <c r="N1105" s="29">
        <v>71</v>
      </c>
      <c r="O1105" s="32">
        <v>569.5</v>
      </c>
      <c r="P1105" s="29" cm="1">
        <f t="array" ref="P1105">IF(表成绩单[[#This Row],[语文]]="","",SUMPRODUCT((表成绩单[考试日期]=表成绩单[[#This Row],[考试日期]])*(表成绩单[语文]&lt;9E+307)*(表成绩单[语文]&gt;表成绩单[[#This Row],[语文]]))+1)</f>
        <v>463</v>
      </c>
      <c r="Q1105" s="29" cm="1">
        <f t="array" ref="Q1105">IF(表成绩单[[#This Row],[数学]]="","",SUMPRODUCT((表成绩单[考试日期]=表成绩单[[#This Row],[考试日期]])*(表成绩单[数学]&lt;9E+307)*(表成绩单[数学]&gt;表成绩单[[#This Row],[数学]]))+1)</f>
        <v>201</v>
      </c>
      <c r="R1105" s="29" cm="1">
        <f t="array" ref="R1105">IF(表成绩单[[#This Row],[英语]]="","",SUMPRODUCT((表成绩单[考试日期]=表成绩单[[#This Row],[考试日期]])*(表成绩单[英语]&lt;9E+307)*(表成绩单[英语]&gt;表成绩单[[#This Row],[英语]]))+1)</f>
        <v>328</v>
      </c>
      <c r="S1105" s="29" cm="1">
        <f t="array" ref="S1105">IF(表成绩单[[#This Row],[物理]]="","",SUMPRODUCT((表成绩单[考试日期]=表成绩单[[#This Row],[考试日期]])*(表成绩单[物理]&lt;9E+307)*(表成绩单[物理]&gt;表成绩单[[#This Row],[物理]]))+1)</f>
        <v>306</v>
      </c>
      <c r="T1105" s="29" cm="1">
        <f t="array" ref="T1105">IF(表成绩单[[#This Row],[化学]]="","",SUMPRODUCT((表成绩单[考试日期]=表成绩单[[#This Row],[考试日期]])*(表成绩单[化学]&lt;9E+307)*(表成绩单[化学]&gt;表成绩单[[#This Row],[化学]]))+1)</f>
        <v>308</v>
      </c>
      <c r="U1105" s="29" cm="1">
        <f t="array" ref="U1105">IF(表成绩单[[#This Row],[政治]]="","",SUMPRODUCT((表成绩单[考试日期]=表成绩单[[#This Row],[考试日期]])*(表成绩单[政治]&lt;9E+307)*(表成绩单[政治]&gt;表成绩单[[#This Row],[政治]]))+1)</f>
        <v>212</v>
      </c>
      <c r="V1105" s="29" cm="1">
        <f t="array" ref="V1105">IF(表成绩单[[#This Row],[历史]]="","",SUMPRODUCT((表成绩单[考试日期]=表成绩单[[#This Row],[考试日期]])*(表成绩单[历史]&lt;9E+307)*(表成绩单[历史]&gt;表成绩单[[#This Row],[历史]]))+1)</f>
        <v>471</v>
      </c>
      <c r="W1105" s="29" cm="1">
        <f t="array" ref="W1105">IF(表成绩单[[#This Row],[总分]]="","",SUMPRODUCT((表成绩单[考试日期]=表成绩单[[#This Row],[考试日期]])*(表成绩单[总分]&lt;9E+307)*(表成绩单[总分]&gt;表成绩单[[#This Row],[总分]]))+1)</f>
        <v>300</v>
      </c>
    </row>
    <row r="1106" ht="28" customHeight="1" spans="4:23">
      <c r="D1106" s="31">
        <v>46003</v>
      </c>
      <c r="E1106" s="29">
        <v>19176872</v>
      </c>
      <c r="F1106" s="29" t="s">
        <v>71</v>
      </c>
      <c r="G1106" s="29" t="s">
        <v>329</v>
      </c>
      <c r="H1106" s="29">
        <v>106</v>
      </c>
      <c r="I1106" s="29">
        <v>77</v>
      </c>
      <c r="J1106" s="29">
        <v>80.5</v>
      </c>
      <c r="K1106" s="29">
        <v>74</v>
      </c>
      <c r="L1106" s="29">
        <v>92</v>
      </c>
      <c r="M1106" s="29">
        <v>64</v>
      </c>
      <c r="N1106" s="29">
        <v>76</v>
      </c>
      <c r="O1106" s="32">
        <v>569.5</v>
      </c>
      <c r="P1106" s="29" cm="1">
        <f t="array" ref="P1106">IF(表成绩单[[#This Row],[语文]]="","",SUMPRODUCT((表成绩单[考试日期]=表成绩单[[#This Row],[考试日期]])*(表成绩单[语文]&lt;9E+307)*(表成绩单[语文]&gt;表成绩单[[#This Row],[语文]]))+1)</f>
        <v>210</v>
      </c>
      <c r="Q1106" s="29" cm="1">
        <f t="array" ref="Q1106">IF(表成绩单[[#This Row],[数学]]="","",SUMPRODUCT((表成绩单[考试日期]=表成绩单[[#This Row],[考试日期]])*(表成绩单[数学]&lt;9E+307)*(表成绩单[数学]&gt;表成绩单[[#This Row],[数学]]))+1)</f>
        <v>343</v>
      </c>
      <c r="R1106" s="29" cm="1">
        <f t="array" ref="R1106">IF(表成绩单[[#This Row],[英语]]="","",SUMPRODUCT((表成绩单[考试日期]=表成绩单[[#This Row],[考试日期]])*(表成绩单[英语]&lt;9E+307)*(表成绩单[英语]&gt;表成绩单[[#This Row],[英语]]))+1)</f>
        <v>147</v>
      </c>
      <c r="S1106" s="29" cm="1">
        <f t="array" ref="S1106">IF(表成绩单[[#This Row],[物理]]="","",SUMPRODUCT((表成绩单[考试日期]=表成绩单[[#This Row],[考试日期]])*(表成绩单[物理]&lt;9E+307)*(表成绩单[物理]&gt;表成绩单[[#This Row],[物理]]))+1)</f>
        <v>481</v>
      </c>
      <c r="T1106" s="29" cm="1">
        <f t="array" ref="T1106">IF(表成绩单[[#This Row],[化学]]="","",SUMPRODUCT((表成绩单[考试日期]=表成绩单[[#This Row],[考试日期]])*(表成绩单[化学]&lt;9E+307)*(表成绩单[化学]&gt;表成绩单[[#This Row],[化学]]))+1)</f>
        <v>102</v>
      </c>
      <c r="U1106" s="29" cm="1">
        <f t="array" ref="U1106">IF(表成绩单[[#This Row],[政治]]="","",SUMPRODUCT((表成绩单[考试日期]=表成绩单[[#This Row],[考试日期]])*(表成绩单[政治]&lt;9E+307)*(表成绩单[政治]&gt;表成绩单[[#This Row],[政治]]))+1)</f>
        <v>337</v>
      </c>
      <c r="V1106" s="29" cm="1">
        <f t="array" ref="V1106">IF(表成绩单[[#This Row],[历史]]="","",SUMPRODUCT((表成绩单[考试日期]=表成绩单[[#This Row],[考试日期]])*(表成绩单[历史]&lt;9E+307)*(表成绩单[历史]&gt;表成绩单[[#This Row],[历史]]))+1)</f>
        <v>279</v>
      </c>
      <c r="W1106" s="29" cm="1">
        <f t="array" ref="W1106">IF(表成绩单[[#This Row],[总分]]="","",SUMPRODUCT((表成绩单[考试日期]=表成绩单[[#This Row],[考试日期]])*(表成绩单[总分]&lt;9E+307)*(表成绩单[总分]&gt;表成绩单[[#This Row],[总分]]))+1)</f>
        <v>300</v>
      </c>
    </row>
    <row r="1107" ht="28" customHeight="1" spans="4:23">
      <c r="D1107" s="31">
        <v>46003</v>
      </c>
      <c r="E1107" s="29">
        <v>19177226</v>
      </c>
      <c r="F1107" s="29" t="s">
        <v>70</v>
      </c>
      <c r="G1107" s="29" t="s">
        <v>228</v>
      </c>
      <c r="H1107" s="29">
        <v>104</v>
      </c>
      <c r="I1107" s="29">
        <v>72</v>
      </c>
      <c r="J1107" s="29">
        <v>78.5</v>
      </c>
      <c r="K1107" s="29">
        <v>75</v>
      </c>
      <c r="L1107" s="29">
        <v>87</v>
      </c>
      <c r="M1107" s="29">
        <v>77</v>
      </c>
      <c r="N1107" s="29">
        <v>76</v>
      </c>
      <c r="O1107" s="32">
        <v>569.5</v>
      </c>
      <c r="P1107" s="29" cm="1">
        <f t="array" ref="P1107">IF(表成绩单[[#This Row],[语文]]="","",SUMPRODUCT((表成绩单[考试日期]=表成绩单[[#This Row],[考试日期]])*(表成绩单[语文]&lt;9E+307)*(表成绩单[语文]&gt;表成绩单[[#This Row],[语文]]))+1)</f>
        <v>290</v>
      </c>
      <c r="Q1107" s="29" cm="1">
        <f t="array" ref="Q1107">IF(表成绩单[[#This Row],[数学]]="","",SUMPRODUCT((表成绩单[考试日期]=表成绩单[[#This Row],[考试日期]])*(表成绩单[数学]&lt;9E+307)*(表成绩单[数学]&gt;表成绩单[[#This Row],[数学]]))+1)</f>
        <v>396</v>
      </c>
      <c r="R1107" s="29" cm="1">
        <f t="array" ref="R1107">IF(表成绩单[[#This Row],[英语]]="","",SUMPRODUCT((表成绩单[考试日期]=表成绩单[[#This Row],[考试日期]])*(表成绩单[英语]&lt;9E+307)*(表成绩单[英语]&gt;表成绩单[[#This Row],[英语]]))+1)</f>
        <v>206</v>
      </c>
      <c r="S1107" s="29" cm="1">
        <f t="array" ref="S1107">IF(表成绩单[[#This Row],[物理]]="","",SUMPRODUCT((表成绩单[考试日期]=表成绩单[[#This Row],[考试日期]])*(表成绩单[物理]&lt;9E+307)*(表成绩单[物理]&gt;表成绩单[[#This Row],[物理]]))+1)</f>
        <v>472</v>
      </c>
      <c r="T1107" s="29" cm="1">
        <f t="array" ref="T1107">IF(表成绩单[[#This Row],[化学]]="","",SUMPRODUCT((表成绩单[考试日期]=表成绩单[[#This Row],[考试日期]])*(表成绩单[化学]&lt;9E+307)*(表成绩单[化学]&gt;表成绩单[[#This Row],[化学]]))+1)</f>
        <v>201</v>
      </c>
      <c r="U1107" s="29" cm="1">
        <f t="array" ref="U1107">IF(表成绩单[[#This Row],[政治]]="","",SUMPRODUCT((表成绩单[考试日期]=表成绩单[[#This Row],[考试日期]])*(表成绩单[政治]&lt;9E+307)*(表成绩单[政治]&gt;表成绩单[[#This Row],[政治]]))+1)</f>
        <v>64</v>
      </c>
      <c r="V1107" s="29" cm="1">
        <f t="array" ref="V1107">IF(表成绩单[[#This Row],[历史]]="","",SUMPRODUCT((表成绩单[考试日期]=表成绩单[[#This Row],[考试日期]])*(表成绩单[历史]&lt;9E+307)*(表成绩单[历史]&gt;表成绩单[[#This Row],[历史]]))+1)</f>
        <v>279</v>
      </c>
      <c r="W1107" s="29" cm="1">
        <f t="array" ref="W1107">IF(表成绩单[[#This Row],[总分]]="","",SUMPRODUCT((表成绩单[考试日期]=表成绩单[[#This Row],[考试日期]])*(表成绩单[总分]&lt;9E+307)*(表成绩单[总分]&gt;表成绩单[[#This Row],[总分]]))+1)</f>
        <v>300</v>
      </c>
    </row>
    <row r="1108" ht="28" customHeight="1" spans="4:23">
      <c r="D1108" s="31">
        <v>46003</v>
      </c>
      <c r="E1108" s="29">
        <v>19167646</v>
      </c>
      <c r="F1108" s="29" t="s">
        <v>1</v>
      </c>
      <c r="G1108" s="29" t="s">
        <v>229</v>
      </c>
      <c r="H1108" s="29">
        <v>104</v>
      </c>
      <c r="I1108" s="29">
        <v>75</v>
      </c>
      <c r="J1108" s="29">
        <v>78</v>
      </c>
      <c r="K1108" s="29">
        <v>93</v>
      </c>
      <c r="L1108" s="29">
        <v>83</v>
      </c>
      <c r="M1108" s="29">
        <v>62</v>
      </c>
      <c r="N1108" s="29">
        <v>74</v>
      </c>
      <c r="O1108" s="32">
        <v>569</v>
      </c>
      <c r="P1108" s="29" cm="1">
        <f t="array" ref="P1108">IF(表成绩单[[#This Row],[语文]]="","",SUMPRODUCT((表成绩单[考试日期]=表成绩单[[#This Row],[考试日期]])*(表成绩单[语文]&lt;9E+307)*(表成绩单[语文]&gt;表成绩单[[#This Row],[语文]]))+1)</f>
        <v>290</v>
      </c>
      <c r="Q1108" s="29" cm="1">
        <f t="array" ref="Q1108">IF(表成绩单[[#This Row],[数学]]="","",SUMPRODUCT((表成绩单[考试日期]=表成绩单[[#This Row],[考试日期]])*(表成绩单[数学]&lt;9E+307)*(表成绩单[数学]&gt;表成绩单[[#This Row],[数学]]))+1)</f>
        <v>364</v>
      </c>
      <c r="R1108" s="29" cm="1">
        <f t="array" ref="R1108">IF(表成绩单[[#This Row],[英语]]="","",SUMPRODUCT((表成绩单[考试日期]=表成绩单[[#This Row],[考试日期]])*(表成绩单[英语]&lt;9E+307)*(表成绩单[英语]&gt;表成绩单[[#This Row],[英语]]))+1)</f>
        <v>214</v>
      </c>
      <c r="S1108" s="29" cm="1">
        <f t="array" ref="S1108">IF(表成绩单[[#This Row],[物理]]="","",SUMPRODUCT((表成绩单[考试日期]=表成绩单[[#This Row],[考试日期]])*(表成绩单[物理]&lt;9E+307)*(表成绩单[物理]&gt;表成绩单[[#This Row],[物理]]))+1)</f>
        <v>163</v>
      </c>
      <c r="T1108" s="29" cm="1">
        <f t="array" ref="T1108">IF(表成绩单[[#This Row],[化学]]="","",SUMPRODUCT((表成绩单[考试日期]=表成绩单[[#This Row],[考试日期]])*(表成绩单[化学]&lt;9E+307)*(表成绩单[化学]&gt;表成绩单[[#This Row],[化学]]))+1)</f>
        <v>272</v>
      </c>
      <c r="U1108" s="29" cm="1">
        <f t="array" ref="U1108">IF(表成绩单[[#This Row],[政治]]="","",SUMPRODUCT((表成绩单[考试日期]=表成绩单[[#This Row],[考试日期]])*(表成绩单[政治]&lt;9E+307)*(表成绩单[政治]&gt;表成绩单[[#This Row],[政治]]))+1)</f>
        <v>381</v>
      </c>
      <c r="V1108" s="29" cm="1">
        <f t="array" ref="V1108">IF(表成绩单[[#This Row],[历史]]="","",SUMPRODUCT((表成绩单[考试日期]=表成绩单[[#This Row],[考试日期]])*(表成绩单[历史]&lt;9E+307)*(表成绩单[历史]&gt;表成绩单[[#This Row],[历史]]))+1)</f>
        <v>371</v>
      </c>
      <c r="W1108" s="29" cm="1">
        <f t="array" ref="W1108">IF(表成绩单[[#This Row],[总分]]="","",SUMPRODUCT((表成绩单[考试日期]=表成绩单[[#This Row],[考试日期]])*(表成绩单[总分]&lt;9E+307)*(表成绩单[总分]&gt;表成绩单[[#This Row],[总分]]))+1)</f>
        <v>303</v>
      </c>
    </row>
    <row r="1109" ht="28" customHeight="1" spans="4:23">
      <c r="D1109" s="31">
        <v>46003</v>
      </c>
      <c r="E1109" s="29">
        <v>19173536</v>
      </c>
      <c r="F1109" s="29" t="s">
        <v>1</v>
      </c>
      <c r="G1109" s="29" t="s">
        <v>233</v>
      </c>
      <c r="H1109" s="29">
        <v>112</v>
      </c>
      <c r="I1109" s="29">
        <v>67</v>
      </c>
      <c r="J1109" s="29">
        <v>83</v>
      </c>
      <c r="K1109" s="29">
        <v>77</v>
      </c>
      <c r="L1109" s="29">
        <v>93</v>
      </c>
      <c r="M1109" s="29">
        <v>62</v>
      </c>
      <c r="N1109" s="29">
        <v>75</v>
      </c>
      <c r="O1109" s="32">
        <v>569</v>
      </c>
      <c r="P1109" s="29" cm="1">
        <f t="array" ref="P1109">IF(表成绩单[[#This Row],[语文]]="","",SUMPRODUCT((表成绩单[考试日期]=表成绩单[[#This Row],[考试日期]])*(表成绩单[语文]&lt;9E+307)*(表成绩单[语文]&gt;表成绩单[[#This Row],[语文]]))+1)</f>
        <v>36</v>
      </c>
      <c r="Q1109" s="29" cm="1">
        <f t="array" ref="Q1109">IF(表成绩单[[#This Row],[数学]]="","",SUMPRODUCT((表成绩单[考试日期]=表成绩单[[#This Row],[考试日期]])*(表成绩单[数学]&lt;9E+307)*(表成绩单[数学]&gt;表成绩单[[#This Row],[数学]]))+1)</f>
        <v>459</v>
      </c>
      <c r="R1109" s="29" cm="1">
        <f t="array" ref="R1109">IF(表成绩单[[#This Row],[英语]]="","",SUMPRODUCT((表成绩单[考试日期]=表成绩单[[#This Row],[考试日期]])*(表成绩单[英语]&lt;9E+307)*(表成绩单[英语]&gt;表成绩单[[#This Row],[英语]]))+1)</f>
        <v>70</v>
      </c>
      <c r="S1109" s="29" cm="1">
        <f t="array" ref="S1109">IF(表成绩单[[#This Row],[物理]]="","",SUMPRODUCT((表成绩单[考试日期]=表成绩单[[#This Row],[考试日期]])*(表成绩单[物理]&lt;9E+307)*(表成绩单[物理]&gt;表成绩单[[#This Row],[物理]]))+1)</f>
        <v>454</v>
      </c>
      <c r="T1109" s="29" cm="1">
        <f t="array" ref="T1109">IF(表成绩单[[#This Row],[化学]]="","",SUMPRODUCT((表成绩单[考试日期]=表成绩单[[#This Row],[考试日期]])*(表成绩单[化学]&lt;9E+307)*(表成绩单[化学]&gt;表成绩单[[#This Row],[化学]]))+1)</f>
        <v>73</v>
      </c>
      <c r="U1109" s="29" cm="1">
        <f t="array" ref="U1109">IF(表成绩单[[#This Row],[政治]]="","",SUMPRODUCT((表成绩单[考试日期]=表成绩单[[#This Row],[考试日期]])*(表成绩单[政治]&lt;9E+307)*(表成绩单[政治]&gt;表成绩单[[#This Row],[政治]]))+1)</f>
        <v>381</v>
      </c>
      <c r="V1109" s="29" cm="1">
        <f t="array" ref="V1109">IF(表成绩单[[#This Row],[历史]]="","",SUMPRODUCT((表成绩单[考试日期]=表成绩单[[#This Row],[考试日期]])*(表成绩单[历史]&lt;9E+307)*(表成绩单[历史]&gt;表成绩单[[#This Row],[历史]]))+1)</f>
        <v>329</v>
      </c>
      <c r="W1109" s="29" cm="1">
        <f t="array" ref="W1109">IF(表成绩单[[#This Row],[总分]]="","",SUMPRODUCT((表成绩单[考试日期]=表成绩单[[#This Row],[考试日期]])*(表成绩单[总分]&lt;9E+307)*(表成绩单[总分]&gt;表成绩单[[#This Row],[总分]]))+1)</f>
        <v>303</v>
      </c>
    </row>
    <row r="1110" ht="28" customHeight="1" spans="4:23">
      <c r="D1110" s="31">
        <v>46003</v>
      </c>
      <c r="E1110" s="29">
        <v>19174436</v>
      </c>
      <c r="F1110" s="29" t="s">
        <v>73</v>
      </c>
      <c r="G1110" s="29" t="s">
        <v>467</v>
      </c>
      <c r="H1110" s="29">
        <v>104</v>
      </c>
      <c r="I1110" s="29">
        <v>84</v>
      </c>
      <c r="J1110" s="29">
        <v>75</v>
      </c>
      <c r="K1110" s="29">
        <v>81</v>
      </c>
      <c r="L1110" s="29">
        <v>89</v>
      </c>
      <c r="M1110" s="29">
        <v>61</v>
      </c>
      <c r="N1110" s="29">
        <v>75</v>
      </c>
      <c r="O1110" s="32">
        <v>569</v>
      </c>
      <c r="P1110" s="29" cm="1">
        <f t="array" ref="P1110">IF(表成绩单[[#This Row],[语文]]="","",SUMPRODUCT((表成绩单[考试日期]=表成绩单[[#This Row],[考试日期]])*(表成绩单[语文]&lt;9E+307)*(表成绩单[语文]&gt;表成绩单[[#This Row],[语文]]))+1)</f>
        <v>290</v>
      </c>
      <c r="Q1110" s="29" cm="1">
        <f t="array" ref="Q1110">IF(表成绩单[[#This Row],[数学]]="","",SUMPRODUCT((表成绩单[考试日期]=表成绩单[[#This Row],[考试日期]])*(表成绩单[数学]&lt;9E+307)*(表成绩单[数学]&gt;表成绩单[[#This Row],[数学]]))+1)</f>
        <v>259</v>
      </c>
      <c r="R1110" s="29" cm="1">
        <f t="array" ref="R1110">IF(表成绩单[[#This Row],[英语]]="","",SUMPRODUCT((表成绩单[考试日期]=表成绩单[[#This Row],[考试日期]])*(表成绩单[英语]&lt;9E+307)*(表成绩单[英语]&gt;表成绩单[[#This Row],[英语]]))+1)</f>
        <v>314</v>
      </c>
      <c r="S1110" s="29" cm="1">
        <f t="array" ref="S1110">IF(表成绩单[[#This Row],[物理]]="","",SUMPRODUCT((表成绩单[考试日期]=表成绩单[[#This Row],[考试日期]])*(表成绩单[物理]&lt;9E+307)*(表成绩单[物理]&gt;表成绩单[[#This Row],[物理]]))+1)</f>
        <v>405</v>
      </c>
      <c r="T1110" s="29" cm="1">
        <f t="array" ref="T1110">IF(表成绩单[[#This Row],[化学]]="","",SUMPRODUCT((表成绩单[考试日期]=表成绩单[[#This Row],[考试日期]])*(表成绩单[化学]&lt;9E+307)*(表成绩单[化学]&gt;表成绩单[[#This Row],[化学]]))+1)</f>
        <v>157</v>
      </c>
      <c r="U1110" s="29" cm="1">
        <f t="array" ref="U1110">IF(表成绩单[[#This Row],[政治]]="","",SUMPRODUCT((表成绩单[考试日期]=表成绩单[[#This Row],[考试日期]])*(表成绩单[政治]&lt;9E+307)*(表成绩单[政治]&gt;表成绩单[[#This Row],[政治]]))+1)</f>
        <v>400</v>
      </c>
      <c r="V1110" s="29" cm="1">
        <f t="array" ref="V1110">IF(表成绩单[[#This Row],[历史]]="","",SUMPRODUCT((表成绩单[考试日期]=表成绩单[[#This Row],[考试日期]])*(表成绩单[历史]&lt;9E+307)*(表成绩单[历史]&gt;表成绩单[[#This Row],[历史]]))+1)</f>
        <v>329</v>
      </c>
      <c r="W1110" s="29" cm="1">
        <f t="array" ref="W1110">IF(表成绩单[[#This Row],[总分]]="","",SUMPRODUCT((表成绩单[考试日期]=表成绩单[[#This Row],[考试日期]])*(表成绩单[总分]&lt;9E+307)*(表成绩单[总分]&gt;表成绩单[[#This Row],[总分]]))+1)</f>
        <v>303</v>
      </c>
    </row>
    <row r="1111" ht="28" customHeight="1" spans="4:23">
      <c r="D1111" s="31">
        <v>46003</v>
      </c>
      <c r="E1111" s="29">
        <v>19175650</v>
      </c>
      <c r="F1111" s="29" t="s">
        <v>66</v>
      </c>
      <c r="G1111" s="29" t="s">
        <v>400</v>
      </c>
      <c r="H1111" s="29">
        <v>102</v>
      </c>
      <c r="I1111" s="29">
        <v>95</v>
      </c>
      <c r="J1111" s="29">
        <v>82</v>
      </c>
      <c r="K1111" s="29">
        <v>85</v>
      </c>
      <c r="L1111" s="29">
        <v>76</v>
      </c>
      <c r="M1111" s="29">
        <v>57</v>
      </c>
      <c r="N1111" s="29">
        <v>72</v>
      </c>
      <c r="O1111" s="32">
        <v>569</v>
      </c>
      <c r="P1111" s="29" cm="1">
        <f t="array" ref="P1111">IF(表成绩单[[#This Row],[语文]]="","",SUMPRODUCT((表成绩单[考试日期]=表成绩单[[#This Row],[考试日期]])*(表成绩单[语文]&lt;9E+307)*(表成绩单[语文]&gt;表成绩单[[#This Row],[语文]]))+1)</f>
        <v>366</v>
      </c>
      <c r="Q1111" s="29" cm="1">
        <f t="array" ref="Q1111">IF(表成绩单[[#This Row],[数学]]="","",SUMPRODUCT((表成绩单[考试日期]=表成绩单[[#This Row],[考试日期]])*(表成绩单[数学]&lt;9E+307)*(表成绩单[数学]&gt;表成绩单[[#This Row],[数学]]))+1)</f>
        <v>122</v>
      </c>
      <c r="R1111" s="29" cm="1">
        <f t="array" ref="R1111">IF(表成绩单[[#This Row],[英语]]="","",SUMPRODUCT((表成绩单[考试日期]=表成绩单[[#This Row],[考试日期]])*(表成绩单[英语]&lt;9E+307)*(表成绩单[英语]&gt;表成绩单[[#This Row],[英语]]))+1)</f>
        <v>96</v>
      </c>
      <c r="S1111" s="29" cm="1">
        <f t="array" ref="S1111">IF(表成绩单[[#This Row],[物理]]="","",SUMPRODUCT((表成绩单[考试日期]=表成绩单[[#This Row],[考试日期]])*(表成绩单[物理]&lt;9E+307)*(表成绩单[物理]&gt;表成绩单[[#This Row],[物理]]))+1)</f>
        <v>348</v>
      </c>
      <c r="T1111" s="29" cm="1">
        <f t="array" ref="T1111">IF(表成绩单[[#This Row],[化学]]="","",SUMPRODUCT((表成绩单[考试日期]=表成绩单[[#This Row],[考试日期]])*(表成绩单[化学]&lt;9E+307)*(表成绩单[化学]&gt;表成绩单[[#This Row],[化学]]))+1)</f>
        <v>402</v>
      </c>
      <c r="U1111" s="29" cm="1">
        <f t="array" ref="U1111">IF(表成绩单[[#This Row],[政治]]="","",SUMPRODUCT((表成绩单[考试日期]=表成绩单[[#This Row],[考试日期]])*(表成绩单[政治]&lt;9E+307)*(表成绩单[政治]&gt;表成绩单[[#This Row],[政治]]))+1)</f>
        <v>474</v>
      </c>
      <c r="V1111" s="29" cm="1">
        <f t="array" ref="V1111">IF(表成绩单[[#This Row],[历史]]="","",SUMPRODUCT((表成绩单[考试日期]=表成绩单[[#This Row],[考试日期]])*(表成绩单[历史]&lt;9E+307)*(表成绩单[历史]&gt;表成绩单[[#This Row],[历史]]))+1)</f>
        <v>439</v>
      </c>
      <c r="W1111" s="29" cm="1">
        <f t="array" ref="W1111">IF(表成绩单[[#This Row],[总分]]="","",SUMPRODUCT((表成绩单[考试日期]=表成绩单[[#This Row],[考试日期]])*(表成绩单[总分]&lt;9E+307)*(表成绩单[总分]&gt;表成绩单[[#This Row],[总分]]))+1)</f>
        <v>303</v>
      </c>
    </row>
    <row r="1112" ht="28" customHeight="1" spans="4:23">
      <c r="D1112" s="31">
        <v>46003</v>
      </c>
      <c r="E1112" s="29">
        <v>19175991</v>
      </c>
      <c r="F1112" s="29" t="s">
        <v>59</v>
      </c>
      <c r="G1112" s="29" t="s">
        <v>223</v>
      </c>
      <c r="H1112" s="29">
        <v>109</v>
      </c>
      <c r="I1112" s="29">
        <v>89</v>
      </c>
      <c r="J1112" s="29">
        <v>75</v>
      </c>
      <c r="K1112" s="29">
        <v>84</v>
      </c>
      <c r="L1112" s="29">
        <v>75</v>
      </c>
      <c r="M1112" s="29">
        <v>58</v>
      </c>
      <c r="N1112" s="29">
        <v>79</v>
      </c>
      <c r="O1112" s="32">
        <v>569</v>
      </c>
      <c r="P1112" s="29" cm="1">
        <f t="array" ref="P1112">IF(表成绩单[[#This Row],[语文]]="","",SUMPRODUCT((表成绩单[考试日期]=表成绩单[[#This Row],[考试日期]])*(表成绩单[语文]&lt;9E+307)*(表成绩单[语文]&gt;表成绩单[[#This Row],[语文]]))+1)</f>
        <v>111</v>
      </c>
      <c r="Q1112" s="29" cm="1">
        <f t="array" ref="Q1112">IF(表成绩单[[#This Row],[数学]]="","",SUMPRODUCT((表成绩单[考试日期]=表成绩单[[#This Row],[考试日期]])*(表成绩单[数学]&lt;9E+307)*(表成绩单[数学]&gt;表成绩单[[#This Row],[数学]]))+1)</f>
        <v>201</v>
      </c>
      <c r="R1112" s="29" cm="1">
        <f t="array" ref="R1112">IF(表成绩单[[#This Row],[英语]]="","",SUMPRODUCT((表成绩单[考试日期]=表成绩单[[#This Row],[考试日期]])*(表成绩单[英语]&lt;9E+307)*(表成绩单[英语]&gt;表成绩单[[#This Row],[英语]]))+1)</f>
        <v>314</v>
      </c>
      <c r="S1112" s="29" cm="1">
        <f t="array" ref="S1112">IF(表成绩单[[#This Row],[物理]]="","",SUMPRODUCT((表成绩单[考试日期]=表成绩单[[#This Row],[考试日期]])*(表成绩单[物理]&lt;9E+307)*(表成绩单[物理]&gt;表成绩单[[#This Row],[物理]]))+1)</f>
        <v>368</v>
      </c>
      <c r="T1112" s="29" cm="1">
        <f t="array" ref="T1112">IF(表成绩单[[#This Row],[化学]]="","",SUMPRODUCT((表成绩单[考试日期]=表成绩单[[#This Row],[考试日期]])*(表成绩单[化学]&lt;9E+307)*(表成绩单[化学]&gt;表成绩单[[#This Row],[化学]]))+1)</f>
        <v>421</v>
      </c>
      <c r="U1112" s="29" cm="1">
        <f t="array" ref="U1112">IF(表成绩单[[#This Row],[政治]]="","",SUMPRODUCT((表成绩单[考试日期]=表成绩单[[#This Row],[考试日期]])*(表成绩单[政治]&lt;9E+307)*(表成绩单[政治]&gt;表成绩单[[#This Row],[政治]]))+1)</f>
        <v>454</v>
      </c>
      <c r="V1112" s="29" cm="1">
        <f t="array" ref="V1112">IF(表成绩单[[#This Row],[历史]]="","",SUMPRODUCT((表成绩单[考试日期]=表成绩单[[#This Row],[考试日期]])*(表成绩单[历史]&lt;9E+307)*(表成绩单[历史]&gt;表成绩单[[#This Row],[历史]]))+1)</f>
        <v>149</v>
      </c>
      <c r="W1112" s="29" cm="1">
        <f t="array" ref="W1112">IF(表成绩单[[#This Row],[总分]]="","",SUMPRODUCT((表成绩单[考试日期]=表成绩单[[#This Row],[考试日期]])*(表成绩单[总分]&lt;9E+307)*(表成绩单[总分]&gt;表成绩单[[#This Row],[总分]]))+1)</f>
        <v>303</v>
      </c>
    </row>
    <row r="1113" ht="28" customHeight="1" spans="4:23">
      <c r="D1113" s="31">
        <v>46003</v>
      </c>
      <c r="E1113" s="29">
        <v>19173527</v>
      </c>
      <c r="F1113" s="29" t="s">
        <v>1</v>
      </c>
      <c r="G1113" s="29" t="s">
        <v>145</v>
      </c>
      <c r="H1113" s="29">
        <v>106</v>
      </c>
      <c r="I1113" s="29">
        <v>92</v>
      </c>
      <c r="J1113" s="29">
        <v>81.5</v>
      </c>
      <c r="K1113" s="29">
        <v>84</v>
      </c>
      <c r="L1113" s="29">
        <v>68</v>
      </c>
      <c r="M1113" s="29">
        <v>58</v>
      </c>
      <c r="N1113" s="29">
        <v>79</v>
      </c>
      <c r="O1113" s="32">
        <v>568.5</v>
      </c>
      <c r="P1113" s="29" cm="1">
        <f t="array" ref="P1113">IF(表成绩单[[#This Row],[语文]]="","",SUMPRODUCT((表成绩单[考试日期]=表成绩单[[#This Row],[考试日期]])*(表成绩单[语文]&lt;9E+307)*(表成绩单[语文]&gt;表成绩单[[#This Row],[语文]]))+1)</f>
        <v>210</v>
      </c>
      <c r="Q1113" s="29" cm="1">
        <f t="array" ref="Q1113">IF(表成绩单[[#This Row],[数学]]="","",SUMPRODUCT((表成绩单[考试日期]=表成绩单[[#This Row],[考试日期]])*(表成绩单[数学]&lt;9E+307)*(表成绩单[数学]&gt;表成绩单[[#This Row],[数学]]))+1)</f>
        <v>170</v>
      </c>
      <c r="R1113" s="29" cm="1">
        <f t="array" ref="R1113">IF(表成绩单[[#This Row],[英语]]="","",SUMPRODUCT((表成绩单[考试日期]=表成绩单[[#This Row],[考试日期]])*(表成绩单[英语]&lt;9E+307)*(表成绩单[英语]&gt;表成绩单[[#This Row],[英语]]))+1)</f>
        <v>113</v>
      </c>
      <c r="S1113" s="29" cm="1">
        <f t="array" ref="S1113">IF(表成绩单[[#This Row],[物理]]="","",SUMPRODUCT((表成绩单[考试日期]=表成绩单[[#This Row],[考试日期]])*(表成绩单[物理]&lt;9E+307)*(表成绩单[物理]&gt;表成绩单[[#This Row],[物理]]))+1)</f>
        <v>368</v>
      </c>
      <c r="T1113" s="29" cm="1">
        <f t="array" ref="T1113">IF(表成绩单[[#This Row],[化学]]="","",SUMPRODUCT((表成绩单[考试日期]=表成绩单[[#This Row],[考试日期]])*(表成绩单[化学]&lt;9E+307)*(表成绩单[化学]&gt;表成绩单[[#This Row],[化学]]))+1)</f>
        <v>514</v>
      </c>
      <c r="U1113" s="29" cm="1">
        <f t="array" ref="U1113">IF(表成绩单[[#This Row],[政治]]="","",SUMPRODUCT((表成绩单[考试日期]=表成绩单[[#This Row],[考试日期]])*(表成绩单[政治]&lt;9E+307)*(表成绩单[政治]&gt;表成绩单[[#This Row],[政治]]))+1)</f>
        <v>454</v>
      </c>
      <c r="V1113" s="29" cm="1">
        <f t="array" ref="V1113">IF(表成绩单[[#This Row],[历史]]="","",SUMPRODUCT((表成绩单[考试日期]=表成绩单[[#This Row],[考试日期]])*(表成绩单[历史]&lt;9E+307)*(表成绩单[历史]&gt;表成绩单[[#This Row],[历史]]))+1)</f>
        <v>149</v>
      </c>
      <c r="W1113" s="29" cm="1">
        <f t="array" ref="W1113">IF(表成绩单[[#This Row],[总分]]="","",SUMPRODUCT((表成绩单[考试日期]=表成绩单[[#This Row],[考试日期]])*(表成绩单[总分]&lt;9E+307)*(表成绩单[总分]&gt;表成绩单[[#This Row],[总分]]))+1)</f>
        <v>308</v>
      </c>
    </row>
    <row r="1114" ht="28" customHeight="1" spans="4:23">
      <c r="D1114" s="31">
        <v>46003</v>
      </c>
      <c r="E1114" s="29">
        <v>19173804</v>
      </c>
      <c r="F1114" s="29" t="s">
        <v>65</v>
      </c>
      <c r="G1114" s="29" t="s">
        <v>324</v>
      </c>
      <c r="H1114" s="29">
        <v>100</v>
      </c>
      <c r="I1114" s="29">
        <v>81</v>
      </c>
      <c r="J1114" s="29">
        <v>69.5</v>
      </c>
      <c r="K1114" s="29">
        <v>79</v>
      </c>
      <c r="L1114" s="29">
        <v>88</v>
      </c>
      <c r="M1114" s="29">
        <v>73</v>
      </c>
      <c r="N1114" s="29">
        <v>77</v>
      </c>
      <c r="O1114" s="32">
        <v>567.5</v>
      </c>
      <c r="P1114" s="29" cm="1">
        <f t="array" ref="P1114">IF(表成绩单[[#This Row],[语文]]="","",SUMPRODUCT((表成绩单[考试日期]=表成绩单[[#This Row],[考试日期]])*(表成绩单[语文]&lt;9E+307)*(表成绩单[语文]&gt;表成绩单[[#This Row],[语文]]))+1)</f>
        <v>414</v>
      </c>
      <c r="Q1114" s="29" cm="1">
        <f t="array" ref="Q1114">IF(表成绩单[[#This Row],[数学]]="","",SUMPRODUCT((表成绩单[考试日期]=表成绩单[[#This Row],[考试日期]])*(表成绩单[数学]&lt;9E+307)*(表成绩单[数学]&gt;表成绩单[[#This Row],[数学]]))+1)</f>
        <v>302</v>
      </c>
      <c r="R1114" s="29" cm="1">
        <f t="array" ref="R1114">IF(表成绩单[[#This Row],[英语]]="","",SUMPRODUCT((表成绩单[考试日期]=表成绩单[[#This Row],[考试日期]])*(表成绩单[英语]&lt;9E+307)*(表成绩单[英语]&gt;表成绩单[[#This Row],[英语]]))+1)</f>
        <v>426</v>
      </c>
      <c r="S1114" s="29" cm="1">
        <f t="array" ref="S1114">IF(表成绩单[[#This Row],[物理]]="","",SUMPRODUCT((表成绩单[考试日期]=表成绩单[[#This Row],[考试日期]])*(表成绩单[物理]&lt;9E+307)*(表成绩单[物理]&gt;表成绩单[[#This Row],[物理]]))+1)</f>
        <v>432</v>
      </c>
      <c r="T1114" s="29" cm="1">
        <f t="array" ref="T1114">IF(表成绩单[[#This Row],[化学]]="","",SUMPRODUCT((表成绩单[考试日期]=表成绩单[[#This Row],[考试日期]])*(表成绩单[化学]&lt;9E+307)*(表成绩单[化学]&gt;表成绩单[[#This Row],[化学]]))+1)</f>
        <v>175</v>
      </c>
      <c r="U1114" s="29" cm="1">
        <f t="array" ref="U1114">IF(表成绩单[[#This Row],[政治]]="","",SUMPRODUCT((表成绩单[考试日期]=表成绩单[[#This Row],[考试日期]])*(表成绩单[政治]&lt;9E+307)*(表成绩单[政治]&gt;表成绩单[[#This Row],[政治]]))+1)</f>
        <v>139</v>
      </c>
      <c r="V1114" s="29" cm="1">
        <f t="array" ref="V1114">IF(表成绩单[[#This Row],[历史]]="","",SUMPRODUCT((表成绩单[考试日期]=表成绩单[[#This Row],[考试日期]])*(表成绩单[历史]&lt;9E+307)*(表成绩单[历史]&gt;表成绩单[[#This Row],[历史]]))+1)</f>
        <v>235</v>
      </c>
      <c r="W1114" s="29" cm="1">
        <f t="array" ref="W1114">IF(表成绩单[[#This Row],[总分]]="","",SUMPRODUCT((表成绩单[考试日期]=表成绩单[[#This Row],[考试日期]])*(表成绩单[总分]&lt;9E+307)*(表成绩单[总分]&gt;表成绩单[[#This Row],[总分]]))+1)</f>
        <v>309</v>
      </c>
    </row>
    <row r="1115" ht="28" customHeight="1" spans="4:23">
      <c r="D1115" s="31">
        <v>46003</v>
      </c>
      <c r="E1115" s="29">
        <v>19174465</v>
      </c>
      <c r="F1115" s="29" t="s">
        <v>73</v>
      </c>
      <c r="G1115" s="29" t="s">
        <v>332</v>
      </c>
      <c r="H1115" s="29">
        <v>103</v>
      </c>
      <c r="I1115" s="29">
        <v>91</v>
      </c>
      <c r="J1115" s="29">
        <v>73.5</v>
      </c>
      <c r="K1115" s="29">
        <v>91</v>
      </c>
      <c r="L1115" s="29">
        <v>85</v>
      </c>
      <c r="M1115" s="29">
        <v>58</v>
      </c>
      <c r="N1115" s="29">
        <v>66</v>
      </c>
      <c r="O1115" s="32">
        <v>567.5</v>
      </c>
      <c r="P1115" s="29" cm="1">
        <f t="array" ref="P1115">IF(表成绩单[[#This Row],[语文]]="","",SUMPRODUCT((表成绩单[考试日期]=表成绩单[[#This Row],[考试日期]])*(表成绩单[语文]&lt;9E+307)*(表成绩单[语文]&gt;表成绩单[[#This Row],[语文]]))+1)</f>
        <v>333</v>
      </c>
      <c r="Q1115" s="29" cm="1">
        <f t="array" ref="Q1115">IF(表成绩单[[#This Row],[数学]]="","",SUMPRODUCT((表成绩单[考试日期]=表成绩单[[#This Row],[考试日期]])*(表成绩单[数学]&lt;9E+307)*(表成绩单[数学]&gt;表成绩单[[#This Row],[数学]]))+1)</f>
        <v>184</v>
      </c>
      <c r="R1115" s="29" cm="1">
        <f t="array" ref="R1115">IF(表成绩单[[#This Row],[英语]]="","",SUMPRODUCT((表成绩单[考试日期]=表成绩单[[#This Row],[考试日期]])*(表成绩单[英语]&lt;9E+307)*(表成绩单[英语]&gt;表成绩单[[#This Row],[英语]]))+1)</f>
        <v>355</v>
      </c>
      <c r="S1115" s="29" cm="1">
        <f t="array" ref="S1115">IF(表成绩单[[#This Row],[物理]]="","",SUMPRODUCT((表成绩单[考试日期]=表成绩单[[#This Row],[考试日期]])*(表成绩单[物理]&lt;9E+307)*(表成绩单[物理]&gt;表成绩单[[#This Row],[物理]]))+1)</f>
        <v>220</v>
      </c>
      <c r="T1115" s="29" cm="1">
        <f t="array" ref="T1115">IF(表成绩单[[#This Row],[化学]]="","",SUMPRODUCT((表成绩单[考试日期]=表成绩单[[#This Row],[考试日期]])*(表成绩单[化学]&lt;9E+307)*(表成绩单[化学]&gt;表成绩单[[#This Row],[化学]]))+1)</f>
        <v>240</v>
      </c>
      <c r="U1115" s="29" cm="1">
        <f t="array" ref="U1115">IF(表成绩单[[#This Row],[政治]]="","",SUMPRODUCT((表成绩单[考试日期]=表成绩单[[#This Row],[考试日期]])*(表成绩单[政治]&lt;9E+307)*(表成绩单[政治]&gt;表成绩单[[#This Row],[政治]]))+1)</f>
        <v>454</v>
      </c>
      <c r="V1115" s="29" cm="1">
        <f t="array" ref="V1115">IF(表成绩单[[#This Row],[历史]]="","",SUMPRODUCT((表成绩单[考试日期]=表成绩单[[#This Row],[考试日期]])*(表成绩单[历史]&lt;9E+307)*(表成绩单[历史]&gt;表成绩单[[#This Row],[历史]]))+1)</f>
        <v>571</v>
      </c>
      <c r="W1115" s="29" cm="1">
        <f t="array" ref="W1115">IF(表成绩单[[#This Row],[总分]]="","",SUMPRODUCT((表成绩单[考试日期]=表成绩单[[#This Row],[考试日期]])*(表成绩单[总分]&lt;9E+307)*(表成绩单[总分]&gt;表成绩单[[#This Row],[总分]]))+1)</f>
        <v>309</v>
      </c>
    </row>
    <row r="1116" ht="28" customHeight="1" spans="4:23">
      <c r="D1116" s="31">
        <v>46003</v>
      </c>
      <c r="E1116" s="29">
        <v>19175313</v>
      </c>
      <c r="F1116" s="29" t="s">
        <v>55</v>
      </c>
      <c r="G1116" s="29" t="s">
        <v>365</v>
      </c>
      <c r="H1116" s="29">
        <v>102</v>
      </c>
      <c r="I1116" s="29">
        <v>75</v>
      </c>
      <c r="J1116" s="29">
        <v>61.5</v>
      </c>
      <c r="K1116" s="29">
        <v>91</v>
      </c>
      <c r="L1116" s="29">
        <v>92</v>
      </c>
      <c r="M1116" s="29">
        <v>68</v>
      </c>
      <c r="N1116" s="29">
        <v>78</v>
      </c>
      <c r="O1116" s="32">
        <v>567.5</v>
      </c>
      <c r="P1116" s="29" cm="1">
        <f t="array" ref="P1116">IF(表成绩单[[#This Row],[语文]]="","",SUMPRODUCT((表成绩单[考试日期]=表成绩单[[#This Row],[考试日期]])*(表成绩单[语文]&lt;9E+307)*(表成绩单[语文]&gt;表成绩单[[#This Row],[语文]]))+1)</f>
        <v>366</v>
      </c>
      <c r="Q1116" s="29" cm="1">
        <f t="array" ref="Q1116">IF(表成绩单[[#This Row],[数学]]="","",SUMPRODUCT((表成绩单[考试日期]=表成绩单[[#This Row],[考试日期]])*(表成绩单[数学]&lt;9E+307)*(表成绩单[数学]&gt;表成绩单[[#This Row],[数学]]))+1)</f>
        <v>364</v>
      </c>
      <c r="R1116" s="29" cm="1">
        <f t="array" ref="R1116">IF(表成绩单[[#This Row],[英语]]="","",SUMPRODUCT((表成绩单[考试日期]=表成绩单[[#This Row],[考试日期]])*(表成绩单[英语]&lt;9E+307)*(表成绩单[英语]&gt;表成绩单[[#This Row],[英语]]))+1)</f>
        <v>513</v>
      </c>
      <c r="S1116" s="29" cm="1">
        <f t="array" ref="S1116">IF(表成绩单[[#This Row],[物理]]="","",SUMPRODUCT((表成绩单[考试日期]=表成绩单[[#This Row],[考试日期]])*(表成绩单[物理]&lt;9E+307)*(表成绩单[物理]&gt;表成绩单[[#This Row],[物理]]))+1)</f>
        <v>220</v>
      </c>
      <c r="T1116" s="29" cm="1">
        <f t="array" ref="T1116">IF(表成绩单[[#This Row],[化学]]="","",SUMPRODUCT((表成绩单[考试日期]=表成绩单[[#This Row],[考试日期]])*(表成绩单[化学]&lt;9E+307)*(表成绩单[化学]&gt;表成绩单[[#This Row],[化学]]))+1)</f>
        <v>102</v>
      </c>
      <c r="U1116" s="29" cm="1">
        <f t="array" ref="U1116">IF(表成绩单[[#This Row],[政治]]="","",SUMPRODUCT((表成绩单[考试日期]=表成绩单[[#This Row],[考试日期]])*(表成绩单[政治]&lt;9E+307)*(表成绩单[政治]&gt;表成绩单[[#This Row],[政治]]))+1)</f>
        <v>237</v>
      </c>
      <c r="V1116" s="29" cm="1">
        <f t="array" ref="V1116">IF(表成绩单[[#This Row],[历史]]="","",SUMPRODUCT((表成绩单[考试日期]=表成绩单[[#This Row],[考试日期]])*(表成绩单[历史]&lt;9E+307)*(表成绩单[历史]&gt;表成绩单[[#This Row],[历史]]))+1)</f>
        <v>190</v>
      </c>
      <c r="W1116" s="29" cm="1">
        <f t="array" ref="W1116">IF(表成绩单[[#This Row],[总分]]="","",SUMPRODUCT((表成绩单[考试日期]=表成绩单[[#This Row],[考试日期]])*(表成绩单[总分]&lt;9E+307)*(表成绩单[总分]&gt;表成绩单[[#This Row],[总分]]))+1)</f>
        <v>309</v>
      </c>
    </row>
    <row r="1117" ht="28" customHeight="1" spans="4:23">
      <c r="D1117" s="31">
        <v>46003</v>
      </c>
      <c r="E1117" s="29">
        <v>19176161</v>
      </c>
      <c r="F1117" s="29" t="s">
        <v>67</v>
      </c>
      <c r="G1117" s="29" t="s">
        <v>481</v>
      </c>
      <c r="H1117" s="29">
        <v>109</v>
      </c>
      <c r="I1117" s="29">
        <v>88</v>
      </c>
      <c r="J1117" s="29">
        <v>80.5</v>
      </c>
      <c r="K1117" s="29">
        <v>71</v>
      </c>
      <c r="L1117" s="29">
        <v>73</v>
      </c>
      <c r="M1117" s="29">
        <v>70</v>
      </c>
      <c r="N1117" s="29">
        <v>76</v>
      </c>
      <c r="O1117" s="32">
        <v>567.5</v>
      </c>
      <c r="P1117" s="29" cm="1">
        <f t="array" ref="P1117">IF(表成绩单[[#This Row],[语文]]="","",SUMPRODUCT((表成绩单[考试日期]=表成绩单[[#This Row],[考试日期]])*(表成绩单[语文]&lt;9E+307)*(表成绩单[语文]&gt;表成绩单[[#This Row],[语文]]))+1)</f>
        <v>111</v>
      </c>
      <c r="Q1117" s="29" cm="1">
        <f t="array" ref="Q1117">IF(表成绩单[[#This Row],[数学]]="","",SUMPRODUCT((表成绩单[考试日期]=表成绩单[[#This Row],[考试日期]])*(表成绩单[数学]&lt;9E+307)*(表成绩单[数学]&gt;表成绩单[[#This Row],[数学]]))+1)</f>
        <v>213</v>
      </c>
      <c r="R1117" s="29" cm="1">
        <f t="array" ref="R1117">IF(表成绩单[[#This Row],[英语]]="","",SUMPRODUCT((表成绩单[考试日期]=表成绩单[[#This Row],[考试日期]])*(表成绩单[英语]&lt;9E+307)*(表成绩单[英语]&gt;表成绩单[[#This Row],[英语]]))+1)</f>
        <v>147</v>
      </c>
      <c r="S1117" s="29" cm="1">
        <f t="array" ref="S1117">IF(表成绩单[[#This Row],[物理]]="","",SUMPRODUCT((表成绩单[考试日期]=表成绩单[[#This Row],[考试日期]])*(表成绩单[物理]&lt;9E+307)*(表成绩单[物理]&gt;表成绩单[[#This Row],[物理]]))+1)</f>
        <v>507</v>
      </c>
      <c r="T1117" s="29" cm="1">
        <f t="array" ref="T1117">IF(表成绩单[[#This Row],[化学]]="","",SUMPRODUCT((表成绩单[考试日期]=表成绩单[[#This Row],[考试日期]])*(表成绩单[化学]&lt;9E+307)*(表成绩单[化学]&gt;表成绩单[[#This Row],[化学]]))+1)</f>
        <v>457</v>
      </c>
      <c r="U1117" s="29" cm="1">
        <f t="array" ref="U1117">IF(表成绩单[[#This Row],[政治]]="","",SUMPRODUCT((表成绩单[考试日期]=表成绩单[[#This Row],[考试日期]])*(表成绩单[政治]&lt;9E+307)*(表成绩单[政治]&gt;表成绩单[[#This Row],[政治]]))+1)</f>
        <v>184</v>
      </c>
      <c r="V1117" s="29" cm="1">
        <f t="array" ref="V1117">IF(表成绩单[[#This Row],[历史]]="","",SUMPRODUCT((表成绩单[考试日期]=表成绩单[[#This Row],[考试日期]])*(表成绩单[历史]&lt;9E+307)*(表成绩单[历史]&gt;表成绩单[[#This Row],[历史]]))+1)</f>
        <v>279</v>
      </c>
      <c r="W1117" s="29" cm="1">
        <f t="array" ref="W1117">IF(表成绩单[[#This Row],[总分]]="","",SUMPRODUCT((表成绩单[考试日期]=表成绩单[[#This Row],[考试日期]])*(表成绩单[总分]&lt;9E+307)*(表成绩单[总分]&gt;表成绩单[[#This Row],[总分]]))+1)</f>
        <v>309</v>
      </c>
    </row>
    <row r="1118" ht="28" customHeight="1" spans="4:23">
      <c r="D1118" s="31">
        <v>46003</v>
      </c>
      <c r="E1118" s="29">
        <v>19176882</v>
      </c>
      <c r="F1118" s="29" t="s">
        <v>71</v>
      </c>
      <c r="G1118" s="29" t="s">
        <v>378</v>
      </c>
      <c r="H1118" s="29">
        <v>99</v>
      </c>
      <c r="I1118" s="29">
        <v>83</v>
      </c>
      <c r="J1118" s="29">
        <v>75.5</v>
      </c>
      <c r="K1118" s="29">
        <v>87</v>
      </c>
      <c r="L1118" s="29">
        <v>76</v>
      </c>
      <c r="M1118" s="29">
        <v>70</v>
      </c>
      <c r="N1118" s="29">
        <v>77</v>
      </c>
      <c r="O1118" s="32">
        <v>567.5</v>
      </c>
      <c r="P1118" s="29" cm="1">
        <f t="array" ref="P1118">IF(表成绩单[[#This Row],[语文]]="","",SUMPRODUCT((表成绩单[考试日期]=表成绩单[[#This Row],[考试日期]])*(表成绩单[语文]&lt;9E+307)*(表成绩单[语文]&gt;表成绩单[[#This Row],[语文]]))+1)</f>
        <v>440</v>
      </c>
      <c r="Q1118" s="29" cm="1">
        <f t="array" ref="Q1118">IF(表成绩单[[#This Row],[数学]]="","",SUMPRODUCT((表成绩单[考试日期]=表成绩单[[#This Row],[考试日期]])*(表成绩单[数学]&lt;9E+307)*(表成绩单[数学]&gt;表成绩单[[#This Row],[数学]]))+1)</f>
        <v>272</v>
      </c>
      <c r="R1118" s="29" cm="1">
        <f t="array" ref="R1118">IF(表成绩单[[#This Row],[英语]]="","",SUMPRODUCT((表成绩单[考试日期]=表成绩单[[#This Row],[考试日期]])*(表成绩单[英语]&lt;9E+307)*(表成绩单[英语]&gt;表成绩单[[#This Row],[英语]]))+1)</f>
        <v>299</v>
      </c>
      <c r="S1118" s="29" cm="1">
        <f t="array" ref="S1118">IF(表成绩单[[#This Row],[物理]]="","",SUMPRODUCT((表成绩单[考试日期]=表成绩单[[#This Row],[考试日期]])*(表成绩单[物理]&lt;9E+307)*(表成绩单[物理]&gt;表成绩单[[#This Row],[物理]]))+1)</f>
        <v>306</v>
      </c>
      <c r="T1118" s="29" cm="1">
        <f t="array" ref="T1118">IF(表成绩单[[#This Row],[化学]]="","",SUMPRODUCT((表成绩单[考试日期]=表成绩单[[#This Row],[考试日期]])*(表成绩单[化学]&lt;9E+307)*(表成绩单[化学]&gt;表成绩单[[#This Row],[化学]]))+1)</f>
        <v>402</v>
      </c>
      <c r="U1118" s="29" cm="1">
        <f t="array" ref="U1118">IF(表成绩单[[#This Row],[政治]]="","",SUMPRODUCT((表成绩单[考试日期]=表成绩单[[#This Row],[考试日期]])*(表成绩单[政治]&lt;9E+307)*(表成绩单[政治]&gt;表成绩单[[#This Row],[政治]]))+1)</f>
        <v>184</v>
      </c>
      <c r="V1118" s="29" cm="1">
        <f t="array" ref="V1118">IF(表成绩单[[#This Row],[历史]]="","",SUMPRODUCT((表成绩单[考试日期]=表成绩单[[#This Row],[考试日期]])*(表成绩单[历史]&lt;9E+307)*(表成绩单[历史]&gt;表成绩单[[#This Row],[历史]]))+1)</f>
        <v>235</v>
      </c>
      <c r="W1118" s="29" cm="1">
        <f t="array" ref="W1118">IF(表成绩单[[#This Row],[总分]]="","",SUMPRODUCT((表成绩单[考试日期]=表成绩单[[#This Row],[考试日期]])*(表成绩单[总分]&lt;9E+307)*(表成绩单[总分]&gt;表成绩单[[#This Row],[总分]]))+1)</f>
        <v>309</v>
      </c>
    </row>
    <row r="1119" ht="28" customHeight="1" spans="4:23">
      <c r="D1119" s="31">
        <v>46003</v>
      </c>
      <c r="E1119" s="29">
        <v>19177591</v>
      </c>
      <c r="F1119" s="29" t="s">
        <v>58</v>
      </c>
      <c r="G1119" s="29" t="s">
        <v>520</v>
      </c>
      <c r="H1119" s="29">
        <v>105</v>
      </c>
      <c r="I1119" s="29">
        <v>83</v>
      </c>
      <c r="J1119" s="29">
        <v>76.5</v>
      </c>
      <c r="K1119" s="29">
        <v>87</v>
      </c>
      <c r="L1119" s="29">
        <v>73</v>
      </c>
      <c r="M1119" s="29">
        <v>64</v>
      </c>
      <c r="N1119" s="29">
        <v>79</v>
      </c>
      <c r="O1119" s="32">
        <v>567.5</v>
      </c>
      <c r="P1119" s="29" cm="1">
        <f t="array" ref="P1119">IF(表成绩单[[#This Row],[语文]]="","",SUMPRODUCT((表成绩单[考试日期]=表成绩单[[#This Row],[考试日期]])*(表成绩单[语文]&lt;9E+307)*(表成绩单[语文]&gt;表成绩单[[#This Row],[语文]]))+1)</f>
        <v>247</v>
      </c>
      <c r="Q1119" s="29" cm="1">
        <f t="array" ref="Q1119">IF(表成绩单[[#This Row],[数学]]="","",SUMPRODUCT((表成绩单[考试日期]=表成绩单[[#This Row],[考试日期]])*(表成绩单[数学]&lt;9E+307)*(表成绩单[数学]&gt;表成绩单[[#This Row],[数学]]))+1)</f>
        <v>272</v>
      </c>
      <c r="R1119" s="29" cm="1">
        <f t="array" ref="R1119">IF(表成绩单[[#This Row],[英语]]="","",SUMPRODUCT((表成绩单[考试日期]=表成绩单[[#This Row],[考试日期]])*(表成绩单[英语]&lt;9E+307)*(表成绩单[英语]&gt;表成绩单[[#This Row],[英语]]))+1)</f>
        <v>272</v>
      </c>
      <c r="S1119" s="29" cm="1">
        <f t="array" ref="S1119">IF(表成绩单[[#This Row],[物理]]="","",SUMPRODUCT((表成绩单[考试日期]=表成绩单[[#This Row],[考试日期]])*(表成绩单[物理]&lt;9E+307)*(表成绩单[物理]&gt;表成绩单[[#This Row],[物理]]))+1)</f>
        <v>306</v>
      </c>
      <c r="T1119" s="29" cm="1">
        <f t="array" ref="T1119">IF(表成绩单[[#This Row],[化学]]="","",SUMPRODUCT((表成绩单[考试日期]=表成绩单[[#This Row],[考试日期]])*(表成绩单[化学]&lt;9E+307)*(表成绩单[化学]&gt;表成绩单[[#This Row],[化学]]))+1)</f>
        <v>457</v>
      </c>
      <c r="U1119" s="29" cm="1">
        <f t="array" ref="U1119">IF(表成绩单[[#This Row],[政治]]="","",SUMPRODUCT((表成绩单[考试日期]=表成绩单[[#This Row],[考试日期]])*(表成绩单[政治]&lt;9E+307)*(表成绩单[政治]&gt;表成绩单[[#This Row],[政治]]))+1)</f>
        <v>337</v>
      </c>
      <c r="V1119" s="29" cm="1">
        <f t="array" ref="V1119">IF(表成绩单[[#This Row],[历史]]="","",SUMPRODUCT((表成绩单[考试日期]=表成绩单[[#This Row],[考试日期]])*(表成绩单[历史]&lt;9E+307)*(表成绩单[历史]&gt;表成绩单[[#This Row],[历史]]))+1)</f>
        <v>149</v>
      </c>
      <c r="W1119" s="29" cm="1">
        <f t="array" ref="W1119">IF(表成绩单[[#This Row],[总分]]="","",SUMPRODUCT((表成绩单[考试日期]=表成绩单[[#This Row],[考试日期]])*(表成绩单[总分]&lt;9E+307)*(表成绩单[总分]&gt;表成绩单[[#This Row],[总分]]))+1)</f>
        <v>309</v>
      </c>
    </row>
    <row r="1120" ht="28" customHeight="1" spans="4:23">
      <c r="D1120" s="31">
        <v>46003</v>
      </c>
      <c r="E1120" s="29">
        <v>19178618</v>
      </c>
      <c r="F1120" s="29" t="s">
        <v>25</v>
      </c>
      <c r="G1120" s="29" t="s">
        <v>335</v>
      </c>
      <c r="H1120" s="29">
        <v>109</v>
      </c>
      <c r="I1120" s="29">
        <v>93</v>
      </c>
      <c r="J1120" s="29">
        <v>68.5</v>
      </c>
      <c r="K1120" s="29">
        <v>92</v>
      </c>
      <c r="L1120" s="29">
        <v>72</v>
      </c>
      <c r="M1120" s="29">
        <v>59</v>
      </c>
      <c r="N1120" s="29">
        <v>74</v>
      </c>
      <c r="O1120" s="32">
        <v>567.5</v>
      </c>
      <c r="P1120" s="29" cm="1">
        <f t="array" ref="P1120">IF(表成绩单[[#This Row],[语文]]="","",SUMPRODUCT((表成绩单[考试日期]=表成绩单[[#This Row],[考试日期]])*(表成绩单[语文]&lt;9E+307)*(表成绩单[语文]&gt;表成绩单[[#This Row],[语文]]))+1)</f>
        <v>111</v>
      </c>
      <c r="Q1120" s="29" cm="1">
        <f t="array" ref="Q1120">IF(表成绩单[[#This Row],[数学]]="","",SUMPRODUCT((表成绩单[考试日期]=表成绩单[[#This Row],[考试日期]])*(表成绩单[数学]&lt;9E+307)*(表成绩单[数学]&gt;表成绩单[[#This Row],[数学]]))+1)</f>
        <v>155</v>
      </c>
      <c r="R1120" s="29" cm="1">
        <f t="array" ref="R1120">IF(表成绩单[[#This Row],[英语]]="","",SUMPRODUCT((表成绩单[考试日期]=表成绩单[[#This Row],[考试日期]])*(表成绩单[英语]&lt;9E+307)*(表成绩单[英语]&gt;表成绩单[[#This Row],[英语]]))+1)</f>
        <v>446</v>
      </c>
      <c r="S1120" s="29" cm="1">
        <f t="array" ref="S1120">IF(表成绩单[[#This Row],[物理]]="","",SUMPRODUCT((表成绩单[考试日期]=表成绩单[[#This Row],[考试日期]])*(表成绩单[物理]&lt;9E+307)*(表成绩单[物理]&gt;表成绩单[[#This Row],[物理]]))+1)</f>
        <v>191</v>
      </c>
      <c r="T1120" s="29" cm="1">
        <f t="array" ref="T1120">IF(表成绩单[[#This Row],[化学]]="","",SUMPRODUCT((表成绩单[考试日期]=表成绩单[[#This Row],[考试日期]])*(表成绩单[化学]&lt;9E+307)*(表成绩单[化学]&gt;表成绩单[[#This Row],[化学]]))+1)</f>
        <v>472</v>
      </c>
      <c r="U1120" s="29" cm="1">
        <f t="array" ref="U1120">IF(表成绩单[[#This Row],[政治]]="","",SUMPRODUCT((表成绩单[考试日期]=表成绩单[[#This Row],[考试日期]])*(表成绩单[政治]&lt;9E+307)*(表成绩单[政治]&gt;表成绩单[[#This Row],[政治]]))+1)</f>
        <v>435</v>
      </c>
      <c r="V1120" s="29" cm="1">
        <f t="array" ref="V1120">IF(表成绩单[[#This Row],[历史]]="","",SUMPRODUCT((表成绩单[考试日期]=表成绩单[[#This Row],[考试日期]])*(表成绩单[历史]&lt;9E+307)*(表成绩单[历史]&gt;表成绩单[[#This Row],[历史]]))+1)</f>
        <v>371</v>
      </c>
      <c r="W1120" s="29" cm="1">
        <f t="array" ref="W1120">IF(表成绩单[[#This Row],[总分]]="","",SUMPRODUCT((表成绩单[考试日期]=表成绩单[[#This Row],[考试日期]])*(表成绩单[总分]&lt;9E+307)*(表成绩单[总分]&gt;表成绩单[[#This Row],[总分]]))+1)</f>
        <v>309</v>
      </c>
    </row>
    <row r="1121" ht="28" customHeight="1" spans="4:23">
      <c r="D1121" s="31">
        <v>46003</v>
      </c>
      <c r="E1121" s="29">
        <v>19178640</v>
      </c>
      <c r="F1121" s="29" t="s">
        <v>25</v>
      </c>
      <c r="G1121" s="29" t="s">
        <v>268</v>
      </c>
      <c r="H1121" s="29">
        <v>97</v>
      </c>
      <c r="I1121" s="29">
        <v>92</v>
      </c>
      <c r="J1121" s="29">
        <v>77.5</v>
      </c>
      <c r="K1121" s="29">
        <v>78</v>
      </c>
      <c r="L1121" s="29">
        <v>92</v>
      </c>
      <c r="M1121" s="29">
        <v>45</v>
      </c>
      <c r="N1121" s="29">
        <v>86</v>
      </c>
      <c r="O1121" s="32">
        <v>567.5</v>
      </c>
      <c r="P1121" s="29" cm="1">
        <f t="array" ref="P1121">IF(表成绩单[[#This Row],[语文]]="","",SUMPRODUCT((表成绩单[考试日期]=表成绩单[[#This Row],[考试日期]])*(表成绩单[语文]&lt;9E+307)*(表成绩单[语文]&gt;表成绩单[[#This Row],[语文]]))+1)</f>
        <v>488</v>
      </c>
      <c r="Q1121" s="29" cm="1">
        <f t="array" ref="Q1121">IF(表成绩单[[#This Row],[数学]]="","",SUMPRODUCT((表成绩单[考试日期]=表成绩单[[#This Row],[考试日期]])*(表成绩单[数学]&lt;9E+307)*(表成绩单[数学]&gt;表成绩单[[#This Row],[数学]]))+1)</f>
        <v>170</v>
      </c>
      <c r="R1121" s="29" cm="1">
        <f t="array" ref="R1121">IF(表成绩单[[#This Row],[英语]]="","",SUMPRODUCT((表成绩单[考试日期]=表成绩单[[#This Row],[考试日期]])*(表成绩单[英语]&lt;9E+307)*(表成绩单[英语]&gt;表成绩单[[#This Row],[英语]]))+1)</f>
        <v>230</v>
      </c>
      <c r="S1121" s="29" cm="1">
        <f t="array" ref="S1121">IF(表成绩单[[#This Row],[物理]]="","",SUMPRODUCT((表成绩单[考试日期]=表成绩单[[#This Row],[考试日期]])*(表成绩单[物理]&lt;9E+307)*(表成绩单[物理]&gt;表成绩单[[#This Row],[物理]]))+1)</f>
        <v>443</v>
      </c>
      <c r="T1121" s="29" cm="1">
        <f t="array" ref="T1121">IF(表成绩单[[#This Row],[化学]]="","",SUMPRODUCT((表成绩单[考试日期]=表成绩单[[#This Row],[考试日期]])*(表成绩单[化学]&lt;9E+307)*(表成绩单[化学]&gt;表成绩单[[#This Row],[化学]]))+1)</f>
        <v>102</v>
      </c>
      <c r="U1121" s="29" cm="1">
        <f t="array" ref="U1121">IF(表成绩单[[#This Row],[政治]]="","",SUMPRODUCT((表成绩单[考试日期]=表成绩单[[#This Row],[考试日期]])*(表成绩单[政治]&lt;9E+307)*(表成绩单[政治]&gt;表成绩单[[#This Row],[政治]]))+1)</f>
        <v>638</v>
      </c>
      <c r="V1121" s="29" cm="1">
        <f t="array" ref="V1121">IF(表成绩单[[#This Row],[历史]]="","",SUMPRODUCT((表成绩单[考试日期]=表成绩单[[#This Row],[考试日期]])*(表成绩单[历史]&lt;9E+307)*(表成绩单[历史]&gt;表成绩单[[#This Row],[历史]]))+1)</f>
        <v>6</v>
      </c>
      <c r="W1121" s="29" cm="1">
        <f t="array" ref="W1121">IF(表成绩单[[#This Row],[总分]]="","",SUMPRODUCT((表成绩单[考试日期]=表成绩单[[#This Row],[考试日期]])*(表成绩单[总分]&lt;9E+307)*(表成绩单[总分]&gt;表成绩单[[#This Row],[总分]]))+1)</f>
        <v>309</v>
      </c>
    </row>
    <row r="1122" ht="28" customHeight="1" spans="4:23">
      <c r="D1122" s="31">
        <v>46003</v>
      </c>
      <c r="E1122" s="29">
        <v>19175408</v>
      </c>
      <c r="F1122" s="29" t="s">
        <v>74</v>
      </c>
      <c r="G1122" s="29" t="s">
        <v>308</v>
      </c>
      <c r="H1122" s="29">
        <v>106</v>
      </c>
      <c r="I1122" s="29">
        <v>72</v>
      </c>
      <c r="J1122" s="29">
        <v>79</v>
      </c>
      <c r="K1122" s="29">
        <v>92</v>
      </c>
      <c r="L1122" s="29">
        <v>81</v>
      </c>
      <c r="M1122" s="29">
        <v>59</v>
      </c>
      <c r="N1122" s="29">
        <v>78</v>
      </c>
      <c r="O1122" s="32">
        <v>567</v>
      </c>
      <c r="P1122" s="29" cm="1">
        <f t="array" ref="P1122">IF(表成绩单[[#This Row],[语文]]="","",SUMPRODUCT((表成绩单[考试日期]=表成绩单[[#This Row],[考试日期]])*(表成绩单[语文]&lt;9E+307)*(表成绩单[语文]&gt;表成绩单[[#This Row],[语文]]))+1)</f>
        <v>210</v>
      </c>
      <c r="Q1122" s="29" cm="1">
        <f t="array" ref="Q1122">IF(表成绩单[[#This Row],[数学]]="","",SUMPRODUCT((表成绩单[考试日期]=表成绩单[[#This Row],[考试日期]])*(表成绩单[数学]&lt;9E+307)*(表成绩单[数学]&gt;表成绩单[[#This Row],[数学]]))+1)</f>
        <v>396</v>
      </c>
      <c r="R1122" s="29" cm="1">
        <f t="array" ref="R1122">IF(表成绩单[[#This Row],[英语]]="","",SUMPRODUCT((表成绩单[考试日期]=表成绩单[[#This Row],[考试日期]])*(表成绩单[英语]&lt;9E+307)*(表成绩单[英语]&gt;表成绩单[[#This Row],[英语]]))+1)</f>
        <v>188</v>
      </c>
      <c r="S1122" s="29" cm="1">
        <f t="array" ref="S1122">IF(表成绩单[[#This Row],[物理]]="","",SUMPRODUCT((表成绩单[考试日期]=表成绩单[[#This Row],[考试日期]])*(表成绩单[物理]&lt;9E+307)*(表成绩单[物理]&gt;表成绩单[[#This Row],[物理]]))+1)</f>
        <v>191</v>
      </c>
      <c r="T1122" s="29" cm="1">
        <f t="array" ref="T1122">IF(表成绩单[[#This Row],[化学]]="","",SUMPRODUCT((表成绩单[考试日期]=表成绩单[[#This Row],[考试日期]])*(表成绩单[化学]&lt;9E+307)*(表成绩单[化学]&gt;表成绩单[[#This Row],[化学]]))+1)</f>
        <v>308</v>
      </c>
      <c r="U1122" s="29" cm="1">
        <f t="array" ref="U1122">IF(表成绩单[[#This Row],[政治]]="","",SUMPRODUCT((表成绩单[考试日期]=表成绩单[[#This Row],[考试日期]])*(表成绩单[政治]&lt;9E+307)*(表成绩单[政治]&gt;表成绩单[[#This Row],[政治]]))+1)</f>
        <v>435</v>
      </c>
      <c r="V1122" s="29" cm="1">
        <f t="array" ref="V1122">IF(表成绩单[[#This Row],[历史]]="","",SUMPRODUCT((表成绩单[考试日期]=表成绩单[[#This Row],[考试日期]])*(表成绩单[历史]&lt;9E+307)*(表成绩单[历史]&gt;表成绩单[[#This Row],[历史]]))+1)</f>
        <v>190</v>
      </c>
      <c r="W1122" s="29" cm="1">
        <f t="array" ref="W1122">IF(表成绩单[[#This Row],[总分]]="","",SUMPRODUCT((表成绩单[考试日期]=表成绩单[[#This Row],[考试日期]])*(表成绩单[总分]&lt;9E+307)*(表成绩单[总分]&gt;表成绩单[[#This Row],[总分]]))+1)</f>
        <v>317</v>
      </c>
    </row>
    <row r="1123" ht="28" customHeight="1" spans="4:23">
      <c r="D1123" s="31">
        <v>46003</v>
      </c>
      <c r="E1123" s="29">
        <v>19177207</v>
      </c>
      <c r="F1123" s="29" t="s">
        <v>70</v>
      </c>
      <c r="G1123" s="29" t="s">
        <v>320</v>
      </c>
      <c r="H1123" s="29">
        <v>109</v>
      </c>
      <c r="I1123" s="29">
        <v>93</v>
      </c>
      <c r="J1123" s="29">
        <v>71</v>
      </c>
      <c r="K1123" s="29">
        <v>87</v>
      </c>
      <c r="L1123" s="29">
        <v>71</v>
      </c>
      <c r="M1123" s="29">
        <v>64</v>
      </c>
      <c r="N1123" s="29">
        <v>72</v>
      </c>
      <c r="O1123" s="32">
        <v>567</v>
      </c>
      <c r="P1123" s="29" cm="1">
        <f t="array" ref="P1123">IF(表成绩单[[#This Row],[语文]]="","",SUMPRODUCT((表成绩单[考试日期]=表成绩单[[#This Row],[考试日期]])*(表成绩单[语文]&lt;9E+307)*(表成绩单[语文]&gt;表成绩单[[#This Row],[语文]]))+1)</f>
        <v>111</v>
      </c>
      <c r="Q1123" s="29" cm="1">
        <f t="array" ref="Q1123">IF(表成绩单[[#This Row],[数学]]="","",SUMPRODUCT((表成绩单[考试日期]=表成绩单[[#This Row],[考试日期]])*(表成绩单[数学]&lt;9E+307)*(表成绩单[数学]&gt;表成绩单[[#This Row],[数学]]))+1)</f>
        <v>155</v>
      </c>
      <c r="R1123" s="29" cm="1">
        <f t="array" ref="R1123">IF(表成绩单[[#This Row],[英语]]="","",SUMPRODUCT((表成绩单[考试日期]=表成绩单[[#This Row],[考试日期]])*(表成绩单[英语]&lt;9E+307)*(表成绩单[英语]&gt;表成绩单[[#This Row],[英语]]))+1)</f>
        <v>404</v>
      </c>
      <c r="S1123" s="29" cm="1">
        <f t="array" ref="S1123">IF(表成绩单[[#This Row],[物理]]="","",SUMPRODUCT((表成绩单[考试日期]=表成绩单[[#This Row],[考试日期]])*(表成绩单[物理]&lt;9E+307)*(表成绩单[物理]&gt;表成绩单[[#This Row],[物理]]))+1)</f>
        <v>306</v>
      </c>
      <c r="T1123" s="29" cm="1">
        <f t="array" ref="T1123">IF(表成绩单[[#This Row],[化学]]="","",SUMPRODUCT((表成绩单[考试日期]=表成绩单[[#This Row],[考试日期]])*(表成绩单[化学]&lt;9E+307)*(表成绩单[化学]&gt;表成绩单[[#This Row],[化学]]))+1)</f>
        <v>487</v>
      </c>
      <c r="U1123" s="29" cm="1">
        <f t="array" ref="U1123">IF(表成绩单[[#This Row],[政治]]="","",SUMPRODUCT((表成绩单[考试日期]=表成绩单[[#This Row],[考试日期]])*(表成绩单[政治]&lt;9E+307)*(表成绩单[政治]&gt;表成绩单[[#This Row],[政治]]))+1)</f>
        <v>337</v>
      </c>
      <c r="V1123" s="29" cm="1">
        <f t="array" ref="V1123">IF(表成绩单[[#This Row],[历史]]="","",SUMPRODUCT((表成绩单[考试日期]=表成绩单[[#This Row],[考试日期]])*(表成绩单[历史]&lt;9E+307)*(表成绩单[历史]&gt;表成绩单[[#This Row],[历史]]))+1)</f>
        <v>439</v>
      </c>
      <c r="W1123" s="29" cm="1">
        <f t="array" ref="W1123">IF(表成绩单[[#This Row],[总分]]="","",SUMPRODUCT((表成绩单[考试日期]=表成绩单[[#This Row],[考试日期]])*(表成绩单[总分]&lt;9E+307)*(表成绩单[总分]&gt;表成绩单[[#This Row],[总分]]))+1)</f>
        <v>317</v>
      </c>
    </row>
    <row r="1124" ht="28" customHeight="1" spans="4:23">
      <c r="D1124" s="31">
        <v>46003</v>
      </c>
      <c r="E1124" s="29">
        <v>19173265</v>
      </c>
      <c r="F1124" s="29" t="s">
        <v>61</v>
      </c>
      <c r="G1124" s="29" t="s">
        <v>401</v>
      </c>
      <c r="H1124" s="29">
        <v>108</v>
      </c>
      <c r="I1124" s="29">
        <v>78</v>
      </c>
      <c r="J1124" s="29">
        <v>75.5</v>
      </c>
      <c r="K1124" s="29">
        <v>88</v>
      </c>
      <c r="L1124" s="29">
        <v>85</v>
      </c>
      <c r="M1124" s="29">
        <v>59</v>
      </c>
      <c r="N1124" s="29">
        <v>73</v>
      </c>
      <c r="O1124" s="32">
        <v>566.5</v>
      </c>
      <c r="P1124" s="29" cm="1">
        <f t="array" ref="P1124">IF(表成绩单[[#This Row],[语文]]="","",SUMPRODUCT((表成绩单[考试日期]=表成绩单[[#This Row],[考试日期]])*(表成绩单[语文]&lt;9E+307)*(表成绩单[语文]&gt;表成绩单[[#This Row],[语文]]))+1)</f>
        <v>154</v>
      </c>
      <c r="Q1124" s="29" cm="1">
        <f t="array" ref="Q1124">IF(表成绩单[[#This Row],[数学]]="","",SUMPRODUCT((表成绩单[考试日期]=表成绩单[[#This Row],[考试日期]])*(表成绩单[数学]&lt;9E+307)*(表成绩单[数学]&gt;表成绩单[[#This Row],[数学]]))+1)</f>
        <v>335</v>
      </c>
      <c r="R1124" s="29" cm="1">
        <f t="array" ref="R1124">IF(表成绩单[[#This Row],[英语]]="","",SUMPRODUCT((表成绩单[考试日期]=表成绩单[[#This Row],[考试日期]])*(表成绩单[英语]&lt;9E+307)*(表成绩单[英语]&gt;表成绩单[[#This Row],[英语]]))+1)</f>
        <v>299</v>
      </c>
      <c r="S1124" s="29" cm="1">
        <f t="array" ref="S1124">IF(表成绩单[[#This Row],[物理]]="","",SUMPRODUCT((表成绩单[考试日期]=表成绩单[[#This Row],[考试日期]])*(表成绩单[物理]&lt;9E+307)*(表成绩单[物理]&gt;表成绩单[[#This Row],[物理]]))+1)</f>
        <v>291</v>
      </c>
      <c r="T1124" s="29" cm="1">
        <f t="array" ref="T1124">IF(表成绩单[[#This Row],[化学]]="","",SUMPRODUCT((表成绩单[考试日期]=表成绩单[[#This Row],[考试日期]])*(表成绩单[化学]&lt;9E+307)*(表成绩单[化学]&gt;表成绩单[[#This Row],[化学]]))+1)</f>
        <v>240</v>
      </c>
      <c r="U1124" s="29" cm="1">
        <f t="array" ref="U1124">IF(表成绩单[[#This Row],[政治]]="","",SUMPRODUCT((表成绩单[考试日期]=表成绩单[[#This Row],[考试日期]])*(表成绩单[政治]&lt;9E+307)*(表成绩单[政治]&gt;表成绩单[[#This Row],[政治]]))+1)</f>
        <v>435</v>
      </c>
      <c r="V1124" s="29" cm="1">
        <f t="array" ref="V1124">IF(表成绩单[[#This Row],[历史]]="","",SUMPRODUCT((表成绩单[考试日期]=表成绩单[[#This Row],[考试日期]])*(表成绩单[历史]&lt;9E+307)*(表成绩单[历史]&gt;表成绩单[[#This Row],[历史]]))+1)</f>
        <v>403</v>
      </c>
      <c r="W1124" s="29" cm="1">
        <f t="array" ref="W1124">IF(表成绩单[[#This Row],[总分]]="","",SUMPRODUCT((表成绩单[考试日期]=表成绩单[[#This Row],[考试日期]])*(表成绩单[总分]&lt;9E+307)*(表成绩单[总分]&gt;表成绩单[[#This Row],[总分]]))+1)</f>
        <v>319</v>
      </c>
    </row>
    <row r="1125" ht="28" customHeight="1" spans="4:23">
      <c r="D1125" s="31">
        <v>46003</v>
      </c>
      <c r="E1125" s="29">
        <v>19173538</v>
      </c>
      <c r="F1125" s="29" t="s">
        <v>1</v>
      </c>
      <c r="G1125" s="29" t="s">
        <v>535</v>
      </c>
      <c r="H1125" s="29">
        <v>95</v>
      </c>
      <c r="I1125" s="29">
        <v>92</v>
      </c>
      <c r="J1125" s="29">
        <v>77.5</v>
      </c>
      <c r="K1125" s="29">
        <v>89</v>
      </c>
      <c r="L1125" s="29">
        <v>77</v>
      </c>
      <c r="M1125" s="29">
        <v>68</v>
      </c>
      <c r="N1125" s="29">
        <v>68</v>
      </c>
      <c r="O1125" s="32">
        <v>566.5</v>
      </c>
      <c r="P1125" s="29" cm="1">
        <f t="array" ref="P1125">IF(表成绩单[[#This Row],[语文]]="","",SUMPRODUCT((表成绩单[考试日期]=表成绩单[[#This Row],[考试日期]])*(表成绩单[语文]&lt;9E+307)*(表成绩单[语文]&gt;表成绩单[[#This Row],[语文]]))+1)</f>
        <v>522</v>
      </c>
      <c r="Q1125" s="29" cm="1">
        <f t="array" ref="Q1125">IF(表成绩单[[#This Row],[数学]]="","",SUMPRODUCT((表成绩单[考试日期]=表成绩单[[#This Row],[考试日期]])*(表成绩单[数学]&lt;9E+307)*(表成绩单[数学]&gt;表成绩单[[#This Row],[数学]]))+1)</f>
        <v>170</v>
      </c>
      <c r="R1125" s="29" cm="1">
        <f t="array" ref="R1125">IF(表成绩单[[#This Row],[英语]]="","",SUMPRODUCT((表成绩单[考试日期]=表成绩单[[#This Row],[考试日期]])*(表成绩单[英语]&lt;9E+307)*(表成绩单[英语]&gt;表成绩单[[#This Row],[英语]]))+1)</f>
        <v>230</v>
      </c>
      <c r="S1125" s="29" cm="1">
        <f t="array" ref="S1125">IF(表成绩单[[#This Row],[物理]]="","",SUMPRODUCT((表成绩单[考试日期]=表成绩单[[#This Row],[考试日期]])*(表成绩单[物理]&lt;9E+307)*(表成绩单[物理]&gt;表成绩单[[#This Row],[物理]]))+1)</f>
        <v>269</v>
      </c>
      <c r="T1125" s="29" cm="1">
        <f t="array" ref="T1125">IF(表成绩单[[#This Row],[化学]]="","",SUMPRODUCT((表成绩单[考试日期]=表成绩单[[#This Row],[考试日期]])*(表成绩单[化学]&lt;9E+307)*(表成绩单[化学]&gt;表成绩单[[#This Row],[化学]]))+1)</f>
        <v>388</v>
      </c>
      <c r="U1125" s="29" cm="1">
        <f t="array" ref="U1125">IF(表成绩单[[#This Row],[政治]]="","",SUMPRODUCT((表成绩单[考试日期]=表成绩单[[#This Row],[考试日期]])*(表成绩单[政治]&lt;9E+307)*(表成绩单[政治]&gt;表成绩单[[#This Row],[政治]]))+1)</f>
        <v>237</v>
      </c>
      <c r="V1125" s="29" cm="1">
        <f t="array" ref="V1125">IF(表成绩单[[#This Row],[历史]]="","",SUMPRODUCT((表成绩单[考试日期]=表成绩单[[#This Row],[考试日期]])*(表成绩单[历史]&lt;9E+307)*(表成绩单[历史]&gt;表成绩单[[#This Row],[历史]]))+1)</f>
        <v>536</v>
      </c>
      <c r="W1125" s="29" cm="1">
        <f t="array" ref="W1125">IF(表成绩单[[#This Row],[总分]]="","",SUMPRODUCT((表成绩单[考试日期]=表成绩单[[#This Row],[考试日期]])*(表成绩单[总分]&lt;9E+307)*(表成绩单[总分]&gt;表成绩单[[#This Row],[总分]]))+1)</f>
        <v>319</v>
      </c>
    </row>
    <row r="1126" ht="28" customHeight="1" spans="4:23">
      <c r="D1126" s="31">
        <v>46003</v>
      </c>
      <c r="E1126" s="29">
        <v>19176886</v>
      </c>
      <c r="F1126" s="29" t="s">
        <v>71</v>
      </c>
      <c r="G1126" s="29" t="s">
        <v>409</v>
      </c>
      <c r="H1126" s="29">
        <v>106</v>
      </c>
      <c r="I1126" s="29">
        <v>80</v>
      </c>
      <c r="J1126" s="29">
        <v>74.5</v>
      </c>
      <c r="K1126" s="29">
        <v>89</v>
      </c>
      <c r="L1126" s="29">
        <v>79</v>
      </c>
      <c r="M1126" s="29">
        <v>57</v>
      </c>
      <c r="N1126" s="29">
        <v>81</v>
      </c>
      <c r="O1126" s="32">
        <v>566.5</v>
      </c>
      <c r="P1126" s="29" cm="1">
        <f t="array" ref="P1126">IF(表成绩单[[#This Row],[语文]]="","",SUMPRODUCT((表成绩单[考试日期]=表成绩单[[#This Row],[考试日期]])*(表成绩单[语文]&lt;9E+307)*(表成绩单[语文]&gt;表成绩单[[#This Row],[语文]]))+1)</f>
        <v>210</v>
      </c>
      <c r="Q1126" s="29" cm="1">
        <f t="array" ref="Q1126">IF(表成绩单[[#This Row],[数学]]="","",SUMPRODUCT((表成绩单[考试日期]=表成绩单[[#This Row],[考试日期]])*(表成绩单[数学]&lt;9E+307)*(表成绩单[数学]&gt;表成绩单[[#This Row],[数学]]))+1)</f>
        <v>310</v>
      </c>
      <c r="R1126" s="29" cm="1">
        <f t="array" ref="R1126">IF(表成绩单[[#This Row],[英语]]="","",SUMPRODUCT((表成绩单[考试日期]=表成绩单[[#This Row],[考试日期]])*(表成绩单[英语]&lt;9E+307)*(表成绩单[英语]&gt;表成绩单[[#This Row],[英语]]))+1)</f>
        <v>328</v>
      </c>
      <c r="S1126" s="29" cm="1">
        <f t="array" ref="S1126">IF(表成绩单[[#This Row],[物理]]="","",SUMPRODUCT((表成绩单[考试日期]=表成绩单[[#This Row],[考试日期]])*(表成绩单[物理]&lt;9E+307)*(表成绩单[物理]&gt;表成绩单[[#This Row],[物理]]))+1)</f>
        <v>269</v>
      </c>
      <c r="T1126" s="29" cm="1">
        <f t="array" ref="T1126">IF(表成绩单[[#This Row],[化学]]="","",SUMPRODUCT((表成绩单[考试日期]=表成绩单[[#This Row],[考试日期]])*(表成绩单[化学]&lt;9E+307)*(表成绩单[化学]&gt;表成绩单[[#This Row],[化学]]))+1)</f>
        <v>351</v>
      </c>
      <c r="U1126" s="29" cm="1">
        <f t="array" ref="U1126">IF(表成绩单[[#This Row],[政治]]="","",SUMPRODUCT((表成绩单[考试日期]=表成绩单[[#This Row],[考试日期]])*(表成绩单[政治]&lt;9E+307)*(表成绩单[政治]&gt;表成绩单[[#This Row],[政治]]))+1)</f>
        <v>474</v>
      </c>
      <c r="V1126" s="29" cm="1">
        <f t="array" ref="V1126">IF(表成绩单[[#This Row],[历史]]="","",SUMPRODUCT((表成绩单[考试日期]=表成绩单[[#This Row],[考试日期]])*(表成绩单[历史]&lt;9E+307)*(表成绩单[历史]&gt;表成绩单[[#This Row],[历史]]))+1)</f>
        <v>92</v>
      </c>
      <c r="W1126" s="29" cm="1">
        <f t="array" ref="W1126">IF(表成绩单[[#This Row],[总分]]="","",SUMPRODUCT((表成绩单[考试日期]=表成绩单[[#This Row],[考试日期]])*(表成绩单[总分]&lt;9E+307)*(表成绩单[总分]&gt;表成绩单[[#This Row],[总分]]))+1)</f>
        <v>319</v>
      </c>
    </row>
    <row r="1127" ht="28" customHeight="1" spans="4:23">
      <c r="D1127" s="31">
        <v>46003</v>
      </c>
      <c r="E1127" s="29">
        <v>19173269</v>
      </c>
      <c r="F1127" s="29" t="s">
        <v>61</v>
      </c>
      <c r="G1127" s="29" t="s">
        <v>532</v>
      </c>
      <c r="H1127" s="29">
        <v>109</v>
      </c>
      <c r="I1127" s="29">
        <v>75</v>
      </c>
      <c r="J1127" s="29">
        <v>80</v>
      </c>
      <c r="K1127" s="29">
        <v>83</v>
      </c>
      <c r="L1127" s="29">
        <v>83</v>
      </c>
      <c r="M1127" s="29">
        <v>59</v>
      </c>
      <c r="N1127" s="29">
        <v>77</v>
      </c>
      <c r="O1127" s="32">
        <v>566</v>
      </c>
      <c r="P1127" s="29" cm="1">
        <f t="array" ref="P1127">IF(表成绩单[[#This Row],[语文]]="","",SUMPRODUCT((表成绩单[考试日期]=表成绩单[[#This Row],[考试日期]])*(表成绩单[语文]&lt;9E+307)*(表成绩单[语文]&gt;表成绩单[[#This Row],[语文]]))+1)</f>
        <v>111</v>
      </c>
      <c r="Q1127" s="29" cm="1">
        <f t="array" ref="Q1127">IF(表成绩单[[#This Row],[数学]]="","",SUMPRODUCT((表成绩单[考试日期]=表成绩单[[#This Row],[考试日期]])*(表成绩单[数学]&lt;9E+307)*(表成绩单[数学]&gt;表成绩单[[#This Row],[数学]]))+1)</f>
        <v>364</v>
      </c>
      <c r="R1127" s="29" cm="1">
        <f t="array" ref="R1127">IF(表成绩单[[#This Row],[英语]]="","",SUMPRODUCT((表成绩单[考试日期]=表成绩单[[#This Row],[考试日期]])*(表成绩单[英语]&lt;9E+307)*(表成绩单[英语]&gt;表成绩单[[#This Row],[英语]]))+1)</f>
        <v>170</v>
      </c>
      <c r="S1127" s="29" cm="1">
        <f t="array" ref="S1127">IF(表成绩单[[#This Row],[物理]]="","",SUMPRODUCT((表成绩单[考试日期]=表成绩单[[#This Row],[考试日期]])*(表成绩单[物理]&lt;9E+307)*(表成绩单[物理]&gt;表成绩单[[#This Row],[物理]]))+1)</f>
        <v>376</v>
      </c>
      <c r="T1127" s="29" cm="1">
        <f t="array" ref="T1127">IF(表成绩单[[#This Row],[化学]]="","",SUMPRODUCT((表成绩单[考试日期]=表成绩单[[#This Row],[考试日期]])*(表成绩单[化学]&lt;9E+307)*(表成绩单[化学]&gt;表成绩单[[#This Row],[化学]]))+1)</f>
        <v>272</v>
      </c>
      <c r="U1127" s="29" cm="1">
        <f t="array" ref="U1127">IF(表成绩单[[#This Row],[政治]]="","",SUMPRODUCT((表成绩单[考试日期]=表成绩单[[#This Row],[考试日期]])*(表成绩单[政治]&lt;9E+307)*(表成绩单[政治]&gt;表成绩单[[#This Row],[政治]]))+1)</f>
        <v>435</v>
      </c>
      <c r="V1127" s="29" cm="1">
        <f t="array" ref="V1127">IF(表成绩单[[#This Row],[历史]]="","",SUMPRODUCT((表成绩单[考试日期]=表成绩单[[#This Row],[考试日期]])*(表成绩单[历史]&lt;9E+307)*(表成绩单[历史]&gt;表成绩单[[#This Row],[历史]]))+1)</f>
        <v>235</v>
      </c>
      <c r="W1127" s="29" cm="1">
        <f t="array" ref="W1127">IF(表成绩单[[#This Row],[总分]]="","",SUMPRODUCT((表成绩单[考试日期]=表成绩单[[#This Row],[考试日期]])*(表成绩单[总分]&lt;9E+307)*(表成绩单[总分]&gt;表成绩单[[#This Row],[总分]]))+1)</f>
        <v>322</v>
      </c>
    </row>
    <row r="1128" ht="28" customHeight="1" spans="4:23">
      <c r="D1128" s="31">
        <v>46003</v>
      </c>
      <c r="E1128" s="29">
        <v>19175417</v>
      </c>
      <c r="F1128" s="29" t="s">
        <v>74</v>
      </c>
      <c r="G1128" s="29" t="s">
        <v>495</v>
      </c>
      <c r="H1128" s="29">
        <v>109</v>
      </c>
      <c r="I1128" s="29">
        <v>83</v>
      </c>
      <c r="J1128" s="29">
        <v>61</v>
      </c>
      <c r="K1128" s="29">
        <v>80</v>
      </c>
      <c r="L1128" s="29">
        <v>78</v>
      </c>
      <c r="M1128" s="29">
        <v>76</v>
      </c>
      <c r="N1128" s="29">
        <v>79</v>
      </c>
      <c r="O1128" s="32">
        <v>566</v>
      </c>
      <c r="P1128" s="29" cm="1">
        <f t="array" ref="P1128">IF(表成绩单[[#This Row],[语文]]="","",SUMPRODUCT((表成绩单[考试日期]=表成绩单[[#This Row],[考试日期]])*(表成绩单[语文]&lt;9E+307)*(表成绩单[语文]&gt;表成绩单[[#This Row],[语文]]))+1)</f>
        <v>111</v>
      </c>
      <c r="Q1128" s="29" cm="1">
        <f t="array" ref="Q1128">IF(表成绩单[[#This Row],[数学]]="","",SUMPRODUCT((表成绩单[考试日期]=表成绩单[[#This Row],[考试日期]])*(表成绩单[数学]&lt;9E+307)*(表成绩单[数学]&gt;表成绩单[[#This Row],[数学]]))+1)</f>
        <v>272</v>
      </c>
      <c r="R1128" s="29" cm="1">
        <f t="array" ref="R1128">IF(表成绩单[[#This Row],[英语]]="","",SUMPRODUCT((表成绩单[考试日期]=表成绩单[[#This Row],[考试日期]])*(表成绩单[英语]&lt;9E+307)*(表成绩单[英语]&gt;表成绩单[[#This Row],[英语]]))+1)</f>
        <v>519</v>
      </c>
      <c r="S1128" s="29" cm="1">
        <f t="array" ref="S1128">IF(表成绩单[[#This Row],[物理]]="","",SUMPRODUCT((表成绩单[考试日期]=表成绩单[[#This Row],[考试日期]])*(表成绩单[物理]&lt;9E+307)*(表成绩单[物理]&gt;表成绩单[[#This Row],[物理]]))+1)</f>
        <v>422</v>
      </c>
      <c r="T1128" s="29" cm="1">
        <f t="array" ref="T1128">IF(表成绩单[[#This Row],[化学]]="","",SUMPRODUCT((表成绩单[考试日期]=表成绩单[[#This Row],[考试日期]])*(表成绩单[化学]&lt;9E+307)*(表成绩单[化学]&gt;表成绩单[[#This Row],[化学]]))+1)</f>
        <v>373</v>
      </c>
      <c r="U1128" s="29" cm="1">
        <f t="array" ref="U1128">IF(表成绩单[[#This Row],[政治]]="","",SUMPRODUCT((表成绩单[考试日期]=表成绩单[[#This Row],[考试日期]])*(表成绩单[政治]&lt;9E+307)*(表成绩单[政治]&gt;表成绩单[[#This Row],[政治]]))+1)</f>
        <v>77</v>
      </c>
      <c r="V1128" s="29" cm="1">
        <f t="array" ref="V1128">IF(表成绩单[[#This Row],[历史]]="","",SUMPRODUCT((表成绩单[考试日期]=表成绩单[[#This Row],[考试日期]])*(表成绩单[历史]&lt;9E+307)*(表成绩单[历史]&gt;表成绩单[[#This Row],[历史]]))+1)</f>
        <v>149</v>
      </c>
      <c r="W1128" s="29" cm="1">
        <f t="array" ref="W1128">IF(表成绩单[[#This Row],[总分]]="","",SUMPRODUCT((表成绩单[考试日期]=表成绩单[[#This Row],[考试日期]])*(表成绩单[总分]&lt;9E+307)*(表成绩单[总分]&gt;表成绩单[[#This Row],[总分]]))+1)</f>
        <v>322</v>
      </c>
    </row>
    <row r="1129" ht="28" customHeight="1" spans="4:23">
      <c r="D1129" s="31">
        <v>46003</v>
      </c>
      <c r="E1129" s="29">
        <v>19175687</v>
      </c>
      <c r="F1129" s="29" t="s">
        <v>72</v>
      </c>
      <c r="G1129" s="29" t="s">
        <v>582</v>
      </c>
      <c r="H1129" s="29">
        <v>100</v>
      </c>
      <c r="I1129" s="29">
        <v>97</v>
      </c>
      <c r="J1129" s="29">
        <v>74</v>
      </c>
      <c r="K1129" s="29">
        <v>77</v>
      </c>
      <c r="L1129" s="29">
        <v>81</v>
      </c>
      <c r="M1129" s="29">
        <v>67</v>
      </c>
      <c r="N1129" s="29">
        <v>70</v>
      </c>
      <c r="O1129" s="32">
        <v>566</v>
      </c>
      <c r="P1129" s="29" cm="1">
        <f t="array" ref="P1129">IF(表成绩单[[#This Row],[语文]]="","",SUMPRODUCT((表成绩单[考试日期]=表成绩单[[#This Row],[考试日期]])*(表成绩单[语文]&lt;9E+307)*(表成绩单[语文]&gt;表成绩单[[#This Row],[语文]]))+1)</f>
        <v>414</v>
      </c>
      <c r="Q1129" s="29" cm="1">
        <f t="array" ref="Q1129">IF(表成绩单[[#This Row],[数学]]="","",SUMPRODUCT((表成绩单[考试日期]=表成绩单[[#This Row],[考试日期]])*(表成绩单[数学]&lt;9E+307)*(表成绩单[数学]&gt;表成绩单[[#This Row],[数学]]))+1)</f>
        <v>104</v>
      </c>
      <c r="R1129" s="29" cm="1">
        <f t="array" ref="R1129">IF(表成绩单[[#This Row],[英语]]="","",SUMPRODUCT((表成绩单[考试日期]=表成绩单[[#This Row],[考试日期]])*(表成绩单[英语]&lt;9E+307)*(表成绩单[英语]&gt;表成绩单[[#This Row],[英语]]))+1)</f>
        <v>344</v>
      </c>
      <c r="S1129" s="29" cm="1">
        <f t="array" ref="S1129">IF(表成绩单[[#This Row],[物理]]="","",SUMPRODUCT((表成绩单[考试日期]=表成绩单[[#This Row],[考试日期]])*(表成绩单[物理]&lt;9E+307)*(表成绩单[物理]&gt;表成绩单[[#This Row],[物理]]))+1)</f>
        <v>454</v>
      </c>
      <c r="T1129" s="29" cm="1">
        <f t="array" ref="T1129">IF(表成绩单[[#This Row],[化学]]="","",SUMPRODUCT((表成绩单[考试日期]=表成绩单[[#This Row],[考试日期]])*(表成绩单[化学]&lt;9E+307)*(表成绩单[化学]&gt;表成绩单[[#This Row],[化学]]))+1)</f>
        <v>308</v>
      </c>
      <c r="U1129" s="29" cm="1">
        <f t="array" ref="U1129">IF(表成绩单[[#This Row],[政治]]="","",SUMPRODUCT((表成绩单[考试日期]=表成绩单[[#This Row],[考试日期]])*(表成绩单[政治]&lt;9E+307)*(表成绩单[政治]&gt;表成绩单[[#This Row],[政治]]))+1)</f>
        <v>264</v>
      </c>
      <c r="V1129" s="29" cm="1">
        <f t="array" ref="V1129">IF(表成绩单[[#This Row],[历史]]="","",SUMPRODUCT((表成绩单[考试日期]=表成绩单[[#This Row],[考试日期]])*(表成绩单[历史]&lt;9E+307)*(表成绩单[历史]&gt;表成绩单[[#This Row],[历史]]))+1)</f>
        <v>499</v>
      </c>
      <c r="W1129" s="29" cm="1">
        <f t="array" ref="W1129">IF(表成绩单[[#This Row],[总分]]="","",SUMPRODUCT((表成绩单[考试日期]=表成绩单[[#This Row],[考试日期]])*(表成绩单[总分]&lt;9E+307)*(表成绩单[总分]&gt;表成绩单[[#This Row],[总分]]))+1)</f>
        <v>322</v>
      </c>
    </row>
    <row r="1130" ht="28" customHeight="1" spans="4:23">
      <c r="D1130" s="31">
        <v>46003</v>
      </c>
      <c r="E1130" s="29">
        <v>19175604</v>
      </c>
      <c r="F1130" s="29" t="s">
        <v>57</v>
      </c>
      <c r="G1130" s="29" t="s">
        <v>290</v>
      </c>
      <c r="H1130" s="29">
        <v>110</v>
      </c>
      <c r="I1130" s="29">
        <v>70</v>
      </c>
      <c r="J1130" s="29">
        <v>77.5</v>
      </c>
      <c r="K1130" s="29">
        <v>76</v>
      </c>
      <c r="L1130" s="29">
        <v>80</v>
      </c>
      <c r="M1130" s="29">
        <v>74</v>
      </c>
      <c r="N1130" s="29">
        <v>78</v>
      </c>
      <c r="O1130" s="32">
        <v>565.5</v>
      </c>
      <c r="P1130" s="29" cm="1">
        <f t="array" ref="P1130">IF(表成绩单[[#This Row],[语文]]="","",SUMPRODUCT((表成绩单[考试日期]=表成绩单[[#This Row],[考试日期]])*(表成绩单[语文]&lt;9E+307)*(表成绩单[语文]&gt;表成绩单[[#This Row],[语文]]))+1)</f>
        <v>84</v>
      </c>
      <c r="Q1130" s="29" cm="1">
        <f t="array" ref="Q1130">IF(表成绩单[[#This Row],[数学]]="","",SUMPRODUCT((表成绩单[考试日期]=表成绩单[[#This Row],[考试日期]])*(表成绩单[数学]&lt;9E+307)*(表成绩单[数学]&gt;表成绩单[[#This Row],[数学]]))+1)</f>
        <v>426</v>
      </c>
      <c r="R1130" s="29" cm="1">
        <f t="array" ref="R1130">IF(表成绩单[[#This Row],[英语]]="","",SUMPRODUCT((表成绩单[考试日期]=表成绩单[[#This Row],[考试日期]])*(表成绩单[英语]&lt;9E+307)*(表成绩单[英语]&gt;表成绩单[[#This Row],[英语]]))+1)</f>
        <v>230</v>
      </c>
      <c r="S1130" s="29" cm="1">
        <f t="array" ref="S1130">IF(表成绩单[[#This Row],[物理]]="","",SUMPRODUCT((表成绩单[考试日期]=表成绩单[[#This Row],[考试日期]])*(表成绩单[物理]&lt;9E+307)*(表成绩单[物理]&gt;表成绩单[[#This Row],[物理]]))+1)</f>
        <v>463</v>
      </c>
      <c r="T1130" s="29" cm="1">
        <f t="array" ref="T1130">IF(表成绩单[[#This Row],[化学]]="","",SUMPRODUCT((表成绩单[考试日期]=表成绩单[[#This Row],[考试日期]])*(表成绩单[化学]&lt;9E+307)*(表成绩单[化学]&gt;表成绩单[[#This Row],[化学]]))+1)</f>
        <v>327</v>
      </c>
      <c r="U1130" s="29" cm="1">
        <f t="array" ref="U1130">IF(表成绩单[[#This Row],[政治]]="","",SUMPRODUCT((表成绩单[考试日期]=表成绩单[[#This Row],[考试日期]])*(表成绩单[政治]&lt;9E+307)*(表成绩单[政治]&gt;表成绩单[[#This Row],[政治]]))+1)</f>
        <v>121</v>
      </c>
      <c r="V1130" s="29" cm="1">
        <f t="array" ref="V1130">IF(表成绩单[[#This Row],[历史]]="","",SUMPRODUCT((表成绩单[考试日期]=表成绩单[[#This Row],[考试日期]])*(表成绩单[历史]&lt;9E+307)*(表成绩单[历史]&gt;表成绩单[[#This Row],[历史]]))+1)</f>
        <v>190</v>
      </c>
      <c r="W1130" s="29" cm="1">
        <f t="array" ref="W1130">IF(表成绩单[[#This Row],[总分]]="","",SUMPRODUCT((表成绩单[考试日期]=表成绩单[[#This Row],[考试日期]])*(表成绩单[总分]&lt;9E+307)*(表成绩单[总分]&gt;表成绩单[[#This Row],[总分]]))+1)</f>
        <v>325</v>
      </c>
    </row>
    <row r="1131" ht="28" customHeight="1" spans="4:23">
      <c r="D1131" s="31">
        <v>46003</v>
      </c>
      <c r="E1131" s="29">
        <v>19176893</v>
      </c>
      <c r="F1131" s="29" t="s">
        <v>71</v>
      </c>
      <c r="G1131" s="29" t="s">
        <v>465</v>
      </c>
      <c r="H1131" s="29">
        <v>104</v>
      </c>
      <c r="I1131" s="29">
        <v>80</v>
      </c>
      <c r="J1131" s="29">
        <v>79.5</v>
      </c>
      <c r="K1131" s="29">
        <v>80</v>
      </c>
      <c r="L1131" s="29">
        <v>82</v>
      </c>
      <c r="M1131" s="29">
        <v>63</v>
      </c>
      <c r="N1131" s="29">
        <v>77</v>
      </c>
      <c r="O1131" s="32">
        <v>565.5</v>
      </c>
      <c r="P1131" s="29" cm="1">
        <f t="array" ref="P1131">IF(表成绩单[[#This Row],[语文]]="","",SUMPRODUCT((表成绩单[考试日期]=表成绩单[[#This Row],[考试日期]])*(表成绩单[语文]&lt;9E+307)*(表成绩单[语文]&gt;表成绩单[[#This Row],[语文]]))+1)</f>
        <v>290</v>
      </c>
      <c r="Q1131" s="29" cm="1">
        <f t="array" ref="Q1131">IF(表成绩单[[#This Row],[数学]]="","",SUMPRODUCT((表成绩单[考试日期]=表成绩单[[#This Row],[考试日期]])*(表成绩单[数学]&lt;9E+307)*(表成绩单[数学]&gt;表成绩单[[#This Row],[数学]]))+1)</f>
        <v>310</v>
      </c>
      <c r="R1131" s="29" cm="1">
        <f t="array" ref="R1131">IF(表成绩单[[#This Row],[英语]]="","",SUMPRODUCT((表成绩单[考试日期]=表成绩单[[#This Row],[考试日期]])*(表成绩单[英语]&lt;9E+307)*(表成绩单[英语]&gt;表成绩单[[#This Row],[英语]]))+1)</f>
        <v>180</v>
      </c>
      <c r="S1131" s="29" cm="1">
        <f t="array" ref="S1131">IF(表成绩单[[#This Row],[物理]]="","",SUMPRODUCT((表成绩单[考试日期]=表成绩单[[#This Row],[考试日期]])*(表成绩单[物理]&lt;9E+307)*(表成绩单[物理]&gt;表成绩单[[#This Row],[物理]]))+1)</f>
        <v>422</v>
      </c>
      <c r="T1131" s="29" cm="1">
        <f t="array" ref="T1131">IF(表成绩单[[#This Row],[化学]]="","",SUMPRODUCT((表成绩单[考试日期]=表成绩单[[#This Row],[考试日期]])*(表成绩单[化学]&lt;9E+307)*(表成绩单[化学]&gt;表成绩单[[#This Row],[化学]]))+1)</f>
        <v>286</v>
      </c>
      <c r="U1131" s="29" cm="1">
        <f t="array" ref="U1131">IF(表成绩单[[#This Row],[政治]]="","",SUMPRODUCT((表成绩单[考试日期]=表成绩单[[#This Row],[考试日期]])*(表成绩单[政治]&lt;9E+307)*(表成绩单[政治]&gt;表成绩单[[#This Row],[政治]]))+1)</f>
        <v>360</v>
      </c>
      <c r="V1131" s="29" cm="1">
        <f t="array" ref="V1131">IF(表成绩单[[#This Row],[历史]]="","",SUMPRODUCT((表成绩单[考试日期]=表成绩单[[#This Row],[考试日期]])*(表成绩单[历史]&lt;9E+307)*(表成绩单[历史]&gt;表成绩单[[#This Row],[历史]]))+1)</f>
        <v>235</v>
      </c>
      <c r="W1131" s="29" cm="1">
        <f t="array" ref="W1131">IF(表成绩单[[#This Row],[总分]]="","",SUMPRODUCT((表成绩单[考试日期]=表成绩单[[#This Row],[考试日期]])*(表成绩单[总分]&lt;9E+307)*(表成绩单[总分]&gt;表成绩单[[#This Row],[总分]]))+1)</f>
        <v>325</v>
      </c>
    </row>
    <row r="1132" ht="28" customHeight="1" spans="4:23">
      <c r="D1132" s="31">
        <v>46003</v>
      </c>
      <c r="E1132" s="29">
        <v>19175659</v>
      </c>
      <c r="F1132" s="29" t="s">
        <v>66</v>
      </c>
      <c r="G1132" s="29" t="s">
        <v>450</v>
      </c>
      <c r="H1132" s="29">
        <v>103</v>
      </c>
      <c r="I1132" s="29">
        <v>72</v>
      </c>
      <c r="J1132" s="29">
        <v>70</v>
      </c>
      <c r="K1132" s="29">
        <v>96</v>
      </c>
      <c r="L1132" s="29">
        <v>84</v>
      </c>
      <c r="M1132" s="29">
        <v>69</v>
      </c>
      <c r="N1132" s="29">
        <v>71</v>
      </c>
      <c r="O1132" s="32">
        <v>565</v>
      </c>
      <c r="P1132" s="29" cm="1">
        <f t="array" ref="P1132">IF(表成绩单[[#This Row],[语文]]="","",SUMPRODUCT((表成绩单[考试日期]=表成绩单[[#This Row],[考试日期]])*(表成绩单[语文]&lt;9E+307)*(表成绩单[语文]&gt;表成绩单[[#This Row],[语文]]))+1)</f>
        <v>333</v>
      </c>
      <c r="Q1132" s="29" cm="1">
        <f t="array" ref="Q1132">IF(表成绩单[[#This Row],[数学]]="","",SUMPRODUCT((表成绩单[考试日期]=表成绩单[[#This Row],[考试日期]])*(表成绩单[数学]&lt;9E+307)*(表成绩单[数学]&gt;表成绩单[[#This Row],[数学]]))+1)</f>
        <v>396</v>
      </c>
      <c r="R1132" s="29" cm="1">
        <f t="array" ref="R1132">IF(表成绩单[[#This Row],[英语]]="","",SUMPRODUCT((表成绩单[考试日期]=表成绩单[[#This Row],[考试日期]])*(表成绩单[英语]&lt;9E+307)*(表成绩单[英语]&gt;表成绩单[[#This Row],[英语]]))+1)</f>
        <v>419</v>
      </c>
      <c r="S1132" s="29" cm="1">
        <f t="array" ref="S1132">IF(表成绩单[[#This Row],[物理]]="","",SUMPRODUCT((表成绩单[考试日期]=表成绩单[[#This Row],[考试日期]])*(表成绩单[物理]&lt;9E+307)*(表成绩单[物理]&gt;表成绩单[[#This Row],[物理]]))+1)</f>
        <v>64</v>
      </c>
      <c r="T1132" s="29" cm="1">
        <f t="array" ref="T1132">IF(表成绩单[[#This Row],[化学]]="","",SUMPRODUCT((表成绩单[考试日期]=表成绩单[[#This Row],[考试日期]])*(表成绩单[化学]&lt;9E+307)*(表成绩单[化学]&gt;表成绩单[[#This Row],[化学]]))+1)</f>
        <v>258</v>
      </c>
      <c r="U1132" s="29" cm="1">
        <f t="array" ref="U1132">IF(表成绩单[[#This Row],[政治]]="","",SUMPRODUCT((表成绩单[考试日期]=表成绩单[[#This Row],[考试日期]])*(表成绩单[政治]&lt;9E+307)*(表成绩单[政治]&gt;表成绩单[[#This Row],[政治]]))+1)</f>
        <v>212</v>
      </c>
      <c r="V1132" s="29" cm="1">
        <f t="array" ref="V1132">IF(表成绩单[[#This Row],[历史]]="","",SUMPRODUCT((表成绩单[考试日期]=表成绩单[[#This Row],[考试日期]])*(表成绩单[历史]&lt;9E+307)*(表成绩单[历史]&gt;表成绩单[[#This Row],[历史]]))+1)</f>
        <v>471</v>
      </c>
      <c r="W1132" s="29" cm="1">
        <f t="array" ref="W1132">IF(表成绩单[[#This Row],[总分]]="","",SUMPRODUCT((表成绩单[考试日期]=表成绩单[[#This Row],[考试日期]])*(表成绩单[总分]&lt;9E+307)*(表成绩单[总分]&gt;表成绩单[[#This Row],[总分]]))+1)</f>
        <v>327</v>
      </c>
    </row>
    <row r="1133" ht="28" customHeight="1" spans="4:23">
      <c r="D1133" s="31">
        <v>46003</v>
      </c>
      <c r="E1133" s="29">
        <v>19175688</v>
      </c>
      <c r="F1133" s="29" t="s">
        <v>72</v>
      </c>
      <c r="G1133" s="29" t="s">
        <v>464</v>
      </c>
      <c r="H1133" s="29">
        <v>103</v>
      </c>
      <c r="I1133" s="29">
        <v>87</v>
      </c>
      <c r="J1133" s="29">
        <v>81</v>
      </c>
      <c r="K1133" s="29">
        <v>82</v>
      </c>
      <c r="L1133" s="29">
        <v>82</v>
      </c>
      <c r="M1133" s="29">
        <v>51</v>
      </c>
      <c r="N1133" s="29">
        <v>78</v>
      </c>
      <c r="O1133" s="32">
        <v>564</v>
      </c>
      <c r="P1133" s="29" cm="1">
        <f t="array" ref="P1133">IF(表成绩单[[#This Row],[语文]]="","",SUMPRODUCT((表成绩单[考试日期]=表成绩单[[#This Row],[考试日期]])*(表成绩单[语文]&lt;9E+307)*(表成绩单[语文]&gt;表成绩单[[#This Row],[语文]]))+1)</f>
        <v>333</v>
      </c>
      <c r="Q1133" s="29" cm="1">
        <f t="array" ref="Q1133">IF(表成绩单[[#This Row],[数学]]="","",SUMPRODUCT((表成绩单[考试日期]=表成绩单[[#This Row],[考试日期]])*(表成绩单[数学]&lt;9E+307)*(表成绩单[数学]&gt;表成绩单[[#This Row],[数学]]))+1)</f>
        <v>223</v>
      </c>
      <c r="R1133" s="29" cm="1">
        <f t="array" ref="R1133">IF(表成绩单[[#This Row],[英语]]="","",SUMPRODUCT((表成绩单[考试日期]=表成绩单[[#This Row],[考试日期]])*(表成绩单[英语]&lt;9E+307)*(表成绩单[英语]&gt;表成绩单[[#This Row],[英语]]))+1)</f>
        <v>131</v>
      </c>
      <c r="S1133" s="29" cm="1">
        <f t="array" ref="S1133">IF(表成绩单[[#This Row],[物理]]="","",SUMPRODUCT((表成绩单[考试日期]=表成绩单[[#This Row],[考试日期]])*(表成绩单[物理]&lt;9E+307)*(表成绩单[物理]&gt;表成绩单[[#This Row],[物理]]))+1)</f>
        <v>395</v>
      </c>
      <c r="T1133" s="29" cm="1">
        <f t="array" ref="T1133">IF(表成绩单[[#This Row],[化学]]="","",SUMPRODUCT((表成绩单[考试日期]=表成绩单[[#This Row],[考试日期]])*(表成绩单[化学]&lt;9E+307)*(表成绩单[化学]&gt;表成绩单[[#This Row],[化学]]))+1)</f>
        <v>286</v>
      </c>
      <c r="U1133" s="29" cm="1">
        <f t="array" ref="U1133">IF(表成绩单[[#This Row],[政治]]="","",SUMPRODUCT((表成绩单[考试日期]=表成绩单[[#This Row],[考试日期]])*(表成绩单[政治]&lt;9E+307)*(表成绩单[政治]&gt;表成绩单[[#This Row],[政治]]))+1)</f>
        <v>571</v>
      </c>
      <c r="V1133" s="29" cm="1">
        <f t="array" ref="V1133">IF(表成绩单[[#This Row],[历史]]="","",SUMPRODUCT((表成绩单[考试日期]=表成绩单[[#This Row],[考试日期]])*(表成绩单[历史]&lt;9E+307)*(表成绩单[历史]&gt;表成绩单[[#This Row],[历史]]))+1)</f>
        <v>190</v>
      </c>
      <c r="W1133" s="29" cm="1">
        <f t="array" ref="W1133">IF(表成绩单[[#This Row],[总分]]="","",SUMPRODUCT((表成绩单[考试日期]=表成绩单[[#This Row],[考试日期]])*(表成绩单[总分]&lt;9E+307)*(表成绩单[总分]&gt;表成绩单[[#This Row],[总分]]))+1)</f>
        <v>328</v>
      </c>
    </row>
    <row r="1134" ht="28" customHeight="1" spans="4:23">
      <c r="D1134" s="31">
        <v>46003</v>
      </c>
      <c r="E1134" s="29">
        <v>19174444</v>
      </c>
      <c r="F1134" s="29" t="s">
        <v>73</v>
      </c>
      <c r="G1134" s="29" t="s">
        <v>458</v>
      </c>
      <c r="H1134" s="29">
        <v>99</v>
      </c>
      <c r="I1134" s="29">
        <v>78</v>
      </c>
      <c r="J1134" s="29">
        <v>72</v>
      </c>
      <c r="K1134" s="29">
        <v>92</v>
      </c>
      <c r="L1134" s="29">
        <v>80</v>
      </c>
      <c r="M1134" s="29">
        <v>65</v>
      </c>
      <c r="N1134" s="29">
        <v>77</v>
      </c>
      <c r="O1134" s="32">
        <v>563</v>
      </c>
      <c r="P1134" s="29" cm="1">
        <f t="array" ref="P1134">IF(表成绩单[[#This Row],[语文]]="","",SUMPRODUCT((表成绩单[考试日期]=表成绩单[[#This Row],[考试日期]])*(表成绩单[语文]&lt;9E+307)*(表成绩单[语文]&gt;表成绩单[[#This Row],[语文]]))+1)</f>
        <v>440</v>
      </c>
      <c r="Q1134" s="29" cm="1">
        <f t="array" ref="Q1134">IF(表成绩单[[#This Row],[数学]]="","",SUMPRODUCT((表成绩单[考试日期]=表成绩单[[#This Row],[考试日期]])*(表成绩单[数学]&lt;9E+307)*(表成绩单[数学]&gt;表成绩单[[#This Row],[数学]]))+1)</f>
        <v>335</v>
      </c>
      <c r="R1134" s="29" cm="1">
        <f t="array" ref="R1134">IF(表成绩单[[#This Row],[英语]]="","",SUMPRODUCT((表成绩单[考试日期]=表成绩单[[#This Row],[考试日期]])*(表成绩单[英语]&lt;9E+307)*(表成绩单[英语]&gt;表成绩单[[#This Row],[英语]]))+1)</f>
        <v>386</v>
      </c>
      <c r="S1134" s="29" cm="1">
        <f t="array" ref="S1134">IF(表成绩单[[#This Row],[物理]]="","",SUMPRODUCT((表成绩单[考试日期]=表成绩单[[#This Row],[考试日期]])*(表成绩单[物理]&lt;9E+307)*(表成绩单[物理]&gt;表成绩单[[#This Row],[物理]]))+1)</f>
        <v>191</v>
      </c>
      <c r="T1134" s="29" cm="1">
        <f t="array" ref="T1134">IF(表成绩单[[#This Row],[化学]]="","",SUMPRODUCT((表成绩单[考试日期]=表成绩单[[#This Row],[考试日期]])*(表成绩单[化学]&lt;9E+307)*(表成绩单[化学]&gt;表成绩单[[#This Row],[化学]]))+1)</f>
        <v>327</v>
      </c>
      <c r="U1134" s="29" cm="1">
        <f t="array" ref="U1134">IF(表成绩单[[#This Row],[政治]]="","",SUMPRODUCT((表成绩单[考试日期]=表成绩单[[#This Row],[考试日期]])*(表成绩单[政治]&lt;9E+307)*(表成绩单[政治]&gt;表成绩单[[#This Row],[政治]]))+1)</f>
        <v>314</v>
      </c>
      <c r="V1134" s="29" cm="1">
        <f t="array" ref="V1134">IF(表成绩单[[#This Row],[历史]]="","",SUMPRODUCT((表成绩单[考试日期]=表成绩单[[#This Row],[考试日期]])*(表成绩单[历史]&lt;9E+307)*(表成绩单[历史]&gt;表成绩单[[#This Row],[历史]]))+1)</f>
        <v>235</v>
      </c>
      <c r="W1134" s="29" cm="1">
        <f t="array" ref="W1134">IF(表成绩单[[#This Row],[总分]]="","",SUMPRODUCT((表成绩单[考试日期]=表成绩单[[#This Row],[考试日期]])*(表成绩单[总分]&lt;9E+307)*(表成绩单[总分]&gt;表成绩单[[#This Row],[总分]]))+1)</f>
        <v>329</v>
      </c>
    </row>
    <row r="1135" ht="28" customHeight="1" spans="4:23">
      <c r="D1135" s="31">
        <v>46003</v>
      </c>
      <c r="E1135" s="29">
        <v>19176879</v>
      </c>
      <c r="F1135" s="29" t="s">
        <v>71</v>
      </c>
      <c r="G1135" s="29" t="s">
        <v>361</v>
      </c>
      <c r="H1135" s="29">
        <v>104</v>
      </c>
      <c r="I1135" s="29">
        <v>78</v>
      </c>
      <c r="J1135" s="29">
        <v>73</v>
      </c>
      <c r="K1135" s="29">
        <v>87</v>
      </c>
      <c r="L1135" s="29">
        <v>76</v>
      </c>
      <c r="M1135" s="29">
        <v>67</v>
      </c>
      <c r="N1135" s="29">
        <v>78</v>
      </c>
      <c r="O1135" s="32">
        <v>563</v>
      </c>
      <c r="P1135" s="29" cm="1">
        <f t="array" ref="P1135">IF(表成绩单[[#This Row],[语文]]="","",SUMPRODUCT((表成绩单[考试日期]=表成绩单[[#This Row],[考试日期]])*(表成绩单[语文]&lt;9E+307)*(表成绩单[语文]&gt;表成绩单[[#This Row],[语文]]))+1)</f>
        <v>290</v>
      </c>
      <c r="Q1135" s="29" cm="1">
        <f t="array" ref="Q1135">IF(表成绩单[[#This Row],[数学]]="","",SUMPRODUCT((表成绩单[考试日期]=表成绩单[[#This Row],[考试日期]])*(表成绩单[数学]&lt;9E+307)*(表成绩单[数学]&gt;表成绩单[[#This Row],[数学]]))+1)</f>
        <v>335</v>
      </c>
      <c r="R1135" s="29" cm="1">
        <f t="array" ref="R1135">IF(表成绩单[[#This Row],[英语]]="","",SUMPRODUCT((表成绩单[考试日期]=表成绩单[[#This Row],[考试日期]])*(表成绩单[英语]&lt;9E+307)*(表成绩单[英语]&gt;表成绩单[[#This Row],[英语]]))+1)</f>
        <v>363</v>
      </c>
      <c r="S1135" s="29" cm="1">
        <f t="array" ref="S1135">IF(表成绩单[[#This Row],[物理]]="","",SUMPRODUCT((表成绩单[考试日期]=表成绩单[[#This Row],[考试日期]])*(表成绩单[物理]&lt;9E+307)*(表成绩单[物理]&gt;表成绩单[[#This Row],[物理]]))+1)</f>
        <v>306</v>
      </c>
      <c r="T1135" s="29" cm="1">
        <f t="array" ref="T1135">IF(表成绩单[[#This Row],[化学]]="","",SUMPRODUCT((表成绩单[考试日期]=表成绩单[[#This Row],[考试日期]])*(表成绩单[化学]&lt;9E+307)*(表成绩单[化学]&gt;表成绩单[[#This Row],[化学]]))+1)</f>
        <v>402</v>
      </c>
      <c r="U1135" s="29" cm="1">
        <f t="array" ref="U1135">IF(表成绩单[[#This Row],[政治]]="","",SUMPRODUCT((表成绩单[考试日期]=表成绩单[[#This Row],[考试日期]])*(表成绩单[政治]&lt;9E+307)*(表成绩单[政治]&gt;表成绩单[[#This Row],[政治]]))+1)</f>
        <v>264</v>
      </c>
      <c r="V1135" s="29" cm="1">
        <f t="array" ref="V1135">IF(表成绩单[[#This Row],[历史]]="","",SUMPRODUCT((表成绩单[考试日期]=表成绩单[[#This Row],[考试日期]])*(表成绩单[历史]&lt;9E+307)*(表成绩单[历史]&gt;表成绩单[[#This Row],[历史]]))+1)</f>
        <v>190</v>
      </c>
      <c r="W1135" s="29" cm="1">
        <f t="array" ref="W1135">IF(表成绩单[[#This Row],[总分]]="","",SUMPRODUCT((表成绩单[考试日期]=表成绩单[[#This Row],[考试日期]])*(表成绩单[总分]&lt;9E+307)*(表成绩单[总分]&gt;表成绩单[[#This Row],[总分]]))+1)</f>
        <v>329</v>
      </c>
    </row>
    <row r="1136" ht="28" customHeight="1" spans="4:23">
      <c r="D1136" s="31">
        <v>46003</v>
      </c>
      <c r="E1136" s="29">
        <v>19167644</v>
      </c>
      <c r="F1136" s="29" t="s">
        <v>1</v>
      </c>
      <c r="G1136" s="29" t="s">
        <v>419</v>
      </c>
      <c r="H1136" s="29">
        <v>104</v>
      </c>
      <c r="I1136" s="29">
        <v>83</v>
      </c>
      <c r="J1136" s="29">
        <v>77.5</v>
      </c>
      <c r="K1136" s="29">
        <v>68</v>
      </c>
      <c r="L1136" s="29">
        <v>80</v>
      </c>
      <c r="M1136" s="29">
        <v>75</v>
      </c>
      <c r="N1136" s="29">
        <v>75</v>
      </c>
      <c r="O1136" s="32">
        <v>562.5</v>
      </c>
      <c r="P1136" s="29" cm="1">
        <f t="array" ref="P1136">IF(表成绩单[[#This Row],[语文]]="","",SUMPRODUCT((表成绩单[考试日期]=表成绩单[[#This Row],[考试日期]])*(表成绩单[语文]&lt;9E+307)*(表成绩单[语文]&gt;表成绩单[[#This Row],[语文]]))+1)</f>
        <v>290</v>
      </c>
      <c r="Q1136" s="29" cm="1">
        <f t="array" ref="Q1136">IF(表成绩单[[#This Row],[数学]]="","",SUMPRODUCT((表成绩单[考试日期]=表成绩单[[#This Row],[考试日期]])*(表成绩单[数学]&lt;9E+307)*(表成绩单[数学]&gt;表成绩单[[#This Row],[数学]]))+1)</f>
        <v>272</v>
      </c>
      <c r="R1136" s="29" cm="1">
        <f t="array" ref="R1136">IF(表成绩单[[#This Row],[英语]]="","",SUMPRODUCT((表成绩单[考试日期]=表成绩单[[#This Row],[考试日期]])*(表成绩单[英语]&lt;9E+307)*(表成绩单[英语]&gt;表成绩单[[#This Row],[英语]]))+1)</f>
        <v>230</v>
      </c>
      <c r="S1136" s="29" cm="1">
        <f t="array" ref="S1136">IF(表成绩单[[#This Row],[物理]]="","",SUMPRODUCT((表成绩单[考试日期]=表成绩单[[#This Row],[考试日期]])*(表成绩单[物理]&lt;9E+307)*(表成绩单[物理]&gt;表成绩单[[#This Row],[物理]]))+1)</f>
        <v>539</v>
      </c>
      <c r="T1136" s="29" cm="1">
        <f t="array" ref="T1136">IF(表成绩单[[#This Row],[化学]]="","",SUMPRODUCT((表成绩单[考试日期]=表成绩单[[#This Row],[考试日期]])*(表成绩单[化学]&lt;9E+307)*(表成绩单[化学]&gt;表成绩单[[#This Row],[化学]]))+1)</f>
        <v>327</v>
      </c>
      <c r="U1136" s="29" cm="1">
        <f t="array" ref="U1136">IF(表成绩单[[#This Row],[政治]]="","",SUMPRODUCT((表成绩单[考试日期]=表成绩单[[#This Row],[考试日期]])*(表成绩单[政治]&lt;9E+307)*(表成绩单[政治]&gt;表成绩单[[#This Row],[政治]]))+1)</f>
        <v>102</v>
      </c>
      <c r="V1136" s="29" cm="1">
        <f t="array" ref="V1136">IF(表成绩单[[#This Row],[历史]]="","",SUMPRODUCT((表成绩单[考试日期]=表成绩单[[#This Row],[考试日期]])*(表成绩单[历史]&lt;9E+307)*(表成绩单[历史]&gt;表成绩单[[#This Row],[历史]]))+1)</f>
        <v>329</v>
      </c>
      <c r="W1136" s="29" cm="1">
        <f t="array" ref="W1136">IF(表成绩单[[#This Row],[总分]]="","",SUMPRODUCT((表成绩单[考试日期]=表成绩单[[#This Row],[考试日期]])*(表成绩单[总分]&lt;9E+307)*(表成绩单[总分]&gt;表成绩单[[#This Row],[总分]]))+1)</f>
        <v>331</v>
      </c>
    </row>
    <row r="1137" ht="28" customHeight="1" spans="4:23">
      <c r="D1137" s="31">
        <v>46003</v>
      </c>
      <c r="E1137" s="29">
        <v>19176169</v>
      </c>
      <c r="F1137" s="29" t="s">
        <v>67</v>
      </c>
      <c r="G1137" s="29" t="s">
        <v>377</v>
      </c>
      <c r="H1137" s="29">
        <v>104</v>
      </c>
      <c r="I1137" s="29">
        <v>74</v>
      </c>
      <c r="J1137" s="29">
        <v>73.5</v>
      </c>
      <c r="K1137" s="29">
        <v>90</v>
      </c>
      <c r="L1137" s="29">
        <v>85</v>
      </c>
      <c r="M1137" s="29">
        <v>66</v>
      </c>
      <c r="N1137" s="29">
        <v>70</v>
      </c>
      <c r="O1137" s="32">
        <v>562.5</v>
      </c>
      <c r="P1137" s="29" cm="1">
        <f t="array" ref="P1137">IF(表成绩单[[#This Row],[语文]]="","",SUMPRODUCT((表成绩单[考试日期]=表成绩单[[#This Row],[考试日期]])*(表成绩单[语文]&lt;9E+307)*(表成绩单[语文]&gt;表成绩单[[#This Row],[语文]]))+1)</f>
        <v>290</v>
      </c>
      <c r="Q1137" s="29" cm="1">
        <f t="array" ref="Q1137">IF(表成绩单[[#This Row],[数学]]="","",SUMPRODUCT((表成绩单[考试日期]=表成绩单[[#This Row],[考试日期]])*(表成绩单[数学]&lt;9E+307)*(表成绩单[数学]&gt;表成绩单[[#This Row],[数学]]))+1)</f>
        <v>380</v>
      </c>
      <c r="R1137" s="29" cm="1">
        <f t="array" ref="R1137">IF(表成绩单[[#This Row],[英语]]="","",SUMPRODUCT((表成绩单[考试日期]=表成绩单[[#This Row],[考试日期]])*(表成绩单[英语]&lt;9E+307)*(表成绩单[英语]&gt;表成绩单[[#This Row],[英语]]))+1)</f>
        <v>355</v>
      </c>
      <c r="S1137" s="29" cm="1">
        <f t="array" ref="S1137">IF(表成绩单[[#This Row],[物理]]="","",SUMPRODUCT((表成绩单[考试日期]=表成绩单[[#This Row],[考试日期]])*(表成绩单[物理]&lt;9E+307)*(表成绩单[物理]&gt;表成绩单[[#This Row],[物理]]))+1)</f>
        <v>237</v>
      </c>
      <c r="T1137" s="29" cm="1">
        <f t="array" ref="T1137">IF(表成绩单[[#This Row],[化学]]="","",SUMPRODUCT((表成绩单[考试日期]=表成绩单[[#This Row],[考试日期]])*(表成绩单[化学]&lt;9E+307)*(表成绩单[化学]&gt;表成绩单[[#This Row],[化学]]))+1)</f>
        <v>240</v>
      </c>
      <c r="U1137" s="29" cm="1">
        <f t="array" ref="U1137">IF(表成绩单[[#This Row],[政治]]="","",SUMPRODUCT((表成绩单[考试日期]=表成绩单[[#This Row],[考试日期]])*(表成绩单[政治]&lt;9E+307)*(表成绩单[政治]&gt;表成绩单[[#This Row],[政治]]))+1)</f>
        <v>289</v>
      </c>
      <c r="V1137" s="29" cm="1">
        <f t="array" ref="V1137">IF(表成绩单[[#This Row],[历史]]="","",SUMPRODUCT((表成绩单[考试日期]=表成绩单[[#This Row],[考试日期]])*(表成绩单[历史]&lt;9E+307)*(表成绩单[历史]&gt;表成绩单[[#This Row],[历史]]))+1)</f>
        <v>499</v>
      </c>
      <c r="W1137" s="29" cm="1">
        <f t="array" ref="W1137">IF(表成绩单[[#This Row],[总分]]="","",SUMPRODUCT((表成绩单[考试日期]=表成绩单[[#This Row],[考试日期]])*(表成绩单[总分]&lt;9E+307)*(表成绩单[总分]&gt;表成绩单[[#This Row],[总分]]))+1)</f>
        <v>331</v>
      </c>
    </row>
    <row r="1138" ht="28" customHeight="1" spans="4:23">
      <c r="D1138" s="31">
        <v>46003</v>
      </c>
      <c r="E1138" s="29">
        <v>19177210</v>
      </c>
      <c r="F1138" s="29" t="s">
        <v>70</v>
      </c>
      <c r="G1138" s="29" t="s">
        <v>385</v>
      </c>
      <c r="H1138" s="29">
        <v>107</v>
      </c>
      <c r="I1138" s="29">
        <v>75</v>
      </c>
      <c r="J1138" s="29">
        <v>71.5</v>
      </c>
      <c r="K1138" s="29">
        <v>88</v>
      </c>
      <c r="L1138" s="29">
        <v>79</v>
      </c>
      <c r="M1138" s="29">
        <v>66</v>
      </c>
      <c r="N1138" s="29">
        <v>76</v>
      </c>
      <c r="O1138" s="32">
        <v>562.5</v>
      </c>
      <c r="P1138" s="29" cm="1">
        <f t="array" ref="P1138">IF(表成绩单[[#This Row],[语文]]="","",SUMPRODUCT((表成绩单[考试日期]=表成绩单[[#This Row],[考试日期]])*(表成绩单[语文]&lt;9E+307)*(表成绩单[语文]&gt;表成绩单[[#This Row],[语文]]))+1)</f>
        <v>182</v>
      </c>
      <c r="Q1138" s="29" cm="1">
        <f t="array" ref="Q1138">IF(表成绩单[[#This Row],[数学]]="","",SUMPRODUCT((表成绩单[考试日期]=表成绩单[[#This Row],[考试日期]])*(表成绩单[数学]&lt;9E+307)*(表成绩单[数学]&gt;表成绩单[[#This Row],[数学]]))+1)</f>
        <v>364</v>
      </c>
      <c r="R1138" s="29" cm="1">
        <f t="array" ref="R1138">IF(表成绩单[[#This Row],[英语]]="","",SUMPRODUCT((表成绩单[考试日期]=表成绩单[[#This Row],[考试日期]])*(表成绩单[英语]&lt;9E+307)*(表成绩单[英语]&gt;表成绩单[[#This Row],[英语]]))+1)</f>
        <v>396</v>
      </c>
      <c r="S1138" s="29" cm="1">
        <f t="array" ref="S1138">IF(表成绩单[[#This Row],[物理]]="","",SUMPRODUCT((表成绩单[考试日期]=表成绩单[[#This Row],[考试日期]])*(表成绩单[物理]&lt;9E+307)*(表成绩单[物理]&gt;表成绩单[[#This Row],[物理]]))+1)</f>
        <v>291</v>
      </c>
      <c r="T1138" s="29" cm="1">
        <f t="array" ref="T1138">IF(表成绩单[[#This Row],[化学]]="","",SUMPRODUCT((表成绩单[考试日期]=表成绩单[[#This Row],[考试日期]])*(表成绩单[化学]&lt;9E+307)*(表成绩单[化学]&gt;表成绩单[[#This Row],[化学]]))+1)</f>
        <v>351</v>
      </c>
      <c r="U1138" s="29" cm="1">
        <f t="array" ref="U1138">IF(表成绩单[[#This Row],[政治]]="","",SUMPRODUCT((表成绩单[考试日期]=表成绩单[[#This Row],[考试日期]])*(表成绩单[政治]&lt;9E+307)*(表成绩单[政治]&gt;表成绩单[[#This Row],[政治]]))+1)</f>
        <v>289</v>
      </c>
      <c r="V1138" s="29" cm="1">
        <f t="array" ref="V1138">IF(表成绩单[[#This Row],[历史]]="","",SUMPRODUCT((表成绩单[考试日期]=表成绩单[[#This Row],[考试日期]])*(表成绩单[历史]&lt;9E+307)*(表成绩单[历史]&gt;表成绩单[[#This Row],[历史]]))+1)</f>
        <v>279</v>
      </c>
      <c r="W1138" s="29" cm="1">
        <f t="array" ref="W1138">IF(表成绩单[[#This Row],[总分]]="","",SUMPRODUCT((表成绩单[考试日期]=表成绩单[[#This Row],[考试日期]])*(表成绩单[总分]&lt;9E+307)*(表成绩单[总分]&gt;表成绩单[[#This Row],[总分]]))+1)</f>
        <v>331</v>
      </c>
    </row>
    <row r="1139" ht="28" customHeight="1" spans="4:23">
      <c r="D1139" s="31">
        <v>46003</v>
      </c>
      <c r="E1139" s="29">
        <v>19178651</v>
      </c>
      <c r="F1139" s="29" t="s">
        <v>25</v>
      </c>
      <c r="G1139" s="29" t="s">
        <v>306</v>
      </c>
      <c r="H1139" s="29">
        <v>105</v>
      </c>
      <c r="I1139" s="29">
        <v>73</v>
      </c>
      <c r="J1139" s="29">
        <v>81.5</v>
      </c>
      <c r="K1139" s="29">
        <v>78</v>
      </c>
      <c r="L1139" s="29">
        <v>84</v>
      </c>
      <c r="M1139" s="29">
        <v>72</v>
      </c>
      <c r="N1139" s="29">
        <v>68</v>
      </c>
      <c r="O1139" s="32">
        <v>561.5</v>
      </c>
      <c r="P1139" s="29" cm="1">
        <f t="array" ref="P1139">IF(表成绩单[[#This Row],[语文]]="","",SUMPRODUCT((表成绩单[考试日期]=表成绩单[[#This Row],[考试日期]])*(表成绩单[语文]&lt;9E+307)*(表成绩单[语文]&gt;表成绩单[[#This Row],[语文]]))+1)</f>
        <v>247</v>
      </c>
      <c r="Q1139" s="29" cm="1">
        <f t="array" ref="Q1139">IF(表成绩单[[#This Row],[数学]]="","",SUMPRODUCT((表成绩单[考试日期]=表成绩单[[#This Row],[考试日期]])*(表成绩单[数学]&lt;9E+307)*(表成绩单[数学]&gt;表成绩单[[#This Row],[数学]]))+1)</f>
        <v>386</v>
      </c>
      <c r="R1139" s="29" cm="1">
        <f t="array" ref="R1139">IF(表成绩单[[#This Row],[英语]]="","",SUMPRODUCT((表成绩单[考试日期]=表成绩单[[#This Row],[考试日期]])*(表成绩单[英语]&lt;9E+307)*(表成绩单[英语]&gt;表成绩单[[#This Row],[英语]]))+1)</f>
        <v>113</v>
      </c>
      <c r="S1139" s="29" cm="1">
        <f t="array" ref="S1139">IF(表成绩单[[#This Row],[物理]]="","",SUMPRODUCT((表成绩单[考试日期]=表成绩单[[#This Row],[考试日期]])*(表成绩单[物理]&lt;9E+307)*(表成绩单[物理]&gt;表成绩单[[#This Row],[物理]]))+1)</f>
        <v>443</v>
      </c>
      <c r="T1139" s="29" cm="1">
        <f t="array" ref="T1139">IF(表成绩单[[#This Row],[化学]]="","",SUMPRODUCT((表成绩单[考试日期]=表成绩单[[#This Row],[考试日期]])*(表成绩单[化学]&lt;9E+307)*(表成绩单[化学]&gt;表成绩单[[#This Row],[化学]]))+1)</f>
        <v>258</v>
      </c>
      <c r="U1139" s="29" cm="1">
        <f t="array" ref="U1139">IF(表成绩单[[#This Row],[政治]]="","",SUMPRODUCT((表成绩单[考试日期]=表成绩单[[#This Row],[考试日期]])*(表成绩单[政治]&lt;9E+307)*(表成绩单[政治]&gt;表成绩单[[#This Row],[政治]]))+1)</f>
        <v>155</v>
      </c>
      <c r="V1139" s="29" cm="1">
        <f t="array" ref="V1139">IF(表成绩单[[#This Row],[历史]]="","",SUMPRODUCT((表成绩单[考试日期]=表成绩单[[#This Row],[考试日期]])*(表成绩单[历史]&lt;9E+307)*(表成绩单[历史]&gt;表成绩单[[#This Row],[历史]]))+1)</f>
        <v>536</v>
      </c>
      <c r="W1139" s="29" cm="1">
        <f t="array" ref="W1139">IF(表成绩单[[#This Row],[总分]]="","",SUMPRODUCT((表成绩单[考试日期]=表成绩单[[#This Row],[考试日期]])*(表成绩单[总分]&lt;9E+307)*(表成绩单[总分]&gt;表成绩单[[#This Row],[总分]]))+1)</f>
        <v>334</v>
      </c>
    </row>
    <row r="1140" ht="28" customHeight="1" spans="4:23">
      <c r="D1140" s="31">
        <v>46003</v>
      </c>
      <c r="E1140" s="29">
        <v>19173248</v>
      </c>
      <c r="F1140" s="29" t="s">
        <v>61</v>
      </c>
      <c r="G1140" s="29" t="s">
        <v>492</v>
      </c>
      <c r="H1140" s="29">
        <v>102</v>
      </c>
      <c r="I1140" s="29">
        <v>93</v>
      </c>
      <c r="J1140" s="29">
        <v>57</v>
      </c>
      <c r="K1140" s="29">
        <v>94</v>
      </c>
      <c r="L1140" s="29">
        <v>85</v>
      </c>
      <c r="M1140" s="29">
        <v>56</v>
      </c>
      <c r="N1140" s="29">
        <v>74</v>
      </c>
      <c r="O1140" s="32">
        <v>561</v>
      </c>
      <c r="P1140" s="29" cm="1">
        <f t="array" ref="P1140">IF(表成绩单[[#This Row],[语文]]="","",SUMPRODUCT((表成绩单[考试日期]=表成绩单[[#This Row],[考试日期]])*(表成绩单[语文]&lt;9E+307)*(表成绩单[语文]&gt;表成绩单[[#This Row],[语文]]))+1)</f>
        <v>366</v>
      </c>
      <c r="Q1140" s="29" cm="1">
        <f t="array" ref="Q1140">IF(表成绩单[[#This Row],[数学]]="","",SUMPRODUCT((表成绩单[考试日期]=表成绩单[[#This Row],[考试日期]])*(表成绩单[数学]&lt;9E+307)*(表成绩单[数学]&gt;表成绩单[[#This Row],[数学]]))+1)</f>
        <v>155</v>
      </c>
      <c r="R1140" s="29" cm="1">
        <f t="array" ref="R1140">IF(表成绩单[[#This Row],[英语]]="","",SUMPRODUCT((表成绩单[考试日期]=表成绩单[[#This Row],[考试日期]])*(表成绩单[英语]&lt;9E+307)*(表成绩单[英语]&gt;表成绩单[[#This Row],[英语]]))+1)</f>
        <v>553</v>
      </c>
      <c r="S1140" s="29" cm="1">
        <f t="array" ref="S1140">IF(表成绩单[[#This Row],[物理]]="","",SUMPRODUCT((表成绩单[考试日期]=表成绩单[[#This Row],[考试日期]])*(表成绩单[物理]&lt;9E+307)*(表成绩单[物理]&gt;表成绩单[[#This Row],[物理]]))+1)</f>
        <v>125</v>
      </c>
      <c r="T1140" s="29" cm="1">
        <f t="array" ref="T1140">IF(表成绩单[[#This Row],[化学]]="","",SUMPRODUCT((表成绩单[考试日期]=表成绩单[[#This Row],[考试日期]])*(表成绩单[化学]&lt;9E+307)*(表成绩单[化学]&gt;表成绩单[[#This Row],[化学]]))+1)</f>
        <v>240</v>
      </c>
      <c r="U1140" s="29" cm="1">
        <f t="array" ref="U1140">IF(表成绩单[[#This Row],[政治]]="","",SUMPRODUCT((表成绩单[考试日期]=表成绩单[[#This Row],[考试日期]])*(表成绩单[政治]&lt;9E+307)*(表成绩单[政治]&gt;表成绩单[[#This Row],[政治]]))+1)</f>
        <v>492</v>
      </c>
      <c r="V1140" s="29" cm="1">
        <f t="array" ref="V1140">IF(表成绩单[[#This Row],[历史]]="","",SUMPRODUCT((表成绩单[考试日期]=表成绩单[[#This Row],[考试日期]])*(表成绩单[历史]&lt;9E+307)*(表成绩单[历史]&gt;表成绩单[[#This Row],[历史]]))+1)</f>
        <v>371</v>
      </c>
      <c r="W1140" s="29" cm="1">
        <f t="array" ref="W1140">IF(表成绩单[[#This Row],[总分]]="","",SUMPRODUCT((表成绩单[考试日期]=表成绩单[[#This Row],[考试日期]])*(表成绩单[总分]&lt;9E+307)*(表成绩单[总分]&gt;表成绩单[[#This Row],[总分]]))+1)</f>
        <v>335</v>
      </c>
    </row>
    <row r="1141" ht="28" customHeight="1" spans="4:23">
      <c r="D1141" s="31">
        <v>46003</v>
      </c>
      <c r="E1141" s="29">
        <v>19174778</v>
      </c>
      <c r="F1141" s="29" t="s">
        <v>69</v>
      </c>
      <c r="G1141" s="29" t="s">
        <v>359</v>
      </c>
      <c r="H1141" s="29">
        <v>104</v>
      </c>
      <c r="I1141" s="29">
        <v>91</v>
      </c>
      <c r="J1141" s="29">
        <v>82</v>
      </c>
      <c r="K1141" s="29">
        <v>81</v>
      </c>
      <c r="L1141" s="29">
        <v>73</v>
      </c>
      <c r="M1141" s="29">
        <v>55</v>
      </c>
      <c r="N1141" s="29">
        <v>75</v>
      </c>
      <c r="O1141" s="32">
        <v>561</v>
      </c>
      <c r="P1141" s="29" cm="1">
        <f t="array" ref="P1141">IF(表成绩单[[#This Row],[语文]]="","",SUMPRODUCT((表成绩单[考试日期]=表成绩单[[#This Row],[考试日期]])*(表成绩单[语文]&lt;9E+307)*(表成绩单[语文]&gt;表成绩单[[#This Row],[语文]]))+1)</f>
        <v>290</v>
      </c>
      <c r="Q1141" s="29" cm="1">
        <f t="array" ref="Q1141">IF(表成绩单[[#This Row],[数学]]="","",SUMPRODUCT((表成绩单[考试日期]=表成绩单[[#This Row],[考试日期]])*(表成绩单[数学]&lt;9E+307)*(表成绩单[数学]&gt;表成绩单[[#This Row],[数学]]))+1)</f>
        <v>184</v>
      </c>
      <c r="R1141" s="29" cm="1">
        <f t="array" ref="R1141">IF(表成绩单[[#This Row],[英语]]="","",SUMPRODUCT((表成绩单[考试日期]=表成绩单[[#This Row],[考试日期]])*(表成绩单[英语]&lt;9E+307)*(表成绩单[英语]&gt;表成绩单[[#This Row],[英语]]))+1)</f>
        <v>96</v>
      </c>
      <c r="S1141" s="29" cm="1">
        <f t="array" ref="S1141">IF(表成绩单[[#This Row],[物理]]="","",SUMPRODUCT((表成绩单[考试日期]=表成绩单[[#This Row],[考试日期]])*(表成绩单[物理]&lt;9E+307)*(表成绩单[物理]&gt;表成绩单[[#This Row],[物理]]))+1)</f>
        <v>405</v>
      </c>
      <c r="T1141" s="29" cm="1">
        <f t="array" ref="T1141">IF(表成绩单[[#This Row],[化学]]="","",SUMPRODUCT((表成绩单[考试日期]=表成绩单[[#This Row],[考试日期]])*(表成绩单[化学]&lt;9E+307)*(表成绩单[化学]&gt;表成绩单[[#This Row],[化学]]))+1)</f>
        <v>457</v>
      </c>
      <c r="U1141" s="29" cm="1">
        <f t="array" ref="U1141">IF(表成绩单[[#This Row],[政治]]="","",SUMPRODUCT((表成绩单[考试日期]=表成绩单[[#This Row],[考试日期]])*(表成绩单[政治]&lt;9E+307)*(表成绩单[政治]&gt;表成绩单[[#This Row],[政治]]))+1)</f>
        <v>513</v>
      </c>
      <c r="V1141" s="29" cm="1">
        <f t="array" ref="V1141">IF(表成绩单[[#This Row],[历史]]="","",SUMPRODUCT((表成绩单[考试日期]=表成绩单[[#This Row],[考试日期]])*(表成绩单[历史]&lt;9E+307)*(表成绩单[历史]&gt;表成绩单[[#This Row],[历史]]))+1)</f>
        <v>329</v>
      </c>
      <c r="W1141" s="29" cm="1">
        <f t="array" ref="W1141">IF(表成绩单[[#This Row],[总分]]="","",SUMPRODUCT((表成绩单[考试日期]=表成绩单[[#This Row],[考试日期]])*(表成绩单[总分]&lt;9E+307)*(表成绩单[总分]&gt;表成绩单[[#This Row],[总分]]))+1)</f>
        <v>335</v>
      </c>
    </row>
    <row r="1142" ht="28" customHeight="1" spans="4:23">
      <c r="D1142" s="31">
        <v>46003</v>
      </c>
      <c r="E1142" s="29">
        <v>19176859</v>
      </c>
      <c r="F1142" s="29" t="s">
        <v>71</v>
      </c>
      <c r="G1142" s="29" t="s">
        <v>404</v>
      </c>
      <c r="H1142" s="29">
        <v>103</v>
      </c>
      <c r="I1142" s="29">
        <v>67</v>
      </c>
      <c r="J1142" s="29">
        <v>77</v>
      </c>
      <c r="K1142" s="29">
        <v>90</v>
      </c>
      <c r="L1142" s="29">
        <v>77</v>
      </c>
      <c r="M1142" s="29">
        <v>67</v>
      </c>
      <c r="N1142" s="29">
        <v>80</v>
      </c>
      <c r="O1142" s="32">
        <v>561</v>
      </c>
      <c r="P1142" s="29" cm="1">
        <f t="array" ref="P1142">IF(表成绩单[[#This Row],[语文]]="","",SUMPRODUCT((表成绩单[考试日期]=表成绩单[[#This Row],[考试日期]])*(表成绩单[语文]&lt;9E+307)*(表成绩单[语文]&gt;表成绩单[[#This Row],[语文]]))+1)</f>
        <v>333</v>
      </c>
      <c r="Q1142" s="29" cm="1">
        <f t="array" ref="Q1142">IF(表成绩单[[#This Row],[数学]]="","",SUMPRODUCT((表成绩单[考试日期]=表成绩单[[#This Row],[考试日期]])*(表成绩单[数学]&lt;9E+307)*(表成绩单[数学]&gt;表成绩单[[#This Row],[数学]]))+1)</f>
        <v>459</v>
      </c>
      <c r="R1142" s="29" cm="1">
        <f t="array" ref="R1142">IF(表成绩单[[#This Row],[英语]]="","",SUMPRODUCT((表成绩单[考试日期]=表成绩单[[#This Row],[考试日期]])*(表成绩单[英语]&lt;9E+307)*(表成绩单[英语]&gt;表成绩单[[#This Row],[英语]]))+1)</f>
        <v>255</v>
      </c>
      <c r="S1142" s="29" cm="1">
        <f t="array" ref="S1142">IF(表成绩单[[#This Row],[物理]]="","",SUMPRODUCT((表成绩单[考试日期]=表成绩单[[#This Row],[考试日期]])*(表成绩单[物理]&lt;9E+307)*(表成绩单[物理]&gt;表成绩单[[#This Row],[物理]]))+1)</f>
        <v>237</v>
      </c>
      <c r="T1142" s="29" cm="1">
        <f t="array" ref="T1142">IF(表成绩单[[#This Row],[化学]]="","",SUMPRODUCT((表成绩单[考试日期]=表成绩单[[#This Row],[考试日期]])*(表成绩单[化学]&lt;9E+307)*(表成绩单[化学]&gt;表成绩单[[#This Row],[化学]]))+1)</f>
        <v>388</v>
      </c>
      <c r="U1142" s="29" cm="1">
        <f t="array" ref="U1142">IF(表成绩单[[#This Row],[政治]]="","",SUMPRODUCT((表成绩单[考试日期]=表成绩单[[#This Row],[考试日期]])*(表成绩单[政治]&lt;9E+307)*(表成绩单[政治]&gt;表成绩单[[#This Row],[政治]]))+1)</f>
        <v>264</v>
      </c>
      <c r="V1142" s="29" cm="1">
        <f t="array" ref="V1142">IF(表成绩单[[#This Row],[历史]]="","",SUMPRODUCT((表成绩单[考试日期]=表成绩单[[#This Row],[考试日期]])*(表成绩单[历史]&lt;9E+307)*(表成绩单[历史]&gt;表成绩单[[#This Row],[历史]]))+1)</f>
        <v>116</v>
      </c>
      <c r="W1142" s="29" cm="1">
        <f t="array" ref="W1142">IF(表成绩单[[#This Row],[总分]]="","",SUMPRODUCT((表成绩单[考试日期]=表成绩单[[#This Row],[考试日期]])*(表成绩单[总分]&lt;9E+307)*(表成绩单[总分]&gt;表成绩单[[#This Row],[总分]]))+1)</f>
        <v>335</v>
      </c>
    </row>
    <row r="1143" ht="28" customHeight="1" spans="4:23">
      <c r="D1143" s="31">
        <v>46003</v>
      </c>
      <c r="E1143" s="29">
        <v>19171093</v>
      </c>
      <c r="F1143" s="29" t="s">
        <v>67</v>
      </c>
      <c r="G1143" s="29" t="s">
        <v>487</v>
      </c>
      <c r="H1143" s="29">
        <v>109</v>
      </c>
      <c r="I1143" s="29">
        <v>72</v>
      </c>
      <c r="J1143" s="29">
        <v>77.5</v>
      </c>
      <c r="K1143" s="29">
        <v>79</v>
      </c>
      <c r="L1143" s="29">
        <v>91</v>
      </c>
      <c r="M1143" s="29">
        <v>54</v>
      </c>
      <c r="N1143" s="29">
        <v>78</v>
      </c>
      <c r="O1143" s="32">
        <v>560.5</v>
      </c>
      <c r="P1143" s="29" cm="1">
        <f t="array" ref="P1143">IF(表成绩单[[#This Row],[语文]]="","",SUMPRODUCT((表成绩单[考试日期]=表成绩单[[#This Row],[考试日期]])*(表成绩单[语文]&lt;9E+307)*(表成绩单[语文]&gt;表成绩单[[#This Row],[语文]]))+1)</f>
        <v>111</v>
      </c>
      <c r="Q1143" s="29" cm="1">
        <f t="array" ref="Q1143">IF(表成绩单[[#This Row],[数学]]="","",SUMPRODUCT((表成绩单[考试日期]=表成绩单[[#This Row],[考试日期]])*(表成绩单[数学]&lt;9E+307)*(表成绩单[数学]&gt;表成绩单[[#This Row],[数学]]))+1)</f>
        <v>396</v>
      </c>
      <c r="R1143" s="29" cm="1">
        <f t="array" ref="R1143">IF(表成绩单[[#This Row],[英语]]="","",SUMPRODUCT((表成绩单[考试日期]=表成绩单[[#This Row],[考试日期]])*(表成绩单[英语]&lt;9E+307)*(表成绩单[英语]&gt;表成绩单[[#This Row],[英语]]))+1)</f>
        <v>230</v>
      </c>
      <c r="S1143" s="29" cm="1">
        <f t="array" ref="S1143">IF(表成绩单[[#This Row],[物理]]="","",SUMPRODUCT((表成绩单[考试日期]=表成绩单[[#This Row],[考试日期]])*(表成绩单[物理]&lt;9E+307)*(表成绩单[物理]&gt;表成绩单[[#This Row],[物理]]))+1)</f>
        <v>432</v>
      </c>
      <c r="T1143" s="29" cm="1">
        <f t="array" ref="T1143">IF(表成绩单[[#This Row],[化学]]="","",SUMPRODUCT((表成绩单[考试日期]=表成绩单[[#This Row],[考试日期]])*(表成绩单[化学]&lt;9E+307)*(表成绩单[化学]&gt;表成绩单[[#This Row],[化学]]))+1)</f>
        <v>127</v>
      </c>
      <c r="U1143" s="29" cm="1">
        <f t="array" ref="U1143">IF(表成绩单[[#This Row],[政治]]="","",SUMPRODUCT((表成绩单[考试日期]=表成绩单[[#This Row],[考试日期]])*(表成绩单[政治]&lt;9E+307)*(表成绩单[政治]&gt;表成绩单[[#This Row],[政治]]))+1)</f>
        <v>524</v>
      </c>
      <c r="V1143" s="29" cm="1">
        <f t="array" ref="V1143">IF(表成绩单[[#This Row],[历史]]="","",SUMPRODUCT((表成绩单[考试日期]=表成绩单[[#This Row],[考试日期]])*(表成绩单[历史]&lt;9E+307)*(表成绩单[历史]&gt;表成绩单[[#This Row],[历史]]))+1)</f>
        <v>190</v>
      </c>
      <c r="W1143" s="29" cm="1">
        <f t="array" ref="W1143">IF(表成绩单[[#This Row],[总分]]="","",SUMPRODUCT((表成绩单[考试日期]=表成绩单[[#This Row],[考试日期]])*(表成绩单[总分]&lt;9E+307)*(表成绩单[总分]&gt;表成绩单[[#This Row],[总分]]))+1)</f>
        <v>338</v>
      </c>
    </row>
    <row r="1144" ht="28" customHeight="1" spans="4:23">
      <c r="D1144" s="31">
        <v>46003</v>
      </c>
      <c r="E1144" s="29">
        <v>19173281</v>
      </c>
      <c r="F1144" s="29" t="s">
        <v>61</v>
      </c>
      <c r="G1144" s="29" t="s">
        <v>398</v>
      </c>
      <c r="H1144" s="29">
        <v>104</v>
      </c>
      <c r="I1144" s="29">
        <v>83</v>
      </c>
      <c r="J1144" s="29">
        <v>77.5</v>
      </c>
      <c r="K1144" s="29">
        <v>94</v>
      </c>
      <c r="L1144" s="29">
        <v>80</v>
      </c>
      <c r="M1144" s="29">
        <v>49</v>
      </c>
      <c r="N1144" s="29">
        <v>73</v>
      </c>
      <c r="O1144" s="32">
        <v>560.5</v>
      </c>
      <c r="P1144" s="29" cm="1">
        <f t="array" ref="P1144">IF(表成绩单[[#This Row],[语文]]="","",SUMPRODUCT((表成绩单[考试日期]=表成绩单[[#This Row],[考试日期]])*(表成绩单[语文]&lt;9E+307)*(表成绩单[语文]&gt;表成绩单[[#This Row],[语文]]))+1)</f>
        <v>290</v>
      </c>
      <c r="Q1144" s="29" cm="1">
        <f t="array" ref="Q1144">IF(表成绩单[[#This Row],[数学]]="","",SUMPRODUCT((表成绩单[考试日期]=表成绩单[[#This Row],[考试日期]])*(表成绩单[数学]&lt;9E+307)*(表成绩单[数学]&gt;表成绩单[[#This Row],[数学]]))+1)</f>
        <v>272</v>
      </c>
      <c r="R1144" s="29" cm="1">
        <f t="array" ref="R1144">IF(表成绩单[[#This Row],[英语]]="","",SUMPRODUCT((表成绩单[考试日期]=表成绩单[[#This Row],[考试日期]])*(表成绩单[英语]&lt;9E+307)*(表成绩单[英语]&gt;表成绩单[[#This Row],[英语]]))+1)</f>
        <v>230</v>
      </c>
      <c r="S1144" s="29" cm="1">
        <f t="array" ref="S1144">IF(表成绩单[[#This Row],[物理]]="","",SUMPRODUCT((表成绩单[考试日期]=表成绩单[[#This Row],[考试日期]])*(表成绩单[物理]&lt;9E+307)*(表成绩单[物理]&gt;表成绩单[[#This Row],[物理]]))+1)</f>
        <v>125</v>
      </c>
      <c r="T1144" s="29" cm="1">
        <f t="array" ref="T1144">IF(表成绩单[[#This Row],[化学]]="","",SUMPRODUCT((表成绩单[考试日期]=表成绩单[[#This Row],[考试日期]])*(表成绩单[化学]&lt;9E+307)*(表成绩单[化学]&gt;表成绩单[[#This Row],[化学]]))+1)</f>
        <v>327</v>
      </c>
      <c r="U1144" s="29" cm="1">
        <f t="array" ref="U1144">IF(表成绩单[[#This Row],[政治]]="","",SUMPRODUCT((表成绩单[考试日期]=表成绩单[[#This Row],[考试日期]])*(表成绩单[政治]&lt;9E+307)*(表成绩单[政治]&gt;表成绩单[[#This Row],[政治]]))+1)</f>
        <v>600</v>
      </c>
      <c r="V1144" s="29" cm="1">
        <f t="array" ref="V1144">IF(表成绩单[[#This Row],[历史]]="","",SUMPRODUCT((表成绩单[考试日期]=表成绩单[[#This Row],[考试日期]])*(表成绩单[历史]&lt;9E+307)*(表成绩单[历史]&gt;表成绩单[[#This Row],[历史]]))+1)</f>
        <v>403</v>
      </c>
      <c r="W1144" s="29" cm="1">
        <f t="array" ref="W1144">IF(表成绩单[[#This Row],[总分]]="","",SUMPRODUCT((表成绩单[考试日期]=表成绩单[[#This Row],[考试日期]])*(表成绩单[总分]&lt;9E+307)*(表成绩单[总分]&gt;表成绩单[[#This Row],[总分]]))+1)</f>
        <v>338</v>
      </c>
    </row>
    <row r="1145" ht="28" customHeight="1" spans="4:23">
      <c r="D1145" s="31">
        <v>46003</v>
      </c>
      <c r="E1145" s="29">
        <v>19177204</v>
      </c>
      <c r="F1145" s="29" t="s">
        <v>70</v>
      </c>
      <c r="G1145" s="29" t="s">
        <v>507</v>
      </c>
      <c r="H1145" s="29">
        <v>98</v>
      </c>
      <c r="I1145" s="29">
        <v>76</v>
      </c>
      <c r="J1145" s="29">
        <v>82</v>
      </c>
      <c r="K1145" s="29">
        <v>98</v>
      </c>
      <c r="L1145" s="29">
        <v>75</v>
      </c>
      <c r="M1145" s="29">
        <v>69</v>
      </c>
      <c r="N1145" s="29">
        <v>62</v>
      </c>
      <c r="O1145" s="32">
        <v>560</v>
      </c>
      <c r="P1145" s="29" cm="1">
        <f t="array" ref="P1145">IF(表成绩单[[#This Row],[语文]]="","",SUMPRODUCT((表成绩单[考试日期]=表成绩单[[#This Row],[考试日期]])*(表成绩单[语文]&lt;9E+307)*(表成绩单[语文]&gt;表成绩单[[#This Row],[语文]]))+1)</f>
        <v>463</v>
      </c>
      <c r="Q1145" s="29" cm="1">
        <f t="array" ref="Q1145">IF(表成绩单[[#This Row],[数学]]="","",SUMPRODUCT((表成绩单[考试日期]=表成绩单[[#This Row],[考试日期]])*(表成绩单[数学]&lt;9E+307)*(表成绩单[数学]&gt;表成绩单[[#This Row],[数学]]))+1)</f>
        <v>356</v>
      </c>
      <c r="R1145" s="29" cm="1">
        <f t="array" ref="R1145">IF(表成绩单[[#This Row],[英语]]="","",SUMPRODUCT((表成绩单[考试日期]=表成绩单[[#This Row],[考试日期]])*(表成绩单[英语]&lt;9E+307)*(表成绩单[英语]&gt;表成绩单[[#This Row],[英语]]))+1)</f>
        <v>96</v>
      </c>
      <c r="S1145" s="29" cm="1">
        <f t="array" ref="S1145">IF(表成绩单[[#This Row],[物理]]="","",SUMPRODUCT((表成绩单[考试日期]=表成绩单[[#This Row],[考试日期]])*(表成绩单[物理]&lt;9E+307)*(表成绩单[物理]&gt;表成绩单[[#This Row],[物理]]))+1)</f>
        <v>26</v>
      </c>
      <c r="T1145" s="29" cm="1">
        <f t="array" ref="T1145">IF(表成绩单[[#This Row],[化学]]="","",SUMPRODUCT((表成绩单[考试日期]=表成绩单[[#This Row],[考试日期]])*(表成绩单[化学]&lt;9E+307)*(表成绩单[化学]&gt;表成绩单[[#This Row],[化学]]))+1)</f>
        <v>421</v>
      </c>
      <c r="U1145" s="29" cm="1">
        <f t="array" ref="U1145">IF(表成绩单[[#This Row],[政治]]="","",SUMPRODUCT((表成绩单[考试日期]=表成绩单[[#This Row],[考试日期]])*(表成绩单[政治]&lt;9E+307)*(表成绩单[政治]&gt;表成绩单[[#This Row],[政治]]))+1)</f>
        <v>212</v>
      </c>
      <c r="V1145" s="29" cm="1">
        <f t="array" ref="V1145">IF(表成绩单[[#This Row],[历史]]="","",SUMPRODUCT((表成绩单[考试日期]=表成绩单[[#This Row],[考试日期]])*(表成绩单[历史]&lt;9E+307)*(表成绩单[历史]&gt;表成绩单[[#This Row],[历史]]))+1)</f>
        <v>618</v>
      </c>
      <c r="W1145" s="29" cm="1">
        <f t="array" ref="W1145">IF(表成绩单[[#This Row],[总分]]="","",SUMPRODUCT((表成绩单[考试日期]=表成绩单[[#This Row],[考试日期]])*(表成绩单[总分]&lt;9E+307)*(表成绩单[总分]&gt;表成绩单[[#This Row],[总分]]))+1)</f>
        <v>340</v>
      </c>
    </row>
    <row r="1146" ht="28" customHeight="1" spans="4:23">
      <c r="D1146" s="31">
        <v>46003</v>
      </c>
      <c r="E1146" s="29">
        <v>19177677</v>
      </c>
      <c r="F1146" s="29" t="s">
        <v>63</v>
      </c>
      <c r="G1146" s="29" t="s">
        <v>528</v>
      </c>
      <c r="H1146" s="29">
        <v>113</v>
      </c>
      <c r="I1146" s="29">
        <v>78</v>
      </c>
      <c r="J1146" s="29">
        <v>66</v>
      </c>
      <c r="K1146" s="29">
        <v>89</v>
      </c>
      <c r="L1146" s="29">
        <v>77</v>
      </c>
      <c r="M1146" s="29">
        <v>60</v>
      </c>
      <c r="N1146" s="29">
        <v>77</v>
      </c>
      <c r="O1146" s="32">
        <v>560</v>
      </c>
      <c r="P1146" s="29" cm="1">
        <f t="array" ref="P1146">IF(表成绩单[[#This Row],[语文]]="","",SUMPRODUCT((表成绩单[考试日期]=表成绩单[[#This Row],[考试日期]])*(表成绩单[语文]&lt;9E+307)*(表成绩单[语文]&gt;表成绩单[[#This Row],[语文]]))+1)</f>
        <v>22</v>
      </c>
      <c r="Q1146" s="29" cm="1">
        <f t="array" ref="Q1146">IF(表成绩单[[#This Row],[数学]]="","",SUMPRODUCT((表成绩单[考试日期]=表成绩单[[#This Row],[考试日期]])*(表成绩单[数学]&lt;9E+307)*(表成绩单[数学]&gt;表成绩单[[#This Row],[数学]]))+1)</f>
        <v>335</v>
      </c>
      <c r="R1146" s="29" cm="1">
        <f t="array" ref="R1146">IF(表成绩单[[#This Row],[英语]]="","",SUMPRODUCT((表成绩单[考试日期]=表成绩单[[#This Row],[考试日期]])*(表成绩单[英语]&lt;9E+307)*(表成绩单[英语]&gt;表成绩单[[#This Row],[英语]]))+1)</f>
        <v>467</v>
      </c>
      <c r="S1146" s="29" cm="1">
        <f t="array" ref="S1146">IF(表成绩单[[#This Row],[物理]]="","",SUMPRODUCT((表成绩单[考试日期]=表成绩单[[#This Row],[考试日期]])*(表成绩单[物理]&lt;9E+307)*(表成绩单[物理]&gt;表成绩单[[#This Row],[物理]]))+1)</f>
        <v>269</v>
      </c>
      <c r="T1146" s="29" cm="1">
        <f t="array" ref="T1146">IF(表成绩单[[#This Row],[化学]]="","",SUMPRODUCT((表成绩单[考试日期]=表成绩单[[#This Row],[考试日期]])*(表成绩单[化学]&lt;9E+307)*(表成绩单[化学]&gt;表成绩单[[#This Row],[化学]]))+1)</f>
        <v>388</v>
      </c>
      <c r="U1146" s="29" cm="1">
        <f t="array" ref="U1146">IF(表成绩单[[#This Row],[政治]]="","",SUMPRODUCT((表成绩单[考试日期]=表成绩单[[#This Row],[考试日期]])*(表成绩单[政治]&lt;9E+307)*(表成绩单[政治]&gt;表成绩单[[#This Row],[政治]]))+1)</f>
        <v>421</v>
      </c>
      <c r="V1146" s="29" cm="1">
        <f t="array" ref="V1146">IF(表成绩单[[#This Row],[历史]]="","",SUMPRODUCT((表成绩单[考试日期]=表成绩单[[#This Row],[考试日期]])*(表成绩单[历史]&lt;9E+307)*(表成绩单[历史]&gt;表成绩单[[#This Row],[历史]]))+1)</f>
        <v>235</v>
      </c>
      <c r="W1146" s="29" cm="1">
        <f t="array" ref="W1146">IF(表成绩单[[#This Row],[总分]]="","",SUMPRODUCT((表成绩单[考试日期]=表成绩单[[#This Row],[考试日期]])*(表成绩单[总分]&lt;9E+307)*(表成绩单[总分]&gt;表成绩单[[#This Row],[总分]]))+1)</f>
        <v>340</v>
      </c>
    </row>
    <row r="1147" ht="28" customHeight="1" spans="4:23">
      <c r="D1147" s="31">
        <v>46003</v>
      </c>
      <c r="E1147" s="29">
        <v>19177670</v>
      </c>
      <c r="F1147" s="29" t="s">
        <v>63</v>
      </c>
      <c r="G1147" s="29" t="s">
        <v>355</v>
      </c>
      <c r="H1147" s="29">
        <v>101</v>
      </c>
      <c r="I1147" s="29">
        <v>61</v>
      </c>
      <c r="J1147" s="29">
        <v>83.5</v>
      </c>
      <c r="K1147" s="29">
        <v>87</v>
      </c>
      <c r="L1147" s="29">
        <v>87</v>
      </c>
      <c r="M1147" s="29">
        <v>61</v>
      </c>
      <c r="N1147" s="29">
        <v>79</v>
      </c>
      <c r="O1147" s="32">
        <v>559.5</v>
      </c>
      <c r="P1147" s="29" cm="1">
        <f t="array" ref="P1147">IF(表成绩单[[#This Row],[语文]]="","",SUMPRODUCT((表成绩单[考试日期]=表成绩单[[#This Row],[考试日期]])*(表成绩单[语文]&lt;9E+307)*(表成绩单[语文]&gt;表成绩单[[#This Row],[语文]]))+1)</f>
        <v>387</v>
      </c>
      <c r="Q1147" s="29" cm="1">
        <f t="array" ref="Q1147">IF(表成绩单[[#This Row],[数学]]="","",SUMPRODUCT((表成绩单[考试日期]=表成绩单[[#This Row],[考试日期]])*(表成绩单[数学]&lt;9E+307)*(表成绩单[数学]&gt;表成绩单[[#This Row],[数学]]))+1)</f>
        <v>504</v>
      </c>
      <c r="R1147" s="29" cm="1">
        <f t="array" ref="R1147">IF(表成绩单[[#This Row],[英语]]="","",SUMPRODUCT((表成绩单[考试日期]=表成绩单[[#This Row],[考试日期]])*(表成绩单[英语]&lt;9E+307)*(表成绩单[英语]&gt;表成绩单[[#This Row],[英语]]))+1)</f>
        <v>57</v>
      </c>
      <c r="S1147" s="29" cm="1">
        <f t="array" ref="S1147">IF(表成绩单[[#This Row],[物理]]="","",SUMPRODUCT((表成绩单[考试日期]=表成绩单[[#This Row],[考试日期]])*(表成绩单[物理]&lt;9E+307)*(表成绩单[物理]&gt;表成绩单[[#This Row],[物理]]))+1)</f>
        <v>306</v>
      </c>
      <c r="T1147" s="29" cm="1">
        <f t="array" ref="T1147">IF(表成绩单[[#This Row],[化学]]="","",SUMPRODUCT((表成绩单[考试日期]=表成绩单[[#This Row],[考试日期]])*(表成绩单[化学]&lt;9E+307)*(表成绩单[化学]&gt;表成绩单[[#This Row],[化学]]))+1)</f>
        <v>201</v>
      </c>
      <c r="U1147" s="29" cm="1">
        <f t="array" ref="U1147">IF(表成绩单[[#This Row],[政治]]="","",SUMPRODUCT((表成绩单[考试日期]=表成绩单[[#This Row],[考试日期]])*(表成绩单[政治]&lt;9E+307)*(表成绩单[政治]&gt;表成绩单[[#This Row],[政治]]))+1)</f>
        <v>400</v>
      </c>
      <c r="V1147" s="29" cm="1">
        <f t="array" ref="V1147">IF(表成绩单[[#This Row],[历史]]="","",SUMPRODUCT((表成绩单[考试日期]=表成绩单[[#This Row],[考试日期]])*(表成绩单[历史]&lt;9E+307)*(表成绩单[历史]&gt;表成绩单[[#This Row],[历史]]))+1)</f>
        <v>149</v>
      </c>
      <c r="W1147" s="29" cm="1">
        <f t="array" ref="W1147">IF(表成绩单[[#This Row],[总分]]="","",SUMPRODUCT((表成绩单[考试日期]=表成绩单[[#This Row],[考试日期]])*(表成绩单[总分]&lt;9E+307)*(表成绩单[总分]&gt;表成绩单[[#This Row],[总分]]))+1)</f>
        <v>342</v>
      </c>
    </row>
    <row r="1148" ht="28" customHeight="1" spans="4:23">
      <c r="D1148" s="31">
        <v>46003</v>
      </c>
      <c r="E1148" s="29">
        <v>19174434</v>
      </c>
      <c r="F1148" s="29" t="s">
        <v>73</v>
      </c>
      <c r="G1148" s="29" t="s">
        <v>319</v>
      </c>
      <c r="H1148" s="29">
        <v>109</v>
      </c>
      <c r="I1148" s="29">
        <v>71</v>
      </c>
      <c r="J1148" s="29">
        <v>82.5</v>
      </c>
      <c r="K1148" s="29">
        <v>88</v>
      </c>
      <c r="L1148" s="29">
        <v>80</v>
      </c>
      <c r="M1148" s="29">
        <v>55</v>
      </c>
      <c r="N1148" s="29">
        <v>73</v>
      </c>
      <c r="O1148" s="32">
        <v>558.5</v>
      </c>
      <c r="P1148" s="29" cm="1">
        <f t="array" ref="P1148">IF(表成绩单[[#This Row],[语文]]="","",SUMPRODUCT((表成绩单[考试日期]=表成绩单[[#This Row],[考试日期]])*(表成绩单[语文]&lt;9E+307)*(表成绩单[语文]&gt;表成绩单[[#This Row],[语文]]))+1)</f>
        <v>111</v>
      </c>
      <c r="Q1148" s="29" cm="1">
        <f t="array" ref="Q1148">IF(表成绩单[[#This Row],[数学]]="","",SUMPRODUCT((表成绩单[考试日期]=表成绩单[[#This Row],[考试日期]])*(表成绩单[数学]&lt;9E+307)*(表成绩单[数学]&gt;表成绩单[[#This Row],[数学]]))+1)</f>
        <v>412</v>
      </c>
      <c r="R1148" s="29" cm="1">
        <f t="array" ref="R1148">IF(表成绩单[[#This Row],[英语]]="","",SUMPRODUCT((表成绩单[考试日期]=表成绩单[[#This Row],[考试日期]])*(表成绩单[英语]&lt;9E+307)*(表成绩单[英语]&gt;表成绩单[[#This Row],[英语]]))+1)</f>
        <v>85</v>
      </c>
      <c r="S1148" s="29" cm="1">
        <f t="array" ref="S1148">IF(表成绩单[[#This Row],[物理]]="","",SUMPRODUCT((表成绩单[考试日期]=表成绩单[[#This Row],[考试日期]])*(表成绩单[物理]&lt;9E+307)*(表成绩单[物理]&gt;表成绩单[[#This Row],[物理]]))+1)</f>
        <v>291</v>
      </c>
      <c r="T1148" s="29" cm="1">
        <f t="array" ref="T1148">IF(表成绩单[[#This Row],[化学]]="","",SUMPRODUCT((表成绩单[考试日期]=表成绩单[[#This Row],[考试日期]])*(表成绩单[化学]&lt;9E+307)*(表成绩单[化学]&gt;表成绩单[[#This Row],[化学]]))+1)</f>
        <v>327</v>
      </c>
      <c r="U1148" s="29" cm="1">
        <f t="array" ref="U1148">IF(表成绩单[[#This Row],[政治]]="","",SUMPRODUCT((表成绩单[考试日期]=表成绩单[[#This Row],[考试日期]])*(表成绩单[政治]&lt;9E+307)*(表成绩单[政治]&gt;表成绩单[[#This Row],[政治]]))+1)</f>
        <v>513</v>
      </c>
      <c r="V1148" s="29" cm="1">
        <f t="array" ref="V1148">IF(表成绩单[[#This Row],[历史]]="","",SUMPRODUCT((表成绩单[考试日期]=表成绩单[[#This Row],[考试日期]])*(表成绩单[历史]&lt;9E+307)*(表成绩单[历史]&gt;表成绩单[[#This Row],[历史]]))+1)</f>
        <v>403</v>
      </c>
      <c r="W1148" s="29" cm="1">
        <f t="array" ref="W1148">IF(表成绩单[[#This Row],[总分]]="","",SUMPRODUCT((表成绩单[考试日期]=表成绩单[[#This Row],[考试日期]])*(表成绩单[总分]&lt;9E+307)*(表成绩单[总分]&gt;表成绩单[[#This Row],[总分]]))+1)</f>
        <v>343</v>
      </c>
    </row>
    <row r="1149" ht="28" customHeight="1" spans="4:23">
      <c r="D1149" s="31">
        <v>46003</v>
      </c>
      <c r="E1149" s="29">
        <v>19174795</v>
      </c>
      <c r="F1149" s="29" t="s">
        <v>69</v>
      </c>
      <c r="G1149" s="29" t="s">
        <v>504</v>
      </c>
      <c r="H1149" s="29">
        <v>105</v>
      </c>
      <c r="I1149" s="29">
        <v>75</v>
      </c>
      <c r="J1149" s="29">
        <v>75.5</v>
      </c>
      <c r="K1149" s="29">
        <v>87</v>
      </c>
      <c r="L1149" s="29">
        <v>74</v>
      </c>
      <c r="M1149" s="29">
        <v>65</v>
      </c>
      <c r="N1149" s="29">
        <v>77</v>
      </c>
      <c r="O1149" s="32">
        <v>558.5</v>
      </c>
      <c r="P1149" s="29" cm="1">
        <f t="array" ref="P1149">IF(表成绩单[[#This Row],[语文]]="","",SUMPRODUCT((表成绩单[考试日期]=表成绩单[[#This Row],[考试日期]])*(表成绩单[语文]&lt;9E+307)*(表成绩单[语文]&gt;表成绩单[[#This Row],[语文]]))+1)</f>
        <v>247</v>
      </c>
      <c r="Q1149" s="29" cm="1">
        <f t="array" ref="Q1149">IF(表成绩单[[#This Row],[数学]]="","",SUMPRODUCT((表成绩单[考试日期]=表成绩单[[#This Row],[考试日期]])*(表成绩单[数学]&lt;9E+307)*(表成绩单[数学]&gt;表成绩单[[#This Row],[数学]]))+1)</f>
        <v>364</v>
      </c>
      <c r="R1149" s="29" cm="1">
        <f t="array" ref="R1149">IF(表成绩单[[#This Row],[英语]]="","",SUMPRODUCT((表成绩单[考试日期]=表成绩单[[#This Row],[考试日期]])*(表成绩单[英语]&lt;9E+307)*(表成绩单[英语]&gt;表成绩单[[#This Row],[英语]]))+1)</f>
        <v>299</v>
      </c>
      <c r="S1149" s="29" cm="1">
        <f t="array" ref="S1149">IF(表成绩单[[#This Row],[物理]]="","",SUMPRODUCT((表成绩单[考试日期]=表成绩单[[#This Row],[考试日期]])*(表成绩单[物理]&lt;9E+307)*(表成绩单[物理]&gt;表成绩单[[#This Row],[物理]]))+1)</f>
        <v>306</v>
      </c>
      <c r="T1149" s="29" cm="1">
        <f t="array" ref="T1149">IF(表成绩单[[#This Row],[化学]]="","",SUMPRODUCT((表成绩单[考试日期]=表成绩单[[#This Row],[考试日期]])*(表成绩单[化学]&lt;9E+307)*(表成绩单[化学]&gt;表成绩单[[#This Row],[化学]]))+1)</f>
        <v>440</v>
      </c>
      <c r="U1149" s="29" cm="1">
        <f t="array" ref="U1149">IF(表成绩单[[#This Row],[政治]]="","",SUMPRODUCT((表成绩单[考试日期]=表成绩单[[#This Row],[考试日期]])*(表成绩单[政治]&lt;9E+307)*(表成绩单[政治]&gt;表成绩单[[#This Row],[政治]]))+1)</f>
        <v>314</v>
      </c>
      <c r="V1149" s="29" cm="1">
        <f t="array" ref="V1149">IF(表成绩单[[#This Row],[历史]]="","",SUMPRODUCT((表成绩单[考试日期]=表成绩单[[#This Row],[考试日期]])*(表成绩单[历史]&lt;9E+307)*(表成绩单[历史]&gt;表成绩单[[#This Row],[历史]]))+1)</f>
        <v>235</v>
      </c>
      <c r="W1149" s="29" cm="1">
        <f t="array" ref="W1149">IF(表成绩单[[#This Row],[总分]]="","",SUMPRODUCT((表成绩单[考试日期]=表成绩单[[#This Row],[考试日期]])*(表成绩单[总分]&lt;9E+307)*(表成绩单[总分]&gt;表成绩单[[#This Row],[总分]]))+1)</f>
        <v>343</v>
      </c>
    </row>
    <row r="1150" ht="28" customHeight="1" spans="4:23">
      <c r="D1150" s="31">
        <v>46003</v>
      </c>
      <c r="E1150" s="29">
        <v>19177224</v>
      </c>
      <c r="F1150" s="29" t="s">
        <v>70</v>
      </c>
      <c r="G1150" s="29" t="s">
        <v>305</v>
      </c>
      <c r="H1150" s="29">
        <v>108</v>
      </c>
      <c r="I1150" s="29">
        <v>72</v>
      </c>
      <c r="J1150" s="29">
        <v>76.5</v>
      </c>
      <c r="K1150" s="29">
        <v>90</v>
      </c>
      <c r="L1150" s="29">
        <v>74</v>
      </c>
      <c r="M1150" s="29">
        <v>68</v>
      </c>
      <c r="N1150" s="29">
        <v>70</v>
      </c>
      <c r="O1150" s="32">
        <v>558.5</v>
      </c>
      <c r="P1150" s="29" cm="1">
        <f t="array" ref="P1150">IF(表成绩单[[#This Row],[语文]]="","",SUMPRODUCT((表成绩单[考试日期]=表成绩单[[#This Row],[考试日期]])*(表成绩单[语文]&lt;9E+307)*(表成绩单[语文]&gt;表成绩单[[#This Row],[语文]]))+1)</f>
        <v>154</v>
      </c>
      <c r="Q1150" s="29" cm="1">
        <f t="array" ref="Q1150">IF(表成绩单[[#This Row],[数学]]="","",SUMPRODUCT((表成绩单[考试日期]=表成绩单[[#This Row],[考试日期]])*(表成绩单[数学]&lt;9E+307)*(表成绩单[数学]&gt;表成绩单[[#This Row],[数学]]))+1)</f>
        <v>396</v>
      </c>
      <c r="R1150" s="29" cm="1">
        <f t="array" ref="R1150">IF(表成绩单[[#This Row],[英语]]="","",SUMPRODUCT((表成绩单[考试日期]=表成绩单[[#This Row],[考试日期]])*(表成绩单[英语]&lt;9E+307)*(表成绩单[英语]&gt;表成绩单[[#This Row],[英语]]))+1)</f>
        <v>272</v>
      </c>
      <c r="S1150" s="29" cm="1">
        <f t="array" ref="S1150">IF(表成绩单[[#This Row],[物理]]="","",SUMPRODUCT((表成绩单[考试日期]=表成绩单[[#This Row],[考试日期]])*(表成绩单[物理]&lt;9E+307)*(表成绩单[物理]&gt;表成绩单[[#This Row],[物理]]))+1)</f>
        <v>237</v>
      </c>
      <c r="T1150" s="29" cm="1">
        <f t="array" ref="T1150">IF(表成绩单[[#This Row],[化学]]="","",SUMPRODUCT((表成绩单[考试日期]=表成绩单[[#This Row],[考试日期]])*(表成绩单[化学]&lt;9E+307)*(表成绩单[化学]&gt;表成绩单[[#This Row],[化学]]))+1)</f>
        <v>440</v>
      </c>
      <c r="U1150" s="29" cm="1">
        <f t="array" ref="U1150">IF(表成绩单[[#This Row],[政治]]="","",SUMPRODUCT((表成绩单[考试日期]=表成绩单[[#This Row],[考试日期]])*(表成绩单[政治]&lt;9E+307)*(表成绩单[政治]&gt;表成绩单[[#This Row],[政治]]))+1)</f>
        <v>237</v>
      </c>
      <c r="V1150" s="29" cm="1">
        <f t="array" ref="V1150">IF(表成绩单[[#This Row],[历史]]="","",SUMPRODUCT((表成绩单[考试日期]=表成绩单[[#This Row],[考试日期]])*(表成绩单[历史]&lt;9E+307)*(表成绩单[历史]&gt;表成绩单[[#This Row],[历史]]))+1)</f>
        <v>499</v>
      </c>
      <c r="W1150" s="29" cm="1">
        <f t="array" ref="W1150">IF(表成绩单[[#This Row],[总分]]="","",SUMPRODUCT((表成绩单[考试日期]=表成绩单[[#This Row],[考试日期]])*(表成绩单[总分]&lt;9E+307)*(表成绩单[总分]&gt;表成绩单[[#This Row],[总分]]))+1)</f>
        <v>343</v>
      </c>
    </row>
    <row r="1151" ht="28" customHeight="1" spans="4:23">
      <c r="D1151" s="31">
        <v>46003</v>
      </c>
      <c r="E1151" s="29">
        <v>19178629</v>
      </c>
      <c r="F1151" s="29" t="s">
        <v>25</v>
      </c>
      <c r="G1151" s="29" t="s">
        <v>468</v>
      </c>
      <c r="H1151" s="29">
        <v>104</v>
      </c>
      <c r="I1151" s="29">
        <v>71</v>
      </c>
      <c r="J1151" s="29">
        <v>76.5</v>
      </c>
      <c r="K1151" s="29">
        <v>76</v>
      </c>
      <c r="L1151" s="29">
        <v>80</v>
      </c>
      <c r="M1151" s="29">
        <v>66</v>
      </c>
      <c r="N1151" s="29">
        <v>85</v>
      </c>
      <c r="O1151" s="32">
        <v>558.5</v>
      </c>
      <c r="P1151" s="29" cm="1">
        <f t="array" ref="P1151">IF(表成绩单[[#This Row],[语文]]="","",SUMPRODUCT((表成绩单[考试日期]=表成绩单[[#This Row],[考试日期]])*(表成绩单[语文]&lt;9E+307)*(表成绩单[语文]&gt;表成绩单[[#This Row],[语文]]))+1)</f>
        <v>290</v>
      </c>
      <c r="Q1151" s="29" cm="1">
        <f t="array" ref="Q1151">IF(表成绩单[[#This Row],[数学]]="","",SUMPRODUCT((表成绩单[考试日期]=表成绩单[[#This Row],[考试日期]])*(表成绩单[数学]&lt;9E+307)*(表成绩单[数学]&gt;表成绩单[[#This Row],[数学]]))+1)</f>
        <v>412</v>
      </c>
      <c r="R1151" s="29" cm="1">
        <f t="array" ref="R1151">IF(表成绩单[[#This Row],[英语]]="","",SUMPRODUCT((表成绩单[考试日期]=表成绩单[[#This Row],[考试日期]])*(表成绩单[英语]&lt;9E+307)*(表成绩单[英语]&gt;表成绩单[[#This Row],[英语]]))+1)</f>
        <v>272</v>
      </c>
      <c r="S1151" s="29" cm="1">
        <f t="array" ref="S1151">IF(表成绩单[[#This Row],[物理]]="","",SUMPRODUCT((表成绩单[考试日期]=表成绩单[[#This Row],[考试日期]])*(表成绩单[物理]&lt;9E+307)*(表成绩单[物理]&gt;表成绩单[[#This Row],[物理]]))+1)</f>
        <v>463</v>
      </c>
      <c r="T1151" s="29" cm="1">
        <f t="array" ref="T1151">IF(表成绩单[[#This Row],[化学]]="","",SUMPRODUCT((表成绩单[考试日期]=表成绩单[[#This Row],[考试日期]])*(表成绩单[化学]&lt;9E+307)*(表成绩单[化学]&gt;表成绩单[[#This Row],[化学]]))+1)</f>
        <v>327</v>
      </c>
      <c r="U1151" s="29" cm="1">
        <f t="array" ref="U1151">IF(表成绩单[[#This Row],[政治]]="","",SUMPRODUCT((表成绩单[考试日期]=表成绩单[[#This Row],[考试日期]])*(表成绩单[政治]&lt;9E+307)*(表成绩单[政治]&gt;表成绩单[[#This Row],[政治]]))+1)</f>
        <v>289</v>
      </c>
      <c r="V1151" s="29" cm="1">
        <f t="array" ref="V1151">IF(表成绩单[[#This Row],[历史]]="","",SUMPRODUCT((表成绩单[考试日期]=表成绩单[[#This Row],[考试日期]])*(表成绩单[历史]&lt;9E+307)*(表成绩单[历史]&gt;表成绩单[[#This Row],[历史]]))+1)</f>
        <v>12</v>
      </c>
      <c r="W1151" s="29" cm="1">
        <f t="array" ref="W1151">IF(表成绩单[[#This Row],[总分]]="","",SUMPRODUCT((表成绩单[考试日期]=表成绩单[[#This Row],[考试日期]])*(表成绩单[总分]&lt;9E+307)*(表成绩单[总分]&gt;表成绩单[[#This Row],[总分]]))+1)</f>
        <v>343</v>
      </c>
    </row>
    <row r="1152" ht="28" customHeight="1" spans="4:23">
      <c r="D1152" s="31">
        <v>46003</v>
      </c>
      <c r="E1152" s="29">
        <v>19177228</v>
      </c>
      <c r="F1152" s="29" t="s">
        <v>70</v>
      </c>
      <c r="G1152" s="29" t="s">
        <v>511</v>
      </c>
      <c r="H1152" s="29">
        <v>110</v>
      </c>
      <c r="I1152" s="29">
        <v>69</v>
      </c>
      <c r="J1152" s="29">
        <v>81</v>
      </c>
      <c r="K1152" s="29">
        <v>70</v>
      </c>
      <c r="L1152" s="29">
        <v>84</v>
      </c>
      <c r="M1152" s="29">
        <v>66</v>
      </c>
      <c r="N1152" s="29">
        <v>77</v>
      </c>
      <c r="O1152" s="32">
        <v>557</v>
      </c>
      <c r="P1152" s="29" cm="1">
        <f t="array" ref="P1152">IF(表成绩单[[#This Row],[语文]]="","",SUMPRODUCT((表成绩单[考试日期]=表成绩单[[#This Row],[考试日期]])*(表成绩单[语文]&lt;9E+307)*(表成绩单[语文]&gt;表成绩单[[#This Row],[语文]]))+1)</f>
        <v>84</v>
      </c>
      <c r="Q1152" s="29" cm="1">
        <f t="array" ref="Q1152">IF(表成绩单[[#This Row],[数学]]="","",SUMPRODUCT((表成绩单[考试日期]=表成绩单[[#This Row],[考试日期]])*(表成绩单[数学]&lt;9E+307)*(表成绩单[数学]&gt;表成绩单[[#This Row],[数学]]))+1)</f>
        <v>437</v>
      </c>
      <c r="R1152" s="29" cm="1">
        <f t="array" ref="R1152">IF(表成绩单[[#This Row],[英语]]="","",SUMPRODUCT((表成绩单[考试日期]=表成绩单[[#This Row],[考试日期]])*(表成绩单[英语]&lt;9E+307)*(表成绩单[英语]&gt;表成绩单[[#This Row],[英语]]))+1)</f>
        <v>131</v>
      </c>
      <c r="S1152" s="29" cm="1">
        <f t="array" ref="S1152">IF(表成绩单[[#This Row],[物理]]="","",SUMPRODUCT((表成绩单[考试日期]=表成绩单[[#This Row],[考试日期]])*(表成绩单[物理]&lt;9E+307)*(表成绩单[物理]&gt;表成绩单[[#This Row],[物理]]))+1)</f>
        <v>522</v>
      </c>
      <c r="T1152" s="29" cm="1">
        <f t="array" ref="T1152">IF(表成绩单[[#This Row],[化学]]="","",SUMPRODUCT((表成绩单[考试日期]=表成绩单[[#This Row],[考试日期]])*(表成绩单[化学]&lt;9E+307)*(表成绩单[化学]&gt;表成绩单[[#This Row],[化学]]))+1)</f>
        <v>258</v>
      </c>
      <c r="U1152" s="29" cm="1">
        <f t="array" ref="U1152">IF(表成绩单[[#This Row],[政治]]="","",SUMPRODUCT((表成绩单[考试日期]=表成绩单[[#This Row],[考试日期]])*(表成绩单[政治]&lt;9E+307)*(表成绩单[政治]&gt;表成绩单[[#This Row],[政治]]))+1)</f>
        <v>289</v>
      </c>
      <c r="V1152" s="29" cm="1">
        <f t="array" ref="V1152">IF(表成绩单[[#This Row],[历史]]="","",SUMPRODUCT((表成绩单[考试日期]=表成绩单[[#This Row],[考试日期]])*(表成绩单[历史]&lt;9E+307)*(表成绩单[历史]&gt;表成绩单[[#This Row],[历史]]))+1)</f>
        <v>235</v>
      </c>
      <c r="W1152" s="29" cm="1">
        <f t="array" ref="W1152">IF(表成绩单[[#This Row],[总分]]="","",SUMPRODUCT((表成绩单[考试日期]=表成绩单[[#This Row],[考试日期]])*(表成绩单[总分]&lt;9E+307)*(表成绩单[总分]&gt;表成绩单[[#This Row],[总分]]))+1)</f>
        <v>347</v>
      </c>
    </row>
    <row r="1153" ht="28" customHeight="1" spans="4:23">
      <c r="D1153" s="31">
        <v>46003</v>
      </c>
      <c r="E1153" s="29">
        <v>19178594</v>
      </c>
      <c r="F1153" s="29" t="s">
        <v>64</v>
      </c>
      <c r="G1153" s="29" t="s">
        <v>429</v>
      </c>
      <c r="H1153" s="29">
        <v>95</v>
      </c>
      <c r="I1153" s="29">
        <v>77</v>
      </c>
      <c r="J1153" s="29">
        <v>69</v>
      </c>
      <c r="K1153" s="29">
        <v>89</v>
      </c>
      <c r="L1153" s="29">
        <v>81</v>
      </c>
      <c r="M1153" s="29">
        <v>65</v>
      </c>
      <c r="N1153" s="29">
        <v>81</v>
      </c>
      <c r="O1153" s="32">
        <v>557</v>
      </c>
      <c r="P1153" s="29" cm="1">
        <f t="array" ref="P1153">IF(表成绩单[[#This Row],[语文]]="","",SUMPRODUCT((表成绩单[考试日期]=表成绩单[[#This Row],[考试日期]])*(表成绩单[语文]&lt;9E+307)*(表成绩单[语文]&gt;表成绩单[[#This Row],[语文]]))+1)</f>
        <v>522</v>
      </c>
      <c r="Q1153" s="29" cm="1">
        <f t="array" ref="Q1153">IF(表成绩单[[#This Row],[数学]]="","",SUMPRODUCT((表成绩单[考试日期]=表成绩单[[#This Row],[考试日期]])*(表成绩单[数学]&lt;9E+307)*(表成绩单[数学]&gt;表成绩单[[#This Row],[数学]]))+1)</f>
        <v>343</v>
      </c>
      <c r="R1153" s="29" cm="1">
        <f t="array" ref="R1153">IF(表成绩单[[#This Row],[英语]]="","",SUMPRODUCT((表成绩单[考试日期]=表成绩单[[#This Row],[考试日期]])*(表成绩单[英语]&lt;9E+307)*(表成绩单[英语]&gt;表成绩单[[#This Row],[英语]]))+1)</f>
        <v>434</v>
      </c>
      <c r="S1153" s="29" cm="1">
        <f t="array" ref="S1153">IF(表成绩单[[#This Row],[物理]]="","",SUMPRODUCT((表成绩单[考试日期]=表成绩单[[#This Row],[考试日期]])*(表成绩单[物理]&lt;9E+307)*(表成绩单[物理]&gt;表成绩单[[#This Row],[物理]]))+1)</f>
        <v>269</v>
      </c>
      <c r="T1153" s="29" cm="1">
        <f t="array" ref="T1153">IF(表成绩单[[#This Row],[化学]]="","",SUMPRODUCT((表成绩单[考试日期]=表成绩单[[#This Row],[考试日期]])*(表成绩单[化学]&lt;9E+307)*(表成绩单[化学]&gt;表成绩单[[#This Row],[化学]]))+1)</f>
        <v>308</v>
      </c>
      <c r="U1153" s="29" cm="1">
        <f t="array" ref="U1153">IF(表成绩单[[#This Row],[政治]]="","",SUMPRODUCT((表成绩单[考试日期]=表成绩单[[#This Row],[考试日期]])*(表成绩单[政治]&lt;9E+307)*(表成绩单[政治]&gt;表成绩单[[#This Row],[政治]]))+1)</f>
        <v>314</v>
      </c>
      <c r="V1153" s="29" cm="1">
        <f t="array" ref="V1153">IF(表成绩单[[#This Row],[历史]]="","",SUMPRODUCT((表成绩单[考试日期]=表成绩单[[#This Row],[考试日期]])*(表成绩单[历史]&lt;9E+307)*(表成绩单[历史]&gt;表成绩单[[#This Row],[历史]]))+1)</f>
        <v>92</v>
      </c>
      <c r="W1153" s="29" cm="1">
        <f t="array" ref="W1153">IF(表成绩单[[#This Row],[总分]]="","",SUMPRODUCT((表成绩单[考试日期]=表成绩单[[#This Row],[考试日期]])*(表成绩单[总分]&lt;9E+307)*(表成绩单[总分]&gt;表成绩单[[#This Row],[总分]]))+1)</f>
        <v>347</v>
      </c>
    </row>
    <row r="1154" ht="28" customHeight="1" spans="4:23">
      <c r="D1154" s="31">
        <v>46003</v>
      </c>
      <c r="E1154" s="29">
        <v>19178574</v>
      </c>
      <c r="F1154" s="29" t="s">
        <v>64</v>
      </c>
      <c r="G1154" s="29" t="s">
        <v>391</v>
      </c>
      <c r="H1154" s="29">
        <v>107</v>
      </c>
      <c r="I1154" s="29">
        <v>71</v>
      </c>
      <c r="J1154" s="29">
        <v>62</v>
      </c>
      <c r="K1154" s="29">
        <v>87</v>
      </c>
      <c r="L1154" s="29">
        <v>76</v>
      </c>
      <c r="M1154" s="29">
        <v>75</v>
      </c>
      <c r="N1154" s="29">
        <v>78</v>
      </c>
      <c r="O1154" s="32">
        <v>556</v>
      </c>
      <c r="P1154" s="29" cm="1">
        <f t="array" ref="P1154">IF(表成绩单[[#This Row],[语文]]="","",SUMPRODUCT((表成绩单[考试日期]=表成绩单[[#This Row],[考试日期]])*(表成绩单[语文]&lt;9E+307)*(表成绩单[语文]&gt;表成绩单[[#This Row],[语文]]))+1)</f>
        <v>182</v>
      </c>
      <c r="Q1154" s="29" cm="1">
        <f t="array" ref="Q1154">IF(表成绩单[[#This Row],[数学]]="","",SUMPRODUCT((表成绩单[考试日期]=表成绩单[[#This Row],[考试日期]])*(表成绩单[数学]&lt;9E+307)*(表成绩单[数学]&gt;表成绩单[[#This Row],[数学]]))+1)</f>
        <v>412</v>
      </c>
      <c r="R1154" s="29" cm="1">
        <f t="array" ref="R1154">IF(表成绩单[[#This Row],[英语]]="","",SUMPRODUCT((表成绩单[考试日期]=表成绩单[[#This Row],[考试日期]])*(表成绩单[英语]&lt;9E+307)*(表成绩单[英语]&gt;表成绩单[[#This Row],[英语]]))+1)</f>
        <v>509</v>
      </c>
      <c r="S1154" s="29" cm="1">
        <f t="array" ref="S1154">IF(表成绩单[[#This Row],[物理]]="","",SUMPRODUCT((表成绩单[考试日期]=表成绩单[[#This Row],[考试日期]])*(表成绩单[物理]&lt;9E+307)*(表成绩单[物理]&gt;表成绩单[[#This Row],[物理]]))+1)</f>
        <v>306</v>
      </c>
      <c r="T1154" s="29" cm="1">
        <f t="array" ref="T1154">IF(表成绩单[[#This Row],[化学]]="","",SUMPRODUCT((表成绩单[考试日期]=表成绩单[[#This Row],[考试日期]])*(表成绩单[化学]&lt;9E+307)*(表成绩单[化学]&gt;表成绩单[[#This Row],[化学]]))+1)</f>
        <v>402</v>
      </c>
      <c r="U1154" s="29" cm="1">
        <f t="array" ref="U1154">IF(表成绩单[[#This Row],[政治]]="","",SUMPRODUCT((表成绩单[考试日期]=表成绩单[[#This Row],[考试日期]])*(表成绩单[政治]&lt;9E+307)*(表成绩单[政治]&gt;表成绩单[[#This Row],[政治]]))+1)</f>
        <v>102</v>
      </c>
      <c r="V1154" s="29" cm="1">
        <f t="array" ref="V1154">IF(表成绩单[[#This Row],[历史]]="","",SUMPRODUCT((表成绩单[考试日期]=表成绩单[[#This Row],[考试日期]])*(表成绩单[历史]&lt;9E+307)*(表成绩单[历史]&gt;表成绩单[[#This Row],[历史]]))+1)</f>
        <v>190</v>
      </c>
      <c r="W1154" s="29" cm="1">
        <f t="array" ref="W1154">IF(表成绩单[[#This Row],[总分]]="","",SUMPRODUCT((表成绩单[考试日期]=表成绩单[[#This Row],[考试日期]])*(表成绩单[总分]&lt;9E+307)*(表成绩单[总分]&gt;表成绩单[[#This Row],[总分]]))+1)</f>
        <v>349</v>
      </c>
    </row>
    <row r="1155" ht="28" customHeight="1" spans="4:23">
      <c r="D1155" s="31">
        <v>46003</v>
      </c>
      <c r="E1155" s="29">
        <v>19176887</v>
      </c>
      <c r="F1155" s="29" t="s">
        <v>71</v>
      </c>
      <c r="G1155" s="29" t="s">
        <v>421</v>
      </c>
      <c r="H1155" s="29">
        <v>104</v>
      </c>
      <c r="I1155" s="29">
        <v>75</v>
      </c>
      <c r="J1155" s="29">
        <v>69.5</v>
      </c>
      <c r="K1155" s="29">
        <v>87</v>
      </c>
      <c r="L1155" s="29">
        <v>88</v>
      </c>
      <c r="M1155" s="29">
        <v>61</v>
      </c>
      <c r="N1155" s="29">
        <v>71</v>
      </c>
      <c r="O1155" s="32">
        <v>555.5</v>
      </c>
      <c r="P1155" s="29" cm="1">
        <f t="array" ref="P1155">IF(表成绩单[[#This Row],[语文]]="","",SUMPRODUCT((表成绩单[考试日期]=表成绩单[[#This Row],[考试日期]])*(表成绩单[语文]&lt;9E+307)*(表成绩单[语文]&gt;表成绩单[[#This Row],[语文]]))+1)</f>
        <v>290</v>
      </c>
      <c r="Q1155" s="29" cm="1">
        <f t="array" ref="Q1155">IF(表成绩单[[#This Row],[数学]]="","",SUMPRODUCT((表成绩单[考试日期]=表成绩单[[#This Row],[考试日期]])*(表成绩单[数学]&lt;9E+307)*(表成绩单[数学]&gt;表成绩单[[#This Row],[数学]]))+1)</f>
        <v>364</v>
      </c>
      <c r="R1155" s="29" cm="1">
        <f t="array" ref="R1155">IF(表成绩单[[#This Row],[英语]]="","",SUMPRODUCT((表成绩单[考试日期]=表成绩单[[#This Row],[考试日期]])*(表成绩单[英语]&lt;9E+307)*(表成绩单[英语]&gt;表成绩单[[#This Row],[英语]]))+1)</f>
        <v>426</v>
      </c>
      <c r="S1155" s="29" cm="1">
        <f t="array" ref="S1155">IF(表成绩单[[#This Row],[物理]]="","",SUMPRODUCT((表成绩单[考试日期]=表成绩单[[#This Row],[考试日期]])*(表成绩单[物理]&lt;9E+307)*(表成绩单[物理]&gt;表成绩单[[#This Row],[物理]]))+1)</f>
        <v>306</v>
      </c>
      <c r="T1155" s="29" cm="1">
        <f t="array" ref="T1155">IF(表成绩单[[#This Row],[化学]]="","",SUMPRODUCT((表成绩单[考试日期]=表成绩单[[#This Row],[考试日期]])*(表成绩单[化学]&lt;9E+307)*(表成绩单[化学]&gt;表成绩单[[#This Row],[化学]]))+1)</f>
        <v>175</v>
      </c>
      <c r="U1155" s="29" cm="1">
        <f t="array" ref="U1155">IF(表成绩单[[#This Row],[政治]]="","",SUMPRODUCT((表成绩单[考试日期]=表成绩单[[#This Row],[考试日期]])*(表成绩单[政治]&lt;9E+307)*(表成绩单[政治]&gt;表成绩单[[#This Row],[政治]]))+1)</f>
        <v>400</v>
      </c>
      <c r="V1155" s="29" cm="1">
        <f t="array" ref="V1155">IF(表成绩单[[#This Row],[历史]]="","",SUMPRODUCT((表成绩单[考试日期]=表成绩单[[#This Row],[考试日期]])*(表成绩单[历史]&lt;9E+307)*(表成绩单[历史]&gt;表成绩单[[#This Row],[历史]]))+1)</f>
        <v>471</v>
      </c>
      <c r="W1155" s="29" cm="1">
        <f t="array" ref="W1155">IF(表成绩单[[#This Row],[总分]]="","",SUMPRODUCT((表成绩单[考试日期]=表成绩单[[#This Row],[考试日期]])*(表成绩单[总分]&lt;9E+307)*(表成绩单[总分]&gt;表成绩单[[#This Row],[总分]]))+1)</f>
        <v>350</v>
      </c>
    </row>
    <row r="1156" ht="28" customHeight="1" spans="4:23">
      <c r="D1156" s="31">
        <v>46003</v>
      </c>
      <c r="E1156" s="29">
        <v>19173802</v>
      </c>
      <c r="F1156" s="29" t="s">
        <v>65</v>
      </c>
      <c r="G1156" s="29" t="s">
        <v>363</v>
      </c>
      <c r="H1156" s="29">
        <v>96</v>
      </c>
      <c r="I1156" s="29">
        <v>82</v>
      </c>
      <c r="J1156" s="29">
        <v>59.5</v>
      </c>
      <c r="K1156" s="29">
        <v>94</v>
      </c>
      <c r="L1156" s="29">
        <v>92</v>
      </c>
      <c r="M1156" s="29">
        <v>57</v>
      </c>
      <c r="N1156" s="29">
        <v>74</v>
      </c>
      <c r="O1156" s="32">
        <v>554.5</v>
      </c>
      <c r="P1156" s="29" cm="1">
        <f t="array" ref="P1156">IF(表成绩单[[#This Row],[语文]]="","",SUMPRODUCT((表成绩单[考试日期]=表成绩单[[#This Row],[考试日期]])*(表成绩单[语文]&lt;9E+307)*(表成绩单[语文]&gt;表成绩单[[#This Row],[语文]]))+1)</f>
        <v>509</v>
      </c>
      <c r="Q1156" s="29" cm="1">
        <f t="array" ref="Q1156">IF(表成绩单[[#This Row],[数学]]="","",SUMPRODUCT((表成绩单[考试日期]=表成绩单[[#This Row],[考试日期]])*(表成绩单[数学]&lt;9E+307)*(表成绩单[数学]&gt;表成绩单[[#This Row],[数学]]))+1)</f>
        <v>290</v>
      </c>
      <c r="R1156" s="29" cm="1">
        <f t="array" ref="R1156">IF(表成绩单[[#This Row],[英语]]="","",SUMPRODUCT((表成绩单[考试日期]=表成绩单[[#This Row],[考试日期]])*(表成绩单[英语]&lt;9E+307)*(表成绩单[英语]&gt;表成绩单[[#This Row],[英语]]))+1)</f>
        <v>531</v>
      </c>
      <c r="S1156" s="29" cm="1">
        <f t="array" ref="S1156">IF(表成绩单[[#This Row],[物理]]="","",SUMPRODUCT((表成绩单[考试日期]=表成绩单[[#This Row],[考试日期]])*(表成绩单[物理]&lt;9E+307)*(表成绩单[物理]&gt;表成绩单[[#This Row],[物理]]))+1)</f>
        <v>125</v>
      </c>
      <c r="T1156" s="29" cm="1">
        <f t="array" ref="T1156">IF(表成绩单[[#This Row],[化学]]="","",SUMPRODUCT((表成绩单[考试日期]=表成绩单[[#This Row],[考试日期]])*(表成绩单[化学]&lt;9E+307)*(表成绩单[化学]&gt;表成绩单[[#This Row],[化学]]))+1)</f>
        <v>102</v>
      </c>
      <c r="U1156" s="29" cm="1">
        <f t="array" ref="U1156">IF(表成绩单[[#This Row],[政治]]="","",SUMPRODUCT((表成绩单[考试日期]=表成绩单[[#This Row],[考试日期]])*(表成绩单[政治]&lt;9E+307)*(表成绩单[政治]&gt;表成绩单[[#This Row],[政治]]))+1)</f>
        <v>474</v>
      </c>
      <c r="V1156" s="29" cm="1">
        <f t="array" ref="V1156">IF(表成绩单[[#This Row],[历史]]="","",SUMPRODUCT((表成绩单[考试日期]=表成绩单[[#This Row],[考试日期]])*(表成绩单[历史]&lt;9E+307)*(表成绩单[历史]&gt;表成绩单[[#This Row],[历史]]))+1)</f>
        <v>371</v>
      </c>
      <c r="W1156" s="29" cm="1">
        <f t="array" ref="W1156">IF(表成绩单[[#This Row],[总分]]="","",SUMPRODUCT((表成绩单[考试日期]=表成绩单[[#This Row],[考试日期]])*(表成绩单[总分]&lt;9E+307)*(表成绩单[总分]&gt;表成绩单[[#This Row],[总分]]))+1)</f>
        <v>351</v>
      </c>
    </row>
    <row r="1157" ht="28" customHeight="1" spans="4:23">
      <c r="D1157" s="31">
        <v>46003</v>
      </c>
      <c r="E1157" s="29">
        <v>19176011</v>
      </c>
      <c r="F1157" s="29" t="s">
        <v>59</v>
      </c>
      <c r="G1157" s="29" t="s">
        <v>455</v>
      </c>
      <c r="H1157" s="29">
        <v>101</v>
      </c>
      <c r="I1157" s="29">
        <v>84</v>
      </c>
      <c r="J1157" s="29">
        <v>65.5</v>
      </c>
      <c r="K1157" s="29">
        <v>78</v>
      </c>
      <c r="L1157" s="29">
        <v>83</v>
      </c>
      <c r="M1157" s="29">
        <v>67</v>
      </c>
      <c r="N1157" s="29">
        <v>76</v>
      </c>
      <c r="O1157" s="32">
        <v>554.5</v>
      </c>
      <c r="P1157" s="29" cm="1">
        <f t="array" ref="P1157">IF(表成绩单[[#This Row],[语文]]="","",SUMPRODUCT((表成绩单[考试日期]=表成绩单[[#This Row],[考试日期]])*(表成绩单[语文]&lt;9E+307)*(表成绩单[语文]&gt;表成绩单[[#This Row],[语文]]))+1)</f>
        <v>387</v>
      </c>
      <c r="Q1157" s="29" cm="1">
        <f t="array" ref="Q1157">IF(表成绩单[[#This Row],[数学]]="","",SUMPRODUCT((表成绩单[考试日期]=表成绩单[[#This Row],[考试日期]])*(表成绩单[数学]&lt;9E+307)*(表成绩单[数学]&gt;表成绩单[[#This Row],[数学]]))+1)</f>
        <v>259</v>
      </c>
      <c r="R1157" s="29" cm="1">
        <f t="array" ref="R1157">IF(表成绩单[[#This Row],[英语]]="","",SUMPRODUCT((表成绩单[考试日期]=表成绩单[[#This Row],[考试日期]])*(表成绩单[英语]&lt;9E+307)*(表成绩单[英语]&gt;表成绩单[[#This Row],[英语]]))+1)</f>
        <v>476</v>
      </c>
      <c r="S1157" s="29" cm="1">
        <f t="array" ref="S1157">IF(表成绩单[[#This Row],[物理]]="","",SUMPRODUCT((表成绩单[考试日期]=表成绩单[[#This Row],[考试日期]])*(表成绩单[物理]&lt;9E+307)*(表成绩单[物理]&gt;表成绩单[[#This Row],[物理]]))+1)</f>
        <v>443</v>
      </c>
      <c r="T1157" s="29" cm="1">
        <f t="array" ref="T1157">IF(表成绩单[[#This Row],[化学]]="","",SUMPRODUCT((表成绩单[考试日期]=表成绩单[[#This Row],[考试日期]])*(表成绩单[化学]&lt;9E+307)*(表成绩单[化学]&gt;表成绩单[[#This Row],[化学]]))+1)</f>
        <v>272</v>
      </c>
      <c r="U1157" s="29" cm="1">
        <f t="array" ref="U1157">IF(表成绩单[[#This Row],[政治]]="","",SUMPRODUCT((表成绩单[考试日期]=表成绩单[[#This Row],[考试日期]])*(表成绩单[政治]&lt;9E+307)*(表成绩单[政治]&gt;表成绩单[[#This Row],[政治]]))+1)</f>
        <v>264</v>
      </c>
      <c r="V1157" s="29" cm="1">
        <f t="array" ref="V1157">IF(表成绩单[[#This Row],[历史]]="","",SUMPRODUCT((表成绩单[考试日期]=表成绩单[[#This Row],[考试日期]])*(表成绩单[历史]&lt;9E+307)*(表成绩单[历史]&gt;表成绩单[[#This Row],[历史]]))+1)</f>
        <v>279</v>
      </c>
      <c r="W1157" s="29" cm="1">
        <f t="array" ref="W1157">IF(表成绩单[[#This Row],[总分]]="","",SUMPRODUCT((表成绩单[考试日期]=表成绩单[[#This Row],[考试日期]])*(表成绩单[总分]&lt;9E+307)*(表成绩单[总分]&gt;表成绩单[[#This Row],[总分]]))+1)</f>
        <v>351</v>
      </c>
    </row>
    <row r="1158" ht="28" customHeight="1" spans="4:23">
      <c r="D1158" s="31">
        <v>46003</v>
      </c>
      <c r="E1158" s="29">
        <v>19178628</v>
      </c>
      <c r="F1158" s="29" t="s">
        <v>25</v>
      </c>
      <c r="G1158" s="29" t="s">
        <v>266</v>
      </c>
      <c r="H1158" s="29">
        <v>103</v>
      </c>
      <c r="I1158" s="29">
        <v>69</v>
      </c>
      <c r="J1158" s="29">
        <v>83.5</v>
      </c>
      <c r="K1158" s="29">
        <v>72</v>
      </c>
      <c r="L1158" s="29">
        <v>75</v>
      </c>
      <c r="M1158" s="29">
        <v>75</v>
      </c>
      <c r="N1158" s="29">
        <v>77</v>
      </c>
      <c r="O1158" s="32">
        <v>554.5</v>
      </c>
      <c r="P1158" s="29" cm="1">
        <f t="array" ref="P1158">IF(表成绩单[[#This Row],[语文]]="","",SUMPRODUCT((表成绩单[考试日期]=表成绩单[[#This Row],[考试日期]])*(表成绩单[语文]&lt;9E+307)*(表成绩单[语文]&gt;表成绩单[[#This Row],[语文]]))+1)</f>
        <v>333</v>
      </c>
      <c r="Q1158" s="29" cm="1">
        <f t="array" ref="Q1158">IF(表成绩单[[#This Row],[数学]]="","",SUMPRODUCT((表成绩单[考试日期]=表成绩单[[#This Row],[考试日期]])*(表成绩单[数学]&lt;9E+307)*(表成绩单[数学]&gt;表成绩单[[#This Row],[数学]]))+1)</f>
        <v>437</v>
      </c>
      <c r="R1158" s="29" cm="1">
        <f t="array" ref="R1158">IF(表成绩单[[#This Row],[英语]]="","",SUMPRODUCT((表成绩单[考试日期]=表成绩单[[#This Row],[考试日期]])*(表成绩单[英语]&lt;9E+307)*(表成绩单[英语]&gt;表成绩单[[#This Row],[英语]]))+1)</f>
        <v>57</v>
      </c>
      <c r="S1158" s="29" cm="1">
        <f t="array" ref="S1158">IF(表成绩单[[#This Row],[物理]]="","",SUMPRODUCT((表成绩单[考试日期]=表成绩单[[#This Row],[考试日期]])*(表成绩单[物理]&lt;9E+307)*(表成绩单[物理]&gt;表成绩单[[#This Row],[物理]]))+1)</f>
        <v>495</v>
      </c>
      <c r="T1158" s="29" cm="1">
        <f t="array" ref="T1158">IF(表成绩单[[#This Row],[化学]]="","",SUMPRODUCT((表成绩单[考试日期]=表成绩单[[#This Row],[考试日期]])*(表成绩单[化学]&lt;9E+307)*(表成绩单[化学]&gt;表成绩单[[#This Row],[化学]]))+1)</f>
        <v>421</v>
      </c>
      <c r="U1158" s="29" cm="1">
        <f t="array" ref="U1158">IF(表成绩单[[#This Row],[政治]]="","",SUMPRODUCT((表成绩单[考试日期]=表成绩单[[#This Row],[考试日期]])*(表成绩单[政治]&lt;9E+307)*(表成绩单[政治]&gt;表成绩单[[#This Row],[政治]]))+1)</f>
        <v>102</v>
      </c>
      <c r="V1158" s="29" cm="1">
        <f t="array" ref="V1158">IF(表成绩单[[#This Row],[历史]]="","",SUMPRODUCT((表成绩单[考试日期]=表成绩单[[#This Row],[考试日期]])*(表成绩单[历史]&lt;9E+307)*(表成绩单[历史]&gt;表成绩单[[#This Row],[历史]]))+1)</f>
        <v>235</v>
      </c>
      <c r="W1158" s="29" cm="1">
        <f t="array" ref="W1158">IF(表成绩单[[#This Row],[总分]]="","",SUMPRODUCT((表成绩单[考试日期]=表成绩单[[#This Row],[考试日期]])*(表成绩单[总分]&lt;9E+307)*(表成绩单[总分]&gt;表成绩单[[#This Row],[总分]]))+1)</f>
        <v>351</v>
      </c>
    </row>
    <row r="1159" ht="28" customHeight="1" spans="4:23">
      <c r="D1159" s="31">
        <v>46003</v>
      </c>
      <c r="E1159" s="29">
        <v>19173264</v>
      </c>
      <c r="F1159" s="29" t="s">
        <v>61</v>
      </c>
      <c r="G1159" s="29" t="s">
        <v>330</v>
      </c>
      <c r="H1159" s="29">
        <v>99</v>
      </c>
      <c r="I1159" s="29">
        <v>64</v>
      </c>
      <c r="J1159" s="29">
        <v>82</v>
      </c>
      <c r="K1159" s="29">
        <v>93</v>
      </c>
      <c r="L1159" s="29">
        <v>75</v>
      </c>
      <c r="M1159" s="29">
        <v>68</v>
      </c>
      <c r="N1159" s="29">
        <v>73</v>
      </c>
      <c r="O1159" s="32">
        <v>554</v>
      </c>
      <c r="P1159" s="29" cm="1">
        <f t="array" ref="P1159">IF(表成绩单[[#This Row],[语文]]="","",SUMPRODUCT((表成绩单[考试日期]=表成绩单[[#This Row],[考试日期]])*(表成绩单[语文]&lt;9E+307)*(表成绩单[语文]&gt;表成绩单[[#This Row],[语文]]))+1)</f>
        <v>440</v>
      </c>
      <c r="Q1159" s="29" cm="1">
        <f t="array" ref="Q1159">IF(表成绩单[[#This Row],[数学]]="","",SUMPRODUCT((表成绩单[考试日期]=表成绩单[[#This Row],[考试日期]])*(表成绩单[数学]&lt;9E+307)*(表成绩单[数学]&gt;表成绩单[[#This Row],[数学]]))+1)</f>
        <v>486</v>
      </c>
      <c r="R1159" s="29" cm="1">
        <f t="array" ref="R1159">IF(表成绩单[[#This Row],[英语]]="","",SUMPRODUCT((表成绩单[考试日期]=表成绩单[[#This Row],[考试日期]])*(表成绩单[英语]&lt;9E+307)*(表成绩单[英语]&gt;表成绩单[[#This Row],[英语]]))+1)</f>
        <v>96</v>
      </c>
      <c r="S1159" s="29" cm="1">
        <f t="array" ref="S1159">IF(表成绩单[[#This Row],[物理]]="","",SUMPRODUCT((表成绩单[考试日期]=表成绩单[[#This Row],[考试日期]])*(表成绩单[物理]&lt;9E+307)*(表成绩单[物理]&gt;表成绩单[[#This Row],[物理]]))+1)</f>
        <v>163</v>
      </c>
      <c r="T1159" s="29" cm="1">
        <f t="array" ref="T1159">IF(表成绩单[[#This Row],[化学]]="","",SUMPRODUCT((表成绩单[考试日期]=表成绩单[[#This Row],[考试日期]])*(表成绩单[化学]&lt;9E+307)*(表成绩单[化学]&gt;表成绩单[[#This Row],[化学]]))+1)</f>
        <v>421</v>
      </c>
      <c r="U1159" s="29" cm="1">
        <f t="array" ref="U1159">IF(表成绩单[[#This Row],[政治]]="","",SUMPRODUCT((表成绩单[考试日期]=表成绩单[[#This Row],[考试日期]])*(表成绩单[政治]&lt;9E+307)*(表成绩单[政治]&gt;表成绩单[[#This Row],[政治]]))+1)</f>
        <v>237</v>
      </c>
      <c r="V1159" s="29" cm="1">
        <f t="array" ref="V1159">IF(表成绩单[[#This Row],[历史]]="","",SUMPRODUCT((表成绩单[考试日期]=表成绩单[[#This Row],[考试日期]])*(表成绩单[历史]&lt;9E+307)*(表成绩单[历史]&gt;表成绩单[[#This Row],[历史]]))+1)</f>
        <v>403</v>
      </c>
      <c r="W1159" s="29" cm="1">
        <f t="array" ref="W1159">IF(表成绩单[[#This Row],[总分]]="","",SUMPRODUCT((表成绩单[考试日期]=表成绩单[[#This Row],[考试日期]])*(表成绩单[总分]&lt;9E+307)*(表成绩单[总分]&gt;表成绩单[[#This Row],[总分]]))+1)</f>
        <v>354</v>
      </c>
    </row>
    <row r="1160" ht="28" customHeight="1" spans="4:23">
      <c r="D1160" s="31">
        <v>46003</v>
      </c>
      <c r="E1160" s="29">
        <v>19174775</v>
      </c>
      <c r="F1160" s="29" t="s">
        <v>69</v>
      </c>
      <c r="G1160" s="29" t="s">
        <v>479</v>
      </c>
      <c r="H1160" s="29">
        <v>100</v>
      </c>
      <c r="I1160" s="29">
        <v>66</v>
      </c>
      <c r="J1160" s="29">
        <v>76</v>
      </c>
      <c r="K1160" s="29">
        <v>73</v>
      </c>
      <c r="L1160" s="29">
        <v>75</v>
      </c>
      <c r="M1160" s="29">
        <v>83</v>
      </c>
      <c r="N1160" s="29">
        <v>81</v>
      </c>
      <c r="O1160" s="32">
        <v>554</v>
      </c>
      <c r="P1160" s="29" cm="1">
        <f t="array" ref="P1160">IF(表成绩单[[#This Row],[语文]]="","",SUMPRODUCT((表成绩单[考试日期]=表成绩单[[#This Row],[考试日期]])*(表成绩单[语文]&lt;9E+307)*(表成绩单[语文]&gt;表成绩单[[#This Row],[语文]]))+1)</f>
        <v>414</v>
      </c>
      <c r="Q1160" s="29" cm="1">
        <f t="array" ref="Q1160">IF(表成绩单[[#This Row],[数学]]="","",SUMPRODUCT((表成绩单[考试日期]=表成绩单[[#This Row],[考试日期]])*(表成绩单[数学]&lt;9E+307)*(表成绩单[数学]&gt;表成绩单[[#This Row],[数学]]))+1)</f>
        <v>467</v>
      </c>
      <c r="R1160" s="29" cm="1">
        <f t="array" ref="R1160">IF(表成绩单[[#This Row],[英语]]="","",SUMPRODUCT((表成绩单[考试日期]=表成绩单[[#This Row],[考试日期]])*(表成绩单[英语]&lt;9E+307)*(表成绩单[英语]&gt;表成绩单[[#This Row],[英语]]))+1)</f>
        <v>288</v>
      </c>
      <c r="S1160" s="29" cm="1">
        <f t="array" ref="S1160">IF(表成绩单[[#This Row],[物理]]="","",SUMPRODUCT((表成绩单[考试日期]=表成绩单[[#This Row],[考试日期]])*(表成绩单[物理]&lt;9E+307)*(表成绩单[物理]&gt;表成绩单[[#This Row],[物理]]))+1)</f>
        <v>488</v>
      </c>
      <c r="T1160" s="29" cm="1">
        <f t="array" ref="T1160">IF(表成绩单[[#This Row],[化学]]="","",SUMPRODUCT((表成绩单[考试日期]=表成绩单[[#This Row],[考试日期]])*(表成绩单[化学]&lt;9E+307)*(表成绩单[化学]&gt;表成绩单[[#This Row],[化学]]))+1)</f>
        <v>421</v>
      </c>
      <c r="U1160" s="29" cm="1">
        <f t="array" ref="U1160">IF(表成绩单[[#This Row],[政治]]="","",SUMPRODUCT((表成绩单[考试日期]=表成绩单[[#This Row],[考试日期]])*(表成绩单[政治]&lt;9E+307)*(表成绩单[政治]&gt;表成绩单[[#This Row],[政治]]))+1)</f>
        <v>6</v>
      </c>
      <c r="V1160" s="29" cm="1">
        <f t="array" ref="V1160">IF(表成绩单[[#This Row],[历史]]="","",SUMPRODUCT((表成绩单[考试日期]=表成绩单[[#This Row],[考试日期]])*(表成绩单[历史]&lt;9E+307)*(表成绩单[历史]&gt;表成绩单[[#This Row],[历史]]))+1)</f>
        <v>92</v>
      </c>
      <c r="W1160" s="29" cm="1">
        <f t="array" ref="W1160">IF(表成绩单[[#This Row],[总分]]="","",SUMPRODUCT((表成绩单[考试日期]=表成绩单[[#This Row],[考试日期]])*(表成绩单[总分]&lt;9E+307)*(表成绩单[总分]&gt;表成绩单[[#This Row],[总分]]))+1)</f>
        <v>354</v>
      </c>
    </row>
    <row r="1161" ht="28" customHeight="1" spans="4:23">
      <c r="D1161" s="31">
        <v>46003</v>
      </c>
      <c r="E1161" s="29">
        <v>19178624</v>
      </c>
      <c r="F1161" s="29" t="s">
        <v>25</v>
      </c>
      <c r="G1161" s="29" t="s">
        <v>373</v>
      </c>
      <c r="H1161" s="29">
        <v>96</v>
      </c>
      <c r="I1161" s="29">
        <v>68</v>
      </c>
      <c r="J1161" s="29">
        <v>74</v>
      </c>
      <c r="K1161" s="29">
        <v>87</v>
      </c>
      <c r="L1161" s="29">
        <v>81</v>
      </c>
      <c r="M1161" s="29">
        <v>69</v>
      </c>
      <c r="N1161" s="29">
        <v>79</v>
      </c>
      <c r="O1161" s="32">
        <v>554</v>
      </c>
      <c r="P1161" s="29" cm="1">
        <f t="array" ref="P1161">IF(表成绩单[[#This Row],[语文]]="","",SUMPRODUCT((表成绩单[考试日期]=表成绩单[[#This Row],[考试日期]])*(表成绩单[语文]&lt;9E+307)*(表成绩单[语文]&gt;表成绩单[[#This Row],[语文]]))+1)</f>
        <v>509</v>
      </c>
      <c r="Q1161" s="29" cm="1">
        <f t="array" ref="Q1161">IF(表成绩单[[#This Row],[数学]]="","",SUMPRODUCT((表成绩单[考试日期]=表成绩单[[#This Row],[考试日期]])*(表成绩单[数学]&lt;9E+307)*(表成绩单[数学]&gt;表成绩单[[#This Row],[数学]]))+1)</f>
        <v>450</v>
      </c>
      <c r="R1161" s="29" cm="1">
        <f t="array" ref="R1161">IF(表成绩单[[#This Row],[英语]]="","",SUMPRODUCT((表成绩单[考试日期]=表成绩单[[#This Row],[考试日期]])*(表成绩单[英语]&lt;9E+307)*(表成绩单[英语]&gt;表成绩单[[#This Row],[英语]]))+1)</f>
        <v>344</v>
      </c>
      <c r="S1161" s="29" cm="1">
        <f t="array" ref="S1161">IF(表成绩单[[#This Row],[物理]]="","",SUMPRODUCT((表成绩单[考试日期]=表成绩单[[#This Row],[考试日期]])*(表成绩单[物理]&lt;9E+307)*(表成绩单[物理]&gt;表成绩单[[#This Row],[物理]]))+1)</f>
        <v>306</v>
      </c>
      <c r="T1161" s="29" cm="1">
        <f t="array" ref="T1161">IF(表成绩单[[#This Row],[化学]]="","",SUMPRODUCT((表成绩单[考试日期]=表成绩单[[#This Row],[考试日期]])*(表成绩单[化学]&lt;9E+307)*(表成绩单[化学]&gt;表成绩单[[#This Row],[化学]]))+1)</f>
        <v>308</v>
      </c>
      <c r="U1161" s="29" cm="1">
        <f t="array" ref="U1161">IF(表成绩单[[#This Row],[政治]]="","",SUMPRODUCT((表成绩单[考试日期]=表成绩单[[#This Row],[考试日期]])*(表成绩单[政治]&lt;9E+307)*(表成绩单[政治]&gt;表成绩单[[#This Row],[政治]]))+1)</f>
        <v>212</v>
      </c>
      <c r="V1161" s="29" cm="1">
        <f t="array" ref="V1161">IF(表成绩单[[#This Row],[历史]]="","",SUMPRODUCT((表成绩单[考试日期]=表成绩单[[#This Row],[考试日期]])*(表成绩单[历史]&lt;9E+307)*(表成绩单[历史]&gt;表成绩单[[#This Row],[历史]]))+1)</f>
        <v>149</v>
      </c>
      <c r="W1161" s="29" cm="1">
        <f t="array" ref="W1161">IF(表成绩单[[#This Row],[总分]]="","",SUMPRODUCT((表成绩单[考试日期]=表成绩单[[#This Row],[考试日期]])*(表成绩单[总分]&lt;9E+307)*(表成绩单[总分]&gt;表成绩单[[#This Row],[总分]]))+1)</f>
        <v>354</v>
      </c>
    </row>
    <row r="1162" ht="28" customHeight="1" spans="4:23">
      <c r="D1162" s="31">
        <v>46003</v>
      </c>
      <c r="E1162" s="29">
        <v>19173272</v>
      </c>
      <c r="F1162" s="29" t="s">
        <v>61</v>
      </c>
      <c r="G1162" s="29" t="s">
        <v>410</v>
      </c>
      <c r="H1162" s="29">
        <v>89</v>
      </c>
      <c r="I1162" s="29">
        <v>86</v>
      </c>
      <c r="J1162" s="29">
        <v>61</v>
      </c>
      <c r="K1162" s="29">
        <v>94</v>
      </c>
      <c r="L1162" s="29">
        <v>84</v>
      </c>
      <c r="M1162" s="29">
        <v>64</v>
      </c>
      <c r="N1162" s="29">
        <v>75</v>
      </c>
      <c r="O1162" s="32">
        <v>553</v>
      </c>
      <c r="P1162" s="29" cm="1">
        <f t="array" ref="P1162">IF(表成绩单[[#This Row],[语文]]="","",SUMPRODUCT((表成绩单[考试日期]=表成绩单[[#This Row],[考试日期]])*(表成绩单[语文]&lt;9E+307)*(表成绩单[语文]&gt;表成绩单[[#This Row],[语文]]))+1)</f>
        <v>598</v>
      </c>
      <c r="Q1162" s="29" cm="1">
        <f t="array" ref="Q1162">IF(表成绩单[[#This Row],[数学]]="","",SUMPRODUCT((表成绩单[考试日期]=表成绩单[[#This Row],[考试日期]])*(表成绩单[数学]&lt;9E+307)*(表成绩单[数学]&gt;表成绩单[[#This Row],[数学]]))+1)</f>
        <v>231</v>
      </c>
      <c r="R1162" s="29" cm="1">
        <f t="array" ref="R1162">IF(表成绩单[[#This Row],[英语]]="","",SUMPRODUCT((表成绩单[考试日期]=表成绩单[[#This Row],[考试日期]])*(表成绩单[英语]&lt;9E+307)*(表成绩单[英语]&gt;表成绩单[[#This Row],[英语]]))+1)</f>
        <v>519</v>
      </c>
      <c r="S1162" s="29" cm="1">
        <f t="array" ref="S1162">IF(表成绩单[[#This Row],[物理]]="","",SUMPRODUCT((表成绩单[考试日期]=表成绩单[[#This Row],[考试日期]])*(表成绩单[物理]&lt;9E+307)*(表成绩单[物理]&gt;表成绩单[[#This Row],[物理]]))+1)</f>
        <v>125</v>
      </c>
      <c r="T1162" s="29" cm="1">
        <f t="array" ref="T1162">IF(表成绩单[[#This Row],[化学]]="","",SUMPRODUCT((表成绩单[考试日期]=表成绩单[[#This Row],[考试日期]])*(表成绩单[化学]&lt;9E+307)*(表成绩单[化学]&gt;表成绩单[[#This Row],[化学]]))+1)</f>
        <v>258</v>
      </c>
      <c r="U1162" s="29" cm="1">
        <f t="array" ref="U1162">IF(表成绩单[[#This Row],[政治]]="","",SUMPRODUCT((表成绩单[考试日期]=表成绩单[[#This Row],[考试日期]])*(表成绩单[政治]&lt;9E+307)*(表成绩单[政治]&gt;表成绩单[[#This Row],[政治]]))+1)</f>
        <v>337</v>
      </c>
      <c r="V1162" s="29" cm="1">
        <f t="array" ref="V1162">IF(表成绩单[[#This Row],[历史]]="","",SUMPRODUCT((表成绩单[考试日期]=表成绩单[[#This Row],[考试日期]])*(表成绩单[历史]&lt;9E+307)*(表成绩单[历史]&gt;表成绩单[[#This Row],[历史]]))+1)</f>
        <v>329</v>
      </c>
      <c r="W1162" s="29" cm="1">
        <f t="array" ref="W1162">IF(表成绩单[[#This Row],[总分]]="","",SUMPRODUCT((表成绩单[考试日期]=表成绩单[[#This Row],[考试日期]])*(表成绩单[总分]&lt;9E+307)*(表成绩单[总分]&gt;表成绩单[[#This Row],[总分]]))+1)</f>
        <v>357</v>
      </c>
    </row>
    <row r="1163" ht="28" customHeight="1" spans="4:23">
      <c r="D1163" s="31">
        <v>46003</v>
      </c>
      <c r="E1163" s="29">
        <v>19173795</v>
      </c>
      <c r="F1163" s="29" t="s">
        <v>65</v>
      </c>
      <c r="G1163" s="29" t="s">
        <v>541</v>
      </c>
      <c r="H1163" s="29">
        <v>96</v>
      </c>
      <c r="I1163" s="29">
        <v>67</v>
      </c>
      <c r="J1163" s="29">
        <v>72</v>
      </c>
      <c r="K1163" s="29">
        <v>90</v>
      </c>
      <c r="L1163" s="29">
        <v>84</v>
      </c>
      <c r="M1163" s="29">
        <v>63</v>
      </c>
      <c r="N1163" s="29">
        <v>81</v>
      </c>
      <c r="O1163" s="32">
        <v>553</v>
      </c>
      <c r="P1163" s="29" cm="1">
        <f t="array" ref="P1163">IF(表成绩单[[#This Row],[语文]]="","",SUMPRODUCT((表成绩单[考试日期]=表成绩单[[#This Row],[考试日期]])*(表成绩单[语文]&lt;9E+307)*(表成绩单[语文]&gt;表成绩单[[#This Row],[语文]]))+1)</f>
        <v>509</v>
      </c>
      <c r="Q1163" s="29" cm="1">
        <f t="array" ref="Q1163">IF(表成绩单[[#This Row],[数学]]="","",SUMPRODUCT((表成绩单[考试日期]=表成绩单[[#This Row],[考试日期]])*(表成绩单[数学]&lt;9E+307)*(表成绩单[数学]&gt;表成绩单[[#This Row],[数学]]))+1)</f>
        <v>459</v>
      </c>
      <c r="R1163" s="29" cm="1">
        <f t="array" ref="R1163">IF(表成绩单[[#This Row],[英语]]="","",SUMPRODUCT((表成绩单[考试日期]=表成绩单[[#This Row],[考试日期]])*(表成绩单[英语]&lt;9E+307)*(表成绩单[英语]&gt;表成绩单[[#This Row],[英语]]))+1)</f>
        <v>386</v>
      </c>
      <c r="S1163" s="29" cm="1">
        <f t="array" ref="S1163">IF(表成绩单[[#This Row],[物理]]="","",SUMPRODUCT((表成绩单[考试日期]=表成绩单[[#This Row],[考试日期]])*(表成绩单[物理]&lt;9E+307)*(表成绩单[物理]&gt;表成绩单[[#This Row],[物理]]))+1)</f>
        <v>237</v>
      </c>
      <c r="T1163" s="29" cm="1">
        <f t="array" ref="T1163">IF(表成绩单[[#This Row],[化学]]="","",SUMPRODUCT((表成绩单[考试日期]=表成绩单[[#This Row],[考试日期]])*(表成绩单[化学]&lt;9E+307)*(表成绩单[化学]&gt;表成绩单[[#This Row],[化学]]))+1)</f>
        <v>258</v>
      </c>
      <c r="U1163" s="29" cm="1">
        <f t="array" ref="U1163">IF(表成绩单[[#This Row],[政治]]="","",SUMPRODUCT((表成绩单[考试日期]=表成绩单[[#This Row],[考试日期]])*(表成绩单[政治]&lt;9E+307)*(表成绩单[政治]&gt;表成绩单[[#This Row],[政治]]))+1)</f>
        <v>360</v>
      </c>
      <c r="V1163" s="29" cm="1">
        <f t="array" ref="V1163">IF(表成绩单[[#This Row],[历史]]="","",SUMPRODUCT((表成绩单[考试日期]=表成绩单[[#This Row],[考试日期]])*(表成绩单[历史]&lt;9E+307)*(表成绩单[历史]&gt;表成绩单[[#This Row],[历史]]))+1)</f>
        <v>92</v>
      </c>
      <c r="W1163" s="29" cm="1">
        <f t="array" ref="W1163">IF(表成绩单[[#This Row],[总分]]="","",SUMPRODUCT((表成绩单[考试日期]=表成绩单[[#This Row],[考试日期]])*(表成绩单[总分]&lt;9E+307)*(表成绩单[总分]&gt;表成绩单[[#This Row],[总分]]))+1)</f>
        <v>357</v>
      </c>
    </row>
    <row r="1164" ht="28" customHeight="1" spans="4:23">
      <c r="D1164" s="31">
        <v>46003</v>
      </c>
      <c r="E1164" s="29">
        <v>19174791</v>
      </c>
      <c r="F1164" s="29" t="s">
        <v>69</v>
      </c>
      <c r="G1164" s="29" t="s">
        <v>426</v>
      </c>
      <c r="H1164" s="29">
        <v>98</v>
      </c>
      <c r="I1164" s="29">
        <v>79</v>
      </c>
      <c r="J1164" s="29">
        <v>75</v>
      </c>
      <c r="K1164" s="29">
        <v>85</v>
      </c>
      <c r="L1164" s="29">
        <v>84</v>
      </c>
      <c r="M1164" s="29">
        <v>65</v>
      </c>
      <c r="N1164" s="29">
        <v>67</v>
      </c>
      <c r="O1164" s="32">
        <v>553</v>
      </c>
      <c r="P1164" s="29" cm="1">
        <f t="array" ref="P1164">IF(表成绩单[[#This Row],[语文]]="","",SUMPRODUCT((表成绩单[考试日期]=表成绩单[[#This Row],[考试日期]])*(表成绩单[语文]&lt;9E+307)*(表成绩单[语文]&gt;表成绩单[[#This Row],[语文]]))+1)</f>
        <v>463</v>
      </c>
      <c r="Q1164" s="29" cm="1">
        <f t="array" ref="Q1164">IF(表成绩单[[#This Row],[数学]]="","",SUMPRODUCT((表成绩单[考试日期]=表成绩单[[#This Row],[考试日期]])*(表成绩单[数学]&lt;9E+307)*(表成绩单[数学]&gt;表成绩单[[#This Row],[数学]]))+1)</f>
        <v>324</v>
      </c>
      <c r="R1164" s="29" cm="1">
        <f t="array" ref="R1164">IF(表成绩单[[#This Row],[英语]]="","",SUMPRODUCT((表成绩单[考试日期]=表成绩单[[#This Row],[考试日期]])*(表成绩单[英语]&lt;9E+307)*(表成绩单[英语]&gt;表成绩单[[#This Row],[英语]]))+1)</f>
        <v>314</v>
      </c>
      <c r="S1164" s="29" cm="1">
        <f t="array" ref="S1164">IF(表成绩单[[#This Row],[物理]]="","",SUMPRODUCT((表成绩单[考试日期]=表成绩单[[#This Row],[考试日期]])*(表成绩单[物理]&lt;9E+307)*(表成绩单[物理]&gt;表成绩单[[#This Row],[物理]]))+1)</f>
        <v>348</v>
      </c>
      <c r="T1164" s="29" cm="1">
        <f t="array" ref="T1164">IF(表成绩单[[#This Row],[化学]]="","",SUMPRODUCT((表成绩单[考试日期]=表成绩单[[#This Row],[考试日期]])*(表成绩单[化学]&lt;9E+307)*(表成绩单[化学]&gt;表成绩单[[#This Row],[化学]]))+1)</f>
        <v>258</v>
      </c>
      <c r="U1164" s="29" cm="1">
        <f t="array" ref="U1164">IF(表成绩单[[#This Row],[政治]]="","",SUMPRODUCT((表成绩单[考试日期]=表成绩单[[#This Row],[考试日期]])*(表成绩单[政治]&lt;9E+307)*(表成绩单[政治]&gt;表成绩单[[#This Row],[政治]]))+1)</f>
        <v>314</v>
      </c>
      <c r="V1164" s="29" cm="1">
        <f t="array" ref="V1164">IF(表成绩单[[#This Row],[历史]]="","",SUMPRODUCT((表成绩单[考试日期]=表成绩单[[#This Row],[考试日期]])*(表成绩单[历史]&lt;9E+307)*(表成绩单[历史]&gt;表成绩单[[#This Row],[历史]]))+1)</f>
        <v>549</v>
      </c>
      <c r="W1164" s="29" cm="1">
        <f t="array" ref="W1164">IF(表成绩单[[#This Row],[总分]]="","",SUMPRODUCT((表成绩单[考试日期]=表成绩单[[#This Row],[考试日期]])*(表成绩单[总分]&lt;9E+307)*(表成绩单[总分]&gt;表成绩单[[#This Row],[总分]]))+1)</f>
        <v>357</v>
      </c>
    </row>
    <row r="1165" ht="28" customHeight="1" spans="4:23">
      <c r="D1165" s="31">
        <v>46003</v>
      </c>
      <c r="E1165" s="29">
        <v>19176170</v>
      </c>
      <c r="F1165" s="29" t="s">
        <v>67</v>
      </c>
      <c r="G1165" s="29" t="s">
        <v>403</v>
      </c>
      <c r="H1165" s="29">
        <v>110</v>
      </c>
      <c r="I1165" s="29">
        <v>60</v>
      </c>
      <c r="J1165" s="29">
        <v>81</v>
      </c>
      <c r="K1165" s="29">
        <v>82</v>
      </c>
      <c r="L1165" s="29">
        <v>79</v>
      </c>
      <c r="M1165" s="29">
        <v>68</v>
      </c>
      <c r="N1165" s="29">
        <v>73</v>
      </c>
      <c r="O1165" s="32">
        <v>553</v>
      </c>
      <c r="P1165" s="29" cm="1">
        <f t="array" ref="P1165">IF(表成绩单[[#This Row],[语文]]="","",SUMPRODUCT((表成绩单[考试日期]=表成绩单[[#This Row],[考试日期]])*(表成绩单[语文]&lt;9E+307)*(表成绩单[语文]&gt;表成绩单[[#This Row],[语文]]))+1)</f>
        <v>84</v>
      </c>
      <c r="Q1165" s="29" cm="1">
        <f t="array" ref="Q1165">IF(表成绩单[[#This Row],[数学]]="","",SUMPRODUCT((表成绩单[考试日期]=表成绩单[[#This Row],[考试日期]])*(表成绩单[数学]&lt;9E+307)*(表成绩单[数学]&gt;表成绩单[[#This Row],[数学]]))+1)</f>
        <v>519</v>
      </c>
      <c r="R1165" s="29" cm="1">
        <f t="array" ref="R1165">IF(表成绩单[[#This Row],[英语]]="","",SUMPRODUCT((表成绩单[考试日期]=表成绩单[[#This Row],[考试日期]])*(表成绩单[英语]&lt;9E+307)*(表成绩单[英语]&gt;表成绩单[[#This Row],[英语]]))+1)</f>
        <v>131</v>
      </c>
      <c r="S1165" s="29" cm="1">
        <f t="array" ref="S1165">IF(表成绩单[[#This Row],[物理]]="","",SUMPRODUCT((表成绩单[考试日期]=表成绩单[[#This Row],[考试日期]])*(表成绩单[物理]&lt;9E+307)*(表成绩单[物理]&gt;表成绩单[[#This Row],[物理]]))+1)</f>
        <v>395</v>
      </c>
      <c r="T1165" s="29" cm="1">
        <f t="array" ref="T1165">IF(表成绩单[[#This Row],[化学]]="","",SUMPRODUCT((表成绩单[考试日期]=表成绩单[[#This Row],[考试日期]])*(表成绩单[化学]&lt;9E+307)*(表成绩单[化学]&gt;表成绩单[[#This Row],[化学]]))+1)</f>
        <v>351</v>
      </c>
      <c r="U1165" s="29" cm="1">
        <f t="array" ref="U1165">IF(表成绩单[[#This Row],[政治]]="","",SUMPRODUCT((表成绩单[考试日期]=表成绩单[[#This Row],[考试日期]])*(表成绩单[政治]&lt;9E+307)*(表成绩单[政治]&gt;表成绩单[[#This Row],[政治]]))+1)</f>
        <v>237</v>
      </c>
      <c r="V1165" s="29" cm="1">
        <f t="array" ref="V1165">IF(表成绩单[[#This Row],[历史]]="","",SUMPRODUCT((表成绩单[考试日期]=表成绩单[[#This Row],[考试日期]])*(表成绩单[历史]&lt;9E+307)*(表成绩单[历史]&gt;表成绩单[[#This Row],[历史]]))+1)</f>
        <v>403</v>
      </c>
      <c r="W1165" s="29" cm="1">
        <f t="array" ref="W1165">IF(表成绩单[[#This Row],[总分]]="","",SUMPRODUCT((表成绩单[考试日期]=表成绩单[[#This Row],[考试日期]])*(表成绩单[总分]&lt;9E+307)*(表成绩单[总分]&gt;表成绩单[[#This Row],[总分]]))+1)</f>
        <v>357</v>
      </c>
    </row>
    <row r="1166" ht="28" customHeight="1" spans="4:23">
      <c r="D1166" s="31">
        <v>46003</v>
      </c>
      <c r="E1166" s="29">
        <v>19171081</v>
      </c>
      <c r="F1166" s="29" t="s">
        <v>67</v>
      </c>
      <c r="G1166" s="29" t="s">
        <v>379</v>
      </c>
      <c r="H1166" s="29">
        <v>109</v>
      </c>
      <c r="I1166" s="29">
        <v>64</v>
      </c>
      <c r="J1166" s="29">
        <v>75.5</v>
      </c>
      <c r="K1166" s="29">
        <v>81</v>
      </c>
      <c r="L1166" s="29">
        <v>78</v>
      </c>
      <c r="M1166" s="29">
        <v>69</v>
      </c>
      <c r="N1166" s="29">
        <v>76</v>
      </c>
      <c r="O1166" s="32">
        <v>552.5</v>
      </c>
      <c r="P1166" s="29" cm="1">
        <f t="array" ref="P1166">IF(表成绩单[[#This Row],[语文]]="","",SUMPRODUCT((表成绩单[考试日期]=表成绩单[[#This Row],[考试日期]])*(表成绩单[语文]&lt;9E+307)*(表成绩单[语文]&gt;表成绩单[[#This Row],[语文]]))+1)</f>
        <v>111</v>
      </c>
      <c r="Q1166" s="29" cm="1">
        <f t="array" ref="Q1166">IF(表成绩单[[#This Row],[数学]]="","",SUMPRODUCT((表成绩单[考试日期]=表成绩单[[#This Row],[考试日期]])*(表成绩单[数学]&lt;9E+307)*(表成绩单[数学]&gt;表成绩单[[#This Row],[数学]]))+1)</f>
        <v>486</v>
      </c>
      <c r="R1166" s="29" cm="1">
        <f t="array" ref="R1166">IF(表成绩单[[#This Row],[英语]]="","",SUMPRODUCT((表成绩单[考试日期]=表成绩单[[#This Row],[考试日期]])*(表成绩单[英语]&lt;9E+307)*(表成绩单[英语]&gt;表成绩单[[#This Row],[英语]]))+1)</f>
        <v>299</v>
      </c>
      <c r="S1166" s="29" cm="1">
        <f t="array" ref="S1166">IF(表成绩单[[#This Row],[物理]]="","",SUMPRODUCT((表成绩单[考试日期]=表成绩单[[#This Row],[考试日期]])*(表成绩单[物理]&lt;9E+307)*(表成绩单[物理]&gt;表成绩单[[#This Row],[物理]]))+1)</f>
        <v>405</v>
      </c>
      <c r="T1166" s="29" cm="1">
        <f t="array" ref="T1166">IF(表成绩单[[#This Row],[化学]]="","",SUMPRODUCT((表成绩单[考试日期]=表成绩单[[#This Row],[考试日期]])*(表成绩单[化学]&lt;9E+307)*(表成绩单[化学]&gt;表成绩单[[#This Row],[化学]]))+1)</f>
        <v>373</v>
      </c>
      <c r="U1166" s="29" cm="1">
        <f t="array" ref="U1166">IF(表成绩单[[#This Row],[政治]]="","",SUMPRODUCT((表成绩单[考试日期]=表成绩单[[#This Row],[考试日期]])*(表成绩单[政治]&lt;9E+307)*(表成绩单[政治]&gt;表成绩单[[#This Row],[政治]]))+1)</f>
        <v>212</v>
      </c>
      <c r="V1166" s="29" cm="1">
        <f t="array" ref="V1166">IF(表成绩单[[#This Row],[历史]]="","",SUMPRODUCT((表成绩单[考试日期]=表成绩单[[#This Row],[考试日期]])*(表成绩单[历史]&lt;9E+307)*(表成绩单[历史]&gt;表成绩单[[#This Row],[历史]]))+1)</f>
        <v>279</v>
      </c>
      <c r="W1166" s="29" cm="1">
        <f t="array" ref="W1166">IF(表成绩单[[#This Row],[总分]]="","",SUMPRODUCT((表成绩单[考试日期]=表成绩单[[#This Row],[考试日期]])*(表成绩单[总分]&lt;9E+307)*(表成绩单[总分]&gt;表成绩单[[#This Row],[总分]]))+1)</f>
        <v>361</v>
      </c>
    </row>
    <row r="1167" ht="28" customHeight="1" spans="4:23">
      <c r="D1167" s="31">
        <v>46003</v>
      </c>
      <c r="E1167" s="29">
        <v>19176870</v>
      </c>
      <c r="F1167" s="29" t="s">
        <v>71</v>
      </c>
      <c r="G1167" s="29" t="s">
        <v>545</v>
      </c>
      <c r="H1167" s="29">
        <v>106</v>
      </c>
      <c r="I1167" s="29">
        <v>91</v>
      </c>
      <c r="J1167" s="29">
        <v>72.5</v>
      </c>
      <c r="K1167" s="29">
        <v>80</v>
      </c>
      <c r="L1167" s="29">
        <v>74</v>
      </c>
      <c r="M1167" s="29">
        <v>59</v>
      </c>
      <c r="N1167" s="29">
        <v>70</v>
      </c>
      <c r="O1167" s="32">
        <v>552.5</v>
      </c>
      <c r="P1167" s="29" cm="1">
        <f t="array" ref="P1167">IF(表成绩单[[#This Row],[语文]]="","",SUMPRODUCT((表成绩单[考试日期]=表成绩单[[#This Row],[考试日期]])*(表成绩单[语文]&lt;9E+307)*(表成绩单[语文]&gt;表成绩单[[#This Row],[语文]]))+1)</f>
        <v>210</v>
      </c>
      <c r="Q1167" s="29" cm="1">
        <f t="array" ref="Q1167">IF(表成绩单[[#This Row],[数学]]="","",SUMPRODUCT((表成绩单[考试日期]=表成绩单[[#This Row],[考试日期]])*(表成绩单[数学]&lt;9E+307)*(表成绩单[数学]&gt;表成绩单[[#This Row],[数学]]))+1)</f>
        <v>184</v>
      </c>
      <c r="R1167" s="29" cm="1">
        <f t="array" ref="R1167">IF(表成绩单[[#This Row],[英语]]="","",SUMPRODUCT((表成绩单[考试日期]=表成绩单[[#This Row],[考试日期]])*(表成绩单[英语]&lt;9E+307)*(表成绩单[英语]&gt;表成绩单[[#This Row],[英语]]))+1)</f>
        <v>373</v>
      </c>
      <c r="S1167" s="29" cm="1">
        <f t="array" ref="S1167">IF(表成绩单[[#This Row],[物理]]="","",SUMPRODUCT((表成绩单[考试日期]=表成绩单[[#This Row],[考试日期]])*(表成绩单[物理]&lt;9E+307)*(表成绩单[物理]&gt;表成绩单[[#This Row],[物理]]))+1)</f>
        <v>422</v>
      </c>
      <c r="T1167" s="29" cm="1">
        <f t="array" ref="T1167">IF(表成绩单[[#This Row],[化学]]="","",SUMPRODUCT((表成绩单[考试日期]=表成绩单[[#This Row],[考试日期]])*(表成绩单[化学]&lt;9E+307)*(表成绩单[化学]&gt;表成绩单[[#This Row],[化学]]))+1)</f>
        <v>440</v>
      </c>
      <c r="U1167" s="29" cm="1">
        <f t="array" ref="U1167">IF(表成绩单[[#This Row],[政治]]="","",SUMPRODUCT((表成绩单[考试日期]=表成绩单[[#This Row],[考试日期]])*(表成绩单[政治]&lt;9E+307)*(表成绩单[政治]&gt;表成绩单[[#This Row],[政治]]))+1)</f>
        <v>435</v>
      </c>
      <c r="V1167" s="29" cm="1">
        <f t="array" ref="V1167">IF(表成绩单[[#This Row],[历史]]="","",SUMPRODUCT((表成绩单[考试日期]=表成绩单[[#This Row],[考试日期]])*(表成绩单[历史]&lt;9E+307)*(表成绩单[历史]&gt;表成绩单[[#This Row],[历史]]))+1)</f>
        <v>499</v>
      </c>
      <c r="W1167" s="29" cm="1">
        <f t="array" ref="W1167">IF(表成绩单[[#This Row],[总分]]="","",SUMPRODUCT((表成绩单[考试日期]=表成绩单[[#This Row],[考试日期]])*(表成绩单[总分]&lt;9E+307)*(表成绩单[总分]&gt;表成绩单[[#This Row],[总分]]))+1)</f>
        <v>361</v>
      </c>
    </row>
    <row r="1168" ht="28" customHeight="1" spans="4:23">
      <c r="D1168" s="31">
        <v>46003</v>
      </c>
      <c r="E1168" s="29">
        <v>19173777</v>
      </c>
      <c r="F1168" s="29" t="s">
        <v>65</v>
      </c>
      <c r="G1168" s="29" t="s">
        <v>287</v>
      </c>
      <c r="H1168" s="29">
        <v>106</v>
      </c>
      <c r="I1168" s="29">
        <v>55</v>
      </c>
      <c r="J1168" s="29">
        <v>77</v>
      </c>
      <c r="K1168" s="29">
        <v>82</v>
      </c>
      <c r="L1168" s="29">
        <v>83</v>
      </c>
      <c r="M1168" s="29">
        <v>75</v>
      </c>
      <c r="N1168" s="29">
        <v>74</v>
      </c>
      <c r="O1168" s="32">
        <v>552</v>
      </c>
      <c r="P1168" s="29" cm="1">
        <f t="array" ref="P1168">IF(表成绩单[[#This Row],[语文]]="","",SUMPRODUCT((表成绩单[考试日期]=表成绩单[[#This Row],[考试日期]])*(表成绩单[语文]&lt;9E+307)*(表成绩单[语文]&gt;表成绩单[[#This Row],[语文]]))+1)</f>
        <v>210</v>
      </c>
      <c r="Q1168" s="29" cm="1">
        <f t="array" ref="Q1168">IF(表成绩单[[#This Row],[数学]]="","",SUMPRODUCT((表成绩单[考试日期]=表成绩单[[#This Row],[考试日期]])*(表成绩单[数学]&lt;9E+307)*(表成绩单[数学]&gt;表成绩单[[#This Row],[数学]]))+1)</f>
        <v>558</v>
      </c>
      <c r="R1168" s="29" cm="1">
        <f t="array" ref="R1168">IF(表成绩单[[#This Row],[英语]]="","",SUMPRODUCT((表成绩单[考试日期]=表成绩单[[#This Row],[考试日期]])*(表成绩单[英语]&lt;9E+307)*(表成绩单[英语]&gt;表成绩单[[#This Row],[英语]]))+1)</f>
        <v>255</v>
      </c>
      <c r="S1168" s="29" cm="1">
        <f t="array" ref="S1168">IF(表成绩单[[#This Row],[物理]]="","",SUMPRODUCT((表成绩单[考试日期]=表成绩单[[#This Row],[考试日期]])*(表成绩单[物理]&lt;9E+307)*(表成绩单[物理]&gt;表成绩单[[#This Row],[物理]]))+1)</f>
        <v>395</v>
      </c>
      <c r="T1168" s="29" cm="1">
        <f t="array" ref="T1168">IF(表成绩单[[#This Row],[化学]]="","",SUMPRODUCT((表成绩单[考试日期]=表成绩单[[#This Row],[考试日期]])*(表成绩单[化学]&lt;9E+307)*(表成绩单[化学]&gt;表成绩单[[#This Row],[化学]]))+1)</f>
        <v>272</v>
      </c>
      <c r="U1168" s="29" cm="1">
        <f t="array" ref="U1168">IF(表成绩单[[#This Row],[政治]]="","",SUMPRODUCT((表成绩单[考试日期]=表成绩单[[#This Row],[考试日期]])*(表成绩单[政治]&lt;9E+307)*(表成绩单[政治]&gt;表成绩单[[#This Row],[政治]]))+1)</f>
        <v>102</v>
      </c>
      <c r="V1168" s="29" cm="1">
        <f t="array" ref="V1168">IF(表成绩单[[#This Row],[历史]]="","",SUMPRODUCT((表成绩单[考试日期]=表成绩单[[#This Row],[考试日期]])*(表成绩单[历史]&lt;9E+307)*(表成绩单[历史]&gt;表成绩单[[#This Row],[历史]]))+1)</f>
        <v>371</v>
      </c>
      <c r="W1168" s="29" cm="1">
        <f t="array" ref="W1168">IF(表成绩单[[#This Row],[总分]]="","",SUMPRODUCT((表成绩单[考试日期]=表成绩单[[#This Row],[考试日期]])*(表成绩单[总分]&lt;9E+307)*(表成绩单[总分]&gt;表成绩单[[#This Row],[总分]]))+1)</f>
        <v>363</v>
      </c>
    </row>
    <row r="1169" ht="28" customHeight="1" spans="4:23">
      <c r="D1169" s="31">
        <v>46003</v>
      </c>
      <c r="E1169" s="29">
        <v>19175669</v>
      </c>
      <c r="F1169" s="29" t="s">
        <v>66</v>
      </c>
      <c r="G1169" s="29" t="s">
        <v>459</v>
      </c>
      <c r="H1169" s="29">
        <v>102</v>
      </c>
      <c r="I1169" s="29">
        <v>88</v>
      </c>
      <c r="J1169" s="29">
        <v>54</v>
      </c>
      <c r="K1169" s="29">
        <v>91</v>
      </c>
      <c r="L1169" s="29">
        <v>74</v>
      </c>
      <c r="M1169" s="29">
        <v>66</v>
      </c>
      <c r="N1169" s="29">
        <v>77</v>
      </c>
      <c r="O1169" s="32">
        <v>552</v>
      </c>
      <c r="P1169" s="29" cm="1">
        <f t="array" ref="P1169">IF(表成绩单[[#This Row],[语文]]="","",SUMPRODUCT((表成绩单[考试日期]=表成绩单[[#This Row],[考试日期]])*(表成绩单[语文]&lt;9E+307)*(表成绩单[语文]&gt;表成绩单[[#This Row],[语文]]))+1)</f>
        <v>366</v>
      </c>
      <c r="Q1169" s="29" cm="1">
        <f t="array" ref="Q1169">IF(表成绩单[[#This Row],[数学]]="","",SUMPRODUCT((表成绩单[考试日期]=表成绩单[[#This Row],[考试日期]])*(表成绩单[数学]&lt;9E+307)*(表成绩单[数学]&gt;表成绩单[[#This Row],[数学]]))+1)</f>
        <v>213</v>
      </c>
      <c r="R1169" s="29" cm="1">
        <f t="array" ref="R1169">IF(表成绩单[[#This Row],[英语]]="","",SUMPRODUCT((表成绩单[考试日期]=表成绩单[[#This Row],[考试日期]])*(表成绩单[英语]&lt;9E+307)*(表成绩单[英语]&gt;表成绩单[[#This Row],[英语]]))+1)</f>
        <v>575</v>
      </c>
      <c r="S1169" s="29" cm="1">
        <f t="array" ref="S1169">IF(表成绩单[[#This Row],[物理]]="","",SUMPRODUCT((表成绩单[考试日期]=表成绩单[[#This Row],[考试日期]])*(表成绩单[物理]&lt;9E+307)*(表成绩单[物理]&gt;表成绩单[[#This Row],[物理]]))+1)</f>
        <v>220</v>
      </c>
      <c r="T1169" s="29" cm="1">
        <f t="array" ref="T1169">IF(表成绩单[[#This Row],[化学]]="","",SUMPRODUCT((表成绩单[考试日期]=表成绩单[[#This Row],[考试日期]])*(表成绩单[化学]&lt;9E+307)*(表成绩单[化学]&gt;表成绩单[[#This Row],[化学]]))+1)</f>
        <v>440</v>
      </c>
      <c r="U1169" s="29" cm="1">
        <f t="array" ref="U1169">IF(表成绩单[[#This Row],[政治]]="","",SUMPRODUCT((表成绩单[考试日期]=表成绩单[[#This Row],[考试日期]])*(表成绩单[政治]&lt;9E+307)*(表成绩单[政治]&gt;表成绩单[[#This Row],[政治]]))+1)</f>
        <v>289</v>
      </c>
      <c r="V1169" s="29" cm="1">
        <f t="array" ref="V1169">IF(表成绩单[[#This Row],[历史]]="","",SUMPRODUCT((表成绩单[考试日期]=表成绩单[[#This Row],[考试日期]])*(表成绩单[历史]&lt;9E+307)*(表成绩单[历史]&gt;表成绩单[[#This Row],[历史]]))+1)</f>
        <v>235</v>
      </c>
      <c r="W1169" s="29" cm="1">
        <f t="array" ref="W1169">IF(表成绩单[[#This Row],[总分]]="","",SUMPRODUCT((表成绩单[考试日期]=表成绩单[[#This Row],[考试日期]])*(表成绩单[总分]&lt;9E+307)*(表成绩单[总分]&gt;表成绩单[[#This Row],[总分]]))+1)</f>
        <v>363</v>
      </c>
    </row>
    <row r="1170" ht="28" customHeight="1" spans="4:23">
      <c r="D1170" s="31">
        <v>46003</v>
      </c>
      <c r="E1170" s="29">
        <v>19177616</v>
      </c>
      <c r="F1170" s="29" t="s">
        <v>58</v>
      </c>
      <c r="G1170" s="29" t="s">
        <v>420</v>
      </c>
      <c r="H1170" s="29">
        <v>99</v>
      </c>
      <c r="I1170" s="29">
        <v>86</v>
      </c>
      <c r="J1170" s="29">
        <v>52</v>
      </c>
      <c r="K1170" s="29">
        <v>82</v>
      </c>
      <c r="L1170" s="29">
        <v>78</v>
      </c>
      <c r="M1170" s="29">
        <v>73</v>
      </c>
      <c r="N1170" s="29">
        <v>82</v>
      </c>
      <c r="O1170" s="32">
        <v>552</v>
      </c>
      <c r="P1170" s="29" cm="1">
        <f t="array" ref="P1170">IF(表成绩单[[#This Row],[语文]]="","",SUMPRODUCT((表成绩单[考试日期]=表成绩单[[#This Row],[考试日期]])*(表成绩单[语文]&lt;9E+307)*(表成绩单[语文]&gt;表成绩单[[#This Row],[语文]]))+1)</f>
        <v>440</v>
      </c>
      <c r="Q1170" s="29" cm="1">
        <f t="array" ref="Q1170">IF(表成绩单[[#This Row],[数学]]="","",SUMPRODUCT((表成绩单[考试日期]=表成绩单[[#This Row],[考试日期]])*(表成绩单[数学]&lt;9E+307)*(表成绩单[数学]&gt;表成绩单[[#This Row],[数学]]))+1)</f>
        <v>231</v>
      </c>
      <c r="R1170" s="29" cm="1">
        <f t="array" ref="R1170">IF(表成绩单[[#This Row],[英语]]="","",SUMPRODUCT((表成绩单[考试日期]=表成绩单[[#This Row],[考试日期]])*(表成绩单[英语]&lt;9E+307)*(表成绩单[英语]&gt;表成绩单[[#This Row],[英语]]))+1)</f>
        <v>589</v>
      </c>
      <c r="S1170" s="29" cm="1">
        <f t="array" ref="S1170">IF(表成绩单[[#This Row],[物理]]="","",SUMPRODUCT((表成绩单[考试日期]=表成绩单[[#This Row],[考试日期]])*(表成绩单[物理]&lt;9E+307)*(表成绩单[物理]&gt;表成绩单[[#This Row],[物理]]))+1)</f>
        <v>395</v>
      </c>
      <c r="T1170" s="29" cm="1">
        <f t="array" ref="T1170">IF(表成绩单[[#This Row],[化学]]="","",SUMPRODUCT((表成绩单[考试日期]=表成绩单[[#This Row],[考试日期]])*(表成绩单[化学]&lt;9E+307)*(表成绩单[化学]&gt;表成绩单[[#This Row],[化学]]))+1)</f>
        <v>373</v>
      </c>
      <c r="U1170" s="29" cm="1">
        <f t="array" ref="U1170">IF(表成绩单[[#This Row],[政治]]="","",SUMPRODUCT((表成绩单[考试日期]=表成绩单[[#This Row],[考试日期]])*(表成绩单[政治]&lt;9E+307)*(表成绩单[政治]&gt;表成绩单[[#This Row],[政治]]))+1)</f>
        <v>139</v>
      </c>
      <c r="V1170" s="29" cm="1">
        <f t="array" ref="V1170">IF(表成绩单[[#This Row],[历史]]="","",SUMPRODUCT((表成绩单[考试日期]=表成绩单[[#This Row],[考试日期]])*(表成绩单[历史]&lt;9E+307)*(表成绩单[历史]&gt;表成绩单[[#This Row],[历史]]))+1)</f>
        <v>66</v>
      </c>
      <c r="W1170" s="29" cm="1">
        <f t="array" ref="W1170">IF(表成绩单[[#This Row],[总分]]="","",SUMPRODUCT((表成绩单[考试日期]=表成绩单[[#This Row],[考试日期]])*(表成绩单[总分]&lt;9E+307)*(表成绩单[总分]&gt;表成绩单[[#This Row],[总分]]))+1)</f>
        <v>363</v>
      </c>
    </row>
    <row r="1171" ht="28" customHeight="1" spans="4:23">
      <c r="D1171" s="31">
        <v>46003</v>
      </c>
      <c r="E1171" s="29">
        <v>19173255</v>
      </c>
      <c r="F1171" s="29" t="s">
        <v>61</v>
      </c>
      <c r="G1171" s="29" t="s">
        <v>531</v>
      </c>
      <c r="H1171" s="29">
        <v>102</v>
      </c>
      <c r="I1171" s="29">
        <v>77</v>
      </c>
      <c r="J1171" s="29">
        <v>70.5</v>
      </c>
      <c r="K1171" s="29">
        <v>84</v>
      </c>
      <c r="L1171" s="29">
        <v>86</v>
      </c>
      <c r="M1171" s="29">
        <v>65</v>
      </c>
      <c r="N1171" s="29">
        <v>67</v>
      </c>
      <c r="O1171" s="32">
        <v>551.5</v>
      </c>
      <c r="P1171" s="29" cm="1">
        <f t="array" ref="P1171">IF(表成绩单[[#This Row],[语文]]="","",SUMPRODUCT((表成绩单[考试日期]=表成绩单[[#This Row],[考试日期]])*(表成绩单[语文]&lt;9E+307)*(表成绩单[语文]&gt;表成绩单[[#This Row],[语文]]))+1)</f>
        <v>366</v>
      </c>
      <c r="Q1171" s="29" cm="1">
        <f t="array" ref="Q1171">IF(表成绩单[[#This Row],[数学]]="","",SUMPRODUCT((表成绩单[考试日期]=表成绩单[[#This Row],[考试日期]])*(表成绩单[数学]&lt;9E+307)*(表成绩单[数学]&gt;表成绩单[[#This Row],[数学]]))+1)</f>
        <v>343</v>
      </c>
      <c r="R1171" s="29" cm="1">
        <f t="array" ref="R1171">IF(表成绩单[[#This Row],[英语]]="","",SUMPRODUCT((表成绩单[考试日期]=表成绩单[[#This Row],[考试日期]])*(表成绩单[英语]&lt;9E+307)*(表成绩单[英语]&gt;表成绩单[[#This Row],[英语]]))+1)</f>
        <v>413</v>
      </c>
      <c r="S1171" s="29" cm="1">
        <f t="array" ref="S1171">IF(表成绩单[[#This Row],[物理]]="","",SUMPRODUCT((表成绩单[考试日期]=表成绩单[[#This Row],[考试日期]])*(表成绩单[物理]&lt;9E+307)*(表成绩单[物理]&gt;表成绩单[[#This Row],[物理]]))+1)</f>
        <v>368</v>
      </c>
      <c r="T1171" s="29" cm="1">
        <f t="array" ref="T1171">IF(表成绩单[[#This Row],[化学]]="","",SUMPRODUCT((表成绩单[考试日期]=表成绩单[[#This Row],[考试日期]])*(表成绩单[化学]&lt;9E+307)*(表成绩单[化学]&gt;表成绩单[[#This Row],[化学]]))+1)</f>
        <v>223</v>
      </c>
      <c r="U1171" s="29" cm="1">
        <f t="array" ref="U1171">IF(表成绩单[[#This Row],[政治]]="","",SUMPRODUCT((表成绩单[考试日期]=表成绩单[[#This Row],[考试日期]])*(表成绩单[政治]&lt;9E+307)*(表成绩单[政治]&gt;表成绩单[[#This Row],[政治]]))+1)</f>
        <v>314</v>
      </c>
      <c r="V1171" s="29" cm="1">
        <f t="array" ref="V1171">IF(表成绩单[[#This Row],[历史]]="","",SUMPRODUCT((表成绩单[考试日期]=表成绩单[[#This Row],[考试日期]])*(表成绩单[历史]&lt;9E+307)*(表成绩单[历史]&gt;表成绩单[[#This Row],[历史]]))+1)</f>
        <v>549</v>
      </c>
      <c r="W1171" s="29" cm="1">
        <f t="array" ref="W1171">IF(表成绩单[[#This Row],[总分]]="","",SUMPRODUCT((表成绩单[考试日期]=表成绩单[[#This Row],[考试日期]])*(表成绩单[总分]&lt;9E+307)*(表成绩单[总分]&gt;表成绩单[[#This Row],[总分]]))+1)</f>
        <v>366</v>
      </c>
    </row>
    <row r="1172" ht="28" customHeight="1" spans="4:23">
      <c r="D1172" s="31">
        <v>46003</v>
      </c>
      <c r="E1172" s="29">
        <v>19173782</v>
      </c>
      <c r="F1172" s="29" t="s">
        <v>65</v>
      </c>
      <c r="G1172" s="29" t="s">
        <v>462</v>
      </c>
      <c r="H1172" s="29">
        <v>101</v>
      </c>
      <c r="I1172" s="29">
        <v>82</v>
      </c>
      <c r="J1172" s="29">
        <v>65</v>
      </c>
      <c r="K1172" s="29">
        <v>80</v>
      </c>
      <c r="L1172" s="29">
        <v>89</v>
      </c>
      <c r="M1172" s="29">
        <v>58</v>
      </c>
      <c r="N1172" s="29">
        <v>76</v>
      </c>
      <c r="O1172" s="32">
        <v>551</v>
      </c>
      <c r="P1172" s="29" cm="1">
        <f t="array" ref="P1172">IF(表成绩单[[#This Row],[语文]]="","",SUMPRODUCT((表成绩单[考试日期]=表成绩单[[#This Row],[考试日期]])*(表成绩单[语文]&lt;9E+307)*(表成绩单[语文]&gt;表成绩单[[#This Row],[语文]]))+1)</f>
        <v>387</v>
      </c>
      <c r="Q1172" s="29" cm="1">
        <f t="array" ref="Q1172">IF(表成绩单[[#This Row],[数学]]="","",SUMPRODUCT((表成绩单[考试日期]=表成绩单[[#This Row],[考试日期]])*(表成绩单[数学]&lt;9E+307)*(表成绩单[数学]&gt;表成绩单[[#This Row],[数学]]))+1)</f>
        <v>290</v>
      </c>
      <c r="R1172" s="29" cm="1">
        <f t="array" ref="R1172">IF(表成绩单[[#This Row],[英语]]="","",SUMPRODUCT((表成绩单[考试日期]=表成绩单[[#This Row],[考试日期]])*(表成绩单[英语]&lt;9E+307)*(表成绩单[英语]&gt;表成绩单[[#This Row],[英语]]))+1)</f>
        <v>480</v>
      </c>
      <c r="S1172" s="29" cm="1">
        <f t="array" ref="S1172">IF(表成绩单[[#This Row],[物理]]="","",SUMPRODUCT((表成绩单[考试日期]=表成绩单[[#This Row],[考试日期]])*(表成绩单[物理]&lt;9E+307)*(表成绩单[物理]&gt;表成绩单[[#This Row],[物理]]))+1)</f>
        <v>422</v>
      </c>
      <c r="T1172" s="29" cm="1">
        <f t="array" ref="T1172">IF(表成绩单[[#This Row],[化学]]="","",SUMPRODUCT((表成绩单[考试日期]=表成绩单[[#This Row],[考试日期]])*(表成绩单[化学]&lt;9E+307)*(表成绩单[化学]&gt;表成绩单[[#This Row],[化学]]))+1)</f>
        <v>157</v>
      </c>
      <c r="U1172" s="29" cm="1">
        <f t="array" ref="U1172">IF(表成绩单[[#This Row],[政治]]="","",SUMPRODUCT((表成绩单[考试日期]=表成绩单[[#This Row],[考试日期]])*(表成绩单[政治]&lt;9E+307)*(表成绩单[政治]&gt;表成绩单[[#This Row],[政治]]))+1)</f>
        <v>454</v>
      </c>
      <c r="V1172" s="29" cm="1">
        <f t="array" ref="V1172">IF(表成绩单[[#This Row],[历史]]="","",SUMPRODUCT((表成绩单[考试日期]=表成绩单[[#This Row],[考试日期]])*(表成绩单[历史]&lt;9E+307)*(表成绩单[历史]&gt;表成绩单[[#This Row],[历史]]))+1)</f>
        <v>279</v>
      </c>
      <c r="W1172" s="29" cm="1">
        <f t="array" ref="W1172">IF(表成绩单[[#This Row],[总分]]="","",SUMPRODUCT((表成绩单[考试日期]=表成绩单[[#This Row],[考试日期]])*(表成绩单[总分]&lt;9E+307)*(表成绩单[总分]&gt;表成绩单[[#This Row],[总分]]))+1)</f>
        <v>367</v>
      </c>
    </row>
    <row r="1173" ht="28" customHeight="1" spans="4:23">
      <c r="D1173" s="31">
        <v>46003</v>
      </c>
      <c r="E1173" s="29">
        <v>19175307</v>
      </c>
      <c r="F1173" s="29" t="s">
        <v>55</v>
      </c>
      <c r="G1173" s="29" t="s">
        <v>518</v>
      </c>
      <c r="H1173" s="29">
        <v>97</v>
      </c>
      <c r="I1173" s="29">
        <v>71</v>
      </c>
      <c r="J1173" s="29">
        <v>69</v>
      </c>
      <c r="K1173" s="29">
        <v>90</v>
      </c>
      <c r="L1173" s="29">
        <v>82</v>
      </c>
      <c r="M1173" s="29">
        <v>67</v>
      </c>
      <c r="N1173" s="29">
        <v>75</v>
      </c>
      <c r="O1173" s="32">
        <v>551</v>
      </c>
      <c r="P1173" s="29" cm="1">
        <f t="array" ref="P1173">IF(表成绩单[[#This Row],[语文]]="","",SUMPRODUCT((表成绩单[考试日期]=表成绩单[[#This Row],[考试日期]])*(表成绩单[语文]&lt;9E+307)*(表成绩单[语文]&gt;表成绩单[[#This Row],[语文]]))+1)</f>
        <v>488</v>
      </c>
      <c r="Q1173" s="29" cm="1">
        <f t="array" ref="Q1173">IF(表成绩单[[#This Row],[数学]]="","",SUMPRODUCT((表成绩单[考试日期]=表成绩单[[#This Row],[考试日期]])*(表成绩单[数学]&lt;9E+307)*(表成绩单[数学]&gt;表成绩单[[#This Row],[数学]]))+1)</f>
        <v>412</v>
      </c>
      <c r="R1173" s="29" cm="1">
        <f t="array" ref="R1173">IF(表成绩单[[#This Row],[英语]]="","",SUMPRODUCT((表成绩单[考试日期]=表成绩单[[#This Row],[考试日期]])*(表成绩单[英语]&lt;9E+307)*(表成绩单[英语]&gt;表成绩单[[#This Row],[英语]]))+1)</f>
        <v>434</v>
      </c>
      <c r="S1173" s="29" cm="1">
        <f t="array" ref="S1173">IF(表成绩单[[#This Row],[物理]]="","",SUMPRODUCT((表成绩单[考试日期]=表成绩单[[#This Row],[考试日期]])*(表成绩单[物理]&lt;9E+307)*(表成绩单[物理]&gt;表成绩单[[#This Row],[物理]]))+1)</f>
        <v>237</v>
      </c>
      <c r="T1173" s="29" cm="1">
        <f t="array" ref="T1173">IF(表成绩单[[#This Row],[化学]]="","",SUMPRODUCT((表成绩单[考试日期]=表成绩单[[#This Row],[考试日期]])*(表成绩单[化学]&lt;9E+307)*(表成绩单[化学]&gt;表成绩单[[#This Row],[化学]]))+1)</f>
        <v>286</v>
      </c>
      <c r="U1173" s="29" cm="1">
        <f t="array" ref="U1173">IF(表成绩单[[#This Row],[政治]]="","",SUMPRODUCT((表成绩单[考试日期]=表成绩单[[#This Row],[考试日期]])*(表成绩单[政治]&lt;9E+307)*(表成绩单[政治]&gt;表成绩单[[#This Row],[政治]]))+1)</f>
        <v>264</v>
      </c>
      <c r="V1173" s="29" cm="1">
        <f t="array" ref="V1173">IF(表成绩单[[#This Row],[历史]]="","",SUMPRODUCT((表成绩单[考试日期]=表成绩单[[#This Row],[考试日期]])*(表成绩单[历史]&lt;9E+307)*(表成绩单[历史]&gt;表成绩单[[#This Row],[历史]]))+1)</f>
        <v>329</v>
      </c>
      <c r="W1173" s="29" cm="1">
        <f t="array" ref="W1173">IF(表成绩单[[#This Row],[总分]]="","",SUMPRODUCT((表成绩单[考试日期]=表成绩单[[#This Row],[考试日期]])*(表成绩单[总分]&lt;9E+307)*(表成绩单[总分]&gt;表成绩单[[#This Row],[总分]]))+1)</f>
        <v>367</v>
      </c>
    </row>
    <row r="1174" ht="28" customHeight="1" spans="4:23">
      <c r="D1174" s="31">
        <v>46003</v>
      </c>
      <c r="E1174" s="29">
        <v>19171095</v>
      </c>
      <c r="F1174" s="29" t="s">
        <v>67</v>
      </c>
      <c r="G1174" s="29" t="s">
        <v>430</v>
      </c>
      <c r="H1174" s="29">
        <v>102</v>
      </c>
      <c r="I1174" s="29">
        <v>65</v>
      </c>
      <c r="J1174" s="29">
        <v>71.5</v>
      </c>
      <c r="K1174" s="29">
        <v>79</v>
      </c>
      <c r="L1174" s="29">
        <v>88</v>
      </c>
      <c r="M1174" s="29">
        <v>71</v>
      </c>
      <c r="N1174" s="29">
        <v>74</v>
      </c>
      <c r="O1174" s="32">
        <v>550.5</v>
      </c>
      <c r="P1174" s="29" cm="1">
        <f t="array" ref="P1174">IF(表成绩单[[#This Row],[语文]]="","",SUMPRODUCT((表成绩单[考试日期]=表成绩单[[#This Row],[考试日期]])*(表成绩单[语文]&lt;9E+307)*(表成绩单[语文]&gt;表成绩单[[#This Row],[语文]]))+1)</f>
        <v>366</v>
      </c>
      <c r="Q1174" s="29" cm="1">
        <f t="array" ref="Q1174">IF(表成绩单[[#This Row],[数学]]="","",SUMPRODUCT((表成绩单[考试日期]=表成绩单[[#This Row],[考试日期]])*(表成绩单[数学]&lt;9E+307)*(表成绩单[数学]&gt;表成绩单[[#This Row],[数学]]))+1)</f>
        <v>479</v>
      </c>
      <c r="R1174" s="29" cm="1">
        <f t="array" ref="R1174">IF(表成绩单[[#This Row],[英语]]="","",SUMPRODUCT((表成绩单[考试日期]=表成绩单[[#This Row],[考试日期]])*(表成绩单[英语]&lt;9E+307)*(表成绩单[英语]&gt;表成绩单[[#This Row],[英语]]))+1)</f>
        <v>396</v>
      </c>
      <c r="S1174" s="29" cm="1">
        <f t="array" ref="S1174">IF(表成绩单[[#This Row],[物理]]="","",SUMPRODUCT((表成绩单[考试日期]=表成绩单[[#This Row],[考试日期]])*(表成绩单[物理]&lt;9E+307)*(表成绩单[物理]&gt;表成绩单[[#This Row],[物理]]))+1)</f>
        <v>432</v>
      </c>
      <c r="T1174" s="29" cm="1">
        <f t="array" ref="T1174">IF(表成绩单[[#This Row],[化学]]="","",SUMPRODUCT((表成绩单[考试日期]=表成绩单[[#This Row],[考试日期]])*(表成绩单[化学]&lt;9E+307)*(表成绩单[化学]&gt;表成绩单[[#This Row],[化学]]))+1)</f>
        <v>175</v>
      </c>
      <c r="U1174" s="29" cm="1">
        <f t="array" ref="U1174">IF(表成绩单[[#This Row],[政治]]="","",SUMPRODUCT((表成绩单[考试日期]=表成绩单[[#This Row],[考试日期]])*(表成绩单[政治]&lt;9E+307)*(表成绩单[政治]&gt;表成绩单[[#This Row],[政治]]))+1)</f>
        <v>168</v>
      </c>
      <c r="V1174" s="29" cm="1">
        <f t="array" ref="V1174">IF(表成绩单[[#This Row],[历史]]="","",SUMPRODUCT((表成绩单[考试日期]=表成绩单[[#This Row],[考试日期]])*(表成绩单[历史]&lt;9E+307)*(表成绩单[历史]&gt;表成绩单[[#This Row],[历史]]))+1)</f>
        <v>371</v>
      </c>
      <c r="W1174" s="29" cm="1">
        <f t="array" ref="W1174">IF(表成绩单[[#This Row],[总分]]="","",SUMPRODUCT((表成绩单[考试日期]=表成绩单[[#This Row],[考试日期]])*(表成绩单[总分]&lt;9E+307)*(表成绩单[总分]&gt;表成绩单[[#This Row],[总分]]))+1)</f>
        <v>369</v>
      </c>
    </row>
    <row r="1175" ht="28" customHeight="1" spans="4:23">
      <c r="D1175" s="31">
        <v>46003</v>
      </c>
      <c r="E1175" s="29">
        <v>19175627</v>
      </c>
      <c r="F1175" s="29" t="s">
        <v>57</v>
      </c>
      <c r="G1175" s="29" t="s">
        <v>522</v>
      </c>
      <c r="H1175" s="29">
        <v>94</v>
      </c>
      <c r="I1175" s="29">
        <v>90</v>
      </c>
      <c r="J1175" s="29">
        <v>55.5</v>
      </c>
      <c r="K1175" s="29">
        <v>90</v>
      </c>
      <c r="L1175" s="29">
        <v>88</v>
      </c>
      <c r="M1175" s="29">
        <v>55</v>
      </c>
      <c r="N1175" s="29">
        <v>78</v>
      </c>
      <c r="O1175" s="32">
        <v>550.5</v>
      </c>
      <c r="P1175" s="29" cm="1">
        <f t="array" ref="P1175">IF(表成绩单[[#This Row],[语文]]="","",SUMPRODUCT((表成绩单[考试日期]=表成绩单[[#This Row],[考试日期]])*(表成绩单[语文]&lt;9E+307)*(表成绩单[语文]&gt;表成绩单[[#This Row],[语文]]))+1)</f>
        <v>537</v>
      </c>
      <c r="Q1175" s="29" cm="1">
        <f t="array" ref="Q1175">IF(表成绩单[[#This Row],[数学]]="","",SUMPRODUCT((表成绩单[考试日期]=表成绩单[[#This Row],[考试日期]])*(表成绩单[数学]&lt;9E+307)*(表成绩单[数学]&gt;表成绩单[[#This Row],[数学]]))+1)</f>
        <v>196</v>
      </c>
      <c r="R1175" s="29" cm="1">
        <f t="array" ref="R1175">IF(表成绩单[[#This Row],[英语]]="","",SUMPRODUCT((表成绩单[考试日期]=表成绩单[[#This Row],[考试日期]])*(表成绩单[英语]&lt;9E+307)*(表成绩单[英语]&gt;表成绩单[[#This Row],[英语]]))+1)</f>
        <v>563</v>
      </c>
      <c r="S1175" s="29" cm="1">
        <f t="array" ref="S1175">IF(表成绩单[[#This Row],[物理]]="","",SUMPRODUCT((表成绩单[考试日期]=表成绩单[[#This Row],[考试日期]])*(表成绩单[物理]&lt;9E+307)*(表成绩单[物理]&gt;表成绩单[[#This Row],[物理]]))+1)</f>
        <v>237</v>
      </c>
      <c r="T1175" s="29" cm="1">
        <f t="array" ref="T1175">IF(表成绩单[[#This Row],[化学]]="","",SUMPRODUCT((表成绩单[考试日期]=表成绩单[[#This Row],[考试日期]])*(表成绩单[化学]&lt;9E+307)*(表成绩单[化学]&gt;表成绩单[[#This Row],[化学]]))+1)</f>
        <v>175</v>
      </c>
      <c r="U1175" s="29" cm="1">
        <f t="array" ref="U1175">IF(表成绩单[[#This Row],[政治]]="","",SUMPRODUCT((表成绩单[考试日期]=表成绩单[[#This Row],[考试日期]])*(表成绩单[政治]&lt;9E+307)*(表成绩单[政治]&gt;表成绩单[[#This Row],[政治]]))+1)</f>
        <v>513</v>
      </c>
      <c r="V1175" s="29" cm="1">
        <f t="array" ref="V1175">IF(表成绩单[[#This Row],[历史]]="","",SUMPRODUCT((表成绩单[考试日期]=表成绩单[[#This Row],[考试日期]])*(表成绩单[历史]&lt;9E+307)*(表成绩单[历史]&gt;表成绩单[[#This Row],[历史]]))+1)</f>
        <v>190</v>
      </c>
      <c r="W1175" s="29" cm="1">
        <f t="array" ref="W1175">IF(表成绩单[[#This Row],[总分]]="","",SUMPRODUCT((表成绩单[考试日期]=表成绩单[[#This Row],[考试日期]])*(表成绩单[总分]&lt;9E+307)*(表成绩单[总分]&gt;表成绩单[[#This Row],[总分]]))+1)</f>
        <v>369</v>
      </c>
    </row>
    <row r="1176" ht="28" customHeight="1" spans="4:23">
      <c r="D1176" s="31">
        <v>46003</v>
      </c>
      <c r="E1176" s="29">
        <v>19175632</v>
      </c>
      <c r="F1176" s="29" t="s">
        <v>66</v>
      </c>
      <c r="G1176" s="29" t="s">
        <v>313</v>
      </c>
      <c r="H1176" s="29">
        <v>100</v>
      </c>
      <c r="I1176" s="29">
        <v>71</v>
      </c>
      <c r="J1176" s="29">
        <v>74.5</v>
      </c>
      <c r="K1176" s="29">
        <v>90</v>
      </c>
      <c r="L1176" s="29">
        <v>74</v>
      </c>
      <c r="M1176" s="29">
        <v>61</v>
      </c>
      <c r="N1176" s="29">
        <v>80</v>
      </c>
      <c r="O1176" s="32">
        <v>550.5</v>
      </c>
      <c r="P1176" s="29" cm="1">
        <f t="array" ref="P1176">IF(表成绩单[[#This Row],[语文]]="","",SUMPRODUCT((表成绩单[考试日期]=表成绩单[[#This Row],[考试日期]])*(表成绩单[语文]&lt;9E+307)*(表成绩单[语文]&gt;表成绩单[[#This Row],[语文]]))+1)</f>
        <v>414</v>
      </c>
      <c r="Q1176" s="29" cm="1">
        <f t="array" ref="Q1176">IF(表成绩单[[#This Row],[数学]]="","",SUMPRODUCT((表成绩单[考试日期]=表成绩单[[#This Row],[考试日期]])*(表成绩单[数学]&lt;9E+307)*(表成绩单[数学]&gt;表成绩单[[#This Row],[数学]]))+1)</f>
        <v>412</v>
      </c>
      <c r="R1176" s="29" cm="1">
        <f t="array" ref="R1176">IF(表成绩单[[#This Row],[英语]]="","",SUMPRODUCT((表成绩单[考试日期]=表成绩单[[#This Row],[考试日期]])*(表成绩单[英语]&lt;9E+307)*(表成绩单[英语]&gt;表成绩单[[#This Row],[英语]]))+1)</f>
        <v>328</v>
      </c>
      <c r="S1176" s="29" cm="1">
        <f t="array" ref="S1176">IF(表成绩单[[#This Row],[物理]]="","",SUMPRODUCT((表成绩单[考试日期]=表成绩单[[#This Row],[考试日期]])*(表成绩单[物理]&lt;9E+307)*(表成绩单[物理]&gt;表成绩单[[#This Row],[物理]]))+1)</f>
        <v>237</v>
      </c>
      <c r="T1176" s="29" cm="1">
        <f t="array" ref="T1176">IF(表成绩单[[#This Row],[化学]]="","",SUMPRODUCT((表成绩单[考试日期]=表成绩单[[#This Row],[考试日期]])*(表成绩单[化学]&lt;9E+307)*(表成绩单[化学]&gt;表成绩单[[#This Row],[化学]]))+1)</f>
        <v>440</v>
      </c>
      <c r="U1176" s="29" cm="1">
        <f t="array" ref="U1176">IF(表成绩单[[#This Row],[政治]]="","",SUMPRODUCT((表成绩单[考试日期]=表成绩单[[#This Row],[考试日期]])*(表成绩单[政治]&lt;9E+307)*(表成绩单[政治]&gt;表成绩单[[#This Row],[政治]]))+1)</f>
        <v>400</v>
      </c>
      <c r="V1176" s="29" cm="1">
        <f t="array" ref="V1176">IF(表成绩单[[#This Row],[历史]]="","",SUMPRODUCT((表成绩单[考试日期]=表成绩单[[#This Row],[考试日期]])*(表成绩单[历史]&lt;9E+307)*(表成绩单[历史]&gt;表成绩单[[#This Row],[历史]]))+1)</f>
        <v>116</v>
      </c>
      <c r="W1176" s="29" cm="1">
        <f t="array" ref="W1176">IF(表成绩单[[#This Row],[总分]]="","",SUMPRODUCT((表成绩单[考试日期]=表成绩单[[#This Row],[考试日期]])*(表成绩单[总分]&lt;9E+307)*(表成绩单[总分]&gt;表成绩单[[#This Row],[总分]]))+1)</f>
        <v>369</v>
      </c>
    </row>
    <row r="1177" ht="28" customHeight="1" spans="4:23">
      <c r="D1177" s="31">
        <v>46003</v>
      </c>
      <c r="E1177" s="29">
        <v>19176860</v>
      </c>
      <c r="F1177" s="29" t="s">
        <v>71</v>
      </c>
      <c r="G1177" s="29" t="s">
        <v>346</v>
      </c>
      <c r="H1177" s="29">
        <v>110</v>
      </c>
      <c r="I1177" s="29">
        <v>67</v>
      </c>
      <c r="J1177" s="29">
        <v>74.5</v>
      </c>
      <c r="K1177" s="29">
        <v>95</v>
      </c>
      <c r="L1177" s="29">
        <v>78</v>
      </c>
      <c r="M1177" s="29">
        <v>59</v>
      </c>
      <c r="N1177" s="29">
        <v>67</v>
      </c>
      <c r="O1177" s="32">
        <v>550.5</v>
      </c>
      <c r="P1177" s="29" cm="1">
        <f t="array" ref="P1177">IF(表成绩单[[#This Row],[语文]]="","",SUMPRODUCT((表成绩单[考试日期]=表成绩单[[#This Row],[考试日期]])*(表成绩单[语文]&lt;9E+307)*(表成绩单[语文]&gt;表成绩单[[#This Row],[语文]]))+1)</f>
        <v>84</v>
      </c>
      <c r="Q1177" s="29" cm="1">
        <f t="array" ref="Q1177">IF(表成绩单[[#This Row],[数学]]="","",SUMPRODUCT((表成绩单[考试日期]=表成绩单[[#This Row],[考试日期]])*(表成绩单[数学]&lt;9E+307)*(表成绩单[数学]&gt;表成绩单[[#This Row],[数学]]))+1)</f>
        <v>459</v>
      </c>
      <c r="R1177" s="29" cm="1">
        <f t="array" ref="R1177">IF(表成绩单[[#This Row],[英语]]="","",SUMPRODUCT((表成绩单[考试日期]=表成绩单[[#This Row],[考试日期]])*(表成绩单[英语]&lt;9E+307)*(表成绩单[英语]&gt;表成绩单[[#This Row],[英语]]))+1)</f>
        <v>328</v>
      </c>
      <c r="S1177" s="29" cm="1">
        <f t="array" ref="S1177">IF(表成绩单[[#This Row],[物理]]="","",SUMPRODUCT((表成绩单[考试日期]=表成绩单[[#This Row],[考试日期]])*(表成绩单[物理]&lt;9E+307)*(表成绩单[物理]&gt;表成绩单[[#This Row],[物理]]))+1)</f>
        <v>97</v>
      </c>
      <c r="T1177" s="29" cm="1">
        <f t="array" ref="T1177">IF(表成绩单[[#This Row],[化学]]="","",SUMPRODUCT((表成绩单[考试日期]=表成绩单[[#This Row],[考试日期]])*(表成绩单[化学]&lt;9E+307)*(表成绩单[化学]&gt;表成绩单[[#This Row],[化学]]))+1)</f>
        <v>373</v>
      </c>
      <c r="U1177" s="29" cm="1">
        <f t="array" ref="U1177">IF(表成绩单[[#This Row],[政治]]="","",SUMPRODUCT((表成绩单[考试日期]=表成绩单[[#This Row],[考试日期]])*(表成绩单[政治]&lt;9E+307)*(表成绩单[政治]&gt;表成绩单[[#This Row],[政治]]))+1)</f>
        <v>435</v>
      </c>
      <c r="V1177" s="29" cm="1">
        <f t="array" ref="V1177">IF(表成绩单[[#This Row],[历史]]="","",SUMPRODUCT((表成绩单[考试日期]=表成绩单[[#This Row],[考试日期]])*(表成绩单[历史]&lt;9E+307)*(表成绩单[历史]&gt;表成绩单[[#This Row],[历史]]))+1)</f>
        <v>549</v>
      </c>
      <c r="W1177" s="29" cm="1">
        <f t="array" ref="W1177">IF(表成绩单[[#This Row],[总分]]="","",SUMPRODUCT((表成绩单[考试日期]=表成绩单[[#This Row],[考试日期]])*(表成绩单[总分]&lt;9E+307)*(表成绩单[总分]&gt;表成绩单[[#This Row],[总分]]))+1)</f>
        <v>369</v>
      </c>
    </row>
    <row r="1178" ht="28" customHeight="1" spans="4:23">
      <c r="D1178" s="31">
        <v>46003</v>
      </c>
      <c r="E1178" s="29">
        <v>19176863</v>
      </c>
      <c r="F1178" s="29" t="s">
        <v>71</v>
      </c>
      <c r="G1178" s="29" t="s">
        <v>538</v>
      </c>
      <c r="H1178" s="29">
        <v>109</v>
      </c>
      <c r="I1178" s="29">
        <v>69</v>
      </c>
      <c r="J1178" s="29">
        <v>79</v>
      </c>
      <c r="K1178" s="29">
        <v>89</v>
      </c>
      <c r="L1178" s="29">
        <v>70</v>
      </c>
      <c r="M1178" s="29">
        <v>59</v>
      </c>
      <c r="N1178" s="29">
        <v>75</v>
      </c>
      <c r="O1178" s="32">
        <v>550</v>
      </c>
      <c r="P1178" s="29" cm="1">
        <f t="array" ref="P1178">IF(表成绩单[[#This Row],[语文]]="","",SUMPRODUCT((表成绩单[考试日期]=表成绩单[[#This Row],[考试日期]])*(表成绩单[语文]&lt;9E+307)*(表成绩单[语文]&gt;表成绩单[[#This Row],[语文]]))+1)</f>
        <v>111</v>
      </c>
      <c r="Q1178" s="29" cm="1">
        <f t="array" ref="Q1178">IF(表成绩单[[#This Row],[数学]]="","",SUMPRODUCT((表成绩单[考试日期]=表成绩单[[#This Row],[考试日期]])*(表成绩单[数学]&lt;9E+307)*(表成绩单[数学]&gt;表成绩单[[#This Row],[数学]]))+1)</f>
        <v>437</v>
      </c>
      <c r="R1178" s="29" cm="1">
        <f t="array" ref="R1178">IF(表成绩单[[#This Row],[英语]]="","",SUMPRODUCT((表成绩单[考试日期]=表成绩单[[#This Row],[考试日期]])*(表成绩单[英语]&lt;9E+307)*(表成绩单[英语]&gt;表成绩单[[#This Row],[英语]]))+1)</f>
        <v>188</v>
      </c>
      <c r="S1178" s="29" cm="1">
        <f t="array" ref="S1178">IF(表成绩单[[#This Row],[物理]]="","",SUMPRODUCT((表成绩单[考试日期]=表成绩单[[#This Row],[考试日期]])*(表成绩单[物理]&lt;9E+307)*(表成绩单[物理]&gt;表成绩单[[#This Row],[物理]]))+1)</f>
        <v>269</v>
      </c>
      <c r="T1178" s="29" cm="1">
        <f t="array" ref="T1178">IF(表成绩单[[#This Row],[化学]]="","",SUMPRODUCT((表成绩单[考试日期]=表成绩单[[#This Row],[考试日期]])*(表成绩单[化学]&lt;9E+307)*(表成绩单[化学]&gt;表成绩单[[#This Row],[化学]]))+1)</f>
        <v>498</v>
      </c>
      <c r="U1178" s="29" cm="1">
        <f t="array" ref="U1178">IF(表成绩单[[#This Row],[政治]]="","",SUMPRODUCT((表成绩单[考试日期]=表成绩单[[#This Row],[考试日期]])*(表成绩单[政治]&lt;9E+307)*(表成绩单[政治]&gt;表成绩单[[#This Row],[政治]]))+1)</f>
        <v>435</v>
      </c>
      <c r="V1178" s="29" cm="1">
        <f t="array" ref="V1178">IF(表成绩单[[#This Row],[历史]]="","",SUMPRODUCT((表成绩单[考试日期]=表成绩单[[#This Row],[考试日期]])*(表成绩单[历史]&lt;9E+307)*(表成绩单[历史]&gt;表成绩单[[#This Row],[历史]]))+1)</f>
        <v>329</v>
      </c>
      <c r="W1178" s="29" cm="1">
        <f t="array" ref="W1178">IF(表成绩单[[#This Row],[总分]]="","",SUMPRODUCT((表成绩单[考试日期]=表成绩单[[#This Row],[考试日期]])*(表成绩单[总分]&lt;9E+307)*(表成绩单[总分]&gt;表成绩单[[#This Row],[总分]]))+1)</f>
        <v>373</v>
      </c>
    </row>
    <row r="1179" ht="28" customHeight="1" spans="4:23">
      <c r="D1179" s="31">
        <v>46003</v>
      </c>
      <c r="E1179" s="29">
        <v>19178634</v>
      </c>
      <c r="F1179" s="29" t="s">
        <v>25</v>
      </c>
      <c r="G1179" s="29" t="s">
        <v>322</v>
      </c>
      <c r="H1179" s="29">
        <v>107</v>
      </c>
      <c r="I1179" s="29">
        <v>74</v>
      </c>
      <c r="J1179" s="29">
        <v>77.5</v>
      </c>
      <c r="K1179" s="29">
        <v>81</v>
      </c>
      <c r="L1179" s="29">
        <v>80</v>
      </c>
      <c r="M1179" s="29">
        <v>58</v>
      </c>
      <c r="N1179" s="29">
        <v>72</v>
      </c>
      <c r="O1179" s="32">
        <v>549.5</v>
      </c>
      <c r="P1179" s="29" cm="1">
        <f t="array" ref="P1179">IF(表成绩单[[#This Row],[语文]]="","",SUMPRODUCT((表成绩单[考试日期]=表成绩单[[#This Row],[考试日期]])*(表成绩单[语文]&lt;9E+307)*(表成绩单[语文]&gt;表成绩单[[#This Row],[语文]]))+1)</f>
        <v>182</v>
      </c>
      <c r="Q1179" s="29" cm="1">
        <f t="array" ref="Q1179">IF(表成绩单[[#This Row],[数学]]="","",SUMPRODUCT((表成绩单[考试日期]=表成绩单[[#This Row],[考试日期]])*(表成绩单[数学]&lt;9E+307)*(表成绩单[数学]&gt;表成绩单[[#This Row],[数学]]))+1)</f>
        <v>380</v>
      </c>
      <c r="R1179" s="29" cm="1">
        <f t="array" ref="R1179">IF(表成绩单[[#This Row],[英语]]="","",SUMPRODUCT((表成绩单[考试日期]=表成绩单[[#This Row],[考试日期]])*(表成绩单[英语]&lt;9E+307)*(表成绩单[英语]&gt;表成绩单[[#This Row],[英语]]))+1)</f>
        <v>230</v>
      </c>
      <c r="S1179" s="29" cm="1">
        <f t="array" ref="S1179">IF(表成绩单[[#This Row],[物理]]="","",SUMPRODUCT((表成绩单[考试日期]=表成绩单[[#This Row],[考试日期]])*(表成绩单[物理]&lt;9E+307)*(表成绩单[物理]&gt;表成绩单[[#This Row],[物理]]))+1)</f>
        <v>405</v>
      </c>
      <c r="T1179" s="29" cm="1">
        <f t="array" ref="T1179">IF(表成绩单[[#This Row],[化学]]="","",SUMPRODUCT((表成绩单[考试日期]=表成绩单[[#This Row],[考试日期]])*(表成绩单[化学]&lt;9E+307)*(表成绩单[化学]&gt;表成绩单[[#This Row],[化学]]))+1)</f>
        <v>327</v>
      </c>
      <c r="U1179" s="29" cm="1">
        <f t="array" ref="U1179">IF(表成绩单[[#This Row],[政治]]="","",SUMPRODUCT((表成绩单[考试日期]=表成绩单[[#This Row],[考试日期]])*(表成绩单[政治]&lt;9E+307)*(表成绩单[政治]&gt;表成绩单[[#This Row],[政治]]))+1)</f>
        <v>454</v>
      </c>
      <c r="V1179" s="29" cm="1">
        <f t="array" ref="V1179">IF(表成绩单[[#This Row],[历史]]="","",SUMPRODUCT((表成绩单[考试日期]=表成绩单[[#This Row],[考试日期]])*(表成绩单[历史]&lt;9E+307)*(表成绩单[历史]&gt;表成绩单[[#This Row],[历史]]))+1)</f>
        <v>439</v>
      </c>
      <c r="W1179" s="29" cm="1">
        <f t="array" ref="W1179">IF(表成绩单[[#This Row],[总分]]="","",SUMPRODUCT((表成绩单[考试日期]=表成绩单[[#This Row],[考试日期]])*(表成绩单[总分]&lt;9E+307)*(表成绩单[总分]&gt;表成绩单[[#This Row],[总分]]))+1)</f>
        <v>374</v>
      </c>
    </row>
    <row r="1180" ht="28" customHeight="1" spans="4:23">
      <c r="D1180" s="31">
        <v>46003</v>
      </c>
      <c r="E1180" s="29">
        <v>19171087</v>
      </c>
      <c r="F1180" s="29" t="s">
        <v>67</v>
      </c>
      <c r="G1180" s="29" t="s">
        <v>554</v>
      </c>
      <c r="H1180" s="29">
        <v>94</v>
      </c>
      <c r="I1180" s="29">
        <v>95</v>
      </c>
      <c r="J1180" s="29">
        <v>66</v>
      </c>
      <c r="K1180" s="29">
        <v>81</v>
      </c>
      <c r="L1180" s="29">
        <v>77</v>
      </c>
      <c r="M1180" s="29">
        <v>58</v>
      </c>
      <c r="N1180" s="29">
        <v>78</v>
      </c>
      <c r="O1180" s="32">
        <v>549</v>
      </c>
      <c r="P1180" s="29" cm="1">
        <f t="array" ref="P1180">IF(表成绩单[[#This Row],[语文]]="","",SUMPRODUCT((表成绩单[考试日期]=表成绩单[[#This Row],[考试日期]])*(表成绩单[语文]&lt;9E+307)*(表成绩单[语文]&gt;表成绩单[[#This Row],[语文]]))+1)</f>
        <v>537</v>
      </c>
      <c r="Q1180" s="29" cm="1">
        <f t="array" ref="Q1180">IF(表成绩单[[#This Row],[数学]]="","",SUMPRODUCT((表成绩单[考试日期]=表成绩单[[#This Row],[考试日期]])*(表成绩单[数学]&lt;9E+307)*(表成绩单[数学]&gt;表成绩单[[#This Row],[数学]]))+1)</f>
        <v>122</v>
      </c>
      <c r="R1180" s="29" cm="1">
        <f t="array" ref="R1180">IF(表成绩单[[#This Row],[英语]]="","",SUMPRODUCT((表成绩单[考试日期]=表成绩单[[#This Row],[考试日期]])*(表成绩单[英语]&lt;9E+307)*(表成绩单[英语]&gt;表成绩单[[#This Row],[英语]]))+1)</f>
        <v>467</v>
      </c>
      <c r="S1180" s="29" cm="1">
        <f t="array" ref="S1180">IF(表成绩单[[#This Row],[物理]]="","",SUMPRODUCT((表成绩单[考试日期]=表成绩单[[#This Row],[考试日期]])*(表成绩单[物理]&lt;9E+307)*(表成绩单[物理]&gt;表成绩单[[#This Row],[物理]]))+1)</f>
        <v>405</v>
      </c>
      <c r="T1180" s="29" cm="1">
        <f t="array" ref="T1180">IF(表成绩单[[#This Row],[化学]]="","",SUMPRODUCT((表成绩单[考试日期]=表成绩单[[#This Row],[考试日期]])*(表成绩单[化学]&lt;9E+307)*(表成绩单[化学]&gt;表成绩单[[#This Row],[化学]]))+1)</f>
        <v>388</v>
      </c>
      <c r="U1180" s="29" cm="1">
        <f t="array" ref="U1180">IF(表成绩单[[#This Row],[政治]]="","",SUMPRODUCT((表成绩单[考试日期]=表成绩单[[#This Row],[考试日期]])*(表成绩单[政治]&lt;9E+307)*(表成绩单[政治]&gt;表成绩单[[#This Row],[政治]]))+1)</f>
        <v>454</v>
      </c>
      <c r="V1180" s="29" cm="1">
        <f t="array" ref="V1180">IF(表成绩单[[#This Row],[历史]]="","",SUMPRODUCT((表成绩单[考试日期]=表成绩单[[#This Row],[考试日期]])*(表成绩单[历史]&lt;9E+307)*(表成绩单[历史]&gt;表成绩单[[#This Row],[历史]]))+1)</f>
        <v>190</v>
      </c>
      <c r="W1180" s="29" cm="1">
        <f t="array" ref="W1180">IF(表成绩单[[#This Row],[总分]]="","",SUMPRODUCT((表成绩单[考试日期]=表成绩单[[#This Row],[考试日期]])*(表成绩单[总分]&lt;9E+307)*(表成绩单[总分]&gt;表成绩单[[#This Row],[总分]]))+1)</f>
        <v>375</v>
      </c>
    </row>
    <row r="1181" ht="28" customHeight="1" spans="4:23">
      <c r="D1181" s="31">
        <v>46003</v>
      </c>
      <c r="E1181" s="29">
        <v>19175392</v>
      </c>
      <c r="F1181" s="29" t="s">
        <v>74</v>
      </c>
      <c r="G1181" s="29" t="s">
        <v>463</v>
      </c>
      <c r="H1181" s="29">
        <v>93</v>
      </c>
      <c r="I1181" s="29">
        <v>71</v>
      </c>
      <c r="J1181" s="29">
        <v>82</v>
      </c>
      <c r="K1181" s="29">
        <v>89</v>
      </c>
      <c r="L1181" s="29">
        <v>87</v>
      </c>
      <c r="M1181" s="29">
        <v>54</v>
      </c>
      <c r="N1181" s="29">
        <v>73</v>
      </c>
      <c r="O1181" s="32">
        <v>549</v>
      </c>
      <c r="P1181" s="29" cm="1">
        <f t="array" ref="P1181">IF(表成绩单[[#This Row],[语文]]="","",SUMPRODUCT((表成绩单[考试日期]=表成绩单[[#This Row],[考试日期]])*(表成绩单[语文]&lt;9E+307)*(表成绩单[语文]&gt;表成绩单[[#This Row],[语文]]))+1)</f>
        <v>555</v>
      </c>
      <c r="Q1181" s="29" cm="1">
        <f t="array" ref="Q1181">IF(表成绩单[[#This Row],[数学]]="","",SUMPRODUCT((表成绩单[考试日期]=表成绩单[[#This Row],[考试日期]])*(表成绩单[数学]&lt;9E+307)*(表成绩单[数学]&gt;表成绩单[[#This Row],[数学]]))+1)</f>
        <v>412</v>
      </c>
      <c r="R1181" s="29" cm="1">
        <f t="array" ref="R1181">IF(表成绩单[[#This Row],[英语]]="","",SUMPRODUCT((表成绩单[考试日期]=表成绩单[[#This Row],[考试日期]])*(表成绩单[英语]&lt;9E+307)*(表成绩单[英语]&gt;表成绩单[[#This Row],[英语]]))+1)</f>
        <v>96</v>
      </c>
      <c r="S1181" s="29" cm="1">
        <f t="array" ref="S1181">IF(表成绩单[[#This Row],[物理]]="","",SUMPRODUCT((表成绩单[考试日期]=表成绩单[[#This Row],[考试日期]])*(表成绩单[物理]&lt;9E+307)*(表成绩单[物理]&gt;表成绩单[[#This Row],[物理]]))+1)</f>
        <v>269</v>
      </c>
      <c r="T1181" s="29" cm="1">
        <f t="array" ref="T1181">IF(表成绩单[[#This Row],[化学]]="","",SUMPRODUCT((表成绩单[考试日期]=表成绩单[[#This Row],[考试日期]])*(表成绩单[化学]&lt;9E+307)*(表成绩单[化学]&gt;表成绩单[[#This Row],[化学]]))+1)</f>
        <v>201</v>
      </c>
      <c r="U1181" s="29" cm="1">
        <f t="array" ref="U1181">IF(表成绩单[[#This Row],[政治]]="","",SUMPRODUCT((表成绩单[考试日期]=表成绩单[[#This Row],[考试日期]])*(表成绩单[政治]&lt;9E+307)*(表成绩单[政治]&gt;表成绩单[[#This Row],[政治]]))+1)</f>
        <v>524</v>
      </c>
      <c r="V1181" s="29" cm="1">
        <f t="array" ref="V1181">IF(表成绩单[[#This Row],[历史]]="","",SUMPRODUCT((表成绩单[考试日期]=表成绩单[[#This Row],[考试日期]])*(表成绩单[历史]&lt;9E+307)*(表成绩单[历史]&gt;表成绩单[[#This Row],[历史]]))+1)</f>
        <v>403</v>
      </c>
      <c r="W1181" s="29" cm="1">
        <f t="array" ref="W1181">IF(表成绩单[[#This Row],[总分]]="","",SUMPRODUCT((表成绩单[考试日期]=表成绩单[[#This Row],[考试日期]])*(表成绩单[总分]&lt;9E+307)*(表成绩单[总分]&gt;表成绩单[[#This Row],[总分]]))+1)</f>
        <v>375</v>
      </c>
    </row>
    <row r="1182" ht="28" customHeight="1" spans="4:23">
      <c r="D1182" s="31">
        <v>46003</v>
      </c>
      <c r="E1182" s="29">
        <v>26750296</v>
      </c>
      <c r="F1182" s="29" t="s">
        <v>66</v>
      </c>
      <c r="G1182" s="29" t="s">
        <v>506</v>
      </c>
      <c r="H1182" s="29">
        <v>105</v>
      </c>
      <c r="I1182" s="29">
        <v>66</v>
      </c>
      <c r="J1182" s="29">
        <v>67</v>
      </c>
      <c r="K1182" s="29">
        <v>87</v>
      </c>
      <c r="L1182" s="29">
        <v>79</v>
      </c>
      <c r="M1182" s="29">
        <v>71</v>
      </c>
      <c r="N1182" s="29">
        <v>74</v>
      </c>
      <c r="O1182" s="32">
        <v>549</v>
      </c>
      <c r="P1182" s="29" cm="1">
        <f t="array" ref="P1182">IF(表成绩单[[#This Row],[语文]]="","",SUMPRODUCT((表成绩单[考试日期]=表成绩单[[#This Row],[考试日期]])*(表成绩单[语文]&lt;9E+307)*(表成绩单[语文]&gt;表成绩单[[#This Row],[语文]]))+1)</f>
        <v>247</v>
      </c>
      <c r="Q1182" s="29" cm="1">
        <f t="array" ref="Q1182">IF(表成绩单[[#This Row],[数学]]="","",SUMPRODUCT((表成绩单[考试日期]=表成绩单[[#This Row],[考试日期]])*(表成绩单[数学]&lt;9E+307)*(表成绩单[数学]&gt;表成绩单[[#This Row],[数学]]))+1)</f>
        <v>467</v>
      </c>
      <c r="R1182" s="29" cm="1">
        <f t="array" ref="R1182">IF(表成绩单[[#This Row],[英语]]="","",SUMPRODUCT((表成绩单[考试日期]=表成绩单[[#This Row],[考试日期]])*(表成绩单[英语]&lt;9E+307)*(表成绩单[英语]&gt;表成绩单[[#This Row],[英语]]))+1)</f>
        <v>460</v>
      </c>
      <c r="S1182" s="29" cm="1">
        <f t="array" ref="S1182">IF(表成绩单[[#This Row],[物理]]="","",SUMPRODUCT((表成绩单[考试日期]=表成绩单[[#This Row],[考试日期]])*(表成绩单[物理]&lt;9E+307)*(表成绩单[物理]&gt;表成绩单[[#This Row],[物理]]))+1)</f>
        <v>306</v>
      </c>
      <c r="T1182" s="29" cm="1">
        <f t="array" ref="T1182">IF(表成绩单[[#This Row],[化学]]="","",SUMPRODUCT((表成绩单[考试日期]=表成绩单[[#This Row],[考试日期]])*(表成绩单[化学]&lt;9E+307)*(表成绩单[化学]&gt;表成绩单[[#This Row],[化学]]))+1)</f>
        <v>351</v>
      </c>
      <c r="U1182" s="29" cm="1">
        <f t="array" ref="U1182">IF(表成绩单[[#This Row],[政治]]="","",SUMPRODUCT((表成绩单[考试日期]=表成绩单[[#This Row],[考试日期]])*(表成绩单[政治]&lt;9E+307)*(表成绩单[政治]&gt;表成绩单[[#This Row],[政治]]))+1)</f>
        <v>168</v>
      </c>
      <c r="V1182" s="29" cm="1">
        <f t="array" ref="V1182">IF(表成绩单[[#This Row],[历史]]="","",SUMPRODUCT((表成绩单[考试日期]=表成绩单[[#This Row],[考试日期]])*(表成绩单[历史]&lt;9E+307)*(表成绩单[历史]&gt;表成绩单[[#This Row],[历史]]))+1)</f>
        <v>371</v>
      </c>
      <c r="W1182" s="29" cm="1">
        <f t="array" ref="W1182">IF(表成绩单[[#This Row],[总分]]="","",SUMPRODUCT((表成绩单[考试日期]=表成绩单[[#This Row],[考试日期]])*(表成绩单[总分]&lt;9E+307)*(表成绩单[总分]&gt;表成绩单[[#This Row],[总分]]))+1)</f>
        <v>375</v>
      </c>
    </row>
    <row r="1183" ht="28" customHeight="1" spans="4:23">
      <c r="D1183" s="31">
        <v>46003</v>
      </c>
      <c r="E1183" s="29">
        <v>19174810</v>
      </c>
      <c r="F1183" s="29" t="s">
        <v>69</v>
      </c>
      <c r="G1183" s="29" t="s">
        <v>485</v>
      </c>
      <c r="H1183" s="29">
        <v>102</v>
      </c>
      <c r="I1183" s="29">
        <v>81</v>
      </c>
      <c r="J1183" s="29">
        <v>60.5</v>
      </c>
      <c r="K1183" s="29">
        <v>91</v>
      </c>
      <c r="L1183" s="29">
        <v>89</v>
      </c>
      <c r="M1183" s="29">
        <v>61</v>
      </c>
      <c r="N1183" s="29">
        <v>64</v>
      </c>
      <c r="O1183" s="32">
        <v>548.5</v>
      </c>
      <c r="P1183" s="29" cm="1">
        <f t="array" ref="P1183">IF(表成绩单[[#This Row],[语文]]="","",SUMPRODUCT((表成绩单[考试日期]=表成绩单[[#This Row],[考试日期]])*(表成绩单[语文]&lt;9E+307)*(表成绩单[语文]&gt;表成绩单[[#This Row],[语文]]))+1)</f>
        <v>366</v>
      </c>
      <c r="Q1183" s="29" cm="1">
        <f t="array" ref="Q1183">IF(表成绩单[[#This Row],[数学]]="","",SUMPRODUCT((表成绩单[考试日期]=表成绩单[[#This Row],[考试日期]])*(表成绩单[数学]&lt;9E+307)*(表成绩单[数学]&gt;表成绩单[[#This Row],[数学]]))+1)</f>
        <v>302</v>
      </c>
      <c r="R1183" s="29" cm="1">
        <f t="array" ref="R1183">IF(表成绩单[[#This Row],[英语]]="","",SUMPRODUCT((表成绩单[考试日期]=表成绩单[[#This Row],[考试日期]])*(表成绩单[英语]&lt;9E+307)*(表成绩单[英语]&gt;表成绩单[[#This Row],[英语]]))+1)</f>
        <v>525</v>
      </c>
      <c r="S1183" s="29" cm="1">
        <f t="array" ref="S1183">IF(表成绩单[[#This Row],[物理]]="","",SUMPRODUCT((表成绩单[考试日期]=表成绩单[[#This Row],[考试日期]])*(表成绩单[物理]&lt;9E+307)*(表成绩单[物理]&gt;表成绩单[[#This Row],[物理]]))+1)</f>
        <v>220</v>
      </c>
      <c r="T1183" s="29" cm="1">
        <f t="array" ref="T1183">IF(表成绩单[[#This Row],[化学]]="","",SUMPRODUCT((表成绩单[考试日期]=表成绩单[[#This Row],[考试日期]])*(表成绩单[化学]&lt;9E+307)*(表成绩单[化学]&gt;表成绩单[[#This Row],[化学]]))+1)</f>
        <v>157</v>
      </c>
      <c r="U1183" s="29" cm="1">
        <f t="array" ref="U1183">IF(表成绩单[[#This Row],[政治]]="","",SUMPRODUCT((表成绩单[考试日期]=表成绩单[[#This Row],[考试日期]])*(表成绩单[政治]&lt;9E+307)*(表成绩单[政治]&gt;表成绩单[[#This Row],[政治]]))+1)</f>
        <v>400</v>
      </c>
      <c r="V1183" s="29" cm="1">
        <f t="array" ref="V1183">IF(表成绩单[[#This Row],[历史]]="","",SUMPRODUCT((表成绩单[考试日期]=表成绩单[[#This Row],[考试日期]])*(表成绩单[历史]&lt;9E+307)*(表成绩单[历史]&gt;表成绩单[[#This Row],[历史]]))+1)</f>
        <v>593</v>
      </c>
      <c r="W1183" s="29" cm="1">
        <f t="array" ref="W1183">IF(表成绩单[[#This Row],[总分]]="","",SUMPRODUCT((表成绩单[考试日期]=表成绩单[[#This Row],[考试日期]])*(表成绩单[总分]&lt;9E+307)*(表成绩单[总分]&gt;表成绩单[[#This Row],[总分]]))+1)</f>
        <v>378</v>
      </c>
    </row>
    <row r="1184" ht="28" customHeight="1" spans="4:23">
      <c r="D1184" s="31">
        <v>46003</v>
      </c>
      <c r="E1184" s="29">
        <v>19177198</v>
      </c>
      <c r="F1184" s="29" t="s">
        <v>70</v>
      </c>
      <c r="G1184" s="29" t="s">
        <v>547</v>
      </c>
      <c r="H1184" s="29">
        <v>99</v>
      </c>
      <c r="I1184" s="29">
        <v>72</v>
      </c>
      <c r="J1184" s="29">
        <v>76.5</v>
      </c>
      <c r="K1184" s="29">
        <v>88</v>
      </c>
      <c r="L1184" s="29">
        <v>80</v>
      </c>
      <c r="M1184" s="29">
        <v>60</v>
      </c>
      <c r="N1184" s="29">
        <v>73</v>
      </c>
      <c r="O1184" s="32">
        <v>548.5</v>
      </c>
      <c r="P1184" s="29" cm="1">
        <f t="array" ref="P1184">IF(表成绩单[[#This Row],[语文]]="","",SUMPRODUCT((表成绩单[考试日期]=表成绩单[[#This Row],[考试日期]])*(表成绩单[语文]&lt;9E+307)*(表成绩单[语文]&gt;表成绩单[[#This Row],[语文]]))+1)</f>
        <v>440</v>
      </c>
      <c r="Q1184" s="29" cm="1">
        <f t="array" ref="Q1184">IF(表成绩单[[#This Row],[数学]]="","",SUMPRODUCT((表成绩单[考试日期]=表成绩单[[#This Row],[考试日期]])*(表成绩单[数学]&lt;9E+307)*(表成绩单[数学]&gt;表成绩单[[#This Row],[数学]]))+1)</f>
        <v>396</v>
      </c>
      <c r="R1184" s="29" cm="1">
        <f t="array" ref="R1184">IF(表成绩单[[#This Row],[英语]]="","",SUMPRODUCT((表成绩单[考试日期]=表成绩单[[#This Row],[考试日期]])*(表成绩单[英语]&lt;9E+307)*(表成绩单[英语]&gt;表成绩单[[#This Row],[英语]]))+1)</f>
        <v>272</v>
      </c>
      <c r="S1184" s="29" cm="1">
        <f t="array" ref="S1184">IF(表成绩单[[#This Row],[物理]]="","",SUMPRODUCT((表成绩单[考试日期]=表成绩单[[#This Row],[考试日期]])*(表成绩单[物理]&lt;9E+307)*(表成绩单[物理]&gt;表成绩单[[#This Row],[物理]]))+1)</f>
        <v>291</v>
      </c>
      <c r="T1184" s="29" cm="1">
        <f t="array" ref="T1184">IF(表成绩单[[#This Row],[化学]]="","",SUMPRODUCT((表成绩单[考试日期]=表成绩单[[#This Row],[考试日期]])*(表成绩单[化学]&lt;9E+307)*(表成绩单[化学]&gt;表成绩单[[#This Row],[化学]]))+1)</f>
        <v>327</v>
      </c>
      <c r="U1184" s="29" cm="1">
        <f t="array" ref="U1184">IF(表成绩单[[#This Row],[政治]]="","",SUMPRODUCT((表成绩单[考试日期]=表成绩单[[#This Row],[考试日期]])*(表成绩单[政治]&lt;9E+307)*(表成绩单[政治]&gt;表成绩单[[#This Row],[政治]]))+1)</f>
        <v>421</v>
      </c>
      <c r="V1184" s="29" cm="1">
        <f t="array" ref="V1184">IF(表成绩单[[#This Row],[历史]]="","",SUMPRODUCT((表成绩单[考试日期]=表成绩单[[#This Row],[考试日期]])*(表成绩单[历史]&lt;9E+307)*(表成绩单[历史]&gt;表成绩单[[#This Row],[历史]]))+1)</f>
        <v>403</v>
      </c>
      <c r="W1184" s="29" cm="1">
        <f t="array" ref="W1184">IF(表成绩单[[#This Row],[总分]]="","",SUMPRODUCT((表成绩单[考试日期]=表成绩单[[#This Row],[考试日期]])*(表成绩单[总分]&lt;9E+307)*(表成绩单[总分]&gt;表成绩单[[#This Row],[总分]]))+1)</f>
        <v>378</v>
      </c>
    </row>
    <row r="1185" ht="28" customHeight="1" spans="4:23">
      <c r="D1185" s="31">
        <v>46003</v>
      </c>
      <c r="E1185" s="29">
        <v>19177667</v>
      </c>
      <c r="F1185" s="29" t="s">
        <v>63</v>
      </c>
      <c r="G1185" s="29" t="s">
        <v>406</v>
      </c>
      <c r="H1185" s="29">
        <v>98</v>
      </c>
      <c r="I1185" s="29">
        <v>83</v>
      </c>
      <c r="J1185" s="29">
        <v>74.5</v>
      </c>
      <c r="K1185" s="29">
        <v>76</v>
      </c>
      <c r="L1185" s="29">
        <v>74</v>
      </c>
      <c r="M1185" s="29">
        <v>65</v>
      </c>
      <c r="N1185" s="29">
        <v>78</v>
      </c>
      <c r="O1185" s="32">
        <v>548.5</v>
      </c>
      <c r="P1185" s="29" cm="1">
        <f t="array" ref="P1185">IF(表成绩单[[#This Row],[语文]]="","",SUMPRODUCT((表成绩单[考试日期]=表成绩单[[#This Row],[考试日期]])*(表成绩单[语文]&lt;9E+307)*(表成绩单[语文]&gt;表成绩单[[#This Row],[语文]]))+1)</f>
        <v>463</v>
      </c>
      <c r="Q1185" s="29" cm="1">
        <f t="array" ref="Q1185">IF(表成绩单[[#This Row],[数学]]="","",SUMPRODUCT((表成绩单[考试日期]=表成绩单[[#This Row],[考试日期]])*(表成绩单[数学]&lt;9E+307)*(表成绩单[数学]&gt;表成绩单[[#This Row],[数学]]))+1)</f>
        <v>272</v>
      </c>
      <c r="R1185" s="29" cm="1">
        <f t="array" ref="R1185">IF(表成绩单[[#This Row],[英语]]="","",SUMPRODUCT((表成绩单[考试日期]=表成绩单[[#This Row],[考试日期]])*(表成绩单[英语]&lt;9E+307)*(表成绩单[英语]&gt;表成绩单[[#This Row],[英语]]))+1)</f>
        <v>328</v>
      </c>
      <c r="S1185" s="29" cm="1">
        <f t="array" ref="S1185">IF(表成绩单[[#This Row],[物理]]="","",SUMPRODUCT((表成绩单[考试日期]=表成绩单[[#This Row],[考试日期]])*(表成绩单[物理]&lt;9E+307)*(表成绩单[物理]&gt;表成绩单[[#This Row],[物理]]))+1)</f>
        <v>463</v>
      </c>
      <c r="T1185" s="29" cm="1">
        <f t="array" ref="T1185">IF(表成绩单[[#This Row],[化学]]="","",SUMPRODUCT((表成绩单[考试日期]=表成绩单[[#This Row],[考试日期]])*(表成绩单[化学]&lt;9E+307)*(表成绩单[化学]&gt;表成绩单[[#This Row],[化学]]))+1)</f>
        <v>440</v>
      </c>
      <c r="U1185" s="29" cm="1">
        <f t="array" ref="U1185">IF(表成绩单[[#This Row],[政治]]="","",SUMPRODUCT((表成绩单[考试日期]=表成绩单[[#This Row],[考试日期]])*(表成绩单[政治]&lt;9E+307)*(表成绩单[政治]&gt;表成绩单[[#This Row],[政治]]))+1)</f>
        <v>314</v>
      </c>
      <c r="V1185" s="29" cm="1">
        <f t="array" ref="V1185">IF(表成绩单[[#This Row],[历史]]="","",SUMPRODUCT((表成绩单[考试日期]=表成绩单[[#This Row],[考试日期]])*(表成绩单[历史]&lt;9E+307)*(表成绩单[历史]&gt;表成绩单[[#This Row],[历史]]))+1)</f>
        <v>190</v>
      </c>
      <c r="W1185" s="29" cm="1">
        <f t="array" ref="W1185">IF(表成绩单[[#This Row],[总分]]="","",SUMPRODUCT((表成绩单[考试日期]=表成绩单[[#This Row],[考试日期]])*(表成绩单[总分]&lt;9E+307)*(表成绩单[总分]&gt;表成绩单[[#This Row],[总分]]))+1)</f>
        <v>378</v>
      </c>
    </row>
    <row r="1186" ht="28" customHeight="1" spans="4:23">
      <c r="D1186" s="31">
        <v>46003</v>
      </c>
      <c r="E1186" s="29">
        <v>19177216</v>
      </c>
      <c r="F1186" s="29" t="s">
        <v>70</v>
      </c>
      <c r="G1186" s="29" t="s">
        <v>527</v>
      </c>
      <c r="H1186" s="29">
        <v>101</v>
      </c>
      <c r="I1186" s="29">
        <v>72</v>
      </c>
      <c r="J1186" s="29">
        <v>63</v>
      </c>
      <c r="K1186" s="29">
        <v>71</v>
      </c>
      <c r="L1186" s="29">
        <v>85</v>
      </c>
      <c r="M1186" s="29">
        <v>79</v>
      </c>
      <c r="N1186" s="29">
        <v>77</v>
      </c>
      <c r="O1186" s="32">
        <v>548</v>
      </c>
      <c r="P1186" s="29" cm="1">
        <f t="array" ref="P1186">IF(表成绩单[[#This Row],[语文]]="","",SUMPRODUCT((表成绩单[考试日期]=表成绩单[[#This Row],[考试日期]])*(表成绩单[语文]&lt;9E+307)*(表成绩单[语文]&gt;表成绩单[[#This Row],[语文]]))+1)</f>
        <v>387</v>
      </c>
      <c r="Q1186" s="29" cm="1">
        <f t="array" ref="Q1186">IF(表成绩单[[#This Row],[数学]]="","",SUMPRODUCT((表成绩单[考试日期]=表成绩单[[#This Row],[考试日期]])*(表成绩单[数学]&lt;9E+307)*(表成绩单[数学]&gt;表成绩单[[#This Row],[数学]]))+1)</f>
        <v>396</v>
      </c>
      <c r="R1186" s="29" cm="1">
        <f t="array" ref="R1186">IF(表成绩单[[#This Row],[英语]]="","",SUMPRODUCT((表成绩单[考试日期]=表成绩单[[#This Row],[考试日期]])*(表成绩单[英语]&lt;9E+307)*(表成绩单[英语]&gt;表成绩单[[#This Row],[英语]]))+1)</f>
        <v>501</v>
      </c>
      <c r="S1186" s="29" cm="1">
        <f t="array" ref="S1186">IF(表成绩单[[#This Row],[物理]]="","",SUMPRODUCT((表成绩单[考试日期]=表成绩单[[#This Row],[考试日期]])*(表成绩单[物理]&lt;9E+307)*(表成绩单[物理]&gt;表成绩单[[#This Row],[物理]]))+1)</f>
        <v>507</v>
      </c>
      <c r="T1186" s="29" cm="1">
        <f t="array" ref="T1186">IF(表成绩单[[#This Row],[化学]]="","",SUMPRODUCT((表成绩单[考试日期]=表成绩单[[#This Row],[考试日期]])*(表成绩单[化学]&lt;9E+307)*(表成绩单[化学]&gt;表成绩单[[#This Row],[化学]]))+1)</f>
        <v>240</v>
      </c>
      <c r="U1186" s="29" cm="1">
        <f t="array" ref="U1186">IF(表成绩单[[#This Row],[政治]]="","",SUMPRODUCT((表成绩单[考试日期]=表成绩单[[#This Row],[考试日期]])*(表成绩单[政治]&lt;9E+307)*(表成绩单[政治]&gt;表成绩单[[#This Row],[政治]]))+1)</f>
        <v>36</v>
      </c>
      <c r="V1186" s="29" cm="1">
        <f t="array" ref="V1186">IF(表成绩单[[#This Row],[历史]]="","",SUMPRODUCT((表成绩单[考试日期]=表成绩单[[#This Row],[考试日期]])*(表成绩单[历史]&lt;9E+307)*(表成绩单[历史]&gt;表成绩单[[#This Row],[历史]]))+1)</f>
        <v>235</v>
      </c>
      <c r="W1186" s="29" cm="1">
        <f t="array" ref="W1186">IF(表成绩单[[#This Row],[总分]]="","",SUMPRODUCT((表成绩单[考试日期]=表成绩单[[#This Row],[考试日期]])*(表成绩单[总分]&lt;9E+307)*(表成绩单[总分]&gt;表成绩单[[#This Row],[总分]]))+1)</f>
        <v>381</v>
      </c>
    </row>
    <row r="1187" ht="28" customHeight="1" spans="4:23">
      <c r="D1187" s="31">
        <v>46003</v>
      </c>
      <c r="E1187" s="29">
        <v>19167658</v>
      </c>
      <c r="F1187" s="29" t="s">
        <v>1</v>
      </c>
      <c r="G1187" s="29" t="s">
        <v>435</v>
      </c>
      <c r="H1187" s="29">
        <v>104</v>
      </c>
      <c r="I1187" s="29">
        <v>77</v>
      </c>
      <c r="J1187" s="29">
        <v>63.5</v>
      </c>
      <c r="K1187" s="29">
        <v>92</v>
      </c>
      <c r="L1187" s="29">
        <v>80</v>
      </c>
      <c r="M1187" s="29">
        <v>56</v>
      </c>
      <c r="N1187" s="29">
        <v>75</v>
      </c>
      <c r="O1187" s="32">
        <v>547.5</v>
      </c>
      <c r="P1187" s="29" cm="1">
        <f t="array" ref="P1187">IF(表成绩单[[#This Row],[语文]]="","",SUMPRODUCT((表成绩单[考试日期]=表成绩单[[#This Row],[考试日期]])*(表成绩单[语文]&lt;9E+307)*(表成绩单[语文]&gt;表成绩单[[#This Row],[语文]]))+1)</f>
        <v>290</v>
      </c>
      <c r="Q1187" s="29" cm="1">
        <f t="array" ref="Q1187">IF(表成绩单[[#This Row],[数学]]="","",SUMPRODUCT((表成绩单[考试日期]=表成绩单[[#This Row],[考试日期]])*(表成绩单[数学]&lt;9E+307)*(表成绩单[数学]&gt;表成绩单[[#This Row],[数学]]))+1)</f>
        <v>343</v>
      </c>
      <c r="R1187" s="29" cm="1">
        <f t="array" ref="R1187">IF(表成绩单[[#This Row],[英语]]="","",SUMPRODUCT((表成绩单[考试日期]=表成绩单[[#This Row],[考试日期]])*(表成绩单[英语]&lt;9E+307)*(表成绩单[英语]&gt;表成绩单[[#This Row],[英语]]))+1)</f>
        <v>494</v>
      </c>
      <c r="S1187" s="29" cm="1">
        <f t="array" ref="S1187">IF(表成绩单[[#This Row],[物理]]="","",SUMPRODUCT((表成绩单[考试日期]=表成绩单[[#This Row],[考试日期]])*(表成绩单[物理]&lt;9E+307)*(表成绩单[物理]&gt;表成绩单[[#This Row],[物理]]))+1)</f>
        <v>191</v>
      </c>
      <c r="T1187" s="29" cm="1">
        <f t="array" ref="T1187">IF(表成绩单[[#This Row],[化学]]="","",SUMPRODUCT((表成绩单[考试日期]=表成绩单[[#This Row],[考试日期]])*(表成绩单[化学]&lt;9E+307)*(表成绩单[化学]&gt;表成绩单[[#This Row],[化学]]))+1)</f>
        <v>327</v>
      </c>
      <c r="U1187" s="29" cm="1">
        <f t="array" ref="U1187">IF(表成绩单[[#This Row],[政治]]="","",SUMPRODUCT((表成绩单[考试日期]=表成绩单[[#This Row],[考试日期]])*(表成绩单[政治]&lt;9E+307)*(表成绩单[政治]&gt;表成绩单[[#This Row],[政治]]))+1)</f>
        <v>492</v>
      </c>
      <c r="V1187" s="29" cm="1">
        <f t="array" ref="V1187">IF(表成绩单[[#This Row],[历史]]="","",SUMPRODUCT((表成绩单[考试日期]=表成绩单[[#This Row],[考试日期]])*(表成绩单[历史]&lt;9E+307)*(表成绩单[历史]&gt;表成绩单[[#This Row],[历史]]))+1)</f>
        <v>329</v>
      </c>
      <c r="W1187" s="29" cm="1">
        <f t="array" ref="W1187">IF(表成绩单[[#This Row],[总分]]="","",SUMPRODUCT((表成绩单[考试日期]=表成绩单[[#This Row],[考试日期]])*(表成绩单[总分]&lt;9E+307)*(表成绩单[总分]&gt;表成绩单[[#This Row],[总分]]))+1)</f>
        <v>382</v>
      </c>
    </row>
    <row r="1188" ht="28" customHeight="1" spans="4:23">
      <c r="D1188" s="31">
        <v>46003</v>
      </c>
      <c r="E1188" s="29">
        <v>19177630</v>
      </c>
      <c r="F1188" s="29" t="s">
        <v>58</v>
      </c>
      <c r="G1188" s="29" t="s">
        <v>521</v>
      </c>
      <c r="H1188" s="29">
        <v>88</v>
      </c>
      <c r="I1188" s="29">
        <v>84</v>
      </c>
      <c r="J1188" s="29">
        <v>60</v>
      </c>
      <c r="K1188" s="29">
        <v>88</v>
      </c>
      <c r="L1188" s="29">
        <v>77</v>
      </c>
      <c r="M1188" s="29">
        <v>66</v>
      </c>
      <c r="N1188" s="29">
        <v>84</v>
      </c>
      <c r="O1188" s="32">
        <v>547</v>
      </c>
      <c r="P1188" s="29" cm="1">
        <f t="array" ref="P1188">IF(表成绩单[[#This Row],[语文]]="","",SUMPRODUCT((表成绩单[考试日期]=表成绩单[[#This Row],[考试日期]])*(表成绩单[语文]&lt;9E+307)*(表成绩单[语文]&gt;表成绩单[[#This Row],[语文]]))+1)</f>
        <v>613</v>
      </c>
      <c r="Q1188" s="29" cm="1">
        <f t="array" ref="Q1188">IF(表成绩单[[#This Row],[数学]]="","",SUMPRODUCT((表成绩单[考试日期]=表成绩单[[#This Row],[考试日期]])*(表成绩单[数学]&lt;9E+307)*(表成绩单[数学]&gt;表成绩单[[#This Row],[数学]]))+1)</f>
        <v>259</v>
      </c>
      <c r="R1188" s="29" cm="1">
        <f t="array" ref="R1188">IF(表成绩单[[#This Row],[英语]]="","",SUMPRODUCT((表成绩单[考试日期]=表成绩单[[#This Row],[考试日期]])*(表成绩单[英语]&lt;9E+307)*(表成绩单[英语]&gt;表成绩单[[#This Row],[英语]]))+1)</f>
        <v>528</v>
      </c>
      <c r="S1188" s="29" cm="1">
        <f t="array" ref="S1188">IF(表成绩单[[#This Row],[物理]]="","",SUMPRODUCT((表成绩单[考试日期]=表成绩单[[#This Row],[考试日期]])*(表成绩单[物理]&lt;9E+307)*(表成绩单[物理]&gt;表成绩单[[#This Row],[物理]]))+1)</f>
        <v>291</v>
      </c>
      <c r="T1188" s="29" cm="1">
        <f t="array" ref="T1188">IF(表成绩单[[#This Row],[化学]]="","",SUMPRODUCT((表成绩单[考试日期]=表成绩单[[#This Row],[考试日期]])*(表成绩单[化学]&lt;9E+307)*(表成绩单[化学]&gt;表成绩单[[#This Row],[化学]]))+1)</f>
        <v>388</v>
      </c>
      <c r="U1188" s="29" cm="1">
        <f t="array" ref="U1188">IF(表成绩单[[#This Row],[政治]]="","",SUMPRODUCT((表成绩单[考试日期]=表成绩单[[#This Row],[考试日期]])*(表成绩单[政治]&lt;9E+307)*(表成绩单[政治]&gt;表成绩单[[#This Row],[政治]]))+1)</f>
        <v>289</v>
      </c>
      <c r="V1188" s="29" cm="1">
        <f t="array" ref="V1188">IF(表成绩单[[#This Row],[历史]]="","",SUMPRODUCT((表成绩单[考试日期]=表成绩单[[#This Row],[考试日期]])*(表成绩单[历史]&lt;9E+307)*(表成绩单[历史]&gt;表成绩单[[#This Row],[历史]]))+1)</f>
        <v>30</v>
      </c>
      <c r="W1188" s="29" cm="1">
        <f t="array" ref="W1188">IF(表成绩单[[#This Row],[总分]]="","",SUMPRODUCT((表成绩单[考试日期]=表成绩单[[#This Row],[考试日期]])*(表成绩单[总分]&lt;9E+307)*(表成绩单[总分]&gt;表成绩单[[#This Row],[总分]]))+1)</f>
        <v>383</v>
      </c>
    </row>
    <row r="1189" ht="28" customHeight="1" spans="4:23">
      <c r="D1189" s="31">
        <v>46003</v>
      </c>
      <c r="E1189" s="29">
        <v>19173267</v>
      </c>
      <c r="F1189" s="29" t="s">
        <v>61</v>
      </c>
      <c r="G1189" s="29" t="s">
        <v>397</v>
      </c>
      <c r="H1189" s="29">
        <v>100</v>
      </c>
      <c r="I1189" s="29">
        <v>70</v>
      </c>
      <c r="J1189" s="29">
        <v>63.5</v>
      </c>
      <c r="K1189" s="29">
        <v>93</v>
      </c>
      <c r="L1189" s="29">
        <v>89</v>
      </c>
      <c r="M1189" s="29">
        <v>56</v>
      </c>
      <c r="N1189" s="29">
        <v>75</v>
      </c>
      <c r="O1189" s="32">
        <v>546.5</v>
      </c>
      <c r="P1189" s="29" cm="1">
        <f t="array" ref="P1189">IF(表成绩单[[#This Row],[语文]]="","",SUMPRODUCT((表成绩单[考试日期]=表成绩单[[#This Row],[考试日期]])*(表成绩单[语文]&lt;9E+307)*(表成绩单[语文]&gt;表成绩单[[#This Row],[语文]]))+1)</f>
        <v>414</v>
      </c>
      <c r="Q1189" s="29" cm="1">
        <f t="array" ref="Q1189">IF(表成绩单[[#This Row],[数学]]="","",SUMPRODUCT((表成绩单[考试日期]=表成绩单[[#This Row],[考试日期]])*(表成绩单[数学]&lt;9E+307)*(表成绩单[数学]&gt;表成绩单[[#This Row],[数学]]))+1)</f>
        <v>426</v>
      </c>
      <c r="R1189" s="29" cm="1">
        <f t="array" ref="R1189">IF(表成绩单[[#This Row],[英语]]="","",SUMPRODUCT((表成绩单[考试日期]=表成绩单[[#This Row],[考试日期]])*(表成绩单[英语]&lt;9E+307)*(表成绩单[英语]&gt;表成绩单[[#This Row],[英语]]))+1)</f>
        <v>494</v>
      </c>
      <c r="S1189" s="29" cm="1">
        <f t="array" ref="S1189">IF(表成绩单[[#This Row],[物理]]="","",SUMPRODUCT((表成绩单[考试日期]=表成绩单[[#This Row],[考试日期]])*(表成绩单[物理]&lt;9E+307)*(表成绩单[物理]&gt;表成绩单[[#This Row],[物理]]))+1)</f>
        <v>163</v>
      </c>
      <c r="T1189" s="29" cm="1">
        <f t="array" ref="T1189">IF(表成绩单[[#This Row],[化学]]="","",SUMPRODUCT((表成绩单[考试日期]=表成绩单[[#This Row],[考试日期]])*(表成绩单[化学]&lt;9E+307)*(表成绩单[化学]&gt;表成绩单[[#This Row],[化学]]))+1)</f>
        <v>157</v>
      </c>
      <c r="U1189" s="29" cm="1">
        <f t="array" ref="U1189">IF(表成绩单[[#This Row],[政治]]="","",SUMPRODUCT((表成绩单[考试日期]=表成绩单[[#This Row],[考试日期]])*(表成绩单[政治]&lt;9E+307)*(表成绩单[政治]&gt;表成绩单[[#This Row],[政治]]))+1)</f>
        <v>492</v>
      </c>
      <c r="V1189" s="29" cm="1">
        <f t="array" ref="V1189">IF(表成绩单[[#This Row],[历史]]="","",SUMPRODUCT((表成绩单[考试日期]=表成绩单[[#This Row],[考试日期]])*(表成绩单[历史]&lt;9E+307)*(表成绩单[历史]&gt;表成绩单[[#This Row],[历史]]))+1)</f>
        <v>329</v>
      </c>
      <c r="W1189" s="29" cm="1">
        <f t="array" ref="W1189">IF(表成绩单[[#This Row],[总分]]="","",SUMPRODUCT((表成绩单[考试日期]=表成绩单[[#This Row],[考试日期]])*(表成绩单[总分]&lt;9E+307)*(表成绩单[总分]&gt;表成绩单[[#This Row],[总分]]))+1)</f>
        <v>384</v>
      </c>
    </row>
    <row r="1190" ht="28" customHeight="1" spans="4:23">
      <c r="D1190" s="31">
        <v>46003</v>
      </c>
      <c r="E1190" s="29">
        <v>19178597</v>
      </c>
      <c r="F1190" s="29" t="s">
        <v>64</v>
      </c>
      <c r="G1190" s="29" t="s">
        <v>561</v>
      </c>
      <c r="H1190" s="29">
        <v>104</v>
      </c>
      <c r="I1190" s="29">
        <v>71</v>
      </c>
      <c r="J1190" s="29">
        <v>62</v>
      </c>
      <c r="K1190" s="29">
        <v>90</v>
      </c>
      <c r="L1190" s="29">
        <v>81</v>
      </c>
      <c r="M1190" s="29">
        <v>61</v>
      </c>
      <c r="N1190" s="29">
        <v>77</v>
      </c>
      <c r="O1190" s="32">
        <v>546</v>
      </c>
      <c r="P1190" s="29" cm="1">
        <f t="array" ref="P1190">IF(表成绩单[[#This Row],[语文]]="","",SUMPRODUCT((表成绩单[考试日期]=表成绩单[[#This Row],[考试日期]])*(表成绩单[语文]&lt;9E+307)*(表成绩单[语文]&gt;表成绩单[[#This Row],[语文]]))+1)</f>
        <v>290</v>
      </c>
      <c r="Q1190" s="29" cm="1">
        <f t="array" ref="Q1190">IF(表成绩单[[#This Row],[数学]]="","",SUMPRODUCT((表成绩单[考试日期]=表成绩单[[#This Row],[考试日期]])*(表成绩单[数学]&lt;9E+307)*(表成绩单[数学]&gt;表成绩单[[#This Row],[数学]]))+1)</f>
        <v>412</v>
      </c>
      <c r="R1190" s="29" cm="1">
        <f t="array" ref="R1190">IF(表成绩单[[#This Row],[英语]]="","",SUMPRODUCT((表成绩单[考试日期]=表成绩单[[#This Row],[考试日期]])*(表成绩单[英语]&lt;9E+307)*(表成绩单[英语]&gt;表成绩单[[#This Row],[英语]]))+1)</f>
        <v>509</v>
      </c>
      <c r="S1190" s="29" cm="1">
        <f t="array" ref="S1190">IF(表成绩单[[#This Row],[物理]]="","",SUMPRODUCT((表成绩单[考试日期]=表成绩单[[#This Row],[考试日期]])*(表成绩单[物理]&lt;9E+307)*(表成绩单[物理]&gt;表成绩单[[#This Row],[物理]]))+1)</f>
        <v>237</v>
      </c>
      <c r="T1190" s="29" cm="1">
        <f t="array" ref="T1190">IF(表成绩单[[#This Row],[化学]]="","",SUMPRODUCT((表成绩单[考试日期]=表成绩单[[#This Row],[考试日期]])*(表成绩单[化学]&lt;9E+307)*(表成绩单[化学]&gt;表成绩单[[#This Row],[化学]]))+1)</f>
        <v>308</v>
      </c>
      <c r="U1190" s="29" cm="1">
        <f t="array" ref="U1190">IF(表成绩单[[#This Row],[政治]]="","",SUMPRODUCT((表成绩单[考试日期]=表成绩单[[#This Row],[考试日期]])*(表成绩单[政治]&lt;9E+307)*(表成绩单[政治]&gt;表成绩单[[#This Row],[政治]]))+1)</f>
        <v>400</v>
      </c>
      <c r="V1190" s="29" cm="1">
        <f t="array" ref="V1190">IF(表成绩单[[#This Row],[历史]]="","",SUMPRODUCT((表成绩单[考试日期]=表成绩单[[#This Row],[考试日期]])*(表成绩单[历史]&lt;9E+307)*(表成绩单[历史]&gt;表成绩单[[#This Row],[历史]]))+1)</f>
        <v>235</v>
      </c>
      <c r="W1190" s="29" cm="1">
        <f t="array" ref="W1190">IF(表成绩单[[#This Row],[总分]]="","",SUMPRODUCT((表成绩单[考试日期]=表成绩单[[#This Row],[考试日期]])*(表成绩单[总分]&lt;9E+307)*(表成绩单[总分]&gt;表成绩单[[#This Row],[总分]]))+1)</f>
        <v>385</v>
      </c>
    </row>
    <row r="1191" ht="28" customHeight="1" spans="4:23">
      <c r="D1191" s="31">
        <v>46003</v>
      </c>
      <c r="E1191" s="29">
        <v>19177617</v>
      </c>
      <c r="F1191" s="29" t="s">
        <v>58</v>
      </c>
      <c r="G1191" s="29" t="s">
        <v>515</v>
      </c>
      <c r="H1191" s="29">
        <v>105</v>
      </c>
      <c r="I1191" s="29">
        <v>80</v>
      </c>
      <c r="J1191" s="29">
        <v>66.5</v>
      </c>
      <c r="K1191" s="29">
        <v>83</v>
      </c>
      <c r="L1191" s="29">
        <v>79</v>
      </c>
      <c r="M1191" s="29">
        <v>60</v>
      </c>
      <c r="N1191" s="29">
        <v>72</v>
      </c>
      <c r="O1191" s="32">
        <v>545.5</v>
      </c>
      <c r="P1191" s="29" cm="1">
        <f t="array" ref="P1191">IF(表成绩单[[#This Row],[语文]]="","",SUMPRODUCT((表成绩单[考试日期]=表成绩单[[#This Row],[考试日期]])*(表成绩单[语文]&lt;9E+307)*(表成绩单[语文]&gt;表成绩单[[#This Row],[语文]]))+1)</f>
        <v>247</v>
      </c>
      <c r="Q1191" s="29" cm="1">
        <f t="array" ref="Q1191">IF(表成绩单[[#This Row],[数学]]="","",SUMPRODUCT((表成绩单[考试日期]=表成绩单[[#This Row],[考试日期]])*(表成绩单[数学]&lt;9E+307)*(表成绩单[数学]&gt;表成绩单[[#This Row],[数学]]))+1)</f>
        <v>310</v>
      </c>
      <c r="R1191" s="29" cm="1">
        <f t="array" ref="R1191">IF(表成绩单[[#This Row],[英语]]="","",SUMPRODUCT((表成绩单[考试日期]=表成绩单[[#This Row],[考试日期]])*(表成绩单[英语]&lt;9E+307)*(表成绩单[英语]&gt;表成绩单[[#This Row],[英语]]))+1)</f>
        <v>465</v>
      </c>
      <c r="S1191" s="29" cm="1">
        <f t="array" ref="S1191">IF(表成绩单[[#This Row],[物理]]="","",SUMPRODUCT((表成绩单[考试日期]=表成绩单[[#This Row],[考试日期]])*(表成绩单[物理]&lt;9E+307)*(表成绩单[物理]&gt;表成绩单[[#This Row],[物理]]))+1)</f>
        <v>376</v>
      </c>
      <c r="T1191" s="29" cm="1">
        <f t="array" ref="T1191">IF(表成绩单[[#This Row],[化学]]="","",SUMPRODUCT((表成绩单[考试日期]=表成绩单[[#This Row],[考试日期]])*(表成绩单[化学]&lt;9E+307)*(表成绩单[化学]&gt;表成绩单[[#This Row],[化学]]))+1)</f>
        <v>351</v>
      </c>
      <c r="U1191" s="29" cm="1">
        <f t="array" ref="U1191">IF(表成绩单[[#This Row],[政治]]="","",SUMPRODUCT((表成绩单[考试日期]=表成绩单[[#This Row],[考试日期]])*(表成绩单[政治]&lt;9E+307)*(表成绩单[政治]&gt;表成绩单[[#This Row],[政治]]))+1)</f>
        <v>421</v>
      </c>
      <c r="V1191" s="29" cm="1">
        <f t="array" ref="V1191">IF(表成绩单[[#This Row],[历史]]="","",SUMPRODUCT((表成绩单[考试日期]=表成绩单[[#This Row],[考试日期]])*(表成绩单[历史]&lt;9E+307)*(表成绩单[历史]&gt;表成绩单[[#This Row],[历史]]))+1)</f>
        <v>439</v>
      </c>
      <c r="W1191" s="29" cm="1">
        <f t="array" ref="W1191">IF(表成绩单[[#This Row],[总分]]="","",SUMPRODUCT((表成绩单[考试日期]=表成绩单[[#This Row],[考试日期]])*(表成绩单[总分]&lt;9E+307)*(表成绩单[总分]&gt;表成绩单[[#This Row],[总分]]))+1)</f>
        <v>386</v>
      </c>
    </row>
    <row r="1192" ht="28" customHeight="1" spans="4:23">
      <c r="D1192" s="31">
        <v>46003</v>
      </c>
      <c r="E1192" s="29">
        <v>19174774</v>
      </c>
      <c r="F1192" s="29" t="s">
        <v>69</v>
      </c>
      <c r="G1192" s="29" t="s">
        <v>536</v>
      </c>
      <c r="H1192" s="29">
        <v>94</v>
      </c>
      <c r="I1192" s="29">
        <v>88</v>
      </c>
      <c r="J1192" s="29">
        <v>73</v>
      </c>
      <c r="K1192" s="29">
        <v>86</v>
      </c>
      <c r="L1192" s="29">
        <v>80</v>
      </c>
      <c r="M1192" s="29">
        <v>55</v>
      </c>
      <c r="N1192" s="29">
        <v>69</v>
      </c>
      <c r="O1192" s="32">
        <v>545</v>
      </c>
      <c r="P1192" s="29" cm="1">
        <f t="array" ref="P1192">IF(表成绩单[[#This Row],[语文]]="","",SUMPRODUCT((表成绩单[考试日期]=表成绩单[[#This Row],[考试日期]])*(表成绩单[语文]&lt;9E+307)*(表成绩单[语文]&gt;表成绩单[[#This Row],[语文]]))+1)</f>
        <v>537</v>
      </c>
      <c r="Q1192" s="29" cm="1">
        <f t="array" ref="Q1192">IF(表成绩单[[#This Row],[数学]]="","",SUMPRODUCT((表成绩单[考试日期]=表成绩单[[#This Row],[考试日期]])*(表成绩单[数学]&lt;9E+307)*(表成绩单[数学]&gt;表成绩单[[#This Row],[数学]]))+1)</f>
        <v>213</v>
      </c>
      <c r="R1192" s="29" cm="1">
        <f t="array" ref="R1192">IF(表成绩单[[#This Row],[英语]]="","",SUMPRODUCT((表成绩单[考试日期]=表成绩单[[#This Row],[考试日期]])*(表成绩单[英语]&lt;9E+307)*(表成绩单[英语]&gt;表成绩单[[#This Row],[英语]]))+1)</f>
        <v>363</v>
      </c>
      <c r="S1192" s="29" cm="1">
        <f t="array" ref="S1192">IF(表成绩单[[#This Row],[物理]]="","",SUMPRODUCT((表成绩单[考试日期]=表成绩单[[#This Row],[考试日期]])*(表成绩单[物理]&lt;9E+307)*(表成绩单[物理]&gt;表成绩单[[#This Row],[物理]]))+1)</f>
        <v>336</v>
      </c>
      <c r="T1192" s="29" cm="1">
        <f t="array" ref="T1192">IF(表成绩单[[#This Row],[化学]]="","",SUMPRODUCT((表成绩单[考试日期]=表成绩单[[#This Row],[考试日期]])*(表成绩单[化学]&lt;9E+307)*(表成绩单[化学]&gt;表成绩单[[#This Row],[化学]]))+1)</f>
        <v>327</v>
      </c>
      <c r="U1192" s="29" cm="1">
        <f t="array" ref="U1192">IF(表成绩单[[#This Row],[政治]]="","",SUMPRODUCT((表成绩单[考试日期]=表成绩单[[#This Row],[考试日期]])*(表成绩单[政治]&lt;9E+307)*(表成绩单[政治]&gt;表成绩单[[#This Row],[政治]]))+1)</f>
        <v>513</v>
      </c>
      <c r="V1192" s="29" cm="1">
        <f t="array" ref="V1192">IF(表成绩单[[#This Row],[历史]]="","",SUMPRODUCT((表成绩单[考试日期]=表成绩单[[#This Row],[考试日期]])*(表成绩单[历史]&lt;9E+307)*(表成绩单[历史]&gt;表成绩单[[#This Row],[历史]]))+1)</f>
        <v>516</v>
      </c>
      <c r="W1192" s="29" cm="1">
        <f t="array" ref="W1192">IF(表成绩单[[#This Row],[总分]]="","",SUMPRODUCT((表成绩单[考试日期]=表成绩单[[#This Row],[考试日期]])*(表成绩单[总分]&lt;9E+307)*(表成绩单[总分]&gt;表成绩单[[#This Row],[总分]]))+1)</f>
        <v>387</v>
      </c>
    </row>
    <row r="1193" ht="28" customHeight="1" spans="4:23">
      <c r="D1193" s="31">
        <v>46003</v>
      </c>
      <c r="E1193" s="29">
        <v>19176176</v>
      </c>
      <c r="F1193" s="29" t="s">
        <v>67</v>
      </c>
      <c r="G1193" s="29" t="s">
        <v>539</v>
      </c>
      <c r="H1193" s="29">
        <v>98</v>
      </c>
      <c r="I1193" s="29">
        <v>61</v>
      </c>
      <c r="J1193" s="29">
        <v>77</v>
      </c>
      <c r="K1193" s="29">
        <v>86</v>
      </c>
      <c r="L1193" s="29">
        <v>84</v>
      </c>
      <c r="M1193" s="29">
        <v>62</v>
      </c>
      <c r="N1193" s="29">
        <v>77</v>
      </c>
      <c r="O1193" s="32">
        <v>545</v>
      </c>
      <c r="P1193" s="29" cm="1">
        <f t="array" ref="P1193">IF(表成绩单[[#This Row],[语文]]="","",SUMPRODUCT((表成绩单[考试日期]=表成绩单[[#This Row],[考试日期]])*(表成绩单[语文]&lt;9E+307)*(表成绩单[语文]&gt;表成绩单[[#This Row],[语文]]))+1)</f>
        <v>463</v>
      </c>
      <c r="Q1193" s="29" cm="1">
        <f t="array" ref="Q1193">IF(表成绩单[[#This Row],[数学]]="","",SUMPRODUCT((表成绩单[考试日期]=表成绩单[[#This Row],[考试日期]])*(表成绩单[数学]&lt;9E+307)*(表成绩单[数学]&gt;表成绩单[[#This Row],[数学]]))+1)</f>
        <v>504</v>
      </c>
      <c r="R1193" s="29" cm="1">
        <f t="array" ref="R1193">IF(表成绩单[[#This Row],[英语]]="","",SUMPRODUCT((表成绩单[考试日期]=表成绩单[[#This Row],[考试日期]])*(表成绩单[英语]&lt;9E+307)*(表成绩单[英语]&gt;表成绩单[[#This Row],[英语]]))+1)</f>
        <v>255</v>
      </c>
      <c r="S1193" s="29" cm="1">
        <f t="array" ref="S1193">IF(表成绩单[[#This Row],[物理]]="","",SUMPRODUCT((表成绩单[考试日期]=表成绩单[[#This Row],[考试日期]])*(表成绩单[物理]&lt;9E+307)*(表成绩单[物理]&gt;表成绩单[[#This Row],[物理]]))+1)</f>
        <v>336</v>
      </c>
      <c r="T1193" s="29" cm="1">
        <f t="array" ref="T1193">IF(表成绩单[[#This Row],[化学]]="","",SUMPRODUCT((表成绩单[考试日期]=表成绩单[[#This Row],[考试日期]])*(表成绩单[化学]&lt;9E+307)*(表成绩单[化学]&gt;表成绩单[[#This Row],[化学]]))+1)</f>
        <v>258</v>
      </c>
      <c r="U1193" s="29" cm="1">
        <f t="array" ref="U1193">IF(表成绩单[[#This Row],[政治]]="","",SUMPRODUCT((表成绩单[考试日期]=表成绩单[[#This Row],[考试日期]])*(表成绩单[政治]&lt;9E+307)*(表成绩单[政治]&gt;表成绩单[[#This Row],[政治]]))+1)</f>
        <v>381</v>
      </c>
      <c r="V1193" s="29" cm="1">
        <f t="array" ref="V1193">IF(表成绩单[[#This Row],[历史]]="","",SUMPRODUCT((表成绩单[考试日期]=表成绩单[[#This Row],[考试日期]])*(表成绩单[历史]&lt;9E+307)*(表成绩单[历史]&gt;表成绩单[[#This Row],[历史]]))+1)</f>
        <v>235</v>
      </c>
      <c r="W1193" s="29" cm="1">
        <f t="array" ref="W1193">IF(表成绩单[[#This Row],[总分]]="","",SUMPRODUCT((表成绩单[考试日期]=表成绩单[[#This Row],[考试日期]])*(表成绩单[总分]&lt;9E+307)*(表成绩单[总分]&gt;表成绩单[[#This Row],[总分]]))+1)</f>
        <v>387</v>
      </c>
    </row>
    <row r="1194" ht="28" customHeight="1" spans="4:23">
      <c r="D1194" s="31">
        <v>46003</v>
      </c>
      <c r="E1194" s="29">
        <v>19177590</v>
      </c>
      <c r="F1194" s="29" t="s">
        <v>58</v>
      </c>
      <c r="G1194" s="29" t="s">
        <v>393</v>
      </c>
      <c r="H1194" s="29">
        <v>93</v>
      </c>
      <c r="I1194" s="29">
        <v>82</v>
      </c>
      <c r="J1194" s="29">
        <v>75</v>
      </c>
      <c r="K1194" s="29">
        <v>88</v>
      </c>
      <c r="L1194" s="29">
        <v>78</v>
      </c>
      <c r="M1194" s="29">
        <v>57</v>
      </c>
      <c r="N1194" s="29">
        <v>72</v>
      </c>
      <c r="O1194" s="32">
        <v>545</v>
      </c>
      <c r="P1194" s="29" cm="1">
        <f t="array" ref="P1194">IF(表成绩单[[#This Row],[语文]]="","",SUMPRODUCT((表成绩单[考试日期]=表成绩单[[#This Row],[考试日期]])*(表成绩单[语文]&lt;9E+307)*(表成绩单[语文]&gt;表成绩单[[#This Row],[语文]]))+1)</f>
        <v>555</v>
      </c>
      <c r="Q1194" s="29" cm="1">
        <f t="array" ref="Q1194">IF(表成绩单[[#This Row],[数学]]="","",SUMPRODUCT((表成绩单[考试日期]=表成绩单[[#This Row],[考试日期]])*(表成绩单[数学]&lt;9E+307)*(表成绩单[数学]&gt;表成绩单[[#This Row],[数学]]))+1)</f>
        <v>290</v>
      </c>
      <c r="R1194" s="29" cm="1">
        <f t="array" ref="R1194">IF(表成绩单[[#This Row],[英语]]="","",SUMPRODUCT((表成绩单[考试日期]=表成绩单[[#This Row],[考试日期]])*(表成绩单[英语]&lt;9E+307)*(表成绩单[英语]&gt;表成绩单[[#This Row],[英语]]))+1)</f>
        <v>314</v>
      </c>
      <c r="S1194" s="29" cm="1">
        <f t="array" ref="S1194">IF(表成绩单[[#This Row],[物理]]="","",SUMPRODUCT((表成绩单[考试日期]=表成绩单[[#This Row],[考试日期]])*(表成绩单[物理]&lt;9E+307)*(表成绩单[物理]&gt;表成绩单[[#This Row],[物理]]))+1)</f>
        <v>291</v>
      </c>
      <c r="T1194" s="29" cm="1">
        <f t="array" ref="T1194">IF(表成绩单[[#This Row],[化学]]="","",SUMPRODUCT((表成绩单[考试日期]=表成绩单[[#This Row],[考试日期]])*(表成绩单[化学]&lt;9E+307)*(表成绩单[化学]&gt;表成绩单[[#This Row],[化学]]))+1)</f>
        <v>373</v>
      </c>
      <c r="U1194" s="29" cm="1">
        <f t="array" ref="U1194">IF(表成绩单[[#This Row],[政治]]="","",SUMPRODUCT((表成绩单[考试日期]=表成绩单[[#This Row],[考试日期]])*(表成绩单[政治]&lt;9E+307)*(表成绩单[政治]&gt;表成绩单[[#This Row],[政治]]))+1)</f>
        <v>474</v>
      </c>
      <c r="V1194" s="29" cm="1">
        <f t="array" ref="V1194">IF(表成绩单[[#This Row],[历史]]="","",SUMPRODUCT((表成绩单[考试日期]=表成绩单[[#This Row],[考试日期]])*(表成绩单[历史]&lt;9E+307)*(表成绩单[历史]&gt;表成绩单[[#This Row],[历史]]))+1)</f>
        <v>439</v>
      </c>
      <c r="W1194" s="29" cm="1">
        <f t="array" ref="W1194">IF(表成绩单[[#This Row],[总分]]="","",SUMPRODUCT((表成绩单[考试日期]=表成绩单[[#This Row],[考试日期]])*(表成绩单[总分]&lt;9E+307)*(表成绩单[总分]&gt;表成绩单[[#This Row],[总分]]))+1)</f>
        <v>387</v>
      </c>
    </row>
    <row r="1195" ht="28" customHeight="1" spans="4:23">
      <c r="D1195" s="31">
        <v>46003</v>
      </c>
      <c r="E1195" s="29">
        <v>19173533</v>
      </c>
      <c r="F1195" s="29" t="s">
        <v>1</v>
      </c>
      <c r="G1195" s="29" t="s">
        <v>369</v>
      </c>
      <c r="H1195" s="29">
        <v>103</v>
      </c>
      <c r="I1195" s="29">
        <v>75</v>
      </c>
      <c r="J1195" s="29">
        <v>76</v>
      </c>
      <c r="K1195" s="29">
        <v>77</v>
      </c>
      <c r="L1195" s="29">
        <v>78</v>
      </c>
      <c r="M1195" s="29">
        <v>61</v>
      </c>
      <c r="N1195" s="29">
        <v>74</v>
      </c>
      <c r="O1195" s="32">
        <v>544</v>
      </c>
      <c r="P1195" s="29" cm="1">
        <f t="array" ref="P1195">IF(表成绩单[[#This Row],[语文]]="","",SUMPRODUCT((表成绩单[考试日期]=表成绩单[[#This Row],[考试日期]])*(表成绩单[语文]&lt;9E+307)*(表成绩单[语文]&gt;表成绩单[[#This Row],[语文]]))+1)</f>
        <v>333</v>
      </c>
      <c r="Q1195" s="29" cm="1">
        <f t="array" ref="Q1195">IF(表成绩单[[#This Row],[数学]]="","",SUMPRODUCT((表成绩单[考试日期]=表成绩单[[#This Row],[考试日期]])*(表成绩单[数学]&lt;9E+307)*(表成绩单[数学]&gt;表成绩单[[#This Row],[数学]]))+1)</f>
        <v>364</v>
      </c>
      <c r="R1195" s="29" cm="1">
        <f t="array" ref="R1195">IF(表成绩单[[#This Row],[英语]]="","",SUMPRODUCT((表成绩单[考试日期]=表成绩单[[#This Row],[考试日期]])*(表成绩单[英语]&lt;9E+307)*(表成绩单[英语]&gt;表成绩单[[#This Row],[英语]]))+1)</f>
        <v>288</v>
      </c>
      <c r="S1195" s="29" cm="1">
        <f t="array" ref="S1195">IF(表成绩单[[#This Row],[物理]]="","",SUMPRODUCT((表成绩单[考试日期]=表成绩单[[#This Row],[考试日期]])*(表成绩单[物理]&lt;9E+307)*(表成绩单[物理]&gt;表成绩单[[#This Row],[物理]]))+1)</f>
        <v>454</v>
      </c>
      <c r="T1195" s="29" cm="1">
        <f t="array" ref="T1195">IF(表成绩单[[#This Row],[化学]]="","",SUMPRODUCT((表成绩单[考试日期]=表成绩单[[#This Row],[考试日期]])*(表成绩单[化学]&lt;9E+307)*(表成绩单[化学]&gt;表成绩单[[#This Row],[化学]]))+1)</f>
        <v>373</v>
      </c>
      <c r="U1195" s="29" cm="1">
        <f t="array" ref="U1195">IF(表成绩单[[#This Row],[政治]]="","",SUMPRODUCT((表成绩单[考试日期]=表成绩单[[#This Row],[考试日期]])*(表成绩单[政治]&lt;9E+307)*(表成绩单[政治]&gt;表成绩单[[#This Row],[政治]]))+1)</f>
        <v>400</v>
      </c>
      <c r="V1195" s="29" cm="1">
        <f t="array" ref="V1195">IF(表成绩单[[#This Row],[历史]]="","",SUMPRODUCT((表成绩单[考试日期]=表成绩单[[#This Row],[考试日期]])*(表成绩单[历史]&lt;9E+307)*(表成绩单[历史]&gt;表成绩单[[#This Row],[历史]]))+1)</f>
        <v>371</v>
      </c>
      <c r="W1195" s="29" cm="1">
        <f t="array" ref="W1195">IF(表成绩单[[#This Row],[总分]]="","",SUMPRODUCT((表成绩单[考试日期]=表成绩单[[#This Row],[考试日期]])*(表成绩单[总分]&lt;9E+307)*(表成绩单[总分]&gt;表成绩单[[#This Row],[总分]]))+1)</f>
        <v>390</v>
      </c>
    </row>
    <row r="1196" ht="28" customHeight="1" spans="4:23">
      <c r="D1196" s="31">
        <v>46003</v>
      </c>
      <c r="E1196" s="29">
        <v>19175663</v>
      </c>
      <c r="F1196" s="29" t="s">
        <v>66</v>
      </c>
      <c r="G1196" s="29" t="s">
        <v>441</v>
      </c>
      <c r="H1196" s="29">
        <v>100</v>
      </c>
      <c r="I1196" s="29">
        <v>83</v>
      </c>
      <c r="J1196" s="29">
        <v>67</v>
      </c>
      <c r="K1196" s="29">
        <v>85</v>
      </c>
      <c r="L1196" s="29">
        <v>75</v>
      </c>
      <c r="M1196" s="29">
        <v>61</v>
      </c>
      <c r="N1196" s="29">
        <v>73</v>
      </c>
      <c r="O1196" s="32">
        <v>544</v>
      </c>
      <c r="P1196" s="29" cm="1">
        <f t="array" ref="P1196">IF(表成绩单[[#This Row],[语文]]="","",SUMPRODUCT((表成绩单[考试日期]=表成绩单[[#This Row],[考试日期]])*(表成绩单[语文]&lt;9E+307)*(表成绩单[语文]&gt;表成绩单[[#This Row],[语文]]))+1)</f>
        <v>414</v>
      </c>
      <c r="Q1196" s="29" cm="1">
        <f t="array" ref="Q1196">IF(表成绩单[[#This Row],[数学]]="","",SUMPRODUCT((表成绩单[考试日期]=表成绩单[[#This Row],[考试日期]])*(表成绩单[数学]&lt;9E+307)*(表成绩单[数学]&gt;表成绩单[[#This Row],[数学]]))+1)</f>
        <v>272</v>
      </c>
      <c r="R1196" s="29" cm="1">
        <f t="array" ref="R1196">IF(表成绩单[[#This Row],[英语]]="","",SUMPRODUCT((表成绩单[考试日期]=表成绩单[[#This Row],[考试日期]])*(表成绩单[英语]&lt;9E+307)*(表成绩单[英语]&gt;表成绩单[[#This Row],[英语]]))+1)</f>
        <v>460</v>
      </c>
      <c r="S1196" s="29" cm="1">
        <f t="array" ref="S1196">IF(表成绩单[[#This Row],[物理]]="","",SUMPRODUCT((表成绩单[考试日期]=表成绩单[[#This Row],[考试日期]])*(表成绩单[物理]&lt;9E+307)*(表成绩单[物理]&gt;表成绩单[[#This Row],[物理]]))+1)</f>
        <v>348</v>
      </c>
      <c r="T1196" s="29" cm="1">
        <f t="array" ref="T1196">IF(表成绩单[[#This Row],[化学]]="","",SUMPRODUCT((表成绩单[考试日期]=表成绩单[[#This Row],[考试日期]])*(表成绩单[化学]&lt;9E+307)*(表成绩单[化学]&gt;表成绩单[[#This Row],[化学]]))+1)</f>
        <v>421</v>
      </c>
      <c r="U1196" s="29" cm="1">
        <f t="array" ref="U1196">IF(表成绩单[[#This Row],[政治]]="","",SUMPRODUCT((表成绩单[考试日期]=表成绩单[[#This Row],[考试日期]])*(表成绩单[政治]&lt;9E+307)*(表成绩单[政治]&gt;表成绩单[[#This Row],[政治]]))+1)</f>
        <v>400</v>
      </c>
      <c r="V1196" s="29" cm="1">
        <f t="array" ref="V1196">IF(表成绩单[[#This Row],[历史]]="","",SUMPRODUCT((表成绩单[考试日期]=表成绩单[[#This Row],[考试日期]])*(表成绩单[历史]&lt;9E+307)*(表成绩单[历史]&gt;表成绩单[[#This Row],[历史]]))+1)</f>
        <v>403</v>
      </c>
      <c r="W1196" s="29" cm="1">
        <f t="array" ref="W1196">IF(表成绩单[[#This Row],[总分]]="","",SUMPRODUCT((表成绩单[考试日期]=表成绩单[[#This Row],[考试日期]])*(表成绩单[总分]&lt;9E+307)*(表成绩单[总分]&gt;表成绩单[[#This Row],[总分]]))+1)</f>
        <v>390</v>
      </c>
    </row>
    <row r="1197" ht="28" customHeight="1" spans="4:23">
      <c r="D1197" s="31">
        <v>46003</v>
      </c>
      <c r="E1197" s="29">
        <v>19176172</v>
      </c>
      <c r="F1197" s="29" t="s">
        <v>67</v>
      </c>
      <c r="G1197" s="29" t="s">
        <v>422</v>
      </c>
      <c r="H1197" s="29">
        <v>94</v>
      </c>
      <c r="I1197" s="29">
        <v>94</v>
      </c>
      <c r="J1197" s="29">
        <v>50</v>
      </c>
      <c r="K1197" s="29">
        <v>90</v>
      </c>
      <c r="L1197" s="29">
        <v>90</v>
      </c>
      <c r="M1197" s="29">
        <v>54</v>
      </c>
      <c r="N1197" s="29">
        <v>72</v>
      </c>
      <c r="O1197" s="32">
        <v>544</v>
      </c>
      <c r="P1197" s="29" cm="1">
        <f t="array" ref="P1197">IF(表成绩单[[#This Row],[语文]]="","",SUMPRODUCT((表成绩单[考试日期]=表成绩单[[#This Row],[考试日期]])*(表成绩单[语文]&lt;9E+307)*(表成绩单[语文]&gt;表成绩单[[#This Row],[语文]]))+1)</f>
        <v>537</v>
      </c>
      <c r="Q1197" s="29" cm="1">
        <f t="array" ref="Q1197">IF(表成绩单[[#This Row],[数学]]="","",SUMPRODUCT((表成绩单[考试日期]=表成绩单[[#This Row],[考试日期]])*(表成绩单[数学]&lt;9E+307)*(表成绩单[数学]&gt;表成绩单[[#This Row],[数学]]))+1)</f>
        <v>142</v>
      </c>
      <c r="R1197" s="29" cm="1">
        <f t="array" ref="R1197">IF(表成绩单[[#This Row],[英语]]="","",SUMPRODUCT((表成绩单[考试日期]=表成绩单[[#This Row],[考试日期]])*(表成绩单[英语]&lt;9E+307)*(表成绩单[英语]&gt;表成绩单[[#This Row],[英语]]))+1)</f>
        <v>605</v>
      </c>
      <c r="S1197" s="29" cm="1">
        <f t="array" ref="S1197">IF(表成绩单[[#This Row],[物理]]="","",SUMPRODUCT((表成绩单[考试日期]=表成绩单[[#This Row],[考试日期]])*(表成绩单[物理]&lt;9E+307)*(表成绩单[物理]&gt;表成绩单[[#This Row],[物理]]))+1)</f>
        <v>237</v>
      </c>
      <c r="T1197" s="29" cm="1">
        <f t="array" ref="T1197">IF(表成绩单[[#This Row],[化学]]="","",SUMPRODUCT((表成绩单[考试日期]=表成绩单[[#This Row],[考试日期]])*(表成绩单[化学]&lt;9E+307)*(表成绩单[化学]&gt;表成绩单[[#This Row],[化学]]))+1)</f>
        <v>140</v>
      </c>
      <c r="U1197" s="29" cm="1">
        <f t="array" ref="U1197">IF(表成绩单[[#This Row],[政治]]="","",SUMPRODUCT((表成绩单[考试日期]=表成绩单[[#This Row],[考试日期]])*(表成绩单[政治]&lt;9E+307)*(表成绩单[政治]&gt;表成绩单[[#This Row],[政治]]))+1)</f>
        <v>524</v>
      </c>
      <c r="V1197" s="29" cm="1">
        <f t="array" ref="V1197">IF(表成绩单[[#This Row],[历史]]="","",SUMPRODUCT((表成绩单[考试日期]=表成绩单[[#This Row],[考试日期]])*(表成绩单[历史]&lt;9E+307)*(表成绩单[历史]&gt;表成绩单[[#This Row],[历史]]))+1)</f>
        <v>439</v>
      </c>
      <c r="W1197" s="29" cm="1">
        <f t="array" ref="W1197">IF(表成绩单[[#This Row],[总分]]="","",SUMPRODUCT((表成绩单[考试日期]=表成绩单[[#This Row],[考试日期]])*(表成绩单[总分]&lt;9E+307)*(表成绩单[总分]&gt;表成绩单[[#This Row],[总分]]))+1)</f>
        <v>390</v>
      </c>
    </row>
    <row r="1198" ht="28" customHeight="1" spans="4:23">
      <c r="D1198" s="31">
        <v>46003</v>
      </c>
      <c r="E1198" s="29">
        <v>19177640</v>
      </c>
      <c r="F1198" s="29" t="s">
        <v>63</v>
      </c>
      <c r="G1198" s="29" t="s">
        <v>505</v>
      </c>
      <c r="H1198" s="29">
        <v>108</v>
      </c>
      <c r="I1198" s="29">
        <v>66</v>
      </c>
      <c r="J1198" s="29">
        <v>78</v>
      </c>
      <c r="K1198" s="29">
        <v>77</v>
      </c>
      <c r="L1198" s="29">
        <v>74</v>
      </c>
      <c r="M1198" s="29">
        <v>68</v>
      </c>
      <c r="N1198" s="29">
        <v>73</v>
      </c>
      <c r="O1198" s="32">
        <v>544</v>
      </c>
      <c r="P1198" s="29" cm="1">
        <f t="array" ref="P1198">IF(表成绩单[[#This Row],[语文]]="","",SUMPRODUCT((表成绩单[考试日期]=表成绩单[[#This Row],[考试日期]])*(表成绩单[语文]&lt;9E+307)*(表成绩单[语文]&gt;表成绩单[[#This Row],[语文]]))+1)</f>
        <v>154</v>
      </c>
      <c r="Q1198" s="29" cm="1">
        <f t="array" ref="Q1198">IF(表成绩单[[#This Row],[数学]]="","",SUMPRODUCT((表成绩单[考试日期]=表成绩单[[#This Row],[考试日期]])*(表成绩单[数学]&lt;9E+307)*(表成绩单[数学]&gt;表成绩单[[#This Row],[数学]]))+1)</f>
        <v>467</v>
      </c>
      <c r="R1198" s="29" cm="1">
        <f t="array" ref="R1198">IF(表成绩单[[#This Row],[英语]]="","",SUMPRODUCT((表成绩单[考试日期]=表成绩单[[#This Row],[考试日期]])*(表成绩单[英语]&lt;9E+307)*(表成绩单[英语]&gt;表成绩单[[#This Row],[英语]]))+1)</f>
        <v>214</v>
      </c>
      <c r="S1198" s="29" cm="1">
        <f t="array" ref="S1198">IF(表成绩单[[#This Row],[物理]]="","",SUMPRODUCT((表成绩单[考试日期]=表成绩单[[#This Row],[考试日期]])*(表成绩单[物理]&lt;9E+307)*(表成绩单[物理]&gt;表成绩单[[#This Row],[物理]]))+1)</f>
        <v>454</v>
      </c>
      <c r="T1198" s="29" cm="1">
        <f t="array" ref="T1198">IF(表成绩单[[#This Row],[化学]]="","",SUMPRODUCT((表成绩单[考试日期]=表成绩单[[#This Row],[考试日期]])*(表成绩单[化学]&lt;9E+307)*(表成绩单[化学]&gt;表成绩单[[#This Row],[化学]]))+1)</f>
        <v>440</v>
      </c>
      <c r="U1198" s="29" cm="1">
        <f t="array" ref="U1198">IF(表成绩单[[#This Row],[政治]]="","",SUMPRODUCT((表成绩单[考试日期]=表成绩单[[#This Row],[考试日期]])*(表成绩单[政治]&lt;9E+307)*(表成绩单[政治]&gt;表成绩单[[#This Row],[政治]]))+1)</f>
        <v>237</v>
      </c>
      <c r="V1198" s="29" cm="1">
        <f t="array" ref="V1198">IF(表成绩单[[#This Row],[历史]]="","",SUMPRODUCT((表成绩单[考试日期]=表成绩单[[#This Row],[考试日期]])*(表成绩单[历史]&lt;9E+307)*(表成绩单[历史]&gt;表成绩单[[#This Row],[历史]]))+1)</f>
        <v>403</v>
      </c>
      <c r="W1198" s="29" cm="1">
        <f t="array" ref="W1198">IF(表成绩单[[#This Row],[总分]]="","",SUMPRODUCT((表成绩单[考试日期]=表成绩单[[#This Row],[考试日期]])*(表成绩单[总分]&lt;9E+307)*(表成绩单[总分]&gt;表成绩单[[#This Row],[总分]]))+1)</f>
        <v>390</v>
      </c>
    </row>
    <row r="1199" ht="28" customHeight="1" spans="4:23">
      <c r="D1199" s="31">
        <v>46003</v>
      </c>
      <c r="E1199" s="29">
        <v>19174779</v>
      </c>
      <c r="F1199" s="29" t="s">
        <v>69</v>
      </c>
      <c r="G1199" s="29" t="s">
        <v>472</v>
      </c>
      <c r="H1199" s="29">
        <v>96</v>
      </c>
      <c r="I1199" s="29">
        <v>79</v>
      </c>
      <c r="J1199" s="29">
        <v>77.5</v>
      </c>
      <c r="K1199" s="29">
        <v>78</v>
      </c>
      <c r="L1199" s="29">
        <v>71</v>
      </c>
      <c r="M1199" s="29">
        <v>67</v>
      </c>
      <c r="N1199" s="29">
        <v>75</v>
      </c>
      <c r="O1199" s="32">
        <v>543.5</v>
      </c>
      <c r="P1199" s="29" cm="1">
        <f t="array" ref="P1199">IF(表成绩单[[#This Row],[语文]]="","",SUMPRODUCT((表成绩单[考试日期]=表成绩单[[#This Row],[考试日期]])*(表成绩单[语文]&lt;9E+307)*(表成绩单[语文]&gt;表成绩单[[#This Row],[语文]]))+1)</f>
        <v>509</v>
      </c>
      <c r="Q1199" s="29" cm="1">
        <f t="array" ref="Q1199">IF(表成绩单[[#This Row],[数学]]="","",SUMPRODUCT((表成绩单[考试日期]=表成绩单[[#This Row],[考试日期]])*(表成绩单[数学]&lt;9E+307)*(表成绩单[数学]&gt;表成绩单[[#This Row],[数学]]))+1)</f>
        <v>324</v>
      </c>
      <c r="R1199" s="29" cm="1">
        <f t="array" ref="R1199">IF(表成绩单[[#This Row],[英语]]="","",SUMPRODUCT((表成绩单[考试日期]=表成绩单[[#This Row],[考试日期]])*(表成绩单[英语]&lt;9E+307)*(表成绩单[英语]&gt;表成绩单[[#This Row],[英语]]))+1)</f>
        <v>230</v>
      </c>
      <c r="S1199" s="29" cm="1">
        <f t="array" ref="S1199">IF(表成绩单[[#This Row],[物理]]="","",SUMPRODUCT((表成绩单[考试日期]=表成绩单[[#This Row],[考试日期]])*(表成绩单[物理]&lt;9E+307)*(表成绩单[物理]&gt;表成绩单[[#This Row],[物理]]))+1)</f>
        <v>443</v>
      </c>
      <c r="T1199" s="29" cm="1">
        <f t="array" ref="T1199">IF(表成绩单[[#This Row],[化学]]="","",SUMPRODUCT((表成绩单[考试日期]=表成绩单[[#This Row],[考试日期]])*(表成绩单[化学]&lt;9E+307)*(表成绩单[化学]&gt;表成绩单[[#This Row],[化学]]))+1)</f>
        <v>487</v>
      </c>
      <c r="U1199" s="29" cm="1">
        <f t="array" ref="U1199">IF(表成绩单[[#This Row],[政治]]="","",SUMPRODUCT((表成绩单[考试日期]=表成绩单[[#This Row],[考试日期]])*(表成绩单[政治]&lt;9E+307)*(表成绩单[政治]&gt;表成绩单[[#This Row],[政治]]))+1)</f>
        <v>264</v>
      </c>
      <c r="V1199" s="29" cm="1">
        <f t="array" ref="V1199">IF(表成绩单[[#This Row],[历史]]="","",SUMPRODUCT((表成绩单[考试日期]=表成绩单[[#This Row],[考试日期]])*(表成绩单[历史]&lt;9E+307)*(表成绩单[历史]&gt;表成绩单[[#This Row],[历史]]))+1)</f>
        <v>329</v>
      </c>
      <c r="W1199" s="29" cm="1">
        <f t="array" ref="W1199">IF(表成绩单[[#This Row],[总分]]="","",SUMPRODUCT((表成绩单[考试日期]=表成绩单[[#This Row],[考试日期]])*(表成绩单[总分]&lt;9E+307)*(表成绩单[总分]&gt;表成绩单[[#This Row],[总分]]))+1)</f>
        <v>394</v>
      </c>
    </row>
    <row r="1200" ht="28" customHeight="1" spans="4:23">
      <c r="D1200" s="31">
        <v>46003</v>
      </c>
      <c r="E1200" s="29">
        <v>19174445</v>
      </c>
      <c r="F1200" s="29" t="s">
        <v>73</v>
      </c>
      <c r="G1200" s="29" t="s">
        <v>567</v>
      </c>
      <c r="H1200" s="29">
        <v>112</v>
      </c>
      <c r="I1200" s="29">
        <v>75</v>
      </c>
      <c r="J1200" s="29">
        <v>79</v>
      </c>
      <c r="K1200" s="29">
        <v>70</v>
      </c>
      <c r="L1200" s="29">
        <v>79</v>
      </c>
      <c r="M1200" s="29">
        <v>54</v>
      </c>
      <c r="N1200" s="29">
        <v>74</v>
      </c>
      <c r="O1200" s="32">
        <v>543</v>
      </c>
      <c r="P1200" s="29" cm="1">
        <f t="array" ref="P1200">IF(表成绩单[[#This Row],[语文]]="","",SUMPRODUCT((表成绩单[考试日期]=表成绩单[[#This Row],[考试日期]])*(表成绩单[语文]&lt;9E+307)*(表成绩单[语文]&gt;表成绩单[[#This Row],[语文]]))+1)</f>
        <v>36</v>
      </c>
      <c r="Q1200" s="29" cm="1">
        <f t="array" ref="Q1200">IF(表成绩单[[#This Row],[数学]]="","",SUMPRODUCT((表成绩单[考试日期]=表成绩单[[#This Row],[考试日期]])*(表成绩单[数学]&lt;9E+307)*(表成绩单[数学]&gt;表成绩单[[#This Row],[数学]]))+1)</f>
        <v>364</v>
      </c>
      <c r="R1200" s="29" cm="1">
        <f t="array" ref="R1200">IF(表成绩单[[#This Row],[英语]]="","",SUMPRODUCT((表成绩单[考试日期]=表成绩单[[#This Row],[考试日期]])*(表成绩单[英语]&lt;9E+307)*(表成绩单[英语]&gt;表成绩单[[#This Row],[英语]]))+1)</f>
        <v>188</v>
      </c>
      <c r="S1200" s="29" cm="1">
        <f t="array" ref="S1200">IF(表成绩单[[#This Row],[物理]]="","",SUMPRODUCT((表成绩单[考试日期]=表成绩单[[#This Row],[考试日期]])*(表成绩单[物理]&lt;9E+307)*(表成绩单[物理]&gt;表成绩单[[#This Row],[物理]]))+1)</f>
        <v>522</v>
      </c>
      <c r="T1200" s="29" cm="1">
        <f t="array" ref="T1200">IF(表成绩单[[#This Row],[化学]]="","",SUMPRODUCT((表成绩单[考试日期]=表成绩单[[#This Row],[考试日期]])*(表成绩单[化学]&lt;9E+307)*(表成绩单[化学]&gt;表成绩单[[#This Row],[化学]]))+1)</f>
        <v>351</v>
      </c>
      <c r="U1200" s="29" cm="1">
        <f t="array" ref="U1200">IF(表成绩单[[#This Row],[政治]]="","",SUMPRODUCT((表成绩单[考试日期]=表成绩单[[#This Row],[考试日期]])*(表成绩单[政治]&lt;9E+307)*(表成绩单[政治]&gt;表成绩单[[#This Row],[政治]]))+1)</f>
        <v>524</v>
      </c>
      <c r="V1200" s="29" cm="1">
        <f t="array" ref="V1200">IF(表成绩单[[#This Row],[历史]]="","",SUMPRODUCT((表成绩单[考试日期]=表成绩单[[#This Row],[考试日期]])*(表成绩单[历史]&lt;9E+307)*(表成绩单[历史]&gt;表成绩单[[#This Row],[历史]]))+1)</f>
        <v>371</v>
      </c>
      <c r="W1200" s="29" cm="1">
        <f t="array" ref="W1200">IF(表成绩单[[#This Row],[总分]]="","",SUMPRODUCT((表成绩单[考试日期]=表成绩单[[#This Row],[考试日期]])*(表成绩单[总分]&lt;9E+307)*(表成绩单[总分]&gt;表成绩单[[#This Row],[总分]]))+1)</f>
        <v>395</v>
      </c>
    </row>
    <row r="1201" ht="28" customHeight="1" spans="4:23">
      <c r="D1201" s="31">
        <v>46003</v>
      </c>
      <c r="E1201" s="29">
        <v>19171078</v>
      </c>
      <c r="F1201" s="29" t="s">
        <v>67</v>
      </c>
      <c r="G1201" s="29" t="s">
        <v>590</v>
      </c>
      <c r="H1201" s="29">
        <v>98</v>
      </c>
      <c r="I1201" s="29">
        <v>95</v>
      </c>
      <c r="J1201" s="29">
        <v>39.5</v>
      </c>
      <c r="K1201" s="29">
        <v>83</v>
      </c>
      <c r="L1201" s="29">
        <v>85</v>
      </c>
      <c r="M1201" s="29">
        <v>65</v>
      </c>
      <c r="N1201" s="29">
        <v>77</v>
      </c>
      <c r="O1201" s="32">
        <v>542.5</v>
      </c>
      <c r="P1201" s="29" cm="1">
        <f t="array" ref="P1201">IF(表成绩单[[#This Row],[语文]]="","",SUMPRODUCT((表成绩单[考试日期]=表成绩单[[#This Row],[考试日期]])*(表成绩单[语文]&lt;9E+307)*(表成绩单[语文]&gt;表成绩单[[#This Row],[语文]]))+1)</f>
        <v>463</v>
      </c>
      <c r="Q1201" s="29" cm="1">
        <f t="array" ref="Q1201">IF(表成绩单[[#This Row],[数学]]="","",SUMPRODUCT((表成绩单[考试日期]=表成绩单[[#This Row],[考试日期]])*(表成绩单[数学]&lt;9E+307)*(表成绩单[数学]&gt;表成绩单[[#This Row],[数学]]))+1)</f>
        <v>122</v>
      </c>
      <c r="R1201" s="29" cm="1">
        <f t="array" ref="R1201">IF(表成绩单[[#This Row],[英语]]="","",SUMPRODUCT((表成绩单[考试日期]=表成绩单[[#This Row],[考试日期]])*(表成绩单[英语]&lt;9E+307)*(表成绩单[英语]&gt;表成绩单[[#This Row],[英语]]))+1)</f>
        <v>657</v>
      </c>
      <c r="S1201" s="29" cm="1">
        <f t="array" ref="S1201">IF(表成绩单[[#This Row],[物理]]="","",SUMPRODUCT((表成绩单[考试日期]=表成绩单[[#This Row],[考试日期]])*(表成绩单[物理]&lt;9E+307)*(表成绩单[物理]&gt;表成绩单[[#This Row],[物理]]))+1)</f>
        <v>376</v>
      </c>
      <c r="T1201" s="29" cm="1">
        <f t="array" ref="T1201">IF(表成绩单[[#This Row],[化学]]="","",SUMPRODUCT((表成绩单[考试日期]=表成绩单[[#This Row],[考试日期]])*(表成绩单[化学]&lt;9E+307)*(表成绩单[化学]&gt;表成绩单[[#This Row],[化学]]))+1)</f>
        <v>240</v>
      </c>
      <c r="U1201" s="29" cm="1">
        <f t="array" ref="U1201">IF(表成绩单[[#This Row],[政治]]="","",SUMPRODUCT((表成绩单[考试日期]=表成绩单[[#This Row],[考试日期]])*(表成绩单[政治]&lt;9E+307)*(表成绩单[政治]&gt;表成绩单[[#This Row],[政治]]))+1)</f>
        <v>314</v>
      </c>
      <c r="V1201" s="29" cm="1">
        <f t="array" ref="V1201">IF(表成绩单[[#This Row],[历史]]="","",SUMPRODUCT((表成绩单[考试日期]=表成绩单[[#This Row],[考试日期]])*(表成绩单[历史]&lt;9E+307)*(表成绩单[历史]&gt;表成绩单[[#This Row],[历史]]))+1)</f>
        <v>235</v>
      </c>
      <c r="W1201" s="29" cm="1">
        <f t="array" ref="W1201">IF(表成绩单[[#This Row],[总分]]="","",SUMPRODUCT((表成绩单[考试日期]=表成绩单[[#This Row],[考试日期]])*(表成绩单[总分]&lt;9E+307)*(表成绩单[总分]&gt;表成绩单[[#This Row],[总分]]))+1)</f>
        <v>396</v>
      </c>
    </row>
    <row r="1202" ht="28" customHeight="1" spans="4:23">
      <c r="D1202" s="31">
        <v>46003</v>
      </c>
      <c r="E1202" s="29">
        <v>19172636</v>
      </c>
      <c r="F1202" s="29" t="s">
        <v>60</v>
      </c>
      <c r="G1202" s="29" t="s">
        <v>490</v>
      </c>
      <c r="H1202" s="29">
        <v>98</v>
      </c>
      <c r="I1202" s="29">
        <v>68</v>
      </c>
      <c r="J1202" s="29">
        <v>77.5</v>
      </c>
      <c r="K1202" s="29">
        <v>73</v>
      </c>
      <c r="L1202" s="29">
        <v>87</v>
      </c>
      <c r="M1202" s="29">
        <v>65</v>
      </c>
      <c r="N1202" s="29">
        <v>74</v>
      </c>
      <c r="O1202" s="32">
        <v>542.5</v>
      </c>
      <c r="P1202" s="29" cm="1">
        <f t="array" ref="P1202">IF(表成绩单[[#This Row],[语文]]="","",SUMPRODUCT((表成绩单[考试日期]=表成绩单[[#This Row],[考试日期]])*(表成绩单[语文]&lt;9E+307)*(表成绩单[语文]&gt;表成绩单[[#This Row],[语文]]))+1)</f>
        <v>463</v>
      </c>
      <c r="Q1202" s="29" cm="1">
        <f t="array" ref="Q1202">IF(表成绩单[[#This Row],[数学]]="","",SUMPRODUCT((表成绩单[考试日期]=表成绩单[[#This Row],[考试日期]])*(表成绩单[数学]&lt;9E+307)*(表成绩单[数学]&gt;表成绩单[[#This Row],[数学]]))+1)</f>
        <v>450</v>
      </c>
      <c r="R1202" s="29" cm="1">
        <f t="array" ref="R1202">IF(表成绩单[[#This Row],[英语]]="","",SUMPRODUCT((表成绩单[考试日期]=表成绩单[[#This Row],[考试日期]])*(表成绩单[英语]&lt;9E+307)*(表成绩单[英语]&gt;表成绩单[[#This Row],[英语]]))+1)</f>
        <v>230</v>
      </c>
      <c r="S1202" s="29" cm="1">
        <f t="array" ref="S1202">IF(表成绩单[[#This Row],[物理]]="","",SUMPRODUCT((表成绩单[考试日期]=表成绩单[[#This Row],[考试日期]])*(表成绩单[物理]&lt;9E+307)*(表成绩单[物理]&gt;表成绩单[[#This Row],[物理]]))+1)</f>
        <v>488</v>
      </c>
      <c r="T1202" s="29" cm="1">
        <f t="array" ref="T1202">IF(表成绩单[[#This Row],[化学]]="","",SUMPRODUCT((表成绩单[考试日期]=表成绩单[[#This Row],[考试日期]])*(表成绩单[化学]&lt;9E+307)*(表成绩单[化学]&gt;表成绩单[[#This Row],[化学]]))+1)</f>
        <v>201</v>
      </c>
      <c r="U1202" s="29" cm="1">
        <f t="array" ref="U1202">IF(表成绩单[[#This Row],[政治]]="","",SUMPRODUCT((表成绩单[考试日期]=表成绩单[[#This Row],[考试日期]])*(表成绩单[政治]&lt;9E+307)*(表成绩单[政治]&gt;表成绩单[[#This Row],[政治]]))+1)</f>
        <v>314</v>
      </c>
      <c r="V1202" s="29" cm="1">
        <f t="array" ref="V1202">IF(表成绩单[[#This Row],[历史]]="","",SUMPRODUCT((表成绩单[考试日期]=表成绩单[[#This Row],[考试日期]])*(表成绩单[历史]&lt;9E+307)*(表成绩单[历史]&gt;表成绩单[[#This Row],[历史]]))+1)</f>
        <v>371</v>
      </c>
      <c r="W1202" s="29" cm="1">
        <f t="array" ref="W1202">IF(表成绩单[[#This Row],[总分]]="","",SUMPRODUCT((表成绩单[考试日期]=表成绩单[[#This Row],[考试日期]])*(表成绩单[总分]&lt;9E+307)*(表成绩单[总分]&gt;表成绩单[[#This Row],[总分]]))+1)</f>
        <v>396</v>
      </c>
    </row>
    <row r="1203" ht="28" customHeight="1" spans="4:23">
      <c r="D1203" s="31">
        <v>46003</v>
      </c>
      <c r="E1203" s="29">
        <v>19173780</v>
      </c>
      <c r="F1203" s="29" t="s">
        <v>65</v>
      </c>
      <c r="G1203" s="29" t="s">
        <v>461</v>
      </c>
      <c r="H1203" s="29">
        <v>94</v>
      </c>
      <c r="I1203" s="29">
        <v>75</v>
      </c>
      <c r="J1203" s="29">
        <v>63.5</v>
      </c>
      <c r="K1203" s="29">
        <v>77</v>
      </c>
      <c r="L1203" s="29">
        <v>79</v>
      </c>
      <c r="M1203" s="29">
        <v>77</v>
      </c>
      <c r="N1203" s="29">
        <v>77</v>
      </c>
      <c r="O1203" s="32">
        <v>542.5</v>
      </c>
      <c r="P1203" s="29" cm="1">
        <f t="array" ref="P1203">IF(表成绩单[[#This Row],[语文]]="","",SUMPRODUCT((表成绩单[考试日期]=表成绩单[[#This Row],[考试日期]])*(表成绩单[语文]&lt;9E+307)*(表成绩单[语文]&gt;表成绩单[[#This Row],[语文]]))+1)</f>
        <v>537</v>
      </c>
      <c r="Q1203" s="29" cm="1">
        <f t="array" ref="Q1203">IF(表成绩单[[#This Row],[数学]]="","",SUMPRODUCT((表成绩单[考试日期]=表成绩单[[#This Row],[考试日期]])*(表成绩单[数学]&lt;9E+307)*(表成绩单[数学]&gt;表成绩单[[#This Row],[数学]]))+1)</f>
        <v>364</v>
      </c>
      <c r="R1203" s="29" cm="1">
        <f t="array" ref="R1203">IF(表成绩单[[#This Row],[英语]]="","",SUMPRODUCT((表成绩单[考试日期]=表成绩单[[#This Row],[考试日期]])*(表成绩单[英语]&lt;9E+307)*(表成绩单[英语]&gt;表成绩单[[#This Row],[英语]]))+1)</f>
        <v>494</v>
      </c>
      <c r="S1203" s="29" cm="1">
        <f t="array" ref="S1203">IF(表成绩单[[#This Row],[物理]]="","",SUMPRODUCT((表成绩单[考试日期]=表成绩单[[#This Row],[考试日期]])*(表成绩单[物理]&lt;9E+307)*(表成绩单[物理]&gt;表成绩单[[#This Row],[物理]]))+1)</f>
        <v>454</v>
      </c>
      <c r="T1203" s="29" cm="1">
        <f t="array" ref="T1203">IF(表成绩单[[#This Row],[化学]]="","",SUMPRODUCT((表成绩单[考试日期]=表成绩单[[#This Row],[考试日期]])*(表成绩单[化学]&lt;9E+307)*(表成绩单[化学]&gt;表成绩单[[#This Row],[化学]]))+1)</f>
        <v>351</v>
      </c>
      <c r="U1203" s="29" cm="1">
        <f t="array" ref="U1203">IF(表成绩单[[#This Row],[政治]]="","",SUMPRODUCT((表成绩单[考试日期]=表成绩单[[#This Row],[考试日期]])*(表成绩单[政治]&lt;9E+307)*(表成绩单[政治]&gt;表成绩单[[#This Row],[政治]]))+1)</f>
        <v>64</v>
      </c>
      <c r="V1203" s="29" cm="1">
        <f t="array" ref="V1203">IF(表成绩单[[#This Row],[历史]]="","",SUMPRODUCT((表成绩单[考试日期]=表成绩单[[#This Row],[考试日期]])*(表成绩单[历史]&lt;9E+307)*(表成绩单[历史]&gt;表成绩单[[#This Row],[历史]]))+1)</f>
        <v>235</v>
      </c>
      <c r="W1203" s="29" cm="1">
        <f t="array" ref="W1203">IF(表成绩单[[#This Row],[总分]]="","",SUMPRODUCT((表成绩单[考试日期]=表成绩单[[#This Row],[考试日期]])*(表成绩单[总分]&lt;9E+307)*(表成绩单[总分]&gt;表成绩单[[#This Row],[总分]]))+1)</f>
        <v>396</v>
      </c>
    </row>
    <row r="1204" ht="28" customHeight="1" spans="4:23">
      <c r="D1204" s="31">
        <v>46003</v>
      </c>
      <c r="E1204" s="29">
        <v>19174772</v>
      </c>
      <c r="F1204" s="29" t="s">
        <v>69</v>
      </c>
      <c r="G1204" s="29" t="s">
        <v>606</v>
      </c>
      <c r="H1204" s="29">
        <v>101</v>
      </c>
      <c r="I1204" s="29">
        <v>77</v>
      </c>
      <c r="J1204" s="29">
        <v>72.5</v>
      </c>
      <c r="K1204" s="29">
        <v>92</v>
      </c>
      <c r="L1204" s="29">
        <v>72</v>
      </c>
      <c r="M1204" s="29">
        <v>53</v>
      </c>
      <c r="N1204" s="29">
        <v>75</v>
      </c>
      <c r="O1204" s="32">
        <v>542.5</v>
      </c>
      <c r="P1204" s="29" cm="1">
        <f t="array" ref="P1204">IF(表成绩单[[#This Row],[语文]]="","",SUMPRODUCT((表成绩单[考试日期]=表成绩单[[#This Row],[考试日期]])*(表成绩单[语文]&lt;9E+307)*(表成绩单[语文]&gt;表成绩单[[#This Row],[语文]]))+1)</f>
        <v>387</v>
      </c>
      <c r="Q1204" s="29" cm="1">
        <f t="array" ref="Q1204">IF(表成绩单[[#This Row],[数学]]="","",SUMPRODUCT((表成绩单[考试日期]=表成绩单[[#This Row],[考试日期]])*(表成绩单[数学]&lt;9E+307)*(表成绩单[数学]&gt;表成绩单[[#This Row],[数学]]))+1)</f>
        <v>343</v>
      </c>
      <c r="R1204" s="29" cm="1">
        <f t="array" ref="R1204">IF(表成绩单[[#This Row],[英语]]="","",SUMPRODUCT((表成绩单[考试日期]=表成绩单[[#This Row],[考试日期]])*(表成绩单[英语]&lt;9E+307)*(表成绩单[英语]&gt;表成绩单[[#This Row],[英语]]))+1)</f>
        <v>373</v>
      </c>
      <c r="S1204" s="29" cm="1">
        <f t="array" ref="S1204">IF(表成绩单[[#This Row],[物理]]="","",SUMPRODUCT((表成绩单[考试日期]=表成绩单[[#This Row],[考试日期]])*(表成绩单[物理]&lt;9E+307)*(表成绩单[物理]&gt;表成绩单[[#This Row],[物理]]))+1)</f>
        <v>191</v>
      </c>
      <c r="T1204" s="29" cm="1">
        <f t="array" ref="T1204">IF(表成绩单[[#This Row],[化学]]="","",SUMPRODUCT((表成绩单[考试日期]=表成绩单[[#This Row],[考试日期]])*(表成绩单[化学]&lt;9E+307)*(表成绩单[化学]&gt;表成绩单[[#This Row],[化学]]))+1)</f>
        <v>472</v>
      </c>
      <c r="U1204" s="29" cm="1">
        <f t="array" ref="U1204">IF(表成绩单[[#This Row],[政治]]="","",SUMPRODUCT((表成绩单[考试日期]=表成绩单[[#This Row],[考试日期]])*(表成绩单[政治]&lt;9E+307)*(表成绩单[政治]&gt;表成绩单[[#This Row],[政治]]))+1)</f>
        <v>547</v>
      </c>
      <c r="V1204" s="29" cm="1">
        <f t="array" ref="V1204">IF(表成绩单[[#This Row],[历史]]="","",SUMPRODUCT((表成绩单[考试日期]=表成绩单[[#This Row],[考试日期]])*(表成绩单[历史]&lt;9E+307)*(表成绩单[历史]&gt;表成绩单[[#This Row],[历史]]))+1)</f>
        <v>329</v>
      </c>
      <c r="W1204" s="29" cm="1">
        <f t="array" ref="W1204">IF(表成绩单[[#This Row],[总分]]="","",SUMPRODUCT((表成绩单[考试日期]=表成绩单[[#This Row],[考试日期]])*(表成绩单[总分]&lt;9E+307)*(表成绩单[总分]&gt;表成绩单[[#This Row],[总分]]))+1)</f>
        <v>396</v>
      </c>
    </row>
    <row r="1205" ht="28" customHeight="1" spans="4:23">
      <c r="D1205" s="31">
        <v>46003</v>
      </c>
      <c r="E1205" s="29">
        <v>19175676</v>
      </c>
      <c r="F1205" s="29" t="s">
        <v>72</v>
      </c>
      <c r="G1205" s="29" t="s">
        <v>483</v>
      </c>
      <c r="H1205" s="29">
        <v>104</v>
      </c>
      <c r="I1205" s="29">
        <v>83</v>
      </c>
      <c r="J1205" s="29">
        <v>69.5</v>
      </c>
      <c r="K1205" s="29">
        <v>77</v>
      </c>
      <c r="L1205" s="29">
        <v>82</v>
      </c>
      <c r="M1205" s="29">
        <v>58</v>
      </c>
      <c r="N1205" s="29">
        <v>69</v>
      </c>
      <c r="O1205" s="32">
        <v>542.5</v>
      </c>
      <c r="P1205" s="29" cm="1">
        <f t="array" ref="P1205">IF(表成绩单[[#This Row],[语文]]="","",SUMPRODUCT((表成绩单[考试日期]=表成绩单[[#This Row],[考试日期]])*(表成绩单[语文]&lt;9E+307)*(表成绩单[语文]&gt;表成绩单[[#This Row],[语文]]))+1)</f>
        <v>290</v>
      </c>
      <c r="Q1205" s="29" cm="1">
        <f t="array" ref="Q1205">IF(表成绩单[[#This Row],[数学]]="","",SUMPRODUCT((表成绩单[考试日期]=表成绩单[[#This Row],[考试日期]])*(表成绩单[数学]&lt;9E+307)*(表成绩单[数学]&gt;表成绩单[[#This Row],[数学]]))+1)</f>
        <v>272</v>
      </c>
      <c r="R1205" s="29" cm="1">
        <f t="array" ref="R1205">IF(表成绩单[[#This Row],[英语]]="","",SUMPRODUCT((表成绩单[考试日期]=表成绩单[[#This Row],[考试日期]])*(表成绩单[英语]&lt;9E+307)*(表成绩单[英语]&gt;表成绩单[[#This Row],[英语]]))+1)</f>
        <v>426</v>
      </c>
      <c r="S1205" s="29" cm="1">
        <f t="array" ref="S1205">IF(表成绩单[[#This Row],[物理]]="","",SUMPRODUCT((表成绩单[考试日期]=表成绩单[[#This Row],[考试日期]])*(表成绩单[物理]&lt;9E+307)*(表成绩单[物理]&gt;表成绩单[[#This Row],[物理]]))+1)</f>
        <v>454</v>
      </c>
      <c r="T1205" s="29" cm="1">
        <f t="array" ref="T1205">IF(表成绩单[[#This Row],[化学]]="","",SUMPRODUCT((表成绩单[考试日期]=表成绩单[[#This Row],[考试日期]])*(表成绩单[化学]&lt;9E+307)*(表成绩单[化学]&gt;表成绩单[[#This Row],[化学]]))+1)</f>
        <v>286</v>
      </c>
      <c r="U1205" s="29" cm="1">
        <f t="array" ref="U1205">IF(表成绩单[[#This Row],[政治]]="","",SUMPRODUCT((表成绩单[考试日期]=表成绩单[[#This Row],[考试日期]])*(表成绩单[政治]&lt;9E+307)*(表成绩单[政治]&gt;表成绩单[[#This Row],[政治]]))+1)</f>
        <v>454</v>
      </c>
      <c r="V1205" s="29" cm="1">
        <f t="array" ref="V1205">IF(表成绩单[[#This Row],[历史]]="","",SUMPRODUCT((表成绩单[考试日期]=表成绩单[[#This Row],[考试日期]])*(表成绩单[历史]&lt;9E+307)*(表成绩单[历史]&gt;表成绩单[[#This Row],[历史]]))+1)</f>
        <v>516</v>
      </c>
      <c r="W1205" s="29" cm="1">
        <f t="array" ref="W1205">IF(表成绩单[[#This Row],[总分]]="","",SUMPRODUCT((表成绩单[考试日期]=表成绩单[[#This Row],[考试日期]])*(表成绩单[总分]&lt;9E+307)*(表成绩单[总分]&gt;表成绩单[[#This Row],[总分]]))+1)</f>
        <v>396</v>
      </c>
    </row>
    <row r="1206" ht="28" customHeight="1" spans="4:23">
      <c r="D1206" s="31">
        <v>46003</v>
      </c>
      <c r="E1206" s="29">
        <v>30010796</v>
      </c>
      <c r="F1206" s="29" t="s">
        <v>66</v>
      </c>
      <c r="G1206" s="29" t="s">
        <v>501</v>
      </c>
      <c r="H1206" s="29">
        <v>103</v>
      </c>
      <c r="I1206" s="29">
        <v>81</v>
      </c>
      <c r="J1206" s="29">
        <v>71.5</v>
      </c>
      <c r="K1206" s="29">
        <v>69</v>
      </c>
      <c r="L1206" s="29">
        <v>79</v>
      </c>
      <c r="M1206" s="29">
        <v>60</v>
      </c>
      <c r="N1206" s="29">
        <v>78</v>
      </c>
      <c r="O1206" s="32">
        <v>541.5</v>
      </c>
      <c r="P1206" s="29" cm="1">
        <f t="array" ref="P1206">IF(表成绩单[[#This Row],[语文]]="","",SUMPRODUCT((表成绩单[考试日期]=表成绩单[[#This Row],[考试日期]])*(表成绩单[语文]&lt;9E+307)*(表成绩单[语文]&gt;表成绩单[[#This Row],[语文]]))+1)</f>
        <v>333</v>
      </c>
      <c r="Q1206" s="29" cm="1">
        <f t="array" ref="Q1206">IF(表成绩单[[#This Row],[数学]]="","",SUMPRODUCT((表成绩单[考试日期]=表成绩单[[#This Row],[考试日期]])*(表成绩单[数学]&lt;9E+307)*(表成绩单[数学]&gt;表成绩单[[#This Row],[数学]]))+1)</f>
        <v>302</v>
      </c>
      <c r="R1206" s="29" cm="1">
        <f t="array" ref="R1206">IF(表成绩单[[#This Row],[英语]]="","",SUMPRODUCT((表成绩单[考试日期]=表成绩单[[#This Row],[考试日期]])*(表成绩单[英语]&lt;9E+307)*(表成绩单[英语]&gt;表成绩单[[#This Row],[英语]]))+1)</f>
        <v>396</v>
      </c>
      <c r="S1206" s="29" cm="1">
        <f t="array" ref="S1206">IF(表成绩单[[#This Row],[物理]]="","",SUMPRODUCT((表成绩单[考试日期]=表成绩单[[#This Row],[考试日期]])*(表成绩单[物理]&lt;9E+307)*(表成绩单[物理]&gt;表成绩单[[#This Row],[物理]]))+1)</f>
        <v>532</v>
      </c>
      <c r="T1206" s="29" cm="1">
        <f t="array" ref="T1206">IF(表成绩单[[#This Row],[化学]]="","",SUMPRODUCT((表成绩单[考试日期]=表成绩单[[#This Row],[考试日期]])*(表成绩单[化学]&lt;9E+307)*(表成绩单[化学]&gt;表成绩单[[#This Row],[化学]]))+1)</f>
        <v>351</v>
      </c>
      <c r="U1206" s="29" cm="1">
        <f t="array" ref="U1206">IF(表成绩单[[#This Row],[政治]]="","",SUMPRODUCT((表成绩单[考试日期]=表成绩单[[#This Row],[考试日期]])*(表成绩单[政治]&lt;9E+307)*(表成绩单[政治]&gt;表成绩单[[#This Row],[政治]]))+1)</f>
        <v>421</v>
      </c>
      <c r="V1206" s="29" cm="1">
        <f t="array" ref="V1206">IF(表成绩单[[#This Row],[历史]]="","",SUMPRODUCT((表成绩单[考试日期]=表成绩单[[#This Row],[考试日期]])*(表成绩单[历史]&lt;9E+307)*(表成绩单[历史]&gt;表成绩单[[#This Row],[历史]]))+1)</f>
        <v>190</v>
      </c>
      <c r="W1206" s="29" cm="1">
        <f t="array" ref="W1206">IF(表成绩单[[#This Row],[总分]]="","",SUMPRODUCT((表成绩单[考试日期]=表成绩单[[#This Row],[考试日期]])*(表成绩单[总分]&lt;9E+307)*(表成绩单[总分]&gt;表成绩单[[#This Row],[总分]]))+1)</f>
        <v>401</v>
      </c>
    </row>
    <row r="1207" ht="28" customHeight="1" spans="4:23">
      <c r="D1207" s="31">
        <v>46003</v>
      </c>
      <c r="E1207" s="29">
        <v>19174738</v>
      </c>
      <c r="F1207" s="29" t="s">
        <v>64</v>
      </c>
      <c r="G1207" s="29" t="s">
        <v>493</v>
      </c>
      <c r="H1207" s="29">
        <v>105</v>
      </c>
      <c r="I1207" s="29">
        <v>69</v>
      </c>
      <c r="J1207" s="29">
        <v>66</v>
      </c>
      <c r="K1207" s="29">
        <v>89</v>
      </c>
      <c r="L1207" s="29">
        <v>78</v>
      </c>
      <c r="M1207" s="29">
        <v>70</v>
      </c>
      <c r="N1207" s="29">
        <v>64</v>
      </c>
      <c r="O1207" s="32">
        <v>541</v>
      </c>
      <c r="P1207" s="29" cm="1">
        <f t="array" ref="P1207">IF(表成绩单[[#This Row],[语文]]="","",SUMPRODUCT((表成绩单[考试日期]=表成绩单[[#This Row],[考试日期]])*(表成绩单[语文]&lt;9E+307)*(表成绩单[语文]&gt;表成绩单[[#This Row],[语文]]))+1)</f>
        <v>247</v>
      </c>
      <c r="Q1207" s="29" cm="1">
        <f t="array" ref="Q1207">IF(表成绩单[[#This Row],[数学]]="","",SUMPRODUCT((表成绩单[考试日期]=表成绩单[[#This Row],[考试日期]])*(表成绩单[数学]&lt;9E+307)*(表成绩单[数学]&gt;表成绩单[[#This Row],[数学]]))+1)</f>
        <v>437</v>
      </c>
      <c r="R1207" s="29" cm="1">
        <f t="array" ref="R1207">IF(表成绩单[[#This Row],[英语]]="","",SUMPRODUCT((表成绩单[考试日期]=表成绩单[[#This Row],[考试日期]])*(表成绩单[英语]&lt;9E+307)*(表成绩单[英语]&gt;表成绩单[[#This Row],[英语]]))+1)</f>
        <v>467</v>
      </c>
      <c r="S1207" s="29" cm="1">
        <f t="array" ref="S1207">IF(表成绩单[[#This Row],[物理]]="","",SUMPRODUCT((表成绩单[考试日期]=表成绩单[[#This Row],[考试日期]])*(表成绩单[物理]&lt;9E+307)*(表成绩单[物理]&gt;表成绩单[[#This Row],[物理]]))+1)</f>
        <v>269</v>
      </c>
      <c r="T1207" s="29" cm="1">
        <f t="array" ref="T1207">IF(表成绩单[[#This Row],[化学]]="","",SUMPRODUCT((表成绩单[考试日期]=表成绩单[[#This Row],[考试日期]])*(表成绩单[化学]&lt;9E+307)*(表成绩单[化学]&gt;表成绩单[[#This Row],[化学]]))+1)</f>
        <v>373</v>
      </c>
      <c r="U1207" s="29" cm="1">
        <f t="array" ref="U1207">IF(表成绩单[[#This Row],[政治]]="","",SUMPRODUCT((表成绩单[考试日期]=表成绩单[[#This Row],[考试日期]])*(表成绩单[政治]&lt;9E+307)*(表成绩单[政治]&gt;表成绩单[[#This Row],[政治]]))+1)</f>
        <v>184</v>
      </c>
      <c r="V1207" s="29" cm="1">
        <f t="array" ref="V1207">IF(表成绩单[[#This Row],[历史]]="","",SUMPRODUCT((表成绩单[考试日期]=表成绩单[[#This Row],[考试日期]])*(表成绩单[历史]&lt;9E+307)*(表成绩单[历史]&gt;表成绩单[[#This Row],[历史]]))+1)</f>
        <v>593</v>
      </c>
      <c r="W1207" s="29" cm="1">
        <f t="array" ref="W1207">IF(表成绩单[[#This Row],[总分]]="","",SUMPRODUCT((表成绩单[考试日期]=表成绩单[[#This Row],[考试日期]])*(表成绩单[总分]&lt;9E+307)*(表成绩单[总分]&gt;表成绩单[[#This Row],[总分]]))+1)</f>
        <v>402</v>
      </c>
    </row>
    <row r="1208" ht="28" customHeight="1" spans="4:23">
      <c r="D1208" s="31">
        <v>46003</v>
      </c>
      <c r="E1208" s="29">
        <v>19178616</v>
      </c>
      <c r="F1208" s="29" t="s">
        <v>25</v>
      </c>
      <c r="G1208" s="29" t="s">
        <v>447</v>
      </c>
      <c r="H1208" s="29">
        <v>96</v>
      </c>
      <c r="I1208" s="29">
        <v>86</v>
      </c>
      <c r="J1208" s="29">
        <v>76</v>
      </c>
      <c r="K1208" s="29">
        <v>66</v>
      </c>
      <c r="L1208" s="29">
        <v>75</v>
      </c>
      <c r="M1208" s="29">
        <v>67</v>
      </c>
      <c r="N1208" s="29">
        <v>75</v>
      </c>
      <c r="O1208" s="32">
        <v>541</v>
      </c>
      <c r="P1208" s="29" cm="1">
        <f t="array" ref="P1208">IF(表成绩单[[#This Row],[语文]]="","",SUMPRODUCT((表成绩单[考试日期]=表成绩单[[#This Row],[考试日期]])*(表成绩单[语文]&lt;9E+307)*(表成绩单[语文]&gt;表成绩单[[#This Row],[语文]]))+1)</f>
        <v>509</v>
      </c>
      <c r="Q1208" s="29" cm="1">
        <f t="array" ref="Q1208">IF(表成绩单[[#This Row],[数学]]="","",SUMPRODUCT((表成绩单[考试日期]=表成绩单[[#This Row],[考试日期]])*(表成绩单[数学]&lt;9E+307)*(表成绩单[数学]&gt;表成绩单[[#This Row],[数学]]))+1)</f>
        <v>231</v>
      </c>
      <c r="R1208" s="29" cm="1">
        <f t="array" ref="R1208">IF(表成绩单[[#This Row],[英语]]="","",SUMPRODUCT((表成绩单[考试日期]=表成绩单[[#This Row],[考试日期]])*(表成绩单[英语]&lt;9E+307)*(表成绩单[英语]&gt;表成绩单[[#This Row],[英语]]))+1)</f>
        <v>288</v>
      </c>
      <c r="S1208" s="29" cm="1">
        <f t="array" ref="S1208">IF(表成绩单[[#This Row],[物理]]="","",SUMPRODUCT((表成绩单[考试日期]=表成绩单[[#This Row],[考试日期]])*(表成绩单[物理]&lt;9E+307)*(表成绩单[物理]&gt;表成绩单[[#This Row],[物理]]))+1)</f>
        <v>551</v>
      </c>
      <c r="T1208" s="29" cm="1">
        <f t="array" ref="T1208">IF(表成绩单[[#This Row],[化学]]="","",SUMPRODUCT((表成绩单[考试日期]=表成绩单[[#This Row],[考试日期]])*(表成绩单[化学]&lt;9E+307)*(表成绩单[化学]&gt;表成绩单[[#This Row],[化学]]))+1)</f>
        <v>421</v>
      </c>
      <c r="U1208" s="29" cm="1">
        <f t="array" ref="U1208">IF(表成绩单[[#This Row],[政治]]="","",SUMPRODUCT((表成绩单[考试日期]=表成绩单[[#This Row],[考试日期]])*(表成绩单[政治]&lt;9E+307)*(表成绩单[政治]&gt;表成绩单[[#This Row],[政治]]))+1)</f>
        <v>264</v>
      </c>
      <c r="V1208" s="29" cm="1">
        <f t="array" ref="V1208">IF(表成绩单[[#This Row],[历史]]="","",SUMPRODUCT((表成绩单[考试日期]=表成绩单[[#This Row],[考试日期]])*(表成绩单[历史]&lt;9E+307)*(表成绩单[历史]&gt;表成绩单[[#This Row],[历史]]))+1)</f>
        <v>329</v>
      </c>
      <c r="W1208" s="29" cm="1">
        <f t="array" ref="W1208">IF(表成绩单[[#This Row],[总分]]="","",SUMPRODUCT((表成绩单[考试日期]=表成绩单[[#This Row],[考试日期]])*(表成绩单[总分]&lt;9E+307)*(表成绩单[总分]&gt;表成绩单[[#This Row],[总分]]))+1)</f>
        <v>402</v>
      </c>
    </row>
    <row r="1209" ht="28" customHeight="1" spans="4:23">
      <c r="D1209" s="31">
        <v>46003</v>
      </c>
      <c r="E1209" s="29">
        <v>19178649</v>
      </c>
      <c r="F1209" s="29" t="s">
        <v>25</v>
      </c>
      <c r="G1209" s="29" t="s">
        <v>415</v>
      </c>
      <c r="H1209" s="29">
        <v>107</v>
      </c>
      <c r="I1209" s="29">
        <v>71</v>
      </c>
      <c r="J1209" s="29">
        <v>69</v>
      </c>
      <c r="K1209" s="29">
        <v>79</v>
      </c>
      <c r="L1209" s="29">
        <v>79</v>
      </c>
      <c r="M1209" s="29">
        <v>62</v>
      </c>
      <c r="N1209" s="29">
        <v>74</v>
      </c>
      <c r="O1209" s="32">
        <v>541</v>
      </c>
      <c r="P1209" s="29" cm="1">
        <f t="array" ref="P1209">IF(表成绩单[[#This Row],[语文]]="","",SUMPRODUCT((表成绩单[考试日期]=表成绩单[[#This Row],[考试日期]])*(表成绩单[语文]&lt;9E+307)*(表成绩单[语文]&gt;表成绩单[[#This Row],[语文]]))+1)</f>
        <v>182</v>
      </c>
      <c r="Q1209" s="29" cm="1">
        <f t="array" ref="Q1209">IF(表成绩单[[#This Row],[数学]]="","",SUMPRODUCT((表成绩单[考试日期]=表成绩单[[#This Row],[考试日期]])*(表成绩单[数学]&lt;9E+307)*(表成绩单[数学]&gt;表成绩单[[#This Row],[数学]]))+1)</f>
        <v>412</v>
      </c>
      <c r="R1209" s="29" cm="1">
        <f t="array" ref="R1209">IF(表成绩单[[#This Row],[英语]]="","",SUMPRODUCT((表成绩单[考试日期]=表成绩单[[#This Row],[考试日期]])*(表成绩单[英语]&lt;9E+307)*(表成绩单[英语]&gt;表成绩单[[#This Row],[英语]]))+1)</f>
        <v>434</v>
      </c>
      <c r="S1209" s="29" cm="1">
        <f t="array" ref="S1209">IF(表成绩单[[#This Row],[物理]]="","",SUMPRODUCT((表成绩单[考试日期]=表成绩单[[#This Row],[考试日期]])*(表成绩单[物理]&lt;9E+307)*(表成绩单[物理]&gt;表成绩单[[#This Row],[物理]]))+1)</f>
        <v>432</v>
      </c>
      <c r="T1209" s="29" cm="1">
        <f t="array" ref="T1209">IF(表成绩单[[#This Row],[化学]]="","",SUMPRODUCT((表成绩单[考试日期]=表成绩单[[#This Row],[考试日期]])*(表成绩单[化学]&lt;9E+307)*(表成绩单[化学]&gt;表成绩单[[#This Row],[化学]]))+1)</f>
        <v>351</v>
      </c>
      <c r="U1209" s="29" cm="1">
        <f t="array" ref="U1209">IF(表成绩单[[#This Row],[政治]]="","",SUMPRODUCT((表成绩单[考试日期]=表成绩单[[#This Row],[考试日期]])*(表成绩单[政治]&lt;9E+307)*(表成绩单[政治]&gt;表成绩单[[#This Row],[政治]]))+1)</f>
        <v>381</v>
      </c>
      <c r="V1209" s="29" cm="1">
        <f t="array" ref="V1209">IF(表成绩单[[#This Row],[历史]]="","",SUMPRODUCT((表成绩单[考试日期]=表成绩单[[#This Row],[考试日期]])*(表成绩单[历史]&lt;9E+307)*(表成绩单[历史]&gt;表成绩单[[#This Row],[历史]]))+1)</f>
        <v>371</v>
      </c>
      <c r="W1209" s="29" cm="1">
        <f t="array" ref="W1209">IF(表成绩单[[#This Row],[总分]]="","",SUMPRODUCT((表成绩单[考试日期]=表成绩单[[#This Row],[考试日期]])*(表成绩单[总分]&lt;9E+307)*(表成绩单[总分]&gt;表成绩单[[#This Row],[总分]]))+1)</f>
        <v>402</v>
      </c>
    </row>
    <row r="1210" ht="28" customHeight="1" spans="4:23">
      <c r="D1210" s="31">
        <v>46003</v>
      </c>
      <c r="E1210" s="29">
        <v>19173766</v>
      </c>
      <c r="F1210" s="29" t="s">
        <v>65</v>
      </c>
      <c r="G1210" s="29" t="s">
        <v>436</v>
      </c>
      <c r="H1210" s="29">
        <v>100</v>
      </c>
      <c r="I1210" s="29">
        <v>69</v>
      </c>
      <c r="J1210" s="29">
        <v>65.5</v>
      </c>
      <c r="K1210" s="29">
        <v>86</v>
      </c>
      <c r="L1210" s="29">
        <v>76</v>
      </c>
      <c r="M1210" s="29">
        <v>65</v>
      </c>
      <c r="N1210" s="29">
        <v>79</v>
      </c>
      <c r="O1210" s="32">
        <v>540.5</v>
      </c>
      <c r="P1210" s="29" cm="1">
        <f t="array" ref="P1210">IF(表成绩单[[#This Row],[语文]]="","",SUMPRODUCT((表成绩单[考试日期]=表成绩单[[#This Row],[考试日期]])*(表成绩单[语文]&lt;9E+307)*(表成绩单[语文]&gt;表成绩单[[#This Row],[语文]]))+1)</f>
        <v>414</v>
      </c>
      <c r="Q1210" s="29" cm="1">
        <f t="array" ref="Q1210">IF(表成绩单[[#This Row],[数学]]="","",SUMPRODUCT((表成绩单[考试日期]=表成绩单[[#This Row],[考试日期]])*(表成绩单[数学]&lt;9E+307)*(表成绩单[数学]&gt;表成绩单[[#This Row],[数学]]))+1)</f>
        <v>437</v>
      </c>
      <c r="R1210" s="29" cm="1">
        <f t="array" ref="R1210">IF(表成绩单[[#This Row],[英语]]="","",SUMPRODUCT((表成绩单[考试日期]=表成绩单[[#This Row],[考试日期]])*(表成绩单[英语]&lt;9E+307)*(表成绩单[英语]&gt;表成绩单[[#This Row],[英语]]))+1)</f>
        <v>476</v>
      </c>
      <c r="S1210" s="29" cm="1">
        <f t="array" ref="S1210">IF(表成绩单[[#This Row],[物理]]="","",SUMPRODUCT((表成绩单[考试日期]=表成绩单[[#This Row],[考试日期]])*(表成绩单[物理]&lt;9E+307)*(表成绩单[物理]&gt;表成绩单[[#This Row],[物理]]))+1)</f>
        <v>336</v>
      </c>
      <c r="T1210" s="29" cm="1">
        <f t="array" ref="T1210">IF(表成绩单[[#This Row],[化学]]="","",SUMPRODUCT((表成绩单[考试日期]=表成绩单[[#This Row],[考试日期]])*(表成绩单[化学]&lt;9E+307)*(表成绩单[化学]&gt;表成绩单[[#This Row],[化学]]))+1)</f>
        <v>402</v>
      </c>
      <c r="U1210" s="29" cm="1">
        <f t="array" ref="U1210">IF(表成绩单[[#This Row],[政治]]="","",SUMPRODUCT((表成绩单[考试日期]=表成绩单[[#This Row],[考试日期]])*(表成绩单[政治]&lt;9E+307)*(表成绩单[政治]&gt;表成绩单[[#This Row],[政治]]))+1)</f>
        <v>314</v>
      </c>
      <c r="V1210" s="29" cm="1">
        <f t="array" ref="V1210">IF(表成绩单[[#This Row],[历史]]="","",SUMPRODUCT((表成绩单[考试日期]=表成绩单[[#This Row],[考试日期]])*(表成绩单[历史]&lt;9E+307)*(表成绩单[历史]&gt;表成绩单[[#This Row],[历史]]))+1)</f>
        <v>149</v>
      </c>
      <c r="W1210" s="29" cm="1">
        <f t="array" ref="W1210">IF(表成绩单[[#This Row],[总分]]="","",SUMPRODUCT((表成绩单[考试日期]=表成绩单[[#This Row],[考试日期]])*(表成绩单[总分]&lt;9E+307)*(表成绩单[总分]&gt;表成绩单[[#This Row],[总分]]))+1)</f>
        <v>405</v>
      </c>
    </row>
    <row r="1211" ht="28" customHeight="1" spans="4:23">
      <c r="D1211" s="31">
        <v>46003</v>
      </c>
      <c r="E1211" s="29">
        <v>19174794</v>
      </c>
      <c r="F1211" s="29" t="s">
        <v>69</v>
      </c>
      <c r="G1211" s="29" t="s">
        <v>473</v>
      </c>
      <c r="H1211" s="29">
        <v>104</v>
      </c>
      <c r="I1211" s="29">
        <v>66</v>
      </c>
      <c r="J1211" s="29">
        <v>68</v>
      </c>
      <c r="K1211" s="29">
        <v>84</v>
      </c>
      <c r="L1211" s="29">
        <v>76</v>
      </c>
      <c r="M1211" s="29">
        <v>69</v>
      </c>
      <c r="N1211" s="29">
        <v>73</v>
      </c>
      <c r="O1211" s="32">
        <v>540</v>
      </c>
      <c r="P1211" s="29" cm="1">
        <f t="array" ref="P1211">IF(表成绩单[[#This Row],[语文]]="","",SUMPRODUCT((表成绩单[考试日期]=表成绩单[[#This Row],[考试日期]])*(表成绩单[语文]&lt;9E+307)*(表成绩单[语文]&gt;表成绩单[[#This Row],[语文]]))+1)</f>
        <v>290</v>
      </c>
      <c r="Q1211" s="29" cm="1">
        <f t="array" ref="Q1211">IF(表成绩单[[#This Row],[数学]]="","",SUMPRODUCT((表成绩单[考试日期]=表成绩单[[#This Row],[考试日期]])*(表成绩单[数学]&lt;9E+307)*(表成绩单[数学]&gt;表成绩单[[#This Row],[数学]]))+1)</f>
        <v>467</v>
      </c>
      <c r="R1211" s="29" cm="1">
        <f t="array" ref="R1211">IF(表成绩单[[#This Row],[英语]]="","",SUMPRODUCT((表成绩单[考试日期]=表成绩单[[#This Row],[考试日期]])*(表成绩单[英语]&lt;9E+307)*(表成绩单[英语]&gt;表成绩单[[#This Row],[英语]]))+1)</f>
        <v>450</v>
      </c>
      <c r="S1211" s="29" cm="1">
        <f t="array" ref="S1211">IF(表成绩单[[#This Row],[物理]]="","",SUMPRODUCT((表成绩单[考试日期]=表成绩单[[#This Row],[考试日期]])*(表成绩单[物理]&lt;9E+307)*(表成绩单[物理]&gt;表成绩单[[#This Row],[物理]]))+1)</f>
        <v>368</v>
      </c>
      <c r="T1211" s="29" cm="1">
        <f t="array" ref="T1211">IF(表成绩单[[#This Row],[化学]]="","",SUMPRODUCT((表成绩单[考试日期]=表成绩单[[#This Row],[考试日期]])*(表成绩单[化学]&lt;9E+307)*(表成绩单[化学]&gt;表成绩单[[#This Row],[化学]]))+1)</f>
        <v>402</v>
      </c>
      <c r="U1211" s="29" cm="1">
        <f t="array" ref="U1211">IF(表成绩单[[#This Row],[政治]]="","",SUMPRODUCT((表成绩单[考试日期]=表成绩单[[#This Row],[考试日期]])*(表成绩单[政治]&lt;9E+307)*(表成绩单[政治]&gt;表成绩单[[#This Row],[政治]]))+1)</f>
        <v>212</v>
      </c>
      <c r="V1211" s="29" cm="1">
        <f t="array" ref="V1211">IF(表成绩单[[#This Row],[历史]]="","",SUMPRODUCT((表成绩单[考试日期]=表成绩单[[#This Row],[考试日期]])*(表成绩单[历史]&lt;9E+307)*(表成绩单[历史]&gt;表成绩单[[#This Row],[历史]]))+1)</f>
        <v>403</v>
      </c>
      <c r="W1211" s="29" cm="1">
        <f t="array" ref="W1211">IF(表成绩单[[#This Row],[总分]]="","",SUMPRODUCT((表成绩单[考试日期]=表成绩单[[#This Row],[考试日期]])*(表成绩单[总分]&lt;9E+307)*(表成绩单[总分]&gt;表成绩单[[#This Row],[总分]]))+1)</f>
        <v>406</v>
      </c>
    </row>
    <row r="1212" ht="28" customHeight="1" spans="4:23">
      <c r="D1212" s="31">
        <v>46003</v>
      </c>
      <c r="E1212" s="29">
        <v>19176165</v>
      </c>
      <c r="F1212" s="29" t="s">
        <v>67</v>
      </c>
      <c r="G1212" s="29" t="s">
        <v>227</v>
      </c>
      <c r="H1212" s="29">
        <v>99</v>
      </c>
      <c r="I1212" s="29">
        <v>64</v>
      </c>
      <c r="J1212" s="29">
        <v>69</v>
      </c>
      <c r="K1212" s="29">
        <v>85</v>
      </c>
      <c r="L1212" s="29">
        <v>81</v>
      </c>
      <c r="M1212" s="29">
        <v>66</v>
      </c>
      <c r="N1212" s="29">
        <v>76</v>
      </c>
      <c r="O1212" s="32">
        <v>540</v>
      </c>
      <c r="P1212" s="29" cm="1">
        <f t="array" ref="P1212">IF(表成绩单[[#This Row],[语文]]="","",SUMPRODUCT((表成绩单[考试日期]=表成绩单[[#This Row],[考试日期]])*(表成绩单[语文]&lt;9E+307)*(表成绩单[语文]&gt;表成绩单[[#This Row],[语文]]))+1)</f>
        <v>440</v>
      </c>
      <c r="Q1212" s="29" cm="1">
        <f t="array" ref="Q1212">IF(表成绩单[[#This Row],[数学]]="","",SUMPRODUCT((表成绩单[考试日期]=表成绩单[[#This Row],[考试日期]])*(表成绩单[数学]&lt;9E+307)*(表成绩单[数学]&gt;表成绩单[[#This Row],[数学]]))+1)</f>
        <v>486</v>
      </c>
      <c r="R1212" s="29" cm="1">
        <f t="array" ref="R1212">IF(表成绩单[[#This Row],[英语]]="","",SUMPRODUCT((表成绩单[考试日期]=表成绩单[[#This Row],[考试日期]])*(表成绩单[英语]&lt;9E+307)*(表成绩单[英语]&gt;表成绩单[[#This Row],[英语]]))+1)</f>
        <v>434</v>
      </c>
      <c r="S1212" s="29" cm="1">
        <f t="array" ref="S1212">IF(表成绩单[[#This Row],[物理]]="","",SUMPRODUCT((表成绩单[考试日期]=表成绩单[[#This Row],[考试日期]])*(表成绩单[物理]&lt;9E+307)*(表成绩单[物理]&gt;表成绩单[[#This Row],[物理]]))+1)</f>
        <v>348</v>
      </c>
      <c r="T1212" s="29" cm="1">
        <f t="array" ref="T1212">IF(表成绩单[[#This Row],[化学]]="","",SUMPRODUCT((表成绩单[考试日期]=表成绩单[[#This Row],[考试日期]])*(表成绩单[化学]&lt;9E+307)*(表成绩单[化学]&gt;表成绩单[[#This Row],[化学]]))+1)</f>
        <v>308</v>
      </c>
      <c r="U1212" s="29" cm="1">
        <f t="array" ref="U1212">IF(表成绩单[[#This Row],[政治]]="","",SUMPRODUCT((表成绩单[考试日期]=表成绩单[[#This Row],[考试日期]])*(表成绩单[政治]&lt;9E+307)*(表成绩单[政治]&gt;表成绩单[[#This Row],[政治]]))+1)</f>
        <v>289</v>
      </c>
      <c r="V1212" s="29" cm="1">
        <f t="array" ref="V1212">IF(表成绩单[[#This Row],[历史]]="","",SUMPRODUCT((表成绩单[考试日期]=表成绩单[[#This Row],[考试日期]])*(表成绩单[历史]&lt;9E+307)*(表成绩单[历史]&gt;表成绩单[[#This Row],[历史]]))+1)</f>
        <v>279</v>
      </c>
      <c r="W1212" s="29" cm="1">
        <f t="array" ref="W1212">IF(表成绩单[[#This Row],[总分]]="","",SUMPRODUCT((表成绩单[考试日期]=表成绩单[[#This Row],[考试日期]])*(表成绩单[总分]&lt;9E+307)*(表成绩单[总分]&gt;表成绩单[[#This Row],[总分]]))+1)</f>
        <v>406</v>
      </c>
    </row>
    <row r="1213" ht="28" customHeight="1" spans="4:23">
      <c r="D1213" s="31">
        <v>46003</v>
      </c>
      <c r="E1213" s="29">
        <v>19178636</v>
      </c>
      <c r="F1213" s="29" t="s">
        <v>25</v>
      </c>
      <c r="G1213" s="29" t="s">
        <v>460</v>
      </c>
      <c r="H1213" s="29">
        <v>98</v>
      </c>
      <c r="I1213" s="29">
        <v>74</v>
      </c>
      <c r="J1213" s="29">
        <v>64</v>
      </c>
      <c r="K1213" s="29">
        <v>85</v>
      </c>
      <c r="L1213" s="29">
        <v>73</v>
      </c>
      <c r="M1213" s="29">
        <v>70</v>
      </c>
      <c r="N1213" s="29">
        <v>76</v>
      </c>
      <c r="O1213" s="32">
        <v>540</v>
      </c>
      <c r="P1213" s="29" cm="1">
        <f t="array" ref="P1213">IF(表成绩单[[#This Row],[语文]]="","",SUMPRODUCT((表成绩单[考试日期]=表成绩单[[#This Row],[考试日期]])*(表成绩单[语文]&lt;9E+307)*(表成绩单[语文]&gt;表成绩单[[#This Row],[语文]]))+1)</f>
        <v>463</v>
      </c>
      <c r="Q1213" s="29" cm="1">
        <f t="array" ref="Q1213">IF(表成绩单[[#This Row],[数学]]="","",SUMPRODUCT((表成绩单[考试日期]=表成绩单[[#This Row],[考试日期]])*(表成绩单[数学]&lt;9E+307)*(表成绩单[数学]&gt;表成绩单[[#This Row],[数学]]))+1)</f>
        <v>380</v>
      </c>
      <c r="R1213" s="29" cm="1">
        <f t="array" ref="R1213">IF(表成绩单[[#This Row],[英语]]="","",SUMPRODUCT((表成绩单[考试日期]=表成绩单[[#This Row],[考试日期]])*(表成绩单[英语]&lt;9E+307)*(表成绩单[英语]&gt;表成绩单[[#This Row],[英语]]))+1)</f>
        <v>489</v>
      </c>
      <c r="S1213" s="29" cm="1">
        <f t="array" ref="S1213">IF(表成绩单[[#This Row],[物理]]="","",SUMPRODUCT((表成绩单[考试日期]=表成绩单[[#This Row],[考试日期]])*(表成绩单[物理]&lt;9E+307)*(表成绩单[物理]&gt;表成绩单[[#This Row],[物理]]))+1)</f>
        <v>348</v>
      </c>
      <c r="T1213" s="29" cm="1">
        <f t="array" ref="T1213">IF(表成绩单[[#This Row],[化学]]="","",SUMPRODUCT((表成绩单[考试日期]=表成绩单[[#This Row],[考试日期]])*(表成绩单[化学]&lt;9E+307)*(表成绩单[化学]&gt;表成绩单[[#This Row],[化学]]))+1)</f>
        <v>457</v>
      </c>
      <c r="U1213" s="29" cm="1">
        <f t="array" ref="U1213">IF(表成绩单[[#This Row],[政治]]="","",SUMPRODUCT((表成绩单[考试日期]=表成绩单[[#This Row],[考试日期]])*(表成绩单[政治]&lt;9E+307)*(表成绩单[政治]&gt;表成绩单[[#This Row],[政治]]))+1)</f>
        <v>184</v>
      </c>
      <c r="V1213" s="29" cm="1">
        <f t="array" ref="V1213">IF(表成绩单[[#This Row],[历史]]="","",SUMPRODUCT((表成绩单[考试日期]=表成绩单[[#This Row],[考试日期]])*(表成绩单[历史]&lt;9E+307)*(表成绩单[历史]&gt;表成绩单[[#This Row],[历史]]))+1)</f>
        <v>279</v>
      </c>
      <c r="W1213" s="29" cm="1">
        <f t="array" ref="W1213">IF(表成绩单[[#This Row],[总分]]="","",SUMPRODUCT((表成绩单[考试日期]=表成绩单[[#This Row],[考试日期]])*(表成绩单[总分]&lt;9E+307)*(表成绩单[总分]&gt;表成绩单[[#This Row],[总分]]))+1)</f>
        <v>406</v>
      </c>
    </row>
    <row r="1214" ht="28" customHeight="1" spans="4:23">
      <c r="D1214" s="31">
        <v>46003</v>
      </c>
      <c r="E1214" s="29">
        <v>19173236</v>
      </c>
      <c r="F1214" s="29" t="s">
        <v>61</v>
      </c>
      <c r="G1214" s="29" t="s">
        <v>267</v>
      </c>
      <c r="H1214" s="29">
        <v>94</v>
      </c>
      <c r="I1214" s="29">
        <v>77</v>
      </c>
      <c r="J1214" s="29">
        <v>58.5</v>
      </c>
      <c r="K1214" s="29">
        <v>81</v>
      </c>
      <c r="L1214" s="29">
        <v>75</v>
      </c>
      <c r="M1214" s="29">
        <v>72</v>
      </c>
      <c r="N1214" s="29">
        <v>82</v>
      </c>
      <c r="O1214" s="32">
        <v>539.5</v>
      </c>
      <c r="P1214" s="29" cm="1">
        <f t="array" ref="P1214">IF(表成绩单[[#This Row],[语文]]="","",SUMPRODUCT((表成绩单[考试日期]=表成绩单[[#This Row],[考试日期]])*(表成绩单[语文]&lt;9E+307)*(表成绩单[语文]&gt;表成绩单[[#This Row],[语文]]))+1)</f>
        <v>537</v>
      </c>
      <c r="Q1214" s="29" cm="1">
        <f t="array" ref="Q1214">IF(表成绩单[[#This Row],[数学]]="","",SUMPRODUCT((表成绩单[考试日期]=表成绩单[[#This Row],[考试日期]])*(表成绩单[数学]&lt;9E+307)*(表成绩单[数学]&gt;表成绩单[[#This Row],[数学]]))+1)</f>
        <v>343</v>
      </c>
      <c r="R1214" s="29" cm="1">
        <f t="array" ref="R1214">IF(表成绩单[[#This Row],[英语]]="","",SUMPRODUCT((表成绩单[考试日期]=表成绩单[[#This Row],[考试日期]])*(表成绩单[英语]&lt;9E+307)*(表成绩单[英语]&gt;表成绩单[[#This Row],[英语]]))+1)</f>
        <v>538</v>
      </c>
      <c r="S1214" s="29" cm="1">
        <f t="array" ref="S1214">IF(表成绩单[[#This Row],[物理]]="","",SUMPRODUCT((表成绩单[考试日期]=表成绩单[[#This Row],[考试日期]])*(表成绩单[物理]&lt;9E+307)*(表成绩单[物理]&gt;表成绩单[[#This Row],[物理]]))+1)</f>
        <v>405</v>
      </c>
      <c r="T1214" s="29" cm="1">
        <f t="array" ref="T1214">IF(表成绩单[[#This Row],[化学]]="","",SUMPRODUCT((表成绩单[考试日期]=表成绩单[[#This Row],[考试日期]])*(表成绩单[化学]&lt;9E+307)*(表成绩单[化学]&gt;表成绩单[[#This Row],[化学]]))+1)</f>
        <v>421</v>
      </c>
      <c r="U1214" s="29" cm="1">
        <f t="array" ref="U1214">IF(表成绩单[[#This Row],[政治]]="","",SUMPRODUCT((表成绩单[考试日期]=表成绩单[[#This Row],[考试日期]])*(表成绩单[政治]&lt;9E+307)*(表成绩单[政治]&gt;表成绩单[[#This Row],[政治]]))+1)</f>
        <v>155</v>
      </c>
      <c r="V1214" s="29" cm="1">
        <f t="array" ref="V1214">IF(表成绩单[[#This Row],[历史]]="","",SUMPRODUCT((表成绩单[考试日期]=表成绩单[[#This Row],[考试日期]])*(表成绩单[历史]&lt;9E+307)*(表成绩单[历史]&gt;表成绩单[[#This Row],[历史]]))+1)</f>
        <v>66</v>
      </c>
      <c r="W1214" s="29" cm="1">
        <f t="array" ref="W1214">IF(表成绩单[[#This Row],[总分]]="","",SUMPRODUCT((表成绩单[考试日期]=表成绩单[[#This Row],[考试日期]])*(表成绩单[总分]&lt;9E+307)*(表成绩单[总分]&gt;表成绩单[[#This Row],[总分]]))+1)</f>
        <v>409</v>
      </c>
    </row>
    <row r="1215" ht="28" customHeight="1" spans="4:23">
      <c r="D1215" s="31">
        <v>46003</v>
      </c>
      <c r="E1215" s="29">
        <v>19174461</v>
      </c>
      <c r="F1215" s="29" t="s">
        <v>73</v>
      </c>
      <c r="G1215" s="29" t="s">
        <v>471</v>
      </c>
      <c r="H1215" s="29">
        <v>99</v>
      </c>
      <c r="I1215" s="29">
        <v>66</v>
      </c>
      <c r="J1215" s="29">
        <v>80</v>
      </c>
      <c r="K1215" s="29">
        <v>92</v>
      </c>
      <c r="L1215" s="29">
        <v>72</v>
      </c>
      <c r="M1215" s="29">
        <v>65</v>
      </c>
      <c r="N1215" s="29">
        <v>65</v>
      </c>
      <c r="O1215" s="32">
        <v>539</v>
      </c>
      <c r="P1215" s="29" cm="1">
        <f t="array" ref="P1215">IF(表成绩单[[#This Row],[语文]]="","",SUMPRODUCT((表成绩单[考试日期]=表成绩单[[#This Row],[考试日期]])*(表成绩单[语文]&lt;9E+307)*(表成绩单[语文]&gt;表成绩单[[#This Row],[语文]]))+1)</f>
        <v>440</v>
      </c>
      <c r="Q1215" s="29" cm="1">
        <f t="array" ref="Q1215">IF(表成绩单[[#This Row],[数学]]="","",SUMPRODUCT((表成绩单[考试日期]=表成绩单[[#This Row],[考试日期]])*(表成绩单[数学]&lt;9E+307)*(表成绩单[数学]&gt;表成绩单[[#This Row],[数学]]))+1)</f>
        <v>467</v>
      </c>
      <c r="R1215" s="29" cm="1">
        <f t="array" ref="R1215">IF(表成绩单[[#This Row],[英语]]="","",SUMPRODUCT((表成绩单[考试日期]=表成绩单[[#This Row],[考试日期]])*(表成绩单[英语]&lt;9E+307)*(表成绩单[英语]&gt;表成绩单[[#This Row],[英语]]))+1)</f>
        <v>170</v>
      </c>
      <c r="S1215" s="29" cm="1">
        <f t="array" ref="S1215">IF(表成绩单[[#This Row],[物理]]="","",SUMPRODUCT((表成绩单[考试日期]=表成绩单[[#This Row],[考试日期]])*(表成绩单[物理]&lt;9E+307)*(表成绩单[物理]&gt;表成绩单[[#This Row],[物理]]))+1)</f>
        <v>191</v>
      </c>
      <c r="T1215" s="29" cm="1">
        <f t="array" ref="T1215">IF(表成绩单[[#This Row],[化学]]="","",SUMPRODUCT((表成绩单[考试日期]=表成绩单[[#This Row],[考试日期]])*(表成绩单[化学]&lt;9E+307)*(表成绩单[化学]&gt;表成绩单[[#This Row],[化学]]))+1)</f>
        <v>472</v>
      </c>
      <c r="U1215" s="29" cm="1">
        <f t="array" ref="U1215">IF(表成绩单[[#This Row],[政治]]="","",SUMPRODUCT((表成绩单[考试日期]=表成绩单[[#This Row],[考试日期]])*(表成绩单[政治]&lt;9E+307)*(表成绩单[政治]&gt;表成绩单[[#This Row],[政治]]))+1)</f>
        <v>314</v>
      </c>
      <c r="V1215" s="29" cm="1">
        <f t="array" ref="V1215">IF(表成绩单[[#This Row],[历史]]="","",SUMPRODUCT((表成绩单[考试日期]=表成绩单[[#This Row],[考试日期]])*(表成绩单[历史]&lt;9E+307)*(表成绩单[历史]&gt;表成绩单[[#This Row],[历史]]))+1)</f>
        <v>582</v>
      </c>
      <c r="W1215" s="29" cm="1">
        <f t="array" ref="W1215">IF(表成绩单[[#This Row],[总分]]="","",SUMPRODUCT((表成绩单[考试日期]=表成绩单[[#This Row],[考试日期]])*(表成绩单[总分]&lt;9E+307)*(表成绩单[总分]&gt;表成绩单[[#This Row],[总分]]))+1)</f>
        <v>410</v>
      </c>
    </row>
    <row r="1216" ht="28" customHeight="1" spans="4:23">
      <c r="D1216" s="31">
        <v>46003</v>
      </c>
      <c r="E1216" s="29">
        <v>19175309</v>
      </c>
      <c r="F1216" s="29" t="s">
        <v>55</v>
      </c>
      <c r="G1216" s="29" t="s">
        <v>605</v>
      </c>
      <c r="H1216" s="29">
        <v>96</v>
      </c>
      <c r="I1216" s="29">
        <v>70</v>
      </c>
      <c r="J1216" s="29">
        <v>72.5</v>
      </c>
      <c r="K1216" s="29">
        <v>70</v>
      </c>
      <c r="L1216" s="29">
        <v>82</v>
      </c>
      <c r="M1216" s="29">
        <v>71</v>
      </c>
      <c r="N1216" s="29">
        <v>77</v>
      </c>
      <c r="O1216" s="32">
        <v>538.5</v>
      </c>
      <c r="P1216" s="29" cm="1">
        <f t="array" ref="P1216">IF(表成绩单[[#This Row],[语文]]="","",SUMPRODUCT((表成绩单[考试日期]=表成绩单[[#This Row],[考试日期]])*(表成绩单[语文]&lt;9E+307)*(表成绩单[语文]&gt;表成绩单[[#This Row],[语文]]))+1)</f>
        <v>509</v>
      </c>
      <c r="Q1216" s="29" cm="1">
        <f t="array" ref="Q1216">IF(表成绩单[[#This Row],[数学]]="","",SUMPRODUCT((表成绩单[考试日期]=表成绩单[[#This Row],[考试日期]])*(表成绩单[数学]&lt;9E+307)*(表成绩单[数学]&gt;表成绩单[[#This Row],[数学]]))+1)</f>
        <v>426</v>
      </c>
      <c r="R1216" s="29" cm="1">
        <f t="array" ref="R1216">IF(表成绩单[[#This Row],[英语]]="","",SUMPRODUCT((表成绩单[考试日期]=表成绩单[[#This Row],[考试日期]])*(表成绩单[英语]&lt;9E+307)*(表成绩单[英语]&gt;表成绩单[[#This Row],[英语]]))+1)</f>
        <v>373</v>
      </c>
      <c r="S1216" s="29" cm="1">
        <f t="array" ref="S1216">IF(表成绩单[[#This Row],[物理]]="","",SUMPRODUCT((表成绩单[考试日期]=表成绩单[[#This Row],[考试日期]])*(表成绩单[物理]&lt;9E+307)*(表成绩单[物理]&gt;表成绩单[[#This Row],[物理]]))+1)</f>
        <v>522</v>
      </c>
      <c r="T1216" s="29" cm="1">
        <f t="array" ref="T1216">IF(表成绩单[[#This Row],[化学]]="","",SUMPRODUCT((表成绩单[考试日期]=表成绩单[[#This Row],[考试日期]])*(表成绩单[化学]&lt;9E+307)*(表成绩单[化学]&gt;表成绩单[[#This Row],[化学]]))+1)</f>
        <v>286</v>
      </c>
      <c r="U1216" s="29" cm="1">
        <f t="array" ref="U1216">IF(表成绩单[[#This Row],[政治]]="","",SUMPRODUCT((表成绩单[考试日期]=表成绩单[[#This Row],[考试日期]])*(表成绩单[政治]&lt;9E+307)*(表成绩单[政治]&gt;表成绩单[[#This Row],[政治]]))+1)</f>
        <v>168</v>
      </c>
      <c r="V1216" s="29" cm="1">
        <f t="array" ref="V1216">IF(表成绩单[[#This Row],[历史]]="","",SUMPRODUCT((表成绩单[考试日期]=表成绩单[[#This Row],[考试日期]])*(表成绩单[历史]&lt;9E+307)*(表成绩单[历史]&gt;表成绩单[[#This Row],[历史]]))+1)</f>
        <v>235</v>
      </c>
      <c r="W1216" s="29" cm="1">
        <f t="array" ref="W1216">IF(表成绩单[[#This Row],[总分]]="","",SUMPRODUCT((表成绩单[考试日期]=表成绩单[[#This Row],[考试日期]])*(表成绩单[总分]&lt;9E+307)*(表成绩单[总分]&gt;表成绩单[[#This Row],[总分]]))+1)</f>
        <v>411</v>
      </c>
    </row>
    <row r="1217" ht="28" customHeight="1" spans="4:23">
      <c r="D1217" s="31">
        <v>46003</v>
      </c>
      <c r="E1217" s="29">
        <v>19175644</v>
      </c>
      <c r="F1217" s="29" t="s">
        <v>66</v>
      </c>
      <c r="G1217" s="29" t="s">
        <v>544</v>
      </c>
      <c r="H1217" s="29">
        <v>98</v>
      </c>
      <c r="I1217" s="29">
        <v>93</v>
      </c>
      <c r="J1217" s="29">
        <v>71</v>
      </c>
      <c r="K1217" s="29">
        <v>94</v>
      </c>
      <c r="L1217" s="29">
        <v>64</v>
      </c>
      <c r="M1217" s="29">
        <v>54</v>
      </c>
      <c r="N1217" s="29">
        <v>64</v>
      </c>
      <c r="O1217" s="32">
        <v>538</v>
      </c>
      <c r="P1217" s="29" cm="1">
        <f t="array" ref="P1217">IF(表成绩单[[#This Row],[语文]]="","",SUMPRODUCT((表成绩单[考试日期]=表成绩单[[#This Row],[考试日期]])*(表成绩单[语文]&lt;9E+307)*(表成绩单[语文]&gt;表成绩单[[#This Row],[语文]]))+1)</f>
        <v>463</v>
      </c>
      <c r="Q1217" s="29" cm="1">
        <f t="array" ref="Q1217">IF(表成绩单[[#This Row],[数学]]="","",SUMPRODUCT((表成绩单[考试日期]=表成绩单[[#This Row],[考试日期]])*(表成绩单[数学]&lt;9E+307)*(表成绩单[数学]&gt;表成绩单[[#This Row],[数学]]))+1)</f>
        <v>155</v>
      </c>
      <c r="R1217" s="29" cm="1">
        <f t="array" ref="R1217">IF(表成绩单[[#This Row],[英语]]="","",SUMPRODUCT((表成绩单[考试日期]=表成绩单[[#This Row],[考试日期]])*(表成绩单[英语]&lt;9E+307)*(表成绩单[英语]&gt;表成绩单[[#This Row],[英语]]))+1)</f>
        <v>404</v>
      </c>
      <c r="S1217" s="29" cm="1">
        <f t="array" ref="S1217">IF(表成绩单[[#This Row],[物理]]="","",SUMPRODUCT((表成绩单[考试日期]=表成绩单[[#This Row],[考试日期]])*(表成绩单[物理]&lt;9E+307)*(表成绩单[物理]&gt;表成绩单[[#This Row],[物理]]))+1)</f>
        <v>125</v>
      </c>
      <c r="T1217" s="29" cm="1">
        <f t="array" ref="T1217">IF(表成绩单[[#This Row],[化学]]="","",SUMPRODUCT((表成绩单[考试日期]=表成绩单[[#This Row],[考试日期]])*(表成绩单[化学]&lt;9E+307)*(表成绩单[化学]&gt;表成绩单[[#This Row],[化学]]))+1)</f>
        <v>552</v>
      </c>
      <c r="U1217" s="29" cm="1">
        <f t="array" ref="U1217">IF(表成绩单[[#This Row],[政治]]="","",SUMPRODUCT((表成绩单[考试日期]=表成绩单[[#This Row],[考试日期]])*(表成绩单[政治]&lt;9E+307)*(表成绩单[政治]&gt;表成绩单[[#This Row],[政治]]))+1)</f>
        <v>524</v>
      </c>
      <c r="V1217" s="29" cm="1">
        <f t="array" ref="V1217">IF(表成绩单[[#This Row],[历史]]="","",SUMPRODUCT((表成绩单[考试日期]=表成绩单[[#This Row],[考试日期]])*(表成绩单[历史]&lt;9E+307)*(表成绩单[历史]&gt;表成绩单[[#This Row],[历史]]))+1)</f>
        <v>593</v>
      </c>
      <c r="W1217" s="29" cm="1">
        <f t="array" ref="W1217">IF(表成绩单[[#This Row],[总分]]="","",SUMPRODUCT((表成绩单[考试日期]=表成绩单[[#This Row],[考试日期]])*(表成绩单[总分]&lt;9E+307)*(表成绩单[总分]&gt;表成绩单[[#This Row],[总分]]))+1)</f>
        <v>412</v>
      </c>
    </row>
    <row r="1218" ht="28" customHeight="1" spans="4:23">
      <c r="D1218" s="31">
        <v>46003</v>
      </c>
      <c r="E1218" s="29">
        <v>19178626</v>
      </c>
      <c r="F1218" s="29" t="s">
        <v>25</v>
      </c>
      <c r="G1218" s="29" t="s">
        <v>413</v>
      </c>
      <c r="H1218" s="29">
        <v>105</v>
      </c>
      <c r="I1218" s="29">
        <v>49</v>
      </c>
      <c r="J1218" s="29">
        <v>77</v>
      </c>
      <c r="K1218" s="29">
        <v>77</v>
      </c>
      <c r="L1218" s="29">
        <v>83</v>
      </c>
      <c r="M1218" s="29">
        <v>70</v>
      </c>
      <c r="N1218" s="29">
        <v>77</v>
      </c>
      <c r="O1218" s="32">
        <v>538</v>
      </c>
      <c r="P1218" s="29" cm="1">
        <f t="array" ref="P1218">IF(表成绩单[[#This Row],[语文]]="","",SUMPRODUCT((表成绩单[考试日期]=表成绩单[[#This Row],[考试日期]])*(表成绩单[语文]&lt;9E+307)*(表成绩单[语文]&gt;表成绩单[[#This Row],[语文]]))+1)</f>
        <v>247</v>
      </c>
      <c r="Q1218" s="29" cm="1">
        <f t="array" ref="Q1218">IF(表成绩单[[#This Row],[数学]]="","",SUMPRODUCT((表成绩单[考试日期]=表成绩单[[#This Row],[考试日期]])*(表成绩单[数学]&lt;9E+307)*(表成绩单[数学]&gt;表成绩单[[#This Row],[数学]]))+1)</f>
        <v>587</v>
      </c>
      <c r="R1218" s="29" cm="1">
        <f t="array" ref="R1218">IF(表成绩单[[#This Row],[英语]]="","",SUMPRODUCT((表成绩单[考试日期]=表成绩单[[#This Row],[考试日期]])*(表成绩单[英语]&lt;9E+307)*(表成绩单[英语]&gt;表成绩单[[#This Row],[英语]]))+1)</f>
        <v>255</v>
      </c>
      <c r="S1218" s="29" cm="1">
        <f t="array" ref="S1218">IF(表成绩单[[#This Row],[物理]]="","",SUMPRODUCT((表成绩单[考试日期]=表成绩单[[#This Row],[考试日期]])*(表成绩单[物理]&lt;9E+307)*(表成绩单[物理]&gt;表成绩单[[#This Row],[物理]]))+1)</f>
        <v>454</v>
      </c>
      <c r="T1218" s="29" cm="1">
        <f t="array" ref="T1218">IF(表成绩单[[#This Row],[化学]]="","",SUMPRODUCT((表成绩单[考试日期]=表成绩单[[#This Row],[考试日期]])*(表成绩单[化学]&lt;9E+307)*(表成绩单[化学]&gt;表成绩单[[#This Row],[化学]]))+1)</f>
        <v>272</v>
      </c>
      <c r="U1218" s="29" cm="1">
        <f t="array" ref="U1218">IF(表成绩单[[#This Row],[政治]]="","",SUMPRODUCT((表成绩单[考试日期]=表成绩单[[#This Row],[考试日期]])*(表成绩单[政治]&lt;9E+307)*(表成绩单[政治]&gt;表成绩单[[#This Row],[政治]]))+1)</f>
        <v>184</v>
      </c>
      <c r="V1218" s="29" cm="1">
        <f t="array" ref="V1218">IF(表成绩单[[#This Row],[历史]]="","",SUMPRODUCT((表成绩单[考试日期]=表成绩单[[#This Row],[考试日期]])*(表成绩单[历史]&lt;9E+307)*(表成绩单[历史]&gt;表成绩单[[#This Row],[历史]]))+1)</f>
        <v>235</v>
      </c>
      <c r="W1218" s="29" cm="1">
        <f t="array" ref="W1218">IF(表成绩单[[#This Row],[总分]]="","",SUMPRODUCT((表成绩单[考试日期]=表成绩单[[#This Row],[考试日期]])*(表成绩单[总分]&lt;9E+307)*(表成绩单[总分]&gt;表成绩单[[#This Row],[总分]]))+1)</f>
        <v>412</v>
      </c>
    </row>
    <row r="1219" ht="28" customHeight="1" spans="4:23">
      <c r="D1219" s="31">
        <v>46003</v>
      </c>
      <c r="E1219" s="29">
        <v>19172643</v>
      </c>
      <c r="F1219" s="29" t="s">
        <v>60</v>
      </c>
      <c r="G1219" s="29" t="s">
        <v>550</v>
      </c>
      <c r="H1219" s="29">
        <v>106</v>
      </c>
      <c r="I1219" s="29">
        <v>56</v>
      </c>
      <c r="J1219" s="29">
        <v>79</v>
      </c>
      <c r="K1219" s="29">
        <v>83</v>
      </c>
      <c r="L1219" s="29">
        <v>65</v>
      </c>
      <c r="M1219" s="29">
        <v>70</v>
      </c>
      <c r="N1219" s="29">
        <v>78</v>
      </c>
      <c r="O1219" s="32">
        <v>537</v>
      </c>
      <c r="P1219" s="29" cm="1">
        <f t="array" ref="P1219">IF(表成绩单[[#This Row],[语文]]="","",SUMPRODUCT((表成绩单[考试日期]=表成绩单[[#This Row],[考试日期]])*(表成绩单[语文]&lt;9E+307)*(表成绩单[语文]&gt;表成绩单[[#This Row],[语文]]))+1)</f>
        <v>210</v>
      </c>
      <c r="Q1219" s="29" cm="1">
        <f t="array" ref="Q1219">IF(表成绩单[[#This Row],[数学]]="","",SUMPRODUCT((表成绩单[考试日期]=表成绩单[[#This Row],[考试日期]])*(表成绩单[数学]&lt;9E+307)*(表成绩单[数学]&gt;表成绩单[[#This Row],[数学]]))+1)</f>
        <v>544</v>
      </c>
      <c r="R1219" s="29" cm="1">
        <f t="array" ref="R1219">IF(表成绩单[[#This Row],[英语]]="","",SUMPRODUCT((表成绩单[考试日期]=表成绩单[[#This Row],[考试日期]])*(表成绩单[英语]&lt;9E+307)*(表成绩单[英语]&gt;表成绩单[[#This Row],[英语]]))+1)</f>
        <v>188</v>
      </c>
      <c r="S1219" s="29" cm="1">
        <f t="array" ref="S1219">IF(表成绩单[[#This Row],[物理]]="","",SUMPRODUCT((表成绩单[考试日期]=表成绩单[[#This Row],[考试日期]])*(表成绩单[物理]&lt;9E+307)*(表成绩单[物理]&gt;表成绩单[[#This Row],[物理]]))+1)</f>
        <v>376</v>
      </c>
      <c r="T1219" s="29" cm="1">
        <f t="array" ref="T1219">IF(表成绩单[[#This Row],[化学]]="","",SUMPRODUCT((表成绩单[考试日期]=表成绩单[[#This Row],[考试日期]])*(表成绩单[化学]&lt;9E+307)*(表成绩单[化学]&gt;表成绩单[[#This Row],[化学]]))+1)</f>
        <v>543</v>
      </c>
      <c r="U1219" s="29" cm="1">
        <f t="array" ref="U1219">IF(表成绩单[[#This Row],[政治]]="","",SUMPRODUCT((表成绩单[考试日期]=表成绩单[[#This Row],[考试日期]])*(表成绩单[政治]&lt;9E+307)*(表成绩单[政治]&gt;表成绩单[[#This Row],[政治]]))+1)</f>
        <v>184</v>
      </c>
      <c r="V1219" s="29" cm="1">
        <f t="array" ref="V1219">IF(表成绩单[[#This Row],[历史]]="","",SUMPRODUCT((表成绩单[考试日期]=表成绩单[[#This Row],[考试日期]])*(表成绩单[历史]&lt;9E+307)*(表成绩单[历史]&gt;表成绩单[[#This Row],[历史]]))+1)</f>
        <v>190</v>
      </c>
      <c r="W1219" s="29" cm="1">
        <f t="array" ref="W1219">IF(表成绩单[[#This Row],[总分]]="","",SUMPRODUCT((表成绩单[考试日期]=表成绩单[[#This Row],[考试日期]])*(表成绩单[总分]&lt;9E+307)*(表成绩单[总分]&gt;表成绩单[[#This Row],[总分]]))+1)</f>
        <v>414</v>
      </c>
    </row>
    <row r="1220" ht="28" customHeight="1" spans="4:23">
      <c r="D1220" s="31">
        <v>46003</v>
      </c>
      <c r="E1220" s="29">
        <v>19174771</v>
      </c>
      <c r="F1220" s="29" t="s">
        <v>69</v>
      </c>
      <c r="G1220" s="29" t="s">
        <v>526</v>
      </c>
      <c r="H1220" s="29">
        <v>101</v>
      </c>
      <c r="I1220" s="29">
        <v>61</v>
      </c>
      <c r="J1220" s="29">
        <v>75.5</v>
      </c>
      <c r="K1220" s="29">
        <v>82</v>
      </c>
      <c r="L1220" s="29">
        <v>82</v>
      </c>
      <c r="M1220" s="29">
        <v>56</v>
      </c>
      <c r="N1220" s="29">
        <v>79</v>
      </c>
      <c r="O1220" s="32">
        <v>536.5</v>
      </c>
      <c r="P1220" s="29" cm="1">
        <f t="array" ref="P1220">IF(表成绩单[[#This Row],[语文]]="","",SUMPRODUCT((表成绩单[考试日期]=表成绩单[[#This Row],[考试日期]])*(表成绩单[语文]&lt;9E+307)*(表成绩单[语文]&gt;表成绩单[[#This Row],[语文]]))+1)</f>
        <v>387</v>
      </c>
      <c r="Q1220" s="29" cm="1">
        <f t="array" ref="Q1220">IF(表成绩单[[#This Row],[数学]]="","",SUMPRODUCT((表成绩单[考试日期]=表成绩单[[#This Row],[考试日期]])*(表成绩单[数学]&lt;9E+307)*(表成绩单[数学]&gt;表成绩单[[#This Row],[数学]]))+1)</f>
        <v>504</v>
      </c>
      <c r="R1220" s="29" cm="1">
        <f t="array" ref="R1220">IF(表成绩单[[#This Row],[英语]]="","",SUMPRODUCT((表成绩单[考试日期]=表成绩单[[#This Row],[考试日期]])*(表成绩单[英语]&lt;9E+307)*(表成绩单[英语]&gt;表成绩单[[#This Row],[英语]]))+1)</f>
        <v>299</v>
      </c>
      <c r="S1220" s="29" cm="1">
        <f t="array" ref="S1220">IF(表成绩单[[#This Row],[物理]]="","",SUMPRODUCT((表成绩单[考试日期]=表成绩单[[#This Row],[考试日期]])*(表成绩单[物理]&lt;9E+307)*(表成绩单[物理]&gt;表成绩单[[#This Row],[物理]]))+1)</f>
        <v>395</v>
      </c>
      <c r="T1220" s="29" cm="1">
        <f t="array" ref="T1220">IF(表成绩单[[#This Row],[化学]]="","",SUMPRODUCT((表成绩单[考试日期]=表成绩单[[#This Row],[考试日期]])*(表成绩单[化学]&lt;9E+307)*(表成绩单[化学]&gt;表成绩单[[#This Row],[化学]]))+1)</f>
        <v>286</v>
      </c>
      <c r="U1220" s="29" cm="1">
        <f t="array" ref="U1220">IF(表成绩单[[#This Row],[政治]]="","",SUMPRODUCT((表成绩单[考试日期]=表成绩单[[#This Row],[考试日期]])*(表成绩单[政治]&lt;9E+307)*(表成绩单[政治]&gt;表成绩单[[#This Row],[政治]]))+1)</f>
        <v>492</v>
      </c>
      <c r="V1220" s="29" cm="1">
        <f t="array" ref="V1220">IF(表成绩单[[#This Row],[历史]]="","",SUMPRODUCT((表成绩单[考试日期]=表成绩单[[#This Row],[考试日期]])*(表成绩单[历史]&lt;9E+307)*(表成绩单[历史]&gt;表成绩单[[#This Row],[历史]]))+1)</f>
        <v>149</v>
      </c>
      <c r="W1220" s="29" cm="1">
        <f t="array" ref="W1220">IF(表成绩单[[#This Row],[总分]]="","",SUMPRODUCT((表成绩单[考试日期]=表成绩单[[#This Row],[考试日期]])*(表成绩单[总分]&lt;9E+307)*(表成绩单[总分]&gt;表成绩单[[#This Row],[总分]]))+1)</f>
        <v>415</v>
      </c>
    </row>
    <row r="1221" ht="28" customHeight="1" spans="4:23">
      <c r="D1221" s="31">
        <v>46003</v>
      </c>
      <c r="E1221" s="29">
        <v>19174773</v>
      </c>
      <c r="F1221" s="29" t="s">
        <v>69</v>
      </c>
      <c r="G1221" s="29" t="s">
        <v>402</v>
      </c>
      <c r="H1221" s="29">
        <v>103</v>
      </c>
      <c r="I1221" s="29">
        <v>56</v>
      </c>
      <c r="J1221" s="29">
        <v>80</v>
      </c>
      <c r="K1221" s="29">
        <v>80</v>
      </c>
      <c r="L1221" s="29">
        <v>74</v>
      </c>
      <c r="M1221" s="29">
        <v>69</v>
      </c>
      <c r="N1221" s="29">
        <v>74</v>
      </c>
      <c r="O1221" s="32">
        <v>536</v>
      </c>
      <c r="P1221" s="29" cm="1">
        <f t="array" ref="P1221">IF(表成绩单[[#This Row],[语文]]="","",SUMPRODUCT((表成绩单[考试日期]=表成绩单[[#This Row],[考试日期]])*(表成绩单[语文]&lt;9E+307)*(表成绩单[语文]&gt;表成绩单[[#This Row],[语文]]))+1)</f>
        <v>333</v>
      </c>
      <c r="Q1221" s="29" cm="1">
        <f t="array" ref="Q1221">IF(表成绩单[[#This Row],[数学]]="","",SUMPRODUCT((表成绩单[考试日期]=表成绩单[[#This Row],[考试日期]])*(表成绩单[数学]&lt;9E+307)*(表成绩单[数学]&gt;表成绩单[[#This Row],[数学]]))+1)</f>
        <v>544</v>
      </c>
      <c r="R1221" s="29" cm="1">
        <f t="array" ref="R1221">IF(表成绩单[[#This Row],[英语]]="","",SUMPRODUCT((表成绩单[考试日期]=表成绩单[[#This Row],[考试日期]])*(表成绩单[英语]&lt;9E+307)*(表成绩单[英语]&gt;表成绩单[[#This Row],[英语]]))+1)</f>
        <v>170</v>
      </c>
      <c r="S1221" s="29" cm="1">
        <f t="array" ref="S1221">IF(表成绩单[[#This Row],[物理]]="","",SUMPRODUCT((表成绩单[考试日期]=表成绩单[[#This Row],[考试日期]])*(表成绩单[物理]&lt;9E+307)*(表成绩单[物理]&gt;表成绩单[[#This Row],[物理]]))+1)</f>
        <v>422</v>
      </c>
      <c r="T1221" s="29" cm="1">
        <f t="array" ref="T1221">IF(表成绩单[[#This Row],[化学]]="","",SUMPRODUCT((表成绩单[考试日期]=表成绩单[[#This Row],[考试日期]])*(表成绩单[化学]&lt;9E+307)*(表成绩单[化学]&gt;表成绩单[[#This Row],[化学]]))+1)</f>
        <v>440</v>
      </c>
      <c r="U1221" s="29" cm="1">
        <f t="array" ref="U1221">IF(表成绩单[[#This Row],[政治]]="","",SUMPRODUCT((表成绩单[考试日期]=表成绩单[[#This Row],[考试日期]])*(表成绩单[政治]&lt;9E+307)*(表成绩单[政治]&gt;表成绩单[[#This Row],[政治]]))+1)</f>
        <v>212</v>
      </c>
      <c r="V1221" s="29" cm="1">
        <f t="array" ref="V1221">IF(表成绩单[[#This Row],[历史]]="","",SUMPRODUCT((表成绩单[考试日期]=表成绩单[[#This Row],[考试日期]])*(表成绩单[历史]&lt;9E+307)*(表成绩单[历史]&gt;表成绩单[[#This Row],[历史]]))+1)</f>
        <v>371</v>
      </c>
      <c r="W1221" s="29" cm="1">
        <f t="array" ref="W1221">IF(表成绩单[[#This Row],[总分]]="","",SUMPRODUCT((表成绩单[考试日期]=表成绩单[[#This Row],[考试日期]])*(表成绩单[总分]&lt;9E+307)*(表成绩单[总分]&gt;表成绩单[[#This Row],[总分]]))+1)</f>
        <v>416</v>
      </c>
    </row>
    <row r="1222" ht="28" customHeight="1" spans="4:23">
      <c r="D1222" s="31">
        <v>46003</v>
      </c>
      <c r="E1222" s="29">
        <v>19177650</v>
      </c>
      <c r="F1222" s="29" t="s">
        <v>63</v>
      </c>
      <c r="G1222" s="29" t="s">
        <v>549</v>
      </c>
      <c r="H1222" s="29">
        <v>100</v>
      </c>
      <c r="I1222" s="29">
        <v>85</v>
      </c>
      <c r="J1222" s="29">
        <v>55.5</v>
      </c>
      <c r="K1222" s="29">
        <v>78</v>
      </c>
      <c r="L1222" s="29">
        <v>81</v>
      </c>
      <c r="M1222" s="29">
        <v>67</v>
      </c>
      <c r="N1222" s="29">
        <v>69</v>
      </c>
      <c r="O1222" s="32">
        <v>535.5</v>
      </c>
      <c r="P1222" s="29" cm="1">
        <f t="array" ref="P1222">IF(表成绩单[[#This Row],[语文]]="","",SUMPRODUCT((表成绩单[考试日期]=表成绩单[[#This Row],[考试日期]])*(表成绩单[语文]&lt;9E+307)*(表成绩单[语文]&gt;表成绩单[[#This Row],[语文]]))+1)</f>
        <v>414</v>
      </c>
      <c r="Q1222" s="29" cm="1">
        <f t="array" ref="Q1222">IF(表成绩单[[#This Row],[数学]]="","",SUMPRODUCT((表成绩单[考试日期]=表成绩单[[#This Row],[考试日期]])*(表成绩单[数学]&lt;9E+307)*(表成绩单[数学]&gt;表成绩单[[#This Row],[数学]]))+1)</f>
        <v>249</v>
      </c>
      <c r="R1222" s="29" cm="1">
        <f t="array" ref="R1222">IF(表成绩单[[#This Row],[英语]]="","",SUMPRODUCT((表成绩单[考试日期]=表成绩单[[#This Row],[考试日期]])*(表成绩单[英语]&lt;9E+307)*(表成绩单[英语]&gt;表成绩单[[#This Row],[英语]]))+1)</f>
        <v>563</v>
      </c>
      <c r="S1222" s="29" cm="1">
        <f t="array" ref="S1222">IF(表成绩单[[#This Row],[物理]]="","",SUMPRODUCT((表成绩单[考试日期]=表成绩单[[#This Row],[考试日期]])*(表成绩单[物理]&lt;9E+307)*(表成绩单[物理]&gt;表成绩单[[#This Row],[物理]]))+1)</f>
        <v>443</v>
      </c>
      <c r="T1222" s="29" cm="1">
        <f t="array" ref="T1222">IF(表成绩单[[#This Row],[化学]]="","",SUMPRODUCT((表成绩单[考试日期]=表成绩单[[#This Row],[考试日期]])*(表成绩单[化学]&lt;9E+307)*(表成绩单[化学]&gt;表成绩单[[#This Row],[化学]]))+1)</f>
        <v>308</v>
      </c>
      <c r="U1222" s="29" cm="1">
        <f t="array" ref="U1222">IF(表成绩单[[#This Row],[政治]]="","",SUMPRODUCT((表成绩单[考试日期]=表成绩单[[#This Row],[考试日期]])*(表成绩单[政治]&lt;9E+307)*(表成绩单[政治]&gt;表成绩单[[#This Row],[政治]]))+1)</f>
        <v>264</v>
      </c>
      <c r="V1222" s="29" cm="1">
        <f t="array" ref="V1222">IF(表成绩单[[#This Row],[历史]]="","",SUMPRODUCT((表成绩单[考试日期]=表成绩单[[#This Row],[考试日期]])*(表成绩单[历史]&lt;9E+307)*(表成绩单[历史]&gt;表成绩单[[#This Row],[历史]]))+1)</f>
        <v>516</v>
      </c>
      <c r="W1222" s="29" cm="1">
        <f t="array" ref="W1222">IF(表成绩单[[#This Row],[总分]]="","",SUMPRODUCT((表成绩单[考试日期]=表成绩单[[#This Row],[考试日期]])*(表成绩单[总分]&lt;9E+307)*(表成绩单[总分]&gt;表成绩单[[#This Row],[总分]]))+1)</f>
        <v>417</v>
      </c>
    </row>
    <row r="1223" ht="28" customHeight="1" spans="4:23">
      <c r="D1223" s="31">
        <v>46003</v>
      </c>
      <c r="E1223" s="29">
        <v>19173244</v>
      </c>
      <c r="F1223" s="29" t="s">
        <v>61</v>
      </c>
      <c r="G1223" s="29" t="s">
        <v>551</v>
      </c>
      <c r="H1223" s="29">
        <v>98</v>
      </c>
      <c r="I1223" s="29">
        <v>71</v>
      </c>
      <c r="J1223" s="29">
        <v>75</v>
      </c>
      <c r="K1223" s="29">
        <v>83</v>
      </c>
      <c r="L1223" s="29">
        <v>70</v>
      </c>
      <c r="M1223" s="29">
        <v>69</v>
      </c>
      <c r="N1223" s="29">
        <v>68</v>
      </c>
      <c r="O1223" s="32">
        <v>534</v>
      </c>
      <c r="P1223" s="29" cm="1">
        <f t="array" ref="P1223">IF(表成绩单[[#This Row],[语文]]="","",SUMPRODUCT((表成绩单[考试日期]=表成绩单[[#This Row],[考试日期]])*(表成绩单[语文]&lt;9E+307)*(表成绩单[语文]&gt;表成绩单[[#This Row],[语文]]))+1)</f>
        <v>463</v>
      </c>
      <c r="Q1223" s="29" cm="1">
        <f t="array" ref="Q1223">IF(表成绩单[[#This Row],[数学]]="","",SUMPRODUCT((表成绩单[考试日期]=表成绩单[[#This Row],[考试日期]])*(表成绩单[数学]&lt;9E+307)*(表成绩单[数学]&gt;表成绩单[[#This Row],[数学]]))+1)</f>
        <v>412</v>
      </c>
      <c r="R1223" s="29" cm="1">
        <f t="array" ref="R1223">IF(表成绩单[[#This Row],[英语]]="","",SUMPRODUCT((表成绩单[考试日期]=表成绩单[[#This Row],[考试日期]])*(表成绩单[英语]&lt;9E+307)*(表成绩单[英语]&gt;表成绩单[[#This Row],[英语]]))+1)</f>
        <v>314</v>
      </c>
      <c r="S1223" s="29" cm="1">
        <f t="array" ref="S1223">IF(表成绩单[[#This Row],[物理]]="","",SUMPRODUCT((表成绩单[考试日期]=表成绩单[[#This Row],[考试日期]])*(表成绩单[物理]&lt;9E+307)*(表成绩单[物理]&gt;表成绩单[[#This Row],[物理]]))+1)</f>
        <v>376</v>
      </c>
      <c r="T1223" s="29" cm="1">
        <f t="array" ref="T1223">IF(表成绩单[[#This Row],[化学]]="","",SUMPRODUCT((表成绩单[考试日期]=表成绩单[[#This Row],[考试日期]])*(表成绩单[化学]&lt;9E+307)*(表成绩单[化学]&gt;表成绩单[[#This Row],[化学]]))+1)</f>
        <v>498</v>
      </c>
      <c r="U1223" s="29" cm="1">
        <f t="array" ref="U1223">IF(表成绩单[[#This Row],[政治]]="","",SUMPRODUCT((表成绩单[考试日期]=表成绩单[[#This Row],[考试日期]])*(表成绩单[政治]&lt;9E+307)*(表成绩单[政治]&gt;表成绩单[[#This Row],[政治]]))+1)</f>
        <v>212</v>
      </c>
      <c r="V1223" s="29" cm="1">
        <f t="array" ref="V1223">IF(表成绩单[[#This Row],[历史]]="","",SUMPRODUCT((表成绩单[考试日期]=表成绩单[[#This Row],[考试日期]])*(表成绩单[历史]&lt;9E+307)*(表成绩单[历史]&gt;表成绩单[[#This Row],[历史]]))+1)</f>
        <v>536</v>
      </c>
      <c r="W1223" s="29" cm="1">
        <f t="array" ref="W1223">IF(表成绩单[[#This Row],[总分]]="","",SUMPRODUCT((表成绩单[考试日期]=表成绩单[[#This Row],[考试日期]])*(表成绩单[总分]&lt;9E+307)*(表成绩单[总分]&gt;表成绩单[[#This Row],[总分]]))+1)</f>
        <v>418</v>
      </c>
    </row>
    <row r="1224" ht="28" customHeight="1" spans="4:23">
      <c r="D1224" s="31">
        <v>46003</v>
      </c>
      <c r="E1224" s="29">
        <v>19174781</v>
      </c>
      <c r="F1224" s="29" t="s">
        <v>69</v>
      </c>
      <c r="G1224" s="29" t="s">
        <v>568</v>
      </c>
      <c r="H1224" s="29">
        <v>101</v>
      </c>
      <c r="I1224" s="29">
        <v>77</v>
      </c>
      <c r="J1224" s="29">
        <v>65</v>
      </c>
      <c r="K1224" s="29">
        <v>90</v>
      </c>
      <c r="L1224" s="29">
        <v>78</v>
      </c>
      <c r="M1224" s="29">
        <v>56</v>
      </c>
      <c r="N1224" s="29">
        <v>67</v>
      </c>
      <c r="O1224" s="32">
        <v>534</v>
      </c>
      <c r="P1224" s="29" cm="1">
        <f t="array" ref="P1224">IF(表成绩单[[#This Row],[语文]]="","",SUMPRODUCT((表成绩单[考试日期]=表成绩单[[#This Row],[考试日期]])*(表成绩单[语文]&lt;9E+307)*(表成绩单[语文]&gt;表成绩单[[#This Row],[语文]]))+1)</f>
        <v>387</v>
      </c>
      <c r="Q1224" s="29" cm="1">
        <f t="array" ref="Q1224">IF(表成绩单[[#This Row],[数学]]="","",SUMPRODUCT((表成绩单[考试日期]=表成绩单[[#This Row],[考试日期]])*(表成绩单[数学]&lt;9E+307)*(表成绩单[数学]&gt;表成绩单[[#This Row],[数学]]))+1)</f>
        <v>343</v>
      </c>
      <c r="R1224" s="29" cm="1">
        <f t="array" ref="R1224">IF(表成绩单[[#This Row],[英语]]="","",SUMPRODUCT((表成绩单[考试日期]=表成绩单[[#This Row],[考试日期]])*(表成绩单[英语]&lt;9E+307)*(表成绩单[英语]&gt;表成绩单[[#This Row],[英语]]))+1)</f>
        <v>480</v>
      </c>
      <c r="S1224" s="29" cm="1">
        <f t="array" ref="S1224">IF(表成绩单[[#This Row],[物理]]="","",SUMPRODUCT((表成绩单[考试日期]=表成绩单[[#This Row],[考试日期]])*(表成绩单[物理]&lt;9E+307)*(表成绩单[物理]&gt;表成绩单[[#This Row],[物理]]))+1)</f>
        <v>237</v>
      </c>
      <c r="T1224" s="29" cm="1">
        <f t="array" ref="T1224">IF(表成绩单[[#This Row],[化学]]="","",SUMPRODUCT((表成绩单[考试日期]=表成绩单[[#This Row],[考试日期]])*(表成绩单[化学]&lt;9E+307)*(表成绩单[化学]&gt;表成绩单[[#This Row],[化学]]))+1)</f>
        <v>373</v>
      </c>
      <c r="U1224" s="29" cm="1">
        <f t="array" ref="U1224">IF(表成绩单[[#This Row],[政治]]="","",SUMPRODUCT((表成绩单[考试日期]=表成绩单[[#This Row],[考试日期]])*(表成绩单[政治]&lt;9E+307)*(表成绩单[政治]&gt;表成绩单[[#This Row],[政治]]))+1)</f>
        <v>492</v>
      </c>
      <c r="V1224" s="29" cm="1">
        <f t="array" ref="V1224">IF(表成绩单[[#This Row],[历史]]="","",SUMPRODUCT((表成绩单[考试日期]=表成绩单[[#This Row],[考试日期]])*(表成绩单[历史]&lt;9E+307)*(表成绩单[历史]&gt;表成绩单[[#This Row],[历史]]))+1)</f>
        <v>549</v>
      </c>
      <c r="W1224" s="29" cm="1">
        <f t="array" ref="W1224">IF(表成绩单[[#This Row],[总分]]="","",SUMPRODUCT((表成绩单[考试日期]=表成绩单[[#This Row],[考试日期]])*(表成绩单[总分]&lt;9E+307)*(表成绩单[总分]&gt;表成绩单[[#This Row],[总分]]))+1)</f>
        <v>418</v>
      </c>
    </row>
    <row r="1225" ht="28" customHeight="1" spans="4:23">
      <c r="D1225" s="31">
        <v>46003</v>
      </c>
      <c r="E1225" s="29">
        <v>19175988</v>
      </c>
      <c r="F1225" s="29" t="s">
        <v>59</v>
      </c>
      <c r="G1225" s="29" t="s">
        <v>456</v>
      </c>
      <c r="H1225" s="29">
        <v>99</v>
      </c>
      <c r="I1225" s="29">
        <v>70</v>
      </c>
      <c r="J1225" s="29">
        <v>55</v>
      </c>
      <c r="K1225" s="29">
        <v>89</v>
      </c>
      <c r="L1225" s="29">
        <v>86</v>
      </c>
      <c r="M1225" s="29">
        <v>60</v>
      </c>
      <c r="N1225" s="29">
        <v>75</v>
      </c>
      <c r="O1225" s="32">
        <v>534</v>
      </c>
      <c r="P1225" s="29" cm="1">
        <f t="array" ref="P1225">IF(表成绩单[[#This Row],[语文]]="","",SUMPRODUCT((表成绩单[考试日期]=表成绩单[[#This Row],[考试日期]])*(表成绩单[语文]&lt;9E+307)*(表成绩单[语文]&gt;表成绩单[[#This Row],[语文]]))+1)</f>
        <v>440</v>
      </c>
      <c r="Q1225" s="29" cm="1">
        <f t="array" ref="Q1225">IF(表成绩单[[#This Row],[数学]]="","",SUMPRODUCT((表成绩单[考试日期]=表成绩单[[#This Row],[考试日期]])*(表成绩单[数学]&lt;9E+307)*(表成绩单[数学]&gt;表成绩单[[#This Row],[数学]]))+1)</f>
        <v>426</v>
      </c>
      <c r="R1225" s="29" cm="1">
        <f t="array" ref="R1225">IF(表成绩单[[#This Row],[英语]]="","",SUMPRODUCT((表成绩单[考试日期]=表成绩单[[#This Row],[考试日期]])*(表成绩单[英语]&lt;9E+307)*(表成绩单[英语]&gt;表成绩单[[#This Row],[英语]]))+1)</f>
        <v>567</v>
      </c>
      <c r="S1225" s="29" cm="1">
        <f t="array" ref="S1225">IF(表成绩单[[#This Row],[物理]]="","",SUMPRODUCT((表成绩单[考试日期]=表成绩单[[#This Row],[考试日期]])*(表成绩单[物理]&lt;9E+307)*(表成绩单[物理]&gt;表成绩单[[#This Row],[物理]]))+1)</f>
        <v>269</v>
      </c>
      <c r="T1225" s="29" cm="1">
        <f t="array" ref="T1225">IF(表成绩单[[#This Row],[化学]]="","",SUMPRODUCT((表成绩单[考试日期]=表成绩单[[#This Row],[考试日期]])*(表成绩单[化学]&lt;9E+307)*(表成绩单[化学]&gt;表成绩单[[#This Row],[化学]]))+1)</f>
        <v>223</v>
      </c>
      <c r="U1225" s="29" cm="1">
        <f t="array" ref="U1225">IF(表成绩单[[#This Row],[政治]]="","",SUMPRODUCT((表成绩单[考试日期]=表成绩单[[#This Row],[考试日期]])*(表成绩单[政治]&lt;9E+307)*(表成绩单[政治]&gt;表成绩单[[#This Row],[政治]]))+1)</f>
        <v>421</v>
      </c>
      <c r="V1225" s="29" cm="1">
        <f t="array" ref="V1225">IF(表成绩单[[#This Row],[历史]]="","",SUMPRODUCT((表成绩单[考试日期]=表成绩单[[#This Row],[考试日期]])*(表成绩单[历史]&lt;9E+307)*(表成绩单[历史]&gt;表成绩单[[#This Row],[历史]]))+1)</f>
        <v>329</v>
      </c>
      <c r="W1225" s="29" cm="1">
        <f t="array" ref="W1225">IF(表成绩单[[#This Row],[总分]]="","",SUMPRODUCT((表成绩单[考试日期]=表成绩单[[#This Row],[考试日期]])*(表成绩单[总分]&lt;9E+307)*(表成绩单[总分]&gt;表成绩单[[#This Row],[总分]]))+1)</f>
        <v>418</v>
      </c>
    </row>
    <row r="1226" ht="28" customHeight="1" spans="4:23">
      <c r="D1226" s="31">
        <v>46003</v>
      </c>
      <c r="E1226" s="29">
        <v>19176865</v>
      </c>
      <c r="F1226" s="29" t="s">
        <v>71</v>
      </c>
      <c r="G1226" s="29" t="s">
        <v>509</v>
      </c>
      <c r="H1226" s="29">
        <v>109</v>
      </c>
      <c r="I1226" s="29">
        <v>62</v>
      </c>
      <c r="J1226" s="29">
        <v>73</v>
      </c>
      <c r="K1226" s="29">
        <v>83</v>
      </c>
      <c r="L1226" s="29">
        <v>64</v>
      </c>
      <c r="M1226" s="29">
        <v>61</v>
      </c>
      <c r="N1226" s="29">
        <v>82</v>
      </c>
      <c r="O1226" s="32">
        <v>534</v>
      </c>
      <c r="P1226" s="29" cm="1">
        <f t="array" ref="P1226">IF(表成绩单[[#This Row],[语文]]="","",SUMPRODUCT((表成绩单[考试日期]=表成绩单[[#This Row],[考试日期]])*(表成绩单[语文]&lt;9E+307)*(表成绩单[语文]&gt;表成绩单[[#This Row],[语文]]))+1)</f>
        <v>111</v>
      </c>
      <c r="Q1226" s="29" cm="1">
        <f t="array" ref="Q1226">IF(表成绩单[[#This Row],[数学]]="","",SUMPRODUCT((表成绩单[考试日期]=表成绩单[[#This Row],[考试日期]])*(表成绩单[数学]&lt;9E+307)*(表成绩单[数学]&gt;表成绩单[[#This Row],[数学]]))+1)</f>
        <v>497</v>
      </c>
      <c r="R1226" s="29" cm="1">
        <f t="array" ref="R1226">IF(表成绩单[[#This Row],[英语]]="","",SUMPRODUCT((表成绩单[考试日期]=表成绩单[[#This Row],[考试日期]])*(表成绩单[英语]&lt;9E+307)*(表成绩单[英语]&gt;表成绩单[[#This Row],[英语]]))+1)</f>
        <v>363</v>
      </c>
      <c r="S1226" s="29" cm="1">
        <f t="array" ref="S1226">IF(表成绩单[[#This Row],[物理]]="","",SUMPRODUCT((表成绩单[考试日期]=表成绩单[[#This Row],[考试日期]])*(表成绩单[物理]&lt;9E+307)*(表成绩单[物理]&gt;表成绩单[[#This Row],[物理]]))+1)</f>
        <v>376</v>
      </c>
      <c r="T1226" s="29" cm="1">
        <f t="array" ref="T1226">IF(表成绩单[[#This Row],[化学]]="","",SUMPRODUCT((表成绩单[考试日期]=表成绩单[[#This Row],[考试日期]])*(表成绩单[化学]&lt;9E+307)*(表成绩单[化学]&gt;表成绩单[[#This Row],[化学]]))+1)</f>
        <v>552</v>
      </c>
      <c r="U1226" s="29" cm="1">
        <f t="array" ref="U1226">IF(表成绩单[[#This Row],[政治]]="","",SUMPRODUCT((表成绩单[考试日期]=表成绩单[[#This Row],[考试日期]])*(表成绩单[政治]&lt;9E+307)*(表成绩单[政治]&gt;表成绩单[[#This Row],[政治]]))+1)</f>
        <v>400</v>
      </c>
      <c r="V1226" s="29" cm="1">
        <f t="array" ref="V1226">IF(表成绩单[[#This Row],[历史]]="","",SUMPRODUCT((表成绩单[考试日期]=表成绩单[[#This Row],[考试日期]])*(表成绩单[历史]&lt;9E+307)*(表成绩单[历史]&gt;表成绩单[[#This Row],[历史]]))+1)</f>
        <v>66</v>
      </c>
      <c r="W1226" s="29" cm="1">
        <f t="array" ref="W1226">IF(表成绩单[[#This Row],[总分]]="","",SUMPRODUCT((表成绩单[考试日期]=表成绩单[[#This Row],[考试日期]])*(表成绩单[总分]&lt;9E+307)*(表成绩单[总分]&gt;表成绩单[[#This Row],[总分]]))+1)</f>
        <v>418</v>
      </c>
    </row>
    <row r="1227" ht="28" customHeight="1" spans="4:23">
      <c r="D1227" s="31">
        <v>46003</v>
      </c>
      <c r="E1227" s="29">
        <v>19174784</v>
      </c>
      <c r="F1227" s="29" t="s">
        <v>69</v>
      </c>
      <c r="G1227" s="29" t="s">
        <v>454</v>
      </c>
      <c r="H1227" s="29">
        <v>102</v>
      </c>
      <c r="I1227" s="29">
        <v>70</v>
      </c>
      <c r="J1227" s="29">
        <v>77.5</v>
      </c>
      <c r="K1227" s="29">
        <v>82</v>
      </c>
      <c r="L1227" s="29">
        <v>76</v>
      </c>
      <c r="M1227" s="29">
        <v>53</v>
      </c>
      <c r="N1227" s="29">
        <v>72</v>
      </c>
      <c r="O1227" s="32">
        <v>532.5</v>
      </c>
      <c r="P1227" s="29" cm="1">
        <f t="array" ref="P1227">IF(表成绩单[[#This Row],[语文]]="","",SUMPRODUCT((表成绩单[考试日期]=表成绩单[[#This Row],[考试日期]])*(表成绩单[语文]&lt;9E+307)*(表成绩单[语文]&gt;表成绩单[[#This Row],[语文]]))+1)</f>
        <v>366</v>
      </c>
      <c r="Q1227" s="29" cm="1">
        <f t="array" ref="Q1227">IF(表成绩单[[#This Row],[数学]]="","",SUMPRODUCT((表成绩单[考试日期]=表成绩单[[#This Row],[考试日期]])*(表成绩单[数学]&lt;9E+307)*(表成绩单[数学]&gt;表成绩单[[#This Row],[数学]]))+1)</f>
        <v>426</v>
      </c>
      <c r="R1227" s="29" cm="1">
        <f t="array" ref="R1227">IF(表成绩单[[#This Row],[英语]]="","",SUMPRODUCT((表成绩单[考试日期]=表成绩单[[#This Row],[考试日期]])*(表成绩单[英语]&lt;9E+307)*(表成绩单[英语]&gt;表成绩单[[#This Row],[英语]]))+1)</f>
        <v>230</v>
      </c>
      <c r="S1227" s="29" cm="1">
        <f t="array" ref="S1227">IF(表成绩单[[#This Row],[物理]]="","",SUMPRODUCT((表成绩单[考试日期]=表成绩单[[#This Row],[考试日期]])*(表成绩单[物理]&lt;9E+307)*(表成绩单[物理]&gt;表成绩单[[#This Row],[物理]]))+1)</f>
        <v>395</v>
      </c>
      <c r="T1227" s="29" cm="1">
        <f t="array" ref="T1227">IF(表成绩单[[#This Row],[化学]]="","",SUMPRODUCT((表成绩单[考试日期]=表成绩单[[#This Row],[考试日期]])*(表成绩单[化学]&lt;9E+307)*(表成绩单[化学]&gt;表成绩单[[#This Row],[化学]]))+1)</f>
        <v>402</v>
      </c>
      <c r="U1227" s="29" cm="1">
        <f t="array" ref="U1227">IF(表成绩单[[#This Row],[政治]]="","",SUMPRODUCT((表成绩单[考试日期]=表成绩单[[#This Row],[考试日期]])*(表成绩单[政治]&lt;9E+307)*(表成绩单[政治]&gt;表成绩单[[#This Row],[政治]]))+1)</f>
        <v>547</v>
      </c>
      <c r="V1227" s="29" cm="1">
        <f t="array" ref="V1227">IF(表成绩单[[#This Row],[历史]]="","",SUMPRODUCT((表成绩单[考试日期]=表成绩单[[#This Row],[考试日期]])*(表成绩单[历史]&lt;9E+307)*(表成绩单[历史]&gt;表成绩单[[#This Row],[历史]]))+1)</f>
        <v>439</v>
      </c>
      <c r="W1227" s="29" cm="1">
        <f t="array" ref="W1227">IF(表成绩单[[#This Row],[总分]]="","",SUMPRODUCT((表成绩单[考试日期]=表成绩单[[#This Row],[考试日期]])*(表成绩单[总分]&lt;9E+307)*(表成绩单[总分]&gt;表成绩单[[#This Row],[总分]]))+1)</f>
        <v>422</v>
      </c>
    </row>
    <row r="1228" ht="28" customHeight="1" spans="4:23">
      <c r="D1228" s="31">
        <v>46003</v>
      </c>
      <c r="E1228" s="29">
        <v>19177676</v>
      </c>
      <c r="F1228" s="29" t="s">
        <v>63</v>
      </c>
      <c r="G1228" s="29" t="s">
        <v>368</v>
      </c>
      <c r="H1228" s="29">
        <v>108</v>
      </c>
      <c r="I1228" s="29">
        <v>62</v>
      </c>
      <c r="J1228" s="29">
        <v>75.5</v>
      </c>
      <c r="K1228" s="29">
        <v>81</v>
      </c>
      <c r="L1228" s="29">
        <v>79</v>
      </c>
      <c r="M1228" s="29">
        <v>57</v>
      </c>
      <c r="N1228" s="29">
        <v>69</v>
      </c>
      <c r="O1228" s="32">
        <v>531.5</v>
      </c>
      <c r="P1228" s="29" cm="1">
        <f t="array" ref="P1228">IF(表成绩单[[#This Row],[语文]]="","",SUMPRODUCT((表成绩单[考试日期]=表成绩单[[#This Row],[考试日期]])*(表成绩单[语文]&lt;9E+307)*(表成绩单[语文]&gt;表成绩单[[#This Row],[语文]]))+1)</f>
        <v>154</v>
      </c>
      <c r="Q1228" s="29" cm="1">
        <f t="array" ref="Q1228">IF(表成绩单[[#This Row],[数学]]="","",SUMPRODUCT((表成绩单[考试日期]=表成绩单[[#This Row],[考试日期]])*(表成绩单[数学]&lt;9E+307)*(表成绩单[数学]&gt;表成绩单[[#This Row],[数学]]))+1)</f>
        <v>497</v>
      </c>
      <c r="R1228" s="29" cm="1">
        <f t="array" ref="R1228">IF(表成绩单[[#This Row],[英语]]="","",SUMPRODUCT((表成绩单[考试日期]=表成绩单[[#This Row],[考试日期]])*(表成绩单[英语]&lt;9E+307)*(表成绩单[英语]&gt;表成绩单[[#This Row],[英语]]))+1)</f>
        <v>299</v>
      </c>
      <c r="S1228" s="29" cm="1">
        <f t="array" ref="S1228">IF(表成绩单[[#This Row],[物理]]="","",SUMPRODUCT((表成绩单[考试日期]=表成绩单[[#This Row],[考试日期]])*(表成绩单[物理]&lt;9E+307)*(表成绩单[物理]&gt;表成绩单[[#This Row],[物理]]))+1)</f>
        <v>405</v>
      </c>
      <c r="T1228" s="29" cm="1">
        <f t="array" ref="T1228">IF(表成绩单[[#This Row],[化学]]="","",SUMPRODUCT((表成绩单[考试日期]=表成绩单[[#This Row],[考试日期]])*(表成绩单[化学]&lt;9E+307)*(表成绩单[化学]&gt;表成绩单[[#This Row],[化学]]))+1)</f>
        <v>351</v>
      </c>
      <c r="U1228" s="29" cm="1">
        <f t="array" ref="U1228">IF(表成绩单[[#This Row],[政治]]="","",SUMPRODUCT((表成绩单[考试日期]=表成绩单[[#This Row],[考试日期]])*(表成绩单[政治]&lt;9E+307)*(表成绩单[政治]&gt;表成绩单[[#This Row],[政治]]))+1)</f>
        <v>474</v>
      </c>
      <c r="V1228" s="29" cm="1">
        <f t="array" ref="V1228">IF(表成绩单[[#This Row],[历史]]="","",SUMPRODUCT((表成绩单[考试日期]=表成绩单[[#This Row],[考试日期]])*(表成绩单[历史]&lt;9E+307)*(表成绩单[历史]&gt;表成绩单[[#This Row],[历史]]))+1)</f>
        <v>516</v>
      </c>
      <c r="W1228" s="29" cm="1">
        <f t="array" ref="W1228">IF(表成绩单[[#This Row],[总分]]="","",SUMPRODUCT((表成绩单[考试日期]=表成绩单[[#This Row],[考试日期]])*(表成绩单[总分]&lt;9E+307)*(表成绩单[总分]&gt;表成绩单[[#This Row],[总分]]))+1)</f>
        <v>423</v>
      </c>
    </row>
    <row r="1229" ht="28" customHeight="1" spans="4:23">
      <c r="D1229" s="31">
        <v>46003</v>
      </c>
      <c r="E1229" s="29">
        <v>19175630</v>
      </c>
      <c r="F1229" s="29" t="s">
        <v>57</v>
      </c>
      <c r="G1229" s="29" t="s">
        <v>652</v>
      </c>
      <c r="H1229" s="29">
        <v>101</v>
      </c>
      <c r="I1229" s="29">
        <v>66</v>
      </c>
      <c r="J1229" s="29">
        <v>60</v>
      </c>
      <c r="K1229" s="29">
        <v>85</v>
      </c>
      <c r="L1229" s="29">
        <v>76</v>
      </c>
      <c r="M1229" s="29">
        <v>70</v>
      </c>
      <c r="N1229" s="29">
        <v>73</v>
      </c>
      <c r="O1229" s="32">
        <v>531</v>
      </c>
      <c r="P1229" s="29" cm="1">
        <f t="array" ref="P1229">IF(表成绩单[[#This Row],[语文]]="","",SUMPRODUCT((表成绩单[考试日期]=表成绩单[[#This Row],[考试日期]])*(表成绩单[语文]&lt;9E+307)*(表成绩单[语文]&gt;表成绩单[[#This Row],[语文]]))+1)</f>
        <v>387</v>
      </c>
      <c r="Q1229" s="29" cm="1">
        <f t="array" ref="Q1229">IF(表成绩单[[#This Row],[数学]]="","",SUMPRODUCT((表成绩单[考试日期]=表成绩单[[#This Row],[考试日期]])*(表成绩单[数学]&lt;9E+307)*(表成绩单[数学]&gt;表成绩单[[#This Row],[数学]]))+1)</f>
        <v>467</v>
      </c>
      <c r="R1229" s="29" cm="1">
        <f t="array" ref="R1229">IF(表成绩单[[#This Row],[英语]]="","",SUMPRODUCT((表成绩单[考试日期]=表成绩单[[#This Row],[考试日期]])*(表成绩单[英语]&lt;9E+307)*(表成绩单[英语]&gt;表成绩单[[#This Row],[英语]]))+1)</f>
        <v>528</v>
      </c>
      <c r="S1229" s="29" cm="1">
        <f t="array" ref="S1229">IF(表成绩单[[#This Row],[物理]]="","",SUMPRODUCT((表成绩单[考试日期]=表成绩单[[#This Row],[考试日期]])*(表成绩单[物理]&lt;9E+307)*(表成绩单[物理]&gt;表成绩单[[#This Row],[物理]]))+1)</f>
        <v>348</v>
      </c>
      <c r="T1229" s="29" cm="1">
        <f t="array" ref="T1229">IF(表成绩单[[#This Row],[化学]]="","",SUMPRODUCT((表成绩单[考试日期]=表成绩单[[#This Row],[考试日期]])*(表成绩单[化学]&lt;9E+307)*(表成绩单[化学]&gt;表成绩单[[#This Row],[化学]]))+1)</f>
        <v>402</v>
      </c>
      <c r="U1229" s="29" cm="1">
        <f t="array" ref="U1229">IF(表成绩单[[#This Row],[政治]]="","",SUMPRODUCT((表成绩单[考试日期]=表成绩单[[#This Row],[考试日期]])*(表成绩单[政治]&lt;9E+307)*(表成绩单[政治]&gt;表成绩单[[#This Row],[政治]]))+1)</f>
        <v>184</v>
      </c>
      <c r="V1229" s="29" cm="1">
        <f t="array" ref="V1229">IF(表成绩单[[#This Row],[历史]]="","",SUMPRODUCT((表成绩单[考试日期]=表成绩单[[#This Row],[考试日期]])*(表成绩单[历史]&lt;9E+307)*(表成绩单[历史]&gt;表成绩单[[#This Row],[历史]]))+1)</f>
        <v>403</v>
      </c>
      <c r="W1229" s="29" cm="1">
        <f t="array" ref="W1229">IF(表成绩单[[#This Row],[总分]]="","",SUMPRODUCT((表成绩单[考试日期]=表成绩单[[#This Row],[考试日期]])*(表成绩单[总分]&lt;9E+307)*(表成绩单[总分]&gt;表成绩单[[#This Row],[总分]]))+1)</f>
        <v>424</v>
      </c>
    </row>
    <row r="1230" ht="28" customHeight="1" spans="4:23">
      <c r="D1230" s="31">
        <v>46003</v>
      </c>
      <c r="E1230" s="29">
        <v>19172624</v>
      </c>
      <c r="F1230" s="29" t="s">
        <v>60</v>
      </c>
      <c r="G1230" s="29" t="s">
        <v>662</v>
      </c>
      <c r="H1230" s="29">
        <v>90</v>
      </c>
      <c r="I1230" s="29">
        <v>78</v>
      </c>
      <c r="J1230" s="29">
        <v>74.5</v>
      </c>
      <c r="K1230" s="29">
        <v>90</v>
      </c>
      <c r="L1230" s="29">
        <v>87</v>
      </c>
      <c r="M1230" s="29">
        <v>44</v>
      </c>
      <c r="N1230" s="29">
        <v>67</v>
      </c>
      <c r="O1230" s="32">
        <v>530.5</v>
      </c>
      <c r="P1230" s="29" cm="1">
        <f t="array" ref="P1230">IF(表成绩单[[#This Row],[语文]]="","",SUMPRODUCT((表成绩单[考试日期]=表成绩单[[#This Row],[考试日期]])*(表成绩单[语文]&lt;9E+307)*(表成绩单[语文]&gt;表成绩单[[#This Row],[语文]]))+1)</f>
        <v>589</v>
      </c>
      <c r="Q1230" s="29" cm="1">
        <f t="array" ref="Q1230">IF(表成绩单[[#This Row],[数学]]="","",SUMPRODUCT((表成绩单[考试日期]=表成绩单[[#This Row],[考试日期]])*(表成绩单[数学]&lt;9E+307)*(表成绩单[数学]&gt;表成绩单[[#This Row],[数学]]))+1)</f>
        <v>335</v>
      </c>
      <c r="R1230" s="29" cm="1">
        <f t="array" ref="R1230">IF(表成绩单[[#This Row],[英语]]="","",SUMPRODUCT((表成绩单[考试日期]=表成绩单[[#This Row],[考试日期]])*(表成绩单[英语]&lt;9E+307)*(表成绩单[英语]&gt;表成绩单[[#This Row],[英语]]))+1)</f>
        <v>328</v>
      </c>
      <c r="S1230" s="29" cm="1">
        <f t="array" ref="S1230">IF(表成绩单[[#This Row],[物理]]="","",SUMPRODUCT((表成绩单[考试日期]=表成绩单[[#This Row],[考试日期]])*(表成绩单[物理]&lt;9E+307)*(表成绩单[物理]&gt;表成绩单[[#This Row],[物理]]))+1)</f>
        <v>237</v>
      </c>
      <c r="T1230" s="29" cm="1">
        <f t="array" ref="T1230">IF(表成绩单[[#This Row],[化学]]="","",SUMPRODUCT((表成绩单[考试日期]=表成绩单[[#This Row],[考试日期]])*(表成绩单[化学]&lt;9E+307)*(表成绩单[化学]&gt;表成绩单[[#This Row],[化学]]))+1)</f>
        <v>201</v>
      </c>
      <c r="U1230" s="29" cm="1">
        <f t="array" ref="U1230">IF(表成绩单[[#This Row],[政治]]="","",SUMPRODUCT((表成绩单[考试日期]=表成绩单[[#This Row],[考试日期]])*(表成绩单[政治]&lt;9E+307)*(表成绩单[政治]&gt;表成绩单[[#This Row],[政治]]))+1)</f>
        <v>651</v>
      </c>
      <c r="V1230" s="29" cm="1">
        <f t="array" ref="V1230">IF(表成绩单[[#This Row],[历史]]="","",SUMPRODUCT((表成绩单[考试日期]=表成绩单[[#This Row],[考试日期]])*(表成绩单[历史]&lt;9E+307)*(表成绩单[历史]&gt;表成绩单[[#This Row],[历史]]))+1)</f>
        <v>549</v>
      </c>
      <c r="W1230" s="29" cm="1">
        <f t="array" ref="W1230">IF(表成绩单[[#This Row],[总分]]="","",SUMPRODUCT((表成绩单[考试日期]=表成绩单[[#This Row],[考试日期]])*(表成绩单[总分]&lt;9E+307)*(表成绩单[总分]&gt;表成绩单[[#This Row],[总分]]))+1)</f>
        <v>425</v>
      </c>
    </row>
    <row r="1231" ht="28" customHeight="1" spans="4:23">
      <c r="D1231" s="31">
        <v>46003</v>
      </c>
      <c r="E1231" s="29">
        <v>19173251</v>
      </c>
      <c r="F1231" s="29" t="s">
        <v>61</v>
      </c>
      <c r="G1231" s="29" t="s">
        <v>566</v>
      </c>
      <c r="H1231" s="29">
        <v>92</v>
      </c>
      <c r="I1231" s="29">
        <v>71</v>
      </c>
      <c r="J1231" s="29">
        <v>72.5</v>
      </c>
      <c r="K1231" s="29">
        <v>87</v>
      </c>
      <c r="L1231" s="29">
        <v>78</v>
      </c>
      <c r="M1231" s="29">
        <v>59</v>
      </c>
      <c r="N1231" s="29">
        <v>71</v>
      </c>
      <c r="O1231" s="32">
        <v>530.5</v>
      </c>
      <c r="P1231" s="29" cm="1">
        <f t="array" ref="P1231">IF(表成绩单[[#This Row],[语文]]="","",SUMPRODUCT((表成绩单[考试日期]=表成绩单[[#This Row],[考试日期]])*(表成绩单[语文]&lt;9E+307)*(表成绩单[语文]&gt;表成绩单[[#This Row],[语文]]))+1)</f>
        <v>569</v>
      </c>
      <c r="Q1231" s="29" cm="1">
        <f t="array" ref="Q1231">IF(表成绩单[[#This Row],[数学]]="","",SUMPRODUCT((表成绩单[考试日期]=表成绩单[[#This Row],[考试日期]])*(表成绩单[数学]&lt;9E+307)*(表成绩单[数学]&gt;表成绩单[[#This Row],[数学]]))+1)</f>
        <v>412</v>
      </c>
      <c r="R1231" s="29" cm="1">
        <f t="array" ref="R1231">IF(表成绩单[[#This Row],[英语]]="","",SUMPRODUCT((表成绩单[考试日期]=表成绩单[[#This Row],[考试日期]])*(表成绩单[英语]&lt;9E+307)*(表成绩单[英语]&gt;表成绩单[[#This Row],[英语]]))+1)</f>
        <v>373</v>
      </c>
      <c r="S1231" s="29" cm="1">
        <f t="array" ref="S1231">IF(表成绩单[[#This Row],[物理]]="","",SUMPRODUCT((表成绩单[考试日期]=表成绩单[[#This Row],[考试日期]])*(表成绩单[物理]&lt;9E+307)*(表成绩单[物理]&gt;表成绩单[[#This Row],[物理]]))+1)</f>
        <v>306</v>
      </c>
      <c r="T1231" s="29" cm="1">
        <f t="array" ref="T1231">IF(表成绩单[[#This Row],[化学]]="","",SUMPRODUCT((表成绩单[考试日期]=表成绩单[[#This Row],[考试日期]])*(表成绩单[化学]&lt;9E+307)*(表成绩单[化学]&gt;表成绩单[[#This Row],[化学]]))+1)</f>
        <v>373</v>
      </c>
      <c r="U1231" s="29" cm="1">
        <f t="array" ref="U1231">IF(表成绩单[[#This Row],[政治]]="","",SUMPRODUCT((表成绩单[考试日期]=表成绩单[[#This Row],[考试日期]])*(表成绩单[政治]&lt;9E+307)*(表成绩单[政治]&gt;表成绩单[[#This Row],[政治]]))+1)</f>
        <v>435</v>
      </c>
      <c r="V1231" s="29" cm="1">
        <f t="array" ref="V1231">IF(表成绩单[[#This Row],[历史]]="","",SUMPRODUCT((表成绩单[考试日期]=表成绩单[[#This Row],[考试日期]])*(表成绩单[历史]&lt;9E+307)*(表成绩单[历史]&gt;表成绩单[[#This Row],[历史]]))+1)</f>
        <v>471</v>
      </c>
      <c r="W1231" s="29" cm="1">
        <f t="array" ref="W1231">IF(表成绩单[[#This Row],[总分]]="","",SUMPRODUCT((表成绩单[考试日期]=表成绩单[[#This Row],[考试日期]])*(表成绩单[总分]&lt;9E+307)*(表成绩单[总分]&gt;表成绩单[[#This Row],[总分]]))+1)</f>
        <v>425</v>
      </c>
    </row>
    <row r="1232" ht="28" customHeight="1" spans="4:23">
      <c r="D1232" s="31">
        <v>46003</v>
      </c>
      <c r="E1232" s="29">
        <v>19175415</v>
      </c>
      <c r="F1232" s="29" t="s">
        <v>74</v>
      </c>
      <c r="G1232" s="29" t="s">
        <v>488</v>
      </c>
      <c r="H1232" s="29">
        <v>99</v>
      </c>
      <c r="I1232" s="29">
        <v>77</v>
      </c>
      <c r="J1232" s="29">
        <v>61.5</v>
      </c>
      <c r="K1232" s="29">
        <v>79</v>
      </c>
      <c r="L1232" s="29">
        <v>79</v>
      </c>
      <c r="M1232" s="29">
        <v>63</v>
      </c>
      <c r="N1232" s="29">
        <v>72</v>
      </c>
      <c r="O1232" s="32">
        <v>530.5</v>
      </c>
      <c r="P1232" s="29" cm="1">
        <f t="array" ref="P1232">IF(表成绩单[[#This Row],[语文]]="","",SUMPRODUCT((表成绩单[考试日期]=表成绩单[[#This Row],[考试日期]])*(表成绩单[语文]&lt;9E+307)*(表成绩单[语文]&gt;表成绩单[[#This Row],[语文]]))+1)</f>
        <v>440</v>
      </c>
      <c r="Q1232" s="29" cm="1">
        <f t="array" ref="Q1232">IF(表成绩单[[#This Row],[数学]]="","",SUMPRODUCT((表成绩单[考试日期]=表成绩单[[#This Row],[考试日期]])*(表成绩单[数学]&lt;9E+307)*(表成绩单[数学]&gt;表成绩单[[#This Row],[数学]]))+1)</f>
        <v>343</v>
      </c>
      <c r="R1232" s="29" cm="1">
        <f t="array" ref="R1232">IF(表成绩单[[#This Row],[英语]]="","",SUMPRODUCT((表成绩单[考试日期]=表成绩单[[#This Row],[考试日期]])*(表成绩单[英语]&lt;9E+307)*(表成绩单[英语]&gt;表成绩单[[#This Row],[英语]]))+1)</f>
        <v>513</v>
      </c>
      <c r="S1232" s="29" cm="1">
        <f t="array" ref="S1232">IF(表成绩单[[#This Row],[物理]]="","",SUMPRODUCT((表成绩单[考试日期]=表成绩单[[#This Row],[考试日期]])*(表成绩单[物理]&lt;9E+307)*(表成绩单[物理]&gt;表成绩单[[#This Row],[物理]]))+1)</f>
        <v>432</v>
      </c>
      <c r="T1232" s="29" cm="1">
        <f t="array" ref="T1232">IF(表成绩单[[#This Row],[化学]]="","",SUMPRODUCT((表成绩单[考试日期]=表成绩单[[#This Row],[考试日期]])*(表成绩单[化学]&lt;9E+307)*(表成绩单[化学]&gt;表成绩单[[#This Row],[化学]]))+1)</f>
        <v>351</v>
      </c>
      <c r="U1232" s="29" cm="1">
        <f t="array" ref="U1232">IF(表成绩单[[#This Row],[政治]]="","",SUMPRODUCT((表成绩单[考试日期]=表成绩单[[#This Row],[考试日期]])*(表成绩单[政治]&lt;9E+307)*(表成绩单[政治]&gt;表成绩单[[#This Row],[政治]]))+1)</f>
        <v>360</v>
      </c>
      <c r="V1232" s="29" cm="1">
        <f t="array" ref="V1232">IF(表成绩单[[#This Row],[历史]]="","",SUMPRODUCT((表成绩单[考试日期]=表成绩单[[#This Row],[考试日期]])*(表成绩单[历史]&lt;9E+307)*(表成绩单[历史]&gt;表成绩单[[#This Row],[历史]]))+1)</f>
        <v>439</v>
      </c>
      <c r="W1232" s="29" cm="1">
        <f t="array" ref="W1232">IF(表成绩单[[#This Row],[总分]]="","",SUMPRODUCT((表成绩单[考试日期]=表成绩单[[#This Row],[考试日期]])*(表成绩单[总分]&lt;9E+307)*(表成绩单[总分]&gt;表成绩单[[#This Row],[总分]]))+1)</f>
        <v>425</v>
      </c>
    </row>
    <row r="1233" ht="28" customHeight="1" spans="4:23">
      <c r="D1233" s="31">
        <v>46003</v>
      </c>
      <c r="E1233" s="29">
        <v>19176014</v>
      </c>
      <c r="F1233" s="29" t="s">
        <v>59</v>
      </c>
      <c r="G1233" s="29" t="s">
        <v>500</v>
      </c>
      <c r="H1233" s="29">
        <v>98</v>
      </c>
      <c r="I1233" s="29">
        <v>80</v>
      </c>
      <c r="J1233" s="29">
        <v>63.5</v>
      </c>
      <c r="K1233" s="29">
        <v>82</v>
      </c>
      <c r="L1233" s="29">
        <v>74</v>
      </c>
      <c r="M1233" s="29">
        <v>66</v>
      </c>
      <c r="N1233" s="29">
        <v>67</v>
      </c>
      <c r="O1233" s="32">
        <v>530.5</v>
      </c>
      <c r="P1233" s="29" cm="1">
        <f t="array" ref="P1233">IF(表成绩单[[#This Row],[语文]]="","",SUMPRODUCT((表成绩单[考试日期]=表成绩单[[#This Row],[考试日期]])*(表成绩单[语文]&lt;9E+307)*(表成绩单[语文]&gt;表成绩单[[#This Row],[语文]]))+1)</f>
        <v>463</v>
      </c>
      <c r="Q1233" s="29" cm="1">
        <f t="array" ref="Q1233">IF(表成绩单[[#This Row],[数学]]="","",SUMPRODUCT((表成绩单[考试日期]=表成绩单[[#This Row],[考试日期]])*(表成绩单[数学]&lt;9E+307)*(表成绩单[数学]&gt;表成绩单[[#This Row],[数学]]))+1)</f>
        <v>310</v>
      </c>
      <c r="R1233" s="29" cm="1">
        <f t="array" ref="R1233">IF(表成绩单[[#This Row],[英语]]="","",SUMPRODUCT((表成绩单[考试日期]=表成绩单[[#This Row],[考试日期]])*(表成绩单[英语]&lt;9E+307)*(表成绩单[英语]&gt;表成绩单[[#This Row],[英语]]))+1)</f>
        <v>494</v>
      </c>
      <c r="S1233" s="29" cm="1">
        <f t="array" ref="S1233">IF(表成绩单[[#This Row],[物理]]="","",SUMPRODUCT((表成绩单[考试日期]=表成绩单[[#This Row],[考试日期]])*(表成绩单[物理]&lt;9E+307)*(表成绩单[物理]&gt;表成绩单[[#This Row],[物理]]))+1)</f>
        <v>395</v>
      </c>
      <c r="T1233" s="29" cm="1">
        <f t="array" ref="T1233">IF(表成绩单[[#This Row],[化学]]="","",SUMPRODUCT((表成绩单[考试日期]=表成绩单[[#This Row],[考试日期]])*(表成绩单[化学]&lt;9E+307)*(表成绩单[化学]&gt;表成绩单[[#This Row],[化学]]))+1)</f>
        <v>440</v>
      </c>
      <c r="U1233" s="29" cm="1">
        <f t="array" ref="U1233">IF(表成绩单[[#This Row],[政治]]="","",SUMPRODUCT((表成绩单[考试日期]=表成绩单[[#This Row],[考试日期]])*(表成绩单[政治]&lt;9E+307)*(表成绩单[政治]&gt;表成绩单[[#This Row],[政治]]))+1)</f>
        <v>289</v>
      </c>
      <c r="V1233" s="29" cm="1">
        <f t="array" ref="V1233">IF(表成绩单[[#This Row],[历史]]="","",SUMPRODUCT((表成绩单[考试日期]=表成绩单[[#This Row],[考试日期]])*(表成绩单[历史]&lt;9E+307)*(表成绩单[历史]&gt;表成绩单[[#This Row],[历史]]))+1)</f>
        <v>549</v>
      </c>
      <c r="W1233" s="29" cm="1">
        <f t="array" ref="W1233">IF(表成绩单[[#This Row],[总分]]="","",SUMPRODUCT((表成绩单[考试日期]=表成绩单[[#This Row],[考试日期]])*(表成绩单[总分]&lt;9E+307)*(表成绩单[总分]&gt;表成绩单[[#This Row],[总分]]))+1)</f>
        <v>425</v>
      </c>
    </row>
    <row r="1234" ht="28" customHeight="1" spans="4:23">
      <c r="D1234" s="31">
        <v>46003</v>
      </c>
      <c r="E1234" s="29">
        <v>19173259</v>
      </c>
      <c r="F1234" s="29" t="s">
        <v>61</v>
      </c>
      <c r="G1234" s="29" t="s">
        <v>564</v>
      </c>
      <c r="H1234" s="29">
        <v>97</v>
      </c>
      <c r="I1234" s="29">
        <v>81</v>
      </c>
      <c r="J1234" s="29">
        <v>70</v>
      </c>
      <c r="K1234" s="29">
        <v>89</v>
      </c>
      <c r="L1234" s="29">
        <v>72</v>
      </c>
      <c r="M1234" s="29">
        <v>53</v>
      </c>
      <c r="N1234" s="29">
        <v>67</v>
      </c>
      <c r="O1234" s="32">
        <v>529</v>
      </c>
      <c r="P1234" s="29" cm="1">
        <f t="array" ref="P1234">IF(表成绩单[[#This Row],[语文]]="","",SUMPRODUCT((表成绩单[考试日期]=表成绩单[[#This Row],[考试日期]])*(表成绩单[语文]&lt;9E+307)*(表成绩单[语文]&gt;表成绩单[[#This Row],[语文]]))+1)</f>
        <v>488</v>
      </c>
      <c r="Q1234" s="29" cm="1">
        <f t="array" ref="Q1234">IF(表成绩单[[#This Row],[数学]]="","",SUMPRODUCT((表成绩单[考试日期]=表成绩单[[#This Row],[考试日期]])*(表成绩单[数学]&lt;9E+307)*(表成绩单[数学]&gt;表成绩单[[#This Row],[数学]]))+1)</f>
        <v>302</v>
      </c>
      <c r="R1234" s="29" cm="1">
        <f t="array" ref="R1234">IF(表成绩单[[#This Row],[英语]]="","",SUMPRODUCT((表成绩单[考试日期]=表成绩单[[#This Row],[考试日期]])*(表成绩单[英语]&lt;9E+307)*(表成绩单[英语]&gt;表成绩单[[#This Row],[英语]]))+1)</f>
        <v>419</v>
      </c>
      <c r="S1234" s="29" cm="1">
        <f t="array" ref="S1234">IF(表成绩单[[#This Row],[物理]]="","",SUMPRODUCT((表成绩单[考试日期]=表成绩单[[#This Row],[考试日期]])*(表成绩单[物理]&lt;9E+307)*(表成绩单[物理]&gt;表成绩单[[#This Row],[物理]]))+1)</f>
        <v>269</v>
      </c>
      <c r="T1234" s="29" cm="1">
        <f t="array" ref="T1234">IF(表成绩单[[#This Row],[化学]]="","",SUMPRODUCT((表成绩单[考试日期]=表成绩单[[#This Row],[考试日期]])*(表成绩单[化学]&lt;9E+307)*(表成绩单[化学]&gt;表成绩单[[#This Row],[化学]]))+1)</f>
        <v>472</v>
      </c>
      <c r="U1234" s="29" cm="1">
        <f t="array" ref="U1234">IF(表成绩单[[#This Row],[政治]]="","",SUMPRODUCT((表成绩单[考试日期]=表成绩单[[#This Row],[考试日期]])*(表成绩单[政治]&lt;9E+307)*(表成绩单[政治]&gt;表成绩单[[#This Row],[政治]]))+1)</f>
        <v>547</v>
      </c>
      <c r="V1234" s="29" cm="1">
        <f t="array" ref="V1234">IF(表成绩单[[#This Row],[历史]]="","",SUMPRODUCT((表成绩单[考试日期]=表成绩单[[#This Row],[考试日期]])*(表成绩单[历史]&lt;9E+307)*(表成绩单[历史]&gt;表成绩单[[#This Row],[历史]]))+1)</f>
        <v>549</v>
      </c>
      <c r="W1234" s="29" cm="1">
        <f t="array" ref="W1234">IF(表成绩单[[#This Row],[总分]]="","",SUMPRODUCT((表成绩单[考试日期]=表成绩单[[#This Row],[考试日期]])*(表成绩单[总分]&lt;9E+307)*(表成绩单[总分]&gt;表成绩单[[#This Row],[总分]]))+1)</f>
        <v>429</v>
      </c>
    </row>
    <row r="1235" ht="28" customHeight="1" spans="4:23">
      <c r="D1235" s="31">
        <v>46003</v>
      </c>
      <c r="E1235" s="29">
        <v>19178598</v>
      </c>
      <c r="F1235" s="29" t="s">
        <v>64</v>
      </c>
      <c r="G1235" s="29" t="s">
        <v>661</v>
      </c>
      <c r="H1235" s="29">
        <v>97</v>
      </c>
      <c r="I1235" s="29">
        <v>70</v>
      </c>
      <c r="J1235" s="29">
        <v>70</v>
      </c>
      <c r="K1235" s="29">
        <v>87</v>
      </c>
      <c r="L1235" s="29">
        <v>77</v>
      </c>
      <c r="M1235" s="29">
        <v>53</v>
      </c>
      <c r="N1235" s="29">
        <v>75</v>
      </c>
      <c r="O1235" s="32">
        <v>529</v>
      </c>
      <c r="P1235" s="29" cm="1">
        <f t="array" ref="P1235">IF(表成绩单[[#This Row],[语文]]="","",SUMPRODUCT((表成绩单[考试日期]=表成绩单[[#This Row],[考试日期]])*(表成绩单[语文]&lt;9E+307)*(表成绩单[语文]&gt;表成绩单[[#This Row],[语文]]))+1)</f>
        <v>488</v>
      </c>
      <c r="Q1235" s="29" cm="1">
        <f t="array" ref="Q1235">IF(表成绩单[[#This Row],[数学]]="","",SUMPRODUCT((表成绩单[考试日期]=表成绩单[[#This Row],[考试日期]])*(表成绩单[数学]&lt;9E+307)*(表成绩单[数学]&gt;表成绩单[[#This Row],[数学]]))+1)</f>
        <v>426</v>
      </c>
      <c r="R1235" s="29" cm="1">
        <f t="array" ref="R1235">IF(表成绩单[[#This Row],[英语]]="","",SUMPRODUCT((表成绩单[考试日期]=表成绩单[[#This Row],[考试日期]])*(表成绩单[英语]&lt;9E+307)*(表成绩单[英语]&gt;表成绩单[[#This Row],[英语]]))+1)</f>
        <v>419</v>
      </c>
      <c r="S1235" s="29" cm="1">
        <f t="array" ref="S1235">IF(表成绩单[[#This Row],[物理]]="","",SUMPRODUCT((表成绩单[考试日期]=表成绩单[[#This Row],[考试日期]])*(表成绩单[物理]&lt;9E+307)*(表成绩单[物理]&gt;表成绩单[[#This Row],[物理]]))+1)</f>
        <v>306</v>
      </c>
      <c r="T1235" s="29" cm="1">
        <f t="array" ref="T1235">IF(表成绩单[[#This Row],[化学]]="","",SUMPRODUCT((表成绩单[考试日期]=表成绩单[[#This Row],[考试日期]])*(表成绩单[化学]&lt;9E+307)*(表成绩单[化学]&gt;表成绩单[[#This Row],[化学]]))+1)</f>
        <v>388</v>
      </c>
      <c r="U1235" s="29" cm="1">
        <f t="array" ref="U1235">IF(表成绩单[[#This Row],[政治]]="","",SUMPRODUCT((表成绩单[考试日期]=表成绩单[[#This Row],[考试日期]])*(表成绩单[政治]&lt;9E+307)*(表成绩单[政治]&gt;表成绩单[[#This Row],[政治]]))+1)</f>
        <v>547</v>
      </c>
      <c r="V1235" s="29" cm="1">
        <f t="array" ref="V1235">IF(表成绩单[[#This Row],[历史]]="","",SUMPRODUCT((表成绩单[考试日期]=表成绩单[[#This Row],[考试日期]])*(表成绩单[历史]&lt;9E+307)*(表成绩单[历史]&gt;表成绩单[[#This Row],[历史]]))+1)</f>
        <v>329</v>
      </c>
      <c r="W1235" s="29" cm="1">
        <f t="array" ref="W1235">IF(表成绩单[[#This Row],[总分]]="","",SUMPRODUCT((表成绩单[考试日期]=表成绩单[[#This Row],[考试日期]])*(表成绩单[总分]&lt;9E+307)*(表成绩单[总分]&gt;表成绩单[[#This Row],[总分]]))+1)</f>
        <v>429</v>
      </c>
    </row>
    <row r="1236" ht="28" customHeight="1" spans="4:23">
      <c r="D1236" s="31">
        <v>46003</v>
      </c>
      <c r="E1236" s="29">
        <v>19173765</v>
      </c>
      <c r="F1236" s="29" t="s">
        <v>65</v>
      </c>
      <c r="G1236" s="29" t="s">
        <v>517</v>
      </c>
      <c r="H1236" s="29">
        <v>90</v>
      </c>
      <c r="I1236" s="29">
        <v>76</v>
      </c>
      <c r="J1236" s="29">
        <v>63.5</v>
      </c>
      <c r="K1236" s="29">
        <v>90</v>
      </c>
      <c r="L1236" s="29">
        <v>78</v>
      </c>
      <c r="M1236" s="29">
        <v>55</v>
      </c>
      <c r="N1236" s="29">
        <v>76</v>
      </c>
      <c r="O1236" s="32">
        <v>528.5</v>
      </c>
      <c r="P1236" s="29" cm="1">
        <f t="array" ref="P1236">IF(表成绩单[[#This Row],[语文]]="","",SUMPRODUCT((表成绩单[考试日期]=表成绩单[[#This Row],[考试日期]])*(表成绩单[语文]&lt;9E+307)*(表成绩单[语文]&gt;表成绩单[[#This Row],[语文]]))+1)</f>
        <v>589</v>
      </c>
      <c r="Q1236" s="29" cm="1">
        <f t="array" ref="Q1236">IF(表成绩单[[#This Row],[数学]]="","",SUMPRODUCT((表成绩单[考试日期]=表成绩单[[#This Row],[考试日期]])*(表成绩单[数学]&lt;9E+307)*(表成绩单[数学]&gt;表成绩单[[#This Row],[数学]]))+1)</f>
        <v>356</v>
      </c>
      <c r="R1236" s="29" cm="1">
        <f t="array" ref="R1236">IF(表成绩单[[#This Row],[英语]]="","",SUMPRODUCT((表成绩单[考试日期]=表成绩单[[#This Row],[考试日期]])*(表成绩单[英语]&lt;9E+307)*(表成绩单[英语]&gt;表成绩单[[#This Row],[英语]]))+1)</f>
        <v>494</v>
      </c>
      <c r="S1236" s="29" cm="1">
        <f t="array" ref="S1236">IF(表成绩单[[#This Row],[物理]]="","",SUMPRODUCT((表成绩单[考试日期]=表成绩单[[#This Row],[考试日期]])*(表成绩单[物理]&lt;9E+307)*(表成绩单[物理]&gt;表成绩单[[#This Row],[物理]]))+1)</f>
        <v>237</v>
      </c>
      <c r="T1236" s="29" cm="1">
        <f t="array" ref="T1236">IF(表成绩单[[#This Row],[化学]]="","",SUMPRODUCT((表成绩单[考试日期]=表成绩单[[#This Row],[考试日期]])*(表成绩单[化学]&lt;9E+307)*(表成绩单[化学]&gt;表成绩单[[#This Row],[化学]]))+1)</f>
        <v>373</v>
      </c>
      <c r="U1236" s="29" cm="1">
        <f t="array" ref="U1236">IF(表成绩单[[#This Row],[政治]]="","",SUMPRODUCT((表成绩单[考试日期]=表成绩单[[#This Row],[考试日期]])*(表成绩单[政治]&lt;9E+307)*(表成绩单[政治]&gt;表成绩单[[#This Row],[政治]]))+1)</f>
        <v>513</v>
      </c>
      <c r="V1236" s="29" cm="1">
        <f t="array" ref="V1236">IF(表成绩单[[#This Row],[历史]]="","",SUMPRODUCT((表成绩单[考试日期]=表成绩单[[#This Row],[考试日期]])*(表成绩单[历史]&lt;9E+307)*(表成绩单[历史]&gt;表成绩单[[#This Row],[历史]]))+1)</f>
        <v>279</v>
      </c>
      <c r="W1236" s="29" cm="1">
        <f t="array" ref="W1236">IF(表成绩单[[#This Row],[总分]]="","",SUMPRODUCT((表成绩单[考试日期]=表成绩单[[#This Row],[考试日期]])*(表成绩单[总分]&lt;9E+307)*(表成绩单[总分]&gt;表成绩单[[#This Row],[总分]]))+1)</f>
        <v>431</v>
      </c>
    </row>
    <row r="1237" ht="28" customHeight="1" spans="4:23">
      <c r="D1237" s="31">
        <v>46003</v>
      </c>
      <c r="E1237" s="29">
        <v>19173779</v>
      </c>
      <c r="F1237" s="29" t="s">
        <v>65</v>
      </c>
      <c r="G1237" s="29" t="s">
        <v>546</v>
      </c>
      <c r="H1237" s="29">
        <v>98</v>
      </c>
      <c r="I1237" s="29">
        <v>68</v>
      </c>
      <c r="J1237" s="29">
        <v>74.5</v>
      </c>
      <c r="K1237" s="29">
        <v>83</v>
      </c>
      <c r="L1237" s="29">
        <v>80</v>
      </c>
      <c r="M1237" s="29">
        <v>59</v>
      </c>
      <c r="N1237" s="29">
        <v>66</v>
      </c>
      <c r="O1237" s="32">
        <v>528.5</v>
      </c>
      <c r="P1237" s="29" cm="1">
        <f t="array" ref="P1237">IF(表成绩单[[#This Row],[语文]]="","",SUMPRODUCT((表成绩单[考试日期]=表成绩单[[#This Row],[考试日期]])*(表成绩单[语文]&lt;9E+307)*(表成绩单[语文]&gt;表成绩单[[#This Row],[语文]]))+1)</f>
        <v>463</v>
      </c>
      <c r="Q1237" s="29" cm="1">
        <f t="array" ref="Q1237">IF(表成绩单[[#This Row],[数学]]="","",SUMPRODUCT((表成绩单[考试日期]=表成绩单[[#This Row],[考试日期]])*(表成绩单[数学]&lt;9E+307)*(表成绩单[数学]&gt;表成绩单[[#This Row],[数学]]))+1)</f>
        <v>450</v>
      </c>
      <c r="R1237" s="29" cm="1">
        <f t="array" ref="R1237">IF(表成绩单[[#This Row],[英语]]="","",SUMPRODUCT((表成绩单[考试日期]=表成绩单[[#This Row],[考试日期]])*(表成绩单[英语]&lt;9E+307)*(表成绩单[英语]&gt;表成绩单[[#This Row],[英语]]))+1)</f>
        <v>328</v>
      </c>
      <c r="S1237" s="29" cm="1">
        <f t="array" ref="S1237">IF(表成绩单[[#This Row],[物理]]="","",SUMPRODUCT((表成绩单[考试日期]=表成绩单[[#This Row],[考试日期]])*(表成绩单[物理]&lt;9E+307)*(表成绩单[物理]&gt;表成绩单[[#This Row],[物理]]))+1)</f>
        <v>376</v>
      </c>
      <c r="T1237" s="29" cm="1">
        <f t="array" ref="T1237">IF(表成绩单[[#This Row],[化学]]="","",SUMPRODUCT((表成绩单[考试日期]=表成绩单[[#This Row],[考试日期]])*(表成绩单[化学]&lt;9E+307)*(表成绩单[化学]&gt;表成绩单[[#This Row],[化学]]))+1)</f>
        <v>327</v>
      </c>
      <c r="U1237" s="29" cm="1">
        <f t="array" ref="U1237">IF(表成绩单[[#This Row],[政治]]="","",SUMPRODUCT((表成绩单[考试日期]=表成绩单[[#This Row],[考试日期]])*(表成绩单[政治]&lt;9E+307)*(表成绩单[政治]&gt;表成绩单[[#This Row],[政治]]))+1)</f>
        <v>435</v>
      </c>
      <c r="V1237" s="29" cm="1">
        <f t="array" ref="V1237">IF(表成绩单[[#This Row],[历史]]="","",SUMPRODUCT((表成绩单[考试日期]=表成绩单[[#This Row],[考试日期]])*(表成绩单[历史]&lt;9E+307)*(表成绩单[历史]&gt;表成绩单[[#This Row],[历史]]))+1)</f>
        <v>571</v>
      </c>
      <c r="W1237" s="29" cm="1">
        <f t="array" ref="W1237">IF(表成绩单[[#This Row],[总分]]="","",SUMPRODUCT((表成绩单[考试日期]=表成绩单[[#This Row],[考试日期]])*(表成绩单[总分]&lt;9E+307)*(表成绩单[总分]&gt;表成绩单[[#This Row],[总分]]))+1)</f>
        <v>431</v>
      </c>
    </row>
    <row r="1238" ht="28" customHeight="1" spans="4:23">
      <c r="D1238" s="31">
        <v>46003</v>
      </c>
      <c r="E1238" s="29">
        <v>19178623</v>
      </c>
      <c r="F1238" s="29" t="s">
        <v>25</v>
      </c>
      <c r="G1238" s="29" t="s">
        <v>557</v>
      </c>
      <c r="H1238" s="29">
        <v>105</v>
      </c>
      <c r="I1238" s="29">
        <v>56</v>
      </c>
      <c r="J1238" s="29">
        <v>67</v>
      </c>
      <c r="K1238" s="29">
        <v>77</v>
      </c>
      <c r="L1238" s="29">
        <v>72</v>
      </c>
      <c r="M1238" s="29">
        <v>69</v>
      </c>
      <c r="N1238" s="29">
        <v>82</v>
      </c>
      <c r="O1238" s="32">
        <v>528</v>
      </c>
      <c r="P1238" s="29" cm="1">
        <f t="array" ref="P1238">IF(表成绩单[[#This Row],[语文]]="","",SUMPRODUCT((表成绩单[考试日期]=表成绩单[[#This Row],[考试日期]])*(表成绩单[语文]&lt;9E+307)*(表成绩单[语文]&gt;表成绩单[[#This Row],[语文]]))+1)</f>
        <v>247</v>
      </c>
      <c r="Q1238" s="29" cm="1">
        <f t="array" ref="Q1238">IF(表成绩单[[#This Row],[数学]]="","",SUMPRODUCT((表成绩单[考试日期]=表成绩单[[#This Row],[考试日期]])*(表成绩单[数学]&lt;9E+307)*(表成绩单[数学]&gt;表成绩单[[#This Row],[数学]]))+1)</f>
        <v>544</v>
      </c>
      <c r="R1238" s="29" cm="1">
        <f t="array" ref="R1238">IF(表成绩单[[#This Row],[英语]]="","",SUMPRODUCT((表成绩单[考试日期]=表成绩单[[#This Row],[考试日期]])*(表成绩单[英语]&lt;9E+307)*(表成绩单[英语]&gt;表成绩单[[#This Row],[英语]]))+1)</f>
        <v>460</v>
      </c>
      <c r="S1238" s="29" cm="1">
        <f t="array" ref="S1238">IF(表成绩单[[#This Row],[物理]]="","",SUMPRODUCT((表成绩单[考试日期]=表成绩单[[#This Row],[考试日期]])*(表成绩单[物理]&lt;9E+307)*(表成绩单[物理]&gt;表成绩单[[#This Row],[物理]]))+1)</f>
        <v>454</v>
      </c>
      <c r="T1238" s="29" cm="1">
        <f t="array" ref="T1238">IF(表成绩单[[#This Row],[化学]]="","",SUMPRODUCT((表成绩单[考试日期]=表成绩单[[#This Row],[考试日期]])*(表成绩单[化学]&lt;9E+307)*(表成绩单[化学]&gt;表成绩单[[#This Row],[化学]]))+1)</f>
        <v>472</v>
      </c>
      <c r="U1238" s="29" cm="1">
        <f t="array" ref="U1238">IF(表成绩单[[#This Row],[政治]]="","",SUMPRODUCT((表成绩单[考试日期]=表成绩单[[#This Row],[考试日期]])*(表成绩单[政治]&lt;9E+307)*(表成绩单[政治]&gt;表成绩单[[#This Row],[政治]]))+1)</f>
        <v>212</v>
      </c>
      <c r="V1238" s="29" cm="1">
        <f t="array" ref="V1238">IF(表成绩单[[#This Row],[历史]]="","",SUMPRODUCT((表成绩单[考试日期]=表成绩单[[#This Row],[考试日期]])*(表成绩单[历史]&lt;9E+307)*(表成绩单[历史]&gt;表成绩单[[#This Row],[历史]]))+1)</f>
        <v>66</v>
      </c>
      <c r="W1238" s="29" cm="1">
        <f t="array" ref="W1238">IF(表成绩单[[#This Row],[总分]]="","",SUMPRODUCT((表成绩单[考试日期]=表成绩单[[#This Row],[考试日期]])*(表成绩单[总分]&lt;9E+307)*(表成绩单[总分]&gt;表成绩单[[#This Row],[总分]]))+1)</f>
        <v>433</v>
      </c>
    </row>
    <row r="1239" ht="28" customHeight="1" spans="4:23">
      <c r="D1239" s="31">
        <v>46003</v>
      </c>
      <c r="E1239" s="29">
        <v>19178582</v>
      </c>
      <c r="F1239" s="29" t="s">
        <v>64</v>
      </c>
      <c r="G1239" s="29" t="s">
        <v>475</v>
      </c>
      <c r="H1239" s="29">
        <v>106</v>
      </c>
      <c r="I1239" s="29">
        <v>68</v>
      </c>
      <c r="J1239" s="29">
        <v>74.5</v>
      </c>
      <c r="K1239" s="29">
        <v>71</v>
      </c>
      <c r="L1239" s="29">
        <v>73</v>
      </c>
      <c r="M1239" s="29">
        <v>64</v>
      </c>
      <c r="N1239" s="29">
        <v>71</v>
      </c>
      <c r="O1239" s="32">
        <v>527.5</v>
      </c>
      <c r="P1239" s="29" cm="1">
        <f t="array" ref="P1239">IF(表成绩单[[#This Row],[语文]]="","",SUMPRODUCT((表成绩单[考试日期]=表成绩单[[#This Row],[考试日期]])*(表成绩单[语文]&lt;9E+307)*(表成绩单[语文]&gt;表成绩单[[#This Row],[语文]]))+1)</f>
        <v>210</v>
      </c>
      <c r="Q1239" s="29" cm="1">
        <f t="array" ref="Q1239">IF(表成绩单[[#This Row],[数学]]="","",SUMPRODUCT((表成绩单[考试日期]=表成绩单[[#This Row],[考试日期]])*(表成绩单[数学]&lt;9E+307)*(表成绩单[数学]&gt;表成绩单[[#This Row],[数学]]))+1)</f>
        <v>450</v>
      </c>
      <c r="R1239" s="29" cm="1">
        <f t="array" ref="R1239">IF(表成绩单[[#This Row],[英语]]="","",SUMPRODUCT((表成绩单[考试日期]=表成绩单[[#This Row],[考试日期]])*(表成绩单[英语]&lt;9E+307)*(表成绩单[英语]&gt;表成绩单[[#This Row],[英语]]))+1)</f>
        <v>328</v>
      </c>
      <c r="S1239" s="29" cm="1">
        <f t="array" ref="S1239">IF(表成绩单[[#This Row],[物理]]="","",SUMPRODUCT((表成绩单[考试日期]=表成绩单[[#This Row],[考试日期]])*(表成绩单[物理]&lt;9E+307)*(表成绩单[物理]&gt;表成绩单[[#This Row],[物理]]))+1)</f>
        <v>507</v>
      </c>
      <c r="T1239" s="29" cm="1">
        <f t="array" ref="T1239">IF(表成绩单[[#This Row],[化学]]="","",SUMPRODUCT((表成绩单[考试日期]=表成绩单[[#This Row],[考试日期]])*(表成绩单[化学]&lt;9E+307)*(表成绩单[化学]&gt;表成绩单[[#This Row],[化学]]))+1)</f>
        <v>457</v>
      </c>
      <c r="U1239" s="29" cm="1">
        <f t="array" ref="U1239">IF(表成绩单[[#This Row],[政治]]="","",SUMPRODUCT((表成绩单[考试日期]=表成绩单[[#This Row],[考试日期]])*(表成绩单[政治]&lt;9E+307)*(表成绩单[政治]&gt;表成绩单[[#This Row],[政治]]))+1)</f>
        <v>337</v>
      </c>
      <c r="V1239" s="29" cm="1">
        <f t="array" ref="V1239">IF(表成绩单[[#This Row],[历史]]="","",SUMPRODUCT((表成绩单[考试日期]=表成绩单[[#This Row],[考试日期]])*(表成绩单[历史]&lt;9E+307)*(表成绩单[历史]&gt;表成绩单[[#This Row],[历史]]))+1)</f>
        <v>471</v>
      </c>
      <c r="W1239" s="29" cm="1">
        <f t="array" ref="W1239">IF(表成绩单[[#This Row],[总分]]="","",SUMPRODUCT((表成绩单[考试日期]=表成绩单[[#This Row],[考试日期]])*(表成绩单[总分]&lt;9E+307)*(表成绩单[总分]&gt;表成绩单[[#This Row],[总分]]))+1)</f>
        <v>434</v>
      </c>
    </row>
    <row r="1240" ht="28" customHeight="1" spans="4:23">
      <c r="D1240" s="31">
        <v>46003</v>
      </c>
      <c r="E1240" s="29">
        <v>19173241</v>
      </c>
      <c r="F1240" s="29" t="s">
        <v>61</v>
      </c>
      <c r="G1240" s="29" t="s">
        <v>524</v>
      </c>
      <c r="H1240" s="29">
        <v>103</v>
      </c>
      <c r="I1240" s="29">
        <v>76</v>
      </c>
      <c r="J1240" s="29">
        <v>72</v>
      </c>
      <c r="K1240" s="29">
        <v>83</v>
      </c>
      <c r="L1240" s="29">
        <v>56</v>
      </c>
      <c r="M1240" s="29">
        <v>68</v>
      </c>
      <c r="N1240" s="29">
        <v>69</v>
      </c>
      <c r="O1240" s="32">
        <v>527</v>
      </c>
      <c r="P1240" s="29" cm="1">
        <f t="array" ref="P1240">IF(表成绩单[[#This Row],[语文]]="","",SUMPRODUCT((表成绩单[考试日期]=表成绩单[[#This Row],[考试日期]])*(表成绩单[语文]&lt;9E+307)*(表成绩单[语文]&gt;表成绩单[[#This Row],[语文]]))+1)</f>
        <v>333</v>
      </c>
      <c r="Q1240" s="29" cm="1">
        <f t="array" ref="Q1240">IF(表成绩单[[#This Row],[数学]]="","",SUMPRODUCT((表成绩单[考试日期]=表成绩单[[#This Row],[考试日期]])*(表成绩单[数学]&lt;9E+307)*(表成绩单[数学]&gt;表成绩单[[#This Row],[数学]]))+1)</f>
        <v>356</v>
      </c>
      <c r="R1240" s="29" cm="1">
        <f t="array" ref="R1240">IF(表成绩单[[#This Row],[英语]]="","",SUMPRODUCT((表成绩单[考试日期]=表成绩单[[#This Row],[考试日期]])*(表成绩单[英语]&lt;9E+307)*(表成绩单[英语]&gt;表成绩单[[#This Row],[英语]]))+1)</f>
        <v>386</v>
      </c>
      <c r="S1240" s="29" cm="1">
        <f t="array" ref="S1240">IF(表成绩单[[#This Row],[物理]]="","",SUMPRODUCT((表成绩单[考试日期]=表成绩单[[#This Row],[考试日期]])*(表成绩单[物理]&lt;9E+307)*(表成绩单[物理]&gt;表成绩单[[#This Row],[物理]]))+1)</f>
        <v>376</v>
      </c>
      <c r="T1240" s="29" cm="1">
        <f t="array" ref="T1240">IF(表成绩单[[#This Row],[化学]]="","",SUMPRODUCT((表成绩单[考试日期]=表成绩单[[#This Row],[考试日期]])*(表成绩单[化学]&lt;9E+307)*(表成绩单[化学]&gt;表成绩单[[#This Row],[化学]]))+1)</f>
        <v>617</v>
      </c>
      <c r="U1240" s="29" cm="1">
        <f t="array" ref="U1240">IF(表成绩单[[#This Row],[政治]]="","",SUMPRODUCT((表成绩单[考试日期]=表成绩单[[#This Row],[考试日期]])*(表成绩单[政治]&lt;9E+307)*(表成绩单[政治]&gt;表成绩单[[#This Row],[政治]]))+1)</f>
        <v>237</v>
      </c>
      <c r="V1240" s="29" cm="1">
        <f t="array" ref="V1240">IF(表成绩单[[#This Row],[历史]]="","",SUMPRODUCT((表成绩单[考试日期]=表成绩单[[#This Row],[考试日期]])*(表成绩单[历史]&lt;9E+307)*(表成绩单[历史]&gt;表成绩单[[#This Row],[历史]]))+1)</f>
        <v>516</v>
      </c>
      <c r="W1240" s="29" cm="1">
        <f t="array" ref="W1240">IF(表成绩单[[#This Row],[总分]]="","",SUMPRODUCT((表成绩单[考试日期]=表成绩单[[#This Row],[考试日期]])*(表成绩单[总分]&lt;9E+307)*(表成绩单[总分]&gt;表成绩单[[#This Row],[总分]]))+1)</f>
        <v>435</v>
      </c>
    </row>
    <row r="1241" ht="28" customHeight="1" spans="4:23">
      <c r="D1241" s="31">
        <v>46003</v>
      </c>
      <c r="E1241" s="29">
        <v>19177220</v>
      </c>
      <c r="F1241" s="29" t="s">
        <v>70</v>
      </c>
      <c r="G1241" s="29" t="s">
        <v>452</v>
      </c>
      <c r="H1241" s="29">
        <v>103</v>
      </c>
      <c r="I1241" s="29">
        <v>52</v>
      </c>
      <c r="J1241" s="29">
        <v>70</v>
      </c>
      <c r="K1241" s="29">
        <v>80</v>
      </c>
      <c r="L1241" s="29">
        <v>73</v>
      </c>
      <c r="M1241" s="29">
        <v>72</v>
      </c>
      <c r="N1241" s="29">
        <v>77</v>
      </c>
      <c r="O1241" s="32">
        <v>527</v>
      </c>
      <c r="P1241" s="29" cm="1">
        <f t="array" ref="P1241">IF(表成绩单[[#This Row],[语文]]="","",SUMPRODUCT((表成绩单[考试日期]=表成绩单[[#This Row],[考试日期]])*(表成绩单[语文]&lt;9E+307)*(表成绩单[语文]&gt;表成绩单[[#This Row],[语文]]))+1)</f>
        <v>333</v>
      </c>
      <c r="Q1241" s="29" cm="1">
        <f t="array" ref="Q1241">IF(表成绩单[[#This Row],[数学]]="","",SUMPRODUCT((表成绩单[考试日期]=表成绩单[[#This Row],[考试日期]])*(表成绩单[数学]&lt;9E+307)*(表成绩单[数学]&gt;表成绩单[[#This Row],[数学]]))+1)</f>
        <v>569</v>
      </c>
      <c r="R1241" s="29" cm="1">
        <f t="array" ref="R1241">IF(表成绩单[[#This Row],[英语]]="","",SUMPRODUCT((表成绩单[考试日期]=表成绩单[[#This Row],[考试日期]])*(表成绩单[英语]&lt;9E+307)*(表成绩单[英语]&gt;表成绩单[[#This Row],[英语]]))+1)</f>
        <v>419</v>
      </c>
      <c r="S1241" s="29" cm="1">
        <f t="array" ref="S1241">IF(表成绩单[[#This Row],[物理]]="","",SUMPRODUCT((表成绩单[考试日期]=表成绩单[[#This Row],[考试日期]])*(表成绩单[物理]&lt;9E+307)*(表成绩单[物理]&gt;表成绩单[[#This Row],[物理]]))+1)</f>
        <v>422</v>
      </c>
      <c r="T1241" s="29" cm="1">
        <f t="array" ref="T1241">IF(表成绩单[[#This Row],[化学]]="","",SUMPRODUCT((表成绩单[考试日期]=表成绩单[[#This Row],[考试日期]])*(表成绩单[化学]&lt;9E+307)*(表成绩单[化学]&gt;表成绩单[[#This Row],[化学]]))+1)</f>
        <v>457</v>
      </c>
      <c r="U1241" s="29" cm="1">
        <f t="array" ref="U1241">IF(表成绩单[[#This Row],[政治]]="","",SUMPRODUCT((表成绩单[考试日期]=表成绩单[[#This Row],[考试日期]])*(表成绩单[政治]&lt;9E+307)*(表成绩单[政治]&gt;表成绩单[[#This Row],[政治]]))+1)</f>
        <v>155</v>
      </c>
      <c r="V1241" s="29" cm="1">
        <f t="array" ref="V1241">IF(表成绩单[[#This Row],[历史]]="","",SUMPRODUCT((表成绩单[考试日期]=表成绩单[[#This Row],[考试日期]])*(表成绩单[历史]&lt;9E+307)*(表成绩单[历史]&gt;表成绩单[[#This Row],[历史]]))+1)</f>
        <v>235</v>
      </c>
      <c r="W1241" s="29" cm="1">
        <f t="array" ref="W1241">IF(表成绩单[[#This Row],[总分]]="","",SUMPRODUCT((表成绩单[考试日期]=表成绩单[[#This Row],[考试日期]])*(表成绩单[总分]&lt;9E+307)*(表成绩单[总分]&gt;表成绩单[[#This Row],[总分]]))+1)</f>
        <v>435</v>
      </c>
    </row>
    <row r="1242" ht="28" customHeight="1" spans="4:23">
      <c r="D1242" s="31">
        <v>46003</v>
      </c>
      <c r="E1242" s="29">
        <v>19172625</v>
      </c>
      <c r="F1242" s="29" t="s">
        <v>60</v>
      </c>
      <c r="G1242" s="29" t="s">
        <v>577</v>
      </c>
      <c r="H1242" s="29">
        <v>97</v>
      </c>
      <c r="I1242" s="29">
        <v>73</v>
      </c>
      <c r="J1242" s="29">
        <v>63.5</v>
      </c>
      <c r="K1242" s="29">
        <v>74</v>
      </c>
      <c r="L1242" s="29">
        <v>82</v>
      </c>
      <c r="M1242" s="29">
        <v>63</v>
      </c>
      <c r="N1242" s="29">
        <v>74</v>
      </c>
      <c r="O1242" s="32">
        <v>526.5</v>
      </c>
      <c r="P1242" s="29" cm="1">
        <f t="array" ref="P1242">IF(表成绩单[[#This Row],[语文]]="","",SUMPRODUCT((表成绩单[考试日期]=表成绩单[[#This Row],[考试日期]])*(表成绩单[语文]&lt;9E+307)*(表成绩单[语文]&gt;表成绩单[[#This Row],[语文]]))+1)</f>
        <v>488</v>
      </c>
      <c r="Q1242" s="29" cm="1">
        <f t="array" ref="Q1242">IF(表成绩单[[#This Row],[数学]]="","",SUMPRODUCT((表成绩单[考试日期]=表成绩单[[#This Row],[考试日期]])*(表成绩单[数学]&lt;9E+307)*(表成绩单[数学]&gt;表成绩单[[#This Row],[数学]]))+1)</f>
        <v>386</v>
      </c>
      <c r="R1242" s="29" cm="1">
        <f t="array" ref="R1242">IF(表成绩单[[#This Row],[英语]]="","",SUMPRODUCT((表成绩单[考试日期]=表成绩单[[#This Row],[考试日期]])*(表成绩单[英语]&lt;9E+307)*(表成绩单[英语]&gt;表成绩单[[#This Row],[英语]]))+1)</f>
        <v>494</v>
      </c>
      <c r="S1242" s="29" cm="1">
        <f t="array" ref="S1242">IF(表成绩单[[#This Row],[物理]]="","",SUMPRODUCT((表成绩单[考试日期]=表成绩单[[#This Row],[考试日期]])*(表成绩单[物理]&lt;9E+307)*(表成绩单[物理]&gt;表成绩单[[#This Row],[物理]]))+1)</f>
        <v>481</v>
      </c>
      <c r="T1242" s="29" cm="1">
        <f t="array" ref="T1242">IF(表成绩单[[#This Row],[化学]]="","",SUMPRODUCT((表成绩单[考试日期]=表成绩单[[#This Row],[考试日期]])*(表成绩单[化学]&lt;9E+307)*(表成绩单[化学]&gt;表成绩单[[#This Row],[化学]]))+1)</f>
        <v>286</v>
      </c>
      <c r="U1242" s="29" cm="1">
        <f t="array" ref="U1242">IF(表成绩单[[#This Row],[政治]]="","",SUMPRODUCT((表成绩单[考试日期]=表成绩单[[#This Row],[考试日期]])*(表成绩单[政治]&lt;9E+307)*(表成绩单[政治]&gt;表成绩单[[#This Row],[政治]]))+1)</f>
        <v>360</v>
      </c>
      <c r="V1242" s="29" cm="1">
        <f t="array" ref="V1242">IF(表成绩单[[#This Row],[历史]]="","",SUMPRODUCT((表成绩单[考试日期]=表成绩单[[#This Row],[考试日期]])*(表成绩单[历史]&lt;9E+307)*(表成绩单[历史]&gt;表成绩单[[#This Row],[历史]]))+1)</f>
        <v>371</v>
      </c>
      <c r="W1242" s="29" cm="1">
        <f t="array" ref="W1242">IF(表成绩单[[#This Row],[总分]]="","",SUMPRODUCT((表成绩单[考试日期]=表成绩单[[#This Row],[考试日期]])*(表成绩单[总分]&lt;9E+307)*(表成绩单[总分]&gt;表成绩单[[#This Row],[总分]]))+1)</f>
        <v>437</v>
      </c>
    </row>
    <row r="1243" ht="28" customHeight="1" spans="4:23">
      <c r="D1243" s="31">
        <v>46003</v>
      </c>
      <c r="E1243" s="29">
        <v>19173774</v>
      </c>
      <c r="F1243" s="29" t="s">
        <v>65</v>
      </c>
      <c r="G1243" s="29" t="s">
        <v>444</v>
      </c>
      <c r="H1243" s="29">
        <v>101</v>
      </c>
      <c r="I1243" s="29">
        <v>51</v>
      </c>
      <c r="J1243" s="29">
        <v>80.5</v>
      </c>
      <c r="K1243" s="29">
        <v>65</v>
      </c>
      <c r="L1243" s="29">
        <v>77</v>
      </c>
      <c r="M1243" s="29">
        <v>68</v>
      </c>
      <c r="N1243" s="29">
        <v>84</v>
      </c>
      <c r="O1243" s="32">
        <v>526.5</v>
      </c>
      <c r="P1243" s="29" cm="1">
        <f t="array" ref="P1243">IF(表成绩单[[#This Row],[语文]]="","",SUMPRODUCT((表成绩单[考试日期]=表成绩单[[#This Row],[考试日期]])*(表成绩单[语文]&lt;9E+307)*(表成绩单[语文]&gt;表成绩单[[#This Row],[语文]]))+1)</f>
        <v>387</v>
      </c>
      <c r="Q1243" s="29" cm="1">
        <f t="array" ref="Q1243">IF(表成绩单[[#This Row],[数学]]="","",SUMPRODUCT((表成绩单[考试日期]=表成绩单[[#This Row],[考试日期]])*(表成绩单[数学]&lt;9E+307)*(表成绩单[数学]&gt;表成绩单[[#This Row],[数学]]))+1)</f>
        <v>572</v>
      </c>
      <c r="R1243" s="29" cm="1">
        <f t="array" ref="R1243">IF(表成绩单[[#This Row],[英语]]="","",SUMPRODUCT((表成绩单[考试日期]=表成绩单[[#This Row],[考试日期]])*(表成绩单[英语]&lt;9E+307)*(表成绩单[英语]&gt;表成绩单[[#This Row],[英语]]))+1)</f>
        <v>147</v>
      </c>
      <c r="S1243" s="29" cm="1">
        <f t="array" ref="S1243">IF(表成绩单[[#This Row],[物理]]="","",SUMPRODUCT((表成绩单[考试日期]=表成绩单[[#This Row],[考试日期]])*(表成绩单[物理]&lt;9E+307)*(表成绩单[物理]&gt;表成绩单[[#This Row],[物理]]))+1)</f>
        <v>560</v>
      </c>
      <c r="T1243" s="29" cm="1">
        <f t="array" ref="T1243">IF(表成绩单[[#This Row],[化学]]="","",SUMPRODUCT((表成绩单[考试日期]=表成绩单[[#This Row],[考试日期]])*(表成绩单[化学]&lt;9E+307)*(表成绩单[化学]&gt;表成绩单[[#This Row],[化学]]))+1)</f>
        <v>388</v>
      </c>
      <c r="U1243" s="29" cm="1">
        <f t="array" ref="U1243">IF(表成绩单[[#This Row],[政治]]="","",SUMPRODUCT((表成绩单[考试日期]=表成绩单[[#This Row],[考试日期]])*(表成绩单[政治]&lt;9E+307)*(表成绩单[政治]&gt;表成绩单[[#This Row],[政治]]))+1)</f>
        <v>237</v>
      </c>
      <c r="V1243" s="29" cm="1">
        <f t="array" ref="V1243">IF(表成绩单[[#This Row],[历史]]="","",SUMPRODUCT((表成绩单[考试日期]=表成绩单[[#This Row],[考试日期]])*(表成绩单[历史]&lt;9E+307)*(表成绩单[历史]&gt;表成绩单[[#This Row],[历史]]))+1)</f>
        <v>30</v>
      </c>
      <c r="W1243" s="29" cm="1">
        <f t="array" ref="W1243">IF(表成绩单[[#This Row],[总分]]="","",SUMPRODUCT((表成绩单[考试日期]=表成绩单[[#This Row],[考试日期]])*(表成绩单[总分]&lt;9E+307)*(表成绩单[总分]&gt;表成绩单[[#This Row],[总分]]))+1)</f>
        <v>437</v>
      </c>
    </row>
    <row r="1244" ht="28" customHeight="1" spans="4:23">
      <c r="D1244" s="31">
        <v>46003</v>
      </c>
      <c r="E1244" s="29">
        <v>19178589</v>
      </c>
      <c r="F1244" s="29" t="s">
        <v>64</v>
      </c>
      <c r="G1244" s="29" t="s">
        <v>534</v>
      </c>
      <c r="H1244" s="29">
        <v>101</v>
      </c>
      <c r="I1244" s="29">
        <v>62</v>
      </c>
      <c r="J1244" s="29">
        <v>84</v>
      </c>
      <c r="K1244" s="29">
        <v>68</v>
      </c>
      <c r="L1244" s="29">
        <v>76</v>
      </c>
      <c r="M1244" s="29">
        <v>63</v>
      </c>
      <c r="N1244" s="29">
        <v>72</v>
      </c>
      <c r="O1244" s="32">
        <v>526</v>
      </c>
      <c r="P1244" s="29" cm="1">
        <f t="array" ref="P1244">IF(表成绩单[[#This Row],[语文]]="","",SUMPRODUCT((表成绩单[考试日期]=表成绩单[[#This Row],[考试日期]])*(表成绩单[语文]&lt;9E+307)*(表成绩单[语文]&gt;表成绩单[[#This Row],[语文]]))+1)</f>
        <v>387</v>
      </c>
      <c r="Q1244" s="29" cm="1">
        <f t="array" ref="Q1244">IF(表成绩单[[#This Row],[数学]]="","",SUMPRODUCT((表成绩单[考试日期]=表成绩单[[#This Row],[考试日期]])*(表成绩单[数学]&lt;9E+307)*(表成绩单[数学]&gt;表成绩单[[#This Row],[数学]]))+1)</f>
        <v>497</v>
      </c>
      <c r="R1244" s="29" cm="1">
        <f t="array" ref="R1244">IF(表成绩单[[#This Row],[英语]]="","",SUMPRODUCT((表成绩单[考试日期]=表成绩单[[#This Row],[考试日期]])*(表成绩单[英语]&lt;9E+307)*(表成绩单[英语]&gt;表成绩单[[#This Row],[英语]]))+1)</f>
        <v>48</v>
      </c>
      <c r="S1244" s="29" cm="1">
        <f t="array" ref="S1244">IF(表成绩单[[#This Row],[物理]]="","",SUMPRODUCT((表成绩单[考试日期]=表成绩单[[#This Row],[考试日期]])*(表成绩单[物理]&lt;9E+307)*(表成绩单[物理]&gt;表成绩单[[#This Row],[物理]]))+1)</f>
        <v>539</v>
      </c>
      <c r="T1244" s="29" cm="1">
        <f t="array" ref="T1244">IF(表成绩单[[#This Row],[化学]]="","",SUMPRODUCT((表成绩单[考试日期]=表成绩单[[#This Row],[考试日期]])*(表成绩单[化学]&lt;9E+307)*(表成绩单[化学]&gt;表成绩单[[#This Row],[化学]]))+1)</f>
        <v>402</v>
      </c>
      <c r="U1244" s="29" cm="1">
        <f t="array" ref="U1244">IF(表成绩单[[#This Row],[政治]]="","",SUMPRODUCT((表成绩单[考试日期]=表成绩单[[#This Row],[考试日期]])*(表成绩单[政治]&lt;9E+307)*(表成绩单[政治]&gt;表成绩单[[#This Row],[政治]]))+1)</f>
        <v>360</v>
      </c>
      <c r="V1244" s="29" cm="1">
        <f t="array" ref="V1244">IF(表成绩单[[#This Row],[历史]]="","",SUMPRODUCT((表成绩单[考试日期]=表成绩单[[#This Row],[考试日期]])*(表成绩单[历史]&lt;9E+307)*(表成绩单[历史]&gt;表成绩单[[#This Row],[历史]]))+1)</f>
        <v>439</v>
      </c>
      <c r="W1244" s="29" cm="1">
        <f t="array" ref="W1244">IF(表成绩单[[#This Row],[总分]]="","",SUMPRODUCT((表成绩单[考试日期]=表成绩单[[#This Row],[考试日期]])*(表成绩单[总分]&lt;9E+307)*(表成绩单[总分]&gt;表成绩单[[#This Row],[总分]]))+1)</f>
        <v>439</v>
      </c>
    </row>
    <row r="1245" ht="28" customHeight="1" spans="4:23">
      <c r="D1245" s="31">
        <v>46003</v>
      </c>
      <c r="E1245" s="29">
        <v>19171086</v>
      </c>
      <c r="F1245" s="29" t="s">
        <v>67</v>
      </c>
      <c r="G1245" s="29" t="s">
        <v>576</v>
      </c>
      <c r="H1245" s="29">
        <v>104</v>
      </c>
      <c r="I1245" s="29">
        <v>95</v>
      </c>
      <c r="J1245" s="29">
        <v>53.5</v>
      </c>
      <c r="K1245" s="29">
        <v>72</v>
      </c>
      <c r="L1245" s="29">
        <v>71</v>
      </c>
      <c r="M1245" s="29">
        <v>62</v>
      </c>
      <c r="N1245" s="29">
        <v>68</v>
      </c>
      <c r="O1245" s="32">
        <v>525.5</v>
      </c>
      <c r="P1245" s="29" cm="1">
        <f t="array" ref="P1245">IF(表成绩单[[#This Row],[语文]]="","",SUMPRODUCT((表成绩单[考试日期]=表成绩单[[#This Row],[考试日期]])*(表成绩单[语文]&lt;9E+307)*(表成绩单[语文]&gt;表成绩单[[#This Row],[语文]]))+1)</f>
        <v>290</v>
      </c>
      <c r="Q1245" s="29" cm="1">
        <f t="array" ref="Q1245">IF(表成绩单[[#This Row],[数学]]="","",SUMPRODUCT((表成绩单[考试日期]=表成绩单[[#This Row],[考试日期]])*(表成绩单[数学]&lt;9E+307)*(表成绩单[数学]&gt;表成绩单[[#This Row],[数学]]))+1)</f>
        <v>122</v>
      </c>
      <c r="R1245" s="29" cm="1">
        <f t="array" ref="R1245">IF(表成绩单[[#This Row],[英语]]="","",SUMPRODUCT((表成绩单[考试日期]=表成绩单[[#This Row],[考试日期]])*(表成绩单[英语]&lt;9E+307)*(表成绩单[英语]&gt;表成绩单[[#This Row],[英语]]))+1)</f>
        <v>582</v>
      </c>
      <c r="S1245" s="29" cm="1">
        <f t="array" ref="S1245">IF(表成绩单[[#This Row],[物理]]="","",SUMPRODUCT((表成绩单[考试日期]=表成绩单[[#This Row],[考试日期]])*(表成绩单[物理]&lt;9E+307)*(表成绩单[物理]&gt;表成绩单[[#This Row],[物理]]))+1)</f>
        <v>495</v>
      </c>
      <c r="T1245" s="29" cm="1">
        <f t="array" ref="T1245">IF(表成绩单[[#This Row],[化学]]="","",SUMPRODUCT((表成绩单[考试日期]=表成绩单[[#This Row],[考试日期]])*(表成绩单[化学]&lt;9E+307)*(表成绩单[化学]&gt;表成绩单[[#This Row],[化学]]))+1)</f>
        <v>487</v>
      </c>
      <c r="U1245" s="29" cm="1">
        <f t="array" ref="U1245">IF(表成绩单[[#This Row],[政治]]="","",SUMPRODUCT((表成绩单[考试日期]=表成绩单[[#This Row],[考试日期]])*(表成绩单[政治]&lt;9E+307)*(表成绩单[政治]&gt;表成绩单[[#This Row],[政治]]))+1)</f>
        <v>381</v>
      </c>
      <c r="V1245" s="29" cm="1">
        <f t="array" ref="V1245">IF(表成绩单[[#This Row],[历史]]="","",SUMPRODUCT((表成绩单[考试日期]=表成绩单[[#This Row],[考试日期]])*(表成绩单[历史]&lt;9E+307)*(表成绩单[历史]&gt;表成绩单[[#This Row],[历史]]))+1)</f>
        <v>536</v>
      </c>
      <c r="W1245" s="29" cm="1">
        <f t="array" ref="W1245">IF(表成绩单[[#This Row],[总分]]="","",SUMPRODUCT((表成绩单[考试日期]=表成绩单[[#This Row],[考试日期]])*(表成绩单[总分]&lt;9E+307)*(表成绩单[总分]&gt;表成绩单[[#This Row],[总分]]))+1)</f>
        <v>440</v>
      </c>
    </row>
    <row r="1246" ht="28" customHeight="1" spans="4:23">
      <c r="D1246" s="31">
        <v>46003</v>
      </c>
      <c r="E1246" s="29">
        <v>19178605</v>
      </c>
      <c r="F1246" s="29" t="s">
        <v>64</v>
      </c>
      <c r="G1246" s="29" t="s">
        <v>529</v>
      </c>
      <c r="H1246" s="29">
        <v>103</v>
      </c>
      <c r="I1246" s="29">
        <v>64</v>
      </c>
      <c r="J1246" s="29">
        <v>67.5</v>
      </c>
      <c r="K1246" s="29">
        <v>73</v>
      </c>
      <c r="L1246" s="29">
        <v>67</v>
      </c>
      <c r="M1246" s="29">
        <v>72</v>
      </c>
      <c r="N1246" s="29">
        <v>79</v>
      </c>
      <c r="O1246" s="32">
        <v>525.5</v>
      </c>
      <c r="P1246" s="29" cm="1">
        <f t="array" ref="P1246">IF(表成绩单[[#This Row],[语文]]="","",SUMPRODUCT((表成绩单[考试日期]=表成绩单[[#This Row],[考试日期]])*(表成绩单[语文]&lt;9E+307)*(表成绩单[语文]&gt;表成绩单[[#This Row],[语文]]))+1)</f>
        <v>333</v>
      </c>
      <c r="Q1246" s="29" cm="1">
        <f t="array" ref="Q1246">IF(表成绩单[[#This Row],[数学]]="","",SUMPRODUCT((表成绩单[考试日期]=表成绩单[[#This Row],[考试日期]])*(表成绩单[数学]&lt;9E+307)*(表成绩单[数学]&gt;表成绩单[[#This Row],[数学]]))+1)</f>
        <v>486</v>
      </c>
      <c r="R1246" s="29" cm="1">
        <f t="array" ref="R1246">IF(表成绩单[[#This Row],[英语]]="","",SUMPRODUCT((表成绩单[考试日期]=表成绩单[[#This Row],[考试日期]])*(表成绩单[英语]&lt;9E+307)*(表成绩单[英语]&gt;表成绩单[[#This Row],[英语]]))+1)</f>
        <v>453</v>
      </c>
      <c r="S1246" s="29" cm="1">
        <f t="array" ref="S1246">IF(表成绩单[[#This Row],[物理]]="","",SUMPRODUCT((表成绩单[考试日期]=表成绩单[[#This Row],[考试日期]])*(表成绩单[物理]&lt;9E+307)*(表成绩单[物理]&gt;表成绩单[[#This Row],[物理]]))+1)</f>
        <v>488</v>
      </c>
      <c r="T1246" s="29" cm="1">
        <f t="array" ref="T1246">IF(表成绩单[[#This Row],[化学]]="","",SUMPRODUCT((表成绩单[考试日期]=表成绩单[[#This Row],[考试日期]])*(表成绩单[化学]&lt;9E+307)*(表成绩单[化学]&gt;表成绩单[[#This Row],[化学]]))+1)</f>
        <v>521</v>
      </c>
      <c r="U1246" s="29" cm="1">
        <f t="array" ref="U1246">IF(表成绩单[[#This Row],[政治]]="","",SUMPRODUCT((表成绩单[考试日期]=表成绩单[[#This Row],[考试日期]])*(表成绩单[政治]&lt;9E+307)*(表成绩单[政治]&gt;表成绩单[[#This Row],[政治]]))+1)</f>
        <v>155</v>
      </c>
      <c r="V1246" s="29" cm="1">
        <f t="array" ref="V1246">IF(表成绩单[[#This Row],[历史]]="","",SUMPRODUCT((表成绩单[考试日期]=表成绩单[[#This Row],[考试日期]])*(表成绩单[历史]&lt;9E+307)*(表成绩单[历史]&gt;表成绩单[[#This Row],[历史]]))+1)</f>
        <v>149</v>
      </c>
      <c r="W1246" s="29" cm="1">
        <f t="array" ref="W1246">IF(表成绩单[[#This Row],[总分]]="","",SUMPRODUCT((表成绩单[考试日期]=表成绩单[[#This Row],[考试日期]])*(表成绩单[总分]&lt;9E+307)*(表成绩单[总分]&gt;表成绩单[[#This Row],[总分]]))+1)</f>
        <v>440</v>
      </c>
    </row>
    <row r="1247" ht="28" customHeight="1" spans="4:23">
      <c r="D1247" s="31">
        <v>46003</v>
      </c>
      <c r="E1247" s="29">
        <v>19178617</v>
      </c>
      <c r="F1247" s="29" t="s">
        <v>25</v>
      </c>
      <c r="G1247" s="29" t="s">
        <v>477</v>
      </c>
      <c r="H1247" s="29">
        <v>92</v>
      </c>
      <c r="I1247" s="29">
        <v>61</v>
      </c>
      <c r="J1247" s="29">
        <v>75</v>
      </c>
      <c r="K1247" s="29">
        <v>87</v>
      </c>
      <c r="L1247" s="29">
        <v>80</v>
      </c>
      <c r="M1247" s="29">
        <v>61</v>
      </c>
      <c r="N1247" s="29">
        <v>69</v>
      </c>
      <c r="O1247" s="32">
        <v>525</v>
      </c>
      <c r="P1247" s="29" cm="1">
        <f t="array" ref="P1247">IF(表成绩单[[#This Row],[语文]]="","",SUMPRODUCT((表成绩单[考试日期]=表成绩单[[#This Row],[考试日期]])*(表成绩单[语文]&lt;9E+307)*(表成绩单[语文]&gt;表成绩单[[#This Row],[语文]]))+1)</f>
        <v>569</v>
      </c>
      <c r="Q1247" s="29" cm="1">
        <f t="array" ref="Q1247">IF(表成绩单[[#This Row],[数学]]="","",SUMPRODUCT((表成绩单[考试日期]=表成绩单[[#This Row],[考试日期]])*(表成绩单[数学]&lt;9E+307)*(表成绩单[数学]&gt;表成绩单[[#This Row],[数学]]))+1)</f>
        <v>504</v>
      </c>
      <c r="R1247" s="29" cm="1">
        <f t="array" ref="R1247">IF(表成绩单[[#This Row],[英语]]="","",SUMPRODUCT((表成绩单[考试日期]=表成绩单[[#This Row],[考试日期]])*(表成绩单[英语]&lt;9E+307)*(表成绩单[英语]&gt;表成绩单[[#This Row],[英语]]))+1)</f>
        <v>314</v>
      </c>
      <c r="S1247" s="29" cm="1">
        <f t="array" ref="S1247">IF(表成绩单[[#This Row],[物理]]="","",SUMPRODUCT((表成绩单[考试日期]=表成绩单[[#This Row],[考试日期]])*(表成绩单[物理]&lt;9E+307)*(表成绩单[物理]&gt;表成绩单[[#This Row],[物理]]))+1)</f>
        <v>306</v>
      </c>
      <c r="T1247" s="29" cm="1">
        <f t="array" ref="T1247">IF(表成绩单[[#This Row],[化学]]="","",SUMPRODUCT((表成绩单[考试日期]=表成绩单[[#This Row],[考试日期]])*(表成绩单[化学]&lt;9E+307)*(表成绩单[化学]&gt;表成绩单[[#This Row],[化学]]))+1)</f>
        <v>327</v>
      </c>
      <c r="U1247" s="29" cm="1">
        <f t="array" ref="U1247">IF(表成绩单[[#This Row],[政治]]="","",SUMPRODUCT((表成绩单[考试日期]=表成绩单[[#This Row],[考试日期]])*(表成绩单[政治]&lt;9E+307)*(表成绩单[政治]&gt;表成绩单[[#This Row],[政治]]))+1)</f>
        <v>400</v>
      </c>
      <c r="V1247" s="29" cm="1">
        <f t="array" ref="V1247">IF(表成绩单[[#This Row],[历史]]="","",SUMPRODUCT((表成绩单[考试日期]=表成绩单[[#This Row],[考试日期]])*(表成绩单[历史]&lt;9E+307)*(表成绩单[历史]&gt;表成绩单[[#This Row],[历史]]))+1)</f>
        <v>516</v>
      </c>
      <c r="W1247" s="29" cm="1">
        <f t="array" ref="W1247">IF(表成绩单[[#This Row],[总分]]="","",SUMPRODUCT((表成绩单[考试日期]=表成绩单[[#This Row],[考试日期]])*(表成绩单[总分]&lt;9E+307)*(表成绩单[总分]&gt;表成绩单[[#This Row],[总分]]))+1)</f>
        <v>442</v>
      </c>
    </row>
    <row r="1248" ht="28" customHeight="1" spans="4:23">
      <c r="D1248" s="31">
        <v>46003</v>
      </c>
      <c r="E1248" s="29">
        <v>19173784</v>
      </c>
      <c r="F1248" s="29" t="s">
        <v>65</v>
      </c>
      <c r="G1248" s="29" t="s">
        <v>555</v>
      </c>
      <c r="H1248" s="29">
        <v>93</v>
      </c>
      <c r="I1248" s="29">
        <v>77</v>
      </c>
      <c r="J1248" s="29">
        <v>77.5</v>
      </c>
      <c r="K1248" s="29">
        <v>65</v>
      </c>
      <c r="L1248" s="29">
        <v>71</v>
      </c>
      <c r="M1248" s="29">
        <v>76</v>
      </c>
      <c r="N1248" s="29">
        <v>65</v>
      </c>
      <c r="O1248" s="32">
        <v>524.5</v>
      </c>
      <c r="P1248" s="29" cm="1">
        <f t="array" ref="P1248">IF(表成绩单[[#This Row],[语文]]="","",SUMPRODUCT((表成绩单[考试日期]=表成绩单[[#This Row],[考试日期]])*(表成绩单[语文]&lt;9E+307)*(表成绩单[语文]&gt;表成绩单[[#This Row],[语文]]))+1)</f>
        <v>555</v>
      </c>
      <c r="Q1248" s="29" cm="1">
        <f t="array" ref="Q1248">IF(表成绩单[[#This Row],[数学]]="","",SUMPRODUCT((表成绩单[考试日期]=表成绩单[[#This Row],[考试日期]])*(表成绩单[数学]&lt;9E+307)*(表成绩单[数学]&gt;表成绩单[[#This Row],[数学]]))+1)</f>
        <v>343</v>
      </c>
      <c r="R1248" s="29" cm="1">
        <f t="array" ref="R1248">IF(表成绩单[[#This Row],[英语]]="","",SUMPRODUCT((表成绩单[考试日期]=表成绩单[[#This Row],[考试日期]])*(表成绩单[英语]&lt;9E+307)*(表成绩单[英语]&gt;表成绩单[[#This Row],[英语]]))+1)</f>
        <v>230</v>
      </c>
      <c r="S1248" s="29" cm="1">
        <f t="array" ref="S1248">IF(表成绩单[[#This Row],[物理]]="","",SUMPRODUCT((表成绩单[考试日期]=表成绩单[[#This Row],[考试日期]])*(表成绩单[物理]&lt;9E+307)*(表成绩单[物理]&gt;表成绩单[[#This Row],[物理]]))+1)</f>
        <v>560</v>
      </c>
      <c r="T1248" s="29" cm="1">
        <f t="array" ref="T1248">IF(表成绩单[[#This Row],[化学]]="","",SUMPRODUCT((表成绩单[考试日期]=表成绩单[[#This Row],[考试日期]])*(表成绩单[化学]&lt;9E+307)*(表成绩单[化学]&gt;表成绩单[[#This Row],[化学]]))+1)</f>
        <v>487</v>
      </c>
      <c r="U1248" s="29" cm="1">
        <f t="array" ref="U1248">IF(表成绩单[[#This Row],[政治]]="","",SUMPRODUCT((表成绩单[考试日期]=表成绩单[[#This Row],[考试日期]])*(表成绩单[政治]&lt;9E+307)*(表成绩单[政治]&gt;表成绩单[[#This Row],[政治]]))+1)</f>
        <v>77</v>
      </c>
      <c r="V1248" s="29" cm="1">
        <f t="array" ref="V1248">IF(表成绩单[[#This Row],[历史]]="","",SUMPRODUCT((表成绩单[考试日期]=表成绩单[[#This Row],[考试日期]])*(表成绩单[历史]&lt;9E+307)*(表成绩单[历史]&gt;表成绩单[[#This Row],[历史]]))+1)</f>
        <v>582</v>
      </c>
      <c r="W1248" s="29" cm="1">
        <f t="array" ref="W1248">IF(表成绩单[[#This Row],[总分]]="","",SUMPRODUCT((表成绩单[考试日期]=表成绩单[[#This Row],[考试日期]])*(表成绩单[总分]&lt;9E+307)*(表成绩单[总分]&gt;表成绩单[[#This Row],[总分]]))+1)</f>
        <v>443</v>
      </c>
    </row>
    <row r="1249" ht="28" customHeight="1" spans="4:23">
      <c r="D1249" s="31">
        <v>46003</v>
      </c>
      <c r="E1249" s="29">
        <v>19175681</v>
      </c>
      <c r="F1249" s="29" t="s">
        <v>72</v>
      </c>
      <c r="G1249" s="29" t="s">
        <v>510</v>
      </c>
      <c r="H1249" s="29">
        <v>95</v>
      </c>
      <c r="I1249" s="29">
        <v>69</v>
      </c>
      <c r="J1249" s="29">
        <v>73</v>
      </c>
      <c r="K1249" s="29">
        <v>80</v>
      </c>
      <c r="L1249" s="29">
        <v>66</v>
      </c>
      <c r="M1249" s="29">
        <v>68</v>
      </c>
      <c r="N1249" s="29">
        <v>73</v>
      </c>
      <c r="O1249" s="32">
        <v>524</v>
      </c>
      <c r="P1249" s="29" cm="1">
        <f t="array" ref="P1249">IF(表成绩单[[#This Row],[语文]]="","",SUMPRODUCT((表成绩单[考试日期]=表成绩单[[#This Row],[考试日期]])*(表成绩单[语文]&lt;9E+307)*(表成绩单[语文]&gt;表成绩单[[#This Row],[语文]]))+1)</f>
        <v>522</v>
      </c>
      <c r="Q1249" s="29" cm="1">
        <f t="array" ref="Q1249">IF(表成绩单[[#This Row],[数学]]="","",SUMPRODUCT((表成绩单[考试日期]=表成绩单[[#This Row],[考试日期]])*(表成绩单[数学]&lt;9E+307)*(表成绩单[数学]&gt;表成绩单[[#This Row],[数学]]))+1)</f>
        <v>437</v>
      </c>
      <c r="R1249" s="29" cm="1">
        <f t="array" ref="R1249">IF(表成绩单[[#This Row],[英语]]="","",SUMPRODUCT((表成绩单[考试日期]=表成绩单[[#This Row],[考试日期]])*(表成绩单[英语]&lt;9E+307)*(表成绩单[英语]&gt;表成绩单[[#This Row],[英语]]))+1)</f>
        <v>363</v>
      </c>
      <c r="S1249" s="29" cm="1">
        <f t="array" ref="S1249">IF(表成绩单[[#This Row],[物理]]="","",SUMPRODUCT((表成绩单[考试日期]=表成绩单[[#This Row],[考试日期]])*(表成绩单[物理]&lt;9E+307)*(表成绩单[物理]&gt;表成绩单[[#This Row],[物理]]))+1)</f>
        <v>422</v>
      </c>
      <c r="T1249" s="29" cm="1">
        <f t="array" ref="T1249">IF(表成绩单[[#This Row],[化学]]="","",SUMPRODUCT((表成绩单[考试日期]=表成绩单[[#This Row],[考试日期]])*(表成绩单[化学]&lt;9E+307)*(表成绩单[化学]&gt;表成绩单[[#This Row],[化学]]))+1)</f>
        <v>530</v>
      </c>
      <c r="U1249" s="29" cm="1">
        <f t="array" ref="U1249">IF(表成绩单[[#This Row],[政治]]="","",SUMPRODUCT((表成绩单[考试日期]=表成绩单[[#This Row],[考试日期]])*(表成绩单[政治]&lt;9E+307)*(表成绩单[政治]&gt;表成绩单[[#This Row],[政治]]))+1)</f>
        <v>237</v>
      </c>
      <c r="V1249" s="29" cm="1">
        <f t="array" ref="V1249">IF(表成绩单[[#This Row],[历史]]="","",SUMPRODUCT((表成绩单[考试日期]=表成绩单[[#This Row],[考试日期]])*(表成绩单[历史]&lt;9E+307)*(表成绩单[历史]&gt;表成绩单[[#This Row],[历史]]))+1)</f>
        <v>403</v>
      </c>
      <c r="W1249" s="29" cm="1">
        <f t="array" ref="W1249">IF(表成绩单[[#This Row],[总分]]="","",SUMPRODUCT((表成绩单[考试日期]=表成绩单[[#This Row],[考试日期]])*(表成绩单[总分]&lt;9E+307)*(表成绩单[总分]&gt;表成绩单[[#This Row],[总分]]))+1)</f>
        <v>444</v>
      </c>
    </row>
    <row r="1250" ht="28" customHeight="1" spans="4:23">
      <c r="D1250" s="31">
        <v>46003</v>
      </c>
      <c r="E1250" s="29">
        <v>19175629</v>
      </c>
      <c r="F1250" s="29" t="s">
        <v>57</v>
      </c>
      <c r="G1250" s="29" t="s">
        <v>720</v>
      </c>
      <c r="H1250" s="29">
        <v>95</v>
      </c>
      <c r="I1250" s="29">
        <v>58</v>
      </c>
      <c r="J1250" s="29">
        <v>72.5</v>
      </c>
      <c r="K1250" s="29">
        <v>70</v>
      </c>
      <c r="L1250" s="29">
        <v>85</v>
      </c>
      <c r="M1250" s="29">
        <v>62</v>
      </c>
      <c r="N1250" s="29">
        <v>81</v>
      </c>
      <c r="O1250" s="32">
        <v>523.5</v>
      </c>
      <c r="P1250" s="29" cm="1">
        <f t="array" ref="P1250">IF(表成绩单[[#This Row],[语文]]="","",SUMPRODUCT((表成绩单[考试日期]=表成绩单[[#This Row],[考试日期]])*(表成绩单[语文]&lt;9E+307)*(表成绩单[语文]&gt;表成绩单[[#This Row],[语文]]))+1)</f>
        <v>522</v>
      </c>
      <c r="Q1250" s="29" cm="1">
        <f t="array" ref="Q1250">IF(表成绩单[[#This Row],[数学]]="","",SUMPRODUCT((表成绩单[考试日期]=表成绩单[[#This Row],[考试日期]])*(表成绩单[数学]&lt;9E+307)*(表成绩单[数学]&gt;表成绩单[[#This Row],[数学]]))+1)</f>
        <v>531</v>
      </c>
      <c r="R1250" s="29" cm="1">
        <f t="array" ref="R1250">IF(表成绩单[[#This Row],[英语]]="","",SUMPRODUCT((表成绩单[考试日期]=表成绩单[[#This Row],[考试日期]])*(表成绩单[英语]&lt;9E+307)*(表成绩单[英语]&gt;表成绩单[[#This Row],[英语]]))+1)</f>
        <v>373</v>
      </c>
      <c r="S1250" s="29" cm="1">
        <f t="array" ref="S1250">IF(表成绩单[[#This Row],[物理]]="","",SUMPRODUCT((表成绩单[考试日期]=表成绩单[[#This Row],[考试日期]])*(表成绩单[物理]&lt;9E+307)*(表成绩单[物理]&gt;表成绩单[[#This Row],[物理]]))+1)</f>
        <v>522</v>
      </c>
      <c r="T1250" s="29" cm="1">
        <f t="array" ref="T1250">IF(表成绩单[[#This Row],[化学]]="","",SUMPRODUCT((表成绩单[考试日期]=表成绩单[[#This Row],[考试日期]])*(表成绩单[化学]&lt;9E+307)*(表成绩单[化学]&gt;表成绩单[[#This Row],[化学]]))+1)</f>
        <v>240</v>
      </c>
      <c r="U1250" s="29" cm="1">
        <f t="array" ref="U1250">IF(表成绩单[[#This Row],[政治]]="","",SUMPRODUCT((表成绩单[考试日期]=表成绩单[[#This Row],[考试日期]])*(表成绩单[政治]&lt;9E+307)*(表成绩单[政治]&gt;表成绩单[[#This Row],[政治]]))+1)</f>
        <v>381</v>
      </c>
      <c r="V1250" s="29" cm="1">
        <f t="array" ref="V1250">IF(表成绩单[[#This Row],[历史]]="","",SUMPRODUCT((表成绩单[考试日期]=表成绩单[[#This Row],[考试日期]])*(表成绩单[历史]&lt;9E+307)*(表成绩单[历史]&gt;表成绩单[[#This Row],[历史]]))+1)</f>
        <v>92</v>
      </c>
      <c r="W1250" s="29" cm="1">
        <f t="array" ref="W1250">IF(表成绩单[[#This Row],[总分]]="","",SUMPRODUCT((表成绩单[考试日期]=表成绩单[[#This Row],[考试日期]])*(表成绩单[总分]&lt;9E+307)*(表成绩单[总分]&gt;表成绩单[[#This Row],[总分]]))+1)</f>
        <v>445</v>
      </c>
    </row>
    <row r="1251" ht="28" customHeight="1" spans="4:23">
      <c r="D1251" s="31">
        <v>46003</v>
      </c>
      <c r="E1251" s="29">
        <v>19172640</v>
      </c>
      <c r="F1251" s="29" t="s">
        <v>60</v>
      </c>
      <c r="G1251" s="29" t="s">
        <v>491</v>
      </c>
      <c r="H1251" s="29">
        <v>109</v>
      </c>
      <c r="I1251" s="29">
        <v>61</v>
      </c>
      <c r="J1251" s="29">
        <v>79</v>
      </c>
      <c r="K1251" s="29">
        <v>67</v>
      </c>
      <c r="L1251" s="29">
        <v>71</v>
      </c>
      <c r="M1251" s="29">
        <v>65</v>
      </c>
      <c r="N1251" s="29">
        <v>71</v>
      </c>
      <c r="O1251" s="32">
        <v>523</v>
      </c>
      <c r="P1251" s="29" cm="1">
        <f t="array" ref="P1251">IF(表成绩单[[#This Row],[语文]]="","",SUMPRODUCT((表成绩单[考试日期]=表成绩单[[#This Row],[考试日期]])*(表成绩单[语文]&lt;9E+307)*(表成绩单[语文]&gt;表成绩单[[#This Row],[语文]]))+1)</f>
        <v>111</v>
      </c>
      <c r="Q1251" s="29" cm="1">
        <f t="array" ref="Q1251">IF(表成绩单[[#This Row],[数学]]="","",SUMPRODUCT((表成绩单[考试日期]=表成绩单[[#This Row],[考试日期]])*(表成绩单[数学]&lt;9E+307)*(表成绩单[数学]&gt;表成绩单[[#This Row],[数学]]))+1)</f>
        <v>504</v>
      </c>
      <c r="R1251" s="29" cm="1">
        <f t="array" ref="R1251">IF(表成绩单[[#This Row],[英语]]="","",SUMPRODUCT((表成绩单[考试日期]=表成绩单[[#This Row],[考试日期]])*(表成绩单[英语]&lt;9E+307)*(表成绩单[英语]&gt;表成绩单[[#This Row],[英语]]))+1)</f>
        <v>188</v>
      </c>
      <c r="S1251" s="29" cm="1">
        <f t="array" ref="S1251">IF(表成绩单[[#This Row],[物理]]="","",SUMPRODUCT((表成绩单[考试日期]=表成绩单[[#This Row],[考试日期]])*(表成绩单[物理]&lt;9E+307)*(表成绩单[物理]&gt;表成绩单[[#This Row],[物理]]))+1)</f>
        <v>549</v>
      </c>
      <c r="T1251" s="29" cm="1">
        <f t="array" ref="T1251">IF(表成绩单[[#This Row],[化学]]="","",SUMPRODUCT((表成绩单[考试日期]=表成绩单[[#This Row],[考试日期]])*(表成绩单[化学]&lt;9E+307)*(表成绩单[化学]&gt;表成绩单[[#This Row],[化学]]))+1)</f>
        <v>487</v>
      </c>
      <c r="U1251" s="29" cm="1">
        <f t="array" ref="U1251">IF(表成绩单[[#This Row],[政治]]="","",SUMPRODUCT((表成绩单[考试日期]=表成绩单[[#This Row],[考试日期]])*(表成绩单[政治]&lt;9E+307)*(表成绩单[政治]&gt;表成绩单[[#This Row],[政治]]))+1)</f>
        <v>314</v>
      </c>
      <c r="V1251" s="29" cm="1">
        <f t="array" ref="V1251">IF(表成绩单[[#This Row],[历史]]="","",SUMPRODUCT((表成绩单[考试日期]=表成绩单[[#This Row],[考试日期]])*(表成绩单[历史]&lt;9E+307)*(表成绩单[历史]&gt;表成绩单[[#This Row],[历史]]))+1)</f>
        <v>471</v>
      </c>
      <c r="W1251" s="29" cm="1">
        <f t="array" ref="W1251">IF(表成绩单[[#This Row],[总分]]="","",SUMPRODUCT((表成绩单[考试日期]=表成绩单[[#This Row],[考试日期]])*(表成绩单[总分]&lt;9E+307)*(表成绩单[总分]&gt;表成绩单[[#This Row],[总分]]))+1)</f>
        <v>446</v>
      </c>
    </row>
    <row r="1252" ht="28" customHeight="1" spans="4:23">
      <c r="D1252" s="31">
        <v>46003</v>
      </c>
      <c r="E1252" s="29">
        <v>19176156</v>
      </c>
      <c r="F1252" s="29" t="s">
        <v>67</v>
      </c>
      <c r="G1252" s="29" t="s">
        <v>486</v>
      </c>
      <c r="H1252" s="29">
        <v>105</v>
      </c>
      <c r="I1252" s="29">
        <v>58</v>
      </c>
      <c r="J1252" s="29">
        <v>68.5</v>
      </c>
      <c r="K1252" s="29">
        <v>78</v>
      </c>
      <c r="L1252" s="29">
        <v>72</v>
      </c>
      <c r="M1252" s="29">
        <v>62</v>
      </c>
      <c r="N1252" s="29">
        <v>79</v>
      </c>
      <c r="O1252" s="32">
        <v>522.5</v>
      </c>
      <c r="P1252" s="29" cm="1">
        <f t="array" ref="P1252">IF(表成绩单[[#This Row],[语文]]="","",SUMPRODUCT((表成绩单[考试日期]=表成绩单[[#This Row],[考试日期]])*(表成绩单[语文]&lt;9E+307)*(表成绩单[语文]&gt;表成绩单[[#This Row],[语文]]))+1)</f>
        <v>247</v>
      </c>
      <c r="Q1252" s="29" cm="1">
        <f t="array" ref="Q1252">IF(表成绩单[[#This Row],[数学]]="","",SUMPRODUCT((表成绩单[考试日期]=表成绩单[[#This Row],[考试日期]])*(表成绩单[数学]&lt;9E+307)*(表成绩单[数学]&gt;表成绩单[[#This Row],[数学]]))+1)</f>
        <v>531</v>
      </c>
      <c r="R1252" s="29" cm="1">
        <f t="array" ref="R1252">IF(表成绩单[[#This Row],[英语]]="","",SUMPRODUCT((表成绩单[考试日期]=表成绩单[[#This Row],[考试日期]])*(表成绩单[英语]&lt;9E+307)*(表成绩单[英语]&gt;表成绩单[[#This Row],[英语]]))+1)</f>
        <v>446</v>
      </c>
      <c r="S1252" s="29" cm="1">
        <f t="array" ref="S1252">IF(表成绩单[[#This Row],[物理]]="","",SUMPRODUCT((表成绩单[考试日期]=表成绩单[[#This Row],[考试日期]])*(表成绩单[物理]&lt;9E+307)*(表成绩单[物理]&gt;表成绩单[[#This Row],[物理]]))+1)</f>
        <v>443</v>
      </c>
      <c r="T1252" s="29" cm="1">
        <f t="array" ref="T1252">IF(表成绩单[[#This Row],[化学]]="","",SUMPRODUCT((表成绩单[考试日期]=表成绩单[[#This Row],[考试日期]])*(表成绩单[化学]&lt;9E+307)*(表成绩单[化学]&gt;表成绩单[[#This Row],[化学]]))+1)</f>
        <v>472</v>
      </c>
      <c r="U1252" s="29" cm="1">
        <f t="array" ref="U1252">IF(表成绩单[[#This Row],[政治]]="","",SUMPRODUCT((表成绩单[考试日期]=表成绩单[[#This Row],[考试日期]])*(表成绩单[政治]&lt;9E+307)*(表成绩单[政治]&gt;表成绩单[[#This Row],[政治]]))+1)</f>
        <v>381</v>
      </c>
      <c r="V1252" s="29" cm="1">
        <f t="array" ref="V1252">IF(表成绩单[[#This Row],[历史]]="","",SUMPRODUCT((表成绩单[考试日期]=表成绩单[[#This Row],[考试日期]])*(表成绩单[历史]&lt;9E+307)*(表成绩单[历史]&gt;表成绩单[[#This Row],[历史]]))+1)</f>
        <v>149</v>
      </c>
      <c r="W1252" s="29" cm="1">
        <f t="array" ref="W1252">IF(表成绩单[[#This Row],[总分]]="","",SUMPRODUCT((表成绩单[考试日期]=表成绩单[[#This Row],[考试日期]])*(表成绩单[总分]&lt;9E+307)*(表成绩单[总分]&gt;表成绩单[[#This Row],[总分]]))+1)</f>
        <v>447</v>
      </c>
    </row>
    <row r="1253" ht="28" customHeight="1" spans="4:23">
      <c r="D1253" s="31">
        <v>46003</v>
      </c>
      <c r="E1253" s="29">
        <v>19178627</v>
      </c>
      <c r="F1253" s="29" t="s">
        <v>25</v>
      </c>
      <c r="G1253" s="29" t="s">
        <v>434</v>
      </c>
      <c r="H1253" s="29">
        <v>98</v>
      </c>
      <c r="I1253" s="29">
        <v>73</v>
      </c>
      <c r="J1253" s="29">
        <v>74.5</v>
      </c>
      <c r="K1253" s="29">
        <v>68</v>
      </c>
      <c r="L1253" s="29">
        <v>70</v>
      </c>
      <c r="M1253" s="29">
        <v>63</v>
      </c>
      <c r="N1253" s="29">
        <v>76</v>
      </c>
      <c r="O1253" s="32">
        <v>522.5</v>
      </c>
      <c r="P1253" s="29" cm="1">
        <f t="array" ref="P1253">IF(表成绩单[[#This Row],[语文]]="","",SUMPRODUCT((表成绩单[考试日期]=表成绩单[[#This Row],[考试日期]])*(表成绩单[语文]&lt;9E+307)*(表成绩单[语文]&gt;表成绩单[[#This Row],[语文]]))+1)</f>
        <v>463</v>
      </c>
      <c r="Q1253" s="29" cm="1">
        <f t="array" ref="Q1253">IF(表成绩单[[#This Row],[数学]]="","",SUMPRODUCT((表成绩单[考试日期]=表成绩单[[#This Row],[考试日期]])*(表成绩单[数学]&lt;9E+307)*(表成绩单[数学]&gt;表成绩单[[#This Row],[数学]]))+1)</f>
        <v>386</v>
      </c>
      <c r="R1253" s="29" cm="1">
        <f t="array" ref="R1253">IF(表成绩单[[#This Row],[英语]]="","",SUMPRODUCT((表成绩单[考试日期]=表成绩单[[#This Row],[考试日期]])*(表成绩单[英语]&lt;9E+307)*(表成绩单[英语]&gt;表成绩单[[#This Row],[英语]]))+1)</f>
        <v>328</v>
      </c>
      <c r="S1253" s="29" cm="1">
        <f t="array" ref="S1253">IF(表成绩单[[#This Row],[物理]]="","",SUMPRODUCT((表成绩单[考试日期]=表成绩单[[#This Row],[考试日期]])*(表成绩单[物理]&lt;9E+307)*(表成绩单[物理]&gt;表成绩单[[#This Row],[物理]]))+1)</f>
        <v>539</v>
      </c>
      <c r="T1253" s="29" cm="1">
        <f t="array" ref="T1253">IF(表成绩单[[#This Row],[化学]]="","",SUMPRODUCT((表成绩单[考试日期]=表成绩单[[#This Row],[考试日期]])*(表成绩单[化学]&lt;9E+307)*(表成绩单[化学]&gt;表成绩单[[#This Row],[化学]]))+1)</f>
        <v>498</v>
      </c>
      <c r="U1253" s="29" cm="1">
        <f t="array" ref="U1253">IF(表成绩单[[#This Row],[政治]]="","",SUMPRODUCT((表成绩单[考试日期]=表成绩单[[#This Row],[考试日期]])*(表成绩单[政治]&lt;9E+307)*(表成绩单[政治]&gt;表成绩单[[#This Row],[政治]]))+1)</f>
        <v>360</v>
      </c>
      <c r="V1253" s="29" cm="1">
        <f t="array" ref="V1253">IF(表成绩单[[#This Row],[历史]]="","",SUMPRODUCT((表成绩单[考试日期]=表成绩单[[#This Row],[考试日期]])*(表成绩单[历史]&lt;9E+307)*(表成绩单[历史]&gt;表成绩单[[#This Row],[历史]]))+1)</f>
        <v>279</v>
      </c>
      <c r="W1253" s="29" cm="1">
        <f t="array" ref="W1253">IF(表成绩单[[#This Row],[总分]]="","",SUMPRODUCT((表成绩单[考试日期]=表成绩单[[#This Row],[考试日期]])*(表成绩单[总分]&lt;9E+307)*(表成绩单[总分]&gt;表成绩单[[#This Row],[总分]]))+1)</f>
        <v>447</v>
      </c>
    </row>
    <row r="1254" ht="28" customHeight="1" spans="4:23">
      <c r="D1254" s="31">
        <v>46003</v>
      </c>
      <c r="E1254" s="29">
        <v>19177636</v>
      </c>
      <c r="F1254" s="29" t="s">
        <v>63</v>
      </c>
      <c r="G1254" s="29" t="s">
        <v>386</v>
      </c>
      <c r="H1254" s="29">
        <v>103</v>
      </c>
      <c r="I1254" s="29">
        <v>60</v>
      </c>
      <c r="J1254" s="29">
        <v>64.5</v>
      </c>
      <c r="K1254" s="29">
        <v>85</v>
      </c>
      <c r="L1254" s="29">
        <v>68</v>
      </c>
      <c r="M1254" s="29">
        <v>70</v>
      </c>
      <c r="N1254" s="29">
        <v>71</v>
      </c>
      <c r="O1254" s="32">
        <v>521.5</v>
      </c>
      <c r="P1254" s="29" cm="1">
        <f t="array" ref="P1254">IF(表成绩单[[#This Row],[语文]]="","",SUMPRODUCT((表成绩单[考试日期]=表成绩单[[#This Row],[考试日期]])*(表成绩单[语文]&lt;9E+307)*(表成绩单[语文]&gt;表成绩单[[#This Row],[语文]]))+1)</f>
        <v>333</v>
      </c>
      <c r="Q1254" s="29" cm="1">
        <f t="array" ref="Q1254">IF(表成绩单[[#This Row],[数学]]="","",SUMPRODUCT((表成绩单[考试日期]=表成绩单[[#This Row],[考试日期]])*(表成绩单[数学]&lt;9E+307)*(表成绩单[数学]&gt;表成绩单[[#This Row],[数学]]))+1)</f>
        <v>519</v>
      </c>
      <c r="R1254" s="29" cm="1">
        <f t="array" ref="R1254">IF(表成绩单[[#This Row],[英语]]="","",SUMPRODUCT((表成绩单[考试日期]=表成绩单[[#This Row],[考试日期]])*(表成绩单[英语]&lt;9E+307)*(表成绩单[英语]&gt;表成绩单[[#This Row],[英语]]))+1)</f>
        <v>484</v>
      </c>
      <c r="S1254" s="29" cm="1">
        <f t="array" ref="S1254">IF(表成绩单[[#This Row],[物理]]="","",SUMPRODUCT((表成绩单[考试日期]=表成绩单[[#This Row],[考试日期]])*(表成绩单[物理]&lt;9E+307)*(表成绩单[物理]&gt;表成绩单[[#This Row],[物理]]))+1)</f>
        <v>348</v>
      </c>
      <c r="T1254" s="29" cm="1">
        <f t="array" ref="T1254">IF(表成绩单[[#This Row],[化学]]="","",SUMPRODUCT((表成绩单[考试日期]=表成绩单[[#This Row],[考试日期]])*(表成绩单[化学]&lt;9E+307)*(表成绩单[化学]&gt;表成绩单[[#This Row],[化学]]))+1)</f>
        <v>514</v>
      </c>
      <c r="U1254" s="29" cm="1">
        <f t="array" ref="U1254">IF(表成绩单[[#This Row],[政治]]="","",SUMPRODUCT((表成绩单[考试日期]=表成绩单[[#This Row],[考试日期]])*(表成绩单[政治]&lt;9E+307)*(表成绩单[政治]&gt;表成绩单[[#This Row],[政治]]))+1)</f>
        <v>184</v>
      </c>
      <c r="V1254" s="29" cm="1">
        <f t="array" ref="V1254">IF(表成绩单[[#This Row],[历史]]="","",SUMPRODUCT((表成绩单[考试日期]=表成绩单[[#This Row],[考试日期]])*(表成绩单[历史]&lt;9E+307)*(表成绩单[历史]&gt;表成绩单[[#This Row],[历史]]))+1)</f>
        <v>471</v>
      </c>
      <c r="W1254" s="29" cm="1">
        <f t="array" ref="W1254">IF(表成绩单[[#This Row],[总分]]="","",SUMPRODUCT((表成绩单[考试日期]=表成绩单[[#This Row],[考试日期]])*(表成绩单[总分]&lt;9E+307)*(表成绩单[总分]&gt;表成绩单[[#This Row],[总分]]))+1)</f>
        <v>449</v>
      </c>
    </row>
    <row r="1255" ht="28" customHeight="1" spans="4:23">
      <c r="D1255" s="31">
        <v>46003</v>
      </c>
      <c r="E1255" s="29">
        <v>19177626</v>
      </c>
      <c r="F1255" s="29" t="s">
        <v>58</v>
      </c>
      <c r="G1255" s="29" t="s">
        <v>618</v>
      </c>
      <c r="H1255" s="29">
        <v>107</v>
      </c>
      <c r="I1255" s="29">
        <v>64</v>
      </c>
      <c r="J1255" s="29">
        <v>72</v>
      </c>
      <c r="K1255" s="29">
        <v>72</v>
      </c>
      <c r="L1255" s="29">
        <v>70</v>
      </c>
      <c r="M1255" s="29">
        <v>63</v>
      </c>
      <c r="N1255" s="29">
        <v>73</v>
      </c>
      <c r="O1255" s="32">
        <v>521</v>
      </c>
      <c r="P1255" s="29" cm="1">
        <f t="array" ref="P1255">IF(表成绩单[[#This Row],[语文]]="","",SUMPRODUCT((表成绩单[考试日期]=表成绩单[[#This Row],[考试日期]])*(表成绩单[语文]&lt;9E+307)*(表成绩单[语文]&gt;表成绩单[[#This Row],[语文]]))+1)</f>
        <v>182</v>
      </c>
      <c r="Q1255" s="29" cm="1">
        <f t="array" ref="Q1255">IF(表成绩单[[#This Row],[数学]]="","",SUMPRODUCT((表成绩单[考试日期]=表成绩单[[#This Row],[考试日期]])*(表成绩单[数学]&lt;9E+307)*(表成绩单[数学]&gt;表成绩单[[#This Row],[数学]]))+1)</f>
        <v>486</v>
      </c>
      <c r="R1255" s="29" cm="1">
        <f t="array" ref="R1255">IF(表成绩单[[#This Row],[英语]]="","",SUMPRODUCT((表成绩单[考试日期]=表成绩单[[#This Row],[考试日期]])*(表成绩单[英语]&lt;9E+307)*(表成绩单[英语]&gt;表成绩单[[#This Row],[英语]]))+1)</f>
        <v>386</v>
      </c>
      <c r="S1255" s="29" cm="1">
        <f t="array" ref="S1255">IF(表成绩单[[#This Row],[物理]]="","",SUMPRODUCT((表成绩单[考试日期]=表成绩单[[#This Row],[考试日期]])*(表成绩单[物理]&lt;9E+307)*(表成绩单[物理]&gt;表成绩单[[#This Row],[物理]]))+1)</f>
        <v>495</v>
      </c>
      <c r="T1255" s="29" cm="1">
        <f t="array" ref="T1255">IF(表成绩单[[#This Row],[化学]]="","",SUMPRODUCT((表成绩单[考试日期]=表成绩单[[#This Row],[考试日期]])*(表成绩单[化学]&lt;9E+307)*(表成绩单[化学]&gt;表成绩单[[#This Row],[化学]]))+1)</f>
        <v>498</v>
      </c>
      <c r="U1255" s="29" cm="1">
        <f t="array" ref="U1255">IF(表成绩单[[#This Row],[政治]]="","",SUMPRODUCT((表成绩单[考试日期]=表成绩单[[#This Row],[考试日期]])*(表成绩单[政治]&lt;9E+307)*(表成绩单[政治]&gt;表成绩单[[#This Row],[政治]]))+1)</f>
        <v>360</v>
      </c>
      <c r="V1255" s="29" cm="1">
        <f t="array" ref="V1255">IF(表成绩单[[#This Row],[历史]]="","",SUMPRODUCT((表成绩单[考试日期]=表成绩单[[#This Row],[考试日期]])*(表成绩单[历史]&lt;9E+307)*(表成绩单[历史]&gt;表成绩单[[#This Row],[历史]]))+1)</f>
        <v>403</v>
      </c>
      <c r="W1255" s="29" cm="1">
        <f t="array" ref="W1255">IF(表成绩单[[#This Row],[总分]]="","",SUMPRODUCT((表成绩单[考试日期]=表成绩单[[#This Row],[考试日期]])*(表成绩单[总分]&lt;9E+307)*(表成绩单[总分]&gt;表成绩单[[#This Row],[总分]]))+1)</f>
        <v>450</v>
      </c>
    </row>
    <row r="1256" ht="28" customHeight="1" spans="4:23">
      <c r="D1256" s="31">
        <v>46003</v>
      </c>
      <c r="E1256" s="29">
        <v>19178610</v>
      </c>
      <c r="F1256" s="29" t="s">
        <v>25</v>
      </c>
      <c r="G1256" s="29" t="s">
        <v>603</v>
      </c>
      <c r="H1256" s="29">
        <v>109</v>
      </c>
      <c r="I1256" s="29">
        <v>59</v>
      </c>
      <c r="J1256" s="29">
        <v>66</v>
      </c>
      <c r="K1256" s="29">
        <v>76</v>
      </c>
      <c r="L1256" s="29">
        <v>75</v>
      </c>
      <c r="M1256" s="29">
        <v>59</v>
      </c>
      <c r="N1256" s="29">
        <v>77</v>
      </c>
      <c r="O1256" s="32">
        <v>521</v>
      </c>
      <c r="P1256" s="29" cm="1">
        <f t="array" ref="P1256">IF(表成绩单[[#This Row],[语文]]="","",SUMPRODUCT((表成绩单[考试日期]=表成绩单[[#This Row],[考试日期]])*(表成绩单[语文]&lt;9E+307)*(表成绩单[语文]&gt;表成绩单[[#This Row],[语文]]))+1)</f>
        <v>111</v>
      </c>
      <c r="Q1256" s="29" cm="1">
        <f t="array" ref="Q1256">IF(表成绩单[[#This Row],[数学]]="","",SUMPRODUCT((表成绩单[考试日期]=表成绩单[[#This Row],[考试日期]])*(表成绩单[数学]&lt;9E+307)*(表成绩单[数学]&gt;表成绩单[[#This Row],[数学]]))+1)</f>
        <v>526</v>
      </c>
      <c r="R1256" s="29" cm="1">
        <f t="array" ref="R1256">IF(表成绩单[[#This Row],[英语]]="","",SUMPRODUCT((表成绩单[考试日期]=表成绩单[[#This Row],[考试日期]])*(表成绩单[英语]&lt;9E+307)*(表成绩单[英语]&gt;表成绩单[[#This Row],[英语]]))+1)</f>
        <v>467</v>
      </c>
      <c r="S1256" s="29" cm="1">
        <f t="array" ref="S1256">IF(表成绩单[[#This Row],[物理]]="","",SUMPRODUCT((表成绩单[考试日期]=表成绩单[[#This Row],[考试日期]])*(表成绩单[物理]&lt;9E+307)*(表成绩单[物理]&gt;表成绩单[[#This Row],[物理]]))+1)</f>
        <v>463</v>
      </c>
      <c r="T1256" s="29" cm="1">
        <f t="array" ref="T1256">IF(表成绩单[[#This Row],[化学]]="","",SUMPRODUCT((表成绩单[考试日期]=表成绩单[[#This Row],[考试日期]])*(表成绩单[化学]&lt;9E+307)*(表成绩单[化学]&gt;表成绩单[[#This Row],[化学]]))+1)</f>
        <v>421</v>
      </c>
      <c r="U1256" s="29" cm="1">
        <f t="array" ref="U1256">IF(表成绩单[[#This Row],[政治]]="","",SUMPRODUCT((表成绩单[考试日期]=表成绩单[[#This Row],[考试日期]])*(表成绩单[政治]&lt;9E+307)*(表成绩单[政治]&gt;表成绩单[[#This Row],[政治]]))+1)</f>
        <v>435</v>
      </c>
      <c r="V1256" s="29" cm="1">
        <f t="array" ref="V1256">IF(表成绩单[[#This Row],[历史]]="","",SUMPRODUCT((表成绩单[考试日期]=表成绩单[[#This Row],[考试日期]])*(表成绩单[历史]&lt;9E+307)*(表成绩单[历史]&gt;表成绩单[[#This Row],[历史]]))+1)</f>
        <v>235</v>
      </c>
      <c r="W1256" s="29" cm="1">
        <f t="array" ref="W1256">IF(表成绩单[[#This Row],[总分]]="","",SUMPRODUCT((表成绩单[考试日期]=表成绩单[[#This Row],[考试日期]])*(表成绩单[总分]&lt;9E+307)*(表成绩单[总分]&gt;表成绩单[[#This Row],[总分]]))+1)</f>
        <v>450</v>
      </c>
    </row>
    <row r="1257" ht="28" customHeight="1" spans="4:23">
      <c r="D1257" s="31">
        <v>46003</v>
      </c>
      <c r="E1257" s="29">
        <v>19172630</v>
      </c>
      <c r="F1257" s="29" t="s">
        <v>60</v>
      </c>
      <c r="G1257" s="29" t="s">
        <v>593</v>
      </c>
      <c r="H1257" s="29">
        <v>100</v>
      </c>
      <c r="I1257" s="29">
        <v>84</v>
      </c>
      <c r="J1257" s="29">
        <v>63</v>
      </c>
      <c r="K1257" s="29">
        <v>71</v>
      </c>
      <c r="L1257" s="29">
        <v>80</v>
      </c>
      <c r="M1257" s="29">
        <v>51</v>
      </c>
      <c r="N1257" s="29">
        <v>71</v>
      </c>
      <c r="O1257" s="32">
        <v>520</v>
      </c>
      <c r="P1257" s="29" cm="1">
        <f t="array" ref="P1257">IF(表成绩单[[#This Row],[语文]]="","",SUMPRODUCT((表成绩单[考试日期]=表成绩单[[#This Row],[考试日期]])*(表成绩单[语文]&lt;9E+307)*(表成绩单[语文]&gt;表成绩单[[#This Row],[语文]]))+1)</f>
        <v>414</v>
      </c>
      <c r="Q1257" s="29" cm="1">
        <f t="array" ref="Q1257">IF(表成绩单[[#This Row],[数学]]="","",SUMPRODUCT((表成绩单[考试日期]=表成绩单[[#This Row],[考试日期]])*(表成绩单[数学]&lt;9E+307)*(表成绩单[数学]&gt;表成绩单[[#This Row],[数学]]))+1)</f>
        <v>259</v>
      </c>
      <c r="R1257" s="29" cm="1">
        <f t="array" ref="R1257">IF(表成绩单[[#This Row],[英语]]="","",SUMPRODUCT((表成绩单[考试日期]=表成绩单[[#This Row],[考试日期]])*(表成绩单[英语]&lt;9E+307)*(表成绩单[英语]&gt;表成绩单[[#This Row],[英语]]))+1)</f>
        <v>501</v>
      </c>
      <c r="S1257" s="29" cm="1">
        <f t="array" ref="S1257">IF(表成绩单[[#This Row],[物理]]="","",SUMPRODUCT((表成绩单[考试日期]=表成绩单[[#This Row],[考试日期]])*(表成绩单[物理]&lt;9E+307)*(表成绩单[物理]&gt;表成绩单[[#This Row],[物理]]))+1)</f>
        <v>507</v>
      </c>
      <c r="T1257" s="29" cm="1">
        <f t="array" ref="T1257">IF(表成绩单[[#This Row],[化学]]="","",SUMPRODUCT((表成绩单[考试日期]=表成绩单[[#This Row],[考试日期]])*(表成绩单[化学]&lt;9E+307)*(表成绩单[化学]&gt;表成绩单[[#This Row],[化学]]))+1)</f>
        <v>327</v>
      </c>
      <c r="U1257" s="29" cm="1">
        <f t="array" ref="U1257">IF(表成绩单[[#This Row],[政治]]="","",SUMPRODUCT((表成绩单[考试日期]=表成绩单[[#This Row],[考试日期]])*(表成绩单[政治]&lt;9E+307)*(表成绩单[政治]&gt;表成绩单[[#This Row],[政治]]))+1)</f>
        <v>571</v>
      </c>
      <c r="V1257" s="29" cm="1">
        <f t="array" ref="V1257">IF(表成绩单[[#This Row],[历史]]="","",SUMPRODUCT((表成绩单[考试日期]=表成绩单[[#This Row],[考试日期]])*(表成绩单[历史]&lt;9E+307)*(表成绩单[历史]&gt;表成绩单[[#This Row],[历史]]))+1)</f>
        <v>471</v>
      </c>
      <c r="W1257" s="29" cm="1">
        <f t="array" ref="W1257">IF(表成绩单[[#This Row],[总分]]="","",SUMPRODUCT((表成绩单[考试日期]=表成绩单[[#This Row],[考试日期]])*(表成绩单[总分]&lt;9E+307)*(表成绩单[总分]&gt;表成绩单[[#This Row],[总分]]))+1)</f>
        <v>452</v>
      </c>
    </row>
    <row r="1258" ht="28" customHeight="1" spans="4:23">
      <c r="D1258" s="31">
        <v>46003</v>
      </c>
      <c r="E1258" s="29">
        <v>19174742</v>
      </c>
      <c r="F1258" s="29" t="s">
        <v>64</v>
      </c>
      <c r="G1258" s="29" t="s">
        <v>497</v>
      </c>
      <c r="H1258" s="29">
        <v>105</v>
      </c>
      <c r="I1258" s="29">
        <v>66</v>
      </c>
      <c r="J1258" s="29">
        <v>69.5</v>
      </c>
      <c r="K1258" s="29">
        <v>71</v>
      </c>
      <c r="L1258" s="29">
        <v>71</v>
      </c>
      <c r="M1258" s="29">
        <v>60</v>
      </c>
      <c r="N1258" s="29">
        <v>76</v>
      </c>
      <c r="O1258" s="32">
        <v>518.5</v>
      </c>
      <c r="P1258" s="29" cm="1">
        <f t="array" ref="P1258">IF(表成绩单[[#This Row],[语文]]="","",SUMPRODUCT((表成绩单[考试日期]=表成绩单[[#This Row],[考试日期]])*(表成绩单[语文]&lt;9E+307)*(表成绩单[语文]&gt;表成绩单[[#This Row],[语文]]))+1)</f>
        <v>247</v>
      </c>
      <c r="Q1258" s="29" cm="1">
        <f t="array" ref="Q1258">IF(表成绩单[[#This Row],[数学]]="","",SUMPRODUCT((表成绩单[考试日期]=表成绩单[[#This Row],[考试日期]])*(表成绩单[数学]&lt;9E+307)*(表成绩单[数学]&gt;表成绩单[[#This Row],[数学]]))+1)</f>
        <v>467</v>
      </c>
      <c r="R1258" s="29" cm="1">
        <f t="array" ref="R1258">IF(表成绩单[[#This Row],[英语]]="","",SUMPRODUCT((表成绩单[考试日期]=表成绩单[[#This Row],[考试日期]])*(表成绩单[英语]&lt;9E+307)*(表成绩单[英语]&gt;表成绩单[[#This Row],[英语]]))+1)</f>
        <v>426</v>
      </c>
      <c r="S1258" s="29" cm="1">
        <f t="array" ref="S1258">IF(表成绩单[[#This Row],[物理]]="","",SUMPRODUCT((表成绩单[考试日期]=表成绩单[[#This Row],[考试日期]])*(表成绩单[物理]&lt;9E+307)*(表成绩单[物理]&gt;表成绩单[[#This Row],[物理]]))+1)</f>
        <v>507</v>
      </c>
      <c r="T1258" s="29" cm="1">
        <f t="array" ref="T1258">IF(表成绩单[[#This Row],[化学]]="","",SUMPRODUCT((表成绩单[考试日期]=表成绩单[[#This Row],[考试日期]])*(表成绩单[化学]&lt;9E+307)*(表成绩单[化学]&gt;表成绩单[[#This Row],[化学]]))+1)</f>
        <v>487</v>
      </c>
      <c r="U1258" s="29" cm="1">
        <f t="array" ref="U1258">IF(表成绩单[[#This Row],[政治]]="","",SUMPRODUCT((表成绩单[考试日期]=表成绩单[[#This Row],[考试日期]])*(表成绩单[政治]&lt;9E+307)*(表成绩单[政治]&gt;表成绩单[[#This Row],[政治]]))+1)</f>
        <v>421</v>
      </c>
      <c r="V1258" s="29" cm="1">
        <f t="array" ref="V1258">IF(表成绩单[[#This Row],[历史]]="","",SUMPRODUCT((表成绩单[考试日期]=表成绩单[[#This Row],[考试日期]])*(表成绩单[历史]&lt;9E+307)*(表成绩单[历史]&gt;表成绩单[[#This Row],[历史]]))+1)</f>
        <v>279</v>
      </c>
      <c r="W1258" s="29" cm="1">
        <f t="array" ref="W1258">IF(表成绩单[[#This Row],[总分]]="","",SUMPRODUCT((表成绩单[考试日期]=表成绩单[[#This Row],[考试日期]])*(表成绩单[总分]&lt;9E+307)*(表成绩单[总分]&gt;表成绩单[[#This Row],[总分]]))+1)</f>
        <v>453</v>
      </c>
    </row>
    <row r="1259" ht="28" customHeight="1" spans="4:23">
      <c r="D1259" s="31">
        <v>46003</v>
      </c>
      <c r="E1259" s="29">
        <v>19173535</v>
      </c>
      <c r="F1259" s="29" t="s">
        <v>1</v>
      </c>
      <c r="G1259" s="29" t="s">
        <v>543</v>
      </c>
      <c r="H1259" s="29">
        <v>98</v>
      </c>
      <c r="I1259" s="29">
        <v>73</v>
      </c>
      <c r="J1259" s="29">
        <v>77.5</v>
      </c>
      <c r="K1259" s="29">
        <v>81</v>
      </c>
      <c r="L1259" s="29">
        <v>65</v>
      </c>
      <c r="M1259" s="29">
        <v>59</v>
      </c>
      <c r="N1259" s="29">
        <v>64</v>
      </c>
      <c r="O1259" s="32">
        <v>517.5</v>
      </c>
      <c r="P1259" s="29" cm="1">
        <f t="array" ref="P1259">IF(表成绩单[[#This Row],[语文]]="","",SUMPRODUCT((表成绩单[考试日期]=表成绩单[[#This Row],[考试日期]])*(表成绩单[语文]&lt;9E+307)*(表成绩单[语文]&gt;表成绩单[[#This Row],[语文]]))+1)</f>
        <v>463</v>
      </c>
      <c r="Q1259" s="29" cm="1">
        <f t="array" ref="Q1259">IF(表成绩单[[#This Row],[数学]]="","",SUMPRODUCT((表成绩单[考试日期]=表成绩单[[#This Row],[考试日期]])*(表成绩单[数学]&lt;9E+307)*(表成绩单[数学]&gt;表成绩单[[#This Row],[数学]]))+1)</f>
        <v>386</v>
      </c>
      <c r="R1259" s="29" cm="1">
        <f t="array" ref="R1259">IF(表成绩单[[#This Row],[英语]]="","",SUMPRODUCT((表成绩单[考试日期]=表成绩单[[#This Row],[考试日期]])*(表成绩单[英语]&lt;9E+307)*(表成绩单[英语]&gt;表成绩单[[#This Row],[英语]]))+1)</f>
        <v>230</v>
      </c>
      <c r="S1259" s="29" cm="1">
        <f t="array" ref="S1259">IF(表成绩单[[#This Row],[物理]]="","",SUMPRODUCT((表成绩单[考试日期]=表成绩单[[#This Row],[考试日期]])*(表成绩单[物理]&lt;9E+307)*(表成绩单[物理]&gt;表成绩单[[#This Row],[物理]]))+1)</f>
        <v>405</v>
      </c>
      <c r="T1259" s="29" cm="1">
        <f t="array" ref="T1259">IF(表成绩单[[#This Row],[化学]]="","",SUMPRODUCT((表成绩单[考试日期]=表成绩单[[#This Row],[考试日期]])*(表成绩单[化学]&lt;9E+307)*(表成绩单[化学]&gt;表成绩单[[#This Row],[化学]]))+1)</f>
        <v>543</v>
      </c>
      <c r="U1259" s="29" cm="1">
        <f t="array" ref="U1259">IF(表成绩单[[#This Row],[政治]]="","",SUMPRODUCT((表成绩单[考试日期]=表成绩单[[#This Row],[考试日期]])*(表成绩单[政治]&lt;9E+307)*(表成绩单[政治]&gt;表成绩单[[#This Row],[政治]]))+1)</f>
        <v>435</v>
      </c>
      <c r="V1259" s="29" cm="1">
        <f t="array" ref="V1259">IF(表成绩单[[#This Row],[历史]]="","",SUMPRODUCT((表成绩单[考试日期]=表成绩单[[#This Row],[考试日期]])*(表成绩单[历史]&lt;9E+307)*(表成绩单[历史]&gt;表成绩单[[#This Row],[历史]]))+1)</f>
        <v>593</v>
      </c>
      <c r="W1259" s="29" cm="1">
        <f t="array" ref="W1259">IF(表成绩单[[#This Row],[总分]]="","",SUMPRODUCT((表成绩单[考试日期]=表成绩单[[#This Row],[考试日期]])*(表成绩单[总分]&lt;9E+307)*(表成绩单[总分]&gt;表成绩单[[#This Row],[总分]]))+1)</f>
        <v>454</v>
      </c>
    </row>
    <row r="1260" ht="28" customHeight="1" spans="4:23">
      <c r="D1260" s="31">
        <v>46003</v>
      </c>
      <c r="E1260" s="29">
        <v>19173800</v>
      </c>
      <c r="F1260" s="29" t="s">
        <v>65</v>
      </c>
      <c r="G1260" s="29" t="s">
        <v>573</v>
      </c>
      <c r="H1260" s="29">
        <v>97</v>
      </c>
      <c r="I1260" s="29">
        <v>80</v>
      </c>
      <c r="J1260" s="29">
        <v>63.5</v>
      </c>
      <c r="K1260" s="29">
        <v>73</v>
      </c>
      <c r="L1260" s="29">
        <v>69</v>
      </c>
      <c r="M1260" s="29">
        <v>67</v>
      </c>
      <c r="N1260" s="29">
        <v>68</v>
      </c>
      <c r="O1260" s="32">
        <v>517.5</v>
      </c>
      <c r="P1260" s="29" cm="1">
        <f t="array" ref="P1260">IF(表成绩单[[#This Row],[语文]]="","",SUMPRODUCT((表成绩单[考试日期]=表成绩单[[#This Row],[考试日期]])*(表成绩单[语文]&lt;9E+307)*(表成绩单[语文]&gt;表成绩单[[#This Row],[语文]]))+1)</f>
        <v>488</v>
      </c>
      <c r="Q1260" s="29" cm="1">
        <f t="array" ref="Q1260">IF(表成绩单[[#This Row],[数学]]="","",SUMPRODUCT((表成绩单[考试日期]=表成绩单[[#This Row],[考试日期]])*(表成绩单[数学]&lt;9E+307)*(表成绩单[数学]&gt;表成绩单[[#This Row],[数学]]))+1)</f>
        <v>310</v>
      </c>
      <c r="R1260" s="29" cm="1">
        <f t="array" ref="R1260">IF(表成绩单[[#This Row],[英语]]="","",SUMPRODUCT((表成绩单[考试日期]=表成绩单[[#This Row],[考试日期]])*(表成绩单[英语]&lt;9E+307)*(表成绩单[英语]&gt;表成绩单[[#This Row],[英语]]))+1)</f>
        <v>494</v>
      </c>
      <c r="S1260" s="29" cm="1">
        <f t="array" ref="S1260">IF(表成绩单[[#This Row],[物理]]="","",SUMPRODUCT((表成绩单[考试日期]=表成绩单[[#This Row],[考试日期]])*(表成绩单[物理]&lt;9E+307)*(表成绩单[物理]&gt;表成绩单[[#This Row],[物理]]))+1)</f>
        <v>488</v>
      </c>
      <c r="T1260" s="29" cm="1">
        <f t="array" ref="T1260">IF(表成绩单[[#This Row],[化学]]="","",SUMPRODUCT((表成绩单[考试日期]=表成绩单[[#This Row],[考试日期]])*(表成绩单[化学]&lt;9E+307)*(表成绩单[化学]&gt;表成绩单[[#This Row],[化学]]))+1)</f>
        <v>509</v>
      </c>
      <c r="U1260" s="29" cm="1">
        <f t="array" ref="U1260">IF(表成绩单[[#This Row],[政治]]="","",SUMPRODUCT((表成绩单[考试日期]=表成绩单[[#This Row],[考试日期]])*(表成绩单[政治]&lt;9E+307)*(表成绩单[政治]&gt;表成绩单[[#This Row],[政治]]))+1)</f>
        <v>264</v>
      </c>
      <c r="V1260" s="29" cm="1">
        <f t="array" ref="V1260">IF(表成绩单[[#This Row],[历史]]="","",SUMPRODUCT((表成绩单[考试日期]=表成绩单[[#This Row],[考试日期]])*(表成绩单[历史]&lt;9E+307)*(表成绩单[历史]&gt;表成绩单[[#This Row],[历史]]))+1)</f>
        <v>536</v>
      </c>
      <c r="W1260" s="29" cm="1">
        <f t="array" ref="W1260">IF(表成绩单[[#This Row],[总分]]="","",SUMPRODUCT((表成绩单[考试日期]=表成绩单[[#This Row],[考试日期]])*(表成绩单[总分]&lt;9E+307)*(表成绩单[总分]&gt;表成绩单[[#This Row],[总分]]))+1)</f>
        <v>454</v>
      </c>
    </row>
    <row r="1261" ht="28" customHeight="1" spans="4:23">
      <c r="D1261" s="31">
        <v>46003</v>
      </c>
      <c r="E1261" s="29">
        <v>19173786</v>
      </c>
      <c r="F1261" s="29" t="s">
        <v>65</v>
      </c>
      <c r="G1261" s="29" t="s">
        <v>445</v>
      </c>
      <c r="H1261" s="29">
        <v>99</v>
      </c>
      <c r="I1261" s="29">
        <v>66</v>
      </c>
      <c r="J1261" s="29">
        <v>62</v>
      </c>
      <c r="K1261" s="29">
        <v>64</v>
      </c>
      <c r="L1261" s="29">
        <v>78</v>
      </c>
      <c r="M1261" s="29">
        <v>70</v>
      </c>
      <c r="N1261" s="29">
        <v>78</v>
      </c>
      <c r="O1261" s="32">
        <v>517</v>
      </c>
      <c r="P1261" s="29" cm="1">
        <f t="array" ref="P1261">IF(表成绩单[[#This Row],[语文]]="","",SUMPRODUCT((表成绩单[考试日期]=表成绩单[[#This Row],[考试日期]])*(表成绩单[语文]&lt;9E+307)*(表成绩单[语文]&gt;表成绩单[[#This Row],[语文]]))+1)</f>
        <v>440</v>
      </c>
      <c r="Q1261" s="29" cm="1">
        <f t="array" ref="Q1261">IF(表成绩单[[#This Row],[数学]]="","",SUMPRODUCT((表成绩单[考试日期]=表成绩单[[#This Row],[考试日期]])*(表成绩单[数学]&lt;9E+307)*(表成绩单[数学]&gt;表成绩单[[#This Row],[数学]]))+1)</f>
        <v>467</v>
      </c>
      <c r="R1261" s="29" cm="1">
        <f t="array" ref="R1261">IF(表成绩单[[#This Row],[英语]]="","",SUMPRODUCT((表成绩单[考试日期]=表成绩单[[#This Row],[考试日期]])*(表成绩单[英语]&lt;9E+307)*(表成绩单[英语]&gt;表成绩单[[#This Row],[英语]]))+1)</f>
        <v>509</v>
      </c>
      <c r="S1261" s="29" cm="1">
        <f t="array" ref="S1261">IF(表成绩单[[#This Row],[物理]]="","",SUMPRODUCT((表成绩单[考试日期]=表成绩单[[#This Row],[考试日期]])*(表成绩单[物理]&lt;9E+307)*(表成绩单[物理]&gt;表成绩单[[#This Row],[物理]]))+1)</f>
        <v>569</v>
      </c>
      <c r="T1261" s="29" cm="1">
        <f t="array" ref="T1261">IF(表成绩单[[#This Row],[化学]]="","",SUMPRODUCT((表成绩单[考试日期]=表成绩单[[#This Row],[考试日期]])*(表成绩单[化学]&lt;9E+307)*(表成绩单[化学]&gt;表成绩单[[#This Row],[化学]]))+1)</f>
        <v>373</v>
      </c>
      <c r="U1261" s="29" cm="1">
        <f t="array" ref="U1261">IF(表成绩单[[#This Row],[政治]]="","",SUMPRODUCT((表成绩单[考试日期]=表成绩单[[#This Row],[考试日期]])*(表成绩单[政治]&lt;9E+307)*(表成绩单[政治]&gt;表成绩单[[#This Row],[政治]]))+1)</f>
        <v>184</v>
      </c>
      <c r="V1261" s="29" cm="1">
        <f t="array" ref="V1261">IF(表成绩单[[#This Row],[历史]]="","",SUMPRODUCT((表成绩单[考试日期]=表成绩单[[#This Row],[考试日期]])*(表成绩单[历史]&lt;9E+307)*(表成绩单[历史]&gt;表成绩单[[#This Row],[历史]]))+1)</f>
        <v>190</v>
      </c>
      <c r="W1261" s="29" cm="1">
        <f t="array" ref="W1261">IF(表成绩单[[#This Row],[总分]]="","",SUMPRODUCT((表成绩单[考试日期]=表成绩单[[#This Row],[考试日期]])*(表成绩单[总分]&lt;9E+307)*(表成绩单[总分]&gt;表成绩单[[#This Row],[总分]]))+1)</f>
        <v>456</v>
      </c>
    </row>
    <row r="1262" ht="28" customHeight="1" spans="4:23">
      <c r="D1262" s="31">
        <v>46003</v>
      </c>
      <c r="E1262" s="29">
        <v>19175649</v>
      </c>
      <c r="F1262" s="29" t="s">
        <v>66</v>
      </c>
      <c r="G1262" s="29" t="s">
        <v>474</v>
      </c>
      <c r="H1262" s="29">
        <v>97</v>
      </c>
      <c r="I1262" s="29">
        <v>70</v>
      </c>
      <c r="J1262" s="29">
        <v>74</v>
      </c>
      <c r="K1262" s="29">
        <v>78</v>
      </c>
      <c r="L1262" s="29">
        <v>66</v>
      </c>
      <c r="M1262" s="29">
        <v>56</v>
      </c>
      <c r="N1262" s="29">
        <v>76</v>
      </c>
      <c r="O1262" s="32">
        <v>517</v>
      </c>
      <c r="P1262" s="29" cm="1">
        <f t="array" ref="P1262">IF(表成绩单[[#This Row],[语文]]="","",SUMPRODUCT((表成绩单[考试日期]=表成绩单[[#This Row],[考试日期]])*(表成绩单[语文]&lt;9E+307)*(表成绩单[语文]&gt;表成绩单[[#This Row],[语文]]))+1)</f>
        <v>488</v>
      </c>
      <c r="Q1262" s="29" cm="1">
        <f t="array" ref="Q1262">IF(表成绩单[[#This Row],[数学]]="","",SUMPRODUCT((表成绩单[考试日期]=表成绩单[[#This Row],[考试日期]])*(表成绩单[数学]&lt;9E+307)*(表成绩单[数学]&gt;表成绩单[[#This Row],[数学]]))+1)</f>
        <v>426</v>
      </c>
      <c r="R1262" s="29" cm="1">
        <f t="array" ref="R1262">IF(表成绩单[[#This Row],[英语]]="","",SUMPRODUCT((表成绩单[考试日期]=表成绩单[[#This Row],[考试日期]])*(表成绩单[英语]&lt;9E+307)*(表成绩单[英语]&gt;表成绩单[[#This Row],[英语]]))+1)</f>
        <v>344</v>
      </c>
      <c r="S1262" s="29" cm="1">
        <f t="array" ref="S1262">IF(表成绩单[[#This Row],[物理]]="","",SUMPRODUCT((表成绩单[考试日期]=表成绩单[[#This Row],[考试日期]])*(表成绩单[物理]&lt;9E+307)*(表成绩单[物理]&gt;表成绩单[[#This Row],[物理]]))+1)</f>
        <v>443</v>
      </c>
      <c r="T1262" s="29" cm="1">
        <f t="array" ref="T1262">IF(表成绩单[[#This Row],[化学]]="","",SUMPRODUCT((表成绩单[考试日期]=表成绩单[[#This Row],[考试日期]])*(表成绩单[化学]&lt;9E+307)*(表成绩单[化学]&gt;表成绩单[[#This Row],[化学]]))+1)</f>
        <v>530</v>
      </c>
      <c r="U1262" s="29" cm="1">
        <f t="array" ref="U1262">IF(表成绩单[[#This Row],[政治]]="","",SUMPRODUCT((表成绩单[考试日期]=表成绩单[[#This Row],[考试日期]])*(表成绩单[政治]&lt;9E+307)*(表成绩单[政治]&gt;表成绩单[[#This Row],[政治]]))+1)</f>
        <v>492</v>
      </c>
      <c r="V1262" s="29" cm="1">
        <f t="array" ref="V1262">IF(表成绩单[[#This Row],[历史]]="","",SUMPRODUCT((表成绩单[考试日期]=表成绩单[[#This Row],[考试日期]])*(表成绩单[历史]&lt;9E+307)*(表成绩单[历史]&gt;表成绩单[[#This Row],[历史]]))+1)</f>
        <v>279</v>
      </c>
      <c r="W1262" s="29" cm="1">
        <f t="array" ref="W1262">IF(表成绩单[[#This Row],[总分]]="","",SUMPRODUCT((表成绩单[考试日期]=表成绩单[[#This Row],[考试日期]])*(表成绩单[总分]&lt;9E+307)*(表成绩单[总分]&gt;表成绩单[[#This Row],[总分]]))+1)</f>
        <v>456</v>
      </c>
    </row>
    <row r="1263" ht="28" customHeight="1" spans="4:23">
      <c r="D1263" s="31">
        <v>46003</v>
      </c>
      <c r="E1263" s="29">
        <v>19174474</v>
      </c>
      <c r="F1263" s="29" t="s">
        <v>73</v>
      </c>
      <c r="G1263" s="29" t="s">
        <v>556</v>
      </c>
      <c r="H1263" s="29">
        <v>95</v>
      </c>
      <c r="I1263" s="29">
        <v>69</v>
      </c>
      <c r="J1263" s="29">
        <v>68.5</v>
      </c>
      <c r="K1263" s="29">
        <v>88</v>
      </c>
      <c r="L1263" s="29">
        <v>80</v>
      </c>
      <c r="M1263" s="29">
        <v>48</v>
      </c>
      <c r="N1263" s="29">
        <v>68</v>
      </c>
      <c r="O1263" s="32">
        <v>516.5</v>
      </c>
      <c r="P1263" s="29" cm="1">
        <f t="array" ref="P1263">IF(表成绩单[[#This Row],[语文]]="","",SUMPRODUCT((表成绩单[考试日期]=表成绩单[[#This Row],[考试日期]])*(表成绩单[语文]&lt;9E+307)*(表成绩单[语文]&gt;表成绩单[[#This Row],[语文]]))+1)</f>
        <v>522</v>
      </c>
      <c r="Q1263" s="29" cm="1">
        <f t="array" ref="Q1263">IF(表成绩单[[#This Row],[数学]]="","",SUMPRODUCT((表成绩单[考试日期]=表成绩单[[#This Row],[考试日期]])*(表成绩单[数学]&lt;9E+307)*(表成绩单[数学]&gt;表成绩单[[#This Row],[数学]]))+1)</f>
        <v>437</v>
      </c>
      <c r="R1263" s="29" cm="1">
        <f t="array" ref="R1263">IF(表成绩单[[#This Row],[英语]]="","",SUMPRODUCT((表成绩单[考试日期]=表成绩单[[#This Row],[考试日期]])*(表成绩单[英语]&lt;9E+307)*(表成绩单[英语]&gt;表成绩单[[#This Row],[英语]]))+1)</f>
        <v>446</v>
      </c>
      <c r="S1263" s="29" cm="1">
        <f t="array" ref="S1263">IF(表成绩单[[#This Row],[物理]]="","",SUMPRODUCT((表成绩单[考试日期]=表成绩单[[#This Row],[考试日期]])*(表成绩单[物理]&lt;9E+307)*(表成绩单[物理]&gt;表成绩单[[#This Row],[物理]]))+1)</f>
        <v>291</v>
      </c>
      <c r="T1263" s="29" cm="1">
        <f t="array" ref="T1263">IF(表成绩单[[#This Row],[化学]]="","",SUMPRODUCT((表成绩单[考试日期]=表成绩单[[#This Row],[考试日期]])*(表成绩单[化学]&lt;9E+307)*(表成绩单[化学]&gt;表成绩单[[#This Row],[化学]]))+1)</f>
        <v>327</v>
      </c>
      <c r="U1263" s="29" cm="1">
        <f t="array" ref="U1263">IF(表成绩单[[#This Row],[政治]]="","",SUMPRODUCT((表成绩单[考试日期]=表成绩单[[#This Row],[考试日期]])*(表成绩单[政治]&lt;9E+307)*(表成绩单[政治]&gt;表成绩单[[#This Row],[政治]]))+1)</f>
        <v>612</v>
      </c>
      <c r="V1263" s="29" cm="1">
        <f t="array" ref="V1263">IF(表成绩单[[#This Row],[历史]]="","",SUMPRODUCT((表成绩单[考试日期]=表成绩单[[#This Row],[考试日期]])*(表成绩单[历史]&lt;9E+307)*(表成绩单[历史]&gt;表成绩单[[#This Row],[历史]]))+1)</f>
        <v>536</v>
      </c>
      <c r="W1263" s="29" cm="1">
        <f t="array" ref="W1263">IF(表成绩单[[#This Row],[总分]]="","",SUMPRODUCT((表成绩单[考试日期]=表成绩单[[#This Row],[考试日期]])*(表成绩单[总分]&lt;9E+307)*(表成绩单[总分]&gt;表成绩单[[#This Row],[总分]]))+1)</f>
        <v>458</v>
      </c>
    </row>
    <row r="1264" ht="28" customHeight="1" spans="4:23">
      <c r="D1264" s="31">
        <v>46003</v>
      </c>
      <c r="E1264" s="29">
        <v>19176854</v>
      </c>
      <c r="F1264" s="29" t="s">
        <v>71</v>
      </c>
      <c r="G1264" s="29" t="s">
        <v>628</v>
      </c>
      <c r="H1264" s="29">
        <v>105</v>
      </c>
      <c r="I1264" s="29">
        <v>70</v>
      </c>
      <c r="J1264" s="29">
        <v>67</v>
      </c>
      <c r="K1264" s="29">
        <v>78</v>
      </c>
      <c r="L1264" s="29">
        <v>60</v>
      </c>
      <c r="M1264" s="29">
        <v>58</v>
      </c>
      <c r="N1264" s="29">
        <v>78</v>
      </c>
      <c r="O1264" s="32">
        <v>516</v>
      </c>
      <c r="P1264" s="29" cm="1">
        <f t="array" ref="P1264">IF(表成绩单[[#This Row],[语文]]="","",SUMPRODUCT((表成绩单[考试日期]=表成绩单[[#This Row],[考试日期]])*(表成绩单[语文]&lt;9E+307)*(表成绩单[语文]&gt;表成绩单[[#This Row],[语文]]))+1)</f>
        <v>247</v>
      </c>
      <c r="Q1264" s="29" cm="1">
        <f t="array" ref="Q1264">IF(表成绩单[[#This Row],[数学]]="","",SUMPRODUCT((表成绩单[考试日期]=表成绩单[[#This Row],[考试日期]])*(表成绩单[数学]&lt;9E+307)*(表成绩单[数学]&gt;表成绩单[[#This Row],[数学]]))+1)</f>
        <v>426</v>
      </c>
      <c r="R1264" s="29" cm="1">
        <f t="array" ref="R1264">IF(表成绩单[[#This Row],[英语]]="","",SUMPRODUCT((表成绩单[考试日期]=表成绩单[[#This Row],[考试日期]])*(表成绩单[英语]&lt;9E+307)*(表成绩单[英语]&gt;表成绩单[[#This Row],[英语]]))+1)</f>
        <v>460</v>
      </c>
      <c r="S1264" s="29" cm="1">
        <f t="array" ref="S1264">IF(表成绩单[[#This Row],[物理]]="","",SUMPRODUCT((表成绩单[考试日期]=表成绩单[[#This Row],[考试日期]])*(表成绩单[物理]&lt;9E+307)*(表成绩单[物理]&gt;表成绩单[[#This Row],[物理]]))+1)</f>
        <v>443</v>
      </c>
      <c r="T1264" s="29" cm="1">
        <f t="array" ref="T1264">IF(表成绩单[[#This Row],[化学]]="","",SUMPRODUCT((表成绩单[考试日期]=表成绩单[[#This Row],[考试日期]])*(表成绩单[化学]&lt;9E+307)*(表成绩单[化学]&gt;表成绩单[[#This Row],[化学]]))+1)</f>
        <v>585</v>
      </c>
      <c r="U1264" s="29" cm="1">
        <f t="array" ref="U1264">IF(表成绩单[[#This Row],[政治]]="","",SUMPRODUCT((表成绩单[考试日期]=表成绩单[[#This Row],[考试日期]])*(表成绩单[政治]&lt;9E+307)*(表成绩单[政治]&gt;表成绩单[[#This Row],[政治]]))+1)</f>
        <v>454</v>
      </c>
      <c r="V1264" s="29" cm="1">
        <f t="array" ref="V1264">IF(表成绩单[[#This Row],[历史]]="","",SUMPRODUCT((表成绩单[考试日期]=表成绩单[[#This Row],[考试日期]])*(表成绩单[历史]&lt;9E+307)*(表成绩单[历史]&gt;表成绩单[[#This Row],[历史]]))+1)</f>
        <v>190</v>
      </c>
      <c r="W1264" s="29" cm="1">
        <f t="array" ref="W1264">IF(表成绩单[[#This Row],[总分]]="","",SUMPRODUCT((表成绩单[考试日期]=表成绩单[[#This Row],[考试日期]])*(表成绩单[总分]&lt;9E+307)*(表成绩单[总分]&gt;表成绩单[[#This Row],[总分]]))+1)</f>
        <v>459</v>
      </c>
    </row>
    <row r="1265" ht="28" customHeight="1" spans="4:23">
      <c r="D1265" s="31">
        <v>46003</v>
      </c>
      <c r="E1265" s="29">
        <v>19178588</v>
      </c>
      <c r="F1265" s="29" t="s">
        <v>64</v>
      </c>
      <c r="G1265" s="29" t="s">
        <v>615</v>
      </c>
      <c r="H1265" s="29">
        <v>107</v>
      </c>
      <c r="I1265" s="29">
        <v>66</v>
      </c>
      <c r="J1265" s="29">
        <v>63</v>
      </c>
      <c r="K1265" s="29">
        <v>80</v>
      </c>
      <c r="L1265" s="29">
        <v>78</v>
      </c>
      <c r="M1265" s="29">
        <v>59</v>
      </c>
      <c r="N1265" s="29">
        <v>63</v>
      </c>
      <c r="O1265" s="32">
        <v>516</v>
      </c>
      <c r="P1265" s="29" cm="1">
        <f t="array" ref="P1265">IF(表成绩单[[#This Row],[语文]]="","",SUMPRODUCT((表成绩单[考试日期]=表成绩单[[#This Row],[考试日期]])*(表成绩单[语文]&lt;9E+307)*(表成绩单[语文]&gt;表成绩单[[#This Row],[语文]]))+1)</f>
        <v>182</v>
      </c>
      <c r="Q1265" s="29" cm="1">
        <f t="array" ref="Q1265">IF(表成绩单[[#This Row],[数学]]="","",SUMPRODUCT((表成绩单[考试日期]=表成绩单[[#This Row],[考试日期]])*(表成绩单[数学]&lt;9E+307)*(表成绩单[数学]&gt;表成绩单[[#This Row],[数学]]))+1)</f>
        <v>467</v>
      </c>
      <c r="R1265" s="29" cm="1">
        <f t="array" ref="R1265">IF(表成绩单[[#This Row],[英语]]="","",SUMPRODUCT((表成绩单[考试日期]=表成绩单[[#This Row],[考试日期]])*(表成绩单[英语]&lt;9E+307)*(表成绩单[英语]&gt;表成绩单[[#This Row],[英语]]))+1)</f>
        <v>501</v>
      </c>
      <c r="S1265" s="29" cm="1">
        <f t="array" ref="S1265">IF(表成绩单[[#This Row],[物理]]="","",SUMPRODUCT((表成绩单[考试日期]=表成绩单[[#This Row],[考试日期]])*(表成绩单[物理]&lt;9E+307)*(表成绩单[物理]&gt;表成绩单[[#This Row],[物理]]))+1)</f>
        <v>422</v>
      </c>
      <c r="T1265" s="29" cm="1">
        <f t="array" ref="T1265">IF(表成绩单[[#This Row],[化学]]="","",SUMPRODUCT((表成绩单[考试日期]=表成绩单[[#This Row],[考试日期]])*(表成绩单[化学]&lt;9E+307)*(表成绩单[化学]&gt;表成绩单[[#This Row],[化学]]))+1)</f>
        <v>373</v>
      </c>
      <c r="U1265" s="29" cm="1">
        <f t="array" ref="U1265">IF(表成绩单[[#This Row],[政治]]="","",SUMPRODUCT((表成绩单[考试日期]=表成绩单[[#This Row],[考试日期]])*(表成绩单[政治]&lt;9E+307)*(表成绩单[政治]&gt;表成绩单[[#This Row],[政治]]))+1)</f>
        <v>435</v>
      </c>
      <c r="V1265" s="29" cm="1">
        <f t="array" ref="V1265">IF(表成绩单[[#This Row],[历史]]="","",SUMPRODUCT((表成绩单[考试日期]=表成绩单[[#This Row],[考试日期]])*(表成绩单[历史]&lt;9E+307)*(表成绩单[历史]&gt;表成绩单[[#This Row],[历史]]))+1)</f>
        <v>608</v>
      </c>
      <c r="W1265" s="29" cm="1">
        <f t="array" ref="W1265">IF(表成绩单[[#This Row],[总分]]="","",SUMPRODUCT((表成绩单[考试日期]=表成绩单[[#This Row],[考试日期]])*(表成绩单[总分]&lt;9E+307)*(表成绩单[总分]&gt;表成绩单[[#This Row],[总分]]))+1)</f>
        <v>459</v>
      </c>
    </row>
    <row r="1266" ht="28" customHeight="1" spans="4:23">
      <c r="D1266" s="31">
        <v>46003</v>
      </c>
      <c r="E1266" s="29">
        <v>19177646</v>
      </c>
      <c r="F1266" s="29" t="s">
        <v>63</v>
      </c>
      <c r="G1266" s="29" t="s">
        <v>587</v>
      </c>
      <c r="H1266" s="29">
        <v>104</v>
      </c>
      <c r="I1266" s="29">
        <v>66</v>
      </c>
      <c r="J1266" s="29">
        <v>71.5</v>
      </c>
      <c r="K1266" s="29">
        <v>86</v>
      </c>
      <c r="L1266" s="29">
        <v>79</v>
      </c>
      <c r="M1266" s="29">
        <v>42</v>
      </c>
      <c r="N1266" s="29">
        <v>67</v>
      </c>
      <c r="O1266" s="32">
        <v>515.5</v>
      </c>
      <c r="P1266" s="29" cm="1">
        <f t="array" ref="P1266">IF(表成绩单[[#This Row],[语文]]="","",SUMPRODUCT((表成绩单[考试日期]=表成绩单[[#This Row],[考试日期]])*(表成绩单[语文]&lt;9E+307)*(表成绩单[语文]&gt;表成绩单[[#This Row],[语文]]))+1)</f>
        <v>290</v>
      </c>
      <c r="Q1266" s="29" cm="1">
        <f t="array" ref="Q1266">IF(表成绩单[[#This Row],[数学]]="","",SUMPRODUCT((表成绩单[考试日期]=表成绩单[[#This Row],[考试日期]])*(表成绩单[数学]&lt;9E+307)*(表成绩单[数学]&gt;表成绩单[[#This Row],[数学]]))+1)</f>
        <v>467</v>
      </c>
      <c r="R1266" s="29" cm="1">
        <f t="array" ref="R1266">IF(表成绩单[[#This Row],[英语]]="","",SUMPRODUCT((表成绩单[考试日期]=表成绩单[[#This Row],[考试日期]])*(表成绩单[英语]&lt;9E+307)*(表成绩单[英语]&gt;表成绩单[[#This Row],[英语]]))+1)</f>
        <v>396</v>
      </c>
      <c r="S1266" s="29" cm="1">
        <f t="array" ref="S1266">IF(表成绩单[[#This Row],[物理]]="","",SUMPRODUCT((表成绩单[考试日期]=表成绩单[[#This Row],[考试日期]])*(表成绩单[物理]&lt;9E+307)*(表成绩单[物理]&gt;表成绩单[[#This Row],[物理]]))+1)</f>
        <v>336</v>
      </c>
      <c r="T1266" s="29" cm="1">
        <f t="array" ref="T1266">IF(表成绩单[[#This Row],[化学]]="","",SUMPRODUCT((表成绩单[考试日期]=表成绩单[[#This Row],[考试日期]])*(表成绩单[化学]&lt;9E+307)*(表成绩单[化学]&gt;表成绩单[[#This Row],[化学]]))+1)</f>
        <v>351</v>
      </c>
      <c r="U1266" s="29" cm="1">
        <f t="array" ref="U1266">IF(表成绩单[[#This Row],[政治]]="","",SUMPRODUCT((表成绩单[考试日期]=表成绩单[[#This Row],[考试日期]])*(表成绩单[政治]&lt;9E+307)*(表成绩单[政治]&gt;表成绩单[[#This Row],[政治]]))+1)</f>
        <v>666</v>
      </c>
      <c r="V1266" s="29" cm="1">
        <f t="array" ref="V1266">IF(表成绩单[[#This Row],[历史]]="","",SUMPRODUCT((表成绩单[考试日期]=表成绩单[[#This Row],[考试日期]])*(表成绩单[历史]&lt;9E+307)*(表成绩单[历史]&gt;表成绩单[[#This Row],[历史]]))+1)</f>
        <v>549</v>
      </c>
      <c r="W1266" s="29" cm="1">
        <f t="array" ref="W1266">IF(表成绩单[[#This Row],[总分]]="","",SUMPRODUCT((表成绩单[考试日期]=表成绩单[[#This Row],[考试日期]])*(表成绩单[总分]&lt;9E+307)*(表成绩单[总分]&gt;表成绩单[[#This Row],[总分]]))+1)</f>
        <v>461</v>
      </c>
    </row>
    <row r="1267" ht="28" customHeight="1" spans="4:23">
      <c r="D1267" s="31">
        <v>46003</v>
      </c>
      <c r="E1267" s="29">
        <v>19171077</v>
      </c>
      <c r="F1267" s="29" t="s">
        <v>67</v>
      </c>
      <c r="G1267" s="29" t="s">
        <v>540</v>
      </c>
      <c r="H1267" s="29">
        <v>105</v>
      </c>
      <c r="I1267" s="29">
        <v>70</v>
      </c>
      <c r="J1267" s="29">
        <v>69</v>
      </c>
      <c r="K1267" s="29">
        <v>70</v>
      </c>
      <c r="L1267" s="29">
        <v>76</v>
      </c>
      <c r="M1267" s="29">
        <v>49</v>
      </c>
      <c r="N1267" s="29">
        <v>76</v>
      </c>
      <c r="O1267" s="32">
        <v>515</v>
      </c>
      <c r="P1267" s="29" cm="1">
        <f t="array" ref="P1267">IF(表成绩单[[#This Row],[语文]]="","",SUMPRODUCT((表成绩单[考试日期]=表成绩单[[#This Row],[考试日期]])*(表成绩单[语文]&lt;9E+307)*(表成绩单[语文]&gt;表成绩单[[#This Row],[语文]]))+1)</f>
        <v>247</v>
      </c>
      <c r="Q1267" s="29" cm="1">
        <f t="array" ref="Q1267">IF(表成绩单[[#This Row],[数学]]="","",SUMPRODUCT((表成绩单[考试日期]=表成绩单[[#This Row],[考试日期]])*(表成绩单[数学]&lt;9E+307)*(表成绩单[数学]&gt;表成绩单[[#This Row],[数学]]))+1)</f>
        <v>426</v>
      </c>
      <c r="R1267" s="29" cm="1">
        <f t="array" ref="R1267">IF(表成绩单[[#This Row],[英语]]="","",SUMPRODUCT((表成绩单[考试日期]=表成绩单[[#This Row],[考试日期]])*(表成绩单[英语]&lt;9E+307)*(表成绩单[英语]&gt;表成绩单[[#This Row],[英语]]))+1)</f>
        <v>434</v>
      </c>
      <c r="S1267" s="29" cm="1">
        <f t="array" ref="S1267">IF(表成绩单[[#This Row],[物理]]="","",SUMPRODUCT((表成绩单[考试日期]=表成绩单[[#This Row],[考试日期]])*(表成绩单[物理]&lt;9E+307)*(表成绩单[物理]&gt;表成绩单[[#This Row],[物理]]))+1)</f>
        <v>522</v>
      </c>
      <c r="T1267" s="29" cm="1">
        <f t="array" ref="T1267">IF(表成绩单[[#This Row],[化学]]="","",SUMPRODUCT((表成绩单[考试日期]=表成绩单[[#This Row],[考试日期]])*(表成绩单[化学]&lt;9E+307)*(表成绩单[化学]&gt;表成绩单[[#This Row],[化学]]))+1)</f>
        <v>402</v>
      </c>
      <c r="U1267" s="29" cm="1">
        <f t="array" ref="U1267">IF(表成绩单[[#This Row],[政治]]="","",SUMPRODUCT((表成绩单[考试日期]=表成绩单[[#This Row],[考试日期]])*(表成绩单[政治]&lt;9E+307)*(表成绩单[政治]&gt;表成绩单[[#This Row],[政治]]))+1)</f>
        <v>600</v>
      </c>
      <c r="V1267" s="29" cm="1">
        <f t="array" ref="V1267">IF(表成绩单[[#This Row],[历史]]="","",SUMPRODUCT((表成绩单[考试日期]=表成绩单[[#This Row],[考试日期]])*(表成绩单[历史]&lt;9E+307)*(表成绩单[历史]&gt;表成绩单[[#This Row],[历史]]))+1)</f>
        <v>279</v>
      </c>
      <c r="W1267" s="29" cm="1">
        <f t="array" ref="W1267">IF(表成绩单[[#This Row],[总分]]="","",SUMPRODUCT((表成绩单[考试日期]=表成绩单[[#This Row],[考试日期]])*(表成绩单[总分]&lt;9E+307)*(表成绩单[总分]&gt;表成绩单[[#This Row],[总分]]))+1)</f>
        <v>462</v>
      </c>
    </row>
    <row r="1268" ht="28" customHeight="1" spans="4:23">
      <c r="D1268" s="31">
        <v>46003</v>
      </c>
      <c r="E1268" s="29">
        <v>19173257</v>
      </c>
      <c r="F1268" s="29" t="s">
        <v>61</v>
      </c>
      <c r="G1268" s="29" t="s">
        <v>502</v>
      </c>
      <c r="H1268" s="29">
        <v>94</v>
      </c>
      <c r="I1268" s="29">
        <v>63</v>
      </c>
      <c r="J1268" s="29">
        <v>73</v>
      </c>
      <c r="K1268" s="29">
        <v>68</v>
      </c>
      <c r="L1268" s="29">
        <v>81</v>
      </c>
      <c r="M1268" s="29">
        <v>64</v>
      </c>
      <c r="N1268" s="29">
        <v>72</v>
      </c>
      <c r="O1268" s="32">
        <v>515</v>
      </c>
      <c r="P1268" s="29" cm="1">
        <f t="array" ref="P1268">IF(表成绩单[[#This Row],[语文]]="","",SUMPRODUCT((表成绩单[考试日期]=表成绩单[[#This Row],[考试日期]])*(表成绩单[语文]&lt;9E+307)*(表成绩单[语文]&gt;表成绩单[[#This Row],[语文]]))+1)</f>
        <v>537</v>
      </c>
      <c r="Q1268" s="29" cm="1">
        <f t="array" ref="Q1268">IF(表成绩单[[#This Row],[数学]]="","",SUMPRODUCT((表成绩单[考试日期]=表成绩单[[#This Row],[考试日期]])*(表成绩单[数学]&lt;9E+307)*(表成绩单[数学]&gt;表成绩单[[#This Row],[数学]]))+1)</f>
        <v>494</v>
      </c>
      <c r="R1268" s="29" cm="1">
        <f t="array" ref="R1268">IF(表成绩单[[#This Row],[英语]]="","",SUMPRODUCT((表成绩单[考试日期]=表成绩单[[#This Row],[考试日期]])*(表成绩单[英语]&lt;9E+307)*(表成绩单[英语]&gt;表成绩单[[#This Row],[英语]]))+1)</f>
        <v>363</v>
      </c>
      <c r="S1268" s="29" cm="1">
        <f t="array" ref="S1268">IF(表成绩单[[#This Row],[物理]]="","",SUMPRODUCT((表成绩单[考试日期]=表成绩单[[#This Row],[考试日期]])*(表成绩单[物理]&lt;9E+307)*(表成绩单[物理]&gt;表成绩单[[#This Row],[物理]]))+1)</f>
        <v>539</v>
      </c>
      <c r="T1268" s="29" cm="1">
        <f t="array" ref="T1268">IF(表成绩单[[#This Row],[化学]]="","",SUMPRODUCT((表成绩单[考试日期]=表成绩单[[#This Row],[考试日期]])*(表成绩单[化学]&lt;9E+307)*(表成绩单[化学]&gt;表成绩单[[#This Row],[化学]]))+1)</f>
        <v>308</v>
      </c>
      <c r="U1268" s="29" cm="1">
        <f t="array" ref="U1268">IF(表成绩单[[#This Row],[政治]]="","",SUMPRODUCT((表成绩单[考试日期]=表成绩单[[#This Row],[考试日期]])*(表成绩单[政治]&lt;9E+307)*(表成绩单[政治]&gt;表成绩单[[#This Row],[政治]]))+1)</f>
        <v>337</v>
      </c>
      <c r="V1268" s="29" cm="1">
        <f t="array" ref="V1268">IF(表成绩单[[#This Row],[历史]]="","",SUMPRODUCT((表成绩单[考试日期]=表成绩单[[#This Row],[考试日期]])*(表成绩单[历史]&lt;9E+307)*(表成绩单[历史]&gt;表成绩单[[#This Row],[历史]]))+1)</f>
        <v>439</v>
      </c>
      <c r="W1268" s="29" cm="1">
        <f t="array" ref="W1268">IF(表成绩单[[#This Row],[总分]]="","",SUMPRODUCT((表成绩单[考试日期]=表成绩单[[#This Row],[考试日期]])*(表成绩单[总分]&lt;9E+307)*(表成绩单[总分]&gt;表成绩单[[#This Row],[总分]]))+1)</f>
        <v>462</v>
      </c>
    </row>
    <row r="1269" ht="28" customHeight="1" spans="4:23">
      <c r="D1269" s="31">
        <v>46003</v>
      </c>
      <c r="E1269" s="29">
        <v>19175288</v>
      </c>
      <c r="F1269" s="29" t="s">
        <v>55</v>
      </c>
      <c r="G1269" s="29" t="s">
        <v>560</v>
      </c>
      <c r="H1269" s="29">
        <v>104</v>
      </c>
      <c r="I1269" s="29">
        <v>72</v>
      </c>
      <c r="J1269" s="29">
        <v>52</v>
      </c>
      <c r="K1269" s="29">
        <v>85</v>
      </c>
      <c r="L1269" s="29">
        <v>71</v>
      </c>
      <c r="M1269" s="29">
        <v>54</v>
      </c>
      <c r="N1269" s="29">
        <v>77</v>
      </c>
      <c r="O1269" s="32">
        <v>515</v>
      </c>
      <c r="P1269" s="29" cm="1">
        <f t="array" ref="P1269">IF(表成绩单[[#This Row],[语文]]="","",SUMPRODUCT((表成绩单[考试日期]=表成绩单[[#This Row],[考试日期]])*(表成绩单[语文]&lt;9E+307)*(表成绩单[语文]&gt;表成绩单[[#This Row],[语文]]))+1)</f>
        <v>290</v>
      </c>
      <c r="Q1269" s="29" cm="1">
        <f t="array" ref="Q1269">IF(表成绩单[[#This Row],[数学]]="","",SUMPRODUCT((表成绩单[考试日期]=表成绩单[[#This Row],[考试日期]])*(表成绩单[数学]&lt;9E+307)*(表成绩单[数学]&gt;表成绩单[[#This Row],[数学]]))+1)</f>
        <v>396</v>
      </c>
      <c r="R1269" s="29" cm="1">
        <f t="array" ref="R1269">IF(表成绩单[[#This Row],[英语]]="","",SUMPRODUCT((表成绩单[考试日期]=表成绩单[[#This Row],[考试日期]])*(表成绩单[英语]&lt;9E+307)*(表成绩单[英语]&gt;表成绩单[[#This Row],[英语]]))+1)</f>
        <v>589</v>
      </c>
      <c r="S1269" s="29" cm="1">
        <f t="array" ref="S1269">IF(表成绩单[[#This Row],[物理]]="","",SUMPRODUCT((表成绩单[考试日期]=表成绩单[[#This Row],[考试日期]])*(表成绩单[物理]&lt;9E+307)*(表成绩单[物理]&gt;表成绩单[[#This Row],[物理]]))+1)</f>
        <v>348</v>
      </c>
      <c r="T1269" s="29" cm="1">
        <f t="array" ref="T1269">IF(表成绩单[[#This Row],[化学]]="","",SUMPRODUCT((表成绩单[考试日期]=表成绩单[[#This Row],[考试日期]])*(表成绩单[化学]&lt;9E+307)*(表成绩单[化学]&gt;表成绩单[[#This Row],[化学]]))+1)</f>
        <v>487</v>
      </c>
      <c r="U1269" s="29" cm="1">
        <f t="array" ref="U1269">IF(表成绩单[[#This Row],[政治]]="","",SUMPRODUCT((表成绩单[考试日期]=表成绩单[[#This Row],[考试日期]])*(表成绩单[政治]&lt;9E+307)*(表成绩单[政治]&gt;表成绩单[[#This Row],[政治]]))+1)</f>
        <v>524</v>
      </c>
      <c r="V1269" s="29" cm="1">
        <f t="array" ref="V1269">IF(表成绩单[[#This Row],[历史]]="","",SUMPRODUCT((表成绩单[考试日期]=表成绩单[[#This Row],[考试日期]])*(表成绩单[历史]&lt;9E+307)*(表成绩单[历史]&gt;表成绩单[[#This Row],[历史]]))+1)</f>
        <v>235</v>
      </c>
      <c r="W1269" s="29" cm="1">
        <f t="array" ref="W1269">IF(表成绩单[[#This Row],[总分]]="","",SUMPRODUCT((表成绩单[考试日期]=表成绩单[[#This Row],[考试日期]])*(表成绩单[总分]&lt;9E+307)*(表成绩单[总分]&gt;表成绩单[[#This Row],[总分]]))+1)</f>
        <v>462</v>
      </c>
    </row>
    <row r="1270" ht="28" customHeight="1" spans="4:23">
      <c r="D1270" s="31">
        <v>46003</v>
      </c>
      <c r="E1270" s="29">
        <v>19176160</v>
      </c>
      <c r="F1270" s="29" t="s">
        <v>67</v>
      </c>
      <c r="G1270" s="29" t="s">
        <v>451</v>
      </c>
      <c r="H1270" s="29">
        <v>100</v>
      </c>
      <c r="I1270" s="29">
        <v>65</v>
      </c>
      <c r="J1270" s="29">
        <v>71.5</v>
      </c>
      <c r="K1270" s="29">
        <v>87</v>
      </c>
      <c r="L1270" s="29">
        <v>71</v>
      </c>
      <c r="M1270" s="29">
        <v>52</v>
      </c>
      <c r="N1270" s="29">
        <v>68</v>
      </c>
      <c r="O1270" s="32">
        <v>514.5</v>
      </c>
      <c r="P1270" s="29" cm="1">
        <f t="array" ref="P1270">IF(表成绩单[[#This Row],[语文]]="","",SUMPRODUCT((表成绩单[考试日期]=表成绩单[[#This Row],[考试日期]])*(表成绩单[语文]&lt;9E+307)*(表成绩单[语文]&gt;表成绩单[[#This Row],[语文]]))+1)</f>
        <v>414</v>
      </c>
      <c r="Q1270" s="29" cm="1">
        <f t="array" ref="Q1270">IF(表成绩单[[#This Row],[数学]]="","",SUMPRODUCT((表成绩单[考试日期]=表成绩单[[#This Row],[考试日期]])*(表成绩单[数学]&lt;9E+307)*(表成绩单[数学]&gt;表成绩单[[#This Row],[数学]]))+1)</f>
        <v>479</v>
      </c>
      <c r="R1270" s="29" cm="1">
        <f t="array" ref="R1270">IF(表成绩单[[#This Row],[英语]]="","",SUMPRODUCT((表成绩单[考试日期]=表成绩单[[#This Row],[考试日期]])*(表成绩单[英语]&lt;9E+307)*(表成绩单[英语]&gt;表成绩单[[#This Row],[英语]]))+1)</f>
        <v>396</v>
      </c>
      <c r="S1270" s="29" cm="1">
        <f t="array" ref="S1270">IF(表成绩单[[#This Row],[物理]]="","",SUMPRODUCT((表成绩单[考试日期]=表成绩单[[#This Row],[考试日期]])*(表成绩单[物理]&lt;9E+307)*(表成绩单[物理]&gt;表成绩单[[#This Row],[物理]]))+1)</f>
        <v>306</v>
      </c>
      <c r="T1270" s="29" cm="1">
        <f t="array" ref="T1270">IF(表成绩单[[#This Row],[化学]]="","",SUMPRODUCT((表成绩单[考试日期]=表成绩单[[#This Row],[考试日期]])*(表成绩单[化学]&lt;9E+307)*(表成绩单[化学]&gt;表成绩单[[#This Row],[化学]]))+1)</f>
        <v>487</v>
      </c>
      <c r="U1270" s="29" cm="1">
        <f t="array" ref="U1270">IF(表成绩单[[#This Row],[政治]]="","",SUMPRODUCT((表成绩单[考试日期]=表成绩单[[#This Row],[考试日期]])*(表成绩单[政治]&lt;9E+307)*(表成绩单[政治]&gt;表成绩单[[#This Row],[政治]]))+1)</f>
        <v>560</v>
      </c>
      <c r="V1270" s="29" cm="1">
        <f t="array" ref="V1270">IF(表成绩单[[#This Row],[历史]]="","",SUMPRODUCT((表成绩单[考试日期]=表成绩单[[#This Row],[考试日期]])*(表成绩单[历史]&lt;9E+307)*(表成绩单[历史]&gt;表成绩单[[#This Row],[历史]]))+1)</f>
        <v>536</v>
      </c>
      <c r="W1270" s="29" cm="1">
        <f t="array" ref="W1270">IF(表成绩单[[#This Row],[总分]]="","",SUMPRODUCT((表成绩单[考试日期]=表成绩单[[#This Row],[考试日期]])*(表成绩单[总分]&lt;9E+307)*(表成绩单[总分]&gt;表成绩单[[#This Row],[总分]]))+1)</f>
        <v>465</v>
      </c>
    </row>
    <row r="1271" ht="28" customHeight="1" spans="4:23">
      <c r="D1271" s="31">
        <v>46003</v>
      </c>
      <c r="E1271" s="29">
        <v>19173788</v>
      </c>
      <c r="F1271" s="29" t="s">
        <v>65</v>
      </c>
      <c r="G1271" s="29" t="s">
        <v>601</v>
      </c>
      <c r="H1271" s="29">
        <v>91</v>
      </c>
      <c r="I1271" s="29">
        <v>76</v>
      </c>
      <c r="J1271" s="29">
        <v>71</v>
      </c>
      <c r="K1271" s="29">
        <v>83</v>
      </c>
      <c r="L1271" s="29">
        <v>73</v>
      </c>
      <c r="M1271" s="29">
        <v>63</v>
      </c>
      <c r="N1271" s="29">
        <v>57</v>
      </c>
      <c r="O1271" s="32">
        <v>514</v>
      </c>
      <c r="P1271" s="29" cm="1">
        <f t="array" ref="P1271">IF(表成绩单[[#This Row],[语文]]="","",SUMPRODUCT((表成绩单[考试日期]=表成绩单[[#This Row],[考试日期]])*(表成绩单[语文]&lt;9E+307)*(表成绩单[语文]&gt;表成绩单[[#This Row],[语文]]))+1)</f>
        <v>580</v>
      </c>
      <c r="Q1271" s="29" cm="1">
        <f t="array" ref="Q1271">IF(表成绩单[[#This Row],[数学]]="","",SUMPRODUCT((表成绩单[考试日期]=表成绩单[[#This Row],[考试日期]])*(表成绩单[数学]&lt;9E+307)*(表成绩单[数学]&gt;表成绩单[[#This Row],[数学]]))+1)</f>
        <v>356</v>
      </c>
      <c r="R1271" s="29" cm="1">
        <f t="array" ref="R1271">IF(表成绩单[[#This Row],[英语]]="","",SUMPRODUCT((表成绩单[考试日期]=表成绩单[[#This Row],[考试日期]])*(表成绩单[英语]&lt;9E+307)*(表成绩单[英语]&gt;表成绩单[[#This Row],[英语]]))+1)</f>
        <v>404</v>
      </c>
      <c r="S1271" s="29" cm="1">
        <f t="array" ref="S1271">IF(表成绩单[[#This Row],[物理]]="","",SUMPRODUCT((表成绩单[考试日期]=表成绩单[[#This Row],[考试日期]])*(表成绩单[物理]&lt;9E+307)*(表成绩单[物理]&gt;表成绩单[[#This Row],[物理]]))+1)</f>
        <v>376</v>
      </c>
      <c r="T1271" s="29" cm="1">
        <f t="array" ref="T1271">IF(表成绩单[[#This Row],[化学]]="","",SUMPRODUCT((表成绩单[考试日期]=表成绩单[[#This Row],[考试日期]])*(表成绩单[化学]&lt;9E+307)*(表成绩单[化学]&gt;表成绩单[[#This Row],[化学]]))+1)</f>
        <v>457</v>
      </c>
      <c r="U1271" s="29" cm="1">
        <f t="array" ref="U1271">IF(表成绩单[[#This Row],[政治]]="","",SUMPRODUCT((表成绩单[考试日期]=表成绩单[[#This Row],[考试日期]])*(表成绩单[政治]&lt;9E+307)*(表成绩单[政治]&gt;表成绩单[[#This Row],[政治]]))+1)</f>
        <v>360</v>
      </c>
      <c r="V1271" s="29" cm="1">
        <f t="array" ref="V1271">IF(表成绩单[[#This Row],[历史]]="","",SUMPRODUCT((表成绩单[考试日期]=表成绩单[[#This Row],[考试日期]])*(表成绩单[历史]&lt;9E+307)*(表成绩单[历史]&gt;表成绩单[[#This Row],[历史]]))+1)</f>
        <v>658</v>
      </c>
      <c r="W1271" s="29" cm="1">
        <f t="array" ref="W1271">IF(表成绩单[[#This Row],[总分]]="","",SUMPRODUCT((表成绩单[考试日期]=表成绩单[[#This Row],[考试日期]])*(表成绩单[总分]&lt;9E+307)*(表成绩单[总分]&gt;表成绩单[[#This Row],[总分]]))+1)</f>
        <v>466</v>
      </c>
    </row>
    <row r="1272" ht="28" customHeight="1" spans="4:23">
      <c r="D1272" s="31">
        <v>46003</v>
      </c>
      <c r="E1272" s="29">
        <v>19177632</v>
      </c>
      <c r="F1272" s="29" t="s">
        <v>63</v>
      </c>
      <c r="G1272" s="29" t="s">
        <v>418</v>
      </c>
      <c r="H1272" s="29">
        <v>89</v>
      </c>
      <c r="I1272" s="29">
        <v>61</v>
      </c>
      <c r="J1272" s="29">
        <v>75.5</v>
      </c>
      <c r="K1272" s="29">
        <v>76</v>
      </c>
      <c r="L1272" s="29">
        <v>70</v>
      </c>
      <c r="M1272" s="29">
        <v>68</v>
      </c>
      <c r="N1272" s="29">
        <v>74</v>
      </c>
      <c r="O1272" s="32">
        <v>513.5</v>
      </c>
      <c r="P1272" s="29" cm="1">
        <f t="array" ref="P1272">IF(表成绩单[[#This Row],[语文]]="","",SUMPRODUCT((表成绩单[考试日期]=表成绩单[[#This Row],[考试日期]])*(表成绩单[语文]&lt;9E+307)*(表成绩单[语文]&gt;表成绩单[[#This Row],[语文]]))+1)</f>
        <v>598</v>
      </c>
      <c r="Q1272" s="29" cm="1">
        <f t="array" ref="Q1272">IF(表成绩单[[#This Row],[数学]]="","",SUMPRODUCT((表成绩单[考试日期]=表成绩单[[#This Row],[考试日期]])*(表成绩单[数学]&lt;9E+307)*(表成绩单[数学]&gt;表成绩单[[#This Row],[数学]]))+1)</f>
        <v>504</v>
      </c>
      <c r="R1272" s="29" cm="1">
        <f t="array" ref="R1272">IF(表成绩单[[#This Row],[英语]]="","",SUMPRODUCT((表成绩单[考试日期]=表成绩单[[#This Row],[考试日期]])*(表成绩单[英语]&lt;9E+307)*(表成绩单[英语]&gt;表成绩单[[#This Row],[英语]]))+1)</f>
        <v>299</v>
      </c>
      <c r="S1272" s="29" cm="1">
        <f t="array" ref="S1272">IF(表成绩单[[#This Row],[物理]]="","",SUMPRODUCT((表成绩单[考试日期]=表成绩单[[#This Row],[考试日期]])*(表成绩单[物理]&lt;9E+307)*(表成绩单[物理]&gt;表成绩单[[#This Row],[物理]]))+1)</f>
        <v>463</v>
      </c>
      <c r="T1272" s="29" cm="1">
        <f t="array" ref="T1272">IF(表成绩单[[#This Row],[化学]]="","",SUMPRODUCT((表成绩单[考试日期]=表成绩单[[#This Row],[考试日期]])*(表成绩单[化学]&lt;9E+307)*(表成绩单[化学]&gt;表成绩单[[#This Row],[化学]]))+1)</f>
        <v>498</v>
      </c>
      <c r="U1272" s="29" cm="1">
        <f t="array" ref="U1272">IF(表成绩单[[#This Row],[政治]]="","",SUMPRODUCT((表成绩单[考试日期]=表成绩单[[#This Row],[考试日期]])*(表成绩单[政治]&lt;9E+307)*(表成绩单[政治]&gt;表成绩单[[#This Row],[政治]]))+1)</f>
        <v>237</v>
      </c>
      <c r="V1272" s="29" cm="1">
        <f t="array" ref="V1272">IF(表成绩单[[#This Row],[历史]]="","",SUMPRODUCT((表成绩单[考试日期]=表成绩单[[#This Row],[考试日期]])*(表成绩单[历史]&lt;9E+307)*(表成绩单[历史]&gt;表成绩单[[#This Row],[历史]]))+1)</f>
        <v>371</v>
      </c>
      <c r="W1272" s="29" cm="1">
        <f t="array" ref="W1272">IF(表成绩单[[#This Row],[总分]]="","",SUMPRODUCT((表成绩单[考试日期]=表成绩单[[#This Row],[考试日期]])*(表成绩单[总分]&lt;9E+307)*(表成绩单[总分]&gt;表成绩单[[#This Row],[总分]]))+1)</f>
        <v>467</v>
      </c>
    </row>
    <row r="1273" ht="28" customHeight="1" spans="4:23">
      <c r="D1273" s="31">
        <v>46003</v>
      </c>
      <c r="E1273" s="29">
        <v>19173276</v>
      </c>
      <c r="F1273" s="29" t="s">
        <v>61</v>
      </c>
      <c r="G1273" s="29" t="s">
        <v>620</v>
      </c>
      <c r="H1273" s="29">
        <v>103</v>
      </c>
      <c r="I1273" s="29">
        <v>80</v>
      </c>
      <c r="J1273" s="29">
        <v>58</v>
      </c>
      <c r="K1273" s="29">
        <v>74</v>
      </c>
      <c r="L1273" s="29">
        <v>58</v>
      </c>
      <c r="M1273" s="29">
        <v>75</v>
      </c>
      <c r="N1273" s="29">
        <v>65</v>
      </c>
      <c r="O1273" s="32">
        <v>513</v>
      </c>
      <c r="P1273" s="29" cm="1">
        <f t="array" ref="P1273">IF(表成绩单[[#This Row],[语文]]="","",SUMPRODUCT((表成绩单[考试日期]=表成绩单[[#This Row],[考试日期]])*(表成绩单[语文]&lt;9E+307)*(表成绩单[语文]&gt;表成绩单[[#This Row],[语文]]))+1)</f>
        <v>333</v>
      </c>
      <c r="Q1273" s="29" cm="1">
        <f t="array" ref="Q1273">IF(表成绩单[[#This Row],[数学]]="","",SUMPRODUCT((表成绩单[考试日期]=表成绩单[[#This Row],[考试日期]])*(表成绩单[数学]&lt;9E+307)*(表成绩单[数学]&gt;表成绩单[[#This Row],[数学]]))+1)</f>
        <v>310</v>
      </c>
      <c r="R1273" s="29" cm="1">
        <f t="array" ref="R1273">IF(表成绩单[[#This Row],[英语]]="","",SUMPRODUCT((表成绩单[考试日期]=表成绩单[[#This Row],[考试日期]])*(表成绩单[英语]&lt;9E+307)*(表成绩单[英语]&gt;表成绩单[[#This Row],[英语]]))+1)</f>
        <v>545</v>
      </c>
      <c r="S1273" s="29" cm="1">
        <f t="array" ref="S1273">IF(表成绩单[[#This Row],[物理]]="","",SUMPRODUCT((表成绩单[考试日期]=表成绩单[[#This Row],[考试日期]])*(表成绩单[物理]&lt;9E+307)*(表成绩单[物理]&gt;表成绩单[[#This Row],[物理]]))+1)</f>
        <v>481</v>
      </c>
      <c r="T1273" s="29" cm="1">
        <f t="array" ref="T1273">IF(表成绩单[[#This Row],[化学]]="","",SUMPRODUCT((表成绩单[考试日期]=表成绩单[[#This Row],[考试日期]])*(表成绩单[化学]&lt;9E+307)*(表成绩单[化学]&gt;表成绩单[[#This Row],[化学]]))+1)</f>
        <v>597</v>
      </c>
      <c r="U1273" s="29" cm="1">
        <f t="array" ref="U1273">IF(表成绩单[[#This Row],[政治]]="","",SUMPRODUCT((表成绩单[考试日期]=表成绩单[[#This Row],[考试日期]])*(表成绩单[政治]&lt;9E+307)*(表成绩单[政治]&gt;表成绩单[[#This Row],[政治]]))+1)</f>
        <v>102</v>
      </c>
      <c r="V1273" s="29" cm="1">
        <f t="array" ref="V1273">IF(表成绩单[[#This Row],[历史]]="","",SUMPRODUCT((表成绩单[考试日期]=表成绩单[[#This Row],[考试日期]])*(表成绩单[历史]&lt;9E+307)*(表成绩单[历史]&gt;表成绩单[[#This Row],[历史]]))+1)</f>
        <v>582</v>
      </c>
      <c r="W1273" s="29" cm="1">
        <f t="array" ref="W1273">IF(表成绩单[[#This Row],[总分]]="","",SUMPRODUCT((表成绩单[考试日期]=表成绩单[[#This Row],[考试日期]])*(表成绩单[总分]&lt;9E+307)*(表成绩单[总分]&gt;表成绩单[[#This Row],[总分]]))+1)</f>
        <v>468</v>
      </c>
    </row>
    <row r="1274" ht="28" customHeight="1" spans="4:23">
      <c r="D1274" s="31">
        <v>46003</v>
      </c>
      <c r="E1274" s="29">
        <v>19175982</v>
      </c>
      <c r="F1274" s="29" t="s">
        <v>59</v>
      </c>
      <c r="G1274" s="29" t="s">
        <v>640</v>
      </c>
      <c r="H1274" s="29">
        <v>93</v>
      </c>
      <c r="I1274" s="29">
        <v>61</v>
      </c>
      <c r="J1274" s="29">
        <v>74</v>
      </c>
      <c r="K1274" s="29">
        <v>71</v>
      </c>
      <c r="L1274" s="29">
        <v>80</v>
      </c>
      <c r="M1274" s="29">
        <v>63</v>
      </c>
      <c r="N1274" s="29">
        <v>71</v>
      </c>
      <c r="O1274" s="32">
        <v>513</v>
      </c>
      <c r="P1274" s="29" cm="1">
        <f t="array" ref="P1274">IF(表成绩单[[#This Row],[语文]]="","",SUMPRODUCT((表成绩单[考试日期]=表成绩单[[#This Row],[考试日期]])*(表成绩单[语文]&lt;9E+307)*(表成绩单[语文]&gt;表成绩单[[#This Row],[语文]]))+1)</f>
        <v>555</v>
      </c>
      <c r="Q1274" s="29" cm="1">
        <f t="array" ref="Q1274">IF(表成绩单[[#This Row],[数学]]="","",SUMPRODUCT((表成绩单[考试日期]=表成绩单[[#This Row],[考试日期]])*(表成绩单[数学]&lt;9E+307)*(表成绩单[数学]&gt;表成绩单[[#This Row],[数学]]))+1)</f>
        <v>504</v>
      </c>
      <c r="R1274" s="29" cm="1">
        <f t="array" ref="R1274">IF(表成绩单[[#This Row],[英语]]="","",SUMPRODUCT((表成绩单[考试日期]=表成绩单[[#This Row],[考试日期]])*(表成绩单[英语]&lt;9E+307)*(表成绩单[英语]&gt;表成绩单[[#This Row],[英语]]))+1)</f>
        <v>344</v>
      </c>
      <c r="S1274" s="29" cm="1">
        <f t="array" ref="S1274">IF(表成绩单[[#This Row],[物理]]="","",SUMPRODUCT((表成绩单[考试日期]=表成绩单[[#This Row],[考试日期]])*(表成绩单[物理]&lt;9E+307)*(表成绩单[物理]&gt;表成绩单[[#This Row],[物理]]))+1)</f>
        <v>507</v>
      </c>
      <c r="T1274" s="29" cm="1">
        <f t="array" ref="T1274">IF(表成绩单[[#This Row],[化学]]="","",SUMPRODUCT((表成绩单[考试日期]=表成绩单[[#This Row],[考试日期]])*(表成绩单[化学]&lt;9E+307)*(表成绩单[化学]&gt;表成绩单[[#This Row],[化学]]))+1)</f>
        <v>327</v>
      </c>
      <c r="U1274" s="29" cm="1">
        <f t="array" ref="U1274">IF(表成绩单[[#This Row],[政治]]="","",SUMPRODUCT((表成绩单[考试日期]=表成绩单[[#This Row],[考试日期]])*(表成绩单[政治]&lt;9E+307)*(表成绩单[政治]&gt;表成绩单[[#This Row],[政治]]))+1)</f>
        <v>360</v>
      </c>
      <c r="V1274" s="29" cm="1">
        <f t="array" ref="V1274">IF(表成绩单[[#This Row],[历史]]="","",SUMPRODUCT((表成绩单[考试日期]=表成绩单[[#This Row],[考试日期]])*(表成绩单[历史]&lt;9E+307)*(表成绩单[历史]&gt;表成绩单[[#This Row],[历史]]))+1)</f>
        <v>471</v>
      </c>
      <c r="W1274" s="29" cm="1">
        <f t="array" ref="W1274">IF(表成绩单[[#This Row],[总分]]="","",SUMPRODUCT((表成绩单[考试日期]=表成绩单[[#This Row],[考试日期]])*(表成绩单[总分]&lt;9E+307)*(表成绩单[总分]&gt;表成绩单[[#This Row],[总分]]))+1)</f>
        <v>468</v>
      </c>
    </row>
    <row r="1275" ht="28" customHeight="1" spans="4:23">
      <c r="D1275" s="31">
        <v>46003</v>
      </c>
      <c r="E1275" s="29">
        <v>19174456</v>
      </c>
      <c r="F1275" s="29" t="s">
        <v>73</v>
      </c>
      <c r="G1275" s="29" t="s">
        <v>591</v>
      </c>
      <c r="H1275" s="29">
        <v>102</v>
      </c>
      <c r="I1275" s="29">
        <v>55</v>
      </c>
      <c r="J1275" s="29">
        <v>82.5</v>
      </c>
      <c r="K1275" s="29">
        <v>81</v>
      </c>
      <c r="L1275" s="29">
        <v>79</v>
      </c>
      <c r="M1275" s="29">
        <v>48</v>
      </c>
      <c r="N1275" s="29">
        <v>65</v>
      </c>
      <c r="O1275" s="32">
        <v>512.5</v>
      </c>
      <c r="P1275" s="29" cm="1">
        <f t="array" ref="P1275">IF(表成绩单[[#This Row],[语文]]="","",SUMPRODUCT((表成绩单[考试日期]=表成绩单[[#This Row],[考试日期]])*(表成绩单[语文]&lt;9E+307)*(表成绩单[语文]&gt;表成绩单[[#This Row],[语文]]))+1)</f>
        <v>366</v>
      </c>
      <c r="Q1275" s="29" cm="1">
        <f t="array" ref="Q1275">IF(表成绩单[[#This Row],[数学]]="","",SUMPRODUCT((表成绩单[考试日期]=表成绩单[[#This Row],[考试日期]])*(表成绩单[数学]&lt;9E+307)*(表成绩单[数学]&gt;表成绩单[[#This Row],[数学]]))+1)</f>
        <v>558</v>
      </c>
      <c r="R1275" s="29" cm="1">
        <f t="array" ref="R1275">IF(表成绩单[[#This Row],[英语]]="","",SUMPRODUCT((表成绩单[考试日期]=表成绩单[[#This Row],[考试日期]])*(表成绩单[英语]&lt;9E+307)*(表成绩单[英语]&gt;表成绩单[[#This Row],[英语]]))+1)</f>
        <v>85</v>
      </c>
      <c r="S1275" s="29" cm="1">
        <f t="array" ref="S1275">IF(表成绩单[[#This Row],[物理]]="","",SUMPRODUCT((表成绩单[考试日期]=表成绩单[[#This Row],[考试日期]])*(表成绩单[物理]&lt;9E+307)*(表成绩单[物理]&gt;表成绩单[[#This Row],[物理]]))+1)</f>
        <v>405</v>
      </c>
      <c r="T1275" s="29" cm="1">
        <f t="array" ref="T1275">IF(表成绩单[[#This Row],[化学]]="","",SUMPRODUCT((表成绩单[考试日期]=表成绩单[[#This Row],[考试日期]])*(表成绩单[化学]&lt;9E+307)*(表成绩单[化学]&gt;表成绩单[[#This Row],[化学]]))+1)</f>
        <v>351</v>
      </c>
      <c r="U1275" s="29" cm="1">
        <f t="array" ref="U1275">IF(表成绩单[[#This Row],[政治]]="","",SUMPRODUCT((表成绩单[考试日期]=表成绩单[[#This Row],[考试日期]])*(表成绩单[政治]&lt;9E+307)*(表成绩单[政治]&gt;表成绩单[[#This Row],[政治]]))+1)</f>
        <v>612</v>
      </c>
      <c r="V1275" s="29" cm="1">
        <f t="array" ref="V1275">IF(表成绩单[[#This Row],[历史]]="","",SUMPRODUCT((表成绩单[考试日期]=表成绩单[[#This Row],[考试日期]])*(表成绩单[历史]&lt;9E+307)*(表成绩单[历史]&gt;表成绩单[[#This Row],[历史]]))+1)</f>
        <v>582</v>
      </c>
      <c r="W1275" s="29" cm="1">
        <f t="array" ref="W1275">IF(表成绩单[[#This Row],[总分]]="","",SUMPRODUCT((表成绩单[考试日期]=表成绩单[[#This Row],[考试日期]])*(表成绩单[总分]&lt;9E+307)*(表成绩单[总分]&gt;表成绩单[[#This Row],[总分]]))+1)</f>
        <v>470</v>
      </c>
    </row>
    <row r="1276" ht="28" customHeight="1" spans="4:23">
      <c r="D1276" s="31">
        <v>46003</v>
      </c>
      <c r="E1276" s="29">
        <v>19173253</v>
      </c>
      <c r="F1276" s="29" t="s">
        <v>61</v>
      </c>
      <c r="G1276" s="29" t="s">
        <v>600</v>
      </c>
      <c r="H1276" s="29">
        <v>89</v>
      </c>
      <c r="I1276" s="29">
        <v>82</v>
      </c>
      <c r="J1276" s="29">
        <v>50.5</v>
      </c>
      <c r="K1276" s="29">
        <v>92</v>
      </c>
      <c r="L1276" s="29">
        <v>76</v>
      </c>
      <c r="M1276" s="29">
        <v>62</v>
      </c>
      <c r="N1276" s="29">
        <v>60</v>
      </c>
      <c r="O1276" s="32">
        <v>511.5</v>
      </c>
      <c r="P1276" s="29" cm="1">
        <f t="array" ref="P1276">IF(表成绩单[[#This Row],[语文]]="","",SUMPRODUCT((表成绩单[考试日期]=表成绩单[[#This Row],[考试日期]])*(表成绩单[语文]&lt;9E+307)*(表成绩单[语文]&gt;表成绩单[[#This Row],[语文]]))+1)</f>
        <v>598</v>
      </c>
      <c r="Q1276" s="29" cm="1">
        <f t="array" ref="Q1276">IF(表成绩单[[#This Row],[数学]]="","",SUMPRODUCT((表成绩单[考试日期]=表成绩单[[#This Row],[考试日期]])*(表成绩单[数学]&lt;9E+307)*(表成绩单[数学]&gt;表成绩单[[#This Row],[数学]]))+1)</f>
        <v>290</v>
      </c>
      <c r="R1276" s="29" cm="1">
        <f t="array" ref="R1276">IF(表成绩单[[#This Row],[英语]]="","",SUMPRODUCT((表成绩单[考试日期]=表成绩单[[#This Row],[考试日期]])*(表成绩单[英语]&lt;9E+307)*(表成绩单[英语]&gt;表成绩单[[#This Row],[英语]]))+1)</f>
        <v>601</v>
      </c>
      <c r="S1276" s="29" cm="1">
        <f t="array" ref="S1276">IF(表成绩单[[#This Row],[物理]]="","",SUMPRODUCT((表成绩单[考试日期]=表成绩单[[#This Row],[考试日期]])*(表成绩单[物理]&lt;9E+307)*(表成绩单[物理]&gt;表成绩单[[#This Row],[物理]]))+1)</f>
        <v>191</v>
      </c>
      <c r="T1276" s="29" cm="1">
        <f t="array" ref="T1276">IF(表成绩单[[#This Row],[化学]]="","",SUMPRODUCT((表成绩单[考试日期]=表成绩单[[#This Row],[考试日期]])*(表成绩单[化学]&lt;9E+307)*(表成绩单[化学]&gt;表成绩单[[#This Row],[化学]]))+1)</f>
        <v>402</v>
      </c>
      <c r="U1276" s="29" cm="1">
        <f t="array" ref="U1276">IF(表成绩单[[#This Row],[政治]]="","",SUMPRODUCT((表成绩单[考试日期]=表成绩单[[#This Row],[考试日期]])*(表成绩单[政治]&lt;9E+307)*(表成绩单[政治]&gt;表成绩单[[#This Row],[政治]]))+1)</f>
        <v>381</v>
      </c>
      <c r="V1276" s="29" cm="1">
        <f t="array" ref="V1276">IF(表成绩单[[#This Row],[历史]]="","",SUMPRODUCT((表成绩单[考试日期]=表成绩单[[#This Row],[考试日期]])*(表成绩单[历史]&lt;9E+307)*(表成绩单[历史]&gt;表成绩单[[#This Row],[历史]]))+1)</f>
        <v>633</v>
      </c>
      <c r="W1276" s="29" cm="1">
        <f t="array" ref="W1276">IF(表成绩单[[#This Row],[总分]]="","",SUMPRODUCT((表成绩单[考试日期]=表成绩单[[#This Row],[考试日期]])*(表成绩单[总分]&lt;9E+307)*(表成绩单[总分]&gt;表成绩单[[#This Row],[总分]]))+1)</f>
        <v>471</v>
      </c>
    </row>
    <row r="1277" ht="28" customHeight="1" spans="4:23">
      <c r="D1277" s="31">
        <v>46003</v>
      </c>
      <c r="E1277" s="29">
        <v>19174776</v>
      </c>
      <c r="F1277" s="29" t="s">
        <v>69</v>
      </c>
      <c r="G1277" s="29" t="s">
        <v>586</v>
      </c>
      <c r="H1277" s="29">
        <v>105</v>
      </c>
      <c r="I1277" s="29">
        <v>83</v>
      </c>
      <c r="J1277" s="29">
        <v>44</v>
      </c>
      <c r="K1277" s="29">
        <v>88</v>
      </c>
      <c r="L1277" s="29">
        <v>74</v>
      </c>
      <c r="M1277" s="29">
        <v>54</v>
      </c>
      <c r="N1277" s="29">
        <v>62</v>
      </c>
      <c r="O1277" s="32">
        <v>510</v>
      </c>
      <c r="P1277" s="29" cm="1">
        <f t="array" ref="P1277">IF(表成绩单[[#This Row],[语文]]="","",SUMPRODUCT((表成绩单[考试日期]=表成绩单[[#This Row],[考试日期]])*(表成绩单[语文]&lt;9E+307)*(表成绩单[语文]&gt;表成绩单[[#This Row],[语文]]))+1)</f>
        <v>247</v>
      </c>
      <c r="Q1277" s="29" cm="1">
        <f t="array" ref="Q1277">IF(表成绩单[[#This Row],[数学]]="","",SUMPRODUCT((表成绩单[考试日期]=表成绩单[[#This Row],[考试日期]])*(表成绩单[数学]&lt;9E+307)*(表成绩单[数学]&gt;表成绩单[[#This Row],[数学]]))+1)</f>
        <v>272</v>
      </c>
      <c r="R1277" s="29" cm="1">
        <f t="array" ref="R1277">IF(表成绩单[[#This Row],[英语]]="","",SUMPRODUCT((表成绩单[考试日期]=表成绩单[[#This Row],[考试日期]])*(表成绩单[英语]&lt;9E+307)*(表成绩单[英语]&gt;表成绩单[[#This Row],[英语]]))+1)</f>
        <v>632</v>
      </c>
      <c r="S1277" s="29" cm="1">
        <f t="array" ref="S1277">IF(表成绩单[[#This Row],[物理]]="","",SUMPRODUCT((表成绩单[考试日期]=表成绩单[[#This Row],[考试日期]])*(表成绩单[物理]&lt;9E+307)*(表成绩单[物理]&gt;表成绩单[[#This Row],[物理]]))+1)</f>
        <v>291</v>
      </c>
      <c r="T1277" s="29" cm="1">
        <f t="array" ref="T1277">IF(表成绩单[[#This Row],[化学]]="","",SUMPRODUCT((表成绩单[考试日期]=表成绩单[[#This Row],[考试日期]])*(表成绩单[化学]&lt;9E+307)*(表成绩单[化学]&gt;表成绩单[[#This Row],[化学]]))+1)</f>
        <v>440</v>
      </c>
      <c r="U1277" s="29" cm="1">
        <f t="array" ref="U1277">IF(表成绩单[[#This Row],[政治]]="","",SUMPRODUCT((表成绩单[考试日期]=表成绩单[[#This Row],[考试日期]])*(表成绩单[政治]&lt;9E+307)*(表成绩单[政治]&gt;表成绩单[[#This Row],[政治]]))+1)</f>
        <v>524</v>
      </c>
      <c r="V1277" s="29" cm="1">
        <f t="array" ref="V1277">IF(表成绩单[[#This Row],[历史]]="","",SUMPRODUCT((表成绩单[考试日期]=表成绩单[[#This Row],[考试日期]])*(表成绩单[历史]&lt;9E+307)*(表成绩单[历史]&gt;表成绩单[[#This Row],[历史]]))+1)</f>
        <v>618</v>
      </c>
      <c r="W1277" s="29" cm="1">
        <f t="array" ref="W1277">IF(表成绩单[[#This Row],[总分]]="","",SUMPRODUCT((表成绩单[考试日期]=表成绩单[[#This Row],[考试日期]])*(表成绩单[总分]&lt;9E+307)*(表成绩单[总分]&gt;表成绩单[[#This Row],[总分]]))+1)</f>
        <v>472</v>
      </c>
    </row>
    <row r="1278" ht="28" customHeight="1" spans="4:23">
      <c r="D1278" s="31">
        <v>46003</v>
      </c>
      <c r="E1278" s="29">
        <v>19178591</v>
      </c>
      <c r="F1278" s="29" t="s">
        <v>64</v>
      </c>
      <c r="G1278" s="29" t="s">
        <v>613</v>
      </c>
      <c r="H1278" s="29">
        <v>109</v>
      </c>
      <c r="I1278" s="29">
        <v>66</v>
      </c>
      <c r="J1278" s="29">
        <v>46.5</v>
      </c>
      <c r="K1278" s="29">
        <v>85</v>
      </c>
      <c r="L1278" s="29">
        <v>72</v>
      </c>
      <c r="M1278" s="29">
        <v>57</v>
      </c>
      <c r="N1278" s="29">
        <v>73</v>
      </c>
      <c r="O1278" s="32">
        <v>508.5</v>
      </c>
      <c r="P1278" s="29" cm="1">
        <f t="array" ref="P1278">IF(表成绩单[[#This Row],[语文]]="","",SUMPRODUCT((表成绩单[考试日期]=表成绩单[[#This Row],[考试日期]])*(表成绩单[语文]&lt;9E+307)*(表成绩单[语文]&gt;表成绩单[[#This Row],[语文]]))+1)</f>
        <v>111</v>
      </c>
      <c r="Q1278" s="29" cm="1">
        <f t="array" ref="Q1278">IF(表成绩单[[#This Row],[数学]]="","",SUMPRODUCT((表成绩单[考试日期]=表成绩单[[#This Row],[考试日期]])*(表成绩单[数学]&lt;9E+307)*(表成绩单[数学]&gt;表成绩单[[#This Row],[数学]]))+1)</f>
        <v>467</v>
      </c>
      <c r="R1278" s="29" cm="1">
        <f t="array" ref="R1278">IF(表成绩单[[#This Row],[英语]]="","",SUMPRODUCT((表成绩单[考试日期]=表成绩单[[#This Row],[考试日期]])*(表成绩单[英语]&lt;9E+307)*(表成绩单[英语]&gt;表成绩单[[#This Row],[英语]]))+1)</f>
        <v>623</v>
      </c>
      <c r="S1278" s="29" cm="1">
        <f t="array" ref="S1278">IF(表成绩单[[#This Row],[物理]]="","",SUMPRODUCT((表成绩单[考试日期]=表成绩单[[#This Row],[考试日期]])*(表成绩单[物理]&lt;9E+307)*(表成绩单[物理]&gt;表成绩单[[#This Row],[物理]]))+1)</f>
        <v>348</v>
      </c>
      <c r="T1278" s="29" cm="1">
        <f t="array" ref="T1278">IF(表成绩单[[#This Row],[化学]]="","",SUMPRODUCT((表成绩单[考试日期]=表成绩单[[#This Row],[考试日期]])*(表成绩单[化学]&lt;9E+307)*(表成绩单[化学]&gt;表成绩单[[#This Row],[化学]]))+1)</f>
        <v>472</v>
      </c>
      <c r="U1278" s="29" cm="1">
        <f t="array" ref="U1278">IF(表成绩单[[#This Row],[政治]]="","",SUMPRODUCT((表成绩单[考试日期]=表成绩单[[#This Row],[考试日期]])*(表成绩单[政治]&lt;9E+307)*(表成绩单[政治]&gt;表成绩单[[#This Row],[政治]]))+1)</f>
        <v>474</v>
      </c>
      <c r="V1278" s="29" cm="1">
        <f t="array" ref="V1278">IF(表成绩单[[#This Row],[历史]]="","",SUMPRODUCT((表成绩单[考试日期]=表成绩单[[#This Row],[考试日期]])*(表成绩单[历史]&lt;9E+307)*(表成绩单[历史]&gt;表成绩单[[#This Row],[历史]]))+1)</f>
        <v>403</v>
      </c>
      <c r="W1278" s="29" cm="1">
        <f t="array" ref="W1278">IF(表成绩单[[#This Row],[总分]]="","",SUMPRODUCT((表成绩单[考试日期]=表成绩单[[#This Row],[考试日期]])*(表成绩单[总分]&lt;9E+307)*(表成绩单[总分]&gt;表成绩单[[#This Row],[总分]]))+1)</f>
        <v>473</v>
      </c>
    </row>
    <row r="1279" ht="28" customHeight="1" spans="4:23">
      <c r="D1279" s="31">
        <v>46003</v>
      </c>
      <c r="E1279" s="29">
        <v>19175689</v>
      </c>
      <c r="F1279" s="29" t="s">
        <v>72</v>
      </c>
      <c r="G1279" s="29" t="s">
        <v>548</v>
      </c>
      <c r="H1279" s="29">
        <v>107</v>
      </c>
      <c r="I1279" s="29">
        <v>49</v>
      </c>
      <c r="J1279" s="29">
        <v>78</v>
      </c>
      <c r="K1279" s="29">
        <v>81</v>
      </c>
      <c r="L1279" s="29">
        <v>81</v>
      </c>
      <c r="M1279" s="29">
        <v>51</v>
      </c>
      <c r="N1279" s="29">
        <v>61</v>
      </c>
      <c r="O1279" s="32">
        <v>508</v>
      </c>
      <c r="P1279" s="29" cm="1">
        <f t="array" ref="P1279">IF(表成绩单[[#This Row],[语文]]="","",SUMPRODUCT((表成绩单[考试日期]=表成绩单[[#This Row],[考试日期]])*(表成绩单[语文]&lt;9E+307)*(表成绩单[语文]&gt;表成绩单[[#This Row],[语文]]))+1)</f>
        <v>182</v>
      </c>
      <c r="Q1279" s="29" cm="1">
        <f t="array" ref="Q1279">IF(表成绩单[[#This Row],[数学]]="","",SUMPRODUCT((表成绩单[考试日期]=表成绩单[[#This Row],[考试日期]])*(表成绩单[数学]&lt;9E+307)*(表成绩单[数学]&gt;表成绩单[[#This Row],[数学]]))+1)</f>
        <v>587</v>
      </c>
      <c r="R1279" s="29" cm="1">
        <f t="array" ref="R1279">IF(表成绩单[[#This Row],[英语]]="","",SUMPRODUCT((表成绩单[考试日期]=表成绩单[[#This Row],[考试日期]])*(表成绩单[英语]&lt;9E+307)*(表成绩单[英语]&gt;表成绩单[[#This Row],[英语]]))+1)</f>
        <v>214</v>
      </c>
      <c r="S1279" s="29" cm="1">
        <f t="array" ref="S1279">IF(表成绩单[[#This Row],[物理]]="","",SUMPRODUCT((表成绩单[考试日期]=表成绩单[[#This Row],[考试日期]])*(表成绩单[物理]&lt;9E+307)*(表成绩单[物理]&gt;表成绩单[[#This Row],[物理]]))+1)</f>
        <v>405</v>
      </c>
      <c r="T1279" s="29" cm="1">
        <f t="array" ref="T1279">IF(表成绩单[[#This Row],[化学]]="","",SUMPRODUCT((表成绩单[考试日期]=表成绩单[[#This Row],[考试日期]])*(表成绩单[化学]&lt;9E+307)*(表成绩单[化学]&gt;表成绩单[[#This Row],[化学]]))+1)</f>
        <v>308</v>
      </c>
      <c r="U1279" s="29" cm="1">
        <f t="array" ref="U1279">IF(表成绩单[[#This Row],[政治]]="","",SUMPRODUCT((表成绩单[考试日期]=表成绩单[[#This Row],[考试日期]])*(表成绩单[政治]&lt;9E+307)*(表成绩单[政治]&gt;表成绩单[[#This Row],[政治]]))+1)</f>
        <v>571</v>
      </c>
      <c r="V1279" s="29" cm="1">
        <f t="array" ref="V1279">IF(表成绩单[[#This Row],[历史]]="","",SUMPRODUCT((表成绩单[考试日期]=表成绩单[[#This Row],[考试日期]])*(表成绩单[历史]&lt;9E+307)*(表成绩单[历史]&gt;表成绩单[[#This Row],[历史]]))+1)</f>
        <v>628</v>
      </c>
      <c r="W1279" s="29" cm="1">
        <f t="array" ref="W1279">IF(表成绩单[[#This Row],[总分]]="","",SUMPRODUCT((表成绩单[考试日期]=表成绩单[[#This Row],[考试日期]])*(表成绩单[总分]&lt;9E+307)*(表成绩单[总分]&gt;表成绩单[[#This Row],[总分]]))+1)</f>
        <v>474</v>
      </c>
    </row>
    <row r="1280" ht="28" customHeight="1" spans="4:23">
      <c r="D1280" s="31">
        <v>46003</v>
      </c>
      <c r="E1280" s="29">
        <v>19176163</v>
      </c>
      <c r="F1280" s="29" t="s">
        <v>67</v>
      </c>
      <c r="G1280" s="29" t="s">
        <v>512</v>
      </c>
      <c r="H1280" s="29">
        <v>103</v>
      </c>
      <c r="I1280" s="29">
        <v>63</v>
      </c>
      <c r="J1280" s="29">
        <v>70</v>
      </c>
      <c r="K1280" s="29">
        <v>78</v>
      </c>
      <c r="L1280" s="29">
        <v>67</v>
      </c>
      <c r="M1280" s="29">
        <v>52</v>
      </c>
      <c r="N1280" s="29">
        <v>75</v>
      </c>
      <c r="O1280" s="32">
        <v>508</v>
      </c>
      <c r="P1280" s="29" cm="1">
        <f t="array" ref="P1280">IF(表成绩单[[#This Row],[语文]]="","",SUMPRODUCT((表成绩单[考试日期]=表成绩单[[#This Row],[考试日期]])*(表成绩单[语文]&lt;9E+307)*(表成绩单[语文]&gt;表成绩单[[#This Row],[语文]]))+1)</f>
        <v>333</v>
      </c>
      <c r="Q1280" s="29" cm="1">
        <f t="array" ref="Q1280">IF(表成绩单[[#This Row],[数学]]="","",SUMPRODUCT((表成绩单[考试日期]=表成绩单[[#This Row],[考试日期]])*(表成绩单[数学]&lt;9E+307)*(表成绩单[数学]&gt;表成绩单[[#This Row],[数学]]))+1)</f>
        <v>494</v>
      </c>
      <c r="R1280" s="29" cm="1">
        <f t="array" ref="R1280">IF(表成绩单[[#This Row],[英语]]="","",SUMPRODUCT((表成绩单[考试日期]=表成绩单[[#This Row],[考试日期]])*(表成绩单[英语]&lt;9E+307)*(表成绩单[英语]&gt;表成绩单[[#This Row],[英语]]))+1)</f>
        <v>419</v>
      </c>
      <c r="S1280" s="29" cm="1">
        <f t="array" ref="S1280">IF(表成绩单[[#This Row],[物理]]="","",SUMPRODUCT((表成绩单[考试日期]=表成绩单[[#This Row],[考试日期]])*(表成绩单[物理]&lt;9E+307)*(表成绩单[物理]&gt;表成绩单[[#This Row],[物理]]))+1)</f>
        <v>443</v>
      </c>
      <c r="T1280" s="29" cm="1">
        <f t="array" ref="T1280">IF(表成绩单[[#This Row],[化学]]="","",SUMPRODUCT((表成绩单[考试日期]=表成绩单[[#This Row],[考试日期]])*(表成绩单[化学]&lt;9E+307)*(表成绩单[化学]&gt;表成绩单[[#This Row],[化学]]))+1)</f>
        <v>521</v>
      </c>
      <c r="U1280" s="29" cm="1">
        <f t="array" ref="U1280">IF(表成绩单[[#This Row],[政治]]="","",SUMPRODUCT((表成绩单[考试日期]=表成绩单[[#This Row],[考试日期]])*(表成绩单[政治]&lt;9E+307)*(表成绩单[政治]&gt;表成绩单[[#This Row],[政治]]))+1)</f>
        <v>560</v>
      </c>
      <c r="V1280" s="29" cm="1">
        <f t="array" ref="V1280">IF(表成绩单[[#This Row],[历史]]="","",SUMPRODUCT((表成绩单[考试日期]=表成绩单[[#This Row],[考试日期]])*(表成绩单[历史]&lt;9E+307)*(表成绩单[历史]&gt;表成绩单[[#This Row],[历史]]))+1)</f>
        <v>329</v>
      </c>
      <c r="W1280" s="29" cm="1">
        <f t="array" ref="W1280">IF(表成绩单[[#This Row],[总分]]="","",SUMPRODUCT((表成绩单[考试日期]=表成绩单[[#This Row],[考试日期]])*(表成绩单[总分]&lt;9E+307)*(表成绩单[总分]&gt;表成绩单[[#This Row],[总分]]))+1)</f>
        <v>474</v>
      </c>
    </row>
    <row r="1281" ht="28" customHeight="1" spans="4:23">
      <c r="D1281" s="31">
        <v>46003</v>
      </c>
      <c r="E1281" s="29">
        <v>19178648</v>
      </c>
      <c r="F1281" s="29" t="s">
        <v>25</v>
      </c>
      <c r="G1281" s="29" t="s">
        <v>617</v>
      </c>
      <c r="H1281" s="29">
        <v>91</v>
      </c>
      <c r="I1281" s="29">
        <v>74</v>
      </c>
      <c r="J1281" s="29">
        <v>67</v>
      </c>
      <c r="K1281" s="29">
        <v>83</v>
      </c>
      <c r="L1281" s="29">
        <v>62</v>
      </c>
      <c r="M1281" s="29">
        <v>64</v>
      </c>
      <c r="N1281" s="29">
        <v>67</v>
      </c>
      <c r="O1281" s="32">
        <v>508</v>
      </c>
      <c r="P1281" s="29" cm="1">
        <f t="array" ref="P1281">IF(表成绩单[[#This Row],[语文]]="","",SUMPRODUCT((表成绩单[考试日期]=表成绩单[[#This Row],[考试日期]])*(表成绩单[语文]&lt;9E+307)*(表成绩单[语文]&gt;表成绩单[[#This Row],[语文]]))+1)</f>
        <v>580</v>
      </c>
      <c r="Q1281" s="29" cm="1">
        <f t="array" ref="Q1281">IF(表成绩单[[#This Row],[数学]]="","",SUMPRODUCT((表成绩单[考试日期]=表成绩单[[#This Row],[考试日期]])*(表成绩单[数学]&lt;9E+307)*(表成绩单[数学]&gt;表成绩单[[#This Row],[数学]]))+1)</f>
        <v>380</v>
      </c>
      <c r="R1281" s="29" cm="1">
        <f t="array" ref="R1281">IF(表成绩单[[#This Row],[英语]]="","",SUMPRODUCT((表成绩单[考试日期]=表成绩单[[#This Row],[考试日期]])*(表成绩单[英语]&lt;9E+307)*(表成绩单[英语]&gt;表成绩单[[#This Row],[英语]]))+1)</f>
        <v>460</v>
      </c>
      <c r="S1281" s="29" cm="1">
        <f t="array" ref="S1281">IF(表成绩单[[#This Row],[物理]]="","",SUMPRODUCT((表成绩单[考试日期]=表成绩单[[#This Row],[考试日期]])*(表成绩单[物理]&lt;9E+307)*(表成绩单[物理]&gt;表成绩单[[#This Row],[物理]]))+1)</f>
        <v>376</v>
      </c>
      <c r="T1281" s="29" cm="1">
        <f t="array" ref="T1281">IF(表成绩单[[#This Row],[化学]]="","",SUMPRODUCT((表成绩单[考试日期]=表成绩单[[#This Row],[考试日期]])*(表成绩单[化学]&lt;9E+307)*(表成绩单[化学]&gt;表成绩单[[#This Row],[化学]]))+1)</f>
        <v>565</v>
      </c>
      <c r="U1281" s="29" cm="1">
        <f t="array" ref="U1281">IF(表成绩单[[#This Row],[政治]]="","",SUMPRODUCT((表成绩单[考试日期]=表成绩单[[#This Row],[考试日期]])*(表成绩单[政治]&lt;9E+307)*(表成绩单[政治]&gt;表成绩单[[#This Row],[政治]]))+1)</f>
        <v>337</v>
      </c>
      <c r="V1281" s="29" cm="1">
        <f t="array" ref="V1281">IF(表成绩单[[#This Row],[历史]]="","",SUMPRODUCT((表成绩单[考试日期]=表成绩单[[#This Row],[考试日期]])*(表成绩单[历史]&lt;9E+307)*(表成绩单[历史]&gt;表成绩单[[#This Row],[历史]]))+1)</f>
        <v>549</v>
      </c>
      <c r="W1281" s="29" cm="1">
        <f t="array" ref="W1281">IF(表成绩单[[#This Row],[总分]]="","",SUMPRODUCT((表成绩单[考试日期]=表成绩单[[#This Row],[考试日期]])*(表成绩单[总分]&lt;9E+307)*(表成绩单[总分]&gt;表成绩单[[#This Row],[总分]]))+1)</f>
        <v>474</v>
      </c>
    </row>
    <row r="1282" ht="28" customHeight="1" spans="4:23">
      <c r="D1282" s="31">
        <v>46003</v>
      </c>
      <c r="E1282" s="29">
        <v>19174799</v>
      </c>
      <c r="F1282" s="29" t="s">
        <v>69</v>
      </c>
      <c r="G1282" s="29" t="s">
        <v>514</v>
      </c>
      <c r="H1282" s="29">
        <v>104</v>
      </c>
      <c r="I1282" s="29">
        <v>75</v>
      </c>
      <c r="J1282" s="29">
        <v>75.5</v>
      </c>
      <c r="K1282" s="29">
        <v>52</v>
      </c>
      <c r="L1282" s="29">
        <v>75</v>
      </c>
      <c r="M1282" s="29">
        <v>57</v>
      </c>
      <c r="N1282" s="29">
        <v>69</v>
      </c>
      <c r="O1282" s="32">
        <v>507.5</v>
      </c>
      <c r="P1282" s="29" cm="1">
        <f t="array" ref="P1282">IF(表成绩单[[#This Row],[语文]]="","",SUMPRODUCT((表成绩单[考试日期]=表成绩单[[#This Row],[考试日期]])*(表成绩单[语文]&lt;9E+307)*(表成绩单[语文]&gt;表成绩单[[#This Row],[语文]]))+1)</f>
        <v>290</v>
      </c>
      <c r="Q1282" s="29" cm="1">
        <f t="array" ref="Q1282">IF(表成绩单[[#This Row],[数学]]="","",SUMPRODUCT((表成绩单[考试日期]=表成绩单[[#This Row],[考试日期]])*(表成绩单[数学]&lt;9E+307)*(表成绩单[数学]&gt;表成绩单[[#This Row],[数学]]))+1)</f>
        <v>364</v>
      </c>
      <c r="R1282" s="29" cm="1">
        <f t="array" ref="R1282">IF(表成绩单[[#This Row],[英语]]="","",SUMPRODUCT((表成绩单[考试日期]=表成绩单[[#This Row],[考试日期]])*(表成绩单[英语]&lt;9E+307)*(表成绩单[英语]&gt;表成绩单[[#This Row],[英语]]))+1)</f>
        <v>299</v>
      </c>
      <c r="S1282" s="29" cm="1">
        <f t="array" ref="S1282">IF(表成绩单[[#This Row],[物理]]="","",SUMPRODUCT((表成绩单[考试日期]=表成绩单[[#This Row],[考试日期]])*(表成绩单[物理]&lt;9E+307)*(表成绩单[物理]&gt;表成绩单[[#This Row],[物理]]))+1)</f>
        <v>622</v>
      </c>
      <c r="T1282" s="29" cm="1">
        <f t="array" ref="T1282">IF(表成绩单[[#This Row],[化学]]="","",SUMPRODUCT((表成绩单[考试日期]=表成绩单[[#This Row],[考试日期]])*(表成绩单[化学]&lt;9E+307)*(表成绩单[化学]&gt;表成绩单[[#This Row],[化学]]))+1)</f>
        <v>421</v>
      </c>
      <c r="U1282" s="29" cm="1">
        <f t="array" ref="U1282">IF(表成绩单[[#This Row],[政治]]="","",SUMPRODUCT((表成绩单[考试日期]=表成绩单[[#This Row],[考试日期]])*(表成绩单[政治]&lt;9E+307)*(表成绩单[政治]&gt;表成绩单[[#This Row],[政治]]))+1)</f>
        <v>474</v>
      </c>
      <c r="V1282" s="29" cm="1">
        <f t="array" ref="V1282">IF(表成绩单[[#This Row],[历史]]="","",SUMPRODUCT((表成绩单[考试日期]=表成绩单[[#This Row],[考试日期]])*(表成绩单[历史]&lt;9E+307)*(表成绩单[历史]&gt;表成绩单[[#This Row],[历史]]))+1)</f>
        <v>516</v>
      </c>
      <c r="W1282" s="29" cm="1">
        <f t="array" ref="W1282">IF(表成绩单[[#This Row],[总分]]="","",SUMPRODUCT((表成绩单[考试日期]=表成绩单[[#This Row],[考试日期]])*(表成绩单[总分]&lt;9E+307)*(表成绩单[总分]&gt;表成绩单[[#This Row],[总分]]))+1)</f>
        <v>477</v>
      </c>
    </row>
    <row r="1283" ht="28" customHeight="1" spans="4:23">
      <c r="D1283" s="31">
        <v>46003</v>
      </c>
      <c r="E1283" s="29">
        <v>19178581</v>
      </c>
      <c r="F1283" s="29" t="s">
        <v>64</v>
      </c>
      <c r="G1283" s="29" t="s">
        <v>519</v>
      </c>
      <c r="H1283" s="29">
        <v>101</v>
      </c>
      <c r="I1283" s="29">
        <v>65</v>
      </c>
      <c r="J1283" s="29">
        <v>62.5</v>
      </c>
      <c r="K1283" s="29">
        <v>82</v>
      </c>
      <c r="L1283" s="29">
        <v>69</v>
      </c>
      <c r="M1283" s="29">
        <v>59</v>
      </c>
      <c r="N1283" s="29">
        <v>69</v>
      </c>
      <c r="O1283" s="32">
        <v>507.5</v>
      </c>
      <c r="P1283" s="29" cm="1">
        <f t="array" ref="P1283">IF(表成绩单[[#This Row],[语文]]="","",SUMPRODUCT((表成绩单[考试日期]=表成绩单[[#This Row],[考试日期]])*(表成绩单[语文]&lt;9E+307)*(表成绩单[语文]&gt;表成绩单[[#This Row],[语文]]))+1)</f>
        <v>387</v>
      </c>
      <c r="Q1283" s="29" cm="1">
        <f t="array" ref="Q1283">IF(表成绩单[[#This Row],[数学]]="","",SUMPRODUCT((表成绩单[考试日期]=表成绩单[[#This Row],[考试日期]])*(表成绩单[数学]&lt;9E+307)*(表成绩单[数学]&gt;表成绩单[[#This Row],[数学]]))+1)</f>
        <v>479</v>
      </c>
      <c r="R1283" s="29" cm="1">
        <f t="array" ref="R1283">IF(表成绩单[[#This Row],[英语]]="","",SUMPRODUCT((表成绩单[考试日期]=表成绩单[[#This Row],[考试日期]])*(表成绩单[英语]&lt;9E+307)*(表成绩单[英语]&gt;表成绩单[[#This Row],[英语]]))+1)</f>
        <v>504</v>
      </c>
      <c r="S1283" s="29" cm="1">
        <f t="array" ref="S1283">IF(表成绩单[[#This Row],[物理]]="","",SUMPRODUCT((表成绩单[考试日期]=表成绩单[[#This Row],[考试日期]])*(表成绩单[物理]&lt;9E+307)*(表成绩单[物理]&gt;表成绩单[[#This Row],[物理]]))+1)</f>
        <v>395</v>
      </c>
      <c r="T1283" s="29" cm="1">
        <f t="array" ref="T1283">IF(表成绩单[[#This Row],[化学]]="","",SUMPRODUCT((表成绩单[考试日期]=表成绩单[[#This Row],[考试日期]])*(表成绩单[化学]&lt;9E+307)*(表成绩单[化学]&gt;表成绩单[[#This Row],[化学]]))+1)</f>
        <v>509</v>
      </c>
      <c r="U1283" s="29" cm="1">
        <f t="array" ref="U1283">IF(表成绩单[[#This Row],[政治]]="","",SUMPRODUCT((表成绩单[考试日期]=表成绩单[[#This Row],[考试日期]])*(表成绩单[政治]&lt;9E+307)*(表成绩单[政治]&gt;表成绩单[[#This Row],[政治]]))+1)</f>
        <v>435</v>
      </c>
      <c r="V1283" s="29" cm="1">
        <f t="array" ref="V1283">IF(表成绩单[[#This Row],[历史]]="","",SUMPRODUCT((表成绩单[考试日期]=表成绩单[[#This Row],[考试日期]])*(表成绩单[历史]&lt;9E+307)*(表成绩单[历史]&gt;表成绩单[[#This Row],[历史]]))+1)</f>
        <v>516</v>
      </c>
      <c r="W1283" s="29" cm="1">
        <f t="array" ref="W1283">IF(表成绩单[[#This Row],[总分]]="","",SUMPRODUCT((表成绩单[考试日期]=表成绩单[[#This Row],[考试日期]])*(表成绩单[总分]&lt;9E+307)*(表成绩单[总分]&gt;表成绩单[[#This Row],[总分]]))+1)</f>
        <v>477</v>
      </c>
    </row>
    <row r="1284" ht="28" customHeight="1" spans="4:23">
      <c r="D1284" s="31">
        <v>46003</v>
      </c>
      <c r="E1284" s="29">
        <v>19175631</v>
      </c>
      <c r="F1284" s="29" t="s">
        <v>57</v>
      </c>
      <c r="G1284" s="29" t="s">
        <v>648</v>
      </c>
      <c r="H1284" s="29">
        <v>96</v>
      </c>
      <c r="I1284" s="29">
        <v>69</v>
      </c>
      <c r="J1284" s="29">
        <v>58.5</v>
      </c>
      <c r="K1284" s="29">
        <v>68</v>
      </c>
      <c r="L1284" s="29">
        <v>74</v>
      </c>
      <c r="M1284" s="29">
        <v>69</v>
      </c>
      <c r="N1284" s="29">
        <v>72</v>
      </c>
      <c r="O1284" s="32">
        <v>506.5</v>
      </c>
      <c r="P1284" s="29" cm="1">
        <f t="array" ref="P1284">IF(表成绩单[[#This Row],[语文]]="","",SUMPRODUCT((表成绩单[考试日期]=表成绩单[[#This Row],[考试日期]])*(表成绩单[语文]&lt;9E+307)*(表成绩单[语文]&gt;表成绩单[[#This Row],[语文]]))+1)</f>
        <v>509</v>
      </c>
      <c r="Q1284" s="29" cm="1">
        <f t="array" ref="Q1284">IF(表成绩单[[#This Row],[数学]]="","",SUMPRODUCT((表成绩单[考试日期]=表成绩单[[#This Row],[考试日期]])*(表成绩单[数学]&lt;9E+307)*(表成绩单[数学]&gt;表成绩单[[#This Row],[数学]]))+1)</f>
        <v>437</v>
      </c>
      <c r="R1284" s="29" cm="1">
        <f t="array" ref="R1284">IF(表成绩单[[#This Row],[英语]]="","",SUMPRODUCT((表成绩单[考试日期]=表成绩单[[#This Row],[考试日期]])*(表成绩单[英语]&lt;9E+307)*(表成绩单[英语]&gt;表成绩单[[#This Row],[英语]]))+1)</f>
        <v>538</v>
      </c>
      <c r="S1284" s="29" cm="1">
        <f t="array" ref="S1284">IF(表成绩单[[#This Row],[物理]]="","",SUMPRODUCT((表成绩单[考试日期]=表成绩单[[#This Row],[考试日期]])*(表成绩单[物理]&lt;9E+307)*(表成绩单[物理]&gt;表成绩单[[#This Row],[物理]]))+1)</f>
        <v>539</v>
      </c>
      <c r="T1284" s="29" cm="1">
        <f t="array" ref="T1284">IF(表成绩单[[#This Row],[化学]]="","",SUMPRODUCT((表成绩单[考试日期]=表成绩单[[#This Row],[考试日期]])*(表成绩单[化学]&lt;9E+307)*(表成绩单[化学]&gt;表成绩单[[#This Row],[化学]]))+1)</f>
        <v>440</v>
      </c>
      <c r="U1284" s="29" cm="1">
        <f t="array" ref="U1284">IF(表成绩单[[#This Row],[政治]]="","",SUMPRODUCT((表成绩单[考试日期]=表成绩单[[#This Row],[考试日期]])*(表成绩单[政治]&lt;9E+307)*(表成绩单[政治]&gt;表成绩单[[#This Row],[政治]]))+1)</f>
        <v>212</v>
      </c>
      <c r="V1284" s="29" cm="1">
        <f t="array" ref="V1284">IF(表成绩单[[#This Row],[历史]]="","",SUMPRODUCT((表成绩单[考试日期]=表成绩单[[#This Row],[考试日期]])*(表成绩单[历史]&lt;9E+307)*(表成绩单[历史]&gt;表成绩单[[#This Row],[历史]]))+1)</f>
        <v>439</v>
      </c>
      <c r="W1284" s="29" cm="1">
        <f t="array" ref="W1284">IF(表成绩单[[#This Row],[总分]]="","",SUMPRODUCT((表成绩单[考试日期]=表成绩单[[#This Row],[考试日期]])*(表成绩单[总分]&lt;9E+307)*(表成绩单[总分]&gt;表成绩单[[#This Row],[总分]]))+1)</f>
        <v>479</v>
      </c>
    </row>
    <row r="1285" ht="28" customHeight="1" spans="4:23">
      <c r="D1285" s="31">
        <v>46003</v>
      </c>
      <c r="E1285" s="29">
        <v>19178600</v>
      </c>
      <c r="F1285" s="29" t="s">
        <v>64</v>
      </c>
      <c r="G1285" s="29" t="s">
        <v>641</v>
      </c>
      <c r="H1285" s="29">
        <v>100</v>
      </c>
      <c r="I1285" s="29">
        <v>49</v>
      </c>
      <c r="J1285" s="29">
        <v>75</v>
      </c>
      <c r="K1285" s="29">
        <v>78</v>
      </c>
      <c r="L1285" s="29">
        <v>72</v>
      </c>
      <c r="M1285" s="29">
        <v>63</v>
      </c>
      <c r="N1285" s="29">
        <v>69</v>
      </c>
      <c r="O1285" s="32">
        <v>506</v>
      </c>
      <c r="P1285" s="29" cm="1">
        <f t="array" ref="P1285">IF(表成绩单[[#This Row],[语文]]="","",SUMPRODUCT((表成绩单[考试日期]=表成绩单[[#This Row],[考试日期]])*(表成绩单[语文]&lt;9E+307)*(表成绩单[语文]&gt;表成绩单[[#This Row],[语文]]))+1)</f>
        <v>414</v>
      </c>
      <c r="Q1285" s="29" cm="1">
        <f t="array" ref="Q1285">IF(表成绩单[[#This Row],[数学]]="","",SUMPRODUCT((表成绩单[考试日期]=表成绩单[[#This Row],[考试日期]])*(表成绩单[数学]&lt;9E+307)*(表成绩单[数学]&gt;表成绩单[[#This Row],[数学]]))+1)</f>
        <v>587</v>
      </c>
      <c r="R1285" s="29" cm="1">
        <f t="array" ref="R1285">IF(表成绩单[[#This Row],[英语]]="","",SUMPRODUCT((表成绩单[考试日期]=表成绩单[[#This Row],[考试日期]])*(表成绩单[英语]&lt;9E+307)*(表成绩单[英语]&gt;表成绩单[[#This Row],[英语]]))+1)</f>
        <v>314</v>
      </c>
      <c r="S1285" s="29" cm="1">
        <f t="array" ref="S1285">IF(表成绩单[[#This Row],[物理]]="","",SUMPRODUCT((表成绩单[考试日期]=表成绩单[[#This Row],[考试日期]])*(表成绩单[物理]&lt;9E+307)*(表成绩单[物理]&gt;表成绩单[[#This Row],[物理]]))+1)</f>
        <v>443</v>
      </c>
      <c r="T1285" s="29" cm="1">
        <f t="array" ref="T1285">IF(表成绩单[[#This Row],[化学]]="","",SUMPRODUCT((表成绩单[考试日期]=表成绩单[[#This Row],[考试日期]])*(表成绩单[化学]&lt;9E+307)*(表成绩单[化学]&gt;表成绩单[[#This Row],[化学]]))+1)</f>
        <v>472</v>
      </c>
      <c r="U1285" s="29" cm="1">
        <f t="array" ref="U1285">IF(表成绩单[[#This Row],[政治]]="","",SUMPRODUCT((表成绩单[考试日期]=表成绩单[[#This Row],[考试日期]])*(表成绩单[政治]&lt;9E+307)*(表成绩单[政治]&gt;表成绩单[[#This Row],[政治]]))+1)</f>
        <v>360</v>
      </c>
      <c r="V1285" s="29" cm="1">
        <f t="array" ref="V1285">IF(表成绩单[[#This Row],[历史]]="","",SUMPRODUCT((表成绩单[考试日期]=表成绩单[[#This Row],[考试日期]])*(表成绩单[历史]&lt;9E+307)*(表成绩单[历史]&gt;表成绩单[[#This Row],[历史]]))+1)</f>
        <v>516</v>
      </c>
      <c r="W1285" s="29" cm="1">
        <f t="array" ref="W1285">IF(表成绩单[[#This Row],[总分]]="","",SUMPRODUCT((表成绩单[考试日期]=表成绩单[[#This Row],[考试日期]])*(表成绩单[总分]&lt;9E+307)*(表成绩单[总分]&gt;表成绩单[[#This Row],[总分]]))+1)</f>
        <v>480</v>
      </c>
    </row>
    <row r="1286" ht="28" customHeight="1" spans="4:23">
      <c r="D1286" s="31">
        <v>46003</v>
      </c>
      <c r="E1286" s="29">
        <v>19174800</v>
      </c>
      <c r="F1286" s="29" t="s">
        <v>69</v>
      </c>
      <c r="G1286" s="29" t="s">
        <v>494</v>
      </c>
      <c r="H1286" s="29">
        <v>97</v>
      </c>
      <c r="I1286" s="29">
        <v>56</v>
      </c>
      <c r="J1286" s="29">
        <v>45.5</v>
      </c>
      <c r="K1286" s="29">
        <v>93</v>
      </c>
      <c r="L1286" s="29">
        <v>72</v>
      </c>
      <c r="M1286" s="29">
        <v>64</v>
      </c>
      <c r="N1286" s="29">
        <v>78</v>
      </c>
      <c r="O1286" s="32">
        <v>505.5</v>
      </c>
      <c r="P1286" s="29" cm="1">
        <f t="array" ref="P1286">IF(表成绩单[[#This Row],[语文]]="","",SUMPRODUCT((表成绩单[考试日期]=表成绩单[[#This Row],[考试日期]])*(表成绩单[语文]&lt;9E+307)*(表成绩单[语文]&gt;表成绩单[[#This Row],[语文]]))+1)</f>
        <v>488</v>
      </c>
      <c r="Q1286" s="29" cm="1">
        <f t="array" ref="Q1286">IF(表成绩单[[#This Row],[数学]]="","",SUMPRODUCT((表成绩单[考试日期]=表成绩单[[#This Row],[考试日期]])*(表成绩单[数学]&lt;9E+307)*(表成绩单[数学]&gt;表成绩单[[#This Row],[数学]]))+1)</f>
        <v>544</v>
      </c>
      <c r="R1286" s="29" cm="1">
        <f t="array" ref="R1286">IF(表成绩单[[#This Row],[英语]]="","",SUMPRODUCT((表成绩单[考试日期]=表成绩单[[#This Row],[考试日期]])*(表成绩单[英语]&lt;9E+307)*(表成绩单[英语]&gt;表成绩单[[#This Row],[英语]]))+1)</f>
        <v>629</v>
      </c>
      <c r="S1286" s="29" cm="1">
        <f t="array" ref="S1286">IF(表成绩单[[#This Row],[物理]]="","",SUMPRODUCT((表成绩单[考试日期]=表成绩单[[#This Row],[考试日期]])*(表成绩单[物理]&lt;9E+307)*(表成绩单[物理]&gt;表成绩单[[#This Row],[物理]]))+1)</f>
        <v>163</v>
      </c>
      <c r="T1286" s="29" cm="1">
        <f t="array" ref="T1286">IF(表成绩单[[#This Row],[化学]]="","",SUMPRODUCT((表成绩单[考试日期]=表成绩单[[#This Row],[考试日期]])*(表成绩单[化学]&lt;9E+307)*(表成绩单[化学]&gt;表成绩单[[#This Row],[化学]]))+1)</f>
        <v>472</v>
      </c>
      <c r="U1286" s="29" cm="1">
        <f t="array" ref="U1286">IF(表成绩单[[#This Row],[政治]]="","",SUMPRODUCT((表成绩单[考试日期]=表成绩单[[#This Row],[考试日期]])*(表成绩单[政治]&lt;9E+307)*(表成绩单[政治]&gt;表成绩单[[#This Row],[政治]]))+1)</f>
        <v>337</v>
      </c>
      <c r="V1286" s="29" cm="1">
        <f t="array" ref="V1286">IF(表成绩单[[#This Row],[历史]]="","",SUMPRODUCT((表成绩单[考试日期]=表成绩单[[#This Row],[考试日期]])*(表成绩单[历史]&lt;9E+307)*(表成绩单[历史]&gt;表成绩单[[#This Row],[历史]]))+1)</f>
        <v>190</v>
      </c>
      <c r="W1286" s="29" cm="1">
        <f t="array" ref="W1286">IF(表成绩单[[#This Row],[总分]]="","",SUMPRODUCT((表成绩单[考试日期]=表成绩单[[#This Row],[考试日期]])*(表成绩单[总分]&lt;9E+307)*(表成绩单[总分]&gt;表成绩单[[#This Row],[总分]]))+1)</f>
        <v>481</v>
      </c>
    </row>
    <row r="1287" ht="28" customHeight="1" spans="4:23">
      <c r="D1287" s="31">
        <v>46003</v>
      </c>
      <c r="E1287" s="29">
        <v>19175995</v>
      </c>
      <c r="F1287" s="29" t="s">
        <v>59</v>
      </c>
      <c r="G1287" s="29" t="s">
        <v>614</v>
      </c>
      <c r="H1287" s="29">
        <v>100</v>
      </c>
      <c r="I1287" s="29">
        <v>72</v>
      </c>
      <c r="J1287" s="29">
        <v>51</v>
      </c>
      <c r="K1287" s="29">
        <v>79</v>
      </c>
      <c r="L1287" s="29">
        <v>73</v>
      </c>
      <c r="M1287" s="29">
        <v>54</v>
      </c>
      <c r="N1287" s="29">
        <v>76</v>
      </c>
      <c r="O1287" s="32">
        <v>505</v>
      </c>
      <c r="P1287" s="29" cm="1">
        <f t="array" ref="P1287">IF(表成绩单[[#This Row],[语文]]="","",SUMPRODUCT((表成绩单[考试日期]=表成绩单[[#This Row],[考试日期]])*(表成绩单[语文]&lt;9E+307)*(表成绩单[语文]&gt;表成绩单[[#This Row],[语文]]))+1)</f>
        <v>414</v>
      </c>
      <c r="Q1287" s="29" cm="1">
        <f t="array" ref="Q1287">IF(表成绩单[[#This Row],[数学]]="","",SUMPRODUCT((表成绩单[考试日期]=表成绩单[[#This Row],[考试日期]])*(表成绩单[数学]&lt;9E+307)*(表成绩单[数学]&gt;表成绩单[[#This Row],[数学]]))+1)</f>
        <v>396</v>
      </c>
      <c r="R1287" s="29" cm="1">
        <f t="array" ref="R1287">IF(表成绩单[[#This Row],[英语]]="","",SUMPRODUCT((表成绩单[考试日期]=表成绩单[[#This Row],[考试日期]])*(表成绩单[英语]&lt;9E+307)*(表成绩单[英语]&gt;表成绩单[[#This Row],[英语]]))+1)</f>
        <v>597</v>
      </c>
      <c r="S1287" s="29" cm="1">
        <f t="array" ref="S1287">IF(表成绩单[[#This Row],[物理]]="","",SUMPRODUCT((表成绩单[考试日期]=表成绩单[[#This Row],[考试日期]])*(表成绩单[物理]&lt;9E+307)*(表成绩单[物理]&gt;表成绩单[[#This Row],[物理]]))+1)</f>
        <v>432</v>
      </c>
      <c r="T1287" s="29" cm="1">
        <f t="array" ref="T1287">IF(表成绩单[[#This Row],[化学]]="","",SUMPRODUCT((表成绩单[考试日期]=表成绩单[[#This Row],[考试日期]])*(表成绩单[化学]&lt;9E+307)*(表成绩单[化学]&gt;表成绩单[[#This Row],[化学]]))+1)</f>
        <v>457</v>
      </c>
      <c r="U1287" s="29" cm="1">
        <f t="array" ref="U1287">IF(表成绩单[[#This Row],[政治]]="","",SUMPRODUCT((表成绩单[考试日期]=表成绩单[[#This Row],[考试日期]])*(表成绩单[政治]&lt;9E+307)*(表成绩单[政治]&gt;表成绩单[[#This Row],[政治]]))+1)</f>
        <v>524</v>
      </c>
      <c r="V1287" s="29" cm="1">
        <f t="array" ref="V1287">IF(表成绩单[[#This Row],[历史]]="","",SUMPRODUCT((表成绩单[考试日期]=表成绩单[[#This Row],[考试日期]])*(表成绩单[历史]&lt;9E+307)*(表成绩单[历史]&gt;表成绩单[[#This Row],[历史]]))+1)</f>
        <v>279</v>
      </c>
      <c r="W1287" s="29" cm="1">
        <f t="array" ref="W1287">IF(表成绩单[[#This Row],[总分]]="","",SUMPRODUCT((表成绩单[考试日期]=表成绩单[[#This Row],[考试日期]])*(表成绩单[总分]&lt;9E+307)*(表成绩单[总分]&gt;表成绩单[[#This Row],[总分]]))+1)</f>
        <v>482</v>
      </c>
    </row>
    <row r="1288" ht="28" customHeight="1" spans="4:23">
      <c r="D1288" s="31">
        <v>46003</v>
      </c>
      <c r="E1288" s="29">
        <v>19175657</v>
      </c>
      <c r="F1288" s="29" t="s">
        <v>66</v>
      </c>
      <c r="G1288" s="29" t="s">
        <v>611</v>
      </c>
      <c r="H1288" s="29">
        <v>107</v>
      </c>
      <c r="I1288" s="29">
        <v>50</v>
      </c>
      <c r="J1288" s="29">
        <v>51.5</v>
      </c>
      <c r="K1288" s="29">
        <v>85</v>
      </c>
      <c r="L1288" s="29">
        <v>72</v>
      </c>
      <c r="M1288" s="29">
        <v>61</v>
      </c>
      <c r="N1288" s="29">
        <v>78</v>
      </c>
      <c r="O1288" s="32">
        <v>504.5</v>
      </c>
      <c r="P1288" s="29" cm="1">
        <f t="array" ref="P1288">IF(表成绩单[[#This Row],[语文]]="","",SUMPRODUCT((表成绩单[考试日期]=表成绩单[[#This Row],[考试日期]])*(表成绩单[语文]&lt;9E+307)*(表成绩单[语文]&gt;表成绩单[[#This Row],[语文]]))+1)</f>
        <v>182</v>
      </c>
      <c r="Q1288" s="29" cm="1">
        <f t="array" ref="Q1288">IF(表成绩单[[#This Row],[数学]]="","",SUMPRODUCT((表成绩单[考试日期]=表成绩单[[#This Row],[考试日期]])*(表成绩单[数学]&lt;9E+307)*(表成绩单[数学]&gt;表成绩单[[#This Row],[数学]]))+1)</f>
        <v>578</v>
      </c>
      <c r="R1288" s="29" cm="1">
        <f t="array" ref="R1288">IF(表成绩单[[#This Row],[英语]]="","",SUMPRODUCT((表成绩单[考试日期]=表成绩单[[#This Row],[考试日期]])*(表成绩单[英语]&lt;9E+307)*(表成绩单[英语]&gt;表成绩单[[#This Row],[英语]]))+1)</f>
        <v>595</v>
      </c>
      <c r="S1288" s="29" cm="1">
        <f t="array" ref="S1288">IF(表成绩单[[#This Row],[物理]]="","",SUMPRODUCT((表成绩单[考试日期]=表成绩单[[#This Row],[考试日期]])*(表成绩单[物理]&lt;9E+307)*(表成绩单[物理]&gt;表成绩单[[#This Row],[物理]]))+1)</f>
        <v>348</v>
      </c>
      <c r="T1288" s="29" cm="1">
        <f t="array" ref="T1288">IF(表成绩单[[#This Row],[化学]]="","",SUMPRODUCT((表成绩单[考试日期]=表成绩单[[#This Row],[考试日期]])*(表成绩单[化学]&lt;9E+307)*(表成绩单[化学]&gt;表成绩单[[#This Row],[化学]]))+1)</f>
        <v>472</v>
      </c>
      <c r="U1288" s="29" cm="1">
        <f t="array" ref="U1288">IF(表成绩单[[#This Row],[政治]]="","",SUMPRODUCT((表成绩单[考试日期]=表成绩单[[#This Row],[考试日期]])*(表成绩单[政治]&lt;9E+307)*(表成绩单[政治]&gt;表成绩单[[#This Row],[政治]]))+1)</f>
        <v>400</v>
      </c>
      <c r="V1288" s="29" cm="1">
        <f t="array" ref="V1288">IF(表成绩单[[#This Row],[历史]]="","",SUMPRODUCT((表成绩单[考试日期]=表成绩单[[#This Row],[考试日期]])*(表成绩单[历史]&lt;9E+307)*(表成绩单[历史]&gt;表成绩单[[#This Row],[历史]]))+1)</f>
        <v>190</v>
      </c>
      <c r="W1288" s="29" cm="1">
        <f t="array" ref="W1288">IF(表成绩单[[#This Row],[总分]]="","",SUMPRODUCT((表成绩单[考试日期]=表成绩单[[#This Row],[考试日期]])*(表成绩单[总分]&lt;9E+307)*(表成绩单[总分]&gt;表成绩单[[#This Row],[总分]]))+1)</f>
        <v>483</v>
      </c>
    </row>
    <row r="1289" ht="28" customHeight="1" spans="4:23">
      <c r="D1289" s="31">
        <v>46003</v>
      </c>
      <c r="E1289" s="29">
        <v>19175658</v>
      </c>
      <c r="F1289" s="29" t="s">
        <v>66</v>
      </c>
      <c r="G1289" s="29" t="s">
        <v>525</v>
      </c>
      <c r="H1289" s="29">
        <v>101</v>
      </c>
      <c r="I1289" s="29">
        <v>61</v>
      </c>
      <c r="J1289" s="29">
        <v>71.5</v>
      </c>
      <c r="K1289" s="29">
        <v>70</v>
      </c>
      <c r="L1289" s="29">
        <v>74</v>
      </c>
      <c r="M1289" s="29">
        <v>54</v>
      </c>
      <c r="N1289" s="29">
        <v>73</v>
      </c>
      <c r="O1289" s="32">
        <v>504.5</v>
      </c>
      <c r="P1289" s="29" cm="1">
        <f t="array" ref="P1289">IF(表成绩单[[#This Row],[语文]]="","",SUMPRODUCT((表成绩单[考试日期]=表成绩单[[#This Row],[考试日期]])*(表成绩单[语文]&lt;9E+307)*(表成绩单[语文]&gt;表成绩单[[#This Row],[语文]]))+1)</f>
        <v>387</v>
      </c>
      <c r="Q1289" s="29" cm="1">
        <f t="array" ref="Q1289">IF(表成绩单[[#This Row],[数学]]="","",SUMPRODUCT((表成绩单[考试日期]=表成绩单[[#This Row],[考试日期]])*(表成绩单[数学]&lt;9E+307)*(表成绩单[数学]&gt;表成绩单[[#This Row],[数学]]))+1)</f>
        <v>504</v>
      </c>
      <c r="R1289" s="29" cm="1">
        <f t="array" ref="R1289">IF(表成绩单[[#This Row],[英语]]="","",SUMPRODUCT((表成绩单[考试日期]=表成绩单[[#This Row],[考试日期]])*(表成绩单[英语]&lt;9E+307)*(表成绩单[英语]&gt;表成绩单[[#This Row],[英语]]))+1)</f>
        <v>396</v>
      </c>
      <c r="S1289" s="29" cm="1">
        <f t="array" ref="S1289">IF(表成绩单[[#This Row],[物理]]="","",SUMPRODUCT((表成绩单[考试日期]=表成绩单[[#This Row],[考试日期]])*(表成绩单[物理]&lt;9E+307)*(表成绩单[物理]&gt;表成绩单[[#This Row],[物理]]))+1)</f>
        <v>522</v>
      </c>
      <c r="T1289" s="29" cm="1">
        <f t="array" ref="T1289">IF(表成绩单[[#This Row],[化学]]="","",SUMPRODUCT((表成绩单[考试日期]=表成绩单[[#This Row],[考试日期]])*(表成绩单[化学]&lt;9E+307)*(表成绩单[化学]&gt;表成绩单[[#This Row],[化学]]))+1)</f>
        <v>440</v>
      </c>
      <c r="U1289" s="29" cm="1">
        <f t="array" ref="U1289">IF(表成绩单[[#This Row],[政治]]="","",SUMPRODUCT((表成绩单[考试日期]=表成绩单[[#This Row],[考试日期]])*(表成绩单[政治]&lt;9E+307)*(表成绩单[政治]&gt;表成绩单[[#This Row],[政治]]))+1)</f>
        <v>524</v>
      </c>
      <c r="V1289" s="29" cm="1">
        <f t="array" ref="V1289">IF(表成绩单[[#This Row],[历史]]="","",SUMPRODUCT((表成绩单[考试日期]=表成绩单[[#This Row],[考试日期]])*(表成绩单[历史]&lt;9E+307)*(表成绩单[历史]&gt;表成绩单[[#This Row],[历史]]))+1)</f>
        <v>403</v>
      </c>
      <c r="W1289" s="29" cm="1">
        <f t="array" ref="W1289">IF(表成绩单[[#This Row],[总分]]="","",SUMPRODUCT((表成绩单[考试日期]=表成绩单[[#This Row],[考试日期]])*(表成绩单[总分]&lt;9E+307)*(表成绩单[总分]&gt;表成绩单[[#This Row],[总分]]))+1)</f>
        <v>483</v>
      </c>
    </row>
    <row r="1290" ht="28" customHeight="1" spans="4:23">
      <c r="D1290" s="31">
        <v>46003</v>
      </c>
      <c r="E1290" s="29">
        <v>19176173</v>
      </c>
      <c r="F1290" s="29" t="s">
        <v>67</v>
      </c>
      <c r="G1290" s="29" t="s">
        <v>457</v>
      </c>
      <c r="H1290" s="29">
        <v>100</v>
      </c>
      <c r="I1290" s="29">
        <v>71</v>
      </c>
      <c r="J1290" s="29">
        <v>54.5</v>
      </c>
      <c r="K1290" s="29">
        <v>65</v>
      </c>
      <c r="L1290" s="29">
        <v>79</v>
      </c>
      <c r="M1290" s="29">
        <v>62</v>
      </c>
      <c r="N1290" s="29">
        <v>73</v>
      </c>
      <c r="O1290" s="32">
        <v>504.5</v>
      </c>
      <c r="P1290" s="29" cm="1">
        <f t="array" ref="P1290">IF(表成绩单[[#This Row],[语文]]="","",SUMPRODUCT((表成绩单[考试日期]=表成绩单[[#This Row],[考试日期]])*(表成绩单[语文]&lt;9E+307)*(表成绩单[语文]&gt;表成绩单[[#This Row],[语文]]))+1)</f>
        <v>414</v>
      </c>
      <c r="Q1290" s="29" cm="1">
        <f t="array" ref="Q1290">IF(表成绩单[[#This Row],[数学]]="","",SUMPRODUCT((表成绩单[考试日期]=表成绩单[[#This Row],[考试日期]])*(表成绩单[数学]&lt;9E+307)*(表成绩单[数学]&gt;表成绩单[[#This Row],[数学]]))+1)</f>
        <v>412</v>
      </c>
      <c r="R1290" s="29" cm="1">
        <f t="array" ref="R1290">IF(表成绩单[[#This Row],[英语]]="","",SUMPRODUCT((表成绩单[考试日期]=表成绩单[[#This Row],[考试日期]])*(表成绩单[英语]&lt;9E+307)*(表成绩单[英语]&gt;表成绩单[[#This Row],[英语]]))+1)</f>
        <v>570</v>
      </c>
      <c r="S1290" s="29" cm="1">
        <f t="array" ref="S1290">IF(表成绩单[[#This Row],[物理]]="","",SUMPRODUCT((表成绩单[考试日期]=表成绩单[[#This Row],[考试日期]])*(表成绩单[物理]&lt;9E+307)*(表成绩单[物理]&gt;表成绩单[[#This Row],[物理]]))+1)</f>
        <v>560</v>
      </c>
      <c r="T1290" s="29" cm="1">
        <f t="array" ref="T1290">IF(表成绩单[[#This Row],[化学]]="","",SUMPRODUCT((表成绩单[考试日期]=表成绩单[[#This Row],[考试日期]])*(表成绩单[化学]&lt;9E+307)*(表成绩单[化学]&gt;表成绩单[[#This Row],[化学]]))+1)</f>
        <v>351</v>
      </c>
      <c r="U1290" s="29" cm="1">
        <f t="array" ref="U1290">IF(表成绩单[[#This Row],[政治]]="","",SUMPRODUCT((表成绩单[考试日期]=表成绩单[[#This Row],[考试日期]])*(表成绩单[政治]&lt;9E+307)*(表成绩单[政治]&gt;表成绩单[[#This Row],[政治]]))+1)</f>
        <v>381</v>
      </c>
      <c r="V1290" s="29" cm="1">
        <f t="array" ref="V1290">IF(表成绩单[[#This Row],[历史]]="","",SUMPRODUCT((表成绩单[考试日期]=表成绩单[[#This Row],[考试日期]])*(表成绩单[历史]&lt;9E+307)*(表成绩单[历史]&gt;表成绩单[[#This Row],[历史]]))+1)</f>
        <v>403</v>
      </c>
      <c r="W1290" s="29" cm="1">
        <f t="array" ref="W1290">IF(表成绩单[[#This Row],[总分]]="","",SUMPRODUCT((表成绩单[考试日期]=表成绩单[[#This Row],[考试日期]])*(表成绩单[总分]&lt;9E+307)*(表成绩单[总分]&gt;表成绩单[[#This Row],[总分]]))+1)</f>
        <v>483</v>
      </c>
    </row>
    <row r="1291" ht="28" customHeight="1" spans="4:23">
      <c r="D1291" s="31">
        <v>46003</v>
      </c>
      <c r="E1291" s="29">
        <v>19175999</v>
      </c>
      <c r="F1291" s="29" t="s">
        <v>59</v>
      </c>
      <c r="G1291" s="29" t="s">
        <v>690</v>
      </c>
      <c r="H1291" s="29">
        <v>93</v>
      </c>
      <c r="I1291" s="29">
        <v>72</v>
      </c>
      <c r="J1291" s="29">
        <v>59</v>
      </c>
      <c r="K1291" s="29">
        <v>81</v>
      </c>
      <c r="L1291" s="29">
        <v>80</v>
      </c>
      <c r="M1291" s="29">
        <v>46</v>
      </c>
      <c r="N1291" s="29">
        <v>72</v>
      </c>
      <c r="O1291" s="32">
        <v>503</v>
      </c>
      <c r="P1291" s="29" cm="1">
        <f t="array" ref="P1291">IF(表成绩单[[#This Row],[语文]]="","",SUMPRODUCT((表成绩单[考试日期]=表成绩单[[#This Row],[考试日期]])*(表成绩单[语文]&lt;9E+307)*(表成绩单[语文]&gt;表成绩单[[#This Row],[语文]]))+1)</f>
        <v>555</v>
      </c>
      <c r="Q1291" s="29" cm="1">
        <f t="array" ref="Q1291">IF(表成绩单[[#This Row],[数学]]="","",SUMPRODUCT((表成绩单[考试日期]=表成绩单[[#This Row],[考试日期]])*(表成绩单[数学]&lt;9E+307)*(表成绩单[数学]&gt;表成绩单[[#This Row],[数学]]))+1)</f>
        <v>396</v>
      </c>
      <c r="R1291" s="29" cm="1">
        <f t="array" ref="R1291">IF(表成绩单[[#This Row],[英语]]="","",SUMPRODUCT((表成绩单[考试日期]=表成绩单[[#This Row],[考试日期]])*(表成绩单[英语]&lt;9E+307)*(表成绩单[英语]&gt;表成绩单[[#This Row],[英语]]))+1)</f>
        <v>536</v>
      </c>
      <c r="S1291" s="29" cm="1">
        <f t="array" ref="S1291">IF(表成绩单[[#This Row],[物理]]="","",SUMPRODUCT((表成绩单[考试日期]=表成绩单[[#This Row],[考试日期]])*(表成绩单[物理]&lt;9E+307)*(表成绩单[物理]&gt;表成绩单[[#This Row],[物理]]))+1)</f>
        <v>405</v>
      </c>
      <c r="T1291" s="29" cm="1">
        <f t="array" ref="T1291">IF(表成绩单[[#This Row],[化学]]="","",SUMPRODUCT((表成绩单[考试日期]=表成绩单[[#This Row],[考试日期]])*(表成绩单[化学]&lt;9E+307)*(表成绩单[化学]&gt;表成绩单[[#This Row],[化学]]))+1)</f>
        <v>327</v>
      </c>
      <c r="U1291" s="29" cm="1">
        <f t="array" ref="U1291">IF(表成绩单[[#This Row],[政治]]="","",SUMPRODUCT((表成绩单[考试日期]=表成绩单[[#This Row],[考试日期]])*(表成绩单[政治]&lt;9E+307)*(表成绩单[政治]&gt;表成绩单[[#This Row],[政治]]))+1)</f>
        <v>629</v>
      </c>
      <c r="V1291" s="29" cm="1">
        <f t="array" ref="V1291">IF(表成绩单[[#This Row],[历史]]="","",SUMPRODUCT((表成绩单[考试日期]=表成绩单[[#This Row],[考试日期]])*(表成绩单[历史]&lt;9E+307)*(表成绩单[历史]&gt;表成绩单[[#This Row],[历史]]))+1)</f>
        <v>439</v>
      </c>
      <c r="W1291" s="29" cm="1">
        <f t="array" ref="W1291">IF(表成绩单[[#This Row],[总分]]="","",SUMPRODUCT((表成绩单[考试日期]=表成绩单[[#This Row],[考试日期]])*(表成绩单[总分]&lt;9E+307)*(表成绩单[总分]&gt;表成绩单[[#This Row],[总分]]))+1)</f>
        <v>486</v>
      </c>
    </row>
    <row r="1292" ht="28" customHeight="1" spans="4:23">
      <c r="D1292" s="31">
        <v>46003</v>
      </c>
      <c r="E1292" s="29">
        <v>19173245</v>
      </c>
      <c r="F1292" s="29" t="s">
        <v>61</v>
      </c>
      <c r="G1292" s="29" t="s">
        <v>638</v>
      </c>
      <c r="H1292" s="29">
        <v>93</v>
      </c>
      <c r="I1292" s="29">
        <v>77</v>
      </c>
      <c r="J1292" s="29">
        <v>40</v>
      </c>
      <c r="K1292" s="29">
        <v>92</v>
      </c>
      <c r="L1292" s="29">
        <v>88</v>
      </c>
      <c r="M1292" s="29">
        <v>52</v>
      </c>
      <c r="N1292" s="29">
        <v>60</v>
      </c>
      <c r="O1292" s="32">
        <v>502</v>
      </c>
      <c r="P1292" s="29" cm="1">
        <f t="array" ref="P1292">IF(表成绩单[[#This Row],[语文]]="","",SUMPRODUCT((表成绩单[考试日期]=表成绩单[[#This Row],[考试日期]])*(表成绩单[语文]&lt;9E+307)*(表成绩单[语文]&gt;表成绩单[[#This Row],[语文]]))+1)</f>
        <v>555</v>
      </c>
      <c r="Q1292" s="29" cm="1">
        <f t="array" ref="Q1292">IF(表成绩单[[#This Row],[数学]]="","",SUMPRODUCT((表成绩单[考试日期]=表成绩单[[#This Row],[考试日期]])*(表成绩单[数学]&lt;9E+307)*(表成绩单[数学]&gt;表成绩单[[#This Row],[数学]]))+1)</f>
        <v>343</v>
      </c>
      <c r="R1292" s="29" cm="1">
        <f t="array" ref="R1292">IF(表成绩单[[#This Row],[英语]]="","",SUMPRODUCT((表成绩单[考试日期]=表成绩单[[#This Row],[考试日期]])*(表成绩单[英语]&lt;9E+307)*(表成绩单[英语]&gt;表成绩单[[#This Row],[英语]]))+1)</f>
        <v>652</v>
      </c>
      <c r="S1292" s="29" cm="1">
        <f t="array" ref="S1292">IF(表成绩单[[#This Row],[物理]]="","",SUMPRODUCT((表成绩单[考试日期]=表成绩单[[#This Row],[考试日期]])*(表成绩单[物理]&lt;9E+307)*(表成绩单[物理]&gt;表成绩单[[#This Row],[物理]]))+1)</f>
        <v>191</v>
      </c>
      <c r="T1292" s="29" cm="1">
        <f t="array" ref="T1292">IF(表成绩单[[#This Row],[化学]]="","",SUMPRODUCT((表成绩单[考试日期]=表成绩单[[#This Row],[考试日期]])*(表成绩单[化学]&lt;9E+307)*(表成绩单[化学]&gt;表成绩单[[#This Row],[化学]]))+1)</f>
        <v>175</v>
      </c>
      <c r="U1292" s="29" cm="1">
        <f t="array" ref="U1292">IF(表成绩单[[#This Row],[政治]]="","",SUMPRODUCT((表成绩单[考试日期]=表成绩单[[#This Row],[考试日期]])*(表成绩单[政治]&lt;9E+307)*(表成绩单[政治]&gt;表成绩单[[#This Row],[政治]]))+1)</f>
        <v>560</v>
      </c>
      <c r="V1292" s="29" cm="1">
        <f t="array" ref="V1292">IF(表成绩单[[#This Row],[历史]]="","",SUMPRODUCT((表成绩单[考试日期]=表成绩单[[#This Row],[考试日期]])*(表成绩单[历史]&lt;9E+307)*(表成绩单[历史]&gt;表成绩单[[#This Row],[历史]]))+1)</f>
        <v>633</v>
      </c>
      <c r="W1292" s="29" cm="1">
        <f t="array" ref="W1292">IF(表成绩单[[#This Row],[总分]]="","",SUMPRODUCT((表成绩单[考试日期]=表成绩单[[#This Row],[考试日期]])*(表成绩单[总分]&lt;9E+307)*(表成绩单[总分]&gt;表成绩单[[#This Row],[总分]]))+1)</f>
        <v>487</v>
      </c>
    </row>
    <row r="1293" ht="28" customHeight="1" spans="4:23">
      <c r="D1293" s="31">
        <v>46003</v>
      </c>
      <c r="E1293" s="29">
        <v>19175614</v>
      </c>
      <c r="F1293" s="29" t="s">
        <v>57</v>
      </c>
      <c r="G1293" s="29" t="s">
        <v>559</v>
      </c>
      <c r="H1293" s="29">
        <v>96</v>
      </c>
      <c r="I1293" s="29">
        <v>56</v>
      </c>
      <c r="J1293" s="29">
        <v>73</v>
      </c>
      <c r="K1293" s="29">
        <v>66</v>
      </c>
      <c r="L1293" s="29">
        <v>65</v>
      </c>
      <c r="M1293" s="29">
        <v>74</v>
      </c>
      <c r="N1293" s="29">
        <v>72</v>
      </c>
      <c r="O1293" s="32">
        <v>502</v>
      </c>
      <c r="P1293" s="29" cm="1">
        <f t="array" ref="P1293">IF(表成绩单[[#This Row],[语文]]="","",SUMPRODUCT((表成绩单[考试日期]=表成绩单[[#This Row],[考试日期]])*(表成绩单[语文]&lt;9E+307)*(表成绩单[语文]&gt;表成绩单[[#This Row],[语文]]))+1)</f>
        <v>509</v>
      </c>
      <c r="Q1293" s="29" cm="1">
        <f t="array" ref="Q1293">IF(表成绩单[[#This Row],[数学]]="","",SUMPRODUCT((表成绩单[考试日期]=表成绩单[[#This Row],[考试日期]])*(表成绩单[数学]&lt;9E+307)*(表成绩单[数学]&gt;表成绩单[[#This Row],[数学]]))+1)</f>
        <v>544</v>
      </c>
      <c r="R1293" s="29" cm="1">
        <f t="array" ref="R1293">IF(表成绩单[[#This Row],[英语]]="","",SUMPRODUCT((表成绩单[考试日期]=表成绩单[[#This Row],[考试日期]])*(表成绩单[英语]&lt;9E+307)*(表成绩单[英语]&gt;表成绩单[[#This Row],[英语]]))+1)</f>
        <v>363</v>
      </c>
      <c r="S1293" s="29" cm="1">
        <f t="array" ref="S1293">IF(表成绩单[[#This Row],[物理]]="","",SUMPRODUCT((表成绩单[考试日期]=表成绩单[[#This Row],[考试日期]])*(表成绩单[物理]&lt;9E+307)*(表成绩单[物理]&gt;表成绩单[[#This Row],[物理]]))+1)</f>
        <v>551</v>
      </c>
      <c r="T1293" s="29" cm="1">
        <f t="array" ref="T1293">IF(表成绩单[[#This Row],[化学]]="","",SUMPRODUCT((表成绩单[考试日期]=表成绩单[[#This Row],[考试日期]])*(表成绩单[化学]&lt;9E+307)*(表成绩单[化学]&gt;表成绩单[[#This Row],[化学]]))+1)</f>
        <v>543</v>
      </c>
      <c r="U1293" s="29" cm="1">
        <f t="array" ref="U1293">IF(表成绩单[[#This Row],[政治]]="","",SUMPRODUCT((表成绩单[考试日期]=表成绩单[[#This Row],[考试日期]])*(表成绩单[政治]&lt;9E+307)*(表成绩单[政治]&gt;表成绩单[[#This Row],[政治]]))+1)</f>
        <v>121</v>
      </c>
      <c r="V1293" s="29" cm="1">
        <f t="array" ref="V1293">IF(表成绩单[[#This Row],[历史]]="","",SUMPRODUCT((表成绩单[考试日期]=表成绩单[[#This Row],[考试日期]])*(表成绩单[历史]&lt;9E+307)*(表成绩单[历史]&gt;表成绩单[[#This Row],[历史]]))+1)</f>
        <v>439</v>
      </c>
      <c r="W1293" s="29" cm="1">
        <f t="array" ref="W1293">IF(表成绩单[[#This Row],[总分]]="","",SUMPRODUCT((表成绩单[考试日期]=表成绩单[[#This Row],[考试日期]])*(表成绩单[总分]&lt;9E+307)*(表成绩单[总分]&gt;表成绩单[[#This Row],[总分]]))+1)</f>
        <v>487</v>
      </c>
    </row>
    <row r="1294" ht="28" customHeight="1" spans="4:23">
      <c r="D1294" s="31">
        <v>46003</v>
      </c>
      <c r="E1294" s="29">
        <v>19175637</v>
      </c>
      <c r="F1294" s="29" t="s">
        <v>66</v>
      </c>
      <c r="G1294" s="29" t="s">
        <v>542</v>
      </c>
      <c r="H1294" s="29">
        <v>92</v>
      </c>
      <c r="I1294" s="29">
        <v>91</v>
      </c>
      <c r="J1294" s="29">
        <v>61</v>
      </c>
      <c r="K1294" s="29">
        <v>69</v>
      </c>
      <c r="L1294" s="29">
        <v>70</v>
      </c>
      <c r="M1294" s="29">
        <v>57</v>
      </c>
      <c r="N1294" s="29">
        <v>62</v>
      </c>
      <c r="O1294" s="32">
        <v>502</v>
      </c>
      <c r="P1294" s="29" cm="1">
        <f t="array" ref="P1294">IF(表成绩单[[#This Row],[语文]]="","",SUMPRODUCT((表成绩单[考试日期]=表成绩单[[#This Row],[考试日期]])*(表成绩单[语文]&lt;9E+307)*(表成绩单[语文]&gt;表成绩单[[#This Row],[语文]]))+1)</f>
        <v>569</v>
      </c>
      <c r="Q1294" s="29" cm="1">
        <f t="array" ref="Q1294">IF(表成绩单[[#This Row],[数学]]="","",SUMPRODUCT((表成绩单[考试日期]=表成绩单[[#This Row],[考试日期]])*(表成绩单[数学]&lt;9E+307)*(表成绩单[数学]&gt;表成绩单[[#This Row],[数学]]))+1)</f>
        <v>184</v>
      </c>
      <c r="R1294" s="29" cm="1">
        <f t="array" ref="R1294">IF(表成绩单[[#This Row],[英语]]="","",SUMPRODUCT((表成绩单[考试日期]=表成绩单[[#This Row],[考试日期]])*(表成绩单[英语]&lt;9E+307)*(表成绩单[英语]&gt;表成绩单[[#This Row],[英语]]))+1)</f>
        <v>519</v>
      </c>
      <c r="S1294" s="29" cm="1">
        <f t="array" ref="S1294">IF(表成绩单[[#This Row],[物理]]="","",SUMPRODUCT((表成绩单[考试日期]=表成绩单[[#This Row],[考试日期]])*(表成绩单[物理]&lt;9E+307)*(表成绩单[物理]&gt;表成绩单[[#This Row],[物理]]))+1)</f>
        <v>532</v>
      </c>
      <c r="T1294" s="29" cm="1">
        <f t="array" ref="T1294">IF(表成绩单[[#This Row],[化学]]="","",SUMPRODUCT((表成绩单[考试日期]=表成绩单[[#This Row],[考试日期]])*(表成绩单[化学]&lt;9E+307)*(表成绩单[化学]&gt;表成绩单[[#This Row],[化学]]))+1)</f>
        <v>498</v>
      </c>
      <c r="U1294" s="29" cm="1">
        <f t="array" ref="U1294">IF(表成绩单[[#This Row],[政治]]="","",SUMPRODUCT((表成绩单[考试日期]=表成绩单[[#This Row],[考试日期]])*(表成绩单[政治]&lt;9E+307)*(表成绩单[政治]&gt;表成绩单[[#This Row],[政治]]))+1)</f>
        <v>474</v>
      </c>
      <c r="V1294" s="29" cm="1">
        <f t="array" ref="V1294">IF(表成绩单[[#This Row],[历史]]="","",SUMPRODUCT((表成绩单[考试日期]=表成绩单[[#This Row],[考试日期]])*(表成绩单[历史]&lt;9E+307)*(表成绩单[历史]&gt;表成绩单[[#This Row],[历史]]))+1)</f>
        <v>618</v>
      </c>
      <c r="W1294" s="29" cm="1">
        <f t="array" ref="W1294">IF(表成绩单[[#This Row],[总分]]="","",SUMPRODUCT((表成绩单[考试日期]=表成绩单[[#This Row],[考试日期]])*(表成绩单[总分]&lt;9E+307)*(表成绩单[总分]&gt;表成绩单[[#This Row],[总分]]))+1)</f>
        <v>487</v>
      </c>
    </row>
    <row r="1295" ht="28" customHeight="1" spans="4:23">
      <c r="D1295" s="31">
        <v>46003</v>
      </c>
      <c r="E1295" s="29">
        <v>19177662</v>
      </c>
      <c r="F1295" s="29" t="s">
        <v>63</v>
      </c>
      <c r="G1295" s="29" t="s">
        <v>625</v>
      </c>
      <c r="H1295" s="29">
        <v>94</v>
      </c>
      <c r="I1295" s="29">
        <v>80</v>
      </c>
      <c r="J1295" s="29">
        <v>61</v>
      </c>
      <c r="K1295" s="29">
        <v>75</v>
      </c>
      <c r="L1295" s="29">
        <v>60</v>
      </c>
      <c r="M1295" s="29">
        <v>56</v>
      </c>
      <c r="N1295" s="29">
        <v>76</v>
      </c>
      <c r="O1295" s="32">
        <v>502</v>
      </c>
      <c r="P1295" s="29" cm="1">
        <f t="array" ref="P1295">IF(表成绩单[[#This Row],[语文]]="","",SUMPRODUCT((表成绩单[考试日期]=表成绩单[[#This Row],[考试日期]])*(表成绩单[语文]&lt;9E+307)*(表成绩单[语文]&gt;表成绩单[[#This Row],[语文]]))+1)</f>
        <v>537</v>
      </c>
      <c r="Q1295" s="29" cm="1">
        <f t="array" ref="Q1295">IF(表成绩单[[#This Row],[数学]]="","",SUMPRODUCT((表成绩单[考试日期]=表成绩单[[#This Row],[考试日期]])*(表成绩单[数学]&lt;9E+307)*(表成绩单[数学]&gt;表成绩单[[#This Row],[数学]]))+1)</f>
        <v>310</v>
      </c>
      <c r="R1295" s="29" cm="1">
        <f t="array" ref="R1295">IF(表成绩单[[#This Row],[英语]]="","",SUMPRODUCT((表成绩单[考试日期]=表成绩单[[#This Row],[考试日期]])*(表成绩单[英语]&lt;9E+307)*(表成绩单[英语]&gt;表成绩单[[#This Row],[英语]]))+1)</f>
        <v>519</v>
      </c>
      <c r="S1295" s="29" cm="1">
        <f t="array" ref="S1295">IF(表成绩单[[#This Row],[物理]]="","",SUMPRODUCT((表成绩单[考试日期]=表成绩单[[#This Row],[考试日期]])*(表成绩单[物理]&lt;9E+307)*(表成绩单[物理]&gt;表成绩单[[#This Row],[物理]]))+1)</f>
        <v>472</v>
      </c>
      <c r="T1295" s="29" cm="1">
        <f t="array" ref="T1295">IF(表成绩单[[#This Row],[化学]]="","",SUMPRODUCT((表成绩单[考试日期]=表成绩单[[#This Row],[考试日期]])*(表成绩单[化学]&lt;9E+307)*(表成绩单[化学]&gt;表成绩单[[#This Row],[化学]]))+1)</f>
        <v>585</v>
      </c>
      <c r="U1295" s="29" cm="1">
        <f t="array" ref="U1295">IF(表成绩单[[#This Row],[政治]]="","",SUMPRODUCT((表成绩单[考试日期]=表成绩单[[#This Row],[考试日期]])*(表成绩单[政治]&lt;9E+307)*(表成绩单[政治]&gt;表成绩单[[#This Row],[政治]]))+1)</f>
        <v>492</v>
      </c>
      <c r="V1295" s="29" cm="1">
        <f t="array" ref="V1295">IF(表成绩单[[#This Row],[历史]]="","",SUMPRODUCT((表成绩单[考试日期]=表成绩单[[#This Row],[考试日期]])*(表成绩单[历史]&lt;9E+307)*(表成绩单[历史]&gt;表成绩单[[#This Row],[历史]]))+1)</f>
        <v>279</v>
      </c>
      <c r="W1295" s="29" cm="1">
        <f t="array" ref="W1295">IF(表成绩单[[#This Row],[总分]]="","",SUMPRODUCT((表成绩单[考试日期]=表成绩单[[#This Row],[考试日期]])*(表成绩单[总分]&lt;9E+307)*(表成绩单[总分]&gt;表成绩单[[#This Row],[总分]]))+1)</f>
        <v>487</v>
      </c>
    </row>
    <row r="1296" ht="28" customHeight="1" spans="4:23">
      <c r="D1296" s="31">
        <v>46003</v>
      </c>
      <c r="E1296" s="29">
        <v>19175318</v>
      </c>
      <c r="F1296" s="29" t="s">
        <v>55</v>
      </c>
      <c r="G1296" s="29" t="s">
        <v>621</v>
      </c>
      <c r="H1296" s="29">
        <v>97</v>
      </c>
      <c r="I1296" s="29">
        <v>71</v>
      </c>
      <c r="J1296" s="29">
        <v>54</v>
      </c>
      <c r="K1296" s="29">
        <v>74</v>
      </c>
      <c r="L1296" s="29">
        <v>76</v>
      </c>
      <c r="M1296" s="29">
        <v>56</v>
      </c>
      <c r="N1296" s="29">
        <v>73</v>
      </c>
      <c r="O1296" s="32">
        <v>501</v>
      </c>
      <c r="P1296" s="29" cm="1">
        <f t="array" ref="P1296">IF(表成绩单[[#This Row],[语文]]="","",SUMPRODUCT((表成绩单[考试日期]=表成绩单[[#This Row],[考试日期]])*(表成绩单[语文]&lt;9E+307)*(表成绩单[语文]&gt;表成绩单[[#This Row],[语文]]))+1)</f>
        <v>488</v>
      </c>
      <c r="Q1296" s="29" cm="1">
        <f t="array" ref="Q1296">IF(表成绩单[[#This Row],[数学]]="","",SUMPRODUCT((表成绩单[考试日期]=表成绩单[[#This Row],[考试日期]])*(表成绩单[数学]&lt;9E+307)*(表成绩单[数学]&gt;表成绩单[[#This Row],[数学]]))+1)</f>
        <v>412</v>
      </c>
      <c r="R1296" s="29" cm="1">
        <f t="array" ref="R1296">IF(表成绩单[[#This Row],[英语]]="","",SUMPRODUCT((表成绩单[考试日期]=表成绩单[[#This Row],[考试日期]])*(表成绩单[英语]&lt;9E+307)*(表成绩单[英语]&gt;表成绩单[[#This Row],[英语]]))+1)</f>
        <v>575</v>
      </c>
      <c r="S1296" s="29" cm="1">
        <f t="array" ref="S1296">IF(表成绩单[[#This Row],[物理]]="","",SUMPRODUCT((表成绩单[考试日期]=表成绩单[[#This Row],[考试日期]])*(表成绩单[物理]&lt;9E+307)*(表成绩单[物理]&gt;表成绩单[[#This Row],[物理]]))+1)</f>
        <v>481</v>
      </c>
      <c r="T1296" s="29" cm="1">
        <f t="array" ref="T1296">IF(表成绩单[[#This Row],[化学]]="","",SUMPRODUCT((表成绩单[考试日期]=表成绩单[[#This Row],[考试日期]])*(表成绩单[化学]&lt;9E+307)*(表成绩单[化学]&gt;表成绩单[[#This Row],[化学]]))+1)</f>
        <v>402</v>
      </c>
      <c r="U1296" s="29" cm="1">
        <f t="array" ref="U1296">IF(表成绩单[[#This Row],[政治]]="","",SUMPRODUCT((表成绩单[考试日期]=表成绩单[[#This Row],[考试日期]])*(表成绩单[政治]&lt;9E+307)*(表成绩单[政治]&gt;表成绩单[[#This Row],[政治]]))+1)</f>
        <v>492</v>
      </c>
      <c r="V1296" s="29" cm="1">
        <f t="array" ref="V1296">IF(表成绩单[[#This Row],[历史]]="","",SUMPRODUCT((表成绩单[考试日期]=表成绩单[[#This Row],[考试日期]])*(表成绩单[历史]&lt;9E+307)*(表成绩单[历史]&gt;表成绩单[[#This Row],[历史]]))+1)</f>
        <v>403</v>
      </c>
      <c r="W1296" s="29" cm="1">
        <f t="array" ref="W1296">IF(表成绩单[[#This Row],[总分]]="","",SUMPRODUCT((表成绩单[考试日期]=表成绩单[[#This Row],[考试日期]])*(表成绩单[总分]&lt;9E+307)*(表成绩单[总分]&gt;表成绩单[[#This Row],[总分]]))+1)</f>
        <v>491</v>
      </c>
    </row>
    <row r="1297" ht="28" customHeight="1" spans="4:23">
      <c r="D1297" s="31">
        <v>46003</v>
      </c>
      <c r="E1297" s="29">
        <v>19178587</v>
      </c>
      <c r="F1297" s="29" t="s">
        <v>64</v>
      </c>
      <c r="G1297" s="29" t="s">
        <v>602</v>
      </c>
      <c r="H1297" s="29">
        <v>94</v>
      </c>
      <c r="I1297" s="29">
        <v>72</v>
      </c>
      <c r="J1297" s="29">
        <v>64</v>
      </c>
      <c r="K1297" s="29">
        <v>85</v>
      </c>
      <c r="L1297" s="29">
        <v>60</v>
      </c>
      <c r="M1297" s="29">
        <v>51</v>
      </c>
      <c r="N1297" s="29">
        <v>75</v>
      </c>
      <c r="O1297" s="32">
        <v>501</v>
      </c>
      <c r="P1297" s="29" cm="1">
        <f t="array" ref="P1297">IF(表成绩单[[#This Row],[语文]]="","",SUMPRODUCT((表成绩单[考试日期]=表成绩单[[#This Row],[考试日期]])*(表成绩单[语文]&lt;9E+307)*(表成绩单[语文]&gt;表成绩单[[#This Row],[语文]]))+1)</f>
        <v>537</v>
      </c>
      <c r="Q1297" s="29" cm="1">
        <f t="array" ref="Q1297">IF(表成绩单[[#This Row],[数学]]="","",SUMPRODUCT((表成绩单[考试日期]=表成绩单[[#This Row],[考试日期]])*(表成绩单[数学]&lt;9E+307)*(表成绩单[数学]&gt;表成绩单[[#This Row],[数学]]))+1)</f>
        <v>396</v>
      </c>
      <c r="R1297" s="29" cm="1">
        <f t="array" ref="R1297">IF(表成绩单[[#This Row],[英语]]="","",SUMPRODUCT((表成绩单[考试日期]=表成绩单[[#This Row],[考试日期]])*(表成绩单[英语]&lt;9E+307)*(表成绩单[英语]&gt;表成绩单[[#This Row],[英语]]))+1)</f>
        <v>489</v>
      </c>
      <c r="S1297" s="29" cm="1">
        <f t="array" ref="S1297">IF(表成绩单[[#This Row],[物理]]="","",SUMPRODUCT((表成绩单[考试日期]=表成绩单[[#This Row],[考试日期]])*(表成绩单[物理]&lt;9E+307)*(表成绩单[物理]&gt;表成绩单[[#This Row],[物理]]))+1)</f>
        <v>348</v>
      </c>
      <c r="T1297" s="29" cm="1">
        <f t="array" ref="T1297">IF(表成绩单[[#This Row],[化学]]="","",SUMPRODUCT((表成绩单[考试日期]=表成绩单[[#This Row],[考试日期]])*(表成绩单[化学]&lt;9E+307)*(表成绩单[化学]&gt;表成绩单[[#This Row],[化学]]))+1)</f>
        <v>585</v>
      </c>
      <c r="U1297" s="29" cm="1">
        <f t="array" ref="U1297">IF(表成绩单[[#This Row],[政治]]="","",SUMPRODUCT((表成绩单[考试日期]=表成绩单[[#This Row],[考试日期]])*(表成绩单[政治]&lt;9E+307)*(表成绩单[政治]&gt;表成绩单[[#This Row],[政治]]))+1)</f>
        <v>571</v>
      </c>
      <c r="V1297" s="29" cm="1">
        <f t="array" ref="V1297">IF(表成绩单[[#This Row],[历史]]="","",SUMPRODUCT((表成绩单[考试日期]=表成绩单[[#This Row],[考试日期]])*(表成绩单[历史]&lt;9E+307)*(表成绩单[历史]&gt;表成绩单[[#This Row],[历史]]))+1)</f>
        <v>329</v>
      </c>
      <c r="W1297" s="29" cm="1">
        <f t="array" ref="W1297">IF(表成绩单[[#This Row],[总分]]="","",SUMPRODUCT((表成绩单[考试日期]=表成绩单[[#This Row],[考试日期]])*(表成绩单[总分]&lt;9E+307)*(表成绩单[总分]&gt;表成绩单[[#This Row],[总分]]))+1)</f>
        <v>491</v>
      </c>
    </row>
    <row r="1298" ht="28" customHeight="1" spans="4:23">
      <c r="D1298" s="31">
        <v>46003</v>
      </c>
      <c r="E1298" s="29">
        <v>19178614</v>
      </c>
      <c r="F1298" s="29" t="s">
        <v>25</v>
      </c>
      <c r="G1298" s="29" t="s">
        <v>533</v>
      </c>
      <c r="H1298" s="29">
        <v>105</v>
      </c>
      <c r="I1298" s="29">
        <v>73</v>
      </c>
      <c r="J1298" s="29">
        <v>71</v>
      </c>
      <c r="K1298" s="29">
        <v>73</v>
      </c>
      <c r="L1298" s="29">
        <v>76</v>
      </c>
      <c r="M1298" s="29">
        <v>30</v>
      </c>
      <c r="N1298" s="29">
        <v>73</v>
      </c>
      <c r="O1298" s="32">
        <v>501</v>
      </c>
      <c r="P1298" s="29" cm="1">
        <f t="array" ref="P1298">IF(表成绩单[[#This Row],[语文]]="","",SUMPRODUCT((表成绩单[考试日期]=表成绩单[[#This Row],[考试日期]])*(表成绩单[语文]&lt;9E+307)*(表成绩单[语文]&gt;表成绩单[[#This Row],[语文]]))+1)</f>
        <v>247</v>
      </c>
      <c r="Q1298" s="29" cm="1">
        <f t="array" ref="Q1298">IF(表成绩单[[#This Row],[数学]]="","",SUMPRODUCT((表成绩单[考试日期]=表成绩单[[#This Row],[考试日期]])*(表成绩单[数学]&lt;9E+307)*(表成绩单[数学]&gt;表成绩单[[#This Row],[数学]]))+1)</f>
        <v>386</v>
      </c>
      <c r="R1298" s="29" cm="1">
        <f t="array" ref="R1298">IF(表成绩单[[#This Row],[英语]]="","",SUMPRODUCT((表成绩单[考试日期]=表成绩单[[#This Row],[考试日期]])*(表成绩单[英语]&lt;9E+307)*(表成绩单[英语]&gt;表成绩单[[#This Row],[英语]]))+1)</f>
        <v>404</v>
      </c>
      <c r="S1298" s="29" cm="1">
        <f t="array" ref="S1298">IF(表成绩单[[#This Row],[物理]]="","",SUMPRODUCT((表成绩单[考试日期]=表成绩单[[#This Row],[考试日期]])*(表成绩单[物理]&lt;9E+307)*(表成绩单[物理]&gt;表成绩单[[#This Row],[物理]]))+1)</f>
        <v>488</v>
      </c>
      <c r="T1298" s="29" cm="1">
        <f t="array" ref="T1298">IF(表成绩单[[#This Row],[化学]]="","",SUMPRODUCT((表成绩单[考试日期]=表成绩单[[#This Row],[考试日期]])*(表成绩单[化学]&lt;9E+307)*(表成绩单[化学]&gt;表成绩单[[#This Row],[化学]]))+1)</f>
        <v>402</v>
      </c>
      <c r="U1298" s="29" cm="1">
        <f t="array" ref="U1298">IF(表成绩单[[#This Row],[政治]]="","",SUMPRODUCT((表成绩单[考试日期]=表成绩单[[#This Row],[考试日期]])*(表成绩单[政治]&lt;9E+307)*(表成绩单[政治]&gt;表成绩单[[#This Row],[政治]]))+1)</f>
        <v>725</v>
      </c>
      <c r="V1298" s="29" cm="1">
        <f t="array" ref="V1298">IF(表成绩单[[#This Row],[历史]]="","",SUMPRODUCT((表成绩单[考试日期]=表成绩单[[#This Row],[考试日期]])*(表成绩单[历史]&lt;9E+307)*(表成绩单[历史]&gt;表成绩单[[#This Row],[历史]]))+1)</f>
        <v>403</v>
      </c>
      <c r="W1298" s="29" cm="1">
        <f t="array" ref="W1298">IF(表成绩单[[#This Row],[总分]]="","",SUMPRODUCT((表成绩单[考试日期]=表成绩单[[#This Row],[考试日期]])*(表成绩单[总分]&lt;9E+307)*(表成绩单[总分]&gt;表成绩单[[#This Row],[总分]]))+1)</f>
        <v>491</v>
      </c>
    </row>
    <row r="1299" ht="28" customHeight="1" spans="4:23">
      <c r="D1299" s="31">
        <v>46003</v>
      </c>
      <c r="E1299" s="29">
        <v>19178637</v>
      </c>
      <c r="F1299" s="29" t="s">
        <v>25</v>
      </c>
      <c r="G1299" s="29" t="s">
        <v>503</v>
      </c>
      <c r="H1299" s="29">
        <v>97</v>
      </c>
      <c r="I1299" s="29">
        <v>67</v>
      </c>
      <c r="J1299" s="29">
        <v>77</v>
      </c>
      <c r="K1299" s="29">
        <v>61</v>
      </c>
      <c r="L1299" s="29">
        <v>69</v>
      </c>
      <c r="M1299" s="29">
        <v>56</v>
      </c>
      <c r="N1299" s="29">
        <v>74</v>
      </c>
      <c r="O1299" s="32">
        <v>501</v>
      </c>
      <c r="P1299" s="29" cm="1">
        <f t="array" ref="P1299">IF(表成绩单[[#This Row],[语文]]="","",SUMPRODUCT((表成绩单[考试日期]=表成绩单[[#This Row],[考试日期]])*(表成绩单[语文]&lt;9E+307)*(表成绩单[语文]&gt;表成绩单[[#This Row],[语文]]))+1)</f>
        <v>488</v>
      </c>
      <c r="Q1299" s="29" cm="1">
        <f t="array" ref="Q1299">IF(表成绩单[[#This Row],[数学]]="","",SUMPRODUCT((表成绩单[考试日期]=表成绩单[[#This Row],[考试日期]])*(表成绩单[数学]&lt;9E+307)*(表成绩单[数学]&gt;表成绩单[[#This Row],[数学]]))+1)</f>
        <v>459</v>
      </c>
      <c r="R1299" s="29" cm="1">
        <f t="array" ref="R1299">IF(表成绩单[[#This Row],[英语]]="","",SUMPRODUCT((表成绩单[考试日期]=表成绩单[[#This Row],[考试日期]])*(表成绩单[英语]&lt;9E+307)*(表成绩单[英语]&gt;表成绩单[[#This Row],[英语]]))+1)</f>
        <v>255</v>
      </c>
      <c r="S1299" s="29" cm="1">
        <f t="array" ref="S1299">IF(表成绩单[[#This Row],[物理]]="","",SUMPRODUCT((表成绩单[考试日期]=表成绩单[[#This Row],[考试日期]])*(表成绩单[物理]&lt;9E+307)*(表成绩单[物理]&gt;表成绩单[[#This Row],[物理]]))+1)</f>
        <v>581</v>
      </c>
      <c r="T1299" s="29" cm="1">
        <f t="array" ref="T1299">IF(表成绩单[[#This Row],[化学]]="","",SUMPRODUCT((表成绩单[考试日期]=表成绩单[[#This Row],[考试日期]])*(表成绩单[化学]&lt;9E+307)*(表成绩单[化学]&gt;表成绩单[[#This Row],[化学]]))+1)</f>
        <v>509</v>
      </c>
      <c r="U1299" s="29" cm="1">
        <f t="array" ref="U1299">IF(表成绩单[[#This Row],[政治]]="","",SUMPRODUCT((表成绩单[考试日期]=表成绩单[[#This Row],[考试日期]])*(表成绩单[政治]&lt;9E+307)*(表成绩单[政治]&gt;表成绩单[[#This Row],[政治]]))+1)</f>
        <v>492</v>
      </c>
      <c r="V1299" s="29" cm="1">
        <f t="array" ref="V1299">IF(表成绩单[[#This Row],[历史]]="","",SUMPRODUCT((表成绩单[考试日期]=表成绩单[[#This Row],[考试日期]])*(表成绩单[历史]&lt;9E+307)*(表成绩单[历史]&gt;表成绩单[[#This Row],[历史]]))+1)</f>
        <v>371</v>
      </c>
      <c r="W1299" s="29" cm="1">
        <f t="array" ref="W1299">IF(表成绩单[[#This Row],[总分]]="","",SUMPRODUCT((表成绩单[考试日期]=表成绩单[[#This Row],[考试日期]])*(表成绩单[总分]&lt;9E+307)*(表成绩单[总分]&gt;表成绩单[[#This Row],[总分]]))+1)</f>
        <v>491</v>
      </c>
    </row>
    <row r="1300" ht="28" customHeight="1" spans="4:23">
      <c r="D1300" s="31">
        <v>46003</v>
      </c>
      <c r="E1300" s="29">
        <v>19173772</v>
      </c>
      <c r="F1300" s="29" t="s">
        <v>65</v>
      </c>
      <c r="G1300" s="29" t="s">
        <v>672</v>
      </c>
      <c r="H1300" s="29">
        <v>102</v>
      </c>
      <c r="I1300" s="29">
        <v>65</v>
      </c>
      <c r="J1300" s="29">
        <v>74.5</v>
      </c>
      <c r="K1300" s="29">
        <v>75</v>
      </c>
      <c r="L1300" s="29">
        <v>57</v>
      </c>
      <c r="M1300" s="29">
        <v>57</v>
      </c>
      <c r="N1300" s="29">
        <v>70</v>
      </c>
      <c r="O1300" s="32">
        <v>500.5</v>
      </c>
      <c r="P1300" s="29" cm="1">
        <f t="array" ref="P1300">IF(表成绩单[[#This Row],[语文]]="","",SUMPRODUCT((表成绩单[考试日期]=表成绩单[[#This Row],[考试日期]])*(表成绩单[语文]&lt;9E+307)*(表成绩单[语文]&gt;表成绩单[[#This Row],[语文]]))+1)</f>
        <v>366</v>
      </c>
      <c r="Q1300" s="29" cm="1">
        <f t="array" ref="Q1300">IF(表成绩单[[#This Row],[数学]]="","",SUMPRODUCT((表成绩单[考试日期]=表成绩单[[#This Row],[考试日期]])*(表成绩单[数学]&lt;9E+307)*(表成绩单[数学]&gt;表成绩单[[#This Row],[数学]]))+1)</f>
        <v>479</v>
      </c>
      <c r="R1300" s="29" cm="1">
        <f t="array" ref="R1300">IF(表成绩单[[#This Row],[英语]]="","",SUMPRODUCT((表成绩单[考试日期]=表成绩单[[#This Row],[考试日期]])*(表成绩单[英语]&lt;9E+307)*(表成绩单[英语]&gt;表成绩单[[#This Row],[英语]]))+1)</f>
        <v>328</v>
      </c>
      <c r="S1300" s="29" cm="1">
        <f t="array" ref="S1300">IF(表成绩单[[#This Row],[物理]]="","",SUMPRODUCT((表成绩单[考试日期]=表成绩单[[#This Row],[考试日期]])*(表成绩单[物理]&lt;9E+307)*(表成绩单[物理]&gt;表成绩单[[#This Row],[物理]]))+1)</f>
        <v>472</v>
      </c>
      <c r="T1300" s="29" cm="1">
        <f t="array" ref="T1300">IF(表成绩单[[#This Row],[化学]]="","",SUMPRODUCT((表成绩单[考试日期]=表成绩单[[#This Row],[考试日期]])*(表成绩单[化学]&lt;9E+307)*(表成绩单[化学]&gt;表成绩单[[#This Row],[化学]]))+1)</f>
        <v>608</v>
      </c>
      <c r="U1300" s="29" cm="1">
        <f t="array" ref="U1300">IF(表成绩单[[#This Row],[政治]]="","",SUMPRODUCT((表成绩单[考试日期]=表成绩单[[#This Row],[考试日期]])*(表成绩单[政治]&lt;9E+307)*(表成绩单[政治]&gt;表成绩单[[#This Row],[政治]]))+1)</f>
        <v>474</v>
      </c>
      <c r="V1300" s="29" cm="1">
        <f t="array" ref="V1300">IF(表成绩单[[#This Row],[历史]]="","",SUMPRODUCT((表成绩单[考试日期]=表成绩单[[#This Row],[考试日期]])*(表成绩单[历史]&lt;9E+307)*(表成绩单[历史]&gt;表成绩单[[#This Row],[历史]]))+1)</f>
        <v>499</v>
      </c>
      <c r="W1300" s="29" cm="1">
        <f t="array" ref="W1300">IF(表成绩单[[#This Row],[总分]]="","",SUMPRODUCT((表成绩单[考试日期]=表成绩单[[#This Row],[考试日期]])*(表成绩单[总分]&lt;9E+307)*(表成绩单[总分]&gt;表成绩单[[#This Row],[总分]]))+1)</f>
        <v>495</v>
      </c>
    </row>
    <row r="1301" ht="28" customHeight="1" spans="4:23">
      <c r="D1301" s="31">
        <v>46003</v>
      </c>
      <c r="E1301" s="29">
        <v>19178608</v>
      </c>
      <c r="F1301" s="29" t="s">
        <v>64</v>
      </c>
      <c r="G1301" s="29" t="s">
        <v>634</v>
      </c>
      <c r="H1301" s="29">
        <v>94</v>
      </c>
      <c r="I1301" s="29">
        <v>57</v>
      </c>
      <c r="J1301" s="29">
        <v>70.5</v>
      </c>
      <c r="K1301" s="29">
        <v>83</v>
      </c>
      <c r="L1301" s="29">
        <v>64</v>
      </c>
      <c r="M1301" s="29">
        <v>56</v>
      </c>
      <c r="N1301" s="29">
        <v>76</v>
      </c>
      <c r="O1301" s="32">
        <v>500.5</v>
      </c>
      <c r="P1301" s="29" cm="1">
        <f t="array" ref="P1301">IF(表成绩单[[#This Row],[语文]]="","",SUMPRODUCT((表成绩单[考试日期]=表成绩单[[#This Row],[考试日期]])*(表成绩单[语文]&lt;9E+307)*(表成绩单[语文]&gt;表成绩单[[#This Row],[语文]]))+1)</f>
        <v>537</v>
      </c>
      <c r="Q1301" s="29" cm="1">
        <f t="array" ref="Q1301">IF(表成绩单[[#This Row],[数学]]="","",SUMPRODUCT((表成绩单[考试日期]=表成绩单[[#This Row],[考试日期]])*(表成绩单[数学]&lt;9E+307)*(表成绩单[数学]&gt;表成绩单[[#This Row],[数学]]))+1)</f>
        <v>539</v>
      </c>
      <c r="R1301" s="29" cm="1">
        <f t="array" ref="R1301">IF(表成绩单[[#This Row],[英语]]="","",SUMPRODUCT((表成绩单[考试日期]=表成绩单[[#This Row],[考试日期]])*(表成绩单[英语]&lt;9E+307)*(表成绩单[英语]&gt;表成绩单[[#This Row],[英语]]))+1)</f>
        <v>413</v>
      </c>
      <c r="S1301" s="29" cm="1">
        <f t="array" ref="S1301">IF(表成绩单[[#This Row],[物理]]="","",SUMPRODUCT((表成绩单[考试日期]=表成绩单[[#This Row],[考试日期]])*(表成绩单[物理]&lt;9E+307)*(表成绩单[物理]&gt;表成绩单[[#This Row],[物理]]))+1)</f>
        <v>376</v>
      </c>
      <c r="T1301" s="29" cm="1">
        <f t="array" ref="T1301">IF(表成绩单[[#This Row],[化学]]="","",SUMPRODUCT((表成绩单[考试日期]=表成绩单[[#This Row],[考试日期]])*(表成绩单[化学]&lt;9E+307)*(表成绩单[化学]&gt;表成绩单[[#This Row],[化学]]))+1)</f>
        <v>552</v>
      </c>
      <c r="U1301" s="29" cm="1">
        <f t="array" ref="U1301">IF(表成绩单[[#This Row],[政治]]="","",SUMPRODUCT((表成绩单[考试日期]=表成绩单[[#This Row],[考试日期]])*(表成绩单[政治]&lt;9E+307)*(表成绩单[政治]&gt;表成绩单[[#This Row],[政治]]))+1)</f>
        <v>492</v>
      </c>
      <c r="V1301" s="29" cm="1">
        <f t="array" ref="V1301">IF(表成绩单[[#This Row],[历史]]="","",SUMPRODUCT((表成绩单[考试日期]=表成绩单[[#This Row],[考试日期]])*(表成绩单[历史]&lt;9E+307)*(表成绩单[历史]&gt;表成绩单[[#This Row],[历史]]))+1)</f>
        <v>279</v>
      </c>
      <c r="W1301" s="29" cm="1">
        <f t="array" ref="W1301">IF(表成绩单[[#This Row],[总分]]="","",SUMPRODUCT((表成绩单[考试日期]=表成绩单[[#This Row],[考试日期]])*(表成绩单[总分]&lt;9E+307)*(表成绩单[总分]&gt;表成绩单[[#This Row],[总分]]))+1)</f>
        <v>495</v>
      </c>
    </row>
    <row r="1302" ht="28" customHeight="1" spans="4:23">
      <c r="D1302" s="31">
        <v>46003</v>
      </c>
      <c r="E1302" s="29">
        <v>19171091</v>
      </c>
      <c r="F1302" s="29" t="s">
        <v>67</v>
      </c>
      <c r="G1302" s="29" t="s">
        <v>523</v>
      </c>
      <c r="H1302" s="29">
        <v>100</v>
      </c>
      <c r="I1302" s="29">
        <v>48</v>
      </c>
      <c r="J1302" s="29">
        <v>57.5</v>
      </c>
      <c r="K1302" s="29">
        <v>66</v>
      </c>
      <c r="L1302" s="29">
        <v>71</v>
      </c>
      <c r="M1302" s="29">
        <v>78</v>
      </c>
      <c r="N1302" s="29">
        <v>79</v>
      </c>
      <c r="O1302" s="32">
        <v>499.5</v>
      </c>
      <c r="P1302" s="29" cm="1">
        <f t="array" ref="P1302">IF(表成绩单[[#This Row],[语文]]="","",SUMPRODUCT((表成绩单[考试日期]=表成绩单[[#This Row],[考试日期]])*(表成绩单[语文]&lt;9E+307)*(表成绩单[语文]&gt;表成绩单[[#This Row],[语文]]))+1)</f>
        <v>414</v>
      </c>
      <c r="Q1302" s="29" cm="1">
        <f t="array" ref="Q1302">IF(表成绩单[[#This Row],[数学]]="","",SUMPRODUCT((表成绩单[考试日期]=表成绩单[[#This Row],[考试日期]])*(表成绩单[数学]&lt;9E+307)*(表成绩单[数学]&gt;表成绩单[[#This Row],[数学]]))+1)</f>
        <v>597</v>
      </c>
      <c r="R1302" s="29" cm="1">
        <f t="array" ref="R1302">IF(表成绩单[[#This Row],[英语]]="","",SUMPRODUCT((表成绩单[考试日期]=表成绩单[[#This Row],[考试日期]])*(表成绩单[英语]&lt;9E+307)*(表成绩单[英语]&gt;表成绩单[[#This Row],[英语]]))+1)</f>
        <v>551</v>
      </c>
      <c r="S1302" s="29" cm="1">
        <f t="array" ref="S1302">IF(表成绩单[[#This Row],[物理]]="","",SUMPRODUCT((表成绩单[考试日期]=表成绩单[[#This Row],[考试日期]])*(表成绩单[物理]&lt;9E+307)*(表成绩单[物理]&gt;表成绩单[[#This Row],[物理]]))+1)</f>
        <v>551</v>
      </c>
      <c r="T1302" s="29" cm="1">
        <f t="array" ref="T1302">IF(表成绩单[[#This Row],[化学]]="","",SUMPRODUCT((表成绩单[考试日期]=表成绩单[[#This Row],[考试日期]])*(表成绩单[化学]&lt;9E+307)*(表成绩单[化学]&gt;表成绩单[[#This Row],[化学]]))+1)</f>
        <v>487</v>
      </c>
      <c r="U1302" s="29" cm="1">
        <f t="array" ref="U1302">IF(表成绩单[[#This Row],[政治]]="","",SUMPRODUCT((表成绩单[考试日期]=表成绩单[[#This Row],[考试日期]])*(表成绩单[政治]&lt;9E+307)*(表成绩单[政治]&gt;表成绩单[[#This Row],[政治]]))+1)</f>
        <v>46</v>
      </c>
      <c r="V1302" s="29" cm="1">
        <f t="array" ref="V1302">IF(表成绩单[[#This Row],[历史]]="","",SUMPRODUCT((表成绩单[考试日期]=表成绩单[[#This Row],[考试日期]])*(表成绩单[历史]&lt;9E+307)*(表成绩单[历史]&gt;表成绩单[[#This Row],[历史]]))+1)</f>
        <v>149</v>
      </c>
      <c r="W1302" s="29" cm="1">
        <f t="array" ref="W1302">IF(表成绩单[[#This Row],[总分]]="","",SUMPRODUCT((表成绩单[考试日期]=表成绩单[[#This Row],[考试日期]])*(表成绩单[总分]&lt;9E+307)*(表成绩单[总分]&gt;表成绩单[[#This Row],[总分]]))+1)</f>
        <v>497</v>
      </c>
    </row>
    <row r="1303" ht="28" customHeight="1" spans="4:23">
      <c r="D1303" s="31">
        <v>46003</v>
      </c>
      <c r="E1303" s="29">
        <v>19173237</v>
      </c>
      <c r="F1303" s="29" t="s">
        <v>61</v>
      </c>
      <c r="G1303" s="29" t="s">
        <v>478</v>
      </c>
      <c r="H1303" s="29">
        <v>95</v>
      </c>
      <c r="I1303" s="29">
        <v>72</v>
      </c>
      <c r="J1303" s="29">
        <v>50.5</v>
      </c>
      <c r="K1303" s="29">
        <v>79</v>
      </c>
      <c r="L1303" s="29">
        <v>76</v>
      </c>
      <c r="M1303" s="29">
        <v>51</v>
      </c>
      <c r="N1303" s="29">
        <v>76</v>
      </c>
      <c r="O1303" s="32">
        <v>499.5</v>
      </c>
      <c r="P1303" s="29" cm="1">
        <f t="array" ref="P1303">IF(表成绩单[[#This Row],[语文]]="","",SUMPRODUCT((表成绩单[考试日期]=表成绩单[[#This Row],[考试日期]])*(表成绩单[语文]&lt;9E+307)*(表成绩单[语文]&gt;表成绩单[[#This Row],[语文]]))+1)</f>
        <v>522</v>
      </c>
      <c r="Q1303" s="29" cm="1">
        <f t="array" ref="Q1303">IF(表成绩单[[#This Row],[数学]]="","",SUMPRODUCT((表成绩单[考试日期]=表成绩单[[#This Row],[考试日期]])*(表成绩单[数学]&lt;9E+307)*(表成绩单[数学]&gt;表成绩单[[#This Row],[数学]]))+1)</f>
        <v>396</v>
      </c>
      <c r="R1303" s="29" cm="1">
        <f t="array" ref="R1303">IF(表成绩单[[#This Row],[英语]]="","",SUMPRODUCT((表成绩单[考试日期]=表成绩单[[#This Row],[考试日期]])*(表成绩单[英语]&lt;9E+307)*(表成绩单[英语]&gt;表成绩单[[#This Row],[英语]]))+1)</f>
        <v>601</v>
      </c>
      <c r="S1303" s="29" cm="1">
        <f t="array" ref="S1303">IF(表成绩单[[#This Row],[物理]]="","",SUMPRODUCT((表成绩单[考试日期]=表成绩单[[#This Row],[考试日期]])*(表成绩单[物理]&lt;9E+307)*(表成绩单[物理]&gt;表成绩单[[#This Row],[物理]]))+1)</f>
        <v>432</v>
      </c>
      <c r="T1303" s="29" cm="1">
        <f t="array" ref="T1303">IF(表成绩单[[#This Row],[化学]]="","",SUMPRODUCT((表成绩单[考试日期]=表成绩单[[#This Row],[考试日期]])*(表成绩单[化学]&lt;9E+307)*(表成绩单[化学]&gt;表成绩单[[#This Row],[化学]]))+1)</f>
        <v>402</v>
      </c>
      <c r="U1303" s="29" cm="1">
        <f t="array" ref="U1303">IF(表成绩单[[#This Row],[政治]]="","",SUMPRODUCT((表成绩单[考试日期]=表成绩单[[#This Row],[考试日期]])*(表成绩单[政治]&lt;9E+307)*(表成绩单[政治]&gt;表成绩单[[#This Row],[政治]]))+1)</f>
        <v>571</v>
      </c>
      <c r="V1303" s="29" cm="1">
        <f t="array" ref="V1303">IF(表成绩单[[#This Row],[历史]]="","",SUMPRODUCT((表成绩单[考试日期]=表成绩单[[#This Row],[考试日期]])*(表成绩单[历史]&lt;9E+307)*(表成绩单[历史]&gt;表成绩单[[#This Row],[历史]]))+1)</f>
        <v>279</v>
      </c>
      <c r="W1303" s="29" cm="1">
        <f t="array" ref="W1303">IF(表成绩单[[#This Row],[总分]]="","",SUMPRODUCT((表成绩单[考试日期]=表成绩单[[#This Row],[考试日期]])*(表成绩单[总分]&lt;9E+307)*(表成绩单[总分]&gt;表成绩单[[#This Row],[总分]]))+1)</f>
        <v>497</v>
      </c>
    </row>
    <row r="1304" ht="28" customHeight="1" spans="4:23">
      <c r="D1304" s="31">
        <v>46003</v>
      </c>
      <c r="E1304" s="29">
        <v>19178609</v>
      </c>
      <c r="F1304" s="29" t="s">
        <v>25</v>
      </c>
      <c r="G1304" s="29" t="s">
        <v>616</v>
      </c>
      <c r="H1304" s="29">
        <v>104</v>
      </c>
      <c r="I1304" s="29">
        <v>61</v>
      </c>
      <c r="J1304" s="29">
        <v>58</v>
      </c>
      <c r="K1304" s="29">
        <v>69</v>
      </c>
      <c r="L1304" s="29">
        <v>59</v>
      </c>
      <c r="M1304" s="29">
        <v>70</v>
      </c>
      <c r="N1304" s="29">
        <v>78</v>
      </c>
      <c r="O1304" s="32">
        <v>499</v>
      </c>
      <c r="P1304" s="29" cm="1">
        <f t="array" ref="P1304">IF(表成绩单[[#This Row],[语文]]="","",SUMPRODUCT((表成绩单[考试日期]=表成绩单[[#This Row],[考试日期]])*(表成绩单[语文]&lt;9E+307)*(表成绩单[语文]&gt;表成绩单[[#This Row],[语文]]))+1)</f>
        <v>290</v>
      </c>
      <c r="Q1304" s="29" cm="1">
        <f t="array" ref="Q1304">IF(表成绩单[[#This Row],[数学]]="","",SUMPRODUCT((表成绩单[考试日期]=表成绩单[[#This Row],[考试日期]])*(表成绩单[数学]&lt;9E+307)*(表成绩单[数学]&gt;表成绩单[[#This Row],[数学]]))+1)</f>
        <v>504</v>
      </c>
      <c r="R1304" s="29" cm="1">
        <f t="array" ref="R1304">IF(表成绩单[[#This Row],[英语]]="","",SUMPRODUCT((表成绩单[考试日期]=表成绩单[[#This Row],[考试日期]])*(表成绩单[英语]&lt;9E+307)*(表成绩单[英语]&gt;表成绩单[[#This Row],[英语]]))+1)</f>
        <v>545</v>
      </c>
      <c r="S1304" s="29" cm="1">
        <f t="array" ref="S1304">IF(表成绩单[[#This Row],[物理]]="","",SUMPRODUCT((表成绩单[考试日期]=表成绩单[[#This Row],[考试日期]])*(表成绩单[物理]&lt;9E+307)*(表成绩单[物理]&gt;表成绩单[[#This Row],[物理]]))+1)</f>
        <v>532</v>
      </c>
      <c r="T1304" s="29" cm="1">
        <f t="array" ref="T1304">IF(表成绩单[[#This Row],[化学]]="","",SUMPRODUCT((表成绩单[考试日期]=表成绩单[[#This Row],[考试日期]])*(表成绩单[化学]&lt;9E+307)*(表成绩单[化学]&gt;表成绩单[[#This Row],[化学]]))+1)</f>
        <v>593</v>
      </c>
      <c r="U1304" s="29" cm="1">
        <f t="array" ref="U1304">IF(表成绩单[[#This Row],[政治]]="","",SUMPRODUCT((表成绩单[考试日期]=表成绩单[[#This Row],[考试日期]])*(表成绩单[政治]&lt;9E+307)*(表成绩单[政治]&gt;表成绩单[[#This Row],[政治]]))+1)</f>
        <v>184</v>
      </c>
      <c r="V1304" s="29" cm="1">
        <f t="array" ref="V1304">IF(表成绩单[[#This Row],[历史]]="","",SUMPRODUCT((表成绩单[考试日期]=表成绩单[[#This Row],[考试日期]])*(表成绩单[历史]&lt;9E+307)*(表成绩单[历史]&gt;表成绩单[[#This Row],[历史]]))+1)</f>
        <v>190</v>
      </c>
      <c r="W1304" s="29" cm="1">
        <f t="array" ref="W1304">IF(表成绩单[[#This Row],[总分]]="","",SUMPRODUCT((表成绩单[考试日期]=表成绩单[[#This Row],[考试日期]])*(表成绩单[总分]&lt;9E+307)*(表成绩单[总分]&gt;表成绩单[[#This Row],[总分]]))+1)</f>
        <v>499</v>
      </c>
    </row>
    <row r="1305" ht="28" customHeight="1" spans="4:23">
      <c r="D1305" s="31">
        <v>46003</v>
      </c>
      <c r="E1305" s="29">
        <v>19173794</v>
      </c>
      <c r="F1305" s="29" t="s">
        <v>65</v>
      </c>
      <c r="G1305" s="29" t="s">
        <v>631</v>
      </c>
      <c r="H1305" s="29">
        <v>99</v>
      </c>
      <c r="I1305" s="29">
        <v>58</v>
      </c>
      <c r="J1305" s="29">
        <v>56.5</v>
      </c>
      <c r="K1305" s="29">
        <v>75</v>
      </c>
      <c r="L1305" s="29">
        <v>66</v>
      </c>
      <c r="M1305" s="29">
        <v>68</v>
      </c>
      <c r="N1305" s="29">
        <v>76</v>
      </c>
      <c r="O1305" s="32">
        <v>498.5</v>
      </c>
      <c r="P1305" s="29" cm="1">
        <f t="array" ref="P1305">IF(表成绩单[[#This Row],[语文]]="","",SUMPRODUCT((表成绩单[考试日期]=表成绩单[[#This Row],[考试日期]])*(表成绩单[语文]&lt;9E+307)*(表成绩单[语文]&gt;表成绩单[[#This Row],[语文]]))+1)</f>
        <v>440</v>
      </c>
      <c r="Q1305" s="29" cm="1">
        <f t="array" ref="Q1305">IF(表成绩单[[#This Row],[数学]]="","",SUMPRODUCT((表成绩单[考试日期]=表成绩单[[#This Row],[考试日期]])*(表成绩单[数学]&lt;9E+307)*(表成绩单[数学]&gt;表成绩单[[#This Row],[数学]]))+1)</f>
        <v>531</v>
      </c>
      <c r="R1305" s="29" cm="1">
        <f t="array" ref="R1305">IF(表成绩单[[#This Row],[英语]]="","",SUMPRODUCT((表成绩单[考试日期]=表成绩单[[#This Row],[考试日期]])*(表成绩单[英语]&lt;9E+307)*(表成绩单[英语]&gt;表成绩单[[#This Row],[英语]]))+1)</f>
        <v>557</v>
      </c>
      <c r="S1305" s="29" cm="1">
        <f t="array" ref="S1305">IF(表成绩单[[#This Row],[物理]]="","",SUMPRODUCT((表成绩单[考试日期]=表成绩单[[#This Row],[考试日期]])*(表成绩单[物理]&lt;9E+307)*(表成绩单[物理]&gt;表成绩单[[#This Row],[物理]]))+1)</f>
        <v>472</v>
      </c>
      <c r="T1305" s="29" cm="1">
        <f t="array" ref="T1305">IF(表成绩单[[#This Row],[化学]]="","",SUMPRODUCT((表成绩单[考试日期]=表成绩单[[#This Row],[考试日期]])*(表成绩单[化学]&lt;9E+307)*(表成绩单[化学]&gt;表成绩单[[#This Row],[化学]]))+1)</f>
        <v>530</v>
      </c>
      <c r="U1305" s="29" cm="1">
        <f t="array" ref="U1305">IF(表成绩单[[#This Row],[政治]]="","",SUMPRODUCT((表成绩单[考试日期]=表成绩单[[#This Row],[考试日期]])*(表成绩单[政治]&lt;9E+307)*(表成绩单[政治]&gt;表成绩单[[#This Row],[政治]]))+1)</f>
        <v>237</v>
      </c>
      <c r="V1305" s="29" cm="1">
        <f t="array" ref="V1305">IF(表成绩单[[#This Row],[历史]]="","",SUMPRODUCT((表成绩单[考试日期]=表成绩单[[#This Row],[考试日期]])*(表成绩单[历史]&lt;9E+307)*(表成绩单[历史]&gt;表成绩单[[#This Row],[历史]]))+1)</f>
        <v>279</v>
      </c>
      <c r="W1305" s="29" cm="1">
        <f t="array" ref="W1305">IF(表成绩单[[#This Row],[总分]]="","",SUMPRODUCT((表成绩单[考试日期]=表成绩单[[#This Row],[考试日期]])*(表成绩单[总分]&lt;9E+307)*(表成绩单[总分]&gt;表成绩单[[#This Row],[总分]]))+1)</f>
        <v>500</v>
      </c>
    </row>
    <row r="1306" ht="28" customHeight="1" spans="4:23">
      <c r="D1306" s="31">
        <v>46003</v>
      </c>
      <c r="E1306" s="29">
        <v>19178613</v>
      </c>
      <c r="F1306" s="29" t="s">
        <v>25</v>
      </c>
      <c r="G1306" s="29" t="s">
        <v>570</v>
      </c>
      <c r="H1306" s="29">
        <v>85</v>
      </c>
      <c r="I1306" s="29">
        <v>70</v>
      </c>
      <c r="J1306" s="29">
        <v>61.5</v>
      </c>
      <c r="K1306" s="29">
        <v>71</v>
      </c>
      <c r="L1306" s="29">
        <v>86</v>
      </c>
      <c r="M1306" s="29">
        <v>50</v>
      </c>
      <c r="N1306" s="29">
        <v>75</v>
      </c>
      <c r="O1306" s="32">
        <v>498.5</v>
      </c>
      <c r="P1306" s="29" cm="1">
        <f t="array" ref="P1306">IF(表成绩单[[#This Row],[语文]]="","",SUMPRODUCT((表成绩单[考试日期]=表成绩单[[#This Row],[考试日期]])*(表成绩单[语文]&lt;9E+307)*(表成绩单[语文]&gt;表成绩单[[#This Row],[语文]]))+1)</f>
        <v>634</v>
      </c>
      <c r="Q1306" s="29" cm="1">
        <f t="array" ref="Q1306">IF(表成绩单[[#This Row],[数学]]="","",SUMPRODUCT((表成绩单[考试日期]=表成绩单[[#This Row],[考试日期]])*(表成绩单[数学]&lt;9E+307)*(表成绩单[数学]&gt;表成绩单[[#This Row],[数学]]))+1)</f>
        <v>426</v>
      </c>
      <c r="R1306" s="29" cm="1">
        <f t="array" ref="R1306">IF(表成绩单[[#This Row],[英语]]="","",SUMPRODUCT((表成绩单[考试日期]=表成绩单[[#This Row],[考试日期]])*(表成绩单[英语]&lt;9E+307)*(表成绩单[英语]&gt;表成绩单[[#This Row],[英语]]))+1)</f>
        <v>513</v>
      </c>
      <c r="S1306" s="29" cm="1">
        <f t="array" ref="S1306">IF(表成绩单[[#This Row],[物理]]="","",SUMPRODUCT((表成绩单[考试日期]=表成绩单[[#This Row],[考试日期]])*(表成绩单[物理]&lt;9E+307)*(表成绩单[物理]&gt;表成绩单[[#This Row],[物理]]))+1)</f>
        <v>507</v>
      </c>
      <c r="T1306" s="29" cm="1">
        <f t="array" ref="T1306">IF(表成绩单[[#This Row],[化学]]="","",SUMPRODUCT((表成绩单[考试日期]=表成绩单[[#This Row],[考试日期]])*(表成绩单[化学]&lt;9E+307)*(表成绩单[化学]&gt;表成绩单[[#This Row],[化学]]))+1)</f>
        <v>223</v>
      </c>
      <c r="U1306" s="29" cm="1">
        <f t="array" ref="U1306">IF(表成绩单[[#This Row],[政治]]="","",SUMPRODUCT((表成绩单[考试日期]=表成绩单[[#This Row],[考试日期]])*(表成绩单[政治]&lt;9E+307)*(表成绩单[政治]&gt;表成绩单[[#This Row],[政治]]))+1)</f>
        <v>587</v>
      </c>
      <c r="V1306" s="29" cm="1">
        <f t="array" ref="V1306">IF(表成绩单[[#This Row],[历史]]="","",SUMPRODUCT((表成绩单[考试日期]=表成绩单[[#This Row],[考试日期]])*(表成绩单[历史]&lt;9E+307)*(表成绩单[历史]&gt;表成绩单[[#This Row],[历史]]))+1)</f>
        <v>329</v>
      </c>
      <c r="W1306" s="29" cm="1">
        <f t="array" ref="W1306">IF(表成绩单[[#This Row],[总分]]="","",SUMPRODUCT((表成绩单[考试日期]=表成绩单[[#This Row],[考试日期]])*(表成绩单[总分]&lt;9E+307)*(表成绩单[总分]&gt;表成绩单[[#This Row],[总分]]))+1)</f>
        <v>500</v>
      </c>
    </row>
    <row r="1307" ht="28" customHeight="1" spans="4:23">
      <c r="D1307" s="31">
        <v>46003</v>
      </c>
      <c r="E1307" s="29">
        <v>19175324</v>
      </c>
      <c r="F1307" s="29" t="s">
        <v>55</v>
      </c>
      <c r="G1307" s="29" t="s">
        <v>674</v>
      </c>
      <c r="H1307" s="29">
        <v>104</v>
      </c>
      <c r="I1307" s="29">
        <v>62</v>
      </c>
      <c r="J1307" s="29">
        <v>69</v>
      </c>
      <c r="K1307" s="29">
        <v>58</v>
      </c>
      <c r="L1307" s="29">
        <v>60</v>
      </c>
      <c r="M1307" s="29">
        <v>66</v>
      </c>
      <c r="N1307" s="29">
        <v>79</v>
      </c>
      <c r="O1307" s="32">
        <v>498</v>
      </c>
      <c r="P1307" s="29" cm="1">
        <f t="array" ref="P1307">IF(表成绩单[[#This Row],[语文]]="","",SUMPRODUCT((表成绩单[考试日期]=表成绩单[[#This Row],[考试日期]])*(表成绩单[语文]&lt;9E+307)*(表成绩单[语文]&gt;表成绩单[[#This Row],[语文]]))+1)</f>
        <v>290</v>
      </c>
      <c r="Q1307" s="29" cm="1">
        <f t="array" ref="Q1307">IF(表成绩单[[#This Row],[数学]]="","",SUMPRODUCT((表成绩单[考试日期]=表成绩单[[#This Row],[考试日期]])*(表成绩单[数学]&lt;9E+307)*(表成绩单[数学]&gt;表成绩单[[#This Row],[数学]]))+1)</f>
        <v>497</v>
      </c>
      <c r="R1307" s="29" cm="1">
        <f t="array" ref="R1307">IF(表成绩单[[#This Row],[英语]]="","",SUMPRODUCT((表成绩单[考试日期]=表成绩单[[#This Row],[考试日期]])*(表成绩单[英语]&lt;9E+307)*(表成绩单[英语]&gt;表成绩单[[#This Row],[英语]]))+1)</f>
        <v>434</v>
      </c>
      <c r="S1307" s="29" cm="1">
        <f t="array" ref="S1307">IF(表成绩单[[#This Row],[物理]]="","",SUMPRODUCT((表成绩单[考试日期]=表成绩单[[#This Row],[考试日期]])*(表成绩单[物理]&lt;9E+307)*(表成绩单[物理]&gt;表成绩单[[#This Row],[物理]]))+1)</f>
        <v>600</v>
      </c>
      <c r="T1307" s="29" cm="1">
        <f t="array" ref="T1307">IF(表成绩单[[#This Row],[化学]]="","",SUMPRODUCT((表成绩单[考试日期]=表成绩单[[#This Row],[考试日期]])*(表成绩单[化学]&lt;9E+307)*(表成绩单[化学]&gt;表成绩单[[#This Row],[化学]]))+1)</f>
        <v>585</v>
      </c>
      <c r="U1307" s="29" cm="1">
        <f t="array" ref="U1307">IF(表成绩单[[#This Row],[政治]]="","",SUMPRODUCT((表成绩单[考试日期]=表成绩单[[#This Row],[考试日期]])*(表成绩单[政治]&lt;9E+307)*(表成绩单[政治]&gt;表成绩单[[#This Row],[政治]]))+1)</f>
        <v>289</v>
      </c>
      <c r="V1307" s="29" cm="1">
        <f t="array" ref="V1307">IF(表成绩单[[#This Row],[历史]]="","",SUMPRODUCT((表成绩单[考试日期]=表成绩单[[#This Row],[考试日期]])*(表成绩单[历史]&lt;9E+307)*(表成绩单[历史]&gt;表成绩单[[#This Row],[历史]]))+1)</f>
        <v>149</v>
      </c>
      <c r="W1307" s="29" cm="1">
        <f t="array" ref="W1307">IF(表成绩单[[#This Row],[总分]]="","",SUMPRODUCT((表成绩单[考试日期]=表成绩单[[#This Row],[考试日期]])*(表成绩单[总分]&lt;9E+307)*(表成绩单[总分]&gt;表成绩单[[#This Row],[总分]]))+1)</f>
        <v>502</v>
      </c>
    </row>
    <row r="1308" ht="28" customHeight="1" spans="4:23">
      <c r="D1308" s="31">
        <v>46003</v>
      </c>
      <c r="E1308" s="29">
        <v>19176164</v>
      </c>
      <c r="F1308" s="29" t="s">
        <v>67</v>
      </c>
      <c r="G1308" s="29" t="s">
        <v>574</v>
      </c>
      <c r="H1308" s="29">
        <v>97</v>
      </c>
      <c r="I1308" s="29">
        <v>75</v>
      </c>
      <c r="J1308" s="29">
        <v>59.5</v>
      </c>
      <c r="K1308" s="29">
        <v>72</v>
      </c>
      <c r="L1308" s="29">
        <v>75</v>
      </c>
      <c r="M1308" s="29">
        <v>45</v>
      </c>
      <c r="N1308" s="29">
        <v>74</v>
      </c>
      <c r="O1308" s="32">
        <v>497.5</v>
      </c>
      <c r="P1308" s="29" cm="1">
        <f t="array" ref="P1308">IF(表成绩单[[#This Row],[语文]]="","",SUMPRODUCT((表成绩单[考试日期]=表成绩单[[#This Row],[考试日期]])*(表成绩单[语文]&lt;9E+307)*(表成绩单[语文]&gt;表成绩单[[#This Row],[语文]]))+1)</f>
        <v>488</v>
      </c>
      <c r="Q1308" s="29" cm="1">
        <f t="array" ref="Q1308">IF(表成绩单[[#This Row],[数学]]="","",SUMPRODUCT((表成绩单[考试日期]=表成绩单[[#This Row],[考试日期]])*(表成绩单[数学]&lt;9E+307)*(表成绩单[数学]&gt;表成绩单[[#This Row],[数学]]))+1)</f>
        <v>364</v>
      </c>
      <c r="R1308" s="29" cm="1">
        <f t="array" ref="R1308">IF(表成绩单[[#This Row],[英语]]="","",SUMPRODUCT((表成绩单[考试日期]=表成绩单[[#This Row],[考试日期]])*(表成绩单[英语]&lt;9E+307)*(表成绩单[英语]&gt;表成绩单[[#This Row],[英语]]))+1)</f>
        <v>531</v>
      </c>
      <c r="S1308" s="29" cm="1">
        <f t="array" ref="S1308">IF(表成绩单[[#This Row],[物理]]="","",SUMPRODUCT((表成绩单[考试日期]=表成绩单[[#This Row],[考试日期]])*(表成绩单[物理]&lt;9E+307)*(表成绩单[物理]&gt;表成绩单[[#This Row],[物理]]))+1)</f>
        <v>495</v>
      </c>
      <c r="T1308" s="29" cm="1">
        <f t="array" ref="T1308">IF(表成绩单[[#This Row],[化学]]="","",SUMPRODUCT((表成绩单[考试日期]=表成绩单[[#This Row],[考试日期]])*(表成绩单[化学]&lt;9E+307)*(表成绩单[化学]&gt;表成绩单[[#This Row],[化学]]))+1)</f>
        <v>421</v>
      </c>
      <c r="U1308" s="29" cm="1">
        <f t="array" ref="U1308">IF(表成绩单[[#This Row],[政治]]="","",SUMPRODUCT((表成绩单[考试日期]=表成绩单[[#This Row],[考试日期]])*(表成绩单[政治]&lt;9E+307)*(表成绩单[政治]&gt;表成绩单[[#This Row],[政治]]))+1)</f>
        <v>638</v>
      </c>
      <c r="V1308" s="29" cm="1">
        <f t="array" ref="V1308">IF(表成绩单[[#This Row],[历史]]="","",SUMPRODUCT((表成绩单[考试日期]=表成绩单[[#This Row],[考试日期]])*(表成绩单[历史]&lt;9E+307)*(表成绩单[历史]&gt;表成绩单[[#This Row],[历史]]))+1)</f>
        <v>371</v>
      </c>
      <c r="W1308" s="29" cm="1">
        <f t="array" ref="W1308">IF(表成绩单[[#This Row],[总分]]="","",SUMPRODUCT((表成绩单[考试日期]=表成绩单[[#This Row],[考试日期]])*(表成绩单[总分]&lt;9E+307)*(表成绩单[总分]&gt;表成绩单[[#This Row],[总分]]))+1)</f>
        <v>503</v>
      </c>
    </row>
    <row r="1309" ht="28" customHeight="1" spans="4:23">
      <c r="D1309" s="31">
        <v>46003</v>
      </c>
      <c r="E1309" s="29">
        <v>19172653</v>
      </c>
      <c r="F1309" s="29" t="s">
        <v>60</v>
      </c>
      <c r="G1309" s="29" t="s">
        <v>666</v>
      </c>
      <c r="H1309" s="29">
        <v>93</v>
      </c>
      <c r="I1309" s="29">
        <v>51</v>
      </c>
      <c r="J1309" s="29">
        <v>74.5</v>
      </c>
      <c r="K1309" s="29">
        <v>65</v>
      </c>
      <c r="L1309" s="29">
        <v>73</v>
      </c>
      <c r="M1309" s="29">
        <v>70</v>
      </c>
      <c r="N1309" s="29">
        <v>70</v>
      </c>
      <c r="O1309" s="32">
        <v>496.5</v>
      </c>
      <c r="P1309" s="29" cm="1">
        <f t="array" ref="P1309">IF(表成绩单[[#This Row],[语文]]="","",SUMPRODUCT((表成绩单[考试日期]=表成绩单[[#This Row],[考试日期]])*(表成绩单[语文]&lt;9E+307)*(表成绩单[语文]&gt;表成绩单[[#This Row],[语文]]))+1)</f>
        <v>555</v>
      </c>
      <c r="Q1309" s="29" cm="1">
        <f t="array" ref="Q1309">IF(表成绩单[[#This Row],[数学]]="","",SUMPRODUCT((表成绩单[考试日期]=表成绩单[[#This Row],[考试日期]])*(表成绩单[数学]&lt;9E+307)*(表成绩单[数学]&gt;表成绩单[[#This Row],[数学]]))+1)</f>
        <v>572</v>
      </c>
      <c r="R1309" s="29" cm="1">
        <f t="array" ref="R1309">IF(表成绩单[[#This Row],[英语]]="","",SUMPRODUCT((表成绩单[考试日期]=表成绩单[[#This Row],[考试日期]])*(表成绩单[英语]&lt;9E+307)*(表成绩单[英语]&gt;表成绩单[[#This Row],[英语]]))+1)</f>
        <v>328</v>
      </c>
      <c r="S1309" s="29" cm="1">
        <f t="array" ref="S1309">IF(表成绩单[[#This Row],[物理]]="","",SUMPRODUCT((表成绩单[考试日期]=表成绩单[[#This Row],[考试日期]])*(表成绩单[物理]&lt;9E+307)*(表成绩单[物理]&gt;表成绩单[[#This Row],[物理]]))+1)</f>
        <v>560</v>
      </c>
      <c r="T1309" s="29" cm="1">
        <f t="array" ref="T1309">IF(表成绩单[[#This Row],[化学]]="","",SUMPRODUCT((表成绩单[考试日期]=表成绩单[[#This Row],[考试日期]])*(表成绩单[化学]&lt;9E+307)*(表成绩单[化学]&gt;表成绩单[[#This Row],[化学]]))+1)</f>
        <v>457</v>
      </c>
      <c r="U1309" s="29" cm="1">
        <f t="array" ref="U1309">IF(表成绩单[[#This Row],[政治]]="","",SUMPRODUCT((表成绩单[考试日期]=表成绩单[[#This Row],[考试日期]])*(表成绩单[政治]&lt;9E+307)*(表成绩单[政治]&gt;表成绩单[[#This Row],[政治]]))+1)</f>
        <v>184</v>
      </c>
      <c r="V1309" s="29" cm="1">
        <f t="array" ref="V1309">IF(表成绩单[[#This Row],[历史]]="","",SUMPRODUCT((表成绩单[考试日期]=表成绩单[[#This Row],[考试日期]])*(表成绩单[历史]&lt;9E+307)*(表成绩单[历史]&gt;表成绩单[[#This Row],[历史]]))+1)</f>
        <v>499</v>
      </c>
      <c r="W1309" s="29" cm="1">
        <f t="array" ref="W1309">IF(表成绩单[[#This Row],[总分]]="","",SUMPRODUCT((表成绩单[考试日期]=表成绩单[[#This Row],[考试日期]])*(表成绩单[总分]&lt;9E+307)*(表成绩单[总分]&gt;表成绩单[[#This Row],[总分]]))+1)</f>
        <v>504</v>
      </c>
    </row>
    <row r="1310" ht="28" customHeight="1" spans="4:23">
      <c r="D1310" s="31">
        <v>46003</v>
      </c>
      <c r="E1310" s="29">
        <v>19177604</v>
      </c>
      <c r="F1310" s="29" t="s">
        <v>58</v>
      </c>
      <c r="G1310" s="29" t="s">
        <v>682</v>
      </c>
      <c r="H1310" s="29">
        <v>101</v>
      </c>
      <c r="I1310" s="29">
        <v>68</v>
      </c>
      <c r="J1310" s="29">
        <v>70</v>
      </c>
      <c r="K1310" s="29">
        <v>72</v>
      </c>
      <c r="L1310" s="29">
        <v>63</v>
      </c>
      <c r="M1310" s="29">
        <v>60</v>
      </c>
      <c r="N1310" s="29">
        <v>62</v>
      </c>
      <c r="O1310" s="32">
        <v>496</v>
      </c>
      <c r="P1310" s="29" cm="1">
        <f t="array" ref="P1310">IF(表成绩单[[#This Row],[语文]]="","",SUMPRODUCT((表成绩单[考试日期]=表成绩单[[#This Row],[考试日期]])*(表成绩单[语文]&lt;9E+307)*(表成绩单[语文]&gt;表成绩单[[#This Row],[语文]]))+1)</f>
        <v>387</v>
      </c>
      <c r="Q1310" s="29" cm="1">
        <f t="array" ref="Q1310">IF(表成绩单[[#This Row],[数学]]="","",SUMPRODUCT((表成绩单[考试日期]=表成绩单[[#This Row],[考试日期]])*(表成绩单[数学]&lt;9E+307)*(表成绩单[数学]&gt;表成绩单[[#This Row],[数学]]))+1)</f>
        <v>450</v>
      </c>
      <c r="R1310" s="29" cm="1">
        <f t="array" ref="R1310">IF(表成绩单[[#This Row],[英语]]="","",SUMPRODUCT((表成绩单[考试日期]=表成绩单[[#This Row],[考试日期]])*(表成绩单[英语]&lt;9E+307)*(表成绩单[英语]&gt;表成绩单[[#This Row],[英语]]))+1)</f>
        <v>419</v>
      </c>
      <c r="S1310" s="29" cm="1">
        <f t="array" ref="S1310">IF(表成绩单[[#This Row],[物理]]="","",SUMPRODUCT((表成绩单[考试日期]=表成绩单[[#This Row],[考试日期]])*(表成绩单[物理]&lt;9E+307)*(表成绩单[物理]&gt;表成绩单[[#This Row],[物理]]))+1)</f>
        <v>495</v>
      </c>
      <c r="T1310" s="29" cm="1">
        <f t="array" ref="T1310">IF(表成绩单[[#This Row],[化学]]="","",SUMPRODUCT((表成绩单[考试日期]=表成绩单[[#This Row],[考试日期]])*(表成绩单[化学]&lt;9E+307)*(表成绩单[化学]&gt;表成绩单[[#This Row],[化学]]))+1)</f>
        <v>559</v>
      </c>
      <c r="U1310" s="29" cm="1">
        <f t="array" ref="U1310">IF(表成绩单[[#This Row],[政治]]="","",SUMPRODUCT((表成绩单[考试日期]=表成绩单[[#This Row],[考试日期]])*(表成绩单[政治]&lt;9E+307)*(表成绩单[政治]&gt;表成绩单[[#This Row],[政治]]))+1)</f>
        <v>421</v>
      </c>
      <c r="V1310" s="29" cm="1">
        <f t="array" ref="V1310">IF(表成绩单[[#This Row],[历史]]="","",SUMPRODUCT((表成绩单[考试日期]=表成绩单[[#This Row],[考试日期]])*(表成绩单[历史]&lt;9E+307)*(表成绩单[历史]&gt;表成绩单[[#This Row],[历史]]))+1)</f>
        <v>618</v>
      </c>
      <c r="W1310" s="29" cm="1">
        <f t="array" ref="W1310">IF(表成绩单[[#This Row],[总分]]="","",SUMPRODUCT((表成绩单[考试日期]=表成绩单[[#This Row],[考试日期]])*(表成绩单[总分]&lt;9E+307)*(表成绩单[总分]&gt;表成绩单[[#This Row],[总分]]))+1)</f>
        <v>505</v>
      </c>
    </row>
    <row r="1311" ht="28" customHeight="1" spans="4:23">
      <c r="D1311" s="31">
        <v>46003</v>
      </c>
      <c r="E1311" s="29">
        <v>19178621</v>
      </c>
      <c r="F1311" s="29" t="s">
        <v>25</v>
      </c>
      <c r="G1311" s="29" t="s">
        <v>630</v>
      </c>
      <c r="H1311" s="29">
        <v>103</v>
      </c>
      <c r="I1311" s="29">
        <v>61</v>
      </c>
      <c r="J1311" s="29">
        <v>71</v>
      </c>
      <c r="K1311" s="29">
        <v>58</v>
      </c>
      <c r="L1311" s="29">
        <v>77</v>
      </c>
      <c r="M1311" s="29">
        <v>52</v>
      </c>
      <c r="N1311" s="29">
        <v>73</v>
      </c>
      <c r="O1311" s="32">
        <v>495</v>
      </c>
      <c r="P1311" s="29" cm="1">
        <f t="array" ref="P1311">IF(表成绩单[[#This Row],[语文]]="","",SUMPRODUCT((表成绩单[考试日期]=表成绩单[[#This Row],[考试日期]])*(表成绩单[语文]&lt;9E+307)*(表成绩单[语文]&gt;表成绩单[[#This Row],[语文]]))+1)</f>
        <v>333</v>
      </c>
      <c r="Q1311" s="29" cm="1">
        <f t="array" ref="Q1311">IF(表成绩单[[#This Row],[数学]]="","",SUMPRODUCT((表成绩单[考试日期]=表成绩单[[#This Row],[考试日期]])*(表成绩单[数学]&lt;9E+307)*(表成绩单[数学]&gt;表成绩单[[#This Row],[数学]]))+1)</f>
        <v>504</v>
      </c>
      <c r="R1311" s="29" cm="1">
        <f t="array" ref="R1311">IF(表成绩单[[#This Row],[英语]]="","",SUMPRODUCT((表成绩单[考试日期]=表成绩单[[#This Row],[考试日期]])*(表成绩单[英语]&lt;9E+307)*(表成绩单[英语]&gt;表成绩单[[#This Row],[英语]]))+1)</f>
        <v>404</v>
      </c>
      <c r="S1311" s="29" cm="1">
        <f t="array" ref="S1311">IF(表成绩单[[#This Row],[物理]]="","",SUMPRODUCT((表成绩单[考试日期]=表成绩单[[#This Row],[考试日期]])*(表成绩单[物理]&lt;9E+307)*(表成绩单[物理]&gt;表成绩单[[#This Row],[物理]]))+1)</f>
        <v>600</v>
      </c>
      <c r="T1311" s="29" cm="1">
        <f t="array" ref="T1311">IF(表成绩单[[#This Row],[化学]]="","",SUMPRODUCT((表成绩单[考试日期]=表成绩单[[#This Row],[考试日期]])*(表成绩单[化学]&lt;9E+307)*(表成绩单[化学]&gt;表成绩单[[#This Row],[化学]]))+1)</f>
        <v>388</v>
      </c>
      <c r="U1311" s="29" cm="1">
        <f t="array" ref="U1311">IF(表成绩单[[#This Row],[政治]]="","",SUMPRODUCT((表成绩单[考试日期]=表成绩单[[#This Row],[考试日期]])*(表成绩单[政治]&lt;9E+307)*(表成绩单[政治]&gt;表成绩单[[#This Row],[政治]]))+1)</f>
        <v>560</v>
      </c>
      <c r="V1311" s="29" cm="1">
        <f t="array" ref="V1311">IF(表成绩单[[#This Row],[历史]]="","",SUMPRODUCT((表成绩单[考试日期]=表成绩单[[#This Row],[考试日期]])*(表成绩单[历史]&lt;9E+307)*(表成绩单[历史]&gt;表成绩单[[#This Row],[历史]]))+1)</f>
        <v>403</v>
      </c>
      <c r="W1311" s="29" cm="1">
        <f t="array" ref="W1311">IF(表成绩单[[#This Row],[总分]]="","",SUMPRODUCT((表成绩单[考试日期]=表成绩单[[#This Row],[考试日期]])*(表成绩单[总分]&lt;9E+307)*(表成绩单[总分]&gt;表成绩单[[#This Row],[总分]]))+1)</f>
        <v>506</v>
      </c>
    </row>
    <row r="1312" ht="28" customHeight="1" spans="4:23">
      <c r="D1312" s="31">
        <v>46003</v>
      </c>
      <c r="E1312" s="29">
        <v>19176020</v>
      </c>
      <c r="F1312" s="29" t="s">
        <v>59</v>
      </c>
      <c r="G1312" s="29" t="s">
        <v>589</v>
      </c>
      <c r="H1312" s="29">
        <v>96</v>
      </c>
      <c r="I1312" s="29">
        <v>69</v>
      </c>
      <c r="J1312" s="29">
        <v>55</v>
      </c>
      <c r="K1312" s="29">
        <v>74</v>
      </c>
      <c r="L1312" s="29">
        <v>64</v>
      </c>
      <c r="M1312" s="29">
        <v>67</v>
      </c>
      <c r="N1312" s="29">
        <v>69</v>
      </c>
      <c r="O1312" s="32">
        <v>494</v>
      </c>
      <c r="P1312" s="29" cm="1">
        <f t="array" ref="P1312">IF(表成绩单[[#This Row],[语文]]="","",SUMPRODUCT((表成绩单[考试日期]=表成绩单[[#This Row],[考试日期]])*(表成绩单[语文]&lt;9E+307)*(表成绩单[语文]&gt;表成绩单[[#This Row],[语文]]))+1)</f>
        <v>509</v>
      </c>
      <c r="Q1312" s="29" cm="1">
        <f t="array" ref="Q1312">IF(表成绩单[[#This Row],[数学]]="","",SUMPRODUCT((表成绩单[考试日期]=表成绩单[[#This Row],[考试日期]])*(表成绩单[数学]&lt;9E+307)*(表成绩单[数学]&gt;表成绩单[[#This Row],[数学]]))+1)</f>
        <v>437</v>
      </c>
      <c r="R1312" s="29" cm="1">
        <f t="array" ref="R1312">IF(表成绩单[[#This Row],[英语]]="","",SUMPRODUCT((表成绩单[考试日期]=表成绩单[[#This Row],[考试日期]])*(表成绩单[英语]&lt;9E+307)*(表成绩单[英语]&gt;表成绩单[[#This Row],[英语]]))+1)</f>
        <v>567</v>
      </c>
      <c r="S1312" s="29" cm="1">
        <f t="array" ref="S1312">IF(表成绩单[[#This Row],[物理]]="","",SUMPRODUCT((表成绩单[考试日期]=表成绩单[[#This Row],[考试日期]])*(表成绩单[物理]&lt;9E+307)*(表成绩单[物理]&gt;表成绩单[[#This Row],[物理]]))+1)</f>
        <v>481</v>
      </c>
      <c r="T1312" s="29" cm="1">
        <f t="array" ref="T1312">IF(表成绩单[[#This Row],[化学]]="","",SUMPRODUCT((表成绩单[考试日期]=表成绩单[[#This Row],[考试日期]])*(表成绩单[化学]&lt;9E+307)*(表成绩单[化学]&gt;表成绩单[[#This Row],[化学]]))+1)</f>
        <v>552</v>
      </c>
      <c r="U1312" s="29" cm="1">
        <f t="array" ref="U1312">IF(表成绩单[[#This Row],[政治]]="","",SUMPRODUCT((表成绩单[考试日期]=表成绩单[[#This Row],[考试日期]])*(表成绩单[政治]&lt;9E+307)*(表成绩单[政治]&gt;表成绩单[[#This Row],[政治]]))+1)</f>
        <v>264</v>
      </c>
      <c r="V1312" s="29" cm="1">
        <f t="array" ref="V1312">IF(表成绩单[[#This Row],[历史]]="","",SUMPRODUCT((表成绩单[考试日期]=表成绩单[[#This Row],[考试日期]])*(表成绩单[历史]&lt;9E+307)*(表成绩单[历史]&gt;表成绩单[[#This Row],[历史]]))+1)</f>
        <v>516</v>
      </c>
      <c r="W1312" s="29" cm="1">
        <f t="array" ref="W1312">IF(表成绩单[[#This Row],[总分]]="","",SUMPRODUCT((表成绩单[考试日期]=表成绩单[[#This Row],[考试日期]])*(表成绩单[总分]&lt;9E+307)*(表成绩单[总分]&gt;表成绩单[[#This Row],[总分]]))+1)</f>
        <v>507</v>
      </c>
    </row>
    <row r="1313" ht="28" customHeight="1" spans="4:23">
      <c r="D1313" s="31">
        <v>46003</v>
      </c>
      <c r="E1313" s="29">
        <v>19178652</v>
      </c>
      <c r="F1313" s="29" t="s">
        <v>25</v>
      </c>
      <c r="G1313" s="29" t="s">
        <v>643</v>
      </c>
      <c r="H1313" s="29">
        <v>98</v>
      </c>
      <c r="I1313" s="29">
        <v>60</v>
      </c>
      <c r="J1313" s="29">
        <v>61</v>
      </c>
      <c r="K1313" s="29">
        <v>90</v>
      </c>
      <c r="L1313" s="29">
        <v>81</v>
      </c>
      <c r="M1313" s="29">
        <v>40</v>
      </c>
      <c r="N1313" s="29">
        <v>63</v>
      </c>
      <c r="O1313" s="32">
        <v>493</v>
      </c>
      <c r="P1313" s="29" cm="1">
        <f t="array" ref="P1313">IF(表成绩单[[#This Row],[语文]]="","",SUMPRODUCT((表成绩单[考试日期]=表成绩单[[#This Row],[考试日期]])*(表成绩单[语文]&lt;9E+307)*(表成绩单[语文]&gt;表成绩单[[#This Row],[语文]]))+1)</f>
        <v>463</v>
      </c>
      <c r="Q1313" s="29" cm="1">
        <f t="array" ref="Q1313">IF(表成绩单[[#This Row],[数学]]="","",SUMPRODUCT((表成绩单[考试日期]=表成绩单[[#This Row],[考试日期]])*(表成绩单[数学]&lt;9E+307)*(表成绩单[数学]&gt;表成绩单[[#This Row],[数学]]))+1)</f>
        <v>519</v>
      </c>
      <c r="R1313" s="29" cm="1">
        <f t="array" ref="R1313">IF(表成绩单[[#This Row],[英语]]="","",SUMPRODUCT((表成绩单[考试日期]=表成绩单[[#This Row],[考试日期]])*(表成绩单[英语]&lt;9E+307)*(表成绩单[英语]&gt;表成绩单[[#This Row],[英语]]))+1)</f>
        <v>519</v>
      </c>
      <c r="S1313" s="29" cm="1">
        <f t="array" ref="S1313">IF(表成绩单[[#This Row],[物理]]="","",SUMPRODUCT((表成绩单[考试日期]=表成绩单[[#This Row],[考试日期]])*(表成绩单[物理]&lt;9E+307)*(表成绩单[物理]&gt;表成绩单[[#This Row],[物理]]))+1)</f>
        <v>237</v>
      </c>
      <c r="T1313" s="29" cm="1">
        <f t="array" ref="T1313">IF(表成绩单[[#This Row],[化学]]="","",SUMPRODUCT((表成绩单[考试日期]=表成绩单[[#This Row],[考试日期]])*(表成绩单[化学]&lt;9E+307)*(表成绩单[化学]&gt;表成绩单[[#This Row],[化学]]))+1)</f>
        <v>308</v>
      </c>
      <c r="U1313" s="29" cm="1">
        <f t="array" ref="U1313">IF(表成绩单[[#This Row],[政治]]="","",SUMPRODUCT((表成绩单[考试日期]=表成绩单[[#This Row],[考试日期]])*(表成绩单[政治]&lt;9E+307)*(表成绩单[政治]&gt;表成绩单[[#This Row],[政治]]))+1)</f>
        <v>678</v>
      </c>
      <c r="V1313" s="29" cm="1">
        <f t="array" ref="V1313">IF(表成绩单[[#This Row],[历史]]="","",SUMPRODUCT((表成绩单[考试日期]=表成绩单[[#This Row],[考试日期]])*(表成绩单[历史]&lt;9E+307)*(表成绩单[历史]&gt;表成绩单[[#This Row],[历史]]))+1)</f>
        <v>608</v>
      </c>
      <c r="W1313" s="29" cm="1">
        <f t="array" ref="W1313">IF(表成绩单[[#This Row],[总分]]="","",SUMPRODUCT((表成绩单[考试日期]=表成绩单[[#This Row],[考试日期]])*(表成绩单[总分]&lt;9E+307)*(表成绩单[总分]&gt;表成绩单[[#This Row],[总分]]))+1)</f>
        <v>508</v>
      </c>
    </row>
    <row r="1314" ht="28" customHeight="1" spans="4:23">
      <c r="D1314" s="31">
        <v>46003</v>
      </c>
      <c r="E1314" s="29">
        <v>19175665</v>
      </c>
      <c r="F1314" s="29" t="s">
        <v>66</v>
      </c>
      <c r="G1314" s="29" t="s">
        <v>609</v>
      </c>
      <c r="H1314" s="29">
        <v>108</v>
      </c>
      <c r="I1314" s="29">
        <v>47</v>
      </c>
      <c r="J1314" s="29">
        <v>62.5</v>
      </c>
      <c r="K1314" s="29">
        <v>74</v>
      </c>
      <c r="L1314" s="29">
        <v>72</v>
      </c>
      <c r="M1314" s="29">
        <v>58</v>
      </c>
      <c r="N1314" s="29">
        <v>69</v>
      </c>
      <c r="O1314" s="32">
        <v>490.5</v>
      </c>
      <c r="P1314" s="29" cm="1">
        <f t="array" ref="P1314">IF(表成绩单[[#This Row],[语文]]="","",SUMPRODUCT((表成绩单[考试日期]=表成绩单[[#This Row],[考试日期]])*(表成绩单[语文]&lt;9E+307)*(表成绩单[语文]&gt;表成绩单[[#This Row],[语文]]))+1)</f>
        <v>154</v>
      </c>
      <c r="Q1314" s="29" cm="1">
        <f t="array" ref="Q1314">IF(表成绩单[[#This Row],[数学]]="","",SUMPRODUCT((表成绩单[考试日期]=表成绩单[[#This Row],[考试日期]])*(表成绩单[数学]&lt;9E+307)*(表成绩单[数学]&gt;表成绩单[[#This Row],[数学]]))+1)</f>
        <v>601</v>
      </c>
      <c r="R1314" s="29" cm="1">
        <f t="array" ref="R1314">IF(表成绩单[[#This Row],[英语]]="","",SUMPRODUCT((表成绩单[考试日期]=表成绩单[[#This Row],[考试日期]])*(表成绩单[英语]&lt;9E+307)*(表成绩单[英语]&gt;表成绩单[[#This Row],[英语]]))+1)</f>
        <v>504</v>
      </c>
      <c r="S1314" s="29" cm="1">
        <f t="array" ref="S1314">IF(表成绩单[[#This Row],[物理]]="","",SUMPRODUCT((表成绩单[考试日期]=表成绩单[[#This Row],[考试日期]])*(表成绩单[物理]&lt;9E+307)*(表成绩单[物理]&gt;表成绩单[[#This Row],[物理]]))+1)</f>
        <v>481</v>
      </c>
      <c r="T1314" s="29" cm="1">
        <f t="array" ref="T1314">IF(表成绩单[[#This Row],[化学]]="","",SUMPRODUCT((表成绩单[考试日期]=表成绩单[[#This Row],[考试日期]])*(表成绩单[化学]&lt;9E+307)*(表成绩单[化学]&gt;表成绩单[[#This Row],[化学]]))+1)</f>
        <v>472</v>
      </c>
      <c r="U1314" s="29" cm="1">
        <f t="array" ref="U1314">IF(表成绩单[[#This Row],[政治]]="","",SUMPRODUCT((表成绩单[考试日期]=表成绩单[[#This Row],[考试日期]])*(表成绩单[政治]&lt;9E+307)*(表成绩单[政治]&gt;表成绩单[[#This Row],[政治]]))+1)</f>
        <v>454</v>
      </c>
      <c r="V1314" s="29" cm="1">
        <f t="array" ref="V1314">IF(表成绩单[[#This Row],[历史]]="","",SUMPRODUCT((表成绩单[考试日期]=表成绩单[[#This Row],[考试日期]])*(表成绩单[历史]&lt;9E+307)*(表成绩单[历史]&gt;表成绩单[[#This Row],[历史]]))+1)</f>
        <v>516</v>
      </c>
      <c r="W1314" s="29" cm="1">
        <f t="array" ref="W1314">IF(表成绩单[[#This Row],[总分]]="","",SUMPRODUCT((表成绩单[考试日期]=表成绩单[[#This Row],[考试日期]])*(表成绩单[总分]&lt;9E+307)*(表成绩单[总分]&gt;表成绩单[[#This Row],[总分]]))+1)</f>
        <v>509</v>
      </c>
    </row>
    <row r="1315" ht="28" customHeight="1" spans="4:23">
      <c r="D1315" s="31">
        <v>46003</v>
      </c>
      <c r="E1315" s="29">
        <v>19174448</v>
      </c>
      <c r="F1315" s="29" t="s">
        <v>73</v>
      </c>
      <c r="G1315" s="29" t="s">
        <v>668</v>
      </c>
      <c r="H1315" s="29">
        <v>103</v>
      </c>
      <c r="I1315" s="29">
        <v>65</v>
      </c>
      <c r="J1315" s="29">
        <v>72</v>
      </c>
      <c r="K1315" s="29">
        <v>66</v>
      </c>
      <c r="L1315" s="29">
        <v>49</v>
      </c>
      <c r="M1315" s="29">
        <v>63</v>
      </c>
      <c r="N1315" s="29">
        <v>72</v>
      </c>
      <c r="O1315" s="32">
        <v>490</v>
      </c>
      <c r="P1315" s="29" cm="1">
        <f t="array" ref="P1315">IF(表成绩单[[#This Row],[语文]]="","",SUMPRODUCT((表成绩单[考试日期]=表成绩单[[#This Row],[考试日期]])*(表成绩单[语文]&lt;9E+307)*(表成绩单[语文]&gt;表成绩单[[#This Row],[语文]]))+1)</f>
        <v>333</v>
      </c>
      <c r="Q1315" s="29" cm="1">
        <f t="array" ref="Q1315">IF(表成绩单[[#This Row],[数学]]="","",SUMPRODUCT((表成绩单[考试日期]=表成绩单[[#This Row],[考试日期]])*(表成绩单[数学]&lt;9E+307)*(表成绩单[数学]&gt;表成绩单[[#This Row],[数学]]))+1)</f>
        <v>479</v>
      </c>
      <c r="R1315" s="29" cm="1">
        <f t="array" ref="R1315">IF(表成绩单[[#This Row],[英语]]="","",SUMPRODUCT((表成绩单[考试日期]=表成绩单[[#This Row],[考试日期]])*(表成绩单[英语]&lt;9E+307)*(表成绩单[英语]&gt;表成绩单[[#This Row],[英语]]))+1)</f>
        <v>386</v>
      </c>
      <c r="S1315" s="29" cm="1">
        <f t="array" ref="S1315">IF(表成绩单[[#This Row],[物理]]="","",SUMPRODUCT((表成绩单[考试日期]=表成绩单[[#This Row],[考试日期]])*(表成绩单[物理]&lt;9E+307)*(表成绩单[物理]&gt;表成绩单[[#This Row],[物理]]))+1)</f>
        <v>551</v>
      </c>
      <c r="T1315" s="29" cm="1">
        <f t="array" ref="T1315">IF(表成绩单[[#This Row],[化学]]="","",SUMPRODUCT((表成绩单[考试日期]=表成绩单[[#This Row],[考试日期]])*(表成绩单[化学]&lt;9E+307)*(表成绩单[化学]&gt;表成绩单[[#This Row],[化学]]))+1)</f>
        <v>657</v>
      </c>
      <c r="U1315" s="29" cm="1">
        <f t="array" ref="U1315">IF(表成绩单[[#This Row],[政治]]="","",SUMPRODUCT((表成绩单[考试日期]=表成绩单[[#This Row],[考试日期]])*(表成绩单[政治]&lt;9E+307)*(表成绩单[政治]&gt;表成绩单[[#This Row],[政治]]))+1)</f>
        <v>360</v>
      </c>
      <c r="V1315" s="29" cm="1">
        <f t="array" ref="V1315">IF(表成绩单[[#This Row],[历史]]="","",SUMPRODUCT((表成绩单[考试日期]=表成绩单[[#This Row],[考试日期]])*(表成绩单[历史]&lt;9E+307)*(表成绩单[历史]&gt;表成绩单[[#This Row],[历史]]))+1)</f>
        <v>439</v>
      </c>
      <c r="W1315" s="29" cm="1">
        <f t="array" ref="W1315">IF(表成绩单[[#This Row],[总分]]="","",SUMPRODUCT((表成绩单[考试日期]=表成绩单[[#This Row],[考试日期]])*(表成绩单[总分]&lt;9E+307)*(表成绩单[总分]&gt;表成绩单[[#This Row],[总分]]))+1)</f>
        <v>510</v>
      </c>
    </row>
    <row r="1316" ht="28" customHeight="1" spans="4:23">
      <c r="D1316" s="31">
        <v>46003</v>
      </c>
      <c r="E1316" s="29">
        <v>19171089</v>
      </c>
      <c r="F1316" s="29" t="s">
        <v>67</v>
      </c>
      <c r="G1316" s="29" t="s">
        <v>686</v>
      </c>
      <c r="H1316" s="29">
        <v>91</v>
      </c>
      <c r="I1316" s="29">
        <v>69</v>
      </c>
      <c r="J1316" s="29">
        <v>54.5</v>
      </c>
      <c r="K1316" s="29">
        <v>74</v>
      </c>
      <c r="L1316" s="29">
        <v>81</v>
      </c>
      <c r="M1316" s="29">
        <v>54</v>
      </c>
      <c r="N1316" s="29">
        <v>66</v>
      </c>
      <c r="O1316" s="32">
        <v>489.5</v>
      </c>
      <c r="P1316" s="29" cm="1">
        <f t="array" ref="P1316">IF(表成绩单[[#This Row],[语文]]="","",SUMPRODUCT((表成绩单[考试日期]=表成绩单[[#This Row],[考试日期]])*(表成绩单[语文]&lt;9E+307)*(表成绩单[语文]&gt;表成绩单[[#This Row],[语文]]))+1)</f>
        <v>580</v>
      </c>
      <c r="Q1316" s="29" cm="1">
        <f t="array" ref="Q1316">IF(表成绩单[[#This Row],[数学]]="","",SUMPRODUCT((表成绩单[考试日期]=表成绩单[[#This Row],[考试日期]])*(表成绩单[数学]&lt;9E+307)*(表成绩单[数学]&gt;表成绩单[[#This Row],[数学]]))+1)</f>
        <v>437</v>
      </c>
      <c r="R1316" s="29" cm="1">
        <f t="array" ref="R1316">IF(表成绩单[[#This Row],[英语]]="","",SUMPRODUCT((表成绩单[考试日期]=表成绩单[[#This Row],[考试日期]])*(表成绩单[英语]&lt;9E+307)*(表成绩单[英语]&gt;表成绩单[[#This Row],[英语]]))+1)</f>
        <v>570</v>
      </c>
      <c r="S1316" s="29" cm="1">
        <f t="array" ref="S1316">IF(表成绩单[[#This Row],[物理]]="","",SUMPRODUCT((表成绩单[考试日期]=表成绩单[[#This Row],[考试日期]])*(表成绩单[物理]&lt;9E+307)*(表成绩单[物理]&gt;表成绩单[[#This Row],[物理]]))+1)</f>
        <v>481</v>
      </c>
      <c r="T1316" s="29" cm="1">
        <f t="array" ref="T1316">IF(表成绩单[[#This Row],[化学]]="","",SUMPRODUCT((表成绩单[考试日期]=表成绩单[[#This Row],[考试日期]])*(表成绩单[化学]&lt;9E+307)*(表成绩单[化学]&gt;表成绩单[[#This Row],[化学]]))+1)</f>
        <v>308</v>
      </c>
      <c r="U1316" s="29" cm="1">
        <f t="array" ref="U1316">IF(表成绩单[[#This Row],[政治]]="","",SUMPRODUCT((表成绩单[考试日期]=表成绩单[[#This Row],[考试日期]])*(表成绩单[政治]&lt;9E+307)*(表成绩单[政治]&gt;表成绩单[[#This Row],[政治]]))+1)</f>
        <v>524</v>
      </c>
      <c r="V1316" s="29" cm="1">
        <f t="array" ref="V1316">IF(表成绩单[[#This Row],[历史]]="","",SUMPRODUCT((表成绩单[考试日期]=表成绩单[[#This Row],[考试日期]])*(表成绩单[历史]&lt;9E+307)*(表成绩单[历史]&gt;表成绩单[[#This Row],[历史]]))+1)</f>
        <v>571</v>
      </c>
      <c r="W1316" s="29" cm="1">
        <f t="array" ref="W1316">IF(表成绩单[[#This Row],[总分]]="","",SUMPRODUCT((表成绩单[考试日期]=表成绩单[[#This Row],[考试日期]])*(表成绩单[总分]&lt;9E+307)*(表成绩单[总分]&gt;表成绩单[[#This Row],[总分]]))+1)</f>
        <v>511</v>
      </c>
    </row>
    <row r="1317" ht="28" customHeight="1" spans="4:23">
      <c r="D1317" s="31">
        <v>46003</v>
      </c>
      <c r="E1317" s="29">
        <v>19173789</v>
      </c>
      <c r="F1317" s="29" t="s">
        <v>65</v>
      </c>
      <c r="G1317" s="29" t="s">
        <v>676</v>
      </c>
      <c r="H1317" s="29">
        <v>94</v>
      </c>
      <c r="I1317" s="29">
        <v>72</v>
      </c>
      <c r="J1317" s="29">
        <v>59.5</v>
      </c>
      <c r="K1317" s="29">
        <v>81</v>
      </c>
      <c r="L1317" s="29">
        <v>65</v>
      </c>
      <c r="M1317" s="29">
        <v>58</v>
      </c>
      <c r="N1317" s="29">
        <v>60</v>
      </c>
      <c r="O1317" s="32">
        <v>489.5</v>
      </c>
      <c r="P1317" s="29" cm="1">
        <f t="array" ref="P1317">IF(表成绩单[[#This Row],[语文]]="","",SUMPRODUCT((表成绩单[考试日期]=表成绩单[[#This Row],[考试日期]])*(表成绩单[语文]&lt;9E+307)*(表成绩单[语文]&gt;表成绩单[[#This Row],[语文]]))+1)</f>
        <v>537</v>
      </c>
      <c r="Q1317" s="29" cm="1">
        <f t="array" ref="Q1317">IF(表成绩单[[#This Row],[数学]]="","",SUMPRODUCT((表成绩单[考试日期]=表成绩单[[#This Row],[考试日期]])*(表成绩单[数学]&lt;9E+307)*(表成绩单[数学]&gt;表成绩单[[#This Row],[数学]]))+1)</f>
        <v>396</v>
      </c>
      <c r="R1317" s="29" cm="1">
        <f t="array" ref="R1317">IF(表成绩单[[#This Row],[英语]]="","",SUMPRODUCT((表成绩单[考试日期]=表成绩单[[#This Row],[考试日期]])*(表成绩单[英语]&lt;9E+307)*(表成绩单[英语]&gt;表成绩单[[#This Row],[英语]]))+1)</f>
        <v>531</v>
      </c>
      <c r="S1317" s="29" cm="1">
        <f t="array" ref="S1317">IF(表成绩单[[#This Row],[物理]]="","",SUMPRODUCT((表成绩单[考试日期]=表成绩单[[#This Row],[考试日期]])*(表成绩单[物理]&lt;9E+307)*(表成绩单[物理]&gt;表成绩单[[#This Row],[物理]]))+1)</f>
        <v>405</v>
      </c>
      <c r="T1317" s="29" cm="1">
        <f t="array" ref="T1317">IF(表成绩单[[#This Row],[化学]]="","",SUMPRODUCT((表成绩单[考试日期]=表成绩单[[#This Row],[考试日期]])*(表成绩单[化学]&lt;9E+307)*(表成绩单[化学]&gt;表成绩单[[#This Row],[化学]]))+1)</f>
        <v>543</v>
      </c>
      <c r="U1317" s="29" cm="1">
        <f t="array" ref="U1317">IF(表成绩单[[#This Row],[政治]]="","",SUMPRODUCT((表成绩单[考试日期]=表成绩单[[#This Row],[考试日期]])*(表成绩单[政治]&lt;9E+307)*(表成绩单[政治]&gt;表成绩单[[#This Row],[政治]]))+1)</f>
        <v>454</v>
      </c>
      <c r="V1317" s="29" cm="1">
        <f t="array" ref="V1317">IF(表成绩单[[#This Row],[历史]]="","",SUMPRODUCT((表成绩单[考试日期]=表成绩单[[#This Row],[考试日期]])*(表成绩单[历史]&lt;9E+307)*(表成绩单[历史]&gt;表成绩单[[#This Row],[历史]]))+1)</f>
        <v>633</v>
      </c>
      <c r="W1317" s="29" cm="1">
        <f t="array" ref="W1317">IF(表成绩单[[#This Row],[总分]]="","",SUMPRODUCT((表成绩单[考试日期]=表成绩单[[#This Row],[考试日期]])*(表成绩单[总分]&lt;9E+307)*(表成绩单[总分]&gt;表成绩单[[#This Row],[总分]]))+1)</f>
        <v>511</v>
      </c>
    </row>
    <row r="1318" ht="28" customHeight="1" spans="4:23">
      <c r="D1318" s="31">
        <v>46003</v>
      </c>
      <c r="E1318" s="29">
        <v>19178580</v>
      </c>
      <c r="F1318" s="29" t="s">
        <v>64</v>
      </c>
      <c r="G1318" s="29" t="s">
        <v>612</v>
      </c>
      <c r="H1318" s="29">
        <v>93</v>
      </c>
      <c r="I1318" s="29">
        <v>69</v>
      </c>
      <c r="J1318" s="29">
        <v>59</v>
      </c>
      <c r="K1318" s="29">
        <v>71</v>
      </c>
      <c r="L1318" s="29">
        <v>62</v>
      </c>
      <c r="M1318" s="29">
        <v>52</v>
      </c>
      <c r="N1318" s="29">
        <v>80</v>
      </c>
      <c r="O1318" s="32">
        <v>486</v>
      </c>
      <c r="P1318" s="29" cm="1">
        <f t="array" ref="P1318">IF(表成绩单[[#This Row],[语文]]="","",SUMPRODUCT((表成绩单[考试日期]=表成绩单[[#This Row],[考试日期]])*(表成绩单[语文]&lt;9E+307)*(表成绩单[语文]&gt;表成绩单[[#This Row],[语文]]))+1)</f>
        <v>555</v>
      </c>
      <c r="Q1318" s="29" cm="1">
        <f t="array" ref="Q1318">IF(表成绩单[[#This Row],[数学]]="","",SUMPRODUCT((表成绩单[考试日期]=表成绩单[[#This Row],[考试日期]])*(表成绩单[数学]&lt;9E+307)*(表成绩单[数学]&gt;表成绩单[[#This Row],[数学]]))+1)</f>
        <v>437</v>
      </c>
      <c r="R1318" s="29" cm="1">
        <f t="array" ref="R1318">IF(表成绩单[[#This Row],[英语]]="","",SUMPRODUCT((表成绩单[考试日期]=表成绩单[[#This Row],[考试日期]])*(表成绩单[英语]&lt;9E+307)*(表成绩单[英语]&gt;表成绩单[[#This Row],[英语]]))+1)</f>
        <v>536</v>
      </c>
      <c r="S1318" s="29" cm="1">
        <f t="array" ref="S1318">IF(表成绩单[[#This Row],[物理]]="","",SUMPRODUCT((表成绩单[考试日期]=表成绩单[[#This Row],[考试日期]])*(表成绩单[物理]&lt;9E+307)*(表成绩单[物理]&gt;表成绩单[[#This Row],[物理]]))+1)</f>
        <v>507</v>
      </c>
      <c r="T1318" s="29" cm="1">
        <f t="array" ref="T1318">IF(表成绩单[[#This Row],[化学]]="","",SUMPRODUCT((表成绩单[考试日期]=表成绩单[[#This Row],[考试日期]])*(表成绩单[化学]&lt;9E+307)*(表成绩单[化学]&gt;表成绩单[[#This Row],[化学]]))+1)</f>
        <v>565</v>
      </c>
      <c r="U1318" s="29" cm="1">
        <f t="array" ref="U1318">IF(表成绩单[[#This Row],[政治]]="","",SUMPRODUCT((表成绩单[考试日期]=表成绩单[[#This Row],[考试日期]])*(表成绩单[政治]&lt;9E+307)*(表成绩单[政治]&gt;表成绩单[[#This Row],[政治]]))+1)</f>
        <v>560</v>
      </c>
      <c r="V1318" s="29" cm="1">
        <f t="array" ref="V1318">IF(表成绩单[[#This Row],[历史]]="","",SUMPRODUCT((表成绩单[考试日期]=表成绩单[[#This Row],[考试日期]])*(表成绩单[历史]&lt;9E+307)*(表成绩单[历史]&gt;表成绩单[[#This Row],[历史]]))+1)</f>
        <v>116</v>
      </c>
      <c r="W1318" s="29" cm="1">
        <f t="array" ref="W1318">IF(表成绩单[[#This Row],[总分]]="","",SUMPRODUCT((表成绩单[考试日期]=表成绩单[[#This Row],[考试日期]])*(表成绩单[总分]&lt;9E+307)*(表成绩单[总分]&gt;表成绩单[[#This Row],[总分]]))+1)</f>
        <v>513</v>
      </c>
    </row>
    <row r="1319" ht="28" customHeight="1" spans="4:23">
      <c r="D1319" s="31">
        <v>46003</v>
      </c>
      <c r="E1319" s="29">
        <v>19175287</v>
      </c>
      <c r="F1319" s="29" t="s">
        <v>55</v>
      </c>
      <c r="G1319" s="29" t="s">
        <v>580</v>
      </c>
      <c r="H1319" s="29">
        <v>94</v>
      </c>
      <c r="I1319" s="29">
        <v>86</v>
      </c>
      <c r="J1319" s="29">
        <v>47.5</v>
      </c>
      <c r="K1319" s="29">
        <v>77</v>
      </c>
      <c r="L1319" s="29">
        <v>66</v>
      </c>
      <c r="M1319" s="29">
        <v>49</v>
      </c>
      <c r="N1319" s="29">
        <v>66</v>
      </c>
      <c r="O1319" s="32">
        <v>485.5</v>
      </c>
      <c r="P1319" s="29" cm="1">
        <f t="array" ref="P1319">IF(表成绩单[[#This Row],[语文]]="","",SUMPRODUCT((表成绩单[考试日期]=表成绩单[[#This Row],[考试日期]])*(表成绩单[语文]&lt;9E+307)*(表成绩单[语文]&gt;表成绩单[[#This Row],[语文]]))+1)</f>
        <v>537</v>
      </c>
      <c r="Q1319" s="29" cm="1">
        <f t="array" ref="Q1319">IF(表成绩单[[#This Row],[数学]]="","",SUMPRODUCT((表成绩单[考试日期]=表成绩单[[#This Row],[考试日期]])*(表成绩单[数学]&lt;9E+307)*(表成绩单[数学]&gt;表成绩单[[#This Row],[数学]]))+1)</f>
        <v>231</v>
      </c>
      <c r="R1319" s="29" cm="1">
        <f t="array" ref="R1319">IF(表成绩单[[#This Row],[英语]]="","",SUMPRODUCT((表成绩单[考试日期]=表成绩单[[#This Row],[考试日期]])*(表成绩单[英语]&lt;9E+307)*(表成绩单[英语]&gt;表成绩单[[#This Row],[英语]]))+1)</f>
        <v>615</v>
      </c>
      <c r="S1319" s="29" cm="1">
        <f t="array" ref="S1319">IF(表成绩单[[#This Row],[物理]]="","",SUMPRODUCT((表成绩单[考试日期]=表成绩单[[#This Row],[考试日期]])*(表成绩单[物理]&lt;9E+307)*(表成绩单[物理]&gt;表成绩单[[#This Row],[物理]]))+1)</f>
        <v>454</v>
      </c>
      <c r="T1319" s="29" cm="1">
        <f t="array" ref="T1319">IF(表成绩单[[#This Row],[化学]]="","",SUMPRODUCT((表成绩单[考试日期]=表成绩单[[#This Row],[考试日期]])*(表成绩单[化学]&lt;9E+307)*(表成绩单[化学]&gt;表成绩单[[#This Row],[化学]]))+1)</f>
        <v>530</v>
      </c>
      <c r="U1319" s="29" cm="1">
        <f t="array" ref="U1319">IF(表成绩单[[#This Row],[政治]]="","",SUMPRODUCT((表成绩单[考试日期]=表成绩单[[#This Row],[考试日期]])*(表成绩单[政治]&lt;9E+307)*(表成绩单[政治]&gt;表成绩单[[#This Row],[政治]]))+1)</f>
        <v>600</v>
      </c>
      <c r="V1319" s="29" cm="1">
        <f t="array" ref="V1319">IF(表成绩单[[#This Row],[历史]]="","",SUMPRODUCT((表成绩单[考试日期]=表成绩单[[#This Row],[考试日期]])*(表成绩单[历史]&lt;9E+307)*(表成绩单[历史]&gt;表成绩单[[#This Row],[历史]]))+1)</f>
        <v>571</v>
      </c>
      <c r="W1319" s="29" cm="1">
        <f t="array" ref="W1319">IF(表成绩单[[#This Row],[总分]]="","",SUMPRODUCT((表成绩单[考试日期]=表成绩单[[#This Row],[考试日期]])*(表成绩单[总分]&lt;9E+307)*(表成绩单[总分]&gt;表成绩单[[#This Row],[总分]]))+1)</f>
        <v>514</v>
      </c>
    </row>
    <row r="1320" ht="28" customHeight="1" spans="4:23">
      <c r="D1320" s="31">
        <v>46003</v>
      </c>
      <c r="E1320" s="29">
        <v>19173256</v>
      </c>
      <c r="F1320" s="29" t="s">
        <v>61</v>
      </c>
      <c r="G1320" s="29" t="s">
        <v>637</v>
      </c>
      <c r="H1320" s="29">
        <v>100</v>
      </c>
      <c r="I1320" s="29">
        <v>59</v>
      </c>
      <c r="J1320" s="29">
        <v>40</v>
      </c>
      <c r="K1320" s="29">
        <v>85</v>
      </c>
      <c r="L1320" s="29">
        <v>73</v>
      </c>
      <c r="M1320" s="29">
        <v>56</v>
      </c>
      <c r="N1320" s="29">
        <v>72</v>
      </c>
      <c r="O1320" s="32">
        <v>485</v>
      </c>
      <c r="P1320" s="29" cm="1">
        <f t="array" ref="P1320">IF(表成绩单[[#This Row],[语文]]="","",SUMPRODUCT((表成绩单[考试日期]=表成绩单[[#This Row],[考试日期]])*(表成绩单[语文]&lt;9E+307)*(表成绩单[语文]&gt;表成绩单[[#This Row],[语文]]))+1)</f>
        <v>414</v>
      </c>
      <c r="Q1320" s="29" cm="1">
        <f t="array" ref="Q1320">IF(表成绩单[[#This Row],[数学]]="","",SUMPRODUCT((表成绩单[考试日期]=表成绩单[[#This Row],[考试日期]])*(表成绩单[数学]&lt;9E+307)*(表成绩单[数学]&gt;表成绩单[[#This Row],[数学]]))+1)</f>
        <v>526</v>
      </c>
      <c r="R1320" s="29" cm="1">
        <f t="array" ref="R1320">IF(表成绩单[[#This Row],[英语]]="","",SUMPRODUCT((表成绩单[考试日期]=表成绩单[[#This Row],[考试日期]])*(表成绩单[英语]&lt;9E+307)*(表成绩单[英语]&gt;表成绩单[[#This Row],[英语]]))+1)</f>
        <v>652</v>
      </c>
      <c r="S1320" s="29" cm="1">
        <f t="array" ref="S1320">IF(表成绩单[[#This Row],[物理]]="","",SUMPRODUCT((表成绩单[考试日期]=表成绩单[[#This Row],[考试日期]])*(表成绩单[物理]&lt;9E+307)*(表成绩单[物理]&gt;表成绩单[[#This Row],[物理]]))+1)</f>
        <v>348</v>
      </c>
      <c r="T1320" s="29" cm="1">
        <f t="array" ref="T1320">IF(表成绩单[[#This Row],[化学]]="","",SUMPRODUCT((表成绩单[考试日期]=表成绩单[[#This Row],[考试日期]])*(表成绩单[化学]&lt;9E+307)*(表成绩单[化学]&gt;表成绩单[[#This Row],[化学]]))+1)</f>
        <v>457</v>
      </c>
      <c r="U1320" s="29" cm="1">
        <f t="array" ref="U1320">IF(表成绩单[[#This Row],[政治]]="","",SUMPRODUCT((表成绩单[考试日期]=表成绩单[[#This Row],[考试日期]])*(表成绩单[政治]&lt;9E+307)*(表成绩单[政治]&gt;表成绩单[[#This Row],[政治]]))+1)</f>
        <v>492</v>
      </c>
      <c r="V1320" s="29" cm="1">
        <f t="array" ref="V1320">IF(表成绩单[[#This Row],[历史]]="","",SUMPRODUCT((表成绩单[考试日期]=表成绩单[[#This Row],[考试日期]])*(表成绩单[历史]&lt;9E+307)*(表成绩单[历史]&gt;表成绩单[[#This Row],[历史]]))+1)</f>
        <v>439</v>
      </c>
      <c r="W1320" s="29" cm="1">
        <f t="array" ref="W1320">IF(表成绩单[[#This Row],[总分]]="","",SUMPRODUCT((表成绩单[考试日期]=表成绩单[[#This Row],[考试日期]])*(表成绩单[总分]&lt;9E+307)*(表成绩单[总分]&gt;表成绩单[[#This Row],[总分]]))+1)</f>
        <v>515</v>
      </c>
    </row>
    <row r="1321" ht="28" customHeight="1" spans="4:23">
      <c r="D1321" s="31">
        <v>46003</v>
      </c>
      <c r="E1321" s="29">
        <v>19174737</v>
      </c>
      <c r="F1321" s="29" t="s">
        <v>64</v>
      </c>
      <c r="G1321" s="29" t="s">
        <v>626</v>
      </c>
      <c r="H1321" s="29">
        <v>101</v>
      </c>
      <c r="I1321" s="29">
        <v>62</v>
      </c>
      <c r="J1321" s="29">
        <v>49</v>
      </c>
      <c r="K1321" s="29">
        <v>75</v>
      </c>
      <c r="L1321" s="29">
        <v>91</v>
      </c>
      <c r="M1321" s="29">
        <v>51</v>
      </c>
      <c r="N1321" s="29">
        <v>56</v>
      </c>
      <c r="O1321" s="32">
        <v>485</v>
      </c>
      <c r="P1321" s="29" cm="1">
        <f t="array" ref="P1321">IF(表成绩单[[#This Row],[语文]]="","",SUMPRODUCT((表成绩单[考试日期]=表成绩单[[#This Row],[考试日期]])*(表成绩单[语文]&lt;9E+307)*(表成绩单[语文]&gt;表成绩单[[#This Row],[语文]]))+1)</f>
        <v>387</v>
      </c>
      <c r="Q1321" s="29" cm="1">
        <f t="array" ref="Q1321">IF(表成绩单[[#This Row],[数学]]="","",SUMPRODUCT((表成绩单[考试日期]=表成绩单[[#This Row],[考试日期]])*(表成绩单[数学]&lt;9E+307)*(表成绩单[数学]&gt;表成绩单[[#This Row],[数学]]))+1)</f>
        <v>497</v>
      </c>
      <c r="R1321" s="29" cm="1">
        <f t="array" ref="R1321">IF(表成绩单[[#This Row],[英语]]="","",SUMPRODUCT((表成绩单[考试日期]=表成绩单[[#This Row],[考试日期]])*(表成绩单[英语]&lt;9E+307)*(表成绩单[英语]&gt;表成绩单[[#This Row],[英语]]))+1)</f>
        <v>609</v>
      </c>
      <c r="S1321" s="29" cm="1">
        <f t="array" ref="S1321">IF(表成绩单[[#This Row],[物理]]="","",SUMPRODUCT((表成绩单[考试日期]=表成绩单[[#This Row],[考试日期]])*(表成绩单[物理]&lt;9E+307)*(表成绩单[物理]&gt;表成绩单[[#This Row],[物理]]))+1)</f>
        <v>472</v>
      </c>
      <c r="T1321" s="29" cm="1">
        <f t="array" ref="T1321">IF(表成绩单[[#This Row],[化学]]="","",SUMPRODUCT((表成绩单[考试日期]=表成绩单[[#This Row],[考试日期]])*(表成绩单[化学]&lt;9E+307)*(表成绩单[化学]&gt;表成绩单[[#This Row],[化学]]))+1)</f>
        <v>127</v>
      </c>
      <c r="U1321" s="29" cm="1">
        <f t="array" ref="U1321">IF(表成绩单[[#This Row],[政治]]="","",SUMPRODUCT((表成绩单[考试日期]=表成绩单[[#This Row],[考试日期]])*(表成绩单[政治]&lt;9E+307)*(表成绩单[政治]&gt;表成绩单[[#This Row],[政治]]))+1)</f>
        <v>571</v>
      </c>
      <c r="V1321" s="29" cm="1">
        <f t="array" ref="V1321">IF(表成绩单[[#This Row],[历史]]="","",SUMPRODUCT((表成绩单[考试日期]=表成绩单[[#This Row],[考试日期]])*(表成绩单[历史]&lt;9E+307)*(表成绩单[历史]&gt;表成绩单[[#This Row],[历史]]))+1)</f>
        <v>664</v>
      </c>
      <c r="W1321" s="29" cm="1">
        <f t="array" ref="W1321">IF(表成绩单[[#This Row],[总分]]="","",SUMPRODUCT((表成绩单[考试日期]=表成绩单[[#This Row],[考试日期]])*(表成绩单[总分]&lt;9E+307)*(表成绩单[总分]&gt;表成绩单[[#This Row],[总分]]))+1)</f>
        <v>515</v>
      </c>
    </row>
    <row r="1322" ht="28" customHeight="1" spans="4:23">
      <c r="D1322" s="31">
        <v>46003</v>
      </c>
      <c r="E1322" s="29">
        <v>19178607</v>
      </c>
      <c r="F1322" s="29" t="s">
        <v>64</v>
      </c>
      <c r="G1322" s="29" t="s">
        <v>639</v>
      </c>
      <c r="H1322" s="29">
        <v>99</v>
      </c>
      <c r="I1322" s="29">
        <v>56</v>
      </c>
      <c r="J1322" s="29">
        <v>64</v>
      </c>
      <c r="K1322" s="29">
        <v>69</v>
      </c>
      <c r="L1322" s="29">
        <v>61</v>
      </c>
      <c r="M1322" s="29">
        <v>65</v>
      </c>
      <c r="N1322" s="29">
        <v>71</v>
      </c>
      <c r="O1322" s="32">
        <v>485</v>
      </c>
      <c r="P1322" s="29" cm="1">
        <f t="array" ref="P1322">IF(表成绩单[[#This Row],[语文]]="","",SUMPRODUCT((表成绩单[考试日期]=表成绩单[[#This Row],[考试日期]])*(表成绩单[语文]&lt;9E+307)*(表成绩单[语文]&gt;表成绩单[[#This Row],[语文]]))+1)</f>
        <v>440</v>
      </c>
      <c r="Q1322" s="29" cm="1">
        <f t="array" ref="Q1322">IF(表成绩单[[#This Row],[数学]]="","",SUMPRODUCT((表成绩单[考试日期]=表成绩单[[#This Row],[考试日期]])*(表成绩单[数学]&lt;9E+307)*(表成绩单[数学]&gt;表成绩单[[#This Row],[数学]]))+1)</f>
        <v>544</v>
      </c>
      <c r="R1322" s="29" cm="1">
        <f t="array" ref="R1322">IF(表成绩单[[#This Row],[英语]]="","",SUMPRODUCT((表成绩单[考试日期]=表成绩单[[#This Row],[考试日期]])*(表成绩单[英语]&lt;9E+307)*(表成绩单[英语]&gt;表成绩单[[#This Row],[英语]]))+1)</f>
        <v>489</v>
      </c>
      <c r="S1322" s="29" cm="1">
        <f t="array" ref="S1322">IF(表成绩单[[#This Row],[物理]]="","",SUMPRODUCT((表成绩单[考试日期]=表成绩单[[#This Row],[考试日期]])*(表成绩单[物理]&lt;9E+307)*(表成绩单[物理]&gt;表成绩单[[#This Row],[物理]]))+1)</f>
        <v>532</v>
      </c>
      <c r="T1322" s="29" cm="1">
        <f t="array" ref="T1322">IF(表成绩单[[#This Row],[化学]]="","",SUMPRODUCT((表成绩单[考试日期]=表成绩单[[#This Row],[考试日期]])*(表成绩单[化学]&lt;9E+307)*(表成绩单[化学]&gt;表成绩单[[#This Row],[化学]]))+1)</f>
        <v>572</v>
      </c>
      <c r="U1322" s="29" cm="1">
        <f t="array" ref="U1322">IF(表成绩单[[#This Row],[政治]]="","",SUMPRODUCT((表成绩单[考试日期]=表成绩单[[#This Row],[考试日期]])*(表成绩单[政治]&lt;9E+307)*(表成绩单[政治]&gt;表成绩单[[#This Row],[政治]]))+1)</f>
        <v>314</v>
      </c>
      <c r="V1322" s="29" cm="1">
        <f t="array" ref="V1322">IF(表成绩单[[#This Row],[历史]]="","",SUMPRODUCT((表成绩单[考试日期]=表成绩单[[#This Row],[考试日期]])*(表成绩单[历史]&lt;9E+307)*(表成绩单[历史]&gt;表成绩单[[#This Row],[历史]]))+1)</f>
        <v>471</v>
      </c>
      <c r="W1322" s="29" cm="1">
        <f t="array" ref="W1322">IF(表成绩单[[#This Row],[总分]]="","",SUMPRODUCT((表成绩单[考试日期]=表成绩单[[#This Row],[考试日期]])*(表成绩单[总分]&lt;9E+307)*(表成绩单[总分]&gt;表成绩单[[#This Row],[总分]]))+1)</f>
        <v>515</v>
      </c>
    </row>
    <row r="1323" ht="28" customHeight="1" spans="4:23">
      <c r="D1323" s="31">
        <v>46003</v>
      </c>
      <c r="E1323" s="29">
        <v>19176868</v>
      </c>
      <c r="F1323" s="29" t="s">
        <v>71</v>
      </c>
      <c r="G1323" s="29" t="s">
        <v>572</v>
      </c>
      <c r="H1323" s="29">
        <v>94</v>
      </c>
      <c r="I1323" s="29">
        <v>64</v>
      </c>
      <c r="J1323" s="29">
        <v>66</v>
      </c>
      <c r="K1323" s="29">
        <v>75</v>
      </c>
      <c r="L1323" s="29">
        <v>67</v>
      </c>
      <c r="M1323" s="29">
        <v>54</v>
      </c>
      <c r="N1323" s="29">
        <v>64</v>
      </c>
      <c r="O1323" s="32">
        <v>484</v>
      </c>
      <c r="P1323" s="29" cm="1">
        <f t="array" ref="P1323">IF(表成绩单[[#This Row],[语文]]="","",SUMPRODUCT((表成绩单[考试日期]=表成绩单[[#This Row],[考试日期]])*(表成绩单[语文]&lt;9E+307)*(表成绩单[语文]&gt;表成绩单[[#This Row],[语文]]))+1)</f>
        <v>537</v>
      </c>
      <c r="Q1323" s="29" cm="1">
        <f t="array" ref="Q1323">IF(表成绩单[[#This Row],[数学]]="","",SUMPRODUCT((表成绩单[考试日期]=表成绩单[[#This Row],[考试日期]])*(表成绩单[数学]&lt;9E+307)*(表成绩单[数学]&gt;表成绩单[[#This Row],[数学]]))+1)</f>
        <v>486</v>
      </c>
      <c r="R1323" s="29" cm="1">
        <f t="array" ref="R1323">IF(表成绩单[[#This Row],[英语]]="","",SUMPRODUCT((表成绩单[考试日期]=表成绩单[[#This Row],[考试日期]])*(表成绩单[英语]&lt;9E+307)*(表成绩单[英语]&gt;表成绩单[[#This Row],[英语]]))+1)</f>
        <v>467</v>
      </c>
      <c r="S1323" s="29" cm="1">
        <f t="array" ref="S1323">IF(表成绩单[[#This Row],[物理]]="","",SUMPRODUCT((表成绩单[考试日期]=表成绩单[[#This Row],[考试日期]])*(表成绩单[物理]&lt;9E+307)*(表成绩单[物理]&gt;表成绩单[[#This Row],[物理]]))+1)</f>
        <v>472</v>
      </c>
      <c r="T1323" s="29" cm="1">
        <f t="array" ref="T1323">IF(表成绩单[[#This Row],[化学]]="","",SUMPRODUCT((表成绩单[考试日期]=表成绩单[[#This Row],[考试日期]])*(表成绩单[化学]&lt;9E+307)*(表成绩单[化学]&gt;表成绩单[[#This Row],[化学]]))+1)</f>
        <v>521</v>
      </c>
      <c r="U1323" s="29" cm="1">
        <f t="array" ref="U1323">IF(表成绩单[[#This Row],[政治]]="","",SUMPRODUCT((表成绩单[考试日期]=表成绩单[[#This Row],[考试日期]])*(表成绩单[政治]&lt;9E+307)*(表成绩单[政治]&gt;表成绩单[[#This Row],[政治]]))+1)</f>
        <v>524</v>
      </c>
      <c r="V1323" s="29" cm="1">
        <f t="array" ref="V1323">IF(表成绩单[[#This Row],[历史]]="","",SUMPRODUCT((表成绩单[考试日期]=表成绩单[[#This Row],[考试日期]])*(表成绩单[历史]&lt;9E+307)*(表成绩单[历史]&gt;表成绩单[[#This Row],[历史]]))+1)</f>
        <v>593</v>
      </c>
      <c r="W1323" s="29" cm="1">
        <f t="array" ref="W1323">IF(表成绩单[[#This Row],[总分]]="","",SUMPRODUCT((表成绩单[考试日期]=表成绩单[[#This Row],[考试日期]])*(表成绩单[总分]&lt;9E+307)*(表成绩单[总分]&gt;表成绩单[[#This Row],[总分]]))+1)</f>
        <v>518</v>
      </c>
    </row>
    <row r="1324" ht="28" customHeight="1" spans="4:23">
      <c r="D1324" s="31">
        <v>46003</v>
      </c>
      <c r="E1324" s="29">
        <v>19173243</v>
      </c>
      <c r="F1324" s="29" t="s">
        <v>61</v>
      </c>
      <c r="G1324" s="29" t="s">
        <v>530</v>
      </c>
      <c r="H1324" s="29">
        <v>94</v>
      </c>
      <c r="I1324" s="29">
        <v>64</v>
      </c>
      <c r="J1324" s="29">
        <v>53.5</v>
      </c>
      <c r="K1324" s="29">
        <v>72</v>
      </c>
      <c r="L1324" s="29">
        <v>73</v>
      </c>
      <c r="M1324" s="29">
        <v>54</v>
      </c>
      <c r="N1324" s="29">
        <v>72</v>
      </c>
      <c r="O1324" s="32">
        <v>482.5</v>
      </c>
      <c r="P1324" s="29" cm="1">
        <f t="array" ref="P1324">IF(表成绩单[[#This Row],[语文]]="","",SUMPRODUCT((表成绩单[考试日期]=表成绩单[[#This Row],[考试日期]])*(表成绩单[语文]&lt;9E+307)*(表成绩单[语文]&gt;表成绩单[[#This Row],[语文]]))+1)</f>
        <v>537</v>
      </c>
      <c r="Q1324" s="29" cm="1">
        <f t="array" ref="Q1324">IF(表成绩单[[#This Row],[数学]]="","",SUMPRODUCT((表成绩单[考试日期]=表成绩单[[#This Row],[考试日期]])*(表成绩单[数学]&lt;9E+307)*(表成绩单[数学]&gt;表成绩单[[#This Row],[数学]]))+1)</f>
        <v>486</v>
      </c>
      <c r="R1324" s="29" cm="1">
        <f t="array" ref="R1324">IF(表成绩单[[#This Row],[英语]]="","",SUMPRODUCT((表成绩单[考试日期]=表成绩单[[#This Row],[考试日期]])*(表成绩单[英语]&lt;9E+307)*(表成绩单[英语]&gt;表成绩单[[#This Row],[英语]]))+1)</f>
        <v>582</v>
      </c>
      <c r="S1324" s="29" cm="1">
        <f t="array" ref="S1324">IF(表成绩单[[#This Row],[物理]]="","",SUMPRODUCT((表成绩单[考试日期]=表成绩单[[#This Row],[考试日期]])*(表成绩单[物理]&lt;9E+307)*(表成绩单[物理]&gt;表成绩单[[#This Row],[物理]]))+1)</f>
        <v>495</v>
      </c>
      <c r="T1324" s="29" cm="1">
        <f t="array" ref="T1324">IF(表成绩单[[#This Row],[化学]]="","",SUMPRODUCT((表成绩单[考试日期]=表成绩单[[#This Row],[考试日期]])*(表成绩单[化学]&lt;9E+307)*(表成绩单[化学]&gt;表成绩单[[#This Row],[化学]]))+1)</f>
        <v>457</v>
      </c>
      <c r="U1324" s="29" cm="1">
        <f t="array" ref="U1324">IF(表成绩单[[#This Row],[政治]]="","",SUMPRODUCT((表成绩单[考试日期]=表成绩单[[#This Row],[考试日期]])*(表成绩单[政治]&lt;9E+307)*(表成绩单[政治]&gt;表成绩单[[#This Row],[政治]]))+1)</f>
        <v>524</v>
      </c>
      <c r="V1324" s="29" cm="1">
        <f t="array" ref="V1324">IF(表成绩单[[#This Row],[历史]]="","",SUMPRODUCT((表成绩单[考试日期]=表成绩单[[#This Row],[考试日期]])*(表成绩单[历史]&lt;9E+307)*(表成绩单[历史]&gt;表成绩单[[#This Row],[历史]]))+1)</f>
        <v>439</v>
      </c>
      <c r="W1324" s="29" cm="1">
        <f t="array" ref="W1324">IF(表成绩单[[#This Row],[总分]]="","",SUMPRODUCT((表成绩单[考试日期]=表成绩单[[#This Row],[考试日期]])*(表成绩单[总分]&lt;9E+307)*(表成绩单[总分]&gt;表成绩单[[#This Row],[总分]]))+1)</f>
        <v>519</v>
      </c>
    </row>
    <row r="1325" ht="28" customHeight="1" spans="4:23">
      <c r="D1325" s="31">
        <v>46003</v>
      </c>
      <c r="E1325" s="29">
        <v>19175327</v>
      </c>
      <c r="F1325" s="29" t="s">
        <v>55</v>
      </c>
      <c r="G1325" s="29" t="s">
        <v>636</v>
      </c>
      <c r="H1325" s="29">
        <v>103</v>
      </c>
      <c r="I1325" s="29">
        <v>50</v>
      </c>
      <c r="J1325" s="29">
        <v>56</v>
      </c>
      <c r="K1325" s="29">
        <v>60</v>
      </c>
      <c r="L1325" s="29">
        <v>62</v>
      </c>
      <c r="M1325" s="29">
        <v>74</v>
      </c>
      <c r="N1325" s="29">
        <v>77</v>
      </c>
      <c r="O1325" s="32">
        <v>482</v>
      </c>
      <c r="P1325" s="29" cm="1">
        <f t="array" ref="P1325">IF(表成绩单[[#This Row],[语文]]="","",SUMPRODUCT((表成绩单[考试日期]=表成绩单[[#This Row],[考试日期]])*(表成绩单[语文]&lt;9E+307)*(表成绩单[语文]&gt;表成绩单[[#This Row],[语文]]))+1)</f>
        <v>333</v>
      </c>
      <c r="Q1325" s="29" cm="1">
        <f t="array" ref="Q1325">IF(表成绩单[[#This Row],[数学]]="","",SUMPRODUCT((表成绩单[考试日期]=表成绩单[[#This Row],[考试日期]])*(表成绩单[数学]&lt;9E+307)*(表成绩单[数学]&gt;表成绩单[[#This Row],[数学]]))+1)</f>
        <v>578</v>
      </c>
      <c r="R1325" s="29" cm="1">
        <f t="array" ref="R1325">IF(表成绩单[[#This Row],[英语]]="","",SUMPRODUCT((表成绩单[考试日期]=表成绩单[[#This Row],[考试日期]])*(表成绩单[英语]&lt;9E+307)*(表成绩单[英语]&gt;表成绩单[[#This Row],[英语]]))+1)</f>
        <v>560</v>
      </c>
      <c r="S1325" s="29" cm="1">
        <f t="array" ref="S1325">IF(表成绩单[[#This Row],[物理]]="","",SUMPRODUCT((表成绩单[考试日期]=表成绩单[[#This Row],[考试日期]])*(表成绩单[物理]&lt;9E+307)*(表成绩单[物理]&gt;表成绩单[[#This Row],[物理]]))+1)</f>
        <v>585</v>
      </c>
      <c r="T1325" s="29" cm="1">
        <f t="array" ref="T1325">IF(表成绩单[[#This Row],[化学]]="","",SUMPRODUCT((表成绩单[考试日期]=表成绩单[[#This Row],[考试日期]])*(表成绩单[化学]&lt;9E+307)*(表成绩单[化学]&gt;表成绩单[[#This Row],[化学]]))+1)</f>
        <v>565</v>
      </c>
      <c r="U1325" s="29" cm="1">
        <f t="array" ref="U1325">IF(表成绩单[[#This Row],[政治]]="","",SUMPRODUCT((表成绩单[考试日期]=表成绩单[[#This Row],[考试日期]])*(表成绩单[政治]&lt;9E+307)*(表成绩单[政治]&gt;表成绩单[[#This Row],[政治]]))+1)</f>
        <v>121</v>
      </c>
      <c r="V1325" s="29" cm="1">
        <f t="array" ref="V1325">IF(表成绩单[[#This Row],[历史]]="","",SUMPRODUCT((表成绩单[考试日期]=表成绩单[[#This Row],[考试日期]])*(表成绩单[历史]&lt;9E+307)*(表成绩单[历史]&gt;表成绩单[[#This Row],[历史]]))+1)</f>
        <v>235</v>
      </c>
      <c r="W1325" s="29" cm="1">
        <f t="array" ref="W1325">IF(表成绩单[[#This Row],[总分]]="","",SUMPRODUCT((表成绩单[考试日期]=表成绩单[[#This Row],[考试日期]])*(表成绩单[总分]&lt;9E+307)*(表成绩单[总分]&gt;表成绩单[[#This Row],[总分]]))+1)</f>
        <v>520</v>
      </c>
    </row>
    <row r="1326" ht="28" customHeight="1" spans="4:23">
      <c r="D1326" s="31">
        <v>46003</v>
      </c>
      <c r="E1326" s="29">
        <v>19173783</v>
      </c>
      <c r="F1326" s="29" t="s">
        <v>65</v>
      </c>
      <c r="G1326" s="29" t="s">
        <v>578</v>
      </c>
      <c r="H1326" s="29">
        <v>88</v>
      </c>
      <c r="I1326" s="29">
        <v>73</v>
      </c>
      <c r="J1326" s="29">
        <v>72.5</v>
      </c>
      <c r="K1326" s="29">
        <v>71</v>
      </c>
      <c r="L1326" s="29">
        <v>83</v>
      </c>
      <c r="M1326" s="29">
        <v>46</v>
      </c>
      <c r="N1326" s="29">
        <v>48</v>
      </c>
      <c r="O1326" s="32">
        <v>481.5</v>
      </c>
      <c r="P1326" s="29" cm="1">
        <f t="array" ref="P1326">IF(表成绩单[[#This Row],[语文]]="","",SUMPRODUCT((表成绩单[考试日期]=表成绩单[[#This Row],[考试日期]])*(表成绩单[语文]&lt;9E+307)*(表成绩单[语文]&gt;表成绩单[[#This Row],[语文]]))+1)</f>
        <v>613</v>
      </c>
      <c r="Q1326" s="29" cm="1">
        <f t="array" ref="Q1326">IF(表成绩单[[#This Row],[数学]]="","",SUMPRODUCT((表成绩单[考试日期]=表成绩单[[#This Row],[考试日期]])*(表成绩单[数学]&lt;9E+307)*(表成绩单[数学]&gt;表成绩单[[#This Row],[数学]]))+1)</f>
        <v>386</v>
      </c>
      <c r="R1326" s="29" cm="1">
        <f t="array" ref="R1326">IF(表成绩单[[#This Row],[英语]]="","",SUMPRODUCT((表成绩单[考试日期]=表成绩单[[#This Row],[考试日期]])*(表成绩单[英语]&lt;9E+307)*(表成绩单[英语]&gt;表成绩单[[#This Row],[英语]]))+1)</f>
        <v>373</v>
      </c>
      <c r="S1326" s="29" cm="1">
        <f t="array" ref="S1326">IF(表成绩单[[#This Row],[物理]]="","",SUMPRODUCT((表成绩单[考试日期]=表成绩单[[#This Row],[考试日期]])*(表成绩单[物理]&lt;9E+307)*(表成绩单[物理]&gt;表成绩单[[#This Row],[物理]]))+1)</f>
        <v>507</v>
      </c>
      <c r="T1326" s="29" cm="1">
        <f t="array" ref="T1326">IF(表成绩单[[#This Row],[化学]]="","",SUMPRODUCT((表成绩单[考试日期]=表成绩单[[#This Row],[考试日期]])*(表成绩单[化学]&lt;9E+307)*(表成绩单[化学]&gt;表成绩单[[#This Row],[化学]]))+1)</f>
        <v>272</v>
      </c>
      <c r="U1326" s="29" cm="1">
        <f t="array" ref="U1326">IF(表成绩单[[#This Row],[政治]]="","",SUMPRODUCT((表成绩单[考试日期]=表成绩单[[#This Row],[考试日期]])*(表成绩单[政治]&lt;9E+307)*(表成绩单[政治]&gt;表成绩单[[#This Row],[政治]]))+1)</f>
        <v>629</v>
      </c>
      <c r="V1326" s="29" cm="1">
        <f t="array" ref="V1326">IF(表成绩单[[#This Row],[历史]]="","",SUMPRODUCT((表成绩单[考试日期]=表成绩单[[#This Row],[考试日期]])*(表成绩单[历史]&lt;9E+307)*(表成绩单[历史]&gt;表成绩单[[#This Row],[历史]]))+1)</f>
        <v>706</v>
      </c>
      <c r="W1326" s="29" cm="1">
        <f t="array" ref="W1326">IF(表成绩单[[#This Row],[总分]]="","",SUMPRODUCT((表成绩单[考试日期]=表成绩单[[#This Row],[考试日期]])*(表成绩单[总分]&lt;9E+307)*(表成绩单[总分]&gt;表成绩单[[#This Row],[总分]]))+1)</f>
        <v>521</v>
      </c>
    </row>
    <row r="1327" ht="28" customHeight="1" spans="4:23">
      <c r="D1327" s="31">
        <v>46003</v>
      </c>
      <c r="E1327" s="29">
        <v>19173760</v>
      </c>
      <c r="F1327" s="29" t="s">
        <v>65</v>
      </c>
      <c r="G1327" s="29" t="s">
        <v>588</v>
      </c>
      <c r="H1327" s="29">
        <v>102</v>
      </c>
      <c r="I1327" s="29">
        <v>60</v>
      </c>
      <c r="J1327" s="29">
        <v>57</v>
      </c>
      <c r="K1327" s="29">
        <v>56</v>
      </c>
      <c r="L1327" s="29">
        <v>66</v>
      </c>
      <c r="M1327" s="29">
        <v>68</v>
      </c>
      <c r="N1327" s="29">
        <v>72</v>
      </c>
      <c r="O1327" s="32">
        <v>481</v>
      </c>
      <c r="P1327" s="29" cm="1">
        <f t="array" ref="P1327">IF(表成绩单[[#This Row],[语文]]="","",SUMPRODUCT((表成绩单[考试日期]=表成绩单[[#This Row],[考试日期]])*(表成绩单[语文]&lt;9E+307)*(表成绩单[语文]&gt;表成绩单[[#This Row],[语文]]))+1)</f>
        <v>366</v>
      </c>
      <c r="Q1327" s="29" cm="1">
        <f t="array" ref="Q1327">IF(表成绩单[[#This Row],[数学]]="","",SUMPRODUCT((表成绩单[考试日期]=表成绩单[[#This Row],[考试日期]])*(表成绩单[数学]&lt;9E+307)*(表成绩单[数学]&gt;表成绩单[[#This Row],[数学]]))+1)</f>
        <v>519</v>
      </c>
      <c r="R1327" s="29" cm="1">
        <f t="array" ref="R1327">IF(表成绩单[[#This Row],[英语]]="","",SUMPRODUCT((表成绩单[考试日期]=表成绩单[[#This Row],[考试日期]])*(表成绩单[英语]&lt;9E+307)*(表成绩单[英语]&gt;表成绩单[[#This Row],[英语]]))+1)</f>
        <v>553</v>
      </c>
      <c r="S1327" s="29" cm="1">
        <f t="array" ref="S1327">IF(表成绩单[[#This Row],[物理]]="","",SUMPRODUCT((表成绩单[考试日期]=表成绩单[[#This Row],[考试日期]])*(表成绩单[物理]&lt;9E+307)*(表成绩单[物理]&gt;表成绩单[[#This Row],[物理]]))+1)</f>
        <v>607</v>
      </c>
      <c r="T1327" s="29" cm="1">
        <f t="array" ref="T1327">IF(表成绩单[[#This Row],[化学]]="","",SUMPRODUCT((表成绩单[考试日期]=表成绩单[[#This Row],[考试日期]])*(表成绩单[化学]&lt;9E+307)*(表成绩单[化学]&gt;表成绩单[[#This Row],[化学]]))+1)</f>
        <v>530</v>
      </c>
      <c r="U1327" s="29" cm="1">
        <f t="array" ref="U1327">IF(表成绩单[[#This Row],[政治]]="","",SUMPRODUCT((表成绩单[考试日期]=表成绩单[[#This Row],[考试日期]])*(表成绩单[政治]&lt;9E+307)*(表成绩单[政治]&gt;表成绩单[[#This Row],[政治]]))+1)</f>
        <v>237</v>
      </c>
      <c r="V1327" s="29" cm="1">
        <f t="array" ref="V1327">IF(表成绩单[[#This Row],[历史]]="","",SUMPRODUCT((表成绩单[考试日期]=表成绩单[[#This Row],[考试日期]])*(表成绩单[历史]&lt;9E+307)*(表成绩单[历史]&gt;表成绩单[[#This Row],[历史]]))+1)</f>
        <v>439</v>
      </c>
      <c r="W1327" s="29" cm="1">
        <f t="array" ref="W1327">IF(表成绩单[[#This Row],[总分]]="","",SUMPRODUCT((表成绩单[考试日期]=表成绩单[[#This Row],[考试日期]])*(表成绩单[总分]&lt;9E+307)*(表成绩单[总分]&gt;表成绩单[[#This Row],[总分]]))+1)</f>
        <v>522</v>
      </c>
    </row>
    <row r="1328" ht="28" customHeight="1" spans="4:23">
      <c r="D1328" s="31">
        <v>46003</v>
      </c>
      <c r="E1328" s="29">
        <v>19174798</v>
      </c>
      <c r="F1328" s="29" t="s">
        <v>69</v>
      </c>
      <c r="G1328" s="29" t="s">
        <v>579</v>
      </c>
      <c r="H1328" s="29">
        <v>102</v>
      </c>
      <c r="I1328" s="29">
        <v>61</v>
      </c>
      <c r="J1328" s="29">
        <v>64</v>
      </c>
      <c r="K1328" s="29">
        <v>73</v>
      </c>
      <c r="L1328" s="29">
        <v>61</v>
      </c>
      <c r="M1328" s="29">
        <v>49</v>
      </c>
      <c r="N1328" s="29">
        <v>70</v>
      </c>
      <c r="O1328" s="32">
        <v>480</v>
      </c>
      <c r="P1328" s="29" cm="1">
        <f t="array" ref="P1328">IF(表成绩单[[#This Row],[语文]]="","",SUMPRODUCT((表成绩单[考试日期]=表成绩单[[#This Row],[考试日期]])*(表成绩单[语文]&lt;9E+307)*(表成绩单[语文]&gt;表成绩单[[#This Row],[语文]]))+1)</f>
        <v>366</v>
      </c>
      <c r="Q1328" s="29" cm="1">
        <f t="array" ref="Q1328">IF(表成绩单[[#This Row],[数学]]="","",SUMPRODUCT((表成绩单[考试日期]=表成绩单[[#This Row],[考试日期]])*(表成绩单[数学]&lt;9E+307)*(表成绩单[数学]&gt;表成绩单[[#This Row],[数学]]))+1)</f>
        <v>504</v>
      </c>
      <c r="R1328" s="29" cm="1">
        <f t="array" ref="R1328">IF(表成绩单[[#This Row],[英语]]="","",SUMPRODUCT((表成绩单[考试日期]=表成绩单[[#This Row],[考试日期]])*(表成绩单[英语]&lt;9E+307)*(表成绩单[英语]&gt;表成绩单[[#This Row],[英语]]))+1)</f>
        <v>489</v>
      </c>
      <c r="S1328" s="29" cm="1">
        <f t="array" ref="S1328">IF(表成绩单[[#This Row],[物理]]="","",SUMPRODUCT((表成绩单[考试日期]=表成绩单[[#This Row],[考试日期]])*(表成绩单[物理]&lt;9E+307)*(表成绩单[物理]&gt;表成绩单[[#This Row],[物理]]))+1)</f>
        <v>488</v>
      </c>
      <c r="T1328" s="29" cm="1">
        <f t="array" ref="T1328">IF(表成绩单[[#This Row],[化学]]="","",SUMPRODUCT((表成绩单[考试日期]=表成绩单[[#This Row],[考试日期]])*(表成绩单[化学]&lt;9E+307)*(表成绩单[化学]&gt;表成绩单[[#This Row],[化学]]))+1)</f>
        <v>572</v>
      </c>
      <c r="U1328" s="29" cm="1">
        <f t="array" ref="U1328">IF(表成绩单[[#This Row],[政治]]="","",SUMPRODUCT((表成绩单[考试日期]=表成绩单[[#This Row],[考试日期]])*(表成绩单[政治]&lt;9E+307)*(表成绩单[政治]&gt;表成绩单[[#This Row],[政治]]))+1)</f>
        <v>600</v>
      </c>
      <c r="V1328" s="29" cm="1">
        <f t="array" ref="V1328">IF(表成绩单[[#This Row],[历史]]="","",SUMPRODUCT((表成绩单[考试日期]=表成绩单[[#This Row],[考试日期]])*(表成绩单[历史]&lt;9E+307)*(表成绩单[历史]&gt;表成绩单[[#This Row],[历史]]))+1)</f>
        <v>499</v>
      </c>
      <c r="W1328" s="29" cm="1">
        <f t="array" ref="W1328">IF(表成绩单[[#This Row],[总分]]="","",SUMPRODUCT((表成绩单[考试日期]=表成绩单[[#This Row],[考试日期]])*(表成绩单[总分]&lt;9E+307)*(表成绩单[总分]&gt;表成绩单[[#This Row],[总分]]))+1)</f>
        <v>523</v>
      </c>
    </row>
    <row r="1329" ht="28" customHeight="1" spans="4:23">
      <c r="D1329" s="31">
        <v>46003</v>
      </c>
      <c r="E1329" s="29">
        <v>19173787</v>
      </c>
      <c r="F1329" s="29" t="s">
        <v>65</v>
      </c>
      <c r="G1329" s="29" t="s">
        <v>658</v>
      </c>
      <c r="H1329" s="29">
        <v>85</v>
      </c>
      <c r="I1329" s="29">
        <v>49</v>
      </c>
      <c r="J1329" s="29">
        <v>62.5</v>
      </c>
      <c r="K1329" s="29">
        <v>89</v>
      </c>
      <c r="L1329" s="29">
        <v>76</v>
      </c>
      <c r="M1329" s="29">
        <v>51</v>
      </c>
      <c r="N1329" s="29">
        <v>67</v>
      </c>
      <c r="O1329" s="32">
        <v>479.5</v>
      </c>
      <c r="P1329" s="29" cm="1">
        <f t="array" ref="P1329">IF(表成绩单[[#This Row],[语文]]="","",SUMPRODUCT((表成绩单[考试日期]=表成绩单[[#This Row],[考试日期]])*(表成绩单[语文]&lt;9E+307)*(表成绩单[语文]&gt;表成绩单[[#This Row],[语文]]))+1)</f>
        <v>634</v>
      </c>
      <c r="Q1329" s="29" cm="1">
        <f t="array" ref="Q1329">IF(表成绩单[[#This Row],[数学]]="","",SUMPRODUCT((表成绩单[考试日期]=表成绩单[[#This Row],[考试日期]])*(表成绩单[数学]&lt;9E+307)*(表成绩单[数学]&gt;表成绩单[[#This Row],[数学]]))+1)</f>
        <v>587</v>
      </c>
      <c r="R1329" s="29" cm="1">
        <f t="array" ref="R1329">IF(表成绩单[[#This Row],[英语]]="","",SUMPRODUCT((表成绩单[考试日期]=表成绩单[[#This Row],[考试日期]])*(表成绩单[英语]&lt;9E+307)*(表成绩单[英语]&gt;表成绩单[[#This Row],[英语]]))+1)</f>
        <v>504</v>
      </c>
      <c r="S1329" s="29" cm="1">
        <f t="array" ref="S1329">IF(表成绩单[[#This Row],[物理]]="","",SUMPRODUCT((表成绩单[考试日期]=表成绩单[[#This Row],[考试日期]])*(表成绩单[物理]&lt;9E+307)*(表成绩单[物理]&gt;表成绩单[[#This Row],[物理]]))+1)</f>
        <v>269</v>
      </c>
      <c r="T1329" s="29" cm="1">
        <f t="array" ref="T1329">IF(表成绩单[[#This Row],[化学]]="","",SUMPRODUCT((表成绩单[考试日期]=表成绩单[[#This Row],[考试日期]])*(表成绩单[化学]&lt;9E+307)*(表成绩单[化学]&gt;表成绩单[[#This Row],[化学]]))+1)</f>
        <v>402</v>
      </c>
      <c r="U1329" s="29" cm="1">
        <f t="array" ref="U1329">IF(表成绩单[[#This Row],[政治]]="","",SUMPRODUCT((表成绩单[考试日期]=表成绩单[[#This Row],[考试日期]])*(表成绩单[政治]&lt;9E+307)*(表成绩单[政治]&gt;表成绩单[[#This Row],[政治]]))+1)</f>
        <v>571</v>
      </c>
      <c r="V1329" s="29" cm="1">
        <f t="array" ref="V1329">IF(表成绩单[[#This Row],[历史]]="","",SUMPRODUCT((表成绩单[考试日期]=表成绩单[[#This Row],[考试日期]])*(表成绩单[历史]&lt;9E+307)*(表成绩单[历史]&gt;表成绩单[[#This Row],[历史]]))+1)</f>
        <v>549</v>
      </c>
      <c r="W1329" s="29" cm="1">
        <f t="array" ref="W1329">IF(表成绩单[[#This Row],[总分]]="","",SUMPRODUCT((表成绩单[考试日期]=表成绩单[[#This Row],[考试日期]])*(表成绩单[总分]&lt;9E+307)*(表成绩单[总分]&gt;表成绩单[[#This Row],[总分]]))+1)</f>
        <v>524</v>
      </c>
    </row>
    <row r="1330" ht="28" customHeight="1" spans="4:23">
      <c r="D1330" s="31">
        <v>46003</v>
      </c>
      <c r="E1330" s="29">
        <v>19175655</v>
      </c>
      <c r="F1330" s="29" t="s">
        <v>66</v>
      </c>
      <c r="G1330" s="29" t="s">
        <v>656</v>
      </c>
      <c r="H1330" s="29">
        <v>91</v>
      </c>
      <c r="I1330" s="29">
        <v>65</v>
      </c>
      <c r="J1330" s="29">
        <v>40</v>
      </c>
      <c r="K1330" s="29">
        <v>88</v>
      </c>
      <c r="L1330" s="29">
        <v>67</v>
      </c>
      <c r="M1330" s="29">
        <v>56</v>
      </c>
      <c r="N1330" s="29">
        <v>72</v>
      </c>
      <c r="O1330" s="32">
        <v>479</v>
      </c>
      <c r="P1330" s="29" cm="1">
        <f t="array" ref="P1330">IF(表成绩单[[#This Row],[语文]]="","",SUMPRODUCT((表成绩单[考试日期]=表成绩单[[#This Row],[考试日期]])*(表成绩单[语文]&lt;9E+307)*(表成绩单[语文]&gt;表成绩单[[#This Row],[语文]]))+1)</f>
        <v>580</v>
      </c>
      <c r="Q1330" s="29" cm="1">
        <f t="array" ref="Q1330">IF(表成绩单[[#This Row],[数学]]="","",SUMPRODUCT((表成绩单[考试日期]=表成绩单[[#This Row],[考试日期]])*(表成绩单[数学]&lt;9E+307)*(表成绩单[数学]&gt;表成绩单[[#This Row],[数学]]))+1)</f>
        <v>479</v>
      </c>
      <c r="R1330" s="29" cm="1">
        <f t="array" ref="R1330">IF(表成绩单[[#This Row],[英语]]="","",SUMPRODUCT((表成绩单[考试日期]=表成绩单[[#This Row],[考试日期]])*(表成绩单[英语]&lt;9E+307)*(表成绩单[英语]&gt;表成绩单[[#This Row],[英语]]))+1)</f>
        <v>652</v>
      </c>
      <c r="S1330" s="29" cm="1">
        <f t="array" ref="S1330">IF(表成绩单[[#This Row],[物理]]="","",SUMPRODUCT((表成绩单[考试日期]=表成绩单[[#This Row],[考试日期]])*(表成绩单[物理]&lt;9E+307)*(表成绩单[物理]&gt;表成绩单[[#This Row],[物理]]))+1)</f>
        <v>291</v>
      </c>
      <c r="T1330" s="29" cm="1">
        <f t="array" ref="T1330">IF(表成绩单[[#This Row],[化学]]="","",SUMPRODUCT((表成绩单[考试日期]=表成绩单[[#This Row],[考试日期]])*(表成绩单[化学]&lt;9E+307)*(表成绩单[化学]&gt;表成绩单[[#This Row],[化学]]))+1)</f>
        <v>521</v>
      </c>
      <c r="U1330" s="29" cm="1">
        <f t="array" ref="U1330">IF(表成绩单[[#This Row],[政治]]="","",SUMPRODUCT((表成绩单[考试日期]=表成绩单[[#This Row],[考试日期]])*(表成绩单[政治]&lt;9E+307)*(表成绩单[政治]&gt;表成绩单[[#This Row],[政治]]))+1)</f>
        <v>492</v>
      </c>
      <c r="V1330" s="29" cm="1">
        <f t="array" ref="V1330">IF(表成绩单[[#This Row],[历史]]="","",SUMPRODUCT((表成绩单[考试日期]=表成绩单[[#This Row],[考试日期]])*(表成绩单[历史]&lt;9E+307)*(表成绩单[历史]&gt;表成绩单[[#This Row],[历史]]))+1)</f>
        <v>439</v>
      </c>
      <c r="W1330" s="29" cm="1">
        <f t="array" ref="W1330">IF(表成绩单[[#This Row],[总分]]="","",SUMPRODUCT((表成绩单[考试日期]=表成绩单[[#This Row],[考试日期]])*(表成绩单[总分]&lt;9E+307)*(表成绩单[总分]&gt;表成绩单[[#This Row],[总分]]))+1)</f>
        <v>525</v>
      </c>
    </row>
    <row r="1331" ht="28" customHeight="1" spans="4:23">
      <c r="D1331" s="31">
        <v>46003</v>
      </c>
      <c r="E1331" s="29">
        <v>19176855</v>
      </c>
      <c r="F1331" s="29" t="s">
        <v>71</v>
      </c>
      <c r="G1331" s="29" t="s">
        <v>592</v>
      </c>
      <c r="H1331" s="29">
        <v>67</v>
      </c>
      <c r="I1331" s="29">
        <v>79</v>
      </c>
      <c r="J1331" s="29">
        <v>65.5</v>
      </c>
      <c r="K1331" s="29">
        <v>78</v>
      </c>
      <c r="L1331" s="29">
        <v>67</v>
      </c>
      <c r="M1331" s="29">
        <v>51</v>
      </c>
      <c r="N1331" s="29">
        <v>71</v>
      </c>
      <c r="O1331" s="32">
        <v>478.5</v>
      </c>
      <c r="P1331" s="29" cm="1">
        <f t="array" ref="P1331">IF(表成绩单[[#This Row],[语文]]="","",SUMPRODUCT((表成绩单[考试日期]=表成绩单[[#This Row],[考试日期]])*(表成绩单[语文]&lt;9E+307)*(表成绩单[语文]&gt;表成绩单[[#This Row],[语文]]))+1)</f>
        <v>709</v>
      </c>
      <c r="Q1331" s="29" cm="1">
        <f t="array" ref="Q1331">IF(表成绩单[[#This Row],[数学]]="","",SUMPRODUCT((表成绩单[考试日期]=表成绩单[[#This Row],[考试日期]])*(表成绩单[数学]&lt;9E+307)*(表成绩单[数学]&gt;表成绩单[[#This Row],[数学]]))+1)</f>
        <v>324</v>
      </c>
      <c r="R1331" s="29" cm="1">
        <f t="array" ref="R1331">IF(表成绩单[[#This Row],[英语]]="","",SUMPRODUCT((表成绩单[考试日期]=表成绩单[[#This Row],[考试日期]])*(表成绩单[英语]&lt;9E+307)*(表成绩单[英语]&gt;表成绩单[[#This Row],[英语]]))+1)</f>
        <v>476</v>
      </c>
      <c r="S1331" s="29" cm="1">
        <f t="array" ref="S1331">IF(表成绩单[[#This Row],[物理]]="","",SUMPRODUCT((表成绩单[考试日期]=表成绩单[[#This Row],[考试日期]])*(表成绩单[物理]&lt;9E+307)*(表成绩单[物理]&gt;表成绩单[[#This Row],[物理]]))+1)</f>
        <v>443</v>
      </c>
      <c r="T1331" s="29" cm="1">
        <f t="array" ref="T1331">IF(表成绩单[[#This Row],[化学]]="","",SUMPRODUCT((表成绩单[考试日期]=表成绩单[[#This Row],[考试日期]])*(表成绩单[化学]&lt;9E+307)*(表成绩单[化学]&gt;表成绩单[[#This Row],[化学]]))+1)</f>
        <v>521</v>
      </c>
      <c r="U1331" s="29" cm="1">
        <f t="array" ref="U1331">IF(表成绩单[[#This Row],[政治]]="","",SUMPRODUCT((表成绩单[考试日期]=表成绩单[[#This Row],[考试日期]])*(表成绩单[政治]&lt;9E+307)*(表成绩单[政治]&gt;表成绩单[[#This Row],[政治]]))+1)</f>
        <v>571</v>
      </c>
      <c r="V1331" s="29" cm="1">
        <f t="array" ref="V1331">IF(表成绩单[[#This Row],[历史]]="","",SUMPRODUCT((表成绩单[考试日期]=表成绩单[[#This Row],[考试日期]])*(表成绩单[历史]&lt;9E+307)*(表成绩单[历史]&gt;表成绩单[[#This Row],[历史]]))+1)</f>
        <v>471</v>
      </c>
      <c r="W1331" s="29" cm="1">
        <f t="array" ref="W1331">IF(表成绩单[[#This Row],[总分]]="","",SUMPRODUCT((表成绩单[考试日期]=表成绩单[[#This Row],[考试日期]])*(表成绩单[总分]&lt;9E+307)*(表成绩单[总分]&gt;表成绩单[[#This Row],[总分]]))+1)</f>
        <v>526</v>
      </c>
    </row>
    <row r="1332" ht="28" customHeight="1" spans="4:23">
      <c r="D1332" s="31">
        <v>46003</v>
      </c>
      <c r="E1332" s="29">
        <v>19177605</v>
      </c>
      <c r="F1332" s="29" t="s">
        <v>58</v>
      </c>
      <c r="G1332" s="29" t="s">
        <v>627</v>
      </c>
      <c r="H1332" s="29">
        <v>83</v>
      </c>
      <c r="I1332" s="29">
        <v>67</v>
      </c>
      <c r="J1332" s="29">
        <v>67.5</v>
      </c>
      <c r="K1332" s="29">
        <v>79</v>
      </c>
      <c r="L1332" s="29">
        <v>66</v>
      </c>
      <c r="M1332" s="29">
        <v>43</v>
      </c>
      <c r="N1332" s="29">
        <v>72</v>
      </c>
      <c r="O1332" s="32">
        <v>477.5</v>
      </c>
      <c r="P1332" s="29" cm="1">
        <f t="array" ref="P1332">IF(表成绩单[[#This Row],[语文]]="","",SUMPRODUCT((表成绩单[考试日期]=表成绩单[[#This Row],[考试日期]])*(表成绩单[语文]&lt;9E+307)*(表成绩单[语文]&gt;表成绩单[[#This Row],[语文]]))+1)</f>
        <v>651</v>
      </c>
      <c r="Q1332" s="29" cm="1">
        <f t="array" ref="Q1332">IF(表成绩单[[#This Row],[数学]]="","",SUMPRODUCT((表成绩单[考试日期]=表成绩单[[#This Row],[考试日期]])*(表成绩单[数学]&lt;9E+307)*(表成绩单[数学]&gt;表成绩单[[#This Row],[数学]]))+1)</f>
        <v>459</v>
      </c>
      <c r="R1332" s="29" cm="1">
        <f t="array" ref="R1332">IF(表成绩单[[#This Row],[英语]]="","",SUMPRODUCT((表成绩单[考试日期]=表成绩单[[#This Row],[考试日期]])*(表成绩单[英语]&lt;9E+307)*(表成绩单[英语]&gt;表成绩单[[#This Row],[英语]]))+1)</f>
        <v>453</v>
      </c>
      <c r="S1332" s="29" cm="1">
        <f t="array" ref="S1332">IF(表成绩单[[#This Row],[物理]]="","",SUMPRODUCT((表成绩单[考试日期]=表成绩单[[#This Row],[考试日期]])*(表成绩单[物理]&lt;9E+307)*(表成绩单[物理]&gt;表成绩单[[#This Row],[物理]]))+1)</f>
        <v>432</v>
      </c>
      <c r="T1332" s="29" cm="1">
        <f t="array" ref="T1332">IF(表成绩单[[#This Row],[化学]]="","",SUMPRODUCT((表成绩单[考试日期]=表成绩单[[#This Row],[考试日期]])*(表成绩单[化学]&lt;9E+307)*(表成绩单[化学]&gt;表成绩单[[#This Row],[化学]]))+1)</f>
        <v>530</v>
      </c>
      <c r="U1332" s="29" cm="1">
        <f t="array" ref="U1332">IF(表成绩单[[#This Row],[政治]]="","",SUMPRODUCT((表成绩单[考试日期]=表成绩单[[#This Row],[考试日期]])*(表成绩单[政治]&lt;9E+307)*(表成绩单[政治]&gt;表成绩单[[#This Row],[政治]]))+1)</f>
        <v>660</v>
      </c>
      <c r="V1332" s="29" cm="1">
        <f t="array" ref="V1332">IF(表成绩单[[#This Row],[历史]]="","",SUMPRODUCT((表成绩单[考试日期]=表成绩单[[#This Row],[考试日期]])*(表成绩单[历史]&lt;9E+307)*(表成绩单[历史]&gt;表成绩单[[#This Row],[历史]]))+1)</f>
        <v>439</v>
      </c>
      <c r="W1332" s="29" cm="1">
        <f t="array" ref="W1332">IF(表成绩单[[#This Row],[总分]]="","",SUMPRODUCT((表成绩单[考试日期]=表成绩单[[#This Row],[考试日期]])*(表成绩单[总分]&lt;9E+307)*(表成绩单[总分]&gt;表成绩单[[#This Row],[总分]]))+1)</f>
        <v>527</v>
      </c>
    </row>
    <row r="1333" ht="28" customHeight="1" spans="4:23">
      <c r="D1333" s="31">
        <v>46003</v>
      </c>
      <c r="E1333" s="29">
        <v>19172623</v>
      </c>
      <c r="F1333" s="29" t="s">
        <v>60</v>
      </c>
      <c r="G1333" s="29" t="s">
        <v>657</v>
      </c>
      <c r="H1333" s="29">
        <v>89</v>
      </c>
      <c r="I1333" s="29">
        <v>68</v>
      </c>
      <c r="J1333" s="29">
        <v>46</v>
      </c>
      <c r="K1333" s="29">
        <v>72</v>
      </c>
      <c r="L1333" s="29">
        <v>63</v>
      </c>
      <c r="M1333" s="29">
        <v>58</v>
      </c>
      <c r="N1333" s="29">
        <v>80</v>
      </c>
      <c r="O1333" s="32">
        <v>476</v>
      </c>
      <c r="P1333" s="29" cm="1">
        <f t="array" ref="P1333">IF(表成绩单[[#This Row],[语文]]="","",SUMPRODUCT((表成绩单[考试日期]=表成绩单[[#This Row],[考试日期]])*(表成绩单[语文]&lt;9E+307)*(表成绩单[语文]&gt;表成绩单[[#This Row],[语文]]))+1)</f>
        <v>598</v>
      </c>
      <c r="Q1333" s="29" cm="1">
        <f t="array" ref="Q1333">IF(表成绩单[[#This Row],[数学]]="","",SUMPRODUCT((表成绩单[考试日期]=表成绩单[[#This Row],[考试日期]])*(表成绩单[数学]&lt;9E+307)*(表成绩单[数学]&gt;表成绩单[[#This Row],[数学]]))+1)</f>
        <v>450</v>
      </c>
      <c r="R1333" s="29" cm="1">
        <f t="array" ref="R1333">IF(表成绩单[[#This Row],[英语]]="","",SUMPRODUCT((表成绩单[考试日期]=表成绩单[[#This Row],[考试日期]])*(表成绩单[英语]&lt;9E+307)*(表成绩单[英语]&gt;表成绩单[[#This Row],[英语]]))+1)</f>
        <v>626</v>
      </c>
      <c r="S1333" s="29" cm="1">
        <f t="array" ref="S1333">IF(表成绩单[[#This Row],[物理]]="","",SUMPRODUCT((表成绩单[考试日期]=表成绩单[[#This Row],[考试日期]])*(表成绩单[物理]&lt;9E+307)*(表成绩单[物理]&gt;表成绩单[[#This Row],[物理]]))+1)</f>
        <v>495</v>
      </c>
      <c r="T1333" s="29" cm="1">
        <f t="array" ref="T1333">IF(表成绩单[[#This Row],[化学]]="","",SUMPRODUCT((表成绩单[考试日期]=表成绩单[[#This Row],[考试日期]])*(表成绩单[化学]&lt;9E+307)*(表成绩单[化学]&gt;表成绩单[[#This Row],[化学]]))+1)</f>
        <v>559</v>
      </c>
      <c r="U1333" s="29" cm="1">
        <f t="array" ref="U1333">IF(表成绩单[[#This Row],[政治]]="","",SUMPRODUCT((表成绩单[考试日期]=表成绩单[[#This Row],[考试日期]])*(表成绩单[政治]&lt;9E+307)*(表成绩单[政治]&gt;表成绩单[[#This Row],[政治]]))+1)</f>
        <v>454</v>
      </c>
      <c r="V1333" s="29" cm="1">
        <f t="array" ref="V1333">IF(表成绩单[[#This Row],[历史]]="","",SUMPRODUCT((表成绩单[考试日期]=表成绩单[[#This Row],[考试日期]])*(表成绩单[历史]&lt;9E+307)*(表成绩单[历史]&gt;表成绩单[[#This Row],[历史]]))+1)</f>
        <v>116</v>
      </c>
      <c r="W1333" s="29" cm="1">
        <f t="array" ref="W1333">IF(表成绩单[[#This Row],[总分]]="","",SUMPRODUCT((表成绩单[考试日期]=表成绩单[[#This Row],[考试日期]])*(表成绩单[总分]&lt;9E+307)*(表成绩单[总分]&gt;表成绩单[[#This Row],[总分]]))+1)</f>
        <v>528</v>
      </c>
    </row>
    <row r="1334" ht="28" customHeight="1" spans="4:23">
      <c r="D1334" s="31">
        <v>46003</v>
      </c>
      <c r="E1334" s="29">
        <v>19178603</v>
      </c>
      <c r="F1334" s="29" t="s">
        <v>64</v>
      </c>
      <c r="G1334" s="29" t="s">
        <v>684</v>
      </c>
      <c r="H1334" s="29">
        <v>101</v>
      </c>
      <c r="I1334" s="29">
        <v>49</v>
      </c>
      <c r="J1334" s="29">
        <v>66</v>
      </c>
      <c r="K1334" s="29">
        <v>73</v>
      </c>
      <c r="L1334" s="29">
        <v>61</v>
      </c>
      <c r="M1334" s="29">
        <v>55</v>
      </c>
      <c r="N1334" s="29">
        <v>71</v>
      </c>
      <c r="O1334" s="32">
        <v>476</v>
      </c>
      <c r="P1334" s="29" cm="1">
        <f t="array" ref="P1334">IF(表成绩单[[#This Row],[语文]]="","",SUMPRODUCT((表成绩单[考试日期]=表成绩单[[#This Row],[考试日期]])*(表成绩单[语文]&lt;9E+307)*(表成绩单[语文]&gt;表成绩单[[#This Row],[语文]]))+1)</f>
        <v>387</v>
      </c>
      <c r="Q1334" s="29" cm="1">
        <f t="array" ref="Q1334">IF(表成绩单[[#This Row],[数学]]="","",SUMPRODUCT((表成绩单[考试日期]=表成绩单[[#This Row],[考试日期]])*(表成绩单[数学]&lt;9E+307)*(表成绩单[数学]&gt;表成绩单[[#This Row],[数学]]))+1)</f>
        <v>587</v>
      </c>
      <c r="R1334" s="29" cm="1">
        <f t="array" ref="R1334">IF(表成绩单[[#This Row],[英语]]="","",SUMPRODUCT((表成绩单[考试日期]=表成绩单[[#This Row],[考试日期]])*(表成绩单[英语]&lt;9E+307)*(表成绩单[英语]&gt;表成绩单[[#This Row],[英语]]))+1)</f>
        <v>467</v>
      </c>
      <c r="S1334" s="29" cm="1">
        <f t="array" ref="S1334">IF(表成绩单[[#This Row],[物理]]="","",SUMPRODUCT((表成绩单[考试日期]=表成绩单[[#This Row],[考试日期]])*(表成绩单[物理]&lt;9E+307)*(表成绩单[物理]&gt;表成绩单[[#This Row],[物理]]))+1)</f>
        <v>488</v>
      </c>
      <c r="T1334" s="29" cm="1">
        <f t="array" ref="T1334">IF(表成绩单[[#This Row],[化学]]="","",SUMPRODUCT((表成绩单[考试日期]=表成绩单[[#This Row],[考试日期]])*(表成绩单[化学]&lt;9E+307)*(表成绩单[化学]&gt;表成绩单[[#This Row],[化学]]))+1)</f>
        <v>572</v>
      </c>
      <c r="U1334" s="29" cm="1">
        <f t="array" ref="U1334">IF(表成绩单[[#This Row],[政治]]="","",SUMPRODUCT((表成绩单[考试日期]=表成绩单[[#This Row],[考试日期]])*(表成绩单[政治]&lt;9E+307)*(表成绩单[政治]&gt;表成绩单[[#This Row],[政治]]))+1)</f>
        <v>513</v>
      </c>
      <c r="V1334" s="29" cm="1">
        <f t="array" ref="V1334">IF(表成绩单[[#This Row],[历史]]="","",SUMPRODUCT((表成绩单[考试日期]=表成绩单[[#This Row],[考试日期]])*(表成绩单[历史]&lt;9E+307)*(表成绩单[历史]&gt;表成绩单[[#This Row],[历史]]))+1)</f>
        <v>471</v>
      </c>
      <c r="W1334" s="29" cm="1">
        <f t="array" ref="W1334">IF(表成绩单[[#This Row],[总分]]="","",SUMPRODUCT((表成绩单[考试日期]=表成绩单[[#This Row],[考试日期]])*(表成绩单[总分]&lt;9E+307)*(表成绩单[总分]&gt;表成绩单[[#This Row],[总分]]))+1)</f>
        <v>528</v>
      </c>
    </row>
    <row r="1335" ht="28" customHeight="1" spans="4:23">
      <c r="D1335" s="31">
        <v>46003</v>
      </c>
      <c r="E1335" s="29">
        <v>19177641</v>
      </c>
      <c r="F1335" s="29" t="s">
        <v>63</v>
      </c>
      <c r="G1335" s="29" t="s">
        <v>584</v>
      </c>
      <c r="H1335" s="29">
        <v>95</v>
      </c>
      <c r="I1335" s="29">
        <v>67</v>
      </c>
      <c r="J1335" s="29">
        <v>69.5</v>
      </c>
      <c r="K1335" s="29">
        <v>70</v>
      </c>
      <c r="L1335" s="29">
        <v>48</v>
      </c>
      <c r="M1335" s="29">
        <v>56</v>
      </c>
      <c r="N1335" s="29">
        <v>70</v>
      </c>
      <c r="O1335" s="32">
        <v>475.5</v>
      </c>
      <c r="P1335" s="29" cm="1">
        <f t="array" ref="P1335">IF(表成绩单[[#This Row],[语文]]="","",SUMPRODUCT((表成绩单[考试日期]=表成绩单[[#This Row],[考试日期]])*(表成绩单[语文]&lt;9E+307)*(表成绩单[语文]&gt;表成绩单[[#This Row],[语文]]))+1)</f>
        <v>522</v>
      </c>
      <c r="Q1335" s="29" cm="1">
        <f t="array" ref="Q1335">IF(表成绩单[[#This Row],[数学]]="","",SUMPRODUCT((表成绩单[考试日期]=表成绩单[[#This Row],[考试日期]])*(表成绩单[数学]&lt;9E+307)*(表成绩单[数学]&gt;表成绩单[[#This Row],[数学]]))+1)</f>
        <v>459</v>
      </c>
      <c r="R1335" s="29" cm="1">
        <f t="array" ref="R1335">IF(表成绩单[[#This Row],[英语]]="","",SUMPRODUCT((表成绩单[考试日期]=表成绩单[[#This Row],[考试日期]])*(表成绩单[英语]&lt;9E+307)*(表成绩单[英语]&gt;表成绩单[[#This Row],[英语]]))+1)</f>
        <v>426</v>
      </c>
      <c r="S1335" s="29" cm="1">
        <f t="array" ref="S1335">IF(表成绩单[[#This Row],[物理]]="","",SUMPRODUCT((表成绩单[考试日期]=表成绩单[[#This Row],[考试日期]])*(表成绩单[物理]&lt;9E+307)*(表成绩单[物理]&gt;表成绩单[[#This Row],[物理]]))+1)</f>
        <v>522</v>
      </c>
      <c r="T1335" s="29" cm="1">
        <f t="array" ref="T1335">IF(表成绩单[[#This Row],[化学]]="","",SUMPRODUCT((表成绩单[考试日期]=表成绩单[[#This Row],[考试日期]])*(表成绩单[化学]&lt;9E+307)*(表成绩单[化学]&gt;表成绩单[[#This Row],[化学]]))+1)</f>
        <v>665</v>
      </c>
      <c r="U1335" s="29" cm="1">
        <f t="array" ref="U1335">IF(表成绩单[[#This Row],[政治]]="","",SUMPRODUCT((表成绩单[考试日期]=表成绩单[[#This Row],[考试日期]])*(表成绩单[政治]&lt;9E+307)*(表成绩单[政治]&gt;表成绩单[[#This Row],[政治]]))+1)</f>
        <v>492</v>
      </c>
      <c r="V1335" s="29" cm="1">
        <f t="array" ref="V1335">IF(表成绩单[[#This Row],[历史]]="","",SUMPRODUCT((表成绩单[考试日期]=表成绩单[[#This Row],[考试日期]])*(表成绩单[历史]&lt;9E+307)*(表成绩单[历史]&gt;表成绩单[[#This Row],[历史]]))+1)</f>
        <v>499</v>
      </c>
      <c r="W1335" s="29" cm="1">
        <f t="array" ref="W1335">IF(表成绩单[[#This Row],[总分]]="","",SUMPRODUCT((表成绩单[考试日期]=表成绩单[[#This Row],[考试日期]])*(表成绩单[总分]&lt;9E+307)*(表成绩单[总分]&gt;表成绩单[[#This Row],[总分]]))+1)</f>
        <v>530</v>
      </c>
    </row>
    <row r="1336" ht="28" customHeight="1" spans="4:23">
      <c r="D1336" s="31">
        <v>46003</v>
      </c>
      <c r="E1336" s="29">
        <v>19175641</v>
      </c>
      <c r="F1336" s="29" t="s">
        <v>66</v>
      </c>
      <c r="G1336" s="29" t="s">
        <v>632</v>
      </c>
      <c r="H1336" s="29">
        <v>105</v>
      </c>
      <c r="I1336" s="29">
        <v>65</v>
      </c>
      <c r="J1336" s="29">
        <v>58</v>
      </c>
      <c r="K1336" s="29">
        <v>71</v>
      </c>
      <c r="L1336" s="29">
        <v>52</v>
      </c>
      <c r="M1336" s="29">
        <v>51</v>
      </c>
      <c r="N1336" s="29">
        <v>73</v>
      </c>
      <c r="O1336" s="32">
        <v>475</v>
      </c>
      <c r="P1336" s="29" cm="1">
        <f t="array" ref="P1336">IF(表成绩单[[#This Row],[语文]]="","",SUMPRODUCT((表成绩单[考试日期]=表成绩单[[#This Row],[考试日期]])*(表成绩单[语文]&lt;9E+307)*(表成绩单[语文]&gt;表成绩单[[#This Row],[语文]]))+1)</f>
        <v>247</v>
      </c>
      <c r="Q1336" s="29" cm="1">
        <f t="array" ref="Q1336">IF(表成绩单[[#This Row],[数学]]="","",SUMPRODUCT((表成绩单[考试日期]=表成绩单[[#This Row],[考试日期]])*(表成绩单[数学]&lt;9E+307)*(表成绩单[数学]&gt;表成绩单[[#This Row],[数学]]))+1)</f>
        <v>479</v>
      </c>
      <c r="R1336" s="29" cm="1">
        <f t="array" ref="R1336">IF(表成绩单[[#This Row],[英语]]="","",SUMPRODUCT((表成绩单[考试日期]=表成绩单[[#This Row],[考试日期]])*(表成绩单[英语]&lt;9E+307)*(表成绩单[英语]&gt;表成绩单[[#This Row],[英语]]))+1)</f>
        <v>545</v>
      </c>
      <c r="S1336" s="29" cm="1">
        <f t="array" ref="S1336">IF(表成绩单[[#This Row],[物理]]="","",SUMPRODUCT((表成绩单[考试日期]=表成绩单[[#This Row],[考试日期]])*(表成绩单[物理]&lt;9E+307)*(表成绩单[物理]&gt;表成绩单[[#This Row],[物理]]))+1)</f>
        <v>507</v>
      </c>
      <c r="T1336" s="29" cm="1">
        <f t="array" ref="T1336">IF(表成绩单[[#This Row],[化学]]="","",SUMPRODUCT((表成绩单[考试日期]=表成绩单[[#This Row],[考试日期]])*(表成绩单[化学]&lt;9E+307)*(表成绩单[化学]&gt;表成绩单[[#This Row],[化学]]))+1)</f>
        <v>637</v>
      </c>
      <c r="U1336" s="29" cm="1">
        <f t="array" ref="U1336">IF(表成绩单[[#This Row],[政治]]="","",SUMPRODUCT((表成绩单[考试日期]=表成绩单[[#This Row],[考试日期]])*(表成绩单[政治]&lt;9E+307)*(表成绩单[政治]&gt;表成绩单[[#This Row],[政治]]))+1)</f>
        <v>571</v>
      </c>
      <c r="V1336" s="29" cm="1">
        <f t="array" ref="V1336">IF(表成绩单[[#This Row],[历史]]="","",SUMPRODUCT((表成绩单[考试日期]=表成绩单[[#This Row],[考试日期]])*(表成绩单[历史]&lt;9E+307)*(表成绩单[历史]&gt;表成绩单[[#This Row],[历史]]))+1)</f>
        <v>403</v>
      </c>
      <c r="W1336" s="29" cm="1">
        <f t="array" ref="W1336">IF(表成绩单[[#This Row],[总分]]="","",SUMPRODUCT((表成绩单[考试日期]=表成绩单[[#This Row],[考试日期]])*(表成绩单[总分]&lt;9E+307)*(表成绩单[总分]&gt;表成绩单[[#This Row],[总分]]))+1)</f>
        <v>531</v>
      </c>
    </row>
    <row r="1337" ht="28" customHeight="1" spans="4:23">
      <c r="D1337" s="31">
        <v>46003</v>
      </c>
      <c r="E1337" s="29">
        <v>19172632</v>
      </c>
      <c r="F1337" s="29" t="s">
        <v>60</v>
      </c>
      <c r="G1337" s="29" t="s">
        <v>595</v>
      </c>
      <c r="H1337" s="29">
        <v>101</v>
      </c>
      <c r="I1337" s="29">
        <v>50</v>
      </c>
      <c r="J1337" s="29">
        <v>55.5</v>
      </c>
      <c r="K1337" s="29">
        <v>68</v>
      </c>
      <c r="L1337" s="29">
        <v>67</v>
      </c>
      <c r="M1337" s="29">
        <v>60</v>
      </c>
      <c r="N1337" s="29">
        <v>73</v>
      </c>
      <c r="O1337" s="32">
        <v>474.5</v>
      </c>
      <c r="P1337" s="29" cm="1">
        <f t="array" ref="P1337">IF(表成绩单[[#This Row],[语文]]="","",SUMPRODUCT((表成绩单[考试日期]=表成绩单[[#This Row],[考试日期]])*(表成绩单[语文]&lt;9E+307)*(表成绩单[语文]&gt;表成绩单[[#This Row],[语文]]))+1)</f>
        <v>387</v>
      </c>
      <c r="Q1337" s="29" cm="1">
        <f t="array" ref="Q1337">IF(表成绩单[[#This Row],[数学]]="","",SUMPRODUCT((表成绩单[考试日期]=表成绩单[[#This Row],[考试日期]])*(表成绩单[数学]&lt;9E+307)*(表成绩单[数学]&gt;表成绩单[[#This Row],[数学]]))+1)</f>
        <v>578</v>
      </c>
      <c r="R1337" s="29" cm="1">
        <f t="array" ref="R1337">IF(表成绩单[[#This Row],[英语]]="","",SUMPRODUCT((表成绩单[考试日期]=表成绩单[[#This Row],[考试日期]])*(表成绩单[英语]&lt;9E+307)*(表成绩单[英语]&gt;表成绩单[[#This Row],[英语]]))+1)</f>
        <v>563</v>
      </c>
      <c r="S1337" s="29" cm="1">
        <f t="array" ref="S1337">IF(表成绩单[[#This Row],[物理]]="","",SUMPRODUCT((表成绩单[考试日期]=表成绩单[[#This Row],[考试日期]])*(表成绩单[物理]&lt;9E+307)*(表成绩单[物理]&gt;表成绩单[[#This Row],[物理]]))+1)</f>
        <v>539</v>
      </c>
      <c r="T1337" s="29" cm="1">
        <f t="array" ref="T1337">IF(表成绩单[[#This Row],[化学]]="","",SUMPRODUCT((表成绩单[考试日期]=表成绩单[[#This Row],[考试日期]])*(表成绩单[化学]&lt;9E+307)*(表成绩单[化学]&gt;表成绩单[[#This Row],[化学]]))+1)</f>
        <v>521</v>
      </c>
      <c r="U1337" s="29" cm="1">
        <f t="array" ref="U1337">IF(表成绩单[[#This Row],[政治]]="","",SUMPRODUCT((表成绩单[考试日期]=表成绩单[[#This Row],[考试日期]])*(表成绩单[政治]&lt;9E+307)*(表成绩单[政治]&gt;表成绩单[[#This Row],[政治]]))+1)</f>
        <v>421</v>
      </c>
      <c r="V1337" s="29" cm="1">
        <f t="array" ref="V1337">IF(表成绩单[[#This Row],[历史]]="","",SUMPRODUCT((表成绩单[考试日期]=表成绩单[[#This Row],[考试日期]])*(表成绩单[历史]&lt;9E+307)*(表成绩单[历史]&gt;表成绩单[[#This Row],[历史]]))+1)</f>
        <v>403</v>
      </c>
      <c r="W1337" s="29" cm="1">
        <f t="array" ref="W1337">IF(表成绩单[[#This Row],[总分]]="","",SUMPRODUCT((表成绩单[考试日期]=表成绩单[[#This Row],[考试日期]])*(表成绩单[总分]&lt;9E+307)*(表成绩单[总分]&gt;表成绩单[[#This Row],[总分]]))+1)</f>
        <v>532</v>
      </c>
    </row>
    <row r="1338" ht="28" customHeight="1" spans="4:23">
      <c r="D1338" s="31">
        <v>46003</v>
      </c>
      <c r="E1338" s="29">
        <v>19172661</v>
      </c>
      <c r="F1338" s="29" t="s">
        <v>60</v>
      </c>
      <c r="G1338" s="29" t="s">
        <v>552</v>
      </c>
      <c r="H1338" s="29">
        <v>99</v>
      </c>
      <c r="I1338" s="29">
        <v>61</v>
      </c>
      <c r="J1338" s="29">
        <v>61</v>
      </c>
      <c r="K1338" s="29">
        <v>59</v>
      </c>
      <c r="L1338" s="29">
        <v>65</v>
      </c>
      <c r="M1338" s="29">
        <v>58</v>
      </c>
      <c r="N1338" s="29">
        <v>71</v>
      </c>
      <c r="O1338" s="32">
        <v>474</v>
      </c>
      <c r="P1338" s="29" cm="1">
        <f t="array" ref="P1338">IF(表成绩单[[#This Row],[语文]]="","",SUMPRODUCT((表成绩单[考试日期]=表成绩单[[#This Row],[考试日期]])*(表成绩单[语文]&lt;9E+307)*(表成绩单[语文]&gt;表成绩单[[#This Row],[语文]]))+1)</f>
        <v>440</v>
      </c>
      <c r="Q1338" s="29" cm="1">
        <f t="array" ref="Q1338">IF(表成绩单[[#This Row],[数学]]="","",SUMPRODUCT((表成绩单[考试日期]=表成绩单[[#This Row],[考试日期]])*(表成绩单[数学]&lt;9E+307)*(表成绩单[数学]&gt;表成绩单[[#This Row],[数学]]))+1)</f>
        <v>504</v>
      </c>
      <c r="R1338" s="29" cm="1">
        <f t="array" ref="R1338">IF(表成绩单[[#This Row],[英语]]="","",SUMPRODUCT((表成绩单[考试日期]=表成绩单[[#This Row],[考试日期]])*(表成绩单[英语]&lt;9E+307)*(表成绩单[英语]&gt;表成绩单[[#This Row],[英语]]))+1)</f>
        <v>519</v>
      </c>
      <c r="S1338" s="29" cm="1">
        <f t="array" ref="S1338">IF(表成绩单[[#This Row],[物理]]="","",SUMPRODUCT((表成绩单[考试日期]=表成绩单[[#This Row],[考试日期]])*(表成绩单[物理]&lt;9E+307)*(表成绩单[物理]&gt;表成绩单[[#This Row],[物理]]))+1)</f>
        <v>591</v>
      </c>
      <c r="T1338" s="29" cm="1">
        <f t="array" ref="T1338">IF(表成绩单[[#This Row],[化学]]="","",SUMPRODUCT((表成绩单[考试日期]=表成绩单[[#This Row],[考试日期]])*(表成绩单[化学]&lt;9E+307)*(表成绩单[化学]&gt;表成绩单[[#This Row],[化学]]))+1)</f>
        <v>543</v>
      </c>
      <c r="U1338" s="29" cm="1">
        <f t="array" ref="U1338">IF(表成绩单[[#This Row],[政治]]="","",SUMPRODUCT((表成绩单[考试日期]=表成绩单[[#This Row],[考试日期]])*(表成绩单[政治]&lt;9E+307)*(表成绩单[政治]&gt;表成绩单[[#This Row],[政治]]))+1)</f>
        <v>454</v>
      </c>
      <c r="V1338" s="29" cm="1">
        <f t="array" ref="V1338">IF(表成绩单[[#This Row],[历史]]="","",SUMPRODUCT((表成绩单[考试日期]=表成绩单[[#This Row],[考试日期]])*(表成绩单[历史]&lt;9E+307)*(表成绩单[历史]&gt;表成绩单[[#This Row],[历史]]))+1)</f>
        <v>471</v>
      </c>
      <c r="W1338" s="29" cm="1">
        <f t="array" ref="W1338">IF(表成绩单[[#This Row],[总分]]="","",SUMPRODUCT((表成绩单[考试日期]=表成绩单[[#This Row],[考试日期]])*(表成绩单[总分]&lt;9E+307)*(表成绩单[总分]&gt;表成绩单[[#This Row],[总分]]))+1)</f>
        <v>533</v>
      </c>
    </row>
    <row r="1339" ht="28" customHeight="1" spans="4:23">
      <c r="D1339" s="31">
        <v>46003</v>
      </c>
      <c r="E1339" s="29">
        <v>19174433</v>
      </c>
      <c r="F1339" s="29" t="s">
        <v>25</v>
      </c>
      <c r="G1339" s="29" t="s">
        <v>553</v>
      </c>
      <c r="H1339" s="29">
        <v>73</v>
      </c>
      <c r="I1339" s="29">
        <v>78</v>
      </c>
      <c r="J1339" s="29">
        <v>51.5</v>
      </c>
      <c r="K1339" s="29">
        <v>70</v>
      </c>
      <c r="L1339" s="29">
        <v>86</v>
      </c>
      <c r="M1339" s="29">
        <v>44</v>
      </c>
      <c r="N1339" s="29">
        <v>71</v>
      </c>
      <c r="O1339" s="32">
        <v>473.5</v>
      </c>
      <c r="P1339" s="29" cm="1">
        <f t="array" ref="P1339">IF(表成绩单[[#This Row],[语文]]="","",SUMPRODUCT((表成绩单[考试日期]=表成绩单[[#This Row],[考试日期]])*(表成绩单[语文]&lt;9E+307)*(表成绩单[语文]&gt;表成绩单[[#This Row],[语文]]))+1)</f>
        <v>692</v>
      </c>
      <c r="Q1339" s="29" cm="1">
        <f t="array" ref="Q1339">IF(表成绩单[[#This Row],[数学]]="","",SUMPRODUCT((表成绩单[考试日期]=表成绩单[[#This Row],[考试日期]])*(表成绩单[数学]&lt;9E+307)*(表成绩单[数学]&gt;表成绩单[[#This Row],[数学]]))+1)</f>
        <v>335</v>
      </c>
      <c r="R1339" s="29" cm="1">
        <f t="array" ref="R1339">IF(表成绩单[[#This Row],[英语]]="","",SUMPRODUCT((表成绩单[考试日期]=表成绩单[[#This Row],[考试日期]])*(表成绩单[英语]&lt;9E+307)*(表成绩单[英语]&gt;表成绩单[[#This Row],[英语]]))+1)</f>
        <v>595</v>
      </c>
      <c r="S1339" s="29" cm="1">
        <f t="array" ref="S1339">IF(表成绩单[[#This Row],[物理]]="","",SUMPRODUCT((表成绩单[考试日期]=表成绩单[[#This Row],[考试日期]])*(表成绩单[物理]&lt;9E+307)*(表成绩单[物理]&gt;表成绩单[[#This Row],[物理]]))+1)</f>
        <v>522</v>
      </c>
      <c r="T1339" s="29" cm="1">
        <f t="array" ref="T1339">IF(表成绩单[[#This Row],[化学]]="","",SUMPRODUCT((表成绩单[考试日期]=表成绩单[[#This Row],[考试日期]])*(表成绩单[化学]&lt;9E+307)*(表成绩单[化学]&gt;表成绩单[[#This Row],[化学]]))+1)</f>
        <v>223</v>
      </c>
      <c r="U1339" s="29" cm="1">
        <f t="array" ref="U1339">IF(表成绩单[[#This Row],[政治]]="","",SUMPRODUCT((表成绩单[考试日期]=表成绩单[[#This Row],[考试日期]])*(表成绩单[政治]&lt;9E+307)*(表成绩单[政治]&gt;表成绩单[[#This Row],[政治]]))+1)</f>
        <v>651</v>
      </c>
      <c r="V1339" s="29" cm="1">
        <f t="array" ref="V1339">IF(表成绩单[[#This Row],[历史]]="","",SUMPRODUCT((表成绩单[考试日期]=表成绩单[[#This Row],[考试日期]])*(表成绩单[历史]&lt;9E+307)*(表成绩单[历史]&gt;表成绩单[[#This Row],[历史]]))+1)</f>
        <v>471</v>
      </c>
      <c r="W1339" s="29" cm="1">
        <f t="array" ref="W1339">IF(表成绩单[[#This Row],[总分]]="","",SUMPRODUCT((表成绩单[考试日期]=表成绩单[[#This Row],[考试日期]])*(表成绩单[总分]&lt;9E+307)*(表成绩单[总分]&gt;表成绩单[[#This Row],[总分]]))+1)</f>
        <v>534</v>
      </c>
    </row>
    <row r="1340" ht="28" customHeight="1" spans="4:23">
      <c r="D1340" s="31">
        <v>46003</v>
      </c>
      <c r="E1340" s="29">
        <v>19171082</v>
      </c>
      <c r="F1340" s="29" t="s">
        <v>67</v>
      </c>
      <c r="G1340" s="29" t="s">
        <v>516</v>
      </c>
      <c r="H1340" s="29">
        <v>92</v>
      </c>
      <c r="I1340" s="29">
        <v>41</v>
      </c>
      <c r="J1340" s="29">
        <v>67.5</v>
      </c>
      <c r="K1340" s="29">
        <v>63</v>
      </c>
      <c r="L1340" s="29">
        <v>88</v>
      </c>
      <c r="M1340" s="29">
        <v>58</v>
      </c>
      <c r="N1340" s="29">
        <v>63</v>
      </c>
      <c r="O1340" s="32">
        <v>472.5</v>
      </c>
      <c r="P1340" s="29" cm="1">
        <f t="array" ref="P1340">IF(表成绩单[[#This Row],[语文]]="","",SUMPRODUCT((表成绩单[考试日期]=表成绩单[[#This Row],[考试日期]])*(表成绩单[语文]&lt;9E+307)*(表成绩单[语文]&gt;表成绩单[[#This Row],[语文]]))+1)</f>
        <v>569</v>
      </c>
      <c r="Q1340" s="29" cm="1">
        <f t="array" ref="Q1340">IF(表成绩单[[#This Row],[数学]]="","",SUMPRODUCT((表成绩单[考试日期]=表成绩单[[#This Row],[考试日期]])*(表成绩单[数学]&lt;9E+307)*(表成绩单[数学]&gt;表成绩单[[#This Row],[数学]]))+1)</f>
        <v>629</v>
      </c>
      <c r="R1340" s="29" cm="1">
        <f t="array" ref="R1340">IF(表成绩单[[#This Row],[英语]]="","",SUMPRODUCT((表成绩单[考试日期]=表成绩单[[#This Row],[考试日期]])*(表成绩单[英语]&lt;9E+307)*(表成绩单[英语]&gt;表成绩单[[#This Row],[英语]]))+1)</f>
        <v>453</v>
      </c>
      <c r="S1340" s="29" cm="1">
        <f t="array" ref="S1340">IF(表成绩单[[#This Row],[物理]]="","",SUMPRODUCT((表成绩单[考试日期]=表成绩单[[#This Row],[考试日期]])*(表成绩单[物理]&lt;9E+307)*(表成绩单[物理]&gt;表成绩单[[#This Row],[物理]]))+1)</f>
        <v>573</v>
      </c>
      <c r="T1340" s="29" cm="1">
        <f t="array" ref="T1340">IF(表成绩单[[#This Row],[化学]]="","",SUMPRODUCT((表成绩单[考试日期]=表成绩单[[#This Row],[考试日期]])*(表成绩单[化学]&lt;9E+307)*(表成绩单[化学]&gt;表成绩单[[#This Row],[化学]]))+1)</f>
        <v>175</v>
      </c>
      <c r="U1340" s="29" cm="1">
        <f t="array" ref="U1340">IF(表成绩单[[#This Row],[政治]]="","",SUMPRODUCT((表成绩单[考试日期]=表成绩单[[#This Row],[考试日期]])*(表成绩单[政治]&lt;9E+307)*(表成绩单[政治]&gt;表成绩单[[#This Row],[政治]]))+1)</f>
        <v>454</v>
      </c>
      <c r="V1340" s="29" cm="1">
        <f t="array" ref="V1340">IF(表成绩单[[#This Row],[历史]]="","",SUMPRODUCT((表成绩单[考试日期]=表成绩单[[#This Row],[考试日期]])*(表成绩单[历史]&lt;9E+307)*(表成绩单[历史]&gt;表成绩单[[#This Row],[历史]]))+1)</f>
        <v>608</v>
      </c>
      <c r="W1340" s="29" cm="1">
        <f t="array" ref="W1340">IF(表成绩单[[#This Row],[总分]]="","",SUMPRODUCT((表成绩单[考试日期]=表成绩单[[#This Row],[考试日期]])*(表成绩单[总分]&lt;9E+307)*(表成绩单[总分]&gt;表成绩单[[#This Row],[总分]]))+1)</f>
        <v>535</v>
      </c>
    </row>
    <row r="1341" ht="28" customHeight="1" spans="4:23">
      <c r="D1341" s="31">
        <v>46003</v>
      </c>
      <c r="E1341" s="29">
        <v>19177613</v>
      </c>
      <c r="F1341" s="29" t="s">
        <v>58</v>
      </c>
      <c r="G1341" s="29" t="s">
        <v>705</v>
      </c>
      <c r="H1341" s="29">
        <v>97</v>
      </c>
      <c r="I1341" s="29">
        <v>39</v>
      </c>
      <c r="J1341" s="29">
        <v>58.5</v>
      </c>
      <c r="K1341" s="29">
        <v>83</v>
      </c>
      <c r="L1341" s="29">
        <v>62</v>
      </c>
      <c r="M1341" s="29">
        <v>59</v>
      </c>
      <c r="N1341" s="29">
        <v>74</v>
      </c>
      <c r="O1341" s="32">
        <v>472.5</v>
      </c>
      <c r="P1341" s="29" cm="1">
        <f t="array" ref="P1341">IF(表成绩单[[#This Row],[语文]]="","",SUMPRODUCT((表成绩单[考试日期]=表成绩单[[#This Row],[考试日期]])*(表成绩单[语文]&lt;9E+307)*(表成绩单[语文]&gt;表成绩单[[#This Row],[语文]]))+1)</f>
        <v>488</v>
      </c>
      <c r="Q1341" s="29" cm="1">
        <f t="array" ref="Q1341">IF(表成绩单[[#This Row],[数学]]="","",SUMPRODUCT((表成绩单[考试日期]=表成绩单[[#This Row],[考试日期]])*(表成绩单[数学]&lt;9E+307)*(表成绩单[数学]&gt;表成绩单[[#This Row],[数学]]))+1)</f>
        <v>639</v>
      </c>
      <c r="R1341" s="29" cm="1">
        <f t="array" ref="R1341">IF(表成绩单[[#This Row],[英语]]="","",SUMPRODUCT((表成绩单[考试日期]=表成绩单[[#This Row],[考试日期]])*(表成绩单[英语]&lt;9E+307)*(表成绩单[英语]&gt;表成绩单[[#This Row],[英语]]))+1)</f>
        <v>538</v>
      </c>
      <c r="S1341" s="29" cm="1">
        <f t="array" ref="S1341">IF(表成绩单[[#This Row],[物理]]="","",SUMPRODUCT((表成绩单[考试日期]=表成绩单[[#This Row],[考试日期]])*(表成绩单[物理]&lt;9E+307)*(表成绩单[物理]&gt;表成绩单[[#This Row],[物理]]))+1)</f>
        <v>376</v>
      </c>
      <c r="T1341" s="29" cm="1">
        <f t="array" ref="T1341">IF(表成绩单[[#This Row],[化学]]="","",SUMPRODUCT((表成绩单[考试日期]=表成绩单[[#This Row],[考试日期]])*(表成绩单[化学]&lt;9E+307)*(表成绩单[化学]&gt;表成绩单[[#This Row],[化学]]))+1)</f>
        <v>565</v>
      </c>
      <c r="U1341" s="29" cm="1">
        <f t="array" ref="U1341">IF(表成绩单[[#This Row],[政治]]="","",SUMPRODUCT((表成绩单[考试日期]=表成绩单[[#This Row],[考试日期]])*(表成绩单[政治]&lt;9E+307)*(表成绩单[政治]&gt;表成绩单[[#This Row],[政治]]))+1)</f>
        <v>435</v>
      </c>
      <c r="V1341" s="29" cm="1">
        <f t="array" ref="V1341">IF(表成绩单[[#This Row],[历史]]="","",SUMPRODUCT((表成绩单[考试日期]=表成绩单[[#This Row],[考试日期]])*(表成绩单[历史]&lt;9E+307)*(表成绩单[历史]&gt;表成绩单[[#This Row],[历史]]))+1)</f>
        <v>371</v>
      </c>
      <c r="W1341" s="29" cm="1">
        <f t="array" ref="W1341">IF(表成绩单[[#This Row],[总分]]="","",SUMPRODUCT((表成绩单[考试日期]=表成绩单[[#This Row],[考试日期]])*(表成绩单[总分]&lt;9E+307)*(表成绩单[总分]&gt;表成绩单[[#This Row],[总分]]))+1)</f>
        <v>535</v>
      </c>
    </row>
    <row r="1342" ht="28" customHeight="1" spans="4:23">
      <c r="D1342" s="31">
        <v>46003</v>
      </c>
      <c r="E1342" s="29">
        <v>19173242</v>
      </c>
      <c r="F1342" s="29" t="s">
        <v>61</v>
      </c>
      <c r="G1342" s="29" t="s">
        <v>742</v>
      </c>
      <c r="H1342" s="29">
        <v>84</v>
      </c>
      <c r="I1342" s="29">
        <v>59</v>
      </c>
      <c r="J1342" s="29">
        <v>67.5</v>
      </c>
      <c r="K1342" s="29">
        <v>65</v>
      </c>
      <c r="L1342" s="29">
        <v>74</v>
      </c>
      <c r="M1342" s="29">
        <v>45</v>
      </c>
      <c r="N1342" s="29">
        <v>76</v>
      </c>
      <c r="O1342" s="32">
        <v>470.5</v>
      </c>
      <c r="P1342" s="29" cm="1">
        <f t="array" ref="P1342">IF(表成绩单[[#This Row],[语文]]="","",SUMPRODUCT((表成绩单[考试日期]=表成绩单[[#This Row],[考试日期]])*(表成绩单[语文]&lt;9E+307)*(表成绩单[语文]&gt;表成绩单[[#This Row],[语文]]))+1)</f>
        <v>642</v>
      </c>
      <c r="Q1342" s="29" cm="1">
        <f t="array" ref="Q1342">IF(表成绩单[[#This Row],[数学]]="","",SUMPRODUCT((表成绩单[考试日期]=表成绩单[[#This Row],[考试日期]])*(表成绩单[数学]&lt;9E+307)*(表成绩单[数学]&gt;表成绩单[[#This Row],[数学]]))+1)</f>
        <v>526</v>
      </c>
      <c r="R1342" s="29" cm="1">
        <f t="array" ref="R1342">IF(表成绩单[[#This Row],[英语]]="","",SUMPRODUCT((表成绩单[考试日期]=表成绩单[[#This Row],[考试日期]])*(表成绩单[英语]&lt;9E+307)*(表成绩单[英语]&gt;表成绩单[[#This Row],[英语]]))+1)</f>
        <v>453</v>
      </c>
      <c r="S1342" s="29" cm="1">
        <f t="array" ref="S1342">IF(表成绩单[[#This Row],[物理]]="","",SUMPRODUCT((表成绩单[考试日期]=表成绩单[[#This Row],[考试日期]])*(表成绩单[物理]&lt;9E+307)*(表成绩单[物理]&gt;表成绩单[[#This Row],[物理]]))+1)</f>
        <v>560</v>
      </c>
      <c r="T1342" s="29" cm="1">
        <f t="array" ref="T1342">IF(表成绩单[[#This Row],[化学]]="","",SUMPRODUCT((表成绩单[考试日期]=表成绩单[[#This Row],[考试日期]])*(表成绩单[化学]&lt;9E+307)*(表成绩单[化学]&gt;表成绩单[[#This Row],[化学]]))+1)</f>
        <v>440</v>
      </c>
      <c r="U1342" s="29" cm="1">
        <f t="array" ref="U1342">IF(表成绩单[[#This Row],[政治]]="","",SUMPRODUCT((表成绩单[考试日期]=表成绩单[[#This Row],[考试日期]])*(表成绩单[政治]&lt;9E+307)*(表成绩单[政治]&gt;表成绩单[[#This Row],[政治]]))+1)</f>
        <v>638</v>
      </c>
      <c r="V1342" s="29" cm="1">
        <f t="array" ref="V1342">IF(表成绩单[[#This Row],[历史]]="","",SUMPRODUCT((表成绩单[考试日期]=表成绩单[[#This Row],[考试日期]])*(表成绩单[历史]&lt;9E+307)*(表成绩单[历史]&gt;表成绩单[[#This Row],[历史]]))+1)</f>
        <v>279</v>
      </c>
      <c r="W1342" s="29" cm="1">
        <f t="array" ref="W1342">IF(表成绩单[[#This Row],[总分]]="","",SUMPRODUCT((表成绩单[考试日期]=表成绩单[[#This Row],[考试日期]])*(表成绩单[总分]&lt;9E+307)*(表成绩单[总分]&gt;表成绩单[[#This Row],[总分]]))+1)</f>
        <v>537</v>
      </c>
    </row>
    <row r="1343" ht="28" customHeight="1" spans="4:23">
      <c r="D1343" s="31">
        <v>46003</v>
      </c>
      <c r="E1343" s="29">
        <v>19178619</v>
      </c>
      <c r="F1343" s="29" t="s">
        <v>25</v>
      </c>
      <c r="G1343" s="29" t="s">
        <v>575</v>
      </c>
      <c r="H1343" s="29">
        <v>93</v>
      </c>
      <c r="I1343" s="29">
        <v>73</v>
      </c>
      <c r="J1343" s="29">
        <v>60.5</v>
      </c>
      <c r="K1343" s="29">
        <v>80</v>
      </c>
      <c r="L1343" s="29">
        <v>52</v>
      </c>
      <c r="M1343" s="29">
        <v>58</v>
      </c>
      <c r="N1343" s="29">
        <v>53</v>
      </c>
      <c r="O1343" s="32">
        <v>469.5</v>
      </c>
      <c r="P1343" s="29" cm="1">
        <f t="array" ref="P1343">IF(表成绩单[[#This Row],[语文]]="","",SUMPRODUCT((表成绩单[考试日期]=表成绩单[[#This Row],[考试日期]])*(表成绩单[语文]&lt;9E+307)*(表成绩单[语文]&gt;表成绩单[[#This Row],[语文]]))+1)</f>
        <v>555</v>
      </c>
      <c r="Q1343" s="29" cm="1">
        <f t="array" ref="Q1343">IF(表成绩单[[#This Row],[数学]]="","",SUMPRODUCT((表成绩单[考试日期]=表成绩单[[#This Row],[考试日期]])*(表成绩单[数学]&lt;9E+307)*(表成绩单[数学]&gt;表成绩单[[#This Row],[数学]]))+1)</f>
        <v>386</v>
      </c>
      <c r="R1343" s="29" cm="1">
        <f t="array" ref="R1343">IF(表成绩单[[#This Row],[英语]]="","",SUMPRODUCT((表成绩单[考试日期]=表成绩单[[#This Row],[考试日期]])*(表成绩单[英语]&lt;9E+307)*(表成绩单[英语]&gt;表成绩单[[#This Row],[英语]]))+1)</f>
        <v>525</v>
      </c>
      <c r="S1343" s="29" cm="1">
        <f t="array" ref="S1343">IF(表成绩单[[#This Row],[物理]]="","",SUMPRODUCT((表成绩单[考试日期]=表成绩单[[#This Row],[考试日期]])*(表成绩单[物理]&lt;9E+307)*(表成绩单[物理]&gt;表成绩单[[#This Row],[物理]]))+1)</f>
        <v>422</v>
      </c>
      <c r="T1343" s="29" cm="1">
        <f t="array" ref="T1343">IF(表成绩单[[#This Row],[化学]]="","",SUMPRODUCT((表成绩单[考试日期]=表成绩单[[#This Row],[考试日期]])*(表成绩单[化学]&lt;9E+307)*(表成绩单[化学]&gt;表成绩单[[#This Row],[化学]]))+1)</f>
        <v>637</v>
      </c>
      <c r="U1343" s="29" cm="1">
        <f t="array" ref="U1343">IF(表成绩单[[#This Row],[政治]]="","",SUMPRODUCT((表成绩单[考试日期]=表成绩单[[#This Row],[考试日期]])*(表成绩单[政治]&lt;9E+307)*(表成绩单[政治]&gt;表成绩单[[#This Row],[政治]]))+1)</f>
        <v>454</v>
      </c>
      <c r="V1343" s="29" cm="1">
        <f t="array" ref="V1343">IF(表成绩单[[#This Row],[历史]]="","",SUMPRODUCT((表成绩单[考试日期]=表成绩单[[#This Row],[考试日期]])*(表成绩单[历史]&lt;9E+307)*(表成绩单[历史]&gt;表成绩单[[#This Row],[历史]]))+1)</f>
        <v>687</v>
      </c>
      <c r="W1343" s="29" cm="1">
        <f t="array" ref="W1343">IF(表成绩单[[#This Row],[总分]]="","",SUMPRODUCT((表成绩单[考试日期]=表成绩单[[#This Row],[考试日期]])*(表成绩单[总分]&lt;9E+307)*(表成绩单[总分]&gt;表成绩单[[#This Row],[总分]]))+1)</f>
        <v>538</v>
      </c>
    </row>
    <row r="1344" ht="28" customHeight="1" spans="4:23">
      <c r="D1344" s="31">
        <v>46003</v>
      </c>
      <c r="E1344" s="29">
        <v>19178584</v>
      </c>
      <c r="F1344" s="29" t="s">
        <v>64</v>
      </c>
      <c r="G1344" s="29" t="s">
        <v>558</v>
      </c>
      <c r="H1344" s="29">
        <v>104</v>
      </c>
      <c r="I1344" s="29">
        <v>51</v>
      </c>
      <c r="J1344" s="29">
        <v>57</v>
      </c>
      <c r="K1344" s="29">
        <v>72</v>
      </c>
      <c r="L1344" s="29">
        <v>57</v>
      </c>
      <c r="M1344" s="29">
        <v>53</v>
      </c>
      <c r="N1344" s="29">
        <v>74</v>
      </c>
      <c r="O1344" s="32">
        <v>468</v>
      </c>
      <c r="P1344" s="29" cm="1">
        <f t="array" ref="P1344">IF(表成绩单[[#This Row],[语文]]="","",SUMPRODUCT((表成绩单[考试日期]=表成绩单[[#This Row],[考试日期]])*(表成绩单[语文]&lt;9E+307)*(表成绩单[语文]&gt;表成绩单[[#This Row],[语文]]))+1)</f>
        <v>290</v>
      </c>
      <c r="Q1344" s="29" cm="1">
        <f t="array" ref="Q1344">IF(表成绩单[[#This Row],[数学]]="","",SUMPRODUCT((表成绩单[考试日期]=表成绩单[[#This Row],[考试日期]])*(表成绩单[数学]&lt;9E+307)*(表成绩单[数学]&gt;表成绩单[[#This Row],[数学]]))+1)</f>
        <v>572</v>
      </c>
      <c r="R1344" s="29" cm="1">
        <f t="array" ref="R1344">IF(表成绩单[[#This Row],[英语]]="","",SUMPRODUCT((表成绩单[考试日期]=表成绩单[[#This Row],[考试日期]])*(表成绩单[英语]&lt;9E+307)*(表成绩单[英语]&gt;表成绩单[[#This Row],[英语]]))+1)</f>
        <v>553</v>
      </c>
      <c r="S1344" s="29" cm="1">
        <f t="array" ref="S1344">IF(表成绩单[[#This Row],[物理]]="","",SUMPRODUCT((表成绩单[考试日期]=表成绩单[[#This Row],[考试日期]])*(表成绩单[物理]&lt;9E+307)*(表成绩单[物理]&gt;表成绩单[[#This Row],[物理]]))+1)</f>
        <v>495</v>
      </c>
      <c r="T1344" s="29" cm="1">
        <f t="array" ref="T1344">IF(表成绩单[[#This Row],[化学]]="","",SUMPRODUCT((表成绩单[考试日期]=表成绩单[[#This Row],[考试日期]])*(表成绩单[化学]&lt;9E+307)*(表成绩单[化学]&gt;表成绩单[[#This Row],[化学]]))+1)</f>
        <v>608</v>
      </c>
      <c r="U1344" s="29" cm="1">
        <f t="array" ref="U1344">IF(表成绩单[[#This Row],[政治]]="","",SUMPRODUCT((表成绩单[考试日期]=表成绩单[[#This Row],[考试日期]])*(表成绩单[政治]&lt;9E+307)*(表成绩单[政治]&gt;表成绩单[[#This Row],[政治]]))+1)</f>
        <v>547</v>
      </c>
      <c r="V1344" s="29" cm="1">
        <f t="array" ref="V1344">IF(表成绩单[[#This Row],[历史]]="","",SUMPRODUCT((表成绩单[考试日期]=表成绩单[[#This Row],[考试日期]])*(表成绩单[历史]&lt;9E+307)*(表成绩单[历史]&gt;表成绩单[[#This Row],[历史]]))+1)</f>
        <v>371</v>
      </c>
      <c r="W1344" s="29" cm="1">
        <f t="array" ref="W1344">IF(表成绩单[[#This Row],[总分]]="","",SUMPRODUCT((表成绩单[考试日期]=表成绩单[[#This Row],[考试日期]])*(表成绩单[总分]&lt;9E+307)*(表成绩单[总分]&gt;表成绩单[[#This Row],[总分]]))+1)</f>
        <v>539</v>
      </c>
    </row>
    <row r="1345" ht="28" customHeight="1" spans="4:23">
      <c r="D1345" s="31">
        <v>46003</v>
      </c>
      <c r="E1345" s="29">
        <v>19174462</v>
      </c>
      <c r="F1345" s="29" t="s">
        <v>73</v>
      </c>
      <c r="G1345" s="29" t="s">
        <v>728</v>
      </c>
      <c r="H1345" s="29">
        <v>104</v>
      </c>
      <c r="I1345" s="29">
        <v>47</v>
      </c>
      <c r="J1345" s="29">
        <v>72</v>
      </c>
      <c r="K1345" s="29">
        <v>57</v>
      </c>
      <c r="L1345" s="29">
        <v>73</v>
      </c>
      <c r="M1345" s="29">
        <v>49</v>
      </c>
      <c r="N1345" s="29">
        <v>64</v>
      </c>
      <c r="O1345" s="32">
        <v>466</v>
      </c>
      <c r="P1345" s="29" cm="1">
        <f t="array" ref="P1345">IF(表成绩单[[#This Row],[语文]]="","",SUMPRODUCT((表成绩单[考试日期]=表成绩单[[#This Row],[考试日期]])*(表成绩单[语文]&lt;9E+307)*(表成绩单[语文]&gt;表成绩单[[#This Row],[语文]]))+1)</f>
        <v>290</v>
      </c>
      <c r="Q1345" s="29" cm="1">
        <f t="array" ref="Q1345">IF(表成绩单[[#This Row],[数学]]="","",SUMPRODUCT((表成绩单[考试日期]=表成绩单[[#This Row],[考试日期]])*(表成绩单[数学]&lt;9E+307)*(表成绩单[数学]&gt;表成绩单[[#This Row],[数学]]))+1)</f>
        <v>601</v>
      </c>
      <c r="R1345" s="29" cm="1">
        <f t="array" ref="R1345">IF(表成绩单[[#This Row],[英语]]="","",SUMPRODUCT((表成绩单[考试日期]=表成绩单[[#This Row],[考试日期]])*(表成绩单[英语]&lt;9E+307)*(表成绩单[英语]&gt;表成绩单[[#This Row],[英语]]))+1)</f>
        <v>386</v>
      </c>
      <c r="S1345" s="29" cm="1">
        <f t="array" ref="S1345">IF(表成绩单[[#This Row],[物理]]="","",SUMPRODUCT((表成绩单[考试日期]=表成绩单[[#This Row],[考试日期]])*(表成绩单[物理]&lt;9E+307)*(表成绩单[物理]&gt;表成绩单[[#This Row],[物理]]))+1)</f>
        <v>604</v>
      </c>
      <c r="T1345" s="29" cm="1">
        <f t="array" ref="T1345">IF(表成绩单[[#This Row],[化学]]="","",SUMPRODUCT((表成绩单[考试日期]=表成绩单[[#This Row],[考试日期]])*(表成绩单[化学]&lt;9E+307)*(表成绩单[化学]&gt;表成绩单[[#This Row],[化学]]))+1)</f>
        <v>457</v>
      </c>
      <c r="U1345" s="29" cm="1">
        <f t="array" ref="U1345">IF(表成绩单[[#This Row],[政治]]="","",SUMPRODUCT((表成绩单[考试日期]=表成绩单[[#This Row],[考试日期]])*(表成绩单[政治]&lt;9E+307)*(表成绩单[政治]&gt;表成绩单[[#This Row],[政治]]))+1)</f>
        <v>600</v>
      </c>
      <c r="V1345" s="29" cm="1">
        <f t="array" ref="V1345">IF(表成绩单[[#This Row],[历史]]="","",SUMPRODUCT((表成绩单[考试日期]=表成绩单[[#This Row],[考试日期]])*(表成绩单[历史]&lt;9E+307)*(表成绩单[历史]&gt;表成绩单[[#This Row],[历史]]))+1)</f>
        <v>593</v>
      </c>
      <c r="W1345" s="29" cm="1">
        <f t="array" ref="W1345">IF(表成绩单[[#This Row],[总分]]="","",SUMPRODUCT((表成绩单[考试日期]=表成绩单[[#This Row],[考试日期]])*(表成绩单[总分]&lt;9E+307)*(表成绩单[总分]&gt;表成绩单[[#This Row],[总分]]))+1)</f>
        <v>540</v>
      </c>
    </row>
    <row r="1346" ht="28" customHeight="1" spans="4:23">
      <c r="D1346" s="31">
        <v>46003</v>
      </c>
      <c r="E1346" s="29">
        <v>19175683</v>
      </c>
      <c r="F1346" s="29" t="s">
        <v>72</v>
      </c>
      <c r="G1346" s="29" t="s">
        <v>664</v>
      </c>
      <c r="H1346" s="29">
        <v>82</v>
      </c>
      <c r="I1346" s="29">
        <v>50</v>
      </c>
      <c r="J1346" s="29">
        <v>76</v>
      </c>
      <c r="K1346" s="29">
        <v>72</v>
      </c>
      <c r="L1346" s="29">
        <v>59</v>
      </c>
      <c r="M1346" s="29">
        <v>51</v>
      </c>
      <c r="N1346" s="29">
        <v>75</v>
      </c>
      <c r="O1346" s="32">
        <v>465</v>
      </c>
      <c r="P1346" s="29" cm="1">
        <f t="array" ref="P1346">IF(表成绩单[[#This Row],[语文]]="","",SUMPRODUCT((表成绩单[考试日期]=表成绩单[[#This Row],[考试日期]])*(表成绩单[语文]&lt;9E+307)*(表成绩单[语文]&gt;表成绩单[[#This Row],[语文]]))+1)</f>
        <v>657</v>
      </c>
      <c r="Q1346" s="29" cm="1">
        <f t="array" ref="Q1346">IF(表成绩单[[#This Row],[数学]]="","",SUMPRODUCT((表成绩单[考试日期]=表成绩单[[#This Row],[考试日期]])*(表成绩单[数学]&lt;9E+307)*(表成绩单[数学]&gt;表成绩单[[#This Row],[数学]]))+1)</f>
        <v>578</v>
      </c>
      <c r="R1346" s="29" cm="1">
        <f t="array" ref="R1346">IF(表成绩单[[#This Row],[英语]]="","",SUMPRODUCT((表成绩单[考试日期]=表成绩单[[#This Row],[考试日期]])*(表成绩单[英语]&lt;9E+307)*(表成绩单[英语]&gt;表成绩单[[#This Row],[英语]]))+1)</f>
        <v>288</v>
      </c>
      <c r="S1346" s="29" cm="1">
        <f t="array" ref="S1346">IF(表成绩单[[#This Row],[物理]]="","",SUMPRODUCT((表成绩单[考试日期]=表成绩单[[#This Row],[考试日期]])*(表成绩单[物理]&lt;9E+307)*(表成绩单[物理]&gt;表成绩单[[#This Row],[物理]]))+1)</f>
        <v>495</v>
      </c>
      <c r="T1346" s="29" cm="1">
        <f t="array" ref="T1346">IF(表成绩单[[#This Row],[化学]]="","",SUMPRODUCT((表成绩单[考试日期]=表成绩单[[#This Row],[考试日期]])*(表成绩单[化学]&lt;9E+307)*(表成绩单[化学]&gt;表成绩单[[#This Row],[化学]]))+1)</f>
        <v>593</v>
      </c>
      <c r="U1346" s="29" cm="1">
        <f t="array" ref="U1346">IF(表成绩单[[#This Row],[政治]]="","",SUMPRODUCT((表成绩单[考试日期]=表成绩单[[#This Row],[考试日期]])*(表成绩单[政治]&lt;9E+307)*(表成绩单[政治]&gt;表成绩单[[#This Row],[政治]]))+1)</f>
        <v>571</v>
      </c>
      <c r="V1346" s="29" cm="1">
        <f t="array" ref="V1346">IF(表成绩单[[#This Row],[历史]]="","",SUMPRODUCT((表成绩单[考试日期]=表成绩单[[#This Row],[考试日期]])*(表成绩单[历史]&lt;9E+307)*(表成绩单[历史]&gt;表成绩单[[#This Row],[历史]]))+1)</f>
        <v>329</v>
      </c>
      <c r="W1346" s="29" cm="1">
        <f t="array" ref="W1346">IF(表成绩单[[#This Row],[总分]]="","",SUMPRODUCT((表成绩单[考试日期]=表成绩单[[#This Row],[考试日期]])*(表成绩单[总分]&lt;9E+307)*(表成绩单[总分]&gt;表成绩单[[#This Row],[总分]]))+1)</f>
        <v>541</v>
      </c>
    </row>
    <row r="1347" ht="28" customHeight="1" spans="4:23">
      <c r="D1347" s="31">
        <v>46003</v>
      </c>
      <c r="E1347" s="29">
        <v>19175983</v>
      </c>
      <c r="F1347" s="29" t="s">
        <v>59</v>
      </c>
      <c r="G1347" s="29" t="s">
        <v>650</v>
      </c>
      <c r="H1347" s="29">
        <v>108</v>
      </c>
      <c r="I1347" s="29">
        <v>48</v>
      </c>
      <c r="J1347" s="29">
        <v>64.5</v>
      </c>
      <c r="K1347" s="29">
        <v>72</v>
      </c>
      <c r="L1347" s="29">
        <v>72</v>
      </c>
      <c r="M1347" s="29">
        <v>41</v>
      </c>
      <c r="N1347" s="29">
        <v>59</v>
      </c>
      <c r="O1347" s="32">
        <v>464.5</v>
      </c>
      <c r="P1347" s="29" cm="1">
        <f t="array" ref="P1347">IF(表成绩单[[#This Row],[语文]]="","",SUMPRODUCT((表成绩单[考试日期]=表成绩单[[#This Row],[考试日期]])*(表成绩单[语文]&lt;9E+307)*(表成绩单[语文]&gt;表成绩单[[#This Row],[语文]]))+1)</f>
        <v>154</v>
      </c>
      <c r="Q1347" s="29" cm="1">
        <f t="array" ref="Q1347">IF(表成绩单[[#This Row],[数学]]="","",SUMPRODUCT((表成绩单[考试日期]=表成绩单[[#This Row],[考试日期]])*(表成绩单[数学]&lt;9E+307)*(表成绩单[数学]&gt;表成绩单[[#This Row],[数学]]))+1)</f>
        <v>597</v>
      </c>
      <c r="R1347" s="29" cm="1">
        <f t="array" ref="R1347">IF(表成绩单[[#This Row],[英语]]="","",SUMPRODUCT((表成绩单[考试日期]=表成绩单[[#This Row],[考试日期]])*(表成绩单[英语]&lt;9E+307)*(表成绩单[英语]&gt;表成绩单[[#This Row],[英语]]))+1)</f>
        <v>484</v>
      </c>
      <c r="S1347" s="29" cm="1">
        <f t="array" ref="S1347">IF(表成绩单[[#This Row],[物理]]="","",SUMPRODUCT((表成绩单[考试日期]=表成绩单[[#This Row],[考试日期]])*(表成绩单[物理]&lt;9E+307)*(表成绩单[物理]&gt;表成绩单[[#This Row],[物理]]))+1)</f>
        <v>495</v>
      </c>
      <c r="T1347" s="29" cm="1">
        <f t="array" ref="T1347">IF(表成绩单[[#This Row],[化学]]="","",SUMPRODUCT((表成绩单[考试日期]=表成绩单[[#This Row],[考试日期]])*(表成绩单[化学]&lt;9E+307)*(表成绩单[化学]&gt;表成绩单[[#This Row],[化学]]))+1)</f>
        <v>472</v>
      </c>
      <c r="U1347" s="29" cm="1">
        <f t="array" ref="U1347">IF(表成绩单[[#This Row],[政治]]="","",SUMPRODUCT((表成绩单[考试日期]=表成绩单[[#This Row],[考试日期]])*(表成绩单[政治]&lt;9E+307)*(表成绩单[政治]&gt;表成绩单[[#This Row],[政治]]))+1)</f>
        <v>668</v>
      </c>
      <c r="V1347" s="29" cm="1">
        <f t="array" ref="V1347">IF(表成绩单[[#This Row],[历史]]="","",SUMPRODUCT((表成绩单[考试日期]=表成绩单[[#This Row],[考试日期]])*(表成绩单[历史]&lt;9E+307)*(表成绩单[历史]&gt;表成绩单[[#This Row],[历史]]))+1)</f>
        <v>645</v>
      </c>
      <c r="W1347" s="29" cm="1">
        <f t="array" ref="W1347">IF(表成绩单[[#This Row],[总分]]="","",SUMPRODUCT((表成绩单[考试日期]=表成绩单[[#This Row],[考试日期]])*(表成绩单[总分]&lt;9E+307)*(表成绩单[总分]&gt;表成绩单[[#This Row],[总分]]))+1)</f>
        <v>542</v>
      </c>
    </row>
    <row r="1348" ht="28" customHeight="1" spans="4:23">
      <c r="D1348" s="31">
        <v>46003</v>
      </c>
      <c r="E1348" s="29">
        <v>19177606</v>
      </c>
      <c r="F1348" s="29" t="s">
        <v>58</v>
      </c>
      <c r="G1348" s="29" t="s">
        <v>649</v>
      </c>
      <c r="H1348" s="29">
        <v>107</v>
      </c>
      <c r="I1348" s="29">
        <v>28</v>
      </c>
      <c r="J1348" s="29">
        <v>62.5</v>
      </c>
      <c r="K1348" s="29">
        <v>71</v>
      </c>
      <c r="L1348" s="29">
        <v>68</v>
      </c>
      <c r="M1348" s="29">
        <v>52</v>
      </c>
      <c r="N1348" s="29">
        <v>76</v>
      </c>
      <c r="O1348" s="32">
        <v>464.5</v>
      </c>
      <c r="P1348" s="29" cm="1">
        <f t="array" ref="P1348">IF(表成绩单[[#This Row],[语文]]="","",SUMPRODUCT((表成绩单[考试日期]=表成绩单[[#This Row],[考试日期]])*(表成绩单[语文]&lt;9E+307)*(表成绩单[语文]&gt;表成绩单[[#This Row],[语文]]))+1)</f>
        <v>182</v>
      </c>
      <c r="Q1348" s="29" cm="1">
        <f t="array" ref="Q1348">IF(表成绩单[[#This Row],[数学]]="","",SUMPRODUCT((表成绩单[考试日期]=表成绩单[[#This Row],[考试日期]])*(表成绩单[数学]&lt;9E+307)*(表成绩单[数学]&gt;表成绩单[[#This Row],[数学]]))+1)</f>
        <v>686</v>
      </c>
      <c r="R1348" s="29" cm="1">
        <f t="array" ref="R1348">IF(表成绩单[[#This Row],[英语]]="","",SUMPRODUCT((表成绩单[考试日期]=表成绩单[[#This Row],[考试日期]])*(表成绩单[英语]&lt;9E+307)*(表成绩单[英语]&gt;表成绩单[[#This Row],[英语]]))+1)</f>
        <v>504</v>
      </c>
      <c r="S1348" s="29" cm="1">
        <f t="array" ref="S1348">IF(表成绩单[[#This Row],[物理]]="","",SUMPRODUCT((表成绩单[考试日期]=表成绩单[[#This Row],[考试日期]])*(表成绩单[物理]&lt;9E+307)*(表成绩单[物理]&gt;表成绩单[[#This Row],[物理]]))+1)</f>
        <v>507</v>
      </c>
      <c r="T1348" s="29" cm="1">
        <f t="array" ref="T1348">IF(表成绩单[[#This Row],[化学]]="","",SUMPRODUCT((表成绩单[考试日期]=表成绩单[[#This Row],[考试日期]])*(表成绩单[化学]&lt;9E+307)*(表成绩单[化学]&gt;表成绩单[[#This Row],[化学]]))+1)</f>
        <v>514</v>
      </c>
      <c r="U1348" s="29" cm="1">
        <f t="array" ref="U1348">IF(表成绩单[[#This Row],[政治]]="","",SUMPRODUCT((表成绩单[考试日期]=表成绩单[[#This Row],[考试日期]])*(表成绩单[政治]&lt;9E+307)*(表成绩单[政治]&gt;表成绩单[[#This Row],[政治]]))+1)</f>
        <v>560</v>
      </c>
      <c r="V1348" s="29" cm="1">
        <f t="array" ref="V1348">IF(表成绩单[[#This Row],[历史]]="","",SUMPRODUCT((表成绩单[考试日期]=表成绩单[[#This Row],[考试日期]])*(表成绩单[历史]&lt;9E+307)*(表成绩单[历史]&gt;表成绩单[[#This Row],[历史]]))+1)</f>
        <v>279</v>
      </c>
      <c r="W1348" s="29" cm="1">
        <f t="array" ref="W1348">IF(表成绩单[[#This Row],[总分]]="","",SUMPRODUCT((表成绩单[考试日期]=表成绩单[[#This Row],[考试日期]])*(表成绩单[总分]&lt;9E+307)*(表成绩单[总分]&gt;表成绩单[[#This Row],[总分]]))+1)</f>
        <v>542</v>
      </c>
    </row>
    <row r="1349" ht="28" customHeight="1" spans="4:23">
      <c r="D1349" s="31">
        <v>46003</v>
      </c>
      <c r="E1349" s="29">
        <v>19175322</v>
      </c>
      <c r="F1349" s="29" t="s">
        <v>55</v>
      </c>
      <c r="G1349" s="29" t="s">
        <v>562</v>
      </c>
      <c r="H1349" s="29">
        <v>94</v>
      </c>
      <c r="I1349" s="29">
        <v>56</v>
      </c>
      <c r="J1349" s="29">
        <v>54.5</v>
      </c>
      <c r="K1349" s="29">
        <v>65</v>
      </c>
      <c r="L1349" s="29">
        <v>70</v>
      </c>
      <c r="M1349" s="29">
        <v>57</v>
      </c>
      <c r="N1349" s="29">
        <v>67</v>
      </c>
      <c r="O1349" s="32">
        <v>463.5</v>
      </c>
      <c r="P1349" s="29" cm="1">
        <f t="array" ref="P1349">IF(表成绩单[[#This Row],[语文]]="","",SUMPRODUCT((表成绩单[考试日期]=表成绩单[[#This Row],[考试日期]])*(表成绩单[语文]&lt;9E+307)*(表成绩单[语文]&gt;表成绩单[[#This Row],[语文]]))+1)</f>
        <v>537</v>
      </c>
      <c r="Q1349" s="29" cm="1">
        <f t="array" ref="Q1349">IF(表成绩单[[#This Row],[数学]]="","",SUMPRODUCT((表成绩单[考试日期]=表成绩单[[#This Row],[考试日期]])*(表成绩单[数学]&lt;9E+307)*(表成绩单[数学]&gt;表成绩单[[#This Row],[数学]]))+1)</f>
        <v>544</v>
      </c>
      <c r="R1349" s="29" cm="1">
        <f t="array" ref="R1349">IF(表成绩单[[#This Row],[英语]]="","",SUMPRODUCT((表成绩单[考试日期]=表成绩单[[#This Row],[考试日期]])*(表成绩单[英语]&lt;9E+307)*(表成绩单[英语]&gt;表成绩单[[#This Row],[英语]]))+1)</f>
        <v>570</v>
      </c>
      <c r="S1349" s="29" cm="1">
        <f t="array" ref="S1349">IF(表成绩单[[#This Row],[物理]]="","",SUMPRODUCT((表成绩单[考试日期]=表成绩单[[#This Row],[考试日期]])*(表成绩单[物理]&lt;9E+307)*(表成绩单[物理]&gt;表成绩单[[#This Row],[物理]]))+1)</f>
        <v>560</v>
      </c>
      <c r="T1349" s="29" cm="1">
        <f t="array" ref="T1349">IF(表成绩单[[#This Row],[化学]]="","",SUMPRODUCT((表成绩单[考试日期]=表成绩单[[#This Row],[考试日期]])*(表成绩单[化学]&lt;9E+307)*(表成绩单[化学]&gt;表成绩单[[#This Row],[化学]]))+1)</f>
        <v>498</v>
      </c>
      <c r="U1349" s="29" cm="1">
        <f t="array" ref="U1349">IF(表成绩单[[#This Row],[政治]]="","",SUMPRODUCT((表成绩单[考试日期]=表成绩单[[#This Row],[考试日期]])*(表成绩单[政治]&lt;9E+307)*(表成绩单[政治]&gt;表成绩单[[#This Row],[政治]]))+1)</f>
        <v>474</v>
      </c>
      <c r="V1349" s="29" cm="1">
        <f t="array" ref="V1349">IF(表成绩单[[#This Row],[历史]]="","",SUMPRODUCT((表成绩单[考试日期]=表成绩单[[#This Row],[考试日期]])*(表成绩单[历史]&lt;9E+307)*(表成绩单[历史]&gt;表成绩单[[#This Row],[历史]]))+1)</f>
        <v>549</v>
      </c>
      <c r="W1349" s="29" cm="1">
        <f t="array" ref="W1349">IF(表成绩单[[#This Row],[总分]]="","",SUMPRODUCT((表成绩单[考试日期]=表成绩单[[#This Row],[考试日期]])*(表成绩单[总分]&lt;9E+307)*(表成绩单[总分]&gt;表成绩单[[#This Row],[总分]]))+1)</f>
        <v>544</v>
      </c>
    </row>
    <row r="1350" ht="28" customHeight="1" spans="4:23">
      <c r="D1350" s="31">
        <v>46003</v>
      </c>
      <c r="E1350" s="29">
        <v>19175609</v>
      </c>
      <c r="F1350" s="29" t="s">
        <v>57</v>
      </c>
      <c r="G1350" s="29" t="s">
        <v>647</v>
      </c>
      <c r="H1350" s="29">
        <v>89</v>
      </c>
      <c r="I1350" s="29">
        <v>79</v>
      </c>
      <c r="J1350" s="29">
        <v>47</v>
      </c>
      <c r="K1350" s="29">
        <v>82</v>
      </c>
      <c r="L1350" s="29">
        <v>66</v>
      </c>
      <c r="M1350" s="29">
        <v>52</v>
      </c>
      <c r="N1350" s="29">
        <v>48</v>
      </c>
      <c r="O1350" s="32">
        <v>463</v>
      </c>
      <c r="P1350" s="29" cm="1">
        <f t="array" ref="P1350">IF(表成绩单[[#This Row],[语文]]="","",SUMPRODUCT((表成绩单[考试日期]=表成绩单[[#This Row],[考试日期]])*(表成绩单[语文]&lt;9E+307)*(表成绩单[语文]&gt;表成绩单[[#This Row],[语文]]))+1)</f>
        <v>598</v>
      </c>
      <c r="Q1350" s="29" cm="1">
        <f t="array" ref="Q1350">IF(表成绩单[[#This Row],[数学]]="","",SUMPRODUCT((表成绩单[考试日期]=表成绩单[[#This Row],[考试日期]])*(表成绩单[数学]&lt;9E+307)*(表成绩单[数学]&gt;表成绩单[[#This Row],[数学]]))+1)</f>
        <v>324</v>
      </c>
      <c r="R1350" s="29" cm="1">
        <f t="array" ref="R1350">IF(表成绩单[[#This Row],[英语]]="","",SUMPRODUCT((表成绩单[考试日期]=表成绩单[[#This Row],[考试日期]])*(表成绩单[英语]&lt;9E+307)*(表成绩单[英语]&gt;表成绩单[[#This Row],[英语]]))+1)</f>
        <v>618</v>
      </c>
      <c r="S1350" s="29" cm="1">
        <f t="array" ref="S1350">IF(表成绩单[[#This Row],[物理]]="","",SUMPRODUCT((表成绩单[考试日期]=表成绩单[[#This Row],[考试日期]])*(表成绩单[物理]&lt;9E+307)*(表成绩单[物理]&gt;表成绩单[[#This Row],[物理]]))+1)</f>
        <v>395</v>
      </c>
      <c r="T1350" s="29" cm="1">
        <f t="array" ref="T1350">IF(表成绩单[[#This Row],[化学]]="","",SUMPRODUCT((表成绩单[考试日期]=表成绩单[[#This Row],[考试日期]])*(表成绩单[化学]&lt;9E+307)*(表成绩单[化学]&gt;表成绩单[[#This Row],[化学]]))+1)</f>
        <v>530</v>
      </c>
      <c r="U1350" s="29" cm="1">
        <f t="array" ref="U1350">IF(表成绩单[[#This Row],[政治]]="","",SUMPRODUCT((表成绩单[考试日期]=表成绩单[[#This Row],[考试日期]])*(表成绩单[政治]&lt;9E+307)*(表成绩单[政治]&gt;表成绩单[[#This Row],[政治]]))+1)</f>
        <v>560</v>
      </c>
      <c r="V1350" s="29" cm="1">
        <f t="array" ref="V1350">IF(表成绩单[[#This Row],[历史]]="","",SUMPRODUCT((表成绩单[考试日期]=表成绩单[[#This Row],[考试日期]])*(表成绩单[历史]&lt;9E+307)*(表成绩单[历史]&gt;表成绩单[[#This Row],[历史]]))+1)</f>
        <v>706</v>
      </c>
      <c r="W1350" s="29" cm="1">
        <f t="array" ref="W1350">IF(表成绩单[[#This Row],[总分]]="","",SUMPRODUCT((表成绩单[考试日期]=表成绩单[[#This Row],[考试日期]])*(表成绩单[总分]&lt;9E+307)*(表成绩单[总分]&gt;表成绩单[[#This Row],[总分]]))+1)</f>
        <v>545</v>
      </c>
    </row>
    <row r="1351" ht="28" customHeight="1" spans="4:23">
      <c r="D1351" s="31">
        <v>46003</v>
      </c>
      <c r="E1351" s="29">
        <v>19175998</v>
      </c>
      <c r="F1351" s="29" t="s">
        <v>59</v>
      </c>
      <c r="G1351" s="29" t="s">
        <v>685</v>
      </c>
      <c r="H1351" s="29">
        <v>108</v>
      </c>
      <c r="I1351" s="29">
        <v>39</v>
      </c>
      <c r="J1351" s="29">
        <v>58</v>
      </c>
      <c r="K1351" s="29">
        <v>56</v>
      </c>
      <c r="L1351" s="29">
        <v>66</v>
      </c>
      <c r="M1351" s="29">
        <v>60</v>
      </c>
      <c r="N1351" s="29">
        <v>76</v>
      </c>
      <c r="O1351" s="32">
        <v>463</v>
      </c>
      <c r="P1351" s="29" cm="1">
        <f t="array" ref="P1351">IF(表成绩单[[#This Row],[语文]]="","",SUMPRODUCT((表成绩单[考试日期]=表成绩单[[#This Row],[考试日期]])*(表成绩单[语文]&lt;9E+307)*(表成绩单[语文]&gt;表成绩单[[#This Row],[语文]]))+1)</f>
        <v>154</v>
      </c>
      <c r="Q1351" s="29" cm="1">
        <f t="array" ref="Q1351">IF(表成绩单[[#This Row],[数学]]="","",SUMPRODUCT((表成绩单[考试日期]=表成绩单[[#This Row],[考试日期]])*(表成绩单[数学]&lt;9E+307)*(表成绩单[数学]&gt;表成绩单[[#This Row],[数学]]))+1)</f>
        <v>639</v>
      </c>
      <c r="R1351" s="29" cm="1">
        <f t="array" ref="R1351">IF(表成绩单[[#This Row],[英语]]="","",SUMPRODUCT((表成绩单[考试日期]=表成绩单[[#This Row],[考试日期]])*(表成绩单[英语]&lt;9E+307)*(表成绩单[英语]&gt;表成绩单[[#This Row],[英语]]))+1)</f>
        <v>545</v>
      </c>
      <c r="S1351" s="29" cm="1">
        <f t="array" ref="S1351">IF(表成绩单[[#This Row],[物理]]="","",SUMPRODUCT((表成绩单[考试日期]=表成绩单[[#This Row],[考试日期]])*(表成绩单[物理]&lt;9E+307)*(表成绩单[物理]&gt;表成绩单[[#This Row],[物理]]))+1)</f>
        <v>607</v>
      </c>
      <c r="T1351" s="29" cm="1">
        <f t="array" ref="T1351">IF(表成绩单[[#This Row],[化学]]="","",SUMPRODUCT((表成绩单[考试日期]=表成绩单[[#This Row],[考试日期]])*(表成绩单[化学]&lt;9E+307)*(表成绩单[化学]&gt;表成绩单[[#This Row],[化学]]))+1)</f>
        <v>530</v>
      </c>
      <c r="U1351" s="29" cm="1">
        <f t="array" ref="U1351">IF(表成绩单[[#This Row],[政治]]="","",SUMPRODUCT((表成绩单[考试日期]=表成绩单[[#This Row],[考试日期]])*(表成绩单[政治]&lt;9E+307)*(表成绩单[政治]&gt;表成绩单[[#This Row],[政治]]))+1)</f>
        <v>421</v>
      </c>
      <c r="V1351" s="29" cm="1">
        <f t="array" ref="V1351">IF(表成绩单[[#This Row],[历史]]="","",SUMPRODUCT((表成绩单[考试日期]=表成绩单[[#This Row],[考试日期]])*(表成绩单[历史]&lt;9E+307)*(表成绩单[历史]&gt;表成绩单[[#This Row],[历史]]))+1)</f>
        <v>279</v>
      </c>
      <c r="W1351" s="29" cm="1">
        <f t="array" ref="W1351">IF(表成绩单[[#This Row],[总分]]="","",SUMPRODUCT((表成绩单[考试日期]=表成绩单[[#This Row],[考试日期]])*(表成绩单[总分]&lt;9E+307)*(表成绩单[总分]&gt;表成绩单[[#This Row],[总分]]))+1)</f>
        <v>545</v>
      </c>
    </row>
    <row r="1352" ht="28" customHeight="1" spans="4:23">
      <c r="D1352" s="31">
        <v>46003</v>
      </c>
      <c r="E1352" s="29">
        <v>19173266</v>
      </c>
      <c r="F1352" s="29" t="s">
        <v>61</v>
      </c>
      <c r="G1352" s="29" t="s">
        <v>623</v>
      </c>
      <c r="H1352" s="29">
        <v>97</v>
      </c>
      <c r="I1352" s="29">
        <v>54</v>
      </c>
      <c r="J1352" s="29">
        <v>67.5</v>
      </c>
      <c r="K1352" s="29">
        <v>68</v>
      </c>
      <c r="L1352" s="29">
        <v>56</v>
      </c>
      <c r="M1352" s="29">
        <v>55</v>
      </c>
      <c r="N1352" s="29">
        <v>64</v>
      </c>
      <c r="O1352" s="32">
        <v>461.5</v>
      </c>
      <c r="P1352" s="29" cm="1">
        <f t="array" ref="P1352">IF(表成绩单[[#This Row],[语文]]="","",SUMPRODUCT((表成绩单[考试日期]=表成绩单[[#This Row],[考试日期]])*(表成绩单[语文]&lt;9E+307)*(表成绩单[语文]&gt;表成绩单[[#This Row],[语文]]))+1)</f>
        <v>488</v>
      </c>
      <c r="Q1352" s="29" cm="1">
        <f t="array" ref="Q1352">IF(表成绩单[[#This Row],[数学]]="","",SUMPRODUCT((表成绩单[考试日期]=表成绩单[[#This Row],[考试日期]])*(表成绩单[数学]&lt;9E+307)*(表成绩单[数学]&gt;表成绩单[[#This Row],[数学]]))+1)</f>
        <v>562</v>
      </c>
      <c r="R1352" s="29" cm="1">
        <f t="array" ref="R1352">IF(表成绩单[[#This Row],[英语]]="","",SUMPRODUCT((表成绩单[考试日期]=表成绩单[[#This Row],[考试日期]])*(表成绩单[英语]&lt;9E+307)*(表成绩单[英语]&gt;表成绩单[[#This Row],[英语]]))+1)</f>
        <v>453</v>
      </c>
      <c r="S1352" s="29" cm="1">
        <f t="array" ref="S1352">IF(表成绩单[[#This Row],[物理]]="","",SUMPRODUCT((表成绩单[考试日期]=表成绩单[[#This Row],[考试日期]])*(表成绩单[物理]&lt;9E+307)*(表成绩单[物理]&gt;表成绩单[[#This Row],[物理]]))+1)</f>
        <v>539</v>
      </c>
      <c r="T1352" s="29" cm="1">
        <f t="array" ref="T1352">IF(表成绩单[[#This Row],[化学]]="","",SUMPRODUCT((表成绩单[考试日期]=表成绩单[[#This Row],[考试日期]])*(表成绩单[化学]&lt;9E+307)*(表成绩单[化学]&gt;表成绩单[[#This Row],[化学]]))+1)</f>
        <v>617</v>
      </c>
      <c r="U1352" s="29" cm="1">
        <f t="array" ref="U1352">IF(表成绩单[[#This Row],[政治]]="","",SUMPRODUCT((表成绩单[考试日期]=表成绩单[[#This Row],[考试日期]])*(表成绩单[政治]&lt;9E+307)*(表成绩单[政治]&gt;表成绩单[[#This Row],[政治]]))+1)</f>
        <v>513</v>
      </c>
      <c r="V1352" s="29" cm="1">
        <f t="array" ref="V1352">IF(表成绩单[[#This Row],[历史]]="","",SUMPRODUCT((表成绩单[考试日期]=表成绩单[[#This Row],[考试日期]])*(表成绩单[历史]&lt;9E+307)*(表成绩单[历史]&gt;表成绩单[[#This Row],[历史]]))+1)</f>
        <v>593</v>
      </c>
      <c r="W1352" s="29" cm="1">
        <f t="array" ref="W1352">IF(表成绩单[[#This Row],[总分]]="","",SUMPRODUCT((表成绩单[考试日期]=表成绩单[[#This Row],[考试日期]])*(表成绩单[总分]&lt;9E+307)*(表成绩单[总分]&gt;表成绩单[[#This Row],[总分]]))+1)</f>
        <v>547</v>
      </c>
    </row>
    <row r="1353" ht="28" customHeight="1" spans="4:23">
      <c r="D1353" s="31">
        <v>46003</v>
      </c>
      <c r="E1353" s="29">
        <v>19176157</v>
      </c>
      <c r="F1353" s="29" t="s">
        <v>67</v>
      </c>
      <c r="G1353" s="29" t="s">
        <v>608</v>
      </c>
      <c r="H1353" s="29">
        <v>89</v>
      </c>
      <c r="I1353" s="29">
        <v>50</v>
      </c>
      <c r="J1353" s="29">
        <v>70</v>
      </c>
      <c r="K1353" s="29">
        <v>59</v>
      </c>
      <c r="L1353" s="29">
        <v>66</v>
      </c>
      <c r="M1353" s="29">
        <v>56</v>
      </c>
      <c r="N1353" s="29">
        <v>71</v>
      </c>
      <c r="O1353" s="32">
        <v>461</v>
      </c>
      <c r="P1353" s="29" cm="1">
        <f t="array" ref="P1353">IF(表成绩单[[#This Row],[语文]]="","",SUMPRODUCT((表成绩单[考试日期]=表成绩单[[#This Row],[考试日期]])*(表成绩单[语文]&lt;9E+307)*(表成绩单[语文]&gt;表成绩单[[#This Row],[语文]]))+1)</f>
        <v>598</v>
      </c>
      <c r="Q1353" s="29" cm="1">
        <f t="array" ref="Q1353">IF(表成绩单[[#This Row],[数学]]="","",SUMPRODUCT((表成绩单[考试日期]=表成绩单[[#This Row],[考试日期]])*(表成绩单[数学]&lt;9E+307)*(表成绩单[数学]&gt;表成绩单[[#This Row],[数学]]))+1)</f>
        <v>578</v>
      </c>
      <c r="R1353" s="29" cm="1">
        <f t="array" ref="R1353">IF(表成绩单[[#This Row],[英语]]="","",SUMPRODUCT((表成绩单[考试日期]=表成绩单[[#This Row],[考试日期]])*(表成绩单[英语]&lt;9E+307)*(表成绩单[英语]&gt;表成绩单[[#This Row],[英语]]))+1)</f>
        <v>419</v>
      </c>
      <c r="S1353" s="29" cm="1">
        <f t="array" ref="S1353">IF(表成绩单[[#This Row],[物理]]="","",SUMPRODUCT((表成绩单[考试日期]=表成绩单[[#This Row],[考试日期]])*(表成绩单[物理]&lt;9E+307)*(表成绩单[物理]&gt;表成绩单[[#This Row],[物理]]))+1)</f>
        <v>591</v>
      </c>
      <c r="T1353" s="29" cm="1">
        <f t="array" ref="T1353">IF(表成绩单[[#This Row],[化学]]="","",SUMPRODUCT((表成绩单[考试日期]=表成绩单[[#This Row],[考试日期]])*(表成绩单[化学]&lt;9E+307)*(表成绩单[化学]&gt;表成绩单[[#This Row],[化学]]))+1)</f>
        <v>530</v>
      </c>
      <c r="U1353" s="29" cm="1">
        <f t="array" ref="U1353">IF(表成绩单[[#This Row],[政治]]="","",SUMPRODUCT((表成绩单[考试日期]=表成绩单[[#This Row],[考试日期]])*(表成绩单[政治]&lt;9E+307)*(表成绩单[政治]&gt;表成绩单[[#This Row],[政治]]))+1)</f>
        <v>492</v>
      </c>
      <c r="V1353" s="29" cm="1">
        <f t="array" ref="V1353">IF(表成绩单[[#This Row],[历史]]="","",SUMPRODUCT((表成绩单[考试日期]=表成绩单[[#This Row],[考试日期]])*(表成绩单[历史]&lt;9E+307)*(表成绩单[历史]&gt;表成绩单[[#This Row],[历史]]))+1)</f>
        <v>471</v>
      </c>
      <c r="W1353" s="29" cm="1">
        <f t="array" ref="W1353">IF(表成绩单[[#This Row],[总分]]="","",SUMPRODUCT((表成绩单[考试日期]=表成绩单[[#This Row],[考试日期]])*(表成绩单[总分]&lt;9E+307)*(表成绩单[总分]&gt;表成绩单[[#This Row],[总分]]))+1)</f>
        <v>548</v>
      </c>
    </row>
    <row r="1354" ht="28" customHeight="1" spans="4:23">
      <c r="D1354" s="31">
        <v>46003</v>
      </c>
      <c r="E1354" s="29">
        <v>19172654</v>
      </c>
      <c r="F1354" s="29" t="s">
        <v>60</v>
      </c>
      <c r="G1354" s="29" t="s">
        <v>645</v>
      </c>
      <c r="H1354" s="29">
        <v>89</v>
      </c>
      <c r="I1354" s="29">
        <v>62</v>
      </c>
      <c r="J1354" s="29">
        <v>47.5</v>
      </c>
      <c r="K1354" s="29">
        <v>75</v>
      </c>
      <c r="L1354" s="29">
        <v>69</v>
      </c>
      <c r="M1354" s="29">
        <v>50</v>
      </c>
      <c r="N1354" s="29">
        <v>68</v>
      </c>
      <c r="O1354" s="32">
        <v>460.5</v>
      </c>
      <c r="P1354" s="29" cm="1">
        <f t="array" ref="P1354">IF(表成绩单[[#This Row],[语文]]="","",SUMPRODUCT((表成绩单[考试日期]=表成绩单[[#This Row],[考试日期]])*(表成绩单[语文]&lt;9E+307)*(表成绩单[语文]&gt;表成绩单[[#This Row],[语文]]))+1)</f>
        <v>598</v>
      </c>
      <c r="Q1354" s="29" cm="1">
        <f t="array" ref="Q1354">IF(表成绩单[[#This Row],[数学]]="","",SUMPRODUCT((表成绩单[考试日期]=表成绩单[[#This Row],[考试日期]])*(表成绩单[数学]&lt;9E+307)*(表成绩单[数学]&gt;表成绩单[[#This Row],[数学]]))+1)</f>
        <v>497</v>
      </c>
      <c r="R1354" s="29" cm="1">
        <f t="array" ref="R1354">IF(表成绩单[[#This Row],[英语]]="","",SUMPRODUCT((表成绩单[考试日期]=表成绩单[[#This Row],[考试日期]])*(表成绩单[英语]&lt;9E+307)*(表成绩单[英语]&gt;表成绩单[[#This Row],[英语]]))+1)</f>
        <v>615</v>
      </c>
      <c r="S1354" s="29" cm="1">
        <f t="array" ref="S1354">IF(表成绩单[[#This Row],[物理]]="","",SUMPRODUCT((表成绩单[考试日期]=表成绩单[[#This Row],[考试日期]])*(表成绩单[物理]&lt;9E+307)*(表成绩单[物理]&gt;表成绩单[[#This Row],[物理]]))+1)</f>
        <v>472</v>
      </c>
      <c r="T1354" s="29" cm="1">
        <f t="array" ref="T1354">IF(表成绩单[[#This Row],[化学]]="","",SUMPRODUCT((表成绩单[考试日期]=表成绩单[[#This Row],[考试日期]])*(表成绩单[化学]&lt;9E+307)*(表成绩单[化学]&gt;表成绩单[[#This Row],[化学]]))+1)</f>
        <v>509</v>
      </c>
      <c r="U1354" s="29" cm="1">
        <f t="array" ref="U1354">IF(表成绩单[[#This Row],[政治]]="","",SUMPRODUCT((表成绩单[考试日期]=表成绩单[[#This Row],[考试日期]])*(表成绩单[政治]&lt;9E+307)*(表成绩单[政治]&gt;表成绩单[[#This Row],[政治]]))+1)</f>
        <v>587</v>
      </c>
      <c r="V1354" s="29" cm="1">
        <f t="array" ref="V1354">IF(表成绩单[[#This Row],[历史]]="","",SUMPRODUCT((表成绩单[考试日期]=表成绩单[[#This Row],[考试日期]])*(表成绩单[历史]&lt;9E+307)*(表成绩单[历史]&gt;表成绩单[[#This Row],[历史]]))+1)</f>
        <v>536</v>
      </c>
      <c r="W1354" s="29" cm="1">
        <f t="array" ref="W1354">IF(表成绩单[[#This Row],[总分]]="","",SUMPRODUCT((表成绩单[考试日期]=表成绩单[[#This Row],[考试日期]])*(表成绩单[总分]&lt;9E+307)*(表成绩单[总分]&gt;表成绩单[[#This Row],[总分]]))+1)</f>
        <v>549</v>
      </c>
    </row>
    <row r="1355" ht="28" customHeight="1" spans="4:23">
      <c r="D1355" s="31">
        <v>46003</v>
      </c>
      <c r="E1355" s="29">
        <v>19177648</v>
      </c>
      <c r="F1355" s="29" t="s">
        <v>63</v>
      </c>
      <c r="G1355" s="29" t="s">
        <v>701</v>
      </c>
      <c r="H1355" s="29">
        <v>90</v>
      </c>
      <c r="I1355" s="29">
        <v>56</v>
      </c>
      <c r="J1355" s="29">
        <v>69.5</v>
      </c>
      <c r="K1355" s="29">
        <v>65</v>
      </c>
      <c r="L1355" s="29">
        <v>60</v>
      </c>
      <c r="M1355" s="29">
        <v>49</v>
      </c>
      <c r="N1355" s="29">
        <v>71</v>
      </c>
      <c r="O1355" s="32">
        <v>460.5</v>
      </c>
      <c r="P1355" s="29" cm="1">
        <f t="array" ref="P1355">IF(表成绩单[[#This Row],[语文]]="","",SUMPRODUCT((表成绩单[考试日期]=表成绩单[[#This Row],[考试日期]])*(表成绩单[语文]&lt;9E+307)*(表成绩单[语文]&gt;表成绩单[[#This Row],[语文]]))+1)</f>
        <v>589</v>
      </c>
      <c r="Q1355" s="29" cm="1">
        <f t="array" ref="Q1355">IF(表成绩单[[#This Row],[数学]]="","",SUMPRODUCT((表成绩单[考试日期]=表成绩单[[#This Row],[考试日期]])*(表成绩单[数学]&lt;9E+307)*(表成绩单[数学]&gt;表成绩单[[#This Row],[数学]]))+1)</f>
        <v>544</v>
      </c>
      <c r="R1355" s="29" cm="1">
        <f t="array" ref="R1355">IF(表成绩单[[#This Row],[英语]]="","",SUMPRODUCT((表成绩单[考试日期]=表成绩单[[#This Row],[考试日期]])*(表成绩单[英语]&lt;9E+307)*(表成绩单[英语]&gt;表成绩单[[#This Row],[英语]]))+1)</f>
        <v>426</v>
      </c>
      <c r="S1355" s="29" cm="1">
        <f t="array" ref="S1355">IF(表成绩单[[#This Row],[物理]]="","",SUMPRODUCT((表成绩单[考试日期]=表成绩单[[#This Row],[考试日期]])*(表成绩单[物理]&lt;9E+307)*(表成绩单[物理]&gt;表成绩单[[#This Row],[物理]]))+1)</f>
        <v>560</v>
      </c>
      <c r="T1355" s="29" cm="1">
        <f t="array" ref="T1355">IF(表成绩单[[#This Row],[化学]]="","",SUMPRODUCT((表成绩单[考试日期]=表成绩单[[#This Row],[考试日期]])*(表成绩单[化学]&lt;9E+307)*(表成绩单[化学]&gt;表成绩单[[#This Row],[化学]]))+1)</f>
        <v>585</v>
      </c>
      <c r="U1355" s="29" cm="1">
        <f t="array" ref="U1355">IF(表成绩单[[#This Row],[政治]]="","",SUMPRODUCT((表成绩单[考试日期]=表成绩单[[#This Row],[考试日期]])*(表成绩单[政治]&lt;9E+307)*(表成绩单[政治]&gt;表成绩单[[#This Row],[政治]]))+1)</f>
        <v>600</v>
      </c>
      <c r="V1355" s="29" cm="1">
        <f t="array" ref="V1355">IF(表成绩单[[#This Row],[历史]]="","",SUMPRODUCT((表成绩单[考试日期]=表成绩单[[#This Row],[考试日期]])*(表成绩单[历史]&lt;9E+307)*(表成绩单[历史]&gt;表成绩单[[#This Row],[历史]]))+1)</f>
        <v>471</v>
      </c>
      <c r="W1355" s="29" cm="1">
        <f t="array" ref="W1355">IF(表成绩单[[#This Row],[总分]]="","",SUMPRODUCT((表成绩单[考试日期]=表成绩单[[#This Row],[考试日期]])*(表成绩单[总分]&lt;9E+307)*(表成绩单[总分]&gt;表成绩单[[#This Row],[总分]]))+1)</f>
        <v>549</v>
      </c>
    </row>
    <row r="1356" ht="28" customHeight="1" spans="4:23">
      <c r="D1356" s="31">
        <v>46003</v>
      </c>
      <c r="E1356" s="29">
        <v>19175617</v>
      </c>
      <c r="F1356" s="29" t="s">
        <v>57</v>
      </c>
      <c r="G1356" s="29" t="s">
        <v>680</v>
      </c>
      <c r="H1356" s="29">
        <v>99</v>
      </c>
      <c r="I1356" s="29">
        <v>48</v>
      </c>
      <c r="J1356" s="29">
        <v>45.5</v>
      </c>
      <c r="K1356" s="29">
        <v>72</v>
      </c>
      <c r="L1356" s="29">
        <v>75</v>
      </c>
      <c r="M1356" s="29">
        <v>63</v>
      </c>
      <c r="N1356" s="29">
        <v>57</v>
      </c>
      <c r="O1356" s="32">
        <v>459.5</v>
      </c>
      <c r="P1356" s="29" cm="1">
        <f t="array" ref="P1356">IF(表成绩单[[#This Row],[语文]]="","",SUMPRODUCT((表成绩单[考试日期]=表成绩单[[#This Row],[考试日期]])*(表成绩单[语文]&lt;9E+307)*(表成绩单[语文]&gt;表成绩单[[#This Row],[语文]]))+1)</f>
        <v>440</v>
      </c>
      <c r="Q1356" s="29" cm="1">
        <f t="array" ref="Q1356">IF(表成绩单[[#This Row],[数学]]="","",SUMPRODUCT((表成绩单[考试日期]=表成绩单[[#This Row],[考试日期]])*(表成绩单[数学]&lt;9E+307)*(表成绩单[数学]&gt;表成绩单[[#This Row],[数学]]))+1)</f>
        <v>597</v>
      </c>
      <c r="R1356" s="29" cm="1">
        <f t="array" ref="R1356">IF(表成绩单[[#This Row],[英语]]="","",SUMPRODUCT((表成绩单[考试日期]=表成绩单[[#This Row],[考试日期]])*(表成绩单[英语]&lt;9E+307)*(表成绩单[英语]&gt;表成绩单[[#This Row],[英语]]))+1)</f>
        <v>629</v>
      </c>
      <c r="S1356" s="29" cm="1">
        <f t="array" ref="S1356">IF(表成绩单[[#This Row],[物理]]="","",SUMPRODUCT((表成绩单[考试日期]=表成绩单[[#This Row],[考试日期]])*(表成绩单[物理]&lt;9E+307)*(表成绩单[物理]&gt;表成绩单[[#This Row],[物理]]))+1)</f>
        <v>495</v>
      </c>
      <c r="T1356" s="29" cm="1">
        <f t="array" ref="T1356">IF(表成绩单[[#This Row],[化学]]="","",SUMPRODUCT((表成绩单[考试日期]=表成绩单[[#This Row],[考试日期]])*(表成绩单[化学]&lt;9E+307)*(表成绩单[化学]&gt;表成绩单[[#This Row],[化学]]))+1)</f>
        <v>421</v>
      </c>
      <c r="U1356" s="29" cm="1">
        <f t="array" ref="U1356">IF(表成绩单[[#This Row],[政治]]="","",SUMPRODUCT((表成绩单[考试日期]=表成绩单[[#This Row],[考试日期]])*(表成绩单[政治]&lt;9E+307)*(表成绩单[政治]&gt;表成绩单[[#This Row],[政治]]))+1)</f>
        <v>360</v>
      </c>
      <c r="V1356" s="29" cm="1">
        <f t="array" ref="V1356">IF(表成绩单[[#This Row],[历史]]="","",SUMPRODUCT((表成绩单[考试日期]=表成绩单[[#This Row],[考试日期]])*(表成绩单[历史]&lt;9E+307)*(表成绩单[历史]&gt;表成绩单[[#This Row],[历史]]))+1)</f>
        <v>658</v>
      </c>
      <c r="W1356" s="29" cm="1">
        <f t="array" ref="W1356">IF(表成绩单[[#This Row],[总分]]="","",SUMPRODUCT((表成绩单[考试日期]=表成绩单[[#This Row],[考试日期]])*(表成绩单[总分]&lt;9E+307)*(表成绩单[总分]&gt;表成绩单[[#This Row],[总分]]))+1)</f>
        <v>551</v>
      </c>
    </row>
    <row r="1357" ht="28" customHeight="1" spans="4:23">
      <c r="D1357" s="31">
        <v>46003</v>
      </c>
      <c r="E1357" s="29">
        <v>19174787</v>
      </c>
      <c r="F1357" s="29" t="s">
        <v>69</v>
      </c>
      <c r="G1357" s="29" t="s">
        <v>654</v>
      </c>
      <c r="H1357" s="29">
        <v>88</v>
      </c>
      <c r="I1357" s="29">
        <v>67</v>
      </c>
      <c r="J1357" s="29">
        <v>71</v>
      </c>
      <c r="K1357" s="29">
        <v>66</v>
      </c>
      <c r="L1357" s="29">
        <v>57</v>
      </c>
      <c r="M1357" s="29">
        <v>39</v>
      </c>
      <c r="N1357" s="29">
        <v>71</v>
      </c>
      <c r="O1357" s="32">
        <v>459</v>
      </c>
      <c r="P1357" s="29" cm="1">
        <f t="array" ref="P1357">IF(表成绩单[[#This Row],[语文]]="","",SUMPRODUCT((表成绩单[考试日期]=表成绩单[[#This Row],[考试日期]])*(表成绩单[语文]&lt;9E+307)*(表成绩单[语文]&gt;表成绩单[[#This Row],[语文]]))+1)</f>
        <v>613</v>
      </c>
      <c r="Q1357" s="29" cm="1">
        <f t="array" ref="Q1357">IF(表成绩单[[#This Row],[数学]]="","",SUMPRODUCT((表成绩单[考试日期]=表成绩单[[#This Row],[考试日期]])*(表成绩单[数学]&lt;9E+307)*(表成绩单[数学]&gt;表成绩单[[#This Row],[数学]]))+1)</f>
        <v>459</v>
      </c>
      <c r="R1357" s="29" cm="1">
        <f t="array" ref="R1357">IF(表成绩单[[#This Row],[英语]]="","",SUMPRODUCT((表成绩单[考试日期]=表成绩单[[#This Row],[考试日期]])*(表成绩单[英语]&lt;9E+307)*(表成绩单[英语]&gt;表成绩单[[#This Row],[英语]]))+1)</f>
        <v>404</v>
      </c>
      <c r="S1357" s="29" cm="1">
        <f t="array" ref="S1357">IF(表成绩单[[#This Row],[物理]]="","",SUMPRODUCT((表成绩单[考试日期]=表成绩单[[#This Row],[考试日期]])*(表成绩单[物理]&lt;9E+307)*(表成绩单[物理]&gt;表成绩单[[#This Row],[物理]]))+1)</f>
        <v>551</v>
      </c>
      <c r="T1357" s="29" cm="1">
        <f t="array" ref="T1357">IF(表成绩单[[#This Row],[化学]]="","",SUMPRODUCT((表成绩单[考试日期]=表成绩单[[#This Row],[考试日期]])*(表成绩单[化学]&lt;9E+307)*(表成绩单[化学]&gt;表成绩单[[#This Row],[化学]]))+1)</f>
        <v>608</v>
      </c>
      <c r="U1357" s="29" cm="1">
        <f t="array" ref="U1357">IF(表成绩单[[#This Row],[政治]]="","",SUMPRODUCT((表成绩单[考试日期]=表成绩单[[#This Row],[考试日期]])*(表成绩单[政治]&lt;9E+307)*(表成绩单[政治]&gt;表成绩单[[#This Row],[政治]]))+1)</f>
        <v>680</v>
      </c>
      <c r="V1357" s="29" cm="1">
        <f t="array" ref="V1357">IF(表成绩单[[#This Row],[历史]]="","",SUMPRODUCT((表成绩单[考试日期]=表成绩单[[#This Row],[考试日期]])*(表成绩单[历史]&lt;9E+307)*(表成绩单[历史]&gt;表成绩单[[#This Row],[历史]]))+1)</f>
        <v>471</v>
      </c>
      <c r="W1357" s="29" cm="1">
        <f t="array" ref="W1357">IF(表成绩单[[#This Row],[总分]]="","",SUMPRODUCT((表成绩单[考试日期]=表成绩单[[#This Row],[考试日期]])*(表成绩单[总分]&lt;9E+307)*(表成绩单[总分]&gt;表成绩单[[#This Row],[总分]]))+1)</f>
        <v>552</v>
      </c>
    </row>
    <row r="1358" ht="28" customHeight="1" spans="4:23">
      <c r="D1358" s="31">
        <v>46003</v>
      </c>
      <c r="E1358" s="29">
        <v>19172646</v>
      </c>
      <c r="F1358" s="29" t="s">
        <v>60</v>
      </c>
      <c r="G1358" s="29" t="s">
        <v>599</v>
      </c>
      <c r="H1358" s="29">
        <v>97</v>
      </c>
      <c r="I1358" s="29">
        <v>44</v>
      </c>
      <c r="J1358" s="29">
        <v>69</v>
      </c>
      <c r="K1358" s="29">
        <v>53</v>
      </c>
      <c r="L1358" s="29">
        <v>71</v>
      </c>
      <c r="M1358" s="29">
        <v>54</v>
      </c>
      <c r="N1358" s="29">
        <v>70</v>
      </c>
      <c r="O1358" s="32">
        <v>458</v>
      </c>
      <c r="P1358" s="29" cm="1">
        <f t="array" ref="P1358">IF(表成绩单[[#This Row],[语文]]="","",SUMPRODUCT((表成绩单[考试日期]=表成绩单[[#This Row],[考试日期]])*(表成绩单[语文]&lt;9E+307)*(表成绩单[语文]&gt;表成绩单[[#This Row],[语文]]))+1)</f>
        <v>488</v>
      </c>
      <c r="Q1358" s="29" cm="1">
        <f t="array" ref="Q1358">IF(表成绩单[[#This Row],[数学]]="","",SUMPRODUCT((表成绩单[考试日期]=表成绩单[[#This Row],[考试日期]])*(表成绩单[数学]&lt;9E+307)*(表成绩单[数学]&gt;表成绩单[[#This Row],[数学]]))+1)</f>
        <v>611</v>
      </c>
      <c r="R1358" s="29" cm="1">
        <f t="array" ref="R1358">IF(表成绩单[[#This Row],[英语]]="","",SUMPRODUCT((表成绩单[考试日期]=表成绩单[[#This Row],[考试日期]])*(表成绩单[英语]&lt;9E+307)*(表成绩单[英语]&gt;表成绩单[[#This Row],[英语]]))+1)</f>
        <v>434</v>
      </c>
      <c r="S1358" s="29" cm="1">
        <f t="array" ref="S1358">IF(表成绩单[[#This Row],[物理]]="","",SUMPRODUCT((表成绩单[考试日期]=表成绩单[[#This Row],[考试日期]])*(表成绩单[物理]&lt;9E+307)*(表成绩单[物理]&gt;表成绩单[[#This Row],[物理]]))+1)</f>
        <v>616</v>
      </c>
      <c r="T1358" s="29" cm="1">
        <f t="array" ref="T1358">IF(表成绩单[[#This Row],[化学]]="","",SUMPRODUCT((表成绩单[考试日期]=表成绩单[[#This Row],[考试日期]])*(表成绩单[化学]&lt;9E+307)*(表成绩单[化学]&gt;表成绩单[[#This Row],[化学]]))+1)</f>
        <v>487</v>
      </c>
      <c r="U1358" s="29" cm="1">
        <f t="array" ref="U1358">IF(表成绩单[[#This Row],[政治]]="","",SUMPRODUCT((表成绩单[考试日期]=表成绩单[[#This Row],[考试日期]])*(表成绩单[政治]&lt;9E+307)*(表成绩单[政治]&gt;表成绩单[[#This Row],[政治]]))+1)</f>
        <v>524</v>
      </c>
      <c r="V1358" s="29" cm="1">
        <f t="array" ref="V1358">IF(表成绩单[[#This Row],[历史]]="","",SUMPRODUCT((表成绩单[考试日期]=表成绩单[[#This Row],[考试日期]])*(表成绩单[历史]&lt;9E+307)*(表成绩单[历史]&gt;表成绩单[[#This Row],[历史]]))+1)</f>
        <v>499</v>
      </c>
      <c r="W1358" s="29" cm="1">
        <f t="array" ref="W1358">IF(表成绩单[[#This Row],[总分]]="","",SUMPRODUCT((表成绩单[考试日期]=表成绩单[[#This Row],[考试日期]])*(表成绩单[总分]&lt;9E+307)*(表成绩单[总分]&gt;表成绩单[[#This Row],[总分]]))+1)</f>
        <v>553</v>
      </c>
    </row>
    <row r="1359" ht="28" customHeight="1" spans="4:23">
      <c r="D1359" s="31">
        <v>46003</v>
      </c>
      <c r="E1359" s="29">
        <v>19177611</v>
      </c>
      <c r="F1359" s="29" t="s">
        <v>58</v>
      </c>
      <c r="G1359" s="29" t="s">
        <v>709</v>
      </c>
      <c r="H1359" s="29">
        <v>98</v>
      </c>
      <c r="I1359" s="29">
        <v>61</v>
      </c>
      <c r="J1359" s="29">
        <v>54</v>
      </c>
      <c r="K1359" s="29">
        <v>65</v>
      </c>
      <c r="L1359" s="29">
        <v>61</v>
      </c>
      <c r="M1359" s="29">
        <v>50</v>
      </c>
      <c r="N1359" s="29">
        <v>69</v>
      </c>
      <c r="O1359" s="32">
        <v>458</v>
      </c>
      <c r="P1359" s="29" cm="1">
        <f t="array" ref="P1359">IF(表成绩单[[#This Row],[语文]]="","",SUMPRODUCT((表成绩单[考试日期]=表成绩单[[#This Row],[考试日期]])*(表成绩单[语文]&lt;9E+307)*(表成绩单[语文]&gt;表成绩单[[#This Row],[语文]]))+1)</f>
        <v>463</v>
      </c>
      <c r="Q1359" s="29" cm="1">
        <f t="array" ref="Q1359">IF(表成绩单[[#This Row],[数学]]="","",SUMPRODUCT((表成绩单[考试日期]=表成绩单[[#This Row],[考试日期]])*(表成绩单[数学]&lt;9E+307)*(表成绩单[数学]&gt;表成绩单[[#This Row],[数学]]))+1)</f>
        <v>504</v>
      </c>
      <c r="R1359" s="29" cm="1">
        <f t="array" ref="R1359">IF(表成绩单[[#This Row],[英语]]="","",SUMPRODUCT((表成绩单[考试日期]=表成绩单[[#This Row],[考试日期]])*(表成绩单[英语]&lt;9E+307)*(表成绩单[英语]&gt;表成绩单[[#This Row],[英语]]))+1)</f>
        <v>575</v>
      </c>
      <c r="S1359" s="29" cm="1">
        <f t="array" ref="S1359">IF(表成绩单[[#This Row],[物理]]="","",SUMPRODUCT((表成绩单[考试日期]=表成绩单[[#This Row],[考试日期]])*(表成绩单[物理]&lt;9E+307)*(表成绩单[物理]&gt;表成绩单[[#This Row],[物理]]))+1)</f>
        <v>560</v>
      </c>
      <c r="T1359" s="29" cm="1">
        <f t="array" ref="T1359">IF(表成绩单[[#This Row],[化学]]="","",SUMPRODUCT((表成绩单[考试日期]=表成绩单[[#This Row],[考试日期]])*(表成绩单[化学]&lt;9E+307)*(表成绩单[化学]&gt;表成绩单[[#This Row],[化学]]))+1)</f>
        <v>572</v>
      </c>
      <c r="U1359" s="29" cm="1">
        <f t="array" ref="U1359">IF(表成绩单[[#This Row],[政治]]="","",SUMPRODUCT((表成绩单[考试日期]=表成绩单[[#This Row],[考试日期]])*(表成绩单[政治]&lt;9E+307)*(表成绩单[政治]&gt;表成绩单[[#This Row],[政治]]))+1)</f>
        <v>587</v>
      </c>
      <c r="V1359" s="29" cm="1">
        <f t="array" ref="V1359">IF(表成绩单[[#This Row],[历史]]="","",SUMPRODUCT((表成绩单[考试日期]=表成绩单[[#This Row],[考试日期]])*(表成绩单[历史]&lt;9E+307)*(表成绩单[历史]&gt;表成绩单[[#This Row],[历史]]))+1)</f>
        <v>516</v>
      </c>
      <c r="W1359" s="29" cm="1">
        <f t="array" ref="W1359">IF(表成绩单[[#This Row],[总分]]="","",SUMPRODUCT((表成绩单[考试日期]=表成绩单[[#This Row],[考试日期]])*(表成绩单[总分]&lt;9E+307)*(表成绩单[总分]&gt;表成绩单[[#This Row],[总分]]))+1)</f>
        <v>553</v>
      </c>
    </row>
    <row r="1360" ht="28" customHeight="1" spans="4:23">
      <c r="D1360" s="31">
        <v>46003</v>
      </c>
      <c r="E1360" s="29">
        <v>19174808</v>
      </c>
      <c r="F1360" s="29" t="s">
        <v>69</v>
      </c>
      <c r="G1360" s="29" t="s">
        <v>873</v>
      </c>
      <c r="H1360" s="29">
        <v>95</v>
      </c>
      <c r="I1360" s="29">
        <v>72</v>
      </c>
      <c r="J1360" s="29">
        <v>61.5</v>
      </c>
      <c r="K1360" s="29">
        <v>66</v>
      </c>
      <c r="L1360" s="29">
        <v>61</v>
      </c>
      <c r="M1360" s="29">
        <v>46</v>
      </c>
      <c r="N1360" s="29">
        <v>56</v>
      </c>
      <c r="O1360" s="32">
        <v>457.5</v>
      </c>
      <c r="P1360" s="29" cm="1">
        <f t="array" ref="P1360">IF(表成绩单[[#This Row],[语文]]="","",SUMPRODUCT((表成绩单[考试日期]=表成绩单[[#This Row],[考试日期]])*(表成绩单[语文]&lt;9E+307)*(表成绩单[语文]&gt;表成绩单[[#This Row],[语文]]))+1)</f>
        <v>522</v>
      </c>
      <c r="Q1360" s="29" cm="1">
        <f t="array" ref="Q1360">IF(表成绩单[[#This Row],[数学]]="","",SUMPRODUCT((表成绩单[考试日期]=表成绩单[[#This Row],[考试日期]])*(表成绩单[数学]&lt;9E+307)*(表成绩单[数学]&gt;表成绩单[[#This Row],[数学]]))+1)</f>
        <v>396</v>
      </c>
      <c r="R1360" s="29" cm="1">
        <f t="array" ref="R1360">IF(表成绩单[[#This Row],[英语]]="","",SUMPRODUCT((表成绩单[考试日期]=表成绩单[[#This Row],[考试日期]])*(表成绩单[英语]&lt;9E+307)*(表成绩单[英语]&gt;表成绩单[[#This Row],[英语]]))+1)</f>
        <v>513</v>
      </c>
      <c r="S1360" s="29" cm="1">
        <f t="array" ref="S1360">IF(表成绩单[[#This Row],[物理]]="","",SUMPRODUCT((表成绩单[考试日期]=表成绩单[[#This Row],[考试日期]])*(表成绩单[物理]&lt;9E+307)*(表成绩单[物理]&gt;表成绩单[[#This Row],[物理]]))+1)</f>
        <v>551</v>
      </c>
      <c r="T1360" s="29" cm="1">
        <f t="array" ref="T1360">IF(表成绩单[[#This Row],[化学]]="","",SUMPRODUCT((表成绩单[考试日期]=表成绩单[[#This Row],[考试日期]])*(表成绩单[化学]&lt;9E+307)*(表成绩单[化学]&gt;表成绩单[[#This Row],[化学]]))+1)</f>
        <v>572</v>
      </c>
      <c r="U1360" s="29" cm="1">
        <f t="array" ref="U1360">IF(表成绩单[[#This Row],[政治]]="","",SUMPRODUCT((表成绩单[考试日期]=表成绩单[[#This Row],[考试日期]])*(表成绩单[政治]&lt;9E+307)*(表成绩单[政治]&gt;表成绩单[[#This Row],[政治]]))+1)</f>
        <v>629</v>
      </c>
      <c r="V1360" s="29" cm="1">
        <f t="array" ref="V1360">IF(表成绩单[[#This Row],[历史]]="","",SUMPRODUCT((表成绩单[考试日期]=表成绩单[[#This Row],[考试日期]])*(表成绩单[历史]&lt;9E+307)*(表成绩单[历史]&gt;表成绩单[[#This Row],[历史]]))+1)</f>
        <v>664</v>
      </c>
      <c r="W1360" s="29" cm="1">
        <f t="array" ref="W1360">IF(表成绩单[[#This Row],[总分]]="","",SUMPRODUCT((表成绩单[考试日期]=表成绩单[[#This Row],[考试日期]])*(表成绩单[总分]&lt;9E+307)*(表成绩单[总分]&gt;表成绩单[[#This Row],[总分]]))+1)</f>
        <v>555</v>
      </c>
    </row>
    <row r="1361" ht="28" customHeight="1" spans="4:23">
      <c r="D1361" s="31">
        <v>46003</v>
      </c>
      <c r="E1361" s="29">
        <v>19173796</v>
      </c>
      <c r="F1361" s="29" t="s">
        <v>65</v>
      </c>
      <c r="G1361" s="29" t="s">
        <v>635</v>
      </c>
      <c r="H1361" s="29">
        <v>90</v>
      </c>
      <c r="I1361" s="29">
        <v>55</v>
      </c>
      <c r="J1361" s="29">
        <v>58</v>
      </c>
      <c r="K1361" s="29">
        <v>76</v>
      </c>
      <c r="L1361" s="29">
        <v>80</v>
      </c>
      <c r="M1361" s="29">
        <v>37</v>
      </c>
      <c r="N1361" s="29">
        <v>59</v>
      </c>
      <c r="O1361" s="32">
        <v>455</v>
      </c>
      <c r="P1361" s="29" cm="1">
        <f t="array" ref="P1361">IF(表成绩单[[#This Row],[语文]]="","",SUMPRODUCT((表成绩单[考试日期]=表成绩单[[#This Row],[考试日期]])*(表成绩单[语文]&lt;9E+307)*(表成绩单[语文]&gt;表成绩单[[#This Row],[语文]]))+1)</f>
        <v>589</v>
      </c>
      <c r="Q1361" s="29" cm="1">
        <f t="array" ref="Q1361">IF(表成绩单[[#This Row],[数学]]="","",SUMPRODUCT((表成绩单[考试日期]=表成绩单[[#This Row],[考试日期]])*(表成绩单[数学]&lt;9E+307)*(表成绩单[数学]&gt;表成绩单[[#This Row],[数学]]))+1)</f>
        <v>558</v>
      </c>
      <c r="R1361" s="29" cm="1">
        <f t="array" ref="R1361">IF(表成绩单[[#This Row],[英语]]="","",SUMPRODUCT((表成绩单[考试日期]=表成绩单[[#This Row],[考试日期]])*(表成绩单[英语]&lt;9E+307)*(表成绩单[英语]&gt;表成绩单[[#This Row],[英语]]))+1)</f>
        <v>545</v>
      </c>
      <c r="S1361" s="29" cm="1">
        <f t="array" ref="S1361">IF(表成绩单[[#This Row],[物理]]="","",SUMPRODUCT((表成绩单[考试日期]=表成绩单[[#This Row],[考试日期]])*(表成绩单[物理]&lt;9E+307)*(表成绩单[物理]&gt;表成绩单[[#This Row],[物理]]))+1)</f>
        <v>463</v>
      </c>
      <c r="T1361" s="29" cm="1">
        <f t="array" ref="T1361">IF(表成绩单[[#This Row],[化学]]="","",SUMPRODUCT((表成绩单[考试日期]=表成绩单[[#This Row],[考试日期]])*(表成绩单[化学]&lt;9E+307)*(表成绩单[化学]&gt;表成绩单[[#This Row],[化学]]))+1)</f>
        <v>327</v>
      </c>
      <c r="U1361" s="29" cm="1">
        <f t="array" ref="U1361">IF(表成绩单[[#This Row],[政治]]="","",SUMPRODUCT((表成绩单[考试日期]=表成绩单[[#This Row],[考试日期]])*(表成绩单[政治]&lt;9E+307)*(表成绩单[政治]&gt;表成绩单[[#This Row],[政治]]))+1)</f>
        <v>697</v>
      </c>
      <c r="V1361" s="29" cm="1">
        <f t="array" ref="V1361">IF(表成绩单[[#This Row],[历史]]="","",SUMPRODUCT((表成绩单[考试日期]=表成绩单[[#This Row],[考试日期]])*(表成绩单[历史]&lt;9E+307)*(表成绩单[历史]&gt;表成绩单[[#This Row],[历史]]))+1)</f>
        <v>645</v>
      </c>
      <c r="W1361" s="29" cm="1">
        <f t="array" ref="W1361">IF(表成绩单[[#This Row],[总分]]="","",SUMPRODUCT((表成绩单[考试日期]=表成绩单[[#This Row],[考试日期]])*(表成绩单[总分]&lt;9E+307)*(表成绩单[总分]&gt;表成绩单[[#This Row],[总分]]))+1)</f>
        <v>556</v>
      </c>
    </row>
    <row r="1362" ht="28" customHeight="1" spans="4:23">
      <c r="D1362" s="31">
        <v>46003</v>
      </c>
      <c r="E1362" s="29">
        <v>19177602</v>
      </c>
      <c r="F1362" s="29" t="s">
        <v>58</v>
      </c>
      <c r="G1362" s="29" t="s">
        <v>704</v>
      </c>
      <c r="H1362" s="29">
        <v>92</v>
      </c>
      <c r="I1362" s="29">
        <v>56</v>
      </c>
      <c r="J1362" s="29">
        <v>62</v>
      </c>
      <c r="K1362" s="29">
        <v>70</v>
      </c>
      <c r="L1362" s="29">
        <v>50</v>
      </c>
      <c r="M1362" s="29">
        <v>55</v>
      </c>
      <c r="N1362" s="29">
        <v>70</v>
      </c>
      <c r="O1362" s="32">
        <v>455</v>
      </c>
      <c r="P1362" s="29" cm="1">
        <f t="array" ref="P1362">IF(表成绩单[[#This Row],[语文]]="","",SUMPRODUCT((表成绩单[考试日期]=表成绩单[[#This Row],[考试日期]])*(表成绩单[语文]&lt;9E+307)*(表成绩单[语文]&gt;表成绩单[[#This Row],[语文]]))+1)</f>
        <v>569</v>
      </c>
      <c r="Q1362" s="29" cm="1">
        <f t="array" ref="Q1362">IF(表成绩单[[#This Row],[数学]]="","",SUMPRODUCT((表成绩单[考试日期]=表成绩单[[#This Row],[考试日期]])*(表成绩单[数学]&lt;9E+307)*(表成绩单[数学]&gt;表成绩单[[#This Row],[数学]]))+1)</f>
        <v>544</v>
      </c>
      <c r="R1362" s="29" cm="1">
        <f t="array" ref="R1362">IF(表成绩单[[#This Row],[英语]]="","",SUMPRODUCT((表成绩单[考试日期]=表成绩单[[#This Row],[考试日期]])*(表成绩单[英语]&lt;9E+307)*(表成绩单[英语]&gt;表成绩单[[#This Row],[英语]]))+1)</f>
        <v>509</v>
      </c>
      <c r="S1362" s="29" cm="1">
        <f t="array" ref="S1362">IF(表成绩单[[#This Row],[物理]]="","",SUMPRODUCT((表成绩单[考试日期]=表成绩单[[#This Row],[考试日期]])*(表成绩单[物理]&lt;9E+307)*(表成绩单[物理]&gt;表成绩单[[#This Row],[物理]]))+1)</f>
        <v>522</v>
      </c>
      <c r="T1362" s="29" cm="1">
        <f t="array" ref="T1362">IF(表成绩单[[#This Row],[化学]]="","",SUMPRODUCT((表成绩单[考试日期]=表成绩单[[#This Row],[考试日期]])*(表成绩单[化学]&lt;9E+307)*(表成绩单[化学]&gt;表成绩单[[#This Row],[化学]]))+1)</f>
        <v>649</v>
      </c>
      <c r="U1362" s="29" cm="1">
        <f t="array" ref="U1362">IF(表成绩单[[#This Row],[政治]]="","",SUMPRODUCT((表成绩单[考试日期]=表成绩单[[#This Row],[考试日期]])*(表成绩单[政治]&lt;9E+307)*(表成绩单[政治]&gt;表成绩单[[#This Row],[政治]]))+1)</f>
        <v>513</v>
      </c>
      <c r="V1362" s="29" cm="1">
        <f t="array" ref="V1362">IF(表成绩单[[#This Row],[历史]]="","",SUMPRODUCT((表成绩单[考试日期]=表成绩单[[#This Row],[考试日期]])*(表成绩单[历史]&lt;9E+307)*(表成绩单[历史]&gt;表成绩单[[#This Row],[历史]]))+1)</f>
        <v>499</v>
      </c>
      <c r="W1362" s="29" cm="1">
        <f t="array" ref="W1362">IF(表成绩单[[#This Row],[总分]]="","",SUMPRODUCT((表成绩单[考试日期]=表成绩单[[#This Row],[考试日期]])*(表成绩单[总分]&lt;9E+307)*(表成绩单[总分]&gt;表成绩单[[#This Row],[总分]]))+1)</f>
        <v>556</v>
      </c>
    </row>
    <row r="1363" ht="28" customHeight="1" spans="4:23">
      <c r="D1363" s="31">
        <v>46003</v>
      </c>
      <c r="E1363" s="29">
        <v>19178593</v>
      </c>
      <c r="F1363" s="29" t="s">
        <v>64</v>
      </c>
      <c r="G1363" s="29" t="s">
        <v>772</v>
      </c>
      <c r="H1363" s="29">
        <v>86</v>
      </c>
      <c r="I1363" s="29">
        <v>56</v>
      </c>
      <c r="J1363" s="29">
        <v>41</v>
      </c>
      <c r="K1363" s="29">
        <v>63</v>
      </c>
      <c r="L1363" s="29">
        <v>87</v>
      </c>
      <c r="M1363" s="29">
        <v>51</v>
      </c>
      <c r="N1363" s="29">
        <v>71</v>
      </c>
      <c r="O1363" s="32">
        <v>455</v>
      </c>
      <c r="P1363" s="29" cm="1">
        <f t="array" ref="P1363">IF(表成绩单[[#This Row],[语文]]="","",SUMPRODUCT((表成绩单[考试日期]=表成绩单[[#This Row],[考试日期]])*(表成绩单[语文]&lt;9E+307)*(表成绩单[语文]&gt;表成绩单[[#This Row],[语文]]))+1)</f>
        <v>626</v>
      </c>
      <c r="Q1363" s="29" cm="1">
        <f t="array" ref="Q1363">IF(表成绩单[[#This Row],[数学]]="","",SUMPRODUCT((表成绩单[考试日期]=表成绩单[[#This Row],[考试日期]])*(表成绩单[数学]&lt;9E+307)*(表成绩单[数学]&gt;表成绩单[[#This Row],[数学]]))+1)</f>
        <v>544</v>
      </c>
      <c r="R1363" s="29" cm="1">
        <f t="array" ref="R1363">IF(表成绩单[[#This Row],[英语]]="","",SUMPRODUCT((表成绩单[考试日期]=表成绩单[[#This Row],[考试日期]])*(表成绩单[英语]&lt;9E+307)*(表成绩单[英语]&gt;表成绩单[[#This Row],[英语]]))+1)</f>
        <v>647</v>
      </c>
      <c r="S1363" s="29" cm="1">
        <f t="array" ref="S1363">IF(表成绩单[[#This Row],[物理]]="","",SUMPRODUCT((表成绩单[考试日期]=表成绩单[[#This Row],[考试日期]])*(表成绩单[物理]&lt;9E+307)*(表成绩单[物理]&gt;表成绩单[[#This Row],[物理]]))+1)</f>
        <v>573</v>
      </c>
      <c r="T1363" s="29" cm="1">
        <f t="array" ref="T1363">IF(表成绩单[[#This Row],[化学]]="","",SUMPRODUCT((表成绩单[考试日期]=表成绩单[[#This Row],[考试日期]])*(表成绩单[化学]&lt;9E+307)*(表成绩单[化学]&gt;表成绩单[[#This Row],[化学]]))+1)</f>
        <v>201</v>
      </c>
      <c r="U1363" s="29" cm="1">
        <f t="array" ref="U1363">IF(表成绩单[[#This Row],[政治]]="","",SUMPRODUCT((表成绩单[考试日期]=表成绩单[[#This Row],[考试日期]])*(表成绩单[政治]&lt;9E+307)*(表成绩单[政治]&gt;表成绩单[[#This Row],[政治]]))+1)</f>
        <v>571</v>
      </c>
      <c r="V1363" s="29" cm="1">
        <f t="array" ref="V1363">IF(表成绩单[[#This Row],[历史]]="","",SUMPRODUCT((表成绩单[考试日期]=表成绩单[[#This Row],[考试日期]])*(表成绩单[历史]&lt;9E+307)*(表成绩单[历史]&gt;表成绩单[[#This Row],[历史]]))+1)</f>
        <v>471</v>
      </c>
      <c r="W1363" s="29" cm="1">
        <f t="array" ref="W1363">IF(表成绩单[[#This Row],[总分]]="","",SUMPRODUCT((表成绩单[考试日期]=表成绩单[[#This Row],[考试日期]])*(表成绩单[总分]&lt;9E+307)*(表成绩单[总分]&gt;表成绩单[[#This Row],[总分]]))+1)</f>
        <v>556</v>
      </c>
    </row>
    <row r="1364" ht="28" customHeight="1" spans="4:23">
      <c r="D1364" s="31">
        <v>46003</v>
      </c>
      <c r="E1364" s="29">
        <v>19178625</v>
      </c>
      <c r="F1364" s="29" t="s">
        <v>25</v>
      </c>
      <c r="G1364" s="29" t="s">
        <v>571</v>
      </c>
      <c r="H1364" s="29">
        <v>93</v>
      </c>
      <c r="I1364" s="29">
        <v>64</v>
      </c>
      <c r="J1364" s="29">
        <v>52</v>
      </c>
      <c r="K1364" s="29">
        <v>64</v>
      </c>
      <c r="L1364" s="29">
        <v>63</v>
      </c>
      <c r="M1364" s="29">
        <v>46</v>
      </c>
      <c r="N1364" s="29">
        <v>73</v>
      </c>
      <c r="O1364" s="32">
        <v>455</v>
      </c>
      <c r="P1364" s="29" cm="1">
        <f t="array" ref="P1364">IF(表成绩单[[#This Row],[语文]]="","",SUMPRODUCT((表成绩单[考试日期]=表成绩单[[#This Row],[考试日期]])*(表成绩单[语文]&lt;9E+307)*(表成绩单[语文]&gt;表成绩单[[#This Row],[语文]]))+1)</f>
        <v>555</v>
      </c>
      <c r="Q1364" s="29" cm="1">
        <f t="array" ref="Q1364">IF(表成绩单[[#This Row],[数学]]="","",SUMPRODUCT((表成绩单[考试日期]=表成绩单[[#This Row],[考试日期]])*(表成绩单[数学]&lt;9E+307)*(表成绩单[数学]&gt;表成绩单[[#This Row],[数学]]))+1)</f>
        <v>486</v>
      </c>
      <c r="R1364" s="29" cm="1">
        <f t="array" ref="R1364">IF(表成绩单[[#This Row],[英语]]="","",SUMPRODUCT((表成绩单[考试日期]=表成绩单[[#This Row],[考试日期]])*(表成绩单[英语]&lt;9E+307)*(表成绩单[英语]&gt;表成绩单[[#This Row],[英语]]))+1)</f>
        <v>589</v>
      </c>
      <c r="S1364" s="29" cm="1">
        <f t="array" ref="S1364">IF(表成绩单[[#This Row],[物理]]="","",SUMPRODUCT((表成绩单[考试日期]=表成绩单[[#This Row],[考试日期]])*(表成绩单[物理]&lt;9E+307)*(表成绩单[物理]&gt;表成绩单[[#This Row],[物理]]))+1)</f>
        <v>569</v>
      </c>
      <c r="T1364" s="29" cm="1">
        <f t="array" ref="T1364">IF(表成绩单[[#This Row],[化学]]="","",SUMPRODUCT((表成绩单[考试日期]=表成绩单[[#This Row],[考试日期]])*(表成绩单[化学]&lt;9E+307)*(表成绩单[化学]&gt;表成绩单[[#This Row],[化学]]))+1)</f>
        <v>559</v>
      </c>
      <c r="U1364" s="29" cm="1">
        <f t="array" ref="U1364">IF(表成绩单[[#This Row],[政治]]="","",SUMPRODUCT((表成绩单[考试日期]=表成绩单[[#This Row],[考试日期]])*(表成绩单[政治]&lt;9E+307)*(表成绩单[政治]&gt;表成绩单[[#This Row],[政治]]))+1)</f>
        <v>629</v>
      </c>
      <c r="V1364" s="29" cm="1">
        <f t="array" ref="V1364">IF(表成绩单[[#This Row],[历史]]="","",SUMPRODUCT((表成绩单[考试日期]=表成绩单[[#This Row],[考试日期]])*(表成绩单[历史]&lt;9E+307)*(表成绩单[历史]&gt;表成绩单[[#This Row],[历史]]))+1)</f>
        <v>403</v>
      </c>
      <c r="W1364" s="29" cm="1">
        <f t="array" ref="W1364">IF(表成绩单[[#This Row],[总分]]="","",SUMPRODUCT((表成绩单[考试日期]=表成绩单[[#This Row],[考试日期]])*(表成绩单[总分]&lt;9E+307)*(表成绩单[总分]&gt;表成绩单[[#This Row],[总分]]))+1)</f>
        <v>556</v>
      </c>
    </row>
    <row r="1365" ht="28" customHeight="1" spans="4:23">
      <c r="D1365" s="31">
        <v>46003</v>
      </c>
      <c r="E1365" s="29">
        <v>26761258</v>
      </c>
      <c r="F1365" s="29" t="s">
        <v>57</v>
      </c>
      <c r="G1365" s="29" t="s">
        <v>697</v>
      </c>
      <c r="H1365" s="29">
        <v>100</v>
      </c>
      <c r="I1365" s="29">
        <v>57</v>
      </c>
      <c r="J1365" s="29">
        <v>66</v>
      </c>
      <c r="K1365" s="29">
        <v>76</v>
      </c>
      <c r="L1365" s="29">
        <v>51</v>
      </c>
      <c r="M1365" s="29">
        <v>56</v>
      </c>
      <c r="N1365" s="29">
        <v>49</v>
      </c>
      <c r="O1365" s="32">
        <v>455</v>
      </c>
      <c r="P1365" s="29" cm="1">
        <f t="array" ref="P1365">IF(表成绩单[[#This Row],[语文]]="","",SUMPRODUCT((表成绩单[考试日期]=表成绩单[[#This Row],[考试日期]])*(表成绩单[语文]&lt;9E+307)*(表成绩单[语文]&gt;表成绩单[[#This Row],[语文]]))+1)</f>
        <v>414</v>
      </c>
      <c r="Q1365" s="29" cm="1">
        <f t="array" ref="Q1365">IF(表成绩单[[#This Row],[数学]]="","",SUMPRODUCT((表成绩单[考试日期]=表成绩单[[#This Row],[考试日期]])*(表成绩单[数学]&lt;9E+307)*(表成绩单[数学]&gt;表成绩单[[#This Row],[数学]]))+1)</f>
        <v>539</v>
      </c>
      <c r="R1365" s="29" cm="1">
        <f t="array" ref="R1365">IF(表成绩单[[#This Row],[英语]]="","",SUMPRODUCT((表成绩单[考试日期]=表成绩单[[#This Row],[考试日期]])*(表成绩单[英语]&lt;9E+307)*(表成绩单[英语]&gt;表成绩单[[#This Row],[英语]]))+1)</f>
        <v>467</v>
      </c>
      <c r="S1365" s="29" cm="1">
        <f t="array" ref="S1365">IF(表成绩单[[#This Row],[物理]]="","",SUMPRODUCT((表成绩单[考试日期]=表成绩单[[#This Row],[考试日期]])*(表成绩单[物理]&lt;9E+307)*(表成绩单[物理]&gt;表成绩单[[#This Row],[物理]]))+1)</f>
        <v>463</v>
      </c>
      <c r="T1365" s="29" cm="1">
        <f t="array" ref="T1365">IF(表成绩单[[#This Row],[化学]]="","",SUMPRODUCT((表成绩单[考试日期]=表成绩单[[#This Row],[考试日期]])*(表成绩单[化学]&lt;9E+307)*(表成绩单[化学]&gt;表成绩单[[#This Row],[化学]]))+1)</f>
        <v>643</v>
      </c>
      <c r="U1365" s="29" cm="1">
        <f t="array" ref="U1365">IF(表成绩单[[#This Row],[政治]]="","",SUMPRODUCT((表成绩单[考试日期]=表成绩单[[#This Row],[考试日期]])*(表成绩单[政治]&lt;9E+307)*(表成绩单[政治]&gt;表成绩单[[#This Row],[政治]]))+1)</f>
        <v>492</v>
      </c>
      <c r="V1365" s="29" cm="1">
        <f t="array" ref="V1365">IF(表成绩单[[#This Row],[历史]]="","",SUMPRODUCT((表成绩单[考试日期]=表成绩单[[#This Row],[考试日期]])*(表成绩单[历史]&lt;9E+307)*(表成绩单[历史]&gt;表成绩单[[#This Row],[历史]]))+1)</f>
        <v>702</v>
      </c>
      <c r="W1365" s="29" cm="1">
        <f t="array" ref="W1365">IF(表成绩单[[#This Row],[总分]]="","",SUMPRODUCT((表成绩单[考试日期]=表成绩单[[#This Row],[考试日期]])*(表成绩单[总分]&lt;9E+307)*(表成绩单[总分]&gt;表成绩单[[#This Row],[总分]]))+1)</f>
        <v>556</v>
      </c>
    </row>
    <row r="1366" ht="28" customHeight="1" spans="4:23">
      <c r="D1366" s="31">
        <v>46003</v>
      </c>
      <c r="E1366" s="29">
        <v>19172645</v>
      </c>
      <c r="F1366" s="29" t="s">
        <v>60</v>
      </c>
      <c r="G1366" s="29" t="s">
        <v>644</v>
      </c>
      <c r="H1366" s="29">
        <v>85</v>
      </c>
      <c r="I1366" s="29">
        <v>60</v>
      </c>
      <c r="J1366" s="29">
        <v>52.5</v>
      </c>
      <c r="K1366" s="29">
        <v>64</v>
      </c>
      <c r="L1366" s="29">
        <v>77</v>
      </c>
      <c r="M1366" s="29">
        <v>50</v>
      </c>
      <c r="N1366" s="29">
        <v>66</v>
      </c>
      <c r="O1366" s="32">
        <v>454.5</v>
      </c>
      <c r="P1366" s="29" cm="1">
        <f t="array" ref="P1366">IF(表成绩单[[#This Row],[语文]]="","",SUMPRODUCT((表成绩单[考试日期]=表成绩单[[#This Row],[考试日期]])*(表成绩单[语文]&lt;9E+307)*(表成绩单[语文]&gt;表成绩单[[#This Row],[语文]]))+1)</f>
        <v>634</v>
      </c>
      <c r="Q1366" s="29" cm="1">
        <f t="array" ref="Q1366">IF(表成绩单[[#This Row],[数学]]="","",SUMPRODUCT((表成绩单[考试日期]=表成绩单[[#This Row],[考试日期]])*(表成绩单[数学]&lt;9E+307)*(表成绩单[数学]&gt;表成绩单[[#This Row],[数学]]))+1)</f>
        <v>519</v>
      </c>
      <c r="R1366" s="29" cm="1">
        <f t="array" ref="R1366">IF(表成绩单[[#This Row],[英语]]="","",SUMPRODUCT((表成绩单[考试日期]=表成绩单[[#This Row],[考试日期]])*(表成绩单[英语]&lt;9E+307)*(表成绩单[英语]&gt;表成绩单[[#This Row],[英语]]))+1)</f>
        <v>588</v>
      </c>
      <c r="S1366" s="29" cm="1">
        <f t="array" ref="S1366">IF(表成绩单[[#This Row],[物理]]="","",SUMPRODUCT((表成绩单[考试日期]=表成绩单[[#This Row],[考试日期]])*(表成绩单[物理]&lt;9E+307)*(表成绩单[物理]&gt;表成绩单[[#This Row],[物理]]))+1)</f>
        <v>569</v>
      </c>
      <c r="T1366" s="29" cm="1">
        <f t="array" ref="T1366">IF(表成绩单[[#This Row],[化学]]="","",SUMPRODUCT((表成绩单[考试日期]=表成绩单[[#This Row],[考试日期]])*(表成绩单[化学]&lt;9E+307)*(表成绩单[化学]&gt;表成绩单[[#This Row],[化学]]))+1)</f>
        <v>388</v>
      </c>
      <c r="U1366" s="29" cm="1">
        <f t="array" ref="U1366">IF(表成绩单[[#This Row],[政治]]="","",SUMPRODUCT((表成绩单[考试日期]=表成绩单[[#This Row],[考试日期]])*(表成绩单[政治]&lt;9E+307)*(表成绩单[政治]&gt;表成绩单[[#This Row],[政治]]))+1)</f>
        <v>587</v>
      </c>
      <c r="V1366" s="29" cm="1">
        <f t="array" ref="V1366">IF(表成绩单[[#This Row],[历史]]="","",SUMPRODUCT((表成绩单[考试日期]=表成绩单[[#This Row],[考试日期]])*(表成绩单[历史]&lt;9E+307)*(表成绩单[历史]&gt;表成绩单[[#This Row],[历史]]))+1)</f>
        <v>571</v>
      </c>
      <c r="W1366" s="29" cm="1">
        <f t="array" ref="W1366">IF(表成绩单[[#This Row],[总分]]="","",SUMPRODUCT((表成绩单[考试日期]=表成绩单[[#This Row],[考试日期]])*(表成绩单[总分]&lt;9E+307)*(表成绩单[总分]&gt;表成绩单[[#This Row],[总分]]))+1)</f>
        <v>561</v>
      </c>
    </row>
    <row r="1367" ht="28" customHeight="1" spans="4:23">
      <c r="D1367" s="31">
        <v>46003</v>
      </c>
      <c r="E1367" s="29">
        <v>19175315</v>
      </c>
      <c r="F1367" s="29" t="s">
        <v>55</v>
      </c>
      <c r="G1367" s="29" t="s">
        <v>642</v>
      </c>
      <c r="H1367" s="29">
        <v>87</v>
      </c>
      <c r="I1367" s="29">
        <v>52</v>
      </c>
      <c r="J1367" s="29">
        <v>67.5</v>
      </c>
      <c r="K1367" s="29">
        <v>79</v>
      </c>
      <c r="L1367" s="29">
        <v>65</v>
      </c>
      <c r="M1367" s="29">
        <v>44</v>
      </c>
      <c r="N1367" s="29">
        <v>60</v>
      </c>
      <c r="O1367" s="32">
        <v>454.5</v>
      </c>
      <c r="P1367" s="29" cm="1">
        <f t="array" ref="P1367">IF(表成绩单[[#This Row],[语文]]="","",SUMPRODUCT((表成绩单[考试日期]=表成绩单[[#This Row],[考试日期]])*(表成绩单[语文]&lt;9E+307)*(表成绩单[语文]&gt;表成绩单[[#This Row],[语文]]))+1)</f>
        <v>620</v>
      </c>
      <c r="Q1367" s="29" cm="1">
        <f t="array" ref="Q1367">IF(表成绩单[[#This Row],[数学]]="","",SUMPRODUCT((表成绩单[考试日期]=表成绩单[[#This Row],[考试日期]])*(表成绩单[数学]&lt;9E+307)*(表成绩单[数学]&gt;表成绩单[[#This Row],[数学]]))+1)</f>
        <v>569</v>
      </c>
      <c r="R1367" s="29" cm="1">
        <f t="array" ref="R1367">IF(表成绩单[[#This Row],[英语]]="","",SUMPRODUCT((表成绩单[考试日期]=表成绩单[[#This Row],[考试日期]])*(表成绩单[英语]&lt;9E+307)*(表成绩单[英语]&gt;表成绩单[[#This Row],[英语]]))+1)</f>
        <v>453</v>
      </c>
      <c r="S1367" s="29" cm="1">
        <f t="array" ref="S1367">IF(表成绩单[[#This Row],[物理]]="","",SUMPRODUCT((表成绩单[考试日期]=表成绩单[[#This Row],[考试日期]])*(表成绩单[物理]&lt;9E+307)*(表成绩单[物理]&gt;表成绩单[[#This Row],[物理]]))+1)</f>
        <v>432</v>
      </c>
      <c r="T1367" s="29" cm="1">
        <f t="array" ref="T1367">IF(表成绩单[[#This Row],[化学]]="","",SUMPRODUCT((表成绩单[考试日期]=表成绩单[[#This Row],[考试日期]])*(表成绩单[化学]&lt;9E+307)*(表成绩单[化学]&gt;表成绩单[[#This Row],[化学]]))+1)</f>
        <v>543</v>
      </c>
      <c r="U1367" s="29" cm="1">
        <f t="array" ref="U1367">IF(表成绩单[[#This Row],[政治]]="","",SUMPRODUCT((表成绩单[考试日期]=表成绩单[[#This Row],[考试日期]])*(表成绩单[政治]&lt;9E+307)*(表成绩单[政治]&gt;表成绩单[[#This Row],[政治]]))+1)</f>
        <v>651</v>
      </c>
      <c r="V1367" s="29" cm="1">
        <f t="array" ref="V1367">IF(表成绩单[[#This Row],[历史]]="","",SUMPRODUCT((表成绩单[考试日期]=表成绩单[[#This Row],[考试日期]])*(表成绩单[历史]&lt;9E+307)*(表成绩单[历史]&gt;表成绩单[[#This Row],[历史]]))+1)</f>
        <v>633</v>
      </c>
      <c r="W1367" s="29" cm="1">
        <f t="array" ref="W1367">IF(表成绩单[[#This Row],[总分]]="","",SUMPRODUCT((表成绩单[考试日期]=表成绩单[[#This Row],[考试日期]])*(表成绩单[总分]&lt;9E+307)*(表成绩单[总分]&gt;表成绩单[[#This Row],[总分]]))+1)</f>
        <v>561</v>
      </c>
    </row>
    <row r="1368" ht="28" customHeight="1" spans="4:23">
      <c r="D1368" s="31">
        <v>46003</v>
      </c>
      <c r="E1368" s="29">
        <v>19178601</v>
      </c>
      <c r="F1368" s="29" t="s">
        <v>64</v>
      </c>
      <c r="G1368" s="29" t="s">
        <v>594</v>
      </c>
      <c r="H1368" s="29">
        <v>104</v>
      </c>
      <c r="I1368" s="29">
        <v>47</v>
      </c>
      <c r="J1368" s="29">
        <v>51</v>
      </c>
      <c r="K1368" s="29">
        <v>57</v>
      </c>
      <c r="L1368" s="29">
        <v>58</v>
      </c>
      <c r="M1368" s="29">
        <v>68</v>
      </c>
      <c r="N1368" s="29">
        <v>69</v>
      </c>
      <c r="O1368" s="32">
        <v>454</v>
      </c>
      <c r="P1368" s="29" cm="1">
        <f t="array" ref="P1368">IF(表成绩单[[#This Row],[语文]]="","",SUMPRODUCT((表成绩单[考试日期]=表成绩单[[#This Row],[考试日期]])*(表成绩单[语文]&lt;9E+307)*(表成绩单[语文]&gt;表成绩单[[#This Row],[语文]]))+1)</f>
        <v>290</v>
      </c>
      <c r="Q1368" s="29" cm="1">
        <f t="array" ref="Q1368">IF(表成绩单[[#This Row],[数学]]="","",SUMPRODUCT((表成绩单[考试日期]=表成绩单[[#This Row],[考试日期]])*(表成绩单[数学]&lt;9E+307)*(表成绩单[数学]&gt;表成绩单[[#This Row],[数学]]))+1)</f>
        <v>601</v>
      </c>
      <c r="R1368" s="29" cm="1">
        <f t="array" ref="R1368">IF(表成绩单[[#This Row],[英语]]="","",SUMPRODUCT((表成绩单[考试日期]=表成绩单[[#This Row],[考试日期]])*(表成绩单[英语]&lt;9E+307)*(表成绩单[英语]&gt;表成绩单[[#This Row],[英语]]))+1)</f>
        <v>597</v>
      </c>
      <c r="S1368" s="29" cm="1">
        <f t="array" ref="S1368">IF(表成绩单[[#This Row],[物理]]="","",SUMPRODUCT((表成绩单[考试日期]=表成绩单[[#This Row],[考试日期]])*(表成绩单[物理]&lt;9E+307)*(表成绩单[物理]&gt;表成绩单[[#This Row],[物理]]))+1)</f>
        <v>604</v>
      </c>
      <c r="T1368" s="29" cm="1">
        <f t="array" ref="T1368">IF(表成绩单[[#This Row],[化学]]="","",SUMPRODUCT((表成绩单[考试日期]=表成绩单[[#This Row],[考试日期]])*(表成绩单[化学]&lt;9E+307)*(表成绩单[化学]&gt;表成绩单[[#This Row],[化学]]))+1)</f>
        <v>597</v>
      </c>
      <c r="U1368" s="29" cm="1">
        <f t="array" ref="U1368">IF(表成绩单[[#This Row],[政治]]="","",SUMPRODUCT((表成绩单[考试日期]=表成绩单[[#This Row],[考试日期]])*(表成绩单[政治]&lt;9E+307)*(表成绩单[政治]&gt;表成绩单[[#This Row],[政治]]))+1)</f>
        <v>237</v>
      </c>
      <c r="V1368" s="29" cm="1">
        <f t="array" ref="V1368">IF(表成绩单[[#This Row],[历史]]="","",SUMPRODUCT((表成绩单[考试日期]=表成绩单[[#This Row],[考试日期]])*(表成绩单[历史]&lt;9E+307)*(表成绩单[历史]&gt;表成绩单[[#This Row],[历史]]))+1)</f>
        <v>516</v>
      </c>
      <c r="W1368" s="29" cm="1">
        <f t="array" ref="W1368">IF(表成绩单[[#This Row],[总分]]="","",SUMPRODUCT((表成绩单[考试日期]=表成绩单[[#This Row],[考试日期]])*(表成绩单[总分]&lt;9E+307)*(表成绩单[总分]&gt;表成绩单[[#This Row],[总分]]))+1)</f>
        <v>563</v>
      </c>
    </row>
    <row r="1369" ht="28" customHeight="1" spans="4:23">
      <c r="D1369" s="31">
        <v>46003</v>
      </c>
      <c r="E1369" s="29">
        <v>19175621</v>
      </c>
      <c r="F1369" s="29" t="s">
        <v>57</v>
      </c>
      <c r="G1369" s="29" t="s">
        <v>695</v>
      </c>
      <c r="H1369" s="29">
        <v>97</v>
      </c>
      <c r="I1369" s="29">
        <v>49</v>
      </c>
      <c r="J1369" s="29">
        <v>61.5</v>
      </c>
      <c r="K1369" s="29">
        <v>71</v>
      </c>
      <c r="L1369" s="29">
        <v>64</v>
      </c>
      <c r="M1369" s="29">
        <v>51</v>
      </c>
      <c r="N1369" s="29">
        <v>60</v>
      </c>
      <c r="O1369" s="32">
        <v>453.5</v>
      </c>
      <c r="P1369" s="29" cm="1">
        <f t="array" ref="P1369">IF(表成绩单[[#This Row],[语文]]="","",SUMPRODUCT((表成绩单[考试日期]=表成绩单[[#This Row],[考试日期]])*(表成绩单[语文]&lt;9E+307)*(表成绩单[语文]&gt;表成绩单[[#This Row],[语文]]))+1)</f>
        <v>488</v>
      </c>
      <c r="Q1369" s="29" cm="1">
        <f t="array" ref="Q1369">IF(表成绩单[[#This Row],[数学]]="","",SUMPRODUCT((表成绩单[考试日期]=表成绩单[[#This Row],[考试日期]])*(表成绩单[数学]&lt;9E+307)*(表成绩单[数学]&gt;表成绩单[[#This Row],[数学]]))+1)</f>
        <v>587</v>
      </c>
      <c r="R1369" s="29" cm="1">
        <f t="array" ref="R1369">IF(表成绩单[[#This Row],[英语]]="","",SUMPRODUCT((表成绩单[考试日期]=表成绩单[[#This Row],[考试日期]])*(表成绩单[英语]&lt;9E+307)*(表成绩单[英语]&gt;表成绩单[[#This Row],[英语]]))+1)</f>
        <v>513</v>
      </c>
      <c r="S1369" s="29" cm="1">
        <f t="array" ref="S1369">IF(表成绩单[[#This Row],[物理]]="","",SUMPRODUCT((表成绩单[考试日期]=表成绩单[[#This Row],[考试日期]])*(表成绩单[物理]&lt;9E+307)*(表成绩单[物理]&gt;表成绩单[[#This Row],[物理]]))+1)</f>
        <v>507</v>
      </c>
      <c r="T1369" s="29" cm="1">
        <f t="array" ref="T1369">IF(表成绩单[[#This Row],[化学]]="","",SUMPRODUCT((表成绩单[考试日期]=表成绩单[[#This Row],[考试日期]])*(表成绩单[化学]&lt;9E+307)*(表成绩单[化学]&gt;表成绩单[[#This Row],[化学]]))+1)</f>
        <v>552</v>
      </c>
      <c r="U1369" s="29" cm="1">
        <f t="array" ref="U1369">IF(表成绩单[[#This Row],[政治]]="","",SUMPRODUCT((表成绩单[考试日期]=表成绩单[[#This Row],[考试日期]])*(表成绩单[政治]&lt;9E+307)*(表成绩单[政治]&gt;表成绩单[[#This Row],[政治]]))+1)</f>
        <v>571</v>
      </c>
      <c r="V1369" s="29" cm="1">
        <f t="array" ref="V1369">IF(表成绩单[[#This Row],[历史]]="","",SUMPRODUCT((表成绩单[考试日期]=表成绩单[[#This Row],[考试日期]])*(表成绩单[历史]&lt;9E+307)*(表成绩单[历史]&gt;表成绩单[[#This Row],[历史]]))+1)</f>
        <v>633</v>
      </c>
      <c r="W1369" s="29" cm="1">
        <f t="array" ref="W1369">IF(表成绩单[[#This Row],[总分]]="","",SUMPRODUCT((表成绩单[考试日期]=表成绩单[[#This Row],[考试日期]])*(表成绩单[总分]&lt;9E+307)*(表成绩单[总分]&gt;表成绩单[[#This Row],[总分]]))+1)</f>
        <v>564</v>
      </c>
    </row>
    <row r="1370" ht="28" customHeight="1" spans="4:23">
      <c r="D1370" s="31">
        <v>46003</v>
      </c>
      <c r="E1370" s="29">
        <v>19178602</v>
      </c>
      <c r="F1370" s="29" t="s">
        <v>64</v>
      </c>
      <c r="G1370" s="29" t="s">
        <v>754</v>
      </c>
      <c r="H1370" s="29">
        <v>106</v>
      </c>
      <c r="I1370" s="29">
        <v>39</v>
      </c>
      <c r="J1370" s="29">
        <v>32</v>
      </c>
      <c r="K1370" s="29">
        <v>72</v>
      </c>
      <c r="L1370" s="29">
        <v>79</v>
      </c>
      <c r="M1370" s="29">
        <v>50</v>
      </c>
      <c r="N1370" s="29">
        <v>75</v>
      </c>
      <c r="O1370" s="32">
        <v>453</v>
      </c>
      <c r="P1370" s="29" cm="1">
        <f t="array" ref="P1370">IF(表成绩单[[#This Row],[语文]]="","",SUMPRODUCT((表成绩单[考试日期]=表成绩单[[#This Row],[考试日期]])*(表成绩单[语文]&lt;9E+307)*(表成绩单[语文]&gt;表成绩单[[#This Row],[语文]]))+1)</f>
        <v>210</v>
      </c>
      <c r="Q1370" s="29" cm="1">
        <f t="array" ref="Q1370">IF(表成绩单[[#This Row],[数学]]="","",SUMPRODUCT((表成绩单[考试日期]=表成绩单[[#This Row],[考试日期]])*(表成绩单[数学]&lt;9E+307)*(表成绩单[数学]&gt;表成绩单[[#This Row],[数学]]))+1)</f>
        <v>639</v>
      </c>
      <c r="R1370" s="29" cm="1">
        <f t="array" ref="R1370">IF(表成绩单[[#This Row],[英语]]="","",SUMPRODUCT((表成绩单[考试日期]=表成绩单[[#This Row],[考试日期]])*(表成绩单[英语]&lt;9E+307)*(表成绩单[英语]&gt;表成绩单[[#This Row],[英语]]))+1)</f>
        <v>682</v>
      </c>
      <c r="S1370" s="29" cm="1">
        <f t="array" ref="S1370">IF(表成绩单[[#This Row],[物理]]="","",SUMPRODUCT((表成绩单[考试日期]=表成绩单[[#This Row],[考试日期]])*(表成绩单[物理]&lt;9E+307)*(表成绩单[物理]&gt;表成绩单[[#This Row],[物理]]))+1)</f>
        <v>495</v>
      </c>
      <c r="T1370" s="29" cm="1">
        <f t="array" ref="T1370">IF(表成绩单[[#This Row],[化学]]="","",SUMPRODUCT((表成绩单[考试日期]=表成绩单[[#This Row],[考试日期]])*(表成绩单[化学]&lt;9E+307)*(表成绩单[化学]&gt;表成绩单[[#This Row],[化学]]))+1)</f>
        <v>351</v>
      </c>
      <c r="U1370" s="29" cm="1">
        <f t="array" ref="U1370">IF(表成绩单[[#This Row],[政治]]="","",SUMPRODUCT((表成绩单[考试日期]=表成绩单[[#This Row],[考试日期]])*(表成绩单[政治]&lt;9E+307)*(表成绩单[政治]&gt;表成绩单[[#This Row],[政治]]))+1)</f>
        <v>587</v>
      </c>
      <c r="V1370" s="29" cm="1">
        <f t="array" ref="V1370">IF(表成绩单[[#This Row],[历史]]="","",SUMPRODUCT((表成绩单[考试日期]=表成绩单[[#This Row],[考试日期]])*(表成绩单[历史]&lt;9E+307)*(表成绩单[历史]&gt;表成绩单[[#This Row],[历史]]))+1)</f>
        <v>329</v>
      </c>
      <c r="W1370" s="29" cm="1">
        <f t="array" ref="W1370">IF(表成绩单[[#This Row],[总分]]="","",SUMPRODUCT((表成绩单[考试日期]=表成绩单[[#This Row],[考试日期]])*(表成绩单[总分]&lt;9E+307)*(表成绩单[总分]&gt;表成绩单[[#This Row],[总分]]))+1)</f>
        <v>565</v>
      </c>
    </row>
    <row r="1371" ht="28" customHeight="1" spans="4:23">
      <c r="D1371" s="31">
        <v>46003</v>
      </c>
      <c r="E1371" s="29">
        <v>19176015</v>
      </c>
      <c r="F1371" s="29" t="s">
        <v>59</v>
      </c>
      <c r="G1371" s="29" t="s">
        <v>565</v>
      </c>
      <c r="H1371" s="29">
        <v>100</v>
      </c>
      <c r="I1371" s="29">
        <v>50</v>
      </c>
      <c r="J1371" s="29">
        <v>59.5</v>
      </c>
      <c r="K1371" s="29">
        <v>62</v>
      </c>
      <c r="L1371" s="29">
        <v>72</v>
      </c>
      <c r="M1371" s="29">
        <v>48</v>
      </c>
      <c r="N1371" s="29">
        <v>61</v>
      </c>
      <c r="O1371" s="32">
        <v>452.5</v>
      </c>
      <c r="P1371" s="29" cm="1">
        <f t="array" ref="P1371">IF(表成绩单[[#This Row],[语文]]="","",SUMPRODUCT((表成绩单[考试日期]=表成绩单[[#This Row],[考试日期]])*(表成绩单[语文]&lt;9E+307)*(表成绩单[语文]&gt;表成绩单[[#This Row],[语文]]))+1)</f>
        <v>414</v>
      </c>
      <c r="Q1371" s="29" cm="1">
        <f t="array" ref="Q1371">IF(表成绩单[[#This Row],[数学]]="","",SUMPRODUCT((表成绩单[考试日期]=表成绩单[[#This Row],[考试日期]])*(表成绩单[数学]&lt;9E+307)*(表成绩单[数学]&gt;表成绩单[[#This Row],[数学]]))+1)</f>
        <v>578</v>
      </c>
      <c r="R1371" s="29" cm="1">
        <f t="array" ref="R1371">IF(表成绩单[[#This Row],[英语]]="","",SUMPRODUCT((表成绩单[考试日期]=表成绩单[[#This Row],[考试日期]])*(表成绩单[英语]&lt;9E+307)*(表成绩单[英语]&gt;表成绩单[[#This Row],[英语]]))+1)</f>
        <v>531</v>
      </c>
      <c r="S1371" s="29" cm="1">
        <f t="array" ref="S1371">IF(表成绩单[[#This Row],[物理]]="","",SUMPRODUCT((表成绩单[考试日期]=表成绩单[[#This Row],[考试日期]])*(表成绩单[物理]&lt;9E+307)*(表成绩单[物理]&gt;表成绩单[[#This Row],[物理]]))+1)</f>
        <v>575</v>
      </c>
      <c r="T1371" s="29" cm="1">
        <f t="array" ref="T1371">IF(表成绩单[[#This Row],[化学]]="","",SUMPRODUCT((表成绩单[考试日期]=表成绩单[[#This Row],[考试日期]])*(表成绩单[化学]&lt;9E+307)*(表成绩单[化学]&gt;表成绩单[[#This Row],[化学]]))+1)</f>
        <v>472</v>
      </c>
      <c r="U1371" s="29" cm="1">
        <f t="array" ref="U1371">IF(表成绩单[[#This Row],[政治]]="","",SUMPRODUCT((表成绩单[考试日期]=表成绩单[[#This Row],[考试日期]])*(表成绩单[政治]&lt;9E+307)*(表成绩单[政治]&gt;表成绩单[[#This Row],[政治]]))+1)</f>
        <v>612</v>
      </c>
      <c r="V1371" s="29" cm="1">
        <f t="array" ref="V1371">IF(表成绩单[[#This Row],[历史]]="","",SUMPRODUCT((表成绩单[考试日期]=表成绩单[[#This Row],[考试日期]])*(表成绩单[历史]&lt;9E+307)*(表成绩单[历史]&gt;表成绩单[[#This Row],[历史]]))+1)</f>
        <v>628</v>
      </c>
      <c r="W1371" s="29" cm="1">
        <f t="array" ref="W1371">IF(表成绩单[[#This Row],[总分]]="","",SUMPRODUCT((表成绩单[考试日期]=表成绩单[[#This Row],[考试日期]])*(表成绩单[总分]&lt;9E+307)*(表成绩单[总分]&gt;表成绩单[[#This Row],[总分]]))+1)</f>
        <v>566</v>
      </c>
    </row>
    <row r="1372" ht="28" customHeight="1" spans="4:23">
      <c r="D1372" s="31">
        <v>46003</v>
      </c>
      <c r="E1372" s="29">
        <v>19173280</v>
      </c>
      <c r="F1372" s="29" t="s">
        <v>61</v>
      </c>
      <c r="G1372" s="29" t="s">
        <v>663</v>
      </c>
      <c r="H1372" s="29">
        <v>98</v>
      </c>
      <c r="I1372" s="29">
        <v>56</v>
      </c>
      <c r="J1372" s="29">
        <v>54</v>
      </c>
      <c r="K1372" s="29">
        <v>43</v>
      </c>
      <c r="L1372" s="29">
        <v>75</v>
      </c>
      <c r="M1372" s="29">
        <v>49</v>
      </c>
      <c r="N1372" s="29">
        <v>74</v>
      </c>
      <c r="O1372" s="32">
        <v>449</v>
      </c>
      <c r="P1372" s="29" cm="1">
        <f t="array" ref="P1372">IF(表成绩单[[#This Row],[语文]]="","",SUMPRODUCT((表成绩单[考试日期]=表成绩单[[#This Row],[考试日期]])*(表成绩单[语文]&lt;9E+307)*(表成绩单[语文]&gt;表成绩单[[#This Row],[语文]]))+1)</f>
        <v>463</v>
      </c>
      <c r="Q1372" s="29" cm="1">
        <f t="array" ref="Q1372">IF(表成绩单[[#This Row],[数学]]="","",SUMPRODUCT((表成绩单[考试日期]=表成绩单[[#This Row],[考试日期]])*(表成绩单[数学]&lt;9E+307)*(表成绩单[数学]&gt;表成绩单[[#This Row],[数学]]))+1)</f>
        <v>544</v>
      </c>
      <c r="R1372" s="29" cm="1">
        <f t="array" ref="R1372">IF(表成绩单[[#This Row],[英语]]="","",SUMPRODUCT((表成绩单[考试日期]=表成绩单[[#This Row],[考试日期]])*(表成绩单[英语]&lt;9E+307)*(表成绩单[英语]&gt;表成绩单[[#This Row],[英语]]))+1)</f>
        <v>575</v>
      </c>
      <c r="S1372" s="29" cm="1">
        <f t="array" ref="S1372">IF(表成绩单[[#This Row],[物理]]="","",SUMPRODUCT((表成绩单[考试日期]=表成绩单[[#This Row],[考试日期]])*(表成绩单[物理]&lt;9E+307)*(表成绩单[物理]&gt;表成绩单[[#This Row],[物理]]))+1)</f>
        <v>659</v>
      </c>
      <c r="T1372" s="29" cm="1">
        <f t="array" ref="T1372">IF(表成绩单[[#This Row],[化学]]="","",SUMPRODUCT((表成绩单[考试日期]=表成绩单[[#This Row],[考试日期]])*(表成绩单[化学]&lt;9E+307)*(表成绩单[化学]&gt;表成绩单[[#This Row],[化学]]))+1)</f>
        <v>421</v>
      </c>
      <c r="U1372" s="29" cm="1">
        <f t="array" ref="U1372">IF(表成绩单[[#This Row],[政治]]="","",SUMPRODUCT((表成绩单[考试日期]=表成绩单[[#This Row],[考试日期]])*(表成绩单[政治]&lt;9E+307)*(表成绩单[政治]&gt;表成绩单[[#This Row],[政治]]))+1)</f>
        <v>600</v>
      </c>
      <c r="V1372" s="29" cm="1">
        <f t="array" ref="V1372">IF(表成绩单[[#This Row],[历史]]="","",SUMPRODUCT((表成绩单[考试日期]=表成绩单[[#This Row],[考试日期]])*(表成绩单[历史]&lt;9E+307)*(表成绩单[历史]&gt;表成绩单[[#This Row],[历史]]))+1)</f>
        <v>371</v>
      </c>
      <c r="W1372" s="29" cm="1">
        <f t="array" ref="W1372">IF(表成绩单[[#This Row],[总分]]="","",SUMPRODUCT((表成绩单[考试日期]=表成绩单[[#This Row],[考试日期]])*(表成绩单[总分]&lt;9E+307)*(表成绩单[总分]&gt;表成绩单[[#This Row],[总分]]))+1)</f>
        <v>567</v>
      </c>
    </row>
    <row r="1373" ht="28" customHeight="1" spans="4:23">
      <c r="D1373" s="31">
        <v>46003</v>
      </c>
      <c r="E1373" s="29">
        <v>19173252</v>
      </c>
      <c r="F1373" s="29" t="s">
        <v>61</v>
      </c>
      <c r="G1373" s="29" t="s">
        <v>653</v>
      </c>
      <c r="H1373" s="29">
        <v>93</v>
      </c>
      <c r="I1373" s="29">
        <v>42</v>
      </c>
      <c r="J1373" s="29">
        <v>39</v>
      </c>
      <c r="K1373" s="29">
        <v>76</v>
      </c>
      <c r="L1373" s="29">
        <v>68</v>
      </c>
      <c r="M1373" s="29">
        <v>59</v>
      </c>
      <c r="N1373" s="29">
        <v>70</v>
      </c>
      <c r="O1373" s="32">
        <v>447</v>
      </c>
      <c r="P1373" s="29" cm="1">
        <f t="array" ref="P1373">IF(表成绩单[[#This Row],[语文]]="","",SUMPRODUCT((表成绩单[考试日期]=表成绩单[[#This Row],[考试日期]])*(表成绩单[语文]&lt;9E+307)*(表成绩单[语文]&gt;表成绩单[[#This Row],[语文]]))+1)</f>
        <v>555</v>
      </c>
      <c r="Q1373" s="29" cm="1">
        <f t="array" ref="Q1373">IF(表成绩单[[#This Row],[数学]]="","",SUMPRODUCT((表成绩单[考试日期]=表成绩单[[#This Row],[考试日期]])*(表成绩单[数学]&lt;9E+307)*(表成绩单[数学]&gt;表成绩单[[#This Row],[数学]]))+1)</f>
        <v>625</v>
      </c>
      <c r="R1373" s="29" cm="1">
        <f t="array" ref="R1373">IF(表成绩单[[#This Row],[英语]]="","",SUMPRODUCT((表成绩单[考试日期]=表成绩单[[#This Row],[考试日期]])*(表成绩单[英语]&lt;9E+307)*(表成绩单[英语]&gt;表成绩单[[#This Row],[英语]]))+1)</f>
        <v>658</v>
      </c>
      <c r="S1373" s="29" cm="1">
        <f t="array" ref="S1373">IF(表成绩单[[#This Row],[物理]]="","",SUMPRODUCT((表成绩单[考试日期]=表成绩单[[#This Row],[考试日期]])*(表成绩单[物理]&lt;9E+307)*(表成绩单[物理]&gt;表成绩单[[#This Row],[物理]]))+1)</f>
        <v>463</v>
      </c>
      <c r="T1373" s="29" cm="1">
        <f t="array" ref="T1373">IF(表成绩单[[#This Row],[化学]]="","",SUMPRODUCT((表成绩单[考试日期]=表成绩单[[#This Row],[考试日期]])*(表成绩单[化学]&lt;9E+307)*(表成绩单[化学]&gt;表成绩单[[#This Row],[化学]]))+1)</f>
        <v>514</v>
      </c>
      <c r="U1373" s="29" cm="1">
        <f t="array" ref="U1373">IF(表成绩单[[#This Row],[政治]]="","",SUMPRODUCT((表成绩单[考试日期]=表成绩单[[#This Row],[考试日期]])*(表成绩单[政治]&lt;9E+307)*(表成绩单[政治]&gt;表成绩单[[#This Row],[政治]]))+1)</f>
        <v>435</v>
      </c>
      <c r="V1373" s="29" cm="1">
        <f t="array" ref="V1373">IF(表成绩单[[#This Row],[历史]]="","",SUMPRODUCT((表成绩单[考试日期]=表成绩单[[#This Row],[考试日期]])*(表成绩单[历史]&lt;9E+307)*(表成绩单[历史]&gt;表成绩单[[#This Row],[历史]]))+1)</f>
        <v>499</v>
      </c>
      <c r="W1373" s="29" cm="1">
        <f t="array" ref="W1373">IF(表成绩单[[#This Row],[总分]]="","",SUMPRODUCT((表成绩单[考试日期]=表成绩单[[#This Row],[考试日期]])*(表成绩单[总分]&lt;9E+307)*(表成绩单[总分]&gt;表成绩单[[#This Row],[总分]]))+1)</f>
        <v>568</v>
      </c>
    </row>
    <row r="1374" ht="28" customHeight="1" spans="4:23">
      <c r="D1374" s="31">
        <v>46003</v>
      </c>
      <c r="E1374" s="29">
        <v>19177643</v>
      </c>
      <c r="F1374" s="29" t="s">
        <v>63</v>
      </c>
      <c r="G1374" s="29" t="s">
        <v>707</v>
      </c>
      <c r="H1374" s="29">
        <v>87</v>
      </c>
      <c r="I1374" s="29">
        <v>42</v>
      </c>
      <c r="J1374" s="29">
        <v>64.5</v>
      </c>
      <c r="K1374" s="29">
        <v>55</v>
      </c>
      <c r="L1374" s="29">
        <v>58</v>
      </c>
      <c r="M1374" s="29">
        <v>67</v>
      </c>
      <c r="N1374" s="29">
        <v>73</v>
      </c>
      <c r="O1374" s="32">
        <v>446.5</v>
      </c>
      <c r="P1374" s="29" cm="1">
        <f t="array" ref="P1374">IF(表成绩单[[#This Row],[语文]]="","",SUMPRODUCT((表成绩单[考试日期]=表成绩单[[#This Row],[考试日期]])*(表成绩单[语文]&lt;9E+307)*(表成绩单[语文]&gt;表成绩单[[#This Row],[语文]]))+1)</f>
        <v>620</v>
      </c>
      <c r="Q1374" s="29" cm="1">
        <f t="array" ref="Q1374">IF(表成绩单[[#This Row],[数学]]="","",SUMPRODUCT((表成绩单[考试日期]=表成绩单[[#This Row],[考试日期]])*(表成绩单[数学]&lt;9E+307)*(表成绩单[数学]&gt;表成绩单[[#This Row],[数学]]))+1)</f>
        <v>625</v>
      </c>
      <c r="R1374" s="29" cm="1">
        <f t="array" ref="R1374">IF(表成绩单[[#This Row],[英语]]="","",SUMPRODUCT((表成绩单[考试日期]=表成绩单[[#This Row],[考试日期]])*(表成绩单[英语]&lt;9E+307)*(表成绩单[英语]&gt;表成绩单[[#This Row],[英语]]))+1)</f>
        <v>484</v>
      </c>
      <c r="S1374" s="29" cm="1">
        <f t="array" ref="S1374">IF(表成绩单[[#This Row],[物理]]="","",SUMPRODUCT((表成绩单[考试日期]=表成绩单[[#This Row],[考试日期]])*(表成绩单[物理]&lt;9E+307)*(表成绩单[物理]&gt;表成绩单[[#This Row],[物理]]))+1)</f>
        <v>611</v>
      </c>
      <c r="T1374" s="29" cm="1">
        <f t="array" ref="T1374">IF(表成绩单[[#This Row],[化学]]="","",SUMPRODUCT((表成绩单[考试日期]=表成绩单[[#This Row],[考试日期]])*(表成绩单[化学]&lt;9E+307)*(表成绩单[化学]&gt;表成绩单[[#This Row],[化学]]))+1)</f>
        <v>597</v>
      </c>
      <c r="U1374" s="29" cm="1">
        <f t="array" ref="U1374">IF(表成绩单[[#This Row],[政治]]="","",SUMPRODUCT((表成绩单[考试日期]=表成绩单[[#This Row],[考试日期]])*(表成绩单[政治]&lt;9E+307)*(表成绩单[政治]&gt;表成绩单[[#This Row],[政治]]))+1)</f>
        <v>264</v>
      </c>
      <c r="V1374" s="29" cm="1">
        <f t="array" ref="V1374">IF(表成绩单[[#This Row],[历史]]="","",SUMPRODUCT((表成绩单[考试日期]=表成绩单[[#This Row],[考试日期]])*(表成绩单[历史]&lt;9E+307)*(表成绩单[历史]&gt;表成绩单[[#This Row],[历史]]))+1)</f>
        <v>403</v>
      </c>
      <c r="W1374" s="29" cm="1">
        <f t="array" ref="W1374">IF(表成绩单[[#This Row],[总分]]="","",SUMPRODUCT((表成绩单[考试日期]=表成绩单[[#This Row],[考试日期]])*(表成绩单[总分]&lt;9E+307)*(表成绩单[总分]&gt;表成绩单[[#This Row],[总分]]))+1)</f>
        <v>569</v>
      </c>
    </row>
    <row r="1375" ht="28" customHeight="1" spans="4:23">
      <c r="D1375" s="31">
        <v>46003</v>
      </c>
      <c r="E1375" s="29">
        <v>19175622</v>
      </c>
      <c r="F1375" s="29" t="s">
        <v>57</v>
      </c>
      <c r="G1375" s="29" t="s">
        <v>622</v>
      </c>
      <c r="H1375" s="29">
        <v>99</v>
      </c>
      <c r="I1375" s="29">
        <v>63</v>
      </c>
      <c r="J1375" s="29">
        <v>33.5</v>
      </c>
      <c r="K1375" s="29">
        <v>66</v>
      </c>
      <c r="L1375" s="29">
        <v>64</v>
      </c>
      <c r="M1375" s="29">
        <v>53</v>
      </c>
      <c r="N1375" s="29">
        <v>67</v>
      </c>
      <c r="O1375" s="32">
        <v>445.5</v>
      </c>
      <c r="P1375" s="29" cm="1">
        <f t="array" ref="P1375">IF(表成绩单[[#This Row],[语文]]="","",SUMPRODUCT((表成绩单[考试日期]=表成绩单[[#This Row],[考试日期]])*(表成绩单[语文]&lt;9E+307)*(表成绩单[语文]&gt;表成绩单[[#This Row],[语文]]))+1)</f>
        <v>440</v>
      </c>
      <c r="Q1375" s="29" cm="1">
        <f t="array" ref="Q1375">IF(表成绩单[[#This Row],[数学]]="","",SUMPRODUCT((表成绩单[考试日期]=表成绩单[[#This Row],[考试日期]])*(表成绩单[数学]&lt;9E+307)*(表成绩单[数学]&gt;表成绩单[[#This Row],[数学]]))+1)</f>
        <v>494</v>
      </c>
      <c r="R1375" s="29" cm="1">
        <f t="array" ref="R1375">IF(表成绩单[[#This Row],[英语]]="","",SUMPRODUCT((表成绩单[考试日期]=表成绩单[[#This Row],[考试日期]])*(表成绩单[英语]&lt;9E+307)*(表成绩单[英语]&gt;表成绩单[[#This Row],[英语]]))+1)</f>
        <v>675</v>
      </c>
      <c r="S1375" s="29" cm="1">
        <f t="array" ref="S1375">IF(表成绩单[[#This Row],[物理]]="","",SUMPRODUCT((表成绩单[考试日期]=表成绩单[[#This Row],[考试日期]])*(表成绩单[物理]&lt;9E+307)*(表成绩单[物理]&gt;表成绩单[[#This Row],[物理]]))+1)</f>
        <v>551</v>
      </c>
      <c r="T1375" s="29" cm="1">
        <f t="array" ref="T1375">IF(表成绩单[[#This Row],[化学]]="","",SUMPRODUCT((表成绩单[考试日期]=表成绩单[[#This Row],[考试日期]])*(表成绩单[化学]&lt;9E+307)*(表成绩单[化学]&gt;表成绩单[[#This Row],[化学]]))+1)</f>
        <v>552</v>
      </c>
      <c r="U1375" s="29" cm="1">
        <f t="array" ref="U1375">IF(表成绩单[[#This Row],[政治]]="","",SUMPRODUCT((表成绩单[考试日期]=表成绩单[[#This Row],[考试日期]])*(表成绩单[政治]&lt;9E+307)*(表成绩单[政治]&gt;表成绩单[[#This Row],[政治]]))+1)</f>
        <v>547</v>
      </c>
      <c r="V1375" s="29" cm="1">
        <f t="array" ref="V1375">IF(表成绩单[[#This Row],[历史]]="","",SUMPRODUCT((表成绩单[考试日期]=表成绩单[[#This Row],[考试日期]])*(表成绩单[历史]&lt;9E+307)*(表成绩单[历史]&gt;表成绩单[[#This Row],[历史]]))+1)</f>
        <v>549</v>
      </c>
      <c r="W1375" s="29" cm="1">
        <f t="array" ref="W1375">IF(表成绩单[[#This Row],[总分]]="","",SUMPRODUCT((表成绩单[考试日期]=表成绩单[[#This Row],[考试日期]])*(表成绩单[总分]&lt;9E+307)*(表成绩单[总分]&gt;表成绩单[[#This Row],[总分]]))+1)</f>
        <v>570</v>
      </c>
    </row>
    <row r="1376" ht="28" customHeight="1" spans="4:23">
      <c r="D1376" s="31">
        <v>46003</v>
      </c>
      <c r="E1376" s="29">
        <v>19175306</v>
      </c>
      <c r="F1376" s="29" t="s">
        <v>55</v>
      </c>
      <c r="G1376" s="29" t="s">
        <v>729</v>
      </c>
      <c r="H1376" s="29">
        <v>95</v>
      </c>
      <c r="I1376" s="29">
        <v>62</v>
      </c>
      <c r="J1376" s="29">
        <v>50</v>
      </c>
      <c r="K1376" s="29">
        <v>50</v>
      </c>
      <c r="L1376" s="29">
        <v>56</v>
      </c>
      <c r="M1376" s="29">
        <v>60</v>
      </c>
      <c r="N1376" s="29">
        <v>72</v>
      </c>
      <c r="O1376" s="32">
        <v>445</v>
      </c>
      <c r="P1376" s="29" cm="1">
        <f t="array" ref="P1376">IF(表成绩单[[#This Row],[语文]]="","",SUMPRODUCT((表成绩单[考试日期]=表成绩单[[#This Row],[考试日期]])*(表成绩单[语文]&lt;9E+307)*(表成绩单[语文]&gt;表成绩单[[#This Row],[语文]]))+1)</f>
        <v>522</v>
      </c>
      <c r="Q1376" s="29" cm="1">
        <f t="array" ref="Q1376">IF(表成绩单[[#This Row],[数学]]="","",SUMPRODUCT((表成绩单[考试日期]=表成绩单[[#This Row],[考试日期]])*(表成绩单[数学]&lt;9E+307)*(表成绩单[数学]&gt;表成绩单[[#This Row],[数学]]))+1)</f>
        <v>497</v>
      </c>
      <c r="R1376" s="29" cm="1">
        <f t="array" ref="R1376">IF(表成绩单[[#This Row],[英语]]="","",SUMPRODUCT((表成绩单[考试日期]=表成绩单[[#This Row],[考试日期]])*(表成绩单[英语]&lt;9E+307)*(表成绩单[英语]&gt;表成绩单[[#This Row],[英语]]))+1)</f>
        <v>605</v>
      </c>
      <c r="S1376" s="29" cm="1">
        <f t="array" ref="S1376">IF(表成绩单[[#This Row],[物理]]="","",SUMPRODUCT((表成绩单[考试日期]=表成绩单[[#This Row],[考试日期]])*(表成绩单[物理]&lt;9E+307)*(表成绩单[物理]&gt;表成绩单[[#This Row],[物理]]))+1)</f>
        <v>636</v>
      </c>
      <c r="T1376" s="29" cm="1">
        <f t="array" ref="T1376">IF(表成绩单[[#This Row],[化学]]="","",SUMPRODUCT((表成绩单[考试日期]=表成绩单[[#This Row],[考试日期]])*(表成绩单[化学]&lt;9E+307)*(表成绩单[化学]&gt;表成绩单[[#This Row],[化学]]))+1)</f>
        <v>617</v>
      </c>
      <c r="U1376" s="29" cm="1">
        <f t="array" ref="U1376">IF(表成绩单[[#This Row],[政治]]="","",SUMPRODUCT((表成绩单[考试日期]=表成绩单[[#This Row],[考试日期]])*(表成绩单[政治]&lt;9E+307)*(表成绩单[政治]&gt;表成绩单[[#This Row],[政治]]))+1)</f>
        <v>421</v>
      </c>
      <c r="V1376" s="29" cm="1">
        <f t="array" ref="V1376">IF(表成绩单[[#This Row],[历史]]="","",SUMPRODUCT((表成绩单[考试日期]=表成绩单[[#This Row],[考试日期]])*(表成绩单[历史]&lt;9E+307)*(表成绩单[历史]&gt;表成绩单[[#This Row],[历史]]))+1)</f>
        <v>439</v>
      </c>
      <c r="W1376" s="29" cm="1">
        <f t="array" ref="W1376">IF(表成绩单[[#This Row],[总分]]="","",SUMPRODUCT((表成绩单[考试日期]=表成绩单[[#This Row],[考试日期]])*(表成绩单[总分]&lt;9E+307)*(表成绩单[总分]&gt;表成绩单[[#This Row],[总分]]))+1)</f>
        <v>571</v>
      </c>
    </row>
    <row r="1377" ht="28" customHeight="1" spans="4:23">
      <c r="D1377" s="31">
        <v>46003</v>
      </c>
      <c r="E1377" s="29">
        <v>19178643</v>
      </c>
      <c r="F1377" s="29" t="s">
        <v>25</v>
      </c>
      <c r="G1377" s="29" t="s">
        <v>583</v>
      </c>
      <c r="H1377" s="29">
        <v>91</v>
      </c>
      <c r="I1377" s="29">
        <v>56</v>
      </c>
      <c r="J1377" s="29">
        <v>65.5</v>
      </c>
      <c r="K1377" s="29">
        <v>69</v>
      </c>
      <c r="L1377" s="29">
        <v>59</v>
      </c>
      <c r="M1377" s="29">
        <v>47</v>
      </c>
      <c r="N1377" s="29">
        <v>57</v>
      </c>
      <c r="O1377" s="32">
        <v>444.5</v>
      </c>
      <c r="P1377" s="29" cm="1">
        <f t="array" ref="P1377">IF(表成绩单[[#This Row],[语文]]="","",SUMPRODUCT((表成绩单[考试日期]=表成绩单[[#This Row],[考试日期]])*(表成绩单[语文]&lt;9E+307)*(表成绩单[语文]&gt;表成绩单[[#This Row],[语文]]))+1)</f>
        <v>580</v>
      </c>
      <c r="Q1377" s="29" cm="1">
        <f t="array" ref="Q1377">IF(表成绩单[[#This Row],[数学]]="","",SUMPRODUCT((表成绩单[考试日期]=表成绩单[[#This Row],[考试日期]])*(表成绩单[数学]&lt;9E+307)*(表成绩单[数学]&gt;表成绩单[[#This Row],[数学]]))+1)</f>
        <v>544</v>
      </c>
      <c r="R1377" s="29" cm="1">
        <f t="array" ref="R1377">IF(表成绩单[[#This Row],[英语]]="","",SUMPRODUCT((表成绩单[考试日期]=表成绩单[[#This Row],[考试日期]])*(表成绩单[英语]&lt;9E+307)*(表成绩单[英语]&gt;表成绩单[[#This Row],[英语]]))+1)</f>
        <v>476</v>
      </c>
      <c r="S1377" s="29" cm="1">
        <f t="array" ref="S1377">IF(表成绩单[[#This Row],[物理]]="","",SUMPRODUCT((表成绩单[考试日期]=表成绩单[[#This Row],[考试日期]])*(表成绩单[物理]&lt;9E+307)*(表成绩单[物理]&gt;表成绩单[[#This Row],[物理]]))+1)</f>
        <v>532</v>
      </c>
      <c r="T1377" s="29" cm="1">
        <f t="array" ref="T1377">IF(表成绩单[[#This Row],[化学]]="","",SUMPRODUCT((表成绩单[考试日期]=表成绩单[[#This Row],[考试日期]])*(表成绩单[化学]&lt;9E+307)*(表成绩单[化学]&gt;表成绩单[[#This Row],[化学]]))+1)</f>
        <v>593</v>
      </c>
      <c r="U1377" s="29" cm="1">
        <f t="array" ref="U1377">IF(表成绩单[[#This Row],[政治]]="","",SUMPRODUCT((表成绩单[考试日期]=表成绩单[[#This Row],[考试日期]])*(表成绩单[政治]&lt;9E+307)*(表成绩单[政治]&gt;表成绩单[[#This Row],[政治]]))+1)</f>
        <v>619</v>
      </c>
      <c r="V1377" s="29" cm="1">
        <f t="array" ref="V1377">IF(表成绩单[[#This Row],[历史]]="","",SUMPRODUCT((表成绩单[考试日期]=表成绩单[[#This Row],[考试日期]])*(表成绩单[历史]&lt;9E+307)*(表成绩单[历史]&gt;表成绩单[[#This Row],[历史]]))+1)</f>
        <v>658</v>
      </c>
      <c r="W1377" s="29" cm="1">
        <f t="array" ref="W1377">IF(表成绩单[[#This Row],[总分]]="","",SUMPRODUCT((表成绩单[考试日期]=表成绩单[[#This Row],[考试日期]])*(表成绩单[总分]&lt;9E+307)*(表成绩单[总分]&gt;表成绩单[[#This Row],[总分]]))+1)</f>
        <v>572</v>
      </c>
    </row>
    <row r="1378" ht="28" customHeight="1" spans="4:23">
      <c r="D1378" s="31">
        <v>46003</v>
      </c>
      <c r="E1378" s="29">
        <v>19175294</v>
      </c>
      <c r="F1378" s="29" t="s">
        <v>55</v>
      </c>
      <c r="G1378" s="29" t="s">
        <v>722</v>
      </c>
      <c r="H1378" s="29">
        <v>103</v>
      </c>
      <c r="I1378" s="29">
        <v>42</v>
      </c>
      <c r="J1378" s="29">
        <v>72</v>
      </c>
      <c r="K1378" s="29">
        <v>60</v>
      </c>
      <c r="L1378" s="29">
        <v>51</v>
      </c>
      <c r="M1378" s="29">
        <v>51</v>
      </c>
      <c r="N1378" s="29">
        <v>65</v>
      </c>
      <c r="O1378" s="32">
        <v>444</v>
      </c>
      <c r="P1378" s="29" cm="1">
        <f t="array" ref="P1378">IF(表成绩单[[#This Row],[语文]]="","",SUMPRODUCT((表成绩单[考试日期]=表成绩单[[#This Row],[考试日期]])*(表成绩单[语文]&lt;9E+307)*(表成绩单[语文]&gt;表成绩单[[#This Row],[语文]]))+1)</f>
        <v>333</v>
      </c>
      <c r="Q1378" s="29" cm="1">
        <f t="array" ref="Q1378">IF(表成绩单[[#This Row],[数学]]="","",SUMPRODUCT((表成绩单[考试日期]=表成绩单[[#This Row],[考试日期]])*(表成绩单[数学]&lt;9E+307)*(表成绩单[数学]&gt;表成绩单[[#This Row],[数学]]))+1)</f>
        <v>625</v>
      </c>
      <c r="R1378" s="29" cm="1">
        <f t="array" ref="R1378">IF(表成绩单[[#This Row],[英语]]="","",SUMPRODUCT((表成绩单[考试日期]=表成绩单[[#This Row],[考试日期]])*(表成绩单[英语]&lt;9E+307)*(表成绩单[英语]&gt;表成绩单[[#This Row],[英语]]))+1)</f>
        <v>386</v>
      </c>
      <c r="S1378" s="29" cm="1">
        <f t="array" ref="S1378">IF(表成绩单[[#This Row],[物理]]="","",SUMPRODUCT((表成绩单[考试日期]=表成绩单[[#This Row],[考试日期]])*(表成绩单[物理]&lt;9E+307)*(表成绩单[物理]&gt;表成绩单[[#This Row],[物理]]))+1)</f>
        <v>585</v>
      </c>
      <c r="T1378" s="29" cm="1">
        <f t="array" ref="T1378">IF(表成绩单[[#This Row],[化学]]="","",SUMPRODUCT((表成绩单[考试日期]=表成绩单[[#This Row],[考试日期]])*(表成绩单[化学]&lt;9E+307)*(表成绩单[化学]&gt;表成绩单[[#This Row],[化学]]))+1)</f>
        <v>643</v>
      </c>
      <c r="U1378" s="29" cm="1">
        <f t="array" ref="U1378">IF(表成绩单[[#This Row],[政治]]="","",SUMPRODUCT((表成绩单[考试日期]=表成绩单[[#This Row],[考试日期]])*(表成绩单[政治]&lt;9E+307)*(表成绩单[政治]&gt;表成绩单[[#This Row],[政治]]))+1)</f>
        <v>571</v>
      </c>
      <c r="V1378" s="29" cm="1">
        <f t="array" ref="V1378">IF(表成绩单[[#This Row],[历史]]="","",SUMPRODUCT((表成绩单[考试日期]=表成绩单[[#This Row],[考试日期]])*(表成绩单[历史]&lt;9E+307)*(表成绩单[历史]&gt;表成绩单[[#This Row],[历史]]))+1)</f>
        <v>582</v>
      </c>
      <c r="W1378" s="29" cm="1">
        <f t="array" ref="W1378">IF(表成绩单[[#This Row],[总分]]="","",SUMPRODUCT((表成绩单[考试日期]=表成绩单[[#This Row],[考试日期]])*(表成绩单[总分]&lt;9E+307)*(表成绩单[总分]&gt;表成绩单[[#This Row],[总分]]))+1)</f>
        <v>573</v>
      </c>
    </row>
    <row r="1379" ht="28" customHeight="1" spans="4:23">
      <c r="D1379" s="31">
        <v>46003</v>
      </c>
      <c r="E1379" s="29">
        <v>19178595</v>
      </c>
      <c r="F1379" s="29" t="s">
        <v>64</v>
      </c>
      <c r="G1379" s="29" t="s">
        <v>659</v>
      </c>
      <c r="H1379" s="29">
        <v>98</v>
      </c>
      <c r="I1379" s="29">
        <v>56</v>
      </c>
      <c r="J1379" s="29">
        <v>50.5</v>
      </c>
      <c r="K1379" s="29">
        <v>56</v>
      </c>
      <c r="L1379" s="29">
        <v>65</v>
      </c>
      <c r="M1379" s="29">
        <v>54</v>
      </c>
      <c r="N1379" s="29">
        <v>64</v>
      </c>
      <c r="O1379" s="32">
        <v>443.5</v>
      </c>
      <c r="P1379" s="29" cm="1">
        <f t="array" ref="P1379">IF(表成绩单[[#This Row],[语文]]="","",SUMPRODUCT((表成绩单[考试日期]=表成绩单[[#This Row],[考试日期]])*(表成绩单[语文]&lt;9E+307)*(表成绩单[语文]&gt;表成绩单[[#This Row],[语文]]))+1)</f>
        <v>463</v>
      </c>
      <c r="Q1379" s="29" cm="1">
        <f t="array" ref="Q1379">IF(表成绩单[[#This Row],[数学]]="","",SUMPRODUCT((表成绩单[考试日期]=表成绩单[[#This Row],[考试日期]])*(表成绩单[数学]&lt;9E+307)*(表成绩单[数学]&gt;表成绩单[[#This Row],[数学]]))+1)</f>
        <v>544</v>
      </c>
      <c r="R1379" s="29" cm="1">
        <f t="array" ref="R1379">IF(表成绩单[[#This Row],[英语]]="","",SUMPRODUCT((表成绩单[考试日期]=表成绩单[[#This Row],[考试日期]])*(表成绩单[英语]&lt;9E+307)*(表成绩单[英语]&gt;表成绩单[[#This Row],[英语]]))+1)</f>
        <v>601</v>
      </c>
      <c r="S1379" s="29" cm="1">
        <f t="array" ref="S1379">IF(表成绩单[[#This Row],[物理]]="","",SUMPRODUCT((表成绩单[考试日期]=表成绩单[[#This Row],[考试日期]])*(表成绩单[物理]&lt;9E+307)*(表成绩单[物理]&gt;表成绩单[[#This Row],[物理]]))+1)</f>
        <v>607</v>
      </c>
      <c r="T1379" s="29" cm="1">
        <f t="array" ref="T1379">IF(表成绩单[[#This Row],[化学]]="","",SUMPRODUCT((表成绩单[考试日期]=表成绩单[[#This Row],[考试日期]])*(表成绩单[化学]&lt;9E+307)*(表成绩单[化学]&gt;表成绩单[[#This Row],[化学]]))+1)</f>
        <v>543</v>
      </c>
      <c r="U1379" s="29" cm="1">
        <f t="array" ref="U1379">IF(表成绩单[[#This Row],[政治]]="","",SUMPRODUCT((表成绩单[考试日期]=表成绩单[[#This Row],[考试日期]])*(表成绩单[政治]&lt;9E+307)*(表成绩单[政治]&gt;表成绩单[[#This Row],[政治]]))+1)</f>
        <v>524</v>
      </c>
      <c r="V1379" s="29" cm="1">
        <f t="array" ref="V1379">IF(表成绩单[[#This Row],[历史]]="","",SUMPRODUCT((表成绩单[考试日期]=表成绩单[[#This Row],[考试日期]])*(表成绩单[历史]&lt;9E+307)*(表成绩单[历史]&gt;表成绩单[[#This Row],[历史]]))+1)</f>
        <v>593</v>
      </c>
      <c r="W1379" s="29" cm="1">
        <f t="array" ref="W1379">IF(表成绩单[[#This Row],[总分]]="","",SUMPRODUCT((表成绩单[考试日期]=表成绩单[[#This Row],[考试日期]])*(表成绩单[总分]&lt;9E+307)*(表成绩单[总分]&gt;表成绩单[[#This Row],[总分]]))+1)</f>
        <v>574</v>
      </c>
    </row>
    <row r="1380" ht="28" customHeight="1" spans="4:23">
      <c r="D1380" s="31">
        <v>46003</v>
      </c>
      <c r="E1380" s="29">
        <v>19178583</v>
      </c>
      <c r="F1380" s="29" t="s">
        <v>64</v>
      </c>
      <c r="G1380" s="29" t="s">
        <v>687</v>
      </c>
      <c r="H1380" s="29">
        <v>92</v>
      </c>
      <c r="I1380" s="29">
        <v>61</v>
      </c>
      <c r="J1380" s="29">
        <v>52</v>
      </c>
      <c r="K1380" s="29">
        <v>66</v>
      </c>
      <c r="L1380" s="29">
        <v>49</v>
      </c>
      <c r="M1380" s="29">
        <v>54</v>
      </c>
      <c r="N1380" s="29">
        <v>69</v>
      </c>
      <c r="O1380" s="32">
        <v>443</v>
      </c>
      <c r="P1380" s="29" cm="1">
        <f t="array" ref="P1380">IF(表成绩单[[#This Row],[语文]]="","",SUMPRODUCT((表成绩单[考试日期]=表成绩单[[#This Row],[考试日期]])*(表成绩单[语文]&lt;9E+307)*(表成绩单[语文]&gt;表成绩单[[#This Row],[语文]]))+1)</f>
        <v>569</v>
      </c>
      <c r="Q1380" s="29" cm="1">
        <f t="array" ref="Q1380">IF(表成绩单[[#This Row],[数学]]="","",SUMPRODUCT((表成绩单[考试日期]=表成绩单[[#This Row],[考试日期]])*(表成绩单[数学]&lt;9E+307)*(表成绩单[数学]&gt;表成绩单[[#This Row],[数学]]))+1)</f>
        <v>504</v>
      </c>
      <c r="R1380" s="29" cm="1">
        <f t="array" ref="R1380">IF(表成绩单[[#This Row],[英语]]="","",SUMPRODUCT((表成绩单[考试日期]=表成绩单[[#This Row],[考试日期]])*(表成绩单[英语]&lt;9E+307)*(表成绩单[英语]&gt;表成绩单[[#This Row],[英语]]))+1)</f>
        <v>589</v>
      </c>
      <c r="S1380" s="29" cm="1">
        <f t="array" ref="S1380">IF(表成绩单[[#This Row],[物理]]="","",SUMPRODUCT((表成绩单[考试日期]=表成绩单[[#This Row],[考试日期]])*(表成绩单[物理]&lt;9E+307)*(表成绩单[物理]&gt;表成绩单[[#This Row],[物理]]))+1)</f>
        <v>551</v>
      </c>
      <c r="T1380" s="29" cm="1">
        <f t="array" ref="T1380">IF(表成绩单[[#This Row],[化学]]="","",SUMPRODUCT((表成绩单[考试日期]=表成绩单[[#This Row],[考试日期]])*(表成绩单[化学]&lt;9E+307)*(表成绩单[化学]&gt;表成绩单[[#This Row],[化学]]))+1)</f>
        <v>657</v>
      </c>
      <c r="U1380" s="29" cm="1">
        <f t="array" ref="U1380">IF(表成绩单[[#This Row],[政治]]="","",SUMPRODUCT((表成绩单[考试日期]=表成绩单[[#This Row],[考试日期]])*(表成绩单[政治]&lt;9E+307)*(表成绩单[政治]&gt;表成绩单[[#This Row],[政治]]))+1)</f>
        <v>524</v>
      </c>
      <c r="V1380" s="29" cm="1">
        <f t="array" ref="V1380">IF(表成绩单[[#This Row],[历史]]="","",SUMPRODUCT((表成绩单[考试日期]=表成绩单[[#This Row],[考试日期]])*(表成绩单[历史]&lt;9E+307)*(表成绩单[历史]&gt;表成绩单[[#This Row],[历史]]))+1)</f>
        <v>516</v>
      </c>
      <c r="W1380" s="29" cm="1">
        <f t="array" ref="W1380">IF(表成绩单[[#This Row],[总分]]="","",SUMPRODUCT((表成绩单[考试日期]=表成绩单[[#This Row],[考试日期]])*(表成绩单[总分]&lt;9E+307)*(表成绩单[总分]&gt;表成绩单[[#This Row],[总分]]))+1)</f>
        <v>575</v>
      </c>
    </row>
    <row r="1381" ht="28" customHeight="1" spans="4:23">
      <c r="D1381" s="31">
        <v>46003</v>
      </c>
      <c r="E1381" s="29">
        <v>19172634</v>
      </c>
      <c r="F1381" s="29" t="s">
        <v>60</v>
      </c>
      <c r="G1381" s="29" t="s">
        <v>671</v>
      </c>
      <c r="H1381" s="29">
        <v>99</v>
      </c>
      <c r="I1381" s="29">
        <v>55</v>
      </c>
      <c r="J1381" s="29">
        <v>56.5</v>
      </c>
      <c r="K1381" s="29">
        <v>51</v>
      </c>
      <c r="L1381" s="29">
        <v>50</v>
      </c>
      <c r="M1381" s="29">
        <v>57</v>
      </c>
      <c r="N1381" s="29">
        <v>74</v>
      </c>
      <c r="O1381" s="32">
        <v>442.5</v>
      </c>
      <c r="P1381" s="29" cm="1">
        <f t="array" ref="P1381">IF(表成绩单[[#This Row],[语文]]="","",SUMPRODUCT((表成绩单[考试日期]=表成绩单[[#This Row],[考试日期]])*(表成绩单[语文]&lt;9E+307)*(表成绩单[语文]&gt;表成绩单[[#This Row],[语文]]))+1)</f>
        <v>440</v>
      </c>
      <c r="Q1381" s="29" cm="1">
        <f t="array" ref="Q1381">IF(表成绩单[[#This Row],[数学]]="","",SUMPRODUCT((表成绩单[考试日期]=表成绩单[[#This Row],[考试日期]])*(表成绩单[数学]&lt;9E+307)*(表成绩单[数学]&gt;表成绩单[[#This Row],[数学]]))+1)</f>
        <v>558</v>
      </c>
      <c r="R1381" s="29" cm="1">
        <f t="array" ref="R1381">IF(表成绩单[[#This Row],[英语]]="","",SUMPRODUCT((表成绩单[考试日期]=表成绩单[[#This Row],[考试日期]])*(表成绩单[英语]&lt;9E+307)*(表成绩单[英语]&gt;表成绩单[[#This Row],[英语]]))+1)</f>
        <v>557</v>
      </c>
      <c r="S1381" s="29" cm="1">
        <f t="array" ref="S1381">IF(表成绩单[[#This Row],[物理]]="","",SUMPRODUCT((表成绩单[考试日期]=表成绩单[[#This Row],[考试日期]])*(表成绩单[物理]&lt;9E+307)*(表成绩单[物理]&gt;表成绩单[[#This Row],[物理]]))+1)</f>
        <v>630</v>
      </c>
      <c r="T1381" s="29" cm="1">
        <f t="array" ref="T1381">IF(表成绩单[[#This Row],[化学]]="","",SUMPRODUCT((表成绩单[考试日期]=表成绩单[[#This Row],[考试日期]])*(表成绩单[化学]&lt;9E+307)*(表成绩单[化学]&gt;表成绩单[[#This Row],[化学]]))+1)</f>
        <v>649</v>
      </c>
      <c r="U1381" s="29" cm="1">
        <f t="array" ref="U1381">IF(表成绩单[[#This Row],[政治]]="","",SUMPRODUCT((表成绩单[考试日期]=表成绩单[[#This Row],[考试日期]])*(表成绩单[政治]&lt;9E+307)*(表成绩单[政治]&gt;表成绩单[[#This Row],[政治]]))+1)</f>
        <v>474</v>
      </c>
      <c r="V1381" s="29" cm="1">
        <f t="array" ref="V1381">IF(表成绩单[[#This Row],[历史]]="","",SUMPRODUCT((表成绩单[考试日期]=表成绩单[[#This Row],[考试日期]])*(表成绩单[历史]&lt;9E+307)*(表成绩单[历史]&gt;表成绩单[[#This Row],[历史]]))+1)</f>
        <v>371</v>
      </c>
      <c r="W1381" s="29" cm="1">
        <f t="array" ref="W1381">IF(表成绩单[[#This Row],[总分]]="","",SUMPRODUCT((表成绩单[考试日期]=表成绩单[[#This Row],[考试日期]])*(表成绩单[总分]&lt;9E+307)*(表成绩单[总分]&gt;表成绩单[[#This Row],[总分]]))+1)</f>
        <v>576</v>
      </c>
    </row>
    <row r="1382" ht="28" customHeight="1" spans="4:23">
      <c r="D1382" s="31">
        <v>46003</v>
      </c>
      <c r="E1382" s="29">
        <v>19174734</v>
      </c>
      <c r="F1382" s="29" t="s">
        <v>64</v>
      </c>
      <c r="G1382" s="29" t="s">
        <v>679</v>
      </c>
      <c r="H1382" s="29">
        <v>96</v>
      </c>
      <c r="I1382" s="29">
        <v>34</v>
      </c>
      <c r="J1382" s="29">
        <v>57.5</v>
      </c>
      <c r="K1382" s="29">
        <v>62</v>
      </c>
      <c r="L1382" s="29">
        <v>60</v>
      </c>
      <c r="M1382" s="29">
        <v>64</v>
      </c>
      <c r="N1382" s="29">
        <v>67</v>
      </c>
      <c r="O1382" s="32">
        <v>440.5</v>
      </c>
      <c r="P1382" s="29" cm="1">
        <f t="array" ref="P1382">IF(表成绩单[[#This Row],[语文]]="","",SUMPRODUCT((表成绩单[考试日期]=表成绩单[[#This Row],[考试日期]])*(表成绩单[语文]&lt;9E+307)*(表成绩单[语文]&gt;表成绩单[[#This Row],[语文]]))+1)</f>
        <v>509</v>
      </c>
      <c r="Q1382" s="29" cm="1">
        <f t="array" ref="Q1382">IF(表成绩单[[#This Row],[数学]]="","",SUMPRODUCT((表成绩单[考试日期]=表成绩单[[#This Row],[考试日期]])*(表成绩单[数学]&lt;9E+307)*(表成绩单[数学]&gt;表成绩单[[#This Row],[数学]]))+1)</f>
        <v>660</v>
      </c>
      <c r="R1382" s="29" cm="1">
        <f t="array" ref="R1382">IF(表成绩单[[#This Row],[英语]]="","",SUMPRODUCT((表成绩单[考试日期]=表成绩单[[#This Row],[考试日期]])*(表成绩单[英语]&lt;9E+307)*(表成绩单[英语]&gt;表成绩单[[#This Row],[英语]]))+1)</f>
        <v>551</v>
      </c>
      <c r="S1382" s="29" cm="1">
        <f t="array" ref="S1382">IF(表成绩单[[#This Row],[物理]]="","",SUMPRODUCT((表成绩单[考试日期]=表成绩单[[#This Row],[考试日期]])*(表成绩单[物理]&lt;9E+307)*(表成绩单[物理]&gt;表成绩单[[#This Row],[物理]]))+1)</f>
        <v>575</v>
      </c>
      <c r="T1382" s="29" cm="1">
        <f t="array" ref="T1382">IF(表成绩单[[#This Row],[化学]]="","",SUMPRODUCT((表成绩单[考试日期]=表成绩单[[#This Row],[考试日期]])*(表成绩单[化学]&lt;9E+307)*(表成绩单[化学]&gt;表成绩单[[#This Row],[化学]]))+1)</f>
        <v>585</v>
      </c>
      <c r="U1382" s="29" cm="1">
        <f t="array" ref="U1382">IF(表成绩单[[#This Row],[政治]]="","",SUMPRODUCT((表成绩单[考试日期]=表成绩单[[#This Row],[考试日期]])*(表成绩单[政治]&lt;9E+307)*(表成绩单[政治]&gt;表成绩单[[#This Row],[政治]]))+1)</f>
        <v>337</v>
      </c>
      <c r="V1382" s="29" cm="1">
        <f t="array" ref="V1382">IF(表成绩单[[#This Row],[历史]]="","",SUMPRODUCT((表成绩单[考试日期]=表成绩单[[#This Row],[考试日期]])*(表成绩单[历史]&lt;9E+307)*(表成绩单[历史]&gt;表成绩单[[#This Row],[历史]]))+1)</f>
        <v>549</v>
      </c>
      <c r="W1382" s="29" cm="1">
        <f t="array" ref="W1382">IF(表成绩单[[#This Row],[总分]]="","",SUMPRODUCT((表成绩单[考试日期]=表成绩单[[#This Row],[考试日期]])*(表成绩单[总分]&lt;9E+307)*(表成绩单[总分]&gt;表成绩单[[#This Row],[总分]]))+1)</f>
        <v>577</v>
      </c>
    </row>
    <row r="1383" ht="28" customHeight="1" spans="4:23">
      <c r="D1383" s="31">
        <v>46003</v>
      </c>
      <c r="E1383" s="29">
        <v>19176005</v>
      </c>
      <c r="F1383" s="29" t="s">
        <v>59</v>
      </c>
      <c r="G1383" s="29" t="s">
        <v>677</v>
      </c>
      <c r="H1383" s="29">
        <v>95</v>
      </c>
      <c r="I1383" s="29">
        <v>51</v>
      </c>
      <c r="J1383" s="29">
        <v>61.5</v>
      </c>
      <c r="K1383" s="29">
        <v>48</v>
      </c>
      <c r="L1383" s="29">
        <v>71</v>
      </c>
      <c r="M1383" s="29">
        <v>62</v>
      </c>
      <c r="N1383" s="29">
        <v>52</v>
      </c>
      <c r="O1383" s="32">
        <v>440.5</v>
      </c>
      <c r="P1383" s="29" cm="1">
        <f t="array" ref="P1383">IF(表成绩单[[#This Row],[语文]]="","",SUMPRODUCT((表成绩单[考试日期]=表成绩单[[#This Row],[考试日期]])*(表成绩单[语文]&lt;9E+307)*(表成绩单[语文]&gt;表成绩单[[#This Row],[语文]]))+1)</f>
        <v>522</v>
      </c>
      <c r="Q1383" s="29" cm="1">
        <f t="array" ref="Q1383">IF(表成绩单[[#This Row],[数学]]="","",SUMPRODUCT((表成绩单[考试日期]=表成绩单[[#This Row],[考试日期]])*(表成绩单[数学]&lt;9E+307)*(表成绩单[数学]&gt;表成绩单[[#This Row],[数学]]))+1)</f>
        <v>572</v>
      </c>
      <c r="R1383" s="29" cm="1">
        <f t="array" ref="R1383">IF(表成绩单[[#This Row],[英语]]="","",SUMPRODUCT((表成绩单[考试日期]=表成绩单[[#This Row],[考试日期]])*(表成绩单[英语]&lt;9E+307)*(表成绩单[英语]&gt;表成绩单[[#This Row],[英语]]))+1)</f>
        <v>513</v>
      </c>
      <c r="S1383" s="29" cm="1">
        <f t="array" ref="S1383">IF(表成绩单[[#This Row],[物理]]="","",SUMPRODUCT((表成绩单[考试日期]=表成绩单[[#This Row],[考试日期]])*(表成绩单[物理]&lt;9E+307)*(表成绩单[物理]&gt;表成绩单[[#This Row],[物理]]))+1)</f>
        <v>643</v>
      </c>
      <c r="T1383" s="29" cm="1">
        <f t="array" ref="T1383">IF(表成绩单[[#This Row],[化学]]="","",SUMPRODUCT((表成绩单[考试日期]=表成绩单[[#This Row],[考试日期]])*(表成绩单[化学]&lt;9E+307)*(表成绩单[化学]&gt;表成绩单[[#This Row],[化学]]))+1)</f>
        <v>487</v>
      </c>
      <c r="U1383" s="29" cm="1">
        <f t="array" ref="U1383">IF(表成绩单[[#This Row],[政治]]="","",SUMPRODUCT((表成绩单[考试日期]=表成绩单[[#This Row],[考试日期]])*(表成绩单[政治]&lt;9E+307)*(表成绩单[政治]&gt;表成绩单[[#This Row],[政治]]))+1)</f>
        <v>381</v>
      </c>
      <c r="V1383" s="29" cm="1">
        <f t="array" ref="V1383">IF(表成绩单[[#This Row],[历史]]="","",SUMPRODUCT((表成绩单[考试日期]=表成绩单[[#This Row],[考试日期]])*(表成绩单[历史]&lt;9E+307)*(表成绩单[历史]&gt;表成绩单[[#This Row],[历史]]))+1)</f>
        <v>693</v>
      </c>
      <c r="W1383" s="29" cm="1">
        <f t="array" ref="W1383">IF(表成绩单[[#This Row],[总分]]="","",SUMPRODUCT((表成绩单[考试日期]=表成绩单[[#This Row],[考试日期]])*(表成绩单[总分]&lt;9E+307)*(表成绩单[总分]&gt;表成绩单[[#This Row],[总分]]))+1)</f>
        <v>577</v>
      </c>
    </row>
    <row r="1384" ht="28" customHeight="1" spans="4:23">
      <c r="D1384" s="31">
        <v>46003</v>
      </c>
      <c r="E1384" s="29">
        <v>19173771</v>
      </c>
      <c r="F1384" s="29" t="s">
        <v>65</v>
      </c>
      <c r="G1384" s="29" t="s">
        <v>624</v>
      </c>
      <c r="H1384" s="29">
        <v>86</v>
      </c>
      <c r="I1384" s="29">
        <v>50</v>
      </c>
      <c r="J1384" s="29">
        <v>74.5</v>
      </c>
      <c r="K1384" s="29">
        <v>61</v>
      </c>
      <c r="L1384" s="29">
        <v>54</v>
      </c>
      <c r="M1384" s="29">
        <v>58</v>
      </c>
      <c r="N1384" s="29">
        <v>55</v>
      </c>
      <c r="O1384" s="32">
        <v>438.5</v>
      </c>
      <c r="P1384" s="29" cm="1">
        <f t="array" ref="P1384">IF(表成绩单[[#This Row],[语文]]="","",SUMPRODUCT((表成绩单[考试日期]=表成绩单[[#This Row],[考试日期]])*(表成绩单[语文]&lt;9E+307)*(表成绩单[语文]&gt;表成绩单[[#This Row],[语文]]))+1)</f>
        <v>626</v>
      </c>
      <c r="Q1384" s="29" cm="1">
        <f t="array" ref="Q1384">IF(表成绩单[[#This Row],[数学]]="","",SUMPRODUCT((表成绩单[考试日期]=表成绩单[[#This Row],[考试日期]])*(表成绩单[数学]&lt;9E+307)*(表成绩单[数学]&gt;表成绩单[[#This Row],[数学]]))+1)</f>
        <v>578</v>
      </c>
      <c r="R1384" s="29" cm="1">
        <f t="array" ref="R1384">IF(表成绩单[[#This Row],[英语]]="","",SUMPRODUCT((表成绩单[考试日期]=表成绩单[[#This Row],[考试日期]])*(表成绩单[英语]&lt;9E+307)*(表成绩单[英语]&gt;表成绩单[[#This Row],[英语]]))+1)</f>
        <v>328</v>
      </c>
      <c r="S1384" s="29" cm="1">
        <f t="array" ref="S1384">IF(表成绩单[[#This Row],[物理]]="","",SUMPRODUCT((表成绩单[考试日期]=表成绩单[[#This Row],[考试日期]])*(表成绩单[物理]&lt;9E+307)*(表成绩单[物理]&gt;表成绩单[[#This Row],[物理]]))+1)</f>
        <v>581</v>
      </c>
      <c r="T1384" s="29" cm="1">
        <f t="array" ref="T1384">IF(表成绩单[[#This Row],[化学]]="","",SUMPRODUCT((表成绩单[考试日期]=表成绩单[[#This Row],[考试日期]])*(表成绩单[化学]&lt;9E+307)*(表成绩单[化学]&gt;表成绩单[[#This Row],[化学]]))+1)</f>
        <v>629</v>
      </c>
      <c r="U1384" s="29" cm="1">
        <f t="array" ref="U1384">IF(表成绩单[[#This Row],[政治]]="","",SUMPRODUCT((表成绩单[考试日期]=表成绩单[[#This Row],[考试日期]])*(表成绩单[政治]&lt;9E+307)*(表成绩单[政治]&gt;表成绩单[[#This Row],[政治]]))+1)</f>
        <v>454</v>
      </c>
      <c r="V1384" s="29" cm="1">
        <f t="array" ref="V1384">IF(表成绩单[[#This Row],[历史]]="","",SUMPRODUCT((表成绩单[考试日期]=表成绩单[[#This Row],[考试日期]])*(表成绩单[历史]&lt;9E+307)*(表成绩单[历史]&gt;表成绩单[[#This Row],[历史]]))+1)</f>
        <v>670</v>
      </c>
      <c r="W1384" s="29" cm="1">
        <f t="array" ref="W1384">IF(表成绩单[[#This Row],[总分]]="","",SUMPRODUCT((表成绩单[考试日期]=表成绩单[[#This Row],[考试日期]])*(表成绩单[总分]&lt;9E+307)*(表成绩单[总分]&gt;表成绩单[[#This Row],[总分]]))+1)</f>
        <v>579</v>
      </c>
    </row>
    <row r="1385" ht="28" customHeight="1" spans="4:23">
      <c r="D1385" s="31">
        <v>46003</v>
      </c>
      <c r="E1385" s="29">
        <v>19175628</v>
      </c>
      <c r="F1385" s="29" t="s">
        <v>57</v>
      </c>
      <c r="G1385" s="29" t="s">
        <v>708</v>
      </c>
      <c r="H1385" s="29">
        <v>96</v>
      </c>
      <c r="I1385" s="29">
        <v>40</v>
      </c>
      <c r="J1385" s="29">
        <v>68</v>
      </c>
      <c r="K1385" s="29">
        <v>53</v>
      </c>
      <c r="L1385" s="29">
        <v>58</v>
      </c>
      <c r="M1385" s="29">
        <v>62</v>
      </c>
      <c r="N1385" s="29">
        <v>61</v>
      </c>
      <c r="O1385" s="32">
        <v>438</v>
      </c>
      <c r="P1385" s="29" cm="1">
        <f t="array" ref="P1385">IF(表成绩单[[#This Row],[语文]]="","",SUMPRODUCT((表成绩单[考试日期]=表成绩单[[#This Row],[考试日期]])*(表成绩单[语文]&lt;9E+307)*(表成绩单[语文]&gt;表成绩单[[#This Row],[语文]]))+1)</f>
        <v>509</v>
      </c>
      <c r="Q1385" s="29" cm="1">
        <f t="array" ref="Q1385">IF(表成绩单[[#This Row],[数学]]="","",SUMPRODUCT((表成绩单[考试日期]=表成绩单[[#This Row],[考试日期]])*(表成绩单[数学]&lt;9E+307)*(表成绩单[数学]&gt;表成绩单[[#This Row],[数学]]))+1)</f>
        <v>634</v>
      </c>
      <c r="R1385" s="29" cm="1">
        <f t="array" ref="R1385">IF(表成绩单[[#This Row],[英语]]="","",SUMPRODUCT((表成绩单[考试日期]=表成绩单[[#This Row],[考试日期]])*(表成绩单[英语]&lt;9E+307)*(表成绩单[英语]&gt;表成绩单[[#This Row],[英语]]))+1)</f>
        <v>450</v>
      </c>
      <c r="S1385" s="29" cm="1">
        <f t="array" ref="S1385">IF(表成绩单[[#This Row],[物理]]="","",SUMPRODUCT((表成绩单[考试日期]=表成绩单[[#This Row],[考试日期]])*(表成绩单[物理]&lt;9E+307)*(表成绩单[物理]&gt;表成绩单[[#This Row],[物理]]))+1)</f>
        <v>616</v>
      </c>
      <c r="T1385" s="29" cm="1">
        <f t="array" ref="T1385">IF(表成绩单[[#This Row],[化学]]="","",SUMPRODUCT((表成绩单[考试日期]=表成绩单[[#This Row],[考试日期]])*(表成绩单[化学]&lt;9E+307)*(表成绩单[化学]&gt;表成绩单[[#This Row],[化学]]))+1)</f>
        <v>597</v>
      </c>
      <c r="U1385" s="29" cm="1">
        <f t="array" ref="U1385">IF(表成绩单[[#This Row],[政治]]="","",SUMPRODUCT((表成绩单[考试日期]=表成绩单[[#This Row],[考试日期]])*(表成绩单[政治]&lt;9E+307)*(表成绩单[政治]&gt;表成绩单[[#This Row],[政治]]))+1)</f>
        <v>381</v>
      </c>
      <c r="V1385" s="29" cm="1">
        <f t="array" ref="V1385">IF(表成绩单[[#This Row],[历史]]="","",SUMPRODUCT((表成绩单[考试日期]=表成绩单[[#This Row],[考试日期]])*(表成绩单[历史]&lt;9E+307)*(表成绩单[历史]&gt;表成绩单[[#This Row],[历史]]))+1)</f>
        <v>628</v>
      </c>
      <c r="W1385" s="29" cm="1">
        <f t="array" ref="W1385">IF(表成绩单[[#This Row],[总分]]="","",SUMPRODUCT((表成绩单[考试日期]=表成绩单[[#This Row],[考试日期]])*(表成绩单[总分]&lt;9E+307)*(表成绩单[总分]&gt;表成绩单[[#This Row],[总分]]))+1)</f>
        <v>580</v>
      </c>
    </row>
    <row r="1386" ht="28" customHeight="1" spans="4:23">
      <c r="D1386" s="31">
        <v>46003</v>
      </c>
      <c r="E1386" s="29">
        <v>19173258</v>
      </c>
      <c r="F1386" s="29" t="s">
        <v>61</v>
      </c>
      <c r="G1386" s="29" t="s">
        <v>696</v>
      </c>
      <c r="H1386" s="29">
        <v>91</v>
      </c>
      <c r="I1386" s="29">
        <v>58</v>
      </c>
      <c r="J1386" s="29">
        <v>58.5</v>
      </c>
      <c r="K1386" s="29">
        <v>68</v>
      </c>
      <c r="L1386" s="29">
        <v>57</v>
      </c>
      <c r="M1386" s="29">
        <v>47</v>
      </c>
      <c r="N1386" s="29">
        <v>58</v>
      </c>
      <c r="O1386" s="32">
        <v>437.5</v>
      </c>
      <c r="P1386" s="29" cm="1">
        <f t="array" ref="P1386">IF(表成绩单[[#This Row],[语文]]="","",SUMPRODUCT((表成绩单[考试日期]=表成绩单[[#This Row],[考试日期]])*(表成绩单[语文]&lt;9E+307)*(表成绩单[语文]&gt;表成绩单[[#This Row],[语文]]))+1)</f>
        <v>580</v>
      </c>
      <c r="Q1386" s="29" cm="1">
        <f t="array" ref="Q1386">IF(表成绩单[[#This Row],[数学]]="","",SUMPRODUCT((表成绩单[考试日期]=表成绩单[[#This Row],[考试日期]])*(表成绩单[数学]&lt;9E+307)*(表成绩单[数学]&gt;表成绩单[[#This Row],[数学]]))+1)</f>
        <v>531</v>
      </c>
      <c r="R1386" s="29" cm="1">
        <f t="array" ref="R1386">IF(表成绩单[[#This Row],[英语]]="","",SUMPRODUCT((表成绩单[考试日期]=表成绩单[[#This Row],[考试日期]])*(表成绩单[英语]&lt;9E+307)*(表成绩单[英语]&gt;表成绩单[[#This Row],[英语]]))+1)</f>
        <v>538</v>
      </c>
      <c r="S1386" s="29" cm="1">
        <f t="array" ref="S1386">IF(表成绩单[[#This Row],[物理]]="","",SUMPRODUCT((表成绩单[考试日期]=表成绩单[[#This Row],[考试日期]])*(表成绩单[物理]&lt;9E+307)*(表成绩单[物理]&gt;表成绩单[[#This Row],[物理]]))+1)</f>
        <v>539</v>
      </c>
      <c r="T1386" s="29" cm="1">
        <f t="array" ref="T1386">IF(表成绩单[[#This Row],[化学]]="","",SUMPRODUCT((表成绩单[考试日期]=表成绩单[[#This Row],[考试日期]])*(表成绩单[化学]&lt;9E+307)*(表成绩单[化学]&gt;表成绩单[[#This Row],[化学]]))+1)</f>
        <v>608</v>
      </c>
      <c r="U1386" s="29" cm="1">
        <f t="array" ref="U1386">IF(表成绩单[[#This Row],[政治]]="","",SUMPRODUCT((表成绩单[考试日期]=表成绩单[[#This Row],[考试日期]])*(表成绩单[政治]&lt;9E+307)*(表成绩单[政治]&gt;表成绩单[[#This Row],[政治]]))+1)</f>
        <v>619</v>
      </c>
      <c r="V1386" s="29" cm="1">
        <f t="array" ref="V1386">IF(表成绩单[[#This Row],[历史]]="","",SUMPRODUCT((表成绩单[考试日期]=表成绩单[[#This Row],[考试日期]])*(表成绩单[历史]&lt;9E+307)*(表成绩单[历史]&gt;表成绩单[[#This Row],[历史]]))+1)</f>
        <v>651</v>
      </c>
      <c r="W1386" s="29" cm="1">
        <f t="array" ref="W1386">IF(表成绩单[[#This Row],[总分]]="","",SUMPRODUCT((表成绩单[考试日期]=表成绩单[[#This Row],[考试日期]])*(表成绩单[总分]&lt;9E+307)*(表成绩单[总分]&gt;表成绩单[[#This Row],[总分]]))+1)</f>
        <v>581</v>
      </c>
    </row>
    <row r="1387" ht="28" customHeight="1" spans="4:23">
      <c r="D1387" s="31">
        <v>46003</v>
      </c>
      <c r="E1387" s="29">
        <v>19175618</v>
      </c>
      <c r="F1387" s="29" t="s">
        <v>57</v>
      </c>
      <c r="G1387" s="29" t="s">
        <v>665</v>
      </c>
      <c r="H1387" s="29">
        <v>101</v>
      </c>
      <c r="I1387" s="29">
        <v>46</v>
      </c>
      <c r="J1387" s="29">
        <v>77</v>
      </c>
      <c r="K1387" s="29">
        <v>46</v>
      </c>
      <c r="L1387" s="29">
        <v>70</v>
      </c>
      <c r="M1387" s="29">
        <v>47</v>
      </c>
      <c r="N1387" s="29">
        <v>50</v>
      </c>
      <c r="O1387" s="32">
        <v>437</v>
      </c>
      <c r="P1387" s="29" cm="1">
        <f t="array" ref="P1387">IF(表成绩单[[#This Row],[语文]]="","",SUMPRODUCT((表成绩单[考试日期]=表成绩单[[#This Row],[考试日期]])*(表成绩单[语文]&lt;9E+307)*(表成绩单[语文]&gt;表成绩单[[#This Row],[语文]]))+1)</f>
        <v>387</v>
      </c>
      <c r="Q1387" s="29" cm="1">
        <f t="array" ref="Q1387">IF(表成绩单[[#This Row],[数学]]="","",SUMPRODUCT((表成绩单[考试日期]=表成绩单[[#This Row],[考试日期]])*(表成绩单[数学]&lt;9E+307)*(表成绩单[数学]&gt;表成绩单[[#This Row],[数学]]))+1)</f>
        <v>605</v>
      </c>
      <c r="R1387" s="29" cm="1">
        <f t="array" ref="R1387">IF(表成绩单[[#This Row],[英语]]="","",SUMPRODUCT((表成绩单[考试日期]=表成绩单[[#This Row],[考试日期]])*(表成绩单[英语]&lt;9E+307)*(表成绩单[英语]&gt;表成绩单[[#This Row],[英语]]))+1)</f>
        <v>255</v>
      </c>
      <c r="S1387" s="29" cm="1">
        <f t="array" ref="S1387">IF(表成绩单[[#This Row],[物理]]="","",SUMPRODUCT((表成绩单[考试日期]=表成绩单[[#This Row],[考试日期]])*(表成绩单[物理]&lt;9E+307)*(表成绩单[物理]&gt;表成绩单[[#This Row],[物理]]))+1)</f>
        <v>649</v>
      </c>
      <c r="T1387" s="29" cm="1">
        <f t="array" ref="T1387">IF(表成绩单[[#This Row],[化学]]="","",SUMPRODUCT((表成绩单[考试日期]=表成绩单[[#This Row],[考试日期]])*(表成绩单[化学]&lt;9E+307)*(表成绩单[化学]&gt;表成绩单[[#This Row],[化学]]))+1)</f>
        <v>498</v>
      </c>
      <c r="U1387" s="29" cm="1">
        <f t="array" ref="U1387">IF(表成绩单[[#This Row],[政治]]="","",SUMPRODUCT((表成绩单[考试日期]=表成绩单[[#This Row],[考试日期]])*(表成绩单[政治]&lt;9E+307)*(表成绩单[政治]&gt;表成绩单[[#This Row],[政治]]))+1)</f>
        <v>619</v>
      </c>
      <c r="V1387" s="29" cm="1">
        <f t="array" ref="V1387">IF(表成绩单[[#This Row],[历史]]="","",SUMPRODUCT((表成绩单[考试日期]=表成绩单[[#This Row],[考试日期]])*(表成绩单[历史]&lt;9E+307)*(表成绩单[历史]&gt;表成绩单[[#This Row],[历史]]))+1)</f>
        <v>699</v>
      </c>
      <c r="W1387" s="29" cm="1">
        <f t="array" ref="W1387">IF(表成绩单[[#This Row],[总分]]="","",SUMPRODUCT((表成绩单[考试日期]=表成绩单[[#This Row],[考试日期]])*(表成绩单[总分]&lt;9E+307)*(表成绩单[总分]&gt;表成绩单[[#This Row],[总分]]))+1)</f>
        <v>582</v>
      </c>
    </row>
    <row r="1388" ht="28" customHeight="1" spans="4:23">
      <c r="D1388" s="31">
        <v>46003</v>
      </c>
      <c r="E1388" s="29">
        <v>19175620</v>
      </c>
      <c r="F1388" s="29" t="s">
        <v>57</v>
      </c>
      <c r="G1388" s="29" t="s">
        <v>721</v>
      </c>
      <c r="H1388" s="29">
        <v>99</v>
      </c>
      <c r="I1388" s="29">
        <v>43</v>
      </c>
      <c r="J1388" s="29">
        <v>47</v>
      </c>
      <c r="K1388" s="29">
        <v>59</v>
      </c>
      <c r="L1388" s="29">
        <v>65</v>
      </c>
      <c r="M1388" s="29">
        <v>53</v>
      </c>
      <c r="N1388" s="29">
        <v>71</v>
      </c>
      <c r="O1388" s="32">
        <v>437</v>
      </c>
      <c r="P1388" s="29" cm="1">
        <f t="array" ref="P1388">IF(表成绩单[[#This Row],[语文]]="","",SUMPRODUCT((表成绩单[考试日期]=表成绩单[[#This Row],[考试日期]])*(表成绩单[语文]&lt;9E+307)*(表成绩单[语文]&gt;表成绩单[[#This Row],[语文]]))+1)</f>
        <v>440</v>
      </c>
      <c r="Q1388" s="29" cm="1">
        <f t="array" ref="Q1388">IF(表成绩单[[#This Row],[数学]]="","",SUMPRODUCT((表成绩单[考试日期]=表成绩单[[#This Row],[考试日期]])*(表成绩单[数学]&lt;9E+307)*(表成绩单[数学]&gt;表成绩单[[#This Row],[数学]]))+1)</f>
        <v>622</v>
      </c>
      <c r="R1388" s="29" cm="1">
        <f t="array" ref="R1388">IF(表成绩单[[#This Row],[英语]]="","",SUMPRODUCT((表成绩单[考试日期]=表成绩单[[#This Row],[考试日期]])*(表成绩单[英语]&lt;9E+307)*(表成绩单[英语]&gt;表成绩单[[#This Row],[英语]]))+1)</f>
        <v>618</v>
      </c>
      <c r="S1388" s="29" cm="1">
        <f t="array" ref="S1388">IF(表成绩单[[#This Row],[物理]]="","",SUMPRODUCT((表成绩单[考试日期]=表成绩单[[#This Row],[考试日期]])*(表成绩单[物理]&lt;9E+307)*(表成绩单[物理]&gt;表成绩单[[#This Row],[物理]]))+1)</f>
        <v>591</v>
      </c>
      <c r="T1388" s="29" cm="1">
        <f t="array" ref="T1388">IF(表成绩单[[#This Row],[化学]]="","",SUMPRODUCT((表成绩单[考试日期]=表成绩单[[#This Row],[考试日期]])*(表成绩单[化学]&lt;9E+307)*(表成绩单[化学]&gt;表成绩单[[#This Row],[化学]]))+1)</f>
        <v>543</v>
      </c>
      <c r="U1388" s="29" cm="1">
        <f t="array" ref="U1388">IF(表成绩单[[#This Row],[政治]]="","",SUMPRODUCT((表成绩单[考试日期]=表成绩单[[#This Row],[考试日期]])*(表成绩单[政治]&lt;9E+307)*(表成绩单[政治]&gt;表成绩单[[#This Row],[政治]]))+1)</f>
        <v>547</v>
      </c>
      <c r="V1388" s="29" cm="1">
        <f t="array" ref="V1388">IF(表成绩单[[#This Row],[历史]]="","",SUMPRODUCT((表成绩单[考试日期]=表成绩单[[#This Row],[考试日期]])*(表成绩单[历史]&lt;9E+307)*(表成绩单[历史]&gt;表成绩单[[#This Row],[历史]]))+1)</f>
        <v>471</v>
      </c>
      <c r="W1388" s="29" cm="1">
        <f t="array" ref="W1388">IF(表成绩单[[#This Row],[总分]]="","",SUMPRODUCT((表成绩单[考试日期]=表成绩单[[#This Row],[考试日期]])*(表成绩单[总分]&lt;9E+307)*(表成绩单[总分]&gt;表成绩单[[#This Row],[总分]]))+1)</f>
        <v>582</v>
      </c>
    </row>
    <row r="1389" ht="28" customHeight="1" spans="4:23">
      <c r="D1389" s="31">
        <v>46003</v>
      </c>
      <c r="E1389" s="29">
        <v>19175308</v>
      </c>
      <c r="F1389" s="29" t="s">
        <v>55</v>
      </c>
      <c r="G1389" s="29" t="s">
        <v>581</v>
      </c>
      <c r="H1389" s="29">
        <v>100</v>
      </c>
      <c r="I1389" s="29">
        <v>49</v>
      </c>
      <c r="J1389" s="29">
        <v>33.5</v>
      </c>
      <c r="K1389" s="29">
        <v>51</v>
      </c>
      <c r="L1389" s="29">
        <v>68</v>
      </c>
      <c r="M1389" s="29">
        <v>66</v>
      </c>
      <c r="N1389" s="29">
        <v>69</v>
      </c>
      <c r="O1389" s="32">
        <v>436.5</v>
      </c>
      <c r="P1389" s="29" cm="1">
        <f t="array" ref="P1389">IF(表成绩单[[#This Row],[语文]]="","",SUMPRODUCT((表成绩单[考试日期]=表成绩单[[#This Row],[考试日期]])*(表成绩单[语文]&lt;9E+307)*(表成绩单[语文]&gt;表成绩单[[#This Row],[语文]]))+1)</f>
        <v>414</v>
      </c>
      <c r="Q1389" s="29" cm="1">
        <f t="array" ref="Q1389">IF(表成绩单[[#This Row],[数学]]="","",SUMPRODUCT((表成绩单[考试日期]=表成绩单[[#This Row],[考试日期]])*(表成绩单[数学]&lt;9E+307)*(表成绩单[数学]&gt;表成绩单[[#This Row],[数学]]))+1)</f>
        <v>587</v>
      </c>
      <c r="R1389" s="29" cm="1">
        <f t="array" ref="R1389">IF(表成绩单[[#This Row],[英语]]="","",SUMPRODUCT((表成绩单[考试日期]=表成绩单[[#This Row],[考试日期]])*(表成绩单[英语]&lt;9E+307)*(表成绩单[英语]&gt;表成绩单[[#This Row],[英语]]))+1)</f>
        <v>675</v>
      </c>
      <c r="S1389" s="29" cm="1">
        <f t="array" ref="S1389">IF(表成绩单[[#This Row],[物理]]="","",SUMPRODUCT((表成绩单[考试日期]=表成绩单[[#This Row],[考试日期]])*(表成绩单[物理]&lt;9E+307)*(表成绩单[物理]&gt;表成绩单[[#This Row],[物理]]))+1)</f>
        <v>630</v>
      </c>
      <c r="T1389" s="29" cm="1">
        <f t="array" ref="T1389">IF(表成绩单[[#This Row],[化学]]="","",SUMPRODUCT((表成绩单[考试日期]=表成绩单[[#This Row],[考试日期]])*(表成绩单[化学]&lt;9E+307)*(表成绩单[化学]&gt;表成绩单[[#This Row],[化学]]))+1)</f>
        <v>514</v>
      </c>
      <c r="U1389" s="29" cm="1">
        <f t="array" ref="U1389">IF(表成绩单[[#This Row],[政治]]="","",SUMPRODUCT((表成绩单[考试日期]=表成绩单[[#This Row],[考试日期]])*(表成绩单[政治]&lt;9E+307)*(表成绩单[政治]&gt;表成绩单[[#This Row],[政治]]))+1)</f>
        <v>289</v>
      </c>
      <c r="V1389" s="29" cm="1">
        <f t="array" ref="V1389">IF(表成绩单[[#This Row],[历史]]="","",SUMPRODUCT((表成绩单[考试日期]=表成绩单[[#This Row],[考试日期]])*(表成绩单[历史]&lt;9E+307)*(表成绩单[历史]&gt;表成绩单[[#This Row],[历史]]))+1)</f>
        <v>516</v>
      </c>
      <c r="W1389" s="29" cm="1">
        <f t="array" ref="W1389">IF(表成绩单[[#This Row],[总分]]="","",SUMPRODUCT((表成绩单[考试日期]=表成绩单[[#This Row],[考试日期]])*(表成绩单[总分]&lt;9E+307)*(表成绩单[总分]&gt;表成绩单[[#This Row],[总分]]))+1)</f>
        <v>584</v>
      </c>
    </row>
    <row r="1390" ht="28" customHeight="1" spans="4:23">
      <c r="D1390" s="31">
        <v>46003</v>
      </c>
      <c r="E1390" s="29">
        <v>19175610</v>
      </c>
      <c r="F1390" s="29" t="s">
        <v>57</v>
      </c>
      <c r="G1390" s="29" t="s">
        <v>596</v>
      </c>
      <c r="H1390" s="29">
        <v>85</v>
      </c>
      <c r="I1390" s="29">
        <v>60</v>
      </c>
      <c r="J1390" s="29">
        <v>56</v>
      </c>
      <c r="K1390" s="29">
        <v>62</v>
      </c>
      <c r="L1390" s="29">
        <v>66</v>
      </c>
      <c r="M1390" s="29">
        <v>53</v>
      </c>
      <c r="N1390" s="29">
        <v>54</v>
      </c>
      <c r="O1390" s="32">
        <v>436</v>
      </c>
      <c r="P1390" s="29" cm="1">
        <f t="array" ref="P1390">IF(表成绩单[[#This Row],[语文]]="","",SUMPRODUCT((表成绩单[考试日期]=表成绩单[[#This Row],[考试日期]])*(表成绩单[语文]&lt;9E+307)*(表成绩单[语文]&gt;表成绩单[[#This Row],[语文]]))+1)</f>
        <v>634</v>
      </c>
      <c r="Q1390" s="29" cm="1">
        <f t="array" ref="Q1390">IF(表成绩单[[#This Row],[数学]]="","",SUMPRODUCT((表成绩单[考试日期]=表成绩单[[#This Row],[考试日期]])*(表成绩单[数学]&lt;9E+307)*(表成绩单[数学]&gt;表成绩单[[#This Row],[数学]]))+1)</f>
        <v>519</v>
      </c>
      <c r="R1390" s="29" cm="1">
        <f t="array" ref="R1390">IF(表成绩单[[#This Row],[英语]]="","",SUMPRODUCT((表成绩单[考试日期]=表成绩单[[#This Row],[考试日期]])*(表成绩单[英语]&lt;9E+307)*(表成绩单[英语]&gt;表成绩单[[#This Row],[英语]]))+1)</f>
        <v>560</v>
      </c>
      <c r="S1390" s="29" cm="1">
        <f t="array" ref="S1390">IF(表成绩单[[#This Row],[物理]]="","",SUMPRODUCT((表成绩单[考试日期]=表成绩单[[#This Row],[考试日期]])*(表成绩单[物理]&lt;9E+307)*(表成绩单[物理]&gt;表成绩单[[#This Row],[物理]]))+1)</f>
        <v>575</v>
      </c>
      <c r="T1390" s="29" cm="1">
        <f t="array" ref="T1390">IF(表成绩单[[#This Row],[化学]]="","",SUMPRODUCT((表成绩单[考试日期]=表成绩单[[#This Row],[考试日期]])*(表成绩单[化学]&lt;9E+307)*(表成绩单[化学]&gt;表成绩单[[#This Row],[化学]]))+1)</f>
        <v>530</v>
      </c>
      <c r="U1390" s="29" cm="1">
        <f t="array" ref="U1390">IF(表成绩单[[#This Row],[政治]]="","",SUMPRODUCT((表成绩单[考试日期]=表成绩单[[#This Row],[考试日期]])*(表成绩单[政治]&lt;9E+307)*(表成绩单[政治]&gt;表成绩单[[#This Row],[政治]]))+1)</f>
        <v>547</v>
      </c>
      <c r="V1390" s="29" cm="1">
        <f t="array" ref="V1390">IF(表成绩单[[#This Row],[历史]]="","",SUMPRODUCT((表成绩单[考试日期]=表成绩单[[#This Row],[考试日期]])*(表成绩单[历史]&lt;9E+307)*(表成绩单[历史]&gt;表成绩单[[#This Row],[历史]]))+1)</f>
        <v>679</v>
      </c>
      <c r="W1390" s="29" cm="1">
        <f t="array" ref="W1390">IF(表成绩单[[#This Row],[总分]]="","",SUMPRODUCT((表成绩单[考试日期]=表成绩单[[#This Row],[考试日期]])*(表成绩单[总分]&lt;9E+307)*(表成绩单[总分]&gt;表成绩单[[#This Row],[总分]]))+1)</f>
        <v>585</v>
      </c>
    </row>
    <row r="1391" ht="28" customHeight="1" spans="4:23">
      <c r="D1391" s="31">
        <v>46003</v>
      </c>
      <c r="E1391" s="29">
        <v>24033000</v>
      </c>
      <c r="F1391" s="29" t="s">
        <v>57</v>
      </c>
      <c r="G1391" s="29" t="s">
        <v>765</v>
      </c>
      <c r="H1391" s="29">
        <v>92</v>
      </c>
      <c r="I1391" s="29">
        <v>44</v>
      </c>
      <c r="J1391" s="29">
        <v>41</v>
      </c>
      <c r="K1391" s="29">
        <v>71</v>
      </c>
      <c r="L1391" s="29">
        <v>61</v>
      </c>
      <c r="M1391" s="29">
        <v>58</v>
      </c>
      <c r="N1391" s="29">
        <v>68</v>
      </c>
      <c r="O1391" s="32">
        <v>435</v>
      </c>
      <c r="P1391" s="29" cm="1">
        <f t="array" ref="P1391">IF(表成绩单[[#This Row],[语文]]="","",SUMPRODUCT((表成绩单[考试日期]=表成绩单[[#This Row],[考试日期]])*(表成绩单[语文]&lt;9E+307)*(表成绩单[语文]&gt;表成绩单[[#This Row],[语文]]))+1)</f>
        <v>569</v>
      </c>
      <c r="Q1391" s="29" cm="1">
        <f t="array" ref="Q1391">IF(表成绩单[[#This Row],[数学]]="","",SUMPRODUCT((表成绩单[考试日期]=表成绩单[[#This Row],[考试日期]])*(表成绩单[数学]&lt;9E+307)*(表成绩单[数学]&gt;表成绩单[[#This Row],[数学]]))+1)</f>
        <v>611</v>
      </c>
      <c r="R1391" s="29" cm="1">
        <f t="array" ref="R1391">IF(表成绩单[[#This Row],[英语]]="","",SUMPRODUCT((表成绩单[考试日期]=表成绩单[[#This Row],[考试日期]])*(表成绩单[英语]&lt;9E+307)*(表成绩单[英语]&gt;表成绩单[[#This Row],[英语]]))+1)</f>
        <v>647</v>
      </c>
      <c r="S1391" s="29" cm="1">
        <f t="array" ref="S1391">IF(表成绩单[[#This Row],[物理]]="","",SUMPRODUCT((表成绩单[考试日期]=表成绩单[[#This Row],[考试日期]])*(表成绩单[物理]&lt;9E+307)*(表成绩单[物理]&gt;表成绩单[[#This Row],[物理]]))+1)</f>
        <v>507</v>
      </c>
      <c r="T1391" s="29" cm="1">
        <f t="array" ref="T1391">IF(表成绩单[[#This Row],[化学]]="","",SUMPRODUCT((表成绩单[考试日期]=表成绩单[[#This Row],[考试日期]])*(表成绩单[化学]&lt;9E+307)*(表成绩单[化学]&gt;表成绩单[[#This Row],[化学]]))+1)</f>
        <v>572</v>
      </c>
      <c r="U1391" s="29" cm="1">
        <f t="array" ref="U1391">IF(表成绩单[[#This Row],[政治]]="","",SUMPRODUCT((表成绩单[考试日期]=表成绩单[[#This Row],[考试日期]])*(表成绩单[政治]&lt;9E+307)*(表成绩单[政治]&gt;表成绩单[[#This Row],[政治]]))+1)</f>
        <v>454</v>
      </c>
      <c r="V1391" s="29" cm="1">
        <f t="array" ref="V1391">IF(表成绩单[[#This Row],[历史]]="","",SUMPRODUCT((表成绩单[考试日期]=表成绩单[[#This Row],[考试日期]])*(表成绩单[历史]&lt;9E+307)*(表成绩单[历史]&gt;表成绩单[[#This Row],[历史]]))+1)</f>
        <v>536</v>
      </c>
      <c r="W1391" s="29" cm="1">
        <f t="array" ref="W1391">IF(表成绩单[[#This Row],[总分]]="","",SUMPRODUCT((表成绩单[考试日期]=表成绩单[[#This Row],[考试日期]])*(表成绩单[总分]&lt;9E+307)*(表成绩单[总分]&gt;表成绩单[[#This Row],[总分]]))+1)</f>
        <v>586</v>
      </c>
    </row>
    <row r="1392" ht="28" customHeight="1" spans="4:23">
      <c r="D1392" s="31">
        <v>46003</v>
      </c>
      <c r="E1392" s="29">
        <v>19177668</v>
      </c>
      <c r="F1392" s="29" t="s">
        <v>63</v>
      </c>
      <c r="G1392" s="29" t="s">
        <v>718</v>
      </c>
      <c r="H1392" s="29">
        <v>92</v>
      </c>
      <c r="I1392" s="29">
        <v>49</v>
      </c>
      <c r="J1392" s="29">
        <v>75.5</v>
      </c>
      <c r="K1392" s="29">
        <v>50</v>
      </c>
      <c r="L1392" s="29">
        <v>49</v>
      </c>
      <c r="M1392" s="29">
        <v>44</v>
      </c>
      <c r="N1392" s="29">
        <v>73</v>
      </c>
      <c r="O1392" s="32">
        <v>432.5</v>
      </c>
      <c r="P1392" s="29" cm="1">
        <f t="array" ref="P1392">IF(表成绩单[[#This Row],[语文]]="","",SUMPRODUCT((表成绩单[考试日期]=表成绩单[[#This Row],[考试日期]])*(表成绩单[语文]&lt;9E+307)*(表成绩单[语文]&gt;表成绩单[[#This Row],[语文]]))+1)</f>
        <v>569</v>
      </c>
      <c r="Q1392" s="29" cm="1">
        <f t="array" ref="Q1392">IF(表成绩单[[#This Row],[数学]]="","",SUMPRODUCT((表成绩单[考试日期]=表成绩单[[#This Row],[考试日期]])*(表成绩单[数学]&lt;9E+307)*(表成绩单[数学]&gt;表成绩单[[#This Row],[数学]]))+1)</f>
        <v>587</v>
      </c>
      <c r="R1392" s="29" cm="1">
        <f t="array" ref="R1392">IF(表成绩单[[#This Row],[英语]]="","",SUMPRODUCT((表成绩单[考试日期]=表成绩单[[#This Row],[考试日期]])*(表成绩单[英语]&lt;9E+307)*(表成绩单[英语]&gt;表成绩单[[#This Row],[英语]]))+1)</f>
        <v>299</v>
      </c>
      <c r="S1392" s="29" cm="1">
        <f t="array" ref="S1392">IF(表成绩单[[#This Row],[物理]]="","",SUMPRODUCT((表成绩单[考试日期]=表成绩单[[#This Row],[考试日期]])*(表成绩单[物理]&lt;9E+307)*(表成绩单[物理]&gt;表成绩单[[#This Row],[物理]]))+1)</f>
        <v>636</v>
      </c>
      <c r="T1392" s="29" cm="1">
        <f t="array" ref="T1392">IF(表成绩单[[#This Row],[化学]]="","",SUMPRODUCT((表成绩单[考试日期]=表成绩单[[#This Row],[考试日期]])*(表成绩单[化学]&lt;9E+307)*(表成绩单[化学]&gt;表成绩单[[#This Row],[化学]]))+1)</f>
        <v>657</v>
      </c>
      <c r="U1392" s="29" cm="1">
        <f t="array" ref="U1392">IF(表成绩单[[#This Row],[政治]]="","",SUMPRODUCT((表成绩单[考试日期]=表成绩单[[#This Row],[考试日期]])*(表成绩单[政治]&lt;9E+307)*(表成绩单[政治]&gt;表成绩单[[#This Row],[政治]]))+1)</f>
        <v>651</v>
      </c>
      <c r="V1392" s="29" cm="1">
        <f t="array" ref="V1392">IF(表成绩单[[#This Row],[历史]]="","",SUMPRODUCT((表成绩单[考试日期]=表成绩单[[#This Row],[考试日期]])*(表成绩单[历史]&lt;9E+307)*(表成绩单[历史]&gt;表成绩单[[#This Row],[历史]]))+1)</f>
        <v>403</v>
      </c>
      <c r="W1392" s="29" cm="1">
        <f t="array" ref="W1392">IF(表成绩单[[#This Row],[总分]]="","",SUMPRODUCT((表成绩单[考试日期]=表成绩单[[#This Row],[考试日期]])*(表成绩单[总分]&lt;9E+307)*(表成绩单[总分]&gt;表成绩单[[#This Row],[总分]]))+1)</f>
        <v>587</v>
      </c>
    </row>
    <row r="1393" ht="28" customHeight="1" spans="4:23">
      <c r="D1393" s="31">
        <v>46003</v>
      </c>
      <c r="E1393" s="29">
        <v>19173776</v>
      </c>
      <c r="F1393" s="29" t="s">
        <v>65</v>
      </c>
      <c r="G1393" s="29" t="s">
        <v>673</v>
      </c>
      <c r="H1393" s="29">
        <v>100</v>
      </c>
      <c r="I1393" s="29">
        <v>37</v>
      </c>
      <c r="J1393" s="29">
        <v>54</v>
      </c>
      <c r="K1393" s="29">
        <v>54</v>
      </c>
      <c r="L1393" s="29">
        <v>60</v>
      </c>
      <c r="M1393" s="29">
        <v>59</v>
      </c>
      <c r="N1393" s="29">
        <v>68</v>
      </c>
      <c r="O1393" s="32">
        <v>432</v>
      </c>
      <c r="P1393" s="29" cm="1">
        <f t="array" ref="P1393">IF(表成绩单[[#This Row],[语文]]="","",SUMPRODUCT((表成绩单[考试日期]=表成绩单[[#This Row],[考试日期]])*(表成绩单[语文]&lt;9E+307)*(表成绩单[语文]&gt;表成绩单[[#This Row],[语文]]))+1)</f>
        <v>414</v>
      </c>
      <c r="Q1393" s="29" cm="1">
        <f t="array" ref="Q1393">IF(表成绩单[[#This Row],[数学]]="","",SUMPRODUCT((表成绩单[考试日期]=表成绩单[[#This Row],[考试日期]])*(表成绩单[数学]&lt;9E+307)*(表成绩单[数学]&gt;表成绩单[[#This Row],[数学]]))+1)</f>
        <v>647</v>
      </c>
      <c r="R1393" s="29" cm="1">
        <f t="array" ref="R1393">IF(表成绩单[[#This Row],[英语]]="","",SUMPRODUCT((表成绩单[考试日期]=表成绩单[[#This Row],[考试日期]])*(表成绩单[英语]&lt;9E+307)*(表成绩单[英语]&gt;表成绩单[[#This Row],[英语]]))+1)</f>
        <v>575</v>
      </c>
      <c r="S1393" s="29" cm="1">
        <f t="array" ref="S1393">IF(表成绩单[[#This Row],[物理]]="","",SUMPRODUCT((表成绩单[考试日期]=表成绩单[[#This Row],[考试日期]])*(表成绩单[物理]&lt;9E+307)*(表成绩单[物理]&gt;表成绩单[[#This Row],[物理]]))+1)</f>
        <v>613</v>
      </c>
      <c r="T1393" s="29" cm="1">
        <f t="array" ref="T1393">IF(表成绩单[[#This Row],[化学]]="","",SUMPRODUCT((表成绩单[考试日期]=表成绩单[[#This Row],[考试日期]])*(表成绩单[化学]&lt;9E+307)*(表成绩单[化学]&gt;表成绩单[[#This Row],[化学]]))+1)</f>
        <v>585</v>
      </c>
      <c r="U1393" s="29" cm="1">
        <f t="array" ref="U1393">IF(表成绩单[[#This Row],[政治]]="","",SUMPRODUCT((表成绩单[考试日期]=表成绩单[[#This Row],[考试日期]])*(表成绩单[政治]&lt;9E+307)*(表成绩单[政治]&gt;表成绩单[[#This Row],[政治]]))+1)</f>
        <v>435</v>
      </c>
      <c r="V1393" s="29" cm="1">
        <f t="array" ref="V1393">IF(表成绩单[[#This Row],[历史]]="","",SUMPRODUCT((表成绩单[考试日期]=表成绩单[[#This Row],[考试日期]])*(表成绩单[历史]&lt;9E+307)*(表成绩单[历史]&gt;表成绩单[[#This Row],[历史]]))+1)</f>
        <v>536</v>
      </c>
      <c r="W1393" s="29" cm="1">
        <f t="array" ref="W1393">IF(表成绩单[[#This Row],[总分]]="","",SUMPRODUCT((表成绩单[考试日期]=表成绩单[[#This Row],[考试日期]])*(表成绩单[总分]&lt;9E+307)*(表成绩单[总分]&gt;表成绩单[[#This Row],[总分]]))+1)</f>
        <v>588</v>
      </c>
    </row>
    <row r="1394" ht="28" customHeight="1" spans="4:23">
      <c r="D1394" s="31">
        <v>46003</v>
      </c>
      <c r="E1394" s="29">
        <v>19173805</v>
      </c>
      <c r="F1394" s="29" t="s">
        <v>65</v>
      </c>
      <c r="G1394" s="29" t="s">
        <v>734</v>
      </c>
      <c r="H1394" s="29">
        <v>87</v>
      </c>
      <c r="I1394" s="29">
        <v>44</v>
      </c>
      <c r="J1394" s="29">
        <v>69</v>
      </c>
      <c r="K1394" s="29">
        <v>53</v>
      </c>
      <c r="L1394" s="29">
        <v>74</v>
      </c>
      <c r="M1394" s="29">
        <v>51</v>
      </c>
      <c r="N1394" s="29">
        <v>54</v>
      </c>
      <c r="O1394" s="32">
        <v>432</v>
      </c>
      <c r="P1394" s="29" cm="1">
        <f t="array" ref="P1394">IF(表成绩单[[#This Row],[语文]]="","",SUMPRODUCT((表成绩单[考试日期]=表成绩单[[#This Row],[考试日期]])*(表成绩单[语文]&lt;9E+307)*(表成绩单[语文]&gt;表成绩单[[#This Row],[语文]]))+1)</f>
        <v>620</v>
      </c>
      <c r="Q1394" s="29" cm="1">
        <f t="array" ref="Q1394">IF(表成绩单[[#This Row],[数学]]="","",SUMPRODUCT((表成绩单[考试日期]=表成绩单[[#This Row],[考试日期]])*(表成绩单[数学]&lt;9E+307)*(表成绩单[数学]&gt;表成绩单[[#This Row],[数学]]))+1)</f>
        <v>611</v>
      </c>
      <c r="R1394" s="29" cm="1">
        <f t="array" ref="R1394">IF(表成绩单[[#This Row],[英语]]="","",SUMPRODUCT((表成绩单[考试日期]=表成绩单[[#This Row],[考试日期]])*(表成绩单[英语]&lt;9E+307)*(表成绩单[英语]&gt;表成绩单[[#This Row],[英语]]))+1)</f>
        <v>434</v>
      </c>
      <c r="S1394" s="29" cm="1">
        <f t="array" ref="S1394">IF(表成绩单[[#This Row],[物理]]="","",SUMPRODUCT((表成绩单[考试日期]=表成绩单[[#This Row],[考试日期]])*(表成绩单[物理]&lt;9E+307)*(表成绩单[物理]&gt;表成绩单[[#This Row],[物理]]))+1)</f>
        <v>616</v>
      </c>
      <c r="T1394" s="29" cm="1">
        <f t="array" ref="T1394">IF(表成绩单[[#This Row],[化学]]="","",SUMPRODUCT((表成绩单[考试日期]=表成绩单[[#This Row],[考试日期]])*(表成绩单[化学]&lt;9E+307)*(表成绩单[化学]&gt;表成绩单[[#This Row],[化学]]))+1)</f>
        <v>440</v>
      </c>
      <c r="U1394" s="29" cm="1">
        <f t="array" ref="U1394">IF(表成绩单[[#This Row],[政治]]="","",SUMPRODUCT((表成绩单[考试日期]=表成绩单[[#This Row],[考试日期]])*(表成绩单[政治]&lt;9E+307)*(表成绩单[政治]&gt;表成绩单[[#This Row],[政治]]))+1)</f>
        <v>571</v>
      </c>
      <c r="V1394" s="29" cm="1">
        <f t="array" ref="V1394">IF(表成绩单[[#This Row],[历史]]="","",SUMPRODUCT((表成绩单[考试日期]=表成绩单[[#This Row],[考试日期]])*(表成绩单[历史]&lt;9E+307)*(表成绩单[历史]&gt;表成绩单[[#This Row],[历史]]))+1)</f>
        <v>679</v>
      </c>
      <c r="W1394" s="29" cm="1">
        <f t="array" ref="W1394">IF(表成绩单[[#This Row],[总分]]="","",SUMPRODUCT((表成绩单[考试日期]=表成绩单[[#This Row],[考试日期]])*(表成绩单[总分]&lt;9E+307)*(表成绩单[总分]&gt;表成绩单[[#This Row],[总分]]))+1)</f>
        <v>588</v>
      </c>
    </row>
    <row r="1395" ht="28" customHeight="1" spans="4:23">
      <c r="D1395" s="31">
        <v>46003</v>
      </c>
      <c r="E1395" s="29">
        <v>19175615</v>
      </c>
      <c r="F1395" s="29" t="s">
        <v>57</v>
      </c>
      <c r="G1395" s="29" t="s">
        <v>763</v>
      </c>
      <c r="H1395" s="29">
        <v>99</v>
      </c>
      <c r="I1395" s="29">
        <v>57</v>
      </c>
      <c r="J1395" s="29">
        <v>49</v>
      </c>
      <c r="K1395" s="29">
        <v>54</v>
      </c>
      <c r="L1395" s="29">
        <v>58</v>
      </c>
      <c r="M1395" s="29">
        <v>53</v>
      </c>
      <c r="N1395" s="29">
        <v>62</v>
      </c>
      <c r="O1395" s="32">
        <v>432</v>
      </c>
      <c r="P1395" s="29" cm="1">
        <f t="array" ref="P1395">IF(表成绩单[[#This Row],[语文]]="","",SUMPRODUCT((表成绩单[考试日期]=表成绩单[[#This Row],[考试日期]])*(表成绩单[语文]&lt;9E+307)*(表成绩单[语文]&gt;表成绩单[[#This Row],[语文]]))+1)</f>
        <v>440</v>
      </c>
      <c r="Q1395" s="29" cm="1">
        <f t="array" ref="Q1395">IF(表成绩单[[#This Row],[数学]]="","",SUMPRODUCT((表成绩单[考试日期]=表成绩单[[#This Row],[考试日期]])*(表成绩单[数学]&lt;9E+307)*(表成绩单[数学]&gt;表成绩单[[#This Row],[数学]]))+1)</f>
        <v>539</v>
      </c>
      <c r="R1395" s="29" cm="1">
        <f t="array" ref="R1395">IF(表成绩单[[#This Row],[英语]]="","",SUMPRODUCT((表成绩单[考试日期]=表成绩单[[#This Row],[考试日期]])*(表成绩单[英语]&lt;9E+307)*(表成绩单[英语]&gt;表成绩单[[#This Row],[英语]]))+1)</f>
        <v>609</v>
      </c>
      <c r="S1395" s="29" cm="1">
        <f t="array" ref="S1395">IF(表成绩单[[#This Row],[物理]]="","",SUMPRODUCT((表成绩单[考试日期]=表成绩单[[#This Row],[考试日期]])*(表成绩单[物理]&lt;9E+307)*(表成绩单[物理]&gt;表成绩单[[#This Row],[物理]]))+1)</f>
        <v>613</v>
      </c>
      <c r="T1395" s="29" cm="1">
        <f t="array" ref="T1395">IF(表成绩单[[#This Row],[化学]]="","",SUMPRODUCT((表成绩单[考试日期]=表成绩单[[#This Row],[考试日期]])*(表成绩单[化学]&lt;9E+307)*(表成绩单[化学]&gt;表成绩单[[#This Row],[化学]]))+1)</f>
        <v>597</v>
      </c>
      <c r="U1395" s="29" cm="1">
        <f t="array" ref="U1395">IF(表成绩单[[#This Row],[政治]]="","",SUMPRODUCT((表成绩单[考试日期]=表成绩单[[#This Row],[考试日期]])*(表成绩单[政治]&lt;9E+307)*(表成绩单[政治]&gt;表成绩单[[#This Row],[政治]]))+1)</f>
        <v>547</v>
      </c>
      <c r="V1395" s="29" cm="1">
        <f t="array" ref="V1395">IF(表成绩单[[#This Row],[历史]]="","",SUMPRODUCT((表成绩单[考试日期]=表成绩单[[#This Row],[考试日期]])*(表成绩单[历史]&lt;9E+307)*(表成绩单[历史]&gt;表成绩单[[#This Row],[历史]]))+1)</f>
        <v>618</v>
      </c>
      <c r="W1395" s="29" cm="1">
        <f t="array" ref="W1395">IF(表成绩单[[#This Row],[总分]]="","",SUMPRODUCT((表成绩单[考试日期]=表成绩单[[#This Row],[考试日期]])*(表成绩单[总分]&lt;9E+307)*(表成绩单[总分]&gt;表成绩单[[#This Row],[总分]]))+1)</f>
        <v>588</v>
      </c>
    </row>
    <row r="1396" ht="28" customHeight="1" spans="4:23">
      <c r="D1396" s="31">
        <v>46003</v>
      </c>
      <c r="E1396" s="29">
        <v>19177619</v>
      </c>
      <c r="F1396" s="29" t="s">
        <v>58</v>
      </c>
      <c r="G1396" s="29" t="s">
        <v>753</v>
      </c>
      <c r="H1396" s="29">
        <v>95</v>
      </c>
      <c r="I1396" s="29">
        <v>30</v>
      </c>
      <c r="J1396" s="29">
        <v>60</v>
      </c>
      <c r="K1396" s="29">
        <v>75</v>
      </c>
      <c r="L1396" s="29">
        <v>41</v>
      </c>
      <c r="M1396" s="29">
        <v>53</v>
      </c>
      <c r="N1396" s="29">
        <v>76</v>
      </c>
      <c r="O1396" s="32">
        <v>430</v>
      </c>
      <c r="P1396" s="29" cm="1">
        <f t="array" ref="P1396">IF(表成绩单[[#This Row],[语文]]="","",SUMPRODUCT((表成绩单[考试日期]=表成绩单[[#This Row],[考试日期]])*(表成绩单[语文]&lt;9E+307)*(表成绩单[语文]&gt;表成绩单[[#This Row],[语文]]))+1)</f>
        <v>522</v>
      </c>
      <c r="Q1396" s="29" cm="1">
        <f t="array" ref="Q1396">IF(表成绩单[[#This Row],[数学]]="","",SUMPRODUCT((表成绩单[考试日期]=表成绩单[[#This Row],[考试日期]])*(表成绩单[数学]&lt;9E+307)*(表成绩单[数学]&gt;表成绩单[[#This Row],[数学]]))+1)</f>
        <v>676</v>
      </c>
      <c r="R1396" s="29" cm="1">
        <f t="array" ref="R1396">IF(表成绩单[[#This Row],[英语]]="","",SUMPRODUCT((表成绩单[考试日期]=表成绩单[[#This Row],[考试日期]])*(表成绩单[英语]&lt;9E+307)*(表成绩单[英语]&gt;表成绩单[[#This Row],[英语]]))+1)</f>
        <v>528</v>
      </c>
      <c r="S1396" s="29" cm="1">
        <f t="array" ref="S1396">IF(表成绩单[[#This Row],[物理]]="","",SUMPRODUCT((表成绩单[考试日期]=表成绩单[[#This Row],[考试日期]])*(表成绩单[物理]&lt;9E+307)*(表成绩单[物理]&gt;表成绩单[[#This Row],[物理]]))+1)</f>
        <v>472</v>
      </c>
      <c r="T1396" s="29" cm="1">
        <f t="array" ref="T1396">IF(表成绩单[[#This Row],[化学]]="","",SUMPRODUCT((表成绩单[考试日期]=表成绩单[[#This Row],[考试日期]])*(表成绩单[化学]&lt;9E+307)*(表成绩单[化学]&gt;表成绩单[[#This Row],[化学]]))+1)</f>
        <v>700</v>
      </c>
      <c r="U1396" s="29" cm="1">
        <f t="array" ref="U1396">IF(表成绩单[[#This Row],[政治]]="","",SUMPRODUCT((表成绩单[考试日期]=表成绩单[[#This Row],[考试日期]])*(表成绩单[政治]&lt;9E+307)*(表成绩单[政治]&gt;表成绩单[[#This Row],[政治]]))+1)</f>
        <v>547</v>
      </c>
      <c r="V1396" s="29" cm="1">
        <f t="array" ref="V1396">IF(表成绩单[[#This Row],[历史]]="","",SUMPRODUCT((表成绩单[考试日期]=表成绩单[[#This Row],[考试日期]])*(表成绩单[历史]&lt;9E+307)*(表成绩单[历史]&gt;表成绩单[[#This Row],[历史]]))+1)</f>
        <v>279</v>
      </c>
      <c r="W1396" s="29" cm="1">
        <f t="array" ref="W1396">IF(表成绩单[[#This Row],[总分]]="","",SUMPRODUCT((表成绩单[考试日期]=表成绩单[[#This Row],[考试日期]])*(表成绩单[总分]&lt;9E+307)*(表成绩单[总分]&gt;表成绩单[[#This Row],[总分]]))+1)</f>
        <v>591</v>
      </c>
    </row>
    <row r="1397" ht="28" customHeight="1" spans="4:23">
      <c r="D1397" s="31">
        <v>46003</v>
      </c>
      <c r="E1397" s="29">
        <v>19176004</v>
      </c>
      <c r="F1397" s="29" t="s">
        <v>59</v>
      </c>
      <c r="G1397" s="29" t="s">
        <v>807</v>
      </c>
      <c r="H1397" s="29">
        <v>86</v>
      </c>
      <c r="I1397" s="29">
        <v>68</v>
      </c>
      <c r="J1397" s="29">
        <v>30.5</v>
      </c>
      <c r="K1397" s="29">
        <v>69</v>
      </c>
      <c r="L1397" s="29">
        <v>66</v>
      </c>
      <c r="M1397" s="29">
        <v>50</v>
      </c>
      <c r="N1397" s="29">
        <v>59</v>
      </c>
      <c r="O1397" s="32">
        <v>428.5</v>
      </c>
      <c r="P1397" s="29" cm="1">
        <f t="array" ref="P1397">IF(表成绩单[[#This Row],[语文]]="","",SUMPRODUCT((表成绩单[考试日期]=表成绩单[[#This Row],[考试日期]])*(表成绩单[语文]&lt;9E+307)*(表成绩单[语文]&gt;表成绩单[[#This Row],[语文]]))+1)</f>
        <v>626</v>
      </c>
      <c r="Q1397" s="29" cm="1">
        <f t="array" ref="Q1397">IF(表成绩单[[#This Row],[数学]]="","",SUMPRODUCT((表成绩单[考试日期]=表成绩单[[#This Row],[考试日期]])*(表成绩单[数学]&lt;9E+307)*(表成绩单[数学]&gt;表成绩单[[#This Row],[数学]]))+1)</f>
        <v>450</v>
      </c>
      <c r="R1397" s="29" cm="1">
        <f t="array" ref="R1397">IF(表成绩单[[#This Row],[英语]]="","",SUMPRODUCT((表成绩单[考试日期]=表成绩单[[#This Row],[考试日期]])*(表成绩单[英语]&lt;9E+307)*(表成绩单[英语]&gt;表成绩单[[#This Row],[英语]]))+1)</f>
        <v>687</v>
      </c>
      <c r="S1397" s="29" cm="1">
        <f t="array" ref="S1397">IF(表成绩单[[#This Row],[物理]]="","",SUMPRODUCT((表成绩单[考试日期]=表成绩单[[#This Row],[考试日期]])*(表成绩单[物理]&lt;9E+307)*(表成绩单[物理]&gt;表成绩单[[#This Row],[物理]]))+1)</f>
        <v>532</v>
      </c>
      <c r="T1397" s="29" cm="1">
        <f t="array" ref="T1397">IF(表成绩单[[#This Row],[化学]]="","",SUMPRODUCT((表成绩单[考试日期]=表成绩单[[#This Row],[考试日期]])*(表成绩单[化学]&lt;9E+307)*(表成绩单[化学]&gt;表成绩单[[#This Row],[化学]]))+1)</f>
        <v>530</v>
      </c>
      <c r="U1397" s="29" cm="1">
        <f t="array" ref="U1397">IF(表成绩单[[#This Row],[政治]]="","",SUMPRODUCT((表成绩单[考试日期]=表成绩单[[#This Row],[考试日期]])*(表成绩单[政治]&lt;9E+307)*(表成绩单[政治]&gt;表成绩单[[#This Row],[政治]]))+1)</f>
        <v>587</v>
      </c>
      <c r="V1397" s="29" cm="1">
        <f t="array" ref="V1397">IF(表成绩单[[#This Row],[历史]]="","",SUMPRODUCT((表成绩单[考试日期]=表成绩单[[#This Row],[考试日期]])*(表成绩单[历史]&lt;9E+307)*(表成绩单[历史]&gt;表成绩单[[#This Row],[历史]]))+1)</f>
        <v>645</v>
      </c>
      <c r="W1397" s="29" cm="1">
        <f t="array" ref="W1397">IF(表成绩单[[#This Row],[总分]]="","",SUMPRODUCT((表成绩单[考试日期]=表成绩单[[#This Row],[考试日期]])*(表成绩单[总分]&lt;9E+307)*(表成绩单[总分]&gt;表成绩单[[#This Row],[总分]]))+1)</f>
        <v>592</v>
      </c>
    </row>
    <row r="1398" ht="28" customHeight="1" spans="4:23">
      <c r="D1398" s="31">
        <v>46003</v>
      </c>
      <c r="E1398" s="29">
        <v>19175305</v>
      </c>
      <c r="F1398" s="29" t="s">
        <v>55</v>
      </c>
      <c r="G1398" s="29" t="s">
        <v>759</v>
      </c>
      <c r="H1398" s="29">
        <v>104</v>
      </c>
      <c r="I1398" s="29">
        <v>34</v>
      </c>
      <c r="J1398" s="29">
        <v>51</v>
      </c>
      <c r="K1398" s="29">
        <v>33</v>
      </c>
      <c r="L1398" s="29">
        <v>54</v>
      </c>
      <c r="M1398" s="29">
        <v>80</v>
      </c>
      <c r="N1398" s="29">
        <v>72</v>
      </c>
      <c r="O1398" s="32">
        <v>428</v>
      </c>
      <c r="P1398" s="29" cm="1">
        <f t="array" ref="P1398">IF(表成绩单[[#This Row],[语文]]="","",SUMPRODUCT((表成绩单[考试日期]=表成绩单[[#This Row],[考试日期]])*(表成绩单[语文]&lt;9E+307)*(表成绩单[语文]&gt;表成绩单[[#This Row],[语文]]))+1)</f>
        <v>290</v>
      </c>
      <c r="Q1398" s="29" cm="1">
        <f t="array" ref="Q1398">IF(表成绩单[[#This Row],[数学]]="","",SUMPRODUCT((表成绩单[考试日期]=表成绩单[[#This Row],[考试日期]])*(表成绩单[数学]&lt;9E+307)*(表成绩单[数学]&gt;表成绩单[[#This Row],[数学]]))+1)</f>
        <v>660</v>
      </c>
      <c r="R1398" s="29" cm="1">
        <f t="array" ref="R1398">IF(表成绩单[[#This Row],[英语]]="","",SUMPRODUCT((表成绩单[考试日期]=表成绩单[[#This Row],[考试日期]])*(表成绩单[英语]&lt;9E+307)*(表成绩单[英语]&gt;表成绩单[[#This Row],[英语]]))+1)</f>
        <v>597</v>
      </c>
      <c r="S1398" s="29" cm="1">
        <f t="array" ref="S1398">IF(表成绩单[[#This Row],[物理]]="","",SUMPRODUCT((表成绩单[考试日期]=表成绩单[[#This Row],[考试日期]])*(表成绩单[物理]&lt;9E+307)*(表成绩单[物理]&gt;表成绩单[[#This Row],[物理]]))+1)</f>
        <v>698</v>
      </c>
      <c r="T1398" s="29" cm="1">
        <f t="array" ref="T1398">IF(表成绩单[[#This Row],[化学]]="","",SUMPRODUCT((表成绩单[考试日期]=表成绩单[[#This Row],[考试日期]])*(表成绩单[化学]&lt;9E+307)*(表成绩单[化学]&gt;表成绩单[[#This Row],[化学]]))+1)</f>
        <v>629</v>
      </c>
      <c r="U1398" s="29" cm="1">
        <f t="array" ref="U1398">IF(表成绩单[[#This Row],[政治]]="","",SUMPRODUCT((表成绩单[考试日期]=表成绩单[[#This Row],[考试日期]])*(表成绩单[政治]&lt;9E+307)*(表成绩单[政治]&gt;表成绩单[[#This Row],[政治]]))+1)</f>
        <v>28</v>
      </c>
      <c r="V1398" s="29" cm="1">
        <f t="array" ref="V1398">IF(表成绩单[[#This Row],[历史]]="","",SUMPRODUCT((表成绩单[考试日期]=表成绩单[[#This Row],[考试日期]])*(表成绩单[历史]&lt;9E+307)*(表成绩单[历史]&gt;表成绩单[[#This Row],[历史]]))+1)</f>
        <v>439</v>
      </c>
      <c r="W1398" s="29" cm="1">
        <f t="array" ref="W1398">IF(表成绩单[[#This Row],[总分]]="","",SUMPRODUCT((表成绩单[考试日期]=表成绩单[[#This Row],[考试日期]])*(表成绩单[总分]&lt;9E+307)*(表成绩单[总分]&gt;表成绩单[[#This Row],[总分]]))+1)</f>
        <v>593</v>
      </c>
    </row>
    <row r="1399" ht="28" customHeight="1" spans="4:23">
      <c r="D1399" s="31">
        <v>46003</v>
      </c>
      <c r="E1399" s="29">
        <v>19175985</v>
      </c>
      <c r="F1399" s="29" t="s">
        <v>59</v>
      </c>
      <c r="G1399" s="29" t="s">
        <v>710</v>
      </c>
      <c r="H1399" s="29">
        <v>100</v>
      </c>
      <c r="I1399" s="29">
        <v>45</v>
      </c>
      <c r="J1399" s="29">
        <v>43</v>
      </c>
      <c r="K1399" s="29">
        <v>42</v>
      </c>
      <c r="L1399" s="29">
        <v>73</v>
      </c>
      <c r="M1399" s="29">
        <v>58</v>
      </c>
      <c r="N1399" s="29">
        <v>67</v>
      </c>
      <c r="O1399" s="32">
        <v>428</v>
      </c>
      <c r="P1399" s="29" cm="1">
        <f t="array" ref="P1399">IF(表成绩单[[#This Row],[语文]]="","",SUMPRODUCT((表成绩单[考试日期]=表成绩单[[#This Row],[考试日期]])*(表成绩单[语文]&lt;9E+307)*(表成绩单[语文]&gt;表成绩单[[#This Row],[语文]]))+1)</f>
        <v>414</v>
      </c>
      <c r="Q1399" s="29" cm="1">
        <f t="array" ref="Q1399">IF(表成绩单[[#This Row],[数学]]="","",SUMPRODUCT((表成绩单[考试日期]=表成绩单[[#This Row],[考试日期]])*(表成绩单[数学]&lt;9E+307)*(表成绩单[数学]&gt;表成绩单[[#This Row],[数学]]))+1)</f>
        <v>608</v>
      </c>
      <c r="R1399" s="29" cm="1">
        <f t="array" ref="R1399">IF(表成绩单[[#This Row],[英语]]="","",SUMPRODUCT((表成绩单[考试日期]=表成绩单[[#This Row],[考试日期]])*(表成绩单[英语]&lt;9E+307)*(表成绩单[英语]&gt;表成绩单[[#This Row],[英语]]))+1)</f>
        <v>636</v>
      </c>
      <c r="S1399" s="29" cm="1">
        <f t="array" ref="S1399">IF(表成绩单[[#This Row],[物理]]="","",SUMPRODUCT((表成绩单[考试日期]=表成绩单[[#This Row],[考试日期]])*(表成绩单[物理]&lt;9E+307)*(表成绩单[物理]&gt;表成绩单[[#This Row],[物理]]))+1)</f>
        <v>666</v>
      </c>
      <c r="T1399" s="29" cm="1">
        <f t="array" ref="T1399">IF(表成绩单[[#This Row],[化学]]="","",SUMPRODUCT((表成绩单[考试日期]=表成绩单[[#This Row],[考试日期]])*(表成绩单[化学]&lt;9E+307)*(表成绩单[化学]&gt;表成绩单[[#This Row],[化学]]))+1)</f>
        <v>457</v>
      </c>
      <c r="U1399" s="29" cm="1">
        <f t="array" ref="U1399">IF(表成绩单[[#This Row],[政治]]="","",SUMPRODUCT((表成绩单[考试日期]=表成绩单[[#This Row],[考试日期]])*(表成绩单[政治]&lt;9E+307)*(表成绩单[政治]&gt;表成绩单[[#This Row],[政治]]))+1)</f>
        <v>454</v>
      </c>
      <c r="V1399" s="29" cm="1">
        <f t="array" ref="V1399">IF(表成绩单[[#This Row],[历史]]="","",SUMPRODUCT((表成绩单[考试日期]=表成绩单[[#This Row],[考试日期]])*(表成绩单[历史]&lt;9E+307)*(表成绩单[历史]&gt;表成绩单[[#This Row],[历史]]))+1)</f>
        <v>549</v>
      </c>
      <c r="W1399" s="29" cm="1">
        <f t="array" ref="W1399">IF(表成绩单[[#This Row],[总分]]="","",SUMPRODUCT((表成绩单[考试日期]=表成绩单[[#This Row],[考试日期]])*(表成绩单[总分]&lt;9E+307)*(表成绩单[总分]&gt;表成绩单[[#This Row],[总分]]))+1)</f>
        <v>593</v>
      </c>
    </row>
    <row r="1400" ht="28" customHeight="1" spans="4:23">
      <c r="D1400" s="31">
        <v>46003</v>
      </c>
      <c r="E1400" s="29">
        <v>19177603</v>
      </c>
      <c r="F1400" s="29" t="s">
        <v>58</v>
      </c>
      <c r="G1400" s="29" t="s">
        <v>714</v>
      </c>
      <c r="H1400" s="29">
        <v>83</v>
      </c>
      <c r="I1400" s="29">
        <v>54</v>
      </c>
      <c r="J1400" s="29">
        <v>62.5</v>
      </c>
      <c r="K1400" s="29">
        <v>71</v>
      </c>
      <c r="L1400" s="29">
        <v>58</v>
      </c>
      <c r="M1400" s="29">
        <v>43</v>
      </c>
      <c r="N1400" s="29">
        <v>55</v>
      </c>
      <c r="O1400" s="32">
        <v>426.5</v>
      </c>
      <c r="P1400" s="29" cm="1">
        <f t="array" ref="P1400">IF(表成绩单[[#This Row],[语文]]="","",SUMPRODUCT((表成绩单[考试日期]=表成绩单[[#This Row],[考试日期]])*(表成绩单[语文]&lt;9E+307)*(表成绩单[语文]&gt;表成绩单[[#This Row],[语文]]))+1)</f>
        <v>651</v>
      </c>
      <c r="Q1400" s="29" cm="1">
        <f t="array" ref="Q1400">IF(表成绩单[[#This Row],[数学]]="","",SUMPRODUCT((表成绩单[考试日期]=表成绩单[[#This Row],[考试日期]])*(表成绩单[数学]&lt;9E+307)*(表成绩单[数学]&gt;表成绩单[[#This Row],[数学]]))+1)</f>
        <v>562</v>
      </c>
      <c r="R1400" s="29" cm="1">
        <f t="array" ref="R1400">IF(表成绩单[[#This Row],[英语]]="","",SUMPRODUCT((表成绩单[考试日期]=表成绩单[[#This Row],[考试日期]])*(表成绩单[英语]&lt;9E+307)*(表成绩单[英语]&gt;表成绩单[[#This Row],[英语]]))+1)</f>
        <v>504</v>
      </c>
      <c r="S1400" s="29" cm="1">
        <f t="array" ref="S1400">IF(表成绩单[[#This Row],[物理]]="","",SUMPRODUCT((表成绩单[考试日期]=表成绩单[[#This Row],[考试日期]])*(表成绩单[物理]&lt;9E+307)*(表成绩单[物理]&gt;表成绩单[[#This Row],[物理]]))+1)</f>
        <v>507</v>
      </c>
      <c r="T1400" s="29" cm="1">
        <f t="array" ref="T1400">IF(表成绩单[[#This Row],[化学]]="","",SUMPRODUCT((表成绩单[考试日期]=表成绩单[[#This Row],[考试日期]])*(表成绩单[化学]&lt;9E+307)*(表成绩单[化学]&gt;表成绩单[[#This Row],[化学]]))+1)</f>
        <v>597</v>
      </c>
      <c r="U1400" s="29" cm="1">
        <f t="array" ref="U1400">IF(表成绩单[[#This Row],[政治]]="","",SUMPRODUCT((表成绩单[考试日期]=表成绩单[[#This Row],[考试日期]])*(表成绩单[政治]&lt;9E+307)*(表成绩单[政治]&gt;表成绩单[[#This Row],[政治]]))+1)</f>
        <v>660</v>
      </c>
      <c r="V1400" s="29" cm="1">
        <f t="array" ref="V1400">IF(表成绩单[[#This Row],[历史]]="","",SUMPRODUCT((表成绩单[考试日期]=表成绩单[[#This Row],[考试日期]])*(表成绩单[历史]&lt;9E+307)*(表成绩单[历史]&gt;表成绩单[[#This Row],[历史]]))+1)</f>
        <v>670</v>
      </c>
      <c r="W1400" s="29" cm="1">
        <f t="array" ref="W1400">IF(表成绩单[[#This Row],[总分]]="","",SUMPRODUCT((表成绩单[考试日期]=表成绩单[[#This Row],[考试日期]])*(表成绩单[总分]&lt;9E+307)*(表成绩单[总分]&gt;表成绩单[[#This Row],[总分]]))+1)</f>
        <v>595</v>
      </c>
    </row>
    <row r="1401" ht="28" customHeight="1" spans="4:23">
      <c r="D1401" s="31">
        <v>46003</v>
      </c>
      <c r="E1401" s="29">
        <v>24028994</v>
      </c>
      <c r="F1401" s="29" t="s">
        <v>59</v>
      </c>
      <c r="G1401" s="29" t="s">
        <v>702</v>
      </c>
      <c r="H1401" s="29">
        <v>84</v>
      </c>
      <c r="I1401" s="29">
        <v>44</v>
      </c>
      <c r="J1401" s="29">
        <v>72</v>
      </c>
      <c r="K1401" s="29">
        <v>60</v>
      </c>
      <c r="L1401" s="29">
        <v>56</v>
      </c>
      <c r="M1401" s="29">
        <v>50</v>
      </c>
      <c r="N1401" s="29">
        <v>60</v>
      </c>
      <c r="O1401" s="32">
        <v>426</v>
      </c>
      <c r="P1401" s="29" cm="1">
        <f t="array" ref="P1401">IF(表成绩单[[#This Row],[语文]]="","",SUMPRODUCT((表成绩单[考试日期]=表成绩单[[#This Row],[考试日期]])*(表成绩单[语文]&lt;9E+307)*(表成绩单[语文]&gt;表成绩单[[#This Row],[语文]]))+1)</f>
        <v>642</v>
      </c>
      <c r="Q1401" s="29" cm="1">
        <f t="array" ref="Q1401">IF(表成绩单[[#This Row],[数学]]="","",SUMPRODUCT((表成绩单[考试日期]=表成绩单[[#This Row],[考试日期]])*(表成绩单[数学]&lt;9E+307)*(表成绩单[数学]&gt;表成绩单[[#This Row],[数学]]))+1)</f>
        <v>611</v>
      </c>
      <c r="R1401" s="29" cm="1">
        <f t="array" ref="R1401">IF(表成绩单[[#This Row],[英语]]="","",SUMPRODUCT((表成绩单[考试日期]=表成绩单[[#This Row],[考试日期]])*(表成绩单[英语]&lt;9E+307)*(表成绩单[英语]&gt;表成绩单[[#This Row],[英语]]))+1)</f>
        <v>386</v>
      </c>
      <c r="S1401" s="29" cm="1">
        <f t="array" ref="S1401">IF(表成绩单[[#This Row],[物理]]="","",SUMPRODUCT((表成绩单[考试日期]=表成绩单[[#This Row],[考试日期]])*(表成绩单[物理]&lt;9E+307)*(表成绩单[物理]&gt;表成绩单[[#This Row],[物理]]))+1)</f>
        <v>585</v>
      </c>
      <c r="T1401" s="29" cm="1">
        <f t="array" ref="T1401">IF(表成绩单[[#This Row],[化学]]="","",SUMPRODUCT((表成绩单[考试日期]=表成绩单[[#This Row],[考试日期]])*(表成绩单[化学]&lt;9E+307)*(表成绩单[化学]&gt;表成绩单[[#This Row],[化学]]))+1)</f>
        <v>617</v>
      </c>
      <c r="U1401" s="29" cm="1">
        <f t="array" ref="U1401">IF(表成绩单[[#This Row],[政治]]="","",SUMPRODUCT((表成绩单[考试日期]=表成绩单[[#This Row],[考试日期]])*(表成绩单[政治]&lt;9E+307)*(表成绩单[政治]&gt;表成绩单[[#This Row],[政治]]))+1)</f>
        <v>587</v>
      </c>
      <c r="V1401" s="29" cm="1">
        <f t="array" ref="V1401">IF(表成绩单[[#This Row],[历史]]="","",SUMPRODUCT((表成绩单[考试日期]=表成绩单[[#This Row],[考试日期]])*(表成绩单[历史]&lt;9E+307)*(表成绩单[历史]&gt;表成绩单[[#This Row],[历史]]))+1)</f>
        <v>633</v>
      </c>
      <c r="W1401" s="29" cm="1">
        <f t="array" ref="W1401">IF(表成绩单[[#This Row],[总分]]="","",SUMPRODUCT((表成绩单[考试日期]=表成绩单[[#This Row],[考试日期]])*(表成绩单[总分]&lt;9E+307)*(表成绩单[总分]&gt;表成绩单[[#This Row],[总分]]))+1)</f>
        <v>596</v>
      </c>
    </row>
    <row r="1402" ht="28" customHeight="1" spans="4:23">
      <c r="D1402" s="31">
        <v>46003</v>
      </c>
      <c r="E1402" s="29">
        <v>19175329</v>
      </c>
      <c r="F1402" s="29" t="s">
        <v>55</v>
      </c>
      <c r="G1402" s="29" t="s">
        <v>786</v>
      </c>
      <c r="H1402" s="29">
        <v>91</v>
      </c>
      <c r="I1402" s="29">
        <v>44</v>
      </c>
      <c r="J1402" s="29">
        <v>37</v>
      </c>
      <c r="K1402" s="29">
        <v>67</v>
      </c>
      <c r="L1402" s="29">
        <v>69</v>
      </c>
      <c r="M1402" s="29">
        <v>50</v>
      </c>
      <c r="N1402" s="29">
        <v>66</v>
      </c>
      <c r="O1402" s="32">
        <v>424</v>
      </c>
      <c r="P1402" s="29" cm="1">
        <f t="array" ref="P1402">IF(表成绩单[[#This Row],[语文]]="","",SUMPRODUCT((表成绩单[考试日期]=表成绩单[[#This Row],[考试日期]])*(表成绩单[语文]&lt;9E+307)*(表成绩单[语文]&gt;表成绩单[[#This Row],[语文]]))+1)</f>
        <v>580</v>
      </c>
      <c r="Q1402" s="29" cm="1">
        <f t="array" ref="Q1402">IF(表成绩单[[#This Row],[数学]]="","",SUMPRODUCT((表成绩单[考试日期]=表成绩单[[#This Row],[考试日期]])*(表成绩单[数学]&lt;9E+307)*(表成绩单[数学]&gt;表成绩单[[#This Row],[数学]]))+1)</f>
        <v>611</v>
      </c>
      <c r="R1402" s="29" cm="1">
        <f t="array" ref="R1402">IF(表成绩单[[#This Row],[英语]]="","",SUMPRODUCT((表成绩单[考试日期]=表成绩单[[#This Row],[考试日期]])*(表成绩单[英语]&lt;9E+307)*(表成绩单[英语]&gt;表成绩单[[#This Row],[英语]]))+1)</f>
        <v>662</v>
      </c>
      <c r="S1402" s="29" cm="1">
        <f t="array" ref="S1402">IF(表成绩单[[#This Row],[物理]]="","",SUMPRODUCT((表成绩单[考试日期]=表成绩单[[#This Row],[考试日期]])*(表成绩单[物理]&lt;9E+307)*(表成绩单[物理]&gt;表成绩单[[#This Row],[物理]]))+1)</f>
        <v>549</v>
      </c>
      <c r="T1402" s="29" cm="1">
        <f t="array" ref="T1402">IF(表成绩单[[#This Row],[化学]]="","",SUMPRODUCT((表成绩单[考试日期]=表成绩单[[#This Row],[考试日期]])*(表成绩单[化学]&lt;9E+307)*(表成绩单[化学]&gt;表成绩单[[#This Row],[化学]]))+1)</f>
        <v>509</v>
      </c>
      <c r="U1402" s="29" cm="1">
        <f t="array" ref="U1402">IF(表成绩单[[#This Row],[政治]]="","",SUMPRODUCT((表成绩单[考试日期]=表成绩单[[#This Row],[考试日期]])*(表成绩单[政治]&lt;9E+307)*(表成绩单[政治]&gt;表成绩单[[#This Row],[政治]]))+1)</f>
        <v>587</v>
      </c>
      <c r="V1402" s="29" cm="1">
        <f t="array" ref="V1402">IF(表成绩单[[#This Row],[历史]]="","",SUMPRODUCT((表成绩单[考试日期]=表成绩单[[#This Row],[考试日期]])*(表成绩单[历史]&lt;9E+307)*(表成绩单[历史]&gt;表成绩单[[#This Row],[历史]]))+1)</f>
        <v>571</v>
      </c>
      <c r="W1402" s="29" cm="1">
        <f t="array" ref="W1402">IF(表成绩单[[#This Row],[总分]]="","",SUMPRODUCT((表成绩单[考试日期]=表成绩单[[#This Row],[考试日期]])*(表成绩单[总分]&lt;9E+307)*(表成绩单[总分]&gt;表成绩单[[#This Row],[总分]]))+1)</f>
        <v>597</v>
      </c>
    </row>
    <row r="1403" ht="28" customHeight="1" spans="4:23">
      <c r="D1403" s="31">
        <v>46003</v>
      </c>
      <c r="E1403" s="29">
        <v>19176861</v>
      </c>
      <c r="F1403" s="29" t="s">
        <v>71</v>
      </c>
      <c r="G1403" s="29" t="s">
        <v>716</v>
      </c>
      <c r="H1403" s="29">
        <v>96</v>
      </c>
      <c r="I1403" s="29">
        <v>50</v>
      </c>
      <c r="J1403" s="29">
        <v>69</v>
      </c>
      <c r="K1403" s="29">
        <v>48</v>
      </c>
      <c r="L1403" s="29">
        <v>42</v>
      </c>
      <c r="M1403" s="29">
        <v>57</v>
      </c>
      <c r="N1403" s="29">
        <v>62</v>
      </c>
      <c r="O1403" s="32">
        <v>424</v>
      </c>
      <c r="P1403" s="29" cm="1">
        <f t="array" ref="P1403">IF(表成绩单[[#This Row],[语文]]="","",SUMPRODUCT((表成绩单[考试日期]=表成绩单[[#This Row],[考试日期]])*(表成绩单[语文]&lt;9E+307)*(表成绩单[语文]&gt;表成绩单[[#This Row],[语文]]))+1)</f>
        <v>509</v>
      </c>
      <c r="Q1403" s="29" cm="1">
        <f t="array" ref="Q1403">IF(表成绩单[[#This Row],[数学]]="","",SUMPRODUCT((表成绩单[考试日期]=表成绩单[[#This Row],[考试日期]])*(表成绩单[数学]&lt;9E+307)*(表成绩单[数学]&gt;表成绩单[[#This Row],[数学]]))+1)</f>
        <v>578</v>
      </c>
      <c r="R1403" s="29" cm="1">
        <f t="array" ref="R1403">IF(表成绩单[[#This Row],[英语]]="","",SUMPRODUCT((表成绩单[考试日期]=表成绩单[[#This Row],[考试日期]])*(表成绩单[英语]&lt;9E+307)*(表成绩单[英语]&gt;表成绩单[[#This Row],[英语]]))+1)</f>
        <v>434</v>
      </c>
      <c r="S1403" s="29" cm="1">
        <f t="array" ref="S1403">IF(表成绩单[[#This Row],[物理]]="","",SUMPRODUCT((表成绩单[考试日期]=表成绩单[[#This Row],[考试日期]])*(表成绩单[物理]&lt;9E+307)*(表成绩单[物理]&gt;表成绩单[[#This Row],[物理]]))+1)</f>
        <v>643</v>
      </c>
      <c r="T1403" s="29" cm="1">
        <f t="array" ref="T1403">IF(表成绩单[[#This Row],[化学]]="","",SUMPRODUCT((表成绩单[考试日期]=表成绩单[[#This Row],[考试日期]])*(表成绩单[化学]&lt;9E+307)*(表成绩单[化学]&gt;表成绩单[[#This Row],[化学]]))+1)</f>
        <v>698</v>
      </c>
      <c r="U1403" s="29" cm="1">
        <f t="array" ref="U1403">IF(表成绩单[[#This Row],[政治]]="","",SUMPRODUCT((表成绩单[考试日期]=表成绩单[[#This Row],[考试日期]])*(表成绩单[政治]&lt;9E+307)*(表成绩单[政治]&gt;表成绩单[[#This Row],[政治]]))+1)</f>
        <v>474</v>
      </c>
      <c r="V1403" s="29" cm="1">
        <f t="array" ref="V1403">IF(表成绩单[[#This Row],[历史]]="","",SUMPRODUCT((表成绩单[考试日期]=表成绩单[[#This Row],[考试日期]])*(表成绩单[历史]&lt;9E+307)*(表成绩单[历史]&gt;表成绩单[[#This Row],[历史]]))+1)</f>
        <v>618</v>
      </c>
      <c r="W1403" s="29" cm="1">
        <f t="array" ref="W1403">IF(表成绩单[[#This Row],[总分]]="","",SUMPRODUCT((表成绩单[考试日期]=表成绩单[[#This Row],[考试日期]])*(表成绩单[总分]&lt;9E+307)*(表成绩单[总分]&gt;表成绩单[[#This Row],[总分]]))+1)</f>
        <v>597</v>
      </c>
    </row>
    <row r="1404" ht="28" customHeight="1" spans="4:23">
      <c r="D1404" s="31">
        <v>46003</v>
      </c>
      <c r="E1404" s="29">
        <v>19178622</v>
      </c>
      <c r="F1404" s="29" t="s">
        <v>25</v>
      </c>
      <c r="G1404" s="29" t="s">
        <v>651</v>
      </c>
      <c r="H1404" s="29">
        <v>93</v>
      </c>
      <c r="I1404" s="29">
        <v>44</v>
      </c>
      <c r="J1404" s="29">
        <v>58.5</v>
      </c>
      <c r="K1404" s="29">
        <v>53</v>
      </c>
      <c r="L1404" s="29">
        <v>61</v>
      </c>
      <c r="M1404" s="29">
        <v>47</v>
      </c>
      <c r="N1404" s="29">
        <v>67</v>
      </c>
      <c r="O1404" s="32">
        <v>423.5</v>
      </c>
      <c r="P1404" s="29" cm="1">
        <f t="array" ref="P1404">IF(表成绩单[[#This Row],[语文]]="","",SUMPRODUCT((表成绩单[考试日期]=表成绩单[[#This Row],[考试日期]])*(表成绩单[语文]&lt;9E+307)*(表成绩单[语文]&gt;表成绩单[[#This Row],[语文]]))+1)</f>
        <v>555</v>
      </c>
      <c r="Q1404" s="29" cm="1">
        <f t="array" ref="Q1404">IF(表成绩单[[#This Row],[数学]]="","",SUMPRODUCT((表成绩单[考试日期]=表成绩单[[#This Row],[考试日期]])*(表成绩单[数学]&lt;9E+307)*(表成绩单[数学]&gt;表成绩单[[#This Row],[数学]]))+1)</f>
        <v>611</v>
      </c>
      <c r="R1404" s="29" cm="1">
        <f t="array" ref="R1404">IF(表成绩单[[#This Row],[英语]]="","",SUMPRODUCT((表成绩单[考试日期]=表成绩单[[#This Row],[考试日期]])*(表成绩单[英语]&lt;9E+307)*(表成绩单[英语]&gt;表成绩单[[#This Row],[英语]]))+1)</f>
        <v>538</v>
      </c>
      <c r="S1404" s="29" cm="1">
        <f t="array" ref="S1404">IF(表成绩单[[#This Row],[物理]]="","",SUMPRODUCT((表成绩单[考试日期]=表成绩单[[#This Row],[考试日期]])*(表成绩单[物理]&lt;9E+307)*(表成绩单[物理]&gt;表成绩单[[#This Row],[物理]]))+1)</f>
        <v>616</v>
      </c>
      <c r="T1404" s="29" cm="1">
        <f t="array" ref="T1404">IF(表成绩单[[#This Row],[化学]]="","",SUMPRODUCT((表成绩单[考试日期]=表成绩单[[#This Row],[考试日期]])*(表成绩单[化学]&lt;9E+307)*(表成绩单[化学]&gt;表成绩单[[#This Row],[化学]]))+1)</f>
        <v>572</v>
      </c>
      <c r="U1404" s="29" cm="1">
        <f t="array" ref="U1404">IF(表成绩单[[#This Row],[政治]]="","",SUMPRODUCT((表成绩单[考试日期]=表成绩单[[#This Row],[考试日期]])*(表成绩单[政治]&lt;9E+307)*(表成绩单[政治]&gt;表成绩单[[#This Row],[政治]]))+1)</f>
        <v>619</v>
      </c>
      <c r="V1404" s="29" cm="1">
        <f t="array" ref="V1404">IF(表成绩单[[#This Row],[历史]]="","",SUMPRODUCT((表成绩单[考试日期]=表成绩单[[#This Row],[考试日期]])*(表成绩单[历史]&lt;9E+307)*(表成绩单[历史]&gt;表成绩单[[#This Row],[历史]]))+1)</f>
        <v>549</v>
      </c>
      <c r="W1404" s="29" cm="1">
        <f t="array" ref="W1404">IF(表成绩单[[#This Row],[总分]]="","",SUMPRODUCT((表成绩单[考试日期]=表成绩单[[#This Row],[考试日期]])*(表成绩单[总分]&lt;9E+307)*(表成绩单[总分]&gt;表成绩单[[#This Row],[总分]]))+1)</f>
        <v>599</v>
      </c>
    </row>
    <row r="1405" ht="28" customHeight="1" spans="4:23">
      <c r="D1405" s="31">
        <v>46003</v>
      </c>
      <c r="E1405" s="29">
        <v>19177638</v>
      </c>
      <c r="F1405" s="29" t="s">
        <v>63</v>
      </c>
      <c r="G1405" s="29" t="s">
        <v>683</v>
      </c>
      <c r="H1405" s="29">
        <v>88</v>
      </c>
      <c r="I1405" s="29">
        <v>58</v>
      </c>
      <c r="J1405" s="29">
        <v>40.5</v>
      </c>
      <c r="K1405" s="29">
        <v>62</v>
      </c>
      <c r="L1405" s="29">
        <v>61</v>
      </c>
      <c r="M1405" s="29">
        <v>47</v>
      </c>
      <c r="N1405" s="29">
        <v>65</v>
      </c>
      <c r="O1405" s="32">
        <v>421.5</v>
      </c>
      <c r="P1405" s="29" cm="1">
        <f t="array" ref="P1405">IF(表成绩单[[#This Row],[语文]]="","",SUMPRODUCT((表成绩单[考试日期]=表成绩单[[#This Row],[考试日期]])*(表成绩单[语文]&lt;9E+307)*(表成绩单[语文]&gt;表成绩单[[#This Row],[语文]]))+1)</f>
        <v>613</v>
      </c>
      <c r="Q1405" s="29" cm="1">
        <f t="array" ref="Q1405">IF(表成绩单[[#This Row],[数学]]="","",SUMPRODUCT((表成绩单[考试日期]=表成绩单[[#This Row],[考试日期]])*(表成绩单[数学]&lt;9E+307)*(表成绩单[数学]&gt;表成绩单[[#This Row],[数学]]))+1)</f>
        <v>531</v>
      </c>
      <c r="R1405" s="29" cm="1">
        <f t="array" ref="R1405">IF(表成绩单[[#This Row],[英语]]="","",SUMPRODUCT((表成绩单[考试日期]=表成绩单[[#This Row],[考试日期]])*(表成绩单[英语]&lt;9E+307)*(表成绩单[英语]&gt;表成绩单[[#This Row],[英语]]))+1)</f>
        <v>651</v>
      </c>
      <c r="S1405" s="29" cm="1">
        <f t="array" ref="S1405">IF(表成绩单[[#This Row],[物理]]="","",SUMPRODUCT((表成绩单[考试日期]=表成绩单[[#This Row],[考试日期]])*(表成绩单[物理]&lt;9E+307)*(表成绩单[物理]&gt;表成绩单[[#This Row],[物理]]))+1)</f>
        <v>575</v>
      </c>
      <c r="T1405" s="29" cm="1">
        <f t="array" ref="T1405">IF(表成绩单[[#This Row],[化学]]="","",SUMPRODUCT((表成绩单[考试日期]=表成绩单[[#This Row],[考试日期]])*(表成绩单[化学]&lt;9E+307)*(表成绩单[化学]&gt;表成绩单[[#This Row],[化学]]))+1)</f>
        <v>572</v>
      </c>
      <c r="U1405" s="29" cm="1">
        <f t="array" ref="U1405">IF(表成绩单[[#This Row],[政治]]="","",SUMPRODUCT((表成绩单[考试日期]=表成绩单[[#This Row],[考试日期]])*(表成绩单[政治]&lt;9E+307)*(表成绩单[政治]&gt;表成绩单[[#This Row],[政治]]))+1)</f>
        <v>619</v>
      </c>
      <c r="V1405" s="29" cm="1">
        <f t="array" ref="V1405">IF(表成绩单[[#This Row],[历史]]="","",SUMPRODUCT((表成绩单[考试日期]=表成绩单[[#This Row],[考试日期]])*(表成绩单[历史]&lt;9E+307)*(表成绩单[历史]&gt;表成绩单[[#This Row],[历史]]))+1)</f>
        <v>582</v>
      </c>
      <c r="W1405" s="29" cm="1">
        <f t="array" ref="W1405">IF(表成绩单[[#This Row],[总分]]="","",SUMPRODUCT((表成绩单[考试日期]=表成绩单[[#This Row],[考试日期]])*(表成绩单[总分]&lt;9E+307)*(表成绩单[总分]&gt;表成绩单[[#This Row],[总分]]))+1)</f>
        <v>600</v>
      </c>
    </row>
    <row r="1406" ht="28" customHeight="1" spans="4:23">
      <c r="D1406" s="31">
        <v>46003</v>
      </c>
      <c r="E1406" s="29">
        <v>19172651</v>
      </c>
      <c r="F1406" s="29" t="s">
        <v>60</v>
      </c>
      <c r="G1406" s="29" t="s">
        <v>749</v>
      </c>
      <c r="H1406" s="29">
        <v>84</v>
      </c>
      <c r="I1406" s="29">
        <v>73</v>
      </c>
      <c r="J1406" s="29">
        <v>37</v>
      </c>
      <c r="K1406" s="29">
        <v>58</v>
      </c>
      <c r="L1406" s="29">
        <v>43</v>
      </c>
      <c r="M1406" s="29">
        <v>53</v>
      </c>
      <c r="N1406" s="29">
        <v>71</v>
      </c>
      <c r="O1406" s="32">
        <v>419</v>
      </c>
      <c r="P1406" s="29" cm="1">
        <f t="array" ref="P1406">IF(表成绩单[[#This Row],[语文]]="","",SUMPRODUCT((表成绩单[考试日期]=表成绩单[[#This Row],[考试日期]])*(表成绩单[语文]&lt;9E+307)*(表成绩单[语文]&gt;表成绩单[[#This Row],[语文]]))+1)</f>
        <v>642</v>
      </c>
      <c r="Q1406" s="29" cm="1">
        <f t="array" ref="Q1406">IF(表成绩单[[#This Row],[数学]]="","",SUMPRODUCT((表成绩单[考试日期]=表成绩单[[#This Row],[考试日期]])*(表成绩单[数学]&lt;9E+307)*(表成绩单[数学]&gt;表成绩单[[#This Row],[数学]]))+1)</f>
        <v>386</v>
      </c>
      <c r="R1406" s="29" cm="1">
        <f t="array" ref="R1406">IF(表成绩单[[#This Row],[英语]]="","",SUMPRODUCT((表成绩单[考试日期]=表成绩单[[#This Row],[考试日期]])*(表成绩单[英语]&lt;9E+307)*(表成绩单[英语]&gt;表成绩单[[#This Row],[英语]]))+1)</f>
        <v>662</v>
      </c>
      <c r="S1406" s="29" cm="1">
        <f t="array" ref="S1406">IF(表成绩单[[#This Row],[物理]]="","",SUMPRODUCT((表成绩单[考试日期]=表成绩单[[#This Row],[考试日期]])*(表成绩单[物理]&lt;9E+307)*(表成绩单[物理]&gt;表成绩单[[#This Row],[物理]]))+1)</f>
        <v>600</v>
      </c>
      <c r="T1406" s="29" cm="1">
        <f t="array" ref="T1406">IF(表成绩单[[#This Row],[化学]]="","",SUMPRODUCT((表成绩单[考试日期]=表成绩单[[#This Row],[考试日期]])*(表成绩单[化学]&lt;9E+307)*(表成绩单[化学]&gt;表成绩单[[#This Row],[化学]]))+1)</f>
        <v>691</v>
      </c>
      <c r="U1406" s="29" cm="1">
        <f t="array" ref="U1406">IF(表成绩单[[#This Row],[政治]]="","",SUMPRODUCT((表成绩单[考试日期]=表成绩单[[#This Row],[考试日期]])*(表成绩单[政治]&lt;9E+307)*(表成绩单[政治]&gt;表成绩单[[#This Row],[政治]]))+1)</f>
        <v>547</v>
      </c>
      <c r="V1406" s="29" cm="1">
        <f t="array" ref="V1406">IF(表成绩单[[#This Row],[历史]]="","",SUMPRODUCT((表成绩单[考试日期]=表成绩单[[#This Row],[考试日期]])*(表成绩单[历史]&lt;9E+307)*(表成绩单[历史]&gt;表成绩单[[#This Row],[历史]]))+1)</f>
        <v>471</v>
      </c>
      <c r="W1406" s="29" cm="1">
        <f t="array" ref="W1406">IF(表成绩单[[#This Row],[总分]]="","",SUMPRODUCT((表成绩单[考试日期]=表成绩单[[#This Row],[考试日期]])*(表成绩单[总分]&lt;9E+307)*(表成绩单[总分]&gt;表成绩单[[#This Row],[总分]]))+1)</f>
        <v>601</v>
      </c>
    </row>
    <row r="1407" ht="28" customHeight="1" spans="4:23">
      <c r="D1407" s="31">
        <v>46003</v>
      </c>
      <c r="E1407" s="29">
        <v>19178579</v>
      </c>
      <c r="F1407" s="29" t="s">
        <v>64</v>
      </c>
      <c r="G1407" s="29" t="s">
        <v>762</v>
      </c>
      <c r="H1407" s="29">
        <v>103</v>
      </c>
      <c r="I1407" s="29">
        <v>37</v>
      </c>
      <c r="J1407" s="29">
        <v>47</v>
      </c>
      <c r="K1407" s="29">
        <v>53</v>
      </c>
      <c r="L1407" s="29">
        <v>50</v>
      </c>
      <c r="M1407" s="29">
        <v>64</v>
      </c>
      <c r="N1407" s="29">
        <v>62</v>
      </c>
      <c r="O1407" s="32">
        <v>416</v>
      </c>
      <c r="P1407" s="29" cm="1">
        <f t="array" ref="P1407">IF(表成绩单[[#This Row],[语文]]="","",SUMPRODUCT((表成绩单[考试日期]=表成绩单[[#This Row],[考试日期]])*(表成绩单[语文]&lt;9E+307)*(表成绩单[语文]&gt;表成绩单[[#This Row],[语文]]))+1)</f>
        <v>333</v>
      </c>
      <c r="Q1407" s="29" cm="1">
        <f t="array" ref="Q1407">IF(表成绩单[[#This Row],[数学]]="","",SUMPRODUCT((表成绩单[考试日期]=表成绩单[[#This Row],[考试日期]])*(表成绩单[数学]&lt;9E+307)*(表成绩单[数学]&gt;表成绩单[[#This Row],[数学]]))+1)</f>
        <v>647</v>
      </c>
      <c r="R1407" s="29" cm="1">
        <f t="array" ref="R1407">IF(表成绩单[[#This Row],[英语]]="","",SUMPRODUCT((表成绩单[考试日期]=表成绩单[[#This Row],[考试日期]])*(表成绩单[英语]&lt;9E+307)*(表成绩单[英语]&gt;表成绩单[[#This Row],[英语]]))+1)</f>
        <v>618</v>
      </c>
      <c r="S1407" s="29" cm="1">
        <f t="array" ref="S1407">IF(表成绩单[[#This Row],[物理]]="","",SUMPRODUCT((表成绩单[考试日期]=表成绩单[[#This Row],[考试日期]])*(表成绩单[物理]&lt;9E+307)*(表成绩单[物理]&gt;表成绩单[[#This Row],[物理]]))+1)</f>
        <v>616</v>
      </c>
      <c r="T1407" s="29" cm="1">
        <f t="array" ref="T1407">IF(表成绩单[[#This Row],[化学]]="","",SUMPRODUCT((表成绩单[考试日期]=表成绩单[[#This Row],[考试日期]])*(表成绩单[化学]&lt;9E+307)*(表成绩单[化学]&gt;表成绩单[[#This Row],[化学]]))+1)</f>
        <v>649</v>
      </c>
      <c r="U1407" s="29" cm="1">
        <f t="array" ref="U1407">IF(表成绩单[[#This Row],[政治]]="","",SUMPRODUCT((表成绩单[考试日期]=表成绩单[[#This Row],[考试日期]])*(表成绩单[政治]&lt;9E+307)*(表成绩单[政治]&gt;表成绩单[[#This Row],[政治]]))+1)</f>
        <v>337</v>
      </c>
      <c r="V1407" s="29" cm="1">
        <f t="array" ref="V1407">IF(表成绩单[[#This Row],[历史]]="","",SUMPRODUCT((表成绩单[考试日期]=表成绩单[[#This Row],[考试日期]])*(表成绩单[历史]&lt;9E+307)*(表成绩单[历史]&gt;表成绩单[[#This Row],[历史]]))+1)</f>
        <v>618</v>
      </c>
      <c r="W1407" s="29" cm="1">
        <f t="array" ref="W1407">IF(表成绩单[[#This Row],[总分]]="","",SUMPRODUCT((表成绩单[考试日期]=表成绩单[[#This Row],[考试日期]])*(表成绩单[总分]&lt;9E+307)*(表成绩单[总分]&gt;表成绩单[[#This Row],[总分]]))+1)</f>
        <v>602</v>
      </c>
    </row>
    <row r="1408" ht="28" customHeight="1" spans="4:23">
      <c r="D1408" s="31">
        <v>46003</v>
      </c>
      <c r="E1408" s="29">
        <v>19172627</v>
      </c>
      <c r="F1408" s="29" t="s">
        <v>60</v>
      </c>
      <c r="G1408" s="29" t="s">
        <v>758</v>
      </c>
      <c r="H1408" s="29">
        <v>80</v>
      </c>
      <c r="I1408" s="29">
        <v>57</v>
      </c>
      <c r="J1408" s="29">
        <v>33.5</v>
      </c>
      <c r="K1408" s="29">
        <v>70</v>
      </c>
      <c r="L1408" s="29">
        <v>47</v>
      </c>
      <c r="M1408" s="29">
        <v>50</v>
      </c>
      <c r="N1408" s="29">
        <v>77</v>
      </c>
      <c r="O1408" s="32">
        <v>414.5</v>
      </c>
      <c r="P1408" s="29" cm="1">
        <f t="array" ref="P1408">IF(表成绩单[[#This Row],[语文]]="","",SUMPRODUCT((表成绩单[考试日期]=表成绩单[[#This Row],[考试日期]])*(表成绩单[语文]&lt;9E+307)*(表成绩单[语文]&gt;表成绩单[[#This Row],[语文]]))+1)</f>
        <v>670</v>
      </c>
      <c r="Q1408" s="29" cm="1">
        <f t="array" ref="Q1408">IF(表成绩单[[#This Row],[数学]]="","",SUMPRODUCT((表成绩单[考试日期]=表成绩单[[#This Row],[考试日期]])*(表成绩单[数学]&lt;9E+307)*(表成绩单[数学]&gt;表成绩单[[#This Row],[数学]]))+1)</f>
        <v>539</v>
      </c>
      <c r="R1408" s="29" cm="1">
        <f t="array" ref="R1408">IF(表成绩单[[#This Row],[英语]]="","",SUMPRODUCT((表成绩单[考试日期]=表成绩单[[#This Row],[考试日期]])*(表成绩单[英语]&lt;9E+307)*(表成绩单[英语]&gt;表成绩单[[#This Row],[英语]]))+1)</f>
        <v>675</v>
      </c>
      <c r="S1408" s="29" cm="1">
        <f t="array" ref="S1408">IF(表成绩单[[#This Row],[物理]]="","",SUMPRODUCT((表成绩单[考试日期]=表成绩单[[#This Row],[考试日期]])*(表成绩单[物理]&lt;9E+307)*(表成绩单[物理]&gt;表成绩单[[#This Row],[物理]]))+1)</f>
        <v>522</v>
      </c>
      <c r="T1408" s="29" cm="1">
        <f t="array" ref="T1408">IF(表成绩单[[#This Row],[化学]]="","",SUMPRODUCT((表成绩单[考试日期]=表成绩单[[#This Row],[考试日期]])*(表成绩单[化学]&lt;9E+307)*(表成绩单[化学]&gt;表成绩单[[#This Row],[化学]]))+1)</f>
        <v>672</v>
      </c>
      <c r="U1408" s="29" cm="1">
        <f t="array" ref="U1408">IF(表成绩单[[#This Row],[政治]]="","",SUMPRODUCT((表成绩单[考试日期]=表成绩单[[#This Row],[考试日期]])*(表成绩单[政治]&lt;9E+307)*(表成绩单[政治]&gt;表成绩单[[#This Row],[政治]]))+1)</f>
        <v>587</v>
      </c>
      <c r="V1408" s="29" cm="1">
        <f t="array" ref="V1408">IF(表成绩单[[#This Row],[历史]]="","",SUMPRODUCT((表成绩单[考试日期]=表成绩单[[#This Row],[考试日期]])*(表成绩单[历史]&lt;9E+307)*(表成绩单[历史]&gt;表成绩单[[#This Row],[历史]]))+1)</f>
        <v>235</v>
      </c>
      <c r="W1408" s="29" cm="1">
        <f t="array" ref="W1408">IF(表成绩单[[#This Row],[总分]]="","",SUMPRODUCT((表成绩单[考试日期]=表成绩单[[#This Row],[考试日期]])*(表成绩单[总分]&lt;9E+307)*(表成绩单[总分]&gt;表成绩单[[#This Row],[总分]]))+1)</f>
        <v>603</v>
      </c>
    </row>
    <row r="1409" ht="28" customHeight="1" spans="4:23">
      <c r="D1409" s="31">
        <v>46003</v>
      </c>
      <c r="E1409" s="29">
        <v>19172664</v>
      </c>
      <c r="F1409" s="29" t="s">
        <v>60</v>
      </c>
      <c r="G1409" s="29" t="s">
        <v>755</v>
      </c>
      <c r="H1409" s="29">
        <v>90</v>
      </c>
      <c r="I1409" s="29">
        <v>44</v>
      </c>
      <c r="J1409" s="29">
        <v>64</v>
      </c>
      <c r="K1409" s="29">
        <v>53</v>
      </c>
      <c r="L1409" s="29">
        <v>43</v>
      </c>
      <c r="M1409" s="29">
        <v>55</v>
      </c>
      <c r="N1409" s="29">
        <v>65</v>
      </c>
      <c r="O1409" s="32">
        <v>414</v>
      </c>
      <c r="P1409" s="29" cm="1">
        <f t="array" ref="P1409">IF(表成绩单[[#This Row],[语文]]="","",SUMPRODUCT((表成绩单[考试日期]=表成绩单[[#This Row],[考试日期]])*(表成绩单[语文]&lt;9E+307)*(表成绩单[语文]&gt;表成绩单[[#This Row],[语文]]))+1)</f>
        <v>589</v>
      </c>
      <c r="Q1409" s="29" cm="1">
        <f t="array" ref="Q1409">IF(表成绩单[[#This Row],[数学]]="","",SUMPRODUCT((表成绩单[考试日期]=表成绩单[[#This Row],[考试日期]])*(表成绩单[数学]&lt;9E+307)*(表成绩单[数学]&gt;表成绩单[[#This Row],[数学]]))+1)</f>
        <v>611</v>
      </c>
      <c r="R1409" s="29" cm="1">
        <f t="array" ref="R1409">IF(表成绩单[[#This Row],[英语]]="","",SUMPRODUCT((表成绩单[考试日期]=表成绩单[[#This Row],[考试日期]])*(表成绩单[英语]&lt;9E+307)*(表成绩单[英语]&gt;表成绩单[[#This Row],[英语]]))+1)</f>
        <v>489</v>
      </c>
      <c r="S1409" s="29" cm="1">
        <f t="array" ref="S1409">IF(表成绩单[[#This Row],[物理]]="","",SUMPRODUCT((表成绩单[考试日期]=表成绩单[[#This Row],[考试日期]])*(表成绩单[物理]&lt;9E+307)*(表成绩单[物理]&gt;表成绩单[[#This Row],[物理]]))+1)</f>
        <v>616</v>
      </c>
      <c r="T1409" s="29" cm="1">
        <f t="array" ref="T1409">IF(表成绩单[[#This Row],[化学]]="","",SUMPRODUCT((表成绩单[考试日期]=表成绩单[[#This Row],[考试日期]])*(表成绩单[化学]&lt;9E+307)*(表成绩单[化学]&gt;表成绩单[[#This Row],[化学]]))+1)</f>
        <v>691</v>
      </c>
      <c r="U1409" s="29" cm="1">
        <f t="array" ref="U1409">IF(表成绩单[[#This Row],[政治]]="","",SUMPRODUCT((表成绩单[考试日期]=表成绩单[[#This Row],[考试日期]])*(表成绩单[政治]&lt;9E+307)*(表成绩单[政治]&gt;表成绩单[[#This Row],[政治]]))+1)</f>
        <v>513</v>
      </c>
      <c r="V1409" s="29" cm="1">
        <f t="array" ref="V1409">IF(表成绩单[[#This Row],[历史]]="","",SUMPRODUCT((表成绩单[考试日期]=表成绩单[[#This Row],[考试日期]])*(表成绩单[历史]&lt;9E+307)*(表成绩单[历史]&gt;表成绩单[[#This Row],[历史]]))+1)</f>
        <v>582</v>
      </c>
      <c r="W1409" s="29" cm="1">
        <f t="array" ref="W1409">IF(表成绩单[[#This Row],[总分]]="","",SUMPRODUCT((表成绩单[考试日期]=表成绩单[[#This Row],[考试日期]])*(表成绩单[总分]&lt;9E+307)*(表成绩单[总分]&gt;表成绩单[[#This Row],[总分]]))+1)</f>
        <v>604</v>
      </c>
    </row>
    <row r="1410" ht="28" customHeight="1" spans="4:23">
      <c r="D1410" s="31">
        <v>46003</v>
      </c>
      <c r="E1410" s="29">
        <v>19177597</v>
      </c>
      <c r="F1410" s="29" t="s">
        <v>58</v>
      </c>
      <c r="G1410" s="29" t="s">
        <v>740</v>
      </c>
      <c r="H1410" s="29">
        <v>105</v>
      </c>
      <c r="I1410" s="29">
        <v>52</v>
      </c>
      <c r="J1410" s="29">
        <v>30</v>
      </c>
      <c r="K1410" s="29">
        <v>61</v>
      </c>
      <c r="L1410" s="29">
        <v>50</v>
      </c>
      <c r="M1410" s="29">
        <v>53</v>
      </c>
      <c r="N1410" s="29">
        <v>63</v>
      </c>
      <c r="O1410" s="32">
        <v>414</v>
      </c>
      <c r="P1410" s="29" cm="1">
        <f t="array" ref="P1410">IF(表成绩单[[#This Row],[语文]]="","",SUMPRODUCT((表成绩单[考试日期]=表成绩单[[#This Row],[考试日期]])*(表成绩单[语文]&lt;9E+307)*(表成绩单[语文]&gt;表成绩单[[#This Row],[语文]]))+1)</f>
        <v>247</v>
      </c>
      <c r="Q1410" s="29" cm="1">
        <f t="array" ref="Q1410">IF(表成绩单[[#This Row],[数学]]="","",SUMPRODUCT((表成绩单[考试日期]=表成绩单[[#This Row],[考试日期]])*(表成绩单[数学]&lt;9E+307)*(表成绩单[数学]&gt;表成绩单[[#This Row],[数学]]))+1)</f>
        <v>569</v>
      </c>
      <c r="R1410" s="29" cm="1">
        <f t="array" ref="R1410">IF(表成绩单[[#This Row],[英语]]="","",SUMPRODUCT((表成绩单[考试日期]=表成绩单[[#This Row],[考试日期]])*(表成绩单[英语]&lt;9E+307)*(表成绩单[英语]&gt;表成绩单[[#This Row],[英语]]))+1)</f>
        <v>691</v>
      </c>
      <c r="S1410" s="29" cm="1">
        <f t="array" ref="S1410">IF(表成绩单[[#This Row],[物理]]="","",SUMPRODUCT((表成绩单[考试日期]=表成绩单[[#This Row],[考试日期]])*(表成绩单[物理]&lt;9E+307)*(表成绩单[物理]&gt;表成绩单[[#This Row],[物理]]))+1)</f>
        <v>581</v>
      </c>
      <c r="T1410" s="29" cm="1">
        <f t="array" ref="T1410">IF(表成绩单[[#This Row],[化学]]="","",SUMPRODUCT((表成绩单[考试日期]=表成绩单[[#This Row],[考试日期]])*(表成绩单[化学]&lt;9E+307)*(表成绩单[化学]&gt;表成绩单[[#This Row],[化学]]))+1)</f>
        <v>649</v>
      </c>
      <c r="U1410" s="29" cm="1">
        <f t="array" ref="U1410">IF(表成绩单[[#This Row],[政治]]="","",SUMPRODUCT((表成绩单[考试日期]=表成绩单[[#This Row],[考试日期]])*(表成绩单[政治]&lt;9E+307)*(表成绩单[政治]&gt;表成绩单[[#This Row],[政治]]))+1)</f>
        <v>547</v>
      </c>
      <c r="V1410" s="29" cm="1">
        <f t="array" ref="V1410">IF(表成绩单[[#This Row],[历史]]="","",SUMPRODUCT((表成绩单[考试日期]=表成绩单[[#This Row],[考试日期]])*(表成绩单[历史]&lt;9E+307)*(表成绩单[历史]&gt;表成绩单[[#This Row],[历史]]))+1)</f>
        <v>608</v>
      </c>
      <c r="W1410" s="29" cm="1">
        <f t="array" ref="W1410">IF(表成绩单[[#This Row],[总分]]="","",SUMPRODUCT((表成绩单[考试日期]=表成绩单[[#This Row],[考试日期]])*(表成绩单[总分]&lt;9E+307)*(表成绩单[总分]&gt;表成绩单[[#This Row],[总分]]))+1)</f>
        <v>604</v>
      </c>
    </row>
    <row r="1411" ht="28" customHeight="1" spans="4:23">
      <c r="D1411" s="31">
        <v>46003</v>
      </c>
      <c r="E1411" s="29">
        <v>19173785</v>
      </c>
      <c r="F1411" s="29" t="s">
        <v>65</v>
      </c>
      <c r="G1411" s="29" t="s">
        <v>715</v>
      </c>
      <c r="H1411" s="29">
        <v>90</v>
      </c>
      <c r="I1411" s="29">
        <v>33</v>
      </c>
      <c r="J1411" s="29">
        <v>75</v>
      </c>
      <c r="K1411" s="29">
        <v>49</v>
      </c>
      <c r="L1411" s="29">
        <v>46</v>
      </c>
      <c r="M1411" s="29">
        <v>54</v>
      </c>
      <c r="N1411" s="29">
        <v>66</v>
      </c>
      <c r="O1411" s="32">
        <v>413</v>
      </c>
      <c r="P1411" s="29" cm="1">
        <f t="array" ref="P1411">IF(表成绩单[[#This Row],[语文]]="","",SUMPRODUCT((表成绩单[考试日期]=表成绩单[[#This Row],[考试日期]])*(表成绩单[语文]&lt;9E+307)*(表成绩单[语文]&gt;表成绩单[[#This Row],[语文]]))+1)</f>
        <v>589</v>
      </c>
      <c r="Q1411" s="29" cm="1">
        <f t="array" ref="Q1411">IF(表成绩单[[#This Row],[数学]]="","",SUMPRODUCT((表成绩单[考试日期]=表成绩单[[#This Row],[考试日期]])*(表成绩单[数学]&lt;9E+307)*(表成绩单[数学]&gt;表成绩单[[#This Row],[数学]]))+1)</f>
        <v>664</v>
      </c>
      <c r="R1411" s="29" cm="1">
        <f t="array" ref="R1411">IF(表成绩单[[#This Row],[英语]]="","",SUMPRODUCT((表成绩单[考试日期]=表成绩单[[#This Row],[考试日期]])*(表成绩单[英语]&lt;9E+307)*(表成绩单[英语]&gt;表成绩单[[#This Row],[英语]]))+1)</f>
        <v>314</v>
      </c>
      <c r="S1411" s="29" cm="1">
        <f t="array" ref="S1411">IF(表成绩单[[#This Row],[物理]]="","",SUMPRODUCT((表成绩单[考试日期]=表成绩单[[#This Row],[考试日期]])*(表成绩单[物理]&lt;9E+307)*(表成绩单[物理]&gt;表成绩单[[#This Row],[物理]]))+1)</f>
        <v>639</v>
      </c>
      <c r="T1411" s="29" cm="1">
        <f t="array" ref="T1411">IF(表成绩单[[#This Row],[化学]]="","",SUMPRODUCT((表成绩单[考试日期]=表成绩单[[#This Row],[考试日期]])*(表成绩单[化学]&lt;9E+307)*(表成绩单[化学]&gt;表成绩单[[#This Row],[化学]]))+1)</f>
        <v>678</v>
      </c>
      <c r="U1411" s="29" cm="1">
        <f t="array" ref="U1411">IF(表成绩单[[#This Row],[政治]]="","",SUMPRODUCT((表成绩单[考试日期]=表成绩单[[#This Row],[考试日期]])*(表成绩单[政治]&lt;9E+307)*(表成绩单[政治]&gt;表成绩单[[#This Row],[政治]]))+1)</f>
        <v>524</v>
      </c>
      <c r="V1411" s="29" cm="1">
        <f t="array" ref="V1411">IF(表成绩单[[#This Row],[历史]]="","",SUMPRODUCT((表成绩单[考试日期]=表成绩单[[#This Row],[考试日期]])*(表成绩单[历史]&lt;9E+307)*(表成绩单[历史]&gt;表成绩单[[#This Row],[历史]]))+1)</f>
        <v>571</v>
      </c>
      <c r="W1411" s="29" cm="1">
        <f t="array" ref="W1411">IF(表成绩单[[#This Row],[总分]]="","",SUMPRODUCT((表成绩单[考试日期]=表成绩单[[#This Row],[考试日期]])*(表成绩单[总分]&lt;9E+307)*(表成绩单[总分]&gt;表成绩单[[#This Row],[总分]]))+1)</f>
        <v>606</v>
      </c>
    </row>
    <row r="1412" ht="28" customHeight="1" spans="4:23">
      <c r="D1412" s="31">
        <v>46003</v>
      </c>
      <c r="E1412" s="29">
        <v>19177596</v>
      </c>
      <c r="F1412" s="29" t="s">
        <v>58</v>
      </c>
      <c r="G1412" s="29" t="s">
        <v>703</v>
      </c>
      <c r="H1412" s="29">
        <v>99</v>
      </c>
      <c r="I1412" s="29">
        <v>53</v>
      </c>
      <c r="J1412" s="29">
        <v>46</v>
      </c>
      <c r="K1412" s="29">
        <v>52</v>
      </c>
      <c r="L1412" s="29">
        <v>46</v>
      </c>
      <c r="M1412" s="29">
        <v>45</v>
      </c>
      <c r="N1412" s="29">
        <v>72</v>
      </c>
      <c r="O1412" s="32">
        <v>413</v>
      </c>
      <c r="P1412" s="29" cm="1">
        <f t="array" ref="P1412">IF(表成绩单[[#This Row],[语文]]="","",SUMPRODUCT((表成绩单[考试日期]=表成绩单[[#This Row],[考试日期]])*(表成绩单[语文]&lt;9E+307)*(表成绩单[语文]&gt;表成绩单[[#This Row],[语文]]))+1)</f>
        <v>440</v>
      </c>
      <c r="Q1412" s="29" cm="1">
        <f t="array" ref="Q1412">IF(表成绩单[[#This Row],[数学]]="","",SUMPRODUCT((表成绩单[考试日期]=表成绩单[[#This Row],[考试日期]])*(表成绩单[数学]&lt;9E+307)*(表成绩单[数学]&gt;表成绩单[[#This Row],[数学]]))+1)</f>
        <v>565</v>
      </c>
      <c r="R1412" s="29" cm="1">
        <f t="array" ref="R1412">IF(表成绩单[[#This Row],[英语]]="","",SUMPRODUCT((表成绩单[考试日期]=表成绩单[[#This Row],[考试日期]])*(表成绩单[英语]&lt;9E+307)*(表成绩单[英语]&gt;表成绩单[[#This Row],[英语]]))+1)</f>
        <v>626</v>
      </c>
      <c r="S1412" s="29" cm="1">
        <f t="array" ref="S1412">IF(表成绩单[[#This Row],[物理]]="","",SUMPRODUCT((表成绩单[考试日期]=表成绩单[[#This Row],[考试日期]])*(表成绩单[物理]&lt;9E+307)*(表成绩单[物理]&gt;表成绩单[[#This Row],[物理]]))+1)</f>
        <v>622</v>
      </c>
      <c r="T1412" s="29" cm="1">
        <f t="array" ref="T1412">IF(表成绩单[[#This Row],[化学]]="","",SUMPRODUCT((表成绩单[考试日期]=表成绩单[[#This Row],[考试日期]])*(表成绩单[化学]&lt;9E+307)*(表成绩单[化学]&gt;表成绩单[[#This Row],[化学]]))+1)</f>
        <v>678</v>
      </c>
      <c r="U1412" s="29" cm="1">
        <f t="array" ref="U1412">IF(表成绩单[[#This Row],[政治]]="","",SUMPRODUCT((表成绩单[考试日期]=表成绩单[[#This Row],[考试日期]])*(表成绩单[政治]&lt;9E+307)*(表成绩单[政治]&gt;表成绩单[[#This Row],[政治]]))+1)</f>
        <v>638</v>
      </c>
      <c r="V1412" s="29" cm="1">
        <f t="array" ref="V1412">IF(表成绩单[[#This Row],[历史]]="","",SUMPRODUCT((表成绩单[考试日期]=表成绩单[[#This Row],[考试日期]])*(表成绩单[历史]&lt;9E+307)*(表成绩单[历史]&gt;表成绩单[[#This Row],[历史]]))+1)</f>
        <v>439</v>
      </c>
      <c r="W1412" s="29" cm="1">
        <f t="array" ref="W1412">IF(表成绩单[[#This Row],[总分]]="","",SUMPRODUCT((表成绩单[考试日期]=表成绩单[[#This Row],[考试日期]])*(表成绩单[总分]&lt;9E+307)*(表成绩单[总分]&gt;表成绩单[[#This Row],[总分]]))+1)</f>
        <v>606</v>
      </c>
    </row>
    <row r="1413" ht="28" customHeight="1" spans="4:23">
      <c r="D1413" s="31">
        <v>46003</v>
      </c>
      <c r="E1413" s="29">
        <v>19175330</v>
      </c>
      <c r="F1413" s="29" t="s">
        <v>55</v>
      </c>
      <c r="G1413" s="29" t="s">
        <v>746</v>
      </c>
      <c r="H1413" s="29">
        <v>79</v>
      </c>
      <c r="I1413" s="29">
        <v>58</v>
      </c>
      <c r="J1413" s="29">
        <v>38.5</v>
      </c>
      <c r="K1413" s="29">
        <v>62</v>
      </c>
      <c r="L1413" s="29">
        <v>61</v>
      </c>
      <c r="M1413" s="29">
        <v>45</v>
      </c>
      <c r="N1413" s="29">
        <v>69</v>
      </c>
      <c r="O1413" s="32">
        <v>412.5</v>
      </c>
      <c r="P1413" s="29" cm="1">
        <f t="array" ref="P1413">IF(表成绩单[[#This Row],[语文]]="","",SUMPRODUCT((表成绩单[考试日期]=表成绩单[[#This Row],[考试日期]])*(表成绩单[语文]&lt;9E+307)*(表成绩单[语文]&gt;表成绩单[[#This Row],[语文]]))+1)</f>
        <v>675</v>
      </c>
      <c r="Q1413" s="29" cm="1">
        <f t="array" ref="Q1413">IF(表成绩单[[#This Row],[数学]]="","",SUMPRODUCT((表成绩单[考试日期]=表成绩单[[#This Row],[考试日期]])*(表成绩单[数学]&lt;9E+307)*(表成绩单[数学]&gt;表成绩单[[#This Row],[数学]]))+1)</f>
        <v>531</v>
      </c>
      <c r="R1413" s="29" cm="1">
        <f t="array" ref="R1413">IF(表成绩单[[#This Row],[英语]]="","",SUMPRODUCT((表成绩单[考试日期]=表成绩单[[#This Row],[考试日期]])*(表成绩单[英语]&lt;9E+307)*(表成绩单[英语]&gt;表成绩单[[#This Row],[英语]]))+1)</f>
        <v>659</v>
      </c>
      <c r="S1413" s="29" cm="1">
        <f t="array" ref="S1413">IF(表成绩单[[#This Row],[物理]]="","",SUMPRODUCT((表成绩单[考试日期]=表成绩单[[#This Row],[考试日期]])*(表成绩单[物理]&lt;9E+307)*(表成绩单[物理]&gt;表成绩单[[#This Row],[物理]]))+1)</f>
        <v>575</v>
      </c>
      <c r="T1413" s="29" cm="1">
        <f t="array" ref="T1413">IF(表成绩单[[#This Row],[化学]]="","",SUMPRODUCT((表成绩单[考试日期]=表成绩单[[#This Row],[考试日期]])*(表成绩单[化学]&lt;9E+307)*(表成绩单[化学]&gt;表成绩单[[#This Row],[化学]]))+1)</f>
        <v>572</v>
      </c>
      <c r="U1413" s="29" cm="1">
        <f t="array" ref="U1413">IF(表成绩单[[#This Row],[政治]]="","",SUMPRODUCT((表成绩单[考试日期]=表成绩单[[#This Row],[考试日期]])*(表成绩单[政治]&lt;9E+307)*(表成绩单[政治]&gt;表成绩单[[#This Row],[政治]]))+1)</f>
        <v>638</v>
      </c>
      <c r="V1413" s="29" cm="1">
        <f t="array" ref="V1413">IF(表成绩单[[#This Row],[历史]]="","",SUMPRODUCT((表成绩单[考试日期]=表成绩单[[#This Row],[考试日期]])*(表成绩单[历史]&lt;9E+307)*(表成绩单[历史]&gt;表成绩单[[#This Row],[历史]]))+1)</f>
        <v>516</v>
      </c>
      <c r="W1413" s="29" cm="1">
        <f t="array" ref="W1413">IF(表成绩单[[#This Row],[总分]]="","",SUMPRODUCT((表成绩单[考试日期]=表成绩单[[#This Row],[考试日期]])*(表成绩单[总分]&lt;9E+307)*(表成绩单[总分]&gt;表成绩单[[#This Row],[总分]]))+1)</f>
        <v>608</v>
      </c>
    </row>
    <row r="1414" ht="28" customHeight="1" spans="4:23">
      <c r="D1414" s="31">
        <v>46003</v>
      </c>
      <c r="E1414" s="29">
        <v>19177664</v>
      </c>
      <c r="F1414" s="29" t="s">
        <v>63</v>
      </c>
      <c r="G1414" s="29" t="s">
        <v>748</v>
      </c>
      <c r="H1414" s="29">
        <v>91</v>
      </c>
      <c r="I1414" s="29">
        <v>68</v>
      </c>
      <c r="J1414" s="29">
        <v>47.5</v>
      </c>
      <c r="K1414" s="29">
        <v>40</v>
      </c>
      <c r="L1414" s="29">
        <v>51</v>
      </c>
      <c r="M1414" s="29">
        <v>44</v>
      </c>
      <c r="N1414" s="29">
        <v>71</v>
      </c>
      <c r="O1414" s="32">
        <v>412.5</v>
      </c>
      <c r="P1414" s="29" cm="1">
        <f t="array" ref="P1414">IF(表成绩单[[#This Row],[语文]]="","",SUMPRODUCT((表成绩单[考试日期]=表成绩单[[#This Row],[考试日期]])*(表成绩单[语文]&lt;9E+307)*(表成绩单[语文]&gt;表成绩单[[#This Row],[语文]]))+1)</f>
        <v>580</v>
      </c>
      <c r="Q1414" s="29" cm="1">
        <f t="array" ref="Q1414">IF(表成绩单[[#This Row],[数学]]="","",SUMPRODUCT((表成绩单[考试日期]=表成绩单[[#This Row],[考试日期]])*(表成绩单[数学]&lt;9E+307)*(表成绩单[数学]&gt;表成绩单[[#This Row],[数学]]))+1)</f>
        <v>450</v>
      </c>
      <c r="R1414" s="29" cm="1">
        <f t="array" ref="R1414">IF(表成绩单[[#This Row],[英语]]="","",SUMPRODUCT((表成绩单[考试日期]=表成绩单[[#This Row],[考试日期]])*(表成绩单[英语]&lt;9E+307)*(表成绩单[英语]&gt;表成绩单[[#This Row],[英语]]))+1)</f>
        <v>615</v>
      </c>
      <c r="S1414" s="29" cm="1">
        <f t="array" ref="S1414">IF(表成绩单[[#This Row],[物理]]="","",SUMPRODUCT((表成绩单[考试日期]=表成绩单[[#This Row],[考试日期]])*(表成绩单[物理]&lt;9E+307)*(表成绩单[物理]&gt;表成绩单[[#This Row],[物理]]))+1)</f>
        <v>677</v>
      </c>
      <c r="T1414" s="29" cm="1">
        <f t="array" ref="T1414">IF(表成绩单[[#This Row],[化学]]="","",SUMPRODUCT((表成绩单[考试日期]=表成绩单[[#This Row],[考试日期]])*(表成绩单[化学]&lt;9E+307)*(表成绩单[化学]&gt;表成绩单[[#This Row],[化学]]))+1)</f>
        <v>643</v>
      </c>
      <c r="U1414" s="29" cm="1">
        <f t="array" ref="U1414">IF(表成绩单[[#This Row],[政治]]="","",SUMPRODUCT((表成绩单[考试日期]=表成绩单[[#This Row],[考试日期]])*(表成绩单[政治]&lt;9E+307)*(表成绩单[政治]&gt;表成绩单[[#This Row],[政治]]))+1)</f>
        <v>651</v>
      </c>
      <c r="V1414" s="29" cm="1">
        <f t="array" ref="V1414">IF(表成绩单[[#This Row],[历史]]="","",SUMPRODUCT((表成绩单[考试日期]=表成绩单[[#This Row],[考试日期]])*(表成绩单[历史]&lt;9E+307)*(表成绩单[历史]&gt;表成绩单[[#This Row],[历史]]))+1)</f>
        <v>471</v>
      </c>
      <c r="W1414" s="29" cm="1">
        <f t="array" ref="W1414">IF(表成绩单[[#This Row],[总分]]="","",SUMPRODUCT((表成绩单[考试日期]=表成绩单[[#This Row],[考试日期]])*(表成绩单[总分]&lt;9E+307)*(表成绩单[总分]&gt;表成绩单[[#This Row],[总分]]))+1)</f>
        <v>608</v>
      </c>
    </row>
    <row r="1415" ht="28" customHeight="1" spans="4:23">
      <c r="D1415" s="31">
        <v>46003</v>
      </c>
      <c r="E1415" s="29">
        <v>19173798</v>
      </c>
      <c r="F1415" s="29" t="s">
        <v>65</v>
      </c>
      <c r="G1415" s="29" t="s">
        <v>767</v>
      </c>
      <c r="H1415" s="29">
        <v>91</v>
      </c>
      <c r="I1415" s="29">
        <v>51</v>
      </c>
      <c r="J1415" s="29">
        <v>54.5</v>
      </c>
      <c r="K1415" s="29">
        <v>47</v>
      </c>
      <c r="L1415" s="29">
        <v>48</v>
      </c>
      <c r="M1415" s="29">
        <v>54</v>
      </c>
      <c r="N1415" s="29">
        <v>66</v>
      </c>
      <c r="O1415" s="32">
        <v>411.5</v>
      </c>
      <c r="P1415" s="29" cm="1">
        <f t="array" ref="P1415">IF(表成绩单[[#This Row],[语文]]="","",SUMPRODUCT((表成绩单[考试日期]=表成绩单[[#This Row],[考试日期]])*(表成绩单[语文]&lt;9E+307)*(表成绩单[语文]&gt;表成绩单[[#This Row],[语文]]))+1)</f>
        <v>580</v>
      </c>
      <c r="Q1415" s="29" cm="1">
        <f t="array" ref="Q1415">IF(表成绩单[[#This Row],[数学]]="","",SUMPRODUCT((表成绩单[考试日期]=表成绩单[[#This Row],[考试日期]])*(表成绩单[数学]&lt;9E+307)*(表成绩单[数学]&gt;表成绩单[[#This Row],[数学]]))+1)</f>
        <v>572</v>
      </c>
      <c r="R1415" s="29" cm="1">
        <f t="array" ref="R1415">IF(表成绩单[[#This Row],[英语]]="","",SUMPRODUCT((表成绩单[考试日期]=表成绩单[[#This Row],[考试日期]])*(表成绩单[英语]&lt;9E+307)*(表成绩单[英语]&gt;表成绩单[[#This Row],[英语]]))+1)</f>
        <v>570</v>
      </c>
      <c r="S1415" s="29" cm="1">
        <f t="array" ref="S1415">IF(表成绩单[[#This Row],[物理]]="","",SUMPRODUCT((表成绩单[考试日期]=表成绩单[[#This Row],[考试日期]])*(表成绩单[物理]&lt;9E+307)*(表成绩单[物理]&gt;表成绩单[[#This Row],[物理]]))+1)</f>
        <v>647</v>
      </c>
      <c r="T1415" s="29" cm="1">
        <f t="array" ref="T1415">IF(表成绩单[[#This Row],[化学]]="","",SUMPRODUCT((表成绩单[考试日期]=表成绩单[[#This Row],[考试日期]])*(表成绩单[化学]&lt;9E+307)*(表成绩单[化学]&gt;表成绩单[[#This Row],[化学]]))+1)</f>
        <v>665</v>
      </c>
      <c r="U1415" s="29" cm="1">
        <f t="array" ref="U1415">IF(表成绩单[[#This Row],[政治]]="","",SUMPRODUCT((表成绩单[考试日期]=表成绩单[[#This Row],[考试日期]])*(表成绩单[政治]&lt;9E+307)*(表成绩单[政治]&gt;表成绩单[[#This Row],[政治]]))+1)</f>
        <v>524</v>
      </c>
      <c r="V1415" s="29" cm="1">
        <f t="array" ref="V1415">IF(表成绩单[[#This Row],[历史]]="","",SUMPRODUCT((表成绩单[考试日期]=表成绩单[[#This Row],[考试日期]])*(表成绩单[历史]&lt;9E+307)*(表成绩单[历史]&gt;表成绩单[[#This Row],[历史]]))+1)</f>
        <v>571</v>
      </c>
      <c r="W1415" s="29" cm="1">
        <f t="array" ref="W1415">IF(表成绩单[[#This Row],[总分]]="","",SUMPRODUCT((表成绩单[考试日期]=表成绩单[[#This Row],[考试日期]])*(表成绩单[总分]&lt;9E+307)*(表成绩单[总分]&gt;表成绩单[[#This Row],[总分]]))+1)</f>
        <v>610</v>
      </c>
    </row>
    <row r="1416" ht="28" customHeight="1" spans="4:23">
      <c r="D1416" s="31">
        <v>46003</v>
      </c>
      <c r="E1416" s="29">
        <v>19175289</v>
      </c>
      <c r="F1416" s="29" t="s">
        <v>55</v>
      </c>
      <c r="G1416" s="29" t="s">
        <v>747</v>
      </c>
      <c r="H1416" s="29">
        <v>97</v>
      </c>
      <c r="I1416" s="29">
        <v>49</v>
      </c>
      <c r="J1416" s="29">
        <v>44</v>
      </c>
      <c r="K1416" s="29">
        <v>54</v>
      </c>
      <c r="L1416" s="29">
        <v>61</v>
      </c>
      <c r="M1416" s="29">
        <v>48</v>
      </c>
      <c r="N1416" s="29">
        <v>58</v>
      </c>
      <c r="O1416" s="32">
        <v>411</v>
      </c>
      <c r="P1416" s="29" cm="1">
        <f t="array" ref="P1416">IF(表成绩单[[#This Row],[语文]]="","",SUMPRODUCT((表成绩单[考试日期]=表成绩单[[#This Row],[考试日期]])*(表成绩单[语文]&lt;9E+307)*(表成绩单[语文]&gt;表成绩单[[#This Row],[语文]]))+1)</f>
        <v>488</v>
      </c>
      <c r="Q1416" s="29" cm="1">
        <f t="array" ref="Q1416">IF(表成绩单[[#This Row],[数学]]="","",SUMPRODUCT((表成绩单[考试日期]=表成绩单[[#This Row],[考试日期]])*(表成绩单[数学]&lt;9E+307)*(表成绩单[数学]&gt;表成绩单[[#This Row],[数学]]))+1)</f>
        <v>587</v>
      </c>
      <c r="R1416" s="29" cm="1">
        <f t="array" ref="R1416">IF(表成绩单[[#This Row],[英语]]="","",SUMPRODUCT((表成绩单[考试日期]=表成绩单[[#This Row],[考试日期]])*(表成绩单[英语]&lt;9E+307)*(表成绩单[英语]&gt;表成绩单[[#This Row],[英语]]))+1)</f>
        <v>632</v>
      </c>
      <c r="S1416" s="29" cm="1">
        <f t="array" ref="S1416">IF(表成绩单[[#This Row],[物理]]="","",SUMPRODUCT((表成绩单[考试日期]=表成绩单[[#This Row],[考试日期]])*(表成绩单[物理]&lt;9E+307)*(表成绩单[物理]&gt;表成绩单[[#This Row],[物理]]))+1)</f>
        <v>613</v>
      </c>
      <c r="T1416" s="29" cm="1">
        <f t="array" ref="T1416">IF(表成绩单[[#This Row],[化学]]="","",SUMPRODUCT((表成绩单[考试日期]=表成绩单[[#This Row],[考试日期]])*(表成绩单[化学]&lt;9E+307)*(表成绩单[化学]&gt;表成绩单[[#This Row],[化学]]))+1)</f>
        <v>572</v>
      </c>
      <c r="U1416" s="29" cm="1">
        <f t="array" ref="U1416">IF(表成绩单[[#This Row],[政治]]="","",SUMPRODUCT((表成绩单[考试日期]=表成绩单[[#This Row],[考试日期]])*(表成绩单[政治]&lt;9E+307)*(表成绩单[政治]&gt;表成绩单[[#This Row],[政治]]))+1)</f>
        <v>612</v>
      </c>
      <c r="V1416" s="29" cm="1">
        <f t="array" ref="V1416">IF(表成绩单[[#This Row],[历史]]="","",SUMPRODUCT((表成绩单[考试日期]=表成绩单[[#This Row],[考试日期]])*(表成绩单[历史]&lt;9E+307)*(表成绩单[历史]&gt;表成绩单[[#This Row],[历史]]))+1)</f>
        <v>651</v>
      </c>
      <c r="W1416" s="29" cm="1">
        <f t="array" ref="W1416">IF(表成绩单[[#This Row],[总分]]="","",SUMPRODUCT((表成绩单[考试日期]=表成绩单[[#This Row],[考试日期]])*(表成绩单[总分]&lt;9E+307)*(表成绩单[总分]&gt;表成绩单[[#This Row],[总分]]))+1)</f>
        <v>611</v>
      </c>
    </row>
    <row r="1417" ht="28" customHeight="1" spans="4:23">
      <c r="D1417" s="31">
        <v>46003</v>
      </c>
      <c r="E1417" s="29">
        <v>19174741</v>
      </c>
      <c r="F1417" s="29" t="s">
        <v>64</v>
      </c>
      <c r="G1417" s="29" t="s">
        <v>669</v>
      </c>
      <c r="H1417" s="29">
        <v>102</v>
      </c>
      <c r="I1417" s="29">
        <v>44</v>
      </c>
      <c r="J1417" s="29">
        <v>53.5</v>
      </c>
      <c r="K1417" s="29">
        <v>40</v>
      </c>
      <c r="L1417" s="29">
        <v>47</v>
      </c>
      <c r="M1417" s="29">
        <v>57</v>
      </c>
      <c r="N1417" s="29">
        <v>67</v>
      </c>
      <c r="O1417" s="32">
        <v>410.5</v>
      </c>
      <c r="P1417" s="29" cm="1">
        <f t="array" ref="P1417">IF(表成绩单[[#This Row],[语文]]="","",SUMPRODUCT((表成绩单[考试日期]=表成绩单[[#This Row],[考试日期]])*(表成绩单[语文]&lt;9E+307)*(表成绩单[语文]&gt;表成绩单[[#This Row],[语文]]))+1)</f>
        <v>366</v>
      </c>
      <c r="Q1417" s="29" cm="1">
        <f t="array" ref="Q1417">IF(表成绩单[[#This Row],[数学]]="","",SUMPRODUCT((表成绩单[考试日期]=表成绩单[[#This Row],[考试日期]])*(表成绩单[数学]&lt;9E+307)*(表成绩单[数学]&gt;表成绩单[[#This Row],[数学]]))+1)</f>
        <v>611</v>
      </c>
      <c r="R1417" s="29" cm="1">
        <f t="array" ref="R1417">IF(表成绩单[[#This Row],[英语]]="","",SUMPRODUCT((表成绩单[考试日期]=表成绩单[[#This Row],[考试日期]])*(表成绩单[英语]&lt;9E+307)*(表成绩单[英语]&gt;表成绩单[[#This Row],[英语]]))+1)</f>
        <v>582</v>
      </c>
      <c r="S1417" s="29" cm="1">
        <f t="array" ref="S1417">IF(表成绩单[[#This Row],[物理]]="","",SUMPRODUCT((表成绩单[考试日期]=表成绩单[[#This Row],[考试日期]])*(表成绩单[物理]&lt;9E+307)*(表成绩单[物理]&gt;表成绩单[[#This Row],[物理]]))+1)</f>
        <v>677</v>
      </c>
      <c r="T1417" s="29" cm="1">
        <f t="array" ref="T1417">IF(表成绩单[[#This Row],[化学]]="","",SUMPRODUCT((表成绩单[考试日期]=表成绩单[[#This Row],[考试日期]])*(表成绩单[化学]&lt;9E+307)*(表成绩单[化学]&gt;表成绩单[[#This Row],[化学]]))+1)</f>
        <v>672</v>
      </c>
      <c r="U1417" s="29" cm="1">
        <f t="array" ref="U1417">IF(表成绩单[[#This Row],[政治]]="","",SUMPRODUCT((表成绩单[考试日期]=表成绩单[[#This Row],[考试日期]])*(表成绩单[政治]&lt;9E+307)*(表成绩单[政治]&gt;表成绩单[[#This Row],[政治]]))+1)</f>
        <v>474</v>
      </c>
      <c r="V1417" s="29" cm="1">
        <f t="array" ref="V1417">IF(表成绩单[[#This Row],[历史]]="","",SUMPRODUCT((表成绩单[考试日期]=表成绩单[[#This Row],[考试日期]])*(表成绩单[历史]&lt;9E+307)*(表成绩单[历史]&gt;表成绩单[[#This Row],[历史]]))+1)</f>
        <v>549</v>
      </c>
      <c r="W1417" s="29" cm="1">
        <f t="array" ref="W1417">IF(表成绩单[[#This Row],[总分]]="","",SUMPRODUCT((表成绩单[考试日期]=表成绩单[[#This Row],[考试日期]])*(表成绩单[总分]&lt;9E+307)*(表成绩单[总分]&gt;表成绩单[[#This Row],[总分]]))+1)</f>
        <v>612</v>
      </c>
    </row>
    <row r="1418" ht="28" customHeight="1" spans="4:23">
      <c r="D1418" s="31">
        <v>46003</v>
      </c>
      <c r="E1418" s="29">
        <v>19175612</v>
      </c>
      <c r="F1418" s="29" t="s">
        <v>57</v>
      </c>
      <c r="G1418" s="29" t="s">
        <v>766</v>
      </c>
      <c r="H1418" s="29">
        <v>90</v>
      </c>
      <c r="I1418" s="29">
        <v>36</v>
      </c>
      <c r="J1418" s="29">
        <v>60.5</v>
      </c>
      <c r="K1418" s="29">
        <v>48</v>
      </c>
      <c r="L1418" s="29">
        <v>63</v>
      </c>
      <c r="M1418" s="29">
        <v>45</v>
      </c>
      <c r="N1418" s="29">
        <v>66</v>
      </c>
      <c r="O1418" s="32">
        <v>408.5</v>
      </c>
      <c r="P1418" s="29" cm="1">
        <f t="array" ref="P1418">IF(表成绩单[[#This Row],[语文]]="","",SUMPRODUCT((表成绩单[考试日期]=表成绩单[[#This Row],[考试日期]])*(表成绩单[语文]&lt;9E+307)*(表成绩单[语文]&gt;表成绩单[[#This Row],[语文]]))+1)</f>
        <v>589</v>
      </c>
      <c r="Q1418" s="29" cm="1">
        <f t="array" ref="Q1418">IF(表成绩单[[#This Row],[数学]]="","",SUMPRODUCT((表成绩单[考试日期]=表成绩单[[#This Row],[考试日期]])*(表成绩单[数学]&lt;9E+307)*(表成绩单[数学]&gt;表成绩单[[#This Row],[数学]]))+1)</f>
        <v>652</v>
      </c>
      <c r="R1418" s="29" cm="1">
        <f t="array" ref="R1418">IF(表成绩单[[#This Row],[英语]]="","",SUMPRODUCT((表成绩单[考试日期]=表成绩单[[#This Row],[考试日期]])*(表成绩单[英语]&lt;9E+307)*(表成绩单[英语]&gt;表成绩单[[#This Row],[英语]]))+1)</f>
        <v>525</v>
      </c>
      <c r="S1418" s="29" cm="1">
        <f t="array" ref="S1418">IF(表成绩单[[#This Row],[物理]]="","",SUMPRODUCT((表成绩单[考试日期]=表成绩单[[#This Row],[考试日期]])*(表成绩单[物理]&lt;9E+307)*(表成绩单[物理]&gt;表成绩单[[#This Row],[物理]]))+1)</f>
        <v>643</v>
      </c>
      <c r="T1418" s="29" cm="1">
        <f t="array" ref="T1418">IF(表成绩单[[#This Row],[化学]]="","",SUMPRODUCT((表成绩单[考试日期]=表成绩单[[#This Row],[考试日期]])*(表成绩单[化学]&lt;9E+307)*(表成绩单[化学]&gt;表成绩单[[#This Row],[化学]]))+1)</f>
        <v>559</v>
      </c>
      <c r="U1418" s="29" cm="1">
        <f t="array" ref="U1418">IF(表成绩单[[#This Row],[政治]]="","",SUMPRODUCT((表成绩单[考试日期]=表成绩单[[#This Row],[考试日期]])*(表成绩单[政治]&lt;9E+307)*(表成绩单[政治]&gt;表成绩单[[#This Row],[政治]]))+1)</f>
        <v>638</v>
      </c>
      <c r="V1418" s="29" cm="1">
        <f t="array" ref="V1418">IF(表成绩单[[#This Row],[历史]]="","",SUMPRODUCT((表成绩单[考试日期]=表成绩单[[#This Row],[考试日期]])*(表成绩单[历史]&lt;9E+307)*(表成绩单[历史]&gt;表成绩单[[#This Row],[历史]]))+1)</f>
        <v>571</v>
      </c>
      <c r="W1418" s="29" cm="1">
        <f t="array" ref="W1418">IF(表成绩单[[#This Row],[总分]]="","",SUMPRODUCT((表成绩单[考试日期]=表成绩单[[#This Row],[考试日期]])*(表成绩单[总分]&lt;9E+307)*(表成绩单[总分]&gt;表成绩单[[#This Row],[总分]]))+1)</f>
        <v>613</v>
      </c>
    </row>
    <row r="1419" ht="28" customHeight="1" spans="4:23">
      <c r="D1419" s="31">
        <v>46003</v>
      </c>
      <c r="E1419" s="29">
        <v>19175664</v>
      </c>
      <c r="F1419" s="29" t="s">
        <v>66</v>
      </c>
      <c r="G1419" s="29" t="s">
        <v>777</v>
      </c>
      <c r="H1419" s="29">
        <v>97</v>
      </c>
      <c r="I1419" s="29">
        <v>40</v>
      </c>
      <c r="J1419" s="29">
        <v>58.5</v>
      </c>
      <c r="K1419" s="29">
        <v>35</v>
      </c>
      <c r="L1419" s="29">
        <v>59</v>
      </c>
      <c r="M1419" s="29">
        <v>56</v>
      </c>
      <c r="N1419" s="29">
        <v>63</v>
      </c>
      <c r="O1419" s="32">
        <v>408.5</v>
      </c>
      <c r="P1419" s="29" cm="1">
        <f t="array" ref="P1419">IF(表成绩单[[#This Row],[语文]]="","",SUMPRODUCT((表成绩单[考试日期]=表成绩单[[#This Row],[考试日期]])*(表成绩单[语文]&lt;9E+307)*(表成绩单[语文]&gt;表成绩单[[#This Row],[语文]]))+1)</f>
        <v>488</v>
      </c>
      <c r="Q1419" s="29" cm="1">
        <f t="array" ref="Q1419">IF(表成绩单[[#This Row],[数学]]="","",SUMPRODUCT((表成绩单[考试日期]=表成绩单[[#This Row],[考试日期]])*(表成绩单[数学]&lt;9E+307)*(表成绩单[数学]&gt;表成绩单[[#This Row],[数学]]))+1)</f>
        <v>634</v>
      </c>
      <c r="R1419" s="29" cm="1">
        <f t="array" ref="R1419">IF(表成绩单[[#This Row],[英语]]="","",SUMPRODUCT((表成绩单[考试日期]=表成绩单[[#This Row],[考试日期]])*(表成绩单[英语]&lt;9E+307)*(表成绩单[英语]&gt;表成绩单[[#This Row],[英语]]))+1)</f>
        <v>538</v>
      </c>
      <c r="S1419" s="29" cm="1">
        <f t="array" ref="S1419">IF(表成绩单[[#This Row],[物理]]="","",SUMPRODUCT((表成绩单[考试日期]=表成绩单[[#This Row],[考试日期]])*(表成绩单[物理]&lt;9E+307)*(表成绩单[物理]&gt;表成绩单[[#This Row],[物理]]))+1)</f>
        <v>692</v>
      </c>
      <c r="T1419" s="29" cm="1">
        <f t="array" ref="T1419">IF(表成绩单[[#This Row],[化学]]="","",SUMPRODUCT((表成绩单[考试日期]=表成绩单[[#This Row],[考试日期]])*(表成绩单[化学]&lt;9E+307)*(表成绩单[化学]&gt;表成绩单[[#This Row],[化学]]))+1)</f>
        <v>593</v>
      </c>
      <c r="U1419" s="29" cm="1">
        <f t="array" ref="U1419">IF(表成绩单[[#This Row],[政治]]="","",SUMPRODUCT((表成绩单[考试日期]=表成绩单[[#This Row],[考试日期]])*(表成绩单[政治]&lt;9E+307)*(表成绩单[政治]&gt;表成绩单[[#This Row],[政治]]))+1)</f>
        <v>492</v>
      </c>
      <c r="V1419" s="29" cm="1">
        <f t="array" ref="V1419">IF(表成绩单[[#This Row],[历史]]="","",SUMPRODUCT((表成绩单[考试日期]=表成绩单[[#This Row],[考试日期]])*(表成绩单[历史]&lt;9E+307)*(表成绩单[历史]&gt;表成绩单[[#This Row],[历史]]))+1)</f>
        <v>608</v>
      </c>
      <c r="W1419" s="29" cm="1">
        <f t="array" ref="W1419">IF(表成绩单[[#This Row],[总分]]="","",SUMPRODUCT((表成绩单[考试日期]=表成绩单[[#This Row],[考试日期]])*(表成绩单[总分]&lt;9E+307)*(表成绩单[总分]&gt;表成绩单[[#This Row],[总分]]))+1)</f>
        <v>613</v>
      </c>
    </row>
    <row r="1420" ht="28" customHeight="1" spans="4:23">
      <c r="D1420" s="31">
        <v>46003</v>
      </c>
      <c r="E1420" s="29">
        <v>19173763</v>
      </c>
      <c r="F1420" s="29" t="s">
        <v>65</v>
      </c>
      <c r="G1420" s="29" t="s">
        <v>681</v>
      </c>
      <c r="H1420" s="29">
        <v>71</v>
      </c>
      <c r="I1420" s="29">
        <v>53</v>
      </c>
      <c r="J1420" s="29">
        <v>57</v>
      </c>
      <c r="K1420" s="29">
        <v>65</v>
      </c>
      <c r="L1420" s="29">
        <v>58</v>
      </c>
      <c r="M1420" s="29">
        <v>49</v>
      </c>
      <c r="N1420" s="29">
        <v>53</v>
      </c>
      <c r="O1420" s="32">
        <v>406</v>
      </c>
      <c r="P1420" s="29" cm="1">
        <f t="array" ref="P1420">IF(表成绩单[[#This Row],[语文]]="","",SUMPRODUCT((表成绩单[考试日期]=表成绩单[[#This Row],[考试日期]])*(表成绩单[语文]&lt;9E+307)*(表成绩单[语文]&gt;表成绩单[[#This Row],[语文]]))+1)</f>
        <v>698</v>
      </c>
      <c r="Q1420" s="29" cm="1">
        <f t="array" ref="Q1420">IF(表成绩单[[#This Row],[数学]]="","",SUMPRODUCT((表成绩单[考试日期]=表成绩单[[#This Row],[考试日期]])*(表成绩单[数学]&lt;9E+307)*(表成绩单[数学]&gt;表成绩单[[#This Row],[数学]]))+1)</f>
        <v>565</v>
      </c>
      <c r="R1420" s="29" cm="1">
        <f t="array" ref="R1420">IF(表成绩单[[#This Row],[英语]]="","",SUMPRODUCT((表成绩单[考试日期]=表成绩单[[#This Row],[考试日期]])*(表成绩单[英语]&lt;9E+307)*(表成绩单[英语]&gt;表成绩单[[#This Row],[英语]]))+1)</f>
        <v>553</v>
      </c>
      <c r="S1420" s="29" cm="1">
        <f t="array" ref="S1420">IF(表成绩单[[#This Row],[物理]]="","",SUMPRODUCT((表成绩单[考试日期]=表成绩单[[#This Row],[考试日期]])*(表成绩单[物理]&lt;9E+307)*(表成绩单[物理]&gt;表成绩单[[#This Row],[物理]]))+1)</f>
        <v>560</v>
      </c>
      <c r="T1420" s="29" cm="1">
        <f t="array" ref="T1420">IF(表成绩单[[#This Row],[化学]]="","",SUMPRODUCT((表成绩单[考试日期]=表成绩单[[#This Row],[考试日期]])*(表成绩单[化学]&lt;9E+307)*(表成绩单[化学]&gt;表成绩单[[#This Row],[化学]]))+1)</f>
        <v>597</v>
      </c>
      <c r="U1420" s="29" cm="1">
        <f t="array" ref="U1420">IF(表成绩单[[#This Row],[政治]]="","",SUMPRODUCT((表成绩单[考试日期]=表成绩单[[#This Row],[考试日期]])*(表成绩单[政治]&lt;9E+307)*(表成绩单[政治]&gt;表成绩单[[#This Row],[政治]]))+1)</f>
        <v>600</v>
      </c>
      <c r="V1420" s="29" cm="1">
        <f t="array" ref="V1420">IF(表成绩单[[#This Row],[历史]]="","",SUMPRODUCT((表成绩单[考试日期]=表成绩单[[#This Row],[考试日期]])*(表成绩单[历史]&lt;9E+307)*(表成绩单[历史]&gt;表成绩单[[#This Row],[历史]]))+1)</f>
        <v>687</v>
      </c>
      <c r="W1420" s="29" cm="1">
        <f t="array" ref="W1420">IF(表成绩单[[#This Row],[总分]]="","",SUMPRODUCT((表成绩单[考试日期]=表成绩单[[#This Row],[考试日期]])*(表成绩单[总分]&lt;9E+307)*(表成绩单[总分]&gt;表成绩单[[#This Row],[总分]]))+1)</f>
        <v>615</v>
      </c>
    </row>
    <row r="1421" ht="28" customHeight="1" spans="4:23">
      <c r="D1421" s="31">
        <v>46003</v>
      </c>
      <c r="E1421" s="29">
        <v>19175981</v>
      </c>
      <c r="F1421" s="29" t="s">
        <v>59</v>
      </c>
      <c r="G1421" s="29" t="s">
        <v>735</v>
      </c>
      <c r="H1421" s="29">
        <v>96</v>
      </c>
      <c r="I1421" s="29">
        <v>31</v>
      </c>
      <c r="J1421" s="29">
        <v>58</v>
      </c>
      <c r="K1421" s="29">
        <v>49</v>
      </c>
      <c r="L1421" s="29">
        <v>61</v>
      </c>
      <c r="M1421" s="29">
        <v>46</v>
      </c>
      <c r="N1421" s="29">
        <v>65</v>
      </c>
      <c r="O1421" s="32">
        <v>406</v>
      </c>
      <c r="P1421" s="29" cm="1">
        <f t="array" ref="P1421">IF(表成绩单[[#This Row],[语文]]="","",SUMPRODUCT((表成绩单[考试日期]=表成绩单[[#This Row],[考试日期]])*(表成绩单[语文]&lt;9E+307)*(表成绩单[语文]&gt;表成绩单[[#This Row],[语文]]))+1)</f>
        <v>509</v>
      </c>
      <c r="Q1421" s="29" cm="1">
        <f t="array" ref="Q1421">IF(表成绩单[[#This Row],[数学]]="","",SUMPRODUCT((表成绩单[考试日期]=表成绩单[[#This Row],[考试日期]])*(表成绩单[数学]&lt;9E+307)*(表成绩单[数学]&gt;表成绩单[[#This Row],[数学]]))+1)</f>
        <v>672</v>
      </c>
      <c r="R1421" s="29" cm="1">
        <f t="array" ref="R1421">IF(表成绩单[[#This Row],[英语]]="","",SUMPRODUCT((表成绩单[考试日期]=表成绩单[[#This Row],[考试日期]])*(表成绩单[英语]&lt;9E+307)*(表成绩单[英语]&gt;表成绩单[[#This Row],[英语]]))+1)</f>
        <v>545</v>
      </c>
      <c r="S1421" s="29" cm="1">
        <f t="array" ref="S1421">IF(表成绩单[[#This Row],[物理]]="","",SUMPRODUCT((表成绩单[考试日期]=表成绩单[[#This Row],[考试日期]])*(表成绩单[物理]&lt;9E+307)*(表成绩单[物理]&gt;表成绩单[[#This Row],[物理]]))+1)</f>
        <v>639</v>
      </c>
      <c r="T1421" s="29" cm="1">
        <f t="array" ref="T1421">IF(表成绩单[[#This Row],[化学]]="","",SUMPRODUCT((表成绩单[考试日期]=表成绩单[[#This Row],[考试日期]])*(表成绩单[化学]&lt;9E+307)*(表成绩单[化学]&gt;表成绩单[[#This Row],[化学]]))+1)</f>
        <v>572</v>
      </c>
      <c r="U1421" s="29" cm="1">
        <f t="array" ref="U1421">IF(表成绩单[[#This Row],[政治]]="","",SUMPRODUCT((表成绩单[考试日期]=表成绩单[[#This Row],[考试日期]])*(表成绩单[政治]&lt;9E+307)*(表成绩单[政治]&gt;表成绩单[[#This Row],[政治]]))+1)</f>
        <v>629</v>
      </c>
      <c r="V1421" s="29" cm="1">
        <f t="array" ref="V1421">IF(表成绩单[[#This Row],[历史]]="","",SUMPRODUCT((表成绩单[考试日期]=表成绩单[[#This Row],[考试日期]])*(表成绩单[历史]&lt;9E+307)*(表成绩单[历史]&gt;表成绩单[[#This Row],[历史]]))+1)</f>
        <v>582</v>
      </c>
      <c r="W1421" s="29" cm="1">
        <f t="array" ref="W1421">IF(表成绩单[[#This Row],[总分]]="","",SUMPRODUCT((表成绩单[考试日期]=表成绩单[[#This Row],[考试日期]])*(表成绩单[总分]&lt;9E+307)*(表成绩单[总分]&gt;表成绩单[[#This Row],[总分]]))+1)</f>
        <v>615</v>
      </c>
    </row>
    <row r="1422" ht="28" customHeight="1" spans="4:23">
      <c r="D1422" s="31">
        <v>46003</v>
      </c>
      <c r="E1422" s="29">
        <v>19176001</v>
      </c>
      <c r="F1422" s="29" t="s">
        <v>59</v>
      </c>
      <c r="G1422" s="29" t="s">
        <v>750</v>
      </c>
      <c r="H1422" s="29">
        <v>90</v>
      </c>
      <c r="I1422" s="29">
        <v>41</v>
      </c>
      <c r="J1422" s="29">
        <v>42</v>
      </c>
      <c r="K1422" s="29">
        <v>43</v>
      </c>
      <c r="L1422" s="29">
        <v>64</v>
      </c>
      <c r="M1422" s="29">
        <v>54</v>
      </c>
      <c r="N1422" s="29">
        <v>71</v>
      </c>
      <c r="O1422" s="32">
        <v>405</v>
      </c>
      <c r="P1422" s="29" cm="1">
        <f t="array" ref="P1422">IF(表成绩单[[#This Row],[语文]]="","",SUMPRODUCT((表成绩单[考试日期]=表成绩单[[#This Row],[考试日期]])*(表成绩单[语文]&lt;9E+307)*(表成绩单[语文]&gt;表成绩单[[#This Row],[语文]]))+1)</f>
        <v>589</v>
      </c>
      <c r="Q1422" s="29" cm="1">
        <f t="array" ref="Q1422">IF(表成绩单[[#This Row],[数学]]="","",SUMPRODUCT((表成绩单[考试日期]=表成绩单[[#This Row],[考试日期]])*(表成绩单[数学]&lt;9E+307)*(表成绩单[数学]&gt;表成绩单[[#This Row],[数学]]))+1)</f>
        <v>629</v>
      </c>
      <c r="R1422" s="29" cm="1">
        <f t="array" ref="R1422">IF(表成绩单[[#This Row],[英语]]="","",SUMPRODUCT((表成绩单[考试日期]=表成绩单[[#This Row],[考试日期]])*(表成绩单[英语]&lt;9E+307)*(表成绩单[英语]&gt;表成绩单[[#This Row],[英语]]))+1)</f>
        <v>641</v>
      </c>
      <c r="S1422" s="29" cm="1">
        <f t="array" ref="S1422">IF(表成绩单[[#This Row],[物理]]="","",SUMPRODUCT((表成绩单[考试日期]=表成绩单[[#This Row],[考试日期]])*(表成绩单[物理]&lt;9E+307)*(表成绩单[物理]&gt;表成绩单[[#This Row],[物理]]))+1)</f>
        <v>659</v>
      </c>
      <c r="T1422" s="29" cm="1">
        <f t="array" ref="T1422">IF(表成绩单[[#This Row],[化学]]="","",SUMPRODUCT((表成绩单[考试日期]=表成绩单[[#This Row],[考试日期]])*(表成绩单[化学]&lt;9E+307)*(表成绩单[化学]&gt;表成绩单[[#This Row],[化学]]))+1)</f>
        <v>552</v>
      </c>
      <c r="U1422" s="29" cm="1">
        <f t="array" ref="U1422">IF(表成绩单[[#This Row],[政治]]="","",SUMPRODUCT((表成绩单[考试日期]=表成绩单[[#This Row],[考试日期]])*(表成绩单[政治]&lt;9E+307)*(表成绩单[政治]&gt;表成绩单[[#This Row],[政治]]))+1)</f>
        <v>524</v>
      </c>
      <c r="V1422" s="29" cm="1">
        <f t="array" ref="V1422">IF(表成绩单[[#This Row],[历史]]="","",SUMPRODUCT((表成绩单[考试日期]=表成绩单[[#This Row],[考试日期]])*(表成绩单[历史]&lt;9E+307)*(表成绩单[历史]&gt;表成绩单[[#This Row],[历史]]))+1)</f>
        <v>471</v>
      </c>
      <c r="W1422" s="29" cm="1">
        <f t="array" ref="W1422">IF(表成绩单[[#This Row],[总分]]="","",SUMPRODUCT((表成绩单[考试日期]=表成绩单[[#This Row],[考试日期]])*(表成绩单[总分]&lt;9E+307)*(表成绩单[总分]&gt;表成绩单[[#This Row],[总分]]))+1)</f>
        <v>617</v>
      </c>
    </row>
    <row r="1423" ht="28" customHeight="1" spans="4:23">
      <c r="D1423" s="31">
        <v>46003</v>
      </c>
      <c r="E1423" s="29">
        <v>19177593</v>
      </c>
      <c r="F1423" s="29" t="s">
        <v>58</v>
      </c>
      <c r="G1423" s="29" t="s">
        <v>689</v>
      </c>
      <c r="H1423" s="29">
        <v>95</v>
      </c>
      <c r="I1423" s="29">
        <v>34</v>
      </c>
      <c r="J1423" s="29">
        <v>64.5</v>
      </c>
      <c r="K1423" s="29">
        <v>33</v>
      </c>
      <c r="L1423" s="29">
        <v>54</v>
      </c>
      <c r="M1423" s="29">
        <v>54</v>
      </c>
      <c r="N1423" s="29">
        <v>69</v>
      </c>
      <c r="O1423" s="32">
        <v>403.5</v>
      </c>
      <c r="P1423" s="29" cm="1">
        <f t="array" ref="P1423">IF(表成绩单[[#This Row],[语文]]="","",SUMPRODUCT((表成绩单[考试日期]=表成绩单[[#This Row],[考试日期]])*(表成绩单[语文]&lt;9E+307)*(表成绩单[语文]&gt;表成绩单[[#This Row],[语文]]))+1)</f>
        <v>522</v>
      </c>
      <c r="Q1423" s="29" cm="1">
        <f t="array" ref="Q1423">IF(表成绩单[[#This Row],[数学]]="","",SUMPRODUCT((表成绩单[考试日期]=表成绩单[[#This Row],[考试日期]])*(表成绩单[数学]&lt;9E+307)*(表成绩单[数学]&gt;表成绩单[[#This Row],[数学]]))+1)</f>
        <v>660</v>
      </c>
      <c r="R1423" s="29" cm="1">
        <f t="array" ref="R1423">IF(表成绩单[[#This Row],[英语]]="","",SUMPRODUCT((表成绩单[考试日期]=表成绩单[[#This Row],[考试日期]])*(表成绩单[英语]&lt;9E+307)*(表成绩单[英语]&gt;表成绩单[[#This Row],[英语]]))+1)</f>
        <v>484</v>
      </c>
      <c r="S1423" s="29" cm="1">
        <f t="array" ref="S1423">IF(表成绩单[[#This Row],[物理]]="","",SUMPRODUCT((表成绩单[考试日期]=表成绩单[[#This Row],[考试日期]])*(表成绩单[物理]&lt;9E+307)*(表成绩单[物理]&gt;表成绩单[[#This Row],[物理]]))+1)</f>
        <v>698</v>
      </c>
      <c r="T1423" s="29" cm="1">
        <f t="array" ref="T1423">IF(表成绩单[[#This Row],[化学]]="","",SUMPRODUCT((表成绩单[考试日期]=表成绩单[[#This Row],[考试日期]])*(表成绩单[化学]&lt;9E+307)*(表成绩单[化学]&gt;表成绩单[[#This Row],[化学]]))+1)</f>
        <v>629</v>
      </c>
      <c r="U1423" s="29" cm="1">
        <f t="array" ref="U1423">IF(表成绩单[[#This Row],[政治]]="","",SUMPRODUCT((表成绩单[考试日期]=表成绩单[[#This Row],[考试日期]])*(表成绩单[政治]&lt;9E+307)*(表成绩单[政治]&gt;表成绩单[[#This Row],[政治]]))+1)</f>
        <v>524</v>
      </c>
      <c r="V1423" s="29" cm="1">
        <f t="array" ref="V1423">IF(表成绩单[[#This Row],[历史]]="","",SUMPRODUCT((表成绩单[考试日期]=表成绩单[[#This Row],[考试日期]])*(表成绩单[历史]&lt;9E+307)*(表成绩单[历史]&gt;表成绩单[[#This Row],[历史]]))+1)</f>
        <v>516</v>
      </c>
      <c r="W1423" s="29" cm="1">
        <f t="array" ref="W1423">IF(表成绩单[[#This Row],[总分]]="","",SUMPRODUCT((表成绩单[考试日期]=表成绩单[[#This Row],[考试日期]])*(表成绩单[总分]&lt;9E+307)*(表成绩单[总分]&gt;表成绩单[[#This Row],[总分]]))+1)</f>
        <v>618</v>
      </c>
    </row>
    <row r="1424" ht="28" customHeight="1" spans="4:23">
      <c r="D1424" s="31">
        <v>46003</v>
      </c>
      <c r="E1424" s="29">
        <v>19177610</v>
      </c>
      <c r="F1424" s="29" t="s">
        <v>58</v>
      </c>
      <c r="G1424" s="29" t="s">
        <v>713</v>
      </c>
      <c r="H1424" s="29">
        <v>89</v>
      </c>
      <c r="I1424" s="29">
        <v>46</v>
      </c>
      <c r="J1424" s="29">
        <v>32</v>
      </c>
      <c r="K1424" s="29">
        <v>59</v>
      </c>
      <c r="L1424" s="29">
        <v>63</v>
      </c>
      <c r="M1424" s="29">
        <v>57</v>
      </c>
      <c r="N1424" s="29">
        <v>57</v>
      </c>
      <c r="O1424" s="32">
        <v>403</v>
      </c>
      <c r="P1424" s="29" cm="1">
        <f t="array" ref="P1424">IF(表成绩单[[#This Row],[语文]]="","",SUMPRODUCT((表成绩单[考试日期]=表成绩单[[#This Row],[考试日期]])*(表成绩单[语文]&lt;9E+307)*(表成绩单[语文]&gt;表成绩单[[#This Row],[语文]]))+1)</f>
        <v>598</v>
      </c>
      <c r="Q1424" s="29" cm="1">
        <f t="array" ref="Q1424">IF(表成绩单[[#This Row],[数学]]="","",SUMPRODUCT((表成绩单[考试日期]=表成绩单[[#This Row],[考试日期]])*(表成绩单[数学]&lt;9E+307)*(表成绩单[数学]&gt;表成绩单[[#This Row],[数学]]))+1)</f>
        <v>605</v>
      </c>
      <c r="R1424" s="29" cm="1">
        <f t="array" ref="R1424">IF(表成绩单[[#This Row],[英语]]="","",SUMPRODUCT((表成绩单[考试日期]=表成绩单[[#This Row],[考试日期]])*(表成绩单[英语]&lt;9E+307)*(表成绩单[英语]&gt;表成绩单[[#This Row],[英语]]))+1)</f>
        <v>682</v>
      </c>
      <c r="S1424" s="29" cm="1">
        <f t="array" ref="S1424">IF(表成绩单[[#This Row],[物理]]="","",SUMPRODUCT((表成绩单[考试日期]=表成绩单[[#This Row],[考试日期]])*(表成绩单[物理]&lt;9E+307)*(表成绩单[物理]&gt;表成绩单[[#This Row],[物理]]))+1)</f>
        <v>591</v>
      </c>
      <c r="T1424" s="29" cm="1">
        <f t="array" ref="T1424">IF(表成绩单[[#This Row],[化学]]="","",SUMPRODUCT((表成绩单[考试日期]=表成绩单[[#This Row],[考试日期]])*(表成绩单[化学]&lt;9E+307)*(表成绩单[化学]&gt;表成绩单[[#This Row],[化学]]))+1)</f>
        <v>559</v>
      </c>
      <c r="U1424" s="29" cm="1">
        <f t="array" ref="U1424">IF(表成绩单[[#This Row],[政治]]="","",SUMPRODUCT((表成绩单[考试日期]=表成绩单[[#This Row],[考试日期]])*(表成绩单[政治]&lt;9E+307)*(表成绩单[政治]&gt;表成绩单[[#This Row],[政治]]))+1)</f>
        <v>474</v>
      </c>
      <c r="V1424" s="29" cm="1">
        <f t="array" ref="V1424">IF(表成绩单[[#This Row],[历史]]="","",SUMPRODUCT((表成绩单[考试日期]=表成绩单[[#This Row],[考试日期]])*(表成绩单[历史]&lt;9E+307)*(表成绩单[历史]&gt;表成绩单[[#This Row],[历史]]))+1)</f>
        <v>658</v>
      </c>
      <c r="W1424" s="29" cm="1">
        <f t="array" ref="W1424">IF(表成绩单[[#This Row],[总分]]="","",SUMPRODUCT((表成绩单[考试日期]=表成绩单[[#This Row],[考试日期]])*(表成绩单[总分]&lt;9E+307)*(表成绩单[总分]&gt;表成绩单[[#This Row],[总分]]))+1)</f>
        <v>619</v>
      </c>
    </row>
    <row r="1425" ht="28" customHeight="1" spans="4:23">
      <c r="D1425" s="31">
        <v>46003</v>
      </c>
      <c r="E1425" s="29">
        <v>19175301</v>
      </c>
      <c r="F1425" s="29" t="s">
        <v>55</v>
      </c>
      <c r="G1425" s="29" t="s">
        <v>706</v>
      </c>
      <c r="H1425" s="29">
        <v>99</v>
      </c>
      <c r="I1425" s="29">
        <v>51</v>
      </c>
      <c r="J1425" s="29">
        <v>52</v>
      </c>
      <c r="K1425" s="29">
        <v>43</v>
      </c>
      <c r="L1425" s="29">
        <v>43</v>
      </c>
      <c r="M1425" s="29">
        <v>44</v>
      </c>
      <c r="N1425" s="29">
        <v>70</v>
      </c>
      <c r="O1425" s="32">
        <v>402</v>
      </c>
      <c r="P1425" s="29" cm="1">
        <f t="array" ref="P1425">IF(表成绩单[[#This Row],[语文]]="","",SUMPRODUCT((表成绩单[考试日期]=表成绩单[[#This Row],[考试日期]])*(表成绩单[语文]&lt;9E+307)*(表成绩单[语文]&gt;表成绩单[[#This Row],[语文]]))+1)</f>
        <v>440</v>
      </c>
      <c r="Q1425" s="29" cm="1">
        <f t="array" ref="Q1425">IF(表成绩单[[#This Row],[数学]]="","",SUMPRODUCT((表成绩单[考试日期]=表成绩单[[#This Row],[考试日期]])*(表成绩单[数学]&lt;9E+307)*(表成绩单[数学]&gt;表成绩单[[#This Row],[数学]]))+1)</f>
        <v>572</v>
      </c>
      <c r="R1425" s="29" cm="1">
        <f t="array" ref="R1425">IF(表成绩单[[#This Row],[英语]]="","",SUMPRODUCT((表成绩单[考试日期]=表成绩单[[#This Row],[考试日期]])*(表成绩单[英语]&lt;9E+307)*(表成绩单[英语]&gt;表成绩单[[#This Row],[英语]]))+1)</f>
        <v>589</v>
      </c>
      <c r="S1425" s="29" cm="1">
        <f t="array" ref="S1425">IF(表成绩单[[#This Row],[物理]]="","",SUMPRODUCT((表成绩单[考试日期]=表成绩单[[#This Row],[考试日期]])*(表成绩单[物理]&lt;9E+307)*(表成绩单[物理]&gt;表成绩单[[#This Row],[物理]]))+1)</f>
        <v>659</v>
      </c>
      <c r="T1425" s="29" cm="1">
        <f t="array" ref="T1425">IF(表成绩单[[#This Row],[化学]]="","",SUMPRODUCT((表成绩单[考试日期]=表成绩单[[#This Row],[考试日期]])*(表成绩单[化学]&lt;9E+307)*(表成绩单[化学]&gt;表成绩单[[#This Row],[化学]]))+1)</f>
        <v>691</v>
      </c>
      <c r="U1425" s="29" cm="1">
        <f t="array" ref="U1425">IF(表成绩单[[#This Row],[政治]]="","",SUMPRODUCT((表成绩单[考试日期]=表成绩单[[#This Row],[考试日期]])*(表成绩单[政治]&lt;9E+307)*(表成绩单[政治]&gt;表成绩单[[#This Row],[政治]]))+1)</f>
        <v>651</v>
      </c>
      <c r="V1425" s="29" cm="1">
        <f t="array" ref="V1425">IF(表成绩单[[#This Row],[历史]]="","",SUMPRODUCT((表成绩单[考试日期]=表成绩单[[#This Row],[考试日期]])*(表成绩单[历史]&lt;9E+307)*(表成绩单[历史]&gt;表成绩单[[#This Row],[历史]]))+1)</f>
        <v>499</v>
      </c>
      <c r="W1425" s="29" cm="1">
        <f t="array" ref="W1425">IF(表成绩单[[#This Row],[总分]]="","",SUMPRODUCT((表成绩单[考试日期]=表成绩单[[#This Row],[考试日期]])*(表成绩单[总分]&lt;9E+307)*(表成绩单[总分]&gt;表成绩单[[#This Row],[总分]]))+1)</f>
        <v>620</v>
      </c>
    </row>
    <row r="1426" ht="28" customHeight="1" spans="4:23">
      <c r="D1426" s="31">
        <v>46003</v>
      </c>
      <c r="E1426" s="29">
        <v>19176019</v>
      </c>
      <c r="F1426" s="29" t="s">
        <v>59</v>
      </c>
      <c r="G1426" s="29" t="s">
        <v>719</v>
      </c>
      <c r="H1426" s="29">
        <v>103</v>
      </c>
      <c r="I1426" s="29">
        <v>43</v>
      </c>
      <c r="J1426" s="29">
        <v>33.5</v>
      </c>
      <c r="K1426" s="29">
        <v>42</v>
      </c>
      <c r="L1426" s="29">
        <v>57</v>
      </c>
      <c r="M1426" s="29">
        <v>56</v>
      </c>
      <c r="N1426" s="29">
        <v>67</v>
      </c>
      <c r="O1426" s="32">
        <v>401.5</v>
      </c>
      <c r="P1426" s="29" cm="1">
        <f t="array" ref="P1426">IF(表成绩单[[#This Row],[语文]]="","",SUMPRODUCT((表成绩单[考试日期]=表成绩单[[#This Row],[考试日期]])*(表成绩单[语文]&lt;9E+307)*(表成绩单[语文]&gt;表成绩单[[#This Row],[语文]]))+1)</f>
        <v>333</v>
      </c>
      <c r="Q1426" s="29" cm="1">
        <f t="array" ref="Q1426">IF(表成绩单[[#This Row],[数学]]="","",SUMPRODUCT((表成绩单[考试日期]=表成绩单[[#This Row],[考试日期]])*(表成绩单[数学]&lt;9E+307)*(表成绩单[数学]&gt;表成绩单[[#This Row],[数学]]))+1)</f>
        <v>622</v>
      </c>
      <c r="R1426" s="29" cm="1">
        <f t="array" ref="R1426">IF(表成绩单[[#This Row],[英语]]="","",SUMPRODUCT((表成绩单[考试日期]=表成绩单[[#This Row],[考试日期]])*(表成绩单[英语]&lt;9E+307)*(表成绩单[英语]&gt;表成绩单[[#This Row],[英语]]))+1)</f>
        <v>675</v>
      </c>
      <c r="S1426" s="29" cm="1">
        <f t="array" ref="S1426">IF(表成绩单[[#This Row],[物理]]="","",SUMPRODUCT((表成绩单[考试日期]=表成绩单[[#This Row],[考试日期]])*(表成绩单[物理]&lt;9E+307)*(表成绩单[物理]&gt;表成绩单[[#This Row],[物理]]))+1)</f>
        <v>666</v>
      </c>
      <c r="T1426" s="29" cm="1">
        <f t="array" ref="T1426">IF(表成绩单[[#This Row],[化学]]="","",SUMPRODUCT((表成绩单[考试日期]=表成绩单[[#This Row],[考试日期]])*(表成绩单[化学]&lt;9E+307)*(表成绩单[化学]&gt;表成绩单[[#This Row],[化学]]))+1)</f>
        <v>608</v>
      </c>
      <c r="U1426" s="29" cm="1">
        <f t="array" ref="U1426">IF(表成绩单[[#This Row],[政治]]="","",SUMPRODUCT((表成绩单[考试日期]=表成绩单[[#This Row],[考试日期]])*(表成绩单[政治]&lt;9E+307)*(表成绩单[政治]&gt;表成绩单[[#This Row],[政治]]))+1)</f>
        <v>492</v>
      </c>
      <c r="V1426" s="29" cm="1">
        <f t="array" ref="V1426">IF(表成绩单[[#This Row],[历史]]="","",SUMPRODUCT((表成绩单[考试日期]=表成绩单[[#This Row],[考试日期]])*(表成绩单[历史]&lt;9E+307)*(表成绩单[历史]&gt;表成绩单[[#This Row],[历史]]))+1)</f>
        <v>549</v>
      </c>
      <c r="W1426" s="29" cm="1">
        <f t="array" ref="W1426">IF(表成绩单[[#This Row],[总分]]="","",SUMPRODUCT((表成绩单[考试日期]=表成绩单[[#This Row],[考试日期]])*(表成绩单[总分]&lt;9E+307)*(表成绩单[总分]&gt;表成绩单[[#This Row],[总分]]))+1)</f>
        <v>621</v>
      </c>
    </row>
    <row r="1427" ht="28" customHeight="1" spans="4:23">
      <c r="D1427" s="31">
        <v>46003</v>
      </c>
      <c r="E1427" s="29">
        <v>26754600</v>
      </c>
      <c r="F1427" s="29" t="s">
        <v>55</v>
      </c>
      <c r="G1427" s="29" t="s">
        <v>764</v>
      </c>
      <c r="H1427" s="29">
        <v>87</v>
      </c>
      <c r="I1427" s="29">
        <v>44</v>
      </c>
      <c r="J1427" s="29">
        <v>30.5</v>
      </c>
      <c r="K1427" s="29">
        <v>50</v>
      </c>
      <c r="L1427" s="29">
        <v>58</v>
      </c>
      <c r="M1427" s="29">
        <v>61</v>
      </c>
      <c r="N1427" s="29">
        <v>71</v>
      </c>
      <c r="O1427" s="32">
        <v>401.5</v>
      </c>
      <c r="P1427" s="29" cm="1">
        <f t="array" ref="P1427">IF(表成绩单[[#This Row],[语文]]="","",SUMPRODUCT((表成绩单[考试日期]=表成绩单[[#This Row],[考试日期]])*(表成绩单[语文]&lt;9E+307)*(表成绩单[语文]&gt;表成绩单[[#This Row],[语文]]))+1)</f>
        <v>620</v>
      </c>
      <c r="Q1427" s="29" cm="1">
        <f t="array" ref="Q1427">IF(表成绩单[[#This Row],[数学]]="","",SUMPRODUCT((表成绩单[考试日期]=表成绩单[[#This Row],[考试日期]])*(表成绩单[数学]&lt;9E+307)*(表成绩单[数学]&gt;表成绩单[[#This Row],[数学]]))+1)</f>
        <v>611</v>
      </c>
      <c r="R1427" s="29" cm="1">
        <f t="array" ref="R1427">IF(表成绩单[[#This Row],[英语]]="","",SUMPRODUCT((表成绩单[考试日期]=表成绩单[[#This Row],[考试日期]])*(表成绩单[英语]&lt;9E+307)*(表成绩单[英语]&gt;表成绩单[[#This Row],[英语]]))+1)</f>
        <v>687</v>
      </c>
      <c r="S1427" s="29" cm="1">
        <f t="array" ref="S1427">IF(表成绩单[[#This Row],[物理]]="","",SUMPRODUCT((表成绩单[考试日期]=表成绩单[[#This Row],[考试日期]])*(表成绩单[物理]&lt;9E+307)*(表成绩单[物理]&gt;表成绩单[[#This Row],[物理]]))+1)</f>
        <v>636</v>
      </c>
      <c r="T1427" s="29" cm="1">
        <f t="array" ref="T1427">IF(表成绩单[[#This Row],[化学]]="","",SUMPRODUCT((表成绩单[考试日期]=表成绩单[[#This Row],[考试日期]])*(表成绩单[化学]&lt;9E+307)*(表成绩单[化学]&gt;表成绩单[[#This Row],[化学]]))+1)</f>
        <v>597</v>
      </c>
      <c r="U1427" s="29" cm="1">
        <f t="array" ref="U1427">IF(表成绩单[[#This Row],[政治]]="","",SUMPRODUCT((表成绩单[考试日期]=表成绩单[[#This Row],[考试日期]])*(表成绩单[政治]&lt;9E+307)*(表成绩单[政治]&gt;表成绩单[[#This Row],[政治]]))+1)</f>
        <v>400</v>
      </c>
      <c r="V1427" s="29" cm="1">
        <f t="array" ref="V1427">IF(表成绩单[[#This Row],[历史]]="","",SUMPRODUCT((表成绩单[考试日期]=表成绩单[[#This Row],[考试日期]])*(表成绩单[历史]&lt;9E+307)*(表成绩单[历史]&gt;表成绩单[[#This Row],[历史]]))+1)</f>
        <v>471</v>
      </c>
      <c r="W1427" s="29" cm="1">
        <f t="array" ref="W1427">IF(表成绩单[[#This Row],[总分]]="","",SUMPRODUCT((表成绩单[考试日期]=表成绩单[[#This Row],[考试日期]])*(表成绩单[总分]&lt;9E+307)*(表成绩单[总分]&gt;表成绩单[[#This Row],[总分]]))+1)</f>
        <v>621</v>
      </c>
    </row>
    <row r="1428" ht="28" customHeight="1" spans="4:23">
      <c r="D1428" s="31">
        <v>46003</v>
      </c>
      <c r="E1428" s="29">
        <v>26752435</v>
      </c>
      <c r="F1428" s="29" t="s">
        <v>59</v>
      </c>
      <c r="G1428" s="29" t="s">
        <v>731</v>
      </c>
      <c r="H1428" s="29">
        <v>90</v>
      </c>
      <c r="I1428" s="29">
        <v>50</v>
      </c>
      <c r="J1428" s="29">
        <v>29</v>
      </c>
      <c r="K1428" s="29">
        <v>69</v>
      </c>
      <c r="L1428" s="29">
        <v>62</v>
      </c>
      <c r="M1428" s="29">
        <v>37</v>
      </c>
      <c r="N1428" s="29">
        <v>64</v>
      </c>
      <c r="O1428" s="32">
        <v>401</v>
      </c>
      <c r="P1428" s="29" cm="1">
        <f t="array" ref="P1428">IF(表成绩单[[#This Row],[语文]]="","",SUMPRODUCT((表成绩单[考试日期]=表成绩单[[#This Row],[考试日期]])*(表成绩单[语文]&lt;9E+307)*(表成绩单[语文]&gt;表成绩单[[#This Row],[语文]]))+1)</f>
        <v>589</v>
      </c>
      <c r="Q1428" s="29" cm="1">
        <f t="array" ref="Q1428">IF(表成绩单[[#This Row],[数学]]="","",SUMPRODUCT((表成绩单[考试日期]=表成绩单[[#This Row],[考试日期]])*(表成绩单[数学]&lt;9E+307)*(表成绩单[数学]&gt;表成绩单[[#This Row],[数学]]))+1)</f>
        <v>578</v>
      </c>
      <c r="R1428" s="29" cm="1">
        <f t="array" ref="R1428">IF(表成绩单[[#This Row],[英语]]="","",SUMPRODUCT((表成绩单[考试日期]=表成绩单[[#This Row],[考试日期]])*(表成绩单[英语]&lt;9E+307)*(表成绩单[英语]&gt;表成绩单[[#This Row],[英语]]))+1)</f>
        <v>694</v>
      </c>
      <c r="S1428" s="29" cm="1">
        <f t="array" ref="S1428">IF(表成绩单[[#This Row],[物理]]="","",SUMPRODUCT((表成绩单[考试日期]=表成绩单[[#This Row],[考试日期]])*(表成绩单[物理]&lt;9E+307)*(表成绩单[物理]&gt;表成绩单[[#This Row],[物理]]))+1)</f>
        <v>532</v>
      </c>
      <c r="T1428" s="29" cm="1">
        <f t="array" ref="T1428">IF(表成绩单[[#This Row],[化学]]="","",SUMPRODUCT((表成绩单[考试日期]=表成绩单[[#This Row],[考试日期]])*(表成绩单[化学]&lt;9E+307)*(表成绩单[化学]&gt;表成绩单[[#This Row],[化学]]))+1)</f>
        <v>565</v>
      </c>
      <c r="U1428" s="29" cm="1">
        <f t="array" ref="U1428">IF(表成绩单[[#This Row],[政治]]="","",SUMPRODUCT((表成绩单[考试日期]=表成绩单[[#This Row],[考试日期]])*(表成绩单[政治]&lt;9E+307)*(表成绩单[政治]&gt;表成绩单[[#This Row],[政治]]))+1)</f>
        <v>697</v>
      </c>
      <c r="V1428" s="29" cm="1">
        <f t="array" ref="V1428">IF(表成绩单[[#This Row],[历史]]="","",SUMPRODUCT((表成绩单[考试日期]=表成绩单[[#This Row],[考试日期]])*(表成绩单[历史]&lt;9E+307)*(表成绩单[历史]&gt;表成绩单[[#This Row],[历史]]))+1)</f>
        <v>593</v>
      </c>
      <c r="W1428" s="29" cm="1">
        <f t="array" ref="W1428">IF(表成绩单[[#This Row],[总分]]="","",SUMPRODUCT((表成绩单[考试日期]=表成绩单[[#This Row],[考试日期]])*(表成绩单[总分]&lt;9E+307)*(表成绩单[总分]&gt;表成绩单[[#This Row],[总分]]))+1)</f>
        <v>623</v>
      </c>
    </row>
    <row r="1429" ht="28" customHeight="1" spans="4:23">
      <c r="D1429" s="31">
        <v>46003</v>
      </c>
      <c r="E1429" s="29">
        <v>19178578</v>
      </c>
      <c r="F1429" s="29" t="s">
        <v>64</v>
      </c>
      <c r="G1429" s="29" t="s">
        <v>733</v>
      </c>
      <c r="H1429" s="29">
        <v>84</v>
      </c>
      <c r="I1429" s="29">
        <v>40</v>
      </c>
      <c r="J1429" s="29">
        <v>48.5</v>
      </c>
      <c r="K1429" s="29">
        <v>81</v>
      </c>
      <c r="L1429" s="29">
        <v>40</v>
      </c>
      <c r="M1429" s="29">
        <v>49</v>
      </c>
      <c r="N1429" s="29">
        <v>58</v>
      </c>
      <c r="O1429" s="32">
        <v>400.5</v>
      </c>
      <c r="P1429" s="29" cm="1">
        <f t="array" ref="P1429">IF(表成绩单[[#This Row],[语文]]="","",SUMPRODUCT((表成绩单[考试日期]=表成绩单[[#This Row],[考试日期]])*(表成绩单[语文]&lt;9E+307)*(表成绩单[语文]&gt;表成绩单[[#This Row],[语文]]))+1)</f>
        <v>642</v>
      </c>
      <c r="Q1429" s="29" cm="1">
        <f t="array" ref="Q1429">IF(表成绩单[[#This Row],[数学]]="","",SUMPRODUCT((表成绩单[考试日期]=表成绩单[[#This Row],[考试日期]])*(表成绩单[数学]&lt;9E+307)*(表成绩单[数学]&gt;表成绩单[[#This Row],[数学]]))+1)</f>
        <v>634</v>
      </c>
      <c r="R1429" s="29" cm="1">
        <f t="array" ref="R1429">IF(表成绩单[[#This Row],[英语]]="","",SUMPRODUCT((表成绩单[考试日期]=表成绩单[[#This Row],[考试日期]])*(表成绩单[英语]&lt;9E+307)*(表成绩单[英语]&gt;表成绩单[[#This Row],[英语]]))+1)</f>
        <v>612</v>
      </c>
      <c r="S1429" s="29" cm="1">
        <f t="array" ref="S1429">IF(表成绩单[[#This Row],[物理]]="","",SUMPRODUCT((表成绩单[考试日期]=表成绩单[[#This Row],[考试日期]])*(表成绩单[物理]&lt;9E+307)*(表成绩单[物理]&gt;表成绩单[[#This Row],[物理]]))+1)</f>
        <v>405</v>
      </c>
      <c r="T1429" s="29" cm="1">
        <f t="array" ref="T1429">IF(表成绩单[[#This Row],[化学]]="","",SUMPRODUCT((表成绩单[考试日期]=表成绩单[[#This Row],[考试日期]])*(表成绩单[化学]&lt;9E+307)*(表成绩单[化学]&gt;表成绩单[[#This Row],[化学]]))+1)</f>
        <v>705</v>
      </c>
      <c r="U1429" s="29" cm="1">
        <f t="array" ref="U1429">IF(表成绩单[[#This Row],[政治]]="","",SUMPRODUCT((表成绩单[考试日期]=表成绩单[[#This Row],[考试日期]])*(表成绩单[政治]&lt;9E+307)*(表成绩单[政治]&gt;表成绩单[[#This Row],[政治]]))+1)</f>
        <v>600</v>
      </c>
      <c r="V1429" s="29" cm="1">
        <f t="array" ref="V1429">IF(表成绩单[[#This Row],[历史]]="","",SUMPRODUCT((表成绩单[考试日期]=表成绩单[[#This Row],[考试日期]])*(表成绩单[历史]&lt;9E+307)*(表成绩单[历史]&gt;表成绩单[[#This Row],[历史]]))+1)</f>
        <v>651</v>
      </c>
      <c r="W1429" s="29" cm="1">
        <f t="array" ref="W1429">IF(表成绩单[[#This Row],[总分]]="","",SUMPRODUCT((表成绩单[考试日期]=表成绩单[[#This Row],[考试日期]])*(表成绩单[总分]&lt;9E+307)*(表成绩单[总分]&gt;表成绩单[[#This Row],[总分]]))+1)</f>
        <v>624</v>
      </c>
    </row>
    <row r="1430" ht="28" customHeight="1" spans="4:23">
      <c r="D1430" s="31">
        <v>46003</v>
      </c>
      <c r="E1430" s="29">
        <v>19174736</v>
      </c>
      <c r="F1430" s="29" t="s">
        <v>64</v>
      </c>
      <c r="G1430" s="29" t="s">
        <v>801</v>
      </c>
      <c r="H1430" s="29">
        <v>83</v>
      </c>
      <c r="I1430" s="29">
        <v>38</v>
      </c>
      <c r="J1430" s="29">
        <v>46.5</v>
      </c>
      <c r="K1430" s="29">
        <v>52</v>
      </c>
      <c r="L1430" s="29">
        <v>54</v>
      </c>
      <c r="M1430" s="29">
        <v>57</v>
      </c>
      <c r="N1430" s="29">
        <v>66</v>
      </c>
      <c r="O1430" s="32">
        <v>396.5</v>
      </c>
      <c r="P1430" s="29" cm="1">
        <f t="array" ref="P1430">IF(表成绩单[[#This Row],[语文]]="","",SUMPRODUCT((表成绩单[考试日期]=表成绩单[[#This Row],[考试日期]])*(表成绩单[语文]&lt;9E+307)*(表成绩单[语文]&gt;表成绩单[[#This Row],[语文]]))+1)</f>
        <v>651</v>
      </c>
      <c r="Q1430" s="29" cm="1">
        <f t="array" ref="Q1430">IF(表成绩单[[#This Row],[数学]]="","",SUMPRODUCT((表成绩单[考试日期]=表成绩单[[#This Row],[考试日期]])*(表成绩单[数学]&lt;9E+307)*(表成绩单[数学]&gt;表成绩单[[#This Row],[数学]]))+1)</f>
        <v>645</v>
      </c>
      <c r="R1430" s="29" cm="1">
        <f t="array" ref="R1430">IF(表成绩单[[#This Row],[英语]]="","",SUMPRODUCT((表成绩单[考试日期]=表成绩单[[#This Row],[考试日期]])*(表成绩单[英语]&lt;9E+307)*(表成绩单[英语]&gt;表成绩单[[#This Row],[英语]]))+1)</f>
        <v>623</v>
      </c>
      <c r="S1430" s="29" cm="1">
        <f t="array" ref="S1430">IF(表成绩单[[#This Row],[物理]]="","",SUMPRODUCT((表成绩单[考试日期]=表成绩单[[#This Row],[考试日期]])*(表成绩单[物理]&lt;9E+307)*(表成绩单[物理]&gt;表成绩单[[#This Row],[物理]]))+1)</f>
        <v>622</v>
      </c>
      <c r="T1430" s="29" cm="1">
        <f t="array" ref="T1430">IF(表成绩单[[#This Row],[化学]]="","",SUMPRODUCT((表成绩单[考试日期]=表成绩单[[#This Row],[考试日期]])*(表成绩单[化学]&lt;9E+307)*(表成绩单[化学]&gt;表成绩单[[#This Row],[化学]]))+1)</f>
        <v>629</v>
      </c>
      <c r="U1430" s="29" cm="1">
        <f t="array" ref="U1430">IF(表成绩单[[#This Row],[政治]]="","",SUMPRODUCT((表成绩单[考试日期]=表成绩单[[#This Row],[考试日期]])*(表成绩单[政治]&lt;9E+307)*(表成绩单[政治]&gt;表成绩单[[#This Row],[政治]]))+1)</f>
        <v>474</v>
      </c>
      <c r="V1430" s="29" cm="1">
        <f t="array" ref="V1430">IF(表成绩单[[#This Row],[历史]]="","",SUMPRODUCT((表成绩单[考试日期]=表成绩单[[#This Row],[考试日期]])*(表成绩单[历史]&lt;9E+307)*(表成绩单[历史]&gt;表成绩单[[#This Row],[历史]]))+1)</f>
        <v>571</v>
      </c>
      <c r="W1430" s="29" cm="1">
        <f t="array" ref="W1430">IF(表成绩单[[#This Row],[总分]]="","",SUMPRODUCT((表成绩单[考试日期]=表成绩单[[#This Row],[考试日期]])*(表成绩单[总分]&lt;9E+307)*(表成绩单[总分]&gt;表成绩单[[#This Row],[总分]]))+1)</f>
        <v>625</v>
      </c>
    </row>
    <row r="1431" ht="28" customHeight="1" spans="4:23">
      <c r="D1431" s="31">
        <v>46003</v>
      </c>
      <c r="E1431" s="29">
        <v>19173278</v>
      </c>
      <c r="F1431" s="29" t="s">
        <v>61</v>
      </c>
      <c r="G1431" s="29" t="s">
        <v>780</v>
      </c>
      <c r="H1431" s="29">
        <v>84</v>
      </c>
      <c r="I1431" s="29">
        <v>53</v>
      </c>
      <c r="J1431" s="29">
        <v>44</v>
      </c>
      <c r="K1431" s="29">
        <v>58</v>
      </c>
      <c r="L1431" s="29">
        <v>62</v>
      </c>
      <c r="M1431" s="29">
        <v>36</v>
      </c>
      <c r="N1431" s="29">
        <v>58</v>
      </c>
      <c r="O1431" s="32">
        <v>395</v>
      </c>
      <c r="P1431" s="29" cm="1">
        <f t="array" ref="P1431">IF(表成绩单[[#This Row],[语文]]="","",SUMPRODUCT((表成绩单[考试日期]=表成绩单[[#This Row],[考试日期]])*(表成绩单[语文]&lt;9E+307)*(表成绩单[语文]&gt;表成绩单[[#This Row],[语文]]))+1)</f>
        <v>642</v>
      </c>
      <c r="Q1431" s="29" cm="1">
        <f t="array" ref="Q1431">IF(表成绩单[[#This Row],[数学]]="","",SUMPRODUCT((表成绩单[考试日期]=表成绩单[[#This Row],[考试日期]])*(表成绩单[数学]&lt;9E+307)*(表成绩单[数学]&gt;表成绩单[[#This Row],[数学]]))+1)</f>
        <v>565</v>
      </c>
      <c r="R1431" s="29" cm="1">
        <f t="array" ref="R1431">IF(表成绩单[[#This Row],[英语]]="","",SUMPRODUCT((表成绩单[考试日期]=表成绩单[[#This Row],[考试日期]])*(表成绩单[英语]&lt;9E+307)*(表成绩单[英语]&gt;表成绩单[[#This Row],[英语]]))+1)</f>
        <v>632</v>
      </c>
      <c r="S1431" s="29" cm="1">
        <f t="array" ref="S1431">IF(表成绩单[[#This Row],[物理]]="","",SUMPRODUCT((表成绩单[考试日期]=表成绩单[[#This Row],[考试日期]])*(表成绩单[物理]&lt;9E+307)*(表成绩单[物理]&gt;表成绩单[[#This Row],[物理]]))+1)</f>
        <v>600</v>
      </c>
      <c r="T1431" s="29" cm="1">
        <f t="array" ref="T1431">IF(表成绩单[[#This Row],[化学]]="","",SUMPRODUCT((表成绩单[考试日期]=表成绩单[[#This Row],[考试日期]])*(表成绩单[化学]&lt;9E+307)*(表成绩单[化学]&gt;表成绩单[[#This Row],[化学]]))+1)</f>
        <v>565</v>
      </c>
      <c r="U1431" s="29" cm="1">
        <f t="array" ref="U1431">IF(表成绩单[[#This Row],[政治]]="","",SUMPRODUCT((表成绩单[考试日期]=表成绩单[[#This Row],[考试日期]])*(表成绩单[政治]&lt;9E+307)*(表成绩单[政治]&gt;表成绩单[[#This Row],[政治]]))+1)</f>
        <v>705</v>
      </c>
      <c r="V1431" s="29" cm="1">
        <f t="array" ref="V1431">IF(表成绩单[[#This Row],[历史]]="","",SUMPRODUCT((表成绩单[考试日期]=表成绩单[[#This Row],[考试日期]])*(表成绩单[历史]&lt;9E+307)*(表成绩单[历史]&gt;表成绩单[[#This Row],[历史]]))+1)</f>
        <v>651</v>
      </c>
      <c r="W1431" s="29" cm="1">
        <f t="array" ref="W1431">IF(表成绩单[[#This Row],[总分]]="","",SUMPRODUCT((表成绩单[考试日期]=表成绩单[[#This Row],[考试日期]])*(表成绩单[总分]&lt;9E+307)*(表成绩单[总分]&gt;表成绩单[[#This Row],[总分]]))+1)</f>
        <v>626</v>
      </c>
    </row>
    <row r="1432" ht="28" customHeight="1" spans="4:23">
      <c r="D1432" s="31">
        <v>46003</v>
      </c>
      <c r="E1432" s="29">
        <v>19173801</v>
      </c>
      <c r="F1432" s="29" t="s">
        <v>65</v>
      </c>
      <c r="G1432" s="29" t="s">
        <v>752</v>
      </c>
      <c r="H1432" s="29">
        <v>92</v>
      </c>
      <c r="I1432" s="29">
        <v>18</v>
      </c>
      <c r="J1432" s="29">
        <v>68</v>
      </c>
      <c r="K1432" s="29">
        <v>52</v>
      </c>
      <c r="L1432" s="29">
        <v>44</v>
      </c>
      <c r="M1432" s="29">
        <v>56</v>
      </c>
      <c r="N1432" s="29">
        <v>65</v>
      </c>
      <c r="O1432" s="32">
        <v>395</v>
      </c>
      <c r="P1432" s="29" cm="1">
        <f t="array" ref="P1432">IF(表成绩单[[#This Row],[语文]]="","",SUMPRODUCT((表成绩单[考试日期]=表成绩单[[#This Row],[考试日期]])*(表成绩单[语文]&lt;9E+307)*(表成绩单[语文]&gt;表成绩单[[#This Row],[语文]]))+1)</f>
        <v>569</v>
      </c>
      <c r="Q1432" s="29" cm="1">
        <f t="array" ref="Q1432">IF(表成绩单[[#This Row],[数学]]="","",SUMPRODUCT((表成绩单[考试日期]=表成绩单[[#This Row],[考试日期]])*(表成绩单[数学]&lt;9E+307)*(表成绩单[数学]&gt;表成绩单[[#This Row],[数学]]))+1)</f>
        <v>711</v>
      </c>
      <c r="R1432" s="29" cm="1">
        <f t="array" ref="R1432">IF(表成绩单[[#This Row],[英语]]="","",SUMPRODUCT((表成绩单[考试日期]=表成绩单[[#This Row],[考试日期]])*(表成绩单[英语]&lt;9E+307)*(表成绩单[英语]&gt;表成绩单[[#This Row],[英语]]))+1)</f>
        <v>450</v>
      </c>
      <c r="S1432" s="29" cm="1">
        <f t="array" ref="S1432">IF(表成绩单[[#This Row],[物理]]="","",SUMPRODUCT((表成绩单[考试日期]=表成绩单[[#This Row],[考试日期]])*(表成绩单[物理]&lt;9E+307)*(表成绩单[物理]&gt;表成绩单[[#This Row],[物理]]))+1)</f>
        <v>622</v>
      </c>
      <c r="T1432" s="29" cm="1">
        <f t="array" ref="T1432">IF(表成绩单[[#This Row],[化学]]="","",SUMPRODUCT((表成绩单[考试日期]=表成绩单[[#This Row],[考试日期]])*(表成绩单[化学]&lt;9E+307)*(表成绩单[化学]&gt;表成绩单[[#This Row],[化学]]))+1)</f>
        <v>684</v>
      </c>
      <c r="U1432" s="29" cm="1">
        <f t="array" ref="U1432">IF(表成绩单[[#This Row],[政治]]="","",SUMPRODUCT((表成绩单[考试日期]=表成绩单[[#This Row],[考试日期]])*(表成绩单[政治]&lt;9E+307)*(表成绩单[政治]&gt;表成绩单[[#This Row],[政治]]))+1)</f>
        <v>492</v>
      </c>
      <c r="V1432" s="29" cm="1">
        <f t="array" ref="V1432">IF(表成绩单[[#This Row],[历史]]="","",SUMPRODUCT((表成绩单[考试日期]=表成绩单[[#This Row],[考试日期]])*(表成绩单[历史]&lt;9E+307)*(表成绩单[历史]&gt;表成绩单[[#This Row],[历史]]))+1)</f>
        <v>582</v>
      </c>
      <c r="W1432" s="29" cm="1">
        <f t="array" ref="W1432">IF(表成绩单[[#This Row],[总分]]="","",SUMPRODUCT((表成绩单[考试日期]=表成绩单[[#This Row],[考试日期]])*(表成绩单[总分]&lt;9E+307)*(表成绩单[总分]&gt;表成绩单[[#This Row],[总分]]))+1)</f>
        <v>626</v>
      </c>
    </row>
    <row r="1433" ht="28" customHeight="1" spans="4:23">
      <c r="D1433" s="31">
        <v>46003</v>
      </c>
      <c r="E1433" s="29">
        <v>19175598</v>
      </c>
      <c r="F1433" s="29" t="s">
        <v>57</v>
      </c>
      <c r="G1433" s="29" t="s">
        <v>732</v>
      </c>
      <c r="H1433" s="29">
        <v>74</v>
      </c>
      <c r="I1433" s="29">
        <v>59</v>
      </c>
      <c r="J1433" s="29">
        <v>53</v>
      </c>
      <c r="K1433" s="29">
        <v>52</v>
      </c>
      <c r="L1433" s="29">
        <v>67</v>
      </c>
      <c r="M1433" s="29">
        <v>33</v>
      </c>
      <c r="N1433" s="29">
        <v>54</v>
      </c>
      <c r="O1433" s="32">
        <v>392</v>
      </c>
      <c r="P1433" s="29" cm="1">
        <f t="array" ref="P1433">IF(表成绩单[[#This Row],[语文]]="","",SUMPRODUCT((表成绩单[考试日期]=表成绩单[[#This Row],[考试日期]])*(表成绩单[语文]&lt;9E+307)*(表成绩单[语文]&gt;表成绩单[[#This Row],[语文]]))+1)</f>
        <v>690</v>
      </c>
      <c r="Q1433" s="29" cm="1">
        <f t="array" ref="Q1433">IF(表成绩单[[#This Row],[数学]]="","",SUMPRODUCT((表成绩单[考试日期]=表成绩单[[#This Row],[考试日期]])*(表成绩单[数学]&lt;9E+307)*(表成绩单[数学]&gt;表成绩单[[#This Row],[数学]]))+1)</f>
        <v>526</v>
      </c>
      <c r="R1433" s="29" cm="1">
        <f t="array" ref="R1433">IF(表成绩单[[#This Row],[英语]]="","",SUMPRODUCT((表成绩单[考试日期]=表成绩单[[#This Row],[考试日期]])*(表成绩单[英语]&lt;9E+307)*(表成绩单[英语]&gt;表成绩单[[#This Row],[英语]]))+1)</f>
        <v>585</v>
      </c>
      <c r="S1433" s="29" cm="1">
        <f t="array" ref="S1433">IF(表成绩单[[#This Row],[物理]]="","",SUMPRODUCT((表成绩单[考试日期]=表成绩单[[#This Row],[考试日期]])*(表成绩单[物理]&lt;9E+307)*(表成绩单[物理]&gt;表成绩单[[#This Row],[物理]]))+1)</f>
        <v>622</v>
      </c>
      <c r="T1433" s="29" cm="1">
        <f t="array" ref="T1433">IF(表成绩单[[#This Row],[化学]]="","",SUMPRODUCT((表成绩单[考试日期]=表成绩单[[#This Row],[考试日期]])*(表成绩单[化学]&lt;9E+307)*(表成绩单[化学]&gt;表成绩单[[#This Row],[化学]]))+1)</f>
        <v>521</v>
      </c>
      <c r="U1433" s="29" cm="1">
        <f t="array" ref="U1433">IF(表成绩单[[#This Row],[政治]]="","",SUMPRODUCT((表成绩单[考试日期]=表成绩单[[#This Row],[考试日期]])*(表成绩单[政治]&lt;9E+307)*(表成绩单[政治]&gt;表成绩单[[#This Row],[政治]]))+1)</f>
        <v>716</v>
      </c>
      <c r="V1433" s="29" cm="1">
        <f t="array" ref="V1433">IF(表成绩单[[#This Row],[历史]]="","",SUMPRODUCT((表成绩单[考试日期]=表成绩单[[#This Row],[考试日期]])*(表成绩单[历史]&lt;9E+307)*(表成绩单[历史]&gt;表成绩单[[#This Row],[历史]]))+1)</f>
        <v>679</v>
      </c>
      <c r="W1433" s="29" cm="1">
        <f t="array" ref="W1433">IF(表成绩单[[#This Row],[总分]]="","",SUMPRODUCT((表成绩单[考试日期]=表成绩单[[#This Row],[考试日期]])*(表成绩单[总分]&lt;9E+307)*(表成绩单[总分]&gt;表成绩单[[#This Row],[总分]]))+1)</f>
        <v>628</v>
      </c>
    </row>
    <row r="1434" ht="28" customHeight="1" spans="4:23">
      <c r="D1434" s="31">
        <v>46003</v>
      </c>
      <c r="E1434" s="29">
        <v>19175611</v>
      </c>
      <c r="F1434" s="29" t="s">
        <v>57</v>
      </c>
      <c r="G1434" s="29" t="s">
        <v>741</v>
      </c>
      <c r="H1434" s="29">
        <v>85</v>
      </c>
      <c r="I1434" s="29">
        <v>57</v>
      </c>
      <c r="J1434" s="29">
        <v>65</v>
      </c>
      <c r="K1434" s="29">
        <v>59</v>
      </c>
      <c r="L1434" s="29">
        <v>41</v>
      </c>
      <c r="M1434" s="29">
        <v>46</v>
      </c>
      <c r="N1434" s="29">
        <v>38</v>
      </c>
      <c r="O1434" s="32">
        <v>391</v>
      </c>
      <c r="P1434" s="29" cm="1">
        <f t="array" ref="P1434">IF(表成绩单[[#This Row],[语文]]="","",SUMPRODUCT((表成绩单[考试日期]=表成绩单[[#This Row],[考试日期]])*(表成绩单[语文]&lt;9E+307)*(表成绩单[语文]&gt;表成绩单[[#This Row],[语文]]))+1)</f>
        <v>634</v>
      </c>
      <c r="Q1434" s="29" cm="1">
        <f t="array" ref="Q1434">IF(表成绩单[[#This Row],[数学]]="","",SUMPRODUCT((表成绩单[考试日期]=表成绩单[[#This Row],[考试日期]])*(表成绩单[数学]&lt;9E+307)*(表成绩单[数学]&gt;表成绩单[[#This Row],[数学]]))+1)</f>
        <v>539</v>
      </c>
      <c r="R1434" s="29" cm="1">
        <f t="array" ref="R1434">IF(表成绩单[[#This Row],[英语]]="","",SUMPRODUCT((表成绩单[考试日期]=表成绩单[[#This Row],[考试日期]])*(表成绩单[英语]&lt;9E+307)*(表成绩单[英语]&gt;表成绩单[[#This Row],[英语]]))+1)</f>
        <v>480</v>
      </c>
      <c r="S1434" s="29" cm="1">
        <f t="array" ref="S1434">IF(表成绩单[[#This Row],[物理]]="","",SUMPRODUCT((表成绩单[考试日期]=表成绩单[[#This Row],[考试日期]])*(表成绩单[物理]&lt;9E+307)*(表成绩单[物理]&gt;表成绩单[[#This Row],[物理]]))+1)</f>
        <v>591</v>
      </c>
      <c r="T1434" s="29" cm="1">
        <f t="array" ref="T1434">IF(表成绩单[[#This Row],[化学]]="","",SUMPRODUCT((表成绩单[考试日期]=表成绩单[[#This Row],[考试日期]])*(表成绩单[化学]&lt;9E+307)*(表成绩单[化学]&gt;表成绩单[[#This Row],[化学]]))+1)</f>
        <v>700</v>
      </c>
      <c r="U1434" s="29" cm="1">
        <f t="array" ref="U1434">IF(表成绩单[[#This Row],[政治]]="","",SUMPRODUCT((表成绩单[考试日期]=表成绩单[[#This Row],[考试日期]])*(表成绩单[政治]&lt;9E+307)*(表成绩单[政治]&gt;表成绩单[[#This Row],[政治]]))+1)</f>
        <v>629</v>
      </c>
      <c r="V1434" s="29" cm="1">
        <f t="array" ref="V1434">IF(表成绩单[[#This Row],[历史]]="","",SUMPRODUCT((表成绩单[考试日期]=表成绩单[[#This Row],[考试日期]])*(表成绩单[历史]&lt;9E+307)*(表成绩单[历史]&gt;表成绩单[[#This Row],[历史]]))+1)</f>
        <v>727</v>
      </c>
      <c r="W1434" s="29" cm="1">
        <f t="array" ref="W1434">IF(表成绩单[[#This Row],[总分]]="","",SUMPRODUCT((表成绩单[考试日期]=表成绩单[[#This Row],[考试日期]])*(表成绩单[总分]&lt;9E+307)*(表成绩单[总分]&gt;表成绩单[[#This Row],[总分]]))+1)</f>
        <v>629</v>
      </c>
    </row>
    <row r="1435" ht="28" customHeight="1" spans="4:23">
      <c r="D1435" s="31">
        <v>46003</v>
      </c>
      <c r="E1435" s="29">
        <v>19177623</v>
      </c>
      <c r="F1435" s="29" t="s">
        <v>58</v>
      </c>
      <c r="G1435" s="29" t="s">
        <v>783</v>
      </c>
      <c r="H1435" s="29">
        <v>82</v>
      </c>
      <c r="I1435" s="29">
        <v>37</v>
      </c>
      <c r="J1435" s="29">
        <v>42</v>
      </c>
      <c r="K1435" s="29">
        <v>55</v>
      </c>
      <c r="L1435" s="29">
        <v>47</v>
      </c>
      <c r="M1435" s="29">
        <v>63</v>
      </c>
      <c r="N1435" s="29">
        <v>63</v>
      </c>
      <c r="O1435" s="32">
        <v>389</v>
      </c>
      <c r="P1435" s="29" cm="1">
        <f t="array" ref="P1435">IF(表成绩单[[#This Row],[语文]]="","",SUMPRODUCT((表成绩单[考试日期]=表成绩单[[#This Row],[考试日期]])*(表成绩单[语文]&lt;9E+307)*(表成绩单[语文]&gt;表成绩单[[#This Row],[语文]]))+1)</f>
        <v>657</v>
      </c>
      <c r="Q1435" s="29" cm="1">
        <f t="array" ref="Q1435">IF(表成绩单[[#This Row],[数学]]="","",SUMPRODUCT((表成绩单[考试日期]=表成绩单[[#This Row],[考试日期]])*(表成绩单[数学]&lt;9E+307)*(表成绩单[数学]&gt;表成绩单[[#This Row],[数学]]))+1)</f>
        <v>647</v>
      </c>
      <c r="R1435" s="29" cm="1">
        <f t="array" ref="R1435">IF(表成绩单[[#This Row],[英语]]="","",SUMPRODUCT((表成绩单[考试日期]=表成绩单[[#This Row],[考试日期]])*(表成绩单[英语]&lt;9E+307)*(表成绩单[英语]&gt;表成绩单[[#This Row],[英语]]))+1)</f>
        <v>641</v>
      </c>
      <c r="S1435" s="29" cm="1">
        <f t="array" ref="S1435">IF(表成绩单[[#This Row],[物理]]="","",SUMPRODUCT((表成绩单[考试日期]=表成绩单[[#This Row],[考试日期]])*(表成绩单[物理]&lt;9E+307)*(表成绩单[物理]&gt;表成绩单[[#This Row],[物理]]))+1)</f>
        <v>611</v>
      </c>
      <c r="T1435" s="29" cm="1">
        <f t="array" ref="T1435">IF(表成绩单[[#This Row],[化学]]="","",SUMPRODUCT((表成绩单[考试日期]=表成绩单[[#This Row],[考试日期]])*(表成绩单[化学]&lt;9E+307)*(表成绩单[化学]&gt;表成绩单[[#This Row],[化学]]))+1)</f>
        <v>672</v>
      </c>
      <c r="U1435" s="29" cm="1">
        <f t="array" ref="U1435">IF(表成绩单[[#This Row],[政治]]="","",SUMPRODUCT((表成绩单[考试日期]=表成绩单[[#This Row],[考试日期]])*(表成绩单[政治]&lt;9E+307)*(表成绩单[政治]&gt;表成绩单[[#This Row],[政治]]))+1)</f>
        <v>360</v>
      </c>
      <c r="V1435" s="29" cm="1">
        <f t="array" ref="V1435">IF(表成绩单[[#This Row],[历史]]="","",SUMPRODUCT((表成绩单[考试日期]=表成绩单[[#This Row],[考试日期]])*(表成绩单[历史]&lt;9E+307)*(表成绩单[历史]&gt;表成绩单[[#This Row],[历史]]))+1)</f>
        <v>608</v>
      </c>
      <c r="W1435" s="29" cm="1">
        <f t="array" ref="W1435">IF(表成绩单[[#This Row],[总分]]="","",SUMPRODUCT((表成绩单[考试日期]=表成绩单[[#This Row],[考试日期]])*(表成绩单[总分]&lt;9E+307)*(表成绩单[总分]&gt;表成绩单[[#This Row],[总分]]))+1)</f>
        <v>630</v>
      </c>
    </row>
    <row r="1436" ht="28" customHeight="1" spans="4:23">
      <c r="D1436" s="31">
        <v>46003</v>
      </c>
      <c r="E1436" s="29">
        <v>19173773</v>
      </c>
      <c r="F1436" s="29" t="s">
        <v>65</v>
      </c>
      <c r="G1436" s="29" t="s">
        <v>726</v>
      </c>
      <c r="H1436" s="29">
        <v>66</v>
      </c>
      <c r="I1436" s="29">
        <v>44</v>
      </c>
      <c r="J1436" s="29">
        <v>53</v>
      </c>
      <c r="K1436" s="29">
        <v>59</v>
      </c>
      <c r="L1436" s="29">
        <v>58</v>
      </c>
      <c r="M1436" s="29">
        <v>52</v>
      </c>
      <c r="N1436" s="29">
        <v>56</v>
      </c>
      <c r="O1436" s="32">
        <v>388</v>
      </c>
      <c r="P1436" s="29" cm="1">
        <f t="array" ref="P1436">IF(表成绩单[[#This Row],[语文]]="","",SUMPRODUCT((表成绩单[考试日期]=表成绩单[[#This Row],[考试日期]])*(表成绩单[语文]&lt;9E+307)*(表成绩单[语文]&gt;表成绩单[[#This Row],[语文]]))+1)</f>
        <v>712</v>
      </c>
      <c r="Q1436" s="29" cm="1">
        <f t="array" ref="Q1436">IF(表成绩单[[#This Row],[数学]]="","",SUMPRODUCT((表成绩单[考试日期]=表成绩单[[#This Row],[考试日期]])*(表成绩单[数学]&lt;9E+307)*(表成绩单[数学]&gt;表成绩单[[#This Row],[数学]]))+1)</f>
        <v>611</v>
      </c>
      <c r="R1436" s="29" cm="1">
        <f t="array" ref="R1436">IF(表成绩单[[#This Row],[英语]]="","",SUMPRODUCT((表成绩单[考试日期]=表成绩单[[#This Row],[考试日期]])*(表成绩单[英语]&lt;9E+307)*(表成绩单[英语]&gt;表成绩单[[#This Row],[英语]]))+1)</f>
        <v>585</v>
      </c>
      <c r="S1436" s="29" cm="1">
        <f t="array" ref="S1436">IF(表成绩单[[#This Row],[物理]]="","",SUMPRODUCT((表成绩单[考试日期]=表成绩单[[#This Row],[考试日期]])*(表成绩单[物理]&lt;9E+307)*(表成绩单[物理]&gt;表成绩单[[#This Row],[物理]]))+1)</f>
        <v>591</v>
      </c>
      <c r="T1436" s="29" cm="1">
        <f t="array" ref="T1436">IF(表成绩单[[#This Row],[化学]]="","",SUMPRODUCT((表成绩单[考试日期]=表成绩单[[#This Row],[考试日期]])*(表成绩单[化学]&lt;9E+307)*(表成绩单[化学]&gt;表成绩单[[#This Row],[化学]]))+1)</f>
        <v>597</v>
      </c>
      <c r="U1436" s="29" cm="1">
        <f t="array" ref="U1436">IF(表成绩单[[#This Row],[政治]]="","",SUMPRODUCT((表成绩单[考试日期]=表成绩单[[#This Row],[考试日期]])*(表成绩单[政治]&lt;9E+307)*(表成绩单[政治]&gt;表成绩单[[#This Row],[政治]]))+1)</f>
        <v>560</v>
      </c>
      <c r="V1436" s="29" cm="1">
        <f t="array" ref="V1436">IF(表成绩单[[#This Row],[历史]]="","",SUMPRODUCT((表成绩单[考试日期]=表成绩单[[#This Row],[考试日期]])*(表成绩单[历史]&lt;9E+307)*(表成绩单[历史]&gt;表成绩单[[#This Row],[历史]]))+1)</f>
        <v>664</v>
      </c>
      <c r="W1436" s="29" cm="1">
        <f t="array" ref="W1436">IF(表成绩单[[#This Row],[总分]]="","",SUMPRODUCT((表成绩单[考试日期]=表成绩单[[#This Row],[考试日期]])*(表成绩单[总分]&lt;9E+307)*(表成绩单[总分]&gt;表成绩单[[#This Row],[总分]]))+1)</f>
        <v>631</v>
      </c>
    </row>
    <row r="1437" ht="28" customHeight="1" spans="4:23">
      <c r="D1437" s="31">
        <v>46003</v>
      </c>
      <c r="E1437" s="29">
        <v>19177627</v>
      </c>
      <c r="F1437" s="29" t="s">
        <v>58</v>
      </c>
      <c r="G1437" s="29" t="s">
        <v>756</v>
      </c>
      <c r="H1437" s="29">
        <v>98</v>
      </c>
      <c r="I1437" s="29">
        <v>44</v>
      </c>
      <c r="J1437" s="29">
        <v>54</v>
      </c>
      <c r="K1437" s="29">
        <v>41</v>
      </c>
      <c r="L1437" s="29">
        <v>43</v>
      </c>
      <c r="M1437" s="29">
        <v>46</v>
      </c>
      <c r="N1437" s="29">
        <v>61</v>
      </c>
      <c r="O1437" s="32">
        <v>387</v>
      </c>
      <c r="P1437" s="29" cm="1">
        <f t="array" ref="P1437">IF(表成绩单[[#This Row],[语文]]="","",SUMPRODUCT((表成绩单[考试日期]=表成绩单[[#This Row],[考试日期]])*(表成绩单[语文]&lt;9E+307)*(表成绩单[语文]&gt;表成绩单[[#This Row],[语文]]))+1)</f>
        <v>463</v>
      </c>
      <c r="Q1437" s="29" cm="1">
        <f t="array" ref="Q1437">IF(表成绩单[[#This Row],[数学]]="","",SUMPRODUCT((表成绩单[考试日期]=表成绩单[[#This Row],[考试日期]])*(表成绩单[数学]&lt;9E+307)*(表成绩单[数学]&gt;表成绩单[[#This Row],[数学]]))+1)</f>
        <v>611</v>
      </c>
      <c r="R1437" s="29" cm="1">
        <f t="array" ref="R1437">IF(表成绩单[[#This Row],[英语]]="","",SUMPRODUCT((表成绩单[考试日期]=表成绩单[[#This Row],[考试日期]])*(表成绩单[英语]&lt;9E+307)*(表成绩单[英语]&gt;表成绩单[[#This Row],[英语]]))+1)</f>
        <v>575</v>
      </c>
      <c r="S1437" s="29" cm="1">
        <f t="array" ref="S1437">IF(表成绩单[[#This Row],[物理]]="","",SUMPRODUCT((表成绩单[考试日期]=表成绩单[[#This Row],[考试日期]])*(表成绩单[物理]&lt;9E+307)*(表成绩单[物理]&gt;表成绩单[[#This Row],[物理]]))+1)</f>
        <v>672</v>
      </c>
      <c r="T1437" s="29" cm="1">
        <f t="array" ref="T1437">IF(表成绩单[[#This Row],[化学]]="","",SUMPRODUCT((表成绩单[考试日期]=表成绩单[[#This Row],[考试日期]])*(表成绩单[化学]&lt;9E+307)*(表成绩单[化学]&gt;表成绩单[[#This Row],[化学]]))+1)</f>
        <v>691</v>
      </c>
      <c r="U1437" s="29" cm="1">
        <f t="array" ref="U1437">IF(表成绩单[[#This Row],[政治]]="","",SUMPRODUCT((表成绩单[考试日期]=表成绩单[[#This Row],[考试日期]])*(表成绩单[政治]&lt;9E+307)*(表成绩单[政治]&gt;表成绩单[[#This Row],[政治]]))+1)</f>
        <v>629</v>
      </c>
      <c r="V1437" s="29" cm="1">
        <f t="array" ref="V1437">IF(表成绩单[[#This Row],[历史]]="","",SUMPRODUCT((表成绩单[考试日期]=表成绩单[[#This Row],[考试日期]])*(表成绩单[历史]&lt;9E+307)*(表成绩单[历史]&gt;表成绩单[[#This Row],[历史]]))+1)</f>
        <v>628</v>
      </c>
      <c r="W1437" s="29" cm="1">
        <f t="array" ref="W1437">IF(表成绩单[[#This Row],[总分]]="","",SUMPRODUCT((表成绩单[考试日期]=表成绩单[[#This Row],[考试日期]])*(表成绩单[总分]&lt;9E+307)*(表成绩单[总分]&gt;表成绩单[[#This Row],[总分]]))+1)</f>
        <v>632</v>
      </c>
    </row>
    <row r="1438" ht="28" customHeight="1" spans="4:23">
      <c r="D1438" s="31">
        <v>46003</v>
      </c>
      <c r="E1438" s="29">
        <v>19173790</v>
      </c>
      <c r="F1438" s="29" t="s">
        <v>65</v>
      </c>
      <c r="G1438" s="29" t="s">
        <v>781</v>
      </c>
      <c r="H1438" s="29">
        <v>85</v>
      </c>
      <c r="I1438" s="29">
        <v>31</v>
      </c>
      <c r="J1438" s="29">
        <v>53</v>
      </c>
      <c r="K1438" s="29">
        <v>46</v>
      </c>
      <c r="L1438" s="29">
        <v>56</v>
      </c>
      <c r="M1438" s="29">
        <v>50</v>
      </c>
      <c r="N1438" s="29">
        <v>65</v>
      </c>
      <c r="O1438" s="32">
        <v>386</v>
      </c>
      <c r="P1438" s="29" cm="1">
        <f t="array" ref="P1438">IF(表成绩单[[#This Row],[语文]]="","",SUMPRODUCT((表成绩单[考试日期]=表成绩单[[#This Row],[考试日期]])*(表成绩单[语文]&lt;9E+307)*(表成绩单[语文]&gt;表成绩单[[#This Row],[语文]]))+1)</f>
        <v>634</v>
      </c>
      <c r="Q1438" s="29" cm="1">
        <f t="array" ref="Q1438">IF(表成绩单[[#This Row],[数学]]="","",SUMPRODUCT((表成绩单[考试日期]=表成绩单[[#This Row],[考试日期]])*(表成绩单[数学]&lt;9E+307)*(表成绩单[数学]&gt;表成绩单[[#This Row],[数学]]))+1)</f>
        <v>672</v>
      </c>
      <c r="R1438" s="29" cm="1">
        <f t="array" ref="R1438">IF(表成绩单[[#This Row],[英语]]="","",SUMPRODUCT((表成绩单[考试日期]=表成绩单[[#This Row],[考试日期]])*(表成绩单[英语]&lt;9E+307)*(表成绩单[英语]&gt;表成绩单[[#This Row],[英语]]))+1)</f>
        <v>585</v>
      </c>
      <c r="S1438" s="29" cm="1">
        <f t="array" ref="S1438">IF(表成绩单[[#This Row],[物理]]="","",SUMPRODUCT((表成绩单[考试日期]=表成绩单[[#This Row],[考试日期]])*(表成绩单[物理]&lt;9E+307)*(表成绩单[物理]&gt;表成绩单[[#This Row],[物理]]))+1)</f>
        <v>649</v>
      </c>
      <c r="T1438" s="29" cm="1">
        <f t="array" ref="T1438">IF(表成绩单[[#This Row],[化学]]="","",SUMPRODUCT((表成绩单[考试日期]=表成绩单[[#This Row],[考试日期]])*(表成绩单[化学]&lt;9E+307)*(表成绩单[化学]&gt;表成绩单[[#This Row],[化学]]))+1)</f>
        <v>617</v>
      </c>
      <c r="U1438" s="29" cm="1">
        <f t="array" ref="U1438">IF(表成绩单[[#This Row],[政治]]="","",SUMPRODUCT((表成绩单[考试日期]=表成绩单[[#This Row],[考试日期]])*(表成绩单[政治]&lt;9E+307)*(表成绩单[政治]&gt;表成绩单[[#This Row],[政治]]))+1)</f>
        <v>587</v>
      </c>
      <c r="V1438" s="29" cm="1">
        <f t="array" ref="V1438">IF(表成绩单[[#This Row],[历史]]="","",SUMPRODUCT((表成绩单[考试日期]=表成绩单[[#This Row],[考试日期]])*(表成绩单[历史]&lt;9E+307)*(表成绩单[历史]&gt;表成绩单[[#This Row],[历史]]))+1)</f>
        <v>582</v>
      </c>
      <c r="W1438" s="29" cm="1">
        <f t="array" ref="W1438">IF(表成绩单[[#This Row],[总分]]="","",SUMPRODUCT((表成绩单[考试日期]=表成绩单[[#This Row],[考试日期]])*(表成绩单[总分]&lt;9E+307)*(表成绩单[总分]&gt;表成绩单[[#This Row],[总分]]))+1)</f>
        <v>633</v>
      </c>
    </row>
    <row r="1439" ht="28" customHeight="1" spans="4:23">
      <c r="D1439" s="31">
        <v>46003</v>
      </c>
      <c r="E1439" s="29">
        <v>19173792</v>
      </c>
      <c r="F1439" s="29" t="s">
        <v>65</v>
      </c>
      <c r="G1439" s="29" t="s">
        <v>784</v>
      </c>
      <c r="H1439" s="29">
        <v>81</v>
      </c>
      <c r="I1439" s="29">
        <v>23</v>
      </c>
      <c r="J1439" s="29">
        <v>65</v>
      </c>
      <c r="K1439" s="29">
        <v>57</v>
      </c>
      <c r="L1439" s="29">
        <v>56</v>
      </c>
      <c r="M1439" s="29">
        <v>56</v>
      </c>
      <c r="N1439" s="29">
        <v>47</v>
      </c>
      <c r="O1439" s="32">
        <v>385</v>
      </c>
      <c r="P1439" s="29" cm="1">
        <f t="array" ref="P1439">IF(表成绩单[[#This Row],[语文]]="","",SUMPRODUCT((表成绩单[考试日期]=表成绩单[[#This Row],[考试日期]])*(表成绩单[语文]&lt;9E+307)*(表成绩单[语文]&gt;表成绩单[[#This Row],[语文]]))+1)</f>
        <v>664</v>
      </c>
      <c r="Q1439" s="29" cm="1">
        <f t="array" ref="Q1439">IF(表成绩单[[#This Row],[数学]]="","",SUMPRODUCT((表成绩单[考试日期]=表成绩单[[#This Row],[考试日期]])*(表成绩单[数学]&lt;9E+307)*(表成绩单[数学]&gt;表成绩单[[#This Row],[数学]]))+1)</f>
        <v>704</v>
      </c>
      <c r="R1439" s="29" cm="1">
        <f t="array" ref="R1439">IF(表成绩单[[#This Row],[英语]]="","",SUMPRODUCT((表成绩单[考试日期]=表成绩单[[#This Row],[考试日期]])*(表成绩单[英语]&lt;9E+307)*(表成绩单[英语]&gt;表成绩单[[#This Row],[英语]]))+1)</f>
        <v>480</v>
      </c>
      <c r="S1439" s="29" cm="1">
        <f t="array" ref="S1439">IF(表成绩单[[#This Row],[物理]]="","",SUMPRODUCT((表成绩单[考试日期]=表成绩单[[#This Row],[考试日期]])*(表成绩单[物理]&lt;9E+307)*(表成绩单[物理]&gt;表成绩单[[#This Row],[物理]]))+1)</f>
        <v>604</v>
      </c>
      <c r="T1439" s="29" cm="1">
        <f t="array" ref="T1439">IF(表成绩单[[#This Row],[化学]]="","",SUMPRODUCT((表成绩单[考试日期]=表成绩单[[#This Row],[考试日期]])*(表成绩单[化学]&lt;9E+307)*(表成绩单[化学]&gt;表成绩单[[#This Row],[化学]]))+1)</f>
        <v>617</v>
      </c>
      <c r="U1439" s="29" cm="1">
        <f t="array" ref="U1439">IF(表成绩单[[#This Row],[政治]]="","",SUMPRODUCT((表成绩单[考试日期]=表成绩单[[#This Row],[考试日期]])*(表成绩单[政治]&lt;9E+307)*(表成绩单[政治]&gt;表成绩单[[#This Row],[政治]]))+1)</f>
        <v>492</v>
      </c>
      <c r="V1439" s="29" cm="1">
        <f t="array" ref="V1439">IF(表成绩单[[#This Row],[历史]]="","",SUMPRODUCT((表成绩单[考试日期]=表成绩单[[#This Row],[考试日期]])*(表成绩单[历史]&lt;9E+307)*(表成绩单[历史]&gt;表成绩单[[#This Row],[历史]]))+1)</f>
        <v>710</v>
      </c>
      <c r="W1439" s="29" cm="1">
        <f t="array" ref="W1439">IF(表成绩单[[#This Row],[总分]]="","",SUMPRODUCT((表成绩单[考试日期]=表成绩单[[#This Row],[考试日期]])*(表成绩单[总分]&lt;9E+307)*(表成绩单[总分]&gt;表成绩单[[#This Row],[总分]]))+1)</f>
        <v>634</v>
      </c>
    </row>
    <row r="1440" ht="28" customHeight="1" spans="4:23">
      <c r="D1440" s="31">
        <v>46003</v>
      </c>
      <c r="E1440" s="29">
        <v>24040081</v>
      </c>
      <c r="F1440" s="29" t="s">
        <v>58</v>
      </c>
      <c r="G1440" s="29" t="s">
        <v>692</v>
      </c>
      <c r="H1440" s="29">
        <v>88</v>
      </c>
      <c r="I1440" s="29">
        <v>41</v>
      </c>
      <c r="J1440" s="29">
        <v>59.5</v>
      </c>
      <c r="K1440" s="29">
        <v>47</v>
      </c>
      <c r="L1440" s="29">
        <v>56</v>
      </c>
      <c r="M1440" s="29">
        <v>37</v>
      </c>
      <c r="N1440" s="29">
        <v>56</v>
      </c>
      <c r="O1440" s="32">
        <v>384.5</v>
      </c>
      <c r="P1440" s="29" cm="1">
        <f t="array" ref="P1440">IF(表成绩单[[#This Row],[语文]]="","",SUMPRODUCT((表成绩单[考试日期]=表成绩单[[#This Row],[考试日期]])*(表成绩单[语文]&lt;9E+307)*(表成绩单[语文]&gt;表成绩单[[#This Row],[语文]]))+1)</f>
        <v>613</v>
      </c>
      <c r="Q1440" s="29" cm="1">
        <f t="array" ref="Q1440">IF(表成绩单[[#This Row],[数学]]="","",SUMPRODUCT((表成绩单[考试日期]=表成绩单[[#This Row],[考试日期]])*(表成绩单[数学]&lt;9E+307)*(表成绩单[数学]&gt;表成绩单[[#This Row],[数学]]))+1)</f>
        <v>629</v>
      </c>
      <c r="R1440" s="29" cm="1">
        <f t="array" ref="R1440">IF(表成绩单[[#This Row],[英语]]="","",SUMPRODUCT((表成绩单[考试日期]=表成绩单[[#This Row],[考试日期]])*(表成绩单[英语]&lt;9E+307)*(表成绩单[英语]&gt;表成绩单[[#This Row],[英语]]))+1)</f>
        <v>531</v>
      </c>
      <c r="S1440" s="29" cm="1">
        <f t="array" ref="S1440">IF(表成绩单[[#This Row],[物理]]="","",SUMPRODUCT((表成绩单[考试日期]=表成绩单[[#This Row],[考试日期]])*(表成绩单[物理]&lt;9E+307)*(表成绩单[物理]&gt;表成绩单[[#This Row],[物理]]))+1)</f>
        <v>647</v>
      </c>
      <c r="T1440" s="29" cm="1">
        <f t="array" ref="T1440">IF(表成绩单[[#This Row],[化学]]="","",SUMPRODUCT((表成绩单[考试日期]=表成绩单[[#This Row],[考试日期]])*(表成绩单[化学]&lt;9E+307)*(表成绩单[化学]&gt;表成绩单[[#This Row],[化学]]))+1)</f>
        <v>617</v>
      </c>
      <c r="U1440" s="29" cm="1">
        <f t="array" ref="U1440">IF(表成绩单[[#This Row],[政治]]="","",SUMPRODUCT((表成绩单[考试日期]=表成绩单[[#This Row],[考试日期]])*(表成绩单[政治]&lt;9E+307)*(表成绩单[政治]&gt;表成绩单[[#This Row],[政治]]))+1)</f>
        <v>697</v>
      </c>
      <c r="V1440" s="29" cm="1">
        <f t="array" ref="V1440">IF(表成绩单[[#This Row],[历史]]="","",SUMPRODUCT((表成绩单[考试日期]=表成绩单[[#This Row],[考试日期]])*(表成绩单[历史]&lt;9E+307)*(表成绩单[历史]&gt;表成绩单[[#This Row],[历史]]))+1)</f>
        <v>664</v>
      </c>
      <c r="W1440" s="29" cm="1">
        <f t="array" ref="W1440">IF(表成绩单[[#This Row],[总分]]="","",SUMPRODUCT((表成绩单[考试日期]=表成绩单[[#This Row],[考试日期]])*(表成绩单[总分]&lt;9E+307)*(表成绩单[总分]&gt;表成绩单[[#This Row],[总分]]))+1)</f>
        <v>635</v>
      </c>
    </row>
    <row r="1441" ht="28" customHeight="1" spans="4:23">
      <c r="D1441" s="31">
        <v>46003</v>
      </c>
      <c r="E1441" s="29">
        <v>19175596</v>
      </c>
      <c r="F1441" s="29" t="s">
        <v>57</v>
      </c>
      <c r="G1441" s="29" t="s">
        <v>745</v>
      </c>
      <c r="H1441" s="29">
        <v>95</v>
      </c>
      <c r="I1441" s="29">
        <v>31</v>
      </c>
      <c r="J1441" s="29">
        <v>58.5</v>
      </c>
      <c r="K1441" s="29">
        <v>35</v>
      </c>
      <c r="L1441" s="29">
        <v>49</v>
      </c>
      <c r="M1441" s="29">
        <v>49</v>
      </c>
      <c r="N1441" s="29">
        <v>63</v>
      </c>
      <c r="O1441" s="32">
        <v>380.5</v>
      </c>
      <c r="P1441" s="29" cm="1">
        <f t="array" ref="P1441">IF(表成绩单[[#This Row],[语文]]="","",SUMPRODUCT((表成绩单[考试日期]=表成绩单[[#This Row],[考试日期]])*(表成绩单[语文]&lt;9E+307)*(表成绩单[语文]&gt;表成绩单[[#This Row],[语文]]))+1)</f>
        <v>522</v>
      </c>
      <c r="Q1441" s="29" cm="1">
        <f t="array" ref="Q1441">IF(表成绩单[[#This Row],[数学]]="","",SUMPRODUCT((表成绩单[考试日期]=表成绩单[[#This Row],[考试日期]])*(表成绩单[数学]&lt;9E+307)*(表成绩单[数学]&gt;表成绩单[[#This Row],[数学]]))+1)</f>
        <v>672</v>
      </c>
      <c r="R1441" s="29" cm="1">
        <f t="array" ref="R1441">IF(表成绩单[[#This Row],[英语]]="","",SUMPRODUCT((表成绩单[考试日期]=表成绩单[[#This Row],[考试日期]])*(表成绩单[英语]&lt;9E+307)*(表成绩单[英语]&gt;表成绩单[[#This Row],[英语]]))+1)</f>
        <v>538</v>
      </c>
      <c r="S1441" s="29" cm="1">
        <f t="array" ref="S1441">IF(表成绩单[[#This Row],[物理]]="","",SUMPRODUCT((表成绩单[考试日期]=表成绩单[[#This Row],[考试日期]])*(表成绩单[物理]&lt;9E+307)*(表成绩单[物理]&gt;表成绩单[[#This Row],[物理]]))+1)</f>
        <v>692</v>
      </c>
      <c r="T1441" s="29" cm="1">
        <f t="array" ref="T1441">IF(表成绩单[[#This Row],[化学]]="","",SUMPRODUCT((表成绩单[考试日期]=表成绩单[[#This Row],[考试日期]])*(表成绩单[化学]&lt;9E+307)*(表成绩单[化学]&gt;表成绩单[[#This Row],[化学]]))+1)</f>
        <v>657</v>
      </c>
      <c r="U1441" s="29" cm="1">
        <f t="array" ref="U1441">IF(表成绩单[[#This Row],[政治]]="","",SUMPRODUCT((表成绩单[考试日期]=表成绩单[[#This Row],[考试日期]])*(表成绩单[政治]&lt;9E+307)*(表成绩单[政治]&gt;表成绩单[[#This Row],[政治]]))+1)</f>
        <v>600</v>
      </c>
      <c r="V1441" s="29" cm="1">
        <f t="array" ref="V1441">IF(表成绩单[[#This Row],[历史]]="","",SUMPRODUCT((表成绩单[考试日期]=表成绩单[[#This Row],[考试日期]])*(表成绩单[历史]&lt;9E+307)*(表成绩单[历史]&gt;表成绩单[[#This Row],[历史]]))+1)</f>
        <v>608</v>
      </c>
      <c r="W1441" s="29" cm="1">
        <f t="array" ref="W1441">IF(表成绩单[[#This Row],[总分]]="","",SUMPRODUCT((表成绩单[考试日期]=表成绩单[[#This Row],[考试日期]])*(表成绩单[总分]&lt;9E+307)*(表成绩单[总分]&gt;表成绩单[[#This Row],[总分]]))+1)</f>
        <v>636</v>
      </c>
    </row>
    <row r="1442" ht="28" customHeight="1" spans="4:23">
      <c r="D1442" s="31">
        <v>46003</v>
      </c>
      <c r="E1442" s="29">
        <v>19176010</v>
      </c>
      <c r="F1442" s="29" t="s">
        <v>59</v>
      </c>
      <c r="G1442" s="29" t="s">
        <v>724</v>
      </c>
      <c r="H1442" s="29">
        <v>84</v>
      </c>
      <c r="I1442" s="29">
        <v>35</v>
      </c>
      <c r="J1442" s="29">
        <v>47</v>
      </c>
      <c r="K1442" s="29">
        <v>43</v>
      </c>
      <c r="L1442" s="29">
        <v>43</v>
      </c>
      <c r="M1442" s="29">
        <v>59</v>
      </c>
      <c r="N1442" s="29">
        <v>69</v>
      </c>
      <c r="O1442" s="32">
        <v>380</v>
      </c>
      <c r="P1442" s="29" cm="1">
        <f t="array" ref="P1442">IF(表成绩单[[#This Row],[语文]]="","",SUMPRODUCT((表成绩单[考试日期]=表成绩单[[#This Row],[考试日期]])*(表成绩单[语文]&lt;9E+307)*(表成绩单[语文]&gt;表成绩单[[#This Row],[语文]]))+1)</f>
        <v>642</v>
      </c>
      <c r="Q1442" s="29" cm="1">
        <f t="array" ref="Q1442">IF(表成绩单[[#This Row],[数学]]="","",SUMPRODUCT((表成绩单[考试日期]=表成绩单[[#This Row],[考试日期]])*(表成绩单[数学]&lt;9E+307)*(表成绩单[数学]&gt;表成绩单[[#This Row],[数学]]))+1)</f>
        <v>653</v>
      </c>
      <c r="R1442" s="29" cm="1">
        <f t="array" ref="R1442">IF(表成绩单[[#This Row],[英语]]="","",SUMPRODUCT((表成绩单[考试日期]=表成绩单[[#This Row],[考试日期]])*(表成绩单[英语]&lt;9E+307)*(表成绩单[英语]&gt;表成绩单[[#This Row],[英语]]))+1)</f>
        <v>618</v>
      </c>
      <c r="S1442" s="29" cm="1">
        <f t="array" ref="S1442">IF(表成绩单[[#This Row],[物理]]="","",SUMPRODUCT((表成绩单[考试日期]=表成绩单[[#This Row],[考试日期]])*(表成绩单[物理]&lt;9E+307)*(表成绩单[物理]&gt;表成绩单[[#This Row],[物理]]))+1)</f>
        <v>659</v>
      </c>
      <c r="T1442" s="29" cm="1">
        <f t="array" ref="T1442">IF(表成绩单[[#This Row],[化学]]="","",SUMPRODUCT((表成绩单[考试日期]=表成绩单[[#This Row],[考试日期]])*(表成绩单[化学]&lt;9E+307)*(表成绩单[化学]&gt;表成绩单[[#This Row],[化学]]))+1)</f>
        <v>691</v>
      </c>
      <c r="U1442" s="29" cm="1">
        <f t="array" ref="U1442">IF(表成绩单[[#This Row],[政治]]="","",SUMPRODUCT((表成绩单[考试日期]=表成绩单[[#This Row],[考试日期]])*(表成绩单[政治]&lt;9E+307)*(表成绩单[政治]&gt;表成绩单[[#This Row],[政治]]))+1)</f>
        <v>435</v>
      </c>
      <c r="V1442" s="29" cm="1">
        <f t="array" ref="V1442">IF(表成绩单[[#This Row],[历史]]="","",SUMPRODUCT((表成绩单[考试日期]=表成绩单[[#This Row],[考试日期]])*(表成绩单[历史]&lt;9E+307)*(表成绩单[历史]&gt;表成绩单[[#This Row],[历史]]))+1)</f>
        <v>516</v>
      </c>
      <c r="W1442" s="29" cm="1">
        <f t="array" ref="W1442">IF(表成绩单[[#This Row],[总分]]="","",SUMPRODUCT((表成绩单[考试日期]=表成绩单[[#This Row],[考试日期]])*(表成绩单[总分]&lt;9E+307)*(表成绩单[总分]&gt;表成绩单[[#This Row],[总分]]))+1)</f>
        <v>637</v>
      </c>
    </row>
    <row r="1443" ht="28" customHeight="1" spans="4:23">
      <c r="D1443" s="31">
        <v>46003</v>
      </c>
      <c r="E1443" s="29">
        <v>19177624</v>
      </c>
      <c r="F1443" s="29" t="s">
        <v>58</v>
      </c>
      <c r="G1443" s="29" t="s">
        <v>770</v>
      </c>
      <c r="H1443" s="29">
        <v>93</v>
      </c>
      <c r="I1443" s="29">
        <v>27</v>
      </c>
      <c r="J1443" s="29">
        <v>56</v>
      </c>
      <c r="K1443" s="29">
        <v>38</v>
      </c>
      <c r="L1443" s="29">
        <v>55</v>
      </c>
      <c r="M1443" s="29">
        <v>47</v>
      </c>
      <c r="N1443" s="29">
        <v>64</v>
      </c>
      <c r="O1443" s="32">
        <v>380</v>
      </c>
      <c r="P1443" s="29" cm="1">
        <f t="array" ref="P1443">IF(表成绩单[[#This Row],[语文]]="","",SUMPRODUCT((表成绩单[考试日期]=表成绩单[[#This Row],[考试日期]])*(表成绩单[语文]&lt;9E+307)*(表成绩单[语文]&gt;表成绩单[[#This Row],[语文]]))+1)</f>
        <v>555</v>
      </c>
      <c r="Q1443" s="29" cm="1">
        <f t="array" ref="Q1443">IF(表成绩单[[#This Row],[数学]]="","",SUMPRODUCT((表成绩单[考试日期]=表成绩单[[#This Row],[考试日期]])*(表成绩单[数学]&lt;9E+307)*(表成绩单[数学]&gt;表成绩单[[#This Row],[数学]]))+1)</f>
        <v>694</v>
      </c>
      <c r="R1443" s="29" cm="1">
        <f t="array" ref="R1443">IF(表成绩单[[#This Row],[英语]]="","",SUMPRODUCT((表成绩单[考试日期]=表成绩单[[#This Row],[考试日期]])*(表成绩单[英语]&lt;9E+307)*(表成绩单[英语]&gt;表成绩单[[#This Row],[英语]]))+1)</f>
        <v>560</v>
      </c>
      <c r="S1443" s="29" cm="1">
        <f t="array" ref="S1443">IF(表成绩单[[#This Row],[物理]]="","",SUMPRODUCT((表成绩单[考试日期]=表成绩单[[#This Row],[考试日期]])*(表成绩单[物理]&lt;9E+307)*(表成绩单[物理]&gt;表成绩单[[#This Row],[物理]]))+1)</f>
        <v>688</v>
      </c>
      <c r="T1443" s="29" cm="1">
        <f t="array" ref="T1443">IF(表成绩单[[#This Row],[化学]]="","",SUMPRODUCT((表成绩单[考试日期]=表成绩单[[#This Row],[考试日期]])*(表成绩单[化学]&lt;9E+307)*(表成绩单[化学]&gt;表成绩单[[#This Row],[化学]]))+1)</f>
        <v>624</v>
      </c>
      <c r="U1443" s="29" cm="1">
        <f t="array" ref="U1443">IF(表成绩单[[#This Row],[政治]]="","",SUMPRODUCT((表成绩单[考试日期]=表成绩单[[#This Row],[考试日期]])*(表成绩单[政治]&lt;9E+307)*(表成绩单[政治]&gt;表成绩单[[#This Row],[政治]]))+1)</f>
        <v>619</v>
      </c>
      <c r="V1443" s="29" cm="1">
        <f t="array" ref="V1443">IF(表成绩单[[#This Row],[历史]]="","",SUMPRODUCT((表成绩单[考试日期]=表成绩单[[#This Row],[考试日期]])*(表成绩单[历史]&lt;9E+307)*(表成绩单[历史]&gt;表成绩单[[#This Row],[历史]]))+1)</f>
        <v>593</v>
      </c>
      <c r="W1443" s="29" cm="1">
        <f t="array" ref="W1443">IF(表成绩单[[#This Row],[总分]]="","",SUMPRODUCT((表成绩单[考试日期]=表成绩单[[#This Row],[考试日期]])*(表成绩单[总分]&lt;9E+307)*(表成绩单[总分]&gt;表成绩单[[#This Row],[总分]]))+1)</f>
        <v>637</v>
      </c>
    </row>
    <row r="1444" ht="28" customHeight="1" spans="4:23">
      <c r="D1444" s="31">
        <v>46003</v>
      </c>
      <c r="E1444" s="29">
        <v>19175295</v>
      </c>
      <c r="F1444" s="29" t="s">
        <v>55</v>
      </c>
      <c r="G1444" s="29" t="s">
        <v>797</v>
      </c>
      <c r="H1444" s="29">
        <v>89</v>
      </c>
      <c r="I1444" s="29">
        <v>35</v>
      </c>
      <c r="J1444" s="29">
        <v>48.5</v>
      </c>
      <c r="K1444" s="29">
        <v>62</v>
      </c>
      <c r="L1444" s="29">
        <v>38</v>
      </c>
      <c r="M1444" s="29">
        <v>54</v>
      </c>
      <c r="N1444" s="29">
        <v>51</v>
      </c>
      <c r="O1444" s="32">
        <v>377.5</v>
      </c>
      <c r="P1444" s="29" cm="1">
        <f t="array" ref="P1444">IF(表成绩单[[#This Row],[语文]]="","",SUMPRODUCT((表成绩单[考试日期]=表成绩单[[#This Row],[考试日期]])*(表成绩单[语文]&lt;9E+307)*(表成绩单[语文]&gt;表成绩单[[#This Row],[语文]]))+1)</f>
        <v>598</v>
      </c>
      <c r="Q1444" s="29" cm="1">
        <f t="array" ref="Q1444">IF(表成绩单[[#This Row],[数学]]="","",SUMPRODUCT((表成绩单[考试日期]=表成绩单[[#This Row],[考试日期]])*(表成绩单[数学]&lt;9E+307)*(表成绩单[数学]&gt;表成绩单[[#This Row],[数学]]))+1)</f>
        <v>653</v>
      </c>
      <c r="R1444" s="29" cm="1">
        <f t="array" ref="R1444">IF(表成绩单[[#This Row],[英语]]="","",SUMPRODUCT((表成绩单[考试日期]=表成绩单[[#This Row],[考试日期]])*(表成绩单[英语]&lt;9E+307)*(表成绩单[英语]&gt;表成绩单[[#This Row],[英语]]))+1)</f>
        <v>612</v>
      </c>
      <c r="S1444" s="29" cm="1">
        <f t="array" ref="S1444">IF(表成绩单[[#This Row],[物理]]="","",SUMPRODUCT((表成绩单[考试日期]=表成绩单[[#This Row],[考试日期]])*(表成绩单[物理]&lt;9E+307)*(表成绩单[物理]&gt;表成绩单[[#This Row],[物理]]))+1)</f>
        <v>575</v>
      </c>
      <c r="T1444" s="29" cm="1">
        <f t="array" ref="T1444">IF(表成绩单[[#This Row],[化学]]="","",SUMPRODUCT((表成绩单[考试日期]=表成绩单[[#This Row],[考试日期]])*(表成绩单[化学]&lt;9E+307)*(表成绩单[化学]&gt;表成绩单[[#This Row],[化学]]))+1)</f>
        <v>709</v>
      </c>
      <c r="U1444" s="29" cm="1">
        <f t="array" ref="U1444">IF(表成绩单[[#This Row],[政治]]="","",SUMPRODUCT((表成绩单[考试日期]=表成绩单[[#This Row],[考试日期]])*(表成绩单[政治]&lt;9E+307)*(表成绩单[政治]&gt;表成绩单[[#This Row],[政治]]))+1)</f>
        <v>524</v>
      </c>
      <c r="V1444" s="29" cm="1">
        <f t="array" ref="V1444">IF(表成绩单[[#This Row],[历史]]="","",SUMPRODUCT((表成绩单[考试日期]=表成绩单[[#This Row],[考试日期]])*(表成绩单[历史]&lt;9E+307)*(表成绩单[历史]&gt;表成绩单[[#This Row],[历史]]))+1)</f>
        <v>697</v>
      </c>
      <c r="W1444" s="29" cm="1">
        <f t="array" ref="W1444">IF(表成绩单[[#This Row],[总分]]="","",SUMPRODUCT((表成绩单[考试日期]=表成绩单[[#This Row],[考试日期]])*(表成绩单[总分]&lt;9E+307)*(表成绩单[总分]&gt;表成绩单[[#This Row],[总分]]))+1)</f>
        <v>639</v>
      </c>
    </row>
    <row r="1445" ht="28" customHeight="1" spans="4:23">
      <c r="D1445" s="31">
        <v>46003</v>
      </c>
      <c r="E1445" s="29">
        <v>19175304</v>
      </c>
      <c r="F1445" s="29" t="s">
        <v>55</v>
      </c>
      <c r="G1445" s="29" t="s">
        <v>778</v>
      </c>
      <c r="H1445" s="29">
        <v>97</v>
      </c>
      <c r="I1445" s="29">
        <v>35</v>
      </c>
      <c r="J1445" s="29">
        <v>30.5</v>
      </c>
      <c r="K1445" s="29">
        <v>52</v>
      </c>
      <c r="L1445" s="29">
        <v>50</v>
      </c>
      <c r="M1445" s="29">
        <v>49</v>
      </c>
      <c r="N1445" s="29">
        <v>64</v>
      </c>
      <c r="O1445" s="32">
        <v>377.5</v>
      </c>
      <c r="P1445" s="29" cm="1">
        <f t="array" ref="P1445">IF(表成绩单[[#This Row],[语文]]="","",SUMPRODUCT((表成绩单[考试日期]=表成绩单[[#This Row],[考试日期]])*(表成绩单[语文]&lt;9E+307)*(表成绩单[语文]&gt;表成绩单[[#This Row],[语文]]))+1)</f>
        <v>488</v>
      </c>
      <c r="Q1445" s="29" cm="1">
        <f t="array" ref="Q1445">IF(表成绩单[[#This Row],[数学]]="","",SUMPRODUCT((表成绩单[考试日期]=表成绩单[[#This Row],[考试日期]])*(表成绩单[数学]&lt;9E+307)*(表成绩单[数学]&gt;表成绩单[[#This Row],[数学]]))+1)</f>
        <v>653</v>
      </c>
      <c r="R1445" s="29" cm="1">
        <f t="array" ref="R1445">IF(表成绩单[[#This Row],[英语]]="","",SUMPRODUCT((表成绩单[考试日期]=表成绩单[[#This Row],[考试日期]])*(表成绩单[英语]&lt;9E+307)*(表成绩单[英语]&gt;表成绩单[[#This Row],[英语]]))+1)</f>
        <v>687</v>
      </c>
      <c r="S1445" s="29" cm="1">
        <f t="array" ref="S1445">IF(表成绩单[[#This Row],[物理]]="","",SUMPRODUCT((表成绩单[考试日期]=表成绩单[[#This Row],[考试日期]])*(表成绩单[物理]&lt;9E+307)*(表成绩单[物理]&gt;表成绩单[[#This Row],[物理]]))+1)</f>
        <v>622</v>
      </c>
      <c r="T1445" s="29" cm="1">
        <f t="array" ref="T1445">IF(表成绩单[[#This Row],[化学]]="","",SUMPRODUCT((表成绩单[考试日期]=表成绩单[[#This Row],[考试日期]])*(表成绩单[化学]&lt;9E+307)*(表成绩单[化学]&gt;表成绩单[[#This Row],[化学]]))+1)</f>
        <v>649</v>
      </c>
      <c r="U1445" s="29" cm="1">
        <f t="array" ref="U1445">IF(表成绩单[[#This Row],[政治]]="","",SUMPRODUCT((表成绩单[考试日期]=表成绩单[[#This Row],[考试日期]])*(表成绩单[政治]&lt;9E+307)*(表成绩单[政治]&gt;表成绩单[[#This Row],[政治]]))+1)</f>
        <v>600</v>
      </c>
      <c r="V1445" s="29" cm="1">
        <f t="array" ref="V1445">IF(表成绩单[[#This Row],[历史]]="","",SUMPRODUCT((表成绩单[考试日期]=表成绩单[[#This Row],[考试日期]])*(表成绩单[历史]&lt;9E+307)*(表成绩单[历史]&gt;表成绩单[[#This Row],[历史]]))+1)</f>
        <v>593</v>
      </c>
      <c r="W1445" s="29" cm="1">
        <f t="array" ref="W1445">IF(表成绩单[[#This Row],[总分]]="","",SUMPRODUCT((表成绩单[考试日期]=表成绩单[[#This Row],[考试日期]])*(表成绩单[总分]&lt;9E+307)*(表成绩单[总分]&gt;表成绩单[[#This Row],[总分]]))+1)</f>
        <v>639</v>
      </c>
    </row>
    <row r="1446" ht="28" customHeight="1" spans="4:23">
      <c r="D1446" s="31">
        <v>46003</v>
      </c>
      <c r="E1446" s="29">
        <v>19175302</v>
      </c>
      <c r="F1446" s="29" t="s">
        <v>55</v>
      </c>
      <c r="G1446" s="29" t="s">
        <v>842</v>
      </c>
      <c r="H1446" s="29">
        <v>89</v>
      </c>
      <c r="I1446" s="29">
        <v>45</v>
      </c>
      <c r="J1446" s="29">
        <v>52</v>
      </c>
      <c r="K1446" s="29">
        <v>42</v>
      </c>
      <c r="L1446" s="29">
        <v>47</v>
      </c>
      <c r="M1446" s="29">
        <v>47</v>
      </c>
      <c r="N1446" s="29">
        <v>55</v>
      </c>
      <c r="O1446" s="32">
        <v>377</v>
      </c>
      <c r="P1446" s="29" cm="1">
        <f t="array" ref="P1446">IF(表成绩单[[#This Row],[语文]]="","",SUMPRODUCT((表成绩单[考试日期]=表成绩单[[#This Row],[考试日期]])*(表成绩单[语文]&lt;9E+307)*(表成绩单[语文]&gt;表成绩单[[#This Row],[语文]]))+1)</f>
        <v>598</v>
      </c>
      <c r="Q1446" s="29" cm="1">
        <f t="array" ref="Q1446">IF(表成绩单[[#This Row],[数学]]="","",SUMPRODUCT((表成绩单[考试日期]=表成绩单[[#This Row],[考试日期]])*(表成绩单[数学]&lt;9E+307)*(表成绩单[数学]&gt;表成绩单[[#This Row],[数学]]))+1)</f>
        <v>608</v>
      </c>
      <c r="R1446" s="29" cm="1">
        <f t="array" ref="R1446">IF(表成绩单[[#This Row],[英语]]="","",SUMPRODUCT((表成绩单[考试日期]=表成绩单[[#This Row],[考试日期]])*(表成绩单[英语]&lt;9E+307)*(表成绩单[英语]&gt;表成绩单[[#This Row],[英语]]))+1)</f>
        <v>589</v>
      </c>
      <c r="S1446" s="29" cm="1">
        <f t="array" ref="S1446">IF(表成绩单[[#This Row],[物理]]="","",SUMPRODUCT((表成绩单[考试日期]=表成绩单[[#This Row],[考试日期]])*(表成绩单[物理]&lt;9E+307)*(表成绩单[物理]&gt;表成绩单[[#This Row],[物理]]))+1)</f>
        <v>666</v>
      </c>
      <c r="T1446" s="29" cm="1">
        <f t="array" ref="T1446">IF(表成绩单[[#This Row],[化学]]="","",SUMPRODUCT((表成绩单[考试日期]=表成绩单[[#This Row],[考试日期]])*(表成绩单[化学]&lt;9E+307)*(表成绩单[化学]&gt;表成绩单[[#This Row],[化学]]))+1)</f>
        <v>672</v>
      </c>
      <c r="U1446" s="29" cm="1">
        <f t="array" ref="U1446">IF(表成绩单[[#This Row],[政治]]="","",SUMPRODUCT((表成绩单[考试日期]=表成绩单[[#This Row],[考试日期]])*(表成绩单[政治]&lt;9E+307)*(表成绩单[政治]&gt;表成绩单[[#This Row],[政治]]))+1)</f>
        <v>619</v>
      </c>
      <c r="V1446" s="29" cm="1">
        <f t="array" ref="V1446">IF(表成绩单[[#This Row],[历史]]="","",SUMPRODUCT((表成绩单[考试日期]=表成绩单[[#This Row],[考试日期]])*(表成绩单[历史]&lt;9E+307)*(表成绩单[历史]&gt;表成绩单[[#This Row],[历史]]))+1)</f>
        <v>670</v>
      </c>
      <c r="W1446" s="29" cm="1">
        <f t="array" ref="W1446">IF(表成绩单[[#This Row],[总分]]="","",SUMPRODUCT((表成绩单[考试日期]=表成绩单[[#This Row],[考试日期]])*(表成绩单[总分]&lt;9E+307)*(表成绩单[总分]&gt;表成绩单[[#This Row],[总分]]))+1)</f>
        <v>641</v>
      </c>
    </row>
    <row r="1447" ht="28" customHeight="1" spans="4:23">
      <c r="D1447" s="31">
        <v>46003</v>
      </c>
      <c r="E1447" s="29">
        <v>19176022</v>
      </c>
      <c r="F1447" s="29" t="s">
        <v>59</v>
      </c>
      <c r="G1447" s="29" t="s">
        <v>803</v>
      </c>
      <c r="H1447" s="29">
        <v>83</v>
      </c>
      <c r="I1447" s="29">
        <v>29</v>
      </c>
      <c r="J1447" s="29">
        <v>55.5</v>
      </c>
      <c r="K1447" s="29">
        <v>40</v>
      </c>
      <c r="L1447" s="29">
        <v>47</v>
      </c>
      <c r="M1447" s="29">
        <v>50</v>
      </c>
      <c r="N1447" s="29">
        <v>72</v>
      </c>
      <c r="O1447" s="32">
        <v>376.5</v>
      </c>
      <c r="P1447" s="29" cm="1">
        <f t="array" ref="P1447">IF(表成绩单[[#This Row],[语文]]="","",SUMPRODUCT((表成绩单[考试日期]=表成绩单[[#This Row],[考试日期]])*(表成绩单[语文]&lt;9E+307)*(表成绩单[语文]&gt;表成绩单[[#This Row],[语文]]))+1)</f>
        <v>651</v>
      </c>
      <c r="Q1447" s="29" cm="1">
        <f t="array" ref="Q1447">IF(表成绩单[[#This Row],[数学]]="","",SUMPRODUCT((表成绩单[考试日期]=表成绩单[[#This Row],[考试日期]])*(表成绩单[数学]&lt;9E+307)*(表成绩单[数学]&gt;表成绩单[[#This Row],[数学]]))+1)</f>
        <v>681</v>
      </c>
      <c r="R1447" s="29" cm="1">
        <f t="array" ref="R1447">IF(表成绩单[[#This Row],[英语]]="","",SUMPRODUCT((表成绩单[考试日期]=表成绩单[[#This Row],[考试日期]])*(表成绩单[英语]&lt;9E+307)*(表成绩单[英语]&gt;表成绩单[[#This Row],[英语]]))+1)</f>
        <v>563</v>
      </c>
      <c r="S1447" s="29" cm="1">
        <f t="array" ref="S1447">IF(表成绩单[[#This Row],[物理]]="","",SUMPRODUCT((表成绩单[考试日期]=表成绩单[[#This Row],[考试日期]])*(表成绩单[物理]&lt;9E+307)*(表成绩单[物理]&gt;表成绩单[[#This Row],[物理]]))+1)</f>
        <v>677</v>
      </c>
      <c r="T1447" s="29" cm="1">
        <f t="array" ref="T1447">IF(表成绩单[[#This Row],[化学]]="","",SUMPRODUCT((表成绩单[考试日期]=表成绩单[[#This Row],[考试日期]])*(表成绩单[化学]&lt;9E+307)*(表成绩单[化学]&gt;表成绩单[[#This Row],[化学]]))+1)</f>
        <v>672</v>
      </c>
      <c r="U1447" s="29" cm="1">
        <f t="array" ref="U1447">IF(表成绩单[[#This Row],[政治]]="","",SUMPRODUCT((表成绩单[考试日期]=表成绩单[[#This Row],[考试日期]])*(表成绩单[政治]&lt;9E+307)*(表成绩单[政治]&gt;表成绩单[[#This Row],[政治]]))+1)</f>
        <v>587</v>
      </c>
      <c r="V1447" s="29" cm="1">
        <f t="array" ref="V1447">IF(表成绩单[[#This Row],[历史]]="","",SUMPRODUCT((表成绩单[考试日期]=表成绩单[[#This Row],[考试日期]])*(表成绩单[历史]&lt;9E+307)*(表成绩单[历史]&gt;表成绩单[[#This Row],[历史]]))+1)</f>
        <v>439</v>
      </c>
      <c r="W1447" s="29" cm="1">
        <f t="array" ref="W1447">IF(表成绩单[[#This Row],[总分]]="","",SUMPRODUCT((表成绩单[考试日期]=表成绩单[[#This Row],[考试日期]])*(表成绩单[总分]&lt;9E+307)*(表成绩单[总分]&gt;表成绩单[[#This Row],[总分]]))+1)</f>
        <v>642</v>
      </c>
    </row>
    <row r="1448" ht="28" customHeight="1" spans="4:23">
      <c r="D1448" s="31">
        <v>46003</v>
      </c>
      <c r="E1448" s="29">
        <v>19173282</v>
      </c>
      <c r="F1448" s="29" t="s">
        <v>61</v>
      </c>
      <c r="G1448" s="29" t="s">
        <v>699</v>
      </c>
      <c r="H1448" s="29">
        <v>89</v>
      </c>
      <c r="I1448" s="29">
        <v>45</v>
      </c>
      <c r="J1448" s="29">
        <v>41.5</v>
      </c>
      <c r="K1448" s="29">
        <v>41</v>
      </c>
      <c r="L1448" s="29">
        <v>49</v>
      </c>
      <c r="M1448" s="29">
        <v>42</v>
      </c>
      <c r="N1448" s="29">
        <v>68</v>
      </c>
      <c r="O1448" s="32">
        <v>375.5</v>
      </c>
      <c r="P1448" s="29" cm="1">
        <f t="array" ref="P1448">IF(表成绩单[[#This Row],[语文]]="","",SUMPRODUCT((表成绩单[考试日期]=表成绩单[[#This Row],[考试日期]])*(表成绩单[语文]&lt;9E+307)*(表成绩单[语文]&gt;表成绩单[[#This Row],[语文]]))+1)</f>
        <v>598</v>
      </c>
      <c r="Q1448" s="29" cm="1">
        <f t="array" ref="Q1448">IF(表成绩单[[#This Row],[数学]]="","",SUMPRODUCT((表成绩单[考试日期]=表成绩单[[#This Row],[考试日期]])*(表成绩单[数学]&lt;9E+307)*(表成绩单[数学]&gt;表成绩单[[#This Row],[数学]]))+1)</f>
        <v>608</v>
      </c>
      <c r="R1448" s="29" cm="1">
        <f t="array" ref="R1448">IF(表成绩单[[#This Row],[英语]]="","",SUMPRODUCT((表成绩单[考试日期]=表成绩单[[#This Row],[考试日期]])*(表成绩单[英语]&lt;9E+307)*(表成绩单[英语]&gt;表成绩单[[#This Row],[英语]]))+1)</f>
        <v>645</v>
      </c>
      <c r="S1448" s="29" cm="1">
        <f t="array" ref="S1448">IF(表成绩单[[#This Row],[物理]]="","",SUMPRODUCT((表成绩单[考试日期]=表成绩单[[#This Row],[考试日期]])*(表成绩单[物理]&lt;9E+307)*(表成绩单[物理]&gt;表成绩单[[#This Row],[物理]]))+1)</f>
        <v>672</v>
      </c>
      <c r="T1448" s="29" cm="1">
        <f t="array" ref="T1448">IF(表成绩单[[#This Row],[化学]]="","",SUMPRODUCT((表成绩单[考试日期]=表成绩单[[#This Row],[考试日期]])*(表成绩单[化学]&lt;9E+307)*(表成绩单[化学]&gt;表成绩单[[#This Row],[化学]]))+1)</f>
        <v>657</v>
      </c>
      <c r="U1448" s="29" cm="1">
        <f t="array" ref="U1448">IF(表成绩单[[#This Row],[政治]]="","",SUMPRODUCT((表成绩单[考试日期]=表成绩单[[#This Row],[考试日期]])*(表成绩单[政治]&lt;9E+307)*(表成绩单[政治]&gt;表成绩单[[#This Row],[政治]]))+1)</f>
        <v>666</v>
      </c>
      <c r="V1448" s="29" cm="1">
        <f t="array" ref="V1448">IF(表成绩单[[#This Row],[历史]]="","",SUMPRODUCT((表成绩单[考试日期]=表成绩单[[#This Row],[考试日期]])*(表成绩单[历史]&lt;9E+307)*(表成绩单[历史]&gt;表成绩单[[#This Row],[历史]]))+1)</f>
        <v>536</v>
      </c>
      <c r="W1448" s="29" cm="1">
        <f t="array" ref="W1448">IF(表成绩单[[#This Row],[总分]]="","",SUMPRODUCT((表成绩单[考试日期]=表成绩单[[#This Row],[考试日期]])*(表成绩单[总分]&lt;9E+307)*(表成绩单[总分]&gt;表成绩单[[#This Row],[总分]]))+1)</f>
        <v>643</v>
      </c>
    </row>
    <row r="1449" ht="28" customHeight="1" spans="4:23">
      <c r="D1449" s="31">
        <v>46003</v>
      </c>
      <c r="E1449" s="29">
        <v>19175590</v>
      </c>
      <c r="F1449" s="29" t="s">
        <v>57</v>
      </c>
      <c r="G1449" s="29" t="s">
        <v>793</v>
      </c>
      <c r="H1449" s="29">
        <v>84</v>
      </c>
      <c r="I1449" s="29">
        <v>30</v>
      </c>
      <c r="J1449" s="29">
        <v>78</v>
      </c>
      <c r="K1449" s="29">
        <v>42</v>
      </c>
      <c r="L1449" s="29">
        <v>43</v>
      </c>
      <c r="M1449" s="29">
        <v>39</v>
      </c>
      <c r="N1449" s="29">
        <v>56</v>
      </c>
      <c r="O1449" s="32">
        <v>372</v>
      </c>
      <c r="P1449" s="29" cm="1">
        <f t="array" ref="P1449">IF(表成绩单[[#This Row],[语文]]="","",SUMPRODUCT((表成绩单[考试日期]=表成绩单[[#This Row],[考试日期]])*(表成绩单[语文]&lt;9E+307)*(表成绩单[语文]&gt;表成绩单[[#This Row],[语文]]))+1)</f>
        <v>642</v>
      </c>
      <c r="Q1449" s="29" cm="1">
        <f t="array" ref="Q1449">IF(表成绩单[[#This Row],[数学]]="","",SUMPRODUCT((表成绩单[考试日期]=表成绩单[[#This Row],[考试日期]])*(表成绩单[数学]&lt;9E+307)*(表成绩单[数学]&gt;表成绩单[[#This Row],[数学]]))+1)</f>
        <v>676</v>
      </c>
      <c r="R1449" s="29" cm="1">
        <f t="array" ref="R1449">IF(表成绩单[[#This Row],[英语]]="","",SUMPRODUCT((表成绩单[考试日期]=表成绩单[[#This Row],[考试日期]])*(表成绩单[英语]&lt;9E+307)*(表成绩单[英语]&gt;表成绩单[[#This Row],[英语]]))+1)</f>
        <v>214</v>
      </c>
      <c r="S1449" s="29" cm="1">
        <f t="array" ref="S1449">IF(表成绩单[[#This Row],[物理]]="","",SUMPRODUCT((表成绩单[考试日期]=表成绩单[[#This Row],[考试日期]])*(表成绩单[物理]&lt;9E+307)*(表成绩单[物理]&gt;表成绩单[[#This Row],[物理]]))+1)</f>
        <v>666</v>
      </c>
      <c r="T1449" s="29" cm="1">
        <f t="array" ref="T1449">IF(表成绩单[[#This Row],[化学]]="","",SUMPRODUCT((表成绩单[考试日期]=表成绩单[[#This Row],[考试日期]])*(表成绩单[化学]&lt;9E+307)*(表成绩单[化学]&gt;表成绩单[[#This Row],[化学]]))+1)</f>
        <v>691</v>
      </c>
      <c r="U1449" s="29" cm="1">
        <f t="array" ref="U1449">IF(表成绩单[[#This Row],[政治]]="","",SUMPRODUCT((表成绩单[考试日期]=表成绩单[[#This Row],[考试日期]])*(表成绩单[政治]&lt;9E+307)*(表成绩单[政治]&gt;表成绩单[[#This Row],[政治]]))+1)</f>
        <v>680</v>
      </c>
      <c r="V1449" s="29" cm="1">
        <f t="array" ref="V1449">IF(表成绩单[[#This Row],[历史]]="","",SUMPRODUCT((表成绩单[考试日期]=表成绩单[[#This Row],[考试日期]])*(表成绩单[历史]&lt;9E+307)*(表成绩单[历史]&gt;表成绩单[[#This Row],[历史]]))+1)</f>
        <v>664</v>
      </c>
      <c r="W1449" s="29" cm="1">
        <f t="array" ref="W1449">IF(表成绩单[[#This Row],[总分]]="","",SUMPRODUCT((表成绩单[考试日期]=表成绩单[[#This Row],[考试日期]])*(表成绩单[总分]&lt;9E+307)*(表成绩单[总分]&gt;表成绩单[[#This Row],[总分]]))+1)</f>
        <v>644</v>
      </c>
    </row>
    <row r="1450" ht="28" customHeight="1" spans="4:23">
      <c r="D1450" s="31">
        <v>46003</v>
      </c>
      <c r="E1450" s="29">
        <v>19172647</v>
      </c>
      <c r="F1450" s="29" t="s">
        <v>60</v>
      </c>
      <c r="G1450" s="29" t="s">
        <v>814</v>
      </c>
      <c r="H1450" s="29">
        <v>72</v>
      </c>
      <c r="I1450" s="29">
        <v>61</v>
      </c>
      <c r="J1450" s="29">
        <v>22</v>
      </c>
      <c r="K1450" s="29">
        <v>59</v>
      </c>
      <c r="L1450" s="29">
        <v>48</v>
      </c>
      <c r="M1450" s="29">
        <v>41</v>
      </c>
      <c r="N1450" s="29">
        <v>67</v>
      </c>
      <c r="O1450" s="32">
        <v>370</v>
      </c>
      <c r="P1450" s="29" cm="1">
        <f t="array" ref="P1450">IF(表成绩单[[#This Row],[语文]]="","",SUMPRODUCT((表成绩单[考试日期]=表成绩单[[#This Row],[考试日期]])*(表成绩单[语文]&lt;9E+307)*(表成绩单[语文]&gt;表成绩单[[#This Row],[语文]]))+1)</f>
        <v>695</v>
      </c>
      <c r="Q1450" s="29" cm="1">
        <f t="array" ref="Q1450">IF(表成绩单[[#This Row],[数学]]="","",SUMPRODUCT((表成绩单[考试日期]=表成绩单[[#This Row],[考试日期]])*(表成绩单[数学]&lt;9E+307)*(表成绩单[数学]&gt;表成绩单[[#This Row],[数学]]))+1)</f>
        <v>504</v>
      </c>
      <c r="R1450" s="29" cm="1">
        <f t="array" ref="R1450">IF(表成绩单[[#This Row],[英语]]="","",SUMPRODUCT((表成绩单[考试日期]=表成绩单[[#This Row],[考试日期]])*(表成绩单[英语]&lt;9E+307)*(表成绩单[英语]&gt;表成绩单[[#This Row],[英语]]))+1)</f>
        <v>713</v>
      </c>
      <c r="S1450" s="29" cm="1">
        <f t="array" ref="S1450">IF(表成绩单[[#This Row],[物理]]="","",SUMPRODUCT((表成绩单[考试日期]=表成绩单[[#This Row],[考试日期]])*(表成绩单[物理]&lt;9E+307)*(表成绩单[物理]&gt;表成绩单[[#This Row],[物理]]))+1)</f>
        <v>591</v>
      </c>
      <c r="T1450" s="29" cm="1">
        <f t="array" ref="T1450">IF(表成绩单[[#This Row],[化学]]="","",SUMPRODUCT((表成绩单[考试日期]=表成绩单[[#This Row],[考试日期]])*(表成绩单[化学]&lt;9E+307)*(表成绩单[化学]&gt;表成绩单[[#This Row],[化学]]))+1)</f>
        <v>665</v>
      </c>
      <c r="U1450" s="29" cm="1">
        <f t="array" ref="U1450">IF(表成绩单[[#This Row],[政治]]="","",SUMPRODUCT((表成绩单[考试日期]=表成绩单[[#This Row],[考试日期]])*(表成绩单[政治]&lt;9E+307)*(表成绩单[政治]&gt;表成绩单[[#This Row],[政治]]))+1)</f>
        <v>668</v>
      </c>
      <c r="V1450" s="29" cm="1">
        <f t="array" ref="V1450">IF(表成绩单[[#This Row],[历史]]="","",SUMPRODUCT((表成绩单[考试日期]=表成绩单[[#This Row],[考试日期]])*(表成绩单[历史]&lt;9E+307)*(表成绩单[历史]&gt;表成绩单[[#This Row],[历史]]))+1)</f>
        <v>549</v>
      </c>
      <c r="W1450" s="29" cm="1">
        <f t="array" ref="W1450">IF(表成绩单[[#This Row],[总分]]="","",SUMPRODUCT((表成绩单[考试日期]=表成绩单[[#This Row],[考试日期]])*(表成绩单[总分]&lt;9E+307)*(表成绩单[总分]&gt;表成绩单[[#This Row],[总分]]))+1)</f>
        <v>645</v>
      </c>
    </row>
    <row r="1451" ht="28" customHeight="1" spans="4:23">
      <c r="D1451" s="31">
        <v>46003</v>
      </c>
      <c r="E1451" s="29">
        <v>19175320</v>
      </c>
      <c r="F1451" s="29" t="s">
        <v>55</v>
      </c>
      <c r="G1451" s="29" t="s">
        <v>795</v>
      </c>
      <c r="H1451" s="29">
        <v>82</v>
      </c>
      <c r="I1451" s="29">
        <v>37</v>
      </c>
      <c r="J1451" s="29">
        <v>36</v>
      </c>
      <c r="K1451" s="29">
        <v>60</v>
      </c>
      <c r="L1451" s="29">
        <v>57</v>
      </c>
      <c r="M1451" s="29">
        <v>45</v>
      </c>
      <c r="N1451" s="29">
        <v>53</v>
      </c>
      <c r="O1451" s="32">
        <v>370</v>
      </c>
      <c r="P1451" s="29" cm="1">
        <f t="array" ref="P1451">IF(表成绩单[[#This Row],[语文]]="","",SUMPRODUCT((表成绩单[考试日期]=表成绩单[[#This Row],[考试日期]])*(表成绩单[语文]&lt;9E+307)*(表成绩单[语文]&gt;表成绩单[[#This Row],[语文]]))+1)</f>
        <v>657</v>
      </c>
      <c r="Q1451" s="29" cm="1">
        <f t="array" ref="Q1451">IF(表成绩单[[#This Row],[数学]]="","",SUMPRODUCT((表成绩单[考试日期]=表成绩单[[#This Row],[考试日期]])*(表成绩单[数学]&lt;9E+307)*(表成绩单[数学]&gt;表成绩单[[#This Row],[数学]]))+1)</f>
        <v>647</v>
      </c>
      <c r="R1451" s="29" cm="1">
        <f t="array" ref="R1451">IF(表成绩单[[#This Row],[英语]]="","",SUMPRODUCT((表成绩单[考试日期]=表成绩单[[#This Row],[考试日期]])*(表成绩单[英语]&lt;9E+307)*(表成绩单[英语]&gt;表成绩单[[#This Row],[英语]]))+1)</f>
        <v>664</v>
      </c>
      <c r="S1451" s="29" cm="1">
        <f t="array" ref="S1451">IF(表成绩单[[#This Row],[物理]]="","",SUMPRODUCT((表成绩单[考试日期]=表成绩单[[#This Row],[考试日期]])*(表成绩单[物理]&lt;9E+307)*(表成绩单[物理]&gt;表成绩单[[#This Row],[物理]]))+1)</f>
        <v>585</v>
      </c>
      <c r="T1451" s="29" cm="1">
        <f t="array" ref="T1451">IF(表成绩单[[#This Row],[化学]]="","",SUMPRODUCT((表成绩单[考试日期]=表成绩单[[#This Row],[考试日期]])*(表成绩单[化学]&lt;9E+307)*(表成绩单[化学]&gt;表成绩单[[#This Row],[化学]]))+1)</f>
        <v>608</v>
      </c>
      <c r="U1451" s="29" cm="1">
        <f t="array" ref="U1451">IF(表成绩单[[#This Row],[政治]]="","",SUMPRODUCT((表成绩单[考试日期]=表成绩单[[#This Row],[考试日期]])*(表成绩单[政治]&lt;9E+307)*(表成绩单[政治]&gt;表成绩单[[#This Row],[政治]]))+1)</f>
        <v>638</v>
      </c>
      <c r="V1451" s="29" cm="1">
        <f t="array" ref="V1451">IF(表成绩单[[#This Row],[历史]]="","",SUMPRODUCT((表成绩单[考试日期]=表成绩单[[#This Row],[考试日期]])*(表成绩单[历史]&lt;9E+307)*(表成绩单[历史]&gt;表成绩单[[#This Row],[历史]]))+1)</f>
        <v>687</v>
      </c>
      <c r="W1451" s="29" cm="1">
        <f t="array" ref="W1451">IF(表成绩单[[#This Row],[总分]]="","",SUMPRODUCT((表成绩单[考试日期]=表成绩单[[#This Row],[考试日期]])*(表成绩单[总分]&lt;9E+307)*(表成绩单[总分]&gt;表成绩单[[#This Row],[总分]]))+1)</f>
        <v>645</v>
      </c>
    </row>
    <row r="1452" ht="28" customHeight="1" spans="4:23">
      <c r="D1452" s="31">
        <v>46003</v>
      </c>
      <c r="E1452" s="29">
        <v>19175379</v>
      </c>
      <c r="F1452" s="29" t="s">
        <v>74</v>
      </c>
      <c r="G1452" s="29" t="s">
        <v>751</v>
      </c>
      <c r="H1452" s="29">
        <v>80</v>
      </c>
      <c r="I1452" s="29">
        <v>32</v>
      </c>
      <c r="J1452" s="29">
        <v>43</v>
      </c>
      <c r="K1452" s="29">
        <v>59</v>
      </c>
      <c r="L1452" s="29">
        <v>58</v>
      </c>
      <c r="M1452" s="29">
        <v>56</v>
      </c>
      <c r="N1452" s="29">
        <v>42</v>
      </c>
      <c r="O1452" s="32">
        <v>370</v>
      </c>
      <c r="P1452" s="29" cm="1">
        <f t="array" ref="P1452">IF(表成绩单[[#This Row],[语文]]="","",SUMPRODUCT((表成绩单[考试日期]=表成绩单[[#This Row],[考试日期]])*(表成绩单[语文]&lt;9E+307)*(表成绩单[语文]&gt;表成绩单[[#This Row],[语文]]))+1)</f>
        <v>670</v>
      </c>
      <c r="Q1452" s="29" cm="1">
        <f t="array" ref="Q1452">IF(表成绩单[[#This Row],[数学]]="","",SUMPRODUCT((表成绩单[考试日期]=表成绩单[[#This Row],[考试日期]])*(表成绩单[数学]&lt;9E+307)*(表成绩单[数学]&gt;表成绩单[[#This Row],[数学]]))+1)</f>
        <v>668</v>
      </c>
      <c r="R1452" s="29" cm="1">
        <f t="array" ref="R1452">IF(表成绩单[[#This Row],[英语]]="","",SUMPRODUCT((表成绩单[考试日期]=表成绩单[[#This Row],[考试日期]])*(表成绩单[英语]&lt;9E+307)*(表成绩单[英语]&gt;表成绩单[[#This Row],[英语]]))+1)</f>
        <v>636</v>
      </c>
      <c r="S1452" s="29" cm="1">
        <f t="array" ref="S1452">IF(表成绩单[[#This Row],[物理]]="","",SUMPRODUCT((表成绩单[考试日期]=表成绩单[[#This Row],[考试日期]])*(表成绩单[物理]&lt;9E+307)*(表成绩单[物理]&gt;表成绩单[[#This Row],[物理]]))+1)</f>
        <v>591</v>
      </c>
      <c r="T1452" s="29" cm="1">
        <f t="array" ref="T1452">IF(表成绩单[[#This Row],[化学]]="","",SUMPRODUCT((表成绩单[考试日期]=表成绩单[[#This Row],[考试日期]])*(表成绩单[化学]&lt;9E+307)*(表成绩单[化学]&gt;表成绩单[[#This Row],[化学]]))+1)</f>
        <v>597</v>
      </c>
      <c r="U1452" s="29" cm="1">
        <f t="array" ref="U1452">IF(表成绩单[[#This Row],[政治]]="","",SUMPRODUCT((表成绩单[考试日期]=表成绩单[[#This Row],[考试日期]])*(表成绩单[政治]&lt;9E+307)*(表成绩单[政治]&gt;表成绩单[[#This Row],[政治]]))+1)</f>
        <v>492</v>
      </c>
      <c r="V1452" s="29" cm="1">
        <f t="array" ref="V1452">IF(表成绩单[[#This Row],[历史]]="","",SUMPRODUCT((表成绩单[考试日期]=表成绩单[[#This Row],[考试日期]])*(表成绩单[历史]&lt;9E+307)*(表成绩单[历史]&gt;表成绩单[[#This Row],[历史]]))+1)</f>
        <v>721</v>
      </c>
      <c r="W1452" s="29" cm="1">
        <f t="array" ref="W1452">IF(表成绩单[[#This Row],[总分]]="","",SUMPRODUCT((表成绩单[考试日期]=表成绩单[[#This Row],[考试日期]])*(表成绩单[总分]&lt;9E+307)*(表成绩单[总分]&gt;表成绩单[[#This Row],[总分]]))+1)</f>
        <v>645</v>
      </c>
    </row>
    <row r="1453" ht="28" customHeight="1" spans="4:23">
      <c r="D1453" s="31">
        <v>46003</v>
      </c>
      <c r="E1453" s="29">
        <v>19175608</v>
      </c>
      <c r="F1453" s="29" t="s">
        <v>57</v>
      </c>
      <c r="G1453" s="29" t="s">
        <v>788</v>
      </c>
      <c r="H1453" s="29">
        <v>89</v>
      </c>
      <c r="I1453" s="29">
        <v>35</v>
      </c>
      <c r="J1453" s="29">
        <v>25.5</v>
      </c>
      <c r="K1453" s="29">
        <v>44</v>
      </c>
      <c r="L1453" s="29">
        <v>63</v>
      </c>
      <c r="M1453" s="29">
        <v>52</v>
      </c>
      <c r="N1453" s="29">
        <v>60</v>
      </c>
      <c r="O1453" s="32">
        <v>368.5</v>
      </c>
      <c r="P1453" s="29" cm="1">
        <f t="array" ref="P1453">IF(表成绩单[[#This Row],[语文]]="","",SUMPRODUCT((表成绩单[考试日期]=表成绩单[[#This Row],[考试日期]])*(表成绩单[语文]&lt;9E+307)*(表成绩单[语文]&gt;表成绩单[[#This Row],[语文]]))+1)</f>
        <v>598</v>
      </c>
      <c r="Q1453" s="29" cm="1">
        <f t="array" ref="Q1453">IF(表成绩单[[#This Row],[数学]]="","",SUMPRODUCT((表成绩单[考试日期]=表成绩单[[#This Row],[考试日期]])*(表成绩单[数学]&lt;9E+307)*(表成绩单[数学]&gt;表成绩单[[#This Row],[数学]]))+1)</f>
        <v>653</v>
      </c>
      <c r="R1453" s="29" cm="1">
        <f t="array" ref="R1453">IF(表成绩单[[#This Row],[英语]]="","",SUMPRODUCT((表成绩单[考试日期]=表成绩单[[#This Row],[考试日期]])*(表成绩单[英语]&lt;9E+307)*(表成绩单[英语]&gt;表成绩单[[#This Row],[英语]]))+1)</f>
        <v>705</v>
      </c>
      <c r="S1453" s="29" cm="1">
        <f t="array" ref="S1453">IF(表成绩单[[#This Row],[物理]]="","",SUMPRODUCT((表成绩单[考试日期]=表成绩单[[#This Row],[考试日期]])*(表成绩单[物理]&lt;9E+307)*(表成绩单[物理]&gt;表成绩单[[#This Row],[物理]]))+1)</f>
        <v>655</v>
      </c>
      <c r="T1453" s="29" cm="1">
        <f t="array" ref="T1453">IF(表成绩单[[#This Row],[化学]]="","",SUMPRODUCT((表成绩单[考试日期]=表成绩单[[#This Row],[考试日期]])*(表成绩单[化学]&lt;9E+307)*(表成绩单[化学]&gt;表成绩单[[#This Row],[化学]]))+1)</f>
        <v>559</v>
      </c>
      <c r="U1453" s="29" cm="1">
        <f t="array" ref="U1453">IF(表成绩单[[#This Row],[政治]]="","",SUMPRODUCT((表成绩单[考试日期]=表成绩单[[#This Row],[考试日期]])*(表成绩单[政治]&lt;9E+307)*(表成绩单[政治]&gt;表成绩单[[#This Row],[政治]]))+1)</f>
        <v>560</v>
      </c>
      <c r="V1453" s="29" cm="1">
        <f t="array" ref="V1453">IF(表成绩单[[#This Row],[历史]]="","",SUMPRODUCT((表成绩单[考试日期]=表成绩单[[#This Row],[考试日期]])*(表成绩单[历史]&lt;9E+307)*(表成绩单[历史]&gt;表成绩单[[#This Row],[历史]]))+1)</f>
        <v>633</v>
      </c>
      <c r="W1453" s="29" cm="1">
        <f t="array" ref="W1453">IF(表成绩单[[#This Row],[总分]]="","",SUMPRODUCT((表成绩单[考试日期]=表成绩单[[#This Row],[考试日期]])*(表成绩单[总分]&lt;9E+307)*(表成绩单[总分]&gt;表成绩单[[#This Row],[总分]]))+1)</f>
        <v>648</v>
      </c>
    </row>
    <row r="1454" ht="28" customHeight="1" spans="4:23">
      <c r="D1454" s="31">
        <v>46003</v>
      </c>
      <c r="E1454" s="29">
        <v>19173254</v>
      </c>
      <c r="F1454" s="29" t="s">
        <v>61</v>
      </c>
      <c r="G1454" s="29" t="s">
        <v>799</v>
      </c>
      <c r="H1454" s="29">
        <v>94</v>
      </c>
      <c r="I1454" s="29">
        <v>29</v>
      </c>
      <c r="J1454" s="29">
        <v>31</v>
      </c>
      <c r="K1454" s="29">
        <v>45</v>
      </c>
      <c r="L1454" s="29">
        <v>66</v>
      </c>
      <c r="M1454" s="29">
        <v>41</v>
      </c>
      <c r="N1454" s="29">
        <v>62</v>
      </c>
      <c r="O1454" s="32">
        <v>368</v>
      </c>
      <c r="P1454" s="29" cm="1">
        <f t="array" ref="P1454">IF(表成绩单[[#This Row],[语文]]="","",SUMPRODUCT((表成绩单[考试日期]=表成绩单[[#This Row],[考试日期]])*(表成绩单[语文]&lt;9E+307)*(表成绩单[语文]&gt;表成绩单[[#This Row],[语文]]))+1)</f>
        <v>537</v>
      </c>
      <c r="Q1454" s="29" cm="1">
        <f t="array" ref="Q1454">IF(表成绩单[[#This Row],[数学]]="","",SUMPRODUCT((表成绩单[考试日期]=表成绩单[[#This Row],[考试日期]])*(表成绩单[数学]&lt;9E+307)*(表成绩单[数学]&gt;表成绩单[[#This Row],[数学]]))+1)</f>
        <v>681</v>
      </c>
      <c r="R1454" s="29" cm="1">
        <f t="array" ref="R1454">IF(表成绩单[[#This Row],[英语]]="","",SUMPRODUCT((表成绩单[考试日期]=表成绩单[[#This Row],[考试日期]])*(表成绩单[英语]&lt;9E+307)*(表成绩单[英语]&gt;表成绩单[[#This Row],[英语]]))+1)</f>
        <v>685</v>
      </c>
      <c r="S1454" s="29" cm="1">
        <f t="array" ref="S1454">IF(表成绩单[[#This Row],[物理]]="","",SUMPRODUCT((表成绩单[考试日期]=表成绩单[[#This Row],[考试日期]])*(表成绩单[物理]&lt;9E+307)*(表成绩单[物理]&gt;表成绩单[[#This Row],[物理]]))+1)</f>
        <v>651</v>
      </c>
      <c r="T1454" s="29" cm="1">
        <f t="array" ref="T1454">IF(表成绩单[[#This Row],[化学]]="","",SUMPRODUCT((表成绩单[考试日期]=表成绩单[[#This Row],[考试日期]])*(表成绩单[化学]&lt;9E+307)*(表成绩单[化学]&gt;表成绩单[[#This Row],[化学]]))+1)</f>
        <v>530</v>
      </c>
      <c r="U1454" s="29" cm="1">
        <f t="array" ref="U1454">IF(表成绩单[[#This Row],[政治]]="","",SUMPRODUCT((表成绩单[考试日期]=表成绩单[[#This Row],[考试日期]])*(表成绩单[政治]&lt;9E+307)*(表成绩单[政治]&gt;表成绩单[[#This Row],[政治]]))+1)</f>
        <v>668</v>
      </c>
      <c r="V1454" s="29" cm="1">
        <f t="array" ref="V1454">IF(表成绩单[[#This Row],[历史]]="","",SUMPRODUCT((表成绩单[考试日期]=表成绩单[[#This Row],[考试日期]])*(表成绩单[历史]&lt;9E+307)*(表成绩单[历史]&gt;表成绩单[[#This Row],[历史]]))+1)</f>
        <v>618</v>
      </c>
      <c r="W1454" s="29" cm="1">
        <f t="array" ref="W1454">IF(表成绩单[[#This Row],[总分]]="","",SUMPRODUCT((表成绩单[考试日期]=表成绩单[[#This Row],[考试日期]])*(表成绩单[总分]&lt;9E+307)*(表成绩单[总分]&gt;表成绩单[[#This Row],[总分]]))+1)</f>
        <v>649</v>
      </c>
    </row>
    <row r="1455" ht="28" customHeight="1" spans="4:23">
      <c r="D1455" s="31">
        <v>46003</v>
      </c>
      <c r="E1455" s="29">
        <v>19175594</v>
      </c>
      <c r="F1455" s="29" t="s">
        <v>57</v>
      </c>
      <c r="G1455" s="29" t="s">
        <v>700</v>
      </c>
      <c r="H1455" s="29">
        <v>94</v>
      </c>
      <c r="I1455" s="29">
        <v>23</v>
      </c>
      <c r="J1455" s="29">
        <v>50</v>
      </c>
      <c r="K1455" s="29">
        <v>19</v>
      </c>
      <c r="L1455" s="29">
        <v>48</v>
      </c>
      <c r="M1455" s="29">
        <v>60</v>
      </c>
      <c r="N1455" s="29">
        <v>73</v>
      </c>
      <c r="O1455" s="32">
        <v>367</v>
      </c>
      <c r="P1455" s="29" cm="1">
        <f t="array" ref="P1455">IF(表成绩单[[#This Row],[语文]]="","",SUMPRODUCT((表成绩单[考试日期]=表成绩单[[#This Row],[考试日期]])*(表成绩单[语文]&lt;9E+307)*(表成绩单[语文]&gt;表成绩单[[#This Row],[语文]]))+1)</f>
        <v>537</v>
      </c>
      <c r="Q1455" s="29" cm="1">
        <f t="array" ref="Q1455">IF(表成绩单[[#This Row],[数学]]="","",SUMPRODUCT((表成绩单[考试日期]=表成绩单[[#This Row],[考试日期]])*(表成绩单[数学]&lt;9E+307)*(表成绩单[数学]&gt;表成绩单[[#This Row],[数学]]))+1)</f>
        <v>704</v>
      </c>
      <c r="R1455" s="29" cm="1">
        <f t="array" ref="R1455">IF(表成绩单[[#This Row],[英语]]="","",SUMPRODUCT((表成绩单[考试日期]=表成绩单[[#This Row],[考试日期]])*(表成绩单[英语]&lt;9E+307)*(表成绩单[英语]&gt;表成绩单[[#This Row],[英语]]))+1)</f>
        <v>605</v>
      </c>
      <c r="S1455" s="29" cm="1">
        <f t="array" ref="S1455">IF(表成绩单[[#This Row],[物理]]="","",SUMPRODUCT((表成绩单[考试日期]=表成绩单[[#This Row],[考试日期]])*(表成绩单[物理]&lt;9E+307)*(表成绩单[物理]&gt;表成绩单[[#This Row],[物理]]))+1)</f>
        <v>721</v>
      </c>
      <c r="T1455" s="29" cm="1">
        <f t="array" ref="T1455">IF(表成绩单[[#This Row],[化学]]="","",SUMPRODUCT((表成绩单[考试日期]=表成绩单[[#This Row],[考试日期]])*(表成绩单[化学]&lt;9E+307)*(表成绩单[化学]&gt;表成绩单[[#This Row],[化学]]))+1)</f>
        <v>665</v>
      </c>
      <c r="U1455" s="29" cm="1">
        <f t="array" ref="U1455">IF(表成绩单[[#This Row],[政治]]="","",SUMPRODUCT((表成绩单[考试日期]=表成绩单[[#This Row],[考试日期]])*(表成绩单[政治]&lt;9E+307)*(表成绩单[政治]&gt;表成绩单[[#This Row],[政治]]))+1)</f>
        <v>421</v>
      </c>
      <c r="V1455" s="29" cm="1">
        <f t="array" ref="V1455">IF(表成绩单[[#This Row],[历史]]="","",SUMPRODUCT((表成绩单[考试日期]=表成绩单[[#This Row],[考试日期]])*(表成绩单[历史]&lt;9E+307)*(表成绩单[历史]&gt;表成绩单[[#This Row],[历史]]))+1)</f>
        <v>403</v>
      </c>
      <c r="W1455" s="29" cm="1">
        <f t="array" ref="W1455">IF(表成绩单[[#This Row],[总分]]="","",SUMPRODUCT((表成绩单[考试日期]=表成绩单[[#This Row],[考试日期]])*(表成绩单[总分]&lt;9E+307)*(表成绩单[总分]&gt;表成绩单[[#This Row],[总分]]))+1)</f>
        <v>650</v>
      </c>
    </row>
    <row r="1456" ht="28" customHeight="1" spans="4:23">
      <c r="D1456" s="31">
        <v>46003</v>
      </c>
      <c r="E1456" s="29">
        <v>19172660</v>
      </c>
      <c r="F1456" s="29" t="s">
        <v>60</v>
      </c>
      <c r="G1456" s="29" t="s">
        <v>805</v>
      </c>
      <c r="H1456" s="29">
        <v>77</v>
      </c>
      <c r="I1456" s="29">
        <v>54</v>
      </c>
      <c r="J1456" s="29">
        <v>32</v>
      </c>
      <c r="K1456" s="29">
        <v>68</v>
      </c>
      <c r="L1456" s="29">
        <v>41</v>
      </c>
      <c r="M1456" s="29">
        <v>46</v>
      </c>
      <c r="N1456" s="29">
        <v>48</v>
      </c>
      <c r="O1456" s="32">
        <v>366</v>
      </c>
      <c r="P1456" s="29" cm="1">
        <f t="array" ref="P1456">IF(表成绩单[[#This Row],[语文]]="","",SUMPRODUCT((表成绩单[考试日期]=表成绩单[[#This Row],[考试日期]])*(表成绩单[语文]&lt;9E+307)*(表成绩单[语文]&gt;表成绩单[[#This Row],[语文]]))+1)</f>
        <v>684</v>
      </c>
      <c r="Q1456" s="29" cm="1">
        <f t="array" ref="Q1456">IF(表成绩单[[#This Row],[数学]]="","",SUMPRODUCT((表成绩单[考试日期]=表成绩单[[#This Row],[考试日期]])*(表成绩单[数学]&lt;9E+307)*(表成绩单[数学]&gt;表成绩单[[#This Row],[数学]]))+1)</f>
        <v>562</v>
      </c>
      <c r="R1456" s="29" cm="1">
        <f t="array" ref="R1456">IF(表成绩单[[#This Row],[英语]]="","",SUMPRODUCT((表成绩单[考试日期]=表成绩单[[#This Row],[考试日期]])*(表成绩单[英语]&lt;9E+307)*(表成绩单[英语]&gt;表成绩单[[#This Row],[英语]]))+1)</f>
        <v>682</v>
      </c>
      <c r="S1456" s="29" cm="1">
        <f t="array" ref="S1456">IF(表成绩单[[#This Row],[物理]]="","",SUMPRODUCT((表成绩单[考试日期]=表成绩单[[#This Row],[考试日期]])*(表成绩单[物理]&lt;9E+307)*(表成绩单[物理]&gt;表成绩单[[#This Row],[物理]]))+1)</f>
        <v>539</v>
      </c>
      <c r="T1456" s="29" cm="1">
        <f t="array" ref="T1456">IF(表成绩单[[#This Row],[化学]]="","",SUMPRODUCT((表成绩单[考试日期]=表成绩单[[#This Row],[考试日期]])*(表成绩单[化学]&lt;9E+307)*(表成绩单[化学]&gt;表成绩单[[#This Row],[化学]]))+1)</f>
        <v>700</v>
      </c>
      <c r="U1456" s="29" cm="1">
        <f t="array" ref="U1456">IF(表成绩单[[#This Row],[政治]]="","",SUMPRODUCT((表成绩单[考试日期]=表成绩单[[#This Row],[考试日期]])*(表成绩单[政治]&lt;9E+307)*(表成绩单[政治]&gt;表成绩单[[#This Row],[政治]]))+1)</f>
        <v>629</v>
      </c>
      <c r="V1456" s="29" cm="1">
        <f t="array" ref="V1456">IF(表成绩单[[#This Row],[历史]]="","",SUMPRODUCT((表成绩单[考试日期]=表成绩单[[#This Row],[考试日期]])*(表成绩单[历史]&lt;9E+307)*(表成绩单[历史]&gt;表成绩单[[#This Row],[历史]]))+1)</f>
        <v>706</v>
      </c>
      <c r="W1456" s="29" cm="1">
        <f t="array" ref="W1456">IF(表成绩单[[#This Row],[总分]]="","",SUMPRODUCT((表成绩单[考试日期]=表成绩单[[#This Row],[考试日期]])*(表成绩单[总分]&lt;9E+307)*(表成绩单[总分]&gt;表成绩单[[#This Row],[总分]]))+1)</f>
        <v>651</v>
      </c>
    </row>
    <row r="1457" ht="28" customHeight="1" spans="4:23">
      <c r="D1457" s="31">
        <v>46003</v>
      </c>
      <c r="E1457" s="29">
        <v>19178631</v>
      </c>
      <c r="F1457" s="29" t="s">
        <v>25</v>
      </c>
      <c r="G1457" s="29" t="s">
        <v>743</v>
      </c>
      <c r="H1457" s="29">
        <v>73</v>
      </c>
      <c r="I1457" s="29">
        <v>58</v>
      </c>
      <c r="J1457" s="29">
        <v>27</v>
      </c>
      <c r="K1457" s="29">
        <v>59</v>
      </c>
      <c r="L1457" s="29">
        <v>60</v>
      </c>
      <c r="M1457" s="29">
        <v>34</v>
      </c>
      <c r="N1457" s="29">
        <v>55</v>
      </c>
      <c r="O1457" s="32">
        <v>366</v>
      </c>
      <c r="P1457" s="29" cm="1">
        <f t="array" ref="P1457">IF(表成绩单[[#This Row],[语文]]="","",SUMPRODUCT((表成绩单[考试日期]=表成绩单[[#This Row],[考试日期]])*(表成绩单[语文]&lt;9E+307)*(表成绩单[语文]&gt;表成绩单[[#This Row],[语文]]))+1)</f>
        <v>692</v>
      </c>
      <c r="Q1457" s="29" cm="1">
        <f t="array" ref="Q1457">IF(表成绩单[[#This Row],[数学]]="","",SUMPRODUCT((表成绩单[考试日期]=表成绩单[[#This Row],[考试日期]])*(表成绩单[数学]&lt;9E+307)*(表成绩单[数学]&gt;表成绩单[[#This Row],[数学]]))+1)</f>
        <v>531</v>
      </c>
      <c r="R1457" s="29" cm="1">
        <f t="array" ref="R1457">IF(表成绩单[[#This Row],[英语]]="","",SUMPRODUCT((表成绩单[考试日期]=表成绩单[[#This Row],[考试日期]])*(表成绩单[英语]&lt;9E+307)*(表成绩单[英语]&gt;表成绩单[[#This Row],[英语]]))+1)</f>
        <v>697</v>
      </c>
      <c r="S1457" s="29" cm="1">
        <f t="array" ref="S1457">IF(表成绩单[[#This Row],[物理]]="","",SUMPRODUCT((表成绩单[考试日期]=表成绩单[[#This Row],[考试日期]])*(表成绩单[物理]&lt;9E+307)*(表成绩单[物理]&gt;表成绩单[[#This Row],[物理]]))+1)</f>
        <v>591</v>
      </c>
      <c r="T1457" s="29" cm="1">
        <f t="array" ref="T1457">IF(表成绩单[[#This Row],[化学]]="","",SUMPRODUCT((表成绩单[考试日期]=表成绩单[[#This Row],[考试日期]])*(表成绩单[化学]&lt;9E+307)*(表成绩单[化学]&gt;表成绩单[[#This Row],[化学]]))+1)</f>
        <v>585</v>
      </c>
      <c r="U1457" s="29" cm="1">
        <f t="array" ref="U1457">IF(表成绩单[[#This Row],[政治]]="","",SUMPRODUCT((表成绩单[考试日期]=表成绩单[[#This Row],[考试日期]])*(表成绩单[政治]&lt;9E+307)*(表成绩单[政治]&gt;表成绩单[[#This Row],[政治]]))+1)</f>
        <v>713</v>
      </c>
      <c r="V1457" s="29" cm="1">
        <f t="array" ref="V1457">IF(表成绩单[[#This Row],[历史]]="","",SUMPRODUCT((表成绩单[考试日期]=表成绩单[[#This Row],[考试日期]])*(表成绩单[历史]&lt;9E+307)*(表成绩单[历史]&gt;表成绩单[[#This Row],[历史]]))+1)</f>
        <v>670</v>
      </c>
      <c r="W1457" s="29" cm="1">
        <f t="array" ref="W1457">IF(表成绩单[[#This Row],[总分]]="","",SUMPRODUCT((表成绩单[考试日期]=表成绩单[[#This Row],[考试日期]])*(表成绩单[总分]&lt;9E+307)*(表成绩单[总分]&gt;表成绩单[[#This Row],[总分]]))+1)</f>
        <v>651</v>
      </c>
    </row>
    <row r="1458" ht="28" customHeight="1" spans="4:23">
      <c r="D1458" s="31">
        <v>46003</v>
      </c>
      <c r="E1458" s="29">
        <v>19176007</v>
      </c>
      <c r="F1458" s="29" t="s">
        <v>59</v>
      </c>
      <c r="G1458" s="29" t="s">
        <v>760</v>
      </c>
      <c r="H1458" s="29">
        <v>68</v>
      </c>
      <c r="I1458" s="29">
        <v>39</v>
      </c>
      <c r="J1458" s="29">
        <v>55</v>
      </c>
      <c r="K1458" s="29">
        <v>41</v>
      </c>
      <c r="L1458" s="29">
        <v>53</v>
      </c>
      <c r="M1458" s="29">
        <v>52</v>
      </c>
      <c r="N1458" s="29">
        <v>57</v>
      </c>
      <c r="O1458" s="32">
        <v>365</v>
      </c>
      <c r="P1458" s="29" cm="1">
        <f t="array" ref="P1458">IF(表成绩单[[#This Row],[语文]]="","",SUMPRODUCT((表成绩单[考试日期]=表成绩单[[#This Row],[考试日期]])*(表成绩单[语文]&lt;9E+307)*(表成绩单[语文]&gt;表成绩单[[#This Row],[语文]]))+1)</f>
        <v>707</v>
      </c>
      <c r="Q1458" s="29" cm="1">
        <f t="array" ref="Q1458">IF(表成绩单[[#This Row],[数学]]="","",SUMPRODUCT((表成绩单[考试日期]=表成绩单[[#This Row],[考试日期]])*(表成绩单[数学]&lt;9E+307)*(表成绩单[数学]&gt;表成绩单[[#This Row],[数学]]))+1)</f>
        <v>639</v>
      </c>
      <c r="R1458" s="29" cm="1">
        <f t="array" ref="R1458">IF(表成绩单[[#This Row],[英语]]="","",SUMPRODUCT((表成绩单[考试日期]=表成绩单[[#This Row],[考试日期]])*(表成绩单[英语]&lt;9E+307)*(表成绩单[英语]&gt;表成绩单[[#This Row],[英语]]))+1)</f>
        <v>567</v>
      </c>
      <c r="S1458" s="29" cm="1">
        <f t="array" ref="S1458">IF(表成绩单[[#This Row],[物理]]="","",SUMPRODUCT((表成绩单[考试日期]=表成绩单[[#This Row],[考试日期]])*(表成绩单[物理]&lt;9E+307)*(表成绩单[物理]&gt;表成绩单[[#This Row],[物理]]))+1)</f>
        <v>672</v>
      </c>
      <c r="T1458" s="29" cm="1">
        <f t="array" ref="T1458">IF(表成绩单[[#This Row],[化学]]="","",SUMPRODUCT((表成绩单[考试日期]=表成绩单[[#This Row],[考试日期]])*(表成绩单[化学]&lt;9E+307)*(表成绩单[化学]&gt;表成绩单[[#This Row],[化学]]))+1)</f>
        <v>635</v>
      </c>
      <c r="U1458" s="29" cm="1">
        <f t="array" ref="U1458">IF(表成绩单[[#This Row],[政治]]="","",SUMPRODUCT((表成绩单[考试日期]=表成绩单[[#This Row],[考试日期]])*(表成绩单[政治]&lt;9E+307)*(表成绩单[政治]&gt;表成绩单[[#This Row],[政治]]))+1)</f>
        <v>560</v>
      </c>
      <c r="V1458" s="29" cm="1">
        <f t="array" ref="V1458">IF(表成绩单[[#This Row],[历史]]="","",SUMPRODUCT((表成绩单[考试日期]=表成绩单[[#This Row],[考试日期]])*(表成绩单[历史]&lt;9E+307)*(表成绩单[历史]&gt;表成绩单[[#This Row],[历史]]))+1)</f>
        <v>658</v>
      </c>
      <c r="W1458" s="29" cm="1">
        <f t="array" ref="W1458">IF(表成绩单[[#This Row],[总分]]="","",SUMPRODUCT((表成绩单[考试日期]=表成绩单[[#This Row],[考试日期]])*(表成绩单[总分]&lt;9E+307)*(表成绩单[总分]&gt;表成绩单[[#This Row],[总分]]))+1)</f>
        <v>653</v>
      </c>
    </row>
    <row r="1459" ht="28" customHeight="1" spans="4:23">
      <c r="D1459" s="31">
        <v>46003</v>
      </c>
      <c r="E1459" s="29">
        <v>19177599</v>
      </c>
      <c r="F1459" s="29" t="s">
        <v>58</v>
      </c>
      <c r="G1459" s="29" t="s">
        <v>771</v>
      </c>
      <c r="H1459" s="29">
        <v>83</v>
      </c>
      <c r="I1459" s="29">
        <v>35</v>
      </c>
      <c r="J1459" s="29">
        <v>41</v>
      </c>
      <c r="K1459" s="29">
        <v>44</v>
      </c>
      <c r="L1459" s="29">
        <v>52</v>
      </c>
      <c r="M1459" s="29">
        <v>45</v>
      </c>
      <c r="N1459" s="29">
        <v>59</v>
      </c>
      <c r="O1459" s="32">
        <v>359</v>
      </c>
      <c r="P1459" s="29" cm="1">
        <f t="array" ref="P1459">IF(表成绩单[[#This Row],[语文]]="","",SUMPRODUCT((表成绩单[考试日期]=表成绩单[[#This Row],[考试日期]])*(表成绩单[语文]&lt;9E+307)*(表成绩单[语文]&gt;表成绩单[[#This Row],[语文]]))+1)</f>
        <v>651</v>
      </c>
      <c r="Q1459" s="29" cm="1">
        <f t="array" ref="Q1459">IF(表成绩单[[#This Row],[数学]]="","",SUMPRODUCT((表成绩单[考试日期]=表成绩单[[#This Row],[考试日期]])*(表成绩单[数学]&lt;9E+307)*(表成绩单[数学]&gt;表成绩单[[#This Row],[数学]]))+1)</f>
        <v>653</v>
      </c>
      <c r="R1459" s="29" cm="1">
        <f t="array" ref="R1459">IF(表成绩单[[#This Row],[英语]]="","",SUMPRODUCT((表成绩单[考试日期]=表成绩单[[#This Row],[考试日期]])*(表成绩单[英语]&lt;9E+307)*(表成绩单[英语]&gt;表成绩单[[#This Row],[英语]]))+1)</f>
        <v>647</v>
      </c>
      <c r="S1459" s="29" cm="1">
        <f t="array" ref="S1459">IF(表成绩单[[#This Row],[物理]]="","",SUMPRODUCT((表成绩单[考试日期]=表成绩单[[#This Row],[考试日期]])*(表成绩单[物理]&lt;9E+307)*(表成绩单[物理]&gt;表成绩单[[#This Row],[物理]]))+1)</f>
        <v>655</v>
      </c>
      <c r="T1459" s="29" cm="1">
        <f t="array" ref="T1459">IF(表成绩单[[#This Row],[化学]]="","",SUMPRODUCT((表成绩单[考试日期]=表成绩单[[#This Row],[考试日期]])*(表成绩单[化学]&lt;9E+307)*(表成绩单[化学]&gt;表成绩单[[#This Row],[化学]]))+1)</f>
        <v>637</v>
      </c>
      <c r="U1459" s="29" cm="1">
        <f t="array" ref="U1459">IF(表成绩单[[#This Row],[政治]]="","",SUMPRODUCT((表成绩单[考试日期]=表成绩单[[#This Row],[考试日期]])*(表成绩单[政治]&lt;9E+307)*(表成绩单[政治]&gt;表成绩单[[#This Row],[政治]]))+1)</f>
        <v>638</v>
      </c>
      <c r="V1459" s="29" cm="1">
        <f t="array" ref="V1459">IF(表成绩单[[#This Row],[历史]]="","",SUMPRODUCT((表成绩单[考试日期]=表成绩单[[#This Row],[考试日期]])*(表成绩单[历史]&lt;9E+307)*(表成绩单[历史]&gt;表成绩单[[#This Row],[历史]]))+1)</f>
        <v>645</v>
      </c>
      <c r="W1459" s="29" cm="1">
        <f t="array" ref="W1459">IF(表成绩单[[#This Row],[总分]]="","",SUMPRODUCT((表成绩单[考试日期]=表成绩单[[#This Row],[考试日期]])*(表成绩单[总分]&lt;9E+307)*(表成绩单[总分]&gt;表成绩单[[#This Row],[总分]]))+1)</f>
        <v>655</v>
      </c>
    </row>
    <row r="1460" ht="28" customHeight="1" spans="4:23">
      <c r="D1460" s="31">
        <v>46003</v>
      </c>
      <c r="E1460" s="29">
        <v>19172649</v>
      </c>
      <c r="F1460" s="29" t="s">
        <v>60</v>
      </c>
      <c r="G1460" s="29" t="s">
        <v>817</v>
      </c>
      <c r="H1460" s="29">
        <v>95</v>
      </c>
      <c r="I1460" s="29">
        <v>27</v>
      </c>
      <c r="J1460" s="29">
        <v>20.5</v>
      </c>
      <c r="K1460" s="29">
        <v>49</v>
      </c>
      <c r="L1460" s="29">
        <v>49</v>
      </c>
      <c r="M1460" s="29">
        <v>41</v>
      </c>
      <c r="N1460" s="29">
        <v>76</v>
      </c>
      <c r="O1460" s="32">
        <v>357.5</v>
      </c>
      <c r="P1460" s="29" cm="1">
        <f t="array" ref="P1460">IF(表成绩单[[#This Row],[语文]]="","",SUMPRODUCT((表成绩单[考试日期]=表成绩单[[#This Row],[考试日期]])*(表成绩单[语文]&lt;9E+307)*(表成绩单[语文]&gt;表成绩单[[#This Row],[语文]]))+1)</f>
        <v>522</v>
      </c>
      <c r="Q1460" s="29" cm="1">
        <f t="array" ref="Q1460">IF(表成绩单[[#This Row],[数学]]="","",SUMPRODUCT((表成绩单[考试日期]=表成绩单[[#This Row],[考试日期]])*(表成绩单[数学]&lt;9E+307)*(表成绩单[数学]&gt;表成绩单[[#This Row],[数学]]))+1)</f>
        <v>694</v>
      </c>
      <c r="R1460" s="29" cm="1">
        <f t="array" ref="R1460">IF(表成绩单[[#This Row],[英语]]="","",SUMPRODUCT((表成绩单[考试日期]=表成绩单[[#This Row],[考试日期]])*(表成绩单[英语]&lt;9E+307)*(表成绩单[英语]&gt;表成绩单[[#This Row],[英语]]))+1)</f>
        <v>717</v>
      </c>
      <c r="S1460" s="29" cm="1">
        <f t="array" ref="S1460">IF(表成绩单[[#This Row],[物理]]="","",SUMPRODUCT((表成绩单[考试日期]=表成绩单[[#This Row],[考试日期]])*(表成绩单[物理]&lt;9E+307)*(表成绩单[物理]&gt;表成绩单[[#This Row],[物理]]))+1)</f>
        <v>639</v>
      </c>
      <c r="T1460" s="29" cm="1">
        <f t="array" ref="T1460">IF(表成绩单[[#This Row],[化学]]="","",SUMPRODUCT((表成绩单[考试日期]=表成绩单[[#This Row],[考试日期]])*(表成绩单[化学]&lt;9E+307)*(表成绩单[化学]&gt;表成绩单[[#This Row],[化学]]))+1)</f>
        <v>657</v>
      </c>
      <c r="U1460" s="29" cm="1">
        <f t="array" ref="U1460">IF(表成绩单[[#This Row],[政治]]="","",SUMPRODUCT((表成绩单[考试日期]=表成绩单[[#This Row],[考试日期]])*(表成绩单[政治]&lt;9E+307)*(表成绩单[政治]&gt;表成绩单[[#This Row],[政治]]))+1)</f>
        <v>668</v>
      </c>
      <c r="V1460" s="29" cm="1">
        <f t="array" ref="V1460">IF(表成绩单[[#This Row],[历史]]="","",SUMPRODUCT((表成绩单[考试日期]=表成绩单[[#This Row],[考试日期]])*(表成绩单[历史]&lt;9E+307)*(表成绩单[历史]&gt;表成绩单[[#This Row],[历史]]))+1)</f>
        <v>279</v>
      </c>
      <c r="W1460" s="29" cm="1">
        <f t="array" ref="W1460">IF(表成绩单[[#This Row],[总分]]="","",SUMPRODUCT((表成绩单[考试日期]=表成绩单[[#This Row],[考试日期]])*(表成绩单[总分]&lt;9E+307)*(表成绩单[总分]&gt;表成绩单[[#This Row],[总分]]))+1)</f>
        <v>656</v>
      </c>
    </row>
    <row r="1461" ht="28" customHeight="1" spans="4:23">
      <c r="D1461" s="31">
        <v>46003</v>
      </c>
      <c r="E1461" s="29">
        <v>19175602</v>
      </c>
      <c r="F1461" s="29" t="s">
        <v>57</v>
      </c>
      <c r="G1461" s="29" t="s">
        <v>800</v>
      </c>
      <c r="H1461" s="29">
        <v>89</v>
      </c>
      <c r="I1461" s="29">
        <v>32</v>
      </c>
      <c r="J1461" s="29">
        <v>33</v>
      </c>
      <c r="K1461" s="29">
        <v>43</v>
      </c>
      <c r="L1461" s="29">
        <v>44</v>
      </c>
      <c r="M1461" s="29">
        <v>48</v>
      </c>
      <c r="N1461" s="29">
        <v>67</v>
      </c>
      <c r="O1461" s="32">
        <v>356</v>
      </c>
      <c r="P1461" s="29" cm="1">
        <f t="array" ref="P1461">IF(表成绩单[[#This Row],[语文]]="","",SUMPRODUCT((表成绩单[考试日期]=表成绩单[[#This Row],[考试日期]])*(表成绩单[语文]&lt;9E+307)*(表成绩单[语文]&gt;表成绩单[[#This Row],[语文]]))+1)</f>
        <v>598</v>
      </c>
      <c r="Q1461" s="29" cm="1">
        <f t="array" ref="Q1461">IF(表成绩单[[#This Row],[数学]]="","",SUMPRODUCT((表成绩单[考试日期]=表成绩单[[#This Row],[考试日期]])*(表成绩单[数学]&lt;9E+307)*(表成绩单[数学]&gt;表成绩单[[#This Row],[数学]]))+1)</f>
        <v>668</v>
      </c>
      <c r="R1461" s="29" cm="1">
        <f t="array" ref="R1461">IF(表成绩单[[#This Row],[英语]]="","",SUMPRODUCT((表成绩单[考试日期]=表成绩单[[#This Row],[考试日期]])*(表成绩单[英语]&lt;9E+307)*(表成绩单[英语]&gt;表成绩单[[#This Row],[英语]]))+1)</f>
        <v>679</v>
      </c>
      <c r="S1461" s="29" cm="1">
        <f t="array" ref="S1461">IF(表成绩单[[#This Row],[物理]]="","",SUMPRODUCT((表成绩单[考试日期]=表成绩单[[#This Row],[考试日期]])*(表成绩单[物理]&lt;9E+307)*(表成绩单[物理]&gt;表成绩单[[#This Row],[物理]]))+1)</f>
        <v>659</v>
      </c>
      <c r="T1461" s="29" cm="1">
        <f t="array" ref="T1461">IF(表成绩单[[#This Row],[化学]]="","",SUMPRODUCT((表成绩单[考试日期]=表成绩单[[#This Row],[考试日期]])*(表成绩单[化学]&lt;9E+307)*(表成绩单[化学]&gt;表成绩单[[#This Row],[化学]]))+1)</f>
        <v>684</v>
      </c>
      <c r="U1461" s="29" cm="1">
        <f t="array" ref="U1461">IF(表成绩单[[#This Row],[政治]]="","",SUMPRODUCT((表成绩单[考试日期]=表成绩单[[#This Row],[考试日期]])*(表成绩单[政治]&lt;9E+307)*(表成绩单[政治]&gt;表成绩单[[#This Row],[政治]]))+1)</f>
        <v>612</v>
      </c>
      <c r="V1461" s="29" cm="1">
        <f t="array" ref="V1461">IF(表成绩单[[#This Row],[历史]]="","",SUMPRODUCT((表成绩单[考试日期]=表成绩单[[#This Row],[考试日期]])*(表成绩单[历史]&lt;9E+307)*(表成绩单[历史]&gt;表成绩单[[#This Row],[历史]]))+1)</f>
        <v>549</v>
      </c>
      <c r="W1461" s="29" cm="1">
        <f t="array" ref="W1461">IF(表成绩单[[#This Row],[总分]]="","",SUMPRODUCT((表成绩单[考试日期]=表成绩单[[#This Row],[考试日期]])*(表成绩单[总分]&lt;9E+307)*(表成绩单[总分]&gt;表成绩单[[#This Row],[总分]]))+1)</f>
        <v>657</v>
      </c>
    </row>
    <row r="1462" ht="28" customHeight="1" spans="4:23">
      <c r="D1462" s="31">
        <v>46003</v>
      </c>
      <c r="E1462" s="29">
        <v>19173791</v>
      </c>
      <c r="F1462" s="29" t="s">
        <v>65</v>
      </c>
      <c r="G1462" s="29" t="s">
        <v>872</v>
      </c>
      <c r="H1462" s="29">
        <v>67</v>
      </c>
      <c r="I1462" s="29">
        <v>32</v>
      </c>
      <c r="J1462" s="29">
        <v>44</v>
      </c>
      <c r="K1462" s="29">
        <v>64</v>
      </c>
      <c r="L1462" s="29">
        <v>52</v>
      </c>
      <c r="M1462" s="29">
        <v>41</v>
      </c>
      <c r="N1462" s="29">
        <v>55</v>
      </c>
      <c r="O1462" s="32">
        <v>355</v>
      </c>
      <c r="P1462" s="29" cm="1">
        <f t="array" ref="P1462">IF(表成绩单[[#This Row],[语文]]="","",SUMPRODUCT((表成绩单[考试日期]=表成绩单[[#This Row],[考试日期]])*(表成绩单[语文]&lt;9E+307)*(表成绩单[语文]&gt;表成绩单[[#This Row],[语文]]))+1)</f>
        <v>709</v>
      </c>
      <c r="Q1462" s="29" cm="1">
        <f t="array" ref="Q1462">IF(表成绩单[[#This Row],[数学]]="","",SUMPRODUCT((表成绩单[考试日期]=表成绩单[[#This Row],[考试日期]])*(表成绩单[数学]&lt;9E+307)*(表成绩单[数学]&gt;表成绩单[[#This Row],[数学]]))+1)</f>
        <v>668</v>
      </c>
      <c r="R1462" s="29" cm="1">
        <f t="array" ref="R1462">IF(表成绩单[[#This Row],[英语]]="","",SUMPRODUCT((表成绩单[考试日期]=表成绩单[[#This Row],[考试日期]])*(表成绩单[英语]&lt;9E+307)*(表成绩单[英语]&gt;表成绩单[[#This Row],[英语]]))+1)</f>
        <v>632</v>
      </c>
      <c r="S1462" s="29" cm="1">
        <f t="array" ref="S1462">IF(表成绩单[[#This Row],[物理]]="","",SUMPRODUCT((表成绩单[考试日期]=表成绩单[[#This Row],[考试日期]])*(表成绩单[物理]&lt;9E+307)*(表成绩单[物理]&gt;表成绩单[[#This Row],[物理]]))+1)</f>
        <v>569</v>
      </c>
      <c r="T1462" s="29" cm="1">
        <f t="array" ref="T1462">IF(表成绩单[[#This Row],[化学]]="","",SUMPRODUCT((表成绩单[考试日期]=表成绩单[[#This Row],[考试日期]])*(表成绩单[化学]&lt;9E+307)*(表成绩单[化学]&gt;表成绩单[[#This Row],[化学]]))+1)</f>
        <v>637</v>
      </c>
      <c r="U1462" s="29" cm="1">
        <f t="array" ref="U1462">IF(表成绩单[[#This Row],[政治]]="","",SUMPRODUCT((表成绩单[考试日期]=表成绩单[[#This Row],[考试日期]])*(表成绩单[政治]&lt;9E+307)*(表成绩单[政治]&gt;表成绩单[[#This Row],[政治]]))+1)</f>
        <v>668</v>
      </c>
      <c r="V1462" s="29" cm="1">
        <f t="array" ref="V1462">IF(表成绩单[[#This Row],[历史]]="","",SUMPRODUCT((表成绩单[考试日期]=表成绩单[[#This Row],[考试日期]])*(表成绩单[历史]&lt;9E+307)*(表成绩单[历史]&gt;表成绩单[[#This Row],[历史]]))+1)</f>
        <v>670</v>
      </c>
      <c r="W1462" s="29" cm="1">
        <f t="array" ref="W1462">IF(表成绩单[[#This Row],[总分]]="","",SUMPRODUCT((表成绩单[考试日期]=表成绩单[[#This Row],[考试日期]])*(表成绩单[总分]&lt;9E+307)*(表成绩单[总分]&gt;表成绩单[[#This Row],[总分]]))+1)</f>
        <v>658</v>
      </c>
    </row>
    <row r="1463" ht="28" customHeight="1" spans="4:23">
      <c r="D1463" s="31">
        <v>46003</v>
      </c>
      <c r="E1463" s="29">
        <v>19172633</v>
      </c>
      <c r="F1463" s="29" t="s">
        <v>60</v>
      </c>
      <c r="G1463" s="29" t="s">
        <v>775</v>
      </c>
      <c r="H1463" s="29">
        <v>79</v>
      </c>
      <c r="I1463" s="29">
        <v>38</v>
      </c>
      <c r="J1463" s="29">
        <v>33</v>
      </c>
      <c r="K1463" s="29">
        <v>51</v>
      </c>
      <c r="L1463" s="29">
        <v>55</v>
      </c>
      <c r="M1463" s="29">
        <v>37</v>
      </c>
      <c r="N1463" s="29">
        <v>60</v>
      </c>
      <c r="O1463" s="32">
        <v>353</v>
      </c>
      <c r="P1463" s="29" cm="1">
        <f t="array" ref="P1463">IF(表成绩单[[#This Row],[语文]]="","",SUMPRODUCT((表成绩单[考试日期]=表成绩单[[#This Row],[考试日期]])*(表成绩单[语文]&lt;9E+307)*(表成绩单[语文]&gt;表成绩单[[#This Row],[语文]]))+1)</f>
        <v>675</v>
      </c>
      <c r="Q1463" s="29" cm="1">
        <f t="array" ref="Q1463">IF(表成绩单[[#This Row],[数学]]="","",SUMPRODUCT((表成绩单[考试日期]=表成绩单[[#This Row],[考试日期]])*(表成绩单[数学]&lt;9E+307)*(表成绩单[数学]&gt;表成绩单[[#This Row],[数学]]))+1)</f>
        <v>645</v>
      </c>
      <c r="R1463" s="29" cm="1">
        <f t="array" ref="R1463">IF(表成绩单[[#This Row],[英语]]="","",SUMPRODUCT((表成绩单[考试日期]=表成绩单[[#This Row],[考试日期]])*(表成绩单[英语]&lt;9E+307)*(表成绩单[英语]&gt;表成绩单[[#This Row],[英语]]))+1)</f>
        <v>679</v>
      </c>
      <c r="S1463" s="29" cm="1">
        <f t="array" ref="S1463">IF(表成绩单[[#This Row],[物理]]="","",SUMPRODUCT((表成绩单[考试日期]=表成绩单[[#This Row],[考试日期]])*(表成绩单[物理]&lt;9E+307)*(表成绩单[物理]&gt;表成绩单[[#This Row],[物理]]))+1)</f>
        <v>630</v>
      </c>
      <c r="T1463" s="29" cm="1">
        <f t="array" ref="T1463">IF(表成绩单[[#This Row],[化学]]="","",SUMPRODUCT((表成绩单[考试日期]=表成绩单[[#This Row],[考试日期]])*(表成绩单[化学]&lt;9E+307)*(表成绩单[化学]&gt;表成绩单[[#This Row],[化学]]))+1)</f>
        <v>624</v>
      </c>
      <c r="U1463" s="29" cm="1">
        <f t="array" ref="U1463">IF(表成绩单[[#This Row],[政治]]="","",SUMPRODUCT((表成绩单[考试日期]=表成绩单[[#This Row],[考试日期]])*(表成绩单[政治]&lt;9E+307)*(表成绩单[政治]&gt;表成绩单[[#This Row],[政治]]))+1)</f>
        <v>697</v>
      </c>
      <c r="V1463" s="29" cm="1">
        <f t="array" ref="V1463">IF(表成绩单[[#This Row],[历史]]="","",SUMPRODUCT((表成绩单[考试日期]=表成绩单[[#This Row],[考试日期]])*(表成绩单[历史]&lt;9E+307)*(表成绩单[历史]&gt;表成绩单[[#This Row],[历史]]))+1)</f>
        <v>633</v>
      </c>
      <c r="W1463" s="29" cm="1">
        <f t="array" ref="W1463">IF(表成绩单[[#This Row],[总分]]="","",SUMPRODUCT((表成绩单[考试日期]=表成绩单[[#This Row],[考试日期]])*(表成绩单[总分]&lt;9E+307)*(表成绩单[总分]&gt;表成绩单[[#This Row],[总分]]))+1)</f>
        <v>659</v>
      </c>
    </row>
    <row r="1464" ht="28" customHeight="1" spans="4:23">
      <c r="D1464" s="31">
        <v>46003</v>
      </c>
      <c r="E1464" s="29">
        <v>19175321</v>
      </c>
      <c r="F1464" s="29" t="s">
        <v>55</v>
      </c>
      <c r="G1464" s="29" t="s">
        <v>827</v>
      </c>
      <c r="H1464" s="29">
        <v>80</v>
      </c>
      <c r="I1464" s="29">
        <v>40</v>
      </c>
      <c r="J1464" s="29">
        <v>30</v>
      </c>
      <c r="K1464" s="29">
        <v>44</v>
      </c>
      <c r="L1464" s="29">
        <v>49</v>
      </c>
      <c r="M1464" s="29">
        <v>50</v>
      </c>
      <c r="N1464" s="29">
        <v>59</v>
      </c>
      <c r="O1464" s="32">
        <v>352</v>
      </c>
      <c r="P1464" s="29" cm="1">
        <f t="array" ref="P1464">IF(表成绩单[[#This Row],[语文]]="","",SUMPRODUCT((表成绩单[考试日期]=表成绩单[[#This Row],[考试日期]])*(表成绩单[语文]&lt;9E+307)*(表成绩单[语文]&gt;表成绩单[[#This Row],[语文]]))+1)</f>
        <v>670</v>
      </c>
      <c r="Q1464" s="29" cm="1">
        <f t="array" ref="Q1464">IF(表成绩单[[#This Row],[数学]]="","",SUMPRODUCT((表成绩单[考试日期]=表成绩单[[#This Row],[考试日期]])*(表成绩单[数学]&lt;9E+307)*(表成绩单[数学]&gt;表成绩单[[#This Row],[数学]]))+1)</f>
        <v>634</v>
      </c>
      <c r="R1464" s="29" cm="1">
        <f t="array" ref="R1464">IF(表成绩单[[#This Row],[英语]]="","",SUMPRODUCT((表成绩单[考试日期]=表成绩单[[#This Row],[考试日期]])*(表成绩单[英语]&lt;9E+307)*(表成绩单[英语]&gt;表成绩单[[#This Row],[英语]]))+1)</f>
        <v>691</v>
      </c>
      <c r="S1464" s="29" cm="1">
        <f t="array" ref="S1464">IF(表成绩单[[#This Row],[物理]]="","",SUMPRODUCT((表成绩单[考试日期]=表成绩单[[#This Row],[考试日期]])*(表成绩单[物理]&lt;9E+307)*(表成绩单[物理]&gt;表成绩单[[#This Row],[物理]]))+1)</f>
        <v>655</v>
      </c>
      <c r="T1464" s="29" cm="1">
        <f t="array" ref="T1464">IF(表成绩单[[#This Row],[化学]]="","",SUMPRODUCT((表成绩单[考试日期]=表成绩单[[#This Row],[考试日期]])*(表成绩单[化学]&lt;9E+307)*(表成绩单[化学]&gt;表成绩单[[#This Row],[化学]]))+1)</f>
        <v>657</v>
      </c>
      <c r="U1464" s="29" cm="1">
        <f t="array" ref="U1464">IF(表成绩单[[#This Row],[政治]]="","",SUMPRODUCT((表成绩单[考试日期]=表成绩单[[#This Row],[考试日期]])*(表成绩单[政治]&lt;9E+307)*(表成绩单[政治]&gt;表成绩单[[#This Row],[政治]]))+1)</f>
        <v>587</v>
      </c>
      <c r="V1464" s="29" cm="1">
        <f t="array" ref="V1464">IF(表成绩单[[#This Row],[历史]]="","",SUMPRODUCT((表成绩单[考试日期]=表成绩单[[#This Row],[考试日期]])*(表成绩单[历史]&lt;9E+307)*(表成绩单[历史]&gt;表成绩单[[#This Row],[历史]]))+1)</f>
        <v>645</v>
      </c>
      <c r="W1464" s="29" cm="1">
        <f t="array" ref="W1464">IF(表成绩单[[#This Row],[总分]]="","",SUMPRODUCT((表成绩单[考试日期]=表成绩单[[#This Row],[考试日期]])*(表成绩单[总分]&lt;9E+307)*(表成绩单[总分]&gt;表成绩单[[#This Row],[总分]]))+1)</f>
        <v>660</v>
      </c>
    </row>
    <row r="1465" ht="28" customHeight="1" spans="4:23">
      <c r="D1465" s="31">
        <v>46003</v>
      </c>
      <c r="E1465" s="29">
        <v>19176016</v>
      </c>
      <c r="F1465" s="29" t="s">
        <v>59</v>
      </c>
      <c r="G1465" s="29" t="s">
        <v>811</v>
      </c>
      <c r="H1465" s="29">
        <v>92</v>
      </c>
      <c r="I1465" s="29">
        <v>33</v>
      </c>
      <c r="J1465" s="29">
        <v>36</v>
      </c>
      <c r="K1465" s="29">
        <v>35</v>
      </c>
      <c r="L1465" s="29">
        <v>57</v>
      </c>
      <c r="M1465" s="29">
        <v>39</v>
      </c>
      <c r="N1465" s="29">
        <v>60</v>
      </c>
      <c r="O1465" s="32">
        <v>352</v>
      </c>
      <c r="P1465" s="29" cm="1">
        <f t="array" ref="P1465">IF(表成绩单[[#This Row],[语文]]="","",SUMPRODUCT((表成绩单[考试日期]=表成绩单[[#This Row],[考试日期]])*(表成绩单[语文]&lt;9E+307)*(表成绩单[语文]&gt;表成绩单[[#This Row],[语文]]))+1)</f>
        <v>569</v>
      </c>
      <c r="Q1465" s="29" cm="1">
        <f t="array" ref="Q1465">IF(表成绩单[[#This Row],[数学]]="","",SUMPRODUCT((表成绩单[考试日期]=表成绩单[[#This Row],[考试日期]])*(表成绩单[数学]&lt;9E+307)*(表成绩单[数学]&gt;表成绩单[[#This Row],[数学]]))+1)</f>
        <v>664</v>
      </c>
      <c r="R1465" s="29" cm="1">
        <f t="array" ref="R1465">IF(表成绩单[[#This Row],[英语]]="","",SUMPRODUCT((表成绩单[考试日期]=表成绩单[[#This Row],[考试日期]])*(表成绩单[英语]&lt;9E+307)*(表成绩单[英语]&gt;表成绩单[[#This Row],[英语]]))+1)</f>
        <v>664</v>
      </c>
      <c r="S1465" s="29" cm="1">
        <f t="array" ref="S1465">IF(表成绩单[[#This Row],[物理]]="","",SUMPRODUCT((表成绩单[考试日期]=表成绩单[[#This Row],[考试日期]])*(表成绩单[物理]&lt;9E+307)*(表成绩单[物理]&gt;表成绩单[[#This Row],[物理]]))+1)</f>
        <v>692</v>
      </c>
      <c r="T1465" s="29" cm="1">
        <f t="array" ref="T1465">IF(表成绩单[[#This Row],[化学]]="","",SUMPRODUCT((表成绩单[考试日期]=表成绩单[[#This Row],[考试日期]])*(表成绩单[化学]&lt;9E+307)*(表成绩单[化学]&gt;表成绩单[[#This Row],[化学]]))+1)</f>
        <v>608</v>
      </c>
      <c r="U1465" s="29" cm="1">
        <f t="array" ref="U1465">IF(表成绩单[[#This Row],[政治]]="","",SUMPRODUCT((表成绩单[考试日期]=表成绩单[[#This Row],[考试日期]])*(表成绩单[政治]&lt;9E+307)*(表成绩单[政治]&gt;表成绩单[[#This Row],[政治]]))+1)</f>
        <v>680</v>
      </c>
      <c r="V1465" s="29" cm="1">
        <f t="array" ref="V1465">IF(表成绩单[[#This Row],[历史]]="","",SUMPRODUCT((表成绩单[考试日期]=表成绩单[[#This Row],[考试日期]])*(表成绩单[历史]&lt;9E+307)*(表成绩单[历史]&gt;表成绩单[[#This Row],[历史]]))+1)</f>
        <v>633</v>
      </c>
      <c r="W1465" s="29" cm="1">
        <f t="array" ref="W1465">IF(表成绩单[[#This Row],[总分]]="","",SUMPRODUCT((表成绩单[考试日期]=表成绩单[[#This Row],[考试日期]])*(表成绩单[总分]&lt;9E+307)*(表成绩单[总分]&gt;表成绩单[[#This Row],[总分]]))+1)</f>
        <v>660</v>
      </c>
    </row>
    <row r="1466" ht="28" customHeight="1" spans="4:23">
      <c r="D1466" s="31">
        <v>46003</v>
      </c>
      <c r="E1466" s="29">
        <v>19172631</v>
      </c>
      <c r="F1466" s="29" t="s">
        <v>60</v>
      </c>
      <c r="G1466" s="29" t="s">
        <v>691</v>
      </c>
      <c r="H1466" s="29">
        <v>69</v>
      </c>
      <c r="I1466" s="29">
        <v>59</v>
      </c>
      <c r="J1466" s="29">
        <v>40</v>
      </c>
      <c r="K1466" s="29">
        <v>45</v>
      </c>
      <c r="L1466" s="29">
        <v>66</v>
      </c>
      <c r="M1466" s="29">
        <v>28</v>
      </c>
      <c r="N1466" s="29">
        <v>43</v>
      </c>
      <c r="O1466" s="32">
        <v>350</v>
      </c>
      <c r="P1466" s="29" cm="1">
        <f t="array" ref="P1466">IF(表成绩单[[#This Row],[语文]]="","",SUMPRODUCT((表成绩单[考试日期]=表成绩单[[#This Row],[考试日期]])*(表成绩单[语文]&lt;9E+307)*(表成绩单[语文]&gt;表成绩单[[#This Row],[语文]]))+1)</f>
        <v>703</v>
      </c>
      <c r="Q1466" s="29" cm="1">
        <f t="array" ref="Q1466">IF(表成绩单[[#This Row],[数学]]="","",SUMPRODUCT((表成绩单[考试日期]=表成绩单[[#This Row],[考试日期]])*(表成绩单[数学]&lt;9E+307)*(表成绩单[数学]&gt;表成绩单[[#This Row],[数学]]))+1)</f>
        <v>526</v>
      </c>
      <c r="R1466" s="29" cm="1">
        <f t="array" ref="R1466">IF(表成绩单[[#This Row],[英语]]="","",SUMPRODUCT((表成绩单[考试日期]=表成绩单[[#This Row],[考试日期]])*(表成绩单[英语]&lt;9E+307)*(表成绩单[英语]&gt;表成绩单[[#This Row],[英语]]))+1)</f>
        <v>652</v>
      </c>
      <c r="S1466" s="29" cm="1">
        <f t="array" ref="S1466">IF(表成绩单[[#This Row],[物理]]="","",SUMPRODUCT((表成绩单[考试日期]=表成绩单[[#This Row],[考试日期]])*(表成绩单[物理]&lt;9E+307)*(表成绩单[物理]&gt;表成绩单[[#This Row],[物理]]))+1)</f>
        <v>651</v>
      </c>
      <c r="T1466" s="29" cm="1">
        <f t="array" ref="T1466">IF(表成绩单[[#This Row],[化学]]="","",SUMPRODUCT((表成绩单[考试日期]=表成绩单[[#This Row],[考试日期]])*(表成绩单[化学]&lt;9E+307)*(表成绩单[化学]&gt;表成绩单[[#This Row],[化学]]))+1)</f>
        <v>530</v>
      </c>
      <c r="U1466" s="29" cm="1">
        <f t="array" ref="U1466">IF(表成绩单[[#This Row],[政治]]="","",SUMPRODUCT((表成绩单[考试日期]=表成绩单[[#This Row],[考试日期]])*(表成绩单[政治]&lt;9E+307)*(表成绩单[政治]&gt;表成绩单[[#This Row],[政治]]))+1)</f>
        <v>728</v>
      </c>
      <c r="V1466" s="29" cm="1">
        <f t="array" ref="V1466">IF(表成绩单[[#This Row],[历史]]="","",SUMPRODUCT((表成绩单[考试日期]=表成绩单[[#This Row],[考试日期]])*(表成绩单[历史]&lt;9E+307)*(表成绩单[历史]&gt;表成绩单[[#This Row],[历史]]))+1)</f>
        <v>719</v>
      </c>
      <c r="W1466" s="29" cm="1">
        <f t="array" ref="W1466">IF(表成绩单[[#This Row],[总分]]="","",SUMPRODUCT((表成绩单[考试日期]=表成绩单[[#This Row],[考试日期]])*(表成绩单[总分]&lt;9E+307)*(表成绩单[总分]&gt;表成绩单[[#This Row],[总分]]))+1)</f>
        <v>662</v>
      </c>
    </row>
    <row r="1467" ht="28" customHeight="1" spans="4:23">
      <c r="D1467" s="31">
        <v>46003</v>
      </c>
      <c r="E1467" s="29">
        <v>19177612</v>
      </c>
      <c r="F1467" s="29" t="s">
        <v>58</v>
      </c>
      <c r="G1467" s="29" t="s">
        <v>773</v>
      </c>
      <c r="H1467" s="29">
        <v>69</v>
      </c>
      <c r="I1467" s="29">
        <v>48</v>
      </c>
      <c r="J1467" s="29">
        <v>46.5</v>
      </c>
      <c r="K1467" s="29">
        <v>56</v>
      </c>
      <c r="L1467" s="29">
        <v>50</v>
      </c>
      <c r="M1467" s="29">
        <v>31</v>
      </c>
      <c r="N1467" s="29">
        <v>49</v>
      </c>
      <c r="O1467" s="32">
        <v>349.5</v>
      </c>
      <c r="P1467" s="29" cm="1">
        <f t="array" ref="P1467">IF(表成绩单[[#This Row],[语文]]="","",SUMPRODUCT((表成绩单[考试日期]=表成绩单[[#This Row],[考试日期]])*(表成绩单[语文]&lt;9E+307)*(表成绩单[语文]&gt;表成绩单[[#This Row],[语文]]))+1)</f>
        <v>703</v>
      </c>
      <c r="Q1467" s="29" cm="1">
        <f t="array" ref="Q1467">IF(表成绩单[[#This Row],[数学]]="","",SUMPRODUCT((表成绩单[考试日期]=表成绩单[[#This Row],[考试日期]])*(表成绩单[数学]&lt;9E+307)*(表成绩单[数学]&gt;表成绩单[[#This Row],[数学]]))+1)</f>
        <v>597</v>
      </c>
      <c r="R1467" s="29" cm="1">
        <f t="array" ref="R1467">IF(表成绩单[[#This Row],[英语]]="","",SUMPRODUCT((表成绩单[考试日期]=表成绩单[[#This Row],[考试日期]])*(表成绩单[英语]&lt;9E+307)*(表成绩单[英语]&gt;表成绩单[[#This Row],[英语]]))+1)</f>
        <v>623</v>
      </c>
      <c r="S1467" s="29" cm="1">
        <f t="array" ref="S1467">IF(表成绩单[[#This Row],[物理]]="","",SUMPRODUCT((表成绩单[考试日期]=表成绩单[[#This Row],[考试日期]])*(表成绩单[物理]&lt;9E+307)*(表成绩单[物理]&gt;表成绩单[[#This Row],[物理]]))+1)</f>
        <v>607</v>
      </c>
      <c r="T1467" s="29" cm="1">
        <f t="array" ref="T1467">IF(表成绩单[[#This Row],[化学]]="","",SUMPRODUCT((表成绩单[考试日期]=表成绩单[[#This Row],[考试日期]])*(表成绩单[化学]&lt;9E+307)*(表成绩单[化学]&gt;表成绩单[[#This Row],[化学]]))+1)</f>
        <v>649</v>
      </c>
      <c r="U1467" s="29" cm="1">
        <f t="array" ref="U1467">IF(表成绩单[[#This Row],[政治]]="","",SUMPRODUCT((表成绩单[考试日期]=表成绩单[[#This Row],[考试日期]])*(表成绩单[政治]&lt;9E+307)*(表成绩单[政治]&gt;表成绩单[[#This Row],[政治]]))+1)</f>
        <v>721</v>
      </c>
      <c r="V1467" s="29" cm="1">
        <f t="array" ref="V1467">IF(表成绩单[[#This Row],[历史]]="","",SUMPRODUCT((表成绩单[考试日期]=表成绩单[[#This Row],[考试日期]])*(表成绩单[历史]&lt;9E+307)*(表成绩单[历史]&gt;表成绩单[[#This Row],[历史]]))+1)</f>
        <v>702</v>
      </c>
      <c r="W1467" s="29" cm="1">
        <f t="array" ref="W1467">IF(表成绩单[[#This Row],[总分]]="","",SUMPRODUCT((表成绩单[考试日期]=表成绩单[[#This Row],[考试日期]])*(表成绩单[总分]&lt;9E+307)*(表成绩单[总分]&gt;表成绩单[[#This Row],[总分]]))+1)</f>
        <v>663</v>
      </c>
    </row>
    <row r="1468" ht="28" customHeight="1" spans="4:23">
      <c r="D1468" s="31">
        <v>46003</v>
      </c>
      <c r="E1468" s="29">
        <v>19172663</v>
      </c>
      <c r="F1468" s="29" t="s">
        <v>60</v>
      </c>
      <c r="G1468" s="29" t="s">
        <v>736</v>
      </c>
      <c r="H1468" s="29">
        <v>69</v>
      </c>
      <c r="I1468" s="29">
        <v>35</v>
      </c>
      <c r="J1468" s="29">
        <v>21</v>
      </c>
      <c r="K1468" s="29">
        <v>71</v>
      </c>
      <c r="L1468" s="29">
        <v>55</v>
      </c>
      <c r="M1468" s="29">
        <v>36</v>
      </c>
      <c r="N1468" s="29">
        <v>62</v>
      </c>
      <c r="O1468" s="32">
        <v>349</v>
      </c>
      <c r="P1468" s="29" cm="1">
        <f t="array" ref="P1468">IF(表成绩单[[#This Row],[语文]]="","",SUMPRODUCT((表成绩单[考试日期]=表成绩单[[#This Row],[考试日期]])*(表成绩单[语文]&lt;9E+307)*(表成绩单[语文]&gt;表成绩单[[#This Row],[语文]]))+1)</f>
        <v>703</v>
      </c>
      <c r="Q1468" s="29" cm="1">
        <f t="array" ref="Q1468">IF(表成绩单[[#This Row],[数学]]="","",SUMPRODUCT((表成绩单[考试日期]=表成绩单[[#This Row],[考试日期]])*(表成绩单[数学]&lt;9E+307)*(表成绩单[数学]&gt;表成绩单[[#This Row],[数学]]))+1)</f>
        <v>653</v>
      </c>
      <c r="R1468" s="29" cm="1">
        <f t="array" ref="R1468">IF(表成绩单[[#This Row],[英语]]="","",SUMPRODUCT((表成绩单[考试日期]=表成绩单[[#This Row],[考试日期]])*(表成绩单[英语]&lt;9E+307)*(表成绩单[英语]&gt;表成绩单[[#This Row],[英语]]))+1)</f>
        <v>716</v>
      </c>
      <c r="S1468" s="29" cm="1">
        <f t="array" ref="S1468">IF(表成绩单[[#This Row],[物理]]="","",SUMPRODUCT((表成绩单[考试日期]=表成绩单[[#This Row],[考试日期]])*(表成绩单[物理]&lt;9E+307)*(表成绩单[物理]&gt;表成绩单[[#This Row],[物理]]))+1)</f>
        <v>507</v>
      </c>
      <c r="T1468" s="29" cm="1">
        <f t="array" ref="T1468">IF(表成绩单[[#This Row],[化学]]="","",SUMPRODUCT((表成绩单[考试日期]=表成绩单[[#This Row],[考试日期]])*(表成绩单[化学]&lt;9E+307)*(表成绩单[化学]&gt;表成绩单[[#This Row],[化学]]))+1)</f>
        <v>624</v>
      </c>
      <c r="U1468" s="29" cm="1">
        <f t="array" ref="U1468">IF(表成绩单[[#This Row],[政治]]="","",SUMPRODUCT((表成绩单[考试日期]=表成绩单[[#This Row],[考试日期]])*(表成绩单[政治]&lt;9E+307)*(表成绩单[政治]&gt;表成绩单[[#This Row],[政治]]))+1)</f>
        <v>705</v>
      </c>
      <c r="V1468" s="29" cm="1">
        <f t="array" ref="V1468">IF(表成绩单[[#This Row],[历史]]="","",SUMPRODUCT((表成绩单[考试日期]=表成绩单[[#This Row],[考试日期]])*(表成绩单[历史]&lt;9E+307)*(表成绩单[历史]&gt;表成绩单[[#This Row],[历史]]))+1)</f>
        <v>618</v>
      </c>
      <c r="W1468" s="29" cm="1">
        <f t="array" ref="W1468">IF(表成绩单[[#This Row],[总分]]="","",SUMPRODUCT((表成绩单[考试日期]=表成绩单[[#This Row],[考试日期]])*(表成绩单[总分]&lt;9E+307)*(表成绩单[总分]&gt;表成绩单[[#This Row],[总分]]))+1)</f>
        <v>664</v>
      </c>
    </row>
    <row r="1469" ht="28" customHeight="1" spans="4:23">
      <c r="D1469" s="31">
        <v>46003</v>
      </c>
      <c r="E1469" s="29">
        <v>19173799</v>
      </c>
      <c r="F1469" s="29" t="s">
        <v>65</v>
      </c>
      <c r="G1469" s="29" t="s">
        <v>818</v>
      </c>
      <c r="H1469" s="29">
        <v>78</v>
      </c>
      <c r="I1469" s="29">
        <v>33</v>
      </c>
      <c r="J1469" s="29">
        <v>41.5</v>
      </c>
      <c r="K1469" s="29">
        <v>41</v>
      </c>
      <c r="L1469" s="29">
        <v>49</v>
      </c>
      <c r="M1469" s="29">
        <v>45</v>
      </c>
      <c r="N1469" s="29">
        <v>61</v>
      </c>
      <c r="O1469" s="32">
        <v>348.5</v>
      </c>
      <c r="P1469" s="29" cm="1">
        <f t="array" ref="P1469">IF(表成绩单[[#This Row],[语文]]="","",SUMPRODUCT((表成绩单[考试日期]=表成绩单[[#This Row],[考试日期]])*(表成绩单[语文]&lt;9E+307)*(表成绩单[语文]&gt;表成绩单[[#This Row],[语文]]))+1)</f>
        <v>680</v>
      </c>
      <c r="Q1469" s="29" cm="1">
        <f t="array" ref="Q1469">IF(表成绩单[[#This Row],[数学]]="","",SUMPRODUCT((表成绩单[考试日期]=表成绩单[[#This Row],[考试日期]])*(表成绩单[数学]&lt;9E+307)*(表成绩单[数学]&gt;表成绩单[[#This Row],[数学]]))+1)</f>
        <v>664</v>
      </c>
      <c r="R1469" s="29" cm="1">
        <f t="array" ref="R1469">IF(表成绩单[[#This Row],[英语]]="","",SUMPRODUCT((表成绩单[考试日期]=表成绩单[[#This Row],[考试日期]])*(表成绩单[英语]&lt;9E+307)*(表成绩单[英语]&gt;表成绩单[[#This Row],[英语]]))+1)</f>
        <v>645</v>
      </c>
      <c r="S1469" s="29" cm="1">
        <f t="array" ref="S1469">IF(表成绩单[[#This Row],[物理]]="","",SUMPRODUCT((表成绩单[考试日期]=表成绩单[[#This Row],[考试日期]])*(表成绩单[物理]&lt;9E+307)*(表成绩单[物理]&gt;表成绩单[[#This Row],[物理]]))+1)</f>
        <v>672</v>
      </c>
      <c r="T1469" s="29" cm="1">
        <f t="array" ref="T1469">IF(表成绩单[[#This Row],[化学]]="","",SUMPRODUCT((表成绩单[考试日期]=表成绩单[[#This Row],[考试日期]])*(表成绩单[化学]&lt;9E+307)*(表成绩单[化学]&gt;表成绩单[[#This Row],[化学]]))+1)</f>
        <v>657</v>
      </c>
      <c r="U1469" s="29" cm="1">
        <f t="array" ref="U1469">IF(表成绩单[[#This Row],[政治]]="","",SUMPRODUCT((表成绩单[考试日期]=表成绩单[[#This Row],[考试日期]])*(表成绩单[政治]&lt;9E+307)*(表成绩单[政治]&gt;表成绩单[[#This Row],[政治]]))+1)</f>
        <v>638</v>
      </c>
      <c r="V1469" s="29" cm="1">
        <f t="array" ref="V1469">IF(表成绩单[[#This Row],[历史]]="","",SUMPRODUCT((表成绩单[考试日期]=表成绩单[[#This Row],[考试日期]])*(表成绩单[历史]&lt;9E+307)*(表成绩单[历史]&gt;表成绩单[[#This Row],[历史]]))+1)</f>
        <v>628</v>
      </c>
      <c r="W1469" s="29" cm="1">
        <f t="array" ref="W1469">IF(表成绩单[[#This Row],[总分]]="","",SUMPRODUCT((表成绩单[考试日期]=表成绩单[[#This Row],[考试日期]])*(表成绩单[总分]&lt;9E+307)*(表成绩单[总分]&gt;表成绩单[[#This Row],[总分]]))+1)</f>
        <v>665</v>
      </c>
    </row>
    <row r="1470" ht="28" customHeight="1" spans="4:23">
      <c r="D1470" s="31">
        <v>46003</v>
      </c>
      <c r="E1470" s="29">
        <v>19176002</v>
      </c>
      <c r="F1470" s="29" t="s">
        <v>59</v>
      </c>
      <c r="G1470" s="29" t="s">
        <v>792</v>
      </c>
      <c r="H1470" s="29">
        <v>78</v>
      </c>
      <c r="I1470" s="29">
        <v>33</v>
      </c>
      <c r="J1470" s="29">
        <v>18</v>
      </c>
      <c r="K1470" s="29">
        <v>38</v>
      </c>
      <c r="L1470" s="29">
        <v>62</v>
      </c>
      <c r="M1470" s="29">
        <v>54</v>
      </c>
      <c r="N1470" s="29">
        <v>64</v>
      </c>
      <c r="O1470" s="32">
        <v>347</v>
      </c>
      <c r="P1470" s="29" cm="1">
        <f t="array" ref="P1470">IF(表成绩单[[#This Row],[语文]]="","",SUMPRODUCT((表成绩单[考试日期]=表成绩单[[#This Row],[考试日期]])*(表成绩单[语文]&lt;9E+307)*(表成绩单[语文]&gt;表成绩单[[#This Row],[语文]]))+1)</f>
        <v>680</v>
      </c>
      <c r="Q1470" s="29" cm="1">
        <f t="array" ref="Q1470">IF(表成绩单[[#This Row],[数学]]="","",SUMPRODUCT((表成绩单[考试日期]=表成绩单[[#This Row],[考试日期]])*(表成绩单[数学]&lt;9E+307)*(表成绩单[数学]&gt;表成绩单[[#This Row],[数学]]))+1)</f>
        <v>664</v>
      </c>
      <c r="R1470" s="29" cm="1">
        <f t="array" ref="R1470">IF(表成绩单[[#This Row],[英语]]="","",SUMPRODUCT((表成绩单[考试日期]=表成绩单[[#This Row],[考试日期]])*(表成绩单[英语]&lt;9E+307)*(表成绩单[英语]&gt;表成绩单[[#This Row],[英语]]))+1)</f>
        <v>726</v>
      </c>
      <c r="S1470" s="29" cm="1">
        <f t="array" ref="S1470">IF(表成绩单[[#This Row],[物理]]="","",SUMPRODUCT((表成绩单[考试日期]=表成绩单[[#This Row],[考试日期]])*(表成绩单[物理]&lt;9E+307)*(表成绩单[物理]&gt;表成绩单[[#This Row],[物理]]))+1)</f>
        <v>688</v>
      </c>
      <c r="T1470" s="29" cm="1">
        <f t="array" ref="T1470">IF(表成绩单[[#This Row],[化学]]="","",SUMPRODUCT((表成绩单[考试日期]=表成绩单[[#This Row],[考试日期]])*(表成绩单[化学]&lt;9E+307)*(表成绩单[化学]&gt;表成绩单[[#This Row],[化学]]))+1)</f>
        <v>565</v>
      </c>
      <c r="U1470" s="29" cm="1">
        <f t="array" ref="U1470">IF(表成绩单[[#This Row],[政治]]="","",SUMPRODUCT((表成绩单[考试日期]=表成绩单[[#This Row],[考试日期]])*(表成绩单[政治]&lt;9E+307)*(表成绩单[政治]&gt;表成绩单[[#This Row],[政治]]))+1)</f>
        <v>524</v>
      </c>
      <c r="V1470" s="29" cm="1">
        <f t="array" ref="V1470">IF(表成绩单[[#This Row],[历史]]="","",SUMPRODUCT((表成绩单[考试日期]=表成绩单[[#This Row],[考试日期]])*(表成绩单[历史]&lt;9E+307)*(表成绩单[历史]&gt;表成绩单[[#This Row],[历史]]))+1)</f>
        <v>593</v>
      </c>
      <c r="W1470" s="29" cm="1">
        <f t="array" ref="W1470">IF(表成绩单[[#This Row],[总分]]="","",SUMPRODUCT((表成绩单[考试日期]=表成绩单[[#This Row],[考试日期]])*(表成绩单[总分]&lt;9E+307)*(表成绩单[总分]&gt;表成绩单[[#This Row],[总分]]))+1)</f>
        <v>666</v>
      </c>
    </row>
    <row r="1471" ht="28" customHeight="1" spans="4:23">
      <c r="D1471" s="31">
        <v>46003</v>
      </c>
      <c r="E1471" s="29">
        <v>19175303</v>
      </c>
      <c r="F1471" s="29" t="s">
        <v>55</v>
      </c>
      <c r="G1471" s="29" t="s">
        <v>823</v>
      </c>
      <c r="H1471" s="29">
        <v>86</v>
      </c>
      <c r="I1471" s="29">
        <v>35</v>
      </c>
      <c r="J1471" s="29">
        <v>35.5</v>
      </c>
      <c r="K1471" s="29">
        <v>39</v>
      </c>
      <c r="L1471" s="29">
        <v>52</v>
      </c>
      <c r="M1471" s="29">
        <v>40</v>
      </c>
      <c r="N1471" s="29">
        <v>59</v>
      </c>
      <c r="O1471" s="32">
        <v>346.5</v>
      </c>
      <c r="P1471" s="29" cm="1">
        <f t="array" ref="P1471">IF(表成绩单[[#This Row],[语文]]="","",SUMPRODUCT((表成绩单[考试日期]=表成绩单[[#This Row],[考试日期]])*(表成绩单[语文]&lt;9E+307)*(表成绩单[语文]&gt;表成绩单[[#This Row],[语文]]))+1)</f>
        <v>626</v>
      </c>
      <c r="Q1471" s="29" cm="1">
        <f t="array" ref="Q1471">IF(表成绩单[[#This Row],[数学]]="","",SUMPRODUCT((表成绩单[考试日期]=表成绩单[[#This Row],[考试日期]])*(表成绩单[数学]&lt;9E+307)*(表成绩单[数学]&gt;表成绩单[[#This Row],[数学]]))+1)</f>
        <v>653</v>
      </c>
      <c r="R1471" s="29" cm="1">
        <f t="array" ref="R1471">IF(表成绩单[[#This Row],[英语]]="","",SUMPRODUCT((表成绩单[考试日期]=表成绩单[[#This Row],[考试日期]])*(表成绩单[英语]&lt;9E+307)*(表成绩单[英语]&gt;表成绩单[[#This Row],[英语]]))+1)</f>
        <v>669</v>
      </c>
      <c r="S1471" s="29" cm="1">
        <f t="array" ref="S1471">IF(表成绩单[[#This Row],[物理]]="","",SUMPRODUCT((表成绩单[考试日期]=表成绩单[[#This Row],[考试日期]])*(表成绩单[物理]&lt;9E+307)*(表成绩单[物理]&gt;表成绩单[[#This Row],[物理]]))+1)</f>
        <v>684</v>
      </c>
      <c r="T1471" s="29" cm="1">
        <f t="array" ref="T1471">IF(表成绩单[[#This Row],[化学]]="","",SUMPRODUCT((表成绩单[考试日期]=表成绩单[[#This Row],[考试日期]])*(表成绩单[化学]&lt;9E+307)*(表成绩单[化学]&gt;表成绩单[[#This Row],[化学]]))+1)</f>
        <v>637</v>
      </c>
      <c r="U1471" s="29" cm="1">
        <f t="array" ref="U1471">IF(表成绩单[[#This Row],[政治]]="","",SUMPRODUCT((表成绩单[考试日期]=表成绩单[[#This Row],[考试日期]])*(表成绩单[政治]&lt;9E+307)*(表成绩单[政治]&gt;表成绩单[[#This Row],[政治]]))+1)</f>
        <v>678</v>
      </c>
      <c r="V1471" s="29" cm="1">
        <f t="array" ref="V1471">IF(表成绩单[[#This Row],[历史]]="","",SUMPRODUCT((表成绩单[考试日期]=表成绩单[[#This Row],[考试日期]])*(表成绩单[历史]&lt;9E+307)*(表成绩单[历史]&gt;表成绩单[[#This Row],[历史]]))+1)</f>
        <v>645</v>
      </c>
      <c r="W1471" s="29" cm="1">
        <f t="array" ref="W1471">IF(表成绩单[[#This Row],[总分]]="","",SUMPRODUCT((表成绩单[考试日期]=表成绩单[[#This Row],[考试日期]])*(表成绩单[总分]&lt;9E+307)*(表成绩单[总分]&gt;表成绩单[[#This Row],[总分]]))+1)</f>
        <v>667</v>
      </c>
    </row>
    <row r="1472" ht="28" customHeight="1" spans="4:23">
      <c r="D1472" s="31">
        <v>46003</v>
      </c>
      <c r="E1472" s="29">
        <v>19177589</v>
      </c>
      <c r="F1472" s="29" t="s">
        <v>58</v>
      </c>
      <c r="G1472" s="29" t="s">
        <v>861</v>
      </c>
      <c r="H1472" s="29">
        <v>64</v>
      </c>
      <c r="I1472" s="29">
        <v>40</v>
      </c>
      <c r="J1472" s="29">
        <v>54.5</v>
      </c>
      <c r="K1472" s="29">
        <v>43</v>
      </c>
      <c r="L1472" s="29">
        <v>55</v>
      </c>
      <c r="M1472" s="29">
        <v>41</v>
      </c>
      <c r="N1472" s="29">
        <v>49</v>
      </c>
      <c r="O1472" s="32">
        <v>346.5</v>
      </c>
      <c r="P1472" s="29" cm="1">
        <f t="array" ref="P1472">IF(表成绩单[[#This Row],[语文]]="","",SUMPRODUCT((表成绩单[考试日期]=表成绩单[[#This Row],[考试日期]])*(表成绩单[语文]&lt;9E+307)*(表成绩单[语文]&gt;表成绩单[[#This Row],[语文]]))+1)</f>
        <v>717</v>
      </c>
      <c r="Q1472" s="29" cm="1">
        <f t="array" ref="Q1472">IF(表成绩单[[#This Row],[数学]]="","",SUMPRODUCT((表成绩单[考试日期]=表成绩单[[#This Row],[考试日期]])*(表成绩单[数学]&lt;9E+307)*(表成绩单[数学]&gt;表成绩单[[#This Row],[数学]]))+1)</f>
        <v>634</v>
      </c>
      <c r="R1472" s="29" cm="1">
        <f t="array" ref="R1472">IF(表成绩单[[#This Row],[英语]]="","",SUMPRODUCT((表成绩单[考试日期]=表成绩单[[#This Row],[考试日期]])*(表成绩单[英语]&lt;9E+307)*(表成绩单[英语]&gt;表成绩单[[#This Row],[英语]]))+1)</f>
        <v>570</v>
      </c>
      <c r="S1472" s="29" cm="1">
        <f t="array" ref="S1472">IF(表成绩单[[#This Row],[物理]]="","",SUMPRODUCT((表成绩单[考试日期]=表成绩单[[#This Row],[考试日期]])*(表成绩单[物理]&lt;9E+307)*(表成绩单[物理]&gt;表成绩单[[#This Row],[物理]]))+1)</f>
        <v>659</v>
      </c>
      <c r="T1472" s="29" cm="1">
        <f t="array" ref="T1472">IF(表成绩单[[#This Row],[化学]]="","",SUMPRODUCT((表成绩单[考试日期]=表成绩单[[#This Row],[考试日期]])*(表成绩单[化学]&lt;9E+307)*(表成绩单[化学]&gt;表成绩单[[#This Row],[化学]]))+1)</f>
        <v>624</v>
      </c>
      <c r="U1472" s="29" cm="1">
        <f t="array" ref="U1472">IF(表成绩单[[#This Row],[政治]]="","",SUMPRODUCT((表成绩单[考试日期]=表成绩单[[#This Row],[考试日期]])*(表成绩单[政治]&lt;9E+307)*(表成绩单[政治]&gt;表成绩单[[#This Row],[政治]]))+1)</f>
        <v>668</v>
      </c>
      <c r="V1472" s="29" cm="1">
        <f t="array" ref="V1472">IF(表成绩单[[#This Row],[历史]]="","",SUMPRODUCT((表成绩单[考试日期]=表成绩单[[#This Row],[考试日期]])*(表成绩单[历史]&lt;9E+307)*(表成绩单[历史]&gt;表成绩单[[#This Row],[历史]]))+1)</f>
        <v>702</v>
      </c>
      <c r="W1472" s="29" cm="1">
        <f t="array" ref="W1472">IF(表成绩单[[#This Row],[总分]]="","",SUMPRODUCT((表成绩单[考试日期]=表成绩单[[#This Row],[考试日期]])*(表成绩单[总分]&lt;9E+307)*(表成绩单[总分]&gt;表成绩单[[#This Row],[总分]]))+1)</f>
        <v>667</v>
      </c>
    </row>
    <row r="1473" ht="28" customHeight="1" spans="4:23">
      <c r="D1473" s="31">
        <v>46003</v>
      </c>
      <c r="E1473" s="29">
        <v>19172628</v>
      </c>
      <c r="F1473" s="29" t="s">
        <v>60</v>
      </c>
      <c r="G1473" s="29" t="s">
        <v>794</v>
      </c>
      <c r="H1473" s="29">
        <v>76</v>
      </c>
      <c r="I1473" s="29">
        <v>20</v>
      </c>
      <c r="J1473" s="29">
        <v>34</v>
      </c>
      <c r="K1473" s="29">
        <v>68</v>
      </c>
      <c r="L1473" s="29">
        <v>48</v>
      </c>
      <c r="M1473" s="29">
        <v>36</v>
      </c>
      <c r="N1473" s="29">
        <v>63</v>
      </c>
      <c r="O1473" s="32">
        <v>345</v>
      </c>
      <c r="P1473" s="29" cm="1">
        <f t="array" ref="P1473">IF(表成绩单[[#This Row],[语文]]="","",SUMPRODUCT((表成绩单[考试日期]=表成绩单[[#This Row],[考试日期]])*(表成绩单[语文]&lt;9E+307)*(表成绩单[语文]&gt;表成绩单[[#This Row],[语文]]))+1)</f>
        <v>686</v>
      </c>
      <c r="Q1473" s="29" cm="1">
        <f t="array" ref="Q1473">IF(表成绩单[[#This Row],[数学]]="","",SUMPRODUCT((表成绩单[考试日期]=表成绩单[[#This Row],[考试日期]])*(表成绩单[数学]&lt;9E+307)*(表成绩单[数学]&gt;表成绩单[[#This Row],[数学]]))+1)</f>
        <v>708</v>
      </c>
      <c r="R1473" s="29" cm="1">
        <f t="array" ref="R1473">IF(表成绩单[[#This Row],[英语]]="","",SUMPRODUCT((表成绩单[考试日期]=表成绩单[[#This Row],[考试日期]])*(表成绩单[英语]&lt;9E+307)*(表成绩单[英语]&gt;表成绩单[[#This Row],[英语]]))+1)</f>
        <v>674</v>
      </c>
      <c r="S1473" s="29" cm="1">
        <f t="array" ref="S1473">IF(表成绩单[[#This Row],[物理]]="","",SUMPRODUCT((表成绩单[考试日期]=表成绩单[[#This Row],[考试日期]])*(表成绩单[物理]&lt;9E+307)*(表成绩单[物理]&gt;表成绩单[[#This Row],[物理]]))+1)</f>
        <v>539</v>
      </c>
      <c r="T1473" s="29" cm="1">
        <f t="array" ref="T1473">IF(表成绩单[[#This Row],[化学]]="","",SUMPRODUCT((表成绩单[考试日期]=表成绩单[[#This Row],[考试日期]])*(表成绩单[化学]&lt;9E+307)*(表成绩单[化学]&gt;表成绩单[[#This Row],[化学]]))+1)</f>
        <v>665</v>
      </c>
      <c r="U1473" s="29" cm="1">
        <f t="array" ref="U1473">IF(表成绩单[[#This Row],[政治]]="","",SUMPRODUCT((表成绩单[考试日期]=表成绩单[[#This Row],[考试日期]])*(表成绩单[政治]&lt;9E+307)*(表成绩单[政治]&gt;表成绩单[[#This Row],[政治]]))+1)</f>
        <v>705</v>
      </c>
      <c r="V1473" s="29" cm="1">
        <f t="array" ref="V1473">IF(表成绩单[[#This Row],[历史]]="","",SUMPRODUCT((表成绩单[考试日期]=表成绩单[[#This Row],[考试日期]])*(表成绩单[历史]&lt;9E+307)*(表成绩单[历史]&gt;表成绩单[[#This Row],[历史]]))+1)</f>
        <v>608</v>
      </c>
      <c r="W1473" s="29" cm="1">
        <f t="array" ref="W1473">IF(表成绩单[[#This Row],[总分]]="","",SUMPRODUCT((表成绩单[考试日期]=表成绩单[[#This Row],[考试日期]])*(表成绩单[总分]&lt;9E+307)*(表成绩单[总分]&gt;表成绩单[[#This Row],[总分]]))+1)</f>
        <v>669</v>
      </c>
    </row>
    <row r="1474" ht="28" customHeight="1" spans="4:23">
      <c r="D1474" s="31">
        <v>46003</v>
      </c>
      <c r="E1474" s="29">
        <v>33609820</v>
      </c>
      <c r="F1474" s="29" t="s">
        <v>55</v>
      </c>
      <c r="G1474" s="29" t="s">
        <v>768</v>
      </c>
      <c r="H1474" s="29">
        <v>82</v>
      </c>
      <c r="I1474" s="29">
        <v>69</v>
      </c>
      <c r="J1474" s="29">
        <v>50.5</v>
      </c>
      <c r="K1474" s="29">
        <v>29</v>
      </c>
      <c r="L1474" s="29">
        <v>41</v>
      </c>
      <c r="M1474" s="29">
        <v>34</v>
      </c>
      <c r="N1474" s="29">
        <v>32</v>
      </c>
      <c r="O1474" s="32">
        <v>337.5</v>
      </c>
      <c r="P1474" s="29" cm="1">
        <f t="array" ref="P1474">IF(表成绩单[[#This Row],[语文]]="","",SUMPRODUCT((表成绩单[考试日期]=表成绩单[[#This Row],[考试日期]])*(表成绩单[语文]&lt;9E+307)*(表成绩单[语文]&gt;表成绩单[[#This Row],[语文]]))+1)</f>
        <v>657</v>
      </c>
      <c r="Q1474" s="29" cm="1">
        <f t="array" ref="Q1474">IF(表成绩单[[#This Row],[数学]]="","",SUMPRODUCT((表成绩单[考试日期]=表成绩单[[#This Row],[考试日期]])*(表成绩单[数学]&lt;9E+307)*(表成绩单[数学]&gt;表成绩单[[#This Row],[数学]]))+1)</f>
        <v>437</v>
      </c>
      <c r="R1474" s="29" cm="1">
        <f t="array" ref="R1474">IF(表成绩单[[#This Row],[英语]]="","",SUMPRODUCT((表成绩单[考试日期]=表成绩单[[#This Row],[考试日期]])*(表成绩单[英语]&lt;9E+307)*(表成绩单[英语]&gt;表成绩单[[#This Row],[英语]]))+1)</f>
        <v>601</v>
      </c>
      <c r="S1474" s="29" cm="1">
        <f t="array" ref="S1474">IF(表成绩单[[#This Row],[物理]]="","",SUMPRODUCT((表成绩单[考试日期]=表成绩单[[#This Row],[考试日期]])*(表成绩单[物理]&lt;9E+307)*(表成绩单[物理]&gt;表成绩单[[#This Row],[物理]]))+1)</f>
        <v>703</v>
      </c>
      <c r="T1474" s="29" cm="1">
        <f t="array" ref="T1474">IF(表成绩单[[#This Row],[化学]]="","",SUMPRODUCT((表成绩单[考试日期]=表成绩单[[#This Row],[考试日期]])*(表成绩单[化学]&lt;9E+307)*(表成绩单[化学]&gt;表成绩单[[#This Row],[化学]]))+1)</f>
        <v>700</v>
      </c>
      <c r="U1474" s="29" cm="1">
        <f t="array" ref="U1474">IF(表成绩单[[#This Row],[政治]]="","",SUMPRODUCT((表成绩单[考试日期]=表成绩单[[#This Row],[考试日期]])*(表成绩单[政治]&lt;9E+307)*(表成绩单[政治]&gt;表成绩单[[#This Row],[政治]]))+1)</f>
        <v>713</v>
      </c>
      <c r="V1474" s="29" cm="1">
        <f t="array" ref="V1474">IF(表成绩单[[#This Row],[历史]]="","",SUMPRODUCT((表成绩单[考试日期]=表成绩单[[#This Row],[考试日期]])*(表成绩单[历史]&lt;9E+307)*(表成绩单[历史]&gt;表成绩单[[#This Row],[历史]]))+1)</f>
        <v>734</v>
      </c>
      <c r="W1474" s="29" cm="1">
        <f t="array" ref="W1474">IF(表成绩单[[#This Row],[总分]]="","",SUMPRODUCT((表成绩单[考试日期]=表成绩单[[#This Row],[考试日期]])*(表成绩单[总分]&lt;9E+307)*(表成绩单[总分]&gt;表成绩单[[#This Row],[总分]]))+1)</f>
        <v>670</v>
      </c>
    </row>
    <row r="1475" ht="28" customHeight="1" spans="4:23">
      <c r="D1475" s="31">
        <v>46003</v>
      </c>
      <c r="E1475" s="29">
        <v>19175603</v>
      </c>
      <c r="F1475" s="29" t="s">
        <v>57</v>
      </c>
      <c r="G1475" s="29" t="s">
        <v>727</v>
      </c>
      <c r="H1475" s="29">
        <v>86</v>
      </c>
      <c r="I1475" s="29">
        <v>21</v>
      </c>
      <c r="J1475" s="29">
        <v>33</v>
      </c>
      <c r="K1475" s="29">
        <v>35</v>
      </c>
      <c r="L1475" s="29">
        <v>51</v>
      </c>
      <c r="M1475" s="29">
        <v>59</v>
      </c>
      <c r="N1475" s="29">
        <v>52</v>
      </c>
      <c r="O1475" s="32">
        <v>337</v>
      </c>
      <c r="P1475" s="29" cm="1">
        <f t="array" ref="P1475">IF(表成绩单[[#This Row],[语文]]="","",SUMPRODUCT((表成绩单[考试日期]=表成绩单[[#This Row],[考试日期]])*(表成绩单[语文]&lt;9E+307)*(表成绩单[语文]&gt;表成绩单[[#This Row],[语文]]))+1)</f>
        <v>626</v>
      </c>
      <c r="Q1475" s="29" cm="1">
        <f t="array" ref="Q1475">IF(表成绩单[[#This Row],[数学]]="","",SUMPRODUCT((表成绩单[考试日期]=表成绩单[[#This Row],[考试日期]])*(表成绩单[数学]&lt;9E+307)*(表成绩单[数学]&gt;表成绩单[[#This Row],[数学]]))+1)</f>
        <v>706</v>
      </c>
      <c r="R1475" s="29" cm="1">
        <f t="array" ref="R1475">IF(表成绩单[[#This Row],[英语]]="","",SUMPRODUCT((表成绩单[考试日期]=表成绩单[[#This Row],[考试日期]])*(表成绩单[英语]&lt;9E+307)*(表成绩单[英语]&gt;表成绩单[[#This Row],[英语]]))+1)</f>
        <v>679</v>
      </c>
      <c r="S1475" s="29" cm="1">
        <f t="array" ref="S1475">IF(表成绩单[[#This Row],[物理]]="","",SUMPRODUCT((表成绩单[考试日期]=表成绩单[[#This Row],[考试日期]])*(表成绩单[物理]&lt;9E+307)*(表成绩单[物理]&gt;表成绩单[[#This Row],[物理]]))+1)</f>
        <v>692</v>
      </c>
      <c r="T1475" s="29" cm="1">
        <f t="array" ref="T1475">IF(表成绩单[[#This Row],[化学]]="","",SUMPRODUCT((表成绩单[考试日期]=表成绩单[[#This Row],[考试日期]])*(表成绩单[化学]&lt;9E+307)*(表成绩单[化学]&gt;表成绩单[[#This Row],[化学]]))+1)</f>
        <v>643</v>
      </c>
      <c r="U1475" s="29" cm="1">
        <f t="array" ref="U1475">IF(表成绩单[[#This Row],[政治]]="","",SUMPRODUCT((表成绩单[考试日期]=表成绩单[[#This Row],[考试日期]])*(表成绩单[政治]&lt;9E+307)*(表成绩单[政治]&gt;表成绩单[[#This Row],[政治]]))+1)</f>
        <v>435</v>
      </c>
      <c r="V1475" s="29" cm="1">
        <f t="array" ref="V1475">IF(表成绩单[[#This Row],[历史]]="","",SUMPRODUCT((表成绩单[考试日期]=表成绩单[[#This Row],[考试日期]])*(表成绩单[历史]&lt;9E+307)*(表成绩单[历史]&gt;表成绩单[[#This Row],[历史]]))+1)</f>
        <v>693</v>
      </c>
      <c r="W1475" s="29" cm="1">
        <f t="array" ref="W1475">IF(表成绩单[[#This Row],[总分]]="","",SUMPRODUCT((表成绩单[考试日期]=表成绩单[[#This Row],[考试日期]])*(表成绩单[总分]&lt;9E+307)*(表成绩单[总分]&gt;表成绩单[[#This Row],[总分]]))+1)</f>
        <v>671</v>
      </c>
    </row>
    <row r="1476" ht="28" customHeight="1" spans="4:23">
      <c r="D1476" s="31">
        <v>46003</v>
      </c>
      <c r="E1476" s="29">
        <v>19178577</v>
      </c>
      <c r="F1476" s="29" t="s">
        <v>64</v>
      </c>
      <c r="G1476" s="29" t="s">
        <v>816</v>
      </c>
      <c r="H1476" s="29">
        <v>86</v>
      </c>
      <c r="I1476" s="29">
        <v>41</v>
      </c>
      <c r="J1476" s="29">
        <v>20</v>
      </c>
      <c r="K1476" s="29">
        <v>66</v>
      </c>
      <c r="L1476" s="29">
        <v>41</v>
      </c>
      <c r="M1476" s="29">
        <v>43</v>
      </c>
      <c r="N1476" s="29">
        <v>40</v>
      </c>
      <c r="O1476" s="32">
        <v>337</v>
      </c>
      <c r="P1476" s="29" cm="1">
        <f t="array" ref="P1476">IF(表成绩单[[#This Row],[语文]]="","",SUMPRODUCT((表成绩单[考试日期]=表成绩单[[#This Row],[考试日期]])*(表成绩单[语文]&lt;9E+307)*(表成绩单[语文]&gt;表成绩单[[#This Row],[语文]]))+1)</f>
        <v>626</v>
      </c>
      <c r="Q1476" s="29" cm="1">
        <f t="array" ref="Q1476">IF(表成绩单[[#This Row],[数学]]="","",SUMPRODUCT((表成绩单[考试日期]=表成绩单[[#This Row],[考试日期]])*(表成绩单[数学]&lt;9E+307)*(表成绩单[数学]&gt;表成绩单[[#This Row],[数学]]))+1)</f>
        <v>629</v>
      </c>
      <c r="R1476" s="29" cm="1">
        <f t="array" ref="R1476">IF(表成绩单[[#This Row],[英语]]="","",SUMPRODUCT((表成绩单[考试日期]=表成绩单[[#This Row],[考试日期]])*(表成绩单[英语]&lt;9E+307)*(表成绩单[英语]&gt;表成绩单[[#This Row],[英语]]))+1)</f>
        <v>720</v>
      </c>
      <c r="S1476" s="29" cm="1">
        <f t="array" ref="S1476">IF(表成绩单[[#This Row],[物理]]="","",SUMPRODUCT((表成绩单[考试日期]=表成绩单[[#This Row],[考试日期]])*(表成绩单[物理]&lt;9E+307)*(表成绩单[物理]&gt;表成绩单[[#This Row],[物理]]))+1)</f>
        <v>551</v>
      </c>
      <c r="T1476" s="29" cm="1">
        <f t="array" ref="T1476">IF(表成绩单[[#This Row],[化学]]="","",SUMPRODUCT((表成绩单[考试日期]=表成绩单[[#This Row],[考试日期]])*(表成绩单[化学]&lt;9E+307)*(表成绩单[化学]&gt;表成绩单[[#This Row],[化学]]))+1)</f>
        <v>700</v>
      </c>
      <c r="U1476" s="29" cm="1">
        <f t="array" ref="U1476">IF(表成绩单[[#This Row],[政治]]="","",SUMPRODUCT((表成绩单[考试日期]=表成绩单[[#This Row],[考试日期]])*(表成绩单[政治]&lt;9E+307)*(表成绩单[政治]&gt;表成绩单[[#This Row],[政治]]))+1)</f>
        <v>660</v>
      </c>
      <c r="V1476" s="29" cm="1">
        <f t="array" ref="V1476">IF(表成绩单[[#This Row],[历史]]="","",SUMPRODUCT((表成绩单[考试日期]=表成绩单[[#This Row],[考试日期]])*(表成绩单[历史]&lt;9E+307)*(表成绩单[历史]&gt;表成绩单[[#This Row],[历史]]))+1)</f>
        <v>724</v>
      </c>
      <c r="W1476" s="29" cm="1">
        <f t="array" ref="W1476">IF(表成绩单[[#This Row],[总分]]="","",SUMPRODUCT((表成绩单[考试日期]=表成绩单[[#This Row],[考试日期]])*(表成绩单[总分]&lt;9E+307)*(表成绩单[总分]&gt;表成绩单[[#This Row],[总分]]))+1)</f>
        <v>671</v>
      </c>
    </row>
    <row r="1477" ht="28" customHeight="1" spans="4:23">
      <c r="D1477" s="31">
        <v>46003</v>
      </c>
      <c r="E1477" s="29">
        <v>19178646</v>
      </c>
      <c r="F1477" s="29" t="s">
        <v>25</v>
      </c>
      <c r="G1477" s="29" t="s">
        <v>821</v>
      </c>
      <c r="H1477" s="29">
        <v>88</v>
      </c>
      <c r="I1477" s="29">
        <v>37</v>
      </c>
      <c r="J1477" s="29">
        <v>36</v>
      </c>
      <c r="K1477" s="29">
        <v>52</v>
      </c>
      <c r="L1477" s="29">
        <v>54</v>
      </c>
      <c r="M1477" s="29">
        <v>32</v>
      </c>
      <c r="N1477" s="29">
        <v>38</v>
      </c>
      <c r="O1477" s="32">
        <v>337</v>
      </c>
      <c r="P1477" s="29" cm="1">
        <f t="array" ref="P1477">IF(表成绩单[[#This Row],[语文]]="","",SUMPRODUCT((表成绩单[考试日期]=表成绩单[[#This Row],[考试日期]])*(表成绩单[语文]&lt;9E+307)*(表成绩单[语文]&gt;表成绩单[[#This Row],[语文]]))+1)</f>
        <v>613</v>
      </c>
      <c r="Q1477" s="29" cm="1">
        <f t="array" ref="Q1477">IF(表成绩单[[#This Row],[数学]]="","",SUMPRODUCT((表成绩单[考试日期]=表成绩单[[#This Row],[考试日期]])*(表成绩单[数学]&lt;9E+307)*(表成绩单[数学]&gt;表成绩单[[#This Row],[数学]]))+1)</f>
        <v>647</v>
      </c>
      <c r="R1477" s="29" cm="1">
        <f t="array" ref="R1477">IF(表成绩单[[#This Row],[英语]]="","",SUMPRODUCT((表成绩单[考试日期]=表成绩单[[#This Row],[考试日期]])*(表成绩单[英语]&lt;9E+307)*(表成绩单[英语]&gt;表成绩单[[#This Row],[英语]]))+1)</f>
        <v>664</v>
      </c>
      <c r="S1477" s="29" cm="1">
        <f t="array" ref="S1477">IF(表成绩单[[#This Row],[物理]]="","",SUMPRODUCT((表成绩单[考试日期]=表成绩单[[#This Row],[考试日期]])*(表成绩单[物理]&lt;9E+307)*(表成绩单[物理]&gt;表成绩单[[#This Row],[物理]]))+1)</f>
        <v>622</v>
      </c>
      <c r="T1477" s="29" cm="1">
        <f t="array" ref="T1477">IF(表成绩单[[#This Row],[化学]]="","",SUMPRODUCT((表成绩单[考试日期]=表成绩单[[#This Row],[考试日期]])*(表成绩单[化学]&lt;9E+307)*(表成绩单[化学]&gt;表成绩单[[#This Row],[化学]]))+1)</f>
        <v>629</v>
      </c>
      <c r="U1477" s="29" cm="1">
        <f t="array" ref="U1477">IF(表成绩单[[#This Row],[政治]]="","",SUMPRODUCT((表成绩单[考试日期]=表成绩单[[#This Row],[考试日期]])*(表成绩单[政治]&lt;9E+307)*(表成绩单[政治]&gt;表成绩单[[#This Row],[政治]]))+1)</f>
        <v>717</v>
      </c>
      <c r="V1477" s="29" cm="1">
        <f t="array" ref="V1477">IF(表成绩单[[#This Row],[历史]]="","",SUMPRODUCT((表成绩单[考试日期]=表成绩单[[#This Row],[考试日期]])*(表成绩单[历史]&lt;9E+307)*(表成绩单[历史]&gt;表成绩单[[#This Row],[历史]]))+1)</f>
        <v>727</v>
      </c>
      <c r="W1477" s="29" cm="1">
        <f t="array" ref="W1477">IF(表成绩单[[#This Row],[总分]]="","",SUMPRODUCT((表成绩单[考试日期]=表成绩单[[#This Row],[考试日期]])*(表成绩单[总分]&lt;9E+307)*(表成绩单[总分]&gt;表成绩单[[#This Row],[总分]]))+1)</f>
        <v>671</v>
      </c>
    </row>
    <row r="1478" ht="28" customHeight="1" spans="4:23">
      <c r="D1478" s="31">
        <v>46003</v>
      </c>
      <c r="E1478" s="29">
        <v>19175323</v>
      </c>
      <c r="F1478" s="29" t="s">
        <v>55</v>
      </c>
      <c r="G1478" s="29" t="s">
        <v>785</v>
      </c>
      <c r="H1478" s="29">
        <v>78</v>
      </c>
      <c r="I1478" s="29">
        <v>34</v>
      </c>
      <c r="J1478" s="29">
        <v>38.5</v>
      </c>
      <c r="K1478" s="29">
        <v>26</v>
      </c>
      <c r="L1478" s="29">
        <v>48</v>
      </c>
      <c r="M1478" s="29">
        <v>45</v>
      </c>
      <c r="N1478" s="29">
        <v>67</v>
      </c>
      <c r="O1478" s="32">
        <v>336.5</v>
      </c>
      <c r="P1478" s="29" cm="1">
        <f t="array" ref="P1478">IF(表成绩单[[#This Row],[语文]]="","",SUMPRODUCT((表成绩单[考试日期]=表成绩单[[#This Row],[考试日期]])*(表成绩单[语文]&lt;9E+307)*(表成绩单[语文]&gt;表成绩单[[#This Row],[语文]]))+1)</f>
        <v>680</v>
      </c>
      <c r="Q1478" s="29" cm="1">
        <f t="array" ref="Q1478">IF(表成绩单[[#This Row],[数学]]="","",SUMPRODUCT((表成绩单[考试日期]=表成绩单[[#This Row],[考试日期]])*(表成绩单[数学]&lt;9E+307)*(表成绩单[数学]&gt;表成绩单[[#This Row],[数学]]))+1)</f>
        <v>660</v>
      </c>
      <c r="R1478" s="29" cm="1">
        <f t="array" ref="R1478">IF(表成绩单[[#This Row],[英语]]="","",SUMPRODUCT((表成绩单[考试日期]=表成绩单[[#This Row],[考试日期]])*(表成绩单[英语]&lt;9E+307)*(表成绩单[英语]&gt;表成绩单[[#This Row],[英语]]))+1)</f>
        <v>659</v>
      </c>
      <c r="S1478" s="29" cm="1">
        <f t="array" ref="S1478">IF(表成绩单[[#This Row],[物理]]="","",SUMPRODUCT((表成绩单[考试日期]=表成绩单[[#This Row],[考试日期]])*(表成绩单[物理]&lt;9E+307)*(表成绩单[物理]&gt;表成绩单[[#This Row],[物理]]))+1)</f>
        <v>710</v>
      </c>
      <c r="T1478" s="29" cm="1">
        <f t="array" ref="T1478">IF(表成绩单[[#This Row],[化学]]="","",SUMPRODUCT((表成绩单[考试日期]=表成绩单[[#This Row],[考试日期]])*(表成绩单[化学]&lt;9E+307)*(表成绩单[化学]&gt;表成绩单[[#This Row],[化学]]))+1)</f>
        <v>665</v>
      </c>
      <c r="U1478" s="29" cm="1">
        <f t="array" ref="U1478">IF(表成绩单[[#This Row],[政治]]="","",SUMPRODUCT((表成绩单[考试日期]=表成绩单[[#This Row],[考试日期]])*(表成绩单[政治]&lt;9E+307)*(表成绩单[政治]&gt;表成绩单[[#This Row],[政治]]))+1)</f>
        <v>638</v>
      </c>
      <c r="V1478" s="29" cm="1">
        <f t="array" ref="V1478">IF(表成绩单[[#This Row],[历史]]="","",SUMPRODUCT((表成绩单[考试日期]=表成绩单[[#This Row],[考试日期]])*(表成绩单[历史]&lt;9E+307)*(表成绩单[历史]&gt;表成绩单[[#This Row],[历史]]))+1)</f>
        <v>549</v>
      </c>
      <c r="W1478" s="29" cm="1">
        <f t="array" ref="W1478">IF(表成绩单[[#This Row],[总分]]="","",SUMPRODUCT((表成绩单[考试日期]=表成绩单[[#This Row],[考试日期]])*(表成绩单[总分]&lt;9E+307)*(表成绩单[总分]&gt;表成绩单[[#This Row],[总分]]))+1)</f>
        <v>674</v>
      </c>
    </row>
    <row r="1479" ht="28" customHeight="1" spans="4:23">
      <c r="D1479" s="31">
        <v>46003</v>
      </c>
      <c r="E1479" s="29">
        <v>19176006</v>
      </c>
      <c r="F1479" s="29" t="s">
        <v>59</v>
      </c>
      <c r="G1479" s="29" t="s">
        <v>776</v>
      </c>
      <c r="H1479" s="29">
        <v>86</v>
      </c>
      <c r="I1479" s="29">
        <v>26</v>
      </c>
      <c r="J1479" s="29">
        <v>35.5</v>
      </c>
      <c r="K1479" s="29">
        <v>34</v>
      </c>
      <c r="L1479" s="29">
        <v>46</v>
      </c>
      <c r="M1479" s="29">
        <v>53</v>
      </c>
      <c r="N1479" s="29">
        <v>55</v>
      </c>
      <c r="O1479" s="32">
        <v>335.5</v>
      </c>
      <c r="P1479" s="29" cm="1">
        <f t="array" ref="P1479">IF(表成绩单[[#This Row],[语文]]="","",SUMPRODUCT((表成绩单[考试日期]=表成绩单[[#This Row],[考试日期]])*(表成绩单[语文]&lt;9E+307)*(表成绩单[语文]&gt;表成绩单[[#This Row],[语文]]))+1)</f>
        <v>626</v>
      </c>
      <c r="Q1479" s="29" cm="1">
        <f t="array" ref="Q1479">IF(表成绩单[[#This Row],[数学]]="","",SUMPRODUCT((表成绩单[考试日期]=表成绩单[[#This Row],[考试日期]])*(表成绩单[数学]&lt;9E+307)*(表成绩单[数学]&gt;表成绩单[[#This Row],[数学]]))+1)</f>
        <v>697</v>
      </c>
      <c r="R1479" s="29" cm="1">
        <f t="array" ref="R1479">IF(表成绩单[[#This Row],[英语]]="","",SUMPRODUCT((表成绩单[考试日期]=表成绩单[[#This Row],[考试日期]])*(表成绩单[英语]&lt;9E+307)*(表成绩单[英语]&gt;表成绩单[[#This Row],[英语]]))+1)</f>
        <v>669</v>
      </c>
      <c r="S1479" s="29" cm="1">
        <f t="array" ref="S1479">IF(表成绩单[[#This Row],[物理]]="","",SUMPRODUCT((表成绩单[考试日期]=表成绩单[[#This Row],[考试日期]])*(表成绩单[物理]&lt;9E+307)*(表成绩单[物理]&gt;表成绩单[[#This Row],[物理]]))+1)</f>
        <v>696</v>
      </c>
      <c r="T1479" s="29" cm="1">
        <f t="array" ref="T1479">IF(表成绩单[[#This Row],[化学]]="","",SUMPRODUCT((表成绩单[考试日期]=表成绩单[[#This Row],[考试日期]])*(表成绩单[化学]&lt;9E+307)*(表成绩单[化学]&gt;表成绩单[[#This Row],[化学]]))+1)</f>
        <v>678</v>
      </c>
      <c r="U1479" s="29" cm="1">
        <f t="array" ref="U1479">IF(表成绩单[[#This Row],[政治]]="","",SUMPRODUCT((表成绩单[考试日期]=表成绩单[[#This Row],[考试日期]])*(表成绩单[政治]&lt;9E+307)*(表成绩单[政治]&gt;表成绩单[[#This Row],[政治]]))+1)</f>
        <v>547</v>
      </c>
      <c r="V1479" s="29" cm="1">
        <f t="array" ref="V1479">IF(表成绩单[[#This Row],[历史]]="","",SUMPRODUCT((表成绩单[考试日期]=表成绩单[[#This Row],[考试日期]])*(表成绩单[历史]&lt;9E+307)*(表成绩单[历史]&gt;表成绩单[[#This Row],[历史]]))+1)</f>
        <v>670</v>
      </c>
      <c r="W1479" s="29" cm="1">
        <f t="array" ref="W1479">IF(表成绩单[[#This Row],[总分]]="","",SUMPRODUCT((表成绩单[考试日期]=表成绩单[[#This Row],[考试日期]])*(表成绩单[总分]&lt;9E+307)*(表成绩单[总分]&gt;表成绩单[[#This Row],[总分]]))+1)</f>
        <v>675</v>
      </c>
    </row>
    <row r="1480" ht="28" customHeight="1" spans="4:23">
      <c r="D1480" s="31">
        <v>46003</v>
      </c>
      <c r="E1480" s="29">
        <v>19177629</v>
      </c>
      <c r="F1480" s="29" t="s">
        <v>58</v>
      </c>
      <c r="G1480" s="29" t="s">
        <v>779</v>
      </c>
      <c r="H1480" s="29">
        <v>81</v>
      </c>
      <c r="I1480" s="29">
        <v>39</v>
      </c>
      <c r="J1480" s="29">
        <v>48</v>
      </c>
      <c r="K1480" s="29">
        <v>40</v>
      </c>
      <c r="L1480" s="29">
        <v>43</v>
      </c>
      <c r="M1480" s="29">
        <v>38</v>
      </c>
      <c r="N1480" s="29">
        <v>45</v>
      </c>
      <c r="O1480" s="32">
        <v>334</v>
      </c>
      <c r="P1480" s="29" cm="1">
        <f t="array" ref="P1480">IF(表成绩单[[#This Row],[语文]]="","",SUMPRODUCT((表成绩单[考试日期]=表成绩单[[#This Row],[考试日期]])*(表成绩单[语文]&lt;9E+307)*(表成绩单[语文]&gt;表成绩单[[#This Row],[语文]]))+1)</f>
        <v>664</v>
      </c>
      <c r="Q1480" s="29" cm="1">
        <f t="array" ref="Q1480">IF(表成绩单[[#This Row],[数学]]="","",SUMPRODUCT((表成绩单[考试日期]=表成绩单[[#This Row],[考试日期]])*(表成绩单[数学]&lt;9E+307)*(表成绩单[数学]&gt;表成绩单[[#This Row],[数学]]))+1)</f>
        <v>639</v>
      </c>
      <c r="R1480" s="29" cm="1">
        <f t="array" ref="R1480">IF(表成绩单[[#This Row],[英语]]="","",SUMPRODUCT((表成绩单[考试日期]=表成绩单[[#This Row],[考试日期]])*(表成绩单[英语]&lt;9E+307)*(表成绩单[英语]&gt;表成绩单[[#This Row],[英语]]))+1)</f>
        <v>614</v>
      </c>
      <c r="S1480" s="29" cm="1">
        <f t="array" ref="S1480">IF(表成绩单[[#This Row],[物理]]="","",SUMPRODUCT((表成绩单[考试日期]=表成绩单[[#This Row],[考试日期]])*(表成绩单[物理]&lt;9E+307)*(表成绩单[物理]&gt;表成绩单[[#This Row],[物理]]))+1)</f>
        <v>677</v>
      </c>
      <c r="T1480" s="29" cm="1">
        <f t="array" ref="T1480">IF(表成绩单[[#This Row],[化学]]="","",SUMPRODUCT((表成绩单[考试日期]=表成绩单[[#This Row],[考试日期]])*(表成绩单[化学]&lt;9E+307)*(表成绩单[化学]&gt;表成绩单[[#This Row],[化学]]))+1)</f>
        <v>691</v>
      </c>
      <c r="U1480" s="29" cm="1">
        <f t="array" ref="U1480">IF(表成绩单[[#This Row],[政治]]="","",SUMPRODUCT((表成绩单[考试日期]=表成绩单[[#This Row],[考试日期]])*(表成绩单[政治]&lt;9E+307)*(表成绩单[政治]&gt;表成绩单[[#This Row],[政治]]))+1)</f>
        <v>689</v>
      </c>
      <c r="V1480" s="29" cm="1">
        <f t="array" ref="V1480">IF(表成绩单[[#This Row],[历史]]="","",SUMPRODUCT((表成绩单[考试日期]=表成绩单[[#This Row],[考试日期]])*(表成绩单[历史]&lt;9E+307)*(表成绩单[历史]&gt;表成绩单[[#This Row],[历史]]))+1)</f>
        <v>717</v>
      </c>
      <c r="W1480" s="29" cm="1">
        <f t="array" ref="W1480">IF(表成绩单[[#This Row],[总分]]="","",SUMPRODUCT((表成绩单[考试日期]=表成绩单[[#This Row],[考试日期]])*(表成绩单[总分]&lt;9E+307)*(表成绩单[总分]&gt;表成绩单[[#This Row],[总分]]))+1)</f>
        <v>676</v>
      </c>
    </row>
    <row r="1481" ht="28" customHeight="1" spans="4:23">
      <c r="D1481" s="31">
        <v>46003</v>
      </c>
      <c r="E1481" s="29">
        <v>19172635</v>
      </c>
      <c r="F1481" s="29" t="s">
        <v>60</v>
      </c>
      <c r="G1481" s="29" t="s">
        <v>809</v>
      </c>
      <c r="H1481" s="29">
        <v>85</v>
      </c>
      <c r="I1481" s="29">
        <v>31</v>
      </c>
      <c r="J1481" s="29">
        <v>42.5</v>
      </c>
      <c r="K1481" s="29">
        <v>29</v>
      </c>
      <c r="L1481" s="29">
        <v>51</v>
      </c>
      <c r="M1481" s="29">
        <v>48</v>
      </c>
      <c r="N1481" s="29">
        <v>46</v>
      </c>
      <c r="O1481" s="32">
        <v>332.5</v>
      </c>
      <c r="P1481" s="29" cm="1">
        <f t="array" ref="P1481">IF(表成绩单[[#This Row],[语文]]="","",SUMPRODUCT((表成绩单[考试日期]=表成绩单[[#This Row],[考试日期]])*(表成绩单[语文]&lt;9E+307)*(表成绩单[语文]&gt;表成绩单[[#This Row],[语文]]))+1)</f>
        <v>634</v>
      </c>
      <c r="Q1481" s="29" cm="1">
        <f t="array" ref="Q1481">IF(表成绩单[[#This Row],[数学]]="","",SUMPRODUCT((表成绩单[考试日期]=表成绩单[[#This Row],[考试日期]])*(表成绩单[数学]&lt;9E+307)*(表成绩单[数学]&gt;表成绩单[[#This Row],[数学]]))+1)</f>
        <v>672</v>
      </c>
      <c r="R1481" s="29" cm="1">
        <f t="array" ref="R1481">IF(表成绩单[[#This Row],[英语]]="","",SUMPRODUCT((表成绩单[考试日期]=表成绩单[[#This Row],[考试日期]])*(表成绩单[英语]&lt;9E+307)*(表成绩单[英语]&gt;表成绩单[[#This Row],[英语]]))+1)</f>
        <v>640</v>
      </c>
      <c r="S1481" s="29" cm="1">
        <f t="array" ref="S1481">IF(表成绩单[[#This Row],[物理]]="","",SUMPRODUCT((表成绩单[考试日期]=表成绩单[[#This Row],[考试日期]])*(表成绩单[物理]&lt;9E+307)*(表成绩单[物理]&gt;表成绩单[[#This Row],[物理]]))+1)</f>
        <v>703</v>
      </c>
      <c r="T1481" s="29" cm="1">
        <f t="array" ref="T1481">IF(表成绩单[[#This Row],[化学]]="","",SUMPRODUCT((表成绩单[考试日期]=表成绩单[[#This Row],[考试日期]])*(表成绩单[化学]&lt;9E+307)*(表成绩单[化学]&gt;表成绩单[[#This Row],[化学]]))+1)</f>
        <v>643</v>
      </c>
      <c r="U1481" s="29" cm="1">
        <f t="array" ref="U1481">IF(表成绩单[[#This Row],[政治]]="","",SUMPRODUCT((表成绩单[考试日期]=表成绩单[[#This Row],[考试日期]])*(表成绩单[政治]&lt;9E+307)*(表成绩单[政治]&gt;表成绩单[[#This Row],[政治]]))+1)</f>
        <v>612</v>
      </c>
      <c r="V1481" s="29" cm="1">
        <f t="array" ref="V1481">IF(表成绩单[[#This Row],[历史]]="","",SUMPRODUCT((表成绩单[考试日期]=表成绩单[[#This Row],[考试日期]])*(表成绩单[历史]&lt;9E+307)*(表成绩单[历史]&gt;表成绩单[[#This Row],[历史]]))+1)</f>
        <v>715</v>
      </c>
      <c r="W1481" s="29" cm="1">
        <f t="array" ref="W1481">IF(表成绩单[[#This Row],[总分]]="","",SUMPRODUCT((表成绩单[考试日期]=表成绩单[[#This Row],[考试日期]])*(表成绩单[总分]&lt;9E+307)*(表成绩单[总分]&gt;表成绩单[[#This Row],[总分]]))+1)</f>
        <v>677</v>
      </c>
    </row>
    <row r="1482" ht="28" customHeight="1" spans="4:23">
      <c r="D1482" s="31">
        <v>46003</v>
      </c>
      <c r="E1482" s="29">
        <v>19175310</v>
      </c>
      <c r="F1482" s="29" t="s">
        <v>55</v>
      </c>
      <c r="G1482" s="29" t="s">
        <v>798</v>
      </c>
      <c r="H1482" s="29">
        <v>86</v>
      </c>
      <c r="I1482" s="29">
        <v>29</v>
      </c>
      <c r="J1482" s="29">
        <v>38.5</v>
      </c>
      <c r="K1482" s="29">
        <v>39</v>
      </c>
      <c r="L1482" s="29">
        <v>44</v>
      </c>
      <c r="M1482" s="29">
        <v>35</v>
      </c>
      <c r="N1482" s="29">
        <v>60</v>
      </c>
      <c r="O1482" s="32">
        <v>331.5</v>
      </c>
      <c r="P1482" s="29" cm="1">
        <f t="array" ref="P1482">IF(表成绩单[[#This Row],[语文]]="","",SUMPRODUCT((表成绩单[考试日期]=表成绩单[[#This Row],[考试日期]])*(表成绩单[语文]&lt;9E+307)*(表成绩单[语文]&gt;表成绩单[[#This Row],[语文]]))+1)</f>
        <v>626</v>
      </c>
      <c r="Q1482" s="29" cm="1">
        <f t="array" ref="Q1482">IF(表成绩单[[#This Row],[数学]]="","",SUMPRODUCT((表成绩单[考试日期]=表成绩单[[#This Row],[考试日期]])*(表成绩单[数学]&lt;9E+307)*(表成绩单[数学]&gt;表成绩单[[#This Row],[数学]]))+1)</f>
        <v>681</v>
      </c>
      <c r="R1482" s="29" cm="1">
        <f t="array" ref="R1482">IF(表成绩单[[#This Row],[英语]]="","",SUMPRODUCT((表成绩单[考试日期]=表成绩单[[#This Row],[考试日期]])*(表成绩单[英语]&lt;9E+307)*(表成绩单[英语]&gt;表成绩单[[#This Row],[英语]]))+1)</f>
        <v>659</v>
      </c>
      <c r="S1482" s="29" cm="1">
        <f t="array" ref="S1482">IF(表成绩单[[#This Row],[物理]]="","",SUMPRODUCT((表成绩单[考试日期]=表成绩单[[#This Row],[考试日期]])*(表成绩单[物理]&lt;9E+307)*(表成绩单[物理]&gt;表成绩单[[#This Row],[物理]]))+1)</f>
        <v>684</v>
      </c>
      <c r="T1482" s="29" cm="1">
        <f t="array" ref="T1482">IF(表成绩单[[#This Row],[化学]]="","",SUMPRODUCT((表成绩单[考试日期]=表成绩单[[#This Row],[考试日期]])*(表成绩单[化学]&lt;9E+307)*(表成绩单[化学]&gt;表成绩单[[#This Row],[化学]]))+1)</f>
        <v>684</v>
      </c>
      <c r="U1482" s="29" cm="1">
        <f t="array" ref="U1482">IF(表成绩单[[#This Row],[政治]]="","",SUMPRODUCT((表成绩单[考试日期]=表成绩单[[#This Row],[考试日期]])*(表成绩单[政治]&lt;9E+307)*(表成绩单[政治]&gt;表成绩单[[#This Row],[政治]]))+1)</f>
        <v>711</v>
      </c>
      <c r="V1482" s="29" cm="1">
        <f t="array" ref="V1482">IF(表成绩单[[#This Row],[历史]]="","",SUMPRODUCT((表成绩单[考试日期]=表成绩单[[#This Row],[考试日期]])*(表成绩单[历史]&lt;9E+307)*(表成绩单[历史]&gt;表成绩单[[#This Row],[历史]]))+1)</f>
        <v>633</v>
      </c>
      <c r="W1482" s="29" cm="1">
        <f t="array" ref="W1482">IF(表成绩单[[#This Row],[总分]]="","",SUMPRODUCT((表成绩单[考试日期]=表成绩单[[#This Row],[考试日期]])*(表成绩单[总分]&lt;9E+307)*(表成绩单[总分]&gt;表成绩单[[#This Row],[总分]]))+1)</f>
        <v>678</v>
      </c>
    </row>
    <row r="1483" ht="28" customHeight="1" spans="4:23">
      <c r="D1483" s="31">
        <v>46003</v>
      </c>
      <c r="E1483" s="29">
        <v>19177631</v>
      </c>
      <c r="F1483" s="29" t="s">
        <v>58</v>
      </c>
      <c r="G1483" s="29" t="s">
        <v>790</v>
      </c>
      <c r="H1483" s="29">
        <v>75</v>
      </c>
      <c r="I1483" s="29">
        <v>42</v>
      </c>
      <c r="J1483" s="29">
        <v>45.5</v>
      </c>
      <c r="K1483" s="29">
        <v>39</v>
      </c>
      <c r="L1483" s="29">
        <v>32</v>
      </c>
      <c r="M1483" s="29">
        <v>36</v>
      </c>
      <c r="N1483" s="29">
        <v>60</v>
      </c>
      <c r="O1483" s="32">
        <v>329.5</v>
      </c>
      <c r="P1483" s="29" cm="1">
        <f t="array" ref="P1483">IF(表成绩单[[#This Row],[语文]]="","",SUMPRODUCT((表成绩单[考试日期]=表成绩单[[#This Row],[考试日期]])*(表成绩单[语文]&lt;9E+307)*(表成绩单[语文]&gt;表成绩单[[#This Row],[语文]]))+1)</f>
        <v>688</v>
      </c>
      <c r="Q1483" s="29" cm="1">
        <f t="array" ref="Q1483">IF(表成绩单[[#This Row],[数学]]="","",SUMPRODUCT((表成绩单[考试日期]=表成绩单[[#This Row],[考试日期]])*(表成绩单[数学]&lt;9E+307)*(表成绩单[数学]&gt;表成绩单[[#This Row],[数学]]))+1)</f>
        <v>625</v>
      </c>
      <c r="R1483" s="29" cm="1">
        <f t="array" ref="R1483">IF(表成绩单[[#This Row],[英语]]="","",SUMPRODUCT((表成绩单[考试日期]=表成绩单[[#This Row],[考试日期]])*(表成绩单[英语]&lt;9E+307)*(表成绩单[英语]&gt;表成绩单[[#This Row],[英语]]))+1)</f>
        <v>629</v>
      </c>
      <c r="S1483" s="29" cm="1">
        <f t="array" ref="S1483">IF(表成绩单[[#This Row],[物理]]="","",SUMPRODUCT((表成绩单[考试日期]=表成绩单[[#This Row],[考试日期]])*(表成绩单[物理]&lt;9E+307)*(表成绩单[物理]&gt;表成绩单[[#This Row],[物理]]))+1)</f>
        <v>684</v>
      </c>
      <c r="T1483" s="29" cm="1">
        <f t="array" ref="T1483">IF(表成绩单[[#This Row],[化学]]="","",SUMPRODUCT((表成绩单[考试日期]=表成绩单[[#This Row],[考试日期]])*(表成绩单[化学]&lt;9E+307)*(表成绩单[化学]&gt;表成绩单[[#This Row],[化学]]))+1)</f>
        <v>723</v>
      </c>
      <c r="U1483" s="29" cm="1">
        <f t="array" ref="U1483">IF(表成绩单[[#This Row],[政治]]="","",SUMPRODUCT((表成绩单[考试日期]=表成绩单[[#This Row],[考试日期]])*(表成绩单[政治]&lt;9E+307)*(表成绩单[政治]&gt;表成绩单[[#This Row],[政治]]))+1)</f>
        <v>705</v>
      </c>
      <c r="V1483" s="29" cm="1">
        <f t="array" ref="V1483">IF(表成绩单[[#This Row],[历史]]="","",SUMPRODUCT((表成绩单[考试日期]=表成绩单[[#This Row],[考试日期]])*(表成绩单[历史]&lt;9E+307)*(表成绩单[历史]&gt;表成绩单[[#This Row],[历史]]))+1)</f>
        <v>633</v>
      </c>
      <c r="W1483" s="29" cm="1">
        <f t="array" ref="W1483">IF(表成绩单[[#This Row],[总分]]="","",SUMPRODUCT((表成绩单[考试日期]=表成绩单[[#This Row],[考试日期]])*(表成绩单[总分]&lt;9E+307)*(表成绩单[总分]&gt;表成绩单[[#This Row],[总分]]))+1)</f>
        <v>679</v>
      </c>
    </row>
    <row r="1484" ht="28" customHeight="1" spans="4:23">
      <c r="D1484" s="31">
        <v>46003</v>
      </c>
      <c r="E1484" s="29">
        <v>19176017</v>
      </c>
      <c r="F1484" s="29" t="s">
        <v>59</v>
      </c>
      <c r="G1484" s="29" t="s">
        <v>802</v>
      </c>
      <c r="H1484" s="29">
        <v>79</v>
      </c>
      <c r="I1484" s="29">
        <v>39</v>
      </c>
      <c r="J1484" s="29">
        <v>30.5</v>
      </c>
      <c r="K1484" s="29">
        <v>37</v>
      </c>
      <c r="L1484" s="29">
        <v>51</v>
      </c>
      <c r="M1484" s="29">
        <v>38</v>
      </c>
      <c r="N1484" s="29">
        <v>54</v>
      </c>
      <c r="O1484" s="32">
        <v>328.5</v>
      </c>
      <c r="P1484" s="29" cm="1">
        <f t="array" ref="P1484">IF(表成绩单[[#This Row],[语文]]="","",SUMPRODUCT((表成绩单[考试日期]=表成绩单[[#This Row],[考试日期]])*(表成绩单[语文]&lt;9E+307)*(表成绩单[语文]&gt;表成绩单[[#This Row],[语文]]))+1)</f>
        <v>675</v>
      </c>
      <c r="Q1484" s="29" cm="1">
        <f t="array" ref="Q1484">IF(表成绩单[[#This Row],[数学]]="","",SUMPRODUCT((表成绩单[考试日期]=表成绩单[[#This Row],[考试日期]])*(表成绩单[数学]&lt;9E+307)*(表成绩单[数学]&gt;表成绩单[[#This Row],[数学]]))+1)</f>
        <v>639</v>
      </c>
      <c r="R1484" s="29" cm="1">
        <f t="array" ref="R1484">IF(表成绩单[[#This Row],[英语]]="","",SUMPRODUCT((表成绩单[考试日期]=表成绩单[[#This Row],[考试日期]])*(表成绩单[英语]&lt;9E+307)*(表成绩单[英语]&gt;表成绩单[[#This Row],[英语]]))+1)</f>
        <v>687</v>
      </c>
      <c r="S1484" s="29" cm="1">
        <f t="array" ref="S1484">IF(表成绩单[[#This Row],[物理]]="","",SUMPRODUCT((表成绩单[考试日期]=表成绩单[[#This Row],[考试日期]])*(表成绩单[物理]&lt;9E+307)*(表成绩单[物理]&gt;表成绩单[[#This Row],[物理]]))+1)</f>
        <v>691</v>
      </c>
      <c r="T1484" s="29" cm="1">
        <f t="array" ref="T1484">IF(表成绩单[[#This Row],[化学]]="","",SUMPRODUCT((表成绩单[考试日期]=表成绩单[[#This Row],[考试日期]])*(表成绩单[化学]&lt;9E+307)*(表成绩单[化学]&gt;表成绩单[[#This Row],[化学]]))+1)</f>
        <v>643</v>
      </c>
      <c r="U1484" s="29" cm="1">
        <f t="array" ref="U1484">IF(表成绩单[[#This Row],[政治]]="","",SUMPRODUCT((表成绩单[考试日期]=表成绩单[[#This Row],[考试日期]])*(表成绩单[政治]&lt;9E+307)*(表成绩单[政治]&gt;表成绩单[[#This Row],[政治]]))+1)</f>
        <v>689</v>
      </c>
      <c r="V1484" s="29" cm="1">
        <f t="array" ref="V1484">IF(表成绩单[[#This Row],[历史]]="","",SUMPRODUCT((表成绩单[考试日期]=表成绩单[[#This Row],[考试日期]])*(表成绩单[历史]&lt;9E+307)*(表成绩单[历史]&gt;表成绩单[[#This Row],[历史]]))+1)</f>
        <v>679</v>
      </c>
      <c r="W1484" s="29" cm="1">
        <f t="array" ref="W1484">IF(表成绩单[[#This Row],[总分]]="","",SUMPRODUCT((表成绩单[考试日期]=表成绩单[[#This Row],[考试日期]])*(表成绩单[总分]&lt;9E+307)*(表成绩单[总分]&gt;表成绩单[[#This Row],[总分]]))+1)</f>
        <v>680</v>
      </c>
    </row>
    <row r="1485" ht="28" customHeight="1" spans="4:23">
      <c r="D1485" s="31">
        <v>46003</v>
      </c>
      <c r="E1485" s="29">
        <v>19173768</v>
      </c>
      <c r="F1485" s="29" t="s">
        <v>65</v>
      </c>
      <c r="G1485" s="29" t="s">
        <v>835</v>
      </c>
      <c r="H1485" s="29">
        <v>82</v>
      </c>
      <c r="I1485" s="29">
        <v>16</v>
      </c>
      <c r="J1485" s="29">
        <v>47</v>
      </c>
      <c r="K1485" s="29">
        <v>39</v>
      </c>
      <c r="L1485" s="29">
        <v>25</v>
      </c>
      <c r="M1485" s="29">
        <v>45</v>
      </c>
      <c r="N1485" s="29">
        <v>73</v>
      </c>
      <c r="O1485" s="32">
        <v>327</v>
      </c>
      <c r="P1485" s="29" cm="1">
        <f t="array" ref="P1485">IF(表成绩单[[#This Row],[语文]]="","",SUMPRODUCT((表成绩单[考试日期]=表成绩单[[#This Row],[考试日期]])*(表成绩单[语文]&lt;9E+307)*(表成绩单[语文]&gt;表成绩单[[#This Row],[语文]]))+1)</f>
        <v>657</v>
      </c>
      <c r="Q1485" s="29" cm="1">
        <f t="array" ref="Q1485">IF(表成绩单[[#This Row],[数学]]="","",SUMPRODUCT((表成绩单[考试日期]=表成绩单[[#This Row],[考试日期]])*(表成绩单[数学]&lt;9E+307)*(表成绩单[数学]&gt;表成绩单[[#This Row],[数学]]))+1)</f>
        <v>715</v>
      </c>
      <c r="R1485" s="29" cm="1">
        <f t="array" ref="R1485">IF(表成绩单[[#This Row],[英语]]="","",SUMPRODUCT((表成绩单[考试日期]=表成绩单[[#This Row],[考试日期]])*(表成绩单[英语]&lt;9E+307)*(表成绩单[英语]&gt;表成绩单[[#This Row],[英语]]))+1)</f>
        <v>618</v>
      </c>
      <c r="S1485" s="29" cm="1">
        <f t="array" ref="S1485">IF(表成绩单[[#This Row],[物理]]="","",SUMPRODUCT((表成绩单[考试日期]=表成绩单[[#This Row],[考试日期]])*(表成绩单[物理]&lt;9E+307)*(表成绩单[物理]&gt;表成绩单[[#This Row],[物理]]))+1)</f>
        <v>684</v>
      </c>
      <c r="T1485" s="29" cm="1">
        <f t="array" ref="T1485">IF(表成绩单[[#This Row],[化学]]="","",SUMPRODUCT((表成绩单[考试日期]=表成绩单[[#This Row],[考试日期]])*(表成绩单[化学]&lt;9E+307)*(表成绩单[化学]&gt;表成绩单[[#This Row],[化学]]))+1)</f>
        <v>729</v>
      </c>
      <c r="U1485" s="29" cm="1">
        <f t="array" ref="U1485">IF(表成绩单[[#This Row],[政治]]="","",SUMPRODUCT((表成绩单[考试日期]=表成绩单[[#This Row],[考试日期]])*(表成绩单[政治]&lt;9E+307)*(表成绩单[政治]&gt;表成绩单[[#This Row],[政治]]))+1)</f>
        <v>638</v>
      </c>
      <c r="V1485" s="29" cm="1">
        <f t="array" ref="V1485">IF(表成绩单[[#This Row],[历史]]="","",SUMPRODUCT((表成绩单[考试日期]=表成绩单[[#This Row],[考试日期]])*(表成绩单[历史]&lt;9E+307)*(表成绩单[历史]&gt;表成绩单[[#This Row],[历史]]))+1)</f>
        <v>403</v>
      </c>
      <c r="W1485" s="29" cm="1">
        <f t="array" ref="W1485">IF(表成绩单[[#This Row],[总分]]="","",SUMPRODUCT((表成绩单[考试日期]=表成绩单[[#This Row],[考试日期]])*(表成绩单[总分]&lt;9E+307)*(表成绩单[总分]&gt;表成绩单[[#This Row],[总分]]))+1)</f>
        <v>681</v>
      </c>
    </row>
    <row r="1486" ht="28" customHeight="1" spans="4:23">
      <c r="D1486" s="31">
        <v>46003</v>
      </c>
      <c r="E1486" s="29">
        <v>19176013</v>
      </c>
      <c r="F1486" s="29" t="s">
        <v>59</v>
      </c>
      <c r="G1486" s="29" t="s">
        <v>840</v>
      </c>
      <c r="H1486" s="29">
        <v>70</v>
      </c>
      <c r="I1486" s="29">
        <v>43</v>
      </c>
      <c r="J1486" s="29">
        <v>19</v>
      </c>
      <c r="K1486" s="29">
        <v>49</v>
      </c>
      <c r="L1486" s="29">
        <v>65</v>
      </c>
      <c r="M1486" s="29">
        <v>34</v>
      </c>
      <c r="N1486" s="29">
        <v>47</v>
      </c>
      <c r="O1486" s="32">
        <v>327</v>
      </c>
      <c r="P1486" s="29" cm="1">
        <f t="array" ref="P1486">IF(表成绩单[[#This Row],[语文]]="","",SUMPRODUCT((表成绩单[考试日期]=表成绩单[[#This Row],[考试日期]])*(表成绩单[语文]&lt;9E+307)*(表成绩单[语文]&gt;表成绩单[[#This Row],[语文]]))+1)</f>
        <v>699</v>
      </c>
      <c r="Q1486" s="29" cm="1">
        <f t="array" ref="Q1486">IF(表成绩单[[#This Row],[数学]]="","",SUMPRODUCT((表成绩单[考试日期]=表成绩单[[#This Row],[考试日期]])*(表成绩单[数学]&lt;9E+307)*(表成绩单[数学]&gt;表成绩单[[#This Row],[数学]]))+1)</f>
        <v>622</v>
      </c>
      <c r="R1486" s="29" cm="1">
        <f t="array" ref="R1486">IF(表成绩单[[#This Row],[英语]]="","",SUMPRODUCT((表成绩单[考试日期]=表成绩单[[#This Row],[考试日期]])*(表成绩单[英语]&lt;9E+307)*(表成绩单[英语]&gt;表成绩单[[#This Row],[英语]]))+1)</f>
        <v>725</v>
      </c>
      <c r="S1486" s="29" cm="1">
        <f t="array" ref="S1486">IF(表成绩单[[#This Row],[物理]]="","",SUMPRODUCT((表成绩单[考试日期]=表成绩单[[#This Row],[考试日期]])*(表成绩单[物理]&lt;9E+307)*(表成绩单[物理]&gt;表成绩单[[#This Row],[物理]]))+1)</f>
        <v>639</v>
      </c>
      <c r="T1486" s="29" cm="1">
        <f t="array" ref="T1486">IF(表成绩单[[#This Row],[化学]]="","",SUMPRODUCT((表成绩单[考试日期]=表成绩单[[#This Row],[考试日期]])*(表成绩单[化学]&lt;9E+307)*(表成绩单[化学]&gt;表成绩单[[#This Row],[化学]]))+1)</f>
        <v>543</v>
      </c>
      <c r="U1486" s="29" cm="1">
        <f t="array" ref="U1486">IF(表成绩单[[#This Row],[政治]]="","",SUMPRODUCT((表成绩单[考试日期]=表成绩单[[#This Row],[考试日期]])*(表成绩单[政治]&lt;9E+307)*(表成绩单[政治]&gt;表成绩单[[#This Row],[政治]]))+1)</f>
        <v>713</v>
      </c>
      <c r="V1486" s="29" cm="1">
        <f t="array" ref="V1486">IF(表成绩单[[#This Row],[历史]]="","",SUMPRODUCT((表成绩单[考试日期]=表成绩单[[#This Row],[考试日期]])*(表成绩单[历史]&lt;9E+307)*(表成绩单[历史]&gt;表成绩单[[#This Row],[历史]]))+1)</f>
        <v>710</v>
      </c>
      <c r="W1486" s="29" cm="1">
        <f t="array" ref="W1486">IF(表成绩单[[#This Row],[总分]]="","",SUMPRODUCT((表成绩单[考试日期]=表成绩单[[#This Row],[考试日期]])*(表成绩单[总分]&lt;9E+307)*(表成绩单[总分]&gt;表成绩单[[#This Row],[总分]]))+1)</f>
        <v>681</v>
      </c>
    </row>
    <row r="1487" ht="28" customHeight="1" spans="4:23">
      <c r="D1487" s="31">
        <v>46003</v>
      </c>
      <c r="E1487" s="29">
        <v>19175296</v>
      </c>
      <c r="F1487" s="29" t="s">
        <v>55</v>
      </c>
      <c r="G1487" s="29" t="s">
        <v>815</v>
      </c>
      <c r="H1487" s="29">
        <v>74</v>
      </c>
      <c r="I1487" s="29">
        <v>58</v>
      </c>
      <c r="J1487" s="29">
        <v>12</v>
      </c>
      <c r="K1487" s="29">
        <v>44</v>
      </c>
      <c r="L1487" s="29">
        <v>40</v>
      </c>
      <c r="M1487" s="29">
        <v>43</v>
      </c>
      <c r="N1487" s="29">
        <v>54</v>
      </c>
      <c r="O1487" s="32">
        <v>325</v>
      </c>
      <c r="P1487" s="29" cm="1">
        <f t="array" ref="P1487">IF(表成绩单[[#This Row],[语文]]="","",SUMPRODUCT((表成绩单[考试日期]=表成绩单[[#This Row],[考试日期]])*(表成绩单[语文]&lt;9E+307)*(表成绩单[语文]&gt;表成绩单[[#This Row],[语文]]))+1)</f>
        <v>690</v>
      </c>
      <c r="Q1487" s="29" cm="1">
        <f t="array" ref="Q1487">IF(表成绩单[[#This Row],[数学]]="","",SUMPRODUCT((表成绩单[考试日期]=表成绩单[[#This Row],[考试日期]])*(表成绩单[数学]&lt;9E+307)*(表成绩单[数学]&gt;表成绩单[[#This Row],[数学]]))+1)</f>
        <v>531</v>
      </c>
      <c r="R1487" s="29" cm="1">
        <f t="array" ref="R1487">IF(表成绩单[[#This Row],[英语]]="","",SUMPRODUCT((表成绩单[考试日期]=表成绩单[[#This Row],[考试日期]])*(表成绩单[英语]&lt;9E+307)*(表成绩单[英语]&gt;表成绩单[[#This Row],[英语]]))+1)</f>
        <v>733</v>
      </c>
      <c r="S1487" s="29" cm="1">
        <f t="array" ref="S1487">IF(表成绩单[[#This Row],[物理]]="","",SUMPRODUCT((表成绩单[考试日期]=表成绩单[[#This Row],[考试日期]])*(表成绩单[物理]&lt;9E+307)*(表成绩单[物理]&gt;表成绩单[[#This Row],[物理]]))+1)</f>
        <v>655</v>
      </c>
      <c r="T1487" s="29" cm="1">
        <f t="array" ref="T1487">IF(表成绩单[[#This Row],[化学]]="","",SUMPRODUCT((表成绩单[考试日期]=表成绩单[[#This Row],[考试日期]])*(表成绩单[化学]&lt;9E+307)*(表成绩单[化学]&gt;表成绩单[[#This Row],[化学]]))+1)</f>
        <v>705</v>
      </c>
      <c r="U1487" s="29" cm="1">
        <f t="array" ref="U1487">IF(表成绩单[[#This Row],[政治]]="","",SUMPRODUCT((表成绩单[考试日期]=表成绩单[[#This Row],[考试日期]])*(表成绩单[政治]&lt;9E+307)*(表成绩单[政治]&gt;表成绩单[[#This Row],[政治]]))+1)</f>
        <v>660</v>
      </c>
      <c r="V1487" s="29" cm="1">
        <f t="array" ref="V1487">IF(表成绩单[[#This Row],[历史]]="","",SUMPRODUCT((表成绩单[考试日期]=表成绩单[[#This Row],[考试日期]])*(表成绩单[历史]&lt;9E+307)*(表成绩单[历史]&gt;表成绩单[[#This Row],[历史]]))+1)</f>
        <v>679</v>
      </c>
      <c r="W1487" s="29" cm="1">
        <f t="array" ref="W1487">IF(表成绩单[[#This Row],[总分]]="","",SUMPRODUCT((表成绩单[考试日期]=表成绩单[[#This Row],[考试日期]])*(表成绩单[总分]&lt;9E+307)*(表成绩单[总分]&gt;表成绩单[[#This Row],[总分]]))+1)</f>
        <v>683</v>
      </c>
    </row>
    <row r="1488" ht="28" customHeight="1" spans="4:23">
      <c r="D1488" s="31">
        <v>46003</v>
      </c>
      <c r="E1488" s="29">
        <v>19172622</v>
      </c>
      <c r="F1488" s="29" t="s">
        <v>60</v>
      </c>
      <c r="G1488" s="29" t="s">
        <v>834</v>
      </c>
      <c r="H1488" s="29">
        <v>53</v>
      </c>
      <c r="I1488" s="29">
        <v>49</v>
      </c>
      <c r="J1488" s="29">
        <v>26.5</v>
      </c>
      <c r="K1488" s="29">
        <v>51</v>
      </c>
      <c r="L1488" s="29">
        <v>44</v>
      </c>
      <c r="M1488" s="29">
        <v>44</v>
      </c>
      <c r="N1488" s="29">
        <v>57</v>
      </c>
      <c r="O1488" s="32">
        <v>324.5</v>
      </c>
      <c r="P1488" s="29" cm="1">
        <f t="array" ref="P1488">IF(表成绩单[[#This Row],[语文]]="","",SUMPRODUCT((表成绩单[考试日期]=表成绩单[[#This Row],[考试日期]])*(表成绩单[语文]&lt;9E+307)*(表成绩单[语文]&gt;表成绩单[[#This Row],[语文]]))+1)</f>
        <v>726</v>
      </c>
      <c r="Q1488" s="29" cm="1">
        <f t="array" ref="Q1488">IF(表成绩单[[#This Row],[数学]]="","",SUMPRODUCT((表成绩单[考试日期]=表成绩单[[#This Row],[考试日期]])*(表成绩单[数学]&lt;9E+307)*(表成绩单[数学]&gt;表成绩单[[#This Row],[数学]]))+1)</f>
        <v>587</v>
      </c>
      <c r="R1488" s="29" cm="1">
        <f t="array" ref="R1488">IF(表成绩单[[#This Row],[英语]]="","",SUMPRODUCT((表成绩单[考试日期]=表成绩单[[#This Row],[考试日期]])*(表成绩单[英语]&lt;9E+307)*(表成绩单[英语]&gt;表成绩单[[#This Row],[英语]]))+1)</f>
        <v>699</v>
      </c>
      <c r="S1488" s="29" cm="1">
        <f t="array" ref="S1488">IF(表成绩单[[#This Row],[物理]]="","",SUMPRODUCT((表成绩单[考试日期]=表成绩单[[#This Row],[考试日期]])*(表成绩单[物理]&lt;9E+307)*(表成绩单[物理]&gt;表成绩单[[#This Row],[物理]]))+1)</f>
        <v>630</v>
      </c>
      <c r="T1488" s="29" cm="1">
        <f t="array" ref="T1488">IF(表成绩单[[#This Row],[化学]]="","",SUMPRODUCT((表成绩单[考试日期]=表成绩单[[#This Row],[考试日期]])*(表成绩单[化学]&lt;9E+307)*(表成绩单[化学]&gt;表成绩单[[#This Row],[化学]]))+1)</f>
        <v>684</v>
      </c>
      <c r="U1488" s="29" cm="1">
        <f t="array" ref="U1488">IF(表成绩单[[#This Row],[政治]]="","",SUMPRODUCT((表成绩单[考试日期]=表成绩单[[#This Row],[考试日期]])*(表成绩单[政治]&lt;9E+307)*(表成绩单[政治]&gt;表成绩单[[#This Row],[政治]]))+1)</f>
        <v>651</v>
      </c>
      <c r="V1488" s="29" cm="1">
        <f t="array" ref="V1488">IF(表成绩单[[#This Row],[历史]]="","",SUMPRODUCT((表成绩单[考试日期]=表成绩单[[#This Row],[考试日期]])*(表成绩单[历史]&lt;9E+307)*(表成绩单[历史]&gt;表成绩单[[#This Row],[历史]]))+1)</f>
        <v>658</v>
      </c>
      <c r="W1488" s="29" cm="1">
        <f t="array" ref="W1488">IF(表成绩单[[#This Row],[总分]]="","",SUMPRODUCT((表成绩单[考试日期]=表成绩单[[#This Row],[考试日期]])*(表成绩单[总分]&lt;9E+307)*(表成绩单[总分]&gt;表成绩单[[#This Row],[总分]]))+1)</f>
        <v>684</v>
      </c>
    </row>
    <row r="1489" ht="28" customHeight="1" spans="4:23">
      <c r="D1489" s="31">
        <v>46003</v>
      </c>
      <c r="E1489" s="29">
        <v>19177618</v>
      </c>
      <c r="F1489" s="29" t="s">
        <v>58</v>
      </c>
      <c r="G1489" s="29" t="s">
        <v>774</v>
      </c>
      <c r="H1489" s="29">
        <v>82</v>
      </c>
      <c r="I1489" s="29">
        <v>47</v>
      </c>
      <c r="J1489" s="29">
        <v>41</v>
      </c>
      <c r="K1489" s="29">
        <v>51</v>
      </c>
      <c r="L1489" s="29">
        <v>33</v>
      </c>
      <c r="M1489" s="29">
        <v>30</v>
      </c>
      <c r="N1489" s="29">
        <v>40</v>
      </c>
      <c r="O1489" s="32">
        <v>324</v>
      </c>
      <c r="P1489" s="29" cm="1">
        <f t="array" ref="P1489">IF(表成绩单[[#This Row],[语文]]="","",SUMPRODUCT((表成绩单[考试日期]=表成绩单[[#This Row],[考试日期]])*(表成绩单[语文]&lt;9E+307)*(表成绩单[语文]&gt;表成绩单[[#This Row],[语文]]))+1)</f>
        <v>657</v>
      </c>
      <c r="Q1489" s="29" cm="1">
        <f t="array" ref="Q1489">IF(表成绩单[[#This Row],[数学]]="","",SUMPRODUCT((表成绩单[考试日期]=表成绩单[[#This Row],[考试日期]])*(表成绩单[数学]&lt;9E+307)*(表成绩单[数学]&gt;表成绩单[[#This Row],[数学]]))+1)</f>
        <v>601</v>
      </c>
      <c r="R1489" s="29" cm="1">
        <f t="array" ref="R1489">IF(表成绩单[[#This Row],[英语]]="","",SUMPRODUCT((表成绩单[考试日期]=表成绩单[[#This Row],[考试日期]])*(表成绩单[英语]&lt;9E+307)*(表成绩单[英语]&gt;表成绩单[[#This Row],[英语]]))+1)</f>
        <v>647</v>
      </c>
      <c r="S1489" s="29" cm="1">
        <f t="array" ref="S1489">IF(表成绩单[[#This Row],[物理]]="","",SUMPRODUCT((表成绩单[考试日期]=表成绩单[[#This Row],[考试日期]])*(表成绩单[物理]&lt;9E+307)*(表成绩单[物理]&gt;表成绩单[[#This Row],[物理]]))+1)</f>
        <v>630</v>
      </c>
      <c r="T1489" s="29" cm="1">
        <f t="array" ref="T1489">IF(表成绩单[[#This Row],[化学]]="","",SUMPRODUCT((表成绩单[考试日期]=表成绩单[[#This Row],[考试日期]])*(表成绩单[化学]&lt;9E+307)*(表成绩单[化学]&gt;表成绩单[[#This Row],[化学]]))+1)</f>
        <v>719</v>
      </c>
      <c r="U1489" s="29" cm="1">
        <f t="array" ref="U1489">IF(表成绩单[[#This Row],[政治]]="","",SUMPRODUCT((表成绩单[考试日期]=表成绩单[[#This Row],[考试日期]])*(表成绩单[政治]&lt;9E+307)*(表成绩单[政治]&gt;表成绩单[[#This Row],[政治]]))+1)</f>
        <v>725</v>
      </c>
      <c r="V1489" s="29" cm="1">
        <f t="array" ref="V1489">IF(表成绩单[[#This Row],[历史]]="","",SUMPRODUCT((表成绩单[考试日期]=表成绩单[[#This Row],[考试日期]])*(表成绩单[历史]&lt;9E+307)*(表成绩单[历史]&gt;表成绩单[[#This Row],[历史]]))+1)</f>
        <v>724</v>
      </c>
      <c r="W1489" s="29" cm="1">
        <f t="array" ref="W1489">IF(表成绩单[[#This Row],[总分]]="","",SUMPRODUCT((表成绩单[考试日期]=表成绩单[[#This Row],[考试日期]])*(表成绩单[总分]&lt;9E+307)*(表成绩单[总分]&gt;表成绩单[[#This Row],[总分]]))+1)</f>
        <v>685</v>
      </c>
    </row>
    <row r="1490" ht="28" customHeight="1" spans="4:23">
      <c r="D1490" s="31">
        <v>46003</v>
      </c>
      <c r="E1490" s="29">
        <v>19175591</v>
      </c>
      <c r="F1490" s="29" t="s">
        <v>57</v>
      </c>
      <c r="G1490" s="29" t="s">
        <v>812</v>
      </c>
      <c r="H1490" s="29">
        <v>84</v>
      </c>
      <c r="I1490" s="29">
        <v>30</v>
      </c>
      <c r="J1490" s="29">
        <v>36</v>
      </c>
      <c r="K1490" s="29">
        <v>28</v>
      </c>
      <c r="L1490" s="29">
        <v>55</v>
      </c>
      <c r="M1490" s="29">
        <v>36</v>
      </c>
      <c r="N1490" s="29">
        <v>54</v>
      </c>
      <c r="O1490" s="32">
        <v>323</v>
      </c>
      <c r="P1490" s="29" cm="1">
        <f t="array" ref="P1490">IF(表成绩单[[#This Row],[语文]]="","",SUMPRODUCT((表成绩单[考试日期]=表成绩单[[#This Row],[考试日期]])*(表成绩单[语文]&lt;9E+307)*(表成绩单[语文]&gt;表成绩单[[#This Row],[语文]]))+1)</f>
        <v>642</v>
      </c>
      <c r="Q1490" s="29" cm="1">
        <f t="array" ref="Q1490">IF(表成绩单[[#This Row],[数学]]="","",SUMPRODUCT((表成绩单[考试日期]=表成绩单[[#This Row],[考试日期]])*(表成绩单[数学]&lt;9E+307)*(表成绩单[数学]&gt;表成绩单[[#This Row],[数学]]))+1)</f>
        <v>676</v>
      </c>
      <c r="R1490" s="29" cm="1">
        <f t="array" ref="R1490">IF(表成绩单[[#This Row],[英语]]="","",SUMPRODUCT((表成绩单[考试日期]=表成绩单[[#This Row],[考试日期]])*(表成绩单[英语]&lt;9E+307)*(表成绩单[英语]&gt;表成绩单[[#This Row],[英语]]))+1)</f>
        <v>664</v>
      </c>
      <c r="S1490" s="29" cm="1">
        <f t="array" ref="S1490">IF(表成绩单[[#This Row],[物理]]="","",SUMPRODUCT((表成绩单[考试日期]=表成绩单[[#This Row],[考试日期]])*(表成绩单[物理]&lt;9E+307)*(表成绩单[物理]&gt;表成绩单[[#This Row],[物理]]))+1)</f>
        <v>707</v>
      </c>
      <c r="T1490" s="29" cm="1">
        <f t="array" ref="T1490">IF(表成绩单[[#This Row],[化学]]="","",SUMPRODUCT((表成绩单[考试日期]=表成绩单[[#This Row],[考试日期]])*(表成绩单[化学]&lt;9E+307)*(表成绩单[化学]&gt;表成绩单[[#This Row],[化学]]))+1)</f>
        <v>624</v>
      </c>
      <c r="U1490" s="29" cm="1">
        <f t="array" ref="U1490">IF(表成绩单[[#This Row],[政治]]="","",SUMPRODUCT((表成绩单[考试日期]=表成绩单[[#This Row],[考试日期]])*(表成绩单[政治]&lt;9E+307)*(表成绩单[政治]&gt;表成绩单[[#This Row],[政治]]))+1)</f>
        <v>705</v>
      </c>
      <c r="V1490" s="29" cm="1">
        <f t="array" ref="V1490">IF(表成绩单[[#This Row],[历史]]="","",SUMPRODUCT((表成绩单[考试日期]=表成绩单[[#This Row],[考试日期]])*(表成绩单[历史]&lt;9E+307)*(表成绩单[历史]&gt;表成绩单[[#This Row],[历史]]))+1)</f>
        <v>679</v>
      </c>
      <c r="W1490" s="29" cm="1">
        <f t="array" ref="W1490">IF(表成绩单[[#This Row],[总分]]="","",SUMPRODUCT((表成绩单[考试日期]=表成绩单[[#This Row],[考试日期]])*(表成绩单[总分]&lt;9E+307)*(表成绩单[总分]&gt;表成绩单[[#This Row],[总分]]))+1)</f>
        <v>686</v>
      </c>
    </row>
    <row r="1491" ht="28" customHeight="1" spans="4:23">
      <c r="D1491" s="31">
        <v>46003</v>
      </c>
      <c r="E1491" s="29">
        <v>19175986</v>
      </c>
      <c r="F1491" s="29" t="s">
        <v>59</v>
      </c>
      <c r="G1491" s="29" t="s">
        <v>782</v>
      </c>
      <c r="H1491" s="29">
        <v>89</v>
      </c>
      <c r="I1491" s="29">
        <v>15</v>
      </c>
      <c r="J1491" s="29">
        <v>24.5</v>
      </c>
      <c r="K1491" s="29">
        <v>19</v>
      </c>
      <c r="L1491" s="29">
        <v>61</v>
      </c>
      <c r="M1491" s="29">
        <v>44</v>
      </c>
      <c r="N1491" s="29">
        <v>64</v>
      </c>
      <c r="O1491" s="32">
        <v>316.5</v>
      </c>
      <c r="P1491" s="29" cm="1">
        <f t="array" ref="P1491">IF(表成绩单[[#This Row],[语文]]="","",SUMPRODUCT((表成绩单[考试日期]=表成绩单[[#This Row],[考试日期]])*(表成绩单[语文]&lt;9E+307)*(表成绩单[语文]&gt;表成绩单[[#This Row],[语文]]))+1)</f>
        <v>598</v>
      </c>
      <c r="Q1491" s="29" cm="1">
        <f t="array" ref="Q1491">IF(表成绩单[[#This Row],[数学]]="","",SUMPRODUCT((表成绩单[考试日期]=表成绩单[[#This Row],[考试日期]])*(表成绩单[数学]&lt;9E+307)*(表成绩单[数学]&gt;表成绩单[[#This Row],[数学]]))+1)</f>
        <v>719</v>
      </c>
      <c r="R1491" s="29" cm="1">
        <f t="array" ref="R1491">IF(表成绩单[[#This Row],[英语]]="","",SUMPRODUCT((表成绩单[考试日期]=表成绩单[[#This Row],[考试日期]])*(表成绩单[英语]&lt;9E+307)*(表成绩单[英语]&gt;表成绩单[[#This Row],[英语]]))+1)</f>
        <v>707</v>
      </c>
      <c r="S1491" s="29" cm="1">
        <f t="array" ref="S1491">IF(表成绩单[[#This Row],[物理]]="","",SUMPRODUCT((表成绩单[考试日期]=表成绩单[[#This Row],[考试日期]])*(表成绩单[物理]&lt;9E+307)*(表成绩单[物理]&gt;表成绩单[[#This Row],[物理]]))+1)</f>
        <v>721</v>
      </c>
      <c r="T1491" s="29" cm="1">
        <f t="array" ref="T1491">IF(表成绩单[[#This Row],[化学]]="","",SUMPRODUCT((表成绩单[考试日期]=表成绩单[[#This Row],[考试日期]])*(表成绩单[化学]&lt;9E+307)*(表成绩单[化学]&gt;表成绩单[[#This Row],[化学]]))+1)</f>
        <v>572</v>
      </c>
      <c r="U1491" s="29" cm="1">
        <f t="array" ref="U1491">IF(表成绩单[[#This Row],[政治]]="","",SUMPRODUCT((表成绩单[考试日期]=表成绩单[[#This Row],[考试日期]])*(表成绩单[政治]&lt;9E+307)*(表成绩单[政治]&gt;表成绩单[[#This Row],[政治]]))+1)</f>
        <v>651</v>
      </c>
      <c r="V1491" s="29" cm="1">
        <f t="array" ref="V1491">IF(表成绩单[[#This Row],[历史]]="","",SUMPRODUCT((表成绩单[考试日期]=表成绩单[[#This Row],[考试日期]])*(表成绩单[历史]&lt;9E+307)*(表成绩单[历史]&gt;表成绩单[[#This Row],[历史]]))+1)</f>
        <v>593</v>
      </c>
      <c r="W1491" s="29" cm="1">
        <f t="array" ref="W1491">IF(表成绩单[[#This Row],[总分]]="","",SUMPRODUCT((表成绩单[考试日期]=表成绩单[[#This Row],[考试日期]])*(表成绩单[总分]&lt;9E+307)*(表成绩单[总分]&gt;表成绩单[[#This Row],[总分]]))+1)</f>
        <v>687</v>
      </c>
    </row>
    <row r="1492" ht="28" customHeight="1" spans="4:23">
      <c r="D1492" s="31">
        <v>46003</v>
      </c>
      <c r="E1492" s="29">
        <v>19173238</v>
      </c>
      <c r="F1492" s="29" t="s">
        <v>61</v>
      </c>
      <c r="G1492" s="29" t="s">
        <v>730</v>
      </c>
      <c r="H1492" s="29">
        <v>39</v>
      </c>
      <c r="I1492" s="29">
        <v>41</v>
      </c>
      <c r="J1492" s="29">
        <v>26</v>
      </c>
      <c r="K1492" s="29">
        <v>45</v>
      </c>
      <c r="L1492" s="29">
        <v>58</v>
      </c>
      <c r="M1492" s="29">
        <v>43</v>
      </c>
      <c r="N1492" s="29">
        <v>64</v>
      </c>
      <c r="O1492" s="32">
        <v>316</v>
      </c>
      <c r="P1492" s="29" cm="1">
        <f t="array" ref="P1492">IF(表成绩单[[#This Row],[语文]]="","",SUMPRODUCT((表成绩单[考试日期]=表成绩单[[#This Row],[考试日期]])*(表成绩单[语文]&lt;9E+307)*(表成绩单[语文]&gt;表成绩单[[#This Row],[语文]]))+1)</f>
        <v>729</v>
      </c>
      <c r="Q1492" s="29" cm="1">
        <f t="array" ref="Q1492">IF(表成绩单[[#This Row],[数学]]="","",SUMPRODUCT((表成绩单[考试日期]=表成绩单[[#This Row],[考试日期]])*(表成绩单[数学]&lt;9E+307)*(表成绩单[数学]&gt;表成绩单[[#This Row],[数学]]))+1)</f>
        <v>629</v>
      </c>
      <c r="R1492" s="29" cm="1">
        <f t="array" ref="R1492">IF(表成绩单[[#This Row],[英语]]="","",SUMPRODUCT((表成绩单[考试日期]=表成绩单[[#This Row],[考试日期]])*(表成绩单[英语]&lt;9E+307)*(表成绩单[英语]&gt;表成绩单[[#This Row],[英语]]))+1)</f>
        <v>701</v>
      </c>
      <c r="S1492" s="29" cm="1">
        <f t="array" ref="S1492">IF(表成绩单[[#This Row],[物理]]="","",SUMPRODUCT((表成绩单[考试日期]=表成绩单[[#This Row],[考试日期]])*(表成绩单[物理]&lt;9E+307)*(表成绩单[物理]&gt;表成绩单[[#This Row],[物理]]))+1)</f>
        <v>651</v>
      </c>
      <c r="T1492" s="29" cm="1">
        <f t="array" ref="T1492">IF(表成绩单[[#This Row],[化学]]="","",SUMPRODUCT((表成绩单[考试日期]=表成绩单[[#This Row],[考试日期]])*(表成绩单[化学]&lt;9E+307)*(表成绩单[化学]&gt;表成绩单[[#This Row],[化学]]))+1)</f>
        <v>597</v>
      </c>
      <c r="U1492" s="29" cm="1">
        <f t="array" ref="U1492">IF(表成绩单[[#This Row],[政治]]="","",SUMPRODUCT((表成绩单[考试日期]=表成绩单[[#This Row],[考试日期]])*(表成绩单[政治]&lt;9E+307)*(表成绩单[政治]&gt;表成绩单[[#This Row],[政治]]))+1)</f>
        <v>660</v>
      </c>
      <c r="V1492" s="29" cm="1">
        <f t="array" ref="V1492">IF(表成绩单[[#This Row],[历史]]="","",SUMPRODUCT((表成绩单[考试日期]=表成绩单[[#This Row],[考试日期]])*(表成绩单[历史]&lt;9E+307)*(表成绩单[历史]&gt;表成绩单[[#This Row],[历史]]))+1)</f>
        <v>593</v>
      </c>
      <c r="W1492" s="29" cm="1">
        <f t="array" ref="W1492">IF(表成绩单[[#This Row],[总分]]="","",SUMPRODUCT((表成绩单[考试日期]=表成绩单[[#This Row],[考试日期]])*(表成绩单[总分]&lt;9E+307)*(表成绩单[总分]&gt;表成绩单[[#This Row],[总分]]))+1)</f>
        <v>688</v>
      </c>
    </row>
    <row r="1493" ht="28" customHeight="1" spans="4:23">
      <c r="D1493" s="31">
        <v>46003</v>
      </c>
      <c r="E1493" s="29">
        <v>19177621</v>
      </c>
      <c r="F1493" s="29" t="s">
        <v>58</v>
      </c>
      <c r="G1493" s="29" t="s">
        <v>836</v>
      </c>
      <c r="H1493" s="29">
        <v>72</v>
      </c>
      <c r="I1493" s="29">
        <v>28</v>
      </c>
      <c r="J1493" s="29">
        <v>24</v>
      </c>
      <c r="K1493" s="29">
        <v>52</v>
      </c>
      <c r="L1493" s="29">
        <v>47</v>
      </c>
      <c r="M1493" s="29">
        <v>41</v>
      </c>
      <c r="N1493" s="29">
        <v>51</v>
      </c>
      <c r="O1493" s="32">
        <v>315</v>
      </c>
      <c r="P1493" s="29" cm="1">
        <f t="array" ref="P1493">IF(表成绩单[[#This Row],[语文]]="","",SUMPRODUCT((表成绩单[考试日期]=表成绩单[[#This Row],[考试日期]])*(表成绩单[语文]&lt;9E+307)*(表成绩单[语文]&gt;表成绩单[[#This Row],[语文]]))+1)</f>
        <v>695</v>
      </c>
      <c r="Q1493" s="29" cm="1">
        <f t="array" ref="Q1493">IF(表成绩单[[#This Row],[数学]]="","",SUMPRODUCT((表成绩单[考试日期]=表成绩单[[#This Row],[考试日期]])*(表成绩单[数学]&lt;9E+307)*(表成绩单[数学]&gt;表成绩单[[#This Row],[数学]]))+1)</f>
        <v>686</v>
      </c>
      <c r="R1493" s="29" cm="1">
        <f t="array" ref="R1493">IF(表成绩单[[#This Row],[英语]]="","",SUMPRODUCT((表成绩单[考试日期]=表成绩单[[#This Row],[考试日期]])*(表成绩单[英语]&lt;9E+307)*(表成绩单[英语]&gt;表成绩单[[#This Row],[英语]]))+1)</f>
        <v>708</v>
      </c>
      <c r="S1493" s="29" cm="1">
        <f t="array" ref="S1493">IF(表成绩单[[#This Row],[物理]]="","",SUMPRODUCT((表成绩单[考试日期]=表成绩单[[#This Row],[考试日期]])*(表成绩单[物理]&lt;9E+307)*(表成绩单[物理]&gt;表成绩单[[#This Row],[物理]]))+1)</f>
        <v>622</v>
      </c>
      <c r="T1493" s="29" cm="1">
        <f t="array" ref="T1493">IF(表成绩单[[#This Row],[化学]]="","",SUMPRODUCT((表成绩单[考试日期]=表成绩单[[#This Row],[考试日期]])*(表成绩单[化学]&lt;9E+307)*(表成绩单[化学]&gt;表成绩单[[#This Row],[化学]]))+1)</f>
        <v>672</v>
      </c>
      <c r="U1493" s="29" cm="1">
        <f t="array" ref="U1493">IF(表成绩单[[#This Row],[政治]]="","",SUMPRODUCT((表成绩单[考试日期]=表成绩单[[#This Row],[考试日期]])*(表成绩单[政治]&lt;9E+307)*(表成绩单[政治]&gt;表成绩单[[#This Row],[政治]]))+1)</f>
        <v>668</v>
      </c>
      <c r="V1493" s="29" cm="1">
        <f t="array" ref="V1493">IF(表成绩单[[#This Row],[历史]]="","",SUMPRODUCT((表成绩单[考试日期]=表成绩单[[#This Row],[考试日期]])*(表成绩单[历史]&lt;9E+307)*(表成绩单[历史]&gt;表成绩单[[#This Row],[历史]]))+1)</f>
        <v>697</v>
      </c>
      <c r="W1493" s="29" cm="1">
        <f t="array" ref="W1493">IF(表成绩单[[#This Row],[总分]]="","",SUMPRODUCT((表成绩单[考试日期]=表成绩单[[#This Row],[考试日期]])*(表成绩单[总分]&lt;9E+307)*(表成绩单[总分]&gt;表成绩单[[#This Row],[总分]]))+1)</f>
        <v>689</v>
      </c>
    </row>
    <row r="1494" ht="28" customHeight="1" spans="4:23">
      <c r="D1494" s="31">
        <v>46003</v>
      </c>
      <c r="E1494" s="29">
        <v>19176008</v>
      </c>
      <c r="F1494" s="29" t="s">
        <v>59</v>
      </c>
      <c r="G1494" s="29" t="s">
        <v>825</v>
      </c>
      <c r="H1494" s="29">
        <v>85</v>
      </c>
      <c r="I1494" s="29">
        <v>24</v>
      </c>
      <c r="J1494" s="29">
        <v>11.5</v>
      </c>
      <c r="K1494" s="29">
        <v>27</v>
      </c>
      <c r="L1494" s="29">
        <v>75</v>
      </c>
      <c r="M1494" s="29">
        <v>38</v>
      </c>
      <c r="N1494" s="29">
        <v>53</v>
      </c>
      <c r="O1494" s="32">
        <v>313.5</v>
      </c>
      <c r="P1494" s="29" cm="1">
        <f t="array" ref="P1494">IF(表成绩单[[#This Row],[语文]]="","",SUMPRODUCT((表成绩单[考试日期]=表成绩单[[#This Row],[考试日期]])*(表成绩单[语文]&lt;9E+307)*(表成绩单[语文]&gt;表成绩单[[#This Row],[语文]]))+1)</f>
        <v>634</v>
      </c>
      <c r="Q1494" s="29" cm="1">
        <f t="array" ref="Q1494">IF(表成绩单[[#This Row],[数学]]="","",SUMPRODUCT((表成绩单[考试日期]=表成绩单[[#This Row],[考试日期]])*(表成绩单[数学]&lt;9E+307)*(表成绩单[数学]&gt;表成绩单[[#This Row],[数学]]))+1)</f>
        <v>701</v>
      </c>
      <c r="R1494" s="29" cm="1">
        <f t="array" ref="R1494">IF(表成绩单[[#This Row],[英语]]="","",SUMPRODUCT((表成绩单[考试日期]=表成绩单[[#This Row],[考试日期]])*(表成绩单[英语]&lt;9E+307)*(表成绩单[英语]&gt;表成绩单[[#This Row],[英语]]))+1)</f>
        <v>734</v>
      </c>
      <c r="S1494" s="29" cm="1">
        <f t="array" ref="S1494">IF(表成绩单[[#This Row],[物理]]="","",SUMPRODUCT((表成绩单[考试日期]=表成绩单[[#This Row],[考试日期]])*(表成绩单[物理]&lt;9E+307)*(表成绩单[物理]&gt;表成绩单[[#This Row],[物理]]))+1)</f>
        <v>709</v>
      </c>
      <c r="T1494" s="29" cm="1">
        <f t="array" ref="T1494">IF(表成绩单[[#This Row],[化学]]="","",SUMPRODUCT((表成绩单[考试日期]=表成绩单[[#This Row],[考试日期]])*(表成绩单[化学]&lt;9E+307)*(表成绩单[化学]&gt;表成绩单[[#This Row],[化学]]))+1)</f>
        <v>421</v>
      </c>
      <c r="U1494" s="29" cm="1">
        <f t="array" ref="U1494">IF(表成绩单[[#This Row],[政治]]="","",SUMPRODUCT((表成绩单[考试日期]=表成绩单[[#This Row],[考试日期]])*(表成绩单[政治]&lt;9E+307)*(表成绩单[政治]&gt;表成绩单[[#This Row],[政治]]))+1)</f>
        <v>689</v>
      </c>
      <c r="V1494" s="29" cm="1">
        <f t="array" ref="V1494">IF(表成绩单[[#This Row],[历史]]="","",SUMPRODUCT((表成绩单[考试日期]=表成绩单[[#This Row],[考试日期]])*(表成绩单[历史]&lt;9E+307)*(表成绩单[历史]&gt;表成绩单[[#This Row],[历史]]))+1)</f>
        <v>687</v>
      </c>
      <c r="W1494" s="29" cm="1">
        <f t="array" ref="W1494">IF(表成绩单[[#This Row],[总分]]="","",SUMPRODUCT((表成绩单[考试日期]=表成绩单[[#This Row],[考试日期]])*(表成绩单[总分]&lt;9E+307)*(表成绩单[总分]&gt;表成绩单[[#This Row],[总分]]))+1)</f>
        <v>691</v>
      </c>
    </row>
    <row r="1495" ht="28" customHeight="1" spans="4:23">
      <c r="D1495" s="31">
        <v>46003</v>
      </c>
      <c r="E1495" s="29">
        <v>19175703</v>
      </c>
      <c r="F1495" s="29" t="s">
        <v>72</v>
      </c>
      <c r="G1495" s="29" t="s">
        <v>826</v>
      </c>
      <c r="H1495" s="29">
        <v>87</v>
      </c>
      <c r="I1495" s="29">
        <v>16</v>
      </c>
      <c r="J1495" s="29">
        <v>25</v>
      </c>
      <c r="K1495" s="29">
        <v>45</v>
      </c>
      <c r="L1495" s="29">
        <v>45</v>
      </c>
      <c r="M1495" s="29">
        <v>45</v>
      </c>
      <c r="N1495" s="29">
        <v>50</v>
      </c>
      <c r="O1495" s="32">
        <v>313</v>
      </c>
      <c r="P1495" s="29" cm="1">
        <f t="array" ref="P1495">IF(表成绩单[[#This Row],[语文]]="","",SUMPRODUCT((表成绩单[考试日期]=表成绩单[[#This Row],[考试日期]])*(表成绩单[语文]&lt;9E+307)*(表成绩单[语文]&gt;表成绩单[[#This Row],[语文]]))+1)</f>
        <v>620</v>
      </c>
      <c r="Q1495" s="29" cm="1">
        <f t="array" ref="Q1495">IF(表成绩单[[#This Row],[数学]]="","",SUMPRODUCT((表成绩单[考试日期]=表成绩单[[#This Row],[考试日期]])*(表成绩单[数学]&lt;9E+307)*(表成绩单[数学]&gt;表成绩单[[#This Row],[数学]]))+1)</f>
        <v>715</v>
      </c>
      <c r="R1495" s="29" cm="1">
        <f t="array" ref="R1495">IF(表成绩单[[#This Row],[英语]]="","",SUMPRODUCT((表成绩单[考试日期]=表成绩单[[#This Row],[考试日期]])*(表成绩单[英语]&lt;9E+307)*(表成绩单[英语]&gt;表成绩单[[#This Row],[英语]]))+1)</f>
        <v>706</v>
      </c>
      <c r="S1495" s="29" cm="1">
        <f t="array" ref="S1495">IF(表成绩单[[#This Row],[物理]]="","",SUMPRODUCT((表成绩单[考试日期]=表成绩单[[#This Row],[考试日期]])*(表成绩单[物理]&lt;9E+307)*(表成绩单[物理]&gt;表成绩单[[#This Row],[物理]]))+1)</f>
        <v>651</v>
      </c>
      <c r="T1495" s="29" cm="1">
        <f t="array" ref="T1495">IF(表成绩单[[#This Row],[化学]]="","",SUMPRODUCT((表成绩单[考试日期]=表成绩单[[#This Row],[考试日期]])*(表成绩单[化学]&lt;9E+307)*(表成绩单[化学]&gt;表成绩单[[#This Row],[化学]]))+1)</f>
        <v>681</v>
      </c>
      <c r="U1495" s="29" cm="1">
        <f t="array" ref="U1495">IF(表成绩单[[#This Row],[政治]]="","",SUMPRODUCT((表成绩单[考试日期]=表成绩单[[#This Row],[考试日期]])*(表成绩单[政治]&lt;9E+307)*(表成绩单[政治]&gt;表成绩单[[#This Row],[政治]]))+1)</f>
        <v>638</v>
      </c>
      <c r="V1495" s="29" cm="1">
        <f t="array" ref="V1495">IF(表成绩单[[#This Row],[历史]]="","",SUMPRODUCT((表成绩单[考试日期]=表成绩单[[#This Row],[考试日期]])*(表成绩单[历史]&lt;9E+307)*(表成绩单[历史]&gt;表成绩单[[#This Row],[历史]]))+1)</f>
        <v>699</v>
      </c>
      <c r="W1495" s="29" cm="1">
        <f t="array" ref="W1495">IF(表成绩单[[#This Row],[总分]]="","",SUMPRODUCT((表成绩单[考试日期]=表成绩单[[#This Row],[考试日期]])*(表成绩单[总分]&lt;9E+307)*(表成绩单[总分]&gt;表成绩单[[#This Row],[总分]]))+1)</f>
        <v>692</v>
      </c>
    </row>
    <row r="1496" ht="28" customHeight="1" spans="4:23">
      <c r="D1496" s="31">
        <v>46003</v>
      </c>
      <c r="E1496" s="29">
        <v>19175292</v>
      </c>
      <c r="F1496" s="29" t="s">
        <v>55</v>
      </c>
      <c r="G1496" s="29" t="s">
        <v>833</v>
      </c>
      <c r="H1496" s="29">
        <v>79</v>
      </c>
      <c r="I1496" s="29">
        <v>30</v>
      </c>
      <c r="J1496" s="29">
        <v>40</v>
      </c>
      <c r="K1496" s="29">
        <v>23</v>
      </c>
      <c r="L1496" s="29">
        <v>44</v>
      </c>
      <c r="M1496" s="29">
        <v>47</v>
      </c>
      <c r="N1496" s="29">
        <v>45</v>
      </c>
      <c r="O1496" s="32">
        <v>308</v>
      </c>
      <c r="P1496" s="29" cm="1">
        <f t="array" ref="P1496">IF(表成绩单[[#This Row],[语文]]="","",SUMPRODUCT((表成绩单[考试日期]=表成绩单[[#This Row],[考试日期]])*(表成绩单[语文]&lt;9E+307)*(表成绩单[语文]&gt;表成绩单[[#This Row],[语文]]))+1)</f>
        <v>675</v>
      </c>
      <c r="Q1496" s="29" cm="1">
        <f t="array" ref="Q1496">IF(表成绩单[[#This Row],[数学]]="","",SUMPRODUCT((表成绩单[考试日期]=表成绩单[[#This Row],[考试日期]])*(表成绩单[数学]&lt;9E+307)*(表成绩单[数学]&gt;表成绩单[[#This Row],[数学]]))+1)</f>
        <v>676</v>
      </c>
      <c r="R1496" s="29" cm="1">
        <f t="array" ref="R1496">IF(表成绩单[[#This Row],[英语]]="","",SUMPRODUCT((表成绩单[考试日期]=表成绩单[[#This Row],[考试日期]])*(表成绩单[英语]&lt;9E+307)*(表成绩单[英语]&gt;表成绩单[[#This Row],[英语]]))+1)</f>
        <v>652</v>
      </c>
      <c r="S1496" s="29" cm="1">
        <f t="array" ref="S1496">IF(表成绩单[[#This Row],[物理]]="","",SUMPRODUCT((表成绩单[考试日期]=表成绩单[[#This Row],[考试日期]])*(表成绩单[物理]&lt;9E+307)*(表成绩单[物理]&gt;表成绩单[[#This Row],[物理]]))+1)</f>
        <v>713</v>
      </c>
      <c r="T1496" s="29" cm="1">
        <f t="array" ref="T1496">IF(表成绩单[[#This Row],[化学]]="","",SUMPRODUCT((表成绩单[考试日期]=表成绩单[[#This Row],[考试日期]])*(表成绩单[化学]&lt;9E+307)*(表成绩单[化学]&gt;表成绩单[[#This Row],[化学]]))+1)</f>
        <v>684</v>
      </c>
      <c r="U1496" s="29" cm="1">
        <f t="array" ref="U1496">IF(表成绩单[[#This Row],[政治]]="","",SUMPRODUCT((表成绩单[考试日期]=表成绩单[[#This Row],[考试日期]])*(表成绩单[政治]&lt;9E+307)*(表成绩单[政治]&gt;表成绩单[[#This Row],[政治]]))+1)</f>
        <v>619</v>
      </c>
      <c r="V1496" s="29" cm="1">
        <f t="array" ref="V1496">IF(表成绩单[[#This Row],[历史]]="","",SUMPRODUCT((表成绩单[考试日期]=表成绩单[[#This Row],[考试日期]])*(表成绩单[历史]&lt;9E+307)*(表成绩单[历史]&gt;表成绩单[[#This Row],[历史]]))+1)</f>
        <v>717</v>
      </c>
      <c r="W1496" s="29" cm="1">
        <f t="array" ref="W1496">IF(表成绩单[[#This Row],[总分]]="","",SUMPRODUCT((表成绩单[考试日期]=表成绩单[[#This Row],[考试日期]])*(表成绩单[总分]&lt;9E+307)*(表成绩单[总分]&gt;表成绩单[[#This Row],[总分]]))+1)</f>
        <v>693</v>
      </c>
    </row>
    <row r="1497" ht="28" customHeight="1" spans="4:23">
      <c r="D1497" s="31">
        <v>46003</v>
      </c>
      <c r="E1497" s="29">
        <v>19175312</v>
      </c>
      <c r="F1497" s="29" t="s">
        <v>55</v>
      </c>
      <c r="G1497" s="29" t="s">
        <v>822</v>
      </c>
      <c r="H1497" s="29">
        <v>83</v>
      </c>
      <c r="I1497" s="29">
        <v>46</v>
      </c>
      <c r="J1497" s="29">
        <v>19.5</v>
      </c>
      <c r="K1497" s="29">
        <v>30</v>
      </c>
      <c r="L1497" s="29">
        <v>32</v>
      </c>
      <c r="M1497" s="29">
        <v>51</v>
      </c>
      <c r="N1497" s="29">
        <v>46</v>
      </c>
      <c r="O1497" s="32">
        <v>307.5</v>
      </c>
      <c r="P1497" s="29" cm="1">
        <f t="array" ref="P1497">IF(表成绩单[[#This Row],[语文]]="","",SUMPRODUCT((表成绩单[考试日期]=表成绩单[[#This Row],[考试日期]])*(表成绩单[语文]&lt;9E+307)*(表成绩单[语文]&gt;表成绩单[[#This Row],[语文]]))+1)</f>
        <v>651</v>
      </c>
      <c r="Q1497" s="29" cm="1">
        <f t="array" ref="Q1497">IF(表成绩单[[#This Row],[数学]]="","",SUMPRODUCT((表成绩单[考试日期]=表成绩单[[#This Row],[考试日期]])*(表成绩单[数学]&lt;9E+307)*(表成绩单[数学]&gt;表成绩单[[#This Row],[数学]]))+1)</f>
        <v>605</v>
      </c>
      <c r="R1497" s="29" cm="1">
        <f t="array" ref="R1497">IF(表成绩单[[#This Row],[英语]]="","",SUMPRODUCT((表成绩单[考试日期]=表成绩单[[#This Row],[考试日期]])*(表成绩单[英语]&lt;9E+307)*(表成绩单[英语]&gt;表成绩单[[#This Row],[英语]]))+1)</f>
        <v>722</v>
      </c>
      <c r="S1497" s="29" cm="1">
        <f t="array" ref="S1497">IF(表成绩单[[#This Row],[物理]]="","",SUMPRODUCT((表成绩单[考试日期]=表成绩单[[#This Row],[考试日期]])*(表成绩单[物理]&lt;9E+307)*(表成绩单[物理]&gt;表成绩单[[#This Row],[物理]]))+1)</f>
        <v>702</v>
      </c>
      <c r="T1497" s="29" cm="1">
        <f t="array" ref="T1497">IF(表成绩单[[#This Row],[化学]]="","",SUMPRODUCT((表成绩单[考试日期]=表成绩单[[#This Row],[考试日期]])*(表成绩单[化学]&lt;9E+307)*(表成绩单[化学]&gt;表成绩单[[#This Row],[化学]]))+1)</f>
        <v>723</v>
      </c>
      <c r="U1497" s="29" cm="1">
        <f t="array" ref="U1497">IF(表成绩单[[#This Row],[政治]]="","",SUMPRODUCT((表成绩单[考试日期]=表成绩单[[#This Row],[考试日期]])*(表成绩单[政治]&lt;9E+307)*(表成绩单[政治]&gt;表成绩单[[#This Row],[政治]]))+1)</f>
        <v>571</v>
      </c>
      <c r="V1497" s="29" cm="1">
        <f t="array" ref="V1497">IF(表成绩单[[#This Row],[历史]]="","",SUMPRODUCT((表成绩单[考试日期]=表成绩单[[#This Row],[考试日期]])*(表成绩单[历史]&lt;9E+307)*(表成绩单[历史]&gt;表成绩单[[#This Row],[历史]]))+1)</f>
        <v>715</v>
      </c>
      <c r="W1497" s="29" cm="1">
        <f t="array" ref="W1497">IF(表成绩单[[#This Row],[总分]]="","",SUMPRODUCT((表成绩单[考试日期]=表成绩单[[#This Row],[考试日期]])*(表成绩单[总分]&lt;9E+307)*(表成绩单[总分]&gt;表成绩单[[#This Row],[总分]]))+1)</f>
        <v>694</v>
      </c>
    </row>
    <row r="1498" ht="28" customHeight="1" spans="4:23">
      <c r="D1498" s="31">
        <v>46003</v>
      </c>
      <c r="E1498" s="29">
        <v>19175592</v>
      </c>
      <c r="F1498" s="29" t="s">
        <v>57</v>
      </c>
      <c r="G1498" s="29" t="s">
        <v>875</v>
      </c>
      <c r="H1498" s="29">
        <v>81</v>
      </c>
      <c r="I1498" s="29">
        <v>28</v>
      </c>
      <c r="J1498" s="29">
        <v>16.5</v>
      </c>
      <c r="K1498" s="29">
        <v>23</v>
      </c>
      <c r="L1498" s="29">
        <v>48</v>
      </c>
      <c r="M1498" s="29">
        <v>50</v>
      </c>
      <c r="N1498" s="29">
        <v>60</v>
      </c>
      <c r="O1498" s="32">
        <v>306.5</v>
      </c>
      <c r="P1498" s="29" cm="1">
        <f t="array" ref="P1498">IF(表成绩单[[#This Row],[语文]]="","",SUMPRODUCT((表成绩单[考试日期]=表成绩单[[#This Row],[考试日期]])*(表成绩单[语文]&lt;9E+307)*(表成绩单[语文]&gt;表成绩单[[#This Row],[语文]]))+1)</f>
        <v>664</v>
      </c>
      <c r="Q1498" s="29" cm="1">
        <f t="array" ref="Q1498">IF(表成绩单[[#This Row],[数学]]="","",SUMPRODUCT((表成绩单[考试日期]=表成绩单[[#This Row],[考试日期]])*(表成绩单[数学]&lt;9E+307)*(表成绩单[数学]&gt;表成绩单[[#This Row],[数学]]))+1)</f>
        <v>686</v>
      </c>
      <c r="R1498" s="29" cm="1">
        <f t="array" ref="R1498">IF(表成绩单[[#This Row],[英语]]="","",SUMPRODUCT((表成绩单[考试日期]=表成绩单[[#This Row],[考试日期]])*(表成绩单[英语]&lt;9E+307)*(表成绩单[英语]&gt;表成绩单[[#This Row],[英语]]))+1)</f>
        <v>729</v>
      </c>
      <c r="S1498" s="29" cm="1">
        <f t="array" ref="S1498">IF(表成绩单[[#This Row],[物理]]="","",SUMPRODUCT((表成绩单[考试日期]=表成绩单[[#This Row],[考试日期]])*(表成绩单[物理]&lt;9E+307)*(表成绩单[物理]&gt;表成绩单[[#This Row],[物理]]))+1)</f>
        <v>713</v>
      </c>
      <c r="T1498" s="29" cm="1">
        <f t="array" ref="T1498">IF(表成绩单[[#This Row],[化学]]="","",SUMPRODUCT((表成绩单[考试日期]=表成绩单[[#This Row],[考试日期]])*(表成绩单[化学]&lt;9E+307)*(表成绩单[化学]&gt;表成绩单[[#This Row],[化学]]))+1)</f>
        <v>665</v>
      </c>
      <c r="U1498" s="29" cm="1">
        <f t="array" ref="U1498">IF(表成绩单[[#This Row],[政治]]="","",SUMPRODUCT((表成绩单[考试日期]=表成绩单[[#This Row],[考试日期]])*(表成绩单[政治]&lt;9E+307)*(表成绩单[政治]&gt;表成绩单[[#This Row],[政治]]))+1)</f>
        <v>587</v>
      </c>
      <c r="V1498" s="29" cm="1">
        <f t="array" ref="V1498">IF(表成绩单[[#This Row],[历史]]="","",SUMPRODUCT((表成绩单[考试日期]=表成绩单[[#This Row],[考试日期]])*(表成绩单[历史]&lt;9E+307)*(表成绩单[历史]&gt;表成绩单[[#This Row],[历史]]))+1)</f>
        <v>633</v>
      </c>
      <c r="W1498" s="29" cm="1">
        <f t="array" ref="W1498">IF(表成绩单[[#This Row],[总分]]="","",SUMPRODUCT((表成绩单[考试日期]=表成绩单[[#This Row],[考试日期]])*(表成绩单[总分]&lt;9E+307)*(表成绩单[总分]&gt;表成绩单[[#This Row],[总分]]))+1)</f>
        <v>695</v>
      </c>
    </row>
    <row r="1499" ht="28" customHeight="1" spans="4:23">
      <c r="D1499" s="31">
        <v>46003</v>
      </c>
      <c r="E1499" s="29">
        <v>19177615</v>
      </c>
      <c r="F1499" s="29" t="s">
        <v>58</v>
      </c>
      <c r="G1499" s="29" t="s">
        <v>844</v>
      </c>
      <c r="H1499" s="29">
        <v>87</v>
      </c>
      <c r="I1499" s="29">
        <v>19</v>
      </c>
      <c r="J1499" s="29">
        <v>26.5</v>
      </c>
      <c r="K1499" s="29">
        <v>42</v>
      </c>
      <c r="L1499" s="29">
        <v>42</v>
      </c>
      <c r="M1499" s="29">
        <v>37</v>
      </c>
      <c r="N1499" s="29">
        <v>52</v>
      </c>
      <c r="O1499" s="32">
        <v>305.5</v>
      </c>
      <c r="P1499" s="29" cm="1">
        <f t="array" ref="P1499">IF(表成绩单[[#This Row],[语文]]="","",SUMPRODUCT((表成绩单[考试日期]=表成绩单[[#This Row],[考试日期]])*(表成绩单[语文]&lt;9E+307)*(表成绩单[语文]&gt;表成绩单[[#This Row],[语文]]))+1)</f>
        <v>620</v>
      </c>
      <c r="Q1499" s="29" cm="1">
        <f t="array" ref="Q1499">IF(表成绩单[[#This Row],[数学]]="","",SUMPRODUCT((表成绩单[考试日期]=表成绩单[[#This Row],[考试日期]])*(表成绩单[数学]&lt;9E+307)*(表成绩单[数学]&gt;表成绩单[[#This Row],[数学]]))+1)</f>
        <v>710</v>
      </c>
      <c r="R1499" s="29" cm="1">
        <f t="array" ref="R1499">IF(表成绩单[[#This Row],[英语]]="","",SUMPRODUCT((表成绩单[考试日期]=表成绩单[[#This Row],[考试日期]])*(表成绩单[英语]&lt;9E+307)*(表成绩单[英语]&gt;表成绩单[[#This Row],[英语]]))+1)</f>
        <v>699</v>
      </c>
      <c r="S1499" s="29" cm="1">
        <f t="array" ref="S1499">IF(表成绩单[[#This Row],[物理]]="","",SUMPRODUCT((表成绩单[考试日期]=表成绩单[[#This Row],[考试日期]])*(表成绩单[物理]&lt;9E+307)*(表成绩单[物理]&gt;表成绩单[[#This Row],[物理]]))+1)</f>
        <v>666</v>
      </c>
      <c r="T1499" s="29" cm="1">
        <f t="array" ref="T1499">IF(表成绩单[[#This Row],[化学]]="","",SUMPRODUCT((表成绩单[考试日期]=表成绩单[[#This Row],[考试日期]])*(表成绩单[化学]&lt;9E+307)*(表成绩单[化学]&gt;表成绩单[[#This Row],[化学]]))+1)</f>
        <v>698</v>
      </c>
      <c r="U1499" s="29" cm="1">
        <f t="array" ref="U1499">IF(表成绩单[[#This Row],[政治]]="","",SUMPRODUCT((表成绩单[考试日期]=表成绩单[[#This Row],[考试日期]])*(表成绩单[政治]&lt;9E+307)*(表成绩单[政治]&gt;表成绩单[[#This Row],[政治]]))+1)</f>
        <v>697</v>
      </c>
      <c r="V1499" s="29" cm="1">
        <f t="array" ref="V1499">IF(表成绩单[[#This Row],[历史]]="","",SUMPRODUCT((表成绩单[考试日期]=表成绩单[[#This Row],[考试日期]])*(表成绩单[历史]&lt;9E+307)*(表成绩单[历史]&gt;表成绩单[[#This Row],[历史]]))+1)</f>
        <v>693</v>
      </c>
      <c r="W1499" s="29" cm="1">
        <f t="array" ref="W1499">IF(表成绩单[[#This Row],[总分]]="","",SUMPRODUCT((表成绩单[考试日期]=表成绩单[[#This Row],[考试日期]])*(表成绩单[总分]&lt;9E+307)*(表成绩单[总分]&gt;表成绩单[[#This Row],[总分]]))+1)</f>
        <v>696</v>
      </c>
    </row>
    <row r="1500" ht="28" customHeight="1" spans="4:23">
      <c r="D1500" s="31">
        <v>46003</v>
      </c>
      <c r="E1500" s="29">
        <v>19175291</v>
      </c>
      <c r="F1500" s="29" t="s">
        <v>55</v>
      </c>
      <c r="G1500" s="29" t="s">
        <v>851</v>
      </c>
      <c r="H1500" s="29">
        <v>70</v>
      </c>
      <c r="I1500" s="29">
        <v>28</v>
      </c>
      <c r="J1500" s="29">
        <v>20.5</v>
      </c>
      <c r="K1500" s="29">
        <v>40</v>
      </c>
      <c r="L1500" s="29">
        <v>52</v>
      </c>
      <c r="M1500" s="29">
        <v>39</v>
      </c>
      <c r="N1500" s="29">
        <v>55</v>
      </c>
      <c r="O1500" s="32">
        <v>304.5</v>
      </c>
      <c r="P1500" s="29" cm="1">
        <f t="array" ref="P1500">IF(表成绩单[[#This Row],[语文]]="","",SUMPRODUCT((表成绩单[考试日期]=表成绩单[[#This Row],[考试日期]])*(表成绩单[语文]&lt;9E+307)*(表成绩单[语文]&gt;表成绩单[[#This Row],[语文]]))+1)</f>
        <v>699</v>
      </c>
      <c r="Q1500" s="29" cm="1">
        <f t="array" ref="Q1500">IF(表成绩单[[#This Row],[数学]]="","",SUMPRODUCT((表成绩单[考试日期]=表成绩单[[#This Row],[考试日期]])*(表成绩单[数学]&lt;9E+307)*(表成绩单[数学]&gt;表成绩单[[#This Row],[数学]]))+1)</f>
        <v>686</v>
      </c>
      <c r="R1500" s="29" cm="1">
        <f t="array" ref="R1500">IF(表成绩单[[#This Row],[英语]]="","",SUMPRODUCT((表成绩单[考试日期]=表成绩单[[#This Row],[考试日期]])*(表成绩单[英语]&lt;9E+307)*(表成绩单[英语]&gt;表成绩单[[#This Row],[英语]]))+1)</f>
        <v>717</v>
      </c>
      <c r="S1500" s="29" cm="1">
        <f t="array" ref="S1500">IF(表成绩单[[#This Row],[物理]]="","",SUMPRODUCT((表成绩单[考试日期]=表成绩单[[#This Row],[考试日期]])*(表成绩单[物理]&lt;9E+307)*(表成绩单[物理]&gt;表成绩单[[#This Row],[物理]]))+1)</f>
        <v>677</v>
      </c>
      <c r="T1500" s="29" cm="1">
        <f t="array" ref="T1500">IF(表成绩单[[#This Row],[化学]]="","",SUMPRODUCT((表成绩单[考试日期]=表成绩单[[#This Row],[考试日期]])*(表成绩单[化学]&lt;9E+307)*(表成绩单[化学]&gt;表成绩单[[#This Row],[化学]]))+1)</f>
        <v>637</v>
      </c>
      <c r="U1500" s="29" cm="1">
        <f t="array" ref="U1500">IF(表成绩单[[#This Row],[政治]]="","",SUMPRODUCT((表成绩单[考试日期]=表成绩单[[#This Row],[考试日期]])*(表成绩单[政治]&lt;9E+307)*(表成绩单[政治]&gt;表成绩单[[#This Row],[政治]]))+1)</f>
        <v>680</v>
      </c>
      <c r="V1500" s="29" cm="1">
        <f t="array" ref="V1500">IF(表成绩单[[#This Row],[历史]]="","",SUMPRODUCT((表成绩单[考试日期]=表成绩单[[#This Row],[考试日期]])*(表成绩单[历史]&lt;9E+307)*(表成绩单[历史]&gt;表成绩单[[#This Row],[历史]]))+1)</f>
        <v>670</v>
      </c>
      <c r="W1500" s="29" cm="1">
        <f t="array" ref="W1500">IF(表成绩单[[#This Row],[总分]]="","",SUMPRODUCT((表成绩单[考试日期]=表成绩单[[#This Row],[考试日期]])*(表成绩单[总分]&lt;9E+307)*(表成绩单[总分]&gt;表成绩单[[#This Row],[总分]]))+1)</f>
        <v>697</v>
      </c>
    </row>
    <row r="1501" ht="28" customHeight="1" spans="4:23">
      <c r="D1501" s="31">
        <v>46003</v>
      </c>
      <c r="E1501" s="29">
        <v>19175597</v>
      </c>
      <c r="F1501" s="29" t="s">
        <v>57</v>
      </c>
      <c r="G1501" s="29" t="s">
        <v>845</v>
      </c>
      <c r="H1501" s="29">
        <v>72</v>
      </c>
      <c r="I1501" s="29">
        <v>17</v>
      </c>
      <c r="J1501" s="29">
        <v>35</v>
      </c>
      <c r="K1501" s="29">
        <v>13</v>
      </c>
      <c r="L1501" s="29">
        <v>67</v>
      </c>
      <c r="M1501" s="29">
        <v>41</v>
      </c>
      <c r="N1501" s="29">
        <v>58</v>
      </c>
      <c r="O1501" s="32">
        <v>303</v>
      </c>
      <c r="P1501" s="29" cm="1">
        <f t="array" ref="P1501">IF(表成绩单[[#This Row],[语文]]="","",SUMPRODUCT((表成绩单[考试日期]=表成绩单[[#This Row],[考试日期]])*(表成绩单[语文]&lt;9E+307)*(表成绩单[语文]&gt;表成绩单[[#This Row],[语文]]))+1)</f>
        <v>695</v>
      </c>
      <c r="Q1501" s="29" cm="1">
        <f t="array" ref="Q1501">IF(表成绩单[[#This Row],[数学]]="","",SUMPRODUCT((表成绩单[考试日期]=表成绩单[[#This Row],[考试日期]])*(表成绩单[数学]&lt;9E+307)*(表成绩单[数学]&gt;表成绩单[[#This Row],[数学]]))+1)</f>
        <v>713</v>
      </c>
      <c r="R1501" s="29" cm="1">
        <f t="array" ref="R1501">IF(表成绩单[[#This Row],[英语]]="","",SUMPRODUCT((表成绩单[考试日期]=表成绩单[[#This Row],[考试日期]])*(表成绩单[英语]&lt;9E+307)*(表成绩单[英语]&gt;表成绩单[[#This Row],[英语]]))+1)</f>
        <v>672</v>
      </c>
      <c r="S1501" s="29" cm="1">
        <f t="array" ref="S1501">IF(表成绩单[[#This Row],[物理]]="","",SUMPRODUCT((表成绩单[考试日期]=表成绩单[[#This Row],[考试日期]])*(表成绩单[物理]&lt;9E+307)*(表成绩单[物理]&gt;表成绩单[[#This Row],[物理]]))+1)</f>
        <v>730</v>
      </c>
      <c r="T1501" s="29" cm="1">
        <f t="array" ref="T1501">IF(表成绩单[[#This Row],[化学]]="","",SUMPRODUCT((表成绩单[考试日期]=表成绩单[[#This Row],[考试日期]])*(表成绩单[化学]&lt;9E+307)*(表成绩单[化学]&gt;表成绩单[[#This Row],[化学]]))+1)</f>
        <v>521</v>
      </c>
      <c r="U1501" s="29" cm="1">
        <f t="array" ref="U1501">IF(表成绩单[[#This Row],[政治]]="","",SUMPRODUCT((表成绩单[考试日期]=表成绩单[[#This Row],[考试日期]])*(表成绩单[政治]&lt;9E+307)*(表成绩单[政治]&gt;表成绩单[[#This Row],[政治]]))+1)</f>
        <v>668</v>
      </c>
      <c r="V1501" s="29" cm="1">
        <f t="array" ref="V1501">IF(表成绩单[[#This Row],[历史]]="","",SUMPRODUCT((表成绩单[考试日期]=表成绩单[[#This Row],[考试日期]])*(表成绩单[历史]&lt;9E+307)*(表成绩单[历史]&gt;表成绩单[[#This Row],[历史]]))+1)</f>
        <v>651</v>
      </c>
      <c r="W1501" s="29" cm="1">
        <f t="array" ref="W1501">IF(表成绩单[[#This Row],[总分]]="","",SUMPRODUCT((表成绩单[考试日期]=表成绩单[[#This Row],[考试日期]])*(表成绩单[总分]&lt;9E+307)*(表成绩单[总分]&gt;表成绩单[[#This Row],[总分]]))+1)</f>
        <v>698</v>
      </c>
    </row>
    <row r="1502" ht="28" customHeight="1" spans="4:23">
      <c r="D1502" s="31">
        <v>46003</v>
      </c>
      <c r="E1502" s="29">
        <v>19172657</v>
      </c>
      <c r="F1502" s="29" t="s">
        <v>60</v>
      </c>
      <c r="G1502" s="29" t="s">
        <v>829</v>
      </c>
      <c r="H1502" s="29">
        <v>70</v>
      </c>
      <c r="I1502" s="29">
        <v>9</v>
      </c>
      <c r="J1502" s="29">
        <v>26</v>
      </c>
      <c r="K1502" s="29">
        <v>43</v>
      </c>
      <c r="L1502" s="29">
        <v>36</v>
      </c>
      <c r="M1502" s="29">
        <v>39</v>
      </c>
      <c r="N1502" s="29">
        <v>78</v>
      </c>
      <c r="O1502" s="32">
        <v>301</v>
      </c>
      <c r="P1502" s="29" cm="1">
        <f t="array" ref="P1502">IF(表成绩单[[#This Row],[语文]]="","",SUMPRODUCT((表成绩单[考试日期]=表成绩单[[#This Row],[考试日期]])*(表成绩单[语文]&lt;9E+307)*(表成绩单[语文]&gt;表成绩单[[#This Row],[语文]]))+1)</f>
        <v>699</v>
      </c>
      <c r="Q1502" s="29" cm="1">
        <f t="array" ref="Q1502">IF(表成绩单[[#This Row],[数学]]="","",SUMPRODUCT((表成绩单[考试日期]=表成绩单[[#This Row],[考试日期]])*(表成绩单[数学]&lt;9E+307)*(表成绩单[数学]&gt;表成绩单[[#This Row],[数学]]))+1)</f>
        <v>728</v>
      </c>
      <c r="R1502" s="29" cm="1">
        <f t="array" ref="R1502">IF(表成绩单[[#This Row],[英语]]="","",SUMPRODUCT((表成绩单[考试日期]=表成绩单[[#This Row],[考试日期]])*(表成绩单[英语]&lt;9E+307)*(表成绩单[英语]&gt;表成绩单[[#This Row],[英语]]))+1)</f>
        <v>701</v>
      </c>
      <c r="S1502" s="29" cm="1">
        <f t="array" ref="S1502">IF(表成绩单[[#This Row],[物理]]="","",SUMPRODUCT((表成绩单[考试日期]=表成绩单[[#This Row],[考试日期]])*(表成绩单[物理]&lt;9E+307)*(表成绩单[物理]&gt;表成绩单[[#This Row],[物理]]))+1)</f>
        <v>659</v>
      </c>
      <c r="T1502" s="29" cm="1">
        <f t="array" ref="T1502">IF(表成绩单[[#This Row],[化学]]="","",SUMPRODUCT((表成绩单[考试日期]=表成绩单[[#This Row],[考试日期]])*(表成绩单[化学]&lt;9E+307)*(表成绩单[化学]&gt;表成绩单[[#This Row],[化学]]))+1)</f>
        <v>713</v>
      </c>
      <c r="U1502" s="29" cm="1">
        <f t="array" ref="U1502">IF(表成绩单[[#This Row],[政治]]="","",SUMPRODUCT((表成绩单[考试日期]=表成绩单[[#This Row],[考试日期]])*(表成绩单[政治]&lt;9E+307)*(表成绩单[政治]&gt;表成绩单[[#This Row],[政治]]))+1)</f>
        <v>680</v>
      </c>
      <c r="V1502" s="29" cm="1">
        <f t="array" ref="V1502">IF(表成绩单[[#This Row],[历史]]="","",SUMPRODUCT((表成绩单[考试日期]=表成绩单[[#This Row],[考试日期]])*(表成绩单[历史]&lt;9E+307)*(表成绩单[历史]&gt;表成绩单[[#This Row],[历史]]))+1)</f>
        <v>190</v>
      </c>
      <c r="W1502" s="29" cm="1">
        <f t="array" ref="W1502">IF(表成绩单[[#This Row],[总分]]="","",SUMPRODUCT((表成绩单[考试日期]=表成绩单[[#This Row],[考试日期]])*(表成绩单[总分]&lt;9E+307)*(表成绩单[总分]&gt;表成绩单[[#This Row],[总分]]))+1)</f>
        <v>699</v>
      </c>
    </row>
    <row r="1503" ht="28" customHeight="1" spans="4:23">
      <c r="D1503" s="31">
        <v>46003</v>
      </c>
      <c r="E1503" s="29">
        <v>19178590</v>
      </c>
      <c r="F1503" s="29" t="s">
        <v>64</v>
      </c>
      <c r="G1503" s="29" t="s">
        <v>804</v>
      </c>
      <c r="H1503" s="29">
        <v>88</v>
      </c>
      <c r="I1503" s="29">
        <v>17</v>
      </c>
      <c r="J1503" s="29">
        <v>27</v>
      </c>
      <c r="K1503" s="29">
        <v>32</v>
      </c>
      <c r="L1503" s="29">
        <v>37</v>
      </c>
      <c r="M1503" s="29">
        <v>44</v>
      </c>
      <c r="N1503" s="29">
        <v>55</v>
      </c>
      <c r="O1503" s="32">
        <v>300</v>
      </c>
      <c r="P1503" s="29" cm="1">
        <f t="array" ref="P1503">IF(表成绩单[[#This Row],[语文]]="","",SUMPRODUCT((表成绩单[考试日期]=表成绩单[[#This Row],[考试日期]])*(表成绩单[语文]&lt;9E+307)*(表成绩单[语文]&gt;表成绩单[[#This Row],[语文]]))+1)</f>
        <v>613</v>
      </c>
      <c r="Q1503" s="29" cm="1">
        <f t="array" ref="Q1503">IF(表成绩单[[#This Row],[数学]]="","",SUMPRODUCT((表成绩单[考试日期]=表成绩单[[#This Row],[考试日期]])*(表成绩单[数学]&lt;9E+307)*(表成绩单[数学]&gt;表成绩单[[#This Row],[数学]]))+1)</f>
        <v>713</v>
      </c>
      <c r="R1503" s="29" cm="1">
        <f t="array" ref="R1503">IF(表成绩单[[#This Row],[英语]]="","",SUMPRODUCT((表成绩单[考试日期]=表成绩单[[#This Row],[考试日期]])*(表成绩单[英语]&lt;9E+307)*(表成绩单[英语]&gt;表成绩单[[#This Row],[英语]]))+1)</f>
        <v>697</v>
      </c>
      <c r="S1503" s="29" cm="1">
        <f t="array" ref="S1503">IF(表成绩单[[#This Row],[物理]]="","",SUMPRODUCT((表成绩单[考试日期]=表成绩单[[#This Row],[考试日期]])*(表成绩单[物理]&lt;9E+307)*(表成绩单[物理]&gt;表成绩单[[#This Row],[物理]]))+1)</f>
        <v>700</v>
      </c>
      <c r="T1503" s="29" cm="1">
        <f t="array" ref="T1503">IF(表成绩单[[#This Row],[化学]]="","",SUMPRODUCT((表成绩单[考试日期]=表成绩单[[#This Row],[考试日期]])*(表成绩单[化学]&lt;9E+307)*(表成绩单[化学]&gt;表成绩单[[#This Row],[化学]]))+1)</f>
        <v>711</v>
      </c>
      <c r="U1503" s="29" cm="1">
        <f t="array" ref="U1503">IF(表成绩单[[#This Row],[政治]]="","",SUMPRODUCT((表成绩单[考试日期]=表成绩单[[#This Row],[考试日期]])*(表成绩单[政治]&lt;9E+307)*(表成绩单[政治]&gt;表成绩单[[#This Row],[政治]]))+1)</f>
        <v>651</v>
      </c>
      <c r="V1503" s="29" cm="1">
        <f t="array" ref="V1503">IF(表成绩单[[#This Row],[历史]]="","",SUMPRODUCT((表成绩单[考试日期]=表成绩单[[#This Row],[考试日期]])*(表成绩单[历史]&lt;9E+307)*(表成绩单[历史]&gt;表成绩单[[#This Row],[历史]]))+1)</f>
        <v>670</v>
      </c>
      <c r="W1503" s="29" cm="1">
        <f t="array" ref="W1503">IF(表成绩单[[#This Row],[总分]]="","",SUMPRODUCT((表成绩单[考试日期]=表成绩单[[#This Row],[考试日期]])*(表成绩单[总分]&lt;9E+307)*(表成绩单[总分]&gt;表成绩单[[#This Row],[总分]]))+1)</f>
        <v>700</v>
      </c>
    </row>
    <row r="1504" ht="28" customHeight="1" spans="4:23">
      <c r="D1504" s="31">
        <v>46003</v>
      </c>
      <c r="E1504" s="29">
        <v>19175996</v>
      </c>
      <c r="F1504" s="29" t="s">
        <v>59</v>
      </c>
      <c r="G1504" s="29" t="s">
        <v>849</v>
      </c>
      <c r="H1504" s="29">
        <v>70</v>
      </c>
      <c r="I1504" s="29">
        <v>12</v>
      </c>
      <c r="J1504" s="29">
        <v>20.5</v>
      </c>
      <c r="K1504" s="29">
        <v>48</v>
      </c>
      <c r="L1504" s="29">
        <v>54</v>
      </c>
      <c r="M1504" s="29">
        <v>32</v>
      </c>
      <c r="N1504" s="29">
        <v>63</v>
      </c>
      <c r="O1504" s="32">
        <v>299.5</v>
      </c>
      <c r="P1504" s="29" cm="1">
        <f t="array" ref="P1504">IF(表成绩单[[#This Row],[语文]]="","",SUMPRODUCT((表成绩单[考试日期]=表成绩单[[#This Row],[考试日期]])*(表成绩单[语文]&lt;9E+307)*(表成绩单[语文]&gt;表成绩单[[#This Row],[语文]]))+1)</f>
        <v>699</v>
      </c>
      <c r="Q1504" s="29" cm="1">
        <f t="array" ref="Q1504">IF(表成绩单[[#This Row],[数学]]="","",SUMPRODUCT((表成绩单[考试日期]=表成绩单[[#This Row],[考试日期]])*(表成绩单[数学]&lt;9E+307)*(表成绩单[数学]&gt;表成绩单[[#This Row],[数学]]))+1)</f>
        <v>726</v>
      </c>
      <c r="R1504" s="29" cm="1">
        <f t="array" ref="R1504">IF(表成绩单[[#This Row],[英语]]="","",SUMPRODUCT((表成绩单[考试日期]=表成绩单[[#This Row],[考试日期]])*(表成绩单[英语]&lt;9E+307)*(表成绩单[英语]&gt;表成绩单[[#This Row],[英语]]))+1)</f>
        <v>717</v>
      </c>
      <c r="S1504" s="29" cm="1">
        <f t="array" ref="S1504">IF(表成绩单[[#This Row],[物理]]="","",SUMPRODUCT((表成绩单[考试日期]=表成绩单[[#This Row],[考试日期]])*(表成绩单[物理]&lt;9E+307)*(表成绩单[物理]&gt;表成绩单[[#This Row],[物理]]))+1)</f>
        <v>643</v>
      </c>
      <c r="T1504" s="29" cm="1">
        <f t="array" ref="T1504">IF(表成绩单[[#This Row],[化学]]="","",SUMPRODUCT((表成绩单[考试日期]=表成绩单[[#This Row],[考试日期]])*(表成绩单[化学]&lt;9E+307)*(表成绩单[化学]&gt;表成绩单[[#This Row],[化学]]))+1)</f>
        <v>629</v>
      </c>
      <c r="U1504" s="29" cm="1">
        <f t="array" ref="U1504">IF(表成绩单[[#This Row],[政治]]="","",SUMPRODUCT((表成绩单[考试日期]=表成绩单[[#This Row],[考试日期]])*(表成绩单[政治]&lt;9E+307)*(表成绩单[政治]&gt;表成绩单[[#This Row],[政治]]))+1)</f>
        <v>717</v>
      </c>
      <c r="V1504" s="29" cm="1">
        <f t="array" ref="V1504">IF(表成绩单[[#This Row],[历史]]="","",SUMPRODUCT((表成绩单[考试日期]=表成绩单[[#This Row],[考试日期]])*(表成绩单[历史]&lt;9E+307)*(表成绩单[历史]&gt;表成绩单[[#This Row],[历史]]))+1)</f>
        <v>608</v>
      </c>
      <c r="W1504" s="29" cm="1">
        <f t="array" ref="W1504">IF(表成绩单[[#This Row],[总分]]="","",SUMPRODUCT((表成绩单[考试日期]=表成绩单[[#This Row],[考试日期]])*(表成绩单[总分]&lt;9E+307)*(表成绩单[总分]&gt;表成绩单[[#This Row],[总分]]))+1)</f>
        <v>701</v>
      </c>
    </row>
    <row r="1505" ht="28" customHeight="1" spans="4:23">
      <c r="D1505" s="31">
        <v>46003</v>
      </c>
      <c r="E1505" s="29">
        <v>19172641</v>
      </c>
      <c r="F1505" s="29" t="s">
        <v>60</v>
      </c>
      <c r="G1505" s="29" t="s">
        <v>796</v>
      </c>
      <c r="H1505" s="29">
        <v>65</v>
      </c>
      <c r="I1505" s="29">
        <v>25</v>
      </c>
      <c r="J1505" s="29">
        <v>35.5</v>
      </c>
      <c r="K1505" s="29">
        <v>38</v>
      </c>
      <c r="L1505" s="29">
        <v>57</v>
      </c>
      <c r="M1505" s="29">
        <v>31</v>
      </c>
      <c r="N1505" s="29">
        <v>47</v>
      </c>
      <c r="O1505" s="32">
        <v>298.5</v>
      </c>
      <c r="P1505" s="29" cm="1">
        <f t="array" ref="P1505">IF(表成绩单[[#This Row],[语文]]="","",SUMPRODUCT((表成绩单[考试日期]=表成绩单[[#This Row],[考试日期]])*(表成绩单[语文]&lt;9E+307)*(表成绩单[语文]&gt;表成绩单[[#This Row],[语文]]))+1)</f>
        <v>714</v>
      </c>
      <c r="Q1505" s="29" cm="1">
        <f t="array" ref="Q1505">IF(表成绩单[[#This Row],[数学]]="","",SUMPRODUCT((表成绩单[考试日期]=表成绩单[[#This Row],[考试日期]])*(表成绩单[数学]&lt;9E+307)*(表成绩单[数学]&gt;表成绩单[[#This Row],[数学]]))+1)</f>
        <v>700</v>
      </c>
      <c r="R1505" s="29" cm="1">
        <f t="array" ref="R1505">IF(表成绩单[[#This Row],[英语]]="","",SUMPRODUCT((表成绩单[考试日期]=表成绩单[[#This Row],[考试日期]])*(表成绩单[英语]&lt;9E+307)*(表成绩单[英语]&gt;表成绩单[[#This Row],[英语]]))+1)</f>
        <v>669</v>
      </c>
      <c r="S1505" s="29" cm="1">
        <f t="array" ref="S1505">IF(表成绩单[[#This Row],[物理]]="","",SUMPRODUCT((表成绩单[考试日期]=表成绩单[[#This Row],[考试日期]])*(表成绩单[物理]&lt;9E+307)*(表成绩单[物理]&gt;表成绩单[[#This Row],[物理]]))+1)</f>
        <v>688</v>
      </c>
      <c r="T1505" s="29" cm="1">
        <f t="array" ref="T1505">IF(表成绩单[[#This Row],[化学]]="","",SUMPRODUCT((表成绩单[考试日期]=表成绩单[[#This Row],[考试日期]])*(表成绩单[化学]&lt;9E+307)*(表成绩单[化学]&gt;表成绩单[[#This Row],[化学]]))+1)</f>
        <v>608</v>
      </c>
      <c r="U1505" s="29" cm="1">
        <f t="array" ref="U1505">IF(表成绩单[[#This Row],[政治]]="","",SUMPRODUCT((表成绩单[考试日期]=表成绩单[[#This Row],[考试日期]])*(表成绩单[政治]&lt;9E+307)*(表成绩单[政治]&gt;表成绩单[[#This Row],[政治]]))+1)</f>
        <v>721</v>
      </c>
      <c r="V1505" s="29" cm="1">
        <f t="array" ref="V1505">IF(表成绩单[[#This Row],[历史]]="","",SUMPRODUCT((表成绩单[考试日期]=表成绩单[[#This Row],[考试日期]])*(表成绩单[历史]&lt;9E+307)*(表成绩单[历史]&gt;表成绩单[[#This Row],[历史]]))+1)</f>
        <v>710</v>
      </c>
      <c r="W1505" s="29" cm="1">
        <f t="array" ref="W1505">IF(表成绩单[[#This Row],[总分]]="","",SUMPRODUCT((表成绩单[考试日期]=表成绩单[[#This Row],[考试日期]])*(表成绩单[总分]&lt;9E+307)*(表成绩单[总分]&gt;表成绩单[[#This Row],[总分]]))+1)</f>
        <v>703</v>
      </c>
    </row>
    <row r="1506" ht="28" customHeight="1" spans="4:23">
      <c r="D1506" s="31">
        <v>46003</v>
      </c>
      <c r="E1506" s="29">
        <v>19177607</v>
      </c>
      <c r="F1506" s="29" t="s">
        <v>58</v>
      </c>
      <c r="G1506" s="29" t="s">
        <v>841</v>
      </c>
      <c r="H1506" s="29">
        <v>80</v>
      </c>
      <c r="I1506" s="29">
        <v>27</v>
      </c>
      <c r="J1506" s="29">
        <v>17.5</v>
      </c>
      <c r="K1506" s="29">
        <v>32</v>
      </c>
      <c r="L1506" s="29">
        <v>50</v>
      </c>
      <c r="M1506" s="29">
        <v>39</v>
      </c>
      <c r="N1506" s="29">
        <v>49</v>
      </c>
      <c r="O1506" s="32">
        <v>294.5</v>
      </c>
      <c r="P1506" s="29" cm="1">
        <f t="array" ref="P1506">IF(表成绩单[[#This Row],[语文]]="","",SUMPRODUCT((表成绩单[考试日期]=表成绩单[[#This Row],[考试日期]])*(表成绩单[语文]&lt;9E+307)*(表成绩单[语文]&gt;表成绩单[[#This Row],[语文]]))+1)</f>
        <v>670</v>
      </c>
      <c r="Q1506" s="29" cm="1">
        <f t="array" ref="Q1506">IF(表成绩单[[#This Row],[数学]]="","",SUMPRODUCT((表成绩单[考试日期]=表成绩单[[#This Row],[考试日期]])*(表成绩单[数学]&lt;9E+307)*(表成绩单[数学]&gt;表成绩单[[#This Row],[数学]]))+1)</f>
        <v>694</v>
      </c>
      <c r="R1506" s="29" cm="1">
        <f t="array" ref="R1506">IF(表成绩单[[#This Row],[英语]]="","",SUMPRODUCT((表成绩单[考试日期]=表成绩单[[#This Row],[考试日期]])*(表成绩单[英语]&lt;9E+307)*(表成绩单[英语]&gt;表成绩单[[#This Row],[英语]]))+1)</f>
        <v>728</v>
      </c>
      <c r="S1506" s="29" cm="1">
        <f t="array" ref="S1506">IF(表成绩单[[#This Row],[物理]]="","",SUMPRODUCT((表成绩单[考试日期]=表成绩单[[#This Row],[考试日期]])*(表成绩单[物理]&lt;9E+307)*(表成绩单[物理]&gt;表成绩单[[#This Row],[物理]]))+1)</f>
        <v>700</v>
      </c>
      <c r="T1506" s="29" cm="1">
        <f t="array" ref="T1506">IF(表成绩单[[#This Row],[化学]]="","",SUMPRODUCT((表成绩单[考试日期]=表成绩单[[#This Row],[考试日期]])*(表成绩单[化学]&lt;9E+307)*(表成绩单[化学]&gt;表成绩单[[#This Row],[化学]]))+1)</f>
        <v>649</v>
      </c>
      <c r="U1506" s="29" cm="1">
        <f t="array" ref="U1506">IF(表成绩单[[#This Row],[政治]]="","",SUMPRODUCT((表成绩单[考试日期]=表成绩单[[#This Row],[考试日期]])*(表成绩单[政治]&lt;9E+307)*(表成绩单[政治]&gt;表成绩单[[#This Row],[政治]]))+1)</f>
        <v>680</v>
      </c>
      <c r="V1506" s="29" cm="1">
        <f t="array" ref="V1506">IF(表成绩单[[#This Row],[历史]]="","",SUMPRODUCT((表成绩单[考试日期]=表成绩单[[#This Row],[考试日期]])*(表成绩单[历史]&lt;9E+307)*(表成绩单[历史]&gt;表成绩单[[#This Row],[历史]]))+1)</f>
        <v>702</v>
      </c>
      <c r="W1506" s="29" cm="1">
        <f t="array" ref="W1506">IF(表成绩单[[#This Row],[总分]]="","",SUMPRODUCT((表成绩单[考试日期]=表成绩单[[#This Row],[考试日期]])*(表成绩单[总分]&lt;9E+307)*(表成绩单[总分]&gt;表成绩单[[#This Row],[总分]]))+1)</f>
        <v>704</v>
      </c>
    </row>
    <row r="1507" ht="28" customHeight="1" spans="4:23">
      <c r="D1507" s="31">
        <v>46003</v>
      </c>
      <c r="E1507" s="29">
        <v>19175984</v>
      </c>
      <c r="F1507" s="29" t="s">
        <v>59</v>
      </c>
      <c r="G1507" s="29" t="s">
        <v>810</v>
      </c>
      <c r="H1507" s="29">
        <v>75</v>
      </c>
      <c r="I1507" s="29">
        <v>30</v>
      </c>
      <c r="J1507" s="29">
        <v>27.5</v>
      </c>
      <c r="K1507" s="29">
        <v>23</v>
      </c>
      <c r="L1507" s="29">
        <v>38</v>
      </c>
      <c r="M1507" s="29">
        <v>38</v>
      </c>
      <c r="N1507" s="29">
        <v>54</v>
      </c>
      <c r="O1507" s="32">
        <v>285.5</v>
      </c>
      <c r="P1507" s="29" cm="1">
        <f t="array" ref="P1507">IF(表成绩单[[#This Row],[语文]]="","",SUMPRODUCT((表成绩单[考试日期]=表成绩单[[#This Row],[考试日期]])*(表成绩单[语文]&lt;9E+307)*(表成绩单[语文]&gt;表成绩单[[#This Row],[语文]]))+1)</f>
        <v>688</v>
      </c>
      <c r="Q1507" s="29" cm="1">
        <f t="array" ref="Q1507">IF(表成绩单[[#This Row],[数学]]="","",SUMPRODUCT((表成绩单[考试日期]=表成绩单[[#This Row],[考试日期]])*(表成绩单[数学]&lt;9E+307)*(表成绩单[数学]&gt;表成绩单[[#This Row],[数学]]))+1)</f>
        <v>676</v>
      </c>
      <c r="R1507" s="29" cm="1">
        <f t="array" ref="R1507">IF(表成绩单[[#This Row],[英语]]="","",SUMPRODUCT((表成绩单[考试日期]=表成绩单[[#This Row],[考试日期]])*(表成绩单[英语]&lt;9E+307)*(表成绩单[英语]&gt;表成绩单[[#This Row],[英语]]))+1)</f>
        <v>696</v>
      </c>
      <c r="S1507" s="29" cm="1">
        <f t="array" ref="S1507">IF(表成绩单[[#This Row],[物理]]="","",SUMPRODUCT((表成绩单[考试日期]=表成绩单[[#This Row],[考试日期]])*(表成绩单[物理]&lt;9E+307)*(表成绩单[物理]&gt;表成绩单[[#This Row],[物理]]))+1)</f>
        <v>713</v>
      </c>
      <c r="T1507" s="29" cm="1">
        <f t="array" ref="T1507">IF(表成绩单[[#This Row],[化学]]="","",SUMPRODUCT((表成绩单[考试日期]=表成绩单[[#This Row],[考试日期]])*(表成绩单[化学]&lt;9E+307)*(表成绩单[化学]&gt;表成绩单[[#This Row],[化学]]))+1)</f>
        <v>709</v>
      </c>
      <c r="U1507" s="29" cm="1">
        <f t="array" ref="U1507">IF(表成绩单[[#This Row],[政治]]="","",SUMPRODUCT((表成绩单[考试日期]=表成绩单[[#This Row],[考试日期]])*(表成绩单[政治]&lt;9E+307)*(表成绩单[政治]&gt;表成绩单[[#This Row],[政治]]))+1)</f>
        <v>689</v>
      </c>
      <c r="V1507" s="29" cm="1">
        <f t="array" ref="V1507">IF(表成绩单[[#This Row],[历史]]="","",SUMPRODUCT((表成绩单[考试日期]=表成绩单[[#This Row],[考试日期]])*(表成绩单[历史]&lt;9E+307)*(表成绩单[历史]&gt;表成绩单[[#This Row],[历史]]))+1)</f>
        <v>679</v>
      </c>
      <c r="W1507" s="29" cm="1">
        <f t="array" ref="W1507">IF(表成绩单[[#This Row],[总分]]="","",SUMPRODUCT((表成绩单[考试日期]=表成绩单[[#This Row],[考试日期]])*(表成绩单[总分]&lt;9E+307)*(表成绩单[总分]&gt;表成绩单[[#This Row],[总分]]))+1)</f>
        <v>705</v>
      </c>
    </row>
    <row r="1508" ht="28" customHeight="1" spans="4:23">
      <c r="D1508" s="31">
        <v>46003</v>
      </c>
      <c r="E1508" s="29">
        <v>19175328</v>
      </c>
      <c r="F1508" s="29" t="s">
        <v>55</v>
      </c>
      <c r="G1508" s="29" t="s">
        <v>848</v>
      </c>
      <c r="H1508" s="29">
        <v>76</v>
      </c>
      <c r="I1508" s="29">
        <v>13</v>
      </c>
      <c r="J1508" s="29">
        <v>15</v>
      </c>
      <c r="K1508" s="29">
        <v>41</v>
      </c>
      <c r="L1508" s="29">
        <v>36</v>
      </c>
      <c r="M1508" s="29">
        <v>48</v>
      </c>
      <c r="N1508" s="29">
        <v>54</v>
      </c>
      <c r="O1508" s="32">
        <v>283</v>
      </c>
      <c r="P1508" s="29" cm="1">
        <f t="array" ref="P1508">IF(表成绩单[[#This Row],[语文]]="","",SUMPRODUCT((表成绩单[考试日期]=表成绩单[[#This Row],[考试日期]])*(表成绩单[语文]&lt;9E+307)*(表成绩单[语文]&gt;表成绩单[[#This Row],[语文]]))+1)</f>
        <v>686</v>
      </c>
      <c r="Q1508" s="29" cm="1">
        <f t="array" ref="Q1508">IF(表成绩单[[#This Row],[数学]]="","",SUMPRODUCT((表成绩单[考试日期]=表成绩单[[#This Row],[考试日期]])*(表成绩单[数学]&lt;9E+307)*(表成绩单[数学]&gt;表成绩单[[#This Row],[数学]]))+1)</f>
        <v>723</v>
      </c>
      <c r="R1508" s="29" cm="1">
        <f t="array" ref="R1508">IF(表成绩单[[#This Row],[英语]]="","",SUMPRODUCT((表成绩单[考试日期]=表成绩单[[#This Row],[考试日期]])*(表成绩单[英语]&lt;9E+307)*(表成绩单[英语]&gt;表成绩单[[#This Row],[英语]]))+1)</f>
        <v>730</v>
      </c>
      <c r="S1508" s="29" cm="1">
        <f t="array" ref="S1508">IF(表成绩单[[#This Row],[物理]]="","",SUMPRODUCT((表成绩单[考试日期]=表成绩单[[#This Row],[考试日期]])*(表成绩单[物理]&lt;9E+307)*(表成绩单[物理]&gt;表成绩单[[#This Row],[物理]]))+1)</f>
        <v>672</v>
      </c>
      <c r="T1508" s="29" cm="1">
        <f t="array" ref="T1508">IF(表成绩单[[#This Row],[化学]]="","",SUMPRODUCT((表成绩单[考试日期]=表成绩单[[#This Row],[考试日期]])*(表成绩单[化学]&lt;9E+307)*(表成绩单[化学]&gt;表成绩单[[#This Row],[化学]]))+1)</f>
        <v>713</v>
      </c>
      <c r="U1508" s="29" cm="1">
        <f t="array" ref="U1508">IF(表成绩单[[#This Row],[政治]]="","",SUMPRODUCT((表成绩单[考试日期]=表成绩单[[#This Row],[考试日期]])*(表成绩单[政治]&lt;9E+307)*(表成绩单[政治]&gt;表成绩单[[#This Row],[政治]]))+1)</f>
        <v>612</v>
      </c>
      <c r="V1508" s="29" cm="1">
        <f t="array" ref="V1508">IF(表成绩单[[#This Row],[历史]]="","",SUMPRODUCT((表成绩单[考试日期]=表成绩单[[#This Row],[考试日期]])*(表成绩单[历史]&lt;9E+307)*(表成绩单[历史]&gt;表成绩单[[#This Row],[历史]]))+1)</f>
        <v>679</v>
      </c>
      <c r="W1508" s="29" cm="1">
        <f t="array" ref="W1508">IF(表成绩单[[#This Row],[总分]]="","",SUMPRODUCT((表成绩单[考试日期]=表成绩单[[#This Row],[考试日期]])*(表成绩单[总分]&lt;9E+307)*(表成绩单[总分]&gt;表成绩单[[#This Row],[总分]]))+1)</f>
        <v>706</v>
      </c>
    </row>
    <row r="1509" ht="28" customHeight="1" spans="4:23">
      <c r="D1509" s="31">
        <v>46003</v>
      </c>
      <c r="E1509" s="29">
        <v>19177609</v>
      </c>
      <c r="F1509" s="29" t="s">
        <v>58</v>
      </c>
      <c r="G1509" s="29" t="s">
        <v>864</v>
      </c>
      <c r="H1509" s="29">
        <v>60</v>
      </c>
      <c r="I1509" s="29">
        <v>24</v>
      </c>
      <c r="J1509" s="29">
        <v>51</v>
      </c>
      <c r="K1509" s="29">
        <v>34</v>
      </c>
      <c r="L1509" s="29">
        <v>33</v>
      </c>
      <c r="M1509" s="29">
        <v>39</v>
      </c>
      <c r="N1509" s="29">
        <v>42</v>
      </c>
      <c r="O1509" s="32">
        <v>283</v>
      </c>
      <c r="P1509" s="29" cm="1">
        <f t="array" ref="P1509">IF(表成绩单[[#This Row],[语文]]="","",SUMPRODUCT((表成绩单[考试日期]=表成绩单[[#This Row],[考试日期]])*(表成绩单[语文]&lt;9E+307)*(表成绩单[语文]&gt;表成绩单[[#This Row],[语文]]))+1)</f>
        <v>720</v>
      </c>
      <c r="Q1509" s="29" cm="1">
        <f t="array" ref="Q1509">IF(表成绩单[[#This Row],[数学]]="","",SUMPRODUCT((表成绩单[考试日期]=表成绩单[[#This Row],[考试日期]])*(表成绩单[数学]&lt;9E+307)*(表成绩单[数学]&gt;表成绩单[[#This Row],[数学]]))+1)</f>
        <v>701</v>
      </c>
      <c r="R1509" s="29" cm="1">
        <f t="array" ref="R1509">IF(表成绩单[[#This Row],[英语]]="","",SUMPRODUCT((表成绩单[考试日期]=表成绩单[[#This Row],[考试日期]])*(表成绩单[英语]&lt;9E+307)*(表成绩单[英语]&gt;表成绩单[[#This Row],[英语]]))+1)</f>
        <v>597</v>
      </c>
      <c r="S1509" s="29" cm="1">
        <f t="array" ref="S1509">IF(表成绩单[[#This Row],[物理]]="","",SUMPRODUCT((表成绩单[考试日期]=表成绩单[[#This Row],[考试日期]])*(表成绩单[物理]&lt;9E+307)*(表成绩单[物理]&gt;表成绩单[[#This Row],[物理]]))+1)</f>
        <v>696</v>
      </c>
      <c r="T1509" s="29" cm="1">
        <f t="array" ref="T1509">IF(表成绩单[[#This Row],[化学]]="","",SUMPRODUCT((表成绩单[考试日期]=表成绩单[[#This Row],[考试日期]])*(表成绩单[化学]&lt;9E+307)*(表成绩单[化学]&gt;表成绩单[[#This Row],[化学]]))+1)</f>
        <v>719</v>
      </c>
      <c r="U1509" s="29" cm="1">
        <f t="array" ref="U1509">IF(表成绩单[[#This Row],[政治]]="","",SUMPRODUCT((表成绩单[考试日期]=表成绩单[[#This Row],[考试日期]])*(表成绩单[政治]&lt;9E+307)*(表成绩单[政治]&gt;表成绩单[[#This Row],[政治]]))+1)</f>
        <v>680</v>
      </c>
      <c r="V1509" s="29" cm="1">
        <f t="array" ref="V1509">IF(表成绩单[[#This Row],[历史]]="","",SUMPRODUCT((表成绩单[考试日期]=表成绩单[[#This Row],[考试日期]])*(表成绩单[历史]&lt;9E+307)*(表成绩单[历史]&gt;表成绩单[[#This Row],[历史]]))+1)</f>
        <v>721</v>
      </c>
      <c r="W1509" s="29" cm="1">
        <f t="array" ref="W1509">IF(表成绩单[[#This Row],[总分]]="","",SUMPRODUCT((表成绩单[考试日期]=表成绩单[[#This Row],[考试日期]])*(表成绩单[总分]&lt;9E+307)*(表成绩单[总分]&gt;表成绩单[[#This Row],[总分]]))+1)</f>
        <v>706</v>
      </c>
    </row>
    <row r="1510" ht="28" customHeight="1" spans="4:23">
      <c r="D1510" s="31">
        <v>46003</v>
      </c>
      <c r="E1510" s="29">
        <v>19173271</v>
      </c>
      <c r="F1510" s="29" t="s">
        <v>61</v>
      </c>
      <c r="G1510" s="29" t="s">
        <v>824</v>
      </c>
      <c r="H1510" s="29">
        <v>81</v>
      </c>
      <c r="I1510" s="29">
        <v>16</v>
      </c>
      <c r="J1510" s="29">
        <v>24</v>
      </c>
      <c r="K1510" s="29">
        <v>29</v>
      </c>
      <c r="L1510" s="29">
        <v>40</v>
      </c>
      <c r="M1510" s="29">
        <v>39</v>
      </c>
      <c r="N1510" s="29">
        <v>53</v>
      </c>
      <c r="O1510" s="32">
        <v>282</v>
      </c>
      <c r="P1510" s="29" cm="1">
        <f t="array" ref="P1510">IF(表成绩单[[#This Row],[语文]]="","",SUMPRODUCT((表成绩单[考试日期]=表成绩单[[#This Row],[考试日期]])*(表成绩单[语文]&lt;9E+307)*(表成绩单[语文]&gt;表成绩单[[#This Row],[语文]]))+1)</f>
        <v>664</v>
      </c>
      <c r="Q1510" s="29" cm="1">
        <f t="array" ref="Q1510">IF(表成绩单[[#This Row],[数学]]="","",SUMPRODUCT((表成绩单[考试日期]=表成绩单[[#This Row],[考试日期]])*(表成绩单[数学]&lt;9E+307)*(表成绩单[数学]&gt;表成绩单[[#This Row],[数学]]))+1)</f>
        <v>715</v>
      </c>
      <c r="R1510" s="29" cm="1">
        <f t="array" ref="R1510">IF(表成绩单[[#This Row],[英语]]="","",SUMPRODUCT((表成绩单[考试日期]=表成绩单[[#This Row],[考试日期]])*(表成绩单[英语]&lt;9E+307)*(表成绩单[英语]&gt;表成绩单[[#This Row],[英语]]))+1)</f>
        <v>708</v>
      </c>
      <c r="S1510" s="29" cm="1">
        <f t="array" ref="S1510">IF(表成绩单[[#This Row],[物理]]="","",SUMPRODUCT((表成绩单[考试日期]=表成绩单[[#This Row],[考试日期]])*(表成绩单[物理]&lt;9E+307)*(表成绩单[物理]&gt;表成绩单[[#This Row],[物理]]))+1)</f>
        <v>703</v>
      </c>
      <c r="T1510" s="29" cm="1">
        <f t="array" ref="T1510">IF(表成绩单[[#This Row],[化学]]="","",SUMPRODUCT((表成绩单[考试日期]=表成绩单[[#This Row],[考试日期]])*(表成绩单[化学]&lt;9E+307)*(表成绩单[化学]&gt;表成绩单[[#This Row],[化学]]))+1)</f>
        <v>705</v>
      </c>
      <c r="U1510" s="29" cm="1">
        <f t="array" ref="U1510">IF(表成绩单[[#This Row],[政治]]="","",SUMPRODUCT((表成绩单[考试日期]=表成绩单[[#This Row],[考试日期]])*(表成绩单[政治]&lt;9E+307)*(表成绩单[政治]&gt;表成绩单[[#This Row],[政治]]))+1)</f>
        <v>680</v>
      </c>
      <c r="V1510" s="29" cm="1">
        <f t="array" ref="V1510">IF(表成绩单[[#This Row],[历史]]="","",SUMPRODUCT((表成绩单[考试日期]=表成绩单[[#This Row],[考试日期]])*(表成绩单[历史]&lt;9E+307)*(表成绩单[历史]&gt;表成绩单[[#This Row],[历史]]))+1)</f>
        <v>687</v>
      </c>
      <c r="W1510" s="29" cm="1">
        <f t="array" ref="W1510">IF(表成绩单[[#This Row],[总分]]="","",SUMPRODUCT((表成绩单[考试日期]=表成绩单[[#This Row],[考试日期]])*(表成绩单[总分]&lt;9E+307)*(表成绩单[总分]&gt;表成绩单[[#This Row],[总分]]))+1)</f>
        <v>708</v>
      </c>
    </row>
    <row r="1511" ht="28" customHeight="1" spans="4:23">
      <c r="D1511" s="31">
        <v>46003</v>
      </c>
      <c r="E1511" s="29">
        <v>26753945</v>
      </c>
      <c r="F1511" s="29" t="s">
        <v>57</v>
      </c>
      <c r="G1511" s="29" t="s">
        <v>863</v>
      </c>
      <c r="H1511" s="29">
        <v>77</v>
      </c>
      <c r="I1511" s="29">
        <v>7</v>
      </c>
      <c r="J1511" s="29">
        <v>20</v>
      </c>
      <c r="K1511" s="29">
        <v>28</v>
      </c>
      <c r="L1511" s="29">
        <v>44</v>
      </c>
      <c r="M1511" s="29">
        <v>35</v>
      </c>
      <c r="N1511" s="29">
        <v>70</v>
      </c>
      <c r="O1511" s="32">
        <v>281</v>
      </c>
      <c r="P1511" s="29" cm="1">
        <f t="array" ref="P1511">IF(表成绩单[[#This Row],[语文]]="","",SUMPRODUCT((表成绩单[考试日期]=表成绩单[[#This Row],[考试日期]])*(表成绩单[语文]&lt;9E+307)*(表成绩单[语文]&gt;表成绩单[[#This Row],[语文]]))+1)</f>
        <v>684</v>
      </c>
      <c r="Q1511" s="29" cm="1">
        <f t="array" ref="Q1511">IF(表成绩单[[#This Row],[数学]]="","",SUMPRODUCT((表成绩单[考试日期]=表成绩单[[#This Row],[考试日期]])*(表成绩单[数学]&lt;9E+307)*(表成绩单[数学]&gt;表成绩单[[#This Row],[数学]]))+1)</f>
        <v>730</v>
      </c>
      <c r="R1511" s="29" cm="1">
        <f t="array" ref="R1511">IF(表成绩单[[#This Row],[英语]]="","",SUMPRODUCT((表成绩单[考试日期]=表成绩单[[#This Row],[考试日期]])*(表成绩单[英语]&lt;9E+307)*(表成绩单[英语]&gt;表成绩单[[#This Row],[英语]]))+1)</f>
        <v>720</v>
      </c>
      <c r="S1511" s="29" cm="1">
        <f t="array" ref="S1511">IF(表成绩单[[#This Row],[物理]]="","",SUMPRODUCT((表成绩单[考试日期]=表成绩单[[#This Row],[考试日期]])*(表成绩单[物理]&lt;9E+307)*(表成绩单[物理]&gt;表成绩单[[#This Row],[物理]]))+1)</f>
        <v>707</v>
      </c>
      <c r="T1511" s="29" cm="1">
        <f t="array" ref="T1511">IF(表成绩单[[#This Row],[化学]]="","",SUMPRODUCT((表成绩单[考试日期]=表成绩单[[#This Row],[考试日期]])*(表成绩单[化学]&lt;9E+307)*(表成绩单[化学]&gt;表成绩单[[#This Row],[化学]]))+1)</f>
        <v>684</v>
      </c>
      <c r="U1511" s="29" cm="1">
        <f t="array" ref="U1511">IF(表成绩单[[#This Row],[政治]]="","",SUMPRODUCT((表成绩单[考试日期]=表成绩单[[#This Row],[考试日期]])*(表成绩单[政治]&lt;9E+307)*(表成绩单[政治]&gt;表成绩单[[#This Row],[政治]]))+1)</f>
        <v>711</v>
      </c>
      <c r="V1511" s="29" cm="1">
        <f t="array" ref="V1511">IF(表成绩单[[#This Row],[历史]]="","",SUMPRODUCT((表成绩单[考试日期]=表成绩单[[#This Row],[考试日期]])*(表成绩单[历史]&lt;9E+307)*(表成绩单[历史]&gt;表成绩单[[#This Row],[历史]]))+1)</f>
        <v>499</v>
      </c>
      <c r="W1511" s="29" cm="1">
        <f t="array" ref="W1511">IF(表成绩单[[#This Row],[总分]]="","",SUMPRODUCT((表成绩单[考试日期]=表成绩单[[#This Row],[考试日期]])*(表成绩单[总分]&lt;9E+307)*(表成绩单[总分]&gt;表成绩单[[#This Row],[总分]]))+1)</f>
        <v>709</v>
      </c>
    </row>
    <row r="1512" ht="28" customHeight="1" spans="4:23">
      <c r="D1512" s="31">
        <v>46003</v>
      </c>
      <c r="E1512" s="29">
        <v>19175317</v>
      </c>
      <c r="F1512" s="29" t="s">
        <v>55</v>
      </c>
      <c r="G1512" s="29" t="s">
        <v>852</v>
      </c>
      <c r="H1512" s="29">
        <v>69</v>
      </c>
      <c r="I1512" s="29">
        <v>32</v>
      </c>
      <c r="J1512" s="29">
        <v>30</v>
      </c>
      <c r="K1512" s="29">
        <v>24</v>
      </c>
      <c r="L1512" s="29">
        <v>36</v>
      </c>
      <c r="M1512" s="29">
        <v>37</v>
      </c>
      <c r="N1512" s="29">
        <v>52</v>
      </c>
      <c r="O1512" s="32">
        <v>280</v>
      </c>
      <c r="P1512" s="29" cm="1">
        <f t="array" ref="P1512">IF(表成绩单[[#This Row],[语文]]="","",SUMPRODUCT((表成绩单[考试日期]=表成绩单[[#This Row],[考试日期]])*(表成绩单[语文]&lt;9E+307)*(表成绩单[语文]&gt;表成绩单[[#This Row],[语文]]))+1)</f>
        <v>703</v>
      </c>
      <c r="Q1512" s="29" cm="1">
        <f t="array" ref="Q1512">IF(表成绩单[[#This Row],[数学]]="","",SUMPRODUCT((表成绩单[考试日期]=表成绩单[[#This Row],[考试日期]])*(表成绩单[数学]&lt;9E+307)*(表成绩单[数学]&gt;表成绩单[[#This Row],[数学]]))+1)</f>
        <v>668</v>
      </c>
      <c r="R1512" s="29" cm="1">
        <f t="array" ref="R1512">IF(表成绩单[[#This Row],[英语]]="","",SUMPRODUCT((表成绩单[考试日期]=表成绩单[[#This Row],[考试日期]])*(表成绩单[英语]&lt;9E+307)*(表成绩单[英语]&gt;表成绩单[[#This Row],[英语]]))+1)</f>
        <v>691</v>
      </c>
      <c r="S1512" s="29" cm="1">
        <f t="array" ref="S1512">IF(表成绩单[[#This Row],[物理]]="","",SUMPRODUCT((表成绩单[考试日期]=表成绩单[[#This Row],[考试日期]])*(表成绩单[物理]&lt;9E+307)*(表成绩单[物理]&gt;表成绩单[[#This Row],[物理]]))+1)</f>
        <v>712</v>
      </c>
      <c r="T1512" s="29" cm="1">
        <f t="array" ref="T1512">IF(表成绩单[[#This Row],[化学]]="","",SUMPRODUCT((表成绩单[考试日期]=表成绩单[[#This Row],[考试日期]])*(表成绩单[化学]&lt;9E+307)*(表成绩单[化学]&gt;表成绩单[[#This Row],[化学]]))+1)</f>
        <v>713</v>
      </c>
      <c r="U1512" s="29" cm="1">
        <f t="array" ref="U1512">IF(表成绩单[[#This Row],[政治]]="","",SUMPRODUCT((表成绩单[考试日期]=表成绩单[[#This Row],[考试日期]])*(表成绩单[政治]&lt;9E+307)*(表成绩单[政治]&gt;表成绩单[[#This Row],[政治]]))+1)</f>
        <v>697</v>
      </c>
      <c r="V1512" s="29" cm="1">
        <f t="array" ref="V1512">IF(表成绩单[[#This Row],[历史]]="","",SUMPRODUCT((表成绩单[考试日期]=表成绩单[[#This Row],[考试日期]])*(表成绩单[历史]&lt;9E+307)*(表成绩单[历史]&gt;表成绩单[[#This Row],[历史]]))+1)</f>
        <v>693</v>
      </c>
      <c r="W1512" s="29" cm="1">
        <f t="array" ref="W1512">IF(表成绩单[[#This Row],[总分]]="","",SUMPRODUCT((表成绩单[考试日期]=表成绩单[[#This Row],[考试日期]])*(表成绩单[总分]&lt;9E+307)*(表成绩单[总分]&gt;表成绩单[[#This Row],[总分]]))+1)</f>
        <v>710</v>
      </c>
    </row>
    <row r="1513" ht="28" customHeight="1" spans="4:23">
      <c r="D1513" s="31">
        <v>46003</v>
      </c>
      <c r="E1513" s="29">
        <v>19177674</v>
      </c>
      <c r="F1513" s="29" t="s">
        <v>63</v>
      </c>
      <c r="G1513" s="29" t="s">
        <v>856</v>
      </c>
      <c r="H1513" s="29">
        <v>78</v>
      </c>
      <c r="I1513" s="29">
        <v>28</v>
      </c>
      <c r="J1513" s="29">
        <v>13</v>
      </c>
      <c r="K1513" s="29">
        <v>40</v>
      </c>
      <c r="L1513" s="29">
        <v>37</v>
      </c>
      <c r="M1513" s="29">
        <v>26</v>
      </c>
      <c r="N1513" s="29">
        <v>53</v>
      </c>
      <c r="O1513" s="32">
        <v>275</v>
      </c>
      <c r="P1513" s="29" cm="1">
        <f t="array" ref="P1513">IF(表成绩单[[#This Row],[语文]]="","",SUMPRODUCT((表成绩单[考试日期]=表成绩单[[#This Row],[考试日期]])*(表成绩单[语文]&lt;9E+307)*(表成绩单[语文]&gt;表成绩单[[#This Row],[语文]]))+1)</f>
        <v>680</v>
      </c>
      <c r="Q1513" s="29" cm="1">
        <f t="array" ref="Q1513">IF(表成绩单[[#This Row],[数学]]="","",SUMPRODUCT((表成绩单[考试日期]=表成绩单[[#This Row],[考试日期]])*(表成绩单[数学]&lt;9E+307)*(表成绩单[数学]&gt;表成绩单[[#This Row],[数学]]))+1)</f>
        <v>686</v>
      </c>
      <c r="R1513" s="29" cm="1">
        <f t="array" ref="R1513">IF(表成绩单[[#This Row],[英语]]="","",SUMPRODUCT((表成绩单[考试日期]=表成绩单[[#This Row],[考试日期]])*(表成绩单[英语]&lt;9E+307)*(表成绩单[英语]&gt;表成绩单[[#This Row],[英语]]))+1)</f>
        <v>731</v>
      </c>
      <c r="S1513" s="29" cm="1">
        <f t="array" ref="S1513">IF(表成绩单[[#This Row],[物理]]="","",SUMPRODUCT((表成绩单[考试日期]=表成绩单[[#This Row],[考试日期]])*(表成绩单[物理]&lt;9E+307)*(表成绩单[物理]&gt;表成绩单[[#This Row],[物理]]))+1)</f>
        <v>677</v>
      </c>
      <c r="T1513" s="29" cm="1">
        <f t="array" ref="T1513">IF(表成绩单[[#This Row],[化学]]="","",SUMPRODUCT((表成绩单[考试日期]=表成绩单[[#This Row],[考试日期]])*(表成绩单[化学]&lt;9E+307)*(表成绩单[化学]&gt;表成绩单[[#This Row],[化学]]))+1)</f>
        <v>711</v>
      </c>
      <c r="U1513" s="29" cm="1">
        <f t="array" ref="U1513">IF(表成绩单[[#This Row],[政治]]="","",SUMPRODUCT((表成绩单[考试日期]=表成绩单[[#This Row],[考试日期]])*(表成绩单[政治]&lt;9E+307)*(表成绩单[政治]&gt;表成绩单[[#This Row],[政治]]))+1)</f>
        <v>730</v>
      </c>
      <c r="V1513" s="29" cm="1">
        <f t="array" ref="V1513">IF(表成绩单[[#This Row],[历史]]="","",SUMPRODUCT((表成绩单[考试日期]=表成绩单[[#This Row],[考试日期]])*(表成绩单[历史]&lt;9E+307)*(表成绩单[历史]&gt;表成绩单[[#This Row],[历史]]))+1)</f>
        <v>687</v>
      </c>
      <c r="W1513" s="29" cm="1">
        <f t="array" ref="W1513">IF(表成绩单[[#This Row],[总分]]="","",SUMPRODUCT((表成绩单[考试日期]=表成绩单[[#This Row],[考试日期]])*(表成绩单[总分]&lt;9E+307)*(表成绩单[总分]&gt;表成绩单[[#This Row],[总分]]))+1)</f>
        <v>711</v>
      </c>
    </row>
    <row r="1514" ht="28" customHeight="1" spans="4:23">
      <c r="D1514" s="31">
        <v>46003</v>
      </c>
      <c r="E1514" s="29">
        <v>19175997</v>
      </c>
      <c r="F1514" s="29" t="s">
        <v>59</v>
      </c>
      <c r="G1514" s="29" t="s">
        <v>813</v>
      </c>
      <c r="H1514" s="29">
        <v>58</v>
      </c>
      <c r="I1514" s="29">
        <v>28</v>
      </c>
      <c r="J1514" s="29">
        <v>26</v>
      </c>
      <c r="K1514" s="29">
        <v>19</v>
      </c>
      <c r="L1514" s="29">
        <v>44</v>
      </c>
      <c r="M1514" s="29">
        <v>38</v>
      </c>
      <c r="N1514" s="29">
        <v>58</v>
      </c>
      <c r="O1514" s="32">
        <v>271</v>
      </c>
      <c r="P1514" s="29" cm="1">
        <f t="array" ref="P1514">IF(表成绩单[[#This Row],[语文]]="","",SUMPRODUCT((表成绩单[考试日期]=表成绩单[[#This Row],[考试日期]])*(表成绩单[语文]&lt;9E+307)*(表成绩单[语文]&gt;表成绩单[[#This Row],[语文]]))+1)</f>
        <v>722</v>
      </c>
      <c r="Q1514" s="29" cm="1">
        <f t="array" ref="Q1514">IF(表成绩单[[#This Row],[数学]]="","",SUMPRODUCT((表成绩单[考试日期]=表成绩单[[#This Row],[考试日期]])*(表成绩单[数学]&lt;9E+307)*(表成绩单[数学]&gt;表成绩单[[#This Row],[数学]]))+1)</f>
        <v>686</v>
      </c>
      <c r="R1514" s="29" cm="1">
        <f t="array" ref="R1514">IF(表成绩单[[#This Row],[英语]]="","",SUMPRODUCT((表成绩单[考试日期]=表成绩单[[#This Row],[考试日期]])*(表成绩单[英语]&lt;9E+307)*(表成绩单[英语]&gt;表成绩单[[#This Row],[英语]]))+1)</f>
        <v>701</v>
      </c>
      <c r="S1514" s="29" cm="1">
        <f t="array" ref="S1514">IF(表成绩单[[#This Row],[物理]]="","",SUMPRODUCT((表成绩单[考试日期]=表成绩单[[#This Row],[考试日期]])*(表成绩单[物理]&lt;9E+307)*(表成绩单[物理]&gt;表成绩单[[#This Row],[物理]]))+1)</f>
        <v>721</v>
      </c>
      <c r="T1514" s="29" cm="1">
        <f t="array" ref="T1514">IF(表成绩单[[#This Row],[化学]]="","",SUMPRODUCT((表成绩单[考试日期]=表成绩单[[#This Row],[考试日期]])*(表成绩单[化学]&lt;9E+307)*(表成绩单[化学]&gt;表成绩单[[#This Row],[化学]]))+1)</f>
        <v>684</v>
      </c>
      <c r="U1514" s="29" cm="1">
        <f t="array" ref="U1514">IF(表成绩单[[#This Row],[政治]]="","",SUMPRODUCT((表成绩单[考试日期]=表成绩单[[#This Row],[考试日期]])*(表成绩单[政治]&lt;9E+307)*(表成绩单[政治]&gt;表成绩单[[#This Row],[政治]]))+1)</f>
        <v>689</v>
      </c>
      <c r="V1514" s="29" cm="1">
        <f t="array" ref="V1514">IF(表成绩单[[#This Row],[历史]]="","",SUMPRODUCT((表成绩单[考试日期]=表成绩单[[#This Row],[考试日期]])*(表成绩单[历史]&lt;9E+307)*(表成绩单[历史]&gt;表成绩单[[#This Row],[历史]]))+1)</f>
        <v>651</v>
      </c>
      <c r="W1514" s="29" cm="1">
        <f t="array" ref="W1514">IF(表成绩单[[#This Row],[总分]]="","",SUMPRODUCT((表成绩单[考试日期]=表成绩单[[#This Row],[考试日期]])*(表成绩单[总分]&lt;9E+307)*(表成绩单[总分]&gt;表成绩单[[#This Row],[总分]]))+1)</f>
        <v>713</v>
      </c>
    </row>
    <row r="1515" ht="28" customHeight="1" spans="4:23">
      <c r="D1515" s="31">
        <v>46003</v>
      </c>
      <c r="E1515" s="29">
        <v>19173239</v>
      </c>
      <c r="F1515" s="29" t="s">
        <v>61</v>
      </c>
      <c r="G1515" s="29" t="s">
        <v>855</v>
      </c>
      <c r="H1515" s="29">
        <v>73</v>
      </c>
      <c r="I1515" s="29">
        <v>29</v>
      </c>
      <c r="J1515" s="29">
        <v>29</v>
      </c>
      <c r="K1515" s="29">
        <v>12</v>
      </c>
      <c r="L1515" s="29">
        <v>33</v>
      </c>
      <c r="M1515" s="29">
        <v>41</v>
      </c>
      <c r="N1515" s="29">
        <v>48</v>
      </c>
      <c r="O1515" s="32">
        <v>265</v>
      </c>
      <c r="P1515" s="29" cm="1">
        <f t="array" ref="P1515">IF(表成绩单[[#This Row],[语文]]="","",SUMPRODUCT((表成绩单[考试日期]=表成绩单[[#This Row],[考试日期]])*(表成绩单[语文]&lt;9E+307)*(表成绩单[语文]&gt;表成绩单[[#This Row],[语文]]))+1)</f>
        <v>692</v>
      </c>
      <c r="Q1515" s="29" cm="1">
        <f t="array" ref="Q1515">IF(表成绩单[[#This Row],[数学]]="","",SUMPRODUCT((表成绩单[考试日期]=表成绩单[[#This Row],[考试日期]])*(表成绩单[数学]&lt;9E+307)*(表成绩单[数学]&gt;表成绩单[[#This Row],[数学]]))+1)</f>
        <v>681</v>
      </c>
      <c r="R1515" s="29" cm="1">
        <f t="array" ref="R1515">IF(表成绩单[[#This Row],[英语]]="","",SUMPRODUCT((表成绩单[考试日期]=表成绩单[[#This Row],[考试日期]])*(表成绩单[英语]&lt;9E+307)*(表成绩单[英语]&gt;表成绩单[[#This Row],[英语]]))+1)</f>
        <v>694</v>
      </c>
      <c r="S1515" s="29" cm="1">
        <f t="array" ref="S1515">IF(表成绩单[[#This Row],[物理]]="","",SUMPRODUCT((表成绩单[考试日期]=表成绩单[[#This Row],[考试日期]])*(表成绩单[物理]&lt;9E+307)*(表成绩单[物理]&gt;表成绩单[[#This Row],[物理]]))+1)</f>
        <v>731</v>
      </c>
      <c r="T1515" s="29" cm="1">
        <f t="array" ref="T1515">IF(表成绩单[[#This Row],[化学]]="","",SUMPRODUCT((表成绩单[考试日期]=表成绩单[[#This Row],[考试日期]])*(表成绩单[化学]&lt;9E+307)*(表成绩单[化学]&gt;表成绩单[[#This Row],[化学]]))+1)</f>
        <v>719</v>
      </c>
      <c r="U1515" s="29" cm="1">
        <f t="array" ref="U1515">IF(表成绩单[[#This Row],[政治]]="","",SUMPRODUCT((表成绩单[考试日期]=表成绩单[[#This Row],[考试日期]])*(表成绩单[政治]&lt;9E+307)*(表成绩单[政治]&gt;表成绩单[[#This Row],[政治]]))+1)</f>
        <v>668</v>
      </c>
      <c r="V1515" s="29" cm="1">
        <f t="array" ref="V1515">IF(表成绩单[[#This Row],[历史]]="","",SUMPRODUCT((表成绩单[考试日期]=表成绩单[[#This Row],[考试日期]])*(表成绩单[历史]&lt;9E+307)*(表成绩单[历史]&gt;表成绩单[[#This Row],[历史]]))+1)</f>
        <v>706</v>
      </c>
      <c r="W1515" s="29" cm="1">
        <f t="array" ref="W1515">IF(表成绩单[[#This Row],[总分]]="","",SUMPRODUCT((表成绩单[考试日期]=表成绩单[[#This Row],[考试日期]])*(表成绩单[总分]&lt;9E+307)*(表成绩单[总分]&gt;表成绩单[[#This Row],[总分]]))+1)</f>
        <v>714</v>
      </c>
    </row>
    <row r="1516" ht="28" customHeight="1" spans="4:23">
      <c r="D1516" s="31">
        <v>46003</v>
      </c>
      <c r="E1516" s="29">
        <v>19176021</v>
      </c>
      <c r="F1516" s="29" t="s">
        <v>59</v>
      </c>
      <c r="G1516" s="29" t="s">
        <v>860</v>
      </c>
      <c r="H1516" s="29">
        <v>80</v>
      </c>
      <c r="I1516" s="29">
        <v>6</v>
      </c>
      <c r="J1516" s="29">
        <v>36</v>
      </c>
      <c r="K1516" s="29">
        <v>19</v>
      </c>
      <c r="L1516" s="29">
        <v>34</v>
      </c>
      <c r="M1516" s="29">
        <v>31</v>
      </c>
      <c r="N1516" s="29">
        <v>58</v>
      </c>
      <c r="O1516" s="32">
        <v>264</v>
      </c>
      <c r="P1516" s="29" cm="1">
        <f t="array" ref="P1516">IF(表成绩单[[#This Row],[语文]]="","",SUMPRODUCT((表成绩单[考试日期]=表成绩单[[#This Row],[考试日期]])*(表成绩单[语文]&lt;9E+307)*(表成绩单[语文]&gt;表成绩单[[#This Row],[语文]]))+1)</f>
        <v>670</v>
      </c>
      <c r="Q1516" s="29" cm="1">
        <f t="array" ref="Q1516">IF(表成绩单[[#This Row],[数学]]="","",SUMPRODUCT((表成绩单[考试日期]=表成绩单[[#This Row],[考试日期]])*(表成绩单[数学]&lt;9E+307)*(表成绩单[数学]&gt;表成绩单[[#This Row],[数学]]))+1)</f>
        <v>731</v>
      </c>
      <c r="R1516" s="29" cm="1">
        <f t="array" ref="R1516">IF(表成绩单[[#This Row],[英语]]="","",SUMPRODUCT((表成绩单[考试日期]=表成绩单[[#This Row],[考试日期]])*(表成绩单[英语]&lt;9E+307)*(表成绩单[英语]&gt;表成绩单[[#This Row],[英语]]))+1)</f>
        <v>664</v>
      </c>
      <c r="S1516" s="29" cm="1">
        <f t="array" ref="S1516">IF(表成绩单[[#This Row],[物理]]="","",SUMPRODUCT((表成绩单[考试日期]=表成绩单[[#This Row],[考试日期]])*(表成绩单[物理]&lt;9E+307)*(表成绩单[物理]&gt;表成绩单[[#This Row],[物理]]))+1)</f>
        <v>721</v>
      </c>
      <c r="T1516" s="29" cm="1">
        <f t="array" ref="T1516">IF(表成绩单[[#This Row],[化学]]="","",SUMPRODUCT((表成绩单[考试日期]=表成绩单[[#This Row],[考试日期]])*(表成绩单[化学]&lt;9E+307)*(表成绩单[化学]&gt;表成绩单[[#This Row],[化学]]))+1)</f>
        <v>718</v>
      </c>
      <c r="U1516" s="29" cm="1">
        <f t="array" ref="U1516">IF(表成绩单[[#This Row],[政治]]="","",SUMPRODUCT((表成绩单[考试日期]=表成绩单[[#This Row],[考试日期]])*(表成绩单[政治]&lt;9E+307)*(表成绩单[政治]&gt;表成绩单[[#This Row],[政治]]))+1)</f>
        <v>721</v>
      </c>
      <c r="V1516" s="29" cm="1">
        <f t="array" ref="V1516">IF(表成绩单[[#This Row],[历史]]="","",SUMPRODUCT((表成绩单[考试日期]=表成绩单[[#This Row],[考试日期]])*(表成绩单[历史]&lt;9E+307)*(表成绩单[历史]&gt;表成绩单[[#This Row],[历史]]))+1)</f>
        <v>651</v>
      </c>
      <c r="W1516" s="29" cm="1">
        <f t="array" ref="W1516">IF(表成绩单[[#This Row],[总分]]="","",SUMPRODUCT((表成绩单[考试日期]=表成绩单[[#This Row],[考试日期]])*(表成绩单[总分]&lt;9E+307)*(表成绩单[总分]&gt;表成绩单[[#This Row],[总分]]))+1)</f>
        <v>715</v>
      </c>
    </row>
    <row r="1517" ht="28" customHeight="1" spans="4:23">
      <c r="D1517" s="31">
        <v>46003</v>
      </c>
      <c r="E1517" s="29">
        <v>19177622</v>
      </c>
      <c r="F1517" s="29" t="s">
        <v>58</v>
      </c>
      <c r="G1517" s="29" t="s">
        <v>832</v>
      </c>
      <c r="H1517" s="29">
        <v>66</v>
      </c>
      <c r="I1517" s="29">
        <v>24</v>
      </c>
      <c r="J1517" s="29">
        <v>23</v>
      </c>
      <c r="K1517" s="29">
        <v>29</v>
      </c>
      <c r="L1517" s="29">
        <v>45</v>
      </c>
      <c r="M1517" s="29">
        <v>38</v>
      </c>
      <c r="N1517" s="29">
        <v>39</v>
      </c>
      <c r="O1517" s="32">
        <v>264</v>
      </c>
      <c r="P1517" s="29" cm="1">
        <f t="array" ref="P1517">IF(表成绩单[[#This Row],[语文]]="","",SUMPRODUCT((表成绩单[考试日期]=表成绩单[[#This Row],[考试日期]])*(表成绩单[语文]&lt;9E+307)*(表成绩单[语文]&gt;表成绩单[[#This Row],[语文]]))+1)</f>
        <v>712</v>
      </c>
      <c r="Q1517" s="29" cm="1">
        <f t="array" ref="Q1517">IF(表成绩单[[#This Row],[数学]]="","",SUMPRODUCT((表成绩单[考试日期]=表成绩单[[#This Row],[考试日期]])*(表成绩单[数学]&lt;9E+307)*(表成绩单[数学]&gt;表成绩单[[#This Row],[数学]]))+1)</f>
        <v>701</v>
      </c>
      <c r="R1517" s="29" cm="1">
        <f t="array" ref="R1517">IF(表成绩单[[#This Row],[英语]]="","",SUMPRODUCT((表成绩单[考试日期]=表成绩单[[#This Row],[考试日期]])*(表成绩单[英语]&lt;9E+307)*(表成绩单[英语]&gt;表成绩单[[#This Row],[英语]]))+1)</f>
        <v>710</v>
      </c>
      <c r="S1517" s="29" cm="1">
        <f t="array" ref="S1517">IF(表成绩单[[#This Row],[物理]]="","",SUMPRODUCT((表成绩单[考试日期]=表成绩单[[#This Row],[考试日期]])*(表成绩单[物理]&lt;9E+307)*(表成绩单[物理]&gt;表成绩单[[#This Row],[物理]]))+1)</f>
        <v>703</v>
      </c>
      <c r="T1517" s="29" cm="1">
        <f t="array" ref="T1517">IF(表成绩单[[#This Row],[化学]]="","",SUMPRODUCT((表成绩单[考试日期]=表成绩单[[#This Row],[考试日期]])*(表成绩单[化学]&lt;9E+307)*(表成绩单[化学]&gt;表成绩单[[#This Row],[化学]]))+1)</f>
        <v>681</v>
      </c>
      <c r="U1517" s="29" cm="1">
        <f t="array" ref="U1517">IF(表成绩单[[#This Row],[政治]]="","",SUMPRODUCT((表成绩单[考试日期]=表成绩单[[#This Row],[考试日期]])*(表成绩单[政治]&lt;9E+307)*(表成绩单[政治]&gt;表成绩单[[#This Row],[政治]]))+1)</f>
        <v>689</v>
      </c>
      <c r="V1517" s="29" cm="1">
        <f t="array" ref="V1517">IF(表成绩单[[#This Row],[历史]]="","",SUMPRODUCT((表成绩单[考试日期]=表成绩单[[#This Row],[考试日期]])*(表成绩单[历史]&lt;9E+307)*(表成绩单[历史]&gt;表成绩单[[#This Row],[历史]]))+1)</f>
        <v>726</v>
      </c>
      <c r="W1517" s="29" cm="1">
        <f t="array" ref="W1517">IF(表成绩单[[#This Row],[总分]]="","",SUMPRODUCT((表成绩单[考试日期]=表成绩单[[#This Row],[考试日期]])*(表成绩单[总分]&lt;9E+307)*(表成绩单[总分]&gt;表成绩单[[#This Row],[总分]]))+1)</f>
        <v>715</v>
      </c>
    </row>
    <row r="1518" ht="28" customHeight="1" spans="4:23">
      <c r="D1518" s="31">
        <v>46003</v>
      </c>
      <c r="E1518" s="29">
        <v>19175599</v>
      </c>
      <c r="F1518" s="29" t="s">
        <v>57</v>
      </c>
      <c r="G1518" s="29" t="s">
        <v>850</v>
      </c>
      <c r="H1518" s="29">
        <v>68</v>
      </c>
      <c r="I1518" s="29">
        <v>29</v>
      </c>
      <c r="J1518" s="29">
        <v>31</v>
      </c>
      <c r="K1518" s="29">
        <v>23</v>
      </c>
      <c r="L1518" s="29">
        <v>33</v>
      </c>
      <c r="M1518" s="29">
        <v>43</v>
      </c>
      <c r="N1518" s="29">
        <v>34</v>
      </c>
      <c r="O1518" s="32">
        <v>261</v>
      </c>
      <c r="P1518" s="29" cm="1">
        <f t="array" ref="P1518">IF(表成绩单[[#This Row],[语文]]="","",SUMPRODUCT((表成绩单[考试日期]=表成绩单[[#This Row],[考试日期]])*(表成绩单[语文]&lt;9E+307)*(表成绩单[语文]&gt;表成绩单[[#This Row],[语文]]))+1)</f>
        <v>707</v>
      </c>
      <c r="Q1518" s="29" cm="1">
        <f t="array" ref="Q1518">IF(表成绩单[[#This Row],[数学]]="","",SUMPRODUCT((表成绩单[考试日期]=表成绩单[[#This Row],[考试日期]])*(表成绩单[数学]&lt;9E+307)*(表成绩单[数学]&gt;表成绩单[[#This Row],[数学]]))+1)</f>
        <v>681</v>
      </c>
      <c r="R1518" s="29" cm="1">
        <f t="array" ref="R1518">IF(表成绩单[[#This Row],[英语]]="","",SUMPRODUCT((表成绩单[考试日期]=表成绩单[[#This Row],[考试日期]])*(表成绩单[英语]&lt;9E+307)*(表成绩单[英语]&gt;表成绩单[[#This Row],[英语]]))+1)</f>
        <v>685</v>
      </c>
      <c r="S1518" s="29" cm="1">
        <f t="array" ref="S1518">IF(表成绩单[[#This Row],[物理]]="","",SUMPRODUCT((表成绩单[考试日期]=表成绩单[[#This Row],[考试日期]])*(表成绩单[物理]&lt;9E+307)*(表成绩单[物理]&gt;表成绩单[[#This Row],[物理]]))+1)</f>
        <v>713</v>
      </c>
      <c r="T1518" s="29" cm="1">
        <f t="array" ref="T1518">IF(表成绩单[[#This Row],[化学]]="","",SUMPRODUCT((表成绩单[考试日期]=表成绩单[[#This Row],[考试日期]])*(表成绩单[化学]&lt;9E+307)*(表成绩单[化学]&gt;表成绩单[[#This Row],[化学]]))+1)</f>
        <v>719</v>
      </c>
      <c r="U1518" s="29" cm="1">
        <f t="array" ref="U1518">IF(表成绩单[[#This Row],[政治]]="","",SUMPRODUCT((表成绩单[考试日期]=表成绩单[[#This Row],[考试日期]])*(表成绩单[政治]&lt;9E+307)*(表成绩单[政治]&gt;表成绩单[[#This Row],[政治]]))+1)</f>
        <v>660</v>
      </c>
      <c r="V1518" s="29" cm="1">
        <f t="array" ref="V1518">IF(表成绩单[[#This Row],[历史]]="","",SUMPRODUCT((表成绩单[考试日期]=表成绩单[[#This Row],[考试日期]])*(表成绩单[历史]&lt;9E+307)*(表成绩单[历史]&gt;表成绩单[[#This Row],[历史]]))+1)</f>
        <v>732</v>
      </c>
      <c r="W1518" s="29" cm="1">
        <f t="array" ref="W1518">IF(表成绩单[[#This Row],[总分]]="","",SUMPRODUCT((表成绩单[考试日期]=表成绩单[[#This Row],[考试日期]])*(表成绩单[总分]&lt;9E+307)*(表成绩单[总分]&gt;表成绩单[[#This Row],[总分]]))+1)</f>
        <v>717</v>
      </c>
    </row>
    <row r="1519" ht="28" customHeight="1" spans="4:23">
      <c r="D1519" s="31">
        <v>46003</v>
      </c>
      <c r="E1519" s="29">
        <v>19177608</v>
      </c>
      <c r="F1519" s="29" t="s">
        <v>58</v>
      </c>
      <c r="G1519" s="29" t="s">
        <v>853</v>
      </c>
      <c r="H1519" s="29">
        <v>65</v>
      </c>
      <c r="I1519" s="29">
        <v>28</v>
      </c>
      <c r="J1519" s="29">
        <v>21.5</v>
      </c>
      <c r="K1519" s="29">
        <v>42</v>
      </c>
      <c r="L1519" s="29">
        <v>29</v>
      </c>
      <c r="M1519" s="29">
        <v>32</v>
      </c>
      <c r="N1519" s="29">
        <v>43</v>
      </c>
      <c r="O1519" s="32">
        <v>260.5</v>
      </c>
      <c r="P1519" s="29" cm="1">
        <f t="array" ref="P1519">IF(表成绩单[[#This Row],[语文]]="","",SUMPRODUCT((表成绩单[考试日期]=表成绩单[[#This Row],[考试日期]])*(表成绩单[语文]&lt;9E+307)*(表成绩单[语文]&gt;表成绩单[[#This Row],[语文]]))+1)</f>
        <v>714</v>
      </c>
      <c r="Q1519" s="29" cm="1">
        <f t="array" ref="Q1519">IF(表成绩单[[#This Row],[数学]]="","",SUMPRODUCT((表成绩单[考试日期]=表成绩单[[#This Row],[考试日期]])*(表成绩单[数学]&lt;9E+307)*(表成绩单[数学]&gt;表成绩单[[#This Row],[数学]]))+1)</f>
        <v>686</v>
      </c>
      <c r="R1519" s="29" cm="1">
        <f t="array" ref="R1519">IF(表成绩单[[#This Row],[英语]]="","",SUMPRODUCT((表成绩单[考试日期]=表成绩单[[#This Row],[考试日期]])*(表成绩单[英语]&lt;9E+307)*(表成绩单[英语]&gt;表成绩单[[#This Row],[英语]]))+1)</f>
        <v>714</v>
      </c>
      <c r="S1519" s="29" cm="1">
        <f t="array" ref="S1519">IF(表成绩单[[#This Row],[物理]]="","",SUMPRODUCT((表成绩单[考试日期]=表成绩单[[#This Row],[考试日期]])*(表成绩单[物理]&lt;9E+307)*(表成绩单[物理]&gt;表成绩单[[#This Row],[物理]]))+1)</f>
        <v>666</v>
      </c>
      <c r="T1519" s="29" cm="1">
        <f t="array" ref="T1519">IF(表成绩单[[#This Row],[化学]]="","",SUMPRODUCT((表成绩单[考试日期]=表成绩单[[#This Row],[考试日期]])*(表成绩单[化学]&lt;9E+307)*(表成绩单[化学]&gt;表成绩单[[#This Row],[化学]]))+1)</f>
        <v>726</v>
      </c>
      <c r="U1519" s="29" cm="1">
        <f t="array" ref="U1519">IF(表成绩单[[#This Row],[政治]]="","",SUMPRODUCT((表成绩单[考试日期]=表成绩单[[#This Row],[考试日期]])*(表成绩单[政治]&lt;9E+307)*(表成绩单[政治]&gt;表成绩单[[#This Row],[政治]]))+1)</f>
        <v>717</v>
      </c>
      <c r="V1519" s="29" cm="1">
        <f t="array" ref="V1519">IF(表成绩单[[#This Row],[历史]]="","",SUMPRODUCT((表成绩单[考试日期]=表成绩单[[#This Row],[考试日期]])*(表成绩单[历史]&lt;9E+307)*(表成绩单[历史]&gt;表成绩单[[#This Row],[历史]]))+1)</f>
        <v>719</v>
      </c>
      <c r="W1519" s="29" cm="1">
        <f t="array" ref="W1519">IF(表成绩单[[#This Row],[总分]]="","",SUMPRODUCT((表成绩单[考试日期]=表成绩单[[#This Row],[考试日期]])*(表成绩单[总分]&lt;9E+307)*(表成绩单[总分]&gt;表成绩单[[#This Row],[总分]]))+1)</f>
        <v>718</v>
      </c>
    </row>
    <row r="1520" ht="28" customHeight="1" spans="4:23">
      <c r="D1520" s="31">
        <v>46003</v>
      </c>
      <c r="E1520" s="29">
        <v>19173769</v>
      </c>
      <c r="F1520" s="29" t="s">
        <v>65</v>
      </c>
      <c r="G1520" s="29" t="s">
        <v>866</v>
      </c>
      <c r="H1520" s="29">
        <v>59</v>
      </c>
      <c r="I1520" s="29">
        <v>26</v>
      </c>
      <c r="J1520" s="29">
        <v>10</v>
      </c>
      <c r="K1520" s="29">
        <v>18</v>
      </c>
      <c r="L1520" s="29">
        <v>24</v>
      </c>
      <c r="M1520" s="29">
        <v>46</v>
      </c>
      <c r="N1520" s="29">
        <v>65</v>
      </c>
      <c r="O1520" s="32">
        <v>248</v>
      </c>
      <c r="P1520" s="29" cm="1">
        <f t="array" ref="P1520">IF(表成绩单[[#This Row],[语文]]="","",SUMPRODUCT((表成绩单[考试日期]=表成绩单[[#This Row],[考试日期]])*(表成绩单[语文]&lt;9E+307)*(表成绩单[语文]&gt;表成绩单[[#This Row],[语文]]))+1)</f>
        <v>721</v>
      </c>
      <c r="Q1520" s="29" cm="1">
        <f t="array" ref="Q1520">IF(表成绩单[[#This Row],[数学]]="","",SUMPRODUCT((表成绩单[考试日期]=表成绩单[[#This Row],[考试日期]])*(表成绩单[数学]&lt;9E+307)*(表成绩单[数学]&gt;表成绩单[[#This Row],[数学]]))+1)</f>
        <v>697</v>
      </c>
      <c r="R1520" s="29" cm="1">
        <f t="array" ref="R1520">IF(表成绩单[[#This Row],[英语]]="","",SUMPRODUCT((表成绩单[考试日期]=表成绩单[[#This Row],[考试日期]])*(表成绩单[英语]&lt;9E+307)*(表成绩单[英语]&gt;表成绩单[[#This Row],[英语]]))+1)</f>
        <v>735</v>
      </c>
      <c r="S1520" s="29" cm="1">
        <f t="array" ref="S1520">IF(表成绩单[[#This Row],[物理]]="","",SUMPRODUCT((表成绩单[考试日期]=表成绩单[[#This Row],[考试日期]])*(表成绩单[物理]&lt;9E+307)*(表成绩单[物理]&gt;表成绩单[[#This Row],[物理]]))+1)</f>
        <v>726</v>
      </c>
      <c r="T1520" s="29" cm="1">
        <f t="array" ref="T1520">IF(表成绩单[[#This Row],[化学]]="","",SUMPRODUCT((表成绩单[考试日期]=表成绩单[[#This Row],[考试日期]])*(表成绩单[化学]&lt;9E+307)*(表成绩单[化学]&gt;表成绩单[[#This Row],[化学]]))+1)</f>
        <v>730</v>
      </c>
      <c r="U1520" s="29" cm="1">
        <f t="array" ref="U1520">IF(表成绩单[[#This Row],[政治]]="","",SUMPRODUCT((表成绩单[考试日期]=表成绩单[[#This Row],[考试日期]])*(表成绩单[政治]&lt;9E+307)*(表成绩单[政治]&gt;表成绩单[[#This Row],[政治]]))+1)</f>
        <v>629</v>
      </c>
      <c r="V1520" s="29" cm="1">
        <f t="array" ref="V1520">IF(表成绩单[[#This Row],[历史]]="","",SUMPRODUCT((表成绩单[考试日期]=表成绩单[[#This Row],[考试日期]])*(表成绩单[历史]&lt;9E+307)*(表成绩单[历史]&gt;表成绩单[[#This Row],[历史]]))+1)</f>
        <v>582</v>
      </c>
      <c r="W1520" s="29" cm="1">
        <f t="array" ref="W1520">IF(表成绩单[[#This Row],[总分]]="","",SUMPRODUCT((表成绩单[考试日期]=表成绩单[[#This Row],[考试日期]])*(表成绩单[总分]&lt;9E+307)*(表成绩单[总分]&gt;表成绩单[[#This Row],[总分]]))+1)</f>
        <v>720</v>
      </c>
    </row>
    <row r="1521" ht="28" customHeight="1" spans="4:23">
      <c r="D1521" s="31">
        <v>46003</v>
      </c>
      <c r="E1521" s="29">
        <v>19172637</v>
      </c>
      <c r="F1521" s="29" t="s">
        <v>60</v>
      </c>
      <c r="G1521" s="29" t="s">
        <v>865</v>
      </c>
      <c r="H1521" s="29">
        <v>51</v>
      </c>
      <c r="I1521" s="29">
        <v>12</v>
      </c>
      <c r="J1521" s="29">
        <v>43</v>
      </c>
      <c r="K1521" s="29">
        <v>23</v>
      </c>
      <c r="L1521" s="29">
        <v>36</v>
      </c>
      <c r="M1521" s="29">
        <v>30</v>
      </c>
      <c r="N1521" s="29">
        <v>50</v>
      </c>
      <c r="O1521" s="32">
        <v>245</v>
      </c>
      <c r="P1521" s="29" cm="1">
        <f t="array" ref="P1521">IF(表成绩单[[#This Row],[语文]]="","",SUMPRODUCT((表成绩单[考试日期]=表成绩单[[#This Row],[考试日期]])*(表成绩单[语文]&lt;9E+307)*(表成绩单[语文]&gt;表成绩单[[#This Row],[语文]]))+1)</f>
        <v>728</v>
      </c>
      <c r="Q1521" s="29" cm="1">
        <f t="array" ref="Q1521">IF(表成绩单[[#This Row],[数学]]="","",SUMPRODUCT((表成绩单[考试日期]=表成绩单[[#This Row],[考试日期]])*(表成绩单[数学]&lt;9E+307)*(表成绩单[数学]&gt;表成绩单[[#This Row],[数学]]))+1)</f>
        <v>726</v>
      </c>
      <c r="R1521" s="29" cm="1">
        <f t="array" ref="R1521">IF(表成绩单[[#This Row],[英语]]="","",SUMPRODUCT((表成绩单[考试日期]=表成绩单[[#This Row],[考试日期]])*(表成绩单[英语]&lt;9E+307)*(表成绩单[英语]&gt;表成绩单[[#This Row],[英语]]))+1)</f>
        <v>636</v>
      </c>
      <c r="S1521" s="29" cm="1">
        <f t="array" ref="S1521">IF(表成绩单[[#This Row],[物理]]="","",SUMPRODUCT((表成绩单[考试日期]=表成绩单[[#This Row],[考试日期]])*(表成绩单[物理]&lt;9E+307)*(表成绩单[物理]&gt;表成绩单[[#This Row],[物理]]))+1)</f>
        <v>713</v>
      </c>
      <c r="T1521" s="29" cm="1">
        <f t="array" ref="T1521">IF(表成绩单[[#This Row],[化学]]="","",SUMPRODUCT((表成绩单[考试日期]=表成绩单[[#This Row],[考试日期]])*(表成绩单[化学]&lt;9E+307)*(表成绩单[化学]&gt;表成绩单[[#This Row],[化学]]))+1)</f>
        <v>713</v>
      </c>
      <c r="U1521" s="29" cm="1">
        <f t="array" ref="U1521">IF(表成绩单[[#This Row],[政治]]="","",SUMPRODUCT((表成绩单[考试日期]=表成绩单[[#This Row],[考试日期]])*(表成绩单[政治]&lt;9E+307)*(表成绩单[政治]&gt;表成绩单[[#This Row],[政治]]))+1)</f>
        <v>725</v>
      </c>
      <c r="V1521" s="29" cm="1">
        <f t="array" ref="V1521">IF(表成绩单[[#This Row],[历史]]="","",SUMPRODUCT((表成绩单[考试日期]=表成绩单[[#This Row],[考试日期]])*(表成绩单[历史]&lt;9E+307)*(表成绩单[历史]&gt;表成绩单[[#This Row],[历史]]))+1)</f>
        <v>699</v>
      </c>
      <c r="W1521" s="29" cm="1">
        <f t="array" ref="W1521">IF(表成绩单[[#This Row],[总分]]="","",SUMPRODUCT((表成绩单[考试日期]=表成绩单[[#This Row],[考试日期]])*(表成绩单[总分]&lt;9E+307)*(表成绩单[总分]&gt;表成绩单[[#This Row],[总分]]))+1)</f>
        <v>723</v>
      </c>
    </row>
    <row r="1522" ht="28" customHeight="1" spans="4:23">
      <c r="D1522" s="31">
        <v>46003</v>
      </c>
      <c r="E1522" s="29">
        <v>19177620</v>
      </c>
      <c r="F1522" s="29" t="s">
        <v>58</v>
      </c>
      <c r="G1522" s="29" t="s">
        <v>830</v>
      </c>
      <c r="H1522" s="29">
        <v>65</v>
      </c>
      <c r="I1522" s="29">
        <v>14</v>
      </c>
      <c r="J1522" s="29">
        <v>23</v>
      </c>
      <c r="K1522" s="29">
        <v>19</v>
      </c>
      <c r="L1522" s="29">
        <v>39</v>
      </c>
      <c r="M1522" s="29">
        <v>38</v>
      </c>
      <c r="N1522" s="29">
        <v>47</v>
      </c>
      <c r="O1522" s="32">
        <v>245</v>
      </c>
      <c r="P1522" s="29" cm="1">
        <f t="array" ref="P1522">IF(表成绩单[[#This Row],[语文]]="","",SUMPRODUCT((表成绩单[考试日期]=表成绩单[[#This Row],[考试日期]])*(表成绩单[语文]&lt;9E+307)*(表成绩单[语文]&gt;表成绩单[[#This Row],[语文]]))+1)</f>
        <v>714</v>
      </c>
      <c r="Q1522" s="29" cm="1">
        <f t="array" ref="Q1522">IF(表成绩单[[#This Row],[数学]]="","",SUMPRODUCT((表成绩单[考试日期]=表成绩单[[#This Row],[考试日期]])*(表成绩单[数学]&lt;9E+307)*(表成绩单[数学]&gt;表成绩单[[#This Row],[数学]]))+1)</f>
        <v>721</v>
      </c>
      <c r="R1522" s="29" cm="1">
        <f t="array" ref="R1522">IF(表成绩单[[#This Row],[英语]]="","",SUMPRODUCT((表成绩单[考试日期]=表成绩单[[#This Row],[考试日期]])*(表成绩单[英语]&lt;9E+307)*(表成绩单[英语]&gt;表成绩单[[#This Row],[英语]]))+1)</f>
        <v>710</v>
      </c>
      <c r="S1522" s="29" cm="1">
        <f t="array" ref="S1522">IF(表成绩单[[#This Row],[物理]]="","",SUMPRODUCT((表成绩单[考试日期]=表成绩单[[#This Row],[考试日期]])*(表成绩单[物理]&lt;9E+307)*(表成绩单[物理]&gt;表成绩单[[#This Row],[物理]]))+1)</f>
        <v>721</v>
      </c>
      <c r="T1522" s="29" cm="1">
        <f t="array" ref="T1522">IF(表成绩单[[#This Row],[化学]]="","",SUMPRODUCT((表成绩单[考试日期]=表成绩单[[#This Row],[考试日期]])*(表成绩单[化学]&lt;9E+307)*(表成绩单[化学]&gt;表成绩单[[#This Row],[化学]]))+1)</f>
        <v>708</v>
      </c>
      <c r="U1522" s="29" cm="1">
        <f t="array" ref="U1522">IF(表成绩单[[#This Row],[政治]]="","",SUMPRODUCT((表成绩单[考试日期]=表成绩单[[#This Row],[考试日期]])*(表成绩单[政治]&lt;9E+307)*(表成绩单[政治]&gt;表成绩单[[#This Row],[政治]]))+1)</f>
        <v>689</v>
      </c>
      <c r="V1522" s="29" cm="1">
        <f t="array" ref="V1522">IF(表成绩单[[#This Row],[历史]]="","",SUMPRODUCT((表成绩单[考试日期]=表成绩单[[#This Row],[考试日期]])*(表成绩单[历史]&lt;9E+307)*(表成绩单[历史]&gt;表成绩单[[#This Row],[历史]]))+1)</f>
        <v>710</v>
      </c>
      <c r="W1522" s="29" cm="1">
        <f t="array" ref="W1522">IF(表成绩单[[#This Row],[总分]]="","",SUMPRODUCT((表成绩单[考试日期]=表成绩单[[#This Row],[考试日期]])*(表成绩单[总分]&lt;9E+307)*(表成绩单[总分]&gt;表成绩单[[#This Row],[总分]]))+1)</f>
        <v>723</v>
      </c>
    </row>
    <row r="1523" ht="28" customHeight="1" spans="4:23">
      <c r="D1523" s="31">
        <v>46003</v>
      </c>
      <c r="E1523" s="29">
        <v>19172639</v>
      </c>
      <c r="F1523" s="29" t="s">
        <v>60</v>
      </c>
      <c r="G1523" s="29" t="s">
        <v>846</v>
      </c>
      <c r="H1523" s="29">
        <v>56</v>
      </c>
      <c r="I1523" s="29">
        <v>20</v>
      </c>
      <c r="J1523" s="29">
        <v>19.5</v>
      </c>
      <c r="K1523" s="29">
        <v>26</v>
      </c>
      <c r="L1523" s="29">
        <v>18</v>
      </c>
      <c r="M1523" s="29">
        <v>38</v>
      </c>
      <c r="N1523" s="29">
        <v>63</v>
      </c>
      <c r="O1523" s="32">
        <v>240.5</v>
      </c>
      <c r="P1523" s="29" cm="1">
        <f t="array" ref="P1523">IF(表成绩单[[#This Row],[语文]]="","",SUMPRODUCT((表成绩单[考试日期]=表成绩单[[#This Row],[考试日期]])*(表成绩单[语文]&lt;9E+307)*(表成绩单[语文]&gt;表成绩单[[#This Row],[语文]]))+1)</f>
        <v>724</v>
      </c>
      <c r="Q1523" s="29" cm="1">
        <f t="array" ref="Q1523">IF(表成绩单[[#This Row],[数学]]="","",SUMPRODUCT((表成绩单[考试日期]=表成绩单[[#This Row],[考试日期]])*(表成绩单[数学]&lt;9E+307)*(表成绩单[数学]&gt;表成绩单[[#This Row],[数学]]))+1)</f>
        <v>708</v>
      </c>
      <c r="R1523" s="29" cm="1">
        <f t="array" ref="R1523">IF(表成绩单[[#This Row],[英语]]="","",SUMPRODUCT((表成绩单[考试日期]=表成绩单[[#This Row],[考试日期]])*(表成绩单[英语]&lt;9E+307)*(表成绩单[英语]&gt;表成绩单[[#This Row],[英语]]))+1)</f>
        <v>722</v>
      </c>
      <c r="S1523" s="29" cm="1">
        <f t="array" ref="S1523">IF(表成绩单[[#This Row],[物理]]="","",SUMPRODUCT((表成绩单[考试日期]=表成绩单[[#This Row],[考试日期]])*(表成绩单[物理]&lt;9E+307)*(表成绩单[物理]&gt;表成绩单[[#This Row],[物理]]))+1)</f>
        <v>710</v>
      </c>
      <c r="T1523" s="29" cm="1">
        <f t="array" ref="T1523">IF(表成绩单[[#This Row],[化学]]="","",SUMPRODUCT((表成绩单[考试日期]=表成绩单[[#This Row],[考试日期]])*(表成绩单[化学]&lt;9E+307)*(表成绩单[化学]&gt;表成绩单[[#This Row],[化学]]))+1)</f>
        <v>731</v>
      </c>
      <c r="U1523" s="29" cm="1">
        <f t="array" ref="U1523">IF(表成绩单[[#This Row],[政治]]="","",SUMPRODUCT((表成绩单[考试日期]=表成绩单[[#This Row],[考试日期]])*(表成绩单[政治]&lt;9E+307)*(表成绩单[政治]&gt;表成绩单[[#This Row],[政治]]))+1)</f>
        <v>689</v>
      </c>
      <c r="V1523" s="29" cm="1">
        <f t="array" ref="V1523">IF(表成绩单[[#This Row],[历史]]="","",SUMPRODUCT((表成绩单[考试日期]=表成绩单[[#This Row],[考试日期]])*(表成绩单[历史]&lt;9E+307)*(表成绩单[历史]&gt;表成绩单[[#This Row],[历史]]))+1)</f>
        <v>608</v>
      </c>
      <c r="W1523" s="29" cm="1">
        <f t="array" ref="W1523">IF(表成绩单[[#This Row],[总分]]="","",SUMPRODUCT((表成绩单[考试日期]=表成绩单[[#This Row],[考试日期]])*(表成绩单[总分]&lt;9E+307)*(表成绩单[总分]&gt;表成绩单[[#This Row],[总分]]))+1)</f>
        <v>725</v>
      </c>
    </row>
    <row r="1524" ht="28" customHeight="1" spans="4:23">
      <c r="D1524" s="31">
        <v>46003</v>
      </c>
      <c r="E1524" s="29">
        <v>19175314</v>
      </c>
      <c r="F1524" s="29" t="s">
        <v>55</v>
      </c>
      <c r="G1524" s="29" t="s">
        <v>858</v>
      </c>
      <c r="H1524" s="29">
        <v>53</v>
      </c>
      <c r="I1524" s="29">
        <v>28</v>
      </c>
      <c r="J1524" s="29">
        <v>18</v>
      </c>
      <c r="K1524" s="29">
        <v>12</v>
      </c>
      <c r="L1524" s="29">
        <v>36</v>
      </c>
      <c r="M1524" s="29">
        <v>45</v>
      </c>
      <c r="N1524" s="29">
        <v>37</v>
      </c>
      <c r="O1524" s="32">
        <v>229</v>
      </c>
      <c r="P1524" s="29" cm="1">
        <f t="array" ref="P1524">IF(表成绩单[[#This Row],[语文]]="","",SUMPRODUCT((表成绩单[考试日期]=表成绩单[[#This Row],[考试日期]])*(表成绩单[语文]&lt;9E+307)*(表成绩单[语文]&gt;表成绩单[[#This Row],[语文]]))+1)</f>
        <v>726</v>
      </c>
      <c r="Q1524" s="29" cm="1">
        <f t="array" ref="Q1524">IF(表成绩单[[#This Row],[数学]]="","",SUMPRODUCT((表成绩单[考试日期]=表成绩单[[#This Row],[考试日期]])*(表成绩单[数学]&lt;9E+307)*(表成绩单[数学]&gt;表成绩单[[#This Row],[数学]]))+1)</f>
        <v>686</v>
      </c>
      <c r="R1524" s="29" cm="1">
        <f t="array" ref="R1524">IF(表成绩单[[#This Row],[英语]]="","",SUMPRODUCT((表成绩单[考试日期]=表成绩单[[#This Row],[考试日期]])*(表成绩单[英语]&lt;9E+307)*(表成绩单[英语]&gt;表成绩单[[#This Row],[英语]]))+1)</f>
        <v>726</v>
      </c>
      <c r="S1524" s="29" cm="1">
        <f t="array" ref="S1524">IF(表成绩单[[#This Row],[物理]]="","",SUMPRODUCT((表成绩单[考试日期]=表成绩单[[#This Row],[考试日期]])*(表成绩单[物理]&lt;9E+307)*(表成绩单[物理]&gt;表成绩单[[#This Row],[物理]]))+1)</f>
        <v>731</v>
      </c>
      <c r="T1524" s="29" cm="1">
        <f t="array" ref="T1524">IF(表成绩单[[#This Row],[化学]]="","",SUMPRODUCT((表成绩单[考试日期]=表成绩单[[#This Row],[考试日期]])*(表成绩单[化学]&lt;9E+307)*(表成绩单[化学]&gt;表成绩单[[#This Row],[化学]]))+1)</f>
        <v>713</v>
      </c>
      <c r="U1524" s="29" cm="1">
        <f t="array" ref="U1524">IF(表成绩单[[#This Row],[政治]]="","",SUMPRODUCT((表成绩单[考试日期]=表成绩单[[#This Row],[考试日期]])*(表成绩单[政治]&lt;9E+307)*(表成绩单[政治]&gt;表成绩单[[#This Row],[政治]]))+1)</f>
        <v>638</v>
      </c>
      <c r="V1524" s="29" cm="1">
        <f t="array" ref="V1524">IF(表成绩单[[#This Row],[历史]]="","",SUMPRODUCT((表成绩单[考试日期]=表成绩单[[#This Row],[考试日期]])*(表成绩单[历史]&lt;9E+307)*(表成绩单[历史]&gt;表成绩单[[#This Row],[历史]]))+1)</f>
        <v>729</v>
      </c>
      <c r="W1524" s="29" cm="1">
        <f t="array" ref="W1524">IF(表成绩单[[#This Row],[总分]]="","",SUMPRODUCT((表成绩单[考试日期]=表成绩单[[#This Row],[考试日期]])*(表成绩单[总分]&lt;9E+307)*(表成绩单[总分]&gt;表成绩单[[#This Row],[总分]]))+1)</f>
        <v>726</v>
      </c>
    </row>
    <row r="1525" ht="28" customHeight="1" spans="4:23">
      <c r="D1525" s="31">
        <v>46003</v>
      </c>
      <c r="E1525" s="29">
        <v>19177628</v>
      </c>
      <c r="F1525" s="29" t="s">
        <v>58</v>
      </c>
      <c r="G1525" s="29" t="s">
        <v>857</v>
      </c>
      <c r="H1525" s="29">
        <v>63</v>
      </c>
      <c r="I1525" s="29">
        <v>16</v>
      </c>
      <c r="J1525" s="29">
        <v>19.5</v>
      </c>
      <c r="K1525" s="29">
        <v>21</v>
      </c>
      <c r="L1525" s="29">
        <v>26</v>
      </c>
      <c r="M1525" s="29">
        <v>36</v>
      </c>
      <c r="N1525" s="29">
        <v>37</v>
      </c>
      <c r="O1525" s="32">
        <v>218.5</v>
      </c>
      <c r="P1525" s="29" cm="1">
        <f t="array" ref="P1525">IF(表成绩单[[#This Row],[语文]]="","",SUMPRODUCT((表成绩单[考试日期]=表成绩单[[#This Row],[考试日期]])*(表成绩单[语文]&lt;9E+307)*(表成绩单[语文]&gt;表成绩单[[#This Row],[语文]]))+1)</f>
        <v>718</v>
      </c>
      <c r="Q1525" s="29" cm="1">
        <f t="array" ref="Q1525">IF(表成绩单[[#This Row],[数学]]="","",SUMPRODUCT((表成绩单[考试日期]=表成绩单[[#This Row],[考试日期]])*(表成绩单[数学]&lt;9E+307)*(表成绩单[数学]&gt;表成绩单[[#This Row],[数学]]))+1)</f>
        <v>715</v>
      </c>
      <c r="R1525" s="29" cm="1">
        <f t="array" ref="R1525">IF(表成绩单[[#This Row],[英语]]="","",SUMPRODUCT((表成绩单[考试日期]=表成绩单[[#This Row],[考试日期]])*(表成绩单[英语]&lt;9E+307)*(表成绩单[英语]&gt;表成绩单[[#This Row],[英语]]))+1)</f>
        <v>722</v>
      </c>
      <c r="S1525" s="29" cm="1">
        <f t="array" ref="S1525">IF(表成绩单[[#This Row],[物理]]="","",SUMPRODUCT((表成绩单[考试日期]=表成绩单[[#This Row],[考试日期]])*(表成绩单[物理]&lt;9E+307)*(表成绩单[物理]&gt;表成绩单[[#This Row],[物理]]))+1)</f>
        <v>719</v>
      </c>
      <c r="T1525" s="29" cm="1">
        <f t="array" ref="T1525">IF(表成绩单[[#This Row],[化学]]="","",SUMPRODUCT((表成绩单[考试日期]=表成绩单[[#This Row],[考试日期]])*(表成绩单[化学]&lt;9E+307)*(表成绩单[化学]&gt;表成绩单[[#This Row],[化学]]))+1)</f>
        <v>728</v>
      </c>
      <c r="U1525" s="29" cm="1">
        <f t="array" ref="U1525">IF(表成绩单[[#This Row],[政治]]="","",SUMPRODUCT((表成绩单[考试日期]=表成绩单[[#This Row],[考试日期]])*(表成绩单[政治]&lt;9E+307)*(表成绩单[政治]&gt;表成绩单[[#This Row],[政治]]))+1)</f>
        <v>705</v>
      </c>
      <c r="V1525" s="29" cm="1">
        <f t="array" ref="V1525">IF(表成绩单[[#This Row],[历史]]="","",SUMPRODUCT((表成绩单[考试日期]=表成绩单[[#This Row],[考试日期]])*(表成绩单[历史]&lt;9E+307)*(表成绩单[历史]&gt;表成绩单[[#This Row],[历史]]))+1)</f>
        <v>729</v>
      </c>
      <c r="W1525" s="29" cm="1">
        <f t="array" ref="W1525">IF(表成绩单[[#This Row],[总分]]="","",SUMPRODUCT((表成绩单[考试日期]=表成绩单[[#This Row],[考试日期]])*(表成绩单[总分]&lt;9E+307)*(表成绩单[总分]&gt;表成绩单[[#This Row],[总分]]))+1)</f>
        <v>727</v>
      </c>
    </row>
    <row r="1526" ht="28" customHeight="1" spans="4:23">
      <c r="D1526" s="31">
        <v>46003</v>
      </c>
      <c r="E1526" s="29">
        <v>19175311</v>
      </c>
      <c r="F1526" s="29" t="s">
        <v>55</v>
      </c>
      <c r="G1526" s="29" t="s">
        <v>820</v>
      </c>
      <c r="H1526" s="29">
        <v>63</v>
      </c>
      <c r="I1526" s="29">
        <v>13</v>
      </c>
      <c r="J1526" s="29">
        <v>26</v>
      </c>
      <c r="K1526" s="29">
        <v>15</v>
      </c>
      <c r="L1526" s="29">
        <v>15</v>
      </c>
      <c r="M1526" s="29">
        <v>37</v>
      </c>
      <c r="N1526" s="29">
        <v>34</v>
      </c>
      <c r="O1526" s="32">
        <v>203</v>
      </c>
      <c r="P1526" s="29" cm="1">
        <f t="array" ref="P1526">IF(表成绩单[[#This Row],[语文]]="","",SUMPRODUCT((表成绩单[考试日期]=表成绩单[[#This Row],[考试日期]])*(表成绩单[语文]&lt;9E+307)*(表成绩单[语文]&gt;表成绩单[[#This Row],[语文]]))+1)</f>
        <v>718</v>
      </c>
      <c r="Q1526" s="29" cm="1">
        <f t="array" ref="Q1526">IF(表成绩单[[#This Row],[数学]]="","",SUMPRODUCT((表成绩单[考试日期]=表成绩单[[#This Row],[考试日期]])*(表成绩单[数学]&lt;9E+307)*(表成绩单[数学]&gt;表成绩单[[#This Row],[数学]]))+1)</f>
        <v>723</v>
      </c>
      <c r="R1526" s="29" cm="1">
        <f t="array" ref="R1526">IF(表成绩单[[#This Row],[英语]]="","",SUMPRODUCT((表成绩单[考试日期]=表成绩单[[#This Row],[考试日期]])*(表成绩单[英语]&lt;9E+307)*(表成绩单[英语]&gt;表成绩单[[#This Row],[英语]]))+1)</f>
        <v>701</v>
      </c>
      <c r="S1526" s="29" cm="1">
        <f t="array" ref="S1526">IF(表成绩单[[#This Row],[物理]]="","",SUMPRODUCT((表成绩单[考试日期]=表成绩单[[#This Row],[考试日期]])*(表成绩单[物理]&lt;9E+307)*(表成绩单[物理]&gt;表成绩单[[#This Row],[物理]]))+1)</f>
        <v>728</v>
      </c>
      <c r="T1526" s="29" cm="1">
        <f t="array" ref="T1526">IF(表成绩单[[#This Row],[化学]]="","",SUMPRODUCT((表成绩单[考试日期]=表成绩单[[#This Row],[考试日期]])*(表成绩单[化学]&lt;9E+307)*(表成绩单[化学]&gt;表成绩单[[#This Row],[化学]]))+1)</f>
        <v>733</v>
      </c>
      <c r="U1526" s="29" cm="1">
        <f t="array" ref="U1526">IF(表成绩单[[#This Row],[政治]]="","",SUMPRODUCT((表成绩单[考试日期]=表成绩单[[#This Row],[考试日期]])*(表成绩单[政治]&lt;9E+307)*(表成绩单[政治]&gt;表成绩单[[#This Row],[政治]]))+1)</f>
        <v>697</v>
      </c>
      <c r="V1526" s="29" cm="1">
        <f t="array" ref="V1526">IF(表成绩单[[#This Row],[历史]]="","",SUMPRODUCT((表成绩单[考试日期]=表成绩单[[#This Row],[考试日期]])*(表成绩单[历史]&lt;9E+307)*(表成绩单[历史]&gt;表成绩单[[#This Row],[历史]]))+1)</f>
        <v>732</v>
      </c>
      <c r="W1526" s="29" cm="1">
        <f t="array" ref="W1526">IF(表成绩单[[#This Row],[总分]]="","",SUMPRODUCT((表成绩单[考试日期]=表成绩单[[#This Row],[考试日期]])*(表成绩单[总分]&lt;9E+307)*(表成绩单[总分]&gt;表成绩单[[#This Row],[总分]]))+1)</f>
        <v>730</v>
      </c>
    </row>
    <row r="1527" ht="28" customHeight="1" spans="4:23">
      <c r="D1527" s="31">
        <v>46003</v>
      </c>
      <c r="E1527" s="29">
        <v>19175298</v>
      </c>
      <c r="F1527" s="29" t="s">
        <v>55</v>
      </c>
      <c r="G1527" s="29" t="s">
        <v>867</v>
      </c>
      <c r="H1527" s="29">
        <v>67</v>
      </c>
      <c r="I1527" s="29">
        <v>14</v>
      </c>
      <c r="J1527" s="29">
        <v>13</v>
      </c>
      <c r="K1527" s="29">
        <v>17</v>
      </c>
      <c r="L1527" s="29">
        <v>31</v>
      </c>
      <c r="M1527" s="29">
        <v>28</v>
      </c>
      <c r="N1527" s="29">
        <v>30</v>
      </c>
      <c r="O1527" s="32">
        <v>200</v>
      </c>
      <c r="P1527" s="29" cm="1">
        <f t="array" ref="P1527">IF(表成绩单[[#This Row],[语文]]="","",SUMPRODUCT((表成绩单[考试日期]=表成绩单[[#This Row],[考试日期]])*(表成绩单[语文]&lt;9E+307)*(表成绩单[语文]&gt;表成绩单[[#This Row],[语文]]))+1)</f>
        <v>709</v>
      </c>
      <c r="Q1527" s="29" cm="1">
        <f t="array" ref="Q1527">IF(表成绩单[[#This Row],[数学]]="","",SUMPRODUCT((表成绩单[考试日期]=表成绩单[[#This Row],[考试日期]])*(表成绩单[数学]&lt;9E+307)*(表成绩单[数学]&gt;表成绩单[[#This Row],[数学]]))+1)</f>
        <v>721</v>
      </c>
      <c r="R1527" s="29" cm="1">
        <f t="array" ref="R1527">IF(表成绩单[[#This Row],[英语]]="","",SUMPRODUCT((表成绩单[考试日期]=表成绩单[[#This Row],[考试日期]])*(表成绩单[英语]&lt;9E+307)*(表成绩单[英语]&gt;表成绩单[[#This Row],[英语]]))+1)</f>
        <v>731</v>
      </c>
      <c r="S1527" s="29" cm="1">
        <f t="array" ref="S1527">IF(表成绩单[[#This Row],[物理]]="","",SUMPRODUCT((表成绩单[考试日期]=表成绩单[[#This Row],[考试日期]])*(表成绩单[物理]&lt;9E+307)*(表成绩单[物理]&gt;表成绩单[[#This Row],[物理]]))+1)</f>
        <v>727</v>
      </c>
      <c r="T1527" s="29" cm="1">
        <f t="array" ref="T1527">IF(表成绩单[[#This Row],[化学]]="","",SUMPRODUCT((表成绩单[考试日期]=表成绩单[[#This Row],[考试日期]])*(表成绩单[化学]&lt;9E+307)*(表成绩单[化学]&gt;表成绩单[[#This Row],[化学]]))+1)</f>
        <v>725</v>
      </c>
      <c r="U1527" s="29" cm="1">
        <f t="array" ref="U1527">IF(表成绩单[[#This Row],[政治]]="","",SUMPRODUCT((表成绩单[考试日期]=表成绩单[[#This Row],[考试日期]])*(表成绩单[政治]&lt;9E+307)*(表成绩单[政治]&gt;表成绩单[[#This Row],[政治]]))+1)</f>
        <v>728</v>
      </c>
      <c r="V1527" s="29" cm="1">
        <f t="array" ref="V1527">IF(表成绩单[[#This Row],[历史]]="","",SUMPRODUCT((表成绩单[考试日期]=表成绩单[[#This Row],[考试日期]])*(表成绩单[历史]&lt;9E+307)*(表成绩单[历史]&gt;表成绩单[[#This Row],[历史]]))+1)</f>
        <v>735</v>
      </c>
      <c r="W1527" s="29" cm="1">
        <f t="array" ref="W1527">IF(表成绩单[[#This Row],[总分]]="","",SUMPRODUCT((表成绩单[考试日期]=表成绩单[[#This Row],[考试日期]])*(表成绩单[总分]&lt;9E+307)*(表成绩单[总分]&gt;表成绩单[[#This Row],[总分]]))+1)</f>
        <v>731</v>
      </c>
    </row>
    <row r="1528" ht="28" customHeight="1" spans="4:23">
      <c r="D1528" s="31">
        <v>46003</v>
      </c>
      <c r="E1528" s="29">
        <v>19175300</v>
      </c>
      <c r="F1528" s="29" t="s">
        <v>55</v>
      </c>
      <c r="G1528" s="29" t="s">
        <v>869</v>
      </c>
      <c r="H1528" s="29">
        <v>57</v>
      </c>
      <c r="I1528" s="29">
        <v>9</v>
      </c>
      <c r="J1528" s="29">
        <v>7</v>
      </c>
      <c r="K1528" s="29">
        <v>12</v>
      </c>
      <c r="L1528" s="29">
        <v>28</v>
      </c>
      <c r="M1528" s="29">
        <v>31</v>
      </c>
      <c r="N1528" s="29">
        <v>37</v>
      </c>
      <c r="O1528" s="32">
        <v>181</v>
      </c>
      <c r="P1528" s="29" cm="1">
        <f t="array" ref="P1528">IF(表成绩单[[#This Row],[语文]]="","",SUMPRODUCT((表成绩单[考试日期]=表成绩单[[#This Row],[考试日期]])*(表成绩单[语文]&lt;9E+307)*(表成绩单[语文]&gt;表成绩单[[#This Row],[语文]]))+1)</f>
        <v>723</v>
      </c>
      <c r="Q1528" s="29" cm="1">
        <f t="array" ref="Q1528">IF(表成绩单[[#This Row],[数学]]="","",SUMPRODUCT((表成绩单[考试日期]=表成绩单[[#This Row],[考试日期]])*(表成绩单[数学]&lt;9E+307)*(表成绩单[数学]&gt;表成绩单[[#This Row],[数学]]))+1)</f>
        <v>728</v>
      </c>
      <c r="R1528" s="29" cm="1">
        <f t="array" ref="R1528">IF(表成绩单[[#This Row],[英语]]="","",SUMPRODUCT((表成绩单[考试日期]=表成绩单[[#This Row],[考试日期]])*(表成绩单[英语]&lt;9E+307)*(表成绩单[英语]&gt;表成绩单[[#This Row],[英语]]))+1)</f>
        <v>736</v>
      </c>
      <c r="S1528" s="29" cm="1">
        <f t="array" ref="S1528">IF(表成绩单[[#This Row],[物理]]="","",SUMPRODUCT((表成绩单[考试日期]=表成绩单[[#This Row],[考试日期]])*(表成绩单[物理]&lt;9E+307)*(表成绩单[物理]&gt;表成绩单[[#This Row],[物理]]))+1)</f>
        <v>731</v>
      </c>
      <c r="T1528" s="29" cm="1">
        <f t="array" ref="T1528">IF(表成绩单[[#This Row],[化学]]="","",SUMPRODUCT((表成绩单[考试日期]=表成绩单[[#This Row],[考试日期]])*(表成绩单[化学]&lt;9E+307)*(表成绩单[化学]&gt;表成绩单[[#This Row],[化学]]))+1)</f>
        <v>727</v>
      </c>
      <c r="U1528" s="29" cm="1">
        <f t="array" ref="U1528">IF(表成绩单[[#This Row],[政治]]="","",SUMPRODUCT((表成绩单[考试日期]=表成绩单[[#This Row],[考试日期]])*(表成绩单[政治]&lt;9E+307)*(表成绩单[政治]&gt;表成绩单[[#This Row],[政治]]))+1)</f>
        <v>721</v>
      </c>
      <c r="V1528" s="29" cm="1">
        <f t="array" ref="V1528">IF(表成绩单[[#This Row],[历史]]="","",SUMPRODUCT((表成绩单[考试日期]=表成绩单[[#This Row],[考试日期]])*(表成绩单[历史]&lt;9E+307)*(表成绩单[历史]&gt;表成绩单[[#This Row],[历史]]))+1)</f>
        <v>729</v>
      </c>
      <c r="W1528" s="29" cm="1">
        <f t="array" ref="W1528">IF(表成绩单[[#This Row],[总分]]="","",SUMPRODUCT((表成绩单[考试日期]=表成绩单[[#This Row],[考试日期]])*(表成绩单[总分]&lt;9E+307)*(表成绩单[总分]&gt;表成绩单[[#This Row],[总分]]))+1)</f>
        <v>732</v>
      </c>
    </row>
    <row r="1529" ht="28" customHeight="1" spans="4:23">
      <c r="D1529" s="31">
        <v>46003</v>
      </c>
      <c r="E1529" s="29">
        <v>19175993</v>
      </c>
      <c r="F1529" s="29" t="s">
        <v>59</v>
      </c>
      <c r="G1529" s="29" t="s">
        <v>868</v>
      </c>
      <c r="H1529" s="29">
        <v>23</v>
      </c>
      <c r="I1529" s="29">
        <v>21</v>
      </c>
      <c r="J1529" s="29">
        <v>49</v>
      </c>
      <c r="K1529" s="29">
        <v>14</v>
      </c>
      <c r="L1529" s="29">
        <v>16</v>
      </c>
      <c r="M1529" s="29">
        <v>25</v>
      </c>
      <c r="N1529" s="29">
        <v>24</v>
      </c>
      <c r="O1529" s="32">
        <v>172</v>
      </c>
      <c r="P1529" s="29" cm="1">
        <f t="array" ref="P1529">IF(表成绩单[[#This Row],[语文]]="","",SUMPRODUCT((表成绩单[考试日期]=表成绩单[[#This Row],[考试日期]])*(表成绩单[语文]&lt;9E+307)*(表成绩单[语文]&gt;表成绩单[[#This Row],[语文]]))+1)</f>
        <v>730</v>
      </c>
      <c r="Q1529" s="29" cm="1">
        <f t="array" ref="Q1529">IF(表成绩单[[#This Row],[数学]]="","",SUMPRODUCT((表成绩单[考试日期]=表成绩单[[#This Row],[考试日期]])*(表成绩单[数学]&lt;9E+307)*(表成绩单[数学]&gt;表成绩单[[#This Row],[数学]]))+1)</f>
        <v>706</v>
      </c>
      <c r="R1529" s="29" cm="1">
        <f t="array" ref="R1529">IF(表成绩单[[#This Row],[英语]]="","",SUMPRODUCT((表成绩单[考试日期]=表成绩单[[#This Row],[考试日期]])*(表成绩单[英语]&lt;9E+307)*(表成绩单[英语]&gt;表成绩单[[#This Row],[英语]]))+1)</f>
        <v>609</v>
      </c>
      <c r="S1529" s="29" cm="1">
        <f t="array" ref="S1529">IF(表成绩单[[#This Row],[物理]]="","",SUMPRODUCT((表成绩单[考试日期]=表成绩单[[#This Row],[考试日期]])*(表成绩单[物理]&lt;9E+307)*(表成绩单[物理]&gt;表成绩单[[#This Row],[物理]]))+1)</f>
        <v>729</v>
      </c>
      <c r="T1529" s="29" cm="1">
        <f t="array" ref="T1529">IF(表成绩单[[#This Row],[化学]]="","",SUMPRODUCT((表成绩单[考试日期]=表成绩单[[#This Row],[考试日期]])*(表成绩单[化学]&lt;9E+307)*(表成绩单[化学]&gt;表成绩单[[#This Row],[化学]]))+1)</f>
        <v>732</v>
      </c>
      <c r="U1529" s="29" cm="1">
        <f t="array" ref="U1529">IF(表成绩单[[#This Row],[政治]]="","",SUMPRODUCT((表成绩单[考试日期]=表成绩单[[#This Row],[考试日期]])*(表成绩单[政治]&lt;9E+307)*(表成绩单[政治]&gt;表成绩单[[#This Row],[政治]]))+1)</f>
        <v>731</v>
      </c>
      <c r="V1529" s="29" cm="1">
        <f t="array" ref="V1529">IF(表成绩单[[#This Row],[历史]]="","",SUMPRODUCT((表成绩单[考试日期]=表成绩单[[#This Row],[考试日期]])*(表成绩单[历史]&lt;9E+307)*(表成绩单[历史]&gt;表成绩单[[#This Row],[历史]]))+1)</f>
        <v>736</v>
      </c>
      <c r="W1529" s="29" cm="1">
        <f t="array" ref="W1529">IF(表成绩单[[#This Row],[总分]]="","",SUMPRODUCT((表成绩单[考试日期]=表成绩单[[#This Row],[考试日期]])*(表成绩单[总分]&lt;9E+307)*(表成绩单[总分]&gt;表成绩单[[#This Row],[总分]]))+1)</f>
        <v>733</v>
      </c>
    </row>
    <row r="1530" ht="28" customHeight="1" spans="4:23">
      <c r="D1530" s="31">
        <v>46003</v>
      </c>
      <c r="E1530" s="29">
        <v>19171076</v>
      </c>
      <c r="F1530" s="29" t="s">
        <v>67</v>
      </c>
      <c r="G1530" s="29" t="s">
        <v>633</v>
      </c>
      <c r="H1530" s="29"/>
      <c r="I1530" s="29"/>
      <c r="J1530" s="29"/>
      <c r="K1530" s="29"/>
      <c r="L1530" s="29"/>
      <c r="M1530" s="29"/>
      <c r="N1530" s="29"/>
      <c r="O1530" s="32"/>
      <c r="P1530" s="29" t="str" cm="1">
        <f t="array" ref="P1530">IF(表成绩单[[#This Row],[语文]]="","",SUMPRODUCT((表成绩单[考试日期]=表成绩单[[#This Row],[考试日期]])*(表成绩单[语文]&lt;9E+307)*(表成绩单[语文]&gt;表成绩单[[#This Row],[语文]]))+1)</f>
        <v/>
      </c>
      <c r="Q1530" s="29" t="str" cm="1">
        <f t="array" ref="Q1530">IF(表成绩单[[#This Row],[数学]]="","",SUMPRODUCT((表成绩单[考试日期]=表成绩单[[#This Row],[考试日期]])*(表成绩单[数学]&lt;9E+307)*(表成绩单[数学]&gt;表成绩单[[#This Row],[数学]]))+1)</f>
        <v/>
      </c>
      <c r="R1530" s="29" t="str" cm="1">
        <f t="array" ref="R1530">IF(表成绩单[[#This Row],[英语]]="","",SUMPRODUCT((表成绩单[考试日期]=表成绩单[[#This Row],[考试日期]])*(表成绩单[英语]&lt;9E+307)*(表成绩单[英语]&gt;表成绩单[[#This Row],[英语]]))+1)</f>
        <v/>
      </c>
      <c r="S1530" s="29" t="str" cm="1">
        <f t="array" ref="S1530">IF(表成绩单[[#This Row],[物理]]="","",SUMPRODUCT((表成绩单[考试日期]=表成绩单[[#This Row],[考试日期]])*(表成绩单[物理]&lt;9E+307)*(表成绩单[物理]&gt;表成绩单[[#This Row],[物理]]))+1)</f>
        <v/>
      </c>
      <c r="T1530" s="29" t="str" cm="1">
        <f t="array" ref="T1530">IF(表成绩单[[#This Row],[化学]]="","",SUMPRODUCT((表成绩单[考试日期]=表成绩单[[#This Row],[考试日期]])*(表成绩单[化学]&lt;9E+307)*(表成绩单[化学]&gt;表成绩单[[#This Row],[化学]]))+1)</f>
        <v/>
      </c>
      <c r="U1530" s="29" t="str" cm="1">
        <f t="array" ref="U1530">IF(表成绩单[[#This Row],[政治]]="","",SUMPRODUCT((表成绩单[考试日期]=表成绩单[[#This Row],[考试日期]])*(表成绩单[政治]&lt;9E+307)*(表成绩单[政治]&gt;表成绩单[[#This Row],[政治]]))+1)</f>
        <v/>
      </c>
      <c r="V1530" s="29" t="str" cm="1">
        <f t="array" ref="V1530">IF(表成绩单[[#This Row],[历史]]="","",SUMPRODUCT((表成绩单[考试日期]=表成绩单[[#This Row],[考试日期]])*(表成绩单[历史]&lt;9E+307)*(表成绩单[历史]&gt;表成绩单[[#This Row],[历史]]))+1)</f>
        <v/>
      </c>
      <c r="W1530" s="29" t="str" cm="1">
        <f t="array" ref="W1530">IF(表成绩单[[#This Row],[总分]]="","",SUMPRODUCT((表成绩单[考试日期]=表成绩单[[#This Row],[考试日期]])*(表成绩单[总分]&lt;9E+307)*(表成绩单[总分]&gt;表成绩单[[#This Row],[总分]]))+1)</f>
        <v/>
      </c>
    </row>
    <row r="1531" ht="28" customHeight="1" spans="4:23">
      <c r="D1531" s="31">
        <v>46003</v>
      </c>
      <c r="E1531" s="29">
        <v>19171083</v>
      </c>
      <c r="F1531" s="29" t="s">
        <v>67</v>
      </c>
      <c r="G1531" s="29" t="s">
        <v>336</v>
      </c>
      <c r="H1531" s="29"/>
      <c r="I1531" s="29"/>
      <c r="J1531" s="29"/>
      <c r="K1531" s="29"/>
      <c r="L1531" s="29"/>
      <c r="M1531" s="29"/>
      <c r="N1531" s="29"/>
      <c r="O1531" s="32"/>
      <c r="P1531" s="29" t="str" cm="1">
        <f t="array" ref="P1531">IF(表成绩单[[#This Row],[语文]]="","",SUMPRODUCT((表成绩单[考试日期]=表成绩单[[#This Row],[考试日期]])*(表成绩单[语文]&lt;9E+307)*(表成绩单[语文]&gt;表成绩单[[#This Row],[语文]]))+1)</f>
        <v/>
      </c>
      <c r="Q1531" s="29" t="str" cm="1">
        <f t="array" ref="Q1531">IF(表成绩单[[#This Row],[数学]]="","",SUMPRODUCT((表成绩单[考试日期]=表成绩单[[#This Row],[考试日期]])*(表成绩单[数学]&lt;9E+307)*(表成绩单[数学]&gt;表成绩单[[#This Row],[数学]]))+1)</f>
        <v/>
      </c>
      <c r="R1531" s="29" t="str" cm="1">
        <f t="array" ref="R1531">IF(表成绩单[[#This Row],[英语]]="","",SUMPRODUCT((表成绩单[考试日期]=表成绩单[[#This Row],[考试日期]])*(表成绩单[英语]&lt;9E+307)*(表成绩单[英语]&gt;表成绩单[[#This Row],[英语]]))+1)</f>
        <v/>
      </c>
      <c r="S1531" s="29" t="str" cm="1">
        <f t="array" ref="S1531">IF(表成绩单[[#This Row],[物理]]="","",SUMPRODUCT((表成绩单[考试日期]=表成绩单[[#This Row],[考试日期]])*(表成绩单[物理]&lt;9E+307)*(表成绩单[物理]&gt;表成绩单[[#This Row],[物理]]))+1)</f>
        <v/>
      </c>
      <c r="T1531" s="29" t="str" cm="1">
        <f t="array" ref="T1531">IF(表成绩单[[#This Row],[化学]]="","",SUMPRODUCT((表成绩单[考试日期]=表成绩单[[#This Row],[考试日期]])*(表成绩单[化学]&lt;9E+307)*(表成绩单[化学]&gt;表成绩单[[#This Row],[化学]]))+1)</f>
        <v/>
      </c>
      <c r="U1531" s="29" t="str" cm="1">
        <f t="array" ref="U1531">IF(表成绩单[[#This Row],[政治]]="","",SUMPRODUCT((表成绩单[考试日期]=表成绩单[[#This Row],[考试日期]])*(表成绩单[政治]&lt;9E+307)*(表成绩单[政治]&gt;表成绩单[[#This Row],[政治]]))+1)</f>
        <v/>
      </c>
      <c r="V1531" s="29" t="str" cm="1">
        <f t="array" ref="V1531">IF(表成绩单[[#This Row],[历史]]="","",SUMPRODUCT((表成绩单[考试日期]=表成绩单[[#This Row],[考试日期]])*(表成绩单[历史]&lt;9E+307)*(表成绩单[历史]&gt;表成绩单[[#This Row],[历史]]))+1)</f>
        <v/>
      </c>
      <c r="W1531" s="29" t="str" cm="1">
        <f t="array" ref="W1531">IF(表成绩单[[#This Row],[总分]]="","",SUMPRODUCT((表成绩单[考试日期]=表成绩单[[#This Row],[考试日期]])*(表成绩单[总分]&lt;9E+307)*(表成绩单[总分]&gt;表成绩单[[#This Row],[总分]]))+1)</f>
        <v/>
      </c>
    </row>
    <row r="1532" ht="28" customHeight="1" spans="4:23">
      <c r="D1532" s="31">
        <v>46003</v>
      </c>
      <c r="E1532" s="29">
        <v>19171084</v>
      </c>
      <c r="F1532" s="29" t="s">
        <v>67</v>
      </c>
      <c r="G1532" s="29" t="s">
        <v>178</v>
      </c>
      <c r="H1532" s="29"/>
      <c r="I1532" s="29"/>
      <c r="J1532" s="29"/>
      <c r="K1532" s="29"/>
      <c r="L1532" s="29"/>
      <c r="M1532" s="29"/>
      <c r="N1532" s="29"/>
      <c r="O1532" s="32"/>
      <c r="P1532" s="29" t="str" cm="1">
        <f t="array" ref="P1532">IF(表成绩单[[#This Row],[语文]]="","",SUMPRODUCT((表成绩单[考试日期]=表成绩单[[#This Row],[考试日期]])*(表成绩单[语文]&lt;9E+307)*(表成绩单[语文]&gt;表成绩单[[#This Row],[语文]]))+1)</f>
        <v/>
      </c>
      <c r="Q1532" s="29" t="str" cm="1">
        <f t="array" ref="Q1532">IF(表成绩单[[#This Row],[数学]]="","",SUMPRODUCT((表成绩单[考试日期]=表成绩单[[#This Row],[考试日期]])*(表成绩单[数学]&lt;9E+307)*(表成绩单[数学]&gt;表成绩单[[#This Row],[数学]]))+1)</f>
        <v/>
      </c>
      <c r="R1532" s="29" t="str" cm="1">
        <f t="array" ref="R1532">IF(表成绩单[[#This Row],[英语]]="","",SUMPRODUCT((表成绩单[考试日期]=表成绩单[[#This Row],[考试日期]])*(表成绩单[英语]&lt;9E+307)*(表成绩单[英语]&gt;表成绩单[[#This Row],[英语]]))+1)</f>
        <v/>
      </c>
      <c r="S1532" s="29" t="str" cm="1">
        <f t="array" ref="S1532">IF(表成绩单[[#This Row],[物理]]="","",SUMPRODUCT((表成绩单[考试日期]=表成绩单[[#This Row],[考试日期]])*(表成绩单[物理]&lt;9E+307)*(表成绩单[物理]&gt;表成绩单[[#This Row],[物理]]))+1)</f>
        <v/>
      </c>
      <c r="T1532" s="29" t="str" cm="1">
        <f t="array" ref="T1532">IF(表成绩单[[#This Row],[化学]]="","",SUMPRODUCT((表成绩单[考试日期]=表成绩单[[#This Row],[考试日期]])*(表成绩单[化学]&lt;9E+307)*(表成绩单[化学]&gt;表成绩单[[#This Row],[化学]]))+1)</f>
        <v/>
      </c>
      <c r="U1532" s="29" t="str" cm="1">
        <f t="array" ref="U1532">IF(表成绩单[[#This Row],[政治]]="","",SUMPRODUCT((表成绩单[考试日期]=表成绩单[[#This Row],[考试日期]])*(表成绩单[政治]&lt;9E+307)*(表成绩单[政治]&gt;表成绩单[[#This Row],[政治]]))+1)</f>
        <v/>
      </c>
      <c r="V1532" s="29" t="str" cm="1">
        <f t="array" ref="V1532">IF(表成绩单[[#This Row],[历史]]="","",SUMPRODUCT((表成绩单[考试日期]=表成绩单[[#This Row],[考试日期]])*(表成绩单[历史]&lt;9E+307)*(表成绩单[历史]&gt;表成绩单[[#This Row],[历史]]))+1)</f>
        <v/>
      </c>
      <c r="W1532" s="29" t="str" cm="1">
        <f t="array" ref="W1532">IF(表成绩单[[#This Row],[总分]]="","",SUMPRODUCT((表成绩单[考试日期]=表成绩单[[#This Row],[考试日期]])*(表成绩单[总分]&lt;9E+307)*(表成绩单[总分]&gt;表成绩单[[#This Row],[总分]]))+1)</f>
        <v/>
      </c>
    </row>
    <row r="1533" ht="28" customHeight="1" spans="4:23">
      <c r="D1533" s="31">
        <v>46003</v>
      </c>
      <c r="E1533" s="29">
        <v>19172629</v>
      </c>
      <c r="F1533" s="29" t="s">
        <v>60</v>
      </c>
      <c r="G1533" s="29" t="s">
        <v>693</v>
      </c>
      <c r="H1533" s="29"/>
      <c r="I1533" s="29"/>
      <c r="J1533" s="29"/>
      <c r="K1533" s="29"/>
      <c r="L1533" s="29"/>
      <c r="M1533" s="29"/>
      <c r="N1533" s="29"/>
      <c r="O1533" s="32"/>
      <c r="P1533" s="29" t="str" cm="1">
        <f t="array" ref="P1533">IF(表成绩单[[#This Row],[语文]]="","",SUMPRODUCT((表成绩单[考试日期]=表成绩单[[#This Row],[考试日期]])*(表成绩单[语文]&lt;9E+307)*(表成绩单[语文]&gt;表成绩单[[#This Row],[语文]]))+1)</f>
        <v/>
      </c>
      <c r="Q1533" s="29" t="str" cm="1">
        <f t="array" ref="Q1533">IF(表成绩单[[#This Row],[数学]]="","",SUMPRODUCT((表成绩单[考试日期]=表成绩单[[#This Row],[考试日期]])*(表成绩单[数学]&lt;9E+307)*(表成绩单[数学]&gt;表成绩单[[#This Row],[数学]]))+1)</f>
        <v/>
      </c>
      <c r="R1533" s="29" t="str" cm="1">
        <f t="array" ref="R1533">IF(表成绩单[[#This Row],[英语]]="","",SUMPRODUCT((表成绩单[考试日期]=表成绩单[[#This Row],[考试日期]])*(表成绩单[英语]&lt;9E+307)*(表成绩单[英语]&gt;表成绩单[[#This Row],[英语]]))+1)</f>
        <v/>
      </c>
      <c r="S1533" s="29" t="str" cm="1">
        <f t="array" ref="S1533">IF(表成绩单[[#This Row],[物理]]="","",SUMPRODUCT((表成绩单[考试日期]=表成绩单[[#This Row],[考试日期]])*(表成绩单[物理]&lt;9E+307)*(表成绩单[物理]&gt;表成绩单[[#This Row],[物理]]))+1)</f>
        <v/>
      </c>
      <c r="T1533" s="29" t="str" cm="1">
        <f t="array" ref="T1533">IF(表成绩单[[#This Row],[化学]]="","",SUMPRODUCT((表成绩单[考试日期]=表成绩单[[#This Row],[考试日期]])*(表成绩单[化学]&lt;9E+307)*(表成绩单[化学]&gt;表成绩单[[#This Row],[化学]]))+1)</f>
        <v/>
      </c>
      <c r="U1533" s="29" t="str" cm="1">
        <f t="array" ref="U1533">IF(表成绩单[[#This Row],[政治]]="","",SUMPRODUCT((表成绩单[考试日期]=表成绩单[[#This Row],[考试日期]])*(表成绩单[政治]&lt;9E+307)*(表成绩单[政治]&gt;表成绩单[[#This Row],[政治]]))+1)</f>
        <v/>
      </c>
      <c r="V1533" s="29" t="str" cm="1">
        <f t="array" ref="V1533">IF(表成绩单[[#This Row],[历史]]="","",SUMPRODUCT((表成绩单[考试日期]=表成绩单[[#This Row],[考试日期]])*(表成绩单[历史]&lt;9E+307)*(表成绩单[历史]&gt;表成绩单[[#This Row],[历史]]))+1)</f>
        <v/>
      </c>
      <c r="W1533" s="29" t="str" cm="1">
        <f t="array" ref="W1533">IF(表成绩单[[#This Row],[总分]]="","",SUMPRODUCT((表成绩单[考试日期]=表成绩单[[#This Row],[考试日期]])*(表成绩单[总分]&lt;9E+307)*(表成绩单[总分]&gt;表成绩单[[#This Row],[总分]]))+1)</f>
        <v/>
      </c>
    </row>
    <row r="1534" ht="28" customHeight="1" spans="4:23">
      <c r="D1534" s="31">
        <v>46003</v>
      </c>
      <c r="E1534" s="29">
        <v>19172638</v>
      </c>
      <c r="F1534" s="29" t="s">
        <v>60</v>
      </c>
      <c r="G1534" s="29" t="s">
        <v>470</v>
      </c>
      <c r="H1534" s="29"/>
      <c r="I1534" s="29"/>
      <c r="J1534" s="29"/>
      <c r="K1534" s="29"/>
      <c r="L1534" s="29"/>
      <c r="M1534" s="29"/>
      <c r="N1534" s="29"/>
      <c r="O1534" s="32"/>
      <c r="P1534" s="29" t="str" cm="1">
        <f t="array" ref="P1534">IF(表成绩单[[#This Row],[语文]]="","",SUMPRODUCT((表成绩单[考试日期]=表成绩单[[#This Row],[考试日期]])*(表成绩单[语文]&lt;9E+307)*(表成绩单[语文]&gt;表成绩单[[#This Row],[语文]]))+1)</f>
        <v/>
      </c>
      <c r="Q1534" s="29" t="str" cm="1">
        <f t="array" ref="Q1534">IF(表成绩单[[#This Row],[数学]]="","",SUMPRODUCT((表成绩单[考试日期]=表成绩单[[#This Row],[考试日期]])*(表成绩单[数学]&lt;9E+307)*(表成绩单[数学]&gt;表成绩单[[#This Row],[数学]]))+1)</f>
        <v/>
      </c>
      <c r="R1534" s="29" t="str" cm="1">
        <f t="array" ref="R1534">IF(表成绩单[[#This Row],[英语]]="","",SUMPRODUCT((表成绩单[考试日期]=表成绩单[[#This Row],[考试日期]])*(表成绩单[英语]&lt;9E+307)*(表成绩单[英语]&gt;表成绩单[[#This Row],[英语]]))+1)</f>
        <v/>
      </c>
      <c r="S1534" s="29" t="str" cm="1">
        <f t="array" ref="S1534">IF(表成绩单[[#This Row],[物理]]="","",SUMPRODUCT((表成绩单[考试日期]=表成绩单[[#This Row],[考试日期]])*(表成绩单[物理]&lt;9E+307)*(表成绩单[物理]&gt;表成绩单[[#This Row],[物理]]))+1)</f>
        <v/>
      </c>
      <c r="T1534" s="29" t="str" cm="1">
        <f t="array" ref="T1534">IF(表成绩单[[#This Row],[化学]]="","",SUMPRODUCT((表成绩单[考试日期]=表成绩单[[#This Row],[考试日期]])*(表成绩单[化学]&lt;9E+307)*(表成绩单[化学]&gt;表成绩单[[#This Row],[化学]]))+1)</f>
        <v/>
      </c>
      <c r="U1534" s="29" t="str" cm="1">
        <f t="array" ref="U1534">IF(表成绩单[[#This Row],[政治]]="","",SUMPRODUCT((表成绩单[考试日期]=表成绩单[[#This Row],[考试日期]])*(表成绩单[政治]&lt;9E+307)*(表成绩单[政治]&gt;表成绩单[[#This Row],[政治]]))+1)</f>
        <v/>
      </c>
      <c r="V1534" s="29" t="str" cm="1">
        <f t="array" ref="V1534">IF(表成绩单[[#This Row],[历史]]="","",SUMPRODUCT((表成绩单[考试日期]=表成绩单[[#This Row],[考试日期]])*(表成绩单[历史]&lt;9E+307)*(表成绩单[历史]&gt;表成绩单[[#This Row],[历史]]))+1)</f>
        <v/>
      </c>
      <c r="W1534" s="29" t="str" cm="1">
        <f t="array" ref="W1534">IF(表成绩单[[#This Row],[总分]]="","",SUMPRODUCT((表成绩单[考试日期]=表成绩单[[#This Row],[考试日期]])*(表成绩单[总分]&lt;9E+307)*(表成绩单[总分]&gt;表成绩单[[#This Row],[总分]]))+1)</f>
        <v/>
      </c>
    </row>
    <row r="1535" ht="28" customHeight="1" spans="4:23">
      <c r="D1535" s="31">
        <v>46003</v>
      </c>
      <c r="E1535" s="29">
        <v>19172642</v>
      </c>
      <c r="F1535" s="29" t="s">
        <v>60</v>
      </c>
      <c r="G1535" s="29" t="s">
        <v>838</v>
      </c>
      <c r="H1535" s="29"/>
      <c r="I1535" s="29"/>
      <c r="J1535" s="29"/>
      <c r="K1535" s="29"/>
      <c r="L1535" s="29"/>
      <c r="M1535" s="29"/>
      <c r="N1535" s="29"/>
      <c r="O1535" s="32"/>
      <c r="P1535" s="29" t="str" cm="1">
        <f t="array" ref="P1535">IF(表成绩单[[#This Row],[语文]]="","",SUMPRODUCT((表成绩单[考试日期]=表成绩单[[#This Row],[考试日期]])*(表成绩单[语文]&lt;9E+307)*(表成绩单[语文]&gt;表成绩单[[#This Row],[语文]]))+1)</f>
        <v/>
      </c>
      <c r="Q1535" s="29" t="str" cm="1">
        <f t="array" ref="Q1535">IF(表成绩单[[#This Row],[数学]]="","",SUMPRODUCT((表成绩单[考试日期]=表成绩单[[#This Row],[考试日期]])*(表成绩单[数学]&lt;9E+307)*(表成绩单[数学]&gt;表成绩单[[#This Row],[数学]]))+1)</f>
        <v/>
      </c>
      <c r="R1535" s="29" t="str" cm="1">
        <f t="array" ref="R1535">IF(表成绩单[[#This Row],[英语]]="","",SUMPRODUCT((表成绩单[考试日期]=表成绩单[[#This Row],[考试日期]])*(表成绩单[英语]&lt;9E+307)*(表成绩单[英语]&gt;表成绩单[[#This Row],[英语]]))+1)</f>
        <v/>
      </c>
      <c r="S1535" s="29" t="str" cm="1">
        <f t="array" ref="S1535">IF(表成绩单[[#This Row],[物理]]="","",SUMPRODUCT((表成绩单[考试日期]=表成绩单[[#This Row],[考试日期]])*(表成绩单[物理]&lt;9E+307)*(表成绩单[物理]&gt;表成绩单[[#This Row],[物理]]))+1)</f>
        <v/>
      </c>
      <c r="T1535" s="29" t="str" cm="1">
        <f t="array" ref="T1535">IF(表成绩单[[#This Row],[化学]]="","",SUMPRODUCT((表成绩单[考试日期]=表成绩单[[#This Row],[考试日期]])*(表成绩单[化学]&lt;9E+307)*(表成绩单[化学]&gt;表成绩单[[#This Row],[化学]]))+1)</f>
        <v/>
      </c>
      <c r="U1535" s="29" t="str" cm="1">
        <f t="array" ref="U1535">IF(表成绩单[[#This Row],[政治]]="","",SUMPRODUCT((表成绩单[考试日期]=表成绩单[[#This Row],[考试日期]])*(表成绩单[政治]&lt;9E+307)*(表成绩单[政治]&gt;表成绩单[[#This Row],[政治]]))+1)</f>
        <v/>
      </c>
      <c r="V1535" s="29" t="str" cm="1">
        <f t="array" ref="V1535">IF(表成绩单[[#This Row],[历史]]="","",SUMPRODUCT((表成绩单[考试日期]=表成绩单[[#This Row],[考试日期]])*(表成绩单[历史]&lt;9E+307)*(表成绩单[历史]&gt;表成绩单[[#This Row],[历史]]))+1)</f>
        <v/>
      </c>
      <c r="W1535" s="29" t="str" cm="1">
        <f t="array" ref="W1535">IF(表成绩单[[#This Row],[总分]]="","",SUMPRODUCT((表成绩单[考试日期]=表成绩单[[#This Row],[考试日期]])*(表成绩单[总分]&lt;9E+307)*(表成绩单[总分]&gt;表成绩单[[#This Row],[总分]]))+1)</f>
        <v/>
      </c>
    </row>
    <row r="1536" ht="28" customHeight="1" spans="4:23">
      <c r="D1536" s="31">
        <v>46003</v>
      </c>
      <c r="E1536" s="29">
        <v>19172655</v>
      </c>
      <c r="F1536" s="29" t="s">
        <v>60</v>
      </c>
      <c r="G1536" s="29" t="s">
        <v>789</v>
      </c>
      <c r="H1536" s="29"/>
      <c r="I1536" s="29"/>
      <c r="J1536" s="29">
        <v>35</v>
      </c>
      <c r="K1536" s="29"/>
      <c r="L1536" s="29"/>
      <c r="M1536" s="29"/>
      <c r="N1536" s="29">
        <v>70</v>
      </c>
      <c r="O1536" s="32">
        <v>105</v>
      </c>
      <c r="P1536" s="29" t="str" cm="1">
        <f t="array" ref="P1536">IF(表成绩单[[#This Row],[语文]]="","",SUMPRODUCT((表成绩单[考试日期]=表成绩单[[#This Row],[考试日期]])*(表成绩单[语文]&lt;9E+307)*(表成绩单[语文]&gt;表成绩单[[#This Row],[语文]]))+1)</f>
        <v/>
      </c>
      <c r="Q1536" s="29" t="str" cm="1">
        <f t="array" ref="Q1536">IF(表成绩单[[#This Row],[数学]]="","",SUMPRODUCT((表成绩单[考试日期]=表成绩单[[#This Row],[考试日期]])*(表成绩单[数学]&lt;9E+307)*(表成绩单[数学]&gt;表成绩单[[#This Row],[数学]]))+1)</f>
        <v/>
      </c>
      <c r="R1536" s="29" cm="1">
        <f t="array" ref="R1536">IF(表成绩单[[#This Row],[英语]]="","",SUMPRODUCT((表成绩单[考试日期]=表成绩单[[#This Row],[考试日期]])*(表成绩单[英语]&lt;9E+307)*(表成绩单[英语]&gt;表成绩单[[#This Row],[英语]]))+1)</f>
        <v>672</v>
      </c>
      <c r="S1536" s="29" t="str" cm="1">
        <f t="array" ref="S1536">IF(表成绩单[[#This Row],[物理]]="","",SUMPRODUCT((表成绩单[考试日期]=表成绩单[[#This Row],[考试日期]])*(表成绩单[物理]&lt;9E+307)*(表成绩单[物理]&gt;表成绩单[[#This Row],[物理]]))+1)</f>
        <v/>
      </c>
      <c r="T1536" s="29" t="str" cm="1">
        <f t="array" ref="T1536">IF(表成绩单[[#This Row],[化学]]="","",SUMPRODUCT((表成绩单[考试日期]=表成绩单[[#This Row],[考试日期]])*(表成绩单[化学]&lt;9E+307)*(表成绩单[化学]&gt;表成绩单[[#This Row],[化学]]))+1)</f>
        <v/>
      </c>
      <c r="U1536" s="29" t="str" cm="1">
        <f t="array" ref="U1536">IF(表成绩单[[#This Row],[政治]]="","",SUMPRODUCT((表成绩单[考试日期]=表成绩单[[#This Row],[考试日期]])*(表成绩单[政治]&lt;9E+307)*(表成绩单[政治]&gt;表成绩单[[#This Row],[政治]]))+1)</f>
        <v/>
      </c>
      <c r="V1536" s="29" cm="1">
        <f t="array" ref="V1536">IF(表成绩单[[#This Row],[历史]]="","",SUMPRODUCT((表成绩单[考试日期]=表成绩单[[#This Row],[考试日期]])*(表成绩单[历史]&lt;9E+307)*(表成绩单[历史]&gt;表成绩单[[#This Row],[历史]]))+1)</f>
        <v>499</v>
      </c>
      <c r="W1536" s="29" cm="1">
        <f t="array" ref="W1536">IF(表成绩单[[#This Row],[总分]]="","",SUMPRODUCT((表成绩单[考试日期]=表成绩单[[#This Row],[考试日期]])*(表成绩单[总分]&lt;9E+307)*(表成绩单[总分]&gt;表成绩单[[#This Row],[总分]]))+1)</f>
        <v>738</v>
      </c>
    </row>
    <row r="1537" ht="28" customHeight="1" spans="4:23">
      <c r="D1537" s="31">
        <v>46003</v>
      </c>
      <c r="E1537" s="29">
        <v>19172656</v>
      </c>
      <c r="F1537" s="29" t="s">
        <v>60</v>
      </c>
      <c r="G1537" s="29" t="s">
        <v>847</v>
      </c>
      <c r="H1537" s="29"/>
      <c r="I1537" s="29"/>
      <c r="J1537" s="29"/>
      <c r="K1537" s="29"/>
      <c r="L1537" s="29"/>
      <c r="M1537" s="29"/>
      <c r="N1537" s="29"/>
      <c r="O1537" s="32"/>
      <c r="P1537" s="29" t="str" cm="1">
        <f t="array" ref="P1537">IF(表成绩单[[#This Row],[语文]]="","",SUMPRODUCT((表成绩单[考试日期]=表成绩单[[#This Row],[考试日期]])*(表成绩单[语文]&lt;9E+307)*(表成绩单[语文]&gt;表成绩单[[#This Row],[语文]]))+1)</f>
        <v/>
      </c>
      <c r="Q1537" s="29" t="str" cm="1">
        <f t="array" ref="Q1537">IF(表成绩单[[#This Row],[数学]]="","",SUMPRODUCT((表成绩单[考试日期]=表成绩单[[#This Row],[考试日期]])*(表成绩单[数学]&lt;9E+307)*(表成绩单[数学]&gt;表成绩单[[#This Row],[数学]]))+1)</f>
        <v/>
      </c>
      <c r="R1537" s="29" t="str" cm="1">
        <f t="array" ref="R1537">IF(表成绩单[[#This Row],[英语]]="","",SUMPRODUCT((表成绩单[考试日期]=表成绩单[[#This Row],[考试日期]])*(表成绩单[英语]&lt;9E+307)*(表成绩单[英语]&gt;表成绩单[[#This Row],[英语]]))+1)</f>
        <v/>
      </c>
      <c r="S1537" s="29" t="str" cm="1">
        <f t="array" ref="S1537">IF(表成绩单[[#This Row],[物理]]="","",SUMPRODUCT((表成绩单[考试日期]=表成绩单[[#This Row],[考试日期]])*(表成绩单[物理]&lt;9E+307)*(表成绩单[物理]&gt;表成绩单[[#This Row],[物理]]))+1)</f>
        <v/>
      </c>
      <c r="T1537" s="29" t="str" cm="1">
        <f t="array" ref="T1537">IF(表成绩单[[#This Row],[化学]]="","",SUMPRODUCT((表成绩单[考试日期]=表成绩单[[#This Row],[考试日期]])*(表成绩单[化学]&lt;9E+307)*(表成绩单[化学]&gt;表成绩单[[#This Row],[化学]]))+1)</f>
        <v/>
      </c>
      <c r="U1537" s="29" t="str" cm="1">
        <f t="array" ref="U1537">IF(表成绩单[[#This Row],[政治]]="","",SUMPRODUCT((表成绩单[考试日期]=表成绩单[[#This Row],[考试日期]])*(表成绩单[政治]&lt;9E+307)*(表成绩单[政治]&gt;表成绩单[[#This Row],[政治]]))+1)</f>
        <v/>
      </c>
      <c r="V1537" s="29" t="str" cm="1">
        <f t="array" ref="V1537">IF(表成绩单[[#This Row],[历史]]="","",SUMPRODUCT((表成绩单[考试日期]=表成绩单[[#This Row],[考试日期]])*(表成绩单[历史]&lt;9E+307)*(表成绩单[历史]&gt;表成绩单[[#This Row],[历史]]))+1)</f>
        <v/>
      </c>
      <c r="W1537" s="29" t="str" cm="1">
        <f t="array" ref="W1537">IF(表成绩单[[#This Row],[总分]]="","",SUMPRODUCT((表成绩单[考试日期]=表成绩单[[#This Row],[考试日期]])*(表成绩单[总分]&lt;9E+307)*(表成绩单[总分]&gt;表成绩单[[#This Row],[总分]]))+1)</f>
        <v/>
      </c>
    </row>
    <row r="1538" ht="28" customHeight="1" spans="4:23">
      <c r="D1538" s="31">
        <v>46003</v>
      </c>
      <c r="E1538" s="29">
        <v>19172658</v>
      </c>
      <c r="F1538" s="29" t="s">
        <v>60</v>
      </c>
      <c r="G1538" s="29" t="s">
        <v>739</v>
      </c>
      <c r="H1538" s="29"/>
      <c r="I1538" s="29"/>
      <c r="J1538" s="29"/>
      <c r="K1538" s="29"/>
      <c r="L1538" s="29"/>
      <c r="M1538" s="29"/>
      <c r="N1538" s="29"/>
      <c r="O1538" s="32"/>
      <c r="P1538" s="29" t="str" cm="1">
        <f t="array" ref="P1538">IF(表成绩单[[#This Row],[语文]]="","",SUMPRODUCT((表成绩单[考试日期]=表成绩单[[#This Row],[考试日期]])*(表成绩单[语文]&lt;9E+307)*(表成绩单[语文]&gt;表成绩单[[#This Row],[语文]]))+1)</f>
        <v/>
      </c>
      <c r="Q1538" s="29" t="str" cm="1">
        <f t="array" ref="Q1538">IF(表成绩单[[#This Row],[数学]]="","",SUMPRODUCT((表成绩单[考试日期]=表成绩单[[#This Row],[考试日期]])*(表成绩单[数学]&lt;9E+307)*(表成绩单[数学]&gt;表成绩单[[#This Row],[数学]]))+1)</f>
        <v/>
      </c>
      <c r="R1538" s="29" t="str" cm="1">
        <f t="array" ref="R1538">IF(表成绩单[[#This Row],[英语]]="","",SUMPRODUCT((表成绩单[考试日期]=表成绩单[[#This Row],[考试日期]])*(表成绩单[英语]&lt;9E+307)*(表成绩单[英语]&gt;表成绩单[[#This Row],[英语]]))+1)</f>
        <v/>
      </c>
      <c r="S1538" s="29" t="str" cm="1">
        <f t="array" ref="S1538">IF(表成绩单[[#This Row],[物理]]="","",SUMPRODUCT((表成绩单[考试日期]=表成绩单[[#This Row],[考试日期]])*(表成绩单[物理]&lt;9E+307)*(表成绩单[物理]&gt;表成绩单[[#This Row],[物理]]))+1)</f>
        <v/>
      </c>
      <c r="T1538" s="29" t="str" cm="1">
        <f t="array" ref="T1538">IF(表成绩单[[#This Row],[化学]]="","",SUMPRODUCT((表成绩单[考试日期]=表成绩单[[#This Row],[考试日期]])*(表成绩单[化学]&lt;9E+307)*(表成绩单[化学]&gt;表成绩单[[#This Row],[化学]]))+1)</f>
        <v/>
      </c>
      <c r="U1538" s="29" t="str" cm="1">
        <f t="array" ref="U1538">IF(表成绩单[[#This Row],[政治]]="","",SUMPRODUCT((表成绩单[考试日期]=表成绩单[[#This Row],[考试日期]])*(表成绩单[政治]&lt;9E+307)*(表成绩单[政治]&gt;表成绩单[[#This Row],[政治]]))+1)</f>
        <v/>
      </c>
      <c r="V1538" s="29" t="str" cm="1">
        <f t="array" ref="V1538">IF(表成绩单[[#This Row],[历史]]="","",SUMPRODUCT((表成绩单[考试日期]=表成绩单[[#This Row],[考试日期]])*(表成绩单[历史]&lt;9E+307)*(表成绩单[历史]&gt;表成绩单[[#This Row],[历史]]))+1)</f>
        <v/>
      </c>
      <c r="W1538" s="29" t="str" cm="1">
        <f t="array" ref="W1538">IF(表成绩单[[#This Row],[总分]]="","",SUMPRODUCT((表成绩单[考试日期]=表成绩单[[#This Row],[考试日期]])*(表成绩单[总分]&lt;9E+307)*(表成绩单[总分]&gt;表成绩单[[#This Row],[总分]]))+1)</f>
        <v/>
      </c>
    </row>
    <row r="1539" ht="28" customHeight="1" spans="4:23">
      <c r="D1539" s="31">
        <v>46003</v>
      </c>
      <c r="E1539" s="29">
        <v>19172659</v>
      </c>
      <c r="F1539" s="29" t="s">
        <v>60</v>
      </c>
      <c r="G1539" s="29" t="s">
        <v>791</v>
      </c>
      <c r="H1539" s="29">
        <v>81</v>
      </c>
      <c r="I1539" s="29"/>
      <c r="J1539" s="29">
        <v>21.5</v>
      </c>
      <c r="K1539" s="29">
        <v>40</v>
      </c>
      <c r="L1539" s="29">
        <v>50</v>
      </c>
      <c r="M1539" s="29"/>
      <c r="N1539" s="29">
        <v>68</v>
      </c>
      <c r="O1539" s="32">
        <v>260.5</v>
      </c>
      <c r="P1539" s="29" cm="1">
        <f t="array" ref="P1539">IF(表成绩单[[#This Row],[语文]]="","",SUMPRODUCT((表成绩单[考试日期]=表成绩单[[#This Row],[考试日期]])*(表成绩单[语文]&lt;9E+307)*(表成绩单[语文]&gt;表成绩单[[#This Row],[语文]]))+1)</f>
        <v>664</v>
      </c>
      <c r="Q1539" s="29" t="str" cm="1">
        <f t="array" ref="Q1539">IF(表成绩单[[#This Row],[数学]]="","",SUMPRODUCT((表成绩单[考试日期]=表成绩单[[#This Row],[考试日期]])*(表成绩单[数学]&lt;9E+307)*(表成绩单[数学]&gt;表成绩单[[#This Row],[数学]]))+1)</f>
        <v/>
      </c>
      <c r="R1539" s="29" cm="1">
        <f t="array" ref="R1539">IF(表成绩单[[#This Row],[英语]]="","",SUMPRODUCT((表成绩单[考试日期]=表成绩单[[#This Row],[考试日期]])*(表成绩单[英语]&lt;9E+307)*(表成绩单[英语]&gt;表成绩单[[#This Row],[英语]]))+1)</f>
        <v>714</v>
      </c>
      <c r="S1539" s="29" cm="1">
        <f t="array" ref="S1539">IF(表成绩单[[#This Row],[物理]]="","",SUMPRODUCT((表成绩单[考试日期]=表成绩单[[#This Row],[考试日期]])*(表成绩单[物理]&lt;9E+307)*(表成绩单[物理]&gt;表成绩单[[#This Row],[物理]]))+1)</f>
        <v>677</v>
      </c>
      <c r="T1539" s="29" cm="1">
        <f t="array" ref="T1539">IF(表成绩单[[#This Row],[化学]]="","",SUMPRODUCT((表成绩单[考试日期]=表成绩单[[#This Row],[考试日期]])*(表成绩单[化学]&lt;9E+307)*(表成绩单[化学]&gt;表成绩单[[#This Row],[化学]]))+1)</f>
        <v>649</v>
      </c>
      <c r="U1539" s="29" t="str" cm="1">
        <f t="array" ref="U1539">IF(表成绩单[[#This Row],[政治]]="","",SUMPRODUCT((表成绩单[考试日期]=表成绩单[[#This Row],[考试日期]])*(表成绩单[政治]&lt;9E+307)*(表成绩单[政治]&gt;表成绩单[[#This Row],[政治]]))+1)</f>
        <v/>
      </c>
      <c r="V1539" s="29" cm="1">
        <f t="array" ref="V1539">IF(表成绩单[[#This Row],[历史]]="","",SUMPRODUCT((表成绩单[考试日期]=表成绩单[[#This Row],[考试日期]])*(表成绩单[历史]&lt;9E+307)*(表成绩单[历史]&gt;表成绩单[[#This Row],[历史]]))+1)</f>
        <v>536</v>
      </c>
      <c r="W1539" s="29" cm="1">
        <f t="array" ref="W1539">IF(表成绩单[[#This Row],[总分]]="","",SUMPRODUCT((表成绩单[考试日期]=表成绩单[[#This Row],[考试日期]])*(表成绩单[总分]&lt;9E+307)*(表成绩单[总分]&gt;表成绩单[[#This Row],[总分]]))+1)</f>
        <v>718</v>
      </c>
    </row>
    <row r="1540" ht="28" customHeight="1" spans="4:23">
      <c r="D1540" s="31">
        <v>46003</v>
      </c>
      <c r="E1540" s="29">
        <v>19172662</v>
      </c>
      <c r="F1540" s="29" t="s">
        <v>60</v>
      </c>
      <c r="G1540" s="29" t="s">
        <v>871</v>
      </c>
      <c r="H1540" s="29"/>
      <c r="I1540" s="29"/>
      <c r="J1540" s="29"/>
      <c r="K1540" s="29"/>
      <c r="L1540" s="29"/>
      <c r="M1540" s="29"/>
      <c r="N1540" s="29"/>
      <c r="O1540" s="32"/>
      <c r="P1540" s="29" t="str" cm="1">
        <f t="array" ref="P1540">IF(表成绩单[[#This Row],[语文]]="","",SUMPRODUCT((表成绩单[考试日期]=表成绩单[[#This Row],[考试日期]])*(表成绩单[语文]&lt;9E+307)*(表成绩单[语文]&gt;表成绩单[[#This Row],[语文]]))+1)</f>
        <v/>
      </c>
      <c r="Q1540" s="29" t="str" cm="1">
        <f t="array" ref="Q1540">IF(表成绩单[[#This Row],[数学]]="","",SUMPRODUCT((表成绩单[考试日期]=表成绩单[[#This Row],[考试日期]])*(表成绩单[数学]&lt;9E+307)*(表成绩单[数学]&gt;表成绩单[[#This Row],[数学]]))+1)</f>
        <v/>
      </c>
      <c r="R1540" s="29" t="str" cm="1">
        <f t="array" ref="R1540">IF(表成绩单[[#This Row],[英语]]="","",SUMPRODUCT((表成绩单[考试日期]=表成绩单[[#This Row],[考试日期]])*(表成绩单[英语]&lt;9E+307)*(表成绩单[英语]&gt;表成绩单[[#This Row],[英语]]))+1)</f>
        <v/>
      </c>
      <c r="S1540" s="29" t="str" cm="1">
        <f t="array" ref="S1540">IF(表成绩单[[#This Row],[物理]]="","",SUMPRODUCT((表成绩单[考试日期]=表成绩单[[#This Row],[考试日期]])*(表成绩单[物理]&lt;9E+307)*(表成绩单[物理]&gt;表成绩单[[#This Row],[物理]]))+1)</f>
        <v/>
      </c>
      <c r="T1540" s="29" t="str" cm="1">
        <f t="array" ref="T1540">IF(表成绩单[[#This Row],[化学]]="","",SUMPRODUCT((表成绩单[考试日期]=表成绩单[[#This Row],[考试日期]])*(表成绩单[化学]&lt;9E+307)*(表成绩单[化学]&gt;表成绩单[[#This Row],[化学]]))+1)</f>
        <v/>
      </c>
      <c r="U1540" s="29" t="str" cm="1">
        <f t="array" ref="U1540">IF(表成绩单[[#This Row],[政治]]="","",SUMPRODUCT((表成绩单[考试日期]=表成绩单[[#This Row],[考试日期]])*(表成绩单[政治]&lt;9E+307)*(表成绩单[政治]&gt;表成绩单[[#This Row],[政治]]))+1)</f>
        <v/>
      </c>
      <c r="V1540" s="29" t="str" cm="1">
        <f t="array" ref="V1540">IF(表成绩单[[#This Row],[历史]]="","",SUMPRODUCT((表成绩单[考试日期]=表成绩单[[#This Row],[考试日期]])*(表成绩单[历史]&lt;9E+307)*(表成绩单[历史]&gt;表成绩单[[#This Row],[历史]]))+1)</f>
        <v/>
      </c>
      <c r="W1540" s="29" t="str" cm="1">
        <f t="array" ref="W1540">IF(表成绩单[[#This Row],[总分]]="","",SUMPRODUCT((表成绩单[考试日期]=表成绩单[[#This Row],[考试日期]])*(表成绩单[总分]&lt;9E+307)*(表成绩单[总分]&gt;表成绩单[[#This Row],[总分]]))+1)</f>
        <v/>
      </c>
    </row>
    <row r="1541" ht="28" customHeight="1" spans="4:23">
      <c r="D1541" s="31">
        <v>46003</v>
      </c>
      <c r="E1541" s="29">
        <v>19173249</v>
      </c>
      <c r="F1541" s="29" t="s">
        <v>61</v>
      </c>
      <c r="G1541" s="29" t="s">
        <v>218</v>
      </c>
      <c r="H1541" s="29"/>
      <c r="I1541" s="29"/>
      <c r="J1541" s="29"/>
      <c r="K1541" s="29"/>
      <c r="L1541" s="29"/>
      <c r="M1541" s="29"/>
      <c r="N1541" s="29"/>
      <c r="O1541" s="32"/>
      <c r="P1541" s="29" t="str" cm="1">
        <f t="array" ref="P1541">IF(表成绩单[[#This Row],[语文]]="","",SUMPRODUCT((表成绩单[考试日期]=表成绩单[[#This Row],[考试日期]])*(表成绩单[语文]&lt;9E+307)*(表成绩单[语文]&gt;表成绩单[[#This Row],[语文]]))+1)</f>
        <v/>
      </c>
      <c r="Q1541" s="29" t="str" cm="1">
        <f t="array" ref="Q1541">IF(表成绩单[[#This Row],[数学]]="","",SUMPRODUCT((表成绩单[考试日期]=表成绩单[[#This Row],[考试日期]])*(表成绩单[数学]&lt;9E+307)*(表成绩单[数学]&gt;表成绩单[[#This Row],[数学]]))+1)</f>
        <v/>
      </c>
      <c r="R1541" s="29" t="str" cm="1">
        <f t="array" ref="R1541">IF(表成绩单[[#This Row],[英语]]="","",SUMPRODUCT((表成绩单[考试日期]=表成绩单[[#This Row],[考试日期]])*(表成绩单[英语]&lt;9E+307)*(表成绩单[英语]&gt;表成绩单[[#This Row],[英语]]))+1)</f>
        <v/>
      </c>
      <c r="S1541" s="29" t="str" cm="1">
        <f t="array" ref="S1541">IF(表成绩单[[#This Row],[物理]]="","",SUMPRODUCT((表成绩单[考试日期]=表成绩单[[#This Row],[考试日期]])*(表成绩单[物理]&lt;9E+307)*(表成绩单[物理]&gt;表成绩单[[#This Row],[物理]]))+1)</f>
        <v/>
      </c>
      <c r="T1541" s="29" t="str" cm="1">
        <f t="array" ref="T1541">IF(表成绩单[[#This Row],[化学]]="","",SUMPRODUCT((表成绩单[考试日期]=表成绩单[[#This Row],[考试日期]])*(表成绩单[化学]&lt;9E+307)*(表成绩单[化学]&gt;表成绩单[[#This Row],[化学]]))+1)</f>
        <v/>
      </c>
      <c r="U1541" s="29" t="str" cm="1">
        <f t="array" ref="U1541">IF(表成绩单[[#This Row],[政治]]="","",SUMPRODUCT((表成绩单[考试日期]=表成绩单[[#This Row],[考试日期]])*(表成绩单[政治]&lt;9E+307)*(表成绩单[政治]&gt;表成绩单[[#This Row],[政治]]))+1)</f>
        <v/>
      </c>
      <c r="V1541" s="29" t="str" cm="1">
        <f t="array" ref="V1541">IF(表成绩单[[#This Row],[历史]]="","",SUMPRODUCT((表成绩单[考试日期]=表成绩单[[#This Row],[考试日期]])*(表成绩单[历史]&lt;9E+307)*(表成绩单[历史]&gt;表成绩单[[#This Row],[历史]]))+1)</f>
        <v/>
      </c>
      <c r="W1541" s="29" t="str" cm="1">
        <f t="array" ref="W1541">IF(表成绩单[[#This Row],[总分]]="","",SUMPRODUCT((表成绩单[考试日期]=表成绩单[[#This Row],[考试日期]])*(表成绩单[总分]&lt;9E+307)*(表成绩单[总分]&gt;表成绩单[[#This Row],[总分]]))+1)</f>
        <v/>
      </c>
    </row>
    <row r="1542" ht="28" customHeight="1" spans="4:23">
      <c r="D1542" s="31">
        <v>46003</v>
      </c>
      <c r="E1542" s="29">
        <v>19173260</v>
      </c>
      <c r="F1542" s="29" t="s">
        <v>61</v>
      </c>
      <c r="G1542" s="29" t="s">
        <v>667</v>
      </c>
      <c r="H1542" s="29">
        <v>79</v>
      </c>
      <c r="I1542" s="29"/>
      <c r="J1542" s="29">
        <v>23</v>
      </c>
      <c r="K1542" s="29">
        <v>75</v>
      </c>
      <c r="L1542" s="29">
        <v>76</v>
      </c>
      <c r="M1542" s="29"/>
      <c r="N1542" s="29">
        <v>62</v>
      </c>
      <c r="O1542" s="32">
        <v>315</v>
      </c>
      <c r="P1542" s="29" cm="1">
        <f t="array" ref="P1542">IF(表成绩单[[#This Row],[语文]]="","",SUMPRODUCT((表成绩单[考试日期]=表成绩单[[#This Row],[考试日期]])*(表成绩单[语文]&lt;9E+307)*(表成绩单[语文]&gt;表成绩单[[#This Row],[语文]]))+1)</f>
        <v>675</v>
      </c>
      <c r="Q1542" s="29" t="str" cm="1">
        <f t="array" ref="Q1542">IF(表成绩单[[#This Row],[数学]]="","",SUMPRODUCT((表成绩单[考试日期]=表成绩单[[#This Row],[考试日期]])*(表成绩单[数学]&lt;9E+307)*(表成绩单[数学]&gt;表成绩单[[#This Row],[数学]]))+1)</f>
        <v/>
      </c>
      <c r="R1542" s="29" cm="1">
        <f t="array" ref="R1542">IF(表成绩单[[#This Row],[英语]]="","",SUMPRODUCT((表成绩单[考试日期]=表成绩单[[#This Row],[考试日期]])*(表成绩单[英语]&lt;9E+307)*(表成绩单[英语]&gt;表成绩单[[#This Row],[英语]]))+1)</f>
        <v>710</v>
      </c>
      <c r="S1542" s="29" cm="1">
        <f t="array" ref="S1542">IF(表成绩单[[#This Row],[物理]]="","",SUMPRODUCT((表成绩单[考试日期]=表成绩单[[#This Row],[考试日期]])*(表成绩单[物理]&lt;9E+307)*(表成绩单[物理]&gt;表成绩单[[#This Row],[物理]]))+1)</f>
        <v>472</v>
      </c>
      <c r="T1542" s="29" cm="1">
        <f t="array" ref="T1542">IF(表成绩单[[#This Row],[化学]]="","",SUMPRODUCT((表成绩单[考试日期]=表成绩单[[#This Row],[考试日期]])*(表成绩单[化学]&lt;9E+307)*(表成绩单[化学]&gt;表成绩单[[#This Row],[化学]]))+1)</f>
        <v>402</v>
      </c>
      <c r="U1542" s="29" t="str" cm="1">
        <f t="array" ref="U1542">IF(表成绩单[[#This Row],[政治]]="","",SUMPRODUCT((表成绩单[考试日期]=表成绩单[[#This Row],[考试日期]])*(表成绩单[政治]&lt;9E+307)*(表成绩单[政治]&gt;表成绩单[[#This Row],[政治]]))+1)</f>
        <v/>
      </c>
      <c r="V1542" s="29" cm="1">
        <f t="array" ref="V1542">IF(表成绩单[[#This Row],[历史]]="","",SUMPRODUCT((表成绩单[考试日期]=表成绩单[[#This Row],[考试日期]])*(表成绩单[历史]&lt;9E+307)*(表成绩单[历史]&gt;表成绩单[[#This Row],[历史]]))+1)</f>
        <v>618</v>
      </c>
      <c r="W1542" s="29" cm="1">
        <f t="array" ref="W1542">IF(表成绩单[[#This Row],[总分]]="","",SUMPRODUCT((表成绩单[考试日期]=表成绩单[[#This Row],[考试日期]])*(表成绩单[总分]&lt;9E+307)*(表成绩单[总分]&gt;表成绩单[[#This Row],[总分]]))+1)</f>
        <v>689</v>
      </c>
    </row>
    <row r="1543" ht="28" customHeight="1" spans="4:23">
      <c r="D1543" s="31">
        <v>46003</v>
      </c>
      <c r="E1543" s="29">
        <v>19173263</v>
      </c>
      <c r="F1543" s="29" t="s">
        <v>61</v>
      </c>
      <c r="G1543" s="29" t="s">
        <v>712</v>
      </c>
      <c r="H1543" s="29"/>
      <c r="I1543" s="29"/>
      <c r="J1543" s="29"/>
      <c r="K1543" s="29"/>
      <c r="L1543" s="29"/>
      <c r="M1543" s="29"/>
      <c r="N1543" s="29"/>
      <c r="O1543" s="32"/>
      <c r="P1543" s="29" t="str" cm="1">
        <f t="array" ref="P1543">IF(表成绩单[[#This Row],[语文]]="","",SUMPRODUCT((表成绩单[考试日期]=表成绩单[[#This Row],[考试日期]])*(表成绩单[语文]&lt;9E+307)*(表成绩单[语文]&gt;表成绩单[[#This Row],[语文]]))+1)</f>
        <v/>
      </c>
      <c r="Q1543" s="29" t="str" cm="1">
        <f t="array" ref="Q1543">IF(表成绩单[[#This Row],[数学]]="","",SUMPRODUCT((表成绩单[考试日期]=表成绩单[[#This Row],[考试日期]])*(表成绩单[数学]&lt;9E+307)*(表成绩单[数学]&gt;表成绩单[[#This Row],[数学]]))+1)</f>
        <v/>
      </c>
      <c r="R1543" s="29" t="str" cm="1">
        <f t="array" ref="R1543">IF(表成绩单[[#This Row],[英语]]="","",SUMPRODUCT((表成绩单[考试日期]=表成绩单[[#This Row],[考试日期]])*(表成绩单[英语]&lt;9E+307)*(表成绩单[英语]&gt;表成绩单[[#This Row],[英语]]))+1)</f>
        <v/>
      </c>
      <c r="S1543" s="29" t="str" cm="1">
        <f t="array" ref="S1543">IF(表成绩单[[#This Row],[物理]]="","",SUMPRODUCT((表成绩单[考试日期]=表成绩单[[#This Row],[考试日期]])*(表成绩单[物理]&lt;9E+307)*(表成绩单[物理]&gt;表成绩单[[#This Row],[物理]]))+1)</f>
        <v/>
      </c>
      <c r="T1543" s="29" t="str" cm="1">
        <f t="array" ref="T1543">IF(表成绩单[[#This Row],[化学]]="","",SUMPRODUCT((表成绩单[考试日期]=表成绩单[[#This Row],[考试日期]])*(表成绩单[化学]&lt;9E+307)*(表成绩单[化学]&gt;表成绩单[[#This Row],[化学]]))+1)</f>
        <v/>
      </c>
      <c r="U1543" s="29" t="str" cm="1">
        <f t="array" ref="U1543">IF(表成绩单[[#This Row],[政治]]="","",SUMPRODUCT((表成绩单[考试日期]=表成绩单[[#This Row],[考试日期]])*(表成绩单[政治]&lt;9E+307)*(表成绩单[政治]&gt;表成绩单[[#This Row],[政治]]))+1)</f>
        <v/>
      </c>
      <c r="V1543" s="29" t="str" cm="1">
        <f t="array" ref="V1543">IF(表成绩单[[#This Row],[历史]]="","",SUMPRODUCT((表成绩单[考试日期]=表成绩单[[#This Row],[考试日期]])*(表成绩单[历史]&lt;9E+307)*(表成绩单[历史]&gt;表成绩单[[#This Row],[历史]]))+1)</f>
        <v/>
      </c>
      <c r="W1543" s="29" t="str" cm="1">
        <f t="array" ref="W1543">IF(表成绩单[[#This Row],[总分]]="","",SUMPRODUCT((表成绩单[考试日期]=表成绩单[[#This Row],[考试日期]])*(表成绩单[总分]&lt;9E+307)*(表成绩单[总分]&gt;表成绩单[[#This Row],[总分]]))+1)</f>
        <v/>
      </c>
    </row>
    <row r="1544" ht="28" customHeight="1" spans="4:23">
      <c r="D1544" s="31">
        <v>46003</v>
      </c>
      <c r="E1544" s="29">
        <v>19173270</v>
      </c>
      <c r="F1544" s="29" t="s">
        <v>61</v>
      </c>
      <c r="G1544" s="29" t="s">
        <v>448</v>
      </c>
      <c r="H1544" s="29"/>
      <c r="I1544" s="29"/>
      <c r="J1544" s="29"/>
      <c r="K1544" s="29"/>
      <c r="L1544" s="29"/>
      <c r="M1544" s="29"/>
      <c r="N1544" s="29"/>
      <c r="O1544" s="32"/>
      <c r="P1544" s="29" t="str" cm="1">
        <f t="array" ref="P1544">IF(表成绩单[[#This Row],[语文]]="","",SUMPRODUCT((表成绩单[考试日期]=表成绩单[[#This Row],[考试日期]])*(表成绩单[语文]&lt;9E+307)*(表成绩单[语文]&gt;表成绩单[[#This Row],[语文]]))+1)</f>
        <v/>
      </c>
      <c r="Q1544" s="29" t="str" cm="1">
        <f t="array" ref="Q1544">IF(表成绩单[[#This Row],[数学]]="","",SUMPRODUCT((表成绩单[考试日期]=表成绩单[[#This Row],[考试日期]])*(表成绩单[数学]&lt;9E+307)*(表成绩单[数学]&gt;表成绩单[[#This Row],[数学]]))+1)</f>
        <v/>
      </c>
      <c r="R1544" s="29" t="str" cm="1">
        <f t="array" ref="R1544">IF(表成绩单[[#This Row],[英语]]="","",SUMPRODUCT((表成绩单[考试日期]=表成绩单[[#This Row],[考试日期]])*(表成绩单[英语]&lt;9E+307)*(表成绩单[英语]&gt;表成绩单[[#This Row],[英语]]))+1)</f>
        <v/>
      </c>
      <c r="S1544" s="29" t="str" cm="1">
        <f t="array" ref="S1544">IF(表成绩单[[#This Row],[物理]]="","",SUMPRODUCT((表成绩单[考试日期]=表成绩单[[#This Row],[考试日期]])*(表成绩单[物理]&lt;9E+307)*(表成绩单[物理]&gt;表成绩单[[#This Row],[物理]]))+1)</f>
        <v/>
      </c>
      <c r="T1544" s="29" t="str" cm="1">
        <f t="array" ref="T1544">IF(表成绩单[[#This Row],[化学]]="","",SUMPRODUCT((表成绩单[考试日期]=表成绩单[[#This Row],[考试日期]])*(表成绩单[化学]&lt;9E+307)*(表成绩单[化学]&gt;表成绩单[[#This Row],[化学]]))+1)</f>
        <v/>
      </c>
      <c r="U1544" s="29" t="str" cm="1">
        <f t="array" ref="U1544">IF(表成绩单[[#This Row],[政治]]="","",SUMPRODUCT((表成绩单[考试日期]=表成绩单[[#This Row],[考试日期]])*(表成绩单[政治]&lt;9E+307)*(表成绩单[政治]&gt;表成绩单[[#This Row],[政治]]))+1)</f>
        <v/>
      </c>
      <c r="V1544" s="29" t="str" cm="1">
        <f t="array" ref="V1544">IF(表成绩单[[#This Row],[历史]]="","",SUMPRODUCT((表成绩单[考试日期]=表成绩单[[#This Row],[考试日期]])*(表成绩单[历史]&lt;9E+307)*(表成绩单[历史]&gt;表成绩单[[#This Row],[历史]]))+1)</f>
        <v/>
      </c>
      <c r="W1544" s="29" t="str" cm="1">
        <f t="array" ref="W1544">IF(表成绩单[[#This Row],[总分]]="","",SUMPRODUCT((表成绩单[考试日期]=表成绩单[[#This Row],[考试日期]])*(表成绩单[总分]&lt;9E+307)*(表成绩单[总分]&gt;表成绩单[[#This Row],[总分]]))+1)</f>
        <v/>
      </c>
    </row>
    <row r="1545" ht="28" customHeight="1" spans="4:23">
      <c r="D1545" s="31">
        <v>46003</v>
      </c>
      <c r="E1545" s="29">
        <v>19173273</v>
      </c>
      <c r="F1545" s="29" t="s">
        <v>61</v>
      </c>
      <c r="G1545" s="29" t="s">
        <v>738</v>
      </c>
      <c r="H1545" s="29"/>
      <c r="I1545" s="29"/>
      <c r="J1545" s="29">
        <v>42</v>
      </c>
      <c r="K1545" s="29"/>
      <c r="L1545" s="29"/>
      <c r="M1545" s="29"/>
      <c r="N1545" s="29">
        <v>64</v>
      </c>
      <c r="O1545" s="32">
        <v>106</v>
      </c>
      <c r="P1545" s="29" t="str" cm="1">
        <f t="array" ref="P1545">IF(表成绩单[[#This Row],[语文]]="","",SUMPRODUCT((表成绩单[考试日期]=表成绩单[[#This Row],[考试日期]])*(表成绩单[语文]&lt;9E+307)*(表成绩单[语文]&gt;表成绩单[[#This Row],[语文]]))+1)</f>
        <v/>
      </c>
      <c r="Q1545" s="29" t="str" cm="1">
        <f t="array" ref="Q1545">IF(表成绩单[[#This Row],[数学]]="","",SUMPRODUCT((表成绩单[考试日期]=表成绩单[[#This Row],[考试日期]])*(表成绩单[数学]&lt;9E+307)*(表成绩单[数学]&gt;表成绩单[[#This Row],[数学]]))+1)</f>
        <v/>
      </c>
      <c r="R1545" s="29" cm="1">
        <f t="array" ref="R1545">IF(表成绩单[[#This Row],[英语]]="","",SUMPRODUCT((表成绩单[考试日期]=表成绩单[[#This Row],[考试日期]])*(表成绩单[英语]&lt;9E+307)*(表成绩单[英语]&gt;表成绩单[[#This Row],[英语]]))+1)</f>
        <v>641</v>
      </c>
      <c r="S1545" s="29" t="str" cm="1">
        <f t="array" ref="S1545">IF(表成绩单[[#This Row],[物理]]="","",SUMPRODUCT((表成绩单[考试日期]=表成绩单[[#This Row],[考试日期]])*(表成绩单[物理]&lt;9E+307)*(表成绩单[物理]&gt;表成绩单[[#This Row],[物理]]))+1)</f>
        <v/>
      </c>
      <c r="T1545" s="29" t="str" cm="1">
        <f t="array" ref="T1545">IF(表成绩单[[#This Row],[化学]]="","",SUMPRODUCT((表成绩单[考试日期]=表成绩单[[#This Row],[考试日期]])*(表成绩单[化学]&lt;9E+307)*(表成绩单[化学]&gt;表成绩单[[#This Row],[化学]]))+1)</f>
        <v/>
      </c>
      <c r="U1545" s="29" t="str" cm="1">
        <f t="array" ref="U1545">IF(表成绩单[[#This Row],[政治]]="","",SUMPRODUCT((表成绩单[考试日期]=表成绩单[[#This Row],[考试日期]])*(表成绩单[政治]&lt;9E+307)*(表成绩单[政治]&gt;表成绩单[[#This Row],[政治]]))+1)</f>
        <v/>
      </c>
      <c r="V1545" s="29" cm="1">
        <f t="array" ref="V1545">IF(表成绩单[[#This Row],[历史]]="","",SUMPRODUCT((表成绩单[考试日期]=表成绩单[[#This Row],[考试日期]])*(表成绩单[历史]&lt;9E+307)*(表成绩单[历史]&gt;表成绩单[[#This Row],[历史]]))+1)</f>
        <v>593</v>
      </c>
      <c r="W1545" s="29" cm="1">
        <f t="array" ref="W1545">IF(表成绩单[[#This Row],[总分]]="","",SUMPRODUCT((表成绩单[考试日期]=表成绩单[[#This Row],[考试日期]])*(表成绩单[总分]&lt;9E+307)*(表成绩单[总分]&gt;表成绩单[[#This Row],[总分]]))+1)</f>
        <v>737</v>
      </c>
    </row>
    <row r="1546" ht="28" customHeight="1" spans="4:23">
      <c r="D1546" s="31">
        <v>46003</v>
      </c>
      <c r="E1546" s="29">
        <v>19173279</v>
      </c>
      <c r="F1546" s="29" t="s">
        <v>61</v>
      </c>
      <c r="G1546" s="29" t="s">
        <v>698</v>
      </c>
      <c r="H1546" s="29"/>
      <c r="I1546" s="29"/>
      <c r="J1546" s="29">
        <v>43</v>
      </c>
      <c r="K1546" s="29"/>
      <c r="L1546" s="29"/>
      <c r="M1546" s="29"/>
      <c r="N1546" s="29">
        <v>56</v>
      </c>
      <c r="O1546" s="32">
        <v>99</v>
      </c>
      <c r="P1546" s="29" t="str" cm="1">
        <f t="array" ref="P1546">IF(表成绩单[[#This Row],[语文]]="","",SUMPRODUCT((表成绩单[考试日期]=表成绩单[[#This Row],[考试日期]])*(表成绩单[语文]&lt;9E+307)*(表成绩单[语文]&gt;表成绩单[[#This Row],[语文]]))+1)</f>
        <v/>
      </c>
      <c r="Q1546" s="29" t="str" cm="1">
        <f t="array" ref="Q1546">IF(表成绩单[[#This Row],[数学]]="","",SUMPRODUCT((表成绩单[考试日期]=表成绩单[[#This Row],[考试日期]])*(表成绩单[数学]&lt;9E+307)*(表成绩单[数学]&gt;表成绩单[[#This Row],[数学]]))+1)</f>
        <v/>
      </c>
      <c r="R1546" s="29" cm="1">
        <f t="array" ref="R1546">IF(表成绩单[[#This Row],[英语]]="","",SUMPRODUCT((表成绩单[考试日期]=表成绩单[[#This Row],[考试日期]])*(表成绩单[英语]&lt;9E+307)*(表成绩单[英语]&gt;表成绩单[[#This Row],[英语]]))+1)</f>
        <v>636</v>
      </c>
      <c r="S1546" s="29" t="str" cm="1">
        <f t="array" ref="S1546">IF(表成绩单[[#This Row],[物理]]="","",SUMPRODUCT((表成绩单[考试日期]=表成绩单[[#This Row],[考试日期]])*(表成绩单[物理]&lt;9E+307)*(表成绩单[物理]&gt;表成绩单[[#This Row],[物理]]))+1)</f>
        <v/>
      </c>
      <c r="T1546" s="29" t="str" cm="1">
        <f t="array" ref="T1546">IF(表成绩单[[#This Row],[化学]]="","",SUMPRODUCT((表成绩单[考试日期]=表成绩单[[#This Row],[考试日期]])*(表成绩单[化学]&lt;9E+307)*(表成绩单[化学]&gt;表成绩单[[#This Row],[化学]]))+1)</f>
        <v/>
      </c>
      <c r="U1546" s="29" t="str" cm="1">
        <f t="array" ref="U1546">IF(表成绩单[[#This Row],[政治]]="","",SUMPRODUCT((表成绩单[考试日期]=表成绩单[[#This Row],[考试日期]])*(表成绩单[政治]&lt;9E+307)*(表成绩单[政治]&gt;表成绩单[[#This Row],[政治]]))+1)</f>
        <v/>
      </c>
      <c r="V1546" s="29" cm="1">
        <f t="array" ref="V1546">IF(表成绩单[[#This Row],[历史]]="","",SUMPRODUCT((表成绩单[考试日期]=表成绩单[[#This Row],[考试日期]])*(表成绩单[历史]&lt;9E+307)*(表成绩单[历史]&gt;表成绩单[[#This Row],[历史]]))+1)</f>
        <v>664</v>
      </c>
      <c r="W1546" s="29" cm="1">
        <f t="array" ref="W1546">IF(表成绩单[[#This Row],[总分]]="","",SUMPRODUCT((表成绩单[考试日期]=表成绩单[[#This Row],[考试日期]])*(表成绩单[总分]&lt;9E+307)*(表成绩单[总分]&gt;表成绩单[[#This Row],[总分]]))+1)</f>
        <v>740</v>
      </c>
    </row>
    <row r="1547" ht="28" customHeight="1" spans="4:23">
      <c r="D1547" s="31">
        <v>46003</v>
      </c>
      <c r="E1547" s="29">
        <v>19173762</v>
      </c>
      <c r="F1547" s="29" t="s">
        <v>65</v>
      </c>
      <c r="G1547" s="29" t="s">
        <v>607</v>
      </c>
      <c r="H1547" s="29"/>
      <c r="I1547" s="29"/>
      <c r="J1547" s="29"/>
      <c r="K1547" s="29"/>
      <c r="L1547" s="29"/>
      <c r="M1547" s="29"/>
      <c r="N1547" s="29"/>
      <c r="O1547" s="32"/>
      <c r="P1547" s="29" t="str" cm="1">
        <f t="array" ref="P1547">IF(表成绩单[[#This Row],[语文]]="","",SUMPRODUCT((表成绩单[考试日期]=表成绩单[[#This Row],[考试日期]])*(表成绩单[语文]&lt;9E+307)*(表成绩单[语文]&gt;表成绩单[[#This Row],[语文]]))+1)</f>
        <v/>
      </c>
      <c r="Q1547" s="29" t="str" cm="1">
        <f t="array" ref="Q1547">IF(表成绩单[[#This Row],[数学]]="","",SUMPRODUCT((表成绩单[考试日期]=表成绩单[[#This Row],[考试日期]])*(表成绩单[数学]&lt;9E+307)*(表成绩单[数学]&gt;表成绩单[[#This Row],[数学]]))+1)</f>
        <v/>
      </c>
      <c r="R1547" s="29" t="str" cm="1">
        <f t="array" ref="R1547">IF(表成绩单[[#This Row],[英语]]="","",SUMPRODUCT((表成绩单[考试日期]=表成绩单[[#This Row],[考试日期]])*(表成绩单[英语]&lt;9E+307)*(表成绩单[英语]&gt;表成绩单[[#This Row],[英语]]))+1)</f>
        <v/>
      </c>
      <c r="S1547" s="29" t="str" cm="1">
        <f t="array" ref="S1547">IF(表成绩单[[#This Row],[物理]]="","",SUMPRODUCT((表成绩单[考试日期]=表成绩单[[#This Row],[考试日期]])*(表成绩单[物理]&lt;9E+307)*(表成绩单[物理]&gt;表成绩单[[#This Row],[物理]]))+1)</f>
        <v/>
      </c>
      <c r="T1547" s="29" t="str" cm="1">
        <f t="array" ref="T1547">IF(表成绩单[[#This Row],[化学]]="","",SUMPRODUCT((表成绩单[考试日期]=表成绩单[[#This Row],[考试日期]])*(表成绩单[化学]&lt;9E+307)*(表成绩单[化学]&gt;表成绩单[[#This Row],[化学]]))+1)</f>
        <v/>
      </c>
      <c r="U1547" s="29" t="str" cm="1">
        <f t="array" ref="U1547">IF(表成绩单[[#This Row],[政治]]="","",SUMPRODUCT((表成绩单[考试日期]=表成绩单[[#This Row],[考试日期]])*(表成绩单[政治]&lt;9E+307)*(表成绩单[政治]&gt;表成绩单[[#This Row],[政治]]))+1)</f>
        <v/>
      </c>
      <c r="V1547" s="29" t="str" cm="1">
        <f t="array" ref="V1547">IF(表成绩单[[#This Row],[历史]]="","",SUMPRODUCT((表成绩单[考试日期]=表成绩单[[#This Row],[考试日期]])*(表成绩单[历史]&lt;9E+307)*(表成绩单[历史]&gt;表成绩单[[#This Row],[历史]]))+1)</f>
        <v/>
      </c>
      <c r="W1547" s="29" t="str" cm="1">
        <f t="array" ref="W1547">IF(表成绩单[[#This Row],[总分]]="","",SUMPRODUCT((表成绩单[考试日期]=表成绩单[[#This Row],[考试日期]])*(表成绩单[总分]&lt;9E+307)*(表成绩单[总分]&gt;表成绩单[[#This Row],[总分]]))+1)</f>
        <v/>
      </c>
    </row>
    <row r="1548" ht="28" customHeight="1" spans="4:23">
      <c r="D1548" s="31">
        <v>46003</v>
      </c>
      <c r="E1548" s="29">
        <v>19173767</v>
      </c>
      <c r="F1548" s="29" t="s">
        <v>65</v>
      </c>
      <c r="G1548" s="29" t="s">
        <v>828</v>
      </c>
      <c r="H1548" s="29"/>
      <c r="I1548" s="29"/>
      <c r="J1548" s="29"/>
      <c r="K1548" s="29"/>
      <c r="L1548" s="29"/>
      <c r="M1548" s="29"/>
      <c r="N1548" s="29"/>
      <c r="O1548" s="32"/>
      <c r="P1548" s="29" t="str" cm="1">
        <f t="array" ref="P1548">IF(表成绩单[[#This Row],[语文]]="","",SUMPRODUCT((表成绩单[考试日期]=表成绩单[[#This Row],[考试日期]])*(表成绩单[语文]&lt;9E+307)*(表成绩单[语文]&gt;表成绩单[[#This Row],[语文]]))+1)</f>
        <v/>
      </c>
      <c r="Q1548" s="29" t="str" cm="1">
        <f t="array" ref="Q1548">IF(表成绩单[[#This Row],[数学]]="","",SUMPRODUCT((表成绩单[考试日期]=表成绩单[[#This Row],[考试日期]])*(表成绩单[数学]&lt;9E+307)*(表成绩单[数学]&gt;表成绩单[[#This Row],[数学]]))+1)</f>
        <v/>
      </c>
      <c r="R1548" s="29" t="str" cm="1">
        <f t="array" ref="R1548">IF(表成绩单[[#This Row],[英语]]="","",SUMPRODUCT((表成绩单[考试日期]=表成绩单[[#This Row],[考试日期]])*(表成绩单[英语]&lt;9E+307)*(表成绩单[英语]&gt;表成绩单[[#This Row],[英语]]))+1)</f>
        <v/>
      </c>
      <c r="S1548" s="29" t="str" cm="1">
        <f t="array" ref="S1548">IF(表成绩单[[#This Row],[物理]]="","",SUMPRODUCT((表成绩单[考试日期]=表成绩单[[#This Row],[考试日期]])*(表成绩单[物理]&lt;9E+307)*(表成绩单[物理]&gt;表成绩单[[#This Row],[物理]]))+1)</f>
        <v/>
      </c>
      <c r="T1548" s="29" t="str" cm="1">
        <f t="array" ref="T1548">IF(表成绩单[[#This Row],[化学]]="","",SUMPRODUCT((表成绩单[考试日期]=表成绩单[[#This Row],[考试日期]])*(表成绩单[化学]&lt;9E+307)*(表成绩单[化学]&gt;表成绩单[[#This Row],[化学]]))+1)</f>
        <v/>
      </c>
      <c r="U1548" s="29" t="str" cm="1">
        <f t="array" ref="U1548">IF(表成绩单[[#This Row],[政治]]="","",SUMPRODUCT((表成绩单[考试日期]=表成绩单[[#This Row],[考试日期]])*(表成绩单[政治]&lt;9E+307)*(表成绩单[政治]&gt;表成绩单[[#This Row],[政治]]))+1)</f>
        <v/>
      </c>
      <c r="V1548" s="29" t="str" cm="1">
        <f t="array" ref="V1548">IF(表成绩单[[#This Row],[历史]]="","",SUMPRODUCT((表成绩单[考试日期]=表成绩单[[#This Row],[考试日期]])*(表成绩单[历史]&lt;9E+307)*(表成绩单[历史]&gt;表成绩单[[#This Row],[历史]]))+1)</f>
        <v/>
      </c>
      <c r="W1548" s="29" t="str" cm="1">
        <f t="array" ref="W1548">IF(表成绩单[[#This Row],[总分]]="","",SUMPRODUCT((表成绩单[考试日期]=表成绩单[[#This Row],[考试日期]])*(表成绩单[总分]&lt;9E+307)*(表成绩单[总分]&gt;表成绩单[[#This Row],[总分]]))+1)</f>
        <v/>
      </c>
    </row>
    <row r="1549" ht="28" customHeight="1" spans="4:23">
      <c r="D1549" s="31">
        <v>46003</v>
      </c>
      <c r="E1549" s="29">
        <v>19173770</v>
      </c>
      <c r="F1549" s="29" t="s">
        <v>65</v>
      </c>
      <c r="G1549" s="29" t="s">
        <v>837</v>
      </c>
      <c r="H1549" s="29"/>
      <c r="I1549" s="29">
        <v>13</v>
      </c>
      <c r="J1549" s="29">
        <v>49.5</v>
      </c>
      <c r="K1549" s="29">
        <v>23</v>
      </c>
      <c r="L1549" s="29">
        <v>45</v>
      </c>
      <c r="M1549" s="29">
        <v>39</v>
      </c>
      <c r="N1549" s="29">
        <v>47</v>
      </c>
      <c r="O1549" s="32">
        <v>216.5</v>
      </c>
      <c r="P1549" s="29" t="str" cm="1">
        <f t="array" ref="P1549">IF(表成绩单[[#This Row],[语文]]="","",SUMPRODUCT((表成绩单[考试日期]=表成绩单[[#This Row],[考试日期]])*(表成绩单[语文]&lt;9E+307)*(表成绩单[语文]&gt;表成绩单[[#This Row],[语文]]))+1)</f>
        <v/>
      </c>
      <c r="Q1549" s="29" cm="1">
        <f t="array" ref="Q1549">IF(表成绩单[[#This Row],[数学]]="","",SUMPRODUCT((表成绩单[考试日期]=表成绩单[[#This Row],[考试日期]])*(表成绩单[数学]&lt;9E+307)*(表成绩单[数学]&gt;表成绩单[[#This Row],[数学]]))+1)</f>
        <v>723</v>
      </c>
      <c r="R1549" s="29" cm="1">
        <f t="array" ref="R1549">IF(表成绩单[[#This Row],[英语]]="","",SUMPRODUCT((表成绩单[考试日期]=表成绩单[[#This Row],[考试日期]])*(表成绩单[英语]&lt;9E+307)*(表成绩单[英语]&gt;表成绩单[[#This Row],[英语]]))+1)</f>
        <v>608</v>
      </c>
      <c r="S1549" s="29" cm="1">
        <f t="array" ref="S1549">IF(表成绩单[[#This Row],[物理]]="","",SUMPRODUCT((表成绩单[考试日期]=表成绩单[[#This Row],[考试日期]])*(表成绩单[物理]&lt;9E+307)*(表成绩单[物理]&gt;表成绩单[[#This Row],[物理]]))+1)</f>
        <v>713</v>
      </c>
      <c r="T1549" s="29" cm="1">
        <f t="array" ref="T1549">IF(表成绩单[[#This Row],[化学]]="","",SUMPRODUCT((表成绩单[考试日期]=表成绩单[[#This Row],[考试日期]])*(表成绩单[化学]&lt;9E+307)*(表成绩单[化学]&gt;表成绩单[[#This Row],[化学]]))+1)</f>
        <v>681</v>
      </c>
      <c r="U1549" s="29" cm="1">
        <f t="array" ref="U1549">IF(表成绩单[[#This Row],[政治]]="","",SUMPRODUCT((表成绩单[考试日期]=表成绩单[[#This Row],[考试日期]])*(表成绩单[政治]&lt;9E+307)*(表成绩单[政治]&gt;表成绩单[[#This Row],[政治]]))+1)</f>
        <v>680</v>
      </c>
      <c r="V1549" s="29" cm="1">
        <f t="array" ref="V1549">IF(表成绩单[[#This Row],[历史]]="","",SUMPRODUCT((表成绩单[考试日期]=表成绩单[[#This Row],[考试日期]])*(表成绩单[历史]&lt;9E+307)*(表成绩单[历史]&gt;表成绩单[[#This Row],[历史]]))+1)</f>
        <v>710</v>
      </c>
      <c r="W1549" s="29" cm="1">
        <f t="array" ref="W1549">IF(表成绩单[[#This Row],[总分]]="","",SUMPRODUCT((表成绩单[考试日期]=表成绩单[[#This Row],[考试日期]])*(表成绩单[总分]&lt;9E+307)*(表成绩单[总分]&gt;表成绩单[[#This Row],[总分]]))+1)</f>
        <v>728</v>
      </c>
    </row>
    <row r="1550" ht="28" customHeight="1" spans="4:23">
      <c r="D1550" s="31">
        <v>46003</v>
      </c>
      <c r="E1550" s="29">
        <v>19173778</v>
      </c>
      <c r="F1550" s="29" t="s">
        <v>65</v>
      </c>
      <c r="G1550" s="29" t="s">
        <v>831</v>
      </c>
      <c r="H1550" s="29"/>
      <c r="I1550" s="29"/>
      <c r="J1550" s="29"/>
      <c r="K1550" s="29"/>
      <c r="L1550" s="29"/>
      <c r="M1550" s="29"/>
      <c r="N1550" s="29"/>
      <c r="O1550" s="32"/>
      <c r="P1550" s="29" t="str" cm="1">
        <f t="array" ref="P1550">IF(表成绩单[[#This Row],[语文]]="","",SUMPRODUCT((表成绩单[考试日期]=表成绩单[[#This Row],[考试日期]])*(表成绩单[语文]&lt;9E+307)*(表成绩单[语文]&gt;表成绩单[[#This Row],[语文]]))+1)</f>
        <v/>
      </c>
      <c r="Q1550" s="29" t="str" cm="1">
        <f t="array" ref="Q1550">IF(表成绩单[[#This Row],[数学]]="","",SUMPRODUCT((表成绩单[考试日期]=表成绩单[[#This Row],[考试日期]])*(表成绩单[数学]&lt;9E+307)*(表成绩单[数学]&gt;表成绩单[[#This Row],[数学]]))+1)</f>
        <v/>
      </c>
      <c r="R1550" s="29" t="str" cm="1">
        <f t="array" ref="R1550">IF(表成绩单[[#This Row],[英语]]="","",SUMPRODUCT((表成绩单[考试日期]=表成绩单[[#This Row],[考试日期]])*(表成绩单[英语]&lt;9E+307)*(表成绩单[英语]&gt;表成绩单[[#This Row],[英语]]))+1)</f>
        <v/>
      </c>
      <c r="S1550" s="29" t="str" cm="1">
        <f t="array" ref="S1550">IF(表成绩单[[#This Row],[物理]]="","",SUMPRODUCT((表成绩单[考试日期]=表成绩单[[#This Row],[考试日期]])*(表成绩单[物理]&lt;9E+307)*(表成绩单[物理]&gt;表成绩单[[#This Row],[物理]]))+1)</f>
        <v/>
      </c>
      <c r="T1550" s="29" t="str" cm="1">
        <f t="array" ref="T1550">IF(表成绩单[[#This Row],[化学]]="","",SUMPRODUCT((表成绩单[考试日期]=表成绩单[[#This Row],[考试日期]])*(表成绩单[化学]&lt;9E+307)*(表成绩单[化学]&gt;表成绩单[[#This Row],[化学]]))+1)</f>
        <v/>
      </c>
      <c r="U1550" s="29" t="str" cm="1">
        <f t="array" ref="U1550">IF(表成绩单[[#This Row],[政治]]="","",SUMPRODUCT((表成绩单[考试日期]=表成绩单[[#This Row],[考试日期]])*(表成绩单[政治]&lt;9E+307)*(表成绩单[政治]&gt;表成绩单[[#This Row],[政治]]))+1)</f>
        <v/>
      </c>
      <c r="V1550" s="29" t="str" cm="1">
        <f t="array" ref="V1550">IF(表成绩单[[#This Row],[历史]]="","",SUMPRODUCT((表成绩单[考试日期]=表成绩单[[#This Row],[考试日期]])*(表成绩单[历史]&lt;9E+307)*(表成绩单[历史]&gt;表成绩单[[#This Row],[历史]]))+1)</f>
        <v/>
      </c>
      <c r="W1550" s="29" t="str" cm="1">
        <f t="array" ref="W1550">IF(表成绩单[[#This Row],[总分]]="","",SUMPRODUCT((表成绩单[考试日期]=表成绩单[[#This Row],[考试日期]])*(表成绩单[总分]&lt;9E+307)*(表成绩单[总分]&gt;表成绩单[[#This Row],[总分]]))+1)</f>
        <v/>
      </c>
    </row>
    <row r="1551" ht="28" customHeight="1" spans="4:23">
      <c r="D1551" s="31">
        <v>46003</v>
      </c>
      <c r="E1551" s="29">
        <v>19173803</v>
      </c>
      <c r="F1551" s="29" t="s">
        <v>65</v>
      </c>
      <c r="G1551" s="29" t="s">
        <v>787</v>
      </c>
      <c r="H1551" s="29"/>
      <c r="I1551" s="29">
        <v>18</v>
      </c>
      <c r="J1551" s="29"/>
      <c r="K1551" s="29"/>
      <c r="L1551" s="29"/>
      <c r="M1551" s="29">
        <v>47</v>
      </c>
      <c r="N1551" s="29"/>
      <c r="O1551" s="32">
        <v>65</v>
      </c>
      <c r="P1551" s="29" t="str" cm="1">
        <f t="array" ref="P1551">IF(表成绩单[[#This Row],[语文]]="","",SUMPRODUCT((表成绩单[考试日期]=表成绩单[[#This Row],[考试日期]])*(表成绩单[语文]&lt;9E+307)*(表成绩单[语文]&gt;表成绩单[[#This Row],[语文]]))+1)</f>
        <v/>
      </c>
      <c r="Q1551" s="29" cm="1">
        <f t="array" ref="Q1551">IF(表成绩单[[#This Row],[数学]]="","",SUMPRODUCT((表成绩单[考试日期]=表成绩单[[#This Row],[考试日期]])*(表成绩单[数学]&lt;9E+307)*(表成绩单[数学]&gt;表成绩单[[#This Row],[数学]]))+1)</f>
        <v>711</v>
      </c>
      <c r="R1551" s="29" t="str" cm="1">
        <f t="array" ref="R1551">IF(表成绩单[[#This Row],[英语]]="","",SUMPRODUCT((表成绩单[考试日期]=表成绩单[[#This Row],[考试日期]])*(表成绩单[英语]&lt;9E+307)*(表成绩单[英语]&gt;表成绩单[[#This Row],[英语]]))+1)</f>
        <v/>
      </c>
      <c r="S1551" s="29" t="str" cm="1">
        <f t="array" ref="S1551">IF(表成绩单[[#This Row],[物理]]="","",SUMPRODUCT((表成绩单[考试日期]=表成绩单[[#This Row],[考试日期]])*(表成绩单[物理]&lt;9E+307)*(表成绩单[物理]&gt;表成绩单[[#This Row],[物理]]))+1)</f>
        <v/>
      </c>
      <c r="T1551" s="29" t="str" cm="1">
        <f t="array" ref="T1551">IF(表成绩单[[#This Row],[化学]]="","",SUMPRODUCT((表成绩单[考试日期]=表成绩单[[#This Row],[考试日期]])*(表成绩单[化学]&lt;9E+307)*(表成绩单[化学]&gt;表成绩单[[#This Row],[化学]]))+1)</f>
        <v/>
      </c>
      <c r="U1551" s="29" cm="1">
        <f t="array" ref="U1551">IF(表成绩单[[#This Row],[政治]]="","",SUMPRODUCT((表成绩单[考试日期]=表成绩单[[#This Row],[考试日期]])*(表成绩单[政治]&lt;9E+307)*(表成绩单[政治]&gt;表成绩单[[#This Row],[政治]]))+1)</f>
        <v>619</v>
      </c>
      <c r="V1551" s="29" t="str" cm="1">
        <f t="array" ref="V1551">IF(表成绩单[[#This Row],[历史]]="","",SUMPRODUCT((表成绩单[考试日期]=表成绩单[[#This Row],[考试日期]])*(表成绩单[历史]&lt;9E+307)*(表成绩单[历史]&gt;表成绩单[[#This Row],[历史]]))+1)</f>
        <v/>
      </c>
      <c r="W1551" s="29" cm="1">
        <f t="array" ref="W1551">IF(表成绩单[[#This Row],[总分]]="","",SUMPRODUCT((表成绩单[考试日期]=表成绩单[[#This Row],[考试日期]])*(表成绩单[总分]&lt;9E+307)*(表成绩单[总分]&gt;表成绩单[[#This Row],[总分]]))+1)</f>
        <v>741</v>
      </c>
    </row>
    <row r="1552" ht="28" customHeight="1" spans="4:23">
      <c r="D1552" s="31">
        <v>46003</v>
      </c>
      <c r="E1552" s="29">
        <v>19174809</v>
      </c>
      <c r="F1552" s="29" t="s">
        <v>69</v>
      </c>
      <c r="G1552" s="29" t="s">
        <v>296</v>
      </c>
      <c r="H1552" s="29"/>
      <c r="I1552" s="29"/>
      <c r="J1552" s="29"/>
      <c r="K1552" s="29"/>
      <c r="L1552" s="29"/>
      <c r="M1552" s="29"/>
      <c r="N1552" s="29"/>
      <c r="O1552" s="32"/>
      <c r="P1552" s="29" t="str" cm="1">
        <f t="array" ref="P1552">IF(表成绩单[[#This Row],[语文]]="","",SUMPRODUCT((表成绩单[考试日期]=表成绩单[[#This Row],[考试日期]])*(表成绩单[语文]&lt;9E+307)*(表成绩单[语文]&gt;表成绩单[[#This Row],[语文]]))+1)</f>
        <v/>
      </c>
      <c r="Q1552" s="29" t="str" cm="1">
        <f t="array" ref="Q1552">IF(表成绩单[[#This Row],[数学]]="","",SUMPRODUCT((表成绩单[考试日期]=表成绩单[[#This Row],[考试日期]])*(表成绩单[数学]&lt;9E+307)*(表成绩单[数学]&gt;表成绩单[[#This Row],[数学]]))+1)</f>
        <v/>
      </c>
      <c r="R1552" s="29" t="str" cm="1">
        <f t="array" ref="R1552">IF(表成绩单[[#This Row],[英语]]="","",SUMPRODUCT((表成绩单[考试日期]=表成绩单[[#This Row],[考试日期]])*(表成绩单[英语]&lt;9E+307)*(表成绩单[英语]&gt;表成绩单[[#This Row],[英语]]))+1)</f>
        <v/>
      </c>
      <c r="S1552" s="29" t="str" cm="1">
        <f t="array" ref="S1552">IF(表成绩单[[#This Row],[物理]]="","",SUMPRODUCT((表成绩单[考试日期]=表成绩单[[#This Row],[考试日期]])*(表成绩单[物理]&lt;9E+307)*(表成绩单[物理]&gt;表成绩单[[#This Row],[物理]]))+1)</f>
        <v/>
      </c>
      <c r="T1552" s="29" t="str" cm="1">
        <f t="array" ref="T1552">IF(表成绩单[[#This Row],[化学]]="","",SUMPRODUCT((表成绩单[考试日期]=表成绩单[[#This Row],[考试日期]])*(表成绩单[化学]&lt;9E+307)*(表成绩单[化学]&gt;表成绩单[[#This Row],[化学]]))+1)</f>
        <v/>
      </c>
      <c r="U1552" s="29" t="str" cm="1">
        <f t="array" ref="U1552">IF(表成绩单[[#This Row],[政治]]="","",SUMPRODUCT((表成绩单[考试日期]=表成绩单[[#This Row],[考试日期]])*(表成绩单[政治]&lt;9E+307)*(表成绩单[政治]&gt;表成绩单[[#This Row],[政治]]))+1)</f>
        <v/>
      </c>
      <c r="V1552" s="29" t="str" cm="1">
        <f t="array" ref="V1552">IF(表成绩单[[#This Row],[历史]]="","",SUMPRODUCT((表成绩单[考试日期]=表成绩单[[#This Row],[考试日期]])*(表成绩单[历史]&lt;9E+307)*(表成绩单[历史]&gt;表成绩单[[#This Row],[历史]]))+1)</f>
        <v/>
      </c>
      <c r="W1552" s="29" t="str" cm="1">
        <f t="array" ref="W1552">IF(表成绩单[[#This Row],[总分]]="","",SUMPRODUCT((表成绩单[考试日期]=表成绩单[[#This Row],[考试日期]])*(表成绩单[总分]&lt;9E+307)*(表成绩单[总分]&gt;表成绩单[[#This Row],[总分]]))+1)</f>
        <v/>
      </c>
    </row>
    <row r="1553" ht="28" customHeight="1" spans="4:23">
      <c r="D1553" s="31">
        <v>46003</v>
      </c>
      <c r="E1553" s="29">
        <v>19175319</v>
      </c>
      <c r="F1553" s="29" t="s">
        <v>55</v>
      </c>
      <c r="G1553" s="29" t="s">
        <v>874</v>
      </c>
      <c r="H1553" s="29"/>
      <c r="I1553" s="29"/>
      <c r="J1553" s="29"/>
      <c r="K1553" s="29"/>
      <c r="L1553" s="29"/>
      <c r="M1553" s="29"/>
      <c r="N1553" s="29"/>
      <c r="O1553" s="32"/>
      <c r="P1553" s="29" t="str" cm="1">
        <f t="array" ref="P1553">IF(表成绩单[[#This Row],[语文]]="","",SUMPRODUCT((表成绩单[考试日期]=表成绩单[[#This Row],[考试日期]])*(表成绩单[语文]&lt;9E+307)*(表成绩单[语文]&gt;表成绩单[[#This Row],[语文]]))+1)</f>
        <v/>
      </c>
      <c r="Q1553" s="29" t="str" cm="1">
        <f t="array" ref="Q1553">IF(表成绩单[[#This Row],[数学]]="","",SUMPRODUCT((表成绩单[考试日期]=表成绩单[[#This Row],[考试日期]])*(表成绩单[数学]&lt;9E+307)*(表成绩单[数学]&gt;表成绩单[[#This Row],[数学]]))+1)</f>
        <v/>
      </c>
      <c r="R1553" s="29" t="str" cm="1">
        <f t="array" ref="R1553">IF(表成绩单[[#This Row],[英语]]="","",SUMPRODUCT((表成绩单[考试日期]=表成绩单[[#This Row],[考试日期]])*(表成绩单[英语]&lt;9E+307)*(表成绩单[英语]&gt;表成绩单[[#This Row],[英语]]))+1)</f>
        <v/>
      </c>
      <c r="S1553" s="29" t="str" cm="1">
        <f t="array" ref="S1553">IF(表成绩单[[#This Row],[物理]]="","",SUMPRODUCT((表成绩单[考试日期]=表成绩单[[#This Row],[考试日期]])*(表成绩单[物理]&lt;9E+307)*(表成绩单[物理]&gt;表成绩单[[#This Row],[物理]]))+1)</f>
        <v/>
      </c>
      <c r="T1553" s="29" t="str" cm="1">
        <f t="array" ref="T1553">IF(表成绩单[[#This Row],[化学]]="","",SUMPRODUCT((表成绩单[考试日期]=表成绩单[[#This Row],[考试日期]])*(表成绩单[化学]&lt;9E+307)*(表成绩单[化学]&gt;表成绩单[[#This Row],[化学]]))+1)</f>
        <v/>
      </c>
      <c r="U1553" s="29" t="str" cm="1">
        <f t="array" ref="U1553">IF(表成绩单[[#This Row],[政治]]="","",SUMPRODUCT((表成绩单[考试日期]=表成绩单[[#This Row],[考试日期]])*(表成绩单[政治]&lt;9E+307)*(表成绩单[政治]&gt;表成绩单[[#This Row],[政治]]))+1)</f>
        <v/>
      </c>
      <c r="V1553" s="29" t="str" cm="1">
        <f t="array" ref="V1553">IF(表成绩单[[#This Row],[历史]]="","",SUMPRODUCT((表成绩单[考试日期]=表成绩单[[#This Row],[考试日期]])*(表成绩单[历史]&lt;9E+307)*(表成绩单[历史]&gt;表成绩单[[#This Row],[历史]]))+1)</f>
        <v/>
      </c>
      <c r="W1553" s="29" t="str" cm="1">
        <f t="array" ref="W1553">IF(表成绩单[[#This Row],[总分]]="","",SUMPRODUCT((表成绩单[考试日期]=表成绩单[[#This Row],[考试日期]])*(表成绩单[总分]&lt;9E+307)*(表成绩单[总分]&gt;表成绩单[[#This Row],[总分]]))+1)</f>
        <v/>
      </c>
    </row>
    <row r="1554" ht="28" customHeight="1" spans="4:23">
      <c r="D1554" s="31">
        <v>46003</v>
      </c>
      <c r="E1554" s="29">
        <v>19175325</v>
      </c>
      <c r="F1554" s="29" t="s">
        <v>55</v>
      </c>
      <c r="G1554" s="29" t="s">
        <v>761</v>
      </c>
      <c r="H1554" s="29"/>
      <c r="I1554" s="29"/>
      <c r="J1554" s="29"/>
      <c r="K1554" s="29"/>
      <c r="L1554" s="29"/>
      <c r="M1554" s="29"/>
      <c r="N1554" s="29"/>
      <c r="O1554" s="32"/>
      <c r="P1554" s="29" t="str" cm="1">
        <f t="array" ref="P1554">IF(表成绩单[[#This Row],[语文]]="","",SUMPRODUCT((表成绩单[考试日期]=表成绩单[[#This Row],[考试日期]])*(表成绩单[语文]&lt;9E+307)*(表成绩单[语文]&gt;表成绩单[[#This Row],[语文]]))+1)</f>
        <v/>
      </c>
      <c r="Q1554" s="29" t="str" cm="1">
        <f t="array" ref="Q1554">IF(表成绩单[[#This Row],[数学]]="","",SUMPRODUCT((表成绩单[考试日期]=表成绩单[[#This Row],[考试日期]])*(表成绩单[数学]&lt;9E+307)*(表成绩单[数学]&gt;表成绩单[[#This Row],[数学]]))+1)</f>
        <v/>
      </c>
      <c r="R1554" s="29" t="str" cm="1">
        <f t="array" ref="R1554">IF(表成绩单[[#This Row],[英语]]="","",SUMPRODUCT((表成绩单[考试日期]=表成绩单[[#This Row],[考试日期]])*(表成绩单[英语]&lt;9E+307)*(表成绩单[英语]&gt;表成绩单[[#This Row],[英语]]))+1)</f>
        <v/>
      </c>
      <c r="S1554" s="29" t="str" cm="1">
        <f t="array" ref="S1554">IF(表成绩单[[#This Row],[物理]]="","",SUMPRODUCT((表成绩单[考试日期]=表成绩单[[#This Row],[考试日期]])*(表成绩单[物理]&lt;9E+307)*(表成绩单[物理]&gt;表成绩单[[#This Row],[物理]]))+1)</f>
        <v/>
      </c>
      <c r="T1554" s="29" t="str" cm="1">
        <f t="array" ref="T1554">IF(表成绩单[[#This Row],[化学]]="","",SUMPRODUCT((表成绩单[考试日期]=表成绩单[[#This Row],[考试日期]])*(表成绩单[化学]&lt;9E+307)*(表成绩单[化学]&gt;表成绩单[[#This Row],[化学]]))+1)</f>
        <v/>
      </c>
      <c r="U1554" s="29" t="str" cm="1">
        <f t="array" ref="U1554">IF(表成绩单[[#This Row],[政治]]="","",SUMPRODUCT((表成绩单[考试日期]=表成绩单[[#This Row],[考试日期]])*(表成绩单[政治]&lt;9E+307)*(表成绩单[政治]&gt;表成绩单[[#This Row],[政治]]))+1)</f>
        <v/>
      </c>
      <c r="V1554" s="29" t="str" cm="1">
        <f t="array" ref="V1554">IF(表成绩单[[#This Row],[历史]]="","",SUMPRODUCT((表成绩单[考试日期]=表成绩单[[#This Row],[考试日期]])*(表成绩单[历史]&lt;9E+307)*(表成绩单[历史]&gt;表成绩单[[#This Row],[历史]]))+1)</f>
        <v/>
      </c>
      <c r="W1554" s="29" t="str" cm="1">
        <f t="array" ref="W1554">IF(表成绩单[[#This Row],[总分]]="","",SUMPRODUCT((表成绩单[考试日期]=表成绩单[[#This Row],[考试日期]])*(表成绩单[总分]&lt;9E+307)*(表成绩单[总分]&gt;表成绩单[[#This Row],[总分]]))+1)</f>
        <v/>
      </c>
    </row>
    <row r="1555" ht="28" customHeight="1" spans="4:23">
      <c r="D1555" s="31">
        <v>46003</v>
      </c>
      <c r="E1555" s="29">
        <v>19175593</v>
      </c>
      <c r="F1555" s="29" t="s">
        <v>57</v>
      </c>
      <c r="G1555" s="29" t="s">
        <v>870</v>
      </c>
      <c r="H1555" s="29"/>
      <c r="I1555" s="29"/>
      <c r="J1555" s="29"/>
      <c r="K1555" s="29"/>
      <c r="L1555" s="29"/>
      <c r="M1555" s="29"/>
      <c r="N1555" s="29"/>
      <c r="O1555" s="32"/>
      <c r="P1555" s="29" t="str" cm="1">
        <f t="array" ref="P1555">IF(表成绩单[[#This Row],[语文]]="","",SUMPRODUCT((表成绩单[考试日期]=表成绩单[[#This Row],[考试日期]])*(表成绩单[语文]&lt;9E+307)*(表成绩单[语文]&gt;表成绩单[[#This Row],[语文]]))+1)</f>
        <v/>
      </c>
      <c r="Q1555" s="29" t="str" cm="1">
        <f t="array" ref="Q1555">IF(表成绩单[[#This Row],[数学]]="","",SUMPRODUCT((表成绩单[考试日期]=表成绩单[[#This Row],[考试日期]])*(表成绩单[数学]&lt;9E+307)*(表成绩单[数学]&gt;表成绩单[[#This Row],[数学]]))+1)</f>
        <v/>
      </c>
      <c r="R1555" s="29" t="str" cm="1">
        <f t="array" ref="R1555">IF(表成绩单[[#This Row],[英语]]="","",SUMPRODUCT((表成绩单[考试日期]=表成绩单[[#This Row],[考试日期]])*(表成绩单[英语]&lt;9E+307)*(表成绩单[英语]&gt;表成绩单[[#This Row],[英语]]))+1)</f>
        <v/>
      </c>
      <c r="S1555" s="29" t="str" cm="1">
        <f t="array" ref="S1555">IF(表成绩单[[#This Row],[物理]]="","",SUMPRODUCT((表成绩单[考试日期]=表成绩单[[#This Row],[考试日期]])*(表成绩单[物理]&lt;9E+307)*(表成绩单[物理]&gt;表成绩单[[#This Row],[物理]]))+1)</f>
        <v/>
      </c>
      <c r="T1555" s="29" t="str" cm="1">
        <f t="array" ref="T1555">IF(表成绩单[[#This Row],[化学]]="","",SUMPRODUCT((表成绩单[考试日期]=表成绩单[[#This Row],[考试日期]])*(表成绩单[化学]&lt;9E+307)*(表成绩单[化学]&gt;表成绩单[[#This Row],[化学]]))+1)</f>
        <v/>
      </c>
      <c r="U1555" s="29" t="str" cm="1">
        <f t="array" ref="U1555">IF(表成绩单[[#This Row],[政治]]="","",SUMPRODUCT((表成绩单[考试日期]=表成绩单[[#This Row],[考试日期]])*(表成绩单[政治]&lt;9E+307)*(表成绩单[政治]&gt;表成绩单[[#This Row],[政治]]))+1)</f>
        <v/>
      </c>
      <c r="V1555" s="29" t="str" cm="1">
        <f t="array" ref="V1555">IF(表成绩单[[#This Row],[历史]]="","",SUMPRODUCT((表成绩单[考试日期]=表成绩单[[#This Row],[考试日期]])*(表成绩单[历史]&lt;9E+307)*(表成绩单[历史]&gt;表成绩单[[#This Row],[历史]]))+1)</f>
        <v/>
      </c>
      <c r="W1555" s="29" t="str" cm="1">
        <f t="array" ref="W1555">IF(表成绩单[[#This Row],[总分]]="","",SUMPRODUCT((表成绩单[考试日期]=表成绩单[[#This Row],[考试日期]])*(表成绩单[总分]&lt;9E+307)*(表成绩单[总分]&gt;表成绩单[[#This Row],[总分]]))+1)</f>
        <v/>
      </c>
    </row>
    <row r="1556" ht="28" customHeight="1" spans="4:23">
      <c r="D1556" s="31">
        <v>46003</v>
      </c>
      <c r="E1556" s="29">
        <v>19175600</v>
      </c>
      <c r="F1556" s="29" t="s">
        <v>57</v>
      </c>
      <c r="G1556" s="29" t="s">
        <v>862</v>
      </c>
      <c r="H1556" s="29"/>
      <c r="I1556" s="29"/>
      <c r="J1556" s="29"/>
      <c r="K1556" s="29"/>
      <c r="L1556" s="29"/>
      <c r="M1556" s="29"/>
      <c r="N1556" s="29"/>
      <c r="O1556" s="32"/>
      <c r="P1556" s="29" t="str" cm="1">
        <f t="array" ref="P1556">IF(表成绩单[[#This Row],[语文]]="","",SUMPRODUCT((表成绩单[考试日期]=表成绩单[[#This Row],[考试日期]])*(表成绩单[语文]&lt;9E+307)*(表成绩单[语文]&gt;表成绩单[[#This Row],[语文]]))+1)</f>
        <v/>
      </c>
      <c r="Q1556" s="29" t="str" cm="1">
        <f t="array" ref="Q1556">IF(表成绩单[[#This Row],[数学]]="","",SUMPRODUCT((表成绩单[考试日期]=表成绩单[[#This Row],[考试日期]])*(表成绩单[数学]&lt;9E+307)*(表成绩单[数学]&gt;表成绩单[[#This Row],[数学]]))+1)</f>
        <v/>
      </c>
      <c r="R1556" s="29" t="str" cm="1">
        <f t="array" ref="R1556">IF(表成绩单[[#This Row],[英语]]="","",SUMPRODUCT((表成绩单[考试日期]=表成绩单[[#This Row],[考试日期]])*(表成绩单[英语]&lt;9E+307)*(表成绩单[英语]&gt;表成绩单[[#This Row],[英语]]))+1)</f>
        <v/>
      </c>
      <c r="S1556" s="29" t="str" cm="1">
        <f t="array" ref="S1556">IF(表成绩单[[#This Row],[物理]]="","",SUMPRODUCT((表成绩单[考试日期]=表成绩单[[#This Row],[考试日期]])*(表成绩单[物理]&lt;9E+307)*(表成绩单[物理]&gt;表成绩单[[#This Row],[物理]]))+1)</f>
        <v/>
      </c>
      <c r="T1556" s="29" t="str" cm="1">
        <f t="array" ref="T1556">IF(表成绩单[[#This Row],[化学]]="","",SUMPRODUCT((表成绩单[考试日期]=表成绩单[[#This Row],[考试日期]])*(表成绩单[化学]&lt;9E+307)*(表成绩单[化学]&gt;表成绩单[[#This Row],[化学]]))+1)</f>
        <v/>
      </c>
      <c r="U1556" s="29" t="str" cm="1">
        <f t="array" ref="U1556">IF(表成绩单[[#This Row],[政治]]="","",SUMPRODUCT((表成绩单[考试日期]=表成绩单[[#This Row],[考试日期]])*(表成绩单[政治]&lt;9E+307)*(表成绩单[政治]&gt;表成绩单[[#This Row],[政治]]))+1)</f>
        <v/>
      </c>
      <c r="V1556" s="29" t="str" cm="1">
        <f t="array" ref="V1556">IF(表成绩单[[#This Row],[历史]]="","",SUMPRODUCT((表成绩单[考试日期]=表成绩单[[#This Row],[考试日期]])*(表成绩单[历史]&lt;9E+307)*(表成绩单[历史]&gt;表成绩单[[#This Row],[历史]]))+1)</f>
        <v/>
      </c>
      <c r="W1556" s="29" t="str" cm="1">
        <f t="array" ref="W1556">IF(表成绩单[[#This Row],[总分]]="","",SUMPRODUCT((表成绩单[考试日期]=表成绩单[[#This Row],[考试日期]])*(表成绩单[总分]&lt;9E+307)*(表成绩单[总分]&gt;表成绩单[[#This Row],[总分]]))+1)</f>
        <v/>
      </c>
    </row>
    <row r="1557" ht="28" customHeight="1" spans="4:23">
      <c r="D1557" s="31">
        <v>46003</v>
      </c>
      <c r="E1557" s="29">
        <v>19175605</v>
      </c>
      <c r="F1557" s="29" t="s">
        <v>57</v>
      </c>
      <c r="G1557" s="29" t="s">
        <v>808</v>
      </c>
      <c r="H1557" s="29"/>
      <c r="I1557" s="29"/>
      <c r="J1557" s="29"/>
      <c r="K1557" s="29"/>
      <c r="L1557" s="29"/>
      <c r="M1557" s="29"/>
      <c r="N1557" s="29"/>
      <c r="O1557" s="32"/>
      <c r="P1557" s="29" t="str" cm="1">
        <f t="array" ref="P1557">IF(表成绩单[[#This Row],[语文]]="","",SUMPRODUCT((表成绩单[考试日期]=表成绩单[[#This Row],[考试日期]])*(表成绩单[语文]&lt;9E+307)*(表成绩单[语文]&gt;表成绩单[[#This Row],[语文]]))+1)</f>
        <v/>
      </c>
      <c r="Q1557" s="29" t="str" cm="1">
        <f t="array" ref="Q1557">IF(表成绩单[[#This Row],[数学]]="","",SUMPRODUCT((表成绩单[考试日期]=表成绩单[[#This Row],[考试日期]])*(表成绩单[数学]&lt;9E+307)*(表成绩单[数学]&gt;表成绩单[[#This Row],[数学]]))+1)</f>
        <v/>
      </c>
      <c r="R1557" s="29" t="str" cm="1">
        <f t="array" ref="R1557">IF(表成绩单[[#This Row],[英语]]="","",SUMPRODUCT((表成绩单[考试日期]=表成绩单[[#This Row],[考试日期]])*(表成绩单[英语]&lt;9E+307)*(表成绩单[英语]&gt;表成绩单[[#This Row],[英语]]))+1)</f>
        <v/>
      </c>
      <c r="S1557" s="29" t="str" cm="1">
        <f t="array" ref="S1557">IF(表成绩单[[#This Row],[物理]]="","",SUMPRODUCT((表成绩单[考试日期]=表成绩单[[#This Row],[考试日期]])*(表成绩单[物理]&lt;9E+307)*(表成绩单[物理]&gt;表成绩单[[#This Row],[物理]]))+1)</f>
        <v/>
      </c>
      <c r="T1557" s="29" t="str" cm="1">
        <f t="array" ref="T1557">IF(表成绩单[[#This Row],[化学]]="","",SUMPRODUCT((表成绩单[考试日期]=表成绩单[[#This Row],[考试日期]])*(表成绩单[化学]&lt;9E+307)*(表成绩单[化学]&gt;表成绩单[[#This Row],[化学]]))+1)</f>
        <v/>
      </c>
      <c r="U1557" s="29" t="str" cm="1">
        <f t="array" ref="U1557">IF(表成绩单[[#This Row],[政治]]="","",SUMPRODUCT((表成绩单[考试日期]=表成绩单[[#This Row],[考试日期]])*(表成绩单[政治]&lt;9E+307)*(表成绩单[政治]&gt;表成绩单[[#This Row],[政治]]))+1)</f>
        <v/>
      </c>
      <c r="V1557" s="29" t="str" cm="1">
        <f t="array" ref="V1557">IF(表成绩单[[#This Row],[历史]]="","",SUMPRODUCT((表成绩单[考试日期]=表成绩单[[#This Row],[考试日期]])*(表成绩单[历史]&lt;9E+307)*(表成绩单[历史]&gt;表成绩单[[#This Row],[历史]]))+1)</f>
        <v/>
      </c>
      <c r="W1557" s="29" t="str" cm="1">
        <f t="array" ref="W1557">IF(表成绩单[[#This Row],[总分]]="","",SUMPRODUCT((表成绩单[考试日期]=表成绩单[[#This Row],[考试日期]])*(表成绩单[总分]&lt;9E+307)*(表成绩单[总分]&gt;表成绩单[[#This Row],[总分]]))+1)</f>
        <v/>
      </c>
    </row>
    <row r="1558" ht="28" customHeight="1" spans="4:23">
      <c r="D1558" s="31">
        <v>46003</v>
      </c>
      <c r="E1558" s="29">
        <v>19175606</v>
      </c>
      <c r="F1558" s="29" t="s">
        <v>57</v>
      </c>
      <c r="G1558" s="29" t="s">
        <v>717</v>
      </c>
      <c r="H1558" s="29"/>
      <c r="I1558" s="29"/>
      <c r="J1558" s="29"/>
      <c r="K1558" s="29"/>
      <c r="L1558" s="29"/>
      <c r="M1558" s="29"/>
      <c r="N1558" s="29"/>
      <c r="O1558" s="32"/>
      <c r="P1558" s="29" t="str" cm="1">
        <f t="array" ref="P1558">IF(表成绩单[[#This Row],[语文]]="","",SUMPRODUCT((表成绩单[考试日期]=表成绩单[[#This Row],[考试日期]])*(表成绩单[语文]&lt;9E+307)*(表成绩单[语文]&gt;表成绩单[[#This Row],[语文]]))+1)</f>
        <v/>
      </c>
      <c r="Q1558" s="29" t="str" cm="1">
        <f t="array" ref="Q1558">IF(表成绩单[[#This Row],[数学]]="","",SUMPRODUCT((表成绩单[考试日期]=表成绩单[[#This Row],[考试日期]])*(表成绩单[数学]&lt;9E+307)*(表成绩单[数学]&gt;表成绩单[[#This Row],[数学]]))+1)</f>
        <v/>
      </c>
      <c r="R1558" s="29" t="str" cm="1">
        <f t="array" ref="R1558">IF(表成绩单[[#This Row],[英语]]="","",SUMPRODUCT((表成绩单[考试日期]=表成绩单[[#This Row],[考试日期]])*(表成绩单[英语]&lt;9E+307)*(表成绩单[英语]&gt;表成绩单[[#This Row],[英语]]))+1)</f>
        <v/>
      </c>
      <c r="S1558" s="29" t="str" cm="1">
        <f t="array" ref="S1558">IF(表成绩单[[#This Row],[物理]]="","",SUMPRODUCT((表成绩单[考试日期]=表成绩单[[#This Row],[考试日期]])*(表成绩单[物理]&lt;9E+307)*(表成绩单[物理]&gt;表成绩单[[#This Row],[物理]]))+1)</f>
        <v/>
      </c>
      <c r="T1558" s="29" t="str" cm="1">
        <f t="array" ref="T1558">IF(表成绩单[[#This Row],[化学]]="","",SUMPRODUCT((表成绩单[考试日期]=表成绩单[[#This Row],[考试日期]])*(表成绩单[化学]&lt;9E+307)*(表成绩单[化学]&gt;表成绩单[[#This Row],[化学]]))+1)</f>
        <v/>
      </c>
      <c r="U1558" s="29" t="str" cm="1">
        <f t="array" ref="U1558">IF(表成绩单[[#This Row],[政治]]="","",SUMPRODUCT((表成绩单[考试日期]=表成绩单[[#This Row],[考试日期]])*(表成绩单[政治]&lt;9E+307)*(表成绩单[政治]&gt;表成绩单[[#This Row],[政治]]))+1)</f>
        <v/>
      </c>
      <c r="V1558" s="29" t="str" cm="1">
        <f t="array" ref="V1558">IF(表成绩单[[#This Row],[历史]]="","",SUMPRODUCT((表成绩单[考试日期]=表成绩单[[#This Row],[考试日期]])*(表成绩单[历史]&lt;9E+307)*(表成绩单[历史]&gt;表成绩单[[#This Row],[历史]]))+1)</f>
        <v/>
      </c>
      <c r="W1558" s="29" t="str" cm="1">
        <f t="array" ref="W1558">IF(表成绩单[[#This Row],[总分]]="","",SUMPRODUCT((表成绩单[考试日期]=表成绩单[[#This Row],[考试日期]])*(表成绩单[总分]&lt;9E+307)*(表成绩单[总分]&gt;表成绩单[[#This Row],[总分]]))+1)</f>
        <v/>
      </c>
    </row>
    <row r="1559" ht="28" customHeight="1" spans="4:23">
      <c r="D1559" s="31">
        <v>46003</v>
      </c>
      <c r="E1559" s="29">
        <v>19175607</v>
      </c>
      <c r="F1559" s="29" t="s">
        <v>57</v>
      </c>
      <c r="G1559" s="29" t="s">
        <v>769</v>
      </c>
      <c r="H1559" s="29"/>
      <c r="I1559" s="29"/>
      <c r="J1559" s="29"/>
      <c r="K1559" s="29"/>
      <c r="L1559" s="29"/>
      <c r="M1559" s="29"/>
      <c r="N1559" s="29"/>
      <c r="O1559" s="32"/>
      <c r="P1559" s="29" t="str" cm="1">
        <f t="array" ref="P1559">IF(表成绩单[[#This Row],[语文]]="","",SUMPRODUCT((表成绩单[考试日期]=表成绩单[[#This Row],[考试日期]])*(表成绩单[语文]&lt;9E+307)*(表成绩单[语文]&gt;表成绩单[[#This Row],[语文]]))+1)</f>
        <v/>
      </c>
      <c r="Q1559" s="29" t="str" cm="1">
        <f t="array" ref="Q1559">IF(表成绩单[[#This Row],[数学]]="","",SUMPRODUCT((表成绩单[考试日期]=表成绩单[[#This Row],[考试日期]])*(表成绩单[数学]&lt;9E+307)*(表成绩单[数学]&gt;表成绩单[[#This Row],[数学]]))+1)</f>
        <v/>
      </c>
      <c r="R1559" s="29" t="str" cm="1">
        <f t="array" ref="R1559">IF(表成绩单[[#This Row],[英语]]="","",SUMPRODUCT((表成绩单[考试日期]=表成绩单[[#This Row],[考试日期]])*(表成绩单[英语]&lt;9E+307)*(表成绩单[英语]&gt;表成绩单[[#This Row],[英语]]))+1)</f>
        <v/>
      </c>
      <c r="S1559" s="29" t="str" cm="1">
        <f t="array" ref="S1559">IF(表成绩单[[#This Row],[物理]]="","",SUMPRODUCT((表成绩单[考试日期]=表成绩单[[#This Row],[考试日期]])*(表成绩单[物理]&lt;9E+307)*(表成绩单[物理]&gt;表成绩单[[#This Row],[物理]]))+1)</f>
        <v/>
      </c>
      <c r="T1559" s="29" t="str" cm="1">
        <f t="array" ref="T1559">IF(表成绩单[[#This Row],[化学]]="","",SUMPRODUCT((表成绩单[考试日期]=表成绩单[[#This Row],[考试日期]])*(表成绩单[化学]&lt;9E+307)*(表成绩单[化学]&gt;表成绩单[[#This Row],[化学]]))+1)</f>
        <v/>
      </c>
      <c r="U1559" s="29" t="str" cm="1">
        <f t="array" ref="U1559">IF(表成绩单[[#This Row],[政治]]="","",SUMPRODUCT((表成绩单[考试日期]=表成绩单[[#This Row],[考试日期]])*(表成绩单[政治]&lt;9E+307)*(表成绩单[政治]&gt;表成绩单[[#This Row],[政治]]))+1)</f>
        <v/>
      </c>
      <c r="V1559" s="29" t="str" cm="1">
        <f t="array" ref="V1559">IF(表成绩单[[#This Row],[历史]]="","",SUMPRODUCT((表成绩单[考试日期]=表成绩单[[#This Row],[考试日期]])*(表成绩单[历史]&lt;9E+307)*(表成绩单[历史]&gt;表成绩单[[#This Row],[历史]]))+1)</f>
        <v/>
      </c>
      <c r="W1559" s="29" t="str" cm="1">
        <f t="array" ref="W1559">IF(表成绩单[[#This Row],[总分]]="","",SUMPRODUCT((表成绩单[考试日期]=表成绩单[[#This Row],[考试日期]])*(表成绩单[总分]&lt;9E+307)*(表成绩单[总分]&gt;表成绩单[[#This Row],[总分]]))+1)</f>
        <v/>
      </c>
    </row>
    <row r="1560" ht="28" customHeight="1" spans="4:23">
      <c r="D1560" s="31">
        <v>46003</v>
      </c>
      <c r="E1560" s="29">
        <v>19175613</v>
      </c>
      <c r="F1560" s="29" t="s">
        <v>57</v>
      </c>
      <c r="G1560" s="29" t="s">
        <v>854</v>
      </c>
      <c r="H1560" s="29">
        <v>56</v>
      </c>
      <c r="I1560" s="29">
        <v>26</v>
      </c>
      <c r="J1560" s="29"/>
      <c r="K1560" s="29">
        <v>21</v>
      </c>
      <c r="L1560" s="29">
        <v>61</v>
      </c>
      <c r="M1560" s="29">
        <v>41</v>
      </c>
      <c r="N1560" s="29"/>
      <c r="O1560" s="32">
        <v>205</v>
      </c>
      <c r="P1560" s="29" cm="1">
        <f t="array" ref="P1560">IF(表成绩单[[#This Row],[语文]]="","",SUMPRODUCT((表成绩单[考试日期]=表成绩单[[#This Row],[考试日期]])*(表成绩单[语文]&lt;9E+307)*(表成绩单[语文]&gt;表成绩单[[#This Row],[语文]]))+1)</f>
        <v>724</v>
      </c>
      <c r="Q1560" s="29" cm="1">
        <f t="array" ref="Q1560">IF(表成绩单[[#This Row],[数学]]="","",SUMPRODUCT((表成绩单[考试日期]=表成绩单[[#This Row],[考试日期]])*(表成绩单[数学]&lt;9E+307)*(表成绩单[数学]&gt;表成绩单[[#This Row],[数学]]))+1)</f>
        <v>697</v>
      </c>
      <c r="R1560" s="29" t="str" cm="1">
        <f t="array" ref="R1560">IF(表成绩单[[#This Row],[英语]]="","",SUMPRODUCT((表成绩单[考试日期]=表成绩单[[#This Row],[考试日期]])*(表成绩单[英语]&lt;9E+307)*(表成绩单[英语]&gt;表成绩单[[#This Row],[英语]]))+1)</f>
        <v/>
      </c>
      <c r="S1560" s="29" cm="1">
        <f t="array" ref="S1560">IF(表成绩单[[#This Row],[物理]]="","",SUMPRODUCT((表成绩单[考试日期]=表成绩单[[#This Row],[考试日期]])*(表成绩单[物理]&lt;9E+307)*(表成绩单[物理]&gt;表成绩单[[#This Row],[物理]]))+1)</f>
        <v>719</v>
      </c>
      <c r="T1560" s="29" cm="1">
        <f t="array" ref="T1560">IF(表成绩单[[#This Row],[化学]]="","",SUMPRODUCT((表成绩单[考试日期]=表成绩单[[#This Row],[考试日期]])*(表成绩单[化学]&lt;9E+307)*(表成绩单[化学]&gt;表成绩单[[#This Row],[化学]]))+1)</f>
        <v>572</v>
      </c>
      <c r="U1560" s="29" cm="1">
        <f t="array" ref="U1560">IF(表成绩单[[#This Row],[政治]]="","",SUMPRODUCT((表成绩单[考试日期]=表成绩单[[#This Row],[考试日期]])*(表成绩单[政治]&lt;9E+307)*(表成绩单[政治]&gt;表成绩单[[#This Row],[政治]]))+1)</f>
        <v>668</v>
      </c>
      <c r="V1560" s="29" t="str" cm="1">
        <f t="array" ref="V1560">IF(表成绩单[[#This Row],[历史]]="","",SUMPRODUCT((表成绩单[考试日期]=表成绩单[[#This Row],[考试日期]])*(表成绩单[历史]&lt;9E+307)*(表成绩单[历史]&gt;表成绩单[[#This Row],[历史]]))+1)</f>
        <v/>
      </c>
      <c r="W1560" s="29" cm="1">
        <f t="array" ref="W1560">IF(表成绩单[[#This Row],[总分]]="","",SUMPRODUCT((表成绩单[考试日期]=表成绩单[[#This Row],[考试日期]])*(表成绩单[总分]&lt;9E+307)*(表成绩单[总分]&gt;表成绩单[[#This Row],[总分]]))+1)</f>
        <v>729</v>
      </c>
    </row>
    <row r="1561" ht="28" customHeight="1" spans="4:23">
      <c r="D1561" s="31">
        <v>46003</v>
      </c>
      <c r="E1561" s="29">
        <v>19175619</v>
      </c>
      <c r="F1561" s="29" t="s">
        <v>57</v>
      </c>
      <c r="G1561" s="29" t="s">
        <v>876</v>
      </c>
      <c r="H1561" s="29"/>
      <c r="I1561" s="29"/>
      <c r="J1561" s="29"/>
      <c r="K1561" s="29"/>
      <c r="L1561" s="29"/>
      <c r="M1561" s="29"/>
      <c r="N1561" s="29"/>
      <c r="O1561" s="32"/>
      <c r="P1561" s="29" t="str" cm="1">
        <f t="array" ref="P1561">IF(表成绩单[[#This Row],[语文]]="","",SUMPRODUCT((表成绩单[考试日期]=表成绩单[[#This Row],[考试日期]])*(表成绩单[语文]&lt;9E+307)*(表成绩单[语文]&gt;表成绩单[[#This Row],[语文]]))+1)</f>
        <v/>
      </c>
      <c r="Q1561" s="29" t="str" cm="1">
        <f t="array" ref="Q1561">IF(表成绩单[[#This Row],[数学]]="","",SUMPRODUCT((表成绩单[考试日期]=表成绩单[[#This Row],[考试日期]])*(表成绩单[数学]&lt;9E+307)*(表成绩单[数学]&gt;表成绩单[[#This Row],[数学]]))+1)</f>
        <v/>
      </c>
      <c r="R1561" s="29" t="str" cm="1">
        <f t="array" ref="R1561">IF(表成绩单[[#This Row],[英语]]="","",SUMPRODUCT((表成绩单[考试日期]=表成绩单[[#This Row],[考试日期]])*(表成绩单[英语]&lt;9E+307)*(表成绩单[英语]&gt;表成绩单[[#This Row],[英语]]))+1)</f>
        <v/>
      </c>
      <c r="S1561" s="29" t="str" cm="1">
        <f t="array" ref="S1561">IF(表成绩单[[#This Row],[物理]]="","",SUMPRODUCT((表成绩单[考试日期]=表成绩单[[#This Row],[考试日期]])*(表成绩单[物理]&lt;9E+307)*(表成绩单[物理]&gt;表成绩单[[#This Row],[物理]]))+1)</f>
        <v/>
      </c>
      <c r="T1561" s="29" t="str" cm="1">
        <f t="array" ref="T1561">IF(表成绩单[[#This Row],[化学]]="","",SUMPRODUCT((表成绩单[考试日期]=表成绩单[[#This Row],[考试日期]])*(表成绩单[化学]&lt;9E+307)*(表成绩单[化学]&gt;表成绩单[[#This Row],[化学]]))+1)</f>
        <v/>
      </c>
      <c r="U1561" s="29" t="str" cm="1">
        <f t="array" ref="U1561">IF(表成绩单[[#This Row],[政治]]="","",SUMPRODUCT((表成绩单[考试日期]=表成绩单[[#This Row],[考试日期]])*(表成绩单[政治]&lt;9E+307)*(表成绩单[政治]&gt;表成绩单[[#This Row],[政治]]))+1)</f>
        <v/>
      </c>
      <c r="V1561" s="29" t="str" cm="1">
        <f t="array" ref="V1561">IF(表成绩单[[#This Row],[历史]]="","",SUMPRODUCT((表成绩单[考试日期]=表成绩单[[#This Row],[考试日期]])*(表成绩单[历史]&lt;9E+307)*(表成绩单[历史]&gt;表成绩单[[#This Row],[历史]]))+1)</f>
        <v/>
      </c>
      <c r="W1561" s="29" t="str" cm="1">
        <f t="array" ref="W1561">IF(表成绩单[[#This Row],[总分]]="","",SUMPRODUCT((表成绩单[考试日期]=表成绩单[[#This Row],[考试日期]])*(表成绩单[总分]&lt;9E+307)*(表成绩单[总分]&gt;表成绩单[[#This Row],[总分]]))+1)</f>
        <v/>
      </c>
    </row>
    <row r="1562" ht="28" customHeight="1" spans="4:23">
      <c r="D1562" s="31">
        <v>46003</v>
      </c>
      <c r="E1562" s="29">
        <v>19175623</v>
      </c>
      <c r="F1562" s="29" t="s">
        <v>57</v>
      </c>
      <c r="G1562" s="29" t="s">
        <v>843</v>
      </c>
      <c r="H1562" s="29"/>
      <c r="I1562" s="29"/>
      <c r="J1562" s="29"/>
      <c r="K1562" s="29"/>
      <c r="L1562" s="29"/>
      <c r="M1562" s="29"/>
      <c r="N1562" s="29"/>
      <c r="O1562" s="32"/>
      <c r="P1562" s="29" t="str" cm="1">
        <f t="array" ref="P1562">IF(表成绩单[[#This Row],[语文]]="","",SUMPRODUCT((表成绩单[考试日期]=表成绩单[[#This Row],[考试日期]])*(表成绩单[语文]&lt;9E+307)*(表成绩单[语文]&gt;表成绩单[[#This Row],[语文]]))+1)</f>
        <v/>
      </c>
      <c r="Q1562" s="29" t="str" cm="1">
        <f t="array" ref="Q1562">IF(表成绩单[[#This Row],[数学]]="","",SUMPRODUCT((表成绩单[考试日期]=表成绩单[[#This Row],[考试日期]])*(表成绩单[数学]&lt;9E+307)*(表成绩单[数学]&gt;表成绩单[[#This Row],[数学]]))+1)</f>
        <v/>
      </c>
      <c r="R1562" s="29" t="str" cm="1">
        <f t="array" ref="R1562">IF(表成绩单[[#This Row],[英语]]="","",SUMPRODUCT((表成绩单[考试日期]=表成绩单[[#This Row],[考试日期]])*(表成绩单[英语]&lt;9E+307)*(表成绩单[英语]&gt;表成绩单[[#This Row],[英语]]))+1)</f>
        <v/>
      </c>
      <c r="S1562" s="29" t="str" cm="1">
        <f t="array" ref="S1562">IF(表成绩单[[#This Row],[物理]]="","",SUMPRODUCT((表成绩单[考试日期]=表成绩单[[#This Row],[考试日期]])*(表成绩单[物理]&lt;9E+307)*(表成绩单[物理]&gt;表成绩单[[#This Row],[物理]]))+1)</f>
        <v/>
      </c>
      <c r="T1562" s="29" t="str" cm="1">
        <f t="array" ref="T1562">IF(表成绩单[[#This Row],[化学]]="","",SUMPRODUCT((表成绩单[考试日期]=表成绩单[[#This Row],[考试日期]])*(表成绩单[化学]&lt;9E+307)*(表成绩单[化学]&gt;表成绩单[[#This Row],[化学]]))+1)</f>
        <v/>
      </c>
      <c r="U1562" s="29" t="str" cm="1">
        <f t="array" ref="U1562">IF(表成绩单[[#This Row],[政治]]="","",SUMPRODUCT((表成绩单[考试日期]=表成绩单[[#This Row],[考试日期]])*(表成绩单[政治]&lt;9E+307)*(表成绩单[政治]&gt;表成绩单[[#This Row],[政治]]))+1)</f>
        <v/>
      </c>
      <c r="V1562" s="29" t="str" cm="1">
        <f t="array" ref="V1562">IF(表成绩单[[#This Row],[历史]]="","",SUMPRODUCT((表成绩单[考试日期]=表成绩单[[#This Row],[考试日期]])*(表成绩单[历史]&lt;9E+307)*(表成绩单[历史]&gt;表成绩单[[#This Row],[历史]]))+1)</f>
        <v/>
      </c>
      <c r="W1562" s="29" t="str" cm="1">
        <f t="array" ref="W1562">IF(表成绩单[[#This Row],[总分]]="","",SUMPRODUCT((表成绩单[考试日期]=表成绩单[[#This Row],[考试日期]])*(表成绩单[总分]&lt;9E+307)*(表成绩单[总分]&gt;表成绩单[[#This Row],[总分]]))+1)</f>
        <v/>
      </c>
    </row>
    <row r="1563" ht="28" customHeight="1" spans="4:23">
      <c r="D1563" s="31">
        <v>46003</v>
      </c>
      <c r="E1563" s="29">
        <v>19175624</v>
      </c>
      <c r="F1563" s="29" t="s">
        <v>57</v>
      </c>
      <c r="G1563" s="29" t="s">
        <v>877</v>
      </c>
      <c r="H1563" s="29"/>
      <c r="I1563" s="29"/>
      <c r="J1563" s="29"/>
      <c r="K1563" s="29"/>
      <c r="L1563" s="29"/>
      <c r="M1563" s="29"/>
      <c r="N1563" s="29"/>
      <c r="O1563" s="32"/>
      <c r="P1563" s="29" t="str" cm="1">
        <f t="array" ref="P1563">IF(表成绩单[[#This Row],[语文]]="","",SUMPRODUCT((表成绩单[考试日期]=表成绩单[[#This Row],[考试日期]])*(表成绩单[语文]&lt;9E+307)*(表成绩单[语文]&gt;表成绩单[[#This Row],[语文]]))+1)</f>
        <v/>
      </c>
      <c r="Q1563" s="29" t="str" cm="1">
        <f t="array" ref="Q1563">IF(表成绩单[[#This Row],[数学]]="","",SUMPRODUCT((表成绩单[考试日期]=表成绩单[[#This Row],[考试日期]])*(表成绩单[数学]&lt;9E+307)*(表成绩单[数学]&gt;表成绩单[[#This Row],[数学]]))+1)</f>
        <v/>
      </c>
      <c r="R1563" s="29" t="str" cm="1">
        <f t="array" ref="R1563">IF(表成绩单[[#This Row],[英语]]="","",SUMPRODUCT((表成绩单[考试日期]=表成绩单[[#This Row],[考试日期]])*(表成绩单[英语]&lt;9E+307)*(表成绩单[英语]&gt;表成绩单[[#This Row],[英语]]))+1)</f>
        <v/>
      </c>
      <c r="S1563" s="29" t="str" cm="1">
        <f t="array" ref="S1563">IF(表成绩单[[#This Row],[物理]]="","",SUMPRODUCT((表成绩单[考试日期]=表成绩单[[#This Row],[考试日期]])*(表成绩单[物理]&lt;9E+307)*(表成绩单[物理]&gt;表成绩单[[#This Row],[物理]]))+1)</f>
        <v/>
      </c>
      <c r="T1563" s="29" t="str" cm="1">
        <f t="array" ref="T1563">IF(表成绩单[[#This Row],[化学]]="","",SUMPRODUCT((表成绩单[考试日期]=表成绩单[[#This Row],[考试日期]])*(表成绩单[化学]&lt;9E+307)*(表成绩单[化学]&gt;表成绩单[[#This Row],[化学]]))+1)</f>
        <v/>
      </c>
      <c r="U1563" s="29" t="str" cm="1">
        <f t="array" ref="U1563">IF(表成绩单[[#This Row],[政治]]="","",SUMPRODUCT((表成绩单[考试日期]=表成绩单[[#This Row],[考试日期]])*(表成绩单[政治]&lt;9E+307)*(表成绩单[政治]&gt;表成绩单[[#This Row],[政治]]))+1)</f>
        <v/>
      </c>
      <c r="V1563" s="29" t="str" cm="1">
        <f t="array" ref="V1563">IF(表成绩单[[#This Row],[历史]]="","",SUMPRODUCT((表成绩单[考试日期]=表成绩单[[#This Row],[考试日期]])*(表成绩单[历史]&lt;9E+307)*(表成绩单[历史]&gt;表成绩单[[#This Row],[历史]]))+1)</f>
        <v/>
      </c>
      <c r="W1563" s="29" t="str" cm="1">
        <f t="array" ref="W1563">IF(表成绩单[[#This Row],[总分]]="","",SUMPRODUCT((表成绩单[考试日期]=表成绩单[[#This Row],[考试日期]])*(表成绩单[总分]&lt;9E+307)*(表成绩单[总分]&gt;表成绩单[[#This Row],[总分]]))+1)</f>
        <v/>
      </c>
    </row>
    <row r="1564" ht="28" customHeight="1" spans="4:23">
      <c r="D1564" s="31">
        <v>46003</v>
      </c>
      <c r="E1564" s="29">
        <v>19175625</v>
      </c>
      <c r="F1564" s="29" t="s">
        <v>57</v>
      </c>
      <c r="G1564" s="29" t="s">
        <v>563</v>
      </c>
      <c r="H1564" s="29"/>
      <c r="I1564" s="29"/>
      <c r="J1564" s="29"/>
      <c r="K1564" s="29"/>
      <c r="L1564" s="29"/>
      <c r="M1564" s="29"/>
      <c r="N1564" s="29"/>
      <c r="O1564" s="32"/>
      <c r="P1564" s="29" t="str" cm="1">
        <f t="array" ref="P1564">IF(表成绩单[[#This Row],[语文]]="","",SUMPRODUCT((表成绩单[考试日期]=表成绩单[[#This Row],[考试日期]])*(表成绩单[语文]&lt;9E+307)*(表成绩单[语文]&gt;表成绩单[[#This Row],[语文]]))+1)</f>
        <v/>
      </c>
      <c r="Q1564" s="29" t="str" cm="1">
        <f t="array" ref="Q1564">IF(表成绩单[[#This Row],[数学]]="","",SUMPRODUCT((表成绩单[考试日期]=表成绩单[[#This Row],[考试日期]])*(表成绩单[数学]&lt;9E+307)*(表成绩单[数学]&gt;表成绩单[[#This Row],[数学]]))+1)</f>
        <v/>
      </c>
      <c r="R1564" s="29" t="str" cm="1">
        <f t="array" ref="R1564">IF(表成绩单[[#This Row],[英语]]="","",SUMPRODUCT((表成绩单[考试日期]=表成绩单[[#This Row],[考试日期]])*(表成绩单[英语]&lt;9E+307)*(表成绩单[英语]&gt;表成绩单[[#This Row],[英语]]))+1)</f>
        <v/>
      </c>
      <c r="S1564" s="29" t="str" cm="1">
        <f t="array" ref="S1564">IF(表成绩单[[#This Row],[物理]]="","",SUMPRODUCT((表成绩单[考试日期]=表成绩单[[#This Row],[考试日期]])*(表成绩单[物理]&lt;9E+307)*(表成绩单[物理]&gt;表成绩单[[#This Row],[物理]]))+1)</f>
        <v/>
      </c>
      <c r="T1564" s="29" t="str" cm="1">
        <f t="array" ref="T1564">IF(表成绩单[[#This Row],[化学]]="","",SUMPRODUCT((表成绩单[考试日期]=表成绩单[[#This Row],[考试日期]])*(表成绩单[化学]&lt;9E+307)*(表成绩单[化学]&gt;表成绩单[[#This Row],[化学]]))+1)</f>
        <v/>
      </c>
      <c r="U1564" s="29" t="str" cm="1">
        <f t="array" ref="U1564">IF(表成绩单[[#This Row],[政治]]="","",SUMPRODUCT((表成绩单[考试日期]=表成绩单[[#This Row],[考试日期]])*(表成绩单[政治]&lt;9E+307)*(表成绩单[政治]&gt;表成绩单[[#This Row],[政治]]))+1)</f>
        <v/>
      </c>
      <c r="V1564" s="29" t="str" cm="1">
        <f t="array" ref="V1564">IF(表成绩单[[#This Row],[历史]]="","",SUMPRODUCT((表成绩单[考试日期]=表成绩单[[#This Row],[考试日期]])*(表成绩单[历史]&lt;9E+307)*(表成绩单[历史]&gt;表成绩单[[#This Row],[历史]]))+1)</f>
        <v/>
      </c>
      <c r="W1564" s="29" t="str" cm="1">
        <f t="array" ref="W1564">IF(表成绩单[[#This Row],[总分]]="","",SUMPRODUCT((表成绩单[考试日期]=表成绩单[[#This Row],[考试日期]])*(表成绩单[总分]&lt;9E+307)*(表成绩单[总分]&gt;表成绩单[[#This Row],[总分]]))+1)</f>
        <v/>
      </c>
    </row>
    <row r="1565" ht="28" customHeight="1" spans="4:23">
      <c r="D1565" s="31">
        <v>46003</v>
      </c>
      <c r="E1565" s="29">
        <v>19175645</v>
      </c>
      <c r="F1565" s="29" t="s">
        <v>66</v>
      </c>
      <c r="G1565" s="29" t="s">
        <v>380</v>
      </c>
      <c r="H1565" s="29"/>
      <c r="I1565" s="29"/>
      <c r="J1565" s="29"/>
      <c r="K1565" s="29"/>
      <c r="L1565" s="29"/>
      <c r="M1565" s="29"/>
      <c r="N1565" s="29"/>
      <c r="O1565" s="32"/>
      <c r="P1565" s="29" t="str" cm="1">
        <f t="array" ref="P1565">IF(表成绩单[[#This Row],[语文]]="","",SUMPRODUCT((表成绩单[考试日期]=表成绩单[[#This Row],[考试日期]])*(表成绩单[语文]&lt;9E+307)*(表成绩单[语文]&gt;表成绩单[[#This Row],[语文]]))+1)</f>
        <v/>
      </c>
      <c r="Q1565" s="29" t="str" cm="1">
        <f t="array" ref="Q1565">IF(表成绩单[[#This Row],[数学]]="","",SUMPRODUCT((表成绩单[考试日期]=表成绩单[[#This Row],[考试日期]])*(表成绩单[数学]&lt;9E+307)*(表成绩单[数学]&gt;表成绩单[[#This Row],[数学]]))+1)</f>
        <v/>
      </c>
      <c r="R1565" s="29" t="str" cm="1">
        <f t="array" ref="R1565">IF(表成绩单[[#This Row],[英语]]="","",SUMPRODUCT((表成绩单[考试日期]=表成绩单[[#This Row],[考试日期]])*(表成绩单[英语]&lt;9E+307)*(表成绩单[英语]&gt;表成绩单[[#This Row],[英语]]))+1)</f>
        <v/>
      </c>
      <c r="S1565" s="29" t="str" cm="1">
        <f t="array" ref="S1565">IF(表成绩单[[#This Row],[物理]]="","",SUMPRODUCT((表成绩单[考试日期]=表成绩单[[#This Row],[考试日期]])*(表成绩单[物理]&lt;9E+307)*(表成绩单[物理]&gt;表成绩单[[#This Row],[物理]]))+1)</f>
        <v/>
      </c>
      <c r="T1565" s="29" t="str" cm="1">
        <f t="array" ref="T1565">IF(表成绩单[[#This Row],[化学]]="","",SUMPRODUCT((表成绩单[考试日期]=表成绩单[[#This Row],[考试日期]])*(表成绩单[化学]&lt;9E+307)*(表成绩单[化学]&gt;表成绩单[[#This Row],[化学]]))+1)</f>
        <v/>
      </c>
      <c r="U1565" s="29" t="str" cm="1">
        <f t="array" ref="U1565">IF(表成绩单[[#This Row],[政治]]="","",SUMPRODUCT((表成绩单[考试日期]=表成绩单[[#This Row],[考试日期]])*(表成绩单[政治]&lt;9E+307)*(表成绩单[政治]&gt;表成绩单[[#This Row],[政治]]))+1)</f>
        <v/>
      </c>
      <c r="V1565" s="29" t="str" cm="1">
        <f t="array" ref="V1565">IF(表成绩单[[#This Row],[历史]]="","",SUMPRODUCT((表成绩单[考试日期]=表成绩单[[#This Row],[考试日期]])*(表成绩单[历史]&lt;9E+307)*(表成绩单[历史]&gt;表成绩单[[#This Row],[历史]]))+1)</f>
        <v/>
      </c>
      <c r="W1565" s="29" t="str" cm="1">
        <f t="array" ref="W1565">IF(表成绩单[[#This Row],[总分]]="","",SUMPRODUCT((表成绩单[考试日期]=表成绩单[[#This Row],[考试日期]])*(表成绩单[总分]&lt;9E+307)*(表成绩单[总分]&gt;表成绩单[[#This Row],[总分]]))+1)</f>
        <v/>
      </c>
    </row>
    <row r="1566" ht="28" customHeight="1" spans="4:23">
      <c r="D1566" s="31">
        <v>46003</v>
      </c>
      <c r="E1566" s="29">
        <v>19175666</v>
      </c>
      <c r="F1566" s="29" t="s">
        <v>66</v>
      </c>
      <c r="G1566" s="29" t="s">
        <v>498</v>
      </c>
      <c r="H1566" s="29"/>
      <c r="I1566" s="29"/>
      <c r="J1566" s="29"/>
      <c r="K1566" s="29"/>
      <c r="L1566" s="29"/>
      <c r="M1566" s="29"/>
      <c r="N1566" s="29"/>
      <c r="O1566" s="32"/>
      <c r="P1566" s="29" t="str" cm="1">
        <f t="array" ref="P1566">IF(表成绩单[[#This Row],[语文]]="","",SUMPRODUCT((表成绩单[考试日期]=表成绩单[[#This Row],[考试日期]])*(表成绩单[语文]&lt;9E+307)*(表成绩单[语文]&gt;表成绩单[[#This Row],[语文]]))+1)</f>
        <v/>
      </c>
      <c r="Q1566" s="29" t="str" cm="1">
        <f t="array" ref="Q1566">IF(表成绩单[[#This Row],[数学]]="","",SUMPRODUCT((表成绩单[考试日期]=表成绩单[[#This Row],[考试日期]])*(表成绩单[数学]&lt;9E+307)*(表成绩单[数学]&gt;表成绩单[[#This Row],[数学]]))+1)</f>
        <v/>
      </c>
      <c r="R1566" s="29" t="str" cm="1">
        <f t="array" ref="R1566">IF(表成绩单[[#This Row],[英语]]="","",SUMPRODUCT((表成绩单[考试日期]=表成绩单[[#This Row],[考试日期]])*(表成绩单[英语]&lt;9E+307)*(表成绩单[英语]&gt;表成绩单[[#This Row],[英语]]))+1)</f>
        <v/>
      </c>
      <c r="S1566" s="29" t="str" cm="1">
        <f t="array" ref="S1566">IF(表成绩单[[#This Row],[物理]]="","",SUMPRODUCT((表成绩单[考试日期]=表成绩单[[#This Row],[考试日期]])*(表成绩单[物理]&lt;9E+307)*(表成绩单[物理]&gt;表成绩单[[#This Row],[物理]]))+1)</f>
        <v/>
      </c>
      <c r="T1566" s="29" t="str" cm="1">
        <f t="array" ref="T1566">IF(表成绩单[[#This Row],[化学]]="","",SUMPRODUCT((表成绩单[考试日期]=表成绩单[[#This Row],[考试日期]])*(表成绩单[化学]&lt;9E+307)*(表成绩单[化学]&gt;表成绩单[[#This Row],[化学]]))+1)</f>
        <v/>
      </c>
      <c r="U1566" s="29" t="str" cm="1">
        <f t="array" ref="U1566">IF(表成绩单[[#This Row],[政治]]="","",SUMPRODUCT((表成绩单[考试日期]=表成绩单[[#This Row],[考试日期]])*(表成绩单[政治]&lt;9E+307)*(表成绩单[政治]&gt;表成绩单[[#This Row],[政治]]))+1)</f>
        <v/>
      </c>
      <c r="V1566" s="29" t="str" cm="1">
        <f t="array" ref="V1566">IF(表成绩单[[#This Row],[历史]]="","",SUMPRODUCT((表成绩单[考试日期]=表成绩单[[#This Row],[考试日期]])*(表成绩单[历史]&lt;9E+307)*(表成绩单[历史]&gt;表成绩单[[#This Row],[历史]]))+1)</f>
        <v/>
      </c>
      <c r="W1566" s="29" t="str" cm="1">
        <f t="array" ref="W1566">IF(表成绩单[[#This Row],[总分]]="","",SUMPRODUCT((表成绩单[考试日期]=表成绩单[[#This Row],[考试日期]])*(表成绩单[总分]&lt;9E+307)*(表成绩单[总分]&gt;表成绩单[[#This Row],[总分]]))+1)</f>
        <v/>
      </c>
    </row>
    <row r="1567" ht="28" customHeight="1" spans="4:23">
      <c r="D1567" s="31">
        <v>46003</v>
      </c>
      <c r="E1567" s="29">
        <v>19175980</v>
      </c>
      <c r="F1567" s="29" t="s">
        <v>59</v>
      </c>
      <c r="G1567" s="29" t="s">
        <v>660</v>
      </c>
      <c r="H1567" s="29">
        <v>81</v>
      </c>
      <c r="I1567" s="29">
        <v>53</v>
      </c>
      <c r="J1567" s="29"/>
      <c r="K1567" s="29">
        <v>61</v>
      </c>
      <c r="L1567" s="29">
        <v>67</v>
      </c>
      <c r="M1567" s="29">
        <v>37</v>
      </c>
      <c r="N1567" s="29"/>
      <c r="O1567" s="32">
        <v>299</v>
      </c>
      <c r="P1567" s="29" cm="1">
        <f t="array" ref="P1567">IF(表成绩单[[#This Row],[语文]]="","",SUMPRODUCT((表成绩单[考试日期]=表成绩单[[#This Row],[考试日期]])*(表成绩单[语文]&lt;9E+307)*(表成绩单[语文]&gt;表成绩单[[#This Row],[语文]]))+1)</f>
        <v>664</v>
      </c>
      <c r="Q1567" s="29" cm="1">
        <f t="array" ref="Q1567">IF(表成绩单[[#This Row],[数学]]="","",SUMPRODUCT((表成绩单[考试日期]=表成绩单[[#This Row],[考试日期]])*(表成绩单[数学]&lt;9E+307)*(表成绩单[数学]&gt;表成绩单[[#This Row],[数学]]))+1)</f>
        <v>565</v>
      </c>
      <c r="R1567" s="29" t="str" cm="1">
        <f t="array" ref="R1567">IF(表成绩单[[#This Row],[英语]]="","",SUMPRODUCT((表成绩单[考试日期]=表成绩单[[#This Row],[考试日期]])*(表成绩单[英语]&lt;9E+307)*(表成绩单[英语]&gt;表成绩单[[#This Row],[英语]]))+1)</f>
        <v/>
      </c>
      <c r="S1567" s="29" cm="1">
        <f t="array" ref="S1567">IF(表成绩单[[#This Row],[物理]]="","",SUMPRODUCT((表成绩单[考试日期]=表成绩单[[#This Row],[考试日期]])*(表成绩单[物理]&lt;9E+307)*(表成绩单[物理]&gt;表成绩单[[#This Row],[物理]]))+1)</f>
        <v>581</v>
      </c>
      <c r="T1567" s="29" cm="1">
        <f t="array" ref="T1567">IF(表成绩单[[#This Row],[化学]]="","",SUMPRODUCT((表成绩单[考试日期]=表成绩单[[#This Row],[考试日期]])*(表成绩单[化学]&lt;9E+307)*(表成绩单[化学]&gt;表成绩单[[#This Row],[化学]]))+1)</f>
        <v>521</v>
      </c>
      <c r="U1567" s="29" cm="1">
        <f t="array" ref="U1567">IF(表成绩单[[#This Row],[政治]]="","",SUMPRODUCT((表成绩单[考试日期]=表成绩单[[#This Row],[考试日期]])*(表成绩单[政治]&lt;9E+307)*(表成绩单[政治]&gt;表成绩单[[#This Row],[政治]]))+1)</f>
        <v>697</v>
      </c>
      <c r="V1567" s="29" t="str" cm="1">
        <f t="array" ref="V1567">IF(表成绩单[[#This Row],[历史]]="","",SUMPRODUCT((表成绩单[考试日期]=表成绩单[[#This Row],[考试日期]])*(表成绩单[历史]&lt;9E+307)*(表成绩单[历史]&gt;表成绩单[[#This Row],[历史]]))+1)</f>
        <v/>
      </c>
      <c r="W1567" s="29" cm="1">
        <f t="array" ref="W1567">IF(表成绩单[[#This Row],[总分]]="","",SUMPRODUCT((表成绩单[考试日期]=表成绩单[[#This Row],[考试日期]])*(表成绩单[总分]&lt;9E+307)*(表成绩单[总分]&gt;表成绩单[[#This Row],[总分]]))+1)</f>
        <v>702</v>
      </c>
    </row>
    <row r="1568" ht="28" customHeight="1" spans="4:23">
      <c r="D1568" s="31">
        <v>46003</v>
      </c>
      <c r="E1568" s="29">
        <v>19175989</v>
      </c>
      <c r="F1568" s="29" t="s">
        <v>59</v>
      </c>
      <c r="G1568" s="29" t="s">
        <v>839</v>
      </c>
      <c r="H1568" s="29"/>
      <c r="I1568" s="29"/>
      <c r="J1568" s="29"/>
      <c r="K1568" s="29"/>
      <c r="L1568" s="29"/>
      <c r="M1568" s="29"/>
      <c r="N1568" s="29"/>
      <c r="O1568" s="32"/>
      <c r="P1568" s="29" t="str" cm="1">
        <f t="array" ref="P1568">IF(表成绩单[[#This Row],[语文]]="","",SUMPRODUCT((表成绩单[考试日期]=表成绩单[[#This Row],[考试日期]])*(表成绩单[语文]&lt;9E+307)*(表成绩单[语文]&gt;表成绩单[[#This Row],[语文]]))+1)</f>
        <v/>
      </c>
      <c r="Q1568" s="29" t="str" cm="1">
        <f t="array" ref="Q1568">IF(表成绩单[[#This Row],[数学]]="","",SUMPRODUCT((表成绩单[考试日期]=表成绩单[[#This Row],[考试日期]])*(表成绩单[数学]&lt;9E+307)*(表成绩单[数学]&gt;表成绩单[[#This Row],[数学]]))+1)</f>
        <v/>
      </c>
      <c r="R1568" s="29" t="str" cm="1">
        <f t="array" ref="R1568">IF(表成绩单[[#This Row],[英语]]="","",SUMPRODUCT((表成绩单[考试日期]=表成绩单[[#This Row],[考试日期]])*(表成绩单[英语]&lt;9E+307)*(表成绩单[英语]&gt;表成绩单[[#This Row],[英语]]))+1)</f>
        <v/>
      </c>
      <c r="S1568" s="29" t="str" cm="1">
        <f t="array" ref="S1568">IF(表成绩单[[#This Row],[物理]]="","",SUMPRODUCT((表成绩单[考试日期]=表成绩单[[#This Row],[考试日期]])*(表成绩单[物理]&lt;9E+307)*(表成绩单[物理]&gt;表成绩单[[#This Row],[物理]]))+1)</f>
        <v/>
      </c>
      <c r="T1568" s="29" t="str" cm="1">
        <f t="array" ref="T1568">IF(表成绩单[[#This Row],[化学]]="","",SUMPRODUCT((表成绩单[考试日期]=表成绩单[[#This Row],[考试日期]])*(表成绩单[化学]&lt;9E+307)*(表成绩单[化学]&gt;表成绩单[[#This Row],[化学]]))+1)</f>
        <v/>
      </c>
      <c r="U1568" s="29" t="str" cm="1">
        <f t="array" ref="U1568">IF(表成绩单[[#This Row],[政治]]="","",SUMPRODUCT((表成绩单[考试日期]=表成绩单[[#This Row],[考试日期]])*(表成绩单[政治]&lt;9E+307)*(表成绩单[政治]&gt;表成绩单[[#This Row],[政治]]))+1)</f>
        <v/>
      </c>
      <c r="V1568" s="29" t="str" cm="1">
        <f t="array" ref="V1568">IF(表成绩单[[#This Row],[历史]]="","",SUMPRODUCT((表成绩单[考试日期]=表成绩单[[#This Row],[考试日期]])*(表成绩单[历史]&lt;9E+307)*(表成绩单[历史]&gt;表成绩单[[#This Row],[历史]]))+1)</f>
        <v/>
      </c>
      <c r="W1568" s="29" t="str" cm="1">
        <f t="array" ref="W1568">IF(表成绩单[[#This Row],[总分]]="","",SUMPRODUCT((表成绩单[考试日期]=表成绩单[[#This Row],[考试日期]])*(表成绩单[总分]&lt;9E+307)*(表成绩单[总分]&gt;表成绩单[[#This Row],[总分]]))+1)</f>
        <v/>
      </c>
    </row>
    <row r="1569" ht="28" customHeight="1" spans="4:23">
      <c r="D1569" s="31">
        <v>46003</v>
      </c>
      <c r="E1569" s="29">
        <v>19176000</v>
      </c>
      <c r="F1569" s="29" t="s">
        <v>59</v>
      </c>
      <c r="G1569" s="29" t="s">
        <v>806</v>
      </c>
      <c r="H1569" s="29">
        <v>84</v>
      </c>
      <c r="I1569" s="29"/>
      <c r="J1569" s="29">
        <v>42</v>
      </c>
      <c r="K1569" s="29">
        <v>51</v>
      </c>
      <c r="L1569" s="29">
        <v>53</v>
      </c>
      <c r="M1569" s="29"/>
      <c r="N1569" s="29">
        <v>42</v>
      </c>
      <c r="O1569" s="32">
        <v>272</v>
      </c>
      <c r="P1569" s="29" cm="1">
        <f t="array" ref="P1569">IF(表成绩单[[#This Row],[语文]]="","",SUMPRODUCT((表成绩单[考试日期]=表成绩单[[#This Row],[考试日期]])*(表成绩单[语文]&lt;9E+307)*(表成绩单[语文]&gt;表成绩单[[#This Row],[语文]]))+1)</f>
        <v>642</v>
      </c>
      <c r="Q1569" s="29" t="str" cm="1">
        <f t="array" ref="Q1569">IF(表成绩单[[#This Row],[数学]]="","",SUMPRODUCT((表成绩单[考试日期]=表成绩单[[#This Row],[考试日期]])*(表成绩单[数学]&lt;9E+307)*(表成绩单[数学]&gt;表成绩单[[#This Row],[数学]]))+1)</f>
        <v/>
      </c>
      <c r="R1569" s="29" cm="1">
        <f t="array" ref="R1569">IF(表成绩单[[#This Row],[英语]]="","",SUMPRODUCT((表成绩单[考试日期]=表成绩单[[#This Row],[考试日期]])*(表成绩单[英语]&lt;9E+307)*(表成绩单[英语]&gt;表成绩单[[#This Row],[英语]]))+1)</f>
        <v>641</v>
      </c>
      <c r="S1569" s="29" cm="1">
        <f t="array" ref="S1569">IF(表成绩单[[#This Row],[物理]]="","",SUMPRODUCT((表成绩单[考试日期]=表成绩单[[#This Row],[考试日期]])*(表成绩单[物理]&lt;9E+307)*(表成绩单[物理]&gt;表成绩单[[#This Row],[物理]]))+1)</f>
        <v>630</v>
      </c>
      <c r="T1569" s="29" cm="1">
        <f t="array" ref="T1569">IF(表成绩单[[#This Row],[化学]]="","",SUMPRODUCT((表成绩单[考试日期]=表成绩单[[#This Row],[考试日期]])*(表成绩单[化学]&lt;9E+307)*(表成绩单[化学]&gt;表成绩单[[#This Row],[化学]]))+1)</f>
        <v>635</v>
      </c>
      <c r="U1569" s="29" t="str" cm="1">
        <f t="array" ref="U1569">IF(表成绩单[[#This Row],[政治]]="","",SUMPRODUCT((表成绩单[考试日期]=表成绩单[[#This Row],[考试日期]])*(表成绩单[政治]&lt;9E+307)*(表成绩单[政治]&gt;表成绩单[[#This Row],[政治]]))+1)</f>
        <v/>
      </c>
      <c r="V1569" s="29" cm="1">
        <f t="array" ref="V1569">IF(表成绩单[[#This Row],[历史]]="","",SUMPRODUCT((表成绩单[考试日期]=表成绩单[[#This Row],[考试日期]])*(表成绩单[历史]&lt;9E+307)*(表成绩单[历史]&gt;表成绩单[[#This Row],[历史]]))+1)</f>
        <v>721</v>
      </c>
      <c r="W1569" s="29" cm="1">
        <f t="array" ref="W1569">IF(表成绩单[[#This Row],[总分]]="","",SUMPRODUCT((表成绩单[考试日期]=表成绩单[[#This Row],[考试日期]])*(表成绩单[总分]&lt;9E+307)*(表成绩单[总分]&gt;表成绩单[[#This Row],[总分]]))+1)</f>
        <v>712</v>
      </c>
    </row>
    <row r="1570" ht="28" customHeight="1" spans="4:23">
      <c r="D1570" s="31">
        <v>46003</v>
      </c>
      <c r="E1570" s="29">
        <v>19176003</v>
      </c>
      <c r="F1570" s="29" t="s">
        <v>59</v>
      </c>
      <c r="G1570" s="29" t="s">
        <v>859</v>
      </c>
      <c r="H1570" s="29"/>
      <c r="I1570" s="29">
        <v>15</v>
      </c>
      <c r="J1570" s="29"/>
      <c r="K1570" s="29"/>
      <c r="L1570" s="29"/>
      <c r="M1570" s="29">
        <v>32</v>
      </c>
      <c r="N1570" s="29"/>
      <c r="O1570" s="32">
        <v>47</v>
      </c>
      <c r="P1570" s="29" t="str" cm="1">
        <f t="array" ref="P1570">IF(表成绩单[[#This Row],[语文]]="","",SUMPRODUCT((表成绩单[考试日期]=表成绩单[[#This Row],[考试日期]])*(表成绩单[语文]&lt;9E+307)*(表成绩单[语文]&gt;表成绩单[[#This Row],[语文]]))+1)</f>
        <v/>
      </c>
      <c r="Q1570" s="29" cm="1">
        <f t="array" ref="Q1570">IF(表成绩单[[#This Row],[数学]]="","",SUMPRODUCT((表成绩单[考试日期]=表成绩单[[#This Row],[考试日期]])*(表成绩单[数学]&lt;9E+307)*(表成绩单[数学]&gt;表成绩单[[#This Row],[数学]]))+1)</f>
        <v>719</v>
      </c>
      <c r="R1570" s="29" t="str" cm="1">
        <f t="array" ref="R1570">IF(表成绩单[[#This Row],[英语]]="","",SUMPRODUCT((表成绩单[考试日期]=表成绩单[[#This Row],[考试日期]])*(表成绩单[英语]&lt;9E+307)*(表成绩单[英语]&gt;表成绩单[[#This Row],[英语]]))+1)</f>
        <v/>
      </c>
      <c r="S1570" s="29" t="str" cm="1">
        <f t="array" ref="S1570">IF(表成绩单[[#This Row],[物理]]="","",SUMPRODUCT((表成绩单[考试日期]=表成绩单[[#This Row],[考试日期]])*(表成绩单[物理]&lt;9E+307)*(表成绩单[物理]&gt;表成绩单[[#This Row],[物理]]))+1)</f>
        <v/>
      </c>
      <c r="T1570" s="29" t="str" cm="1">
        <f t="array" ref="T1570">IF(表成绩单[[#This Row],[化学]]="","",SUMPRODUCT((表成绩单[考试日期]=表成绩单[[#This Row],[考试日期]])*(表成绩单[化学]&lt;9E+307)*(表成绩单[化学]&gt;表成绩单[[#This Row],[化学]]))+1)</f>
        <v/>
      </c>
      <c r="U1570" s="29" cm="1">
        <f t="array" ref="U1570">IF(表成绩单[[#This Row],[政治]]="","",SUMPRODUCT((表成绩单[考试日期]=表成绩单[[#This Row],[考试日期]])*(表成绩单[政治]&lt;9E+307)*(表成绩单[政治]&gt;表成绩单[[#This Row],[政治]]))+1)</f>
        <v>717</v>
      </c>
      <c r="V1570" s="29" t="str" cm="1">
        <f t="array" ref="V1570">IF(表成绩单[[#This Row],[历史]]="","",SUMPRODUCT((表成绩单[考试日期]=表成绩单[[#This Row],[考试日期]])*(表成绩单[历史]&lt;9E+307)*(表成绩单[历史]&gt;表成绩单[[#This Row],[历史]]))+1)</f>
        <v/>
      </c>
      <c r="W1570" s="29" cm="1">
        <f t="array" ref="W1570">IF(表成绩单[[#This Row],[总分]]="","",SUMPRODUCT((表成绩单[考试日期]=表成绩单[[#This Row],[考试日期]])*(表成绩单[总分]&lt;9E+307)*(表成绩单[总分]&gt;表成绩单[[#This Row],[总分]]))+1)</f>
        <v>742</v>
      </c>
    </row>
    <row r="1571" ht="28" customHeight="1" spans="4:23">
      <c r="D1571" s="31">
        <v>46003</v>
      </c>
      <c r="E1571" s="29">
        <v>19176009</v>
      </c>
      <c r="F1571" s="29" t="s">
        <v>59</v>
      </c>
      <c r="G1571" s="29" t="s">
        <v>723</v>
      </c>
      <c r="H1571" s="29"/>
      <c r="I1571" s="29"/>
      <c r="J1571" s="29">
        <v>46</v>
      </c>
      <c r="K1571" s="29"/>
      <c r="L1571" s="29"/>
      <c r="M1571" s="29"/>
      <c r="N1571" s="29">
        <v>55</v>
      </c>
      <c r="O1571" s="32">
        <v>101</v>
      </c>
      <c r="P1571" s="29" t="str" cm="1">
        <f t="array" ref="P1571">IF(表成绩单[[#This Row],[语文]]="","",SUMPRODUCT((表成绩单[考试日期]=表成绩单[[#This Row],[考试日期]])*(表成绩单[语文]&lt;9E+307)*(表成绩单[语文]&gt;表成绩单[[#This Row],[语文]]))+1)</f>
        <v/>
      </c>
      <c r="Q1571" s="29" t="str" cm="1">
        <f t="array" ref="Q1571">IF(表成绩单[[#This Row],[数学]]="","",SUMPRODUCT((表成绩单[考试日期]=表成绩单[[#This Row],[考试日期]])*(表成绩单[数学]&lt;9E+307)*(表成绩单[数学]&gt;表成绩单[[#This Row],[数学]]))+1)</f>
        <v/>
      </c>
      <c r="R1571" s="29" cm="1">
        <f t="array" ref="R1571">IF(表成绩单[[#This Row],[英语]]="","",SUMPRODUCT((表成绩单[考试日期]=表成绩单[[#This Row],[考试日期]])*(表成绩单[英语]&lt;9E+307)*(表成绩单[英语]&gt;表成绩单[[#This Row],[英语]]))+1)</f>
        <v>626</v>
      </c>
      <c r="S1571" s="29" t="str" cm="1">
        <f t="array" ref="S1571">IF(表成绩单[[#This Row],[物理]]="","",SUMPRODUCT((表成绩单[考试日期]=表成绩单[[#This Row],[考试日期]])*(表成绩单[物理]&lt;9E+307)*(表成绩单[物理]&gt;表成绩单[[#This Row],[物理]]))+1)</f>
        <v/>
      </c>
      <c r="T1571" s="29" t="str" cm="1">
        <f t="array" ref="T1571">IF(表成绩单[[#This Row],[化学]]="","",SUMPRODUCT((表成绩单[考试日期]=表成绩单[[#This Row],[考试日期]])*(表成绩单[化学]&lt;9E+307)*(表成绩单[化学]&gt;表成绩单[[#This Row],[化学]]))+1)</f>
        <v/>
      </c>
      <c r="U1571" s="29" t="str" cm="1">
        <f t="array" ref="U1571">IF(表成绩单[[#This Row],[政治]]="","",SUMPRODUCT((表成绩单[考试日期]=表成绩单[[#This Row],[考试日期]])*(表成绩单[政治]&lt;9E+307)*(表成绩单[政治]&gt;表成绩单[[#This Row],[政治]]))+1)</f>
        <v/>
      </c>
      <c r="V1571" s="29" cm="1">
        <f t="array" ref="V1571">IF(表成绩单[[#This Row],[历史]]="","",SUMPRODUCT((表成绩单[考试日期]=表成绩单[[#This Row],[考试日期]])*(表成绩单[历史]&lt;9E+307)*(表成绩单[历史]&gt;表成绩单[[#This Row],[历史]]))+1)</f>
        <v>670</v>
      </c>
      <c r="W1571" s="29" cm="1">
        <f t="array" ref="W1571">IF(表成绩单[[#This Row],[总分]]="","",SUMPRODUCT((表成绩单[考试日期]=表成绩单[[#This Row],[考试日期]])*(表成绩单[总分]&lt;9E+307)*(表成绩单[总分]&gt;表成绩单[[#This Row],[总分]]))+1)</f>
        <v>739</v>
      </c>
    </row>
    <row r="1572" ht="28" customHeight="1" spans="4:23">
      <c r="D1572" s="31">
        <v>46003</v>
      </c>
      <c r="E1572" s="29">
        <v>19177595</v>
      </c>
      <c r="F1572" s="29" t="s">
        <v>58</v>
      </c>
      <c r="G1572" s="29" t="s">
        <v>646</v>
      </c>
      <c r="H1572" s="29"/>
      <c r="I1572" s="29">
        <v>56</v>
      </c>
      <c r="J1572" s="29"/>
      <c r="K1572" s="29">
        <v>81</v>
      </c>
      <c r="L1572" s="29">
        <v>57</v>
      </c>
      <c r="M1572" s="29">
        <v>54</v>
      </c>
      <c r="N1572" s="29"/>
      <c r="O1572" s="32">
        <v>248</v>
      </c>
      <c r="P1572" s="29" t="str" cm="1">
        <f t="array" ref="P1572">IF(表成绩单[[#This Row],[语文]]="","",SUMPRODUCT((表成绩单[考试日期]=表成绩单[[#This Row],[考试日期]])*(表成绩单[语文]&lt;9E+307)*(表成绩单[语文]&gt;表成绩单[[#This Row],[语文]]))+1)</f>
        <v/>
      </c>
      <c r="Q1572" s="29" cm="1">
        <f t="array" ref="Q1572">IF(表成绩单[[#This Row],[数学]]="","",SUMPRODUCT((表成绩单[考试日期]=表成绩单[[#This Row],[考试日期]])*(表成绩单[数学]&lt;9E+307)*(表成绩单[数学]&gt;表成绩单[[#This Row],[数学]]))+1)</f>
        <v>544</v>
      </c>
      <c r="R1572" s="29" t="str" cm="1">
        <f t="array" ref="R1572">IF(表成绩单[[#This Row],[英语]]="","",SUMPRODUCT((表成绩单[考试日期]=表成绩单[[#This Row],[考试日期]])*(表成绩单[英语]&lt;9E+307)*(表成绩单[英语]&gt;表成绩单[[#This Row],[英语]]))+1)</f>
        <v/>
      </c>
      <c r="S1572" s="29" cm="1">
        <f t="array" ref="S1572">IF(表成绩单[[#This Row],[物理]]="","",SUMPRODUCT((表成绩单[考试日期]=表成绩单[[#This Row],[考试日期]])*(表成绩单[物理]&lt;9E+307)*(表成绩单[物理]&gt;表成绩单[[#This Row],[物理]]))+1)</f>
        <v>405</v>
      </c>
      <c r="T1572" s="29" cm="1">
        <f t="array" ref="T1572">IF(表成绩单[[#This Row],[化学]]="","",SUMPRODUCT((表成绩单[考试日期]=表成绩单[[#This Row],[考试日期]])*(表成绩单[化学]&lt;9E+307)*(表成绩单[化学]&gt;表成绩单[[#This Row],[化学]]))+1)</f>
        <v>608</v>
      </c>
      <c r="U1572" s="29" cm="1">
        <f t="array" ref="U1572">IF(表成绩单[[#This Row],[政治]]="","",SUMPRODUCT((表成绩单[考试日期]=表成绩单[[#This Row],[考试日期]])*(表成绩单[政治]&lt;9E+307)*(表成绩单[政治]&gt;表成绩单[[#This Row],[政治]]))+1)</f>
        <v>524</v>
      </c>
      <c r="V1572" s="29" t="str" cm="1">
        <f t="array" ref="V1572">IF(表成绩单[[#This Row],[历史]]="","",SUMPRODUCT((表成绩单[考试日期]=表成绩单[[#This Row],[考试日期]])*(表成绩单[历史]&lt;9E+307)*(表成绩单[历史]&gt;表成绩单[[#This Row],[历史]]))+1)</f>
        <v/>
      </c>
      <c r="W1572" s="29" cm="1">
        <f t="array" ref="W1572">IF(表成绩单[[#This Row],[总分]]="","",SUMPRODUCT((表成绩单[考试日期]=表成绩单[[#This Row],[考试日期]])*(表成绩单[总分]&lt;9E+307)*(表成绩单[总分]&gt;表成绩单[[#This Row],[总分]]))+1)</f>
        <v>720</v>
      </c>
    </row>
    <row r="1573" ht="28" customHeight="1" spans="4:23">
      <c r="D1573" s="31">
        <v>46003</v>
      </c>
      <c r="E1573" s="29">
        <v>19177598</v>
      </c>
      <c r="F1573" s="29" t="s">
        <v>58</v>
      </c>
      <c r="G1573" s="29" t="s">
        <v>878</v>
      </c>
      <c r="H1573" s="29"/>
      <c r="I1573" s="29"/>
      <c r="J1573" s="29"/>
      <c r="K1573" s="29"/>
      <c r="L1573" s="29"/>
      <c r="M1573" s="29"/>
      <c r="N1573" s="29"/>
      <c r="O1573" s="32"/>
      <c r="P1573" s="29" t="str" cm="1">
        <f t="array" ref="P1573">IF(表成绩单[[#This Row],[语文]]="","",SUMPRODUCT((表成绩单[考试日期]=表成绩单[[#This Row],[考试日期]])*(表成绩单[语文]&lt;9E+307)*(表成绩单[语文]&gt;表成绩单[[#This Row],[语文]]))+1)</f>
        <v/>
      </c>
      <c r="Q1573" s="29" t="str" cm="1">
        <f t="array" ref="Q1573">IF(表成绩单[[#This Row],[数学]]="","",SUMPRODUCT((表成绩单[考试日期]=表成绩单[[#This Row],[考试日期]])*(表成绩单[数学]&lt;9E+307)*(表成绩单[数学]&gt;表成绩单[[#This Row],[数学]]))+1)</f>
        <v/>
      </c>
      <c r="R1573" s="29" t="str" cm="1">
        <f t="array" ref="R1573">IF(表成绩单[[#This Row],[英语]]="","",SUMPRODUCT((表成绩单[考试日期]=表成绩单[[#This Row],[考试日期]])*(表成绩单[英语]&lt;9E+307)*(表成绩单[英语]&gt;表成绩单[[#This Row],[英语]]))+1)</f>
        <v/>
      </c>
      <c r="S1573" s="29" t="str" cm="1">
        <f t="array" ref="S1573">IF(表成绩单[[#This Row],[物理]]="","",SUMPRODUCT((表成绩单[考试日期]=表成绩单[[#This Row],[考试日期]])*(表成绩单[物理]&lt;9E+307)*(表成绩单[物理]&gt;表成绩单[[#This Row],[物理]]))+1)</f>
        <v/>
      </c>
      <c r="T1573" s="29" t="str" cm="1">
        <f t="array" ref="T1573">IF(表成绩单[[#This Row],[化学]]="","",SUMPRODUCT((表成绩单[考试日期]=表成绩单[[#This Row],[考试日期]])*(表成绩单[化学]&lt;9E+307)*(表成绩单[化学]&gt;表成绩单[[#This Row],[化学]]))+1)</f>
        <v/>
      </c>
      <c r="U1573" s="29" t="str" cm="1">
        <f t="array" ref="U1573">IF(表成绩单[[#This Row],[政治]]="","",SUMPRODUCT((表成绩单[考试日期]=表成绩单[[#This Row],[考试日期]])*(表成绩单[政治]&lt;9E+307)*(表成绩单[政治]&gt;表成绩单[[#This Row],[政治]]))+1)</f>
        <v/>
      </c>
      <c r="V1573" s="29" t="str" cm="1">
        <f t="array" ref="V1573">IF(表成绩单[[#This Row],[历史]]="","",SUMPRODUCT((表成绩单[考试日期]=表成绩单[[#This Row],[考试日期]])*(表成绩单[历史]&lt;9E+307)*(表成绩单[历史]&gt;表成绩单[[#This Row],[历史]]))+1)</f>
        <v/>
      </c>
      <c r="W1573" s="29" t="str" cm="1">
        <f t="array" ref="W1573">IF(表成绩单[[#This Row],[总分]]="","",SUMPRODUCT((表成绩单[考试日期]=表成绩单[[#This Row],[考试日期]])*(表成绩单[总分]&lt;9E+307)*(表成绩单[总分]&gt;表成绩单[[#This Row],[总分]]))+1)</f>
        <v/>
      </c>
    </row>
    <row r="1574" ht="28" customHeight="1" spans="4:23">
      <c r="D1574" s="31">
        <v>46003</v>
      </c>
      <c r="E1574" s="29">
        <v>19177633</v>
      </c>
      <c r="F1574" s="29" t="s">
        <v>63</v>
      </c>
      <c r="G1574" s="29" t="s">
        <v>597</v>
      </c>
      <c r="H1574" s="29"/>
      <c r="I1574" s="29"/>
      <c r="J1574" s="29"/>
      <c r="K1574" s="29"/>
      <c r="L1574" s="29"/>
      <c r="M1574" s="29"/>
      <c r="N1574" s="29"/>
      <c r="O1574" s="32"/>
      <c r="P1574" s="29" t="str" cm="1">
        <f t="array" ref="P1574">IF(表成绩单[[#This Row],[语文]]="","",SUMPRODUCT((表成绩单[考试日期]=表成绩单[[#This Row],[考试日期]])*(表成绩单[语文]&lt;9E+307)*(表成绩单[语文]&gt;表成绩单[[#This Row],[语文]]))+1)</f>
        <v/>
      </c>
      <c r="Q1574" s="29" t="str" cm="1">
        <f t="array" ref="Q1574">IF(表成绩单[[#This Row],[数学]]="","",SUMPRODUCT((表成绩单[考试日期]=表成绩单[[#This Row],[考试日期]])*(表成绩单[数学]&lt;9E+307)*(表成绩单[数学]&gt;表成绩单[[#This Row],[数学]]))+1)</f>
        <v/>
      </c>
      <c r="R1574" s="29" t="str" cm="1">
        <f t="array" ref="R1574">IF(表成绩单[[#This Row],[英语]]="","",SUMPRODUCT((表成绩单[考试日期]=表成绩单[[#This Row],[考试日期]])*(表成绩单[英语]&lt;9E+307)*(表成绩单[英语]&gt;表成绩单[[#This Row],[英语]]))+1)</f>
        <v/>
      </c>
      <c r="S1574" s="29" t="str" cm="1">
        <f t="array" ref="S1574">IF(表成绩单[[#This Row],[物理]]="","",SUMPRODUCT((表成绩单[考试日期]=表成绩单[[#This Row],[考试日期]])*(表成绩单[物理]&lt;9E+307)*(表成绩单[物理]&gt;表成绩单[[#This Row],[物理]]))+1)</f>
        <v/>
      </c>
      <c r="T1574" s="29" t="str" cm="1">
        <f t="array" ref="T1574">IF(表成绩单[[#This Row],[化学]]="","",SUMPRODUCT((表成绩单[考试日期]=表成绩单[[#This Row],[考试日期]])*(表成绩单[化学]&lt;9E+307)*(表成绩单[化学]&gt;表成绩单[[#This Row],[化学]]))+1)</f>
        <v/>
      </c>
      <c r="U1574" s="29" t="str" cm="1">
        <f t="array" ref="U1574">IF(表成绩单[[#This Row],[政治]]="","",SUMPRODUCT((表成绩单[考试日期]=表成绩单[[#This Row],[考试日期]])*(表成绩单[政治]&lt;9E+307)*(表成绩单[政治]&gt;表成绩单[[#This Row],[政治]]))+1)</f>
        <v/>
      </c>
      <c r="V1574" s="29" t="str" cm="1">
        <f t="array" ref="V1574">IF(表成绩单[[#This Row],[历史]]="","",SUMPRODUCT((表成绩单[考试日期]=表成绩单[[#This Row],[考试日期]])*(表成绩单[历史]&lt;9E+307)*(表成绩单[历史]&gt;表成绩单[[#This Row],[历史]]))+1)</f>
        <v/>
      </c>
      <c r="W1574" s="29" t="str" cm="1">
        <f t="array" ref="W1574">IF(表成绩单[[#This Row],[总分]]="","",SUMPRODUCT((表成绩单[考试日期]=表成绩单[[#This Row],[考试日期]])*(表成绩单[总分]&lt;9E+307)*(表成绩单[总分]&gt;表成绩单[[#This Row],[总分]]))+1)</f>
        <v/>
      </c>
    </row>
    <row r="1575" ht="28" customHeight="1" spans="4:23">
      <c r="D1575" s="31">
        <v>46003</v>
      </c>
      <c r="E1575" s="29">
        <v>19177635</v>
      </c>
      <c r="F1575" s="29" t="s">
        <v>63</v>
      </c>
      <c r="G1575" s="29" t="s">
        <v>629</v>
      </c>
      <c r="H1575" s="29"/>
      <c r="I1575" s="29">
        <v>71</v>
      </c>
      <c r="J1575" s="29"/>
      <c r="K1575" s="29">
        <v>60</v>
      </c>
      <c r="L1575" s="29">
        <v>68</v>
      </c>
      <c r="M1575" s="29">
        <v>49</v>
      </c>
      <c r="N1575" s="29"/>
      <c r="O1575" s="32">
        <v>248</v>
      </c>
      <c r="P1575" s="29" t="str" cm="1">
        <f t="array" ref="P1575">IF(表成绩单[[#This Row],[语文]]="","",SUMPRODUCT((表成绩单[考试日期]=表成绩单[[#This Row],[考试日期]])*(表成绩单[语文]&lt;9E+307)*(表成绩单[语文]&gt;表成绩单[[#This Row],[语文]]))+1)</f>
        <v/>
      </c>
      <c r="Q1575" s="29" cm="1">
        <f t="array" ref="Q1575">IF(表成绩单[[#This Row],[数学]]="","",SUMPRODUCT((表成绩单[考试日期]=表成绩单[[#This Row],[考试日期]])*(表成绩单[数学]&lt;9E+307)*(表成绩单[数学]&gt;表成绩单[[#This Row],[数学]]))+1)</f>
        <v>412</v>
      </c>
      <c r="R1575" s="29" t="str" cm="1">
        <f t="array" ref="R1575">IF(表成绩单[[#This Row],[英语]]="","",SUMPRODUCT((表成绩单[考试日期]=表成绩单[[#This Row],[考试日期]])*(表成绩单[英语]&lt;9E+307)*(表成绩单[英语]&gt;表成绩单[[#This Row],[英语]]))+1)</f>
        <v/>
      </c>
      <c r="S1575" s="29" cm="1">
        <f t="array" ref="S1575">IF(表成绩单[[#This Row],[物理]]="","",SUMPRODUCT((表成绩单[考试日期]=表成绩单[[#This Row],[考试日期]])*(表成绩单[物理]&lt;9E+307)*(表成绩单[物理]&gt;表成绩单[[#This Row],[物理]]))+1)</f>
        <v>585</v>
      </c>
      <c r="T1575" s="29" cm="1">
        <f t="array" ref="T1575">IF(表成绩单[[#This Row],[化学]]="","",SUMPRODUCT((表成绩单[考试日期]=表成绩单[[#This Row],[考试日期]])*(表成绩单[化学]&lt;9E+307)*(表成绩单[化学]&gt;表成绩单[[#This Row],[化学]]))+1)</f>
        <v>514</v>
      </c>
      <c r="U1575" s="29" cm="1">
        <f t="array" ref="U1575">IF(表成绩单[[#This Row],[政治]]="","",SUMPRODUCT((表成绩单[考试日期]=表成绩单[[#This Row],[考试日期]])*(表成绩单[政治]&lt;9E+307)*(表成绩单[政治]&gt;表成绩单[[#This Row],[政治]]))+1)</f>
        <v>600</v>
      </c>
      <c r="V1575" s="29" t="str" cm="1">
        <f t="array" ref="V1575">IF(表成绩单[[#This Row],[历史]]="","",SUMPRODUCT((表成绩单[考试日期]=表成绩单[[#This Row],[考试日期]])*(表成绩单[历史]&lt;9E+307)*(表成绩单[历史]&gt;表成绩单[[#This Row],[历史]]))+1)</f>
        <v/>
      </c>
      <c r="W1575" s="29" cm="1">
        <f t="array" ref="W1575">IF(表成绩单[[#This Row],[总分]]="","",SUMPRODUCT((表成绩单[考试日期]=表成绩单[[#This Row],[考试日期]])*(表成绩单[总分]&lt;9E+307)*(表成绩单[总分]&gt;表成绩单[[#This Row],[总分]]))+1)</f>
        <v>720</v>
      </c>
    </row>
    <row r="1576" ht="28" customHeight="1" spans="4:23">
      <c r="D1576" s="31">
        <v>46003</v>
      </c>
      <c r="E1576" s="29">
        <v>19177639</v>
      </c>
      <c r="F1576" s="29" t="s">
        <v>63</v>
      </c>
      <c r="G1576" s="29" t="s">
        <v>499</v>
      </c>
      <c r="H1576" s="29"/>
      <c r="I1576" s="29"/>
      <c r="J1576" s="29"/>
      <c r="K1576" s="29"/>
      <c r="L1576" s="29"/>
      <c r="M1576" s="29"/>
      <c r="N1576" s="29"/>
      <c r="O1576" s="32"/>
      <c r="P1576" s="29" t="str" cm="1">
        <f t="array" ref="P1576">IF(表成绩单[[#This Row],[语文]]="","",SUMPRODUCT((表成绩单[考试日期]=表成绩单[[#This Row],[考试日期]])*(表成绩单[语文]&lt;9E+307)*(表成绩单[语文]&gt;表成绩单[[#This Row],[语文]]))+1)</f>
        <v/>
      </c>
      <c r="Q1576" s="29" t="str" cm="1">
        <f t="array" ref="Q1576">IF(表成绩单[[#This Row],[数学]]="","",SUMPRODUCT((表成绩单[考试日期]=表成绩单[[#This Row],[考试日期]])*(表成绩单[数学]&lt;9E+307)*(表成绩单[数学]&gt;表成绩单[[#This Row],[数学]]))+1)</f>
        <v/>
      </c>
      <c r="R1576" s="29" t="str" cm="1">
        <f t="array" ref="R1576">IF(表成绩单[[#This Row],[英语]]="","",SUMPRODUCT((表成绩单[考试日期]=表成绩单[[#This Row],[考试日期]])*(表成绩单[英语]&lt;9E+307)*(表成绩单[英语]&gt;表成绩单[[#This Row],[英语]]))+1)</f>
        <v/>
      </c>
      <c r="S1576" s="29" t="str" cm="1">
        <f t="array" ref="S1576">IF(表成绩单[[#This Row],[物理]]="","",SUMPRODUCT((表成绩单[考试日期]=表成绩单[[#This Row],[考试日期]])*(表成绩单[物理]&lt;9E+307)*(表成绩单[物理]&gt;表成绩单[[#This Row],[物理]]))+1)</f>
        <v/>
      </c>
      <c r="T1576" s="29" t="str" cm="1">
        <f t="array" ref="T1576">IF(表成绩单[[#This Row],[化学]]="","",SUMPRODUCT((表成绩单[考试日期]=表成绩单[[#This Row],[考试日期]])*(表成绩单[化学]&lt;9E+307)*(表成绩单[化学]&gt;表成绩单[[#This Row],[化学]]))+1)</f>
        <v/>
      </c>
      <c r="U1576" s="29" t="str" cm="1">
        <f t="array" ref="U1576">IF(表成绩单[[#This Row],[政治]]="","",SUMPRODUCT((表成绩单[考试日期]=表成绩单[[#This Row],[考试日期]])*(表成绩单[政治]&lt;9E+307)*(表成绩单[政治]&gt;表成绩单[[#This Row],[政治]]))+1)</f>
        <v/>
      </c>
      <c r="V1576" s="29" t="str" cm="1">
        <f t="array" ref="V1576">IF(表成绩单[[#This Row],[历史]]="","",SUMPRODUCT((表成绩单[考试日期]=表成绩单[[#This Row],[考试日期]])*(表成绩单[历史]&lt;9E+307)*(表成绩单[历史]&gt;表成绩单[[#This Row],[历史]]))+1)</f>
        <v/>
      </c>
      <c r="W1576" s="29" t="str" cm="1">
        <f t="array" ref="W1576">IF(表成绩单[[#This Row],[总分]]="","",SUMPRODUCT((表成绩单[考试日期]=表成绩单[[#This Row],[考试日期]])*(表成绩单[总分]&lt;9E+307)*(表成绩单[总分]&gt;表成绩单[[#This Row],[总分]]))+1)</f>
        <v/>
      </c>
    </row>
    <row r="1577" ht="28" customHeight="1" spans="4:23">
      <c r="D1577" s="31">
        <v>46003</v>
      </c>
      <c r="E1577" s="29">
        <v>19177642</v>
      </c>
      <c r="F1577" s="29" t="s">
        <v>63</v>
      </c>
      <c r="G1577" s="29" t="s">
        <v>232</v>
      </c>
      <c r="H1577" s="29"/>
      <c r="I1577" s="29"/>
      <c r="J1577" s="29"/>
      <c r="K1577" s="29"/>
      <c r="L1577" s="29"/>
      <c r="M1577" s="29"/>
      <c r="N1577" s="29"/>
      <c r="O1577" s="32"/>
      <c r="P1577" s="29" t="str" cm="1">
        <f t="array" ref="P1577">IF(表成绩单[[#This Row],[语文]]="","",SUMPRODUCT((表成绩单[考试日期]=表成绩单[[#This Row],[考试日期]])*(表成绩单[语文]&lt;9E+307)*(表成绩单[语文]&gt;表成绩单[[#This Row],[语文]]))+1)</f>
        <v/>
      </c>
      <c r="Q1577" s="29" t="str" cm="1">
        <f t="array" ref="Q1577">IF(表成绩单[[#This Row],[数学]]="","",SUMPRODUCT((表成绩单[考试日期]=表成绩单[[#This Row],[考试日期]])*(表成绩单[数学]&lt;9E+307)*(表成绩单[数学]&gt;表成绩单[[#This Row],[数学]]))+1)</f>
        <v/>
      </c>
      <c r="R1577" s="29" t="str" cm="1">
        <f t="array" ref="R1577">IF(表成绩单[[#This Row],[英语]]="","",SUMPRODUCT((表成绩单[考试日期]=表成绩单[[#This Row],[考试日期]])*(表成绩单[英语]&lt;9E+307)*(表成绩单[英语]&gt;表成绩单[[#This Row],[英语]]))+1)</f>
        <v/>
      </c>
      <c r="S1577" s="29" t="str" cm="1">
        <f t="array" ref="S1577">IF(表成绩单[[#This Row],[物理]]="","",SUMPRODUCT((表成绩单[考试日期]=表成绩单[[#This Row],[考试日期]])*(表成绩单[物理]&lt;9E+307)*(表成绩单[物理]&gt;表成绩单[[#This Row],[物理]]))+1)</f>
        <v/>
      </c>
      <c r="T1577" s="29" t="str" cm="1">
        <f t="array" ref="T1577">IF(表成绩单[[#This Row],[化学]]="","",SUMPRODUCT((表成绩单[考试日期]=表成绩单[[#This Row],[考试日期]])*(表成绩单[化学]&lt;9E+307)*(表成绩单[化学]&gt;表成绩单[[#This Row],[化学]]))+1)</f>
        <v/>
      </c>
      <c r="U1577" s="29" t="str" cm="1">
        <f t="array" ref="U1577">IF(表成绩单[[#This Row],[政治]]="","",SUMPRODUCT((表成绩单[考试日期]=表成绩单[[#This Row],[考试日期]])*(表成绩单[政治]&lt;9E+307)*(表成绩单[政治]&gt;表成绩单[[#This Row],[政治]]))+1)</f>
        <v/>
      </c>
      <c r="V1577" s="29" t="str" cm="1">
        <f t="array" ref="V1577">IF(表成绩单[[#This Row],[历史]]="","",SUMPRODUCT((表成绩单[考试日期]=表成绩单[[#This Row],[考试日期]])*(表成绩单[历史]&lt;9E+307)*(表成绩单[历史]&gt;表成绩单[[#This Row],[历史]]))+1)</f>
        <v/>
      </c>
      <c r="W1577" s="29" t="str" cm="1">
        <f t="array" ref="W1577">IF(表成绩单[[#This Row],[总分]]="","",SUMPRODUCT((表成绩单[考试日期]=表成绩单[[#This Row],[考试日期]])*(表成绩单[总分]&lt;9E+307)*(表成绩单[总分]&gt;表成绩单[[#This Row],[总分]]))+1)</f>
        <v/>
      </c>
    </row>
    <row r="1578" ht="28" customHeight="1" spans="4:23">
      <c r="D1578" s="31">
        <v>46003</v>
      </c>
      <c r="E1578" s="29">
        <v>19177644</v>
      </c>
      <c r="F1578" s="29" t="s">
        <v>63</v>
      </c>
      <c r="G1578" s="29" t="s">
        <v>598</v>
      </c>
      <c r="H1578" s="29"/>
      <c r="I1578" s="29"/>
      <c r="J1578" s="29"/>
      <c r="K1578" s="29"/>
      <c r="L1578" s="29"/>
      <c r="M1578" s="29"/>
      <c r="N1578" s="29"/>
      <c r="O1578" s="32"/>
      <c r="P1578" s="29" t="str" cm="1">
        <f t="array" ref="P1578">IF(表成绩单[[#This Row],[语文]]="","",SUMPRODUCT((表成绩单[考试日期]=表成绩单[[#This Row],[考试日期]])*(表成绩单[语文]&lt;9E+307)*(表成绩单[语文]&gt;表成绩单[[#This Row],[语文]]))+1)</f>
        <v/>
      </c>
      <c r="Q1578" s="29" t="str" cm="1">
        <f t="array" ref="Q1578">IF(表成绩单[[#This Row],[数学]]="","",SUMPRODUCT((表成绩单[考试日期]=表成绩单[[#This Row],[考试日期]])*(表成绩单[数学]&lt;9E+307)*(表成绩单[数学]&gt;表成绩单[[#This Row],[数学]]))+1)</f>
        <v/>
      </c>
      <c r="R1578" s="29" t="str" cm="1">
        <f t="array" ref="R1578">IF(表成绩单[[#This Row],[英语]]="","",SUMPRODUCT((表成绩单[考试日期]=表成绩单[[#This Row],[考试日期]])*(表成绩单[英语]&lt;9E+307)*(表成绩单[英语]&gt;表成绩单[[#This Row],[英语]]))+1)</f>
        <v/>
      </c>
      <c r="S1578" s="29" t="str" cm="1">
        <f t="array" ref="S1578">IF(表成绩单[[#This Row],[物理]]="","",SUMPRODUCT((表成绩单[考试日期]=表成绩单[[#This Row],[考试日期]])*(表成绩单[物理]&lt;9E+307)*(表成绩单[物理]&gt;表成绩单[[#This Row],[物理]]))+1)</f>
        <v/>
      </c>
      <c r="T1578" s="29" t="str" cm="1">
        <f t="array" ref="T1578">IF(表成绩单[[#This Row],[化学]]="","",SUMPRODUCT((表成绩单[考试日期]=表成绩单[[#This Row],[考试日期]])*(表成绩单[化学]&lt;9E+307)*(表成绩单[化学]&gt;表成绩单[[#This Row],[化学]]))+1)</f>
        <v/>
      </c>
      <c r="U1578" s="29" t="str" cm="1">
        <f t="array" ref="U1578">IF(表成绩单[[#This Row],[政治]]="","",SUMPRODUCT((表成绩单[考试日期]=表成绩单[[#This Row],[考试日期]])*(表成绩单[政治]&lt;9E+307)*(表成绩单[政治]&gt;表成绩单[[#This Row],[政治]]))+1)</f>
        <v/>
      </c>
      <c r="V1578" s="29" t="str" cm="1">
        <f t="array" ref="V1578">IF(表成绩单[[#This Row],[历史]]="","",SUMPRODUCT((表成绩单[考试日期]=表成绩单[[#This Row],[考试日期]])*(表成绩单[历史]&lt;9E+307)*(表成绩单[历史]&gt;表成绩单[[#This Row],[历史]]))+1)</f>
        <v/>
      </c>
      <c r="W1578" s="29" t="str" cm="1">
        <f t="array" ref="W1578">IF(表成绩单[[#This Row],[总分]]="","",SUMPRODUCT((表成绩单[考试日期]=表成绩单[[#This Row],[考试日期]])*(表成绩单[总分]&lt;9E+307)*(表成绩单[总分]&gt;表成绩单[[#This Row],[总分]]))+1)</f>
        <v/>
      </c>
    </row>
    <row r="1579" ht="28" customHeight="1" spans="4:23">
      <c r="D1579" s="31">
        <v>46003</v>
      </c>
      <c r="E1579" s="29">
        <v>19177647</v>
      </c>
      <c r="F1579" s="29" t="s">
        <v>63</v>
      </c>
      <c r="G1579" s="29" t="s">
        <v>443</v>
      </c>
      <c r="H1579" s="29"/>
      <c r="I1579" s="29"/>
      <c r="J1579" s="29"/>
      <c r="K1579" s="29"/>
      <c r="L1579" s="29"/>
      <c r="M1579" s="29"/>
      <c r="N1579" s="29"/>
      <c r="O1579" s="32"/>
      <c r="P1579" s="29" t="str" cm="1">
        <f t="array" ref="P1579">IF(表成绩单[[#This Row],[语文]]="","",SUMPRODUCT((表成绩单[考试日期]=表成绩单[[#This Row],[考试日期]])*(表成绩单[语文]&lt;9E+307)*(表成绩单[语文]&gt;表成绩单[[#This Row],[语文]]))+1)</f>
        <v/>
      </c>
      <c r="Q1579" s="29" t="str" cm="1">
        <f t="array" ref="Q1579">IF(表成绩单[[#This Row],[数学]]="","",SUMPRODUCT((表成绩单[考试日期]=表成绩单[[#This Row],[考试日期]])*(表成绩单[数学]&lt;9E+307)*(表成绩单[数学]&gt;表成绩单[[#This Row],[数学]]))+1)</f>
        <v/>
      </c>
      <c r="R1579" s="29" t="str" cm="1">
        <f t="array" ref="R1579">IF(表成绩单[[#This Row],[英语]]="","",SUMPRODUCT((表成绩单[考试日期]=表成绩单[[#This Row],[考试日期]])*(表成绩单[英语]&lt;9E+307)*(表成绩单[英语]&gt;表成绩单[[#This Row],[英语]]))+1)</f>
        <v/>
      </c>
      <c r="S1579" s="29" t="str" cm="1">
        <f t="array" ref="S1579">IF(表成绩单[[#This Row],[物理]]="","",SUMPRODUCT((表成绩单[考试日期]=表成绩单[[#This Row],[考试日期]])*(表成绩单[物理]&lt;9E+307)*(表成绩单[物理]&gt;表成绩单[[#This Row],[物理]]))+1)</f>
        <v/>
      </c>
      <c r="T1579" s="29" t="str" cm="1">
        <f t="array" ref="T1579">IF(表成绩单[[#This Row],[化学]]="","",SUMPRODUCT((表成绩单[考试日期]=表成绩单[[#This Row],[考试日期]])*(表成绩单[化学]&lt;9E+307)*(表成绩单[化学]&gt;表成绩单[[#This Row],[化学]]))+1)</f>
        <v/>
      </c>
      <c r="U1579" s="29" t="str" cm="1">
        <f t="array" ref="U1579">IF(表成绩单[[#This Row],[政治]]="","",SUMPRODUCT((表成绩单[考试日期]=表成绩单[[#This Row],[考试日期]])*(表成绩单[政治]&lt;9E+307)*(表成绩单[政治]&gt;表成绩单[[#This Row],[政治]]))+1)</f>
        <v/>
      </c>
      <c r="V1579" s="29" t="str" cm="1">
        <f t="array" ref="V1579">IF(表成绩单[[#This Row],[历史]]="","",SUMPRODUCT((表成绩单[考试日期]=表成绩单[[#This Row],[考试日期]])*(表成绩单[历史]&lt;9E+307)*(表成绩单[历史]&gt;表成绩单[[#This Row],[历史]]))+1)</f>
        <v/>
      </c>
      <c r="W1579" s="29" t="str" cm="1">
        <f t="array" ref="W1579">IF(表成绩单[[#This Row],[总分]]="","",SUMPRODUCT((表成绩单[考试日期]=表成绩单[[#This Row],[考试日期]])*(表成绩单[总分]&lt;9E+307)*(表成绩单[总分]&gt;表成绩单[[#This Row],[总分]]))+1)</f>
        <v/>
      </c>
    </row>
    <row r="1580" ht="28" customHeight="1" spans="4:23">
      <c r="D1580" s="31">
        <v>46003</v>
      </c>
      <c r="E1580" s="29">
        <v>19177651</v>
      </c>
      <c r="F1580" s="29" t="s">
        <v>63</v>
      </c>
      <c r="G1580" s="29" t="s">
        <v>678</v>
      </c>
      <c r="H1580" s="29"/>
      <c r="I1580" s="29"/>
      <c r="J1580" s="29"/>
      <c r="K1580" s="29"/>
      <c r="L1580" s="29"/>
      <c r="M1580" s="29"/>
      <c r="N1580" s="29"/>
      <c r="O1580" s="32"/>
      <c r="P1580" s="29" t="str" cm="1">
        <f t="array" ref="P1580">IF(表成绩单[[#This Row],[语文]]="","",SUMPRODUCT((表成绩单[考试日期]=表成绩单[[#This Row],[考试日期]])*(表成绩单[语文]&lt;9E+307)*(表成绩单[语文]&gt;表成绩单[[#This Row],[语文]]))+1)</f>
        <v/>
      </c>
      <c r="Q1580" s="29" t="str" cm="1">
        <f t="array" ref="Q1580">IF(表成绩单[[#This Row],[数学]]="","",SUMPRODUCT((表成绩单[考试日期]=表成绩单[[#This Row],[考试日期]])*(表成绩单[数学]&lt;9E+307)*(表成绩单[数学]&gt;表成绩单[[#This Row],[数学]]))+1)</f>
        <v/>
      </c>
      <c r="R1580" s="29" t="str" cm="1">
        <f t="array" ref="R1580">IF(表成绩单[[#This Row],[英语]]="","",SUMPRODUCT((表成绩单[考试日期]=表成绩单[[#This Row],[考试日期]])*(表成绩单[英语]&lt;9E+307)*(表成绩单[英语]&gt;表成绩单[[#This Row],[英语]]))+1)</f>
        <v/>
      </c>
      <c r="S1580" s="29" t="str" cm="1">
        <f t="array" ref="S1580">IF(表成绩单[[#This Row],[物理]]="","",SUMPRODUCT((表成绩单[考试日期]=表成绩单[[#This Row],[考试日期]])*(表成绩单[物理]&lt;9E+307)*(表成绩单[物理]&gt;表成绩单[[#This Row],[物理]]))+1)</f>
        <v/>
      </c>
      <c r="T1580" s="29" t="str" cm="1">
        <f t="array" ref="T1580">IF(表成绩单[[#This Row],[化学]]="","",SUMPRODUCT((表成绩单[考试日期]=表成绩单[[#This Row],[考试日期]])*(表成绩单[化学]&lt;9E+307)*(表成绩单[化学]&gt;表成绩单[[#This Row],[化学]]))+1)</f>
        <v/>
      </c>
      <c r="U1580" s="29" t="str" cm="1">
        <f t="array" ref="U1580">IF(表成绩单[[#This Row],[政治]]="","",SUMPRODUCT((表成绩单[考试日期]=表成绩单[[#This Row],[考试日期]])*(表成绩单[政治]&lt;9E+307)*(表成绩单[政治]&gt;表成绩单[[#This Row],[政治]]))+1)</f>
        <v/>
      </c>
      <c r="V1580" s="29" t="str" cm="1">
        <f t="array" ref="V1580">IF(表成绩单[[#This Row],[历史]]="","",SUMPRODUCT((表成绩单[考试日期]=表成绩单[[#This Row],[考试日期]])*(表成绩单[历史]&lt;9E+307)*(表成绩单[历史]&gt;表成绩单[[#This Row],[历史]]))+1)</f>
        <v/>
      </c>
      <c r="W1580" s="29" t="str" cm="1">
        <f t="array" ref="W1580">IF(表成绩单[[#This Row],[总分]]="","",SUMPRODUCT((表成绩单[考试日期]=表成绩单[[#This Row],[考试日期]])*(表成绩单[总分]&lt;9E+307)*(表成绩单[总分]&gt;表成绩单[[#This Row],[总分]]))+1)</f>
        <v/>
      </c>
    </row>
    <row r="1581" ht="28" customHeight="1" spans="4:23">
      <c r="D1581" s="31">
        <v>46003</v>
      </c>
      <c r="E1581" s="29">
        <v>19177655</v>
      </c>
      <c r="F1581" s="29" t="s">
        <v>63</v>
      </c>
      <c r="G1581" s="29" t="s">
        <v>675</v>
      </c>
      <c r="H1581" s="29"/>
      <c r="I1581" s="29"/>
      <c r="J1581" s="29"/>
      <c r="K1581" s="29"/>
      <c r="L1581" s="29"/>
      <c r="M1581" s="29"/>
      <c r="N1581" s="29"/>
      <c r="O1581" s="32"/>
      <c r="P1581" s="29" t="str" cm="1">
        <f t="array" ref="P1581">IF(表成绩单[[#This Row],[语文]]="","",SUMPRODUCT((表成绩单[考试日期]=表成绩单[[#This Row],[考试日期]])*(表成绩单[语文]&lt;9E+307)*(表成绩单[语文]&gt;表成绩单[[#This Row],[语文]]))+1)</f>
        <v/>
      </c>
      <c r="Q1581" s="29" t="str" cm="1">
        <f t="array" ref="Q1581">IF(表成绩单[[#This Row],[数学]]="","",SUMPRODUCT((表成绩单[考试日期]=表成绩单[[#This Row],[考试日期]])*(表成绩单[数学]&lt;9E+307)*(表成绩单[数学]&gt;表成绩单[[#This Row],[数学]]))+1)</f>
        <v/>
      </c>
      <c r="R1581" s="29" t="str" cm="1">
        <f t="array" ref="R1581">IF(表成绩单[[#This Row],[英语]]="","",SUMPRODUCT((表成绩单[考试日期]=表成绩单[[#This Row],[考试日期]])*(表成绩单[英语]&lt;9E+307)*(表成绩单[英语]&gt;表成绩单[[#This Row],[英语]]))+1)</f>
        <v/>
      </c>
      <c r="S1581" s="29" t="str" cm="1">
        <f t="array" ref="S1581">IF(表成绩单[[#This Row],[物理]]="","",SUMPRODUCT((表成绩单[考试日期]=表成绩单[[#This Row],[考试日期]])*(表成绩单[物理]&lt;9E+307)*(表成绩单[物理]&gt;表成绩单[[#This Row],[物理]]))+1)</f>
        <v/>
      </c>
      <c r="T1581" s="29" t="str" cm="1">
        <f t="array" ref="T1581">IF(表成绩单[[#This Row],[化学]]="","",SUMPRODUCT((表成绩单[考试日期]=表成绩单[[#This Row],[考试日期]])*(表成绩单[化学]&lt;9E+307)*(表成绩单[化学]&gt;表成绩单[[#This Row],[化学]]))+1)</f>
        <v/>
      </c>
      <c r="U1581" s="29" t="str" cm="1">
        <f t="array" ref="U1581">IF(表成绩单[[#This Row],[政治]]="","",SUMPRODUCT((表成绩单[考试日期]=表成绩单[[#This Row],[考试日期]])*(表成绩单[政治]&lt;9E+307)*(表成绩单[政治]&gt;表成绩单[[#This Row],[政治]]))+1)</f>
        <v/>
      </c>
      <c r="V1581" s="29" t="str" cm="1">
        <f t="array" ref="V1581">IF(表成绩单[[#This Row],[历史]]="","",SUMPRODUCT((表成绩单[考试日期]=表成绩单[[#This Row],[考试日期]])*(表成绩单[历史]&lt;9E+307)*(表成绩单[历史]&gt;表成绩单[[#This Row],[历史]]))+1)</f>
        <v/>
      </c>
      <c r="W1581" s="29" t="str" cm="1">
        <f t="array" ref="W1581">IF(表成绩单[[#This Row],[总分]]="","",SUMPRODUCT((表成绩单[考试日期]=表成绩单[[#This Row],[考试日期]])*(表成绩单[总分]&lt;9E+307)*(表成绩单[总分]&gt;表成绩单[[#This Row],[总分]]))+1)</f>
        <v/>
      </c>
    </row>
    <row r="1582" ht="28" customHeight="1" spans="4:23">
      <c r="D1582" s="31">
        <v>46003</v>
      </c>
      <c r="E1582" s="29">
        <v>19177656</v>
      </c>
      <c r="F1582" s="29" t="s">
        <v>63</v>
      </c>
      <c r="G1582" s="29" t="s">
        <v>537</v>
      </c>
      <c r="H1582" s="29"/>
      <c r="I1582" s="29"/>
      <c r="J1582" s="29"/>
      <c r="K1582" s="29"/>
      <c r="L1582" s="29"/>
      <c r="M1582" s="29"/>
      <c r="N1582" s="29"/>
      <c r="O1582" s="32"/>
      <c r="P1582" s="29" t="str" cm="1">
        <f t="array" ref="P1582">IF(表成绩单[[#This Row],[语文]]="","",SUMPRODUCT((表成绩单[考试日期]=表成绩单[[#This Row],[考试日期]])*(表成绩单[语文]&lt;9E+307)*(表成绩单[语文]&gt;表成绩单[[#This Row],[语文]]))+1)</f>
        <v/>
      </c>
      <c r="Q1582" s="29" t="str" cm="1">
        <f t="array" ref="Q1582">IF(表成绩单[[#This Row],[数学]]="","",SUMPRODUCT((表成绩单[考试日期]=表成绩单[[#This Row],[考试日期]])*(表成绩单[数学]&lt;9E+307)*(表成绩单[数学]&gt;表成绩单[[#This Row],[数学]]))+1)</f>
        <v/>
      </c>
      <c r="R1582" s="29" t="str" cm="1">
        <f t="array" ref="R1582">IF(表成绩单[[#This Row],[英语]]="","",SUMPRODUCT((表成绩单[考试日期]=表成绩单[[#This Row],[考试日期]])*(表成绩单[英语]&lt;9E+307)*(表成绩单[英语]&gt;表成绩单[[#This Row],[英语]]))+1)</f>
        <v/>
      </c>
      <c r="S1582" s="29" t="str" cm="1">
        <f t="array" ref="S1582">IF(表成绩单[[#This Row],[物理]]="","",SUMPRODUCT((表成绩单[考试日期]=表成绩单[[#This Row],[考试日期]])*(表成绩单[物理]&lt;9E+307)*(表成绩单[物理]&gt;表成绩单[[#This Row],[物理]]))+1)</f>
        <v/>
      </c>
      <c r="T1582" s="29" t="str" cm="1">
        <f t="array" ref="T1582">IF(表成绩单[[#This Row],[化学]]="","",SUMPRODUCT((表成绩单[考试日期]=表成绩单[[#This Row],[考试日期]])*(表成绩单[化学]&lt;9E+307)*(表成绩单[化学]&gt;表成绩单[[#This Row],[化学]]))+1)</f>
        <v/>
      </c>
      <c r="U1582" s="29" t="str" cm="1">
        <f t="array" ref="U1582">IF(表成绩单[[#This Row],[政治]]="","",SUMPRODUCT((表成绩单[考试日期]=表成绩单[[#This Row],[考试日期]])*(表成绩单[政治]&lt;9E+307)*(表成绩单[政治]&gt;表成绩单[[#This Row],[政治]]))+1)</f>
        <v/>
      </c>
      <c r="V1582" s="29" t="str" cm="1">
        <f t="array" ref="V1582">IF(表成绩单[[#This Row],[历史]]="","",SUMPRODUCT((表成绩单[考试日期]=表成绩单[[#This Row],[考试日期]])*(表成绩单[历史]&lt;9E+307)*(表成绩单[历史]&gt;表成绩单[[#This Row],[历史]]))+1)</f>
        <v/>
      </c>
      <c r="W1582" s="29" t="str" cm="1">
        <f t="array" ref="W1582">IF(表成绩单[[#This Row],[总分]]="","",SUMPRODUCT((表成绩单[考试日期]=表成绩单[[#This Row],[考试日期]])*(表成绩单[总分]&lt;9E+307)*(表成绩单[总分]&gt;表成绩单[[#This Row],[总分]]))+1)</f>
        <v/>
      </c>
    </row>
    <row r="1583" ht="28" customHeight="1" spans="4:23">
      <c r="D1583" s="31">
        <v>46003</v>
      </c>
      <c r="E1583" s="29">
        <v>19177657</v>
      </c>
      <c r="F1583" s="29" t="s">
        <v>63</v>
      </c>
      <c r="G1583" s="29" t="s">
        <v>604</v>
      </c>
      <c r="H1583" s="29"/>
      <c r="I1583" s="29"/>
      <c r="J1583" s="29"/>
      <c r="K1583" s="29"/>
      <c r="L1583" s="29"/>
      <c r="M1583" s="29"/>
      <c r="N1583" s="29"/>
      <c r="O1583" s="32"/>
      <c r="P1583" s="29" t="str" cm="1">
        <f t="array" ref="P1583">IF(表成绩单[[#This Row],[语文]]="","",SUMPRODUCT((表成绩单[考试日期]=表成绩单[[#This Row],[考试日期]])*(表成绩单[语文]&lt;9E+307)*(表成绩单[语文]&gt;表成绩单[[#This Row],[语文]]))+1)</f>
        <v/>
      </c>
      <c r="Q1583" s="29" t="str" cm="1">
        <f t="array" ref="Q1583">IF(表成绩单[[#This Row],[数学]]="","",SUMPRODUCT((表成绩单[考试日期]=表成绩单[[#This Row],[考试日期]])*(表成绩单[数学]&lt;9E+307)*(表成绩单[数学]&gt;表成绩单[[#This Row],[数学]]))+1)</f>
        <v/>
      </c>
      <c r="R1583" s="29" t="str" cm="1">
        <f t="array" ref="R1583">IF(表成绩单[[#This Row],[英语]]="","",SUMPRODUCT((表成绩单[考试日期]=表成绩单[[#This Row],[考试日期]])*(表成绩单[英语]&lt;9E+307)*(表成绩单[英语]&gt;表成绩单[[#This Row],[英语]]))+1)</f>
        <v/>
      </c>
      <c r="S1583" s="29" t="str" cm="1">
        <f t="array" ref="S1583">IF(表成绩单[[#This Row],[物理]]="","",SUMPRODUCT((表成绩单[考试日期]=表成绩单[[#This Row],[考试日期]])*(表成绩单[物理]&lt;9E+307)*(表成绩单[物理]&gt;表成绩单[[#This Row],[物理]]))+1)</f>
        <v/>
      </c>
      <c r="T1583" s="29" t="str" cm="1">
        <f t="array" ref="T1583">IF(表成绩单[[#This Row],[化学]]="","",SUMPRODUCT((表成绩单[考试日期]=表成绩单[[#This Row],[考试日期]])*(表成绩单[化学]&lt;9E+307)*(表成绩单[化学]&gt;表成绩单[[#This Row],[化学]]))+1)</f>
        <v/>
      </c>
      <c r="U1583" s="29" t="str" cm="1">
        <f t="array" ref="U1583">IF(表成绩单[[#This Row],[政治]]="","",SUMPRODUCT((表成绩单[考试日期]=表成绩单[[#This Row],[考试日期]])*(表成绩单[政治]&lt;9E+307)*(表成绩单[政治]&gt;表成绩单[[#This Row],[政治]]))+1)</f>
        <v/>
      </c>
      <c r="V1583" s="29" t="str" cm="1">
        <f t="array" ref="V1583">IF(表成绩单[[#This Row],[历史]]="","",SUMPRODUCT((表成绩单[考试日期]=表成绩单[[#This Row],[考试日期]])*(表成绩单[历史]&lt;9E+307)*(表成绩单[历史]&gt;表成绩单[[#This Row],[历史]]))+1)</f>
        <v/>
      </c>
      <c r="W1583" s="29" t="str" cm="1">
        <f t="array" ref="W1583">IF(表成绩单[[#This Row],[总分]]="","",SUMPRODUCT((表成绩单[考试日期]=表成绩单[[#This Row],[考试日期]])*(表成绩单[总分]&lt;9E+307)*(表成绩单[总分]&gt;表成绩单[[#This Row],[总分]]))+1)</f>
        <v/>
      </c>
    </row>
    <row r="1584" ht="28" customHeight="1" spans="4:23">
      <c r="D1584" s="31">
        <v>46003</v>
      </c>
      <c r="E1584" s="29">
        <v>19177658</v>
      </c>
      <c r="F1584" s="29" t="s">
        <v>63</v>
      </c>
      <c r="G1584" s="29" t="s">
        <v>569</v>
      </c>
      <c r="H1584" s="29"/>
      <c r="I1584" s="29"/>
      <c r="J1584" s="29"/>
      <c r="K1584" s="29"/>
      <c r="L1584" s="29"/>
      <c r="M1584" s="29"/>
      <c r="N1584" s="29"/>
      <c r="O1584" s="32"/>
      <c r="P1584" s="29" t="str" cm="1">
        <f t="array" ref="P1584">IF(表成绩单[[#This Row],[语文]]="","",SUMPRODUCT((表成绩单[考试日期]=表成绩单[[#This Row],[考试日期]])*(表成绩单[语文]&lt;9E+307)*(表成绩单[语文]&gt;表成绩单[[#This Row],[语文]]))+1)</f>
        <v/>
      </c>
      <c r="Q1584" s="29" t="str" cm="1">
        <f t="array" ref="Q1584">IF(表成绩单[[#This Row],[数学]]="","",SUMPRODUCT((表成绩单[考试日期]=表成绩单[[#This Row],[考试日期]])*(表成绩单[数学]&lt;9E+307)*(表成绩单[数学]&gt;表成绩单[[#This Row],[数学]]))+1)</f>
        <v/>
      </c>
      <c r="R1584" s="29" t="str" cm="1">
        <f t="array" ref="R1584">IF(表成绩单[[#This Row],[英语]]="","",SUMPRODUCT((表成绩单[考试日期]=表成绩单[[#This Row],[考试日期]])*(表成绩单[英语]&lt;9E+307)*(表成绩单[英语]&gt;表成绩单[[#This Row],[英语]]))+1)</f>
        <v/>
      </c>
      <c r="S1584" s="29" t="str" cm="1">
        <f t="array" ref="S1584">IF(表成绩单[[#This Row],[物理]]="","",SUMPRODUCT((表成绩单[考试日期]=表成绩单[[#This Row],[考试日期]])*(表成绩单[物理]&lt;9E+307)*(表成绩单[物理]&gt;表成绩单[[#This Row],[物理]]))+1)</f>
        <v/>
      </c>
      <c r="T1584" s="29" t="str" cm="1">
        <f t="array" ref="T1584">IF(表成绩单[[#This Row],[化学]]="","",SUMPRODUCT((表成绩单[考试日期]=表成绩单[[#This Row],[考试日期]])*(表成绩单[化学]&lt;9E+307)*(表成绩单[化学]&gt;表成绩单[[#This Row],[化学]]))+1)</f>
        <v/>
      </c>
      <c r="U1584" s="29" t="str" cm="1">
        <f t="array" ref="U1584">IF(表成绩单[[#This Row],[政治]]="","",SUMPRODUCT((表成绩单[考试日期]=表成绩单[[#This Row],[考试日期]])*(表成绩单[政治]&lt;9E+307)*(表成绩单[政治]&gt;表成绩单[[#This Row],[政治]]))+1)</f>
        <v/>
      </c>
      <c r="V1584" s="29" t="str" cm="1">
        <f t="array" ref="V1584">IF(表成绩单[[#This Row],[历史]]="","",SUMPRODUCT((表成绩单[考试日期]=表成绩单[[#This Row],[考试日期]])*(表成绩单[历史]&lt;9E+307)*(表成绩单[历史]&gt;表成绩单[[#This Row],[历史]]))+1)</f>
        <v/>
      </c>
      <c r="W1584" s="29" t="str" cm="1">
        <f t="array" ref="W1584">IF(表成绩单[[#This Row],[总分]]="","",SUMPRODUCT((表成绩单[考试日期]=表成绩单[[#This Row],[考试日期]])*(表成绩单[总分]&lt;9E+307)*(表成绩单[总分]&gt;表成绩单[[#This Row],[总分]]))+1)</f>
        <v/>
      </c>
    </row>
    <row r="1585" ht="28" customHeight="1" spans="4:23">
      <c r="D1585" s="31">
        <v>46003</v>
      </c>
      <c r="E1585" s="29">
        <v>19177659</v>
      </c>
      <c r="F1585" s="29" t="s">
        <v>63</v>
      </c>
      <c r="G1585" s="29" t="s">
        <v>711</v>
      </c>
      <c r="H1585" s="29"/>
      <c r="I1585" s="29"/>
      <c r="J1585" s="29"/>
      <c r="K1585" s="29"/>
      <c r="L1585" s="29"/>
      <c r="M1585" s="29"/>
      <c r="N1585" s="29"/>
      <c r="O1585" s="32"/>
      <c r="P1585" s="29" t="str" cm="1">
        <f t="array" ref="P1585">IF(表成绩单[[#This Row],[语文]]="","",SUMPRODUCT((表成绩单[考试日期]=表成绩单[[#This Row],[考试日期]])*(表成绩单[语文]&lt;9E+307)*(表成绩单[语文]&gt;表成绩单[[#This Row],[语文]]))+1)</f>
        <v/>
      </c>
      <c r="Q1585" s="29" t="str" cm="1">
        <f t="array" ref="Q1585">IF(表成绩单[[#This Row],[数学]]="","",SUMPRODUCT((表成绩单[考试日期]=表成绩单[[#This Row],[考试日期]])*(表成绩单[数学]&lt;9E+307)*(表成绩单[数学]&gt;表成绩单[[#This Row],[数学]]))+1)</f>
        <v/>
      </c>
      <c r="R1585" s="29" t="str" cm="1">
        <f t="array" ref="R1585">IF(表成绩单[[#This Row],[英语]]="","",SUMPRODUCT((表成绩单[考试日期]=表成绩单[[#This Row],[考试日期]])*(表成绩单[英语]&lt;9E+307)*(表成绩单[英语]&gt;表成绩单[[#This Row],[英语]]))+1)</f>
        <v/>
      </c>
      <c r="S1585" s="29" t="str" cm="1">
        <f t="array" ref="S1585">IF(表成绩单[[#This Row],[物理]]="","",SUMPRODUCT((表成绩单[考试日期]=表成绩单[[#This Row],[考试日期]])*(表成绩单[物理]&lt;9E+307)*(表成绩单[物理]&gt;表成绩单[[#This Row],[物理]]))+1)</f>
        <v/>
      </c>
      <c r="T1585" s="29" t="str" cm="1">
        <f t="array" ref="T1585">IF(表成绩单[[#This Row],[化学]]="","",SUMPRODUCT((表成绩单[考试日期]=表成绩单[[#This Row],[考试日期]])*(表成绩单[化学]&lt;9E+307)*(表成绩单[化学]&gt;表成绩单[[#This Row],[化学]]))+1)</f>
        <v/>
      </c>
      <c r="U1585" s="29" t="str" cm="1">
        <f t="array" ref="U1585">IF(表成绩单[[#This Row],[政治]]="","",SUMPRODUCT((表成绩单[考试日期]=表成绩单[[#This Row],[考试日期]])*(表成绩单[政治]&lt;9E+307)*(表成绩单[政治]&gt;表成绩单[[#This Row],[政治]]))+1)</f>
        <v/>
      </c>
      <c r="V1585" s="29" t="str" cm="1">
        <f t="array" ref="V1585">IF(表成绩单[[#This Row],[历史]]="","",SUMPRODUCT((表成绩单[考试日期]=表成绩单[[#This Row],[考试日期]])*(表成绩单[历史]&lt;9E+307)*(表成绩单[历史]&gt;表成绩单[[#This Row],[历史]]))+1)</f>
        <v/>
      </c>
      <c r="W1585" s="29" t="str" cm="1">
        <f t="array" ref="W1585">IF(表成绩单[[#This Row],[总分]]="","",SUMPRODUCT((表成绩单[考试日期]=表成绩单[[#This Row],[考试日期]])*(表成绩单[总分]&lt;9E+307)*(表成绩单[总分]&gt;表成绩单[[#This Row],[总分]]))+1)</f>
        <v/>
      </c>
    </row>
    <row r="1586" ht="28" customHeight="1" spans="4:23">
      <c r="D1586" s="31">
        <v>46003</v>
      </c>
      <c r="E1586" s="29">
        <v>19177661</v>
      </c>
      <c r="F1586" s="29" t="s">
        <v>63</v>
      </c>
      <c r="G1586" s="29" t="s">
        <v>433</v>
      </c>
      <c r="H1586" s="29"/>
      <c r="I1586" s="29"/>
      <c r="J1586" s="29"/>
      <c r="K1586" s="29"/>
      <c r="L1586" s="29"/>
      <c r="M1586" s="29"/>
      <c r="N1586" s="29"/>
      <c r="O1586" s="32"/>
      <c r="P1586" s="29" t="str" cm="1">
        <f t="array" ref="P1586">IF(表成绩单[[#This Row],[语文]]="","",SUMPRODUCT((表成绩单[考试日期]=表成绩单[[#This Row],[考试日期]])*(表成绩单[语文]&lt;9E+307)*(表成绩单[语文]&gt;表成绩单[[#This Row],[语文]]))+1)</f>
        <v/>
      </c>
      <c r="Q1586" s="29" t="str" cm="1">
        <f t="array" ref="Q1586">IF(表成绩单[[#This Row],[数学]]="","",SUMPRODUCT((表成绩单[考试日期]=表成绩单[[#This Row],[考试日期]])*(表成绩单[数学]&lt;9E+307)*(表成绩单[数学]&gt;表成绩单[[#This Row],[数学]]))+1)</f>
        <v/>
      </c>
      <c r="R1586" s="29" t="str" cm="1">
        <f t="array" ref="R1586">IF(表成绩单[[#This Row],[英语]]="","",SUMPRODUCT((表成绩单[考试日期]=表成绩单[[#This Row],[考试日期]])*(表成绩单[英语]&lt;9E+307)*(表成绩单[英语]&gt;表成绩单[[#This Row],[英语]]))+1)</f>
        <v/>
      </c>
      <c r="S1586" s="29" t="str" cm="1">
        <f t="array" ref="S1586">IF(表成绩单[[#This Row],[物理]]="","",SUMPRODUCT((表成绩单[考试日期]=表成绩单[[#This Row],[考试日期]])*(表成绩单[物理]&lt;9E+307)*(表成绩单[物理]&gt;表成绩单[[#This Row],[物理]]))+1)</f>
        <v/>
      </c>
      <c r="T1586" s="29" t="str" cm="1">
        <f t="array" ref="T1586">IF(表成绩单[[#This Row],[化学]]="","",SUMPRODUCT((表成绩单[考试日期]=表成绩单[[#This Row],[考试日期]])*(表成绩单[化学]&lt;9E+307)*(表成绩单[化学]&gt;表成绩单[[#This Row],[化学]]))+1)</f>
        <v/>
      </c>
      <c r="U1586" s="29" t="str" cm="1">
        <f t="array" ref="U1586">IF(表成绩单[[#This Row],[政治]]="","",SUMPRODUCT((表成绩单[考试日期]=表成绩单[[#This Row],[考试日期]])*(表成绩单[政治]&lt;9E+307)*(表成绩单[政治]&gt;表成绩单[[#This Row],[政治]]))+1)</f>
        <v/>
      </c>
      <c r="V1586" s="29" t="str" cm="1">
        <f t="array" ref="V1586">IF(表成绩单[[#This Row],[历史]]="","",SUMPRODUCT((表成绩单[考试日期]=表成绩单[[#This Row],[考试日期]])*(表成绩单[历史]&lt;9E+307)*(表成绩单[历史]&gt;表成绩单[[#This Row],[历史]]))+1)</f>
        <v/>
      </c>
      <c r="W1586" s="29" t="str" cm="1">
        <f t="array" ref="W1586">IF(表成绩单[[#This Row],[总分]]="","",SUMPRODUCT((表成绩单[考试日期]=表成绩单[[#This Row],[考试日期]])*(表成绩单[总分]&lt;9E+307)*(表成绩单[总分]&gt;表成绩单[[#This Row],[总分]]))+1)</f>
        <v/>
      </c>
    </row>
    <row r="1587" ht="28" customHeight="1" spans="4:23">
      <c r="D1587" s="31">
        <v>46003</v>
      </c>
      <c r="E1587" s="29">
        <v>19177663</v>
      </c>
      <c r="F1587" s="29" t="s">
        <v>63</v>
      </c>
      <c r="G1587" s="29" t="s">
        <v>412</v>
      </c>
      <c r="H1587" s="29"/>
      <c r="I1587" s="29"/>
      <c r="J1587" s="29"/>
      <c r="K1587" s="29"/>
      <c r="L1587" s="29"/>
      <c r="M1587" s="29"/>
      <c r="N1587" s="29"/>
      <c r="O1587" s="32"/>
      <c r="P1587" s="29" t="str" cm="1">
        <f t="array" ref="P1587">IF(表成绩单[[#This Row],[语文]]="","",SUMPRODUCT((表成绩单[考试日期]=表成绩单[[#This Row],[考试日期]])*(表成绩单[语文]&lt;9E+307)*(表成绩单[语文]&gt;表成绩单[[#This Row],[语文]]))+1)</f>
        <v/>
      </c>
      <c r="Q1587" s="29" t="str" cm="1">
        <f t="array" ref="Q1587">IF(表成绩单[[#This Row],[数学]]="","",SUMPRODUCT((表成绩单[考试日期]=表成绩单[[#This Row],[考试日期]])*(表成绩单[数学]&lt;9E+307)*(表成绩单[数学]&gt;表成绩单[[#This Row],[数学]]))+1)</f>
        <v/>
      </c>
      <c r="R1587" s="29" t="str" cm="1">
        <f t="array" ref="R1587">IF(表成绩单[[#This Row],[英语]]="","",SUMPRODUCT((表成绩单[考试日期]=表成绩单[[#This Row],[考试日期]])*(表成绩单[英语]&lt;9E+307)*(表成绩单[英语]&gt;表成绩单[[#This Row],[英语]]))+1)</f>
        <v/>
      </c>
      <c r="S1587" s="29" t="str" cm="1">
        <f t="array" ref="S1587">IF(表成绩单[[#This Row],[物理]]="","",SUMPRODUCT((表成绩单[考试日期]=表成绩单[[#This Row],[考试日期]])*(表成绩单[物理]&lt;9E+307)*(表成绩单[物理]&gt;表成绩单[[#This Row],[物理]]))+1)</f>
        <v/>
      </c>
      <c r="T1587" s="29" t="str" cm="1">
        <f t="array" ref="T1587">IF(表成绩单[[#This Row],[化学]]="","",SUMPRODUCT((表成绩单[考试日期]=表成绩单[[#This Row],[考试日期]])*(表成绩单[化学]&lt;9E+307)*(表成绩单[化学]&gt;表成绩单[[#This Row],[化学]]))+1)</f>
        <v/>
      </c>
      <c r="U1587" s="29" t="str" cm="1">
        <f t="array" ref="U1587">IF(表成绩单[[#This Row],[政治]]="","",SUMPRODUCT((表成绩单[考试日期]=表成绩单[[#This Row],[考试日期]])*(表成绩单[政治]&lt;9E+307)*(表成绩单[政治]&gt;表成绩单[[#This Row],[政治]]))+1)</f>
        <v/>
      </c>
      <c r="V1587" s="29" t="str" cm="1">
        <f t="array" ref="V1587">IF(表成绩单[[#This Row],[历史]]="","",SUMPRODUCT((表成绩单[考试日期]=表成绩单[[#This Row],[考试日期]])*(表成绩单[历史]&lt;9E+307)*(表成绩单[历史]&gt;表成绩单[[#This Row],[历史]]))+1)</f>
        <v/>
      </c>
      <c r="W1587" s="29" t="str" cm="1">
        <f t="array" ref="W1587">IF(表成绩单[[#This Row],[总分]]="","",SUMPRODUCT((表成绩单[考试日期]=表成绩单[[#This Row],[考试日期]])*(表成绩单[总分]&lt;9E+307)*(表成绩单[总分]&gt;表成绩单[[#This Row],[总分]]))+1)</f>
        <v/>
      </c>
    </row>
    <row r="1588" ht="28" customHeight="1" spans="4:23">
      <c r="D1588" s="31">
        <v>46003</v>
      </c>
      <c r="E1588" s="29">
        <v>19177665</v>
      </c>
      <c r="F1588" s="29" t="s">
        <v>63</v>
      </c>
      <c r="G1588" s="29" t="s">
        <v>302</v>
      </c>
      <c r="H1588" s="29"/>
      <c r="I1588" s="29"/>
      <c r="J1588" s="29"/>
      <c r="K1588" s="29"/>
      <c r="L1588" s="29"/>
      <c r="M1588" s="29"/>
      <c r="N1588" s="29"/>
      <c r="O1588" s="32"/>
      <c r="P1588" s="29" t="str" cm="1">
        <f t="array" ref="P1588">IF(表成绩单[[#This Row],[语文]]="","",SUMPRODUCT((表成绩单[考试日期]=表成绩单[[#This Row],[考试日期]])*(表成绩单[语文]&lt;9E+307)*(表成绩单[语文]&gt;表成绩单[[#This Row],[语文]]))+1)</f>
        <v/>
      </c>
      <c r="Q1588" s="29" t="str" cm="1">
        <f t="array" ref="Q1588">IF(表成绩单[[#This Row],[数学]]="","",SUMPRODUCT((表成绩单[考试日期]=表成绩单[[#This Row],[考试日期]])*(表成绩单[数学]&lt;9E+307)*(表成绩单[数学]&gt;表成绩单[[#This Row],[数学]]))+1)</f>
        <v/>
      </c>
      <c r="R1588" s="29" t="str" cm="1">
        <f t="array" ref="R1588">IF(表成绩单[[#This Row],[英语]]="","",SUMPRODUCT((表成绩单[考试日期]=表成绩单[[#This Row],[考试日期]])*(表成绩单[英语]&lt;9E+307)*(表成绩单[英语]&gt;表成绩单[[#This Row],[英语]]))+1)</f>
        <v/>
      </c>
      <c r="S1588" s="29" t="str" cm="1">
        <f t="array" ref="S1588">IF(表成绩单[[#This Row],[物理]]="","",SUMPRODUCT((表成绩单[考试日期]=表成绩单[[#This Row],[考试日期]])*(表成绩单[物理]&lt;9E+307)*(表成绩单[物理]&gt;表成绩单[[#This Row],[物理]]))+1)</f>
        <v/>
      </c>
      <c r="T1588" s="29" t="str" cm="1">
        <f t="array" ref="T1588">IF(表成绩单[[#This Row],[化学]]="","",SUMPRODUCT((表成绩单[考试日期]=表成绩单[[#This Row],[考试日期]])*(表成绩单[化学]&lt;9E+307)*(表成绩单[化学]&gt;表成绩单[[#This Row],[化学]]))+1)</f>
        <v/>
      </c>
      <c r="U1588" s="29" t="str" cm="1">
        <f t="array" ref="U1588">IF(表成绩单[[#This Row],[政治]]="","",SUMPRODUCT((表成绩单[考试日期]=表成绩单[[#This Row],[考试日期]])*(表成绩单[政治]&lt;9E+307)*(表成绩单[政治]&gt;表成绩单[[#This Row],[政治]]))+1)</f>
        <v/>
      </c>
      <c r="V1588" s="29" t="str" cm="1">
        <f t="array" ref="V1588">IF(表成绩单[[#This Row],[历史]]="","",SUMPRODUCT((表成绩单[考试日期]=表成绩单[[#This Row],[考试日期]])*(表成绩单[历史]&lt;9E+307)*(表成绩单[历史]&gt;表成绩单[[#This Row],[历史]]))+1)</f>
        <v/>
      </c>
      <c r="W1588" s="29" t="str" cm="1">
        <f t="array" ref="W1588">IF(表成绩单[[#This Row],[总分]]="","",SUMPRODUCT((表成绩单[考试日期]=表成绩单[[#This Row],[考试日期]])*(表成绩单[总分]&lt;9E+307)*(表成绩单[总分]&gt;表成绩单[[#This Row],[总分]]))+1)</f>
        <v/>
      </c>
    </row>
    <row r="1589" ht="28" customHeight="1" spans="4:23">
      <c r="D1589" s="31">
        <v>46003</v>
      </c>
      <c r="E1589" s="29">
        <v>19177666</v>
      </c>
      <c r="F1589" s="29" t="s">
        <v>63</v>
      </c>
      <c r="G1589" s="29" t="s">
        <v>694</v>
      </c>
      <c r="H1589" s="29"/>
      <c r="I1589" s="29"/>
      <c r="J1589" s="29"/>
      <c r="K1589" s="29"/>
      <c r="L1589" s="29"/>
      <c r="M1589" s="29"/>
      <c r="N1589" s="29"/>
      <c r="O1589" s="32"/>
      <c r="P1589" s="29" t="str" cm="1">
        <f t="array" ref="P1589">IF(表成绩单[[#This Row],[语文]]="","",SUMPRODUCT((表成绩单[考试日期]=表成绩单[[#This Row],[考试日期]])*(表成绩单[语文]&lt;9E+307)*(表成绩单[语文]&gt;表成绩单[[#This Row],[语文]]))+1)</f>
        <v/>
      </c>
      <c r="Q1589" s="29" t="str" cm="1">
        <f t="array" ref="Q1589">IF(表成绩单[[#This Row],[数学]]="","",SUMPRODUCT((表成绩单[考试日期]=表成绩单[[#This Row],[考试日期]])*(表成绩单[数学]&lt;9E+307)*(表成绩单[数学]&gt;表成绩单[[#This Row],[数学]]))+1)</f>
        <v/>
      </c>
      <c r="R1589" s="29" t="str" cm="1">
        <f t="array" ref="R1589">IF(表成绩单[[#This Row],[英语]]="","",SUMPRODUCT((表成绩单[考试日期]=表成绩单[[#This Row],[考试日期]])*(表成绩单[英语]&lt;9E+307)*(表成绩单[英语]&gt;表成绩单[[#This Row],[英语]]))+1)</f>
        <v/>
      </c>
      <c r="S1589" s="29" t="str" cm="1">
        <f t="array" ref="S1589">IF(表成绩单[[#This Row],[物理]]="","",SUMPRODUCT((表成绩单[考试日期]=表成绩单[[#This Row],[考试日期]])*(表成绩单[物理]&lt;9E+307)*(表成绩单[物理]&gt;表成绩单[[#This Row],[物理]]))+1)</f>
        <v/>
      </c>
      <c r="T1589" s="29" t="str" cm="1">
        <f t="array" ref="T1589">IF(表成绩单[[#This Row],[化学]]="","",SUMPRODUCT((表成绩单[考试日期]=表成绩单[[#This Row],[考试日期]])*(表成绩单[化学]&lt;9E+307)*(表成绩单[化学]&gt;表成绩单[[#This Row],[化学]]))+1)</f>
        <v/>
      </c>
      <c r="U1589" s="29" t="str" cm="1">
        <f t="array" ref="U1589">IF(表成绩单[[#This Row],[政治]]="","",SUMPRODUCT((表成绩单[考试日期]=表成绩单[[#This Row],[考试日期]])*(表成绩单[政治]&lt;9E+307)*(表成绩单[政治]&gt;表成绩单[[#This Row],[政治]]))+1)</f>
        <v/>
      </c>
      <c r="V1589" s="29" t="str" cm="1">
        <f t="array" ref="V1589">IF(表成绩单[[#This Row],[历史]]="","",SUMPRODUCT((表成绩单[考试日期]=表成绩单[[#This Row],[考试日期]])*(表成绩单[历史]&lt;9E+307)*(表成绩单[历史]&gt;表成绩单[[#This Row],[历史]]))+1)</f>
        <v/>
      </c>
      <c r="W1589" s="29" t="str" cm="1">
        <f t="array" ref="W1589">IF(表成绩单[[#This Row],[总分]]="","",SUMPRODUCT((表成绩单[考试日期]=表成绩单[[#This Row],[考试日期]])*(表成绩单[总分]&lt;9E+307)*(表成绩单[总分]&gt;表成绩单[[#This Row],[总分]]))+1)</f>
        <v/>
      </c>
    </row>
    <row r="1590" ht="28" customHeight="1" spans="4:23">
      <c r="D1590" s="31">
        <v>46003</v>
      </c>
      <c r="E1590" s="29">
        <v>19177669</v>
      </c>
      <c r="F1590" s="29" t="s">
        <v>63</v>
      </c>
      <c r="G1590" s="29" t="s">
        <v>819</v>
      </c>
      <c r="H1590" s="29"/>
      <c r="I1590" s="29"/>
      <c r="J1590" s="29"/>
      <c r="K1590" s="29"/>
      <c r="L1590" s="29"/>
      <c r="M1590" s="29"/>
      <c r="N1590" s="29"/>
      <c r="O1590" s="32"/>
      <c r="P1590" s="29" t="str" cm="1">
        <f t="array" ref="P1590">IF(表成绩单[[#This Row],[语文]]="","",SUMPRODUCT((表成绩单[考试日期]=表成绩单[[#This Row],[考试日期]])*(表成绩单[语文]&lt;9E+307)*(表成绩单[语文]&gt;表成绩单[[#This Row],[语文]]))+1)</f>
        <v/>
      </c>
      <c r="Q1590" s="29" t="str" cm="1">
        <f t="array" ref="Q1590">IF(表成绩单[[#This Row],[数学]]="","",SUMPRODUCT((表成绩单[考试日期]=表成绩单[[#This Row],[考试日期]])*(表成绩单[数学]&lt;9E+307)*(表成绩单[数学]&gt;表成绩单[[#This Row],[数学]]))+1)</f>
        <v/>
      </c>
      <c r="R1590" s="29" t="str" cm="1">
        <f t="array" ref="R1590">IF(表成绩单[[#This Row],[英语]]="","",SUMPRODUCT((表成绩单[考试日期]=表成绩单[[#This Row],[考试日期]])*(表成绩单[英语]&lt;9E+307)*(表成绩单[英语]&gt;表成绩单[[#This Row],[英语]]))+1)</f>
        <v/>
      </c>
      <c r="S1590" s="29" t="str" cm="1">
        <f t="array" ref="S1590">IF(表成绩单[[#This Row],[物理]]="","",SUMPRODUCT((表成绩单[考试日期]=表成绩单[[#This Row],[考试日期]])*(表成绩单[物理]&lt;9E+307)*(表成绩单[物理]&gt;表成绩单[[#This Row],[物理]]))+1)</f>
        <v/>
      </c>
      <c r="T1590" s="29" t="str" cm="1">
        <f t="array" ref="T1590">IF(表成绩单[[#This Row],[化学]]="","",SUMPRODUCT((表成绩单[考试日期]=表成绩单[[#This Row],[考试日期]])*(表成绩单[化学]&lt;9E+307)*(表成绩单[化学]&gt;表成绩单[[#This Row],[化学]]))+1)</f>
        <v/>
      </c>
      <c r="U1590" s="29" t="str" cm="1">
        <f t="array" ref="U1590">IF(表成绩单[[#This Row],[政治]]="","",SUMPRODUCT((表成绩单[考试日期]=表成绩单[[#This Row],[考试日期]])*(表成绩单[政治]&lt;9E+307)*(表成绩单[政治]&gt;表成绩单[[#This Row],[政治]]))+1)</f>
        <v/>
      </c>
      <c r="V1590" s="29" t="str" cm="1">
        <f t="array" ref="V1590">IF(表成绩单[[#This Row],[历史]]="","",SUMPRODUCT((表成绩单[考试日期]=表成绩单[[#This Row],[考试日期]])*(表成绩单[历史]&lt;9E+307)*(表成绩单[历史]&gt;表成绩单[[#This Row],[历史]]))+1)</f>
        <v/>
      </c>
      <c r="W1590" s="29" t="str" cm="1">
        <f t="array" ref="W1590">IF(表成绩单[[#This Row],[总分]]="","",SUMPRODUCT((表成绩单[考试日期]=表成绩单[[#This Row],[考试日期]])*(表成绩单[总分]&lt;9E+307)*(表成绩单[总分]&gt;表成绩单[[#This Row],[总分]]))+1)</f>
        <v/>
      </c>
    </row>
    <row r="1591" ht="28" customHeight="1" spans="4:23">
      <c r="D1591" s="31">
        <v>46003</v>
      </c>
      <c r="E1591" s="29">
        <v>19177671</v>
      </c>
      <c r="F1591" s="29" t="s">
        <v>63</v>
      </c>
      <c r="G1591" s="29" t="s">
        <v>725</v>
      </c>
      <c r="H1591" s="29"/>
      <c r="I1591" s="29"/>
      <c r="J1591" s="29"/>
      <c r="K1591" s="29"/>
      <c r="L1591" s="29"/>
      <c r="M1591" s="29"/>
      <c r="N1591" s="29"/>
      <c r="O1591" s="32"/>
      <c r="P1591" s="29" t="str" cm="1">
        <f t="array" ref="P1591">IF(表成绩单[[#This Row],[语文]]="","",SUMPRODUCT((表成绩单[考试日期]=表成绩单[[#This Row],[考试日期]])*(表成绩单[语文]&lt;9E+307)*(表成绩单[语文]&gt;表成绩单[[#This Row],[语文]]))+1)</f>
        <v/>
      </c>
      <c r="Q1591" s="29" t="str" cm="1">
        <f t="array" ref="Q1591">IF(表成绩单[[#This Row],[数学]]="","",SUMPRODUCT((表成绩单[考试日期]=表成绩单[[#This Row],[考试日期]])*(表成绩单[数学]&lt;9E+307)*(表成绩单[数学]&gt;表成绩单[[#This Row],[数学]]))+1)</f>
        <v/>
      </c>
      <c r="R1591" s="29" t="str" cm="1">
        <f t="array" ref="R1591">IF(表成绩单[[#This Row],[英语]]="","",SUMPRODUCT((表成绩单[考试日期]=表成绩单[[#This Row],[考试日期]])*(表成绩单[英语]&lt;9E+307)*(表成绩单[英语]&gt;表成绩单[[#This Row],[英语]]))+1)</f>
        <v/>
      </c>
      <c r="S1591" s="29" t="str" cm="1">
        <f t="array" ref="S1591">IF(表成绩单[[#This Row],[物理]]="","",SUMPRODUCT((表成绩单[考试日期]=表成绩单[[#This Row],[考试日期]])*(表成绩单[物理]&lt;9E+307)*(表成绩单[物理]&gt;表成绩单[[#This Row],[物理]]))+1)</f>
        <v/>
      </c>
      <c r="T1591" s="29" t="str" cm="1">
        <f t="array" ref="T1591">IF(表成绩单[[#This Row],[化学]]="","",SUMPRODUCT((表成绩单[考试日期]=表成绩单[[#This Row],[考试日期]])*(表成绩单[化学]&lt;9E+307)*(表成绩单[化学]&gt;表成绩单[[#This Row],[化学]]))+1)</f>
        <v/>
      </c>
      <c r="U1591" s="29" t="str" cm="1">
        <f t="array" ref="U1591">IF(表成绩单[[#This Row],[政治]]="","",SUMPRODUCT((表成绩单[考试日期]=表成绩单[[#This Row],[考试日期]])*(表成绩单[政治]&lt;9E+307)*(表成绩单[政治]&gt;表成绩单[[#This Row],[政治]]))+1)</f>
        <v/>
      </c>
      <c r="V1591" s="29" t="str" cm="1">
        <f t="array" ref="V1591">IF(表成绩单[[#This Row],[历史]]="","",SUMPRODUCT((表成绩单[考试日期]=表成绩单[[#This Row],[考试日期]])*(表成绩单[历史]&lt;9E+307)*(表成绩单[历史]&gt;表成绩单[[#This Row],[历史]]))+1)</f>
        <v/>
      </c>
      <c r="W1591" s="29" t="str" cm="1">
        <f t="array" ref="W1591">IF(表成绩单[[#This Row],[总分]]="","",SUMPRODUCT((表成绩单[考试日期]=表成绩单[[#This Row],[考试日期]])*(表成绩单[总分]&lt;9E+307)*(表成绩单[总分]&gt;表成绩单[[#This Row],[总分]]))+1)</f>
        <v/>
      </c>
    </row>
    <row r="1592" ht="28" customHeight="1" spans="4:23">
      <c r="D1592" s="31">
        <v>46003</v>
      </c>
      <c r="E1592" s="29">
        <v>19178586</v>
      </c>
      <c r="F1592" s="29" t="s">
        <v>64</v>
      </c>
      <c r="G1592" s="29" t="s">
        <v>585</v>
      </c>
      <c r="H1592" s="29"/>
      <c r="I1592" s="29"/>
      <c r="J1592" s="29"/>
      <c r="K1592" s="29"/>
      <c r="L1592" s="29"/>
      <c r="M1592" s="29"/>
      <c r="N1592" s="29"/>
      <c r="O1592" s="32"/>
      <c r="P1592" s="29" t="str" cm="1">
        <f t="array" ref="P1592">IF(表成绩单[[#This Row],[语文]]="","",SUMPRODUCT((表成绩单[考试日期]=表成绩单[[#This Row],[考试日期]])*(表成绩单[语文]&lt;9E+307)*(表成绩单[语文]&gt;表成绩单[[#This Row],[语文]]))+1)</f>
        <v/>
      </c>
      <c r="Q1592" s="29" t="str" cm="1">
        <f t="array" ref="Q1592">IF(表成绩单[[#This Row],[数学]]="","",SUMPRODUCT((表成绩单[考试日期]=表成绩单[[#This Row],[考试日期]])*(表成绩单[数学]&lt;9E+307)*(表成绩单[数学]&gt;表成绩单[[#This Row],[数学]]))+1)</f>
        <v/>
      </c>
      <c r="R1592" s="29" t="str" cm="1">
        <f t="array" ref="R1592">IF(表成绩单[[#This Row],[英语]]="","",SUMPRODUCT((表成绩单[考试日期]=表成绩单[[#This Row],[考试日期]])*(表成绩单[英语]&lt;9E+307)*(表成绩单[英语]&gt;表成绩单[[#This Row],[英语]]))+1)</f>
        <v/>
      </c>
      <c r="S1592" s="29" t="str" cm="1">
        <f t="array" ref="S1592">IF(表成绩单[[#This Row],[物理]]="","",SUMPRODUCT((表成绩单[考试日期]=表成绩单[[#This Row],[考试日期]])*(表成绩单[物理]&lt;9E+307)*(表成绩单[物理]&gt;表成绩单[[#This Row],[物理]]))+1)</f>
        <v/>
      </c>
      <c r="T1592" s="29" t="str" cm="1">
        <f t="array" ref="T1592">IF(表成绩单[[#This Row],[化学]]="","",SUMPRODUCT((表成绩单[考试日期]=表成绩单[[#This Row],[考试日期]])*(表成绩单[化学]&lt;9E+307)*(表成绩单[化学]&gt;表成绩单[[#This Row],[化学]]))+1)</f>
        <v/>
      </c>
      <c r="U1592" s="29" t="str" cm="1">
        <f t="array" ref="U1592">IF(表成绩单[[#This Row],[政治]]="","",SUMPRODUCT((表成绩单[考试日期]=表成绩单[[#This Row],[考试日期]])*(表成绩单[政治]&lt;9E+307)*(表成绩单[政治]&gt;表成绩单[[#This Row],[政治]]))+1)</f>
        <v/>
      </c>
      <c r="V1592" s="29" t="str" cm="1">
        <f t="array" ref="V1592">IF(表成绩单[[#This Row],[历史]]="","",SUMPRODUCT((表成绩单[考试日期]=表成绩单[[#This Row],[考试日期]])*(表成绩单[历史]&lt;9E+307)*(表成绩单[历史]&gt;表成绩单[[#This Row],[历史]]))+1)</f>
        <v/>
      </c>
      <c r="W1592" s="29" t="str" cm="1">
        <f t="array" ref="W1592">IF(表成绩单[[#This Row],[总分]]="","",SUMPRODUCT((表成绩单[考试日期]=表成绩单[[#This Row],[考试日期]])*(表成绩单[总分]&lt;9E+307)*(表成绩单[总分]&gt;表成绩单[[#This Row],[总分]]))+1)</f>
        <v/>
      </c>
    </row>
    <row r="1593" ht="28" customHeight="1" spans="4:23">
      <c r="D1593" s="31">
        <v>46003</v>
      </c>
      <c r="E1593" s="29">
        <v>19178599</v>
      </c>
      <c r="F1593" s="29" t="s">
        <v>64</v>
      </c>
      <c r="G1593" s="29" t="s">
        <v>737</v>
      </c>
      <c r="H1593" s="29"/>
      <c r="I1593" s="29"/>
      <c r="J1593" s="29"/>
      <c r="K1593" s="29"/>
      <c r="L1593" s="29"/>
      <c r="M1593" s="29"/>
      <c r="N1593" s="29"/>
      <c r="O1593" s="32"/>
      <c r="P1593" s="29" t="str" cm="1">
        <f t="array" ref="P1593">IF(表成绩单[[#This Row],[语文]]="","",SUMPRODUCT((表成绩单[考试日期]=表成绩单[[#This Row],[考试日期]])*(表成绩单[语文]&lt;9E+307)*(表成绩单[语文]&gt;表成绩单[[#This Row],[语文]]))+1)</f>
        <v/>
      </c>
      <c r="Q1593" s="29" t="str" cm="1">
        <f t="array" ref="Q1593">IF(表成绩单[[#This Row],[数学]]="","",SUMPRODUCT((表成绩单[考试日期]=表成绩单[[#This Row],[考试日期]])*(表成绩单[数学]&lt;9E+307)*(表成绩单[数学]&gt;表成绩单[[#This Row],[数学]]))+1)</f>
        <v/>
      </c>
      <c r="R1593" s="29" t="str" cm="1">
        <f t="array" ref="R1593">IF(表成绩单[[#This Row],[英语]]="","",SUMPRODUCT((表成绩单[考试日期]=表成绩单[[#This Row],[考试日期]])*(表成绩单[英语]&lt;9E+307)*(表成绩单[英语]&gt;表成绩单[[#This Row],[英语]]))+1)</f>
        <v/>
      </c>
      <c r="S1593" s="29" t="str" cm="1">
        <f t="array" ref="S1593">IF(表成绩单[[#This Row],[物理]]="","",SUMPRODUCT((表成绩单[考试日期]=表成绩单[[#This Row],[考试日期]])*(表成绩单[物理]&lt;9E+307)*(表成绩单[物理]&gt;表成绩单[[#This Row],[物理]]))+1)</f>
        <v/>
      </c>
      <c r="T1593" s="29" t="str" cm="1">
        <f t="array" ref="T1593">IF(表成绩单[[#This Row],[化学]]="","",SUMPRODUCT((表成绩单[考试日期]=表成绩单[[#This Row],[考试日期]])*(表成绩单[化学]&lt;9E+307)*(表成绩单[化学]&gt;表成绩单[[#This Row],[化学]]))+1)</f>
        <v/>
      </c>
      <c r="U1593" s="29" t="str" cm="1">
        <f t="array" ref="U1593">IF(表成绩单[[#This Row],[政治]]="","",SUMPRODUCT((表成绩单[考试日期]=表成绩单[[#This Row],[考试日期]])*(表成绩单[政治]&lt;9E+307)*(表成绩单[政治]&gt;表成绩单[[#This Row],[政治]]))+1)</f>
        <v/>
      </c>
      <c r="V1593" s="29" t="str" cm="1">
        <f t="array" ref="V1593">IF(表成绩单[[#This Row],[历史]]="","",SUMPRODUCT((表成绩单[考试日期]=表成绩单[[#This Row],[考试日期]])*(表成绩单[历史]&lt;9E+307)*(表成绩单[历史]&gt;表成绩单[[#This Row],[历史]]))+1)</f>
        <v/>
      </c>
      <c r="W1593" s="29" t="str" cm="1">
        <f t="array" ref="W1593">IF(表成绩单[[#This Row],[总分]]="","",SUMPRODUCT((表成绩单[考试日期]=表成绩单[[#This Row],[考试日期]])*(表成绩单[总分]&lt;9E+307)*(表成绩单[总分]&gt;表成绩单[[#This Row],[总分]]))+1)</f>
        <v/>
      </c>
    </row>
    <row r="1594" ht="28" customHeight="1" spans="4:23">
      <c r="D1594" s="31">
        <v>46003</v>
      </c>
      <c r="E1594" s="29">
        <v>19178611</v>
      </c>
      <c r="F1594" s="29" t="s">
        <v>25</v>
      </c>
      <c r="G1594" s="29" t="s">
        <v>655</v>
      </c>
      <c r="H1594" s="29"/>
      <c r="I1594" s="29"/>
      <c r="J1594" s="29"/>
      <c r="K1594" s="29"/>
      <c r="L1594" s="29"/>
      <c r="M1594" s="29"/>
      <c r="N1594" s="29"/>
      <c r="O1594" s="32"/>
      <c r="P1594" s="29" t="str" cm="1">
        <f t="array" ref="P1594">IF(表成绩单[[#This Row],[语文]]="","",SUMPRODUCT((表成绩单[考试日期]=表成绩单[[#This Row],[考试日期]])*(表成绩单[语文]&lt;9E+307)*(表成绩单[语文]&gt;表成绩单[[#This Row],[语文]]))+1)</f>
        <v/>
      </c>
      <c r="Q1594" s="29" t="str" cm="1">
        <f t="array" ref="Q1594">IF(表成绩单[[#This Row],[数学]]="","",SUMPRODUCT((表成绩单[考试日期]=表成绩单[[#This Row],[考试日期]])*(表成绩单[数学]&lt;9E+307)*(表成绩单[数学]&gt;表成绩单[[#This Row],[数学]]))+1)</f>
        <v/>
      </c>
      <c r="R1594" s="29" t="str" cm="1">
        <f t="array" ref="R1594">IF(表成绩单[[#This Row],[英语]]="","",SUMPRODUCT((表成绩单[考试日期]=表成绩单[[#This Row],[考试日期]])*(表成绩单[英语]&lt;9E+307)*(表成绩单[英语]&gt;表成绩单[[#This Row],[英语]]))+1)</f>
        <v/>
      </c>
      <c r="S1594" s="29" t="str" cm="1">
        <f t="array" ref="S1594">IF(表成绩单[[#This Row],[物理]]="","",SUMPRODUCT((表成绩单[考试日期]=表成绩单[[#This Row],[考试日期]])*(表成绩单[物理]&lt;9E+307)*(表成绩单[物理]&gt;表成绩单[[#This Row],[物理]]))+1)</f>
        <v/>
      </c>
      <c r="T1594" s="29" t="str" cm="1">
        <f t="array" ref="T1594">IF(表成绩单[[#This Row],[化学]]="","",SUMPRODUCT((表成绩单[考试日期]=表成绩单[[#This Row],[考试日期]])*(表成绩单[化学]&lt;9E+307)*(表成绩单[化学]&gt;表成绩单[[#This Row],[化学]]))+1)</f>
        <v/>
      </c>
      <c r="U1594" s="29" t="str" cm="1">
        <f t="array" ref="U1594">IF(表成绩单[[#This Row],[政治]]="","",SUMPRODUCT((表成绩单[考试日期]=表成绩单[[#This Row],[考试日期]])*(表成绩单[政治]&lt;9E+307)*(表成绩单[政治]&gt;表成绩单[[#This Row],[政治]]))+1)</f>
        <v/>
      </c>
      <c r="V1594" s="29" t="str" cm="1">
        <f t="array" ref="V1594">IF(表成绩单[[#This Row],[历史]]="","",SUMPRODUCT((表成绩单[考试日期]=表成绩单[[#This Row],[考试日期]])*(表成绩单[历史]&lt;9E+307)*(表成绩单[历史]&gt;表成绩单[[#This Row],[历史]]))+1)</f>
        <v/>
      </c>
      <c r="W1594" s="29" t="str" cm="1">
        <f t="array" ref="W1594">IF(表成绩单[[#This Row],[总分]]="","",SUMPRODUCT((表成绩单[考试日期]=表成绩单[[#This Row],[考试日期]])*(表成绩单[总分]&lt;9E+307)*(表成绩单[总分]&gt;表成绩单[[#This Row],[总分]]))+1)</f>
        <v/>
      </c>
    </row>
    <row r="1595" ht="28" customHeight="1" spans="4:23">
      <c r="D1595" s="31">
        <v>46003</v>
      </c>
      <c r="E1595" s="29">
        <v>19178635</v>
      </c>
      <c r="F1595" s="29" t="s">
        <v>25</v>
      </c>
      <c r="G1595" s="29" t="s">
        <v>394</v>
      </c>
      <c r="H1595" s="29"/>
      <c r="I1595" s="29"/>
      <c r="J1595" s="29"/>
      <c r="K1595" s="29"/>
      <c r="L1595" s="29"/>
      <c r="M1595" s="29"/>
      <c r="N1595" s="29"/>
      <c r="O1595" s="32"/>
      <c r="P1595" s="29" t="str" cm="1">
        <f t="array" ref="P1595">IF(表成绩单[[#This Row],[语文]]="","",SUMPRODUCT((表成绩单[考试日期]=表成绩单[[#This Row],[考试日期]])*(表成绩单[语文]&lt;9E+307)*(表成绩单[语文]&gt;表成绩单[[#This Row],[语文]]))+1)</f>
        <v/>
      </c>
      <c r="Q1595" s="29" t="str" cm="1">
        <f t="array" ref="Q1595">IF(表成绩单[[#This Row],[数学]]="","",SUMPRODUCT((表成绩单[考试日期]=表成绩单[[#This Row],[考试日期]])*(表成绩单[数学]&lt;9E+307)*(表成绩单[数学]&gt;表成绩单[[#This Row],[数学]]))+1)</f>
        <v/>
      </c>
      <c r="R1595" s="29" t="str" cm="1">
        <f t="array" ref="R1595">IF(表成绩单[[#This Row],[英语]]="","",SUMPRODUCT((表成绩单[考试日期]=表成绩单[[#This Row],[考试日期]])*(表成绩单[英语]&lt;9E+307)*(表成绩单[英语]&gt;表成绩单[[#This Row],[英语]]))+1)</f>
        <v/>
      </c>
      <c r="S1595" s="29" t="str" cm="1">
        <f t="array" ref="S1595">IF(表成绩单[[#This Row],[物理]]="","",SUMPRODUCT((表成绩单[考试日期]=表成绩单[[#This Row],[考试日期]])*(表成绩单[物理]&lt;9E+307)*(表成绩单[物理]&gt;表成绩单[[#This Row],[物理]]))+1)</f>
        <v/>
      </c>
      <c r="T1595" s="29" t="str" cm="1">
        <f t="array" ref="T1595">IF(表成绩单[[#This Row],[化学]]="","",SUMPRODUCT((表成绩单[考试日期]=表成绩单[[#This Row],[考试日期]])*(表成绩单[化学]&lt;9E+307)*(表成绩单[化学]&gt;表成绩单[[#This Row],[化学]]))+1)</f>
        <v/>
      </c>
      <c r="U1595" s="29" t="str" cm="1">
        <f t="array" ref="U1595">IF(表成绩单[[#This Row],[政治]]="","",SUMPRODUCT((表成绩单[考试日期]=表成绩单[[#This Row],[考试日期]])*(表成绩单[政治]&lt;9E+307)*(表成绩单[政治]&gt;表成绩单[[#This Row],[政治]]))+1)</f>
        <v/>
      </c>
      <c r="V1595" s="29" t="str" cm="1">
        <f t="array" ref="V1595">IF(表成绩单[[#This Row],[历史]]="","",SUMPRODUCT((表成绩单[考试日期]=表成绩单[[#This Row],[考试日期]])*(表成绩单[历史]&lt;9E+307)*(表成绩单[历史]&gt;表成绩单[[#This Row],[历史]]))+1)</f>
        <v/>
      </c>
      <c r="W1595" s="29" t="str" cm="1">
        <f t="array" ref="W1595">IF(表成绩单[[#This Row],[总分]]="","",SUMPRODUCT((表成绩单[考试日期]=表成绩单[[#This Row],[考试日期]])*(表成绩单[总分]&lt;9E+307)*(表成绩单[总分]&gt;表成绩单[[#This Row],[总分]]))+1)</f>
        <v/>
      </c>
    </row>
    <row r="1596" ht="28" customHeight="1" spans="4:23">
      <c r="D1596" s="31">
        <v>46003</v>
      </c>
      <c r="E1596" s="29">
        <v>19178638</v>
      </c>
      <c r="F1596" s="29" t="s">
        <v>25</v>
      </c>
      <c r="G1596" s="29" t="s">
        <v>688</v>
      </c>
      <c r="H1596" s="29"/>
      <c r="I1596" s="29"/>
      <c r="J1596" s="29"/>
      <c r="K1596" s="29"/>
      <c r="L1596" s="29"/>
      <c r="M1596" s="29"/>
      <c r="N1596" s="29"/>
      <c r="O1596" s="32"/>
      <c r="P1596" s="29" t="str" cm="1">
        <f t="array" ref="P1596">IF(表成绩单[[#This Row],[语文]]="","",SUMPRODUCT((表成绩单[考试日期]=表成绩单[[#This Row],[考试日期]])*(表成绩单[语文]&lt;9E+307)*(表成绩单[语文]&gt;表成绩单[[#This Row],[语文]]))+1)</f>
        <v/>
      </c>
      <c r="Q1596" s="29" t="str" cm="1">
        <f t="array" ref="Q1596">IF(表成绩单[[#This Row],[数学]]="","",SUMPRODUCT((表成绩单[考试日期]=表成绩单[[#This Row],[考试日期]])*(表成绩单[数学]&lt;9E+307)*(表成绩单[数学]&gt;表成绩单[[#This Row],[数学]]))+1)</f>
        <v/>
      </c>
      <c r="R1596" s="29" t="str" cm="1">
        <f t="array" ref="R1596">IF(表成绩单[[#This Row],[英语]]="","",SUMPRODUCT((表成绩单[考试日期]=表成绩单[[#This Row],[考试日期]])*(表成绩单[英语]&lt;9E+307)*(表成绩单[英语]&gt;表成绩单[[#This Row],[英语]]))+1)</f>
        <v/>
      </c>
      <c r="S1596" s="29" t="str" cm="1">
        <f t="array" ref="S1596">IF(表成绩单[[#This Row],[物理]]="","",SUMPRODUCT((表成绩单[考试日期]=表成绩单[[#This Row],[考试日期]])*(表成绩单[物理]&lt;9E+307)*(表成绩单[物理]&gt;表成绩单[[#This Row],[物理]]))+1)</f>
        <v/>
      </c>
      <c r="T1596" s="29" t="str" cm="1">
        <f t="array" ref="T1596">IF(表成绩单[[#This Row],[化学]]="","",SUMPRODUCT((表成绩单[考试日期]=表成绩单[[#This Row],[考试日期]])*(表成绩单[化学]&lt;9E+307)*(表成绩单[化学]&gt;表成绩单[[#This Row],[化学]]))+1)</f>
        <v/>
      </c>
      <c r="U1596" s="29" t="str" cm="1">
        <f t="array" ref="U1596">IF(表成绩单[[#This Row],[政治]]="","",SUMPRODUCT((表成绩单[考试日期]=表成绩单[[#This Row],[考试日期]])*(表成绩单[政治]&lt;9E+307)*(表成绩单[政治]&gt;表成绩单[[#This Row],[政治]]))+1)</f>
        <v/>
      </c>
      <c r="V1596" s="29" t="str" cm="1">
        <f t="array" ref="V1596">IF(表成绩单[[#This Row],[历史]]="","",SUMPRODUCT((表成绩单[考试日期]=表成绩单[[#This Row],[考试日期]])*(表成绩单[历史]&lt;9E+307)*(表成绩单[历史]&gt;表成绩单[[#This Row],[历史]]))+1)</f>
        <v/>
      </c>
      <c r="W1596" s="29" t="str" cm="1">
        <f t="array" ref="W1596">IF(表成绩单[[#This Row],[总分]]="","",SUMPRODUCT((表成绩单[考试日期]=表成绩单[[#This Row],[考试日期]])*(表成绩单[总分]&lt;9E+307)*(表成绩单[总分]&gt;表成绩单[[#This Row],[总分]]))+1)</f>
        <v/>
      </c>
    </row>
    <row r="1597" ht="28" customHeight="1" spans="4:23">
      <c r="D1597" s="31">
        <v>46003</v>
      </c>
      <c r="E1597" s="29">
        <v>19178641</v>
      </c>
      <c r="F1597" s="29" t="s">
        <v>25</v>
      </c>
      <c r="G1597" s="29" t="s">
        <v>619</v>
      </c>
      <c r="H1597" s="29">
        <v>82</v>
      </c>
      <c r="I1597" s="29"/>
      <c r="J1597" s="29">
        <v>70.5</v>
      </c>
      <c r="K1597" s="29">
        <v>60</v>
      </c>
      <c r="L1597" s="29">
        <v>75</v>
      </c>
      <c r="M1597" s="29"/>
      <c r="N1597" s="29">
        <v>74</v>
      </c>
      <c r="O1597" s="32">
        <v>361.5</v>
      </c>
      <c r="P1597" s="29" cm="1">
        <f t="array" ref="P1597">IF(表成绩单[[#This Row],[语文]]="","",SUMPRODUCT((表成绩单[考试日期]=表成绩单[[#This Row],[考试日期]])*(表成绩单[语文]&lt;9E+307)*(表成绩单[语文]&gt;表成绩单[[#This Row],[语文]]))+1)</f>
        <v>657</v>
      </c>
      <c r="Q1597" s="29" t="str" cm="1">
        <f t="array" ref="Q1597">IF(表成绩单[[#This Row],[数学]]="","",SUMPRODUCT((表成绩单[考试日期]=表成绩单[[#This Row],[考试日期]])*(表成绩单[数学]&lt;9E+307)*(表成绩单[数学]&gt;表成绩单[[#This Row],[数学]]))+1)</f>
        <v/>
      </c>
      <c r="R1597" s="29" cm="1">
        <f t="array" ref="R1597">IF(表成绩单[[#This Row],[英语]]="","",SUMPRODUCT((表成绩单[考试日期]=表成绩单[[#This Row],[考试日期]])*(表成绩单[英语]&lt;9E+307)*(表成绩单[英语]&gt;表成绩单[[#This Row],[英语]]))+1)</f>
        <v>413</v>
      </c>
      <c r="S1597" s="29" cm="1">
        <f t="array" ref="S1597">IF(表成绩单[[#This Row],[物理]]="","",SUMPRODUCT((表成绩单[考试日期]=表成绩单[[#This Row],[考试日期]])*(表成绩单[物理]&lt;9E+307)*(表成绩单[物理]&gt;表成绩单[[#This Row],[物理]]))+1)</f>
        <v>585</v>
      </c>
      <c r="T1597" s="29" cm="1">
        <f t="array" ref="T1597">IF(表成绩单[[#This Row],[化学]]="","",SUMPRODUCT((表成绩单[考试日期]=表成绩单[[#This Row],[考试日期]])*(表成绩单[化学]&lt;9E+307)*(表成绩单[化学]&gt;表成绩单[[#This Row],[化学]]))+1)</f>
        <v>421</v>
      </c>
      <c r="U1597" s="29" t="str" cm="1">
        <f t="array" ref="U1597">IF(表成绩单[[#This Row],[政治]]="","",SUMPRODUCT((表成绩单[考试日期]=表成绩单[[#This Row],[考试日期]])*(表成绩单[政治]&lt;9E+307)*(表成绩单[政治]&gt;表成绩单[[#This Row],[政治]]))+1)</f>
        <v/>
      </c>
      <c r="V1597" s="29" cm="1">
        <f t="array" ref="V1597">IF(表成绩单[[#This Row],[历史]]="","",SUMPRODUCT((表成绩单[考试日期]=表成绩单[[#This Row],[考试日期]])*(表成绩单[历史]&lt;9E+307)*(表成绩单[历史]&gt;表成绩单[[#This Row],[历史]]))+1)</f>
        <v>371</v>
      </c>
      <c r="W1597" s="29" cm="1">
        <f t="array" ref="W1597">IF(表成绩单[[#This Row],[总分]]="","",SUMPRODUCT((表成绩单[考试日期]=表成绩单[[#This Row],[考试日期]])*(表成绩单[总分]&lt;9E+307)*(表成绩单[总分]&gt;表成绩单[[#This Row],[总分]]))+1)</f>
        <v>654</v>
      </c>
    </row>
    <row r="1598" ht="28" customHeight="1" spans="4:23">
      <c r="D1598" s="31">
        <v>46003</v>
      </c>
      <c r="E1598" s="29">
        <v>19178642</v>
      </c>
      <c r="F1598" s="29" t="s">
        <v>25</v>
      </c>
      <c r="G1598" s="29" t="s">
        <v>670</v>
      </c>
      <c r="H1598" s="29"/>
      <c r="I1598" s="29"/>
      <c r="J1598" s="29">
        <v>56.5</v>
      </c>
      <c r="K1598" s="29"/>
      <c r="L1598" s="29"/>
      <c r="M1598" s="29"/>
      <c r="N1598" s="29">
        <v>74</v>
      </c>
      <c r="O1598" s="32">
        <v>130.5</v>
      </c>
      <c r="P1598" s="29" t="str" cm="1">
        <f t="array" ref="P1598">IF(表成绩单[[#This Row],[语文]]="","",SUMPRODUCT((表成绩单[考试日期]=表成绩单[[#This Row],[考试日期]])*(表成绩单[语文]&lt;9E+307)*(表成绩单[语文]&gt;表成绩单[[#This Row],[语文]]))+1)</f>
        <v/>
      </c>
      <c r="Q1598" s="29" t="str" cm="1">
        <f t="array" ref="Q1598">IF(表成绩单[[#This Row],[数学]]="","",SUMPRODUCT((表成绩单[考试日期]=表成绩单[[#This Row],[考试日期]])*(表成绩单[数学]&lt;9E+307)*(表成绩单[数学]&gt;表成绩单[[#This Row],[数学]]))+1)</f>
        <v/>
      </c>
      <c r="R1598" s="29" cm="1">
        <f t="array" ref="R1598">IF(表成绩单[[#This Row],[英语]]="","",SUMPRODUCT((表成绩单[考试日期]=表成绩单[[#This Row],[考试日期]])*(表成绩单[英语]&lt;9E+307)*(表成绩单[英语]&gt;表成绩单[[#This Row],[英语]]))+1)</f>
        <v>557</v>
      </c>
      <c r="S1598" s="29" t="str" cm="1">
        <f t="array" ref="S1598">IF(表成绩单[[#This Row],[物理]]="","",SUMPRODUCT((表成绩单[考试日期]=表成绩单[[#This Row],[考试日期]])*(表成绩单[物理]&lt;9E+307)*(表成绩单[物理]&gt;表成绩单[[#This Row],[物理]]))+1)</f>
        <v/>
      </c>
      <c r="T1598" s="29" t="str" cm="1">
        <f t="array" ref="T1598">IF(表成绩单[[#This Row],[化学]]="","",SUMPRODUCT((表成绩单[考试日期]=表成绩单[[#This Row],[考试日期]])*(表成绩单[化学]&lt;9E+307)*(表成绩单[化学]&gt;表成绩单[[#This Row],[化学]]))+1)</f>
        <v/>
      </c>
      <c r="U1598" s="29" t="str" cm="1">
        <f t="array" ref="U1598">IF(表成绩单[[#This Row],[政治]]="","",SUMPRODUCT((表成绩单[考试日期]=表成绩单[[#This Row],[考试日期]])*(表成绩单[政治]&lt;9E+307)*(表成绩单[政治]&gt;表成绩单[[#This Row],[政治]]))+1)</f>
        <v/>
      </c>
      <c r="V1598" s="29" cm="1">
        <f t="array" ref="V1598">IF(表成绩单[[#This Row],[历史]]="","",SUMPRODUCT((表成绩单[考试日期]=表成绩单[[#This Row],[考试日期]])*(表成绩单[历史]&lt;9E+307)*(表成绩单[历史]&gt;表成绩单[[#This Row],[历史]]))+1)</f>
        <v>371</v>
      </c>
      <c r="W1598" s="29" cm="1">
        <f t="array" ref="W1598">IF(表成绩单[[#This Row],[总分]]="","",SUMPRODUCT((表成绩单[考试日期]=表成绩单[[#This Row],[考试日期]])*(表成绩单[总分]&lt;9E+307)*(表成绩单[总分]&gt;表成绩单[[#This Row],[总分]]))+1)</f>
        <v>736</v>
      </c>
    </row>
    <row r="1599" ht="28" customHeight="1" spans="4:23">
      <c r="D1599" s="31">
        <v>46003</v>
      </c>
      <c r="E1599" s="29">
        <v>19178644</v>
      </c>
      <c r="F1599" s="29" t="s">
        <v>25</v>
      </c>
      <c r="G1599" s="29" t="s">
        <v>508</v>
      </c>
      <c r="H1599" s="29"/>
      <c r="I1599" s="29"/>
      <c r="J1599" s="29"/>
      <c r="K1599" s="29"/>
      <c r="L1599" s="29"/>
      <c r="M1599" s="29"/>
      <c r="N1599" s="29"/>
      <c r="O1599" s="32"/>
      <c r="P1599" s="29" t="str" cm="1">
        <f t="array" ref="P1599">IF(表成绩单[[#This Row],[语文]]="","",SUMPRODUCT((表成绩单[考试日期]=表成绩单[[#This Row],[考试日期]])*(表成绩单[语文]&lt;9E+307)*(表成绩单[语文]&gt;表成绩单[[#This Row],[语文]]))+1)</f>
        <v/>
      </c>
      <c r="Q1599" s="29" t="str" cm="1">
        <f t="array" ref="Q1599">IF(表成绩单[[#This Row],[数学]]="","",SUMPRODUCT((表成绩单[考试日期]=表成绩单[[#This Row],[考试日期]])*(表成绩单[数学]&lt;9E+307)*(表成绩单[数学]&gt;表成绩单[[#This Row],[数学]]))+1)</f>
        <v/>
      </c>
      <c r="R1599" s="29" t="str" cm="1">
        <f t="array" ref="R1599">IF(表成绩单[[#This Row],[英语]]="","",SUMPRODUCT((表成绩单[考试日期]=表成绩单[[#This Row],[考试日期]])*(表成绩单[英语]&lt;9E+307)*(表成绩单[英语]&gt;表成绩单[[#This Row],[英语]]))+1)</f>
        <v/>
      </c>
      <c r="S1599" s="29" t="str" cm="1">
        <f t="array" ref="S1599">IF(表成绩单[[#This Row],[物理]]="","",SUMPRODUCT((表成绩单[考试日期]=表成绩单[[#This Row],[考试日期]])*(表成绩单[物理]&lt;9E+307)*(表成绩单[物理]&gt;表成绩单[[#This Row],[物理]]))+1)</f>
        <v/>
      </c>
      <c r="T1599" s="29" t="str" cm="1">
        <f t="array" ref="T1599">IF(表成绩单[[#This Row],[化学]]="","",SUMPRODUCT((表成绩单[考试日期]=表成绩单[[#This Row],[考试日期]])*(表成绩单[化学]&lt;9E+307)*(表成绩单[化学]&gt;表成绩单[[#This Row],[化学]]))+1)</f>
        <v/>
      </c>
      <c r="U1599" s="29" t="str" cm="1">
        <f t="array" ref="U1599">IF(表成绩单[[#This Row],[政治]]="","",SUMPRODUCT((表成绩单[考试日期]=表成绩单[[#This Row],[考试日期]])*(表成绩单[政治]&lt;9E+307)*(表成绩单[政治]&gt;表成绩单[[#This Row],[政治]]))+1)</f>
        <v/>
      </c>
      <c r="V1599" s="29" t="str" cm="1">
        <f t="array" ref="V1599">IF(表成绩单[[#This Row],[历史]]="","",SUMPRODUCT((表成绩单[考试日期]=表成绩单[[#This Row],[考试日期]])*(表成绩单[历史]&lt;9E+307)*(表成绩单[历史]&gt;表成绩单[[#This Row],[历史]]))+1)</f>
        <v/>
      </c>
      <c r="W1599" s="29" t="str" cm="1">
        <f t="array" ref="W1599">IF(表成绩单[[#This Row],[总分]]="","",SUMPRODUCT((表成绩单[考试日期]=表成绩单[[#This Row],[考试日期]])*(表成绩单[总分]&lt;9E+307)*(表成绩单[总分]&gt;表成绩单[[#This Row],[总分]]))+1)</f>
        <v/>
      </c>
    </row>
    <row r="1600" ht="28" customHeight="1" spans="4:23">
      <c r="D1600" s="31">
        <v>46003</v>
      </c>
      <c r="E1600" s="29">
        <v>19178645</v>
      </c>
      <c r="F1600" s="29" t="s">
        <v>25</v>
      </c>
      <c r="G1600" s="29" t="s">
        <v>323</v>
      </c>
      <c r="H1600" s="29"/>
      <c r="I1600" s="29"/>
      <c r="J1600" s="29"/>
      <c r="K1600" s="29"/>
      <c r="L1600" s="29"/>
      <c r="M1600" s="29"/>
      <c r="N1600" s="29"/>
      <c r="O1600" s="32"/>
      <c r="P1600" s="29" t="str" cm="1">
        <f t="array" ref="P1600">IF(表成绩单[[#This Row],[语文]]="","",SUMPRODUCT((表成绩单[考试日期]=表成绩单[[#This Row],[考试日期]])*(表成绩单[语文]&lt;9E+307)*(表成绩单[语文]&gt;表成绩单[[#This Row],[语文]]))+1)</f>
        <v/>
      </c>
      <c r="Q1600" s="29" t="str" cm="1">
        <f t="array" ref="Q1600">IF(表成绩单[[#This Row],[数学]]="","",SUMPRODUCT((表成绩单[考试日期]=表成绩单[[#This Row],[考试日期]])*(表成绩单[数学]&lt;9E+307)*(表成绩单[数学]&gt;表成绩单[[#This Row],[数学]]))+1)</f>
        <v/>
      </c>
      <c r="R1600" s="29" t="str" cm="1">
        <f t="array" ref="R1600">IF(表成绩单[[#This Row],[英语]]="","",SUMPRODUCT((表成绩单[考试日期]=表成绩单[[#This Row],[考试日期]])*(表成绩单[英语]&lt;9E+307)*(表成绩单[英语]&gt;表成绩单[[#This Row],[英语]]))+1)</f>
        <v/>
      </c>
      <c r="S1600" s="29" t="str" cm="1">
        <f t="array" ref="S1600">IF(表成绩单[[#This Row],[物理]]="","",SUMPRODUCT((表成绩单[考试日期]=表成绩单[[#This Row],[考试日期]])*(表成绩单[物理]&lt;9E+307)*(表成绩单[物理]&gt;表成绩单[[#This Row],[物理]]))+1)</f>
        <v/>
      </c>
      <c r="T1600" s="29" t="str" cm="1">
        <f t="array" ref="T1600">IF(表成绩单[[#This Row],[化学]]="","",SUMPRODUCT((表成绩单[考试日期]=表成绩单[[#This Row],[考试日期]])*(表成绩单[化学]&lt;9E+307)*(表成绩单[化学]&gt;表成绩单[[#This Row],[化学]]))+1)</f>
        <v/>
      </c>
      <c r="U1600" s="29" t="str" cm="1">
        <f t="array" ref="U1600">IF(表成绩单[[#This Row],[政治]]="","",SUMPRODUCT((表成绩单[考试日期]=表成绩单[[#This Row],[考试日期]])*(表成绩单[政治]&lt;9E+307)*(表成绩单[政治]&gt;表成绩单[[#This Row],[政治]]))+1)</f>
        <v/>
      </c>
      <c r="V1600" s="29" t="str" cm="1">
        <f t="array" ref="V1600">IF(表成绩单[[#This Row],[历史]]="","",SUMPRODUCT((表成绩单[考试日期]=表成绩单[[#This Row],[考试日期]])*(表成绩单[历史]&lt;9E+307)*(表成绩单[历史]&gt;表成绩单[[#This Row],[历史]]))+1)</f>
        <v/>
      </c>
      <c r="W1600" s="29" t="str" cm="1">
        <f t="array" ref="W1600">IF(表成绩单[[#This Row],[总分]]="","",SUMPRODUCT((表成绩单[考试日期]=表成绩单[[#This Row],[考试日期]])*(表成绩单[总分]&lt;9E+307)*(表成绩单[总分]&gt;表成绩单[[#This Row],[总分]]))+1)</f>
        <v/>
      </c>
    </row>
    <row r="1601" ht="28" customHeight="1" spans="4:23">
      <c r="D1601" s="31">
        <v>46003</v>
      </c>
      <c r="E1601" s="29">
        <v>19178647</v>
      </c>
      <c r="F1601" s="29" t="s">
        <v>25</v>
      </c>
      <c r="G1601" s="29" t="s">
        <v>219</v>
      </c>
      <c r="H1601" s="29"/>
      <c r="I1601" s="29"/>
      <c r="J1601" s="29">
        <v>64.5</v>
      </c>
      <c r="K1601" s="29"/>
      <c r="L1601" s="29"/>
      <c r="M1601" s="29"/>
      <c r="N1601" s="29">
        <v>77</v>
      </c>
      <c r="O1601" s="32">
        <v>141.5</v>
      </c>
      <c r="P1601" s="29" t="str" cm="1">
        <f t="array" ref="P1601">IF(表成绩单[[#This Row],[语文]]="","",SUMPRODUCT((表成绩单[考试日期]=表成绩单[[#This Row],[考试日期]])*(表成绩单[语文]&lt;9E+307)*(表成绩单[语文]&gt;表成绩单[[#This Row],[语文]]))+1)</f>
        <v/>
      </c>
      <c r="Q1601" s="29" t="str" cm="1">
        <f t="array" ref="Q1601">IF(表成绩单[[#This Row],[数学]]="","",SUMPRODUCT((表成绩单[考试日期]=表成绩单[[#This Row],[考试日期]])*(表成绩单[数学]&lt;9E+307)*(表成绩单[数学]&gt;表成绩单[[#This Row],[数学]]))+1)</f>
        <v/>
      </c>
      <c r="R1601" s="29" cm="1">
        <f t="array" ref="R1601">IF(表成绩单[[#This Row],[英语]]="","",SUMPRODUCT((表成绩单[考试日期]=表成绩单[[#This Row],[考试日期]])*(表成绩单[英语]&lt;9E+307)*(表成绩单[英语]&gt;表成绩单[[#This Row],[英语]]))+1)</f>
        <v>484</v>
      </c>
      <c r="S1601" s="29" t="str" cm="1">
        <f t="array" ref="S1601">IF(表成绩单[[#This Row],[物理]]="","",SUMPRODUCT((表成绩单[考试日期]=表成绩单[[#This Row],[考试日期]])*(表成绩单[物理]&lt;9E+307)*(表成绩单[物理]&gt;表成绩单[[#This Row],[物理]]))+1)</f>
        <v/>
      </c>
      <c r="T1601" s="29" t="str" cm="1">
        <f t="array" ref="T1601">IF(表成绩单[[#This Row],[化学]]="","",SUMPRODUCT((表成绩单[考试日期]=表成绩单[[#This Row],[考试日期]])*(表成绩单[化学]&lt;9E+307)*(表成绩单[化学]&gt;表成绩单[[#This Row],[化学]]))+1)</f>
        <v/>
      </c>
      <c r="U1601" s="29" t="str" cm="1">
        <f t="array" ref="U1601">IF(表成绩单[[#This Row],[政治]]="","",SUMPRODUCT((表成绩单[考试日期]=表成绩单[[#This Row],[考试日期]])*(表成绩单[政治]&lt;9E+307)*(表成绩单[政治]&gt;表成绩单[[#This Row],[政治]]))+1)</f>
        <v/>
      </c>
      <c r="V1601" s="29" cm="1">
        <f t="array" ref="V1601">IF(表成绩单[[#This Row],[历史]]="","",SUMPRODUCT((表成绩单[考试日期]=表成绩单[[#This Row],[考试日期]])*(表成绩单[历史]&lt;9E+307)*(表成绩单[历史]&gt;表成绩单[[#This Row],[历史]]))+1)</f>
        <v>235</v>
      </c>
      <c r="W1601" s="29" cm="1">
        <f t="array" ref="W1601">IF(表成绩单[[#This Row],[总分]]="","",SUMPRODUCT((表成绩单[考试日期]=表成绩单[[#This Row],[考试日期]])*(表成绩单[总分]&lt;9E+307)*(表成绩单[总分]&gt;表成绩单[[#This Row],[总分]]))+1)</f>
        <v>735</v>
      </c>
    </row>
    <row r="1602" ht="28" customHeight="1" spans="4:23">
      <c r="D1602" s="31">
        <v>46003</v>
      </c>
      <c r="E1602" s="29">
        <v>24038265</v>
      </c>
      <c r="F1602" s="29" t="s">
        <v>60</v>
      </c>
      <c r="G1602" s="29" t="s">
        <v>757</v>
      </c>
      <c r="H1602" s="29"/>
      <c r="I1602" s="29"/>
      <c r="J1602" s="29"/>
      <c r="K1602" s="29"/>
      <c r="L1602" s="29"/>
      <c r="M1602" s="29"/>
      <c r="N1602" s="29"/>
      <c r="O1602" s="32"/>
      <c r="P1602" s="29" t="str" cm="1">
        <f t="array" ref="P1602">IF(表成绩单[[#This Row],[语文]]="","",SUMPRODUCT((表成绩单[考试日期]=表成绩单[[#This Row],[考试日期]])*(表成绩单[语文]&lt;9E+307)*(表成绩单[语文]&gt;表成绩单[[#This Row],[语文]]))+1)</f>
        <v/>
      </c>
      <c r="Q1602" s="29" t="str" cm="1">
        <f t="array" ref="Q1602">IF(表成绩单[[#This Row],[数学]]="","",SUMPRODUCT((表成绩单[考试日期]=表成绩单[[#This Row],[考试日期]])*(表成绩单[数学]&lt;9E+307)*(表成绩单[数学]&gt;表成绩单[[#This Row],[数学]]))+1)</f>
        <v/>
      </c>
      <c r="R1602" s="29" t="str" cm="1">
        <f t="array" ref="R1602">IF(表成绩单[[#This Row],[英语]]="","",SUMPRODUCT((表成绩单[考试日期]=表成绩单[[#This Row],[考试日期]])*(表成绩单[英语]&lt;9E+307)*(表成绩单[英语]&gt;表成绩单[[#This Row],[英语]]))+1)</f>
        <v/>
      </c>
      <c r="S1602" s="29" t="str" cm="1">
        <f t="array" ref="S1602">IF(表成绩单[[#This Row],[物理]]="","",SUMPRODUCT((表成绩单[考试日期]=表成绩单[[#This Row],[考试日期]])*(表成绩单[物理]&lt;9E+307)*(表成绩单[物理]&gt;表成绩单[[#This Row],[物理]]))+1)</f>
        <v/>
      </c>
      <c r="T1602" s="29" t="str" cm="1">
        <f t="array" ref="T1602">IF(表成绩单[[#This Row],[化学]]="","",SUMPRODUCT((表成绩单[考试日期]=表成绩单[[#This Row],[考试日期]])*(表成绩单[化学]&lt;9E+307)*(表成绩单[化学]&gt;表成绩单[[#This Row],[化学]]))+1)</f>
        <v/>
      </c>
      <c r="U1602" s="29" t="str" cm="1">
        <f t="array" ref="U1602">IF(表成绩单[[#This Row],[政治]]="","",SUMPRODUCT((表成绩单[考试日期]=表成绩单[[#This Row],[考试日期]])*(表成绩单[政治]&lt;9E+307)*(表成绩单[政治]&gt;表成绩单[[#This Row],[政治]]))+1)</f>
        <v/>
      </c>
      <c r="V1602" s="29" t="str" cm="1">
        <f t="array" ref="V1602">IF(表成绩单[[#This Row],[历史]]="","",SUMPRODUCT((表成绩单[考试日期]=表成绩单[[#This Row],[考试日期]])*(表成绩单[历史]&lt;9E+307)*(表成绩单[历史]&gt;表成绩单[[#This Row],[历史]]))+1)</f>
        <v/>
      </c>
      <c r="W1602" s="29" t="str" cm="1">
        <f t="array" ref="W1602">IF(表成绩单[[#This Row],[总分]]="","",SUMPRODUCT((表成绩单[考试日期]=表成绩单[[#This Row],[考试日期]])*(表成绩单[总分]&lt;9E+307)*(表成绩单[总分]&gt;表成绩单[[#This Row],[总分]]))+1)</f>
        <v/>
      </c>
    </row>
    <row r="1603" ht="28" customHeight="1" spans="4:23">
      <c r="D1603" s="31">
        <v>46003</v>
      </c>
      <c r="E1603" s="29">
        <v>26756399</v>
      </c>
      <c r="F1603" s="29" t="s">
        <v>58</v>
      </c>
      <c r="G1603" s="29" t="s">
        <v>610</v>
      </c>
      <c r="H1603" s="29"/>
      <c r="I1603" s="29"/>
      <c r="J1603" s="29"/>
      <c r="K1603" s="29"/>
      <c r="L1603" s="29"/>
      <c r="M1603" s="29"/>
      <c r="N1603" s="29"/>
      <c r="O1603" s="32"/>
      <c r="P1603" s="29" t="str" cm="1">
        <f t="array" ref="P1603">IF(表成绩单[[#This Row],[语文]]="","",SUMPRODUCT((表成绩单[考试日期]=表成绩单[[#This Row],[考试日期]])*(表成绩单[语文]&lt;9E+307)*(表成绩单[语文]&gt;表成绩单[[#This Row],[语文]]))+1)</f>
        <v/>
      </c>
      <c r="Q1603" s="29" t="str" cm="1">
        <f t="array" ref="Q1603">IF(表成绩单[[#This Row],[数学]]="","",SUMPRODUCT((表成绩单[考试日期]=表成绩单[[#This Row],[考试日期]])*(表成绩单[数学]&lt;9E+307)*(表成绩单[数学]&gt;表成绩单[[#This Row],[数学]]))+1)</f>
        <v/>
      </c>
      <c r="R1603" s="29" t="str" cm="1">
        <f t="array" ref="R1603">IF(表成绩单[[#This Row],[英语]]="","",SUMPRODUCT((表成绩单[考试日期]=表成绩单[[#This Row],[考试日期]])*(表成绩单[英语]&lt;9E+307)*(表成绩单[英语]&gt;表成绩单[[#This Row],[英语]]))+1)</f>
        <v/>
      </c>
      <c r="S1603" s="29" t="str" cm="1">
        <f t="array" ref="S1603">IF(表成绩单[[#This Row],[物理]]="","",SUMPRODUCT((表成绩单[考试日期]=表成绩单[[#This Row],[考试日期]])*(表成绩单[物理]&lt;9E+307)*(表成绩单[物理]&gt;表成绩单[[#This Row],[物理]]))+1)</f>
        <v/>
      </c>
      <c r="T1603" s="29" t="str" cm="1">
        <f t="array" ref="T1603">IF(表成绩单[[#This Row],[化学]]="","",SUMPRODUCT((表成绩单[考试日期]=表成绩单[[#This Row],[考试日期]])*(表成绩单[化学]&lt;9E+307)*(表成绩单[化学]&gt;表成绩单[[#This Row],[化学]]))+1)</f>
        <v/>
      </c>
      <c r="U1603" s="29" t="str" cm="1">
        <f t="array" ref="U1603">IF(表成绩单[[#This Row],[政治]]="","",SUMPRODUCT((表成绩单[考试日期]=表成绩单[[#This Row],[考试日期]])*(表成绩单[政治]&lt;9E+307)*(表成绩单[政治]&gt;表成绩单[[#This Row],[政治]]))+1)</f>
        <v/>
      </c>
      <c r="V1603" s="29" t="str" cm="1">
        <f t="array" ref="V1603">IF(表成绩单[[#This Row],[历史]]="","",SUMPRODUCT((表成绩单[考试日期]=表成绩单[[#This Row],[考试日期]])*(表成绩单[历史]&lt;9E+307)*(表成绩单[历史]&gt;表成绩单[[#This Row],[历史]]))+1)</f>
        <v/>
      </c>
      <c r="W1603" s="29" t="str" cm="1">
        <f t="array" ref="W1603">IF(表成绩单[[#This Row],[总分]]="","",SUMPRODUCT((表成绩单[考试日期]=表成绩单[[#This Row],[考试日期]])*(表成绩单[总分]&lt;9E+307)*(表成绩单[总分]&gt;表成绩单[[#This Row],[总分]]))+1)</f>
        <v/>
      </c>
    </row>
    <row r="1604" ht="28" customHeight="1" spans="4:23">
      <c r="D1604" s="31">
        <v>46003</v>
      </c>
      <c r="E1604" s="29">
        <v>33603967</v>
      </c>
      <c r="F1604" s="29" t="s">
        <v>66</v>
      </c>
      <c r="G1604" s="29" t="s">
        <v>744</v>
      </c>
      <c r="H1604" s="29"/>
      <c r="I1604" s="29"/>
      <c r="J1604" s="29"/>
      <c r="K1604" s="29"/>
      <c r="L1604" s="29"/>
      <c r="M1604" s="29"/>
      <c r="N1604" s="29"/>
      <c r="O1604" s="32"/>
      <c r="P1604" s="29" t="str" cm="1">
        <f t="array" ref="P1604">IF(表成绩单[[#This Row],[语文]]="","",SUMPRODUCT((表成绩单[考试日期]=表成绩单[[#This Row],[考试日期]])*(表成绩单[语文]&lt;9E+307)*(表成绩单[语文]&gt;表成绩单[[#This Row],[语文]]))+1)</f>
        <v/>
      </c>
      <c r="Q1604" s="29" t="str" cm="1">
        <f t="array" ref="Q1604">IF(表成绩单[[#This Row],[数学]]="","",SUMPRODUCT((表成绩单[考试日期]=表成绩单[[#This Row],[考试日期]])*(表成绩单[数学]&lt;9E+307)*(表成绩单[数学]&gt;表成绩单[[#This Row],[数学]]))+1)</f>
        <v/>
      </c>
      <c r="R1604" s="29" t="str" cm="1">
        <f t="array" ref="R1604">IF(表成绩单[[#This Row],[英语]]="","",SUMPRODUCT((表成绩单[考试日期]=表成绩单[[#This Row],[考试日期]])*(表成绩单[英语]&lt;9E+307)*(表成绩单[英语]&gt;表成绩单[[#This Row],[英语]]))+1)</f>
        <v/>
      </c>
      <c r="S1604" s="29" t="str" cm="1">
        <f t="array" ref="S1604">IF(表成绩单[[#This Row],[物理]]="","",SUMPRODUCT((表成绩单[考试日期]=表成绩单[[#This Row],[考试日期]])*(表成绩单[物理]&lt;9E+307)*(表成绩单[物理]&gt;表成绩单[[#This Row],[物理]]))+1)</f>
        <v/>
      </c>
      <c r="T1604" s="29" t="str" cm="1">
        <f t="array" ref="T1604">IF(表成绩单[[#This Row],[化学]]="","",SUMPRODUCT((表成绩单[考试日期]=表成绩单[[#This Row],[考试日期]])*(表成绩单[化学]&lt;9E+307)*(表成绩单[化学]&gt;表成绩单[[#This Row],[化学]]))+1)</f>
        <v/>
      </c>
      <c r="U1604" s="29" t="str" cm="1">
        <f t="array" ref="U1604">IF(表成绩单[[#This Row],[政治]]="","",SUMPRODUCT((表成绩单[考试日期]=表成绩单[[#This Row],[考试日期]])*(表成绩单[政治]&lt;9E+307)*(表成绩单[政治]&gt;表成绩单[[#This Row],[政治]]))+1)</f>
        <v/>
      </c>
      <c r="V1604" s="29" t="str" cm="1">
        <f t="array" ref="V1604">IF(表成绩单[[#This Row],[历史]]="","",SUMPRODUCT((表成绩单[考试日期]=表成绩单[[#This Row],[考试日期]])*(表成绩单[历史]&lt;9E+307)*(表成绩单[历史]&gt;表成绩单[[#This Row],[历史]]))+1)</f>
        <v/>
      </c>
      <c r="W1604" s="29" t="str" cm="1">
        <f t="array" ref="W1604">IF(表成绩单[[#This Row],[总分]]="","",SUMPRODUCT((表成绩单[考试日期]=表成绩单[[#This Row],[考试日期]])*(表成绩单[总分]&lt;9E+307)*(表成绩单[总分]&gt;表成绩单[[#This Row],[总分]]))+1)</f>
        <v/>
      </c>
    </row>
    <row r="1605" ht="28" customHeight="1" spans="4:23">
      <c r="D1605" s="31">
        <v>46003</v>
      </c>
      <c r="E1605" s="29">
        <v>36651092</v>
      </c>
      <c r="F1605" s="29" t="s">
        <v>25</v>
      </c>
      <c r="G1605" s="29" t="s">
        <v>439</v>
      </c>
      <c r="H1605" s="29"/>
      <c r="I1605" s="29"/>
      <c r="J1605" s="29"/>
      <c r="K1605" s="29"/>
      <c r="L1605" s="29"/>
      <c r="M1605" s="29"/>
      <c r="N1605" s="29"/>
      <c r="O1605" s="32"/>
      <c r="P1605" s="29" t="str" cm="1">
        <f t="array" ref="P1605">IF(表成绩单[[#This Row],[语文]]="","",SUMPRODUCT((表成绩单[考试日期]=表成绩单[[#This Row],[考试日期]])*(表成绩单[语文]&lt;9E+307)*(表成绩单[语文]&gt;表成绩单[[#This Row],[语文]]))+1)</f>
        <v/>
      </c>
      <c r="Q1605" s="29" t="str" cm="1">
        <f t="array" ref="Q1605">IF(表成绩单[[#This Row],[数学]]="","",SUMPRODUCT((表成绩单[考试日期]=表成绩单[[#This Row],[考试日期]])*(表成绩单[数学]&lt;9E+307)*(表成绩单[数学]&gt;表成绩单[[#This Row],[数学]]))+1)</f>
        <v/>
      </c>
      <c r="R1605" s="29" t="str" cm="1">
        <f t="array" ref="R1605">IF(表成绩单[[#This Row],[英语]]="","",SUMPRODUCT((表成绩单[考试日期]=表成绩单[[#This Row],[考试日期]])*(表成绩单[英语]&lt;9E+307)*(表成绩单[英语]&gt;表成绩单[[#This Row],[英语]]))+1)</f>
        <v/>
      </c>
      <c r="S1605" s="29" t="str" cm="1">
        <f t="array" ref="S1605">IF(表成绩单[[#This Row],[物理]]="","",SUMPRODUCT((表成绩单[考试日期]=表成绩单[[#This Row],[考试日期]])*(表成绩单[物理]&lt;9E+307)*(表成绩单[物理]&gt;表成绩单[[#This Row],[物理]]))+1)</f>
        <v/>
      </c>
      <c r="T1605" s="29" t="str" cm="1">
        <f t="array" ref="T1605">IF(表成绩单[[#This Row],[化学]]="","",SUMPRODUCT((表成绩单[考试日期]=表成绩单[[#This Row],[考试日期]])*(表成绩单[化学]&lt;9E+307)*(表成绩单[化学]&gt;表成绩单[[#This Row],[化学]]))+1)</f>
        <v/>
      </c>
      <c r="U1605" s="29" t="str" cm="1">
        <f t="array" ref="U1605">IF(表成绩单[[#This Row],[政治]]="","",SUMPRODUCT((表成绩单[考试日期]=表成绩单[[#This Row],[考试日期]])*(表成绩单[政治]&lt;9E+307)*(表成绩单[政治]&gt;表成绩单[[#This Row],[政治]]))+1)</f>
        <v/>
      </c>
      <c r="V1605" s="29" t="str" cm="1">
        <f t="array" ref="V1605">IF(表成绩单[[#This Row],[历史]]="","",SUMPRODUCT((表成绩单[考试日期]=表成绩单[[#This Row],[考试日期]])*(表成绩单[历史]&lt;9E+307)*(表成绩单[历史]&gt;表成绩单[[#This Row],[历史]]))+1)</f>
        <v/>
      </c>
      <c r="W1605" s="29" t="str" cm="1">
        <f t="array" ref="W1605">IF(表成绩单[[#This Row],[总分]]="","",SUMPRODUCT((表成绩单[考试日期]=表成绩单[[#This Row],[考试日期]])*(表成绩单[总分]&lt;9E+307)*(表成绩单[总分]&gt;表成绩单[[#This Row],[总分]]))+1)</f>
        <v/>
      </c>
    </row>
    <row r="1606" ht="28" customHeight="1" spans="4:23">
      <c r="D1606" s="31">
        <v>46003</v>
      </c>
      <c r="E1606" s="29">
        <v>36668257</v>
      </c>
      <c r="F1606" s="29" t="s">
        <v>66</v>
      </c>
      <c r="G1606" s="29" t="s">
        <v>489</v>
      </c>
      <c r="H1606" s="29"/>
      <c r="I1606" s="29"/>
      <c r="J1606" s="29">
        <v>77.5</v>
      </c>
      <c r="K1606" s="29"/>
      <c r="L1606" s="29"/>
      <c r="M1606" s="29"/>
      <c r="N1606" s="29">
        <v>75</v>
      </c>
      <c r="O1606" s="32">
        <v>152.5</v>
      </c>
      <c r="P1606" s="29" t="str" cm="1">
        <f t="array" ref="P1606">IF(表成绩单[[#This Row],[语文]]="","",SUMPRODUCT((表成绩单[考试日期]=表成绩单[[#This Row],[考试日期]])*(表成绩单[语文]&lt;9E+307)*(表成绩单[语文]&gt;表成绩单[[#This Row],[语文]]))+1)</f>
        <v/>
      </c>
      <c r="Q1606" s="29" t="str" cm="1">
        <f t="array" ref="Q1606">IF(表成绩单[[#This Row],[数学]]="","",SUMPRODUCT((表成绩单[考试日期]=表成绩单[[#This Row],[考试日期]])*(表成绩单[数学]&lt;9E+307)*(表成绩单[数学]&gt;表成绩单[[#This Row],[数学]]))+1)</f>
        <v/>
      </c>
      <c r="R1606" s="29" cm="1">
        <f t="array" ref="R1606">IF(表成绩单[[#This Row],[英语]]="","",SUMPRODUCT((表成绩单[考试日期]=表成绩单[[#This Row],[考试日期]])*(表成绩单[英语]&lt;9E+307)*(表成绩单[英语]&gt;表成绩单[[#This Row],[英语]]))+1)</f>
        <v>230</v>
      </c>
      <c r="S1606" s="29" t="str" cm="1">
        <f t="array" ref="S1606">IF(表成绩单[[#This Row],[物理]]="","",SUMPRODUCT((表成绩单[考试日期]=表成绩单[[#This Row],[考试日期]])*(表成绩单[物理]&lt;9E+307)*(表成绩单[物理]&gt;表成绩单[[#This Row],[物理]]))+1)</f>
        <v/>
      </c>
      <c r="T1606" s="29" t="str" cm="1">
        <f t="array" ref="T1606">IF(表成绩单[[#This Row],[化学]]="","",SUMPRODUCT((表成绩单[考试日期]=表成绩单[[#This Row],[考试日期]])*(表成绩单[化学]&lt;9E+307)*(表成绩单[化学]&gt;表成绩单[[#This Row],[化学]]))+1)</f>
        <v/>
      </c>
      <c r="U1606" s="29" t="str" cm="1">
        <f t="array" ref="U1606">IF(表成绩单[[#This Row],[政治]]="","",SUMPRODUCT((表成绩单[考试日期]=表成绩单[[#This Row],[考试日期]])*(表成绩单[政治]&lt;9E+307)*(表成绩单[政治]&gt;表成绩单[[#This Row],[政治]]))+1)</f>
        <v/>
      </c>
      <c r="V1606" s="29" cm="1">
        <f t="array" ref="V1606">IF(表成绩单[[#This Row],[历史]]="","",SUMPRODUCT((表成绩单[考试日期]=表成绩单[[#This Row],[考试日期]])*(表成绩单[历史]&lt;9E+307)*(表成绩单[历史]&gt;表成绩单[[#This Row],[历史]]))+1)</f>
        <v>329</v>
      </c>
      <c r="W1606" s="29" cm="1">
        <f t="array" ref="W1606">IF(表成绩单[[#This Row],[总分]]="","",SUMPRODUCT((表成绩单[考试日期]=表成绩单[[#This Row],[考试日期]])*(表成绩单[总分]&lt;9E+307)*(表成绩单[总分]&gt;表成绩单[[#This Row],[总分]]))+1)</f>
        <v>734</v>
      </c>
    </row>
    <row r="1607" ht="28" customHeight="1" spans="4:23">
      <c r="D1607" s="31">
        <v>46030</v>
      </c>
      <c r="E1607" s="29">
        <v>19176896</v>
      </c>
      <c r="F1607" s="29" t="s">
        <v>71</v>
      </c>
      <c r="G1607" s="29" t="s">
        <v>80</v>
      </c>
      <c r="H1607" s="29">
        <v>104</v>
      </c>
      <c r="I1607" s="29">
        <v>103</v>
      </c>
      <c r="J1607" s="29">
        <v>86.5</v>
      </c>
      <c r="K1607" s="29">
        <v>89</v>
      </c>
      <c r="L1607" s="29">
        <v>86</v>
      </c>
      <c r="M1607" s="29">
        <v>83</v>
      </c>
      <c r="N1607" s="29">
        <v>87</v>
      </c>
      <c r="O1607" s="32">
        <v>638.5</v>
      </c>
      <c r="P1607" s="29" cm="1">
        <f t="array" ref="P1607">IF(表成绩单[[#This Row],[语文]]="","",SUMPRODUCT((表成绩单[考试日期]=表成绩单[[#This Row],[考试日期]])*(表成绩单[语文]&lt;9E+307)*(表成绩单[语文]&gt;表成绩单[[#This Row],[语文]]))+1)</f>
        <v>82</v>
      </c>
      <c r="Q1607" s="29" cm="1">
        <f t="array" ref="Q1607">IF(表成绩单[[#This Row],[数学]]="","",SUMPRODUCT((表成绩单[考试日期]=表成绩单[[#This Row],[考试日期]])*(表成绩单[数学]&lt;9E+307)*(表成绩单[数学]&gt;表成绩单[[#This Row],[数学]]))+1)</f>
        <v>86</v>
      </c>
      <c r="R1607" s="29" cm="1">
        <f t="array" ref="R1607">IF(表成绩单[[#This Row],[英语]]="","",SUMPRODUCT((表成绩单[考试日期]=表成绩单[[#This Row],[考试日期]])*(表成绩单[英语]&lt;9E+307)*(表成绩单[英语]&gt;表成绩单[[#This Row],[英语]]))+1)</f>
        <v>1</v>
      </c>
      <c r="S1607" s="29" cm="1">
        <f t="array" ref="S1607">IF(表成绩单[[#This Row],[物理]]="","",SUMPRODUCT((表成绩单[考试日期]=表成绩单[[#This Row],[考试日期]])*(表成绩单[物理]&lt;9E+307)*(表成绩单[物理]&gt;表成绩单[[#This Row],[物理]]))+1)</f>
        <v>11</v>
      </c>
      <c r="T1607" s="29" cm="1">
        <f t="array" ref="T1607">IF(表成绩单[[#This Row],[化学]]="","",SUMPRODUCT((表成绩单[考试日期]=表成绩单[[#This Row],[考试日期]])*(表成绩单[化学]&lt;9E+307)*(表成绩单[化学]&gt;表成绩单[[#This Row],[化学]]))+1)</f>
        <v>3</v>
      </c>
      <c r="U1607" s="29" cm="1">
        <f t="array" ref="U1607">IF(表成绩单[[#This Row],[政治]]="","",SUMPRODUCT((表成绩单[考试日期]=表成绩单[[#This Row],[考试日期]])*(表成绩单[政治]&lt;9E+307)*(表成绩单[政治]&gt;表成绩单[[#This Row],[政治]]))+1)</f>
        <v>4</v>
      </c>
      <c r="V1607" s="29" cm="1">
        <f t="array" ref="V1607">IF(表成绩单[[#This Row],[历史]]="","",SUMPRODUCT((表成绩单[考试日期]=表成绩单[[#This Row],[考试日期]])*(表成绩单[历史]&lt;9E+307)*(表成绩单[历史]&gt;表成绩单[[#This Row],[历史]]))+1)</f>
        <v>4</v>
      </c>
      <c r="W1607" s="29" cm="1">
        <f t="array" ref="W1607">IF(表成绩单[[#This Row],[总分]]="","",SUMPRODUCT((表成绩单[考试日期]=表成绩单[[#This Row],[考试日期]])*(表成绩单[总分]&lt;9E+307)*(表成绩单[总分]&gt;表成绩单[[#This Row],[总分]]))+1)</f>
        <v>1</v>
      </c>
    </row>
    <row r="1608" ht="28" customHeight="1" spans="4:23">
      <c r="D1608" s="31">
        <v>46030</v>
      </c>
      <c r="E1608" s="29">
        <v>19176874</v>
      </c>
      <c r="F1608" s="29" t="s">
        <v>71</v>
      </c>
      <c r="G1608" s="29" t="s">
        <v>87</v>
      </c>
      <c r="H1608" s="29">
        <v>103</v>
      </c>
      <c r="I1608" s="29">
        <v>111</v>
      </c>
      <c r="J1608" s="29">
        <v>80</v>
      </c>
      <c r="K1608" s="29">
        <v>89</v>
      </c>
      <c r="L1608" s="29">
        <v>85</v>
      </c>
      <c r="M1608" s="29">
        <v>84</v>
      </c>
      <c r="N1608" s="29">
        <v>86</v>
      </c>
      <c r="O1608" s="32">
        <v>638</v>
      </c>
      <c r="P1608" s="29" cm="1">
        <f t="array" ref="P1608">IF(表成绩单[[#This Row],[语文]]="","",SUMPRODUCT((表成绩单[考试日期]=表成绩单[[#This Row],[考试日期]])*(表成绩单[语文]&lt;9E+307)*(表成绩单[语文]&gt;表成绩单[[#This Row],[语文]]))+1)</f>
        <v>105</v>
      </c>
      <c r="Q1608" s="29" cm="1">
        <f t="array" ref="Q1608">IF(表成绩单[[#This Row],[数学]]="","",SUMPRODUCT((表成绩单[考试日期]=表成绩单[[#This Row],[考试日期]])*(表成绩单[数学]&lt;9E+307)*(表成绩单[数学]&gt;表成绩单[[#This Row],[数学]]))+1)</f>
        <v>21</v>
      </c>
      <c r="R1608" s="29" cm="1">
        <f t="array" ref="R1608">IF(表成绩单[[#This Row],[英语]]="","",SUMPRODUCT((表成绩单[考试日期]=表成绩单[[#This Row],[考试日期]])*(表成绩单[英语]&lt;9E+307)*(表成绩单[英语]&gt;表成绩单[[#This Row],[英语]]))+1)</f>
        <v>27</v>
      </c>
      <c r="S1608" s="29" cm="1">
        <f t="array" ref="S1608">IF(表成绩单[[#This Row],[物理]]="","",SUMPRODUCT((表成绩单[考试日期]=表成绩单[[#This Row],[考试日期]])*(表成绩单[物理]&lt;9E+307)*(表成绩单[物理]&gt;表成绩单[[#This Row],[物理]]))+1)</f>
        <v>11</v>
      </c>
      <c r="T1608" s="29" cm="1">
        <f t="array" ref="T1608">IF(表成绩单[[#This Row],[化学]]="","",SUMPRODUCT((表成绩单[考试日期]=表成绩单[[#This Row],[考试日期]])*(表成绩单[化学]&lt;9E+307)*(表成绩单[化学]&gt;表成绩单[[#This Row],[化学]]))+1)</f>
        <v>8</v>
      </c>
      <c r="U1608" s="29" cm="1">
        <f t="array" ref="U1608">IF(表成绩单[[#This Row],[政治]]="","",SUMPRODUCT((表成绩单[考试日期]=表成绩单[[#This Row],[考试日期]])*(表成绩单[政治]&lt;9E+307)*(表成绩单[政治]&gt;表成绩单[[#This Row],[政治]]))+1)</f>
        <v>2</v>
      </c>
      <c r="V1608" s="29" cm="1">
        <f t="array" ref="V1608">IF(表成绩单[[#This Row],[历史]]="","",SUMPRODUCT((表成绩单[考试日期]=表成绩单[[#This Row],[考试日期]])*(表成绩单[历史]&lt;9E+307)*(表成绩单[历史]&gt;表成绩单[[#This Row],[历史]]))+1)</f>
        <v>10</v>
      </c>
      <c r="W1608" s="29" cm="1">
        <f t="array" ref="W1608">IF(表成绩单[[#This Row],[总分]]="","",SUMPRODUCT((表成绩单[考试日期]=表成绩单[[#This Row],[考试日期]])*(表成绩单[总分]&lt;9E+307)*(表成绩单[总分]&gt;表成绩单[[#This Row],[总分]]))+1)</f>
        <v>2</v>
      </c>
    </row>
    <row r="1609" ht="28" customHeight="1" spans="4:23">
      <c r="D1609" s="31">
        <v>46030</v>
      </c>
      <c r="E1609" s="29">
        <v>19175384</v>
      </c>
      <c r="F1609" s="29" t="s">
        <v>74</v>
      </c>
      <c r="G1609" s="29" t="s">
        <v>131</v>
      </c>
      <c r="H1609" s="29">
        <v>107</v>
      </c>
      <c r="I1609" s="29">
        <v>117</v>
      </c>
      <c r="J1609" s="29">
        <v>79.5</v>
      </c>
      <c r="K1609" s="29">
        <v>85</v>
      </c>
      <c r="L1609" s="29">
        <v>76</v>
      </c>
      <c r="M1609" s="29">
        <v>83</v>
      </c>
      <c r="N1609" s="29">
        <v>86</v>
      </c>
      <c r="O1609" s="32">
        <v>633.5</v>
      </c>
      <c r="P1609" s="29" cm="1">
        <f t="array" ref="P1609">IF(表成绩单[[#This Row],[语文]]="","",SUMPRODUCT((表成绩单[考试日期]=表成绩单[[#This Row],[考试日期]])*(表成绩单[语文]&lt;9E+307)*(表成绩单[语文]&gt;表成绩单[[#This Row],[语文]]))+1)</f>
        <v>38</v>
      </c>
      <c r="Q1609" s="29" cm="1">
        <f t="array" ref="Q1609">IF(表成绩单[[#This Row],[数学]]="","",SUMPRODUCT((表成绩单[考试日期]=表成绩单[[#This Row],[考试日期]])*(表成绩单[数学]&lt;9E+307)*(表成绩单[数学]&gt;表成绩单[[#This Row],[数学]]))+1)</f>
        <v>3</v>
      </c>
      <c r="R1609" s="29" cm="1">
        <f t="array" ref="R1609">IF(表成绩单[[#This Row],[英语]]="","",SUMPRODUCT((表成绩单[考试日期]=表成绩单[[#This Row],[考试日期]])*(表成绩单[英语]&lt;9E+307)*(表成绩单[英语]&gt;表成绩单[[#This Row],[英语]]))+1)</f>
        <v>41</v>
      </c>
      <c r="S1609" s="29" cm="1">
        <f t="array" ref="S1609">IF(表成绩单[[#This Row],[物理]]="","",SUMPRODUCT((表成绩单[考试日期]=表成绩单[[#This Row],[考试日期]])*(表成绩单[物理]&lt;9E+307)*(表成绩单[物理]&gt;表成绩单[[#This Row],[物理]]))+1)</f>
        <v>56</v>
      </c>
      <c r="T1609" s="29" cm="1">
        <f t="array" ref="T1609">IF(表成绩单[[#This Row],[化学]]="","",SUMPRODUCT((表成绩单[考试日期]=表成绩单[[#This Row],[考试日期]])*(表成绩单[化学]&lt;9E+307)*(表成绩单[化学]&gt;表成绩单[[#This Row],[化学]]))+1)</f>
        <v>139</v>
      </c>
      <c r="U1609" s="29" cm="1">
        <f t="array" ref="U1609">IF(表成绩单[[#This Row],[政治]]="","",SUMPRODUCT((表成绩单[考试日期]=表成绩单[[#This Row],[考试日期]])*(表成绩单[政治]&lt;9E+307)*(表成绩单[政治]&gt;表成绩单[[#This Row],[政治]]))+1)</f>
        <v>4</v>
      </c>
      <c r="V1609" s="29" cm="1">
        <f t="array" ref="V1609">IF(表成绩单[[#This Row],[历史]]="","",SUMPRODUCT((表成绩单[考试日期]=表成绩单[[#This Row],[考试日期]])*(表成绩单[历史]&lt;9E+307)*(表成绩单[历史]&gt;表成绩单[[#This Row],[历史]]))+1)</f>
        <v>10</v>
      </c>
      <c r="W1609" s="29" cm="1">
        <f t="array" ref="W1609">IF(表成绩单[[#This Row],[总分]]="","",SUMPRODUCT((表成绩单[考试日期]=表成绩单[[#This Row],[考试日期]])*(表成绩单[总分]&lt;9E+307)*(表成绩单[总分]&gt;表成绩单[[#This Row],[总分]]))+1)</f>
        <v>3</v>
      </c>
    </row>
    <row r="1610" ht="28" customHeight="1" spans="4:23">
      <c r="D1610" s="31">
        <v>46030</v>
      </c>
      <c r="E1610" s="29">
        <v>19173531</v>
      </c>
      <c r="F1610" s="29" t="s">
        <v>1</v>
      </c>
      <c r="G1610" s="29" t="s">
        <v>102</v>
      </c>
      <c r="H1610" s="29">
        <v>104</v>
      </c>
      <c r="I1610" s="29">
        <v>113</v>
      </c>
      <c r="J1610" s="29">
        <v>75.5</v>
      </c>
      <c r="K1610" s="29">
        <v>88</v>
      </c>
      <c r="L1610" s="29">
        <v>86</v>
      </c>
      <c r="M1610" s="29">
        <v>79</v>
      </c>
      <c r="N1610" s="29">
        <v>85</v>
      </c>
      <c r="O1610" s="32">
        <v>630.5</v>
      </c>
      <c r="P1610" s="29" cm="1">
        <f t="array" ref="P1610">IF(表成绩单[[#This Row],[语文]]="","",SUMPRODUCT((表成绩单[考试日期]=表成绩单[[#This Row],[考试日期]])*(表成绩单[语文]&lt;9E+307)*(表成绩单[语文]&gt;表成绩单[[#This Row],[语文]]))+1)</f>
        <v>82</v>
      </c>
      <c r="Q1610" s="29" cm="1">
        <f t="array" ref="Q1610">IF(表成绩单[[#This Row],[数学]]="","",SUMPRODUCT((表成绩单[考试日期]=表成绩单[[#This Row],[考试日期]])*(表成绩单[数学]&lt;9E+307)*(表成绩单[数学]&gt;表成绩单[[#This Row],[数学]]))+1)</f>
        <v>11</v>
      </c>
      <c r="R1610" s="29" cm="1">
        <f t="array" ref="R1610">IF(表成绩单[[#This Row],[英语]]="","",SUMPRODUCT((表成绩单[考试日期]=表成绩单[[#This Row],[考试日期]])*(表成绩单[英语]&lt;9E+307)*(表成绩单[英语]&gt;表成绩单[[#This Row],[英语]]))+1)</f>
        <v>145</v>
      </c>
      <c r="S1610" s="29" cm="1">
        <f t="array" ref="S1610">IF(表成绩单[[#This Row],[物理]]="","",SUMPRODUCT((表成绩单[考试日期]=表成绩单[[#This Row],[考试日期]])*(表成绩单[物理]&lt;9E+307)*(表成绩单[物理]&gt;表成绩单[[#This Row],[物理]]))+1)</f>
        <v>21</v>
      </c>
      <c r="T1610" s="29" cm="1">
        <f t="array" ref="T1610">IF(表成绩单[[#This Row],[化学]]="","",SUMPRODUCT((表成绩单[考试日期]=表成绩单[[#This Row],[考试日期]])*(表成绩单[化学]&lt;9E+307)*(表成绩单[化学]&gt;表成绩单[[#This Row],[化学]]))+1)</f>
        <v>3</v>
      </c>
      <c r="U1610" s="29" cm="1">
        <f t="array" ref="U1610">IF(表成绩单[[#This Row],[政治]]="","",SUMPRODUCT((表成绩单[考试日期]=表成绩单[[#This Row],[考试日期]])*(表成绩单[政治]&lt;9E+307)*(表成绩单[政治]&gt;表成绩单[[#This Row],[政治]]))+1)</f>
        <v>42</v>
      </c>
      <c r="V1610" s="29" cm="1">
        <f t="array" ref="V1610">IF(表成绩单[[#This Row],[历史]]="","",SUMPRODUCT((表成绩单[考试日期]=表成绩单[[#This Row],[考试日期]])*(表成绩单[历史]&lt;9E+307)*(表成绩单[历史]&gt;表成绩单[[#This Row],[历史]]))+1)</f>
        <v>18</v>
      </c>
      <c r="W1610" s="29" cm="1">
        <f t="array" ref="W1610">IF(表成绩单[[#This Row],[总分]]="","",SUMPRODUCT((表成绩单[考试日期]=表成绩单[[#This Row],[考试日期]])*(表成绩单[总分]&lt;9E+307)*(表成绩单[总分]&gt;表成绩单[[#This Row],[总分]]))+1)</f>
        <v>4</v>
      </c>
    </row>
    <row r="1611" ht="28" customHeight="1" spans="4:23">
      <c r="D1611" s="31">
        <v>46030</v>
      </c>
      <c r="E1611" s="29">
        <v>19175395</v>
      </c>
      <c r="F1611" s="29" t="s">
        <v>74</v>
      </c>
      <c r="G1611" s="29" t="s">
        <v>111</v>
      </c>
      <c r="H1611" s="29">
        <v>101</v>
      </c>
      <c r="I1611" s="29">
        <v>118</v>
      </c>
      <c r="J1611" s="29">
        <v>76</v>
      </c>
      <c r="K1611" s="29">
        <v>87</v>
      </c>
      <c r="L1611" s="29">
        <v>77</v>
      </c>
      <c r="M1611" s="29">
        <v>83</v>
      </c>
      <c r="N1611" s="29">
        <v>87</v>
      </c>
      <c r="O1611" s="32">
        <v>629</v>
      </c>
      <c r="P1611" s="29" cm="1">
        <f t="array" ref="P1611">IF(表成绩单[[#This Row],[语文]]="","",SUMPRODUCT((表成绩单[考试日期]=表成绩单[[#This Row],[考试日期]])*(表成绩单[语文]&lt;9E+307)*(表成绩单[语文]&gt;表成绩单[[#This Row],[语文]]))+1)</f>
        <v>159</v>
      </c>
      <c r="Q1611" s="29" cm="1">
        <f t="array" ref="Q1611">IF(表成绩单[[#This Row],[数学]]="","",SUMPRODUCT((表成绩单[考试日期]=表成绩单[[#This Row],[考试日期]])*(表成绩单[数学]&lt;9E+307)*(表成绩单[数学]&gt;表成绩单[[#This Row],[数学]]))+1)</f>
        <v>1</v>
      </c>
      <c r="R1611" s="29" cm="1">
        <f t="array" ref="R1611">IF(表成绩单[[#This Row],[英语]]="","",SUMPRODUCT((表成绩单[考试日期]=表成绩单[[#This Row],[考试日期]])*(表成绩单[英语]&lt;9E+307)*(表成绩单[英语]&gt;表成绩单[[#This Row],[英语]]))+1)</f>
        <v>126</v>
      </c>
      <c r="S1611" s="29" cm="1">
        <f t="array" ref="S1611">IF(表成绩单[[#This Row],[物理]]="","",SUMPRODUCT((表成绩单[考试日期]=表成绩单[[#This Row],[考试日期]])*(表成绩单[物理]&lt;9E+307)*(表成绩单[物理]&gt;表成绩单[[#This Row],[物理]]))+1)</f>
        <v>27</v>
      </c>
      <c r="T1611" s="29" cm="1">
        <f t="array" ref="T1611">IF(表成绩单[[#This Row],[化学]]="","",SUMPRODUCT((表成绩单[考试日期]=表成绩单[[#This Row],[考试日期]])*(表成绩单[化学]&lt;9E+307)*(表成绩单[化学]&gt;表成绩单[[#This Row],[化学]]))+1)</f>
        <v>116</v>
      </c>
      <c r="U1611" s="29" cm="1">
        <f t="array" ref="U1611">IF(表成绩单[[#This Row],[政治]]="","",SUMPRODUCT((表成绩单[考试日期]=表成绩单[[#This Row],[考试日期]])*(表成绩单[政治]&lt;9E+307)*(表成绩单[政治]&gt;表成绩单[[#This Row],[政治]]))+1)</f>
        <v>4</v>
      </c>
      <c r="V1611" s="29" cm="1">
        <f t="array" ref="V1611">IF(表成绩单[[#This Row],[历史]]="","",SUMPRODUCT((表成绩单[考试日期]=表成绩单[[#This Row],[考试日期]])*(表成绩单[历史]&lt;9E+307)*(表成绩单[历史]&gt;表成绩单[[#This Row],[历史]]))+1)</f>
        <v>4</v>
      </c>
      <c r="W1611" s="29" cm="1">
        <f t="array" ref="W1611">IF(表成绩单[[#This Row],[总分]]="","",SUMPRODUCT((表成绩单[考试日期]=表成绩单[[#This Row],[考试日期]])*(表成绩单[总分]&lt;9E+307)*(表成绩单[总分]&gt;表成绩单[[#This Row],[总分]]))+1)</f>
        <v>5</v>
      </c>
    </row>
    <row r="1612" ht="28" customHeight="1" spans="4:23">
      <c r="D1612" s="31">
        <v>46030</v>
      </c>
      <c r="E1612" s="29">
        <v>19173523</v>
      </c>
      <c r="F1612" s="29" t="s">
        <v>1</v>
      </c>
      <c r="G1612" s="29" t="s">
        <v>119</v>
      </c>
      <c r="H1612" s="29">
        <v>107</v>
      </c>
      <c r="I1612" s="29">
        <v>118</v>
      </c>
      <c r="J1612" s="29">
        <v>83.5</v>
      </c>
      <c r="K1612" s="29">
        <v>86</v>
      </c>
      <c r="L1612" s="29">
        <v>76</v>
      </c>
      <c r="M1612" s="29">
        <v>79</v>
      </c>
      <c r="N1612" s="29">
        <v>79</v>
      </c>
      <c r="O1612" s="32">
        <v>628.5</v>
      </c>
      <c r="P1612" s="29" cm="1">
        <f t="array" ref="P1612">IF(表成绩单[[#This Row],[语文]]="","",SUMPRODUCT((表成绩单[考试日期]=表成绩单[[#This Row],[考试日期]])*(表成绩单[语文]&lt;9E+307)*(表成绩单[语文]&gt;表成绩单[[#This Row],[语文]]))+1)</f>
        <v>38</v>
      </c>
      <c r="Q1612" s="29" cm="1">
        <f t="array" ref="Q1612">IF(表成绩单[[#This Row],[数学]]="","",SUMPRODUCT((表成绩单[考试日期]=表成绩单[[#This Row],[考试日期]])*(表成绩单[数学]&lt;9E+307)*(表成绩单[数学]&gt;表成绩单[[#This Row],[数学]]))+1)</f>
        <v>1</v>
      </c>
      <c r="R1612" s="29" cm="1">
        <f t="array" ref="R1612">IF(表成绩单[[#This Row],[英语]]="","",SUMPRODUCT((表成绩单[考试日期]=表成绩单[[#This Row],[考试日期]])*(表成绩单[英语]&lt;9E+307)*(表成绩单[英语]&gt;表成绩单[[#This Row],[英语]]))+1)</f>
        <v>7</v>
      </c>
      <c r="S1612" s="29" cm="1">
        <f t="array" ref="S1612">IF(表成绩单[[#This Row],[物理]]="","",SUMPRODUCT((表成绩单[考试日期]=表成绩单[[#This Row],[考试日期]])*(表成绩单[物理]&lt;9E+307)*(表成绩单[物理]&gt;表成绩单[[#This Row],[物理]]))+1)</f>
        <v>42</v>
      </c>
      <c r="T1612" s="29" cm="1">
        <f t="array" ref="T1612">IF(表成绩单[[#This Row],[化学]]="","",SUMPRODUCT((表成绩单[考试日期]=表成绩单[[#This Row],[考试日期]])*(表成绩单[化学]&lt;9E+307)*(表成绩单[化学]&gt;表成绩单[[#This Row],[化学]]))+1)</f>
        <v>139</v>
      </c>
      <c r="U1612" s="29" cm="1">
        <f t="array" ref="U1612">IF(表成绩单[[#This Row],[政治]]="","",SUMPRODUCT((表成绩单[考试日期]=表成绩单[[#This Row],[考试日期]])*(表成绩单[政治]&lt;9E+307)*(表成绩单[政治]&gt;表成绩单[[#This Row],[政治]]))+1)</f>
        <v>42</v>
      </c>
      <c r="V1612" s="29" cm="1">
        <f t="array" ref="V1612">IF(表成绩单[[#This Row],[历史]]="","",SUMPRODUCT((表成绩单[考试日期]=表成绩单[[#This Row],[考试日期]])*(表成绩单[历史]&lt;9E+307)*(表成绩单[历史]&gt;表成绩单[[#This Row],[历史]]))+1)</f>
        <v>104</v>
      </c>
      <c r="W1612" s="29" cm="1">
        <f t="array" ref="W1612">IF(表成绩单[[#This Row],[总分]]="","",SUMPRODUCT((表成绩单[考试日期]=表成绩单[[#This Row],[考试日期]])*(表成绩单[总分]&lt;9E+307)*(表成绩单[总分]&gt;表成绩单[[#This Row],[总分]]))+1)</f>
        <v>6</v>
      </c>
    </row>
    <row r="1613" ht="28" customHeight="1" spans="4:23">
      <c r="D1613" s="31">
        <v>46030</v>
      </c>
      <c r="E1613" s="29">
        <v>19175416</v>
      </c>
      <c r="F1613" s="29" t="s">
        <v>74</v>
      </c>
      <c r="G1613" s="29" t="s">
        <v>99</v>
      </c>
      <c r="H1613" s="29">
        <v>107</v>
      </c>
      <c r="I1613" s="29">
        <v>108</v>
      </c>
      <c r="J1613" s="29">
        <v>81</v>
      </c>
      <c r="K1613" s="29">
        <v>87</v>
      </c>
      <c r="L1613" s="29">
        <v>81</v>
      </c>
      <c r="M1613" s="29">
        <v>82</v>
      </c>
      <c r="N1613" s="29">
        <v>82</v>
      </c>
      <c r="O1613" s="32">
        <v>628</v>
      </c>
      <c r="P1613" s="29" cm="1">
        <f t="array" ref="P1613">IF(表成绩单[[#This Row],[语文]]="","",SUMPRODUCT((表成绩单[考试日期]=表成绩单[[#This Row],[考试日期]])*(表成绩单[语文]&lt;9E+307)*(表成绩单[语文]&gt;表成绩单[[#This Row],[语文]]))+1)</f>
        <v>38</v>
      </c>
      <c r="Q1613" s="29" cm="1">
        <f t="array" ref="Q1613">IF(表成绩单[[#This Row],[数学]]="","",SUMPRODUCT((表成绩单[考试日期]=表成绩单[[#This Row],[考试日期]])*(表成绩单[数学]&lt;9E+307)*(表成绩单[数学]&gt;表成绩单[[#This Row],[数学]]))+1)</f>
        <v>44</v>
      </c>
      <c r="R1613" s="29" cm="1">
        <f t="array" ref="R1613">IF(表成绩单[[#This Row],[英语]]="","",SUMPRODUCT((表成绩单[考试日期]=表成绩单[[#This Row],[考试日期]])*(表成绩单[英语]&lt;9E+307)*(表成绩单[英语]&gt;表成绩单[[#This Row],[英语]]))+1)</f>
        <v>19</v>
      </c>
      <c r="S1613" s="29" cm="1">
        <f t="array" ref="S1613">IF(表成绩单[[#This Row],[物理]]="","",SUMPRODUCT((表成绩单[考试日期]=表成绩单[[#This Row],[考试日期]])*(表成绩单[物理]&lt;9E+307)*(表成绩单[物理]&gt;表成绩单[[#This Row],[物理]]))+1)</f>
        <v>27</v>
      </c>
      <c r="T1613" s="29" cm="1">
        <f t="array" ref="T1613">IF(表成绩单[[#This Row],[化学]]="","",SUMPRODUCT((表成绩单[考试日期]=表成绩单[[#This Row],[考试日期]])*(表成绩单[化学]&lt;9E+307)*(表成绩单[化学]&gt;表成绩单[[#This Row],[化学]]))+1)</f>
        <v>43</v>
      </c>
      <c r="U1613" s="29" cm="1">
        <f t="array" ref="U1613">IF(表成绩单[[#This Row],[政治]]="","",SUMPRODUCT((表成绩单[考试日期]=表成绩单[[#This Row],[考试日期]])*(表成绩单[政治]&lt;9E+307)*(表成绩单[政治]&gt;表成绩单[[#This Row],[政治]]))+1)</f>
        <v>12</v>
      </c>
      <c r="V1613" s="29" cm="1">
        <f t="array" ref="V1613">IF(表成绩单[[#This Row],[历史]]="","",SUMPRODUCT((表成绩单[考试日期]=表成绩单[[#This Row],[考试日期]])*(表成绩单[历史]&lt;9E+307)*(表成绩单[历史]&gt;表成绩单[[#This Row],[历史]]))+1)</f>
        <v>41</v>
      </c>
      <c r="W1613" s="29" cm="1">
        <f t="array" ref="W1613">IF(表成绩单[[#This Row],[总分]]="","",SUMPRODUCT((表成绩单[考试日期]=表成绩单[[#This Row],[考试日期]])*(表成绩单[总分]&lt;9E+307)*(表成绩单[总分]&gt;表成绩单[[#This Row],[总分]]))+1)</f>
        <v>7</v>
      </c>
    </row>
    <row r="1614" ht="28" customHeight="1" spans="4:23">
      <c r="D1614" s="31">
        <v>46030</v>
      </c>
      <c r="E1614" s="29">
        <v>19175396</v>
      </c>
      <c r="F1614" s="29" t="s">
        <v>74</v>
      </c>
      <c r="G1614" s="29" t="s">
        <v>98</v>
      </c>
      <c r="H1614" s="29">
        <v>100</v>
      </c>
      <c r="I1614" s="29">
        <v>115</v>
      </c>
      <c r="J1614" s="29">
        <v>79.5</v>
      </c>
      <c r="K1614" s="29">
        <v>90</v>
      </c>
      <c r="L1614" s="29">
        <v>83</v>
      </c>
      <c r="M1614" s="29">
        <v>78</v>
      </c>
      <c r="N1614" s="29">
        <v>82</v>
      </c>
      <c r="O1614" s="32">
        <v>627.5</v>
      </c>
      <c r="P1614" s="29" cm="1">
        <f t="array" ref="P1614">IF(表成绩单[[#This Row],[语文]]="","",SUMPRODUCT((表成绩单[考试日期]=表成绩单[[#This Row],[考试日期]])*(表成绩单[语文]&lt;9E+307)*(表成绩单[语文]&gt;表成绩单[[#This Row],[语文]]))+1)</f>
        <v>182</v>
      </c>
      <c r="Q1614" s="29" cm="1">
        <f t="array" ref="Q1614">IF(表成绩单[[#This Row],[数学]]="","",SUMPRODUCT((表成绩单[考试日期]=表成绩单[[#This Row],[考试日期]])*(表成绩单[数学]&lt;9E+307)*(表成绩单[数学]&gt;表成绩单[[#This Row],[数学]]))+1)</f>
        <v>6</v>
      </c>
      <c r="R1614" s="29" cm="1">
        <f t="array" ref="R1614">IF(表成绩单[[#This Row],[英语]]="","",SUMPRODUCT((表成绩单[考试日期]=表成绩单[[#This Row],[考试日期]])*(表成绩单[英语]&lt;9E+307)*(表成绩单[英语]&gt;表成绩单[[#This Row],[英语]]))+1)</f>
        <v>41</v>
      </c>
      <c r="S1614" s="29" cm="1">
        <f t="array" ref="S1614">IF(表成绩单[[#This Row],[物理]]="","",SUMPRODUCT((表成绩单[考试日期]=表成绩单[[#This Row],[考试日期]])*(表成绩单[物理]&lt;9E+307)*(表成绩单[物理]&gt;表成绩单[[#This Row],[物理]]))+1)</f>
        <v>1</v>
      </c>
      <c r="T1614" s="29" cm="1">
        <f t="array" ref="T1614">IF(表成绩单[[#This Row],[化学]]="","",SUMPRODUCT((表成绩单[考试日期]=表成绩单[[#This Row],[考试日期]])*(表成绩单[化学]&lt;9E+307)*(表成绩单[化学]&gt;表成绩单[[#This Row],[化学]]))+1)</f>
        <v>15</v>
      </c>
      <c r="U1614" s="29" cm="1">
        <f t="array" ref="U1614">IF(表成绩单[[#This Row],[政治]]="","",SUMPRODUCT((表成绩单[考试日期]=表成绩单[[#This Row],[考试日期]])*(表成绩单[政治]&lt;9E+307)*(表成绩单[政治]&gt;表成绩单[[#This Row],[政治]]))+1)</f>
        <v>65</v>
      </c>
      <c r="V1614" s="29" cm="1">
        <f t="array" ref="V1614">IF(表成绩单[[#This Row],[历史]]="","",SUMPRODUCT((表成绩单[考试日期]=表成绩单[[#This Row],[考试日期]])*(表成绩单[历史]&lt;9E+307)*(表成绩单[历史]&gt;表成绩单[[#This Row],[历史]]))+1)</f>
        <v>41</v>
      </c>
      <c r="W1614" s="29" cm="1">
        <f t="array" ref="W1614">IF(表成绩单[[#This Row],[总分]]="","",SUMPRODUCT((表成绩单[考试日期]=表成绩单[[#This Row],[考试日期]])*(表成绩单[总分]&lt;9E+307)*(表成绩单[总分]&gt;表成绩单[[#This Row],[总分]]))+1)</f>
        <v>8</v>
      </c>
    </row>
    <row r="1615" ht="28" customHeight="1" spans="4:23">
      <c r="D1615" s="31">
        <v>46030</v>
      </c>
      <c r="E1615" s="29">
        <v>19175400</v>
      </c>
      <c r="F1615" s="29" t="s">
        <v>74</v>
      </c>
      <c r="G1615" s="29" t="s">
        <v>84</v>
      </c>
      <c r="H1615" s="29">
        <v>104</v>
      </c>
      <c r="I1615" s="29">
        <v>105</v>
      </c>
      <c r="J1615" s="29">
        <v>81</v>
      </c>
      <c r="K1615" s="29">
        <v>86</v>
      </c>
      <c r="L1615" s="29">
        <v>83</v>
      </c>
      <c r="M1615" s="29">
        <v>86</v>
      </c>
      <c r="N1615" s="29">
        <v>80</v>
      </c>
      <c r="O1615" s="32">
        <v>625</v>
      </c>
      <c r="P1615" s="29" cm="1">
        <f t="array" ref="P1615">IF(表成绩单[[#This Row],[语文]]="","",SUMPRODUCT((表成绩单[考试日期]=表成绩单[[#This Row],[考试日期]])*(表成绩单[语文]&lt;9E+307)*(表成绩单[语文]&gt;表成绩单[[#This Row],[语文]]))+1)</f>
        <v>82</v>
      </c>
      <c r="Q1615" s="29" cm="1">
        <f t="array" ref="Q1615">IF(表成绩单[[#This Row],[数学]]="","",SUMPRODUCT((表成绩单[考试日期]=表成绩单[[#This Row],[考试日期]])*(表成绩单[数学]&lt;9E+307)*(表成绩单[数学]&gt;表成绩单[[#This Row],[数学]]))+1)</f>
        <v>64</v>
      </c>
      <c r="R1615" s="29" cm="1">
        <f t="array" ref="R1615">IF(表成绩单[[#This Row],[英语]]="","",SUMPRODUCT((表成绩单[考试日期]=表成绩单[[#This Row],[考试日期]])*(表成绩单[英语]&lt;9E+307)*(表成绩单[英语]&gt;表成绩单[[#This Row],[英语]]))+1)</f>
        <v>19</v>
      </c>
      <c r="S1615" s="29" cm="1">
        <f t="array" ref="S1615">IF(表成绩单[[#This Row],[物理]]="","",SUMPRODUCT((表成绩单[考试日期]=表成绩单[[#This Row],[考试日期]])*(表成绩单[物理]&lt;9E+307)*(表成绩单[物理]&gt;表成绩单[[#This Row],[物理]]))+1)</f>
        <v>42</v>
      </c>
      <c r="T1615" s="29" cm="1">
        <f t="array" ref="T1615">IF(表成绩单[[#This Row],[化学]]="","",SUMPRODUCT((表成绩单[考试日期]=表成绩单[[#This Row],[考试日期]])*(表成绩单[化学]&lt;9E+307)*(表成绩单[化学]&gt;表成绩单[[#This Row],[化学]]))+1)</f>
        <v>15</v>
      </c>
      <c r="U1615" s="29" cm="1">
        <f t="array" ref="U1615">IF(表成绩单[[#This Row],[政治]]="","",SUMPRODUCT((表成绩单[考试日期]=表成绩单[[#This Row],[考试日期]])*(表成绩单[政治]&lt;9E+307)*(表成绩单[政治]&gt;表成绩单[[#This Row],[政治]]))+1)</f>
        <v>1</v>
      </c>
      <c r="V1615" s="29" cm="1">
        <f t="array" ref="V1615">IF(表成绩单[[#This Row],[历史]]="","",SUMPRODUCT((表成绩单[考试日期]=表成绩单[[#This Row],[考试日期]])*(表成绩单[历史]&lt;9E+307)*(表成绩单[历史]&gt;表成绩单[[#This Row],[历史]]))+1)</f>
        <v>83</v>
      </c>
      <c r="W1615" s="29" cm="1">
        <f t="array" ref="W1615">IF(表成绩单[[#This Row],[总分]]="","",SUMPRODUCT((表成绩单[考试日期]=表成绩单[[#This Row],[考试日期]])*(表成绩单[总分]&lt;9E+307)*(表成绩单[总分]&gt;表成绩单[[#This Row],[总分]]))+1)</f>
        <v>9</v>
      </c>
    </row>
    <row r="1616" ht="28" customHeight="1" spans="4:23">
      <c r="D1616" s="31">
        <v>46030</v>
      </c>
      <c r="E1616" s="29">
        <v>19173521</v>
      </c>
      <c r="F1616" s="29" t="s">
        <v>1</v>
      </c>
      <c r="G1616" s="29" t="s">
        <v>109</v>
      </c>
      <c r="H1616" s="29">
        <v>101</v>
      </c>
      <c r="I1616" s="29">
        <v>109</v>
      </c>
      <c r="J1616" s="29">
        <v>82</v>
      </c>
      <c r="K1616" s="29">
        <v>86</v>
      </c>
      <c r="L1616" s="29">
        <v>87</v>
      </c>
      <c r="M1616" s="29">
        <v>77</v>
      </c>
      <c r="N1616" s="29">
        <v>82</v>
      </c>
      <c r="O1616" s="32">
        <v>624</v>
      </c>
      <c r="P1616" s="29" cm="1">
        <f t="array" ref="P1616">IF(表成绩单[[#This Row],[语文]]="","",SUMPRODUCT((表成绩单[考试日期]=表成绩单[[#This Row],[考试日期]])*(表成绩单[语文]&lt;9E+307)*(表成绩单[语文]&gt;表成绩单[[#This Row],[语文]]))+1)</f>
        <v>159</v>
      </c>
      <c r="Q1616" s="29" cm="1">
        <f t="array" ref="Q1616">IF(表成绩单[[#This Row],[数学]]="","",SUMPRODUCT((表成绩单[考试日期]=表成绩单[[#This Row],[考试日期]])*(表成绩单[数学]&lt;9E+307)*(表成绩单[数学]&gt;表成绩单[[#This Row],[数学]]))+1)</f>
        <v>35</v>
      </c>
      <c r="R1616" s="29" cm="1">
        <f t="array" ref="R1616">IF(表成绩单[[#This Row],[英语]]="","",SUMPRODUCT((表成绩单[考试日期]=表成绩单[[#This Row],[考试日期]])*(表成绩单[英语]&lt;9E+307)*(表成绩单[英语]&gt;表成绩单[[#This Row],[英语]]))+1)</f>
        <v>11</v>
      </c>
      <c r="S1616" s="29" cm="1">
        <f t="array" ref="S1616">IF(表成绩单[[#This Row],[物理]]="","",SUMPRODUCT((表成绩单[考试日期]=表成绩单[[#This Row],[考试日期]])*(表成绩单[物理]&lt;9E+307)*(表成绩单[物理]&gt;表成绩单[[#This Row],[物理]]))+1)</f>
        <v>42</v>
      </c>
      <c r="T1616" s="29" cm="1">
        <f t="array" ref="T1616">IF(表成绩单[[#This Row],[化学]]="","",SUMPRODUCT((表成绩单[考试日期]=表成绩单[[#This Row],[考试日期]])*(表成绩单[化学]&lt;9E+307)*(表成绩单[化学]&gt;表成绩单[[#This Row],[化学]]))+1)</f>
        <v>1</v>
      </c>
      <c r="U1616" s="29" cm="1">
        <f t="array" ref="U1616">IF(表成绩单[[#This Row],[政治]]="","",SUMPRODUCT((表成绩单[考试日期]=表成绩单[[#This Row],[考试日期]])*(表成绩单[政治]&lt;9E+307)*(表成绩单[政治]&gt;表成绩单[[#This Row],[政治]]))+1)</f>
        <v>88</v>
      </c>
      <c r="V1616" s="29" cm="1">
        <f t="array" ref="V1616">IF(表成绩单[[#This Row],[历史]]="","",SUMPRODUCT((表成绩单[考试日期]=表成绩单[[#This Row],[考试日期]])*(表成绩单[历史]&lt;9E+307)*(表成绩单[历史]&gt;表成绩单[[#This Row],[历史]]))+1)</f>
        <v>41</v>
      </c>
      <c r="W1616" s="29" cm="1">
        <f t="array" ref="W1616">IF(表成绩单[[#This Row],[总分]]="","",SUMPRODUCT((表成绩单[考试日期]=表成绩单[[#This Row],[考试日期]])*(表成绩单[总分]&lt;9E+307)*(表成绩单[总分]&gt;表成绩单[[#This Row],[总分]]))+1)</f>
        <v>10</v>
      </c>
    </row>
    <row r="1617" ht="28" customHeight="1" spans="4:23">
      <c r="D1617" s="31">
        <v>46030</v>
      </c>
      <c r="E1617" s="29">
        <v>19174435</v>
      </c>
      <c r="F1617" s="29" t="s">
        <v>73</v>
      </c>
      <c r="G1617" s="29" t="s">
        <v>82</v>
      </c>
      <c r="H1617" s="29">
        <v>111</v>
      </c>
      <c r="I1617" s="29">
        <v>106</v>
      </c>
      <c r="J1617" s="29">
        <v>85</v>
      </c>
      <c r="K1617" s="29">
        <v>84</v>
      </c>
      <c r="L1617" s="29">
        <v>75</v>
      </c>
      <c r="M1617" s="29">
        <v>79</v>
      </c>
      <c r="N1617" s="29">
        <v>83</v>
      </c>
      <c r="O1617" s="32">
        <v>623</v>
      </c>
      <c r="P1617" s="29" cm="1">
        <f t="array" ref="P1617">IF(表成绩单[[#This Row],[语文]]="","",SUMPRODUCT((表成绩单[考试日期]=表成绩单[[#This Row],[考试日期]])*(表成绩单[语文]&lt;9E+307)*(表成绩单[语文]&gt;表成绩单[[#This Row],[语文]]))+1)</f>
        <v>9</v>
      </c>
      <c r="Q1617" s="29" cm="1">
        <f t="array" ref="Q1617">IF(表成绩单[[#This Row],[数学]]="","",SUMPRODUCT((表成绩单[考试日期]=表成绩单[[#This Row],[考试日期]])*(表成绩单[数学]&lt;9E+307)*(表成绩单[数学]&gt;表成绩单[[#This Row],[数学]]))+1)</f>
        <v>50</v>
      </c>
      <c r="R1617" s="29" cm="1">
        <f t="array" ref="R1617">IF(表成绩单[[#This Row],[英语]]="","",SUMPRODUCT((表成绩单[考试日期]=表成绩单[[#This Row],[考试日期]])*(表成绩单[英语]&lt;9E+307)*(表成绩单[英语]&gt;表成绩单[[#This Row],[英语]]))+1)</f>
        <v>2</v>
      </c>
      <c r="S1617" s="29" cm="1">
        <f t="array" ref="S1617">IF(表成绩单[[#This Row],[物理]]="","",SUMPRODUCT((表成绩单[考试日期]=表成绩单[[#This Row],[考试日期]])*(表成绩单[物理]&lt;9E+307)*(表成绩单[物理]&gt;表成绩单[[#This Row],[物理]]))+1)</f>
        <v>73</v>
      </c>
      <c r="T1617" s="29" cm="1">
        <f t="array" ref="T1617">IF(表成绩单[[#This Row],[化学]]="","",SUMPRODUCT((表成绩单[考试日期]=表成绩单[[#This Row],[考试日期]])*(表成绩单[化学]&lt;9E+307)*(表成绩单[化学]&gt;表成绩单[[#This Row],[化学]]))+1)</f>
        <v>169</v>
      </c>
      <c r="U1617" s="29" cm="1">
        <f t="array" ref="U1617">IF(表成绩单[[#This Row],[政治]]="","",SUMPRODUCT((表成绩单[考试日期]=表成绩单[[#This Row],[考试日期]])*(表成绩单[政治]&lt;9E+307)*(表成绩单[政治]&gt;表成绩单[[#This Row],[政治]]))+1)</f>
        <v>42</v>
      </c>
      <c r="V1617" s="29" cm="1">
        <f t="array" ref="V1617">IF(表成绩单[[#This Row],[历史]]="","",SUMPRODUCT((表成绩单[考试日期]=表成绩单[[#This Row],[考试日期]])*(表成绩单[历史]&lt;9E+307)*(表成绩单[历史]&gt;表成绩单[[#This Row],[历史]]))+1)</f>
        <v>32</v>
      </c>
      <c r="W1617" s="29" cm="1">
        <f t="array" ref="W1617">IF(表成绩单[[#This Row],[总分]]="","",SUMPRODUCT((表成绩单[考试日期]=表成绩单[[#This Row],[考试日期]])*(表成绩单[总分]&lt;9E+307)*(表成绩单[总分]&gt;表成绩单[[#This Row],[总分]]))+1)</f>
        <v>11</v>
      </c>
    </row>
    <row r="1618" ht="28" customHeight="1" spans="4:23">
      <c r="D1618" s="31">
        <v>46030</v>
      </c>
      <c r="E1618" s="29">
        <v>19173522</v>
      </c>
      <c r="F1618" s="29" t="s">
        <v>1</v>
      </c>
      <c r="G1618" s="29" t="s">
        <v>3</v>
      </c>
      <c r="H1618" s="29">
        <v>103</v>
      </c>
      <c r="I1618" s="29">
        <v>109</v>
      </c>
      <c r="J1618" s="29">
        <v>80</v>
      </c>
      <c r="K1618" s="29">
        <v>78</v>
      </c>
      <c r="L1618" s="29">
        <v>85</v>
      </c>
      <c r="M1618" s="29">
        <v>75</v>
      </c>
      <c r="N1618" s="29">
        <v>90</v>
      </c>
      <c r="O1618" s="32">
        <v>620</v>
      </c>
      <c r="P1618" s="29" cm="1">
        <f t="array" ref="P1618">IF(表成绩单[[#This Row],[语文]]="","",SUMPRODUCT((表成绩单[考试日期]=表成绩单[[#This Row],[考试日期]])*(表成绩单[语文]&lt;9E+307)*(表成绩单[语文]&gt;表成绩单[[#This Row],[语文]]))+1)</f>
        <v>105</v>
      </c>
      <c r="Q1618" s="29" cm="1">
        <f t="array" ref="Q1618">IF(表成绩单[[#This Row],[数学]]="","",SUMPRODUCT((表成绩单[考试日期]=表成绩单[[#This Row],[考试日期]])*(表成绩单[数学]&lt;9E+307)*(表成绩单[数学]&gt;表成绩单[[#This Row],[数学]]))+1)</f>
        <v>35</v>
      </c>
      <c r="R1618" s="29" cm="1">
        <f t="array" ref="R1618">IF(表成绩单[[#This Row],[英语]]="","",SUMPRODUCT((表成绩单[考试日期]=表成绩单[[#This Row],[考试日期]])*(表成绩单[英语]&lt;9E+307)*(表成绩单[英语]&gt;表成绩单[[#This Row],[英语]]))+1)</f>
        <v>27</v>
      </c>
      <c r="S1618" s="29" cm="1">
        <f t="array" ref="S1618">IF(表成绩单[[#This Row],[物理]]="","",SUMPRODUCT((表成绩单[考试日期]=表成绩单[[#This Row],[考试日期]])*(表成绩单[物理]&lt;9E+307)*(表成绩单[物理]&gt;表成绩单[[#This Row],[物理]]))+1)</f>
        <v>178</v>
      </c>
      <c r="T1618" s="29" cm="1">
        <f t="array" ref="T1618">IF(表成绩单[[#This Row],[化学]]="","",SUMPRODUCT((表成绩单[考试日期]=表成绩单[[#This Row],[考试日期]])*(表成绩单[化学]&lt;9E+307)*(表成绩单[化学]&gt;表成绩单[[#This Row],[化学]]))+1)</f>
        <v>8</v>
      </c>
      <c r="U1618" s="29" cm="1">
        <f t="array" ref="U1618">IF(表成绩单[[#This Row],[政治]]="","",SUMPRODUCT((表成绩单[考试日期]=表成绩单[[#This Row],[考试日期]])*(表成绩单[政治]&lt;9E+307)*(表成绩单[政治]&gt;表成绩单[[#This Row],[政治]]))+1)</f>
        <v>137</v>
      </c>
      <c r="V1618" s="29" cm="1">
        <f t="array" ref="V1618">IF(表成绩单[[#This Row],[历史]]="","",SUMPRODUCT((表成绩单[考试日期]=表成绩单[[#This Row],[考试日期]])*(表成绩单[历史]&lt;9E+307)*(表成绩单[历史]&gt;表成绩单[[#This Row],[历史]]))+1)</f>
        <v>1</v>
      </c>
      <c r="W1618" s="29" cm="1">
        <f t="array" ref="W1618">IF(表成绩单[[#This Row],[总分]]="","",SUMPRODUCT((表成绩单[考试日期]=表成绩单[[#This Row],[考试日期]])*(表成绩单[总分]&lt;9E+307)*(表成绩单[总分]&gt;表成绩单[[#This Row],[总分]]))+1)</f>
        <v>12</v>
      </c>
    </row>
    <row r="1619" ht="28" customHeight="1" spans="4:23">
      <c r="D1619" s="31">
        <v>46030</v>
      </c>
      <c r="E1619" s="29">
        <v>19175684</v>
      </c>
      <c r="F1619" s="29" t="s">
        <v>72</v>
      </c>
      <c r="G1619" s="29" t="s">
        <v>140</v>
      </c>
      <c r="H1619" s="29">
        <v>100</v>
      </c>
      <c r="I1619" s="29">
        <v>116</v>
      </c>
      <c r="J1619" s="29">
        <v>79</v>
      </c>
      <c r="K1619" s="29">
        <v>84</v>
      </c>
      <c r="L1619" s="29">
        <v>78</v>
      </c>
      <c r="M1619" s="29">
        <v>82</v>
      </c>
      <c r="N1619" s="29">
        <v>80</v>
      </c>
      <c r="O1619" s="32">
        <v>619</v>
      </c>
      <c r="P1619" s="29" cm="1">
        <f t="array" ref="P1619">IF(表成绩单[[#This Row],[语文]]="","",SUMPRODUCT((表成绩单[考试日期]=表成绩单[[#This Row],[考试日期]])*(表成绩单[语文]&lt;9E+307)*(表成绩单[语文]&gt;表成绩单[[#This Row],[语文]]))+1)</f>
        <v>182</v>
      </c>
      <c r="Q1619" s="29" cm="1">
        <f t="array" ref="Q1619">IF(表成绩单[[#This Row],[数学]]="","",SUMPRODUCT((表成绩单[考试日期]=表成绩单[[#This Row],[考试日期]])*(表成绩单[数学]&lt;9E+307)*(表成绩单[数学]&gt;表成绩单[[#This Row],[数学]]))+1)</f>
        <v>5</v>
      </c>
      <c r="R1619" s="29" cm="1">
        <f t="array" ref="R1619">IF(表成绩单[[#This Row],[英语]]="","",SUMPRODUCT((表成绩单[考试日期]=表成绩单[[#This Row],[考试日期]])*(表成绩单[英语]&lt;9E+307)*(表成绩单[英语]&gt;表成绩单[[#This Row],[英语]]))+1)</f>
        <v>50</v>
      </c>
      <c r="S1619" s="29" cm="1">
        <f t="array" ref="S1619">IF(表成绩单[[#This Row],[物理]]="","",SUMPRODUCT((表成绩单[考试日期]=表成绩单[[#This Row],[考试日期]])*(表成绩单[物理]&lt;9E+307)*(表成绩单[物理]&gt;表成绩单[[#This Row],[物理]]))+1)</f>
        <v>73</v>
      </c>
      <c r="T1619" s="29" cm="1">
        <f t="array" ref="T1619">IF(表成绩单[[#This Row],[化学]]="","",SUMPRODUCT((表成绩单[考试日期]=表成绩单[[#This Row],[考试日期]])*(表成绩单[化学]&lt;9E+307)*(表成绩单[化学]&gt;表成绩单[[#This Row],[化学]]))+1)</f>
        <v>93</v>
      </c>
      <c r="U1619" s="29" cm="1">
        <f t="array" ref="U1619">IF(表成绩单[[#This Row],[政治]]="","",SUMPRODUCT((表成绩单[考试日期]=表成绩单[[#This Row],[考试日期]])*(表成绩单[政治]&lt;9E+307)*(表成绩单[政治]&gt;表成绩单[[#This Row],[政治]]))+1)</f>
        <v>12</v>
      </c>
      <c r="V1619" s="29" cm="1">
        <f t="array" ref="V1619">IF(表成绩单[[#This Row],[历史]]="","",SUMPRODUCT((表成绩单[考试日期]=表成绩单[[#This Row],[考试日期]])*(表成绩单[历史]&lt;9E+307)*(表成绩单[历史]&gt;表成绩单[[#This Row],[历史]]))+1)</f>
        <v>83</v>
      </c>
      <c r="W1619" s="29" cm="1">
        <f t="array" ref="W1619">IF(表成绩单[[#This Row],[总分]]="","",SUMPRODUCT((表成绩单[考试日期]=表成绩单[[#This Row],[考试日期]])*(表成绩单[总分]&lt;9E+307)*(表成绩单[总分]&gt;表成绩单[[#This Row],[总分]]))+1)</f>
        <v>13</v>
      </c>
    </row>
    <row r="1620" ht="28" customHeight="1" spans="4:23">
      <c r="D1620" s="31">
        <v>46030</v>
      </c>
      <c r="E1620" s="29">
        <v>19175407</v>
      </c>
      <c r="F1620" s="29" t="s">
        <v>74</v>
      </c>
      <c r="G1620" s="29" t="s">
        <v>128</v>
      </c>
      <c r="H1620" s="29">
        <v>106</v>
      </c>
      <c r="I1620" s="29">
        <v>109</v>
      </c>
      <c r="J1620" s="29">
        <v>78.5</v>
      </c>
      <c r="K1620" s="29">
        <v>76</v>
      </c>
      <c r="L1620" s="29">
        <v>80</v>
      </c>
      <c r="M1620" s="29">
        <v>83</v>
      </c>
      <c r="N1620" s="29">
        <v>86</v>
      </c>
      <c r="O1620" s="32">
        <v>618.5</v>
      </c>
      <c r="P1620" s="29" cm="1">
        <f t="array" ref="P1620">IF(表成绩单[[#This Row],[语文]]="","",SUMPRODUCT((表成绩单[考试日期]=表成绩单[[#This Row],[考试日期]])*(表成绩单[语文]&lt;9E+307)*(表成绩单[语文]&gt;表成绩单[[#This Row],[语文]]))+1)</f>
        <v>50</v>
      </c>
      <c r="Q1620" s="29" cm="1">
        <f t="array" ref="Q1620">IF(表成绩单[[#This Row],[数学]]="","",SUMPRODUCT((表成绩单[考试日期]=表成绩单[[#This Row],[考试日期]])*(表成绩单[数学]&lt;9E+307)*(表成绩单[数学]&gt;表成绩单[[#This Row],[数学]]))+1)</f>
        <v>35</v>
      </c>
      <c r="R1620" s="29" cm="1">
        <f t="array" ref="R1620">IF(表成绩单[[#This Row],[英语]]="","",SUMPRODUCT((表成绩单[考试日期]=表成绩单[[#This Row],[考试日期]])*(表成绩单[英语]&lt;9E+307)*(表成绩单[英语]&gt;表成绩单[[#This Row],[英语]]))+1)</f>
        <v>64</v>
      </c>
      <c r="S1620" s="29" cm="1">
        <f t="array" ref="S1620">IF(表成绩单[[#This Row],[物理]]="","",SUMPRODUCT((表成绩单[考试日期]=表成绩单[[#This Row],[考试日期]])*(表成绩单[物理]&lt;9E+307)*(表成绩单[物理]&gt;表成绩单[[#This Row],[物理]]))+1)</f>
        <v>218</v>
      </c>
      <c r="T1620" s="29" cm="1">
        <f t="array" ref="T1620">IF(表成绩单[[#This Row],[化学]]="","",SUMPRODUCT((表成绩单[考试日期]=表成绩单[[#This Row],[考试日期]])*(表成绩单[化学]&lt;9E+307)*(表成绩单[化学]&gt;表成绩单[[#This Row],[化学]]))+1)</f>
        <v>60</v>
      </c>
      <c r="U1620" s="29" cm="1">
        <f t="array" ref="U1620">IF(表成绩单[[#This Row],[政治]]="","",SUMPRODUCT((表成绩单[考试日期]=表成绩单[[#This Row],[考试日期]])*(表成绩单[政治]&lt;9E+307)*(表成绩单[政治]&gt;表成绩单[[#This Row],[政治]]))+1)</f>
        <v>4</v>
      </c>
      <c r="V1620" s="29" cm="1">
        <f t="array" ref="V1620">IF(表成绩单[[#This Row],[历史]]="","",SUMPRODUCT((表成绩单[考试日期]=表成绩单[[#This Row],[考试日期]])*(表成绩单[历史]&lt;9E+307)*(表成绩单[历史]&gt;表成绩单[[#This Row],[历史]]))+1)</f>
        <v>10</v>
      </c>
      <c r="W1620" s="29" cm="1">
        <f t="array" ref="W1620">IF(表成绩单[[#This Row],[总分]]="","",SUMPRODUCT((表成绩单[考试日期]=表成绩单[[#This Row],[考试日期]])*(表成绩单[总分]&lt;9E+307)*(表成绩单[总分]&gt;表成绩单[[#This Row],[总分]]))+1)</f>
        <v>14</v>
      </c>
    </row>
    <row r="1621" ht="28" customHeight="1" spans="4:23">
      <c r="D1621" s="31">
        <v>46030</v>
      </c>
      <c r="E1621" s="29">
        <v>19175391</v>
      </c>
      <c r="F1621" s="29" t="s">
        <v>74</v>
      </c>
      <c r="G1621" s="29" t="s">
        <v>94</v>
      </c>
      <c r="H1621" s="29">
        <v>109</v>
      </c>
      <c r="I1621" s="29">
        <v>103</v>
      </c>
      <c r="J1621" s="29">
        <v>75</v>
      </c>
      <c r="K1621" s="29">
        <v>88</v>
      </c>
      <c r="L1621" s="29">
        <v>79</v>
      </c>
      <c r="M1621" s="29">
        <v>83</v>
      </c>
      <c r="N1621" s="29">
        <v>81</v>
      </c>
      <c r="O1621" s="32">
        <v>618</v>
      </c>
      <c r="P1621" s="29" cm="1">
        <f t="array" ref="P1621">IF(表成绩单[[#This Row],[语文]]="","",SUMPRODUCT((表成绩单[考试日期]=表成绩单[[#This Row],[考试日期]])*(表成绩单[语文]&lt;9E+307)*(表成绩单[语文]&gt;表成绩单[[#This Row],[语文]]))+1)</f>
        <v>19</v>
      </c>
      <c r="Q1621" s="29" cm="1">
        <f t="array" ref="Q1621">IF(表成绩单[[#This Row],[数学]]="","",SUMPRODUCT((表成绩单[考试日期]=表成绩单[[#This Row],[考试日期]])*(表成绩单[数学]&lt;9E+307)*(表成绩单[数学]&gt;表成绩单[[#This Row],[数学]]))+1)</f>
        <v>86</v>
      </c>
      <c r="R1621" s="29" cm="1">
        <f t="array" ref="R1621">IF(表成绩单[[#This Row],[英语]]="","",SUMPRODUCT((表成绩单[考试日期]=表成绩单[[#This Row],[考试日期]])*(表成绩单[英语]&lt;9E+307)*(表成绩单[英语]&gt;表成绩单[[#This Row],[英语]]))+1)</f>
        <v>164</v>
      </c>
      <c r="S1621" s="29" cm="1">
        <f t="array" ref="S1621">IF(表成绩单[[#This Row],[物理]]="","",SUMPRODUCT((表成绩单[考试日期]=表成绩单[[#This Row],[考试日期]])*(表成绩单[物理]&lt;9E+307)*(表成绩单[物理]&gt;表成绩单[[#This Row],[物理]]))+1)</f>
        <v>21</v>
      </c>
      <c r="T1621" s="29" cm="1">
        <f t="array" ref="T1621">IF(表成绩单[[#This Row],[化学]]="","",SUMPRODUCT((表成绩单[考试日期]=表成绩单[[#This Row],[考试日期]])*(表成绩单[化学]&lt;9E+307)*(表成绩单[化学]&gt;表成绩单[[#This Row],[化学]]))+1)</f>
        <v>77</v>
      </c>
      <c r="U1621" s="29" cm="1">
        <f t="array" ref="U1621">IF(表成绩单[[#This Row],[政治]]="","",SUMPRODUCT((表成绩单[考试日期]=表成绩单[[#This Row],[考试日期]])*(表成绩单[政治]&lt;9E+307)*(表成绩单[政治]&gt;表成绩单[[#This Row],[政治]]))+1)</f>
        <v>4</v>
      </c>
      <c r="V1621" s="29" cm="1">
        <f t="array" ref="V1621">IF(表成绩单[[#This Row],[历史]]="","",SUMPRODUCT((表成绩单[考试日期]=表成绩单[[#This Row],[考试日期]])*(表成绩单[历史]&lt;9E+307)*(表成绩单[历史]&gt;表成绩单[[#This Row],[历史]]))+1)</f>
        <v>60</v>
      </c>
      <c r="W1621" s="29" cm="1">
        <f t="array" ref="W1621">IF(表成绩单[[#This Row],[总分]]="","",SUMPRODUCT((表成绩单[考试日期]=表成绩单[[#This Row],[考试日期]])*(表成绩单[总分]&lt;9E+307)*(表成绩单[总分]&gt;表成绩单[[#This Row],[总分]]))+1)</f>
        <v>15</v>
      </c>
    </row>
    <row r="1622" ht="28" customHeight="1" spans="4:23">
      <c r="D1622" s="31">
        <v>46030</v>
      </c>
      <c r="E1622" s="29">
        <v>19176883</v>
      </c>
      <c r="F1622" s="29" t="s">
        <v>71</v>
      </c>
      <c r="G1622" s="29" t="s">
        <v>85</v>
      </c>
      <c r="H1622" s="29">
        <v>105</v>
      </c>
      <c r="I1622" s="29">
        <v>105</v>
      </c>
      <c r="J1622" s="29">
        <v>79</v>
      </c>
      <c r="K1622" s="29">
        <v>88</v>
      </c>
      <c r="L1622" s="29">
        <v>80</v>
      </c>
      <c r="M1622" s="29">
        <v>78</v>
      </c>
      <c r="N1622" s="29">
        <v>83</v>
      </c>
      <c r="O1622" s="32">
        <v>618</v>
      </c>
      <c r="P1622" s="29" cm="1">
        <f t="array" ref="P1622">IF(表成绩单[[#This Row],[语文]]="","",SUMPRODUCT((表成绩单[考试日期]=表成绩单[[#This Row],[考试日期]])*(表成绩单[语文]&lt;9E+307)*(表成绩单[语文]&gt;表成绩单[[#This Row],[语文]]))+1)</f>
        <v>62</v>
      </c>
      <c r="Q1622" s="29" cm="1">
        <f t="array" ref="Q1622">IF(表成绩单[[#This Row],[数学]]="","",SUMPRODUCT((表成绩单[考试日期]=表成绩单[[#This Row],[考试日期]])*(表成绩单[数学]&lt;9E+307)*(表成绩单[数学]&gt;表成绩单[[#This Row],[数学]]))+1)</f>
        <v>64</v>
      </c>
      <c r="R1622" s="29" cm="1">
        <f t="array" ref="R1622">IF(表成绩单[[#This Row],[英语]]="","",SUMPRODUCT((表成绩单[考试日期]=表成绩单[[#This Row],[考试日期]])*(表成绩单[英语]&lt;9E+307)*(表成绩单[英语]&gt;表成绩单[[#This Row],[英语]]))+1)</f>
        <v>50</v>
      </c>
      <c r="S1622" s="29" cm="1">
        <f t="array" ref="S1622">IF(表成绩单[[#This Row],[物理]]="","",SUMPRODUCT((表成绩单[考试日期]=表成绩单[[#This Row],[考试日期]])*(表成绩单[物理]&lt;9E+307)*(表成绩单[物理]&gt;表成绩单[[#This Row],[物理]]))+1)</f>
        <v>21</v>
      </c>
      <c r="T1622" s="29" cm="1">
        <f t="array" ref="T1622">IF(表成绩单[[#This Row],[化学]]="","",SUMPRODUCT((表成绩单[考试日期]=表成绩单[[#This Row],[考试日期]])*(表成绩单[化学]&lt;9E+307)*(表成绩单[化学]&gt;表成绩单[[#This Row],[化学]]))+1)</f>
        <v>60</v>
      </c>
      <c r="U1622" s="29" cm="1">
        <f t="array" ref="U1622">IF(表成绩单[[#This Row],[政治]]="","",SUMPRODUCT((表成绩单[考试日期]=表成绩单[[#This Row],[考试日期]])*(表成绩单[政治]&lt;9E+307)*(表成绩单[政治]&gt;表成绩单[[#This Row],[政治]]))+1)</f>
        <v>65</v>
      </c>
      <c r="V1622" s="29" cm="1">
        <f t="array" ref="V1622">IF(表成绩单[[#This Row],[历史]]="","",SUMPRODUCT((表成绩单[考试日期]=表成绩单[[#This Row],[考试日期]])*(表成绩单[历史]&lt;9E+307)*(表成绩单[历史]&gt;表成绩单[[#This Row],[历史]]))+1)</f>
        <v>32</v>
      </c>
      <c r="W1622" s="29" cm="1">
        <f t="array" ref="W1622">IF(表成绩单[[#This Row],[总分]]="","",SUMPRODUCT((表成绩单[考试日期]=表成绩单[[#This Row],[考试日期]])*(表成绩单[总分]&lt;9E+307)*(表成绩单[总分]&gt;表成绩单[[#This Row],[总分]]))+1)</f>
        <v>15</v>
      </c>
    </row>
    <row r="1623" ht="28" customHeight="1" spans="4:23">
      <c r="D1623" s="31">
        <v>46030</v>
      </c>
      <c r="E1623" s="29">
        <v>19167652</v>
      </c>
      <c r="F1623" s="29" t="s">
        <v>1</v>
      </c>
      <c r="G1623" s="29" t="s">
        <v>89</v>
      </c>
      <c r="H1623" s="29">
        <v>103</v>
      </c>
      <c r="I1623" s="29">
        <v>112</v>
      </c>
      <c r="J1623" s="29">
        <v>80</v>
      </c>
      <c r="K1623" s="29">
        <v>90</v>
      </c>
      <c r="L1623" s="29">
        <v>77</v>
      </c>
      <c r="M1623" s="29">
        <v>70</v>
      </c>
      <c r="N1623" s="29">
        <v>85</v>
      </c>
      <c r="O1623" s="32">
        <v>617</v>
      </c>
      <c r="P1623" s="29" cm="1">
        <f t="array" ref="P1623">IF(表成绩单[[#This Row],[语文]]="","",SUMPRODUCT((表成绩单[考试日期]=表成绩单[[#This Row],[考试日期]])*(表成绩单[语文]&lt;9E+307)*(表成绩单[语文]&gt;表成绩单[[#This Row],[语文]]))+1)</f>
        <v>105</v>
      </c>
      <c r="Q1623" s="29" cm="1">
        <f t="array" ref="Q1623">IF(表成绩单[[#This Row],[数学]]="","",SUMPRODUCT((表成绩单[考试日期]=表成绩单[[#This Row],[考试日期]])*(表成绩单[数学]&lt;9E+307)*(表成绩单[数学]&gt;表成绩单[[#This Row],[数学]]))+1)</f>
        <v>15</v>
      </c>
      <c r="R1623" s="29" cm="1">
        <f t="array" ref="R1623">IF(表成绩单[[#This Row],[英语]]="","",SUMPRODUCT((表成绩单[考试日期]=表成绩单[[#This Row],[考试日期]])*(表成绩单[英语]&lt;9E+307)*(表成绩单[英语]&gt;表成绩单[[#This Row],[英语]]))+1)</f>
        <v>27</v>
      </c>
      <c r="S1623" s="29" cm="1">
        <f t="array" ref="S1623">IF(表成绩单[[#This Row],[物理]]="","",SUMPRODUCT((表成绩单[考试日期]=表成绩单[[#This Row],[考试日期]])*(表成绩单[物理]&lt;9E+307)*(表成绩单[物理]&gt;表成绩单[[#This Row],[物理]]))+1)</f>
        <v>1</v>
      </c>
      <c r="T1623" s="29" cm="1">
        <f t="array" ref="T1623">IF(表成绩单[[#This Row],[化学]]="","",SUMPRODUCT((表成绩单[考试日期]=表成绩单[[#This Row],[考试日期]])*(表成绩单[化学]&lt;9E+307)*(表成绩单[化学]&gt;表成绩单[[#This Row],[化学]]))+1)</f>
        <v>116</v>
      </c>
      <c r="U1623" s="29" cm="1">
        <f t="array" ref="U1623">IF(表成绩单[[#This Row],[政治]]="","",SUMPRODUCT((表成绩单[考试日期]=表成绩单[[#This Row],[考试日期]])*(表成绩单[政治]&lt;9E+307)*(表成绩单[政治]&gt;表成绩单[[#This Row],[政治]]))+1)</f>
        <v>274</v>
      </c>
      <c r="V1623" s="29" cm="1">
        <f t="array" ref="V1623">IF(表成绩单[[#This Row],[历史]]="","",SUMPRODUCT((表成绩单[考试日期]=表成绩单[[#This Row],[考试日期]])*(表成绩单[历史]&lt;9E+307)*(表成绩单[历史]&gt;表成绩单[[#This Row],[历史]]))+1)</f>
        <v>18</v>
      </c>
      <c r="W1623" s="29" cm="1">
        <f t="array" ref="W1623">IF(表成绩单[[#This Row],[总分]]="","",SUMPRODUCT((表成绩单[考试日期]=表成绩单[[#This Row],[考试日期]])*(表成绩单[总分]&lt;9E+307)*(表成绩单[总分]&gt;表成绩单[[#This Row],[总分]]))+1)</f>
        <v>17</v>
      </c>
    </row>
    <row r="1624" ht="28" customHeight="1" spans="4:23">
      <c r="D1624" s="31">
        <v>46030</v>
      </c>
      <c r="E1624" s="29">
        <v>19176890</v>
      </c>
      <c r="F1624" s="29" t="s">
        <v>71</v>
      </c>
      <c r="G1624" s="29" t="s">
        <v>159</v>
      </c>
      <c r="H1624" s="29">
        <v>107</v>
      </c>
      <c r="I1624" s="29">
        <v>103</v>
      </c>
      <c r="J1624" s="29">
        <v>78</v>
      </c>
      <c r="K1624" s="29">
        <v>89</v>
      </c>
      <c r="L1624" s="29">
        <v>78</v>
      </c>
      <c r="M1624" s="29">
        <v>79</v>
      </c>
      <c r="N1624" s="29">
        <v>83</v>
      </c>
      <c r="O1624" s="32">
        <v>617</v>
      </c>
      <c r="P1624" s="29" cm="1">
        <f t="array" ref="P1624">IF(表成绩单[[#This Row],[语文]]="","",SUMPRODUCT((表成绩单[考试日期]=表成绩单[[#This Row],[考试日期]])*(表成绩单[语文]&lt;9E+307)*(表成绩单[语文]&gt;表成绩单[[#This Row],[语文]]))+1)</f>
        <v>38</v>
      </c>
      <c r="Q1624" s="29" cm="1">
        <f t="array" ref="Q1624">IF(表成绩单[[#This Row],[数学]]="","",SUMPRODUCT((表成绩单[考试日期]=表成绩单[[#This Row],[考试日期]])*(表成绩单[数学]&lt;9E+307)*(表成绩单[数学]&gt;表成绩单[[#This Row],[数学]]))+1)</f>
        <v>86</v>
      </c>
      <c r="R1624" s="29" cm="1">
        <f t="array" ref="R1624">IF(表成绩单[[#This Row],[英语]]="","",SUMPRODUCT((表成绩单[考试日期]=表成绩单[[#This Row],[考试日期]])*(表成绩单[英语]&lt;9E+307)*(表成绩单[英语]&gt;表成绩单[[#This Row],[英语]]))+1)</f>
        <v>79</v>
      </c>
      <c r="S1624" s="29" cm="1">
        <f t="array" ref="S1624">IF(表成绩单[[#This Row],[物理]]="","",SUMPRODUCT((表成绩单[考试日期]=表成绩单[[#This Row],[考试日期]])*(表成绩单[物理]&lt;9E+307)*(表成绩单[物理]&gt;表成绩单[[#This Row],[物理]]))+1)</f>
        <v>11</v>
      </c>
      <c r="T1624" s="29" cm="1">
        <f t="array" ref="T1624">IF(表成绩单[[#This Row],[化学]]="","",SUMPRODUCT((表成绩单[考试日期]=表成绩单[[#This Row],[考试日期]])*(表成绩单[化学]&lt;9E+307)*(表成绩单[化学]&gt;表成绩单[[#This Row],[化学]]))+1)</f>
        <v>93</v>
      </c>
      <c r="U1624" s="29" cm="1">
        <f t="array" ref="U1624">IF(表成绩单[[#This Row],[政治]]="","",SUMPRODUCT((表成绩单[考试日期]=表成绩单[[#This Row],[考试日期]])*(表成绩单[政治]&lt;9E+307)*(表成绩单[政治]&gt;表成绩单[[#This Row],[政治]]))+1)</f>
        <v>42</v>
      </c>
      <c r="V1624" s="29" cm="1">
        <f t="array" ref="V1624">IF(表成绩单[[#This Row],[历史]]="","",SUMPRODUCT((表成绩单[考试日期]=表成绩单[[#This Row],[考试日期]])*(表成绩单[历史]&lt;9E+307)*(表成绩单[历史]&gt;表成绩单[[#This Row],[历史]]))+1)</f>
        <v>32</v>
      </c>
      <c r="W1624" s="29" cm="1">
        <f t="array" ref="W1624">IF(表成绩单[[#This Row],[总分]]="","",SUMPRODUCT((表成绩单[考试日期]=表成绩单[[#This Row],[考试日期]])*(表成绩单[总分]&lt;9E+307)*(表成绩单[总分]&gt;表成绩单[[#This Row],[总分]]))+1)</f>
        <v>17</v>
      </c>
    </row>
    <row r="1625" ht="28" customHeight="1" spans="4:23">
      <c r="D1625" s="31">
        <v>46030</v>
      </c>
      <c r="E1625" s="29">
        <v>19177200</v>
      </c>
      <c r="F1625" s="29" t="s">
        <v>70</v>
      </c>
      <c r="G1625" s="29" t="s">
        <v>177</v>
      </c>
      <c r="H1625" s="29">
        <v>103</v>
      </c>
      <c r="I1625" s="29">
        <v>112</v>
      </c>
      <c r="J1625" s="29">
        <v>75</v>
      </c>
      <c r="K1625" s="29">
        <v>90</v>
      </c>
      <c r="L1625" s="29">
        <v>80</v>
      </c>
      <c r="M1625" s="29">
        <v>77</v>
      </c>
      <c r="N1625" s="29">
        <v>80</v>
      </c>
      <c r="O1625" s="32">
        <v>617</v>
      </c>
      <c r="P1625" s="29" cm="1">
        <f t="array" ref="P1625">IF(表成绩单[[#This Row],[语文]]="","",SUMPRODUCT((表成绩单[考试日期]=表成绩单[[#This Row],[考试日期]])*(表成绩单[语文]&lt;9E+307)*(表成绩单[语文]&gt;表成绩单[[#This Row],[语文]]))+1)</f>
        <v>105</v>
      </c>
      <c r="Q1625" s="29" cm="1">
        <f t="array" ref="Q1625">IF(表成绩单[[#This Row],[数学]]="","",SUMPRODUCT((表成绩单[考试日期]=表成绩单[[#This Row],[考试日期]])*(表成绩单[数学]&lt;9E+307)*(表成绩单[数学]&gt;表成绩单[[#This Row],[数学]]))+1)</f>
        <v>15</v>
      </c>
      <c r="R1625" s="29" cm="1">
        <f t="array" ref="R1625">IF(表成绩单[[#This Row],[英语]]="","",SUMPRODUCT((表成绩单[考试日期]=表成绩单[[#This Row],[考试日期]])*(表成绩单[英语]&lt;9E+307)*(表成绩单[英语]&gt;表成绩单[[#This Row],[英语]]))+1)</f>
        <v>164</v>
      </c>
      <c r="S1625" s="29" cm="1">
        <f t="array" ref="S1625">IF(表成绩单[[#This Row],[物理]]="","",SUMPRODUCT((表成绩单[考试日期]=表成绩单[[#This Row],[考试日期]])*(表成绩单[物理]&lt;9E+307)*(表成绩单[物理]&gt;表成绩单[[#This Row],[物理]]))+1)</f>
        <v>1</v>
      </c>
      <c r="T1625" s="29" cm="1">
        <f t="array" ref="T1625">IF(表成绩单[[#This Row],[化学]]="","",SUMPRODUCT((表成绩单[考试日期]=表成绩单[[#This Row],[考试日期]])*(表成绩单[化学]&lt;9E+307)*(表成绩单[化学]&gt;表成绩单[[#This Row],[化学]]))+1)</f>
        <v>60</v>
      </c>
      <c r="U1625" s="29" cm="1">
        <f t="array" ref="U1625">IF(表成绩单[[#This Row],[政治]]="","",SUMPRODUCT((表成绩单[考试日期]=表成绩单[[#This Row],[考试日期]])*(表成绩单[政治]&lt;9E+307)*(表成绩单[政治]&gt;表成绩单[[#This Row],[政治]]))+1)</f>
        <v>88</v>
      </c>
      <c r="V1625" s="29" cm="1">
        <f t="array" ref="V1625">IF(表成绩单[[#This Row],[历史]]="","",SUMPRODUCT((表成绩单[考试日期]=表成绩单[[#This Row],[考试日期]])*(表成绩单[历史]&lt;9E+307)*(表成绩单[历史]&gt;表成绩单[[#This Row],[历史]]))+1)</f>
        <v>83</v>
      </c>
      <c r="W1625" s="29" cm="1">
        <f t="array" ref="W1625">IF(表成绩单[[#This Row],[总分]]="","",SUMPRODUCT((表成绩单[考试日期]=表成绩单[[#This Row],[考试日期]])*(表成绩单[总分]&lt;9E+307)*(表成绩单[总分]&gt;表成绩单[[#This Row],[总分]]))+1)</f>
        <v>17</v>
      </c>
    </row>
    <row r="1626" ht="28" customHeight="1" spans="4:23">
      <c r="D1626" s="31">
        <v>46030</v>
      </c>
      <c r="E1626" s="29">
        <v>19174789</v>
      </c>
      <c r="F1626" s="29" t="s">
        <v>69</v>
      </c>
      <c r="G1626" s="29" t="s">
        <v>86</v>
      </c>
      <c r="H1626" s="29">
        <v>95</v>
      </c>
      <c r="I1626" s="29">
        <v>110</v>
      </c>
      <c r="J1626" s="29">
        <v>75.5</v>
      </c>
      <c r="K1626" s="29">
        <v>90</v>
      </c>
      <c r="L1626" s="29">
        <v>81</v>
      </c>
      <c r="M1626" s="29">
        <v>79</v>
      </c>
      <c r="N1626" s="29">
        <v>86</v>
      </c>
      <c r="O1626" s="32">
        <v>616.5</v>
      </c>
      <c r="P1626" s="29" cm="1">
        <f t="array" ref="P1626">IF(表成绩单[[#This Row],[语文]]="","",SUMPRODUCT((表成绩单[考试日期]=表成绩单[[#This Row],[考试日期]])*(表成绩单[语文]&lt;9E+307)*(表成绩单[语文]&gt;表成绩单[[#This Row],[语文]]))+1)</f>
        <v>342</v>
      </c>
      <c r="Q1626" s="29" cm="1">
        <f t="array" ref="Q1626">IF(表成绩单[[#This Row],[数学]]="","",SUMPRODUCT((表成绩单[考试日期]=表成绩单[[#This Row],[考试日期]])*(表成绩单[数学]&lt;9E+307)*(表成绩单[数学]&gt;表成绩单[[#This Row],[数学]]))+1)</f>
        <v>27</v>
      </c>
      <c r="R1626" s="29" cm="1">
        <f t="array" ref="R1626">IF(表成绩单[[#This Row],[英语]]="","",SUMPRODUCT((表成绩单[考试日期]=表成绩单[[#This Row],[考试日期]])*(表成绩单[英语]&lt;9E+307)*(表成绩单[英语]&gt;表成绩单[[#This Row],[英语]]))+1)</f>
        <v>145</v>
      </c>
      <c r="S1626" s="29" cm="1">
        <f t="array" ref="S1626">IF(表成绩单[[#This Row],[物理]]="","",SUMPRODUCT((表成绩单[考试日期]=表成绩单[[#This Row],[考试日期]])*(表成绩单[物理]&lt;9E+307)*(表成绩单[物理]&gt;表成绩单[[#This Row],[物理]]))+1)</f>
        <v>1</v>
      </c>
      <c r="T1626" s="29" cm="1">
        <f t="array" ref="T1626">IF(表成绩单[[#This Row],[化学]]="","",SUMPRODUCT((表成绩单[考试日期]=表成绩单[[#This Row],[考试日期]])*(表成绩单[化学]&lt;9E+307)*(表成绩单[化学]&gt;表成绩单[[#This Row],[化学]]))+1)</f>
        <v>43</v>
      </c>
      <c r="U1626" s="29" cm="1">
        <f t="array" ref="U1626">IF(表成绩单[[#This Row],[政治]]="","",SUMPRODUCT((表成绩单[考试日期]=表成绩单[[#This Row],[考试日期]])*(表成绩单[政治]&lt;9E+307)*(表成绩单[政治]&gt;表成绩单[[#This Row],[政治]]))+1)</f>
        <v>42</v>
      </c>
      <c r="V1626" s="29" cm="1">
        <f t="array" ref="V1626">IF(表成绩单[[#This Row],[历史]]="","",SUMPRODUCT((表成绩单[考试日期]=表成绩单[[#This Row],[考试日期]])*(表成绩单[历史]&lt;9E+307)*(表成绩单[历史]&gt;表成绩单[[#This Row],[历史]]))+1)</f>
        <v>10</v>
      </c>
      <c r="W1626" s="29" cm="1">
        <f t="array" ref="W1626">IF(表成绩单[[#This Row],[总分]]="","",SUMPRODUCT((表成绩单[考试日期]=表成绩单[[#This Row],[考试日期]])*(表成绩单[总分]&lt;9E+307)*(表成绩单[总分]&gt;表成绩单[[#This Row],[总分]]))+1)</f>
        <v>20</v>
      </c>
    </row>
    <row r="1627" ht="28" customHeight="1" spans="4:23">
      <c r="D1627" s="31">
        <v>46030</v>
      </c>
      <c r="E1627" s="29">
        <v>19167656</v>
      </c>
      <c r="F1627" s="29" t="s">
        <v>1</v>
      </c>
      <c r="G1627" s="29" t="s">
        <v>97</v>
      </c>
      <c r="H1627" s="29">
        <v>106</v>
      </c>
      <c r="I1627" s="29">
        <v>113</v>
      </c>
      <c r="J1627" s="29">
        <v>80</v>
      </c>
      <c r="K1627" s="29">
        <v>87</v>
      </c>
      <c r="L1627" s="29">
        <v>75</v>
      </c>
      <c r="M1627" s="29">
        <v>78</v>
      </c>
      <c r="N1627" s="29">
        <v>77</v>
      </c>
      <c r="O1627" s="32">
        <v>616</v>
      </c>
      <c r="P1627" s="29" cm="1">
        <f t="array" ref="P1627">IF(表成绩单[[#This Row],[语文]]="","",SUMPRODUCT((表成绩单[考试日期]=表成绩单[[#This Row],[考试日期]])*(表成绩单[语文]&lt;9E+307)*(表成绩单[语文]&gt;表成绩单[[#This Row],[语文]]))+1)</f>
        <v>50</v>
      </c>
      <c r="Q1627" s="29" cm="1">
        <f t="array" ref="Q1627">IF(表成绩单[[#This Row],[数学]]="","",SUMPRODUCT((表成绩单[考试日期]=表成绩单[[#This Row],[考试日期]])*(表成绩单[数学]&lt;9E+307)*(表成绩单[数学]&gt;表成绩单[[#This Row],[数学]]))+1)</f>
        <v>11</v>
      </c>
      <c r="R1627" s="29" cm="1">
        <f t="array" ref="R1627">IF(表成绩单[[#This Row],[英语]]="","",SUMPRODUCT((表成绩单[考试日期]=表成绩单[[#This Row],[考试日期]])*(表成绩单[英语]&lt;9E+307)*(表成绩单[英语]&gt;表成绩单[[#This Row],[英语]]))+1)</f>
        <v>27</v>
      </c>
      <c r="S1627" s="29" cm="1">
        <f t="array" ref="S1627">IF(表成绩单[[#This Row],[物理]]="","",SUMPRODUCT((表成绩单[考试日期]=表成绩单[[#This Row],[考试日期]])*(表成绩单[物理]&lt;9E+307)*(表成绩单[物理]&gt;表成绩单[[#This Row],[物理]]))+1)</f>
        <v>27</v>
      </c>
      <c r="T1627" s="29" cm="1">
        <f t="array" ref="T1627">IF(表成绩单[[#This Row],[化学]]="","",SUMPRODUCT((表成绩单[考试日期]=表成绩单[[#This Row],[考试日期]])*(表成绩单[化学]&lt;9E+307)*(表成绩单[化学]&gt;表成绩单[[#This Row],[化学]]))+1)</f>
        <v>169</v>
      </c>
      <c r="U1627" s="29" cm="1">
        <f t="array" ref="U1627">IF(表成绩单[[#This Row],[政治]]="","",SUMPRODUCT((表成绩单[考试日期]=表成绩单[[#This Row],[考试日期]])*(表成绩单[政治]&lt;9E+307)*(表成绩单[政治]&gt;表成绩单[[#This Row],[政治]]))+1)</f>
        <v>65</v>
      </c>
      <c r="V1627" s="29" cm="1">
        <f t="array" ref="V1627">IF(表成绩单[[#This Row],[历史]]="","",SUMPRODUCT((表成绩单[考试日期]=表成绩单[[#This Row],[考试日期]])*(表成绩单[历史]&lt;9E+307)*(表成绩单[历史]&gt;表成绩单[[#This Row],[历史]]))+1)</f>
        <v>148</v>
      </c>
      <c r="W1627" s="29" cm="1">
        <f t="array" ref="W1627">IF(表成绩单[[#This Row],[总分]]="","",SUMPRODUCT((表成绩单[考试日期]=表成绩单[[#This Row],[考试日期]])*(表成绩单[总分]&lt;9E+307)*(表成绩单[总分]&gt;表成绩单[[#This Row],[总分]]))+1)</f>
        <v>21</v>
      </c>
    </row>
    <row r="1628" ht="28" customHeight="1" spans="4:23">
      <c r="D1628" s="31">
        <v>46030</v>
      </c>
      <c r="E1628" s="29">
        <v>19167655</v>
      </c>
      <c r="F1628" s="29" t="s">
        <v>1</v>
      </c>
      <c r="G1628" s="29" t="s">
        <v>115</v>
      </c>
      <c r="H1628" s="29">
        <v>106</v>
      </c>
      <c r="I1628" s="29">
        <v>105</v>
      </c>
      <c r="J1628" s="29">
        <v>74.5</v>
      </c>
      <c r="K1628" s="29">
        <v>85</v>
      </c>
      <c r="L1628" s="29">
        <v>83</v>
      </c>
      <c r="M1628" s="29">
        <v>77</v>
      </c>
      <c r="N1628" s="29">
        <v>85</v>
      </c>
      <c r="O1628" s="32">
        <v>615.5</v>
      </c>
      <c r="P1628" s="29" cm="1">
        <f t="array" ref="P1628">IF(表成绩单[[#This Row],[语文]]="","",SUMPRODUCT((表成绩单[考试日期]=表成绩单[[#This Row],[考试日期]])*(表成绩单[语文]&lt;9E+307)*(表成绩单[语文]&gt;表成绩单[[#This Row],[语文]]))+1)</f>
        <v>50</v>
      </c>
      <c r="Q1628" s="29" cm="1">
        <f t="array" ref="Q1628">IF(表成绩单[[#This Row],[数学]]="","",SUMPRODUCT((表成绩单[考试日期]=表成绩单[[#This Row],[考试日期]])*(表成绩单[数学]&lt;9E+307)*(表成绩单[数学]&gt;表成绩单[[#This Row],[数学]]))+1)</f>
        <v>64</v>
      </c>
      <c r="R1628" s="29" cm="1">
        <f t="array" ref="R1628">IF(表成绩单[[#This Row],[英语]]="","",SUMPRODUCT((表成绩单[考试日期]=表成绩单[[#This Row],[考试日期]])*(表成绩单[英语]&lt;9E+307)*(表成绩单[英语]&gt;表成绩单[[#This Row],[英语]]))+1)</f>
        <v>181</v>
      </c>
      <c r="S1628" s="29" cm="1">
        <f t="array" ref="S1628">IF(表成绩单[[#This Row],[物理]]="","",SUMPRODUCT((表成绩单[考试日期]=表成绩单[[#This Row],[考试日期]])*(表成绩单[物理]&lt;9E+307)*(表成绩单[物理]&gt;表成绩单[[#This Row],[物理]]))+1)</f>
        <v>56</v>
      </c>
      <c r="T1628" s="29" cm="1">
        <f t="array" ref="T1628">IF(表成绩单[[#This Row],[化学]]="","",SUMPRODUCT((表成绩单[考试日期]=表成绩单[[#This Row],[考试日期]])*(表成绩单[化学]&lt;9E+307)*(表成绩单[化学]&gt;表成绩单[[#This Row],[化学]]))+1)</f>
        <v>15</v>
      </c>
      <c r="U1628" s="29" cm="1">
        <f t="array" ref="U1628">IF(表成绩单[[#This Row],[政治]]="","",SUMPRODUCT((表成绩单[考试日期]=表成绩单[[#This Row],[考试日期]])*(表成绩单[政治]&lt;9E+307)*(表成绩单[政治]&gt;表成绩单[[#This Row],[政治]]))+1)</f>
        <v>88</v>
      </c>
      <c r="V1628" s="29" cm="1">
        <f t="array" ref="V1628">IF(表成绩单[[#This Row],[历史]]="","",SUMPRODUCT((表成绩单[考试日期]=表成绩单[[#This Row],[考试日期]])*(表成绩单[历史]&lt;9E+307)*(表成绩单[历史]&gt;表成绩单[[#This Row],[历史]]))+1)</f>
        <v>18</v>
      </c>
      <c r="W1628" s="29" cm="1">
        <f t="array" ref="W1628">IF(表成绩单[[#This Row],[总分]]="","",SUMPRODUCT((表成绩单[考试日期]=表成绩单[[#This Row],[考试日期]])*(表成绩单[总分]&lt;9E+307)*(表成绩单[总分]&gt;表成绩单[[#This Row],[总分]]))+1)</f>
        <v>22</v>
      </c>
    </row>
    <row r="1629" ht="28" customHeight="1" spans="4:23">
      <c r="D1629" s="31">
        <v>46030</v>
      </c>
      <c r="E1629" s="29">
        <v>19175413</v>
      </c>
      <c r="F1629" s="29" t="s">
        <v>74</v>
      </c>
      <c r="G1629" s="29" t="s">
        <v>117</v>
      </c>
      <c r="H1629" s="29">
        <v>104</v>
      </c>
      <c r="I1629" s="29">
        <v>110</v>
      </c>
      <c r="J1629" s="29">
        <v>79</v>
      </c>
      <c r="K1629" s="29">
        <v>85</v>
      </c>
      <c r="L1629" s="29">
        <v>79</v>
      </c>
      <c r="M1629" s="29">
        <v>79</v>
      </c>
      <c r="N1629" s="29">
        <v>79</v>
      </c>
      <c r="O1629" s="32">
        <v>615</v>
      </c>
      <c r="P1629" s="29" cm="1">
        <f t="array" ref="P1629">IF(表成绩单[[#This Row],[语文]]="","",SUMPRODUCT((表成绩单[考试日期]=表成绩单[[#This Row],[考试日期]])*(表成绩单[语文]&lt;9E+307)*(表成绩单[语文]&gt;表成绩单[[#This Row],[语文]]))+1)</f>
        <v>82</v>
      </c>
      <c r="Q1629" s="29" cm="1">
        <f t="array" ref="Q1629">IF(表成绩单[[#This Row],[数学]]="","",SUMPRODUCT((表成绩单[考试日期]=表成绩单[[#This Row],[考试日期]])*(表成绩单[数学]&lt;9E+307)*(表成绩单[数学]&gt;表成绩单[[#This Row],[数学]]))+1)</f>
        <v>27</v>
      </c>
      <c r="R1629" s="29" cm="1">
        <f t="array" ref="R1629">IF(表成绩单[[#This Row],[英语]]="","",SUMPRODUCT((表成绩单[考试日期]=表成绩单[[#This Row],[考试日期]])*(表成绩单[英语]&lt;9E+307)*(表成绩单[英语]&gt;表成绩单[[#This Row],[英语]]))+1)</f>
        <v>50</v>
      </c>
      <c r="S1629" s="29" cm="1">
        <f t="array" ref="S1629">IF(表成绩单[[#This Row],[物理]]="","",SUMPRODUCT((表成绩单[考试日期]=表成绩单[[#This Row],[考试日期]])*(表成绩单[物理]&lt;9E+307)*(表成绩单[物理]&gt;表成绩单[[#This Row],[物理]]))+1)</f>
        <v>56</v>
      </c>
      <c r="T1629" s="29" cm="1">
        <f t="array" ref="T1629">IF(表成绩单[[#This Row],[化学]]="","",SUMPRODUCT((表成绩单[考试日期]=表成绩单[[#This Row],[考试日期]])*(表成绩单[化学]&lt;9E+307)*(表成绩单[化学]&gt;表成绩单[[#This Row],[化学]]))+1)</f>
        <v>77</v>
      </c>
      <c r="U1629" s="29" cm="1">
        <f t="array" ref="U1629">IF(表成绩单[[#This Row],[政治]]="","",SUMPRODUCT((表成绩单[考试日期]=表成绩单[[#This Row],[考试日期]])*(表成绩单[政治]&lt;9E+307)*(表成绩单[政治]&gt;表成绩单[[#This Row],[政治]]))+1)</f>
        <v>42</v>
      </c>
      <c r="V1629" s="29" cm="1">
        <f t="array" ref="V1629">IF(表成绩单[[#This Row],[历史]]="","",SUMPRODUCT((表成绩单[考试日期]=表成绩单[[#This Row],[考试日期]])*(表成绩单[历史]&lt;9E+307)*(表成绩单[历史]&gt;表成绩单[[#This Row],[历史]]))+1)</f>
        <v>104</v>
      </c>
      <c r="W1629" s="29" cm="1">
        <f t="array" ref="W1629">IF(表成绩单[[#This Row],[总分]]="","",SUMPRODUCT((表成绩单[考试日期]=表成绩单[[#This Row],[考试日期]])*(表成绩单[总分]&lt;9E+307)*(表成绩单[总分]&gt;表成绩单[[#This Row],[总分]]))+1)</f>
        <v>23</v>
      </c>
    </row>
    <row r="1630" ht="28" customHeight="1" spans="4:23">
      <c r="D1630" s="31">
        <v>46030</v>
      </c>
      <c r="E1630" s="29">
        <v>19176880</v>
      </c>
      <c r="F1630" s="29" t="s">
        <v>71</v>
      </c>
      <c r="G1630" s="29" t="s">
        <v>189</v>
      </c>
      <c r="H1630" s="29">
        <v>107</v>
      </c>
      <c r="I1630" s="29">
        <v>110</v>
      </c>
      <c r="J1630" s="29">
        <v>79.5</v>
      </c>
      <c r="K1630" s="29">
        <v>87</v>
      </c>
      <c r="L1630" s="29">
        <v>78</v>
      </c>
      <c r="M1630" s="29">
        <v>71</v>
      </c>
      <c r="N1630" s="29">
        <v>82</v>
      </c>
      <c r="O1630" s="32">
        <v>614.5</v>
      </c>
      <c r="P1630" s="29" cm="1">
        <f t="array" ref="P1630">IF(表成绩单[[#This Row],[语文]]="","",SUMPRODUCT((表成绩单[考试日期]=表成绩单[[#This Row],[考试日期]])*(表成绩单[语文]&lt;9E+307)*(表成绩单[语文]&gt;表成绩单[[#This Row],[语文]]))+1)</f>
        <v>38</v>
      </c>
      <c r="Q1630" s="29" cm="1">
        <f t="array" ref="Q1630">IF(表成绩单[[#This Row],[数学]]="","",SUMPRODUCT((表成绩单[考试日期]=表成绩单[[#This Row],[考试日期]])*(表成绩单[数学]&lt;9E+307)*(表成绩单[数学]&gt;表成绩单[[#This Row],[数学]]))+1)</f>
        <v>27</v>
      </c>
      <c r="R1630" s="29" cm="1">
        <f t="array" ref="R1630">IF(表成绩单[[#This Row],[英语]]="","",SUMPRODUCT((表成绩单[考试日期]=表成绩单[[#This Row],[考试日期]])*(表成绩单[英语]&lt;9E+307)*(表成绩单[英语]&gt;表成绩单[[#This Row],[英语]]))+1)</f>
        <v>41</v>
      </c>
      <c r="S1630" s="29" cm="1">
        <f t="array" ref="S1630">IF(表成绩单[[#This Row],[物理]]="","",SUMPRODUCT((表成绩单[考试日期]=表成绩单[[#This Row],[考试日期]])*(表成绩单[物理]&lt;9E+307)*(表成绩单[物理]&gt;表成绩单[[#This Row],[物理]]))+1)</f>
        <v>27</v>
      </c>
      <c r="T1630" s="29" cm="1">
        <f t="array" ref="T1630">IF(表成绩单[[#This Row],[化学]]="","",SUMPRODUCT((表成绩单[考试日期]=表成绩单[[#This Row],[考试日期]])*(表成绩单[化学]&lt;9E+307)*(表成绩单[化学]&gt;表成绩单[[#This Row],[化学]]))+1)</f>
        <v>93</v>
      </c>
      <c r="U1630" s="29" cm="1">
        <f t="array" ref="U1630">IF(表成绩单[[#This Row],[政治]]="","",SUMPRODUCT((表成绩单[考试日期]=表成绩单[[#This Row],[考试日期]])*(表成绩单[政治]&lt;9E+307)*(表成绩单[政治]&gt;表成绩单[[#This Row],[政治]]))+1)</f>
        <v>248</v>
      </c>
      <c r="V1630" s="29" cm="1">
        <f t="array" ref="V1630">IF(表成绩单[[#This Row],[历史]]="","",SUMPRODUCT((表成绩单[考试日期]=表成绩单[[#This Row],[考试日期]])*(表成绩单[历史]&lt;9E+307)*(表成绩单[历史]&gt;表成绩单[[#This Row],[历史]]))+1)</f>
        <v>41</v>
      </c>
      <c r="W1630" s="29" cm="1">
        <f t="array" ref="W1630">IF(表成绩单[[#This Row],[总分]]="","",SUMPRODUCT((表成绩单[考试日期]=表成绩单[[#This Row],[考试日期]])*(表成绩单[总分]&lt;9E+307)*(表成绩单[总分]&gt;表成绩单[[#This Row],[总分]]))+1)</f>
        <v>24</v>
      </c>
    </row>
    <row r="1631" ht="28" customHeight="1" spans="4:23">
      <c r="D1631" s="31">
        <v>46030</v>
      </c>
      <c r="E1631" s="29">
        <v>19175389</v>
      </c>
      <c r="F1631" s="29" t="s">
        <v>74</v>
      </c>
      <c r="G1631" s="29" t="s">
        <v>103</v>
      </c>
      <c r="H1631" s="29">
        <v>98</v>
      </c>
      <c r="I1631" s="29">
        <v>106</v>
      </c>
      <c r="J1631" s="29">
        <v>79</v>
      </c>
      <c r="K1631" s="29">
        <v>84</v>
      </c>
      <c r="L1631" s="29">
        <v>83</v>
      </c>
      <c r="M1631" s="29">
        <v>79</v>
      </c>
      <c r="N1631" s="29">
        <v>85</v>
      </c>
      <c r="O1631" s="32">
        <v>614</v>
      </c>
      <c r="P1631" s="29" cm="1">
        <f t="array" ref="P1631">IF(表成绩单[[#This Row],[语文]]="","",SUMPRODUCT((表成绩单[考试日期]=表成绩单[[#This Row],[考试日期]])*(表成绩单[语文]&lt;9E+307)*(表成绩单[语文]&gt;表成绩单[[#This Row],[语文]]))+1)</f>
        <v>248</v>
      </c>
      <c r="Q1631" s="29" cm="1">
        <f t="array" ref="Q1631">IF(表成绩单[[#This Row],[数学]]="","",SUMPRODUCT((表成绩单[考试日期]=表成绩单[[#This Row],[考试日期]])*(表成绩单[数学]&lt;9E+307)*(表成绩单[数学]&gt;表成绩单[[#This Row],[数学]]))+1)</f>
        <v>50</v>
      </c>
      <c r="R1631" s="29" cm="1">
        <f t="array" ref="R1631">IF(表成绩单[[#This Row],[英语]]="","",SUMPRODUCT((表成绩单[考试日期]=表成绩单[[#This Row],[考试日期]])*(表成绩单[英语]&lt;9E+307)*(表成绩单[英语]&gt;表成绩单[[#This Row],[英语]]))+1)</f>
        <v>50</v>
      </c>
      <c r="S1631" s="29" cm="1">
        <f t="array" ref="S1631">IF(表成绩单[[#This Row],[物理]]="","",SUMPRODUCT((表成绩单[考试日期]=表成绩单[[#This Row],[考试日期]])*(表成绩单[物理]&lt;9E+307)*(表成绩单[物理]&gt;表成绩单[[#This Row],[物理]]))+1)</f>
        <v>73</v>
      </c>
      <c r="T1631" s="29" cm="1">
        <f t="array" ref="T1631">IF(表成绩单[[#This Row],[化学]]="","",SUMPRODUCT((表成绩单[考试日期]=表成绩单[[#This Row],[考试日期]])*(表成绩单[化学]&lt;9E+307)*(表成绩单[化学]&gt;表成绩单[[#This Row],[化学]]))+1)</f>
        <v>15</v>
      </c>
      <c r="U1631" s="29" cm="1">
        <f t="array" ref="U1631">IF(表成绩单[[#This Row],[政治]]="","",SUMPRODUCT((表成绩单[考试日期]=表成绩单[[#This Row],[考试日期]])*(表成绩单[政治]&lt;9E+307)*(表成绩单[政治]&gt;表成绩单[[#This Row],[政治]]))+1)</f>
        <v>42</v>
      </c>
      <c r="V1631" s="29" cm="1">
        <f t="array" ref="V1631">IF(表成绩单[[#This Row],[历史]]="","",SUMPRODUCT((表成绩单[考试日期]=表成绩单[[#This Row],[考试日期]])*(表成绩单[历史]&lt;9E+307)*(表成绩单[历史]&gt;表成绩单[[#This Row],[历史]]))+1)</f>
        <v>18</v>
      </c>
      <c r="W1631" s="29" cm="1">
        <f t="array" ref="W1631">IF(表成绩单[[#This Row],[总分]]="","",SUMPRODUCT((表成绩单[考试日期]=表成绩单[[#This Row],[考试日期]])*(表成绩单[总分]&lt;9E+307)*(表成绩单[总分]&gt;表成绩单[[#This Row],[总分]]))+1)</f>
        <v>25</v>
      </c>
    </row>
    <row r="1632" ht="28" customHeight="1" spans="4:23">
      <c r="D1632" s="31">
        <v>46030</v>
      </c>
      <c r="E1632" s="29">
        <v>19176869</v>
      </c>
      <c r="F1632" s="29" t="s">
        <v>71</v>
      </c>
      <c r="G1632" s="29" t="s">
        <v>156</v>
      </c>
      <c r="H1632" s="29">
        <v>113</v>
      </c>
      <c r="I1632" s="29">
        <v>99</v>
      </c>
      <c r="J1632" s="29">
        <v>76</v>
      </c>
      <c r="K1632" s="29">
        <v>75</v>
      </c>
      <c r="L1632" s="29">
        <v>82</v>
      </c>
      <c r="M1632" s="29">
        <v>81</v>
      </c>
      <c r="N1632" s="29">
        <v>88</v>
      </c>
      <c r="O1632" s="32">
        <v>614</v>
      </c>
      <c r="P1632" s="29" cm="1">
        <f t="array" ref="P1632">IF(表成绩单[[#This Row],[语文]]="","",SUMPRODUCT((表成绩单[考试日期]=表成绩单[[#This Row],[考试日期]])*(表成绩单[语文]&lt;9E+307)*(表成绩单[语文]&gt;表成绩单[[#This Row],[语文]]))+1)</f>
        <v>3</v>
      </c>
      <c r="Q1632" s="29" cm="1">
        <f t="array" ref="Q1632">IF(表成绩单[[#This Row],[数学]]="","",SUMPRODUCT((表成绩单[考试日期]=表成绩单[[#This Row],[考试日期]])*(表成绩单[数学]&lt;9E+307)*(表成绩单[数学]&gt;表成绩单[[#This Row],[数学]]))+1)</f>
        <v>120</v>
      </c>
      <c r="R1632" s="29" cm="1">
        <f t="array" ref="R1632">IF(表成绩单[[#This Row],[英语]]="","",SUMPRODUCT((表成绩单[考试日期]=表成绩单[[#This Row],[考试日期]])*(表成绩单[英语]&lt;9E+307)*(表成绩单[英语]&gt;表成绩单[[#This Row],[英语]]))+1)</f>
        <v>126</v>
      </c>
      <c r="S1632" s="29" cm="1">
        <f t="array" ref="S1632">IF(表成绩单[[#This Row],[物理]]="","",SUMPRODUCT((表成绩单[考试日期]=表成绩单[[#This Row],[考试日期]])*(表成绩单[物理]&lt;9E+307)*(表成绩单[物理]&gt;表成绩单[[#This Row],[物理]]))+1)</f>
        <v>241</v>
      </c>
      <c r="T1632" s="29" cm="1">
        <f t="array" ref="T1632">IF(表成绩单[[#This Row],[化学]]="","",SUMPRODUCT((表成绩单[考试日期]=表成绩单[[#This Row],[考试日期]])*(表成绩单[化学]&lt;9E+307)*(表成绩单[化学]&gt;表成绩单[[#This Row],[化学]]))+1)</f>
        <v>23</v>
      </c>
      <c r="U1632" s="29" cm="1">
        <f t="array" ref="U1632">IF(表成绩单[[#This Row],[政治]]="","",SUMPRODUCT((表成绩单[考试日期]=表成绩单[[#This Row],[考试日期]])*(表成绩单[政治]&lt;9E+307)*(表成绩单[政治]&gt;表成绩单[[#This Row],[政治]]))+1)</f>
        <v>18</v>
      </c>
      <c r="V1632" s="29" cm="1">
        <f t="array" ref="V1632">IF(表成绩单[[#This Row],[历史]]="","",SUMPRODUCT((表成绩单[考试日期]=表成绩单[[#This Row],[考试日期]])*(表成绩单[历史]&lt;9E+307)*(表成绩单[历史]&gt;表成绩单[[#This Row],[历史]]))+1)</f>
        <v>2</v>
      </c>
      <c r="W1632" s="29" cm="1">
        <f t="array" ref="W1632">IF(表成绩单[[#This Row],[总分]]="","",SUMPRODUCT((表成绩单[考试日期]=表成绩单[[#This Row],[考试日期]])*(表成绩单[总分]&lt;9E+307)*(表成绩单[总分]&gt;表成绩单[[#This Row],[总分]]))+1)</f>
        <v>25</v>
      </c>
    </row>
    <row r="1633" ht="28" customHeight="1" spans="4:23">
      <c r="D1633" s="31">
        <v>46030</v>
      </c>
      <c r="E1633" s="29">
        <v>19176888</v>
      </c>
      <c r="F1633" s="29" t="s">
        <v>71</v>
      </c>
      <c r="G1633" s="29" t="s">
        <v>120</v>
      </c>
      <c r="H1633" s="29">
        <v>99</v>
      </c>
      <c r="I1633" s="29">
        <v>106</v>
      </c>
      <c r="J1633" s="29">
        <v>75</v>
      </c>
      <c r="K1633" s="29">
        <v>85</v>
      </c>
      <c r="L1633" s="29">
        <v>82</v>
      </c>
      <c r="M1633" s="29">
        <v>83</v>
      </c>
      <c r="N1633" s="29">
        <v>84</v>
      </c>
      <c r="O1633" s="32">
        <v>614</v>
      </c>
      <c r="P1633" s="29" cm="1">
        <f t="array" ref="P1633">IF(表成绩单[[#This Row],[语文]]="","",SUMPRODUCT((表成绩单[考试日期]=表成绩单[[#This Row],[考试日期]])*(表成绩单[语文]&lt;9E+307)*(表成绩单[语文]&gt;表成绩单[[#This Row],[语文]]))+1)</f>
        <v>213</v>
      </c>
      <c r="Q1633" s="29" cm="1">
        <f t="array" ref="Q1633">IF(表成绩单[[#This Row],[数学]]="","",SUMPRODUCT((表成绩单[考试日期]=表成绩单[[#This Row],[考试日期]])*(表成绩单[数学]&lt;9E+307)*(表成绩单[数学]&gt;表成绩单[[#This Row],[数学]]))+1)</f>
        <v>50</v>
      </c>
      <c r="R1633" s="29" cm="1">
        <f t="array" ref="R1633">IF(表成绩单[[#This Row],[英语]]="","",SUMPRODUCT((表成绩单[考试日期]=表成绩单[[#This Row],[考试日期]])*(表成绩单[英语]&lt;9E+307)*(表成绩单[英语]&gt;表成绩单[[#This Row],[英语]]))+1)</f>
        <v>164</v>
      </c>
      <c r="S1633" s="29" cm="1">
        <f t="array" ref="S1633">IF(表成绩单[[#This Row],[物理]]="","",SUMPRODUCT((表成绩单[考试日期]=表成绩单[[#This Row],[考试日期]])*(表成绩单[物理]&lt;9E+307)*(表成绩单[物理]&gt;表成绩单[[#This Row],[物理]]))+1)</f>
        <v>56</v>
      </c>
      <c r="T1633" s="29" cm="1">
        <f t="array" ref="T1633">IF(表成绩单[[#This Row],[化学]]="","",SUMPRODUCT((表成绩单[考试日期]=表成绩单[[#This Row],[考试日期]])*(表成绩单[化学]&lt;9E+307)*(表成绩单[化学]&gt;表成绩单[[#This Row],[化学]]))+1)</f>
        <v>23</v>
      </c>
      <c r="U1633" s="29" cm="1">
        <f t="array" ref="U1633">IF(表成绩单[[#This Row],[政治]]="","",SUMPRODUCT((表成绩单[考试日期]=表成绩单[[#This Row],[考试日期]])*(表成绩单[政治]&lt;9E+307)*(表成绩单[政治]&gt;表成绩单[[#This Row],[政治]]))+1)</f>
        <v>4</v>
      </c>
      <c r="V1633" s="29" cm="1">
        <f t="array" ref="V1633">IF(表成绩单[[#This Row],[历史]]="","",SUMPRODUCT((表成绩单[考试日期]=表成绩单[[#This Row],[考试日期]])*(表成绩单[历史]&lt;9E+307)*(表成绩单[历史]&gt;表成绩单[[#This Row],[历史]]))+1)</f>
        <v>26</v>
      </c>
      <c r="W1633" s="29" cm="1">
        <f t="array" ref="W1633">IF(表成绩单[[#This Row],[总分]]="","",SUMPRODUCT((表成绩单[考试日期]=表成绩单[[#This Row],[考试日期]])*(表成绩单[总分]&lt;9E+307)*(表成绩单[总分]&gt;表成绩单[[#This Row],[总分]]))+1)</f>
        <v>25</v>
      </c>
    </row>
    <row r="1634" ht="28" customHeight="1" spans="4:23">
      <c r="D1634" s="31">
        <v>46030</v>
      </c>
      <c r="E1634" s="29">
        <v>19173543</v>
      </c>
      <c r="F1634" s="29" t="s">
        <v>1</v>
      </c>
      <c r="G1634" s="29" t="s">
        <v>127</v>
      </c>
      <c r="H1634" s="29">
        <v>103</v>
      </c>
      <c r="I1634" s="29">
        <v>112</v>
      </c>
      <c r="J1634" s="29">
        <v>81.5</v>
      </c>
      <c r="K1634" s="29">
        <v>89</v>
      </c>
      <c r="L1634" s="29">
        <v>79</v>
      </c>
      <c r="M1634" s="29">
        <v>77</v>
      </c>
      <c r="N1634" s="29">
        <v>72</v>
      </c>
      <c r="O1634" s="32">
        <v>613.5</v>
      </c>
      <c r="P1634" s="29" cm="1">
        <f t="array" ref="P1634">IF(表成绩单[[#This Row],[语文]]="","",SUMPRODUCT((表成绩单[考试日期]=表成绩单[[#This Row],[考试日期]])*(表成绩单[语文]&lt;9E+307)*(表成绩单[语文]&gt;表成绩单[[#This Row],[语文]]))+1)</f>
        <v>105</v>
      </c>
      <c r="Q1634" s="29" cm="1">
        <f t="array" ref="Q1634">IF(表成绩单[[#This Row],[数学]]="","",SUMPRODUCT((表成绩单[考试日期]=表成绩单[[#This Row],[考试日期]])*(表成绩单[数学]&lt;9E+307)*(表成绩单[数学]&gt;表成绩单[[#This Row],[数学]]))+1)</f>
        <v>15</v>
      </c>
      <c r="R1634" s="29" cm="1">
        <f t="array" ref="R1634">IF(表成绩单[[#This Row],[英语]]="","",SUMPRODUCT((表成绩单[考试日期]=表成绩单[[#This Row],[考试日期]])*(表成绩单[英语]&lt;9E+307)*(表成绩单[英语]&gt;表成绩单[[#This Row],[英语]]))+1)</f>
        <v>17</v>
      </c>
      <c r="S1634" s="29" cm="1">
        <f t="array" ref="S1634">IF(表成绩单[[#This Row],[物理]]="","",SUMPRODUCT((表成绩单[考试日期]=表成绩单[[#This Row],[考试日期]])*(表成绩单[物理]&lt;9E+307)*(表成绩单[物理]&gt;表成绩单[[#This Row],[物理]]))+1)</f>
        <v>11</v>
      </c>
      <c r="T1634" s="29" cm="1">
        <f t="array" ref="T1634">IF(表成绩单[[#This Row],[化学]]="","",SUMPRODUCT((表成绩单[考试日期]=表成绩单[[#This Row],[考试日期]])*(表成绩单[化学]&lt;9E+307)*(表成绩单[化学]&gt;表成绩单[[#This Row],[化学]]))+1)</f>
        <v>77</v>
      </c>
      <c r="U1634" s="29" cm="1">
        <f t="array" ref="U1634">IF(表成绩单[[#This Row],[政治]]="","",SUMPRODUCT((表成绩单[考试日期]=表成绩单[[#This Row],[考试日期]])*(表成绩单[政治]&lt;9E+307)*(表成绩单[政治]&gt;表成绩单[[#This Row],[政治]]))+1)</f>
        <v>88</v>
      </c>
      <c r="V1634" s="29" cm="1">
        <f t="array" ref="V1634">IF(表成绩单[[#This Row],[历史]]="","",SUMPRODUCT((表成绩单[考试日期]=表成绩单[[#This Row],[考试日期]])*(表成绩单[历史]&lt;9E+307)*(表成绩单[历史]&gt;表成绩单[[#This Row],[历史]]))+1)</f>
        <v>266</v>
      </c>
      <c r="W1634" s="29" cm="1">
        <f t="array" ref="W1634">IF(表成绩单[[#This Row],[总分]]="","",SUMPRODUCT((表成绩单[考试日期]=表成绩单[[#This Row],[考试日期]])*(表成绩单[总分]&lt;9E+307)*(表成绩单[总分]&gt;表成绩单[[#This Row],[总分]]))+1)</f>
        <v>28</v>
      </c>
    </row>
    <row r="1635" ht="28" customHeight="1" spans="4:23">
      <c r="D1635" s="31">
        <v>46030</v>
      </c>
      <c r="E1635" s="29">
        <v>19174792</v>
      </c>
      <c r="F1635" s="29" t="s">
        <v>69</v>
      </c>
      <c r="G1635" s="29" t="s">
        <v>108</v>
      </c>
      <c r="H1635" s="29">
        <v>103</v>
      </c>
      <c r="I1635" s="29">
        <v>104</v>
      </c>
      <c r="J1635" s="29">
        <v>79.5</v>
      </c>
      <c r="K1635" s="29">
        <v>88</v>
      </c>
      <c r="L1635" s="29">
        <v>81</v>
      </c>
      <c r="M1635" s="29">
        <v>80</v>
      </c>
      <c r="N1635" s="29">
        <v>78</v>
      </c>
      <c r="O1635" s="32">
        <v>613.5</v>
      </c>
      <c r="P1635" s="29" cm="1">
        <f t="array" ref="P1635">IF(表成绩单[[#This Row],[语文]]="","",SUMPRODUCT((表成绩单[考试日期]=表成绩单[[#This Row],[考试日期]])*(表成绩单[语文]&lt;9E+307)*(表成绩单[语文]&gt;表成绩单[[#This Row],[语文]]))+1)</f>
        <v>105</v>
      </c>
      <c r="Q1635" s="29" cm="1">
        <f t="array" ref="Q1635">IF(表成绩单[[#This Row],[数学]]="","",SUMPRODUCT((表成绩单[考试日期]=表成绩单[[#This Row],[考试日期]])*(表成绩单[数学]&lt;9E+307)*(表成绩单[数学]&gt;表成绩单[[#This Row],[数学]]))+1)</f>
        <v>80</v>
      </c>
      <c r="R1635" s="29" cm="1">
        <f t="array" ref="R1635">IF(表成绩单[[#This Row],[英语]]="","",SUMPRODUCT((表成绩单[考试日期]=表成绩单[[#This Row],[考试日期]])*(表成绩单[英语]&lt;9E+307)*(表成绩单[英语]&gt;表成绩单[[#This Row],[英语]]))+1)</f>
        <v>41</v>
      </c>
      <c r="S1635" s="29" cm="1">
        <f t="array" ref="S1635">IF(表成绩单[[#This Row],[物理]]="","",SUMPRODUCT((表成绩单[考试日期]=表成绩单[[#This Row],[考试日期]])*(表成绩单[物理]&lt;9E+307)*(表成绩单[物理]&gt;表成绩单[[#This Row],[物理]]))+1)</f>
        <v>21</v>
      </c>
      <c r="T1635" s="29" cm="1">
        <f t="array" ref="T1635">IF(表成绩单[[#This Row],[化学]]="","",SUMPRODUCT((表成绩单[考试日期]=表成绩单[[#This Row],[考试日期]])*(表成绩单[化学]&lt;9E+307)*(表成绩单[化学]&gt;表成绩单[[#This Row],[化学]]))+1)</f>
        <v>43</v>
      </c>
      <c r="U1635" s="29" cm="1">
        <f t="array" ref="U1635">IF(表成绩单[[#This Row],[政治]]="","",SUMPRODUCT((表成绩单[考试日期]=表成绩单[[#This Row],[考试日期]])*(表成绩单[政治]&lt;9E+307)*(表成绩单[政治]&gt;表成绩单[[#This Row],[政治]]))+1)</f>
        <v>28</v>
      </c>
      <c r="V1635" s="29" cm="1">
        <f t="array" ref="V1635">IF(表成绩单[[#This Row],[历史]]="","",SUMPRODUCT((表成绩单[考试日期]=表成绩单[[#This Row],[考试日期]])*(表成绩单[历史]&lt;9E+307)*(表成绩单[历史]&gt;表成绩单[[#This Row],[历史]]))+1)</f>
        <v>126</v>
      </c>
      <c r="W1635" s="29" cm="1">
        <f t="array" ref="W1635">IF(表成绩单[[#This Row],[总分]]="","",SUMPRODUCT((表成绩单[考试日期]=表成绩单[[#This Row],[考试日期]])*(表成绩单[总分]&lt;9E+307)*(表成绩单[总分]&gt;表成绩单[[#This Row],[总分]]))+1)</f>
        <v>28</v>
      </c>
    </row>
    <row r="1636" ht="28" customHeight="1" spans="4:23">
      <c r="D1636" s="31">
        <v>46030</v>
      </c>
      <c r="E1636" s="29">
        <v>19177223</v>
      </c>
      <c r="F1636" s="29" t="s">
        <v>70</v>
      </c>
      <c r="G1636" s="29" t="s">
        <v>171</v>
      </c>
      <c r="H1636" s="29">
        <v>102</v>
      </c>
      <c r="I1636" s="29">
        <v>109</v>
      </c>
      <c r="J1636" s="29">
        <v>76</v>
      </c>
      <c r="K1636" s="29">
        <v>87</v>
      </c>
      <c r="L1636" s="29">
        <v>75</v>
      </c>
      <c r="M1636" s="29">
        <v>82</v>
      </c>
      <c r="N1636" s="29">
        <v>82</v>
      </c>
      <c r="O1636" s="32">
        <v>613</v>
      </c>
      <c r="P1636" s="29" cm="1">
        <f t="array" ref="P1636">IF(表成绩单[[#This Row],[语文]]="","",SUMPRODUCT((表成绩单[考试日期]=表成绩单[[#This Row],[考试日期]])*(表成绩单[语文]&lt;9E+307)*(表成绩单[语文]&gt;表成绩单[[#This Row],[语文]]))+1)</f>
        <v>132</v>
      </c>
      <c r="Q1636" s="29" cm="1">
        <f t="array" ref="Q1636">IF(表成绩单[[#This Row],[数学]]="","",SUMPRODUCT((表成绩单[考试日期]=表成绩单[[#This Row],[考试日期]])*(表成绩单[数学]&lt;9E+307)*(表成绩单[数学]&gt;表成绩单[[#This Row],[数学]]))+1)</f>
        <v>35</v>
      </c>
      <c r="R1636" s="29" cm="1">
        <f t="array" ref="R1636">IF(表成绩单[[#This Row],[英语]]="","",SUMPRODUCT((表成绩单[考试日期]=表成绩单[[#This Row],[考试日期]])*(表成绩单[英语]&lt;9E+307)*(表成绩单[英语]&gt;表成绩单[[#This Row],[英语]]))+1)</f>
        <v>126</v>
      </c>
      <c r="S1636" s="29" cm="1">
        <f t="array" ref="S1636">IF(表成绩单[[#This Row],[物理]]="","",SUMPRODUCT((表成绩单[考试日期]=表成绩单[[#This Row],[考试日期]])*(表成绩单[物理]&lt;9E+307)*(表成绩单[物理]&gt;表成绩单[[#This Row],[物理]]))+1)</f>
        <v>27</v>
      </c>
      <c r="T1636" s="29" cm="1">
        <f t="array" ref="T1636">IF(表成绩单[[#This Row],[化学]]="","",SUMPRODUCT((表成绩单[考试日期]=表成绩单[[#This Row],[考试日期]])*(表成绩单[化学]&lt;9E+307)*(表成绩单[化学]&gt;表成绩单[[#This Row],[化学]]))+1)</f>
        <v>169</v>
      </c>
      <c r="U1636" s="29" cm="1">
        <f t="array" ref="U1636">IF(表成绩单[[#This Row],[政治]]="","",SUMPRODUCT((表成绩单[考试日期]=表成绩单[[#This Row],[考试日期]])*(表成绩单[政治]&lt;9E+307)*(表成绩单[政治]&gt;表成绩单[[#This Row],[政治]]))+1)</f>
        <v>12</v>
      </c>
      <c r="V1636" s="29" cm="1">
        <f t="array" ref="V1636">IF(表成绩单[[#This Row],[历史]]="","",SUMPRODUCT((表成绩单[考试日期]=表成绩单[[#This Row],[考试日期]])*(表成绩单[历史]&lt;9E+307)*(表成绩单[历史]&gt;表成绩单[[#This Row],[历史]]))+1)</f>
        <v>41</v>
      </c>
      <c r="W1636" s="29" cm="1">
        <f t="array" ref="W1636">IF(表成绩单[[#This Row],[总分]]="","",SUMPRODUCT((表成绩单[考试日期]=表成绩单[[#This Row],[考试日期]])*(表成绩单[总分]&lt;9E+307)*(表成绩单[总分]&gt;表成绩单[[#This Row],[总分]]))+1)</f>
        <v>30</v>
      </c>
    </row>
    <row r="1637" ht="28" customHeight="1" spans="4:23">
      <c r="D1637" s="31">
        <v>46030</v>
      </c>
      <c r="E1637" s="29">
        <v>19167647</v>
      </c>
      <c r="F1637" s="29" t="s">
        <v>1</v>
      </c>
      <c r="G1637" s="29" t="s">
        <v>152</v>
      </c>
      <c r="H1637" s="29">
        <v>104</v>
      </c>
      <c r="I1637" s="29">
        <v>115</v>
      </c>
      <c r="J1637" s="29">
        <v>78</v>
      </c>
      <c r="K1637" s="29">
        <v>86</v>
      </c>
      <c r="L1637" s="29">
        <v>77</v>
      </c>
      <c r="M1637" s="29">
        <v>75</v>
      </c>
      <c r="N1637" s="29">
        <v>77</v>
      </c>
      <c r="O1637" s="32">
        <v>612</v>
      </c>
      <c r="P1637" s="29" cm="1">
        <f t="array" ref="P1637">IF(表成绩单[[#This Row],[语文]]="","",SUMPRODUCT((表成绩单[考试日期]=表成绩单[[#This Row],[考试日期]])*(表成绩单[语文]&lt;9E+307)*(表成绩单[语文]&gt;表成绩单[[#This Row],[语文]]))+1)</f>
        <v>82</v>
      </c>
      <c r="Q1637" s="29" cm="1">
        <f t="array" ref="Q1637">IF(表成绩单[[#This Row],[数学]]="","",SUMPRODUCT((表成绩单[考试日期]=表成绩单[[#This Row],[考试日期]])*(表成绩单[数学]&lt;9E+307)*(表成绩单[数学]&gt;表成绩单[[#This Row],[数学]]))+1)</f>
        <v>6</v>
      </c>
      <c r="R1637" s="29" cm="1">
        <f t="array" ref="R1637">IF(表成绩单[[#This Row],[英语]]="","",SUMPRODUCT((表成绩单[考试日期]=表成绩单[[#This Row],[考试日期]])*(表成绩单[英语]&lt;9E+307)*(表成绩单[英语]&gt;表成绩单[[#This Row],[英语]]))+1)</f>
        <v>79</v>
      </c>
      <c r="S1637" s="29" cm="1">
        <f t="array" ref="S1637">IF(表成绩单[[#This Row],[物理]]="","",SUMPRODUCT((表成绩单[考试日期]=表成绩单[[#This Row],[考试日期]])*(表成绩单[物理]&lt;9E+307)*(表成绩单[物理]&gt;表成绩单[[#This Row],[物理]]))+1)</f>
        <v>42</v>
      </c>
      <c r="T1637" s="29" cm="1">
        <f t="array" ref="T1637">IF(表成绩单[[#This Row],[化学]]="","",SUMPRODUCT((表成绩单[考试日期]=表成绩单[[#This Row],[考试日期]])*(表成绩单[化学]&lt;9E+307)*(表成绩单[化学]&gt;表成绩单[[#This Row],[化学]]))+1)</f>
        <v>116</v>
      </c>
      <c r="U1637" s="29" cm="1">
        <f t="array" ref="U1637">IF(表成绩单[[#This Row],[政治]]="","",SUMPRODUCT((表成绩单[考试日期]=表成绩单[[#This Row],[考试日期]])*(表成绩单[政治]&lt;9E+307)*(表成绩单[政治]&gt;表成绩单[[#This Row],[政治]]))+1)</f>
        <v>137</v>
      </c>
      <c r="V1637" s="29" cm="1">
        <f t="array" ref="V1637">IF(表成绩单[[#This Row],[历史]]="","",SUMPRODUCT((表成绩单[考试日期]=表成绩单[[#This Row],[考试日期]])*(表成绩单[历史]&lt;9E+307)*(表成绩单[历史]&gt;表成绩单[[#This Row],[历史]]))+1)</f>
        <v>148</v>
      </c>
      <c r="W1637" s="29" cm="1">
        <f t="array" ref="W1637">IF(表成绩单[[#This Row],[总分]]="","",SUMPRODUCT((表成绩单[考试日期]=表成绩单[[#This Row],[考试日期]])*(表成绩单[总分]&lt;9E+307)*(表成绩单[总分]&gt;表成绩单[[#This Row],[总分]]))+1)</f>
        <v>31</v>
      </c>
    </row>
    <row r="1638" ht="28" customHeight="1" spans="4:23">
      <c r="D1638" s="31">
        <v>46030</v>
      </c>
      <c r="E1638" s="29">
        <v>19167643</v>
      </c>
      <c r="F1638" s="29" t="s">
        <v>1</v>
      </c>
      <c r="G1638" s="29" t="s">
        <v>88</v>
      </c>
      <c r="H1638" s="29">
        <v>108</v>
      </c>
      <c r="I1638" s="29">
        <v>105</v>
      </c>
      <c r="J1638" s="29">
        <v>81</v>
      </c>
      <c r="K1638" s="29">
        <v>81</v>
      </c>
      <c r="L1638" s="29">
        <v>83</v>
      </c>
      <c r="M1638" s="29">
        <v>73</v>
      </c>
      <c r="N1638" s="29">
        <v>80</v>
      </c>
      <c r="O1638" s="32">
        <v>611</v>
      </c>
      <c r="P1638" s="29" cm="1">
        <f t="array" ref="P1638">IF(表成绩单[[#This Row],[语文]]="","",SUMPRODUCT((表成绩单[考试日期]=表成绩单[[#This Row],[考试日期]])*(表成绩单[语文]&lt;9E+307)*(表成绩单[语文]&gt;表成绩单[[#This Row],[语文]]))+1)</f>
        <v>29</v>
      </c>
      <c r="Q1638" s="29" cm="1">
        <f t="array" ref="Q1638">IF(表成绩单[[#This Row],[数学]]="","",SUMPRODUCT((表成绩单[考试日期]=表成绩单[[#This Row],[考试日期]])*(表成绩单[数学]&lt;9E+307)*(表成绩单[数学]&gt;表成绩单[[#This Row],[数学]]))+1)</f>
        <v>64</v>
      </c>
      <c r="R1638" s="29" cm="1">
        <f t="array" ref="R1638">IF(表成绩单[[#This Row],[英语]]="","",SUMPRODUCT((表成绩单[考试日期]=表成绩单[[#This Row],[考试日期]])*(表成绩单[英语]&lt;9E+307)*(表成绩单[英语]&gt;表成绩单[[#This Row],[英语]]))+1)</f>
        <v>19</v>
      </c>
      <c r="S1638" s="29" cm="1">
        <f t="array" ref="S1638">IF(表成绩单[[#This Row],[物理]]="","",SUMPRODUCT((表成绩单[考试日期]=表成绩单[[#This Row],[考试日期]])*(表成绩单[物理]&lt;9E+307)*(表成绩单[物理]&gt;表成绩单[[#This Row],[物理]]))+1)</f>
        <v>119</v>
      </c>
      <c r="T1638" s="29" cm="1">
        <f t="array" ref="T1638">IF(表成绩单[[#This Row],[化学]]="","",SUMPRODUCT((表成绩单[考试日期]=表成绩单[[#This Row],[考试日期]])*(表成绩单[化学]&lt;9E+307)*(表成绩单[化学]&gt;表成绩单[[#This Row],[化学]]))+1)</f>
        <v>15</v>
      </c>
      <c r="U1638" s="29" cm="1">
        <f t="array" ref="U1638">IF(表成绩单[[#This Row],[政治]]="","",SUMPRODUCT((表成绩单[考试日期]=表成绩单[[#This Row],[考试日期]])*(表成绩单[政治]&lt;9E+307)*(表成绩单[政治]&gt;表成绩单[[#This Row],[政治]]))+1)</f>
        <v>197</v>
      </c>
      <c r="V1638" s="29" cm="1">
        <f t="array" ref="V1638">IF(表成绩单[[#This Row],[历史]]="","",SUMPRODUCT((表成绩单[考试日期]=表成绩单[[#This Row],[考试日期]])*(表成绩单[历史]&lt;9E+307)*(表成绩单[历史]&gt;表成绩单[[#This Row],[历史]]))+1)</f>
        <v>83</v>
      </c>
      <c r="W1638" s="29" cm="1">
        <f t="array" ref="W1638">IF(表成绩单[[#This Row],[总分]]="","",SUMPRODUCT((表成绩单[考试日期]=表成绩单[[#This Row],[考试日期]])*(表成绩单[总分]&lt;9E+307)*(表成绩单[总分]&gt;表成绩单[[#This Row],[总分]]))+1)</f>
        <v>32</v>
      </c>
    </row>
    <row r="1639" ht="28" customHeight="1" spans="4:23">
      <c r="D1639" s="31">
        <v>46030</v>
      </c>
      <c r="E1639" s="29">
        <v>19173540</v>
      </c>
      <c r="F1639" s="29" t="s">
        <v>1</v>
      </c>
      <c r="G1639" s="29" t="s">
        <v>209</v>
      </c>
      <c r="H1639" s="29">
        <v>100</v>
      </c>
      <c r="I1639" s="29">
        <v>106</v>
      </c>
      <c r="J1639" s="29">
        <v>82</v>
      </c>
      <c r="K1639" s="29">
        <v>84</v>
      </c>
      <c r="L1639" s="29">
        <v>82</v>
      </c>
      <c r="M1639" s="29">
        <v>75</v>
      </c>
      <c r="N1639" s="29">
        <v>82</v>
      </c>
      <c r="O1639" s="32">
        <v>611</v>
      </c>
      <c r="P1639" s="29" cm="1">
        <f t="array" ref="P1639">IF(表成绩单[[#This Row],[语文]]="","",SUMPRODUCT((表成绩单[考试日期]=表成绩单[[#This Row],[考试日期]])*(表成绩单[语文]&lt;9E+307)*(表成绩单[语文]&gt;表成绩单[[#This Row],[语文]]))+1)</f>
        <v>182</v>
      </c>
      <c r="Q1639" s="29" cm="1">
        <f t="array" ref="Q1639">IF(表成绩单[[#This Row],[数学]]="","",SUMPRODUCT((表成绩单[考试日期]=表成绩单[[#This Row],[考试日期]])*(表成绩单[数学]&lt;9E+307)*(表成绩单[数学]&gt;表成绩单[[#This Row],[数学]]))+1)</f>
        <v>50</v>
      </c>
      <c r="R1639" s="29" cm="1">
        <f t="array" ref="R1639">IF(表成绩单[[#This Row],[英语]]="","",SUMPRODUCT((表成绩单[考试日期]=表成绩单[[#This Row],[考试日期]])*(表成绩单[英语]&lt;9E+307)*(表成绩单[英语]&gt;表成绩单[[#This Row],[英语]]))+1)</f>
        <v>11</v>
      </c>
      <c r="S1639" s="29" cm="1">
        <f t="array" ref="S1639">IF(表成绩单[[#This Row],[物理]]="","",SUMPRODUCT((表成绩单[考试日期]=表成绩单[[#This Row],[考试日期]])*(表成绩单[物理]&lt;9E+307)*(表成绩单[物理]&gt;表成绩单[[#This Row],[物理]]))+1)</f>
        <v>73</v>
      </c>
      <c r="T1639" s="29" cm="1">
        <f t="array" ref="T1639">IF(表成绩单[[#This Row],[化学]]="","",SUMPRODUCT((表成绩单[考试日期]=表成绩单[[#This Row],[考试日期]])*(表成绩单[化学]&lt;9E+307)*(表成绩单[化学]&gt;表成绩单[[#This Row],[化学]]))+1)</f>
        <v>23</v>
      </c>
      <c r="U1639" s="29" cm="1">
        <f t="array" ref="U1639">IF(表成绩单[[#This Row],[政治]]="","",SUMPRODUCT((表成绩单[考试日期]=表成绩单[[#This Row],[考试日期]])*(表成绩单[政治]&lt;9E+307)*(表成绩单[政治]&gt;表成绩单[[#This Row],[政治]]))+1)</f>
        <v>137</v>
      </c>
      <c r="V1639" s="29" cm="1">
        <f t="array" ref="V1639">IF(表成绩单[[#This Row],[历史]]="","",SUMPRODUCT((表成绩单[考试日期]=表成绩单[[#This Row],[考试日期]])*(表成绩单[历史]&lt;9E+307)*(表成绩单[历史]&gt;表成绩单[[#This Row],[历史]]))+1)</f>
        <v>41</v>
      </c>
      <c r="W1639" s="29" cm="1">
        <f t="array" ref="W1639">IF(表成绩单[[#This Row],[总分]]="","",SUMPRODUCT((表成绩单[考试日期]=表成绩单[[#This Row],[考试日期]])*(表成绩单[总分]&lt;9E+307)*(表成绩单[总分]&gt;表成绩单[[#This Row],[总分]]))+1)</f>
        <v>32</v>
      </c>
    </row>
    <row r="1640" ht="28" customHeight="1" spans="4:23">
      <c r="D1640" s="31">
        <v>46030</v>
      </c>
      <c r="E1640" s="29">
        <v>19174793</v>
      </c>
      <c r="F1640" s="29" t="s">
        <v>69</v>
      </c>
      <c r="G1640" s="29" t="s">
        <v>158</v>
      </c>
      <c r="H1640" s="29">
        <v>98</v>
      </c>
      <c r="I1640" s="29">
        <v>112</v>
      </c>
      <c r="J1640" s="29">
        <v>77</v>
      </c>
      <c r="K1640" s="29">
        <v>90</v>
      </c>
      <c r="L1640" s="29">
        <v>80</v>
      </c>
      <c r="M1640" s="29">
        <v>74</v>
      </c>
      <c r="N1640" s="29">
        <v>80</v>
      </c>
      <c r="O1640" s="32">
        <v>611</v>
      </c>
      <c r="P1640" s="29" cm="1">
        <f t="array" ref="P1640">IF(表成绩单[[#This Row],[语文]]="","",SUMPRODUCT((表成绩单[考试日期]=表成绩单[[#This Row],[考试日期]])*(表成绩单[语文]&lt;9E+307)*(表成绩单[语文]&gt;表成绩单[[#This Row],[语文]]))+1)</f>
        <v>248</v>
      </c>
      <c r="Q1640" s="29" cm="1">
        <f t="array" ref="Q1640">IF(表成绩单[[#This Row],[数学]]="","",SUMPRODUCT((表成绩单[考试日期]=表成绩单[[#This Row],[考试日期]])*(表成绩单[数学]&lt;9E+307)*(表成绩单[数学]&gt;表成绩单[[#This Row],[数学]]))+1)</f>
        <v>15</v>
      </c>
      <c r="R1640" s="29" cm="1">
        <f t="array" ref="R1640">IF(表成绩单[[#This Row],[英语]]="","",SUMPRODUCT((表成绩单[考试日期]=表成绩单[[#This Row],[考试日期]])*(表成绩单[英语]&lt;9E+307)*(表成绩单[英语]&gt;表成绩单[[#This Row],[英语]]))+1)</f>
        <v>107</v>
      </c>
      <c r="S1640" s="29" cm="1">
        <f t="array" ref="S1640">IF(表成绩单[[#This Row],[物理]]="","",SUMPRODUCT((表成绩单[考试日期]=表成绩单[[#This Row],[考试日期]])*(表成绩单[物理]&lt;9E+307)*(表成绩单[物理]&gt;表成绩单[[#This Row],[物理]]))+1)</f>
        <v>1</v>
      </c>
      <c r="T1640" s="29" cm="1">
        <f t="array" ref="T1640">IF(表成绩单[[#This Row],[化学]]="","",SUMPRODUCT((表成绩单[考试日期]=表成绩单[[#This Row],[考试日期]])*(表成绩单[化学]&lt;9E+307)*(表成绩单[化学]&gt;表成绩单[[#This Row],[化学]]))+1)</f>
        <v>60</v>
      </c>
      <c r="U1640" s="29" cm="1">
        <f t="array" ref="U1640">IF(表成绩单[[#This Row],[政治]]="","",SUMPRODUCT((表成绩单[考试日期]=表成绩单[[#This Row],[考试日期]])*(表成绩单[政治]&lt;9E+307)*(表成绩单[政治]&gt;表成绩单[[#This Row],[政治]]))+1)</f>
        <v>168</v>
      </c>
      <c r="V1640" s="29" cm="1">
        <f t="array" ref="V1640">IF(表成绩单[[#This Row],[历史]]="","",SUMPRODUCT((表成绩单[考试日期]=表成绩单[[#This Row],[考试日期]])*(表成绩单[历史]&lt;9E+307)*(表成绩单[历史]&gt;表成绩单[[#This Row],[历史]]))+1)</f>
        <v>83</v>
      </c>
      <c r="W1640" s="29" cm="1">
        <f t="array" ref="W1640">IF(表成绩单[[#This Row],[总分]]="","",SUMPRODUCT((表成绩单[考试日期]=表成绩单[[#This Row],[考试日期]])*(表成绩单[总分]&lt;9E+307)*(表成绩单[总分]&gt;表成绩单[[#This Row],[总分]]))+1)</f>
        <v>32</v>
      </c>
    </row>
    <row r="1641" ht="28" customHeight="1" spans="4:23">
      <c r="D1641" s="31">
        <v>46030</v>
      </c>
      <c r="E1641" s="29">
        <v>19175393</v>
      </c>
      <c r="F1641" s="29" t="s">
        <v>74</v>
      </c>
      <c r="G1641" s="29" t="s">
        <v>114</v>
      </c>
      <c r="H1641" s="29">
        <v>98</v>
      </c>
      <c r="I1641" s="29">
        <v>107</v>
      </c>
      <c r="J1641" s="29">
        <v>77</v>
      </c>
      <c r="K1641" s="29">
        <v>89</v>
      </c>
      <c r="L1641" s="29">
        <v>79</v>
      </c>
      <c r="M1641" s="29">
        <v>82</v>
      </c>
      <c r="N1641" s="29">
        <v>79</v>
      </c>
      <c r="O1641" s="32">
        <v>611</v>
      </c>
      <c r="P1641" s="29" cm="1">
        <f t="array" ref="P1641">IF(表成绩单[[#This Row],[语文]]="","",SUMPRODUCT((表成绩单[考试日期]=表成绩单[[#This Row],[考试日期]])*(表成绩单[语文]&lt;9E+307)*(表成绩单[语文]&gt;表成绩单[[#This Row],[语文]]))+1)</f>
        <v>248</v>
      </c>
      <c r="Q1641" s="29" cm="1">
        <f t="array" ref="Q1641">IF(表成绩单[[#This Row],[数学]]="","",SUMPRODUCT((表成绩单[考试日期]=表成绩单[[#This Row],[考试日期]])*(表成绩单[数学]&lt;9E+307)*(表成绩单[数学]&gt;表成绩单[[#This Row],[数学]]))+1)</f>
        <v>48</v>
      </c>
      <c r="R1641" s="29" cm="1">
        <f t="array" ref="R1641">IF(表成绩单[[#This Row],[英语]]="","",SUMPRODUCT((表成绩单[考试日期]=表成绩单[[#This Row],[考试日期]])*(表成绩单[英语]&lt;9E+307)*(表成绩单[英语]&gt;表成绩单[[#This Row],[英语]]))+1)</f>
        <v>107</v>
      </c>
      <c r="S1641" s="29" cm="1">
        <f t="array" ref="S1641">IF(表成绩单[[#This Row],[物理]]="","",SUMPRODUCT((表成绩单[考试日期]=表成绩单[[#This Row],[考试日期]])*(表成绩单[物理]&lt;9E+307)*(表成绩单[物理]&gt;表成绩单[[#This Row],[物理]]))+1)</f>
        <v>11</v>
      </c>
      <c r="T1641" s="29" cm="1">
        <f t="array" ref="T1641">IF(表成绩单[[#This Row],[化学]]="","",SUMPRODUCT((表成绩单[考试日期]=表成绩单[[#This Row],[考试日期]])*(表成绩单[化学]&lt;9E+307)*(表成绩单[化学]&gt;表成绩单[[#This Row],[化学]]))+1)</f>
        <v>77</v>
      </c>
      <c r="U1641" s="29" cm="1">
        <f t="array" ref="U1641">IF(表成绩单[[#This Row],[政治]]="","",SUMPRODUCT((表成绩单[考试日期]=表成绩单[[#This Row],[考试日期]])*(表成绩单[政治]&lt;9E+307)*(表成绩单[政治]&gt;表成绩单[[#This Row],[政治]]))+1)</f>
        <v>12</v>
      </c>
      <c r="V1641" s="29" cm="1">
        <f t="array" ref="V1641">IF(表成绩单[[#This Row],[历史]]="","",SUMPRODUCT((表成绩单[考试日期]=表成绩单[[#This Row],[考试日期]])*(表成绩单[历史]&lt;9E+307)*(表成绩单[历史]&gt;表成绩单[[#This Row],[历史]]))+1)</f>
        <v>104</v>
      </c>
      <c r="W1641" s="29" cm="1">
        <f t="array" ref="W1641">IF(表成绩单[[#This Row],[总分]]="","",SUMPRODUCT((表成绩单[考试日期]=表成绩单[[#This Row],[考试日期]])*(表成绩单[总分]&lt;9E+307)*(表成绩单[总分]&gt;表成绩单[[#This Row],[总分]]))+1)</f>
        <v>32</v>
      </c>
    </row>
    <row r="1642" ht="28" customHeight="1" spans="4:23">
      <c r="D1642" s="31">
        <v>46030</v>
      </c>
      <c r="E1642" s="29">
        <v>19167642</v>
      </c>
      <c r="F1642" s="29" t="s">
        <v>1</v>
      </c>
      <c r="G1642" s="29" t="s">
        <v>151</v>
      </c>
      <c r="H1642" s="29">
        <v>113</v>
      </c>
      <c r="I1642" s="29">
        <v>100</v>
      </c>
      <c r="J1642" s="29">
        <v>81.5</v>
      </c>
      <c r="K1642" s="29">
        <v>82</v>
      </c>
      <c r="L1642" s="29">
        <v>84</v>
      </c>
      <c r="M1642" s="29">
        <v>70</v>
      </c>
      <c r="N1642" s="29">
        <v>79</v>
      </c>
      <c r="O1642" s="32">
        <v>609.5</v>
      </c>
      <c r="P1642" s="29" cm="1">
        <f t="array" ref="P1642">IF(表成绩单[[#This Row],[语文]]="","",SUMPRODUCT((表成绩单[考试日期]=表成绩单[[#This Row],[考试日期]])*(表成绩单[语文]&lt;9E+307)*(表成绩单[语文]&gt;表成绩单[[#This Row],[语文]]))+1)</f>
        <v>3</v>
      </c>
      <c r="Q1642" s="29" cm="1">
        <f t="array" ref="Q1642">IF(表成绩单[[#This Row],[数学]]="","",SUMPRODUCT((表成绩单[考试日期]=表成绩单[[#This Row],[考试日期]])*(表成绩单[数学]&lt;9E+307)*(表成绩单[数学]&gt;表成绩单[[#This Row],[数学]]))+1)</f>
        <v>110</v>
      </c>
      <c r="R1642" s="29" cm="1">
        <f t="array" ref="R1642">IF(表成绩单[[#This Row],[英语]]="","",SUMPRODUCT((表成绩单[考试日期]=表成绩单[[#This Row],[考试日期]])*(表成绩单[英语]&lt;9E+307)*(表成绩单[英语]&gt;表成绩单[[#This Row],[英语]]))+1)</f>
        <v>17</v>
      </c>
      <c r="S1642" s="29" cm="1">
        <f t="array" ref="S1642">IF(表成绩单[[#This Row],[物理]]="","",SUMPRODUCT((表成绩单[考试日期]=表成绩单[[#This Row],[考试日期]])*(表成绩单[物理]&lt;9E+307)*(表成绩单[物理]&gt;表成绩单[[#This Row],[物理]]))+1)</f>
        <v>105</v>
      </c>
      <c r="T1642" s="29" cm="1">
        <f t="array" ref="T1642">IF(表成绩单[[#This Row],[化学]]="","",SUMPRODUCT((表成绩单[考试日期]=表成绩单[[#This Row],[考试日期]])*(表成绩单[化学]&lt;9E+307)*(表成绩单[化学]&gt;表成绩单[[#This Row],[化学]]))+1)</f>
        <v>12</v>
      </c>
      <c r="U1642" s="29" cm="1">
        <f t="array" ref="U1642">IF(表成绩单[[#This Row],[政治]]="","",SUMPRODUCT((表成绩单[考试日期]=表成绩单[[#This Row],[考试日期]])*(表成绩单[政治]&lt;9E+307)*(表成绩单[政治]&gt;表成绩单[[#This Row],[政治]]))+1)</f>
        <v>274</v>
      </c>
      <c r="V1642" s="29" cm="1">
        <f t="array" ref="V1642">IF(表成绩单[[#This Row],[历史]]="","",SUMPRODUCT((表成绩单[考试日期]=表成绩单[[#This Row],[考试日期]])*(表成绩单[历史]&lt;9E+307)*(表成绩单[历史]&gt;表成绩单[[#This Row],[历史]]))+1)</f>
        <v>104</v>
      </c>
      <c r="W1642" s="29" cm="1">
        <f t="array" ref="W1642">IF(表成绩单[[#This Row],[总分]]="","",SUMPRODUCT((表成绩单[考试日期]=表成绩单[[#This Row],[考试日期]])*(表成绩单[总分]&lt;9E+307)*(表成绩单[总分]&gt;表成绩单[[#This Row],[总分]]))+1)</f>
        <v>36</v>
      </c>
    </row>
    <row r="1643" ht="28" customHeight="1" spans="4:23">
      <c r="D1643" s="31">
        <v>46030</v>
      </c>
      <c r="E1643" s="29">
        <v>19173530</v>
      </c>
      <c r="F1643" s="29" t="s">
        <v>1</v>
      </c>
      <c r="G1643" s="29" t="s">
        <v>182</v>
      </c>
      <c r="H1643" s="29">
        <v>99</v>
      </c>
      <c r="I1643" s="29">
        <v>111</v>
      </c>
      <c r="J1643" s="29">
        <v>78.5</v>
      </c>
      <c r="K1643" s="29">
        <v>87</v>
      </c>
      <c r="L1643" s="29">
        <v>78</v>
      </c>
      <c r="M1643" s="29">
        <v>76</v>
      </c>
      <c r="N1643" s="29">
        <v>80</v>
      </c>
      <c r="O1643" s="32">
        <v>609.5</v>
      </c>
      <c r="P1643" s="29" cm="1">
        <f t="array" ref="P1643">IF(表成绩单[[#This Row],[语文]]="","",SUMPRODUCT((表成绩单[考试日期]=表成绩单[[#This Row],[考试日期]])*(表成绩单[语文]&lt;9E+307)*(表成绩单[语文]&gt;表成绩单[[#This Row],[语文]]))+1)</f>
        <v>213</v>
      </c>
      <c r="Q1643" s="29" cm="1">
        <f t="array" ref="Q1643">IF(表成绩单[[#This Row],[数学]]="","",SUMPRODUCT((表成绩单[考试日期]=表成绩单[[#This Row],[考试日期]])*(表成绩单[数学]&lt;9E+307)*(表成绩单[数学]&gt;表成绩单[[#This Row],[数学]]))+1)</f>
        <v>21</v>
      </c>
      <c r="R1643" s="29" cm="1">
        <f t="array" ref="R1643">IF(表成绩单[[#This Row],[英语]]="","",SUMPRODUCT((表成绩单[考试日期]=表成绩单[[#This Row],[考试日期]])*(表成绩单[英语]&lt;9E+307)*(表成绩单[英语]&gt;表成绩单[[#This Row],[英语]]))+1)</f>
        <v>64</v>
      </c>
      <c r="S1643" s="29" cm="1">
        <f t="array" ref="S1643">IF(表成绩单[[#This Row],[物理]]="","",SUMPRODUCT((表成绩单[考试日期]=表成绩单[[#This Row],[考试日期]])*(表成绩单[物理]&lt;9E+307)*(表成绩单[物理]&gt;表成绩单[[#This Row],[物理]]))+1)</f>
        <v>27</v>
      </c>
      <c r="T1643" s="29" cm="1">
        <f t="array" ref="T1643">IF(表成绩单[[#This Row],[化学]]="","",SUMPRODUCT((表成绩单[考试日期]=表成绩单[[#This Row],[考试日期]])*(表成绩单[化学]&lt;9E+307)*(表成绩单[化学]&gt;表成绩单[[#This Row],[化学]]))+1)</f>
        <v>93</v>
      </c>
      <c r="U1643" s="29" cm="1">
        <f t="array" ref="U1643">IF(表成绩单[[#This Row],[政治]]="","",SUMPRODUCT((表成绩单[考试日期]=表成绩单[[#This Row],[考试日期]])*(表成绩单[政治]&lt;9E+307)*(表成绩单[政治]&gt;表成绩单[[#This Row],[政治]]))+1)</f>
        <v>111</v>
      </c>
      <c r="V1643" s="29" cm="1">
        <f t="array" ref="V1643">IF(表成绩单[[#This Row],[历史]]="","",SUMPRODUCT((表成绩单[考试日期]=表成绩单[[#This Row],[考试日期]])*(表成绩单[历史]&lt;9E+307)*(表成绩单[历史]&gt;表成绩单[[#This Row],[历史]]))+1)</f>
        <v>83</v>
      </c>
      <c r="W1643" s="29" cm="1">
        <f t="array" ref="W1643">IF(表成绩单[[#This Row],[总分]]="","",SUMPRODUCT((表成绩单[考试日期]=表成绩单[[#This Row],[考试日期]])*(表成绩单[总分]&lt;9E+307)*(表成绩单[总分]&gt;表成绩单[[#This Row],[总分]]))+1)</f>
        <v>36</v>
      </c>
    </row>
    <row r="1644" ht="28" customHeight="1" spans="4:23">
      <c r="D1644" s="31">
        <v>46030</v>
      </c>
      <c r="E1644" s="29">
        <v>19173534</v>
      </c>
      <c r="F1644" s="29" t="s">
        <v>1</v>
      </c>
      <c r="G1644" s="29" t="s">
        <v>157</v>
      </c>
      <c r="H1644" s="29">
        <v>116</v>
      </c>
      <c r="I1644" s="29">
        <v>89</v>
      </c>
      <c r="J1644" s="29">
        <v>82.5</v>
      </c>
      <c r="K1644" s="29">
        <v>89</v>
      </c>
      <c r="L1644" s="29">
        <v>77</v>
      </c>
      <c r="M1644" s="29">
        <v>68</v>
      </c>
      <c r="N1644" s="29">
        <v>88</v>
      </c>
      <c r="O1644" s="32">
        <v>609.5</v>
      </c>
      <c r="P1644" s="29" cm="1">
        <f t="array" ref="P1644">IF(表成绩单[[#This Row],[语文]]="","",SUMPRODUCT((表成绩单[考试日期]=表成绩单[[#This Row],[考试日期]])*(表成绩单[语文]&lt;9E+307)*(表成绩单[语文]&gt;表成绩单[[#This Row],[语文]]))+1)</f>
        <v>2</v>
      </c>
      <c r="Q1644" s="29" cm="1">
        <f t="array" ref="Q1644">IF(表成绩单[[#This Row],[数学]]="","",SUMPRODUCT((表成绩单[考试日期]=表成绩单[[#This Row],[考试日期]])*(表成绩单[数学]&lt;9E+307)*(表成绩单[数学]&gt;表成绩单[[#This Row],[数学]]))+1)</f>
        <v>228</v>
      </c>
      <c r="R1644" s="29" cm="1">
        <f t="array" ref="R1644">IF(表成绩单[[#This Row],[英语]]="","",SUMPRODUCT((表成绩单[考试日期]=表成绩单[[#This Row],[考试日期]])*(表成绩单[英语]&lt;9E+307)*(表成绩单[英语]&gt;表成绩单[[#This Row],[英语]]))+1)</f>
        <v>9</v>
      </c>
      <c r="S1644" s="29" cm="1">
        <f t="array" ref="S1644">IF(表成绩单[[#This Row],[物理]]="","",SUMPRODUCT((表成绩单[考试日期]=表成绩单[[#This Row],[考试日期]])*(表成绩单[物理]&lt;9E+307)*(表成绩单[物理]&gt;表成绩单[[#This Row],[物理]]))+1)</f>
        <v>11</v>
      </c>
      <c r="T1644" s="29" cm="1">
        <f t="array" ref="T1644">IF(表成绩单[[#This Row],[化学]]="","",SUMPRODUCT((表成绩单[考试日期]=表成绩单[[#This Row],[考试日期]])*(表成绩单[化学]&lt;9E+307)*(表成绩单[化学]&gt;表成绩单[[#This Row],[化学]]))+1)</f>
        <v>116</v>
      </c>
      <c r="U1644" s="29" cm="1">
        <f t="array" ref="U1644">IF(表成绩单[[#This Row],[政治]]="","",SUMPRODUCT((表成绩单[考试日期]=表成绩单[[#This Row],[考试日期]])*(表成绩单[政治]&lt;9E+307)*(表成绩单[政治]&gt;表成绩单[[#This Row],[政治]]))+1)</f>
        <v>336</v>
      </c>
      <c r="V1644" s="29" cm="1">
        <f t="array" ref="V1644">IF(表成绩单[[#This Row],[历史]]="","",SUMPRODUCT((表成绩单[考试日期]=表成绩单[[#This Row],[考试日期]])*(表成绩单[历史]&lt;9E+307)*(表成绩单[历史]&gt;表成绩单[[#This Row],[历史]]))+1)</f>
        <v>2</v>
      </c>
      <c r="W1644" s="29" cm="1">
        <f t="array" ref="W1644">IF(表成绩单[[#This Row],[总分]]="","",SUMPRODUCT((表成绩单[考试日期]=表成绩单[[#This Row],[考试日期]])*(表成绩单[总分]&lt;9E+307)*(表成绩单[总分]&gt;表成绩单[[#This Row],[总分]]))+1)</f>
        <v>36</v>
      </c>
    </row>
    <row r="1645" ht="28" customHeight="1" spans="4:23">
      <c r="D1645" s="31">
        <v>46030</v>
      </c>
      <c r="E1645" s="29">
        <v>19175403</v>
      </c>
      <c r="F1645" s="29" t="s">
        <v>74</v>
      </c>
      <c r="G1645" s="29" t="s">
        <v>96</v>
      </c>
      <c r="H1645" s="29">
        <v>102</v>
      </c>
      <c r="I1645" s="29">
        <v>98</v>
      </c>
      <c r="J1645" s="29">
        <v>78.5</v>
      </c>
      <c r="K1645" s="29">
        <v>86</v>
      </c>
      <c r="L1645" s="29">
        <v>86</v>
      </c>
      <c r="M1645" s="29">
        <v>76</v>
      </c>
      <c r="N1645" s="29">
        <v>83</v>
      </c>
      <c r="O1645" s="32">
        <v>609.5</v>
      </c>
      <c r="P1645" s="29" cm="1">
        <f t="array" ref="P1645">IF(表成绩单[[#This Row],[语文]]="","",SUMPRODUCT((表成绩单[考试日期]=表成绩单[[#This Row],[考试日期]])*(表成绩单[语文]&lt;9E+307)*(表成绩单[语文]&gt;表成绩单[[#This Row],[语文]]))+1)</f>
        <v>132</v>
      </c>
      <c r="Q1645" s="29" cm="1">
        <f t="array" ref="Q1645">IF(表成绩单[[#This Row],[数学]]="","",SUMPRODUCT((表成绩单[考试日期]=表成绩单[[#This Row],[考试日期]])*(表成绩单[数学]&lt;9E+307)*(表成绩单[数学]&gt;表成绩单[[#This Row],[数学]]))+1)</f>
        <v>134</v>
      </c>
      <c r="R1645" s="29" cm="1">
        <f t="array" ref="R1645">IF(表成绩单[[#This Row],[英语]]="","",SUMPRODUCT((表成绩单[考试日期]=表成绩单[[#This Row],[考试日期]])*(表成绩单[英语]&lt;9E+307)*(表成绩单[英语]&gt;表成绩单[[#This Row],[英语]]))+1)</f>
        <v>64</v>
      </c>
      <c r="S1645" s="29" cm="1">
        <f t="array" ref="S1645">IF(表成绩单[[#This Row],[物理]]="","",SUMPRODUCT((表成绩单[考试日期]=表成绩单[[#This Row],[考试日期]])*(表成绩单[物理]&lt;9E+307)*(表成绩单[物理]&gt;表成绩单[[#This Row],[物理]]))+1)</f>
        <v>42</v>
      </c>
      <c r="T1645" s="29" cm="1">
        <f t="array" ref="T1645">IF(表成绩单[[#This Row],[化学]]="","",SUMPRODUCT((表成绩单[考试日期]=表成绩单[[#This Row],[考试日期]])*(表成绩单[化学]&lt;9E+307)*(表成绩单[化学]&gt;表成绩单[[#This Row],[化学]]))+1)</f>
        <v>3</v>
      </c>
      <c r="U1645" s="29" cm="1">
        <f t="array" ref="U1645">IF(表成绩单[[#This Row],[政治]]="","",SUMPRODUCT((表成绩单[考试日期]=表成绩单[[#This Row],[考试日期]])*(表成绩单[政治]&lt;9E+307)*(表成绩单[政治]&gt;表成绩单[[#This Row],[政治]]))+1)</f>
        <v>111</v>
      </c>
      <c r="V1645" s="29" cm="1">
        <f t="array" ref="V1645">IF(表成绩单[[#This Row],[历史]]="","",SUMPRODUCT((表成绩单[考试日期]=表成绩单[[#This Row],[考试日期]])*(表成绩单[历史]&lt;9E+307)*(表成绩单[历史]&gt;表成绩单[[#This Row],[历史]]))+1)</f>
        <v>32</v>
      </c>
      <c r="W1645" s="29" cm="1">
        <f t="array" ref="W1645">IF(表成绩单[[#This Row],[总分]]="","",SUMPRODUCT((表成绩单[考试日期]=表成绩单[[#This Row],[考试日期]])*(表成绩单[总分]&lt;9E+307)*(表成绩单[总分]&gt;表成绩单[[#This Row],[总分]]))+1)</f>
        <v>36</v>
      </c>
    </row>
    <row r="1646" ht="28" customHeight="1" spans="4:23">
      <c r="D1646" s="31">
        <v>46030</v>
      </c>
      <c r="E1646" s="29">
        <v>19175409</v>
      </c>
      <c r="F1646" s="29" t="s">
        <v>74</v>
      </c>
      <c r="G1646" s="29" t="s">
        <v>112</v>
      </c>
      <c r="H1646" s="29">
        <v>103</v>
      </c>
      <c r="I1646" s="29">
        <v>109</v>
      </c>
      <c r="J1646" s="29">
        <v>73.5</v>
      </c>
      <c r="K1646" s="29">
        <v>77</v>
      </c>
      <c r="L1646" s="29">
        <v>82</v>
      </c>
      <c r="M1646" s="29">
        <v>84</v>
      </c>
      <c r="N1646" s="29">
        <v>81</v>
      </c>
      <c r="O1646" s="32">
        <v>609.5</v>
      </c>
      <c r="P1646" s="29" cm="1">
        <f t="array" ref="P1646">IF(表成绩单[[#This Row],[语文]]="","",SUMPRODUCT((表成绩单[考试日期]=表成绩单[[#This Row],[考试日期]])*(表成绩单[语文]&lt;9E+307)*(表成绩单[语文]&gt;表成绩单[[#This Row],[语文]]))+1)</f>
        <v>105</v>
      </c>
      <c r="Q1646" s="29" cm="1">
        <f t="array" ref="Q1646">IF(表成绩单[[#This Row],[数学]]="","",SUMPRODUCT((表成绩单[考试日期]=表成绩单[[#This Row],[考试日期]])*(表成绩单[数学]&lt;9E+307)*(表成绩单[数学]&gt;表成绩单[[#This Row],[数学]]))+1)</f>
        <v>35</v>
      </c>
      <c r="R1646" s="29" cm="1">
        <f t="array" ref="R1646">IF(表成绩单[[#This Row],[英语]]="","",SUMPRODUCT((表成绩单[考试日期]=表成绩单[[#This Row],[考试日期]])*(表成绩单[英语]&lt;9E+307)*(表成绩单[英语]&gt;表成绩单[[#This Row],[英语]]))+1)</f>
        <v>209</v>
      </c>
      <c r="S1646" s="29" cm="1">
        <f t="array" ref="S1646">IF(表成绩单[[#This Row],[物理]]="","",SUMPRODUCT((表成绩单[考试日期]=表成绩单[[#This Row],[考试日期]])*(表成绩单[物理]&lt;9E+307)*(表成绩单[物理]&gt;表成绩单[[#This Row],[物理]]))+1)</f>
        <v>197</v>
      </c>
      <c r="T1646" s="29" cm="1">
        <f t="array" ref="T1646">IF(表成绩单[[#This Row],[化学]]="","",SUMPRODUCT((表成绩单[考试日期]=表成绩单[[#This Row],[考试日期]])*(表成绩单[化学]&lt;9E+307)*(表成绩单[化学]&gt;表成绩单[[#This Row],[化学]]))+1)</f>
        <v>23</v>
      </c>
      <c r="U1646" s="29" cm="1">
        <f t="array" ref="U1646">IF(表成绩单[[#This Row],[政治]]="","",SUMPRODUCT((表成绩单[考试日期]=表成绩单[[#This Row],[考试日期]])*(表成绩单[政治]&lt;9E+307)*(表成绩单[政治]&gt;表成绩单[[#This Row],[政治]]))+1)</f>
        <v>2</v>
      </c>
      <c r="V1646" s="29" cm="1">
        <f t="array" ref="V1646">IF(表成绩单[[#This Row],[历史]]="","",SUMPRODUCT((表成绩单[考试日期]=表成绩单[[#This Row],[考试日期]])*(表成绩单[历史]&lt;9E+307)*(表成绩单[历史]&gt;表成绩单[[#This Row],[历史]]))+1)</f>
        <v>60</v>
      </c>
      <c r="W1646" s="29" cm="1">
        <f t="array" ref="W1646">IF(表成绩单[[#This Row],[总分]]="","",SUMPRODUCT((表成绩单[考试日期]=表成绩单[[#This Row],[考试日期]])*(表成绩单[总分]&lt;9E+307)*(表成绩单[总分]&gt;表成绩单[[#This Row],[总分]]))+1)</f>
        <v>36</v>
      </c>
    </row>
    <row r="1647" ht="28" customHeight="1" spans="4:23">
      <c r="D1647" s="31">
        <v>46030</v>
      </c>
      <c r="E1647" s="29">
        <v>19175710</v>
      </c>
      <c r="F1647" s="29" t="s">
        <v>72</v>
      </c>
      <c r="G1647" s="29" t="s">
        <v>122</v>
      </c>
      <c r="H1647" s="29">
        <v>105</v>
      </c>
      <c r="I1647" s="29">
        <v>110</v>
      </c>
      <c r="J1647" s="29">
        <v>75.5</v>
      </c>
      <c r="K1647" s="29">
        <v>87</v>
      </c>
      <c r="L1647" s="29">
        <v>80</v>
      </c>
      <c r="M1647" s="29">
        <v>76</v>
      </c>
      <c r="N1647" s="29">
        <v>76</v>
      </c>
      <c r="O1647" s="32">
        <v>609.5</v>
      </c>
      <c r="P1647" s="29" cm="1">
        <f t="array" ref="P1647">IF(表成绩单[[#This Row],[语文]]="","",SUMPRODUCT((表成绩单[考试日期]=表成绩单[[#This Row],[考试日期]])*(表成绩单[语文]&lt;9E+307)*(表成绩单[语文]&gt;表成绩单[[#This Row],[语文]]))+1)</f>
        <v>62</v>
      </c>
      <c r="Q1647" s="29" cm="1">
        <f t="array" ref="Q1647">IF(表成绩单[[#This Row],[数学]]="","",SUMPRODUCT((表成绩单[考试日期]=表成绩单[[#This Row],[考试日期]])*(表成绩单[数学]&lt;9E+307)*(表成绩单[数学]&gt;表成绩单[[#This Row],[数学]]))+1)</f>
        <v>27</v>
      </c>
      <c r="R1647" s="29" cm="1">
        <f t="array" ref="R1647">IF(表成绩单[[#This Row],[英语]]="","",SUMPRODUCT((表成绩单[考试日期]=表成绩单[[#This Row],[考试日期]])*(表成绩单[英语]&lt;9E+307)*(表成绩单[英语]&gt;表成绩单[[#This Row],[英语]]))+1)</f>
        <v>145</v>
      </c>
      <c r="S1647" s="29" cm="1">
        <f t="array" ref="S1647">IF(表成绩单[[#This Row],[物理]]="","",SUMPRODUCT((表成绩单[考试日期]=表成绩单[[#This Row],[考试日期]])*(表成绩单[物理]&lt;9E+307)*(表成绩单[物理]&gt;表成绩单[[#This Row],[物理]]))+1)</f>
        <v>27</v>
      </c>
      <c r="T1647" s="29" cm="1">
        <f t="array" ref="T1647">IF(表成绩单[[#This Row],[化学]]="","",SUMPRODUCT((表成绩单[考试日期]=表成绩单[[#This Row],[考试日期]])*(表成绩单[化学]&lt;9E+307)*(表成绩单[化学]&gt;表成绩单[[#This Row],[化学]]))+1)</f>
        <v>60</v>
      </c>
      <c r="U1647" s="29" cm="1">
        <f t="array" ref="U1647">IF(表成绩单[[#This Row],[政治]]="","",SUMPRODUCT((表成绩单[考试日期]=表成绩单[[#This Row],[考试日期]])*(表成绩单[政治]&lt;9E+307)*(表成绩单[政治]&gt;表成绩单[[#This Row],[政治]]))+1)</f>
        <v>111</v>
      </c>
      <c r="V1647" s="29" cm="1">
        <f t="array" ref="V1647">IF(表成绩单[[#This Row],[历史]]="","",SUMPRODUCT((表成绩单[考试日期]=表成绩单[[#This Row],[考试日期]])*(表成绩单[历史]&lt;9E+307)*(表成绩单[历史]&gt;表成绩单[[#This Row],[历史]]))+1)</f>
        <v>169</v>
      </c>
      <c r="W1647" s="29" cm="1">
        <f t="array" ref="W1647">IF(表成绩单[[#This Row],[总分]]="","",SUMPRODUCT((表成绩单[考试日期]=表成绩单[[#This Row],[考试日期]])*(表成绩单[总分]&lt;9E+307)*(表成绩单[总分]&gt;表成绩单[[#This Row],[总分]]))+1)</f>
        <v>36</v>
      </c>
    </row>
    <row r="1648" ht="28" customHeight="1" spans="4:23">
      <c r="D1648" s="31">
        <v>46030</v>
      </c>
      <c r="E1648" s="29">
        <v>19173525</v>
      </c>
      <c r="F1648" s="29" t="s">
        <v>1</v>
      </c>
      <c r="G1648" s="29" t="s">
        <v>91</v>
      </c>
      <c r="H1648" s="29">
        <v>105</v>
      </c>
      <c r="I1648" s="29">
        <v>117</v>
      </c>
      <c r="J1648" s="29">
        <v>80</v>
      </c>
      <c r="K1648" s="29">
        <v>76</v>
      </c>
      <c r="L1648" s="29">
        <v>80</v>
      </c>
      <c r="M1648" s="29">
        <v>72</v>
      </c>
      <c r="N1648" s="29">
        <v>78</v>
      </c>
      <c r="O1648" s="32">
        <v>608</v>
      </c>
      <c r="P1648" s="29" cm="1">
        <f t="array" ref="P1648">IF(表成绩单[[#This Row],[语文]]="","",SUMPRODUCT((表成绩单[考试日期]=表成绩单[[#This Row],[考试日期]])*(表成绩单[语文]&lt;9E+307)*(表成绩单[语文]&gt;表成绩单[[#This Row],[语文]]))+1)</f>
        <v>62</v>
      </c>
      <c r="Q1648" s="29" cm="1">
        <f t="array" ref="Q1648">IF(表成绩单[[#This Row],[数学]]="","",SUMPRODUCT((表成绩单[考试日期]=表成绩单[[#This Row],[考试日期]])*(表成绩单[数学]&lt;9E+307)*(表成绩单[数学]&gt;表成绩单[[#This Row],[数学]]))+1)</f>
        <v>3</v>
      </c>
      <c r="R1648" s="29" cm="1">
        <f t="array" ref="R1648">IF(表成绩单[[#This Row],[英语]]="","",SUMPRODUCT((表成绩单[考试日期]=表成绩单[[#This Row],[考试日期]])*(表成绩单[英语]&lt;9E+307)*(表成绩单[英语]&gt;表成绩单[[#This Row],[英语]]))+1)</f>
        <v>27</v>
      </c>
      <c r="S1648" s="29" cm="1">
        <f t="array" ref="S1648">IF(表成绩单[[#This Row],[物理]]="","",SUMPRODUCT((表成绩单[考试日期]=表成绩单[[#This Row],[考试日期]])*(表成绩单[物理]&lt;9E+307)*(表成绩单[物理]&gt;表成绩单[[#This Row],[物理]]))+1)</f>
        <v>218</v>
      </c>
      <c r="T1648" s="29" cm="1">
        <f t="array" ref="T1648">IF(表成绩单[[#This Row],[化学]]="","",SUMPRODUCT((表成绩单[考试日期]=表成绩单[[#This Row],[考试日期]])*(表成绩单[化学]&lt;9E+307)*(表成绩单[化学]&gt;表成绩单[[#This Row],[化学]]))+1)</f>
        <v>60</v>
      </c>
      <c r="U1648" s="29" cm="1">
        <f t="array" ref="U1648">IF(表成绩单[[#This Row],[政治]]="","",SUMPRODUCT((表成绩单[考试日期]=表成绩单[[#This Row],[考试日期]])*(表成绩单[政治]&lt;9E+307)*(表成绩单[政治]&gt;表成绩单[[#This Row],[政治]]))+1)</f>
        <v>224</v>
      </c>
      <c r="V1648" s="29" cm="1">
        <f t="array" ref="V1648">IF(表成绩单[[#This Row],[历史]]="","",SUMPRODUCT((表成绩单[考试日期]=表成绩单[[#This Row],[考试日期]])*(表成绩单[历史]&lt;9E+307)*(表成绩单[历史]&gt;表成绩单[[#This Row],[历史]]))+1)</f>
        <v>126</v>
      </c>
      <c r="W1648" s="29" cm="1">
        <f t="array" ref="W1648">IF(表成绩单[[#This Row],[总分]]="","",SUMPRODUCT((表成绩单[考试日期]=表成绩单[[#This Row],[考试日期]])*(表成绩单[总分]&lt;9E+307)*(表成绩单[总分]&gt;表成绩单[[#This Row],[总分]]))+1)</f>
        <v>42</v>
      </c>
    </row>
    <row r="1649" ht="28" customHeight="1" spans="4:23">
      <c r="D1649" s="31">
        <v>46030</v>
      </c>
      <c r="E1649" s="29">
        <v>19175646</v>
      </c>
      <c r="F1649" s="29" t="s">
        <v>66</v>
      </c>
      <c r="G1649" s="29" t="s">
        <v>143</v>
      </c>
      <c r="H1649" s="29">
        <v>102</v>
      </c>
      <c r="I1649" s="29">
        <v>106</v>
      </c>
      <c r="J1649" s="29">
        <v>74</v>
      </c>
      <c r="K1649" s="29">
        <v>87</v>
      </c>
      <c r="L1649" s="29">
        <v>81</v>
      </c>
      <c r="M1649" s="29">
        <v>79</v>
      </c>
      <c r="N1649" s="29">
        <v>79</v>
      </c>
      <c r="O1649" s="32">
        <v>608</v>
      </c>
      <c r="P1649" s="29" cm="1">
        <f t="array" ref="P1649">IF(表成绩单[[#This Row],[语文]]="","",SUMPRODUCT((表成绩单[考试日期]=表成绩单[[#This Row],[考试日期]])*(表成绩单[语文]&lt;9E+307)*(表成绩单[语文]&gt;表成绩单[[#This Row],[语文]]))+1)</f>
        <v>132</v>
      </c>
      <c r="Q1649" s="29" cm="1">
        <f t="array" ref="Q1649">IF(表成绩单[[#This Row],[数学]]="","",SUMPRODUCT((表成绩单[考试日期]=表成绩单[[#This Row],[考试日期]])*(表成绩单[数学]&lt;9E+307)*(表成绩单[数学]&gt;表成绩单[[#This Row],[数学]]))+1)</f>
        <v>50</v>
      </c>
      <c r="R1649" s="29" cm="1">
        <f t="array" ref="R1649">IF(表成绩单[[#This Row],[英语]]="","",SUMPRODUCT((表成绩单[考试日期]=表成绩单[[#This Row],[考试日期]])*(表成绩单[英语]&lt;9E+307)*(表成绩单[英语]&gt;表成绩单[[#This Row],[英语]]))+1)</f>
        <v>201</v>
      </c>
      <c r="S1649" s="29" cm="1">
        <f t="array" ref="S1649">IF(表成绩单[[#This Row],[物理]]="","",SUMPRODUCT((表成绩单[考试日期]=表成绩单[[#This Row],[考试日期]])*(表成绩单[物理]&lt;9E+307)*(表成绩单[物理]&gt;表成绩单[[#This Row],[物理]]))+1)</f>
        <v>27</v>
      </c>
      <c r="T1649" s="29" cm="1">
        <f t="array" ref="T1649">IF(表成绩单[[#This Row],[化学]]="","",SUMPRODUCT((表成绩单[考试日期]=表成绩单[[#This Row],[考试日期]])*(表成绩单[化学]&lt;9E+307)*(表成绩单[化学]&gt;表成绩单[[#This Row],[化学]]))+1)</f>
        <v>43</v>
      </c>
      <c r="U1649" s="29" cm="1">
        <f t="array" ref="U1649">IF(表成绩单[[#This Row],[政治]]="","",SUMPRODUCT((表成绩单[考试日期]=表成绩单[[#This Row],[考试日期]])*(表成绩单[政治]&lt;9E+307)*(表成绩单[政治]&gt;表成绩单[[#This Row],[政治]]))+1)</f>
        <v>42</v>
      </c>
      <c r="V1649" s="29" cm="1">
        <f t="array" ref="V1649">IF(表成绩单[[#This Row],[历史]]="","",SUMPRODUCT((表成绩单[考试日期]=表成绩单[[#This Row],[考试日期]])*(表成绩单[历史]&lt;9E+307)*(表成绩单[历史]&gt;表成绩单[[#This Row],[历史]]))+1)</f>
        <v>104</v>
      </c>
      <c r="W1649" s="29" cm="1">
        <f t="array" ref="W1649">IF(表成绩单[[#This Row],[总分]]="","",SUMPRODUCT((表成绩单[考试日期]=表成绩单[[#This Row],[考试日期]])*(表成绩单[总分]&lt;9E+307)*(表成绩单[总分]&gt;表成绩单[[#This Row],[总分]]))+1)</f>
        <v>42</v>
      </c>
    </row>
    <row r="1650" ht="28" customHeight="1" spans="4:23">
      <c r="D1650" s="31">
        <v>46030</v>
      </c>
      <c r="E1650" s="29">
        <v>19173524</v>
      </c>
      <c r="F1650" s="29" t="s">
        <v>1</v>
      </c>
      <c r="G1650" s="29" t="s">
        <v>124</v>
      </c>
      <c r="H1650" s="29">
        <v>99</v>
      </c>
      <c r="I1650" s="29">
        <v>111</v>
      </c>
      <c r="J1650" s="29">
        <v>77.5</v>
      </c>
      <c r="K1650" s="29">
        <v>86</v>
      </c>
      <c r="L1650" s="29">
        <v>82</v>
      </c>
      <c r="M1650" s="29">
        <v>77</v>
      </c>
      <c r="N1650" s="29">
        <v>75</v>
      </c>
      <c r="O1650" s="32">
        <v>607.5</v>
      </c>
      <c r="P1650" s="29" cm="1">
        <f t="array" ref="P1650">IF(表成绩单[[#This Row],[语文]]="","",SUMPRODUCT((表成绩单[考试日期]=表成绩单[[#This Row],[考试日期]])*(表成绩单[语文]&lt;9E+307)*(表成绩单[语文]&gt;表成绩单[[#This Row],[语文]]))+1)</f>
        <v>213</v>
      </c>
      <c r="Q1650" s="29" cm="1">
        <f t="array" ref="Q1650">IF(表成绩单[[#This Row],[数学]]="","",SUMPRODUCT((表成绩单[考试日期]=表成绩单[[#This Row],[考试日期]])*(表成绩单[数学]&lt;9E+307)*(表成绩单[数学]&gt;表成绩单[[#This Row],[数学]]))+1)</f>
        <v>21</v>
      </c>
      <c r="R1650" s="29" cm="1">
        <f t="array" ref="R1650">IF(表成绩单[[#This Row],[英语]]="","",SUMPRODUCT((表成绩单[考试日期]=表成绩单[[#This Row],[考试日期]])*(表成绩单[英语]&lt;9E+307)*(表成绩单[英语]&gt;表成绩单[[#This Row],[英语]]))+1)</f>
        <v>89</v>
      </c>
      <c r="S1650" s="29" cm="1">
        <f t="array" ref="S1650">IF(表成绩单[[#This Row],[物理]]="","",SUMPRODUCT((表成绩单[考试日期]=表成绩单[[#This Row],[考试日期]])*(表成绩单[物理]&lt;9E+307)*(表成绩单[物理]&gt;表成绩单[[#This Row],[物理]]))+1)</f>
        <v>42</v>
      </c>
      <c r="T1650" s="29" cm="1">
        <f t="array" ref="T1650">IF(表成绩单[[#This Row],[化学]]="","",SUMPRODUCT((表成绩单[考试日期]=表成绩单[[#This Row],[考试日期]])*(表成绩单[化学]&lt;9E+307)*(表成绩单[化学]&gt;表成绩单[[#This Row],[化学]]))+1)</f>
        <v>23</v>
      </c>
      <c r="U1650" s="29" cm="1">
        <f t="array" ref="U1650">IF(表成绩单[[#This Row],[政治]]="","",SUMPRODUCT((表成绩单[考试日期]=表成绩单[[#This Row],[考试日期]])*(表成绩单[政治]&lt;9E+307)*(表成绩单[政治]&gt;表成绩单[[#This Row],[政治]]))+1)</f>
        <v>88</v>
      </c>
      <c r="V1650" s="29" cm="1">
        <f t="array" ref="V1650">IF(表成绩单[[#This Row],[历史]]="","",SUMPRODUCT((表成绩单[考试日期]=表成绩单[[#This Row],[考试日期]])*(表成绩单[历史]&lt;9E+307)*(表成绩单[历史]&gt;表成绩单[[#This Row],[历史]]))+1)</f>
        <v>193</v>
      </c>
      <c r="W1650" s="29" cm="1">
        <f t="array" ref="W1650">IF(表成绩单[[#This Row],[总分]]="","",SUMPRODUCT((表成绩单[考试日期]=表成绩单[[#This Row],[考试日期]])*(表成绩单[总分]&lt;9E+307)*(表成绩单[总分]&gt;表成绩单[[#This Row],[总分]]))+1)</f>
        <v>44</v>
      </c>
    </row>
    <row r="1651" ht="28" customHeight="1" spans="4:23">
      <c r="D1651" s="31">
        <v>46030</v>
      </c>
      <c r="E1651" s="29">
        <v>19173528</v>
      </c>
      <c r="F1651" s="29" t="s">
        <v>1</v>
      </c>
      <c r="G1651" s="29" t="s">
        <v>105</v>
      </c>
      <c r="H1651" s="29">
        <v>102</v>
      </c>
      <c r="I1651" s="29">
        <v>111</v>
      </c>
      <c r="J1651" s="29">
        <v>78.5</v>
      </c>
      <c r="K1651" s="29">
        <v>84</v>
      </c>
      <c r="L1651" s="29">
        <v>81</v>
      </c>
      <c r="M1651" s="29">
        <v>69</v>
      </c>
      <c r="N1651" s="29">
        <v>82</v>
      </c>
      <c r="O1651" s="32">
        <v>607.5</v>
      </c>
      <c r="P1651" s="29" cm="1">
        <f t="array" ref="P1651">IF(表成绩单[[#This Row],[语文]]="","",SUMPRODUCT((表成绩单[考试日期]=表成绩单[[#This Row],[考试日期]])*(表成绩单[语文]&lt;9E+307)*(表成绩单[语文]&gt;表成绩单[[#This Row],[语文]]))+1)</f>
        <v>132</v>
      </c>
      <c r="Q1651" s="29" cm="1">
        <f t="array" ref="Q1651">IF(表成绩单[[#This Row],[数学]]="","",SUMPRODUCT((表成绩单[考试日期]=表成绩单[[#This Row],[考试日期]])*(表成绩单[数学]&lt;9E+307)*(表成绩单[数学]&gt;表成绩单[[#This Row],[数学]]))+1)</f>
        <v>21</v>
      </c>
      <c r="R1651" s="29" cm="1">
        <f t="array" ref="R1651">IF(表成绩单[[#This Row],[英语]]="","",SUMPRODUCT((表成绩单[考试日期]=表成绩单[[#This Row],[考试日期]])*(表成绩单[英语]&lt;9E+307)*(表成绩单[英语]&gt;表成绩单[[#This Row],[英语]]))+1)</f>
        <v>64</v>
      </c>
      <c r="S1651" s="29" cm="1">
        <f t="array" ref="S1651">IF(表成绩单[[#This Row],[物理]]="","",SUMPRODUCT((表成绩单[考试日期]=表成绩单[[#This Row],[考试日期]])*(表成绩单[物理]&lt;9E+307)*(表成绩单[物理]&gt;表成绩单[[#This Row],[物理]]))+1)</f>
        <v>73</v>
      </c>
      <c r="T1651" s="29" cm="1">
        <f t="array" ref="T1651">IF(表成绩单[[#This Row],[化学]]="","",SUMPRODUCT((表成绩单[考试日期]=表成绩单[[#This Row],[考试日期]])*(表成绩单[化学]&lt;9E+307)*(表成绩单[化学]&gt;表成绩单[[#This Row],[化学]]))+1)</f>
        <v>43</v>
      </c>
      <c r="U1651" s="29" cm="1">
        <f t="array" ref="U1651">IF(表成绩单[[#This Row],[政治]]="","",SUMPRODUCT((表成绩单[考试日期]=表成绩单[[#This Row],[考试日期]])*(表成绩单[政治]&lt;9E+307)*(表成绩单[政治]&gt;表成绩单[[#This Row],[政治]]))+1)</f>
        <v>308</v>
      </c>
      <c r="V1651" s="29" cm="1">
        <f t="array" ref="V1651">IF(表成绩单[[#This Row],[历史]]="","",SUMPRODUCT((表成绩单[考试日期]=表成绩单[[#This Row],[考试日期]])*(表成绩单[历史]&lt;9E+307)*(表成绩单[历史]&gt;表成绩单[[#This Row],[历史]]))+1)</f>
        <v>41</v>
      </c>
      <c r="W1651" s="29" cm="1">
        <f t="array" ref="W1651">IF(表成绩单[[#This Row],[总分]]="","",SUMPRODUCT((表成绩单[考试日期]=表成绩单[[#This Row],[考试日期]])*(表成绩单[总分]&lt;9E+307)*(表成绩单[总分]&gt;表成绩单[[#This Row],[总分]]))+1)</f>
        <v>44</v>
      </c>
    </row>
    <row r="1652" ht="28" customHeight="1" spans="4:23">
      <c r="D1652" s="31">
        <v>46030</v>
      </c>
      <c r="E1652" s="29">
        <v>19177672</v>
      </c>
      <c r="F1652" s="29" t="s">
        <v>63</v>
      </c>
      <c r="G1652" s="29" t="s">
        <v>160</v>
      </c>
      <c r="H1652" s="29">
        <v>87</v>
      </c>
      <c r="I1652" s="29">
        <v>102</v>
      </c>
      <c r="J1652" s="29">
        <v>77</v>
      </c>
      <c r="K1652" s="29">
        <v>90</v>
      </c>
      <c r="L1652" s="29">
        <v>86</v>
      </c>
      <c r="M1652" s="29">
        <v>78</v>
      </c>
      <c r="N1652" s="29">
        <v>87</v>
      </c>
      <c r="O1652" s="32">
        <v>607</v>
      </c>
      <c r="P1652" s="29" cm="1">
        <f t="array" ref="P1652">IF(表成绩单[[#This Row],[语文]]="","",SUMPRODUCT((表成绩单[考试日期]=表成绩单[[#This Row],[考试日期]])*(表成绩单[语文]&lt;9E+307)*(表成绩单[语文]&gt;表成绩单[[#This Row],[语文]]))+1)</f>
        <v>581</v>
      </c>
      <c r="Q1652" s="29" cm="1">
        <f t="array" ref="Q1652">IF(表成绩单[[#This Row],[数学]]="","",SUMPRODUCT((表成绩单[考试日期]=表成绩单[[#This Row],[考试日期]])*(表成绩单[数学]&lt;9E+307)*(表成绩单[数学]&gt;表成绩单[[#This Row],[数学]]))+1)</f>
        <v>95</v>
      </c>
      <c r="R1652" s="29" cm="1">
        <f t="array" ref="R1652">IF(表成绩单[[#This Row],[英语]]="","",SUMPRODUCT((表成绩单[考试日期]=表成绩单[[#This Row],[考试日期]])*(表成绩单[英语]&lt;9E+307)*(表成绩单[英语]&gt;表成绩单[[#This Row],[英语]]))+1)</f>
        <v>107</v>
      </c>
      <c r="S1652" s="29" cm="1">
        <f t="array" ref="S1652">IF(表成绩单[[#This Row],[物理]]="","",SUMPRODUCT((表成绩单[考试日期]=表成绩单[[#This Row],[考试日期]])*(表成绩单[物理]&lt;9E+307)*(表成绩单[物理]&gt;表成绩单[[#This Row],[物理]]))+1)</f>
        <v>1</v>
      </c>
      <c r="T1652" s="29" cm="1">
        <f t="array" ref="T1652">IF(表成绩单[[#This Row],[化学]]="","",SUMPRODUCT((表成绩单[考试日期]=表成绩单[[#This Row],[考试日期]])*(表成绩单[化学]&lt;9E+307)*(表成绩单[化学]&gt;表成绩单[[#This Row],[化学]]))+1)</f>
        <v>3</v>
      </c>
      <c r="U1652" s="29" cm="1">
        <f t="array" ref="U1652">IF(表成绩单[[#This Row],[政治]]="","",SUMPRODUCT((表成绩单[考试日期]=表成绩单[[#This Row],[考试日期]])*(表成绩单[政治]&lt;9E+307)*(表成绩单[政治]&gt;表成绩单[[#This Row],[政治]]))+1)</f>
        <v>65</v>
      </c>
      <c r="V1652" s="29" cm="1">
        <f t="array" ref="V1652">IF(表成绩单[[#This Row],[历史]]="","",SUMPRODUCT((表成绩单[考试日期]=表成绩单[[#This Row],[考试日期]])*(表成绩单[历史]&lt;9E+307)*(表成绩单[历史]&gt;表成绩单[[#This Row],[历史]]))+1)</f>
        <v>4</v>
      </c>
      <c r="W1652" s="29" cm="1">
        <f t="array" ref="W1652">IF(表成绩单[[#This Row],[总分]]="","",SUMPRODUCT((表成绩单[考试日期]=表成绩单[[#This Row],[考试日期]])*(表成绩单[总分]&lt;9E+307)*(表成绩单[总分]&gt;表成绩单[[#This Row],[总分]]))+1)</f>
        <v>46</v>
      </c>
    </row>
    <row r="1653" ht="28" customHeight="1" spans="4:23">
      <c r="D1653" s="31">
        <v>46030</v>
      </c>
      <c r="E1653" s="29">
        <v>19175695</v>
      </c>
      <c r="F1653" s="29" t="s">
        <v>72</v>
      </c>
      <c r="G1653" s="29" t="s">
        <v>148</v>
      </c>
      <c r="H1653" s="29">
        <v>100</v>
      </c>
      <c r="I1653" s="29">
        <v>102</v>
      </c>
      <c r="J1653" s="29">
        <v>79</v>
      </c>
      <c r="K1653" s="29">
        <v>84</v>
      </c>
      <c r="L1653" s="29">
        <v>74</v>
      </c>
      <c r="M1653" s="29">
        <v>81</v>
      </c>
      <c r="N1653" s="29">
        <v>86</v>
      </c>
      <c r="O1653" s="32">
        <v>606</v>
      </c>
      <c r="P1653" s="29" cm="1">
        <f t="array" ref="P1653">IF(表成绩单[[#This Row],[语文]]="","",SUMPRODUCT((表成绩单[考试日期]=表成绩单[[#This Row],[考试日期]])*(表成绩单[语文]&lt;9E+307)*(表成绩单[语文]&gt;表成绩单[[#This Row],[语文]]))+1)</f>
        <v>182</v>
      </c>
      <c r="Q1653" s="29" cm="1">
        <f t="array" ref="Q1653">IF(表成绩单[[#This Row],[数学]]="","",SUMPRODUCT((表成绩单[考试日期]=表成绩单[[#This Row],[考试日期]])*(表成绩单[数学]&lt;9E+307)*(表成绩单[数学]&gt;表成绩单[[#This Row],[数学]]))+1)</f>
        <v>95</v>
      </c>
      <c r="R1653" s="29" cm="1">
        <f t="array" ref="R1653">IF(表成绩单[[#This Row],[英语]]="","",SUMPRODUCT((表成绩单[考试日期]=表成绩单[[#This Row],[考试日期]])*(表成绩单[英语]&lt;9E+307)*(表成绩单[英语]&gt;表成绩单[[#This Row],[英语]]))+1)</f>
        <v>50</v>
      </c>
      <c r="S1653" s="29" cm="1">
        <f t="array" ref="S1653">IF(表成绩单[[#This Row],[物理]]="","",SUMPRODUCT((表成绩单[考试日期]=表成绩单[[#This Row],[考试日期]])*(表成绩单[物理]&lt;9E+307)*(表成绩单[物理]&gt;表成绩单[[#This Row],[物理]]))+1)</f>
        <v>73</v>
      </c>
      <c r="T1653" s="29" cm="1">
        <f t="array" ref="T1653">IF(表成绩单[[#This Row],[化学]]="","",SUMPRODUCT((表成绩单[考试日期]=表成绩单[[#This Row],[考试日期]])*(表成绩单[化学]&lt;9E+307)*(表成绩单[化学]&gt;表成绩单[[#This Row],[化学]]))+1)</f>
        <v>208</v>
      </c>
      <c r="U1653" s="29" cm="1">
        <f t="array" ref="U1653">IF(表成绩单[[#This Row],[政治]]="","",SUMPRODUCT((表成绩单[考试日期]=表成绩单[[#This Row],[考试日期]])*(表成绩单[政治]&lt;9E+307)*(表成绩单[政治]&gt;表成绩单[[#This Row],[政治]]))+1)</f>
        <v>18</v>
      </c>
      <c r="V1653" s="29" cm="1">
        <f t="array" ref="V1653">IF(表成绩单[[#This Row],[历史]]="","",SUMPRODUCT((表成绩单[考试日期]=表成绩单[[#This Row],[考试日期]])*(表成绩单[历史]&lt;9E+307)*(表成绩单[历史]&gt;表成绩单[[#This Row],[历史]]))+1)</f>
        <v>10</v>
      </c>
      <c r="W1653" s="29" cm="1">
        <f t="array" ref="W1653">IF(表成绩单[[#This Row],[总分]]="","",SUMPRODUCT((表成绩单[考试日期]=表成绩单[[#This Row],[考试日期]])*(表成绩单[总分]&lt;9E+307)*(表成绩单[总分]&gt;表成绩单[[#This Row],[总分]]))+1)</f>
        <v>47</v>
      </c>
    </row>
    <row r="1654" ht="28" customHeight="1" spans="4:23">
      <c r="D1654" s="31">
        <v>46030</v>
      </c>
      <c r="E1654" s="29">
        <v>19176875</v>
      </c>
      <c r="F1654" s="29" t="s">
        <v>71</v>
      </c>
      <c r="G1654" s="29" t="s">
        <v>81</v>
      </c>
      <c r="H1654" s="29">
        <v>109</v>
      </c>
      <c r="I1654" s="29">
        <v>107</v>
      </c>
      <c r="J1654" s="29">
        <v>74.5</v>
      </c>
      <c r="K1654" s="29">
        <v>74</v>
      </c>
      <c r="L1654" s="29">
        <v>82</v>
      </c>
      <c r="M1654" s="29">
        <v>81</v>
      </c>
      <c r="N1654" s="29">
        <v>77</v>
      </c>
      <c r="O1654" s="32">
        <v>604.5</v>
      </c>
      <c r="P1654" s="29" cm="1">
        <f t="array" ref="P1654">IF(表成绩单[[#This Row],[语文]]="","",SUMPRODUCT((表成绩单[考试日期]=表成绩单[[#This Row],[考试日期]])*(表成绩单[语文]&lt;9E+307)*(表成绩单[语文]&gt;表成绩单[[#This Row],[语文]]))+1)</f>
        <v>19</v>
      </c>
      <c r="Q1654" s="29" cm="1">
        <f t="array" ref="Q1654">IF(表成绩单[[#This Row],[数学]]="","",SUMPRODUCT((表成绩单[考试日期]=表成绩单[[#This Row],[考试日期]])*(表成绩单[数学]&lt;9E+307)*(表成绩单[数学]&gt;表成绩单[[#This Row],[数学]]))+1)</f>
        <v>48</v>
      </c>
      <c r="R1654" s="29" cm="1">
        <f t="array" ref="R1654">IF(表成绩单[[#This Row],[英语]]="","",SUMPRODUCT((表成绩单[考试日期]=表成绩单[[#This Row],[考试日期]])*(表成绩单[英语]&lt;9E+307)*(表成绩单[英语]&gt;表成绩单[[#This Row],[英语]]))+1)</f>
        <v>181</v>
      </c>
      <c r="S1654" s="29" cm="1">
        <f t="array" ref="S1654">IF(表成绩单[[#This Row],[物理]]="","",SUMPRODUCT((表成绩单[考试日期]=表成绩单[[#This Row],[考试日期]])*(表成绩单[物理]&lt;9E+307)*(表成绩单[物理]&gt;表成绩单[[#This Row],[物理]]))+1)</f>
        <v>258</v>
      </c>
      <c r="T1654" s="29" cm="1">
        <f t="array" ref="T1654">IF(表成绩单[[#This Row],[化学]]="","",SUMPRODUCT((表成绩单[考试日期]=表成绩单[[#This Row],[考试日期]])*(表成绩单[化学]&lt;9E+307)*(表成绩单[化学]&gt;表成绩单[[#This Row],[化学]]))+1)</f>
        <v>23</v>
      </c>
      <c r="U1654" s="29" cm="1">
        <f t="array" ref="U1654">IF(表成绩单[[#This Row],[政治]]="","",SUMPRODUCT((表成绩单[考试日期]=表成绩单[[#This Row],[考试日期]])*(表成绩单[政治]&lt;9E+307)*(表成绩单[政治]&gt;表成绩单[[#This Row],[政治]]))+1)</f>
        <v>18</v>
      </c>
      <c r="V1654" s="29" cm="1">
        <f t="array" ref="V1654">IF(表成绩单[[#This Row],[历史]]="","",SUMPRODUCT((表成绩单[考试日期]=表成绩单[[#This Row],[考试日期]])*(表成绩单[历史]&lt;9E+307)*(表成绩单[历史]&gt;表成绩单[[#This Row],[历史]]))+1)</f>
        <v>148</v>
      </c>
      <c r="W1654" s="29" cm="1">
        <f t="array" ref="W1654">IF(表成绩单[[#This Row],[总分]]="","",SUMPRODUCT((表成绩单[考试日期]=表成绩单[[#This Row],[考试日期]])*(表成绩单[总分]&lt;9E+307)*(表成绩单[总分]&gt;表成绩单[[#This Row],[总分]]))+1)</f>
        <v>48</v>
      </c>
    </row>
    <row r="1655" ht="28" customHeight="1" spans="4:23">
      <c r="D1655" s="31">
        <v>46030</v>
      </c>
      <c r="E1655" s="29">
        <v>19177211</v>
      </c>
      <c r="F1655" s="29" t="s">
        <v>70</v>
      </c>
      <c r="G1655" s="29" t="s">
        <v>165</v>
      </c>
      <c r="H1655" s="29">
        <v>111</v>
      </c>
      <c r="I1655" s="29">
        <v>93</v>
      </c>
      <c r="J1655" s="29">
        <v>82.5</v>
      </c>
      <c r="K1655" s="29">
        <v>78</v>
      </c>
      <c r="L1655" s="29">
        <v>76</v>
      </c>
      <c r="M1655" s="29">
        <v>83</v>
      </c>
      <c r="N1655" s="29">
        <v>81</v>
      </c>
      <c r="O1655" s="32">
        <v>604.5</v>
      </c>
      <c r="P1655" s="29" cm="1">
        <f t="array" ref="P1655">IF(表成绩单[[#This Row],[语文]]="","",SUMPRODUCT((表成绩单[考试日期]=表成绩单[[#This Row],[考试日期]])*(表成绩单[语文]&lt;9E+307)*(表成绩单[语文]&gt;表成绩单[[#This Row],[语文]]))+1)</f>
        <v>9</v>
      </c>
      <c r="Q1655" s="29" cm="1">
        <f t="array" ref="Q1655">IF(表成绩单[[#This Row],[数学]]="","",SUMPRODUCT((表成绩单[考试日期]=表成绩单[[#This Row],[考试日期]])*(表成绩单[数学]&lt;9E+307)*(表成绩单[数学]&gt;表成绩单[[#This Row],[数学]]))+1)</f>
        <v>188</v>
      </c>
      <c r="R1655" s="29" cm="1">
        <f t="array" ref="R1655">IF(表成绩单[[#This Row],[英语]]="","",SUMPRODUCT((表成绩单[考试日期]=表成绩单[[#This Row],[考试日期]])*(表成绩单[英语]&lt;9E+307)*(表成绩单[英语]&gt;表成绩单[[#This Row],[英语]]))+1)</f>
        <v>9</v>
      </c>
      <c r="S1655" s="29" cm="1">
        <f t="array" ref="S1655">IF(表成绩单[[#This Row],[物理]]="","",SUMPRODUCT((表成绩单[考试日期]=表成绩单[[#This Row],[考试日期]])*(表成绩单[物理]&lt;9E+307)*(表成绩单[物理]&gt;表成绩单[[#This Row],[物理]]))+1)</f>
        <v>178</v>
      </c>
      <c r="T1655" s="29" cm="1">
        <f t="array" ref="T1655">IF(表成绩单[[#This Row],[化学]]="","",SUMPRODUCT((表成绩单[考试日期]=表成绩单[[#This Row],[考试日期]])*(表成绩单[化学]&lt;9E+307)*(表成绩单[化学]&gt;表成绩单[[#This Row],[化学]]))+1)</f>
        <v>139</v>
      </c>
      <c r="U1655" s="29" cm="1">
        <f t="array" ref="U1655">IF(表成绩单[[#This Row],[政治]]="","",SUMPRODUCT((表成绩单[考试日期]=表成绩单[[#This Row],[考试日期]])*(表成绩单[政治]&lt;9E+307)*(表成绩单[政治]&gt;表成绩单[[#This Row],[政治]]))+1)</f>
        <v>4</v>
      </c>
      <c r="V1655" s="29" cm="1">
        <f t="array" ref="V1655">IF(表成绩单[[#This Row],[历史]]="","",SUMPRODUCT((表成绩单[考试日期]=表成绩单[[#This Row],[考试日期]])*(表成绩单[历史]&lt;9E+307)*(表成绩单[历史]&gt;表成绩单[[#This Row],[历史]]))+1)</f>
        <v>60</v>
      </c>
      <c r="W1655" s="29" cm="1">
        <f t="array" ref="W1655">IF(表成绩单[[#This Row],[总分]]="","",SUMPRODUCT((表成绩单[考试日期]=表成绩单[[#This Row],[考试日期]])*(表成绩单[总分]&lt;9E+307)*(表成绩单[总分]&gt;表成绩单[[#This Row],[总分]]))+1)</f>
        <v>48</v>
      </c>
    </row>
    <row r="1656" ht="28" customHeight="1" spans="4:23">
      <c r="D1656" s="31">
        <v>46030</v>
      </c>
      <c r="E1656" s="29">
        <v>19173520</v>
      </c>
      <c r="F1656" s="29" t="s">
        <v>1</v>
      </c>
      <c r="G1656" s="29" t="s">
        <v>144</v>
      </c>
      <c r="H1656" s="29">
        <v>102</v>
      </c>
      <c r="I1656" s="29">
        <v>105</v>
      </c>
      <c r="J1656" s="29">
        <v>79</v>
      </c>
      <c r="K1656" s="29">
        <v>79</v>
      </c>
      <c r="L1656" s="29">
        <v>82</v>
      </c>
      <c r="M1656" s="29">
        <v>80</v>
      </c>
      <c r="N1656" s="29">
        <v>77</v>
      </c>
      <c r="O1656" s="32">
        <v>604</v>
      </c>
      <c r="P1656" s="29" cm="1">
        <f t="array" ref="P1656">IF(表成绩单[[#This Row],[语文]]="","",SUMPRODUCT((表成绩单[考试日期]=表成绩单[[#This Row],[考试日期]])*(表成绩单[语文]&lt;9E+307)*(表成绩单[语文]&gt;表成绩单[[#This Row],[语文]]))+1)</f>
        <v>132</v>
      </c>
      <c r="Q1656" s="29" cm="1">
        <f t="array" ref="Q1656">IF(表成绩单[[#This Row],[数学]]="","",SUMPRODUCT((表成绩单[考试日期]=表成绩单[[#This Row],[考试日期]])*(表成绩单[数学]&lt;9E+307)*(表成绩单[数学]&gt;表成绩单[[#This Row],[数学]]))+1)</f>
        <v>64</v>
      </c>
      <c r="R1656" s="29" cm="1">
        <f t="array" ref="R1656">IF(表成绩单[[#This Row],[英语]]="","",SUMPRODUCT((表成绩单[考试日期]=表成绩单[[#This Row],[考试日期]])*(表成绩单[英语]&lt;9E+307)*(表成绩单[英语]&gt;表成绩单[[#This Row],[英语]]))+1)</f>
        <v>50</v>
      </c>
      <c r="S1656" s="29" cm="1">
        <f t="array" ref="S1656">IF(表成绩单[[#This Row],[物理]]="","",SUMPRODUCT((表成绩单[考试日期]=表成绩单[[#This Row],[考试日期]])*(表成绩单[物理]&lt;9E+307)*(表成绩单[物理]&gt;表成绩单[[#This Row],[物理]]))+1)</f>
        <v>153</v>
      </c>
      <c r="T1656" s="29" cm="1">
        <f t="array" ref="T1656">IF(表成绩单[[#This Row],[化学]]="","",SUMPRODUCT((表成绩单[考试日期]=表成绩单[[#This Row],[考试日期]])*(表成绩单[化学]&lt;9E+307)*(表成绩单[化学]&gt;表成绩单[[#This Row],[化学]]))+1)</f>
        <v>23</v>
      </c>
      <c r="U1656" s="29" cm="1">
        <f t="array" ref="U1656">IF(表成绩单[[#This Row],[政治]]="","",SUMPRODUCT((表成绩单[考试日期]=表成绩单[[#This Row],[考试日期]])*(表成绩单[政治]&lt;9E+307)*(表成绩单[政治]&gt;表成绩单[[#This Row],[政治]]))+1)</f>
        <v>28</v>
      </c>
      <c r="V1656" s="29" cm="1">
        <f t="array" ref="V1656">IF(表成绩单[[#This Row],[历史]]="","",SUMPRODUCT((表成绩单[考试日期]=表成绩单[[#This Row],[考试日期]])*(表成绩单[历史]&lt;9E+307)*(表成绩单[历史]&gt;表成绩单[[#This Row],[历史]]))+1)</f>
        <v>148</v>
      </c>
      <c r="W1656" s="29" cm="1">
        <f t="array" ref="W1656">IF(表成绩单[[#This Row],[总分]]="","",SUMPRODUCT((表成绩单[考试日期]=表成绩单[[#This Row],[考试日期]])*(表成绩单[总分]&lt;9E+307)*(表成绩单[总分]&gt;表成绩单[[#This Row],[总分]]))+1)</f>
        <v>50</v>
      </c>
    </row>
    <row r="1657" ht="28" customHeight="1" spans="4:23">
      <c r="D1657" s="31">
        <v>46030</v>
      </c>
      <c r="E1657" s="29">
        <v>19167654</v>
      </c>
      <c r="F1657" s="29" t="s">
        <v>1</v>
      </c>
      <c r="G1657" s="29" t="s">
        <v>107</v>
      </c>
      <c r="H1657" s="29">
        <v>110</v>
      </c>
      <c r="I1657" s="29">
        <v>102</v>
      </c>
      <c r="J1657" s="29">
        <v>75.5</v>
      </c>
      <c r="K1657" s="29">
        <v>74</v>
      </c>
      <c r="L1657" s="29">
        <v>78</v>
      </c>
      <c r="M1657" s="29">
        <v>78</v>
      </c>
      <c r="N1657" s="29">
        <v>86</v>
      </c>
      <c r="O1657" s="32">
        <v>603.5</v>
      </c>
      <c r="P1657" s="29" cm="1">
        <f t="array" ref="P1657">IF(表成绩单[[#This Row],[语文]]="","",SUMPRODUCT((表成绩单[考试日期]=表成绩单[[#This Row],[考试日期]])*(表成绩单[语文]&lt;9E+307)*(表成绩单[语文]&gt;表成绩单[[#This Row],[语文]]))+1)</f>
        <v>14</v>
      </c>
      <c r="Q1657" s="29" cm="1">
        <f t="array" ref="Q1657">IF(表成绩单[[#This Row],[数学]]="","",SUMPRODUCT((表成绩单[考试日期]=表成绩单[[#This Row],[考试日期]])*(表成绩单[数学]&lt;9E+307)*(表成绩单[数学]&gt;表成绩单[[#This Row],[数学]]))+1)</f>
        <v>95</v>
      </c>
      <c r="R1657" s="29" cm="1">
        <f t="array" ref="R1657">IF(表成绩单[[#This Row],[英语]]="","",SUMPRODUCT((表成绩单[考试日期]=表成绩单[[#This Row],[考试日期]])*(表成绩单[英语]&lt;9E+307)*(表成绩单[英语]&gt;表成绩单[[#This Row],[英语]]))+1)</f>
        <v>145</v>
      </c>
      <c r="S1657" s="29" cm="1">
        <f t="array" ref="S1657">IF(表成绩单[[#This Row],[物理]]="","",SUMPRODUCT((表成绩单[考试日期]=表成绩单[[#This Row],[考试日期]])*(表成绩单[物理]&lt;9E+307)*(表成绩单[物理]&gt;表成绩单[[#This Row],[物理]]))+1)</f>
        <v>258</v>
      </c>
      <c r="T1657" s="29" cm="1">
        <f t="array" ref="T1657">IF(表成绩单[[#This Row],[化学]]="","",SUMPRODUCT((表成绩单[考试日期]=表成绩单[[#This Row],[考试日期]])*(表成绩单[化学]&lt;9E+307)*(表成绩单[化学]&gt;表成绩单[[#This Row],[化学]]))+1)</f>
        <v>93</v>
      </c>
      <c r="U1657" s="29" cm="1">
        <f t="array" ref="U1657">IF(表成绩单[[#This Row],[政治]]="","",SUMPRODUCT((表成绩单[考试日期]=表成绩单[[#This Row],[考试日期]])*(表成绩单[政治]&lt;9E+307)*(表成绩单[政治]&gt;表成绩单[[#This Row],[政治]]))+1)</f>
        <v>65</v>
      </c>
      <c r="V1657" s="29" cm="1">
        <f t="array" ref="V1657">IF(表成绩单[[#This Row],[历史]]="","",SUMPRODUCT((表成绩单[考试日期]=表成绩单[[#This Row],[考试日期]])*(表成绩单[历史]&lt;9E+307)*(表成绩单[历史]&gt;表成绩单[[#This Row],[历史]]))+1)</f>
        <v>10</v>
      </c>
      <c r="W1657" s="29" cm="1">
        <f t="array" ref="W1657">IF(表成绩单[[#This Row],[总分]]="","",SUMPRODUCT((表成绩单[考试日期]=表成绩单[[#This Row],[考试日期]])*(表成绩单[总分]&lt;9E+307)*(表成绩单[总分]&gt;表成绩单[[#This Row],[总分]]))+1)</f>
        <v>51</v>
      </c>
    </row>
    <row r="1658" ht="28" customHeight="1" spans="4:23">
      <c r="D1658" s="31">
        <v>46030</v>
      </c>
      <c r="E1658" s="29">
        <v>19167649</v>
      </c>
      <c r="F1658" s="29" t="s">
        <v>1</v>
      </c>
      <c r="G1658" s="29" t="s">
        <v>153</v>
      </c>
      <c r="H1658" s="29">
        <v>100</v>
      </c>
      <c r="I1658" s="29">
        <v>108</v>
      </c>
      <c r="J1658" s="29">
        <v>82</v>
      </c>
      <c r="K1658" s="29">
        <v>80</v>
      </c>
      <c r="L1658" s="29">
        <v>77</v>
      </c>
      <c r="M1658" s="29">
        <v>76</v>
      </c>
      <c r="N1658" s="29">
        <v>80</v>
      </c>
      <c r="O1658" s="32">
        <v>603</v>
      </c>
      <c r="P1658" s="29" cm="1">
        <f t="array" ref="P1658">IF(表成绩单[[#This Row],[语文]]="","",SUMPRODUCT((表成绩单[考试日期]=表成绩单[[#This Row],[考试日期]])*(表成绩单[语文]&lt;9E+307)*(表成绩单[语文]&gt;表成绩单[[#This Row],[语文]]))+1)</f>
        <v>182</v>
      </c>
      <c r="Q1658" s="29" cm="1">
        <f t="array" ref="Q1658">IF(表成绩单[[#This Row],[数学]]="","",SUMPRODUCT((表成绩单[考试日期]=表成绩单[[#This Row],[考试日期]])*(表成绩单[数学]&lt;9E+307)*(表成绩单[数学]&gt;表成绩单[[#This Row],[数学]]))+1)</f>
        <v>44</v>
      </c>
      <c r="R1658" s="29" cm="1">
        <f t="array" ref="R1658">IF(表成绩单[[#This Row],[英语]]="","",SUMPRODUCT((表成绩单[考试日期]=表成绩单[[#This Row],[考试日期]])*(表成绩单[英语]&lt;9E+307)*(表成绩单[英语]&gt;表成绩单[[#This Row],[英语]]))+1)</f>
        <v>11</v>
      </c>
      <c r="S1658" s="29" cm="1">
        <f t="array" ref="S1658">IF(表成绩单[[#This Row],[物理]]="","",SUMPRODUCT((表成绩单[考试日期]=表成绩单[[#This Row],[考试日期]])*(表成绩单[物理]&lt;9E+307)*(表成绩单[物理]&gt;表成绩单[[#This Row],[物理]]))+1)</f>
        <v>137</v>
      </c>
      <c r="T1658" s="29" cm="1">
        <f t="array" ref="T1658">IF(表成绩单[[#This Row],[化学]]="","",SUMPRODUCT((表成绩单[考试日期]=表成绩单[[#This Row],[考试日期]])*(表成绩单[化学]&lt;9E+307)*(表成绩单[化学]&gt;表成绩单[[#This Row],[化学]]))+1)</f>
        <v>116</v>
      </c>
      <c r="U1658" s="29" cm="1">
        <f t="array" ref="U1658">IF(表成绩单[[#This Row],[政治]]="","",SUMPRODUCT((表成绩单[考试日期]=表成绩单[[#This Row],[考试日期]])*(表成绩单[政治]&lt;9E+307)*(表成绩单[政治]&gt;表成绩单[[#This Row],[政治]]))+1)</f>
        <v>111</v>
      </c>
      <c r="V1658" s="29" cm="1">
        <f t="array" ref="V1658">IF(表成绩单[[#This Row],[历史]]="","",SUMPRODUCT((表成绩单[考试日期]=表成绩单[[#This Row],[考试日期]])*(表成绩单[历史]&lt;9E+307)*(表成绩单[历史]&gt;表成绩单[[#This Row],[历史]]))+1)</f>
        <v>83</v>
      </c>
      <c r="W1658" s="29" cm="1">
        <f t="array" ref="W1658">IF(表成绩单[[#This Row],[总分]]="","",SUMPRODUCT((表成绩单[考试日期]=表成绩单[[#This Row],[考试日期]])*(表成绩单[总分]&lt;9E+307)*(表成绩单[总分]&gt;表成绩单[[#This Row],[总分]]))+1)</f>
        <v>52</v>
      </c>
    </row>
    <row r="1659" ht="28" customHeight="1" spans="4:23">
      <c r="D1659" s="31">
        <v>46030</v>
      </c>
      <c r="E1659" s="29">
        <v>19173532</v>
      </c>
      <c r="F1659" s="29" t="s">
        <v>1</v>
      </c>
      <c r="G1659" s="29" t="s">
        <v>125</v>
      </c>
      <c r="H1659" s="29">
        <v>104</v>
      </c>
      <c r="I1659" s="29">
        <v>110</v>
      </c>
      <c r="J1659" s="29">
        <v>80</v>
      </c>
      <c r="K1659" s="29">
        <v>79</v>
      </c>
      <c r="L1659" s="29">
        <v>81</v>
      </c>
      <c r="M1659" s="29">
        <v>77</v>
      </c>
      <c r="N1659" s="29">
        <v>72</v>
      </c>
      <c r="O1659" s="32">
        <v>603</v>
      </c>
      <c r="P1659" s="29" cm="1">
        <f t="array" ref="P1659">IF(表成绩单[[#This Row],[语文]]="","",SUMPRODUCT((表成绩单[考试日期]=表成绩单[[#This Row],[考试日期]])*(表成绩单[语文]&lt;9E+307)*(表成绩单[语文]&gt;表成绩单[[#This Row],[语文]]))+1)</f>
        <v>82</v>
      </c>
      <c r="Q1659" s="29" cm="1">
        <f t="array" ref="Q1659">IF(表成绩单[[#This Row],[数学]]="","",SUMPRODUCT((表成绩单[考试日期]=表成绩单[[#This Row],[考试日期]])*(表成绩单[数学]&lt;9E+307)*(表成绩单[数学]&gt;表成绩单[[#This Row],[数学]]))+1)</f>
        <v>27</v>
      </c>
      <c r="R1659" s="29" cm="1">
        <f t="array" ref="R1659">IF(表成绩单[[#This Row],[英语]]="","",SUMPRODUCT((表成绩单[考试日期]=表成绩单[[#This Row],[考试日期]])*(表成绩单[英语]&lt;9E+307)*(表成绩单[英语]&gt;表成绩单[[#This Row],[英语]]))+1)</f>
        <v>27</v>
      </c>
      <c r="S1659" s="29" cm="1">
        <f t="array" ref="S1659">IF(表成绩单[[#This Row],[物理]]="","",SUMPRODUCT((表成绩单[考试日期]=表成绩单[[#This Row],[考试日期]])*(表成绩单[物理]&lt;9E+307)*(表成绩单[物理]&gt;表成绩单[[#This Row],[物理]]))+1)</f>
        <v>153</v>
      </c>
      <c r="T1659" s="29" cm="1">
        <f t="array" ref="T1659">IF(表成绩单[[#This Row],[化学]]="","",SUMPRODUCT((表成绩单[考试日期]=表成绩单[[#This Row],[考试日期]])*(表成绩单[化学]&lt;9E+307)*(表成绩单[化学]&gt;表成绩单[[#This Row],[化学]]))+1)</f>
        <v>43</v>
      </c>
      <c r="U1659" s="29" cm="1">
        <f t="array" ref="U1659">IF(表成绩单[[#This Row],[政治]]="","",SUMPRODUCT((表成绩单[考试日期]=表成绩单[[#This Row],[考试日期]])*(表成绩单[政治]&lt;9E+307)*(表成绩单[政治]&gt;表成绩单[[#This Row],[政治]]))+1)</f>
        <v>88</v>
      </c>
      <c r="V1659" s="29" cm="1">
        <f t="array" ref="V1659">IF(表成绩单[[#This Row],[历史]]="","",SUMPRODUCT((表成绩单[考试日期]=表成绩单[[#This Row],[考试日期]])*(表成绩单[历史]&lt;9E+307)*(表成绩单[历史]&gt;表成绩单[[#This Row],[历史]]))+1)</f>
        <v>266</v>
      </c>
      <c r="W1659" s="29" cm="1">
        <f t="array" ref="W1659">IF(表成绩单[[#This Row],[总分]]="","",SUMPRODUCT((表成绩单[考试日期]=表成绩单[[#This Row],[考试日期]])*(表成绩单[总分]&lt;9E+307)*(表成绩单[总分]&gt;表成绩单[[#This Row],[总分]]))+1)</f>
        <v>52</v>
      </c>
    </row>
    <row r="1660" ht="28" customHeight="1" spans="4:23">
      <c r="D1660" s="31">
        <v>46030</v>
      </c>
      <c r="E1660" s="29">
        <v>19175387</v>
      </c>
      <c r="F1660" s="29" t="s">
        <v>74</v>
      </c>
      <c r="G1660" s="29" t="s">
        <v>184</v>
      </c>
      <c r="H1660" s="29">
        <v>99</v>
      </c>
      <c r="I1660" s="29">
        <v>105</v>
      </c>
      <c r="J1660" s="29">
        <v>76</v>
      </c>
      <c r="K1660" s="29">
        <v>84</v>
      </c>
      <c r="L1660" s="29">
        <v>78</v>
      </c>
      <c r="M1660" s="29">
        <v>77</v>
      </c>
      <c r="N1660" s="29">
        <v>84</v>
      </c>
      <c r="O1660" s="32">
        <v>603</v>
      </c>
      <c r="P1660" s="29" cm="1">
        <f t="array" ref="P1660">IF(表成绩单[[#This Row],[语文]]="","",SUMPRODUCT((表成绩单[考试日期]=表成绩单[[#This Row],[考试日期]])*(表成绩单[语文]&lt;9E+307)*(表成绩单[语文]&gt;表成绩单[[#This Row],[语文]]))+1)</f>
        <v>213</v>
      </c>
      <c r="Q1660" s="29" cm="1">
        <f t="array" ref="Q1660">IF(表成绩单[[#This Row],[数学]]="","",SUMPRODUCT((表成绩单[考试日期]=表成绩单[[#This Row],[考试日期]])*(表成绩单[数学]&lt;9E+307)*(表成绩单[数学]&gt;表成绩单[[#This Row],[数学]]))+1)</f>
        <v>64</v>
      </c>
      <c r="R1660" s="29" cm="1">
        <f t="array" ref="R1660">IF(表成绩单[[#This Row],[英语]]="","",SUMPRODUCT((表成绩单[考试日期]=表成绩单[[#This Row],[考试日期]])*(表成绩单[英语]&lt;9E+307)*(表成绩单[英语]&gt;表成绩单[[#This Row],[英语]]))+1)</f>
        <v>126</v>
      </c>
      <c r="S1660" s="29" cm="1">
        <f t="array" ref="S1660">IF(表成绩单[[#This Row],[物理]]="","",SUMPRODUCT((表成绩单[考试日期]=表成绩单[[#This Row],[考试日期]])*(表成绩单[物理]&lt;9E+307)*(表成绩单[物理]&gt;表成绩单[[#This Row],[物理]]))+1)</f>
        <v>73</v>
      </c>
      <c r="T1660" s="29" cm="1">
        <f t="array" ref="T1660">IF(表成绩单[[#This Row],[化学]]="","",SUMPRODUCT((表成绩单[考试日期]=表成绩单[[#This Row],[考试日期]])*(表成绩单[化学]&lt;9E+307)*(表成绩单[化学]&gt;表成绩单[[#This Row],[化学]]))+1)</f>
        <v>93</v>
      </c>
      <c r="U1660" s="29" cm="1">
        <f t="array" ref="U1660">IF(表成绩单[[#This Row],[政治]]="","",SUMPRODUCT((表成绩单[考试日期]=表成绩单[[#This Row],[考试日期]])*(表成绩单[政治]&lt;9E+307)*(表成绩单[政治]&gt;表成绩单[[#This Row],[政治]]))+1)</f>
        <v>88</v>
      </c>
      <c r="V1660" s="29" cm="1">
        <f t="array" ref="V1660">IF(表成绩单[[#This Row],[历史]]="","",SUMPRODUCT((表成绩单[考试日期]=表成绩单[[#This Row],[考试日期]])*(表成绩单[历史]&lt;9E+307)*(表成绩单[历史]&gt;表成绩单[[#This Row],[历史]]))+1)</f>
        <v>26</v>
      </c>
      <c r="W1660" s="29" cm="1">
        <f t="array" ref="W1660">IF(表成绩单[[#This Row],[总分]]="","",SUMPRODUCT((表成绩单[考试日期]=表成绩单[[#This Row],[考试日期]])*(表成绩单[总分]&lt;9E+307)*(表成绩单[总分]&gt;表成绩单[[#This Row],[总分]]))+1)</f>
        <v>52</v>
      </c>
    </row>
    <row r="1661" ht="28" customHeight="1" spans="4:23">
      <c r="D1661" s="31">
        <v>46030</v>
      </c>
      <c r="E1661" s="29">
        <v>19173529</v>
      </c>
      <c r="F1661" s="29" t="s">
        <v>1</v>
      </c>
      <c r="G1661" s="29" t="s">
        <v>183</v>
      </c>
      <c r="H1661" s="29">
        <v>107</v>
      </c>
      <c r="I1661" s="29">
        <v>106</v>
      </c>
      <c r="J1661" s="29">
        <v>73.5</v>
      </c>
      <c r="K1661" s="29">
        <v>82</v>
      </c>
      <c r="L1661" s="29">
        <v>81</v>
      </c>
      <c r="M1661" s="29">
        <v>71</v>
      </c>
      <c r="N1661" s="29">
        <v>82</v>
      </c>
      <c r="O1661" s="32">
        <v>602.5</v>
      </c>
      <c r="P1661" s="29" cm="1">
        <f t="array" ref="P1661">IF(表成绩单[[#This Row],[语文]]="","",SUMPRODUCT((表成绩单[考试日期]=表成绩单[[#This Row],[考试日期]])*(表成绩单[语文]&lt;9E+307)*(表成绩单[语文]&gt;表成绩单[[#This Row],[语文]]))+1)</f>
        <v>38</v>
      </c>
      <c r="Q1661" s="29" cm="1">
        <f t="array" ref="Q1661">IF(表成绩单[[#This Row],[数学]]="","",SUMPRODUCT((表成绩单[考试日期]=表成绩单[[#This Row],[考试日期]])*(表成绩单[数学]&lt;9E+307)*(表成绩单[数学]&gt;表成绩单[[#This Row],[数学]]))+1)</f>
        <v>50</v>
      </c>
      <c r="R1661" s="29" cm="1">
        <f t="array" ref="R1661">IF(表成绩单[[#This Row],[英语]]="","",SUMPRODUCT((表成绩单[考试日期]=表成绩单[[#This Row],[考试日期]])*(表成绩单[英语]&lt;9E+307)*(表成绩单[英语]&gt;表成绩单[[#This Row],[英语]]))+1)</f>
        <v>209</v>
      </c>
      <c r="S1661" s="29" cm="1">
        <f t="array" ref="S1661">IF(表成绩单[[#This Row],[物理]]="","",SUMPRODUCT((表成绩单[考试日期]=表成绩单[[#This Row],[考试日期]])*(表成绩单[物理]&lt;9E+307)*(表成绩单[物理]&gt;表成绩单[[#This Row],[物理]]))+1)</f>
        <v>105</v>
      </c>
      <c r="T1661" s="29" cm="1">
        <f t="array" ref="T1661">IF(表成绩单[[#This Row],[化学]]="","",SUMPRODUCT((表成绩单[考试日期]=表成绩单[[#This Row],[考试日期]])*(表成绩单[化学]&lt;9E+307)*(表成绩单[化学]&gt;表成绩单[[#This Row],[化学]]))+1)</f>
        <v>43</v>
      </c>
      <c r="U1661" s="29" cm="1">
        <f t="array" ref="U1661">IF(表成绩单[[#This Row],[政治]]="","",SUMPRODUCT((表成绩单[考试日期]=表成绩单[[#This Row],[考试日期]])*(表成绩单[政治]&lt;9E+307)*(表成绩单[政治]&gt;表成绩单[[#This Row],[政治]]))+1)</f>
        <v>248</v>
      </c>
      <c r="V1661" s="29" cm="1">
        <f t="array" ref="V1661">IF(表成绩单[[#This Row],[历史]]="","",SUMPRODUCT((表成绩单[考试日期]=表成绩单[[#This Row],[考试日期]])*(表成绩单[历史]&lt;9E+307)*(表成绩单[历史]&gt;表成绩单[[#This Row],[历史]]))+1)</f>
        <v>41</v>
      </c>
      <c r="W1661" s="29" cm="1">
        <f t="array" ref="W1661">IF(表成绩单[[#This Row],[总分]]="","",SUMPRODUCT((表成绩单[考试日期]=表成绩单[[#This Row],[考试日期]])*(表成绩单[总分]&lt;9E+307)*(表成绩单[总分]&gt;表成绩单[[#This Row],[总分]]))+1)</f>
        <v>55</v>
      </c>
    </row>
    <row r="1662" ht="28" customHeight="1" spans="4:23">
      <c r="D1662" s="31">
        <v>46030</v>
      </c>
      <c r="E1662" s="29">
        <v>19175402</v>
      </c>
      <c r="F1662" s="29" t="s">
        <v>74</v>
      </c>
      <c r="G1662" s="29" t="s">
        <v>95</v>
      </c>
      <c r="H1662" s="29">
        <v>103</v>
      </c>
      <c r="I1662" s="29">
        <v>98</v>
      </c>
      <c r="J1662" s="29">
        <v>75</v>
      </c>
      <c r="K1662" s="29">
        <v>80</v>
      </c>
      <c r="L1662" s="29">
        <v>76</v>
      </c>
      <c r="M1662" s="29">
        <v>81</v>
      </c>
      <c r="N1662" s="29">
        <v>87</v>
      </c>
      <c r="O1662" s="32">
        <v>600</v>
      </c>
      <c r="P1662" s="29" cm="1">
        <f t="array" ref="P1662">IF(表成绩单[[#This Row],[语文]]="","",SUMPRODUCT((表成绩单[考试日期]=表成绩单[[#This Row],[考试日期]])*(表成绩单[语文]&lt;9E+307)*(表成绩单[语文]&gt;表成绩单[[#This Row],[语文]]))+1)</f>
        <v>105</v>
      </c>
      <c r="Q1662" s="29" cm="1">
        <f t="array" ref="Q1662">IF(表成绩单[[#This Row],[数学]]="","",SUMPRODUCT((表成绩单[考试日期]=表成绩单[[#This Row],[考试日期]])*(表成绩单[数学]&lt;9E+307)*(表成绩单[数学]&gt;表成绩单[[#This Row],[数学]]))+1)</f>
        <v>134</v>
      </c>
      <c r="R1662" s="29" cm="1">
        <f t="array" ref="R1662">IF(表成绩单[[#This Row],[英语]]="","",SUMPRODUCT((表成绩单[考试日期]=表成绩单[[#This Row],[考试日期]])*(表成绩单[英语]&lt;9E+307)*(表成绩单[英语]&gt;表成绩单[[#This Row],[英语]]))+1)</f>
        <v>164</v>
      </c>
      <c r="S1662" s="29" cm="1">
        <f t="array" ref="S1662">IF(表成绩单[[#This Row],[物理]]="","",SUMPRODUCT((表成绩单[考试日期]=表成绩单[[#This Row],[考试日期]])*(表成绩单[物理]&lt;9E+307)*(表成绩单[物理]&gt;表成绩单[[#This Row],[物理]]))+1)</f>
        <v>137</v>
      </c>
      <c r="T1662" s="29" cm="1">
        <f t="array" ref="T1662">IF(表成绩单[[#This Row],[化学]]="","",SUMPRODUCT((表成绩单[考试日期]=表成绩单[[#This Row],[考试日期]])*(表成绩单[化学]&lt;9E+307)*(表成绩单[化学]&gt;表成绩单[[#This Row],[化学]]))+1)</f>
        <v>139</v>
      </c>
      <c r="U1662" s="29" cm="1">
        <f t="array" ref="U1662">IF(表成绩单[[#This Row],[政治]]="","",SUMPRODUCT((表成绩单[考试日期]=表成绩单[[#This Row],[考试日期]])*(表成绩单[政治]&lt;9E+307)*(表成绩单[政治]&gt;表成绩单[[#This Row],[政治]]))+1)</f>
        <v>18</v>
      </c>
      <c r="V1662" s="29" cm="1">
        <f t="array" ref="V1662">IF(表成绩单[[#This Row],[历史]]="","",SUMPRODUCT((表成绩单[考试日期]=表成绩单[[#This Row],[考试日期]])*(表成绩单[历史]&lt;9E+307)*(表成绩单[历史]&gt;表成绩单[[#This Row],[历史]]))+1)</f>
        <v>4</v>
      </c>
      <c r="W1662" s="29" cm="1">
        <f t="array" ref="W1662">IF(表成绩单[[#This Row],[总分]]="","",SUMPRODUCT((表成绩单[考试日期]=表成绩单[[#This Row],[考试日期]])*(表成绩单[总分]&lt;9E+307)*(表成绩单[总分]&gt;表成绩单[[#This Row],[总分]]))+1)</f>
        <v>56</v>
      </c>
    </row>
    <row r="1663" ht="28" customHeight="1" spans="4:23">
      <c r="D1663" s="31">
        <v>46030</v>
      </c>
      <c r="E1663" s="29">
        <v>19176871</v>
      </c>
      <c r="F1663" s="29" t="s">
        <v>71</v>
      </c>
      <c r="G1663" s="29" t="s">
        <v>123</v>
      </c>
      <c r="H1663" s="29">
        <v>98</v>
      </c>
      <c r="I1663" s="29">
        <v>103</v>
      </c>
      <c r="J1663" s="29">
        <v>78</v>
      </c>
      <c r="K1663" s="29">
        <v>85</v>
      </c>
      <c r="L1663" s="29">
        <v>75</v>
      </c>
      <c r="M1663" s="29">
        <v>79</v>
      </c>
      <c r="N1663" s="29">
        <v>82</v>
      </c>
      <c r="O1663" s="32">
        <v>600</v>
      </c>
      <c r="P1663" s="29" cm="1">
        <f t="array" ref="P1663">IF(表成绩单[[#This Row],[语文]]="","",SUMPRODUCT((表成绩单[考试日期]=表成绩单[[#This Row],[考试日期]])*(表成绩单[语文]&lt;9E+307)*(表成绩单[语文]&gt;表成绩单[[#This Row],[语文]]))+1)</f>
        <v>248</v>
      </c>
      <c r="Q1663" s="29" cm="1">
        <f t="array" ref="Q1663">IF(表成绩单[[#This Row],[数学]]="","",SUMPRODUCT((表成绩单[考试日期]=表成绩单[[#This Row],[考试日期]])*(表成绩单[数学]&lt;9E+307)*(表成绩单[数学]&gt;表成绩单[[#This Row],[数学]]))+1)</f>
        <v>86</v>
      </c>
      <c r="R1663" s="29" cm="1">
        <f t="array" ref="R1663">IF(表成绩单[[#This Row],[英语]]="","",SUMPRODUCT((表成绩单[考试日期]=表成绩单[[#This Row],[考试日期]])*(表成绩单[英语]&lt;9E+307)*(表成绩单[英语]&gt;表成绩单[[#This Row],[英语]]))+1)</f>
        <v>79</v>
      </c>
      <c r="S1663" s="29" cm="1">
        <f t="array" ref="S1663">IF(表成绩单[[#This Row],[物理]]="","",SUMPRODUCT((表成绩单[考试日期]=表成绩单[[#This Row],[考试日期]])*(表成绩单[物理]&lt;9E+307)*(表成绩单[物理]&gt;表成绩单[[#This Row],[物理]]))+1)</f>
        <v>56</v>
      </c>
      <c r="T1663" s="29" cm="1">
        <f t="array" ref="T1663">IF(表成绩单[[#This Row],[化学]]="","",SUMPRODUCT((表成绩单[考试日期]=表成绩单[[#This Row],[考试日期]])*(表成绩单[化学]&lt;9E+307)*(表成绩单[化学]&gt;表成绩单[[#This Row],[化学]]))+1)</f>
        <v>169</v>
      </c>
      <c r="U1663" s="29" cm="1">
        <f t="array" ref="U1663">IF(表成绩单[[#This Row],[政治]]="","",SUMPRODUCT((表成绩单[考试日期]=表成绩单[[#This Row],[考试日期]])*(表成绩单[政治]&lt;9E+307)*(表成绩单[政治]&gt;表成绩单[[#This Row],[政治]]))+1)</f>
        <v>42</v>
      </c>
      <c r="V1663" s="29" cm="1">
        <f t="array" ref="V1663">IF(表成绩单[[#This Row],[历史]]="","",SUMPRODUCT((表成绩单[考试日期]=表成绩单[[#This Row],[考试日期]])*(表成绩单[历史]&lt;9E+307)*(表成绩单[历史]&gt;表成绩单[[#This Row],[历史]]))+1)</f>
        <v>41</v>
      </c>
      <c r="W1663" s="29" cm="1">
        <f t="array" ref="W1663">IF(表成绩单[[#This Row],[总分]]="","",SUMPRODUCT((表成绩单[考试日期]=表成绩单[[#This Row],[考试日期]])*(表成绩单[总分]&lt;9E+307)*(表成绩单[总分]&gt;表成绩单[[#This Row],[总分]]))+1)</f>
        <v>56</v>
      </c>
    </row>
    <row r="1664" ht="28" customHeight="1" spans="4:23">
      <c r="D1664" s="31">
        <v>46030</v>
      </c>
      <c r="E1664" s="29">
        <v>19173250</v>
      </c>
      <c r="F1664" s="29" t="s">
        <v>61</v>
      </c>
      <c r="G1664" s="29" t="s">
        <v>221</v>
      </c>
      <c r="H1664" s="29">
        <v>106</v>
      </c>
      <c r="I1664" s="29">
        <v>95</v>
      </c>
      <c r="J1664" s="29">
        <v>83</v>
      </c>
      <c r="K1664" s="29">
        <v>79</v>
      </c>
      <c r="L1664" s="29">
        <v>78</v>
      </c>
      <c r="M1664" s="29">
        <v>77</v>
      </c>
      <c r="N1664" s="29">
        <v>81</v>
      </c>
      <c r="O1664" s="32">
        <v>599</v>
      </c>
      <c r="P1664" s="29" cm="1">
        <f t="array" ref="P1664">IF(表成绩单[[#This Row],[语文]]="","",SUMPRODUCT((表成绩单[考试日期]=表成绩单[[#This Row],[考试日期]])*(表成绩单[语文]&lt;9E+307)*(表成绩单[语文]&gt;表成绩单[[#This Row],[语文]]))+1)</f>
        <v>50</v>
      </c>
      <c r="Q1664" s="29" cm="1">
        <f t="array" ref="Q1664">IF(表成绩单[[#This Row],[数学]]="","",SUMPRODUCT((表成绩单[考试日期]=表成绩单[[#This Row],[考试日期]])*(表成绩单[数学]&lt;9E+307)*(表成绩单[数学]&gt;表成绩单[[#This Row],[数学]]))+1)</f>
        <v>167</v>
      </c>
      <c r="R1664" s="29" cm="1">
        <f t="array" ref="R1664">IF(表成绩单[[#This Row],[英语]]="","",SUMPRODUCT((表成绩单[考试日期]=表成绩单[[#This Row],[考试日期]])*(表成绩单[英语]&lt;9E+307)*(表成绩单[英语]&gt;表成绩单[[#This Row],[英语]]))+1)</f>
        <v>8</v>
      </c>
      <c r="S1664" s="29" cm="1">
        <f t="array" ref="S1664">IF(表成绩单[[#This Row],[物理]]="","",SUMPRODUCT((表成绩单[考试日期]=表成绩单[[#This Row],[考试日期]])*(表成绩单[物理]&lt;9E+307)*(表成绩单[物理]&gt;表成绩单[[#This Row],[物理]]))+1)</f>
        <v>153</v>
      </c>
      <c r="T1664" s="29" cm="1">
        <f t="array" ref="T1664">IF(表成绩单[[#This Row],[化学]]="","",SUMPRODUCT((表成绩单[考试日期]=表成绩单[[#This Row],[考试日期]])*(表成绩单[化学]&lt;9E+307)*(表成绩单[化学]&gt;表成绩单[[#This Row],[化学]]))+1)</f>
        <v>93</v>
      </c>
      <c r="U1664" s="29" cm="1">
        <f t="array" ref="U1664">IF(表成绩单[[#This Row],[政治]]="","",SUMPRODUCT((表成绩单[考试日期]=表成绩单[[#This Row],[考试日期]])*(表成绩单[政治]&lt;9E+307)*(表成绩单[政治]&gt;表成绩单[[#This Row],[政治]]))+1)</f>
        <v>88</v>
      </c>
      <c r="V1664" s="29" cm="1">
        <f t="array" ref="V1664">IF(表成绩单[[#This Row],[历史]]="","",SUMPRODUCT((表成绩单[考试日期]=表成绩单[[#This Row],[考试日期]])*(表成绩单[历史]&lt;9E+307)*(表成绩单[历史]&gt;表成绩单[[#This Row],[历史]]))+1)</f>
        <v>60</v>
      </c>
      <c r="W1664" s="29" cm="1">
        <f t="array" ref="W1664">IF(表成绩单[[#This Row],[总分]]="","",SUMPRODUCT((表成绩单[考试日期]=表成绩单[[#This Row],[考试日期]])*(表成绩单[总分]&lt;9E+307)*(表成绩单[总分]&gt;表成绩单[[#This Row],[总分]]))+1)</f>
        <v>58</v>
      </c>
    </row>
    <row r="1665" ht="28" customHeight="1" spans="4:23">
      <c r="D1665" s="31">
        <v>46030</v>
      </c>
      <c r="E1665" s="29">
        <v>19175697</v>
      </c>
      <c r="F1665" s="29" t="s">
        <v>72</v>
      </c>
      <c r="G1665" s="29" t="s">
        <v>135</v>
      </c>
      <c r="H1665" s="29">
        <v>117</v>
      </c>
      <c r="I1665" s="29">
        <v>100</v>
      </c>
      <c r="J1665" s="29">
        <v>80.5</v>
      </c>
      <c r="K1665" s="29">
        <v>70</v>
      </c>
      <c r="L1665" s="29">
        <v>79</v>
      </c>
      <c r="M1665" s="29">
        <v>79</v>
      </c>
      <c r="N1665" s="29">
        <v>73</v>
      </c>
      <c r="O1665" s="32">
        <v>598.5</v>
      </c>
      <c r="P1665" s="29" cm="1">
        <f t="array" ref="P1665">IF(表成绩单[[#This Row],[语文]]="","",SUMPRODUCT((表成绩单[考试日期]=表成绩单[[#This Row],[考试日期]])*(表成绩单[语文]&lt;9E+307)*(表成绩单[语文]&gt;表成绩单[[#This Row],[语文]]))+1)</f>
        <v>1</v>
      </c>
      <c r="Q1665" s="29" cm="1">
        <f t="array" ref="Q1665">IF(表成绩单[[#This Row],[数学]]="","",SUMPRODUCT((表成绩单[考试日期]=表成绩单[[#This Row],[考试日期]])*(表成绩单[数学]&lt;9E+307)*(表成绩单[数学]&gt;表成绩单[[#This Row],[数学]]))+1)</f>
        <v>110</v>
      </c>
      <c r="R1665" s="29" cm="1">
        <f t="array" ref="R1665">IF(表成绩单[[#This Row],[英语]]="","",SUMPRODUCT((表成绩单[考试日期]=表成绩单[[#This Row],[考试日期]])*(表成绩单[英语]&lt;9E+307)*(表成绩单[英语]&gt;表成绩单[[#This Row],[英语]]))+1)</f>
        <v>24</v>
      </c>
      <c r="S1665" s="29" cm="1">
        <f t="array" ref="S1665">IF(表成绩单[[#This Row],[物理]]="","",SUMPRODUCT((表成绩单[考试日期]=表成绩单[[#This Row],[考试日期]])*(表成绩单[物理]&lt;9E+307)*(表成绩单[物理]&gt;表成绩单[[#This Row],[物理]]))+1)</f>
        <v>338</v>
      </c>
      <c r="T1665" s="29" cm="1">
        <f t="array" ref="T1665">IF(表成绩单[[#This Row],[化学]]="","",SUMPRODUCT((表成绩单[考试日期]=表成绩单[[#This Row],[考试日期]])*(表成绩单[化学]&lt;9E+307)*(表成绩单[化学]&gt;表成绩单[[#This Row],[化学]]))+1)</f>
        <v>77</v>
      </c>
      <c r="U1665" s="29" cm="1">
        <f t="array" ref="U1665">IF(表成绩单[[#This Row],[政治]]="","",SUMPRODUCT((表成绩单[考试日期]=表成绩单[[#This Row],[考试日期]])*(表成绩单[政治]&lt;9E+307)*(表成绩单[政治]&gt;表成绩单[[#This Row],[政治]]))+1)</f>
        <v>42</v>
      </c>
      <c r="V1665" s="29" cm="1">
        <f t="array" ref="V1665">IF(表成绩单[[#This Row],[历史]]="","",SUMPRODUCT((表成绩单[考试日期]=表成绩单[[#This Row],[考试日期]])*(表成绩单[历史]&lt;9E+307)*(表成绩单[历史]&gt;表成绩单[[#This Row],[历史]]))+1)</f>
        <v>240</v>
      </c>
      <c r="W1665" s="29" cm="1">
        <f t="array" ref="W1665">IF(表成绩单[[#This Row],[总分]]="","",SUMPRODUCT((表成绩单[考试日期]=表成绩单[[#This Row],[考试日期]])*(表成绩单[总分]&lt;9E+307)*(表成绩单[总分]&gt;表成绩单[[#This Row],[总分]]))+1)</f>
        <v>59</v>
      </c>
    </row>
    <row r="1666" ht="28" customHeight="1" spans="4:23">
      <c r="D1666" s="31">
        <v>46030</v>
      </c>
      <c r="E1666" s="29">
        <v>19173526</v>
      </c>
      <c r="F1666" s="29" t="s">
        <v>1</v>
      </c>
      <c r="G1666" s="29" t="s">
        <v>240</v>
      </c>
      <c r="H1666" s="29">
        <v>103</v>
      </c>
      <c r="I1666" s="29">
        <v>109</v>
      </c>
      <c r="J1666" s="29">
        <v>72</v>
      </c>
      <c r="K1666" s="29">
        <v>88</v>
      </c>
      <c r="L1666" s="29">
        <v>80</v>
      </c>
      <c r="M1666" s="29">
        <v>68</v>
      </c>
      <c r="N1666" s="29">
        <v>78</v>
      </c>
      <c r="O1666" s="32">
        <v>598</v>
      </c>
      <c r="P1666" s="29" cm="1">
        <f t="array" ref="P1666">IF(表成绩单[[#This Row],[语文]]="","",SUMPRODUCT((表成绩单[考试日期]=表成绩单[[#This Row],[考试日期]])*(表成绩单[语文]&lt;9E+307)*(表成绩单[语文]&gt;表成绩单[[#This Row],[语文]]))+1)</f>
        <v>105</v>
      </c>
      <c r="Q1666" s="29" cm="1">
        <f t="array" ref="Q1666">IF(表成绩单[[#This Row],[数学]]="","",SUMPRODUCT((表成绩单[考试日期]=表成绩单[[#This Row],[考试日期]])*(表成绩单[数学]&lt;9E+307)*(表成绩单[数学]&gt;表成绩单[[#This Row],[数学]]))+1)</f>
        <v>35</v>
      </c>
      <c r="R1666" s="29" cm="1">
        <f t="array" ref="R1666">IF(表成绩单[[#This Row],[英语]]="","",SUMPRODUCT((表成绩单[考试日期]=表成绩单[[#This Row],[考试日期]])*(表成绩单[英语]&lt;9E+307)*(表成绩单[英语]&gt;表成绩单[[#This Row],[英语]]))+1)</f>
        <v>258</v>
      </c>
      <c r="S1666" s="29" cm="1">
        <f t="array" ref="S1666">IF(表成绩单[[#This Row],[物理]]="","",SUMPRODUCT((表成绩单[考试日期]=表成绩单[[#This Row],[考试日期]])*(表成绩单[物理]&lt;9E+307)*(表成绩单[物理]&gt;表成绩单[[#This Row],[物理]]))+1)</f>
        <v>21</v>
      </c>
      <c r="T1666" s="29" cm="1">
        <f t="array" ref="T1666">IF(表成绩单[[#This Row],[化学]]="","",SUMPRODUCT((表成绩单[考试日期]=表成绩单[[#This Row],[考试日期]])*(表成绩单[化学]&lt;9E+307)*(表成绩单[化学]&gt;表成绩单[[#This Row],[化学]]))+1)</f>
        <v>60</v>
      </c>
      <c r="U1666" s="29" cm="1">
        <f t="array" ref="U1666">IF(表成绩单[[#This Row],[政治]]="","",SUMPRODUCT((表成绩单[考试日期]=表成绩单[[#This Row],[考试日期]])*(表成绩单[政治]&lt;9E+307)*(表成绩单[政治]&gt;表成绩单[[#This Row],[政治]]))+1)</f>
        <v>336</v>
      </c>
      <c r="V1666" s="29" cm="1">
        <f t="array" ref="V1666">IF(表成绩单[[#This Row],[历史]]="","",SUMPRODUCT((表成绩单[考试日期]=表成绩单[[#This Row],[考试日期]])*(表成绩单[历史]&lt;9E+307)*(表成绩单[历史]&gt;表成绩单[[#This Row],[历史]]))+1)</f>
        <v>126</v>
      </c>
      <c r="W1666" s="29" cm="1">
        <f t="array" ref="W1666">IF(表成绩单[[#This Row],[总分]]="","",SUMPRODUCT((表成绩单[考试日期]=表成绩单[[#This Row],[考试日期]])*(表成绩单[总分]&lt;9E+307)*(表成绩单[总分]&gt;表成绩单[[#This Row],[总分]]))+1)</f>
        <v>60</v>
      </c>
    </row>
    <row r="1667" ht="28" customHeight="1" spans="4:23">
      <c r="D1667" s="31">
        <v>46030</v>
      </c>
      <c r="E1667" s="29">
        <v>19174802</v>
      </c>
      <c r="F1667" s="29" t="s">
        <v>69</v>
      </c>
      <c r="G1667" s="29" t="s">
        <v>271</v>
      </c>
      <c r="H1667" s="29">
        <v>86</v>
      </c>
      <c r="I1667" s="29">
        <v>114</v>
      </c>
      <c r="J1667" s="29">
        <v>77</v>
      </c>
      <c r="K1667" s="29">
        <v>88</v>
      </c>
      <c r="L1667" s="29">
        <v>85</v>
      </c>
      <c r="M1667" s="29">
        <v>70</v>
      </c>
      <c r="N1667" s="29">
        <v>78</v>
      </c>
      <c r="O1667" s="32">
        <v>598</v>
      </c>
      <c r="P1667" s="29" cm="1">
        <f t="array" ref="P1667">IF(表成绩单[[#This Row],[语文]]="","",SUMPRODUCT((表成绩单[考试日期]=表成绩单[[#This Row],[考试日期]])*(表成绩单[语文]&lt;9E+307)*(表成绩单[语文]&gt;表成绩单[[#This Row],[语文]]))+1)</f>
        <v>601</v>
      </c>
      <c r="Q1667" s="29" cm="1">
        <f t="array" ref="Q1667">IF(表成绩单[[#This Row],[数学]]="","",SUMPRODUCT((表成绩单[考试日期]=表成绩单[[#This Row],[考试日期]])*(表成绩单[数学]&lt;9E+307)*(表成绩单[数学]&gt;表成绩单[[#This Row],[数学]]))+1)</f>
        <v>10</v>
      </c>
      <c r="R1667" s="29" cm="1">
        <f t="array" ref="R1667">IF(表成绩单[[#This Row],[英语]]="","",SUMPRODUCT((表成绩单[考试日期]=表成绩单[[#This Row],[考试日期]])*(表成绩单[英语]&lt;9E+307)*(表成绩单[英语]&gt;表成绩单[[#This Row],[英语]]))+1)</f>
        <v>107</v>
      </c>
      <c r="S1667" s="29" cm="1">
        <f t="array" ref="S1667">IF(表成绩单[[#This Row],[物理]]="","",SUMPRODUCT((表成绩单[考试日期]=表成绩单[[#This Row],[考试日期]])*(表成绩单[物理]&lt;9E+307)*(表成绩单[物理]&gt;表成绩单[[#This Row],[物理]]))+1)</f>
        <v>21</v>
      </c>
      <c r="T1667" s="29" cm="1">
        <f t="array" ref="T1667">IF(表成绩单[[#This Row],[化学]]="","",SUMPRODUCT((表成绩单[考试日期]=表成绩单[[#This Row],[考试日期]])*(表成绩单[化学]&lt;9E+307)*(表成绩单[化学]&gt;表成绩单[[#This Row],[化学]]))+1)</f>
        <v>8</v>
      </c>
      <c r="U1667" s="29" cm="1">
        <f t="array" ref="U1667">IF(表成绩单[[#This Row],[政治]]="","",SUMPRODUCT((表成绩单[考试日期]=表成绩单[[#This Row],[考试日期]])*(表成绩单[政治]&lt;9E+307)*(表成绩单[政治]&gt;表成绩单[[#This Row],[政治]]))+1)</f>
        <v>274</v>
      </c>
      <c r="V1667" s="29" cm="1">
        <f t="array" ref="V1667">IF(表成绩单[[#This Row],[历史]]="","",SUMPRODUCT((表成绩单[考试日期]=表成绩单[[#This Row],[考试日期]])*(表成绩单[历史]&lt;9E+307)*(表成绩单[历史]&gt;表成绩单[[#This Row],[历史]]))+1)</f>
        <v>126</v>
      </c>
      <c r="W1667" s="29" cm="1">
        <f t="array" ref="W1667">IF(表成绩单[[#This Row],[总分]]="","",SUMPRODUCT((表成绩单[考试日期]=表成绩单[[#This Row],[考试日期]])*(表成绩单[总分]&lt;9E+307)*(表成绩单[总分]&gt;表成绩单[[#This Row],[总分]]))+1)</f>
        <v>60</v>
      </c>
    </row>
    <row r="1668" ht="28" customHeight="1" spans="4:23">
      <c r="D1668" s="31">
        <v>46030</v>
      </c>
      <c r="E1668" s="29">
        <v>19175405</v>
      </c>
      <c r="F1668" s="29" t="s">
        <v>74</v>
      </c>
      <c r="G1668" s="29" t="s">
        <v>203</v>
      </c>
      <c r="H1668" s="29">
        <v>98</v>
      </c>
      <c r="I1668" s="29">
        <v>106</v>
      </c>
      <c r="J1668" s="29">
        <v>75.5</v>
      </c>
      <c r="K1668" s="29">
        <v>74</v>
      </c>
      <c r="L1668" s="29">
        <v>78</v>
      </c>
      <c r="M1668" s="29">
        <v>79</v>
      </c>
      <c r="N1668" s="29">
        <v>87</v>
      </c>
      <c r="O1668" s="32">
        <v>597.5</v>
      </c>
      <c r="P1668" s="29" cm="1">
        <f t="array" ref="P1668">IF(表成绩单[[#This Row],[语文]]="","",SUMPRODUCT((表成绩单[考试日期]=表成绩单[[#This Row],[考试日期]])*(表成绩单[语文]&lt;9E+307)*(表成绩单[语文]&gt;表成绩单[[#This Row],[语文]]))+1)</f>
        <v>248</v>
      </c>
      <c r="Q1668" s="29" cm="1">
        <f t="array" ref="Q1668">IF(表成绩单[[#This Row],[数学]]="","",SUMPRODUCT((表成绩单[考试日期]=表成绩单[[#This Row],[考试日期]])*(表成绩单[数学]&lt;9E+307)*(表成绩单[数学]&gt;表成绩单[[#This Row],[数学]]))+1)</f>
        <v>50</v>
      </c>
      <c r="R1668" s="29" cm="1">
        <f t="array" ref="R1668">IF(表成绩单[[#This Row],[英语]]="","",SUMPRODUCT((表成绩单[考试日期]=表成绩单[[#This Row],[考试日期]])*(表成绩单[英语]&lt;9E+307)*(表成绩单[英语]&gt;表成绩单[[#This Row],[英语]]))+1)</f>
        <v>145</v>
      </c>
      <c r="S1668" s="29" cm="1">
        <f t="array" ref="S1668">IF(表成绩单[[#This Row],[物理]]="","",SUMPRODUCT((表成绩单[考试日期]=表成绩单[[#This Row],[考试日期]])*(表成绩单[物理]&lt;9E+307)*(表成绩单[物理]&gt;表成绩单[[#This Row],[物理]]))+1)</f>
        <v>258</v>
      </c>
      <c r="T1668" s="29" cm="1">
        <f t="array" ref="T1668">IF(表成绩单[[#This Row],[化学]]="","",SUMPRODUCT((表成绩单[考试日期]=表成绩单[[#This Row],[考试日期]])*(表成绩单[化学]&lt;9E+307)*(表成绩单[化学]&gt;表成绩单[[#This Row],[化学]]))+1)</f>
        <v>93</v>
      </c>
      <c r="U1668" s="29" cm="1">
        <f t="array" ref="U1668">IF(表成绩单[[#This Row],[政治]]="","",SUMPRODUCT((表成绩单[考试日期]=表成绩单[[#This Row],[考试日期]])*(表成绩单[政治]&lt;9E+307)*(表成绩单[政治]&gt;表成绩单[[#This Row],[政治]]))+1)</f>
        <v>42</v>
      </c>
      <c r="V1668" s="29" cm="1">
        <f t="array" ref="V1668">IF(表成绩单[[#This Row],[历史]]="","",SUMPRODUCT((表成绩单[考试日期]=表成绩单[[#This Row],[考试日期]])*(表成绩单[历史]&lt;9E+307)*(表成绩单[历史]&gt;表成绩单[[#This Row],[历史]]))+1)</f>
        <v>4</v>
      </c>
      <c r="W1668" s="29" cm="1">
        <f t="array" ref="W1668">IF(表成绩单[[#This Row],[总分]]="","",SUMPRODUCT((表成绩单[考试日期]=表成绩单[[#This Row],[考试日期]])*(表成绩单[总分]&lt;9E+307)*(表成绩单[总分]&gt;表成绩单[[#This Row],[总分]]))+1)</f>
        <v>62</v>
      </c>
    </row>
    <row r="1669" ht="28" customHeight="1" spans="4:23">
      <c r="D1669" s="31">
        <v>46030</v>
      </c>
      <c r="E1669" s="29">
        <v>19178630</v>
      </c>
      <c r="F1669" s="29" t="s">
        <v>25</v>
      </c>
      <c r="G1669" s="29" t="s">
        <v>27</v>
      </c>
      <c r="H1669" s="29">
        <v>102</v>
      </c>
      <c r="I1669" s="29">
        <v>102</v>
      </c>
      <c r="J1669" s="29">
        <v>76.5</v>
      </c>
      <c r="K1669" s="29">
        <v>79</v>
      </c>
      <c r="L1669" s="29">
        <v>81</v>
      </c>
      <c r="M1669" s="29">
        <v>81</v>
      </c>
      <c r="N1669" s="29">
        <v>76</v>
      </c>
      <c r="O1669" s="32">
        <v>597.5</v>
      </c>
      <c r="P1669" s="29" cm="1">
        <f t="array" ref="P1669">IF(表成绩单[[#This Row],[语文]]="","",SUMPRODUCT((表成绩单[考试日期]=表成绩单[[#This Row],[考试日期]])*(表成绩单[语文]&lt;9E+307)*(表成绩单[语文]&gt;表成绩单[[#This Row],[语文]]))+1)</f>
        <v>132</v>
      </c>
      <c r="Q1669" s="29" cm="1">
        <f t="array" ref="Q1669">IF(表成绩单[[#This Row],[数学]]="","",SUMPRODUCT((表成绩单[考试日期]=表成绩单[[#This Row],[考试日期]])*(表成绩单[数学]&lt;9E+307)*(表成绩单[数学]&gt;表成绩单[[#This Row],[数学]]))+1)</f>
        <v>95</v>
      </c>
      <c r="R1669" s="29" cm="1">
        <f t="array" ref="R1669">IF(表成绩单[[#This Row],[英语]]="","",SUMPRODUCT((表成绩单[考试日期]=表成绩单[[#This Row],[考试日期]])*(表成绩单[英语]&lt;9E+307)*(表成绩单[英语]&gt;表成绩单[[#This Row],[英语]]))+1)</f>
        <v>120</v>
      </c>
      <c r="S1669" s="29" cm="1">
        <f t="array" ref="S1669">IF(表成绩单[[#This Row],[物理]]="","",SUMPRODUCT((表成绩单[考试日期]=表成绩单[[#This Row],[考试日期]])*(表成绩单[物理]&lt;9E+307)*(表成绩单[物理]&gt;表成绩单[[#This Row],[物理]]))+1)</f>
        <v>153</v>
      </c>
      <c r="T1669" s="29" cm="1">
        <f t="array" ref="T1669">IF(表成绩单[[#This Row],[化学]]="","",SUMPRODUCT((表成绩单[考试日期]=表成绩单[[#This Row],[考试日期]])*(表成绩单[化学]&lt;9E+307)*(表成绩单[化学]&gt;表成绩单[[#This Row],[化学]]))+1)</f>
        <v>43</v>
      </c>
      <c r="U1669" s="29" cm="1">
        <f t="array" ref="U1669">IF(表成绩单[[#This Row],[政治]]="","",SUMPRODUCT((表成绩单[考试日期]=表成绩单[[#This Row],[考试日期]])*(表成绩单[政治]&lt;9E+307)*(表成绩单[政治]&gt;表成绩单[[#This Row],[政治]]))+1)</f>
        <v>18</v>
      </c>
      <c r="V1669" s="29" cm="1">
        <f t="array" ref="V1669">IF(表成绩单[[#This Row],[历史]]="","",SUMPRODUCT((表成绩单[考试日期]=表成绩单[[#This Row],[考试日期]])*(表成绩单[历史]&lt;9E+307)*(表成绩单[历史]&gt;表成绩单[[#This Row],[历史]]))+1)</f>
        <v>169</v>
      </c>
      <c r="W1669" s="29" cm="1">
        <f t="array" ref="W1669">IF(表成绩单[[#This Row],[总分]]="","",SUMPRODUCT((表成绩单[考试日期]=表成绩单[[#This Row],[考试日期]])*(表成绩单[总分]&lt;9E+307)*(表成绩单[总分]&gt;表成绩单[[#This Row],[总分]]))+1)</f>
        <v>62</v>
      </c>
    </row>
    <row r="1670" ht="28" customHeight="1" spans="4:23">
      <c r="D1670" s="31">
        <v>46030</v>
      </c>
      <c r="E1670" s="29">
        <v>19167650</v>
      </c>
      <c r="F1670" s="29" t="s">
        <v>1</v>
      </c>
      <c r="G1670" s="29" t="s">
        <v>274</v>
      </c>
      <c r="H1670" s="29">
        <v>99</v>
      </c>
      <c r="I1670" s="29">
        <v>110</v>
      </c>
      <c r="J1670" s="29">
        <v>77</v>
      </c>
      <c r="K1670" s="29">
        <v>86</v>
      </c>
      <c r="L1670" s="29">
        <v>73</v>
      </c>
      <c r="M1670" s="29">
        <v>73</v>
      </c>
      <c r="N1670" s="29">
        <v>79</v>
      </c>
      <c r="O1670" s="32">
        <v>597</v>
      </c>
      <c r="P1670" s="29" cm="1">
        <f t="array" ref="P1670">IF(表成绩单[[#This Row],[语文]]="","",SUMPRODUCT((表成绩单[考试日期]=表成绩单[[#This Row],[考试日期]])*(表成绩单[语文]&lt;9E+307)*(表成绩单[语文]&gt;表成绩单[[#This Row],[语文]]))+1)</f>
        <v>213</v>
      </c>
      <c r="Q1670" s="29" cm="1">
        <f t="array" ref="Q1670">IF(表成绩单[[#This Row],[数学]]="","",SUMPRODUCT((表成绩单[考试日期]=表成绩单[[#This Row],[考试日期]])*(表成绩单[数学]&lt;9E+307)*(表成绩单[数学]&gt;表成绩单[[#This Row],[数学]]))+1)</f>
        <v>27</v>
      </c>
      <c r="R1670" s="29" cm="1">
        <f t="array" ref="R1670">IF(表成绩单[[#This Row],[英语]]="","",SUMPRODUCT((表成绩单[考试日期]=表成绩单[[#This Row],[考试日期]])*(表成绩单[英语]&lt;9E+307)*(表成绩单[英语]&gt;表成绩单[[#This Row],[英语]]))+1)</f>
        <v>107</v>
      </c>
      <c r="S1670" s="29" cm="1">
        <f t="array" ref="S1670">IF(表成绩单[[#This Row],[物理]]="","",SUMPRODUCT((表成绩单[考试日期]=表成绩单[[#This Row],[考试日期]])*(表成绩单[物理]&lt;9E+307)*(表成绩单[物理]&gt;表成绩单[[#This Row],[物理]]))+1)</f>
        <v>42</v>
      </c>
      <c r="T1670" s="29" cm="1">
        <f t="array" ref="T1670">IF(表成绩单[[#This Row],[化学]]="","",SUMPRODUCT((表成绩单[考试日期]=表成绩单[[#This Row],[考试日期]])*(表成绩单[化学]&lt;9E+307)*(表成绩单[化学]&gt;表成绩单[[#This Row],[化学]]))+1)</f>
        <v>236</v>
      </c>
      <c r="U1670" s="29" cm="1">
        <f t="array" ref="U1670">IF(表成绩单[[#This Row],[政治]]="","",SUMPRODUCT((表成绩单[考试日期]=表成绩单[[#This Row],[考试日期]])*(表成绩单[政治]&lt;9E+307)*(表成绩单[政治]&gt;表成绩单[[#This Row],[政治]]))+1)</f>
        <v>197</v>
      </c>
      <c r="V1670" s="29" cm="1">
        <f t="array" ref="V1670">IF(表成绩单[[#This Row],[历史]]="","",SUMPRODUCT((表成绩单[考试日期]=表成绩单[[#This Row],[考试日期]])*(表成绩单[历史]&lt;9E+307)*(表成绩单[历史]&gt;表成绩单[[#This Row],[历史]]))+1)</f>
        <v>104</v>
      </c>
      <c r="W1670" s="29" cm="1">
        <f t="array" ref="W1670">IF(表成绩单[[#This Row],[总分]]="","",SUMPRODUCT((表成绩单[考试日期]=表成绩单[[#This Row],[考试日期]])*(表成绩单[总分]&lt;9E+307)*(表成绩单[总分]&gt;表成绩单[[#This Row],[总分]]))+1)</f>
        <v>64</v>
      </c>
    </row>
    <row r="1671" ht="28" customHeight="1" spans="4:23">
      <c r="D1671" s="31">
        <v>46030</v>
      </c>
      <c r="E1671" s="29">
        <v>19171094</v>
      </c>
      <c r="F1671" s="29" t="s">
        <v>67</v>
      </c>
      <c r="G1671" s="29" t="s">
        <v>142</v>
      </c>
      <c r="H1671" s="29">
        <v>102</v>
      </c>
      <c r="I1671" s="29">
        <v>102</v>
      </c>
      <c r="J1671" s="29">
        <v>84</v>
      </c>
      <c r="K1671" s="29">
        <v>72</v>
      </c>
      <c r="L1671" s="29">
        <v>74</v>
      </c>
      <c r="M1671" s="29">
        <v>78</v>
      </c>
      <c r="N1671" s="29">
        <v>85</v>
      </c>
      <c r="O1671" s="32">
        <v>597</v>
      </c>
      <c r="P1671" s="29" cm="1">
        <f t="array" ref="P1671">IF(表成绩单[[#This Row],[语文]]="","",SUMPRODUCT((表成绩单[考试日期]=表成绩单[[#This Row],[考试日期]])*(表成绩单[语文]&lt;9E+307)*(表成绩单[语文]&gt;表成绩单[[#This Row],[语文]]))+1)</f>
        <v>132</v>
      </c>
      <c r="Q1671" s="29" cm="1">
        <f t="array" ref="Q1671">IF(表成绩单[[#This Row],[数学]]="","",SUMPRODUCT((表成绩单[考试日期]=表成绩单[[#This Row],[考试日期]])*(表成绩单[数学]&lt;9E+307)*(表成绩单[数学]&gt;表成绩单[[#This Row],[数学]]))+1)</f>
        <v>95</v>
      </c>
      <c r="R1671" s="29" cm="1">
        <f t="array" ref="R1671">IF(表成绩单[[#This Row],[英语]]="","",SUMPRODUCT((表成绩单[考试日期]=表成绩单[[#This Row],[考试日期]])*(表成绩单[英语]&lt;9E+307)*(表成绩单[英语]&gt;表成绩单[[#This Row],[英语]]))+1)</f>
        <v>4</v>
      </c>
      <c r="S1671" s="29" cm="1">
        <f t="array" ref="S1671">IF(表成绩单[[#This Row],[物理]]="","",SUMPRODUCT((表成绩单[考试日期]=表成绩单[[#This Row],[考试日期]])*(表成绩单[物理]&lt;9E+307)*(表成绩单[物理]&gt;表成绩单[[#This Row],[物理]]))+1)</f>
        <v>297</v>
      </c>
      <c r="T1671" s="29" cm="1">
        <f t="array" ref="T1671">IF(表成绩单[[#This Row],[化学]]="","",SUMPRODUCT((表成绩单[考试日期]=表成绩单[[#This Row],[考试日期]])*(表成绩单[化学]&lt;9E+307)*(表成绩单[化学]&gt;表成绩单[[#This Row],[化学]]))+1)</f>
        <v>208</v>
      </c>
      <c r="U1671" s="29" cm="1">
        <f t="array" ref="U1671">IF(表成绩单[[#This Row],[政治]]="","",SUMPRODUCT((表成绩单[考试日期]=表成绩单[[#This Row],[考试日期]])*(表成绩单[政治]&lt;9E+307)*(表成绩单[政治]&gt;表成绩单[[#This Row],[政治]]))+1)</f>
        <v>65</v>
      </c>
      <c r="V1671" s="29" cm="1">
        <f t="array" ref="V1671">IF(表成绩单[[#This Row],[历史]]="","",SUMPRODUCT((表成绩单[考试日期]=表成绩单[[#This Row],[考试日期]])*(表成绩单[历史]&lt;9E+307)*(表成绩单[历史]&gt;表成绩单[[#This Row],[历史]]))+1)</f>
        <v>18</v>
      </c>
      <c r="W1671" s="29" cm="1">
        <f t="array" ref="W1671">IF(表成绩单[[#This Row],[总分]]="","",SUMPRODUCT((表成绩单[考试日期]=表成绩单[[#This Row],[考试日期]])*(表成绩单[总分]&lt;9E+307)*(表成绩单[总分]&gt;表成绩单[[#This Row],[总分]]))+1)</f>
        <v>64</v>
      </c>
    </row>
    <row r="1672" ht="28" customHeight="1" spans="4:23">
      <c r="D1672" s="31">
        <v>46030</v>
      </c>
      <c r="E1672" s="29">
        <v>19176177</v>
      </c>
      <c r="F1672" s="29" t="s">
        <v>67</v>
      </c>
      <c r="G1672" s="29" t="s">
        <v>149</v>
      </c>
      <c r="H1672" s="29">
        <v>98</v>
      </c>
      <c r="I1672" s="29">
        <v>104</v>
      </c>
      <c r="J1672" s="29">
        <v>77.5</v>
      </c>
      <c r="K1672" s="29">
        <v>81</v>
      </c>
      <c r="L1672" s="29">
        <v>81</v>
      </c>
      <c r="M1672" s="29">
        <v>74</v>
      </c>
      <c r="N1672" s="29">
        <v>81</v>
      </c>
      <c r="O1672" s="32">
        <v>596.5</v>
      </c>
      <c r="P1672" s="29" cm="1">
        <f t="array" ref="P1672">IF(表成绩单[[#This Row],[语文]]="","",SUMPRODUCT((表成绩单[考试日期]=表成绩单[[#This Row],[考试日期]])*(表成绩单[语文]&lt;9E+307)*(表成绩单[语文]&gt;表成绩单[[#This Row],[语文]]))+1)</f>
        <v>248</v>
      </c>
      <c r="Q1672" s="29" cm="1">
        <f t="array" ref="Q1672">IF(表成绩单[[#This Row],[数学]]="","",SUMPRODUCT((表成绩单[考试日期]=表成绩单[[#This Row],[考试日期]])*(表成绩单[数学]&lt;9E+307)*(表成绩单[数学]&gt;表成绩单[[#This Row],[数学]]))+1)</f>
        <v>80</v>
      </c>
      <c r="R1672" s="29" cm="1">
        <f t="array" ref="R1672">IF(表成绩单[[#This Row],[英语]]="","",SUMPRODUCT((表成绩单[考试日期]=表成绩单[[#This Row],[考试日期]])*(表成绩单[英语]&lt;9E+307)*(表成绩单[英语]&gt;表成绩单[[#This Row],[英语]]))+1)</f>
        <v>89</v>
      </c>
      <c r="S1672" s="29" cm="1">
        <f t="array" ref="S1672">IF(表成绩单[[#This Row],[物理]]="","",SUMPRODUCT((表成绩单[考试日期]=表成绩单[[#This Row],[考试日期]])*(表成绩单[物理]&lt;9E+307)*(表成绩单[物理]&gt;表成绩单[[#This Row],[物理]]))+1)</f>
        <v>119</v>
      </c>
      <c r="T1672" s="29" cm="1">
        <f t="array" ref="T1672">IF(表成绩单[[#This Row],[化学]]="","",SUMPRODUCT((表成绩单[考试日期]=表成绩单[[#This Row],[考试日期]])*(表成绩单[化学]&lt;9E+307)*(表成绩单[化学]&gt;表成绩单[[#This Row],[化学]]))+1)</f>
        <v>43</v>
      </c>
      <c r="U1672" s="29" cm="1">
        <f t="array" ref="U1672">IF(表成绩单[[#This Row],[政治]]="","",SUMPRODUCT((表成绩单[考试日期]=表成绩单[[#This Row],[考试日期]])*(表成绩单[政治]&lt;9E+307)*(表成绩单[政治]&gt;表成绩单[[#This Row],[政治]]))+1)</f>
        <v>168</v>
      </c>
      <c r="V1672" s="29" cm="1">
        <f t="array" ref="V1672">IF(表成绩单[[#This Row],[历史]]="","",SUMPRODUCT((表成绩单[考试日期]=表成绩单[[#This Row],[考试日期]])*(表成绩单[历史]&lt;9E+307)*(表成绩单[历史]&gt;表成绩单[[#This Row],[历史]]))+1)</f>
        <v>60</v>
      </c>
      <c r="W1672" s="29" cm="1">
        <f t="array" ref="W1672">IF(表成绩单[[#This Row],[总分]]="","",SUMPRODUCT((表成绩单[考试日期]=表成绩单[[#This Row],[考试日期]])*(表成绩单[总分]&lt;9E+307)*(表成绩单[总分]&gt;表成绩单[[#This Row],[总分]]))+1)</f>
        <v>66</v>
      </c>
    </row>
    <row r="1673" ht="28" customHeight="1" spans="4:23">
      <c r="D1673" s="31">
        <v>46030</v>
      </c>
      <c r="E1673" s="29">
        <v>19176891</v>
      </c>
      <c r="F1673" s="29" t="s">
        <v>71</v>
      </c>
      <c r="G1673" s="29" t="s">
        <v>133</v>
      </c>
      <c r="H1673" s="29">
        <v>101</v>
      </c>
      <c r="I1673" s="29">
        <v>96</v>
      </c>
      <c r="J1673" s="29">
        <v>74.5</v>
      </c>
      <c r="K1673" s="29">
        <v>82</v>
      </c>
      <c r="L1673" s="29">
        <v>82</v>
      </c>
      <c r="M1673" s="29">
        <v>76</v>
      </c>
      <c r="N1673" s="29">
        <v>85</v>
      </c>
      <c r="O1673" s="32">
        <v>596.5</v>
      </c>
      <c r="P1673" s="29" cm="1">
        <f t="array" ref="P1673">IF(表成绩单[[#This Row],[语文]]="","",SUMPRODUCT((表成绩单[考试日期]=表成绩单[[#This Row],[考试日期]])*(表成绩单[语文]&lt;9E+307)*(表成绩单[语文]&gt;表成绩单[[#This Row],[语文]]))+1)</f>
        <v>159</v>
      </c>
      <c r="Q1673" s="29" cm="1">
        <f t="array" ref="Q1673">IF(表成绩单[[#This Row],[数学]]="","",SUMPRODUCT((表成绩单[考试日期]=表成绩单[[#This Row],[考试日期]])*(表成绩单[数学]&lt;9E+307)*(表成绩单[数学]&gt;表成绩单[[#This Row],[数学]]))+1)</f>
        <v>154</v>
      </c>
      <c r="R1673" s="29" cm="1">
        <f t="array" ref="R1673">IF(表成绩单[[#This Row],[英语]]="","",SUMPRODUCT((表成绩单[考试日期]=表成绩单[[#This Row],[考试日期]])*(表成绩单[英语]&lt;9E+307)*(表成绩单[英语]&gt;表成绩单[[#This Row],[英语]]))+1)</f>
        <v>181</v>
      </c>
      <c r="S1673" s="29" cm="1">
        <f t="array" ref="S1673">IF(表成绩单[[#This Row],[物理]]="","",SUMPRODUCT((表成绩单[考试日期]=表成绩单[[#This Row],[考试日期]])*(表成绩单[物理]&lt;9E+307)*(表成绩单[物理]&gt;表成绩单[[#This Row],[物理]]))+1)</f>
        <v>105</v>
      </c>
      <c r="T1673" s="29" cm="1">
        <f t="array" ref="T1673">IF(表成绩单[[#This Row],[化学]]="","",SUMPRODUCT((表成绩单[考试日期]=表成绩单[[#This Row],[考试日期]])*(表成绩单[化学]&lt;9E+307)*(表成绩单[化学]&gt;表成绩单[[#This Row],[化学]]))+1)</f>
        <v>23</v>
      </c>
      <c r="U1673" s="29" cm="1">
        <f t="array" ref="U1673">IF(表成绩单[[#This Row],[政治]]="","",SUMPRODUCT((表成绩单[考试日期]=表成绩单[[#This Row],[考试日期]])*(表成绩单[政治]&lt;9E+307)*(表成绩单[政治]&gt;表成绩单[[#This Row],[政治]]))+1)</f>
        <v>111</v>
      </c>
      <c r="V1673" s="29" cm="1">
        <f t="array" ref="V1673">IF(表成绩单[[#This Row],[历史]]="","",SUMPRODUCT((表成绩单[考试日期]=表成绩单[[#This Row],[考试日期]])*(表成绩单[历史]&lt;9E+307)*(表成绩单[历史]&gt;表成绩单[[#This Row],[历史]]))+1)</f>
        <v>18</v>
      </c>
      <c r="W1673" s="29" cm="1">
        <f t="array" ref="W1673">IF(表成绩单[[#This Row],[总分]]="","",SUMPRODUCT((表成绩单[考试日期]=表成绩单[[#This Row],[考试日期]])*(表成绩单[总分]&lt;9E+307)*(表成绩单[总分]&gt;表成绩单[[#This Row],[总分]]))+1)</f>
        <v>66</v>
      </c>
    </row>
    <row r="1674" ht="28" customHeight="1" spans="4:23">
      <c r="D1674" s="31">
        <v>46030</v>
      </c>
      <c r="E1674" s="29">
        <v>19176899</v>
      </c>
      <c r="F1674" s="29" t="s">
        <v>71</v>
      </c>
      <c r="G1674" s="29" t="s">
        <v>136</v>
      </c>
      <c r="H1674" s="29">
        <v>100</v>
      </c>
      <c r="I1674" s="29">
        <v>100</v>
      </c>
      <c r="J1674" s="29">
        <v>78.5</v>
      </c>
      <c r="K1674" s="29">
        <v>82</v>
      </c>
      <c r="L1674" s="29">
        <v>77</v>
      </c>
      <c r="M1674" s="29">
        <v>80</v>
      </c>
      <c r="N1674" s="29">
        <v>79</v>
      </c>
      <c r="O1674" s="32">
        <v>596.5</v>
      </c>
      <c r="P1674" s="29" cm="1">
        <f t="array" ref="P1674">IF(表成绩单[[#This Row],[语文]]="","",SUMPRODUCT((表成绩单[考试日期]=表成绩单[[#This Row],[考试日期]])*(表成绩单[语文]&lt;9E+307)*(表成绩单[语文]&gt;表成绩单[[#This Row],[语文]]))+1)</f>
        <v>182</v>
      </c>
      <c r="Q1674" s="29" cm="1">
        <f t="array" ref="Q1674">IF(表成绩单[[#This Row],[数学]]="","",SUMPRODUCT((表成绩单[考试日期]=表成绩单[[#This Row],[考试日期]])*(表成绩单[数学]&lt;9E+307)*(表成绩单[数学]&gt;表成绩单[[#This Row],[数学]]))+1)</f>
        <v>110</v>
      </c>
      <c r="R1674" s="29" cm="1">
        <f t="array" ref="R1674">IF(表成绩单[[#This Row],[英语]]="","",SUMPRODUCT((表成绩单[考试日期]=表成绩单[[#This Row],[考试日期]])*(表成绩单[英语]&lt;9E+307)*(表成绩单[英语]&gt;表成绩单[[#This Row],[英语]]))+1)</f>
        <v>64</v>
      </c>
      <c r="S1674" s="29" cm="1">
        <f t="array" ref="S1674">IF(表成绩单[[#This Row],[物理]]="","",SUMPRODUCT((表成绩单[考试日期]=表成绩单[[#This Row],[考试日期]])*(表成绩单[物理]&lt;9E+307)*(表成绩单[物理]&gt;表成绩单[[#This Row],[物理]]))+1)</f>
        <v>105</v>
      </c>
      <c r="T1674" s="29" cm="1">
        <f t="array" ref="T1674">IF(表成绩单[[#This Row],[化学]]="","",SUMPRODUCT((表成绩单[考试日期]=表成绩单[[#This Row],[考试日期]])*(表成绩单[化学]&lt;9E+307)*(表成绩单[化学]&gt;表成绩单[[#This Row],[化学]]))+1)</f>
        <v>116</v>
      </c>
      <c r="U1674" s="29" cm="1">
        <f t="array" ref="U1674">IF(表成绩单[[#This Row],[政治]]="","",SUMPRODUCT((表成绩单[考试日期]=表成绩单[[#This Row],[考试日期]])*(表成绩单[政治]&lt;9E+307)*(表成绩单[政治]&gt;表成绩单[[#This Row],[政治]]))+1)</f>
        <v>28</v>
      </c>
      <c r="V1674" s="29" cm="1">
        <f t="array" ref="V1674">IF(表成绩单[[#This Row],[历史]]="","",SUMPRODUCT((表成绩单[考试日期]=表成绩单[[#This Row],[考试日期]])*(表成绩单[历史]&lt;9E+307)*(表成绩单[历史]&gt;表成绩单[[#This Row],[历史]]))+1)</f>
        <v>104</v>
      </c>
      <c r="W1674" s="29" cm="1">
        <f t="array" ref="W1674">IF(表成绩单[[#This Row],[总分]]="","",SUMPRODUCT((表成绩单[考试日期]=表成绩单[[#This Row],[考试日期]])*(表成绩单[总分]&lt;9E+307)*(表成绩单[总分]&gt;表成绩单[[#This Row],[总分]]))+1)</f>
        <v>66</v>
      </c>
    </row>
    <row r="1675" ht="28" customHeight="1" spans="4:23">
      <c r="D1675" s="31">
        <v>46030</v>
      </c>
      <c r="E1675" s="29">
        <v>19175386</v>
      </c>
      <c r="F1675" s="29" t="s">
        <v>74</v>
      </c>
      <c r="G1675" s="29" t="s">
        <v>197</v>
      </c>
      <c r="H1675" s="29">
        <v>104</v>
      </c>
      <c r="I1675" s="29">
        <v>96</v>
      </c>
      <c r="J1675" s="29">
        <v>76</v>
      </c>
      <c r="K1675" s="29">
        <v>81</v>
      </c>
      <c r="L1675" s="29">
        <v>75</v>
      </c>
      <c r="M1675" s="29">
        <v>81</v>
      </c>
      <c r="N1675" s="29">
        <v>83</v>
      </c>
      <c r="O1675" s="32">
        <v>596</v>
      </c>
      <c r="P1675" s="29" cm="1">
        <f t="array" ref="P1675">IF(表成绩单[[#This Row],[语文]]="","",SUMPRODUCT((表成绩单[考试日期]=表成绩单[[#This Row],[考试日期]])*(表成绩单[语文]&lt;9E+307)*(表成绩单[语文]&gt;表成绩单[[#This Row],[语文]]))+1)</f>
        <v>82</v>
      </c>
      <c r="Q1675" s="29" cm="1">
        <f t="array" ref="Q1675">IF(表成绩单[[#This Row],[数学]]="","",SUMPRODUCT((表成绩单[考试日期]=表成绩单[[#This Row],[考试日期]])*(表成绩单[数学]&lt;9E+307)*(表成绩单[数学]&gt;表成绩单[[#This Row],[数学]]))+1)</f>
        <v>154</v>
      </c>
      <c r="R1675" s="29" cm="1">
        <f t="array" ref="R1675">IF(表成绩单[[#This Row],[英语]]="","",SUMPRODUCT((表成绩单[考试日期]=表成绩单[[#This Row],[考试日期]])*(表成绩单[英语]&lt;9E+307)*(表成绩单[英语]&gt;表成绩单[[#This Row],[英语]]))+1)</f>
        <v>126</v>
      </c>
      <c r="S1675" s="29" cm="1">
        <f t="array" ref="S1675">IF(表成绩单[[#This Row],[物理]]="","",SUMPRODUCT((表成绩单[考试日期]=表成绩单[[#This Row],[考试日期]])*(表成绩单[物理]&lt;9E+307)*(表成绩单[物理]&gt;表成绩单[[#This Row],[物理]]))+1)</f>
        <v>119</v>
      </c>
      <c r="T1675" s="29" cm="1">
        <f t="array" ref="T1675">IF(表成绩单[[#This Row],[化学]]="","",SUMPRODUCT((表成绩单[考试日期]=表成绩单[[#This Row],[考试日期]])*(表成绩单[化学]&lt;9E+307)*(表成绩单[化学]&gt;表成绩单[[#This Row],[化学]]))+1)</f>
        <v>169</v>
      </c>
      <c r="U1675" s="29" cm="1">
        <f t="array" ref="U1675">IF(表成绩单[[#This Row],[政治]]="","",SUMPRODUCT((表成绩单[考试日期]=表成绩单[[#This Row],[考试日期]])*(表成绩单[政治]&lt;9E+307)*(表成绩单[政治]&gt;表成绩单[[#This Row],[政治]]))+1)</f>
        <v>18</v>
      </c>
      <c r="V1675" s="29" cm="1">
        <f t="array" ref="V1675">IF(表成绩单[[#This Row],[历史]]="","",SUMPRODUCT((表成绩单[考试日期]=表成绩单[[#This Row],[考试日期]])*(表成绩单[历史]&lt;9E+307)*(表成绩单[历史]&gt;表成绩单[[#This Row],[历史]]))+1)</f>
        <v>32</v>
      </c>
      <c r="W1675" s="29" cm="1">
        <f t="array" ref="W1675">IF(表成绩单[[#This Row],[总分]]="","",SUMPRODUCT((表成绩单[考试日期]=表成绩单[[#This Row],[考试日期]])*(表成绩单[总分]&lt;9E+307)*(表成绩单[总分]&gt;表成绩单[[#This Row],[总分]]))+1)</f>
        <v>69</v>
      </c>
    </row>
    <row r="1676" ht="28" customHeight="1" spans="4:23">
      <c r="D1676" s="31">
        <v>46030</v>
      </c>
      <c r="E1676" s="29">
        <v>19175656</v>
      </c>
      <c r="F1676" s="29" t="s">
        <v>66</v>
      </c>
      <c r="G1676" s="29" t="s">
        <v>187</v>
      </c>
      <c r="H1676" s="29">
        <v>107</v>
      </c>
      <c r="I1676" s="29">
        <v>90</v>
      </c>
      <c r="J1676" s="29">
        <v>80</v>
      </c>
      <c r="K1676" s="29">
        <v>82</v>
      </c>
      <c r="L1676" s="29">
        <v>83</v>
      </c>
      <c r="M1676" s="29">
        <v>73</v>
      </c>
      <c r="N1676" s="29">
        <v>80</v>
      </c>
      <c r="O1676" s="32">
        <v>595</v>
      </c>
      <c r="P1676" s="29" cm="1">
        <f t="array" ref="P1676">IF(表成绩单[[#This Row],[语文]]="","",SUMPRODUCT((表成绩单[考试日期]=表成绩单[[#This Row],[考试日期]])*(表成绩单[语文]&lt;9E+307)*(表成绩单[语文]&gt;表成绩单[[#This Row],[语文]]))+1)</f>
        <v>38</v>
      </c>
      <c r="Q1676" s="29" cm="1">
        <f t="array" ref="Q1676">IF(表成绩单[[#This Row],[数学]]="","",SUMPRODUCT((表成绩单[考试日期]=表成绩单[[#This Row],[考试日期]])*(表成绩单[数学]&lt;9E+307)*(表成绩单[数学]&gt;表成绩单[[#This Row],[数学]]))+1)</f>
        <v>215</v>
      </c>
      <c r="R1676" s="29" cm="1">
        <f t="array" ref="R1676">IF(表成绩单[[#This Row],[英语]]="","",SUMPRODUCT((表成绩单[考试日期]=表成绩单[[#This Row],[考试日期]])*(表成绩单[英语]&lt;9E+307)*(表成绩单[英语]&gt;表成绩单[[#This Row],[英语]]))+1)</f>
        <v>27</v>
      </c>
      <c r="S1676" s="29" cm="1">
        <f t="array" ref="S1676">IF(表成绩单[[#This Row],[物理]]="","",SUMPRODUCT((表成绩单[考试日期]=表成绩单[[#This Row],[考试日期]])*(表成绩单[物理]&lt;9E+307)*(表成绩单[物理]&gt;表成绩单[[#This Row],[物理]]))+1)</f>
        <v>105</v>
      </c>
      <c r="T1676" s="29" cm="1">
        <f t="array" ref="T1676">IF(表成绩单[[#This Row],[化学]]="","",SUMPRODUCT((表成绩单[考试日期]=表成绩单[[#This Row],[考试日期]])*(表成绩单[化学]&lt;9E+307)*(表成绩单[化学]&gt;表成绩单[[#This Row],[化学]]))+1)</f>
        <v>15</v>
      </c>
      <c r="U1676" s="29" cm="1">
        <f t="array" ref="U1676">IF(表成绩单[[#This Row],[政治]]="","",SUMPRODUCT((表成绩单[考试日期]=表成绩单[[#This Row],[考试日期]])*(表成绩单[政治]&lt;9E+307)*(表成绩单[政治]&gt;表成绩单[[#This Row],[政治]]))+1)</f>
        <v>197</v>
      </c>
      <c r="V1676" s="29" cm="1">
        <f t="array" ref="V1676">IF(表成绩单[[#This Row],[历史]]="","",SUMPRODUCT((表成绩单[考试日期]=表成绩单[[#This Row],[考试日期]])*(表成绩单[历史]&lt;9E+307)*(表成绩单[历史]&gt;表成绩单[[#This Row],[历史]]))+1)</f>
        <v>83</v>
      </c>
      <c r="W1676" s="29" cm="1">
        <f t="array" ref="W1676">IF(表成绩单[[#This Row],[总分]]="","",SUMPRODUCT((表成绩单[考试日期]=表成绩单[[#This Row],[考试日期]])*(表成绩单[总分]&lt;9E+307)*(表成绩单[总分]&gt;表成绩单[[#This Row],[总分]]))+1)</f>
        <v>70</v>
      </c>
    </row>
    <row r="1677" ht="28" customHeight="1" spans="4:23">
      <c r="D1677" s="31">
        <v>46030</v>
      </c>
      <c r="E1677" s="29">
        <v>19177208</v>
      </c>
      <c r="F1677" s="29" t="s">
        <v>70</v>
      </c>
      <c r="G1677" s="29" t="s">
        <v>163</v>
      </c>
      <c r="H1677" s="29">
        <v>97</v>
      </c>
      <c r="I1677" s="29">
        <v>106</v>
      </c>
      <c r="J1677" s="29">
        <v>71</v>
      </c>
      <c r="K1677" s="29">
        <v>85</v>
      </c>
      <c r="L1677" s="29">
        <v>85</v>
      </c>
      <c r="M1677" s="29">
        <v>69</v>
      </c>
      <c r="N1677" s="29">
        <v>82</v>
      </c>
      <c r="O1677" s="32">
        <v>595</v>
      </c>
      <c r="P1677" s="29" cm="1">
        <f t="array" ref="P1677">IF(表成绩单[[#This Row],[语文]]="","",SUMPRODUCT((表成绩单[考试日期]=表成绩单[[#This Row],[考试日期]])*(表成绩单[语文]&lt;9E+307)*(表成绩单[语文]&gt;表成绩单[[#This Row],[语文]]))+1)</f>
        <v>291</v>
      </c>
      <c r="Q1677" s="29" cm="1">
        <f t="array" ref="Q1677">IF(表成绩单[[#This Row],[数学]]="","",SUMPRODUCT((表成绩单[考试日期]=表成绩单[[#This Row],[考试日期]])*(表成绩单[数学]&lt;9E+307)*(表成绩单[数学]&gt;表成绩单[[#This Row],[数学]]))+1)</f>
        <v>50</v>
      </c>
      <c r="R1677" s="29" cm="1">
        <f t="array" ref="R1677">IF(表成绩单[[#This Row],[英语]]="","",SUMPRODUCT((表成绩单[考试日期]=表成绩单[[#This Row],[考试日期]])*(表成绩单[英语]&lt;9E+307)*(表成绩单[英语]&gt;表成绩单[[#This Row],[英语]]))+1)</f>
        <v>281</v>
      </c>
      <c r="S1677" s="29" cm="1">
        <f t="array" ref="S1677">IF(表成绩单[[#This Row],[物理]]="","",SUMPRODUCT((表成绩单[考试日期]=表成绩单[[#This Row],[考试日期]])*(表成绩单[物理]&lt;9E+307)*(表成绩单[物理]&gt;表成绩单[[#This Row],[物理]]))+1)</f>
        <v>56</v>
      </c>
      <c r="T1677" s="29" cm="1">
        <f t="array" ref="T1677">IF(表成绩单[[#This Row],[化学]]="","",SUMPRODUCT((表成绩单[考试日期]=表成绩单[[#This Row],[考试日期]])*(表成绩单[化学]&lt;9E+307)*(表成绩单[化学]&gt;表成绩单[[#This Row],[化学]]))+1)</f>
        <v>8</v>
      </c>
      <c r="U1677" s="29" cm="1">
        <f t="array" ref="U1677">IF(表成绩单[[#This Row],[政治]]="","",SUMPRODUCT((表成绩单[考试日期]=表成绩单[[#This Row],[考试日期]])*(表成绩单[政治]&lt;9E+307)*(表成绩单[政治]&gt;表成绩单[[#This Row],[政治]]))+1)</f>
        <v>308</v>
      </c>
      <c r="V1677" s="29" cm="1">
        <f t="array" ref="V1677">IF(表成绩单[[#This Row],[历史]]="","",SUMPRODUCT((表成绩单[考试日期]=表成绩单[[#This Row],[考试日期]])*(表成绩单[历史]&lt;9E+307)*(表成绩单[历史]&gt;表成绩单[[#This Row],[历史]]))+1)</f>
        <v>41</v>
      </c>
      <c r="W1677" s="29" cm="1">
        <f t="array" ref="W1677">IF(表成绩单[[#This Row],[总分]]="","",SUMPRODUCT((表成绩单[考试日期]=表成绩单[[#This Row],[考试日期]])*(表成绩单[总分]&lt;9E+307)*(表成绩单[总分]&gt;表成绩单[[#This Row],[总分]]))+1)</f>
        <v>70</v>
      </c>
    </row>
    <row r="1678" ht="28" customHeight="1" spans="4:23">
      <c r="D1678" s="31">
        <v>46030</v>
      </c>
      <c r="E1678" s="29">
        <v>19177222</v>
      </c>
      <c r="F1678" s="29" t="s">
        <v>70</v>
      </c>
      <c r="G1678" s="29" t="s">
        <v>193</v>
      </c>
      <c r="H1678" s="29">
        <v>108</v>
      </c>
      <c r="I1678" s="29">
        <v>92</v>
      </c>
      <c r="J1678" s="29">
        <v>76</v>
      </c>
      <c r="K1678" s="29">
        <v>78</v>
      </c>
      <c r="L1678" s="29">
        <v>82</v>
      </c>
      <c r="M1678" s="29">
        <v>78</v>
      </c>
      <c r="N1678" s="29">
        <v>81</v>
      </c>
      <c r="O1678" s="32">
        <v>595</v>
      </c>
      <c r="P1678" s="29" cm="1">
        <f t="array" ref="P1678">IF(表成绩单[[#This Row],[语文]]="","",SUMPRODUCT((表成绩单[考试日期]=表成绩单[[#This Row],[考试日期]])*(表成绩单[语文]&lt;9E+307)*(表成绩单[语文]&gt;表成绩单[[#This Row],[语文]]))+1)</f>
        <v>29</v>
      </c>
      <c r="Q1678" s="29" cm="1">
        <f t="array" ref="Q1678">IF(表成绩单[[#This Row],[数学]]="","",SUMPRODUCT((表成绩单[考试日期]=表成绩单[[#This Row],[考试日期]])*(表成绩单[数学]&lt;9E+307)*(表成绩单[数学]&gt;表成绩单[[#This Row],[数学]]))+1)</f>
        <v>199</v>
      </c>
      <c r="R1678" s="29" cm="1">
        <f t="array" ref="R1678">IF(表成绩单[[#This Row],[英语]]="","",SUMPRODUCT((表成绩单[考试日期]=表成绩单[[#This Row],[考试日期]])*(表成绩单[英语]&lt;9E+307)*(表成绩单[英语]&gt;表成绩单[[#This Row],[英语]]))+1)</f>
        <v>126</v>
      </c>
      <c r="S1678" s="29" cm="1">
        <f t="array" ref="S1678">IF(表成绩单[[#This Row],[物理]]="","",SUMPRODUCT((表成绩单[考试日期]=表成绩单[[#This Row],[考试日期]])*(表成绩单[物理]&lt;9E+307)*(表成绩单[物理]&gt;表成绩单[[#This Row],[物理]]))+1)</f>
        <v>178</v>
      </c>
      <c r="T1678" s="29" cm="1">
        <f t="array" ref="T1678">IF(表成绩单[[#This Row],[化学]]="","",SUMPRODUCT((表成绩单[考试日期]=表成绩单[[#This Row],[考试日期]])*(表成绩单[化学]&lt;9E+307)*(表成绩单[化学]&gt;表成绩单[[#This Row],[化学]]))+1)</f>
        <v>23</v>
      </c>
      <c r="U1678" s="29" cm="1">
        <f t="array" ref="U1678">IF(表成绩单[[#This Row],[政治]]="","",SUMPRODUCT((表成绩单[考试日期]=表成绩单[[#This Row],[考试日期]])*(表成绩单[政治]&lt;9E+307)*(表成绩单[政治]&gt;表成绩单[[#This Row],[政治]]))+1)</f>
        <v>65</v>
      </c>
      <c r="V1678" s="29" cm="1">
        <f t="array" ref="V1678">IF(表成绩单[[#This Row],[历史]]="","",SUMPRODUCT((表成绩单[考试日期]=表成绩单[[#This Row],[考试日期]])*(表成绩单[历史]&lt;9E+307)*(表成绩单[历史]&gt;表成绩单[[#This Row],[历史]]))+1)</f>
        <v>60</v>
      </c>
      <c r="W1678" s="29" cm="1">
        <f t="array" ref="W1678">IF(表成绩单[[#This Row],[总分]]="","",SUMPRODUCT((表成绩单[考试日期]=表成绩单[[#This Row],[考试日期]])*(表成绩单[总分]&lt;9E+307)*(表成绩单[总分]&gt;表成绩单[[#This Row],[总分]]))+1)</f>
        <v>70</v>
      </c>
    </row>
    <row r="1679" ht="28" customHeight="1" spans="4:23">
      <c r="D1679" s="31">
        <v>46030</v>
      </c>
      <c r="E1679" s="29">
        <v>19175388</v>
      </c>
      <c r="F1679" s="29" t="s">
        <v>74</v>
      </c>
      <c r="G1679" s="29" t="s">
        <v>138</v>
      </c>
      <c r="H1679" s="29">
        <v>102</v>
      </c>
      <c r="I1679" s="29">
        <v>105</v>
      </c>
      <c r="J1679" s="29">
        <v>78</v>
      </c>
      <c r="K1679" s="29">
        <v>87</v>
      </c>
      <c r="L1679" s="29">
        <v>72</v>
      </c>
      <c r="M1679" s="29">
        <v>74</v>
      </c>
      <c r="N1679" s="29">
        <v>76</v>
      </c>
      <c r="O1679" s="32">
        <v>594</v>
      </c>
      <c r="P1679" s="29" cm="1">
        <f t="array" ref="P1679">IF(表成绩单[[#This Row],[语文]]="","",SUMPRODUCT((表成绩单[考试日期]=表成绩单[[#This Row],[考试日期]])*(表成绩单[语文]&lt;9E+307)*(表成绩单[语文]&gt;表成绩单[[#This Row],[语文]]))+1)</f>
        <v>132</v>
      </c>
      <c r="Q1679" s="29" cm="1">
        <f t="array" ref="Q1679">IF(表成绩单[[#This Row],[数学]]="","",SUMPRODUCT((表成绩单[考试日期]=表成绩单[[#This Row],[考试日期]])*(表成绩单[数学]&lt;9E+307)*(表成绩单[数学]&gt;表成绩单[[#This Row],[数学]]))+1)</f>
        <v>64</v>
      </c>
      <c r="R1679" s="29" cm="1">
        <f t="array" ref="R1679">IF(表成绩单[[#This Row],[英语]]="","",SUMPRODUCT((表成绩单[考试日期]=表成绩单[[#This Row],[考试日期]])*(表成绩单[英语]&lt;9E+307)*(表成绩单[英语]&gt;表成绩单[[#This Row],[英语]]))+1)</f>
        <v>79</v>
      </c>
      <c r="S1679" s="29" cm="1">
        <f t="array" ref="S1679">IF(表成绩单[[#This Row],[物理]]="","",SUMPRODUCT((表成绩单[考试日期]=表成绩单[[#This Row],[考试日期]])*(表成绩单[物理]&lt;9E+307)*(表成绩单[物理]&gt;表成绩单[[#This Row],[物理]]))+1)</f>
        <v>27</v>
      </c>
      <c r="T1679" s="29" cm="1">
        <f t="array" ref="T1679">IF(表成绩单[[#This Row],[化学]]="","",SUMPRODUCT((表成绩单[考试日期]=表成绩单[[#This Row],[考试日期]])*(表成绩单[化学]&lt;9E+307)*(表成绩单[化学]&gt;表成绩单[[#This Row],[化学]]))+1)</f>
        <v>271</v>
      </c>
      <c r="U1679" s="29" cm="1">
        <f t="array" ref="U1679">IF(表成绩单[[#This Row],[政治]]="","",SUMPRODUCT((表成绩单[考试日期]=表成绩单[[#This Row],[考试日期]])*(表成绩单[政治]&lt;9E+307)*(表成绩单[政治]&gt;表成绩单[[#This Row],[政治]]))+1)</f>
        <v>168</v>
      </c>
      <c r="V1679" s="29" cm="1">
        <f t="array" ref="V1679">IF(表成绩单[[#This Row],[历史]]="","",SUMPRODUCT((表成绩单[考试日期]=表成绩单[[#This Row],[考试日期]])*(表成绩单[历史]&lt;9E+307)*(表成绩单[历史]&gt;表成绩单[[#This Row],[历史]]))+1)</f>
        <v>169</v>
      </c>
      <c r="W1679" s="29" cm="1">
        <f t="array" ref="W1679">IF(表成绩单[[#This Row],[总分]]="","",SUMPRODUCT((表成绩单[考试日期]=表成绩单[[#This Row],[考试日期]])*(表成绩单[总分]&lt;9E+307)*(表成绩单[总分]&gt;表成绩单[[#This Row],[总分]]))+1)</f>
        <v>73</v>
      </c>
    </row>
    <row r="1680" ht="28" customHeight="1" spans="4:23">
      <c r="D1680" s="31">
        <v>46030</v>
      </c>
      <c r="E1680" s="29">
        <v>19175696</v>
      </c>
      <c r="F1680" s="29" t="s">
        <v>72</v>
      </c>
      <c r="G1680" s="29" t="s">
        <v>169</v>
      </c>
      <c r="H1680" s="29">
        <v>99</v>
      </c>
      <c r="I1680" s="29">
        <v>98</v>
      </c>
      <c r="J1680" s="29">
        <v>76</v>
      </c>
      <c r="K1680" s="29">
        <v>89</v>
      </c>
      <c r="L1680" s="29">
        <v>87</v>
      </c>
      <c r="M1680" s="29">
        <v>66</v>
      </c>
      <c r="N1680" s="29">
        <v>79</v>
      </c>
      <c r="O1680" s="32">
        <v>594</v>
      </c>
      <c r="P1680" s="29" cm="1">
        <f t="array" ref="P1680">IF(表成绩单[[#This Row],[语文]]="","",SUMPRODUCT((表成绩单[考试日期]=表成绩单[[#This Row],[考试日期]])*(表成绩单[语文]&lt;9E+307)*(表成绩单[语文]&gt;表成绩单[[#This Row],[语文]]))+1)</f>
        <v>213</v>
      </c>
      <c r="Q1680" s="29" cm="1">
        <f t="array" ref="Q1680">IF(表成绩单[[#This Row],[数学]]="","",SUMPRODUCT((表成绩单[考试日期]=表成绩单[[#This Row],[考试日期]])*(表成绩单[数学]&lt;9E+307)*(表成绩单[数学]&gt;表成绩单[[#This Row],[数学]]))+1)</f>
        <v>134</v>
      </c>
      <c r="R1680" s="29" cm="1">
        <f t="array" ref="R1680">IF(表成绩单[[#This Row],[英语]]="","",SUMPRODUCT((表成绩单[考试日期]=表成绩单[[#This Row],[考试日期]])*(表成绩单[英语]&lt;9E+307)*(表成绩单[英语]&gt;表成绩单[[#This Row],[英语]]))+1)</f>
        <v>126</v>
      </c>
      <c r="S1680" s="29" cm="1">
        <f t="array" ref="S1680">IF(表成绩单[[#This Row],[物理]]="","",SUMPRODUCT((表成绩单[考试日期]=表成绩单[[#This Row],[考试日期]])*(表成绩单[物理]&lt;9E+307)*(表成绩单[物理]&gt;表成绩单[[#This Row],[物理]]))+1)</f>
        <v>11</v>
      </c>
      <c r="T1680" s="29" cm="1">
        <f t="array" ref="T1680">IF(表成绩单[[#This Row],[化学]]="","",SUMPRODUCT((表成绩单[考试日期]=表成绩单[[#This Row],[考试日期]])*(表成绩单[化学]&lt;9E+307)*(表成绩单[化学]&gt;表成绩单[[#This Row],[化学]]))+1)</f>
        <v>1</v>
      </c>
      <c r="U1680" s="29" cm="1">
        <f t="array" ref="U1680">IF(表成绩单[[#This Row],[政治]]="","",SUMPRODUCT((表成绩单[考试日期]=表成绩单[[#This Row],[考试日期]])*(表成绩单[政治]&lt;9E+307)*(表成绩单[政治]&gt;表成绩单[[#This Row],[政治]]))+1)</f>
        <v>397</v>
      </c>
      <c r="V1680" s="29" cm="1">
        <f t="array" ref="V1680">IF(表成绩单[[#This Row],[历史]]="","",SUMPRODUCT((表成绩单[考试日期]=表成绩单[[#This Row],[考试日期]])*(表成绩单[历史]&lt;9E+307)*(表成绩单[历史]&gt;表成绩单[[#This Row],[历史]]))+1)</f>
        <v>104</v>
      </c>
      <c r="W1680" s="29" cm="1">
        <f t="array" ref="W1680">IF(表成绩单[[#This Row],[总分]]="","",SUMPRODUCT((表成绩单[考试日期]=表成绩单[[#This Row],[考试日期]])*(表成绩单[总分]&lt;9E+307)*(表成绩单[总分]&gt;表成绩单[[#This Row],[总分]]))+1)</f>
        <v>73</v>
      </c>
    </row>
    <row r="1681" ht="28" customHeight="1" spans="4:23">
      <c r="D1681" s="31">
        <v>46030</v>
      </c>
      <c r="E1681" s="29">
        <v>36665452</v>
      </c>
      <c r="F1681" s="29" t="s">
        <v>67</v>
      </c>
      <c r="G1681" s="29" t="s">
        <v>172</v>
      </c>
      <c r="H1681" s="29">
        <v>101</v>
      </c>
      <c r="I1681" s="29">
        <v>101</v>
      </c>
      <c r="J1681" s="29">
        <v>75</v>
      </c>
      <c r="K1681" s="29">
        <v>90</v>
      </c>
      <c r="L1681" s="29">
        <v>74</v>
      </c>
      <c r="M1681" s="29">
        <v>77</v>
      </c>
      <c r="N1681" s="29">
        <v>76</v>
      </c>
      <c r="O1681" s="32">
        <v>594</v>
      </c>
      <c r="P1681" s="29" cm="1">
        <f t="array" ref="P1681">IF(表成绩单[[#This Row],[语文]]="","",SUMPRODUCT((表成绩单[考试日期]=表成绩单[[#This Row],[考试日期]])*(表成绩单[语文]&lt;9E+307)*(表成绩单[语文]&gt;表成绩单[[#This Row],[语文]]))+1)</f>
        <v>159</v>
      </c>
      <c r="Q1681" s="29" cm="1">
        <f t="array" ref="Q1681">IF(表成绩单[[#This Row],[数学]]="","",SUMPRODUCT((表成绩单[考试日期]=表成绩单[[#This Row],[考试日期]])*(表成绩单[数学]&lt;9E+307)*(表成绩单[数学]&gt;表成绩单[[#This Row],[数学]]))+1)</f>
        <v>104</v>
      </c>
      <c r="R1681" s="29" cm="1">
        <f t="array" ref="R1681">IF(表成绩单[[#This Row],[英语]]="","",SUMPRODUCT((表成绩单[考试日期]=表成绩单[[#This Row],[考试日期]])*(表成绩单[英语]&lt;9E+307)*(表成绩单[英语]&gt;表成绩单[[#This Row],[英语]]))+1)</f>
        <v>164</v>
      </c>
      <c r="S1681" s="29" cm="1">
        <f t="array" ref="S1681">IF(表成绩单[[#This Row],[物理]]="","",SUMPRODUCT((表成绩单[考试日期]=表成绩单[[#This Row],[考试日期]])*(表成绩单[物理]&lt;9E+307)*(表成绩单[物理]&gt;表成绩单[[#This Row],[物理]]))+1)</f>
        <v>1</v>
      </c>
      <c r="T1681" s="29" cm="1">
        <f t="array" ref="T1681">IF(表成绩单[[#This Row],[化学]]="","",SUMPRODUCT((表成绩单[考试日期]=表成绩单[[#This Row],[考试日期]])*(表成绩单[化学]&lt;9E+307)*(表成绩单[化学]&gt;表成绩单[[#This Row],[化学]]))+1)</f>
        <v>208</v>
      </c>
      <c r="U1681" s="29" cm="1">
        <f t="array" ref="U1681">IF(表成绩单[[#This Row],[政治]]="","",SUMPRODUCT((表成绩单[考试日期]=表成绩单[[#This Row],[考试日期]])*(表成绩单[政治]&lt;9E+307)*(表成绩单[政治]&gt;表成绩单[[#This Row],[政治]]))+1)</f>
        <v>88</v>
      </c>
      <c r="V1681" s="29" cm="1">
        <f t="array" ref="V1681">IF(表成绩单[[#This Row],[历史]]="","",SUMPRODUCT((表成绩单[考试日期]=表成绩单[[#This Row],[考试日期]])*(表成绩单[历史]&lt;9E+307)*(表成绩单[历史]&gt;表成绩单[[#This Row],[历史]]))+1)</f>
        <v>169</v>
      </c>
      <c r="W1681" s="29" cm="1">
        <f t="array" ref="W1681">IF(表成绩单[[#This Row],[总分]]="","",SUMPRODUCT((表成绩单[考试日期]=表成绩单[[#This Row],[考试日期]])*(表成绩单[总分]&lt;9E+307)*(表成绩单[总分]&gt;表成绩单[[#This Row],[总分]]))+1)</f>
        <v>73</v>
      </c>
    </row>
    <row r="1682" ht="28" customHeight="1" spans="4:23">
      <c r="D1682" s="31">
        <v>46030</v>
      </c>
      <c r="E1682" s="29">
        <v>19167645</v>
      </c>
      <c r="F1682" s="29" t="s">
        <v>1</v>
      </c>
      <c r="G1682" s="29" t="s">
        <v>173</v>
      </c>
      <c r="H1682" s="29">
        <v>107</v>
      </c>
      <c r="I1682" s="29">
        <v>104</v>
      </c>
      <c r="J1682" s="29">
        <v>67.5</v>
      </c>
      <c r="K1682" s="29">
        <v>72</v>
      </c>
      <c r="L1682" s="29">
        <v>80</v>
      </c>
      <c r="M1682" s="29">
        <v>78</v>
      </c>
      <c r="N1682" s="29">
        <v>85</v>
      </c>
      <c r="O1682" s="32">
        <v>593.5</v>
      </c>
      <c r="P1682" s="29" cm="1">
        <f t="array" ref="P1682">IF(表成绩单[[#This Row],[语文]]="","",SUMPRODUCT((表成绩单[考试日期]=表成绩单[[#This Row],[考试日期]])*(表成绩单[语文]&lt;9E+307)*(表成绩单[语文]&gt;表成绩单[[#This Row],[语文]]))+1)</f>
        <v>38</v>
      </c>
      <c r="Q1682" s="29" cm="1">
        <f t="array" ref="Q1682">IF(表成绩单[[#This Row],[数学]]="","",SUMPRODUCT((表成绩单[考试日期]=表成绩单[[#This Row],[考试日期]])*(表成绩单[数学]&lt;9E+307)*(表成绩单[数学]&gt;表成绩单[[#This Row],[数学]]))+1)</f>
        <v>80</v>
      </c>
      <c r="R1682" s="29" cm="1">
        <f t="array" ref="R1682">IF(表成绩单[[#This Row],[英语]]="","",SUMPRODUCT((表成绩单[考试日期]=表成绩单[[#This Row],[考试日期]])*(表成绩单[英语]&lt;9E+307)*(表成绩单[英语]&gt;表成绩单[[#This Row],[英语]]))+1)</f>
        <v>377</v>
      </c>
      <c r="S1682" s="29" cm="1">
        <f t="array" ref="S1682">IF(表成绩单[[#This Row],[物理]]="","",SUMPRODUCT((表成绩单[考试日期]=表成绩单[[#This Row],[考试日期]])*(表成绩单[物理]&lt;9E+307)*(表成绩单[物理]&gt;表成绩单[[#This Row],[物理]]))+1)</f>
        <v>297</v>
      </c>
      <c r="T1682" s="29" cm="1">
        <f t="array" ref="T1682">IF(表成绩单[[#This Row],[化学]]="","",SUMPRODUCT((表成绩单[考试日期]=表成绩单[[#This Row],[考试日期]])*(表成绩单[化学]&lt;9E+307)*(表成绩单[化学]&gt;表成绩单[[#This Row],[化学]]))+1)</f>
        <v>60</v>
      </c>
      <c r="U1682" s="29" cm="1">
        <f t="array" ref="U1682">IF(表成绩单[[#This Row],[政治]]="","",SUMPRODUCT((表成绩单[考试日期]=表成绩单[[#This Row],[考试日期]])*(表成绩单[政治]&lt;9E+307)*(表成绩单[政治]&gt;表成绩单[[#This Row],[政治]]))+1)</f>
        <v>65</v>
      </c>
      <c r="V1682" s="29" cm="1">
        <f t="array" ref="V1682">IF(表成绩单[[#This Row],[历史]]="","",SUMPRODUCT((表成绩单[考试日期]=表成绩单[[#This Row],[考试日期]])*(表成绩单[历史]&lt;9E+307)*(表成绩单[历史]&gt;表成绩单[[#This Row],[历史]]))+1)</f>
        <v>18</v>
      </c>
      <c r="W1682" s="29" cm="1">
        <f t="array" ref="W1682">IF(表成绩单[[#This Row],[总分]]="","",SUMPRODUCT((表成绩单[考试日期]=表成绩单[[#This Row],[考试日期]])*(表成绩单[总分]&lt;9E+307)*(表成绩单[总分]&gt;表成绩单[[#This Row],[总分]]))+1)</f>
        <v>76</v>
      </c>
    </row>
    <row r="1683" ht="28" customHeight="1" spans="4:23">
      <c r="D1683" s="31">
        <v>46030</v>
      </c>
      <c r="E1683" s="29">
        <v>19175675</v>
      </c>
      <c r="F1683" s="29" t="s">
        <v>72</v>
      </c>
      <c r="G1683" s="29" t="s">
        <v>226</v>
      </c>
      <c r="H1683" s="29">
        <v>98</v>
      </c>
      <c r="I1683" s="29">
        <v>105</v>
      </c>
      <c r="J1683" s="29">
        <v>75</v>
      </c>
      <c r="K1683" s="29">
        <v>86</v>
      </c>
      <c r="L1683" s="29">
        <v>77</v>
      </c>
      <c r="M1683" s="29">
        <v>73</v>
      </c>
      <c r="N1683" s="29">
        <v>79</v>
      </c>
      <c r="O1683" s="32">
        <v>593</v>
      </c>
      <c r="P1683" s="29" cm="1">
        <f t="array" ref="P1683">IF(表成绩单[[#This Row],[语文]]="","",SUMPRODUCT((表成绩单[考试日期]=表成绩单[[#This Row],[考试日期]])*(表成绩单[语文]&lt;9E+307)*(表成绩单[语文]&gt;表成绩单[[#This Row],[语文]]))+1)</f>
        <v>248</v>
      </c>
      <c r="Q1683" s="29" cm="1">
        <f t="array" ref="Q1683">IF(表成绩单[[#This Row],[数学]]="","",SUMPRODUCT((表成绩单[考试日期]=表成绩单[[#This Row],[考试日期]])*(表成绩单[数学]&lt;9E+307)*(表成绩单[数学]&gt;表成绩单[[#This Row],[数学]]))+1)</f>
        <v>64</v>
      </c>
      <c r="R1683" s="29" cm="1">
        <f t="array" ref="R1683">IF(表成绩单[[#This Row],[英语]]="","",SUMPRODUCT((表成绩单[考试日期]=表成绩单[[#This Row],[考试日期]])*(表成绩单[英语]&lt;9E+307)*(表成绩单[英语]&gt;表成绩单[[#This Row],[英语]]))+1)</f>
        <v>164</v>
      </c>
      <c r="S1683" s="29" cm="1">
        <f t="array" ref="S1683">IF(表成绩单[[#This Row],[物理]]="","",SUMPRODUCT((表成绩单[考试日期]=表成绩单[[#This Row],[考试日期]])*(表成绩单[物理]&lt;9E+307)*(表成绩单[物理]&gt;表成绩单[[#This Row],[物理]]))+1)</f>
        <v>42</v>
      </c>
      <c r="T1683" s="29" cm="1">
        <f t="array" ref="T1683">IF(表成绩单[[#This Row],[化学]]="","",SUMPRODUCT((表成绩单[考试日期]=表成绩单[[#This Row],[考试日期]])*(表成绩单[化学]&lt;9E+307)*(表成绩单[化学]&gt;表成绩单[[#This Row],[化学]]))+1)</f>
        <v>116</v>
      </c>
      <c r="U1683" s="29" cm="1">
        <f t="array" ref="U1683">IF(表成绩单[[#This Row],[政治]]="","",SUMPRODUCT((表成绩单[考试日期]=表成绩单[[#This Row],[考试日期]])*(表成绩单[政治]&lt;9E+307)*(表成绩单[政治]&gt;表成绩单[[#This Row],[政治]]))+1)</f>
        <v>197</v>
      </c>
      <c r="V1683" s="29" cm="1">
        <f t="array" ref="V1683">IF(表成绩单[[#This Row],[历史]]="","",SUMPRODUCT((表成绩单[考试日期]=表成绩单[[#This Row],[考试日期]])*(表成绩单[历史]&lt;9E+307)*(表成绩单[历史]&gt;表成绩单[[#This Row],[历史]]))+1)</f>
        <v>104</v>
      </c>
      <c r="W1683" s="29" cm="1">
        <f t="array" ref="W1683">IF(表成绩单[[#This Row],[总分]]="","",SUMPRODUCT((表成绩单[考试日期]=表成绩单[[#This Row],[考试日期]])*(表成绩单[总分]&lt;9E+307)*(表成绩单[总分]&gt;表成绩单[[#This Row],[总分]]))+1)</f>
        <v>77</v>
      </c>
    </row>
    <row r="1684" ht="28" customHeight="1" spans="4:23">
      <c r="D1684" s="31">
        <v>46030</v>
      </c>
      <c r="E1684" s="29">
        <v>19175382</v>
      </c>
      <c r="F1684" s="29" t="s">
        <v>74</v>
      </c>
      <c r="G1684" s="29" t="s">
        <v>224</v>
      </c>
      <c r="H1684" s="29">
        <v>92</v>
      </c>
      <c r="I1684" s="29">
        <v>109</v>
      </c>
      <c r="J1684" s="29">
        <v>71.5</v>
      </c>
      <c r="K1684" s="29">
        <v>90</v>
      </c>
      <c r="L1684" s="29">
        <v>78</v>
      </c>
      <c r="M1684" s="29">
        <v>70</v>
      </c>
      <c r="N1684" s="29">
        <v>82</v>
      </c>
      <c r="O1684" s="32">
        <v>592.5</v>
      </c>
      <c r="P1684" s="29" cm="1">
        <f t="array" ref="P1684">IF(表成绩单[[#This Row],[语文]]="","",SUMPRODUCT((表成绩单[考试日期]=表成绩单[[#This Row],[考试日期]])*(表成绩单[语文]&lt;9E+307)*(表成绩单[语文]&gt;表成绩单[[#This Row],[语文]]))+1)</f>
        <v>444</v>
      </c>
      <c r="Q1684" s="29" cm="1">
        <f t="array" ref="Q1684">IF(表成绩单[[#This Row],[数学]]="","",SUMPRODUCT((表成绩单[考试日期]=表成绩单[[#This Row],[考试日期]])*(表成绩单[数学]&lt;9E+307)*(表成绩单[数学]&gt;表成绩单[[#This Row],[数学]]))+1)</f>
        <v>35</v>
      </c>
      <c r="R1684" s="29" cm="1">
        <f t="array" ref="R1684">IF(表成绩单[[#This Row],[英语]]="","",SUMPRODUCT((表成绩单[考试日期]=表成绩单[[#This Row],[考试日期]])*(表成绩单[英语]&lt;9E+307)*(表成绩单[英语]&gt;表成绩单[[#This Row],[英语]]))+1)</f>
        <v>271</v>
      </c>
      <c r="S1684" s="29" cm="1">
        <f t="array" ref="S1684">IF(表成绩单[[#This Row],[物理]]="","",SUMPRODUCT((表成绩单[考试日期]=表成绩单[[#This Row],[考试日期]])*(表成绩单[物理]&lt;9E+307)*(表成绩单[物理]&gt;表成绩单[[#This Row],[物理]]))+1)</f>
        <v>1</v>
      </c>
      <c r="T1684" s="29" cm="1">
        <f t="array" ref="T1684">IF(表成绩单[[#This Row],[化学]]="","",SUMPRODUCT((表成绩单[考试日期]=表成绩单[[#This Row],[考试日期]])*(表成绩单[化学]&lt;9E+307)*(表成绩单[化学]&gt;表成绩单[[#This Row],[化学]]))+1)</f>
        <v>93</v>
      </c>
      <c r="U1684" s="29" cm="1">
        <f t="array" ref="U1684">IF(表成绩单[[#This Row],[政治]]="","",SUMPRODUCT((表成绩单[考试日期]=表成绩单[[#This Row],[考试日期]])*(表成绩单[政治]&lt;9E+307)*(表成绩单[政治]&gt;表成绩单[[#This Row],[政治]]))+1)</f>
        <v>274</v>
      </c>
      <c r="V1684" s="29" cm="1">
        <f t="array" ref="V1684">IF(表成绩单[[#This Row],[历史]]="","",SUMPRODUCT((表成绩单[考试日期]=表成绩单[[#This Row],[考试日期]])*(表成绩单[历史]&lt;9E+307)*(表成绩单[历史]&gt;表成绩单[[#This Row],[历史]]))+1)</f>
        <v>41</v>
      </c>
      <c r="W1684" s="29" cm="1">
        <f t="array" ref="W1684">IF(表成绩单[[#This Row],[总分]]="","",SUMPRODUCT((表成绩单[考试日期]=表成绩单[[#This Row],[考试日期]])*(表成绩单[总分]&lt;9E+307)*(表成绩单[总分]&gt;表成绩单[[#This Row],[总分]]))+1)</f>
        <v>78</v>
      </c>
    </row>
    <row r="1685" ht="28" customHeight="1" spans="4:23">
      <c r="D1685" s="31">
        <v>46030</v>
      </c>
      <c r="E1685" s="29">
        <v>19175398</v>
      </c>
      <c r="F1685" s="29" t="s">
        <v>74</v>
      </c>
      <c r="G1685" s="29" t="s">
        <v>168</v>
      </c>
      <c r="H1685" s="29">
        <v>98</v>
      </c>
      <c r="I1685" s="29">
        <v>98</v>
      </c>
      <c r="J1685" s="29">
        <v>79.5</v>
      </c>
      <c r="K1685" s="29">
        <v>80</v>
      </c>
      <c r="L1685" s="29">
        <v>79</v>
      </c>
      <c r="M1685" s="29">
        <v>79</v>
      </c>
      <c r="N1685" s="29">
        <v>79</v>
      </c>
      <c r="O1685" s="32">
        <v>592.5</v>
      </c>
      <c r="P1685" s="29" cm="1">
        <f t="array" ref="P1685">IF(表成绩单[[#This Row],[语文]]="","",SUMPRODUCT((表成绩单[考试日期]=表成绩单[[#This Row],[考试日期]])*(表成绩单[语文]&lt;9E+307)*(表成绩单[语文]&gt;表成绩单[[#This Row],[语文]]))+1)</f>
        <v>248</v>
      </c>
      <c r="Q1685" s="29" cm="1">
        <f t="array" ref="Q1685">IF(表成绩单[[#This Row],[数学]]="","",SUMPRODUCT((表成绩单[考试日期]=表成绩单[[#This Row],[考试日期]])*(表成绩单[数学]&lt;9E+307)*(表成绩单[数学]&gt;表成绩单[[#This Row],[数学]]))+1)</f>
        <v>134</v>
      </c>
      <c r="R1685" s="29" cm="1">
        <f t="array" ref="R1685">IF(表成绩单[[#This Row],[英语]]="","",SUMPRODUCT((表成绩单[考试日期]=表成绩单[[#This Row],[考试日期]])*(表成绩单[英语]&lt;9E+307)*(表成绩单[英语]&gt;表成绩单[[#This Row],[英语]]))+1)</f>
        <v>41</v>
      </c>
      <c r="S1685" s="29" cm="1">
        <f t="array" ref="S1685">IF(表成绩单[[#This Row],[物理]]="","",SUMPRODUCT((表成绩单[考试日期]=表成绩单[[#This Row],[考试日期]])*(表成绩单[物理]&lt;9E+307)*(表成绩单[物理]&gt;表成绩单[[#This Row],[物理]]))+1)</f>
        <v>137</v>
      </c>
      <c r="T1685" s="29" cm="1">
        <f t="array" ref="T1685">IF(表成绩单[[#This Row],[化学]]="","",SUMPRODUCT((表成绩单[考试日期]=表成绩单[[#This Row],[考试日期]])*(表成绩单[化学]&lt;9E+307)*(表成绩单[化学]&gt;表成绩单[[#This Row],[化学]]))+1)</f>
        <v>77</v>
      </c>
      <c r="U1685" s="29" cm="1">
        <f t="array" ref="U1685">IF(表成绩单[[#This Row],[政治]]="","",SUMPRODUCT((表成绩单[考试日期]=表成绩单[[#This Row],[考试日期]])*(表成绩单[政治]&lt;9E+307)*(表成绩单[政治]&gt;表成绩单[[#This Row],[政治]]))+1)</f>
        <v>42</v>
      </c>
      <c r="V1685" s="29" cm="1">
        <f t="array" ref="V1685">IF(表成绩单[[#This Row],[历史]]="","",SUMPRODUCT((表成绩单[考试日期]=表成绩单[[#This Row],[考试日期]])*(表成绩单[历史]&lt;9E+307)*(表成绩单[历史]&gt;表成绩单[[#This Row],[历史]]))+1)</f>
        <v>104</v>
      </c>
      <c r="W1685" s="29" cm="1">
        <f t="array" ref="W1685">IF(表成绩单[[#This Row],[总分]]="","",SUMPRODUCT((表成绩单[考试日期]=表成绩单[[#This Row],[考试日期]])*(表成绩单[总分]&lt;9E+307)*(表成绩单[总分]&gt;表成绩单[[#This Row],[总分]]))+1)</f>
        <v>78</v>
      </c>
    </row>
    <row r="1686" ht="28" customHeight="1" spans="4:23">
      <c r="D1686" s="31">
        <v>46030</v>
      </c>
      <c r="E1686" s="29">
        <v>19174458</v>
      </c>
      <c r="F1686" s="29" t="s">
        <v>73</v>
      </c>
      <c r="G1686" s="29" t="s">
        <v>118</v>
      </c>
      <c r="H1686" s="29">
        <v>101</v>
      </c>
      <c r="I1686" s="29">
        <v>96</v>
      </c>
      <c r="J1686" s="29">
        <v>80</v>
      </c>
      <c r="K1686" s="29">
        <v>79</v>
      </c>
      <c r="L1686" s="29">
        <v>81</v>
      </c>
      <c r="M1686" s="29">
        <v>75</v>
      </c>
      <c r="N1686" s="29">
        <v>80</v>
      </c>
      <c r="O1686" s="32">
        <v>592</v>
      </c>
      <c r="P1686" s="29" cm="1">
        <f t="array" ref="P1686">IF(表成绩单[[#This Row],[语文]]="","",SUMPRODUCT((表成绩单[考试日期]=表成绩单[[#This Row],[考试日期]])*(表成绩单[语文]&lt;9E+307)*(表成绩单[语文]&gt;表成绩单[[#This Row],[语文]]))+1)</f>
        <v>159</v>
      </c>
      <c r="Q1686" s="29" cm="1">
        <f t="array" ref="Q1686">IF(表成绩单[[#This Row],[数学]]="","",SUMPRODUCT((表成绩单[考试日期]=表成绩单[[#This Row],[考试日期]])*(表成绩单[数学]&lt;9E+307)*(表成绩单[数学]&gt;表成绩单[[#This Row],[数学]]))+1)</f>
        <v>154</v>
      </c>
      <c r="R1686" s="29" cm="1">
        <f t="array" ref="R1686">IF(表成绩单[[#This Row],[英语]]="","",SUMPRODUCT((表成绩单[考试日期]=表成绩单[[#This Row],[考试日期]])*(表成绩单[英语]&lt;9E+307)*(表成绩单[英语]&gt;表成绩单[[#This Row],[英语]]))+1)</f>
        <v>27</v>
      </c>
      <c r="S1686" s="29" cm="1">
        <f t="array" ref="S1686">IF(表成绩单[[#This Row],[物理]]="","",SUMPRODUCT((表成绩单[考试日期]=表成绩单[[#This Row],[考试日期]])*(表成绩单[物理]&lt;9E+307)*(表成绩单[物理]&gt;表成绩单[[#This Row],[物理]]))+1)</f>
        <v>153</v>
      </c>
      <c r="T1686" s="29" cm="1">
        <f t="array" ref="T1686">IF(表成绩单[[#This Row],[化学]]="","",SUMPRODUCT((表成绩单[考试日期]=表成绩单[[#This Row],[考试日期]])*(表成绩单[化学]&lt;9E+307)*(表成绩单[化学]&gt;表成绩单[[#This Row],[化学]]))+1)</f>
        <v>43</v>
      </c>
      <c r="U1686" s="29" cm="1">
        <f t="array" ref="U1686">IF(表成绩单[[#This Row],[政治]]="","",SUMPRODUCT((表成绩单[考试日期]=表成绩单[[#This Row],[考试日期]])*(表成绩单[政治]&lt;9E+307)*(表成绩单[政治]&gt;表成绩单[[#This Row],[政治]]))+1)</f>
        <v>137</v>
      </c>
      <c r="V1686" s="29" cm="1">
        <f t="array" ref="V1686">IF(表成绩单[[#This Row],[历史]]="","",SUMPRODUCT((表成绩单[考试日期]=表成绩单[[#This Row],[考试日期]])*(表成绩单[历史]&lt;9E+307)*(表成绩单[历史]&gt;表成绩单[[#This Row],[历史]]))+1)</f>
        <v>83</v>
      </c>
      <c r="W1686" s="29" cm="1">
        <f t="array" ref="W1686">IF(表成绩单[[#This Row],[总分]]="","",SUMPRODUCT((表成绩单[考试日期]=表成绩单[[#This Row],[考试日期]])*(表成绩单[总分]&lt;9E+307)*(表成绩单[总分]&gt;表成绩单[[#This Row],[总分]]))+1)</f>
        <v>80</v>
      </c>
    </row>
    <row r="1687" ht="28" customHeight="1" spans="4:23">
      <c r="D1687" s="31">
        <v>46030</v>
      </c>
      <c r="E1687" s="29">
        <v>19175410</v>
      </c>
      <c r="F1687" s="29" t="s">
        <v>74</v>
      </c>
      <c r="G1687" s="29" t="s">
        <v>146</v>
      </c>
      <c r="H1687" s="29">
        <v>103</v>
      </c>
      <c r="I1687" s="29">
        <v>99</v>
      </c>
      <c r="J1687" s="29">
        <v>74</v>
      </c>
      <c r="K1687" s="29">
        <v>80</v>
      </c>
      <c r="L1687" s="29">
        <v>75</v>
      </c>
      <c r="M1687" s="29">
        <v>82</v>
      </c>
      <c r="N1687" s="29">
        <v>79</v>
      </c>
      <c r="O1687" s="32">
        <v>592</v>
      </c>
      <c r="P1687" s="29" cm="1">
        <f t="array" ref="P1687">IF(表成绩单[[#This Row],[语文]]="","",SUMPRODUCT((表成绩单[考试日期]=表成绩单[[#This Row],[考试日期]])*(表成绩单[语文]&lt;9E+307)*(表成绩单[语文]&gt;表成绩单[[#This Row],[语文]]))+1)</f>
        <v>105</v>
      </c>
      <c r="Q1687" s="29" cm="1">
        <f t="array" ref="Q1687">IF(表成绩单[[#This Row],[数学]]="","",SUMPRODUCT((表成绩单[考试日期]=表成绩单[[#This Row],[考试日期]])*(表成绩单[数学]&lt;9E+307)*(表成绩单[数学]&gt;表成绩单[[#This Row],[数学]]))+1)</f>
        <v>120</v>
      </c>
      <c r="R1687" s="29" cm="1">
        <f t="array" ref="R1687">IF(表成绩单[[#This Row],[英语]]="","",SUMPRODUCT((表成绩单[考试日期]=表成绩单[[#This Row],[考试日期]])*(表成绩单[英语]&lt;9E+307)*(表成绩单[英语]&gt;表成绩单[[#This Row],[英语]]))+1)</f>
        <v>201</v>
      </c>
      <c r="S1687" s="29" cm="1">
        <f t="array" ref="S1687">IF(表成绩单[[#This Row],[物理]]="","",SUMPRODUCT((表成绩单[考试日期]=表成绩单[[#This Row],[考试日期]])*(表成绩单[物理]&lt;9E+307)*(表成绩单[物理]&gt;表成绩单[[#This Row],[物理]]))+1)</f>
        <v>137</v>
      </c>
      <c r="T1687" s="29" cm="1">
        <f t="array" ref="T1687">IF(表成绩单[[#This Row],[化学]]="","",SUMPRODUCT((表成绩单[考试日期]=表成绩单[[#This Row],[考试日期]])*(表成绩单[化学]&lt;9E+307)*(表成绩单[化学]&gt;表成绩单[[#This Row],[化学]]))+1)</f>
        <v>169</v>
      </c>
      <c r="U1687" s="29" cm="1">
        <f t="array" ref="U1687">IF(表成绩单[[#This Row],[政治]]="","",SUMPRODUCT((表成绩单[考试日期]=表成绩单[[#This Row],[考试日期]])*(表成绩单[政治]&lt;9E+307)*(表成绩单[政治]&gt;表成绩单[[#This Row],[政治]]))+1)</f>
        <v>12</v>
      </c>
      <c r="V1687" s="29" cm="1">
        <f t="array" ref="V1687">IF(表成绩单[[#This Row],[历史]]="","",SUMPRODUCT((表成绩单[考试日期]=表成绩单[[#This Row],[考试日期]])*(表成绩单[历史]&lt;9E+307)*(表成绩单[历史]&gt;表成绩单[[#This Row],[历史]]))+1)</f>
        <v>104</v>
      </c>
      <c r="W1687" s="29" cm="1">
        <f t="array" ref="W1687">IF(表成绩单[[#This Row],[总分]]="","",SUMPRODUCT((表成绩单[考试日期]=表成绩单[[#This Row],[考试日期]])*(表成绩单[总分]&lt;9E+307)*(表成绩单[总分]&gt;表成绩单[[#This Row],[总分]]))+1)</f>
        <v>80</v>
      </c>
    </row>
    <row r="1688" ht="28" customHeight="1" spans="4:23">
      <c r="D1688" s="31">
        <v>46030</v>
      </c>
      <c r="E1688" s="29">
        <v>19177235</v>
      </c>
      <c r="F1688" s="29" t="s">
        <v>70</v>
      </c>
      <c r="G1688" s="29" t="s">
        <v>137</v>
      </c>
      <c r="H1688" s="29">
        <v>104</v>
      </c>
      <c r="I1688" s="29">
        <v>94</v>
      </c>
      <c r="J1688" s="29">
        <v>75</v>
      </c>
      <c r="K1688" s="29">
        <v>85</v>
      </c>
      <c r="L1688" s="29">
        <v>79</v>
      </c>
      <c r="M1688" s="29">
        <v>78</v>
      </c>
      <c r="N1688" s="29">
        <v>77</v>
      </c>
      <c r="O1688" s="32">
        <v>592</v>
      </c>
      <c r="P1688" s="29" cm="1">
        <f t="array" ref="P1688">IF(表成绩单[[#This Row],[语文]]="","",SUMPRODUCT((表成绩单[考试日期]=表成绩单[[#This Row],[考试日期]])*(表成绩单[语文]&lt;9E+307)*(表成绩单[语文]&gt;表成绩单[[#This Row],[语文]]))+1)</f>
        <v>82</v>
      </c>
      <c r="Q1688" s="29" cm="1">
        <f t="array" ref="Q1688">IF(表成绩单[[#This Row],[数学]]="","",SUMPRODUCT((表成绩单[考试日期]=表成绩单[[#This Row],[考试日期]])*(表成绩单[数学]&lt;9E+307)*(表成绩单[数学]&gt;表成绩单[[#This Row],[数学]]))+1)</f>
        <v>178</v>
      </c>
      <c r="R1688" s="29" cm="1">
        <f t="array" ref="R1688">IF(表成绩单[[#This Row],[英语]]="","",SUMPRODUCT((表成绩单[考试日期]=表成绩单[[#This Row],[考试日期]])*(表成绩单[英语]&lt;9E+307)*(表成绩单[英语]&gt;表成绩单[[#This Row],[英语]]))+1)</f>
        <v>164</v>
      </c>
      <c r="S1688" s="29" cm="1">
        <f t="array" ref="S1688">IF(表成绩单[[#This Row],[物理]]="","",SUMPRODUCT((表成绩单[考试日期]=表成绩单[[#This Row],[考试日期]])*(表成绩单[物理]&lt;9E+307)*(表成绩单[物理]&gt;表成绩单[[#This Row],[物理]]))+1)</f>
        <v>56</v>
      </c>
      <c r="T1688" s="29" cm="1">
        <f t="array" ref="T1688">IF(表成绩单[[#This Row],[化学]]="","",SUMPRODUCT((表成绩单[考试日期]=表成绩单[[#This Row],[考试日期]])*(表成绩单[化学]&lt;9E+307)*(表成绩单[化学]&gt;表成绩单[[#This Row],[化学]]))+1)</f>
        <v>77</v>
      </c>
      <c r="U1688" s="29" cm="1">
        <f t="array" ref="U1688">IF(表成绩单[[#This Row],[政治]]="","",SUMPRODUCT((表成绩单[考试日期]=表成绩单[[#This Row],[考试日期]])*(表成绩单[政治]&lt;9E+307)*(表成绩单[政治]&gt;表成绩单[[#This Row],[政治]]))+1)</f>
        <v>65</v>
      </c>
      <c r="V1688" s="29" cm="1">
        <f t="array" ref="V1688">IF(表成绩单[[#This Row],[历史]]="","",SUMPRODUCT((表成绩单[考试日期]=表成绩单[[#This Row],[考试日期]])*(表成绩单[历史]&lt;9E+307)*(表成绩单[历史]&gt;表成绩单[[#This Row],[历史]]))+1)</f>
        <v>148</v>
      </c>
      <c r="W1688" s="29" cm="1">
        <f t="array" ref="W1688">IF(表成绩单[[#This Row],[总分]]="","",SUMPRODUCT((表成绩单[考试日期]=表成绩单[[#This Row],[考试日期]])*(表成绩单[总分]&lt;9E+307)*(表成绩单[总分]&gt;表成绩单[[#This Row],[总分]]))+1)</f>
        <v>80</v>
      </c>
    </row>
    <row r="1689" ht="28" customHeight="1" spans="4:23">
      <c r="D1689" s="31">
        <v>46030</v>
      </c>
      <c r="E1689" s="29">
        <v>19174468</v>
      </c>
      <c r="F1689" s="29" t="s">
        <v>73</v>
      </c>
      <c r="G1689" s="29" t="s">
        <v>234</v>
      </c>
      <c r="H1689" s="29">
        <v>102</v>
      </c>
      <c r="I1689" s="29">
        <v>94</v>
      </c>
      <c r="J1689" s="29">
        <v>79</v>
      </c>
      <c r="K1689" s="29">
        <v>86</v>
      </c>
      <c r="L1689" s="29">
        <v>79</v>
      </c>
      <c r="M1689" s="29">
        <v>70</v>
      </c>
      <c r="N1689" s="29">
        <v>81</v>
      </c>
      <c r="O1689" s="32">
        <v>591</v>
      </c>
      <c r="P1689" s="29" cm="1">
        <f t="array" ref="P1689">IF(表成绩单[[#This Row],[语文]]="","",SUMPRODUCT((表成绩单[考试日期]=表成绩单[[#This Row],[考试日期]])*(表成绩单[语文]&lt;9E+307)*(表成绩单[语文]&gt;表成绩单[[#This Row],[语文]]))+1)</f>
        <v>132</v>
      </c>
      <c r="Q1689" s="29" cm="1">
        <f t="array" ref="Q1689">IF(表成绩单[[#This Row],[数学]]="","",SUMPRODUCT((表成绩单[考试日期]=表成绩单[[#This Row],[考试日期]])*(表成绩单[数学]&lt;9E+307)*(表成绩单[数学]&gt;表成绩单[[#This Row],[数学]]))+1)</f>
        <v>178</v>
      </c>
      <c r="R1689" s="29" cm="1">
        <f t="array" ref="R1689">IF(表成绩单[[#This Row],[英语]]="","",SUMPRODUCT((表成绩单[考试日期]=表成绩单[[#This Row],[考试日期]])*(表成绩单[英语]&lt;9E+307)*(表成绩单[英语]&gt;表成绩单[[#This Row],[英语]]))+1)</f>
        <v>50</v>
      </c>
      <c r="S1689" s="29" cm="1">
        <f t="array" ref="S1689">IF(表成绩单[[#This Row],[物理]]="","",SUMPRODUCT((表成绩单[考试日期]=表成绩单[[#This Row],[考试日期]])*(表成绩单[物理]&lt;9E+307)*(表成绩单[物理]&gt;表成绩单[[#This Row],[物理]]))+1)</f>
        <v>42</v>
      </c>
      <c r="T1689" s="29" cm="1">
        <f t="array" ref="T1689">IF(表成绩单[[#This Row],[化学]]="","",SUMPRODUCT((表成绩单[考试日期]=表成绩单[[#This Row],[考试日期]])*(表成绩单[化学]&lt;9E+307)*(表成绩单[化学]&gt;表成绩单[[#This Row],[化学]]))+1)</f>
        <v>77</v>
      </c>
      <c r="U1689" s="29" cm="1">
        <f t="array" ref="U1689">IF(表成绩单[[#This Row],[政治]]="","",SUMPRODUCT((表成绩单[考试日期]=表成绩单[[#This Row],[考试日期]])*(表成绩单[政治]&lt;9E+307)*(表成绩单[政治]&gt;表成绩单[[#This Row],[政治]]))+1)</f>
        <v>274</v>
      </c>
      <c r="V1689" s="29" cm="1">
        <f t="array" ref="V1689">IF(表成绩单[[#This Row],[历史]]="","",SUMPRODUCT((表成绩单[考试日期]=表成绩单[[#This Row],[考试日期]])*(表成绩单[历史]&lt;9E+307)*(表成绩单[历史]&gt;表成绩单[[#This Row],[历史]]))+1)</f>
        <v>60</v>
      </c>
      <c r="W1689" s="29" cm="1">
        <f t="array" ref="W1689">IF(表成绩单[[#This Row],[总分]]="","",SUMPRODUCT((表成绩单[考试日期]=表成绩单[[#This Row],[考试日期]])*(表成绩单[总分]&lt;9E+307)*(表成绩单[总分]&gt;表成绩单[[#This Row],[总分]]))+1)</f>
        <v>83</v>
      </c>
    </row>
    <row r="1690" ht="28" customHeight="1" spans="4:23">
      <c r="D1690" s="31">
        <v>46030</v>
      </c>
      <c r="E1690" s="29">
        <v>19175698</v>
      </c>
      <c r="F1690" s="29" t="s">
        <v>72</v>
      </c>
      <c r="G1690" s="29" t="s">
        <v>333</v>
      </c>
      <c r="H1690" s="29">
        <v>87</v>
      </c>
      <c r="I1690" s="29">
        <v>112</v>
      </c>
      <c r="J1690" s="29">
        <v>76</v>
      </c>
      <c r="K1690" s="29">
        <v>83</v>
      </c>
      <c r="L1690" s="29">
        <v>81</v>
      </c>
      <c r="M1690" s="29">
        <v>78</v>
      </c>
      <c r="N1690" s="29">
        <v>74</v>
      </c>
      <c r="O1690" s="32">
        <v>591</v>
      </c>
      <c r="P1690" s="29" cm="1">
        <f t="array" ref="P1690">IF(表成绩单[[#This Row],[语文]]="","",SUMPRODUCT((表成绩单[考试日期]=表成绩单[[#This Row],[考试日期]])*(表成绩单[语文]&lt;9E+307)*(表成绩单[语文]&gt;表成绩单[[#This Row],[语文]]))+1)</f>
        <v>581</v>
      </c>
      <c r="Q1690" s="29" cm="1">
        <f t="array" ref="Q1690">IF(表成绩单[[#This Row],[数学]]="","",SUMPRODUCT((表成绩单[考试日期]=表成绩单[[#This Row],[考试日期]])*(表成绩单[数学]&lt;9E+307)*(表成绩单[数学]&gt;表成绩单[[#This Row],[数学]]))+1)</f>
        <v>15</v>
      </c>
      <c r="R1690" s="29" cm="1">
        <f t="array" ref="R1690">IF(表成绩单[[#This Row],[英语]]="","",SUMPRODUCT((表成绩单[考试日期]=表成绩单[[#This Row],[考试日期]])*(表成绩单[英语]&lt;9E+307)*(表成绩单[英语]&gt;表成绩单[[#This Row],[英语]]))+1)</f>
        <v>126</v>
      </c>
      <c r="S1690" s="29" cm="1">
        <f t="array" ref="S1690">IF(表成绩单[[#This Row],[物理]]="","",SUMPRODUCT((表成绩单[考试日期]=表成绩单[[#This Row],[考试日期]])*(表成绩单[物理]&lt;9E+307)*(表成绩单[物理]&gt;表成绩单[[#This Row],[物理]]))+1)</f>
        <v>88</v>
      </c>
      <c r="T1690" s="29" cm="1">
        <f t="array" ref="T1690">IF(表成绩单[[#This Row],[化学]]="","",SUMPRODUCT((表成绩单[考试日期]=表成绩单[[#This Row],[考试日期]])*(表成绩单[化学]&lt;9E+307)*(表成绩单[化学]&gt;表成绩单[[#This Row],[化学]]))+1)</f>
        <v>43</v>
      </c>
      <c r="U1690" s="29" cm="1">
        <f t="array" ref="U1690">IF(表成绩单[[#This Row],[政治]]="","",SUMPRODUCT((表成绩单[考试日期]=表成绩单[[#This Row],[考试日期]])*(表成绩单[政治]&lt;9E+307)*(表成绩单[政治]&gt;表成绩单[[#This Row],[政治]]))+1)</f>
        <v>65</v>
      </c>
      <c r="V1690" s="29" cm="1">
        <f t="array" ref="V1690">IF(表成绩单[[#This Row],[历史]]="","",SUMPRODUCT((表成绩单[考试日期]=表成绩单[[#This Row],[考试日期]])*(表成绩单[历史]&lt;9E+307)*(表成绩单[历史]&gt;表成绩单[[#This Row],[历史]]))+1)</f>
        <v>215</v>
      </c>
      <c r="W1690" s="29" cm="1">
        <f t="array" ref="W1690">IF(表成绩单[[#This Row],[总分]]="","",SUMPRODUCT((表成绩单[考试日期]=表成绩单[[#This Row],[考试日期]])*(表成绩单[总分]&lt;9E+307)*(表成绩单[总分]&gt;表成绩单[[#This Row],[总分]]))+1)</f>
        <v>83</v>
      </c>
    </row>
    <row r="1691" ht="28" customHeight="1" spans="4:23">
      <c r="D1691" s="31">
        <v>46030</v>
      </c>
      <c r="E1691" s="29">
        <v>19171080</v>
      </c>
      <c r="F1691" s="29" t="s">
        <v>67</v>
      </c>
      <c r="G1691" s="29" t="s">
        <v>195</v>
      </c>
      <c r="H1691" s="29">
        <v>109</v>
      </c>
      <c r="I1691" s="29">
        <v>95</v>
      </c>
      <c r="J1691" s="29">
        <v>77.5</v>
      </c>
      <c r="K1691" s="29">
        <v>79</v>
      </c>
      <c r="L1691" s="29">
        <v>80</v>
      </c>
      <c r="M1691" s="29">
        <v>68</v>
      </c>
      <c r="N1691" s="29">
        <v>82</v>
      </c>
      <c r="O1691" s="32">
        <v>590.5</v>
      </c>
      <c r="P1691" s="29" cm="1">
        <f t="array" ref="P1691">IF(表成绩单[[#This Row],[语文]]="","",SUMPRODUCT((表成绩单[考试日期]=表成绩单[[#This Row],[考试日期]])*(表成绩单[语文]&lt;9E+307)*(表成绩单[语文]&gt;表成绩单[[#This Row],[语文]]))+1)</f>
        <v>19</v>
      </c>
      <c r="Q1691" s="29" cm="1">
        <f t="array" ref="Q1691">IF(表成绩单[[#This Row],[数学]]="","",SUMPRODUCT((表成绩单[考试日期]=表成绩单[[#This Row],[考试日期]])*(表成绩单[数学]&lt;9E+307)*(表成绩单[数学]&gt;表成绩单[[#This Row],[数学]]))+1)</f>
        <v>167</v>
      </c>
      <c r="R1691" s="29" cm="1">
        <f t="array" ref="R1691">IF(表成绩单[[#This Row],[英语]]="","",SUMPRODUCT((表成绩单[考试日期]=表成绩单[[#This Row],[考试日期]])*(表成绩单[英语]&lt;9E+307)*(表成绩单[英语]&gt;表成绩单[[#This Row],[英语]]))+1)</f>
        <v>89</v>
      </c>
      <c r="S1691" s="29" cm="1">
        <f t="array" ref="S1691">IF(表成绩单[[#This Row],[物理]]="","",SUMPRODUCT((表成绩单[考试日期]=表成绩单[[#This Row],[考试日期]])*(表成绩单[物理]&lt;9E+307)*(表成绩单[物理]&gt;表成绩单[[#This Row],[物理]]))+1)</f>
        <v>153</v>
      </c>
      <c r="T1691" s="29" cm="1">
        <f t="array" ref="T1691">IF(表成绩单[[#This Row],[化学]]="","",SUMPRODUCT((表成绩单[考试日期]=表成绩单[[#This Row],[考试日期]])*(表成绩单[化学]&lt;9E+307)*(表成绩单[化学]&gt;表成绩单[[#This Row],[化学]]))+1)</f>
        <v>60</v>
      </c>
      <c r="U1691" s="29" cm="1">
        <f t="array" ref="U1691">IF(表成绩单[[#This Row],[政治]]="","",SUMPRODUCT((表成绩单[考试日期]=表成绩单[[#This Row],[考试日期]])*(表成绩单[政治]&lt;9E+307)*(表成绩单[政治]&gt;表成绩单[[#This Row],[政治]]))+1)</f>
        <v>336</v>
      </c>
      <c r="V1691" s="29" cm="1">
        <f t="array" ref="V1691">IF(表成绩单[[#This Row],[历史]]="","",SUMPRODUCT((表成绩单[考试日期]=表成绩单[[#This Row],[考试日期]])*(表成绩单[历史]&lt;9E+307)*(表成绩单[历史]&gt;表成绩单[[#This Row],[历史]]))+1)</f>
        <v>41</v>
      </c>
      <c r="W1691" s="29" cm="1">
        <f t="array" ref="W1691">IF(表成绩单[[#This Row],[总分]]="","",SUMPRODUCT((表成绩单[考试日期]=表成绩单[[#This Row],[考试日期]])*(表成绩单[总分]&lt;9E+307)*(表成绩单[总分]&gt;表成绩单[[#This Row],[总分]]))+1)</f>
        <v>85</v>
      </c>
    </row>
    <row r="1692" ht="28" customHeight="1" spans="4:23">
      <c r="D1692" s="31">
        <v>46030</v>
      </c>
      <c r="E1692" s="29">
        <v>19175316</v>
      </c>
      <c r="F1692" s="29" t="s">
        <v>66</v>
      </c>
      <c r="G1692" s="29" t="s">
        <v>272</v>
      </c>
      <c r="H1692" s="29">
        <v>103</v>
      </c>
      <c r="I1692" s="29">
        <v>86</v>
      </c>
      <c r="J1692" s="29">
        <v>74</v>
      </c>
      <c r="K1692" s="29">
        <v>82</v>
      </c>
      <c r="L1692" s="29">
        <v>84</v>
      </c>
      <c r="M1692" s="29">
        <v>78</v>
      </c>
      <c r="N1692" s="29">
        <v>83</v>
      </c>
      <c r="O1692" s="32">
        <v>590</v>
      </c>
      <c r="P1692" s="29" cm="1">
        <f t="array" ref="P1692">IF(表成绩单[[#This Row],[语文]]="","",SUMPRODUCT((表成绩单[考试日期]=表成绩单[[#This Row],[考试日期]])*(表成绩单[语文]&lt;9E+307)*(表成绩单[语文]&gt;表成绩单[[#This Row],[语文]]))+1)</f>
        <v>105</v>
      </c>
      <c r="Q1692" s="29" cm="1">
        <f t="array" ref="Q1692">IF(表成绩单[[#This Row],[数学]]="","",SUMPRODUCT((表成绩单[考试日期]=表成绩单[[#This Row],[考试日期]])*(表成绩单[数学]&lt;9E+307)*(表成绩单[数学]&gt;表成绩单[[#This Row],[数学]]))+1)</f>
        <v>302</v>
      </c>
      <c r="R1692" s="29" cm="1">
        <f t="array" ref="R1692">IF(表成绩单[[#This Row],[英语]]="","",SUMPRODUCT((表成绩单[考试日期]=表成绩单[[#This Row],[考试日期]])*(表成绩单[英语]&lt;9E+307)*(表成绩单[英语]&gt;表成绩单[[#This Row],[英语]]))+1)</f>
        <v>201</v>
      </c>
      <c r="S1692" s="29" cm="1">
        <f t="array" ref="S1692">IF(表成绩单[[#This Row],[物理]]="","",SUMPRODUCT((表成绩单[考试日期]=表成绩单[[#This Row],[考试日期]])*(表成绩单[物理]&lt;9E+307)*(表成绩单[物理]&gt;表成绩单[[#This Row],[物理]]))+1)</f>
        <v>105</v>
      </c>
      <c r="T1692" s="29" cm="1">
        <f t="array" ref="T1692">IF(表成绩单[[#This Row],[化学]]="","",SUMPRODUCT((表成绩单[考试日期]=表成绩单[[#This Row],[考试日期]])*(表成绩单[化学]&lt;9E+307)*(表成绩单[化学]&gt;表成绩单[[#This Row],[化学]]))+1)</f>
        <v>12</v>
      </c>
      <c r="U1692" s="29" cm="1">
        <f t="array" ref="U1692">IF(表成绩单[[#This Row],[政治]]="","",SUMPRODUCT((表成绩单[考试日期]=表成绩单[[#This Row],[考试日期]])*(表成绩单[政治]&lt;9E+307)*(表成绩单[政治]&gt;表成绩单[[#This Row],[政治]]))+1)</f>
        <v>65</v>
      </c>
      <c r="V1692" s="29" cm="1">
        <f t="array" ref="V1692">IF(表成绩单[[#This Row],[历史]]="","",SUMPRODUCT((表成绩单[考试日期]=表成绩单[[#This Row],[考试日期]])*(表成绩单[历史]&lt;9E+307)*(表成绩单[历史]&gt;表成绩单[[#This Row],[历史]]))+1)</f>
        <v>32</v>
      </c>
      <c r="W1692" s="29" cm="1">
        <f t="array" ref="W1692">IF(表成绩单[[#This Row],[总分]]="","",SUMPRODUCT((表成绩单[考试日期]=表成绩单[[#This Row],[考试日期]])*(表成绩单[总分]&lt;9E+307)*(表成绩单[总分]&gt;表成绩单[[#This Row],[总分]]))+1)</f>
        <v>86</v>
      </c>
    </row>
    <row r="1693" ht="28" customHeight="1" spans="4:23">
      <c r="D1693" s="31">
        <v>46030</v>
      </c>
      <c r="E1693" s="29">
        <v>19178573</v>
      </c>
      <c r="F1693" s="29" t="s">
        <v>64</v>
      </c>
      <c r="G1693" s="29" t="s">
        <v>284</v>
      </c>
      <c r="H1693" s="29">
        <v>104</v>
      </c>
      <c r="I1693" s="29">
        <v>102</v>
      </c>
      <c r="J1693" s="29">
        <v>79</v>
      </c>
      <c r="K1693" s="29">
        <v>83</v>
      </c>
      <c r="L1693" s="29">
        <v>78</v>
      </c>
      <c r="M1693" s="29">
        <v>63</v>
      </c>
      <c r="N1693" s="29">
        <v>81</v>
      </c>
      <c r="O1693" s="32">
        <v>590</v>
      </c>
      <c r="P1693" s="29" cm="1">
        <f t="array" ref="P1693">IF(表成绩单[[#This Row],[语文]]="","",SUMPRODUCT((表成绩单[考试日期]=表成绩单[[#This Row],[考试日期]])*(表成绩单[语文]&lt;9E+307)*(表成绩单[语文]&gt;表成绩单[[#This Row],[语文]]))+1)</f>
        <v>82</v>
      </c>
      <c r="Q1693" s="29" cm="1">
        <f t="array" ref="Q1693">IF(表成绩单[[#This Row],[数学]]="","",SUMPRODUCT((表成绩单[考试日期]=表成绩单[[#This Row],[考试日期]])*(表成绩单[数学]&lt;9E+307)*(表成绩单[数学]&gt;表成绩单[[#This Row],[数学]]))+1)</f>
        <v>95</v>
      </c>
      <c r="R1693" s="29" cm="1">
        <f t="array" ref="R1693">IF(表成绩单[[#This Row],[英语]]="","",SUMPRODUCT((表成绩单[考试日期]=表成绩单[[#This Row],[考试日期]])*(表成绩单[英语]&lt;9E+307)*(表成绩单[英语]&gt;表成绩单[[#This Row],[英语]]))+1)</f>
        <v>50</v>
      </c>
      <c r="S1693" s="29" cm="1">
        <f t="array" ref="S1693">IF(表成绩单[[#This Row],[物理]]="","",SUMPRODUCT((表成绩单[考试日期]=表成绩单[[#This Row],[考试日期]])*(表成绩单[物理]&lt;9E+307)*(表成绩单[物理]&gt;表成绩单[[#This Row],[物理]]))+1)</f>
        <v>88</v>
      </c>
      <c r="T1693" s="29" cm="1">
        <f t="array" ref="T1693">IF(表成绩单[[#This Row],[化学]]="","",SUMPRODUCT((表成绩单[考试日期]=表成绩单[[#This Row],[考试日期]])*(表成绩单[化学]&lt;9E+307)*(表成绩单[化学]&gt;表成绩单[[#This Row],[化学]]))+1)</f>
        <v>93</v>
      </c>
      <c r="U1693" s="29" cm="1">
        <f t="array" ref="U1693">IF(表成绩单[[#This Row],[政治]]="","",SUMPRODUCT((表成绩单[考试日期]=表成绩单[[#This Row],[考试日期]])*(表成绩单[政治]&lt;9E+307)*(表成绩单[政治]&gt;表成绩单[[#This Row],[政治]]))+1)</f>
        <v>486</v>
      </c>
      <c r="V1693" s="29" cm="1">
        <f t="array" ref="V1693">IF(表成绩单[[#This Row],[历史]]="","",SUMPRODUCT((表成绩单[考试日期]=表成绩单[[#This Row],[考试日期]])*(表成绩单[历史]&lt;9E+307)*(表成绩单[历史]&gt;表成绩单[[#This Row],[历史]]))+1)</f>
        <v>60</v>
      </c>
      <c r="W1693" s="29" cm="1">
        <f t="array" ref="W1693">IF(表成绩单[[#This Row],[总分]]="","",SUMPRODUCT((表成绩单[考试日期]=表成绩单[[#This Row],[考试日期]])*(表成绩单[总分]&lt;9E+307)*(表成绩单[总分]&gt;表成绩单[[#This Row],[总分]]))+1)</f>
        <v>86</v>
      </c>
    </row>
    <row r="1694" ht="28" customHeight="1" spans="4:23">
      <c r="D1694" s="31">
        <v>46030</v>
      </c>
      <c r="E1694" s="29">
        <v>19175420</v>
      </c>
      <c r="F1694" s="29" t="s">
        <v>74</v>
      </c>
      <c r="G1694" s="29" t="s">
        <v>129</v>
      </c>
      <c r="H1694" s="29">
        <v>106</v>
      </c>
      <c r="I1694" s="29">
        <v>96</v>
      </c>
      <c r="J1694" s="29">
        <v>71.5</v>
      </c>
      <c r="K1694" s="29">
        <v>87</v>
      </c>
      <c r="L1694" s="29">
        <v>75</v>
      </c>
      <c r="M1694" s="29">
        <v>80</v>
      </c>
      <c r="N1694" s="29">
        <v>74</v>
      </c>
      <c r="O1694" s="32">
        <v>589.5</v>
      </c>
      <c r="P1694" s="29" cm="1">
        <f t="array" ref="P1694">IF(表成绩单[[#This Row],[语文]]="","",SUMPRODUCT((表成绩单[考试日期]=表成绩单[[#This Row],[考试日期]])*(表成绩单[语文]&lt;9E+307)*(表成绩单[语文]&gt;表成绩单[[#This Row],[语文]]))+1)</f>
        <v>50</v>
      </c>
      <c r="Q1694" s="29" cm="1">
        <f t="array" ref="Q1694">IF(表成绩单[[#This Row],[数学]]="","",SUMPRODUCT((表成绩单[考试日期]=表成绩单[[#This Row],[考试日期]])*(表成绩单[数学]&lt;9E+307)*(表成绩单[数学]&gt;表成绩单[[#This Row],[数学]]))+1)</f>
        <v>154</v>
      </c>
      <c r="R1694" s="29" cm="1">
        <f t="array" ref="R1694">IF(表成绩单[[#This Row],[英语]]="","",SUMPRODUCT((表成绩单[考试日期]=表成绩单[[#This Row],[考试日期]])*(表成绩单[英语]&lt;9E+307)*(表成绩单[英语]&gt;表成绩单[[#This Row],[英语]]))+1)</f>
        <v>271</v>
      </c>
      <c r="S1694" s="29" cm="1">
        <f t="array" ref="S1694">IF(表成绩单[[#This Row],[物理]]="","",SUMPRODUCT((表成绩单[考试日期]=表成绩单[[#This Row],[考试日期]])*(表成绩单[物理]&lt;9E+307)*(表成绩单[物理]&gt;表成绩单[[#This Row],[物理]]))+1)</f>
        <v>27</v>
      </c>
      <c r="T1694" s="29" cm="1">
        <f t="array" ref="T1694">IF(表成绩单[[#This Row],[化学]]="","",SUMPRODUCT((表成绩单[考试日期]=表成绩单[[#This Row],[考试日期]])*(表成绩单[化学]&lt;9E+307)*(表成绩单[化学]&gt;表成绩单[[#This Row],[化学]]))+1)</f>
        <v>169</v>
      </c>
      <c r="U1694" s="29" cm="1">
        <f t="array" ref="U1694">IF(表成绩单[[#This Row],[政治]]="","",SUMPRODUCT((表成绩单[考试日期]=表成绩单[[#This Row],[考试日期]])*(表成绩单[政治]&lt;9E+307)*(表成绩单[政治]&gt;表成绩单[[#This Row],[政治]]))+1)</f>
        <v>28</v>
      </c>
      <c r="V1694" s="29" cm="1">
        <f t="array" ref="V1694">IF(表成绩单[[#This Row],[历史]]="","",SUMPRODUCT((表成绩单[考试日期]=表成绩单[[#This Row],[考试日期]])*(表成绩单[历史]&lt;9E+307)*(表成绩单[历史]&gt;表成绩单[[#This Row],[历史]]))+1)</f>
        <v>215</v>
      </c>
      <c r="W1694" s="29" cm="1">
        <f t="array" ref="W1694">IF(表成绩单[[#This Row],[总分]]="","",SUMPRODUCT((表成绩单[考试日期]=表成绩单[[#This Row],[考试日期]])*(表成绩单[总分]&lt;9E+307)*(表成绩单[总分]&gt;表成绩单[[#This Row],[总分]]))+1)</f>
        <v>88</v>
      </c>
    </row>
    <row r="1695" ht="28" customHeight="1" spans="4:23">
      <c r="D1695" s="31">
        <v>46030</v>
      </c>
      <c r="E1695" s="29">
        <v>19177199</v>
      </c>
      <c r="F1695" s="29" t="s">
        <v>70</v>
      </c>
      <c r="G1695" s="29" t="s">
        <v>161</v>
      </c>
      <c r="H1695" s="29">
        <v>100</v>
      </c>
      <c r="I1695" s="29">
        <v>115</v>
      </c>
      <c r="J1695" s="29">
        <v>74.5</v>
      </c>
      <c r="K1695" s="29">
        <v>83</v>
      </c>
      <c r="L1695" s="29">
        <v>82</v>
      </c>
      <c r="M1695" s="29">
        <v>73</v>
      </c>
      <c r="N1695" s="29">
        <v>62</v>
      </c>
      <c r="O1695" s="32">
        <v>589.5</v>
      </c>
      <c r="P1695" s="29" cm="1">
        <f t="array" ref="P1695">IF(表成绩单[[#This Row],[语文]]="","",SUMPRODUCT((表成绩单[考试日期]=表成绩单[[#This Row],[考试日期]])*(表成绩单[语文]&lt;9E+307)*(表成绩单[语文]&gt;表成绩单[[#This Row],[语文]]))+1)</f>
        <v>182</v>
      </c>
      <c r="Q1695" s="29" cm="1">
        <f t="array" ref="Q1695">IF(表成绩单[[#This Row],[数学]]="","",SUMPRODUCT((表成绩单[考试日期]=表成绩单[[#This Row],[考试日期]])*(表成绩单[数学]&lt;9E+307)*(表成绩单[数学]&gt;表成绩单[[#This Row],[数学]]))+1)</f>
        <v>6</v>
      </c>
      <c r="R1695" s="29" cm="1">
        <f t="array" ref="R1695">IF(表成绩单[[#This Row],[英语]]="","",SUMPRODUCT((表成绩单[考试日期]=表成绩单[[#This Row],[考试日期]])*(表成绩单[英语]&lt;9E+307)*(表成绩单[英语]&gt;表成绩单[[#This Row],[英语]]))+1)</f>
        <v>181</v>
      </c>
      <c r="S1695" s="29" cm="1">
        <f t="array" ref="S1695">IF(表成绩单[[#This Row],[物理]]="","",SUMPRODUCT((表成绩单[考试日期]=表成绩单[[#This Row],[考试日期]])*(表成绩单[物理]&lt;9E+307)*(表成绩单[物理]&gt;表成绩单[[#This Row],[物理]]))+1)</f>
        <v>88</v>
      </c>
      <c r="T1695" s="29" cm="1">
        <f t="array" ref="T1695">IF(表成绩单[[#This Row],[化学]]="","",SUMPRODUCT((表成绩单[考试日期]=表成绩单[[#This Row],[考试日期]])*(表成绩单[化学]&lt;9E+307)*(表成绩单[化学]&gt;表成绩单[[#This Row],[化学]]))+1)</f>
        <v>23</v>
      </c>
      <c r="U1695" s="29" cm="1">
        <f t="array" ref="U1695">IF(表成绩单[[#This Row],[政治]]="","",SUMPRODUCT((表成绩单[考试日期]=表成绩单[[#This Row],[考试日期]])*(表成绩单[政治]&lt;9E+307)*(表成绩单[政治]&gt;表成绩单[[#This Row],[政治]]))+1)</f>
        <v>197</v>
      </c>
      <c r="V1695" s="29" cm="1">
        <f t="array" ref="V1695">IF(表成绩单[[#This Row],[历史]]="","",SUMPRODUCT((表成绩单[考试日期]=表成绩单[[#This Row],[考试日期]])*(表成绩单[历史]&lt;9E+307)*(表成绩单[历史]&gt;表成绩单[[#This Row],[历史]]))+1)</f>
        <v>545</v>
      </c>
      <c r="W1695" s="29" cm="1">
        <f t="array" ref="W1695">IF(表成绩单[[#This Row],[总分]]="","",SUMPRODUCT((表成绩单[考试日期]=表成绩单[[#This Row],[考试日期]])*(表成绩单[总分]&lt;9E+307)*(表成绩单[总分]&gt;表成绩单[[#This Row],[总分]]))+1)</f>
        <v>88</v>
      </c>
    </row>
    <row r="1696" ht="28" customHeight="1" spans="4:23">
      <c r="D1696" s="31">
        <v>46030</v>
      </c>
      <c r="E1696" s="29">
        <v>19174450</v>
      </c>
      <c r="F1696" s="29" t="s">
        <v>73</v>
      </c>
      <c r="G1696" s="29" t="s">
        <v>90</v>
      </c>
      <c r="H1696" s="29">
        <v>95</v>
      </c>
      <c r="I1696" s="29">
        <v>106</v>
      </c>
      <c r="J1696" s="29">
        <v>82</v>
      </c>
      <c r="K1696" s="29">
        <v>81</v>
      </c>
      <c r="L1696" s="29">
        <v>76</v>
      </c>
      <c r="M1696" s="29">
        <v>77</v>
      </c>
      <c r="N1696" s="29">
        <v>71</v>
      </c>
      <c r="O1696" s="32">
        <v>588</v>
      </c>
      <c r="P1696" s="29" cm="1">
        <f t="array" ref="P1696">IF(表成绩单[[#This Row],[语文]]="","",SUMPRODUCT((表成绩单[考试日期]=表成绩单[[#This Row],[考试日期]])*(表成绩单[语文]&lt;9E+307)*(表成绩单[语文]&gt;表成绩单[[#This Row],[语文]]))+1)</f>
        <v>342</v>
      </c>
      <c r="Q1696" s="29" cm="1">
        <f t="array" ref="Q1696">IF(表成绩单[[#This Row],[数学]]="","",SUMPRODUCT((表成绩单[考试日期]=表成绩单[[#This Row],[考试日期]])*(表成绩单[数学]&lt;9E+307)*(表成绩单[数学]&gt;表成绩单[[#This Row],[数学]]))+1)</f>
        <v>50</v>
      </c>
      <c r="R1696" s="29" cm="1">
        <f t="array" ref="R1696">IF(表成绩单[[#This Row],[英语]]="","",SUMPRODUCT((表成绩单[考试日期]=表成绩单[[#This Row],[考试日期]])*(表成绩单[英语]&lt;9E+307)*(表成绩单[英语]&gt;表成绩单[[#This Row],[英语]]))+1)</f>
        <v>11</v>
      </c>
      <c r="S1696" s="29" cm="1">
        <f t="array" ref="S1696">IF(表成绩单[[#This Row],[物理]]="","",SUMPRODUCT((表成绩单[考试日期]=表成绩单[[#This Row],[考试日期]])*(表成绩单[物理]&lt;9E+307)*(表成绩单[物理]&gt;表成绩单[[#This Row],[物理]]))+1)</f>
        <v>119</v>
      </c>
      <c r="T1696" s="29" cm="1">
        <f t="array" ref="T1696">IF(表成绩单[[#This Row],[化学]]="","",SUMPRODUCT((表成绩单[考试日期]=表成绩单[[#This Row],[考试日期]])*(表成绩单[化学]&lt;9E+307)*(表成绩单[化学]&gt;表成绩单[[#This Row],[化学]]))+1)</f>
        <v>139</v>
      </c>
      <c r="U1696" s="29" cm="1">
        <f t="array" ref="U1696">IF(表成绩单[[#This Row],[政治]]="","",SUMPRODUCT((表成绩单[考试日期]=表成绩单[[#This Row],[考试日期]])*(表成绩单[政治]&lt;9E+307)*(表成绩单[政治]&gt;表成绩单[[#This Row],[政治]]))+1)</f>
        <v>88</v>
      </c>
      <c r="V1696" s="29" cm="1">
        <f t="array" ref="V1696">IF(表成绩单[[#This Row],[历史]]="","",SUMPRODUCT((表成绩单[考试日期]=表成绩单[[#This Row],[考试日期]])*(表成绩单[历史]&lt;9E+307)*(表成绩单[历史]&gt;表成绩单[[#This Row],[历史]]))+1)</f>
        <v>297</v>
      </c>
      <c r="W1696" s="29" cm="1">
        <f t="array" ref="W1696">IF(表成绩单[[#This Row],[总分]]="","",SUMPRODUCT((表成绩单[考试日期]=表成绩单[[#This Row],[考试日期]])*(表成绩单[总分]&lt;9E+307)*(表成绩单[总分]&gt;表成绩单[[#This Row],[总分]]))+1)</f>
        <v>90</v>
      </c>
    </row>
    <row r="1697" ht="28" customHeight="1" spans="4:23">
      <c r="D1697" s="31">
        <v>46030</v>
      </c>
      <c r="E1697" s="29">
        <v>19175381</v>
      </c>
      <c r="F1697" s="29" t="s">
        <v>74</v>
      </c>
      <c r="G1697" s="29" t="s">
        <v>260</v>
      </c>
      <c r="H1697" s="29">
        <v>101</v>
      </c>
      <c r="I1697" s="29">
        <v>93</v>
      </c>
      <c r="J1697" s="29">
        <v>77</v>
      </c>
      <c r="K1697" s="29">
        <v>86</v>
      </c>
      <c r="L1697" s="29">
        <v>78</v>
      </c>
      <c r="M1697" s="29">
        <v>76</v>
      </c>
      <c r="N1697" s="29">
        <v>77</v>
      </c>
      <c r="O1697" s="32">
        <v>588</v>
      </c>
      <c r="P1697" s="29" cm="1">
        <f t="array" ref="P1697">IF(表成绩单[[#This Row],[语文]]="","",SUMPRODUCT((表成绩单[考试日期]=表成绩单[[#This Row],[考试日期]])*(表成绩单[语文]&lt;9E+307)*(表成绩单[语文]&gt;表成绩单[[#This Row],[语文]]))+1)</f>
        <v>159</v>
      </c>
      <c r="Q1697" s="29" cm="1">
        <f t="array" ref="Q1697">IF(表成绩单[[#This Row],[数学]]="","",SUMPRODUCT((表成绩单[考试日期]=表成绩单[[#This Row],[考试日期]])*(表成绩单[数学]&lt;9E+307)*(表成绩单[数学]&gt;表成绩单[[#This Row],[数学]]))+1)</f>
        <v>188</v>
      </c>
      <c r="R1697" s="29" cm="1">
        <f t="array" ref="R1697">IF(表成绩单[[#This Row],[英语]]="","",SUMPRODUCT((表成绩单[考试日期]=表成绩单[[#This Row],[考试日期]])*(表成绩单[英语]&lt;9E+307)*(表成绩单[英语]&gt;表成绩单[[#This Row],[英语]]))+1)</f>
        <v>107</v>
      </c>
      <c r="S1697" s="29" cm="1">
        <f t="array" ref="S1697">IF(表成绩单[[#This Row],[物理]]="","",SUMPRODUCT((表成绩单[考试日期]=表成绩单[[#This Row],[考试日期]])*(表成绩单[物理]&lt;9E+307)*(表成绩单[物理]&gt;表成绩单[[#This Row],[物理]]))+1)</f>
        <v>42</v>
      </c>
      <c r="T1697" s="29" cm="1">
        <f t="array" ref="T1697">IF(表成绩单[[#This Row],[化学]]="","",SUMPRODUCT((表成绩单[考试日期]=表成绩单[[#This Row],[考试日期]])*(表成绩单[化学]&lt;9E+307)*(表成绩单[化学]&gt;表成绩单[[#This Row],[化学]]))+1)</f>
        <v>93</v>
      </c>
      <c r="U1697" s="29" cm="1">
        <f t="array" ref="U1697">IF(表成绩单[[#This Row],[政治]]="","",SUMPRODUCT((表成绩单[考试日期]=表成绩单[[#This Row],[考试日期]])*(表成绩单[政治]&lt;9E+307)*(表成绩单[政治]&gt;表成绩单[[#This Row],[政治]]))+1)</f>
        <v>111</v>
      </c>
      <c r="V1697" s="29" cm="1">
        <f t="array" ref="V1697">IF(表成绩单[[#This Row],[历史]]="","",SUMPRODUCT((表成绩单[考试日期]=表成绩单[[#This Row],[考试日期]])*(表成绩单[历史]&lt;9E+307)*(表成绩单[历史]&gt;表成绩单[[#This Row],[历史]]))+1)</f>
        <v>148</v>
      </c>
      <c r="W1697" s="29" cm="1">
        <f t="array" ref="W1697">IF(表成绩单[[#This Row],[总分]]="","",SUMPRODUCT((表成绩单[考试日期]=表成绩单[[#This Row],[考试日期]])*(表成绩单[总分]&lt;9E+307)*(表成绩单[总分]&gt;表成绩单[[#This Row],[总分]]))+1)</f>
        <v>90</v>
      </c>
    </row>
    <row r="1698" ht="28" customHeight="1" spans="4:23">
      <c r="D1698" s="31">
        <v>46030</v>
      </c>
      <c r="E1698" s="29">
        <v>19177218</v>
      </c>
      <c r="F1698" s="29" t="s">
        <v>70</v>
      </c>
      <c r="G1698" s="29" t="s">
        <v>121</v>
      </c>
      <c r="H1698" s="29">
        <v>103</v>
      </c>
      <c r="I1698" s="29">
        <v>113</v>
      </c>
      <c r="J1698" s="29">
        <v>76</v>
      </c>
      <c r="K1698" s="29">
        <v>79</v>
      </c>
      <c r="L1698" s="29">
        <v>73</v>
      </c>
      <c r="M1698" s="29">
        <v>74</v>
      </c>
      <c r="N1698" s="29">
        <v>70</v>
      </c>
      <c r="O1698" s="32">
        <v>588</v>
      </c>
      <c r="P1698" s="29" cm="1">
        <f t="array" ref="P1698">IF(表成绩单[[#This Row],[语文]]="","",SUMPRODUCT((表成绩单[考试日期]=表成绩单[[#This Row],[考试日期]])*(表成绩单[语文]&lt;9E+307)*(表成绩单[语文]&gt;表成绩单[[#This Row],[语文]]))+1)</f>
        <v>105</v>
      </c>
      <c r="Q1698" s="29" cm="1">
        <f t="array" ref="Q1698">IF(表成绩单[[#This Row],[数学]]="","",SUMPRODUCT((表成绩单[考试日期]=表成绩单[[#This Row],[考试日期]])*(表成绩单[数学]&lt;9E+307)*(表成绩单[数学]&gt;表成绩单[[#This Row],[数学]]))+1)</f>
        <v>11</v>
      </c>
      <c r="R1698" s="29" cm="1">
        <f t="array" ref="R1698">IF(表成绩单[[#This Row],[英语]]="","",SUMPRODUCT((表成绩单[考试日期]=表成绩单[[#This Row],[考试日期]])*(表成绩单[英语]&lt;9E+307)*(表成绩单[英语]&gt;表成绩单[[#This Row],[英语]]))+1)</f>
        <v>126</v>
      </c>
      <c r="S1698" s="29" cm="1">
        <f t="array" ref="S1698">IF(表成绩单[[#This Row],[物理]]="","",SUMPRODUCT((表成绩单[考试日期]=表成绩单[[#This Row],[考试日期]])*(表成绩单[物理]&lt;9E+307)*(表成绩单[物理]&gt;表成绩单[[#This Row],[物理]]))+1)</f>
        <v>153</v>
      </c>
      <c r="T1698" s="29" cm="1">
        <f t="array" ref="T1698">IF(表成绩单[[#This Row],[化学]]="","",SUMPRODUCT((表成绩单[考试日期]=表成绩单[[#This Row],[考试日期]])*(表成绩单[化学]&lt;9E+307)*(表成绩单[化学]&gt;表成绩单[[#This Row],[化学]]))+1)</f>
        <v>236</v>
      </c>
      <c r="U1698" s="29" cm="1">
        <f t="array" ref="U1698">IF(表成绩单[[#This Row],[政治]]="","",SUMPRODUCT((表成绩单[考试日期]=表成绩单[[#This Row],[考试日期]])*(表成绩单[政治]&lt;9E+307)*(表成绩单[政治]&gt;表成绩单[[#This Row],[政治]]))+1)</f>
        <v>168</v>
      </c>
      <c r="V1698" s="29" cm="1">
        <f t="array" ref="V1698">IF(表成绩单[[#This Row],[历史]]="","",SUMPRODUCT((表成绩单[考试日期]=表成绩单[[#This Row],[考试日期]])*(表成绩单[历史]&lt;9E+307)*(表成绩单[历史]&gt;表成绩单[[#This Row],[历史]]))+1)</f>
        <v>328</v>
      </c>
      <c r="W1698" s="29" cm="1">
        <f t="array" ref="W1698">IF(表成绩单[[#This Row],[总分]]="","",SUMPRODUCT((表成绩单[考试日期]=表成绩单[[#This Row],[考试日期]])*(表成绩单[总分]&lt;9E+307)*(表成绩单[总分]&gt;表成绩单[[#This Row],[总分]]))+1)</f>
        <v>90</v>
      </c>
    </row>
    <row r="1699" ht="28" customHeight="1" spans="4:23">
      <c r="D1699" s="31">
        <v>46030</v>
      </c>
      <c r="E1699" s="29">
        <v>19174439</v>
      </c>
      <c r="F1699" s="29" t="s">
        <v>73</v>
      </c>
      <c r="G1699" s="29" t="s">
        <v>202</v>
      </c>
      <c r="H1699" s="29">
        <v>105</v>
      </c>
      <c r="I1699" s="29">
        <v>93</v>
      </c>
      <c r="J1699" s="29">
        <v>78.5</v>
      </c>
      <c r="K1699" s="29">
        <v>86</v>
      </c>
      <c r="L1699" s="29">
        <v>73</v>
      </c>
      <c r="M1699" s="29">
        <v>74</v>
      </c>
      <c r="N1699" s="29">
        <v>78</v>
      </c>
      <c r="O1699" s="32">
        <v>587.5</v>
      </c>
      <c r="P1699" s="29" cm="1">
        <f t="array" ref="P1699">IF(表成绩单[[#This Row],[语文]]="","",SUMPRODUCT((表成绩单[考试日期]=表成绩单[[#This Row],[考试日期]])*(表成绩单[语文]&lt;9E+307)*(表成绩单[语文]&gt;表成绩单[[#This Row],[语文]]))+1)</f>
        <v>62</v>
      </c>
      <c r="Q1699" s="29" cm="1">
        <f t="array" ref="Q1699">IF(表成绩单[[#This Row],[数学]]="","",SUMPRODUCT((表成绩单[考试日期]=表成绩单[[#This Row],[考试日期]])*(表成绩单[数学]&lt;9E+307)*(表成绩单[数学]&gt;表成绩单[[#This Row],[数学]]))+1)</f>
        <v>188</v>
      </c>
      <c r="R1699" s="29" cm="1">
        <f t="array" ref="R1699">IF(表成绩单[[#This Row],[英语]]="","",SUMPRODUCT((表成绩单[考试日期]=表成绩单[[#This Row],[考试日期]])*(表成绩单[英语]&lt;9E+307)*(表成绩单[英语]&gt;表成绩单[[#This Row],[英语]]))+1)</f>
        <v>64</v>
      </c>
      <c r="S1699" s="29" cm="1">
        <f t="array" ref="S1699">IF(表成绩单[[#This Row],[物理]]="","",SUMPRODUCT((表成绩单[考试日期]=表成绩单[[#This Row],[考试日期]])*(表成绩单[物理]&lt;9E+307)*(表成绩单[物理]&gt;表成绩单[[#This Row],[物理]]))+1)</f>
        <v>42</v>
      </c>
      <c r="T1699" s="29" cm="1">
        <f t="array" ref="T1699">IF(表成绩单[[#This Row],[化学]]="","",SUMPRODUCT((表成绩单[考试日期]=表成绩单[[#This Row],[考试日期]])*(表成绩单[化学]&lt;9E+307)*(表成绩单[化学]&gt;表成绩单[[#This Row],[化学]]))+1)</f>
        <v>236</v>
      </c>
      <c r="U1699" s="29" cm="1">
        <f t="array" ref="U1699">IF(表成绩单[[#This Row],[政治]]="","",SUMPRODUCT((表成绩单[考试日期]=表成绩单[[#This Row],[考试日期]])*(表成绩单[政治]&lt;9E+307)*(表成绩单[政治]&gt;表成绩单[[#This Row],[政治]]))+1)</f>
        <v>168</v>
      </c>
      <c r="V1699" s="29" cm="1">
        <f t="array" ref="V1699">IF(表成绩单[[#This Row],[历史]]="","",SUMPRODUCT((表成绩单[考试日期]=表成绩单[[#This Row],[考试日期]])*(表成绩单[历史]&lt;9E+307)*(表成绩单[历史]&gt;表成绩单[[#This Row],[历史]]))+1)</f>
        <v>126</v>
      </c>
      <c r="W1699" s="29" cm="1">
        <f t="array" ref="W1699">IF(表成绩单[[#This Row],[总分]]="","",SUMPRODUCT((表成绩单[考试日期]=表成绩单[[#This Row],[考试日期]])*(表成绩单[总分]&lt;9E+307)*(表成绩单[总分]&gt;表成绩单[[#This Row],[总分]]))+1)</f>
        <v>93</v>
      </c>
    </row>
    <row r="1700" ht="28" customHeight="1" spans="4:23">
      <c r="D1700" s="31">
        <v>46030</v>
      </c>
      <c r="E1700" s="29">
        <v>19174811</v>
      </c>
      <c r="F1700" s="29" t="s">
        <v>69</v>
      </c>
      <c r="G1700" s="29" t="s">
        <v>110</v>
      </c>
      <c r="H1700" s="29">
        <v>102</v>
      </c>
      <c r="I1700" s="29">
        <v>108</v>
      </c>
      <c r="J1700" s="29">
        <v>74.5</v>
      </c>
      <c r="K1700" s="29">
        <v>85</v>
      </c>
      <c r="L1700" s="29">
        <v>69</v>
      </c>
      <c r="M1700" s="29">
        <v>69</v>
      </c>
      <c r="N1700" s="29">
        <v>80</v>
      </c>
      <c r="O1700" s="32">
        <v>587.5</v>
      </c>
      <c r="P1700" s="29" cm="1">
        <f t="array" ref="P1700">IF(表成绩单[[#This Row],[语文]]="","",SUMPRODUCT((表成绩单[考试日期]=表成绩单[[#This Row],[考试日期]])*(表成绩单[语文]&lt;9E+307)*(表成绩单[语文]&gt;表成绩单[[#This Row],[语文]]))+1)</f>
        <v>132</v>
      </c>
      <c r="Q1700" s="29" cm="1">
        <f t="array" ref="Q1700">IF(表成绩单[[#This Row],[数学]]="","",SUMPRODUCT((表成绩单[考试日期]=表成绩单[[#This Row],[考试日期]])*(表成绩单[数学]&lt;9E+307)*(表成绩单[数学]&gt;表成绩单[[#This Row],[数学]]))+1)</f>
        <v>44</v>
      </c>
      <c r="R1700" s="29" cm="1">
        <f t="array" ref="R1700">IF(表成绩单[[#This Row],[英语]]="","",SUMPRODUCT((表成绩单[考试日期]=表成绩单[[#This Row],[考试日期]])*(表成绩单[英语]&lt;9E+307)*(表成绩单[英语]&gt;表成绩单[[#This Row],[英语]]))+1)</f>
        <v>181</v>
      </c>
      <c r="S1700" s="29" cm="1">
        <f t="array" ref="S1700">IF(表成绩单[[#This Row],[物理]]="","",SUMPRODUCT((表成绩单[考试日期]=表成绩单[[#This Row],[考试日期]])*(表成绩单[物理]&lt;9E+307)*(表成绩单[物理]&gt;表成绩单[[#This Row],[物理]]))+1)</f>
        <v>56</v>
      </c>
      <c r="T1700" s="29" cm="1">
        <f t="array" ref="T1700">IF(表成绩单[[#This Row],[化学]]="","",SUMPRODUCT((表成绩单[考试日期]=表成绩单[[#This Row],[考试日期]])*(表成绩单[化学]&lt;9E+307)*(表成绩单[化学]&gt;表成绩单[[#This Row],[化学]]))+1)</f>
        <v>339</v>
      </c>
      <c r="U1700" s="29" cm="1">
        <f t="array" ref="U1700">IF(表成绩单[[#This Row],[政治]]="","",SUMPRODUCT((表成绩单[考试日期]=表成绩单[[#This Row],[考试日期]])*(表成绩单[政治]&lt;9E+307)*(表成绩单[政治]&gt;表成绩单[[#This Row],[政治]]))+1)</f>
        <v>308</v>
      </c>
      <c r="V1700" s="29" cm="1">
        <f t="array" ref="V1700">IF(表成绩单[[#This Row],[历史]]="","",SUMPRODUCT((表成绩单[考试日期]=表成绩单[[#This Row],[考试日期]])*(表成绩单[历史]&lt;9E+307)*(表成绩单[历史]&gt;表成绩单[[#This Row],[历史]]))+1)</f>
        <v>83</v>
      </c>
      <c r="W1700" s="29" cm="1">
        <f t="array" ref="W1700">IF(表成绩单[[#This Row],[总分]]="","",SUMPRODUCT((表成绩单[考试日期]=表成绩单[[#This Row],[考试日期]])*(表成绩单[总分]&lt;9E+307)*(表成绩单[总分]&gt;表成绩单[[#This Row],[总分]]))+1)</f>
        <v>93</v>
      </c>
    </row>
    <row r="1701" ht="28" customHeight="1" spans="4:23">
      <c r="D1701" s="31">
        <v>46030</v>
      </c>
      <c r="E1701" s="29">
        <v>19176878</v>
      </c>
      <c r="F1701" s="29" t="s">
        <v>71</v>
      </c>
      <c r="G1701" s="29" t="s">
        <v>303</v>
      </c>
      <c r="H1701" s="29">
        <v>111</v>
      </c>
      <c r="I1701" s="29">
        <v>103</v>
      </c>
      <c r="J1701" s="29">
        <v>70.5</v>
      </c>
      <c r="K1701" s="29">
        <v>73</v>
      </c>
      <c r="L1701" s="29">
        <v>76</v>
      </c>
      <c r="M1701" s="29">
        <v>79</v>
      </c>
      <c r="N1701" s="29">
        <v>75</v>
      </c>
      <c r="O1701" s="32">
        <v>587.5</v>
      </c>
      <c r="P1701" s="29" cm="1">
        <f t="array" ref="P1701">IF(表成绩单[[#This Row],[语文]]="","",SUMPRODUCT((表成绩单[考试日期]=表成绩单[[#This Row],[考试日期]])*(表成绩单[语文]&lt;9E+307)*(表成绩单[语文]&gt;表成绩单[[#This Row],[语文]]))+1)</f>
        <v>9</v>
      </c>
      <c r="Q1701" s="29" cm="1">
        <f t="array" ref="Q1701">IF(表成绩单[[#This Row],[数学]]="","",SUMPRODUCT((表成绩单[考试日期]=表成绩单[[#This Row],[考试日期]])*(表成绩单[数学]&lt;9E+307)*(表成绩单[数学]&gt;表成绩单[[#This Row],[数学]]))+1)</f>
        <v>86</v>
      </c>
      <c r="R1701" s="29" cm="1">
        <f t="array" ref="R1701">IF(表成绩单[[#This Row],[英语]]="","",SUMPRODUCT((表成绩单[考试日期]=表成绩单[[#This Row],[考试日期]])*(表成绩单[英语]&lt;9E+307)*(表成绩单[英语]&gt;表成绩单[[#This Row],[英语]]))+1)</f>
        <v>299</v>
      </c>
      <c r="S1701" s="29" cm="1">
        <f t="array" ref="S1701">IF(表成绩单[[#This Row],[物理]]="","",SUMPRODUCT((表成绩单[考试日期]=表成绩单[[#This Row],[考试日期]])*(表成绩单[物理]&lt;9E+307)*(表成绩单[物理]&gt;表成绩单[[#This Row],[物理]]))+1)</f>
        <v>271</v>
      </c>
      <c r="T1701" s="29" cm="1">
        <f t="array" ref="T1701">IF(表成绩单[[#This Row],[化学]]="","",SUMPRODUCT((表成绩单[考试日期]=表成绩单[[#This Row],[考试日期]])*(表成绩单[化学]&lt;9E+307)*(表成绩单[化学]&gt;表成绩单[[#This Row],[化学]]))+1)</f>
        <v>139</v>
      </c>
      <c r="U1701" s="29" cm="1">
        <f t="array" ref="U1701">IF(表成绩单[[#This Row],[政治]]="","",SUMPRODUCT((表成绩单[考试日期]=表成绩单[[#This Row],[考试日期]])*(表成绩单[政治]&lt;9E+307)*(表成绩单[政治]&gt;表成绩单[[#This Row],[政治]]))+1)</f>
        <v>42</v>
      </c>
      <c r="V1701" s="29" cm="1">
        <f t="array" ref="V1701">IF(表成绩单[[#This Row],[历史]]="","",SUMPRODUCT((表成绩单[考试日期]=表成绩单[[#This Row],[考试日期]])*(表成绩单[历史]&lt;9E+307)*(表成绩单[历史]&gt;表成绩单[[#This Row],[历史]]))+1)</f>
        <v>193</v>
      </c>
      <c r="W1701" s="29" cm="1">
        <f t="array" ref="W1701">IF(表成绩单[[#This Row],[总分]]="","",SUMPRODUCT((表成绩单[考试日期]=表成绩单[[#This Row],[考试日期]])*(表成绩单[总分]&lt;9E+307)*(表成绩单[总分]&gt;表成绩单[[#This Row],[总分]]))+1)</f>
        <v>93</v>
      </c>
    </row>
    <row r="1702" ht="28" customHeight="1" spans="4:23">
      <c r="D1702" s="31">
        <v>46030</v>
      </c>
      <c r="E1702" s="29">
        <v>19177203</v>
      </c>
      <c r="F1702" s="29" t="s">
        <v>70</v>
      </c>
      <c r="G1702" s="29" t="s">
        <v>83</v>
      </c>
      <c r="H1702" s="29">
        <v>99</v>
      </c>
      <c r="I1702" s="29">
        <v>103</v>
      </c>
      <c r="J1702" s="29">
        <v>79.5</v>
      </c>
      <c r="K1702" s="29">
        <v>81</v>
      </c>
      <c r="L1702" s="29">
        <v>75</v>
      </c>
      <c r="M1702" s="29">
        <v>83</v>
      </c>
      <c r="N1702" s="29">
        <v>67</v>
      </c>
      <c r="O1702" s="32">
        <v>587.5</v>
      </c>
      <c r="P1702" s="29" cm="1">
        <f t="array" ref="P1702">IF(表成绩单[[#This Row],[语文]]="","",SUMPRODUCT((表成绩单[考试日期]=表成绩单[[#This Row],[考试日期]])*(表成绩单[语文]&lt;9E+307)*(表成绩单[语文]&gt;表成绩单[[#This Row],[语文]]))+1)</f>
        <v>213</v>
      </c>
      <c r="Q1702" s="29" cm="1">
        <f t="array" ref="Q1702">IF(表成绩单[[#This Row],[数学]]="","",SUMPRODUCT((表成绩单[考试日期]=表成绩单[[#This Row],[考试日期]])*(表成绩单[数学]&lt;9E+307)*(表成绩单[数学]&gt;表成绩单[[#This Row],[数学]]))+1)</f>
        <v>86</v>
      </c>
      <c r="R1702" s="29" cm="1">
        <f t="array" ref="R1702">IF(表成绩单[[#This Row],[英语]]="","",SUMPRODUCT((表成绩单[考试日期]=表成绩单[[#This Row],[考试日期]])*(表成绩单[英语]&lt;9E+307)*(表成绩单[英语]&gt;表成绩单[[#This Row],[英语]]))+1)</f>
        <v>41</v>
      </c>
      <c r="S1702" s="29" cm="1">
        <f t="array" ref="S1702">IF(表成绩单[[#This Row],[物理]]="","",SUMPRODUCT((表成绩单[考试日期]=表成绩单[[#This Row],[考试日期]])*(表成绩单[物理]&lt;9E+307)*(表成绩单[物理]&gt;表成绩单[[#This Row],[物理]]))+1)</f>
        <v>119</v>
      </c>
      <c r="T1702" s="29" cm="1">
        <f t="array" ref="T1702">IF(表成绩单[[#This Row],[化学]]="","",SUMPRODUCT((表成绩单[考试日期]=表成绩单[[#This Row],[考试日期]])*(表成绩单[化学]&lt;9E+307)*(表成绩单[化学]&gt;表成绩单[[#This Row],[化学]]))+1)</f>
        <v>169</v>
      </c>
      <c r="U1702" s="29" cm="1">
        <f t="array" ref="U1702">IF(表成绩单[[#This Row],[政治]]="","",SUMPRODUCT((表成绩单[考试日期]=表成绩单[[#This Row],[考试日期]])*(表成绩单[政治]&lt;9E+307)*(表成绩单[政治]&gt;表成绩单[[#This Row],[政治]]))+1)</f>
        <v>4</v>
      </c>
      <c r="V1702" s="29" cm="1">
        <f t="array" ref="V1702">IF(表成绩单[[#This Row],[历史]]="","",SUMPRODUCT((表成绩单[考试日期]=表成绩单[[#This Row],[考试日期]])*(表成绩单[历史]&lt;9E+307)*(表成绩单[历史]&gt;表成绩单[[#This Row],[历史]]))+1)</f>
        <v>415</v>
      </c>
      <c r="W1702" s="29" cm="1">
        <f t="array" ref="W1702">IF(表成绩单[[#This Row],[总分]]="","",SUMPRODUCT((表成绩单[考试日期]=表成绩单[[#This Row],[考试日期]])*(表成绩单[总分]&lt;9E+307)*(表成绩单[总分]&gt;表成绩单[[#This Row],[总分]]))+1)</f>
        <v>93</v>
      </c>
    </row>
    <row r="1703" ht="28" customHeight="1" spans="4:23">
      <c r="D1703" s="31">
        <v>46030</v>
      </c>
      <c r="E1703" s="29">
        <v>19177233</v>
      </c>
      <c r="F1703" s="29" t="s">
        <v>70</v>
      </c>
      <c r="G1703" s="29" t="s">
        <v>164</v>
      </c>
      <c r="H1703" s="29">
        <v>91</v>
      </c>
      <c r="I1703" s="29">
        <v>99</v>
      </c>
      <c r="J1703" s="29">
        <v>80.5</v>
      </c>
      <c r="K1703" s="29">
        <v>82</v>
      </c>
      <c r="L1703" s="29">
        <v>75</v>
      </c>
      <c r="M1703" s="29">
        <v>77</v>
      </c>
      <c r="N1703" s="29">
        <v>83</v>
      </c>
      <c r="O1703" s="32">
        <v>587.5</v>
      </c>
      <c r="P1703" s="29" cm="1">
        <f t="array" ref="P1703">IF(表成绩单[[#This Row],[语文]]="","",SUMPRODUCT((表成绩单[考试日期]=表成绩单[[#This Row],[考试日期]])*(表成绩单[语文]&lt;9E+307)*(表成绩单[语文]&gt;表成绩单[[#This Row],[语文]]))+1)</f>
        <v>478</v>
      </c>
      <c r="Q1703" s="29" cm="1">
        <f t="array" ref="Q1703">IF(表成绩单[[#This Row],[数学]]="","",SUMPRODUCT((表成绩单[考试日期]=表成绩单[[#This Row],[考试日期]])*(表成绩单[数学]&lt;9E+307)*(表成绩单[数学]&gt;表成绩单[[#This Row],[数学]]))+1)</f>
        <v>120</v>
      </c>
      <c r="R1703" s="29" cm="1">
        <f t="array" ref="R1703">IF(表成绩单[[#This Row],[英语]]="","",SUMPRODUCT((表成绩单[考试日期]=表成绩单[[#This Row],[考试日期]])*(表成绩单[英语]&lt;9E+307)*(表成绩单[英语]&gt;表成绩单[[#This Row],[英语]]))+1)</f>
        <v>24</v>
      </c>
      <c r="S1703" s="29" cm="1">
        <f t="array" ref="S1703">IF(表成绩单[[#This Row],[物理]]="","",SUMPRODUCT((表成绩单[考试日期]=表成绩单[[#This Row],[考试日期]])*(表成绩单[物理]&lt;9E+307)*(表成绩单[物理]&gt;表成绩单[[#This Row],[物理]]))+1)</f>
        <v>105</v>
      </c>
      <c r="T1703" s="29" cm="1">
        <f t="array" ref="T1703">IF(表成绩单[[#This Row],[化学]]="","",SUMPRODUCT((表成绩单[考试日期]=表成绩单[[#This Row],[考试日期]])*(表成绩单[化学]&lt;9E+307)*(表成绩单[化学]&gt;表成绩单[[#This Row],[化学]]))+1)</f>
        <v>169</v>
      </c>
      <c r="U1703" s="29" cm="1">
        <f t="array" ref="U1703">IF(表成绩单[[#This Row],[政治]]="","",SUMPRODUCT((表成绩单[考试日期]=表成绩单[[#This Row],[考试日期]])*(表成绩单[政治]&lt;9E+307)*(表成绩单[政治]&gt;表成绩单[[#This Row],[政治]]))+1)</f>
        <v>88</v>
      </c>
      <c r="V1703" s="29" cm="1">
        <f t="array" ref="V1703">IF(表成绩单[[#This Row],[历史]]="","",SUMPRODUCT((表成绩单[考试日期]=表成绩单[[#This Row],[考试日期]])*(表成绩单[历史]&lt;9E+307)*(表成绩单[历史]&gt;表成绩单[[#This Row],[历史]]))+1)</f>
        <v>32</v>
      </c>
      <c r="W1703" s="29" cm="1">
        <f t="array" ref="W1703">IF(表成绩单[[#This Row],[总分]]="","",SUMPRODUCT((表成绩单[考试日期]=表成绩单[[#This Row],[考试日期]])*(表成绩单[总分]&lt;9E+307)*(表成绩单[总分]&gt;表成绩单[[#This Row],[总分]]))+1)</f>
        <v>93</v>
      </c>
    </row>
    <row r="1704" ht="28" customHeight="1" spans="4:23">
      <c r="D1704" s="31">
        <v>46030</v>
      </c>
      <c r="E1704" s="29">
        <v>19177236</v>
      </c>
      <c r="F1704" s="29" t="s">
        <v>70</v>
      </c>
      <c r="G1704" s="29" t="s">
        <v>238</v>
      </c>
      <c r="H1704" s="29">
        <v>112</v>
      </c>
      <c r="I1704" s="29">
        <v>99</v>
      </c>
      <c r="J1704" s="29">
        <v>77.5</v>
      </c>
      <c r="K1704" s="29">
        <v>82</v>
      </c>
      <c r="L1704" s="29">
        <v>75</v>
      </c>
      <c r="M1704" s="29">
        <v>74</v>
      </c>
      <c r="N1704" s="29">
        <v>68</v>
      </c>
      <c r="O1704" s="32">
        <v>587.5</v>
      </c>
      <c r="P1704" s="29" cm="1">
        <f t="array" ref="P1704">IF(表成绩单[[#This Row],[语文]]="","",SUMPRODUCT((表成绩单[考试日期]=表成绩单[[#This Row],[考试日期]])*(表成绩单[语文]&lt;9E+307)*(表成绩单[语文]&gt;表成绩单[[#This Row],[语文]]))+1)</f>
        <v>6</v>
      </c>
      <c r="Q1704" s="29" cm="1">
        <f t="array" ref="Q1704">IF(表成绩单[[#This Row],[数学]]="","",SUMPRODUCT((表成绩单[考试日期]=表成绩单[[#This Row],[考试日期]])*(表成绩单[数学]&lt;9E+307)*(表成绩单[数学]&gt;表成绩单[[#This Row],[数学]]))+1)</f>
        <v>120</v>
      </c>
      <c r="R1704" s="29" cm="1">
        <f t="array" ref="R1704">IF(表成绩单[[#This Row],[英语]]="","",SUMPRODUCT((表成绩单[考试日期]=表成绩单[[#This Row],[考试日期]])*(表成绩单[英语]&lt;9E+307)*(表成绩单[英语]&gt;表成绩单[[#This Row],[英语]]))+1)</f>
        <v>89</v>
      </c>
      <c r="S1704" s="29" cm="1">
        <f t="array" ref="S1704">IF(表成绩单[[#This Row],[物理]]="","",SUMPRODUCT((表成绩单[考试日期]=表成绩单[[#This Row],[考试日期]])*(表成绩单[物理]&lt;9E+307)*(表成绩单[物理]&gt;表成绩单[[#This Row],[物理]]))+1)</f>
        <v>105</v>
      </c>
      <c r="T1704" s="29" cm="1">
        <f t="array" ref="T1704">IF(表成绩单[[#This Row],[化学]]="","",SUMPRODUCT((表成绩单[考试日期]=表成绩单[[#This Row],[考试日期]])*(表成绩单[化学]&lt;9E+307)*(表成绩单[化学]&gt;表成绩单[[#This Row],[化学]]))+1)</f>
        <v>169</v>
      </c>
      <c r="U1704" s="29" cm="1">
        <f t="array" ref="U1704">IF(表成绩单[[#This Row],[政治]]="","",SUMPRODUCT((表成绩单[考试日期]=表成绩单[[#This Row],[考试日期]])*(表成绩单[政治]&lt;9E+307)*(表成绩单[政治]&gt;表成绩单[[#This Row],[政治]]))+1)</f>
        <v>168</v>
      </c>
      <c r="V1704" s="29" cm="1">
        <f t="array" ref="V1704">IF(表成绩单[[#This Row],[历史]]="","",SUMPRODUCT((表成绩单[考试日期]=表成绩单[[#This Row],[考试日期]])*(表成绩单[历史]&lt;9E+307)*(表成绩单[历史]&gt;表成绩单[[#This Row],[历史]]))+1)</f>
        <v>390</v>
      </c>
      <c r="W1704" s="29" cm="1">
        <f t="array" ref="W1704">IF(表成绩单[[#This Row],[总分]]="","",SUMPRODUCT((表成绩单[考试日期]=表成绩单[[#This Row],[考试日期]])*(表成绩单[总分]&lt;9E+307)*(表成绩单[总分]&gt;表成绩单[[#This Row],[总分]]))+1)</f>
        <v>93</v>
      </c>
    </row>
    <row r="1705" ht="28" customHeight="1" spans="4:23">
      <c r="D1705" s="31">
        <v>46030</v>
      </c>
      <c r="E1705" s="29">
        <v>19173539</v>
      </c>
      <c r="F1705" s="29" t="s">
        <v>1</v>
      </c>
      <c r="G1705" s="29" t="s">
        <v>113</v>
      </c>
      <c r="H1705" s="29">
        <v>107</v>
      </c>
      <c r="I1705" s="29">
        <v>99</v>
      </c>
      <c r="J1705" s="29">
        <v>81</v>
      </c>
      <c r="K1705" s="29">
        <v>74</v>
      </c>
      <c r="L1705" s="29">
        <v>78</v>
      </c>
      <c r="M1705" s="29">
        <v>73</v>
      </c>
      <c r="N1705" s="29">
        <v>75</v>
      </c>
      <c r="O1705" s="32">
        <v>587</v>
      </c>
      <c r="P1705" s="29" cm="1">
        <f t="array" ref="P1705">IF(表成绩单[[#This Row],[语文]]="","",SUMPRODUCT((表成绩单[考试日期]=表成绩单[[#This Row],[考试日期]])*(表成绩单[语文]&lt;9E+307)*(表成绩单[语文]&gt;表成绩单[[#This Row],[语文]]))+1)</f>
        <v>38</v>
      </c>
      <c r="Q1705" s="29" cm="1">
        <f t="array" ref="Q1705">IF(表成绩单[[#This Row],[数学]]="","",SUMPRODUCT((表成绩单[考试日期]=表成绩单[[#This Row],[考试日期]])*(表成绩单[数学]&lt;9E+307)*(表成绩单[数学]&gt;表成绩单[[#This Row],[数学]]))+1)</f>
        <v>120</v>
      </c>
      <c r="R1705" s="29" cm="1">
        <f t="array" ref="R1705">IF(表成绩单[[#This Row],[英语]]="","",SUMPRODUCT((表成绩单[考试日期]=表成绩单[[#This Row],[考试日期]])*(表成绩单[英语]&lt;9E+307)*(表成绩单[英语]&gt;表成绩单[[#This Row],[英语]]))+1)</f>
        <v>19</v>
      </c>
      <c r="S1705" s="29" cm="1">
        <f t="array" ref="S1705">IF(表成绩单[[#This Row],[物理]]="","",SUMPRODUCT((表成绩单[考试日期]=表成绩单[[#This Row],[考试日期]])*(表成绩单[物理]&lt;9E+307)*(表成绩单[物理]&gt;表成绩单[[#This Row],[物理]]))+1)</f>
        <v>258</v>
      </c>
      <c r="T1705" s="29" cm="1">
        <f t="array" ref="T1705">IF(表成绩单[[#This Row],[化学]]="","",SUMPRODUCT((表成绩单[考试日期]=表成绩单[[#This Row],[考试日期]])*(表成绩单[化学]&lt;9E+307)*(表成绩单[化学]&gt;表成绩单[[#This Row],[化学]]))+1)</f>
        <v>93</v>
      </c>
      <c r="U1705" s="29" cm="1">
        <f t="array" ref="U1705">IF(表成绩单[[#This Row],[政治]]="","",SUMPRODUCT((表成绩单[考试日期]=表成绩单[[#This Row],[考试日期]])*(表成绩单[政治]&lt;9E+307)*(表成绩单[政治]&gt;表成绩单[[#This Row],[政治]]))+1)</f>
        <v>197</v>
      </c>
      <c r="V1705" s="29" cm="1">
        <f t="array" ref="V1705">IF(表成绩单[[#This Row],[历史]]="","",SUMPRODUCT((表成绩单[考试日期]=表成绩单[[#This Row],[考试日期]])*(表成绩单[历史]&lt;9E+307)*(表成绩单[历史]&gt;表成绩单[[#This Row],[历史]]))+1)</f>
        <v>193</v>
      </c>
      <c r="W1705" s="29" cm="1">
        <f t="array" ref="W1705">IF(表成绩单[[#This Row],[总分]]="","",SUMPRODUCT((表成绩单[考试日期]=表成绩单[[#This Row],[考试日期]])*(表成绩单[总分]&lt;9E+307)*(表成绩单[总分]&gt;表成绩单[[#This Row],[总分]]))+1)</f>
        <v>99</v>
      </c>
    </row>
    <row r="1706" ht="28" customHeight="1" spans="4:23">
      <c r="D1706" s="31">
        <v>46030</v>
      </c>
      <c r="E1706" s="29">
        <v>19176856</v>
      </c>
      <c r="F1706" s="29" t="s">
        <v>71</v>
      </c>
      <c r="G1706" s="29" t="s">
        <v>206</v>
      </c>
      <c r="H1706" s="29">
        <v>100</v>
      </c>
      <c r="I1706" s="29">
        <v>100</v>
      </c>
      <c r="J1706" s="29">
        <v>73</v>
      </c>
      <c r="K1706" s="29">
        <v>90</v>
      </c>
      <c r="L1706" s="29">
        <v>78</v>
      </c>
      <c r="M1706" s="29">
        <v>70</v>
      </c>
      <c r="N1706" s="29">
        <v>76</v>
      </c>
      <c r="O1706" s="32">
        <v>587</v>
      </c>
      <c r="P1706" s="29" cm="1">
        <f t="array" ref="P1706">IF(表成绩单[[#This Row],[语文]]="","",SUMPRODUCT((表成绩单[考试日期]=表成绩单[[#This Row],[考试日期]])*(表成绩单[语文]&lt;9E+307)*(表成绩单[语文]&gt;表成绩单[[#This Row],[语文]]))+1)</f>
        <v>182</v>
      </c>
      <c r="Q1706" s="29" cm="1">
        <f t="array" ref="Q1706">IF(表成绩单[[#This Row],[数学]]="","",SUMPRODUCT((表成绩单[考试日期]=表成绩单[[#This Row],[考试日期]])*(表成绩单[数学]&lt;9E+307)*(表成绩单[数学]&gt;表成绩单[[#This Row],[数学]]))+1)</f>
        <v>110</v>
      </c>
      <c r="R1706" s="29" cm="1">
        <f t="array" ref="R1706">IF(表成绩单[[#This Row],[英语]]="","",SUMPRODUCT((表成绩单[考试日期]=表成绩单[[#This Row],[考试日期]])*(表成绩单[英语]&lt;9E+307)*(表成绩单[英语]&gt;表成绩单[[#This Row],[英语]]))+1)</f>
        <v>222</v>
      </c>
      <c r="S1706" s="29" cm="1">
        <f t="array" ref="S1706">IF(表成绩单[[#This Row],[物理]]="","",SUMPRODUCT((表成绩单[考试日期]=表成绩单[[#This Row],[考试日期]])*(表成绩单[物理]&lt;9E+307)*(表成绩单[物理]&gt;表成绩单[[#This Row],[物理]]))+1)</f>
        <v>1</v>
      </c>
      <c r="T1706" s="29" cm="1">
        <f t="array" ref="T1706">IF(表成绩单[[#This Row],[化学]]="","",SUMPRODUCT((表成绩单[考试日期]=表成绩单[[#This Row],[考试日期]])*(表成绩单[化学]&lt;9E+307)*(表成绩单[化学]&gt;表成绩单[[#This Row],[化学]]))+1)</f>
        <v>93</v>
      </c>
      <c r="U1706" s="29" cm="1">
        <f t="array" ref="U1706">IF(表成绩单[[#This Row],[政治]]="","",SUMPRODUCT((表成绩单[考试日期]=表成绩单[[#This Row],[考试日期]])*(表成绩单[政治]&lt;9E+307)*(表成绩单[政治]&gt;表成绩单[[#This Row],[政治]]))+1)</f>
        <v>274</v>
      </c>
      <c r="V1706" s="29" cm="1">
        <f t="array" ref="V1706">IF(表成绩单[[#This Row],[历史]]="","",SUMPRODUCT((表成绩单[考试日期]=表成绩单[[#This Row],[考试日期]])*(表成绩单[历史]&lt;9E+307)*(表成绩单[历史]&gt;表成绩单[[#This Row],[历史]]))+1)</f>
        <v>169</v>
      </c>
      <c r="W1706" s="29" cm="1">
        <f t="array" ref="W1706">IF(表成绩单[[#This Row],[总分]]="","",SUMPRODUCT((表成绩单[考试日期]=表成绩单[[#This Row],[考试日期]])*(表成绩单[总分]&lt;9E+307)*(表成绩单[总分]&gt;表成绩单[[#This Row],[总分]]))+1)</f>
        <v>99</v>
      </c>
    </row>
    <row r="1707" ht="28" customHeight="1" spans="4:23">
      <c r="D1707" s="31">
        <v>46030</v>
      </c>
      <c r="E1707" s="29">
        <v>19175380</v>
      </c>
      <c r="F1707" s="29" t="s">
        <v>74</v>
      </c>
      <c r="G1707" s="29" t="s">
        <v>174</v>
      </c>
      <c r="H1707" s="29">
        <v>103</v>
      </c>
      <c r="I1707" s="29">
        <v>91</v>
      </c>
      <c r="J1707" s="29">
        <v>75</v>
      </c>
      <c r="K1707" s="29">
        <v>84</v>
      </c>
      <c r="L1707" s="29">
        <v>75</v>
      </c>
      <c r="M1707" s="29">
        <v>78</v>
      </c>
      <c r="N1707" s="29">
        <v>80</v>
      </c>
      <c r="O1707" s="32">
        <v>586</v>
      </c>
      <c r="P1707" s="29" cm="1">
        <f t="array" ref="P1707">IF(表成绩单[[#This Row],[语文]]="","",SUMPRODUCT((表成绩单[考试日期]=表成绩单[[#This Row],[考试日期]])*(表成绩单[语文]&lt;9E+307)*(表成绩单[语文]&gt;表成绩单[[#This Row],[语文]]))+1)</f>
        <v>105</v>
      </c>
      <c r="Q1707" s="29" cm="1">
        <f t="array" ref="Q1707">IF(表成绩单[[#This Row],[数学]]="","",SUMPRODUCT((表成绩单[考试日期]=表成绩单[[#This Row],[考试日期]])*(表成绩单[数学]&lt;9E+307)*(表成绩单[数学]&gt;表成绩单[[#This Row],[数学]]))+1)</f>
        <v>204</v>
      </c>
      <c r="R1707" s="29" cm="1">
        <f t="array" ref="R1707">IF(表成绩单[[#This Row],[英语]]="","",SUMPRODUCT((表成绩单[考试日期]=表成绩单[[#This Row],[考试日期]])*(表成绩单[英语]&lt;9E+307)*(表成绩单[英语]&gt;表成绩单[[#This Row],[英语]]))+1)</f>
        <v>164</v>
      </c>
      <c r="S1707" s="29" cm="1">
        <f t="array" ref="S1707">IF(表成绩单[[#This Row],[物理]]="","",SUMPRODUCT((表成绩单[考试日期]=表成绩单[[#This Row],[考试日期]])*(表成绩单[物理]&lt;9E+307)*(表成绩单[物理]&gt;表成绩单[[#This Row],[物理]]))+1)</f>
        <v>73</v>
      </c>
      <c r="T1707" s="29" cm="1">
        <f t="array" ref="T1707">IF(表成绩单[[#This Row],[化学]]="","",SUMPRODUCT((表成绩单[考试日期]=表成绩单[[#This Row],[考试日期]])*(表成绩单[化学]&lt;9E+307)*(表成绩单[化学]&gt;表成绩单[[#This Row],[化学]]))+1)</f>
        <v>169</v>
      </c>
      <c r="U1707" s="29" cm="1">
        <f t="array" ref="U1707">IF(表成绩单[[#This Row],[政治]]="","",SUMPRODUCT((表成绩单[考试日期]=表成绩单[[#This Row],[考试日期]])*(表成绩单[政治]&lt;9E+307)*(表成绩单[政治]&gt;表成绩单[[#This Row],[政治]]))+1)</f>
        <v>65</v>
      </c>
      <c r="V1707" s="29" cm="1">
        <f t="array" ref="V1707">IF(表成绩单[[#This Row],[历史]]="","",SUMPRODUCT((表成绩单[考试日期]=表成绩单[[#This Row],[考试日期]])*(表成绩单[历史]&lt;9E+307)*(表成绩单[历史]&gt;表成绩单[[#This Row],[历史]]))+1)</f>
        <v>83</v>
      </c>
      <c r="W1707" s="29" cm="1">
        <f t="array" ref="W1707">IF(表成绩单[[#This Row],[总分]]="","",SUMPRODUCT((表成绩单[考试日期]=表成绩单[[#This Row],[考试日期]])*(表成绩单[总分]&lt;9E+307)*(表成绩单[总分]&gt;表成绩单[[#This Row],[总分]]))+1)</f>
        <v>101</v>
      </c>
    </row>
    <row r="1708" ht="28" customHeight="1" spans="4:23">
      <c r="D1708" s="31">
        <v>46030</v>
      </c>
      <c r="E1708" s="29">
        <v>19175383</v>
      </c>
      <c r="F1708" s="29" t="s">
        <v>74</v>
      </c>
      <c r="G1708" s="29" t="s">
        <v>104</v>
      </c>
      <c r="H1708" s="29">
        <v>102</v>
      </c>
      <c r="I1708" s="29">
        <v>106</v>
      </c>
      <c r="J1708" s="29">
        <v>79</v>
      </c>
      <c r="K1708" s="29">
        <v>83</v>
      </c>
      <c r="L1708" s="29">
        <v>74</v>
      </c>
      <c r="M1708" s="29">
        <v>74</v>
      </c>
      <c r="N1708" s="29">
        <v>68</v>
      </c>
      <c r="O1708" s="32">
        <v>586</v>
      </c>
      <c r="P1708" s="29" cm="1">
        <f t="array" ref="P1708">IF(表成绩单[[#This Row],[语文]]="","",SUMPRODUCT((表成绩单[考试日期]=表成绩单[[#This Row],[考试日期]])*(表成绩单[语文]&lt;9E+307)*(表成绩单[语文]&gt;表成绩单[[#This Row],[语文]]))+1)</f>
        <v>132</v>
      </c>
      <c r="Q1708" s="29" cm="1">
        <f t="array" ref="Q1708">IF(表成绩单[[#This Row],[数学]]="","",SUMPRODUCT((表成绩单[考试日期]=表成绩单[[#This Row],[考试日期]])*(表成绩单[数学]&lt;9E+307)*(表成绩单[数学]&gt;表成绩单[[#This Row],[数学]]))+1)</f>
        <v>50</v>
      </c>
      <c r="R1708" s="29" cm="1">
        <f t="array" ref="R1708">IF(表成绩单[[#This Row],[英语]]="","",SUMPRODUCT((表成绩单[考试日期]=表成绩单[[#This Row],[考试日期]])*(表成绩单[英语]&lt;9E+307)*(表成绩单[英语]&gt;表成绩单[[#This Row],[英语]]))+1)</f>
        <v>50</v>
      </c>
      <c r="S1708" s="29" cm="1">
        <f t="array" ref="S1708">IF(表成绩单[[#This Row],[物理]]="","",SUMPRODUCT((表成绩单[考试日期]=表成绩单[[#This Row],[考试日期]])*(表成绩单[物理]&lt;9E+307)*(表成绩单[物理]&gt;表成绩单[[#This Row],[物理]]))+1)</f>
        <v>88</v>
      </c>
      <c r="T1708" s="29" cm="1">
        <f t="array" ref="T1708">IF(表成绩单[[#This Row],[化学]]="","",SUMPRODUCT((表成绩单[考试日期]=表成绩单[[#This Row],[考试日期]])*(表成绩单[化学]&lt;9E+307)*(表成绩单[化学]&gt;表成绩单[[#This Row],[化学]]))+1)</f>
        <v>208</v>
      </c>
      <c r="U1708" s="29" cm="1">
        <f t="array" ref="U1708">IF(表成绩单[[#This Row],[政治]]="","",SUMPRODUCT((表成绩单[考试日期]=表成绩单[[#This Row],[考试日期]])*(表成绩单[政治]&lt;9E+307)*(表成绩单[政治]&gt;表成绩单[[#This Row],[政治]]))+1)</f>
        <v>168</v>
      </c>
      <c r="V1708" s="29" cm="1">
        <f t="array" ref="V1708">IF(表成绩单[[#This Row],[历史]]="","",SUMPRODUCT((表成绩单[考试日期]=表成绩单[[#This Row],[考试日期]])*(表成绩单[历史]&lt;9E+307)*(表成绩单[历史]&gt;表成绩单[[#This Row],[历史]]))+1)</f>
        <v>390</v>
      </c>
      <c r="W1708" s="29" cm="1">
        <f t="array" ref="W1708">IF(表成绩单[[#This Row],[总分]]="","",SUMPRODUCT((表成绩单[考试日期]=表成绩单[[#This Row],[考试日期]])*(表成绩单[总分]&lt;9E+307)*(表成绩单[总分]&gt;表成绩单[[#This Row],[总分]]))+1)</f>
        <v>101</v>
      </c>
    </row>
    <row r="1709" ht="28" customHeight="1" spans="4:23">
      <c r="D1709" s="31">
        <v>46030</v>
      </c>
      <c r="E1709" s="29">
        <v>19177214</v>
      </c>
      <c r="F1709" s="29" t="s">
        <v>70</v>
      </c>
      <c r="G1709" s="29" t="s">
        <v>283</v>
      </c>
      <c r="H1709" s="29">
        <v>104</v>
      </c>
      <c r="I1709" s="29">
        <v>91</v>
      </c>
      <c r="J1709" s="29">
        <v>72</v>
      </c>
      <c r="K1709" s="29">
        <v>85</v>
      </c>
      <c r="L1709" s="29">
        <v>81</v>
      </c>
      <c r="M1709" s="29">
        <v>78</v>
      </c>
      <c r="N1709" s="29">
        <v>75</v>
      </c>
      <c r="O1709" s="32">
        <v>586</v>
      </c>
      <c r="P1709" s="29" cm="1">
        <f t="array" ref="P1709">IF(表成绩单[[#This Row],[语文]]="","",SUMPRODUCT((表成绩单[考试日期]=表成绩单[[#This Row],[考试日期]])*(表成绩单[语文]&lt;9E+307)*(表成绩单[语文]&gt;表成绩单[[#This Row],[语文]]))+1)</f>
        <v>82</v>
      </c>
      <c r="Q1709" s="29" cm="1">
        <f t="array" ref="Q1709">IF(表成绩单[[#This Row],[数学]]="","",SUMPRODUCT((表成绩单[考试日期]=表成绩单[[#This Row],[考试日期]])*(表成绩单[数学]&lt;9E+307)*(表成绩单[数学]&gt;表成绩单[[#This Row],[数学]]))+1)</f>
        <v>204</v>
      </c>
      <c r="R1709" s="29" cm="1">
        <f t="array" ref="R1709">IF(表成绩单[[#This Row],[英语]]="","",SUMPRODUCT((表成绩单[考试日期]=表成绩单[[#This Row],[考试日期]])*(表成绩单[英语]&lt;9E+307)*(表成绩单[英语]&gt;表成绩单[[#This Row],[英语]]))+1)</f>
        <v>258</v>
      </c>
      <c r="S1709" s="29" cm="1">
        <f t="array" ref="S1709">IF(表成绩单[[#This Row],[物理]]="","",SUMPRODUCT((表成绩单[考试日期]=表成绩单[[#This Row],[考试日期]])*(表成绩单[物理]&lt;9E+307)*(表成绩单[物理]&gt;表成绩单[[#This Row],[物理]]))+1)</f>
        <v>56</v>
      </c>
      <c r="T1709" s="29" cm="1">
        <f t="array" ref="T1709">IF(表成绩单[[#This Row],[化学]]="","",SUMPRODUCT((表成绩单[考试日期]=表成绩单[[#This Row],[考试日期]])*(表成绩单[化学]&lt;9E+307)*(表成绩单[化学]&gt;表成绩单[[#This Row],[化学]]))+1)</f>
        <v>43</v>
      </c>
      <c r="U1709" s="29" cm="1">
        <f t="array" ref="U1709">IF(表成绩单[[#This Row],[政治]]="","",SUMPRODUCT((表成绩单[考试日期]=表成绩单[[#This Row],[考试日期]])*(表成绩单[政治]&lt;9E+307)*(表成绩单[政治]&gt;表成绩单[[#This Row],[政治]]))+1)</f>
        <v>65</v>
      </c>
      <c r="V1709" s="29" cm="1">
        <f t="array" ref="V1709">IF(表成绩单[[#This Row],[历史]]="","",SUMPRODUCT((表成绩单[考试日期]=表成绩单[[#This Row],[考试日期]])*(表成绩单[历史]&lt;9E+307)*(表成绩单[历史]&gt;表成绩单[[#This Row],[历史]]))+1)</f>
        <v>193</v>
      </c>
      <c r="W1709" s="29" cm="1">
        <f t="array" ref="W1709">IF(表成绩单[[#This Row],[总分]]="","",SUMPRODUCT((表成绩单[考试日期]=表成绩单[[#This Row],[考试日期]])*(表成绩单[总分]&lt;9E+307)*(表成绩单[总分]&gt;表成绩单[[#This Row],[总分]]))+1)</f>
        <v>101</v>
      </c>
    </row>
    <row r="1710" ht="28" customHeight="1" spans="4:23">
      <c r="D1710" s="31">
        <v>46030</v>
      </c>
      <c r="E1710" s="29">
        <v>19167659</v>
      </c>
      <c r="F1710" s="29" t="s">
        <v>1</v>
      </c>
      <c r="G1710" s="29" t="s">
        <v>116</v>
      </c>
      <c r="H1710" s="29">
        <v>98</v>
      </c>
      <c r="I1710" s="29">
        <v>115</v>
      </c>
      <c r="J1710" s="29">
        <v>72.5</v>
      </c>
      <c r="K1710" s="29">
        <v>79</v>
      </c>
      <c r="L1710" s="29">
        <v>78</v>
      </c>
      <c r="M1710" s="29">
        <v>67</v>
      </c>
      <c r="N1710" s="29">
        <v>76</v>
      </c>
      <c r="O1710" s="32">
        <v>585.5</v>
      </c>
      <c r="P1710" s="29" cm="1">
        <f t="array" ref="P1710">IF(表成绩单[[#This Row],[语文]]="","",SUMPRODUCT((表成绩单[考试日期]=表成绩单[[#This Row],[考试日期]])*(表成绩单[语文]&lt;9E+307)*(表成绩单[语文]&gt;表成绩单[[#This Row],[语文]]))+1)</f>
        <v>248</v>
      </c>
      <c r="Q1710" s="29" cm="1">
        <f t="array" ref="Q1710">IF(表成绩单[[#This Row],[数学]]="","",SUMPRODUCT((表成绩单[考试日期]=表成绩单[[#This Row],[考试日期]])*(表成绩单[数学]&lt;9E+307)*(表成绩单[数学]&gt;表成绩单[[#This Row],[数学]]))+1)</f>
        <v>6</v>
      </c>
      <c r="R1710" s="29" cm="1">
        <f t="array" ref="R1710">IF(表成绩单[[#This Row],[英语]]="","",SUMPRODUCT((表成绩单[考试日期]=表成绩单[[#This Row],[考试日期]])*(表成绩单[英语]&lt;9E+307)*(表成绩单[英语]&gt;表成绩单[[#This Row],[英语]]))+1)</f>
        <v>242</v>
      </c>
      <c r="S1710" s="29" cm="1">
        <f t="array" ref="S1710">IF(表成绩单[[#This Row],[物理]]="","",SUMPRODUCT((表成绩单[考试日期]=表成绩单[[#This Row],[考试日期]])*(表成绩单[物理]&lt;9E+307)*(表成绩单[物理]&gt;表成绩单[[#This Row],[物理]]))+1)</f>
        <v>153</v>
      </c>
      <c r="T1710" s="29" cm="1">
        <f t="array" ref="T1710">IF(表成绩单[[#This Row],[化学]]="","",SUMPRODUCT((表成绩单[考试日期]=表成绩单[[#This Row],[考试日期]])*(表成绩单[化学]&lt;9E+307)*(表成绩单[化学]&gt;表成绩单[[#This Row],[化学]]))+1)</f>
        <v>93</v>
      </c>
      <c r="U1710" s="29" cm="1">
        <f t="array" ref="U1710">IF(表成绩单[[#This Row],[政治]]="","",SUMPRODUCT((表成绩单[考试日期]=表成绩单[[#This Row],[考试日期]])*(表成绩单[政治]&lt;9E+307)*(表成绩单[政治]&gt;表成绩单[[#This Row],[政治]]))+1)</f>
        <v>370</v>
      </c>
      <c r="V1710" s="29" cm="1">
        <f t="array" ref="V1710">IF(表成绩单[[#This Row],[历史]]="","",SUMPRODUCT((表成绩单[考试日期]=表成绩单[[#This Row],[考试日期]])*(表成绩单[历史]&lt;9E+307)*(表成绩单[历史]&gt;表成绩单[[#This Row],[历史]]))+1)</f>
        <v>169</v>
      </c>
      <c r="W1710" s="29" cm="1">
        <f t="array" ref="W1710">IF(表成绩单[[#This Row],[总分]]="","",SUMPRODUCT((表成绩单[考试日期]=表成绩单[[#This Row],[考试日期]])*(表成绩单[总分]&lt;9E+307)*(表成绩单[总分]&gt;表成绩单[[#This Row],[总分]]))+1)</f>
        <v>104</v>
      </c>
    </row>
    <row r="1711" ht="28" customHeight="1" spans="4:23">
      <c r="D1711" s="31">
        <v>46030</v>
      </c>
      <c r="E1711" s="29">
        <v>19175414</v>
      </c>
      <c r="F1711" s="29" t="s">
        <v>74</v>
      </c>
      <c r="G1711" s="29" t="s">
        <v>130</v>
      </c>
      <c r="H1711" s="29">
        <v>98</v>
      </c>
      <c r="I1711" s="29">
        <v>105</v>
      </c>
      <c r="J1711" s="29">
        <v>76.5</v>
      </c>
      <c r="K1711" s="29">
        <v>79</v>
      </c>
      <c r="L1711" s="29">
        <v>73</v>
      </c>
      <c r="M1711" s="29">
        <v>75</v>
      </c>
      <c r="N1711" s="29">
        <v>79</v>
      </c>
      <c r="O1711" s="32">
        <v>585.5</v>
      </c>
      <c r="P1711" s="29" cm="1">
        <f t="array" ref="P1711">IF(表成绩单[[#This Row],[语文]]="","",SUMPRODUCT((表成绩单[考试日期]=表成绩单[[#This Row],[考试日期]])*(表成绩单[语文]&lt;9E+307)*(表成绩单[语文]&gt;表成绩单[[#This Row],[语文]]))+1)</f>
        <v>248</v>
      </c>
      <c r="Q1711" s="29" cm="1">
        <f t="array" ref="Q1711">IF(表成绩单[[#This Row],[数学]]="","",SUMPRODUCT((表成绩单[考试日期]=表成绩单[[#This Row],[考试日期]])*(表成绩单[数学]&lt;9E+307)*(表成绩单[数学]&gt;表成绩单[[#This Row],[数学]]))+1)</f>
        <v>64</v>
      </c>
      <c r="R1711" s="29" cm="1">
        <f t="array" ref="R1711">IF(表成绩单[[#This Row],[英语]]="","",SUMPRODUCT((表成绩单[考试日期]=表成绩单[[#This Row],[考试日期]])*(表成绩单[英语]&lt;9E+307)*(表成绩单[英语]&gt;表成绩单[[#This Row],[英语]]))+1)</f>
        <v>120</v>
      </c>
      <c r="S1711" s="29" cm="1">
        <f t="array" ref="S1711">IF(表成绩单[[#This Row],[物理]]="","",SUMPRODUCT((表成绩单[考试日期]=表成绩单[[#This Row],[考试日期]])*(表成绩单[物理]&lt;9E+307)*(表成绩单[物理]&gt;表成绩单[[#This Row],[物理]]))+1)</f>
        <v>153</v>
      </c>
      <c r="T1711" s="29" cm="1">
        <f t="array" ref="T1711">IF(表成绩单[[#This Row],[化学]]="","",SUMPRODUCT((表成绩单[考试日期]=表成绩单[[#This Row],[考试日期]])*(表成绩单[化学]&lt;9E+307)*(表成绩单[化学]&gt;表成绩单[[#This Row],[化学]]))+1)</f>
        <v>236</v>
      </c>
      <c r="U1711" s="29" cm="1">
        <f t="array" ref="U1711">IF(表成绩单[[#This Row],[政治]]="","",SUMPRODUCT((表成绩单[考试日期]=表成绩单[[#This Row],[考试日期]])*(表成绩单[政治]&lt;9E+307)*(表成绩单[政治]&gt;表成绩单[[#This Row],[政治]]))+1)</f>
        <v>137</v>
      </c>
      <c r="V1711" s="29" cm="1">
        <f t="array" ref="V1711">IF(表成绩单[[#This Row],[历史]]="","",SUMPRODUCT((表成绩单[考试日期]=表成绩单[[#This Row],[考试日期]])*(表成绩单[历史]&lt;9E+307)*(表成绩单[历史]&gt;表成绩单[[#This Row],[历史]]))+1)</f>
        <v>104</v>
      </c>
      <c r="W1711" s="29" cm="1">
        <f t="array" ref="W1711">IF(表成绩单[[#This Row],[总分]]="","",SUMPRODUCT((表成绩单[考试日期]=表成绩单[[#This Row],[考试日期]])*(表成绩单[总分]&lt;9E+307)*(表成绩单[总分]&gt;表成绩单[[#This Row],[总分]]))+1)</f>
        <v>104</v>
      </c>
    </row>
    <row r="1712" ht="28" customHeight="1" spans="4:23">
      <c r="D1712" s="31">
        <v>46030</v>
      </c>
      <c r="E1712" s="29">
        <v>19175691</v>
      </c>
      <c r="F1712" s="29" t="s">
        <v>72</v>
      </c>
      <c r="G1712" s="29" t="s">
        <v>147</v>
      </c>
      <c r="H1712" s="29">
        <v>95</v>
      </c>
      <c r="I1712" s="29">
        <v>97</v>
      </c>
      <c r="J1712" s="29">
        <v>74.5</v>
      </c>
      <c r="K1712" s="29">
        <v>85</v>
      </c>
      <c r="L1712" s="29">
        <v>75</v>
      </c>
      <c r="M1712" s="29">
        <v>77</v>
      </c>
      <c r="N1712" s="29">
        <v>82</v>
      </c>
      <c r="O1712" s="32">
        <v>585.5</v>
      </c>
      <c r="P1712" s="29" cm="1">
        <f t="array" ref="P1712">IF(表成绩单[[#This Row],[语文]]="","",SUMPRODUCT((表成绩单[考试日期]=表成绩单[[#This Row],[考试日期]])*(表成绩单[语文]&lt;9E+307)*(表成绩单[语文]&gt;表成绩单[[#This Row],[语文]]))+1)</f>
        <v>342</v>
      </c>
      <c r="Q1712" s="29" cm="1">
        <f t="array" ref="Q1712">IF(表成绩单[[#This Row],[数学]]="","",SUMPRODUCT((表成绩单[考试日期]=表成绩单[[#This Row],[考试日期]])*(表成绩单[数学]&lt;9E+307)*(表成绩单[数学]&gt;表成绩单[[#This Row],[数学]]))+1)</f>
        <v>142</v>
      </c>
      <c r="R1712" s="29" cm="1">
        <f t="array" ref="R1712">IF(表成绩单[[#This Row],[英语]]="","",SUMPRODUCT((表成绩单[考试日期]=表成绩单[[#This Row],[考试日期]])*(表成绩单[英语]&lt;9E+307)*(表成绩单[英语]&gt;表成绩单[[#This Row],[英语]]))+1)</f>
        <v>181</v>
      </c>
      <c r="S1712" s="29" cm="1">
        <f t="array" ref="S1712">IF(表成绩单[[#This Row],[物理]]="","",SUMPRODUCT((表成绩单[考试日期]=表成绩单[[#This Row],[考试日期]])*(表成绩单[物理]&lt;9E+307)*(表成绩单[物理]&gt;表成绩单[[#This Row],[物理]]))+1)</f>
        <v>56</v>
      </c>
      <c r="T1712" s="29" cm="1">
        <f t="array" ref="T1712">IF(表成绩单[[#This Row],[化学]]="","",SUMPRODUCT((表成绩单[考试日期]=表成绩单[[#This Row],[考试日期]])*(表成绩单[化学]&lt;9E+307)*(表成绩单[化学]&gt;表成绩单[[#This Row],[化学]]))+1)</f>
        <v>169</v>
      </c>
      <c r="U1712" s="29" cm="1">
        <f t="array" ref="U1712">IF(表成绩单[[#This Row],[政治]]="","",SUMPRODUCT((表成绩单[考试日期]=表成绩单[[#This Row],[考试日期]])*(表成绩单[政治]&lt;9E+307)*(表成绩单[政治]&gt;表成绩单[[#This Row],[政治]]))+1)</f>
        <v>88</v>
      </c>
      <c r="V1712" s="29" cm="1">
        <f t="array" ref="V1712">IF(表成绩单[[#This Row],[历史]]="","",SUMPRODUCT((表成绩单[考试日期]=表成绩单[[#This Row],[考试日期]])*(表成绩单[历史]&lt;9E+307)*(表成绩单[历史]&gt;表成绩单[[#This Row],[历史]]))+1)</f>
        <v>41</v>
      </c>
      <c r="W1712" s="29" cm="1">
        <f t="array" ref="W1712">IF(表成绩单[[#This Row],[总分]]="","",SUMPRODUCT((表成绩单[考试日期]=表成绩单[[#This Row],[考试日期]])*(表成绩单[总分]&lt;9E+307)*(表成绩单[总分]&gt;表成绩单[[#This Row],[总分]]))+1)</f>
        <v>104</v>
      </c>
    </row>
    <row r="1713" ht="28" customHeight="1" spans="4:23">
      <c r="D1713" s="31">
        <v>46030</v>
      </c>
      <c r="E1713" s="29">
        <v>19176889</v>
      </c>
      <c r="F1713" s="29" t="s">
        <v>71</v>
      </c>
      <c r="G1713" s="29" t="s">
        <v>277</v>
      </c>
      <c r="H1713" s="29">
        <v>111</v>
      </c>
      <c r="I1713" s="29">
        <v>104</v>
      </c>
      <c r="J1713" s="29">
        <v>70.5</v>
      </c>
      <c r="K1713" s="29">
        <v>77</v>
      </c>
      <c r="L1713" s="29">
        <v>77</v>
      </c>
      <c r="M1713" s="29">
        <v>71</v>
      </c>
      <c r="N1713" s="29">
        <v>75</v>
      </c>
      <c r="O1713" s="32">
        <v>585.5</v>
      </c>
      <c r="P1713" s="29" cm="1">
        <f t="array" ref="P1713">IF(表成绩单[[#This Row],[语文]]="","",SUMPRODUCT((表成绩单[考试日期]=表成绩单[[#This Row],[考试日期]])*(表成绩单[语文]&lt;9E+307)*(表成绩单[语文]&gt;表成绩单[[#This Row],[语文]]))+1)</f>
        <v>9</v>
      </c>
      <c r="Q1713" s="29" cm="1">
        <f t="array" ref="Q1713">IF(表成绩单[[#This Row],[数学]]="","",SUMPRODUCT((表成绩单[考试日期]=表成绩单[[#This Row],[考试日期]])*(表成绩单[数学]&lt;9E+307)*(表成绩单[数学]&gt;表成绩单[[#This Row],[数学]]))+1)</f>
        <v>80</v>
      </c>
      <c r="R1713" s="29" cm="1">
        <f t="array" ref="R1713">IF(表成绩单[[#This Row],[英语]]="","",SUMPRODUCT((表成绩单[考试日期]=表成绩单[[#This Row],[考试日期]])*(表成绩单[英语]&lt;9E+307)*(表成绩单[英语]&gt;表成绩单[[#This Row],[英语]]))+1)</f>
        <v>299</v>
      </c>
      <c r="S1713" s="29" cm="1">
        <f t="array" ref="S1713">IF(表成绩单[[#This Row],[物理]]="","",SUMPRODUCT((表成绩单[考试日期]=表成绩单[[#This Row],[考试日期]])*(表成绩单[物理]&lt;9E+307)*(表成绩单[物理]&gt;表成绩单[[#This Row],[物理]]))+1)</f>
        <v>197</v>
      </c>
      <c r="T1713" s="29" cm="1">
        <f t="array" ref="T1713">IF(表成绩单[[#This Row],[化学]]="","",SUMPRODUCT((表成绩单[考试日期]=表成绩单[[#This Row],[考试日期]])*(表成绩单[化学]&lt;9E+307)*(表成绩单[化学]&gt;表成绩单[[#This Row],[化学]]))+1)</f>
        <v>116</v>
      </c>
      <c r="U1713" s="29" cm="1">
        <f t="array" ref="U1713">IF(表成绩单[[#This Row],[政治]]="","",SUMPRODUCT((表成绩单[考试日期]=表成绩单[[#This Row],[考试日期]])*(表成绩单[政治]&lt;9E+307)*(表成绩单[政治]&gt;表成绩单[[#This Row],[政治]]))+1)</f>
        <v>248</v>
      </c>
      <c r="V1713" s="29" cm="1">
        <f t="array" ref="V1713">IF(表成绩单[[#This Row],[历史]]="","",SUMPRODUCT((表成绩单[考试日期]=表成绩单[[#This Row],[考试日期]])*(表成绩单[历史]&lt;9E+307)*(表成绩单[历史]&gt;表成绩单[[#This Row],[历史]]))+1)</f>
        <v>193</v>
      </c>
      <c r="W1713" s="29" cm="1">
        <f t="array" ref="W1713">IF(表成绩单[[#This Row],[总分]]="","",SUMPRODUCT((表成绩单[考试日期]=表成绩单[[#This Row],[考试日期]])*(表成绩单[总分]&lt;9E+307)*(表成绩单[总分]&gt;表成绩单[[#This Row],[总分]]))+1)</f>
        <v>104</v>
      </c>
    </row>
    <row r="1714" ht="28" customHeight="1" spans="4:23">
      <c r="D1714" s="31">
        <v>46030</v>
      </c>
      <c r="E1714" s="29">
        <v>19177196</v>
      </c>
      <c r="F1714" s="29" t="s">
        <v>70</v>
      </c>
      <c r="G1714" s="29" t="s">
        <v>93</v>
      </c>
      <c r="H1714" s="29">
        <v>103</v>
      </c>
      <c r="I1714" s="29">
        <v>93</v>
      </c>
      <c r="J1714" s="29">
        <v>77.5</v>
      </c>
      <c r="K1714" s="29">
        <v>80</v>
      </c>
      <c r="L1714" s="29">
        <v>75</v>
      </c>
      <c r="M1714" s="29">
        <v>74</v>
      </c>
      <c r="N1714" s="29">
        <v>83</v>
      </c>
      <c r="O1714" s="32">
        <v>585.5</v>
      </c>
      <c r="P1714" s="29" cm="1">
        <f t="array" ref="P1714">IF(表成绩单[[#This Row],[语文]]="","",SUMPRODUCT((表成绩单[考试日期]=表成绩单[[#This Row],[考试日期]])*(表成绩单[语文]&lt;9E+307)*(表成绩单[语文]&gt;表成绩单[[#This Row],[语文]]))+1)</f>
        <v>105</v>
      </c>
      <c r="Q1714" s="29" cm="1">
        <f t="array" ref="Q1714">IF(表成绩单[[#This Row],[数学]]="","",SUMPRODUCT((表成绩单[考试日期]=表成绩单[[#This Row],[考试日期]])*(表成绩单[数学]&lt;9E+307)*(表成绩单[数学]&gt;表成绩单[[#This Row],[数学]]))+1)</f>
        <v>188</v>
      </c>
      <c r="R1714" s="29" cm="1">
        <f t="array" ref="R1714">IF(表成绩单[[#This Row],[英语]]="","",SUMPRODUCT((表成绩单[考试日期]=表成绩单[[#This Row],[考试日期]])*(表成绩单[英语]&lt;9E+307)*(表成绩单[英语]&gt;表成绩单[[#This Row],[英语]]))+1)</f>
        <v>89</v>
      </c>
      <c r="S1714" s="29" cm="1">
        <f t="array" ref="S1714">IF(表成绩单[[#This Row],[物理]]="","",SUMPRODUCT((表成绩单[考试日期]=表成绩单[[#This Row],[考试日期]])*(表成绩单[物理]&lt;9E+307)*(表成绩单[物理]&gt;表成绩单[[#This Row],[物理]]))+1)</f>
        <v>137</v>
      </c>
      <c r="T1714" s="29" cm="1">
        <f t="array" ref="T1714">IF(表成绩单[[#This Row],[化学]]="","",SUMPRODUCT((表成绩单[考试日期]=表成绩单[[#This Row],[考试日期]])*(表成绩单[化学]&lt;9E+307)*(表成绩单[化学]&gt;表成绩单[[#This Row],[化学]]))+1)</f>
        <v>169</v>
      </c>
      <c r="U1714" s="29" cm="1">
        <f t="array" ref="U1714">IF(表成绩单[[#This Row],[政治]]="","",SUMPRODUCT((表成绩单[考试日期]=表成绩单[[#This Row],[考试日期]])*(表成绩单[政治]&lt;9E+307)*(表成绩单[政治]&gt;表成绩单[[#This Row],[政治]]))+1)</f>
        <v>168</v>
      </c>
      <c r="V1714" s="29" cm="1">
        <f t="array" ref="V1714">IF(表成绩单[[#This Row],[历史]]="","",SUMPRODUCT((表成绩单[考试日期]=表成绩单[[#This Row],[考试日期]])*(表成绩单[历史]&lt;9E+307)*(表成绩单[历史]&gt;表成绩单[[#This Row],[历史]]))+1)</f>
        <v>32</v>
      </c>
      <c r="W1714" s="29" cm="1">
        <f t="array" ref="W1714">IF(表成绩单[[#This Row],[总分]]="","",SUMPRODUCT((表成绩单[考试日期]=表成绩单[[#This Row],[考试日期]])*(表成绩单[总分]&lt;9E+307)*(表成绩单[总分]&gt;表成绩单[[#This Row],[总分]]))+1)</f>
        <v>104</v>
      </c>
    </row>
    <row r="1715" ht="28" customHeight="1" spans="4:23">
      <c r="D1715" s="31">
        <v>46030</v>
      </c>
      <c r="E1715" s="29">
        <v>19173761</v>
      </c>
      <c r="F1715" s="29" t="s">
        <v>65</v>
      </c>
      <c r="G1715" s="29" t="s">
        <v>217</v>
      </c>
      <c r="H1715" s="29">
        <v>113</v>
      </c>
      <c r="I1715" s="29">
        <v>86</v>
      </c>
      <c r="J1715" s="29">
        <v>69</v>
      </c>
      <c r="K1715" s="29">
        <v>79</v>
      </c>
      <c r="L1715" s="29">
        <v>79</v>
      </c>
      <c r="M1715" s="29">
        <v>78</v>
      </c>
      <c r="N1715" s="29">
        <v>81</v>
      </c>
      <c r="O1715" s="32">
        <v>585</v>
      </c>
      <c r="P1715" s="29" cm="1">
        <f t="array" ref="P1715">IF(表成绩单[[#This Row],[语文]]="","",SUMPRODUCT((表成绩单[考试日期]=表成绩单[[#This Row],[考试日期]])*(表成绩单[语文]&lt;9E+307)*(表成绩单[语文]&gt;表成绩单[[#This Row],[语文]]))+1)</f>
        <v>3</v>
      </c>
      <c r="Q1715" s="29" cm="1">
        <f t="array" ref="Q1715">IF(表成绩单[[#This Row],[数学]]="","",SUMPRODUCT((表成绩单[考试日期]=表成绩单[[#This Row],[考试日期]])*(表成绩单[数学]&lt;9E+307)*(表成绩单[数学]&gt;表成绩单[[#This Row],[数学]]))+1)</f>
        <v>302</v>
      </c>
      <c r="R1715" s="29" cm="1">
        <f t="array" ref="R1715">IF(表成绩单[[#This Row],[英语]]="","",SUMPRODUCT((表成绩单[考试日期]=表成绩单[[#This Row],[考试日期]])*(表成绩单[英语]&lt;9E+307)*(表成绩单[英语]&gt;表成绩单[[#This Row],[英语]]))+1)</f>
        <v>342</v>
      </c>
      <c r="S1715" s="29" cm="1">
        <f t="array" ref="S1715">IF(表成绩单[[#This Row],[物理]]="","",SUMPRODUCT((表成绩单[考试日期]=表成绩单[[#This Row],[考试日期]])*(表成绩单[物理]&lt;9E+307)*(表成绩单[物理]&gt;表成绩单[[#This Row],[物理]]))+1)</f>
        <v>153</v>
      </c>
      <c r="T1715" s="29" cm="1">
        <f t="array" ref="T1715">IF(表成绩单[[#This Row],[化学]]="","",SUMPRODUCT((表成绩单[考试日期]=表成绩单[[#This Row],[考试日期]])*(表成绩单[化学]&lt;9E+307)*(表成绩单[化学]&gt;表成绩单[[#This Row],[化学]]))+1)</f>
        <v>77</v>
      </c>
      <c r="U1715" s="29" cm="1">
        <f t="array" ref="U1715">IF(表成绩单[[#This Row],[政治]]="","",SUMPRODUCT((表成绩单[考试日期]=表成绩单[[#This Row],[考试日期]])*(表成绩单[政治]&lt;9E+307)*(表成绩单[政治]&gt;表成绩单[[#This Row],[政治]]))+1)</f>
        <v>65</v>
      </c>
      <c r="V1715" s="29" cm="1">
        <f t="array" ref="V1715">IF(表成绩单[[#This Row],[历史]]="","",SUMPRODUCT((表成绩单[考试日期]=表成绩单[[#This Row],[考试日期]])*(表成绩单[历史]&lt;9E+307)*(表成绩单[历史]&gt;表成绩单[[#This Row],[历史]]))+1)</f>
        <v>60</v>
      </c>
      <c r="W1715" s="29" cm="1">
        <f t="array" ref="W1715">IF(表成绩单[[#This Row],[总分]]="","",SUMPRODUCT((表成绩单[考试日期]=表成绩单[[#This Row],[考试日期]])*(表成绩单[总分]&lt;9E+307)*(表成绩单[总分]&gt;表成绩单[[#This Row],[总分]]))+1)</f>
        <v>109</v>
      </c>
    </row>
    <row r="1716" ht="28" customHeight="1" spans="4:23">
      <c r="D1716" s="31">
        <v>46030</v>
      </c>
      <c r="E1716" s="29">
        <v>19177230</v>
      </c>
      <c r="F1716" s="29" t="s">
        <v>70</v>
      </c>
      <c r="G1716" s="29" t="s">
        <v>150</v>
      </c>
      <c r="H1716" s="29">
        <v>102</v>
      </c>
      <c r="I1716" s="29">
        <v>108</v>
      </c>
      <c r="J1716" s="29">
        <v>78</v>
      </c>
      <c r="K1716" s="29">
        <v>76</v>
      </c>
      <c r="L1716" s="29">
        <v>70</v>
      </c>
      <c r="M1716" s="29">
        <v>76</v>
      </c>
      <c r="N1716" s="29">
        <v>75</v>
      </c>
      <c r="O1716" s="32">
        <v>585</v>
      </c>
      <c r="P1716" s="29" cm="1">
        <f t="array" ref="P1716">IF(表成绩单[[#This Row],[语文]]="","",SUMPRODUCT((表成绩单[考试日期]=表成绩单[[#This Row],[考试日期]])*(表成绩单[语文]&lt;9E+307)*(表成绩单[语文]&gt;表成绩单[[#This Row],[语文]]))+1)</f>
        <v>132</v>
      </c>
      <c r="Q1716" s="29" cm="1">
        <f t="array" ref="Q1716">IF(表成绩单[[#This Row],[数学]]="","",SUMPRODUCT((表成绩单[考试日期]=表成绩单[[#This Row],[考试日期]])*(表成绩单[数学]&lt;9E+307)*(表成绩单[数学]&gt;表成绩单[[#This Row],[数学]]))+1)</f>
        <v>44</v>
      </c>
      <c r="R1716" s="29" cm="1">
        <f t="array" ref="R1716">IF(表成绩单[[#This Row],[英语]]="","",SUMPRODUCT((表成绩单[考试日期]=表成绩单[[#This Row],[考试日期]])*(表成绩单[英语]&lt;9E+307)*(表成绩单[英语]&gt;表成绩单[[#This Row],[英语]]))+1)</f>
        <v>79</v>
      </c>
      <c r="S1716" s="29" cm="1">
        <f t="array" ref="S1716">IF(表成绩单[[#This Row],[物理]]="","",SUMPRODUCT((表成绩单[考试日期]=表成绩单[[#This Row],[考试日期]])*(表成绩单[物理]&lt;9E+307)*(表成绩单[物理]&gt;表成绩单[[#This Row],[物理]]))+1)</f>
        <v>218</v>
      </c>
      <c r="T1716" s="29" cm="1">
        <f t="array" ref="T1716">IF(表成绩单[[#This Row],[化学]]="","",SUMPRODUCT((表成绩单[考试日期]=表成绩单[[#This Row],[考试日期]])*(表成绩单[化学]&lt;9E+307)*(表成绩单[化学]&gt;表成绩单[[#This Row],[化学]]))+1)</f>
        <v>318</v>
      </c>
      <c r="U1716" s="29" cm="1">
        <f t="array" ref="U1716">IF(表成绩单[[#This Row],[政治]]="","",SUMPRODUCT((表成绩单[考试日期]=表成绩单[[#This Row],[考试日期]])*(表成绩单[政治]&lt;9E+307)*(表成绩单[政治]&gt;表成绩单[[#This Row],[政治]]))+1)</f>
        <v>111</v>
      </c>
      <c r="V1716" s="29" cm="1">
        <f t="array" ref="V1716">IF(表成绩单[[#This Row],[历史]]="","",SUMPRODUCT((表成绩单[考试日期]=表成绩单[[#This Row],[考试日期]])*(表成绩单[历史]&lt;9E+307)*(表成绩单[历史]&gt;表成绩单[[#This Row],[历史]]))+1)</f>
        <v>193</v>
      </c>
      <c r="W1716" s="29" cm="1">
        <f t="array" ref="W1716">IF(表成绩单[[#This Row],[总分]]="","",SUMPRODUCT((表成绩单[考试日期]=表成绩单[[#This Row],[考试日期]])*(表成绩单[总分]&lt;9E+307)*(表成绩单[总分]&gt;表成绩单[[#This Row],[总分]]))+1)</f>
        <v>109</v>
      </c>
    </row>
    <row r="1717" ht="28" customHeight="1" spans="4:23">
      <c r="D1717" s="31">
        <v>46030</v>
      </c>
      <c r="E1717" s="29">
        <v>19167641</v>
      </c>
      <c r="F1717" s="29" t="s">
        <v>1</v>
      </c>
      <c r="G1717" s="29" t="s">
        <v>358</v>
      </c>
      <c r="H1717" s="29">
        <v>108</v>
      </c>
      <c r="I1717" s="29">
        <v>106</v>
      </c>
      <c r="J1717" s="29">
        <v>71.75</v>
      </c>
      <c r="K1717" s="29">
        <v>76</v>
      </c>
      <c r="L1717" s="29">
        <v>73</v>
      </c>
      <c r="M1717" s="29">
        <v>74</v>
      </c>
      <c r="N1717" s="29">
        <v>76</v>
      </c>
      <c r="O1717" s="32">
        <v>584.75</v>
      </c>
      <c r="P1717" s="29" cm="1">
        <f t="array" ref="P1717">IF(表成绩单[[#This Row],[语文]]="","",SUMPRODUCT((表成绩单[考试日期]=表成绩单[[#This Row],[考试日期]])*(表成绩单[语文]&lt;9E+307)*(表成绩单[语文]&gt;表成绩单[[#This Row],[语文]]))+1)</f>
        <v>29</v>
      </c>
      <c r="Q1717" s="29" cm="1">
        <f t="array" ref="Q1717">IF(表成绩单[[#This Row],[数学]]="","",SUMPRODUCT((表成绩单[考试日期]=表成绩单[[#This Row],[考试日期]])*(表成绩单[数学]&lt;9E+307)*(表成绩单[数学]&gt;表成绩单[[#This Row],[数学]]))+1)</f>
        <v>50</v>
      </c>
      <c r="R1717" s="29" cm="1">
        <f t="array" ref="R1717">IF(表成绩单[[#This Row],[英语]]="","",SUMPRODUCT((表成绩单[考试日期]=表成绩单[[#This Row],[考试日期]])*(表成绩单[英语]&lt;9E+307)*(表成绩单[英语]&gt;表成绩单[[#This Row],[英语]]))+1)</f>
        <v>270</v>
      </c>
      <c r="S1717" s="29" cm="1">
        <f t="array" ref="S1717">IF(表成绩单[[#This Row],[物理]]="","",SUMPRODUCT((表成绩单[考试日期]=表成绩单[[#This Row],[考试日期]])*(表成绩单[物理]&lt;9E+307)*(表成绩单[物理]&gt;表成绩单[[#This Row],[物理]]))+1)</f>
        <v>218</v>
      </c>
      <c r="T1717" s="29" cm="1">
        <f t="array" ref="T1717">IF(表成绩单[[#This Row],[化学]]="","",SUMPRODUCT((表成绩单[考试日期]=表成绩单[[#This Row],[考试日期]])*(表成绩单[化学]&lt;9E+307)*(表成绩单[化学]&gt;表成绩单[[#This Row],[化学]]))+1)</f>
        <v>236</v>
      </c>
      <c r="U1717" s="29" cm="1">
        <f t="array" ref="U1717">IF(表成绩单[[#This Row],[政治]]="","",SUMPRODUCT((表成绩单[考试日期]=表成绩单[[#This Row],[考试日期]])*(表成绩单[政治]&lt;9E+307)*(表成绩单[政治]&gt;表成绩单[[#This Row],[政治]]))+1)</f>
        <v>168</v>
      </c>
      <c r="V1717" s="29" cm="1">
        <f t="array" ref="V1717">IF(表成绩单[[#This Row],[历史]]="","",SUMPRODUCT((表成绩单[考试日期]=表成绩单[[#This Row],[考试日期]])*(表成绩单[历史]&lt;9E+307)*(表成绩单[历史]&gt;表成绩单[[#This Row],[历史]]))+1)</f>
        <v>169</v>
      </c>
      <c r="W1717" s="29" cm="1">
        <f t="array" ref="W1717">IF(表成绩单[[#This Row],[总分]]="","",SUMPRODUCT((表成绩单[考试日期]=表成绩单[[#This Row],[考试日期]])*(表成绩单[总分]&lt;9E+307)*(表成绩单[总分]&gt;表成绩单[[#This Row],[总分]]))+1)</f>
        <v>111</v>
      </c>
    </row>
    <row r="1718" ht="28" customHeight="1" spans="4:23">
      <c r="D1718" s="31">
        <v>46030</v>
      </c>
      <c r="E1718" s="29">
        <v>19167648</v>
      </c>
      <c r="F1718" s="29" t="s">
        <v>1</v>
      </c>
      <c r="G1718" s="29" t="s">
        <v>205</v>
      </c>
      <c r="H1718" s="29">
        <v>102</v>
      </c>
      <c r="I1718" s="29">
        <v>100</v>
      </c>
      <c r="J1718" s="29">
        <v>77.5</v>
      </c>
      <c r="K1718" s="29">
        <v>76</v>
      </c>
      <c r="L1718" s="29">
        <v>78</v>
      </c>
      <c r="M1718" s="29">
        <v>69</v>
      </c>
      <c r="N1718" s="29">
        <v>81</v>
      </c>
      <c r="O1718" s="32">
        <v>583.5</v>
      </c>
      <c r="P1718" s="29" cm="1">
        <f t="array" ref="P1718">IF(表成绩单[[#This Row],[语文]]="","",SUMPRODUCT((表成绩单[考试日期]=表成绩单[[#This Row],[考试日期]])*(表成绩单[语文]&lt;9E+307)*(表成绩单[语文]&gt;表成绩单[[#This Row],[语文]]))+1)</f>
        <v>132</v>
      </c>
      <c r="Q1718" s="29" cm="1">
        <f t="array" ref="Q1718">IF(表成绩单[[#This Row],[数学]]="","",SUMPRODUCT((表成绩单[考试日期]=表成绩单[[#This Row],[考试日期]])*(表成绩单[数学]&lt;9E+307)*(表成绩单[数学]&gt;表成绩单[[#This Row],[数学]]))+1)</f>
        <v>110</v>
      </c>
      <c r="R1718" s="29" cm="1">
        <f t="array" ref="R1718">IF(表成绩单[[#This Row],[英语]]="","",SUMPRODUCT((表成绩单[考试日期]=表成绩单[[#This Row],[考试日期]])*(表成绩单[英语]&lt;9E+307)*(表成绩单[英语]&gt;表成绩单[[#This Row],[英语]]))+1)</f>
        <v>89</v>
      </c>
      <c r="S1718" s="29" cm="1">
        <f t="array" ref="S1718">IF(表成绩单[[#This Row],[物理]]="","",SUMPRODUCT((表成绩单[考试日期]=表成绩单[[#This Row],[考试日期]])*(表成绩单[物理]&lt;9E+307)*(表成绩单[物理]&gt;表成绩单[[#This Row],[物理]]))+1)</f>
        <v>218</v>
      </c>
      <c r="T1718" s="29" cm="1">
        <f t="array" ref="T1718">IF(表成绩单[[#This Row],[化学]]="","",SUMPRODUCT((表成绩单[考试日期]=表成绩单[[#This Row],[考试日期]])*(表成绩单[化学]&lt;9E+307)*(表成绩单[化学]&gt;表成绩单[[#This Row],[化学]]))+1)</f>
        <v>93</v>
      </c>
      <c r="U1718" s="29" cm="1">
        <f t="array" ref="U1718">IF(表成绩单[[#This Row],[政治]]="","",SUMPRODUCT((表成绩单[考试日期]=表成绩单[[#This Row],[考试日期]])*(表成绩单[政治]&lt;9E+307)*(表成绩单[政治]&gt;表成绩单[[#This Row],[政治]]))+1)</f>
        <v>308</v>
      </c>
      <c r="V1718" s="29" cm="1">
        <f t="array" ref="V1718">IF(表成绩单[[#This Row],[历史]]="","",SUMPRODUCT((表成绩单[考试日期]=表成绩单[[#This Row],[考试日期]])*(表成绩单[历史]&lt;9E+307)*(表成绩单[历史]&gt;表成绩单[[#This Row],[历史]]))+1)</f>
        <v>60</v>
      </c>
      <c r="W1718" s="29" cm="1">
        <f t="array" ref="W1718">IF(表成绩单[[#This Row],[总分]]="","",SUMPRODUCT((表成绩单[考试日期]=表成绩单[[#This Row],[考试日期]])*(表成绩单[总分]&lt;9E+307)*(表成绩单[总分]&gt;表成绩单[[#This Row],[总分]]))+1)</f>
        <v>112</v>
      </c>
    </row>
    <row r="1719" ht="28" customHeight="1" spans="4:23">
      <c r="D1719" s="31">
        <v>46030</v>
      </c>
      <c r="E1719" s="29">
        <v>19175685</v>
      </c>
      <c r="F1719" s="29" t="s">
        <v>72</v>
      </c>
      <c r="G1719" s="29" t="s">
        <v>236</v>
      </c>
      <c r="H1719" s="29">
        <v>97</v>
      </c>
      <c r="I1719" s="29">
        <v>110</v>
      </c>
      <c r="J1719" s="29">
        <v>67.5</v>
      </c>
      <c r="K1719" s="29">
        <v>81</v>
      </c>
      <c r="L1719" s="29">
        <v>81</v>
      </c>
      <c r="M1719" s="29">
        <v>75</v>
      </c>
      <c r="N1719" s="29">
        <v>72</v>
      </c>
      <c r="O1719" s="32">
        <v>583.5</v>
      </c>
      <c r="P1719" s="29" cm="1">
        <f t="array" ref="P1719">IF(表成绩单[[#This Row],[语文]]="","",SUMPRODUCT((表成绩单[考试日期]=表成绩单[[#This Row],[考试日期]])*(表成绩单[语文]&lt;9E+307)*(表成绩单[语文]&gt;表成绩单[[#This Row],[语文]]))+1)</f>
        <v>291</v>
      </c>
      <c r="Q1719" s="29" cm="1">
        <f t="array" ref="Q1719">IF(表成绩单[[#This Row],[数学]]="","",SUMPRODUCT((表成绩单[考试日期]=表成绩单[[#This Row],[考试日期]])*(表成绩单[数学]&lt;9E+307)*(表成绩单[数学]&gt;表成绩单[[#This Row],[数学]]))+1)</f>
        <v>27</v>
      </c>
      <c r="R1719" s="29" cm="1">
        <f t="array" ref="R1719">IF(表成绩单[[#This Row],[英语]]="","",SUMPRODUCT((表成绩单[考试日期]=表成绩单[[#This Row],[考试日期]])*(表成绩单[英语]&lt;9E+307)*(表成绩单[英语]&gt;表成绩单[[#This Row],[英语]]))+1)</f>
        <v>377</v>
      </c>
      <c r="S1719" s="29" cm="1">
        <f t="array" ref="S1719">IF(表成绩单[[#This Row],[物理]]="","",SUMPRODUCT((表成绩单[考试日期]=表成绩单[[#This Row],[考试日期]])*(表成绩单[物理]&lt;9E+307)*(表成绩单[物理]&gt;表成绩单[[#This Row],[物理]]))+1)</f>
        <v>119</v>
      </c>
      <c r="T1719" s="29" cm="1">
        <f t="array" ref="T1719">IF(表成绩单[[#This Row],[化学]]="","",SUMPRODUCT((表成绩单[考试日期]=表成绩单[[#This Row],[考试日期]])*(表成绩单[化学]&lt;9E+307)*(表成绩单[化学]&gt;表成绩单[[#This Row],[化学]]))+1)</f>
        <v>43</v>
      </c>
      <c r="U1719" s="29" cm="1">
        <f t="array" ref="U1719">IF(表成绩单[[#This Row],[政治]]="","",SUMPRODUCT((表成绩单[考试日期]=表成绩单[[#This Row],[考试日期]])*(表成绩单[政治]&lt;9E+307)*(表成绩单[政治]&gt;表成绩单[[#This Row],[政治]]))+1)</f>
        <v>137</v>
      </c>
      <c r="V1719" s="29" cm="1">
        <f t="array" ref="V1719">IF(表成绩单[[#This Row],[历史]]="","",SUMPRODUCT((表成绩单[考试日期]=表成绩单[[#This Row],[考试日期]])*(表成绩单[历史]&lt;9E+307)*(表成绩单[历史]&gt;表成绩单[[#This Row],[历史]]))+1)</f>
        <v>266</v>
      </c>
      <c r="W1719" s="29" cm="1">
        <f t="array" ref="W1719">IF(表成绩单[[#This Row],[总分]]="","",SUMPRODUCT((表成绩单[考试日期]=表成绩单[[#This Row],[考试日期]])*(表成绩单[总分]&lt;9E+307)*(表成绩单[总分]&gt;表成绩单[[#This Row],[总分]]))+1)</f>
        <v>112</v>
      </c>
    </row>
    <row r="1720" ht="28" customHeight="1" spans="4:23">
      <c r="D1720" s="31">
        <v>46030</v>
      </c>
      <c r="E1720" s="29">
        <v>19177225</v>
      </c>
      <c r="F1720" s="29" t="s">
        <v>70</v>
      </c>
      <c r="G1720" s="29" t="s">
        <v>166</v>
      </c>
      <c r="H1720" s="29">
        <v>98</v>
      </c>
      <c r="I1720" s="29">
        <v>104</v>
      </c>
      <c r="J1720" s="29">
        <v>72.5</v>
      </c>
      <c r="K1720" s="29">
        <v>85</v>
      </c>
      <c r="L1720" s="29">
        <v>75</v>
      </c>
      <c r="M1720" s="29">
        <v>71</v>
      </c>
      <c r="N1720" s="29">
        <v>78</v>
      </c>
      <c r="O1720" s="32">
        <v>583.5</v>
      </c>
      <c r="P1720" s="29" cm="1">
        <f t="array" ref="P1720">IF(表成绩单[[#This Row],[语文]]="","",SUMPRODUCT((表成绩单[考试日期]=表成绩单[[#This Row],[考试日期]])*(表成绩单[语文]&lt;9E+307)*(表成绩单[语文]&gt;表成绩单[[#This Row],[语文]]))+1)</f>
        <v>248</v>
      </c>
      <c r="Q1720" s="29" cm="1">
        <f t="array" ref="Q1720">IF(表成绩单[[#This Row],[数学]]="","",SUMPRODUCT((表成绩单[考试日期]=表成绩单[[#This Row],[考试日期]])*(表成绩单[数学]&lt;9E+307)*(表成绩单[数学]&gt;表成绩单[[#This Row],[数学]]))+1)</f>
        <v>80</v>
      </c>
      <c r="R1720" s="29" cm="1">
        <f t="array" ref="R1720">IF(表成绩单[[#This Row],[英语]]="","",SUMPRODUCT((表成绩单[考试日期]=表成绩单[[#This Row],[考试日期]])*(表成绩单[英语]&lt;9E+307)*(表成绩单[英语]&gt;表成绩单[[#This Row],[英语]]))+1)</f>
        <v>242</v>
      </c>
      <c r="S1720" s="29" cm="1">
        <f t="array" ref="S1720">IF(表成绩单[[#This Row],[物理]]="","",SUMPRODUCT((表成绩单[考试日期]=表成绩单[[#This Row],[考试日期]])*(表成绩单[物理]&lt;9E+307)*(表成绩单[物理]&gt;表成绩单[[#This Row],[物理]]))+1)</f>
        <v>56</v>
      </c>
      <c r="T1720" s="29" cm="1">
        <f t="array" ref="T1720">IF(表成绩单[[#This Row],[化学]]="","",SUMPRODUCT((表成绩单[考试日期]=表成绩单[[#This Row],[考试日期]])*(表成绩单[化学]&lt;9E+307)*(表成绩单[化学]&gt;表成绩单[[#This Row],[化学]]))+1)</f>
        <v>169</v>
      </c>
      <c r="U1720" s="29" cm="1">
        <f t="array" ref="U1720">IF(表成绩单[[#This Row],[政治]]="","",SUMPRODUCT((表成绩单[考试日期]=表成绩单[[#This Row],[考试日期]])*(表成绩单[政治]&lt;9E+307)*(表成绩单[政治]&gt;表成绩单[[#This Row],[政治]]))+1)</f>
        <v>248</v>
      </c>
      <c r="V1720" s="29" cm="1">
        <f t="array" ref="V1720">IF(表成绩单[[#This Row],[历史]]="","",SUMPRODUCT((表成绩单[考试日期]=表成绩单[[#This Row],[考试日期]])*(表成绩单[历史]&lt;9E+307)*(表成绩单[历史]&gt;表成绩单[[#This Row],[历史]]))+1)</f>
        <v>126</v>
      </c>
      <c r="W1720" s="29" cm="1">
        <f t="array" ref="W1720">IF(表成绩单[[#This Row],[总分]]="","",SUMPRODUCT((表成绩单[考试日期]=表成绩单[[#This Row],[考试日期]])*(表成绩单[总分]&lt;9E+307)*(表成绩单[总分]&gt;表成绩单[[#This Row],[总分]]))+1)</f>
        <v>112</v>
      </c>
    </row>
    <row r="1721" ht="28" customHeight="1" spans="4:23">
      <c r="D1721" s="31">
        <v>46030</v>
      </c>
      <c r="E1721" s="29">
        <v>19175401</v>
      </c>
      <c r="F1721" s="29" t="s">
        <v>74</v>
      </c>
      <c r="G1721" s="29" t="s">
        <v>101</v>
      </c>
      <c r="H1721" s="29">
        <v>99</v>
      </c>
      <c r="I1721" s="29">
        <v>88</v>
      </c>
      <c r="J1721" s="29">
        <v>75</v>
      </c>
      <c r="K1721" s="29">
        <v>84</v>
      </c>
      <c r="L1721" s="29">
        <v>75</v>
      </c>
      <c r="M1721" s="29">
        <v>75</v>
      </c>
      <c r="N1721" s="29">
        <v>87</v>
      </c>
      <c r="O1721" s="32">
        <v>583</v>
      </c>
      <c r="P1721" s="29" cm="1">
        <f t="array" ref="P1721">IF(表成绩单[[#This Row],[语文]]="","",SUMPRODUCT((表成绩单[考试日期]=表成绩单[[#This Row],[考试日期]])*(表成绩单[语文]&lt;9E+307)*(表成绩单[语文]&gt;表成绩单[[#This Row],[语文]]))+1)</f>
        <v>213</v>
      </c>
      <c r="Q1721" s="29" cm="1">
        <f t="array" ref="Q1721">IF(表成绩单[[#This Row],[数学]]="","",SUMPRODUCT((表成绩单[考试日期]=表成绩单[[#This Row],[考试日期]])*(表成绩单[数学]&lt;9E+307)*(表成绩单[数学]&gt;表成绩单[[#This Row],[数学]]))+1)</f>
        <v>245</v>
      </c>
      <c r="R1721" s="29" cm="1">
        <f t="array" ref="R1721">IF(表成绩单[[#This Row],[英语]]="","",SUMPRODUCT((表成绩单[考试日期]=表成绩单[[#This Row],[考试日期]])*(表成绩单[英语]&lt;9E+307)*(表成绩单[英语]&gt;表成绩单[[#This Row],[英语]]))+1)</f>
        <v>164</v>
      </c>
      <c r="S1721" s="29" cm="1">
        <f t="array" ref="S1721">IF(表成绩单[[#This Row],[物理]]="","",SUMPRODUCT((表成绩单[考试日期]=表成绩单[[#This Row],[考试日期]])*(表成绩单[物理]&lt;9E+307)*(表成绩单[物理]&gt;表成绩单[[#This Row],[物理]]))+1)</f>
        <v>73</v>
      </c>
      <c r="T1721" s="29" cm="1">
        <f t="array" ref="T1721">IF(表成绩单[[#This Row],[化学]]="","",SUMPRODUCT((表成绩单[考试日期]=表成绩单[[#This Row],[考试日期]])*(表成绩单[化学]&lt;9E+307)*(表成绩单[化学]&gt;表成绩单[[#This Row],[化学]]))+1)</f>
        <v>169</v>
      </c>
      <c r="U1721" s="29" cm="1">
        <f t="array" ref="U1721">IF(表成绩单[[#This Row],[政治]]="","",SUMPRODUCT((表成绩单[考试日期]=表成绩单[[#This Row],[考试日期]])*(表成绩单[政治]&lt;9E+307)*(表成绩单[政治]&gt;表成绩单[[#This Row],[政治]]))+1)</f>
        <v>137</v>
      </c>
      <c r="V1721" s="29" cm="1">
        <f t="array" ref="V1721">IF(表成绩单[[#This Row],[历史]]="","",SUMPRODUCT((表成绩单[考试日期]=表成绩单[[#This Row],[考试日期]])*(表成绩单[历史]&lt;9E+307)*(表成绩单[历史]&gt;表成绩单[[#This Row],[历史]]))+1)</f>
        <v>4</v>
      </c>
      <c r="W1721" s="29" cm="1">
        <f t="array" ref="W1721">IF(表成绩单[[#This Row],[总分]]="","",SUMPRODUCT((表成绩单[考试日期]=表成绩单[[#This Row],[考试日期]])*(表成绩单[总分]&lt;9E+307)*(表成绩单[总分]&gt;表成绩单[[#This Row],[总分]]))+1)</f>
        <v>115</v>
      </c>
    </row>
    <row r="1722" ht="28" customHeight="1" spans="4:23">
      <c r="D1722" s="31">
        <v>46030</v>
      </c>
      <c r="E1722" s="29">
        <v>19174467</v>
      </c>
      <c r="F1722" s="29" t="s">
        <v>73</v>
      </c>
      <c r="G1722" s="29" t="s">
        <v>167</v>
      </c>
      <c r="H1722" s="29">
        <v>109</v>
      </c>
      <c r="I1722" s="29">
        <v>111</v>
      </c>
      <c r="J1722" s="29">
        <v>70.5</v>
      </c>
      <c r="K1722" s="29">
        <v>83</v>
      </c>
      <c r="L1722" s="29">
        <v>73</v>
      </c>
      <c r="M1722" s="29">
        <v>63</v>
      </c>
      <c r="N1722" s="29">
        <v>73</v>
      </c>
      <c r="O1722" s="32">
        <v>582.5</v>
      </c>
      <c r="P1722" s="29" cm="1">
        <f t="array" ref="P1722">IF(表成绩单[[#This Row],[语文]]="","",SUMPRODUCT((表成绩单[考试日期]=表成绩单[[#This Row],[考试日期]])*(表成绩单[语文]&lt;9E+307)*(表成绩单[语文]&gt;表成绩单[[#This Row],[语文]]))+1)</f>
        <v>19</v>
      </c>
      <c r="Q1722" s="29" cm="1">
        <f t="array" ref="Q1722">IF(表成绩单[[#This Row],[数学]]="","",SUMPRODUCT((表成绩单[考试日期]=表成绩单[[#This Row],[考试日期]])*(表成绩单[数学]&lt;9E+307)*(表成绩单[数学]&gt;表成绩单[[#This Row],[数学]]))+1)</f>
        <v>21</v>
      </c>
      <c r="R1722" s="29" cm="1">
        <f t="array" ref="R1722">IF(表成绩单[[#This Row],[英语]]="","",SUMPRODUCT((表成绩单[考试日期]=表成绩单[[#This Row],[考试日期]])*(表成绩单[英语]&lt;9E+307)*(表成绩单[英语]&gt;表成绩单[[#This Row],[英语]]))+1)</f>
        <v>299</v>
      </c>
      <c r="S1722" s="29" cm="1">
        <f t="array" ref="S1722">IF(表成绩单[[#This Row],[物理]]="","",SUMPRODUCT((表成绩单[考试日期]=表成绩单[[#This Row],[考试日期]])*(表成绩单[物理]&lt;9E+307)*(表成绩单[物理]&gt;表成绩单[[#This Row],[物理]]))+1)</f>
        <v>88</v>
      </c>
      <c r="T1722" s="29" cm="1">
        <f t="array" ref="T1722">IF(表成绩单[[#This Row],[化学]]="","",SUMPRODUCT((表成绩单[考试日期]=表成绩单[[#This Row],[考试日期]])*(表成绩单[化学]&lt;9E+307)*(表成绩单[化学]&gt;表成绩单[[#This Row],[化学]]))+1)</f>
        <v>236</v>
      </c>
      <c r="U1722" s="29" cm="1">
        <f t="array" ref="U1722">IF(表成绩单[[#This Row],[政治]]="","",SUMPRODUCT((表成绩单[考试日期]=表成绩单[[#This Row],[考试日期]])*(表成绩单[政治]&lt;9E+307)*(表成绩单[政治]&gt;表成绩单[[#This Row],[政治]]))+1)</f>
        <v>486</v>
      </c>
      <c r="V1722" s="29" cm="1">
        <f t="array" ref="V1722">IF(表成绩单[[#This Row],[历史]]="","",SUMPRODUCT((表成绩单[考试日期]=表成绩单[[#This Row],[考试日期]])*(表成绩单[历史]&lt;9E+307)*(表成绩单[历史]&gt;表成绩单[[#This Row],[历史]]))+1)</f>
        <v>240</v>
      </c>
      <c r="W1722" s="29" cm="1">
        <f t="array" ref="W1722">IF(表成绩单[[#This Row],[总分]]="","",SUMPRODUCT((表成绩单[考试日期]=表成绩单[[#This Row],[考试日期]])*(表成绩单[总分]&lt;9E+307)*(表成绩单[总分]&gt;表成绩单[[#This Row],[总分]]))+1)</f>
        <v>116</v>
      </c>
    </row>
    <row r="1723" ht="28" customHeight="1" spans="4:23">
      <c r="D1723" s="31">
        <v>46030</v>
      </c>
      <c r="E1723" s="29">
        <v>19175394</v>
      </c>
      <c r="F1723" s="29" t="s">
        <v>74</v>
      </c>
      <c r="G1723" s="29" t="s">
        <v>417</v>
      </c>
      <c r="H1723" s="29">
        <v>97</v>
      </c>
      <c r="I1723" s="29">
        <v>101</v>
      </c>
      <c r="J1723" s="29">
        <v>66</v>
      </c>
      <c r="K1723" s="29">
        <v>89</v>
      </c>
      <c r="L1723" s="29">
        <v>78</v>
      </c>
      <c r="M1723" s="29">
        <v>81</v>
      </c>
      <c r="N1723" s="29">
        <v>70</v>
      </c>
      <c r="O1723" s="32">
        <v>582</v>
      </c>
      <c r="P1723" s="29" cm="1">
        <f t="array" ref="P1723">IF(表成绩单[[#This Row],[语文]]="","",SUMPRODUCT((表成绩单[考试日期]=表成绩单[[#This Row],[考试日期]])*(表成绩单[语文]&lt;9E+307)*(表成绩单[语文]&gt;表成绩单[[#This Row],[语文]]))+1)</f>
        <v>291</v>
      </c>
      <c r="Q1723" s="29" cm="1">
        <f t="array" ref="Q1723">IF(表成绩单[[#This Row],[数学]]="","",SUMPRODUCT((表成绩单[考试日期]=表成绩单[[#This Row],[考试日期]])*(表成绩单[数学]&lt;9E+307)*(表成绩单[数学]&gt;表成绩单[[#This Row],[数学]]))+1)</f>
        <v>104</v>
      </c>
      <c r="R1723" s="29" cm="1">
        <f t="array" ref="R1723">IF(表成绩单[[#This Row],[英语]]="","",SUMPRODUCT((表成绩单[考试日期]=表成绩单[[#This Row],[考试日期]])*(表成绩单[英语]&lt;9E+307)*(表成绩单[英语]&gt;表成绩单[[#This Row],[英语]]))+1)</f>
        <v>421</v>
      </c>
      <c r="S1723" s="29" cm="1">
        <f t="array" ref="S1723">IF(表成绩单[[#This Row],[物理]]="","",SUMPRODUCT((表成绩单[考试日期]=表成绩单[[#This Row],[考试日期]])*(表成绩单[物理]&lt;9E+307)*(表成绩单[物理]&gt;表成绩单[[#This Row],[物理]]))+1)</f>
        <v>11</v>
      </c>
      <c r="T1723" s="29" cm="1">
        <f t="array" ref="T1723">IF(表成绩单[[#This Row],[化学]]="","",SUMPRODUCT((表成绩单[考试日期]=表成绩单[[#This Row],[考试日期]])*(表成绩单[化学]&lt;9E+307)*(表成绩单[化学]&gt;表成绩单[[#This Row],[化学]]))+1)</f>
        <v>93</v>
      </c>
      <c r="U1723" s="29" cm="1">
        <f t="array" ref="U1723">IF(表成绩单[[#This Row],[政治]]="","",SUMPRODUCT((表成绩单[考试日期]=表成绩单[[#This Row],[考试日期]])*(表成绩单[政治]&lt;9E+307)*(表成绩单[政治]&gt;表成绩单[[#This Row],[政治]]))+1)</f>
        <v>18</v>
      </c>
      <c r="V1723" s="29" cm="1">
        <f t="array" ref="V1723">IF(表成绩单[[#This Row],[历史]]="","",SUMPRODUCT((表成绩单[考试日期]=表成绩单[[#This Row],[考试日期]])*(表成绩单[历史]&lt;9E+307)*(表成绩单[历史]&gt;表成绩单[[#This Row],[历史]]))+1)</f>
        <v>328</v>
      </c>
      <c r="W1723" s="29" cm="1">
        <f t="array" ref="W1723">IF(表成绩单[[#This Row],[总分]]="","",SUMPRODUCT((表成绩单[考试日期]=表成绩单[[#This Row],[考试日期]])*(表成绩单[总分]&lt;9E+307)*(表成绩单[总分]&gt;表成绩单[[#This Row],[总分]]))+1)</f>
        <v>117</v>
      </c>
    </row>
    <row r="1724" ht="28" customHeight="1" spans="4:23">
      <c r="D1724" s="31">
        <v>46030</v>
      </c>
      <c r="E1724" s="29">
        <v>19175406</v>
      </c>
      <c r="F1724" s="29" t="s">
        <v>74</v>
      </c>
      <c r="G1724" s="29" t="s">
        <v>252</v>
      </c>
      <c r="H1724" s="29">
        <v>101</v>
      </c>
      <c r="I1724" s="29">
        <v>101</v>
      </c>
      <c r="J1724" s="29">
        <v>73.5</v>
      </c>
      <c r="K1724" s="29">
        <v>84</v>
      </c>
      <c r="L1724" s="29">
        <v>74</v>
      </c>
      <c r="M1724" s="29">
        <v>80</v>
      </c>
      <c r="N1724" s="29">
        <v>68</v>
      </c>
      <c r="O1724" s="32">
        <v>581.5</v>
      </c>
      <c r="P1724" s="29" cm="1">
        <f t="array" ref="P1724">IF(表成绩单[[#This Row],[语文]]="","",SUMPRODUCT((表成绩单[考试日期]=表成绩单[[#This Row],[考试日期]])*(表成绩单[语文]&lt;9E+307)*(表成绩单[语文]&gt;表成绩单[[#This Row],[语文]]))+1)</f>
        <v>159</v>
      </c>
      <c r="Q1724" s="29" cm="1">
        <f t="array" ref="Q1724">IF(表成绩单[[#This Row],[数学]]="","",SUMPRODUCT((表成绩单[考试日期]=表成绩单[[#This Row],[考试日期]])*(表成绩单[数学]&lt;9E+307)*(表成绩单[数学]&gt;表成绩单[[#This Row],[数学]]))+1)</f>
        <v>104</v>
      </c>
      <c r="R1724" s="29" cm="1">
        <f t="array" ref="R1724">IF(表成绩单[[#This Row],[英语]]="","",SUMPRODUCT((表成绩单[考试日期]=表成绩单[[#This Row],[考试日期]])*(表成绩单[英语]&lt;9E+307)*(表成绩单[英语]&gt;表成绩单[[#This Row],[英语]]))+1)</f>
        <v>209</v>
      </c>
      <c r="S1724" s="29" cm="1">
        <f t="array" ref="S1724">IF(表成绩单[[#This Row],[物理]]="","",SUMPRODUCT((表成绩单[考试日期]=表成绩单[[#This Row],[考试日期]])*(表成绩单[物理]&lt;9E+307)*(表成绩单[物理]&gt;表成绩单[[#This Row],[物理]]))+1)</f>
        <v>73</v>
      </c>
      <c r="T1724" s="29" cm="1">
        <f t="array" ref="T1724">IF(表成绩单[[#This Row],[化学]]="","",SUMPRODUCT((表成绩单[考试日期]=表成绩单[[#This Row],[考试日期]])*(表成绩单[化学]&lt;9E+307)*(表成绩单[化学]&gt;表成绩单[[#This Row],[化学]]))+1)</f>
        <v>208</v>
      </c>
      <c r="U1724" s="29" cm="1">
        <f t="array" ref="U1724">IF(表成绩单[[#This Row],[政治]]="","",SUMPRODUCT((表成绩单[考试日期]=表成绩单[[#This Row],[考试日期]])*(表成绩单[政治]&lt;9E+307)*(表成绩单[政治]&gt;表成绩单[[#This Row],[政治]]))+1)</f>
        <v>28</v>
      </c>
      <c r="V1724" s="29" cm="1">
        <f t="array" ref="V1724">IF(表成绩单[[#This Row],[历史]]="","",SUMPRODUCT((表成绩单[考试日期]=表成绩单[[#This Row],[考试日期]])*(表成绩单[历史]&lt;9E+307)*(表成绩单[历史]&gt;表成绩单[[#This Row],[历史]]))+1)</f>
        <v>390</v>
      </c>
      <c r="W1724" s="29" cm="1">
        <f t="array" ref="W1724">IF(表成绩单[[#This Row],[总分]]="","",SUMPRODUCT((表成绩单[考试日期]=表成绩单[[#This Row],[考试日期]])*(表成绩单[总分]&lt;9E+307)*(表成绩单[总分]&gt;表成绩单[[#This Row],[总分]]))+1)</f>
        <v>118</v>
      </c>
    </row>
    <row r="1725" ht="28" customHeight="1" spans="4:23">
      <c r="D1725" s="31">
        <v>46030</v>
      </c>
      <c r="E1725" s="29">
        <v>19176862</v>
      </c>
      <c r="F1725" s="29" t="s">
        <v>71</v>
      </c>
      <c r="G1725" s="29" t="s">
        <v>366</v>
      </c>
      <c r="H1725" s="29">
        <v>105</v>
      </c>
      <c r="I1725" s="29">
        <v>91</v>
      </c>
      <c r="J1725" s="29">
        <v>75</v>
      </c>
      <c r="K1725" s="29">
        <v>85</v>
      </c>
      <c r="L1725" s="29">
        <v>77</v>
      </c>
      <c r="M1725" s="29">
        <v>77</v>
      </c>
      <c r="N1725" s="29">
        <v>71</v>
      </c>
      <c r="O1725" s="32">
        <v>581</v>
      </c>
      <c r="P1725" s="29" cm="1">
        <f t="array" ref="P1725">IF(表成绩单[[#This Row],[语文]]="","",SUMPRODUCT((表成绩单[考试日期]=表成绩单[[#This Row],[考试日期]])*(表成绩单[语文]&lt;9E+307)*(表成绩单[语文]&gt;表成绩单[[#This Row],[语文]]))+1)</f>
        <v>62</v>
      </c>
      <c r="Q1725" s="29" cm="1">
        <f t="array" ref="Q1725">IF(表成绩单[[#This Row],[数学]]="","",SUMPRODUCT((表成绩单[考试日期]=表成绩单[[#This Row],[考试日期]])*(表成绩单[数学]&lt;9E+307)*(表成绩单[数学]&gt;表成绩单[[#This Row],[数学]]))+1)</f>
        <v>204</v>
      </c>
      <c r="R1725" s="29" cm="1">
        <f t="array" ref="R1725">IF(表成绩单[[#This Row],[英语]]="","",SUMPRODUCT((表成绩单[考试日期]=表成绩单[[#This Row],[考试日期]])*(表成绩单[英语]&lt;9E+307)*(表成绩单[英语]&gt;表成绩单[[#This Row],[英语]]))+1)</f>
        <v>164</v>
      </c>
      <c r="S1725" s="29" cm="1">
        <f t="array" ref="S1725">IF(表成绩单[[#This Row],[物理]]="","",SUMPRODUCT((表成绩单[考试日期]=表成绩单[[#This Row],[考试日期]])*(表成绩单[物理]&lt;9E+307)*(表成绩单[物理]&gt;表成绩单[[#This Row],[物理]]))+1)</f>
        <v>56</v>
      </c>
      <c r="T1725" s="29" cm="1">
        <f t="array" ref="T1725">IF(表成绩单[[#This Row],[化学]]="","",SUMPRODUCT((表成绩单[考试日期]=表成绩单[[#This Row],[考试日期]])*(表成绩单[化学]&lt;9E+307)*(表成绩单[化学]&gt;表成绩单[[#This Row],[化学]]))+1)</f>
        <v>116</v>
      </c>
      <c r="U1725" s="29" cm="1">
        <f t="array" ref="U1725">IF(表成绩单[[#This Row],[政治]]="","",SUMPRODUCT((表成绩单[考试日期]=表成绩单[[#This Row],[考试日期]])*(表成绩单[政治]&lt;9E+307)*(表成绩单[政治]&gt;表成绩单[[#This Row],[政治]]))+1)</f>
        <v>88</v>
      </c>
      <c r="V1725" s="29" cm="1">
        <f t="array" ref="V1725">IF(表成绩单[[#This Row],[历史]]="","",SUMPRODUCT((表成绩单[考试日期]=表成绩单[[#This Row],[考试日期]])*(表成绩单[历史]&lt;9E+307)*(表成绩单[历史]&gt;表成绩单[[#This Row],[历史]]))+1)</f>
        <v>297</v>
      </c>
      <c r="W1725" s="29" cm="1">
        <f t="array" ref="W1725">IF(表成绩单[[#This Row],[总分]]="","",SUMPRODUCT((表成绩单[考试日期]=表成绩单[[#This Row],[考试日期]])*(表成绩单[总分]&lt;9E+307)*(表成绩单[总分]&gt;表成绩单[[#This Row],[总分]]))+1)</f>
        <v>119</v>
      </c>
    </row>
    <row r="1726" ht="28" customHeight="1" spans="4:23">
      <c r="D1726" s="31">
        <v>46030</v>
      </c>
      <c r="E1726" s="29">
        <v>19177202</v>
      </c>
      <c r="F1726" s="29" t="s">
        <v>70</v>
      </c>
      <c r="G1726" s="29" t="s">
        <v>162</v>
      </c>
      <c r="H1726" s="29">
        <v>101</v>
      </c>
      <c r="I1726" s="29">
        <v>106</v>
      </c>
      <c r="J1726" s="29">
        <v>76</v>
      </c>
      <c r="K1726" s="29">
        <v>67</v>
      </c>
      <c r="L1726" s="29">
        <v>83</v>
      </c>
      <c r="M1726" s="29">
        <v>67</v>
      </c>
      <c r="N1726" s="29">
        <v>81</v>
      </c>
      <c r="O1726" s="32">
        <v>581</v>
      </c>
      <c r="P1726" s="29" cm="1">
        <f t="array" ref="P1726">IF(表成绩单[[#This Row],[语文]]="","",SUMPRODUCT((表成绩单[考试日期]=表成绩单[[#This Row],[考试日期]])*(表成绩单[语文]&lt;9E+307)*(表成绩单[语文]&gt;表成绩单[[#This Row],[语文]]))+1)</f>
        <v>159</v>
      </c>
      <c r="Q1726" s="29" cm="1">
        <f t="array" ref="Q1726">IF(表成绩单[[#This Row],[数学]]="","",SUMPRODUCT((表成绩单[考试日期]=表成绩单[[#This Row],[考试日期]])*(表成绩单[数学]&lt;9E+307)*(表成绩单[数学]&gt;表成绩单[[#This Row],[数学]]))+1)</f>
        <v>50</v>
      </c>
      <c r="R1726" s="29" cm="1">
        <f t="array" ref="R1726">IF(表成绩单[[#This Row],[英语]]="","",SUMPRODUCT((表成绩单[考试日期]=表成绩单[[#This Row],[考试日期]])*(表成绩单[英语]&lt;9E+307)*(表成绩单[英语]&gt;表成绩单[[#This Row],[英语]]))+1)</f>
        <v>126</v>
      </c>
      <c r="S1726" s="29" cm="1">
        <f t="array" ref="S1726">IF(表成绩单[[#This Row],[物理]]="","",SUMPRODUCT((表成绩单[考试日期]=表成绩单[[#This Row],[考试日期]])*(表成绩单[物理]&lt;9E+307)*(表成绩单[物理]&gt;表成绩单[[#This Row],[物理]]))+1)</f>
        <v>394</v>
      </c>
      <c r="T1726" s="29" cm="1">
        <f t="array" ref="T1726">IF(表成绩单[[#This Row],[化学]]="","",SUMPRODUCT((表成绩单[考试日期]=表成绩单[[#This Row],[考试日期]])*(表成绩单[化学]&lt;9E+307)*(表成绩单[化学]&gt;表成绩单[[#This Row],[化学]]))+1)</f>
        <v>15</v>
      </c>
      <c r="U1726" s="29" cm="1">
        <f t="array" ref="U1726">IF(表成绩单[[#This Row],[政治]]="","",SUMPRODUCT((表成绩单[考试日期]=表成绩单[[#This Row],[考试日期]])*(表成绩单[政治]&lt;9E+307)*(表成绩单[政治]&gt;表成绩单[[#This Row],[政治]]))+1)</f>
        <v>370</v>
      </c>
      <c r="V1726" s="29" cm="1">
        <f t="array" ref="V1726">IF(表成绩单[[#This Row],[历史]]="","",SUMPRODUCT((表成绩单[考试日期]=表成绩单[[#This Row],[考试日期]])*(表成绩单[历史]&lt;9E+307)*(表成绩单[历史]&gt;表成绩单[[#This Row],[历史]]))+1)</f>
        <v>60</v>
      </c>
      <c r="W1726" s="29" cm="1">
        <f t="array" ref="W1726">IF(表成绩单[[#This Row],[总分]]="","",SUMPRODUCT((表成绩单[考试日期]=表成绩单[[#This Row],[考试日期]])*(表成绩单[总分]&lt;9E+307)*(表成绩单[总分]&gt;表成绩单[[#This Row],[总分]]))+1)</f>
        <v>119</v>
      </c>
    </row>
    <row r="1727" ht="28" customHeight="1" spans="4:23">
      <c r="D1727" s="31">
        <v>46030</v>
      </c>
      <c r="E1727" s="29">
        <v>19175412</v>
      </c>
      <c r="F1727" s="29" t="s">
        <v>74</v>
      </c>
      <c r="G1727" s="29" t="s">
        <v>181</v>
      </c>
      <c r="H1727" s="29">
        <v>100</v>
      </c>
      <c r="I1727" s="29">
        <v>89</v>
      </c>
      <c r="J1727" s="29">
        <v>78.5</v>
      </c>
      <c r="K1727" s="29">
        <v>79</v>
      </c>
      <c r="L1727" s="29">
        <v>83</v>
      </c>
      <c r="M1727" s="29">
        <v>70</v>
      </c>
      <c r="N1727" s="29">
        <v>81</v>
      </c>
      <c r="O1727" s="32">
        <v>580.5</v>
      </c>
      <c r="P1727" s="29" cm="1">
        <f t="array" ref="P1727">IF(表成绩单[[#This Row],[语文]]="","",SUMPRODUCT((表成绩单[考试日期]=表成绩单[[#This Row],[考试日期]])*(表成绩单[语文]&lt;9E+307)*(表成绩单[语文]&gt;表成绩单[[#This Row],[语文]]))+1)</f>
        <v>182</v>
      </c>
      <c r="Q1727" s="29" cm="1">
        <f t="array" ref="Q1727">IF(表成绩单[[#This Row],[数学]]="","",SUMPRODUCT((表成绩单[考试日期]=表成绩单[[#This Row],[考试日期]])*(表成绩单[数学]&lt;9E+307)*(表成绩单[数学]&gt;表成绩单[[#This Row],[数学]]))+1)</f>
        <v>228</v>
      </c>
      <c r="R1727" s="29" cm="1">
        <f t="array" ref="R1727">IF(表成绩单[[#This Row],[英语]]="","",SUMPRODUCT((表成绩单[考试日期]=表成绩单[[#This Row],[考试日期]])*(表成绩单[英语]&lt;9E+307)*(表成绩单[英语]&gt;表成绩单[[#This Row],[英语]]))+1)</f>
        <v>64</v>
      </c>
      <c r="S1727" s="29" cm="1">
        <f t="array" ref="S1727">IF(表成绩单[[#This Row],[物理]]="","",SUMPRODUCT((表成绩单[考试日期]=表成绩单[[#This Row],[考试日期]])*(表成绩单[物理]&lt;9E+307)*(表成绩单[物理]&gt;表成绩单[[#This Row],[物理]]))+1)</f>
        <v>153</v>
      </c>
      <c r="T1727" s="29" cm="1">
        <f t="array" ref="T1727">IF(表成绩单[[#This Row],[化学]]="","",SUMPRODUCT((表成绩单[考试日期]=表成绩单[[#This Row],[考试日期]])*(表成绩单[化学]&lt;9E+307)*(表成绩单[化学]&gt;表成绩单[[#This Row],[化学]]))+1)</f>
        <v>15</v>
      </c>
      <c r="U1727" s="29" cm="1">
        <f t="array" ref="U1727">IF(表成绩单[[#This Row],[政治]]="","",SUMPRODUCT((表成绩单[考试日期]=表成绩单[[#This Row],[考试日期]])*(表成绩单[政治]&lt;9E+307)*(表成绩单[政治]&gt;表成绩单[[#This Row],[政治]]))+1)</f>
        <v>274</v>
      </c>
      <c r="V1727" s="29" cm="1">
        <f t="array" ref="V1727">IF(表成绩单[[#This Row],[历史]]="","",SUMPRODUCT((表成绩单[考试日期]=表成绩单[[#This Row],[考试日期]])*(表成绩单[历史]&lt;9E+307)*(表成绩单[历史]&gt;表成绩单[[#This Row],[历史]]))+1)</f>
        <v>60</v>
      </c>
      <c r="W1727" s="29" cm="1">
        <f t="array" ref="W1727">IF(表成绩单[[#This Row],[总分]]="","",SUMPRODUCT((表成绩单[考试日期]=表成绩单[[#This Row],[考试日期]])*(表成绩单[总分]&lt;9E+307)*(表成绩单[总分]&gt;表成绩单[[#This Row],[总分]]))+1)</f>
        <v>121</v>
      </c>
    </row>
    <row r="1728" ht="28" customHeight="1" spans="4:23">
      <c r="D1728" s="31">
        <v>46030</v>
      </c>
      <c r="E1728" s="29">
        <v>19174440</v>
      </c>
      <c r="F1728" s="29" t="s">
        <v>73</v>
      </c>
      <c r="G1728" s="29" t="s">
        <v>251</v>
      </c>
      <c r="H1728" s="29">
        <v>105</v>
      </c>
      <c r="I1728" s="29">
        <v>89</v>
      </c>
      <c r="J1728" s="29">
        <v>73.5</v>
      </c>
      <c r="K1728" s="29">
        <v>80</v>
      </c>
      <c r="L1728" s="29">
        <v>86</v>
      </c>
      <c r="M1728" s="29">
        <v>74</v>
      </c>
      <c r="N1728" s="29">
        <v>72</v>
      </c>
      <c r="O1728" s="32">
        <v>579.5</v>
      </c>
      <c r="P1728" s="29" cm="1">
        <f t="array" ref="P1728">IF(表成绩单[[#This Row],[语文]]="","",SUMPRODUCT((表成绩单[考试日期]=表成绩单[[#This Row],[考试日期]])*(表成绩单[语文]&lt;9E+307)*(表成绩单[语文]&gt;表成绩单[[#This Row],[语文]]))+1)</f>
        <v>62</v>
      </c>
      <c r="Q1728" s="29" cm="1">
        <f t="array" ref="Q1728">IF(表成绩单[[#This Row],[数学]]="","",SUMPRODUCT((表成绩单[考试日期]=表成绩单[[#This Row],[考试日期]])*(表成绩单[数学]&lt;9E+307)*(表成绩单[数学]&gt;表成绩单[[#This Row],[数学]]))+1)</f>
        <v>228</v>
      </c>
      <c r="R1728" s="29" cm="1">
        <f t="array" ref="R1728">IF(表成绩单[[#This Row],[英语]]="","",SUMPRODUCT((表成绩单[考试日期]=表成绩单[[#This Row],[考试日期]])*(表成绩单[英语]&lt;9E+307)*(表成绩单[英语]&gt;表成绩单[[#This Row],[英语]]))+1)</f>
        <v>209</v>
      </c>
      <c r="S1728" s="29" cm="1">
        <f t="array" ref="S1728">IF(表成绩单[[#This Row],[物理]]="","",SUMPRODUCT((表成绩单[考试日期]=表成绩单[[#This Row],[考试日期]])*(表成绩单[物理]&lt;9E+307)*(表成绩单[物理]&gt;表成绩单[[#This Row],[物理]]))+1)</f>
        <v>137</v>
      </c>
      <c r="T1728" s="29" cm="1">
        <f t="array" ref="T1728">IF(表成绩单[[#This Row],[化学]]="","",SUMPRODUCT((表成绩单[考试日期]=表成绩单[[#This Row],[考试日期]])*(表成绩单[化学]&lt;9E+307)*(表成绩单[化学]&gt;表成绩单[[#This Row],[化学]]))+1)</f>
        <v>3</v>
      </c>
      <c r="U1728" s="29" cm="1">
        <f t="array" ref="U1728">IF(表成绩单[[#This Row],[政治]]="","",SUMPRODUCT((表成绩单[考试日期]=表成绩单[[#This Row],[考试日期]])*(表成绩单[政治]&lt;9E+307)*(表成绩单[政治]&gt;表成绩单[[#This Row],[政治]]))+1)</f>
        <v>168</v>
      </c>
      <c r="V1728" s="29" cm="1">
        <f t="array" ref="V1728">IF(表成绩单[[#This Row],[历史]]="","",SUMPRODUCT((表成绩单[考试日期]=表成绩单[[#This Row],[考试日期]])*(表成绩单[历史]&lt;9E+307)*(表成绩单[历史]&gt;表成绩单[[#This Row],[历史]]))+1)</f>
        <v>266</v>
      </c>
      <c r="W1728" s="29" cm="1">
        <f t="array" ref="W1728">IF(表成绩单[[#This Row],[总分]]="","",SUMPRODUCT((表成绩单[考试日期]=表成绩单[[#This Row],[考试日期]])*(表成绩单[总分]&lt;9E+307)*(表成绩单[总分]&gt;表成绩单[[#This Row],[总分]]))+1)</f>
        <v>122</v>
      </c>
    </row>
    <row r="1729" ht="28" customHeight="1" spans="4:23">
      <c r="D1729" s="31">
        <v>46030</v>
      </c>
      <c r="E1729" s="29">
        <v>19175421</v>
      </c>
      <c r="F1729" s="29" t="s">
        <v>74</v>
      </c>
      <c r="G1729" s="29" t="s">
        <v>198</v>
      </c>
      <c r="H1729" s="29">
        <v>97</v>
      </c>
      <c r="I1729" s="29">
        <v>98</v>
      </c>
      <c r="J1729" s="29">
        <v>78.5</v>
      </c>
      <c r="K1729" s="29">
        <v>81</v>
      </c>
      <c r="L1729" s="29">
        <v>74</v>
      </c>
      <c r="M1729" s="29">
        <v>75</v>
      </c>
      <c r="N1729" s="29">
        <v>76</v>
      </c>
      <c r="O1729" s="32">
        <v>579.5</v>
      </c>
      <c r="P1729" s="29" cm="1">
        <f t="array" ref="P1729">IF(表成绩单[[#This Row],[语文]]="","",SUMPRODUCT((表成绩单[考试日期]=表成绩单[[#This Row],[考试日期]])*(表成绩单[语文]&lt;9E+307)*(表成绩单[语文]&gt;表成绩单[[#This Row],[语文]]))+1)</f>
        <v>291</v>
      </c>
      <c r="Q1729" s="29" cm="1">
        <f t="array" ref="Q1729">IF(表成绩单[[#This Row],[数学]]="","",SUMPRODUCT((表成绩单[考试日期]=表成绩单[[#This Row],[考试日期]])*(表成绩单[数学]&lt;9E+307)*(表成绩单[数学]&gt;表成绩单[[#This Row],[数学]]))+1)</f>
        <v>134</v>
      </c>
      <c r="R1729" s="29" cm="1">
        <f t="array" ref="R1729">IF(表成绩单[[#This Row],[英语]]="","",SUMPRODUCT((表成绩单[考试日期]=表成绩单[[#This Row],[考试日期]])*(表成绩单[英语]&lt;9E+307)*(表成绩单[英语]&gt;表成绩单[[#This Row],[英语]]))+1)</f>
        <v>64</v>
      </c>
      <c r="S1729" s="29" cm="1">
        <f t="array" ref="S1729">IF(表成绩单[[#This Row],[物理]]="","",SUMPRODUCT((表成绩单[考试日期]=表成绩单[[#This Row],[考试日期]])*(表成绩单[物理]&lt;9E+307)*(表成绩单[物理]&gt;表成绩单[[#This Row],[物理]]))+1)</f>
        <v>119</v>
      </c>
      <c r="T1729" s="29" cm="1">
        <f t="array" ref="T1729">IF(表成绩单[[#This Row],[化学]]="","",SUMPRODUCT((表成绩单[考试日期]=表成绩单[[#This Row],[考试日期]])*(表成绩单[化学]&lt;9E+307)*(表成绩单[化学]&gt;表成绩单[[#This Row],[化学]]))+1)</f>
        <v>208</v>
      </c>
      <c r="U1729" s="29" cm="1">
        <f t="array" ref="U1729">IF(表成绩单[[#This Row],[政治]]="","",SUMPRODUCT((表成绩单[考试日期]=表成绩单[[#This Row],[考试日期]])*(表成绩单[政治]&lt;9E+307)*(表成绩单[政治]&gt;表成绩单[[#This Row],[政治]]))+1)</f>
        <v>137</v>
      </c>
      <c r="V1729" s="29" cm="1">
        <f t="array" ref="V1729">IF(表成绩单[[#This Row],[历史]]="","",SUMPRODUCT((表成绩单[考试日期]=表成绩单[[#This Row],[考试日期]])*(表成绩单[历史]&lt;9E+307)*(表成绩单[历史]&gt;表成绩单[[#This Row],[历史]]))+1)</f>
        <v>169</v>
      </c>
      <c r="W1729" s="29" cm="1">
        <f t="array" ref="W1729">IF(表成绩单[[#This Row],[总分]]="","",SUMPRODUCT((表成绩单[考试日期]=表成绩单[[#This Row],[考试日期]])*(表成绩单[总分]&lt;9E+307)*(表成绩单[总分]&gt;表成绩单[[#This Row],[总分]]))+1)</f>
        <v>122</v>
      </c>
    </row>
    <row r="1730" ht="28" customHeight="1" spans="4:23">
      <c r="D1730" s="31">
        <v>46030</v>
      </c>
      <c r="E1730" s="29">
        <v>19175670</v>
      </c>
      <c r="F1730" s="29" t="s">
        <v>66</v>
      </c>
      <c r="G1730" s="29" t="s">
        <v>297</v>
      </c>
      <c r="H1730" s="29">
        <v>104</v>
      </c>
      <c r="I1730" s="29">
        <v>110</v>
      </c>
      <c r="J1730" s="29">
        <v>53.5</v>
      </c>
      <c r="K1730" s="29">
        <v>80</v>
      </c>
      <c r="L1730" s="29">
        <v>84</v>
      </c>
      <c r="M1730" s="29">
        <v>73</v>
      </c>
      <c r="N1730" s="29">
        <v>75</v>
      </c>
      <c r="O1730" s="32">
        <v>579.5</v>
      </c>
      <c r="P1730" s="29" cm="1">
        <f t="array" ref="P1730">IF(表成绩单[[#This Row],[语文]]="","",SUMPRODUCT((表成绩单[考试日期]=表成绩单[[#This Row],[考试日期]])*(表成绩单[语文]&lt;9E+307)*(表成绩单[语文]&gt;表成绩单[[#This Row],[语文]]))+1)</f>
        <v>82</v>
      </c>
      <c r="Q1730" s="29" cm="1">
        <f t="array" ref="Q1730">IF(表成绩单[[#This Row],[数学]]="","",SUMPRODUCT((表成绩单[考试日期]=表成绩单[[#This Row],[考试日期]])*(表成绩单[数学]&lt;9E+307)*(表成绩单[数学]&gt;表成绩单[[#This Row],[数学]]))+1)</f>
        <v>27</v>
      </c>
      <c r="R1730" s="29" cm="1">
        <f t="array" ref="R1730">IF(表成绩单[[#This Row],[英语]]="","",SUMPRODUCT((表成绩单[考试日期]=表成绩单[[#This Row],[考试日期]])*(表成绩单[英语]&lt;9E+307)*(表成绩单[英语]&gt;表成绩单[[#This Row],[英语]]))+1)</f>
        <v>615</v>
      </c>
      <c r="S1730" s="29" cm="1">
        <f t="array" ref="S1730">IF(表成绩单[[#This Row],[物理]]="","",SUMPRODUCT((表成绩单[考试日期]=表成绩单[[#This Row],[考试日期]])*(表成绩单[物理]&lt;9E+307)*(表成绩单[物理]&gt;表成绩单[[#This Row],[物理]]))+1)</f>
        <v>137</v>
      </c>
      <c r="T1730" s="29" cm="1">
        <f t="array" ref="T1730">IF(表成绩单[[#This Row],[化学]]="","",SUMPRODUCT((表成绩单[考试日期]=表成绩单[[#This Row],[考试日期]])*(表成绩单[化学]&lt;9E+307)*(表成绩单[化学]&gt;表成绩单[[#This Row],[化学]]))+1)</f>
        <v>12</v>
      </c>
      <c r="U1730" s="29" cm="1">
        <f t="array" ref="U1730">IF(表成绩单[[#This Row],[政治]]="","",SUMPRODUCT((表成绩单[考试日期]=表成绩单[[#This Row],[考试日期]])*(表成绩单[政治]&lt;9E+307)*(表成绩单[政治]&gt;表成绩单[[#This Row],[政治]]))+1)</f>
        <v>197</v>
      </c>
      <c r="V1730" s="29" cm="1">
        <f t="array" ref="V1730">IF(表成绩单[[#This Row],[历史]]="","",SUMPRODUCT((表成绩单[考试日期]=表成绩单[[#This Row],[考试日期]])*(表成绩单[历史]&lt;9E+307)*(表成绩单[历史]&gt;表成绩单[[#This Row],[历史]]))+1)</f>
        <v>193</v>
      </c>
      <c r="W1730" s="29" cm="1">
        <f t="array" ref="W1730">IF(表成绩单[[#This Row],[总分]]="","",SUMPRODUCT((表成绩单[考试日期]=表成绩单[[#This Row],[考试日期]])*(表成绩单[总分]&lt;9E+307)*(表成绩单[总分]&gt;表成绩单[[#This Row],[总分]]))+1)</f>
        <v>122</v>
      </c>
    </row>
    <row r="1731" ht="28" customHeight="1" spans="4:23">
      <c r="D1731" s="31">
        <v>46030</v>
      </c>
      <c r="E1731" s="29">
        <v>19177221</v>
      </c>
      <c r="F1731" s="29" t="s">
        <v>70</v>
      </c>
      <c r="G1731" s="29" t="s">
        <v>106</v>
      </c>
      <c r="H1731" s="29">
        <v>109</v>
      </c>
      <c r="I1731" s="29">
        <v>104</v>
      </c>
      <c r="J1731" s="29">
        <v>76.5</v>
      </c>
      <c r="K1731" s="29">
        <v>75</v>
      </c>
      <c r="L1731" s="29">
        <v>70</v>
      </c>
      <c r="M1731" s="29">
        <v>78</v>
      </c>
      <c r="N1731" s="29">
        <v>67</v>
      </c>
      <c r="O1731" s="32">
        <v>579.5</v>
      </c>
      <c r="P1731" s="29" cm="1">
        <f t="array" ref="P1731">IF(表成绩单[[#This Row],[语文]]="","",SUMPRODUCT((表成绩单[考试日期]=表成绩单[[#This Row],[考试日期]])*(表成绩单[语文]&lt;9E+307)*(表成绩单[语文]&gt;表成绩单[[#This Row],[语文]]))+1)</f>
        <v>19</v>
      </c>
      <c r="Q1731" s="29" cm="1">
        <f t="array" ref="Q1731">IF(表成绩单[[#This Row],[数学]]="","",SUMPRODUCT((表成绩单[考试日期]=表成绩单[[#This Row],[考试日期]])*(表成绩单[数学]&lt;9E+307)*(表成绩单[数学]&gt;表成绩单[[#This Row],[数学]]))+1)</f>
        <v>80</v>
      </c>
      <c r="R1731" s="29" cm="1">
        <f t="array" ref="R1731">IF(表成绩单[[#This Row],[英语]]="","",SUMPRODUCT((表成绩单[考试日期]=表成绩单[[#This Row],[考试日期]])*(表成绩单[英语]&lt;9E+307)*(表成绩单[英语]&gt;表成绩单[[#This Row],[英语]]))+1)</f>
        <v>120</v>
      </c>
      <c r="S1731" s="29" cm="1">
        <f t="array" ref="S1731">IF(表成绩单[[#This Row],[物理]]="","",SUMPRODUCT((表成绩单[考试日期]=表成绩单[[#This Row],[考试日期]])*(表成绩单[物理]&lt;9E+307)*(表成绩单[物理]&gt;表成绩单[[#This Row],[物理]]))+1)</f>
        <v>241</v>
      </c>
      <c r="T1731" s="29" cm="1">
        <f t="array" ref="T1731">IF(表成绩单[[#This Row],[化学]]="","",SUMPRODUCT((表成绩单[考试日期]=表成绩单[[#This Row],[考试日期]])*(表成绩单[化学]&lt;9E+307)*(表成绩单[化学]&gt;表成绩单[[#This Row],[化学]]))+1)</f>
        <v>318</v>
      </c>
      <c r="U1731" s="29" cm="1">
        <f t="array" ref="U1731">IF(表成绩单[[#This Row],[政治]]="","",SUMPRODUCT((表成绩单[考试日期]=表成绩单[[#This Row],[考试日期]])*(表成绩单[政治]&lt;9E+307)*(表成绩单[政治]&gt;表成绩单[[#This Row],[政治]]))+1)</f>
        <v>65</v>
      </c>
      <c r="V1731" s="29" cm="1">
        <f t="array" ref="V1731">IF(表成绩单[[#This Row],[历史]]="","",SUMPRODUCT((表成绩单[考试日期]=表成绩单[[#This Row],[考试日期]])*(表成绩单[历史]&lt;9E+307)*(表成绩单[历史]&gt;表成绩单[[#This Row],[历史]]))+1)</f>
        <v>415</v>
      </c>
      <c r="W1731" s="29" cm="1">
        <f t="array" ref="W1731">IF(表成绩单[[#This Row],[总分]]="","",SUMPRODUCT((表成绩单[考试日期]=表成绩单[[#This Row],[考试日期]])*(表成绩单[总分]&lt;9E+307)*(表成绩单[总分]&gt;表成绩单[[#This Row],[总分]]))+1)</f>
        <v>122</v>
      </c>
    </row>
    <row r="1732" ht="28" customHeight="1" spans="4:23">
      <c r="D1732" s="31">
        <v>46030</v>
      </c>
      <c r="E1732" s="29">
        <v>19177227</v>
      </c>
      <c r="F1732" s="29" t="s">
        <v>70</v>
      </c>
      <c r="G1732" s="29" t="s">
        <v>212</v>
      </c>
      <c r="H1732" s="29">
        <v>95</v>
      </c>
      <c r="I1732" s="29">
        <v>88</v>
      </c>
      <c r="J1732" s="29">
        <v>77.5</v>
      </c>
      <c r="K1732" s="29">
        <v>84</v>
      </c>
      <c r="L1732" s="29">
        <v>81</v>
      </c>
      <c r="M1732" s="29">
        <v>80</v>
      </c>
      <c r="N1732" s="29">
        <v>74</v>
      </c>
      <c r="O1732" s="32">
        <v>579.5</v>
      </c>
      <c r="P1732" s="29" cm="1">
        <f t="array" ref="P1732">IF(表成绩单[[#This Row],[语文]]="","",SUMPRODUCT((表成绩单[考试日期]=表成绩单[[#This Row],[考试日期]])*(表成绩单[语文]&lt;9E+307)*(表成绩单[语文]&gt;表成绩单[[#This Row],[语文]]))+1)</f>
        <v>342</v>
      </c>
      <c r="Q1732" s="29" cm="1">
        <f t="array" ref="Q1732">IF(表成绩单[[#This Row],[数学]]="","",SUMPRODUCT((表成绩单[考试日期]=表成绩单[[#This Row],[考试日期]])*(表成绩单[数学]&lt;9E+307)*(表成绩单[数学]&gt;表成绩单[[#This Row],[数学]]))+1)</f>
        <v>245</v>
      </c>
      <c r="R1732" s="29" cm="1">
        <f t="array" ref="R1732">IF(表成绩单[[#This Row],[英语]]="","",SUMPRODUCT((表成绩单[考试日期]=表成绩单[[#This Row],[考试日期]])*(表成绩单[英语]&lt;9E+307)*(表成绩单[英语]&gt;表成绩单[[#This Row],[英语]]))+1)</f>
        <v>89</v>
      </c>
      <c r="S1732" s="29" cm="1">
        <f t="array" ref="S1732">IF(表成绩单[[#This Row],[物理]]="","",SUMPRODUCT((表成绩单[考试日期]=表成绩单[[#This Row],[考试日期]])*(表成绩单[物理]&lt;9E+307)*(表成绩单[物理]&gt;表成绩单[[#This Row],[物理]]))+1)</f>
        <v>73</v>
      </c>
      <c r="T1732" s="29" cm="1">
        <f t="array" ref="T1732">IF(表成绩单[[#This Row],[化学]]="","",SUMPRODUCT((表成绩单[考试日期]=表成绩单[[#This Row],[考试日期]])*(表成绩单[化学]&lt;9E+307)*(表成绩单[化学]&gt;表成绩单[[#This Row],[化学]]))+1)</f>
        <v>43</v>
      </c>
      <c r="U1732" s="29" cm="1">
        <f t="array" ref="U1732">IF(表成绩单[[#This Row],[政治]]="","",SUMPRODUCT((表成绩单[考试日期]=表成绩单[[#This Row],[考试日期]])*(表成绩单[政治]&lt;9E+307)*(表成绩单[政治]&gt;表成绩单[[#This Row],[政治]]))+1)</f>
        <v>28</v>
      </c>
      <c r="V1732" s="29" cm="1">
        <f t="array" ref="V1732">IF(表成绩单[[#This Row],[历史]]="","",SUMPRODUCT((表成绩单[考试日期]=表成绩单[[#This Row],[考试日期]])*(表成绩单[历史]&lt;9E+307)*(表成绩单[历史]&gt;表成绩单[[#This Row],[历史]]))+1)</f>
        <v>215</v>
      </c>
      <c r="W1732" s="29" cm="1">
        <f t="array" ref="W1732">IF(表成绩单[[#This Row],[总分]]="","",SUMPRODUCT((表成绩单[考试日期]=表成绩单[[#This Row],[考试日期]])*(表成绩单[总分]&lt;9E+307)*(表成绩单[总分]&gt;表成绩单[[#This Row],[总分]]))+1)</f>
        <v>122</v>
      </c>
    </row>
    <row r="1733" ht="28" customHeight="1" spans="4:23">
      <c r="D1733" s="31">
        <v>46030</v>
      </c>
      <c r="E1733" s="29">
        <v>19176895</v>
      </c>
      <c r="F1733" s="29" t="s">
        <v>71</v>
      </c>
      <c r="G1733" s="29" t="s">
        <v>231</v>
      </c>
      <c r="H1733" s="29">
        <v>95</v>
      </c>
      <c r="I1733" s="29">
        <v>82</v>
      </c>
      <c r="J1733" s="29">
        <v>80</v>
      </c>
      <c r="K1733" s="29">
        <v>85</v>
      </c>
      <c r="L1733" s="29">
        <v>82</v>
      </c>
      <c r="M1733" s="29">
        <v>80</v>
      </c>
      <c r="N1733" s="29">
        <v>75</v>
      </c>
      <c r="O1733" s="32">
        <v>579</v>
      </c>
      <c r="P1733" s="29" cm="1">
        <f t="array" ref="P1733">IF(表成绩单[[#This Row],[语文]]="","",SUMPRODUCT((表成绩单[考试日期]=表成绩单[[#This Row],[考试日期]])*(表成绩单[语文]&lt;9E+307)*(表成绩单[语文]&gt;表成绩单[[#This Row],[语文]]))+1)</f>
        <v>342</v>
      </c>
      <c r="Q1733" s="29" cm="1">
        <f t="array" ref="Q1733">IF(表成绩单[[#This Row],[数学]]="","",SUMPRODUCT((表成绩单[考试日期]=表成绩单[[#This Row],[考试日期]])*(表成绩单[数学]&lt;9E+307)*(表成绩单[数学]&gt;表成绩单[[#This Row],[数学]]))+1)</f>
        <v>383</v>
      </c>
      <c r="R1733" s="29" cm="1">
        <f t="array" ref="R1733">IF(表成绩单[[#This Row],[英语]]="","",SUMPRODUCT((表成绩单[考试日期]=表成绩单[[#This Row],[考试日期]])*(表成绩单[英语]&lt;9E+307)*(表成绩单[英语]&gt;表成绩单[[#This Row],[英语]]))+1)</f>
        <v>27</v>
      </c>
      <c r="S1733" s="29" cm="1">
        <f t="array" ref="S1733">IF(表成绩单[[#This Row],[物理]]="","",SUMPRODUCT((表成绩单[考试日期]=表成绩单[[#This Row],[考试日期]])*(表成绩单[物理]&lt;9E+307)*(表成绩单[物理]&gt;表成绩单[[#This Row],[物理]]))+1)</f>
        <v>56</v>
      </c>
      <c r="T1733" s="29" cm="1">
        <f t="array" ref="T1733">IF(表成绩单[[#This Row],[化学]]="","",SUMPRODUCT((表成绩单[考试日期]=表成绩单[[#This Row],[考试日期]])*(表成绩单[化学]&lt;9E+307)*(表成绩单[化学]&gt;表成绩单[[#This Row],[化学]]))+1)</f>
        <v>23</v>
      </c>
      <c r="U1733" s="29" cm="1">
        <f t="array" ref="U1733">IF(表成绩单[[#This Row],[政治]]="","",SUMPRODUCT((表成绩单[考试日期]=表成绩单[[#This Row],[考试日期]])*(表成绩单[政治]&lt;9E+307)*(表成绩单[政治]&gt;表成绩单[[#This Row],[政治]]))+1)</f>
        <v>28</v>
      </c>
      <c r="V1733" s="29" cm="1">
        <f t="array" ref="V1733">IF(表成绩单[[#This Row],[历史]]="","",SUMPRODUCT((表成绩单[考试日期]=表成绩单[[#This Row],[考试日期]])*(表成绩单[历史]&lt;9E+307)*(表成绩单[历史]&gt;表成绩单[[#This Row],[历史]]))+1)</f>
        <v>193</v>
      </c>
      <c r="W1733" s="29" cm="1">
        <f t="array" ref="W1733">IF(表成绩单[[#This Row],[总分]]="","",SUMPRODUCT((表成绩单[考试日期]=表成绩单[[#This Row],[考试日期]])*(表成绩单[总分]&lt;9E+307)*(表成绩单[总分]&gt;表成绩单[[#This Row],[总分]]))+1)</f>
        <v>127</v>
      </c>
    </row>
    <row r="1734" ht="28" customHeight="1" spans="4:23">
      <c r="D1734" s="31">
        <v>46030</v>
      </c>
      <c r="E1734" s="29">
        <v>19177205</v>
      </c>
      <c r="F1734" s="29" t="s">
        <v>70</v>
      </c>
      <c r="G1734" s="29" t="s">
        <v>304</v>
      </c>
      <c r="H1734" s="29">
        <v>111</v>
      </c>
      <c r="I1734" s="29">
        <v>89</v>
      </c>
      <c r="J1734" s="29">
        <v>77.5</v>
      </c>
      <c r="K1734" s="29">
        <v>76</v>
      </c>
      <c r="L1734" s="29">
        <v>64</v>
      </c>
      <c r="M1734" s="29">
        <v>80</v>
      </c>
      <c r="N1734" s="29">
        <v>81</v>
      </c>
      <c r="O1734" s="32">
        <v>578.5</v>
      </c>
      <c r="P1734" s="29" cm="1">
        <f t="array" ref="P1734">IF(表成绩单[[#This Row],[语文]]="","",SUMPRODUCT((表成绩单[考试日期]=表成绩单[[#This Row],[考试日期]])*(表成绩单[语文]&lt;9E+307)*(表成绩单[语文]&gt;表成绩单[[#This Row],[语文]]))+1)</f>
        <v>9</v>
      </c>
      <c r="Q1734" s="29" cm="1">
        <f t="array" ref="Q1734">IF(表成绩单[[#This Row],[数学]]="","",SUMPRODUCT((表成绩单[考试日期]=表成绩单[[#This Row],[考试日期]])*(表成绩单[数学]&lt;9E+307)*(表成绩单[数学]&gt;表成绩单[[#This Row],[数学]]))+1)</f>
        <v>228</v>
      </c>
      <c r="R1734" s="29" cm="1">
        <f t="array" ref="R1734">IF(表成绩单[[#This Row],[英语]]="","",SUMPRODUCT((表成绩单[考试日期]=表成绩单[[#This Row],[考试日期]])*(表成绩单[英语]&lt;9E+307)*(表成绩单[英语]&gt;表成绩单[[#This Row],[英语]]))+1)</f>
        <v>89</v>
      </c>
      <c r="S1734" s="29" cm="1">
        <f t="array" ref="S1734">IF(表成绩单[[#This Row],[物理]]="","",SUMPRODUCT((表成绩单[考试日期]=表成绩单[[#This Row],[考试日期]])*(表成绩单[物理]&lt;9E+307)*(表成绩单[物理]&gt;表成绩单[[#This Row],[物理]]))+1)</f>
        <v>218</v>
      </c>
      <c r="T1734" s="29" cm="1">
        <f t="array" ref="T1734">IF(表成绩单[[#This Row],[化学]]="","",SUMPRODUCT((表成绩单[考试日期]=表成绩单[[#This Row],[考试日期]])*(表成绩单[化学]&lt;9E+307)*(表成绩单[化学]&gt;表成绩单[[#This Row],[化学]]))+1)</f>
        <v>451</v>
      </c>
      <c r="U1734" s="29" cm="1">
        <f t="array" ref="U1734">IF(表成绩单[[#This Row],[政治]]="","",SUMPRODUCT((表成绩单[考试日期]=表成绩单[[#This Row],[考试日期]])*(表成绩单[政治]&lt;9E+307)*(表成绩单[政治]&gt;表成绩单[[#This Row],[政治]]))+1)</f>
        <v>28</v>
      </c>
      <c r="V1734" s="29" cm="1">
        <f t="array" ref="V1734">IF(表成绩单[[#This Row],[历史]]="","",SUMPRODUCT((表成绩单[考试日期]=表成绩单[[#This Row],[考试日期]])*(表成绩单[历史]&lt;9E+307)*(表成绩单[历史]&gt;表成绩单[[#This Row],[历史]]))+1)</f>
        <v>60</v>
      </c>
      <c r="W1734" s="29" cm="1">
        <f t="array" ref="W1734">IF(表成绩单[[#This Row],[总分]]="","",SUMPRODUCT((表成绩单[考试日期]=表成绩单[[#This Row],[考试日期]])*(表成绩单[总分]&lt;9E+307)*(表成绩单[总分]&gt;表成绩单[[#This Row],[总分]]))+1)</f>
        <v>128</v>
      </c>
    </row>
    <row r="1735" ht="28" customHeight="1" spans="4:23">
      <c r="D1735" s="31">
        <v>46030</v>
      </c>
      <c r="E1735" s="29">
        <v>19175706</v>
      </c>
      <c r="F1735" s="29" t="s">
        <v>72</v>
      </c>
      <c r="G1735" s="29" t="s">
        <v>132</v>
      </c>
      <c r="H1735" s="29">
        <v>98</v>
      </c>
      <c r="I1735" s="29">
        <v>94</v>
      </c>
      <c r="J1735" s="29">
        <v>78</v>
      </c>
      <c r="K1735" s="29">
        <v>75</v>
      </c>
      <c r="L1735" s="29">
        <v>82</v>
      </c>
      <c r="M1735" s="29">
        <v>81</v>
      </c>
      <c r="N1735" s="29">
        <v>70</v>
      </c>
      <c r="O1735" s="32">
        <v>578</v>
      </c>
      <c r="P1735" s="29" cm="1">
        <f t="array" ref="P1735">IF(表成绩单[[#This Row],[语文]]="","",SUMPRODUCT((表成绩单[考试日期]=表成绩单[[#This Row],[考试日期]])*(表成绩单[语文]&lt;9E+307)*(表成绩单[语文]&gt;表成绩单[[#This Row],[语文]]))+1)</f>
        <v>248</v>
      </c>
      <c r="Q1735" s="29" cm="1">
        <f t="array" ref="Q1735">IF(表成绩单[[#This Row],[数学]]="","",SUMPRODUCT((表成绩单[考试日期]=表成绩单[[#This Row],[考试日期]])*(表成绩单[数学]&lt;9E+307)*(表成绩单[数学]&gt;表成绩单[[#This Row],[数学]]))+1)</f>
        <v>178</v>
      </c>
      <c r="R1735" s="29" cm="1">
        <f t="array" ref="R1735">IF(表成绩单[[#This Row],[英语]]="","",SUMPRODUCT((表成绩单[考试日期]=表成绩单[[#This Row],[考试日期]])*(表成绩单[英语]&lt;9E+307)*(表成绩单[英语]&gt;表成绩单[[#This Row],[英语]]))+1)</f>
        <v>79</v>
      </c>
      <c r="S1735" s="29" cm="1">
        <f t="array" ref="S1735">IF(表成绩单[[#This Row],[物理]]="","",SUMPRODUCT((表成绩单[考试日期]=表成绩单[[#This Row],[考试日期]])*(表成绩单[物理]&lt;9E+307)*(表成绩单[物理]&gt;表成绩单[[#This Row],[物理]]))+1)</f>
        <v>241</v>
      </c>
      <c r="T1735" s="29" cm="1">
        <f t="array" ref="T1735">IF(表成绩单[[#This Row],[化学]]="","",SUMPRODUCT((表成绩单[考试日期]=表成绩单[[#This Row],[考试日期]])*(表成绩单[化学]&lt;9E+307)*(表成绩单[化学]&gt;表成绩单[[#This Row],[化学]]))+1)</f>
        <v>23</v>
      </c>
      <c r="U1735" s="29" cm="1">
        <f t="array" ref="U1735">IF(表成绩单[[#This Row],[政治]]="","",SUMPRODUCT((表成绩单[考试日期]=表成绩单[[#This Row],[考试日期]])*(表成绩单[政治]&lt;9E+307)*(表成绩单[政治]&gt;表成绩单[[#This Row],[政治]]))+1)</f>
        <v>18</v>
      </c>
      <c r="V1735" s="29" cm="1">
        <f t="array" ref="V1735">IF(表成绩单[[#This Row],[历史]]="","",SUMPRODUCT((表成绩单[考试日期]=表成绩单[[#This Row],[考试日期]])*(表成绩单[历史]&lt;9E+307)*(表成绩单[历史]&gt;表成绩单[[#This Row],[历史]]))+1)</f>
        <v>328</v>
      </c>
      <c r="W1735" s="29" cm="1">
        <f t="array" ref="W1735">IF(表成绩单[[#This Row],[总分]]="","",SUMPRODUCT((表成绩单[考试日期]=表成绩单[[#This Row],[考试日期]])*(表成绩单[总分]&lt;9E+307)*(表成绩单[总分]&gt;表成绩单[[#This Row],[总分]]))+1)</f>
        <v>129</v>
      </c>
    </row>
    <row r="1736" ht="28" customHeight="1" spans="4:23">
      <c r="D1736" s="31">
        <v>46030</v>
      </c>
      <c r="E1736" s="29">
        <v>19177212</v>
      </c>
      <c r="F1736" s="29" t="s">
        <v>70</v>
      </c>
      <c r="G1736" s="29" t="s">
        <v>207</v>
      </c>
      <c r="H1736" s="29">
        <v>108</v>
      </c>
      <c r="I1736" s="29">
        <v>87</v>
      </c>
      <c r="J1736" s="29">
        <v>71</v>
      </c>
      <c r="K1736" s="29">
        <v>79</v>
      </c>
      <c r="L1736" s="29">
        <v>74</v>
      </c>
      <c r="M1736" s="29">
        <v>78</v>
      </c>
      <c r="N1736" s="29">
        <v>81</v>
      </c>
      <c r="O1736" s="32">
        <v>578</v>
      </c>
      <c r="P1736" s="29" cm="1">
        <f t="array" ref="P1736">IF(表成绩单[[#This Row],[语文]]="","",SUMPRODUCT((表成绩单[考试日期]=表成绩单[[#This Row],[考试日期]])*(表成绩单[语文]&lt;9E+307)*(表成绩单[语文]&gt;表成绩单[[#This Row],[语文]]))+1)</f>
        <v>29</v>
      </c>
      <c r="Q1736" s="29" cm="1">
        <f t="array" ref="Q1736">IF(表成绩单[[#This Row],[数学]]="","",SUMPRODUCT((表成绩单[考试日期]=表成绩单[[#This Row],[考试日期]])*(表成绩单[数学]&lt;9E+307)*(表成绩单[数学]&gt;表成绩单[[#This Row],[数学]]))+1)</f>
        <v>270</v>
      </c>
      <c r="R1736" s="29" cm="1">
        <f t="array" ref="R1736">IF(表成绩单[[#This Row],[英语]]="","",SUMPRODUCT((表成绩单[考试日期]=表成绩单[[#This Row],[考试日期]])*(表成绩单[英语]&lt;9E+307)*(表成绩单[英语]&gt;表成绩单[[#This Row],[英语]]))+1)</f>
        <v>281</v>
      </c>
      <c r="S1736" s="29" cm="1">
        <f t="array" ref="S1736">IF(表成绩单[[#This Row],[物理]]="","",SUMPRODUCT((表成绩单[考试日期]=表成绩单[[#This Row],[考试日期]])*(表成绩单[物理]&lt;9E+307)*(表成绩单[物理]&gt;表成绩单[[#This Row],[物理]]))+1)</f>
        <v>153</v>
      </c>
      <c r="T1736" s="29" cm="1">
        <f t="array" ref="T1736">IF(表成绩单[[#This Row],[化学]]="","",SUMPRODUCT((表成绩单[考试日期]=表成绩单[[#This Row],[考试日期]])*(表成绩单[化学]&lt;9E+307)*(表成绩单[化学]&gt;表成绩单[[#This Row],[化学]]))+1)</f>
        <v>208</v>
      </c>
      <c r="U1736" s="29" cm="1">
        <f t="array" ref="U1736">IF(表成绩单[[#This Row],[政治]]="","",SUMPRODUCT((表成绩单[考试日期]=表成绩单[[#This Row],[考试日期]])*(表成绩单[政治]&lt;9E+307)*(表成绩单[政治]&gt;表成绩单[[#This Row],[政治]]))+1)</f>
        <v>65</v>
      </c>
      <c r="V1736" s="29" cm="1">
        <f t="array" ref="V1736">IF(表成绩单[[#This Row],[历史]]="","",SUMPRODUCT((表成绩单[考试日期]=表成绩单[[#This Row],[考试日期]])*(表成绩单[历史]&lt;9E+307)*(表成绩单[历史]&gt;表成绩单[[#This Row],[历史]]))+1)</f>
        <v>60</v>
      </c>
      <c r="W1736" s="29" cm="1">
        <f t="array" ref="W1736">IF(表成绩单[[#This Row],[总分]]="","",SUMPRODUCT((表成绩单[考试日期]=表成绩单[[#This Row],[考试日期]])*(表成绩单[总分]&lt;9E+307)*(表成绩单[总分]&gt;表成绩单[[#This Row],[总分]]))+1)</f>
        <v>129</v>
      </c>
    </row>
    <row r="1737" ht="28" customHeight="1" spans="4:23">
      <c r="D1737" s="31">
        <v>46030</v>
      </c>
      <c r="E1737" s="29">
        <v>19174465</v>
      </c>
      <c r="F1737" s="29" t="s">
        <v>73</v>
      </c>
      <c r="G1737" s="29" t="s">
        <v>332</v>
      </c>
      <c r="H1737" s="29">
        <v>99</v>
      </c>
      <c r="I1737" s="29">
        <v>96</v>
      </c>
      <c r="J1737" s="29">
        <v>78.5</v>
      </c>
      <c r="K1737" s="29">
        <v>78</v>
      </c>
      <c r="L1737" s="29">
        <v>72</v>
      </c>
      <c r="M1737" s="29">
        <v>75</v>
      </c>
      <c r="N1737" s="29">
        <v>79</v>
      </c>
      <c r="O1737" s="32">
        <v>577.5</v>
      </c>
      <c r="P1737" s="29" cm="1">
        <f t="array" ref="P1737">IF(表成绩单[[#This Row],[语文]]="","",SUMPRODUCT((表成绩单[考试日期]=表成绩单[[#This Row],[考试日期]])*(表成绩单[语文]&lt;9E+307)*(表成绩单[语文]&gt;表成绩单[[#This Row],[语文]]))+1)</f>
        <v>213</v>
      </c>
      <c r="Q1737" s="29" cm="1">
        <f t="array" ref="Q1737">IF(表成绩单[[#This Row],[数学]]="","",SUMPRODUCT((表成绩单[考试日期]=表成绩单[[#This Row],[考试日期]])*(表成绩单[数学]&lt;9E+307)*(表成绩单[数学]&gt;表成绩单[[#This Row],[数学]]))+1)</f>
        <v>154</v>
      </c>
      <c r="R1737" s="29" cm="1">
        <f t="array" ref="R1737">IF(表成绩单[[#This Row],[英语]]="","",SUMPRODUCT((表成绩单[考试日期]=表成绩单[[#This Row],[考试日期]])*(表成绩单[英语]&lt;9E+307)*(表成绩单[英语]&gt;表成绩单[[#This Row],[英语]]))+1)</f>
        <v>64</v>
      </c>
      <c r="S1737" s="29" cm="1">
        <f t="array" ref="S1737">IF(表成绩单[[#This Row],[物理]]="","",SUMPRODUCT((表成绩单[考试日期]=表成绩单[[#This Row],[考试日期]])*(表成绩单[物理]&lt;9E+307)*(表成绩单[物理]&gt;表成绩单[[#This Row],[物理]]))+1)</f>
        <v>178</v>
      </c>
      <c r="T1737" s="29" cm="1">
        <f t="array" ref="T1737">IF(表成绩单[[#This Row],[化学]]="","",SUMPRODUCT((表成绩单[考试日期]=表成绩单[[#This Row],[考试日期]])*(表成绩单[化学]&lt;9E+307)*(表成绩单[化学]&gt;表成绩单[[#This Row],[化学]]))+1)</f>
        <v>271</v>
      </c>
      <c r="U1737" s="29" cm="1">
        <f t="array" ref="U1737">IF(表成绩单[[#This Row],[政治]]="","",SUMPRODUCT((表成绩单[考试日期]=表成绩单[[#This Row],[考试日期]])*(表成绩单[政治]&lt;9E+307)*(表成绩单[政治]&gt;表成绩单[[#This Row],[政治]]))+1)</f>
        <v>137</v>
      </c>
      <c r="V1737" s="29" cm="1">
        <f t="array" ref="V1737">IF(表成绩单[[#This Row],[历史]]="","",SUMPRODUCT((表成绩单[考试日期]=表成绩单[[#This Row],[考试日期]])*(表成绩单[历史]&lt;9E+307)*(表成绩单[历史]&gt;表成绩单[[#This Row],[历史]]))+1)</f>
        <v>104</v>
      </c>
      <c r="W1737" s="29" cm="1">
        <f t="array" ref="W1737">IF(表成绩单[[#This Row],[总分]]="","",SUMPRODUCT((表成绩单[考试日期]=表成绩单[[#This Row],[考试日期]])*(表成绩单[总分]&lt;9E+307)*(表成绩单[总分]&gt;表成绩单[[#This Row],[总分]]))+1)</f>
        <v>131</v>
      </c>
    </row>
    <row r="1738" ht="28" customHeight="1" spans="4:23">
      <c r="D1738" s="31">
        <v>46030</v>
      </c>
      <c r="E1738" s="29">
        <v>19171079</v>
      </c>
      <c r="F1738" s="29" t="s">
        <v>67</v>
      </c>
      <c r="G1738" s="29" t="s">
        <v>141</v>
      </c>
      <c r="H1738" s="29">
        <v>104</v>
      </c>
      <c r="I1738" s="29">
        <v>98</v>
      </c>
      <c r="J1738" s="29">
        <v>69</v>
      </c>
      <c r="K1738" s="29">
        <v>81</v>
      </c>
      <c r="L1738" s="29">
        <v>77</v>
      </c>
      <c r="M1738" s="29">
        <v>76</v>
      </c>
      <c r="N1738" s="29">
        <v>72</v>
      </c>
      <c r="O1738" s="32">
        <v>577</v>
      </c>
      <c r="P1738" s="29" cm="1">
        <f t="array" ref="P1738">IF(表成绩单[[#This Row],[语文]]="","",SUMPRODUCT((表成绩单[考试日期]=表成绩单[[#This Row],[考试日期]])*(表成绩单[语文]&lt;9E+307)*(表成绩单[语文]&gt;表成绩单[[#This Row],[语文]]))+1)</f>
        <v>82</v>
      </c>
      <c r="Q1738" s="29" cm="1">
        <f t="array" ref="Q1738">IF(表成绩单[[#This Row],[数学]]="","",SUMPRODUCT((表成绩单[考试日期]=表成绩单[[#This Row],[考试日期]])*(表成绩单[数学]&lt;9E+307)*(表成绩单[数学]&gt;表成绩单[[#This Row],[数学]]))+1)</f>
        <v>134</v>
      </c>
      <c r="R1738" s="29" cm="1">
        <f t="array" ref="R1738">IF(表成绩单[[#This Row],[英语]]="","",SUMPRODUCT((表成绩单[考试日期]=表成绩单[[#This Row],[考试日期]])*(表成绩单[英语]&lt;9E+307)*(表成绩单[英语]&gt;表成绩单[[#This Row],[英语]]))+1)</f>
        <v>342</v>
      </c>
      <c r="S1738" s="29" cm="1">
        <f t="array" ref="S1738">IF(表成绩单[[#This Row],[物理]]="","",SUMPRODUCT((表成绩单[考试日期]=表成绩单[[#This Row],[考试日期]])*(表成绩单[物理]&lt;9E+307)*(表成绩单[物理]&gt;表成绩单[[#This Row],[物理]]))+1)</f>
        <v>119</v>
      </c>
      <c r="T1738" s="29" cm="1">
        <f t="array" ref="T1738">IF(表成绩单[[#This Row],[化学]]="","",SUMPRODUCT((表成绩单[考试日期]=表成绩单[[#This Row],[考试日期]])*(表成绩单[化学]&lt;9E+307)*(表成绩单[化学]&gt;表成绩单[[#This Row],[化学]]))+1)</f>
        <v>116</v>
      </c>
      <c r="U1738" s="29" cm="1">
        <f t="array" ref="U1738">IF(表成绩单[[#This Row],[政治]]="","",SUMPRODUCT((表成绩单[考试日期]=表成绩单[[#This Row],[考试日期]])*(表成绩单[政治]&lt;9E+307)*(表成绩单[政治]&gt;表成绩单[[#This Row],[政治]]))+1)</f>
        <v>111</v>
      </c>
      <c r="V1738" s="29" cm="1">
        <f t="array" ref="V1738">IF(表成绩单[[#This Row],[历史]]="","",SUMPRODUCT((表成绩单[考试日期]=表成绩单[[#This Row],[考试日期]])*(表成绩单[历史]&lt;9E+307)*(表成绩单[历史]&gt;表成绩单[[#This Row],[历史]]))+1)</f>
        <v>266</v>
      </c>
      <c r="W1738" s="29" cm="1">
        <f t="array" ref="W1738">IF(表成绩单[[#This Row],[总分]]="","",SUMPRODUCT((表成绩单[考试日期]=表成绩单[[#This Row],[考试日期]])*(表成绩单[总分]&lt;9E+307)*(表成绩单[总分]&gt;表成绩单[[#This Row],[总分]]))+1)</f>
        <v>132</v>
      </c>
    </row>
    <row r="1739" ht="28" customHeight="1" spans="4:23">
      <c r="D1739" s="31">
        <v>46030</v>
      </c>
      <c r="E1739" s="29">
        <v>19173542</v>
      </c>
      <c r="F1739" s="29" t="s">
        <v>1</v>
      </c>
      <c r="G1739" s="29" t="s">
        <v>250</v>
      </c>
      <c r="H1739" s="29">
        <v>110</v>
      </c>
      <c r="I1739" s="29">
        <v>112</v>
      </c>
      <c r="J1739" s="29">
        <v>71</v>
      </c>
      <c r="K1739" s="29">
        <v>70</v>
      </c>
      <c r="L1739" s="29">
        <v>74</v>
      </c>
      <c r="M1739" s="29">
        <v>80</v>
      </c>
      <c r="N1739" s="29">
        <v>60</v>
      </c>
      <c r="O1739" s="32">
        <v>577</v>
      </c>
      <c r="P1739" s="29" cm="1">
        <f t="array" ref="P1739">IF(表成绩单[[#This Row],[语文]]="","",SUMPRODUCT((表成绩单[考试日期]=表成绩单[[#This Row],[考试日期]])*(表成绩单[语文]&lt;9E+307)*(表成绩单[语文]&gt;表成绩单[[#This Row],[语文]]))+1)</f>
        <v>14</v>
      </c>
      <c r="Q1739" s="29" cm="1">
        <f t="array" ref="Q1739">IF(表成绩单[[#This Row],[数学]]="","",SUMPRODUCT((表成绩单[考试日期]=表成绩单[[#This Row],[考试日期]])*(表成绩单[数学]&lt;9E+307)*(表成绩单[数学]&gt;表成绩单[[#This Row],[数学]]))+1)</f>
        <v>15</v>
      </c>
      <c r="R1739" s="29" cm="1">
        <f t="array" ref="R1739">IF(表成绩单[[#This Row],[英语]]="","",SUMPRODUCT((表成绩单[考试日期]=表成绩单[[#This Row],[考试日期]])*(表成绩单[英语]&lt;9E+307)*(表成绩单[英语]&gt;表成绩单[[#This Row],[英语]]))+1)</f>
        <v>281</v>
      </c>
      <c r="S1739" s="29" cm="1">
        <f t="array" ref="S1739">IF(表成绩单[[#This Row],[物理]]="","",SUMPRODUCT((表成绩单[考试日期]=表成绩单[[#This Row],[考试日期]])*(表成绩单[物理]&lt;9E+307)*(表成绩单[物理]&gt;表成绩单[[#This Row],[物理]]))+1)</f>
        <v>338</v>
      </c>
      <c r="T1739" s="29" cm="1">
        <f t="array" ref="T1739">IF(表成绩单[[#This Row],[化学]]="","",SUMPRODUCT((表成绩单[考试日期]=表成绩单[[#This Row],[考试日期]])*(表成绩单[化学]&lt;9E+307)*(表成绩单[化学]&gt;表成绩单[[#This Row],[化学]]))+1)</f>
        <v>208</v>
      </c>
      <c r="U1739" s="29" cm="1">
        <f t="array" ref="U1739">IF(表成绩单[[#This Row],[政治]]="","",SUMPRODUCT((表成绩单[考试日期]=表成绩单[[#This Row],[考试日期]])*(表成绩单[政治]&lt;9E+307)*(表成绩单[政治]&gt;表成绩单[[#This Row],[政治]]))+1)</f>
        <v>28</v>
      </c>
      <c r="V1739" s="29" cm="1">
        <f t="array" ref="V1739">IF(表成绩单[[#This Row],[历史]]="","",SUMPRODUCT((表成绩单[考试日期]=表成绩单[[#This Row],[考试日期]])*(表成绩单[历史]&lt;9E+307)*(表成绩单[历史]&gt;表成绩单[[#This Row],[历史]]))+1)</f>
        <v>579</v>
      </c>
      <c r="W1739" s="29" cm="1">
        <f t="array" ref="W1739">IF(表成绩单[[#This Row],[总分]]="","",SUMPRODUCT((表成绩单[考试日期]=表成绩单[[#This Row],[考试日期]])*(表成绩单[总分]&lt;9E+307)*(表成绩单[总分]&gt;表成绩单[[#This Row],[总分]]))+1)</f>
        <v>132</v>
      </c>
    </row>
    <row r="1740" ht="28" customHeight="1" spans="4:23">
      <c r="D1740" s="31">
        <v>46030</v>
      </c>
      <c r="E1740" s="29">
        <v>19175643</v>
      </c>
      <c r="F1740" s="29" t="s">
        <v>66</v>
      </c>
      <c r="G1740" s="29" t="s">
        <v>139</v>
      </c>
      <c r="H1740" s="29">
        <v>108</v>
      </c>
      <c r="I1740" s="29">
        <v>89</v>
      </c>
      <c r="J1740" s="29">
        <v>84</v>
      </c>
      <c r="K1740" s="29">
        <v>65</v>
      </c>
      <c r="L1740" s="29">
        <v>71</v>
      </c>
      <c r="M1740" s="29">
        <v>78</v>
      </c>
      <c r="N1740" s="29">
        <v>82</v>
      </c>
      <c r="O1740" s="32">
        <v>577</v>
      </c>
      <c r="P1740" s="29" cm="1">
        <f t="array" ref="P1740">IF(表成绩单[[#This Row],[语文]]="","",SUMPRODUCT((表成绩单[考试日期]=表成绩单[[#This Row],[考试日期]])*(表成绩单[语文]&lt;9E+307)*(表成绩单[语文]&gt;表成绩单[[#This Row],[语文]]))+1)</f>
        <v>29</v>
      </c>
      <c r="Q1740" s="29" cm="1">
        <f t="array" ref="Q1740">IF(表成绩单[[#This Row],[数学]]="","",SUMPRODUCT((表成绩单[考试日期]=表成绩单[[#This Row],[考试日期]])*(表成绩单[数学]&lt;9E+307)*(表成绩单[数学]&gt;表成绩单[[#This Row],[数学]]))+1)</f>
        <v>228</v>
      </c>
      <c r="R1740" s="29" cm="1">
        <f t="array" ref="R1740">IF(表成绩单[[#This Row],[英语]]="","",SUMPRODUCT((表成绩单[考试日期]=表成绩单[[#This Row],[考试日期]])*(表成绩单[英语]&lt;9E+307)*(表成绩单[英语]&gt;表成绩单[[#This Row],[英语]]))+1)</f>
        <v>4</v>
      </c>
      <c r="S1740" s="29" cm="1">
        <f t="array" ref="S1740">IF(表成绩单[[#This Row],[物理]]="","",SUMPRODUCT((表成绩单[考试日期]=表成绩单[[#This Row],[考试日期]])*(表成绩单[物理]&lt;9E+307)*(表成绩单[物理]&gt;表成绩单[[#This Row],[物理]]))+1)</f>
        <v>427</v>
      </c>
      <c r="T1740" s="29" cm="1">
        <f t="array" ref="T1740">IF(表成绩单[[#This Row],[化学]]="","",SUMPRODUCT((表成绩单[考试日期]=表成绩单[[#This Row],[考试日期]])*(表成绩单[化学]&lt;9E+307)*(表成绩单[化学]&gt;表成绩单[[#This Row],[化学]]))+1)</f>
        <v>297</v>
      </c>
      <c r="U1740" s="29" cm="1">
        <f t="array" ref="U1740">IF(表成绩单[[#This Row],[政治]]="","",SUMPRODUCT((表成绩单[考试日期]=表成绩单[[#This Row],[考试日期]])*(表成绩单[政治]&lt;9E+307)*(表成绩单[政治]&gt;表成绩单[[#This Row],[政治]]))+1)</f>
        <v>65</v>
      </c>
      <c r="V1740" s="29" cm="1">
        <f t="array" ref="V1740">IF(表成绩单[[#This Row],[历史]]="","",SUMPRODUCT((表成绩单[考试日期]=表成绩单[[#This Row],[考试日期]])*(表成绩单[历史]&lt;9E+307)*(表成绩单[历史]&gt;表成绩单[[#This Row],[历史]]))+1)</f>
        <v>41</v>
      </c>
      <c r="W1740" s="29" cm="1">
        <f t="array" ref="W1740">IF(表成绩单[[#This Row],[总分]]="","",SUMPRODUCT((表成绩单[考试日期]=表成绩单[[#This Row],[考试日期]])*(表成绩单[总分]&lt;9E+307)*(表成绩单[总分]&gt;表成绩单[[#This Row],[总分]]))+1)</f>
        <v>132</v>
      </c>
    </row>
    <row r="1741" ht="28" customHeight="1" spans="4:23">
      <c r="D1741" s="31">
        <v>46030</v>
      </c>
      <c r="E1741" s="29">
        <v>19175708</v>
      </c>
      <c r="F1741" s="29" t="s">
        <v>72</v>
      </c>
      <c r="G1741" s="29" t="s">
        <v>230</v>
      </c>
      <c r="H1741" s="29">
        <v>97</v>
      </c>
      <c r="I1741" s="29">
        <v>101</v>
      </c>
      <c r="J1741" s="29">
        <v>73</v>
      </c>
      <c r="K1741" s="29">
        <v>81</v>
      </c>
      <c r="L1741" s="29">
        <v>66</v>
      </c>
      <c r="M1741" s="29">
        <v>78</v>
      </c>
      <c r="N1741" s="29">
        <v>81</v>
      </c>
      <c r="O1741" s="32">
        <v>577</v>
      </c>
      <c r="P1741" s="29" cm="1">
        <f t="array" ref="P1741">IF(表成绩单[[#This Row],[语文]]="","",SUMPRODUCT((表成绩单[考试日期]=表成绩单[[#This Row],[考试日期]])*(表成绩单[语文]&lt;9E+307)*(表成绩单[语文]&gt;表成绩单[[#This Row],[语文]]))+1)</f>
        <v>291</v>
      </c>
      <c r="Q1741" s="29" cm="1">
        <f t="array" ref="Q1741">IF(表成绩单[[#This Row],[数学]]="","",SUMPRODUCT((表成绩单[考试日期]=表成绩单[[#This Row],[考试日期]])*(表成绩单[数学]&lt;9E+307)*(表成绩单[数学]&gt;表成绩单[[#This Row],[数学]]))+1)</f>
        <v>104</v>
      </c>
      <c r="R1741" s="29" cm="1">
        <f t="array" ref="R1741">IF(表成绩单[[#This Row],[英语]]="","",SUMPRODUCT((表成绩单[考试日期]=表成绩单[[#This Row],[考试日期]])*(表成绩单[英语]&lt;9E+307)*(表成绩单[英语]&gt;表成绩单[[#This Row],[英语]]))+1)</f>
        <v>222</v>
      </c>
      <c r="S1741" s="29" cm="1">
        <f t="array" ref="S1741">IF(表成绩单[[#This Row],[物理]]="","",SUMPRODUCT((表成绩单[考试日期]=表成绩单[[#This Row],[考试日期]])*(表成绩单[物理]&lt;9E+307)*(表成绩单[物理]&gt;表成绩单[[#This Row],[物理]]))+1)</f>
        <v>119</v>
      </c>
      <c r="T1741" s="29" cm="1">
        <f t="array" ref="T1741">IF(表成绩单[[#This Row],[化学]]="","",SUMPRODUCT((表成绩单[考试日期]=表成绩单[[#This Row],[考试日期]])*(表成绩单[化学]&lt;9E+307)*(表成绩单[化学]&gt;表成绩单[[#This Row],[化学]]))+1)</f>
        <v>414</v>
      </c>
      <c r="U1741" s="29" cm="1">
        <f t="array" ref="U1741">IF(表成绩单[[#This Row],[政治]]="","",SUMPRODUCT((表成绩单[考试日期]=表成绩单[[#This Row],[考试日期]])*(表成绩单[政治]&lt;9E+307)*(表成绩单[政治]&gt;表成绩单[[#This Row],[政治]]))+1)</f>
        <v>65</v>
      </c>
      <c r="V1741" s="29" cm="1">
        <f t="array" ref="V1741">IF(表成绩单[[#This Row],[历史]]="","",SUMPRODUCT((表成绩单[考试日期]=表成绩单[[#This Row],[考试日期]])*(表成绩单[历史]&lt;9E+307)*(表成绩单[历史]&gt;表成绩单[[#This Row],[历史]]))+1)</f>
        <v>60</v>
      </c>
      <c r="W1741" s="29" cm="1">
        <f t="array" ref="W1741">IF(表成绩单[[#This Row],[总分]]="","",SUMPRODUCT((表成绩单[考试日期]=表成绩单[[#This Row],[考试日期]])*(表成绩单[总分]&lt;9E+307)*(表成绩单[总分]&gt;表成绩单[[#This Row],[总分]]))+1)</f>
        <v>132</v>
      </c>
    </row>
    <row r="1742" ht="28" customHeight="1" spans="4:23">
      <c r="D1742" s="31">
        <v>46030</v>
      </c>
      <c r="E1742" s="29">
        <v>19176168</v>
      </c>
      <c r="F1742" s="29" t="s">
        <v>67</v>
      </c>
      <c r="G1742" s="29" t="s">
        <v>390</v>
      </c>
      <c r="H1742" s="29">
        <v>102</v>
      </c>
      <c r="I1742" s="29">
        <v>89</v>
      </c>
      <c r="J1742" s="29">
        <v>73</v>
      </c>
      <c r="K1742" s="29">
        <v>87</v>
      </c>
      <c r="L1742" s="29">
        <v>82</v>
      </c>
      <c r="M1742" s="29">
        <v>71</v>
      </c>
      <c r="N1742" s="29">
        <v>73</v>
      </c>
      <c r="O1742" s="32">
        <v>577</v>
      </c>
      <c r="P1742" s="29" cm="1">
        <f t="array" ref="P1742">IF(表成绩单[[#This Row],[语文]]="","",SUMPRODUCT((表成绩单[考试日期]=表成绩单[[#This Row],[考试日期]])*(表成绩单[语文]&lt;9E+307)*(表成绩单[语文]&gt;表成绩单[[#This Row],[语文]]))+1)</f>
        <v>132</v>
      </c>
      <c r="Q1742" s="29" cm="1">
        <f t="array" ref="Q1742">IF(表成绩单[[#This Row],[数学]]="","",SUMPRODUCT((表成绩单[考试日期]=表成绩单[[#This Row],[考试日期]])*(表成绩单[数学]&lt;9E+307)*(表成绩单[数学]&gt;表成绩单[[#This Row],[数学]]))+1)</f>
        <v>228</v>
      </c>
      <c r="R1742" s="29" cm="1">
        <f t="array" ref="R1742">IF(表成绩单[[#This Row],[英语]]="","",SUMPRODUCT((表成绩单[考试日期]=表成绩单[[#This Row],[考试日期]])*(表成绩单[英语]&lt;9E+307)*(表成绩单[英语]&gt;表成绩单[[#This Row],[英语]]))+1)</f>
        <v>222</v>
      </c>
      <c r="S1742" s="29" cm="1">
        <f t="array" ref="S1742">IF(表成绩单[[#This Row],[物理]]="","",SUMPRODUCT((表成绩单[考试日期]=表成绩单[[#This Row],[考试日期]])*(表成绩单[物理]&lt;9E+307)*(表成绩单[物理]&gt;表成绩单[[#This Row],[物理]]))+1)</f>
        <v>27</v>
      </c>
      <c r="T1742" s="29" cm="1">
        <f t="array" ref="T1742">IF(表成绩单[[#This Row],[化学]]="","",SUMPRODUCT((表成绩单[考试日期]=表成绩单[[#This Row],[考试日期]])*(表成绩单[化学]&lt;9E+307)*(表成绩单[化学]&gt;表成绩单[[#This Row],[化学]]))+1)</f>
        <v>23</v>
      </c>
      <c r="U1742" s="29" cm="1">
        <f t="array" ref="U1742">IF(表成绩单[[#This Row],[政治]]="","",SUMPRODUCT((表成绩单[考试日期]=表成绩单[[#This Row],[考试日期]])*(表成绩单[政治]&lt;9E+307)*(表成绩单[政治]&gt;表成绩单[[#This Row],[政治]]))+1)</f>
        <v>248</v>
      </c>
      <c r="V1742" s="29" cm="1">
        <f t="array" ref="V1742">IF(表成绩单[[#This Row],[历史]]="","",SUMPRODUCT((表成绩单[考试日期]=表成绩单[[#This Row],[考试日期]])*(表成绩单[历史]&lt;9E+307)*(表成绩单[历史]&gt;表成绩单[[#This Row],[历史]]))+1)</f>
        <v>240</v>
      </c>
      <c r="W1742" s="29" cm="1">
        <f t="array" ref="W1742">IF(表成绩单[[#This Row],[总分]]="","",SUMPRODUCT((表成绩单[考试日期]=表成绩单[[#This Row],[考试日期]])*(表成绩单[总分]&lt;9E+307)*(表成绩单[总分]&gt;表成绩单[[#This Row],[总分]]))+1)</f>
        <v>132</v>
      </c>
    </row>
    <row r="1743" ht="28" customHeight="1" spans="4:23">
      <c r="D1743" s="31">
        <v>46030</v>
      </c>
      <c r="E1743" s="29">
        <v>19176155</v>
      </c>
      <c r="F1743" s="29" t="s">
        <v>67</v>
      </c>
      <c r="G1743" s="29" t="s">
        <v>339</v>
      </c>
      <c r="H1743" s="29">
        <v>102</v>
      </c>
      <c r="I1743" s="29">
        <v>97</v>
      </c>
      <c r="J1743" s="29">
        <v>77.5</v>
      </c>
      <c r="K1743" s="29">
        <v>77</v>
      </c>
      <c r="L1743" s="29">
        <v>66</v>
      </c>
      <c r="M1743" s="29">
        <v>76</v>
      </c>
      <c r="N1743" s="29">
        <v>81</v>
      </c>
      <c r="O1743" s="32">
        <v>576.5</v>
      </c>
      <c r="P1743" s="29" cm="1">
        <f t="array" ref="P1743">IF(表成绩单[[#This Row],[语文]]="","",SUMPRODUCT((表成绩单[考试日期]=表成绩单[[#This Row],[考试日期]])*(表成绩单[语文]&lt;9E+307)*(表成绩单[语文]&gt;表成绩单[[#This Row],[语文]]))+1)</f>
        <v>132</v>
      </c>
      <c r="Q1743" s="29" cm="1">
        <f t="array" ref="Q1743">IF(表成绩单[[#This Row],[数学]]="","",SUMPRODUCT((表成绩单[考试日期]=表成绩单[[#This Row],[考试日期]])*(表成绩单[数学]&lt;9E+307)*(表成绩单[数学]&gt;表成绩单[[#This Row],[数学]]))+1)</f>
        <v>142</v>
      </c>
      <c r="R1743" s="29" cm="1">
        <f t="array" ref="R1743">IF(表成绩单[[#This Row],[英语]]="","",SUMPRODUCT((表成绩单[考试日期]=表成绩单[[#This Row],[考试日期]])*(表成绩单[英语]&lt;9E+307)*(表成绩单[英语]&gt;表成绩单[[#This Row],[英语]]))+1)</f>
        <v>89</v>
      </c>
      <c r="S1743" s="29" cm="1">
        <f t="array" ref="S1743">IF(表成绩单[[#This Row],[物理]]="","",SUMPRODUCT((表成绩单[考试日期]=表成绩单[[#This Row],[考试日期]])*(表成绩单[物理]&lt;9E+307)*(表成绩单[物理]&gt;表成绩单[[#This Row],[物理]]))+1)</f>
        <v>197</v>
      </c>
      <c r="T1743" s="29" cm="1">
        <f t="array" ref="T1743">IF(表成绩单[[#This Row],[化学]]="","",SUMPRODUCT((表成绩单[考试日期]=表成绩单[[#This Row],[考试日期]])*(表成绩单[化学]&lt;9E+307)*(表成绩单[化学]&gt;表成绩单[[#This Row],[化学]]))+1)</f>
        <v>414</v>
      </c>
      <c r="U1743" s="29" cm="1">
        <f t="array" ref="U1743">IF(表成绩单[[#This Row],[政治]]="","",SUMPRODUCT((表成绩单[考试日期]=表成绩单[[#This Row],[考试日期]])*(表成绩单[政治]&lt;9E+307)*(表成绩单[政治]&gt;表成绩单[[#This Row],[政治]]))+1)</f>
        <v>111</v>
      </c>
      <c r="V1743" s="29" cm="1">
        <f t="array" ref="V1743">IF(表成绩单[[#This Row],[历史]]="","",SUMPRODUCT((表成绩单[考试日期]=表成绩单[[#This Row],[考试日期]])*(表成绩单[历史]&lt;9E+307)*(表成绩单[历史]&gt;表成绩单[[#This Row],[历史]]))+1)</f>
        <v>60</v>
      </c>
      <c r="W1743" s="29" cm="1">
        <f t="array" ref="W1743">IF(表成绩单[[#This Row],[总分]]="","",SUMPRODUCT((表成绩单[考试日期]=表成绩单[[#This Row],[考试日期]])*(表成绩单[总分]&lt;9E+307)*(表成绩单[总分]&gt;表成绩单[[#This Row],[总分]]))+1)</f>
        <v>137</v>
      </c>
    </row>
    <row r="1744" ht="28" customHeight="1" spans="4:23">
      <c r="D1744" s="31">
        <v>46030</v>
      </c>
      <c r="E1744" s="29">
        <v>19178640</v>
      </c>
      <c r="F1744" s="29" t="s">
        <v>25</v>
      </c>
      <c r="G1744" s="29" t="s">
        <v>268</v>
      </c>
      <c r="H1744" s="29">
        <v>102</v>
      </c>
      <c r="I1744" s="29">
        <v>95</v>
      </c>
      <c r="J1744" s="29">
        <v>77.5</v>
      </c>
      <c r="K1744" s="29">
        <v>72</v>
      </c>
      <c r="L1744" s="29">
        <v>82</v>
      </c>
      <c r="M1744" s="29">
        <v>74</v>
      </c>
      <c r="N1744" s="29">
        <v>74</v>
      </c>
      <c r="O1744" s="32">
        <v>576.5</v>
      </c>
      <c r="P1744" s="29" cm="1">
        <f t="array" ref="P1744">IF(表成绩单[[#This Row],[语文]]="","",SUMPRODUCT((表成绩单[考试日期]=表成绩单[[#This Row],[考试日期]])*(表成绩单[语文]&lt;9E+307)*(表成绩单[语文]&gt;表成绩单[[#This Row],[语文]]))+1)</f>
        <v>132</v>
      </c>
      <c r="Q1744" s="29" cm="1">
        <f t="array" ref="Q1744">IF(表成绩单[[#This Row],[数学]]="","",SUMPRODUCT((表成绩单[考试日期]=表成绩单[[#This Row],[考试日期]])*(表成绩单[数学]&lt;9E+307)*(表成绩单[数学]&gt;表成绩单[[#This Row],[数学]]))+1)</f>
        <v>167</v>
      </c>
      <c r="R1744" s="29" cm="1">
        <f t="array" ref="R1744">IF(表成绩单[[#This Row],[英语]]="","",SUMPRODUCT((表成绩单[考试日期]=表成绩单[[#This Row],[考试日期]])*(表成绩单[英语]&lt;9E+307)*(表成绩单[英语]&gt;表成绩单[[#This Row],[英语]]))+1)</f>
        <v>89</v>
      </c>
      <c r="S1744" s="29" cm="1">
        <f t="array" ref="S1744">IF(表成绩单[[#This Row],[物理]]="","",SUMPRODUCT((表成绩单[考试日期]=表成绩单[[#This Row],[考试日期]])*(表成绩单[物理]&lt;9E+307)*(表成绩单[物理]&gt;表成绩单[[#This Row],[物理]]))+1)</f>
        <v>297</v>
      </c>
      <c r="T1744" s="29" cm="1">
        <f t="array" ref="T1744">IF(表成绩单[[#This Row],[化学]]="","",SUMPRODUCT((表成绩单[考试日期]=表成绩单[[#This Row],[考试日期]])*(表成绩单[化学]&lt;9E+307)*(表成绩单[化学]&gt;表成绩单[[#This Row],[化学]]))+1)</f>
        <v>23</v>
      </c>
      <c r="U1744" s="29" cm="1">
        <f t="array" ref="U1744">IF(表成绩单[[#This Row],[政治]]="","",SUMPRODUCT((表成绩单[考试日期]=表成绩单[[#This Row],[考试日期]])*(表成绩单[政治]&lt;9E+307)*(表成绩单[政治]&gt;表成绩单[[#This Row],[政治]]))+1)</f>
        <v>168</v>
      </c>
      <c r="V1744" s="29" cm="1">
        <f t="array" ref="V1744">IF(表成绩单[[#This Row],[历史]]="","",SUMPRODUCT((表成绩单[考试日期]=表成绩单[[#This Row],[考试日期]])*(表成绩单[历史]&lt;9E+307)*(表成绩单[历史]&gt;表成绩单[[#This Row],[历史]]))+1)</f>
        <v>215</v>
      </c>
      <c r="W1744" s="29" cm="1">
        <f t="array" ref="W1744">IF(表成绩单[[#This Row],[总分]]="","",SUMPRODUCT((表成绩单[考试日期]=表成绩单[[#This Row],[考试日期]])*(表成绩单[总分]&lt;9E+307)*(表成绩单[总分]&gt;表成绩单[[#This Row],[总分]]))+1)</f>
        <v>137</v>
      </c>
    </row>
    <row r="1745" ht="28" customHeight="1" spans="4:23">
      <c r="D1745" s="31">
        <v>46030</v>
      </c>
      <c r="E1745" s="29">
        <v>19176884</v>
      </c>
      <c r="F1745" s="29" t="s">
        <v>71</v>
      </c>
      <c r="G1745" s="29" t="s">
        <v>340</v>
      </c>
      <c r="H1745" s="29">
        <v>104</v>
      </c>
      <c r="I1745" s="29">
        <v>87</v>
      </c>
      <c r="J1745" s="29">
        <v>72.5</v>
      </c>
      <c r="K1745" s="29">
        <v>78</v>
      </c>
      <c r="L1745" s="29">
        <v>81</v>
      </c>
      <c r="M1745" s="29">
        <v>75</v>
      </c>
      <c r="N1745" s="29">
        <v>78</v>
      </c>
      <c r="O1745" s="32">
        <v>575.5</v>
      </c>
      <c r="P1745" s="29" cm="1">
        <f t="array" ref="P1745">IF(表成绩单[[#This Row],[语文]]="","",SUMPRODUCT((表成绩单[考试日期]=表成绩单[[#This Row],[考试日期]])*(表成绩单[语文]&lt;9E+307)*(表成绩单[语文]&gt;表成绩单[[#This Row],[语文]]))+1)</f>
        <v>82</v>
      </c>
      <c r="Q1745" s="29" cm="1">
        <f t="array" ref="Q1745">IF(表成绩单[[#This Row],[数学]]="","",SUMPRODUCT((表成绩单[考试日期]=表成绩单[[#This Row],[考试日期]])*(表成绩单[数学]&lt;9E+307)*(表成绩单[数学]&gt;表成绩单[[#This Row],[数学]]))+1)</f>
        <v>270</v>
      </c>
      <c r="R1745" s="29" cm="1">
        <f t="array" ref="R1745">IF(表成绩单[[#This Row],[英语]]="","",SUMPRODUCT((表成绩单[考试日期]=表成绩单[[#This Row],[考试日期]])*(表成绩单[英语]&lt;9E+307)*(表成绩单[英语]&gt;表成绩单[[#This Row],[英语]]))+1)</f>
        <v>242</v>
      </c>
      <c r="S1745" s="29" cm="1">
        <f t="array" ref="S1745">IF(表成绩单[[#This Row],[物理]]="","",SUMPRODUCT((表成绩单[考试日期]=表成绩单[[#This Row],[考试日期]])*(表成绩单[物理]&lt;9E+307)*(表成绩单[物理]&gt;表成绩单[[#This Row],[物理]]))+1)</f>
        <v>178</v>
      </c>
      <c r="T1745" s="29" cm="1">
        <f t="array" ref="T1745">IF(表成绩单[[#This Row],[化学]]="","",SUMPRODUCT((表成绩单[考试日期]=表成绩单[[#This Row],[考试日期]])*(表成绩单[化学]&lt;9E+307)*(表成绩单[化学]&gt;表成绩单[[#This Row],[化学]]))+1)</f>
        <v>43</v>
      </c>
      <c r="U1745" s="29" cm="1">
        <f t="array" ref="U1745">IF(表成绩单[[#This Row],[政治]]="","",SUMPRODUCT((表成绩单[考试日期]=表成绩单[[#This Row],[考试日期]])*(表成绩单[政治]&lt;9E+307)*(表成绩单[政治]&gt;表成绩单[[#This Row],[政治]]))+1)</f>
        <v>137</v>
      </c>
      <c r="V1745" s="29" cm="1">
        <f t="array" ref="V1745">IF(表成绩单[[#This Row],[历史]]="","",SUMPRODUCT((表成绩单[考试日期]=表成绩单[[#This Row],[考试日期]])*(表成绩单[历史]&lt;9E+307)*(表成绩单[历史]&gt;表成绩单[[#This Row],[历史]]))+1)</f>
        <v>126</v>
      </c>
      <c r="W1745" s="29" cm="1">
        <f t="array" ref="W1745">IF(表成绩单[[#This Row],[总分]]="","",SUMPRODUCT((表成绩单[考试日期]=表成绩单[[#This Row],[考试日期]])*(表成绩单[总分]&lt;9E+307)*(表成绩单[总分]&gt;表成绩单[[#This Row],[总分]]))+1)</f>
        <v>139</v>
      </c>
    </row>
    <row r="1746" ht="28" customHeight="1" spans="4:23">
      <c r="D1746" s="31">
        <v>46030</v>
      </c>
      <c r="E1746" s="29">
        <v>19177201</v>
      </c>
      <c r="F1746" s="29" t="s">
        <v>70</v>
      </c>
      <c r="G1746" s="29" t="s">
        <v>196</v>
      </c>
      <c r="H1746" s="29">
        <v>104</v>
      </c>
      <c r="I1746" s="29">
        <v>105</v>
      </c>
      <c r="J1746" s="29">
        <v>71.5</v>
      </c>
      <c r="K1746" s="29">
        <v>82</v>
      </c>
      <c r="L1746" s="29">
        <v>76</v>
      </c>
      <c r="M1746" s="29">
        <v>71</v>
      </c>
      <c r="N1746" s="29">
        <v>66</v>
      </c>
      <c r="O1746" s="32">
        <v>575.5</v>
      </c>
      <c r="P1746" s="29" cm="1">
        <f t="array" ref="P1746">IF(表成绩单[[#This Row],[语文]]="","",SUMPRODUCT((表成绩单[考试日期]=表成绩单[[#This Row],[考试日期]])*(表成绩单[语文]&lt;9E+307)*(表成绩单[语文]&gt;表成绩单[[#This Row],[语文]]))+1)</f>
        <v>82</v>
      </c>
      <c r="Q1746" s="29" cm="1">
        <f t="array" ref="Q1746">IF(表成绩单[[#This Row],[数学]]="","",SUMPRODUCT((表成绩单[考试日期]=表成绩单[[#This Row],[考试日期]])*(表成绩单[数学]&lt;9E+307)*(表成绩单[数学]&gt;表成绩单[[#This Row],[数学]]))+1)</f>
        <v>64</v>
      </c>
      <c r="R1746" s="29" cm="1">
        <f t="array" ref="R1746">IF(表成绩单[[#This Row],[英语]]="","",SUMPRODUCT((表成绩单[考试日期]=表成绩单[[#This Row],[考试日期]])*(表成绩单[英语]&lt;9E+307)*(表成绩单[英语]&gt;表成绩单[[#This Row],[英语]]))+1)</f>
        <v>271</v>
      </c>
      <c r="S1746" s="29" cm="1">
        <f t="array" ref="S1746">IF(表成绩单[[#This Row],[物理]]="","",SUMPRODUCT((表成绩单[考试日期]=表成绩单[[#This Row],[考试日期]])*(表成绩单[物理]&lt;9E+307)*(表成绩单[物理]&gt;表成绩单[[#This Row],[物理]]))+1)</f>
        <v>105</v>
      </c>
      <c r="T1746" s="29" cm="1">
        <f t="array" ref="T1746">IF(表成绩单[[#This Row],[化学]]="","",SUMPRODUCT((表成绩单[考试日期]=表成绩单[[#This Row],[考试日期]])*(表成绩单[化学]&lt;9E+307)*(表成绩单[化学]&gt;表成绩单[[#This Row],[化学]]))+1)</f>
        <v>139</v>
      </c>
      <c r="U1746" s="29" cm="1">
        <f t="array" ref="U1746">IF(表成绩单[[#This Row],[政治]]="","",SUMPRODUCT((表成绩单[考试日期]=表成绩单[[#This Row],[考试日期]])*(表成绩单[政治]&lt;9E+307)*(表成绩单[政治]&gt;表成绩单[[#This Row],[政治]]))+1)</f>
        <v>248</v>
      </c>
      <c r="V1746" s="29" cm="1">
        <f t="array" ref="V1746">IF(表成绩单[[#This Row],[历史]]="","",SUMPRODUCT((表成绩单[考试日期]=表成绩单[[#This Row],[考试日期]])*(表成绩单[历史]&lt;9E+307)*(表成绩单[历史]&gt;表成绩单[[#This Row],[历史]]))+1)</f>
        <v>451</v>
      </c>
      <c r="W1746" s="29" cm="1">
        <f t="array" ref="W1746">IF(表成绩单[[#This Row],[总分]]="","",SUMPRODUCT((表成绩单[考试日期]=表成绩单[[#This Row],[考试日期]])*(表成绩单[总分]&lt;9E+307)*(表成绩单[总分]&gt;表成绩单[[#This Row],[总分]]))+1)</f>
        <v>139</v>
      </c>
    </row>
    <row r="1747" ht="28" customHeight="1" spans="4:23">
      <c r="D1747" s="31">
        <v>46030</v>
      </c>
      <c r="E1747" s="29">
        <v>19174441</v>
      </c>
      <c r="F1747" s="29" t="s">
        <v>73</v>
      </c>
      <c r="G1747" s="29" t="s">
        <v>126</v>
      </c>
      <c r="H1747" s="29">
        <v>93</v>
      </c>
      <c r="I1747" s="29">
        <v>95</v>
      </c>
      <c r="J1747" s="29">
        <v>81</v>
      </c>
      <c r="K1747" s="29">
        <v>82</v>
      </c>
      <c r="L1747" s="29">
        <v>80</v>
      </c>
      <c r="M1747" s="29">
        <v>73</v>
      </c>
      <c r="N1747" s="29">
        <v>71</v>
      </c>
      <c r="O1747" s="32">
        <v>575</v>
      </c>
      <c r="P1747" s="29" cm="1">
        <f t="array" ref="P1747">IF(表成绩单[[#This Row],[语文]]="","",SUMPRODUCT((表成绩单[考试日期]=表成绩单[[#This Row],[考试日期]])*(表成绩单[语文]&lt;9E+307)*(表成绩单[语文]&gt;表成绩单[[#This Row],[语文]]))+1)</f>
        <v>412</v>
      </c>
      <c r="Q1747" s="29" cm="1">
        <f t="array" ref="Q1747">IF(表成绩单[[#This Row],[数学]]="","",SUMPRODUCT((表成绩单[考试日期]=表成绩单[[#This Row],[考试日期]])*(表成绩单[数学]&lt;9E+307)*(表成绩单[数学]&gt;表成绩单[[#This Row],[数学]]))+1)</f>
        <v>167</v>
      </c>
      <c r="R1747" s="29" cm="1">
        <f t="array" ref="R1747">IF(表成绩单[[#This Row],[英语]]="","",SUMPRODUCT((表成绩单[考试日期]=表成绩单[[#This Row],[考试日期]])*(表成绩单[英语]&lt;9E+307)*(表成绩单[英语]&gt;表成绩单[[#This Row],[英语]]))+1)</f>
        <v>19</v>
      </c>
      <c r="S1747" s="29" cm="1">
        <f t="array" ref="S1747">IF(表成绩单[[#This Row],[物理]]="","",SUMPRODUCT((表成绩单[考试日期]=表成绩单[[#This Row],[考试日期]])*(表成绩单[物理]&lt;9E+307)*(表成绩单[物理]&gt;表成绩单[[#This Row],[物理]]))+1)</f>
        <v>105</v>
      </c>
      <c r="T1747" s="29" cm="1">
        <f t="array" ref="T1747">IF(表成绩单[[#This Row],[化学]]="","",SUMPRODUCT((表成绩单[考试日期]=表成绩单[[#This Row],[考试日期]])*(表成绩单[化学]&lt;9E+307)*(表成绩单[化学]&gt;表成绩单[[#This Row],[化学]]))+1)</f>
        <v>60</v>
      </c>
      <c r="U1747" s="29" cm="1">
        <f t="array" ref="U1747">IF(表成绩单[[#This Row],[政治]]="","",SUMPRODUCT((表成绩单[考试日期]=表成绩单[[#This Row],[考试日期]])*(表成绩单[政治]&lt;9E+307)*(表成绩单[政治]&gt;表成绩单[[#This Row],[政治]]))+1)</f>
        <v>197</v>
      </c>
      <c r="V1747" s="29" cm="1">
        <f t="array" ref="V1747">IF(表成绩单[[#This Row],[历史]]="","",SUMPRODUCT((表成绩单[考试日期]=表成绩单[[#This Row],[考试日期]])*(表成绩单[历史]&lt;9E+307)*(表成绩单[历史]&gt;表成绩单[[#This Row],[历史]]))+1)</f>
        <v>297</v>
      </c>
      <c r="W1747" s="29" cm="1">
        <f t="array" ref="W1747">IF(表成绩单[[#This Row],[总分]]="","",SUMPRODUCT((表成绩单[考试日期]=表成绩单[[#This Row],[考试日期]])*(表成绩单[总分]&lt;9E+307)*(表成绩单[总分]&gt;表成绩单[[#This Row],[总分]]))+1)</f>
        <v>141</v>
      </c>
    </row>
    <row r="1748" ht="28" customHeight="1" spans="4:23">
      <c r="D1748" s="31">
        <v>46030</v>
      </c>
      <c r="E1748" s="29">
        <v>19175639</v>
      </c>
      <c r="F1748" s="29" t="s">
        <v>66</v>
      </c>
      <c r="G1748" s="29" t="s">
        <v>314</v>
      </c>
      <c r="H1748" s="29">
        <v>106</v>
      </c>
      <c r="I1748" s="29">
        <v>97</v>
      </c>
      <c r="J1748" s="29">
        <v>69.5</v>
      </c>
      <c r="K1748" s="29">
        <v>82</v>
      </c>
      <c r="L1748" s="29">
        <v>79</v>
      </c>
      <c r="M1748" s="29">
        <v>66</v>
      </c>
      <c r="N1748" s="29">
        <v>75</v>
      </c>
      <c r="O1748" s="32">
        <v>574.5</v>
      </c>
      <c r="P1748" s="29" cm="1">
        <f t="array" ref="P1748">IF(表成绩单[[#This Row],[语文]]="","",SUMPRODUCT((表成绩单[考试日期]=表成绩单[[#This Row],[考试日期]])*(表成绩单[语文]&lt;9E+307)*(表成绩单[语文]&gt;表成绩单[[#This Row],[语文]]))+1)</f>
        <v>50</v>
      </c>
      <c r="Q1748" s="29" cm="1">
        <f t="array" ref="Q1748">IF(表成绩单[[#This Row],[数学]]="","",SUMPRODUCT((表成绩单[考试日期]=表成绩单[[#This Row],[考试日期]])*(表成绩单[数学]&lt;9E+307)*(表成绩单[数学]&gt;表成绩单[[#This Row],[数学]]))+1)</f>
        <v>142</v>
      </c>
      <c r="R1748" s="29" cm="1">
        <f t="array" ref="R1748">IF(表成绩单[[#This Row],[英语]]="","",SUMPRODUCT((表成绩单[考试日期]=表成绩单[[#This Row],[考试日期]])*(表成绩单[英语]&lt;9E+307)*(表成绩单[英语]&gt;表成绩单[[#This Row],[英语]]))+1)</f>
        <v>330</v>
      </c>
      <c r="S1748" s="29" cm="1">
        <f t="array" ref="S1748">IF(表成绩单[[#This Row],[物理]]="","",SUMPRODUCT((表成绩单[考试日期]=表成绩单[[#This Row],[考试日期]])*(表成绩单[物理]&lt;9E+307)*(表成绩单[物理]&gt;表成绩单[[#This Row],[物理]]))+1)</f>
        <v>105</v>
      </c>
      <c r="T1748" s="29" cm="1">
        <f t="array" ref="T1748">IF(表成绩单[[#This Row],[化学]]="","",SUMPRODUCT((表成绩单[考试日期]=表成绩单[[#This Row],[考试日期]])*(表成绩单[化学]&lt;9E+307)*(表成绩单[化学]&gt;表成绩单[[#This Row],[化学]]))+1)</f>
        <v>77</v>
      </c>
      <c r="U1748" s="29" cm="1">
        <f t="array" ref="U1748">IF(表成绩单[[#This Row],[政治]]="","",SUMPRODUCT((表成绩单[考试日期]=表成绩单[[#This Row],[考试日期]])*(表成绩单[政治]&lt;9E+307)*(表成绩单[政治]&gt;表成绩单[[#This Row],[政治]]))+1)</f>
        <v>397</v>
      </c>
      <c r="V1748" s="29" cm="1">
        <f t="array" ref="V1748">IF(表成绩单[[#This Row],[历史]]="","",SUMPRODUCT((表成绩单[考试日期]=表成绩单[[#This Row],[考试日期]])*(表成绩单[历史]&lt;9E+307)*(表成绩单[历史]&gt;表成绩单[[#This Row],[历史]]))+1)</f>
        <v>193</v>
      </c>
      <c r="W1748" s="29" cm="1">
        <f t="array" ref="W1748">IF(表成绩单[[#This Row],[总分]]="","",SUMPRODUCT((表成绩单[考试日期]=表成绩单[[#This Row],[考试日期]])*(表成绩单[总分]&lt;9E+307)*(表成绩单[总分]&gt;表成绩单[[#This Row],[总分]]))+1)</f>
        <v>142</v>
      </c>
    </row>
    <row r="1749" ht="28" customHeight="1" spans="4:23">
      <c r="D1749" s="31">
        <v>46030</v>
      </c>
      <c r="E1749" s="29">
        <v>19176858</v>
      </c>
      <c r="F1749" s="29" t="s">
        <v>71</v>
      </c>
      <c r="G1749" s="29" t="s">
        <v>199</v>
      </c>
      <c r="H1749" s="29">
        <v>91</v>
      </c>
      <c r="I1749" s="29">
        <v>105</v>
      </c>
      <c r="J1749" s="29">
        <v>69.5</v>
      </c>
      <c r="K1749" s="29">
        <v>80</v>
      </c>
      <c r="L1749" s="29">
        <v>79</v>
      </c>
      <c r="M1749" s="29">
        <v>75</v>
      </c>
      <c r="N1749" s="29">
        <v>75</v>
      </c>
      <c r="O1749" s="32">
        <v>574.5</v>
      </c>
      <c r="P1749" s="29" cm="1">
        <f t="array" ref="P1749">IF(表成绩单[[#This Row],[语文]]="","",SUMPRODUCT((表成绩单[考试日期]=表成绩单[[#This Row],[考试日期]])*(表成绩单[语文]&lt;9E+307)*(表成绩单[语文]&gt;表成绩单[[#This Row],[语文]]))+1)</f>
        <v>478</v>
      </c>
      <c r="Q1749" s="29" cm="1">
        <f t="array" ref="Q1749">IF(表成绩单[[#This Row],[数学]]="","",SUMPRODUCT((表成绩单[考试日期]=表成绩单[[#This Row],[考试日期]])*(表成绩单[数学]&lt;9E+307)*(表成绩单[数学]&gt;表成绩单[[#This Row],[数学]]))+1)</f>
        <v>64</v>
      </c>
      <c r="R1749" s="29" cm="1">
        <f t="array" ref="R1749">IF(表成绩单[[#This Row],[英语]]="","",SUMPRODUCT((表成绩单[考试日期]=表成绩单[[#This Row],[考试日期]])*(表成绩单[英语]&lt;9E+307)*(表成绩单[英语]&gt;表成绩单[[#This Row],[英语]]))+1)</f>
        <v>330</v>
      </c>
      <c r="S1749" s="29" cm="1">
        <f t="array" ref="S1749">IF(表成绩单[[#This Row],[物理]]="","",SUMPRODUCT((表成绩单[考试日期]=表成绩单[[#This Row],[考试日期]])*(表成绩单[物理]&lt;9E+307)*(表成绩单[物理]&gt;表成绩单[[#This Row],[物理]]))+1)</f>
        <v>137</v>
      </c>
      <c r="T1749" s="29" cm="1">
        <f t="array" ref="T1749">IF(表成绩单[[#This Row],[化学]]="","",SUMPRODUCT((表成绩单[考试日期]=表成绩单[[#This Row],[考试日期]])*(表成绩单[化学]&lt;9E+307)*(表成绩单[化学]&gt;表成绩单[[#This Row],[化学]]))+1)</f>
        <v>77</v>
      </c>
      <c r="U1749" s="29" cm="1">
        <f t="array" ref="U1749">IF(表成绩单[[#This Row],[政治]]="","",SUMPRODUCT((表成绩单[考试日期]=表成绩单[[#This Row],[考试日期]])*(表成绩单[政治]&lt;9E+307)*(表成绩单[政治]&gt;表成绩单[[#This Row],[政治]]))+1)</f>
        <v>137</v>
      </c>
      <c r="V1749" s="29" cm="1">
        <f t="array" ref="V1749">IF(表成绩单[[#This Row],[历史]]="","",SUMPRODUCT((表成绩单[考试日期]=表成绩单[[#This Row],[考试日期]])*(表成绩单[历史]&lt;9E+307)*(表成绩单[历史]&gt;表成绩单[[#This Row],[历史]]))+1)</f>
        <v>193</v>
      </c>
      <c r="W1749" s="29" cm="1">
        <f t="array" ref="W1749">IF(表成绩单[[#This Row],[总分]]="","",SUMPRODUCT((表成绩单[考试日期]=表成绩单[[#This Row],[考试日期]])*(表成绩单[总分]&lt;9E+307)*(表成绩单[总分]&gt;表成绩单[[#This Row],[总分]]))+1)</f>
        <v>142</v>
      </c>
    </row>
    <row r="1750" ht="28" customHeight="1" spans="4:23">
      <c r="D1750" s="31">
        <v>46030</v>
      </c>
      <c r="E1750" s="29">
        <v>19167660</v>
      </c>
      <c r="F1750" s="29" t="s">
        <v>1</v>
      </c>
      <c r="G1750" s="29" t="s">
        <v>374</v>
      </c>
      <c r="H1750" s="29">
        <v>109</v>
      </c>
      <c r="I1750" s="29">
        <v>109</v>
      </c>
      <c r="J1750" s="29">
        <v>71</v>
      </c>
      <c r="K1750" s="29">
        <v>80</v>
      </c>
      <c r="L1750" s="29">
        <v>63</v>
      </c>
      <c r="M1750" s="29">
        <v>73</v>
      </c>
      <c r="N1750" s="29">
        <v>69</v>
      </c>
      <c r="O1750" s="32">
        <v>574</v>
      </c>
      <c r="P1750" s="29" cm="1">
        <f t="array" ref="P1750">IF(表成绩单[[#This Row],[语文]]="","",SUMPRODUCT((表成绩单[考试日期]=表成绩单[[#This Row],[考试日期]])*(表成绩单[语文]&lt;9E+307)*(表成绩单[语文]&gt;表成绩单[[#This Row],[语文]]))+1)</f>
        <v>19</v>
      </c>
      <c r="Q1750" s="29" cm="1">
        <f t="array" ref="Q1750">IF(表成绩单[[#This Row],[数学]]="","",SUMPRODUCT((表成绩单[考试日期]=表成绩单[[#This Row],[考试日期]])*(表成绩单[数学]&lt;9E+307)*(表成绩单[数学]&gt;表成绩单[[#This Row],[数学]]))+1)</f>
        <v>35</v>
      </c>
      <c r="R1750" s="29" cm="1">
        <f t="array" ref="R1750">IF(表成绩单[[#This Row],[英语]]="","",SUMPRODUCT((表成绩单[考试日期]=表成绩单[[#This Row],[考试日期]])*(表成绩单[英语]&lt;9E+307)*(表成绩单[英语]&gt;表成绩单[[#This Row],[英语]]))+1)</f>
        <v>281</v>
      </c>
      <c r="S1750" s="29" cm="1">
        <f t="array" ref="S1750">IF(表成绩单[[#This Row],[物理]]="","",SUMPRODUCT((表成绩单[考试日期]=表成绩单[[#This Row],[考试日期]])*(表成绩单[物理]&lt;9E+307)*(表成绩单[物理]&gt;表成绩单[[#This Row],[物理]]))+1)</f>
        <v>137</v>
      </c>
      <c r="T1750" s="29" cm="1">
        <f t="array" ref="T1750">IF(表成绩单[[#This Row],[化学]]="","",SUMPRODUCT((表成绩单[考试日期]=表成绩单[[#This Row],[考试日期]])*(表成绩单[化学]&lt;9E+307)*(表成绩单[化学]&gt;表成绩单[[#This Row],[化学]]))+1)</f>
        <v>472</v>
      </c>
      <c r="U1750" s="29" cm="1">
        <f t="array" ref="U1750">IF(表成绩单[[#This Row],[政治]]="","",SUMPRODUCT((表成绩单[考试日期]=表成绩单[[#This Row],[考试日期]])*(表成绩单[政治]&lt;9E+307)*(表成绩单[政治]&gt;表成绩单[[#This Row],[政治]]))+1)</f>
        <v>197</v>
      </c>
      <c r="V1750" s="29" cm="1">
        <f t="array" ref="V1750">IF(表成绩单[[#This Row],[历史]]="","",SUMPRODUCT((表成绩单[考试日期]=表成绩单[[#This Row],[考试日期]])*(表成绩单[历史]&lt;9E+307)*(表成绩单[历史]&gt;表成绩单[[#This Row],[历史]]))+1)</f>
        <v>366</v>
      </c>
      <c r="W1750" s="29" cm="1">
        <f t="array" ref="W1750">IF(表成绩单[[#This Row],[总分]]="","",SUMPRODUCT((表成绩单[考试日期]=表成绩单[[#This Row],[考试日期]])*(表成绩单[总分]&lt;9E+307)*(表成绩单[总分]&gt;表成绩单[[#This Row],[总分]]))+1)</f>
        <v>144</v>
      </c>
    </row>
    <row r="1751" ht="28" customHeight="1" spans="4:23">
      <c r="D1751" s="31">
        <v>46030</v>
      </c>
      <c r="E1751" s="29">
        <v>19177649</v>
      </c>
      <c r="F1751" s="29" t="s">
        <v>63</v>
      </c>
      <c r="G1751" s="29" t="s">
        <v>254</v>
      </c>
      <c r="H1751" s="29">
        <v>105</v>
      </c>
      <c r="I1751" s="29">
        <v>85</v>
      </c>
      <c r="J1751" s="29">
        <v>74</v>
      </c>
      <c r="K1751" s="29">
        <v>73</v>
      </c>
      <c r="L1751" s="29">
        <v>80</v>
      </c>
      <c r="M1751" s="29">
        <v>76</v>
      </c>
      <c r="N1751" s="29">
        <v>81</v>
      </c>
      <c r="O1751" s="32">
        <v>574</v>
      </c>
      <c r="P1751" s="29" cm="1">
        <f t="array" ref="P1751">IF(表成绩单[[#This Row],[语文]]="","",SUMPRODUCT((表成绩单[考试日期]=表成绩单[[#This Row],[考试日期]])*(表成绩单[语文]&lt;9E+307)*(表成绩单[语文]&gt;表成绩单[[#This Row],[语文]]))+1)</f>
        <v>62</v>
      </c>
      <c r="Q1751" s="29" cm="1">
        <f t="array" ref="Q1751">IF(表成绩单[[#This Row],[数学]]="","",SUMPRODUCT((表成绩单[考试日期]=表成绩单[[#This Row],[考试日期]])*(表成绩单[数学]&lt;9E+307)*(表成绩单[数学]&gt;表成绩单[[#This Row],[数学]]))+1)</f>
        <v>325</v>
      </c>
      <c r="R1751" s="29" cm="1">
        <f t="array" ref="R1751">IF(表成绩单[[#This Row],[英语]]="","",SUMPRODUCT((表成绩单[考试日期]=表成绩单[[#This Row],[考试日期]])*(表成绩单[英语]&lt;9E+307)*(表成绩单[英语]&gt;表成绩单[[#This Row],[英语]]))+1)</f>
        <v>201</v>
      </c>
      <c r="S1751" s="29" cm="1">
        <f t="array" ref="S1751">IF(表成绩单[[#This Row],[物理]]="","",SUMPRODUCT((表成绩单[考试日期]=表成绩单[[#This Row],[考试日期]])*(表成绩单[物理]&lt;9E+307)*(表成绩单[物理]&gt;表成绩单[[#This Row],[物理]]))+1)</f>
        <v>271</v>
      </c>
      <c r="T1751" s="29" cm="1">
        <f t="array" ref="T1751">IF(表成绩单[[#This Row],[化学]]="","",SUMPRODUCT((表成绩单[考试日期]=表成绩单[[#This Row],[考试日期]])*(表成绩单[化学]&lt;9E+307)*(表成绩单[化学]&gt;表成绩单[[#This Row],[化学]]))+1)</f>
        <v>60</v>
      </c>
      <c r="U1751" s="29" cm="1">
        <f t="array" ref="U1751">IF(表成绩单[[#This Row],[政治]]="","",SUMPRODUCT((表成绩单[考试日期]=表成绩单[[#This Row],[考试日期]])*(表成绩单[政治]&lt;9E+307)*(表成绩单[政治]&gt;表成绩单[[#This Row],[政治]]))+1)</f>
        <v>111</v>
      </c>
      <c r="V1751" s="29" cm="1">
        <f t="array" ref="V1751">IF(表成绩单[[#This Row],[历史]]="","",SUMPRODUCT((表成绩单[考试日期]=表成绩单[[#This Row],[考试日期]])*(表成绩单[历史]&lt;9E+307)*(表成绩单[历史]&gt;表成绩单[[#This Row],[历史]]))+1)</f>
        <v>60</v>
      </c>
      <c r="W1751" s="29" cm="1">
        <f t="array" ref="W1751">IF(表成绩单[[#This Row],[总分]]="","",SUMPRODUCT((表成绩单[考试日期]=表成绩单[[#This Row],[考试日期]])*(表成绩单[总分]&lt;9E+307)*(表成绩单[总分]&gt;表成绩单[[#This Row],[总分]]))+1)</f>
        <v>144</v>
      </c>
    </row>
    <row r="1752" ht="28" customHeight="1" spans="4:23">
      <c r="D1752" s="31">
        <v>46030</v>
      </c>
      <c r="E1752" s="29">
        <v>19177634</v>
      </c>
      <c r="F1752" s="29" t="s">
        <v>63</v>
      </c>
      <c r="G1752" s="29" t="s">
        <v>405</v>
      </c>
      <c r="H1752" s="29">
        <v>101</v>
      </c>
      <c r="I1752" s="29">
        <v>94</v>
      </c>
      <c r="J1752" s="29">
        <v>75.5</v>
      </c>
      <c r="K1752" s="29">
        <v>79</v>
      </c>
      <c r="L1752" s="29">
        <v>80</v>
      </c>
      <c r="M1752" s="29">
        <v>79</v>
      </c>
      <c r="N1752" s="29">
        <v>65</v>
      </c>
      <c r="O1752" s="32">
        <v>573.5</v>
      </c>
      <c r="P1752" s="29" cm="1">
        <f t="array" ref="P1752">IF(表成绩单[[#This Row],[语文]]="","",SUMPRODUCT((表成绩单[考试日期]=表成绩单[[#This Row],[考试日期]])*(表成绩单[语文]&lt;9E+307)*(表成绩单[语文]&gt;表成绩单[[#This Row],[语文]]))+1)</f>
        <v>159</v>
      </c>
      <c r="Q1752" s="29" cm="1">
        <f t="array" ref="Q1752">IF(表成绩单[[#This Row],[数学]]="","",SUMPRODUCT((表成绩单[考试日期]=表成绩单[[#This Row],[考试日期]])*(表成绩单[数学]&lt;9E+307)*(表成绩单[数学]&gt;表成绩单[[#This Row],[数学]]))+1)</f>
        <v>178</v>
      </c>
      <c r="R1752" s="29" cm="1">
        <f t="array" ref="R1752">IF(表成绩单[[#This Row],[英语]]="","",SUMPRODUCT((表成绩单[考试日期]=表成绩单[[#This Row],[考试日期]])*(表成绩单[英语]&lt;9E+307)*(表成绩单[英语]&gt;表成绩单[[#This Row],[英语]]))+1)</f>
        <v>145</v>
      </c>
      <c r="S1752" s="29" cm="1">
        <f t="array" ref="S1752">IF(表成绩单[[#This Row],[物理]]="","",SUMPRODUCT((表成绩单[考试日期]=表成绩单[[#This Row],[考试日期]])*(表成绩单[物理]&lt;9E+307)*(表成绩单[物理]&gt;表成绩单[[#This Row],[物理]]))+1)</f>
        <v>153</v>
      </c>
      <c r="T1752" s="29" cm="1">
        <f t="array" ref="T1752">IF(表成绩单[[#This Row],[化学]]="","",SUMPRODUCT((表成绩单[考试日期]=表成绩单[[#This Row],[考试日期]])*(表成绩单[化学]&lt;9E+307)*(表成绩单[化学]&gt;表成绩单[[#This Row],[化学]]))+1)</f>
        <v>60</v>
      </c>
      <c r="U1752" s="29" cm="1">
        <f t="array" ref="U1752">IF(表成绩单[[#This Row],[政治]]="","",SUMPRODUCT((表成绩单[考试日期]=表成绩单[[#This Row],[考试日期]])*(表成绩单[政治]&lt;9E+307)*(表成绩单[政治]&gt;表成绩单[[#This Row],[政治]]))+1)</f>
        <v>42</v>
      </c>
      <c r="V1752" s="29" cm="1">
        <f t="array" ref="V1752">IF(表成绩单[[#This Row],[历史]]="","",SUMPRODUCT((表成绩单[考试日期]=表成绩单[[#This Row],[考试日期]])*(表成绩单[历史]&lt;9E+307)*(表成绩单[历史]&gt;表成绩单[[#This Row],[历史]]))+1)</f>
        <v>471</v>
      </c>
      <c r="W1752" s="29" cm="1">
        <f t="array" ref="W1752">IF(表成绩单[[#This Row],[总分]]="","",SUMPRODUCT((表成绩单[考试日期]=表成绩单[[#This Row],[考试日期]])*(表成绩单[总分]&lt;9E+307)*(表成绩单[总分]&gt;表成绩单[[#This Row],[总分]]))+1)</f>
        <v>146</v>
      </c>
    </row>
    <row r="1753" ht="28" customHeight="1" spans="4:23">
      <c r="D1753" s="31">
        <v>46030</v>
      </c>
      <c r="E1753" s="29">
        <v>19175679</v>
      </c>
      <c r="F1753" s="29" t="s">
        <v>72</v>
      </c>
      <c r="G1753" s="29" t="s">
        <v>155</v>
      </c>
      <c r="H1753" s="29">
        <v>91</v>
      </c>
      <c r="I1753" s="29">
        <v>105</v>
      </c>
      <c r="J1753" s="29">
        <v>75</v>
      </c>
      <c r="K1753" s="29">
        <v>80</v>
      </c>
      <c r="L1753" s="29">
        <v>73</v>
      </c>
      <c r="M1753" s="29">
        <v>77</v>
      </c>
      <c r="N1753" s="29">
        <v>72</v>
      </c>
      <c r="O1753" s="32">
        <v>573</v>
      </c>
      <c r="P1753" s="29" cm="1">
        <f t="array" ref="P1753">IF(表成绩单[[#This Row],[语文]]="","",SUMPRODUCT((表成绩单[考试日期]=表成绩单[[#This Row],[考试日期]])*(表成绩单[语文]&lt;9E+307)*(表成绩单[语文]&gt;表成绩单[[#This Row],[语文]]))+1)</f>
        <v>478</v>
      </c>
      <c r="Q1753" s="29" cm="1">
        <f t="array" ref="Q1753">IF(表成绩单[[#This Row],[数学]]="","",SUMPRODUCT((表成绩单[考试日期]=表成绩单[[#This Row],[考试日期]])*(表成绩单[数学]&lt;9E+307)*(表成绩单[数学]&gt;表成绩单[[#This Row],[数学]]))+1)</f>
        <v>64</v>
      </c>
      <c r="R1753" s="29" cm="1">
        <f t="array" ref="R1753">IF(表成绩单[[#This Row],[英语]]="","",SUMPRODUCT((表成绩单[考试日期]=表成绩单[[#This Row],[考试日期]])*(表成绩单[英语]&lt;9E+307)*(表成绩单[英语]&gt;表成绩单[[#This Row],[英语]]))+1)</f>
        <v>164</v>
      </c>
      <c r="S1753" s="29" cm="1">
        <f t="array" ref="S1753">IF(表成绩单[[#This Row],[物理]]="","",SUMPRODUCT((表成绩单[考试日期]=表成绩单[[#This Row],[考试日期]])*(表成绩单[物理]&lt;9E+307)*(表成绩单[物理]&gt;表成绩单[[#This Row],[物理]]))+1)</f>
        <v>137</v>
      </c>
      <c r="T1753" s="29" cm="1">
        <f t="array" ref="T1753">IF(表成绩单[[#This Row],[化学]]="","",SUMPRODUCT((表成绩单[考试日期]=表成绩单[[#This Row],[考试日期]])*(表成绩单[化学]&lt;9E+307)*(表成绩单[化学]&gt;表成绩单[[#This Row],[化学]]))+1)</f>
        <v>236</v>
      </c>
      <c r="U1753" s="29" cm="1">
        <f t="array" ref="U1753">IF(表成绩单[[#This Row],[政治]]="","",SUMPRODUCT((表成绩单[考试日期]=表成绩单[[#This Row],[考试日期]])*(表成绩单[政治]&lt;9E+307)*(表成绩单[政治]&gt;表成绩单[[#This Row],[政治]]))+1)</f>
        <v>88</v>
      </c>
      <c r="V1753" s="29" cm="1">
        <f t="array" ref="V1753">IF(表成绩单[[#This Row],[历史]]="","",SUMPRODUCT((表成绩单[考试日期]=表成绩单[[#This Row],[考试日期]])*(表成绩单[历史]&lt;9E+307)*(表成绩单[历史]&gt;表成绩单[[#This Row],[历史]]))+1)</f>
        <v>266</v>
      </c>
      <c r="W1753" s="29" cm="1">
        <f t="array" ref="W1753">IF(表成绩单[[#This Row],[总分]]="","",SUMPRODUCT((表成绩单[考试日期]=表成绩单[[#This Row],[考试日期]])*(表成绩单[总分]&lt;9E+307)*(表成绩单[总分]&gt;表成绩单[[#This Row],[总分]]))+1)</f>
        <v>147</v>
      </c>
    </row>
    <row r="1754" ht="28" customHeight="1" spans="4:23">
      <c r="D1754" s="31">
        <v>46030</v>
      </c>
      <c r="E1754" s="29">
        <v>19177217</v>
      </c>
      <c r="F1754" s="29" t="s">
        <v>70</v>
      </c>
      <c r="G1754" s="29" t="s">
        <v>216</v>
      </c>
      <c r="H1754" s="29">
        <v>97</v>
      </c>
      <c r="I1754" s="29">
        <v>95</v>
      </c>
      <c r="J1754" s="29">
        <v>77</v>
      </c>
      <c r="K1754" s="29">
        <v>72</v>
      </c>
      <c r="L1754" s="29">
        <v>71</v>
      </c>
      <c r="M1754" s="29">
        <v>78</v>
      </c>
      <c r="N1754" s="29">
        <v>83</v>
      </c>
      <c r="O1754" s="32">
        <v>573</v>
      </c>
      <c r="P1754" s="29" cm="1">
        <f t="array" ref="P1754">IF(表成绩单[[#This Row],[语文]]="","",SUMPRODUCT((表成绩单[考试日期]=表成绩单[[#This Row],[考试日期]])*(表成绩单[语文]&lt;9E+307)*(表成绩单[语文]&gt;表成绩单[[#This Row],[语文]]))+1)</f>
        <v>291</v>
      </c>
      <c r="Q1754" s="29" cm="1">
        <f t="array" ref="Q1754">IF(表成绩单[[#This Row],[数学]]="","",SUMPRODUCT((表成绩单[考试日期]=表成绩单[[#This Row],[考试日期]])*(表成绩单[数学]&lt;9E+307)*(表成绩单[数学]&gt;表成绩单[[#This Row],[数学]]))+1)</f>
        <v>167</v>
      </c>
      <c r="R1754" s="29" cm="1">
        <f t="array" ref="R1754">IF(表成绩单[[#This Row],[英语]]="","",SUMPRODUCT((表成绩单[考试日期]=表成绩单[[#This Row],[考试日期]])*(表成绩单[英语]&lt;9E+307)*(表成绩单[英语]&gt;表成绩单[[#This Row],[英语]]))+1)</f>
        <v>107</v>
      </c>
      <c r="S1754" s="29" cm="1">
        <f t="array" ref="S1754">IF(表成绩单[[#This Row],[物理]]="","",SUMPRODUCT((表成绩单[考试日期]=表成绩单[[#This Row],[考试日期]])*(表成绩单[物理]&lt;9E+307)*(表成绩单[物理]&gt;表成绩单[[#This Row],[物理]]))+1)</f>
        <v>297</v>
      </c>
      <c r="T1754" s="29" cm="1">
        <f t="array" ref="T1754">IF(表成绩单[[#This Row],[化学]]="","",SUMPRODUCT((表成绩单[考试日期]=表成绩单[[#This Row],[考试日期]])*(表成绩单[化学]&lt;9E+307)*(表成绩单[化学]&gt;表成绩单[[#This Row],[化学]]))+1)</f>
        <v>297</v>
      </c>
      <c r="U1754" s="29" cm="1">
        <f t="array" ref="U1754">IF(表成绩单[[#This Row],[政治]]="","",SUMPRODUCT((表成绩单[考试日期]=表成绩单[[#This Row],[考试日期]])*(表成绩单[政治]&lt;9E+307)*(表成绩单[政治]&gt;表成绩单[[#This Row],[政治]]))+1)</f>
        <v>65</v>
      </c>
      <c r="V1754" s="29" cm="1">
        <f t="array" ref="V1754">IF(表成绩单[[#This Row],[历史]]="","",SUMPRODUCT((表成绩单[考试日期]=表成绩单[[#This Row],[考试日期]])*(表成绩单[历史]&lt;9E+307)*(表成绩单[历史]&gt;表成绩单[[#This Row],[历史]]))+1)</f>
        <v>32</v>
      </c>
      <c r="W1754" s="29" cm="1">
        <f t="array" ref="W1754">IF(表成绩单[[#This Row],[总分]]="","",SUMPRODUCT((表成绩单[考试日期]=表成绩单[[#This Row],[考试日期]])*(表成绩单[总分]&lt;9E+307)*(表成绩单[总分]&gt;表成绩单[[#This Row],[总分]]))+1)</f>
        <v>147</v>
      </c>
    </row>
    <row r="1755" ht="28" customHeight="1" spans="4:23">
      <c r="D1755" s="31">
        <v>46030</v>
      </c>
      <c r="E1755" s="29">
        <v>19177219</v>
      </c>
      <c r="F1755" s="29" t="s">
        <v>70</v>
      </c>
      <c r="G1755" s="29" t="s">
        <v>170</v>
      </c>
      <c r="H1755" s="29">
        <v>95</v>
      </c>
      <c r="I1755" s="29">
        <v>105</v>
      </c>
      <c r="J1755" s="29">
        <v>73</v>
      </c>
      <c r="K1755" s="29">
        <v>81</v>
      </c>
      <c r="L1755" s="29">
        <v>71</v>
      </c>
      <c r="M1755" s="29">
        <v>69</v>
      </c>
      <c r="N1755" s="29">
        <v>79</v>
      </c>
      <c r="O1755" s="32">
        <v>573</v>
      </c>
      <c r="P1755" s="29" cm="1">
        <f t="array" ref="P1755">IF(表成绩单[[#This Row],[语文]]="","",SUMPRODUCT((表成绩单[考试日期]=表成绩单[[#This Row],[考试日期]])*(表成绩单[语文]&lt;9E+307)*(表成绩单[语文]&gt;表成绩单[[#This Row],[语文]]))+1)</f>
        <v>342</v>
      </c>
      <c r="Q1755" s="29" cm="1">
        <f t="array" ref="Q1755">IF(表成绩单[[#This Row],[数学]]="","",SUMPRODUCT((表成绩单[考试日期]=表成绩单[[#This Row],[考试日期]])*(表成绩单[数学]&lt;9E+307)*(表成绩单[数学]&gt;表成绩单[[#This Row],[数学]]))+1)</f>
        <v>64</v>
      </c>
      <c r="R1755" s="29" cm="1">
        <f t="array" ref="R1755">IF(表成绩单[[#This Row],[英语]]="","",SUMPRODUCT((表成绩单[考试日期]=表成绩单[[#This Row],[考试日期]])*(表成绩单[英语]&lt;9E+307)*(表成绩单[英语]&gt;表成绩单[[#This Row],[英语]]))+1)</f>
        <v>222</v>
      </c>
      <c r="S1755" s="29" cm="1">
        <f t="array" ref="S1755">IF(表成绩单[[#This Row],[物理]]="","",SUMPRODUCT((表成绩单[考试日期]=表成绩单[[#This Row],[考试日期]])*(表成绩单[物理]&lt;9E+307)*(表成绩单[物理]&gt;表成绩单[[#This Row],[物理]]))+1)</f>
        <v>119</v>
      </c>
      <c r="T1755" s="29" cm="1">
        <f t="array" ref="T1755">IF(表成绩单[[#This Row],[化学]]="","",SUMPRODUCT((表成绩单[考试日期]=表成绩单[[#This Row],[考试日期]])*(表成绩单[化学]&lt;9E+307)*(表成绩单[化学]&gt;表成绩单[[#This Row],[化学]]))+1)</f>
        <v>297</v>
      </c>
      <c r="U1755" s="29" cm="1">
        <f t="array" ref="U1755">IF(表成绩单[[#This Row],[政治]]="","",SUMPRODUCT((表成绩单[考试日期]=表成绩单[[#This Row],[考试日期]])*(表成绩单[政治]&lt;9E+307)*(表成绩单[政治]&gt;表成绩单[[#This Row],[政治]]))+1)</f>
        <v>308</v>
      </c>
      <c r="V1755" s="29" cm="1">
        <f t="array" ref="V1755">IF(表成绩单[[#This Row],[历史]]="","",SUMPRODUCT((表成绩单[考试日期]=表成绩单[[#This Row],[考试日期]])*(表成绩单[历史]&lt;9E+307)*(表成绩单[历史]&gt;表成绩单[[#This Row],[历史]]))+1)</f>
        <v>104</v>
      </c>
      <c r="W1755" s="29" cm="1">
        <f t="array" ref="W1755">IF(表成绩单[[#This Row],[总分]]="","",SUMPRODUCT((表成绩单[考试日期]=表成绩单[[#This Row],[考试日期]])*(表成绩单[总分]&lt;9E+307)*(表成绩单[总分]&gt;表成绩单[[#This Row],[总分]]))+1)</f>
        <v>147</v>
      </c>
    </row>
    <row r="1756" ht="28" customHeight="1" spans="4:23">
      <c r="D1756" s="31">
        <v>46030</v>
      </c>
      <c r="E1756" s="29">
        <v>19175654</v>
      </c>
      <c r="F1756" s="29" t="s">
        <v>66</v>
      </c>
      <c r="G1756" s="29" t="s">
        <v>225</v>
      </c>
      <c r="H1756" s="29">
        <v>109</v>
      </c>
      <c r="I1756" s="29">
        <v>96</v>
      </c>
      <c r="J1756" s="29">
        <v>76.5</v>
      </c>
      <c r="K1756" s="29">
        <v>65</v>
      </c>
      <c r="L1756" s="29">
        <v>79</v>
      </c>
      <c r="M1756" s="29">
        <v>73</v>
      </c>
      <c r="N1756" s="29">
        <v>74</v>
      </c>
      <c r="O1756" s="32">
        <v>572.5</v>
      </c>
      <c r="P1756" s="29" cm="1">
        <f t="array" ref="P1756">IF(表成绩单[[#This Row],[语文]]="","",SUMPRODUCT((表成绩单[考试日期]=表成绩单[[#This Row],[考试日期]])*(表成绩单[语文]&lt;9E+307)*(表成绩单[语文]&gt;表成绩单[[#This Row],[语文]]))+1)</f>
        <v>19</v>
      </c>
      <c r="Q1756" s="29" cm="1">
        <f t="array" ref="Q1756">IF(表成绩单[[#This Row],[数学]]="","",SUMPRODUCT((表成绩单[考试日期]=表成绩单[[#This Row],[考试日期]])*(表成绩单[数学]&lt;9E+307)*(表成绩单[数学]&gt;表成绩单[[#This Row],[数学]]))+1)</f>
        <v>154</v>
      </c>
      <c r="R1756" s="29" cm="1">
        <f t="array" ref="R1756">IF(表成绩单[[#This Row],[英语]]="","",SUMPRODUCT((表成绩单[考试日期]=表成绩单[[#This Row],[考试日期]])*(表成绩单[英语]&lt;9E+307)*(表成绩单[英语]&gt;表成绩单[[#This Row],[英语]]))+1)</f>
        <v>120</v>
      </c>
      <c r="S1756" s="29" cm="1">
        <f t="array" ref="S1756">IF(表成绩单[[#This Row],[物理]]="","",SUMPRODUCT((表成绩单[考试日期]=表成绩单[[#This Row],[考试日期]])*(表成绩单[物理]&lt;9E+307)*(表成绩单[物理]&gt;表成绩单[[#This Row],[物理]]))+1)</f>
        <v>427</v>
      </c>
      <c r="T1756" s="29" cm="1">
        <f t="array" ref="T1756">IF(表成绩单[[#This Row],[化学]]="","",SUMPRODUCT((表成绩单[考试日期]=表成绩单[[#This Row],[考试日期]])*(表成绩单[化学]&lt;9E+307)*(表成绩单[化学]&gt;表成绩单[[#This Row],[化学]]))+1)</f>
        <v>77</v>
      </c>
      <c r="U1756" s="29" cm="1">
        <f t="array" ref="U1756">IF(表成绩单[[#This Row],[政治]]="","",SUMPRODUCT((表成绩单[考试日期]=表成绩单[[#This Row],[考试日期]])*(表成绩单[政治]&lt;9E+307)*(表成绩单[政治]&gt;表成绩单[[#This Row],[政治]]))+1)</f>
        <v>197</v>
      </c>
      <c r="V1756" s="29" cm="1">
        <f t="array" ref="V1756">IF(表成绩单[[#This Row],[历史]]="","",SUMPRODUCT((表成绩单[考试日期]=表成绩单[[#This Row],[考试日期]])*(表成绩单[历史]&lt;9E+307)*(表成绩单[历史]&gt;表成绩单[[#This Row],[历史]]))+1)</f>
        <v>215</v>
      </c>
      <c r="W1756" s="29" cm="1">
        <f t="array" ref="W1756">IF(表成绩单[[#This Row],[总分]]="","",SUMPRODUCT((表成绩单[考试日期]=表成绩单[[#This Row],[考试日期]])*(表成绩单[总分]&lt;9E+307)*(表成绩单[总分]&gt;表成绩单[[#This Row],[总分]]))+1)</f>
        <v>150</v>
      </c>
    </row>
    <row r="1757" ht="28" customHeight="1" spans="4:23">
      <c r="D1757" s="31">
        <v>46030</v>
      </c>
      <c r="E1757" s="29">
        <v>19178596</v>
      </c>
      <c r="F1757" s="29" t="s">
        <v>64</v>
      </c>
      <c r="G1757" s="29" t="s">
        <v>392</v>
      </c>
      <c r="H1757" s="29">
        <v>92</v>
      </c>
      <c r="I1757" s="29">
        <v>95</v>
      </c>
      <c r="J1757" s="29">
        <v>80.5</v>
      </c>
      <c r="K1757" s="29">
        <v>87</v>
      </c>
      <c r="L1757" s="29">
        <v>80</v>
      </c>
      <c r="M1757" s="29">
        <v>69</v>
      </c>
      <c r="N1757" s="29">
        <v>69</v>
      </c>
      <c r="O1757" s="32">
        <v>572.5</v>
      </c>
      <c r="P1757" s="29" cm="1">
        <f t="array" ref="P1757">IF(表成绩单[[#This Row],[语文]]="","",SUMPRODUCT((表成绩单[考试日期]=表成绩单[[#This Row],[考试日期]])*(表成绩单[语文]&lt;9E+307)*(表成绩单[语文]&gt;表成绩单[[#This Row],[语文]]))+1)</f>
        <v>444</v>
      </c>
      <c r="Q1757" s="29" cm="1">
        <f t="array" ref="Q1757">IF(表成绩单[[#This Row],[数学]]="","",SUMPRODUCT((表成绩单[考试日期]=表成绩单[[#This Row],[考试日期]])*(表成绩单[数学]&lt;9E+307)*(表成绩单[数学]&gt;表成绩单[[#This Row],[数学]]))+1)</f>
        <v>167</v>
      </c>
      <c r="R1757" s="29" cm="1">
        <f t="array" ref="R1757">IF(表成绩单[[#This Row],[英语]]="","",SUMPRODUCT((表成绩单[考试日期]=表成绩单[[#This Row],[考试日期]])*(表成绩单[英语]&lt;9E+307)*(表成绩单[英语]&gt;表成绩单[[#This Row],[英语]]))+1)</f>
        <v>24</v>
      </c>
      <c r="S1757" s="29" cm="1">
        <f t="array" ref="S1757">IF(表成绩单[[#This Row],[物理]]="","",SUMPRODUCT((表成绩单[考试日期]=表成绩单[[#This Row],[考试日期]])*(表成绩单[物理]&lt;9E+307)*(表成绩单[物理]&gt;表成绩单[[#This Row],[物理]]))+1)</f>
        <v>27</v>
      </c>
      <c r="T1757" s="29" cm="1">
        <f t="array" ref="T1757">IF(表成绩单[[#This Row],[化学]]="","",SUMPRODUCT((表成绩单[考试日期]=表成绩单[[#This Row],[考试日期]])*(表成绩单[化学]&lt;9E+307)*(表成绩单[化学]&gt;表成绩单[[#This Row],[化学]]))+1)</f>
        <v>60</v>
      </c>
      <c r="U1757" s="29" cm="1">
        <f t="array" ref="U1757">IF(表成绩单[[#This Row],[政治]]="","",SUMPRODUCT((表成绩单[考试日期]=表成绩单[[#This Row],[考试日期]])*(表成绩单[政治]&lt;9E+307)*(表成绩单[政治]&gt;表成绩单[[#This Row],[政治]]))+1)</f>
        <v>308</v>
      </c>
      <c r="V1757" s="29" cm="1">
        <f t="array" ref="V1757">IF(表成绩单[[#This Row],[历史]]="","",SUMPRODUCT((表成绩单[考试日期]=表成绩单[[#This Row],[考试日期]])*(表成绩单[历史]&lt;9E+307)*(表成绩单[历史]&gt;表成绩单[[#This Row],[历史]]))+1)</f>
        <v>366</v>
      </c>
      <c r="W1757" s="29" cm="1">
        <f t="array" ref="W1757">IF(表成绩单[[#This Row],[总分]]="","",SUMPRODUCT((表成绩单[考试日期]=表成绩单[[#This Row],[考试日期]])*(表成绩单[总分]&lt;9E+307)*(表成绩单[总分]&gt;表成绩单[[#This Row],[总分]]))+1)</f>
        <v>150</v>
      </c>
    </row>
    <row r="1758" ht="28" customHeight="1" spans="4:23">
      <c r="D1758" s="31">
        <v>46030</v>
      </c>
      <c r="E1758" s="29">
        <v>19173247</v>
      </c>
      <c r="F1758" s="29" t="s">
        <v>61</v>
      </c>
      <c r="G1758" s="29" t="s">
        <v>175</v>
      </c>
      <c r="H1758" s="29">
        <v>98</v>
      </c>
      <c r="I1758" s="29">
        <v>99</v>
      </c>
      <c r="J1758" s="29">
        <v>76</v>
      </c>
      <c r="K1758" s="29">
        <v>75</v>
      </c>
      <c r="L1758" s="29">
        <v>70</v>
      </c>
      <c r="M1758" s="29">
        <v>76</v>
      </c>
      <c r="N1758" s="29">
        <v>78</v>
      </c>
      <c r="O1758" s="32">
        <v>572</v>
      </c>
      <c r="P1758" s="29" cm="1">
        <f t="array" ref="P1758">IF(表成绩单[[#This Row],[语文]]="","",SUMPRODUCT((表成绩单[考试日期]=表成绩单[[#This Row],[考试日期]])*(表成绩单[语文]&lt;9E+307)*(表成绩单[语文]&gt;表成绩单[[#This Row],[语文]]))+1)</f>
        <v>248</v>
      </c>
      <c r="Q1758" s="29" cm="1">
        <f t="array" ref="Q1758">IF(表成绩单[[#This Row],[数学]]="","",SUMPRODUCT((表成绩单[考试日期]=表成绩单[[#This Row],[考试日期]])*(表成绩单[数学]&lt;9E+307)*(表成绩单[数学]&gt;表成绩单[[#This Row],[数学]]))+1)</f>
        <v>120</v>
      </c>
      <c r="R1758" s="29" cm="1">
        <f t="array" ref="R1758">IF(表成绩单[[#This Row],[英语]]="","",SUMPRODUCT((表成绩单[考试日期]=表成绩单[[#This Row],[考试日期]])*(表成绩单[英语]&lt;9E+307)*(表成绩单[英语]&gt;表成绩单[[#This Row],[英语]]))+1)</f>
        <v>126</v>
      </c>
      <c r="S1758" s="29" cm="1">
        <f t="array" ref="S1758">IF(表成绩单[[#This Row],[物理]]="","",SUMPRODUCT((表成绩单[考试日期]=表成绩单[[#This Row],[考试日期]])*(表成绩单[物理]&lt;9E+307)*(表成绩单[物理]&gt;表成绩单[[#This Row],[物理]]))+1)</f>
        <v>241</v>
      </c>
      <c r="T1758" s="29" cm="1">
        <f t="array" ref="T1758">IF(表成绩单[[#This Row],[化学]]="","",SUMPRODUCT((表成绩单[考试日期]=表成绩单[[#This Row],[考试日期]])*(表成绩单[化学]&lt;9E+307)*(表成绩单[化学]&gt;表成绩单[[#This Row],[化学]]))+1)</f>
        <v>318</v>
      </c>
      <c r="U1758" s="29" cm="1">
        <f t="array" ref="U1758">IF(表成绩单[[#This Row],[政治]]="","",SUMPRODUCT((表成绩单[考试日期]=表成绩单[[#This Row],[考试日期]])*(表成绩单[政治]&lt;9E+307)*(表成绩单[政治]&gt;表成绩单[[#This Row],[政治]]))+1)</f>
        <v>111</v>
      </c>
      <c r="V1758" s="29" cm="1">
        <f t="array" ref="V1758">IF(表成绩单[[#This Row],[历史]]="","",SUMPRODUCT((表成绩单[考试日期]=表成绩单[[#This Row],[考试日期]])*(表成绩单[历史]&lt;9E+307)*(表成绩单[历史]&gt;表成绩单[[#This Row],[历史]]))+1)</f>
        <v>126</v>
      </c>
      <c r="W1758" s="29" cm="1">
        <f t="array" ref="W1758">IF(表成绩单[[#This Row],[总分]]="","",SUMPRODUCT((表成绩单[考试日期]=表成绩单[[#This Row],[考试日期]])*(表成绩单[总分]&lt;9E+307)*(表成绩单[总分]&gt;表成绩单[[#This Row],[总分]]))+1)</f>
        <v>152</v>
      </c>
    </row>
    <row r="1759" ht="28" customHeight="1" spans="4:23">
      <c r="D1759" s="31">
        <v>46030</v>
      </c>
      <c r="E1759" s="29">
        <v>19177194</v>
      </c>
      <c r="F1759" s="29" t="s">
        <v>70</v>
      </c>
      <c r="G1759" s="29" t="s">
        <v>246</v>
      </c>
      <c r="H1759" s="29">
        <v>103</v>
      </c>
      <c r="I1759" s="29">
        <v>88</v>
      </c>
      <c r="J1759" s="29">
        <v>72</v>
      </c>
      <c r="K1759" s="29">
        <v>73</v>
      </c>
      <c r="L1759" s="29">
        <v>78</v>
      </c>
      <c r="M1759" s="29">
        <v>77</v>
      </c>
      <c r="N1759" s="29">
        <v>81</v>
      </c>
      <c r="O1759" s="32">
        <v>572</v>
      </c>
      <c r="P1759" s="29" cm="1">
        <f t="array" ref="P1759">IF(表成绩单[[#This Row],[语文]]="","",SUMPRODUCT((表成绩单[考试日期]=表成绩单[[#This Row],[考试日期]])*(表成绩单[语文]&lt;9E+307)*(表成绩单[语文]&gt;表成绩单[[#This Row],[语文]]))+1)</f>
        <v>105</v>
      </c>
      <c r="Q1759" s="29" cm="1">
        <f t="array" ref="Q1759">IF(表成绩单[[#This Row],[数学]]="","",SUMPRODUCT((表成绩单[考试日期]=表成绩单[[#This Row],[考试日期]])*(表成绩单[数学]&lt;9E+307)*(表成绩单[数学]&gt;表成绩单[[#This Row],[数学]]))+1)</f>
        <v>245</v>
      </c>
      <c r="R1759" s="29" cm="1">
        <f t="array" ref="R1759">IF(表成绩单[[#This Row],[英语]]="","",SUMPRODUCT((表成绩单[考试日期]=表成绩单[[#This Row],[考试日期]])*(表成绩单[英语]&lt;9E+307)*(表成绩单[英语]&gt;表成绩单[[#This Row],[英语]]))+1)</f>
        <v>258</v>
      </c>
      <c r="S1759" s="29" cm="1">
        <f t="array" ref="S1759">IF(表成绩单[[#This Row],[物理]]="","",SUMPRODUCT((表成绩单[考试日期]=表成绩单[[#This Row],[考试日期]])*(表成绩单[物理]&lt;9E+307)*(表成绩单[物理]&gt;表成绩单[[#This Row],[物理]]))+1)</f>
        <v>271</v>
      </c>
      <c r="T1759" s="29" cm="1">
        <f t="array" ref="T1759">IF(表成绩单[[#This Row],[化学]]="","",SUMPRODUCT((表成绩单[考试日期]=表成绩单[[#This Row],[考试日期]])*(表成绩单[化学]&lt;9E+307)*(表成绩单[化学]&gt;表成绩单[[#This Row],[化学]]))+1)</f>
        <v>93</v>
      </c>
      <c r="U1759" s="29" cm="1">
        <f t="array" ref="U1759">IF(表成绩单[[#This Row],[政治]]="","",SUMPRODUCT((表成绩单[考试日期]=表成绩单[[#This Row],[考试日期]])*(表成绩单[政治]&lt;9E+307)*(表成绩单[政治]&gt;表成绩单[[#This Row],[政治]]))+1)</f>
        <v>88</v>
      </c>
      <c r="V1759" s="29" cm="1">
        <f t="array" ref="V1759">IF(表成绩单[[#This Row],[历史]]="","",SUMPRODUCT((表成绩单[考试日期]=表成绩单[[#This Row],[考试日期]])*(表成绩单[历史]&lt;9E+307)*(表成绩单[历史]&gt;表成绩单[[#This Row],[历史]]))+1)</f>
        <v>60</v>
      </c>
      <c r="W1759" s="29" cm="1">
        <f t="array" ref="W1759">IF(表成绩单[[#This Row],[总分]]="","",SUMPRODUCT((表成绩单[考试日期]=表成绩单[[#This Row],[考试日期]])*(表成绩单[总分]&lt;9E+307)*(表成绩单[总分]&gt;表成绩单[[#This Row],[总分]]))+1)</f>
        <v>152</v>
      </c>
    </row>
    <row r="1760" ht="28" customHeight="1" spans="4:23">
      <c r="D1760" s="31">
        <v>46030</v>
      </c>
      <c r="E1760" s="29">
        <v>19177197</v>
      </c>
      <c r="F1760" s="29" t="s">
        <v>70</v>
      </c>
      <c r="G1760" s="29" t="s">
        <v>281</v>
      </c>
      <c r="H1760" s="29">
        <v>99</v>
      </c>
      <c r="I1760" s="29">
        <v>97</v>
      </c>
      <c r="J1760" s="29">
        <v>61.5</v>
      </c>
      <c r="K1760" s="29">
        <v>77</v>
      </c>
      <c r="L1760" s="29">
        <v>82</v>
      </c>
      <c r="M1760" s="29">
        <v>75</v>
      </c>
      <c r="N1760" s="29">
        <v>80</v>
      </c>
      <c r="O1760" s="32">
        <v>571.5</v>
      </c>
      <c r="P1760" s="29" cm="1">
        <f t="array" ref="P1760">IF(表成绩单[[#This Row],[语文]]="","",SUMPRODUCT((表成绩单[考试日期]=表成绩单[[#This Row],[考试日期]])*(表成绩单[语文]&lt;9E+307)*(表成绩单[语文]&gt;表成绩单[[#This Row],[语文]]))+1)</f>
        <v>213</v>
      </c>
      <c r="Q1760" s="29" cm="1">
        <f t="array" ref="Q1760">IF(表成绩单[[#This Row],[数学]]="","",SUMPRODUCT((表成绩单[考试日期]=表成绩单[[#This Row],[考试日期]])*(表成绩单[数学]&lt;9E+307)*(表成绩单[数学]&gt;表成绩单[[#This Row],[数学]]))+1)</f>
        <v>142</v>
      </c>
      <c r="R1760" s="29" cm="1">
        <f t="array" ref="R1760">IF(表成绩单[[#This Row],[英语]]="","",SUMPRODUCT((表成绩单[考试日期]=表成绩单[[#This Row],[考试日期]])*(表成绩单[英语]&lt;9E+307)*(表成绩单[英语]&gt;表成绩单[[#This Row],[英语]]))+1)</f>
        <v>495</v>
      </c>
      <c r="S1760" s="29" cm="1">
        <f t="array" ref="S1760">IF(表成绩单[[#This Row],[物理]]="","",SUMPRODUCT((表成绩单[考试日期]=表成绩单[[#This Row],[考试日期]])*(表成绩单[物理]&lt;9E+307)*(表成绩单[物理]&gt;表成绩单[[#This Row],[物理]]))+1)</f>
        <v>197</v>
      </c>
      <c r="T1760" s="29" cm="1">
        <f t="array" ref="T1760">IF(表成绩单[[#This Row],[化学]]="","",SUMPRODUCT((表成绩单[考试日期]=表成绩单[[#This Row],[考试日期]])*(表成绩单[化学]&lt;9E+307)*(表成绩单[化学]&gt;表成绩单[[#This Row],[化学]]))+1)</f>
        <v>23</v>
      </c>
      <c r="U1760" s="29" cm="1">
        <f t="array" ref="U1760">IF(表成绩单[[#This Row],[政治]]="","",SUMPRODUCT((表成绩单[考试日期]=表成绩单[[#This Row],[考试日期]])*(表成绩单[政治]&lt;9E+307)*(表成绩单[政治]&gt;表成绩单[[#This Row],[政治]]))+1)</f>
        <v>137</v>
      </c>
      <c r="V1760" s="29" cm="1">
        <f t="array" ref="V1760">IF(表成绩单[[#This Row],[历史]]="","",SUMPRODUCT((表成绩单[考试日期]=表成绩单[[#This Row],[考试日期]])*(表成绩单[历史]&lt;9E+307)*(表成绩单[历史]&gt;表成绩单[[#This Row],[历史]]))+1)</f>
        <v>83</v>
      </c>
      <c r="W1760" s="29" cm="1">
        <f t="array" ref="W1760">IF(表成绩单[[#This Row],[总分]]="","",SUMPRODUCT((表成绩单[考试日期]=表成绩单[[#This Row],[考试日期]])*(表成绩单[总分]&lt;9E+307)*(表成绩单[总分]&gt;表成绩单[[#This Row],[总分]]))+1)</f>
        <v>154</v>
      </c>
    </row>
    <row r="1761" ht="28" customHeight="1" spans="4:23">
      <c r="D1761" s="31">
        <v>46030</v>
      </c>
      <c r="E1761" s="29">
        <v>19171088</v>
      </c>
      <c r="F1761" s="29" t="s">
        <v>67</v>
      </c>
      <c r="G1761" s="29" t="s">
        <v>262</v>
      </c>
      <c r="H1761" s="29">
        <v>91</v>
      </c>
      <c r="I1761" s="29">
        <v>100</v>
      </c>
      <c r="J1761" s="29">
        <v>68</v>
      </c>
      <c r="K1761" s="29">
        <v>87</v>
      </c>
      <c r="L1761" s="29">
        <v>80</v>
      </c>
      <c r="M1761" s="29">
        <v>72</v>
      </c>
      <c r="N1761" s="29">
        <v>73</v>
      </c>
      <c r="O1761" s="32">
        <v>571</v>
      </c>
      <c r="P1761" s="29" cm="1">
        <f t="array" ref="P1761">IF(表成绩单[[#This Row],[语文]]="","",SUMPRODUCT((表成绩单[考试日期]=表成绩单[[#This Row],[考试日期]])*(表成绩单[语文]&lt;9E+307)*(表成绩单[语文]&gt;表成绩单[[#This Row],[语文]]))+1)</f>
        <v>478</v>
      </c>
      <c r="Q1761" s="29" cm="1">
        <f t="array" ref="Q1761">IF(表成绩单[[#This Row],[数学]]="","",SUMPRODUCT((表成绩单[考试日期]=表成绩单[[#This Row],[考试日期]])*(表成绩单[数学]&lt;9E+307)*(表成绩单[数学]&gt;表成绩单[[#This Row],[数学]]))+1)</f>
        <v>110</v>
      </c>
      <c r="R1761" s="29" cm="1">
        <f t="array" ref="R1761">IF(表成绩单[[#This Row],[英语]]="","",SUMPRODUCT((表成绩单[考试日期]=表成绩单[[#This Row],[考试日期]])*(表成绩单[英语]&lt;9E+307)*(表成绩单[英语]&gt;表成绩单[[#This Row],[英语]]))+1)</f>
        <v>364</v>
      </c>
      <c r="S1761" s="29" cm="1">
        <f t="array" ref="S1761">IF(表成绩单[[#This Row],[物理]]="","",SUMPRODUCT((表成绩单[考试日期]=表成绩单[[#This Row],[考试日期]])*(表成绩单[物理]&lt;9E+307)*(表成绩单[物理]&gt;表成绩单[[#This Row],[物理]]))+1)</f>
        <v>27</v>
      </c>
      <c r="T1761" s="29" cm="1">
        <f t="array" ref="T1761">IF(表成绩单[[#This Row],[化学]]="","",SUMPRODUCT((表成绩单[考试日期]=表成绩单[[#This Row],[考试日期]])*(表成绩单[化学]&lt;9E+307)*(表成绩单[化学]&gt;表成绩单[[#This Row],[化学]]))+1)</f>
        <v>60</v>
      </c>
      <c r="U1761" s="29" cm="1">
        <f t="array" ref="U1761">IF(表成绩单[[#This Row],[政治]]="","",SUMPRODUCT((表成绩单[考试日期]=表成绩单[[#This Row],[考试日期]])*(表成绩单[政治]&lt;9E+307)*(表成绩单[政治]&gt;表成绩单[[#This Row],[政治]]))+1)</f>
        <v>224</v>
      </c>
      <c r="V1761" s="29" cm="1">
        <f t="array" ref="V1761">IF(表成绩单[[#This Row],[历史]]="","",SUMPRODUCT((表成绩单[考试日期]=表成绩单[[#This Row],[考试日期]])*(表成绩单[历史]&lt;9E+307)*(表成绩单[历史]&gt;表成绩单[[#This Row],[历史]]))+1)</f>
        <v>240</v>
      </c>
      <c r="W1761" s="29" cm="1">
        <f t="array" ref="W1761">IF(表成绩单[[#This Row],[总分]]="","",SUMPRODUCT((表成绩单[考试日期]=表成绩单[[#This Row],[考试日期]])*(表成绩单[总分]&lt;9E+307)*(表成绩单[总分]&gt;表成绩单[[#This Row],[总分]]))+1)</f>
        <v>155</v>
      </c>
    </row>
    <row r="1762" ht="28" customHeight="1" spans="4:23">
      <c r="D1762" s="31">
        <v>46030</v>
      </c>
      <c r="E1762" s="29">
        <v>19177195</v>
      </c>
      <c r="F1762" s="29" t="s">
        <v>70</v>
      </c>
      <c r="G1762" s="29" t="s">
        <v>239</v>
      </c>
      <c r="H1762" s="29">
        <v>100</v>
      </c>
      <c r="I1762" s="29">
        <v>95</v>
      </c>
      <c r="J1762" s="29">
        <v>63</v>
      </c>
      <c r="K1762" s="29">
        <v>80</v>
      </c>
      <c r="L1762" s="29">
        <v>82</v>
      </c>
      <c r="M1762" s="29">
        <v>76</v>
      </c>
      <c r="N1762" s="29">
        <v>75</v>
      </c>
      <c r="O1762" s="32">
        <v>571</v>
      </c>
      <c r="P1762" s="29" cm="1">
        <f t="array" ref="P1762">IF(表成绩单[[#This Row],[语文]]="","",SUMPRODUCT((表成绩单[考试日期]=表成绩单[[#This Row],[考试日期]])*(表成绩单[语文]&lt;9E+307)*(表成绩单[语文]&gt;表成绩单[[#This Row],[语文]]))+1)</f>
        <v>182</v>
      </c>
      <c r="Q1762" s="29" cm="1">
        <f t="array" ref="Q1762">IF(表成绩单[[#This Row],[数学]]="","",SUMPRODUCT((表成绩单[考试日期]=表成绩单[[#This Row],[考试日期]])*(表成绩单[数学]&lt;9E+307)*(表成绩单[数学]&gt;表成绩单[[#This Row],[数学]]))+1)</f>
        <v>167</v>
      </c>
      <c r="R1762" s="29" cm="1">
        <f t="array" ref="R1762">IF(表成绩单[[#This Row],[英语]]="","",SUMPRODUCT((表成绩单[考试日期]=表成绩单[[#This Row],[考试日期]])*(表成绩单[英语]&lt;9E+307)*(表成绩单[英语]&gt;表成绩单[[#This Row],[英语]]))+1)</f>
        <v>471</v>
      </c>
      <c r="S1762" s="29" cm="1">
        <f t="array" ref="S1762">IF(表成绩单[[#This Row],[物理]]="","",SUMPRODUCT((表成绩单[考试日期]=表成绩单[[#This Row],[考试日期]])*(表成绩单[物理]&lt;9E+307)*(表成绩单[物理]&gt;表成绩单[[#This Row],[物理]]))+1)</f>
        <v>137</v>
      </c>
      <c r="T1762" s="29" cm="1">
        <f t="array" ref="T1762">IF(表成绩单[[#This Row],[化学]]="","",SUMPRODUCT((表成绩单[考试日期]=表成绩单[[#This Row],[考试日期]])*(表成绩单[化学]&lt;9E+307)*(表成绩单[化学]&gt;表成绩单[[#This Row],[化学]]))+1)</f>
        <v>23</v>
      </c>
      <c r="U1762" s="29" cm="1">
        <f t="array" ref="U1762">IF(表成绩单[[#This Row],[政治]]="","",SUMPRODUCT((表成绩单[考试日期]=表成绩单[[#This Row],[考试日期]])*(表成绩单[政治]&lt;9E+307)*(表成绩单[政治]&gt;表成绩单[[#This Row],[政治]]))+1)</f>
        <v>111</v>
      </c>
      <c r="V1762" s="29" cm="1">
        <f t="array" ref="V1762">IF(表成绩单[[#This Row],[历史]]="","",SUMPRODUCT((表成绩单[考试日期]=表成绩单[[#This Row],[考试日期]])*(表成绩单[历史]&lt;9E+307)*(表成绩单[历史]&gt;表成绩单[[#This Row],[历史]]))+1)</f>
        <v>193</v>
      </c>
      <c r="W1762" s="29" cm="1">
        <f t="array" ref="W1762">IF(表成绩单[[#This Row],[总分]]="","",SUMPRODUCT((表成绩单[考试日期]=表成绩单[[#This Row],[考试日期]])*(表成绩单[总分]&lt;9E+307)*(表成绩单[总分]&gt;表成绩单[[#This Row],[总分]]))+1)</f>
        <v>155</v>
      </c>
    </row>
    <row r="1763" ht="28" customHeight="1" spans="4:23">
      <c r="D1763" s="31">
        <v>46030</v>
      </c>
      <c r="E1763" s="29">
        <v>19174803</v>
      </c>
      <c r="F1763" s="29" t="s">
        <v>69</v>
      </c>
      <c r="G1763" s="29" t="s">
        <v>191</v>
      </c>
      <c r="H1763" s="29">
        <v>92</v>
      </c>
      <c r="I1763" s="29">
        <v>103</v>
      </c>
      <c r="J1763" s="29">
        <v>77.5</v>
      </c>
      <c r="K1763" s="29">
        <v>85</v>
      </c>
      <c r="L1763" s="29">
        <v>70</v>
      </c>
      <c r="M1763" s="29">
        <v>66</v>
      </c>
      <c r="N1763" s="29">
        <v>77</v>
      </c>
      <c r="O1763" s="32">
        <v>570.5</v>
      </c>
      <c r="P1763" s="29" cm="1">
        <f t="array" ref="P1763">IF(表成绩单[[#This Row],[语文]]="","",SUMPRODUCT((表成绩单[考试日期]=表成绩单[[#This Row],[考试日期]])*(表成绩单[语文]&lt;9E+307)*(表成绩单[语文]&gt;表成绩单[[#This Row],[语文]]))+1)</f>
        <v>444</v>
      </c>
      <c r="Q1763" s="29" cm="1">
        <f t="array" ref="Q1763">IF(表成绩单[[#This Row],[数学]]="","",SUMPRODUCT((表成绩单[考试日期]=表成绩单[[#This Row],[考试日期]])*(表成绩单[数学]&lt;9E+307)*(表成绩单[数学]&gt;表成绩单[[#This Row],[数学]]))+1)</f>
        <v>86</v>
      </c>
      <c r="R1763" s="29" cm="1">
        <f t="array" ref="R1763">IF(表成绩单[[#This Row],[英语]]="","",SUMPRODUCT((表成绩单[考试日期]=表成绩单[[#This Row],[考试日期]])*(表成绩单[英语]&lt;9E+307)*(表成绩单[英语]&gt;表成绩单[[#This Row],[英语]]))+1)</f>
        <v>89</v>
      </c>
      <c r="S1763" s="29" cm="1">
        <f t="array" ref="S1763">IF(表成绩单[[#This Row],[物理]]="","",SUMPRODUCT((表成绩单[考试日期]=表成绩单[[#This Row],[考试日期]])*(表成绩单[物理]&lt;9E+307)*(表成绩单[物理]&gt;表成绩单[[#This Row],[物理]]))+1)</f>
        <v>56</v>
      </c>
      <c r="T1763" s="29" cm="1">
        <f t="array" ref="T1763">IF(表成绩单[[#This Row],[化学]]="","",SUMPRODUCT((表成绩单[考试日期]=表成绩单[[#This Row],[考试日期]])*(表成绩单[化学]&lt;9E+307)*(表成绩单[化学]&gt;表成绩单[[#This Row],[化学]]))+1)</f>
        <v>318</v>
      </c>
      <c r="U1763" s="29" cm="1">
        <f t="array" ref="U1763">IF(表成绩单[[#This Row],[政治]]="","",SUMPRODUCT((表成绩单[考试日期]=表成绩单[[#This Row],[考试日期]])*(表成绩单[政治]&lt;9E+307)*(表成绩单[政治]&gt;表成绩单[[#This Row],[政治]]))+1)</f>
        <v>397</v>
      </c>
      <c r="V1763" s="29" cm="1">
        <f t="array" ref="V1763">IF(表成绩单[[#This Row],[历史]]="","",SUMPRODUCT((表成绩单[考试日期]=表成绩单[[#This Row],[考试日期]])*(表成绩单[历史]&lt;9E+307)*(表成绩单[历史]&gt;表成绩单[[#This Row],[历史]]))+1)</f>
        <v>148</v>
      </c>
      <c r="W1763" s="29" cm="1">
        <f t="array" ref="W1763">IF(表成绩单[[#This Row],[总分]]="","",SUMPRODUCT((表成绩单[考试日期]=表成绩单[[#This Row],[考试日期]])*(表成绩单[总分]&lt;9E+307)*(表成绩单[总分]&gt;表成绩单[[#This Row],[总分]]))+1)</f>
        <v>157</v>
      </c>
    </row>
    <row r="1764" ht="28" customHeight="1" spans="4:23">
      <c r="D1764" s="31">
        <v>46030</v>
      </c>
      <c r="E1764" s="29">
        <v>19175648</v>
      </c>
      <c r="F1764" s="29" t="s">
        <v>66</v>
      </c>
      <c r="G1764" s="29" t="s">
        <v>300</v>
      </c>
      <c r="H1764" s="29">
        <v>94</v>
      </c>
      <c r="I1764" s="29">
        <v>106</v>
      </c>
      <c r="J1764" s="29">
        <v>75</v>
      </c>
      <c r="K1764" s="29">
        <v>84</v>
      </c>
      <c r="L1764" s="29">
        <v>73</v>
      </c>
      <c r="M1764" s="29">
        <v>72</v>
      </c>
      <c r="N1764" s="29">
        <v>66</v>
      </c>
      <c r="O1764" s="32">
        <v>570</v>
      </c>
      <c r="P1764" s="29" cm="1">
        <f t="array" ref="P1764">IF(表成绩单[[#This Row],[语文]]="","",SUMPRODUCT((表成绩单[考试日期]=表成绩单[[#This Row],[考试日期]])*(表成绩单[语文]&lt;9E+307)*(表成绩单[语文]&gt;表成绩单[[#This Row],[语文]]))+1)</f>
        <v>381</v>
      </c>
      <c r="Q1764" s="29" cm="1">
        <f t="array" ref="Q1764">IF(表成绩单[[#This Row],[数学]]="","",SUMPRODUCT((表成绩单[考试日期]=表成绩单[[#This Row],[考试日期]])*(表成绩单[数学]&lt;9E+307)*(表成绩单[数学]&gt;表成绩单[[#This Row],[数学]]))+1)</f>
        <v>50</v>
      </c>
      <c r="R1764" s="29" cm="1">
        <f t="array" ref="R1764">IF(表成绩单[[#This Row],[英语]]="","",SUMPRODUCT((表成绩单[考试日期]=表成绩单[[#This Row],[考试日期]])*(表成绩单[英语]&lt;9E+307)*(表成绩单[英语]&gt;表成绩单[[#This Row],[英语]]))+1)</f>
        <v>164</v>
      </c>
      <c r="S1764" s="29" cm="1">
        <f t="array" ref="S1764">IF(表成绩单[[#This Row],[物理]]="","",SUMPRODUCT((表成绩单[考试日期]=表成绩单[[#This Row],[考试日期]])*(表成绩单[物理]&lt;9E+307)*(表成绩单[物理]&gt;表成绩单[[#This Row],[物理]]))+1)</f>
        <v>73</v>
      </c>
      <c r="T1764" s="29" cm="1">
        <f t="array" ref="T1764">IF(表成绩单[[#This Row],[化学]]="","",SUMPRODUCT((表成绩单[考试日期]=表成绩单[[#This Row],[考试日期]])*(表成绩单[化学]&lt;9E+307)*(表成绩单[化学]&gt;表成绩单[[#This Row],[化学]]))+1)</f>
        <v>236</v>
      </c>
      <c r="U1764" s="29" cm="1">
        <f t="array" ref="U1764">IF(表成绩单[[#This Row],[政治]]="","",SUMPRODUCT((表成绩单[考试日期]=表成绩单[[#This Row],[考试日期]])*(表成绩单[政治]&lt;9E+307)*(表成绩单[政治]&gt;表成绩单[[#This Row],[政治]]))+1)</f>
        <v>224</v>
      </c>
      <c r="V1764" s="29" cm="1">
        <f t="array" ref="V1764">IF(表成绩单[[#This Row],[历史]]="","",SUMPRODUCT((表成绩单[考试日期]=表成绩单[[#This Row],[考试日期]])*(表成绩单[历史]&lt;9E+307)*(表成绩单[历史]&gt;表成绩单[[#This Row],[历史]]))+1)</f>
        <v>451</v>
      </c>
      <c r="W1764" s="29" cm="1">
        <f t="array" ref="W1764">IF(表成绩单[[#This Row],[总分]]="","",SUMPRODUCT((表成绩单[考试日期]=表成绩单[[#This Row],[考试日期]])*(表成绩单[总分]&lt;9E+307)*(表成绩单[总分]&gt;表成绩单[[#This Row],[总分]]))+1)</f>
        <v>158</v>
      </c>
    </row>
    <row r="1765" ht="28" customHeight="1" spans="4:23">
      <c r="D1765" s="31">
        <v>46030</v>
      </c>
      <c r="E1765" s="29">
        <v>19174782</v>
      </c>
      <c r="F1765" s="29" t="s">
        <v>69</v>
      </c>
      <c r="G1765" s="29" t="s">
        <v>344</v>
      </c>
      <c r="H1765" s="29">
        <v>105</v>
      </c>
      <c r="I1765" s="29">
        <v>96</v>
      </c>
      <c r="J1765" s="29">
        <v>67.5</v>
      </c>
      <c r="K1765" s="29">
        <v>84</v>
      </c>
      <c r="L1765" s="29">
        <v>75</v>
      </c>
      <c r="M1765" s="29">
        <v>78</v>
      </c>
      <c r="N1765" s="29">
        <v>64</v>
      </c>
      <c r="O1765" s="32">
        <v>569.5</v>
      </c>
      <c r="P1765" s="29" cm="1">
        <f t="array" ref="P1765">IF(表成绩单[[#This Row],[语文]]="","",SUMPRODUCT((表成绩单[考试日期]=表成绩单[[#This Row],[考试日期]])*(表成绩单[语文]&lt;9E+307)*(表成绩单[语文]&gt;表成绩单[[#This Row],[语文]]))+1)</f>
        <v>62</v>
      </c>
      <c r="Q1765" s="29" cm="1">
        <f t="array" ref="Q1765">IF(表成绩单[[#This Row],[数学]]="","",SUMPRODUCT((表成绩单[考试日期]=表成绩单[[#This Row],[考试日期]])*(表成绩单[数学]&lt;9E+307)*(表成绩单[数学]&gt;表成绩单[[#This Row],[数学]]))+1)</f>
        <v>154</v>
      </c>
      <c r="R1765" s="29" cm="1">
        <f t="array" ref="R1765">IF(表成绩单[[#This Row],[英语]]="","",SUMPRODUCT((表成绩单[考试日期]=表成绩单[[#This Row],[考试日期]])*(表成绩单[英语]&lt;9E+307)*(表成绩单[英语]&gt;表成绩单[[#This Row],[英语]]))+1)</f>
        <v>377</v>
      </c>
      <c r="S1765" s="29" cm="1">
        <f t="array" ref="S1765">IF(表成绩单[[#This Row],[物理]]="","",SUMPRODUCT((表成绩单[考试日期]=表成绩单[[#This Row],[考试日期]])*(表成绩单[物理]&lt;9E+307)*(表成绩单[物理]&gt;表成绩单[[#This Row],[物理]]))+1)</f>
        <v>73</v>
      </c>
      <c r="T1765" s="29" cm="1">
        <f t="array" ref="T1765">IF(表成绩单[[#This Row],[化学]]="","",SUMPRODUCT((表成绩单[考试日期]=表成绩单[[#This Row],[考试日期]])*(表成绩单[化学]&lt;9E+307)*(表成绩单[化学]&gt;表成绩单[[#This Row],[化学]]))+1)</f>
        <v>169</v>
      </c>
      <c r="U1765" s="29" cm="1">
        <f t="array" ref="U1765">IF(表成绩单[[#This Row],[政治]]="","",SUMPRODUCT((表成绩单[考试日期]=表成绩单[[#This Row],[考试日期]])*(表成绩单[政治]&lt;9E+307)*(表成绩单[政治]&gt;表成绩单[[#This Row],[政治]]))+1)</f>
        <v>65</v>
      </c>
      <c r="V1765" s="29" cm="1">
        <f t="array" ref="V1765">IF(表成绩单[[#This Row],[历史]]="","",SUMPRODUCT((表成绩单[考试日期]=表成绩单[[#This Row],[考试日期]])*(表成绩单[历史]&lt;9E+307)*(表成绩单[历史]&gt;表成绩单[[#This Row],[历史]]))+1)</f>
        <v>509</v>
      </c>
      <c r="W1765" s="29" cm="1">
        <f t="array" ref="W1765">IF(表成绩单[[#This Row],[总分]]="","",SUMPRODUCT((表成绩单[考试日期]=表成绩单[[#This Row],[考试日期]])*(表成绩单[总分]&lt;9E+307)*(表成绩单[总分]&gt;表成绩单[[#This Row],[总分]]))+1)</f>
        <v>159</v>
      </c>
    </row>
    <row r="1766" ht="28" customHeight="1" spans="4:23">
      <c r="D1766" s="31">
        <v>46030</v>
      </c>
      <c r="E1766" s="29">
        <v>19176892</v>
      </c>
      <c r="F1766" s="29" t="s">
        <v>71</v>
      </c>
      <c r="G1766" s="29" t="s">
        <v>100</v>
      </c>
      <c r="H1766" s="29">
        <v>105</v>
      </c>
      <c r="I1766" s="29">
        <v>87</v>
      </c>
      <c r="J1766" s="29">
        <v>75.5</v>
      </c>
      <c r="K1766" s="29">
        <v>81</v>
      </c>
      <c r="L1766" s="29">
        <v>71</v>
      </c>
      <c r="M1766" s="29">
        <v>70</v>
      </c>
      <c r="N1766" s="29">
        <v>80</v>
      </c>
      <c r="O1766" s="32">
        <v>569.5</v>
      </c>
      <c r="P1766" s="29" cm="1">
        <f t="array" ref="P1766">IF(表成绩单[[#This Row],[语文]]="","",SUMPRODUCT((表成绩单[考试日期]=表成绩单[[#This Row],[考试日期]])*(表成绩单[语文]&lt;9E+307)*(表成绩单[语文]&gt;表成绩单[[#This Row],[语文]]))+1)</f>
        <v>62</v>
      </c>
      <c r="Q1766" s="29" cm="1">
        <f t="array" ref="Q1766">IF(表成绩单[[#This Row],[数学]]="","",SUMPRODUCT((表成绩单[考试日期]=表成绩单[[#This Row],[考试日期]])*(表成绩单[数学]&lt;9E+307)*(表成绩单[数学]&gt;表成绩单[[#This Row],[数学]]))+1)</f>
        <v>270</v>
      </c>
      <c r="R1766" s="29" cm="1">
        <f t="array" ref="R1766">IF(表成绩单[[#This Row],[英语]]="","",SUMPRODUCT((表成绩单[考试日期]=表成绩单[[#This Row],[考试日期]])*(表成绩单[英语]&lt;9E+307)*(表成绩单[英语]&gt;表成绩单[[#This Row],[英语]]))+1)</f>
        <v>145</v>
      </c>
      <c r="S1766" s="29" cm="1">
        <f t="array" ref="S1766">IF(表成绩单[[#This Row],[物理]]="","",SUMPRODUCT((表成绩单[考试日期]=表成绩单[[#This Row],[考试日期]])*(表成绩单[物理]&lt;9E+307)*(表成绩单[物理]&gt;表成绩单[[#This Row],[物理]]))+1)</f>
        <v>119</v>
      </c>
      <c r="T1766" s="29" cm="1">
        <f t="array" ref="T1766">IF(表成绩单[[#This Row],[化学]]="","",SUMPRODUCT((表成绩单[考试日期]=表成绩单[[#This Row],[考试日期]])*(表成绩单[化学]&lt;9E+307)*(表成绩单[化学]&gt;表成绩单[[#This Row],[化学]]))+1)</f>
        <v>297</v>
      </c>
      <c r="U1766" s="29" cm="1">
        <f t="array" ref="U1766">IF(表成绩单[[#This Row],[政治]]="","",SUMPRODUCT((表成绩单[考试日期]=表成绩单[[#This Row],[考试日期]])*(表成绩单[政治]&lt;9E+307)*(表成绩单[政治]&gt;表成绩单[[#This Row],[政治]]))+1)</f>
        <v>274</v>
      </c>
      <c r="V1766" s="29" cm="1">
        <f t="array" ref="V1766">IF(表成绩单[[#This Row],[历史]]="","",SUMPRODUCT((表成绩单[考试日期]=表成绩单[[#This Row],[考试日期]])*(表成绩单[历史]&lt;9E+307)*(表成绩单[历史]&gt;表成绩单[[#This Row],[历史]]))+1)</f>
        <v>83</v>
      </c>
      <c r="W1766" s="29" cm="1">
        <f t="array" ref="W1766">IF(表成绩单[[#This Row],[总分]]="","",SUMPRODUCT((表成绩单[考试日期]=表成绩单[[#This Row],[考试日期]])*(表成绩单[总分]&lt;9E+307)*(表成绩单[总分]&gt;表成绩单[[#This Row],[总分]]))+1)</f>
        <v>159</v>
      </c>
    </row>
    <row r="1767" ht="28" customHeight="1" spans="4:23">
      <c r="D1767" s="31">
        <v>46030</v>
      </c>
      <c r="E1767" s="29">
        <v>19177193</v>
      </c>
      <c r="F1767" s="29" t="s">
        <v>70</v>
      </c>
      <c r="G1767" s="29" t="s">
        <v>192</v>
      </c>
      <c r="H1767" s="29">
        <v>101</v>
      </c>
      <c r="I1767" s="29">
        <v>97</v>
      </c>
      <c r="J1767" s="29">
        <v>74.5</v>
      </c>
      <c r="K1767" s="29">
        <v>78</v>
      </c>
      <c r="L1767" s="29">
        <v>76</v>
      </c>
      <c r="M1767" s="29">
        <v>72</v>
      </c>
      <c r="N1767" s="29">
        <v>71</v>
      </c>
      <c r="O1767" s="32">
        <v>569.5</v>
      </c>
      <c r="P1767" s="29" cm="1">
        <f t="array" ref="P1767">IF(表成绩单[[#This Row],[语文]]="","",SUMPRODUCT((表成绩单[考试日期]=表成绩单[[#This Row],[考试日期]])*(表成绩单[语文]&lt;9E+307)*(表成绩单[语文]&gt;表成绩单[[#This Row],[语文]]))+1)</f>
        <v>159</v>
      </c>
      <c r="Q1767" s="29" cm="1">
        <f t="array" ref="Q1767">IF(表成绩单[[#This Row],[数学]]="","",SUMPRODUCT((表成绩单[考试日期]=表成绩单[[#This Row],[考试日期]])*(表成绩单[数学]&lt;9E+307)*(表成绩单[数学]&gt;表成绩单[[#This Row],[数学]]))+1)</f>
        <v>142</v>
      </c>
      <c r="R1767" s="29" cm="1">
        <f t="array" ref="R1767">IF(表成绩单[[#This Row],[英语]]="","",SUMPRODUCT((表成绩单[考试日期]=表成绩单[[#This Row],[考试日期]])*(表成绩单[英语]&lt;9E+307)*(表成绩单[英语]&gt;表成绩单[[#This Row],[英语]]))+1)</f>
        <v>181</v>
      </c>
      <c r="S1767" s="29" cm="1">
        <f t="array" ref="S1767">IF(表成绩单[[#This Row],[物理]]="","",SUMPRODUCT((表成绩单[考试日期]=表成绩单[[#This Row],[考试日期]])*(表成绩单[物理]&lt;9E+307)*(表成绩单[物理]&gt;表成绩单[[#This Row],[物理]]))+1)</f>
        <v>178</v>
      </c>
      <c r="T1767" s="29" cm="1">
        <f t="array" ref="T1767">IF(表成绩单[[#This Row],[化学]]="","",SUMPRODUCT((表成绩单[考试日期]=表成绩单[[#This Row],[考试日期]])*(表成绩单[化学]&lt;9E+307)*(表成绩单[化学]&gt;表成绩单[[#This Row],[化学]]))+1)</f>
        <v>139</v>
      </c>
      <c r="U1767" s="29" cm="1">
        <f t="array" ref="U1767">IF(表成绩单[[#This Row],[政治]]="","",SUMPRODUCT((表成绩单[考试日期]=表成绩单[[#This Row],[考试日期]])*(表成绩单[政治]&lt;9E+307)*(表成绩单[政治]&gt;表成绩单[[#This Row],[政治]]))+1)</f>
        <v>224</v>
      </c>
      <c r="V1767" s="29" cm="1">
        <f t="array" ref="V1767">IF(表成绩单[[#This Row],[历史]]="","",SUMPRODUCT((表成绩单[考试日期]=表成绩单[[#This Row],[考试日期]])*(表成绩单[历史]&lt;9E+307)*(表成绩单[历史]&gt;表成绩单[[#This Row],[历史]]))+1)</f>
        <v>297</v>
      </c>
      <c r="W1767" s="29" cm="1">
        <f t="array" ref="W1767">IF(表成绩单[[#This Row],[总分]]="","",SUMPRODUCT((表成绩单[考试日期]=表成绩单[[#This Row],[考试日期]])*(表成绩单[总分]&lt;9E+307)*(表成绩单[总分]&gt;表成绩单[[#This Row],[总分]]))+1)</f>
        <v>159</v>
      </c>
    </row>
    <row r="1768" ht="28" customHeight="1" spans="4:23">
      <c r="D1768" s="31">
        <v>46030</v>
      </c>
      <c r="E1768" s="29">
        <v>19175690</v>
      </c>
      <c r="F1768" s="29" t="s">
        <v>72</v>
      </c>
      <c r="G1768" s="29" t="s">
        <v>367</v>
      </c>
      <c r="H1768" s="29">
        <v>102</v>
      </c>
      <c r="I1768" s="29">
        <v>97</v>
      </c>
      <c r="J1768" s="29">
        <v>84</v>
      </c>
      <c r="K1768" s="29">
        <v>79</v>
      </c>
      <c r="L1768" s="29">
        <v>68</v>
      </c>
      <c r="M1768" s="29">
        <v>70</v>
      </c>
      <c r="N1768" s="29">
        <v>69</v>
      </c>
      <c r="O1768" s="32">
        <v>569</v>
      </c>
      <c r="P1768" s="29" cm="1">
        <f t="array" ref="P1768">IF(表成绩单[[#This Row],[语文]]="","",SUMPRODUCT((表成绩单[考试日期]=表成绩单[[#This Row],[考试日期]])*(表成绩单[语文]&lt;9E+307)*(表成绩单[语文]&gt;表成绩单[[#This Row],[语文]]))+1)</f>
        <v>132</v>
      </c>
      <c r="Q1768" s="29" cm="1">
        <f t="array" ref="Q1768">IF(表成绩单[[#This Row],[数学]]="","",SUMPRODUCT((表成绩单[考试日期]=表成绩单[[#This Row],[考试日期]])*(表成绩单[数学]&lt;9E+307)*(表成绩单[数学]&gt;表成绩单[[#This Row],[数学]]))+1)</f>
        <v>142</v>
      </c>
      <c r="R1768" s="29" cm="1">
        <f t="array" ref="R1768">IF(表成绩单[[#This Row],[英语]]="","",SUMPRODUCT((表成绩单[考试日期]=表成绩单[[#This Row],[考试日期]])*(表成绩单[英语]&lt;9E+307)*(表成绩单[英语]&gt;表成绩单[[#This Row],[英语]]))+1)</f>
        <v>4</v>
      </c>
      <c r="S1768" s="29" cm="1">
        <f t="array" ref="S1768">IF(表成绩单[[#This Row],[物理]]="","",SUMPRODUCT((表成绩单[考试日期]=表成绩单[[#This Row],[考试日期]])*(表成绩单[物理]&lt;9E+307)*(表成绩单[物理]&gt;表成绩单[[#This Row],[物理]]))+1)</f>
        <v>153</v>
      </c>
      <c r="T1768" s="29" cm="1">
        <f t="array" ref="T1768">IF(表成绩单[[#This Row],[化学]]="","",SUMPRODUCT((表成绩单[考试日期]=表成绩单[[#This Row],[考试日期]])*(表成绩单[化学]&lt;9E+307)*(表成绩单[化学]&gt;表成绩单[[#This Row],[化学]]))+1)</f>
        <v>358</v>
      </c>
      <c r="U1768" s="29" cm="1">
        <f t="array" ref="U1768">IF(表成绩单[[#This Row],[政治]]="","",SUMPRODUCT((表成绩单[考试日期]=表成绩单[[#This Row],[考试日期]])*(表成绩单[政治]&lt;9E+307)*(表成绩单[政治]&gt;表成绩单[[#This Row],[政治]]))+1)</f>
        <v>274</v>
      </c>
      <c r="V1768" s="29" cm="1">
        <f t="array" ref="V1768">IF(表成绩单[[#This Row],[历史]]="","",SUMPRODUCT((表成绩单[考试日期]=表成绩单[[#This Row],[考试日期]])*(表成绩单[历史]&lt;9E+307)*(表成绩单[历史]&gt;表成绩单[[#This Row],[历史]]))+1)</f>
        <v>366</v>
      </c>
      <c r="W1768" s="29" cm="1">
        <f t="array" ref="W1768">IF(表成绩单[[#This Row],[总分]]="","",SUMPRODUCT((表成绩单[考试日期]=表成绩单[[#This Row],[考试日期]])*(表成绩单[总分]&lt;9E+307)*(表成绩单[总分]&gt;表成绩单[[#This Row],[总分]]))+1)</f>
        <v>162</v>
      </c>
    </row>
    <row r="1769" ht="28" customHeight="1" spans="4:23">
      <c r="D1769" s="31">
        <v>46030</v>
      </c>
      <c r="E1769" s="29">
        <v>19176873</v>
      </c>
      <c r="F1769" s="29" t="s">
        <v>71</v>
      </c>
      <c r="G1769" s="29" t="s">
        <v>257</v>
      </c>
      <c r="H1769" s="29">
        <v>108</v>
      </c>
      <c r="I1769" s="29">
        <v>88</v>
      </c>
      <c r="J1769" s="29">
        <v>73</v>
      </c>
      <c r="K1769" s="29">
        <v>83</v>
      </c>
      <c r="L1769" s="29">
        <v>74</v>
      </c>
      <c r="M1769" s="29">
        <v>65</v>
      </c>
      <c r="N1769" s="29">
        <v>78</v>
      </c>
      <c r="O1769" s="32">
        <v>569</v>
      </c>
      <c r="P1769" s="29" cm="1">
        <f t="array" ref="P1769">IF(表成绩单[[#This Row],[语文]]="","",SUMPRODUCT((表成绩单[考试日期]=表成绩单[[#This Row],[考试日期]])*(表成绩单[语文]&lt;9E+307)*(表成绩单[语文]&gt;表成绩单[[#This Row],[语文]]))+1)</f>
        <v>29</v>
      </c>
      <c r="Q1769" s="29" cm="1">
        <f t="array" ref="Q1769">IF(表成绩单[[#This Row],[数学]]="","",SUMPRODUCT((表成绩单[考试日期]=表成绩单[[#This Row],[考试日期]])*(表成绩单[数学]&lt;9E+307)*(表成绩单[数学]&gt;表成绩单[[#This Row],[数学]]))+1)</f>
        <v>245</v>
      </c>
      <c r="R1769" s="29" cm="1">
        <f t="array" ref="R1769">IF(表成绩单[[#This Row],[英语]]="","",SUMPRODUCT((表成绩单[考试日期]=表成绩单[[#This Row],[考试日期]])*(表成绩单[英语]&lt;9E+307)*(表成绩单[英语]&gt;表成绩单[[#This Row],[英语]]))+1)</f>
        <v>222</v>
      </c>
      <c r="S1769" s="29" cm="1">
        <f t="array" ref="S1769">IF(表成绩单[[#This Row],[物理]]="","",SUMPRODUCT((表成绩单[考试日期]=表成绩单[[#This Row],[考试日期]])*(表成绩单[物理]&lt;9E+307)*(表成绩单[物理]&gt;表成绩单[[#This Row],[物理]]))+1)</f>
        <v>88</v>
      </c>
      <c r="T1769" s="29" cm="1">
        <f t="array" ref="T1769">IF(表成绩单[[#This Row],[化学]]="","",SUMPRODUCT((表成绩单[考试日期]=表成绩单[[#This Row],[考试日期]])*(表成绩单[化学]&lt;9E+307)*(表成绩单[化学]&gt;表成绩单[[#This Row],[化学]]))+1)</f>
        <v>208</v>
      </c>
      <c r="U1769" s="29" cm="1">
        <f t="array" ref="U1769">IF(表成绩单[[#This Row],[政治]]="","",SUMPRODUCT((表成绩单[考试日期]=表成绩单[[#This Row],[考试日期]])*(表成绩单[政治]&lt;9E+307)*(表成绩单[政治]&gt;表成绩单[[#This Row],[政治]]))+1)</f>
        <v>431</v>
      </c>
      <c r="V1769" s="29" cm="1">
        <f t="array" ref="V1769">IF(表成绩单[[#This Row],[历史]]="","",SUMPRODUCT((表成绩单[考试日期]=表成绩单[[#This Row],[考试日期]])*(表成绩单[历史]&lt;9E+307)*(表成绩单[历史]&gt;表成绩单[[#This Row],[历史]]))+1)</f>
        <v>126</v>
      </c>
      <c r="W1769" s="29" cm="1">
        <f t="array" ref="W1769">IF(表成绩单[[#This Row],[总分]]="","",SUMPRODUCT((表成绩单[考试日期]=表成绩单[[#This Row],[考试日期]])*(表成绩单[总分]&lt;9E+307)*(表成绩单[总分]&gt;表成绩单[[#This Row],[总分]]))+1)</f>
        <v>162</v>
      </c>
    </row>
    <row r="1770" ht="28" customHeight="1" spans="4:23">
      <c r="D1770" s="31">
        <v>46030</v>
      </c>
      <c r="E1770" s="29">
        <v>19167657</v>
      </c>
      <c r="F1770" s="29" t="s">
        <v>1</v>
      </c>
      <c r="G1770" s="29" t="s">
        <v>214</v>
      </c>
      <c r="H1770" s="29">
        <v>104</v>
      </c>
      <c r="I1770" s="29">
        <v>94</v>
      </c>
      <c r="J1770" s="29">
        <v>69.5</v>
      </c>
      <c r="K1770" s="29">
        <v>75</v>
      </c>
      <c r="L1770" s="29">
        <v>78</v>
      </c>
      <c r="M1770" s="29">
        <v>68</v>
      </c>
      <c r="N1770" s="29">
        <v>80</v>
      </c>
      <c r="O1770" s="32">
        <v>568.5</v>
      </c>
      <c r="P1770" s="29" cm="1">
        <f t="array" ref="P1770">IF(表成绩单[[#This Row],[语文]]="","",SUMPRODUCT((表成绩单[考试日期]=表成绩单[[#This Row],[考试日期]])*(表成绩单[语文]&lt;9E+307)*(表成绩单[语文]&gt;表成绩单[[#This Row],[语文]]))+1)</f>
        <v>82</v>
      </c>
      <c r="Q1770" s="29" cm="1">
        <f t="array" ref="Q1770">IF(表成绩单[[#This Row],[数学]]="","",SUMPRODUCT((表成绩单[考试日期]=表成绩单[[#This Row],[考试日期]])*(表成绩单[数学]&lt;9E+307)*(表成绩单[数学]&gt;表成绩单[[#This Row],[数学]]))+1)</f>
        <v>178</v>
      </c>
      <c r="R1770" s="29" cm="1">
        <f t="array" ref="R1770">IF(表成绩单[[#This Row],[英语]]="","",SUMPRODUCT((表成绩单[考试日期]=表成绩单[[#This Row],[考试日期]])*(表成绩单[英语]&lt;9E+307)*(表成绩单[英语]&gt;表成绩单[[#This Row],[英语]]))+1)</f>
        <v>330</v>
      </c>
      <c r="S1770" s="29" cm="1">
        <f t="array" ref="S1770">IF(表成绩单[[#This Row],[物理]]="","",SUMPRODUCT((表成绩单[考试日期]=表成绩单[[#This Row],[考试日期]])*(表成绩单[物理]&lt;9E+307)*(表成绩单[物理]&gt;表成绩单[[#This Row],[物理]]))+1)</f>
        <v>241</v>
      </c>
      <c r="T1770" s="29" cm="1">
        <f t="array" ref="T1770">IF(表成绩单[[#This Row],[化学]]="","",SUMPRODUCT((表成绩单[考试日期]=表成绩单[[#This Row],[考试日期]])*(表成绩单[化学]&lt;9E+307)*(表成绩单[化学]&gt;表成绩单[[#This Row],[化学]]))+1)</f>
        <v>93</v>
      </c>
      <c r="U1770" s="29" cm="1">
        <f t="array" ref="U1770">IF(表成绩单[[#This Row],[政治]]="","",SUMPRODUCT((表成绩单[考试日期]=表成绩单[[#This Row],[考试日期]])*(表成绩单[政治]&lt;9E+307)*(表成绩单[政治]&gt;表成绩单[[#This Row],[政治]]))+1)</f>
        <v>336</v>
      </c>
      <c r="V1770" s="29" cm="1">
        <f t="array" ref="V1770">IF(表成绩单[[#This Row],[历史]]="","",SUMPRODUCT((表成绩单[考试日期]=表成绩单[[#This Row],[考试日期]])*(表成绩单[历史]&lt;9E+307)*(表成绩单[历史]&gt;表成绩单[[#This Row],[历史]]))+1)</f>
        <v>83</v>
      </c>
      <c r="W1770" s="29" cm="1">
        <f t="array" ref="W1770">IF(表成绩单[[#This Row],[总分]]="","",SUMPRODUCT((表成绩单[考试日期]=表成绩单[[#This Row],[考试日期]])*(表成绩单[总分]&lt;9E+307)*(表成绩单[总分]&gt;表成绩单[[#This Row],[总分]]))+1)</f>
        <v>164</v>
      </c>
    </row>
    <row r="1771" ht="28" customHeight="1" spans="4:23">
      <c r="D1771" s="31">
        <v>46030</v>
      </c>
      <c r="E1771" s="29">
        <v>19173268</v>
      </c>
      <c r="F1771" s="29" t="s">
        <v>61</v>
      </c>
      <c r="G1771" s="29" t="s">
        <v>190</v>
      </c>
      <c r="H1771" s="29">
        <v>99</v>
      </c>
      <c r="I1771" s="29">
        <v>99</v>
      </c>
      <c r="J1771" s="29">
        <v>76</v>
      </c>
      <c r="K1771" s="29">
        <v>74</v>
      </c>
      <c r="L1771" s="29">
        <v>73</v>
      </c>
      <c r="M1771" s="29">
        <v>66</v>
      </c>
      <c r="N1771" s="29">
        <v>81</v>
      </c>
      <c r="O1771" s="32">
        <v>568</v>
      </c>
      <c r="P1771" s="29" cm="1">
        <f t="array" ref="P1771">IF(表成绩单[[#This Row],[语文]]="","",SUMPRODUCT((表成绩单[考试日期]=表成绩单[[#This Row],[考试日期]])*(表成绩单[语文]&lt;9E+307)*(表成绩单[语文]&gt;表成绩单[[#This Row],[语文]]))+1)</f>
        <v>213</v>
      </c>
      <c r="Q1771" s="29" cm="1">
        <f t="array" ref="Q1771">IF(表成绩单[[#This Row],[数学]]="","",SUMPRODUCT((表成绩单[考试日期]=表成绩单[[#This Row],[考试日期]])*(表成绩单[数学]&lt;9E+307)*(表成绩单[数学]&gt;表成绩单[[#This Row],[数学]]))+1)</f>
        <v>120</v>
      </c>
      <c r="R1771" s="29" cm="1">
        <f t="array" ref="R1771">IF(表成绩单[[#This Row],[英语]]="","",SUMPRODUCT((表成绩单[考试日期]=表成绩单[[#This Row],[考试日期]])*(表成绩单[英语]&lt;9E+307)*(表成绩单[英语]&gt;表成绩单[[#This Row],[英语]]))+1)</f>
        <v>126</v>
      </c>
      <c r="S1771" s="29" cm="1">
        <f t="array" ref="S1771">IF(表成绩单[[#This Row],[物理]]="","",SUMPRODUCT((表成绩单[考试日期]=表成绩单[[#This Row],[考试日期]])*(表成绩单[物理]&lt;9E+307)*(表成绩单[物理]&gt;表成绩单[[#This Row],[物理]]))+1)</f>
        <v>258</v>
      </c>
      <c r="T1771" s="29" cm="1">
        <f t="array" ref="T1771">IF(表成绩单[[#This Row],[化学]]="","",SUMPRODUCT((表成绩单[考试日期]=表成绩单[[#This Row],[考试日期]])*(表成绩单[化学]&lt;9E+307)*(表成绩单[化学]&gt;表成绩单[[#This Row],[化学]]))+1)</f>
        <v>236</v>
      </c>
      <c r="U1771" s="29" cm="1">
        <f t="array" ref="U1771">IF(表成绩单[[#This Row],[政治]]="","",SUMPRODUCT((表成绩单[考试日期]=表成绩单[[#This Row],[考试日期]])*(表成绩单[政治]&lt;9E+307)*(表成绩单[政治]&gt;表成绩单[[#This Row],[政治]]))+1)</f>
        <v>397</v>
      </c>
      <c r="V1771" s="29" cm="1">
        <f t="array" ref="V1771">IF(表成绩单[[#This Row],[历史]]="","",SUMPRODUCT((表成绩单[考试日期]=表成绩单[[#This Row],[考试日期]])*(表成绩单[历史]&lt;9E+307)*(表成绩单[历史]&gt;表成绩单[[#This Row],[历史]]))+1)</f>
        <v>60</v>
      </c>
      <c r="W1771" s="29" cm="1">
        <f t="array" ref="W1771">IF(表成绩单[[#This Row],[总分]]="","",SUMPRODUCT((表成绩单[考试日期]=表成绩单[[#This Row],[考试日期]])*(表成绩单[总分]&lt;9E+307)*(表成绩单[总分]&gt;表成绩单[[#This Row],[总分]]))+1)</f>
        <v>165</v>
      </c>
    </row>
    <row r="1772" ht="28" customHeight="1" spans="4:23">
      <c r="D1772" s="31">
        <v>46030</v>
      </c>
      <c r="E1772" s="29">
        <v>19174788</v>
      </c>
      <c r="F1772" s="29" t="s">
        <v>69</v>
      </c>
      <c r="G1772" s="29" t="s">
        <v>278</v>
      </c>
      <c r="H1772" s="29">
        <v>105</v>
      </c>
      <c r="I1772" s="29">
        <v>89</v>
      </c>
      <c r="J1772" s="29">
        <v>60</v>
      </c>
      <c r="K1772" s="29">
        <v>83</v>
      </c>
      <c r="L1772" s="29">
        <v>76</v>
      </c>
      <c r="M1772" s="29">
        <v>79</v>
      </c>
      <c r="N1772" s="29">
        <v>76</v>
      </c>
      <c r="O1772" s="32">
        <v>568</v>
      </c>
      <c r="P1772" s="29" cm="1">
        <f t="array" ref="P1772">IF(表成绩单[[#This Row],[语文]]="","",SUMPRODUCT((表成绩单[考试日期]=表成绩单[[#This Row],[考试日期]])*(表成绩单[语文]&lt;9E+307)*(表成绩单[语文]&gt;表成绩单[[#This Row],[语文]]))+1)</f>
        <v>62</v>
      </c>
      <c r="Q1772" s="29" cm="1">
        <f t="array" ref="Q1772">IF(表成绩单[[#This Row],[数学]]="","",SUMPRODUCT((表成绩单[考试日期]=表成绩单[[#This Row],[考试日期]])*(表成绩单[数学]&lt;9E+307)*(表成绩单[数学]&gt;表成绩单[[#This Row],[数学]]))+1)</f>
        <v>228</v>
      </c>
      <c r="R1772" s="29" cm="1">
        <f t="array" ref="R1772">IF(表成绩单[[#This Row],[英语]]="","",SUMPRODUCT((表成绩单[考试日期]=表成绩单[[#This Row],[考试日期]])*(表成绩单[英语]&lt;9E+307)*(表成绩单[英语]&gt;表成绩单[[#This Row],[英语]]))+1)</f>
        <v>524</v>
      </c>
      <c r="S1772" s="29" cm="1">
        <f t="array" ref="S1772">IF(表成绩单[[#This Row],[物理]]="","",SUMPRODUCT((表成绩单[考试日期]=表成绩单[[#This Row],[考试日期]])*(表成绩单[物理]&lt;9E+307)*(表成绩单[物理]&gt;表成绩单[[#This Row],[物理]]))+1)</f>
        <v>88</v>
      </c>
      <c r="T1772" s="29" cm="1">
        <f t="array" ref="T1772">IF(表成绩单[[#This Row],[化学]]="","",SUMPRODUCT((表成绩单[考试日期]=表成绩单[[#This Row],[考试日期]])*(表成绩单[化学]&lt;9E+307)*(表成绩单[化学]&gt;表成绩单[[#This Row],[化学]]))+1)</f>
        <v>139</v>
      </c>
      <c r="U1772" s="29" cm="1">
        <f t="array" ref="U1772">IF(表成绩单[[#This Row],[政治]]="","",SUMPRODUCT((表成绩单[考试日期]=表成绩单[[#This Row],[考试日期]])*(表成绩单[政治]&lt;9E+307)*(表成绩单[政治]&gt;表成绩单[[#This Row],[政治]]))+1)</f>
        <v>42</v>
      </c>
      <c r="V1772" s="29" cm="1">
        <f t="array" ref="V1772">IF(表成绩单[[#This Row],[历史]]="","",SUMPRODUCT((表成绩单[考试日期]=表成绩单[[#This Row],[考试日期]])*(表成绩单[历史]&lt;9E+307)*(表成绩单[历史]&gt;表成绩单[[#This Row],[历史]]))+1)</f>
        <v>169</v>
      </c>
      <c r="W1772" s="29" cm="1">
        <f t="array" ref="W1772">IF(表成绩单[[#This Row],[总分]]="","",SUMPRODUCT((表成绩单[考试日期]=表成绩单[[#This Row],[考试日期]])*(表成绩单[总分]&lt;9E+307)*(表成绩单[总分]&gt;表成绩单[[#This Row],[总分]]))+1)</f>
        <v>165</v>
      </c>
    </row>
    <row r="1773" ht="28" customHeight="1" spans="4:23">
      <c r="D1773" s="31">
        <v>46030</v>
      </c>
      <c r="E1773" s="29">
        <v>19173262</v>
      </c>
      <c r="F1773" s="29" t="s">
        <v>61</v>
      </c>
      <c r="G1773" s="29" t="s">
        <v>484</v>
      </c>
      <c r="H1773" s="29">
        <v>97</v>
      </c>
      <c r="I1773" s="29">
        <v>100</v>
      </c>
      <c r="J1773" s="29">
        <v>61</v>
      </c>
      <c r="K1773" s="29">
        <v>77</v>
      </c>
      <c r="L1773" s="29">
        <v>80</v>
      </c>
      <c r="M1773" s="29">
        <v>73</v>
      </c>
      <c r="N1773" s="29">
        <v>79</v>
      </c>
      <c r="O1773" s="32">
        <v>567</v>
      </c>
      <c r="P1773" s="29" cm="1">
        <f t="array" ref="P1773">IF(表成绩单[[#This Row],[语文]]="","",SUMPRODUCT((表成绩单[考试日期]=表成绩单[[#This Row],[考试日期]])*(表成绩单[语文]&lt;9E+307)*(表成绩单[语文]&gt;表成绩单[[#This Row],[语文]]))+1)</f>
        <v>291</v>
      </c>
      <c r="Q1773" s="29" cm="1">
        <f t="array" ref="Q1773">IF(表成绩单[[#This Row],[数学]]="","",SUMPRODUCT((表成绩单[考试日期]=表成绩单[[#This Row],[考试日期]])*(表成绩单[数学]&lt;9E+307)*(表成绩单[数学]&gt;表成绩单[[#This Row],[数学]]))+1)</f>
        <v>110</v>
      </c>
      <c r="R1773" s="29" cm="1">
        <f t="array" ref="R1773">IF(表成绩单[[#This Row],[英语]]="","",SUMPRODUCT((表成绩单[考试日期]=表成绩单[[#This Row],[考试日期]])*(表成绩单[英语]&lt;9E+307)*(表成绩单[英语]&gt;表成绩单[[#This Row],[英语]]))+1)</f>
        <v>507</v>
      </c>
      <c r="S1773" s="29" cm="1">
        <f t="array" ref="S1773">IF(表成绩单[[#This Row],[物理]]="","",SUMPRODUCT((表成绩单[考试日期]=表成绩单[[#This Row],[考试日期]])*(表成绩单[物理]&lt;9E+307)*(表成绩单[物理]&gt;表成绩单[[#This Row],[物理]]))+1)</f>
        <v>197</v>
      </c>
      <c r="T1773" s="29" cm="1">
        <f t="array" ref="T1773">IF(表成绩单[[#This Row],[化学]]="","",SUMPRODUCT((表成绩单[考试日期]=表成绩单[[#This Row],[考试日期]])*(表成绩单[化学]&lt;9E+307)*(表成绩单[化学]&gt;表成绩单[[#This Row],[化学]]))+1)</f>
        <v>60</v>
      </c>
      <c r="U1773" s="29" cm="1">
        <f t="array" ref="U1773">IF(表成绩单[[#This Row],[政治]]="","",SUMPRODUCT((表成绩单[考试日期]=表成绩单[[#This Row],[考试日期]])*(表成绩单[政治]&lt;9E+307)*(表成绩单[政治]&gt;表成绩单[[#This Row],[政治]]))+1)</f>
        <v>197</v>
      </c>
      <c r="V1773" s="29" cm="1">
        <f t="array" ref="V1773">IF(表成绩单[[#This Row],[历史]]="","",SUMPRODUCT((表成绩单[考试日期]=表成绩单[[#This Row],[考试日期]])*(表成绩单[历史]&lt;9E+307)*(表成绩单[历史]&gt;表成绩单[[#This Row],[历史]]))+1)</f>
        <v>104</v>
      </c>
      <c r="W1773" s="29" cm="1">
        <f t="array" ref="W1773">IF(表成绩单[[#This Row],[总分]]="","",SUMPRODUCT((表成绩单[考试日期]=表成绩单[[#This Row],[考试日期]])*(表成绩单[总分]&lt;9E+307)*(表成绩单[总分]&gt;表成绩单[[#This Row],[总分]]))+1)</f>
        <v>167</v>
      </c>
    </row>
    <row r="1774" ht="28" customHeight="1" spans="4:23">
      <c r="D1774" s="31">
        <v>46030</v>
      </c>
      <c r="E1774" s="29">
        <v>19174785</v>
      </c>
      <c r="F1774" s="29" t="s">
        <v>69</v>
      </c>
      <c r="G1774" s="29" t="s">
        <v>289</v>
      </c>
      <c r="H1774" s="29">
        <v>105</v>
      </c>
      <c r="I1774" s="29">
        <v>87</v>
      </c>
      <c r="J1774" s="29">
        <v>70</v>
      </c>
      <c r="K1774" s="29">
        <v>72</v>
      </c>
      <c r="L1774" s="29">
        <v>78</v>
      </c>
      <c r="M1774" s="29">
        <v>76</v>
      </c>
      <c r="N1774" s="29">
        <v>79</v>
      </c>
      <c r="O1774" s="32">
        <v>567</v>
      </c>
      <c r="P1774" s="29" cm="1">
        <f t="array" ref="P1774">IF(表成绩单[[#This Row],[语文]]="","",SUMPRODUCT((表成绩单[考试日期]=表成绩单[[#This Row],[考试日期]])*(表成绩单[语文]&lt;9E+307)*(表成绩单[语文]&gt;表成绩单[[#This Row],[语文]]))+1)</f>
        <v>62</v>
      </c>
      <c r="Q1774" s="29" cm="1">
        <f t="array" ref="Q1774">IF(表成绩单[[#This Row],[数学]]="","",SUMPRODUCT((表成绩单[考试日期]=表成绩单[[#This Row],[考试日期]])*(表成绩单[数学]&lt;9E+307)*(表成绩单[数学]&gt;表成绩单[[#This Row],[数学]]))+1)</f>
        <v>270</v>
      </c>
      <c r="R1774" s="29" cm="1">
        <f t="array" ref="R1774">IF(表成绩单[[#This Row],[英语]]="","",SUMPRODUCT((表成绩单[考试日期]=表成绩单[[#This Row],[考试日期]])*(表成绩单[英语]&lt;9E+307)*(表成绩单[英语]&gt;表成绩单[[#This Row],[英语]]))+1)</f>
        <v>319</v>
      </c>
      <c r="S1774" s="29" cm="1">
        <f t="array" ref="S1774">IF(表成绩单[[#This Row],[物理]]="","",SUMPRODUCT((表成绩单[考试日期]=表成绩单[[#This Row],[考试日期]])*(表成绩单[物理]&lt;9E+307)*(表成绩单[物理]&gt;表成绩单[[#This Row],[物理]]))+1)</f>
        <v>297</v>
      </c>
      <c r="T1774" s="29" cm="1">
        <f t="array" ref="T1774">IF(表成绩单[[#This Row],[化学]]="","",SUMPRODUCT((表成绩单[考试日期]=表成绩单[[#This Row],[考试日期]])*(表成绩单[化学]&lt;9E+307)*(表成绩单[化学]&gt;表成绩单[[#This Row],[化学]]))+1)</f>
        <v>93</v>
      </c>
      <c r="U1774" s="29" cm="1">
        <f t="array" ref="U1774">IF(表成绩单[[#This Row],[政治]]="","",SUMPRODUCT((表成绩单[考试日期]=表成绩单[[#This Row],[考试日期]])*(表成绩单[政治]&lt;9E+307)*(表成绩单[政治]&gt;表成绩单[[#This Row],[政治]]))+1)</f>
        <v>111</v>
      </c>
      <c r="V1774" s="29" cm="1">
        <f t="array" ref="V1774">IF(表成绩单[[#This Row],[历史]]="","",SUMPRODUCT((表成绩单[考试日期]=表成绩单[[#This Row],[考试日期]])*(表成绩单[历史]&lt;9E+307)*(表成绩单[历史]&gt;表成绩单[[#This Row],[历史]]))+1)</f>
        <v>104</v>
      </c>
      <c r="W1774" s="29" cm="1">
        <f t="array" ref="W1774">IF(表成绩单[[#This Row],[总分]]="","",SUMPRODUCT((表成绩单[考试日期]=表成绩单[[#This Row],[考试日期]])*(表成绩单[总分]&lt;9E+307)*(表成绩单[总分]&gt;表成绩单[[#This Row],[总分]]))+1)</f>
        <v>167</v>
      </c>
    </row>
    <row r="1775" ht="28" customHeight="1" spans="4:23">
      <c r="D1775" s="31">
        <v>46030</v>
      </c>
      <c r="E1775" s="29">
        <v>19175694</v>
      </c>
      <c r="F1775" s="29" t="s">
        <v>72</v>
      </c>
      <c r="G1775" s="29" t="s">
        <v>188</v>
      </c>
      <c r="H1775" s="29">
        <v>91</v>
      </c>
      <c r="I1775" s="29">
        <v>111</v>
      </c>
      <c r="J1775" s="29">
        <v>60</v>
      </c>
      <c r="K1775" s="29">
        <v>85</v>
      </c>
      <c r="L1775" s="29">
        <v>76</v>
      </c>
      <c r="M1775" s="29">
        <v>68</v>
      </c>
      <c r="N1775" s="29">
        <v>76</v>
      </c>
      <c r="O1775" s="32">
        <v>567</v>
      </c>
      <c r="P1775" s="29" cm="1">
        <f t="array" ref="P1775">IF(表成绩单[[#This Row],[语文]]="","",SUMPRODUCT((表成绩单[考试日期]=表成绩单[[#This Row],[考试日期]])*(表成绩单[语文]&lt;9E+307)*(表成绩单[语文]&gt;表成绩单[[#This Row],[语文]]))+1)</f>
        <v>478</v>
      </c>
      <c r="Q1775" s="29" cm="1">
        <f t="array" ref="Q1775">IF(表成绩单[[#This Row],[数学]]="","",SUMPRODUCT((表成绩单[考试日期]=表成绩单[[#This Row],[考试日期]])*(表成绩单[数学]&lt;9E+307)*(表成绩单[数学]&gt;表成绩单[[#This Row],[数学]]))+1)</f>
        <v>21</v>
      </c>
      <c r="R1775" s="29" cm="1">
        <f t="array" ref="R1775">IF(表成绩单[[#This Row],[英语]]="","",SUMPRODUCT((表成绩单[考试日期]=表成绩单[[#This Row],[考试日期]])*(表成绩单[英语]&lt;9E+307)*(表成绩单[英语]&gt;表成绩单[[#This Row],[英语]]))+1)</f>
        <v>524</v>
      </c>
      <c r="S1775" s="29" cm="1">
        <f t="array" ref="S1775">IF(表成绩单[[#This Row],[物理]]="","",SUMPRODUCT((表成绩单[考试日期]=表成绩单[[#This Row],[考试日期]])*(表成绩单[物理]&lt;9E+307)*(表成绩单[物理]&gt;表成绩单[[#This Row],[物理]]))+1)</f>
        <v>56</v>
      </c>
      <c r="T1775" s="29" cm="1">
        <f t="array" ref="T1775">IF(表成绩单[[#This Row],[化学]]="","",SUMPRODUCT((表成绩单[考试日期]=表成绩单[[#This Row],[考试日期]])*(表成绩单[化学]&lt;9E+307)*(表成绩单[化学]&gt;表成绩单[[#This Row],[化学]]))+1)</f>
        <v>139</v>
      </c>
      <c r="U1775" s="29" cm="1">
        <f t="array" ref="U1775">IF(表成绩单[[#This Row],[政治]]="","",SUMPRODUCT((表成绩单[考试日期]=表成绩单[[#This Row],[考试日期]])*(表成绩单[政治]&lt;9E+307)*(表成绩单[政治]&gt;表成绩单[[#This Row],[政治]]))+1)</f>
        <v>336</v>
      </c>
      <c r="V1775" s="29" cm="1">
        <f t="array" ref="V1775">IF(表成绩单[[#This Row],[历史]]="","",SUMPRODUCT((表成绩单[考试日期]=表成绩单[[#This Row],[考试日期]])*(表成绩单[历史]&lt;9E+307)*(表成绩单[历史]&gt;表成绩单[[#This Row],[历史]]))+1)</f>
        <v>169</v>
      </c>
      <c r="W1775" s="29" cm="1">
        <f t="array" ref="W1775">IF(表成绩单[[#This Row],[总分]]="","",SUMPRODUCT((表成绩单[考试日期]=表成绩单[[#This Row],[考试日期]])*(表成绩单[总分]&lt;9E+307)*(表成绩单[总分]&gt;表成绩单[[#This Row],[总分]]))+1)</f>
        <v>167</v>
      </c>
    </row>
    <row r="1776" ht="28" customHeight="1" spans="4:23">
      <c r="D1776" s="31">
        <v>46030</v>
      </c>
      <c r="E1776" s="29">
        <v>19177660</v>
      </c>
      <c r="F1776" s="29" t="s">
        <v>63</v>
      </c>
      <c r="G1776" s="29" t="s">
        <v>204</v>
      </c>
      <c r="H1776" s="29">
        <v>96</v>
      </c>
      <c r="I1776" s="29">
        <v>100</v>
      </c>
      <c r="J1776" s="29">
        <v>80</v>
      </c>
      <c r="K1776" s="29">
        <v>71</v>
      </c>
      <c r="L1776" s="29">
        <v>80</v>
      </c>
      <c r="M1776" s="29">
        <v>69</v>
      </c>
      <c r="N1776" s="29">
        <v>70</v>
      </c>
      <c r="O1776" s="32">
        <v>566</v>
      </c>
      <c r="P1776" s="29" cm="1">
        <f t="array" ref="P1776">IF(表成绩单[[#This Row],[语文]]="","",SUMPRODUCT((表成绩单[考试日期]=表成绩单[[#This Row],[考试日期]])*(表成绩单[语文]&lt;9E+307)*(表成绩单[语文]&gt;表成绩单[[#This Row],[语文]]))+1)</f>
        <v>315</v>
      </c>
      <c r="Q1776" s="29" cm="1">
        <f t="array" ref="Q1776">IF(表成绩单[[#This Row],[数学]]="","",SUMPRODUCT((表成绩单[考试日期]=表成绩单[[#This Row],[考试日期]])*(表成绩单[数学]&lt;9E+307)*(表成绩单[数学]&gt;表成绩单[[#This Row],[数学]]))+1)</f>
        <v>110</v>
      </c>
      <c r="R1776" s="29" cm="1">
        <f t="array" ref="R1776">IF(表成绩单[[#This Row],[英语]]="","",SUMPRODUCT((表成绩单[考试日期]=表成绩单[[#This Row],[考试日期]])*(表成绩单[英语]&lt;9E+307)*(表成绩单[英语]&gt;表成绩单[[#This Row],[英语]]))+1)</f>
        <v>27</v>
      </c>
      <c r="S1776" s="29" cm="1">
        <f t="array" ref="S1776">IF(表成绩单[[#This Row],[物理]]="","",SUMPRODUCT((表成绩单[考试日期]=表成绩单[[#This Row],[考试日期]])*(表成绩单[物理]&lt;9E+307)*(表成绩单[物理]&gt;表成绩单[[#This Row],[物理]]))+1)</f>
        <v>319</v>
      </c>
      <c r="T1776" s="29" cm="1">
        <f t="array" ref="T1776">IF(表成绩单[[#This Row],[化学]]="","",SUMPRODUCT((表成绩单[考试日期]=表成绩单[[#This Row],[考试日期]])*(表成绩单[化学]&lt;9E+307)*(表成绩单[化学]&gt;表成绩单[[#This Row],[化学]]))+1)</f>
        <v>60</v>
      </c>
      <c r="U1776" s="29" cm="1">
        <f t="array" ref="U1776">IF(表成绩单[[#This Row],[政治]]="","",SUMPRODUCT((表成绩单[考试日期]=表成绩单[[#This Row],[考试日期]])*(表成绩单[政治]&lt;9E+307)*(表成绩单[政治]&gt;表成绩单[[#This Row],[政治]]))+1)</f>
        <v>308</v>
      </c>
      <c r="V1776" s="29" cm="1">
        <f t="array" ref="V1776">IF(表成绩单[[#This Row],[历史]]="","",SUMPRODUCT((表成绩单[考试日期]=表成绩单[[#This Row],[考试日期]])*(表成绩单[历史]&lt;9E+307)*(表成绩单[历史]&gt;表成绩单[[#This Row],[历史]]))+1)</f>
        <v>328</v>
      </c>
      <c r="W1776" s="29" cm="1">
        <f t="array" ref="W1776">IF(表成绩单[[#This Row],[总分]]="","",SUMPRODUCT((表成绩单[考试日期]=表成绩单[[#This Row],[考试日期]])*(表成绩单[总分]&lt;9E+307)*(表成绩单[总分]&gt;表成绩单[[#This Row],[总分]]))+1)</f>
        <v>170</v>
      </c>
    </row>
    <row r="1777" ht="28" customHeight="1" spans="4:23">
      <c r="D1777" s="31">
        <v>46030</v>
      </c>
      <c r="E1777" s="29">
        <v>19167651</v>
      </c>
      <c r="F1777" s="29" t="s">
        <v>1</v>
      </c>
      <c r="G1777" s="29" t="s">
        <v>259</v>
      </c>
      <c r="H1777" s="29">
        <v>101</v>
      </c>
      <c r="I1777" s="29">
        <v>90</v>
      </c>
      <c r="J1777" s="29">
        <v>75.5</v>
      </c>
      <c r="K1777" s="29">
        <v>78</v>
      </c>
      <c r="L1777" s="29">
        <v>74</v>
      </c>
      <c r="M1777" s="29">
        <v>73</v>
      </c>
      <c r="N1777" s="29">
        <v>74</v>
      </c>
      <c r="O1777" s="32">
        <v>565.5</v>
      </c>
      <c r="P1777" s="29" cm="1">
        <f t="array" ref="P1777">IF(表成绩单[[#This Row],[语文]]="","",SUMPRODUCT((表成绩单[考试日期]=表成绩单[[#This Row],[考试日期]])*(表成绩单[语文]&lt;9E+307)*(表成绩单[语文]&gt;表成绩单[[#This Row],[语文]]))+1)</f>
        <v>159</v>
      </c>
      <c r="Q1777" s="29" cm="1">
        <f t="array" ref="Q1777">IF(表成绩单[[#This Row],[数学]]="","",SUMPRODUCT((表成绩单[考试日期]=表成绩单[[#This Row],[考试日期]])*(表成绩单[数学]&lt;9E+307)*(表成绩单[数学]&gt;表成绩单[[#This Row],[数学]]))+1)</f>
        <v>215</v>
      </c>
      <c r="R1777" s="29" cm="1">
        <f t="array" ref="R1777">IF(表成绩单[[#This Row],[英语]]="","",SUMPRODUCT((表成绩单[考试日期]=表成绩单[[#This Row],[考试日期]])*(表成绩单[英语]&lt;9E+307)*(表成绩单[英语]&gt;表成绩单[[#This Row],[英语]]))+1)</f>
        <v>145</v>
      </c>
      <c r="S1777" s="29" cm="1">
        <f t="array" ref="S1777">IF(表成绩单[[#This Row],[物理]]="","",SUMPRODUCT((表成绩单[考试日期]=表成绩单[[#This Row],[考试日期]])*(表成绩单[物理]&lt;9E+307)*(表成绩单[物理]&gt;表成绩单[[#This Row],[物理]]))+1)</f>
        <v>178</v>
      </c>
      <c r="T1777" s="29" cm="1">
        <f t="array" ref="T1777">IF(表成绩单[[#This Row],[化学]]="","",SUMPRODUCT((表成绩单[考试日期]=表成绩单[[#This Row],[考试日期]])*(表成绩单[化学]&lt;9E+307)*(表成绩单[化学]&gt;表成绩单[[#This Row],[化学]]))+1)</f>
        <v>208</v>
      </c>
      <c r="U1777" s="29" cm="1">
        <f t="array" ref="U1777">IF(表成绩单[[#This Row],[政治]]="","",SUMPRODUCT((表成绩单[考试日期]=表成绩单[[#This Row],[考试日期]])*(表成绩单[政治]&lt;9E+307)*(表成绩单[政治]&gt;表成绩单[[#This Row],[政治]]))+1)</f>
        <v>197</v>
      </c>
      <c r="V1777" s="29" cm="1">
        <f t="array" ref="V1777">IF(表成绩单[[#This Row],[历史]]="","",SUMPRODUCT((表成绩单[考试日期]=表成绩单[[#This Row],[考试日期]])*(表成绩单[历史]&lt;9E+307)*(表成绩单[历史]&gt;表成绩单[[#This Row],[历史]]))+1)</f>
        <v>215</v>
      </c>
      <c r="W1777" s="29" cm="1">
        <f t="array" ref="W1777">IF(表成绩单[[#This Row],[总分]]="","",SUMPRODUCT((表成绩单[考试日期]=表成绩单[[#This Row],[考试日期]])*(表成绩单[总分]&lt;9E+307)*(表成绩单[总分]&gt;表成绩单[[#This Row],[总分]]))+1)</f>
        <v>171</v>
      </c>
    </row>
    <row r="1778" ht="28" customHeight="1" spans="4:23">
      <c r="D1778" s="31">
        <v>46030</v>
      </c>
      <c r="E1778" s="29">
        <v>19174786</v>
      </c>
      <c r="F1778" s="29" t="s">
        <v>69</v>
      </c>
      <c r="G1778" s="29" t="s">
        <v>180</v>
      </c>
      <c r="H1778" s="29">
        <v>99</v>
      </c>
      <c r="I1778" s="29">
        <v>86</v>
      </c>
      <c r="J1778" s="29">
        <v>77.5</v>
      </c>
      <c r="K1778" s="29">
        <v>81</v>
      </c>
      <c r="L1778" s="29">
        <v>71</v>
      </c>
      <c r="M1778" s="29">
        <v>74</v>
      </c>
      <c r="N1778" s="29">
        <v>77</v>
      </c>
      <c r="O1778" s="32">
        <v>565.5</v>
      </c>
      <c r="P1778" s="29" cm="1">
        <f t="array" ref="P1778">IF(表成绩单[[#This Row],[语文]]="","",SUMPRODUCT((表成绩单[考试日期]=表成绩单[[#This Row],[考试日期]])*(表成绩单[语文]&lt;9E+307)*(表成绩单[语文]&gt;表成绩单[[#This Row],[语文]]))+1)</f>
        <v>213</v>
      </c>
      <c r="Q1778" s="29" cm="1">
        <f t="array" ref="Q1778">IF(表成绩单[[#This Row],[数学]]="","",SUMPRODUCT((表成绩单[考试日期]=表成绩单[[#This Row],[考试日期]])*(表成绩单[数学]&lt;9E+307)*(表成绩单[数学]&gt;表成绩单[[#This Row],[数学]]))+1)</f>
        <v>302</v>
      </c>
      <c r="R1778" s="29" cm="1">
        <f t="array" ref="R1778">IF(表成绩单[[#This Row],[英语]]="","",SUMPRODUCT((表成绩单[考试日期]=表成绩单[[#This Row],[考试日期]])*(表成绩单[英语]&lt;9E+307)*(表成绩单[英语]&gt;表成绩单[[#This Row],[英语]]))+1)</f>
        <v>89</v>
      </c>
      <c r="S1778" s="29" cm="1">
        <f t="array" ref="S1778">IF(表成绩单[[#This Row],[物理]]="","",SUMPRODUCT((表成绩单[考试日期]=表成绩单[[#This Row],[考试日期]])*(表成绩单[物理]&lt;9E+307)*(表成绩单[物理]&gt;表成绩单[[#This Row],[物理]]))+1)</f>
        <v>119</v>
      </c>
      <c r="T1778" s="29" cm="1">
        <f t="array" ref="T1778">IF(表成绩单[[#This Row],[化学]]="","",SUMPRODUCT((表成绩单[考试日期]=表成绩单[[#This Row],[考试日期]])*(表成绩单[化学]&lt;9E+307)*(表成绩单[化学]&gt;表成绩单[[#This Row],[化学]]))+1)</f>
        <v>297</v>
      </c>
      <c r="U1778" s="29" cm="1">
        <f t="array" ref="U1778">IF(表成绩单[[#This Row],[政治]]="","",SUMPRODUCT((表成绩单[考试日期]=表成绩单[[#This Row],[考试日期]])*(表成绩单[政治]&lt;9E+307)*(表成绩单[政治]&gt;表成绩单[[#This Row],[政治]]))+1)</f>
        <v>168</v>
      </c>
      <c r="V1778" s="29" cm="1">
        <f t="array" ref="V1778">IF(表成绩单[[#This Row],[历史]]="","",SUMPRODUCT((表成绩单[考试日期]=表成绩单[[#This Row],[考试日期]])*(表成绩单[历史]&lt;9E+307)*(表成绩单[历史]&gt;表成绩单[[#This Row],[历史]]))+1)</f>
        <v>148</v>
      </c>
      <c r="W1778" s="29" cm="1">
        <f t="array" ref="W1778">IF(表成绩单[[#This Row],[总分]]="","",SUMPRODUCT((表成绩单[考试日期]=表成绩单[[#This Row],[考试日期]])*(表成绩单[总分]&lt;9E+307)*(表成绩单[总分]&gt;表成绩单[[#This Row],[总分]]))+1)</f>
        <v>171</v>
      </c>
    </row>
    <row r="1779" ht="28" customHeight="1" spans="4:23">
      <c r="D1779" s="31">
        <v>46030</v>
      </c>
      <c r="E1779" s="29">
        <v>19175390</v>
      </c>
      <c r="F1779" s="29" t="s">
        <v>74</v>
      </c>
      <c r="G1779" s="29" t="s">
        <v>235</v>
      </c>
      <c r="H1779" s="29">
        <v>101</v>
      </c>
      <c r="I1779" s="29">
        <v>82</v>
      </c>
      <c r="J1779" s="29">
        <v>70</v>
      </c>
      <c r="K1779" s="29">
        <v>79</v>
      </c>
      <c r="L1779" s="29">
        <v>76</v>
      </c>
      <c r="M1779" s="29">
        <v>80</v>
      </c>
      <c r="N1779" s="29">
        <v>77</v>
      </c>
      <c r="O1779" s="32">
        <v>565</v>
      </c>
      <c r="P1779" s="29" cm="1">
        <f t="array" ref="P1779">IF(表成绩单[[#This Row],[语文]]="","",SUMPRODUCT((表成绩单[考试日期]=表成绩单[[#This Row],[考试日期]])*(表成绩单[语文]&lt;9E+307)*(表成绩单[语文]&gt;表成绩单[[#This Row],[语文]]))+1)</f>
        <v>159</v>
      </c>
      <c r="Q1779" s="29" cm="1">
        <f t="array" ref="Q1779">IF(表成绩单[[#This Row],[数学]]="","",SUMPRODUCT((表成绩单[考试日期]=表成绩单[[#This Row],[考试日期]])*(表成绩单[数学]&lt;9E+307)*(表成绩单[数学]&gt;表成绩单[[#This Row],[数学]]))+1)</f>
        <v>383</v>
      </c>
      <c r="R1779" s="29" cm="1">
        <f t="array" ref="R1779">IF(表成绩单[[#This Row],[英语]]="","",SUMPRODUCT((表成绩单[考试日期]=表成绩单[[#This Row],[考试日期]])*(表成绩单[英语]&lt;9E+307)*(表成绩单[英语]&gt;表成绩单[[#This Row],[英语]]))+1)</f>
        <v>319</v>
      </c>
      <c r="S1779" s="29" cm="1">
        <f t="array" ref="S1779">IF(表成绩单[[#This Row],[物理]]="","",SUMPRODUCT((表成绩单[考试日期]=表成绩单[[#This Row],[考试日期]])*(表成绩单[物理]&lt;9E+307)*(表成绩单[物理]&gt;表成绩单[[#This Row],[物理]]))+1)</f>
        <v>153</v>
      </c>
      <c r="T1779" s="29" cm="1">
        <f t="array" ref="T1779">IF(表成绩单[[#This Row],[化学]]="","",SUMPRODUCT((表成绩单[考试日期]=表成绩单[[#This Row],[考试日期]])*(表成绩单[化学]&lt;9E+307)*(表成绩单[化学]&gt;表成绩单[[#This Row],[化学]]))+1)</f>
        <v>139</v>
      </c>
      <c r="U1779" s="29" cm="1">
        <f t="array" ref="U1779">IF(表成绩单[[#This Row],[政治]]="","",SUMPRODUCT((表成绩单[考试日期]=表成绩单[[#This Row],[考试日期]])*(表成绩单[政治]&lt;9E+307)*(表成绩单[政治]&gt;表成绩单[[#This Row],[政治]]))+1)</f>
        <v>28</v>
      </c>
      <c r="V1779" s="29" cm="1">
        <f t="array" ref="V1779">IF(表成绩单[[#This Row],[历史]]="","",SUMPRODUCT((表成绩单[考试日期]=表成绩单[[#This Row],[考试日期]])*(表成绩单[历史]&lt;9E+307)*(表成绩单[历史]&gt;表成绩单[[#This Row],[历史]]))+1)</f>
        <v>148</v>
      </c>
      <c r="W1779" s="29" cm="1">
        <f t="array" ref="W1779">IF(表成绩单[[#This Row],[总分]]="","",SUMPRODUCT((表成绩单[考试日期]=表成绩单[[#This Row],[考试日期]])*(表成绩单[总分]&lt;9E+307)*(表成绩单[总分]&gt;表成绩单[[#This Row],[总分]]))+1)</f>
        <v>173</v>
      </c>
    </row>
    <row r="1780" ht="28" customHeight="1" spans="4:23">
      <c r="D1780" s="31">
        <v>46030</v>
      </c>
      <c r="E1780" s="29">
        <v>19176175</v>
      </c>
      <c r="F1780" s="29" t="s">
        <v>67</v>
      </c>
      <c r="G1780" s="29" t="s">
        <v>276</v>
      </c>
      <c r="H1780" s="29">
        <v>93</v>
      </c>
      <c r="I1780" s="29">
        <v>90</v>
      </c>
      <c r="J1780" s="29">
        <v>75</v>
      </c>
      <c r="K1780" s="29">
        <v>86</v>
      </c>
      <c r="L1780" s="29">
        <v>81</v>
      </c>
      <c r="M1780" s="29">
        <v>66</v>
      </c>
      <c r="N1780" s="29">
        <v>74</v>
      </c>
      <c r="O1780" s="32">
        <v>565</v>
      </c>
      <c r="P1780" s="29" cm="1">
        <f t="array" ref="P1780">IF(表成绩单[[#This Row],[语文]]="","",SUMPRODUCT((表成绩单[考试日期]=表成绩单[[#This Row],[考试日期]])*(表成绩单[语文]&lt;9E+307)*(表成绩单[语文]&gt;表成绩单[[#This Row],[语文]]))+1)</f>
        <v>412</v>
      </c>
      <c r="Q1780" s="29" cm="1">
        <f t="array" ref="Q1780">IF(表成绩单[[#This Row],[数学]]="","",SUMPRODUCT((表成绩单[考试日期]=表成绩单[[#This Row],[考试日期]])*(表成绩单[数学]&lt;9E+307)*(表成绩单[数学]&gt;表成绩单[[#This Row],[数学]]))+1)</f>
        <v>215</v>
      </c>
      <c r="R1780" s="29" cm="1">
        <f t="array" ref="R1780">IF(表成绩单[[#This Row],[英语]]="","",SUMPRODUCT((表成绩单[考试日期]=表成绩单[[#This Row],[考试日期]])*(表成绩单[英语]&lt;9E+307)*(表成绩单[英语]&gt;表成绩单[[#This Row],[英语]]))+1)</f>
        <v>164</v>
      </c>
      <c r="S1780" s="29" cm="1">
        <f t="array" ref="S1780">IF(表成绩单[[#This Row],[物理]]="","",SUMPRODUCT((表成绩单[考试日期]=表成绩单[[#This Row],[考试日期]])*(表成绩单[物理]&lt;9E+307)*(表成绩单[物理]&gt;表成绩单[[#This Row],[物理]]))+1)</f>
        <v>42</v>
      </c>
      <c r="T1780" s="29" cm="1">
        <f t="array" ref="T1780">IF(表成绩单[[#This Row],[化学]]="","",SUMPRODUCT((表成绩单[考试日期]=表成绩单[[#This Row],[考试日期]])*(表成绩单[化学]&lt;9E+307)*(表成绩单[化学]&gt;表成绩单[[#This Row],[化学]]))+1)</f>
        <v>43</v>
      </c>
      <c r="U1780" s="29" cm="1">
        <f t="array" ref="U1780">IF(表成绩单[[#This Row],[政治]]="","",SUMPRODUCT((表成绩单[考试日期]=表成绩单[[#This Row],[考试日期]])*(表成绩单[政治]&lt;9E+307)*(表成绩单[政治]&gt;表成绩单[[#This Row],[政治]]))+1)</f>
        <v>397</v>
      </c>
      <c r="V1780" s="29" cm="1">
        <f t="array" ref="V1780">IF(表成绩单[[#This Row],[历史]]="","",SUMPRODUCT((表成绩单[考试日期]=表成绩单[[#This Row],[考试日期]])*(表成绩单[历史]&lt;9E+307)*(表成绩单[历史]&gt;表成绩单[[#This Row],[历史]]))+1)</f>
        <v>215</v>
      </c>
      <c r="W1780" s="29" cm="1">
        <f t="array" ref="W1780">IF(表成绩单[[#This Row],[总分]]="","",SUMPRODUCT((表成绩单[考试日期]=表成绩单[[#This Row],[考试日期]])*(表成绩单[总分]&lt;9E+307)*(表成绩单[总分]&gt;表成绩单[[#This Row],[总分]]))+1)</f>
        <v>173</v>
      </c>
    </row>
    <row r="1781" ht="28" customHeight="1" spans="4:23">
      <c r="D1781" s="31">
        <v>46030</v>
      </c>
      <c r="E1781" s="29">
        <v>19176853</v>
      </c>
      <c r="F1781" s="29" t="s">
        <v>71</v>
      </c>
      <c r="G1781" s="29" t="s">
        <v>256</v>
      </c>
      <c r="H1781" s="29">
        <v>94</v>
      </c>
      <c r="I1781" s="29">
        <v>105</v>
      </c>
      <c r="J1781" s="29">
        <v>74.5</v>
      </c>
      <c r="K1781" s="29">
        <v>80</v>
      </c>
      <c r="L1781" s="29">
        <v>74</v>
      </c>
      <c r="M1781" s="29">
        <v>66</v>
      </c>
      <c r="N1781" s="29">
        <v>71</v>
      </c>
      <c r="O1781" s="32">
        <v>564.5</v>
      </c>
      <c r="P1781" s="29" cm="1">
        <f t="array" ref="P1781">IF(表成绩单[[#This Row],[语文]]="","",SUMPRODUCT((表成绩单[考试日期]=表成绩单[[#This Row],[考试日期]])*(表成绩单[语文]&lt;9E+307)*(表成绩单[语文]&gt;表成绩单[[#This Row],[语文]]))+1)</f>
        <v>381</v>
      </c>
      <c r="Q1781" s="29" cm="1">
        <f t="array" ref="Q1781">IF(表成绩单[[#This Row],[数学]]="","",SUMPRODUCT((表成绩单[考试日期]=表成绩单[[#This Row],[考试日期]])*(表成绩单[数学]&lt;9E+307)*(表成绩单[数学]&gt;表成绩单[[#This Row],[数学]]))+1)</f>
        <v>64</v>
      </c>
      <c r="R1781" s="29" cm="1">
        <f t="array" ref="R1781">IF(表成绩单[[#This Row],[英语]]="","",SUMPRODUCT((表成绩单[考试日期]=表成绩单[[#This Row],[考试日期]])*(表成绩单[英语]&lt;9E+307)*(表成绩单[英语]&gt;表成绩单[[#This Row],[英语]]))+1)</f>
        <v>181</v>
      </c>
      <c r="S1781" s="29" cm="1">
        <f t="array" ref="S1781">IF(表成绩单[[#This Row],[物理]]="","",SUMPRODUCT((表成绩单[考试日期]=表成绩单[[#This Row],[考试日期]])*(表成绩单[物理]&lt;9E+307)*(表成绩单[物理]&gt;表成绩单[[#This Row],[物理]]))+1)</f>
        <v>137</v>
      </c>
      <c r="T1781" s="29" cm="1">
        <f t="array" ref="T1781">IF(表成绩单[[#This Row],[化学]]="","",SUMPRODUCT((表成绩单[考试日期]=表成绩单[[#This Row],[考试日期]])*(表成绩单[化学]&lt;9E+307)*(表成绩单[化学]&gt;表成绩单[[#This Row],[化学]]))+1)</f>
        <v>208</v>
      </c>
      <c r="U1781" s="29" cm="1">
        <f t="array" ref="U1781">IF(表成绩单[[#This Row],[政治]]="","",SUMPRODUCT((表成绩单[考试日期]=表成绩单[[#This Row],[考试日期]])*(表成绩单[政治]&lt;9E+307)*(表成绩单[政治]&gt;表成绩单[[#This Row],[政治]]))+1)</f>
        <v>397</v>
      </c>
      <c r="V1781" s="29" cm="1">
        <f t="array" ref="V1781">IF(表成绩单[[#This Row],[历史]]="","",SUMPRODUCT((表成绩单[考试日期]=表成绩单[[#This Row],[考试日期]])*(表成绩单[历史]&lt;9E+307)*(表成绩单[历史]&gt;表成绩单[[#This Row],[历史]]))+1)</f>
        <v>297</v>
      </c>
      <c r="W1781" s="29" cm="1">
        <f t="array" ref="W1781">IF(表成绩单[[#This Row],[总分]]="","",SUMPRODUCT((表成绩单[考试日期]=表成绩单[[#This Row],[考试日期]])*(表成绩单[总分]&lt;9E+307)*(表成绩单[总分]&gt;表成绩单[[#This Row],[总分]]))+1)</f>
        <v>175</v>
      </c>
    </row>
    <row r="1782" ht="28" customHeight="1" spans="4:23">
      <c r="D1782" s="31">
        <v>46030</v>
      </c>
      <c r="E1782" s="29">
        <v>19174442</v>
      </c>
      <c r="F1782" s="29" t="s">
        <v>73</v>
      </c>
      <c r="G1782" s="29" t="s">
        <v>288</v>
      </c>
      <c r="H1782" s="29">
        <v>101</v>
      </c>
      <c r="I1782" s="29">
        <v>84</v>
      </c>
      <c r="J1782" s="29">
        <v>79</v>
      </c>
      <c r="K1782" s="29">
        <v>73</v>
      </c>
      <c r="L1782" s="29">
        <v>76</v>
      </c>
      <c r="M1782" s="29">
        <v>67</v>
      </c>
      <c r="N1782" s="29">
        <v>84</v>
      </c>
      <c r="O1782" s="32">
        <v>564</v>
      </c>
      <c r="P1782" s="29" cm="1">
        <f t="array" ref="P1782">IF(表成绩单[[#This Row],[语文]]="","",SUMPRODUCT((表成绩单[考试日期]=表成绩单[[#This Row],[考试日期]])*(表成绩单[语文]&lt;9E+307)*(表成绩单[语文]&gt;表成绩单[[#This Row],[语文]]))+1)</f>
        <v>159</v>
      </c>
      <c r="Q1782" s="29" cm="1">
        <f t="array" ref="Q1782">IF(表成绩单[[#This Row],[数学]]="","",SUMPRODUCT((表成绩单[考试日期]=表成绩单[[#This Row],[考试日期]])*(表成绩单[数学]&lt;9E+307)*(表成绩单[数学]&gt;表成绩单[[#This Row],[数学]]))+1)</f>
        <v>343</v>
      </c>
      <c r="R1782" s="29" cm="1">
        <f t="array" ref="R1782">IF(表成绩单[[#This Row],[英语]]="","",SUMPRODUCT((表成绩单[考试日期]=表成绩单[[#This Row],[考试日期]])*(表成绩单[英语]&lt;9E+307)*(表成绩单[英语]&gt;表成绩单[[#This Row],[英语]]))+1)</f>
        <v>50</v>
      </c>
      <c r="S1782" s="29" cm="1">
        <f t="array" ref="S1782">IF(表成绩单[[#This Row],[物理]]="","",SUMPRODUCT((表成绩单[考试日期]=表成绩单[[#This Row],[考试日期]])*(表成绩单[物理]&lt;9E+307)*(表成绩单[物理]&gt;表成绩单[[#This Row],[物理]]))+1)</f>
        <v>271</v>
      </c>
      <c r="T1782" s="29" cm="1">
        <f t="array" ref="T1782">IF(表成绩单[[#This Row],[化学]]="","",SUMPRODUCT((表成绩单[考试日期]=表成绩单[[#This Row],[考试日期]])*(表成绩单[化学]&lt;9E+307)*(表成绩单[化学]&gt;表成绩单[[#This Row],[化学]]))+1)</f>
        <v>139</v>
      </c>
      <c r="U1782" s="29" cm="1">
        <f t="array" ref="U1782">IF(表成绩单[[#This Row],[政治]]="","",SUMPRODUCT((表成绩单[考试日期]=表成绩单[[#This Row],[考试日期]])*(表成绩单[政治]&lt;9E+307)*(表成绩单[政治]&gt;表成绩单[[#This Row],[政治]]))+1)</f>
        <v>370</v>
      </c>
      <c r="V1782" s="29" cm="1">
        <f t="array" ref="V1782">IF(表成绩单[[#This Row],[历史]]="","",SUMPRODUCT((表成绩单[考试日期]=表成绩单[[#This Row],[考试日期]])*(表成绩单[历史]&lt;9E+307)*(表成绩单[历史]&gt;表成绩单[[#This Row],[历史]]))+1)</f>
        <v>26</v>
      </c>
      <c r="W1782" s="29" cm="1">
        <f t="array" ref="W1782">IF(表成绩单[[#This Row],[总分]]="","",SUMPRODUCT((表成绩单[考试日期]=表成绩单[[#This Row],[考试日期]])*(表成绩单[总分]&lt;9E+307)*(表成绩单[总分]&gt;表成绩单[[#This Row],[总分]]))+1)</f>
        <v>176</v>
      </c>
    </row>
    <row r="1783" ht="28" customHeight="1" spans="4:23">
      <c r="D1783" s="31">
        <v>46030</v>
      </c>
      <c r="E1783" s="29">
        <v>19175313</v>
      </c>
      <c r="F1783" s="29" t="s">
        <v>55</v>
      </c>
      <c r="G1783" s="29" t="s">
        <v>365</v>
      </c>
      <c r="H1783" s="29">
        <v>103</v>
      </c>
      <c r="I1783" s="29">
        <v>86</v>
      </c>
      <c r="J1783" s="29">
        <v>69</v>
      </c>
      <c r="K1783" s="29">
        <v>83</v>
      </c>
      <c r="L1783" s="29">
        <v>77</v>
      </c>
      <c r="M1783" s="29">
        <v>66</v>
      </c>
      <c r="N1783" s="29">
        <v>80</v>
      </c>
      <c r="O1783" s="32">
        <v>564</v>
      </c>
      <c r="P1783" s="29" cm="1">
        <f t="array" ref="P1783">IF(表成绩单[[#This Row],[语文]]="","",SUMPRODUCT((表成绩单[考试日期]=表成绩单[[#This Row],[考试日期]])*(表成绩单[语文]&lt;9E+307)*(表成绩单[语文]&gt;表成绩单[[#This Row],[语文]]))+1)</f>
        <v>105</v>
      </c>
      <c r="Q1783" s="29" cm="1">
        <f t="array" ref="Q1783">IF(表成绩单[[#This Row],[数学]]="","",SUMPRODUCT((表成绩单[考试日期]=表成绩单[[#This Row],[考试日期]])*(表成绩单[数学]&lt;9E+307)*(表成绩单[数学]&gt;表成绩单[[#This Row],[数学]]))+1)</f>
        <v>302</v>
      </c>
      <c r="R1783" s="29" cm="1">
        <f t="array" ref="R1783">IF(表成绩单[[#This Row],[英语]]="","",SUMPRODUCT((表成绩单[考试日期]=表成绩单[[#This Row],[考试日期]])*(表成绩单[英语]&lt;9E+307)*(表成绩单[英语]&gt;表成绩单[[#This Row],[英语]]))+1)</f>
        <v>342</v>
      </c>
      <c r="S1783" s="29" cm="1">
        <f t="array" ref="S1783">IF(表成绩单[[#This Row],[物理]]="","",SUMPRODUCT((表成绩单[考试日期]=表成绩单[[#This Row],[考试日期]])*(表成绩单[物理]&lt;9E+307)*(表成绩单[物理]&gt;表成绩单[[#This Row],[物理]]))+1)</f>
        <v>88</v>
      </c>
      <c r="T1783" s="29" cm="1">
        <f t="array" ref="T1783">IF(表成绩单[[#This Row],[化学]]="","",SUMPRODUCT((表成绩单[考试日期]=表成绩单[[#This Row],[考试日期]])*(表成绩单[化学]&lt;9E+307)*(表成绩单[化学]&gt;表成绩单[[#This Row],[化学]]))+1)</f>
        <v>116</v>
      </c>
      <c r="U1783" s="29" cm="1">
        <f t="array" ref="U1783">IF(表成绩单[[#This Row],[政治]]="","",SUMPRODUCT((表成绩单[考试日期]=表成绩单[[#This Row],[考试日期]])*(表成绩单[政治]&lt;9E+307)*(表成绩单[政治]&gt;表成绩单[[#This Row],[政治]]))+1)</f>
        <v>397</v>
      </c>
      <c r="V1783" s="29" cm="1">
        <f t="array" ref="V1783">IF(表成绩单[[#This Row],[历史]]="","",SUMPRODUCT((表成绩单[考试日期]=表成绩单[[#This Row],[考试日期]])*(表成绩单[历史]&lt;9E+307)*(表成绩单[历史]&gt;表成绩单[[#This Row],[历史]]))+1)</f>
        <v>83</v>
      </c>
      <c r="W1783" s="29" cm="1">
        <f t="array" ref="W1783">IF(表成绩单[[#This Row],[总分]]="","",SUMPRODUCT((表成绩单[考试日期]=表成绩单[[#This Row],[考试日期]])*(表成绩单[总分]&lt;9E+307)*(表成绩单[总分]&gt;表成绩单[[#This Row],[总分]]))+1)</f>
        <v>176</v>
      </c>
    </row>
    <row r="1784" ht="28" customHeight="1" spans="4:23">
      <c r="D1784" s="31">
        <v>46030</v>
      </c>
      <c r="E1784" s="29">
        <v>19175419</v>
      </c>
      <c r="F1784" s="29" t="s">
        <v>74</v>
      </c>
      <c r="G1784" s="29" t="s">
        <v>222</v>
      </c>
      <c r="H1784" s="29">
        <v>104</v>
      </c>
      <c r="I1784" s="29">
        <v>78</v>
      </c>
      <c r="J1784" s="29">
        <v>71</v>
      </c>
      <c r="K1784" s="29">
        <v>76</v>
      </c>
      <c r="L1784" s="29">
        <v>73</v>
      </c>
      <c r="M1784" s="29">
        <v>76</v>
      </c>
      <c r="N1784" s="29">
        <v>86</v>
      </c>
      <c r="O1784" s="32">
        <v>564</v>
      </c>
      <c r="P1784" s="29" cm="1">
        <f t="array" ref="P1784">IF(表成绩单[[#This Row],[语文]]="","",SUMPRODUCT((表成绩单[考试日期]=表成绩单[[#This Row],[考试日期]])*(表成绩单[语文]&lt;9E+307)*(表成绩单[语文]&gt;表成绩单[[#This Row],[语文]]))+1)</f>
        <v>82</v>
      </c>
      <c r="Q1784" s="29" cm="1">
        <f t="array" ref="Q1784">IF(表成绩单[[#This Row],[数学]]="","",SUMPRODUCT((表成绩单[考试日期]=表成绩单[[#This Row],[考试日期]])*(表成绩单[数学]&lt;9E+307)*(表成绩单[数学]&gt;表成绩单[[#This Row],[数学]]))+1)</f>
        <v>450</v>
      </c>
      <c r="R1784" s="29" cm="1">
        <f t="array" ref="R1784">IF(表成绩单[[#This Row],[英语]]="","",SUMPRODUCT((表成绩单[考试日期]=表成绩单[[#This Row],[考试日期]])*(表成绩单[英语]&lt;9E+307)*(表成绩单[英语]&gt;表成绩单[[#This Row],[英语]]))+1)</f>
        <v>281</v>
      </c>
      <c r="S1784" s="29" cm="1">
        <f t="array" ref="S1784">IF(表成绩单[[#This Row],[物理]]="","",SUMPRODUCT((表成绩单[考试日期]=表成绩单[[#This Row],[考试日期]])*(表成绩单[物理]&lt;9E+307)*(表成绩单[物理]&gt;表成绩单[[#This Row],[物理]]))+1)</f>
        <v>218</v>
      </c>
      <c r="T1784" s="29" cm="1">
        <f t="array" ref="T1784">IF(表成绩单[[#This Row],[化学]]="","",SUMPRODUCT((表成绩单[考试日期]=表成绩单[[#This Row],[考试日期]])*(表成绩单[化学]&lt;9E+307)*(表成绩单[化学]&gt;表成绩单[[#This Row],[化学]]))+1)</f>
        <v>236</v>
      </c>
      <c r="U1784" s="29" cm="1">
        <f t="array" ref="U1784">IF(表成绩单[[#This Row],[政治]]="","",SUMPRODUCT((表成绩单[考试日期]=表成绩单[[#This Row],[考试日期]])*(表成绩单[政治]&lt;9E+307)*(表成绩单[政治]&gt;表成绩单[[#This Row],[政治]]))+1)</f>
        <v>111</v>
      </c>
      <c r="V1784" s="29" cm="1">
        <f t="array" ref="V1784">IF(表成绩单[[#This Row],[历史]]="","",SUMPRODUCT((表成绩单[考试日期]=表成绩单[[#This Row],[考试日期]])*(表成绩单[历史]&lt;9E+307)*(表成绩单[历史]&gt;表成绩单[[#This Row],[历史]]))+1)</f>
        <v>10</v>
      </c>
      <c r="W1784" s="29" cm="1">
        <f t="array" ref="W1784">IF(表成绩单[[#This Row],[总分]]="","",SUMPRODUCT((表成绩单[考试日期]=表成绩单[[#This Row],[考试日期]])*(表成绩单[总分]&lt;9E+307)*(表成绩单[总分]&gt;表成绩单[[#This Row],[总分]]))+1)</f>
        <v>176</v>
      </c>
    </row>
    <row r="1785" ht="28" customHeight="1" spans="4:23">
      <c r="D1785" s="31">
        <v>46030</v>
      </c>
      <c r="E1785" s="29">
        <v>19178606</v>
      </c>
      <c r="F1785" s="29" t="s">
        <v>64</v>
      </c>
      <c r="G1785" s="29" t="s">
        <v>318</v>
      </c>
      <c r="H1785" s="29">
        <v>103</v>
      </c>
      <c r="I1785" s="29">
        <v>97</v>
      </c>
      <c r="J1785" s="29">
        <v>59</v>
      </c>
      <c r="K1785" s="29">
        <v>89</v>
      </c>
      <c r="L1785" s="29">
        <v>75</v>
      </c>
      <c r="M1785" s="29">
        <v>68</v>
      </c>
      <c r="N1785" s="29">
        <v>73</v>
      </c>
      <c r="O1785" s="32">
        <v>564</v>
      </c>
      <c r="P1785" s="29" cm="1">
        <f t="array" ref="P1785">IF(表成绩单[[#This Row],[语文]]="","",SUMPRODUCT((表成绩单[考试日期]=表成绩单[[#This Row],[考试日期]])*(表成绩单[语文]&lt;9E+307)*(表成绩单[语文]&gt;表成绩单[[#This Row],[语文]]))+1)</f>
        <v>105</v>
      </c>
      <c r="Q1785" s="29" cm="1">
        <f t="array" ref="Q1785">IF(表成绩单[[#This Row],[数学]]="","",SUMPRODUCT((表成绩单[考试日期]=表成绩单[[#This Row],[考试日期]])*(表成绩单[数学]&lt;9E+307)*(表成绩单[数学]&gt;表成绩单[[#This Row],[数学]]))+1)</f>
        <v>142</v>
      </c>
      <c r="R1785" s="29" cm="1">
        <f t="array" ref="R1785">IF(表成绩单[[#This Row],[英语]]="","",SUMPRODUCT((表成绩单[考试日期]=表成绩单[[#This Row],[考试日期]])*(表成绩单[英语]&lt;9E+307)*(表成绩单[英语]&gt;表成绩单[[#This Row],[英语]]))+1)</f>
        <v>538</v>
      </c>
      <c r="S1785" s="29" cm="1">
        <f t="array" ref="S1785">IF(表成绩单[[#This Row],[物理]]="","",SUMPRODUCT((表成绩单[考试日期]=表成绩单[[#This Row],[考试日期]])*(表成绩单[物理]&lt;9E+307)*(表成绩单[物理]&gt;表成绩单[[#This Row],[物理]]))+1)</f>
        <v>11</v>
      </c>
      <c r="T1785" s="29" cm="1">
        <f t="array" ref="T1785">IF(表成绩单[[#This Row],[化学]]="","",SUMPRODUCT((表成绩单[考试日期]=表成绩单[[#This Row],[考试日期]])*(表成绩单[化学]&lt;9E+307)*(表成绩单[化学]&gt;表成绩单[[#This Row],[化学]]))+1)</f>
        <v>169</v>
      </c>
      <c r="U1785" s="29" cm="1">
        <f t="array" ref="U1785">IF(表成绩单[[#This Row],[政治]]="","",SUMPRODUCT((表成绩单[考试日期]=表成绩单[[#This Row],[考试日期]])*(表成绩单[政治]&lt;9E+307)*(表成绩单[政治]&gt;表成绩单[[#This Row],[政治]]))+1)</f>
        <v>336</v>
      </c>
      <c r="V1785" s="29" cm="1">
        <f t="array" ref="V1785">IF(表成绩单[[#This Row],[历史]]="","",SUMPRODUCT((表成绩单[考试日期]=表成绩单[[#This Row],[考试日期]])*(表成绩单[历史]&lt;9E+307)*(表成绩单[历史]&gt;表成绩单[[#This Row],[历史]]))+1)</f>
        <v>240</v>
      </c>
      <c r="W1785" s="29" cm="1">
        <f t="array" ref="W1785">IF(表成绩单[[#This Row],[总分]]="","",SUMPRODUCT((表成绩单[考试日期]=表成绩单[[#This Row],[考试日期]])*(表成绩单[总分]&lt;9E+307)*(表成绩单[总分]&gt;表成绩单[[#This Row],[总分]]))+1)</f>
        <v>176</v>
      </c>
    </row>
    <row r="1786" ht="28" customHeight="1" spans="4:23">
      <c r="D1786" s="31">
        <v>46030</v>
      </c>
      <c r="E1786" s="29">
        <v>19171084</v>
      </c>
      <c r="F1786" s="29" t="s">
        <v>67</v>
      </c>
      <c r="G1786" s="29" t="s">
        <v>178</v>
      </c>
      <c r="H1786" s="29">
        <v>103</v>
      </c>
      <c r="I1786" s="29">
        <v>87</v>
      </c>
      <c r="J1786" s="29">
        <v>76</v>
      </c>
      <c r="K1786" s="29">
        <v>78</v>
      </c>
      <c r="L1786" s="29">
        <v>71</v>
      </c>
      <c r="M1786" s="29">
        <v>69</v>
      </c>
      <c r="N1786" s="29">
        <v>79</v>
      </c>
      <c r="O1786" s="32">
        <v>563</v>
      </c>
      <c r="P1786" s="29" cm="1">
        <f t="array" ref="P1786">IF(表成绩单[[#This Row],[语文]]="","",SUMPRODUCT((表成绩单[考试日期]=表成绩单[[#This Row],[考试日期]])*(表成绩单[语文]&lt;9E+307)*(表成绩单[语文]&gt;表成绩单[[#This Row],[语文]]))+1)</f>
        <v>105</v>
      </c>
      <c r="Q1786" s="29" cm="1">
        <f t="array" ref="Q1786">IF(表成绩单[[#This Row],[数学]]="","",SUMPRODUCT((表成绩单[考试日期]=表成绩单[[#This Row],[考试日期]])*(表成绩单[数学]&lt;9E+307)*(表成绩单[数学]&gt;表成绩单[[#This Row],[数学]]))+1)</f>
        <v>270</v>
      </c>
      <c r="R1786" s="29" cm="1">
        <f t="array" ref="R1786">IF(表成绩单[[#This Row],[英语]]="","",SUMPRODUCT((表成绩单[考试日期]=表成绩单[[#This Row],[考试日期]])*(表成绩单[英语]&lt;9E+307)*(表成绩单[英语]&gt;表成绩单[[#This Row],[英语]]))+1)</f>
        <v>126</v>
      </c>
      <c r="S1786" s="29" cm="1">
        <f t="array" ref="S1786">IF(表成绩单[[#This Row],[物理]]="","",SUMPRODUCT((表成绩单[考试日期]=表成绩单[[#This Row],[考试日期]])*(表成绩单[物理]&lt;9E+307)*(表成绩单[物理]&gt;表成绩单[[#This Row],[物理]]))+1)</f>
        <v>178</v>
      </c>
      <c r="T1786" s="29" cm="1">
        <f t="array" ref="T1786">IF(表成绩单[[#This Row],[化学]]="","",SUMPRODUCT((表成绩单[考试日期]=表成绩单[[#This Row],[考试日期]])*(表成绩单[化学]&lt;9E+307)*(表成绩单[化学]&gt;表成绩单[[#This Row],[化学]]))+1)</f>
        <v>297</v>
      </c>
      <c r="U1786" s="29" cm="1">
        <f t="array" ref="U1786">IF(表成绩单[[#This Row],[政治]]="","",SUMPRODUCT((表成绩单[考试日期]=表成绩单[[#This Row],[考试日期]])*(表成绩单[政治]&lt;9E+307)*(表成绩单[政治]&gt;表成绩单[[#This Row],[政治]]))+1)</f>
        <v>308</v>
      </c>
      <c r="V1786" s="29" cm="1">
        <f t="array" ref="V1786">IF(表成绩单[[#This Row],[历史]]="","",SUMPRODUCT((表成绩单[考试日期]=表成绩单[[#This Row],[考试日期]])*(表成绩单[历史]&lt;9E+307)*(表成绩单[历史]&gt;表成绩单[[#This Row],[历史]]))+1)</f>
        <v>104</v>
      </c>
      <c r="W1786" s="29" cm="1">
        <f t="array" ref="W1786">IF(表成绩单[[#This Row],[总分]]="","",SUMPRODUCT((表成绩单[考试日期]=表成绩单[[#This Row],[考试日期]])*(表成绩单[总分]&lt;9E+307)*(表成绩单[总分]&gt;表成绩单[[#This Row],[总分]]))+1)</f>
        <v>180</v>
      </c>
    </row>
    <row r="1787" ht="28" customHeight="1" spans="4:23">
      <c r="D1787" s="31">
        <v>46030</v>
      </c>
      <c r="E1787" s="29">
        <v>19174807</v>
      </c>
      <c r="F1787" s="29" t="s">
        <v>69</v>
      </c>
      <c r="G1787" s="29" t="s">
        <v>280</v>
      </c>
      <c r="H1787" s="29">
        <v>102</v>
      </c>
      <c r="I1787" s="29">
        <v>89</v>
      </c>
      <c r="J1787" s="29">
        <v>73</v>
      </c>
      <c r="K1787" s="29">
        <v>71</v>
      </c>
      <c r="L1787" s="29">
        <v>76</v>
      </c>
      <c r="M1787" s="29">
        <v>77</v>
      </c>
      <c r="N1787" s="29">
        <v>75</v>
      </c>
      <c r="O1787" s="32">
        <v>563</v>
      </c>
      <c r="P1787" s="29" cm="1">
        <f t="array" ref="P1787">IF(表成绩单[[#This Row],[语文]]="","",SUMPRODUCT((表成绩单[考试日期]=表成绩单[[#This Row],[考试日期]])*(表成绩单[语文]&lt;9E+307)*(表成绩单[语文]&gt;表成绩单[[#This Row],[语文]]))+1)</f>
        <v>132</v>
      </c>
      <c r="Q1787" s="29" cm="1">
        <f t="array" ref="Q1787">IF(表成绩单[[#This Row],[数学]]="","",SUMPRODUCT((表成绩单[考试日期]=表成绩单[[#This Row],[考试日期]])*(表成绩单[数学]&lt;9E+307)*(表成绩单[数学]&gt;表成绩单[[#This Row],[数学]]))+1)</f>
        <v>228</v>
      </c>
      <c r="R1787" s="29" cm="1">
        <f t="array" ref="R1787">IF(表成绩单[[#This Row],[英语]]="","",SUMPRODUCT((表成绩单[考试日期]=表成绩单[[#This Row],[考试日期]])*(表成绩单[英语]&lt;9E+307)*(表成绩单[英语]&gt;表成绩单[[#This Row],[英语]]))+1)</f>
        <v>222</v>
      </c>
      <c r="S1787" s="29" cm="1">
        <f t="array" ref="S1787">IF(表成绩单[[#This Row],[物理]]="","",SUMPRODUCT((表成绩单[考试日期]=表成绩单[[#This Row],[考试日期]])*(表成绩单[物理]&lt;9E+307)*(表成绩单[物理]&gt;表成绩单[[#This Row],[物理]]))+1)</f>
        <v>319</v>
      </c>
      <c r="T1787" s="29" cm="1">
        <f t="array" ref="T1787">IF(表成绩单[[#This Row],[化学]]="","",SUMPRODUCT((表成绩单[考试日期]=表成绩单[[#This Row],[考试日期]])*(表成绩单[化学]&lt;9E+307)*(表成绩单[化学]&gt;表成绩单[[#This Row],[化学]]))+1)</f>
        <v>139</v>
      </c>
      <c r="U1787" s="29" cm="1">
        <f t="array" ref="U1787">IF(表成绩单[[#This Row],[政治]]="","",SUMPRODUCT((表成绩单[考试日期]=表成绩单[[#This Row],[考试日期]])*(表成绩单[政治]&lt;9E+307)*(表成绩单[政治]&gt;表成绩单[[#This Row],[政治]]))+1)</f>
        <v>88</v>
      </c>
      <c r="V1787" s="29" cm="1">
        <f t="array" ref="V1787">IF(表成绩单[[#This Row],[历史]]="","",SUMPRODUCT((表成绩单[考试日期]=表成绩单[[#This Row],[考试日期]])*(表成绩单[历史]&lt;9E+307)*(表成绩单[历史]&gt;表成绩单[[#This Row],[历史]]))+1)</f>
        <v>193</v>
      </c>
      <c r="W1787" s="29" cm="1">
        <f t="array" ref="W1787">IF(表成绩单[[#This Row],[总分]]="","",SUMPRODUCT((表成绩单[考试日期]=表成绩单[[#This Row],[考试日期]])*(表成绩单[总分]&lt;9E+307)*(表成绩单[总分]&gt;表成绩单[[#This Row],[总分]]))+1)</f>
        <v>180</v>
      </c>
    </row>
    <row r="1788" ht="28" customHeight="1" spans="4:23">
      <c r="D1788" s="31">
        <v>46030</v>
      </c>
      <c r="E1788" s="29">
        <v>19176158</v>
      </c>
      <c r="F1788" s="29" t="s">
        <v>67</v>
      </c>
      <c r="G1788" s="29" t="s">
        <v>237</v>
      </c>
      <c r="H1788" s="29">
        <v>106</v>
      </c>
      <c r="I1788" s="29">
        <v>97</v>
      </c>
      <c r="J1788" s="29">
        <v>72</v>
      </c>
      <c r="K1788" s="29">
        <v>78</v>
      </c>
      <c r="L1788" s="29">
        <v>65</v>
      </c>
      <c r="M1788" s="29">
        <v>75</v>
      </c>
      <c r="N1788" s="29">
        <v>70</v>
      </c>
      <c r="O1788" s="32">
        <v>563</v>
      </c>
      <c r="P1788" s="29" cm="1">
        <f t="array" ref="P1788">IF(表成绩单[[#This Row],[语文]]="","",SUMPRODUCT((表成绩单[考试日期]=表成绩单[[#This Row],[考试日期]])*(表成绩单[语文]&lt;9E+307)*(表成绩单[语文]&gt;表成绩单[[#This Row],[语文]]))+1)</f>
        <v>50</v>
      </c>
      <c r="Q1788" s="29" cm="1">
        <f t="array" ref="Q1788">IF(表成绩单[[#This Row],[数学]]="","",SUMPRODUCT((表成绩单[考试日期]=表成绩单[[#This Row],[考试日期]])*(表成绩单[数学]&lt;9E+307)*(表成绩单[数学]&gt;表成绩单[[#This Row],[数学]]))+1)</f>
        <v>142</v>
      </c>
      <c r="R1788" s="29" cm="1">
        <f t="array" ref="R1788">IF(表成绩单[[#This Row],[英语]]="","",SUMPRODUCT((表成绩单[考试日期]=表成绩单[[#This Row],[考试日期]])*(表成绩单[英语]&lt;9E+307)*(表成绩单[英语]&gt;表成绩单[[#This Row],[英语]]))+1)</f>
        <v>258</v>
      </c>
      <c r="S1788" s="29" cm="1">
        <f t="array" ref="S1788">IF(表成绩单[[#This Row],[物理]]="","",SUMPRODUCT((表成绩单[考试日期]=表成绩单[[#This Row],[考试日期]])*(表成绩单[物理]&lt;9E+307)*(表成绩单[物理]&gt;表成绩单[[#This Row],[物理]]))+1)</f>
        <v>178</v>
      </c>
      <c r="T1788" s="29" cm="1">
        <f t="array" ref="T1788">IF(表成绩单[[#This Row],[化学]]="","",SUMPRODUCT((表成绩单[考试日期]=表成绩单[[#This Row],[考试日期]])*(表成绩单[化学]&lt;9E+307)*(表成绩单[化学]&gt;表成绩单[[#This Row],[化学]]))+1)</f>
        <v>439</v>
      </c>
      <c r="U1788" s="29" cm="1">
        <f t="array" ref="U1788">IF(表成绩单[[#This Row],[政治]]="","",SUMPRODUCT((表成绩单[考试日期]=表成绩单[[#This Row],[考试日期]])*(表成绩单[政治]&lt;9E+307)*(表成绩单[政治]&gt;表成绩单[[#This Row],[政治]]))+1)</f>
        <v>137</v>
      </c>
      <c r="V1788" s="29" cm="1">
        <f t="array" ref="V1788">IF(表成绩单[[#This Row],[历史]]="","",SUMPRODUCT((表成绩单[考试日期]=表成绩单[[#This Row],[考试日期]])*(表成绩单[历史]&lt;9E+307)*(表成绩单[历史]&gt;表成绩单[[#This Row],[历史]]))+1)</f>
        <v>328</v>
      </c>
      <c r="W1788" s="29" cm="1">
        <f t="array" ref="W1788">IF(表成绩单[[#This Row],[总分]]="","",SUMPRODUCT((表成绩单[考试日期]=表成绩单[[#This Row],[考试日期]])*(表成绩单[总分]&lt;9E+307)*(表成绩单[总分]&gt;表成绩单[[#This Row],[总分]]))+1)</f>
        <v>180</v>
      </c>
    </row>
    <row r="1789" ht="28" customHeight="1" spans="4:23">
      <c r="D1789" s="31">
        <v>46030</v>
      </c>
      <c r="E1789" s="29">
        <v>19177625</v>
      </c>
      <c r="F1789" s="29" t="s">
        <v>58</v>
      </c>
      <c r="G1789" s="29" t="s">
        <v>244</v>
      </c>
      <c r="H1789" s="29">
        <v>103</v>
      </c>
      <c r="I1789" s="29">
        <v>99</v>
      </c>
      <c r="J1789" s="29">
        <v>62</v>
      </c>
      <c r="K1789" s="29">
        <v>78</v>
      </c>
      <c r="L1789" s="29">
        <v>68</v>
      </c>
      <c r="M1789" s="29">
        <v>68</v>
      </c>
      <c r="N1789" s="29">
        <v>85</v>
      </c>
      <c r="O1789" s="32">
        <v>563</v>
      </c>
      <c r="P1789" s="29" cm="1">
        <f t="array" ref="P1789">IF(表成绩单[[#This Row],[语文]]="","",SUMPRODUCT((表成绩单[考试日期]=表成绩单[[#This Row],[考试日期]])*(表成绩单[语文]&lt;9E+307)*(表成绩单[语文]&gt;表成绩单[[#This Row],[语文]]))+1)</f>
        <v>105</v>
      </c>
      <c r="Q1789" s="29" cm="1">
        <f t="array" ref="Q1789">IF(表成绩单[[#This Row],[数学]]="","",SUMPRODUCT((表成绩单[考试日期]=表成绩单[[#This Row],[考试日期]])*(表成绩单[数学]&lt;9E+307)*(表成绩单[数学]&gt;表成绩单[[#This Row],[数学]]))+1)</f>
        <v>120</v>
      </c>
      <c r="R1789" s="29" cm="1">
        <f t="array" ref="R1789">IF(表成绩单[[#This Row],[英语]]="","",SUMPRODUCT((表成绩单[考试日期]=表成绩单[[#This Row],[考试日期]])*(表成绩单[英语]&lt;9E+307)*(表成绩单[英语]&gt;表成绩单[[#This Row],[英语]]))+1)</f>
        <v>490</v>
      </c>
      <c r="S1789" s="29" cm="1">
        <f t="array" ref="S1789">IF(表成绩单[[#This Row],[物理]]="","",SUMPRODUCT((表成绩单[考试日期]=表成绩单[[#This Row],[考试日期]])*(表成绩单[物理]&lt;9E+307)*(表成绩单[物理]&gt;表成绩单[[#This Row],[物理]]))+1)</f>
        <v>178</v>
      </c>
      <c r="T1789" s="29" cm="1">
        <f t="array" ref="T1789">IF(表成绩单[[#This Row],[化学]]="","",SUMPRODUCT((表成绩单[考试日期]=表成绩单[[#This Row],[考试日期]])*(表成绩单[化学]&lt;9E+307)*(表成绩单[化学]&gt;表成绩单[[#This Row],[化学]]))+1)</f>
        <v>358</v>
      </c>
      <c r="U1789" s="29" cm="1">
        <f t="array" ref="U1789">IF(表成绩单[[#This Row],[政治]]="","",SUMPRODUCT((表成绩单[考试日期]=表成绩单[[#This Row],[考试日期]])*(表成绩单[政治]&lt;9E+307)*(表成绩单[政治]&gt;表成绩单[[#This Row],[政治]]))+1)</f>
        <v>336</v>
      </c>
      <c r="V1789" s="29" cm="1">
        <f t="array" ref="V1789">IF(表成绩单[[#This Row],[历史]]="","",SUMPRODUCT((表成绩单[考试日期]=表成绩单[[#This Row],[考试日期]])*(表成绩单[历史]&lt;9E+307)*(表成绩单[历史]&gt;表成绩单[[#This Row],[历史]]))+1)</f>
        <v>18</v>
      </c>
      <c r="W1789" s="29" cm="1">
        <f t="array" ref="W1789">IF(表成绩单[[#This Row],[总分]]="","",SUMPRODUCT((表成绩单[考试日期]=表成绩单[[#This Row],[考试日期]])*(表成绩单[总分]&lt;9E+307)*(表成绩单[总分]&gt;表成绩单[[#This Row],[总分]]))+1)</f>
        <v>180</v>
      </c>
    </row>
    <row r="1790" ht="28" customHeight="1" spans="4:23">
      <c r="D1790" s="31">
        <v>46030</v>
      </c>
      <c r="E1790" s="29">
        <v>19175668</v>
      </c>
      <c r="F1790" s="29" t="s">
        <v>66</v>
      </c>
      <c r="G1790" s="29" t="s">
        <v>270</v>
      </c>
      <c r="H1790" s="29">
        <v>107</v>
      </c>
      <c r="I1790" s="29">
        <v>87</v>
      </c>
      <c r="J1790" s="29">
        <v>77.5</v>
      </c>
      <c r="K1790" s="29">
        <v>68</v>
      </c>
      <c r="L1790" s="29">
        <v>77</v>
      </c>
      <c r="M1790" s="29">
        <v>71</v>
      </c>
      <c r="N1790" s="29">
        <v>75</v>
      </c>
      <c r="O1790" s="32">
        <v>562.5</v>
      </c>
      <c r="P1790" s="29" cm="1">
        <f t="array" ref="P1790">IF(表成绩单[[#This Row],[语文]]="","",SUMPRODUCT((表成绩单[考试日期]=表成绩单[[#This Row],[考试日期]])*(表成绩单[语文]&lt;9E+307)*(表成绩单[语文]&gt;表成绩单[[#This Row],[语文]]))+1)</f>
        <v>38</v>
      </c>
      <c r="Q1790" s="29" cm="1">
        <f t="array" ref="Q1790">IF(表成绩单[[#This Row],[数学]]="","",SUMPRODUCT((表成绩单[考试日期]=表成绩单[[#This Row],[考试日期]])*(表成绩单[数学]&lt;9E+307)*(表成绩单[数学]&gt;表成绩单[[#This Row],[数学]]))+1)</f>
        <v>270</v>
      </c>
      <c r="R1790" s="29" cm="1">
        <f t="array" ref="R1790">IF(表成绩单[[#This Row],[英语]]="","",SUMPRODUCT((表成绩单[考试日期]=表成绩单[[#This Row],[考试日期]])*(表成绩单[英语]&lt;9E+307)*(表成绩单[英语]&gt;表成绩单[[#This Row],[英语]]))+1)</f>
        <v>89</v>
      </c>
      <c r="S1790" s="29" cm="1">
        <f t="array" ref="S1790">IF(表成绩单[[#This Row],[物理]]="","",SUMPRODUCT((表成绩单[考试日期]=表成绩单[[#This Row],[考试日期]])*(表成绩单[物理]&lt;9E+307)*(表成绩单[物理]&gt;表成绩单[[#This Row],[物理]]))+1)</f>
        <v>372</v>
      </c>
      <c r="T1790" s="29" cm="1">
        <f t="array" ref="T1790">IF(表成绩单[[#This Row],[化学]]="","",SUMPRODUCT((表成绩单[考试日期]=表成绩单[[#This Row],[考试日期]])*(表成绩单[化学]&lt;9E+307)*(表成绩单[化学]&gt;表成绩单[[#This Row],[化学]]))+1)</f>
        <v>116</v>
      </c>
      <c r="U1790" s="29" cm="1">
        <f t="array" ref="U1790">IF(表成绩单[[#This Row],[政治]]="","",SUMPRODUCT((表成绩单[考试日期]=表成绩单[[#This Row],[考试日期]])*(表成绩单[政治]&lt;9E+307)*(表成绩单[政治]&gt;表成绩单[[#This Row],[政治]]))+1)</f>
        <v>248</v>
      </c>
      <c r="V1790" s="29" cm="1">
        <f t="array" ref="V1790">IF(表成绩单[[#This Row],[历史]]="","",SUMPRODUCT((表成绩单[考试日期]=表成绩单[[#This Row],[考试日期]])*(表成绩单[历史]&lt;9E+307)*(表成绩单[历史]&gt;表成绩单[[#This Row],[历史]]))+1)</f>
        <v>193</v>
      </c>
      <c r="W1790" s="29" cm="1">
        <f t="array" ref="W1790">IF(表成绩单[[#This Row],[总分]]="","",SUMPRODUCT((表成绩单[考试日期]=表成绩单[[#This Row],[考试日期]])*(表成绩单[总分]&lt;9E+307)*(表成绩单[总分]&gt;表成绩单[[#This Row],[总分]]))+1)</f>
        <v>184</v>
      </c>
    </row>
    <row r="1791" ht="28" customHeight="1" spans="4:23">
      <c r="D1791" s="31">
        <v>46030</v>
      </c>
      <c r="E1791" s="29">
        <v>19177209</v>
      </c>
      <c r="F1791" s="29" t="s">
        <v>70</v>
      </c>
      <c r="G1791" s="29" t="s">
        <v>245</v>
      </c>
      <c r="H1791" s="29">
        <v>102</v>
      </c>
      <c r="I1791" s="29">
        <v>96</v>
      </c>
      <c r="J1791" s="29">
        <v>70.5</v>
      </c>
      <c r="K1791" s="29">
        <v>75</v>
      </c>
      <c r="L1791" s="29">
        <v>70</v>
      </c>
      <c r="M1791" s="29">
        <v>76</v>
      </c>
      <c r="N1791" s="29">
        <v>73</v>
      </c>
      <c r="O1791" s="32">
        <v>562.5</v>
      </c>
      <c r="P1791" s="29" cm="1">
        <f t="array" ref="P1791">IF(表成绩单[[#This Row],[语文]]="","",SUMPRODUCT((表成绩单[考试日期]=表成绩单[[#This Row],[考试日期]])*(表成绩单[语文]&lt;9E+307)*(表成绩单[语文]&gt;表成绩单[[#This Row],[语文]]))+1)</f>
        <v>132</v>
      </c>
      <c r="Q1791" s="29" cm="1">
        <f t="array" ref="Q1791">IF(表成绩单[[#This Row],[数学]]="","",SUMPRODUCT((表成绩单[考试日期]=表成绩单[[#This Row],[考试日期]])*(表成绩单[数学]&lt;9E+307)*(表成绩单[数学]&gt;表成绩单[[#This Row],[数学]]))+1)</f>
        <v>154</v>
      </c>
      <c r="R1791" s="29" cm="1">
        <f t="array" ref="R1791">IF(表成绩单[[#This Row],[英语]]="","",SUMPRODUCT((表成绩单[考试日期]=表成绩单[[#This Row],[考试日期]])*(表成绩单[英语]&lt;9E+307)*(表成绩单[英语]&gt;表成绩单[[#This Row],[英语]]))+1)</f>
        <v>299</v>
      </c>
      <c r="S1791" s="29" cm="1">
        <f t="array" ref="S1791">IF(表成绩单[[#This Row],[物理]]="","",SUMPRODUCT((表成绩单[考试日期]=表成绩单[[#This Row],[考试日期]])*(表成绩单[物理]&lt;9E+307)*(表成绩单[物理]&gt;表成绩单[[#This Row],[物理]]))+1)</f>
        <v>241</v>
      </c>
      <c r="T1791" s="29" cm="1">
        <f t="array" ref="T1791">IF(表成绩单[[#This Row],[化学]]="","",SUMPRODUCT((表成绩单[考试日期]=表成绩单[[#This Row],[考试日期]])*(表成绩单[化学]&lt;9E+307)*(表成绩单[化学]&gt;表成绩单[[#This Row],[化学]]))+1)</f>
        <v>318</v>
      </c>
      <c r="U1791" s="29" cm="1">
        <f t="array" ref="U1791">IF(表成绩单[[#This Row],[政治]]="","",SUMPRODUCT((表成绩单[考试日期]=表成绩单[[#This Row],[考试日期]])*(表成绩单[政治]&lt;9E+307)*(表成绩单[政治]&gt;表成绩单[[#This Row],[政治]]))+1)</f>
        <v>111</v>
      </c>
      <c r="V1791" s="29" cm="1">
        <f t="array" ref="V1791">IF(表成绩单[[#This Row],[历史]]="","",SUMPRODUCT((表成绩单[考试日期]=表成绩单[[#This Row],[考试日期]])*(表成绩单[历史]&lt;9E+307)*(表成绩单[历史]&gt;表成绩单[[#This Row],[历史]]))+1)</f>
        <v>240</v>
      </c>
      <c r="W1791" s="29" cm="1">
        <f t="array" ref="W1791">IF(表成绩单[[#This Row],[总分]]="","",SUMPRODUCT((表成绩单[考试日期]=表成绩单[[#This Row],[考试日期]])*(表成绩单[总分]&lt;9E+307)*(表成绩单[总分]&gt;表成绩单[[#This Row],[总分]]))+1)</f>
        <v>184</v>
      </c>
    </row>
    <row r="1792" ht="28" customHeight="1" spans="4:23">
      <c r="D1792" s="31">
        <v>46030</v>
      </c>
      <c r="E1792" s="29">
        <v>19174438</v>
      </c>
      <c r="F1792" s="29" t="s">
        <v>73</v>
      </c>
      <c r="G1792" s="29" t="s">
        <v>179</v>
      </c>
      <c r="H1792" s="29">
        <v>110</v>
      </c>
      <c r="I1792" s="29">
        <v>85</v>
      </c>
      <c r="J1792" s="29">
        <v>77</v>
      </c>
      <c r="K1792" s="29">
        <v>77</v>
      </c>
      <c r="L1792" s="29">
        <v>67</v>
      </c>
      <c r="M1792" s="29">
        <v>69</v>
      </c>
      <c r="N1792" s="29">
        <v>77</v>
      </c>
      <c r="O1792" s="32">
        <v>562</v>
      </c>
      <c r="P1792" s="29" cm="1">
        <f t="array" ref="P1792">IF(表成绩单[[#This Row],[语文]]="","",SUMPRODUCT((表成绩单[考试日期]=表成绩单[[#This Row],[考试日期]])*(表成绩单[语文]&lt;9E+307)*(表成绩单[语文]&gt;表成绩单[[#This Row],[语文]]))+1)</f>
        <v>14</v>
      </c>
      <c r="Q1792" s="29" cm="1">
        <f t="array" ref="Q1792">IF(表成绩单[[#This Row],[数学]]="","",SUMPRODUCT((表成绩单[考试日期]=表成绩单[[#This Row],[考试日期]])*(表成绩单[数学]&lt;9E+307)*(表成绩单[数学]&gt;表成绩单[[#This Row],[数学]]))+1)</f>
        <v>325</v>
      </c>
      <c r="R1792" s="29" cm="1">
        <f t="array" ref="R1792">IF(表成绩单[[#This Row],[英语]]="","",SUMPRODUCT((表成绩单[考试日期]=表成绩单[[#This Row],[考试日期]])*(表成绩单[英语]&lt;9E+307)*(表成绩单[英语]&gt;表成绩单[[#This Row],[英语]]))+1)</f>
        <v>107</v>
      </c>
      <c r="S1792" s="29" cm="1">
        <f t="array" ref="S1792">IF(表成绩单[[#This Row],[物理]]="","",SUMPRODUCT((表成绩单[考试日期]=表成绩单[[#This Row],[考试日期]])*(表成绩单[物理]&lt;9E+307)*(表成绩单[物理]&gt;表成绩单[[#This Row],[物理]]))+1)</f>
        <v>197</v>
      </c>
      <c r="T1792" s="29" cm="1">
        <f t="array" ref="T1792">IF(表成绩单[[#This Row],[化学]]="","",SUMPRODUCT((表成绩单[考试日期]=表成绩单[[#This Row],[考试日期]])*(表成绩单[化学]&lt;9E+307)*(表成绩单[化学]&gt;表成绩单[[#This Row],[化学]]))+1)</f>
        <v>381</v>
      </c>
      <c r="U1792" s="29" cm="1">
        <f t="array" ref="U1792">IF(表成绩单[[#This Row],[政治]]="","",SUMPRODUCT((表成绩单[考试日期]=表成绩单[[#This Row],[考试日期]])*(表成绩单[政治]&lt;9E+307)*(表成绩单[政治]&gt;表成绩单[[#This Row],[政治]]))+1)</f>
        <v>308</v>
      </c>
      <c r="V1792" s="29" cm="1">
        <f t="array" ref="V1792">IF(表成绩单[[#This Row],[历史]]="","",SUMPRODUCT((表成绩单[考试日期]=表成绩单[[#This Row],[考试日期]])*(表成绩单[历史]&lt;9E+307)*(表成绩单[历史]&gt;表成绩单[[#This Row],[历史]]))+1)</f>
        <v>148</v>
      </c>
      <c r="W1792" s="29" cm="1">
        <f t="array" ref="W1792">IF(表成绩单[[#This Row],[总分]]="","",SUMPRODUCT((表成绩单[考试日期]=表成绩单[[#This Row],[考试日期]])*(表成绩单[总分]&lt;9E+307)*(表成绩单[总分]&gt;表成绩单[[#This Row],[总分]]))+1)</f>
        <v>186</v>
      </c>
    </row>
    <row r="1793" ht="28" customHeight="1" spans="4:23">
      <c r="D1793" s="31">
        <v>46030</v>
      </c>
      <c r="E1793" s="29">
        <v>19175672</v>
      </c>
      <c r="F1793" s="29" t="s">
        <v>72</v>
      </c>
      <c r="G1793" s="29" t="s">
        <v>194</v>
      </c>
      <c r="H1793" s="29">
        <v>98</v>
      </c>
      <c r="I1793" s="29">
        <v>103</v>
      </c>
      <c r="J1793" s="29">
        <v>67.5</v>
      </c>
      <c r="K1793" s="29">
        <v>72</v>
      </c>
      <c r="L1793" s="29">
        <v>75</v>
      </c>
      <c r="M1793" s="29">
        <v>73</v>
      </c>
      <c r="N1793" s="29">
        <v>73</v>
      </c>
      <c r="O1793" s="32">
        <v>561.5</v>
      </c>
      <c r="P1793" s="29" cm="1">
        <f t="array" ref="P1793">IF(表成绩单[[#This Row],[语文]]="","",SUMPRODUCT((表成绩单[考试日期]=表成绩单[[#This Row],[考试日期]])*(表成绩单[语文]&lt;9E+307)*(表成绩单[语文]&gt;表成绩单[[#This Row],[语文]]))+1)</f>
        <v>248</v>
      </c>
      <c r="Q1793" s="29" cm="1">
        <f t="array" ref="Q1793">IF(表成绩单[[#This Row],[数学]]="","",SUMPRODUCT((表成绩单[考试日期]=表成绩单[[#This Row],[考试日期]])*(表成绩单[数学]&lt;9E+307)*(表成绩单[数学]&gt;表成绩单[[#This Row],[数学]]))+1)</f>
        <v>86</v>
      </c>
      <c r="R1793" s="29" cm="1">
        <f t="array" ref="R1793">IF(表成绩单[[#This Row],[英语]]="","",SUMPRODUCT((表成绩单[考试日期]=表成绩单[[#This Row],[考试日期]])*(表成绩单[英语]&lt;9E+307)*(表成绩单[英语]&gt;表成绩单[[#This Row],[英语]]))+1)</f>
        <v>377</v>
      </c>
      <c r="S1793" s="29" cm="1">
        <f t="array" ref="S1793">IF(表成绩单[[#This Row],[物理]]="","",SUMPRODUCT((表成绩单[考试日期]=表成绩单[[#This Row],[考试日期]])*(表成绩单[物理]&lt;9E+307)*(表成绩单[物理]&gt;表成绩单[[#This Row],[物理]]))+1)</f>
        <v>297</v>
      </c>
      <c r="T1793" s="29" cm="1">
        <f t="array" ref="T1793">IF(表成绩单[[#This Row],[化学]]="","",SUMPRODUCT((表成绩单[考试日期]=表成绩单[[#This Row],[考试日期]])*(表成绩单[化学]&lt;9E+307)*(表成绩单[化学]&gt;表成绩单[[#This Row],[化学]]))+1)</f>
        <v>169</v>
      </c>
      <c r="U1793" s="29" cm="1">
        <f t="array" ref="U1793">IF(表成绩单[[#This Row],[政治]]="","",SUMPRODUCT((表成绩单[考试日期]=表成绩单[[#This Row],[考试日期]])*(表成绩单[政治]&lt;9E+307)*(表成绩单[政治]&gt;表成绩单[[#This Row],[政治]]))+1)</f>
        <v>197</v>
      </c>
      <c r="V1793" s="29" cm="1">
        <f t="array" ref="V1793">IF(表成绩单[[#This Row],[历史]]="","",SUMPRODUCT((表成绩单[考试日期]=表成绩单[[#This Row],[考试日期]])*(表成绩单[历史]&lt;9E+307)*(表成绩单[历史]&gt;表成绩单[[#This Row],[历史]]))+1)</f>
        <v>240</v>
      </c>
      <c r="W1793" s="29" cm="1">
        <f t="array" ref="W1793">IF(表成绩单[[#This Row],[总分]]="","",SUMPRODUCT((表成绩单[考试日期]=表成绩单[[#This Row],[考试日期]])*(表成绩单[总分]&lt;9E+307)*(表成绩单[总分]&gt;表成绩单[[#This Row],[总分]]))+1)</f>
        <v>187</v>
      </c>
    </row>
    <row r="1794" ht="28" customHeight="1" spans="4:23">
      <c r="D1794" s="31">
        <v>46030</v>
      </c>
      <c r="E1794" s="29">
        <v>19177226</v>
      </c>
      <c r="F1794" s="29" t="s">
        <v>70</v>
      </c>
      <c r="G1794" s="29" t="s">
        <v>228</v>
      </c>
      <c r="H1794" s="29">
        <v>108</v>
      </c>
      <c r="I1794" s="29">
        <v>87</v>
      </c>
      <c r="J1794" s="29">
        <v>74.5</v>
      </c>
      <c r="K1794" s="29">
        <v>67</v>
      </c>
      <c r="L1794" s="29">
        <v>65</v>
      </c>
      <c r="M1794" s="29">
        <v>80</v>
      </c>
      <c r="N1794" s="29">
        <v>79</v>
      </c>
      <c r="O1794" s="32">
        <v>560.5</v>
      </c>
      <c r="P1794" s="29" cm="1">
        <f t="array" ref="P1794">IF(表成绩单[[#This Row],[语文]]="","",SUMPRODUCT((表成绩单[考试日期]=表成绩单[[#This Row],[考试日期]])*(表成绩单[语文]&lt;9E+307)*(表成绩单[语文]&gt;表成绩单[[#This Row],[语文]]))+1)</f>
        <v>29</v>
      </c>
      <c r="Q1794" s="29" cm="1">
        <f t="array" ref="Q1794">IF(表成绩单[[#This Row],[数学]]="","",SUMPRODUCT((表成绩单[考试日期]=表成绩单[[#This Row],[考试日期]])*(表成绩单[数学]&lt;9E+307)*(表成绩单[数学]&gt;表成绩单[[#This Row],[数学]]))+1)</f>
        <v>270</v>
      </c>
      <c r="R1794" s="29" cm="1">
        <f t="array" ref="R1794">IF(表成绩单[[#This Row],[英语]]="","",SUMPRODUCT((表成绩单[考试日期]=表成绩单[[#This Row],[考试日期]])*(表成绩单[英语]&lt;9E+307)*(表成绩单[英语]&gt;表成绩单[[#This Row],[英语]]))+1)</f>
        <v>181</v>
      </c>
      <c r="S1794" s="29" cm="1">
        <f t="array" ref="S1794">IF(表成绩单[[#This Row],[物理]]="","",SUMPRODUCT((表成绩单[考试日期]=表成绩单[[#This Row],[考试日期]])*(表成绩单[物理]&lt;9E+307)*(表成绩单[物理]&gt;表成绩单[[#This Row],[物理]]))+1)</f>
        <v>394</v>
      </c>
      <c r="T1794" s="29" cm="1">
        <f t="array" ref="T1794">IF(表成绩单[[#This Row],[化学]]="","",SUMPRODUCT((表成绩单[考试日期]=表成绩单[[#This Row],[考试日期]])*(表成绩单[化学]&lt;9E+307)*(表成绩单[化学]&gt;表成绩单[[#This Row],[化学]]))+1)</f>
        <v>439</v>
      </c>
      <c r="U1794" s="29" cm="1">
        <f t="array" ref="U1794">IF(表成绩单[[#This Row],[政治]]="","",SUMPRODUCT((表成绩单[考试日期]=表成绩单[[#This Row],[考试日期]])*(表成绩单[政治]&lt;9E+307)*(表成绩单[政治]&gt;表成绩单[[#This Row],[政治]]))+1)</f>
        <v>28</v>
      </c>
      <c r="V1794" s="29" cm="1">
        <f t="array" ref="V1794">IF(表成绩单[[#This Row],[历史]]="","",SUMPRODUCT((表成绩单[考试日期]=表成绩单[[#This Row],[考试日期]])*(表成绩单[历史]&lt;9E+307)*(表成绩单[历史]&gt;表成绩单[[#This Row],[历史]]))+1)</f>
        <v>104</v>
      </c>
      <c r="W1794" s="29" cm="1">
        <f t="array" ref="W1794">IF(表成绩单[[#This Row],[总分]]="","",SUMPRODUCT((表成绩单[考试日期]=表成绩单[[#This Row],[考试日期]])*(表成绩单[总分]&lt;9E+307)*(表成绩单[总分]&gt;表成绩单[[#This Row],[总分]]))+1)</f>
        <v>188</v>
      </c>
    </row>
    <row r="1795" ht="28" customHeight="1" spans="4:23">
      <c r="D1795" s="31">
        <v>46030</v>
      </c>
      <c r="E1795" s="29">
        <v>19175650</v>
      </c>
      <c r="F1795" s="29" t="s">
        <v>66</v>
      </c>
      <c r="G1795" s="29" t="s">
        <v>400</v>
      </c>
      <c r="H1795" s="29">
        <v>102</v>
      </c>
      <c r="I1795" s="29">
        <v>97</v>
      </c>
      <c r="J1795" s="29">
        <v>77</v>
      </c>
      <c r="K1795" s="29">
        <v>77</v>
      </c>
      <c r="L1795" s="29">
        <v>70</v>
      </c>
      <c r="M1795" s="29">
        <v>70</v>
      </c>
      <c r="N1795" s="29">
        <v>67</v>
      </c>
      <c r="O1795" s="32">
        <v>560</v>
      </c>
      <c r="P1795" s="29" cm="1">
        <f t="array" ref="P1795">IF(表成绩单[[#This Row],[语文]]="","",SUMPRODUCT((表成绩单[考试日期]=表成绩单[[#This Row],[考试日期]])*(表成绩单[语文]&lt;9E+307)*(表成绩单[语文]&gt;表成绩单[[#This Row],[语文]]))+1)</f>
        <v>132</v>
      </c>
      <c r="Q1795" s="29" cm="1">
        <f t="array" ref="Q1795">IF(表成绩单[[#This Row],[数学]]="","",SUMPRODUCT((表成绩单[考试日期]=表成绩单[[#This Row],[考试日期]])*(表成绩单[数学]&lt;9E+307)*(表成绩单[数学]&gt;表成绩单[[#This Row],[数学]]))+1)</f>
        <v>142</v>
      </c>
      <c r="R1795" s="29" cm="1">
        <f t="array" ref="R1795">IF(表成绩单[[#This Row],[英语]]="","",SUMPRODUCT((表成绩单[考试日期]=表成绩单[[#This Row],[考试日期]])*(表成绩单[英语]&lt;9E+307)*(表成绩单[英语]&gt;表成绩单[[#This Row],[英语]]))+1)</f>
        <v>107</v>
      </c>
      <c r="S1795" s="29" cm="1">
        <f t="array" ref="S1795">IF(表成绩单[[#This Row],[物理]]="","",SUMPRODUCT((表成绩单[考试日期]=表成绩单[[#This Row],[考试日期]])*(表成绩单[物理]&lt;9E+307)*(表成绩单[物理]&gt;表成绩单[[#This Row],[物理]]))+1)</f>
        <v>197</v>
      </c>
      <c r="T1795" s="29" cm="1">
        <f t="array" ref="T1795">IF(表成绩单[[#This Row],[化学]]="","",SUMPRODUCT((表成绩单[考试日期]=表成绩单[[#This Row],[考试日期]])*(表成绩单[化学]&lt;9E+307)*(表成绩单[化学]&gt;表成绩单[[#This Row],[化学]]))+1)</f>
        <v>318</v>
      </c>
      <c r="U1795" s="29" cm="1">
        <f t="array" ref="U1795">IF(表成绩单[[#This Row],[政治]]="","",SUMPRODUCT((表成绩单[考试日期]=表成绩单[[#This Row],[考试日期]])*(表成绩单[政治]&lt;9E+307)*(表成绩单[政治]&gt;表成绩单[[#This Row],[政治]]))+1)</f>
        <v>274</v>
      </c>
      <c r="V1795" s="29" cm="1">
        <f t="array" ref="V1795">IF(表成绩单[[#This Row],[历史]]="","",SUMPRODUCT((表成绩单[考试日期]=表成绩单[[#This Row],[考试日期]])*(表成绩单[历史]&lt;9E+307)*(表成绩单[历史]&gt;表成绩单[[#This Row],[历史]]))+1)</f>
        <v>415</v>
      </c>
      <c r="W1795" s="29" cm="1">
        <f t="array" ref="W1795">IF(表成绩单[[#This Row],[总分]]="","",SUMPRODUCT((表成绩单[考试日期]=表成绩单[[#This Row],[考试日期]])*(表成绩单[总分]&lt;9E+307)*(表成绩单[总分]&gt;表成绩单[[#This Row],[总分]]))+1)</f>
        <v>189</v>
      </c>
    </row>
    <row r="1796" ht="28" customHeight="1" spans="4:23">
      <c r="D1796" s="31">
        <v>46030</v>
      </c>
      <c r="E1796" s="29">
        <v>19175709</v>
      </c>
      <c r="F1796" s="29" t="s">
        <v>72</v>
      </c>
      <c r="G1796" s="29" t="s">
        <v>364</v>
      </c>
      <c r="H1796" s="29">
        <v>99</v>
      </c>
      <c r="I1796" s="29">
        <v>102</v>
      </c>
      <c r="J1796" s="29">
        <v>75.5</v>
      </c>
      <c r="K1796" s="29">
        <v>79</v>
      </c>
      <c r="L1796" s="29">
        <v>69</v>
      </c>
      <c r="M1796" s="29">
        <v>68</v>
      </c>
      <c r="N1796" s="29">
        <v>67</v>
      </c>
      <c r="O1796" s="32">
        <v>559.5</v>
      </c>
      <c r="P1796" s="29" cm="1">
        <f t="array" ref="P1796">IF(表成绩单[[#This Row],[语文]]="","",SUMPRODUCT((表成绩单[考试日期]=表成绩单[[#This Row],[考试日期]])*(表成绩单[语文]&lt;9E+307)*(表成绩单[语文]&gt;表成绩单[[#This Row],[语文]]))+1)</f>
        <v>213</v>
      </c>
      <c r="Q1796" s="29" cm="1">
        <f t="array" ref="Q1796">IF(表成绩单[[#This Row],[数学]]="","",SUMPRODUCT((表成绩单[考试日期]=表成绩单[[#This Row],[考试日期]])*(表成绩单[数学]&lt;9E+307)*(表成绩单[数学]&gt;表成绩单[[#This Row],[数学]]))+1)</f>
        <v>95</v>
      </c>
      <c r="R1796" s="29" cm="1">
        <f t="array" ref="R1796">IF(表成绩单[[#This Row],[英语]]="","",SUMPRODUCT((表成绩单[考试日期]=表成绩单[[#This Row],[考试日期]])*(表成绩单[英语]&lt;9E+307)*(表成绩单[英语]&gt;表成绩单[[#This Row],[英语]]))+1)</f>
        <v>145</v>
      </c>
      <c r="S1796" s="29" cm="1">
        <f t="array" ref="S1796">IF(表成绩单[[#This Row],[物理]]="","",SUMPRODUCT((表成绩单[考试日期]=表成绩单[[#This Row],[考试日期]])*(表成绩单[物理]&lt;9E+307)*(表成绩单[物理]&gt;表成绩单[[#This Row],[物理]]))+1)</f>
        <v>153</v>
      </c>
      <c r="T1796" s="29" cm="1">
        <f t="array" ref="T1796">IF(表成绩单[[#This Row],[化学]]="","",SUMPRODUCT((表成绩单[考试日期]=表成绩单[[#This Row],[考试日期]])*(表成绩单[化学]&lt;9E+307)*(表成绩单[化学]&gt;表成绩单[[#This Row],[化学]]))+1)</f>
        <v>339</v>
      </c>
      <c r="U1796" s="29" cm="1">
        <f t="array" ref="U1796">IF(表成绩单[[#This Row],[政治]]="","",SUMPRODUCT((表成绩单[考试日期]=表成绩单[[#This Row],[考试日期]])*(表成绩单[政治]&lt;9E+307)*(表成绩单[政治]&gt;表成绩单[[#This Row],[政治]]))+1)</f>
        <v>336</v>
      </c>
      <c r="V1796" s="29" cm="1">
        <f t="array" ref="V1796">IF(表成绩单[[#This Row],[历史]]="","",SUMPRODUCT((表成绩单[考试日期]=表成绩单[[#This Row],[考试日期]])*(表成绩单[历史]&lt;9E+307)*(表成绩单[历史]&gt;表成绩单[[#This Row],[历史]]))+1)</f>
        <v>415</v>
      </c>
      <c r="W1796" s="29" cm="1">
        <f t="array" ref="W1796">IF(表成绩单[[#This Row],[总分]]="","",SUMPRODUCT((表成绩单[考试日期]=表成绩单[[#This Row],[考试日期]])*(表成绩单[总分]&lt;9E+307)*(表成绩单[总分]&gt;表成绩单[[#This Row],[总分]]))+1)</f>
        <v>190</v>
      </c>
    </row>
    <row r="1797" ht="28" customHeight="1" spans="4:23">
      <c r="D1797" s="31">
        <v>46030</v>
      </c>
      <c r="E1797" s="29">
        <v>19173536</v>
      </c>
      <c r="F1797" s="29" t="s">
        <v>1</v>
      </c>
      <c r="G1797" s="29" t="s">
        <v>233</v>
      </c>
      <c r="H1797" s="29">
        <v>99</v>
      </c>
      <c r="I1797" s="29">
        <v>88</v>
      </c>
      <c r="J1797" s="29">
        <v>77</v>
      </c>
      <c r="K1797" s="29">
        <v>67</v>
      </c>
      <c r="L1797" s="29">
        <v>75</v>
      </c>
      <c r="M1797" s="29">
        <v>79</v>
      </c>
      <c r="N1797" s="29">
        <v>74</v>
      </c>
      <c r="O1797" s="32">
        <v>559</v>
      </c>
      <c r="P1797" s="29" cm="1">
        <f t="array" ref="P1797">IF(表成绩单[[#This Row],[语文]]="","",SUMPRODUCT((表成绩单[考试日期]=表成绩单[[#This Row],[考试日期]])*(表成绩单[语文]&lt;9E+307)*(表成绩单[语文]&gt;表成绩单[[#This Row],[语文]]))+1)</f>
        <v>213</v>
      </c>
      <c r="Q1797" s="29" cm="1">
        <f t="array" ref="Q1797">IF(表成绩单[[#This Row],[数学]]="","",SUMPRODUCT((表成绩单[考试日期]=表成绩单[[#This Row],[考试日期]])*(表成绩单[数学]&lt;9E+307)*(表成绩单[数学]&gt;表成绩单[[#This Row],[数学]]))+1)</f>
        <v>245</v>
      </c>
      <c r="R1797" s="29" cm="1">
        <f t="array" ref="R1797">IF(表成绩单[[#This Row],[英语]]="","",SUMPRODUCT((表成绩单[考试日期]=表成绩单[[#This Row],[考试日期]])*(表成绩单[英语]&lt;9E+307)*(表成绩单[英语]&gt;表成绩单[[#This Row],[英语]]))+1)</f>
        <v>107</v>
      </c>
      <c r="S1797" s="29" cm="1">
        <f t="array" ref="S1797">IF(表成绩单[[#This Row],[物理]]="","",SUMPRODUCT((表成绩单[考试日期]=表成绩单[[#This Row],[考试日期]])*(表成绩单[物理]&lt;9E+307)*(表成绩单[物理]&gt;表成绩单[[#This Row],[物理]]))+1)</f>
        <v>394</v>
      </c>
      <c r="T1797" s="29" cm="1">
        <f t="array" ref="T1797">IF(表成绩单[[#This Row],[化学]]="","",SUMPRODUCT((表成绩单[考试日期]=表成绩单[[#This Row],[考试日期]])*(表成绩单[化学]&lt;9E+307)*(表成绩单[化学]&gt;表成绩单[[#This Row],[化学]]))+1)</f>
        <v>169</v>
      </c>
      <c r="U1797" s="29" cm="1">
        <f t="array" ref="U1797">IF(表成绩单[[#This Row],[政治]]="","",SUMPRODUCT((表成绩单[考试日期]=表成绩单[[#This Row],[考试日期]])*(表成绩单[政治]&lt;9E+307)*(表成绩单[政治]&gt;表成绩单[[#This Row],[政治]]))+1)</f>
        <v>42</v>
      </c>
      <c r="V1797" s="29" cm="1">
        <f t="array" ref="V1797">IF(表成绩单[[#This Row],[历史]]="","",SUMPRODUCT((表成绩单[考试日期]=表成绩单[[#This Row],[考试日期]])*(表成绩单[历史]&lt;9E+307)*(表成绩单[历史]&gt;表成绩单[[#This Row],[历史]]))+1)</f>
        <v>215</v>
      </c>
      <c r="W1797" s="29" cm="1">
        <f t="array" ref="W1797">IF(表成绩单[[#This Row],[总分]]="","",SUMPRODUCT((表成绩单[考试日期]=表成绩单[[#This Row],[考试日期]])*(表成绩单[总分]&lt;9E+307)*(表成绩单[总分]&gt;表成绩单[[#This Row],[总分]]))+1)</f>
        <v>191</v>
      </c>
    </row>
    <row r="1798" ht="28" customHeight="1" spans="4:23">
      <c r="D1798" s="31">
        <v>46030</v>
      </c>
      <c r="E1798" s="29">
        <v>19175399</v>
      </c>
      <c r="F1798" s="29" t="s">
        <v>74</v>
      </c>
      <c r="G1798" s="29" t="s">
        <v>317</v>
      </c>
      <c r="H1798" s="29">
        <v>106</v>
      </c>
      <c r="I1798" s="29">
        <v>91</v>
      </c>
      <c r="J1798" s="29">
        <v>79</v>
      </c>
      <c r="K1798" s="29">
        <v>68</v>
      </c>
      <c r="L1798" s="29">
        <v>75</v>
      </c>
      <c r="M1798" s="29">
        <v>73</v>
      </c>
      <c r="N1798" s="29">
        <v>67</v>
      </c>
      <c r="O1798" s="32">
        <v>559</v>
      </c>
      <c r="P1798" s="29" cm="1">
        <f t="array" ref="P1798">IF(表成绩单[[#This Row],[语文]]="","",SUMPRODUCT((表成绩单[考试日期]=表成绩单[[#This Row],[考试日期]])*(表成绩单[语文]&lt;9E+307)*(表成绩单[语文]&gt;表成绩单[[#This Row],[语文]]))+1)</f>
        <v>50</v>
      </c>
      <c r="Q1798" s="29" cm="1">
        <f t="array" ref="Q1798">IF(表成绩单[[#This Row],[数学]]="","",SUMPRODUCT((表成绩单[考试日期]=表成绩单[[#This Row],[考试日期]])*(表成绩单[数学]&lt;9E+307)*(表成绩单[数学]&gt;表成绩单[[#This Row],[数学]]))+1)</f>
        <v>204</v>
      </c>
      <c r="R1798" s="29" cm="1">
        <f t="array" ref="R1798">IF(表成绩单[[#This Row],[英语]]="","",SUMPRODUCT((表成绩单[考试日期]=表成绩单[[#This Row],[考试日期]])*(表成绩单[英语]&lt;9E+307)*(表成绩单[英语]&gt;表成绩单[[#This Row],[英语]]))+1)</f>
        <v>50</v>
      </c>
      <c r="S1798" s="29" cm="1">
        <f t="array" ref="S1798">IF(表成绩单[[#This Row],[物理]]="","",SUMPRODUCT((表成绩单[考试日期]=表成绩单[[#This Row],[考试日期]])*(表成绩单[物理]&lt;9E+307)*(表成绩单[物理]&gt;表成绩单[[#This Row],[物理]]))+1)</f>
        <v>372</v>
      </c>
      <c r="T1798" s="29" cm="1">
        <f t="array" ref="T1798">IF(表成绩单[[#This Row],[化学]]="","",SUMPRODUCT((表成绩单[考试日期]=表成绩单[[#This Row],[考试日期]])*(表成绩单[化学]&lt;9E+307)*(表成绩单[化学]&gt;表成绩单[[#This Row],[化学]]))+1)</f>
        <v>169</v>
      </c>
      <c r="U1798" s="29" cm="1">
        <f t="array" ref="U1798">IF(表成绩单[[#This Row],[政治]]="","",SUMPRODUCT((表成绩单[考试日期]=表成绩单[[#This Row],[考试日期]])*(表成绩单[政治]&lt;9E+307)*(表成绩单[政治]&gt;表成绩单[[#This Row],[政治]]))+1)</f>
        <v>197</v>
      </c>
      <c r="V1798" s="29" cm="1">
        <f t="array" ref="V1798">IF(表成绩单[[#This Row],[历史]]="","",SUMPRODUCT((表成绩单[考试日期]=表成绩单[[#This Row],[考试日期]])*(表成绩单[历史]&lt;9E+307)*(表成绩单[历史]&gt;表成绩单[[#This Row],[历史]]))+1)</f>
        <v>415</v>
      </c>
      <c r="W1798" s="29" cm="1">
        <f t="array" ref="W1798">IF(表成绩单[[#This Row],[总分]]="","",SUMPRODUCT((表成绩单[考试日期]=表成绩单[[#This Row],[考试日期]])*(表成绩单[总分]&lt;9E+307)*(表成绩单[总分]&gt;表成绩单[[#This Row],[总分]]))+1)</f>
        <v>191</v>
      </c>
    </row>
    <row r="1799" ht="28" customHeight="1" spans="4:23">
      <c r="D1799" s="31">
        <v>46030</v>
      </c>
      <c r="E1799" s="29">
        <v>19175673</v>
      </c>
      <c r="F1799" s="29" t="s">
        <v>72</v>
      </c>
      <c r="G1799" s="29" t="s">
        <v>201</v>
      </c>
      <c r="H1799" s="29">
        <v>95</v>
      </c>
      <c r="I1799" s="29">
        <v>93</v>
      </c>
      <c r="J1799" s="29">
        <v>65</v>
      </c>
      <c r="K1799" s="29">
        <v>84</v>
      </c>
      <c r="L1799" s="29">
        <v>74</v>
      </c>
      <c r="M1799" s="29">
        <v>72</v>
      </c>
      <c r="N1799" s="29">
        <v>76</v>
      </c>
      <c r="O1799" s="32">
        <v>559</v>
      </c>
      <c r="P1799" s="29" cm="1">
        <f t="array" ref="P1799">IF(表成绩单[[#This Row],[语文]]="","",SUMPRODUCT((表成绩单[考试日期]=表成绩单[[#This Row],[考试日期]])*(表成绩单[语文]&lt;9E+307)*(表成绩单[语文]&gt;表成绩单[[#This Row],[语文]]))+1)</f>
        <v>342</v>
      </c>
      <c r="Q1799" s="29" cm="1">
        <f t="array" ref="Q1799">IF(表成绩单[[#This Row],[数学]]="","",SUMPRODUCT((表成绩单[考试日期]=表成绩单[[#This Row],[考试日期]])*(表成绩单[数学]&lt;9E+307)*(表成绩单[数学]&gt;表成绩单[[#This Row],[数学]]))+1)</f>
        <v>188</v>
      </c>
      <c r="R1799" s="29" cm="1">
        <f t="array" ref="R1799">IF(表成绩单[[#This Row],[英语]]="","",SUMPRODUCT((表成绩单[考试日期]=表成绩单[[#This Row],[考试日期]])*(表成绩单[英语]&lt;9E+307)*(表成绩单[英语]&gt;表成绩单[[#This Row],[英语]]))+1)</f>
        <v>438</v>
      </c>
      <c r="S1799" s="29" cm="1">
        <f t="array" ref="S1799">IF(表成绩单[[#This Row],[物理]]="","",SUMPRODUCT((表成绩单[考试日期]=表成绩单[[#This Row],[考试日期]])*(表成绩单[物理]&lt;9E+307)*(表成绩单[物理]&gt;表成绩单[[#This Row],[物理]]))+1)</f>
        <v>73</v>
      </c>
      <c r="T1799" s="29" cm="1">
        <f t="array" ref="T1799">IF(表成绩单[[#This Row],[化学]]="","",SUMPRODUCT((表成绩单[考试日期]=表成绩单[[#This Row],[考试日期]])*(表成绩单[化学]&lt;9E+307)*(表成绩单[化学]&gt;表成绩单[[#This Row],[化学]]))+1)</f>
        <v>208</v>
      </c>
      <c r="U1799" s="29" cm="1">
        <f t="array" ref="U1799">IF(表成绩单[[#This Row],[政治]]="","",SUMPRODUCT((表成绩单[考试日期]=表成绩单[[#This Row],[考试日期]])*(表成绩单[政治]&lt;9E+307)*(表成绩单[政治]&gt;表成绩单[[#This Row],[政治]]))+1)</f>
        <v>224</v>
      </c>
      <c r="V1799" s="29" cm="1">
        <f t="array" ref="V1799">IF(表成绩单[[#This Row],[历史]]="","",SUMPRODUCT((表成绩单[考试日期]=表成绩单[[#This Row],[考试日期]])*(表成绩单[历史]&lt;9E+307)*(表成绩单[历史]&gt;表成绩单[[#This Row],[历史]]))+1)</f>
        <v>169</v>
      </c>
      <c r="W1799" s="29" cm="1">
        <f t="array" ref="W1799">IF(表成绩单[[#This Row],[总分]]="","",SUMPRODUCT((表成绩单[考试日期]=表成绩单[[#This Row],[考试日期]])*(表成绩单[总分]&lt;9E+307)*(表成绩单[总分]&gt;表成绩单[[#This Row],[总分]]))+1)</f>
        <v>191</v>
      </c>
    </row>
    <row r="1800" ht="28" customHeight="1" spans="4:23">
      <c r="D1800" s="31">
        <v>46030</v>
      </c>
      <c r="E1800" s="29">
        <v>19175686</v>
      </c>
      <c r="F1800" s="29" t="s">
        <v>72</v>
      </c>
      <c r="G1800" s="29" t="s">
        <v>263</v>
      </c>
      <c r="H1800" s="29">
        <v>107</v>
      </c>
      <c r="I1800" s="29">
        <v>86</v>
      </c>
      <c r="J1800" s="29">
        <v>71</v>
      </c>
      <c r="K1800" s="29">
        <v>64</v>
      </c>
      <c r="L1800" s="29">
        <v>75</v>
      </c>
      <c r="M1800" s="29">
        <v>80</v>
      </c>
      <c r="N1800" s="29">
        <v>76</v>
      </c>
      <c r="O1800" s="32">
        <v>559</v>
      </c>
      <c r="P1800" s="29" cm="1">
        <f t="array" ref="P1800">IF(表成绩单[[#This Row],[语文]]="","",SUMPRODUCT((表成绩单[考试日期]=表成绩单[[#This Row],[考试日期]])*(表成绩单[语文]&lt;9E+307)*(表成绩单[语文]&gt;表成绩单[[#This Row],[语文]]))+1)</f>
        <v>38</v>
      </c>
      <c r="Q1800" s="29" cm="1">
        <f t="array" ref="Q1800">IF(表成绩单[[#This Row],[数学]]="","",SUMPRODUCT((表成绩单[考试日期]=表成绩单[[#This Row],[考试日期]])*(表成绩单[数学]&lt;9E+307)*(表成绩单[数学]&gt;表成绩单[[#This Row],[数学]]))+1)</f>
        <v>302</v>
      </c>
      <c r="R1800" s="29" cm="1">
        <f t="array" ref="R1800">IF(表成绩单[[#This Row],[英语]]="","",SUMPRODUCT((表成绩单[考试日期]=表成绩单[[#This Row],[考试日期]])*(表成绩单[英语]&lt;9E+307)*(表成绩单[英语]&gt;表成绩单[[#This Row],[英语]]))+1)</f>
        <v>281</v>
      </c>
      <c r="S1800" s="29" cm="1">
        <f t="array" ref="S1800">IF(表成绩单[[#This Row],[物理]]="","",SUMPRODUCT((表成绩单[考试日期]=表成绩单[[#This Row],[考试日期]])*(表成绩单[物理]&lt;9E+307)*(表成绩单[物理]&gt;表成绩单[[#This Row],[物理]]))+1)</f>
        <v>441</v>
      </c>
      <c r="T1800" s="29" cm="1">
        <f t="array" ref="T1800">IF(表成绩单[[#This Row],[化学]]="","",SUMPRODUCT((表成绩单[考试日期]=表成绩单[[#This Row],[考试日期]])*(表成绩单[化学]&lt;9E+307)*(表成绩单[化学]&gt;表成绩单[[#This Row],[化学]]))+1)</f>
        <v>169</v>
      </c>
      <c r="U1800" s="29" cm="1">
        <f t="array" ref="U1800">IF(表成绩单[[#This Row],[政治]]="","",SUMPRODUCT((表成绩单[考试日期]=表成绩单[[#This Row],[考试日期]])*(表成绩单[政治]&lt;9E+307)*(表成绩单[政治]&gt;表成绩单[[#This Row],[政治]]))+1)</f>
        <v>28</v>
      </c>
      <c r="V1800" s="29" cm="1">
        <f t="array" ref="V1800">IF(表成绩单[[#This Row],[历史]]="","",SUMPRODUCT((表成绩单[考试日期]=表成绩单[[#This Row],[考试日期]])*(表成绩单[历史]&lt;9E+307)*(表成绩单[历史]&gt;表成绩单[[#This Row],[历史]]))+1)</f>
        <v>169</v>
      </c>
      <c r="W1800" s="29" cm="1">
        <f t="array" ref="W1800">IF(表成绩单[[#This Row],[总分]]="","",SUMPRODUCT((表成绩单[考试日期]=表成绩单[[#This Row],[考试日期]])*(表成绩单[总分]&lt;9E+307)*(表成绩单[总分]&gt;表成绩单[[#This Row],[总分]]))+1)</f>
        <v>191</v>
      </c>
    </row>
    <row r="1801" ht="28" customHeight="1" spans="4:23">
      <c r="D1801" s="31">
        <v>46030</v>
      </c>
      <c r="E1801" s="29">
        <v>19174472</v>
      </c>
      <c r="F1801" s="29" t="s">
        <v>73</v>
      </c>
      <c r="G1801" s="29" t="s">
        <v>186</v>
      </c>
      <c r="H1801" s="29">
        <v>99</v>
      </c>
      <c r="I1801" s="29">
        <v>96</v>
      </c>
      <c r="J1801" s="29">
        <v>78.5</v>
      </c>
      <c r="K1801" s="29">
        <v>63</v>
      </c>
      <c r="L1801" s="29">
        <v>78</v>
      </c>
      <c r="M1801" s="29">
        <v>71</v>
      </c>
      <c r="N1801" s="29">
        <v>73</v>
      </c>
      <c r="O1801" s="32">
        <v>558.5</v>
      </c>
      <c r="P1801" s="29" cm="1">
        <f t="array" ref="P1801">IF(表成绩单[[#This Row],[语文]]="","",SUMPRODUCT((表成绩单[考试日期]=表成绩单[[#This Row],[考试日期]])*(表成绩单[语文]&lt;9E+307)*(表成绩单[语文]&gt;表成绩单[[#This Row],[语文]]))+1)</f>
        <v>213</v>
      </c>
      <c r="Q1801" s="29" cm="1">
        <f t="array" ref="Q1801">IF(表成绩单[[#This Row],[数学]]="","",SUMPRODUCT((表成绩单[考试日期]=表成绩单[[#This Row],[考试日期]])*(表成绩单[数学]&lt;9E+307)*(表成绩单[数学]&gt;表成绩单[[#This Row],[数学]]))+1)</f>
        <v>154</v>
      </c>
      <c r="R1801" s="29" cm="1">
        <f t="array" ref="R1801">IF(表成绩单[[#This Row],[英语]]="","",SUMPRODUCT((表成绩单[考试日期]=表成绩单[[#This Row],[考试日期]])*(表成绩单[英语]&lt;9E+307)*(表成绩单[英语]&gt;表成绩单[[#This Row],[英语]]))+1)</f>
        <v>64</v>
      </c>
      <c r="S1801" s="29" cm="1">
        <f t="array" ref="S1801">IF(表成绩单[[#This Row],[物理]]="","",SUMPRODUCT((表成绩单[考试日期]=表成绩单[[#This Row],[考试日期]])*(表成绩单[物理]&lt;9E+307)*(表成绩单[物理]&gt;表成绩单[[#This Row],[物理]]))+1)</f>
        <v>459</v>
      </c>
      <c r="T1801" s="29" cm="1">
        <f t="array" ref="T1801">IF(表成绩单[[#This Row],[化学]]="","",SUMPRODUCT((表成绩单[考试日期]=表成绩单[[#This Row],[考试日期]])*(表成绩单[化学]&lt;9E+307)*(表成绩单[化学]&gt;表成绩单[[#This Row],[化学]]))+1)</f>
        <v>93</v>
      </c>
      <c r="U1801" s="29" cm="1">
        <f t="array" ref="U1801">IF(表成绩单[[#This Row],[政治]]="","",SUMPRODUCT((表成绩单[考试日期]=表成绩单[[#This Row],[考试日期]])*(表成绩单[政治]&lt;9E+307)*(表成绩单[政治]&gt;表成绩单[[#This Row],[政治]]))+1)</f>
        <v>248</v>
      </c>
      <c r="V1801" s="29" cm="1">
        <f t="array" ref="V1801">IF(表成绩单[[#This Row],[历史]]="","",SUMPRODUCT((表成绩单[考试日期]=表成绩单[[#This Row],[考试日期]])*(表成绩单[历史]&lt;9E+307)*(表成绩单[历史]&gt;表成绩单[[#This Row],[历史]]))+1)</f>
        <v>240</v>
      </c>
      <c r="W1801" s="29" cm="1">
        <f t="array" ref="W1801">IF(表成绩单[[#This Row],[总分]]="","",SUMPRODUCT((表成绩单[考试日期]=表成绩单[[#This Row],[考试日期]])*(表成绩单[总分]&lt;9E+307)*(表成绩单[总分]&gt;表成绩单[[#This Row],[总分]]))+1)</f>
        <v>195</v>
      </c>
    </row>
    <row r="1802" ht="28" customHeight="1" spans="4:23">
      <c r="D1802" s="31">
        <v>46030</v>
      </c>
      <c r="E1802" s="29">
        <v>19174783</v>
      </c>
      <c r="F1802" s="29" t="s">
        <v>69</v>
      </c>
      <c r="G1802" s="29" t="s">
        <v>269</v>
      </c>
      <c r="H1802" s="29">
        <v>92</v>
      </c>
      <c r="I1802" s="29">
        <v>86</v>
      </c>
      <c r="J1802" s="29">
        <v>73.5</v>
      </c>
      <c r="K1802" s="29">
        <v>82</v>
      </c>
      <c r="L1802" s="29">
        <v>77</v>
      </c>
      <c r="M1802" s="29">
        <v>73</v>
      </c>
      <c r="N1802" s="29">
        <v>75</v>
      </c>
      <c r="O1802" s="32">
        <v>558.5</v>
      </c>
      <c r="P1802" s="29" cm="1">
        <f t="array" ref="P1802">IF(表成绩单[[#This Row],[语文]]="","",SUMPRODUCT((表成绩单[考试日期]=表成绩单[[#This Row],[考试日期]])*(表成绩单[语文]&lt;9E+307)*(表成绩单[语文]&gt;表成绩单[[#This Row],[语文]]))+1)</f>
        <v>444</v>
      </c>
      <c r="Q1802" s="29" cm="1">
        <f t="array" ref="Q1802">IF(表成绩单[[#This Row],[数学]]="","",SUMPRODUCT((表成绩单[考试日期]=表成绩单[[#This Row],[考试日期]])*(表成绩单[数学]&lt;9E+307)*(表成绩单[数学]&gt;表成绩单[[#This Row],[数学]]))+1)</f>
        <v>302</v>
      </c>
      <c r="R1802" s="29" cm="1">
        <f t="array" ref="R1802">IF(表成绩单[[#This Row],[英语]]="","",SUMPRODUCT((表成绩单[考试日期]=表成绩单[[#This Row],[考试日期]])*(表成绩单[英语]&lt;9E+307)*(表成绩单[英语]&gt;表成绩单[[#This Row],[英语]]))+1)</f>
        <v>209</v>
      </c>
      <c r="S1802" s="29" cm="1">
        <f t="array" ref="S1802">IF(表成绩单[[#This Row],[物理]]="","",SUMPRODUCT((表成绩单[考试日期]=表成绩单[[#This Row],[考试日期]])*(表成绩单[物理]&lt;9E+307)*(表成绩单[物理]&gt;表成绩单[[#This Row],[物理]]))+1)</f>
        <v>105</v>
      </c>
      <c r="T1802" s="29" cm="1">
        <f t="array" ref="T1802">IF(表成绩单[[#This Row],[化学]]="","",SUMPRODUCT((表成绩单[考试日期]=表成绩单[[#This Row],[考试日期]])*(表成绩单[化学]&lt;9E+307)*(表成绩单[化学]&gt;表成绩单[[#This Row],[化学]]))+1)</f>
        <v>116</v>
      </c>
      <c r="U1802" s="29" cm="1">
        <f t="array" ref="U1802">IF(表成绩单[[#This Row],[政治]]="","",SUMPRODUCT((表成绩单[考试日期]=表成绩单[[#This Row],[考试日期]])*(表成绩单[政治]&lt;9E+307)*(表成绩单[政治]&gt;表成绩单[[#This Row],[政治]]))+1)</f>
        <v>197</v>
      </c>
      <c r="V1802" s="29" cm="1">
        <f t="array" ref="V1802">IF(表成绩单[[#This Row],[历史]]="","",SUMPRODUCT((表成绩单[考试日期]=表成绩单[[#This Row],[考试日期]])*(表成绩单[历史]&lt;9E+307)*(表成绩单[历史]&gt;表成绩单[[#This Row],[历史]]))+1)</f>
        <v>193</v>
      </c>
      <c r="W1802" s="29" cm="1">
        <f t="array" ref="W1802">IF(表成绩单[[#This Row],[总分]]="","",SUMPRODUCT((表成绩单[考试日期]=表成绩单[[#This Row],[考试日期]])*(表成绩单[总分]&lt;9E+307)*(表成绩单[总分]&gt;表成绩单[[#This Row],[总分]]))+1)</f>
        <v>195</v>
      </c>
    </row>
    <row r="1803" ht="28" customHeight="1" spans="4:23">
      <c r="D1803" s="31">
        <v>46030</v>
      </c>
      <c r="E1803" s="29">
        <v>19177232</v>
      </c>
      <c r="F1803" s="29" t="s">
        <v>70</v>
      </c>
      <c r="G1803" s="29" t="s">
        <v>293</v>
      </c>
      <c r="H1803" s="29">
        <v>92</v>
      </c>
      <c r="I1803" s="29">
        <v>106</v>
      </c>
      <c r="J1803" s="29">
        <v>69</v>
      </c>
      <c r="K1803" s="29">
        <v>79</v>
      </c>
      <c r="L1803" s="29">
        <v>81</v>
      </c>
      <c r="M1803" s="29">
        <v>61</v>
      </c>
      <c r="N1803" s="29">
        <v>70</v>
      </c>
      <c r="O1803" s="32">
        <v>558</v>
      </c>
      <c r="P1803" s="29" cm="1">
        <f t="array" ref="P1803">IF(表成绩单[[#This Row],[语文]]="","",SUMPRODUCT((表成绩单[考试日期]=表成绩单[[#This Row],[考试日期]])*(表成绩单[语文]&lt;9E+307)*(表成绩单[语文]&gt;表成绩单[[#This Row],[语文]]))+1)</f>
        <v>444</v>
      </c>
      <c r="Q1803" s="29" cm="1">
        <f t="array" ref="Q1803">IF(表成绩单[[#This Row],[数学]]="","",SUMPRODUCT((表成绩单[考试日期]=表成绩单[[#This Row],[考试日期]])*(表成绩单[数学]&lt;9E+307)*(表成绩单[数学]&gt;表成绩单[[#This Row],[数学]]))+1)</f>
        <v>50</v>
      </c>
      <c r="R1803" s="29" cm="1">
        <f t="array" ref="R1803">IF(表成绩单[[#This Row],[英语]]="","",SUMPRODUCT((表成绩单[考试日期]=表成绩单[[#This Row],[考试日期]])*(表成绩单[英语]&lt;9E+307)*(表成绩单[英语]&gt;表成绩单[[#This Row],[英语]]))+1)</f>
        <v>342</v>
      </c>
      <c r="S1803" s="29" cm="1">
        <f t="array" ref="S1803">IF(表成绩单[[#This Row],[物理]]="","",SUMPRODUCT((表成绩单[考试日期]=表成绩单[[#This Row],[考试日期]])*(表成绩单[物理]&lt;9E+307)*(表成绩单[物理]&gt;表成绩单[[#This Row],[物理]]))+1)</f>
        <v>153</v>
      </c>
      <c r="T1803" s="29" cm="1">
        <f t="array" ref="T1803">IF(表成绩单[[#This Row],[化学]]="","",SUMPRODUCT((表成绩单[考试日期]=表成绩单[[#This Row],[考试日期]])*(表成绩单[化学]&lt;9E+307)*(表成绩单[化学]&gt;表成绩单[[#This Row],[化学]]))+1)</f>
        <v>43</v>
      </c>
      <c r="U1803" s="29" cm="1">
        <f t="array" ref="U1803">IF(表成绩单[[#This Row],[政治]]="","",SUMPRODUCT((表成绩单[考试日期]=表成绩单[[#This Row],[考试日期]])*(表成绩单[政治]&lt;9E+307)*(表成绩单[政治]&gt;表成绩单[[#This Row],[政治]]))+1)</f>
        <v>530</v>
      </c>
      <c r="V1803" s="29" cm="1">
        <f t="array" ref="V1803">IF(表成绩单[[#This Row],[历史]]="","",SUMPRODUCT((表成绩单[考试日期]=表成绩单[[#This Row],[考试日期]])*(表成绩单[历史]&lt;9E+307)*(表成绩单[历史]&gt;表成绩单[[#This Row],[历史]]))+1)</f>
        <v>328</v>
      </c>
      <c r="W1803" s="29" cm="1">
        <f t="array" ref="W1803">IF(表成绩单[[#This Row],[总分]]="","",SUMPRODUCT((表成绩单[考试日期]=表成绩单[[#This Row],[考试日期]])*(表成绩单[总分]&lt;9E+307)*(表成绩单[总分]&gt;表成绩单[[#This Row],[总分]]))+1)</f>
        <v>197</v>
      </c>
    </row>
    <row r="1804" ht="28" customHeight="1" spans="4:23">
      <c r="D1804" s="31">
        <v>46030</v>
      </c>
      <c r="E1804" s="29">
        <v>19174805</v>
      </c>
      <c r="F1804" s="29" t="s">
        <v>69</v>
      </c>
      <c r="G1804" s="29" t="s">
        <v>134</v>
      </c>
      <c r="H1804" s="29">
        <v>100</v>
      </c>
      <c r="I1804" s="29">
        <v>85</v>
      </c>
      <c r="J1804" s="29">
        <v>69.5</v>
      </c>
      <c r="K1804" s="29">
        <v>76</v>
      </c>
      <c r="L1804" s="29">
        <v>71</v>
      </c>
      <c r="M1804" s="29">
        <v>77</v>
      </c>
      <c r="N1804" s="29">
        <v>79</v>
      </c>
      <c r="O1804" s="32">
        <v>557.5</v>
      </c>
      <c r="P1804" s="29" cm="1">
        <f t="array" ref="P1804">IF(表成绩单[[#This Row],[语文]]="","",SUMPRODUCT((表成绩单[考试日期]=表成绩单[[#This Row],[考试日期]])*(表成绩单[语文]&lt;9E+307)*(表成绩单[语文]&gt;表成绩单[[#This Row],[语文]]))+1)</f>
        <v>182</v>
      </c>
      <c r="Q1804" s="29" cm="1">
        <f t="array" ref="Q1804">IF(表成绩单[[#This Row],[数学]]="","",SUMPRODUCT((表成绩单[考试日期]=表成绩单[[#This Row],[考试日期]])*(表成绩单[数学]&lt;9E+307)*(表成绩单[数学]&gt;表成绩单[[#This Row],[数学]]))+1)</f>
        <v>325</v>
      </c>
      <c r="R1804" s="29" cm="1">
        <f t="array" ref="R1804">IF(表成绩单[[#This Row],[英语]]="","",SUMPRODUCT((表成绩单[考试日期]=表成绩单[[#This Row],[考试日期]])*(表成绩单[英语]&lt;9E+307)*(表成绩单[英语]&gt;表成绩单[[#This Row],[英语]]))+1)</f>
        <v>330</v>
      </c>
      <c r="S1804" s="29" cm="1">
        <f t="array" ref="S1804">IF(表成绩单[[#This Row],[物理]]="","",SUMPRODUCT((表成绩单[考试日期]=表成绩单[[#This Row],[考试日期]])*(表成绩单[物理]&lt;9E+307)*(表成绩单[物理]&gt;表成绩单[[#This Row],[物理]]))+1)</f>
        <v>218</v>
      </c>
      <c r="T1804" s="29" cm="1">
        <f t="array" ref="T1804">IF(表成绩单[[#This Row],[化学]]="","",SUMPRODUCT((表成绩单[考试日期]=表成绩单[[#This Row],[考试日期]])*(表成绩单[化学]&lt;9E+307)*(表成绩单[化学]&gt;表成绩单[[#This Row],[化学]]))+1)</f>
        <v>297</v>
      </c>
      <c r="U1804" s="29" cm="1">
        <f t="array" ref="U1804">IF(表成绩单[[#This Row],[政治]]="","",SUMPRODUCT((表成绩单[考试日期]=表成绩单[[#This Row],[考试日期]])*(表成绩单[政治]&lt;9E+307)*(表成绩单[政治]&gt;表成绩单[[#This Row],[政治]]))+1)</f>
        <v>88</v>
      </c>
      <c r="V1804" s="29" cm="1">
        <f t="array" ref="V1804">IF(表成绩单[[#This Row],[历史]]="","",SUMPRODUCT((表成绩单[考试日期]=表成绩单[[#This Row],[考试日期]])*(表成绩单[历史]&lt;9E+307)*(表成绩单[历史]&gt;表成绩单[[#This Row],[历史]]))+1)</f>
        <v>104</v>
      </c>
      <c r="W1804" s="29" cm="1">
        <f t="array" ref="W1804">IF(表成绩单[[#This Row],[总分]]="","",SUMPRODUCT((表成绩单[考试日期]=表成绩单[[#This Row],[考试日期]])*(表成绩单[总分]&lt;9E+307)*(表成绩单[总分]&gt;表成绩单[[#This Row],[总分]]))+1)</f>
        <v>198</v>
      </c>
    </row>
    <row r="1805" ht="28" customHeight="1" spans="4:23">
      <c r="D1805" s="31">
        <v>46030</v>
      </c>
      <c r="E1805" s="29">
        <v>19177207</v>
      </c>
      <c r="F1805" s="29" t="s">
        <v>70</v>
      </c>
      <c r="G1805" s="29" t="s">
        <v>320</v>
      </c>
      <c r="H1805" s="29">
        <v>93</v>
      </c>
      <c r="I1805" s="29">
        <v>89</v>
      </c>
      <c r="J1805" s="29">
        <v>78.5</v>
      </c>
      <c r="K1805" s="29">
        <v>77</v>
      </c>
      <c r="L1805" s="29">
        <v>68</v>
      </c>
      <c r="M1805" s="29">
        <v>74</v>
      </c>
      <c r="N1805" s="29">
        <v>78</v>
      </c>
      <c r="O1805" s="32">
        <v>557.5</v>
      </c>
      <c r="P1805" s="29" cm="1">
        <f t="array" ref="P1805">IF(表成绩单[[#This Row],[语文]]="","",SUMPRODUCT((表成绩单[考试日期]=表成绩单[[#This Row],[考试日期]])*(表成绩单[语文]&lt;9E+307)*(表成绩单[语文]&gt;表成绩单[[#This Row],[语文]]))+1)</f>
        <v>412</v>
      </c>
      <c r="Q1805" s="29" cm="1">
        <f t="array" ref="Q1805">IF(表成绩单[[#This Row],[数学]]="","",SUMPRODUCT((表成绩单[考试日期]=表成绩单[[#This Row],[考试日期]])*(表成绩单[数学]&lt;9E+307)*(表成绩单[数学]&gt;表成绩单[[#This Row],[数学]]))+1)</f>
        <v>228</v>
      </c>
      <c r="R1805" s="29" cm="1">
        <f t="array" ref="R1805">IF(表成绩单[[#This Row],[英语]]="","",SUMPRODUCT((表成绩单[考试日期]=表成绩单[[#This Row],[考试日期]])*(表成绩单[英语]&lt;9E+307)*(表成绩单[英语]&gt;表成绩单[[#This Row],[英语]]))+1)</f>
        <v>64</v>
      </c>
      <c r="S1805" s="29" cm="1">
        <f t="array" ref="S1805">IF(表成绩单[[#This Row],[物理]]="","",SUMPRODUCT((表成绩单[考试日期]=表成绩单[[#This Row],[考试日期]])*(表成绩单[物理]&lt;9E+307)*(表成绩单[物理]&gt;表成绩单[[#This Row],[物理]]))+1)</f>
        <v>197</v>
      </c>
      <c r="T1805" s="29" cm="1">
        <f t="array" ref="T1805">IF(表成绩单[[#This Row],[化学]]="","",SUMPRODUCT((表成绩单[考试日期]=表成绩单[[#This Row],[考试日期]])*(表成绩单[化学]&lt;9E+307)*(表成绩单[化学]&gt;表成绩单[[#This Row],[化学]]))+1)</f>
        <v>358</v>
      </c>
      <c r="U1805" s="29" cm="1">
        <f t="array" ref="U1805">IF(表成绩单[[#This Row],[政治]]="","",SUMPRODUCT((表成绩单[考试日期]=表成绩单[[#This Row],[考试日期]])*(表成绩单[政治]&lt;9E+307)*(表成绩单[政治]&gt;表成绩单[[#This Row],[政治]]))+1)</f>
        <v>168</v>
      </c>
      <c r="V1805" s="29" cm="1">
        <f t="array" ref="V1805">IF(表成绩单[[#This Row],[历史]]="","",SUMPRODUCT((表成绩单[考试日期]=表成绩单[[#This Row],[考试日期]])*(表成绩单[历史]&lt;9E+307)*(表成绩单[历史]&gt;表成绩单[[#This Row],[历史]]))+1)</f>
        <v>126</v>
      </c>
      <c r="W1805" s="29" cm="1">
        <f t="array" ref="W1805">IF(表成绩单[[#This Row],[总分]]="","",SUMPRODUCT((表成绩单[考试日期]=表成绩单[[#This Row],[考试日期]])*(表成绩单[总分]&lt;9E+307)*(表成绩单[总分]&gt;表成绩单[[#This Row],[总分]]))+1)</f>
        <v>198</v>
      </c>
    </row>
    <row r="1806" ht="28" customHeight="1" spans="4:23">
      <c r="D1806" s="31">
        <v>46030</v>
      </c>
      <c r="E1806" s="29">
        <v>19177213</v>
      </c>
      <c r="F1806" s="29" t="s">
        <v>70</v>
      </c>
      <c r="G1806" s="29" t="s">
        <v>282</v>
      </c>
      <c r="H1806" s="29">
        <v>97</v>
      </c>
      <c r="I1806" s="29">
        <v>78</v>
      </c>
      <c r="J1806" s="29">
        <v>74.5</v>
      </c>
      <c r="K1806" s="29">
        <v>83</v>
      </c>
      <c r="L1806" s="29">
        <v>73</v>
      </c>
      <c r="M1806" s="29">
        <v>68</v>
      </c>
      <c r="N1806" s="29">
        <v>84</v>
      </c>
      <c r="O1806" s="32">
        <v>557.5</v>
      </c>
      <c r="P1806" s="29" cm="1">
        <f t="array" ref="P1806">IF(表成绩单[[#This Row],[语文]]="","",SUMPRODUCT((表成绩单[考试日期]=表成绩单[[#This Row],[考试日期]])*(表成绩单[语文]&lt;9E+307)*(表成绩单[语文]&gt;表成绩单[[#This Row],[语文]]))+1)</f>
        <v>291</v>
      </c>
      <c r="Q1806" s="29" cm="1">
        <f t="array" ref="Q1806">IF(表成绩单[[#This Row],[数学]]="","",SUMPRODUCT((表成绩单[考试日期]=表成绩单[[#This Row],[考试日期]])*(表成绩单[数学]&lt;9E+307)*(表成绩单[数学]&gt;表成绩单[[#This Row],[数学]]))+1)</f>
        <v>450</v>
      </c>
      <c r="R1806" s="29" cm="1">
        <f t="array" ref="R1806">IF(表成绩单[[#This Row],[英语]]="","",SUMPRODUCT((表成绩单[考试日期]=表成绩单[[#This Row],[考试日期]])*(表成绩单[英语]&lt;9E+307)*(表成绩单[英语]&gt;表成绩单[[#This Row],[英语]]))+1)</f>
        <v>181</v>
      </c>
      <c r="S1806" s="29" cm="1">
        <f t="array" ref="S1806">IF(表成绩单[[#This Row],[物理]]="","",SUMPRODUCT((表成绩单[考试日期]=表成绩单[[#This Row],[考试日期]])*(表成绩单[物理]&lt;9E+307)*(表成绩单[物理]&gt;表成绩单[[#This Row],[物理]]))+1)</f>
        <v>88</v>
      </c>
      <c r="T1806" s="29" cm="1">
        <f t="array" ref="T1806">IF(表成绩单[[#This Row],[化学]]="","",SUMPRODUCT((表成绩单[考试日期]=表成绩单[[#This Row],[考试日期]])*(表成绩单[化学]&lt;9E+307)*(表成绩单[化学]&gt;表成绩单[[#This Row],[化学]]))+1)</f>
        <v>236</v>
      </c>
      <c r="U1806" s="29" cm="1">
        <f t="array" ref="U1806">IF(表成绩单[[#This Row],[政治]]="","",SUMPRODUCT((表成绩单[考试日期]=表成绩单[[#This Row],[考试日期]])*(表成绩单[政治]&lt;9E+307)*(表成绩单[政治]&gt;表成绩单[[#This Row],[政治]]))+1)</f>
        <v>336</v>
      </c>
      <c r="V1806" s="29" cm="1">
        <f t="array" ref="V1806">IF(表成绩单[[#This Row],[历史]]="","",SUMPRODUCT((表成绩单[考试日期]=表成绩单[[#This Row],[考试日期]])*(表成绩单[历史]&lt;9E+307)*(表成绩单[历史]&gt;表成绩单[[#This Row],[历史]]))+1)</f>
        <v>26</v>
      </c>
      <c r="W1806" s="29" cm="1">
        <f t="array" ref="W1806">IF(表成绩单[[#This Row],[总分]]="","",SUMPRODUCT((表成绩单[考试日期]=表成绩单[[#This Row],[考试日期]])*(表成绩单[总分]&lt;9E+307)*(表成绩单[总分]&gt;表成绩单[[#This Row],[总分]]))+1)</f>
        <v>198</v>
      </c>
    </row>
    <row r="1807" ht="28" customHeight="1" spans="4:23">
      <c r="D1807" s="31">
        <v>46030</v>
      </c>
      <c r="E1807" s="29">
        <v>19173274</v>
      </c>
      <c r="F1807" s="29" t="s">
        <v>61</v>
      </c>
      <c r="G1807" s="29" t="s">
        <v>154</v>
      </c>
      <c r="H1807" s="29">
        <v>96</v>
      </c>
      <c r="I1807" s="29">
        <v>87</v>
      </c>
      <c r="J1807" s="29">
        <v>74</v>
      </c>
      <c r="K1807" s="29">
        <v>83</v>
      </c>
      <c r="L1807" s="29">
        <v>70</v>
      </c>
      <c r="M1807" s="29">
        <v>66</v>
      </c>
      <c r="N1807" s="29">
        <v>81</v>
      </c>
      <c r="O1807" s="32">
        <v>557</v>
      </c>
      <c r="P1807" s="29" cm="1">
        <f t="array" ref="P1807">IF(表成绩单[[#This Row],[语文]]="","",SUMPRODUCT((表成绩单[考试日期]=表成绩单[[#This Row],[考试日期]])*(表成绩单[语文]&lt;9E+307)*(表成绩单[语文]&gt;表成绩单[[#This Row],[语文]]))+1)</f>
        <v>315</v>
      </c>
      <c r="Q1807" s="29" cm="1">
        <f t="array" ref="Q1807">IF(表成绩单[[#This Row],[数学]]="","",SUMPRODUCT((表成绩单[考试日期]=表成绩单[[#This Row],[考试日期]])*(表成绩单[数学]&lt;9E+307)*(表成绩单[数学]&gt;表成绩单[[#This Row],[数学]]))+1)</f>
        <v>270</v>
      </c>
      <c r="R1807" s="29" cm="1">
        <f t="array" ref="R1807">IF(表成绩单[[#This Row],[英语]]="","",SUMPRODUCT((表成绩单[考试日期]=表成绩单[[#This Row],[考试日期]])*(表成绩单[英语]&lt;9E+307)*(表成绩单[英语]&gt;表成绩单[[#This Row],[英语]]))+1)</f>
        <v>201</v>
      </c>
      <c r="S1807" s="29" cm="1">
        <f t="array" ref="S1807">IF(表成绩单[[#This Row],[物理]]="","",SUMPRODUCT((表成绩单[考试日期]=表成绩单[[#This Row],[考试日期]])*(表成绩单[物理]&lt;9E+307)*(表成绩单[物理]&gt;表成绩单[[#This Row],[物理]]))+1)</f>
        <v>88</v>
      </c>
      <c r="T1807" s="29" cm="1">
        <f t="array" ref="T1807">IF(表成绩单[[#This Row],[化学]]="","",SUMPRODUCT((表成绩单[考试日期]=表成绩单[[#This Row],[考试日期]])*(表成绩单[化学]&lt;9E+307)*(表成绩单[化学]&gt;表成绩单[[#This Row],[化学]]))+1)</f>
        <v>318</v>
      </c>
      <c r="U1807" s="29" cm="1">
        <f t="array" ref="U1807">IF(表成绩单[[#This Row],[政治]]="","",SUMPRODUCT((表成绩单[考试日期]=表成绩单[[#This Row],[考试日期]])*(表成绩单[政治]&lt;9E+307)*(表成绩单[政治]&gt;表成绩单[[#This Row],[政治]]))+1)</f>
        <v>397</v>
      </c>
      <c r="V1807" s="29" cm="1">
        <f t="array" ref="V1807">IF(表成绩单[[#This Row],[历史]]="","",SUMPRODUCT((表成绩单[考试日期]=表成绩单[[#This Row],[考试日期]])*(表成绩单[历史]&lt;9E+307)*(表成绩单[历史]&gt;表成绩单[[#This Row],[历史]]))+1)</f>
        <v>60</v>
      </c>
      <c r="W1807" s="29" cm="1">
        <f t="array" ref="W1807">IF(表成绩单[[#This Row],[总分]]="","",SUMPRODUCT((表成绩单[考试日期]=表成绩单[[#This Row],[考试日期]])*(表成绩单[总分]&lt;9E+307)*(表成绩单[总分]&gt;表成绩单[[#This Row],[总分]]))+1)</f>
        <v>201</v>
      </c>
    </row>
    <row r="1808" ht="28" customHeight="1" spans="4:23">
      <c r="D1808" s="31">
        <v>46030</v>
      </c>
      <c r="E1808" s="29">
        <v>19175601</v>
      </c>
      <c r="F1808" s="29" t="s">
        <v>57</v>
      </c>
      <c r="G1808" s="29" t="s">
        <v>350</v>
      </c>
      <c r="H1808" s="29">
        <v>94</v>
      </c>
      <c r="I1808" s="29">
        <v>86</v>
      </c>
      <c r="J1808" s="29">
        <v>82</v>
      </c>
      <c r="K1808" s="29">
        <v>70</v>
      </c>
      <c r="L1808" s="29">
        <v>76</v>
      </c>
      <c r="M1808" s="29">
        <v>76</v>
      </c>
      <c r="N1808" s="29">
        <v>73</v>
      </c>
      <c r="O1808" s="32">
        <v>557</v>
      </c>
      <c r="P1808" s="29" cm="1">
        <f t="array" ref="P1808">IF(表成绩单[[#This Row],[语文]]="","",SUMPRODUCT((表成绩单[考试日期]=表成绩单[[#This Row],[考试日期]])*(表成绩单[语文]&lt;9E+307)*(表成绩单[语文]&gt;表成绩单[[#This Row],[语文]]))+1)</f>
        <v>381</v>
      </c>
      <c r="Q1808" s="29" cm="1">
        <f t="array" ref="Q1808">IF(表成绩单[[#This Row],[数学]]="","",SUMPRODUCT((表成绩单[考试日期]=表成绩单[[#This Row],[考试日期]])*(表成绩单[数学]&lt;9E+307)*(表成绩单[数学]&gt;表成绩单[[#This Row],[数学]]))+1)</f>
        <v>302</v>
      </c>
      <c r="R1808" s="29" cm="1">
        <f t="array" ref="R1808">IF(表成绩单[[#This Row],[英语]]="","",SUMPRODUCT((表成绩单[考试日期]=表成绩单[[#This Row],[考试日期]])*(表成绩单[英语]&lt;9E+307)*(表成绩单[英语]&gt;表成绩单[[#This Row],[英语]]))+1)</f>
        <v>11</v>
      </c>
      <c r="S1808" s="29" cm="1">
        <f t="array" ref="S1808">IF(表成绩单[[#This Row],[物理]]="","",SUMPRODUCT((表成绩单[考试日期]=表成绩单[[#This Row],[考试日期]])*(表成绩单[物理]&lt;9E+307)*(表成绩单[物理]&gt;表成绩单[[#This Row],[物理]]))+1)</f>
        <v>338</v>
      </c>
      <c r="T1808" s="29" cm="1">
        <f t="array" ref="T1808">IF(表成绩单[[#This Row],[化学]]="","",SUMPRODUCT((表成绩单[考试日期]=表成绩单[[#This Row],[考试日期]])*(表成绩单[化学]&lt;9E+307)*(表成绩单[化学]&gt;表成绩单[[#This Row],[化学]]))+1)</f>
        <v>139</v>
      </c>
      <c r="U1808" s="29" cm="1">
        <f t="array" ref="U1808">IF(表成绩单[[#This Row],[政治]]="","",SUMPRODUCT((表成绩单[考试日期]=表成绩单[[#This Row],[考试日期]])*(表成绩单[政治]&lt;9E+307)*(表成绩单[政治]&gt;表成绩单[[#This Row],[政治]]))+1)</f>
        <v>111</v>
      </c>
      <c r="V1808" s="29" cm="1">
        <f t="array" ref="V1808">IF(表成绩单[[#This Row],[历史]]="","",SUMPRODUCT((表成绩单[考试日期]=表成绩单[[#This Row],[考试日期]])*(表成绩单[历史]&lt;9E+307)*(表成绩单[历史]&gt;表成绩单[[#This Row],[历史]]))+1)</f>
        <v>240</v>
      </c>
      <c r="W1808" s="29" cm="1">
        <f t="array" ref="W1808">IF(表成绩单[[#This Row],[总分]]="","",SUMPRODUCT((表成绩单[考试日期]=表成绩单[[#This Row],[考试日期]])*(表成绩单[总分]&lt;9E+307)*(表成绩单[总分]&gt;表成绩单[[#This Row],[总分]]))+1)</f>
        <v>201</v>
      </c>
    </row>
    <row r="1809" ht="28" customHeight="1" spans="4:23">
      <c r="D1809" s="31">
        <v>46030</v>
      </c>
      <c r="E1809" s="29">
        <v>19175635</v>
      </c>
      <c r="F1809" s="29" t="s">
        <v>66</v>
      </c>
      <c r="G1809" s="29" t="s">
        <v>382</v>
      </c>
      <c r="H1809" s="29">
        <v>88</v>
      </c>
      <c r="I1809" s="29">
        <v>95</v>
      </c>
      <c r="J1809" s="29">
        <v>78</v>
      </c>
      <c r="K1809" s="29">
        <v>83</v>
      </c>
      <c r="L1809" s="29">
        <v>75</v>
      </c>
      <c r="M1809" s="29">
        <v>70</v>
      </c>
      <c r="N1809" s="29">
        <v>68</v>
      </c>
      <c r="O1809" s="32">
        <v>557</v>
      </c>
      <c r="P1809" s="29" cm="1">
        <f t="array" ref="P1809">IF(表成绩单[[#This Row],[语文]]="","",SUMPRODUCT((表成绩单[考试日期]=表成绩单[[#This Row],[考试日期]])*(表成绩单[语文]&lt;9E+307)*(表成绩单[语文]&gt;表成绩单[[#This Row],[语文]]))+1)</f>
        <v>562</v>
      </c>
      <c r="Q1809" s="29" cm="1">
        <f t="array" ref="Q1809">IF(表成绩单[[#This Row],[数学]]="","",SUMPRODUCT((表成绩单[考试日期]=表成绩单[[#This Row],[考试日期]])*(表成绩单[数学]&lt;9E+307)*(表成绩单[数学]&gt;表成绩单[[#This Row],[数学]]))+1)</f>
        <v>167</v>
      </c>
      <c r="R1809" s="29" cm="1">
        <f t="array" ref="R1809">IF(表成绩单[[#This Row],[英语]]="","",SUMPRODUCT((表成绩单[考试日期]=表成绩单[[#This Row],[考试日期]])*(表成绩单[英语]&lt;9E+307)*(表成绩单[英语]&gt;表成绩单[[#This Row],[英语]]))+1)</f>
        <v>79</v>
      </c>
      <c r="S1809" s="29" cm="1">
        <f t="array" ref="S1809">IF(表成绩单[[#This Row],[物理]]="","",SUMPRODUCT((表成绩单[考试日期]=表成绩单[[#This Row],[考试日期]])*(表成绩单[物理]&lt;9E+307)*(表成绩单[物理]&gt;表成绩单[[#This Row],[物理]]))+1)</f>
        <v>88</v>
      </c>
      <c r="T1809" s="29" cm="1">
        <f t="array" ref="T1809">IF(表成绩单[[#This Row],[化学]]="","",SUMPRODUCT((表成绩单[考试日期]=表成绩单[[#This Row],[考试日期]])*(表成绩单[化学]&lt;9E+307)*(表成绩单[化学]&gt;表成绩单[[#This Row],[化学]]))+1)</f>
        <v>169</v>
      </c>
      <c r="U1809" s="29" cm="1">
        <f t="array" ref="U1809">IF(表成绩单[[#This Row],[政治]]="","",SUMPRODUCT((表成绩单[考试日期]=表成绩单[[#This Row],[考试日期]])*(表成绩单[政治]&lt;9E+307)*(表成绩单[政治]&gt;表成绩单[[#This Row],[政治]]))+1)</f>
        <v>274</v>
      </c>
      <c r="V1809" s="29" cm="1">
        <f t="array" ref="V1809">IF(表成绩单[[#This Row],[历史]]="","",SUMPRODUCT((表成绩单[考试日期]=表成绩单[[#This Row],[考试日期]])*(表成绩单[历史]&lt;9E+307)*(表成绩单[历史]&gt;表成绩单[[#This Row],[历史]]))+1)</f>
        <v>390</v>
      </c>
      <c r="W1809" s="29" cm="1">
        <f t="array" ref="W1809">IF(表成绩单[[#This Row],[总分]]="","",SUMPRODUCT((表成绩单[考试日期]=表成绩单[[#This Row],[考试日期]])*(表成绩单[总分]&lt;9E+307)*(表成绩单[总分]&gt;表成绩单[[#This Row],[总分]]))+1)</f>
        <v>201</v>
      </c>
    </row>
    <row r="1810" ht="28" customHeight="1" spans="4:23">
      <c r="D1810" s="31">
        <v>46030</v>
      </c>
      <c r="E1810" s="29">
        <v>19174455</v>
      </c>
      <c r="F1810" s="29" t="s">
        <v>73</v>
      </c>
      <c r="G1810" s="29" t="s">
        <v>220</v>
      </c>
      <c r="H1810" s="29">
        <v>109</v>
      </c>
      <c r="I1810" s="29">
        <v>96</v>
      </c>
      <c r="J1810" s="29">
        <v>71.5</v>
      </c>
      <c r="K1810" s="29">
        <v>69</v>
      </c>
      <c r="L1810" s="29">
        <v>75</v>
      </c>
      <c r="M1810" s="29">
        <v>66</v>
      </c>
      <c r="N1810" s="29">
        <v>70</v>
      </c>
      <c r="O1810" s="32">
        <v>556.5</v>
      </c>
      <c r="P1810" s="29" cm="1">
        <f t="array" ref="P1810">IF(表成绩单[[#This Row],[语文]]="","",SUMPRODUCT((表成绩单[考试日期]=表成绩单[[#This Row],[考试日期]])*(表成绩单[语文]&lt;9E+307)*(表成绩单[语文]&gt;表成绩单[[#This Row],[语文]]))+1)</f>
        <v>19</v>
      </c>
      <c r="Q1810" s="29" cm="1">
        <f t="array" ref="Q1810">IF(表成绩单[[#This Row],[数学]]="","",SUMPRODUCT((表成绩单[考试日期]=表成绩单[[#This Row],[考试日期]])*(表成绩单[数学]&lt;9E+307)*(表成绩单[数学]&gt;表成绩单[[#This Row],[数学]]))+1)</f>
        <v>154</v>
      </c>
      <c r="R1810" s="29" cm="1">
        <f t="array" ref="R1810">IF(表成绩单[[#This Row],[英语]]="","",SUMPRODUCT((表成绩单[考试日期]=表成绩单[[#This Row],[考试日期]])*(表成绩单[英语]&lt;9E+307)*(表成绩单[英语]&gt;表成绩单[[#This Row],[英语]]))+1)</f>
        <v>271</v>
      </c>
      <c r="S1810" s="29" cm="1">
        <f t="array" ref="S1810">IF(表成绩单[[#This Row],[物理]]="","",SUMPRODUCT((表成绩单[考试日期]=表成绩单[[#This Row],[考试日期]])*(表成绩单[物理]&lt;9E+307)*(表成绩单[物理]&gt;表成绩单[[#This Row],[物理]]))+1)</f>
        <v>356</v>
      </c>
      <c r="T1810" s="29" cm="1">
        <f t="array" ref="T1810">IF(表成绩单[[#This Row],[化学]]="","",SUMPRODUCT((表成绩单[考试日期]=表成绩单[[#This Row],[考试日期]])*(表成绩单[化学]&lt;9E+307)*(表成绩单[化学]&gt;表成绩单[[#This Row],[化学]]))+1)</f>
        <v>169</v>
      </c>
      <c r="U1810" s="29" cm="1">
        <f t="array" ref="U1810">IF(表成绩单[[#This Row],[政治]]="","",SUMPRODUCT((表成绩单[考试日期]=表成绩单[[#This Row],[考试日期]])*(表成绩单[政治]&lt;9E+307)*(表成绩单[政治]&gt;表成绩单[[#This Row],[政治]]))+1)</f>
        <v>397</v>
      </c>
      <c r="V1810" s="29" cm="1">
        <f t="array" ref="V1810">IF(表成绩单[[#This Row],[历史]]="","",SUMPRODUCT((表成绩单[考试日期]=表成绩单[[#This Row],[考试日期]])*(表成绩单[历史]&lt;9E+307)*(表成绩单[历史]&gt;表成绩单[[#This Row],[历史]]))+1)</f>
        <v>328</v>
      </c>
      <c r="W1810" s="29" cm="1">
        <f t="array" ref="W1810">IF(表成绩单[[#This Row],[总分]]="","",SUMPRODUCT((表成绩单[考试日期]=表成绩单[[#This Row],[考试日期]])*(表成绩单[总分]&lt;9E+307)*(表成绩单[总分]&gt;表成绩单[[#This Row],[总分]]))+1)</f>
        <v>204</v>
      </c>
    </row>
    <row r="1811" ht="28" customHeight="1" spans="4:23">
      <c r="D1811" s="31">
        <v>46030</v>
      </c>
      <c r="E1811" s="29">
        <v>19174460</v>
      </c>
      <c r="F1811" s="29" t="s">
        <v>73</v>
      </c>
      <c r="G1811" s="29" t="s">
        <v>342</v>
      </c>
      <c r="H1811" s="29">
        <v>98</v>
      </c>
      <c r="I1811" s="29">
        <v>87</v>
      </c>
      <c r="J1811" s="29">
        <v>79.5</v>
      </c>
      <c r="K1811" s="29">
        <v>77</v>
      </c>
      <c r="L1811" s="29">
        <v>76</v>
      </c>
      <c r="M1811" s="29">
        <v>74</v>
      </c>
      <c r="N1811" s="29">
        <v>65</v>
      </c>
      <c r="O1811" s="32">
        <v>556.5</v>
      </c>
      <c r="P1811" s="29" cm="1">
        <f t="array" ref="P1811">IF(表成绩单[[#This Row],[语文]]="","",SUMPRODUCT((表成绩单[考试日期]=表成绩单[[#This Row],[考试日期]])*(表成绩单[语文]&lt;9E+307)*(表成绩单[语文]&gt;表成绩单[[#This Row],[语文]]))+1)</f>
        <v>248</v>
      </c>
      <c r="Q1811" s="29" cm="1">
        <f t="array" ref="Q1811">IF(表成绩单[[#This Row],[数学]]="","",SUMPRODUCT((表成绩单[考试日期]=表成绩单[[#This Row],[考试日期]])*(表成绩单[数学]&lt;9E+307)*(表成绩单[数学]&gt;表成绩单[[#This Row],[数学]]))+1)</f>
        <v>270</v>
      </c>
      <c r="R1811" s="29" cm="1">
        <f t="array" ref="R1811">IF(表成绩单[[#This Row],[英语]]="","",SUMPRODUCT((表成绩单[考试日期]=表成绩单[[#This Row],[考试日期]])*(表成绩单[英语]&lt;9E+307)*(表成绩单[英语]&gt;表成绩单[[#This Row],[英语]]))+1)</f>
        <v>41</v>
      </c>
      <c r="S1811" s="29" cm="1">
        <f t="array" ref="S1811">IF(表成绩单[[#This Row],[物理]]="","",SUMPRODUCT((表成绩单[考试日期]=表成绩单[[#This Row],[考试日期]])*(表成绩单[物理]&lt;9E+307)*(表成绩单[物理]&gt;表成绩单[[#This Row],[物理]]))+1)</f>
        <v>197</v>
      </c>
      <c r="T1811" s="29" cm="1">
        <f t="array" ref="T1811">IF(表成绩单[[#This Row],[化学]]="","",SUMPRODUCT((表成绩单[考试日期]=表成绩单[[#This Row],[考试日期]])*(表成绩单[化学]&lt;9E+307)*(表成绩单[化学]&gt;表成绩单[[#This Row],[化学]]))+1)</f>
        <v>139</v>
      </c>
      <c r="U1811" s="29" cm="1">
        <f t="array" ref="U1811">IF(表成绩单[[#This Row],[政治]]="","",SUMPRODUCT((表成绩单[考试日期]=表成绩单[[#This Row],[考试日期]])*(表成绩单[政治]&lt;9E+307)*(表成绩单[政治]&gt;表成绩单[[#This Row],[政治]]))+1)</f>
        <v>168</v>
      </c>
      <c r="V1811" s="29" cm="1">
        <f t="array" ref="V1811">IF(表成绩单[[#This Row],[历史]]="","",SUMPRODUCT((表成绩单[考试日期]=表成绩单[[#This Row],[考试日期]])*(表成绩单[历史]&lt;9E+307)*(表成绩单[历史]&gt;表成绩单[[#This Row],[历史]]))+1)</f>
        <v>471</v>
      </c>
      <c r="W1811" s="29" cm="1">
        <f t="array" ref="W1811">IF(表成绩单[[#This Row],[总分]]="","",SUMPRODUCT((表成绩单[考试日期]=表成绩单[[#This Row],[考试日期]])*(表成绩单[总分]&lt;9E+307)*(表成绩单[总分]&gt;表成绩单[[#This Row],[总分]]))+1)</f>
        <v>204</v>
      </c>
    </row>
    <row r="1812" ht="28" customHeight="1" spans="4:23">
      <c r="D1812" s="31">
        <v>46030</v>
      </c>
      <c r="E1812" s="29">
        <v>19175385</v>
      </c>
      <c r="F1812" s="29" t="s">
        <v>74</v>
      </c>
      <c r="G1812" s="29" t="s">
        <v>299</v>
      </c>
      <c r="H1812" s="29">
        <v>108</v>
      </c>
      <c r="I1812" s="29">
        <v>84</v>
      </c>
      <c r="J1812" s="29">
        <v>69.5</v>
      </c>
      <c r="K1812" s="29">
        <v>68</v>
      </c>
      <c r="L1812" s="29">
        <v>75</v>
      </c>
      <c r="M1812" s="29">
        <v>73</v>
      </c>
      <c r="N1812" s="29">
        <v>78</v>
      </c>
      <c r="O1812" s="32">
        <v>555.5</v>
      </c>
      <c r="P1812" s="29" cm="1">
        <f t="array" ref="P1812">IF(表成绩单[[#This Row],[语文]]="","",SUMPRODUCT((表成绩单[考试日期]=表成绩单[[#This Row],[考试日期]])*(表成绩单[语文]&lt;9E+307)*(表成绩单[语文]&gt;表成绩单[[#This Row],[语文]]))+1)</f>
        <v>29</v>
      </c>
      <c r="Q1812" s="29" cm="1">
        <f t="array" ref="Q1812">IF(表成绩单[[#This Row],[数学]]="","",SUMPRODUCT((表成绩单[考试日期]=表成绩单[[#This Row],[考试日期]])*(表成绩单[数学]&lt;9E+307)*(表成绩单[数学]&gt;表成绩单[[#This Row],[数学]]))+1)</f>
        <v>343</v>
      </c>
      <c r="R1812" s="29" cm="1">
        <f t="array" ref="R1812">IF(表成绩单[[#This Row],[英语]]="","",SUMPRODUCT((表成绩单[考试日期]=表成绩单[[#This Row],[考试日期]])*(表成绩单[英语]&lt;9E+307)*(表成绩单[英语]&gt;表成绩单[[#This Row],[英语]]))+1)</f>
        <v>330</v>
      </c>
      <c r="S1812" s="29" cm="1">
        <f t="array" ref="S1812">IF(表成绩单[[#This Row],[物理]]="","",SUMPRODUCT((表成绩单[考试日期]=表成绩单[[#This Row],[考试日期]])*(表成绩单[物理]&lt;9E+307)*(表成绩单[物理]&gt;表成绩单[[#This Row],[物理]]))+1)</f>
        <v>372</v>
      </c>
      <c r="T1812" s="29" cm="1">
        <f t="array" ref="T1812">IF(表成绩单[[#This Row],[化学]]="","",SUMPRODUCT((表成绩单[考试日期]=表成绩单[[#This Row],[考试日期]])*(表成绩单[化学]&lt;9E+307)*(表成绩单[化学]&gt;表成绩单[[#This Row],[化学]]))+1)</f>
        <v>169</v>
      </c>
      <c r="U1812" s="29" cm="1">
        <f t="array" ref="U1812">IF(表成绩单[[#This Row],[政治]]="","",SUMPRODUCT((表成绩单[考试日期]=表成绩单[[#This Row],[考试日期]])*(表成绩单[政治]&lt;9E+307)*(表成绩单[政治]&gt;表成绩单[[#This Row],[政治]]))+1)</f>
        <v>197</v>
      </c>
      <c r="V1812" s="29" cm="1">
        <f t="array" ref="V1812">IF(表成绩单[[#This Row],[历史]]="","",SUMPRODUCT((表成绩单[考试日期]=表成绩单[[#This Row],[考试日期]])*(表成绩单[历史]&lt;9E+307)*(表成绩单[历史]&gt;表成绩单[[#This Row],[历史]]))+1)</f>
        <v>126</v>
      </c>
      <c r="W1812" s="29" cm="1">
        <f t="array" ref="W1812">IF(表成绩单[[#This Row],[总分]]="","",SUMPRODUCT((表成绩单[考试日期]=表成绩单[[#This Row],[考试日期]])*(表成绩单[总分]&lt;9E+307)*(表成绩单[总分]&gt;表成绩单[[#This Row],[总分]]))+1)</f>
        <v>206</v>
      </c>
    </row>
    <row r="1813" ht="28" customHeight="1" spans="4:23">
      <c r="D1813" s="31">
        <v>46030</v>
      </c>
      <c r="E1813" s="29">
        <v>19176876</v>
      </c>
      <c r="F1813" s="29" t="s">
        <v>71</v>
      </c>
      <c r="G1813" s="29" t="s">
        <v>243</v>
      </c>
      <c r="H1813" s="29">
        <v>99</v>
      </c>
      <c r="I1813" s="29">
        <v>94</v>
      </c>
      <c r="J1813" s="29">
        <v>69.5</v>
      </c>
      <c r="K1813" s="29">
        <v>67</v>
      </c>
      <c r="L1813" s="29">
        <v>82</v>
      </c>
      <c r="M1813" s="29">
        <v>72</v>
      </c>
      <c r="N1813" s="29">
        <v>72</v>
      </c>
      <c r="O1813" s="32">
        <v>555.5</v>
      </c>
      <c r="P1813" s="29" cm="1">
        <f t="array" ref="P1813">IF(表成绩单[[#This Row],[语文]]="","",SUMPRODUCT((表成绩单[考试日期]=表成绩单[[#This Row],[考试日期]])*(表成绩单[语文]&lt;9E+307)*(表成绩单[语文]&gt;表成绩单[[#This Row],[语文]]))+1)</f>
        <v>213</v>
      </c>
      <c r="Q1813" s="29" cm="1">
        <f t="array" ref="Q1813">IF(表成绩单[[#This Row],[数学]]="","",SUMPRODUCT((表成绩单[考试日期]=表成绩单[[#This Row],[考试日期]])*(表成绩单[数学]&lt;9E+307)*(表成绩单[数学]&gt;表成绩单[[#This Row],[数学]]))+1)</f>
        <v>178</v>
      </c>
      <c r="R1813" s="29" cm="1">
        <f t="array" ref="R1813">IF(表成绩单[[#This Row],[英语]]="","",SUMPRODUCT((表成绩单[考试日期]=表成绩单[[#This Row],[考试日期]])*(表成绩单[英语]&lt;9E+307)*(表成绩单[英语]&gt;表成绩单[[#This Row],[英语]]))+1)</f>
        <v>330</v>
      </c>
      <c r="S1813" s="29" cm="1">
        <f t="array" ref="S1813">IF(表成绩单[[#This Row],[物理]]="","",SUMPRODUCT((表成绩单[考试日期]=表成绩单[[#This Row],[考试日期]])*(表成绩单[物理]&lt;9E+307)*(表成绩单[物理]&gt;表成绩单[[#This Row],[物理]]))+1)</f>
        <v>394</v>
      </c>
      <c r="T1813" s="29" cm="1">
        <f t="array" ref="T1813">IF(表成绩单[[#This Row],[化学]]="","",SUMPRODUCT((表成绩单[考试日期]=表成绩单[[#This Row],[考试日期]])*(表成绩单[化学]&lt;9E+307)*(表成绩单[化学]&gt;表成绩单[[#This Row],[化学]]))+1)</f>
        <v>23</v>
      </c>
      <c r="U1813" s="29" cm="1">
        <f t="array" ref="U1813">IF(表成绩单[[#This Row],[政治]]="","",SUMPRODUCT((表成绩单[考试日期]=表成绩单[[#This Row],[考试日期]])*(表成绩单[政治]&lt;9E+307)*(表成绩单[政治]&gt;表成绩单[[#This Row],[政治]]))+1)</f>
        <v>224</v>
      </c>
      <c r="V1813" s="29" cm="1">
        <f t="array" ref="V1813">IF(表成绩单[[#This Row],[历史]]="","",SUMPRODUCT((表成绩单[考试日期]=表成绩单[[#This Row],[考试日期]])*(表成绩单[历史]&lt;9E+307)*(表成绩单[历史]&gt;表成绩单[[#This Row],[历史]]))+1)</f>
        <v>266</v>
      </c>
      <c r="W1813" s="29" cm="1">
        <f t="array" ref="W1813">IF(表成绩单[[#This Row],[总分]]="","",SUMPRODUCT((表成绩单[考试日期]=表成绩单[[#This Row],[考试日期]])*(表成绩单[总分]&lt;9E+307)*(表成绩单[总分]&gt;表成绩单[[#This Row],[总分]]))+1)</f>
        <v>206</v>
      </c>
    </row>
    <row r="1814" ht="28" customHeight="1" spans="4:23">
      <c r="D1814" s="31">
        <v>46030</v>
      </c>
      <c r="E1814" s="29">
        <v>19177647</v>
      </c>
      <c r="F1814" s="29" t="s">
        <v>63</v>
      </c>
      <c r="G1814" s="29" t="s">
        <v>443</v>
      </c>
      <c r="H1814" s="29">
        <v>94</v>
      </c>
      <c r="I1814" s="29">
        <v>79</v>
      </c>
      <c r="J1814" s="29">
        <v>72.5</v>
      </c>
      <c r="K1814" s="29">
        <v>79</v>
      </c>
      <c r="L1814" s="29">
        <v>82</v>
      </c>
      <c r="M1814" s="29">
        <v>67</v>
      </c>
      <c r="N1814" s="29">
        <v>82</v>
      </c>
      <c r="O1814" s="32">
        <v>555.5</v>
      </c>
      <c r="P1814" s="29" cm="1">
        <f t="array" ref="P1814">IF(表成绩单[[#This Row],[语文]]="","",SUMPRODUCT((表成绩单[考试日期]=表成绩单[[#This Row],[考试日期]])*(表成绩单[语文]&lt;9E+307)*(表成绩单[语文]&gt;表成绩单[[#This Row],[语文]]))+1)</f>
        <v>381</v>
      </c>
      <c r="Q1814" s="29" cm="1">
        <f t="array" ref="Q1814">IF(表成绩单[[#This Row],[数学]]="","",SUMPRODUCT((表成绩单[考试日期]=表成绩单[[#This Row],[考试日期]])*(表成绩单[数学]&lt;9E+307)*(表成绩单[数学]&gt;表成绩单[[#This Row],[数学]]))+1)</f>
        <v>427</v>
      </c>
      <c r="R1814" s="29" cm="1">
        <f t="array" ref="R1814">IF(表成绩单[[#This Row],[英语]]="","",SUMPRODUCT((表成绩单[考试日期]=表成绩单[[#This Row],[考试日期]])*(表成绩单[英语]&lt;9E+307)*(表成绩单[英语]&gt;表成绩单[[#This Row],[英语]]))+1)</f>
        <v>242</v>
      </c>
      <c r="S1814" s="29" cm="1">
        <f t="array" ref="S1814">IF(表成绩单[[#This Row],[物理]]="","",SUMPRODUCT((表成绩单[考试日期]=表成绩单[[#This Row],[考试日期]])*(表成绩单[物理]&lt;9E+307)*(表成绩单[物理]&gt;表成绩单[[#This Row],[物理]]))+1)</f>
        <v>153</v>
      </c>
      <c r="T1814" s="29" cm="1">
        <f t="array" ref="T1814">IF(表成绩单[[#This Row],[化学]]="","",SUMPRODUCT((表成绩单[考试日期]=表成绩单[[#This Row],[考试日期]])*(表成绩单[化学]&lt;9E+307)*(表成绩单[化学]&gt;表成绩单[[#This Row],[化学]]))+1)</f>
        <v>23</v>
      </c>
      <c r="U1814" s="29" cm="1">
        <f t="array" ref="U1814">IF(表成绩单[[#This Row],[政治]]="","",SUMPRODUCT((表成绩单[考试日期]=表成绩单[[#This Row],[考试日期]])*(表成绩单[政治]&lt;9E+307)*(表成绩单[政治]&gt;表成绩单[[#This Row],[政治]]))+1)</f>
        <v>370</v>
      </c>
      <c r="V1814" s="29" cm="1">
        <f t="array" ref="V1814">IF(表成绩单[[#This Row],[历史]]="","",SUMPRODUCT((表成绩单[考试日期]=表成绩单[[#This Row],[考试日期]])*(表成绩单[历史]&lt;9E+307)*(表成绩单[历史]&gt;表成绩单[[#This Row],[历史]]))+1)</f>
        <v>41</v>
      </c>
      <c r="W1814" s="29" cm="1">
        <f t="array" ref="W1814">IF(表成绩单[[#This Row],[总分]]="","",SUMPRODUCT((表成绩单[考试日期]=表成绩单[[#This Row],[考试日期]])*(表成绩单[总分]&lt;9E+307)*(表成绩单[总分]&gt;表成绩单[[#This Row],[总分]]))+1)</f>
        <v>206</v>
      </c>
    </row>
    <row r="1815" ht="28" customHeight="1" spans="4:23">
      <c r="D1815" s="31">
        <v>46030</v>
      </c>
      <c r="E1815" s="29">
        <v>19178618</v>
      </c>
      <c r="F1815" s="29" t="s">
        <v>25</v>
      </c>
      <c r="G1815" s="29" t="s">
        <v>335</v>
      </c>
      <c r="H1815" s="29">
        <v>94</v>
      </c>
      <c r="I1815" s="29">
        <v>88</v>
      </c>
      <c r="J1815" s="29">
        <v>68.5</v>
      </c>
      <c r="K1815" s="29">
        <v>81</v>
      </c>
      <c r="L1815" s="29">
        <v>82</v>
      </c>
      <c r="M1815" s="29">
        <v>70</v>
      </c>
      <c r="N1815" s="29">
        <v>72</v>
      </c>
      <c r="O1815" s="32">
        <v>555.5</v>
      </c>
      <c r="P1815" s="29" cm="1">
        <f t="array" ref="P1815">IF(表成绩单[[#This Row],[语文]]="","",SUMPRODUCT((表成绩单[考试日期]=表成绩单[[#This Row],[考试日期]])*(表成绩单[语文]&lt;9E+307)*(表成绩单[语文]&gt;表成绩单[[#This Row],[语文]]))+1)</f>
        <v>381</v>
      </c>
      <c r="Q1815" s="29" cm="1">
        <f t="array" ref="Q1815">IF(表成绩单[[#This Row],[数学]]="","",SUMPRODUCT((表成绩单[考试日期]=表成绩单[[#This Row],[考试日期]])*(表成绩单[数学]&lt;9E+307)*(表成绩单[数学]&gt;表成绩单[[#This Row],[数学]]))+1)</f>
        <v>245</v>
      </c>
      <c r="R1815" s="29" cm="1">
        <f t="array" ref="R1815">IF(表成绩单[[#This Row],[英语]]="","",SUMPRODUCT((表成绩单[考试日期]=表成绩单[[#This Row],[考试日期]])*(表成绩单[英语]&lt;9E+307)*(表成绩单[英语]&gt;表成绩单[[#This Row],[英语]]))+1)</f>
        <v>351</v>
      </c>
      <c r="S1815" s="29" cm="1">
        <f t="array" ref="S1815">IF(表成绩单[[#This Row],[物理]]="","",SUMPRODUCT((表成绩单[考试日期]=表成绩单[[#This Row],[考试日期]])*(表成绩单[物理]&lt;9E+307)*(表成绩单[物理]&gt;表成绩单[[#This Row],[物理]]))+1)</f>
        <v>119</v>
      </c>
      <c r="T1815" s="29" cm="1">
        <f t="array" ref="T1815">IF(表成绩单[[#This Row],[化学]]="","",SUMPRODUCT((表成绩单[考试日期]=表成绩单[[#This Row],[考试日期]])*(表成绩单[化学]&lt;9E+307)*(表成绩单[化学]&gt;表成绩单[[#This Row],[化学]]))+1)</f>
        <v>23</v>
      </c>
      <c r="U1815" s="29" cm="1">
        <f t="array" ref="U1815">IF(表成绩单[[#This Row],[政治]]="","",SUMPRODUCT((表成绩单[考试日期]=表成绩单[[#This Row],[考试日期]])*(表成绩单[政治]&lt;9E+307)*(表成绩单[政治]&gt;表成绩单[[#This Row],[政治]]))+1)</f>
        <v>274</v>
      </c>
      <c r="V1815" s="29" cm="1">
        <f t="array" ref="V1815">IF(表成绩单[[#This Row],[历史]]="","",SUMPRODUCT((表成绩单[考试日期]=表成绩单[[#This Row],[考试日期]])*(表成绩单[历史]&lt;9E+307)*(表成绩单[历史]&gt;表成绩单[[#This Row],[历史]]))+1)</f>
        <v>266</v>
      </c>
      <c r="W1815" s="29" cm="1">
        <f t="array" ref="W1815">IF(表成绩单[[#This Row],[总分]]="","",SUMPRODUCT((表成绩单[考试日期]=表成绩单[[#This Row],[考试日期]])*(表成绩单[总分]&lt;9E+307)*(表成绩单[总分]&gt;表成绩单[[#This Row],[总分]]))+1)</f>
        <v>206</v>
      </c>
    </row>
    <row r="1816" ht="28" customHeight="1" spans="4:23">
      <c r="D1816" s="31">
        <v>46030</v>
      </c>
      <c r="E1816" s="29">
        <v>19174797</v>
      </c>
      <c r="F1816" s="29" t="s">
        <v>69</v>
      </c>
      <c r="G1816" s="29" t="s">
        <v>176</v>
      </c>
      <c r="H1816" s="29">
        <v>91</v>
      </c>
      <c r="I1816" s="29">
        <v>102</v>
      </c>
      <c r="J1816" s="29">
        <v>66</v>
      </c>
      <c r="K1816" s="29">
        <v>83</v>
      </c>
      <c r="L1816" s="29">
        <v>74</v>
      </c>
      <c r="M1816" s="29">
        <v>68</v>
      </c>
      <c r="N1816" s="29">
        <v>71</v>
      </c>
      <c r="O1816" s="32">
        <v>555</v>
      </c>
      <c r="P1816" s="29" cm="1">
        <f t="array" ref="P1816">IF(表成绩单[[#This Row],[语文]]="","",SUMPRODUCT((表成绩单[考试日期]=表成绩单[[#This Row],[考试日期]])*(表成绩单[语文]&lt;9E+307)*(表成绩单[语文]&gt;表成绩单[[#This Row],[语文]]))+1)</f>
        <v>478</v>
      </c>
      <c r="Q1816" s="29" cm="1">
        <f t="array" ref="Q1816">IF(表成绩单[[#This Row],[数学]]="","",SUMPRODUCT((表成绩单[考试日期]=表成绩单[[#This Row],[考试日期]])*(表成绩单[数学]&lt;9E+307)*(表成绩单[数学]&gt;表成绩单[[#This Row],[数学]]))+1)</f>
        <v>95</v>
      </c>
      <c r="R1816" s="29" cm="1">
        <f t="array" ref="R1816">IF(表成绩单[[#This Row],[英语]]="","",SUMPRODUCT((表成绩单[考试日期]=表成绩单[[#This Row],[考试日期]])*(表成绩单[英语]&lt;9E+307)*(表成绩单[英语]&gt;表成绩单[[#This Row],[英语]]))+1)</f>
        <v>421</v>
      </c>
      <c r="S1816" s="29" cm="1">
        <f t="array" ref="S1816">IF(表成绩单[[#This Row],[物理]]="","",SUMPRODUCT((表成绩单[考试日期]=表成绩单[[#This Row],[考试日期]])*(表成绩单[物理]&lt;9E+307)*(表成绩单[物理]&gt;表成绩单[[#This Row],[物理]]))+1)</f>
        <v>88</v>
      </c>
      <c r="T1816" s="29" cm="1">
        <f t="array" ref="T1816">IF(表成绩单[[#This Row],[化学]]="","",SUMPRODUCT((表成绩单[考试日期]=表成绩单[[#This Row],[考试日期]])*(表成绩单[化学]&lt;9E+307)*(表成绩单[化学]&gt;表成绩单[[#This Row],[化学]]))+1)</f>
        <v>208</v>
      </c>
      <c r="U1816" s="29" cm="1">
        <f t="array" ref="U1816">IF(表成绩单[[#This Row],[政治]]="","",SUMPRODUCT((表成绩单[考试日期]=表成绩单[[#This Row],[考试日期]])*(表成绩单[政治]&lt;9E+307)*(表成绩单[政治]&gt;表成绩单[[#This Row],[政治]]))+1)</f>
        <v>336</v>
      </c>
      <c r="V1816" s="29" cm="1">
        <f t="array" ref="V1816">IF(表成绩单[[#This Row],[历史]]="","",SUMPRODUCT((表成绩单[考试日期]=表成绩单[[#This Row],[考试日期]])*(表成绩单[历史]&lt;9E+307)*(表成绩单[历史]&gt;表成绩单[[#This Row],[历史]]))+1)</f>
        <v>297</v>
      </c>
      <c r="W1816" s="29" cm="1">
        <f t="array" ref="W1816">IF(表成绩单[[#This Row],[总分]]="","",SUMPRODUCT((表成绩单[考试日期]=表成绩单[[#This Row],[考试日期]])*(表成绩单[总分]&lt;9E+307)*(表成绩单[总分]&gt;表成绩单[[#This Row],[总分]]))+1)</f>
        <v>210</v>
      </c>
    </row>
    <row r="1817" ht="28" customHeight="1" spans="4:23">
      <c r="D1817" s="31">
        <v>46030</v>
      </c>
      <c r="E1817" s="29">
        <v>19175704</v>
      </c>
      <c r="F1817" s="29" t="s">
        <v>72</v>
      </c>
      <c r="G1817" s="29" t="s">
        <v>291</v>
      </c>
      <c r="H1817" s="29">
        <v>100</v>
      </c>
      <c r="I1817" s="29">
        <v>94</v>
      </c>
      <c r="J1817" s="29">
        <v>75</v>
      </c>
      <c r="K1817" s="29">
        <v>77</v>
      </c>
      <c r="L1817" s="29">
        <v>60</v>
      </c>
      <c r="M1817" s="29">
        <v>71</v>
      </c>
      <c r="N1817" s="29">
        <v>78</v>
      </c>
      <c r="O1817" s="32">
        <v>555</v>
      </c>
      <c r="P1817" s="29" cm="1">
        <f t="array" ref="P1817">IF(表成绩单[[#This Row],[语文]]="","",SUMPRODUCT((表成绩单[考试日期]=表成绩单[[#This Row],[考试日期]])*(表成绩单[语文]&lt;9E+307)*(表成绩单[语文]&gt;表成绩单[[#This Row],[语文]]))+1)</f>
        <v>182</v>
      </c>
      <c r="Q1817" s="29" cm="1">
        <f t="array" ref="Q1817">IF(表成绩单[[#This Row],[数学]]="","",SUMPRODUCT((表成绩单[考试日期]=表成绩单[[#This Row],[考试日期]])*(表成绩单[数学]&lt;9E+307)*(表成绩单[数学]&gt;表成绩单[[#This Row],[数学]]))+1)</f>
        <v>178</v>
      </c>
      <c r="R1817" s="29" cm="1">
        <f t="array" ref="R1817">IF(表成绩单[[#This Row],[英语]]="","",SUMPRODUCT((表成绩单[考试日期]=表成绩单[[#This Row],[考试日期]])*(表成绩单[英语]&lt;9E+307)*(表成绩单[英语]&gt;表成绩单[[#This Row],[英语]]))+1)</f>
        <v>164</v>
      </c>
      <c r="S1817" s="29" cm="1">
        <f t="array" ref="S1817">IF(表成绩单[[#This Row],[物理]]="","",SUMPRODUCT((表成绩单[考试日期]=表成绩单[[#This Row],[考试日期]])*(表成绩单[物理]&lt;9E+307)*(表成绩单[物理]&gt;表成绩单[[#This Row],[物理]]))+1)</f>
        <v>197</v>
      </c>
      <c r="T1817" s="29" cm="1">
        <f t="array" ref="T1817">IF(表成绩单[[#This Row],[化学]]="","",SUMPRODUCT((表成绩单[考试日期]=表成绩单[[#This Row],[考试日期]])*(表成绩单[化学]&lt;9E+307)*(表成绩单[化学]&gt;表成绩单[[#This Row],[化学]]))+1)</f>
        <v>525</v>
      </c>
      <c r="U1817" s="29" cm="1">
        <f t="array" ref="U1817">IF(表成绩单[[#This Row],[政治]]="","",SUMPRODUCT((表成绩单[考试日期]=表成绩单[[#This Row],[考试日期]])*(表成绩单[政治]&lt;9E+307)*(表成绩单[政治]&gt;表成绩单[[#This Row],[政治]]))+1)</f>
        <v>248</v>
      </c>
      <c r="V1817" s="29" cm="1">
        <f t="array" ref="V1817">IF(表成绩单[[#This Row],[历史]]="","",SUMPRODUCT((表成绩单[考试日期]=表成绩单[[#This Row],[考试日期]])*(表成绩单[历史]&lt;9E+307)*(表成绩单[历史]&gt;表成绩单[[#This Row],[历史]]))+1)</f>
        <v>126</v>
      </c>
      <c r="W1817" s="29" cm="1">
        <f t="array" ref="W1817">IF(表成绩单[[#This Row],[总分]]="","",SUMPRODUCT((表成绩单[考试日期]=表成绩单[[#This Row],[考试日期]])*(表成绩单[总分]&lt;9E+307)*(表成绩单[总分]&gt;表成绩单[[#This Row],[总分]]))+1)</f>
        <v>210</v>
      </c>
    </row>
    <row r="1818" ht="28" customHeight="1" spans="4:23">
      <c r="D1818" s="31">
        <v>46030</v>
      </c>
      <c r="E1818" s="29">
        <v>19175705</v>
      </c>
      <c r="F1818" s="29" t="s">
        <v>72</v>
      </c>
      <c r="G1818" s="29" t="s">
        <v>275</v>
      </c>
      <c r="H1818" s="29">
        <v>98</v>
      </c>
      <c r="I1818" s="29">
        <v>99</v>
      </c>
      <c r="J1818" s="29">
        <v>70</v>
      </c>
      <c r="K1818" s="29">
        <v>77</v>
      </c>
      <c r="L1818" s="29">
        <v>68</v>
      </c>
      <c r="M1818" s="29">
        <v>65</v>
      </c>
      <c r="N1818" s="29">
        <v>78</v>
      </c>
      <c r="O1818" s="32">
        <v>555</v>
      </c>
      <c r="P1818" s="29" cm="1">
        <f t="array" ref="P1818">IF(表成绩单[[#This Row],[语文]]="","",SUMPRODUCT((表成绩单[考试日期]=表成绩单[[#This Row],[考试日期]])*(表成绩单[语文]&lt;9E+307)*(表成绩单[语文]&gt;表成绩单[[#This Row],[语文]]))+1)</f>
        <v>248</v>
      </c>
      <c r="Q1818" s="29" cm="1">
        <f t="array" ref="Q1818">IF(表成绩单[[#This Row],[数学]]="","",SUMPRODUCT((表成绩单[考试日期]=表成绩单[[#This Row],[考试日期]])*(表成绩单[数学]&lt;9E+307)*(表成绩单[数学]&gt;表成绩单[[#This Row],[数学]]))+1)</f>
        <v>120</v>
      </c>
      <c r="R1818" s="29" cm="1">
        <f t="array" ref="R1818">IF(表成绩单[[#This Row],[英语]]="","",SUMPRODUCT((表成绩单[考试日期]=表成绩单[[#This Row],[考试日期]])*(表成绩单[英语]&lt;9E+307)*(表成绩单[英语]&gt;表成绩单[[#This Row],[英语]]))+1)</f>
        <v>319</v>
      </c>
      <c r="S1818" s="29" cm="1">
        <f t="array" ref="S1818">IF(表成绩单[[#This Row],[物理]]="","",SUMPRODUCT((表成绩单[考试日期]=表成绩单[[#This Row],[考试日期]])*(表成绩单[物理]&lt;9E+307)*(表成绩单[物理]&gt;表成绩单[[#This Row],[物理]]))+1)</f>
        <v>197</v>
      </c>
      <c r="T1818" s="29" cm="1">
        <f t="array" ref="T1818">IF(表成绩单[[#This Row],[化学]]="","",SUMPRODUCT((表成绩单[考试日期]=表成绩单[[#This Row],[考试日期]])*(表成绩单[化学]&lt;9E+307)*(表成绩单[化学]&gt;表成绩单[[#This Row],[化学]]))+1)</f>
        <v>358</v>
      </c>
      <c r="U1818" s="29" cm="1">
        <f t="array" ref="U1818">IF(表成绩单[[#This Row],[政治]]="","",SUMPRODUCT((表成绩单[考试日期]=表成绩单[[#This Row],[考试日期]])*(表成绩单[政治]&lt;9E+307)*(表成绩单[政治]&gt;表成绩单[[#This Row],[政治]]))+1)</f>
        <v>431</v>
      </c>
      <c r="V1818" s="29" cm="1">
        <f t="array" ref="V1818">IF(表成绩单[[#This Row],[历史]]="","",SUMPRODUCT((表成绩单[考试日期]=表成绩单[[#This Row],[考试日期]])*(表成绩单[历史]&lt;9E+307)*(表成绩单[历史]&gt;表成绩单[[#This Row],[历史]]))+1)</f>
        <v>126</v>
      </c>
      <c r="W1818" s="29" cm="1">
        <f t="array" ref="W1818">IF(表成绩单[[#This Row],[总分]]="","",SUMPRODUCT((表成绩单[考试日期]=表成绩单[[#This Row],[考试日期]])*(表成绩单[总分]&lt;9E+307)*(表成绩单[总分]&gt;表成绩单[[#This Row],[总分]]))+1)</f>
        <v>210</v>
      </c>
    </row>
    <row r="1819" ht="28" customHeight="1" spans="4:23">
      <c r="D1819" s="31">
        <v>46030</v>
      </c>
      <c r="E1819" s="29">
        <v>19178576</v>
      </c>
      <c r="F1819" s="29" t="s">
        <v>64</v>
      </c>
      <c r="G1819" s="29" t="s">
        <v>213</v>
      </c>
      <c r="H1819" s="29">
        <v>95</v>
      </c>
      <c r="I1819" s="29">
        <v>101</v>
      </c>
      <c r="J1819" s="29">
        <v>67</v>
      </c>
      <c r="K1819" s="29">
        <v>77</v>
      </c>
      <c r="L1819" s="29">
        <v>70</v>
      </c>
      <c r="M1819" s="29">
        <v>70</v>
      </c>
      <c r="N1819" s="29">
        <v>75</v>
      </c>
      <c r="O1819" s="32">
        <v>555</v>
      </c>
      <c r="P1819" s="29" cm="1">
        <f t="array" ref="P1819">IF(表成绩单[[#This Row],[语文]]="","",SUMPRODUCT((表成绩单[考试日期]=表成绩单[[#This Row],[考试日期]])*(表成绩单[语文]&lt;9E+307)*(表成绩单[语文]&gt;表成绩单[[#This Row],[语文]]))+1)</f>
        <v>342</v>
      </c>
      <c r="Q1819" s="29" cm="1">
        <f t="array" ref="Q1819">IF(表成绩单[[#This Row],[数学]]="","",SUMPRODUCT((表成绩单[考试日期]=表成绩单[[#This Row],[考试日期]])*(表成绩单[数学]&lt;9E+307)*(表成绩单[数学]&gt;表成绩单[[#This Row],[数学]]))+1)</f>
        <v>104</v>
      </c>
      <c r="R1819" s="29" cm="1">
        <f t="array" ref="R1819">IF(表成绩单[[#This Row],[英语]]="","",SUMPRODUCT((表成绩单[考试日期]=表成绩单[[#This Row],[考试日期]])*(表成绩单[英语]&lt;9E+307)*(表成绩单[英语]&gt;表成绩单[[#This Row],[英语]]))+1)</f>
        <v>391</v>
      </c>
      <c r="S1819" s="29" cm="1">
        <f t="array" ref="S1819">IF(表成绩单[[#This Row],[物理]]="","",SUMPRODUCT((表成绩单[考试日期]=表成绩单[[#This Row],[考试日期]])*(表成绩单[物理]&lt;9E+307)*(表成绩单[物理]&gt;表成绩单[[#This Row],[物理]]))+1)</f>
        <v>197</v>
      </c>
      <c r="T1819" s="29" cm="1">
        <f t="array" ref="T1819">IF(表成绩单[[#This Row],[化学]]="","",SUMPRODUCT((表成绩单[考试日期]=表成绩单[[#This Row],[考试日期]])*(表成绩单[化学]&lt;9E+307)*(表成绩单[化学]&gt;表成绩单[[#This Row],[化学]]))+1)</f>
        <v>318</v>
      </c>
      <c r="U1819" s="29" cm="1">
        <f t="array" ref="U1819">IF(表成绩单[[#This Row],[政治]]="","",SUMPRODUCT((表成绩单[考试日期]=表成绩单[[#This Row],[考试日期]])*(表成绩单[政治]&lt;9E+307)*(表成绩单[政治]&gt;表成绩单[[#This Row],[政治]]))+1)</f>
        <v>274</v>
      </c>
      <c r="V1819" s="29" cm="1">
        <f t="array" ref="V1819">IF(表成绩单[[#This Row],[历史]]="","",SUMPRODUCT((表成绩单[考试日期]=表成绩单[[#This Row],[考试日期]])*(表成绩单[历史]&lt;9E+307)*(表成绩单[历史]&gt;表成绩单[[#This Row],[历史]]))+1)</f>
        <v>193</v>
      </c>
      <c r="W1819" s="29" cm="1">
        <f t="array" ref="W1819">IF(表成绩单[[#This Row],[总分]]="","",SUMPRODUCT((表成绩单[考试日期]=表成绩单[[#This Row],[考试日期]])*(表成绩单[总分]&lt;9E+307)*(表成绩单[总分]&gt;表成绩单[[#This Row],[总分]]))+1)</f>
        <v>210</v>
      </c>
    </row>
    <row r="1820" ht="28" customHeight="1" spans="4:23">
      <c r="D1820" s="31">
        <v>46030</v>
      </c>
      <c r="E1820" s="29">
        <v>19167646</v>
      </c>
      <c r="F1820" s="29" t="s">
        <v>1</v>
      </c>
      <c r="G1820" s="29" t="s">
        <v>229</v>
      </c>
      <c r="H1820" s="29">
        <v>105</v>
      </c>
      <c r="I1820" s="29">
        <v>90</v>
      </c>
      <c r="J1820" s="29">
        <v>73</v>
      </c>
      <c r="K1820" s="29">
        <v>73</v>
      </c>
      <c r="L1820" s="29">
        <v>70</v>
      </c>
      <c r="M1820" s="29">
        <v>65</v>
      </c>
      <c r="N1820" s="29">
        <v>78</v>
      </c>
      <c r="O1820" s="32">
        <v>554</v>
      </c>
      <c r="P1820" s="29" cm="1">
        <f t="array" ref="P1820">IF(表成绩单[[#This Row],[语文]]="","",SUMPRODUCT((表成绩单[考试日期]=表成绩单[[#This Row],[考试日期]])*(表成绩单[语文]&lt;9E+307)*(表成绩单[语文]&gt;表成绩单[[#This Row],[语文]]))+1)</f>
        <v>62</v>
      </c>
      <c r="Q1820" s="29" cm="1">
        <f t="array" ref="Q1820">IF(表成绩单[[#This Row],[数学]]="","",SUMPRODUCT((表成绩单[考试日期]=表成绩单[[#This Row],[考试日期]])*(表成绩单[数学]&lt;9E+307)*(表成绩单[数学]&gt;表成绩单[[#This Row],[数学]]))+1)</f>
        <v>215</v>
      </c>
      <c r="R1820" s="29" cm="1">
        <f t="array" ref="R1820">IF(表成绩单[[#This Row],[英语]]="","",SUMPRODUCT((表成绩单[考试日期]=表成绩单[[#This Row],[考试日期]])*(表成绩单[英语]&lt;9E+307)*(表成绩单[英语]&gt;表成绩单[[#This Row],[英语]]))+1)</f>
        <v>222</v>
      </c>
      <c r="S1820" s="29" cm="1">
        <f t="array" ref="S1820">IF(表成绩单[[#This Row],[物理]]="","",SUMPRODUCT((表成绩单[考试日期]=表成绩单[[#This Row],[考试日期]])*(表成绩单[物理]&lt;9E+307)*(表成绩单[物理]&gt;表成绩单[[#This Row],[物理]]))+1)</f>
        <v>271</v>
      </c>
      <c r="T1820" s="29" cm="1">
        <f t="array" ref="T1820">IF(表成绩单[[#This Row],[化学]]="","",SUMPRODUCT((表成绩单[考试日期]=表成绩单[[#This Row],[考试日期]])*(表成绩单[化学]&lt;9E+307)*(表成绩单[化学]&gt;表成绩单[[#This Row],[化学]]))+1)</f>
        <v>318</v>
      </c>
      <c r="U1820" s="29" cm="1">
        <f t="array" ref="U1820">IF(表成绩单[[#This Row],[政治]]="","",SUMPRODUCT((表成绩单[考试日期]=表成绩单[[#This Row],[考试日期]])*(表成绩单[政治]&lt;9E+307)*(表成绩单[政治]&gt;表成绩单[[#This Row],[政治]]))+1)</f>
        <v>431</v>
      </c>
      <c r="V1820" s="29" cm="1">
        <f t="array" ref="V1820">IF(表成绩单[[#This Row],[历史]]="","",SUMPRODUCT((表成绩单[考试日期]=表成绩单[[#This Row],[考试日期]])*(表成绩单[历史]&lt;9E+307)*(表成绩单[历史]&gt;表成绩单[[#This Row],[历史]]))+1)</f>
        <v>126</v>
      </c>
      <c r="W1820" s="29" cm="1">
        <f t="array" ref="W1820">IF(表成绩单[[#This Row],[总分]]="","",SUMPRODUCT((表成绩单[考试日期]=表成绩单[[#This Row],[考试日期]])*(表成绩单[总分]&lt;9E+307)*(表成绩单[总分]&gt;表成绩单[[#This Row],[总分]]))+1)</f>
        <v>214</v>
      </c>
    </row>
    <row r="1821" ht="28" customHeight="1" spans="4:23">
      <c r="D1821" s="31">
        <v>46030</v>
      </c>
      <c r="E1821" s="29">
        <v>19174463</v>
      </c>
      <c r="F1821" s="29" t="s">
        <v>73</v>
      </c>
      <c r="G1821" s="29" t="s">
        <v>352</v>
      </c>
      <c r="H1821" s="29">
        <v>100</v>
      </c>
      <c r="I1821" s="29">
        <v>86</v>
      </c>
      <c r="J1821" s="29">
        <v>73</v>
      </c>
      <c r="K1821" s="29">
        <v>71</v>
      </c>
      <c r="L1821" s="29">
        <v>82</v>
      </c>
      <c r="M1821" s="29">
        <v>70</v>
      </c>
      <c r="N1821" s="29">
        <v>72</v>
      </c>
      <c r="O1821" s="32">
        <v>554</v>
      </c>
      <c r="P1821" s="29" cm="1">
        <f t="array" ref="P1821">IF(表成绩单[[#This Row],[语文]]="","",SUMPRODUCT((表成绩单[考试日期]=表成绩单[[#This Row],[考试日期]])*(表成绩单[语文]&lt;9E+307)*(表成绩单[语文]&gt;表成绩单[[#This Row],[语文]]))+1)</f>
        <v>182</v>
      </c>
      <c r="Q1821" s="29" cm="1">
        <f t="array" ref="Q1821">IF(表成绩单[[#This Row],[数学]]="","",SUMPRODUCT((表成绩单[考试日期]=表成绩单[[#This Row],[考试日期]])*(表成绩单[数学]&lt;9E+307)*(表成绩单[数学]&gt;表成绩单[[#This Row],[数学]]))+1)</f>
        <v>302</v>
      </c>
      <c r="R1821" s="29" cm="1">
        <f t="array" ref="R1821">IF(表成绩单[[#This Row],[英语]]="","",SUMPRODUCT((表成绩单[考试日期]=表成绩单[[#This Row],[考试日期]])*(表成绩单[英语]&lt;9E+307)*(表成绩单[英语]&gt;表成绩单[[#This Row],[英语]]))+1)</f>
        <v>222</v>
      </c>
      <c r="S1821" s="29" cm="1">
        <f t="array" ref="S1821">IF(表成绩单[[#This Row],[物理]]="","",SUMPRODUCT((表成绩单[考试日期]=表成绩单[[#This Row],[考试日期]])*(表成绩单[物理]&lt;9E+307)*(表成绩单[物理]&gt;表成绩单[[#This Row],[物理]]))+1)</f>
        <v>319</v>
      </c>
      <c r="T1821" s="29" cm="1">
        <f t="array" ref="T1821">IF(表成绩单[[#This Row],[化学]]="","",SUMPRODUCT((表成绩单[考试日期]=表成绩单[[#This Row],[考试日期]])*(表成绩单[化学]&lt;9E+307)*(表成绩单[化学]&gt;表成绩单[[#This Row],[化学]]))+1)</f>
        <v>23</v>
      </c>
      <c r="U1821" s="29" cm="1">
        <f t="array" ref="U1821">IF(表成绩单[[#This Row],[政治]]="","",SUMPRODUCT((表成绩单[考试日期]=表成绩单[[#This Row],[考试日期]])*(表成绩单[政治]&lt;9E+307)*(表成绩单[政治]&gt;表成绩单[[#This Row],[政治]]))+1)</f>
        <v>274</v>
      </c>
      <c r="V1821" s="29" cm="1">
        <f t="array" ref="V1821">IF(表成绩单[[#This Row],[历史]]="","",SUMPRODUCT((表成绩单[考试日期]=表成绩单[[#This Row],[考试日期]])*(表成绩单[历史]&lt;9E+307)*(表成绩单[历史]&gt;表成绩单[[#This Row],[历史]]))+1)</f>
        <v>266</v>
      </c>
      <c r="W1821" s="29" cm="1">
        <f t="array" ref="W1821">IF(表成绩单[[#This Row],[总分]]="","",SUMPRODUCT((表成绩单[考试日期]=表成绩单[[#This Row],[考试日期]])*(表成绩单[总分]&lt;9E+307)*(表成绩单[总分]&gt;表成绩单[[#This Row],[总分]]))+1)</f>
        <v>214</v>
      </c>
    </row>
    <row r="1822" ht="28" customHeight="1" spans="4:23">
      <c r="D1822" s="31">
        <v>46030</v>
      </c>
      <c r="E1822" s="29">
        <v>19175404</v>
      </c>
      <c r="F1822" s="29" t="s">
        <v>74</v>
      </c>
      <c r="G1822" s="29" t="s">
        <v>334</v>
      </c>
      <c r="H1822" s="29">
        <v>101</v>
      </c>
      <c r="I1822" s="29">
        <v>98</v>
      </c>
      <c r="J1822" s="29">
        <v>67</v>
      </c>
      <c r="K1822" s="29">
        <v>73</v>
      </c>
      <c r="L1822" s="29">
        <v>76</v>
      </c>
      <c r="M1822" s="29">
        <v>72</v>
      </c>
      <c r="N1822" s="29">
        <v>67</v>
      </c>
      <c r="O1822" s="32">
        <v>554</v>
      </c>
      <c r="P1822" s="29" cm="1">
        <f t="array" ref="P1822">IF(表成绩单[[#This Row],[语文]]="","",SUMPRODUCT((表成绩单[考试日期]=表成绩单[[#This Row],[考试日期]])*(表成绩单[语文]&lt;9E+307)*(表成绩单[语文]&gt;表成绩单[[#This Row],[语文]]))+1)</f>
        <v>159</v>
      </c>
      <c r="Q1822" s="29" cm="1">
        <f t="array" ref="Q1822">IF(表成绩单[[#This Row],[数学]]="","",SUMPRODUCT((表成绩单[考试日期]=表成绩单[[#This Row],[考试日期]])*(表成绩单[数学]&lt;9E+307)*(表成绩单[数学]&gt;表成绩单[[#This Row],[数学]]))+1)</f>
        <v>134</v>
      </c>
      <c r="R1822" s="29" cm="1">
        <f t="array" ref="R1822">IF(表成绩单[[#This Row],[英语]]="","",SUMPRODUCT((表成绩单[考试日期]=表成绩单[[#This Row],[考试日期]])*(表成绩单[英语]&lt;9E+307)*(表成绩单[英语]&gt;表成绩单[[#This Row],[英语]]))+1)</f>
        <v>391</v>
      </c>
      <c r="S1822" s="29" cm="1">
        <f t="array" ref="S1822">IF(表成绩单[[#This Row],[物理]]="","",SUMPRODUCT((表成绩单[考试日期]=表成绩单[[#This Row],[考试日期]])*(表成绩单[物理]&lt;9E+307)*(表成绩单[物理]&gt;表成绩单[[#This Row],[物理]]))+1)</f>
        <v>271</v>
      </c>
      <c r="T1822" s="29" cm="1">
        <f t="array" ref="T1822">IF(表成绩单[[#This Row],[化学]]="","",SUMPRODUCT((表成绩单[考试日期]=表成绩单[[#This Row],[考试日期]])*(表成绩单[化学]&lt;9E+307)*(表成绩单[化学]&gt;表成绩单[[#This Row],[化学]]))+1)</f>
        <v>139</v>
      </c>
      <c r="U1822" s="29" cm="1">
        <f t="array" ref="U1822">IF(表成绩单[[#This Row],[政治]]="","",SUMPRODUCT((表成绩单[考试日期]=表成绩单[[#This Row],[考试日期]])*(表成绩单[政治]&lt;9E+307)*(表成绩单[政治]&gt;表成绩单[[#This Row],[政治]]))+1)</f>
        <v>224</v>
      </c>
      <c r="V1822" s="29" cm="1">
        <f t="array" ref="V1822">IF(表成绩单[[#This Row],[历史]]="","",SUMPRODUCT((表成绩单[考试日期]=表成绩单[[#This Row],[考试日期]])*(表成绩单[历史]&lt;9E+307)*(表成绩单[历史]&gt;表成绩单[[#This Row],[历史]]))+1)</f>
        <v>415</v>
      </c>
      <c r="W1822" s="29" cm="1">
        <f t="array" ref="W1822">IF(表成绩单[[#This Row],[总分]]="","",SUMPRODUCT((表成绩单[考试日期]=表成绩单[[#This Row],[考试日期]])*(表成绩单[总分]&lt;9E+307)*(表成绩单[总分]&gt;表成绩单[[#This Row],[总分]]))+1)</f>
        <v>214</v>
      </c>
    </row>
    <row r="1823" ht="28" customHeight="1" spans="4:23">
      <c r="D1823" s="31">
        <v>46030</v>
      </c>
      <c r="E1823" s="29">
        <v>19175700</v>
      </c>
      <c r="F1823" s="29" t="s">
        <v>72</v>
      </c>
      <c r="G1823" s="29" t="s">
        <v>354</v>
      </c>
      <c r="H1823" s="29">
        <v>95</v>
      </c>
      <c r="I1823" s="29">
        <v>113</v>
      </c>
      <c r="J1823" s="29">
        <v>76</v>
      </c>
      <c r="K1823" s="29">
        <v>67</v>
      </c>
      <c r="L1823" s="29">
        <v>68</v>
      </c>
      <c r="M1823" s="29">
        <v>74</v>
      </c>
      <c r="N1823" s="29">
        <v>61</v>
      </c>
      <c r="O1823" s="32">
        <v>554</v>
      </c>
      <c r="P1823" s="29" cm="1">
        <f t="array" ref="P1823">IF(表成绩单[[#This Row],[语文]]="","",SUMPRODUCT((表成绩单[考试日期]=表成绩单[[#This Row],[考试日期]])*(表成绩单[语文]&lt;9E+307)*(表成绩单[语文]&gt;表成绩单[[#This Row],[语文]]))+1)</f>
        <v>342</v>
      </c>
      <c r="Q1823" s="29" cm="1">
        <f t="array" ref="Q1823">IF(表成绩单[[#This Row],[数学]]="","",SUMPRODUCT((表成绩单[考试日期]=表成绩单[[#This Row],[考试日期]])*(表成绩单[数学]&lt;9E+307)*(表成绩单[数学]&gt;表成绩单[[#This Row],[数学]]))+1)</f>
        <v>11</v>
      </c>
      <c r="R1823" s="29" cm="1">
        <f t="array" ref="R1823">IF(表成绩单[[#This Row],[英语]]="","",SUMPRODUCT((表成绩单[考试日期]=表成绩单[[#This Row],[考试日期]])*(表成绩单[英语]&lt;9E+307)*(表成绩单[英语]&gt;表成绩单[[#This Row],[英语]]))+1)</f>
        <v>126</v>
      </c>
      <c r="S1823" s="29" cm="1">
        <f t="array" ref="S1823">IF(表成绩单[[#This Row],[物理]]="","",SUMPRODUCT((表成绩单[考试日期]=表成绩单[[#This Row],[考试日期]])*(表成绩单[物理]&lt;9E+307)*(表成绩单[物理]&gt;表成绩单[[#This Row],[物理]]))+1)</f>
        <v>394</v>
      </c>
      <c r="T1823" s="29" cm="1">
        <f t="array" ref="T1823">IF(表成绩单[[#This Row],[化学]]="","",SUMPRODUCT((表成绩单[考试日期]=表成绩单[[#This Row],[考试日期]])*(表成绩单[化学]&lt;9E+307)*(表成绩单[化学]&gt;表成绩单[[#This Row],[化学]]))+1)</f>
        <v>358</v>
      </c>
      <c r="U1823" s="29" cm="1">
        <f t="array" ref="U1823">IF(表成绩单[[#This Row],[政治]]="","",SUMPRODUCT((表成绩单[考试日期]=表成绩单[[#This Row],[考试日期]])*(表成绩单[政治]&lt;9E+307)*(表成绩单[政治]&gt;表成绩单[[#This Row],[政治]]))+1)</f>
        <v>168</v>
      </c>
      <c r="V1823" s="29" cm="1">
        <f t="array" ref="V1823">IF(表成绩单[[#This Row],[历史]]="","",SUMPRODUCT((表成绩单[考试日期]=表成绩单[[#This Row],[考试日期]])*(表成绩单[历史]&lt;9E+307)*(表成绩单[历史]&gt;表成绩单[[#This Row],[历史]]))+1)</f>
        <v>566</v>
      </c>
      <c r="W1823" s="29" cm="1">
        <f t="array" ref="W1823">IF(表成绩单[[#This Row],[总分]]="","",SUMPRODUCT((表成绩单[考试日期]=表成绩单[[#This Row],[考试日期]])*(表成绩单[总分]&lt;9E+307)*(表成绩单[总分]&gt;表成绩单[[#This Row],[总分]]))+1)</f>
        <v>214</v>
      </c>
    </row>
    <row r="1824" ht="28" customHeight="1" spans="4:23">
      <c r="D1824" s="31">
        <v>46030</v>
      </c>
      <c r="E1824" s="29">
        <v>19173270</v>
      </c>
      <c r="F1824" s="29" t="s">
        <v>61</v>
      </c>
      <c r="G1824" s="29" t="s">
        <v>448</v>
      </c>
      <c r="H1824" s="29">
        <v>91</v>
      </c>
      <c r="I1824" s="29">
        <v>87</v>
      </c>
      <c r="J1824" s="29">
        <v>75.5</v>
      </c>
      <c r="K1824" s="29">
        <v>78</v>
      </c>
      <c r="L1824" s="29">
        <v>75</v>
      </c>
      <c r="M1824" s="29">
        <v>67</v>
      </c>
      <c r="N1824" s="29">
        <v>80</v>
      </c>
      <c r="O1824" s="32">
        <v>553.5</v>
      </c>
      <c r="P1824" s="29" cm="1">
        <f t="array" ref="P1824">IF(表成绩单[[#This Row],[语文]]="","",SUMPRODUCT((表成绩单[考试日期]=表成绩单[[#This Row],[考试日期]])*(表成绩单[语文]&lt;9E+307)*(表成绩单[语文]&gt;表成绩单[[#This Row],[语文]]))+1)</f>
        <v>478</v>
      </c>
      <c r="Q1824" s="29" cm="1">
        <f t="array" ref="Q1824">IF(表成绩单[[#This Row],[数学]]="","",SUMPRODUCT((表成绩单[考试日期]=表成绩单[[#This Row],[考试日期]])*(表成绩单[数学]&lt;9E+307)*(表成绩单[数学]&gt;表成绩单[[#This Row],[数学]]))+1)</f>
        <v>270</v>
      </c>
      <c r="R1824" s="29" cm="1">
        <f t="array" ref="R1824">IF(表成绩单[[#This Row],[英语]]="","",SUMPRODUCT((表成绩单[考试日期]=表成绩单[[#This Row],[考试日期]])*(表成绩单[英语]&lt;9E+307)*(表成绩单[英语]&gt;表成绩单[[#This Row],[英语]]))+1)</f>
        <v>145</v>
      </c>
      <c r="S1824" s="29" cm="1">
        <f t="array" ref="S1824">IF(表成绩单[[#This Row],[物理]]="","",SUMPRODUCT((表成绩单[考试日期]=表成绩单[[#This Row],[考试日期]])*(表成绩单[物理]&lt;9E+307)*(表成绩单[物理]&gt;表成绩单[[#This Row],[物理]]))+1)</f>
        <v>178</v>
      </c>
      <c r="T1824" s="29" cm="1">
        <f t="array" ref="T1824">IF(表成绩单[[#This Row],[化学]]="","",SUMPRODUCT((表成绩单[考试日期]=表成绩单[[#This Row],[考试日期]])*(表成绩单[化学]&lt;9E+307)*(表成绩单[化学]&gt;表成绩单[[#This Row],[化学]]))+1)</f>
        <v>169</v>
      </c>
      <c r="U1824" s="29" cm="1">
        <f t="array" ref="U1824">IF(表成绩单[[#This Row],[政治]]="","",SUMPRODUCT((表成绩单[考试日期]=表成绩单[[#This Row],[考试日期]])*(表成绩单[政治]&lt;9E+307)*(表成绩单[政治]&gt;表成绩单[[#This Row],[政治]]))+1)</f>
        <v>370</v>
      </c>
      <c r="V1824" s="29" cm="1">
        <f t="array" ref="V1824">IF(表成绩单[[#This Row],[历史]]="","",SUMPRODUCT((表成绩单[考试日期]=表成绩单[[#This Row],[考试日期]])*(表成绩单[历史]&lt;9E+307)*(表成绩单[历史]&gt;表成绩单[[#This Row],[历史]]))+1)</f>
        <v>83</v>
      </c>
      <c r="W1824" s="29" cm="1">
        <f t="array" ref="W1824">IF(表成绩单[[#This Row],[总分]]="","",SUMPRODUCT((表成绩单[考试日期]=表成绩单[[#This Row],[考试日期]])*(表成绩单[总分]&lt;9E+307)*(表成绩单[总分]&gt;表成绩单[[#This Row],[总分]]))+1)</f>
        <v>218</v>
      </c>
    </row>
    <row r="1825" ht="28" customHeight="1" spans="4:23">
      <c r="D1825" s="31">
        <v>46030</v>
      </c>
      <c r="E1825" s="29">
        <v>19174446</v>
      </c>
      <c r="F1825" s="29" t="s">
        <v>73</v>
      </c>
      <c r="G1825" s="29" t="s">
        <v>185</v>
      </c>
      <c r="H1825" s="29">
        <v>101</v>
      </c>
      <c r="I1825" s="29">
        <v>96</v>
      </c>
      <c r="J1825" s="29">
        <v>79.5</v>
      </c>
      <c r="K1825" s="29">
        <v>71</v>
      </c>
      <c r="L1825" s="29">
        <v>76</v>
      </c>
      <c r="M1825" s="29">
        <v>71</v>
      </c>
      <c r="N1825" s="29">
        <v>59</v>
      </c>
      <c r="O1825" s="32">
        <v>553.5</v>
      </c>
      <c r="P1825" s="29" cm="1">
        <f t="array" ref="P1825">IF(表成绩单[[#This Row],[语文]]="","",SUMPRODUCT((表成绩单[考试日期]=表成绩单[[#This Row],[考试日期]])*(表成绩单[语文]&lt;9E+307)*(表成绩单[语文]&gt;表成绩单[[#This Row],[语文]]))+1)</f>
        <v>159</v>
      </c>
      <c r="Q1825" s="29" cm="1">
        <f t="array" ref="Q1825">IF(表成绩单[[#This Row],[数学]]="","",SUMPRODUCT((表成绩单[考试日期]=表成绩单[[#This Row],[考试日期]])*(表成绩单[数学]&lt;9E+307)*(表成绩单[数学]&gt;表成绩单[[#This Row],[数学]]))+1)</f>
        <v>154</v>
      </c>
      <c r="R1825" s="29" cm="1">
        <f t="array" ref="R1825">IF(表成绩单[[#This Row],[英语]]="","",SUMPRODUCT((表成绩单[考试日期]=表成绩单[[#This Row],[考试日期]])*(表成绩单[英语]&lt;9E+307)*(表成绩单[英语]&gt;表成绩单[[#This Row],[英语]]))+1)</f>
        <v>41</v>
      </c>
      <c r="S1825" s="29" cm="1">
        <f t="array" ref="S1825">IF(表成绩单[[#This Row],[物理]]="","",SUMPRODUCT((表成绩单[考试日期]=表成绩单[[#This Row],[考试日期]])*(表成绩单[物理]&lt;9E+307)*(表成绩单[物理]&gt;表成绩单[[#This Row],[物理]]))+1)</f>
        <v>319</v>
      </c>
      <c r="T1825" s="29" cm="1">
        <f t="array" ref="T1825">IF(表成绩单[[#This Row],[化学]]="","",SUMPRODUCT((表成绩单[考试日期]=表成绩单[[#This Row],[考试日期]])*(表成绩单[化学]&lt;9E+307)*(表成绩单[化学]&gt;表成绩单[[#This Row],[化学]]))+1)</f>
        <v>139</v>
      </c>
      <c r="U1825" s="29" cm="1">
        <f t="array" ref="U1825">IF(表成绩单[[#This Row],[政治]]="","",SUMPRODUCT((表成绩单[考试日期]=表成绩单[[#This Row],[考试日期]])*(表成绩单[政治]&lt;9E+307)*(表成绩单[政治]&gt;表成绩单[[#This Row],[政治]]))+1)</f>
        <v>248</v>
      </c>
      <c r="V1825" s="29" cm="1">
        <f t="array" ref="V1825">IF(表成绩单[[#This Row],[历史]]="","",SUMPRODUCT((表成绩单[考试日期]=表成绩单[[#This Row],[考试日期]])*(表成绩单[历史]&lt;9E+307)*(表成绩单[历史]&gt;表成绩单[[#This Row],[历史]]))+1)</f>
        <v>601</v>
      </c>
      <c r="W1825" s="29" cm="1">
        <f t="array" ref="W1825">IF(表成绩单[[#This Row],[总分]]="","",SUMPRODUCT((表成绩单[考试日期]=表成绩单[[#This Row],[考试日期]])*(表成绩单[总分]&lt;9E+307)*(表成绩单[总分]&gt;表成绩单[[#This Row],[总分]]))+1)</f>
        <v>218</v>
      </c>
    </row>
    <row r="1826" ht="28" customHeight="1" spans="4:23">
      <c r="D1826" s="31">
        <v>46030</v>
      </c>
      <c r="E1826" s="29">
        <v>19174790</v>
      </c>
      <c r="F1826" s="29" t="s">
        <v>69</v>
      </c>
      <c r="G1826" s="29" t="s">
        <v>411</v>
      </c>
      <c r="H1826" s="29">
        <v>99</v>
      </c>
      <c r="I1826" s="29">
        <v>90</v>
      </c>
      <c r="J1826" s="29">
        <v>76</v>
      </c>
      <c r="K1826" s="29">
        <v>76</v>
      </c>
      <c r="L1826" s="29">
        <v>74</v>
      </c>
      <c r="M1826" s="29">
        <v>68</v>
      </c>
      <c r="N1826" s="29">
        <v>70</v>
      </c>
      <c r="O1826" s="32">
        <v>553</v>
      </c>
      <c r="P1826" s="29" cm="1">
        <f t="array" ref="P1826">IF(表成绩单[[#This Row],[语文]]="","",SUMPRODUCT((表成绩单[考试日期]=表成绩单[[#This Row],[考试日期]])*(表成绩单[语文]&lt;9E+307)*(表成绩单[语文]&gt;表成绩单[[#This Row],[语文]]))+1)</f>
        <v>213</v>
      </c>
      <c r="Q1826" s="29" cm="1">
        <f t="array" ref="Q1826">IF(表成绩单[[#This Row],[数学]]="","",SUMPRODUCT((表成绩单[考试日期]=表成绩单[[#This Row],[考试日期]])*(表成绩单[数学]&lt;9E+307)*(表成绩单[数学]&gt;表成绩单[[#This Row],[数学]]))+1)</f>
        <v>215</v>
      </c>
      <c r="R1826" s="29" cm="1">
        <f t="array" ref="R1826">IF(表成绩单[[#This Row],[英语]]="","",SUMPRODUCT((表成绩单[考试日期]=表成绩单[[#This Row],[考试日期]])*(表成绩单[英语]&lt;9E+307)*(表成绩单[英语]&gt;表成绩单[[#This Row],[英语]]))+1)</f>
        <v>126</v>
      </c>
      <c r="S1826" s="29" cm="1">
        <f t="array" ref="S1826">IF(表成绩单[[#This Row],[物理]]="","",SUMPRODUCT((表成绩单[考试日期]=表成绩单[[#This Row],[考试日期]])*(表成绩单[物理]&lt;9E+307)*(表成绩单[物理]&gt;表成绩单[[#This Row],[物理]]))+1)</f>
        <v>218</v>
      </c>
      <c r="T1826" s="29" cm="1">
        <f t="array" ref="T1826">IF(表成绩单[[#This Row],[化学]]="","",SUMPRODUCT((表成绩单[考试日期]=表成绩单[[#This Row],[考试日期]])*(表成绩单[化学]&lt;9E+307)*(表成绩单[化学]&gt;表成绩单[[#This Row],[化学]]))+1)</f>
        <v>208</v>
      </c>
      <c r="U1826" s="29" cm="1">
        <f t="array" ref="U1826">IF(表成绩单[[#This Row],[政治]]="","",SUMPRODUCT((表成绩单[考试日期]=表成绩单[[#This Row],[考试日期]])*(表成绩单[政治]&lt;9E+307)*(表成绩单[政治]&gt;表成绩单[[#This Row],[政治]]))+1)</f>
        <v>336</v>
      </c>
      <c r="V1826" s="29" cm="1">
        <f t="array" ref="V1826">IF(表成绩单[[#This Row],[历史]]="","",SUMPRODUCT((表成绩单[考试日期]=表成绩单[[#This Row],[考试日期]])*(表成绩单[历史]&lt;9E+307)*(表成绩单[历史]&gt;表成绩单[[#This Row],[历史]]))+1)</f>
        <v>328</v>
      </c>
      <c r="W1826" s="29" cm="1">
        <f t="array" ref="W1826">IF(表成绩单[[#This Row],[总分]]="","",SUMPRODUCT((表成绩单[考试日期]=表成绩单[[#This Row],[考试日期]])*(表成绩单[总分]&lt;9E+307)*(表成绩单[总分]&gt;表成绩单[[#This Row],[总分]]))+1)</f>
        <v>220</v>
      </c>
    </row>
    <row r="1827" ht="28" customHeight="1" spans="4:23">
      <c r="D1827" s="31">
        <v>46030</v>
      </c>
      <c r="E1827" s="29">
        <v>19175680</v>
      </c>
      <c r="F1827" s="29" t="s">
        <v>72</v>
      </c>
      <c r="G1827" s="29" t="s">
        <v>353</v>
      </c>
      <c r="H1827" s="29">
        <v>95</v>
      </c>
      <c r="I1827" s="29">
        <v>83</v>
      </c>
      <c r="J1827" s="29">
        <v>79</v>
      </c>
      <c r="K1827" s="29">
        <v>79</v>
      </c>
      <c r="L1827" s="29">
        <v>66</v>
      </c>
      <c r="M1827" s="29">
        <v>78</v>
      </c>
      <c r="N1827" s="29">
        <v>73</v>
      </c>
      <c r="O1827" s="32">
        <v>553</v>
      </c>
      <c r="P1827" s="29" cm="1">
        <f t="array" ref="P1827">IF(表成绩单[[#This Row],[语文]]="","",SUMPRODUCT((表成绩单[考试日期]=表成绩单[[#This Row],[考试日期]])*(表成绩单[语文]&lt;9E+307)*(表成绩单[语文]&gt;表成绩单[[#This Row],[语文]]))+1)</f>
        <v>342</v>
      </c>
      <c r="Q1827" s="29" cm="1">
        <f t="array" ref="Q1827">IF(表成绩单[[#This Row],[数学]]="","",SUMPRODUCT((表成绩单[考试日期]=表成绩单[[#This Row],[考试日期]])*(表成绩单[数学]&lt;9E+307)*(表成绩单[数学]&gt;表成绩单[[#This Row],[数学]]))+1)</f>
        <v>360</v>
      </c>
      <c r="R1827" s="29" cm="1">
        <f t="array" ref="R1827">IF(表成绩单[[#This Row],[英语]]="","",SUMPRODUCT((表成绩单[考试日期]=表成绩单[[#This Row],[考试日期]])*(表成绩单[英语]&lt;9E+307)*(表成绩单[英语]&gt;表成绩单[[#This Row],[英语]]))+1)</f>
        <v>50</v>
      </c>
      <c r="S1827" s="29" cm="1">
        <f t="array" ref="S1827">IF(表成绩单[[#This Row],[物理]]="","",SUMPRODUCT((表成绩单[考试日期]=表成绩单[[#This Row],[考试日期]])*(表成绩单[物理]&lt;9E+307)*(表成绩单[物理]&gt;表成绩单[[#This Row],[物理]]))+1)</f>
        <v>153</v>
      </c>
      <c r="T1827" s="29" cm="1">
        <f t="array" ref="T1827">IF(表成绩单[[#This Row],[化学]]="","",SUMPRODUCT((表成绩单[考试日期]=表成绩单[[#This Row],[考试日期]])*(表成绩单[化学]&lt;9E+307)*(表成绩单[化学]&gt;表成绩单[[#This Row],[化学]]))+1)</f>
        <v>414</v>
      </c>
      <c r="U1827" s="29" cm="1">
        <f t="array" ref="U1827">IF(表成绩单[[#This Row],[政治]]="","",SUMPRODUCT((表成绩单[考试日期]=表成绩单[[#This Row],[考试日期]])*(表成绩单[政治]&lt;9E+307)*(表成绩单[政治]&gt;表成绩单[[#This Row],[政治]]))+1)</f>
        <v>65</v>
      </c>
      <c r="V1827" s="29" cm="1">
        <f t="array" ref="V1827">IF(表成绩单[[#This Row],[历史]]="","",SUMPRODUCT((表成绩单[考试日期]=表成绩单[[#This Row],[考试日期]])*(表成绩单[历史]&lt;9E+307)*(表成绩单[历史]&gt;表成绩单[[#This Row],[历史]]))+1)</f>
        <v>240</v>
      </c>
      <c r="W1827" s="29" cm="1">
        <f t="array" ref="W1827">IF(表成绩单[[#This Row],[总分]]="","",SUMPRODUCT((表成绩单[考试日期]=表成绩单[[#This Row],[考试日期]])*(表成绩单[总分]&lt;9E+307)*(表成绩单[总分]&gt;表成绩单[[#This Row],[总分]]))+1)</f>
        <v>220</v>
      </c>
    </row>
    <row r="1828" ht="28" customHeight="1" spans="4:23">
      <c r="D1828" s="31">
        <v>46030</v>
      </c>
      <c r="E1828" s="29">
        <v>19175651</v>
      </c>
      <c r="F1828" s="29" t="s">
        <v>66</v>
      </c>
      <c r="G1828" s="29" t="s">
        <v>211</v>
      </c>
      <c r="H1828" s="29">
        <v>107</v>
      </c>
      <c r="I1828" s="29">
        <v>88</v>
      </c>
      <c r="J1828" s="29">
        <v>78.5</v>
      </c>
      <c r="K1828" s="29">
        <v>70</v>
      </c>
      <c r="L1828" s="29">
        <v>60</v>
      </c>
      <c r="M1828" s="29">
        <v>75</v>
      </c>
      <c r="N1828" s="29">
        <v>74</v>
      </c>
      <c r="O1828" s="32">
        <v>552.5</v>
      </c>
      <c r="P1828" s="29" cm="1">
        <f t="array" ref="P1828">IF(表成绩单[[#This Row],[语文]]="","",SUMPRODUCT((表成绩单[考试日期]=表成绩单[[#This Row],[考试日期]])*(表成绩单[语文]&lt;9E+307)*(表成绩单[语文]&gt;表成绩单[[#This Row],[语文]]))+1)</f>
        <v>38</v>
      </c>
      <c r="Q1828" s="29" cm="1">
        <f t="array" ref="Q1828">IF(表成绩单[[#This Row],[数学]]="","",SUMPRODUCT((表成绩单[考试日期]=表成绩单[[#This Row],[考试日期]])*(表成绩单[数学]&lt;9E+307)*(表成绩单[数学]&gt;表成绩单[[#This Row],[数学]]))+1)</f>
        <v>245</v>
      </c>
      <c r="R1828" s="29" cm="1">
        <f t="array" ref="R1828">IF(表成绩单[[#This Row],[英语]]="","",SUMPRODUCT((表成绩单[考试日期]=表成绩单[[#This Row],[考试日期]])*(表成绩单[英语]&lt;9E+307)*(表成绩单[英语]&gt;表成绩单[[#This Row],[英语]]))+1)</f>
        <v>64</v>
      </c>
      <c r="S1828" s="29" cm="1">
        <f t="array" ref="S1828">IF(表成绩单[[#This Row],[物理]]="","",SUMPRODUCT((表成绩单[考试日期]=表成绩单[[#This Row],[考试日期]])*(表成绩单[物理]&lt;9E+307)*(表成绩单[物理]&gt;表成绩单[[#This Row],[物理]]))+1)</f>
        <v>338</v>
      </c>
      <c r="T1828" s="29" cm="1">
        <f t="array" ref="T1828">IF(表成绩单[[#This Row],[化学]]="","",SUMPRODUCT((表成绩单[考试日期]=表成绩单[[#This Row],[考试日期]])*(表成绩单[化学]&lt;9E+307)*(表成绩单[化学]&gt;表成绩单[[#This Row],[化学]]))+1)</f>
        <v>525</v>
      </c>
      <c r="U1828" s="29" cm="1">
        <f t="array" ref="U1828">IF(表成绩单[[#This Row],[政治]]="","",SUMPRODUCT((表成绩单[考试日期]=表成绩单[[#This Row],[考试日期]])*(表成绩单[政治]&lt;9E+307)*(表成绩单[政治]&gt;表成绩单[[#This Row],[政治]]))+1)</f>
        <v>137</v>
      </c>
      <c r="V1828" s="29" cm="1">
        <f t="array" ref="V1828">IF(表成绩单[[#This Row],[历史]]="","",SUMPRODUCT((表成绩单[考试日期]=表成绩单[[#This Row],[考试日期]])*(表成绩单[历史]&lt;9E+307)*(表成绩单[历史]&gt;表成绩单[[#This Row],[历史]]))+1)</f>
        <v>215</v>
      </c>
      <c r="W1828" s="29" cm="1">
        <f t="array" ref="W1828">IF(表成绩单[[#This Row],[总分]]="","",SUMPRODUCT((表成绩单[考试日期]=表成绩单[[#This Row],[考试日期]])*(表成绩单[总分]&lt;9E+307)*(表成绩单[总分]&gt;表成绩单[[#This Row],[总分]]))+1)</f>
        <v>222</v>
      </c>
    </row>
    <row r="1829" ht="28" customHeight="1" spans="4:23">
      <c r="D1829" s="31">
        <v>46030</v>
      </c>
      <c r="E1829" s="29">
        <v>19175711</v>
      </c>
      <c r="F1829" s="29" t="s">
        <v>72</v>
      </c>
      <c r="G1829" s="29" t="s">
        <v>309</v>
      </c>
      <c r="H1829" s="29">
        <v>112</v>
      </c>
      <c r="I1829" s="29">
        <v>83</v>
      </c>
      <c r="J1829" s="29">
        <v>70.5</v>
      </c>
      <c r="K1829" s="29">
        <v>76</v>
      </c>
      <c r="L1829" s="29">
        <v>67</v>
      </c>
      <c r="M1829" s="29">
        <v>76</v>
      </c>
      <c r="N1829" s="29">
        <v>68</v>
      </c>
      <c r="O1829" s="32">
        <v>552.5</v>
      </c>
      <c r="P1829" s="29" cm="1">
        <f t="array" ref="P1829">IF(表成绩单[[#This Row],[语文]]="","",SUMPRODUCT((表成绩单[考试日期]=表成绩单[[#This Row],[考试日期]])*(表成绩单[语文]&lt;9E+307)*(表成绩单[语文]&gt;表成绩单[[#This Row],[语文]]))+1)</f>
        <v>6</v>
      </c>
      <c r="Q1829" s="29" cm="1">
        <f t="array" ref="Q1829">IF(表成绩单[[#This Row],[数学]]="","",SUMPRODUCT((表成绩单[考试日期]=表成绩单[[#This Row],[考试日期]])*(表成绩单[数学]&lt;9E+307)*(表成绩单[数学]&gt;表成绩单[[#This Row],[数学]]))+1)</f>
        <v>360</v>
      </c>
      <c r="R1829" s="29" cm="1">
        <f t="array" ref="R1829">IF(表成绩单[[#This Row],[英语]]="","",SUMPRODUCT((表成绩单[考试日期]=表成绩单[[#This Row],[考试日期]])*(表成绩单[英语]&lt;9E+307)*(表成绩单[英语]&gt;表成绩单[[#This Row],[英语]]))+1)</f>
        <v>299</v>
      </c>
      <c r="S1829" s="29" cm="1">
        <f t="array" ref="S1829">IF(表成绩单[[#This Row],[物理]]="","",SUMPRODUCT((表成绩单[考试日期]=表成绩单[[#This Row],[考试日期]])*(表成绩单[物理]&lt;9E+307)*(表成绩单[物理]&gt;表成绩单[[#This Row],[物理]]))+1)</f>
        <v>218</v>
      </c>
      <c r="T1829" s="29" cm="1">
        <f t="array" ref="T1829">IF(表成绩单[[#This Row],[化学]]="","",SUMPRODUCT((表成绩单[考试日期]=表成绩单[[#This Row],[考试日期]])*(表成绩单[化学]&lt;9E+307)*(表成绩单[化学]&gt;表成绩单[[#This Row],[化学]]))+1)</f>
        <v>381</v>
      </c>
      <c r="U1829" s="29" cm="1">
        <f t="array" ref="U1829">IF(表成绩单[[#This Row],[政治]]="","",SUMPRODUCT((表成绩单[考试日期]=表成绩单[[#This Row],[考试日期]])*(表成绩单[政治]&lt;9E+307)*(表成绩单[政治]&gt;表成绩单[[#This Row],[政治]]))+1)</f>
        <v>111</v>
      </c>
      <c r="V1829" s="29" cm="1">
        <f t="array" ref="V1829">IF(表成绩单[[#This Row],[历史]]="","",SUMPRODUCT((表成绩单[考试日期]=表成绩单[[#This Row],[考试日期]])*(表成绩单[历史]&lt;9E+307)*(表成绩单[历史]&gt;表成绩单[[#This Row],[历史]]))+1)</f>
        <v>390</v>
      </c>
      <c r="W1829" s="29" cm="1">
        <f t="array" ref="W1829">IF(表成绩单[[#This Row],[总分]]="","",SUMPRODUCT((表成绩单[考试日期]=表成绩单[[#This Row],[考试日期]])*(表成绩单[总分]&lt;9E+307)*(表成绩单[总分]&gt;表成绩单[[#This Row],[总分]]))+1)</f>
        <v>222</v>
      </c>
    </row>
    <row r="1830" ht="28" customHeight="1" spans="4:23">
      <c r="D1830" s="31">
        <v>46030</v>
      </c>
      <c r="E1830" s="29">
        <v>19178574</v>
      </c>
      <c r="F1830" s="29" t="s">
        <v>64</v>
      </c>
      <c r="G1830" s="29" t="s">
        <v>391</v>
      </c>
      <c r="H1830" s="29">
        <v>90</v>
      </c>
      <c r="I1830" s="29">
        <v>95</v>
      </c>
      <c r="J1830" s="29">
        <v>68</v>
      </c>
      <c r="K1830" s="29">
        <v>78</v>
      </c>
      <c r="L1830" s="29">
        <v>76</v>
      </c>
      <c r="M1830" s="29">
        <v>77</v>
      </c>
      <c r="N1830" s="29">
        <v>68</v>
      </c>
      <c r="O1830" s="32">
        <v>552</v>
      </c>
      <c r="P1830" s="29" cm="1">
        <f t="array" ref="P1830">IF(表成绩单[[#This Row],[语文]]="","",SUMPRODUCT((表成绩单[考试日期]=表成绩单[[#This Row],[考试日期]])*(表成绩单[语文]&lt;9E+307)*(表成绩单[语文]&gt;表成绩单[[#This Row],[语文]]))+1)</f>
        <v>509</v>
      </c>
      <c r="Q1830" s="29" cm="1">
        <f t="array" ref="Q1830">IF(表成绩单[[#This Row],[数学]]="","",SUMPRODUCT((表成绩单[考试日期]=表成绩单[[#This Row],[考试日期]])*(表成绩单[数学]&lt;9E+307)*(表成绩单[数学]&gt;表成绩单[[#This Row],[数学]]))+1)</f>
        <v>167</v>
      </c>
      <c r="R1830" s="29" cm="1">
        <f t="array" ref="R1830">IF(表成绩单[[#This Row],[英语]]="","",SUMPRODUCT((表成绩单[考试日期]=表成绩单[[#This Row],[考试日期]])*(表成绩单[英语]&lt;9E+307)*(表成绩单[英语]&gt;表成绩单[[#This Row],[英语]]))+1)</f>
        <v>364</v>
      </c>
      <c r="S1830" s="29" cm="1">
        <f t="array" ref="S1830">IF(表成绩单[[#This Row],[物理]]="","",SUMPRODUCT((表成绩单[考试日期]=表成绩单[[#This Row],[考试日期]])*(表成绩单[物理]&lt;9E+307)*(表成绩单[物理]&gt;表成绩单[[#This Row],[物理]]))+1)</f>
        <v>178</v>
      </c>
      <c r="T1830" s="29" cm="1">
        <f t="array" ref="T1830">IF(表成绩单[[#This Row],[化学]]="","",SUMPRODUCT((表成绩单[考试日期]=表成绩单[[#This Row],[考试日期]])*(表成绩单[化学]&lt;9E+307)*(表成绩单[化学]&gt;表成绩单[[#This Row],[化学]]))+1)</f>
        <v>139</v>
      </c>
      <c r="U1830" s="29" cm="1">
        <f t="array" ref="U1830">IF(表成绩单[[#This Row],[政治]]="","",SUMPRODUCT((表成绩单[考试日期]=表成绩单[[#This Row],[考试日期]])*(表成绩单[政治]&lt;9E+307)*(表成绩单[政治]&gt;表成绩单[[#This Row],[政治]]))+1)</f>
        <v>88</v>
      </c>
      <c r="V1830" s="29" cm="1">
        <f t="array" ref="V1830">IF(表成绩单[[#This Row],[历史]]="","",SUMPRODUCT((表成绩单[考试日期]=表成绩单[[#This Row],[考试日期]])*(表成绩单[历史]&lt;9E+307)*(表成绩单[历史]&gt;表成绩单[[#This Row],[历史]]))+1)</f>
        <v>390</v>
      </c>
      <c r="W1830" s="29" cm="1">
        <f t="array" ref="W1830">IF(表成绩单[[#This Row],[总分]]="","",SUMPRODUCT((表成绩单[考试日期]=表成绩单[[#This Row],[考试日期]])*(表成绩单[总分]&lt;9E+307)*(表成绩单[总分]&gt;表成绩单[[#This Row],[总分]]))+1)</f>
        <v>224</v>
      </c>
    </row>
    <row r="1831" ht="28" customHeight="1" spans="4:23">
      <c r="D1831" s="31">
        <v>46030</v>
      </c>
      <c r="E1831" s="29">
        <v>19178629</v>
      </c>
      <c r="F1831" s="29" t="s">
        <v>25</v>
      </c>
      <c r="G1831" s="29" t="s">
        <v>468</v>
      </c>
      <c r="H1831" s="29">
        <v>96</v>
      </c>
      <c r="I1831" s="29">
        <v>78</v>
      </c>
      <c r="J1831" s="29">
        <v>82</v>
      </c>
      <c r="K1831" s="29">
        <v>71</v>
      </c>
      <c r="L1831" s="29">
        <v>72</v>
      </c>
      <c r="M1831" s="29">
        <v>78</v>
      </c>
      <c r="N1831" s="29">
        <v>75</v>
      </c>
      <c r="O1831" s="32">
        <v>552</v>
      </c>
      <c r="P1831" s="29" cm="1">
        <f t="array" ref="P1831">IF(表成绩单[[#This Row],[语文]]="","",SUMPRODUCT((表成绩单[考试日期]=表成绩单[[#This Row],[考试日期]])*(表成绩单[语文]&lt;9E+307)*(表成绩单[语文]&gt;表成绩单[[#This Row],[语文]]))+1)</f>
        <v>315</v>
      </c>
      <c r="Q1831" s="29" cm="1">
        <f t="array" ref="Q1831">IF(表成绩单[[#This Row],[数学]]="","",SUMPRODUCT((表成绩单[考试日期]=表成绩单[[#This Row],[考试日期]])*(表成绩单[数学]&lt;9E+307)*(表成绩单[数学]&gt;表成绩单[[#This Row],[数学]]))+1)</f>
        <v>450</v>
      </c>
      <c r="R1831" s="29" cm="1">
        <f t="array" ref="R1831">IF(表成绩单[[#This Row],[英语]]="","",SUMPRODUCT((表成绩单[考试日期]=表成绩单[[#This Row],[考试日期]])*(表成绩单[英语]&lt;9E+307)*(表成绩单[英语]&gt;表成绩单[[#This Row],[英语]]))+1)</f>
        <v>11</v>
      </c>
      <c r="S1831" s="29" cm="1">
        <f t="array" ref="S1831">IF(表成绩单[[#This Row],[物理]]="","",SUMPRODUCT((表成绩单[考试日期]=表成绩单[[#This Row],[考试日期]])*(表成绩单[物理]&lt;9E+307)*(表成绩单[物理]&gt;表成绩单[[#This Row],[物理]]))+1)</f>
        <v>319</v>
      </c>
      <c r="T1831" s="29" cm="1">
        <f t="array" ref="T1831">IF(表成绩单[[#This Row],[化学]]="","",SUMPRODUCT((表成绩单[考试日期]=表成绩单[[#This Row],[考试日期]])*(表成绩单[化学]&lt;9E+307)*(表成绩单[化学]&gt;表成绩单[[#This Row],[化学]]))+1)</f>
        <v>271</v>
      </c>
      <c r="U1831" s="29" cm="1">
        <f t="array" ref="U1831">IF(表成绩单[[#This Row],[政治]]="","",SUMPRODUCT((表成绩单[考试日期]=表成绩单[[#This Row],[考试日期]])*(表成绩单[政治]&lt;9E+307)*(表成绩单[政治]&gt;表成绩单[[#This Row],[政治]]))+1)</f>
        <v>65</v>
      </c>
      <c r="V1831" s="29" cm="1">
        <f t="array" ref="V1831">IF(表成绩单[[#This Row],[历史]]="","",SUMPRODUCT((表成绩单[考试日期]=表成绩单[[#This Row],[考试日期]])*(表成绩单[历史]&lt;9E+307)*(表成绩单[历史]&gt;表成绩单[[#This Row],[历史]]))+1)</f>
        <v>193</v>
      </c>
      <c r="W1831" s="29" cm="1">
        <f t="array" ref="W1831">IF(表成绩单[[#This Row],[总分]]="","",SUMPRODUCT((表成绩单[考试日期]=表成绩单[[#This Row],[考试日期]])*(表成绩单[总分]&lt;9E+307)*(表成绩单[总分]&gt;表成绩单[[#This Row],[总分]]))+1)</f>
        <v>224</v>
      </c>
    </row>
    <row r="1832" ht="28" customHeight="1" spans="4:23">
      <c r="D1832" s="31">
        <v>46030</v>
      </c>
      <c r="E1832" s="29">
        <v>19174796</v>
      </c>
      <c r="F1832" s="29" t="s">
        <v>69</v>
      </c>
      <c r="G1832" s="29" t="s">
        <v>375</v>
      </c>
      <c r="H1832" s="29">
        <v>97</v>
      </c>
      <c r="I1832" s="29">
        <v>109</v>
      </c>
      <c r="J1832" s="29">
        <v>55.5</v>
      </c>
      <c r="K1832" s="29">
        <v>72</v>
      </c>
      <c r="L1832" s="29">
        <v>74</v>
      </c>
      <c r="M1832" s="29">
        <v>73</v>
      </c>
      <c r="N1832" s="29">
        <v>71</v>
      </c>
      <c r="O1832" s="32">
        <v>551.5</v>
      </c>
      <c r="P1832" s="29" cm="1">
        <f t="array" ref="P1832">IF(表成绩单[[#This Row],[语文]]="","",SUMPRODUCT((表成绩单[考试日期]=表成绩单[[#This Row],[考试日期]])*(表成绩单[语文]&lt;9E+307)*(表成绩单[语文]&gt;表成绩单[[#This Row],[语文]]))+1)</f>
        <v>291</v>
      </c>
      <c r="Q1832" s="29" cm="1">
        <f t="array" ref="Q1832">IF(表成绩单[[#This Row],[数学]]="","",SUMPRODUCT((表成绩单[考试日期]=表成绩单[[#This Row],[考试日期]])*(表成绩单[数学]&lt;9E+307)*(表成绩单[数学]&gt;表成绩单[[#This Row],[数学]]))+1)</f>
        <v>35</v>
      </c>
      <c r="R1832" s="29" cm="1">
        <f t="array" ref="R1832">IF(表成绩单[[#This Row],[英语]]="","",SUMPRODUCT((表成绩单[考试日期]=表成绩单[[#This Row],[考试日期]])*(表成绩单[英语]&lt;9E+307)*(表成绩单[英语]&gt;表成绩单[[#This Row],[英语]]))+1)</f>
        <v>588</v>
      </c>
      <c r="S1832" s="29" cm="1">
        <f t="array" ref="S1832">IF(表成绩单[[#This Row],[物理]]="","",SUMPRODUCT((表成绩单[考试日期]=表成绩单[[#This Row],[考试日期]])*(表成绩单[物理]&lt;9E+307)*(表成绩单[物理]&gt;表成绩单[[#This Row],[物理]]))+1)</f>
        <v>297</v>
      </c>
      <c r="T1832" s="29" cm="1">
        <f t="array" ref="T1832">IF(表成绩单[[#This Row],[化学]]="","",SUMPRODUCT((表成绩单[考试日期]=表成绩单[[#This Row],[考试日期]])*(表成绩单[化学]&lt;9E+307)*(表成绩单[化学]&gt;表成绩单[[#This Row],[化学]]))+1)</f>
        <v>208</v>
      </c>
      <c r="U1832" s="29" cm="1">
        <f t="array" ref="U1832">IF(表成绩单[[#This Row],[政治]]="","",SUMPRODUCT((表成绩单[考试日期]=表成绩单[[#This Row],[考试日期]])*(表成绩单[政治]&lt;9E+307)*(表成绩单[政治]&gt;表成绩单[[#This Row],[政治]]))+1)</f>
        <v>197</v>
      </c>
      <c r="V1832" s="29" cm="1">
        <f t="array" ref="V1832">IF(表成绩单[[#This Row],[历史]]="","",SUMPRODUCT((表成绩单[考试日期]=表成绩单[[#This Row],[考试日期]])*(表成绩单[历史]&lt;9E+307)*(表成绩单[历史]&gt;表成绩单[[#This Row],[历史]]))+1)</f>
        <v>297</v>
      </c>
      <c r="W1832" s="29" cm="1">
        <f t="array" ref="W1832">IF(表成绩单[[#This Row],[总分]]="","",SUMPRODUCT((表成绩单[考试日期]=表成绩单[[#This Row],[考试日期]])*(表成绩单[总分]&lt;9E+307)*(表成绩单[总分]&gt;表成绩单[[#This Row],[总分]]))+1)</f>
        <v>226</v>
      </c>
    </row>
    <row r="1833" ht="28" customHeight="1" spans="4:23">
      <c r="D1833" s="31">
        <v>46030</v>
      </c>
      <c r="E1833" s="29">
        <v>19176859</v>
      </c>
      <c r="F1833" s="29" t="s">
        <v>71</v>
      </c>
      <c r="G1833" s="29" t="s">
        <v>404</v>
      </c>
      <c r="H1833" s="29">
        <v>93</v>
      </c>
      <c r="I1833" s="29">
        <v>92</v>
      </c>
      <c r="J1833" s="29">
        <v>64.5</v>
      </c>
      <c r="K1833" s="29">
        <v>73</v>
      </c>
      <c r="L1833" s="29">
        <v>72</v>
      </c>
      <c r="M1833" s="29">
        <v>81</v>
      </c>
      <c r="N1833" s="29">
        <v>76</v>
      </c>
      <c r="O1833" s="32">
        <v>551.5</v>
      </c>
      <c r="P1833" s="29" cm="1">
        <f t="array" ref="P1833">IF(表成绩单[[#This Row],[语文]]="","",SUMPRODUCT((表成绩单[考试日期]=表成绩单[[#This Row],[考试日期]])*(表成绩单[语文]&lt;9E+307)*(表成绩单[语文]&gt;表成绩单[[#This Row],[语文]]))+1)</f>
        <v>412</v>
      </c>
      <c r="Q1833" s="29" cm="1">
        <f t="array" ref="Q1833">IF(表成绩单[[#This Row],[数学]]="","",SUMPRODUCT((表成绩单[考试日期]=表成绩单[[#This Row],[考试日期]])*(表成绩单[数学]&lt;9E+307)*(表成绩单[数学]&gt;表成绩单[[#This Row],[数学]]))+1)</f>
        <v>199</v>
      </c>
      <c r="R1833" s="29" cm="1">
        <f t="array" ref="R1833">IF(表成绩单[[#This Row],[英语]]="","",SUMPRODUCT((表成绩单[考试日期]=表成绩单[[#This Row],[考试日期]])*(表成绩单[英语]&lt;9E+307)*(表成绩单[英语]&gt;表成绩单[[#This Row],[英语]]))+1)</f>
        <v>447</v>
      </c>
      <c r="S1833" s="29" cm="1">
        <f t="array" ref="S1833">IF(表成绩单[[#This Row],[物理]]="","",SUMPRODUCT((表成绩单[考试日期]=表成绩单[[#This Row],[考试日期]])*(表成绩单[物理]&lt;9E+307)*(表成绩单[物理]&gt;表成绩单[[#This Row],[物理]]))+1)</f>
        <v>271</v>
      </c>
      <c r="T1833" s="29" cm="1">
        <f t="array" ref="T1833">IF(表成绩单[[#This Row],[化学]]="","",SUMPRODUCT((表成绩单[考试日期]=表成绩单[[#This Row],[考试日期]])*(表成绩单[化学]&lt;9E+307)*(表成绩单[化学]&gt;表成绩单[[#This Row],[化学]]))+1)</f>
        <v>271</v>
      </c>
      <c r="U1833" s="29" cm="1">
        <f t="array" ref="U1833">IF(表成绩单[[#This Row],[政治]]="","",SUMPRODUCT((表成绩单[考试日期]=表成绩单[[#This Row],[考试日期]])*(表成绩单[政治]&lt;9E+307)*(表成绩单[政治]&gt;表成绩单[[#This Row],[政治]]))+1)</f>
        <v>18</v>
      </c>
      <c r="V1833" s="29" cm="1">
        <f t="array" ref="V1833">IF(表成绩单[[#This Row],[历史]]="","",SUMPRODUCT((表成绩单[考试日期]=表成绩单[[#This Row],[考试日期]])*(表成绩单[历史]&lt;9E+307)*(表成绩单[历史]&gt;表成绩单[[#This Row],[历史]]))+1)</f>
        <v>169</v>
      </c>
      <c r="W1833" s="29" cm="1">
        <f t="array" ref="W1833">IF(表成绩单[[#This Row],[总分]]="","",SUMPRODUCT((表成绩单[考试日期]=表成绩单[[#This Row],[考试日期]])*(表成绩单[总分]&lt;9E+307)*(表成绩单[总分]&gt;表成绩单[[#This Row],[总分]]))+1)</f>
        <v>226</v>
      </c>
    </row>
    <row r="1834" ht="28" customHeight="1" spans="4:23">
      <c r="D1834" s="31">
        <v>46030</v>
      </c>
      <c r="E1834" s="29">
        <v>19177675</v>
      </c>
      <c r="F1834" s="29" t="s">
        <v>63</v>
      </c>
      <c r="G1834" s="29" t="s">
        <v>261</v>
      </c>
      <c r="H1834" s="29">
        <v>101</v>
      </c>
      <c r="I1834" s="29">
        <v>81</v>
      </c>
      <c r="J1834" s="29">
        <v>79.5</v>
      </c>
      <c r="K1834" s="29">
        <v>73</v>
      </c>
      <c r="L1834" s="29">
        <v>79</v>
      </c>
      <c r="M1834" s="29">
        <v>67</v>
      </c>
      <c r="N1834" s="29">
        <v>71</v>
      </c>
      <c r="O1834" s="32">
        <v>551.5</v>
      </c>
      <c r="P1834" s="29" cm="1">
        <f t="array" ref="P1834">IF(表成绩单[[#This Row],[语文]]="","",SUMPRODUCT((表成绩单[考试日期]=表成绩单[[#This Row],[考试日期]])*(表成绩单[语文]&lt;9E+307)*(表成绩单[语文]&gt;表成绩单[[#This Row],[语文]]))+1)</f>
        <v>159</v>
      </c>
      <c r="Q1834" s="29" cm="1">
        <f t="array" ref="Q1834">IF(表成绩单[[#This Row],[数学]]="","",SUMPRODUCT((表成绩单[考试日期]=表成绩单[[#This Row],[考试日期]])*(表成绩单[数学]&lt;9E+307)*(表成绩单[数学]&gt;表成绩单[[#This Row],[数学]]))+1)</f>
        <v>396</v>
      </c>
      <c r="R1834" s="29" cm="1">
        <f t="array" ref="R1834">IF(表成绩单[[#This Row],[英语]]="","",SUMPRODUCT((表成绩单[考试日期]=表成绩单[[#This Row],[考试日期]])*(表成绩单[英语]&lt;9E+307)*(表成绩单[英语]&gt;表成绩单[[#This Row],[英语]]))+1)</f>
        <v>41</v>
      </c>
      <c r="S1834" s="29" cm="1">
        <f t="array" ref="S1834">IF(表成绩单[[#This Row],[物理]]="","",SUMPRODUCT((表成绩单[考试日期]=表成绩单[[#This Row],[考试日期]])*(表成绩单[物理]&lt;9E+307)*(表成绩单[物理]&gt;表成绩单[[#This Row],[物理]]))+1)</f>
        <v>271</v>
      </c>
      <c r="T1834" s="29" cm="1">
        <f t="array" ref="T1834">IF(表成绩单[[#This Row],[化学]]="","",SUMPRODUCT((表成绩单[考试日期]=表成绩单[[#This Row],[考试日期]])*(表成绩单[化学]&lt;9E+307)*(表成绩单[化学]&gt;表成绩单[[#This Row],[化学]]))+1)</f>
        <v>77</v>
      </c>
      <c r="U1834" s="29" cm="1">
        <f t="array" ref="U1834">IF(表成绩单[[#This Row],[政治]]="","",SUMPRODUCT((表成绩单[考试日期]=表成绩单[[#This Row],[考试日期]])*(表成绩单[政治]&lt;9E+307)*(表成绩单[政治]&gt;表成绩单[[#This Row],[政治]]))+1)</f>
        <v>370</v>
      </c>
      <c r="V1834" s="29" cm="1">
        <f t="array" ref="V1834">IF(表成绩单[[#This Row],[历史]]="","",SUMPRODUCT((表成绩单[考试日期]=表成绩单[[#This Row],[考试日期]])*(表成绩单[历史]&lt;9E+307)*(表成绩单[历史]&gt;表成绩单[[#This Row],[历史]]))+1)</f>
        <v>297</v>
      </c>
      <c r="W1834" s="29" cm="1">
        <f t="array" ref="W1834">IF(表成绩单[[#This Row],[总分]]="","",SUMPRODUCT((表成绩单[考试日期]=表成绩单[[#This Row],[考试日期]])*(表成绩单[总分]&lt;9E+307)*(表成绩单[总分]&gt;表成绩单[[#This Row],[总分]]))+1)</f>
        <v>226</v>
      </c>
    </row>
    <row r="1835" ht="28" customHeight="1" spans="4:23">
      <c r="D1835" s="31">
        <v>46030</v>
      </c>
      <c r="E1835" s="29">
        <v>19173249</v>
      </c>
      <c r="F1835" s="29" t="s">
        <v>61</v>
      </c>
      <c r="G1835" s="29" t="s">
        <v>218</v>
      </c>
      <c r="H1835" s="29">
        <v>88</v>
      </c>
      <c r="I1835" s="29">
        <v>97</v>
      </c>
      <c r="J1835" s="29">
        <v>73</v>
      </c>
      <c r="K1835" s="29">
        <v>81</v>
      </c>
      <c r="L1835" s="29">
        <v>78</v>
      </c>
      <c r="M1835" s="29">
        <v>69</v>
      </c>
      <c r="N1835" s="29">
        <v>65</v>
      </c>
      <c r="O1835" s="32">
        <v>551</v>
      </c>
      <c r="P1835" s="29" cm="1">
        <f t="array" ref="P1835">IF(表成绩单[[#This Row],[语文]]="","",SUMPRODUCT((表成绩单[考试日期]=表成绩单[[#This Row],[考试日期]])*(表成绩单[语文]&lt;9E+307)*(表成绩单[语文]&gt;表成绩单[[#This Row],[语文]]))+1)</f>
        <v>562</v>
      </c>
      <c r="Q1835" s="29" cm="1">
        <f t="array" ref="Q1835">IF(表成绩单[[#This Row],[数学]]="","",SUMPRODUCT((表成绩单[考试日期]=表成绩单[[#This Row],[考试日期]])*(表成绩单[数学]&lt;9E+307)*(表成绩单[数学]&gt;表成绩单[[#This Row],[数学]]))+1)</f>
        <v>142</v>
      </c>
      <c r="R1835" s="29" cm="1">
        <f t="array" ref="R1835">IF(表成绩单[[#This Row],[英语]]="","",SUMPRODUCT((表成绩单[考试日期]=表成绩单[[#This Row],[考试日期]])*(表成绩单[英语]&lt;9E+307)*(表成绩单[英语]&gt;表成绩单[[#This Row],[英语]]))+1)</f>
        <v>222</v>
      </c>
      <c r="S1835" s="29" cm="1">
        <f t="array" ref="S1835">IF(表成绩单[[#This Row],[物理]]="","",SUMPRODUCT((表成绩单[考试日期]=表成绩单[[#This Row],[考试日期]])*(表成绩单[物理]&lt;9E+307)*(表成绩单[物理]&gt;表成绩单[[#This Row],[物理]]))+1)</f>
        <v>119</v>
      </c>
      <c r="T1835" s="29" cm="1">
        <f t="array" ref="T1835">IF(表成绩单[[#This Row],[化学]]="","",SUMPRODUCT((表成绩单[考试日期]=表成绩单[[#This Row],[考试日期]])*(表成绩单[化学]&lt;9E+307)*(表成绩单[化学]&gt;表成绩单[[#This Row],[化学]]))+1)</f>
        <v>93</v>
      </c>
      <c r="U1835" s="29" cm="1">
        <f t="array" ref="U1835">IF(表成绩单[[#This Row],[政治]]="","",SUMPRODUCT((表成绩单[考试日期]=表成绩单[[#This Row],[考试日期]])*(表成绩单[政治]&lt;9E+307)*(表成绩单[政治]&gt;表成绩单[[#This Row],[政治]]))+1)</f>
        <v>308</v>
      </c>
      <c r="V1835" s="29" cm="1">
        <f t="array" ref="V1835">IF(表成绩单[[#This Row],[历史]]="","",SUMPRODUCT((表成绩单[考试日期]=表成绩单[[#This Row],[考试日期]])*(表成绩单[历史]&lt;9E+307)*(表成绩单[历史]&gt;表成绩单[[#This Row],[历史]]))+1)</f>
        <v>471</v>
      </c>
      <c r="W1835" s="29" cm="1">
        <f t="array" ref="W1835">IF(表成绩单[[#This Row],[总分]]="","",SUMPRODUCT((表成绩单[考试日期]=表成绩单[[#This Row],[考试日期]])*(表成绩单[总分]&lt;9E+307)*(表成绩单[总分]&gt;表成绩单[[#This Row],[总分]]))+1)</f>
        <v>229</v>
      </c>
    </row>
    <row r="1836" ht="28" customHeight="1" spans="4:23">
      <c r="D1836" s="31">
        <v>46030</v>
      </c>
      <c r="E1836" s="29">
        <v>19174453</v>
      </c>
      <c r="F1836" s="29" t="s">
        <v>73</v>
      </c>
      <c r="G1836" s="29" t="s">
        <v>247</v>
      </c>
      <c r="H1836" s="29">
        <v>103</v>
      </c>
      <c r="I1836" s="29">
        <v>82</v>
      </c>
      <c r="J1836" s="29">
        <v>80</v>
      </c>
      <c r="K1836" s="29">
        <v>72</v>
      </c>
      <c r="L1836" s="29">
        <v>63</v>
      </c>
      <c r="M1836" s="29">
        <v>77</v>
      </c>
      <c r="N1836" s="29">
        <v>74</v>
      </c>
      <c r="O1836" s="32">
        <v>551</v>
      </c>
      <c r="P1836" s="29" cm="1">
        <f t="array" ref="P1836">IF(表成绩单[[#This Row],[语文]]="","",SUMPRODUCT((表成绩单[考试日期]=表成绩单[[#This Row],[考试日期]])*(表成绩单[语文]&lt;9E+307)*(表成绩单[语文]&gt;表成绩单[[#This Row],[语文]]))+1)</f>
        <v>105</v>
      </c>
      <c r="Q1836" s="29" cm="1">
        <f t="array" ref="Q1836">IF(表成绩单[[#This Row],[数学]]="","",SUMPRODUCT((表成绩单[考试日期]=表成绩单[[#This Row],[考试日期]])*(表成绩单[数学]&lt;9E+307)*(表成绩单[数学]&gt;表成绩单[[#This Row],[数学]]))+1)</f>
        <v>383</v>
      </c>
      <c r="R1836" s="29" cm="1">
        <f t="array" ref="R1836">IF(表成绩单[[#This Row],[英语]]="","",SUMPRODUCT((表成绩单[考试日期]=表成绩单[[#This Row],[考试日期]])*(表成绩单[英语]&lt;9E+307)*(表成绩单[英语]&gt;表成绩单[[#This Row],[英语]]))+1)</f>
        <v>27</v>
      </c>
      <c r="S1836" s="29" cm="1">
        <f t="array" ref="S1836">IF(表成绩单[[#This Row],[物理]]="","",SUMPRODUCT((表成绩单[考试日期]=表成绩单[[#This Row],[考试日期]])*(表成绩单[物理]&lt;9E+307)*(表成绩单[物理]&gt;表成绩单[[#This Row],[物理]]))+1)</f>
        <v>297</v>
      </c>
      <c r="T1836" s="29" cm="1">
        <f t="array" ref="T1836">IF(表成绩单[[#This Row],[化学]]="","",SUMPRODUCT((表成绩单[考试日期]=表成绩单[[#This Row],[考试日期]])*(表成绩单[化学]&lt;9E+307)*(表成绩单[化学]&gt;表成绩单[[#This Row],[化学]]))+1)</f>
        <v>472</v>
      </c>
      <c r="U1836" s="29" cm="1">
        <f t="array" ref="U1836">IF(表成绩单[[#This Row],[政治]]="","",SUMPRODUCT((表成绩单[考试日期]=表成绩单[[#This Row],[考试日期]])*(表成绩单[政治]&lt;9E+307)*(表成绩单[政治]&gt;表成绩单[[#This Row],[政治]]))+1)</f>
        <v>88</v>
      </c>
      <c r="V1836" s="29" cm="1">
        <f t="array" ref="V1836">IF(表成绩单[[#This Row],[历史]]="","",SUMPRODUCT((表成绩单[考试日期]=表成绩单[[#This Row],[考试日期]])*(表成绩单[历史]&lt;9E+307)*(表成绩单[历史]&gt;表成绩单[[#This Row],[历史]]))+1)</f>
        <v>215</v>
      </c>
      <c r="W1836" s="29" cm="1">
        <f t="array" ref="W1836">IF(表成绩单[[#This Row],[总分]]="","",SUMPRODUCT((表成绩单[考试日期]=表成绩单[[#This Row],[考试日期]])*(表成绩单[总分]&lt;9E+307)*(表成绩单[总分]&gt;表成绩单[[#This Row],[总分]]))+1)</f>
        <v>229</v>
      </c>
    </row>
    <row r="1837" ht="28" customHeight="1" spans="4:23">
      <c r="D1837" s="31">
        <v>46030</v>
      </c>
      <c r="E1837" s="29">
        <v>19176894</v>
      </c>
      <c r="F1837" s="29" t="s">
        <v>71</v>
      </c>
      <c r="G1837" s="29" t="s">
        <v>466</v>
      </c>
      <c r="H1837" s="29">
        <v>91</v>
      </c>
      <c r="I1837" s="29">
        <v>99</v>
      </c>
      <c r="J1837" s="29">
        <v>73</v>
      </c>
      <c r="K1837" s="29">
        <v>74</v>
      </c>
      <c r="L1837" s="29">
        <v>66</v>
      </c>
      <c r="M1837" s="29">
        <v>70</v>
      </c>
      <c r="N1837" s="29">
        <v>78</v>
      </c>
      <c r="O1837" s="32">
        <v>551</v>
      </c>
      <c r="P1837" s="29" cm="1">
        <f t="array" ref="P1837">IF(表成绩单[[#This Row],[语文]]="","",SUMPRODUCT((表成绩单[考试日期]=表成绩单[[#This Row],[考试日期]])*(表成绩单[语文]&lt;9E+307)*(表成绩单[语文]&gt;表成绩单[[#This Row],[语文]]))+1)</f>
        <v>478</v>
      </c>
      <c r="Q1837" s="29" cm="1">
        <f t="array" ref="Q1837">IF(表成绩单[[#This Row],[数学]]="","",SUMPRODUCT((表成绩单[考试日期]=表成绩单[[#This Row],[考试日期]])*(表成绩单[数学]&lt;9E+307)*(表成绩单[数学]&gt;表成绩单[[#This Row],[数学]]))+1)</f>
        <v>120</v>
      </c>
      <c r="R1837" s="29" cm="1">
        <f t="array" ref="R1837">IF(表成绩单[[#This Row],[英语]]="","",SUMPRODUCT((表成绩单[考试日期]=表成绩单[[#This Row],[考试日期]])*(表成绩单[英语]&lt;9E+307)*(表成绩单[英语]&gt;表成绩单[[#This Row],[英语]]))+1)</f>
        <v>222</v>
      </c>
      <c r="S1837" s="29" cm="1">
        <f t="array" ref="S1837">IF(表成绩单[[#This Row],[物理]]="","",SUMPRODUCT((表成绩单[考试日期]=表成绩单[[#This Row],[考试日期]])*(表成绩单[物理]&lt;9E+307)*(表成绩单[物理]&gt;表成绩单[[#This Row],[物理]]))+1)</f>
        <v>258</v>
      </c>
      <c r="T1837" s="29" cm="1">
        <f t="array" ref="T1837">IF(表成绩单[[#This Row],[化学]]="","",SUMPRODUCT((表成绩单[考试日期]=表成绩单[[#This Row],[考试日期]])*(表成绩单[化学]&lt;9E+307)*(表成绩单[化学]&gt;表成绩单[[#This Row],[化学]]))+1)</f>
        <v>414</v>
      </c>
      <c r="U1837" s="29" cm="1">
        <f t="array" ref="U1837">IF(表成绩单[[#This Row],[政治]]="","",SUMPRODUCT((表成绩单[考试日期]=表成绩单[[#This Row],[考试日期]])*(表成绩单[政治]&lt;9E+307)*(表成绩单[政治]&gt;表成绩单[[#This Row],[政治]]))+1)</f>
        <v>274</v>
      </c>
      <c r="V1837" s="29" cm="1">
        <f t="array" ref="V1837">IF(表成绩单[[#This Row],[历史]]="","",SUMPRODUCT((表成绩单[考试日期]=表成绩单[[#This Row],[考试日期]])*(表成绩单[历史]&lt;9E+307)*(表成绩单[历史]&gt;表成绩单[[#This Row],[历史]]))+1)</f>
        <v>126</v>
      </c>
      <c r="W1837" s="29" cm="1">
        <f t="array" ref="W1837">IF(表成绩单[[#This Row],[总分]]="","",SUMPRODUCT((表成绩单[考试日期]=表成绩单[[#This Row],[考试日期]])*(表成绩单[总分]&lt;9E+307)*(表成绩单[总分]&gt;表成绩单[[#This Row],[总分]]))+1)</f>
        <v>229</v>
      </c>
    </row>
    <row r="1838" ht="28" customHeight="1" spans="4:23">
      <c r="D1838" s="31">
        <v>46030</v>
      </c>
      <c r="E1838" s="29">
        <v>19177231</v>
      </c>
      <c r="F1838" s="29" t="s">
        <v>70</v>
      </c>
      <c r="G1838" s="29" t="s">
        <v>311</v>
      </c>
      <c r="H1838" s="29">
        <v>95</v>
      </c>
      <c r="I1838" s="29">
        <v>87</v>
      </c>
      <c r="J1838" s="29">
        <v>70.5</v>
      </c>
      <c r="K1838" s="29">
        <v>71</v>
      </c>
      <c r="L1838" s="29">
        <v>74</v>
      </c>
      <c r="M1838" s="29">
        <v>71</v>
      </c>
      <c r="N1838" s="29">
        <v>82</v>
      </c>
      <c r="O1838" s="32">
        <v>550.5</v>
      </c>
      <c r="P1838" s="29" cm="1">
        <f t="array" ref="P1838">IF(表成绩单[[#This Row],[语文]]="","",SUMPRODUCT((表成绩单[考试日期]=表成绩单[[#This Row],[考试日期]])*(表成绩单[语文]&lt;9E+307)*(表成绩单[语文]&gt;表成绩单[[#This Row],[语文]]))+1)</f>
        <v>342</v>
      </c>
      <c r="Q1838" s="29" cm="1">
        <f t="array" ref="Q1838">IF(表成绩单[[#This Row],[数学]]="","",SUMPRODUCT((表成绩单[考试日期]=表成绩单[[#This Row],[考试日期]])*(表成绩单[数学]&lt;9E+307)*(表成绩单[数学]&gt;表成绩单[[#This Row],[数学]]))+1)</f>
        <v>270</v>
      </c>
      <c r="R1838" s="29" cm="1">
        <f t="array" ref="R1838">IF(表成绩单[[#This Row],[英语]]="","",SUMPRODUCT((表成绩单[考试日期]=表成绩单[[#This Row],[考试日期]])*(表成绩单[英语]&lt;9E+307)*(表成绩单[英语]&gt;表成绩单[[#This Row],[英语]]))+1)</f>
        <v>299</v>
      </c>
      <c r="S1838" s="29" cm="1">
        <f t="array" ref="S1838">IF(表成绩单[[#This Row],[物理]]="","",SUMPRODUCT((表成绩单[考试日期]=表成绩单[[#This Row],[考试日期]])*(表成绩单[物理]&lt;9E+307)*(表成绩单[物理]&gt;表成绩单[[#This Row],[物理]]))+1)</f>
        <v>319</v>
      </c>
      <c r="T1838" s="29" cm="1">
        <f t="array" ref="T1838">IF(表成绩单[[#This Row],[化学]]="","",SUMPRODUCT((表成绩单[考试日期]=表成绩单[[#This Row],[考试日期]])*(表成绩单[化学]&lt;9E+307)*(表成绩单[化学]&gt;表成绩单[[#This Row],[化学]]))+1)</f>
        <v>208</v>
      </c>
      <c r="U1838" s="29" cm="1">
        <f t="array" ref="U1838">IF(表成绩单[[#This Row],[政治]]="","",SUMPRODUCT((表成绩单[考试日期]=表成绩单[[#This Row],[考试日期]])*(表成绩单[政治]&lt;9E+307)*(表成绩单[政治]&gt;表成绩单[[#This Row],[政治]]))+1)</f>
        <v>248</v>
      </c>
      <c r="V1838" s="29" cm="1">
        <f t="array" ref="V1838">IF(表成绩单[[#This Row],[历史]]="","",SUMPRODUCT((表成绩单[考试日期]=表成绩单[[#This Row],[考试日期]])*(表成绩单[历史]&lt;9E+307)*(表成绩单[历史]&gt;表成绩单[[#This Row],[历史]]))+1)</f>
        <v>41</v>
      </c>
      <c r="W1838" s="29" cm="1">
        <f t="array" ref="W1838">IF(表成绩单[[#This Row],[总分]]="","",SUMPRODUCT((表成绩单[考试日期]=表成绩单[[#This Row],[考试日期]])*(表成绩单[总分]&lt;9E+307)*(表成绩单[总分]&gt;表成绩单[[#This Row],[总分]]))+1)</f>
        <v>232</v>
      </c>
    </row>
    <row r="1839" ht="28" customHeight="1" spans="4:23">
      <c r="D1839" s="31">
        <v>46030</v>
      </c>
      <c r="E1839" s="29">
        <v>19171093</v>
      </c>
      <c r="F1839" s="29" t="s">
        <v>67</v>
      </c>
      <c r="G1839" s="29" t="s">
        <v>487</v>
      </c>
      <c r="H1839" s="29">
        <v>99</v>
      </c>
      <c r="I1839" s="29">
        <v>81</v>
      </c>
      <c r="J1839" s="29">
        <v>76</v>
      </c>
      <c r="K1839" s="29">
        <v>72</v>
      </c>
      <c r="L1839" s="29">
        <v>74</v>
      </c>
      <c r="M1839" s="29">
        <v>67</v>
      </c>
      <c r="N1839" s="29">
        <v>81</v>
      </c>
      <c r="O1839" s="32">
        <v>550</v>
      </c>
      <c r="P1839" s="29" cm="1">
        <f t="array" ref="P1839">IF(表成绩单[[#This Row],[语文]]="","",SUMPRODUCT((表成绩单[考试日期]=表成绩单[[#This Row],[考试日期]])*(表成绩单[语文]&lt;9E+307)*(表成绩单[语文]&gt;表成绩单[[#This Row],[语文]]))+1)</f>
        <v>213</v>
      </c>
      <c r="Q1839" s="29" cm="1">
        <f t="array" ref="Q1839">IF(表成绩单[[#This Row],[数学]]="","",SUMPRODUCT((表成绩单[考试日期]=表成绩单[[#This Row],[考试日期]])*(表成绩单[数学]&lt;9E+307)*(表成绩单[数学]&gt;表成绩单[[#This Row],[数学]]))+1)</f>
        <v>396</v>
      </c>
      <c r="R1839" s="29" cm="1">
        <f t="array" ref="R1839">IF(表成绩单[[#This Row],[英语]]="","",SUMPRODUCT((表成绩单[考试日期]=表成绩单[[#This Row],[考试日期]])*(表成绩单[英语]&lt;9E+307)*(表成绩单[英语]&gt;表成绩单[[#This Row],[英语]]))+1)</f>
        <v>126</v>
      </c>
      <c r="S1839" s="29" cm="1">
        <f t="array" ref="S1839">IF(表成绩单[[#This Row],[物理]]="","",SUMPRODUCT((表成绩单[考试日期]=表成绩单[[#This Row],[考试日期]])*(表成绩单[物理]&lt;9E+307)*(表成绩单[物理]&gt;表成绩单[[#This Row],[物理]]))+1)</f>
        <v>297</v>
      </c>
      <c r="T1839" s="29" cm="1">
        <f t="array" ref="T1839">IF(表成绩单[[#This Row],[化学]]="","",SUMPRODUCT((表成绩单[考试日期]=表成绩单[[#This Row],[考试日期]])*(表成绩单[化学]&lt;9E+307)*(表成绩单[化学]&gt;表成绩单[[#This Row],[化学]]))+1)</f>
        <v>208</v>
      </c>
      <c r="U1839" s="29" cm="1">
        <f t="array" ref="U1839">IF(表成绩单[[#This Row],[政治]]="","",SUMPRODUCT((表成绩单[考试日期]=表成绩单[[#This Row],[考试日期]])*(表成绩单[政治]&lt;9E+307)*(表成绩单[政治]&gt;表成绩单[[#This Row],[政治]]))+1)</f>
        <v>370</v>
      </c>
      <c r="V1839" s="29" cm="1">
        <f t="array" ref="V1839">IF(表成绩单[[#This Row],[历史]]="","",SUMPRODUCT((表成绩单[考试日期]=表成绩单[[#This Row],[考试日期]])*(表成绩单[历史]&lt;9E+307)*(表成绩单[历史]&gt;表成绩单[[#This Row],[历史]]))+1)</f>
        <v>60</v>
      </c>
      <c r="W1839" s="29" cm="1">
        <f t="array" ref="W1839">IF(表成绩单[[#This Row],[总分]]="","",SUMPRODUCT((表成绩单[考试日期]=表成绩单[[#This Row],[考试日期]])*(表成绩单[总分]&lt;9E+307)*(表成绩单[总分]&gt;表成绩单[[#This Row],[总分]]))+1)</f>
        <v>233</v>
      </c>
    </row>
    <row r="1840" ht="28" customHeight="1" spans="4:23">
      <c r="D1840" s="31">
        <v>46030</v>
      </c>
      <c r="E1840" s="29">
        <v>19174466</v>
      </c>
      <c r="F1840" s="29" t="s">
        <v>73</v>
      </c>
      <c r="G1840" s="29" t="s">
        <v>343</v>
      </c>
      <c r="H1840" s="29">
        <v>96</v>
      </c>
      <c r="I1840" s="29">
        <v>90</v>
      </c>
      <c r="J1840" s="29">
        <v>80</v>
      </c>
      <c r="K1840" s="29">
        <v>76</v>
      </c>
      <c r="L1840" s="29">
        <v>69</v>
      </c>
      <c r="M1840" s="29">
        <v>72</v>
      </c>
      <c r="N1840" s="29">
        <v>67</v>
      </c>
      <c r="O1840" s="32">
        <v>550</v>
      </c>
      <c r="P1840" s="29" cm="1">
        <f t="array" ref="P1840">IF(表成绩单[[#This Row],[语文]]="","",SUMPRODUCT((表成绩单[考试日期]=表成绩单[[#This Row],[考试日期]])*(表成绩单[语文]&lt;9E+307)*(表成绩单[语文]&gt;表成绩单[[#This Row],[语文]]))+1)</f>
        <v>315</v>
      </c>
      <c r="Q1840" s="29" cm="1">
        <f t="array" ref="Q1840">IF(表成绩单[[#This Row],[数学]]="","",SUMPRODUCT((表成绩单[考试日期]=表成绩单[[#This Row],[考试日期]])*(表成绩单[数学]&lt;9E+307)*(表成绩单[数学]&gt;表成绩单[[#This Row],[数学]]))+1)</f>
        <v>215</v>
      </c>
      <c r="R1840" s="29" cm="1">
        <f t="array" ref="R1840">IF(表成绩单[[#This Row],[英语]]="","",SUMPRODUCT((表成绩单[考试日期]=表成绩单[[#This Row],[考试日期]])*(表成绩单[英语]&lt;9E+307)*(表成绩单[英语]&gt;表成绩单[[#This Row],[英语]]))+1)</f>
        <v>27</v>
      </c>
      <c r="S1840" s="29" cm="1">
        <f t="array" ref="S1840">IF(表成绩单[[#This Row],[物理]]="","",SUMPRODUCT((表成绩单[考试日期]=表成绩单[[#This Row],[考试日期]])*(表成绩单[物理]&lt;9E+307)*(表成绩单[物理]&gt;表成绩单[[#This Row],[物理]]))+1)</f>
        <v>218</v>
      </c>
      <c r="T1840" s="29" cm="1">
        <f t="array" ref="T1840">IF(表成绩单[[#This Row],[化学]]="","",SUMPRODUCT((表成绩单[考试日期]=表成绩单[[#This Row],[考试日期]])*(表成绩单[化学]&lt;9E+307)*(表成绩单[化学]&gt;表成绩单[[#This Row],[化学]]))+1)</f>
        <v>339</v>
      </c>
      <c r="U1840" s="29" cm="1">
        <f t="array" ref="U1840">IF(表成绩单[[#This Row],[政治]]="","",SUMPRODUCT((表成绩单[考试日期]=表成绩单[[#This Row],[考试日期]])*(表成绩单[政治]&lt;9E+307)*(表成绩单[政治]&gt;表成绩单[[#This Row],[政治]]))+1)</f>
        <v>224</v>
      </c>
      <c r="V1840" s="29" cm="1">
        <f t="array" ref="V1840">IF(表成绩单[[#This Row],[历史]]="","",SUMPRODUCT((表成绩单[考试日期]=表成绩单[[#This Row],[考试日期]])*(表成绩单[历史]&lt;9E+307)*(表成绩单[历史]&gt;表成绩单[[#This Row],[历史]]))+1)</f>
        <v>415</v>
      </c>
      <c r="W1840" s="29" cm="1">
        <f t="array" ref="W1840">IF(表成绩单[[#This Row],[总分]]="","",SUMPRODUCT((表成绩单[考试日期]=表成绩单[[#This Row],[考试日期]])*(表成绩单[总分]&lt;9E+307)*(表成绩单[总分]&gt;表成绩单[[#This Row],[总分]]))+1)</f>
        <v>233</v>
      </c>
    </row>
    <row r="1841" ht="28" customHeight="1" spans="4:23">
      <c r="D1841" s="31">
        <v>46030</v>
      </c>
      <c r="E1841" s="29">
        <v>19177215</v>
      </c>
      <c r="F1841" s="29" t="s">
        <v>70</v>
      </c>
      <c r="G1841" s="29" t="s">
        <v>292</v>
      </c>
      <c r="H1841" s="29">
        <v>95</v>
      </c>
      <c r="I1841" s="29">
        <v>86</v>
      </c>
      <c r="J1841" s="29">
        <v>77</v>
      </c>
      <c r="K1841" s="29">
        <v>70</v>
      </c>
      <c r="L1841" s="29">
        <v>74</v>
      </c>
      <c r="M1841" s="29">
        <v>71</v>
      </c>
      <c r="N1841" s="29">
        <v>77</v>
      </c>
      <c r="O1841" s="32">
        <v>550</v>
      </c>
      <c r="P1841" s="29" cm="1">
        <f t="array" ref="P1841">IF(表成绩单[[#This Row],[语文]]="","",SUMPRODUCT((表成绩单[考试日期]=表成绩单[[#This Row],[考试日期]])*(表成绩单[语文]&lt;9E+307)*(表成绩单[语文]&gt;表成绩单[[#This Row],[语文]]))+1)</f>
        <v>342</v>
      </c>
      <c r="Q1841" s="29" cm="1">
        <f t="array" ref="Q1841">IF(表成绩单[[#This Row],[数学]]="","",SUMPRODUCT((表成绩单[考试日期]=表成绩单[[#This Row],[考试日期]])*(表成绩单[数学]&lt;9E+307)*(表成绩单[数学]&gt;表成绩单[[#This Row],[数学]]))+1)</f>
        <v>302</v>
      </c>
      <c r="R1841" s="29" cm="1">
        <f t="array" ref="R1841">IF(表成绩单[[#This Row],[英语]]="","",SUMPRODUCT((表成绩单[考试日期]=表成绩单[[#This Row],[考试日期]])*(表成绩单[英语]&lt;9E+307)*(表成绩单[英语]&gt;表成绩单[[#This Row],[英语]]))+1)</f>
        <v>107</v>
      </c>
      <c r="S1841" s="29" cm="1">
        <f t="array" ref="S1841">IF(表成绩单[[#This Row],[物理]]="","",SUMPRODUCT((表成绩单[考试日期]=表成绩单[[#This Row],[考试日期]])*(表成绩单[物理]&lt;9E+307)*(表成绩单[物理]&gt;表成绩单[[#This Row],[物理]]))+1)</f>
        <v>338</v>
      </c>
      <c r="T1841" s="29" cm="1">
        <f t="array" ref="T1841">IF(表成绩单[[#This Row],[化学]]="","",SUMPRODUCT((表成绩单[考试日期]=表成绩单[[#This Row],[考试日期]])*(表成绩单[化学]&lt;9E+307)*(表成绩单[化学]&gt;表成绩单[[#This Row],[化学]]))+1)</f>
        <v>208</v>
      </c>
      <c r="U1841" s="29" cm="1">
        <f t="array" ref="U1841">IF(表成绩单[[#This Row],[政治]]="","",SUMPRODUCT((表成绩单[考试日期]=表成绩单[[#This Row],[考试日期]])*(表成绩单[政治]&lt;9E+307)*(表成绩单[政治]&gt;表成绩单[[#This Row],[政治]]))+1)</f>
        <v>248</v>
      </c>
      <c r="V1841" s="29" cm="1">
        <f t="array" ref="V1841">IF(表成绩单[[#This Row],[历史]]="","",SUMPRODUCT((表成绩单[考试日期]=表成绩单[[#This Row],[考试日期]])*(表成绩单[历史]&lt;9E+307)*(表成绩单[历史]&gt;表成绩单[[#This Row],[历史]]))+1)</f>
        <v>148</v>
      </c>
      <c r="W1841" s="29" cm="1">
        <f t="array" ref="W1841">IF(表成绩单[[#This Row],[总分]]="","",SUMPRODUCT((表成绩单[考试日期]=表成绩单[[#This Row],[考试日期]])*(表成绩单[总分]&lt;9E+307)*(表成绩单[总分]&gt;表成绩单[[#This Row],[总分]]))+1)</f>
        <v>233</v>
      </c>
    </row>
    <row r="1842" ht="28" customHeight="1" spans="4:23">
      <c r="D1842" s="31">
        <v>46030</v>
      </c>
      <c r="E1842" s="29">
        <v>19174773</v>
      </c>
      <c r="F1842" s="29" t="s">
        <v>69</v>
      </c>
      <c r="G1842" s="29" t="s">
        <v>402</v>
      </c>
      <c r="H1842" s="29">
        <v>105</v>
      </c>
      <c r="I1842" s="29">
        <v>87</v>
      </c>
      <c r="J1842" s="29">
        <v>75.5</v>
      </c>
      <c r="K1842" s="29">
        <v>73</v>
      </c>
      <c r="L1842" s="29">
        <v>67</v>
      </c>
      <c r="M1842" s="29">
        <v>74</v>
      </c>
      <c r="N1842" s="29">
        <v>68</v>
      </c>
      <c r="O1842" s="32">
        <v>549.5</v>
      </c>
      <c r="P1842" s="29" cm="1">
        <f t="array" ref="P1842">IF(表成绩单[[#This Row],[语文]]="","",SUMPRODUCT((表成绩单[考试日期]=表成绩单[[#This Row],[考试日期]])*(表成绩单[语文]&lt;9E+307)*(表成绩单[语文]&gt;表成绩单[[#This Row],[语文]]))+1)</f>
        <v>62</v>
      </c>
      <c r="Q1842" s="29" cm="1">
        <f t="array" ref="Q1842">IF(表成绩单[[#This Row],[数学]]="","",SUMPRODUCT((表成绩单[考试日期]=表成绩单[[#This Row],[考试日期]])*(表成绩单[数学]&lt;9E+307)*(表成绩单[数学]&gt;表成绩单[[#This Row],[数学]]))+1)</f>
        <v>270</v>
      </c>
      <c r="R1842" s="29" cm="1">
        <f t="array" ref="R1842">IF(表成绩单[[#This Row],[英语]]="","",SUMPRODUCT((表成绩单[考试日期]=表成绩单[[#This Row],[考试日期]])*(表成绩单[英语]&lt;9E+307)*(表成绩单[英语]&gt;表成绩单[[#This Row],[英语]]))+1)</f>
        <v>145</v>
      </c>
      <c r="S1842" s="29" cm="1">
        <f t="array" ref="S1842">IF(表成绩单[[#This Row],[物理]]="","",SUMPRODUCT((表成绩单[考试日期]=表成绩单[[#This Row],[考试日期]])*(表成绩单[物理]&lt;9E+307)*(表成绩单[物理]&gt;表成绩单[[#This Row],[物理]]))+1)</f>
        <v>271</v>
      </c>
      <c r="T1842" s="29" cm="1">
        <f t="array" ref="T1842">IF(表成绩单[[#This Row],[化学]]="","",SUMPRODUCT((表成绩单[考试日期]=表成绩单[[#This Row],[考试日期]])*(表成绩单[化学]&lt;9E+307)*(表成绩单[化学]&gt;表成绩单[[#This Row],[化学]]))+1)</f>
        <v>381</v>
      </c>
      <c r="U1842" s="29" cm="1">
        <f t="array" ref="U1842">IF(表成绩单[[#This Row],[政治]]="","",SUMPRODUCT((表成绩单[考试日期]=表成绩单[[#This Row],[考试日期]])*(表成绩单[政治]&lt;9E+307)*(表成绩单[政治]&gt;表成绩单[[#This Row],[政治]]))+1)</f>
        <v>168</v>
      </c>
      <c r="V1842" s="29" cm="1">
        <f t="array" ref="V1842">IF(表成绩单[[#This Row],[历史]]="","",SUMPRODUCT((表成绩单[考试日期]=表成绩单[[#This Row],[考试日期]])*(表成绩单[历史]&lt;9E+307)*(表成绩单[历史]&gt;表成绩单[[#This Row],[历史]]))+1)</f>
        <v>390</v>
      </c>
      <c r="W1842" s="29" cm="1">
        <f t="array" ref="W1842">IF(表成绩单[[#This Row],[总分]]="","",SUMPRODUCT((表成绩单[考试日期]=表成绩单[[#This Row],[考试日期]])*(表成绩单[总分]&lt;9E+307)*(表成绩单[总分]&gt;表成绩单[[#This Row],[总分]]))+1)</f>
        <v>236</v>
      </c>
    </row>
    <row r="1843" ht="28" customHeight="1" spans="4:23">
      <c r="D1843" s="31">
        <v>46030</v>
      </c>
      <c r="E1843" s="29">
        <v>19176877</v>
      </c>
      <c r="F1843" s="29" t="s">
        <v>71</v>
      </c>
      <c r="G1843" s="29" t="s">
        <v>286</v>
      </c>
      <c r="H1843" s="29">
        <v>95</v>
      </c>
      <c r="I1843" s="29">
        <v>101</v>
      </c>
      <c r="J1843" s="29">
        <v>76.5</v>
      </c>
      <c r="K1843" s="29">
        <v>74</v>
      </c>
      <c r="L1843" s="29">
        <v>68</v>
      </c>
      <c r="M1843" s="29">
        <v>68</v>
      </c>
      <c r="N1843" s="29">
        <v>67</v>
      </c>
      <c r="O1843" s="32">
        <v>549.5</v>
      </c>
      <c r="P1843" s="29" cm="1">
        <f t="array" ref="P1843">IF(表成绩单[[#This Row],[语文]]="","",SUMPRODUCT((表成绩单[考试日期]=表成绩单[[#This Row],[考试日期]])*(表成绩单[语文]&lt;9E+307)*(表成绩单[语文]&gt;表成绩单[[#This Row],[语文]]))+1)</f>
        <v>342</v>
      </c>
      <c r="Q1843" s="29" cm="1">
        <f t="array" ref="Q1843">IF(表成绩单[[#This Row],[数学]]="","",SUMPRODUCT((表成绩单[考试日期]=表成绩单[[#This Row],[考试日期]])*(表成绩单[数学]&lt;9E+307)*(表成绩单[数学]&gt;表成绩单[[#This Row],[数学]]))+1)</f>
        <v>104</v>
      </c>
      <c r="R1843" s="29" cm="1">
        <f t="array" ref="R1843">IF(表成绩单[[#This Row],[英语]]="","",SUMPRODUCT((表成绩单[考试日期]=表成绩单[[#This Row],[考试日期]])*(表成绩单[英语]&lt;9E+307)*(表成绩单[英语]&gt;表成绩单[[#This Row],[英语]]))+1)</f>
        <v>120</v>
      </c>
      <c r="S1843" s="29" cm="1">
        <f t="array" ref="S1843">IF(表成绩单[[#This Row],[物理]]="","",SUMPRODUCT((表成绩单[考试日期]=表成绩单[[#This Row],[考试日期]])*(表成绩单[物理]&lt;9E+307)*(表成绩单[物理]&gt;表成绩单[[#This Row],[物理]]))+1)</f>
        <v>258</v>
      </c>
      <c r="T1843" s="29" cm="1">
        <f t="array" ref="T1843">IF(表成绩单[[#This Row],[化学]]="","",SUMPRODUCT((表成绩单[考试日期]=表成绩单[[#This Row],[考试日期]])*(表成绩单[化学]&lt;9E+307)*(表成绩单[化学]&gt;表成绩单[[#This Row],[化学]]))+1)</f>
        <v>358</v>
      </c>
      <c r="U1843" s="29" cm="1">
        <f t="array" ref="U1843">IF(表成绩单[[#This Row],[政治]]="","",SUMPRODUCT((表成绩单[考试日期]=表成绩单[[#This Row],[考试日期]])*(表成绩单[政治]&lt;9E+307)*(表成绩单[政治]&gt;表成绩单[[#This Row],[政治]]))+1)</f>
        <v>336</v>
      </c>
      <c r="V1843" s="29" cm="1">
        <f t="array" ref="V1843">IF(表成绩单[[#This Row],[历史]]="","",SUMPRODUCT((表成绩单[考试日期]=表成绩单[[#This Row],[考试日期]])*(表成绩单[历史]&lt;9E+307)*(表成绩单[历史]&gt;表成绩单[[#This Row],[历史]]))+1)</f>
        <v>415</v>
      </c>
      <c r="W1843" s="29" cm="1">
        <f t="array" ref="W1843">IF(表成绩单[[#This Row],[总分]]="","",SUMPRODUCT((表成绩单[考试日期]=表成绩单[[#This Row],[考试日期]])*(表成绩单[总分]&lt;9E+307)*(表成绩单[总分]&gt;表成绩单[[#This Row],[总分]]))+1)</f>
        <v>236</v>
      </c>
    </row>
    <row r="1844" ht="28" customHeight="1" spans="4:23">
      <c r="D1844" s="31">
        <v>46030</v>
      </c>
      <c r="E1844" s="29">
        <v>19178624</v>
      </c>
      <c r="F1844" s="29" t="s">
        <v>25</v>
      </c>
      <c r="G1844" s="29" t="s">
        <v>373</v>
      </c>
      <c r="H1844" s="29">
        <v>103</v>
      </c>
      <c r="I1844" s="29">
        <v>88</v>
      </c>
      <c r="J1844" s="29">
        <v>70.5</v>
      </c>
      <c r="K1844" s="29">
        <v>68</v>
      </c>
      <c r="L1844" s="29">
        <v>67</v>
      </c>
      <c r="M1844" s="29">
        <v>76</v>
      </c>
      <c r="N1844" s="29">
        <v>77</v>
      </c>
      <c r="O1844" s="32">
        <v>549.5</v>
      </c>
      <c r="P1844" s="29" cm="1">
        <f t="array" ref="P1844">IF(表成绩单[[#This Row],[语文]]="","",SUMPRODUCT((表成绩单[考试日期]=表成绩单[[#This Row],[考试日期]])*(表成绩单[语文]&lt;9E+307)*(表成绩单[语文]&gt;表成绩单[[#This Row],[语文]]))+1)</f>
        <v>105</v>
      </c>
      <c r="Q1844" s="29" cm="1">
        <f t="array" ref="Q1844">IF(表成绩单[[#This Row],[数学]]="","",SUMPRODUCT((表成绩单[考试日期]=表成绩单[[#This Row],[考试日期]])*(表成绩单[数学]&lt;9E+307)*(表成绩单[数学]&gt;表成绩单[[#This Row],[数学]]))+1)</f>
        <v>245</v>
      </c>
      <c r="R1844" s="29" cm="1">
        <f t="array" ref="R1844">IF(表成绩单[[#This Row],[英语]]="","",SUMPRODUCT((表成绩单[考试日期]=表成绩单[[#This Row],[考试日期]])*(表成绩单[英语]&lt;9E+307)*(表成绩单[英语]&gt;表成绩单[[#This Row],[英语]]))+1)</f>
        <v>299</v>
      </c>
      <c r="S1844" s="29" cm="1">
        <f t="array" ref="S1844">IF(表成绩单[[#This Row],[物理]]="","",SUMPRODUCT((表成绩单[考试日期]=表成绩单[[#This Row],[考试日期]])*(表成绩单[物理]&lt;9E+307)*(表成绩单[物理]&gt;表成绩单[[#This Row],[物理]]))+1)</f>
        <v>372</v>
      </c>
      <c r="T1844" s="29" cm="1">
        <f t="array" ref="T1844">IF(表成绩单[[#This Row],[化学]]="","",SUMPRODUCT((表成绩单[考试日期]=表成绩单[[#This Row],[考试日期]])*(表成绩单[化学]&lt;9E+307)*(表成绩单[化学]&gt;表成绩单[[#This Row],[化学]]))+1)</f>
        <v>381</v>
      </c>
      <c r="U1844" s="29" cm="1">
        <f t="array" ref="U1844">IF(表成绩单[[#This Row],[政治]]="","",SUMPRODUCT((表成绩单[考试日期]=表成绩单[[#This Row],[考试日期]])*(表成绩单[政治]&lt;9E+307)*(表成绩单[政治]&gt;表成绩单[[#This Row],[政治]]))+1)</f>
        <v>111</v>
      </c>
      <c r="V1844" s="29" cm="1">
        <f t="array" ref="V1844">IF(表成绩单[[#This Row],[历史]]="","",SUMPRODUCT((表成绩单[考试日期]=表成绩单[[#This Row],[考试日期]])*(表成绩单[历史]&lt;9E+307)*(表成绩单[历史]&gt;表成绩单[[#This Row],[历史]]))+1)</f>
        <v>148</v>
      </c>
      <c r="W1844" s="29" cm="1">
        <f t="array" ref="W1844">IF(表成绩单[[#This Row],[总分]]="","",SUMPRODUCT((表成绩单[考试日期]=表成绩单[[#This Row],[考试日期]])*(表成绩单[总分]&lt;9E+307)*(表成绩单[总分]&gt;表成绩单[[#This Row],[总分]]))+1)</f>
        <v>236</v>
      </c>
    </row>
    <row r="1845" ht="28" customHeight="1" spans="4:23">
      <c r="D1845" s="31">
        <v>46030</v>
      </c>
      <c r="E1845" s="29">
        <v>19171085</v>
      </c>
      <c r="F1845" s="29" t="s">
        <v>67</v>
      </c>
      <c r="G1845" s="29" t="s">
        <v>248</v>
      </c>
      <c r="H1845" s="29">
        <v>100</v>
      </c>
      <c r="I1845" s="29">
        <v>80</v>
      </c>
      <c r="J1845" s="29">
        <v>72.5</v>
      </c>
      <c r="K1845" s="29">
        <v>76</v>
      </c>
      <c r="L1845" s="29">
        <v>69</v>
      </c>
      <c r="M1845" s="29">
        <v>72</v>
      </c>
      <c r="N1845" s="29">
        <v>79</v>
      </c>
      <c r="O1845" s="32">
        <v>548.5</v>
      </c>
      <c r="P1845" s="29" cm="1">
        <f t="array" ref="P1845">IF(表成绩单[[#This Row],[语文]]="","",SUMPRODUCT((表成绩单[考试日期]=表成绩单[[#This Row],[考试日期]])*(表成绩单[语文]&lt;9E+307)*(表成绩单[语文]&gt;表成绩单[[#This Row],[语文]]))+1)</f>
        <v>182</v>
      </c>
      <c r="Q1845" s="29" cm="1">
        <f t="array" ref="Q1845">IF(表成绩单[[#This Row],[数学]]="","",SUMPRODUCT((表成绩单[考试日期]=表成绩单[[#This Row],[考试日期]])*(表成绩单[数学]&lt;9E+307)*(表成绩单[数学]&gt;表成绩单[[#This Row],[数学]]))+1)</f>
        <v>412</v>
      </c>
      <c r="R1845" s="29" cm="1">
        <f t="array" ref="R1845">IF(表成绩单[[#This Row],[英语]]="","",SUMPRODUCT((表成绩单[考试日期]=表成绩单[[#This Row],[考试日期]])*(表成绩单[英语]&lt;9E+307)*(表成绩单[英语]&gt;表成绩单[[#This Row],[英语]]))+1)</f>
        <v>242</v>
      </c>
      <c r="S1845" s="29" cm="1">
        <f t="array" ref="S1845">IF(表成绩单[[#This Row],[物理]]="","",SUMPRODUCT((表成绩单[考试日期]=表成绩单[[#This Row],[考试日期]])*(表成绩单[物理]&lt;9E+307)*(表成绩单[物理]&gt;表成绩单[[#This Row],[物理]]))+1)</f>
        <v>218</v>
      </c>
      <c r="T1845" s="29" cm="1">
        <f t="array" ref="T1845">IF(表成绩单[[#This Row],[化学]]="","",SUMPRODUCT((表成绩单[考试日期]=表成绩单[[#This Row],[考试日期]])*(表成绩单[化学]&lt;9E+307)*(表成绩单[化学]&gt;表成绩单[[#This Row],[化学]]))+1)</f>
        <v>339</v>
      </c>
      <c r="U1845" s="29" cm="1">
        <f t="array" ref="U1845">IF(表成绩单[[#This Row],[政治]]="","",SUMPRODUCT((表成绩单[考试日期]=表成绩单[[#This Row],[考试日期]])*(表成绩单[政治]&lt;9E+307)*(表成绩单[政治]&gt;表成绩单[[#This Row],[政治]]))+1)</f>
        <v>224</v>
      </c>
      <c r="V1845" s="29" cm="1">
        <f t="array" ref="V1845">IF(表成绩单[[#This Row],[历史]]="","",SUMPRODUCT((表成绩单[考试日期]=表成绩单[[#This Row],[考试日期]])*(表成绩单[历史]&lt;9E+307)*(表成绩单[历史]&gt;表成绩单[[#This Row],[历史]]))+1)</f>
        <v>104</v>
      </c>
      <c r="W1845" s="29" cm="1">
        <f t="array" ref="W1845">IF(表成绩单[[#This Row],[总分]]="","",SUMPRODUCT((表成绩单[考试日期]=表成绩单[[#This Row],[考试日期]])*(表成绩单[总分]&lt;9E+307)*(表成绩单[总分]&gt;表成绩单[[#This Row],[总分]]))+1)</f>
        <v>239</v>
      </c>
    </row>
    <row r="1846" ht="28" customHeight="1" spans="4:23">
      <c r="D1846" s="31">
        <v>46030</v>
      </c>
      <c r="E1846" s="29">
        <v>19173264</v>
      </c>
      <c r="F1846" s="29" t="s">
        <v>61</v>
      </c>
      <c r="G1846" s="29" t="s">
        <v>330</v>
      </c>
      <c r="H1846" s="29">
        <v>89</v>
      </c>
      <c r="I1846" s="29">
        <v>92</v>
      </c>
      <c r="J1846" s="29">
        <v>77.5</v>
      </c>
      <c r="K1846" s="29">
        <v>78</v>
      </c>
      <c r="L1846" s="29">
        <v>75</v>
      </c>
      <c r="M1846" s="29">
        <v>65</v>
      </c>
      <c r="N1846" s="29">
        <v>72</v>
      </c>
      <c r="O1846" s="32">
        <v>548.5</v>
      </c>
      <c r="P1846" s="29" cm="1">
        <f t="array" ref="P1846">IF(表成绩单[[#This Row],[语文]]="","",SUMPRODUCT((表成绩单[考试日期]=表成绩单[[#This Row],[考试日期]])*(表成绩单[语文]&lt;9E+307)*(表成绩单[语文]&gt;表成绩单[[#This Row],[语文]]))+1)</f>
        <v>540</v>
      </c>
      <c r="Q1846" s="29" cm="1">
        <f t="array" ref="Q1846">IF(表成绩单[[#This Row],[数学]]="","",SUMPRODUCT((表成绩单[考试日期]=表成绩单[[#This Row],[考试日期]])*(表成绩单[数学]&lt;9E+307)*(表成绩单[数学]&gt;表成绩单[[#This Row],[数学]]))+1)</f>
        <v>199</v>
      </c>
      <c r="R1846" s="29" cm="1">
        <f t="array" ref="R1846">IF(表成绩单[[#This Row],[英语]]="","",SUMPRODUCT((表成绩单[考试日期]=表成绩单[[#This Row],[考试日期]])*(表成绩单[英语]&lt;9E+307)*(表成绩单[英语]&gt;表成绩单[[#This Row],[英语]]))+1)</f>
        <v>89</v>
      </c>
      <c r="S1846" s="29" cm="1">
        <f t="array" ref="S1846">IF(表成绩单[[#This Row],[物理]]="","",SUMPRODUCT((表成绩单[考试日期]=表成绩单[[#This Row],[考试日期]])*(表成绩单[物理]&lt;9E+307)*(表成绩单[物理]&gt;表成绩单[[#This Row],[物理]]))+1)</f>
        <v>178</v>
      </c>
      <c r="T1846" s="29" cm="1">
        <f t="array" ref="T1846">IF(表成绩单[[#This Row],[化学]]="","",SUMPRODUCT((表成绩单[考试日期]=表成绩单[[#This Row],[考试日期]])*(表成绩单[化学]&lt;9E+307)*(表成绩单[化学]&gt;表成绩单[[#This Row],[化学]]))+1)</f>
        <v>169</v>
      </c>
      <c r="U1846" s="29" cm="1">
        <f t="array" ref="U1846">IF(表成绩单[[#This Row],[政治]]="","",SUMPRODUCT((表成绩单[考试日期]=表成绩单[[#This Row],[考试日期]])*(表成绩单[政治]&lt;9E+307)*(表成绩单[政治]&gt;表成绩单[[#This Row],[政治]]))+1)</f>
        <v>431</v>
      </c>
      <c r="V1846" s="29" cm="1">
        <f t="array" ref="V1846">IF(表成绩单[[#This Row],[历史]]="","",SUMPRODUCT((表成绩单[考试日期]=表成绩单[[#This Row],[考试日期]])*(表成绩单[历史]&lt;9E+307)*(表成绩单[历史]&gt;表成绩单[[#This Row],[历史]]))+1)</f>
        <v>266</v>
      </c>
      <c r="W1846" s="29" cm="1">
        <f t="array" ref="W1846">IF(表成绩单[[#This Row],[总分]]="","",SUMPRODUCT((表成绩单[考试日期]=表成绩单[[#This Row],[考试日期]])*(表成绩单[总分]&lt;9E+307)*(表成绩单[总分]&gt;表成绩单[[#This Row],[总分]]))+1)</f>
        <v>239</v>
      </c>
    </row>
    <row r="1847" ht="28" customHeight="1" spans="4:23">
      <c r="D1847" s="31">
        <v>46030</v>
      </c>
      <c r="E1847" s="29">
        <v>19176879</v>
      </c>
      <c r="F1847" s="29" t="s">
        <v>71</v>
      </c>
      <c r="G1847" s="29" t="s">
        <v>361</v>
      </c>
      <c r="H1847" s="29">
        <v>95</v>
      </c>
      <c r="I1847" s="29">
        <v>80</v>
      </c>
      <c r="J1847" s="29">
        <v>72.5</v>
      </c>
      <c r="K1847" s="29">
        <v>68</v>
      </c>
      <c r="L1847" s="29">
        <v>67</v>
      </c>
      <c r="M1847" s="29">
        <v>80</v>
      </c>
      <c r="N1847" s="29">
        <v>86</v>
      </c>
      <c r="O1847" s="32">
        <v>548.5</v>
      </c>
      <c r="P1847" s="29" cm="1">
        <f t="array" ref="P1847">IF(表成绩单[[#This Row],[语文]]="","",SUMPRODUCT((表成绩单[考试日期]=表成绩单[[#This Row],[考试日期]])*(表成绩单[语文]&lt;9E+307)*(表成绩单[语文]&gt;表成绩单[[#This Row],[语文]]))+1)</f>
        <v>342</v>
      </c>
      <c r="Q1847" s="29" cm="1">
        <f t="array" ref="Q1847">IF(表成绩单[[#This Row],[数学]]="","",SUMPRODUCT((表成绩单[考试日期]=表成绩单[[#This Row],[考试日期]])*(表成绩单[数学]&lt;9E+307)*(表成绩单[数学]&gt;表成绩单[[#This Row],[数学]]))+1)</f>
        <v>412</v>
      </c>
      <c r="R1847" s="29" cm="1">
        <f t="array" ref="R1847">IF(表成绩单[[#This Row],[英语]]="","",SUMPRODUCT((表成绩单[考试日期]=表成绩单[[#This Row],[考试日期]])*(表成绩单[英语]&lt;9E+307)*(表成绩单[英语]&gt;表成绩单[[#This Row],[英语]]))+1)</f>
        <v>242</v>
      </c>
      <c r="S1847" s="29" cm="1">
        <f t="array" ref="S1847">IF(表成绩单[[#This Row],[物理]]="","",SUMPRODUCT((表成绩单[考试日期]=表成绩单[[#This Row],[考试日期]])*(表成绩单[物理]&lt;9E+307)*(表成绩单[物理]&gt;表成绩单[[#This Row],[物理]]))+1)</f>
        <v>372</v>
      </c>
      <c r="T1847" s="29" cm="1">
        <f t="array" ref="T1847">IF(表成绩单[[#This Row],[化学]]="","",SUMPRODUCT((表成绩单[考试日期]=表成绩单[[#This Row],[考试日期]])*(表成绩单[化学]&lt;9E+307)*(表成绩单[化学]&gt;表成绩单[[#This Row],[化学]]))+1)</f>
        <v>381</v>
      </c>
      <c r="U1847" s="29" cm="1">
        <f t="array" ref="U1847">IF(表成绩单[[#This Row],[政治]]="","",SUMPRODUCT((表成绩单[考试日期]=表成绩单[[#This Row],[考试日期]])*(表成绩单[政治]&lt;9E+307)*(表成绩单[政治]&gt;表成绩单[[#This Row],[政治]]))+1)</f>
        <v>28</v>
      </c>
      <c r="V1847" s="29" cm="1">
        <f t="array" ref="V1847">IF(表成绩单[[#This Row],[历史]]="","",SUMPRODUCT((表成绩单[考试日期]=表成绩单[[#This Row],[考试日期]])*(表成绩单[历史]&lt;9E+307)*(表成绩单[历史]&gt;表成绩单[[#This Row],[历史]]))+1)</f>
        <v>10</v>
      </c>
      <c r="W1847" s="29" cm="1">
        <f t="array" ref="W1847">IF(表成绩单[[#This Row],[总分]]="","",SUMPRODUCT((表成绩单[考试日期]=表成绩单[[#This Row],[考试日期]])*(表成绩单[总分]&lt;9E+307)*(表成绩单[总分]&gt;表成绩单[[#This Row],[总分]]))+1)</f>
        <v>239</v>
      </c>
    </row>
    <row r="1848" ht="28" customHeight="1" spans="4:23">
      <c r="D1848" s="31">
        <v>46030</v>
      </c>
      <c r="E1848" s="29">
        <v>19178647</v>
      </c>
      <c r="F1848" s="29" t="s">
        <v>25</v>
      </c>
      <c r="G1848" s="29" t="s">
        <v>219</v>
      </c>
      <c r="H1848" s="29">
        <v>96</v>
      </c>
      <c r="I1848" s="29">
        <v>83</v>
      </c>
      <c r="J1848" s="29">
        <v>66.5</v>
      </c>
      <c r="K1848" s="29">
        <v>85</v>
      </c>
      <c r="L1848" s="29">
        <v>77</v>
      </c>
      <c r="M1848" s="29">
        <v>70</v>
      </c>
      <c r="N1848" s="29">
        <v>71</v>
      </c>
      <c r="O1848" s="32">
        <v>548.5</v>
      </c>
      <c r="P1848" s="29" cm="1">
        <f t="array" ref="P1848">IF(表成绩单[[#This Row],[语文]]="","",SUMPRODUCT((表成绩单[考试日期]=表成绩单[[#This Row],[考试日期]])*(表成绩单[语文]&lt;9E+307)*(表成绩单[语文]&gt;表成绩单[[#This Row],[语文]]))+1)</f>
        <v>315</v>
      </c>
      <c r="Q1848" s="29" cm="1">
        <f t="array" ref="Q1848">IF(表成绩单[[#This Row],[数学]]="","",SUMPRODUCT((表成绩单[考试日期]=表成绩单[[#This Row],[考试日期]])*(表成绩单[数学]&lt;9E+307)*(表成绩单[数学]&gt;表成绩单[[#This Row],[数学]]))+1)</f>
        <v>360</v>
      </c>
      <c r="R1848" s="29" cm="1">
        <f t="array" ref="R1848">IF(表成绩单[[#This Row],[英语]]="","",SUMPRODUCT((表成绩单[考试日期]=表成绩单[[#This Row],[考试日期]])*(表成绩单[英语]&lt;9E+307)*(表成绩单[英语]&gt;表成绩单[[#This Row],[英语]]))+1)</f>
        <v>402</v>
      </c>
      <c r="S1848" s="29" cm="1">
        <f t="array" ref="S1848">IF(表成绩单[[#This Row],[物理]]="","",SUMPRODUCT((表成绩单[考试日期]=表成绩单[[#This Row],[考试日期]])*(表成绩单[物理]&lt;9E+307)*(表成绩单[物理]&gt;表成绩单[[#This Row],[物理]]))+1)</f>
        <v>56</v>
      </c>
      <c r="T1848" s="29" cm="1">
        <f t="array" ref="T1848">IF(表成绩单[[#This Row],[化学]]="","",SUMPRODUCT((表成绩单[考试日期]=表成绩单[[#This Row],[考试日期]])*(表成绩单[化学]&lt;9E+307)*(表成绩单[化学]&gt;表成绩单[[#This Row],[化学]]))+1)</f>
        <v>116</v>
      </c>
      <c r="U1848" s="29" cm="1">
        <f t="array" ref="U1848">IF(表成绩单[[#This Row],[政治]]="","",SUMPRODUCT((表成绩单[考试日期]=表成绩单[[#This Row],[考试日期]])*(表成绩单[政治]&lt;9E+307)*(表成绩单[政治]&gt;表成绩单[[#This Row],[政治]]))+1)</f>
        <v>274</v>
      </c>
      <c r="V1848" s="29" cm="1">
        <f t="array" ref="V1848">IF(表成绩单[[#This Row],[历史]]="","",SUMPRODUCT((表成绩单[考试日期]=表成绩单[[#This Row],[考试日期]])*(表成绩单[历史]&lt;9E+307)*(表成绩单[历史]&gt;表成绩单[[#This Row],[历史]]))+1)</f>
        <v>297</v>
      </c>
      <c r="W1848" s="29" cm="1">
        <f t="array" ref="W1848">IF(表成绩单[[#This Row],[总分]]="","",SUMPRODUCT((表成绩单[考试日期]=表成绩单[[#This Row],[考试日期]])*(表成绩单[总分]&lt;9E+307)*(表成绩单[总分]&gt;表成绩单[[#This Row],[总分]]))+1)</f>
        <v>239</v>
      </c>
    </row>
    <row r="1849" ht="28" customHeight="1" spans="4:23">
      <c r="D1849" s="31">
        <v>46030</v>
      </c>
      <c r="E1849" s="29">
        <v>19174469</v>
      </c>
      <c r="F1849" s="29" t="s">
        <v>73</v>
      </c>
      <c r="G1849" s="29" t="s">
        <v>327</v>
      </c>
      <c r="H1849" s="29">
        <v>112</v>
      </c>
      <c r="I1849" s="29">
        <v>74</v>
      </c>
      <c r="J1849" s="29">
        <v>79</v>
      </c>
      <c r="K1849" s="29">
        <v>73</v>
      </c>
      <c r="L1849" s="29">
        <v>75</v>
      </c>
      <c r="M1849" s="29">
        <v>66</v>
      </c>
      <c r="N1849" s="29">
        <v>68</v>
      </c>
      <c r="O1849" s="32">
        <v>547</v>
      </c>
      <c r="P1849" s="29" cm="1">
        <f t="array" ref="P1849">IF(表成绩单[[#This Row],[语文]]="","",SUMPRODUCT((表成绩单[考试日期]=表成绩单[[#This Row],[考试日期]])*(表成绩单[语文]&lt;9E+307)*(表成绩单[语文]&gt;表成绩单[[#This Row],[语文]]))+1)</f>
        <v>6</v>
      </c>
      <c r="Q1849" s="29" cm="1">
        <f t="array" ref="Q1849">IF(表成绩单[[#This Row],[数学]]="","",SUMPRODUCT((表成绩单[考试日期]=表成绩单[[#This Row],[考试日期]])*(表成绩单[数学]&lt;9E+307)*(表成绩单[数学]&gt;表成绩单[[#This Row],[数学]]))+1)</f>
        <v>535</v>
      </c>
      <c r="R1849" s="29" cm="1">
        <f t="array" ref="R1849">IF(表成绩单[[#This Row],[英语]]="","",SUMPRODUCT((表成绩单[考试日期]=表成绩单[[#This Row],[考试日期]])*(表成绩单[英语]&lt;9E+307)*(表成绩单[英语]&gt;表成绩单[[#This Row],[英语]]))+1)</f>
        <v>50</v>
      </c>
      <c r="S1849" s="29" cm="1">
        <f t="array" ref="S1849">IF(表成绩单[[#This Row],[物理]]="","",SUMPRODUCT((表成绩单[考试日期]=表成绩单[[#This Row],[考试日期]])*(表成绩单[物理]&lt;9E+307)*(表成绩单[物理]&gt;表成绩单[[#This Row],[物理]]))+1)</f>
        <v>271</v>
      </c>
      <c r="T1849" s="29" cm="1">
        <f t="array" ref="T1849">IF(表成绩单[[#This Row],[化学]]="","",SUMPRODUCT((表成绩单[考试日期]=表成绩单[[#This Row],[考试日期]])*(表成绩单[化学]&lt;9E+307)*(表成绩单[化学]&gt;表成绩单[[#This Row],[化学]]))+1)</f>
        <v>169</v>
      </c>
      <c r="U1849" s="29" cm="1">
        <f t="array" ref="U1849">IF(表成绩单[[#This Row],[政治]]="","",SUMPRODUCT((表成绩单[考试日期]=表成绩单[[#This Row],[考试日期]])*(表成绩单[政治]&lt;9E+307)*(表成绩单[政治]&gt;表成绩单[[#This Row],[政治]]))+1)</f>
        <v>397</v>
      </c>
      <c r="V1849" s="29" cm="1">
        <f t="array" ref="V1849">IF(表成绩单[[#This Row],[历史]]="","",SUMPRODUCT((表成绩单[考试日期]=表成绩单[[#This Row],[考试日期]])*(表成绩单[历史]&lt;9E+307)*(表成绩单[历史]&gt;表成绩单[[#This Row],[历史]]))+1)</f>
        <v>390</v>
      </c>
      <c r="W1849" s="29" cm="1">
        <f t="array" ref="W1849">IF(表成绩单[[#This Row],[总分]]="","",SUMPRODUCT((表成绩单[考试日期]=表成绩单[[#This Row],[考试日期]])*(表成绩单[总分]&lt;9E+307)*(表成绩单[总分]&gt;表成绩单[[#This Row],[总分]]))+1)</f>
        <v>243</v>
      </c>
    </row>
    <row r="1850" ht="28" customHeight="1" spans="4:23">
      <c r="D1850" s="31">
        <v>46030</v>
      </c>
      <c r="E1850" s="29">
        <v>19175662</v>
      </c>
      <c r="F1850" s="29" t="s">
        <v>66</v>
      </c>
      <c r="G1850" s="29" t="s">
        <v>414</v>
      </c>
      <c r="H1850" s="29">
        <v>105</v>
      </c>
      <c r="I1850" s="29">
        <v>74</v>
      </c>
      <c r="J1850" s="29">
        <v>76</v>
      </c>
      <c r="K1850" s="29">
        <v>70</v>
      </c>
      <c r="L1850" s="29">
        <v>67</v>
      </c>
      <c r="M1850" s="29">
        <v>76</v>
      </c>
      <c r="N1850" s="29">
        <v>79</v>
      </c>
      <c r="O1850" s="32">
        <v>547</v>
      </c>
      <c r="P1850" s="29" cm="1">
        <f t="array" ref="P1850">IF(表成绩单[[#This Row],[语文]]="","",SUMPRODUCT((表成绩单[考试日期]=表成绩单[[#This Row],[考试日期]])*(表成绩单[语文]&lt;9E+307)*(表成绩单[语文]&gt;表成绩单[[#This Row],[语文]]))+1)</f>
        <v>62</v>
      </c>
      <c r="Q1850" s="29" cm="1">
        <f t="array" ref="Q1850">IF(表成绩单[[#This Row],[数学]]="","",SUMPRODUCT((表成绩单[考试日期]=表成绩单[[#This Row],[考试日期]])*(表成绩单[数学]&lt;9E+307)*(表成绩单[数学]&gt;表成绩单[[#This Row],[数学]]))+1)</f>
        <v>535</v>
      </c>
      <c r="R1850" s="29" cm="1">
        <f t="array" ref="R1850">IF(表成绩单[[#This Row],[英语]]="","",SUMPRODUCT((表成绩单[考试日期]=表成绩单[[#This Row],[考试日期]])*(表成绩单[英语]&lt;9E+307)*(表成绩单[英语]&gt;表成绩单[[#This Row],[英语]]))+1)</f>
        <v>126</v>
      </c>
      <c r="S1850" s="29" cm="1">
        <f t="array" ref="S1850">IF(表成绩单[[#This Row],[物理]]="","",SUMPRODUCT((表成绩单[考试日期]=表成绩单[[#This Row],[考试日期]])*(表成绩单[物理]&lt;9E+307)*(表成绩单[物理]&gt;表成绩单[[#This Row],[物理]]))+1)</f>
        <v>338</v>
      </c>
      <c r="T1850" s="29" cm="1">
        <f t="array" ref="T1850">IF(表成绩单[[#This Row],[化学]]="","",SUMPRODUCT((表成绩单[考试日期]=表成绩单[[#This Row],[考试日期]])*(表成绩单[化学]&lt;9E+307)*(表成绩单[化学]&gt;表成绩单[[#This Row],[化学]]))+1)</f>
        <v>381</v>
      </c>
      <c r="U1850" s="29" cm="1">
        <f t="array" ref="U1850">IF(表成绩单[[#This Row],[政治]]="","",SUMPRODUCT((表成绩单[考试日期]=表成绩单[[#This Row],[考试日期]])*(表成绩单[政治]&lt;9E+307)*(表成绩单[政治]&gt;表成绩单[[#This Row],[政治]]))+1)</f>
        <v>111</v>
      </c>
      <c r="V1850" s="29" cm="1">
        <f t="array" ref="V1850">IF(表成绩单[[#This Row],[历史]]="","",SUMPRODUCT((表成绩单[考试日期]=表成绩单[[#This Row],[考试日期]])*(表成绩单[历史]&lt;9E+307)*(表成绩单[历史]&gt;表成绩单[[#This Row],[历史]]))+1)</f>
        <v>104</v>
      </c>
      <c r="W1850" s="29" cm="1">
        <f t="array" ref="W1850">IF(表成绩单[[#This Row],[总分]]="","",SUMPRODUCT((表成绩单[考试日期]=表成绩单[[#This Row],[考试日期]])*(表成绩单[总分]&lt;9E+307)*(表成绩单[总分]&gt;表成绩单[[#This Row],[总分]]))+1)</f>
        <v>243</v>
      </c>
    </row>
    <row r="1851" ht="28" customHeight="1" spans="4:23">
      <c r="D1851" s="31">
        <v>46030</v>
      </c>
      <c r="E1851" s="29">
        <v>19177645</v>
      </c>
      <c r="F1851" s="29" t="s">
        <v>63</v>
      </c>
      <c r="G1851" s="29" t="s">
        <v>264</v>
      </c>
      <c r="H1851" s="29">
        <v>95</v>
      </c>
      <c r="I1851" s="29">
        <v>84</v>
      </c>
      <c r="J1851" s="29">
        <v>85</v>
      </c>
      <c r="K1851" s="29">
        <v>75</v>
      </c>
      <c r="L1851" s="29">
        <v>65</v>
      </c>
      <c r="M1851" s="29">
        <v>73</v>
      </c>
      <c r="N1851" s="29">
        <v>70</v>
      </c>
      <c r="O1851" s="32">
        <v>547</v>
      </c>
      <c r="P1851" s="29" cm="1">
        <f t="array" ref="P1851">IF(表成绩单[[#This Row],[语文]]="","",SUMPRODUCT((表成绩单[考试日期]=表成绩单[[#This Row],[考试日期]])*(表成绩单[语文]&lt;9E+307)*(表成绩单[语文]&gt;表成绩单[[#This Row],[语文]]))+1)</f>
        <v>342</v>
      </c>
      <c r="Q1851" s="29" cm="1">
        <f t="array" ref="Q1851">IF(表成绩单[[#This Row],[数学]]="","",SUMPRODUCT((表成绩单[考试日期]=表成绩单[[#This Row],[考试日期]])*(表成绩单[数学]&lt;9E+307)*(表成绩单[数学]&gt;表成绩单[[#This Row],[数学]]))+1)</f>
        <v>343</v>
      </c>
      <c r="R1851" s="29" cm="1">
        <f t="array" ref="R1851">IF(表成绩单[[#This Row],[英语]]="","",SUMPRODUCT((表成绩单[考试日期]=表成绩单[[#This Row],[考试日期]])*(表成绩单[英语]&lt;9E+307)*(表成绩单[英语]&gt;表成绩单[[#This Row],[英语]]))+1)</f>
        <v>2</v>
      </c>
      <c r="S1851" s="29" cm="1">
        <f t="array" ref="S1851">IF(表成绩单[[#This Row],[物理]]="","",SUMPRODUCT((表成绩单[考试日期]=表成绩单[[#This Row],[考试日期]])*(表成绩单[物理]&lt;9E+307)*(表成绩单[物理]&gt;表成绩单[[#This Row],[物理]]))+1)</f>
        <v>241</v>
      </c>
      <c r="T1851" s="29" cm="1">
        <f t="array" ref="T1851">IF(表成绩单[[#This Row],[化学]]="","",SUMPRODUCT((表成绩单[考试日期]=表成绩单[[#This Row],[考试日期]])*(表成绩单[化学]&lt;9E+307)*(表成绩单[化学]&gt;表成绩单[[#This Row],[化学]]))+1)</f>
        <v>439</v>
      </c>
      <c r="U1851" s="29" cm="1">
        <f t="array" ref="U1851">IF(表成绩单[[#This Row],[政治]]="","",SUMPRODUCT((表成绩单[考试日期]=表成绩单[[#This Row],[考试日期]])*(表成绩单[政治]&lt;9E+307)*(表成绩单[政治]&gt;表成绩单[[#This Row],[政治]]))+1)</f>
        <v>197</v>
      </c>
      <c r="V1851" s="29" cm="1">
        <f t="array" ref="V1851">IF(表成绩单[[#This Row],[历史]]="","",SUMPRODUCT((表成绩单[考试日期]=表成绩单[[#This Row],[考试日期]])*(表成绩单[历史]&lt;9E+307)*(表成绩单[历史]&gt;表成绩单[[#This Row],[历史]]))+1)</f>
        <v>328</v>
      </c>
      <c r="W1851" s="29" cm="1">
        <f t="array" ref="W1851">IF(表成绩单[[#This Row],[总分]]="","",SUMPRODUCT((表成绩单[考试日期]=表成绩单[[#This Row],[考试日期]])*(表成绩单[总分]&lt;9E+307)*(表成绩单[总分]&gt;表成绩单[[#This Row],[总分]]))+1)</f>
        <v>243</v>
      </c>
    </row>
    <row r="1852" ht="28" customHeight="1" spans="4:23">
      <c r="D1852" s="31">
        <v>46030</v>
      </c>
      <c r="E1852" s="29">
        <v>19173537</v>
      </c>
      <c r="F1852" s="29" t="s">
        <v>1</v>
      </c>
      <c r="G1852" s="29" t="s">
        <v>362</v>
      </c>
      <c r="H1852" s="29">
        <v>100</v>
      </c>
      <c r="I1852" s="29">
        <v>84</v>
      </c>
      <c r="J1852" s="29">
        <v>75.5</v>
      </c>
      <c r="K1852" s="29">
        <v>82</v>
      </c>
      <c r="L1852" s="29">
        <v>73</v>
      </c>
      <c r="M1852" s="29">
        <v>65</v>
      </c>
      <c r="N1852" s="29">
        <v>67</v>
      </c>
      <c r="O1852" s="32">
        <v>546.5</v>
      </c>
      <c r="P1852" s="29" cm="1">
        <f t="array" ref="P1852">IF(表成绩单[[#This Row],[语文]]="","",SUMPRODUCT((表成绩单[考试日期]=表成绩单[[#This Row],[考试日期]])*(表成绩单[语文]&lt;9E+307)*(表成绩单[语文]&gt;表成绩单[[#This Row],[语文]]))+1)</f>
        <v>182</v>
      </c>
      <c r="Q1852" s="29" cm="1">
        <f t="array" ref="Q1852">IF(表成绩单[[#This Row],[数学]]="","",SUMPRODUCT((表成绩单[考试日期]=表成绩单[[#This Row],[考试日期]])*(表成绩单[数学]&lt;9E+307)*(表成绩单[数学]&gt;表成绩单[[#This Row],[数学]]))+1)</f>
        <v>343</v>
      </c>
      <c r="R1852" s="29" cm="1">
        <f t="array" ref="R1852">IF(表成绩单[[#This Row],[英语]]="","",SUMPRODUCT((表成绩单[考试日期]=表成绩单[[#This Row],[考试日期]])*(表成绩单[英语]&lt;9E+307)*(表成绩单[英语]&gt;表成绩单[[#This Row],[英语]]))+1)</f>
        <v>145</v>
      </c>
      <c r="S1852" s="29" cm="1">
        <f t="array" ref="S1852">IF(表成绩单[[#This Row],[物理]]="","",SUMPRODUCT((表成绩单[考试日期]=表成绩单[[#This Row],[考试日期]])*(表成绩单[物理]&lt;9E+307)*(表成绩单[物理]&gt;表成绩单[[#This Row],[物理]]))+1)</f>
        <v>105</v>
      </c>
      <c r="T1852" s="29" cm="1">
        <f t="array" ref="T1852">IF(表成绩单[[#This Row],[化学]]="","",SUMPRODUCT((表成绩单[考试日期]=表成绩单[[#This Row],[考试日期]])*(表成绩单[化学]&lt;9E+307)*(表成绩单[化学]&gt;表成绩单[[#This Row],[化学]]))+1)</f>
        <v>236</v>
      </c>
      <c r="U1852" s="29" cm="1">
        <f t="array" ref="U1852">IF(表成绩单[[#This Row],[政治]]="","",SUMPRODUCT((表成绩单[考试日期]=表成绩单[[#This Row],[考试日期]])*(表成绩单[政治]&lt;9E+307)*(表成绩单[政治]&gt;表成绩单[[#This Row],[政治]]))+1)</f>
        <v>431</v>
      </c>
      <c r="V1852" s="29" cm="1">
        <f t="array" ref="V1852">IF(表成绩单[[#This Row],[历史]]="","",SUMPRODUCT((表成绩单[考试日期]=表成绩单[[#This Row],[考试日期]])*(表成绩单[历史]&lt;9E+307)*(表成绩单[历史]&gt;表成绩单[[#This Row],[历史]]))+1)</f>
        <v>415</v>
      </c>
      <c r="W1852" s="29" cm="1">
        <f t="array" ref="W1852">IF(表成绩单[[#This Row],[总分]]="","",SUMPRODUCT((表成绩单[考试日期]=表成绩单[[#This Row],[考试日期]])*(表成绩单[总分]&lt;9E+307)*(表成绩单[总分]&gt;表成绩单[[#This Row],[总分]]))+1)</f>
        <v>246</v>
      </c>
    </row>
    <row r="1853" ht="28" customHeight="1" spans="4:23">
      <c r="D1853" s="31">
        <v>46030</v>
      </c>
      <c r="E1853" s="29">
        <v>19175632</v>
      </c>
      <c r="F1853" s="29" t="s">
        <v>66</v>
      </c>
      <c r="G1853" s="29" t="s">
        <v>313</v>
      </c>
      <c r="H1853" s="29">
        <v>94</v>
      </c>
      <c r="I1853" s="29">
        <v>80</v>
      </c>
      <c r="J1853" s="29">
        <v>72.5</v>
      </c>
      <c r="K1853" s="29">
        <v>80</v>
      </c>
      <c r="L1853" s="29">
        <v>74</v>
      </c>
      <c r="M1853" s="29">
        <v>69</v>
      </c>
      <c r="N1853" s="29">
        <v>77</v>
      </c>
      <c r="O1853" s="32">
        <v>546.5</v>
      </c>
      <c r="P1853" s="29" cm="1">
        <f t="array" ref="P1853">IF(表成绩单[[#This Row],[语文]]="","",SUMPRODUCT((表成绩单[考试日期]=表成绩单[[#This Row],[考试日期]])*(表成绩单[语文]&lt;9E+307)*(表成绩单[语文]&gt;表成绩单[[#This Row],[语文]]))+1)</f>
        <v>381</v>
      </c>
      <c r="Q1853" s="29" cm="1">
        <f t="array" ref="Q1853">IF(表成绩单[[#This Row],[数学]]="","",SUMPRODUCT((表成绩单[考试日期]=表成绩单[[#This Row],[考试日期]])*(表成绩单[数学]&lt;9E+307)*(表成绩单[数学]&gt;表成绩单[[#This Row],[数学]]))+1)</f>
        <v>412</v>
      </c>
      <c r="R1853" s="29" cm="1">
        <f t="array" ref="R1853">IF(表成绩单[[#This Row],[英语]]="","",SUMPRODUCT((表成绩单[考试日期]=表成绩单[[#This Row],[考试日期]])*(表成绩单[英语]&lt;9E+307)*(表成绩单[英语]&gt;表成绩单[[#This Row],[英语]]))+1)</f>
        <v>242</v>
      </c>
      <c r="S1853" s="29" cm="1">
        <f t="array" ref="S1853">IF(表成绩单[[#This Row],[物理]]="","",SUMPRODUCT((表成绩单[考试日期]=表成绩单[[#This Row],[考试日期]])*(表成绩单[物理]&lt;9E+307)*(表成绩单[物理]&gt;表成绩单[[#This Row],[物理]]))+1)</f>
        <v>137</v>
      </c>
      <c r="T1853" s="29" cm="1">
        <f t="array" ref="T1853">IF(表成绩单[[#This Row],[化学]]="","",SUMPRODUCT((表成绩单[考试日期]=表成绩单[[#This Row],[考试日期]])*(表成绩单[化学]&lt;9E+307)*(表成绩单[化学]&gt;表成绩单[[#This Row],[化学]]))+1)</f>
        <v>208</v>
      </c>
      <c r="U1853" s="29" cm="1">
        <f t="array" ref="U1853">IF(表成绩单[[#This Row],[政治]]="","",SUMPRODUCT((表成绩单[考试日期]=表成绩单[[#This Row],[考试日期]])*(表成绩单[政治]&lt;9E+307)*(表成绩单[政治]&gt;表成绩单[[#This Row],[政治]]))+1)</f>
        <v>308</v>
      </c>
      <c r="V1853" s="29" cm="1">
        <f t="array" ref="V1853">IF(表成绩单[[#This Row],[历史]]="","",SUMPRODUCT((表成绩单[考试日期]=表成绩单[[#This Row],[考试日期]])*(表成绩单[历史]&lt;9E+307)*(表成绩单[历史]&gt;表成绩单[[#This Row],[历史]]))+1)</f>
        <v>148</v>
      </c>
      <c r="W1853" s="29" cm="1">
        <f t="array" ref="W1853">IF(表成绩单[[#This Row],[总分]]="","",SUMPRODUCT((表成绩单[考试日期]=表成绩单[[#This Row],[考试日期]])*(表成绩单[总分]&lt;9E+307)*(表成绩单[总分]&gt;表成绩单[[#This Row],[总分]]))+1)</f>
        <v>246</v>
      </c>
    </row>
    <row r="1854" ht="28" customHeight="1" spans="4:23">
      <c r="D1854" s="31">
        <v>46030</v>
      </c>
      <c r="E1854" s="29">
        <v>19175659</v>
      </c>
      <c r="F1854" s="29" t="s">
        <v>66</v>
      </c>
      <c r="G1854" s="29" t="s">
        <v>450</v>
      </c>
      <c r="H1854" s="29">
        <v>110</v>
      </c>
      <c r="I1854" s="29">
        <v>85</v>
      </c>
      <c r="J1854" s="29">
        <v>78.5</v>
      </c>
      <c r="K1854" s="29">
        <v>71</v>
      </c>
      <c r="L1854" s="29">
        <v>69</v>
      </c>
      <c r="M1854" s="29">
        <v>66</v>
      </c>
      <c r="N1854" s="29">
        <v>67</v>
      </c>
      <c r="O1854" s="32">
        <v>546.5</v>
      </c>
      <c r="P1854" s="29" cm="1">
        <f t="array" ref="P1854">IF(表成绩单[[#This Row],[语文]]="","",SUMPRODUCT((表成绩单[考试日期]=表成绩单[[#This Row],[考试日期]])*(表成绩单[语文]&lt;9E+307)*(表成绩单[语文]&gt;表成绩单[[#This Row],[语文]]))+1)</f>
        <v>14</v>
      </c>
      <c r="Q1854" s="29" cm="1">
        <f t="array" ref="Q1854">IF(表成绩单[[#This Row],[数学]]="","",SUMPRODUCT((表成绩单[考试日期]=表成绩单[[#This Row],[考试日期]])*(表成绩单[数学]&lt;9E+307)*(表成绩单[数学]&gt;表成绩单[[#This Row],[数学]]))+1)</f>
        <v>325</v>
      </c>
      <c r="R1854" s="29" cm="1">
        <f t="array" ref="R1854">IF(表成绩单[[#This Row],[英语]]="","",SUMPRODUCT((表成绩单[考试日期]=表成绩单[[#This Row],[考试日期]])*(表成绩单[英语]&lt;9E+307)*(表成绩单[英语]&gt;表成绩单[[#This Row],[英语]]))+1)</f>
        <v>64</v>
      </c>
      <c r="S1854" s="29" cm="1">
        <f t="array" ref="S1854">IF(表成绩单[[#This Row],[物理]]="","",SUMPRODUCT((表成绩单[考试日期]=表成绩单[[#This Row],[考试日期]])*(表成绩单[物理]&lt;9E+307)*(表成绩单[物理]&gt;表成绩单[[#This Row],[物理]]))+1)</f>
        <v>319</v>
      </c>
      <c r="T1854" s="29" cm="1">
        <f t="array" ref="T1854">IF(表成绩单[[#This Row],[化学]]="","",SUMPRODUCT((表成绩单[考试日期]=表成绩单[[#This Row],[考试日期]])*(表成绩单[化学]&lt;9E+307)*(表成绩单[化学]&gt;表成绩单[[#This Row],[化学]]))+1)</f>
        <v>339</v>
      </c>
      <c r="U1854" s="29" cm="1">
        <f t="array" ref="U1854">IF(表成绩单[[#This Row],[政治]]="","",SUMPRODUCT((表成绩单[考试日期]=表成绩单[[#This Row],[考试日期]])*(表成绩单[政治]&lt;9E+307)*(表成绩单[政治]&gt;表成绩单[[#This Row],[政治]]))+1)</f>
        <v>397</v>
      </c>
      <c r="V1854" s="29" cm="1">
        <f t="array" ref="V1854">IF(表成绩单[[#This Row],[历史]]="","",SUMPRODUCT((表成绩单[考试日期]=表成绩单[[#This Row],[考试日期]])*(表成绩单[历史]&lt;9E+307)*(表成绩单[历史]&gt;表成绩单[[#This Row],[历史]]))+1)</f>
        <v>415</v>
      </c>
      <c r="W1854" s="29" cm="1">
        <f t="array" ref="W1854">IF(表成绩单[[#This Row],[总分]]="","",SUMPRODUCT((表成绩单[考试日期]=表成绩单[[#This Row],[考试日期]])*(表成绩单[总分]&lt;9E+307)*(表成绩单[总分]&gt;表成绩单[[#This Row],[总分]]))+1)</f>
        <v>246</v>
      </c>
    </row>
    <row r="1855" ht="28" customHeight="1" spans="4:23">
      <c r="D1855" s="31">
        <v>46030</v>
      </c>
      <c r="E1855" s="29">
        <v>19174443</v>
      </c>
      <c r="F1855" s="29" t="s">
        <v>73</v>
      </c>
      <c r="G1855" s="29" t="s">
        <v>408</v>
      </c>
      <c r="H1855" s="29">
        <v>94</v>
      </c>
      <c r="I1855" s="29">
        <v>73</v>
      </c>
      <c r="J1855" s="29">
        <v>78</v>
      </c>
      <c r="K1855" s="29">
        <v>70</v>
      </c>
      <c r="L1855" s="29">
        <v>77</v>
      </c>
      <c r="M1855" s="29">
        <v>70</v>
      </c>
      <c r="N1855" s="29">
        <v>84</v>
      </c>
      <c r="O1855" s="32">
        <v>546</v>
      </c>
      <c r="P1855" s="29" cm="1">
        <f t="array" ref="P1855">IF(表成绩单[[#This Row],[语文]]="","",SUMPRODUCT((表成绩单[考试日期]=表成绩单[[#This Row],[考试日期]])*(表成绩单[语文]&lt;9E+307)*(表成绩单[语文]&gt;表成绩单[[#This Row],[语文]]))+1)</f>
        <v>381</v>
      </c>
      <c r="Q1855" s="29" cm="1">
        <f t="array" ref="Q1855">IF(表成绩单[[#This Row],[数学]]="","",SUMPRODUCT((表成绩单[考试日期]=表成绩单[[#This Row],[考试日期]])*(表成绩单[数学]&lt;9E+307)*(表成绩单[数学]&gt;表成绩单[[#This Row],[数学]]))+1)</f>
        <v>547</v>
      </c>
      <c r="R1855" s="29" cm="1">
        <f t="array" ref="R1855">IF(表成绩单[[#This Row],[英语]]="","",SUMPRODUCT((表成绩单[考试日期]=表成绩单[[#This Row],[考试日期]])*(表成绩单[英语]&lt;9E+307)*(表成绩单[英语]&gt;表成绩单[[#This Row],[英语]]))+1)</f>
        <v>79</v>
      </c>
      <c r="S1855" s="29" cm="1">
        <f t="array" ref="S1855">IF(表成绩单[[#This Row],[物理]]="","",SUMPRODUCT((表成绩单[考试日期]=表成绩单[[#This Row],[考试日期]])*(表成绩单[物理]&lt;9E+307)*(表成绩单[物理]&gt;表成绩单[[#This Row],[物理]]))+1)</f>
        <v>338</v>
      </c>
      <c r="T1855" s="29" cm="1">
        <f t="array" ref="T1855">IF(表成绩单[[#This Row],[化学]]="","",SUMPRODUCT((表成绩单[考试日期]=表成绩单[[#This Row],[考试日期]])*(表成绩单[化学]&lt;9E+307)*(表成绩单[化学]&gt;表成绩单[[#This Row],[化学]]))+1)</f>
        <v>116</v>
      </c>
      <c r="U1855" s="29" cm="1">
        <f t="array" ref="U1855">IF(表成绩单[[#This Row],[政治]]="","",SUMPRODUCT((表成绩单[考试日期]=表成绩单[[#This Row],[考试日期]])*(表成绩单[政治]&lt;9E+307)*(表成绩单[政治]&gt;表成绩单[[#This Row],[政治]]))+1)</f>
        <v>274</v>
      </c>
      <c r="V1855" s="29" cm="1">
        <f t="array" ref="V1855">IF(表成绩单[[#This Row],[历史]]="","",SUMPRODUCT((表成绩单[考试日期]=表成绩单[[#This Row],[考试日期]])*(表成绩单[历史]&lt;9E+307)*(表成绩单[历史]&gt;表成绩单[[#This Row],[历史]]))+1)</f>
        <v>26</v>
      </c>
      <c r="W1855" s="29" cm="1">
        <f t="array" ref="W1855">IF(表成绩单[[#This Row],[总分]]="","",SUMPRODUCT((表成绩单[考试日期]=表成绩单[[#This Row],[考试日期]])*(表成绩单[总分]&lt;9E+307)*(表成绩单[总分]&gt;表成绩单[[#This Row],[总分]]))+1)</f>
        <v>249</v>
      </c>
    </row>
    <row r="1856" ht="28" customHeight="1" spans="4:23">
      <c r="D1856" s="31">
        <v>46030</v>
      </c>
      <c r="E1856" s="29">
        <v>19175682</v>
      </c>
      <c r="F1856" s="29" t="s">
        <v>72</v>
      </c>
      <c r="G1856" s="29" t="s">
        <v>431</v>
      </c>
      <c r="H1856" s="29">
        <v>90</v>
      </c>
      <c r="I1856" s="29">
        <v>99</v>
      </c>
      <c r="J1856" s="29">
        <v>65</v>
      </c>
      <c r="K1856" s="29">
        <v>77</v>
      </c>
      <c r="L1856" s="29">
        <v>77</v>
      </c>
      <c r="M1856" s="29">
        <v>68</v>
      </c>
      <c r="N1856" s="29">
        <v>70</v>
      </c>
      <c r="O1856" s="32">
        <v>546</v>
      </c>
      <c r="P1856" s="29" cm="1">
        <f t="array" ref="P1856">IF(表成绩单[[#This Row],[语文]]="","",SUMPRODUCT((表成绩单[考试日期]=表成绩单[[#This Row],[考试日期]])*(表成绩单[语文]&lt;9E+307)*(表成绩单[语文]&gt;表成绩单[[#This Row],[语文]]))+1)</f>
        <v>509</v>
      </c>
      <c r="Q1856" s="29" cm="1">
        <f t="array" ref="Q1856">IF(表成绩单[[#This Row],[数学]]="","",SUMPRODUCT((表成绩单[考试日期]=表成绩单[[#This Row],[考试日期]])*(表成绩单[数学]&lt;9E+307)*(表成绩单[数学]&gt;表成绩单[[#This Row],[数学]]))+1)</f>
        <v>120</v>
      </c>
      <c r="R1856" s="29" cm="1">
        <f t="array" ref="R1856">IF(表成绩单[[#This Row],[英语]]="","",SUMPRODUCT((表成绩单[考试日期]=表成绩单[[#This Row],[考试日期]])*(表成绩单[英语]&lt;9E+307)*(表成绩单[英语]&gt;表成绩单[[#This Row],[英语]]))+1)</f>
        <v>438</v>
      </c>
      <c r="S1856" s="29" cm="1">
        <f t="array" ref="S1856">IF(表成绩单[[#This Row],[物理]]="","",SUMPRODUCT((表成绩单[考试日期]=表成绩单[[#This Row],[考试日期]])*(表成绩单[物理]&lt;9E+307)*(表成绩单[物理]&gt;表成绩单[[#This Row],[物理]]))+1)</f>
        <v>197</v>
      </c>
      <c r="T1856" s="29" cm="1">
        <f t="array" ref="T1856">IF(表成绩单[[#This Row],[化学]]="","",SUMPRODUCT((表成绩单[考试日期]=表成绩单[[#This Row],[考试日期]])*(表成绩单[化学]&lt;9E+307)*(表成绩单[化学]&gt;表成绩单[[#This Row],[化学]]))+1)</f>
        <v>116</v>
      </c>
      <c r="U1856" s="29" cm="1">
        <f t="array" ref="U1856">IF(表成绩单[[#This Row],[政治]]="","",SUMPRODUCT((表成绩单[考试日期]=表成绩单[[#This Row],[考试日期]])*(表成绩单[政治]&lt;9E+307)*(表成绩单[政治]&gt;表成绩单[[#This Row],[政治]]))+1)</f>
        <v>336</v>
      </c>
      <c r="V1856" s="29" cm="1">
        <f t="array" ref="V1856">IF(表成绩单[[#This Row],[历史]]="","",SUMPRODUCT((表成绩单[考试日期]=表成绩单[[#This Row],[考试日期]])*(表成绩单[历史]&lt;9E+307)*(表成绩单[历史]&gt;表成绩单[[#This Row],[历史]]))+1)</f>
        <v>328</v>
      </c>
      <c r="W1856" s="29" cm="1">
        <f t="array" ref="W1856">IF(表成绩单[[#This Row],[总分]]="","",SUMPRODUCT((表成绩单[考试日期]=表成绩单[[#This Row],[考试日期]])*(表成绩单[总分]&lt;9E+307)*(表成绩单[总分]&gt;表成绩单[[#This Row],[总分]]))+1)</f>
        <v>249</v>
      </c>
    </row>
    <row r="1857" ht="28" customHeight="1" spans="4:23">
      <c r="D1857" s="31">
        <v>46030</v>
      </c>
      <c r="E1857" s="29">
        <v>19175701</v>
      </c>
      <c r="F1857" s="29" t="s">
        <v>72</v>
      </c>
      <c r="G1857" s="29" t="s">
        <v>395</v>
      </c>
      <c r="H1857" s="29">
        <v>99</v>
      </c>
      <c r="I1857" s="29">
        <v>86</v>
      </c>
      <c r="J1857" s="29">
        <v>77</v>
      </c>
      <c r="K1857" s="29">
        <v>72</v>
      </c>
      <c r="L1857" s="29">
        <v>72</v>
      </c>
      <c r="M1857" s="29">
        <v>60</v>
      </c>
      <c r="N1857" s="29">
        <v>80</v>
      </c>
      <c r="O1857" s="32">
        <v>546</v>
      </c>
      <c r="P1857" s="29" cm="1">
        <f t="array" ref="P1857">IF(表成绩单[[#This Row],[语文]]="","",SUMPRODUCT((表成绩单[考试日期]=表成绩单[[#This Row],[考试日期]])*(表成绩单[语文]&lt;9E+307)*(表成绩单[语文]&gt;表成绩单[[#This Row],[语文]]))+1)</f>
        <v>213</v>
      </c>
      <c r="Q1857" s="29" cm="1">
        <f t="array" ref="Q1857">IF(表成绩单[[#This Row],[数学]]="","",SUMPRODUCT((表成绩单[考试日期]=表成绩单[[#This Row],[考试日期]])*(表成绩单[数学]&lt;9E+307)*(表成绩单[数学]&gt;表成绩单[[#This Row],[数学]]))+1)</f>
        <v>302</v>
      </c>
      <c r="R1857" s="29" cm="1">
        <f t="array" ref="R1857">IF(表成绩单[[#This Row],[英语]]="","",SUMPRODUCT((表成绩单[考试日期]=表成绩单[[#This Row],[考试日期]])*(表成绩单[英语]&lt;9E+307)*(表成绩单[英语]&gt;表成绩单[[#This Row],[英语]]))+1)</f>
        <v>107</v>
      </c>
      <c r="S1857" s="29" cm="1">
        <f t="array" ref="S1857">IF(表成绩单[[#This Row],[物理]]="","",SUMPRODUCT((表成绩单[考试日期]=表成绩单[[#This Row],[考试日期]])*(表成绩单[物理]&lt;9E+307)*(表成绩单[物理]&gt;表成绩单[[#This Row],[物理]]))+1)</f>
        <v>297</v>
      </c>
      <c r="T1857" s="29" cm="1">
        <f t="array" ref="T1857">IF(表成绩单[[#This Row],[化学]]="","",SUMPRODUCT((表成绩单[考试日期]=表成绩单[[#This Row],[考试日期]])*(表成绩单[化学]&lt;9E+307)*(表成绩单[化学]&gt;表成绩单[[#This Row],[化学]]))+1)</f>
        <v>271</v>
      </c>
      <c r="U1857" s="29" cm="1">
        <f t="array" ref="U1857">IF(表成绩单[[#This Row],[政治]]="","",SUMPRODUCT((表成绩单[考试日期]=表成绩单[[#This Row],[考试日期]])*(表成绩单[政治]&lt;9E+307)*(表成绩单[政治]&gt;表成绩单[[#This Row],[政治]]))+1)</f>
        <v>544</v>
      </c>
      <c r="V1857" s="29" cm="1">
        <f t="array" ref="V1857">IF(表成绩单[[#This Row],[历史]]="","",SUMPRODUCT((表成绩单[考试日期]=表成绩单[[#This Row],[考试日期]])*(表成绩单[历史]&lt;9E+307)*(表成绩单[历史]&gt;表成绩单[[#This Row],[历史]]))+1)</f>
        <v>83</v>
      </c>
      <c r="W1857" s="29" cm="1">
        <f t="array" ref="W1857">IF(表成绩单[[#This Row],[总分]]="","",SUMPRODUCT((表成绩单[考试日期]=表成绩单[[#This Row],[考试日期]])*(表成绩单[总分]&lt;9E+307)*(表成绩单[总分]&gt;表成绩单[[#This Row],[总分]]))+1)</f>
        <v>249</v>
      </c>
    </row>
    <row r="1858" ht="28" customHeight="1" spans="4:23">
      <c r="D1858" s="31">
        <v>46030</v>
      </c>
      <c r="E1858" s="29">
        <v>19177234</v>
      </c>
      <c r="F1858" s="29" t="s">
        <v>70</v>
      </c>
      <c r="G1858" s="29" t="s">
        <v>258</v>
      </c>
      <c r="H1858" s="29">
        <v>101</v>
      </c>
      <c r="I1858" s="29">
        <v>88</v>
      </c>
      <c r="J1858" s="29">
        <v>72</v>
      </c>
      <c r="K1858" s="29">
        <v>68</v>
      </c>
      <c r="L1858" s="29">
        <v>80</v>
      </c>
      <c r="M1858" s="29">
        <v>75</v>
      </c>
      <c r="N1858" s="29">
        <v>62</v>
      </c>
      <c r="O1858" s="32">
        <v>546</v>
      </c>
      <c r="P1858" s="29" cm="1">
        <f t="array" ref="P1858">IF(表成绩单[[#This Row],[语文]]="","",SUMPRODUCT((表成绩单[考试日期]=表成绩单[[#This Row],[考试日期]])*(表成绩单[语文]&lt;9E+307)*(表成绩单[语文]&gt;表成绩单[[#This Row],[语文]]))+1)</f>
        <v>159</v>
      </c>
      <c r="Q1858" s="29" cm="1">
        <f t="array" ref="Q1858">IF(表成绩单[[#This Row],[数学]]="","",SUMPRODUCT((表成绩单[考试日期]=表成绩单[[#This Row],[考试日期]])*(表成绩单[数学]&lt;9E+307)*(表成绩单[数学]&gt;表成绩单[[#This Row],[数学]]))+1)</f>
        <v>245</v>
      </c>
      <c r="R1858" s="29" cm="1">
        <f t="array" ref="R1858">IF(表成绩单[[#This Row],[英语]]="","",SUMPRODUCT((表成绩单[考试日期]=表成绩单[[#This Row],[考试日期]])*(表成绩单[英语]&lt;9E+307)*(表成绩单[英语]&gt;表成绩单[[#This Row],[英语]]))+1)</f>
        <v>258</v>
      </c>
      <c r="S1858" s="29" cm="1">
        <f t="array" ref="S1858">IF(表成绩单[[#This Row],[物理]]="","",SUMPRODUCT((表成绩单[考试日期]=表成绩单[[#This Row],[考试日期]])*(表成绩单[物理]&lt;9E+307)*(表成绩单[物理]&gt;表成绩单[[#This Row],[物理]]))+1)</f>
        <v>372</v>
      </c>
      <c r="T1858" s="29" cm="1">
        <f t="array" ref="T1858">IF(表成绩单[[#This Row],[化学]]="","",SUMPRODUCT((表成绩单[考试日期]=表成绩单[[#This Row],[考试日期]])*(表成绩单[化学]&lt;9E+307)*(表成绩单[化学]&gt;表成绩单[[#This Row],[化学]]))+1)</f>
        <v>60</v>
      </c>
      <c r="U1858" s="29" cm="1">
        <f t="array" ref="U1858">IF(表成绩单[[#This Row],[政治]]="","",SUMPRODUCT((表成绩单[考试日期]=表成绩单[[#This Row],[考试日期]])*(表成绩单[政治]&lt;9E+307)*(表成绩单[政治]&gt;表成绩单[[#This Row],[政治]]))+1)</f>
        <v>137</v>
      </c>
      <c r="V1858" s="29" cm="1">
        <f t="array" ref="V1858">IF(表成绩单[[#This Row],[历史]]="","",SUMPRODUCT((表成绩单[考试日期]=表成绩单[[#This Row],[考试日期]])*(表成绩单[历史]&lt;9E+307)*(表成绩单[历史]&gt;表成绩单[[#This Row],[历史]]))+1)</f>
        <v>545</v>
      </c>
      <c r="W1858" s="29" cm="1">
        <f t="array" ref="W1858">IF(表成绩单[[#This Row],[总分]]="","",SUMPRODUCT((表成绩单[考试日期]=表成绩单[[#This Row],[考试日期]])*(表成绩单[总分]&lt;9E+307)*(表成绩单[总分]&gt;表成绩单[[#This Row],[总分]]))+1)</f>
        <v>249</v>
      </c>
    </row>
    <row r="1859" ht="28" customHeight="1" spans="4:23">
      <c r="D1859" s="31">
        <v>46030</v>
      </c>
      <c r="E1859" s="29">
        <v>19177661</v>
      </c>
      <c r="F1859" s="29" t="s">
        <v>63</v>
      </c>
      <c r="G1859" s="29" t="s">
        <v>433</v>
      </c>
      <c r="H1859" s="29">
        <v>101</v>
      </c>
      <c r="I1859" s="29">
        <v>78</v>
      </c>
      <c r="J1859" s="29">
        <v>66</v>
      </c>
      <c r="K1859" s="29">
        <v>77</v>
      </c>
      <c r="L1859" s="29">
        <v>74</v>
      </c>
      <c r="M1859" s="29">
        <v>76</v>
      </c>
      <c r="N1859" s="29">
        <v>74</v>
      </c>
      <c r="O1859" s="32">
        <v>546</v>
      </c>
      <c r="P1859" s="29" cm="1">
        <f t="array" ref="P1859">IF(表成绩单[[#This Row],[语文]]="","",SUMPRODUCT((表成绩单[考试日期]=表成绩单[[#This Row],[考试日期]])*(表成绩单[语文]&lt;9E+307)*(表成绩单[语文]&gt;表成绩单[[#This Row],[语文]]))+1)</f>
        <v>159</v>
      </c>
      <c r="Q1859" s="29" cm="1">
        <f t="array" ref="Q1859">IF(表成绩单[[#This Row],[数学]]="","",SUMPRODUCT((表成绩单[考试日期]=表成绩单[[#This Row],[考试日期]])*(表成绩单[数学]&lt;9E+307)*(表成绩单[数学]&gt;表成绩单[[#This Row],[数学]]))+1)</f>
        <v>450</v>
      </c>
      <c r="R1859" s="29" cm="1">
        <f t="array" ref="R1859">IF(表成绩单[[#This Row],[英语]]="","",SUMPRODUCT((表成绩单[考试日期]=表成绩单[[#This Row],[考试日期]])*(表成绩单[英语]&lt;9E+307)*(表成绩单[英语]&gt;表成绩单[[#This Row],[英语]]))+1)</f>
        <v>421</v>
      </c>
      <c r="S1859" s="29" cm="1">
        <f t="array" ref="S1859">IF(表成绩单[[#This Row],[物理]]="","",SUMPRODUCT((表成绩单[考试日期]=表成绩单[[#This Row],[考试日期]])*(表成绩单[物理]&lt;9E+307)*(表成绩单[物理]&gt;表成绩单[[#This Row],[物理]]))+1)</f>
        <v>197</v>
      </c>
      <c r="T1859" s="29" cm="1">
        <f t="array" ref="T1859">IF(表成绩单[[#This Row],[化学]]="","",SUMPRODUCT((表成绩单[考试日期]=表成绩单[[#This Row],[考试日期]])*(表成绩单[化学]&lt;9E+307)*(表成绩单[化学]&gt;表成绩单[[#This Row],[化学]]))+1)</f>
        <v>208</v>
      </c>
      <c r="U1859" s="29" cm="1">
        <f t="array" ref="U1859">IF(表成绩单[[#This Row],[政治]]="","",SUMPRODUCT((表成绩单[考试日期]=表成绩单[[#This Row],[考试日期]])*(表成绩单[政治]&lt;9E+307)*(表成绩单[政治]&gt;表成绩单[[#This Row],[政治]]))+1)</f>
        <v>111</v>
      </c>
      <c r="V1859" s="29" cm="1">
        <f t="array" ref="V1859">IF(表成绩单[[#This Row],[历史]]="","",SUMPRODUCT((表成绩单[考试日期]=表成绩单[[#This Row],[考试日期]])*(表成绩单[历史]&lt;9E+307)*(表成绩单[历史]&gt;表成绩单[[#This Row],[历史]]))+1)</f>
        <v>215</v>
      </c>
      <c r="W1859" s="29" cm="1">
        <f t="array" ref="W1859">IF(表成绩单[[#This Row],[总分]]="","",SUMPRODUCT((表成绩单[考试日期]=表成绩单[[#This Row],[考试日期]])*(表成绩单[总分]&lt;9E+307)*(表成绩单[总分]&gt;表成绩单[[#This Row],[总分]]))+1)</f>
        <v>249</v>
      </c>
    </row>
    <row r="1860" ht="28" customHeight="1" spans="4:23">
      <c r="D1860" s="31">
        <v>46030</v>
      </c>
      <c r="E1860" s="29">
        <v>19175992</v>
      </c>
      <c r="F1860" s="29" t="s">
        <v>59</v>
      </c>
      <c r="G1860" s="29" t="s">
        <v>480</v>
      </c>
      <c r="H1860" s="29">
        <v>96</v>
      </c>
      <c r="I1860" s="29">
        <v>87</v>
      </c>
      <c r="J1860" s="29">
        <v>62.5</v>
      </c>
      <c r="K1860" s="29">
        <v>87</v>
      </c>
      <c r="L1860" s="29">
        <v>75</v>
      </c>
      <c r="M1860" s="29">
        <v>68</v>
      </c>
      <c r="N1860" s="29">
        <v>70</v>
      </c>
      <c r="O1860" s="32">
        <v>545.5</v>
      </c>
      <c r="P1860" s="29" cm="1">
        <f t="array" ref="P1860">IF(表成绩单[[#This Row],[语文]]="","",SUMPRODUCT((表成绩单[考试日期]=表成绩单[[#This Row],[考试日期]])*(表成绩单[语文]&lt;9E+307)*(表成绩单[语文]&gt;表成绩单[[#This Row],[语文]]))+1)</f>
        <v>315</v>
      </c>
      <c r="Q1860" s="29" cm="1">
        <f t="array" ref="Q1860">IF(表成绩单[[#This Row],[数学]]="","",SUMPRODUCT((表成绩单[考试日期]=表成绩单[[#This Row],[考试日期]])*(表成绩单[数学]&lt;9E+307)*(表成绩单[数学]&gt;表成绩单[[#This Row],[数学]]))+1)</f>
        <v>270</v>
      </c>
      <c r="R1860" s="29" cm="1">
        <f t="array" ref="R1860">IF(表成绩单[[#This Row],[英语]]="","",SUMPRODUCT((表成绩单[考试日期]=表成绩单[[#This Row],[考试日期]])*(表成绩单[英语]&lt;9E+307)*(表成绩单[英语]&gt;表成绩单[[#This Row],[英语]]))+1)</f>
        <v>477</v>
      </c>
      <c r="S1860" s="29" cm="1">
        <f t="array" ref="S1860">IF(表成绩单[[#This Row],[物理]]="","",SUMPRODUCT((表成绩单[考试日期]=表成绩单[[#This Row],[考试日期]])*(表成绩单[物理]&lt;9E+307)*(表成绩单[物理]&gt;表成绩单[[#This Row],[物理]]))+1)</f>
        <v>27</v>
      </c>
      <c r="T1860" s="29" cm="1">
        <f t="array" ref="T1860">IF(表成绩单[[#This Row],[化学]]="","",SUMPRODUCT((表成绩单[考试日期]=表成绩单[[#This Row],[考试日期]])*(表成绩单[化学]&lt;9E+307)*(表成绩单[化学]&gt;表成绩单[[#This Row],[化学]]))+1)</f>
        <v>169</v>
      </c>
      <c r="U1860" s="29" cm="1">
        <f t="array" ref="U1860">IF(表成绩单[[#This Row],[政治]]="","",SUMPRODUCT((表成绩单[考试日期]=表成绩单[[#This Row],[考试日期]])*(表成绩单[政治]&lt;9E+307)*(表成绩单[政治]&gt;表成绩单[[#This Row],[政治]]))+1)</f>
        <v>336</v>
      </c>
      <c r="V1860" s="29" cm="1">
        <f t="array" ref="V1860">IF(表成绩单[[#This Row],[历史]]="","",SUMPRODUCT((表成绩单[考试日期]=表成绩单[[#This Row],[考试日期]])*(表成绩单[历史]&lt;9E+307)*(表成绩单[历史]&gt;表成绩单[[#This Row],[历史]]))+1)</f>
        <v>328</v>
      </c>
      <c r="W1860" s="29" cm="1">
        <f t="array" ref="W1860">IF(表成绩单[[#This Row],[总分]]="","",SUMPRODUCT((表成绩单[考试日期]=表成绩单[[#This Row],[考试日期]])*(表成绩单[总分]&lt;9E+307)*(表成绩单[总分]&gt;表成绩单[[#This Row],[总分]]))+1)</f>
        <v>254</v>
      </c>
    </row>
    <row r="1861" ht="28" customHeight="1" spans="4:23">
      <c r="D1861" s="31">
        <v>46030</v>
      </c>
      <c r="E1861" s="29">
        <v>19173267</v>
      </c>
      <c r="F1861" s="29" t="s">
        <v>61</v>
      </c>
      <c r="G1861" s="29" t="s">
        <v>397</v>
      </c>
      <c r="H1861" s="29">
        <v>92</v>
      </c>
      <c r="I1861" s="29">
        <v>103</v>
      </c>
      <c r="J1861" s="29">
        <v>58</v>
      </c>
      <c r="K1861" s="29">
        <v>79</v>
      </c>
      <c r="L1861" s="29">
        <v>79</v>
      </c>
      <c r="M1861" s="29">
        <v>63</v>
      </c>
      <c r="N1861" s="29">
        <v>71</v>
      </c>
      <c r="O1861" s="32">
        <v>545</v>
      </c>
      <c r="P1861" s="29" cm="1">
        <f t="array" ref="P1861">IF(表成绩单[[#This Row],[语文]]="","",SUMPRODUCT((表成绩单[考试日期]=表成绩单[[#This Row],[考试日期]])*(表成绩单[语文]&lt;9E+307)*(表成绩单[语文]&gt;表成绩单[[#This Row],[语文]]))+1)</f>
        <v>444</v>
      </c>
      <c r="Q1861" s="29" cm="1">
        <f t="array" ref="Q1861">IF(表成绩单[[#This Row],[数学]]="","",SUMPRODUCT((表成绩单[考试日期]=表成绩单[[#This Row],[考试日期]])*(表成绩单[数学]&lt;9E+307)*(表成绩单[数学]&gt;表成绩单[[#This Row],[数学]]))+1)</f>
        <v>86</v>
      </c>
      <c r="R1861" s="29" cm="1">
        <f t="array" ref="R1861">IF(表成绩单[[#This Row],[英语]]="","",SUMPRODUCT((表成绩单[考试日期]=表成绩单[[#This Row],[考试日期]])*(表成绩单[英语]&lt;9E+307)*(表成绩单[英语]&gt;表成绩单[[#This Row],[英语]]))+1)</f>
        <v>556</v>
      </c>
      <c r="S1861" s="29" cm="1">
        <f t="array" ref="S1861">IF(表成绩单[[#This Row],[物理]]="","",SUMPRODUCT((表成绩单[考试日期]=表成绩单[[#This Row],[考试日期]])*(表成绩单[物理]&lt;9E+307)*(表成绩单[物理]&gt;表成绩单[[#This Row],[物理]]))+1)</f>
        <v>153</v>
      </c>
      <c r="T1861" s="29" cm="1">
        <f t="array" ref="T1861">IF(表成绩单[[#This Row],[化学]]="","",SUMPRODUCT((表成绩单[考试日期]=表成绩单[[#This Row],[考试日期]])*(表成绩单[化学]&lt;9E+307)*(表成绩单[化学]&gt;表成绩单[[#This Row],[化学]]))+1)</f>
        <v>77</v>
      </c>
      <c r="U1861" s="29" cm="1">
        <f t="array" ref="U1861">IF(表成绩单[[#This Row],[政治]]="","",SUMPRODUCT((表成绩单[考试日期]=表成绩单[[#This Row],[考试日期]])*(表成绩单[政治]&lt;9E+307)*(表成绩单[政治]&gt;表成绩单[[#This Row],[政治]]))+1)</f>
        <v>486</v>
      </c>
      <c r="V1861" s="29" cm="1">
        <f t="array" ref="V1861">IF(表成绩单[[#This Row],[历史]]="","",SUMPRODUCT((表成绩单[考试日期]=表成绩单[[#This Row],[考试日期]])*(表成绩单[历史]&lt;9E+307)*(表成绩单[历史]&gt;表成绩单[[#This Row],[历史]]))+1)</f>
        <v>297</v>
      </c>
      <c r="W1861" s="29" cm="1">
        <f t="array" ref="W1861">IF(表成绩单[[#This Row],[总分]]="","",SUMPRODUCT((表成绩单[考试日期]=表成绩单[[#This Row],[考试日期]])*(表成绩单[总分]&lt;9E+307)*(表成绩单[总分]&gt;表成绩单[[#This Row],[总分]]))+1)</f>
        <v>255</v>
      </c>
    </row>
    <row r="1862" ht="28" customHeight="1" spans="4:23">
      <c r="D1862" s="31">
        <v>46030</v>
      </c>
      <c r="E1862" s="29">
        <v>19173541</v>
      </c>
      <c r="F1862" s="29" t="s">
        <v>1</v>
      </c>
      <c r="G1862" s="29" t="s">
        <v>249</v>
      </c>
      <c r="H1862" s="29">
        <v>98</v>
      </c>
      <c r="I1862" s="29">
        <v>86</v>
      </c>
      <c r="J1862" s="29">
        <v>77</v>
      </c>
      <c r="K1862" s="29">
        <v>68</v>
      </c>
      <c r="L1862" s="29">
        <v>73</v>
      </c>
      <c r="M1862" s="29">
        <v>63</v>
      </c>
      <c r="N1862" s="29">
        <v>80</v>
      </c>
      <c r="O1862" s="32">
        <v>545</v>
      </c>
      <c r="P1862" s="29" cm="1">
        <f t="array" ref="P1862">IF(表成绩单[[#This Row],[语文]]="","",SUMPRODUCT((表成绩单[考试日期]=表成绩单[[#This Row],[考试日期]])*(表成绩单[语文]&lt;9E+307)*(表成绩单[语文]&gt;表成绩单[[#This Row],[语文]]))+1)</f>
        <v>248</v>
      </c>
      <c r="Q1862" s="29" cm="1">
        <f t="array" ref="Q1862">IF(表成绩单[[#This Row],[数学]]="","",SUMPRODUCT((表成绩单[考试日期]=表成绩单[[#This Row],[考试日期]])*(表成绩单[数学]&lt;9E+307)*(表成绩单[数学]&gt;表成绩单[[#This Row],[数学]]))+1)</f>
        <v>302</v>
      </c>
      <c r="R1862" s="29" cm="1">
        <f t="array" ref="R1862">IF(表成绩单[[#This Row],[英语]]="","",SUMPRODUCT((表成绩单[考试日期]=表成绩单[[#This Row],[考试日期]])*(表成绩单[英语]&lt;9E+307)*(表成绩单[英语]&gt;表成绩单[[#This Row],[英语]]))+1)</f>
        <v>107</v>
      </c>
      <c r="S1862" s="29" cm="1">
        <f t="array" ref="S1862">IF(表成绩单[[#This Row],[物理]]="","",SUMPRODUCT((表成绩单[考试日期]=表成绩单[[#This Row],[考试日期]])*(表成绩单[物理]&lt;9E+307)*(表成绩单[物理]&gt;表成绩单[[#This Row],[物理]]))+1)</f>
        <v>372</v>
      </c>
      <c r="T1862" s="29" cm="1">
        <f t="array" ref="T1862">IF(表成绩单[[#This Row],[化学]]="","",SUMPRODUCT((表成绩单[考试日期]=表成绩单[[#This Row],[考试日期]])*(表成绩单[化学]&lt;9E+307)*(表成绩单[化学]&gt;表成绩单[[#This Row],[化学]]))+1)</f>
        <v>236</v>
      </c>
      <c r="U1862" s="29" cm="1">
        <f t="array" ref="U1862">IF(表成绩单[[#This Row],[政治]]="","",SUMPRODUCT((表成绩单[考试日期]=表成绩单[[#This Row],[考试日期]])*(表成绩单[政治]&lt;9E+307)*(表成绩单[政治]&gt;表成绩单[[#This Row],[政治]]))+1)</f>
        <v>486</v>
      </c>
      <c r="V1862" s="29" cm="1">
        <f t="array" ref="V1862">IF(表成绩单[[#This Row],[历史]]="","",SUMPRODUCT((表成绩单[考试日期]=表成绩单[[#This Row],[考试日期]])*(表成绩单[历史]&lt;9E+307)*(表成绩单[历史]&gt;表成绩单[[#This Row],[历史]]))+1)</f>
        <v>83</v>
      </c>
      <c r="W1862" s="29" cm="1">
        <f t="array" ref="W1862">IF(表成绩单[[#This Row],[总分]]="","",SUMPRODUCT((表成绩单[考试日期]=表成绩单[[#This Row],[考试日期]])*(表成绩单[总分]&lt;9E+307)*(表成绩单[总分]&gt;表成绩单[[#This Row],[总分]]))+1)</f>
        <v>255</v>
      </c>
    </row>
    <row r="1863" ht="28" customHeight="1" spans="4:23">
      <c r="D1863" s="31">
        <v>46030</v>
      </c>
      <c r="E1863" s="29">
        <v>19174431</v>
      </c>
      <c r="F1863" s="29" t="s">
        <v>73</v>
      </c>
      <c r="G1863" s="29" t="s">
        <v>388</v>
      </c>
      <c r="H1863" s="29">
        <v>99</v>
      </c>
      <c r="I1863" s="29">
        <v>82</v>
      </c>
      <c r="J1863" s="29">
        <v>70.5</v>
      </c>
      <c r="K1863" s="29">
        <v>71</v>
      </c>
      <c r="L1863" s="29">
        <v>73</v>
      </c>
      <c r="M1863" s="29">
        <v>75</v>
      </c>
      <c r="N1863" s="29">
        <v>74</v>
      </c>
      <c r="O1863" s="32">
        <v>544.5</v>
      </c>
      <c r="P1863" s="29" cm="1">
        <f t="array" ref="P1863">IF(表成绩单[[#This Row],[语文]]="","",SUMPRODUCT((表成绩单[考试日期]=表成绩单[[#This Row],[考试日期]])*(表成绩单[语文]&lt;9E+307)*(表成绩单[语文]&gt;表成绩单[[#This Row],[语文]]))+1)</f>
        <v>213</v>
      </c>
      <c r="Q1863" s="29" cm="1">
        <f t="array" ref="Q1863">IF(表成绩单[[#This Row],[数学]]="","",SUMPRODUCT((表成绩单[考试日期]=表成绩单[[#This Row],[考试日期]])*(表成绩单[数学]&lt;9E+307)*(表成绩单[数学]&gt;表成绩单[[#This Row],[数学]]))+1)</f>
        <v>383</v>
      </c>
      <c r="R1863" s="29" cm="1">
        <f t="array" ref="R1863">IF(表成绩单[[#This Row],[英语]]="","",SUMPRODUCT((表成绩单[考试日期]=表成绩单[[#This Row],[考试日期]])*(表成绩单[英语]&lt;9E+307)*(表成绩单[英语]&gt;表成绩单[[#This Row],[英语]]))+1)</f>
        <v>299</v>
      </c>
      <c r="S1863" s="29" cm="1">
        <f t="array" ref="S1863">IF(表成绩单[[#This Row],[物理]]="","",SUMPRODUCT((表成绩单[考试日期]=表成绩单[[#This Row],[考试日期]])*(表成绩单[物理]&lt;9E+307)*(表成绩单[物理]&gt;表成绩单[[#This Row],[物理]]))+1)</f>
        <v>319</v>
      </c>
      <c r="T1863" s="29" cm="1">
        <f t="array" ref="T1863">IF(表成绩单[[#This Row],[化学]]="","",SUMPRODUCT((表成绩单[考试日期]=表成绩单[[#This Row],[考试日期]])*(表成绩单[化学]&lt;9E+307)*(表成绩单[化学]&gt;表成绩单[[#This Row],[化学]]))+1)</f>
        <v>236</v>
      </c>
      <c r="U1863" s="29" cm="1">
        <f t="array" ref="U1863">IF(表成绩单[[#This Row],[政治]]="","",SUMPRODUCT((表成绩单[考试日期]=表成绩单[[#This Row],[考试日期]])*(表成绩单[政治]&lt;9E+307)*(表成绩单[政治]&gt;表成绩单[[#This Row],[政治]]))+1)</f>
        <v>137</v>
      </c>
      <c r="V1863" s="29" cm="1">
        <f t="array" ref="V1863">IF(表成绩单[[#This Row],[历史]]="","",SUMPRODUCT((表成绩单[考试日期]=表成绩单[[#This Row],[考试日期]])*(表成绩单[历史]&lt;9E+307)*(表成绩单[历史]&gt;表成绩单[[#This Row],[历史]]))+1)</f>
        <v>215</v>
      </c>
      <c r="W1863" s="29" cm="1">
        <f t="array" ref="W1863">IF(表成绩单[[#This Row],[总分]]="","",SUMPRODUCT((表成绩单[考试日期]=表成绩单[[#This Row],[考试日期]])*(表成绩单[总分]&lt;9E+307)*(表成绩单[总分]&gt;表成绩单[[#This Row],[总分]]))+1)</f>
        <v>257</v>
      </c>
    </row>
    <row r="1864" ht="28" customHeight="1" spans="4:23">
      <c r="D1864" s="31">
        <v>46030</v>
      </c>
      <c r="E1864" s="29">
        <v>19175411</v>
      </c>
      <c r="F1864" s="29" t="s">
        <v>74</v>
      </c>
      <c r="G1864" s="29" t="s">
        <v>427</v>
      </c>
      <c r="H1864" s="29">
        <v>98</v>
      </c>
      <c r="I1864" s="29">
        <v>82</v>
      </c>
      <c r="J1864" s="29">
        <v>73.5</v>
      </c>
      <c r="K1864" s="29">
        <v>73</v>
      </c>
      <c r="L1864" s="29">
        <v>72</v>
      </c>
      <c r="M1864" s="29">
        <v>71</v>
      </c>
      <c r="N1864" s="29">
        <v>75</v>
      </c>
      <c r="O1864" s="32">
        <v>544.5</v>
      </c>
      <c r="P1864" s="29" cm="1">
        <f t="array" ref="P1864">IF(表成绩单[[#This Row],[语文]]="","",SUMPRODUCT((表成绩单[考试日期]=表成绩单[[#This Row],[考试日期]])*(表成绩单[语文]&lt;9E+307)*(表成绩单[语文]&gt;表成绩单[[#This Row],[语文]]))+1)</f>
        <v>248</v>
      </c>
      <c r="Q1864" s="29" cm="1">
        <f t="array" ref="Q1864">IF(表成绩单[[#This Row],[数学]]="","",SUMPRODUCT((表成绩单[考试日期]=表成绩单[[#This Row],[考试日期]])*(表成绩单[数学]&lt;9E+307)*(表成绩单[数学]&gt;表成绩单[[#This Row],[数学]]))+1)</f>
        <v>383</v>
      </c>
      <c r="R1864" s="29" cm="1">
        <f t="array" ref="R1864">IF(表成绩单[[#This Row],[英语]]="","",SUMPRODUCT((表成绩单[考试日期]=表成绩单[[#This Row],[考试日期]])*(表成绩单[英语]&lt;9E+307)*(表成绩单[英语]&gt;表成绩单[[#This Row],[英语]]))+1)</f>
        <v>209</v>
      </c>
      <c r="S1864" s="29" cm="1">
        <f t="array" ref="S1864">IF(表成绩单[[#This Row],[物理]]="","",SUMPRODUCT((表成绩单[考试日期]=表成绩单[[#This Row],[考试日期]])*(表成绩单[物理]&lt;9E+307)*(表成绩单[物理]&gt;表成绩单[[#This Row],[物理]]))+1)</f>
        <v>271</v>
      </c>
      <c r="T1864" s="29" cm="1">
        <f t="array" ref="T1864">IF(表成绩单[[#This Row],[化学]]="","",SUMPRODUCT((表成绩单[考试日期]=表成绩单[[#This Row],[考试日期]])*(表成绩单[化学]&lt;9E+307)*(表成绩单[化学]&gt;表成绩单[[#This Row],[化学]]))+1)</f>
        <v>271</v>
      </c>
      <c r="U1864" s="29" cm="1">
        <f t="array" ref="U1864">IF(表成绩单[[#This Row],[政治]]="","",SUMPRODUCT((表成绩单[考试日期]=表成绩单[[#This Row],[考试日期]])*(表成绩单[政治]&lt;9E+307)*(表成绩单[政治]&gt;表成绩单[[#This Row],[政治]]))+1)</f>
        <v>248</v>
      </c>
      <c r="V1864" s="29" cm="1">
        <f t="array" ref="V1864">IF(表成绩单[[#This Row],[历史]]="","",SUMPRODUCT((表成绩单[考试日期]=表成绩单[[#This Row],[考试日期]])*(表成绩单[历史]&lt;9E+307)*(表成绩单[历史]&gt;表成绩单[[#This Row],[历史]]))+1)</f>
        <v>193</v>
      </c>
      <c r="W1864" s="29" cm="1">
        <f t="array" ref="W1864">IF(表成绩单[[#This Row],[总分]]="","",SUMPRODUCT((表成绩单[考试日期]=表成绩单[[#This Row],[考试日期]])*(表成绩单[总分]&lt;9E+307)*(表成绩单[总分]&gt;表成绩单[[#This Row],[总分]]))+1)</f>
        <v>257</v>
      </c>
    </row>
    <row r="1865" ht="28" customHeight="1" spans="4:23">
      <c r="D1865" s="31">
        <v>46030</v>
      </c>
      <c r="E1865" s="29">
        <v>19174451</v>
      </c>
      <c r="F1865" s="29" t="s">
        <v>73</v>
      </c>
      <c r="G1865" s="29" t="s">
        <v>241</v>
      </c>
      <c r="H1865" s="29">
        <v>105</v>
      </c>
      <c r="I1865" s="29">
        <v>83</v>
      </c>
      <c r="J1865" s="29">
        <v>70.5</v>
      </c>
      <c r="K1865" s="29">
        <v>71</v>
      </c>
      <c r="L1865" s="29">
        <v>70</v>
      </c>
      <c r="M1865" s="29">
        <v>67</v>
      </c>
      <c r="N1865" s="29">
        <v>77</v>
      </c>
      <c r="O1865" s="32">
        <v>543.5</v>
      </c>
      <c r="P1865" s="29" cm="1">
        <f t="array" ref="P1865">IF(表成绩单[[#This Row],[语文]]="","",SUMPRODUCT((表成绩单[考试日期]=表成绩单[[#This Row],[考试日期]])*(表成绩单[语文]&lt;9E+307)*(表成绩单[语文]&gt;表成绩单[[#This Row],[语文]]))+1)</f>
        <v>62</v>
      </c>
      <c r="Q1865" s="29" cm="1">
        <f t="array" ref="Q1865">IF(表成绩单[[#This Row],[数学]]="","",SUMPRODUCT((表成绩单[考试日期]=表成绩单[[#This Row],[考试日期]])*(表成绩单[数学]&lt;9E+307)*(表成绩单[数学]&gt;表成绩单[[#This Row],[数学]]))+1)</f>
        <v>360</v>
      </c>
      <c r="R1865" s="29" cm="1">
        <f t="array" ref="R1865">IF(表成绩单[[#This Row],[英语]]="","",SUMPRODUCT((表成绩单[考试日期]=表成绩单[[#This Row],[考试日期]])*(表成绩单[英语]&lt;9E+307)*(表成绩单[英语]&gt;表成绩单[[#This Row],[英语]]))+1)</f>
        <v>299</v>
      </c>
      <c r="S1865" s="29" cm="1">
        <f t="array" ref="S1865">IF(表成绩单[[#This Row],[物理]]="","",SUMPRODUCT((表成绩单[考试日期]=表成绩单[[#This Row],[考试日期]])*(表成绩单[物理]&lt;9E+307)*(表成绩单[物理]&gt;表成绩单[[#This Row],[物理]]))+1)</f>
        <v>319</v>
      </c>
      <c r="T1865" s="29" cm="1">
        <f t="array" ref="T1865">IF(表成绩单[[#This Row],[化学]]="","",SUMPRODUCT((表成绩单[考试日期]=表成绩单[[#This Row],[考试日期]])*(表成绩单[化学]&lt;9E+307)*(表成绩单[化学]&gt;表成绩单[[#This Row],[化学]]))+1)</f>
        <v>318</v>
      </c>
      <c r="U1865" s="29" cm="1">
        <f t="array" ref="U1865">IF(表成绩单[[#This Row],[政治]]="","",SUMPRODUCT((表成绩单[考试日期]=表成绩单[[#This Row],[考试日期]])*(表成绩单[政治]&lt;9E+307)*(表成绩单[政治]&gt;表成绩单[[#This Row],[政治]]))+1)</f>
        <v>370</v>
      </c>
      <c r="V1865" s="29" cm="1">
        <f t="array" ref="V1865">IF(表成绩单[[#This Row],[历史]]="","",SUMPRODUCT((表成绩单[考试日期]=表成绩单[[#This Row],[考试日期]])*(表成绩单[历史]&lt;9E+307)*(表成绩单[历史]&gt;表成绩单[[#This Row],[历史]]))+1)</f>
        <v>148</v>
      </c>
      <c r="W1865" s="29" cm="1">
        <f t="array" ref="W1865">IF(表成绩单[[#This Row],[总分]]="","",SUMPRODUCT((表成绩单[考试日期]=表成绩单[[#This Row],[考试日期]])*(表成绩单[总分]&lt;9E+307)*(表成绩单[总分]&gt;表成绩单[[#This Row],[总分]]))+1)</f>
        <v>259</v>
      </c>
    </row>
    <row r="1866" ht="28" customHeight="1" spans="4:23">
      <c r="D1866" s="31">
        <v>46030</v>
      </c>
      <c r="E1866" s="29">
        <v>19175660</v>
      </c>
      <c r="F1866" s="29" t="s">
        <v>66</v>
      </c>
      <c r="G1866" s="29" t="s">
        <v>328</v>
      </c>
      <c r="H1866" s="29">
        <v>101</v>
      </c>
      <c r="I1866" s="29">
        <v>87</v>
      </c>
      <c r="J1866" s="29">
        <v>66.5</v>
      </c>
      <c r="K1866" s="29">
        <v>73</v>
      </c>
      <c r="L1866" s="29">
        <v>73</v>
      </c>
      <c r="M1866" s="29">
        <v>67</v>
      </c>
      <c r="N1866" s="29">
        <v>76</v>
      </c>
      <c r="O1866" s="32">
        <v>543.5</v>
      </c>
      <c r="P1866" s="29" cm="1">
        <f t="array" ref="P1866">IF(表成绩单[[#This Row],[语文]]="","",SUMPRODUCT((表成绩单[考试日期]=表成绩单[[#This Row],[考试日期]])*(表成绩单[语文]&lt;9E+307)*(表成绩单[语文]&gt;表成绩单[[#This Row],[语文]]))+1)</f>
        <v>159</v>
      </c>
      <c r="Q1866" s="29" cm="1">
        <f t="array" ref="Q1866">IF(表成绩单[[#This Row],[数学]]="","",SUMPRODUCT((表成绩单[考试日期]=表成绩单[[#This Row],[考试日期]])*(表成绩单[数学]&lt;9E+307)*(表成绩单[数学]&gt;表成绩单[[#This Row],[数学]]))+1)</f>
        <v>270</v>
      </c>
      <c r="R1866" s="29" cm="1">
        <f t="array" ref="R1866">IF(表成绩单[[#This Row],[英语]]="","",SUMPRODUCT((表成绩单[考试日期]=表成绩单[[#This Row],[考试日期]])*(表成绩单[英语]&lt;9E+307)*(表成绩单[英语]&gt;表成绩单[[#This Row],[英语]]))+1)</f>
        <v>402</v>
      </c>
      <c r="S1866" s="29" cm="1">
        <f t="array" ref="S1866">IF(表成绩单[[#This Row],[物理]]="","",SUMPRODUCT((表成绩单[考试日期]=表成绩单[[#This Row],[考试日期]])*(表成绩单[物理]&lt;9E+307)*(表成绩单[物理]&gt;表成绩单[[#This Row],[物理]]))+1)</f>
        <v>271</v>
      </c>
      <c r="T1866" s="29" cm="1">
        <f t="array" ref="T1866">IF(表成绩单[[#This Row],[化学]]="","",SUMPRODUCT((表成绩单[考试日期]=表成绩单[[#This Row],[考试日期]])*(表成绩单[化学]&lt;9E+307)*(表成绩单[化学]&gt;表成绩单[[#This Row],[化学]]))+1)</f>
        <v>236</v>
      </c>
      <c r="U1866" s="29" cm="1">
        <f t="array" ref="U1866">IF(表成绩单[[#This Row],[政治]]="","",SUMPRODUCT((表成绩单[考试日期]=表成绩单[[#This Row],[考试日期]])*(表成绩单[政治]&lt;9E+307)*(表成绩单[政治]&gt;表成绩单[[#This Row],[政治]]))+1)</f>
        <v>370</v>
      </c>
      <c r="V1866" s="29" cm="1">
        <f t="array" ref="V1866">IF(表成绩单[[#This Row],[历史]]="","",SUMPRODUCT((表成绩单[考试日期]=表成绩单[[#This Row],[考试日期]])*(表成绩单[历史]&lt;9E+307)*(表成绩单[历史]&gt;表成绩单[[#This Row],[历史]]))+1)</f>
        <v>169</v>
      </c>
      <c r="W1866" s="29" cm="1">
        <f t="array" ref="W1866">IF(表成绩单[[#This Row],[总分]]="","",SUMPRODUCT((表成绩单[考试日期]=表成绩单[[#This Row],[考试日期]])*(表成绩单[总分]&lt;9E+307)*(表成绩单[总分]&gt;表成绩单[[#This Row],[总分]]))+1)</f>
        <v>259</v>
      </c>
    </row>
    <row r="1867" ht="28" customHeight="1" spans="4:23">
      <c r="D1867" s="31">
        <v>46030</v>
      </c>
      <c r="E1867" s="29">
        <v>19176881</v>
      </c>
      <c r="F1867" s="29" t="s">
        <v>71</v>
      </c>
      <c r="G1867" s="29" t="s">
        <v>446</v>
      </c>
      <c r="H1867" s="29">
        <v>97</v>
      </c>
      <c r="I1867" s="29">
        <v>89</v>
      </c>
      <c r="J1867" s="29">
        <v>67.5</v>
      </c>
      <c r="K1867" s="29">
        <v>76</v>
      </c>
      <c r="L1867" s="29">
        <v>64</v>
      </c>
      <c r="M1867" s="29">
        <v>77</v>
      </c>
      <c r="N1867" s="29">
        <v>73</v>
      </c>
      <c r="O1867" s="32">
        <v>543.5</v>
      </c>
      <c r="P1867" s="29" cm="1">
        <f t="array" ref="P1867">IF(表成绩单[[#This Row],[语文]]="","",SUMPRODUCT((表成绩单[考试日期]=表成绩单[[#This Row],[考试日期]])*(表成绩单[语文]&lt;9E+307)*(表成绩单[语文]&gt;表成绩单[[#This Row],[语文]]))+1)</f>
        <v>291</v>
      </c>
      <c r="Q1867" s="29" cm="1">
        <f t="array" ref="Q1867">IF(表成绩单[[#This Row],[数学]]="","",SUMPRODUCT((表成绩单[考试日期]=表成绩单[[#This Row],[考试日期]])*(表成绩单[数学]&lt;9E+307)*(表成绩单[数学]&gt;表成绩单[[#This Row],[数学]]))+1)</f>
        <v>228</v>
      </c>
      <c r="R1867" s="29" cm="1">
        <f t="array" ref="R1867">IF(表成绩单[[#This Row],[英语]]="","",SUMPRODUCT((表成绩单[考试日期]=表成绩单[[#This Row],[考试日期]])*(表成绩单[英语]&lt;9E+307)*(表成绩单[英语]&gt;表成绩单[[#This Row],[英语]]))+1)</f>
        <v>377</v>
      </c>
      <c r="S1867" s="29" cm="1">
        <f t="array" ref="S1867">IF(表成绩单[[#This Row],[物理]]="","",SUMPRODUCT((表成绩单[考试日期]=表成绩单[[#This Row],[考试日期]])*(表成绩单[物理]&lt;9E+307)*(表成绩单[物理]&gt;表成绩单[[#This Row],[物理]]))+1)</f>
        <v>218</v>
      </c>
      <c r="T1867" s="29" cm="1">
        <f t="array" ref="T1867">IF(表成绩单[[#This Row],[化学]]="","",SUMPRODUCT((表成绩单[考试日期]=表成绩单[[#This Row],[考试日期]])*(表成绩单[化学]&lt;9E+307)*(表成绩单[化学]&gt;表成绩单[[#This Row],[化学]]))+1)</f>
        <v>451</v>
      </c>
      <c r="U1867" s="29" cm="1">
        <f t="array" ref="U1867">IF(表成绩单[[#This Row],[政治]]="","",SUMPRODUCT((表成绩单[考试日期]=表成绩单[[#This Row],[考试日期]])*(表成绩单[政治]&lt;9E+307)*(表成绩单[政治]&gt;表成绩单[[#This Row],[政治]]))+1)</f>
        <v>88</v>
      </c>
      <c r="V1867" s="29" cm="1">
        <f t="array" ref="V1867">IF(表成绩单[[#This Row],[历史]]="","",SUMPRODUCT((表成绩单[考试日期]=表成绩单[[#This Row],[考试日期]])*(表成绩单[历史]&lt;9E+307)*(表成绩单[历史]&gt;表成绩单[[#This Row],[历史]]))+1)</f>
        <v>240</v>
      </c>
      <c r="W1867" s="29" cm="1">
        <f t="array" ref="W1867">IF(表成绩单[[#This Row],[总分]]="","",SUMPRODUCT((表成绩单[考试日期]=表成绩单[[#This Row],[考试日期]])*(表成绩单[总分]&lt;9E+307)*(表成绩单[总分]&gt;表成绩单[[#This Row],[总分]]))+1)</f>
        <v>259</v>
      </c>
    </row>
    <row r="1868" ht="28" customHeight="1" spans="4:23">
      <c r="D1868" s="31">
        <v>46030</v>
      </c>
      <c r="E1868" s="29">
        <v>19177653</v>
      </c>
      <c r="F1868" s="29" t="s">
        <v>63</v>
      </c>
      <c r="G1868" s="29" t="s">
        <v>321</v>
      </c>
      <c r="H1868" s="29">
        <v>98</v>
      </c>
      <c r="I1868" s="29">
        <v>83</v>
      </c>
      <c r="J1868" s="29">
        <v>71</v>
      </c>
      <c r="K1868" s="29">
        <v>83</v>
      </c>
      <c r="L1868" s="29">
        <v>73</v>
      </c>
      <c r="M1868" s="29">
        <v>59</v>
      </c>
      <c r="N1868" s="29">
        <v>76</v>
      </c>
      <c r="O1868" s="32">
        <v>543</v>
      </c>
      <c r="P1868" s="29" cm="1">
        <f t="array" ref="P1868">IF(表成绩单[[#This Row],[语文]]="","",SUMPRODUCT((表成绩单[考试日期]=表成绩单[[#This Row],[考试日期]])*(表成绩单[语文]&lt;9E+307)*(表成绩单[语文]&gt;表成绩单[[#This Row],[语文]]))+1)</f>
        <v>248</v>
      </c>
      <c r="Q1868" s="29" cm="1">
        <f t="array" ref="Q1868">IF(表成绩单[[#This Row],[数学]]="","",SUMPRODUCT((表成绩单[考试日期]=表成绩单[[#This Row],[考试日期]])*(表成绩单[数学]&lt;9E+307)*(表成绩单[数学]&gt;表成绩单[[#This Row],[数学]]))+1)</f>
        <v>360</v>
      </c>
      <c r="R1868" s="29" cm="1">
        <f t="array" ref="R1868">IF(表成绩单[[#This Row],[英语]]="","",SUMPRODUCT((表成绩单[考试日期]=表成绩单[[#This Row],[考试日期]])*(表成绩单[英语]&lt;9E+307)*(表成绩单[英语]&gt;表成绩单[[#This Row],[英语]]))+1)</f>
        <v>281</v>
      </c>
      <c r="S1868" s="29" cm="1">
        <f t="array" ref="S1868">IF(表成绩单[[#This Row],[物理]]="","",SUMPRODUCT((表成绩单[考试日期]=表成绩单[[#This Row],[考试日期]])*(表成绩单[物理]&lt;9E+307)*(表成绩单[物理]&gt;表成绩单[[#This Row],[物理]]))+1)</f>
        <v>88</v>
      </c>
      <c r="T1868" s="29" cm="1">
        <f t="array" ref="T1868">IF(表成绩单[[#This Row],[化学]]="","",SUMPRODUCT((表成绩单[考试日期]=表成绩单[[#This Row],[考试日期]])*(表成绩单[化学]&lt;9E+307)*(表成绩单[化学]&gt;表成绩单[[#This Row],[化学]]))+1)</f>
        <v>236</v>
      </c>
      <c r="U1868" s="29" cm="1">
        <f t="array" ref="U1868">IF(表成绩单[[#This Row],[政治]]="","",SUMPRODUCT((表成绩单[考试日期]=表成绩单[[#This Row],[考试日期]])*(表成绩单[政治]&lt;9E+307)*(表成绩单[政治]&gt;表成绩单[[#This Row],[政治]]))+1)</f>
        <v>557</v>
      </c>
      <c r="V1868" s="29" cm="1">
        <f t="array" ref="V1868">IF(表成绩单[[#This Row],[历史]]="","",SUMPRODUCT((表成绩单[考试日期]=表成绩单[[#This Row],[考试日期]])*(表成绩单[历史]&lt;9E+307)*(表成绩单[历史]&gt;表成绩单[[#This Row],[历史]]))+1)</f>
        <v>169</v>
      </c>
      <c r="W1868" s="29" cm="1">
        <f t="array" ref="W1868">IF(表成绩单[[#This Row],[总分]]="","",SUMPRODUCT((表成绩单[考试日期]=表成绩单[[#This Row],[考试日期]])*(表成绩单[总分]&lt;9E+307)*(表成绩单[总分]&gt;表成绩单[[#This Row],[总分]]))+1)</f>
        <v>262</v>
      </c>
    </row>
    <row r="1869" ht="28" customHeight="1" spans="4:23">
      <c r="D1869" s="31">
        <v>46030</v>
      </c>
      <c r="E1869" s="29">
        <v>19174457</v>
      </c>
      <c r="F1869" s="29" t="s">
        <v>73</v>
      </c>
      <c r="G1869" s="29" t="s">
        <v>326</v>
      </c>
      <c r="H1869" s="29">
        <v>98</v>
      </c>
      <c r="I1869" s="29">
        <v>74</v>
      </c>
      <c r="J1869" s="29">
        <v>70.5</v>
      </c>
      <c r="K1869" s="29">
        <v>82</v>
      </c>
      <c r="L1869" s="29">
        <v>76</v>
      </c>
      <c r="M1869" s="29">
        <v>72</v>
      </c>
      <c r="N1869" s="29">
        <v>70</v>
      </c>
      <c r="O1869" s="32">
        <v>542.5</v>
      </c>
      <c r="P1869" s="29" cm="1">
        <f t="array" ref="P1869">IF(表成绩单[[#This Row],[语文]]="","",SUMPRODUCT((表成绩单[考试日期]=表成绩单[[#This Row],[考试日期]])*(表成绩单[语文]&lt;9E+307)*(表成绩单[语文]&gt;表成绩单[[#This Row],[语文]]))+1)</f>
        <v>248</v>
      </c>
      <c r="Q1869" s="29" cm="1">
        <f t="array" ref="Q1869">IF(表成绩单[[#This Row],[数学]]="","",SUMPRODUCT((表成绩单[考试日期]=表成绩单[[#This Row],[考试日期]])*(表成绩单[数学]&lt;9E+307)*(表成绩单[数学]&gt;表成绩单[[#This Row],[数学]]))+1)</f>
        <v>535</v>
      </c>
      <c r="R1869" s="29" cm="1">
        <f t="array" ref="R1869">IF(表成绩单[[#This Row],[英语]]="","",SUMPRODUCT((表成绩单[考试日期]=表成绩单[[#This Row],[考试日期]])*(表成绩单[英语]&lt;9E+307)*(表成绩单[英语]&gt;表成绩单[[#This Row],[英语]]))+1)</f>
        <v>299</v>
      </c>
      <c r="S1869" s="29" cm="1">
        <f t="array" ref="S1869">IF(表成绩单[[#This Row],[物理]]="","",SUMPRODUCT((表成绩单[考试日期]=表成绩单[[#This Row],[考试日期]])*(表成绩单[物理]&lt;9E+307)*(表成绩单[物理]&gt;表成绩单[[#This Row],[物理]]))+1)</f>
        <v>105</v>
      </c>
      <c r="T1869" s="29" cm="1">
        <f t="array" ref="T1869">IF(表成绩单[[#This Row],[化学]]="","",SUMPRODUCT((表成绩单[考试日期]=表成绩单[[#This Row],[考试日期]])*(表成绩单[化学]&lt;9E+307)*(表成绩单[化学]&gt;表成绩单[[#This Row],[化学]]))+1)</f>
        <v>139</v>
      </c>
      <c r="U1869" s="29" cm="1">
        <f t="array" ref="U1869">IF(表成绩单[[#This Row],[政治]]="","",SUMPRODUCT((表成绩单[考试日期]=表成绩单[[#This Row],[考试日期]])*(表成绩单[政治]&lt;9E+307)*(表成绩单[政治]&gt;表成绩单[[#This Row],[政治]]))+1)</f>
        <v>224</v>
      </c>
      <c r="V1869" s="29" cm="1">
        <f t="array" ref="V1869">IF(表成绩单[[#This Row],[历史]]="","",SUMPRODUCT((表成绩单[考试日期]=表成绩单[[#This Row],[考试日期]])*(表成绩单[历史]&lt;9E+307)*(表成绩单[历史]&gt;表成绩单[[#This Row],[历史]]))+1)</f>
        <v>328</v>
      </c>
      <c r="W1869" s="29" cm="1">
        <f t="array" ref="W1869">IF(表成绩单[[#This Row],[总分]]="","",SUMPRODUCT((表成绩单[考试日期]=表成绩单[[#This Row],[考试日期]])*(表成绩单[总分]&lt;9E+307)*(表成绩单[总分]&gt;表成绩单[[#This Row],[总分]]))+1)</f>
        <v>263</v>
      </c>
    </row>
    <row r="1870" ht="28" customHeight="1" spans="4:23">
      <c r="D1870" s="31">
        <v>46030</v>
      </c>
      <c r="E1870" s="29">
        <v>19175647</v>
      </c>
      <c r="F1870" s="29" t="s">
        <v>66</v>
      </c>
      <c r="G1870" s="29" t="s">
        <v>200</v>
      </c>
      <c r="H1870" s="29">
        <v>102</v>
      </c>
      <c r="I1870" s="29">
        <v>88</v>
      </c>
      <c r="J1870" s="29">
        <v>76.5</v>
      </c>
      <c r="K1870" s="29">
        <v>66</v>
      </c>
      <c r="L1870" s="29">
        <v>71</v>
      </c>
      <c r="M1870" s="29">
        <v>72</v>
      </c>
      <c r="N1870" s="29">
        <v>67</v>
      </c>
      <c r="O1870" s="32">
        <v>542.5</v>
      </c>
      <c r="P1870" s="29" cm="1">
        <f t="array" ref="P1870">IF(表成绩单[[#This Row],[语文]]="","",SUMPRODUCT((表成绩单[考试日期]=表成绩单[[#This Row],[考试日期]])*(表成绩单[语文]&lt;9E+307)*(表成绩单[语文]&gt;表成绩单[[#This Row],[语文]]))+1)</f>
        <v>132</v>
      </c>
      <c r="Q1870" s="29" cm="1">
        <f t="array" ref="Q1870">IF(表成绩单[[#This Row],[数学]]="","",SUMPRODUCT((表成绩单[考试日期]=表成绩单[[#This Row],[考试日期]])*(表成绩单[数学]&lt;9E+307)*(表成绩单[数学]&gt;表成绩单[[#This Row],[数学]]))+1)</f>
        <v>245</v>
      </c>
      <c r="R1870" s="29" cm="1">
        <f t="array" ref="R1870">IF(表成绩单[[#This Row],[英语]]="","",SUMPRODUCT((表成绩单[考试日期]=表成绩单[[#This Row],[考试日期]])*(表成绩单[英语]&lt;9E+307)*(表成绩单[英语]&gt;表成绩单[[#This Row],[英语]]))+1)</f>
        <v>120</v>
      </c>
      <c r="S1870" s="29" cm="1">
        <f t="array" ref="S1870">IF(表成绩单[[#This Row],[物理]]="","",SUMPRODUCT((表成绩单[考试日期]=表成绩单[[#This Row],[考试日期]])*(表成绩单[物理]&lt;9E+307)*(表成绩单[物理]&gt;表成绩单[[#This Row],[物理]]))+1)</f>
        <v>415</v>
      </c>
      <c r="T1870" s="29" cm="1">
        <f t="array" ref="T1870">IF(表成绩单[[#This Row],[化学]]="","",SUMPRODUCT((表成绩单[考试日期]=表成绩单[[#This Row],[考试日期]])*(表成绩单[化学]&lt;9E+307)*(表成绩单[化学]&gt;表成绩单[[#This Row],[化学]]))+1)</f>
        <v>297</v>
      </c>
      <c r="U1870" s="29" cm="1">
        <f t="array" ref="U1870">IF(表成绩单[[#This Row],[政治]]="","",SUMPRODUCT((表成绩单[考试日期]=表成绩单[[#This Row],[考试日期]])*(表成绩单[政治]&lt;9E+307)*(表成绩单[政治]&gt;表成绩单[[#This Row],[政治]]))+1)</f>
        <v>224</v>
      </c>
      <c r="V1870" s="29" cm="1">
        <f t="array" ref="V1870">IF(表成绩单[[#This Row],[历史]]="","",SUMPRODUCT((表成绩单[考试日期]=表成绩单[[#This Row],[考试日期]])*(表成绩单[历史]&lt;9E+307)*(表成绩单[历史]&gt;表成绩单[[#This Row],[历史]]))+1)</f>
        <v>415</v>
      </c>
      <c r="W1870" s="29" cm="1">
        <f t="array" ref="W1870">IF(表成绩单[[#This Row],[总分]]="","",SUMPRODUCT((表成绩单[考试日期]=表成绩单[[#This Row],[考试日期]])*(表成绩单[总分]&lt;9E+307)*(表成绩单[总分]&gt;表成绩单[[#This Row],[总分]]))+1)</f>
        <v>263</v>
      </c>
    </row>
    <row r="1871" ht="28" customHeight="1" spans="4:23">
      <c r="D1871" s="31">
        <v>46030</v>
      </c>
      <c r="E1871" s="29">
        <v>19176169</v>
      </c>
      <c r="F1871" s="29" t="s">
        <v>67</v>
      </c>
      <c r="G1871" s="29" t="s">
        <v>377</v>
      </c>
      <c r="H1871" s="29">
        <v>103</v>
      </c>
      <c r="I1871" s="29">
        <v>79</v>
      </c>
      <c r="J1871" s="29">
        <v>72.5</v>
      </c>
      <c r="K1871" s="29">
        <v>77</v>
      </c>
      <c r="L1871" s="29">
        <v>74</v>
      </c>
      <c r="M1871" s="29">
        <v>70</v>
      </c>
      <c r="N1871" s="29">
        <v>67</v>
      </c>
      <c r="O1871" s="32">
        <v>542.5</v>
      </c>
      <c r="P1871" s="29" cm="1">
        <f t="array" ref="P1871">IF(表成绩单[[#This Row],[语文]]="","",SUMPRODUCT((表成绩单[考试日期]=表成绩单[[#This Row],[考试日期]])*(表成绩单[语文]&lt;9E+307)*(表成绩单[语文]&gt;表成绩单[[#This Row],[语文]]))+1)</f>
        <v>105</v>
      </c>
      <c r="Q1871" s="29" cm="1">
        <f t="array" ref="Q1871">IF(表成绩单[[#This Row],[数学]]="","",SUMPRODUCT((表成绩单[考试日期]=表成绩单[[#This Row],[考试日期]])*(表成绩单[数学]&lt;9E+307)*(表成绩单[数学]&gt;表成绩单[[#This Row],[数学]]))+1)</f>
        <v>427</v>
      </c>
      <c r="R1871" s="29" cm="1">
        <f t="array" ref="R1871">IF(表成绩单[[#This Row],[英语]]="","",SUMPRODUCT((表成绩单[考试日期]=表成绩单[[#This Row],[考试日期]])*(表成绩单[英语]&lt;9E+307)*(表成绩单[英语]&gt;表成绩单[[#This Row],[英语]]))+1)</f>
        <v>242</v>
      </c>
      <c r="S1871" s="29" cm="1">
        <f t="array" ref="S1871">IF(表成绩单[[#This Row],[物理]]="","",SUMPRODUCT((表成绩单[考试日期]=表成绩单[[#This Row],[考试日期]])*(表成绩单[物理]&lt;9E+307)*(表成绩单[物理]&gt;表成绩单[[#This Row],[物理]]))+1)</f>
        <v>197</v>
      </c>
      <c r="T1871" s="29" cm="1">
        <f t="array" ref="T1871">IF(表成绩单[[#This Row],[化学]]="","",SUMPRODUCT((表成绩单[考试日期]=表成绩单[[#This Row],[考试日期]])*(表成绩单[化学]&lt;9E+307)*(表成绩单[化学]&gt;表成绩单[[#This Row],[化学]]))+1)</f>
        <v>208</v>
      </c>
      <c r="U1871" s="29" cm="1">
        <f t="array" ref="U1871">IF(表成绩单[[#This Row],[政治]]="","",SUMPRODUCT((表成绩单[考试日期]=表成绩单[[#This Row],[考试日期]])*(表成绩单[政治]&lt;9E+307)*(表成绩单[政治]&gt;表成绩单[[#This Row],[政治]]))+1)</f>
        <v>274</v>
      </c>
      <c r="V1871" s="29" cm="1">
        <f t="array" ref="V1871">IF(表成绩单[[#This Row],[历史]]="","",SUMPRODUCT((表成绩单[考试日期]=表成绩单[[#This Row],[考试日期]])*(表成绩单[历史]&lt;9E+307)*(表成绩单[历史]&gt;表成绩单[[#This Row],[历史]]))+1)</f>
        <v>415</v>
      </c>
      <c r="W1871" s="29" cm="1">
        <f t="array" ref="W1871">IF(表成绩单[[#This Row],[总分]]="","",SUMPRODUCT((表成绩单[考试日期]=表成绩单[[#This Row],[考试日期]])*(表成绩单[总分]&lt;9E+307)*(表成绩单[总分]&gt;表成绩单[[#This Row],[总分]]))+1)</f>
        <v>263</v>
      </c>
    </row>
    <row r="1872" ht="28" customHeight="1" spans="4:23">
      <c r="D1872" s="31">
        <v>46030</v>
      </c>
      <c r="E1872" s="29">
        <v>19176170</v>
      </c>
      <c r="F1872" s="29" t="s">
        <v>67</v>
      </c>
      <c r="G1872" s="29" t="s">
        <v>403</v>
      </c>
      <c r="H1872" s="29">
        <v>105</v>
      </c>
      <c r="I1872" s="29">
        <v>78</v>
      </c>
      <c r="J1872" s="29">
        <v>73.5</v>
      </c>
      <c r="K1872" s="29">
        <v>61</v>
      </c>
      <c r="L1872" s="29">
        <v>74</v>
      </c>
      <c r="M1872" s="29">
        <v>74</v>
      </c>
      <c r="N1872" s="29">
        <v>77</v>
      </c>
      <c r="O1872" s="32">
        <v>542.5</v>
      </c>
      <c r="P1872" s="29" cm="1">
        <f t="array" ref="P1872">IF(表成绩单[[#This Row],[语文]]="","",SUMPRODUCT((表成绩单[考试日期]=表成绩单[[#This Row],[考试日期]])*(表成绩单[语文]&lt;9E+307)*(表成绩单[语文]&gt;表成绩单[[#This Row],[语文]]))+1)</f>
        <v>62</v>
      </c>
      <c r="Q1872" s="29" cm="1">
        <f t="array" ref="Q1872">IF(表成绩单[[#This Row],[数学]]="","",SUMPRODUCT((表成绩单[考试日期]=表成绩单[[#This Row],[考试日期]])*(表成绩单[数学]&lt;9E+307)*(表成绩单[数学]&gt;表成绩单[[#This Row],[数学]]))+1)</f>
        <v>450</v>
      </c>
      <c r="R1872" s="29" cm="1">
        <f t="array" ref="R1872">IF(表成绩单[[#This Row],[英语]]="","",SUMPRODUCT((表成绩单[考试日期]=表成绩单[[#This Row],[考试日期]])*(表成绩单[英语]&lt;9E+307)*(表成绩单[英语]&gt;表成绩单[[#This Row],[英语]]))+1)</f>
        <v>209</v>
      </c>
      <c r="S1872" s="29" cm="1">
        <f t="array" ref="S1872">IF(表成绩单[[#This Row],[物理]]="","",SUMPRODUCT((表成绩单[考试日期]=表成绩单[[#This Row],[考试日期]])*(表成绩单[物理]&lt;9E+307)*(表成绩单[物理]&gt;表成绩单[[#This Row],[物理]]))+1)</f>
        <v>482</v>
      </c>
      <c r="T1872" s="29" cm="1">
        <f t="array" ref="T1872">IF(表成绩单[[#This Row],[化学]]="","",SUMPRODUCT((表成绩单[考试日期]=表成绩单[[#This Row],[考试日期]])*(表成绩单[化学]&lt;9E+307)*(表成绩单[化学]&gt;表成绩单[[#This Row],[化学]]))+1)</f>
        <v>208</v>
      </c>
      <c r="U1872" s="29" cm="1">
        <f t="array" ref="U1872">IF(表成绩单[[#This Row],[政治]]="","",SUMPRODUCT((表成绩单[考试日期]=表成绩单[[#This Row],[考试日期]])*(表成绩单[政治]&lt;9E+307)*(表成绩单[政治]&gt;表成绩单[[#This Row],[政治]]))+1)</f>
        <v>168</v>
      </c>
      <c r="V1872" s="29" cm="1">
        <f t="array" ref="V1872">IF(表成绩单[[#This Row],[历史]]="","",SUMPRODUCT((表成绩单[考试日期]=表成绩单[[#This Row],[考试日期]])*(表成绩单[历史]&lt;9E+307)*(表成绩单[历史]&gt;表成绩单[[#This Row],[历史]]))+1)</f>
        <v>148</v>
      </c>
      <c r="W1872" s="29" cm="1">
        <f t="array" ref="W1872">IF(表成绩单[[#This Row],[总分]]="","",SUMPRODUCT((表成绩单[考试日期]=表成绩单[[#This Row],[考试日期]])*(表成绩单[总分]&lt;9E+307)*(表成绩单[总分]&gt;表成绩单[[#This Row],[总分]]))+1)</f>
        <v>263</v>
      </c>
    </row>
    <row r="1873" ht="28" customHeight="1" spans="4:23">
      <c r="D1873" s="31">
        <v>46030</v>
      </c>
      <c r="E1873" s="29">
        <v>19177210</v>
      </c>
      <c r="F1873" s="29" t="s">
        <v>70</v>
      </c>
      <c r="G1873" s="29" t="s">
        <v>385</v>
      </c>
      <c r="H1873" s="29">
        <v>98</v>
      </c>
      <c r="I1873" s="29">
        <v>89</v>
      </c>
      <c r="J1873" s="29">
        <v>69.5</v>
      </c>
      <c r="K1873" s="29">
        <v>71</v>
      </c>
      <c r="L1873" s="29">
        <v>69</v>
      </c>
      <c r="M1873" s="29">
        <v>66</v>
      </c>
      <c r="N1873" s="29">
        <v>80</v>
      </c>
      <c r="O1873" s="32">
        <v>542.5</v>
      </c>
      <c r="P1873" s="29" cm="1">
        <f t="array" ref="P1873">IF(表成绩单[[#This Row],[语文]]="","",SUMPRODUCT((表成绩单[考试日期]=表成绩单[[#This Row],[考试日期]])*(表成绩单[语文]&lt;9E+307)*(表成绩单[语文]&gt;表成绩单[[#This Row],[语文]]))+1)</f>
        <v>248</v>
      </c>
      <c r="Q1873" s="29" cm="1">
        <f t="array" ref="Q1873">IF(表成绩单[[#This Row],[数学]]="","",SUMPRODUCT((表成绩单[考试日期]=表成绩单[[#This Row],[考试日期]])*(表成绩单[数学]&lt;9E+307)*(表成绩单[数学]&gt;表成绩单[[#This Row],[数学]]))+1)</f>
        <v>228</v>
      </c>
      <c r="R1873" s="29" cm="1">
        <f t="array" ref="R1873">IF(表成绩单[[#This Row],[英语]]="","",SUMPRODUCT((表成绩单[考试日期]=表成绩单[[#This Row],[考试日期]])*(表成绩单[英语]&lt;9E+307)*(表成绩单[英语]&gt;表成绩单[[#This Row],[英语]]))+1)</f>
        <v>330</v>
      </c>
      <c r="S1873" s="29" cm="1">
        <f t="array" ref="S1873">IF(表成绩单[[#This Row],[物理]]="","",SUMPRODUCT((表成绩单[考试日期]=表成绩单[[#This Row],[考试日期]])*(表成绩单[物理]&lt;9E+307)*(表成绩单[物理]&gt;表成绩单[[#This Row],[物理]]))+1)</f>
        <v>319</v>
      </c>
      <c r="T1873" s="29" cm="1">
        <f t="array" ref="T1873">IF(表成绩单[[#This Row],[化学]]="","",SUMPRODUCT((表成绩单[考试日期]=表成绩单[[#This Row],[考试日期]])*(表成绩单[化学]&lt;9E+307)*(表成绩单[化学]&gt;表成绩单[[#This Row],[化学]]))+1)</f>
        <v>339</v>
      </c>
      <c r="U1873" s="29" cm="1">
        <f t="array" ref="U1873">IF(表成绩单[[#This Row],[政治]]="","",SUMPRODUCT((表成绩单[考试日期]=表成绩单[[#This Row],[考试日期]])*(表成绩单[政治]&lt;9E+307)*(表成绩单[政治]&gt;表成绩单[[#This Row],[政治]]))+1)</f>
        <v>397</v>
      </c>
      <c r="V1873" s="29" cm="1">
        <f t="array" ref="V1873">IF(表成绩单[[#This Row],[历史]]="","",SUMPRODUCT((表成绩单[考试日期]=表成绩单[[#This Row],[考试日期]])*(表成绩单[历史]&lt;9E+307)*(表成绩单[历史]&gt;表成绩单[[#This Row],[历史]]))+1)</f>
        <v>83</v>
      </c>
      <c r="W1873" s="29" cm="1">
        <f t="array" ref="W1873">IF(表成绩单[[#This Row],[总分]]="","",SUMPRODUCT((表成绩单[考试日期]=表成绩单[[#This Row],[考试日期]])*(表成绩单[总分]&lt;9E+307)*(表成绩单[总分]&gt;表成绩单[[#This Row],[总分]]))+1)</f>
        <v>263</v>
      </c>
    </row>
    <row r="1874" ht="28" customHeight="1" spans="4:23">
      <c r="D1874" s="31">
        <v>46030</v>
      </c>
      <c r="E1874" s="29">
        <v>19178594</v>
      </c>
      <c r="F1874" s="29" t="s">
        <v>64</v>
      </c>
      <c r="G1874" s="29" t="s">
        <v>429</v>
      </c>
      <c r="H1874" s="29">
        <v>101</v>
      </c>
      <c r="I1874" s="29">
        <v>88</v>
      </c>
      <c r="J1874" s="29">
        <v>65.5</v>
      </c>
      <c r="K1874" s="29">
        <v>83</v>
      </c>
      <c r="L1874" s="29">
        <v>76</v>
      </c>
      <c r="M1874" s="29">
        <v>59</v>
      </c>
      <c r="N1874" s="29">
        <v>70</v>
      </c>
      <c r="O1874" s="32">
        <v>542.5</v>
      </c>
      <c r="P1874" s="29" cm="1">
        <f t="array" ref="P1874">IF(表成绩单[[#This Row],[语文]]="","",SUMPRODUCT((表成绩单[考试日期]=表成绩单[[#This Row],[考试日期]])*(表成绩单[语文]&lt;9E+307)*(表成绩单[语文]&gt;表成绩单[[#This Row],[语文]]))+1)</f>
        <v>159</v>
      </c>
      <c r="Q1874" s="29" cm="1">
        <f t="array" ref="Q1874">IF(表成绩单[[#This Row],[数学]]="","",SUMPRODUCT((表成绩单[考试日期]=表成绩单[[#This Row],[考试日期]])*(表成绩单[数学]&lt;9E+307)*(表成绩单[数学]&gt;表成绩单[[#This Row],[数学]]))+1)</f>
        <v>245</v>
      </c>
      <c r="R1874" s="29" cm="1">
        <f t="array" ref="R1874">IF(表成绩单[[#This Row],[英语]]="","",SUMPRODUCT((表成绩单[考试日期]=表成绩单[[#This Row],[考试日期]])*(表成绩单[英语]&lt;9E+307)*(表成绩单[英语]&gt;表成绩单[[#This Row],[英语]]))+1)</f>
        <v>429</v>
      </c>
      <c r="S1874" s="29" cm="1">
        <f t="array" ref="S1874">IF(表成绩单[[#This Row],[物理]]="","",SUMPRODUCT((表成绩单[考试日期]=表成绩单[[#This Row],[考试日期]])*(表成绩单[物理]&lt;9E+307)*(表成绩单[物理]&gt;表成绩单[[#This Row],[物理]]))+1)</f>
        <v>88</v>
      </c>
      <c r="T1874" s="29" cm="1">
        <f t="array" ref="T1874">IF(表成绩单[[#This Row],[化学]]="","",SUMPRODUCT((表成绩单[考试日期]=表成绩单[[#This Row],[考试日期]])*(表成绩单[化学]&lt;9E+307)*(表成绩单[化学]&gt;表成绩单[[#This Row],[化学]]))+1)</f>
        <v>139</v>
      </c>
      <c r="U1874" s="29" cm="1">
        <f t="array" ref="U1874">IF(表成绩单[[#This Row],[政治]]="","",SUMPRODUCT((表成绩单[考试日期]=表成绩单[[#This Row],[考试日期]])*(表成绩单[政治]&lt;9E+307)*(表成绩单[政治]&gt;表成绩单[[#This Row],[政治]]))+1)</f>
        <v>557</v>
      </c>
      <c r="V1874" s="29" cm="1">
        <f t="array" ref="V1874">IF(表成绩单[[#This Row],[历史]]="","",SUMPRODUCT((表成绩单[考试日期]=表成绩单[[#This Row],[考试日期]])*(表成绩单[历史]&lt;9E+307)*(表成绩单[历史]&gt;表成绩单[[#This Row],[历史]]))+1)</f>
        <v>328</v>
      </c>
      <c r="W1874" s="29" cm="1">
        <f t="array" ref="W1874">IF(表成绩单[[#This Row],[总分]]="","",SUMPRODUCT((表成绩单[考试日期]=表成绩单[[#This Row],[考试日期]])*(表成绩单[总分]&lt;9E+307)*(表成绩单[总分]&gt;表成绩单[[#This Row],[总分]]))+1)</f>
        <v>263</v>
      </c>
    </row>
    <row r="1875" ht="28" customHeight="1" spans="4:23">
      <c r="D1875" s="31">
        <v>46030</v>
      </c>
      <c r="E1875" s="29">
        <v>19175674</v>
      </c>
      <c r="F1875" s="29" t="s">
        <v>72</v>
      </c>
      <c r="G1875" s="29" t="s">
        <v>215</v>
      </c>
      <c r="H1875" s="29">
        <v>92</v>
      </c>
      <c r="I1875" s="29">
        <v>93</v>
      </c>
      <c r="J1875" s="29">
        <v>75</v>
      </c>
      <c r="K1875" s="29">
        <v>68</v>
      </c>
      <c r="L1875" s="29">
        <v>74</v>
      </c>
      <c r="M1875" s="29">
        <v>69</v>
      </c>
      <c r="N1875" s="29">
        <v>71</v>
      </c>
      <c r="O1875" s="32">
        <v>542</v>
      </c>
      <c r="P1875" s="29" cm="1">
        <f t="array" ref="P1875">IF(表成绩单[[#This Row],[语文]]="","",SUMPRODUCT((表成绩单[考试日期]=表成绩单[[#This Row],[考试日期]])*(表成绩单[语文]&lt;9E+307)*(表成绩单[语文]&gt;表成绩单[[#This Row],[语文]]))+1)</f>
        <v>444</v>
      </c>
      <c r="Q1875" s="29" cm="1">
        <f t="array" ref="Q1875">IF(表成绩单[[#This Row],[数学]]="","",SUMPRODUCT((表成绩单[考试日期]=表成绩单[[#This Row],[考试日期]])*(表成绩单[数学]&lt;9E+307)*(表成绩单[数学]&gt;表成绩单[[#This Row],[数学]]))+1)</f>
        <v>188</v>
      </c>
      <c r="R1875" s="29" cm="1">
        <f t="array" ref="R1875">IF(表成绩单[[#This Row],[英语]]="","",SUMPRODUCT((表成绩单[考试日期]=表成绩单[[#This Row],[考试日期]])*(表成绩单[英语]&lt;9E+307)*(表成绩单[英语]&gt;表成绩单[[#This Row],[英语]]))+1)</f>
        <v>164</v>
      </c>
      <c r="S1875" s="29" cm="1">
        <f t="array" ref="S1875">IF(表成绩单[[#This Row],[物理]]="","",SUMPRODUCT((表成绩单[考试日期]=表成绩单[[#This Row],[考试日期]])*(表成绩单[物理]&lt;9E+307)*(表成绩单[物理]&gt;表成绩单[[#This Row],[物理]]))+1)</f>
        <v>372</v>
      </c>
      <c r="T1875" s="29" cm="1">
        <f t="array" ref="T1875">IF(表成绩单[[#This Row],[化学]]="","",SUMPRODUCT((表成绩单[考试日期]=表成绩单[[#This Row],[考试日期]])*(表成绩单[化学]&lt;9E+307)*(表成绩单[化学]&gt;表成绩单[[#This Row],[化学]]))+1)</f>
        <v>208</v>
      </c>
      <c r="U1875" s="29" cm="1">
        <f t="array" ref="U1875">IF(表成绩单[[#This Row],[政治]]="","",SUMPRODUCT((表成绩单[考试日期]=表成绩单[[#This Row],[考试日期]])*(表成绩单[政治]&lt;9E+307)*(表成绩单[政治]&gt;表成绩单[[#This Row],[政治]]))+1)</f>
        <v>308</v>
      </c>
      <c r="V1875" s="29" cm="1">
        <f t="array" ref="V1875">IF(表成绩单[[#This Row],[历史]]="","",SUMPRODUCT((表成绩单[考试日期]=表成绩单[[#This Row],[考试日期]])*(表成绩单[历史]&lt;9E+307)*(表成绩单[历史]&gt;表成绩单[[#This Row],[历史]]))+1)</f>
        <v>297</v>
      </c>
      <c r="W1875" s="29" cm="1">
        <f t="array" ref="W1875">IF(表成绩单[[#This Row],[总分]]="","",SUMPRODUCT((表成绩单[考试日期]=表成绩单[[#This Row],[考试日期]])*(表成绩单[总分]&lt;9E+307)*(表成绩单[总分]&gt;表成绩单[[#This Row],[总分]]))+1)</f>
        <v>269</v>
      </c>
    </row>
    <row r="1876" ht="28" customHeight="1" spans="4:23">
      <c r="D1876" s="31">
        <v>46030</v>
      </c>
      <c r="E1876" s="29">
        <v>24040081</v>
      </c>
      <c r="F1876" s="29" t="s">
        <v>58</v>
      </c>
      <c r="G1876" s="29" t="s">
        <v>692</v>
      </c>
      <c r="H1876" s="29">
        <v>87</v>
      </c>
      <c r="I1876" s="29">
        <v>90</v>
      </c>
      <c r="J1876" s="29">
        <v>67</v>
      </c>
      <c r="K1876" s="29">
        <v>77</v>
      </c>
      <c r="L1876" s="29">
        <v>71</v>
      </c>
      <c r="M1876" s="29">
        <v>74</v>
      </c>
      <c r="N1876" s="29">
        <v>76</v>
      </c>
      <c r="O1876" s="32">
        <v>542</v>
      </c>
      <c r="P1876" s="29" cm="1">
        <f t="array" ref="P1876">IF(表成绩单[[#This Row],[语文]]="","",SUMPRODUCT((表成绩单[考试日期]=表成绩单[[#This Row],[考试日期]])*(表成绩单[语文]&lt;9E+307)*(表成绩单[语文]&gt;表成绩单[[#This Row],[语文]]))+1)</f>
        <v>581</v>
      </c>
      <c r="Q1876" s="29" cm="1">
        <f t="array" ref="Q1876">IF(表成绩单[[#This Row],[数学]]="","",SUMPRODUCT((表成绩单[考试日期]=表成绩单[[#This Row],[考试日期]])*(表成绩单[数学]&lt;9E+307)*(表成绩单[数学]&gt;表成绩单[[#This Row],[数学]]))+1)</f>
        <v>215</v>
      </c>
      <c r="R1876" s="29" cm="1">
        <f t="array" ref="R1876">IF(表成绩单[[#This Row],[英语]]="","",SUMPRODUCT((表成绩单[考试日期]=表成绩单[[#This Row],[考试日期]])*(表成绩单[英语]&lt;9E+307)*(表成绩单[英语]&gt;表成绩单[[#This Row],[英语]]))+1)</f>
        <v>391</v>
      </c>
      <c r="S1876" s="29" cm="1">
        <f t="array" ref="S1876">IF(表成绩单[[#This Row],[物理]]="","",SUMPRODUCT((表成绩单[考试日期]=表成绩单[[#This Row],[考试日期]])*(表成绩单[物理]&lt;9E+307)*(表成绩单[物理]&gt;表成绩单[[#This Row],[物理]]))+1)</f>
        <v>197</v>
      </c>
      <c r="T1876" s="29" cm="1">
        <f t="array" ref="T1876">IF(表成绩单[[#This Row],[化学]]="","",SUMPRODUCT((表成绩单[考试日期]=表成绩单[[#This Row],[考试日期]])*(表成绩单[化学]&lt;9E+307)*(表成绩单[化学]&gt;表成绩单[[#This Row],[化学]]))+1)</f>
        <v>297</v>
      </c>
      <c r="U1876" s="29" cm="1">
        <f t="array" ref="U1876">IF(表成绩单[[#This Row],[政治]]="","",SUMPRODUCT((表成绩单[考试日期]=表成绩单[[#This Row],[考试日期]])*(表成绩单[政治]&lt;9E+307)*(表成绩单[政治]&gt;表成绩单[[#This Row],[政治]]))+1)</f>
        <v>168</v>
      </c>
      <c r="V1876" s="29" cm="1">
        <f t="array" ref="V1876">IF(表成绩单[[#This Row],[历史]]="","",SUMPRODUCT((表成绩单[考试日期]=表成绩单[[#This Row],[考试日期]])*(表成绩单[历史]&lt;9E+307)*(表成绩单[历史]&gt;表成绩单[[#This Row],[历史]]))+1)</f>
        <v>169</v>
      </c>
      <c r="W1876" s="29" cm="1">
        <f t="array" ref="W1876">IF(表成绩单[[#This Row],[总分]]="","",SUMPRODUCT((表成绩单[考试日期]=表成绩单[[#This Row],[考试日期]])*(表成绩单[总分]&lt;9E+307)*(表成绩单[总分]&gt;表成绩单[[#This Row],[总分]]))+1)</f>
        <v>269</v>
      </c>
    </row>
    <row r="1877" ht="28" customHeight="1" spans="4:23">
      <c r="D1877" s="31">
        <v>46030</v>
      </c>
      <c r="E1877" s="29">
        <v>19175636</v>
      </c>
      <c r="F1877" s="29" t="s">
        <v>66</v>
      </c>
      <c r="G1877" s="29" t="s">
        <v>285</v>
      </c>
      <c r="H1877" s="29">
        <v>109</v>
      </c>
      <c r="I1877" s="29">
        <v>80</v>
      </c>
      <c r="J1877" s="29">
        <v>74.5</v>
      </c>
      <c r="K1877" s="29">
        <v>64</v>
      </c>
      <c r="L1877" s="29">
        <v>67</v>
      </c>
      <c r="M1877" s="29">
        <v>75</v>
      </c>
      <c r="N1877" s="29">
        <v>72</v>
      </c>
      <c r="O1877" s="32">
        <v>541.5</v>
      </c>
      <c r="P1877" s="29" cm="1">
        <f t="array" ref="P1877">IF(表成绩单[[#This Row],[语文]]="","",SUMPRODUCT((表成绩单[考试日期]=表成绩单[[#This Row],[考试日期]])*(表成绩单[语文]&lt;9E+307)*(表成绩单[语文]&gt;表成绩单[[#This Row],[语文]]))+1)</f>
        <v>19</v>
      </c>
      <c r="Q1877" s="29" cm="1">
        <f t="array" ref="Q1877">IF(表成绩单[[#This Row],[数学]]="","",SUMPRODUCT((表成绩单[考试日期]=表成绩单[[#This Row],[考试日期]])*(表成绩单[数学]&lt;9E+307)*(表成绩单[数学]&gt;表成绩单[[#This Row],[数学]]))+1)</f>
        <v>412</v>
      </c>
      <c r="R1877" s="29" cm="1">
        <f t="array" ref="R1877">IF(表成绩单[[#This Row],[英语]]="","",SUMPRODUCT((表成绩单[考试日期]=表成绩单[[#This Row],[考试日期]])*(表成绩单[英语]&lt;9E+307)*(表成绩单[英语]&gt;表成绩单[[#This Row],[英语]]))+1)</f>
        <v>181</v>
      </c>
      <c r="S1877" s="29" cm="1">
        <f t="array" ref="S1877">IF(表成绩单[[#This Row],[物理]]="","",SUMPRODUCT((表成绩单[考试日期]=表成绩单[[#This Row],[考试日期]])*(表成绩单[物理]&lt;9E+307)*(表成绩单[物理]&gt;表成绩单[[#This Row],[物理]]))+1)</f>
        <v>441</v>
      </c>
      <c r="T1877" s="29" cm="1">
        <f t="array" ref="T1877">IF(表成绩单[[#This Row],[化学]]="","",SUMPRODUCT((表成绩单[考试日期]=表成绩单[[#This Row],[考试日期]])*(表成绩单[化学]&lt;9E+307)*(表成绩单[化学]&gt;表成绩单[[#This Row],[化学]]))+1)</f>
        <v>381</v>
      </c>
      <c r="U1877" s="29" cm="1">
        <f t="array" ref="U1877">IF(表成绩单[[#This Row],[政治]]="","",SUMPRODUCT((表成绩单[考试日期]=表成绩单[[#This Row],[考试日期]])*(表成绩单[政治]&lt;9E+307)*(表成绩单[政治]&gt;表成绩单[[#This Row],[政治]]))+1)</f>
        <v>137</v>
      </c>
      <c r="V1877" s="29" cm="1">
        <f t="array" ref="V1877">IF(表成绩单[[#This Row],[历史]]="","",SUMPRODUCT((表成绩单[考试日期]=表成绩单[[#This Row],[考试日期]])*(表成绩单[历史]&lt;9E+307)*(表成绩单[历史]&gt;表成绩单[[#This Row],[历史]]))+1)</f>
        <v>266</v>
      </c>
      <c r="W1877" s="29" cm="1">
        <f t="array" ref="W1877">IF(表成绩单[[#This Row],[总分]]="","",SUMPRODUCT((表成绩单[考试日期]=表成绩单[[#This Row],[考试日期]])*(表成绩单[总分]&lt;9E+307)*(表成绩单[总分]&gt;表成绩单[[#This Row],[总分]]))+1)</f>
        <v>271</v>
      </c>
    </row>
    <row r="1878" ht="28" customHeight="1" spans="4:23">
      <c r="D1878" s="31">
        <v>46030</v>
      </c>
      <c r="E1878" s="29">
        <v>19175678</v>
      </c>
      <c r="F1878" s="29" t="s">
        <v>72</v>
      </c>
      <c r="G1878" s="29" t="s">
        <v>428</v>
      </c>
      <c r="H1878" s="29">
        <v>85</v>
      </c>
      <c r="I1878" s="29">
        <v>91</v>
      </c>
      <c r="J1878" s="29">
        <v>68.5</v>
      </c>
      <c r="K1878" s="29">
        <v>86</v>
      </c>
      <c r="L1878" s="29">
        <v>73</v>
      </c>
      <c r="M1878" s="29">
        <v>71</v>
      </c>
      <c r="N1878" s="29">
        <v>67</v>
      </c>
      <c r="O1878" s="32">
        <v>541.5</v>
      </c>
      <c r="P1878" s="29" cm="1">
        <f t="array" ref="P1878">IF(表成绩单[[#This Row],[语文]]="","",SUMPRODUCT((表成绩单[考试日期]=表成绩单[[#This Row],[考试日期]])*(表成绩单[语文]&lt;9E+307)*(表成绩单[语文]&gt;表成绩单[[#This Row],[语文]]))+1)</f>
        <v>619</v>
      </c>
      <c r="Q1878" s="29" cm="1">
        <f t="array" ref="Q1878">IF(表成绩单[[#This Row],[数学]]="","",SUMPRODUCT((表成绩单[考试日期]=表成绩单[[#This Row],[考试日期]])*(表成绩单[数学]&lt;9E+307)*(表成绩单[数学]&gt;表成绩单[[#This Row],[数学]]))+1)</f>
        <v>204</v>
      </c>
      <c r="R1878" s="29" cm="1">
        <f t="array" ref="R1878">IF(表成绩单[[#This Row],[英语]]="","",SUMPRODUCT((表成绩单[考试日期]=表成绩单[[#This Row],[考试日期]])*(表成绩单[英语]&lt;9E+307)*(表成绩单[英语]&gt;表成绩单[[#This Row],[英语]]))+1)</f>
        <v>351</v>
      </c>
      <c r="S1878" s="29" cm="1">
        <f t="array" ref="S1878">IF(表成绩单[[#This Row],[物理]]="","",SUMPRODUCT((表成绩单[考试日期]=表成绩单[[#This Row],[考试日期]])*(表成绩单[物理]&lt;9E+307)*(表成绩单[物理]&gt;表成绩单[[#This Row],[物理]]))+1)</f>
        <v>42</v>
      </c>
      <c r="T1878" s="29" cm="1">
        <f t="array" ref="T1878">IF(表成绩单[[#This Row],[化学]]="","",SUMPRODUCT((表成绩单[考试日期]=表成绩单[[#This Row],[考试日期]])*(表成绩单[化学]&lt;9E+307)*(表成绩单[化学]&gt;表成绩单[[#This Row],[化学]]))+1)</f>
        <v>236</v>
      </c>
      <c r="U1878" s="29" cm="1">
        <f t="array" ref="U1878">IF(表成绩单[[#This Row],[政治]]="","",SUMPRODUCT((表成绩单[考试日期]=表成绩单[[#This Row],[考试日期]])*(表成绩单[政治]&lt;9E+307)*(表成绩单[政治]&gt;表成绩单[[#This Row],[政治]]))+1)</f>
        <v>248</v>
      </c>
      <c r="V1878" s="29" cm="1">
        <f t="array" ref="V1878">IF(表成绩单[[#This Row],[历史]]="","",SUMPRODUCT((表成绩单[考试日期]=表成绩单[[#This Row],[考试日期]])*(表成绩单[历史]&lt;9E+307)*(表成绩单[历史]&gt;表成绩单[[#This Row],[历史]]))+1)</f>
        <v>415</v>
      </c>
      <c r="W1878" s="29" cm="1">
        <f t="array" ref="W1878">IF(表成绩单[[#This Row],[总分]]="","",SUMPRODUCT((表成绩单[考试日期]=表成绩单[[#This Row],[考试日期]])*(表成绩单[总分]&lt;9E+307)*(表成绩单[总分]&gt;表成绩单[[#This Row],[总分]]))+1)</f>
        <v>271</v>
      </c>
    </row>
    <row r="1879" ht="28" customHeight="1" spans="4:23">
      <c r="D1879" s="31">
        <v>46030</v>
      </c>
      <c r="E1879" s="29">
        <v>19176863</v>
      </c>
      <c r="F1879" s="29" t="s">
        <v>71</v>
      </c>
      <c r="G1879" s="29" t="s">
        <v>538</v>
      </c>
      <c r="H1879" s="29">
        <v>99</v>
      </c>
      <c r="I1879" s="29">
        <v>88</v>
      </c>
      <c r="J1879" s="29">
        <v>68</v>
      </c>
      <c r="K1879" s="29">
        <v>73</v>
      </c>
      <c r="L1879" s="29">
        <v>67</v>
      </c>
      <c r="M1879" s="29">
        <v>68</v>
      </c>
      <c r="N1879" s="29">
        <v>78</v>
      </c>
      <c r="O1879" s="32">
        <v>541</v>
      </c>
      <c r="P1879" s="29" cm="1">
        <f t="array" ref="P1879">IF(表成绩单[[#This Row],[语文]]="","",SUMPRODUCT((表成绩单[考试日期]=表成绩单[[#This Row],[考试日期]])*(表成绩单[语文]&lt;9E+307)*(表成绩单[语文]&gt;表成绩单[[#This Row],[语文]]))+1)</f>
        <v>213</v>
      </c>
      <c r="Q1879" s="29" cm="1">
        <f t="array" ref="Q1879">IF(表成绩单[[#This Row],[数学]]="","",SUMPRODUCT((表成绩单[考试日期]=表成绩单[[#This Row],[考试日期]])*(表成绩单[数学]&lt;9E+307)*(表成绩单[数学]&gt;表成绩单[[#This Row],[数学]]))+1)</f>
        <v>245</v>
      </c>
      <c r="R1879" s="29" cm="1">
        <f t="array" ref="R1879">IF(表成绩单[[#This Row],[英语]]="","",SUMPRODUCT((表成绩单[考试日期]=表成绩单[[#This Row],[考试日期]])*(表成绩单[英语]&lt;9E+307)*(表成绩单[英语]&gt;表成绩单[[#This Row],[英语]]))+1)</f>
        <v>364</v>
      </c>
      <c r="S1879" s="29" cm="1">
        <f t="array" ref="S1879">IF(表成绩单[[#This Row],[物理]]="","",SUMPRODUCT((表成绩单[考试日期]=表成绩单[[#This Row],[考试日期]])*(表成绩单[物理]&lt;9E+307)*(表成绩单[物理]&gt;表成绩单[[#This Row],[物理]]))+1)</f>
        <v>271</v>
      </c>
      <c r="T1879" s="29" cm="1">
        <f t="array" ref="T1879">IF(表成绩单[[#This Row],[化学]]="","",SUMPRODUCT((表成绩单[考试日期]=表成绩单[[#This Row],[考试日期]])*(表成绩单[化学]&lt;9E+307)*(表成绩单[化学]&gt;表成绩单[[#This Row],[化学]]))+1)</f>
        <v>381</v>
      </c>
      <c r="U1879" s="29" cm="1">
        <f t="array" ref="U1879">IF(表成绩单[[#This Row],[政治]]="","",SUMPRODUCT((表成绩单[考试日期]=表成绩单[[#This Row],[考试日期]])*(表成绩单[政治]&lt;9E+307)*(表成绩单[政治]&gt;表成绩单[[#This Row],[政治]]))+1)</f>
        <v>336</v>
      </c>
      <c r="V1879" s="29" cm="1">
        <f t="array" ref="V1879">IF(表成绩单[[#This Row],[历史]]="","",SUMPRODUCT((表成绩单[考试日期]=表成绩单[[#This Row],[考试日期]])*(表成绩单[历史]&lt;9E+307)*(表成绩单[历史]&gt;表成绩单[[#This Row],[历史]]))+1)</f>
        <v>126</v>
      </c>
      <c r="W1879" s="29" cm="1">
        <f t="array" ref="W1879">IF(表成绩单[[#This Row],[总分]]="","",SUMPRODUCT((表成绩单[考试日期]=表成绩单[[#This Row],[考试日期]])*(表成绩单[总分]&lt;9E+307)*(表成绩单[总分]&gt;表成绩单[[#This Row],[总分]]))+1)</f>
        <v>273</v>
      </c>
    </row>
    <row r="1880" ht="28" customHeight="1" spans="4:23">
      <c r="D1880" s="31">
        <v>46030</v>
      </c>
      <c r="E1880" s="29">
        <v>19178626</v>
      </c>
      <c r="F1880" s="29" t="s">
        <v>25</v>
      </c>
      <c r="G1880" s="29" t="s">
        <v>413</v>
      </c>
      <c r="H1880" s="29">
        <v>96</v>
      </c>
      <c r="I1880" s="29">
        <v>87</v>
      </c>
      <c r="J1880" s="29">
        <v>71</v>
      </c>
      <c r="K1880" s="29">
        <v>65</v>
      </c>
      <c r="L1880" s="29">
        <v>73</v>
      </c>
      <c r="M1880" s="29">
        <v>75</v>
      </c>
      <c r="N1880" s="29">
        <v>74</v>
      </c>
      <c r="O1880" s="32">
        <v>541</v>
      </c>
      <c r="P1880" s="29" cm="1">
        <f t="array" ref="P1880">IF(表成绩单[[#This Row],[语文]]="","",SUMPRODUCT((表成绩单[考试日期]=表成绩单[[#This Row],[考试日期]])*(表成绩单[语文]&lt;9E+307)*(表成绩单[语文]&gt;表成绩单[[#This Row],[语文]]))+1)</f>
        <v>315</v>
      </c>
      <c r="Q1880" s="29" cm="1">
        <f t="array" ref="Q1880">IF(表成绩单[[#This Row],[数学]]="","",SUMPRODUCT((表成绩单[考试日期]=表成绩单[[#This Row],[考试日期]])*(表成绩单[数学]&lt;9E+307)*(表成绩单[数学]&gt;表成绩单[[#This Row],[数学]]))+1)</f>
        <v>270</v>
      </c>
      <c r="R1880" s="29" cm="1">
        <f t="array" ref="R1880">IF(表成绩单[[#This Row],[英语]]="","",SUMPRODUCT((表成绩单[考试日期]=表成绩单[[#This Row],[考试日期]])*(表成绩单[英语]&lt;9E+307)*(表成绩单[英语]&gt;表成绩单[[#This Row],[英语]]))+1)</f>
        <v>281</v>
      </c>
      <c r="S1880" s="29" cm="1">
        <f t="array" ref="S1880">IF(表成绩单[[#This Row],[物理]]="","",SUMPRODUCT((表成绩单[考试日期]=表成绩单[[#This Row],[考试日期]])*(表成绩单[物理]&lt;9E+307)*(表成绩单[物理]&gt;表成绩单[[#This Row],[物理]]))+1)</f>
        <v>427</v>
      </c>
      <c r="T1880" s="29" cm="1">
        <f t="array" ref="T1880">IF(表成绩单[[#This Row],[化学]]="","",SUMPRODUCT((表成绩单[考试日期]=表成绩单[[#This Row],[考试日期]])*(表成绩单[化学]&lt;9E+307)*(表成绩单[化学]&gt;表成绩单[[#This Row],[化学]]))+1)</f>
        <v>236</v>
      </c>
      <c r="U1880" s="29" cm="1">
        <f t="array" ref="U1880">IF(表成绩单[[#This Row],[政治]]="","",SUMPRODUCT((表成绩单[考试日期]=表成绩单[[#This Row],[考试日期]])*(表成绩单[政治]&lt;9E+307)*(表成绩单[政治]&gt;表成绩单[[#This Row],[政治]]))+1)</f>
        <v>137</v>
      </c>
      <c r="V1880" s="29" cm="1">
        <f t="array" ref="V1880">IF(表成绩单[[#This Row],[历史]]="","",SUMPRODUCT((表成绩单[考试日期]=表成绩单[[#This Row],[考试日期]])*(表成绩单[历史]&lt;9E+307)*(表成绩单[历史]&gt;表成绩单[[#This Row],[历史]]))+1)</f>
        <v>215</v>
      </c>
      <c r="W1880" s="29" cm="1">
        <f t="array" ref="W1880">IF(表成绩单[[#This Row],[总分]]="","",SUMPRODUCT((表成绩单[考试日期]=表成绩单[[#This Row],[考试日期]])*(表成绩单[总分]&lt;9E+307)*(表成绩单[总分]&gt;表成绩单[[#This Row],[总分]]))+1)</f>
        <v>273</v>
      </c>
    </row>
    <row r="1881" ht="28" customHeight="1" spans="4:23">
      <c r="D1881" s="31">
        <v>46030</v>
      </c>
      <c r="E1881" s="29">
        <v>26750491</v>
      </c>
      <c r="F1881" s="29" t="s">
        <v>66</v>
      </c>
      <c r="G1881" s="29" t="s">
        <v>482</v>
      </c>
      <c r="H1881" s="29">
        <v>90</v>
      </c>
      <c r="I1881" s="29">
        <v>84</v>
      </c>
      <c r="J1881" s="29">
        <v>68</v>
      </c>
      <c r="K1881" s="29">
        <v>78</v>
      </c>
      <c r="L1881" s="29">
        <v>77</v>
      </c>
      <c r="M1881" s="29">
        <v>71</v>
      </c>
      <c r="N1881" s="29">
        <v>73</v>
      </c>
      <c r="O1881" s="32">
        <v>541</v>
      </c>
      <c r="P1881" s="29" cm="1">
        <f t="array" ref="P1881">IF(表成绩单[[#This Row],[语文]]="","",SUMPRODUCT((表成绩单[考试日期]=表成绩单[[#This Row],[考试日期]])*(表成绩单[语文]&lt;9E+307)*(表成绩单[语文]&gt;表成绩单[[#This Row],[语文]]))+1)</f>
        <v>509</v>
      </c>
      <c r="Q1881" s="29" cm="1">
        <f t="array" ref="Q1881">IF(表成绩单[[#This Row],[数学]]="","",SUMPRODUCT((表成绩单[考试日期]=表成绩单[[#This Row],[考试日期]])*(表成绩单[数学]&lt;9E+307)*(表成绩单[数学]&gt;表成绩单[[#This Row],[数学]]))+1)</f>
        <v>343</v>
      </c>
      <c r="R1881" s="29" cm="1">
        <f t="array" ref="R1881">IF(表成绩单[[#This Row],[英语]]="","",SUMPRODUCT((表成绩单[考试日期]=表成绩单[[#This Row],[考试日期]])*(表成绩单[英语]&lt;9E+307)*(表成绩单[英语]&gt;表成绩单[[#This Row],[英语]]))+1)</f>
        <v>364</v>
      </c>
      <c r="S1881" s="29" cm="1">
        <f t="array" ref="S1881">IF(表成绩单[[#This Row],[物理]]="","",SUMPRODUCT((表成绩单[考试日期]=表成绩单[[#This Row],[考试日期]])*(表成绩单[物理]&lt;9E+307)*(表成绩单[物理]&gt;表成绩单[[#This Row],[物理]]))+1)</f>
        <v>178</v>
      </c>
      <c r="T1881" s="29" cm="1">
        <f t="array" ref="T1881">IF(表成绩单[[#This Row],[化学]]="","",SUMPRODUCT((表成绩单[考试日期]=表成绩单[[#This Row],[考试日期]])*(表成绩单[化学]&lt;9E+307)*(表成绩单[化学]&gt;表成绩单[[#This Row],[化学]]))+1)</f>
        <v>116</v>
      </c>
      <c r="U1881" s="29" cm="1">
        <f t="array" ref="U1881">IF(表成绩单[[#This Row],[政治]]="","",SUMPRODUCT((表成绩单[考试日期]=表成绩单[[#This Row],[考试日期]])*(表成绩单[政治]&lt;9E+307)*(表成绩单[政治]&gt;表成绩单[[#This Row],[政治]]))+1)</f>
        <v>248</v>
      </c>
      <c r="V1881" s="29" cm="1">
        <f t="array" ref="V1881">IF(表成绩单[[#This Row],[历史]]="","",SUMPRODUCT((表成绩单[考试日期]=表成绩单[[#This Row],[考试日期]])*(表成绩单[历史]&lt;9E+307)*(表成绩单[历史]&gt;表成绩单[[#This Row],[历史]]))+1)</f>
        <v>240</v>
      </c>
      <c r="W1881" s="29" cm="1">
        <f t="array" ref="W1881">IF(表成绩单[[#This Row],[总分]]="","",SUMPRODUCT((表成绩单[考试日期]=表成绩单[[#This Row],[考试日期]])*(表成绩单[总分]&lt;9E+307)*(表成绩单[总分]&gt;表成绩单[[#This Row],[总分]]))+1)</f>
        <v>273</v>
      </c>
    </row>
    <row r="1882" ht="28" customHeight="1" spans="4:23">
      <c r="D1882" s="31">
        <v>46030</v>
      </c>
      <c r="E1882" s="29">
        <v>19174452</v>
      </c>
      <c r="F1882" s="29" t="s">
        <v>73</v>
      </c>
      <c r="G1882" s="29" t="s">
        <v>210</v>
      </c>
      <c r="H1882" s="29">
        <v>89</v>
      </c>
      <c r="I1882" s="29">
        <v>86</v>
      </c>
      <c r="J1882" s="29">
        <v>77.5</v>
      </c>
      <c r="K1882" s="29">
        <v>75</v>
      </c>
      <c r="L1882" s="29">
        <v>79</v>
      </c>
      <c r="M1882" s="29">
        <v>70</v>
      </c>
      <c r="N1882" s="29">
        <v>64</v>
      </c>
      <c r="O1882" s="32">
        <v>540.5</v>
      </c>
      <c r="P1882" s="29" cm="1">
        <f t="array" ref="P1882">IF(表成绩单[[#This Row],[语文]]="","",SUMPRODUCT((表成绩单[考试日期]=表成绩单[[#This Row],[考试日期]])*(表成绩单[语文]&lt;9E+307)*(表成绩单[语文]&gt;表成绩单[[#This Row],[语文]]))+1)</f>
        <v>540</v>
      </c>
      <c r="Q1882" s="29" cm="1">
        <f t="array" ref="Q1882">IF(表成绩单[[#This Row],[数学]]="","",SUMPRODUCT((表成绩单[考试日期]=表成绩单[[#This Row],[考试日期]])*(表成绩单[数学]&lt;9E+307)*(表成绩单[数学]&gt;表成绩单[[#This Row],[数学]]))+1)</f>
        <v>302</v>
      </c>
      <c r="R1882" s="29" cm="1">
        <f t="array" ref="R1882">IF(表成绩单[[#This Row],[英语]]="","",SUMPRODUCT((表成绩单[考试日期]=表成绩单[[#This Row],[考试日期]])*(表成绩单[英语]&lt;9E+307)*(表成绩单[英语]&gt;表成绩单[[#This Row],[英语]]))+1)</f>
        <v>89</v>
      </c>
      <c r="S1882" s="29" cm="1">
        <f t="array" ref="S1882">IF(表成绩单[[#This Row],[物理]]="","",SUMPRODUCT((表成绩单[考试日期]=表成绩单[[#This Row],[考试日期]])*(表成绩单[物理]&lt;9E+307)*(表成绩单[物理]&gt;表成绩单[[#This Row],[物理]]))+1)</f>
        <v>241</v>
      </c>
      <c r="T1882" s="29" cm="1">
        <f t="array" ref="T1882">IF(表成绩单[[#This Row],[化学]]="","",SUMPRODUCT((表成绩单[考试日期]=表成绩单[[#This Row],[考试日期]])*(表成绩单[化学]&lt;9E+307)*(表成绩单[化学]&gt;表成绩单[[#This Row],[化学]]))+1)</f>
        <v>77</v>
      </c>
      <c r="U1882" s="29" cm="1">
        <f t="array" ref="U1882">IF(表成绩单[[#This Row],[政治]]="","",SUMPRODUCT((表成绩单[考试日期]=表成绩单[[#This Row],[考试日期]])*(表成绩单[政治]&lt;9E+307)*(表成绩单[政治]&gt;表成绩单[[#This Row],[政治]]))+1)</f>
        <v>274</v>
      </c>
      <c r="V1882" s="29" cm="1">
        <f t="array" ref="V1882">IF(表成绩单[[#This Row],[历史]]="","",SUMPRODUCT((表成绩单[考试日期]=表成绩单[[#This Row],[考试日期]])*(表成绩单[历史]&lt;9E+307)*(表成绩单[历史]&gt;表成绩单[[#This Row],[历史]]))+1)</f>
        <v>509</v>
      </c>
      <c r="W1882" s="29" cm="1">
        <f t="array" ref="W1882">IF(表成绩单[[#This Row],[总分]]="","",SUMPRODUCT((表成绩单[考试日期]=表成绩单[[#This Row],[考试日期]])*(表成绩单[总分]&lt;9E+307)*(表成绩单[总分]&gt;表成绩单[[#This Row],[总分]]))+1)</f>
        <v>276</v>
      </c>
    </row>
    <row r="1883" ht="28" customHeight="1" spans="4:23">
      <c r="D1883" s="31">
        <v>46030</v>
      </c>
      <c r="E1883" s="29">
        <v>19176872</v>
      </c>
      <c r="F1883" s="29" t="s">
        <v>71</v>
      </c>
      <c r="G1883" s="29" t="s">
        <v>329</v>
      </c>
      <c r="H1883" s="29">
        <v>104</v>
      </c>
      <c r="I1883" s="29">
        <v>87</v>
      </c>
      <c r="J1883" s="29">
        <v>69.5</v>
      </c>
      <c r="K1883" s="29">
        <v>61</v>
      </c>
      <c r="L1883" s="29">
        <v>74</v>
      </c>
      <c r="M1883" s="29">
        <v>73</v>
      </c>
      <c r="N1883" s="29">
        <v>72</v>
      </c>
      <c r="O1883" s="32">
        <v>540.5</v>
      </c>
      <c r="P1883" s="29" cm="1">
        <f t="array" ref="P1883">IF(表成绩单[[#This Row],[语文]]="","",SUMPRODUCT((表成绩单[考试日期]=表成绩单[[#This Row],[考试日期]])*(表成绩单[语文]&lt;9E+307)*(表成绩单[语文]&gt;表成绩单[[#This Row],[语文]]))+1)</f>
        <v>82</v>
      </c>
      <c r="Q1883" s="29" cm="1">
        <f t="array" ref="Q1883">IF(表成绩单[[#This Row],[数学]]="","",SUMPRODUCT((表成绩单[考试日期]=表成绩单[[#This Row],[考试日期]])*(表成绩单[数学]&lt;9E+307)*(表成绩单[数学]&gt;表成绩单[[#This Row],[数学]]))+1)</f>
        <v>270</v>
      </c>
      <c r="R1883" s="29" cm="1">
        <f t="array" ref="R1883">IF(表成绩单[[#This Row],[英语]]="","",SUMPRODUCT((表成绩单[考试日期]=表成绩单[[#This Row],[考试日期]])*(表成绩单[英语]&lt;9E+307)*(表成绩单[英语]&gt;表成绩单[[#This Row],[英语]]))+1)</f>
        <v>330</v>
      </c>
      <c r="S1883" s="29" cm="1">
        <f t="array" ref="S1883">IF(表成绩单[[#This Row],[物理]]="","",SUMPRODUCT((表成绩单[考试日期]=表成绩单[[#This Row],[考试日期]])*(表成绩单[物理]&lt;9E+307)*(表成绩单[物理]&gt;表成绩单[[#This Row],[物理]]))+1)</f>
        <v>482</v>
      </c>
      <c r="T1883" s="29" cm="1">
        <f t="array" ref="T1883">IF(表成绩单[[#This Row],[化学]]="","",SUMPRODUCT((表成绩单[考试日期]=表成绩单[[#This Row],[考试日期]])*(表成绩单[化学]&lt;9E+307)*(表成绩单[化学]&gt;表成绩单[[#This Row],[化学]]))+1)</f>
        <v>208</v>
      </c>
      <c r="U1883" s="29" cm="1">
        <f t="array" ref="U1883">IF(表成绩单[[#This Row],[政治]]="","",SUMPRODUCT((表成绩单[考试日期]=表成绩单[[#This Row],[考试日期]])*(表成绩单[政治]&lt;9E+307)*(表成绩单[政治]&gt;表成绩单[[#This Row],[政治]]))+1)</f>
        <v>197</v>
      </c>
      <c r="V1883" s="29" cm="1">
        <f t="array" ref="V1883">IF(表成绩单[[#This Row],[历史]]="","",SUMPRODUCT((表成绩单[考试日期]=表成绩单[[#This Row],[考试日期]])*(表成绩单[历史]&lt;9E+307)*(表成绩单[历史]&gt;表成绩单[[#This Row],[历史]]))+1)</f>
        <v>266</v>
      </c>
      <c r="W1883" s="29" cm="1">
        <f t="array" ref="W1883">IF(表成绩单[[#This Row],[总分]]="","",SUMPRODUCT((表成绩单[考试日期]=表成绩单[[#This Row],[考试日期]])*(表成绩单[总分]&lt;9E+307)*(表成绩单[总分]&gt;表成绩单[[#This Row],[总分]]))+1)</f>
        <v>276</v>
      </c>
    </row>
    <row r="1884" ht="28" customHeight="1" spans="4:23">
      <c r="D1884" s="31">
        <v>46030</v>
      </c>
      <c r="E1884" s="29">
        <v>19175297</v>
      </c>
      <c r="F1884" s="29" t="s">
        <v>55</v>
      </c>
      <c r="G1884" s="29" t="s">
        <v>376</v>
      </c>
      <c r="H1884" s="29">
        <v>93</v>
      </c>
      <c r="I1884" s="29">
        <v>93</v>
      </c>
      <c r="J1884" s="29">
        <v>63</v>
      </c>
      <c r="K1884" s="29">
        <v>77</v>
      </c>
      <c r="L1884" s="29">
        <v>76</v>
      </c>
      <c r="M1884" s="29">
        <v>66</v>
      </c>
      <c r="N1884" s="29">
        <v>72</v>
      </c>
      <c r="O1884" s="32">
        <v>540</v>
      </c>
      <c r="P1884" s="29" cm="1">
        <f t="array" ref="P1884">IF(表成绩单[[#This Row],[语文]]="","",SUMPRODUCT((表成绩单[考试日期]=表成绩单[[#This Row],[考试日期]])*(表成绩单[语文]&lt;9E+307)*(表成绩单[语文]&gt;表成绩单[[#This Row],[语文]]))+1)</f>
        <v>412</v>
      </c>
      <c r="Q1884" s="29" cm="1">
        <f t="array" ref="Q1884">IF(表成绩单[[#This Row],[数学]]="","",SUMPRODUCT((表成绩单[考试日期]=表成绩单[[#This Row],[考试日期]])*(表成绩单[数学]&lt;9E+307)*(表成绩单[数学]&gt;表成绩单[[#This Row],[数学]]))+1)</f>
        <v>188</v>
      </c>
      <c r="R1884" s="29" cm="1">
        <f t="array" ref="R1884">IF(表成绩单[[#This Row],[英语]]="","",SUMPRODUCT((表成绩单[考试日期]=表成绩单[[#This Row],[考试日期]])*(表成绩单[英语]&lt;9E+307)*(表成绩单[英语]&gt;表成绩单[[#This Row],[英语]]))+1)</f>
        <v>471</v>
      </c>
      <c r="S1884" s="29" cm="1">
        <f t="array" ref="S1884">IF(表成绩单[[#This Row],[物理]]="","",SUMPRODUCT((表成绩单[考试日期]=表成绩单[[#This Row],[考试日期]])*(表成绩单[物理]&lt;9E+307)*(表成绩单[物理]&gt;表成绩单[[#This Row],[物理]]))+1)</f>
        <v>197</v>
      </c>
      <c r="T1884" s="29" cm="1">
        <f t="array" ref="T1884">IF(表成绩单[[#This Row],[化学]]="","",SUMPRODUCT((表成绩单[考试日期]=表成绩单[[#This Row],[考试日期]])*(表成绩单[化学]&lt;9E+307)*(表成绩单[化学]&gt;表成绩单[[#This Row],[化学]]))+1)</f>
        <v>139</v>
      </c>
      <c r="U1884" s="29" cm="1">
        <f t="array" ref="U1884">IF(表成绩单[[#This Row],[政治]]="","",SUMPRODUCT((表成绩单[考试日期]=表成绩单[[#This Row],[考试日期]])*(表成绩单[政治]&lt;9E+307)*(表成绩单[政治]&gt;表成绩单[[#This Row],[政治]]))+1)</f>
        <v>397</v>
      </c>
      <c r="V1884" s="29" cm="1">
        <f t="array" ref="V1884">IF(表成绩单[[#This Row],[历史]]="","",SUMPRODUCT((表成绩单[考试日期]=表成绩单[[#This Row],[考试日期]])*(表成绩单[历史]&lt;9E+307)*(表成绩单[历史]&gt;表成绩单[[#This Row],[历史]]))+1)</f>
        <v>266</v>
      </c>
      <c r="W1884" s="29" cm="1">
        <f t="array" ref="W1884">IF(表成绩单[[#This Row],[总分]]="","",SUMPRODUCT((表成绩单[考试日期]=表成绩单[[#This Row],[考试日期]])*(表成绩单[总分]&lt;9E+307)*(表成绩单[总分]&gt;表成绩单[[#This Row],[总分]]))+1)</f>
        <v>278</v>
      </c>
    </row>
    <row r="1885" ht="28" customHeight="1" spans="4:23">
      <c r="D1885" s="31">
        <v>46030</v>
      </c>
      <c r="E1885" s="29">
        <v>19175707</v>
      </c>
      <c r="F1885" s="29" t="s">
        <v>72</v>
      </c>
      <c r="G1885" s="29" t="s">
        <v>345</v>
      </c>
      <c r="H1885" s="29">
        <v>97</v>
      </c>
      <c r="I1885" s="29">
        <v>81</v>
      </c>
      <c r="J1885" s="29">
        <v>68</v>
      </c>
      <c r="K1885" s="29">
        <v>76</v>
      </c>
      <c r="L1885" s="29">
        <v>68</v>
      </c>
      <c r="M1885" s="29">
        <v>74</v>
      </c>
      <c r="N1885" s="29">
        <v>76</v>
      </c>
      <c r="O1885" s="32">
        <v>540</v>
      </c>
      <c r="P1885" s="29" cm="1">
        <f t="array" ref="P1885">IF(表成绩单[[#This Row],[语文]]="","",SUMPRODUCT((表成绩单[考试日期]=表成绩单[[#This Row],[考试日期]])*(表成绩单[语文]&lt;9E+307)*(表成绩单[语文]&gt;表成绩单[[#This Row],[语文]]))+1)</f>
        <v>291</v>
      </c>
      <c r="Q1885" s="29" cm="1">
        <f t="array" ref="Q1885">IF(表成绩单[[#This Row],[数学]]="","",SUMPRODUCT((表成绩单[考试日期]=表成绩单[[#This Row],[考试日期]])*(表成绩单[数学]&lt;9E+307)*(表成绩单[数学]&gt;表成绩单[[#This Row],[数学]]))+1)</f>
        <v>396</v>
      </c>
      <c r="R1885" s="29" cm="1">
        <f t="array" ref="R1885">IF(表成绩单[[#This Row],[英语]]="","",SUMPRODUCT((表成绩单[考试日期]=表成绩单[[#This Row],[考试日期]])*(表成绩单[英语]&lt;9E+307)*(表成绩单[英语]&gt;表成绩单[[#This Row],[英语]]))+1)</f>
        <v>364</v>
      </c>
      <c r="S1885" s="29" cm="1">
        <f t="array" ref="S1885">IF(表成绩单[[#This Row],[物理]]="","",SUMPRODUCT((表成绩单[考试日期]=表成绩单[[#This Row],[考试日期]])*(表成绩单[物理]&lt;9E+307)*(表成绩单[物理]&gt;表成绩单[[#This Row],[物理]]))+1)</f>
        <v>218</v>
      </c>
      <c r="T1885" s="29" cm="1">
        <f t="array" ref="T1885">IF(表成绩单[[#This Row],[化学]]="","",SUMPRODUCT((表成绩单[考试日期]=表成绩单[[#This Row],[考试日期]])*(表成绩单[化学]&lt;9E+307)*(表成绩单[化学]&gt;表成绩单[[#This Row],[化学]]))+1)</f>
        <v>358</v>
      </c>
      <c r="U1885" s="29" cm="1">
        <f t="array" ref="U1885">IF(表成绩单[[#This Row],[政治]]="","",SUMPRODUCT((表成绩单[考试日期]=表成绩单[[#This Row],[考试日期]])*(表成绩单[政治]&lt;9E+307)*(表成绩单[政治]&gt;表成绩单[[#This Row],[政治]]))+1)</f>
        <v>168</v>
      </c>
      <c r="V1885" s="29" cm="1">
        <f t="array" ref="V1885">IF(表成绩单[[#This Row],[历史]]="","",SUMPRODUCT((表成绩单[考试日期]=表成绩单[[#This Row],[考试日期]])*(表成绩单[历史]&lt;9E+307)*(表成绩单[历史]&gt;表成绩单[[#This Row],[历史]]))+1)</f>
        <v>169</v>
      </c>
      <c r="W1885" s="29" cm="1">
        <f t="array" ref="W1885">IF(表成绩单[[#This Row],[总分]]="","",SUMPRODUCT((表成绩单[考试日期]=表成绩单[[#This Row],[考试日期]])*(表成绩单[总分]&lt;9E+307)*(表成绩单[总分]&gt;表成绩单[[#This Row],[总分]]))+1)</f>
        <v>278</v>
      </c>
    </row>
    <row r="1886" ht="28" customHeight="1" spans="4:23">
      <c r="D1886" s="31">
        <v>46030</v>
      </c>
      <c r="E1886" s="29">
        <v>19177206</v>
      </c>
      <c r="F1886" s="29" t="s">
        <v>70</v>
      </c>
      <c r="G1886" s="29" t="s">
        <v>351</v>
      </c>
      <c r="H1886" s="29">
        <v>100</v>
      </c>
      <c r="I1886" s="29">
        <v>87</v>
      </c>
      <c r="J1886" s="29">
        <v>76</v>
      </c>
      <c r="K1886" s="29">
        <v>68</v>
      </c>
      <c r="L1886" s="29">
        <v>66</v>
      </c>
      <c r="M1886" s="29">
        <v>75</v>
      </c>
      <c r="N1886" s="29">
        <v>68</v>
      </c>
      <c r="O1886" s="32">
        <v>540</v>
      </c>
      <c r="P1886" s="29" cm="1">
        <f t="array" ref="P1886">IF(表成绩单[[#This Row],[语文]]="","",SUMPRODUCT((表成绩单[考试日期]=表成绩单[[#This Row],[考试日期]])*(表成绩单[语文]&lt;9E+307)*(表成绩单[语文]&gt;表成绩单[[#This Row],[语文]]))+1)</f>
        <v>182</v>
      </c>
      <c r="Q1886" s="29" cm="1">
        <f t="array" ref="Q1886">IF(表成绩单[[#This Row],[数学]]="","",SUMPRODUCT((表成绩单[考试日期]=表成绩单[[#This Row],[考试日期]])*(表成绩单[数学]&lt;9E+307)*(表成绩单[数学]&gt;表成绩单[[#This Row],[数学]]))+1)</f>
        <v>270</v>
      </c>
      <c r="R1886" s="29" cm="1">
        <f t="array" ref="R1886">IF(表成绩单[[#This Row],[英语]]="","",SUMPRODUCT((表成绩单[考试日期]=表成绩单[[#This Row],[考试日期]])*(表成绩单[英语]&lt;9E+307)*(表成绩单[英语]&gt;表成绩单[[#This Row],[英语]]))+1)</f>
        <v>126</v>
      </c>
      <c r="S1886" s="29" cm="1">
        <f t="array" ref="S1886">IF(表成绩单[[#This Row],[物理]]="","",SUMPRODUCT((表成绩单[考试日期]=表成绩单[[#This Row],[考试日期]])*(表成绩单[物理]&lt;9E+307)*(表成绩单[物理]&gt;表成绩单[[#This Row],[物理]]))+1)</f>
        <v>372</v>
      </c>
      <c r="T1886" s="29" cm="1">
        <f t="array" ref="T1886">IF(表成绩单[[#This Row],[化学]]="","",SUMPRODUCT((表成绩单[考试日期]=表成绩单[[#This Row],[考试日期]])*(表成绩单[化学]&lt;9E+307)*(表成绩单[化学]&gt;表成绩单[[#This Row],[化学]]))+1)</f>
        <v>414</v>
      </c>
      <c r="U1886" s="29" cm="1">
        <f t="array" ref="U1886">IF(表成绩单[[#This Row],[政治]]="","",SUMPRODUCT((表成绩单[考试日期]=表成绩单[[#This Row],[考试日期]])*(表成绩单[政治]&lt;9E+307)*(表成绩单[政治]&gt;表成绩单[[#This Row],[政治]]))+1)</f>
        <v>137</v>
      </c>
      <c r="V1886" s="29" cm="1">
        <f t="array" ref="V1886">IF(表成绩单[[#This Row],[历史]]="","",SUMPRODUCT((表成绩单[考试日期]=表成绩单[[#This Row],[考试日期]])*(表成绩单[历史]&lt;9E+307)*(表成绩单[历史]&gt;表成绩单[[#This Row],[历史]]))+1)</f>
        <v>390</v>
      </c>
      <c r="W1886" s="29" cm="1">
        <f t="array" ref="W1886">IF(表成绩单[[#This Row],[总分]]="","",SUMPRODUCT((表成绩单[考试日期]=表成绩单[[#This Row],[考试日期]])*(表成绩单[总分]&lt;9E+307)*(表成绩单[总分]&gt;表成绩单[[#This Row],[总分]]))+1)</f>
        <v>278</v>
      </c>
    </row>
    <row r="1887" ht="28" customHeight="1" spans="4:23">
      <c r="D1887" s="31">
        <v>46030</v>
      </c>
      <c r="E1887" s="29">
        <v>19174777</v>
      </c>
      <c r="F1887" s="29" t="s">
        <v>69</v>
      </c>
      <c r="G1887" s="29" t="s">
        <v>298</v>
      </c>
      <c r="H1887" s="29">
        <v>109</v>
      </c>
      <c r="I1887" s="29">
        <v>79</v>
      </c>
      <c r="J1887" s="29">
        <v>75.5</v>
      </c>
      <c r="K1887" s="29">
        <v>64</v>
      </c>
      <c r="L1887" s="29">
        <v>67</v>
      </c>
      <c r="M1887" s="29">
        <v>71</v>
      </c>
      <c r="N1887" s="29">
        <v>74</v>
      </c>
      <c r="O1887" s="32">
        <v>539.5</v>
      </c>
      <c r="P1887" s="29" cm="1">
        <f t="array" ref="P1887">IF(表成绩单[[#This Row],[语文]]="","",SUMPRODUCT((表成绩单[考试日期]=表成绩单[[#This Row],[考试日期]])*(表成绩单[语文]&lt;9E+307)*(表成绩单[语文]&gt;表成绩单[[#This Row],[语文]]))+1)</f>
        <v>19</v>
      </c>
      <c r="Q1887" s="29" cm="1">
        <f t="array" ref="Q1887">IF(表成绩单[[#This Row],[数学]]="","",SUMPRODUCT((表成绩单[考试日期]=表成绩单[[#This Row],[考试日期]])*(表成绩单[数学]&lt;9E+307)*(表成绩单[数学]&gt;表成绩单[[#This Row],[数学]]))+1)</f>
        <v>427</v>
      </c>
      <c r="R1887" s="29" cm="1">
        <f t="array" ref="R1887">IF(表成绩单[[#This Row],[英语]]="","",SUMPRODUCT((表成绩单[考试日期]=表成绩单[[#This Row],[考试日期]])*(表成绩单[英语]&lt;9E+307)*(表成绩单[英语]&gt;表成绩单[[#This Row],[英语]]))+1)</f>
        <v>145</v>
      </c>
      <c r="S1887" s="29" cm="1">
        <f t="array" ref="S1887">IF(表成绩单[[#This Row],[物理]]="","",SUMPRODUCT((表成绩单[考试日期]=表成绩单[[#This Row],[考试日期]])*(表成绩单[物理]&lt;9E+307)*(表成绩单[物理]&gt;表成绩单[[#This Row],[物理]]))+1)</f>
        <v>441</v>
      </c>
      <c r="T1887" s="29" cm="1">
        <f t="array" ref="T1887">IF(表成绩单[[#This Row],[化学]]="","",SUMPRODUCT((表成绩单[考试日期]=表成绩单[[#This Row],[考试日期]])*(表成绩单[化学]&lt;9E+307)*(表成绩单[化学]&gt;表成绩单[[#This Row],[化学]]))+1)</f>
        <v>381</v>
      </c>
      <c r="U1887" s="29" cm="1">
        <f t="array" ref="U1887">IF(表成绩单[[#This Row],[政治]]="","",SUMPRODUCT((表成绩单[考试日期]=表成绩单[[#This Row],[考试日期]])*(表成绩单[政治]&lt;9E+307)*(表成绩单[政治]&gt;表成绩单[[#This Row],[政治]]))+1)</f>
        <v>248</v>
      </c>
      <c r="V1887" s="29" cm="1">
        <f t="array" ref="V1887">IF(表成绩单[[#This Row],[历史]]="","",SUMPRODUCT((表成绩单[考试日期]=表成绩单[[#This Row],[考试日期]])*(表成绩单[历史]&lt;9E+307)*(表成绩单[历史]&gt;表成绩单[[#This Row],[历史]]))+1)</f>
        <v>215</v>
      </c>
      <c r="W1887" s="29" cm="1">
        <f t="array" ref="W1887">IF(表成绩单[[#This Row],[总分]]="","",SUMPRODUCT((表成绩单[考试日期]=表成绩单[[#This Row],[考试日期]])*(表成绩单[总分]&lt;9E+307)*(表成绩单[总分]&gt;表成绩单[[#This Row],[总分]]))+1)</f>
        <v>281</v>
      </c>
    </row>
    <row r="1888" ht="28" customHeight="1" spans="4:23">
      <c r="D1888" s="31">
        <v>46030</v>
      </c>
      <c r="E1888" s="29">
        <v>19174795</v>
      </c>
      <c r="F1888" s="29" t="s">
        <v>69</v>
      </c>
      <c r="G1888" s="29" t="s">
        <v>504</v>
      </c>
      <c r="H1888" s="29">
        <v>105</v>
      </c>
      <c r="I1888" s="29">
        <v>86</v>
      </c>
      <c r="J1888" s="29">
        <v>64.5</v>
      </c>
      <c r="K1888" s="29">
        <v>73</v>
      </c>
      <c r="L1888" s="29">
        <v>77</v>
      </c>
      <c r="M1888" s="29">
        <v>69</v>
      </c>
      <c r="N1888" s="29">
        <v>65</v>
      </c>
      <c r="O1888" s="32">
        <v>539.5</v>
      </c>
      <c r="P1888" s="29" cm="1">
        <f t="array" ref="P1888">IF(表成绩单[[#This Row],[语文]]="","",SUMPRODUCT((表成绩单[考试日期]=表成绩单[[#This Row],[考试日期]])*(表成绩单[语文]&lt;9E+307)*(表成绩单[语文]&gt;表成绩单[[#This Row],[语文]]))+1)</f>
        <v>62</v>
      </c>
      <c r="Q1888" s="29" cm="1">
        <f t="array" ref="Q1888">IF(表成绩单[[#This Row],[数学]]="","",SUMPRODUCT((表成绩单[考试日期]=表成绩单[[#This Row],[考试日期]])*(表成绩单[数学]&lt;9E+307)*(表成绩单[数学]&gt;表成绩单[[#This Row],[数学]]))+1)</f>
        <v>302</v>
      </c>
      <c r="R1888" s="29" cm="1">
        <f t="array" ref="R1888">IF(表成绩单[[#This Row],[英语]]="","",SUMPRODUCT((表成绩单[考试日期]=表成绩单[[#This Row],[考试日期]])*(表成绩单[英语]&lt;9E+307)*(表成绩单[英语]&gt;表成绩单[[#This Row],[英语]]))+1)</f>
        <v>447</v>
      </c>
      <c r="S1888" s="29" cm="1">
        <f t="array" ref="S1888">IF(表成绩单[[#This Row],[物理]]="","",SUMPRODUCT((表成绩单[考试日期]=表成绩单[[#This Row],[考试日期]])*(表成绩单[物理]&lt;9E+307)*(表成绩单[物理]&gt;表成绩单[[#This Row],[物理]]))+1)</f>
        <v>271</v>
      </c>
      <c r="T1888" s="29" cm="1">
        <f t="array" ref="T1888">IF(表成绩单[[#This Row],[化学]]="","",SUMPRODUCT((表成绩单[考试日期]=表成绩单[[#This Row],[考试日期]])*(表成绩单[化学]&lt;9E+307)*(表成绩单[化学]&gt;表成绩单[[#This Row],[化学]]))+1)</f>
        <v>116</v>
      </c>
      <c r="U1888" s="29" cm="1">
        <f t="array" ref="U1888">IF(表成绩单[[#This Row],[政治]]="","",SUMPRODUCT((表成绩单[考试日期]=表成绩单[[#This Row],[考试日期]])*(表成绩单[政治]&lt;9E+307)*(表成绩单[政治]&gt;表成绩单[[#This Row],[政治]]))+1)</f>
        <v>308</v>
      </c>
      <c r="V1888" s="29" cm="1">
        <f t="array" ref="V1888">IF(表成绩单[[#This Row],[历史]]="","",SUMPRODUCT((表成绩单[考试日期]=表成绩单[[#This Row],[考试日期]])*(表成绩单[历史]&lt;9E+307)*(表成绩单[历史]&gt;表成绩单[[#This Row],[历史]]))+1)</f>
        <v>471</v>
      </c>
      <c r="W1888" s="29" cm="1">
        <f t="array" ref="W1888">IF(表成绩单[[#This Row],[总分]]="","",SUMPRODUCT((表成绩单[考试日期]=表成绩单[[#This Row],[考试日期]])*(表成绩单[总分]&lt;9E+307)*(表成绩单[总分]&gt;表成绩单[[#This Row],[总分]]))+1)</f>
        <v>281</v>
      </c>
    </row>
    <row r="1889" ht="28" customHeight="1" spans="4:23">
      <c r="D1889" s="31">
        <v>46030</v>
      </c>
      <c r="E1889" s="29">
        <v>36645763</v>
      </c>
      <c r="F1889" s="29" t="s">
        <v>72</v>
      </c>
      <c r="G1889" s="29" t="s">
        <v>208</v>
      </c>
      <c r="H1889" s="29">
        <v>103</v>
      </c>
      <c r="I1889" s="29">
        <v>83</v>
      </c>
      <c r="J1889" s="29">
        <v>74.5</v>
      </c>
      <c r="K1889" s="29">
        <v>74</v>
      </c>
      <c r="L1889" s="29">
        <v>59</v>
      </c>
      <c r="M1889" s="29">
        <v>81</v>
      </c>
      <c r="N1889" s="29">
        <v>65</v>
      </c>
      <c r="O1889" s="32">
        <v>539.5</v>
      </c>
      <c r="P1889" s="29" cm="1">
        <f t="array" ref="P1889">IF(表成绩单[[#This Row],[语文]]="","",SUMPRODUCT((表成绩单[考试日期]=表成绩单[[#This Row],[考试日期]])*(表成绩单[语文]&lt;9E+307)*(表成绩单[语文]&gt;表成绩单[[#This Row],[语文]]))+1)</f>
        <v>105</v>
      </c>
      <c r="Q1889" s="29" cm="1">
        <f t="array" ref="Q1889">IF(表成绩单[[#This Row],[数学]]="","",SUMPRODUCT((表成绩单[考试日期]=表成绩单[[#This Row],[考试日期]])*(表成绩单[数学]&lt;9E+307)*(表成绩单[数学]&gt;表成绩单[[#This Row],[数学]]))+1)</f>
        <v>360</v>
      </c>
      <c r="R1889" s="29" cm="1">
        <f t="array" ref="R1889">IF(表成绩单[[#This Row],[英语]]="","",SUMPRODUCT((表成绩单[考试日期]=表成绩单[[#This Row],[考试日期]])*(表成绩单[英语]&lt;9E+307)*(表成绩单[英语]&gt;表成绩单[[#This Row],[英语]]))+1)</f>
        <v>181</v>
      </c>
      <c r="S1889" s="29" cm="1">
        <f t="array" ref="S1889">IF(表成绩单[[#This Row],[物理]]="","",SUMPRODUCT((表成绩单[考试日期]=表成绩单[[#This Row],[考试日期]])*(表成绩单[物理]&lt;9E+307)*(表成绩单[物理]&gt;表成绩单[[#This Row],[物理]]))+1)</f>
        <v>258</v>
      </c>
      <c r="T1889" s="29" cm="1">
        <f t="array" ref="T1889">IF(表成绩单[[#This Row],[化学]]="","",SUMPRODUCT((表成绩单[考试日期]=表成绩单[[#This Row],[考试日期]])*(表成绩单[化学]&lt;9E+307)*(表成绩单[化学]&gt;表成绩单[[#This Row],[化学]]))+1)</f>
        <v>540</v>
      </c>
      <c r="U1889" s="29" cm="1">
        <f t="array" ref="U1889">IF(表成绩单[[#This Row],[政治]]="","",SUMPRODUCT((表成绩单[考试日期]=表成绩单[[#This Row],[考试日期]])*(表成绩单[政治]&lt;9E+307)*(表成绩单[政治]&gt;表成绩单[[#This Row],[政治]]))+1)</f>
        <v>18</v>
      </c>
      <c r="V1889" s="29" cm="1">
        <f t="array" ref="V1889">IF(表成绩单[[#This Row],[历史]]="","",SUMPRODUCT((表成绩单[考试日期]=表成绩单[[#This Row],[考试日期]])*(表成绩单[历史]&lt;9E+307)*(表成绩单[历史]&gt;表成绩单[[#This Row],[历史]]))+1)</f>
        <v>471</v>
      </c>
      <c r="W1889" s="29" cm="1">
        <f t="array" ref="W1889">IF(表成绩单[[#This Row],[总分]]="","",SUMPRODUCT((表成绩单[考试日期]=表成绩单[[#This Row],[考试日期]])*(表成绩单[总分]&lt;9E+307)*(表成绩单[总分]&gt;表成绩单[[#This Row],[总分]]))+1)</f>
        <v>281</v>
      </c>
    </row>
    <row r="1890" ht="28" customHeight="1" spans="4:23">
      <c r="D1890" s="31">
        <v>46030</v>
      </c>
      <c r="E1890" s="29">
        <v>19176165</v>
      </c>
      <c r="F1890" s="29" t="s">
        <v>67</v>
      </c>
      <c r="G1890" s="29" t="s">
        <v>227</v>
      </c>
      <c r="H1890" s="29">
        <v>100</v>
      </c>
      <c r="I1890" s="29">
        <v>99</v>
      </c>
      <c r="J1890" s="29">
        <v>58.5</v>
      </c>
      <c r="K1890" s="29">
        <v>74</v>
      </c>
      <c r="L1890" s="29">
        <v>63</v>
      </c>
      <c r="M1890" s="29">
        <v>75</v>
      </c>
      <c r="N1890" s="29">
        <v>69</v>
      </c>
      <c r="O1890" s="32">
        <v>538.5</v>
      </c>
      <c r="P1890" s="29" cm="1">
        <f t="array" ref="P1890">IF(表成绩单[[#This Row],[语文]]="","",SUMPRODUCT((表成绩单[考试日期]=表成绩单[[#This Row],[考试日期]])*(表成绩单[语文]&lt;9E+307)*(表成绩单[语文]&gt;表成绩单[[#This Row],[语文]]))+1)</f>
        <v>182</v>
      </c>
      <c r="Q1890" s="29" cm="1">
        <f t="array" ref="Q1890">IF(表成绩单[[#This Row],[数学]]="","",SUMPRODUCT((表成绩单[考试日期]=表成绩单[[#This Row],[考试日期]])*(表成绩单[数学]&lt;9E+307)*(表成绩单[数学]&gt;表成绩单[[#This Row],[数学]]))+1)</f>
        <v>120</v>
      </c>
      <c r="R1890" s="29" cm="1">
        <f t="array" ref="R1890">IF(表成绩单[[#This Row],[英语]]="","",SUMPRODUCT((表成绩单[考试日期]=表成绩单[[#This Row],[考试日期]])*(表成绩单[英语]&lt;9E+307)*(表成绩单[英语]&gt;表成绩单[[#This Row],[英语]]))+1)</f>
        <v>545</v>
      </c>
      <c r="S1890" s="29" cm="1">
        <f t="array" ref="S1890">IF(表成绩单[[#This Row],[物理]]="","",SUMPRODUCT((表成绩单[考试日期]=表成绩单[[#This Row],[考试日期]])*(表成绩单[物理]&lt;9E+307)*(表成绩单[物理]&gt;表成绩单[[#This Row],[物理]]))+1)</f>
        <v>258</v>
      </c>
      <c r="T1890" s="29" cm="1">
        <f t="array" ref="T1890">IF(表成绩单[[#This Row],[化学]]="","",SUMPRODUCT((表成绩单[考试日期]=表成绩单[[#This Row],[考试日期]])*(表成绩单[化学]&lt;9E+307)*(表成绩单[化学]&gt;表成绩单[[#This Row],[化学]]))+1)</f>
        <v>472</v>
      </c>
      <c r="U1890" s="29" cm="1">
        <f t="array" ref="U1890">IF(表成绩单[[#This Row],[政治]]="","",SUMPRODUCT((表成绩单[考试日期]=表成绩单[[#This Row],[考试日期]])*(表成绩单[政治]&lt;9E+307)*(表成绩单[政治]&gt;表成绩单[[#This Row],[政治]]))+1)</f>
        <v>137</v>
      </c>
      <c r="V1890" s="29" cm="1">
        <f t="array" ref="V1890">IF(表成绩单[[#This Row],[历史]]="","",SUMPRODUCT((表成绩单[考试日期]=表成绩单[[#This Row],[考试日期]])*(表成绩单[历史]&lt;9E+307)*(表成绩单[历史]&gt;表成绩单[[#This Row],[历史]]))+1)</f>
        <v>366</v>
      </c>
      <c r="W1890" s="29" cm="1">
        <f t="array" ref="W1890">IF(表成绩单[[#This Row],[总分]]="","",SUMPRODUCT((表成绩单[考试日期]=表成绩单[[#This Row],[考试日期]])*(表成绩单[总分]&lt;9E+307)*(表成绩单[总分]&gt;表成绩单[[#This Row],[总分]]))+1)</f>
        <v>284</v>
      </c>
    </row>
    <row r="1891" ht="28" customHeight="1" spans="4:23">
      <c r="D1891" s="31">
        <v>46030</v>
      </c>
      <c r="E1891" s="29">
        <v>19173248</v>
      </c>
      <c r="F1891" s="29" t="s">
        <v>61</v>
      </c>
      <c r="G1891" s="29" t="s">
        <v>492</v>
      </c>
      <c r="H1891" s="29">
        <v>96</v>
      </c>
      <c r="I1891" s="29">
        <v>94</v>
      </c>
      <c r="J1891" s="29">
        <v>54</v>
      </c>
      <c r="K1891" s="29">
        <v>84</v>
      </c>
      <c r="L1891" s="29">
        <v>76</v>
      </c>
      <c r="M1891" s="29">
        <v>62</v>
      </c>
      <c r="N1891" s="29">
        <v>72</v>
      </c>
      <c r="O1891" s="32">
        <v>538</v>
      </c>
      <c r="P1891" s="29" cm="1">
        <f t="array" ref="P1891">IF(表成绩单[[#This Row],[语文]]="","",SUMPRODUCT((表成绩单[考试日期]=表成绩单[[#This Row],[考试日期]])*(表成绩单[语文]&lt;9E+307)*(表成绩单[语文]&gt;表成绩单[[#This Row],[语文]]))+1)</f>
        <v>315</v>
      </c>
      <c r="Q1891" s="29" cm="1">
        <f t="array" ref="Q1891">IF(表成绩单[[#This Row],[数学]]="","",SUMPRODUCT((表成绩单[考试日期]=表成绩单[[#This Row],[考试日期]])*(表成绩单[数学]&lt;9E+307)*(表成绩单[数学]&gt;表成绩单[[#This Row],[数学]]))+1)</f>
        <v>178</v>
      </c>
      <c r="R1891" s="29" cm="1">
        <f t="array" ref="R1891">IF(表成绩单[[#This Row],[英语]]="","",SUMPRODUCT((表成绩单[考试日期]=表成绩单[[#This Row],[考试日期]])*(表成绩单[英语]&lt;9E+307)*(表成绩单[英语]&gt;表成绩单[[#This Row],[英语]]))+1)</f>
        <v>606</v>
      </c>
      <c r="S1891" s="29" cm="1">
        <f t="array" ref="S1891">IF(表成绩单[[#This Row],[物理]]="","",SUMPRODUCT((表成绩单[考试日期]=表成绩单[[#This Row],[考试日期]])*(表成绩单[物理]&lt;9E+307)*(表成绩单[物理]&gt;表成绩单[[#This Row],[物理]]))+1)</f>
        <v>73</v>
      </c>
      <c r="T1891" s="29" cm="1">
        <f t="array" ref="T1891">IF(表成绩单[[#This Row],[化学]]="","",SUMPRODUCT((表成绩单[考试日期]=表成绩单[[#This Row],[考试日期]])*(表成绩单[化学]&lt;9E+307)*(表成绩单[化学]&gt;表成绩单[[#This Row],[化学]]))+1)</f>
        <v>139</v>
      </c>
      <c r="U1891" s="29" cm="1">
        <f t="array" ref="U1891">IF(表成绩单[[#This Row],[政治]]="","",SUMPRODUCT((表成绩单[考试日期]=表成绩单[[#This Row],[考试日期]])*(表成绩单[政治]&lt;9E+307)*(表成绩单[政治]&gt;表成绩单[[#This Row],[政治]]))+1)</f>
        <v>508</v>
      </c>
      <c r="V1891" s="29" cm="1">
        <f t="array" ref="V1891">IF(表成绩单[[#This Row],[历史]]="","",SUMPRODUCT((表成绩单[考试日期]=表成绩单[[#This Row],[考试日期]])*(表成绩单[历史]&lt;9E+307)*(表成绩单[历史]&gt;表成绩单[[#This Row],[历史]]))+1)</f>
        <v>266</v>
      </c>
      <c r="W1891" s="29" cm="1">
        <f t="array" ref="W1891">IF(表成绩单[[#This Row],[总分]]="","",SUMPRODUCT((表成绩单[考试日期]=表成绩单[[#This Row],[考试日期]])*(表成绩单[总分]&lt;9E+307)*(表成绩单[总分]&gt;表成绩单[[#This Row],[总分]]))+1)</f>
        <v>285</v>
      </c>
    </row>
    <row r="1892" ht="28" customHeight="1" spans="4:23">
      <c r="D1892" s="31">
        <v>46030</v>
      </c>
      <c r="E1892" s="29">
        <v>19175634</v>
      </c>
      <c r="F1892" s="29" t="s">
        <v>66</v>
      </c>
      <c r="G1892" s="29" t="s">
        <v>255</v>
      </c>
      <c r="H1892" s="29">
        <v>98</v>
      </c>
      <c r="I1892" s="29">
        <v>99</v>
      </c>
      <c r="J1892" s="29">
        <v>71</v>
      </c>
      <c r="K1892" s="29">
        <v>90</v>
      </c>
      <c r="L1892" s="29">
        <v>67</v>
      </c>
      <c r="M1892" s="29">
        <v>45</v>
      </c>
      <c r="N1892" s="29">
        <v>68</v>
      </c>
      <c r="O1892" s="32">
        <v>538</v>
      </c>
      <c r="P1892" s="29" cm="1">
        <f t="array" ref="P1892">IF(表成绩单[[#This Row],[语文]]="","",SUMPRODUCT((表成绩单[考试日期]=表成绩单[[#This Row],[考试日期]])*(表成绩单[语文]&lt;9E+307)*(表成绩单[语文]&gt;表成绩单[[#This Row],[语文]]))+1)</f>
        <v>248</v>
      </c>
      <c r="Q1892" s="29" cm="1">
        <f t="array" ref="Q1892">IF(表成绩单[[#This Row],[数学]]="","",SUMPRODUCT((表成绩单[考试日期]=表成绩单[[#This Row],[考试日期]])*(表成绩单[数学]&lt;9E+307)*(表成绩单[数学]&gt;表成绩单[[#This Row],[数学]]))+1)</f>
        <v>120</v>
      </c>
      <c r="R1892" s="29" cm="1">
        <f t="array" ref="R1892">IF(表成绩单[[#This Row],[英语]]="","",SUMPRODUCT((表成绩单[考试日期]=表成绩单[[#This Row],[考试日期]])*(表成绩单[英语]&lt;9E+307)*(表成绩单[英语]&gt;表成绩单[[#This Row],[英语]]))+1)</f>
        <v>281</v>
      </c>
      <c r="S1892" s="29" cm="1">
        <f t="array" ref="S1892">IF(表成绩单[[#This Row],[物理]]="","",SUMPRODUCT((表成绩单[考试日期]=表成绩单[[#This Row],[考试日期]])*(表成绩单[物理]&lt;9E+307)*(表成绩单[物理]&gt;表成绩单[[#This Row],[物理]]))+1)</f>
        <v>1</v>
      </c>
      <c r="T1892" s="29" cm="1">
        <f t="array" ref="T1892">IF(表成绩单[[#This Row],[化学]]="","",SUMPRODUCT((表成绩单[考试日期]=表成绩单[[#This Row],[考试日期]])*(表成绩单[化学]&lt;9E+307)*(表成绩单[化学]&gt;表成绩单[[#This Row],[化学]]))+1)</f>
        <v>381</v>
      </c>
      <c r="U1892" s="29" cm="1">
        <f t="array" ref="U1892">IF(表成绩单[[#This Row],[政治]]="","",SUMPRODUCT((表成绩单[考试日期]=表成绩单[[#This Row],[考试日期]])*(表成绩单[政治]&lt;9E+307)*(表成绩单[政治]&gt;表成绩单[[#This Row],[政治]]))+1)</f>
        <v>701</v>
      </c>
      <c r="V1892" s="29" cm="1">
        <f t="array" ref="V1892">IF(表成绩单[[#This Row],[历史]]="","",SUMPRODUCT((表成绩单[考试日期]=表成绩单[[#This Row],[考试日期]])*(表成绩单[历史]&lt;9E+307)*(表成绩单[历史]&gt;表成绩单[[#This Row],[历史]]))+1)</f>
        <v>390</v>
      </c>
      <c r="W1892" s="29" cm="1">
        <f t="array" ref="W1892">IF(表成绩单[[#This Row],[总分]]="","",SUMPRODUCT((表成绩单[考试日期]=表成绩单[[#This Row],[考试日期]])*(表成绩单[总分]&lt;9E+307)*(表成绩单[总分]&gt;表成绩单[[#This Row],[总分]]))+1)</f>
        <v>285</v>
      </c>
    </row>
    <row r="1893" ht="28" customHeight="1" spans="4:23">
      <c r="D1893" s="31">
        <v>46030</v>
      </c>
      <c r="E1893" s="29">
        <v>19174454</v>
      </c>
      <c r="F1893" s="29" t="s">
        <v>73</v>
      </c>
      <c r="G1893" s="29" t="s">
        <v>440</v>
      </c>
      <c r="H1893" s="29">
        <v>98</v>
      </c>
      <c r="I1893" s="29">
        <v>80</v>
      </c>
      <c r="J1893" s="29">
        <v>72.5</v>
      </c>
      <c r="K1893" s="29">
        <v>73</v>
      </c>
      <c r="L1893" s="29">
        <v>72</v>
      </c>
      <c r="M1893" s="29">
        <v>72</v>
      </c>
      <c r="N1893" s="29">
        <v>70</v>
      </c>
      <c r="O1893" s="32">
        <v>537.5</v>
      </c>
      <c r="P1893" s="29" cm="1">
        <f t="array" ref="P1893">IF(表成绩单[[#This Row],[语文]]="","",SUMPRODUCT((表成绩单[考试日期]=表成绩单[[#This Row],[考试日期]])*(表成绩单[语文]&lt;9E+307)*(表成绩单[语文]&gt;表成绩单[[#This Row],[语文]]))+1)</f>
        <v>248</v>
      </c>
      <c r="Q1893" s="29" cm="1">
        <f t="array" ref="Q1893">IF(表成绩单[[#This Row],[数学]]="","",SUMPRODUCT((表成绩单[考试日期]=表成绩单[[#This Row],[考试日期]])*(表成绩单[数学]&lt;9E+307)*(表成绩单[数学]&gt;表成绩单[[#This Row],[数学]]))+1)</f>
        <v>412</v>
      </c>
      <c r="R1893" s="29" cm="1">
        <f t="array" ref="R1893">IF(表成绩单[[#This Row],[英语]]="","",SUMPRODUCT((表成绩单[考试日期]=表成绩单[[#This Row],[考试日期]])*(表成绩单[英语]&lt;9E+307)*(表成绩单[英语]&gt;表成绩单[[#This Row],[英语]]))+1)</f>
        <v>242</v>
      </c>
      <c r="S1893" s="29" cm="1">
        <f t="array" ref="S1893">IF(表成绩单[[#This Row],[物理]]="","",SUMPRODUCT((表成绩单[考试日期]=表成绩单[[#This Row],[考试日期]])*(表成绩单[物理]&lt;9E+307)*(表成绩单[物理]&gt;表成绩单[[#This Row],[物理]]))+1)</f>
        <v>271</v>
      </c>
      <c r="T1893" s="29" cm="1">
        <f t="array" ref="T1893">IF(表成绩单[[#This Row],[化学]]="","",SUMPRODUCT((表成绩单[考试日期]=表成绩单[[#This Row],[考试日期]])*(表成绩单[化学]&lt;9E+307)*(表成绩单[化学]&gt;表成绩单[[#This Row],[化学]]))+1)</f>
        <v>271</v>
      </c>
      <c r="U1893" s="29" cm="1">
        <f t="array" ref="U1893">IF(表成绩单[[#This Row],[政治]]="","",SUMPRODUCT((表成绩单[考试日期]=表成绩单[[#This Row],[考试日期]])*(表成绩单[政治]&lt;9E+307)*(表成绩单[政治]&gt;表成绩单[[#This Row],[政治]]))+1)</f>
        <v>224</v>
      </c>
      <c r="V1893" s="29" cm="1">
        <f t="array" ref="V1893">IF(表成绩单[[#This Row],[历史]]="","",SUMPRODUCT((表成绩单[考试日期]=表成绩单[[#This Row],[考试日期]])*(表成绩单[历史]&lt;9E+307)*(表成绩单[历史]&gt;表成绩单[[#This Row],[历史]]))+1)</f>
        <v>328</v>
      </c>
      <c r="W1893" s="29" cm="1">
        <f t="array" ref="W1893">IF(表成绩单[[#This Row],[总分]]="","",SUMPRODUCT((表成绩单[考试日期]=表成绩单[[#This Row],[考试日期]])*(表成绩单[总分]&lt;9E+307)*(表成绩单[总分]&gt;表成绩单[[#This Row],[总分]]))+1)</f>
        <v>287</v>
      </c>
    </row>
    <row r="1894" ht="28" customHeight="1" spans="4:23">
      <c r="D1894" s="31">
        <v>46030</v>
      </c>
      <c r="E1894" s="29">
        <v>19174459</v>
      </c>
      <c r="F1894" s="29" t="s">
        <v>73</v>
      </c>
      <c r="G1894" s="29" t="s">
        <v>399</v>
      </c>
      <c r="H1894" s="29">
        <v>101</v>
      </c>
      <c r="I1894" s="29">
        <v>83</v>
      </c>
      <c r="J1894" s="29">
        <v>78.5</v>
      </c>
      <c r="K1894" s="29">
        <v>78</v>
      </c>
      <c r="L1894" s="29">
        <v>60</v>
      </c>
      <c r="M1894" s="29">
        <v>71</v>
      </c>
      <c r="N1894" s="29">
        <v>66</v>
      </c>
      <c r="O1894" s="32">
        <v>537.5</v>
      </c>
      <c r="P1894" s="29" cm="1">
        <f t="array" ref="P1894">IF(表成绩单[[#This Row],[语文]]="","",SUMPRODUCT((表成绩单[考试日期]=表成绩单[[#This Row],[考试日期]])*(表成绩单[语文]&lt;9E+307)*(表成绩单[语文]&gt;表成绩单[[#This Row],[语文]]))+1)</f>
        <v>159</v>
      </c>
      <c r="Q1894" s="29" cm="1">
        <f t="array" ref="Q1894">IF(表成绩单[[#This Row],[数学]]="","",SUMPRODUCT((表成绩单[考试日期]=表成绩单[[#This Row],[考试日期]])*(表成绩单[数学]&lt;9E+307)*(表成绩单[数学]&gt;表成绩单[[#This Row],[数学]]))+1)</f>
        <v>360</v>
      </c>
      <c r="R1894" s="29" cm="1">
        <f t="array" ref="R1894">IF(表成绩单[[#This Row],[英语]]="","",SUMPRODUCT((表成绩单[考试日期]=表成绩单[[#This Row],[考试日期]])*(表成绩单[英语]&lt;9E+307)*(表成绩单[英语]&gt;表成绩单[[#This Row],[英语]]))+1)</f>
        <v>64</v>
      </c>
      <c r="S1894" s="29" cm="1">
        <f t="array" ref="S1894">IF(表成绩单[[#This Row],[物理]]="","",SUMPRODUCT((表成绩单[考试日期]=表成绩单[[#This Row],[考试日期]])*(表成绩单[物理]&lt;9E+307)*(表成绩单[物理]&gt;表成绩单[[#This Row],[物理]]))+1)</f>
        <v>178</v>
      </c>
      <c r="T1894" s="29" cm="1">
        <f t="array" ref="T1894">IF(表成绩单[[#This Row],[化学]]="","",SUMPRODUCT((表成绩单[考试日期]=表成绩单[[#This Row],[考试日期]])*(表成绩单[化学]&lt;9E+307)*(表成绩单[化学]&gt;表成绩单[[#This Row],[化学]]))+1)</f>
        <v>525</v>
      </c>
      <c r="U1894" s="29" cm="1">
        <f t="array" ref="U1894">IF(表成绩单[[#This Row],[政治]]="","",SUMPRODUCT((表成绩单[考试日期]=表成绩单[[#This Row],[考试日期]])*(表成绩单[政治]&lt;9E+307)*(表成绩单[政治]&gt;表成绩单[[#This Row],[政治]]))+1)</f>
        <v>248</v>
      </c>
      <c r="V1894" s="29" cm="1">
        <f t="array" ref="V1894">IF(表成绩单[[#This Row],[历史]]="","",SUMPRODUCT((表成绩单[考试日期]=表成绩单[[#This Row],[考试日期]])*(表成绩单[历史]&lt;9E+307)*(表成绩单[历史]&gt;表成绩单[[#This Row],[历史]]))+1)</f>
        <v>451</v>
      </c>
      <c r="W1894" s="29" cm="1">
        <f t="array" ref="W1894">IF(表成绩单[[#This Row],[总分]]="","",SUMPRODUCT((表成绩单[考试日期]=表成绩单[[#This Row],[考试日期]])*(表成绩单[总分]&lt;9E+307)*(表成绩单[总分]&gt;表成绩单[[#This Row],[总分]]))+1)</f>
        <v>287</v>
      </c>
    </row>
    <row r="1895" ht="28" customHeight="1" spans="4:23">
      <c r="D1895" s="31">
        <v>46030</v>
      </c>
      <c r="E1895" s="29">
        <v>19174775</v>
      </c>
      <c r="F1895" s="29" t="s">
        <v>69</v>
      </c>
      <c r="G1895" s="29" t="s">
        <v>479</v>
      </c>
      <c r="H1895" s="29">
        <v>102</v>
      </c>
      <c r="I1895" s="29">
        <v>77</v>
      </c>
      <c r="J1895" s="29">
        <v>72.5</v>
      </c>
      <c r="K1895" s="29">
        <v>65</v>
      </c>
      <c r="L1895" s="29">
        <v>64</v>
      </c>
      <c r="M1895" s="29">
        <v>76</v>
      </c>
      <c r="N1895" s="29">
        <v>81</v>
      </c>
      <c r="O1895" s="32">
        <v>537.5</v>
      </c>
      <c r="P1895" s="29" cm="1">
        <f t="array" ref="P1895">IF(表成绩单[[#This Row],[语文]]="","",SUMPRODUCT((表成绩单[考试日期]=表成绩单[[#This Row],[考试日期]])*(表成绩单[语文]&lt;9E+307)*(表成绩单[语文]&gt;表成绩单[[#This Row],[语文]]))+1)</f>
        <v>132</v>
      </c>
      <c r="Q1895" s="29" cm="1">
        <f t="array" ref="Q1895">IF(表成绩单[[#This Row],[数学]]="","",SUMPRODUCT((表成绩单[考试日期]=表成绩单[[#This Row],[考试日期]])*(表成绩单[数学]&lt;9E+307)*(表成绩单[数学]&gt;表成绩单[[#This Row],[数学]]))+1)</f>
        <v>478</v>
      </c>
      <c r="R1895" s="29" cm="1">
        <f t="array" ref="R1895">IF(表成绩单[[#This Row],[英语]]="","",SUMPRODUCT((表成绩单[考试日期]=表成绩单[[#This Row],[考试日期]])*(表成绩单[英语]&lt;9E+307)*(表成绩单[英语]&gt;表成绩单[[#This Row],[英语]]))+1)</f>
        <v>242</v>
      </c>
      <c r="S1895" s="29" cm="1">
        <f t="array" ref="S1895">IF(表成绩单[[#This Row],[物理]]="","",SUMPRODUCT((表成绩单[考试日期]=表成绩单[[#This Row],[考试日期]])*(表成绩单[物理]&lt;9E+307)*(表成绩单[物理]&gt;表成绩单[[#This Row],[物理]]))+1)</f>
        <v>427</v>
      </c>
      <c r="T1895" s="29" cm="1">
        <f t="array" ref="T1895">IF(表成绩单[[#This Row],[化学]]="","",SUMPRODUCT((表成绩单[考试日期]=表成绩单[[#This Row],[考试日期]])*(表成绩单[化学]&lt;9E+307)*(表成绩单[化学]&gt;表成绩单[[#This Row],[化学]]))+1)</f>
        <v>451</v>
      </c>
      <c r="U1895" s="29" cm="1">
        <f t="array" ref="U1895">IF(表成绩单[[#This Row],[政治]]="","",SUMPRODUCT((表成绩单[考试日期]=表成绩单[[#This Row],[考试日期]])*(表成绩单[政治]&lt;9E+307)*(表成绩单[政治]&gt;表成绩单[[#This Row],[政治]]))+1)</f>
        <v>111</v>
      </c>
      <c r="V1895" s="29" cm="1">
        <f t="array" ref="V1895">IF(表成绩单[[#This Row],[历史]]="","",SUMPRODUCT((表成绩单[考试日期]=表成绩单[[#This Row],[考试日期]])*(表成绩单[历史]&lt;9E+307)*(表成绩单[历史]&gt;表成绩单[[#This Row],[历史]]))+1)</f>
        <v>60</v>
      </c>
      <c r="W1895" s="29" cm="1">
        <f t="array" ref="W1895">IF(表成绩单[[#This Row],[总分]]="","",SUMPRODUCT((表成绩单[考试日期]=表成绩单[[#This Row],[考试日期]])*(表成绩单[总分]&lt;9E+307)*(表成绩单[总分]&gt;表成绩单[[#This Row],[总分]]))+1)</f>
        <v>287</v>
      </c>
    </row>
    <row r="1896" ht="28" customHeight="1" spans="4:23">
      <c r="D1896" s="31">
        <v>46030</v>
      </c>
      <c r="E1896" s="29">
        <v>19178650</v>
      </c>
      <c r="F1896" s="29" t="s">
        <v>25</v>
      </c>
      <c r="G1896" s="29" t="s">
        <v>294</v>
      </c>
      <c r="H1896" s="29">
        <v>105</v>
      </c>
      <c r="I1896" s="29">
        <v>91</v>
      </c>
      <c r="J1896" s="29">
        <v>66.5</v>
      </c>
      <c r="K1896" s="29">
        <v>74</v>
      </c>
      <c r="L1896" s="29">
        <v>71</v>
      </c>
      <c r="M1896" s="29">
        <v>67</v>
      </c>
      <c r="N1896" s="29">
        <v>63</v>
      </c>
      <c r="O1896" s="32">
        <v>537.5</v>
      </c>
      <c r="P1896" s="29" cm="1">
        <f t="array" ref="P1896">IF(表成绩单[[#This Row],[语文]]="","",SUMPRODUCT((表成绩单[考试日期]=表成绩单[[#This Row],[考试日期]])*(表成绩单[语文]&lt;9E+307)*(表成绩单[语文]&gt;表成绩单[[#This Row],[语文]]))+1)</f>
        <v>62</v>
      </c>
      <c r="Q1896" s="29" cm="1">
        <f t="array" ref="Q1896">IF(表成绩单[[#This Row],[数学]]="","",SUMPRODUCT((表成绩单[考试日期]=表成绩单[[#This Row],[考试日期]])*(表成绩单[数学]&lt;9E+307)*(表成绩单[数学]&gt;表成绩单[[#This Row],[数学]]))+1)</f>
        <v>204</v>
      </c>
      <c r="R1896" s="29" cm="1">
        <f t="array" ref="R1896">IF(表成绩单[[#This Row],[英语]]="","",SUMPRODUCT((表成绩单[考试日期]=表成绩单[[#This Row],[考试日期]])*(表成绩单[英语]&lt;9E+307)*(表成绩单[英语]&gt;表成绩单[[#This Row],[英语]]))+1)</f>
        <v>402</v>
      </c>
      <c r="S1896" s="29" cm="1">
        <f t="array" ref="S1896">IF(表成绩单[[#This Row],[物理]]="","",SUMPRODUCT((表成绩单[考试日期]=表成绩单[[#This Row],[考试日期]])*(表成绩单[物理]&lt;9E+307)*(表成绩单[物理]&gt;表成绩单[[#This Row],[物理]]))+1)</f>
        <v>258</v>
      </c>
      <c r="T1896" s="29" cm="1">
        <f t="array" ref="T1896">IF(表成绩单[[#This Row],[化学]]="","",SUMPRODUCT((表成绩单[考试日期]=表成绩单[[#This Row],[考试日期]])*(表成绩单[化学]&lt;9E+307)*(表成绩单[化学]&gt;表成绩单[[#This Row],[化学]]))+1)</f>
        <v>297</v>
      </c>
      <c r="U1896" s="29" cm="1">
        <f t="array" ref="U1896">IF(表成绩单[[#This Row],[政治]]="","",SUMPRODUCT((表成绩单[考试日期]=表成绩单[[#This Row],[考试日期]])*(表成绩单[政治]&lt;9E+307)*(表成绩单[政治]&gt;表成绩单[[#This Row],[政治]]))+1)</f>
        <v>370</v>
      </c>
      <c r="V1896" s="29" cm="1">
        <f t="array" ref="V1896">IF(表成绩单[[#This Row],[历史]]="","",SUMPRODUCT((表成绩单[考试日期]=表成绩单[[#This Row],[考试日期]])*(表成绩单[历史]&lt;9E+307)*(表成绩单[历史]&gt;表成绩单[[#This Row],[历史]]))+1)</f>
        <v>521</v>
      </c>
      <c r="W1896" s="29" cm="1">
        <f t="array" ref="W1896">IF(表成绩单[[#This Row],[总分]]="","",SUMPRODUCT((表成绩单[考试日期]=表成绩单[[#This Row],[考试日期]])*(表成绩单[总分]&lt;9E+307)*(表成绩单[总分]&gt;表成绩单[[#This Row],[总分]]))+1)</f>
        <v>287</v>
      </c>
    </row>
    <row r="1897" ht="28" customHeight="1" spans="4:23">
      <c r="D1897" s="31">
        <v>46030</v>
      </c>
      <c r="E1897" s="29">
        <v>19175663</v>
      </c>
      <c r="F1897" s="29" t="s">
        <v>66</v>
      </c>
      <c r="G1897" s="29" t="s">
        <v>441</v>
      </c>
      <c r="H1897" s="29">
        <v>106</v>
      </c>
      <c r="I1897" s="29">
        <v>80</v>
      </c>
      <c r="J1897" s="29">
        <v>64</v>
      </c>
      <c r="K1897" s="29">
        <v>72</v>
      </c>
      <c r="L1897" s="29">
        <v>69</v>
      </c>
      <c r="M1897" s="29">
        <v>76</v>
      </c>
      <c r="N1897" s="29">
        <v>70</v>
      </c>
      <c r="O1897" s="32">
        <v>537</v>
      </c>
      <c r="P1897" s="29" cm="1">
        <f t="array" ref="P1897">IF(表成绩单[[#This Row],[语文]]="","",SUMPRODUCT((表成绩单[考试日期]=表成绩单[[#This Row],[考试日期]])*(表成绩单[语文]&lt;9E+307)*(表成绩单[语文]&gt;表成绩单[[#This Row],[语文]]))+1)</f>
        <v>50</v>
      </c>
      <c r="Q1897" s="29" cm="1">
        <f t="array" ref="Q1897">IF(表成绩单[[#This Row],[数学]]="","",SUMPRODUCT((表成绩单[考试日期]=表成绩单[[#This Row],[考试日期]])*(表成绩单[数学]&lt;9E+307)*(表成绩单[数学]&gt;表成绩单[[#This Row],[数学]]))+1)</f>
        <v>412</v>
      </c>
      <c r="R1897" s="29" cm="1">
        <f t="array" ref="R1897">IF(表成绩单[[#This Row],[英语]]="","",SUMPRODUCT((表成绩单[考试日期]=表成绩单[[#This Row],[考试日期]])*(表成绩单[英语]&lt;9E+307)*(表成绩单[英语]&gt;表成绩单[[#This Row],[英语]]))+1)</f>
        <v>456</v>
      </c>
      <c r="S1897" s="29" cm="1">
        <f t="array" ref="S1897">IF(表成绩单[[#This Row],[物理]]="","",SUMPRODUCT((表成绩单[考试日期]=表成绩单[[#This Row],[考试日期]])*(表成绩单[物理]&lt;9E+307)*(表成绩单[物理]&gt;表成绩单[[#This Row],[物理]]))+1)</f>
        <v>297</v>
      </c>
      <c r="T1897" s="29" cm="1">
        <f t="array" ref="T1897">IF(表成绩单[[#This Row],[化学]]="","",SUMPRODUCT((表成绩单[考试日期]=表成绩单[[#This Row],[考试日期]])*(表成绩单[化学]&lt;9E+307)*(表成绩单[化学]&gt;表成绩单[[#This Row],[化学]]))+1)</f>
        <v>339</v>
      </c>
      <c r="U1897" s="29" cm="1">
        <f t="array" ref="U1897">IF(表成绩单[[#This Row],[政治]]="","",SUMPRODUCT((表成绩单[考试日期]=表成绩单[[#This Row],[考试日期]])*(表成绩单[政治]&lt;9E+307)*(表成绩单[政治]&gt;表成绩单[[#This Row],[政治]]))+1)</f>
        <v>111</v>
      </c>
      <c r="V1897" s="29" cm="1">
        <f t="array" ref="V1897">IF(表成绩单[[#This Row],[历史]]="","",SUMPRODUCT((表成绩单[考试日期]=表成绩单[[#This Row],[考试日期]])*(表成绩单[历史]&lt;9E+307)*(表成绩单[历史]&gt;表成绩单[[#This Row],[历史]]))+1)</f>
        <v>328</v>
      </c>
      <c r="W1897" s="29" cm="1">
        <f t="array" ref="W1897">IF(表成绩单[[#This Row],[总分]]="","",SUMPRODUCT((表成绩单[考试日期]=表成绩单[[#This Row],[考试日期]])*(表成绩单[总分]&lt;9E+307)*(表成绩单[总分]&gt;表成绩单[[#This Row],[总分]]))+1)</f>
        <v>291</v>
      </c>
    </row>
    <row r="1898" ht="28" customHeight="1" spans="4:23">
      <c r="D1898" s="31">
        <v>46030</v>
      </c>
      <c r="E1898" s="29">
        <v>19177663</v>
      </c>
      <c r="F1898" s="29" t="s">
        <v>63</v>
      </c>
      <c r="G1898" s="29" t="s">
        <v>412</v>
      </c>
      <c r="H1898" s="29">
        <v>103</v>
      </c>
      <c r="I1898" s="29">
        <v>87</v>
      </c>
      <c r="J1898" s="29">
        <v>67</v>
      </c>
      <c r="K1898" s="29">
        <v>80</v>
      </c>
      <c r="L1898" s="29">
        <v>73</v>
      </c>
      <c r="M1898" s="29">
        <v>65</v>
      </c>
      <c r="N1898" s="29">
        <v>62</v>
      </c>
      <c r="O1898" s="32">
        <v>537</v>
      </c>
      <c r="P1898" s="29" cm="1">
        <f t="array" ref="P1898">IF(表成绩单[[#This Row],[语文]]="","",SUMPRODUCT((表成绩单[考试日期]=表成绩单[[#This Row],[考试日期]])*(表成绩单[语文]&lt;9E+307)*(表成绩单[语文]&gt;表成绩单[[#This Row],[语文]]))+1)</f>
        <v>105</v>
      </c>
      <c r="Q1898" s="29" cm="1">
        <f t="array" ref="Q1898">IF(表成绩单[[#This Row],[数学]]="","",SUMPRODUCT((表成绩单[考试日期]=表成绩单[[#This Row],[考试日期]])*(表成绩单[数学]&lt;9E+307)*(表成绩单[数学]&gt;表成绩单[[#This Row],[数学]]))+1)</f>
        <v>270</v>
      </c>
      <c r="R1898" s="29" cm="1">
        <f t="array" ref="R1898">IF(表成绩单[[#This Row],[英语]]="","",SUMPRODUCT((表成绩单[考试日期]=表成绩单[[#This Row],[考试日期]])*(表成绩单[英语]&lt;9E+307)*(表成绩单[英语]&gt;表成绩单[[#This Row],[英语]]))+1)</f>
        <v>391</v>
      </c>
      <c r="S1898" s="29" cm="1">
        <f t="array" ref="S1898">IF(表成绩单[[#This Row],[物理]]="","",SUMPRODUCT((表成绩单[考试日期]=表成绩单[[#This Row],[考试日期]])*(表成绩单[物理]&lt;9E+307)*(表成绩单[物理]&gt;表成绩单[[#This Row],[物理]]))+1)</f>
        <v>137</v>
      </c>
      <c r="T1898" s="29" cm="1">
        <f t="array" ref="T1898">IF(表成绩单[[#This Row],[化学]]="","",SUMPRODUCT((表成绩单[考试日期]=表成绩单[[#This Row],[考试日期]])*(表成绩单[化学]&lt;9E+307)*(表成绩单[化学]&gt;表成绩单[[#This Row],[化学]]))+1)</f>
        <v>236</v>
      </c>
      <c r="U1898" s="29" cm="1">
        <f t="array" ref="U1898">IF(表成绩单[[#This Row],[政治]]="","",SUMPRODUCT((表成绩单[考试日期]=表成绩单[[#This Row],[考试日期]])*(表成绩单[政治]&lt;9E+307)*(表成绩单[政治]&gt;表成绩单[[#This Row],[政治]]))+1)</f>
        <v>431</v>
      </c>
      <c r="V1898" s="29" cm="1">
        <f t="array" ref="V1898">IF(表成绩单[[#This Row],[历史]]="","",SUMPRODUCT((表成绩单[考试日期]=表成绩单[[#This Row],[考试日期]])*(表成绩单[历史]&lt;9E+307)*(表成绩单[历史]&gt;表成绩单[[#This Row],[历史]]))+1)</f>
        <v>545</v>
      </c>
      <c r="W1898" s="29" cm="1">
        <f t="array" ref="W1898">IF(表成绩单[[#This Row],[总分]]="","",SUMPRODUCT((表成绩单[考试日期]=表成绩单[[#This Row],[考试日期]])*(表成绩单[总分]&lt;9E+307)*(表成绩单[总分]&gt;表成绩单[[#This Row],[总分]]))+1)</f>
        <v>291</v>
      </c>
    </row>
    <row r="1899" ht="28" customHeight="1" spans="4:23">
      <c r="D1899" s="31">
        <v>46030</v>
      </c>
      <c r="E1899" s="29">
        <v>19173795</v>
      </c>
      <c r="F1899" s="29" t="s">
        <v>65</v>
      </c>
      <c r="G1899" s="29" t="s">
        <v>541</v>
      </c>
      <c r="H1899" s="29">
        <v>99</v>
      </c>
      <c r="I1899" s="29">
        <v>88</v>
      </c>
      <c r="J1899" s="29">
        <v>49</v>
      </c>
      <c r="K1899" s="29">
        <v>74</v>
      </c>
      <c r="L1899" s="29">
        <v>69</v>
      </c>
      <c r="M1899" s="29">
        <v>79</v>
      </c>
      <c r="N1899" s="29">
        <v>78</v>
      </c>
      <c r="O1899" s="32">
        <v>536</v>
      </c>
      <c r="P1899" s="29" cm="1">
        <f t="array" ref="P1899">IF(表成绩单[[#This Row],[语文]]="","",SUMPRODUCT((表成绩单[考试日期]=表成绩单[[#This Row],[考试日期]])*(表成绩单[语文]&lt;9E+307)*(表成绩单[语文]&gt;表成绩单[[#This Row],[语文]]))+1)</f>
        <v>213</v>
      </c>
      <c r="Q1899" s="29" cm="1">
        <f t="array" ref="Q1899">IF(表成绩单[[#This Row],[数学]]="","",SUMPRODUCT((表成绩单[考试日期]=表成绩单[[#This Row],[考试日期]])*(表成绩单[数学]&lt;9E+307)*(表成绩单[数学]&gt;表成绩单[[#This Row],[数学]]))+1)</f>
        <v>245</v>
      </c>
      <c r="R1899" s="29" cm="1">
        <f t="array" ref="R1899">IF(表成绩单[[#This Row],[英语]]="","",SUMPRODUCT((表成绩单[考试日期]=表成绩单[[#This Row],[考试日期]])*(表成绩单[英语]&lt;9E+307)*(表成绩单[英语]&gt;表成绩单[[#This Row],[英语]]))+1)</f>
        <v>659</v>
      </c>
      <c r="S1899" s="29" cm="1">
        <f t="array" ref="S1899">IF(表成绩单[[#This Row],[物理]]="","",SUMPRODUCT((表成绩单[考试日期]=表成绩单[[#This Row],[考试日期]])*(表成绩单[物理]&lt;9E+307)*(表成绩单[物理]&gt;表成绩单[[#This Row],[物理]]))+1)</f>
        <v>258</v>
      </c>
      <c r="T1899" s="29" cm="1">
        <f t="array" ref="T1899">IF(表成绩单[[#This Row],[化学]]="","",SUMPRODUCT((表成绩单[考试日期]=表成绩单[[#This Row],[考试日期]])*(表成绩单[化学]&lt;9E+307)*(表成绩单[化学]&gt;表成绩单[[#This Row],[化学]]))+1)</f>
        <v>339</v>
      </c>
      <c r="U1899" s="29" cm="1">
        <f t="array" ref="U1899">IF(表成绩单[[#This Row],[政治]]="","",SUMPRODUCT((表成绩单[考试日期]=表成绩单[[#This Row],[考试日期]])*(表成绩单[政治]&lt;9E+307)*(表成绩单[政治]&gt;表成绩单[[#This Row],[政治]]))+1)</f>
        <v>42</v>
      </c>
      <c r="V1899" s="29" cm="1">
        <f t="array" ref="V1899">IF(表成绩单[[#This Row],[历史]]="","",SUMPRODUCT((表成绩单[考试日期]=表成绩单[[#This Row],[考试日期]])*(表成绩单[历史]&lt;9E+307)*(表成绩单[历史]&gt;表成绩单[[#This Row],[历史]]))+1)</f>
        <v>126</v>
      </c>
      <c r="W1899" s="29" cm="1">
        <f t="array" ref="W1899">IF(表成绩单[[#This Row],[总分]]="","",SUMPRODUCT((表成绩单[考试日期]=表成绩单[[#This Row],[考试日期]])*(表成绩单[总分]&lt;9E+307)*(表成绩单[总分]&gt;表成绩单[[#This Row],[总分]]))+1)</f>
        <v>293</v>
      </c>
    </row>
    <row r="1900" ht="28" customHeight="1" spans="4:23">
      <c r="D1900" s="31">
        <v>46030</v>
      </c>
      <c r="E1900" s="29">
        <v>19175692</v>
      </c>
      <c r="F1900" s="29" t="s">
        <v>72</v>
      </c>
      <c r="G1900" s="29" t="s">
        <v>338</v>
      </c>
      <c r="H1900" s="29">
        <v>98</v>
      </c>
      <c r="I1900" s="29">
        <v>88</v>
      </c>
      <c r="J1900" s="29">
        <v>73</v>
      </c>
      <c r="K1900" s="29">
        <v>64</v>
      </c>
      <c r="L1900" s="29">
        <v>64</v>
      </c>
      <c r="M1900" s="29">
        <v>65</v>
      </c>
      <c r="N1900" s="29">
        <v>84</v>
      </c>
      <c r="O1900" s="32">
        <v>536</v>
      </c>
      <c r="P1900" s="29" cm="1">
        <f t="array" ref="P1900">IF(表成绩单[[#This Row],[语文]]="","",SUMPRODUCT((表成绩单[考试日期]=表成绩单[[#This Row],[考试日期]])*(表成绩单[语文]&lt;9E+307)*(表成绩单[语文]&gt;表成绩单[[#This Row],[语文]]))+1)</f>
        <v>248</v>
      </c>
      <c r="Q1900" s="29" cm="1">
        <f t="array" ref="Q1900">IF(表成绩单[[#This Row],[数学]]="","",SUMPRODUCT((表成绩单[考试日期]=表成绩单[[#This Row],[考试日期]])*(表成绩单[数学]&lt;9E+307)*(表成绩单[数学]&gt;表成绩单[[#This Row],[数学]]))+1)</f>
        <v>245</v>
      </c>
      <c r="R1900" s="29" cm="1">
        <f t="array" ref="R1900">IF(表成绩单[[#This Row],[英语]]="","",SUMPRODUCT((表成绩单[考试日期]=表成绩单[[#This Row],[考试日期]])*(表成绩单[英语]&lt;9E+307)*(表成绩单[英语]&gt;表成绩单[[#This Row],[英语]]))+1)</f>
        <v>222</v>
      </c>
      <c r="S1900" s="29" cm="1">
        <f t="array" ref="S1900">IF(表成绩单[[#This Row],[物理]]="","",SUMPRODUCT((表成绩单[考试日期]=表成绩单[[#This Row],[考试日期]])*(表成绩单[物理]&lt;9E+307)*(表成绩单[物理]&gt;表成绩单[[#This Row],[物理]]))+1)</f>
        <v>441</v>
      </c>
      <c r="T1900" s="29" cm="1">
        <f t="array" ref="T1900">IF(表成绩单[[#This Row],[化学]]="","",SUMPRODUCT((表成绩单[考试日期]=表成绩单[[#This Row],[考试日期]])*(表成绩单[化学]&lt;9E+307)*(表成绩单[化学]&gt;表成绩单[[#This Row],[化学]]))+1)</f>
        <v>451</v>
      </c>
      <c r="U1900" s="29" cm="1">
        <f t="array" ref="U1900">IF(表成绩单[[#This Row],[政治]]="","",SUMPRODUCT((表成绩单[考试日期]=表成绩单[[#This Row],[考试日期]])*(表成绩单[政治]&lt;9E+307)*(表成绩单[政治]&gt;表成绩单[[#This Row],[政治]]))+1)</f>
        <v>431</v>
      </c>
      <c r="V1900" s="29" cm="1">
        <f t="array" ref="V1900">IF(表成绩单[[#This Row],[历史]]="","",SUMPRODUCT((表成绩单[考试日期]=表成绩单[[#This Row],[考试日期]])*(表成绩单[历史]&lt;9E+307)*(表成绩单[历史]&gt;表成绩单[[#This Row],[历史]]))+1)</f>
        <v>26</v>
      </c>
      <c r="W1900" s="29" cm="1">
        <f t="array" ref="W1900">IF(表成绩单[[#This Row],[总分]]="","",SUMPRODUCT((表成绩单[考试日期]=表成绩单[[#This Row],[考试日期]])*(表成绩单[总分]&lt;9E+307)*(表成绩单[总分]&gt;表成绩单[[#This Row],[总分]]))+1)</f>
        <v>293</v>
      </c>
    </row>
    <row r="1901" ht="28" customHeight="1" spans="4:23">
      <c r="D1901" s="31">
        <v>46030</v>
      </c>
      <c r="E1901" s="29">
        <v>19176864</v>
      </c>
      <c r="F1901" s="29" t="s">
        <v>71</v>
      </c>
      <c r="G1901" s="29" t="s">
        <v>310</v>
      </c>
      <c r="H1901" s="29">
        <v>93</v>
      </c>
      <c r="I1901" s="29">
        <v>97</v>
      </c>
      <c r="J1901" s="29">
        <v>71</v>
      </c>
      <c r="K1901" s="29">
        <v>72</v>
      </c>
      <c r="L1901" s="29">
        <v>68</v>
      </c>
      <c r="M1901" s="29">
        <v>74</v>
      </c>
      <c r="N1901" s="29">
        <v>61</v>
      </c>
      <c r="O1901" s="32">
        <v>536</v>
      </c>
      <c r="P1901" s="29" cm="1">
        <f t="array" ref="P1901">IF(表成绩单[[#This Row],[语文]]="","",SUMPRODUCT((表成绩单[考试日期]=表成绩单[[#This Row],[考试日期]])*(表成绩单[语文]&lt;9E+307)*(表成绩单[语文]&gt;表成绩单[[#This Row],[语文]]))+1)</f>
        <v>412</v>
      </c>
      <c r="Q1901" s="29" cm="1">
        <f t="array" ref="Q1901">IF(表成绩单[[#This Row],[数学]]="","",SUMPRODUCT((表成绩单[考试日期]=表成绩单[[#This Row],[考试日期]])*(表成绩单[数学]&lt;9E+307)*(表成绩单[数学]&gt;表成绩单[[#This Row],[数学]]))+1)</f>
        <v>142</v>
      </c>
      <c r="R1901" s="29" cm="1">
        <f t="array" ref="R1901">IF(表成绩单[[#This Row],[英语]]="","",SUMPRODUCT((表成绩单[考试日期]=表成绩单[[#This Row],[考试日期]])*(表成绩单[英语]&lt;9E+307)*(表成绩单[英语]&gt;表成绩单[[#This Row],[英语]]))+1)</f>
        <v>281</v>
      </c>
      <c r="S1901" s="29" cm="1">
        <f t="array" ref="S1901">IF(表成绩单[[#This Row],[物理]]="","",SUMPRODUCT((表成绩单[考试日期]=表成绩单[[#This Row],[考试日期]])*(表成绩单[物理]&lt;9E+307)*(表成绩单[物理]&gt;表成绩单[[#This Row],[物理]]))+1)</f>
        <v>297</v>
      </c>
      <c r="T1901" s="29" cm="1">
        <f t="array" ref="T1901">IF(表成绩单[[#This Row],[化学]]="","",SUMPRODUCT((表成绩单[考试日期]=表成绩单[[#This Row],[考试日期]])*(表成绩单[化学]&lt;9E+307)*(表成绩单[化学]&gt;表成绩单[[#This Row],[化学]]))+1)</f>
        <v>358</v>
      </c>
      <c r="U1901" s="29" cm="1">
        <f t="array" ref="U1901">IF(表成绩单[[#This Row],[政治]]="","",SUMPRODUCT((表成绩单[考试日期]=表成绩单[[#This Row],[考试日期]])*(表成绩单[政治]&lt;9E+307)*(表成绩单[政治]&gt;表成绩单[[#This Row],[政治]]))+1)</f>
        <v>168</v>
      </c>
      <c r="V1901" s="29" cm="1">
        <f t="array" ref="V1901">IF(表成绩单[[#This Row],[历史]]="","",SUMPRODUCT((表成绩单[考试日期]=表成绩单[[#This Row],[考试日期]])*(表成绩单[历史]&lt;9E+307)*(表成绩单[历史]&gt;表成绩单[[#This Row],[历史]]))+1)</f>
        <v>566</v>
      </c>
      <c r="W1901" s="29" cm="1">
        <f t="array" ref="W1901">IF(表成绩单[[#This Row],[总分]]="","",SUMPRODUCT((表成绩单[考试日期]=表成绩单[[#This Row],[考试日期]])*(表成绩单[总分]&lt;9E+307)*(表成绩单[总分]&gt;表成绩单[[#This Row],[总分]]))+1)</f>
        <v>293</v>
      </c>
    </row>
    <row r="1902" ht="28" customHeight="1" spans="4:23">
      <c r="D1902" s="31">
        <v>46030</v>
      </c>
      <c r="E1902" s="29">
        <v>19176885</v>
      </c>
      <c r="F1902" s="29" t="s">
        <v>71</v>
      </c>
      <c r="G1902" s="29" t="s">
        <v>384</v>
      </c>
      <c r="H1902" s="29">
        <v>92</v>
      </c>
      <c r="I1902" s="29">
        <v>105</v>
      </c>
      <c r="J1902" s="29">
        <v>55.5</v>
      </c>
      <c r="K1902" s="29">
        <v>72</v>
      </c>
      <c r="L1902" s="29">
        <v>74</v>
      </c>
      <c r="M1902" s="29">
        <v>71</v>
      </c>
      <c r="N1902" s="29">
        <v>66</v>
      </c>
      <c r="O1902" s="32">
        <v>535.5</v>
      </c>
      <c r="P1902" s="29" cm="1">
        <f t="array" ref="P1902">IF(表成绩单[[#This Row],[语文]]="","",SUMPRODUCT((表成绩单[考试日期]=表成绩单[[#This Row],[考试日期]])*(表成绩单[语文]&lt;9E+307)*(表成绩单[语文]&gt;表成绩单[[#This Row],[语文]]))+1)</f>
        <v>444</v>
      </c>
      <c r="Q1902" s="29" cm="1">
        <f t="array" ref="Q1902">IF(表成绩单[[#This Row],[数学]]="","",SUMPRODUCT((表成绩单[考试日期]=表成绩单[[#This Row],[考试日期]])*(表成绩单[数学]&lt;9E+307)*(表成绩单[数学]&gt;表成绩单[[#This Row],[数学]]))+1)</f>
        <v>64</v>
      </c>
      <c r="R1902" s="29" cm="1">
        <f t="array" ref="R1902">IF(表成绩单[[#This Row],[英语]]="","",SUMPRODUCT((表成绩单[考试日期]=表成绩单[[#This Row],[考试日期]])*(表成绩单[英语]&lt;9E+307)*(表成绩单[英语]&gt;表成绩单[[#This Row],[英语]]))+1)</f>
        <v>588</v>
      </c>
      <c r="S1902" s="29" cm="1">
        <f t="array" ref="S1902">IF(表成绩单[[#This Row],[物理]]="","",SUMPRODUCT((表成绩单[考试日期]=表成绩单[[#This Row],[考试日期]])*(表成绩单[物理]&lt;9E+307)*(表成绩单[物理]&gt;表成绩单[[#This Row],[物理]]))+1)</f>
        <v>297</v>
      </c>
      <c r="T1902" s="29" cm="1">
        <f t="array" ref="T1902">IF(表成绩单[[#This Row],[化学]]="","",SUMPRODUCT((表成绩单[考试日期]=表成绩单[[#This Row],[考试日期]])*(表成绩单[化学]&lt;9E+307)*(表成绩单[化学]&gt;表成绩单[[#This Row],[化学]]))+1)</f>
        <v>208</v>
      </c>
      <c r="U1902" s="29" cm="1">
        <f t="array" ref="U1902">IF(表成绩单[[#This Row],[政治]]="","",SUMPRODUCT((表成绩单[考试日期]=表成绩单[[#This Row],[考试日期]])*(表成绩单[政治]&lt;9E+307)*(表成绩单[政治]&gt;表成绩单[[#This Row],[政治]]))+1)</f>
        <v>248</v>
      </c>
      <c r="V1902" s="29" cm="1">
        <f t="array" ref="V1902">IF(表成绩单[[#This Row],[历史]]="","",SUMPRODUCT((表成绩单[考试日期]=表成绩单[[#This Row],[考试日期]])*(表成绩单[历史]&lt;9E+307)*(表成绩单[历史]&gt;表成绩单[[#This Row],[历史]]))+1)</f>
        <v>451</v>
      </c>
      <c r="W1902" s="29" cm="1">
        <f t="array" ref="W1902">IF(表成绩单[[#This Row],[总分]]="","",SUMPRODUCT((表成绩单[考试日期]=表成绩单[[#This Row],[考试日期]])*(表成绩单[总分]&lt;9E+307)*(表成绩单[总分]&gt;表成绩单[[#This Row],[总分]]))+1)</f>
        <v>296</v>
      </c>
    </row>
    <row r="1903" ht="28" customHeight="1" spans="4:23">
      <c r="D1903" s="31">
        <v>46030</v>
      </c>
      <c r="E1903" s="29">
        <v>19177224</v>
      </c>
      <c r="F1903" s="29" t="s">
        <v>70</v>
      </c>
      <c r="G1903" s="29" t="s">
        <v>305</v>
      </c>
      <c r="H1903" s="29">
        <v>99</v>
      </c>
      <c r="I1903" s="29">
        <v>91</v>
      </c>
      <c r="J1903" s="29">
        <v>74.5</v>
      </c>
      <c r="K1903" s="29">
        <v>68</v>
      </c>
      <c r="L1903" s="29">
        <v>73</v>
      </c>
      <c r="M1903" s="29">
        <v>66</v>
      </c>
      <c r="N1903" s="29">
        <v>64</v>
      </c>
      <c r="O1903" s="32">
        <v>535.5</v>
      </c>
      <c r="P1903" s="29" cm="1">
        <f t="array" ref="P1903">IF(表成绩单[[#This Row],[语文]]="","",SUMPRODUCT((表成绩单[考试日期]=表成绩单[[#This Row],[考试日期]])*(表成绩单[语文]&lt;9E+307)*(表成绩单[语文]&gt;表成绩单[[#This Row],[语文]]))+1)</f>
        <v>213</v>
      </c>
      <c r="Q1903" s="29" cm="1">
        <f t="array" ref="Q1903">IF(表成绩单[[#This Row],[数学]]="","",SUMPRODUCT((表成绩单[考试日期]=表成绩单[[#This Row],[考试日期]])*(表成绩单[数学]&lt;9E+307)*(表成绩单[数学]&gt;表成绩单[[#This Row],[数学]]))+1)</f>
        <v>204</v>
      </c>
      <c r="R1903" s="29" cm="1">
        <f t="array" ref="R1903">IF(表成绩单[[#This Row],[英语]]="","",SUMPRODUCT((表成绩单[考试日期]=表成绩单[[#This Row],[考试日期]])*(表成绩单[英语]&lt;9E+307)*(表成绩单[英语]&gt;表成绩单[[#This Row],[英语]]))+1)</f>
        <v>181</v>
      </c>
      <c r="S1903" s="29" cm="1">
        <f t="array" ref="S1903">IF(表成绩单[[#This Row],[物理]]="","",SUMPRODUCT((表成绩单[考试日期]=表成绩单[[#This Row],[考试日期]])*(表成绩单[物理]&lt;9E+307)*(表成绩单[物理]&gt;表成绩单[[#This Row],[物理]]))+1)</f>
        <v>372</v>
      </c>
      <c r="T1903" s="29" cm="1">
        <f t="array" ref="T1903">IF(表成绩单[[#This Row],[化学]]="","",SUMPRODUCT((表成绩单[考试日期]=表成绩单[[#This Row],[考试日期]])*(表成绩单[化学]&lt;9E+307)*(表成绩单[化学]&gt;表成绩单[[#This Row],[化学]]))+1)</f>
        <v>236</v>
      </c>
      <c r="U1903" s="29" cm="1">
        <f t="array" ref="U1903">IF(表成绩单[[#This Row],[政治]]="","",SUMPRODUCT((表成绩单[考试日期]=表成绩单[[#This Row],[考试日期]])*(表成绩单[政治]&lt;9E+307)*(表成绩单[政治]&gt;表成绩单[[#This Row],[政治]]))+1)</f>
        <v>397</v>
      </c>
      <c r="V1903" s="29" cm="1">
        <f t="array" ref="V1903">IF(表成绩单[[#This Row],[历史]]="","",SUMPRODUCT((表成绩单[考试日期]=表成绩单[[#This Row],[考试日期]])*(表成绩单[历史]&lt;9E+307)*(表成绩单[历史]&gt;表成绩单[[#This Row],[历史]]))+1)</f>
        <v>509</v>
      </c>
      <c r="W1903" s="29" cm="1">
        <f t="array" ref="W1903">IF(表成绩单[[#This Row],[总分]]="","",SUMPRODUCT((表成绩单[考试日期]=表成绩单[[#This Row],[考试日期]])*(表成绩单[总分]&lt;9E+307)*(表成绩单[总分]&gt;表成绩单[[#This Row],[总分]]))+1)</f>
        <v>296</v>
      </c>
    </row>
    <row r="1904" ht="28" customHeight="1" spans="4:23">
      <c r="D1904" s="31">
        <v>46030</v>
      </c>
      <c r="E1904" s="29">
        <v>19178628</v>
      </c>
      <c r="F1904" s="29" t="s">
        <v>25</v>
      </c>
      <c r="G1904" s="29" t="s">
        <v>266</v>
      </c>
      <c r="H1904" s="29">
        <v>103</v>
      </c>
      <c r="I1904" s="29">
        <v>73</v>
      </c>
      <c r="J1904" s="29">
        <v>77.5</v>
      </c>
      <c r="K1904" s="29">
        <v>69</v>
      </c>
      <c r="L1904" s="29">
        <v>66</v>
      </c>
      <c r="M1904" s="29">
        <v>75</v>
      </c>
      <c r="N1904" s="29">
        <v>72</v>
      </c>
      <c r="O1904" s="32">
        <v>535.5</v>
      </c>
      <c r="P1904" s="29" cm="1">
        <f t="array" ref="P1904">IF(表成绩单[[#This Row],[语文]]="","",SUMPRODUCT((表成绩单[考试日期]=表成绩单[[#This Row],[考试日期]])*(表成绩单[语文]&lt;9E+307)*(表成绩单[语文]&gt;表成绩单[[#This Row],[语文]]))+1)</f>
        <v>105</v>
      </c>
      <c r="Q1904" s="29" cm="1">
        <f t="array" ref="Q1904">IF(表成绩单[[#This Row],[数学]]="","",SUMPRODUCT((表成绩单[考试日期]=表成绩单[[#This Row],[考试日期]])*(表成绩单[数学]&lt;9E+307)*(表成绩单[数学]&gt;表成绩单[[#This Row],[数学]]))+1)</f>
        <v>547</v>
      </c>
      <c r="R1904" s="29" cm="1">
        <f t="array" ref="R1904">IF(表成绩单[[#This Row],[英语]]="","",SUMPRODUCT((表成绩单[考试日期]=表成绩单[[#This Row],[考试日期]])*(表成绩单[英语]&lt;9E+307)*(表成绩单[英语]&gt;表成绩单[[#This Row],[英语]]))+1)</f>
        <v>89</v>
      </c>
      <c r="S1904" s="29" cm="1">
        <f t="array" ref="S1904">IF(表成绩单[[#This Row],[物理]]="","",SUMPRODUCT((表成绩单[考试日期]=表成绩单[[#This Row],[考试日期]])*(表成绩单[物理]&lt;9E+307)*(表成绩单[物理]&gt;表成绩单[[#This Row],[物理]]))+1)</f>
        <v>356</v>
      </c>
      <c r="T1904" s="29" cm="1">
        <f t="array" ref="T1904">IF(表成绩单[[#This Row],[化学]]="","",SUMPRODUCT((表成绩单[考试日期]=表成绩单[[#This Row],[考试日期]])*(表成绩单[化学]&lt;9E+307)*(表成绩单[化学]&gt;表成绩单[[#This Row],[化学]]))+1)</f>
        <v>414</v>
      </c>
      <c r="U1904" s="29" cm="1">
        <f t="array" ref="U1904">IF(表成绩单[[#This Row],[政治]]="","",SUMPRODUCT((表成绩单[考试日期]=表成绩单[[#This Row],[考试日期]])*(表成绩单[政治]&lt;9E+307)*(表成绩单[政治]&gt;表成绩单[[#This Row],[政治]]))+1)</f>
        <v>137</v>
      </c>
      <c r="V1904" s="29" cm="1">
        <f t="array" ref="V1904">IF(表成绩单[[#This Row],[历史]]="","",SUMPRODUCT((表成绩单[考试日期]=表成绩单[[#This Row],[考试日期]])*(表成绩单[历史]&lt;9E+307)*(表成绩单[历史]&gt;表成绩单[[#This Row],[历史]]))+1)</f>
        <v>266</v>
      </c>
      <c r="W1904" s="29" cm="1">
        <f t="array" ref="W1904">IF(表成绩单[[#This Row],[总分]]="","",SUMPRODUCT((表成绩单[考试日期]=表成绩单[[#This Row],[考试日期]])*(表成绩单[总分]&lt;9E+307)*(表成绩单[总分]&gt;表成绩单[[#This Row],[总分]]))+1)</f>
        <v>296</v>
      </c>
    </row>
    <row r="1905" ht="28" customHeight="1" spans="4:23">
      <c r="D1905" s="31">
        <v>46030</v>
      </c>
      <c r="E1905" s="29">
        <v>19173764</v>
      </c>
      <c r="F1905" s="29" t="s">
        <v>65</v>
      </c>
      <c r="G1905" s="29" t="s">
        <v>424</v>
      </c>
      <c r="H1905" s="29">
        <v>93</v>
      </c>
      <c r="I1905" s="29">
        <v>79</v>
      </c>
      <c r="J1905" s="29">
        <v>72</v>
      </c>
      <c r="K1905" s="29">
        <v>75</v>
      </c>
      <c r="L1905" s="29">
        <v>70</v>
      </c>
      <c r="M1905" s="29">
        <v>79</v>
      </c>
      <c r="N1905" s="29">
        <v>67</v>
      </c>
      <c r="O1905" s="32">
        <v>535</v>
      </c>
      <c r="P1905" s="29" cm="1">
        <f t="array" ref="P1905">IF(表成绩单[[#This Row],[语文]]="","",SUMPRODUCT((表成绩单[考试日期]=表成绩单[[#This Row],[考试日期]])*(表成绩单[语文]&lt;9E+307)*(表成绩单[语文]&gt;表成绩单[[#This Row],[语文]]))+1)</f>
        <v>412</v>
      </c>
      <c r="Q1905" s="29" cm="1">
        <f t="array" ref="Q1905">IF(表成绩单[[#This Row],[数学]]="","",SUMPRODUCT((表成绩单[考试日期]=表成绩单[[#This Row],[考试日期]])*(表成绩单[数学]&lt;9E+307)*(表成绩单[数学]&gt;表成绩单[[#This Row],[数学]]))+1)</f>
        <v>427</v>
      </c>
      <c r="R1905" s="29" cm="1">
        <f t="array" ref="R1905">IF(表成绩单[[#This Row],[英语]]="","",SUMPRODUCT((表成绩单[考试日期]=表成绩单[[#This Row],[考试日期]])*(表成绩单[英语]&lt;9E+307)*(表成绩单[英语]&gt;表成绩单[[#This Row],[英语]]))+1)</f>
        <v>258</v>
      </c>
      <c r="S1905" s="29" cm="1">
        <f t="array" ref="S1905">IF(表成绩单[[#This Row],[物理]]="","",SUMPRODUCT((表成绩单[考试日期]=表成绩单[[#This Row],[考试日期]])*(表成绩单[物理]&lt;9E+307)*(表成绩单[物理]&gt;表成绩单[[#This Row],[物理]]))+1)</f>
        <v>241</v>
      </c>
      <c r="T1905" s="29" cm="1">
        <f t="array" ref="T1905">IF(表成绩单[[#This Row],[化学]]="","",SUMPRODUCT((表成绩单[考试日期]=表成绩单[[#This Row],[考试日期]])*(表成绩单[化学]&lt;9E+307)*(表成绩单[化学]&gt;表成绩单[[#This Row],[化学]]))+1)</f>
        <v>318</v>
      </c>
      <c r="U1905" s="29" cm="1">
        <f t="array" ref="U1905">IF(表成绩单[[#This Row],[政治]]="","",SUMPRODUCT((表成绩单[考试日期]=表成绩单[[#This Row],[考试日期]])*(表成绩单[政治]&lt;9E+307)*(表成绩单[政治]&gt;表成绩单[[#This Row],[政治]]))+1)</f>
        <v>42</v>
      </c>
      <c r="V1905" s="29" cm="1">
        <f t="array" ref="V1905">IF(表成绩单[[#This Row],[历史]]="","",SUMPRODUCT((表成绩单[考试日期]=表成绩单[[#This Row],[考试日期]])*(表成绩单[历史]&lt;9E+307)*(表成绩单[历史]&gt;表成绩单[[#This Row],[历史]]))+1)</f>
        <v>415</v>
      </c>
      <c r="W1905" s="29" cm="1">
        <f t="array" ref="W1905">IF(表成绩单[[#This Row],[总分]]="","",SUMPRODUCT((表成绩单[考试日期]=表成绩单[[#This Row],[考试日期]])*(表成绩单[总分]&lt;9E+307)*(表成绩单[总分]&gt;表成绩单[[#This Row],[总分]]))+1)</f>
        <v>299</v>
      </c>
    </row>
    <row r="1906" ht="28" customHeight="1" spans="4:23">
      <c r="D1906" s="31">
        <v>46030</v>
      </c>
      <c r="E1906" s="29">
        <v>19174780</v>
      </c>
      <c r="F1906" s="29" t="s">
        <v>69</v>
      </c>
      <c r="G1906" s="29" t="s">
        <v>370</v>
      </c>
      <c r="H1906" s="29">
        <v>94</v>
      </c>
      <c r="I1906" s="29">
        <v>87</v>
      </c>
      <c r="J1906" s="29">
        <v>69</v>
      </c>
      <c r="K1906" s="29">
        <v>76</v>
      </c>
      <c r="L1906" s="29">
        <v>76</v>
      </c>
      <c r="M1906" s="29">
        <v>62</v>
      </c>
      <c r="N1906" s="29">
        <v>71</v>
      </c>
      <c r="O1906" s="32">
        <v>535</v>
      </c>
      <c r="P1906" s="29" cm="1">
        <f t="array" ref="P1906">IF(表成绩单[[#This Row],[语文]]="","",SUMPRODUCT((表成绩单[考试日期]=表成绩单[[#This Row],[考试日期]])*(表成绩单[语文]&lt;9E+307)*(表成绩单[语文]&gt;表成绩单[[#This Row],[语文]]))+1)</f>
        <v>381</v>
      </c>
      <c r="Q1906" s="29" cm="1">
        <f t="array" ref="Q1906">IF(表成绩单[[#This Row],[数学]]="","",SUMPRODUCT((表成绩单[考试日期]=表成绩单[[#This Row],[考试日期]])*(表成绩单[数学]&lt;9E+307)*(表成绩单[数学]&gt;表成绩单[[#This Row],[数学]]))+1)</f>
        <v>270</v>
      </c>
      <c r="R1906" s="29" cm="1">
        <f t="array" ref="R1906">IF(表成绩单[[#This Row],[英语]]="","",SUMPRODUCT((表成绩单[考试日期]=表成绩单[[#This Row],[考试日期]])*(表成绩单[英语]&lt;9E+307)*(表成绩单[英语]&gt;表成绩单[[#This Row],[英语]]))+1)</f>
        <v>342</v>
      </c>
      <c r="S1906" s="29" cm="1">
        <f t="array" ref="S1906">IF(表成绩单[[#This Row],[物理]]="","",SUMPRODUCT((表成绩单[考试日期]=表成绩单[[#This Row],[考试日期]])*(表成绩单[物理]&lt;9E+307)*(表成绩单[物理]&gt;表成绩单[[#This Row],[物理]]))+1)</f>
        <v>218</v>
      </c>
      <c r="T1906" s="29" cm="1">
        <f t="array" ref="T1906">IF(表成绩单[[#This Row],[化学]]="","",SUMPRODUCT((表成绩单[考试日期]=表成绩单[[#This Row],[考试日期]])*(表成绩单[化学]&lt;9E+307)*(表成绩单[化学]&gt;表成绩单[[#This Row],[化学]]))+1)</f>
        <v>139</v>
      </c>
      <c r="U1906" s="29" cm="1">
        <f t="array" ref="U1906">IF(表成绩单[[#This Row],[政治]]="","",SUMPRODUCT((表成绩单[考试日期]=表成绩单[[#This Row],[考试日期]])*(表成绩单[政治]&lt;9E+307)*(表成绩单[政治]&gt;表成绩单[[#This Row],[政治]]))+1)</f>
        <v>508</v>
      </c>
      <c r="V1906" s="29" cm="1">
        <f t="array" ref="V1906">IF(表成绩单[[#This Row],[历史]]="","",SUMPRODUCT((表成绩单[考试日期]=表成绩单[[#This Row],[考试日期]])*(表成绩单[历史]&lt;9E+307)*(表成绩单[历史]&gt;表成绩单[[#This Row],[历史]]))+1)</f>
        <v>297</v>
      </c>
      <c r="W1906" s="29" cm="1">
        <f t="array" ref="W1906">IF(表成绩单[[#This Row],[总分]]="","",SUMPRODUCT((表成绩单[考试日期]=表成绩单[[#This Row],[考试日期]])*(表成绩单[总分]&lt;9E+307)*(表成绩单[总分]&gt;表成绩单[[#This Row],[总分]]))+1)</f>
        <v>299</v>
      </c>
    </row>
    <row r="1907" ht="28" customHeight="1" spans="4:23">
      <c r="D1907" s="31">
        <v>46030</v>
      </c>
      <c r="E1907" s="29">
        <v>19174437</v>
      </c>
      <c r="F1907" s="29" t="s">
        <v>73</v>
      </c>
      <c r="G1907" s="29" t="s">
        <v>453</v>
      </c>
      <c r="H1907" s="29">
        <v>87</v>
      </c>
      <c r="I1907" s="29">
        <v>86</v>
      </c>
      <c r="J1907" s="29">
        <v>74.5</v>
      </c>
      <c r="K1907" s="29">
        <v>76</v>
      </c>
      <c r="L1907" s="29">
        <v>69</v>
      </c>
      <c r="M1907" s="29">
        <v>73</v>
      </c>
      <c r="N1907" s="29">
        <v>69</v>
      </c>
      <c r="O1907" s="32">
        <v>534.5</v>
      </c>
      <c r="P1907" s="29" cm="1">
        <f t="array" ref="P1907">IF(表成绩单[[#This Row],[语文]]="","",SUMPRODUCT((表成绩单[考试日期]=表成绩单[[#This Row],[考试日期]])*(表成绩单[语文]&lt;9E+307)*(表成绩单[语文]&gt;表成绩单[[#This Row],[语文]]))+1)</f>
        <v>581</v>
      </c>
      <c r="Q1907" s="29" cm="1">
        <f t="array" ref="Q1907">IF(表成绩单[[#This Row],[数学]]="","",SUMPRODUCT((表成绩单[考试日期]=表成绩单[[#This Row],[考试日期]])*(表成绩单[数学]&lt;9E+307)*(表成绩单[数学]&gt;表成绩单[[#This Row],[数学]]))+1)</f>
        <v>302</v>
      </c>
      <c r="R1907" s="29" cm="1">
        <f t="array" ref="R1907">IF(表成绩单[[#This Row],[英语]]="","",SUMPRODUCT((表成绩单[考试日期]=表成绩单[[#This Row],[考试日期]])*(表成绩单[英语]&lt;9E+307)*(表成绩单[英语]&gt;表成绩单[[#This Row],[英语]]))+1)</f>
        <v>181</v>
      </c>
      <c r="S1907" s="29" cm="1">
        <f t="array" ref="S1907">IF(表成绩单[[#This Row],[物理]]="","",SUMPRODUCT((表成绩单[考试日期]=表成绩单[[#This Row],[考试日期]])*(表成绩单[物理]&lt;9E+307)*(表成绩单[物理]&gt;表成绩单[[#This Row],[物理]]))+1)</f>
        <v>218</v>
      </c>
      <c r="T1907" s="29" cm="1">
        <f t="array" ref="T1907">IF(表成绩单[[#This Row],[化学]]="","",SUMPRODUCT((表成绩单[考试日期]=表成绩单[[#This Row],[考试日期]])*(表成绩单[化学]&lt;9E+307)*(表成绩单[化学]&gt;表成绩单[[#This Row],[化学]]))+1)</f>
        <v>339</v>
      </c>
      <c r="U1907" s="29" cm="1">
        <f t="array" ref="U1907">IF(表成绩单[[#This Row],[政治]]="","",SUMPRODUCT((表成绩单[考试日期]=表成绩单[[#This Row],[考试日期]])*(表成绩单[政治]&lt;9E+307)*(表成绩单[政治]&gt;表成绩单[[#This Row],[政治]]))+1)</f>
        <v>197</v>
      </c>
      <c r="V1907" s="29" cm="1">
        <f t="array" ref="V1907">IF(表成绩单[[#This Row],[历史]]="","",SUMPRODUCT((表成绩单[考试日期]=表成绩单[[#This Row],[考试日期]])*(表成绩单[历史]&lt;9E+307)*(表成绩单[历史]&gt;表成绩单[[#This Row],[历史]]))+1)</f>
        <v>366</v>
      </c>
      <c r="W1907" s="29" cm="1">
        <f t="array" ref="W1907">IF(表成绩单[[#This Row],[总分]]="","",SUMPRODUCT((表成绩单[考试日期]=表成绩单[[#This Row],[考试日期]])*(表成绩单[总分]&lt;9E+307)*(表成绩单[总分]&gt;表成绩单[[#This Row],[总分]]))+1)</f>
        <v>301</v>
      </c>
    </row>
    <row r="1908" ht="28" customHeight="1" spans="4:23">
      <c r="D1908" s="31">
        <v>46030</v>
      </c>
      <c r="E1908" s="29">
        <v>19176166</v>
      </c>
      <c r="F1908" s="29" t="s">
        <v>67</v>
      </c>
      <c r="G1908" s="29" t="s">
        <v>360</v>
      </c>
      <c r="H1908" s="29">
        <v>88</v>
      </c>
      <c r="I1908" s="29">
        <v>94</v>
      </c>
      <c r="J1908" s="29">
        <v>72.5</v>
      </c>
      <c r="K1908" s="29">
        <v>73</v>
      </c>
      <c r="L1908" s="29">
        <v>67</v>
      </c>
      <c r="M1908" s="29">
        <v>67</v>
      </c>
      <c r="N1908" s="29">
        <v>73</v>
      </c>
      <c r="O1908" s="32">
        <v>534.5</v>
      </c>
      <c r="P1908" s="29" cm="1">
        <f t="array" ref="P1908">IF(表成绩单[[#This Row],[语文]]="","",SUMPRODUCT((表成绩单[考试日期]=表成绩单[[#This Row],[考试日期]])*(表成绩单[语文]&lt;9E+307)*(表成绩单[语文]&gt;表成绩单[[#This Row],[语文]]))+1)</f>
        <v>562</v>
      </c>
      <c r="Q1908" s="29" cm="1">
        <f t="array" ref="Q1908">IF(表成绩单[[#This Row],[数学]]="","",SUMPRODUCT((表成绩单[考试日期]=表成绩单[[#This Row],[考试日期]])*(表成绩单[数学]&lt;9E+307)*(表成绩单[数学]&gt;表成绩单[[#This Row],[数学]]))+1)</f>
        <v>178</v>
      </c>
      <c r="R1908" s="29" cm="1">
        <f t="array" ref="R1908">IF(表成绩单[[#This Row],[英语]]="","",SUMPRODUCT((表成绩单[考试日期]=表成绩单[[#This Row],[考试日期]])*(表成绩单[英语]&lt;9E+307)*(表成绩单[英语]&gt;表成绩单[[#This Row],[英语]]))+1)</f>
        <v>242</v>
      </c>
      <c r="S1908" s="29" cm="1">
        <f t="array" ref="S1908">IF(表成绩单[[#This Row],[物理]]="","",SUMPRODUCT((表成绩单[考试日期]=表成绩单[[#This Row],[考试日期]])*(表成绩单[物理]&lt;9E+307)*(表成绩单[物理]&gt;表成绩单[[#This Row],[物理]]))+1)</f>
        <v>271</v>
      </c>
      <c r="T1908" s="29" cm="1">
        <f t="array" ref="T1908">IF(表成绩单[[#This Row],[化学]]="","",SUMPRODUCT((表成绩单[考试日期]=表成绩单[[#This Row],[考试日期]])*(表成绩单[化学]&lt;9E+307)*(表成绩单[化学]&gt;表成绩单[[#This Row],[化学]]))+1)</f>
        <v>381</v>
      </c>
      <c r="U1908" s="29" cm="1">
        <f t="array" ref="U1908">IF(表成绩单[[#This Row],[政治]]="","",SUMPRODUCT((表成绩单[考试日期]=表成绩单[[#This Row],[考试日期]])*(表成绩单[政治]&lt;9E+307)*(表成绩单[政治]&gt;表成绩单[[#This Row],[政治]]))+1)</f>
        <v>370</v>
      </c>
      <c r="V1908" s="29" cm="1">
        <f t="array" ref="V1908">IF(表成绩单[[#This Row],[历史]]="","",SUMPRODUCT((表成绩单[考试日期]=表成绩单[[#This Row],[考试日期]])*(表成绩单[历史]&lt;9E+307)*(表成绩单[历史]&gt;表成绩单[[#This Row],[历史]]))+1)</f>
        <v>240</v>
      </c>
      <c r="W1908" s="29" cm="1">
        <f t="array" ref="W1908">IF(表成绩单[[#This Row],[总分]]="","",SUMPRODUCT((表成绩单[考试日期]=表成绩单[[#This Row],[考试日期]])*(表成绩单[总分]&lt;9E+307)*(表成绩单[总分]&gt;表成绩单[[#This Row],[总分]]))+1)</f>
        <v>301</v>
      </c>
    </row>
    <row r="1909" ht="28" customHeight="1" spans="4:23">
      <c r="D1909" s="31">
        <v>46030</v>
      </c>
      <c r="E1909" s="29">
        <v>19173533</v>
      </c>
      <c r="F1909" s="29" t="s">
        <v>1</v>
      </c>
      <c r="G1909" s="29" t="s">
        <v>369</v>
      </c>
      <c r="H1909" s="29">
        <v>99</v>
      </c>
      <c r="I1909" s="29">
        <v>90</v>
      </c>
      <c r="J1909" s="29">
        <v>78</v>
      </c>
      <c r="K1909" s="29">
        <v>66</v>
      </c>
      <c r="L1909" s="29">
        <v>65</v>
      </c>
      <c r="M1909" s="29">
        <v>70</v>
      </c>
      <c r="N1909" s="29">
        <v>66</v>
      </c>
      <c r="O1909" s="32">
        <v>534</v>
      </c>
      <c r="P1909" s="29" cm="1">
        <f t="array" ref="P1909">IF(表成绩单[[#This Row],[语文]]="","",SUMPRODUCT((表成绩单[考试日期]=表成绩单[[#This Row],[考试日期]])*(表成绩单[语文]&lt;9E+307)*(表成绩单[语文]&gt;表成绩单[[#This Row],[语文]]))+1)</f>
        <v>213</v>
      </c>
      <c r="Q1909" s="29" cm="1">
        <f t="array" ref="Q1909">IF(表成绩单[[#This Row],[数学]]="","",SUMPRODUCT((表成绩单[考试日期]=表成绩单[[#This Row],[考试日期]])*(表成绩单[数学]&lt;9E+307)*(表成绩单[数学]&gt;表成绩单[[#This Row],[数学]]))+1)</f>
        <v>215</v>
      </c>
      <c r="R1909" s="29" cm="1">
        <f t="array" ref="R1909">IF(表成绩单[[#This Row],[英语]]="","",SUMPRODUCT((表成绩单[考试日期]=表成绩单[[#This Row],[考试日期]])*(表成绩单[英语]&lt;9E+307)*(表成绩单[英语]&gt;表成绩单[[#This Row],[英语]]))+1)</f>
        <v>79</v>
      </c>
      <c r="S1909" s="29" cm="1">
        <f t="array" ref="S1909">IF(表成绩单[[#This Row],[物理]]="","",SUMPRODUCT((表成绩单[考试日期]=表成绩单[[#This Row],[考试日期]])*(表成绩单[物理]&lt;9E+307)*(表成绩单[物理]&gt;表成绩单[[#This Row],[物理]]))+1)</f>
        <v>415</v>
      </c>
      <c r="T1909" s="29" cm="1">
        <f t="array" ref="T1909">IF(表成绩单[[#This Row],[化学]]="","",SUMPRODUCT((表成绩单[考试日期]=表成绩单[[#This Row],[考试日期]])*(表成绩单[化学]&lt;9E+307)*(表成绩单[化学]&gt;表成绩单[[#This Row],[化学]]))+1)</f>
        <v>439</v>
      </c>
      <c r="U1909" s="29" cm="1">
        <f t="array" ref="U1909">IF(表成绩单[[#This Row],[政治]]="","",SUMPRODUCT((表成绩单[考试日期]=表成绩单[[#This Row],[考试日期]])*(表成绩单[政治]&lt;9E+307)*(表成绩单[政治]&gt;表成绩单[[#This Row],[政治]]))+1)</f>
        <v>274</v>
      </c>
      <c r="V1909" s="29" cm="1">
        <f t="array" ref="V1909">IF(表成绩单[[#This Row],[历史]]="","",SUMPRODUCT((表成绩单[考试日期]=表成绩单[[#This Row],[考试日期]])*(表成绩单[历史]&lt;9E+307)*(表成绩单[历史]&gt;表成绩单[[#This Row],[历史]]))+1)</f>
        <v>451</v>
      </c>
      <c r="W1909" s="29" cm="1">
        <f t="array" ref="W1909">IF(表成绩单[[#This Row],[总分]]="","",SUMPRODUCT((表成绩单[考试日期]=表成绩单[[#This Row],[考试日期]])*(表成绩单[总分]&lt;9E+307)*(表成绩单[总分]&gt;表成绩单[[#This Row],[总分]]))+1)</f>
        <v>303</v>
      </c>
    </row>
    <row r="1910" ht="28" customHeight="1" spans="4:23">
      <c r="D1910" s="31">
        <v>46030</v>
      </c>
      <c r="E1910" s="29">
        <v>19173774</v>
      </c>
      <c r="F1910" s="29" t="s">
        <v>65</v>
      </c>
      <c r="G1910" s="29" t="s">
        <v>444</v>
      </c>
      <c r="H1910" s="29">
        <v>100</v>
      </c>
      <c r="I1910" s="29">
        <v>67</v>
      </c>
      <c r="J1910" s="29">
        <v>72</v>
      </c>
      <c r="K1910" s="29">
        <v>62</v>
      </c>
      <c r="L1910" s="29">
        <v>75</v>
      </c>
      <c r="M1910" s="29">
        <v>76</v>
      </c>
      <c r="N1910" s="29">
        <v>82</v>
      </c>
      <c r="O1910" s="32">
        <v>534</v>
      </c>
      <c r="P1910" s="29" cm="1">
        <f t="array" ref="P1910">IF(表成绩单[[#This Row],[语文]]="","",SUMPRODUCT((表成绩单[考试日期]=表成绩单[[#This Row],[考试日期]])*(表成绩单[语文]&lt;9E+307)*(表成绩单[语文]&gt;表成绩单[[#This Row],[语文]]))+1)</f>
        <v>182</v>
      </c>
      <c r="Q1910" s="29" cm="1">
        <f t="array" ref="Q1910">IF(表成绩单[[#This Row],[数学]]="","",SUMPRODUCT((表成绩单[考试日期]=表成绩单[[#This Row],[考试日期]])*(表成绩单[数学]&lt;9E+307)*(表成绩单[数学]&gt;表成绩单[[#This Row],[数学]]))+1)</f>
        <v>620</v>
      </c>
      <c r="R1910" s="29" cm="1">
        <f t="array" ref="R1910">IF(表成绩单[[#This Row],[英语]]="","",SUMPRODUCT((表成绩单[考试日期]=表成绩单[[#This Row],[考试日期]])*(表成绩单[英语]&lt;9E+307)*(表成绩单[英语]&gt;表成绩单[[#This Row],[英语]]))+1)</f>
        <v>258</v>
      </c>
      <c r="S1910" s="29" cm="1">
        <f t="array" ref="S1910">IF(表成绩单[[#This Row],[物理]]="","",SUMPRODUCT((表成绩单[考试日期]=表成绩单[[#This Row],[考试日期]])*(表成绩单[物理]&lt;9E+307)*(表成绩单[物理]&gt;表成绩单[[#This Row],[物理]]))+1)</f>
        <v>470</v>
      </c>
      <c r="T1910" s="29" cm="1">
        <f t="array" ref="T1910">IF(表成绩单[[#This Row],[化学]]="","",SUMPRODUCT((表成绩单[考试日期]=表成绩单[[#This Row],[考试日期]])*(表成绩单[化学]&lt;9E+307)*(表成绩单[化学]&gt;表成绩单[[#This Row],[化学]]))+1)</f>
        <v>169</v>
      </c>
      <c r="U1910" s="29" cm="1">
        <f t="array" ref="U1910">IF(表成绩单[[#This Row],[政治]]="","",SUMPRODUCT((表成绩单[考试日期]=表成绩单[[#This Row],[考试日期]])*(表成绩单[政治]&lt;9E+307)*(表成绩单[政治]&gt;表成绩单[[#This Row],[政治]]))+1)</f>
        <v>111</v>
      </c>
      <c r="V1910" s="29" cm="1">
        <f t="array" ref="V1910">IF(表成绩单[[#This Row],[历史]]="","",SUMPRODUCT((表成绩单[考试日期]=表成绩单[[#This Row],[考试日期]])*(表成绩单[历史]&lt;9E+307)*(表成绩单[历史]&gt;表成绩单[[#This Row],[历史]]))+1)</f>
        <v>41</v>
      </c>
      <c r="W1910" s="29" cm="1">
        <f t="array" ref="W1910">IF(表成绩单[[#This Row],[总分]]="","",SUMPRODUCT((表成绩单[考试日期]=表成绩单[[#This Row],[考试日期]])*(表成绩单[总分]&lt;9E+307)*(表成绩单[总分]&gt;表成绩单[[#This Row],[总分]]))+1)</f>
        <v>303</v>
      </c>
    </row>
    <row r="1911" ht="28" customHeight="1" spans="4:23">
      <c r="D1911" s="31">
        <v>46030</v>
      </c>
      <c r="E1911" s="29">
        <v>19175408</v>
      </c>
      <c r="F1911" s="29" t="s">
        <v>74</v>
      </c>
      <c r="G1911" s="29" t="s">
        <v>308</v>
      </c>
      <c r="H1911" s="29">
        <v>88</v>
      </c>
      <c r="I1911" s="29">
        <v>97</v>
      </c>
      <c r="J1911" s="29">
        <v>67</v>
      </c>
      <c r="K1911" s="29">
        <v>77</v>
      </c>
      <c r="L1911" s="29">
        <v>73</v>
      </c>
      <c r="M1911" s="29">
        <v>64</v>
      </c>
      <c r="N1911" s="29">
        <v>68</v>
      </c>
      <c r="O1911" s="32">
        <v>534</v>
      </c>
      <c r="P1911" s="29" cm="1">
        <f t="array" ref="P1911">IF(表成绩单[[#This Row],[语文]]="","",SUMPRODUCT((表成绩单[考试日期]=表成绩单[[#This Row],[考试日期]])*(表成绩单[语文]&lt;9E+307)*(表成绩单[语文]&gt;表成绩单[[#This Row],[语文]]))+1)</f>
        <v>562</v>
      </c>
      <c r="Q1911" s="29" cm="1">
        <f t="array" ref="Q1911">IF(表成绩单[[#This Row],[数学]]="","",SUMPRODUCT((表成绩单[考试日期]=表成绩单[[#This Row],[考试日期]])*(表成绩单[数学]&lt;9E+307)*(表成绩单[数学]&gt;表成绩单[[#This Row],[数学]]))+1)</f>
        <v>142</v>
      </c>
      <c r="R1911" s="29" cm="1">
        <f t="array" ref="R1911">IF(表成绩单[[#This Row],[英语]]="","",SUMPRODUCT((表成绩单[考试日期]=表成绩单[[#This Row],[考试日期]])*(表成绩单[英语]&lt;9E+307)*(表成绩单[英语]&gt;表成绩单[[#This Row],[英语]]))+1)</f>
        <v>391</v>
      </c>
      <c r="S1911" s="29" cm="1">
        <f t="array" ref="S1911">IF(表成绩单[[#This Row],[物理]]="","",SUMPRODUCT((表成绩单[考试日期]=表成绩单[[#This Row],[考试日期]])*(表成绩单[物理]&lt;9E+307)*(表成绩单[物理]&gt;表成绩单[[#This Row],[物理]]))+1)</f>
        <v>197</v>
      </c>
      <c r="T1911" s="29" cm="1">
        <f t="array" ref="T1911">IF(表成绩单[[#This Row],[化学]]="","",SUMPRODUCT((表成绩单[考试日期]=表成绩单[[#This Row],[考试日期]])*(表成绩单[化学]&lt;9E+307)*(表成绩单[化学]&gt;表成绩单[[#This Row],[化学]]))+1)</f>
        <v>236</v>
      </c>
      <c r="U1911" s="29" cm="1">
        <f t="array" ref="U1911">IF(表成绩单[[#This Row],[政治]]="","",SUMPRODUCT((表成绩单[考试日期]=表成绩单[[#This Row],[考试日期]])*(表成绩单[政治]&lt;9E+307)*(表成绩单[政治]&gt;表成绩单[[#This Row],[政治]]))+1)</f>
        <v>457</v>
      </c>
      <c r="V1911" s="29" cm="1">
        <f t="array" ref="V1911">IF(表成绩单[[#This Row],[历史]]="","",SUMPRODUCT((表成绩单[考试日期]=表成绩单[[#This Row],[考试日期]])*(表成绩单[历史]&lt;9E+307)*(表成绩单[历史]&gt;表成绩单[[#This Row],[历史]]))+1)</f>
        <v>390</v>
      </c>
      <c r="W1911" s="29" cm="1">
        <f t="array" ref="W1911">IF(表成绩单[[#This Row],[总分]]="","",SUMPRODUCT((表成绩单[考试日期]=表成绩单[[#This Row],[考试日期]])*(表成绩单[总分]&lt;9E+307)*(表成绩单[总分]&gt;表成绩单[[#This Row],[总分]]))+1)</f>
        <v>303</v>
      </c>
    </row>
    <row r="1912" ht="28" customHeight="1" spans="4:23">
      <c r="D1912" s="31">
        <v>46030</v>
      </c>
      <c r="E1912" s="29">
        <v>19176011</v>
      </c>
      <c r="F1912" s="29" t="s">
        <v>59</v>
      </c>
      <c r="G1912" s="29" t="s">
        <v>455</v>
      </c>
      <c r="H1912" s="29">
        <v>99</v>
      </c>
      <c r="I1912" s="29">
        <v>79</v>
      </c>
      <c r="J1912" s="29">
        <v>68.5</v>
      </c>
      <c r="K1912" s="29">
        <v>73</v>
      </c>
      <c r="L1912" s="29">
        <v>74</v>
      </c>
      <c r="M1912" s="29">
        <v>69</v>
      </c>
      <c r="N1912" s="29">
        <v>71</v>
      </c>
      <c r="O1912" s="32">
        <v>533.5</v>
      </c>
      <c r="P1912" s="29" cm="1">
        <f t="array" ref="P1912">IF(表成绩单[[#This Row],[语文]]="","",SUMPRODUCT((表成绩单[考试日期]=表成绩单[[#This Row],[考试日期]])*(表成绩单[语文]&lt;9E+307)*(表成绩单[语文]&gt;表成绩单[[#This Row],[语文]]))+1)</f>
        <v>213</v>
      </c>
      <c r="Q1912" s="29" cm="1">
        <f t="array" ref="Q1912">IF(表成绩单[[#This Row],[数学]]="","",SUMPRODUCT((表成绩单[考试日期]=表成绩单[[#This Row],[考试日期]])*(表成绩单[数学]&lt;9E+307)*(表成绩单[数学]&gt;表成绩单[[#This Row],[数学]]))+1)</f>
        <v>427</v>
      </c>
      <c r="R1912" s="29" cm="1">
        <f t="array" ref="R1912">IF(表成绩单[[#This Row],[英语]]="","",SUMPRODUCT((表成绩单[考试日期]=表成绩单[[#This Row],[考试日期]])*(表成绩单[英语]&lt;9E+307)*(表成绩单[英语]&gt;表成绩单[[#This Row],[英语]]))+1)</f>
        <v>351</v>
      </c>
      <c r="S1912" s="29" cm="1">
        <f t="array" ref="S1912">IF(表成绩单[[#This Row],[物理]]="","",SUMPRODUCT((表成绩单[考试日期]=表成绩单[[#This Row],[考试日期]])*(表成绩单[物理]&lt;9E+307)*(表成绩单[物理]&gt;表成绩单[[#This Row],[物理]]))+1)</f>
        <v>271</v>
      </c>
      <c r="T1912" s="29" cm="1">
        <f t="array" ref="T1912">IF(表成绩单[[#This Row],[化学]]="","",SUMPRODUCT((表成绩单[考试日期]=表成绩单[[#This Row],[考试日期]])*(表成绩单[化学]&lt;9E+307)*(表成绩单[化学]&gt;表成绩单[[#This Row],[化学]]))+1)</f>
        <v>208</v>
      </c>
      <c r="U1912" s="29" cm="1">
        <f t="array" ref="U1912">IF(表成绩单[[#This Row],[政治]]="","",SUMPRODUCT((表成绩单[考试日期]=表成绩单[[#This Row],[考试日期]])*(表成绩单[政治]&lt;9E+307)*(表成绩单[政治]&gt;表成绩单[[#This Row],[政治]]))+1)</f>
        <v>308</v>
      </c>
      <c r="V1912" s="29" cm="1">
        <f t="array" ref="V1912">IF(表成绩单[[#This Row],[历史]]="","",SUMPRODUCT((表成绩单[考试日期]=表成绩单[[#This Row],[考试日期]])*(表成绩单[历史]&lt;9E+307)*(表成绩单[历史]&gt;表成绩单[[#This Row],[历史]]))+1)</f>
        <v>297</v>
      </c>
      <c r="W1912" s="29" cm="1">
        <f t="array" ref="W1912">IF(表成绩单[[#This Row],[总分]]="","",SUMPRODUCT((表成绩单[考试日期]=表成绩单[[#This Row],[考试日期]])*(表成绩单[总分]&lt;9E+307)*(表成绩单[总分]&gt;表成绩单[[#This Row],[总分]]))+1)</f>
        <v>306</v>
      </c>
    </row>
    <row r="1913" ht="28" customHeight="1" spans="4:23">
      <c r="D1913" s="31">
        <v>46030</v>
      </c>
      <c r="E1913" s="29">
        <v>19178620</v>
      </c>
      <c r="F1913" s="29" t="s">
        <v>25</v>
      </c>
      <c r="G1913" s="29" t="s">
        <v>265</v>
      </c>
      <c r="H1913" s="29">
        <v>97</v>
      </c>
      <c r="I1913" s="29">
        <v>80</v>
      </c>
      <c r="J1913" s="29">
        <v>68.5</v>
      </c>
      <c r="K1913" s="29">
        <v>62</v>
      </c>
      <c r="L1913" s="29">
        <v>71</v>
      </c>
      <c r="M1913" s="29">
        <v>73</v>
      </c>
      <c r="N1913" s="29">
        <v>82</v>
      </c>
      <c r="O1913" s="32">
        <v>533.5</v>
      </c>
      <c r="P1913" s="29" cm="1">
        <f t="array" ref="P1913">IF(表成绩单[[#This Row],[语文]]="","",SUMPRODUCT((表成绩单[考试日期]=表成绩单[[#This Row],[考试日期]])*(表成绩单[语文]&lt;9E+307)*(表成绩单[语文]&gt;表成绩单[[#This Row],[语文]]))+1)</f>
        <v>291</v>
      </c>
      <c r="Q1913" s="29" cm="1">
        <f t="array" ref="Q1913">IF(表成绩单[[#This Row],[数学]]="","",SUMPRODUCT((表成绩单[考试日期]=表成绩单[[#This Row],[考试日期]])*(表成绩单[数学]&lt;9E+307)*(表成绩单[数学]&gt;表成绩单[[#This Row],[数学]]))+1)</f>
        <v>412</v>
      </c>
      <c r="R1913" s="29" cm="1">
        <f t="array" ref="R1913">IF(表成绩单[[#This Row],[英语]]="","",SUMPRODUCT((表成绩单[考试日期]=表成绩单[[#This Row],[考试日期]])*(表成绩单[英语]&lt;9E+307)*(表成绩单[英语]&gt;表成绩单[[#This Row],[英语]]))+1)</f>
        <v>351</v>
      </c>
      <c r="S1913" s="29" cm="1">
        <f t="array" ref="S1913">IF(表成绩单[[#This Row],[物理]]="","",SUMPRODUCT((表成绩单[考试日期]=表成绩单[[#This Row],[考试日期]])*(表成绩单[物理]&lt;9E+307)*(表成绩单[物理]&gt;表成绩单[[#This Row],[物理]]))+1)</f>
        <v>470</v>
      </c>
      <c r="T1913" s="29" cm="1">
        <f t="array" ref="T1913">IF(表成绩单[[#This Row],[化学]]="","",SUMPRODUCT((表成绩单[考试日期]=表成绩单[[#This Row],[考试日期]])*(表成绩单[化学]&lt;9E+307)*(表成绩单[化学]&gt;表成绩单[[#This Row],[化学]]))+1)</f>
        <v>297</v>
      </c>
      <c r="U1913" s="29" cm="1">
        <f t="array" ref="U1913">IF(表成绩单[[#This Row],[政治]]="","",SUMPRODUCT((表成绩单[考试日期]=表成绩单[[#This Row],[考试日期]])*(表成绩单[政治]&lt;9E+307)*(表成绩单[政治]&gt;表成绩单[[#This Row],[政治]]))+1)</f>
        <v>197</v>
      </c>
      <c r="V1913" s="29" cm="1">
        <f t="array" ref="V1913">IF(表成绩单[[#This Row],[历史]]="","",SUMPRODUCT((表成绩单[考试日期]=表成绩单[[#This Row],[考试日期]])*(表成绩单[历史]&lt;9E+307)*(表成绩单[历史]&gt;表成绩单[[#This Row],[历史]]))+1)</f>
        <v>41</v>
      </c>
      <c r="W1913" s="29" cm="1">
        <f t="array" ref="W1913">IF(表成绩单[[#This Row],[总分]]="","",SUMPRODUCT((表成绩单[考试日期]=表成绩单[[#This Row],[考试日期]])*(表成绩单[总分]&lt;9E+307)*(表成绩单[总分]&gt;表成绩单[[#This Row],[总分]]))+1)</f>
        <v>306</v>
      </c>
    </row>
    <row r="1914" ht="28" customHeight="1" spans="4:23">
      <c r="D1914" s="31">
        <v>46030</v>
      </c>
      <c r="E1914" s="29">
        <v>19174804</v>
      </c>
      <c r="F1914" s="29" t="s">
        <v>69</v>
      </c>
      <c r="G1914" s="29" t="s">
        <v>349</v>
      </c>
      <c r="H1914" s="29">
        <v>97</v>
      </c>
      <c r="I1914" s="29">
        <v>84</v>
      </c>
      <c r="J1914" s="29">
        <v>61</v>
      </c>
      <c r="K1914" s="29">
        <v>89</v>
      </c>
      <c r="L1914" s="29">
        <v>73</v>
      </c>
      <c r="M1914" s="29">
        <v>59</v>
      </c>
      <c r="N1914" s="29">
        <v>70</v>
      </c>
      <c r="O1914" s="32">
        <v>533</v>
      </c>
      <c r="P1914" s="29" cm="1">
        <f t="array" ref="P1914">IF(表成绩单[[#This Row],[语文]]="","",SUMPRODUCT((表成绩单[考试日期]=表成绩单[[#This Row],[考试日期]])*(表成绩单[语文]&lt;9E+307)*(表成绩单[语文]&gt;表成绩单[[#This Row],[语文]]))+1)</f>
        <v>291</v>
      </c>
      <c r="Q1914" s="29" cm="1">
        <f t="array" ref="Q1914">IF(表成绩单[[#This Row],[数学]]="","",SUMPRODUCT((表成绩单[考试日期]=表成绩单[[#This Row],[考试日期]])*(表成绩单[数学]&lt;9E+307)*(表成绩单[数学]&gt;表成绩单[[#This Row],[数学]]))+1)</f>
        <v>343</v>
      </c>
      <c r="R1914" s="29" cm="1">
        <f t="array" ref="R1914">IF(表成绩单[[#This Row],[英语]]="","",SUMPRODUCT((表成绩单[考试日期]=表成绩单[[#This Row],[考试日期]])*(表成绩单[英语]&lt;9E+307)*(表成绩单[英语]&gt;表成绩单[[#This Row],[英语]]))+1)</f>
        <v>507</v>
      </c>
      <c r="S1914" s="29" cm="1">
        <f t="array" ref="S1914">IF(表成绩单[[#This Row],[物理]]="","",SUMPRODUCT((表成绩单[考试日期]=表成绩单[[#This Row],[考试日期]])*(表成绩单[物理]&lt;9E+307)*(表成绩单[物理]&gt;表成绩单[[#This Row],[物理]]))+1)</f>
        <v>11</v>
      </c>
      <c r="T1914" s="29" cm="1">
        <f t="array" ref="T1914">IF(表成绩单[[#This Row],[化学]]="","",SUMPRODUCT((表成绩单[考试日期]=表成绩单[[#This Row],[考试日期]])*(表成绩单[化学]&lt;9E+307)*(表成绩单[化学]&gt;表成绩单[[#This Row],[化学]]))+1)</f>
        <v>236</v>
      </c>
      <c r="U1914" s="29" cm="1">
        <f t="array" ref="U1914">IF(表成绩单[[#This Row],[政治]]="","",SUMPRODUCT((表成绩单[考试日期]=表成绩单[[#This Row],[考试日期]])*(表成绩单[政治]&lt;9E+307)*(表成绩单[政治]&gt;表成绩单[[#This Row],[政治]]))+1)</f>
        <v>557</v>
      </c>
      <c r="V1914" s="29" cm="1">
        <f t="array" ref="V1914">IF(表成绩单[[#This Row],[历史]]="","",SUMPRODUCT((表成绩单[考试日期]=表成绩单[[#This Row],[考试日期]])*(表成绩单[历史]&lt;9E+307)*(表成绩单[历史]&gt;表成绩单[[#This Row],[历史]]))+1)</f>
        <v>328</v>
      </c>
      <c r="W1914" s="29" cm="1">
        <f t="array" ref="W1914">IF(表成绩单[[#This Row],[总分]]="","",SUMPRODUCT((表成绩单[考试日期]=表成绩单[[#This Row],[考试日期]])*(表成绩单[总分]&lt;9E+307)*(表成绩单[总分]&gt;表成绩单[[#This Row],[总分]]))+1)</f>
        <v>308</v>
      </c>
    </row>
    <row r="1915" ht="28" customHeight="1" spans="4:23">
      <c r="D1915" s="31">
        <v>46030</v>
      </c>
      <c r="E1915" s="29">
        <v>19175693</v>
      </c>
      <c r="F1915" s="29" t="s">
        <v>72</v>
      </c>
      <c r="G1915" s="29" t="s">
        <v>242</v>
      </c>
      <c r="H1915" s="29">
        <v>100</v>
      </c>
      <c r="I1915" s="29">
        <v>83</v>
      </c>
      <c r="J1915" s="29">
        <v>65</v>
      </c>
      <c r="K1915" s="29">
        <v>69</v>
      </c>
      <c r="L1915" s="29">
        <v>69</v>
      </c>
      <c r="M1915" s="29">
        <v>65</v>
      </c>
      <c r="N1915" s="29">
        <v>82</v>
      </c>
      <c r="O1915" s="32">
        <v>533</v>
      </c>
      <c r="P1915" s="29" cm="1">
        <f t="array" ref="P1915">IF(表成绩单[[#This Row],[语文]]="","",SUMPRODUCT((表成绩单[考试日期]=表成绩单[[#This Row],[考试日期]])*(表成绩单[语文]&lt;9E+307)*(表成绩单[语文]&gt;表成绩单[[#This Row],[语文]]))+1)</f>
        <v>182</v>
      </c>
      <c r="Q1915" s="29" cm="1">
        <f t="array" ref="Q1915">IF(表成绩单[[#This Row],[数学]]="","",SUMPRODUCT((表成绩单[考试日期]=表成绩单[[#This Row],[考试日期]])*(表成绩单[数学]&lt;9E+307)*(表成绩单[数学]&gt;表成绩单[[#This Row],[数学]]))+1)</f>
        <v>360</v>
      </c>
      <c r="R1915" s="29" cm="1">
        <f t="array" ref="R1915">IF(表成绩单[[#This Row],[英语]]="","",SUMPRODUCT((表成绩单[考试日期]=表成绩单[[#This Row],[考试日期]])*(表成绩单[英语]&lt;9E+307)*(表成绩单[英语]&gt;表成绩单[[#This Row],[英语]]))+1)</f>
        <v>438</v>
      </c>
      <c r="S1915" s="29" cm="1">
        <f t="array" ref="S1915">IF(表成绩单[[#This Row],[物理]]="","",SUMPRODUCT((表成绩单[考试日期]=表成绩单[[#This Row],[考试日期]])*(表成绩单[物理]&lt;9E+307)*(表成绩单[物理]&gt;表成绩单[[#This Row],[物理]]))+1)</f>
        <v>356</v>
      </c>
      <c r="T1915" s="29" cm="1">
        <f t="array" ref="T1915">IF(表成绩单[[#This Row],[化学]]="","",SUMPRODUCT((表成绩单[考试日期]=表成绩单[[#This Row],[考试日期]])*(表成绩单[化学]&lt;9E+307)*(表成绩单[化学]&gt;表成绩单[[#This Row],[化学]]))+1)</f>
        <v>339</v>
      </c>
      <c r="U1915" s="29" cm="1">
        <f t="array" ref="U1915">IF(表成绩单[[#This Row],[政治]]="","",SUMPRODUCT((表成绩单[考试日期]=表成绩单[[#This Row],[考试日期]])*(表成绩单[政治]&lt;9E+307)*(表成绩单[政治]&gt;表成绩单[[#This Row],[政治]]))+1)</f>
        <v>431</v>
      </c>
      <c r="V1915" s="29" cm="1">
        <f t="array" ref="V1915">IF(表成绩单[[#This Row],[历史]]="","",SUMPRODUCT((表成绩单[考试日期]=表成绩单[[#This Row],[考试日期]])*(表成绩单[历史]&lt;9E+307)*(表成绩单[历史]&gt;表成绩单[[#This Row],[历史]]))+1)</f>
        <v>41</v>
      </c>
      <c r="W1915" s="29" cm="1">
        <f t="array" ref="W1915">IF(表成绩单[[#This Row],[总分]]="","",SUMPRODUCT((表成绩单[考试日期]=表成绩单[[#This Row],[考试日期]])*(表成绩单[总分]&lt;9E+307)*(表成绩单[总分]&gt;表成绩单[[#This Row],[总分]]))+1)</f>
        <v>308</v>
      </c>
    </row>
    <row r="1916" ht="28" customHeight="1" spans="4:23">
      <c r="D1916" s="31">
        <v>46030</v>
      </c>
      <c r="E1916" s="29">
        <v>19173236</v>
      </c>
      <c r="F1916" s="29" t="s">
        <v>61</v>
      </c>
      <c r="G1916" s="29" t="s">
        <v>267</v>
      </c>
      <c r="H1916" s="29">
        <v>96</v>
      </c>
      <c r="I1916" s="29">
        <v>87</v>
      </c>
      <c r="J1916" s="29">
        <v>62.5</v>
      </c>
      <c r="K1916" s="29">
        <v>70</v>
      </c>
      <c r="L1916" s="29">
        <v>62</v>
      </c>
      <c r="M1916" s="29">
        <v>79</v>
      </c>
      <c r="N1916" s="29">
        <v>76</v>
      </c>
      <c r="O1916" s="32">
        <v>532.5</v>
      </c>
      <c r="P1916" s="29" cm="1">
        <f t="array" ref="P1916">IF(表成绩单[[#This Row],[语文]]="","",SUMPRODUCT((表成绩单[考试日期]=表成绩单[[#This Row],[考试日期]])*(表成绩单[语文]&lt;9E+307)*(表成绩单[语文]&gt;表成绩单[[#This Row],[语文]]))+1)</f>
        <v>315</v>
      </c>
      <c r="Q1916" s="29" cm="1">
        <f t="array" ref="Q1916">IF(表成绩单[[#This Row],[数学]]="","",SUMPRODUCT((表成绩单[考试日期]=表成绩单[[#This Row],[考试日期]])*(表成绩单[数学]&lt;9E+307)*(表成绩单[数学]&gt;表成绩单[[#This Row],[数学]]))+1)</f>
        <v>270</v>
      </c>
      <c r="R1916" s="29" cm="1">
        <f t="array" ref="R1916">IF(表成绩单[[#This Row],[英语]]="","",SUMPRODUCT((表成绩单[考试日期]=表成绩单[[#This Row],[考试日期]])*(表成绩单[英语]&lt;9E+307)*(表成绩单[英语]&gt;表成绩单[[#This Row],[英语]]))+1)</f>
        <v>477</v>
      </c>
      <c r="S1916" s="29" cm="1">
        <f t="array" ref="S1916">IF(表成绩单[[#This Row],[物理]]="","",SUMPRODUCT((表成绩单[考试日期]=表成绩单[[#This Row],[考试日期]])*(表成绩单[物理]&lt;9E+307)*(表成绩单[物理]&gt;表成绩单[[#This Row],[物理]]))+1)</f>
        <v>338</v>
      </c>
      <c r="T1916" s="29" cm="1">
        <f t="array" ref="T1916">IF(表成绩单[[#This Row],[化学]]="","",SUMPRODUCT((表成绩单[考试日期]=表成绩单[[#This Row],[考试日期]])*(表成绩单[化学]&lt;9E+307)*(表成绩单[化学]&gt;表成绩单[[#This Row],[化学]]))+1)</f>
        <v>494</v>
      </c>
      <c r="U1916" s="29" cm="1">
        <f t="array" ref="U1916">IF(表成绩单[[#This Row],[政治]]="","",SUMPRODUCT((表成绩单[考试日期]=表成绩单[[#This Row],[考试日期]])*(表成绩单[政治]&lt;9E+307)*(表成绩单[政治]&gt;表成绩单[[#This Row],[政治]]))+1)</f>
        <v>42</v>
      </c>
      <c r="V1916" s="29" cm="1">
        <f t="array" ref="V1916">IF(表成绩单[[#This Row],[历史]]="","",SUMPRODUCT((表成绩单[考试日期]=表成绩单[[#This Row],[考试日期]])*(表成绩单[历史]&lt;9E+307)*(表成绩单[历史]&gt;表成绩单[[#This Row],[历史]]))+1)</f>
        <v>169</v>
      </c>
      <c r="W1916" s="29" cm="1">
        <f t="array" ref="W1916">IF(表成绩单[[#This Row],[总分]]="","",SUMPRODUCT((表成绩单[考试日期]=表成绩单[[#This Row],[考试日期]])*(表成绩单[总分]&lt;9E+307)*(表成绩单[总分]&gt;表成绩单[[#This Row],[总分]]))+1)</f>
        <v>310</v>
      </c>
    </row>
    <row r="1917" ht="28" customHeight="1" spans="4:23">
      <c r="D1917" s="31">
        <v>46030</v>
      </c>
      <c r="E1917" s="29">
        <v>19173275</v>
      </c>
      <c r="F1917" s="29" t="s">
        <v>61</v>
      </c>
      <c r="G1917" s="29" t="s">
        <v>356</v>
      </c>
      <c r="H1917" s="29">
        <v>104</v>
      </c>
      <c r="I1917" s="29">
        <v>80</v>
      </c>
      <c r="J1917" s="29">
        <v>78.5</v>
      </c>
      <c r="K1917" s="29">
        <v>67</v>
      </c>
      <c r="L1917" s="29">
        <v>66</v>
      </c>
      <c r="M1917" s="29">
        <v>69</v>
      </c>
      <c r="N1917" s="29">
        <v>68</v>
      </c>
      <c r="O1917" s="32">
        <v>532.5</v>
      </c>
      <c r="P1917" s="29" cm="1">
        <f t="array" ref="P1917">IF(表成绩单[[#This Row],[语文]]="","",SUMPRODUCT((表成绩单[考试日期]=表成绩单[[#This Row],[考试日期]])*(表成绩单[语文]&lt;9E+307)*(表成绩单[语文]&gt;表成绩单[[#This Row],[语文]]))+1)</f>
        <v>82</v>
      </c>
      <c r="Q1917" s="29" cm="1">
        <f t="array" ref="Q1917">IF(表成绩单[[#This Row],[数学]]="","",SUMPRODUCT((表成绩单[考试日期]=表成绩单[[#This Row],[考试日期]])*(表成绩单[数学]&lt;9E+307)*(表成绩单[数学]&gt;表成绩单[[#This Row],[数学]]))+1)</f>
        <v>412</v>
      </c>
      <c r="R1917" s="29" cm="1">
        <f t="array" ref="R1917">IF(表成绩单[[#This Row],[英语]]="","",SUMPRODUCT((表成绩单[考试日期]=表成绩单[[#This Row],[考试日期]])*(表成绩单[英语]&lt;9E+307)*(表成绩单[英语]&gt;表成绩单[[#This Row],[英语]]))+1)</f>
        <v>64</v>
      </c>
      <c r="S1917" s="29" cm="1">
        <f t="array" ref="S1917">IF(表成绩单[[#This Row],[物理]]="","",SUMPRODUCT((表成绩单[考试日期]=表成绩单[[#This Row],[考试日期]])*(表成绩单[物理]&lt;9E+307)*(表成绩单[物理]&gt;表成绩单[[#This Row],[物理]]))+1)</f>
        <v>394</v>
      </c>
      <c r="T1917" s="29" cm="1">
        <f t="array" ref="T1917">IF(表成绩单[[#This Row],[化学]]="","",SUMPRODUCT((表成绩单[考试日期]=表成绩单[[#This Row],[考试日期]])*(表成绩单[化学]&lt;9E+307)*(表成绩单[化学]&gt;表成绩单[[#This Row],[化学]]))+1)</f>
        <v>414</v>
      </c>
      <c r="U1917" s="29" cm="1">
        <f t="array" ref="U1917">IF(表成绩单[[#This Row],[政治]]="","",SUMPRODUCT((表成绩单[考试日期]=表成绩单[[#This Row],[考试日期]])*(表成绩单[政治]&lt;9E+307)*(表成绩单[政治]&gt;表成绩单[[#This Row],[政治]]))+1)</f>
        <v>308</v>
      </c>
      <c r="V1917" s="29" cm="1">
        <f t="array" ref="V1917">IF(表成绩单[[#This Row],[历史]]="","",SUMPRODUCT((表成绩单[考试日期]=表成绩单[[#This Row],[考试日期]])*(表成绩单[历史]&lt;9E+307)*(表成绩单[历史]&gt;表成绩单[[#This Row],[历史]]))+1)</f>
        <v>390</v>
      </c>
      <c r="W1917" s="29" cm="1">
        <f t="array" ref="W1917">IF(表成绩单[[#This Row],[总分]]="","",SUMPRODUCT((表成绩单[考试日期]=表成绩单[[#This Row],[考试日期]])*(表成绩单[总分]&lt;9E+307)*(表成绩单[总分]&gt;表成绩单[[#This Row],[总分]]))+1)</f>
        <v>310</v>
      </c>
    </row>
    <row r="1918" ht="28" customHeight="1" spans="4:23">
      <c r="D1918" s="31">
        <v>46030</v>
      </c>
      <c r="E1918" s="29">
        <v>19171087</v>
      </c>
      <c r="F1918" s="29" t="s">
        <v>67</v>
      </c>
      <c r="G1918" s="29" t="s">
        <v>554</v>
      </c>
      <c r="H1918" s="29">
        <v>99</v>
      </c>
      <c r="I1918" s="29">
        <v>88</v>
      </c>
      <c r="J1918" s="29">
        <v>73</v>
      </c>
      <c r="K1918" s="29">
        <v>71</v>
      </c>
      <c r="L1918" s="29">
        <v>75</v>
      </c>
      <c r="M1918" s="29">
        <v>57</v>
      </c>
      <c r="N1918" s="29">
        <v>69</v>
      </c>
      <c r="O1918" s="32">
        <v>532</v>
      </c>
      <c r="P1918" s="29" cm="1">
        <f t="array" ref="P1918">IF(表成绩单[[#This Row],[语文]]="","",SUMPRODUCT((表成绩单[考试日期]=表成绩单[[#This Row],[考试日期]])*(表成绩单[语文]&lt;9E+307)*(表成绩单[语文]&gt;表成绩单[[#This Row],[语文]]))+1)</f>
        <v>213</v>
      </c>
      <c r="Q1918" s="29" cm="1">
        <f t="array" ref="Q1918">IF(表成绩单[[#This Row],[数学]]="","",SUMPRODUCT((表成绩单[考试日期]=表成绩单[[#This Row],[考试日期]])*(表成绩单[数学]&lt;9E+307)*(表成绩单[数学]&gt;表成绩单[[#This Row],[数学]]))+1)</f>
        <v>245</v>
      </c>
      <c r="R1918" s="29" cm="1">
        <f t="array" ref="R1918">IF(表成绩单[[#This Row],[英语]]="","",SUMPRODUCT((表成绩单[考试日期]=表成绩单[[#This Row],[考试日期]])*(表成绩单[英语]&lt;9E+307)*(表成绩单[英语]&gt;表成绩单[[#This Row],[英语]]))+1)</f>
        <v>222</v>
      </c>
      <c r="S1918" s="29" cm="1">
        <f t="array" ref="S1918">IF(表成绩单[[#This Row],[物理]]="","",SUMPRODUCT((表成绩单[考试日期]=表成绩单[[#This Row],[考试日期]])*(表成绩单[物理]&lt;9E+307)*(表成绩单[物理]&gt;表成绩单[[#This Row],[物理]]))+1)</f>
        <v>319</v>
      </c>
      <c r="T1918" s="29" cm="1">
        <f t="array" ref="T1918">IF(表成绩单[[#This Row],[化学]]="","",SUMPRODUCT((表成绩单[考试日期]=表成绩单[[#This Row],[考试日期]])*(表成绩单[化学]&lt;9E+307)*(表成绩单[化学]&gt;表成绩单[[#This Row],[化学]]))+1)</f>
        <v>169</v>
      </c>
      <c r="U1918" s="29" cm="1">
        <f t="array" ref="U1918">IF(表成绩单[[#This Row],[政治]]="","",SUMPRODUCT((表成绩单[考试日期]=表成绩单[[#This Row],[考试日期]])*(表成绩单[政治]&lt;9E+307)*(表成绩单[政治]&gt;表成绩单[[#This Row],[政治]]))+1)</f>
        <v>591</v>
      </c>
      <c r="V1918" s="29" cm="1">
        <f t="array" ref="V1918">IF(表成绩单[[#This Row],[历史]]="","",SUMPRODUCT((表成绩单[考试日期]=表成绩单[[#This Row],[考试日期]])*(表成绩单[历史]&lt;9E+307)*(表成绩单[历史]&gt;表成绩单[[#This Row],[历史]]))+1)</f>
        <v>366</v>
      </c>
      <c r="W1918" s="29" cm="1">
        <f t="array" ref="W1918">IF(表成绩单[[#This Row],[总分]]="","",SUMPRODUCT((表成绩单[考试日期]=表成绩单[[#This Row],[考试日期]])*(表成绩单[总分]&lt;9E+307)*(表成绩单[总分]&gt;表成绩单[[#This Row],[总分]]))+1)</f>
        <v>312</v>
      </c>
    </row>
    <row r="1919" ht="28" customHeight="1" spans="4:23">
      <c r="D1919" s="31">
        <v>46030</v>
      </c>
      <c r="E1919" s="29">
        <v>19174449</v>
      </c>
      <c r="F1919" s="29" t="s">
        <v>73</v>
      </c>
      <c r="G1919" s="29" t="s">
        <v>325</v>
      </c>
      <c r="H1919" s="29">
        <v>94</v>
      </c>
      <c r="I1919" s="29">
        <v>92</v>
      </c>
      <c r="J1919" s="29">
        <v>72</v>
      </c>
      <c r="K1919" s="29">
        <v>71</v>
      </c>
      <c r="L1919" s="29">
        <v>67</v>
      </c>
      <c r="M1919" s="29">
        <v>67</v>
      </c>
      <c r="N1919" s="29">
        <v>69</v>
      </c>
      <c r="O1919" s="32">
        <v>532</v>
      </c>
      <c r="P1919" s="29" cm="1">
        <f t="array" ref="P1919">IF(表成绩单[[#This Row],[语文]]="","",SUMPRODUCT((表成绩单[考试日期]=表成绩单[[#This Row],[考试日期]])*(表成绩单[语文]&lt;9E+307)*(表成绩单[语文]&gt;表成绩单[[#This Row],[语文]]))+1)</f>
        <v>381</v>
      </c>
      <c r="Q1919" s="29" cm="1">
        <f t="array" ref="Q1919">IF(表成绩单[[#This Row],[数学]]="","",SUMPRODUCT((表成绩单[考试日期]=表成绩单[[#This Row],[考试日期]])*(表成绩单[数学]&lt;9E+307)*(表成绩单[数学]&gt;表成绩单[[#This Row],[数学]]))+1)</f>
        <v>199</v>
      </c>
      <c r="R1919" s="29" cm="1">
        <f t="array" ref="R1919">IF(表成绩单[[#This Row],[英语]]="","",SUMPRODUCT((表成绩单[考试日期]=表成绩单[[#This Row],[考试日期]])*(表成绩单[英语]&lt;9E+307)*(表成绩单[英语]&gt;表成绩单[[#This Row],[英语]]))+1)</f>
        <v>258</v>
      </c>
      <c r="S1919" s="29" cm="1">
        <f t="array" ref="S1919">IF(表成绩单[[#This Row],[物理]]="","",SUMPRODUCT((表成绩单[考试日期]=表成绩单[[#This Row],[考试日期]])*(表成绩单[物理]&lt;9E+307)*(表成绩单[物理]&gt;表成绩单[[#This Row],[物理]]))+1)</f>
        <v>319</v>
      </c>
      <c r="T1919" s="29" cm="1">
        <f t="array" ref="T1919">IF(表成绩单[[#This Row],[化学]]="","",SUMPRODUCT((表成绩单[考试日期]=表成绩单[[#This Row],[考试日期]])*(表成绩单[化学]&lt;9E+307)*(表成绩单[化学]&gt;表成绩单[[#This Row],[化学]]))+1)</f>
        <v>381</v>
      </c>
      <c r="U1919" s="29" cm="1">
        <f t="array" ref="U1919">IF(表成绩单[[#This Row],[政治]]="","",SUMPRODUCT((表成绩单[考试日期]=表成绩单[[#This Row],[考试日期]])*(表成绩单[政治]&lt;9E+307)*(表成绩单[政治]&gt;表成绩单[[#This Row],[政治]]))+1)</f>
        <v>370</v>
      </c>
      <c r="V1919" s="29" cm="1">
        <f t="array" ref="V1919">IF(表成绩单[[#This Row],[历史]]="","",SUMPRODUCT((表成绩单[考试日期]=表成绩单[[#This Row],[考试日期]])*(表成绩单[历史]&lt;9E+307)*(表成绩单[历史]&gt;表成绩单[[#This Row],[历史]]))+1)</f>
        <v>366</v>
      </c>
      <c r="W1919" s="29" cm="1">
        <f t="array" ref="W1919">IF(表成绩单[[#This Row],[总分]]="","",SUMPRODUCT((表成绩单[考试日期]=表成绩单[[#This Row],[考试日期]])*(表成绩单[总分]&lt;9E+307)*(表成绩单[总分]&gt;表成绩单[[#This Row],[总分]]))+1)</f>
        <v>312</v>
      </c>
    </row>
    <row r="1920" ht="28" customHeight="1" spans="4:23">
      <c r="D1920" s="31">
        <v>46030</v>
      </c>
      <c r="E1920" s="29">
        <v>19174471</v>
      </c>
      <c r="F1920" s="29" t="s">
        <v>73</v>
      </c>
      <c r="G1920" s="29" t="s">
        <v>425</v>
      </c>
      <c r="H1920" s="29">
        <v>93</v>
      </c>
      <c r="I1920" s="29">
        <v>95</v>
      </c>
      <c r="J1920" s="29">
        <v>68</v>
      </c>
      <c r="K1920" s="29">
        <v>73</v>
      </c>
      <c r="L1920" s="29">
        <v>73</v>
      </c>
      <c r="M1920" s="29">
        <v>69</v>
      </c>
      <c r="N1920" s="29">
        <v>61</v>
      </c>
      <c r="O1920" s="32">
        <v>532</v>
      </c>
      <c r="P1920" s="29" cm="1">
        <f t="array" ref="P1920">IF(表成绩单[[#This Row],[语文]]="","",SUMPRODUCT((表成绩单[考试日期]=表成绩单[[#This Row],[考试日期]])*(表成绩单[语文]&lt;9E+307)*(表成绩单[语文]&gt;表成绩单[[#This Row],[语文]]))+1)</f>
        <v>412</v>
      </c>
      <c r="Q1920" s="29" cm="1">
        <f t="array" ref="Q1920">IF(表成绩单[[#This Row],[数学]]="","",SUMPRODUCT((表成绩单[考试日期]=表成绩单[[#This Row],[考试日期]])*(表成绩单[数学]&lt;9E+307)*(表成绩单[数学]&gt;表成绩单[[#This Row],[数学]]))+1)</f>
        <v>167</v>
      </c>
      <c r="R1920" s="29" cm="1">
        <f t="array" ref="R1920">IF(表成绩单[[#This Row],[英语]]="","",SUMPRODUCT((表成绩单[考试日期]=表成绩单[[#This Row],[考试日期]])*(表成绩单[英语]&lt;9E+307)*(表成绩单[英语]&gt;表成绩单[[#This Row],[英语]]))+1)</f>
        <v>364</v>
      </c>
      <c r="S1920" s="29" cm="1">
        <f t="array" ref="S1920">IF(表成绩单[[#This Row],[物理]]="","",SUMPRODUCT((表成绩单[考试日期]=表成绩单[[#This Row],[考试日期]])*(表成绩单[物理]&lt;9E+307)*(表成绩单[物理]&gt;表成绩单[[#This Row],[物理]]))+1)</f>
        <v>271</v>
      </c>
      <c r="T1920" s="29" cm="1">
        <f t="array" ref="T1920">IF(表成绩单[[#This Row],[化学]]="","",SUMPRODUCT((表成绩单[考试日期]=表成绩单[[#This Row],[考试日期]])*(表成绩单[化学]&lt;9E+307)*(表成绩单[化学]&gt;表成绩单[[#This Row],[化学]]))+1)</f>
        <v>236</v>
      </c>
      <c r="U1920" s="29" cm="1">
        <f t="array" ref="U1920">IF(表成绩单[[#This Row],[政治]]="","",SUMPRODUCT((表成绩单[考试日期]=表成绩单[[#This Row],[考试日期]])*(表成绩单[政治]&lt;9E+307)*(表成绩单[政治]&gt;表成绩单[[#This Row],[政治]]))+1)</f>
        <v>308</v>
      </c>
      <c r="V1920" s="29" cm="1">
        <f t="array" ref="V1920">IF(表成绩单[[#This Row],[历史]]="","",SUMPRODUCT((表成绩单[考试日期]=表成绩单[[#This Row],[考试日期]])*(表成绩单[历史]&lt;9E+307)*(表成绩单[历史]&gt;表成绩单[[#This Row],[历史]]))+1)</f>
        <v>566</v>
      </c>
      <c r="W1920" s="29" cm="1">
        <f t="array" ref="W1920">IF(表成绩单[[#This Row],[总分]]="","",SUMPRODUCT((表成绩单[考试日期]=表成绩单[[#This Row],[考试日期]])*(表成绩单[总分]&lt;9E+307)*(表成绩单[总分]&gt;表成绩单[[#This Row],[总分]]))+1)</f>
        <v>312</v>
      </c>
    </row>
    <row r="1921" ht="28" customHeight="1" spans="4:23">
      <c r="D1921" s="31">
        <v>46030</v>
      </c>
      <c r="E1921" s="29">
        <v>19175307</v>
      </c>
      <c r="F1921" s="29" t="s">
        <v>55</v>
      </c>
      <c r="G1921" s="29" t="s">
        <v>518</v>
      </c>
      <c r="H1921" s="29">
        <v>98</v>
      </c>
      <c r="I1921" s="29">
        <v>71</v>
      </c>
      <c r="J1921" s="29">
        <v>73</v>
      </c>
      <c r="K1921" s="29">
        <v>69</v>
      </c>
      <c r="L1921" s="29">
        <v>72</v>
      </c>
      <c r="M1921" s="29">
        <v>75</v>
      </c>
      <c r="N1921" s="29">
        <v>74</v>
      </c>
      <c r="O1921" s="32">
        <v>532</v>
      </c>
      <c r="P1921" s="29" cm="1">
        <f t="array" ref="P1921">IF(表成绩单[[#This Row],[语文]]="","",SUMPRODUCT((表成绩单[考试日期]=表成绩单[[#This Row],[考试日期]])*(表成绩单[语文]&lt;9E+307)*(表成绩单[语文]&gt;表成绩单[[#This Row],[语文]]))+1)</f>
        <v>248</v>
      </c>
      <c r="Q1921" s="29" cm="1">
        <f t="array" ref="Q1921">IF(表成绩单[[#This Row],[数学]]="","",SUMPRODUCT((表成绩单[考试日期]=表成绩单[[#This Row],[考试日期]])*(表成绩单[数学]&lt;9E+307)*(表成绩单[数学]&gt;表成绩单[[#This Row],[数学]]))+1)</f>
        <v>578</v>
      </c>
      <c r="R1921" s="29" cm="1">
        <f t="array" ref="R1921">IF(表成绩单[[#This Row],[英语]]="","",SUMPRODUCT((表成绩单[考试日期]=表成绩单[[#This Row],[考试日期]])*(表成绩单[英语]&lt;9E+307)*(表成绩单[英语]&gt;表成绩单[[#This Row],[英语]]))+1)</f>
        <v>222</v>
      </c>
      <c r="S1921" s="29" cm="1">
        <f t="array" ref="S1921">IF(表成绩单[[#This Row],[物理]]="","",SUMPRODUCT((表成绩单[考试日期]=表成绩单[[#This Row],[考试日期]])*(表成绩单[物理]&lt;9E+307)*(表成绩单[物理]&gt;表成绩单[[#This Row],[物理]]))+1)</f>
        <v>356</v>
      </c>
      <c r="T1921" s="29" cm="1">
        <f t="array" ref="T1921">IF(表成绩单[[#This Row],[化学]]="","",SUMPRODUCT((表成绩单[考试日期]=表成绩单[[#This Row],[考试日期]])*(表成绩单[化学]&lt;9E+307)*(表成绩单[化学]&gt;表成绩单[[#This Row],[化学]]))+1)</f>
        <v>271</v>
      </c>
      <c r="U1921" s="29" cm="1">
        <f t="array" ref="U1921">IF(表成绩单[[#This Row],[政治]]="","",SUMPRODUCT((表成绩单[考试日期]=表成绩单[[#This Row],[考试日期]])*(表成绩单[政治]&lt;9E+307)*(表成绩单[政治]&gt;表成绩单[[#This Row],[政治]]))+1)</f>
        <v>137</v>
      </c>
      <c r="V1921" s="29" cm="1">
        <f t="array" ref="V1921">IF(表成绩单[[#This Row],[历史]]="","",SUMPRODUCT((表成绩单[考试日期]=表成绩单[[#This Row],[考试日期]])*(表成绩单[历史]&lt;9E+307)*(表成绩单[历史]&gt;表成绩单[[#This Row],[历史]]))+1)</f>
        <v>215</v>
      </c>
      <c r="W1921" s="29" cm="1">
        <f t="array" ref="W1921">IF(表成绩单[[#This Row],[总分]]="","",SUMPRODUCT((表成绩单[考试日期]=表成绩单[[#This Row],[考试日期]])*(表成绩单[总分]&lt;9E+307)*(表成绩单[总分]&gt;表成绩单[[#This Row],[总分]]))+1)</f>
        <v>312</v>
      </c>
    </row>
    <row r="1922" ht="28" customHeight="1" spans="4:23">
      <c r="D1922" s="31">
        <v>46030</v>
      </c>
      <c r="E1922" s="29">
        <v>19176898</v>
      </c>
      <c r="F1922" s="29" t="s">
        <v>71</v>
      </c>
      <c r="G1922" s="29" t="s">
        <v>396</v>
      </c>
      <c r="H1922" s="29">
        <v>94</v>
      </c>
      <c r="I1922" s="29">
        <v>78</v>
      </c>
      <c r="J1922" s="29">
        <v>80</v>
      </c>
      <c r="K1922" s="29">
        <v>73</v>
      </c>
      <c r="L1922" s="29">
        <v>67</v>
      </c>
      <c r="M1922" s="29">
        <v>59</v>
      </c>
      <c r="N1922" s="29">
        <v>81</v>
      </c>
      <c r="O1922" s="32">
        <v>532</v>
      </c>
      <c r="P1922" s="29" cm="1">
        <f t="array" ref="P1922">IF(表成绩单[[#This Row],[语文]]="","",SUMPRODUCT((表成绩单[考试日期]=表成绩单[[#This Row],[考试日期]])*(表成绩单[语文]&lt;9E+307)*(表成绩单[语文]&gt;表成绩单[[#This Row],[语文]]))+1)</f>
        <v>381</v>
      </c>
      <c r="Q1922" s="29" cm="1">
        <f t="array" ref="Q1922">IF(表成绩单[[#This Row],[数学]]="","",SUMPRODUCT((表成绩单[考试日期]=表成绩单[[#This Row],[考试日期]])*(表成绩单[数学]&lt;9E+307)*(表成绩单[数学]&gt;表成绩单[[#This Row],[数学]]))+1)</f>
        <v>450</v>
      </c>
      <c r="R1922" s="29" cm="1">
        <f t="array" ref="R1922">IF(表成绩单[[#This Row],[英语]]="","",SUMPRODUCT((表成绩单[考试日期]=表成绩单[[#This Row],[考试日期]])*(表成绩单[英语]&lt;9E+307)*(表成绩单[英语]&gt;表成绩单[[#This Row],[英语]]))+1)</f>
        <v>27</v>
      </c>
      <c r="S1922" s="29" cm="1">
        <f t="array" ref="S1922">IF(表成绩单[[#This Row],[物理]]="","",SUMPRODUCT((表成绩单[考试日期]=表成绩单[[#This Row],[考试日期]])*(表成绩单[物理]&lt;9E+307)*(表成绩单[物理]&gt;表成绩单[[#This Row],[物理]]))+1)</f>
        <v>271</v>
      </c>
      <c r="T1922" s="29" cm="1">
        <f t="array" ref="T1922">IF(表成绩单[[#This Row],[化学]]="","",SUMPRODUCT((表成绩单[考试日期]=表成绩单[[#This Row],[考试日期]])*(表成绩单[化学]&lt;9E+307)*(表成绩单[化学]&gt;表成绩单[[#This Row],[化学]]))+1)</f>
        <v>381</v>
      </c>
      <c r="U1922" s="29" cm="1">
        <f t="array" ref="U1922">IF(表成绩单[[#This Row],[政治]]="","",SUMPRODUCT((表成绩单[考试日期]=表成绩单[[#This Row],[考试日期]])*(表成绩单[政治]&lt;9E+307)*(表成绩单[政治]&gt;表成绩单[[#This Row],[政治]]))+1)</f>
        <v>557</v>
      </c>
      <c r="V1922" s="29" cm="1">
        <f t="array" ref="V1922">IF(表成绩单[[#This Row],[历史]]="","",SUMPRODUCT((表成绩单[考试日期]=表成绩单[[#This Row],[考试日期]])*(表成绩单[历史]&lt;9E+307)*(表成绩单[历史]&gt;表成绩单[[#This Row],[历史]]))+1)</f>
        <v>60</v>
      </c>
      <c r="W1922" s="29" cm="1">
        <f t="array" ref="W1922">IF(表成绩单[[#This Row],[总分]]="","",SUMPRODUCT((表成绩单[考试日期]=表成绩单[[#This Row],[考试日期]])*(表成绩单[总分]&lt;9E+307)*(表成绩单[总分]&gt;表成绩单[[#This Row],[总分]]))+1)</f>
        <v>312</v>
      </c>
    </row>
    <row r="1923" ht="28" customHeight="1" spans="4:23">
      <c r="D1923" s="31">
        <v>46030</v>
      </c>
      <c r="E1923" s="29">
        <v>19173777</v>
      </c>
      <c r="F1923" s="29" t="s">
        <v>65</v>
      </c>
      <c r="G1923" s="29" t="s">
        <v>287</v>
      </c>
      <c r="H1923" s="29">
        <v>93</v>
      </c>
      <c r="I1923" s="29">
        <v>64</v>
      </c>
      <c r="J1923" s="29">
        <v>74.5</v>
      </c>
      <c r="K1923" s="29">
        <v>75</v>
      </c>
      <c r="L1923" s="29">
        <v>73</v>
      </c>
      <c r="M1923" s="29">
        <v>79</v>
      </c>
      <c r="N1923" s="29">
        <v>73</v>
      </c>
      <c r="O1923" s="32">
        <v>531.5</v>
      </c>
      <c r="P1923" s="29" cm="1">
        <f t="array" ref="P1923">IF(表成绩单[[#This Row],[语文]]="","",SUMPRODUCT((表成绩单[考试日期]=表成绩单[[#This Row],[考试日期]])*(表成绩单[语文]&lt;9E+307)*(表成绩单[语文]&gt;表成绩单[[#This Row],[语文]]))+1)</f>
        <v>412</v>
      </c>
      <c r="Q1923" s="29" cm="1">
        <f t="array" ref="Q1923">IF(表成绩单[[#This Row],[数学]]="","",SUMPRODUCT((表成绩单[考试日期]=表成绩单[[#This Row],[考试日期]])*(表成绩单[数学]&lt;9E+307)*(表成绩单[数学]&gt;表成绩单[[#This Row],[数学]]))+1)</f>
        <v>648</v>
      </c>
      <c r="R1923" s="29" cm="1">
        <f t="array" ref="R1923">IF(表成绩单[[#This Row],[英语]]="","",SUMPRODUCT((表成绩单[考试日期]=表成绩单[[#This Row],[考试日期]])*(表成绩单[英语]&lt;9E+307)*(表成绩单[英语]&gt;表成绩单[[#This Row],[英语]]))+1)</f>
        <v>181</v>
      </c>
      <c r="S1923" s="29" cm="1">
        <f t="array" ref="S1923">IF(表成绩单[[#This Row],[物理]]="","",SUMPRODUCT((表成绩单[考试日期]=表成绩单[[#This Row],[考试日期]])*(表成绩单[物理]&lt;9E+307)*(表成绩单[物理]&gt;表成绩单[[#This Row],[物理]]))+1)</f>
        <v>241</v>
      </c>
      <c r="T1923" s="29" cm="1">
        <f t="array" ref="T1923">IF(表成绩单[[#This Row],[化学]]="","",SUMPRODUCT((表成绩单[考试日期]=表成绩单[[#This Row],[考试日期]])*(表成绩单[化学]&lt;9E+307)*(表成绩单[化学]&gt;表成绩单[[#This Row],[化学]]))+1)</f>
        <v>236</v>
      </c>
      <c r="U1923" s="29" cm="1">
        <f t="array" ref="U1923">IF(表成绩单[[#This Row],[政治]]="","",SUMPRODUCT((表成绩单[考试日期]=表成绩单[[#This Row],[考试日期]])*(表成绩单[政治]&lt;9E+307)*(表成绩单[政治]&gt;表成绩单[[#This Row],[政治]]))+1)</f>
        <v>42</v>
      </c>
      <c r="V1923" s="29" cm="1">
        <f t="array" ref="V1923">IF(表成绩单[[#This Row],[历史]]="","",SUMPRODUCT((表成绩单[考试日期]=表成绩单[[#This Row],[考试日期]])*(表成绩单[历史]&lt;9E+307)*(表成绩单[历史]&gt;表成绩单[[#This Row],[历史]]))+1)</f>
        <v>240</v>
      </c>
      <c r="W1923" s="29" cm="1">
        <f t="array" ref="W1923">IF(表成绩单[[#This Row],[总分]]="","",SUMPRODUCT((表成绩单[考试日期]=表成绩单[[#This Row],[考试日期]])*(表成绩单[总分]&lt;9E+307)*(表成绩单[总分]&gt;表成绩单[[#This Row],[总分]]))+1)</f>
        <v>317</v>
      </c>
    </row>
    <row r="1924" ht="28" customHeight="1" spans="4:23">
      <c r="D1924" s="31">
        <v>46030</v>
      </c>
      <c r="E1924" s="29">
        <v>19178639</v>
      </c>
      <c r="F1924" s="29" t="s">
        <v>25</v>
      </c>
      <c r="G1924" s="29" t="s">
        <v>496</v>
      </c>
      <c r="H1924" s="29">
        <v>92</v>
      </c>
      <c r="I1924" s="29">
        <v>85</v>
      </c>
      <c r="J1924" s="29">
        <v>70.5</v>
      </c>
      <c r="K1924" s="29">
        <v>72</v>
      </c>
      <c r="L1924" s="29">
        <v>77</v>
      </c>
      <c r="M1924" s="29">
        <v>68</v>
      </c>
      <c r="N1924" s="29">
        <v>67</v>
      </c>
      <c r="O1924" s="32">
        <v>531.5</v>
      </c>
      <c r="P1924" s="29" cm="1">
        <f t="array" ref="P1924">IF(表成绩单[[#This Row],[语文]]="","",SUMPRODUCT((表成绩单[考试日期]=表成绩单[[#This Row],[考试日期]])*(表成绩单[语文]&lt;9E+307)*(表成绩单[语文]&gt;表成绩单[[#This Row],[语文]]))+1)</f>
        <v>444</v>
      </c>
      <c r="Q1924" s="29" cm="1">
        <f t="array" ref="Q1924">IF(表成绩单[[#This Row],[数学]]="","",SUMPRODUCT((表成绩单[考试日期]=表成绩单[[#This Row],[考试日期]])*(表成绩单[数学]&lt;9E+307)*(表成绩单[数学]&gt;表成绩单[[#This Row],[数学]]))+1)</f>
        <v>325</v>
      </c>
      <c r="R1924" s="29" cm="1">
        <f t="array" ref="R1924">IF(表成绩单[[#This Row],[英语]]="","",SUMPRODUCT((表成绩单[考试日期]=表成绩单[[#This Row],[考试日期]])*(表成绩单[英语]&lt;9E+307)*(表成绩单[英语]&gt;表成绩单[[#This Row],[英语]]))+1)</f>
        <v>299</v>
      </c>
      <c r="S1924" s="29" cm="1">
        <f t="array" ref="S1924">IF(表成绩单[[#This Row],[物理]]="","",SUMPRODUCT((表成绩单[考试日期]=表成绩单[[#This Row],[考试日期]])*(表成绩单[物理]&lt;9E+307)*(表成绩单[物理]&gt;表成绩单[[#This Row],[物理]]))+1)</f>
        <v>297</v>
      </c>
      <c r="T1924" s="29" cm="1">
        <f t="array" ref="T1924">IF(表成绩单[[#This Row],[化学]]="","",SUMPRODUCT((表成绩单[考试日期]=表成绩单[[#This Row],[考试日期]])*(表成绩单[化学]&lt;9E+307)*(表成绩单[化学]&gt;表成绩单[[#This Row],[化学]]))+1)</f>
        <v>116</v>
      </c>
      <c r="U1924" s="29" cm="1">
        <f t="array" ref="U1924">IF(表成绩单[[#This Row],[政治]]="","",SUMPRODUCT((表成绩单[考试日期]=表成绩单[[#This Row],[考试日期]])*(表成绩单[政治]&lt;9E+307)*(表成绩单[政治]&gt;表成绩单[[#This Row],[政治]]))+1)</f>
        <v>336</v>
      </c>
      <c r="V1924" s="29" cm="1">
        <f t="array" ref="V1924">IF(表成绩单[[#This Row],[历史]]="","",SUMPRODUCT((表成绩单[考试日期]=表成绩单[[#This Row],[考试日期]])*(表成绩单[历史]&lt;9E+307)*(表成绩单[历史]&gt;表成绩单[[#This Row],[历史]]))+1)</f>
        <v>415</v>
      </c>
      <c r="W1924" s="29" cm="1">
        <f t="array" ref="W1924">IF(表成绩单[[#This Row],[总分]]="","",SUMPRODUCT((表成绩单[考试日期]=表成绩单[[#This Row],[考试日期]])*(表成绩单[总分]&lt;9E+307)*(表成绩单[总分]&gt;表成绩单[[#This Row],[总分]]))+1)</f>
        <v>317</v>
      </c>
    </row>
    <row r="1925" ht="28" customHeight="1" spans="4:23">
      <c r="D1925" s="31">
        <v>46030</v>
      </c>
      <c r="E1925" s="29">
        <v>19174470</v>
      </c>
      <c r="F1925" s="29" t="s">
        <v>73</v>
      </c>
      <c r="G1925" s="29" t="s">
        <v>337</v>
      </c>
      <c r="H1925" s="29">
        <v>94</v>
      </c>
      <c r="I1925" s="29">
        <v>84</v>
      </c>
      <c r="J1925" s="29">
        <v>70</v>
      </c>
      <c r="K1925" s="29">
        <v>65</v>
      </c>
      <c r="L1925" s="29">
        <v>70</v>
      </c>
      <c r="M1925" s="29">
        <v>75</v>
      </c>
      <c r="N1925" s="29">
        <v>72</v>
      </c>
      <c r="O1925" s="32">
        <v>530</v>
      </c>
      <c r="P1925" s="29" cm="1">
        <f t="array" ref="P1925">IF(表成绩单[[#This Row],[语文]]="","",SUMPRODUCT((表成绩单[考试日期]=表成绩单[[#This Row],[考试日期]])*(表成绩单[语文]&lt;9E+307)*(表成绩单[语文]&gt;表成绩单[[#This Row],[语文]]))+1)</f>
        <v>381</v>
      </c>
      <c r="Q1925" s="29" cm="1">
        <f t="array" ref="Q1925">IF(表成绩单[[#This Row],[数学]]="","",SUMPRODUCT((表成绩单[考试日期]=表成绩单[[#This Row],[考试日期]])*(表成绩单[数学]&lt;9E+307)*(表成绩单[数学]&gt;表成绩单[[#This Row],[数学]]))+1)</f>
        <v>343</v>
      </c>
      <c r="R1925" s="29" cm="1">
        <f t="array" ref="R1925">IF(表成绩单[[#This Row],[英语]]="","",SUMPRODUCT((表成绩单[考试日期]=表成绩单[[#This Row],[考试日期]])*(表成绩单[英语]&lt;9E+307)*(表成绩单[英语]&gt;表成绩单[[#This Row],[英语]]))+1)</f>
        <v>319</v>
      </c>
      <c r="S1925" s="29" cm="1">
        <f t="array" ref="S1925">IF(表成绩单[[#This Row],[物理]]="","",SUMPRODUCT((表成绩单[考试日期]=表成绩单[[#This Row],[考试日期]])*(表成绩单[物理]&lt;9E+307)*(表成绩单[物理]&gt;表成绩单[[#This Row],[物理]]))+1)</f>
        <v>427</v>
      </c>
      <c r="T1925" s="29" cm="1">
        <f t="array" ref="T1925">IF(表成绩单[[#This Row],[化学]]="","",SUMPRODUCT((表成绩单[考试日期]=表成绩单[[#This Row],[考试日期]])*(表成绩单[化学]&lt;9E+307)*(表成绩单[化学]&gt;表成绩单[[#This Row],[化学]]))+1)</f>
        <v>318</v>
      </c>
      <c r="U1925" s="29" cm="1">
        <f t="array" ref="U1925">IF(表成绩单[[#This Row],[政治]]="","",SUMPRODUCT((表成绩单[考试日期]=表成绩单[[#This Row],[考试日期]])*(表成绩单[政治]&lt;9E+307)*(表成绩单[政治]&gt;表成绩单[[#This Row],[政治]]))+1)</f>
        <v>137</v>
      </c>
      <c r="V1925" s="29" cm="1">
        <f t="array" ref="V1925">IF(表成绩单[[#This Row],[历史]]="","",SUMPRODUCT((表成绩单[考试日期]=表成绩单[[#This Row],[考试日期]])*(表成绩单[历史]&lt;9E+307)*(表成绩单[历史]&gt;表成绩单[[#This Row],[历史]]))+1)</f>
        <v>266</v>
      </c>
      <c r="W1925" s="29" cm="1">
        <f t="array" ref="W1925">IF(表成绩单[[#This Row],[总分]]="","",SUMPRODUCT((表成绩单[考试日期]=表成绩单[[#This Row],[考试日期]])*(表成绩单[总分]&lt;9E+307)*(表成绩单[总分]&gt;表成绩单[[#This Row],[总分]]))+1)</f>
        <v>319</v>
      </c>
    </row>
    <row r="1926" ht="28" customHeight="1" spans="4:23">
      <c r="D1926" s="31">
        <v>46030</v>
      </c>
      <c r="E1926" s="29">
        <v>19174778</v>
      </c>
      <c r="F1926" s="29" t="s">
        <v>69</v>
      </c>
      <c r="G1926" s="29" t="s">
        <v>359</v>
      </c>
      <c r="H1926" s="29">
        <v>102</v>
      </c>
      <c r="I1926" s="29">
        <v>86</v>
      </c>
      <c r="J1926" s="29">
        <v>73</v>
      </c>
      <c r="K1926" s="29">
        <v>71</v>
      </c>
      <c r="L1926" s="29">
        <v>69</v>
      </c>
      <c r="M1926" s="29">
        <v>64</v>
      </c>
      <c r="N1926" s="29">
        <v>65</v>
      </c>
      <c r="O1926" s="32">
        <v>530</v>
      </c>
      <c r="P1926" s="29" cm="1">
        <f t="array" ref="P1926">IF(表成绩单[[#This Row],[语文]]="","",SUMPRODUCT((表成绩单[考试日期]=表成绩单[[#This Row],[考试日期]])*(表成绩单[语文]&lt;9E+307)*(表成绩单[语文]&gt;表成绩单[[#This Row],[语文]]))+1)</f>
        <v>132</v>
      </c>
      <c r="Q1926" s="29" cm="1">
        <f t="array" ref="Q1926">IF(表成绩单[[#This Row],[数学]]="","",SUMPRODUCT((表成绩单[考试日期]=表成绩单[[#This Row],[考试日期]])*(表成绩单[数学]&lt;9E+307)*(表成绩单[数学]&gt;表成绩单[[#This Row],[数学]]))+1)</f>
        <v>302</v>
      </c>
      <c r="R1926" s="29" cm="1">
        <f t="array" ref="R1926">IF(表成绩单[[#This Row],[英语]]="","",SUMPRODUCT((表成绩单[考试日期]=表成绩单[[#This Row],[考试日期]])*(表成绩单[英语]&lt;9E+307)*(表成绩单[英语]&gt;表成绩单[[#This Row],[英语]]))+1)</f>
        <v>222</v>
      </c>
      <c r="S1926" s="29" cm="1">
        <f t="array" ref="S1926">IF(表成绩单[[#This Row],[物理]]="","",SUMPRODUCT((表成绩单[考试日期]=表成绩单[[#This Row],[考试日期]])*(表成绩单[物理]&lt;9E+307)*(表成绩单[物理]&gt;表成绩单[[#This Row],[物理]]))+1)</f>
        <v>319</v>
      </c>
      <c r="T1926" s="29" cm="1">
        <f t="array" ref="T1926">IF(表成绩单[[#This Row],[化学]]="","",SUMPRODUCT((表成绩单[考试日期]=表成绩单[[#This Row],[考试日期]])*(表成绩单[化学]&lt;9E+307)*(表成绩单[化学]&gt;表成绩单[[#This Row],[化学]]))+1)</f>
        <v>339</v>
      </c>
      <c r="U1926" s="29" cm="1">
        <f t="array" ref="U1926">IF(表成绩单[[#This Row],[政治]]="","",SUMPRODUCT((表成绩单[考试日期]=表成绩单[[#This Row],[考试日期]])*(表成绩单[政治]&lt;9E+307)*(表成绩单[政治]&gt;表成绩单[[#This Row],[政治]]))+1)</f>
        <v>457</v>
      </c>
      <c r="V1926" s="29" cm="1">
        <f t="array" ref="V1926">IF(表成绩单[[#This Row],[历史]]="","",SUMPRODUCT((表成绩单[考试日期]=表成绩单[[#This Row],[考试日期]])*(表成绩单[历史]&lt;9E+307)*(表成绩单[历史]&gt;表成绩单[[#This Row],[历史]]))+1)</f>
        <v>471</v>
      </c>
      <c r="W1926" s="29" cm="1">
        <f t="array" ref="W1926">IF(表成绩单[[#This Row],[总分]]="","",SUMPRODUCT((表成绩单[考试日期]=表成绩单[[#This Row],[考试日期]])*(表成绩单[总分]&lt;9E+307)*(表成绩单[总分]&gt;表成绩单[[#This Row],[总分]]))+1)</f>
        <v>319</v>
      </c>
    </row>
    <row r="1927" ht="28" customHeight="1" spans="4:23">
      <c r="D1927" s="31">
        <v>46030</v>
      </c>
      <c r="E1927" s="29">
        <v>19174801</v>
      </c>
      <c r="F1927" s="29" t="s">
        <v>69</v>
      </c>
      <c r="G1927" s="29" t="s">
        <v>279</v>
      </c>
      <c r="H1927" s="29">
        <v>96</v>
      </c>
      <c r="I1927" s="29">
        <v>74</v>
      </c>
      <c r="J1927" s="29">
        <v>73</v>
      </c>
      <c r="K1927" s="29">
        <v>80</v>
      </c>
      <c r="L1927" s="29">
        <v>67</v>
      </c>
      <c r="M1927" s="29">
        <v>73</v>
      </c>
      <c r="N1927" s="29">
        <v>67</v>
      </c>
      <c r="O1927" s="32">
        <v>530</v>
      </c>
      <c r="P1927" s="29" cm="1">
        <f t="array" ref="P1927">IF(表成绩单[[#This Row],[语文]]="","",SUMPRODUCT((表成绩单[考试日期]=表成绩单[[#This Row],[考试日期]])*(表成绩单[语文]&lt;9E+307)*(表成绩单[语文]&gt;表成绩单[[#This Row],[语文]]))+1)</f>
        <v>315</v>
      </c>
      <c r="Q1927" s="29" cm="1">
        <f t="array" ref="Q1927">IF(表成绩单[[#This Row],[数学]]="","",SUMPRODUCT((表成绩单[考试日期]=表成绩单[[#This Row],[考试日期]])*(表成绩单[数学]&lt;9E+307)*(表成绩单[数学]&gt;表成绩单[[#This Row],[数学]]))+1)</f>
        <v>535</v>
      </c>
      <c r="R1927" s="29" cm="1">
        <f t="array" ref="R1927">IF(表成绩单[[#This Row],[英语]]="","",SUMPRODUCT((表成绩单[考试日期]=表成绩单[[#This Row],[考试日期]])*(表成绩单[英语]&lt;9E+307)*(表成绩单[英语]&gt;表成绩单[[#This Row],[英语]]))+1)</f>
        <v>222</v>
      </c>
      <c r="S1927" s="29" cm="1">
        <f t="array" ref="S1927">IF(表成绩单[[#This Row],[物理]]="","",SUMPRODUCT((表成绩单[考试日期]=表成绩单[[#This Row],[考试日期]])*(表成绩单[物理]&lt;9E+307)*(表成绩单[物理]&gt;表成绩单[[#This Row],[物理]]))+1)</f>
        <v>137</v>
      </c>
      <c r="T1927" s="29" cm="1">
        <f t="array" ref="T1927">IF(表成绩单[[#This Row],[化学]]="","",SUMPRODUCT((表成绩单[考试日期]=表成绩单[[#This Row],[考试日期]])*(表成绩单[化学]&lt;9E+307)*(表成绩单[化学]&gt;表成绩单[[#This Row],[化学]]))+1)</f>
        <v>381</v>
      </c>
      <c r="U1927" s="29" cm="1">
        <f t="array" ref="U1927">IF(表成绩单[[#This Row],[政治]]="","",SUMPRODUCT((表成绩单[考试日期]=表成绩单[[#This Row],[考试日期]])*(表成绩单[政治]&lt;9E+307)*(表成绩单[政治]&gt;表成绩单[[#This Row],[政治]]))+1)</f>
        <v>197</v>
      </c>
      <c r="V1927" s="29" cm="1">
        <f t="array" ref="V1927">IF(表成绩单[[#This Row],[历史]]="","",SUMPRODUCT((表成绩单[考试日期]=表成绩单[[#This Row],[考试日期]])*(表成绩单[历史]&lt;9E+307)*(表成绩单[历史]&gt;表成绩单[[#This Row],[历史]]))+1)</f>
        <v>415</v>
      </c>
      <c r="W1927" s="29" cm="1">
        <f t="array" ref="W1927">IF(表成绩单[[#This Row],[总分]]="","",SUMPRODUCT((表成绩单[考试日期]=表成绩单[[#This Row],[考试日期]])*(表成绩单[总分]&lt;9E+307)*(表成绩单[总分]&gt;表成绩单[[#This Row],[总分]]))+1)</f>
        <v>319</v>
      </c>
    </row>
    <row r="1928" ht="28" customHeight="1" spans="4:23">
      <c r="D1928" s="31">
        <v>46030</v>
      </c>
      <c r="E1928" s="29">
        <v>19175644</v>
      </c>
      <c r="F1928" s="29" t="s">
        <v>66</v>
      </c>
      <c r="G1928" s="29" t="s">
        <v>544</v>
      </c>
      <c r="H1928" s="29">
        <v>88</v>
      </c>
      <c r="I1928" s="29">
        <v>91</v>
      </c>
      <c r="J1928" s="29">
        <v>63</v>
      </c>
      <c r="K1928" s="29">
        <v>85</v>
      </c>
      <c r="L1928" s="29">
        <v>75</v>
      </c>
      <c r="M1928" s="29">
        <v>63</v>
      </c>
      <c r="N1928" s="29">
        <v>65</v>
      </c>
      <c r="O1928" s="32">
        <v>530</v>
      </c>
      <c r="P1928" s="29" cm="1">
        <f t="array" ref="P1928">IF(表成绩单[[#This Row],[语文]]="","",SUMPRODUCT((表成绩单[考试日期]=表成绩单[[#This Row],[考试日期]])*(表成绩单[语文]&lt;9E+307)*(表成绩单[语文]&gt;表成绩单[[#This Row],[语文]]))+1)</f>
        <v>562</v>
      </c>
      <c r="Q1928" s="29" cm="1">
        <f t="array" ref="Q1928">IF(表成绩单[[#This Row],[数学]]="","",SUMPRODUCT((表成绩单[考试日期]=表成绩单[[#This Row],[考试日期]])*(表成绩单[数学]&lt;9E+307)*(表成绩单[数学]&gt;表成绩单[[#This Row],[数学]]))+1)</f>
        <v>204</v>
      </c>
      <c r="R1928" s="29" cm="1">
        <f t="array" ref="R1928">IF(表成绩单[[#This Row],[英语]]="","",SUMPRODUCT((表成绩单[考试日期]=表成绩单[[#This Row],[考试日期]])*(表成绩单[英语]&lt;9E+307)*(表成绩单[英语]&gt;表成绩单[[#This Row],[英语]]))+1)</f>
        <v>471</v>
      </c>
      <c r="S1928" s="29" cm="1">
        <f t="array" ref="S1928">IF(表成绩单[[#This Row],[物理]]="","",SUMPRODUCT((表成绩单[考试日期]=表成绩单[[#This Row],[考试日期]])*(表成绩单[物理]&lt;9E+307)*(表成绩单[物理]&gt;表成绩单[[#This Row],[物理]]))+1)</f>
        <v>56</v>
      </c>
      <c r="T1928" s="29" cm="1">
        <f t="array" ref="T1928">IF(表成绩单[[#This Row],[化学]]="","",SUMPRODUCT((表成绩单[考试日期]=表成绩单[[#This Row],[考试日期]])*(表成绩单[化学]&lt;9E+307)*(表成绩单[化学]&gt;表成绩单[[#This Row],[化学]]))+1)</f>
        <v>169</v>
      </c>
      <c r="U1928" s="29" cm="1">
        <f t="array" ref="U1928">IF(表成绩单[[#This Row],[政治]]="","",SUMPRODUCT((表成绩单[考试日期]=表成绩单[[#This Row],[考试日期]])*(表成绩单[政治]&lt;9E+307)*(表成绩单[政治]&gt;表成绩单[[#This Row],[政治]]))+1)</f>
        <v>486</v>
      </c>
      <c r="V1928" s="29" cm="1">
        <f t="array" ref="V1928">IF(表成绩单[[#This Row],[历史]]="","",SUMPRODUCT((表成绩单[考试日期]=表成绩单[[#This Row],[考试日期]])*(表成绩单[历史]&lt;9E+307)*(表成绩单[历史]&gt;表成绩单[[#This Row],[历史]]))+1)</f>
        <v>471</v>
      </c>
      <c r="W1928" s="29" cm="1">
        <f t="array" ref="W1928">IF(表成绩单[[#This Row],[总分]]="","",SUMPRODUCT((表成绩单[考试日期]=表成绩单[[#This Row],[考试日期]])*(表成绩单[总分]&lt;9E+307)*(表成绩单[总分]&gt;表成绩单[[#This Row],[总分]]))+1)</f>
        <v>319</v>
      </c>
    </row>
    <row r="1929" ht="28" customHeight="1" spans="4:23">
      <c r="D1929" s="31">
        <v>46030</v>
      </c>
      <c r="E1929" s="29">
        <v>19177630</v>
      </c>
      <c r="F1929" s="29" t="s">
        <v>58</v>
      </c>
      <c r="G1929" s="29" t="s">
        <v>521</v>
      </c>
      <c r="H1929" s="29">
        <v>75</v>
      </c>
      <c r="I1929" s="29">
        <v>93</v>
      </c>
      <c r="J1929" s="29">
        <v>55</v>
      </c>
      <c r="K1929" s="29">
        <v>87</v>
      </c>
      <c r="L1929" s="29">
        <v>69</v>
      </c>
      <c r="M1929" s="29">
        <v>74</v>
      </c>
      <c r="N1929" s="29">
        <v>77</v>
      </c>
      <c r="O1929" s="32">
        <v>530</v>
      </c>
      <c r="P1929" s="29" cm="1">
        <f t="array" ref="P1929">IF(表成绩单[[#This Row],[语文]]="","",SUMPRODUCT((表成绩单[考试日期]=表成绩单[[#This Row],[考试日期]])*(表成绩单[语文]&lt;9E+307)*(表成绩单[语文]&gt;表成绩单[[#This Row],[语文]]))+1)</f>
        <v>714</v>
      </c>
      <c r="Q1929" s="29" cm="1">
        <f t="array" ref="Q1929">IF(表成绩单[[#This Row],[数学]]="","",SUMPRODUCT((表成绩单[考试日期]=表成绩单[[#This Row],[考试日期]])*(表成绩单[数学]&lt;9E+307)*(表成绩单[数学]&gt;表成绩单[[#This Row],[数学]]))+1)</f>
        <v>188</v>
      </c>
      <c r="R1929" s="29" cm="1">
        <f t="array" ref="R1929">IF(表成绩单[[#This Row],[英语]]="","",SUMPRODUCT((表成绩单[考试日期]=表成绩单[[#This Row],[考试日期]])*(表成绩单[英语]&lt;9E+307)*(表成绩单[英语]&gt;表成绩单[[#This Row],[英语]]))+1)</f>
        <v>596</v>
      </c>
      <c r="S1929" s="29" cm="1">
        <f t="array" ref="S1929">IF(表成绩单[[#This Row],[物理]]="","",SUMPRODUCT((表成绩单[考试日期]=表成绩单[[#This Row],[考试日期]])*(表成绩单[物理]&lt;9E+307)*(表成绩单[物理]&gt;表成绩单[[#This Row],[物理]]))+1)</f>
        <v>27</v>
      </c>
      <c r="T1929" s="29" cm="1">
        <f t="array" ref="T1929">IF(表成绩单[[#This Row],[化学]]="","",SUMPRODUCT((表成绩单[考试日期]=表成绩单[[#This Row],[考试日期]])*(表成绩单[化学]&lt;9E+307)*(表成绩单[化学]&gt;表成绩单[[#This Row],[化学]]))+1)</f>
        <v>339</v>
      </c>
      <c r="U1929" s="29" cm="1">
        <f t="array" ref="U1929">IF(表成绩单[[#This Row],[政治]]="","",SUMPRODUCT((表成绩单[考试日期]=表成绩单[[#This Row],[考试日期]])*(表成绩单[政治]&lt;9E+307)*(表成绩单[政治]&gt;表成绩单[[#This Row],[政治]]))+1)</f>
        <v>168</v>
      </c>
      <c r="V1929" s="29" cm="1">
        <f t="array" ref="V1929">IF(表成绩单[[#This Row],[历史]]="","",SUMPRODUCT((表成绩单[考试日期]=表成绩单[[#This Row],[考试日期]])*(表成绩单[历史]&lt;9E+307)*(表成绩单[历史]&gt;表成绩单[[#This Row],[历史]]))+1)</f>
        <v>148</v>
      </c>
      <c r="W1929" s="29" cm="1">
        <f t="array" ref="W1929">IF(表成绩单[[#This Row],[总分]]="","",SUMPRODUCT((表成绩单[考试日期]=表成绩单[[#This Row],[考试日期]])*(表成绩单[总分]&lt;9E+307)*(表成绩单[总分]&gt;表成绩单[[#This Row],[总分]]))+1)</f>
        <v>319</v>
      </c>
    </row>
    <row r="1930" ht="28" customHeight="1" spans="4:23">
      <c r="D1930" s="31">
        <v>46030</v>
      </c>
      <c r="E1930" s="29">
        <v>19177642</v>
      </c>
      <c r="F1930" s="29" t="s">
        <v>63</v>
      </c>
      <c r="G1930" s="29" t="s">
        <v>232</v>
      </c>
      <c r="H1930" s="29">
        <v>98</v>
      </c>
      <c r="I1930" s="29">
        <v>89</v>
      </c>
      <c r="J1930" s="29">
        <v>51</v>
      </c>
      <c r="K1930" s="29">
        <v>81</v>
      </c>
      <c r="L1930" s="29">
        <v>73</v>
      </c>
      <c r="M1930" s="29">
        <v>67</v>
      </c>
      <c r="N1930" s="29">
        <v>71</v>
      </c>
      <c r="O1930" s="32">
        <v>530</v>
      </c>
      <c r="P1930" s="29" cm="1">
        <f t="array" ref="P1930">IF(表成绩单[[#This Row],[语文]]="","",SUMPRODUCT((表成绩单[考试日期]=表成绩单[[#This Row],[考试日期]])*(表成绩单[语文]&lt;9E+307)*(表成绩单[语文]&gt;表成绩单[[#This Row],[语文]]))+1)</f>
        <v>248</v>
      </c>
      <c r="Q1930" s="29" cm="1">
        <f t="array" ref="Q1930">IF(表成绩单[[#This Row],[数学]]="","",SUMPRODUCT((表成绩单[考试日期]=表成绩单[[#This Row],[考试日期]])*(表成绩单[数学]&lt;9E+307)*(表成绩单[数学]&gt;表成绩单[[#This Row],[数学]]))+1)</f>
        <v>228</v>
      </c>
      <c r="R1930" s="29" cm="1">
        <f t="array" ref="R1930">IF(表成绩单[[#This Row],[英语]]="","",SUMPRODUCT((表成绩单[考试日期]=表成绩单[[#This Row],[考试日期]])*(表成绩单[英语]&lt;9E+307)*(表成绩单[英语]&gt;表成绩单[[#This Row],[英语]]))+1)</f>
        <v>641</v>
      </c>
      <c r="S1930" s="29" cm="1">
        <f t="array" ref="S1930">IF(表成绩单[[#This Row],[物理]]="","",SUMPRODUCT((表成绩单[考试日期]=表成绩单[[#This Row],[考试日期]])*(表成绩单[物理]&lt;9E+307)*(表成绩单[物理]&gt;表成绩单[[#This Row],[物理]]))+1)</f>
        <v>119</v>
      </c>
      <c r="T1930" s="29" cm="1">
        <f t="array" ref="T1930">IF(表成绩单[[#This Row],[化学]]="","",SUMPRODUCT((表成绩单[考试日期]=表成绩单[[#This Row],[考试日期]])*(表成绩单[化学]&lt;9E+307)*(表成绩单[化学]&gt;表成绩单[[#This Row],[化学]]))+1)</f>
        <v>236</v>
      </c>
      <c r="U1930" s="29" cm="1">
        <f t="array" ref="U1930">IF(表成绩单[[#This Row],[政治]]="","",SUMPRODUCT((表成绩单[考试日期]=表成绩单[[#This Row],[考试日期]])*(表成绩单[政治]&lt;9E+307)*(表成绩单[政治]&gt;表成绩单[[#This Row],[政治]]))+1)</f>
        <v>370</v>
      </c>
      <c r="V1930" s="29" cm="1">
        <f t="array" ref="V1930">IF(表成绩单[[#This Row],[历史]]="","",SUMPRODUCT((表成绩单[考试日期]=表成绩单[[#This Row],[考试日期]])*(表成绩单[历史]&lt;9E+307)*(表成绩单[历史]&gt;表成绩单[[#This Row],[历史]]))+1)</f>
        <v>297</v>
      </c>
      <c r="W1930" s="29" cm="1">
        <f t="array" ref="W1930">IF(表成绩单[[#This Row],[总分]]="","",SUMPRODUCT((表成绩单[考试日期]=表成绩单[[#This Row],[考试日期]])*(表成绩单[总分]&lt;9E+307)*(表成绩单[总分]&gt;表成绩单[[#This Row],[总分]]))+1)</f>
        <v>319</v>
      </c>
    </row>
    <row r="1931" ht="28" customHeight="1" spans="4:23">
      <c r="D1931" s="31">
        <v>46030</v>
      </c>
      <c r="E1931" s="29">
        <v>19178645</v>
      </c>
      <c r="F1931" s="29" t="s">
        <v>25</v>
      </c>
      <c r="G1931" s="29" t="s">
        <v>323</v>
      </c>
      <c r="H1931" s="29">
        <v>100</v>
      </c>
      <c r="I1931" s="29">
        <v>76</v>
      </c>
      <c r="J1931" s="29">
        <v>70</v>
      </c>
      <c r="K1931" s="29">
        <v>66</v>
      </c>
      <c r="L1931" s="29">
        <v>75</v>
      </c>
      <c r="M1931" s="29">
        <v>80</v>
      </c>
      <c r="N1931" s="29">
        <v>63</v>
      </c>
      <c r="O1931" s="32">
        <v>530</v>
      </c>
      <c r="P1931" s="29" cm="1">
        <f t="array" ref="P1931">IF(表成绩单[[#This Row],[语文]]="","",SUMPRODUCT((表成绩单[考试日期]=表成绩单[[#This Row],[考试日期]])*(表成绩单[语文]&lt;9E+307)*(表成绩单[语文]&gt;表成绩单[[#This Row],[语文]]))+1)</f>
        <v>182</v>
      </c>
      <c r="Q1931" s="29" cm="1">
        <f t="array" ref="Q1931">IF(表成绩单[[#This Row],[数学]]="","",SUMPRODUCT((表成绩单[考试日期]=表成绩单[[#This Row],[考试日期]])*(表成绩单[数学]&lt;9E+307)*(表成绩单[数学]&gt;表成绩单[[#This Row],[数学]]))+1)</f>
        <v>507</v>
      </c>
      <c r="R1931" s="29" cm="1">
        <f t="array" ref="R1931">IF(表成绩单[[#This Row],[英语]]="","",SUMPRODUCT((表成绩单[考试日期]=表成绩单[[#This Row],[考试日期]])*(表成绩单[英语]&lt;9E+307)*(表成绩单[英语]&gt;表成绩单[[#This Row],[英语]]))+1)</f>
        <v>319</v>
      </c>
      <c r="S1931" s="29" cm="1">
        <f t="array" ref="S1931">IF(表成绩单[[#This Row],[物理]]="","",SUMPRODUCT((表成绩单[考试日期]=表成绩单[[#This Row],[考试日期]])*(表成绩单[物理]&lt;9E+307)*(表成绩单[物理]&gt;表成绩单[[#This Row],[物理]]))+1)</f>
        <v>415</v>
      </c>
      <c r="T1931" s="29" cm="1">
        <f t="array" ref="T1931">IF(表成绩单[[#This Row],[化学]]="","",SUMPRODUCT((表成绩单[考试日期]=表成绩单[[#This Row],[考试日期]])*(表成绩单[化学]&lt;9E+307)*(表成绩单[化学]&gt;表成绩单[[#This Row],[化学]]))+1)</f>
        <v>169</v>
      </c>
      <c r="U1931" s="29" cm="1">
        <f t="array" ref="U1931">IF(表成绩单[[#This Row],[政治]]="","",SUMPRODUCT((表成绩单[考试日期]=表成绩单[[#This Row],[考试日期]])*(表成绩单[政治]&lt;9E+307)*(表成绩单[政治]&gt;表成绩单[[#This Row],[政治]]))+1)</f>
        <v>28</v>
      </c>
      <c r="V1931" s="29" cm="1">
        <f t="array" ref="V1931">IF(表成绩单[[#This Row],[历史]]="","",SUMPRODUCT((表成绩单[考试日期]=表成绩单[[#This Row],[考试日期]])*(表成绩单[历史]&lt;9E+307)*(表成绩单[历史]&gt;表成绩单[[#This Row],[历史]]))+1)</f>
        <v>521</v>
      </c>
      <c r="W1931" s="29" cm="1">
        <f t="array" ref="W1931">IF(表成绩单[[#This Row],[总分]]="","",SUMPRODUCT((表成绩单[考试日期]=表成绩单[[#This Row],[考试日期]])*(表成绩单[总分]&lt;9E+307)*(表成绩单[总分]&gt;表成绩单[[#This Row],[总分]]))+1)</f>
        <v>319</v>
      </c>
    </row>
    <row r="1932" ht="28" customHeight="1" spans="4:23">
      <c r="D1932" s="31">
        <v>46030</v>
      </c>
      <c r="E1932" s="29">
        <v>19173244</v>
      </c>
      <c r="F1932" s="29" t="s">
        <v>61</v>
      </c>
      <c r="G1932" s="29" t="s">
        <v>551</v>
      </c>
      <c r="H1932" s="29">
        <v>106</v>
      </c>
      <c r="I1932" s="29">
        <v>82</v>
      </c>
      <c r="J1932" s="29">
        <v>71.5</v>
      </c>
      <c r="K1932" s="29">
        <v>69</v>
      </c>
      <c r="L1932" s="29">
        <v>60</v>
      </c>
      <c r="M1932" s="29">
        <v>68</v>
      </c>
      <c r="N1932" s="29">
        <v>73</v>
      </c>
      <c r="O1932" s="32">
        <v>529.5</v>
      </c>
      <c r="P1932" s="29" cm="1">
        <f t="array" ref="P1932">IF(表成绩单[[#This Row],[语文]]="","",SUMPRODUCT((表成绩单[考试日期]=表成绩单[[#This Row],[考试日期]])*(表成绩单[语文]&lt;9E+307)*(表成绩单[语文]&gt;表成绩单[[#This Row],[语文]]))+1)</f>
        <v>50</v>
      </c>
      <c r="Q1932" s="29" cm="1">
        <f t="array" ref="Q1932">IF(表成绩单[[#This Row],[数学]]="","",SUMPRODUCT((表成绩单[考试日期]=表成绩单[[#This Row],[考试日期]])*(表成绩单[数学]&lt;9E+307)*(表成绩单[数学]&gt;表成绩单[[#This Row],[数学]]))+1)</f>
        <v>383</v>
      </c>
      <c r="R1932" s="29" cm="1">
        <f t="array" ref="R1932">IF(表成绩单[[#This Row],[英语]]="","",SUMPRODUCT((表成绩单[考试日期]=表成绩单[[#This Row],[考试日期]])*(表成绩单[英语]&lt;9E+307)*(表成绩单[英语]&gt;表成绩单[[#This Row],[英语]]))+1)</f>
        <v>271</v>
      </c>
      <c r="S1932" s="29" cm="1">
        <f t="array" ref="S1932">IF(表成绩单[[#This Row],[物理]]="","",SUMPRODUCT((表成绩单[考试日期]=表成绩单[[#This Row],[考试日期]])*(表成绩单[物理]&lt;9E+307)*(表成绩单[物理]&gt;表成绩单[[#This Row],[物理]]))+1)</f>
        <v>356</v>
      </c>
      <c r="T1932" s="29" cm="1">
        <f t="array" ref="T1932">IF(表成绩单[[#This Row],[化学]]="","",SUMPRODUCT((表成绩单[考试日期]=表成绩单[[#This Row],[考试日期]])*(表成绩单[化学]&lt;9E+307)*(表成绩单[化学]&gt;表成绩单[[#This Row],[化学]]))+1)</f>
        <v>525</v>
      </c>
      <c r="U1932" s="29" cm="1">
        <f t="array" ref="U1932">IF(表成绩单[[#This Row],[政治]]="","",SUMPRODUCT((表成绩单[考试日期]=表成绩单[[#This Row],[考试日期]])*(表成绩单[政治]&lt;9E+307)*(表成绩单[政治]&gt;表成绩单[[#This Row],[政治]]))+1)</f>
        <v>336</v>
      </c>
      <c r="V1932" s="29" cm="1">
        <f t="array" ref="V1932">IF(表成绩单[[#This Row],[历史]]="","",SUMPRODUCT((表成绩单[考试日期]=表成绩单[[#This Row],[考试日期]])*(表成绩单[历史]&lt;9E+307)*(表成绩单[历史]&gt;表成绩单[[#This Row],[历史]]))+1)</f>
        <v>240</v>
      </c>
      <c r="W1932" s="29" cm="1">
        <f t="array" ref="W1932">IF(表成绩单[[#This Row],[总分]]="","",SUMPRODUCT((表成绩单[考试日期]=表成绩单[[#This Row],[考试日期]])*(表成绩单[总分]&lt;9E+307)*(表成绩单[总分]&gt;表成绩单[[#This Row],[总分]]))+1)</f>
        <v>326</v>
      </c>
    </row>
    <row r="1933" ht="28" customHeight="1" spans="4:23">
      <c r="D1933" s="31">
        <v>46030</v>
      </c>
      <c r="E1933" s="29">
        <v>19176167</v>
      </c>
      <c r="F1933" s="29" t="s">
        <v>67</v>
      </c>
      <c r="G1933" s="29" t="s">
        <v>389</v>
      </c>
      <c r="H1933" s="29">
        <v>90</v>
      </c>
      <c r="I1933" s="29">
        <v>93</v>
      </c>
      <c r="J1933" s="29">
        <v>70.5</v>
      </c>
      <c r="K1933" s="29">
        <v>77</v>
      </c>
      <c r="L1933" s="29">
        <v>72</v>
      </c>
      <c r="M1933" s="29">
        <v>65</v>
      </c>
      <c r="N1933" s="29">
        <v>62</v>
      </c>
      <c r="O1933" s="32">
        <v>529.5</v>
      </c>
      <c r="P1933" s="29" cm="1">
        <f t="array" ref="P1933">IF(表成绩单[[#This Row],[语文]]="","",SUMPRODUCT((表成绩单[考试日期]=表成绩单[[#This Row],[考试日期]])*(表成绩单[语文]&lt;9E+307)*(表成绩单[语文]&gt;表成绩单[[#This Row],[语文]]))+1)</f>
        <v>509</v>
      </c>
      <c r="Q1933" s="29" cm="1">
        <f t="array" ref="Q1933">IF(表成绩单[[#This Row],[数学]]="","",SUMPRODUCT((表成绩单[考试日期]=表成绩单[[#This Row],[考试日期]])*(表成绩单[数学]&lt;9E+307)*(表成绩单[数学]&gt;表成绩单[[#This Row],[数学]]))+1)</f>
        <v>188</v>
      </c>
      <c r="R1933" s="29" cm="1">
        <f t="array" ref="R1933">IF(表成绩单[[#This Row],[英语]]="","",SUMPRODUCT((表成绩单[考试日期]=表成绩单[[#This Row],[考试日期]])*(表成绩单[英语]&lt;9E+307)*(表成绩单[英语]&gt;表成绩单[[#This Row],[英语]]))+1)</f>
        <v>299</v>
      </c>
      <c r="S1933" s="29" cm="1">
        <f t="array" ref="S1933">IF(表成绩单[[#This Row],[物理]]="","",SUMPRODUCT((表成绩单[考试日期]=表成绩单[[#This Row],[考试日期]])*(表成绩单[物理]&lt;9E+307)*(表成绩单[物理]&gt;表成绩单[[#This Row],[物理]]))+1)</f>
        <v>197</v>
      </c>
      <c r="T1933" s="29" cm="1">
        <f t="array" ref="T1933">IF(表成绩单[[#This Row],[化学]]="","",SUMPRODUCT((表成绩单[考试日期]=表成绩单[[#This Row],[考试日期]])*(表成绩单[化学]&lt;9E+307)*(表成绩单[化学]&gt;表成绩单[[#This Row],[化学]]))+1)</f>
        <v>271</v>
      </c>
      <c r="U1933" s="29" cm="1">
        <f t="array" ref="U1933">IF(表成绩单[[#This Row],[政治]]="","",SUMPRODUCT((表成绩单[考试日期]=表成绩单[[#This Row],[考试日期]])*(表成绩单[政治]&lt;9E+307)*(表成绩单[政治]&gt;表成绩单[[#This Row],[政治]]))+1)</f>
        <v>431</v>
      </c>
      <c r="V1933" s="29" cm="1">
        <f t="array" ref="V1933">IF(表成绩单[[#This Row],[历史]]="","",SUMPRODUCT((表成绩单[考试日期]=表成绩单[[#This Row],[考试日期]])*(表成绩单[历史]&lt;9E+307)*(表成绩单[历史]&gt;表成绩单[[#This Row],[历史]]))+1)</f>
        <v>545</v>
      </c>
      <c r="W1933" s="29" cm="1">
        <f t="array" ref="W1933">IF(表成绩单[[#This Row],[总分]]="","",SUMPRODUCT((表成绩单[考试日期]=表成绩单[[#This Row],[考试日期]])*(表成绩单[总分]&lt;9E+307)*(表成绩单[总分]&gt;表成绩单[[#This Row],[总分]]))+1)</f>
        <v>326</v>
      </c>
    </row>
    <row r="1934" ht="28" customHeight="1" spans="4:23">
      <c r="D1934" s="31">
        <v>46030</v>
      </c>
      <c r="E1934" s="29">
        <v>19177665</v>
      </c>
      <c r="F1934" s="29" t="s">
        <v>63</v>
      </c>
      <c r="G1934" s="29" t="s">
        <v>302</v>
      </c>
      <c r="H1934" s="29">
        <v>93</v>
      </c>
      <c r="I1934" s="29">
        <v>88</v>
      </c>
      <c r="J1934" s="29">
        <v>71.5</v>
      </c>
      <c r="K1934" s="29">
        <v>68</v>
      </c>
      <c r="L1934" s="29">
        <v>63</v>
      </c>
      <c r="M1934" s="29">
        <v>68</v>
      </c>
      <c r="N1934" s="29">
        <v>78</v>
      </c>
      <c r="O1934" s="32">
        <v>529.5</v>
      </c>
      <c r="P1934" s="29" cm="1">
        <f t="array" ref="P1934">IF(表成绩单[[#This Row],[语文]]="","",SUMPRODUCT((表成绩单[考试日期]=表成绩单[[#This Row],[考试日期]])*(表成绩单[语文]&lt;9E+307)*(表成绩单[语文]&gt;表成绩单[[#This Row],[语文]]))+1)</f>
        <v>412</v>
      </c>
      <c r="Q1934" s="29" cm="1">
        <f t="array" ref="Q1934">IF(表成绩单[[#This Row],[数学]]="","",SUMPRODUCT((表成绩单[考试日期]=表成绩单[[#This Row],[考试日期]])*(表成绩单[数学]&lt;9E+307)*(表成绩单[数学]&gt;表成绩单[[#This Row],[数学]]))+1)</f>
        <v>245</v>
      </c>
      <c r="R1934" s="29" cm="1">
        <f t="array" ref="R1934">IF(表成绩单[[#This Row],[英语]]="","",SUMPRODUCT((表成绩单[考试日期]=表成绩单[[#This Row],[考试日期]])*(表成绩单[英语]&lt;9E+307)*(表成绩单[英语]&gt;表成绩单[[#This Row],[英语]]))+1)</f>
        <v>271</v>
      </c>
      <c r="S1934" s="29" cm="1">
        <f t="array" ref="S1934">IF(表成绩单[[#This Row],[物理]]="","",SUMPRODUCT((表成绩单[考试日期]=表成绩单[[#This Row],[考试日期]])*(表成绩单[物理]&lt;9E+307)*(表成绩单[物理]&gt;表成绩单[[#This Row],[物理]]))+1)</f>
        <v>372</v>
      </c>
      <c r="T1934" s="29" cm="1">
        <f t="array" ref="T1934">IF(表成绩单[[#This Row],[化学]]="","",SUMPRODUCT((表成绩单[考试日期]=表成绩单[[#This Row],[考试日期]])*(表成绩单[化学]&lt;9E+307)*(表成绩单[化学]&gt;表成绩单[[#This Row],[化学]]))+1)</f>
        <v>472</v>
      </c>
      <c r="U1934" s="29" cm="1">
        <f t="array" ref="U1934">IF(表成绩单[[#This Row],[政治]]="","",SUMPRODUCT((表成绩单[考试日期]=表成绩单[[#This Row],[考试日期]])*(表成绩单[政治]&lt;9E+307)*(表成绩单[政治]&gt;表成绩单[[#This Row],[政治]]))+1)</f>
        <v>336</v>
      </c>
      <c r="V1934" s="29" cm="1">
        <f t="array" ref="V1934">IF(表成绩单[[#This Row],[历史]]="","",SUMPRODUCT((表成绩单[考试日期]=表成绩单[[#This Row],[考试日期]])*(表成绩单[历史]&lt;9E+307)*(表成绩单[历史]&gt;表成绩单[[#This Row],[历史]]))+1)</f>
        <v>126</v>
      </c>
      <c r="W1934" s="29" cm="1">
        <f t="array" ref="W1934">IF(表成绩单[[#This Row],[总分]]="","",SUMPRODUCT((表成绩单[考试日期]=表成绩单[[#This Row],[考试日期]])*(表成绩单[总分]&lt;9E+307)*(表成绩单[总分]&gt;表成绩单[[#This Row],[总分]]))+1)</f>
        <v>326</v>
      </c>
    </row>
    <row r="1935" ht="28" customHeight="1" spans="4:23">
      <c r="D1935" s="31">
        <v>46030</v>
      </c>
      <c r="E1935" s="29">
        <v>19171092</v>
      </c>
      <c r="F1935" s="29" t="s">
        <v>67</v>
      </c>
      <c r="G1935" s="29" t="s">
        <v>341</v>
      </c>
      <c r="H1935" s="29">
        <v>99</v>
      </c>
      <c r="I1935" s="29">
        <v>83</v>
      </c>
      <c r="J1935" s="29">
        <v>68</v>
      </c>
      <c r="K1935" s="29">
        <v>75</v>
      </c>
      <c r="L1935" s="29">
        <v>68</v>
      </c>
      <c r="M1935" s="29">
        <v>67</v>
      </c>
      <c r="N1935" s="29">
        <v>69</v>
      </c>
      <c r="O1935" s="32">
        <v>529</v>
      </c>
      <c r="P1935" s="29" cm="1">
        <f t="array" ref="P1935">IF(表成绩单[[#This Row],[语文]]="","",SUMPRODUCT((表成绩单[考试日期]=表成绩单[[#This Row],[考试日期]])*(表成绩单[语文]&lt;9E+307)*(表成绩单[语文]&gt;表成绩单[[#This Row],[语文]]))+1)</f>
        <v>213</v>
      </c>
      <c r="Q1935" s="29" cm="1">
        <f t="array" ref="Q1935">IF(表成绩单[[#This Row],[数学]]="","",SUMPRODUCT((表成绩单[考试日期]=表成绩单[[#This Row],[考试日期]])*(表成绩单[数学]&lt;9E+307)*(表成绩单[数学]&gt;表成绩单[[#This Row],[数学]]))+1)</f>
        <v>360</v>
      </c>
      <c r="R1935" s="29" cm="1">
        <f t="array" ref="R1935">IF(表成绩单[[#This Row],[英语]]="","",SUMPRODUCT((表成绩单[考试日期]=表成绩单[[#This Row],[考试日期]])*(表成绩单[英语]&lt;9E+307)*(表成绩单[英语]&gt;表成绩单[[#This Row],[英语]]))+1)</f>
        <v>364</v>
      </c>
      <c r="S1935" s="29" cm="1">
        <f t="array" ref="S1935">IF(表成绩单[[#This Row],[物理]]="","",SUMPRODUCT((表成绩单[考试日期]=表成绩单[[#This Row],[考试日期]])*(表成绩单[物理]&lt;9E+307)*(表成绩单[物理]&gt;表成绩单[[#This Row],[物理]]))+1)</f>
        <v>241</v>
      </c>
      <c r="T1935" s="29" cm="1">
        <f t="array" ref="T1935">IF(表成绩单[[#This Row],[化学]]="","",SUMPRODUCT((表成绩单[考试日期]=表成绩单[[#This Row],[考试日期]])*(表成绩单[化学]&lt;9E+307)*(表成绩单[化学]&gt;表成绩单[[#This Row],[化学]]))+1)</f>
        <v>358</v>
      </c>
      <c r="U1935" s="29" cm="1">
        <f t="array" ref="U1935">IF(表成绩单[[#This Row],[政治]]="","",SUMPRODUCT((表成绩单[考试日期]=表成绩单[[#This Row],[考试日期]])*(表成绩单[政治]&lt;9E+307)*(表成绩单[政治]&gt;表成绩单[[#This Row],[政治]]))+1)</f>
        <v>370</v>
      </c>
      <c r="V1935" s="29" cm="1">
        <f t="array" ref="V1935">IF(表成绩单[[#This Row],[历史]]="","",SUMPRODUCT((表成绩单[考试日期]=表成绩单[[#This Row],[考试日期]])*(表成绩单[历史]&lt;9E+307)*(表成绩单[历史]&gt;表成绩单[[#This Row],[历史]]))+1)</f>
        <v>366</v>
      </c>
      <c r="W1935" s="29" cm="1">
        <f t="array" ref="W1935">IF(表成绩单[[#This Row],[总分]]="","",SUMPRODUCT((表成绩单[考试日期]=表成绩单[[#This Row],[考试日期]])*(表成绩单[总分]&lt;9E+307)*(表成绩单[总分]&gt;表成绩单[[#This Row],[总分]]))+1)</f>
        <v>329</v>
      </c>
    </row>
    <row r="1936" ht="28" customHeight="1" spans="4:23">
      <c r="D1936" s="31">
        <v>46030</v>
      </c>
      <c r="E1936" s="29">
        <v>19173265</v>
      </c>
      <c r="F1936" s="29" t="s">
        <v>61</v>
      </c>
      <c r="G1936" s="29" t="s">
        <v>401</v>
      </c>
      <c r="H1936" s="29">
        <v>87</v>
      </c>
      <c r="I1936" s="29">
        <v>78</v>
      </c>
      <c r="J1936" s="29">
        <v>70.5</v>
      </c>
      <c r="K1936" s="29">
        <v>83</v>
      </c>
      <c r="L1936" s="29">
        <v>72</v>
      </c>
      <c r="M1936" s="29">
        <v>69</v>
      </c>
      <c r="N1936" s="29">
        <v>69</v>
      </c>
      <c r="O1936" s="32">
        <v>528.5</v>
      </c>
      <c r="P1936" s="29" cm="1">
        <f t="array" ref="P1936">IF(表成绩单[[#This Row],[语文]]="","",SUMPRODUCT((表成绩单[考试日期]=表成绩单[[#This Row],[考试日期]])*(表成绩单[语文]&lt;9E+307)*(表成绩单[语文]&gt;表成绩单[[#This Row],[语文]]))+1)</f>
        <v>581</v>
      </c>
      <c r="Q1936" s="29" cm="1">
        <f t="array" ref="Q1936">IF(表成绩单[[#This Row],[数学]]="","",SUMPRODUCT((表成绩单[考试日期]=表成绩单[[#This Row],[考试日期]])*(表成绩单[数学]&lt;9E+307)*(表成绩单[数学]&gt;表成绩单[[#This Row],[数学]]))+1)</f>
        <v>450</v>
      </c>
      <c r="R1936" s="29" cm="1">
        <f t="array" ref="R1936">IF(表成绩单[[#This Row],[英语]]="","",SUMPRODUCT((表成绩单[考试日期]=表成绩单[[#This Row],[考试日期]])*(表成绩单[英语]&lt;9E+307)*(表成绩单[英语]&gt;表成绩单[[#This Row],[英语]]))+1)</f>
        <v>299</v>
      </c>
      <c r="S1936" s="29" cm="1">
        <f t="array" ref="S1936">IF(表成绩单[[#This Row],[物理]]="","",SUMPRODUCT((表成绩单[考试日期]=表成绩单[[#This Row],[考试日期]])*(表成绩单[物理]&lt;9E+307)*(表成绩单[物理]&gt;表成绩单[[#This Row],[物理]]))+1)</f>
        <v>88</v>
      </c>
      <c r="T1936" s="29" cm="1">
        <f t="array" ref="T1936">IF(表成绩单[[#This Row],[化学]]="","",SUMPRODUCT((表成绩单[考试日期]=表成绩单[[#This Row],[考试日期]])*(表成绩单[化学]&lt;9E+307)*(表成绩单[化学]&gt;表成绩单[[#This Row],[化学]]))+1)</f>
        <v>271</v>
      </c>
      <c r="U1936" s="29" cm="1">
        <f t="array" ref="U1936">IF(表成绩单[[#This Row],[政治]]="","",SUMPRODUCT((表成绩单[考试日期]=表成绩单[[#This Row],[考试日期]])*(表成绩单[政治]&lt;9E+307)*(表成绩单[政治]&gt;表成绩单[[#This Row],[政治]]))+1)</f>
        <v>308</v>
      </c>
      <c r="V1936" s="29" cm="1">
        <f t="array" ref="V1936">IF(表成绩单[[#This Row],[历史]]="","",SUMPRODUCT((表成绩单[考试日期]=表成绩单[[#This Row],[考试日期]])*(表成绩单[历史]&lt;9E+307)*(表成绩单[历史]&gt;表成绩单[[#This Row],[历史]]))+1)</f>
        <v>366</v>
      </c>
      <c r="W1936" s="29" cm="1">
        <f t="array" ref="W1936">IF(表成绩单[[#This Row],[总分]]="","",SUMPRODUCT((表成绩单[考试日期]=表成绩单[[#This Row],[考试日期]])*(表成绩单[总分]&lt;9E+307)*(表成绩单[总分]&gt;表成绩单[[#This Row],[总分]]))+1)</f>
        <v>330</v>
      </c>
    </row>
    <row r="1937" ht="28" customHeight="1" spans="4:23">
      <c r="D1937" s="31">
        <v>46030</v>
      </c>
      <c r="E1937" s="29">
        <v>19176882</v>
      </c>
      <c r="F1937" s="29" t="s">
        <v>71</v>
      </c>
      <c r="G1937" s="29" t="s">
        <v>378</v>
      </c>
      <c r="H1937" s="29">
        <v>95</v>
      </c>
      <c r="I1937" s="29">
        <v>102</v>
      </c>
      <c r="J1937" s="29">
        <v>66.5</v>
      </c>
      <c r="K1937" s="29">
        <v>72</v>
      </c>
      <c r="L1937" s="29">
        <v>66</v>
      </c>
      <c r="M1937" s="29">
        <v>66</v>
      </c>
      <c r="N1937" s="29">
        <v>61</v>
      </c>
      <c r="O1937" s="32">
        <v>528.5</v>
      </c>
      <c r="P1937" s="29" cm="1">
        <f t="array" ref="P1937">IF(表成绩单[[#This Row],[语文]]="","",SUMPRODUCT((表成绩单[考试日期]=表成绩单[[#This Row],[考试日期]])*(表成绩单[语文]&lt;9E+307)*(表成绩单[语文]&gt;表成绩单[[#This Row],[语文]]))+1)</f>
        <v>342</v>
      </c>
      <c r="Q1937" s="29" cm="1">
        <f t="array" ref="Q1937">IF(表成绩单[[#This Row],[数学]]="","",SUMPRODUCT((表成绩单[考试日期]=表成绩单[[#This Row],[考试日期]])*(表成绩单[数学]&lt;9E+307)*(表成绩单[数学]&gt;表成绩单[[#This Row],[数学]]))+1)</f>
        <v>95</v>
      </c>
      <c r="R1937" s="29" cm="1">
        <f t="array" ref="R1937">IF(表成绩单[[#This Row],[英语]]="","",SUMPRODUCT((表成绩单[考试日期]=表成绩单[[#This Row],[考试日期]])*(表成绩单[英语]&lt;9E+307)*(表成绩单[英语]&gt;表成绩单[[#This Row],[英语]]))+1)</f>
        <v>402</v>
      </c>
      <c r="S1937" s="29" cm="1">
        <f t="array" ref="S1937">IF(表成绩单[[#This Row],[物理]]="","",SUMPRODUCT((表成绩单[考试日期]=表成绩单[[#This Row],[考试日期]])*(表成绩单[物理]&lt;9E+307)*(表成绩单[物理]&gt;表成绩单[[#This Row],[物理]]))+1)</f>
        <v>297</v>
      </c>
      <c r="T1937" s="29" cm="1">
        <f t="array" ref="T1937">IF(表成绩单[[#This Row],[化学]]="","",SUMPRODUCT((表成绩单[考试日期]=表成绩单[[#This Row],[考试日期]])*(表成绩单[化学]&lt;9E+307)*(表成绩单[化学]&gt;表成绩单[[#This Row],[化学]]))+1)</f>
        <v>414</v>
      </c>
      <c r="U1937" s="29" cm="1">
        <f t="array" ref="U1937">IF(表成绩单[[#This Row],[政治]]="","",SUMPRODUCT((表成绩单[考试日期]=表成绩单[[#This Row],[考试日期]])*(表成绩单[政治]&lt;9E+307)*(表成绩单[政治]&gt;表成绩单[[#This Row],[政治]]))+1)</f>
        <v>397</v>
      </c>
      <c r="V1937" s="29" cm="1">
        <f t="array" ref="V1937">IF(表成绩单[[#This Row],[历史]]="","",SUMPRODUCT((表成绩单[考试日期]=表成绩单[[#This Row],[考试日期]])*(表成绩单[历史]&lt;9E+307)*(表成绩单[历史]&gt;表成绩单[[#This Row],[历史]]))+1)</f>
        <v>566</v>
      </c>
      <c r="W1937" s="29" cm="1">
        <f t="array" ref="W1937">IF(表成绩单[[#This Row],[总分]]="","",SUMPRODUCT((表成绩单[考试日期]=表成绩单[[#This Row],[考试日期]])*(表成绩单[总分]&lt;9E+307)*(表成绩单[总分]&gt;表成绩单[[#This Row],[总分]]))+1)</f>
        <v>330</v>
      </c>
    </row>
    <row r="1938" ht="28" customHeight="1" spans="4:23">
      <c r="D1938" s="31">
        <v>46030</v>
      </c>
      <c r="E1938" s="29">
        <v>19167658</v>
      </c>
      <c r="F1938" s="29" t="s">
        <v>1</v>
      </c>
      <c r="G1938" s="29" t="s">
        <v>435</v>
      </c>
      <c r="H1938" s="29">
        <v>98</v>
      </c>
      <c r="I1938" s="29">
        <v>90</v>
      </c>
      <c r="J1938" s="29">
        <v>66</v>
      </c>
      <c r="K1938" s="29">
        <v>68</v>
      </c>
      <c r="L1938" s="29">
        <v>72</v>
      </c>
      <c r="M1938" s="29">
        <v>67</v>
      </c>
      <c r="N1938" s="29">
        <v>67</v>
      </c>
      <c r="O1938" s="32">
        <v>528</v>
      </c>
      <c r="P1938" s="29" cm="1">
        <f t="array" ref="P1938">IF(表成绩单[[#This Row],[语文]]="","",SUMPRODUCT((表成绩单[考试日期]=表成绩单[[#This Row],[考试日期]])*(表成绩单[语文]&lt;9E+307)*(表成绩单[语文]&gt;表成绩单[[#This Row],[语文]]))+1)</f>
        <v>248</v>
      </c>
      <c r="Q1938" s="29" cm="1">
        <f t="array" ref="Q1938">IF(表成绩单[[#This Row],[数学]]="","",SUMPRODUCT((表成绩单[考试日期]=表成绩单[[#This Row],[考试日期]])*(表成绩单[数学]&lt;9E+307)*(表成绩单[数学]&gt;表成绩单[[#This Row],[数学]]))+1)</f>
        <v>215</v>
      </c>
      <c r="R1938" s="29" cm="1">
        <f t="array" ref="R1938">IF(表成绩单[[#This Row],[英语]]="","",SUMPRODUCT((表成绩单[考试日期]=表成绩单[[#This Row],[考试日期]])*(表成绩单[英语]&lt;9E+307)*(表成绩单[英语]&gt;表成绩单[[#This Row],[英语]]))+1)</f>
        <v>421</v>
      </c>
      <c r="S1938" s="29" cm="1">
        <f t="array" ref="S1938">IF(表成绩单[[#This Row],[物理]]="","",SUMPRODUCT((表成绩单[考试日期]=表成绩单[[#This Row],[考试日期]])*(表成绩单[物理]&lt;9E+307)*(表成绩单[物理]&gt;表成绩单[[#This Row],[物理]]))+1)</f>
        <v>372</v>
      </c>
      <c r="T1938" s="29" cm="1">
        <f t="array" ref="T1938">IF(表成绩单[[#This Row],[化学]]="","",SUMPRODUCT((表成绩单[考试日期]=表成绩单[[#This Row],[考试日期]])*(表成绩单[化学]&lt;9E+307)*(表成绩单[化学]&gt;表成绩单[[#This Row],[化学]]))+1)</f>
        <v>271</v>
      </c>
      <c r="U1938" s="29" cm="1">
        <f t="array" ref="U1938">IF(表成绩单[[#This Row],[政治]]="","",SUMPRODUCT((表成绩单[考试日期]=表成绩单[[#This Row],[考试日期]])*(表成绩单[政治]&lt;9E+307)*(表成绩单[政治]&gt;表成绩单[[#This Row],[政治]]))+1)</f>
        <v>370</v>
      </c>
      <c r="V1938" s="29" cm="1">
        <f t="array" ref="V1938">IF(表成绩单[[#This Row],[历史]]="","",SUMPRODUCT((表成绩单[考试日期]=表成绩单[[#This Row],[考试日期]])*(表成绩单[历史]&lt;9E+307)*(表成绩单[历史]&gt;表成绩单[[#This Row],[历史]]))+1)</f>
        <v>415</v>
      </c>
      <c r="W1938" s="29" cm="1">
        <f t="array" ref="W1938">IF(表成绩单[[#This Row],[总分]]="","",SUMPRODUCT((表成绩单[考试日期]=表成绩单[[#This Row],[考试日期]])*(表成绩单[总分]&lt;9E+307)*(表成绩单[总分]&gt;表成绩单[[#This Row],[总分]]))+1)</f>
        <v>332</v>
      </c>
    </row>
    <row r="1939" ht="28" customHeight="1" spans="4:23">
      <c r="D1939" s="31">
        <v>46030</v>
      </c>
      <c r="E1939" s="29">
        <v>19174739</v>
      </c>
      <c r="F1939" s="29" t="s">
        <v>64</v>
      </c>
      <c r="G1939" s="29" t="s">
        <v>513</v>
      </c>
      <c r="H1939" s="29">
        <v>93</v>
      </c>
      <c r="I1939" s="29">
        <v>84</v>
      </c>
      <c r="J1939" s="29">
        <v>68</v>
      </c>
      <c r="K1939" s="29">
        <v>71</v>
      </c>
      <c r="L1939" s="29">
        <v>64</v>
      </c>
      <c r="M1939" s="29">
        <v>77</v>
      </c>
      <c r="N1939" s="29">
        <v>71</v>
      </c>
      <c r="O1939" s="32">
        <v>528</v>
      </c>
      <c r="P1939" s="29" cm="1">
        <f t="array" ref="P1939">IF(表成绩单[[#This Row],[语文]]="","",SUMPRODUCT((表成绩单[考试日期]=表成绩单[[#This Row],[考试日期]])*(表成绩单[语文]&lt;9E+307)*(表成绩单[语文]&gt;表成绩单[[#This Row],[语文]]))+1)</f>
        <v>412</v>
      </c>
      <c r="Q1939" s="29" cm="1">
        <f t="array" ref="Q1939">IF(表成绩单[[#This Row],[数学]]="","",SUMPRODUCT((表成绩单[考试日期]=表成绩单[[#This Row],[考试日期]])*(表成绩单[数学]&lt;9E+307)*(表成绩单[数学]&gt;表成绩单[[#This Row],[数学]]))+1)</f>
        <v>343</v>
      </c>
      <c r="R1939" s="29" cm="1">
        <f t="array" ref="R1939">IF(表成绩单[[#This Row],[英语]]="","",SUMPRODUCT((表成绩单[考试日期]=表成绩单[[#This Row],[考试日期]])*(表成绩单[英语]&lt;9E+307)*(表成绩单[英语]&gt;表成绩单[[#This Row],[英语]]))+1)</f>
        <v>364</v>
      </c>
      <c r="S1939" s="29" cm="1">
        <f t="array" ref="S1939">IF(表成绩单[[#This Row],[物理]]="","",SUMPRODUCT((表成绩单[考试日期]=表成绩单[[#This Row],[考试日期]])*(表成绩单[物理]&lt;9E+307)*(表成绩单[物理]&gt;表成绩单[[#This Row],[物理]]))+1)</f>
        <v>319</v>
      </c>
      <c r="T1939" s="29" cm="1">
        <f t="array" ref="T1939">IF(表成绩单[[#This Row],[化学]]="","",SUMPRODUCT((表成绩单[考试日期]=表成绩单[[#This Row],[考试日期]])*(表成绩单[化学]&lt;9E+307)*(表成绩单[化学]&gt;表成绩单[[#This Row],[化学]]))+1)</f>
        <v>451</v>
      </c>
      <c r="U1939" s="29" cm="1">
        <f t="array" ref="U1939">IF(表成绩单[[#This Row],[政治]]="","",SUMPRODUCT((表成绩单[考试日期]=表成绩单[[#This Row],[考试日期]])*(表成绩单[政治]&lt;9E+307)*(表成绩单[政治]&gt;表成绩单[[#This Row],[政治]]))+1)</f>
        <v>88</v>
      </c>
      <c r="V1939" s="29" cm="1">
        <f t="array" ref="V1939">IF(表成绩单[[#This Row],[历史]]="","",SUMPRODUCT((表成绩单[考试日期]=表成绩单[[#This Row],[考试日期]])*(表成绩单[历史]&lt;9E+307)*(表成绩单[历史]&gt;表成绩单[[#This Row],[历史]]))+1)</f>
        <v>297</v>
      </c>
      <c r="W1939" s="29" cm="1">
        <f t="array" ref="W1939">IF(表成绩单[[#This Row],[总分]]="","",SUMPRODUCT((表成绩单[考试日期]=表成绩单[[#This Row],[考试日期]])*(表成绩单[总分]&lt;9E+307)*(表成绩单[总分]&gt;表成绩单[[#This Row],[总分]]))+1)</f>
        <v>332</v>
      </c>
    </row>
    <row r="1940" ht="28" customHeight="1" spans="4:23">
      <c r="D1940" s="31">
        <v>46030</v>
      </c>
      <c r="E1940" s="29">
        <v>19175677</v>
      </c>
      <c r="F1940" s="29" t="s">
        <v>72</v>
      </c>
      <c r="G1940" s="29" t="s">
        <v>253</v>
      </c>
      <c r="H1940" s="29">
        <v>77</v>
      </c>
      <c r="I1940" s="29">
        <v>95</v>
      </c>
      <c r="J1940" s="29">
        <v>71</v>
      </c>
      <c r="K1940" s="29">
        <v>76</v>
      </c>
      <c r="L1940" s="29">
        <v>72</v>
      </c>
      <c r="M1940" s="29">
        <v>72</v>
      </c>
      <c r="N1940" s="29">
        <v>65</v>
      </c>
      <c r="O1940" s="32">
        <v>528</v>
      </c>
      <c r="P1940" s="29" cm="1">
        <f t="array" ref="P1940">IF(表成绩单[[#This Row],[语文]]="","",SUMPRODUCT((表成绩单[考试日期]=表成绩单[[#This Row],[考试日期]])*(表成绩单[语文]&lt;9E+307)*(表成绩单[语文]&gt;表成绩单[[#This Row],[语文]]))+1)</f>
        <v>702</v>
      </c>
      <c r="Q1940" s="29" cm="1">
        <f t="array" ref="Q1940">IF(表成绩单[[#This Row],[数学]]="","",SUMPRODUCT((表成绩单[考试日期]=表成绩单[[#This Row],[考试日期]])*(表成绩单[数学]&lt;9E+307)*(表成绩单[数学]&gt;表成绩单[[#This Row],[数学]]))+1)</f>
        <v>167</v>
      </c>
      <c r="R1940" s="29" cm="1">
        <f t="array" ref="R1940">IF(表成绩单[[#This Row],[英语]]="","",SUMPRODUCT((表成绩单[考试日期]=表成绩单[[#This Row],[考试日期]])*(表成绩单[英语]&lt;9E+307)*(表成绩单[英语]&gt;表成绩单[[#This Row],[英语]]))+1)</f>
        <v>281</v>
      </c>
      <c r="S1940" s="29" cm="1">
        <f t="array" ref="S1940">IF(表成绩单[[#This Row],[物理]]="","",SUMPRODUCT((表成绩单[考试日期]=表成绩单[[#This Row],[考试日期]])*(表成绩单[物理]&lt;9E+307)*(表成绩单[物理]&gt;表成绩单[[#This Row],[物理]]))+1)</f>
        <v>218</v>
      </c>
      <c r="T1940" s="29" cm="1">
        <f t="array" ref="T1940">IF(表成绩单[[#This Row],[化学]]="","",SUMPRODUCT((表成绩单[考试日期]=表成绩单[[#This Row],[考试日期]])*(表成绩单[化学]&lt;9E+307)*(表成绩单[化学]&gt;表成绩单[[#This Row],[化学]]))+1)</f>
        <v>271</v>
      </c>
      <c r="U1940" s="29" cm="1">
        <f t="array" ref="U1940">IF(表成绩单[[#This Row],[政治]]="","",SUMPRODUCT((表成绩单[考试日期]=表成绩单[[#This Row],[考试日期]])*(表成绩单[政治]&lt;9E+307)*(表成绩单[政治]&gt;表成绩单[[#This Row],[政治]]))+1)</f>
        <v>224</v>
      </c>
      <c r="V1940" s="29" cm="1">
        <f t="array" ref="V1940">IF(表成绩单[[#This Row],[历史]]="","",SUMPRODUCT((表成绩单[考试日期]=表成绩单[[#This Row],[考试日期]])*(表成绩单[历史]&lt;9E+307)*(表成绩单[历史]&gt;表成绩单[[#This Row],[历史]]))+1)</f>
        <v>471</v>
      </c>
      <c r="W1940" s="29" cm="1">
        <f t="array" ref="W1940">IF(表成绩单[[#This Row],[总分]]="","",SUMPRODUCT((表成绩单[考试日期]=表成绩单[[#This Row],[考试日期]])*(表成绩单[总分]&lt;9E+307)*(表成绩单[总分]&gt;表成绩单[[#This Row],[总分]]))+1)</f>
        <v>332</v>
      </c>
    </row>
    <row r="1941" ht="28" customHeight="1" spans="4:23">
      <c r="D1941" s="31">
        <v>46030</v>
      </c>
      <c r="E1941" s="29">
        <v>19176857</v>
      </c>
      <c r="F1941" s="29" t="s">
        <v>71</v>
      </c>
      <c r="G1941" s="29" t="s">
        <v>442</v>
      </c>
      <c r="H1941" s="29">
        <v>96</v>
      </c>
      <c r="I1941" s="29">
        <v>90</v>
      </c>
      <c r="J1941" s="29">
        <v>67</v>
      </c>
      <c r="K1941" s="29">
        <v>68</v>
      </c>
      <c r="L1941" s="29">
        <v>63</v>
      </c>
      <c r="M1941" s="29">
        <v>66</v>
      </c>
      <c r="N1941" s="29">
        <v>78</v>
      </c>
      <c r="O1941" s="32">
        <v>528</v>
      </c>
      <c r="P1941" s="29" cm="1">
        <f t="array" ref="P1941">IF(表成绩单[[#This Row],[语文]]="","",SUMPRODUCT((表成绩单[考试日期]=表成绩单[[#This Row],[考试日期]])*(表成绩单[语文]&lt;9E+307)*(表成绩单[语文]&gt;表成绩单[[#This Row],[语文]]))+1)</f>
        <v>315</v>
      </c>
      <c r="Q1941" s="29" cm="1">
        <f t="array" ref="Q1941">IF(表成绩单[[#This Row],[数学]]="","",SUMPRODUCT((表成绩单[考试日期]=表成绩单[[#This Row],[考试日期]])*(表成绩单[数学]&lt;9E+307)*(表成绩单[数学]&gt;表成绩单[[#This Row],[数学]]))+1)</f>
        <v>215</v>
      </c>
      <c r="R1941" s="29" cm="1">
        <f t="array" ref="R1941">IF(表成绩单[[#This Row],[英语]]="","",SUMPRODUCT((表成绩单[考试日期]=表成绩单[[#This Row],[考试日期]])*(表成绩单[英语]&lt;9E+307)*(表成绩单[英语]&gt;表成绩单[[#This Row],[英语]]))+1)</f>
        <v>391</v>
      </c>
      <c r="S1941" s="29" cm="1">
        <f t="array" ref="S1941">IF(表成绩单[[#This Row],[物理]]="","",SUMPRODUCT((表成绩单[考试日期]=表成绩单[[#This Row],[考试日期]])*(表成绩单[物理]&lt;9E+307)*(表成绩单[物理]&gt;表成绩单[[#This Row],[物理]]))+1)</f>
        <v>372</v>
      </c>
      <c r="T1941" s="29" cm="1">
        <f t="array" ref="T1941">IF(表成绩单[[#This Row],[化学]]="","",SUMPRODUCT((表成绩单[考试日期]=表成绩单[[#This Row],[考试日期]])*(表成绩单[化学]&lt;9E+307)*(表成绩单[化学]&gt;表成绩单[[#This Row],[化学]]))+1)</f>
        <v>472</v>
      </c>
      <c r="U1941" s="29" cm="1">
        <f t="array" ref="U1941">IF(表成绩单[[#This Row],[政治]]="","",SUMPRODUCT((表成绩单[考试日期]=表成绩单[[#This Row],[考试日期]])*(表成绩单[政治]&lt;9E+307)*(表成绩单[政治]&gt;表成绩单[[#This Row],[政治]]))+1)</f>
        <v>397</v>
      </c>
      <c r="V1941" s="29" cm="1">
        <f t="array" ref="V1941">IF(表成绩单[[#This Row],[历史]]="","",SUMPRODUCT((表成绩单[考试日期]=表成绩单[[#This Row],[考试日期]])*(表成绩单[历史]&lt;9E+307)*(表成绩单[历史]&gt;表成绩单[[#This Row],[历史]]))+1)</f>
        <v>126</v>
      </c>
      <c r="W1941" s="29" cm="1">
        <f t="array" ref="W1941">IF(表成绩单[[#This Row],[总分]]="","",SUMPRODUCT((表成绩单[考试日期]=表成绩单[[#This Row],[考试日期]])*(表成绩单[总分]&lt;9E+307)*(表成绩单[总分]&gt;表成绩单[[#This Row],[总分]]))+1)</f>
        <v>332</v>
      </c>
    </row>
    <row r="1942" ht="28" customHeight="1" spans="4:23">
      <c r="D1942" s="31">
        <v>46030</v>
      </c>
      <c r="E1942" s="29">
        <v>19178634</v>
      </c>
      <c r="F1942" s="29" t="s">
        <v>25</v>
      </c>
      <c r="G1942" s="29" t="s">
        <v>322</v>
      </c>
      <c r="H1942" s="29">
        <v>92</v>
      </c>
      <c r="I1942" s="29">
        <v>90</v>
      </c>
      <c r="J1942" s="29">
        <v>73</v>
      </c>
      <c r="K1942" s="29">
        <v>64</v>
      </c>
      <c r="L1942" s="29">
        <v>61</v>
      </c>
      <c r="M1942" s="29">
        <v>74</v>
      </c>
      <c r="N1942" s="29">
        <v>74</v>
      </c>
      <c r="O1942" s="32">
        <v>528</v>
      </c>
      <c r="P1942" s="29" cm="1">
        <f t="array" ref="P1942">IF(表成绩单[[#This Row],[语文]]="","",SUMPRODUCT((表成绩单[考试日期]=表成绩单[[#This Row],[考试日期]])*(表成绩单[语文]&lt;9E+307)*(表成绩单[语文]&gt;表成绩单[[#This Row],[语文]]))+1)</f>
        <v>444</v>
      </c>
      <c r="Q1942" s="29" cm="1">
        <f t="array" ref="Q1942">IF(表成绩单[[#This Row],[数学]]="","",SUMPRODUCT((表成绩单[考试日期]=表成绩单[[#This Row],[考试日期]])*(表成绩单[数学]&lt;9E+307)*(表成绩单[数学]&gt;表成绩单[[#This Row],[数学]]))+1)</f>
        <v>215</v>
      </c>
      <c r="R1942" s="29" cm="1">
        <f t="array" ref="R1942">IF(表成绩单[[#This Row],[英语]]="","",SUMPRODUCT((表成绩单[考试日期]=表成绩单[[#This Row],[考试日期]])*(表成绩单[英语]&lt;9E+307)*(表成绩单[英语]&gt;表成绩单[[#This Row],[英语]]))+1)</f>
        <v>222</v>
      </c>
      <c r="S1942" s="29" cm="1">
        <f t="array" ref="S1942">IF(表成绩单[[#This Row],[物理]]="","",SUMPRODUCT((表成绩单[考试日期]=表成绩单[[#This Row],[考试日期]])*(表成绩单[物理]&lt;9E+307)*(表成绩单[物理]&gt;表成绩单[[#This Row],[物理]]))+1)</f>
        <v>441</v>
      </c>
      <c r="T1942" s="29" cm="1">
        <f t="array" ref="T1942">IF(表成绩单[[#This Row],[化学]]="","",SUMPRODUCT((表成绩单[考试日期]=表成绩单[[#This Row],[考试日期]])*(表成绩单[化学]&lt;9E+307)*(表成绩单[化学]&gt;表成绩单[[#This Row],[化学]]))+1)</f>
        <v>508</v>
      </c>
      <c r="U1942" s="29" cm="1">
        <f t="array" ref="U1942">IF(表成绩单[[#This Row],[政治]]="","",SUMPRODUCT((表成绩单[考试日期]=表成绩单[[#This Row],[考试日期]])*(表成绩单[政治]&lt;9E+307)*(表成绩单[政治]&gt;表成绩单[[#This Row],[政治]]))+1)</f>
        <v>168</v>
      </c>
      <c r="V1942" s="29" cm="1">
        <f t="array" ref="V1942">IF(表成绩单[[#This Row],[历史]]="","",SUMPRODUCT((表成绩单[考试日期]=表成绩单[[#This Row],[考试日期]])*(表成绩单[历史]&lt;9E+307)*(表成绩单[历史]&gt;表成绩单[[#This Row],[历史]]))+1)</f>
        <v>215</v>
      </c>
      <c r="W1942" s="29" cm="1">
        <f t="array" ref="W1942">IF(表成绩单[[#This Row],[总分]]="","",SUMPRODUCT((表成绩单[考试日期]=表成绩单[[#This Row],[考试日期]])*(表成绩单[总分]&lt;9E+307)*(表成绩单[总分]&gt;表成绩单[[#This Row],[总分]]))+1)</f>
        <v>332</v>
      </c>
    </row>
    <row r="1943" ht="28" customHeight="1" spans="4:23">
      <c r="D1943" s="31">
        <v>46030</v>
      </c>
      <c r="E1943" s="29">
        <v>19173804</v>
      </c>
      <c r="F1943" s="29" t="s">
        <v>65</v>
      </c>
      <c r="G1943" s="29" t="s">
        <v>324</v>
      </c>
      <c r="H1943" s="29">
        <v>93</v>
      </c>
      <c r="I1943" s="29">
        <v>79</v>
      </c>
      <c r="J1943" s="29">
        <v>68.5</v>
      </c>
      <c r="K1943" s="29">
        <v>71</v>
      </c>
      <c r="L1943" s="29">
        <v>72</v>
      </c>
      <c r="M1943" s="29">
        <v>74</v>
      </c>
      <c r="N1943" s="29">
        <v>70</v>
      </c>
      <c r="O1943" s="32">
        <v>527.5</v>
      </c>
      <c r="P1943" s="29" cm="1">
        <f t="array" ref="P1943">IF(表成绩单[[#This Row],[语文]]="","",SUMPRODUCT((表成绩单[考试日期]=表成绩单[[#This Row],[考试日期]])*(表成绩单[语文]&lt;9E+307)*(表成绩单[语文]&gt;表成绩单[[#This Row],[语文]]))+1)</f>
        <v>412</v>
      </c>
      <c r="Q1943" s="29" cm="1">
        <f t="array" ref="Q1943">IF(表成绩单[[#This Row],[数学]]="","",SUMPRODUCT((表成绩单[考试日期]=表成绩单[[#This Row],[考试日期]])*(表成绩单[数学]&lt;9E+307)*(表成绩单[数学]&gt;表成绩单[[#This Row],[数学]]))+1)</f>
        <v>427</v>
      </c>
      <c r="R1943" s="29" cm="1">
        <f t="array" ref="R1943">IF(表成绩单[[#This Row],[英语]]="","",SUMPRODUCT((表成绩单[考试日期]=表成绩单[[#This Row],[考试日期]])*(表成绩单[英语]&lt;9E+307)*(表成绩单[英语]&gt;表成绩单[[#This Row],[英语]]))+1)</f>
        <v>351</v>
      </c>
      <c r="S1943" s="29" cm="1">
        <f t="array" ref="S1943">IF(表成绩单[[#This Row],[物理]]="","",SUMPRODUCT((表成绩单[考试日期]=表成绩单[[#This Row],[考试日期]])*(表成绩单[物理]&lt;9E+307)*(表成绩单[物理]&gt;表成绩单[[#This Row],[物理]]))+1)</f>
        <v>319</v>
      </c>
      <c r="T1943" s="29" cm="1">
        <f t="array" ref="T1943">IF(表成绩单[[#This Row],[化学]]="","",SUMPRODUCT((表成绩单[考试日期]=表成绩单[[#This Row],[考试日期]])*(表成绩单[化学]&lt;9E+307)*(表成绩单[化学]&gt;表成绩单[[#This Row],[化学]]))+1)</f>
        <v>271</v>
      </c>
      <c r="U1943" s="29" cm="1">
        <f t="array" ref="U1943">IF(表成绩单[[#This Row],[政治]]="","",SUMPRODUCT((表成绩单[考试日期]=表成绩单[[#This Row],[考试日期]])*(表成绩单[政治]&lt;9E+307)*(表成绩单[政治]&gt;表成绩单[[#This Row],[政治]]))+1)</f>
        <v>168</v>
      </c>
      <c r="V1943" s="29" cm="1">
        <f t="array" ref="V1943">IF(表成绩单[[#This Row],[历史]]="","",SUMPRODUCT((表成绩单[考试日期]=表成绩单[[#This Row],[考试日期]])*(表成绩单[历史]&lt;9E+307)*(表成绩单[历史]&gt;表成绩单[[#This Row],[历史]]))+1)</f>
        <v>328</v>
      </c>
      <c r="W1943" s="29" cm="1">
        <f t="array" ref="W1943">IF(表成绩单[[#This Row],[总分]]="","",SUMPRODUCT((表成绩单[考试日期]=表成绩单[[#This Row],[考试日期]])*(表成绩单[总分]&lt;9E+307)*(表成绩单[总分]&gt;表成绩单[[#This Row],[总分]]))+1)</f>
        <v>337</v>
      </c>
    </row>
    <row r="1944" ht="28" customHeight="1" spans="4:23">
      <c r="D1944" s="31">
        <v>46030</v>
      </c>
      <c r="E1944" s="29">
        <v>19176860</v>
      </c>
      <c r="F1944" s="29" t="s">
        <v>71</v>
      </c>
      <c r="G1944" s="29" t="s">
        <v>346</v>
      </c>
      <c r="H1944" s="29">
        <v>99</v>
      </c>
      <c r="I1944" s="29">
        <v>78</v>
      </c>
      <c r="J1944" s="29">
        <v>75.5</v>
      </c>
      <c r="K1944" s="29">
        <v>72</v>
      </c>
      <c r="L1944" s="29">
        <v>68</v>
      </c>
      <c r="M1944" s="29">
        <v>75</v>
      </c>
      <c r="N1944" s="29">
        <v>60</v>
      </c>
      <c r="O1944" s="32">
        <v>527.5</v>
      </c>
      <c r="P1944" s="29" cm="1">
        <f t="array" ref="P1944">IF(表成绩单[[#This Row],[语文]]="","",SUMPRODUCT((表成绩单[考试日期]=表成绩单[[#This Row],[考试日期]])*(表成绩单[语文]&lt;9E+307)*(表成绩单[语文]&gt;表成绩单[[#This Row],[语文]]))+1)</f>
        <v>213</v>
      </c>
      <c r="Q1944" s="29" cm="1">
        <f t="array" ref="Q1944">IF(表成绩单[[#This Row],[数学]]="","",SUMPRODUCT((表成绩单[考试日期]=表成绩单[[#This Row],[考试日期]])*(表成绩单[数学]&lt;9E+307)*(表成绩单[数学]&gt;表成绩单[[#This Row],[数学]]))+1)</f>
        <v>450</v>
      </c>
      <c r="R1944" s="29" cm="1">
        <f t="array" ref="R1944">IF(表成绩单[[#This Row],[英语]]="","",SUMPRODUCT((表成绩单[考试日期]=表成绩单[[#This Row],[考试日期]])*(表成绩单[英语]&lt;9E+307)*(表成绩单[英语]&gt;表成绩单[[#This Row],[英语]]))+1)</f>
        <v>145</v>
      </c>
      <c r="S1944" s="29" cm="1">
        <f t="array" ref="S1944">IF(表成绩单[[#This Row],[物理]]="","",SUMPRODUCT((表成绩单[考试日期]=表成绩单[[#This Row],[考试日期]])*(表成绩单[物理]&lt;9E+307)*(表成绩单[物理]&gt;表成绩单[[#This Row],[物理]]))+1)</f>
        <v>297</v>
      </c>
      <c r="T1944" s="29" cm="1">
        <f t="array" ref="T1944">IF(表成绩单[[#This Row],[化学]]="","",SUMPRODUCT((表成绩单[考试日期]=表成绩单[[#This Row],[考试日期]])*(表成绩单[化学]&lt;9E+307)*(表成绩单[化学]&gt;表成绩单[[#This Row],[化学]]))+1)</f>
        <v>358</v>
      </c>
      <c r="U1944" s="29" cm="1">
        <f t="array" ref="U1944">IF(表成绩单[[#This Row],[政治]]="","",SUMPRODUCT((表成绩单[考试日期]=表成绩单[[#This Row],[考试日期]])*(表成绩单[政治]&lt;9E+307)*(表成绩单[政治]&gt;表成绩单[[#This Row],[政治]]))+1)</f>
        <v>137</v>
      </c>
      <c r="V1944" s="29" cm="1">
        <f t="array" ref="V1944">IF(表成绩单[[#This Row],[历史]]="","",SUMPRODUCT((表成绩单[考试日期]=表成绩单[[#This Row],[考试日期]])*(表成绩单[历史]&lt;9E+307)*(表成绩单[历史]&gt;表成绩单[[#This Row],[历史]]))+1)</f>
        <v>579</v>
      </c>
      <c r="W1944" s="29" cm="1">
        <f t="array" ref="W1944">IF(表成绩单[[#This Row],[总分]]="","",SUMPRODUCT((表成绩单[考试日期]=表成绩单[[#This Row],[考试日期]])*(表成绩单[总分]&lt;9E+307)*(表成绩单[总分]&gt;表成绩单[[#This Row],[总分]]))+1)</f>
        <v>337</v>
      </c>
    </row>
    <row r="1945" ht="28" customHeight="1" spans="4:23">
      <c r="D1945" s="31">
        <v>46030</v>
      </c>
      <c r="E1945" s="29">
        <v>19177632</v>
      </c>
      <c r="F1945" s="29" t="s">
        <v>63</v>
      </c>
      <c r="G1945" s="29" t="s">
        <v>418</v>
      </c>
      <c r="H1945" s="29">
        <v>95</v>
      </c>
      <c r="I1945" s="29">
        <v>88</v>
      </c>
      <c r="J1945" s="29">
        <v>68.5</v>
      </c>
      <c r="K1945" s="29">
        <v>79</v>
      </c>
      <c r="L1945" s="29">
        <v>62</v>
      </c>
      <c r="M1945" s="29">
        <v>68</v>
      </c>
      <c r="N1945" s="29">
        <v>67</v>
      </c>
      <c r="O1945" s="32">
        <v>527.5</v>
      </c>
      <c r="P1945" s="29" cm="1">
        <f t="array" ref="P1945">IF(表成绩单[[#This Row],[语文]]="","",SUMPRODUCT((表成绩单[考试日期]=表成绩单[[#This Row],[考试日期]])*(表成绩单[语文]&lt;9E+307)*(表成绩单[语文]&gt;表成绩单[[#This Row],[语文]]))+1)</f>
        <v>342</v>
      </c>
      <c r="Q1945" s="29" cm="1">
        <f t="array" ref="Q1945">IF(表成绩单[[#This Row],[数学]]="","",SUMPRODUCT((表成绩单[考试日期]=表成绩单[[#This Row],[考试日期]])*(表成绩单[数学]&lt;9E+307)*(表成绩单[数学]&gt;表成绩单[[#This Row],[数学]]))+1)</f>
        <v>245</v>
      </c>
      <c r="R1945" s="29" cm="1">
        <f t="array" ref="R1945">IF(表成绩单[[#This Row],[英语]]="","",SUMPRODUCT((表成绩单[考试日期]=表成绩单[[#This Row],[考试日期]])*(表成绩单[英语]&lt;9E+307)*(表成绩单[英语]&gt;表成绩单[[#This Row],[英语]]))+1)</f>
        <v>351</v>
      </c>
      <c r="S1945" s="29" cm="1">
        <f t="array" ref="S1945">IF(表成绩单[[#This Row],[物理]]="","",SUMPRODUCT((表成绩单[考试日期]=表成绩单[[#This Row],[考试日期]])*(表成绩单[物理]&lt;9E+307)*(表成绩单[物理]&gt;表成绩单[[#This Row],[物理]]))+1)</f>
        <v>153</v>
      </c>
      <c r="T1945" s="29" cm="1">
        <f t="array" ref="T1945">IF(表成绩单[[#This Row],[化学]]="","",SUMPRODUCT((表成绩单[考试日期]=表成绩单[[#This Row],[考试日期]])*(表成绩单[化学]&lt;9E+307)*(表成绩单[化学]&gt;表成绩单[[#This Row],[化学]]))+1)</f>
        <v>494</v>
      </c>
      <c r="U1945" s="29" cm="1">
        <f t="array" ref="U1945">IF(表成绩单[[#This Row],[政治]]="","",SUMPRODUCT((表成绩单[考试日期]=表成绩单[[#This Row],[考试日期]])*(表成绩单[政治]&lt;9E+307)*(表成绩单[政治]&gt;表成绩单[[#This Row],[政治]]))+1)</f>
        <v>336</v>
      </c>
      <c r="V1945" s="29" cm="1">
        <f t="array" ref="V1945">IF(表成绩单[[#This Row],[历史]]="","",SUMPRODUCT((表成绩单[考试日期]=表成绩单[[#This Row],[考试日期]])*(表成绩单[历史]&lt;9E+307)*(表成绩单[历史]&gt;表成绩单[[#This Row],[历史]]))+1)</f>
        <v>415</v>
      </c>
      <c r="W1945" s="29" cm="1">
        <f t="array" ref="W1945">IF(表成绩单[[#This Row],[总分]]="","",SUMPRODUCT((表成绩单[考试日期]=表成绩单[[#This Row],[考试日期]])*(表成绩单[总分]&lt;9E+307)*(表成绩单[总分]&gt;表成绩单[[#This Row],[总分]]))+1)</f>
        <v>337</v>
      </c>
    </row>
    <row r="1946" ht="28" customHeight="1" spans="4:23">
      <c r="D1946" s="31">
        <v>46030</v>
      </c>
      <c r="E1946" s="29">
        <v>26750296</v>
      </c>
      <c r="F1946" s="29" t="s">
        <v>66</v>
      </c>
      <c r="G1946" s="29" t="s">
        <v>506</v>
      </c>
      <c r="H1946" s="29">
        <v>100</v>
      </c>
      <c r="I1946" s="29">
        <v>87</v>
      </c>
      <c r="J1946" s="29">
        <v>68.5</v>
      </c>
      <c r="K1946" s="29">
        <v>63</v>
      </c>
      <c r="L1946" s="29">
        <v>77</v>
      </c>
      <c r="M1946" s="29">
        <v>69</v>
      </c>
      <c r="N1946" s="29">
        <v>63</v>
      </c>
      <c r="O1946" s="32">
        <v>527.5</v>
      </c>
      <c r="P1946" s="29" cm="1">
        <f t="array" ref="P1946">IF(表成绩单[[#This Row],[语文]]="","",SUMPRODUCT((表成绩单[考试日期]=表成绩单[[#This Row],[考试日期]])*(表成绩单[语文]&lt;9E+307)*(表成绩单[语文]&gt;表成绩单[[#This Row],[语文]]))+1)</f>
        <v>182</v>
      </c>
      <c r="Q1946" s="29" cm="1">
        <f t="array" ref="Q1946">IF(表成绩单[[#This Row],[数学]]="","",SUMPRODUCT((表成绩单[考试日期]=表成绩单[[#This Row],[考试日期]])*(表成绩单[数学]&lt;9E+307)*(表成绩单[数学]&gt;表成绩单[[#This Row],[数学]]))+1)</f>
        <v>270</v>
      </c>
      <c r="R1946" s="29" cm="1">
        <f t="array" ref="R1946">IF(表成绩单[[#This Row],[英语]]="","",SUMPRODUCT((表成绩单[考试日期]=表成绩单[[#This Row],[考试日期]])*(表成绩单[英语]&lt;9E+307)*(表成绩单[英语]&gt;表成绩单[[#This Row],[英语]]))+1)</f>
        <v>351</v>
      </c>
      <c r="S1946" s="29" cm="1">
        <f t="array" ref="S1946">IF(表成绩单[[#This Row],[物理]]="","",SUMPRODUCT((表成绩单[考试日期]=表成绩单[[#This Row],[考试日期]])*(表成绩单[物理]&lt;9E+307)*(表成绩单[物理]&gt;表成绩单[[#This Row],[物理]]))+1)</f>
        <v>459</v>
      </c>
      <c r="T1946" s="29" cm="1">
        <f t="array" ref="T1946">IF(表成绩单[[#This Row],[化学]]="","",SUMPRODUCT((表成绩单[考试日期]=表成绩单[[#This Row],[考试日期]])*(表成绩单[化学]&lt;9E+307)*(表成绩单[化学]&gt;表成绩单[[#This Row],[化学]]))+1)</f>
        <v>116</v>
      </c>
      <c r="U1946" s="29" cm="1">
        <f t="array" ref="U1946">IF(表成绩单[[#This Row],[政治]]="","",SUMPRODUCT((表成绩单[考试日期]=表成绩单[[#This Row],[考试日期]])*(表成绩单[政治]&lt;9E+307)*(表成绩单[政治]&gt;表成绩单[[#This Row],[政治]]))+1)</f>
        <v>308</v>
      </c>
      <c r="V1946" s="29" cm="1">
        <f t="array" ref="V1946">IF(表成绩单[[#This Row],[历史]]="","",SUMPRODUCT((表成绩单[考试日期]=表成绩单[[#This Row],[考试日期]])*(表成绩单[历史]&lt;9E+307)*(表成绩单[历史]&gt;表成绩单[[#This Row],[历史]]))+1)</f>
        <v>521</v>
      </c>
      <c r="W1946" s="29" cm="1">
        <f t="array" ref="W1946">IF(表成绩单[[#This Row],[总分]]="","",SUMPRODUCT((表成绩单[考试日期]=表成绩单[[#This Row],[考试日期]])*(表成绩单[总分]&lt;9E+307)*(表成绩单[总分]&gt;表成绩单[[#This Row],[总分]]))+1)</f>
        <v>337</v>
      </c>
    </row>
    <row r="1947" ht="28" customHeight="1" spans="4:23">
      <c r="D1947" s="31">
        <v>46030</v>
      </c>
      <c r="E1947" s="29">
        <v>19174444</v>
      </c>
      <c r="F1947" s="29" t="s">
        <v>73</v>
      </c>
      <c r="G1947" s="29" t="s">
        <v>458</v>
      </c>
      <c r="H1947" s="29">
        <v>90</v>
      </c>
      <c r="I1947" s="29">
        <v>94</v>
      </c>
      <c r="J1947" s="29">
        <v>61</v>
      </c>
      <c r="K1947" s="29">
        <v>78</v>
      </c>
      <c r="L1947" s="29">
        <v>73</v>
      </c>
      <c r="M1947" s="29">
        <v>74</v>
      </c>
      <c r="N1947" s="29">
        <v>57</v>
      </c>
      <c r="O1947" s="32">
        <v>527</v>
      </c>
      <c r="P1947" s="29" cm="1">
        <f t="array" ref="P1947">IF(表成绩单[[#This Row],[语文]]="","",SUMPRODUCT((表成绩单[考试日期]=表成绩单[[#This Row],[考试日期]])*(表成绩单[语文]&lt;9E+307)*(表成绩单[语文]&gt;表成绩单[[#This Row],[语文]]))+1)</f>
        <v>509</v>
      </c>
      <c r="Q1947" s="29" cm="1">
        <f t="array" ref="Q1947">IF(表成绩单[[#This Row],[数学]]="","",SUMPRODUCT((表成绩单[考试日期]=表成绩单[[#This Row],[考试日期]])*(表成绩单[数学]&lt;9E+307)*(表成绩单[数学]&gt;表成绩单[[#This Row],[数学]]))+1)</f>
        <v>178</v>
      </c>
      <c r="R1947" s="29" cm="1">
        <f t="array" ref="R1947">IF(表成绩单[[#This Row],[英语]]="","",SUMPRODUCT((表成绩单[考试日期]=表成绩单[[#This Row],[考试日期]])*(表成绩单[英语]&lt;9E+307)*(表成绩单[英语]&gt;表成绩单[[#This Row],[英语]]))+1)</f>
        <v>507</v>
      </c>
      <c r="S1947" s="29" cm="1">
        <f t="array" ref="S1947">IF(表成绩单[[#This Row],[物理]]="","",SUMPRODUCT((表成绩单[考试日期]=表成绩单[[#This Row],[考试日期]])*(表成绩单[物理]&lt;9E+307)*(表成绩单[物理]&gt;表成绩单[[#This Row],[物理]]))+1)</f>
        <v>178</v>
      </c>
      <c r="T1947" s="29" cm="1">
        <f t="array" ref="T1947">IF(表成绩单[[#This Row],[化学]]="","",SUMPRODUCT((表成绩单[考试日期]=表成绩单[[#This Row],[考试日期]])*(表成绩单[化学]&lt;9E+307)*(表成绩单[化学]&gt;表成绩单[[#This Row],[化学]]))+1)</f>
        <v>236</v>
      </c>
      <c r="U1947" s="29" cm="1">
        <f t="array" ref="U1947">IF(表成绩单[[#This Row],[政治]]="","",SUMPRODUCT((表成绩单[考试日期]=表成绩单[[#This Row],[考试日期]])*(表成绩单[政治]&lt;9E+307)*(表成绩单[政治]&gt;表成绩单[[#This Row],[政治]]))+1)</f>
        <v>168</v>
      </c>
      <c r="V1947" s="29" cm="1">
        <f t="array" ref="V1947">IF(表成绩单[[#This Row],[历史]]="","",SUMPRODUCT((表成绩单[考试日期]=表成绩单[[#This Row],[考试日期]])*(表成绩单[历史]&lt;9E+307)*(表成绩单[历史]&gt;表成绩单[[#This Row],[历史]]))+1)</f>
        <v>637</v>
      </c>
      <c r="W1947" s="29" cm="1">
        <f t="array" ref="W1947">IF(表成绩单[[#This Row],[总分]]="","",SUMPRODUCT((表成绩单[考试日期]=表成绩单[[#This Row],[考试日期]])*(表成绩单[总分]&lt;9E+307)*(表成绩单[总分]&gt;表成绩单[[#This Row],[总分]]))+1)</f>
        <v>341</v>
      </c>
    </row>
    <row r="1948" ht="28" customHeight="1" spans="4:23">
      <c r="D1948" s="31">
        <v>46030</v>
      </c>
      <c r="E1948" s="29">
        <v>19175626</v>
      </c>
      <c r="F1948" s="29" t="s">
        <v>57</v>
      </c>
      <c r="G1948" s="29" t="s">
        <v>437</v>
      </c>
      <c r="H1948" s="29">
        <v>98</v>
      </c>
      <c r="I1948" s="29">
        <v>83</v>
      </c>
      <c r="J1948" s="29">
        <v>64</v>
      </c>
      <c r="K1948" s="29">
        <v>76</v>
      </c>
      <c r="L1948" s="29">
        <v>77</v>
      </c>
      <c r="M1948" s="29">
        <v>64</v>
      </c>
      <c r="N1948" s="29">
        <v>65</v>
      </c>
      <c r="O1948" s="32">
        <v>527</v>
      </c>
      <c r="P1948" s="29" cm="1">
        <f t="array" ref="P1948">IF(表成绩单[[#This Row],[语文]]="","",SUMPRODUCT((表成绩单[考试日期]=表成绩单[[#This Row],[考试日期]])*(表成绩单[语文]&lt;9E+307)*(表成绩单[语文]&gt;表成绩单[[#This Row],[语文]]))+1)</f>
        <v>248</v>
      </c>
      <c r="Q1948" s="29" cm="1">
        <f t="array" ref="Q1948">IF(表成绩单[[#This Row],[数学]]="","",SUMPRODUCT((表成绩单[考试日期]=表成绩单[[#This Row],[考试日期]])*(表成绩单[数学]&lt;9E+307)*(表成绩单[数学]&gt;表成绩单[[#This Row],[数学]]))+1)</f>
        <v>360</v>
      </c>
      <c r="R1948" s="29" cm="1">
        <f t="array" ref="R1948">IF(表成绩单[[#This Row],[英语]]="","",SUMPRODUCT((表成绩单[考试日期]=表成绩单[[#This Row],[考试日期]])*(表成绩单[英语]&lt;9E+307)*(表成绩单[英语]&gt;表成绩单[[#This Row],[英语]]))+1)</f>
        <v>456</v>
      </c>
      <c r="S1948" s="29" cm="1">
        <f t="array" ref="S1948">IF(表成绩单[[#This Row],[物理]]="","",SUMPRODUCT((表成绩单[考试日期]=表成绩单[[#This Row],[考试日期]])*(表成绩单[物理]&lt;9E+307)*(表成绩单[物理]&gt;表成绩单[[#This Row],[物理]]))+1)</f>
        <v>218</v>
      </c>
      <c r="T1948" s="29" cm="1">
        <f t="array" ref="T1948">IF(表成绩单[[#This Row],[化学]]="","",SUMPRODUCT((表成绩单[考试日期]=表成绩单[[#This Row],[考试日期]])*(表成绩单[化学]&lt;9E+307)*(表成绩单[化学]&gt;表成绩单[[#This Row],[化学]]))+1)</f>
        <v>116</v>
      </c>
      <c r="U1948" s="29" cm="1">
        <f t="array" ref="U1948">IF(表成绩单[[#This Row],[政治]]="","",SUMPRODUCT((表成绩单[考试日期]=表成绩单[[#This Row],[考试日期]])*(表成绩单[政治]&lt;9E+307)*(表成绩单[政治]&gt;表成绩单[[#This Row],[政治]]))+1)</f>
        <v>457</v>
      </c>
      <c r="V1948" s="29" cm="1">
        <f t="array" ref="V1948">IF(表成绩单[[#This Row],[历史]]="","",SUMPRODUCT((表成绩单[考试日期]=表成绩单[[#This Row],[考试日期]])*(表成绩单[历史]&lt;9E+307)*(表成绩单[历史]&gt;表成绩单[[#This Row],[历史]]))+1)</f>
        <v>471</v>
      </c>
      <c r="W1948" s="29" cm="1">
        <f t="array" ref="W1948">IF(表成绩单[[#This Row],[总分]]="","",SUMPRODUCT((表成绩单[考试日期]=表成绩单[[#This Row],[考试日期]])*(表成绩单[总分]&lt;9E+307)*(表成绩单[总分]&gt;表成绩单[[#This Row],[总分]]))+1)</f>
        <v>341</v>
      </c>
    </row>
    <row r="1949" ht="28" customHeight="1" spans="4:23">
      <c r="D1949" s="31">
        <v>46030</v>
      </c>
      <c r="E1949" s="29">
        <v>19175645</v>
      </c>
      <c r="F1949" s="29" t="s">
        <v>66</v>
      </c>
      <c r="G1949" s="29" t="s">
        <v>380</v>
      </c>
      <c r="H1949" s="29">
        <v>94</v>
      </c>
      <c r="I1949" s="29">
        <v>86</v>
      </c>
      <c r="J1949" s="29">
        <v>61.5</v>
      </c>
      <c r="K1949" s="29">
        <v>79</v>
      </c>
      <c r="L1949" s="29">
        <v>72</v>
      </c>
      <c r="M1949" s="29">
        <v>62</v>
      </c>
      <c r="N1949" s="29">
        <v>72</v>
      </c>
      <c r="O1949" s="32">
        <v>526.5</v>
      </c>
      <c r="P1949" s="29" cm="1">
        <f t="array" ref="P1949">IF(表成绩单[[#This Row],[语文]]="","",SUMPRODUCT((表成绩单[考试日期]=表成绩单[[#This Row],[考试日期]])*(表成绩单[语文]&lt;9E+307)*(表成绩单[语文]&gt;表成绩单[[#This Row],[语文]]))+1)</f>
        <v>381</v>
      </c>
      <c r="Q1949" s="29" cm="1">
        <f t="array" ref="Q1949">IF(表成绩单[[#This Row],[数学]]="","",SUMPRODUCT((表成绩单[考试日期]=表成绩单[[#This Row],[考试日期]])*(表成绩单[数学]&lt;9E+307)*(表成绩单[数学]&gt;表成绩单[[#This Row],[数学]]))+1)</f>
        <v>302</v>
      </c>
      <c r="R1949" s="29" cm="1">
        <f t="array" ref="R1949">IF(表成绩单[[#This Row],[英语]]="","",SUMPRODUCT((表成绩单[考试日期]=表成绩单[[#This Row],[考试日期]])*(表成绩单[英语]&lt;9E+307)*(表成绩单[英语]&gt;表成绩单[[#This Row],[英语]]))+1)</f>
        <v>495</v>
      </c>
      <c r="S1949" s="29" cm="1">
        <f t="array" ref="S1949">IF(表成绩单[[#This Row],[物理]]="","",SUMPRODUCT((表成绩单[考试日期]=表成绩单[[#This Row],[考试日期]])*(表成绩单[物理]&lt;9E+307)*(表成绩单[物理]&gt;表成绩单[[#This Row],[物理]]))+1)</f>
        <v>153</v>
      </c>
      <c r="T1949" s="29" cm="1">
        <f t="array" ref="T1949">IF(表成绩单[[#This Row],[化学]]="","",SUMPRODUCT((表成绩单[考试日期]=表成绩单[[#This Row],[考试日期]])*(表成绩单[化学]&lt;9E+307)*(表成绩单[化学]&gt;表成绩单[[#This Row],[化学]]))+1)</f>
        <v>271</v>
      </c>
      <c r="U1949" s="29" cm="1">
        <f t="array" ref="U1949">IF(表成绩单[[#This Row],[政治]]="","",SUMPRODUCT((表成绩单[考试日期]=表成绩单[[#This Row],[考试日期]])*(表成绩单[政治]&lt;9E+307)*(表成绩单[政治]&gt;表成绩单[[#This Row],[政治]]))+1)</f>
        <v>508</v>
      </c>
      <c r="V1949" s="29" cm="1">
        <f t="array" ref="V1949">IF(表成绩单[[#This Row],[历史]]="","",SUMPRODUCT((表成绩单[考试日期]=表成绩单[[#This Row],[考试日期]])*(表成绩单[历史]&lt;9E+307)*(表成绩单[历史]&gt;表成绩单[[#This Row],[历史]]))+1)</f>
        <v>266</v>
      </c>
      <c r="W1949" s="29" cm="1">
        <f t="array" ref="W1949">IF(表成绩单[[#This Row],[总分]]="","",SUMPRODUCT((表成绩单[考试日期]=表成绩单[[#This Row],[考试日期]])*(表成绩单[总分]&lt;9E+307)*(表成绩单[总分]&gt;表成绩单[[#This Row],[总分]]))+1)</f>
        <v>343</v>
      </c>
    </row>
    <row r="1950" ht="28" customHeight="1" spans="4:23">
      <c r="D1950" s="31">
        <v>46030</v>
      </c>
      <c r="E1950" s="29">
        <v>19173272</v>
      </c>
      <c r="F1950" s="29" t="s">
        <v>61</v>
      </c>
      <c r="G1950" s="29" t="s">
        <v>410</v>
      </c>
      <c r="H1950" s="29">
        <v>95</v>
      </c>
      <c r="I1950" s="29">
        <v>96</v>
      </c>
      <c r="J1950" s="29">
        <v>58</v>
      </c>
      <c r="K1950" s="29">
        <v>79</v>
      </c>
      <c r="L1950" s="29">
        <v>72</v>
      </c>
      <c r="M1950" s="29">
        <v>59</v>
      </c>
      <c r="N1950" s="29">
        <v>67</v>
      </c>
      <c r="O1950" s="32">
        <v>526</v>
      </c>
      <c r="P1950" s="29" cm="1">
        <f t="array" ref="P1950">IF(表成绩单[[#This Row],[语文]]="","",SUMPRODUCT((表成绩单[考试日期]=表成绩单[[#This Row],[考试日期]])*(表成绩单[语文]&lt;9E+307)*(表成绩单[语文]&gt;表成绩单[[#This Row],[语文]]))+1)</f>
        <v>342</v>
      </c>
      <c r="Q1950" s="29" cm="1">
        <f t="array" ref="Q1950">IF(表成绩单[[#This Row],[数学]]="","",SUMPRODUCT((表成绩单[考试日期]=表成绩单[[#This Row],[考试日期]])*(表成绩单[数学]&lt;9E+307)*(表成绩单[数学]&gt;表成绩单[[#This Row],[数学]]))+1)</f>
        <v>154</v>
      </c>
      <c r="R1950" s="29" cm="1">
        <f t="array" ref="R1950">IF(表成绩单[[#This Row],[英语]]="","",SUMPRODUCT((表成绩单[考试日期]=表成绩单[[#This Row],[考试日期]])*(表成绩单[英语]&lt;9E+307)*(表成绩单[英语]&gt;表成绩单[[#This Row],[英语]]))+1)</f>
        <v>556</v>
      </c>
      <c r="S1950" s="29" cm="1">
        <f t="array" ref="S1950">IF(表成绩单[[#This Row],[物理]]="","",SUMPRODUCT((表成绩单[考试日期]=表成绩单[[#This Row],[考试日期]])*(表成绩单[物理]&lt;9E+307)*(表成绩单[物理]&gt;表成绩单[[#This Row],[物理]]))+1)</f>
        <v>153</v>
      </c>
      <c r="T1950" s="29" cm="1">
        <f t="array" ref="T1950">IF(表成绩单[[#This Row],[化学]]="","",SUMPRODUCT((表成绩单[考试日期]=表成绩单[[#This Row],[考试日期]])*(表成绩单[化学]&lt;9E+307)*(表成绩单[化学]&gt;表成绩单[[#This Row],[化学]]))+1)</f>
        <v>271</v>
      </c>
      <c r="U1950" s="29" cm="1">
        <f t="array" ref="U1950">IF(表成绩单[[#This Row],[政治]]="","",SUMPRODUCT((表成绩单[考试日期]=表成绩单[[#This Row],[考试日期]])*(表成绩单[政治]&lt;9E+307)*(表成绩单[政治]&gt;表成绩单[[#This Row],[政治]]))+1)</f>
        <v>557</v>
      </c>
      <c r="V1950" s="29" cm="1">
        <f t="array" ref="V1950">IF(表成绩单[[#This Row],[历史]]="","",SUMPRODUCT((表成绩单[考试日期]=表成绩单[[#This Row],[考试日期]])*(表成绩单[历史]&lt;9E+307)*(表成绩单[历史]&gt;表成绩单[[#This Row],[历史]]))+1)</f>
        <v>415</v>
      </c>
      <c r="W1950" s="29" cm="1">
        <f t="array" ref="W1950">IF(表成绩单[[#This Row],[总分]]="","",SUMPRODUCT((表成绩单[考试日期]=表成绩单[[#This Row],[考试日期]])*(表成绩单[总分]&lt;9E+307)*(表成绩单[总分]&gt;表成绩单[[#This Row],[总分]]))+1)</f>
        <v>344</v>
      </c>
    </row>
    <row r="1951" ht="28" customHeight="1" spans="4:23">
      <c r="D1951" s="31">
        <v>46030</v>
      </c>
      <c r="E1951" s="29">
        <v>19174735</v>
      </c>
      <c r="F1951" s="29" t="s">
        <v>64</v>
      </c>
      <c r="G1951" s="29" t="s">
        <v>316</v>
      </c>
      <c r="H1951" s="29">
        <v>94</v>
      </c>
      <c r="I1951" s="29">
        <v>74</v>
      </c>
      <c r="J1951" s="29">
        <v>75</v>
      </c>
      <c r="K1951" s="29">
        <v>73</v>
      </c>
      <c r="L1951" s="29">
        <v>66</v>
      </c>
      <c r="M1951" s="29">
        <v>72</v>
      </c>
      <c r="N1951" s="29">
        <v>72</v>
      </c>
      <c r="O1951" s="32">
        <v>526</v>
      </c>
      <c r="P1951" s="29" cm="1">
        <f t="array" ref="P1951">IF(表成绩单[[#This Row],[语文]]="","",SUMPRODUCT((表成绩单[考试日期]=表成绩单[[#This Row],[考试日期]])*(表成绩单[语文]&lt;9E+307)*(表成绩单[语文]&gt;表成绩单[[#This Row],[语文]]))+1)</f>
        <v>381</v>
      </c>
      <c r="Q1951" s="29" cm="1">
        <f t="array" ref="Q1951">IF(表成绩单[[#This Row],[数学]]="","",SUMPRODUCT((表成绩单[考试日期]=表成绩单[[#This Row],[考试日期]])*(表成绩单[数学]&lt;9E+307)*(表成绩单[数学]&gt;表成绩单[[#This Row],[数学]]))+1)</f>
        <v>535</v>
      </c>
      <c r="R1951" s="29" cm="1">
        <f t="array" ref="R1951">IF(表成绩单[[#This Row],[英语]]="","",SUMPRODUCT((表成绩单[考试日期]=表成绩单[[#This Row],[考试日期]])*(表成绩单[英语]&lt;9E+307)*(表成绩单[英语]&gt;表成绩单[[#This Row],[英语]]))+1)</f>
        <v>164</v>
      </c>
      <c r="S1951" s="29" cm="1">
        <f t="array" ref="S1951">IF(表成绩单[[#This Row],[物理]]="","",SUMPRODUCT((表成绩单[考试日期]=表成绩单[[#This Row],[考试日期]])*(表成绩单[物理]&lt;9E+307)*(表成绩单[物理]&gt;表成绩单[[#This Row],[物理]]))+1)</f>
        <v>271</v>
      </c>
      <c r="T1951" s="29" cm="1">
        <f t="array" ref="T1951">IF(表成绩单[[#This Row],[化学]]="","",SUMPRODUCT((表成绩单[考试日期]=表成绩单[[#This Row],[考试日期]])*(表成绩单[化学]&lt;9E+307)*(表成绩单[化学]&gt;表成绩单[[#This Row],[化学]]))+1)</f>
        <v>414</v>
      </c>
      <c r="U1951" s="29" cm="1">
        <f t="array" ref="U1951">IF(表成绩单[[#This Row],[政治]]="","",SUMPRODUCT((表成绩单[考试日期]=表成绩单[[#This Row],[考试日期]])*(表成绩单[政治]&lt;9E+307)*(表成绩单[政治]&gt;表成绩单[[#This Row],[政治]]))+1)</f>
        <v>224</v>
      </c>
      <c r="V1951" s="29" cm="1">
        <f t="array" ref="V1951">IF(表成绩单[[#This Row],[历史]]="","",SUMPRODUCT((表成绩单[考试日期]=表成绩单[[#This Row],[考试日期]])*(表成绩单[历史]&lt;9E+307)*(表成绩单[历史]&gt;表成绩单[[#This Row],[历史]]))+1)</f>
        <v>266</v>
      </c>
      <c r="W1951" s="29" cm="1">
        <f t="array" ref="W1951">IF(表成绩单[[#This Row],[总分]]="","",SUMPRODUCT((表成绩单[考试日期]=表成绩单[[#This Row],[考试日期]])*(表成绩单[总分]&lt;9E+307)*(表成绩单[总分]&gt;表成绩单[[#This Row],[总分]]))+1)</f>
        <v>344</v>
      </c>
    </row>
    <row r="1952" ht="28" customHeight="1" spans="4:23">
      <c r="D1952" s="31">
        <v>46030</v>
      </c>
      <c r="E1952" s="29">
        <v>19178582</v>
      </c>
      <c r="F1952" s="29" t="s">
        <v>64</v>
      </c>
      <c r="G1952" s="29" t="s">
        <v>475</v>
      </c>
      <c r="H1952" s="29">
        <v>104</v>
      </c>
      <c r="I1952" s="29">
        <v>85</v>
      </c>
      <c r="J1952" s="29">
        <v>73</v>
      </c>
      <c r="K1952" s="29">
        <v>67</v>
      </c>
      <c r="L1952" s="29">
        <v>63</v>
      </c>
      <c r="M1952" s="29">
        <v>71</v>
      </c>
      <c r="N1952" s="29">
        <v>63</v>
      </c>
      <c r="O1952" s="32">
        <v>526</v>
      </c>
      <c r="P1952" s="29" cm="1">
        <f t="array" ref="P1952">IF(表成绩单[[#This Row],[语文]]="","",SUMPRODUCT((表成绩单[考试日期]=表成绩单[[#This Row],[考试日期]])*(表成绩单[语文]&lt;9E+307)*(表成绩单[语文]&gt;表成绩单[[#This Row],[语文]]))+1)</f>
        <v>82</v>
      </c>
      <c r="Q1952" s="29" cm="1">
        <f t="array" ref="Q1952">IF(表成绩单[[#This Row],[数学]]="","",SUMPRODUCT((表成绩单[考试日期]=表成绩单[[#This Row],[考试日期]])*(表成绩单[数学]&lt;9E+307)*(表成绩单[数学]&gt;表成绩单[[#This Row],[数学]]))+1)</f>
        <v>325</v>
      </c>
      <c r="R1952" s="29" cm="1">
        <f t="array" ref="R1952">IF(表成绩单[[#This Row],[英语]]="","",SUMPRODUCT((表成绩单[考试日期]=表成绩单[[#This Row],[考试日期]])*(表成绩单[英语]&lt;9E+307)*(表成绩单[英语]&gt;表成绩单[[#This Row],[英语]]))+1)</f>
        <v>222</v>
      </c>
      <c r="S1952" s="29" cm="1">
        <f t="array" ref="S1952">IF(表成绩单[[#This Row],[物理]]="","",SUMPRODUCT((表成绩单[考试日期]=表成绩单[[#This Row],[考试日期]])*(表成绩单[物理]&lt;9E+307)*(表成绩单[物理]&gt;表成绩单[[#This Row],[物理]]))+1)</f>
        <v>394</v>
      </c>
      <c r="T1952" s="29" cm="1">
        <f t="array" ref="T1952">IF(表成绩单[[#This Row],[化学]]="","",SUMPRODUCT((表成绩单[考试日期]=表成绩单[[#This Row],[考试日期]])*(表成绩单[化学]&lt;9E+307)*(表成绩单[化学]&gt;表成绩单[[#This Row],[化学]]))+1)</f>
        <v>472</v>
      </c>
      <c r="U1952" s="29" cm="1">
        <f t="array" ref="U1952">IF(表成绩单[[#This Row],[政治]]="","",SUMPRODUCT((表成绩单[考试日期]=表成绩单[[#This Row],[考试日期]])*(表成绩单[政治]&lt;9E+307)*(表成绩单[政治]&gt;表成绩单[[#This Row],[政治]]))+1)</f>
        <v>248</v>
      </c>
      <c r="V1952" s="29" cm="1">
        <f t="array" ref="V1952">IF(表成绩单[[#This Row],[历史]]="","",SUMPRODUCT((表成绩单[考试日期]=表成绩单[[#This Row],[考试日期]])*(表成绩单[历史]&lt;9E+307)*(表成绩单[历史]&gt;表成绩单[[#This Row],[历史]]))+1)</f>
        <v>521</v>
      </c>
      <c r="W1952" s="29" cm="1">
        <f t="array" ref="W1952">IF(表成绩单[[#This Row],[总分]]="","",SUMPRODUCT((表成绩单[考试日期]=表成绩单[[#This Row],[考试日期]])*(表成绩单[总分]&lt;9E+307)*(表成绩单[总分]&gt;表成绩单[[#This Row],[总分]]))+1)</f>
        <v>344</v>
      </c>
    </row>
    <row r="1953" ht="28" customHeight="1" spans="4:23">
      <c r="D1953" s="31">
        <v>46030</v>
      </c>
      <c r="E1953" s="29">
        <v>19175702</v>
      </c>
      <c r="F1953" s="29" t="s">
        <v>72</v>
      </c>
      <c r="G1953" s="29" t="s">
        <v>273</v>
      </c>
      <c r="H1953" s="29">
        <v>95</v>
      </c>
      <c r="I1953" s="29">
        <v>83</v>
      </c>
      <c r="J1953" s="29">
        <v>72.5</v>
      </c>
      <c r="K1953" s="29">
        <v>71</v>
      </c>
      <c r="L1953" s="29">
        <v>67</v>
      </c>
      <c r="M1953" s="29">
        <v>67</v>
      </c>
      <c r="N1953" s="29">
        <v>70</v>
      </c>
      <c r="O1953" s="32">
        <v>525.5</v>
      </c>
      <c r="P1953" s="29" cm="1">
        <f t="array" ref="P1953">IF(表成绩单[[#This Row],[语文]]="","",SUMPRODUCT((表成绩单[考试日期]=表成绩单[[#This Row],[考试日期]])*(表成绩单[语文]&lt;9E+307)*(表成绩单[语文]&gt;表成绩单[[#This Row],[语文]]))+1)</f>
        <v>342</v>
      </c>
      <c r="Q1953" s="29" cm="1">
        <f t="array" ref="Q1953">IF(表成绩单[[#This Row],[数学]]="","",SUMPRODUCT((表成绩单[考试日期]=表成绩单[[#This Row],[考试日期]])*(表成绩单[数学]&lt;9E+307)*(表成绩单[数学]&gt;表成绩单[[#This Row],[数学]]))+1)</f>
        <v>360</v>
      </c>
      <c r="R1953" s="29" cm="1">
        <f t="array" ref="R1953">IF(表成绩单[[#This Row],[英语]]="","",SUMPRODUCT((表成绩单[考试日期]=表成绩单[[#This Row],[考试日期]])*(表成绩单[英语]&lt;9E+307)*(表成绩单[英语]&gt;表成绩单[[#This Row],[英语]]))+1)</f>
        <v>242</v>
      </c>
      <c r="S1953" s="29" cm="1">
        <f t="array" ref="S1953">IF(表成绩单[[#This Row],[物理]]="","",SUMPRODUCT((表成绩单[考试日期]=表成绩单[[#This Row],[考试日期]])*(表成绩单[物理]&lt;9E+307)*(表成绩单[物理]&gt;表成绩单[[#This Row],[物理]]))+1)</f>
        <v>319</v>
      </c>
      <c r="T1953" s="29" cm="1">
        <f t="array" ref="T1953">IF(表成绩单[[#This Row],[化学]]="","",SUMPRODUCT((表成绩单[考试日期]=表成绩单[[#This Row],[考试日期]])*(表成绩单[化学]&lt;9E+307)*(表成绩单[化学]&gt;表成绩单[[#This Row],[化学]]))+1)</f>
        <v>381</v>
      </c>
      <c r="U1953" s="29" cm="1">
        <f t="array" ref="U1953">IF(表成绩单[[#This Row],[政治]]="","",SUMPRODUCT((表成绩单[考试日期]=表成绩单[[#This Row],[考试日期]])*(表成绩单[政治]&lt;9E+307)*(表成绩单[政治]&gt;表成绩单[[#This Row],[政治]]))+1)</f>
        <v>370</v>
      </c>
      <c r="V1953" s="29" cm="1">
        <f t="array" ref="V1953">IF(表成绩单[[#This Row],[历史]]="","",SUMPRODUCT((表成绩单[考试日期]=表成绩单[[#This Row],[考试日期]])*(表成绩单[历史]&lt;9E+307)*(表成绩单[历史]&gt;表成绩单[[#This Row],[历史]]))+1)</f>
        <v>328</v>
      </c>
      <c r="W1953" s="29" cm="1">
        <f t="array" ref="W1953">IF(表成绩单[[#This Row],[总分]]="","",SUMPRODUCT((表成绩单[考试日期]=表成绩单[[#This Row],[考试日期]])*(表成绩单[总分]&lt;9E+307)*(表成绩单[总分]&gt;表成绩单[[#This Row],[总分]]))+1)</f>
        <v>347</v>
      </c>
    </row>
    <row r="1954" ht="28" customHeight="1" spans="4:23">
      <c r="D1954" s="31">
        <v>46030</v>
      </c>
      <c r="E1954" s="29">
        <v>19176018</v>
      </c>
      <c r="F1954" s="29" t="s">
        <v>59</v>
      </c>
      <c r="G1954" s="29" t="s">
        <v>357</v>
      </c>
      <c r="H1954" s="29">
        <v>90</v>
      </c>
      <c r="I1954" s="29">
        <v>93</v>
      </c>
      <c r="J1954" s="29">
        <v>70.5</v>
      </c>
      <c r="K1954" s="29">
        <v>73</v>
      </c>
      <c r="L1954" s="29">
        <v>73</v>
      </c>
      <c r="M1954" s="29">
        <v>63</v>
      </c>
      <c r="N1954" s="29">
        <v>63</v>
      </c>
      <c r="O1954" s="32">
        <v>525.5</v>
      </c>
      <c r="P1954" s="29" cm="1">
        <f t="array" ref="P1954">IF(表成绩单[[#This Row],[语文]]="","",SUMPRODUCT((表成绩单[考试日期]=表成绩单[[#This Row],[考试日期]])*(表成绩单[语文]&lt;9E+307)*(表成绩单[语文]&gt;表成绩单[[#This Row],[语文]]))+1)</f>
        <v>509</v>
      </c>
      <c r="Q1954" s="29" cm="1">
        <f t="array" ref="Q1954">IF(表成绩单[[#This Row],[数学]]="","",SUMPRODUCT((表成绩单[考试日期]=表成绩单[[#This Row],[考试日期]])*(表成绩单[数学]&lt;9E+307)*(表成绩单[数学]&gt;表成绩单[[#This Row],[数学]]))+1)</f>
        <v>188</v>
      </c>
      <c r="R1954" s="29" cm="1">
        <f t="array" ref="R1954">IF(表成绩单[[#This Row],[英语]]="","",SUMPRODUCT((表成绩单[考试日期]=表成绩单[[#This Row],[考试日期]])*(表成绩单[英语]&lt;9E+307)*(表成绩单[英语]&gt;表成绩单[[#This Row],[英语]]))+1)</f>
        <v>299</v>
      </c>
      <c r="S1954" s="29" cm="1">
        <f t="array" ref="S1954">IF(表成绩单[[#This Row],[物理]]="","",SUMPRODUCT((表成绩单[考试日期]=表成绩单[[#This Row],[考试日期]])*(表成绩单[物理]&lt;9E+307)*(表成绩单[物理]&gt;表成绩单[[#This Row],[物理]]))+1)</f>
        <v>271</v>
      </c>
      <c r="T1954" s="29" cm="1">
        <f t="array" ref="T1954">IF(表成绩单[[#This Row],[化学]]="","",SUMPRODUCT((表成绩单[考试日期]=表成绩单[[#This Row],[考试日期]])*(表成绩单[化学]&lt;9E+307)*(表成绩单[化学]&gt;表成绩单[[#This Row],[化学]]))+1)</f>
        <v>236</v>
      </c>
      <c r="U1954" s="29" cm="1">
        <f t="array" ref="U1954">IF(表成绩单[[#This Row],[政治]]="","",SUMPRODUCT((表成绩单[考试日期]=表成绩单[[#This Row],[考试日期]])*(表成绩单[政治]&lt;9E+307)*(表成绩单[政治]&gt;表成绩单[[#This Row],[政治]]))+1)</f>
        <v>486</v>
      </c>
      <c r="V1954" s="29" cm="1">
        <f t="array" ref="V1954">IF(表成绩单[[#This Row],[历史]]="","",SUMPRODUCT((表成绩单[考试日期]=表成绩单[[#This Row],[考试日期]])*(表成绩单[历史]&lt;9E+307)*(表成绩单[历史]&gt;表成绩单[[#This Row],[历史]]))+1)</f>
        <v>521</v>
      </c>
      <c r="W1954" s="29" cm="1">
        <f t="array" ref="W1954">IF(表成绩单[[#This Row],[总分]]="","",SUMPRODUCT((表成绩单[考试日期]=表成绩单[[#This Row],[考试日期]])*(表成绩单[总分]&lt;9E+307)*(表成绩单[总分]&gt;表成绩单[[#This Row],[总分]]))+1)</f>
        <v>347</v>
      </c>
    </row>
    <row r="1955" ht="28" customHeight="1" spans="4:23">
      <c r="D1955" s="31">
        <v>46030</v>
      </c>
      <c r="E1955" s="29">
        <v>19177616</v>
      </c>
      <c r="F1955" s="29" t="s">
        <v>58</v>
      </c>
      <c r="G1955" s="29" t="s">
        <v>420</v>
      </c>
      <c r="H1955" s="29">
        <v>92</v>
      </c>
      <c r="I1955" s="29">
        <v>87</v>
      </c>
      <c r="J1955" s="29">
        <v>50.5</v>
      </c>
      <c r="K1955" s="29">
        <v>73</v>
      </c>
      <c r="L1955" s="29">
        <v>75</v>
      </c>
      <c r="M1955" s="29">
        <v>72</v>
      </c>
      <c r="N1955" s="29">
        <v>76</v>
      </c>
      <c r="O1955" s="32">
        <v>525.5</v>
      </c>
      <c r="P1955" s="29" cm="1">
        <f t="array" ref="P1955">IF(表成绩单[[#This Row],[语文]]="","",SUMPRODUCT((表成绩单[考试日期]=表成绩单[[#This Row],[考试日期]])*(表成绩单[语文]&lt;9E+307)*(表成绩单[语文]&gt;表成绩单[[#This Row],[语文]]))+1)</f>
        <v>444</v>
      </c>
      <c r="Q1955" s="29" cm="1">
        <f t="array" ref="Q1955">IF(表成绩单[[#This Row],[数学]]="","",SUMPRODUCT((表成绩单[考试日期]=表成绩单[[#This Row],[考试日期]])*(表成绩单[数学]&lt;9E+307)*(表成绩单[数学]&gt;表成绩单[[#This Row],[数学]]))+1)</f>
        <v>270</v>
      </c>
      <c r="R1955" s="29" cm="1">
        <f t="array" ref="R1955">IF(表成绩单[[#This Row],[英语]]="","",SUMPRODUCT((表成绩单[考试日期]=表成绩单[[#This Row],[考试日期]])*(表成绩单[英语]&lt;9E+307)*(表成绩单[英语]&gt;表成绩单[[#This Row],[英语]]))+1)</f>
        <v>643</v>
      </c>
      <c r="S1955" s="29" cm="1">
        <f t="array" ref="S1955">IF(表成绩单[[#This Row],[物理]]="","",SUMPRODUCT((表成绩单[考试日期]=表成绩单[[#This Row],[考试日期]])*(表成绩单[物理]&lt;9E+307)*(表成绩单[物理]&gt;表成绩单[[#This Row],[物理]]))+1)</f>
        <v>271</v>
      </c>
      <c r="T1955" s="29" cm="1">
        <f t="array" ref="T1955">IF(表成绩单[[#This Row],[化学]]="","",SUMPRODUCT((表成绩单[考试日期]=表成绩单[[#This Row],[考试日期]])*(表成绩单[化学]&lt;9E+307)*(表成绩单[化学]&gt;表成绩单[[#This Row],[化学]]))+1)</f>
        <v>169</v>
      </c>
      <c r="U1955" s="29" cm="1">
        <f t="array" ref="U1955">IF(表成绩单[[#This Row],[政治]]="","",SUMPRODUCT((表成绩单[考试日期]=表成绩单[[#This Row],[考试日期]])*(表成绩单[政治]&lt;9E+307)*(表成绩单[政治]&gt;表成绩单[[#This Row],[政治]]))+1)</f>
        <v>224</v>
      </c>
      <c r="V1955" s="29" cm="1">
        <f t="array" ref="V1955">IF(表成绩单[[#This Row],[历史]]="","",SUMPRODUCT((表成绩单[考试日期]=表成绩单[[#This Row],[考试日期]])*(表成绩单[历史]&lt;9E+307)*(表成绩单[历史]&gt;表成绩单[[#This Row],[历史]]))+1)</f>
        <v>169</v>
      </c>
      <c r="W1955" s="29" cm="1">
        <f t="array" ref="W1955">IF(表成绩单[[#This Row],[总分]]="","",SUMPRODUCT((表成绩单[考试日期]=表成绩单[[#This Row],[考试日期]])*(表成绩单[总分]&lt;9E+307)*(表成绩单[总分]&gt;表成绩单[[#This Row],[总分]]))+1)</f>
        <v>347</v>
      </c>
    </row>
    <row r="1956" ht="28" customHeight="1" spans="4:23">
      <c r="D1956" s="31">
        <v>46030</v>
      </c>
      <c r="E1956" s="29">
        <v>19177654</v>
      </c>
      <c r="F1956" s="29" t="s">
        <v>63</v>
      </c>
      <c r="G1956" s="29" t="s">
        <v>432</v>
      </c>
      <c r="H1956" s="29">
        <v>94</v>
      </c>
      <c r="I1956" s="29">
        <v>78</v>
      </c>
      <c r="J1956" s="29">
        <v>69.5</v>
      </c>
      <c r="K1956" s="29">
        <v>79</v>
      </c>
      <c r="L1956" s="29">
        <v>67</v>
      </c>
      <c r="M1956" s="29">
        <v>75</v>
      </c>
      <c r="N1956" s="29">
        <v>63</v>
      </c>
      <c r="O1956" s="32">
        <v>525.5</v>
      </c>
      <c r="P1956" s="29" cm="1">
        <f t="array" ref="P1956">IF(表成绩单[[#This Row],[语文]]="","",SUMPRODUCT((表成绩单[考试日期]=表成绩单[[#This Row],[考试日期]])*(表成绩单[语文]&lt;9E+307)*(表成绩单[语文]&gt;表成绩单[[#This Row],[语文]]))+1)</f>
        <v>381</v>
      </c>
      <c r="Q1956" s="29" cm="1">
        <f t="array" ref="Q1956">IF(表成绩单[[#This Row],[数学]]="","",SUMPRODUCT((表成绩单[考试日期]=表成绩单[[#This Row],[考试日期]])*(表成绩单[数学]&lt;9E+307)*(表成绩单[数学]&gt;表成绩单[[#This Row],[数学]]))+1)</f>
        <v>450</v>
      </c>
      <c r="R1956" s="29" cm="1">
        <f t="array" ref="R1956">IF(表成绩单[[#This Row],[英语]]="","",SUMPRODUCT((表成绩单[考试日期]=表成绩单[[#This Row],[考试日期]])*(表成绩单[英语]&lt;9E+307)*(表成绩单[英语]&gt;表成绩单[[#This Row],[英语]]))+1)</f>
        <v>330</v>
      </c>
      <c r="S1956" s="29" cm="1">
        <f t="array" ref="S1956">IF(表成绩单[[#This Row],[物理]]="","",SUMPRODUCT((表成绩单[考试日期]=表成绩单[[#This Row],[考试日期]])*(表成绩单[物理]&lt;9E+307)*(表成绩单[物理]&gt;表成绩单[[#This Row],[物理]]))+1)</f>
        <v>153</v>
      </c>
      <c r="T1956" s="29" cm="1">
        <f t="array" ref="T1956">IF(表成绩单[[#This Row],[化学]]="","",SUMPRODUCT((表成绩单[考试日期]=表成绩单[[#This Row],[考试日期]])*(表成绩单[化学]&lt;9E+307)*(表成绩单[化学]&gt;表成绩单[[#This Row],[化学]]))+1)</f>
        <v>381</v>
      </c>
      <c r="U1956" s="29" cm="1">
        <f t="array" ref="U1956">IF(表成绩单[[#This Row],[政治]]="","",SUMPRODUCT((表成绩单[考试日期]=表成绩单[[#This Row],[考试日期]])*(表成绩单[政治]&lt;9E+307)*(表成绩单[政治]&gt;表成绩单[[#This Row],[政治]]))+1)</f>
        <v>137</v>
      </c>
      <c r="V1956" s="29" cm="1">
        <f t="array" ref="V1956">IF(表成绩单[[#This Row],[历史]]="","",SUMPRODUCT((表成绩单[考试日期]=表成绩单[[#This Row],[考试日期]])*(表成绩单[历史]&lt;9E+307)*(表成绩单[历史]&gt;表成绩单[[#This Row],[历史]]))+1)</f>
        <v>521</v>
      </c>
      <c r="W1956" s="29" cm="1">
        <f t="array" ref="W1956">IF(表成绩单[[#This Row],[总分]]="","",SUMPRODUCT((表成绩单[考试日期]=表成绩单[[#This Row],[考试日期]])*(表成绩单[总分]&lt;9E+307)*(表成绩单[总分]&gt;表成绩单[[#This Row],[总分]]))+1)</f>
        <v>347</v>
      </c>
    </row>
    <row r="1957" ht="28" customHeight="1" spans="4:23">
      <c r="D1957" s="31">
        <v>46030</v>
      </c>
      <c r="E1957" s="29">
        <v>19178649</v>
      </c>
      <c r="F1957" s="29" t="s">
        <v>25</v>
      </c>
      <c r="G1957" s="29" t="s">
        <v>415</v>
      </c>
      <c r="H1957" s="29">
        <v>89</v>
      </c>
      <c r="I1957" s="29">
        <v>87</v>
      </c>
      <c r="J1957" s="29">
        <v>59.5</v>
      </c>
      <c r="K1957" s="29">
        <v>72</v>
      </c>
      <c r="L1957" s="29">
        <v>70</v>
      </c>
      <c r="M1957" s="29">
        <v>74</v>
      </c>
      <c r="N1957" s="29">
        <v>74</v>
      </c>
      <c r="O1957" s="32">
        <v>525.5</v>
      </c>
      <c r="P1957" s="29" cm="1">
        <f t="array" ref="P1957">IF(表成绩单[[#This Row],[语文]]="","",SUMPRODUCT((表成绩单[考试日期]=表成绩单[[#This Row],[考试日期]])*(表成绩单[语文]&lt;9E+307)*(表成绩单[语文]&gt;表成绩单[[#This Row],[语文]]))+1)</f>
        <v>540</v>
      </c>
      <c r="Q1957" s="29" cm="1">
        <f t="array" ref="Q1957">IF(表成绩单[[#This Row],[数学]]="","",SUMPRODUCT((表成绩单[考试日期]=表成绩单[[#This Row],[考试日期]])*(表成绩单[数学]&lt;9E+307)*(表成绩单[数学]&gt;表成绩单[[#This Row],[数学]]))+1)</f>
        <v>270</v>
      </c>
      <c r="R1957" s="29" cm="1">
        <f t="array" ref="R1957">IF(表成绩单[[#This Row],[英语]]="","",SUMPRODUCT((表成绩单[考试日期]=表成绩单[[#This Row],[考试日期]])*(表成绩单[英语]&lt;9E+307)*(表成绩单[英语]&gt;表成绩单[[#This Row],[英语]]))+1)</f>
        <v>533</v>
      </c>
      <c r="S1957" s="29" cm="1">
        <f t="array" ref="S1957">IF(表成绩单[[#This Row],[物理]]="","",SUMPRODUCT((表成绩单[考试日期]=表成绩单[[#This Row],[考试日期]])*(表成绩单[物理]&lt;9E+307)*(表成绩单[物理]&gt;表成绩单[[#This Row],[物理]]))+1)</f>
        <v>297</v>
      </c>
      <c r="T1957" s="29" cm="1">
        <f t="array" ref="T1957">IF(表成绩单[[#This Row],[化学]]="","",SUMPRODUCT((表成绩单[考试日期]=表成绩单[[#This Row],[考试日期]])*(表成绩单[化学]&lt;9E+307)*(表成绩单[化学]&gt;表成绩单[[#This Row],[化学]]))+1)</f>
        <v>318</v>
      </c>
      <c r="U1957" s="29" cm="1">
        <f t="array" ref="U1957">IF(表成绩单[[#This Row],[政治]]="","",SUMPRODUCT((表成绩单[考试日期]=表成绩单[[#This Row],[考试日期]])*(表成绩单[政治]&lt;9E+307)*(表成绩单[政治]&gt;表成绩单[[#This Row],[政治]]))+1)</f>
        <v>168</v>
      </c>
      <c r="V1957" s="29" cm="1">
        <f t="array" ref="V1957">IF(表成绩单[[#This Row],[历史]]="","",SUMPRODUCT((表成绩单[考试日期]=表成绩单[[#This Row],[考试日期]])*(表成绩单[历史]&lt;9E+307)*(表成绩单[历史]&gt;表成绩单[[#This Row],[历史]]))+1)</f>
        <v>215</v>
      </c>
      <c r="W1957" s="29" cm="1">
        <f t="array" ref="W1957">IF(表成绩单[[#This Row],[总分]]="","",SUMPRODUCT((表成绩单[考试日期]=表成绩单[[#This Row],[考试日期]])*(表成绩单[总分]&lt;9E+307)*(表成绩单[总分]&gt;表成绩单[[#This Row],[总分]]))+1)</f>
        <v>347</v>
      </c>
    </row>
    <row r="1958" ht="28" customHeight="1" spans="4:23">
      <c r="D1958" s="31">
        <v>46030</v>
      </c>
      <c r="E1958" s="29">
        <v>19173277</v>
      </c>
      <c r="F1958" s="29" t="s">
        <v>61</v>
      </c>
      <c r="G1958" s="29" t="s">
        <v>387</v>
      </c>
      <c r="H1958" s="29">
        <v>87</v>
      </c>
      <c r="I1958" s="29">
        <v>90</v>
      </c>
      <c r="J1958" s="29">
        <v>56.5</v>
      </c>
      <c r="K1958" s="29">
        <v>83</v>
      </c>
      <c r="L1958" s="29">
        <v>65</v>
      </c>
      <c r="M1958" s="29">
        <v>68</v>
      </c>
      <c r="N1958" s="29">
        <v>75</v>
      </c>
      <c r="O1958" s="32">
        <v>524.5</v>
      </c>
      <c r="P1958" s="29" cm="1">
        <f t="array" ref="P1958">IF(表成绩单[[#This Row],[语文]]="","",SUMPRODUCT((表成绩单[考试日期]=表成绩单[[#This Row],[考试日期]])*(表成绩单[语文]&lt;9E+307)*(表成绩单[语文]&gt;表成绩单[[#This Row],[语文]]))+1)</f>
        <v>581</v>
      </c>
      <c r="Q1958" s="29" cm="1">
        <f t="array" ref="Q1958">IF(表成绩单[[#This Row],[数学]]="","",SUMPRODUCT((表成绩单[考试日期]=表成绩单[[#This Row],[考试日期]])*(表成绩单[数学]&lt;9E+307)*(表成绩单[数学]&gt;表成绩单[[#This Row],[数学]]))+1)</f>
        <v>215</v>
      </c>
      <c r="R1958" s="29" cm="1">
        <f t="array" ref="R1958">IF(表成绩单[[#This Row],[英语]]="","",SUMPRODUCT((表成绩单[考试日期]=表成绩单[[#This Row],[考试日期]])*(表成绩单[英语]&lt;9E+307)*(表成绩单[英语]&gt;表成绩单[[#This Row],[英语]]))+1)</f>
        <v>575</v>
      </c>
      <c r="S1958" s="29" cm="1">
        <f t="array" ref="S1958">IF(表成绩单[[#This Row],[物理]]="","",SUMPRODUCT((表成绩单[考试日期]=表成绩单[[#This Row],[考试日期]])*(表成绩单[物理]&lt;9E+307)*(表成绩单[物理]&gt;表成绩单[[#This Row],[物理]]))+1)</f>
        <v>88</v>
      </c>
      <c r="T1958" s="29" cm="1">
        <f t="array" ref="T1958">IF(表成绩单[[#This Row],[化学]]="","",SUMPRODUCT((表成绩单[考试日期]=表成绩单[[#This Row],[考试日期]])*(表成绩单[化学]&lt;9E+307)*(表成绩单[化学]&gt;表成绩单[[#This Row],[化学]]))+1)</f>
        <v>439</v>
      </c>
      <c r="U1958" s="29" cm="1">
        <f t="array" ref="U1958">IF(表成绩单[[#This Row],[政治]]="","",SUMPRODUCT((表成绩单[考试日期]=表成绩单[[#This Row],[考试日期]])*(表成绩单[政治]&lt;9E+307)*(表成绩单[政治]&gt;表成绩单[[#This Row],[政治]]))+1)</f>
        <v>336</v>
      </c>
      <c r="V1958" s="29" cm="1">
        <f t="array" ref="V1958">IF(表成绩单[[#This Row],[历史]]="","",SUMPRODUCT((表成绩单[考试日期]=表成绩单[[#This Row],[考试日期]])*(表成绩单[历史]&lt;9E+307)*(表成绩单[历史]&gt;表成绩单[[#This Row],[历史]]))+1)</f>
        <v>193</v>
      </c>
      <c r="W1958" s="29" cm="1">
        <f t="array" ref="W1958">IF(表成绩单[[#This Row],[总分]]="","",SUMPRODUCT((表成绩单[考试日期]=表成绩单[[#This Row],[考试日期]])*(表成绩单[总分]&lt;9E+307)*(表成绩单[总分]&gt;表成绩单[[#This Row],[总分]]))+1)</f>
        <v>352</v>
      </c>
    </row>
    <row r="1959" ht="28" customHeight="1" spans="4:23">
      <c r="D1959" s="31">
        <v>46030</v>
      </c>
      <c r="E1959" s="29">
        <v>19176172</v>
      </c>
      <c r="F1959" s="29" t="s">
        <v>67</v>
      </c>
      <c r="G1959" s="29" t="s">
        <v>422</v>
      </c>
      <c r="H1959" s="29">
        <v>91</v>
      </c>
      <c r="I1959" s="29">
        <v>105</v>
      </c>
      <c r="J1959" s="29">
        <v>62.5</v>
      </c>
      <c r="K1959" s="29">
        <v>78</v>
      </c>
      <c r="L1959" s="29">
        <v>74</v>
      </c>
      <c r="M1959" s="29">
        <v>62</v>
      </c>
      <c r="N1959" s="29">
        <v>52</v>
      </c>
      <c r="O1959" s="32">
        <v>524.5</v>
      </c>
      <c r="P1959" s="29" cm="1">
        <f t="array" ref="P1959">IF(表成绩单[[#This Row],[语文]]="","",SUMPRODUCT((表成绩单[考试日期]=表成绩单[[#This Row],[考试日期]])*(表成绩单[语文]&lt;9E+307)*(表成绩单[语文]&gt;表成绩单[[#This Row],[语文]]))+1)</f>
        <v>478</v>
      </c>
      <c r="Q1959" s="29" cm="1">
        <f t="array" ref="Q1959">IF(表成绩单[[#This Row],[数学]]="","",SUMPRODUCT((表成绩单[考试日期]=表成绩单[[#This Row],[考试日期]])*(表成绩单[数学]&lt;9E+307)*(表成绩单[数学]&gt;表成绩单[[#This Row],[数学]]))+1)</f>
        <v>64</v>
      </c>
      <c r="R1959" s="29" cm="1">
        <f t="array" ref="R1959">IF(表成绩单[[#This Row],[英语]]="","",SUMPRODUCT((表成绩单[考试日期]=表成绩单[[#This Row],[考试日期]])*(表成绩单[英语]&lt;9E+307)*(表成绩单[英语]&gt;表成绩单[[#This Row],[英语]]))+1)</f>
        <v>477</v>
      </c>
      <c r="S1959" s="29" cm="1">
        <f t="array" ref="S1959">IF(表成绩单[[#This Row],[物理]]="","",SUMPRODUCT((表成绩单[考试日期]=表成绩单[[#This Row],[考试日期]])*(表成绩单[物理]&lt;9E+307)*(表成绩单[物理]&gt;表成绩单[[#This Row],[物理]]))+1)</f>
        <v>178</v>
      </c>
      <c r="T1959" s="29" cm="1">
        <f t="array" ref="T1959">IF(表成绩单[[#This Row],[化学]]="","",SUMPRODUCT((表成绩单[考试日期]=表成绩单[[#This Row],[考试日期]])*(表成绩单[化学]&lt;9E+307)*(表成绩单[化学]&gt;表成绩单[[#This Row],[化学]]))+1)</f>
        <v>208</v>
      </c>
      <c r="U1959" s="29" cm="1">
        <f t="array" ref="U1959">IF(表成绩单[[#This Row],[政治]]="","",SUMPRODUCT((表成绩单[考试日期]=表成绩单[[#This Row],[考试日期]])*(表成绩单[政治]&lt;9E+307)*(表成绩单[政治]&gt;表成绩单[[#This Row],[政治]]))+1)</f>
        <v>508</v>
      </c>
      <c r="V1959" s="29" cm="1">
        <f t="array" ref="V1959">IF(表成绩单[[#This Row],[历史]]="","",SUMPRODUCT((表成绩单[考试日期]=表成绩单[[#This Row],[考试日期]])*(表成绩单[历史]&lt;9E+307)*(表成绩单[历史]&gt;表成绩单[[#This Row],[历史]]))+1)</f>
        <v>701</v>
      </c>
      <c r="W1959" s="29" cm="1">
        <f t="array" ref="W1959">IF(表成绩单[[#This Row],[总分]]="","",SUMPRODUCT((表成绩单[考试日期]=表成绩单[[#This Row],[考试日期]])*(表成绩单[总分]&lt;9E+307)*(表成绩单[总分]&gt;表成绩单[[#This Row],[总分]]))+1)</f>
        <v>352</v>
      </c>
    </row>
    <row r="1960" ht="28" customHeight="1" spans="4:23">
      <c r="D1960" s="31">
        <v>46030</v>
      </c>
      <c r="E1960" s="29">
        <v>19171095</v>
      </c>
      <c r="F1960" s="29" t="s">
        <v>67</v>
      </c>
      <c r="G1960" s="29" t="s">
        <v>430</v>
      </c>
      <c r="H1960" s="29">
        <v>98</v>
      </c>
      <c r="I1960" s="29">
        <v>84</v>
      </c>
      <c r="J1960" s="29">
        <v>66</v>
      </c>
      <c r="K1960" s="29">
        <v>69</v>
      </c>
      <c r="L1960" s="29">
        <v>70</v>
      </c>
      <c r="M1960" s="29">
        <v>69</v>
      </c>
      <c r="N1960" s="29">
        <v>67</v>
      </c>
      <c r="O1960" s="32">
        <v>523</v>
      </c>
      <c r="P1960" s="29" cm="1">
        <f t="array" ref="P1960">IF(表成绩单[[#This Row],[语文]]="","",SUMPRODUCT((表成绩单[考试日期]=表成绩单[[#This Row],[考试日期]])*(表成绩单[语文]&lt;9E+307)*(表成绩单[语文]&gt;表成绩单[[#This Row],[语文]]))+1)</f>
        <v>248</v>
      </c>
      <c r="Q1960" s="29" cm="1">
        <f t="array" ref="Q1960">IF(表成绩单[[#This Row],[数学]]="","",SUMPRODUCT((表成绩单[考试日期]=表成绩单[[#This Row],[考试日期]])*(表成绩单[数学]&lt;9E+307)*(表成绩单[数学]&gt;表成绩单[[#This Row],[数学]]))+1)</f>
        <v>343</v>
      </c>
      <c r="R1960" s="29" cm="1">
        <f t="array" ref="R1960">IF(表成绩单[[#This Row],[英语]]="","",SUMPRODUCT((表成绩单[考试日期]=表成绩单[[#This Row],[考试日期]])*(表成绩单[英语]&lt;9E+307)*(表成绩单[英语]&gt;表成绩单[[#This Row],[英语]]))+1)</f>
        <v>421</v>
      </c>
      <c r="S1960" s="29" cm="1">
        <f t="array" ref="S1960">IF(表成绩单[[#This Row],[物理]]="","",SUMPRODUCT((表成绩单[考试日期]=表成绩单[[#This Row],[考试日期]])*(表成绩单[物理]&lt;9E+307)*(表成绩单[物理]&gt;表成绩单[[#This Row],[物理]]))+1)</f>
        <v>356</v>
      </c>
      <c r="T1960" s="29" cm="1">
        <f t="array" ref="T1960">IF(表成绩单[[#This Row],[化学]]="","",SUMPRODUCT((表成绩单[考试日期]=表成绩单[[#This Row],[考试日期]])*(表成绩单[化学]&lt;9E+307)*(表成绩单[化学]&gt;表成绩单[[#This Row],[化学]]))+1)</f>
        <v>318</v>
      </c>
      <c r="U1960" s="29" cm="1">
        <f t="array" ref="U1960">IF(表成绩单[[#This Row],[政治]]="","",SUMPRODUCT((表成绩单[考试日期]=表成绩单[[#This Row],[考试日期]])*(表成绩单[政治]&lt;9E+307)*(表成绩单[政治]&gt;表成绩单[[#This Row],[政治]]))+1)</f>
        <v>308</v>
      </c>
      <c r="V1960" s="29" cm="1">
        <f t="array" ref="V1960">IF(表成绩单[[#This Row],[历史]]="","",SUMPRODUCT((表成绩单[考试日期]=表成绩单[[#This Row],[考试日期]])*(表成绩单[历史]&lt;9E+307)*(表成绩单[历史]&gt;表成绩单[[#This Row],[历史]]))+1)</f>
        <v>415</v>
      </c>
      <c r="W1960" s="29" cm="1">
        <f t="array" ref="W1960">IF(表成绩单[[#This Row],[总分]]="","",SUMPRODUCT((表成绩单[考试日期]=表成绩单[[#This Row],[考试日期]])*(表成绩单[总分]&lt;9E+307)*(表成绩单[总分]&gt;表成绩单[[#This Row],[总分]]))+1)</f>
        <v>354</v>
      </c>
    </row>
    <row r="1961" ht="28" customHeight="1" spans="4:23">
      <c r="D1961" s="31">
        <v>46030</v>
      </c>
      <c r="E1961" s="29">
        <v>19173538</v>
      </c>
      <c r="F1961" s="29" t="s">
        <v>1</v>
      </c>
      <c r="G1961" s="29" t="s">
        <v>535</v>
      </c>
      <c r="H1961" s="29">
        <v>93</v>
      </c>
      <c r="I1961" s="29">
        <v>100</v>
      </c>
      <c r="J1961" s="29">
        <v>61.5</v>
      </c>
      <c r="K1961" s="29">
        <v>64</v>
      </c>
      <c r="L1961" s="29">
        <v>72</v>
      </c>
      <c r="M1961" s="29">
        <v>63</v>
      </c>
      <c r="N1961" s="29">
        <v>69</v>
      </c>
      <c r="O1961" s="32">
        <v>522.5</v>
      </c>
      <c r="P1961" s="29" cm="1">
        <f t="array" ref="P1961">IF(表成绩单[[#This Row],[语文]]="","",SUMPRODUCT((表成绩单[考试日期]=表成绩单[[#This Row],[考试日期]])*(表成绩单[语文]&lt;9E+307)*(表成绩单[语文]&gt;表成绩单[[#This Row],[语文]]))+1)</f>
        <v>412</v>
      </c>
      <c r="Q1961" s="29" cm="1">
        <f t="array" ref="Q1961">IF(表成绩单[[#This Row],[数学]]="","",SUMPRODUCT((表成绩单[考试日期]=表成绩单[[#This Row],[考试日期]])*(表成绩单[数学]&lt;9E+307)*(表成绩单[数学]&gt;表成绩单[[#This Row],[数学]]))+1)</f>
        <v>110</v>
      </c>
      <c r="R1961" s="29" cm="1">
        <f t="array" ref="R1961">IF(表成绩单[[#This Row],[英语]]="","",SUMPRODUCT((表成绩单[考试日期]=表成绩单[[#This Row],[考试日期]])*(表成绩单[英语]&lt;9E+307)*(表成绩单[英语]&gt;表成绩单[[#This Row],[英语]]))+1)</f>
        <v>495</v>
      </c>
      <c r="S1961" s="29" cm="1">
        <f t="array" ref="S1961">IF(表成绩单[[#This Row],[物理]]="","",SUMPRODUCT((表成绩单[考试日期]=表成绩单[[#This Row],[考试日期]])*(表成绩单[物理]&lt;9E+307)*(表成绩单[物理]&gt;表成绩单[[#This Row],[物理]]))+1)</f>
        <v>441</v>
      </c>
      <c r="T1961" s="29" cm="1">
        <f t="array" ref="T1961">IF(表成绩单[[#This Row],[化学]]="","",SUMPRODUCT((表成绩单[考试日期]=表成绩单[[#This Row],[考试日期]])*(表成绩单[化学]&lt;9E+307)*(表成绩单[化学]&gt;表成绩单[[#This Row],[化学]]))+1)</f>
        <v>271</v>
      </c>
      <c r="U1961" s="29" cm="1">
        <f t="array" ref="U1961">IF(表成绩单[[#This Row],[政治]]="","",SUMPRODUCT((表成绩单[考试日期]=表成绩单[[#This Row],[考试日期]])*(表成绩单[政治]&lt;9E+307)*(表成绩单[政治]&gt;表成绩单[[#This Row],[政治]]))+1)</f>
        <v>486</v>
      </c>
      <c r="V1961" s="29" cm="1">
        <f t="array" ref="V1961">IF(表成绩单[[#This Row],[历史]]="","",SUMPRODUCT((表成绩单[考试日期]=表成绩单[[#This Row],[考试日期]])*(表成绩单[历史]&lt;9E+307)*(表成绩单[历史]&gt;表成绩单[[#This Row],[历史]]))+1)</f>
        <v>366</v>
      </c>
      <c r="W1961" s="29" cm="1">
        <f t="array" ref="W1961">IF(表成绩单[[#This Row],[总分]]="","",SUMPRODUCT((表成绩单[考试日期]=表成绩单[[#This Row],[考试日期]])*(表成绩单[总分]&lt;9E+307)*(表成绩单[总分]&gt;表成绩单[[#This Row],[总分]]))+1)</f>
        <v>355</v>
      </c>
    </row>
    <row r="1962" ht="28" customHeight="1" spans="4:23">
      <c r="D1962" s="31">
        <v>46030</v>
      </c>
      <c r="E1962" s="29">
        <v>19173793</v>
      </c>
      <c r="F1962" s="29" t="s">
        <v>65</v>
      </c>
      <c r="G1962" s="29" t="s">
        <v>295</v>
      </c>
      <c r="H1962" s="29">
        <v>87</v>
      </c>
      <c r="I1962" s="29">
        <v>81</v>
      </c>
      <c r="J1962" s="29">
        <v>74.5</v>
      </c>
      <c r="K1962" s="29">
        <v>78</v>
      </c>
      <c r="L1962" s="29">
        <v>72</v>
      </c>
      <c r="M1962" s="29">
        <v>65</v>
      </c>
      <c r="N1962" s="29">
        <v>65</v>
      </c>
      <c r="O1962" s="32">
        <v>522.5</v>
      </c>
      <c r="P1962" s="29" cm="1">
        <f t="array" ref="P1962">IF(表成绩单[[#This Row],[语文]]="","",SUMPRODUCT((表成绩单[考试日期]=表成绩单[[#This Row],[考试日期]])*(表成绩单[语文]&lt;9E+307)*(表成绩单[语文]&gt;表成绩单[[#This Row],[语文]]))+1)</f>
        <v>581</v>
      </c>
      <c r="Q1962" s="29" cm="1">
        <f t="array" ref="Q1962">IF(表成绩单[[#This Row],[数学]]="","",SUMPRODUCT((表成绩单[考试日期]=表成绩单[[#This Row],[考试日期]])*(表成绩单[数学]&lt;9E+307)*(表成绩单[数学]&gt;表成绩单[[#This Row],[数学]]))+1)</f>
        <v>396</v>
      </c>
      <c r="R1962" s="29" cm="1">
        <f t="array" ref="R1962">IF(表成绩单[[#This Row],[英语]]="","",SUMPRODUCT((表成绩单[考试日期]=表成绩单[[#This Row],[考试日期]])*(表成绩单[英语]&lt;9E+307)*(表成绩单[英语]&gt;表成绩单[[#This Row],[英语]]))+1)</f>
        <v>181</v>
      </c>
      <c r="S1962" s="29" cm="1">
        <f t="array" ref="S1962">IF(表成绩单[[#This Row],[物理]]="","",SUMPRODUCT((表成绩单[考试日期]=表成绩单[[#This Row],[考试日期]])*(表成绩单[物理]&lt;9E+307)*(表成绩单[物理]&gt;表成绩单[[#This Row],[物理]]))+1)</f>
        <v>178</v>
      </c>
      <c r="T1962" s="29" cm="1">
        <f t="array" ref="T1962">IF(表成绩单[[#This Row],[化学]]="","",SUMPRODUCT((表成绩单[考试日期]=表成绩单[[#This Row],[考试日期]])*(表成绩单[化学]&lt;9E+307)*(表成绩单[化学]&gt;表成绩单[[#This Row],[化学]]))+1)</f>
        <v>271</v>
      </c>
      <c r="U1962" s="29" cm="1">
        <f t="array" ref="U1962">IF(表成绩单[[#This Row],[政治]]="","",SUMPRODUCT((表成绩单[考试日期]=表成绩单[[#This Row],[考试日期]])*(表成绩单[政治]&lt;9E+307)*(表成绩单[政治]&gt;表成绩单[[#This Row],[政治]]))+1)</f>
        <v>431</v>
      </c>
      <c r="V1962" s="29" cm="1">
        <f t="array" ref="V1962">IF(表成绩单[[#This Row],[历史]]="","",SUMPRODUCT((表成绩单[考试日期]=表成绩单[[#This Row],[考试日期]])*(表成绩单[历史]&lt;9E+307)*(表成绩单[历史]&gt;表成绩单[[#This Row],[历史]]))+1)</f>
        <v>471</v>
      </c>
      <c r="W1962" s="29" cm="1">
        <f t="array" ref="W1962">IF(表成绩单[[#This Row],[总分]]="","",SUMPRODUCT((表成绩单[考试日期]=表成绩单[[#This Row],[考试日期]])*(表成绩单[总分]&lt;9E+307)*(表成绩单[总分]&gt;表成绩单[[#This Row],[总分]]))+1)</f>
        <v>355</v>
      </c>
    </row>
    <row r="1963" ht="28" customHeight="1" spans="4:23">
      <c r="D1963" s="31">
        <v>46030</v>
      </c>
      <c r="E1963" s="29">
        <v>19178651</v>
      </c>
      <c r="F1963" s="29" t="s">
        <v>25</v>
      </c>
      <c r="G1963" s="29" t="s">
        <v>306</v>
      </c>
      <c r="H1963" s="29">
        <v>106</v>
      </c>
      <c r="I1963" s="29">
        <v>79</v>
      </c>
      <c r="J1963" s="29">
        <v>74.5</v>
      </c>
      <c r="K1963" s="29">
        <v>50</v>
      </c>
      <c r="L1963" s="29">
        <v>66</v>
      </c>
      <c r="M1963" s="29">
        <v>74</v>
      </c>
      <c r="N1963" s="29">
        <v>73</v>
      </c>
      <c r="O1963" s="32">
        <v>522.5</v>
      </c>
      <c r="P1963" s="29" cm="1">
        <f t="array" ref="P1963">IF(表成绩单[[#This Row],[语文]]="","",SUMPRODUCT((表成绩单[考试日期]=表成绩单[[#This Row],[考试日期]])*(表成绩单[语文]&lt;9E+307)*(表成绩单[语文]&gt;表成绩单[[#This Row],[语文]]))+1)</f>
        <v>50</v>
      </c>
      <c r="Q1963" s="29" cm="1">
        <f t="array" ref="Q1963">IF(表成绩单[[#This Row],[数学]]="","",SUMPRODUCT((表成绩单[考试日期]=表成绩单[[#This Row],[考试日期]])*(表成绩单[数学]&lt;9E+307)*(表成绩单[数学]&gt;表成绩单[[#This Row],[数学]]))+1)</f>
        <v>427</v>
      </c>
      <c r="R1963" s="29" cm="1">
        <f t="array" ref="R1963">IF(表成绩单[[#This Row],[英语]]="","",SUMPRODUCT((表成绩单[考试日期]=表成绩单[[#This Row],[考试日期]])*(表成绩单[英语]&lt;9E+307)*(表成绩单[英语]&gt;表成绩单[[#This Row],[英语]]))+1)</f>
        <v>181</v>
      </c>
      <c r="S1963" s="29" cm="1">
        <f t="array" ref="S1963">IF(表成绩单[[#This Row],[物理]]="","",SUMPRODUCT((表成绩单[考试日期]=表成绩单[[#This Row],[考试日期]])*(表成绩单[物理]&lt;9E+307)*(表成绩单[物理]&gt;表成绩单[[#This Row],[物理]]))+1)</f>
        <v>605</v>
      </c>
      <c r="T1963" s="29" cm="1">
        <f t="array" ref="T1963">IF(表成绩单[[#This Row],[化学]]="","",SUMPRODUCT((表成绩单[考试日期]=表成绩单[[#This Row],[考试日期]])*(表成绩单[化学]&lt;9E+307)*(表成绩单[化学]&gt;表成绩单[[#This Row],[化学]]))+1)</f>
        <v>414</v>
      </c>
      <c r="U1963" s="29" cm="1">
        <f t="array" ref="U1963">IF(表成绩单[[#This Row],[政治]]="","",SUMPRODUCT((表成绩单[考试日期]=表成绩单[[#This Row],[考试日期]])*(表成绩单[政治]&lt;9E+307)*(表成绩单[政治]&gt;表成绩单[[#This Row],[政治]]))+1)</f>
        <v>168</v>
      </c>
      <c r="V1963" s="29" cm="1">
        <f t="array" ref="V1963">IF(表成绩单[[#This Row],[历史]]="","",SUMPRODUCT((表成绩单[考试日期]=表成绩单[[#This Row],[考试日期]])*(表成绩单[历史]&lt;9E+307)*(表成绩单[历史]&gt;表成绩单[[#This Row],[历史]]))+1)</f>
        <v>240</v>
      </c>
      <c r="W1963" s="29" cm="1">
        <f t="array" ref="W1963">IF(表成绩单[[#This Row],[总分]]="","",SUMPRODUCT((表成绩单[考试日期]=表成绩单[[#This Row],[考试日期]])*(表成绩单[总分]&lt;9E+307)*(表成绩单[总分]&gt;表成绩单[[#This Row],[总分]]))+1)</f>
        <v>355</v>
      </c>
    </row>
    <row r="1964" ht="28" customHeight="1" spans="4:23">
      <c r="D1964" s="31">
        <v>46030</v>
      </c>
      <c r="E1964" s="29">
        <v>19171091</v>
      </c>
      <c r="F1964" s="29" t="s">
        <v>67</v>
      </c>
      <c r="G1964" s="29" t="s">
        <v>523</v>
      </c>
      <c r="H1964" s="29">
        <v>108</v>
      </c>
      <c r="I1964" s="29">
        <v>76</v>
      </c>
      <c r="J1964" s="29">
        <v>65</v>
      </c>
      <c r="K1964" s="29">
        <v>61</v>
      </c>
      <c r="L1964" s="29">
        <v>66</v>
      </c>
      <c r="M1964" s="29">
        <v>74</v>
      </c>
      <c r="N1964" s="29">
        <v>72</v>
      </c>
      <c r="O1964" s="32">
        <v>522</v>
      </c>
      <c r="P1964" s="29" cm="1">
        <f t="array" ref="P1964">IF(表成绩单[[#This Row],[语文]]="","",SUMPRODUCT((表成绩单[考试日期]=表成绩单[[#This Row],[考试日期]])*(表成绩单[语文]&lt;9E+307)*(表成绩单[语文]&gt;表成绩单[[#This Row],[语文]]))+1)</f>
        <v>29</v>
      </c>
      <c r="Q1964" s="29" cm="1">
        <f t="array" ref="Q1964">IF(表成绩单[[#This Row],[数学]]="","",SUMPRODUCT((表成绩单[考试日期]=表成绩单[[#This Row],[考试日期]])*(表成绩单[数学]&lt;9E+307)*(表成绩单[数学]&gt;表成绩单[[#This Row],[数学]]))+1)</f>
        <v>507</v>
      </c>
      <c r="R1964" s="29" cm="1">
        <f t="array" ref="R1964">IF(表成绩单[[#This Row],[英语]]="","",SUMPRODUCT((表成绩单[考试日期]=表成绩单[[#This Row],[考试日期]])*(表成绩单[英语]&lt;9E+307)*(表成绩单[英语]&gt;表成绩单[[#This Row],[英语]]))+1)</f>
        <v>438</v>
      </c>
      <c r="S1964" s="29" cm="1">
        <f t="array" ref="S1964">IF(表成绩单[[#This Row],[物理]]="","",SUMPRODUCT((表成绩单[考试日期]=表成绩单[[#This Row],[考试日期]])*(表成绩单[物理]&lt;9E+307)*(表成绩单[物理]&gt;表成绩单[[#This Row],[物理]]))+1)</f>
        <v>482</v>
      </c>
      <c r="T1964" s="29" cm="1">
        <f t="array" ref="T1964">IF(表成绩单[[#This Row],[化学]]="","",SUMPRODUCT((表成绩单[考试日期]=表成绩单[[#This Row],[考试日期]])*(表成绩单[化学]&lt;9E+307)*(表成绩单[化学]&gt;表成绩单[[#This Row],[化学]]))+1)</f>
        <v>414</v>
      </c>
      <c r="U1964" s="29" cm="1">
        <f t="array" ref="U1964">IF(表成绩单[[#This Row],[政治]]="","",SUMPRODUCT((表成绩单[考试日期]=表成绩单[[#This Row],[考试日期]])*(表成绩单[政治]&lt;9E+307)*(表成绩单[政治]&gt;表成绩单[[#This Row],[政治]]))+1)</f>
        <v>168</v>
      </c>
      <c r="V1964" s="29" cm="1">
        <f t="array" ref="V1964">IF(表成绩单[[#This Row],[历史]]="","",SUMPRODUCT((表成绩单[考试日期]=表成绩单[[#This Row],[考试日期]])*(表成绩单[历史]&lt;9E+307)*(表成绩单[历史]&gt;表成绩单[[#This Row],[历史]]))+1)</f>
        <v>266</v>
      </c>
      <c r="W1964" s="29" cm="1">
        <f t="array" ref="W1964">IF(表成绩单[[#This Row],[总分]]="","",SUMPRODUCT((表成绩单[考试日期]=表成绩单[[#This Row],[考试日期]])*(表成绩单[总分]&lt;9E+307)*(表成绩单[总分]&gt;表成绩单[[#This Row],[总分]]))+1)</f>
        <v>358</v>
      </c>
    </row>
    <row r="1965" ht="28" customHeight="1" spans="4:23">
      <c r="D1965" s="31">
        <v>46030</v>
      </c>
      <c r="E1965" s="29">
        <v>19177676</v>
      </c>
      <c r="F1965" s="29" t="s">
        <v>63</v>
      </c>
      <c r="G1965" s="29" t="s">
        <v>368</v>
      </c>
      <c r="H1965" s="29">
        <v>95</v>
      </c>
      <c r="I1965" s="29">
        <v>89</v>
      </c>
      <c r="J1965" s="29">
        <v>71</v>
      </c>
      <c r="K1965" s="29">
        <v>61</v>
      </c>
      <c r="L1965" s="29">
        <v>75</v>
      </c>
      <c r="M1965" s="29">
        <v>60</v>
      </c>
      <c r="N1965" s="29">
        <v>71</v>
      </c>
      <c r="O1965" s="32">
        <v>522</v>
      </c>
      <c r="P1965" s="29" cm="1">
        <f t="array" ref="P1965">IF(表成绩单[[#This Row],[语文]]="","",SUMPRODUCT((表成绩单[考试日期]=表成绩单[[#This Row],[考试日期]])*(表成绩单[语文]&lt;9E+307)*(表成绩单[语文]&gt;表成绩单[[#This Row],[语文]]))+1)</f>
        <v>342</v>
      </c>
      <c r="Q1965" s="29" cm="1">
        <f t="array" ref="Q1965">IF(表成绩单[[#This Row],[数学]]="","",SUMPRODUCT((表成绩单[考试日期]=表成绩单[[#This Row],[考试日期]])*(表成绩单[数学]&lt;9E+307)*(表成绩单[数学]&gt;表成绩单[[#This Row],[数学]]))+1)</f>
        <v>228</v>
      </c>
      <c r="R1965" s="29" cm="1">
        <f t="array" ref="R1965">IF(表成绩单[[#This Row],[英语]]="","",SUMPRODUCT((表成绩单[考试日期]=表成绩单[[#This Row],[考试日期]])*(表成绩单[英语]&lt;9E+307)*(表成绩单[英语]&gt;表成绩单[[#This Row],[英语]]))+1)</f>
        <v>281</v>
      </c>
      <c r="S1965" s="29" cm="1">
        <f t="array" ref="S1965">IF(表成绩单[[#This Row],[物理]]="","",SUMPRODUCT((表成绩单[考试日期]=表成绩单[[#This Row],[考试日期]])*(表成绩单[物理]&lt;9E+307)*(表成绩单[物理]&gt;表成绩单[[#This Row],[物理]]))+1)</f>
        <v>482</v>
      </c>
      <c r="T1965" s="29" cm="1">
        <f t="array" ref="T1965">IF(表成绩单[[#This Row],[化学]]="","",SUMPRODUCT((表成绩单[考试日期]=表成绩单[[#This Row],[考试日期]])*(表成绩单[化学]&lt;9E+307)*(表成绩单[化学]&gt;表成绩单[[#This Row],[化学]]))+1)</f>
        <v>169</v>
      </c>
      <c r="U1965" s="29" cm="1">
        <f t="array" ref="U1965">IF(表成绩单[[#This Row],[政治]]="","",SUMPRODUCT((表成绩单[考试日期]=表成绩单[[#This Row],[考试日期]])*(表成绩单[政治]&lt;9E+307)*(表成绩单[政治]&gt;表成绩单[[#This Row],[政治]]))+1)</f>
        <v>544</v>
      </c>
      <c r="V1965" s="29" cm="1">
        <f t="array" ref="V1965">IF(表成绩单[[#This Row],[历史]]="","",SUMPRODUCT((表成绩单[考试日期]=表成绩单[[#This Row],[考试日期]])*(表成绩单[历史]&lt;9E+307)*(表成绩单[历史]&gt;表成绩单[[#This Row],[历史]]))+1)</f>
        <v>297</v>
      </c>
      <c r="W1965" s="29" cm="1">
        <f t="array" ref="W1965">IF(表成绩单[[#This Row],[总分]]="","",SUMPRODUCT((表成绩单[考试日期]=表成绩单[[#This Row],[考试日期]])*(表成绩单[总分]&lt;9E+307)*(表成绩单[总分]&gt;表成绩单[[#This Row],[总分]]))+1)</f>
        <v>358</v>
      </c>
    </row>
    <row r="1966" ht="28" customHeight="1" spans="4:23">
      <c r="D1966" s="31">
        <v>46030</v>
      </c>
      <c r="E1966" s="29">
        <v>19174464</v>
      </c>
      <c r="F1966" s="29" t="s">
        <v>73</v>
      </c>
      <c r="G1966" s="29" t="s">
        <v>307</v>
      </c>
      <c r="H1966" s="29">
        <v>97</v>
      </c>
      <c r="I1966" s="29">
        <v>88</v>
      </c>
      <c r="J1966" s="29">
        <v>75.5</v>
      </c>
      <c r="K1966" s="29">
        <v>61</v>
      </c>
      <c r="L1966" s="29">
        <v>73</v>
      </c>
      <c r="M1966" s="29">
        <v>62</v>
      </c>
      <c r="N1966" s="29">
        <v>65</v>
      </c>
      <c r="O1966" s="32">
        <v>521.5</v>
      </c>
      <c r="P1966" s="29" cm="1">
        <f t="array" ref="P1966">IF(表成绩单[[#This Row],[语文]]="","",SUMPRODUCT((表成绩单[考试日期]=表成绩单[[#This Row],[考试日期]])*(表成绩单[语文]&lt;9E+307)*(表成绩单[语文]&gt;表成绩单[[#This Row],[语文]]))+1)</f>
        <v>291</v>
      </c>
      <c r="Q1966" s="29" cm="1">
        <f t="array" ref="Q1966">IF(表成绩单[[#This Row],[数学]]="","",SUMPRODUCT((表成绩单[考试日期]=表成绩单[[#This Row],[考试日期]])*(表成绩单[数学]&lt;9E+307)*(表成绩单[数学]&gt;表成绩单[[#This Row],[数学]]))+1)</f>
        <v>245</v>
      </c>
      <c r="R1966" s="29" cm="1">
        <f t="array" ref="R1966">IF(表成绩单[[#This Row],[英语]]="","",SUMPRODUCT((表成绩单[考试日期]=表成绩单[[#This Row],[考试日期]])*(表成绩单[英语]&lt;9E+307)*(表成绩单[英语]&gt;表成绩单[[#This Row],[英语]]))+1)</f>
        <v>145</v>
      </c>
      <c r="S1966" s="29" cm="1">
        <f t="array" ref="S1966">IF(表成绩单[[#This Row],[物理]]="","",SUMPRODUCT((表成绩单[考试日期]=表成绩单[[#This Row],[考试日期]])*(表成绩单[物理]&lt;9E+307)*(表成绩单[物理]&gt;表成绩单[[#This Row],[物理]]))+1)</f>
        <v>482</v>
      </c>
      <c r="T1966" s="29" cm="1">
        <f t="array" ref="T1966">IF(表成绩单[[#This Row],[化学]]="","",SUMPRODUCT((表成绩单[考试日期]=表成绩单[[#This Row],[考试日期]])*(表成绩单[化学]&lt;9E+307)*(表成绩单[化学]&gt;表成绩单[[#This Row],[化学]]))+1)</f>
        <v>236</v>
      </c>
      <c r="U1966" s="29" cm="1">
        <f t="array" ref="U1966">IF(表成绩单[[#This Row],[政治]]="","",SUMPRODUCT((表成绩单[考试日期]=表成绩单[[#This Row],[考试日期]])*(表成绩单[政治]&lt;9E+307)*(表成绩单[政治]&gt;表成绩单[[#This Row],[政治]]))+1)</f>
        <v>508</v>
      </c>
      <c r="V1966" s="29" cm="1">
        <f t="array" ref="V1966">IF(表成绩单[[#This Row],[历史]]="","",SUMPRODUCT((表成绩单[考试日期]=表成绩单[[#This Row],[考试日期]])*(表成绩单[历史]&lt;9E+307)*(表成绩单[历史]&gt;表成绩单[[#This Row],[历史]]))+1)</f>
        <v>471</v>
      </c>
      <c r="W1966" s="29" cm="1">
        <f t="array" ref="W1966">IF(表成绩单[[#This Row],[总分]]="","",SUMPRODUCT((表成绩单[考试日期]=表成绩单[[#This Row],[考试日期]])*(表成绩单[总分]&lt;9E+307)*(表成绩单[总分]&gt;表成绩单[[#This Row],[总分]]))+1)</f>
        <v>360</v>
      </c>
    </row>
    <row r="1967" ht="28" customHeight="1" spans="4:23">
      <c r="D1967" s="31">
        <v>46030</v>
      </c>
      <c r="E1967" s="29">
        <v>19175687</v>
      </c>
      <c r="F1967" s="29" t="s">
        <v>72</v>
      </c>
      <c r="G1967" s="29" t="s">
        <v>582</v>
      </c>
      <c r="H1967" s="29">
        <v>93</v>
      </c>
      <c r="I1967" s="29">
        <v>85</v>
      </c>
      <c r="J1967" s="29">
        <v>70.5</v>
      </c>
      <c r="K1967" s="29">
        <v>68</v>
      </c>
      <c r="L1967" s="29">
        <v>72</v>
      </c>
      <c r="M1967" s="29">
        <v>64</v>
      </c>
      <c r="N1967" s="29">
        <v>69</v>
      </c>
      <c r="O1967" s="32">
        <v>521.5</v>
      </c>
      <c r="P1967" s="29" cm="1">
        <f t="array" ref="P1967">IF(表成绩单[[#This Row],[语文]]="","",SUMPRODUCT((表成绩单[考试日期]=表成绩单[[#This Row],[考试日期]])*(表成绩单[语文]&lt;9E+307)*(表成绩单[语文]&gt;表成绩单[[#This Row],[语文]]))+1)</f>
        <v>412</v>
      </c>
      <c r="Q1967" s="29" cm="1">
        <f t="array" ref="Q1967">IF(表成绩单[[#This Row],[数学]]="","",SUMPRODUCT((表成绩单[考试日期]=表成绩单[[#This Row],[考试日期]])*(表成绩单[数学]&lt;9E+307)*(表成绩单[数学]&gt;表成绩单[[#This Row],[数学]]))+1)</f>
        <v>325</v>
      </c>
      <c r="R1967" s="29" cm="1">
        <f t="array" ref="R1967">IF(表成绩单[[#This Row],[英语]]="","",SUMPRODUCT((表成绩单[考试日期]=表成绩单[[#This Row],[考试日期]])*(表成绩单[英语]&lt;9E+307)*(表成绩单[英语]&gt;表成绩单[[#This Row],[英语]]))+1)</f>
        <v>299</v>
      </c>
      <c r="S1967" s="29" cm="1">
        <f t="array" ref="S1967">IF(表成绩单[[#This Row],[物理]]="","",SUMPRODUCT((表成绩单[考试日期]=表成绩单[[#This Row],[考试日期]])*(表成绩单[物理]&lt;9E+307)*(表成绩单[物理]&gt;表成绩单[[#This Row],[物理]]))+1)</f>
        <v>372</v>
      </c>
      <c r="T1967" s="29" cm="1">
        <f t="array" ref="T1967">IF(表成绩单[[#This Row],[化学]]="","",SUMPRODUCT((表成绩单[考试日期]=表成绩单[[#This Row],[考试日期]])*(表成绩单[化学]&lt;9E+307)*(表成绩单[化学]&gt;表成绩单[[#This Row],[化学]]))+1)</f>
        <v>271</v>
      </c>
      <c r="U1967" s="29" cm="1">
        <f t="array" ref="U1967">IF(表成绩单[[#This Row],[政治]]="","",SUMPRODUCT((表成绩单[考试日期]=表成绩单[[#This Row],[考试日期]])*(表成绩单[政治]&lt;9E+307)*(表成绩单[政治]&gt;表成绩单[[#This Row],[政治]]))+1)</f>
        <v>457</v>
      </c>
      <c r="V1967" s="29" cm="1">
        <f t="array" ref="V1967">IF(表成绩单[[#This Row],[历史]]="","",SUMPRODUCT((表成绩单[考试日期]=表成绩单[[#This Row],[考试日期]])*(表成绩单[历史]&lt;9E+307)*(表成绩单[历史]&gt;表成绩单[[#This Row],[历史]]))+1)</f>
        <v>366</v>
      </c>
      <c r="W1967" s="29" cm="1">
        <f t="array" ref="W1967">IF(表成绩单[[#This Row],[总分]]="","",SUMPRODUCT((表成绩单[考试日期]=表成绩单[[#This Row],[考试日期]])*(表成绩单[总分]&lt;9E+307)*(表成绩单[总分]&gt;表成绩单[[#This Row],[总分]]))+1)</f>
        <v>360</v>
      </c>
    </row>
    <row r="1968" ht="28" customHeight="1" spans="4:23">
      <c r="D1968" s="31">
        <v>46030</v>
      </c>
      <c r="E1968" s="29">
        <v>19177220</v>
      </c>
      <c r="F1968" s="29" t="s">
        <v>70</v>
      </c>
      <c r="G1968" s="29" t="s">
        <v>452</v>
      </c>
      <c r="H1968" s="29">
        <v>90</v>
      </c>
      <c r="I1968" s="29">
        <v>82</v>
      </c>
      <c r="J1968" s="29">
        <v>62.5</v>
      </c>
      <c r="K1968" s="29">
        <v>72</v>
      </c>
      <c r="L1968" s="29">
        <v>76</v>
      </c>
      <c r="M1968" s="29">
        <v>69</v>
      </c>
      <c r="N1968" s="29">
        <v>70</v>
      </c>
      <c r="O1968" s="32">
        <v>521.5</v>
      </c>
      <c r="P1968" s="29" cm="1">
        <f t="array" ref="P1968">IF(表成绩单[[#This Row],[语文]]="","",SUMPRODUCT((表成绩单[考试日期]=表成绩单[[#This Row],[考试日期]])*(表成绩单[语文]&lt;9E+307)*(表成绩单[语文]&gt;表成绩单[[#This Row],[语文]]))+1)</f>
        <v>509</v>
      </c>
      <c r="Q1968" s="29" cm="1">
        <f t="array" ref="Q1968">IF(表成绩单[[#This Row],[数学]]="","",SUMPRODUCT((表成绩单[考试日期]=表成绩单[[#This Row],[考试日期]])*(表成绩单[数学]&lt;9E+307)*(表成绩单[数学]&gt;表成绩单[[#This Row],[数学]]))+1)</f>
        <v>383</v>
      </c>
      <c r="R1968" s="29" cm="1">
        <f t="array" ref="R1968">IF(表成绩单[[#This Row],[英语]]="","",SUMPRODUCT((表成绩单[考试日期]=表成绩单[[#This Row],[考试日期]])*(表成绩单[英语]&lt;9E+307)*(表成绩单[英语]&gt;表成绩单[[#This Row],[英语]]))+1)</f>
        <v>477</v>
      </c>
      <c r="S1968" s="29" cm="1">
        <f t="array" ref="S1968">IF(表成绩单[[#This Row],[物理]]="","",SUMPRODUCT((表成绩单[考试日期]=表成绩单[[#This Row],[考试日期]])*(表成绩单[物理]&lt;9E+307)*(表成绩单[物理]&gt;表成绩单[[#This Row],[物理]]))+1)</f>
        <v>297</v>
      </c>
      <c r="T1968" s="29" cm="1">
        <f t="array" ref="T1968">IF(表成绩单[[#This Row],[化学]]="","",SUMPRODUCT((表成绩单[考试日期]=表成绩单[[#This Row],[考试日期]])*(表成绩单[化学]&lt;9E+307)*(表成绩单[化学]&gt;表成绩单[[#This Row],[化学]]))+1)</f>
        <v>139</v>
      </c>
      <c r="U1968" s="29" cm="1">
        <f t="array" ref="U1968">IF(表成绩单[[#This Row],[政治]]="","",SUMPRODUCT((表成绩单[考试日期]=表成绩单[[#This Row],[考试日期]])*(表成绩单[政治]&lt;9E+307)*(表成绩单[政治]&gt;表成绩单[[#This Row],[政治]]))+1)</f>
        <v>308</v>
      </c>
      <c r="V1968" s="29" cm="1">
        <f t="array" ref="V1968">IF(表成绩单[[#This Row],[历史]]="","",SUMPRODUCT((表成绩单[考试日期]=表成绩单[[#This Row],[考试日期]])*(表成绩单[历史]&lt;9E+307)*(表成绩单[历史]&gt;表成绩单[[#This Row],[历史]]))+1)</f>
        <v>328</v>
      </c>
      <c r="W1968" s="29" cm="1">
        <f t="array" ref="W1968">IF(表成绩单[[#This Row],[总分]]="","",SUMPRODUCT((表成绩单[考试日期]=表成绩单[[#This Row],[考试日期]])*(表成绩单[总分]&lt;9E+307)*(表成绩单[总分]&gt;表成绩单[[#This Row],[总分]]))+1)</f>
        <v>360</v>
      </c>
    </row>
    <row r="1969" ht="28" customHeight="1" spans="4:23">
      <c r="D1969" s="31">
        <v>46030</v>
      </c>
      <c r="E1969" s="29">
        <v>19177677</v>
      </c>
      <c r="F1969" s="29" t="s">
        <v>63</v>
      </c>
      <c r="G1969" s="29" t="s">
        <v>528</v>
      </c>
      <c r="H1969" s="29">
        <v>98</v>
      </c>
      <c r="I1969" s="29">
        <v>85</v>
      </c>
      <c r="J1969" s="29">
        <v>50.5</v>
      </c>
      <c r="K1969" s="29">
        <v>59</v>
      </c>
      <c r="L1969" s="29">
        <v>71</v>
      </c>
      <c r="M1969" s="29">
        <v>79</v>
      </c>
      <c r="N1969" s="29">
        <v>79</v>
      </c>
      <c r="O1969" s="32">
        <v>521.5</v>
      </c>
      <c r="P1969" s="29" cm="1">
        <f t="array" ref="P1969">IF(表成绩单[[#This Row],[语文]]="","",SUMPRODUCT((表成绩单[考试日期]=表成绩单[[#This Row],[考试日期]])*(表成绩单[语文]&lt;9E+307)*(表成绩单[语文]&gt;表成绩单[[#This Row],[语文]]))+1)</f>
        <v>248</v>
      </c>
      <c r="Q1969" s="29" cm="1">
        <f t="array" ref="Q1969">IF(表成绩单[[#This Row],[数学]]="","",SUMPRODUCT((表成绩单[考试日期]=表成绩单[[#This Row],[考试日期]])*(表成绩单[数学]&lt;9E+307)*(表成绩单[数学]&gt;表成绩单[[#This Row],[数学]]))+1)</f>
        <v>325</v>
      </c>
      <c r="R1969" s="29" cm="1">
        <f t="array" ref="R1969">IF(表成绩单[[#This Row],[英语]]="","",SUMPRODUCT((表成绩单[考试日期]=表成绩单[[#This Row],[考试日期]])*(表成绩单[英语]&lt;9E+307)*(表成绩单[英语]&gt;表成绩单[[#This Row],[英语]]))+1)</f>
        <v>643</v>
      </c>
      <c r="S1969" s="29" cm="1">
        <f t="array" ref="S1969">IF(表成绩单[[#This Row],[物理]]="","",SUMPRODUCT((表成绩单[考试日期]=表成绩单[[#This Row],[考试日期]])*(表成绩单[物理]&lt;9E+307)*(表成绩单[物理]&gt;表成绩单[[#This Row],[物理]]))+1)</f>
        <v>514</v>
      </c>
      <c r="T1969" s="29" cm="1">
        <f t="array" ref="T1969">IF(表成绩单[[#This Row],[化学]]="","",SUMPRODUCT((表成绩单[考试日期]=表成绩单[[#This Row],[考试日期]])*(表成绩单[化学]&lt;9E+307)*(表成绩单[化学]&gt;表成绩单[[#This Row],[化学]]))+1)</f>
        <v>297</v>
      </c>
      <c r="U1969" s="29" cm="1">
        <f t="array" ref="U1969">IF(表成绩单[[#This Row],[政治]]="","",SUMPRODUCT((表成绩单[考试日期]=表成绩单[[#This Row],[考试日期]])*(表成绩单[政治]&lt;9E+307)*(表成绩单[政治]&gt;表成绩单[[#This Row],[政治]]))+1)</f>
        <v>42</v>
      </c>
      <c r="V1969" s="29" cm="1">
        <f t="array" ref="V1969">IF(表成绩单[[#This Row],[历史]]="","",SUMPRODUCT((表成绩单[考试日期]=表成绩单[[#This Row],[考试日期]])*(表成绩单[历史]&lt;9E+307)*(表成绩单[历史]&gt;表成绩单[[#This Row],[历史]]))+1)</f>
        <v>104</v>
      </c>
      <c r="W1969" s="29" cm="1">
        <f t="array" ref="W1969">IF(表成绩单[[#This Row],[总分]]="","",SUMPRODUCT((表成绩单[考试日期]=表成绩单[[#This Row],[考试日期]])*(表成绩单[总分]&lt;9E+307)*(表成绩单[总分]&gt;表成绩单[[#This Row],[总分]]))+1)</f>
        <v>360</v>
      </c>
    </row>
    <row r="1970" ht="28" customHeight="1" spans="4:23">
      <c r="D1970" s="31">
        <v>46030</v>
      </c>
      <c r="E1970" s="29">
        <v>19178636</v>
      </c>
      <c r="F1970" s="29" t="s">
        <v>25</v>
      </c>
      <c r="G1970" s="29" t="s">
        <v>460</v>
      </c>
      <c r="H1970" s="29">
        <v>95</v>
      </c>
      <c r="I1970" s="29">
        <v>80</v>
      </c>
      <c r="J1970" s="29">
        <v>70.5</v>
      </c>
      <c r="K1970" s="29">
        <v>68</v>
      </c>
      <c r="L1970" s="29">
        <v>67</v>
      </c>
      <c r="M1970" s="29">
        <v>73</v>
      </c>
      <c r="N1970" s="29">
        <v>68</v>
      </c>
      <c r="O1970" s="32">
        <v>521.5</v>
      </c>
      <c r="P1970" s="29" cm="1">
        <f t="array" ref="P1970">IF(表成绩单[[#This Row],[语文]]="","",SUMPRODUCT((表成绩单[考试日期]=表成绩单[[#This Row],[考试日期]])*(表成绩单[语文]&lt;9E+307)*(表成绩单[语文]&gt;表成绩单[[#This Row],[语文]]))+1)</f>
        <v>342</v>
      </c>
      <c r="Q1970" s="29" cm="1">
        <f t="array" ref="Q1970">IF(表成绩单[[#This Row],[数学]]="","",SUMPRODUCT((表成绩单[考试日期]=表成绩单[[#This Row],[考试日期]])*(表成绩单[数学]&lt;9E+307)*(表成绩单[数学]&gt;表成绩单[[#This Row],[数学]]))+1)</f>
        <v>412</v>
      </c>
      <c r="R1970" s="29" cm="1">
        <f t="array" ref="R1970">IF(表成绩单[[#This Row],[英语]]="","",SUMPRODUCT((表成绩单[考试日期]=表成绩单[[#This Row],[考试日期]])*(表成绩单[英语]&lt;9E+307)*(表成绩单[英语]&gt;表成绩单[[#This Row],[英语]]))+1)</f>
        <v>299</v>
      </c>
      <c r="S1970" s="29" cm="1">
        <f t="array" ref="S1970">IF(表成绩单[[#This Row],[物理]]="","",SUMPRODUCT((表成绩单[考试日期]=表成绩单[[#This Row],[考试日期]])*(表成绩单[物理]&lt;9E+307)*(表成绩单[物理]&gt;表成绩单[[#This Row],[物理]]))+1)</f>
        <v>372</v>
      </c>
      <c r="T1970" s="29" cm="1">
        <f t="array" ref="T1970">IF(表成绩单[[#This Row],[化学]]="","",SUMPRODUCT((表成绩单[考试日期]=表成绩单[[#This Row],[考试日期]])*(表成绩单[化学]&lt;9E+307)*(表成绩单[化学]&gt;表成绩单[[#This Row],[化学]]))+1)</f>
        <v>381</v>
      </c>
      <c r="U1970" s="29" cm="1">
        <f t="array" ref="U1970">IF(表成绩单[[#This Row],[政治]]="","",SUMPRODUCT((表成绩单[考试日期]=表成绩单[[#This Row],[考试日期]])*(表成绩单[政治]&lt;9E+307)*(表成绩单[政治]&gt;表成绩单[[#This Row],[政治]]))+1)</f>
        <v>197</v>
      </c>
      <c r="V1970" s="29" cm="1">
        <f t="array" ref="V1970">IF(表成绩单[[#This Row],[历史]]="","",SUMPRODUCT((表成绩单[考试日期]=表成绩单[[#This Row],[考试日期]])*(表成绩单[历史]&lt;9E+307)*(表成绩单[历史]&gt;表成绩单[[#This Row],[历史]]))+1)</f>
        <v>390</v>
      </c>
      <c r="W1970" s="29" cm="1">
        <f t="array" ref="W1970">IF(表成绩单[[#This Row],[总分]]="","",SUMPRODUCT((表成绩单[考试日期]=表成绩单[[#This Row],[考试日期]])*(表成绩单[总分]&lt;9E+307)*(表成绩单[总分]&gt;表成绩单[[#This Row],[总分]]))+1)</f>
        <v>360</v>
      </c>
    </row>
    <row r="1971" ht="28" customHeight="1" spans="4:23">
      <c r="D1971" s="31">
        <v>46030</v>
      </c>
      <c r="E1971" s="29">
        <v>19173251</v>
      </c>
      <c r="F1971" s="29" t="s">
        <v>61</v>
      </c>
      <c r="G1971" s="29" t="s">
        <v>566</v>
      </c>
      <c r="H1971" s="29">
        <v>91</v>
      </c>
      <c r="I1971" s="29">
        <v>89</v>
      </c>
      <c r="J1971" s="29">
        <v>74</v>
      </c>
      <c r="K1971" s="29">
        <v>72</v>
      </c>
      <c r="L1971" s="29">
        <v>67</v>
      </c>
      <c r="M1971" s="29">
        <v>60</v>
      </c>
      <c r="N1971" s="29">
        <v>68</v>
      </c>
      <c r="O1971" s="32">
        <v>521</v>
      </c>
      <c r="P1971" s="29" cm="1">
        <f t="array" ref="P1971">IF(表成绩单[[#This Row],[语文]]="","",SUMPRODUCT((表成绩单[考试日期]=表成绩单[[#This Row],[考试日期]])*(表成绩单[语文]&lt;9E+307)*(表成绩单[语文]&gt;表成绩单[[#This Row],[语文]]))+1)</f>
        <v>478</v>
      </c>
      <c r="Q1971" s="29" cm="1">
        <f t="array" ref="Q1971">IF(表成绩单[[#This Row],[数学]]="","",SUMPRODUCT((表成绩单[考试日期]=表成绩单[[#This Row],[考试日期]])*(表成绩单[数学]&lt;9E+307)*(表成绩单[数学]&gt;表成绩单[[#This Row],[数学]]))+1)</f>
        <v>228</v>
      </c>
      <c r="R1971" s="29" cm="1">
        <f t="array" ref="R1971">IF(表成绩单[[#This Row],[英语]]="","",SUMPRODUCT((表成绩单[考试日期]=表成绩单[[#This Row],[考试日期]])*(表成绩单[英语]&lt;9E+307)*(表成绩单[英语]&gt;表成绩单[[#This Row],[英语]]))+1)</f>
        <v>201</v>
      </c>
      <c r="S1971" s="29" cm="1">
        <f t="array" ref="S1971">IF(表成绩单[[#This Row],[物理]]="","",SUMPRODUCT((表成绩单[考试日期]=表成绩单[[#This Row],[考试日期]])*(表成绩单[物理]&lt;9E+307)*(表成绩单[物理]&gt;表成绩单[[#This Row],[物理]]))+1)</f>
        <v>297</v>
      </c>
      <c r="T1971" s="29" cm="1">
        <f t="array" ref="T1971">IF(表成绩单[[#This Row],[化学]]="","",SUMPRODUCT((表成绩单[考试日期]=表成绩单[[#This Row],[考试日期]])*(表成绩单[化学]&lt;9E+307)*(表成绩单[化学]&gt;表成绩单[[#This Row],[化学]]))+1)</f>
        <v>381</v>
      </c>
      <c r="U1971" s="29" cm="1">
        <f t="array" ref="U1971">IF(表成绩单[[#This Row],[政治]]="","",SUMPRODUCT((表成绩单[考试日期]=表成绩单[[#This Row],[考试日期]])*(表成绩单[政治]&lt;9E+307)*(表成绩单[政治]&gt;表成绩单[[#This Row],[政治]]))+1)</f>
        <v>544</v>
      </c>
      <c r="V1971" s="29" cm="1">
        <f t="array" ref="V1971">IF(表成绩单[[#This Row],[历史]]="","",SUMPRODUCT((表成绩单[考试日期]=表成绩单[[#This Row],[考试日期]])*(表成绩单[历史]&lt;9E+307)*(表成绩单[历史]&gt;表成绩单[[#This Row],[历史]]))+1)</f>
        <v>390</v>
      </c>
      <c r="W1971" s="29" cm="1">
        <f t="array" ref="W1971">IF(表成绩单[[#This Row],[总分]]="","",SUMPRODUCT((表成绩单[考试日期]=表成绩单[[#This Row],[考试日期]])*(表成绩单[总分]&lt;9E+307)*(表成绩单[总分]&gt;表成绩单[[#This Row],[总分]]))+1)</f>
        <v>365</v>
      </c>
    </row>
    <row r="1972" ht="28" customHeight="1" spans="4:23">
      <c r="D1972" s="31">
        <v>46030</v>
      </c>
      <c r="E1972" s="29">
        <v>19173765</v>
      </c>
      <c r="F1972" s="29" t="s">
        <v>65</v>
      </c>
      <c r="G1972" s="29" t="s">
        <v>517</v>
      </c>
      <c r="H1972" s="29">
        <v>88</v>
      </c>
      <c r="I1972" s="29">
        <v>79</v>
      </c>
      <c r="J1972" s="29">
        <v>61.5</v>
      </c>
      <c r="K1972" s="29">
        <v>86</v>
      </c>
      <c r="L1972" s="29">
        <v>67</v>
      </c>
      <c r="M1972" s="29">
        <v>66</v>
      </c>
      <c r="N1972" s="29">
        <v>73</v>
      </c>
      <c r="O1972" s="32">
        <v>520.5</v>
      </c>
      <c r="P1972" s="29" cm="1">
        <f t="array" ref="P1972">IF(表成绩单[[#This Row],[语文]]="","",SUMPRODUCT((表成绩单[考试日期]=表成绩单[[#This Row],[考试日期]])*(表成绩单[语文]&lt;9E+307)*(表成绩单[语文]&gt;表成绩单[[#This Row],[语文]]))+1)</f>
        <v>562</v>
      </c>
      <c r="Q1972" s="29" cm="1">
        <f t="array" ref="Q1972">IF(表成绩单[[#This Row],[数学]]="","",SUMPRODUCT((表成绩单[考试日期]=表成绩单[[#This Row],[考试日期]])*(表成绩单[数学]&lt;9E+307)*(表成绩单[数学]&gt;表成绩单[[#This Row],[数学]]))+1)</f>
        <v>427</v>
      </c>
      <c r="R1972" s="29" cm="1">
        <f t="array" ref="R1972">IF(表成绩单[[#This Row],[英语]]="","",SUMPRODUCT((表成绩单[考试日期]=表成绩单[[#This Row],[考试日期]])*(表成绩单[英语]&lt;9E+307)*(表成绩单[英语]&gt;表成绩单[[#This Row],[英语]]))+1)</f>
        <v>495</v>
      </c>
      <c r="S1972" s="29" cm="1">
        <f t="array" ref="S1972">IF(表成绩单[[#This Row],[物理]]="","",SUMPRODUCT((表成绩单[考试日期]=表成绩单[[#This Row],[考试日期]])*(表成绩单[物理]&lt;9E+307)*(表成绩单[物理]&gt;表成绩单[[#This Row],[物理]]))+1)</f>
        <v>42</v>
      </c>
      <c r="T1972" s="29" cm="1">
        <f t="array" ref="T1972">IF(表成绩单[[#This Row],[化学]]="","",SUMPRODUCT((表成绩单[考试日期]=表成绩单[[#This Row],[考试日期]])*(表成绩单[化学]&lt;9E+307)*(表成绩单[化学]&gt;表成绩单[[#This Row],[化学]]))+1)</f>
        <v>381</v>
      </c>
      <c r="U1972" s="29" cm="1">
        <f t="array" ref="U1972">IF(表成绩单[[#This Row],[政治]]="","",SUMPRODUCT((表成绩单[考试日期]=表成绩单[[#This Row],[考试日期]])*(表成绩单[政治]&lt;9E+307)*(表成绩单[政治]&gt;表成绩单[[#This Row],[政治]]))+1)</f>
        <v>397</v>
      </c>
      <c r="V1972" s="29" cm="1">
        <f t="array" ref="V1972">IF(表成绩单[[#This Row],[历史]]="","",SUMPRODUCT((表成绩单[考试日期]=表成绩单[[#This Row],[考试日期]])*(表成绩单[历史]&lt;9E+307)*(表成绩单[历史]&gt;表成绩单[[#This Row],[历史]]))+1)</f>
        <v>240</v>
      </c>
      <c r="W1972" s="29" cm="1">
        <f t="array" ref="W1972">IF(表成绩单[[#This Row],[总分]]="","",SUMPRODUCT((表成绩单[考试日期]=表成绩单[[#This Row],[考试日期]])*(表成绩单[总分]&lt;9E+307)*(表成绩单[总分]&gt;表成绩单[[#This Row],[总分]]))+1)</f>
        <v>366</v>
      </c>
    </row>
    <row r="1973" ht="28" customHeight="1" spans="4:23">
      <c r="D1973" s="31">
        <v>46030</v>
      </c>
      <c r="E1973" s="29">
        <v>19174771</v>
      </c>
      <c r="F1973" s="29" t="s">
        <v>69</v>
      </c>
      <c r="G1973" s="29" t="s">
        <v>526</v>
      </c>
      <c r="H1973" s="29">
        <v>96</v>
      </c>
      <c r="I1973" s="29">
        <v>79</v>
      </c>
      <c r="J1973" s="29">
        <v>62.5</v>
      </c>
      <c r="K1973" s="29">
        <v>75</v>
      </c>
      <c r="L1973" s="29">
        <v>73</v>
      </c>
      <c r="M1973" s="29">
        <v>57</v>
      </c>
      <c r="N1973" s="29">
        <v>78</v>
      </c>
      <c r="O1973" s="32">
        <v>520.5</v>
      </c>
      <c r="P1973" s="29" cm="1">
        <f t="array" ref="P1973">IF(表成绩单[[#This Row],[语文]]="","",SUMPRODUCT((表成绩单[考试日期]=表成绩单[[#This Row],[考试日期]])*(表成绩单[语文]&lt;9E+307)*(表成绩单[语文]&gt;表成绩单[[#This Row],[语文]]))+1)</f>
        <v>315</v>
      </c>
      <c r="Q1973" s="29" cm="1">
        <f t="array" ref="Q1973">IF(表成绩单[[#This Row],[数学]]="","",SUMPRODUCT((表成绩单[考试日期]=表成绩单[[#This Row],[考试日期]])*(表成绩单[数学]&lt;9E+307)*(表成绩单[数学]&gt;表成绩单[[#This Row],[数学]]))+1)</f>
        <v>427</v>
      </c>
      <c r="R1973" s="29" cm="1">
        <f t="array" ref="R1973">IF(表成绩单[[#This Row],[英语]]="","",SUMPRODUCT((表成绩单[考试日期]=表成绩单[[#This Row],[考试日期]])*(表成绩单[英语]&lt;9E+307)*(表成绩单[英语]&gt;表成绩单[[#This Row],[英语]]))+1)</f>
        <v>477</v>
      </c>
      <c r="S1973" s="29" cm="1">
        <f t="array" ref="S1973">IF(表成绩单[[#This Row],[物理]]="","",SUMPRODUCT((表成绩单[考试日期]=表成绩单[[#This Row],[考试日期]])*(表成绩单[物理]&lt;9E+307)*(表成绩单[物理]&gt;表成绩单[[#This Row],[物理]]))+1)</f>
        <v>241</v>
      </c>
      <c r="T1973" s="29" cm="1">
        <f t="array" ref="T1973">IF(表成绩单[[#This Row],[化学]]="","",SUMPRODUCT((表成绩单[考试日期]=表成绩单[[#This Row],[考试日期]])*(表成绩单[化学]&lt;9E+307)*(表成绩单[化学]&gt;表成绩单[[#This Row],[化学]]))+1)</f>
        <v>236</v>
      </c>
      <c r="U1973" s="29" cm="1">
        <f t="array" ref="U1973">IF(表成绩单[[#This Row],[政治]]="","",SUMPRODUCT((表成绩单[考试日期]=表成绩单[[#This Row],[考试日期]])*(表成绩单[政治]&lt;9E+307)*(表成绩单[政治]&gt;表成绩单[[#This Row],[政治]]))+1)</f>
        <v>591</v>
      </c>
      <c r="V1973" s="29" cm="1">
        <f t="array" ref="V1973">IF(表成绩单[[#This Row],[历史]]="","",SUMPRODUCT((表成绩单[考试日期]=表成绩单[[#This Row],[考试日期]])*(表成绩单[历史]&lt;9E+307)*(表成绩单[历史]&gt;表成绩单[[#This Row],[历史]]))+1)</f>
        <v>126</v>
      </c>
      <c r="W1973" s="29" cm="1">
        <f t="array" ref="W1973">IF(表成绩单[[#This Row],[总分]]="","",SUMPRODUCT((表成绩单[考试日期]=表成绩单[[#This Row],[考试日期]])*(表成绩单[总分]&lt;9E+307)*(表成绩单[总分]&gt;表成绩单[[#This Row],[总分]]))+1)</f>
        <v>366</v>
      </c>
    </row>
    <row r="1974" ht="28" customHeight="1" spans="4:23">
      <c r="D1974" s="31">
        <v>46030</v>
      </c>
      <c r="E1974" s="29">
        <v>19174806</v>
      </c>
      <c r="F1974" s="29" t="s">
        <v>69</v>
      </c>
      <c r="G1974" s="29" t="s">
        <v>416</v>
      </c>
      <c r="H1974" s="29">
        <v>90</v>
      </c>
      <c r="I1974" s="29">
        <v>83</v>
      </c>
      <c r="J1974" s="29">
        <v>58</v>
      </c>
      <c r="K1974" s="29">
        <v>75</v>
      </c>
      <c r="L1974" s="29">
        <v>72</v>
      </c>
      <c r="M1974" s="29">
        <v>72</v>
      </c>
      <c r="N1974" s="29">
        <v>70</v>
      </c>
      <c r="O1974" s="32">
        <v>520</v>
      </c>
      <c r="P1974" s="29" cm="1">
        <f t="array" ref="P1974">IF(表成绩单[[#This Row],[语文]]="","",SUMPRODUCT((表成绩单[考试日期]=表成绩单[[#This Row],[考试日期]])*(表成绩单[语文]&lt;9E+307)*(表成绩单[语文]&gt;表成绩单[[#This Row],[语文]]))+1)</f>
        <v>509</v>
      </c>
      <c r="Q1974" s="29" cm="1">
        <f t="array" ref="Q1974">IF(表成绩单[[#This Row],[数学]]="","",SUMPRODUCT((表成绩单[考试日期]=表成绩单[[#This Row],[考试日期]])*(表成绩单[数学]&lt;9E+307)*(表成绩单[数学]&gt;表成绩单[[#This Row],[数学]]))+1)</f>
        <v>360</v>
      </c>
      <c r="R1974" s="29" cm="1">
        <f t="array" ref="R1974">IF(表成绩单[[#This Row],[英语]]="","",SUMPRODUCT((表成绩单[考试日期]=表成绩单[[#This Row],[考试日期]])*(表成绩单[英语]&lt;9E+307)*(表成绩单[英语]&gt;表成绩单[[#This Row],[英语]]))+1)</f>
        <v>556</v>
      </c>
      <c r="S1974" s="29" cm="1">
        <f t="array" ref="S1974">IF(表成绩单[[#This Row],[物理]]="","",SUMPRODUCT((表成绩单[考试日期]=表成绩单[[#This Row],[考试日期]])*(表成绩单[物理]&lt;9E+307)*(表成绩单[物理]&gt;表成绩单[[#This Row],[物理]]))+1)</f>
        <v>241</v>
      </c>
      <c r="T1974" s="29" cm="1">
        <f t="array" ref="T1974">IF(表成绩单[[#This Row],[化学]]="","",SUMPRODUCT((表成绩单[考试日期]=表成绩单[[#This Row],[考试日期]])*(表成绩单[化学]&lt;9E+307)*(表成绩单[化学]&gt;表成绩单[[#This Row],[化学]]))+1)</f>
        <v>271</v>
      </c>
      <c r="U1974" s="29" cm="1">
        <f t="array" ref="U1974">IF(表成绩单[[#This Row],[政治]]="","",SUMPRODUCT((表成绩单[考试日期]=表成绩单[[#This Row],[考试日期]])*(表成绩单[政治]&lt;9E+307)*(表成绩单[政治]&gt;表成绩单[[#This Row],[政治]]))+1)</f>
        <v>224</v>
      </c>
      <c r="V1974" s="29" cm="1">
        <f t="array" ref="V1974">IF(表成绩单[[#This Row],[历史]]="","",SUMPRODUCT((表成绩单[考试日期]=表成绩单[[#This Row],[考试日期]])*(表成绩单[历史]&lt;9E+307)*(表成绩单[历史]&gt;表成绩单[[#This Row],[历史]]))+1)</f>
        <v>328</v>
      </c>
      <c r="W1974" s="29" cm="1">
        <f t="array" ref="W1974">IF(表成绩单[[#This Row],[总分]]="","",SUMPRODUCT((表成绩单[考试日期]=表成绩单[[#This Row],[考试日期]])*(表成绩单[总分]&lt;9E+307)*(表成绩单[总分]&gt;表成绩单[[#This Row],[总分]]))+1)</f>
        <v>368</v>
      </c>
    </row>
    <row r="1975" ht="28" customHeight="1" spans="4:23">
      <c r="D1975" s="31">
        <v>46030</v>
      </c>
      <c r="E1975" s="29">
        <v>19176161</v>
      </c>
      <c r="F1975" s="29" t="s">
        <v>67</v>
      </c>
      <c r="G1975" s="29" t="s">
        <v>481</v>
      </c>
      <c r="H1975" s="29">
        <v>98</v>
      </c>
      <c r="I1975" s="29">
        <v>79</v>
      </c>
      <c r="J1975" s="29">
        <v>69</v>
      </c>
      <c r="K1975" s="29">
        <v>64</v>
      </c>
      <c r="L1975" s="29">
        <v>67</v>
      </c>
      <c r="M1975" s="29">
        <v>69</v>
      </c>
      <c r="N1975" s="29">
        <v>74</v>
      </c>
      <c r="O1975" s="32">
        <v>520</v>
      </c>
      <c r="P1975" s="29" cm="1">
        <f t="array" ref="P1975">IF(表成绩单[[#This Row],[语文]]="","",SUMPRODUCT((表成绩单[考试日期]=表成绩单[[#This Row],[考试日期]])*(表成绩单[语文]&lt;9E+307)*(表成绩单[语文]&gt;表成绩单[[#This Row],[语文]]))+1)</f>
        <v>248</v>
      </c>
      <c r="Q1975" s="29" cm="1">
        <f t="array" ref="Q1975">IF(表成绩单[[#This Row],[数学]]="","",SUMPRODUCT((表成绩单[考试日期]=表成绩单[[#This Row],[考试日期]])*(表成绩单[数学]&lt;9E+307)*(表成绩单[数学]&gt;表成绩单[[#This Row],[数学]]))+1)</f>
        <v>427</v>
      </c>
      <c r="R1975" s="29" cm="1">
        <f t="array" ref="R1975">IF(表成绩单[[#This Row],[英语]]="","",SUMPRODUCT((表成绩单[考试日期]=表成绩单[[#This Row],[考试日期]])*(表成绩单[英语]&lt;9E+307)*(表成绩单[英语]&gt;表成绩单[[#This Row],[英语]]))+1)</f>
        <v>342</v>
      </c>
      <c r="S1975" s="29" cm="1">
        <f t="array" ref="S1975">IF(表成绩单[[#This Row],[物理]]="","",SUMPRODUCT((表成绩单[考试日期]=表成绩单[[#This Row],[考试日期]])*(表成绩单[物理]&lt;9E+307)*(表成绩单[物理]&gt;表成绩单[[#This Row],[物理]]))+1)</f>
        <v>441</v>
      </c>
      <c r="T1975" s="29" cm="1">
        <f t="array" ref="T1975">IF(表成绩单[[#This Row],[化学]]="","",SUMPRODUCT((表成绩单[考试日期]=表成绩单[[#This Row],[考试日期]])*(表成绩单[化学]&lt;9E+307)*(表成绩单[化学]&gt;表成绩单[[#This Row],[化学]]))+1)</f>
        <v>381</v>
      </c>
      <c r="U1975" s="29" cm="1">
        <f t="array" ref="U1975">IF(表成绩单[[#This Row],[政治]]="","",SUMPRODUCT((表成绩单[考试日期]=表成绩单[[#This Row],[考试日期]])*(表成绩单[政治]&lt;9E+307)*(表成绩单[政治]&gt;表成绩单[[#This Row],[政治]]))+1)</f>
        <v>308</v>
      </c>
      <c r="V1975" s="29" cm="1">
        <f t="array" ref="V1975">IF(表成绩单[[#This Row],[历史]]="","",SUMPRODUCT((表成绩单[考试日期]=表成绩单[[#This Row],[考试日期]])*(表成绩单[历史]&lt;9E+307)*(表成绩单[历史]&gt;表成绩单[[#This Row],[历史]]))+1)</f>
        <v>215</v>
      </c>
      <c r="W1975" s="29" cm="1">
        <f t="array" ref="W1975">IF(表成绩单[[#This Row],[总分]]="","",SUMPRODUCT((表成绩单[考试日期]=表成绩单[[#This Row],[考试日期]])*(表成绩单[总分]&lt;9E+307)*(表成绩单[总分]&gt;表成绩单[[#This Row],[总分]]))+1)</f>
        <v>368</v>
      </c>
    </row>
    <row r="1976" ht="28" customHeight="1" spans="4:23">
      <c r="D1976" s="31">
        <v>46030</v>
      </c>
      <c r="E1976" s="29">
        <v>19177640</v>
      </c>
      <c r="F1976" s="29" t="s">
        <v>63</v>
      </c>
      <c r="G1976" s="29" t="s">
        <v>505</v>
      </c>
      <c r="H1976" s="29">
        <v>99</v>
      </c>
      <c r="I1976" s="29">
        <v>77</v>
      </c>
      <c r="J1976" s="29">
        <v>76</v>
      </c>
      <c r="K1976" s="29">
        <v>56</v>
      </c>
      <c r="L1976" s="29">
        <v>68</v>
      </c>
      <c r="M1976" s="29">
        <v>71</v>
      </c>
      <c r="N1976" s="29">
        <v>73</v>
      </c>
      <c r="O1976" s="32">
        <v>520</v>
      </c>
      <c r="P1976" s="29" cm="1">
        <f t="array" ref="P1976">IF(表成绩单[[#This Row],[语文]]="","",SUMPRODUCT((表成绩单[考试日期]=表成绩单[[#This Row],[考试日期]])*(表成绩单[语文]&lt;9E+307)*(表成绩单[语文]&gt;表成绩单[[#This Row],[语文]]))+1)</f>
        <v>213</v>
      </c>
      <c r="Q1976" s="29" cm="1">
        <f t="array" ref="Q1976">IF(表成绩单[[#This Row],[数学]]="","",SUMPRODUCT((表成绩单[考试日期]=表成绩单[[#This Row],[考试日期]])*(表成绩单[数学]&lt;9E+307)*(表成绩单[数学]&gt;表成绩单[[#This Row],[数学]]))+1)</f>
        <v>478</v>
      </c>
      <c r="R1976" s="29" cm="1">
        <f t="array" ref="R1976">IF(表成绩单[[#This Row],[英语]]="","",SUMPRODUCT((表成绩单[考试日期]=表成绩单[[#This Row],[考试日期]])*(表成绩单[英语]&lt;9E+307)*(表成绩单[英语]&gt;表成绩单[[#This Row],[英语]]))+1)</f>
        <v>126</v>
      </c>
      <c r="S1976" s="29" cm="1">
        <f t="array" ref="S1976">IF(表成绩单[[#This Row],[物理]]="","",SUMPRODUCT((表成绩单[考试日期]=表成绩单[[#This Row],[考试日期]])*(表成绩单[物理]&lt;9E+307)*(表成绩单[物理]&gt;表成绩单[[#This Row],[物理]]))+1)</f>
        <v>552</v>
      </c>
      <c r="T1976" s="29" cm="1">
        <f t="array" ref="T1976">IF(表成绩单[[#This Row],[化学]]="","",SUMPRODUCT((表成绩单[考试日期]=表成绩单[[#This Row],[考试日期]])*(表成绩单[化学]&lt;9E+307)*(表成绩单[化学]&gt;表成绩单[[#This Row],[化学]]))+1)</f>
        <v>358</v>
      </c>
      <c r="U1976" s="29" cm="1">
        <f t="array" ref="U1976">IF(表成绩单[[#This Row],[政治]]="","",SUMPRODUCT((表成绩单[考试日期]=表成绩单[[#This Row],[考试日期]])*(表成绩单[政治]&lt;9E+307)*(表成绩单[政治]&gt;表成绩单[[#This Row],[政治]]))+1)</f>
        <v>248</v>
      </c>
      <c r="V1976" s="29" cm="1">
        <f t="array" ref="V1976">IF(表成绩单[[#This Row],[历史]]="","",SUMPRODUCT((表成绩单[考试日期]=表成绩单[[#This Row],[考试日期]])*(表成绩单[历史]&lt;9E+307)*(表成绩单[历史]&gt;表成绩单[[#This Row],[历史]]))+1)</f>
        <v>240</v>
      </c>
      <c r="W1976" s="29" cm="1">
        <f t="array" ref="W1976">IF(表成绩单[[#This Row],[总分]]="","",SUMPRODUCT((表成绩单[考试日期]=表成绩单[[#This Row],[考试日期]])*(表成绩单[总分]&lt;9E+307)*(表成绩单[总分]&gt;表成绩单[[#This Row],[总分]]))+1)</f>
        <v>368</v>
      </c>
    </row>
    <row r="1977" ht="28" customHeight="1" spans="4:23">
      <c r="D1977" s="31">
        <v>46030</v>
      </c>
      <c r="E1977" s="29">
        <v>19178604</v>
      </c>
      <c r="F1977" s="29" t="s">
        <v>64</v>
      </c>
      <c r="G1977" s="29" t="s">
        <v>372</v>
      </c>
      <c r="H1977" s="29">
        <v>96</v>
      </c>
      <c r="I1977" s="29">
        <v>79</v>
      </c>
      <c r="J1977" s="29">
        <v>60</v>
      </c>
      <c r="K1977" s="29">
        <v>63</v>
      </c>
      <c r="L1977" s="29">
        <v>70</v>
      </c>
      <c r="M1977" s="29">
        <v>72</v>
      </c>
      <c r="N1977" s="29">
        <v>80</v>
      </c>
      <c r="O1977" s="32">
        <v>520</v>
      </c>
      <c r="P1977" s="29" cm="1">
        <f t="array" ref="P1977">IF(表成绩单[[#This Row],[语文]]="","",SUMPRODUCT((表成绩单[考试日期]=表成绩单[[#This Row],[考试日期]])*(表成绩单[语文]&lt;9E+307)*(表成绩单[语文]&gt;表成绩单[[#This Row],[语文]]))+1)</f>
        <v>315</v>
      </c>
      <c r="Q1977" s="29" cm="1">
        <f t="array" ref="Q1977">IF(表成绩单[[#This Row],[数学]]="","",SUMPRODUCT((表成绩单[考试日期]=表成绩单[[#This Row],[考试日期]])*(表成绩单[数学]&lt;9E+307)*(表成绩单[数学]&gt;表成绩单[[#This Row],[数学]]))+1)</f>
        <v>427</v>
      </c>
      <c r="R1977" s="29" cm="1">
        <f t="array" ref="R1977">IF(表成绩单[[#This Row],[英语]]="","",SUMPRODUCT((表成绩单[考试日期]=表成绩单[[#This Row],[考试日期]])*(表成绩单[英语]&lt;9E+307)*(表成绩单[英语]&gt;表成绩单[[#This Row],[英语]]))+1)</f>
        <v>524</v>
      </c>
      <c r="S1977" s="29" cm="1">
        <f t="array" ref="S1977">IF(表成绩单[[#This Row],[物理]]="","",SUMPRODUCT((表成绩单[考试日期]=表成绩单[[#This Row],[考试日期]])*(表成绩单[物理]&lt;9E+307)*(表成绩单[物理]&gt;表成绩单[[#This Row],[物理]]))+1)</f>
        <v>459</v>
      </c>
      <c r="T1977" s="29" cm="1">
        <f t="array" ref="T1977">IF(表成绩单[[#This Row],[化学]]="","",SUMPRODUCT((表成绩单[考试日期]=表成绩单[[#This Row],[考试日期]])*(表成绩单[化学]&lt;9E+307)*(表成绩单[化学]&gt;表成绩单[[#This Row],[化学]]))+1)</f>
        <v>318</v>
      </c>
      <c r="U1977" s="29" cm="1">
        <f t="array" ref="U1977">IF(表成绩单[[#This Row],[政治]]="","",SUMPRODUCT((表成绩单[考试日期]=表成绩单[[#This Row],[考试日期]])*(表成绩单[政治]&lt;9E+307)*(表成绩单[政治]&gt;表成绩单[[#This Row],[政治]]))+1)</f>
        <v>224</v>
      </c>
      <c r="V1977" s="29" cm="1">
        <f t="array" ref="V1977">IF(表成绩单[[#This Row],[历史]]="","",SUMPRODUCT((表成绩单[考试日期]=表成绩单[[#This Row],[考试日期]])*(表成绩单[历史]&lt;9E+307)*(表成绩单[历史]&gt;表成绩单[[#This Row],[历史]]))+1)</f>
        <v>83</v>
      </c>
      <c r="W1977" s="29" cm="1">
        <f t="array" ref="W1977">IF(表成绩单[[#This Row],[总分]]="","",SUMPRODUCT((表成绩单[考试日期]=表成绩单[[#This Row],[考试日期]])*(表成绩单[总分]&lt;9E+307)*(表成绩单[总分]&gt;表成绩单[[#This Row],[总分]]))+1)</f>
        <v>368</v>
      </c>
    </row>
    <row r="1978" ht="28" customHeight="1" spans="4:23">
      <c r="D1978" s="31">
        <v>46030</v>
      </c>
      <c r="E1978" s="29">
        <v>19171076</v>
      </c>
      <c r="F1978" s="29" t="s">
        <v>67</v>
      </c>
      <c r="G1978" s="29" t="s">
        <v>633</v>
      </c>
      <c r="H1978" s="29">
        <v>93</v>
      </c>
      <c r="I1978" s="29">
        <v>92</v>
      </c>
      <c r="J1978" s="29">
        <v>75.5</v>
      </c>
      <c r="K1978" s="29">
        <v>56</v>
      </c>
      <c r="L1978" s="29">
        <v>71</v>
      </c>
      <c r="M1978" s="29">
        <v>59</v>
      </c>
      <c r="N1978" s="29">
        <v>73</v>
      </c>
      <c r="O1978" s="32">
        <v>519.5</v>
      </c>
      <c r="P1978" s="29" cm="1">
        <f t="array" ref="P1978">IF(表成绩单[[#This Row],[语文]]="","",SUMPRODUCT((表成绩单[考试日期]=表成绩单[[#This Row],[考试日期]])*(表成绩单[语文]&lt;9E+307)*(表成绩单[语文]&gt;表成绩单[[#This Row],[语文]]))+1)</f>
        <v>412</v>
      </c>
      <c r="Q1978" s="29" cm="1">
        <f t="array" ref="Q1978">IF(表成绩单[[#This Row],[数学]]="","",SUMPRODUCT((表成绩单[考试日期]=表成绩单[[#This Row],[考试日期]])*(表成绩单[数学]&lt;9E+307)*(表成绩单[数学]&gt;表成绩单[[#This Row],[数学]]))+1)</f>
        <v>199</v>
      </c>
      <c r="R1978" s="29" cm="1">
        <f t="array" ref="R1978">IF(表成绩单[[#This Row],[英语]]="","",SUMPRODUCT((表成绩单[考试日期]=表成绩单[[#This Row],[考试日期]])*(表成绩单[英语]&lt;9E+307)*(表成绩单[英语]&gt;表成绩单[[#This Row],[英语]]))+1)</f>
        <v>145</v>
      </c>
      <c r="S1978" s="29" cm="1">
        <f t="array" ref="S1978">IF(表成绩单[[#This Row],[物理]]="","",SUMPRODUCT((表成绩单[考试日期]=表成绩单[[#This Row],[考试日期]])*(表成绩单[物理]&lt;9E+307)*(表成绩单[物理]&gt;表成绩单[[#This Row],[物理]]))+1)</f>
        <v>552</v>
      </c>
      <c r="T1978" s="29" cm="1">
        <f t="array" ref="T1978">IF(表成绩单[[#This Row],[化学]]="","",SUMPRODUCT((表成绩单[考试日期]=表成绩单[[#This Row],[考试日期]])*(表成绩单[化学]&lt;9E+307)*(表成绩单[化学]&gt;表成绩单[[#This Row],[化学]]))+1)</f>
        <v>297</v>
      </c>
      <c r="U1978" s="29" cm="1">
        <f t="array" ref="U1978">IF(表成绩单[[#This Row],[政治]]="","",SUMPRODUCT((表成绩单[考试日期]=表成绩单[[#This Row],[考试日期]])*(表成绩单[政治]&lt;9E+307)*(表成绩单[政治]&gt;表成绩单[[#This Row],[政治]]))+1)</f>
        <v>557</v>
      </c>
      <c r="V1978" s="29" cm="1">
        <f t="array" ref="V1978">IF(表成绩单[[#This Row],[历史]]="","",SUMPRODUCT((表成绩单[考试日期]=表成绩单[[#This Row],[考试日期]])*(表成绩单[历史]&lt;9E+307)*(表成绩单[历史]&gt;表成绩单[[#This Row],[历史]]))+1)</f>
        <v>240</v>
      </c>
      <c r="W1978" s="29" cm="1">
        <f t="array" ref="W1978">IF(表成绩单[[#This Row],[总分]]="","",SUMPRODUCT((表成绩单[考试日期]=表成绩单[[#This Row],[考试日期]])*(表成绩单[总分]&lt;9E+307)*(表成绩单[总分]&gt;表成绩单[[#This Row],[总分]]))+1)</f>
        <v>372</v>
      </c>
    </row>
    <row r="1979" ht="28" customHeight="1" spans="4:23">
      <c r="D1979" s="31">
        <v>46030</v>
      </c>
      <c r="E1979" s="29">
        <v>19173802</v>
      </c>
      <c r="F1979" s="29" t="s">
        <v>65</v>
      </c>
      <c r="G1979" s="29" t="s">
        <v>363</v>
      </c>
      <c r="H1979" s="29">
        <v>98</v>
      </c>
      <c r="I1979" s="29">
        <v>83</v>
      </c>
      <c r="J1979" s="29">
        <v>66.5</v>
      </c>
      <c r="K1979" s="29">
        <v>79</v>
      </c>
      <c r="L1979" s="29">
        <v>75</v>
      </c>
      <c r="M1979" s="29">
        <v>66</v>
      </c>
      <c r="N1979" s="29">
        <v>52</v>
      </c>
      <c r="O1979" s="32">
        <v>519.5</v>
      </c>
      <c r="P1979" s="29" cm="1">
        <f t="array" ref="P1979">IF(表成绩单[[#This Row],[语文]]="","",SUMPRODUCT((表成绩单[考试日期]=表成绩单[[#This Row],[考试日期]])*(表成绩单[语文]&lt;9E+307)*(表成绩单[语文]&gt;表成绩单[[#This Row],[语文]]))+1)</f>
        <v>248</v>
      </c>
      <c r="Q1979" s="29" cm="1">
        <f t="array" ref="Q1979">IF(表成绩单[[#This Row],[数学]]="","",SUMPRODUCT((表成绩单[考试日期]=表成绩单[[#This Row],[考试日期]])*(表成绩单[数学]&lt;9E+307)*(表成绩单[数学]&gt;表成绩单[[#This Row],[数学]]))+1)</f>
        <v>360</v>
      </c>
      <c r="R1979" s="29" cm="1">
        <f t="array" ref="R1979">IF(表成绩单[[#This Row],[英语]]="","",SUMPRODUCT((表成绩单[考试日期]=表成绩单[[#This Row],[考试日期]])*(表成绩单[英语]&lt;9E+307)*(表成绩单[英语]&gt;表成绩单[[#This Row],[英语]]))+1)</f>
        <v>402</v>
      </c>
      <c r="S1979" s="29" cm="1">
        <f t="array" ref="S1979">IF(表成绩单[[#This Row],[物理]]="","",SUMPRODUCT((表成绩单[考试日期]=表成绩单[[#This Row],[考试日期]])*(表成绩单[物理]&lt;9E+307)*(表成绩单[物理]&gt;表成绩单[[#This Row],[物理]]))+1)</f>
        <v>153</v>
      </c>
      <c r="T1979" s="29" cm="1">
        <f t="array" ref="T1979">IF(表成绩单[[#This Row],[化学]]="","",SUMPRODUCT((表成绩单[考试日期]=表成绩单[[#This Row],[考试日期]])*(表成绩单[化学]&lt;9E+307)*(表成绩单[化学]&gt;表成绩单[[#This Row],[化学]]))+1)</f>
        <v>169</v>
      </c>
      <c r="U1979" s="29" cm="1">
        <f t="array" ref="U1979">IF(表成绩单[[#This Row],[政治]]="","",SUMPRODUCT((表成绩单[考试日期]=表成绩单[[#This Row],[考试日期]])*(表成绩单[政治]&lt;9E+307)*(表成绩单[政治]&gt;表成绩单[[#This Row],[政治]]))+1)</f>
        <v>397</v>
      </c>
      <c r="V1979" s="29" cm="1">
        <f t="array" ref="V1979">IF(表成绩单[[#This Row],[历史]]="","",SUMPRODUCT((表成绩单[考试日期]=表成绩单[[#This Row],[考试日期]])*(表成绩单[历史]&lt;9E+307)*(表成绩单[历史]&gt;表成绩单[[#This Row],[历史]]))+1)</f>
        <v>701</v>
      </c>
      <c r="W1979" s="29" cm="1">
        <f t="array" ref="W1979">IF(表成绩单[[#This Row],[总分]]="","",SUMPRODUCT((表成绩单[考试日期]=表成绩单[[#This Row],[考试日期]])*(表成绩单[总分]&lt;9E+307)*(表成绩单[总分]&gt;表成绩单[[#This Row],[总分]]))+1)</f>
        <v>372</v>
      </c>
    </row>
    <row r="1980" ht="28" customHeight="1" spans="4:23">
      <c r="D1980" s="31">
        <v>46030</v>
      </c>
      <c r="E1980" s="29">
        <v>19175604</v>
      </c>
      <c r="F1980" s="29" t="s">
        <v>57</v>
      </c>
      <c r="G1980" s="29" t="s">
        <v>290</v>
      </c>
      <c r="H1980" s="29">
        <v>91</v>
      </c>
      <c r="I1980" s="29">
        <v>81</v>
      </c>
      <c r="J1980" s="29">
        <v>64</v>
      </c>
      <c r="K1980" s="29">
        <v>70</v>
      </c>
      <c r="L1980" s="29">
        <v>71</v>
      </c>
      <c r="M1980" s="29">
        <v>70</v>
      </c>
      <c r="N1980" s="29">
        <v>72</v>
      </c>
      <c r="O1980" s="32">
        <v>519</v>
      </c>
      <c r="P1980" s="29" cm="1">
        <f t="array" ref="P1980">IF(表成绩单[[#This Row],[语文]]="","",SUMPRODUCT((表成绩单[考试日期]=表成绩单[[#This Row],[考试日期]])*(表成绩单[语文]&lt;9E+307)*(表成绩单[语文]&gt;表成绩单[[#This Row],[语文]]))+1)</f>
        <v>478</v>
      </c>
      <c r="Q1980" s="29" cm="1">
        <f t="array" ref="Q1980">IF(表成绩单[[#This Row],[数学]]="","",SUMPRODUCT((表成绩单[考试日期]=表成绩单[[#This Row],[考试日期]])*(表成绩单[数学]&lt;9E+307)*(表成绩单[数学]&gt;表成绩单[[#This Row],[数学]]))+1)</f>
        <v>396</v>
      </c>
      <c r="R1980" s="29" cm="1">
        <f t="array" ref="R1980">IF(表成绩单[[#This Row],[英语]]="","",SUMPRODUCT((表成绩单[考试日期]=表成绩单[[#This Row],[考试日期]])*(表成绩单[英语]&lt;9E+307)*(表成绩单[英语]&gt;表成绩单[[#This Row],[英语]]))+1)</f>
        <v>456</v>
      </c>
      <c r="S1980" s="29" cm="1">
        <f t="array" ref="S1980">IF(表成绩单[[#This Row],[物理]]="","",SUMPRODUCT((表成绩单[考试日期]=表成绩单[[#This Row],[考试日期]])*(表成绩单[物理]&lt;9E+307)*(表成绩单[物理]&gt;表成绩单[[#This Row],[物理]]))+1)</f>
        <v>338</v>
      </c>
      <c r="T1980" s="29" cm="1">
        <f t="array" ref="T1980">IF(表成绩单[[#This Row],[化学]]="","",SUMPRODUCT((表成绩单[考试日期]=表成绩单[[#This Row],[考试日期]])*(表成绩单[化学]&lt;9E+307)*(表成绩单[化学]&gt;表成绩单[[#This Row],[化学]]))+1)</f>
        <v>297</v>
      </c>
      <c r="U1980" s="29" cm="1">
        <f t="array" ref="U1980">IF(表成绩单[[#This Row],[政治]]="","",SUMPRODUCT((表成绩单[考试日期]=表成绩单[[#This Row],[考试日期]])*(表成绩单[政治]&lt;9E+307)*(表成绩单[政治]&gt;表成绩单[[#This Row],[政治]]))+1)</f>
        <v>274</v>
      </c>
      <c r="V1980" s="29" cm="1">
        <f t="array" ref="V1980">IF(表成绩单[[#This Row],[历史]]="","",SUMPRODUCT((表成绩单[考试日期]=表成绩单[[#This Row],[考试日期]])*(表成绩单[历史]&lt;9E+307)*(表成绩单[历史]&gt;表成绩单[[#This Row],[历史]]))+1)</f>
        <v>266</v>
      </c>
      <c r="W1980" s="29" cm="1">
        <f t="array" ref="W1980">IF(表成绩单[[#This Row],[总分]]="","",SUMPRODUCT((表成绩单[考试日期]=表成绩单[[#This Row],[考试日期]])*(表成绩单[总分]&lt;9E+307)*(表成绩单[总分]&gt;表成绩单[[#This Row],[总分]]))+1)</f>
        <v>374</v>
      </c>
    </row>
    <row r="1981" ht="28" customHeight="1" spans="4:23">
      <c r="D1981" s="31">
        <v>46030</v>
      </c>
      <c r="E1981" s="29">
        <v>19173255</v>
      </c>
      <c r="F1981" s="29" t="s">
        <v>61</v>
      </c>
      <c r="G1981" s="29" t="s">
        <v>531</v>
      </c>
      <c r="H1981" s="29">
        <v>102</v>
      </c>
      <c r="I1981" s="29">
        <v>81</v>
      </c>
      <c r="J1981" s="29">
        <v>64.5</v>
      </c>
      <c r="K1981" s="29">
        <v>65</v>
      </c>
      <c r="L1981" s="29">
        <v>64</v>
      </c>
      <c r="M1981" s="29">
        <v>73</v>
      </c>
      <c r="N1981" s="29">
        <v>69</v>
      </c>
      <c r="O1981" s="32">
        <v>518.5</v>
      </c>
      <c r="P1981" s="29" cm="1">
        <f t="array" ref="P1981">IF(表成绩单[[#This Row],[语文]]="","",SUMPRODUCT((表成绩单[考试日期]=表成绩单[[#This Row],[考试日期]])*(表成绩单[语文]&lt;9E+307)*(表成绩单[语文]&gt;表成绩单[[#This Row],[语文]]))+1)</f>
        <v>132</v>
      </c>
      <c r="Q1981" s="29" cm="1">
        <f t="array" ref="Q1981">IF(表成绩单[[#This Row],[数学]]="","",SUMPRODUCT((表成绩单[考试日期]=表成绩单[[#This Row],[考试日期]])*(表成绩单[数学]&lt;9E+307)*(表成绩单[数学]&gt;表成绩单[[#This Row],[数学]]))+1)</f>
        <v>396</v>
      </c>
      <c r="R1981" s="29" cm="1">
        <f t="array" ref="R1981">IF(表成绩单[[#This Row],[英语]]="","",SUMPRODUCT((表成绩单[考试日期]=表成绩单[[#This Row],[考试日期]])*(表成绩单[英语]&lt;9E+307)*(表成绩单[英语]&gt;表成绩单[[#This Row],[英语]]))+1)</f>
        <v>447</v>
      </c>
      <c r="S1981" s="29" cm="1">
        <f t="array" ref="S1981">IF(表成绩单[[#This Row],[物理]]="","",SUMPRODUCT((表成绩单[考试日期]=表成绩单[[#This Row],[考试日期]])*(表成绩单[物理]&lt;9E+307)*(表成绩单[物理]&gt;表成绩单[[#This Row],[物理]]))+1)</f>
        <v>427</v>
      </c>
      <c r="T1981" s="29" cm="1">
        <f t="array" ref="T1981">IF(表成绩单[[#This Row],[化学]]="","",SUMPRODUCT((表成绩单[考试日期]=表成绩单[[#This Row],[考试日期]])*(表成绩单[化学]&lt;9E+307)*(表成绩单[化学]&gt;表成绩单[[#This Row],[化学]]))+1)</f>
        <v>451</v>
      </c>
      <c r="U1981" s="29" cm="1">
        <f t="array" ref="U1981">IF(表成绩单[[#This Row],[政治]]="","",SUMPRODUCT((表成绩单[考试日期]=表成绩单[[#This Row],[考试日期]])*(表成绩单[政治]&lt;9E+307)*(表成绩单[政治]&gt;表成绩单[[#This Row],[政治]]))+1)</f>
        <v>197</v>
      </c>
      <c r="V1981" s="29" cm="1">
        <f t="array" ref="V1981">IF(表成绩单[[#This Row],[历史]]="","",SUMPRODUCT((表成绩单[考试日期]=表成绩单[[#This Row],[考试日期]])*(表成绩单[历史]&lt;9E+307)*(表成绩单[历史]&gt;表成绩单[[#This Row],[历史]]))+1)</f>
        <v>366</v>
      </c>
      <c r="W1981" s="29" cm="1">
        <f t="array" ref="W1981">IF(表成绩单[[#This Row],[总分]]="","",SUMPRODUCT((表成绩单[考试日期]=表成绩单[[#This Row],[考试日期]])*(表成绩单[总分]&lt;9E+307)*(表成绩单[总分]&gt;表成绩单[[#This Row],[总分]]))+1)</f>
        <v>375</v>
      </c>
    </row>
    <row r="1982" ht="28" customHeight="1" spans="4:23">
      <c r="D1982" s="31">
        <v>46030</v>
      </c>
      <c r="E1982" s="29">
        <v>19175991</v>
      </c>
      <c r="F1982" s="29" t="s">
        <v>59</v>
      </c>
      <c r="G1982" s="29" t="s">
        <v>223</v>
      </c>
      <c r="H1982" s="29">
        <v>92</v>
      </c>
      <c r="I1982" s="29">
        <v>88</v>
      </c>
      <c r="J1982" s="29">
        <v>62.5</v>
      </c>
      <c r="K1982" s="29">
        <v>65</v>
      </c>
      <c r="L1982" s="29">
        <v>71</v>
      </c>
      <c r="M1982" s="29">
        <v>68</v>
      </c>
      <c r="N1982" s="29">
        <v>72</v>
      </c>
      <c r="O1982" s="32">
        <v>518.5</v>
      </c>
      <c r="P1982" s="29" cm="1">
        <f t="array" ref="P1982">IF(表成绩单[[#This Row],[语文]]="","",SUMPRODUCT((表成绩单[考试日期]=表成绩单[[#This Row],[考试日期]])*(表成绩单[语文]&lt;9E+307)*(表成绩单[语文]&gt;表成绩单[[#This Row],[语文]]))+1)</f>
        <v>444</v>
      </c>
      <c r="Q1982" s="29" cm="1">
        <f t="array" ref="Q1982">IF(表成绩单[[#This Row],[数学]]="","",SUMPRODUCT((表成绩单[考试日期]=表成绩单[[#This Row],[考试日期]])*(表成绩单[数学]&lt;9E+307)*(表成绩单[数学]&gt;表成绩单[[#This Row],[数学]]))+1)</f>
        <v>245</v>
      </c>
      <c r="R1982" s="29" cm="1">
        <f t="array" ref="R1982">IF(表成绩单[[#This Row],[英语]]="","",SUMPRODUCT((表成绩单[考试日期]=表成绩单[[#This Row],[考试日期]])*(表成绩单[英语]&lt;9E+307)*(表成绩单[英语]&gt;表成绩单[[#This Row],[英语]]))+1)</f>
        <v>477</v>
      </c>
      <c r="S1982" s="29" cm="1">
        <f t="array" ref="S1982">IF(表成绩单[[#This Row],[物理]]="","",SUMPRODUCT((表成绩单[考试日期]=表成绩单[[#This Row],[考试日期]])*(表成绩单[物理]&lt;9E+307)*(表成绩单[物理]&gt;表成绩单[[#This Row],[物理]]))+1)</f>
        <v>427</v>
      </c>
      <c r="T1982" s="29" cm="1">
        <f t="array" ref="T1982">IF(表成绩单[[#This Row],[化学]]="","",SUMPRODUCT((表成绩单[考试日期]=表成绩单[[#This Row],[考试日期]])*(表成绩单[化学]&lt;9E+307)*(表成绩单[化学]&gt;表成绩单[[#This Row],[化学]]))+1)</f>
        <v>297</v>
      </c>
      <c r="U1982" s="29" cm="1">
        <f t="array" ref="U1982">IF(表成绩单[[#This Row],[政治]]="","",SUMPRODUCT((表成绩单[考试日期]=表成绩单[[#This Row],[考试日期]])*(表成绩单[政治]&lt;9E+307)*(表成绩单[政治]&gt;表成绩单[[#This Row],[政治]]))+1)</f>
        <v>336</v>
      </c>
      <c r="V1982" s="29" cm="1">
        <f t="array" ref="V1982">IF(表成绩单[[#This Row],[历史]]="","",SUMPRODUCT((表成绩单[考试日期]=表成绩单[[#This Row],[考试日期]])*(表成绩单[历史]&lt;9E+307)*(表成绩单[历史]&gt;表成绩单[[#This Row],[历史]]))+1)</f>
        <v>266</v>
      </c>
      <c r="W1982" s="29" cm="1">
        <f t="array" ref="W1982">IF(表成绩单[[#This Row],[总分]]="","",SUMPRODUCT((表成绩单[考试日期]=表成绩单[[#This Row],[考试日期]])*(表成绩单[总分]&lt;9E+307)*(表成绩单[总分]&gt;表成绩单[[#This Row],[总分]]))+1)</f>
        <v>375</v>
      </c>
    </row>
    <row r="1983" ht="28" customHeight="1" spans="4:23">
      <c r="D1983" s="31">
        <v>46030</v>
      </c>
      <c r="E1983" s="29">
        <v>19177670</v>
      </c>
      <c r="F1983" s="29" t="s">
        <v>63</v>
      </c>
      <c r="G1983" s="29" t="s">
        <v>355</v>
      </c>
      <c r="H1983" s="29">
        <v>92</v>
      </c>
      <c r="I1983" s="29">
        <v>76</v>
      </c>
      <c r="J1983" s="29">
        <v>71.5</v>
      </c>
      <c r="K1983" s="29">
        <v>69</v>
      </c>
      <c r="L1983" s="29">
        <v>64</v>
      </c>
      <c r="M1983" s="29">
        <v>70</v>
      </c>
      <c r="N1983" s="29">
        <v>76</v>
      </c>
      <c r="O1983" s="32">
        <v>518.5</v>
      </c>
      <c r="P1983" s="29" cm="1">
        <f t="array" ref="P1983">IF(表成绩单[[#This Row],[语文]]="","",SUMPRODUCT((表成绩单[考试日期]=表成绩单[[#This Row],[考试日期]])*(表成绩单[语文]&lt;9E+307)*(表成绩单[语文]&gt;表成绩单[[#This Row],[语文]]))+1)</f>
        <v>444</v>
      </c>
      <c r="Q1983" s="29" cm="1">
        <f t="array" ref="Q1983">IF(表成绩单[[#This Row],[数学]]="","",SUMPRODUCT((表成绩单[考试日期]=表成绩单[[#This Row],[考试日期]])*(表成绩单[数学]&lt;9E+307)*(表成绩单[数学]&gt;表成绩单[[#This Row],[数学]]))+1)</f>
        <v>507</v>
      </c>
      <c r="R1983" s="29" cm="1">
        <f t="array" ref="R1983">IF(表成绩单[[#This Row],[英语]]="","",SUMPRODUCT((表成绩单[考试日期]=表成绩单[[#This Row],[考试日期]])*(表成绩单[英语]&lt;9E+307)*(表成绩单[英语]&gt;表成绩单[[#This Row],[英语]]))+1)</f>
        <v>271</v>
      </c>
      <c r="S1983" s="29" cm="1">
        <f t="array" ref="S1983">IF(表成绩单[[#This Row],[物理]]="","",SUMPRODUCT((表成绩单[考试日期]=表成绩单[[#This Row],[考试日期]])*(表成绩单[物理]&lt;9E+307)*(表成绩单[物理]&gt;表成绩单[[#This Row],[物理]]))+1)</f>
        <v>356</v>
      </c>
      <c r="T1983" s="29" cm="1">
        <f t="array" ref="T1983">IF(表成绩单[[#This Row],[化学]]="","",SUMPRODUCT((表成绩单[考试日期]=表成绩单[[#This Row],[考试日期]])*(表成绩单[化学]&lt;9E+307)*(表成绩单[化学]&gt;表成绩单[[#This Row],[化学]]))+1)</f>
        <v>451</v>
      </c>
      <c r="U1983" s="29" cm="1">
        <f t="array" ref="U1983">IF(表成绩单[[#This Row],[政治]]="","",SUMPRODUCT((表成绩单[考试日期]=表成绩单[[#This Row],[考试日期]])*(表成绩单[政治]&lt;9E+307)*(表成绩单[政治]&gt;表成绩单[[#This Row],[政治]]))+1)</f>
        <v>274</v>
      </c>
      <c r="V1983" s="29" cm="1">
        <f t="array" ref="V1983">IF(表成绩单[[#This Row],[历史]]="","",SUMPRODUCT((表成绩单[考试日期]=表成绩单[[#This Row],[考试日期]])*(表成绩单[历史]&lt;9E+307)*(表成绩单[历史]&gt;表成绩单[[#This Row],[历史]]))+1)</f>
        <v>169</v>
      </c>
      <c r="W1983" s="29" cm="1">
        <f t="array" ref="W1983">IF(表成绩单[[#This Row],[总分]]="","",SUMPRODUCT((表成绩单[考试日期]=表成绩单[[#This Row],[考试日期]])*(表成绩单[总分]&lt;9E+307)*(表成绩单[总分]&gt;表成绩单[[#This Row],[总分]]))+1)</f>
        <v>375</v>
      </c>
    </row>
    <row r="1984" ht="28" customHeight="1" spans="4:23">
      <c r="D1984" s="31">
        <v>46030</v>
      </c>
      <c r="E1984" s="29">
        <v>19173775</v>
      </c>
      <c r="F1984" s="29" t="s">
        <v>65</v>
      </c>
      <c r="G1984" s="29" t="s">
        <v>331</v>
      </c>
      <c r="H1984" s="29">
        <v>96</v>
      </c>
      <c r="I1984" s="29">
        <v>71</v>
      </c>
      <c r="J1984" s="29">
        <v>65</v>
      </c>
      <c r="K1984" s="29">
        <v>67</v>
      </c>
      <c r="L1984" s="29">
        <v>75</v>
      </c>
      <c r="M1984" s="29">
        <v>74</v>
      </c>
      <c r="N1984" s="29">
        <v>70</v>
      </c>
      <c r="O1984" s="32">
        <v>518</v>
      </c>
      <c r="P1984" s="29" cm="1">
        <f t="array" ref="P1984">IF(表成绩单[[#This Row],[语文]]="","",SUMPRODUCT((表成绩单[考试日期]=表成绩单[[#This Row],[考试日期]])*(表成绩单[语文]&lt;9E+307)*(表成绩单[语文]&gt;表成绩单[[#This Row],[语文]]))+1)</f>
        <v>315</v>
      </c>
      <c r="Q1984" s="29" cm="1">
        <f t="array" ref="Q1984">IF(表成绩单[[#This Row],[数学]]="","",SUMPRODUCT((表成绩单[考试日期]=表成绩单[[#This Row],[考试日期]])*(表成绩单[数学]&lt;9E+307)*(表成绩单[数学]&gt;表成绩单[[#This Row],[数学]]))+1)</f>
        <v>578</v>
      </c>
      <c r="R1984" s="29" cm="1">
        <f t="array" ref="R1984">IF(表成绩单[[#This Row],[英语]]="","",SUMPRODUCT((表成绩单[考试日期]=表成绩单[[#This Row],[考试日期]])*(表成绩单[英语]&lt;9E+307)*(表成绩单[英语]&gt;表成绩单[[#This Row],[英语]]))+1)</f>
        <v>438</v>
      </c>
      <c r="S1984" s="29" cm="1">
        <f t="array" ref="S1984">IF(表成绩单[[#This Row],[物理]]="","",SUMPRODUCT((表成绩单[考试日期]=表成绩单[[#This Row],[考试日期]])*(表成绩单[物理]&lt;9E+307)*(表成绩单[物理]&gt;表成绩单[[#This Row],[物理]]))+1)</f>
        <v>394</v>
      </c>
      <c r="T1984" s="29" cm="1">
        <f t="array" ref="T1984">IF(表成绩单[[#This Row],[化学]]="","",SUMPRODUCT((表成绩单[考试日期]=表成绩单[[#This Row],[考试日期]])*(表成绩单[化学]&lt;9E+307)*(表成绩单[化学]&gt;表成绩单[[#This Row],[化学]]))+1)</f>
        <v>169</v>
      </c>
      <c r="U1984" s="29" cm="1">
        <f t="array" ref="U1984">IF(表成绩单[[#This Row],[政治]]="","",SUMPRODUCT((表成绩单[考试日期]=表成绩单[[#This Row],[考试日期]])*(表成绩单[政治]&lt;9E+307)*(表成绩单[政治]&gt;表成绩单[[#This Row],[政治]]))+1)</f>
        <v>168</v>
      </c>
      <c r="V1984" s="29" cm="1">
        <f t="array" ref="V1984">IF(表成绩单[[#This Row],[历史]]="","",SUMPRODUCT((表成绩单[考试日期]=表成绩单[[#This Row],[考试日期]])*(表成绩单[历史]&lt;9E+307)*(表成绩单[历史]&gt;表成绩单[[#This Row],[历史]]))+1)</f>
        <v>328</v>
      </c>
      <c r="W1984" s="29" cm="1">
        <f t="array" ref="W1984">IF(表成绩单[[#This Row],[总分]]="","",SUMPRODUCT((表成绩单[考试日期]=表成绩单[[#This Row],[考试日期]])*(表成绩单[总分]&lt;9E+307)*(表成绩单[总分]&gt;表成绩单[[#This Row],[总分]]))+1)</f>
        <v>378</v>
      </c>
    </row>
    <row r="1985" ht="28" customHeight="1" spans="4:23">
      <c r="D1985" s="31">
        <v>46030</v>
      </c>
      <c r="E1985" s="29">
        <v>19174474</v>
      </c>
      <c r="F1985" s="29" t="s">
        <v>73</v>
      </c>
      <c r="G1985" s="29" t="s">
        <v>556</v>
      </c>
      <c r="H1985" s="29">
        <v>91</v>
      </c>
      <c r="I1985" s="29">
        <v>91</v>
      </c>
      <c r="J1985" s="29">
        <v>55.5</v>
      </c>
      <c r="K1985" s="29">
        <v>76</v>
      </c>
      <c r="L1985" s="29">
        <v>79</v>
      </c>
      <c r="M1985" s="29">
        <v>58</v>
      </c>
      <c r="N1985" s="29">
        <v>67</v>
      </c>
      <c r="O1985" s="32">
        <v>517.5</v>
      </c>
      <c r="P1985" s="29" cm="1">
        <f t="array" ref="P1985">IF(表成绩单[[#This Row],[语文]]="","",SUMPRODUCT((表成绩单[考试日期]=表成绩单[[#This Row],[考试日期]])*(表成绩单[语文]&lt;9E+307)*(表成绩单[语文]&gt;表成绩单[[#This Row],[语文]]))+1)</f>
        <v>478</v>
      </c>
      <c r="Q1985" s="29" cm="1">
        <f t="array" ref="Q1985">IF(表成绩单[[#This Row],[数学]]="","",SUMPRODUCT((表成绩单[考试日期]=表成绩单[[#This Row],[考试日期]])*(表成绩单[数学]&lt;9E+307)*(表成绩单[数学]&gt;表成绩单[[#This Row],[数学]]))+1)</f>
        <v>204</v>
      </c>
      <c r="R1985" s="29" cm="1">
        <f t="array" ref="R1985">IF(表成绩单[[#This Row],[英语]]="","",SUMPRODUCT((表成绩单[考试日期]=表成绩单[[#This Row],[考试日期]])*(表成绩单[英语]&lt;9E+307)*(表成绩单[英语]&gt;表成绩单[[#This Row],[英语]]))+1)</f>
        <v>588</v>
      </c>
      <c r="S1985" s="29" cm="1">
        <f t="array" ref="S1985">IF(表成绩单[[#This Row],[物理]]="","",SUMPRODUCT((表成绩单[考试日期]=表成绩单[[#This Row],[考试日期]])*(表成绩单[物理]&lt;9E+307)*(表成绩单[物理]&gt;表成绩单[[#This Row],[物理]]))+1)</f>
        <v>218</v>
      </c>
      <c r="T1985" s="29" cm="1">
        <f t="array" ref="T1985">IF(表成绩单[[#This Row],[化学]]="","",SUMPRODUCT((表成绩单[考试日期]=表成绩单[[#This Row],[考试日期]])*(表成绩单[化学]&lt;9E+307)*(表成绩单[化学]&gt;表成绩单[[#This Row],[化学]]))+1)</f>
        <v>77</v>
      </c>
      <c r="U1985" s="29" cm="1">
        <f t="array" ref="U1985">IF(表成绩单[[#This Row],[政治]]="","",SUMPRODUCT((表成绩单[考试日期]=表成绩单[[#This Row],[考试日期]])*(表成绩单[政治]&lt;9E+307)*(表成绩单[政治]&gt;表成绩单[[#This Row],[政治]]))+1)</f>
        <v>582</v>
      </c>
      <c r="V1985" s="29" cm="1">
        <f t="array" ref="V1985">IF(表成绩单[[#This Row],[历史]]="","",SUMPRODUCT((表成绩单[考试日期]=表成绩单[[#This Row],[考试日期]])*(表成绩单[历史]&lt;9E+307)*(表成绩单[历史]&gt;表成绩单[[#This Row],[历史]]))+1)</f>
        <v>415</v>
      </c>
      <c r="W1985" s="29" cm="1">
        <f t="array" ref="W1985">IF(表成绩单[[#This Row],[总分]]="","",SUMPRODUCT((表成绩单[考试日期]=表成绩单[[#This Row],[考试日期]])*(表成绩单[总分]&lt;9E+307)*(表成绩单[总分]&gt;表成绩单[[#This Row],[总分]]))+1)</f>
        <v>379</v>
      </c>
    </row>
    <row r="1986" ht="28" customHeight="1" spans="4:23">
      <c r="D1986" s="31">
        <v>46030</v>
      </c>
      <c r="E1986" s="29">
        <v>19174779</v>
      </c>
      <c r="F1986" s="29" t="s">
        <v>69</v>
      </c>
      <c r="G1986" s="29" t="s">
        <v>472</v>
      </c>
      <c r="H1986" s="29">
        <v>97</v>
      </c>
      <c r="I1986" s="29">
        <v>83</v>
      </c>
      <c r="J1986" s="29">
        <v>74.5</v>
      </c>
      <c r="K1986" s="29">
        <v>69</v>
      </c>
      <c r="L1986" s="29">
        <v>72</v>
      </c>
      <c r="M1986" s="29">
        <v>63</v>
      </c>
      <c r="N1986" s="29">
        <v>59</v>
      </c>
      <c r="O1986" s="32">
        <v>517.5</v>
      </c>
      <c r="P1986" s="29" cm="1">
        <f t="array" ref="P1986">IF(表成绩单[[#This Row],[语文]]="","",SUMPRODUCT((表成绩单[考试日期]=表成绩单[[#This Row],[考试日期]])*(表成绩单[语文]&lt;9E+307)*(表成绩单[语文]&gt;表成绩单[[#This Row],[语文]]))+1)</f>
        <v>291</v>
      </c>
      <c r="Q1986" s="29" cm="1">
        <f t="array" ref="Q1986">IF(表成绩单[[#This Row],[数学]]="","",SUMPRODUCT((表成绩单[考试日期]=表成绩单[[#This Row],[考试日期]])*(表成绩单[数学]&lt;9E+307)*(表成绩单[数学]&gt;表成绩单[[#This Row],[数学]]))+1)</f>
        <v>360</v>
      </c>
      <c r="R1986" s="29" cm="1">
        <f t="array" ref="R1986">IF(表成绩单[[#This Row],[英语]]="","",SUMPRODUCT((表成绩单[考试日期]=表成绩单[[#This Row],[考试日期]])*(表成绩单[英语]&lt;9E+307)*(表成绩单[英语]&gt;表成绩单[[#This Row],[英语]]))+1)</f>
        <v>181</v>
      </c>
      <c r="S1986" s="29" cm="1">
        <f t="array" ref="S1986">IF(表成绩单[[#This Row],[物理]]="","",SUMPRODUCT((表成绩单[考试日期]=表成绩单[[#This Row],[考试日期]])*(表成绩单[物理]&lt;9E+307)*(表成绩单[物理]&gt;表成绩单[[#This Row],[物理]]))+1)</f>
        <v>356</v>
      </c>
      <c r="T1986" s="29" cm="1">
        <f t="array" ref="T1986">IF(表成绩单[[#This Row],[化学]]="","",SUMPRODUCT((表成绩单[考试日期]=表成绩单[[#This Row],[考试日期]])*(表成绩单[化学]&lt;9E+307)*(表成绩单[化学]&gt;表成绩单[[#This Row],[化学]]))+1)</f>
        <v>271</v>
      </c>
      <c r="U1986" s="29" cm="1">
        <f t="array" ref="U1986">IF(表成绩单[[#This Row],[政治]]="","",SUMPRODUCT((表成绩单[考试日期]=表成绩单[[#This Row],[考试日期]])*(表成绩单[政治]&lt;9E+307)*(表成绩单[政治]&gt;表成绩单[[#This Row],[政治]]))+1)</f>
        <v>486</v>
      </c>
      <c r="V1986" s="29" cm="1">
        <f t="array" ref="V1986">IF(表成绩单[[#This Row],[历史]]="","",SUMPRODUCT((表成绩单[考试日期]=表成绩单[[#This Row],[考试日期]])*(表成绩单[历史]&lt;9E+307)*(表成绩单[历史]&gt;表成绩单[[#This Row],[历史]]))+1)</f>
        <v>601</v>
      </c>
      <c r="W1986" s="29" cm="1">
        <f t="array" ref="W1986">IF(表成绩单[[#This Row],[总分]]="","",SUMPRODUCT((表成绩单[考试日期]=表成绩单[[#This Row],[考试日期]])*(表成绩单[总分]&lt;9E+307)*(表成绩单[总分]&gt;表成绩单[[#This Row],[总分]]))+1)</f>
        <v>379</v>
      </c>
    </row>
    <row r="1987" ht="28" customHeight="1" spans="4:23">
      <c r="D1987" s="31">
        <v>46030</v>
      </c>
      <c r="E1987" s="29">
        <v>19175671</v>
      </c>
      <c r="F1987" s="29" t="s">
        <v>66</v>
      </c>
      <c r="G1987" s="29" t="s">
        <v>381</v>
      </c>
      <c r="H1987" s="29">
        <v>100</v>
      </c>
      <c r="I1987" s="29">
        <v>85</v>
      </c>
      <c r="J1987" s="29">
        <v>62.5</v>
      </c>
      <c r="K1987" s="29">
        <v>74</v>
      </c>
      <c r="L1987" s="29">
        <v>62</v>
      </c>
      <c r="M1987" s="29">
        <v>64</v>
      </c>
      <c r="N1987" s="29">
        <v>70</v>
      </c>
      <c r="O1987" s="32">
        <v>517.5</v>
      </c>
      <c r="P1987" s="29" cm="1">
        <f t="array" ref="P1987">IF(表成绩单[[#This Row],[语文]]="","",SUMPRODUCT((表成绩单[考试日期]=表成绩单[[#This Row],[考试日期]])*(表成绩单[语文]&lt;9E+307)*(表成绩单[语文]&gt;表成绩单[[#This Row],[语文]]))+1)</f>
        <v>182</v>
      </c>
      <c r="Q1987" s="29" cm="1">
        <f t="array" ref="Q1987">IF(表成绩单[[#This Row],[数学]]="","",SUMPRODUCT((表成绩单[考试日期]=表成绩单[[#This Row],[考试日期]])*(表成绩单[数学]&lt;9E+307)*(表成绩单[数学]&gt;表成绩单[[#This Row],[数学]]))+1)</f>
        <v>325</v>
      </c>
      <c r="R1987" s="29" cm="1">
        <f t="array" ref="R1987">IF(表成绩单[[#This Row],[英语]]="","",SUMPRODUCT((表成绩单[考试日期]=表成绩单[[#This Row],[考试日期]])*(表成绩单[英语]&lt;9E+307)*(表成绩单[英语]&gt;表成绩单[[#This Row],[英语]]))+1)</f>
        <v>477</v>
      </c>
      <c r="S1987" s="29" cm="1">
        <f t="array" ref="S1987">IF(表成绩单[[#This Row],[物理]]="","",SUMPRODUCT((表成绩单[考试日期]=表成绩单[[#This Row],[考试日期]])*(表成绩单[物理]&lt;9E+307)*(表成绩单[物理]&gt;表成绩单[[#This Row],[物理]]))+1)</f>
        <v>258</v>
      </c>
      <c r="T1987" s="29" cm="1">
        <f t="array" ref="T1987">IF(表成绩单[[#This Row],[化学]]="","",SUMPRODUCT((表成绩单[考试日期]=表成绩单[[#This Row],[考试日期]])*(表成绩单[化学]&lt;9E+307)*(表成绩单[化学]&gt;表成绩单[[#This Row],[化学]]))+1)</f>
        <v>494</v>
      </c>
      <c r="U1987" s="29" cm="1">
        <f t="array" ref="U1987">IF(表成绩单[[#This Row],[政治]]="","",SUMPRODUCT((表成绩单[考试日期]=表成绩单[[#This Row],[考试日期]])*(表成绩单[政治]&lt;9E+307)*(表成绩单[政治]&gt;表成绩单[[#This Row],[政治]]))+1)</f>
        <v>457</v>
      </c>
      <c r="V1987" s="29" cm="1">
        <f t="array" ref="V1987">IF(表成绩单[[#This Row],[历史]]="","",SUMPRODUCT((表成绩单[考试日期]=表成绩单[[#This Row],[考试日期]])*(表成绩单[历史]&lt;9E+307)*(表成绩单[历史]&gt;表成绩单[[#This Row],[历史]]))+1)</f>
        <v>328</v>
      </c>
      <c r="W1987" s="29" cm="1">
        <f t="array" ref="W1987">IF(表成绩单[[#This Row],[总分]]="","",SUMPRODUCT((表成绩单[考试日期]=表成绩单[[#This Row],[考试日期]])*(表成绩单[总分]&lt;9E+307)*(表成绩单[总分]&gt;表成绩单[[#This Row],[总分]]))+1)</f>
        <v>379</v>
      </c>
    </row>
    <row r="1988" ht="28" customHeight="1" spans="4:23">
      <c r="D1988" s="31">
        <v>46030</v>
      </c>
      <c r="E1988" s="29">
        <v>19171081</v>
      </c>
      <c r="F1988" s="29" t="s">
        <v>67</v>
      </c>
      <c r="G1988" s="29" t="s">
        <v>379</v>
      </c>
      <c r="H1988" s="29">
        <v>103</v>
      </c>
      <c r="I1988" s="29">
        <v>82</v>
      </c>
      <c r="J1988" s="29">
        <v>70</v>
      </c>
      <c r="K1988" s="29">
        <v>64</v>
      </c>
      <c r="L1988" s="29">
        <v>63</v>
      </c>
      <c r="M1988" s="29">
        <v>64</v>
      </c>
      <c r="N1988" s="29">
        <v>71</v>
      </c>
      <c r="O1988" s="32">
        <v>517</v>
      </c>
      <c r="P1988" s="29" cm="1">
        <f t="array" ref="P1988">IF(表成绩单[[#This Row],[语文]]="","",SUMPRODUCT((表成绩单[考试日期]=表成绩单[[#This Row],[考试日期]])*(表成绩单[语文]&lt;9E+307)*(表成绩单[语文]&gt;表成绩单[[#This Row],[语文]]))+1)</f>
        <v>105</v>
      </c>
      <c r="Q1988" s="29" cm="1">
        <f t="array" ref="Q1988">IF(表成绩单[[#This Row],[数学]]="","",SUMPRODUCT((表成绩单[考试日期]=表成绩单[[#This Row],[考试日期]])*(表成绩单[数学]&lt;9E+307)*(表成绩单[数学]&gt;表成绩单[[#This Row],[数学]]))+1)</f>
        <v>383</v>
      </c>
      <c r="R1988" s="29" cm="1">
        <f t="array" ref="R1988">IF(表成绩单[[#This Row],[英语]]="","",SUMPRODUCT((表成绩单[考试日期]=表成绩单[[#This Row],[考试日期]])*(表成绩单[英语]&lt;9E+307)*(表成绩单[英语]&gt;表成绩单[[#This Row],[英语]]))+1)</f>
        <v>319</v>
      </c>
      <c r="S1988" s="29" cm="1">
        <f t="array" ref="S1988">IF(表成绩单[[#This Row],[物理]]="","",SUMPRODUCT((表成绩单[考试日期]=表成绩单[[#This Row],[考试日期]])*(表成绩单[物理]&lt;9E+307)*(表成绩单[物理]&gt;表成绩单[[#This Row],[物理]]))+1)</f>
        <v>441</v>
      </c>
      <c r="T1988" s="29" cm="1">
        <f t="array" ref="T1988">IF(表成绩单[[#This Row],[化学]]="","",SUMPRODUCT((表成绩单[考试日期]=表成绩单[[#This Row],[考试日期]])*(表成绩单[化学]&lt;9E+307)*(表成绩单[化学]&gt;表成绩单[[#This Row],[化学]]))+1)</f>
        <v>472</v>
      </c>
      <c r="U1988" s="29" cm="1">
        <f t="array" ref="U1988">IF(表成绩单[[#This Row],[政治]]="","",SUMPRODUCT((表成绩单[考试日期]=表成绩单[[#This Row],[考试日期]])*(表成绩单[政治]&lt;9E+307)*(表成绩单[政治]&gt;表成绩单[[#This Row],[政治]]))+1)</f>
        <v>457</v>
      </c>
      <c r="V1988" s="29" cm="1">
        <f t="array" ref="V1988">IF(表成绩单[[#This Row],[历史]]="","",SUMPRODUCT((表成绩单[考试日期]=表成绩单[[#This Row],[考试日期]])*(表成绩单[历史]&lt;9E+307)*(表成绩单[历史]&gt;表成绩单[[#This Row],[历史]]))+1)</f>
        <v>297</v>
      </c>
      <c r="W1988" s="29" cm="1">
        <f t="array" ref="W1988">IF(表成绩单[[#This Row],[总分]]="","",SUMPRODUCT((表成绩单[考试日期]=表成绩单[[#This Row],[考试日期]])*(表成绩单[总分]&lt;9E+307)*(表成绩单[总分]&gt;表成绩单[[#This Row],[总分]]))+1)</f>
        <v>382</v>
      </c>
    </row>
    <row r="1989" ht="28" customHeight="1" spans="4:23">
      <c r="D1989" s="31">
        <v>46030</v>
      </c>
      <c r="E1989" s="29">
        <v>19174432</v>
      </c>
      <c r="F1989" s="29" t="s">
        <v>73</v>
      </c>
      <c r="G1989" s="29" t="s">
        <v>348</v>
      </c>
      <c r="H1989" s="29">
        <v>105</v>
      </c>
      <c r="I1989" s="29">
        <v>77</v>
      </c>
      <c r="J1989" s="29">
        <v>69</v>
      </c>
      <c r="K1989" s="29">
        <v>67</v>
      </c>
      <c r="L1989" s="29">
        <v>62</v>
      </c>
      <c r="M1989" s="29">
        <v>66</v>
      </c>
      <c r="N1989" s="29">
        <v>71</v>
      </c>
      <c r="O1989" s="32">
        <v>517</v>
      </c>
      <c r="P1989" s="29" cm="1">
        <f t="array" ref="P1989">IF(表成绩单[[#This Row],[语文]]="","",SUMPRODUCT((表成绩单[考试日期]=表成绩单[[#This Row],[考试日期]])*(表成绩单[语文]&lt;9E+307)*(表成绩单[语文]&gt;表成绩单[[#This Row],[语文]]))+1)</f>
        <v>62</v>
      </c>
      <c r="Q1989" s="29" cm="1">
        <f t="array" ref="Q1989">IF(表成绩单[[#This Row],[数学]]="","",SUMPRODUCT((表成绩单[考试日期]=表成绩单[[#This Row],[考试日期]])*(表成绩单[数学]&lt;9E+307)*(表成绩单[数学]&gt;表成绩单[[#This Row],[数学]]))+1)</f>
        <v>478</v>
      </c>
      <c r="R1989" s="29" cm="1">
        <f t="array" ref="R1989">IF(表成绩单[[#This Row],[英语]]="","",SUMPRODUCT((表成绩单[考试日期]=表成绩单[[#This Row],[考试日期]])*(表成绩单[英语]&lt;9E+307)*(表成绩单[英语]&gt;表成绩单[[#This Row],[英语]]))+1)</f>
        <v>342</v>
      </c>
      <c r="S1989" s="29" cm="1">
        <f t="array" ref="S1989">IF(表成绩单[[#This Row],[物理]]="","",SUMPRODUCT((表成绩单[考试日期]=表成绩单[[#This Row],[考试日期]])*(表成绩单[物理]&lt;9E+307)*(表成绩单[物理]&gt;表成绩单[[#This Row],[物理]]))+1)</f>
        <v>394</v>
      </c>
      <c r="T1989" s="29" cm="1">
        <f t="array" ref="T1989">IF(表成绩单[[#This Row],[化学]]="","",SUMPRODUCT((表成绩单[考试日期]=表成绩单[[#This Row],[考试日期]])*(表成绩单[化学]&lt;9E+307)*(表成绩单[化学]&gt;表成绩单[[#This Row],[化学]]))+1)</f>
        <v>494</v>
      </c>
      <c r="U1989" s="29" cm="1">
        <f t="array" ref="U1989">IF(表成绩单[[#This Row],[政治]]="","",SUMPRODUCT((表成绩单[考试日期]=表成绩单[[#This Row],[考试日期]])*(表成绩单[政治]&lt;9E+307)*(表成绩单[政治]&gt;表成绩单[[#This Row],[政治]]))+1)</f>
        <v>397</v>
      </c>
      <c r="V1989" s="29" cm="1">
        <f t="array" ref="V1989">IF(表成绩单[[#This Row],[历史]]="","",SUMPRODUCT((表成绩单[考试日期]=表成绩单[[#This Row],[考试日期]])*(表成绩单[历史]&lt;9E+307)*(表成绩单[历史]&gt;表成绩单[[#This Row],[历史]]))+1)</f>
        <v>297</v>
      </c>
      <c r="W1989" s="29" cm="1">
        <f t="array" ref="W1989">IF(表成绩单[[#This Row],[总分]]="","",SUMPRODUCT((表成绩单[考试日期]=表成绩单[[#This Row],[考试日期]])*(表成绩单[总分]&lt;9E+307)*(表成绩单[总分]&gt;表成绩单[[#This Row],[总分]]))+1)</f>
        <v>382</v>
      </c>
    </row>
    <row r="1990" ht="28" customHeight="1" spans="4:23">
      <c r="D1990" s="31">
        <v>46030</v>
      </c>
      <c r="E1990" s="29">
        <v>19174810</v>
      </c>
      <c r="F1990" s="29" t="s">
        <v>69</v>
      </c>
      <c r="G1990" s="29" t="s">
        <v>485</v>
      </c>
      <c r="H1990" s="29">
        <v>95</v>
      </c>
      <c r="I1990" s="29">
        <v>86</v>
      </c>
      <c r="J1990" s="29">
        <v>68</v>
      </c>
      <c r="K1990" s="29">
        <v>72</v>
      </c>
      <c r="L1990" s="29">
        <v>68</v>
      </c>
      <c r="M1990" s="29">
        <v>67</v>
      </c>
      <c r="N1990" s="29">
        <v>60</v>
      </c>
      <c r="O1990" s="32">
        <v>516</v>
      </c>
      <c r="P1990" s="29" cm="1">
        <f t="array" ref="P1990">IF(表成绩单[[#This Row],[语文]]="","",SUMPRODUCT((表成绩单[考试日期]=表成绩单[[#This Row],[考试日期]])*(表成绩单[语文]&lt;9E+307)*(表成绩单[语文]&gt;表成绩单[[#This Row],[语文]]))+1)</f>
        <v>342</v>
      </c>
      <c r="Q1990" s="29" cm="1">
        <f t="array" ref="Q1990">IF(表成绩单[[#This Row],[数学]]="","",SUMPRODUCT((表成绩单[考试日期]=表成绩单[[#This Row],[考试日期]])*(表成绩单[数学]&lt;9E+307)*(表成绩单[数学]&gt;表成绩单[[#This Row],[数学]]))+1)</f>
        <v>302</v>
      </c>
      <c r="R1990" s="29" cm="1">
        <f t="array" ref="R1990">IF(表成绩单[[#This Row],[英语]]="","",SUMPRODUCT((表成绩单[考试日期]=表成绩单[[#This Row],[考试日期]])*(表成绩单[英语]&lt;9E+307)*(表成绩单[英语]&gt;表成绩单[[#This Row],[英语]]))+1)</f>
        <v>364</v>
      </c>
      <c r="S1990" s="29" cm="1">
        <f t="array" ref="S1990">IF(表成绩单[[#This Row],[物理]]="","",SUMPRODUCT((表成绩单[考试日期]=表成绩单[[#This Row],[考试日期]])*(表成绩单[物理]&lt;9E+307)*(表成绩单[物理]&gt;表成绩单[[#This Row],[物理]]))+1)</f>
        <v>297</v>
      </c>
      <c r="T1990" s="29" cm="1">
        <f t="array" ref="T1990">IF(表成绩单[[#This Row],[化学]]="","",SUMPRODUCT((表成绩单[考试日期]=表成绩单[[#This Row],[考试日期]])*(表成绩单[化学]&lt;9E+307)*(表成绩单[化学]&gt;表成绩单[[#This Row],[化学]]))+1)</f>
        <v>358</v>
      </c>
      <c r="U1990" s="29" cm="1">
        <f t="array" ref="U1990">IF(表成绩单[[#This Row],[政治]]="","",SUMPRODUCT((表成绩单[考试日期]=表成绩单[[#This Row],[考试日期]])*(表成绩单[政治]&lt;9E+307)*(表成绩单[政治]&gt;表成绩单[[#This Row],[政治]]))+1)</f>
        <v>370</v>
      </c>
      <c r="V1990" s="29" cm="1">
        <f t="array" ref="V1990">IF(表成绩单[[#This Row],[历史]]="","",SUMPRODUCT((表成绩单[考试日期]=表成绩单[[#This Row],[考试日期]])*(表成绩单[历史]&lt;9E+307)*(表成绩单[历史]&gt;表成绩单[[#This Row],[历史]]))+1)</f>
        <v>579</v>
      </c>
      <c r="W1990" s="29" cm="1">
        <f t="array" ref="W1990">IF(表成绩单[[#This Row],[总分]]="","",SUMPRODUCT((表成绩单[考试日期]=表成绩单[[#This Row],[考试日期]])*(表成绩单[总分]&lt;9E+307)*(表成绩单[总分]&gt;表成绩单[[#This Row],[总分]]))+1)</f>
        <v>384</v>
      </c>
    </row>
    <row r="1991" ht="28" customHeight="1" spans="4:23">
      <c r="D1991" s="31">
        <v>46030</v>
      </c>
      <c r="E1991" s="29">
        <v>19175392</v>
      </c>
      <c r="F1991" s="29" t="s">
        <v>74</v>
      </c>
      <c r="G1991" s="29" t="s">
        <v>463</v>
      </c>
      <c r="H1991" s="29">
        <v>100</v>
      </c>
      <c r="I1991" s="29">
        <v>80</v>
      </c>
      <c r="J1991" s="29">
        <v>78</v>
      </c>
      <c r="K1991" s="29">
        <v>68</v>
      </c>
      <c r="L1991" s="29">
        <v>69</v>
      </c>
      <c r="M1991" s="29">
        <v>59</v>
      </c>
      <c r="N1991" s="29">
        <v>62</v>
      </c>
      <c r="O1991" s="32">
        <v>516</v>
      </c>
      <c r="P1991" s="29" cm="1">
        <f t="array" ref="P1991">IF(表成绩单[[#This Row],[语文]]="","",SUMPRODUCT((表成绩单[考试日期]=表成绩单[[#This Row],[考试日期]])*(表成绩单[语文]&lt;9E+307)*(表成绩单[语文]&gt;表成绩单[[#This Row],[语文]]))+1)</f>
        <v>182</v>
      </c>
      <c r="Q1991" s="29" cm="1">
        <f t="array" ref="Q1991">IF(表成绩单[[#This Row],[数学]]="","",SUMPRODUCT((表成绩单[考试日期]=表成绩单[[#This Row],[考试日期]])*(表成绩单[数学]&lt;9E+307)*(表成绩单[数学]&gt;表成绩单[[#This Row],[数学]]))+1)</f>
        <v>412</v>
      </c>
      <c r="R1991" s="29" cm="1">
        <f t="array" ref="R1991">IF(表成绩单[[#This Row],[英语]]="","",SUMPRODUCT((表成绩单[考试日期]=表成绩单[[#This Row],[考试日期]])*(表成绩单[英语]&lt;9E+307)*(表成绩单[英语]&gt;表成绩单[[#This Row],[英语]]))+1)</f>
        <v>79</v>
      </c>
      <c r="S1991" s="29" cm="1">
        <f t="array" ref="S1991">IF(表成绩单[[#This Row],[物理]]="","",SUMPRODUCT((表成绩单[考试日期]=表成绩单[[#This Row],[考试日期]])*(表成绩单[物理]&lt;9E+307)*(表成绩单[物理]&gt;表成绩单[[#This Row],[物理]]))+1)</f>
        <v>372</v>
      </c>
      <c r="T1991" s="29" cm="1">
        <f t="array" ref="T1991">IF(表成绩单[[#This Row],[化学]]="","",SUMPRODUCT((表成绩单[考试日期]=表成绩单[[#This Row],[考试日期]])*(表成绩单[化学]&lt;9E+307)*(表成绩单[化学]&gt;表成绩单[[#This Row],[化学]]))+1)</f>
        <v>339</v>
      </c>
      <c r="U1991" s="29" cm="1">
        <f t="array" ref="U1991">IF(表成绩单[[#This Row],[政治]]="","",SUMPRODUCT((表成绩单[考试日期]=表成绩单[[#This Row],[考试日期]])*(表成绩单[政治]&lt;9E+307)*(表成绩单[政治]&gt;表成绩单[[#This Row],[政治]]))+1)</f>
        <v>557</v>
      </c>
      <c r="V1991" s="29" cm="1">
        <f t="array" ref="V1991">IF(表成绩单[[#This Row],[历史]]="","",SUMPRODUCT((表成绩单[考试日期]=表成绩单[[#This Row],[考试日期]])*(表成绩单[历史]&lt;9E+307)*(表成绩单[历史]&gt;表成绩单[[#This Row],[历史]]))+1)</f>
        <v>545</v>
      </c>
      <c r="W1991" s="29" cm="1">
        <f t="array" ref="W1991">IF(表成绩单[[#This Row],[总分]]="","",SUMPRODUCT((表成绩单[考试日期]=表成绩单[[#This Row],[考试日期]])*(表成绩单[总分]&lt;9E+307)*(表成绩单[总分]&gt;表成绩单[[#This Row],[总分]]))+1)</f>
        <v>384</v>
      </c>
    </row>
    <row r="1992" ht="28" customHeight="1" spans="4:23">
      <c r="D1992" s="31">
        <v>46030</v>
      </c>
      <c r="E1992" s="29">
        <v>19178633</v>
      </c>
      <c r="F1992" s="29" t="s">
        <v>25</v>
      </c>
      <c r="G1992" s="29" t="s">
        <v>315</v>
      </c>
      <c r="H1992" s="29">
        <v>99</v>
      </c>
      <c r="I1992" s="29">
        <v>76</v>
      </c>
      <c r="J1992" s="29">
        <v>71</v>
      </c>
      <c r="K1992" s="29">
        <v>58</v>
      </c>
      <c r="L1992" s="29">
        <v>69</v>
      </c>
      <c r="M1992" s="29">
        <v>72</v>
      </c>
      <c r="N1992" s="29">
        <v>71</v>
      </c>
      <c r="O1992" s="32">
        <v>516</v>
      </c>
      <c r="P1992" s="29" cm="1">
        <f t="array" ref="P1992">IF(表成绩单[[#This Row],[语文]]="","",SUMPRODUCT((表成绩单[考试日期]=表成绩单[[#This Row],[考试日期]])*(表成绩单[语文]&lt;9E+307)*(表成绩单[语文]&gt;表成绩单[[#This Row],[语文]]))+1)</f>
        <v>213</v>
      </c>
      <c r="Q1992" s="29" cm="1">
        <f t="array" ref="Q1992">IF(表成绩单[[#This Row],[数学]]="","",SUMPRODUCT((表成绩单[考试日期]=表成绩单[[#This Row],[考试日期]])*(表成绩单[数学]&lt;9E+307)*(表成绩单[数学]&gt;表成绩单[[#This Row],[数学]]))+1)</f>
        <v>507</v>
      </c>
      <c r="R1992" s="29" cm="1">
        <f t="array" ref="R1992">IF(表成绩单[[#This Row],[英语]]="","",SUMPRODUCT((表成绩单[考试日期]=表成绩单[[#This Row],[考试日期]])*(表成绩单[英语]&lt;9E+307)*(表成绩单[英语]&gt;表成绩单[[#This Row],[英语]]))+1)</f>
        <v>281</v>
      </c>
      <c r="S1992" s="29" cm="1">
        <f t="array" ref="S1992">IF(表成绩单[[#This Row],[物理]]="","",SUMPRODUCT((表成绩单[考试日期]=表成绩单[[#This Row],[考试日期]])*(表成绩单[物理]&lt;9E+307)*(表成绩单[物理]&gt;表成绩单[[#This Row],[物理]]))+1)</f>
        <v>527</v>
      </c>
      <c r="T1992" s="29" cm="1">
        <f t="array" ref="T1992">IF(表成绩单[[#This Row],[化学]]="","",SUMPRODUCT((表成绩单[考试日期]=表成绩单[[#This Row],[考试日期]])*(表成绩单[化学]&lt;9E+307)*(表成绩单[化学]&gt;表成绩单[[#This Row],[化学]]))+1)</f>
        <v>339</v>
      </c>
      <c r="U1992" s="29" cm="1">
        <f t="array" ref="U1992">IF(表成绩单[[#This Row],[政治]]="","",SUMPRODUCT((表成绩单[考试日期]=表成绩单[[#This Row],[考试日期]])*(表成绩单[政治]&lt;9E+307)*(表成绩单[政治]&gt;表成绩单[[#This Row],[政治]]))+1)</f>
        <v>224</v>
      </c>
      <c r="V1992" s="29" cm="1">
        <f t="array" ref="V1992">IF(表成绩单[[#This Row],[历史]]="","",SUMPRODUCT((表成绩单[考试日期]=表成绩单[[#This Row],[考试日期]])*(表成绩单[历史]&lt;9E+307)*(表成绩单[历史]&gt;表成绩单[[#This Row],[历史]]))+1)</f>
        <v>297</v>
      </c>
      <c r="W1992" s="29" cm="1">
        <f t="array" ref="W1992">IF(表成绩单[[#This Row],[总分]]="","",SUMPRODUCT((表成绩单[考试日期]=表成绩单[[#This Row],[考试日期]])*(表成绩单[总分]&lt;9E+307)*(表成绩单[总分]&gt;表成绩单[[#This Row],[总分]]))+1)</f>
        <v>384</v>
      </c>
    </row>
    <row r="1993" ht="28" customHeight="1" spans="4:23">
      <c r="D1993" s="31">
        <v>46030</v>
      </c>
      <c r="E1993" s="29">
        <v>19171077</v>
      </c>
      <c r="F1993" s="29" t="s">
        <v>67</v>
      </c>
      <c r="G1993" s="29" t="s">
        <v>540</v>
      </c>
      <c r="H1993" s="29">
        <v>95</v>
      </c>
      <c r="I1993" s="29">
        <v>85</v>
      </c>
      <c r="J1993" s="29">
        <v>66.5</v>
      </c>
      <c r="K1993" s="29">
        <v>62</v>
      </c>
      <c r="L1993" s="29">
        <v>76</v>
      </c>
      <c r="M1993" s="29">
        <v>62</v>
      </c>
      <c r="N1993" s="29">
        <v>69</v>
      </c>
      <c r="O1993" s="32">
        <v>515.5</v>
      </c>
      <c r="P1993" s="29" cm="1">
        <f t="array" ref="P1993">IF(表成绩单[[#This Row],[语文]]="","",SUMPRODUCT((表成绩单[考试日期]=表成绩单[[#This Row],[考试日期]])*(表成绩单[语文]&lt;9E+307)*(表成绩单[语文]&gt;表成绩单[[#This Row],[语文]]))+1)</f>
        <v>342</v>
      </c>
      <c r="Q1993" s="29" cm="1">
        <f t="array" ref="Q1993">IF(表成绩单[[#This Row],[数学]]="","",SUMPRODUCT((表成绩单[考试日期]=表成绩单[[#This Row],[考试日期]])*(表成绩单[数学]&lt;9E+307)*(表成绩单[数学]&gt;表成绩单[[#This Row],[数学]]))+1)</f>
        <v>325</v>
      </c>
      <c r="R1993" s="29" cm="1">
        <f t="array" ref="R1993">IF(表成绩单[[#This Row],[英语]]="","",SUMPRODUCT((表成绩单[考试日期]=表成绩单[[#This Row],[考试日期]])*(表成绩单[英语]&lt;9E+307)*(表成绩单[英语]&gt;表成绩单[[#This Row],[英语]]))+1)</f>
        <v>402</v>
      </c>
      <c r="S1993" s="29" cm="1">
        <f t="array" ref="S1993">IF(表成绩单[[#This Row],[物理]]="","",SUMPRODUCT((表成绩单[考试日期]=表成绩单[[#This Row],[考试日期]])*(表成绩单[物理]&lt;9E+307)*(表成绩单[物理]&gt;表成绩单[[#This Row],[物理]]))+1)</f>
        <v>470</v>
      </c>
      <c r="T1993" s="29" cm="1">
        <f t="array" ref="T1993">IF(表成绩单[[#This Row],[化学]]="","",SUMPRODUCT((表成绩单[考试日期]=表成绩单[[#This Row],[考试日期]])*(表成绩单[化学]&lt;9E+307)*(表成绩单[化学]&gt;表成绩单[[#This Row],[化学]]))+1)</f>
        <v>139</v>
      </c>
      <c r="U1993" s="29" cm="1">
        <f t="array" ref="U1993">IF(表成绩单[[#This Row],[政治]]="","",SUMPRODUCT((表成绩单[考试日期]=表成绩单[[#This Row],[考试日期]])*(表成绩单[政治]&lt;9E+307)*(表成绩单[政治]&gt;表成绩单[[#This Row],[政治]]))+1)</f>
        <v>508</v>
      </c>
      <c r="V1993" s="29" cm="1">
        <f t="array" ref="V1993">IF(表成绩单[[#This Row],[历史]]="","",SUMPRODUCT((表成绩单[考试日期]=表成绩单[[#This Row],[考试日期]])*(表成绩单[历史]&lt;9E+307)*(表成绩单[历史]&gt;表成绩单[[#This Row],[历史]]))+1)</f>
        <v>366</v>
      </c>
      <c r="W1993" s="29" cm="1">
        <f t="array" ref="W1993">IF(表成绩单[[#This Row],[总分]]="","",SUMPRODUCT((表成绩单[考试日期]=表成绩单[[#This Row],[考试日期]])*(表成绩单[总分]&lt;9E+307)*(表成绩单[总分]&gt;表成绩单[[#This Row],[总分]]))+1)</f>
        <v>387</v>
      </c>
    </row>
    <row r="1994" ht="28" customHeight="1" spans="4:23">
      <c r="D1994" s="31">
        <v>46030</v>
      </c>
      <c r="E1994" s="29">
        <v>19176886</v>
      </c>
      <c r="F1994" s="29" t="s">
        <v>71</v>
      </c>
      <c r="G1994" s="29" t="s">
        <v>409</v>
      </c>
      <c r="H1994" s="29">
        <v>96</v>
      </c>
      <c r="I1994" s="29">
        <v>87</v>
      </c>
      <c r="J1994" s="29">
        <v>67.5</v>
      </c>
      <c r="K1994" s="29">
        <v>70</v>
      </c>
      <c r="L1994" s="29">
        <v>70</v>
      </c>
      <c r="M1994" s="29">
        <v>55</v>
      </c>
      <c r="N1994" s="29">
        <v>70</v>
      </c>
      <c r="O1994" s="32">
        <v>515.5</v>
      </c>
      <c r="P1994" s="29" cm="1">
        <f t="array" ref="P1994">IF(表成绩单[[#This Row],[语文]]="","",SUMPRODUCT((表成绩单[考试日期]=表成绩单[[#This Row],[考试日期]])*(表成绩单[语文]&lt;9E+307)*(表成绩单[语文]&gt;表成绩单[[#This Row],[语文]]))+1)</f>
        <v>315</v>
      </c>
      <c r="Q1994" s="29" cm="1">
        <f t="array" ref="Q1994">IF(表成绩单[[#This Row],[数学]]="","",SUMPRODUCT((表成绩单[考试日期]=表成绩单[[#This Row],[考试日期]])*(表成绩单[数学]&lt;9E+307)*(表成绩单[数学]&gt;表成绩单[[#This Row],[数学]]))+1)</f>
        <v>270</v>
      </c>
      <c r="R1994" s="29" cm="1">
        <f t="array" ref="R1994">IF(表成绩单[[#This Row],[英语]]="","",SUMPRODUCT((表成绩单[考试日期]=表成绩单[[#This Row],[考试日期]])*(表成绩单[英语]&lt;9E+307)*(表成绩单[英语]&gt;表成绩单[[#This Row],[英语]]))+1)</f>
        <v>377</v>
      </c>
      <c r="S1994" s="29" cm="1">
        <f t="array" ref="S1994">IF(表成绩单[[#This Row],[物理]]="","",SUMPRODUCT((表成绩单[考试日期]=表成绩单[[#This Row],[考试日期]])*(表成绩单[物理]&lt;9E+307)*(表成绩单[物理]&gt;表成绩单[[#This Row],[物理]]))+1)</f>
        <v>338</v>
      </c>
      <c r="T1994" s="29" cm="1">
        <f t="array" ref="T1994">IF(表成绩单[[#This Row],[化学]]="","",SUMPRODUCT((表成绩单[考试日期]=表成绩单[[#This Row],[考试日期]])*(表成绩单[化学]&lt;9E+307)*(表成绩单[化学]&gt;表成绩单[[#This Row],[化学]]))+1)</f>
        <v>318</v>
      </c>
      <c r="U1994" s="29" cm="1">
        <f t="array" ref="U1994">IF(表成绩单[[#This Row],[政治]]="","",SUMPRODUCT((表成绩单[考试日期]=表成绩单[[#This Row],[考试日期]])*(表成绩单[政治]&lt;9E+307)*(表成绩单[政治]&gt;表成绩单[[#This Row],[政治]]))+1)</f>
        <v>608</v>
      </c>
      <c r="V1994" s="29" cm="1">
        <f t="array" ref="V1994">IF(表成绩单[[#This Row],[历史]]="","",SUMPRODUCT((表成绩单[考试日期]=表成绩单[[#This Row],[考试日期]])*(表成绩单[历史]&lt;9E+307)*(表成绩单[历史]&gt;表成绩单[[#This Row],[历史]]))+1)</f>
        <v>328</v>
      </c>
      <c r="W1994" s="29" cm="1">
        <f t="array" ref="W1994">IF(表成绩单[[#This Row],[总分]]="","",SUMPRODUCT((表成绩单[考试日期]=表成绩单[[#This Row],[考试日期]])*(表成绩单[总分]&lt;9E+307)*(表成绩单[总分]&gt;表成绩单[[#This Row],[总分]]))+1)</f>
        <v>387</v>
      </c>
    </row>
    <row r="1995" ht="28" customHeight="1" spans="4:23">
      <c r="D1995" s="31">
        <v>46030</v>
      </c>
      <c r="E1995" s="29">
        <v>19176893</v>
      </c>
      <c r="F1995" s="29" t="s">
        <v>71</v>
      </c>
      <c r="G1995" s="29" t="s">
        <v>465</v>
      </c>
      <c r="H1995" s="29">
        <v>98</v>
      </c>
      <c r="I1995" s="29">
        <v>87</v>
      </c>
      <c r="J1995" s="29">
        <v>66.5</v>
      </c>
      <c r="K1995" s="29">
        <v>61</v>
      </c>
      <c r="L1995" s="29">
        <v>66</v>
      </c>
      <c r="M1995" s="29">
        <v>65</v>
      </c>
      <c r="N1995" s="29">
        <v>72</v>
      </c>
      <c r="O1995" s="32">
        <v>515.5</v>
      </c>
      <c r="P1995" s="29" cm="1">
        <f t="array" ref="P1995">IF(表成绩单[[#This Row],[语文]]="","",SUMPRODUCT((表成绩单[考试日期]=表成绩单[[#This Row],[考试日期]])*(表成绩单[语文]&lt;9E+307)*(表成绩单[语文]&gt;表成绩单[[#This Row],[语文]]))+1)</f>
        <v>248</v>
      </c>
      <c r="Q1995" s="29" cm="1">
        <f t="array" ref="Q1995">IF(表成绩单[[#This Row],[数学]]="","",SUMPRODUCT((表成绩单[考试日期]=表成绩单[[#This Row],[考试日期]])*(表成绩单[数学]&lt;9E+307)*(表成绩单[数学]&gt;表成绩单[[#This Row],[数学]]))+1)</f>
        <v>270</v>
      </c>
      <c r="R1995" s="29" cm="1">
        <f t="array" ref="R1995">IF(表成绩单[[#This Row],[英语]]="","",SUMPRODUCT((表成绩单[考试日期]=表成绩单[[#This Row],[考试日期]])*(表成绩单[英语]&lt;9E+307)*(表成绩单[英语]&gt;表成绩单[[#This Row],[英语]]))+1)</f>
        <v>402</v>
      </c>
      <c r="S1995" s="29" cm="1">
        <f t="array" ref="S1995">IF(表成绩单[[#This Row],[物理]]="","",SUMPRODUCT((表成绩单[考试日期]=表成绩单[[#This Row],[考试日期]])*(表成绩单[物理]&lt;9E+307)*(表成绩单[物理]&gt;表成绩单[[#This Row],[物理]]))+1)</f>
        <v>482</v>
      </c>
      <c r="T1995" s="29" cm="1">
        <f t="array" ref="T1995">IF(表成绩单[[#This Row],[化学]]="","",SUMPRODUCT((表成绩单[考试日期]=表成绩单[[#This Row],[考试日期]])*(表成绩单[化学]&lt;9E+307)*(表成绩单[化学]&gt;表成绩单[[#This Row],[化学]]))+1)</f>
        <v>414</v>
      </c>
      <c r="U1995" s="29" cm="1">
        <f t="array" ref="U1995">IF(表成绩单[[#This Row],[政治]]="","",SUMPRODUCT((表成绩单[考试日期]=表成绩单[[#This Row],[考试日期]])*(表成绩单[政治]&lt;9E+307)*(表成绩单[政治]&gt;表成绩单[[#This Row],[政治]]))+1)</f>
        <v>431</v>
      </c>
      <c r="V1995" s="29" cm="1">
        <f t="array" ref="V1995">IF(表成绩单[[#This Row],[历史]]="","",SUMPRODUCT((表成绩单[考试日期]=表成绩单[[#This Row],[考试日期]])*(表成绩单[历史]&lt;9E+307)*(表成绩单[历史]&gt;表成绩单[[#This Row],[历史]]))+1)</f>
        <v>266</v>
      </c>
      <c r="W1995" s="29" cm="1">
        <f t="array" ref="W1995">IF(表成绩单[[#This Row],[总分]]="","",SUMPRODUCT((表成绩单[考试日期]=表成绩单[[#This Row],[考试日期]])*(表成绩单[总分]&lt;9E+307)*(表成绩单[总分]&gt;表成绩单[[#This Row],[总分]]))+1)</f>
        <v>387</v>
      </c>
    </row>
    <row r="1996" ht="28" customHeight="1" spans="4:23">
      <c r="D1996" s="31">
        <v>46030</v>
      </c>
      <c r="E1996" s="29">
        <v>19177216</v>
      </c>
      <c r="F1996" s="29" t="s">
        <v>70</v>
      </c>
      <c r="G1996" s="29" t="s">
        <v>527</v>
      </c>
      <c r="H1996" s="29">
        <v>94</v>
      </c>
      <c r="I1996" s="29">
        <v>81</v>
      </c>
      <c r="J1996" s="29">
        <v>66.5</v>
      </c>
      <c r="K1996" s="29">
        <v>61</v>
      </c>
      <c r="L1996" s="29">
        <v>64</v>
      </c>
      <c r="M1996" s="29">
        <v>79</v>
      </c>
      <c r="N1996" s="29">
        <v>70</v>
      </c>
      <c r="O1996" s="32">
        <v>515.5</v>
      </c>
      <c r="P1996" s="29" cm="1">
        <f t="array" ref="P1996">IF(表成绩单[[#This Row],[语文]]="","",SUMPRODUCT((表成绩单[考试日期]=表成绩单[[#This Row],[考试日期]])*(表成绩单[语文]&lt;9E+307)*(表成绩单[语文]&gt;表成绩单[[#This Row],[语文]]))+1)</f>
        <v>381</v>
      </c>
      <c r="Q1996" s="29" cm="1">
        <f t="array" ref="Q1996">IF(表成绩单[[#This Row],[数学]]="","",SUMPRODUCT((表成绩单[考试日期]=表成绩单[[#This Row],[考试日期]])*(表成绩单[数学]&lt;9E+307)*(表成绩单[数学]&gt;表成绩单[[#This Row],[数学]]))+1)</f>
        <v>396</v>
      </c>
      <c r="R1996" s="29" cm="1">
        <f t="array" ref="R1996">IF(表成绩单[[#This Row],[英语]]="","",SUMPRODUCT((表成绩单[考试日期]=表成绩单[[#This Row],[考试日期]])*(表成绩单[英语]&lt;9E+307)*(表成绩单[英语]&gt;表成绩单[[#This Row],[英语]]))+1)</f>
        <v>402</v>
      </c>
      <c r="S1996" s="29" cm="1">
        <f t="array" ref="S1996">IF(表成绩单[[#This Row],[物理]]="","",SUMPRODUCT((表成绩单[考试日期]=表成绩单[[#This Row],[考试日期]])*(表成绩单[物理]&lt;9E+307)*(表成绩单[物理]&gt;表成绩单[[#This Row],[物理]]))+1)</f>
        <v>482</v>
      </c>
      <c r="T1996" s="29" cm="1">
        <f t="array" ref="T1996">IF(表成绩单[[#This Row],[化学]]="","",SUMPRODUCT((表成绩单[考试日期]=表成绩单[[#This Row],[考试日期]])*(表成绩单[化学]&lt;9E+307)*(表成绩单[化学]&gt;表成绩单[[#This Row],[化学]]))+1)</f>
        <v>451</v>
      </c>
      <c r="U1996" s="29" cm="1">
        <f t="array" ref="U1996">IF(表成绩单[[#This Row],[政治]]="","",SUMPRODUCT((表成绩单[考试日期]=表成绩单[[#This Row],[考试日期]])*(表成绩单[政治]&lt;9E+307)*(表成绩单[政治]&gt;表成绩单[[#This Row],[政治]]))+1)</f>
        <v>42</v>
      </c>
      <c r="V1996" s="29" cm="1">
        <f t="array" ref="V1996">IF(表成绩单[[#This Row],[历史]]="","",SUMPRODUCT((表成绩单[考试日期]=表成绩单[[#This Row],[考试日期]])*(表成绩单[历史]&lt;9E+307)*(表成绩单[历史]&gt;表成绩单[[#This Row],[历史]]))+1)</f>
        <v>328</v>
      </c>
      <c r="W1996" s="29" cm="1">
        <f t="array" ref="W1996">IF(表成绩单[[#This Row],[总分]]="","",SUMPRODUCT((表成绩单[考试日期]=表成绩单[[#This Row],[考试日期]])*(表成绩单[总分]&lt;9E+307)*(表成绩单[总分]&gt;表成绩单[[#This Row],[总分]]))+1)</f>
        <v>387</v>
      </c>
    </row>
    <row r="1997" ht="28" customHeight="1" spans="4:23">
      <c r="D1997" s="31">
        <v>46030</v>
      </c>
      <c r="E1997" s="29">
        <v>19167644</v>
      </c>
      <c r="F1997" s="29" t="s">
        <v>1</v>
      </c>
      <c r="G1997" s="29" t="s">
        <v>419</v>
      </c>
      <c r="H1997" s="29">
        <v>100</v>
      </c>
      <c r="I1997" s="29">
        <v>87</v>
      </c>
      <c r="J1997" s="29">
        <v>70</v>
      </c>
      <c r="K1997" s="29">
        <v>57</v>
      </c>
      <c r="L1997" s="29">
        <v>62</v>
      </c>
      <c r="M1997" s="29">
        <v>70</v>
      </c>
      <c r="N1997" s="29">
        <v>69</v>
      </c>
      <c r="O1997" s="32">
        <v>515</v>
      </c>
      <c r="P1997" s="29" cm="1">
        <f t="array" ref="P1997">IF(表成绩单[[#This Row],[语文]]="","",SUMPRODUCT((表成绩单[考试日期]=表成绩单[[#This Row],[考试日期]])*(表成绩单[语文]&lt;9E+307)*(表成绩单[语文]&gt;表成绩单[[#This Row],[语文]]))+1)</f>
        <v>182</v>
      </c>
      <c r="Q1997" s="29" cm="1">
        <f t="array" ref="Q1997">IF(表成绩单[[#This Row],[数学]]="","",SUMPRODUCT((表成绩单[考试日期]=表成绩单[[#This Row],[考试日期]])*(表成绩单[数学]&lt;9E+307)*(表成绩单[数学]&gt;表成绩单[[#This Row],[数学]]))+1)</f>
        <v>270</v>
      </c>
      <c r="R1997" s="29" cm="1">
        <f t="array" ref="R1997">IF(表成绩单[[#This Row],[英语]]="","",SUMPRODUCT((表成绩单[考试日期]=表成绩单[[#This Row],[考试日期]])*(表成绩单[英语]&lt;9E+307)*(表成绩单[英语]&gt;表成绩单[[#This Row],[英语]]))+1)</f>
        <v>319</v>
      </c>
      <c r="S1997" s="29" cm="1">
        <f t="array" ref="S1997">IF(表成绩单[[#This Row],[物理]]="","",SUMPRODUCT((表成绩单[考试日期]=表成绩单[[#This Row],[考试日期]])*(表成绩单[物理]&lt;9E+307)*(表成绩单[物理]&gt;表成绩单[[#This Row],[物理]]))+1)</f>
        <v>539</v>
      </c>
      <c r="T1997" s="29" cm="1">
        <f t="array" ref="T1997">IF(表成绩单[[#This Row],[化学]]="","",SUMPRODUCT((表成绩单[考试日期]=表成绩单[[#This Row],[考试日期]])*(表成绩单[化学]&lt;9E+307)*(表成绩单[化学]&gt;表成绩单[[#This Row],[化学]]))+1)</f>
        <v>494</v>
      </c>
      <c r="U1997" s="29" cm="1">
        <f t="array" ref="U1997">IF(表成绩单[[#This Row],[政治]]="","",SUMPRODUCT((表成绩单[考试日期]=表成绩单[[#This Row],[考试日期]])*(表成绩单[政治]&lt;9E+307)*(表成绩单[政治]&gt;表成绩单[[#This Row],[政治]]))+1)</f>
        <v>274</v>
      </c>
      <c r="V1997" s="29" cm="1">
        <f t="array" ref="V1997">IF(表成绩单[[#This Row],[历史]]="","",SUMPRODUCT((表成绩单[考试日期]=表成绩单[[#This Row],[考试日期]])*(表成绩单[历史]&lt;9E+307)*(表成绩单[历史]&gt;表成绩单[[#This Row],[历史]]))+1)</f>
        <v>366</v>
      </c>
      <c r="W1997" s="29" cm="1">
        <f t="array" ref="W1997">IF(表成绩单[[#This Row],[总分]]="","",SUMPRODUCT((表成绩单[考试日期]=表成绩单[[#This Row],[考试日期]])*(表成绩单[总分]&lt;9E+307)*(表成绩单[总分]&gt;表成绩单[[#This Row],[总分]]))+1)</f>
        <v>391</v>
      </c>
    </row>
    <row r="1998" ht="28" customHeight="1" spans="4:23">
      <c r="D1998" s="31">
        <v>46030</v>
      </c>
      <c r="E1998" s="29">
        <v>19177639</v>
      </c>
      <c r="F1998" s="29" t="s">
        <v>63</v>
      </c>
      <c r="G1998" s="29" t="s">
        <v>499</v>
      </c>
      <c r="H1998" s="29">
        <v>92</v>
      </c>
      <c r="I1998" s="29">
        <v>77</v>
      </c>
      <c r="J1998" s="29">
        <v>71</v>
      </c>
      <c r="K1998" s="29">
        <v>68</v>
      </c>
      <c r="L1998" s="29">
        <v>60</v>
      </c>
      <c r="M1998" s="29">
        <v>67</v>
      </c>
      <c r="N1998" s="29">
        <v>80</v>
      </c>
      <c r="O1998" s="32">
        <v>515</v>
      </c>
      <c r="P1998" s="29" cm="1">
        <f t="array" ref="P1998">IF(表成绩单[[#This Row],[语文]]="","",SUMPRODUCT((表成绩单[考试日期]=表成绩单[[#This Row],[考试日期]])*(表成绩单[语文]&lt;9E+307)*(表成绩单[语文]&gt;表成绩单[[#This Row],[语文]]))+1)</f>
        <v>444</v>
      </c>
      <c r="Q1998" s="29" cm="1">
        <f t="array" ref="Q1998">IF(表成绩单[[#This Row],[数学]]="","",SUMPRODUCT((表成绩单[考试日期]=表成绩单[[#This Row],[考试日期]])*(表成绩单[数学]&lt;9E+307)*(表成绩单[数学]&gt;表成绩单[[#This Row],[数学]]))+1)</f>
        <v>478</v>
      </c>
      <c r="R1998" s="29" cm="1">
        <f t="array" ref="R1998">IF(表成绩单[[#This Row],[英语]]="","",SUMPRODUCT((表成绩单[考试日期]=表成绩单[[#This Row],[考试日期]])*(表成绩单[英语]&lt;9E+307)*(表成绩单[英语]&gt;表成绩单[[#This Row],[英语]]))+1)</f>
        <v>281</v>
      </c>
      <c r="S1998" s="29" cm="1">
        <f t="array" ref="S1998">IF(表成绩单[[#This Row],[物理]]="","",SUMPRODUCT((表成绩单[考试日期]=表成绩单[[#This Row],[考试日期]])*(表成绩单[物理]&lt;9E+307)*(表成绩单[物理]&gt;表成绩单[[#This Row],[物理]]))+1)</f>
        <v>372</v>
      </c>
      <c r="T1998" s="29" cm="1">
        <f t="array" ref="T1998">IF(表成绩单[[#This Row],[化学]]="","",SUMPRODUCT((表成绩单[考试日期]=表成绩单[[#This Row],[考试日期]])*(表成绩单[化学]&lt;9E+307)*(表成绩单[化学]&gt;表成绩单[[#This Row],[化学]]))+1)</f>
        <v>525</v>
      </c>
      <c r="U1998" s="29" cm="1">
        <f t="array" ref="U1998">IF(表成绩单[[#This Row],[政治]]="","",SUMPRODUCT((表成绩单[考试日期]=表成绩单[[#This Row],[考试日期]])*(表成绩单[政治]&lt;9E+307)*(表成绩单[政治]&gt;表成绩单[[#This Row],[政治]]))+1)</f>
        <v>370</v>
      </c>
      <c r="V1998" s="29" cm="1">
        <f t="array" ref="V1998">IF(表成绩单[[#This Row],[历史]]="","",SUMPRODUCT((表成绩单[考试日期]=表成绩单[[#This Row],[考试日期]])*(表成绩单[历史]&lt;9E+307)*(表成绩单[历史]&gt;表成绩单[[#This Row],[历史]]))+1)</f>
        <v>83</v>
      </c>
      <c r="W1998" s="29" cm="1">
        <f t="array" ref="W1998">IF(表成绩单[[#This Row],[总分]]="","",SUMPRODUCT((表成绩单[考试日期]=表成绩单[[#This Row],[考试日期]])*(表成绩单[总分]&lt;9E+307)*(表成绩单[总分]&gt;表成绩单[[#This Row],[总分]]))+1)</f>
        <v>391</v>
      </c>
    </row>
    <row r="1999" ht="28" customHeight="1" spans="4:23">
      <c r="D1999" s="31">
        <v>46030</v>
      </c>
      <c r="E1999" s="29">
        <v>19173788</v>
      </c>
      <c r="F1999" s="29" t="s">
        <v>65</v>
      </c>
      <c r="G1999" s="29" t="s">
        <v>601</v>
      </c>
      <c r="H1999" s="29">
        <v>96</v>
      </c>
      <c r="I1999" s="29">
        <v>83</v>
      </c>
      <c r="J1999" s="29">
        <v>61.5</v>
      </c>
      <c r="K1999" s="29">
        <v>69</v>
      </c>
      <c r="L1999" s="29">
        <v>61</v>
      </c>
      <c r="M1999" s="29">
        <v>82</v>
      </c>
      <c r="N1999" s="29">
        <v>62</v>
      </c>
      <c r="O1999" s="32">
        <v>514.5</v>
      </c>
      <c r="P1999" s="29" cm="1">
        <f t="array" ref="P1999">IF(表成绩单[[#This Row],[语文]]="","",SUMPRODUCT((表成绩单[考试日期]=表成绩单[[#This Row],[考试日期]])*(表成绩单[语文]&lt;9E+307)*(表成绩单[语文]&gt;表成绩单[[#This Row],[语文]]))+1)</f>
        <v>315</v>
      </c>
      <c r="Q1999" s="29" cm="1">
        <f t="array" ref="Q1999">IF(表成绩单[[#This Row],[数学]]="","",SUMPRODUCT((表成绩单[考试日期]=表成绩单[[#This Row],[考试日期]])*(表成绩单[数学]&lt;9E+307)*(表成绩单[数学]&gt;表成绩单[[#This Row],[数学]]))+1)</f>
        <v>360</v>
      </c>
      <c r="R1999" s="29" cm="1">
        <f t="array" ref="R1999">IF(表成绩单[[#This Row],[英语]]="","",SUMPRODUCT((表成绩单[考试日期]=表成绩单[[#This Row],[考试日期]])*(表成绩单[英语]&lt;9E+307)*(表成绩单[英语]&gt;表成绩单[[#This Row],[英语]]))+1)</f>
        <v>495</v>
      </c>
      <c r="S1999" s="29" cm="1">
        <f t="array" ref="S1999">IF(表成绩单[[#This Row],[物理]]="","",SUMPRODUCT((表成绩单[考试日期]=表成绩单[[#This Row],[考试日期]])*(表成绩单[物理]&lt;9E+307)*(表成绩单[物理]&gt;表成绩单[[#This Row],[物理]]))+1)</f>
        <v>356</v>
      </c>
      <c r="T1999" s="29" cm="1">
        <f t="array" ref="T1999">IF(表成绩单[[#This Row],[化学]]="","",SUMPRODUCT((表成绩单[考试日期]=表成绩单[[#This Row],[考试日期]])*(表成绩单[化学]&lt;9E+307)*(表成绩单[化学]&gt;表成绩单[[#This Row],[化学]]))+1)</f>
        <v>508</v>
      </c>
      <c r="U1999" s="29" cm="1">
        <f t="array" ref="U1999">IF(表成绩单[[#This Row],[政治]]="","",SUMPRODUCT((表成绩单[考试日期]=表成绩单[[#This Row],[考试日期]])*(表成绩单[政治]&lt;9E+307)*(表成绩单[政治]&gt;表成绩单[[#This Row],[政治]]))+1)</f>
        <v>12</v>
      </c>
      <c r="V1999" s="29" cm="1">
        <f t="array" ref="V1999">IF(表成绩单[[#This Row],[历史]]="","",SUMPRODUCT((表成绩单[考试日期]=表成绩单[[#This Row],[考试日期]])*(表成绩单[历史]&lt;9E+307)*(表成绩单[历史]&gt;表成绩单[[#This Row],[历史]]))+1)</f>
        <v>545</v>
      </c>
      <c r="W1999" s="29" cm="1">
        <f t="array" ref="W1999">IF(表成绩单[[#This Row],[总分]]="","",SUMPRODUCT((表成绩单[考试日期]=表成绩单[[#This Row],[考试日期]])*(表成绩单[总分]&lt;9E+307)*(表成绩单[总分]&gt;表成绩单[[#This Row],[总分]]))+1)</f>
        <v>393</v>
      </c>
    </row>
    <row r="2000" ht="28" customHeight="1" spans="4:23">
      <c r="D2000" s="31">
        <v>46030</v>
      </c>
      <c r="E2000" s="29">
        <v>19175666</v>
      </c>
      <c r="F2000" s="29" t="s">
        <v>66</v>
      </c>
      <c r="G2000" s="29" t="s">
        <v>498</v>
      </c>
      <c r="H2000" s="29">
        <v>92</v>
      </c>
      <c r="I2000" s="29">
        <v>88</v>
      </c>
      <c r="J2000" s="29">
        <v>68.5</v>
      </c>
      <c r="K2000" s="29">
        <v>70</v>
      </c>
      <c r="L2000" s="29">
        <v>77</v>
      </c>
      <c r="M2000" s="29">
        <v>54</v>
      </c>
      <c r="N2000" s="29">
        <v>65</v>
      </c>
      <c r="O2000" s="32">
        <v>514.5</v>
      </c>
      <c r="P2000" s="29" cm="1">
        <f t="array" ref="P2000">IF(表成绩单[[#This Row],[语文]]="","",SUMPRODUCT((表成绩单[考试日期]=表成绩单[[#This Row],[考试日期]])*(表成绩单[语文]&lt;9E+307)*(表成绩单[语文]&gt;表成绩单[[#This Row],[语文]]))+1)</f>
        <v>444</v>
      </c>
      <c r="Q2000" s="29" cm="1">
        <f t="array" ref="Q2000">IF(表成绩单[[#This Row],[数学]]="","",SUMPRODUCT((表成绩单[考试日期]=表成绩单[[#This Row],[考试日期]])*(表成绩单[数学]&lt;9E+307)*(表成绩单[数学]&gt;表成绩单[[#This Row],[数学]]))+1)</f>
        <v>245</v>
      </c>
      <c r="R2000" s="29" cm="1">
        <f t="array" ref="R2000">IF(表成绩单[[#This Row],[英语]]="","",SUMPRODUCT((表成绩单[考试日期]=表成绩单[[#This Row],[考试日期]])*(表成绩单[英语]&lt;9E+307)*(表成绩单[英语]&gt;表成绩单[[#This Row],[英语]]))+1)</f>
        <v>351</v>
      </c>
      <c r="S2000" s="29" cm="1">
        <f t="array" ref="S2000">IF(表成绩单[[#This Row],[物理]]="","",SUMPRODUCT((表成绩单[考试日期]=表成绩单[[#This Row],[考试日期]])*(表成绩单[物理]&lt;9E+307)*(表成绩单[物理]&gt;表成绩单[[#This Row],[物理]]))+1)</f>
        <v>338</v>
      </c>
      <c r="T2000" s="29" cm="1">
        <f t="array" ref="T2000">IF(表成绩单[[#This Row],[化学]]="","",SUMPRODUCT((表成绩单[考试日期]=表成绩单[[#This Row],[考试日期]])*(表成绩单[化学]&lt;9E+307)*(表成绩单[化学]&gt;表成绩单[[#This Row],[化学]]))+1)</f>
        <v>116</v>
      </c>
      <c r="U2000" s="29" cm="1">
        <f t="array" ref="U2000">IF(表成绩单[[#This Row],[政治]]="","",SUMPRODUCT((表成绩单[考试日期]=表成绩单[[#This Row],[考试日期]])*(表成绩单[政治]&lt;9E+307)*(表成绩单[政治]&gt;表成绩单[[#This Row],[政治]]))+1)</f>
        <v>621</v>
      </c>
      <c r="V2000" s="29" cm="1">
        <f t="array" ref="V2000">IF(表成绩单[[#This Row],[历史]]="","",SUMPRODUCT((表成绩单[考试日期]=表成绩单[[#This Row],[考试日期]])*(表成绩单[历史]&lt;9E+307)*(表成绩单[历史]&gt;表成绩单[[#This Row],[历史]]))+1)</f>
        <v>471</v>
      </c>
      <c r="W2000" s="29" cm="1">
        <f t="array" ref="W2000">IF(表成绩单[[#This Row],[总分]]="","",SUMPRODUCT((表成绩单[考试日期]=表成绩单[[#This Row],[考试日期]])*(表成绩单[总分]&lt;9E+307)*(表成绩单[总分]&gt;表成绩单[[#This Row],[总分]]))+1)</f>
        <v>393</v>
      </c>
    </row>
    <row r="2001" ht="28" customHeight="1" spans="4:23">
      <c r="D2001" s="31">
        <v>46030</v>
      </c>
      <c r="E2001" s="29">
        <v>19174447</v>
      </c>
      <c r="F2001" s="29" t="s">
        <v>73</v>
      </c>
      <c r="G2001" s="29" t="s">
        <v>449</v>
      </c>
      <c r="H2001" s="29">
        <v>94</v>
      </c>
      <c r="I2001" s="29">
        <v>82</v>
      </c>
      <c r="J2001" s="29">
        <v>66.5</v>
      </c>
      <c r="K2001" s="29">
        <v>59</v>
      </c>
      <c r="L2001" s="29">
        <v>76</v>
      </c>
      <c r="M2001" s="29">
        <v>75</v>
      </c>
      <c r="N2001" s="29">
        <v>61</v>
      </c>
      <c r="O2001" s="32">
        <v>513.5</v>
      </c>
      <c r="P2001" s="29" cm="1">
        <f t="array" ref="P2001">IF(表成绩单[[#This Row],[语文]]="","",SUMPRODUCT((表成绩单[考试日期]=表成绩单[[#This Row],[考试日期]])*(表成绩单[语文]&lt;9E+307)*(表成绩单[语文]&gt;表成绩单[[#This Row],[语文]]))+1)</f>
        <v>381</v>
      </c>
      <c r="Q2001" s="29" cm="1">
        <f t="array" ref="Q2001">IF(表成绩单[[#This Row],[数学]]="","",SUMPRODUCT((表成绩单[考试日期]=表成绩单[[#This Row],[考试日期]])*(表成绩单[数学]&lt;9E+307)*(表成绩单[数学]&gt;表成绩单[[#This Row],[数学]]))+1)</f>
        <v>383</v>
      </c>
      <c r="R2001" s="29" cm="1">
        <f t="array" ref="R2001">IF(表成绩单[[#This Row],[英语]]="","",SUMPRODUCT((表成绩单[考试日期]=表成绩单[[#This Row],[考试日期]])*(表成绩单[英语]&lt;9E+307)*(表成绩单[英语]&gt;表成绩单[[#This Row],[英语]]))+1)</f>
        <v>402</v>
      </c>
      <c r="S2001" s="29" cm="1">
        <f t="array" ref="S2001">IF(表成绩单[[#This Row],[物理]]="","",SUMPRODUCT((表成绩单[考试日期]=表成绩单[[#This Row],[考试日期]])*(表成绩单[物理]&lt;9E+307)*(表成绩单[物理]&gt;表成绩单[[#This Row],[物理]]))+1)</f>
        <v>514</v>
      </c>
      <c r="T2001" s="29" cm="1">
        <f t="array" ref="T2001">IF(表成绩单[[#This Row],[化学]]="","",SUMPRODUCT((表成绩单[考试日期]=表成绩单[[#This Row],[考试日期]])*(表成绩单[化学]&lt;9E+307)*(表成绩单[化学]&gt;表成绩单[[#This Row],[化学]]))+1)</f>
        <v>139</v>
      </c>
      <c r="U2001" s="29" cm="1">
        <f t="array" ref="U2001">IF(表成绩单[[#This Row],[政治]]="","",SUMPRODUCT((表成绩单[考试日期]=表成绩单[[#This Row],[考试日期]])*(表成绩单[政治]&lt;9E+307)*(表成绩单[政治]&gt;表成绩单[[#This Row],[政治]]))+1)</f>
        <v>137</v>
      </c>
      <c r="V2001" s="29" cm="1">
        <f t="array" ref="V2001">IF(表成绩单[[#This Row],[历史]]="","",SUMPRODUCT((表成绩单[考试日期]=表成绩单[[#This Row],[考试日期]])*(表成绩单[历史]&lt;9E+307)*(表成绩单[历史]&gt;表成绩单[[#This Row],[历史]]))+1)</f>
        <v>566</v>
      </c>
      <c r="W2001" s="29" cm="1">
        <f t="array" ref="W2001">IF(表成绩单[[#This Row],[总分]]="","",SUMPRODUCT((表成绩单[考试日期]=表成绩单[[#This Row],[考试日期]])*(表成绩单[总分]&lt;9E+307)*(表成绩单[总分]&gt;表成绩单[[#This Row],[总分]]))+1)</f>
        <v>395</v>
      </c>
    </row>
    <row r="2002" ht="28" customHeight="1" spans="4:23">
      <c r="D2002" s="31">
        <v>46030</v>
      </c>
      <c r="E2002" s="29">
        <v>19178586</v>
      </c>
      <c r="F2002" s="29" t="s">
        <v>64</v>
      </c>
      <c r="G2002" s="29" t="s">
        <v>585</v>
      </c>
      <c r="H2002" s="29">
        <v>90</v>
      </c>
      <c r="I2002" s="29">
        <v>81</v>
      </c>
      <c r="J2002" s="29">
        <v>64.5</v>
      </c>
      <c r="K2002" s="29">
        <v>67</v>
      </c>
      <c r="L2002" s="29">
        <v>70</v>
      </c>
      <c r="M2002" s="29">
        <v>70</v>
      </c>
      <c r="N2002" s="29">
        <v>71</v>
      </c>
      <c r="O2002" s="32">
        <v>513.5</v>
      </c>
      <c r="P2002" s="29" cm="1">
        <f t="array" ref="P2002">IF(表成绩单[[#This Row],[语文]]="","",SUMPRODUCT((表成绩单[考试日期]=表成绩单[[#This Row],[考试日期]])*(表成绩单[语文]&lt;9E+307)*(表成绩单[语文]&gt;表成绩单[[#This Row],[语文]]))+1)</f>
        <v>509</v>
      </c>
      <c r="Q2002" s="29" cm="1">
        <f t="array" ref="Q2002">IF(表成绩单[[#This Row],[数学]]="","",SUMPRODUCT((表成绩单[考试日期]=表成绩单[[#This Row],[考试日期]])*(表成绩单[数学]&lt;9E+307)*(表成绩单[数学]&gt;表成绩单[[#This Row],[数学]]))+1)</f>
        <v>396</v>
      </c>
      <c r="R2002" s="29" cm="1">
        <f t="array" ref="R2002">IF(表成绩单[[#This Row],[英语]]="","",SUMPRODUCT((表成绩单[考试日期]=表成绩单[[#This Row],[考试日期]])*(表成绩单[英语]&lt;9E+307)*(表成绩单[英语]&gt;表成绩单[[#This Row],[英语]]))+1)</f>
        <v>447</v>
      </c>
      <c r="S2002" s="29" cm="1">
        <f t="array" ref="S2002">IF(表成绩单[[#This Row],[物理]]="","",SUMPRODUCT((表成绩单[考试日期]=表成绩单[[#This Row],[考试日期]])*(表成绩单[物理]&lt;9E+307)*(表成绩单[物理]&gt;表成绩单[[#This Row],[物理]]))+1)</f>
        <v>394</v>
      </c>
      <c r="T2002" s="29" cm="1">
        <f t="array" ref="T2002">IF(表成绩单[[#This Row],[化学]]="","",SUMPRODUCT((表成绩单[考试日期]=表成绩单[[#This Row],[考试日期]])*(表成绩单[化学]&lt;9E+307)*(表成绩单[化学]&gt;表成绩单[[#This Row],[化学]]))+1)</f>
        <v>318</v>
      </c>
      <c r="U2002" s="29" cm="1">
        <f t="array" ref="U2002">IF(表成绩单[[#This Row],[政治]]="","",SUMPRODUCT((表成绩单[考试日期]=表成绩单[[#This Row],[考试日期]])*(表成绩单[政治]&lt;9E+307)*(表成绩单[政治]&gt;表成绩单[[#This Row],[政治]]))+1)</f>
        <v>274</v>
      </c>
      <c r="V2002" s="29" cm="1">
        <f t="array" ref="V2002">IF(表成绩单[[#This Row],[历史]]="","",SUMPRODUCT((表成绩单[考试日期]=表成绩单[[#This Row],[考试日期]])*(表成绩单[历史]&lt;9E+307)*(表成绩单[历史]&gt;表成绩单[[#This Row],[历史]]))+1)</f>
        <v>297</v>
      </c>
      <c r="W2002" s="29" cm="1">
        <f t="array" ref="W2002">IF(表成绩单[[#This Row],[总分]]="","",SUMPRODUCT((表成绩单[考试日期]=表成绩单[[#This Row],[考试日期]])*(表成绩单[总分]&lt;9E+307)*(表成绩单[总分]&gt;表成绩单[[#This Row],[总分]]))+1)</f>
        <v>395</v>
      </c>
    </row>
    <row r="2003" ht="28" customHeight="1" spans="4:23">
      <c r="D2003" s="31">
        <v>46030</v>
      </c>
      <c r="E2003" s="29">
        <v>19173766</v>
      </c>
      <c r="F2003" s="29" t="s">
        <v>65</v>
      </c>
      <c r="G2003" s="29" t="s">
        <v>436</v>
      </c>
      <c r="H2003" s="29">
        <v>101</v>
      </c>
      <c r="I2003" s="29">
        <v>77</v>
      </c>
      <c r="J2003" s="29">
        <v>59</v>
      </c>
      <c r="K2003" s="29">
        <v>69</v>
      </c>
      <c r="L2003" s="29">
        <v>71</v>
      </c>
      <c r="M2003" s="29">
        <v>78</v>
      </c>
      <c r="N2003" s="29">
        <v>58</v>
      </c>
      <c r="O2003" s="32">
        <v>513</v>
      </c>
      <c r="P2003" s="29" cm="1">
        <f t="array" ref="P2003">IF(表成绩单[[#This Row],[语文]]="","",SUMPRODUCT((表成绩单[考试日期]=表成绩单[[#This Row],[考试日期]])*(表成绩单[语文]&lt;9E+307)*(表成绩单[语文]&gt;表成绩单[[#This Row],[语文]]))+1)</f>
        <v>159</v>
      </c>
      <c r="Q2003" s="29" cm="1">
        <f t="array" ref="Q2003">IF(表成绩单[[#This Row],[数学]]="","",SUMPRODUCT((表成绩单[考试日期]=表成绩单[[#This Row],[考试日期]])*(表成绩单[数学]&lt;9E+307)*(表成绩单[数学]&gt;表成绩单[[#This Row],[数学]]))+1)</f>
        <v>478</v>
      </c>
      <c r="R2003" s="29" cm="1">
        <f t="array" ref="R2003">IF(表成绩单[[#This Row],[英语]]="","",SUMPRODUCT((表成绩单[考试日期]=表成绩单[[#This Row],[考试日期]])*(表成绩单[英语]&lt;9E+307)*(表成绩单[英语]&gt;表成绩单[[#This Row],[英语]]))+1)</f>
        <v>538</v>
      </c>
      <c r="S2003" s="29" cm="1">
        <f t="array" ref="S2003">IF(表成绩单[[#This Row],[物理]]="","",SUMPRODUCT((表成绩单[考试日期]=表成绩单[[#This Row],[考试日期]])*(表成绩单[物理]&lt;9E+307)*(表成绩单[物理]&gt;表成绩单[[#This Row],[物理]]))+1)</f>
        <v>356</v>
      </c>
      <c r="T2003" s="29" cm="1">
        <f t="array" ref="T2003">IF(表成绩单[[#This Row],[化学]]="","",SUMPRODUCT((表成绩单[考试日期]=表成绩单[[#This Row],[考试日期]])*(表成绩单[化学]&lt;9E+307)*(表成绩单[化学]&gt;表成绩单[[#This Row],[化学]]))+1)</f>
        <v>297</v>
      </c>
      <c r="U2003" s="29" cm="1">
        <f t="array" ref="U2003">IF(表成绩单[[#This Row],[政治]]="","",SUMPRODUCT((表成绩单[考试日期]=表成绩单[[#This Row],[考试日期]])*(表成绩单[政治]&lt;9E+307)*(表成绩单[政治]&gt;表成绩单[[#This Row],[政治]]))+1)</f>
        <v>65</v>
      </c>
      <c r="V2003" s="29" cm="1">
        <f t="array" ref="V2003">IF(表成绩单[[#This Row],[历史]]="","",SUMPRODUCT((表成绩单[考试日期]=表成绩单[[#This Row],[考试日期]])*(表成绩单[历史]&lt;9E+307)*(表成绩单[历史]&gt;表成绩单[[#This Row],[历史]]))+1)</f>
        <v>620</v>
      </c>
      <c r="W2003" s="29" cm="1">
        <f t="array" ref="W2003">IF(表成绩单[[#This Row],[总分]]="","",SUMPRODUCT((表成绩单[考试日期]=表成绩单[[#This Row],[考试日期]])*(表成绩单[总分]&lt;9E+307)*(表成绩单[总分]&gt;表成绩单[[#This Row],[总分]]))+1)</f>
        <v>397</v>
      </c>
    </row>
    <row r="2004" ht="28" customHeight="1" spans="4:23">
      <c r="D2004" s="31">
        <v>46030</v>
      </c>
      <c r="E2004" s="29">
        <v>19174461</v>
      </c>
      <c r="F2004" s="29" t="s">
        <v>73</v>
      </c>
      <c r="G2004" s="29" t="s">
        <v>471</v>
      </c>
      <c r="H2004" s="29">
        <v>92</v>
      </c>
      <c r="I2004" s="29">
        <v>79</v>
      </c>
      <c r="J2004" s="29">
        <v>66.5</v>
      </c>
      <c r="K2004" s="29">
        <v>73</v>
      </c>
      <c r="L2004" s="29">
        <v>69</v>
      </c>
      <c r="M2004" s="29">
        <v>66</v>
      </c>
      <c r="N2004" s="29">
        <v>67</v>
      </c>
      <c r="O2004" s="32">
        <v>512.5</v>
      </c>
      <c r="P2004" s="29" cm="1">
        <f t="array" ref="P2004">IF(表成绩单[[#This Row],[语文]]="","",SUMPRODUCT((表成绩单[考试日期]=表成绩单[[#This Row],[考试日期]])*(表成绩单[语文]&lt;9E+307)*(表成绩单[语文]&gt;表成绩单[[#This Row],[语文]]))+1)</f>
        <v>444</v>
      </c>
      <c r="Q2004" s="29" cm="1">
        <f t="array" ref="Q2004">IF(表成绩单[[#This Row],[数学]]="","",SUMPRODUCT((表成绩单[考试日期]=表成绩单[[#This Row],[考试日期]])*(表成绩单[数学]&lt;9E+307)*(表成绩单[数学]&gt;表成绩单[[#This Row],[数学]]))+1)</f>
        <v>427</v>
      </c>
      <c r="R2004" s="29" cm="1">
        <f t="array" ref="R2004">IF(表成绩单[[#This Row],[英语]]="","",SUMPRODUCT((表成绩单[考试日期]=表成绩单[[#This Row],[考试日期]])*(表成绩单[英语]&lt;9E+307)*(表成绩单[英语]&gt;表成绩单[[#This Row],[英语]]))+1)</f>
        <v>402</v>
      </c>
      <c r="S2004" s="29" cm="1">
        <f t="array" ref="S2004">IF(表成绩单[[#This Row],[物理]]="","",SUMPRODUCT((表成绩单[考试日期]=表成绩单[[#This Row],[考试日期]])*(表成绩单[物理]&lt;9E+307)*(表成绩单[物理]&gt;表成绩单[[#This Row],[物理]]))+1)</f>
        <v>271</v>
      </c>
      <c r="T2004" s="29" cm="1">
        <f t="array" ref="T2004">IF(表成绩单[[#This Row],[化学]]="","",SUMPRODUCT((表成绩单[考试日期]=表成绩单[[#This Row],[考试日期]])*(表成绩单[化学]&lt;9E+307)*(表成绩单[化学]&gt;表成绩单[[#This Row],[化学]]))+1)</f>
        <v>339</v>
      </c>
      <c r="U2004" s="29" cm="1">
        <f t="array" ref="U2004">IF(表成绩单[[#This Row],[政治]]="","",SUMPRODUCT((表成绩单[考试日期]=表成绩单[[#This Row],[考试日期]])*(表成绩单[政治]&lt;9E+307)*(表成绩单[政治]&gt;表成绩单[[#This Row],[政治]]))+1)</f>
        <v>397</v>
      </c>
      <c r="V2004" s="29" cm="1">
        <f t="array" ref="V2004">IF(表成绩单[[#This Row],[历史]]="","",SUMPRODUCT((表成绩单[考试日期]=表成绩单[[#This Row],[考试日期]])*(表成绩单[历史]&lt;9E+307)*(表成绩单[历史]&gt;表成绩单[[#This Row],[历史]]))+1)</f>
        <v>415</v>
      </c>
      <c r="W2004" s="29" cm="1">
        <f t="array" ref="W2004">IF(表成绩单[[#This Row],[总分]]="","",SUMPRODUCT((表成绩单[考试日期]=表成绩单[[#This Row],[考试日期]])*(表成绩单[总分]&lt;9E+307)*(表成绩单[总分]&gt;表成绩单[[#This Row],[总分]]))+1)</f>
        <v>398</v>
      </c>
    </row>
    <row r="2005" ht="28" customHeight="1" spans="4:23">
      <c r="D2005" s="31">
        <v>46030</v>
      </c>
      <c r="E2005" s="29">
        <v>19175649</v>
      </c>
      <c r="F2005" s="29" t="s">
        <v>66</v>
      </c>
      <c r="G2005" s="29" t="s">
        <v>474</v>
      </c>
      <c r="H2005" s="29">
        <v>97</v>
      </c>
      <c r="I2005" s="29">
        <v>91</v>
      </c>
      <c r="J2005" s="29">
        <v>69.5</v>
      </c>
      <c r="K2005" s="29">
        <v>62</v>
      </c>
      <c r="L2005" s="29">
        <v>57</v>
      </c>
      <c r="M2005" s="29">
        <v>64</v>
      </c>
      <c r="N2005" s="29">
        <v>72</v>
      </c>
      <c r="O2005" s="32">
        <v>512.5</v>
      </c>
      <c r="P2005" s="29" cm="1">
        <f t="array" ref="P2005">IF(表成绩单[[#This Row],[语文]]="","",SUMPRODUCT((表成绩单[考试日期]=表成绩单[[#This Row],[考试日期]])*(表成绩单[语文]&lt;9E+307)*(表成绩单[语文]&gt;表成绩单[[#This Row],[语文]]))+1)</f>
        <v>291</v>
      </c>
      <c r="Q2005" s="29" cm="1">
        <f t="array" ref="Q2005">IF(表成绩单[[#This Row],[数学]]="","",SUMPRODUCT((表成绩单[考试日期]=表成绩单[[#This Row],[考试日期]])*(表成绩单[数学]&lt;9E+307)*(表成绩单[数学]&gt;表成绩单[[#This Row],[数学]]))+1)</f>
        <v>204</v>
      </c>
      <c r="R2005" s="29" cm="1">
        <f t="array" ref="R2005">IF(表成绩单[[#This Row],[英语]]="","",SUMPRODUCT((表成绩单[考试日期]=表成绩单[[#This Row],[考试日期]])*(表成绩单[英语]&lt;9E+307)*(表成绩单[英语]&gt;表成绩单[[#This Row],[英语]]))+1)</f>
        <v>330</v>
      </c>
      <c r="S2005" s="29" cm="1">
        <f t="array" ref="S2005">IF(表成绩单[[#This Row],[物理]]="","",SUMPRODUCT((表成绩单[考试日期]=表成绩单[[#This Row],[考试日期]])*(表成绩单[物理]&lt;9E+307)*(表成绩单[物理]&gt;表成绩单[[#This Row],[物理]]))+1)</f>
        <v>470</v>
      </c>
      <c r="T2005" s="29" cm="1">
        <f t="array" ref="T2005">IF(表成绩单[[#This Row],[化学]]="","",SUMPRODUCT((表成绩单[考试日期]=表成绩单[[#This Row],[考试日期]])*(表成绩单[化学]&lt;9E+307)*(表成绩单[化学]&gt;表成绩单[[#This Row],[化学]]))+1)</f>
        <v>564</v>
      </c>
      <c r="U2005" s="29" cm="1">
        <f t="array" ref="U2005">IF(表成绩单[[#This Row],[政治]]="","",SUMPRODUCT((表成绩单[考试日期]=表成绩单[[#This Row],[考试日期]])*(表成绩单[政治]&lt;9E+307)*(表成绩单[政治]&gt;表成绩单[[#This Row],[政治]]))+1)</f>
        <v>457</v>
      </c>
      <c r="V2005" s="29" cm="1">
        <f t="array" ref="V2005">IF(表成绩单[[#This Row],[历史]]="","",SUMPRODUCT((表成绩单[考试日期]=表成绩单[[#This Row],[考试日期]])*(表成绩单[历史]&lt;9E+307)*(表成绩单[历史]&gt;表成绩单[[#This Row],[历史]]))+1)</f>
        <v>266</v>
      </c>
      <c r="W2005" s="29" cm="1">
        <f t="array" ref="W2005">IF(表成绩单[[#This Row],[总分]]="","",SUMPRODUCT((表成绩单[考试日期]=表成绩单[[#This Row],[考试日期]])*(表成绩单[总分]&lt;9E+307)*(表成绩单[总分]&gt;表成绩单[[#This Row],[总分]]))+1)</f>
        <v>398</v>
      </c>
    </row>
    <row r="2006" ht="28" customHeight="1" spans="4:23">
      <c r="D2006" s="31">
        <v>46030</v>
      </c>
      <c r="E2006" s="29">
        <v>19173281</v>
      </c>
      <c r="F2006" s="29" t="s">
        <v>61</v>
      </c>
      <c r="G2006" s="29" t="s">
        <v>398</v>
      </c>
      <c r="H2006" s="29">
        <v>94</v>
      </c>
      <c r="I2006" s="29">
        <v>86</v>
      </c>
      <c r="J2006" s="29">
        <v>64.5</v>
      </c>
      <c r="K2006" s="29">
        <v>69</v>
      </c>
      <c r="L2006" s="29">
        <v>67</v>
      </c>
      <c r="M2006" s="29">
        <v>67</v>
      </c>
      <c r="N2006" s="29">
        <v>64</v>
      </c>
      <c r="O2006" s="32">
        <v>511.5</v>
      </c>
      <c r="P2006" s="29" cm="1">
        <f t="array" ref="P2006">IF(表成绩单[[#This Row],[语文]]="","",SUMPRODUCT((表成绩单[考试日期]=表成绩单[[#This Row],[考试日期]])*(表成绩单[语文]&lt;9E+307)*(表成绩单[语文]&gt;表成绩单[[#This Row],[语文]]))+1)</f>
        <v>381</v>
      </c>
      <c r="Q2006" s="29" cm="1">
        <f t="array" ref="Q2006">IF(表成绩单[[#This Row],[数学]]="","",SUMPRODUCT((表成绩单[考试日期]=表成绩单[[#This Row],[考试日期]])*(表成绩单[数学]&lt;9E+307)*(表成绩单[数学]&gt;表成绩单[[#This Row],[数学]]))+1)</f>
        <v>302</v>
      </c>
      <c r="R2006" s="29" cm="1">
        <f t="array" ref="R2006">IF(表成绩单[[#This Row],[英语]]="","",SUMPRODUCT((表成绩单[考试日期]=表成绩单[[#This Row],[考试日期]])*(表成绩单[英语]&lt;9E+307)*(表成绩单[英语]&gt;表成绩单[[#This Row],[英语]]))+1)</f>
        <v>447</v>
      </c>
      <c r="S2006" s="29" cm="1">
        <f t="array" ref="S2006">IF(表成绩单[[#This Row],[物理]]="","",SUMPRODUCT((表成绩单[考试日期]=表成绩单[[#This Row],[考试日期]])*(表成绩单[物理]&lt;9E+307)*(表成绩单[物理]&gt;表成绩单[[#This Row],[物理]]))+1)</f>
        <v>356</v>
      </c>
      <c r="T2006" s="29" cm="1">
        <f t="array" ref="T2006">IF(表成绩单[[#This Row],[化学]]="","",SUMPRODUCT((表成绩单[考试日期]=表成绩单[[#This Row],[考试日期]])*(表成绩单[化学]&lt;9E+307)*(表成绩单[化学]&gt;表成绩单[[#This Row],[化学]]))+1)</f>
        <v>381</v>
      </c>
      <c r="U2006" s="29" cm="1">
        <f t="array" ref="U2006">IF(表成绩单[[#This Row],[政治]]="","",SUMPRODUCT((表成绩单[考试日期]=表成绩单[[#This Row],[考试日期]])*(表成绩单[政治]&lt;9E+307)*(表成绩单[政治]&gt;表成绩单[[#This Row],[政治]]))+1)</f>
        <v>370</v>
      </c>
      <c r="V2006" s="29" cm="1">
        <f t="array" ref="V2006">IF(表成绩单[[#This Row],[历史]]="","",SUMPRODUCT((表成绩单[考试日期]=表成绩单[[#This Row],[考试日期]])*(表成绩单[历史]&lt;9E+307)*(表成绩单[历史]&gt;表成绩单[[#This Row],[历史]]))+1)</f>
        <v>509</v>
      </c>
      <c r="W2006" s="29" cm="1">
        <f t="array" ref="W2006">IF(表成绩单[[#This Row],[总分]]="","",SUMPRODUCT((表成绩单[考试日期]=表成绩单[[#This Row],[考试日期]])*(表成绩单[总分]&lt;9E+307)*(表成绩单[总分]&gt;表成绩单[[#This Row],[总分]]))+1)</f>
        <v>400</v>
      </c>
    </row>
    <row r="2007" ht="28" customHeight="1" spans="4:23">
      <c r="D2007" s="31">
        <v>46030</v>
      </c>
      <c r="E2007" s="29">
        <v>19173784</v>
      </c>
      <c r="F2007" s="29" t="s">
        <v>65</v>
      </c>
      <c r="G2007" s="29" t="s">
        <v>555</v>
      </c>
      <c r="H2007" s="29">
        <v>97</v>
      </c>
      <c r="I2007" s="29">
        <v>93</v>
      </c>
      <c r="J2007" s="29">
        <v>71.5</v>
      </c>
      <c r="K2007" s="29">
        <v>61</v>
      </c>
      <c r="L2007" s="29">
        <v>66</v>
      </c>
      <c r="M2007" s="29">
        <v>75</v>
      </c>
      <c r="N2007" s="29">
        <v>48</v>
      </c>
      <c r="O2007" s="32">
        <v>511.5</v>
      </c>
      <c r="P2007" s="29" cm="1">
        <f t="array" ref="P2007">IF(表成绩单[[#This Row],[语文]]="","",SUMPRODUCT((表成绩单[考试日期]=表成绩单[[#This Row],[考试日期]])*(表成绩单[语文]&lt;9E+307)*(表成绩单[语文]&gt;表成绩单[[#This Row],[语文]]))+1)</f>
        <v>291</v>
      </c>
      <c r="Q2007" s="29" cm="1">
        <f t="array" ref="Q2007">IF(表成绩单[[#This Row],[数学]]="","",SUMPRODUCT((表成绩单[考试日期]=表成绩单[[#This Row],[考试日期]])*(表成绩单[数学]&lt;9E+307)*(表成绩单[数学]&gt;表成绩单[[#This Row],[数学]]))+1)</f>
        <v>188</v>
      </c>
      <c r="R2007" s="29" cm="1">
        <f t="array" ref="R2007">IF(表成绩单[[#This Row],[英语]]="","",SUMPRODUCT((表成绩单[考试日期]=表成绩单[[#This Row],[考试日期]])*(表成绩单[英语]&lt;9E+307)*(表成绩单[英语]&gt;表成绩单[[#This Row],[英语]]))+1)</f>
        <v>271</v>
      </c>
      <c r="S2007" s="29" cm="1">
        <f t="array" ref="S2007">IF(表成绩单[[#This Row],[物理]]="","",SUMPRODUCT((表成绩单[考试日期]=表成绩单[[#This Row],[考试日期]])*(表成绩单[物理]&lt;9E+307)*(表成绩单[物理]&gt;表成绩单[[#This Row],[物理]]))+1)</f>
        <v>482</v>
      </c>
      <c r="T2007" s="29" cm="1">
        <f t="array" ref="T2007">IF(表成绩单[[#This Row],[化学]]="","",SUMPRODUCT((表成绩单[考试日期]=表成绩单[[#This Row],[考试日期]])*(表成绩单[化学]&lt;9E+307)*(表成绩单[化学]&gt;表成绩单[[#This Row],[化学]]))+1)</f>
        <v>414</v>
      </c>
      <c r="U2007" s="29" cm="1">
        <f t="array" ref="U2007">IF(表成绩单[[#This Row],[政治]]="","",SUMPRODUCT((表成绩单[考试日期]=表成绩单[[#This Row],[考试日期]])*(表成绩单[政治]&lt;9E+307)*(表成绩单[政治]&gt;表成绩单[[#This Row],[政治]]))+1)</f>
        <v>137</v>
      </c>
      <c r="V2007" s="29" cm="1">
        <f t="array" ref="V2007">IF(表成绩单[[#This Row],[历史]]="","",SUMPRODUCT((表成绩单[考试日期]=表成绩单[[#This Row],[考试日期]])*(表成绩单[历史]&lt;9E+307)*(表成绩单[历史]&gt;表成绩单[[#This Row],[历史]]))+1)</f>
        <v>733</v>
      </c>
      <c r="W2007" s="29" cm="1">
        <f t="array" ref="W2007">IF(表成绩单[[#This Row],[总分]]="","",SUMPRODUCT((表成绩单[考试日期]=表成绩单[[#This Row],[考试日期]])*(表成绩单[总分]&lt;9E+307)*(表成绩单[总分]&gt;表成绩单[[#This Row],[总分]]))+1)</f>
        <v>400</v>
      </c>
    </row>
    <row r="2008" ht="28" customHeight="1" spans="4:23">
      <c r="D2008" s="31">
        <v>46030</v>
      </c>
      <c r="E2008" s="29">
        <v>19175676</v>
      </c>
      <c r="F2008" s="29" t="s">
        <v>72</v>
      </c>
      <c r="G2008" s="29" t="s">
        <v>483</v>
      </c>
      <c r="H2008" s="29">
        <v>82</v>
      </c>
      <c r="I2008" s="29">
        <v>88</v>
      </c>
      <c r="J2008" s="29">
        <v>65.5</v>
      </c>
      <c r="K2008" s="29">
        <v>76</v>
      </c>
      <c r="L2008" s="29">
        <v>73</v>
      </c>
      <c r="M2008" s="29">
        <v>62</v>
      </c>
      <c r="N2008" s="29">
        <v>65</v>
      </c>
      <c r="O2008" s="32">
        <v>511.5</v>
      </c>
      <c r="P2008" s="29" cm="1">
        <f t="array" ref="P2008">IF(表成绩单[[#This Row],[语文]]="","",SUMPRODUCT((表成绩单[考试日期]=表成绩单[[#This Row],[考试日期]])*(表成绩单[语文]&lt;9E+307)*(表成绩单[语文]&gt;表成绩单[[#This Row],[语文]]))+1)</f>
        <v>655</v>
      </c>
      <c r="Q2008" s="29" cm="1">
        <f t="array" ref="Q2008">IF(表成绩单[[#This Row],[数学]]="","",SUMPRODUCT((表成绩单[考试日期]=表成绩单[[#This Row],[考试日期]])*(表成绩单[数学]&lt;9E+307)*(表成绩单[数学]&gt;表成绩单[[#This Row],[数学]]))+1)</f>
        <v>245</v>
      </c>
      <c r="R2008" s="29" cm="1">
        <f t="array" ref="R2008">IF(表成绩单[[#This Row],[英语]]="","",SUMPRODUCT((表成绩单[考试日期]=表成绩单[[#This Row],[考试日期]])*(表成绩单[英语]&lt;9E+307)*(表成绩单[英语]&gt;表成绩单[[#This Row],[英语]]))+1)</f>
        <v>429</v>
      </c>
      <c r="S2008" s="29" cm="1">
        <f t="array" ref="S2008">IF(表成绩单[[#This Row],[物理]]="","",SUMPRODUCT((表成绩单[考试日期]=表成绩单[[#This Row],[考试日期]])*(表成绩单[物理]&lt;9E+307)*(表成绩单[物理]&gt;表成绩单[[#This Row],[物理]]))+1)</f>
        <v>218</v>
      </c>
      <c r="T2008" s="29" cm="1">
        <f t="array" ref="T2008">IF(表成绩单[[#This Row],[化学]]="","",SUMPRODUCT((表成绩单[考试日期]=表成绩单[[#This Row],[考试日期]])*(表成绩单[化学]&lt;9E+307)*(表成绩单[化学]&gt;表成绩单[[#This Row],[化学]]))+1)</f>
        <v>236</v>
      </c>
      <c r="U2008" s="29" cm="1">
        <f t="array" ref="U2008">IF(表成绩单[[#This Row],[政治]]="","",SUMPRODUCT((表成绩单[考试日期]=表成绩单[[#This Row],[考试日期]])*(表成绩单[政治]&lt;9E+307)*(表成绩单[政治]&gt;表成绩单[[#This Row],[政治]]))+1)</f>
        <v>508</v>
      </c>
      <c r="V2008" s="29" cm="1">
        <f t="array" ref="V2008">IF(表成绩单[[#This Row],[历史]]="","",SUMPRODUCT((表成绩单[考试日期]=表成绩单[[#This Row],[考试日期]])*(表成绩单[历史]&lt;9E+307)*(表成绩单[历史]&gt;表成绩单[[#This Row],[历史]]))+1)</f>
        <v>471</v>
      </c>
      <c r="W2008" s="29" cm="1">
        <f t="array" ref="W2008">IF(表成绩单[[#This Row],[总分]]="","",SUMPRODUCT((表成绩单[考试日期]=表成绩单[[#This Row],[考试日期]])*(表成绩单[总分]&lt;9E+307)*(表成绩单[总分]&gt;表成绩单[[#This Row],[总分]]))+1)</f>
        <v>400</v>
      </c>
    </row>
    <row r="2009" ht="28" customHeight="1" spans="4:23">
      <c r="D2009" s="31">
        <v>46030</v>
      </c>
      <c r="E2009" s="29">
        <v>19177228</v>
      </c>
      <c r="F2009" s="29" t="s">
        <v>70</v>
      </c>
      <c r="G2009" s="29" t="s">
        <v>511</v>
      </c>
      <c r="H2009" s="29">
        <v>97</v>
      </c>
      <c r="I2009" s="29">
        <v>87</v>
      </c>
      <c r="J2009" s="29">
        <v>73.5</v>
      </c>
      <c r="K2009" s="29">
        <v>62</v>
      </c>
      <c r="L2009" s="29">
        <v>67</v>
      </c>
      <c r="M2009" s="29">
        <v>60</v>
      </c>
      <c r="N2009" s="29">
        <v>65</v>
      </c>
      <c r="O2009" s="32">
        <v>511.5</v>
      </c>
      <c r="P2009" s="29" cm="1">
        <f t="array" ref="P2009">IF(表成绩单[[#This Row],[语文]]="","",SUMPRODUCT((表成绩单[考试日期]=表成绩单[[#This Row],[考试日期]])*(表成绩单[语文]&lt;9E+307)*(表成绩单[语文]&gt;表成绩单[[#This Row],[语文]]))+1)</f>
        <v>291</v>
      </c>
      <c r="Q2009" s="29" cm="1">
        <f t="array" ref="Q2009">IF(表成绩单[[#This Row],[数学]]="","",SUMPRODUCT((表成绩单[考试日期]=表成绩单[[#This Row],[考试日期]])*(表成绩单[数学]&lt;9E+307)*(表成绩单[数学]&gt;表成绩单[[#This Row],[数学]]))+1)</f>
        <v>270</v>
      </c>
      <c r="R2009" s="29" cm="1">
        <f t="array" ref="R2009">IF(表成绩单[[#This Row],[英语]]="","",SUMPRODUCT((表成绩单[考试日期]=表成绩单[[#This Row],[考试日期]])*(表成绩单[英语]&lt;9E+307)*(表成绩单[英语]&gt;表成绩单[[#This Row],[英语]]))+1)</f>
        <v>209</v>
      </c>
      <c r="S2009" s="29" cm="1">
        <f t="array" ref="S2009">IF(表成绩单[[#This Row],[物理]]="","",SUMPRODUCT((表成绩单[考试日期]=表成绩单[[#This Row],[考试日期]])*(表成绩单[物理]&lt;9E+307)*(表成绩单[物理]&gt;表成绩单[[#This Row],[物理]]))+1)</f>
        <v>470</v>
      </c>
      <c r="T2009" s="29" cm="1">
        <f t="array" ref="T2009">IF(表成绩单[[#This Row],[化学]]="","",SUMPRODUCT((表成绩单[考试日期]=表成绩单[[#This Row],[考试日期]])*(表成绩单[化学]&lt;9E+307)*(表成绩单[化学]&gt;表成绩单[[#This Row],[化学]]))+1)</f>
        <v>381</v>
      </c>
      <c r="U2009" s="29" cm="1">
        <f t="array" ref="U2009">IF(表成绩单[[#This Row],[政治]]="","",SUMPRODUCT((表成绩单[考试日期]=表成绩单[[#This Row],[考试日期]])*(表成绩单[政治]&lt;9E+307)*(表成绩单[政治]&gt;表成绩单[[#This Row],[政治]]))+1)</f>
        <v>544</v>
      </c>
      <c r="V2009" s="29" cm="1">
        <f t="array" ref="V2009">IF(表成绩单[[#This Row],[历史]]="","",SUMPRODUCT((表成绩单[考试日期]=表成绩单[[#This Row],[考试日期]])*(表成绩单[历史]&lt;9E+307)*(表成绩单[历史]&gt;表成绩单[[#This Row],[历史]]))+1)</f>
        <v>471</v>
      </c>
      <c r="W2009" s="29" cm="1">
        <f t="array" ref="W2009">IF(表成绩单[[#This Row],[总分]]="","",SUMPRODUCT((表成绩单[考试日期]=表成绩单[[#This Row],[考试日期]])*(表成绩单[总分]&lt;9E+307)*(表成绩单[总分]&gt;表成绩单[[#This Row],[总分]]))+1)</f>
        <v>400</v>
      </c>
    </row>
    <row r="2010" ht="28" customHeight="1" spans="4:23">
      <c r="D2010" s="31">
        <v>46030</v>
      </c>
      <c r="E2010" s="29">
        <v>19177673</v>
      </c>
      <c r="F2010" s="29" t="s">
        <v>63</v>
      </c>
      <c r="G2010" s="29" t="s">
        <v>423</v>
      </c>
      <c r="H2010" s="29">
        <v>98</v>
      </c>
      <c r="I2010" s="29">
        <v>86</v>
      </c>
      <c r="J2010" s="29">
        <v>49.5</v>
      </c>
      <c r="K2010" s="29">
        <v>68</v>
      </c>
      <c r="L2010" s="29">
        <v>72</v>
      </c>
      <c r="M2010" s="29">
        <v>69</v>
      </c>
      <c r="N2010" s="29">
        <v>69</v>
      </c>
      <c r="O2010" s="32">
        <v>511.5</v>
      </c>
      <c r="P2010" s="29" cm="1">
        <f t="array" ref="P2010">IF(表成绩单[[#This Row],[语文]]="","",SUMPRODUCT((表成绩单[考试日期]=表成绩单[[#This Row],[考试日期]])*(表成绩单[语文]&lt;9E+307)*(表成绩单[语文]&gt;表成绩单[[#This Row],[语文]]))+1)</f>
        <v>248</v>
      </c>
      <c r="Q2010" s="29" cm="1">
        <f t="array" ref="Q2010">IF(表成绩单[[#This Row],[数学]]="","",SUMPRODUCT((表成绩单[考试日期]=表成绩单[[#This Row],[考试日期]])*(表成绩单[数学]&lt;9E+307)*(表成绩单[数学]&gt;表成绩单[[#This Row],[数学]]))+1)</f>
        <v>302</v>
      </c>
      <c r="R2010" s="29" cm="1">
        <f t="array" ref="R2010">IF(表成绩单[[#This Row],[英语]]="","",SUMPRODUCT((表成绩单[考试日期]=表成绩单[[#This Row],[考试日期]])*(表成绩单[英语]&lt;9E+307)*(表成绩单[英语]&gt;表成绩单[[#This Row],[英语]]))+1)</f>
        <v>651</v>
      </c>
      <c r="S2010" s="29" cm="1">
        <f t="array" ref="S2010">IF(表成绩单[[#This Row],[物理]]="","",SUMPRODUCT((表成绩单[考试日期]=表成绩单[[#This Row],[考试日期]])*(表成绩单[物理]&lt;9E+307)*(表成绩单[物理]&gt;表成绩单[[#This Row],[物理]]))+1)</f>
        <v>372</v>
      </c>
      <c r="T2010" s="29" cm="1">
        <f t="array" ref="T2010">IF(表成绩单[[#This Row],[化学]]="","",SUMPRODUCT((表成绩单[考试日期]=表成绩单[[#This Row],[考试日期]])*(表成绩单[化学]&lt;9E+307)*(表成绩单[化学]&gt;表成绩单[[#This Row],[化学]]))+1)</f>
        <v>271</v>
      </c>
      <c r="U2010" s="29" cm="1">
        <f t="array" ref="U2010">IF(表成绩单[[#This Row],[政治]]="","",SUMPRODUCT((表成绩单[考试日期]=表成绩单[[#This Row],[考试日期]])*(表成绩单[政治]&lt;9E+307)*(表成绩单[政治]&gt;表成绩单[[#This Row],[政治]]))+1)</f>
        <v>308</v>
      </c>
      <c r="V2010" s="29" cm="1">
        <f t="array" ref="V2010">IF(表成绩单[[#This Row],[历史]]="","",SUMPRODUCT((表成绩单[考试日期]=表成绩单[[#This Row],[考试日期]])*(表成绩单[历史]&lt;9E+307)*(表成绩单[历史]&gt;表成绩单[[#This Row],[历史]]))+1)</f>
        <v>366</v>
      </c>
      <c r="W2010" s="29" cm="1">
        <f t="array" ref="W2010">IF(表成绩单[[#This Row],[总分]]="","",SUMPRODUCT((表成绩单[考试日期]=表成绩单[[#This Row],[考试日期]])*(表成绩单[总分]&lt;9E+307)*(表成绩单[总分]&gt;表成绩单[[#This Row],[总分]]))+1)</f>
        <v>400</v>
      </c>
    </row>
    <row r="2011" ht="28" customHeight="1" spans="4:23">
      <c r="D2011" s="31">
        <v>46030</v>
      </c>
      <c r="E2011" s="29">
        <v>30010796</v>
      </c>
      <c r="F2011" s="29" t="s">
        <v>66</v>
      </c>
      <c r="G2011" s="29" t="s">
        <v>501</v>
      </c>
      <c r="H2011" s="29">
        <v>105</v>
      </c>
      <c r="I2011" s="29">
        <v>77</v>
      </c>
      <c r="J2011" s="29">
        <v>65.5</v>
      </c>
      <c r="K2011" s="29">
        <v>65</v>
      </c>
      <c r="L2011" s="29">
        <v>68</v>
      </c>
      <c r="M2011" s="29">
        <v>65</v>
      </c>
      <c r="N2011" s="29">
        <v>66</v>
      </c>
      <c r="O2011" s="32">
        <v>511.5</v>
      </c>
      <c r="P2011" s="29" cm="1">
        <f t="array" ref="P2011">IF(表成绩单[[#This Row],[语文]]="","",SUMPRODUCT((表成绩单[考试日期]=表成绩单[[#This Row],[考试日期]])*(表成绩单[语文]&lt;9E+307)*(表成绩单[语文]&gt;表成绩单[[#This Row],[语文]]))+1)</f>
        <v>62</v>
      </c>
      <c r="Q2011" s="29" cm="1">
        <f t="array" ref="Q2011">IF(表成绩单[[#This Row],[数学]]="","",SUMPRODUCT((表成绩单[考试日期]=表成绩单[[#This Row],[考试日期]])*(表成绩单[数学]&lt;9E+307)*(表成绩单[数学]&gt;表成绩单[[#This Row],[数学]]))+1)</f>
        <v>478</v>
      </c>
      <c r="R2011" s="29" cm="1">
        <f t="array" ref="R2011">IF(表成绩单[[#This Row],[英语]]="","",SUMPRODUCT((表成绩单[考试日期]=表成绩单[[#This Row],[考试日期]])*(表成绩单[英语]&lt;9E+307)*(表成绩单[英语]&gt;表成绩单[[#This Row],[英语]]))+1)</f>
        <v>429</v>
      </c>
      <c r="S2011" s="29" cm="1">
        <f t="array" ref="S2011">IF(表成绩单[[#This Row],[物理]]="","",SUMPRODUCT((表成绩单[考试日期]=表成绩单[[#This Row],[考试日期]])*(表成绩单[物理]&lt;9E+307)*(表成绩单[物理]&gt;表成绩单[[#This Row],[物理]]))+1)</f>
        <v>427</v>
      </c>
      <c r="T2011" s="29" cm="1">
        <f t="array" ref="T2011">IF(表成绩单[[#This Row],[化学]]="","",SUMPRODUCT((表成绩单[考试日期]=表成绩单[[#This Row],[考试日期]])*(表成绩单[化学]&lt;9E+307)*(表成绩单[化学]&gt;表成绩单[[#This Row],[化学]]))+1)</f>
        <v>358</v>
      </c>
      <c r="U2011" s="29" cm="1">
        <f t="array" ref="U2011">IF(表成绩单[[#This Row],[政治]]="","",SUMPRODUCT((表成绩单[考试日期]=表成绩单[[#This Row],[考试日期]])*(表成绩单[政治]&lt;9E+307)*(表成绩单[政治]&gt;表成绩单[[#This Row],[政治]]))+1)</f>
        <v>431</v>
      </c>
      <c r="V2011" s="29" cm="1">
        <f t="array" ref="V2011">IF(表成绩单[[#This Row],[历史]]="","",SUMPRODUCT((表成绩单[考试日期]=表成绩单[[#This Row],[考试日期]])*(表成绩单[历史]&lt;9E+307)*(表成绩单[历史]&gt;表成绩单[[#This Row],[历史]]))+1)</f>
        <v>451</v>
      </c>
      <c r="W2011" s="29" cm="1">
        <f t="array" ref="W2011">IF(表成绩单[[#This Row],[总分]]="","",SUMPRODUCT((表成绩单[考试日期]=表成绩单[[#This Row],[考试日期]])*(表成绩单[总分]&lt;9E+307)*(表成绩单[总分]&gt;表成绩单[[#This Row],[总分]]))+1)</f>
        <v>400</v>
      </c>
    </row>
    <row r="2012" ht="28" customHeight="1" spans="4:23">
      <c r="D2012" s="31">
        <v>46030</v>
      </c>
      <c r="E2012" s="29">
        <v>19176162</v>
      </c>
      <c r="F2012" s="29" t="s">
        <v>67</v>
      </c>
      <c r="G2012" s="29" t="s">
        <v>383</v>
      </c>
      <c r="H2012" s="29">
        <v>94</v>
      </c>
      <c r="I2012" s="29">
        <v>86</v>
      </c>
      <c r="J2012" s="29">
        <v>72</v>
      </c>
      <c r="K2012" s="29">
        <v>65</v>
      </c>
      <c r="L2012" s="29">
        <v>63</v>
      </c>
      <c r="M2012" s="29">
        <v>63</v>
      </c>
      <c r="N2012" s="29">
        <v>68</v>
      </c>
      <c r="O2012" s="32">
        <v>511</v>
      </c>
      <c r="P2012" s="29" cm="1">
        <f t="array" ref="P2012">IF(表成绩单[[#This Row],[语文]]="","",SUMPRODUCT((表成绩单[考试日期]=表成绩单[[#This Row],[考试日期]])*(表成绩单[语文]&lt;9E+307)*(表成绩单[语文]&gt;表成绩单[[#This Row],[语文]]))+1)</f>
        <v>381</v>
      </c>
      <c r="Q2012" s="29" cm="1">
        <f t="array" ref="Q2012">IF(表成绩单[[#This Row],[数学]]="","",SUMPRODUCT((表成绩单[考试日期]=表成绩单[[#This Row],[考试日期]])*(表成绩单[数学]&lt;9E+307)*(表成绩单[数学]&gt;表成绩单[[#This Row],[数学]]))+1)</f>
        <v>302</v>
      </c>
      <c r="R2012" s="29" cm="1">
        <f t="array" ref="R2012">IF(表成绩单[[#This Row],[英语]]="","",SUMPRODUCT((表成绩单[考试日期]=表成绩单[[#This Row],[考试日期]])*(表成绩单[英语]&lt;9E+307)*(表成绩单[英语]&gt;表成绩单[[#This Row],[英语]]))+1)</f>
        <v>258</v>
      </c>
      <c r="S2012" s="29" cm="1">
        <f t="array" ref="S2012">IF(表成绩单[[#This Row],[物理]]="","",SUMPRODUCT((表成绩单[考试日期]=表成绩单[[#This Row],[考试日期]])*(表成绩单[物理]&lt;9E+307)*(表成绩单[物理]&gt;表成绩单[[#This Row],[物理]]))+1)</f>
        <v>427</v>
      </c>
      <c r="T2012" s="29" cm="1">
        <f t="array" ref="T2012">IF(表成绩单[[#This Row],[化学]]="","",SUMPRODUCT((表成绩单[考试日期]=表成绩单[[#This Row],[考试日期]])*(表成绩单[化学]&lt;9E+307)*(表成绩单[化学]&gt;表成绩单[[#This Row],[化学]]))+1)</f>
        <v>472</v>
      </c>
      <c r="U2012" s="29" cm="1">
        <f t="array" ref="U2012">IF(表成绩单[[#This Row],[政治]]="","",SUMPRODUCT((表成绩单[考试日期]=表成绩单[[#This Row],[考试日期]])*(表成绩单[政治]&lt;9E+307)*(表成绩单[政治]&gt;表成绩单[[#This Row],[政治]]))+1)</f>
        <v>486</v>
      </c>
      <c r="V2012" s="29" cm="1">
        <f t="array" ref="V2012">IF(表成绩单[[#This Row],[历史]]="","",SUMPRODUCT((表成绩单[考试日期]=表成绩单[[#This Row],[考试日期]])*(表成绩单[历史]&lt;9E+307)*(表成绩单[历史]&gt;表成绩单[[#This Row],[历史]]))+1)</f>
        <v>390</v>
      </c>
      <c r="W2012" s="29" cm="1">
        <f t="array" ref="W2012">IF(表成绩单[[#This Row],[总分]]="","",SUMPRODUCT((表成绩单[考试日期]=表成绩单[[#This Row],[考试日期]])*(表成绩单[总分]&lt;9E+307)*(表成绩单[总分]&gt;表成绩单[[#This Row],[总分]]))+1)</f>
        <v>406</v>
      </c>
    </row>
    <row r="2013" ht="28" customHeight="1" spans="4:23">
      <c r="D2013" s="31">
        <v>46030</v>
      </c>
      <c r="E2013" s="29">
        <v>19178637</v>
      </c>
      <c r="F2013" s="29" t="s">
        <v>25</v>
      </c>
      <c r="G2013" s="29" t="s">
        <v>503</v>
      </c>
      <c r="H2013" s="29">
        <v>96</v>
      </c>
      <c r="I2013" s="29">
        <v>88</v>
      </c>
      <c r="J2013" s="29">
        <v>75</v>
      </c>
      <c r="K2013" s="29">
        <v>49</v>
      </c>
      <c r="L2013" s="29">
        <v>69</v>
      </c>
      <c r="M2013" s="29">
        <v>64</v>
      </c>
      <c r="N2013" s="29">
        <v>70</v>
      </c>
      <c r="O2013" s="32">
        <v>511</v>
      </c>
      <c r="P2013" s="29" cm="1">
        <f t="array" ref="P2013">IF(表成绩单[[#This Row],[语文]]="","",SUMPRODUCT((表成绩单[考试日期]=表成绩单[[#This Row],[考试日期]])*(表成绩单[语文]&lt;9E+307)*(表成绩单[语文]&gt;表成绩单[[#This Row],[语文]]))+1)</f>
        <v>315</v>
      </c>
      <c r="Q2013" s="29" cm="1">
        <f t="array" ref="Q2013">IF(表成绩单[[#This Row],[数学]]="","",SUMPRODUCT((表成绩单[考试日期]=表成绩单[[#This Row],[考试日期]])*(表成绩单[数学]&lt;9E+307)*(表成绩单[数学]&gt;表成绩单[[#This Row],[数学]]))+1)</f>
        <v>245</v>
      </c>
      <c r="R2013" s="29" cm="1">
        <f t="array" ref="R2013">IF(表成绩单[[#This Row],[英语]]="","",SUMPRODUCT((表成绩单[考试日期]=表成绩单[[#This Row],[考试日期]])*(表成绩单[英语]&lt;9E+307)*(表成绩单[英语]&gt;表成绩单[[#This Row],[英语]]))+1)</f>
        <v>164</v>
      </c>
      <c r="S2013" s="29" cm="1">
        <f t="array" ref="S2013">IF(表成绩单[[#This Row],[物理]]="","",SUMPRODUCT((表成绩单[考试日期]=表成绩单[[#This Row],[考试日期]])*(表成绩单[物理]&lt;9E+307)*(表成绩单[物理]&gt;表成绩单[[#This Row],[物理]]))+1)</f>
        <v>619</v>
      </c>
      <c r="T2013" s="29" cm="1">
        <f t="array" ref="T2013">IF(表成绩单[[#This Row],[化学]]="","",SUMPRODUCT((表成绩单[考试日期]=表成绩单[[#This Row],[考试日期]])*(表成绩单[化学]&lt;9E+307)*(表成绩单[化学]&gt;表成绩单[[#This Row],[化学]]))+1)</f>
        <v>339</v>
      </c>
      <c r="U2013" s="29" cm="1">
        <f t="array" ref="U2013">IF(表成绩单[[#This Row],[政治]]="","",SUMPRODUCT((表成绩单[考试日期]=表成绩单[[#This Row],[考试日期]])*(表成绩单[政治]&lt;9E+307)*(表成绩单[政治]&gt;表成绩单[[#This Row],[政治]]))+1)</f>
        <v>457</v>
      </c>
      <c r="V2013" s="29" cm="1">
        <f t="array" ref="V2013">IF(表成绩单[[#This Row],[历史]]="","",SUMPRODUCT((表成绩单[考试日期]=表成绩单[[#This Row],[考试日期]])*(表成绩单[历史]&lt;9E+307)*(表成绩单[历史]&gt;表成绩单[[#This Row],[历史]]))+1)</f>
        <v>328</v>
      </c>
      <c r="W2013" s="29" cm="1">
        <f t="array" ref="W2013">IF(表成绩单[[#This Row],[总分]]="","",SUMPRODUCT((表成绩单[考试日期]=表成绩单[[#This Row],[考试日期]])*(表成绩单[总分]&lt;9E+307)*(表成绩单[总分]&gt;表成绩单[[#This Row],[总分]]))+1)</f>
        <v>406</v>
      </c>
    </row>
    <row r="2014" ht="28" customHeight="1" spans="4:23">
      <c r="D2014" s="31">
        <v>46030</v>
      </c>
      <c r="E2014" s="29">
        <v>19171090</v>
      </c>
      <c r="F2014" s="29" t="s">
        <v>67</v>
      </c>
      <c r="G2014" s="29" t="s">
        <v>347</v>
      </c>
      <c r="H2014" s="29">
        <v>92</v>
      </c>
      <c r="I2014" s="29">
        <v>89</v>
      </c>
      <c r="J2014" s="29">
        <v>72.5</v>
      </c>
      <c r="K2014" s="29">
        <v>60</v>
      </c>
      <c r="L2014" s="29">
        <v>67</v>
      </c>
      <c r="M2014" s="29">
        <v>65</v>
      </c>
      <c r="N2014" s="29">
        <v>65</v>
      </c>
      <c r="O2014" s="32">
        <v>510.5</v>
      </c>
      <c r="P2014" s="29" cm="1">
        <f t="array" ref="P2014">IF(表成绩单[[#This Row],[语文]]="","",SUMPRODUCT((表成绩单[考试日期]=表成绩单[[#This Row],[考试日期]])*(表成绩单[语文]&lt;9E+307)*(表成绩单[语文]&gt;表成绩单[[#This Row],[语文]]))+1)</f>
        <v>444</v>
      </c>
      <c r="Q2014" s="29" cm="1">
        <f t="array" ref="Q2014">IF(表成绩单[[#This Row],[数学]]="","",SUMPRODUCT((表成绩单[考试日期]=表成绩单[[#This Row],[考试日期]])*(表成绩单[数学]&lt;9E+307)*(表成绩单[数学]&gt;表成绩单[[#This Row],[数学]]))+1)</f>
        <v>228</v>
      </c>
      <c r="R2014" s="29" cm="1">
        <f t="array" ref="R2014">IF(表成绩单[[#This Row],[英语]]="","",SUMPRODUCT((表成绩单[考试日期]=表成绩单[[#This Row],[考试日期]])*(表成绩单[英语]&lt;9E+307)*(表成绩单[英语]&gt;表成绩单[[#This Row],[英语]]))+1)</f>
        <v>242</v>
      </c>
      <c r="S2014" s="29" cm="1">
        <f t="array" ref="S2014">IF(表成绩单[[#This Row],[物理]]="","",SUMPRODUCT((表成绩单[考试日期]=表成绩单[[#This Row],[考试日期]])*(表成绩单[物理]&lt;9E+307)*(表成绩单[物理]&gt;表成绩单[[#This Row],[物理]]))+1)</f>
        <v>499</v>
      </c>
      <c r="T2014" s="29" cm="1">
        <f t="array" ref="T2014">IF(表成绩单[[#This Row],[化学]]="","",SUMPRODUCT((表成绩单[考试日期]=表成绩单[[#This Row],[考试日期]])*(表成绩单[化学]&lt;9E+307)*(表成绩单[化学]&gt;表成绩单[[#This Row],[化学]]))+1)</f>
        <v>381</v>
      </c>
      <c r="U2014" s="29" cm="1">
        <f t="array" ref="U2014">IF(表成绩单[[#This Row],[政治]]="","",SUMPRODUCT((表成绩单[考试日期]=表成绩单[[#This Row],[考试日期]])*(表成绩单[政治]&lt;9E+307)*(表成绩单[政治]&gt;表成绩单[[#This Row],[政治]]))+1)</f>
        <v>431</v>
      </c>
      <c r="V2014" s="29" cm="1">
        <f t="array" ref="V2014">IF(表成绩单[[#This Row],[历史]]="","",SUMPRODUCT((表成绩单[考试日期]=表成绩单[[#This Row],[考试日期]])*(表成绩单[历史]&lt;9E+307)*(表成绩单[历史]&gt;表成绩单[[#This Row],[历史]]))+1)</f>
        <v>471</v>
      </c>
      <c r="W2014" s="29" cm="1">
        <f t="array" ref="W2014">IF(表成绩单[[#This Row],[总分]]="","",SUMPRODUCT((表成绩单[考试日期]=表成绩单[[#This Row],[考试日期]])*(表成绩单[总分]&lt;9E+307)*(表成绩单[总分]&gt;表成绩单[[#This Row],[总分]]))+1)</f>
        <v>408</v>
      </c>
    </row>
    <row r="2015" ht="28" customHeight="1" spans="4:23">
      <c r="D2015" s="31">
        <v>46030</v>
      </c>
      <c r="E2015" s="29">
        <v>19175657</v>
      </c>
      <c r="F2015" s="29" t="s">
        <v>66</v>
      </c>
      <c r="G2015" s="29" t="s">
        <v>611</v>
      </c>
      <c r="H2015" s="29">
        <v>97</v>
      </c>
      <c r="I2015" s="29">
        <v>78</v>
      </c>
      <c r="J2015" s="29">
        <v>55.5</v>
      </c>
      <c r="K2015" s="29">
        <v>69</v>
      </c>
      <c r="L2015" s="29">
        <v>64</v>
      </c>
      <c r="M2015" s="29">
        <v>70</v>
      </c>
      <c r="N2015" s="29">
        <v>77</v>
      </c>
      <c r="O2015" s="32">
        <v>510.5</v>
      </c>
      <c r="P2015" s="29" cm="1">
        <f t="array" ref="P2015">IF(表成绩单[[#This Row],[语文]]="","",SUMPRODUCT((表成绩单[考试日期]=表成绩单[[#This Row],[考试日期]])*(表成绩单[语文]&lt;9E+307)*(表成绩单[语文]&gt;表成绩单[[#This Row],[语文]]))+1)</f>
        <v>291</v>
      </c>
      <c r="Q2015" s="29" cm="1">
        <f t="array" ref="Q2015">IF(表成绩单[[#This Row],[数学]]="","",SUMPRODUCT((表成绩单[考试日期]=表成绩单[[#This Row],[考试日期]])*(表成绩单[数学]&lt;9E+307)*(表成绩单[数学]&gt;表成绩单[[#This Row],[数学]]))+1)</f>
        <v>450</v>
      </c>
      <c r="R2015" s="29" cm="1">
        <f t="array" ref="R2015">IF(表成绩单[[#This Row],[英语]]="","",SUMPRODUCT((表成绩单[考试日期]=表成绩单[[#This Row],[考试日期]])*(表成绩单[英语]&lt;9E+307)*(表成绩单[英语]&gt;表成绩单[[#This Row],[英语]]))+1)</f>
        <v>588</v>
      </c>
      <c r="S2015" s="29" cm="1">
        <f t="array" ref="S2015">IF(表成绩单[[#This Row],[物理]]="","",SUMPRODUCT((表成绩单[考试日期]=表成绩单[[#This Row],[考试日期]])*(表成绩单[物理]&lt;9E+307)*(表成绩单[物理]&gt;表成绩单[[#This Row],[物理]]))+1)</f>
        <v>356</v>
      </c>
      <c r="T2015" s="29" cm="1">
        <f t="array" ref="T2015">IF(表成绩单[[#This Row],[化学]]="","",SUMPRODUCT((表成绩单[考试日期]=表成绩单[[#This Row],[考试日期]])*(表成绩单[化学]&lt;9E+307)*(表成绩单[化学]&gt;表成绩单[[#This Row],[化学]]))+1)</f>
        <v>451</v>
      </c>
      <c r="U2015" s="29" cm="1">
        <f t="array" ref="U2015">IF(表成绩单[[#This Row],[政治]]="","",SUMPRODUCT((表成绩单[考试日期]=表成绩单[[#This Row],[考试日期]])*(表成绩单[政治]&lt;9E+307)*(表成绩单[政治]&gt;表成绩单[[#This Row],[政治]]))+1)</f>
        <v>274</v>
      </c>
      <c r="V2015" s="29" cm="1">
        <f t="array" ref="V2015">IF(表成绩单[[#This Row],[历史]]="","",SUMPRODUCT((表成绩单[考试日期]=表成绩单[[#This Row],[考试日期]])*(表成绩单[历史]&lt;9E+307)*(表成绩单[历史]&gt;表成绩单[[#This Row],[历史]]))+1)</f>
        <v>148</v>
      </c>
      <c r="W2015" s="29" cm="1">
        <f t="array" ref="W2015">IF(表成绩单[[#This Row],[总分]]="","",SUMPRODUCT((表成绩单[考试日期]=表成绩单[[#This Row],[考试日期]])*(表成绩单[总分]&lt;9E+307)*(表成绩单[总分]&gt;表成绩单[[#This Row],[总分]]))+1)</f>
        <v>408</v>
      </c>
    </row>
    <row r="2016" ht="28" customHeight="1" spans="4:23">
      <c r="D2016" s="31">
        <v>46030</v>
      </c>
      <c r="E2016" s="29">
        <v>19174809</v>
      </c>
      <c r="F2016" s="29" t="s">
        <v>69</v>
      </c>
      <c r="G2016" s="29" t="s">
        <v>296</v>
      </c>
      <c r="H2016" s="29">
        <v>102</v>
      </c>
      <c r="I2016" s="29">
        <v>86</v>
      </c>
      <c r="J2016" s="29">
        <v>58</v>
      </c>
      <c r="K2016" s="29">
        <v>81</v>
      </c>
      <c r="L2016" s="29">
        <v>62</v>
      </c>
      <c r="M2016" s="29">
        <v>59</v>
      </c>
      <c r="N2016" s="29">
        <v>62</v>
      </c>
      <c r="O2016" s="32">
        <v>510</v>
      </c>
      <c r="P2016" s="29" cm="1">
        <f t="array" ref="P2016">IF(表成绩单[[#This Row],[语文]]="","",SUMPRODUCT((表成绩单[考试日期]=表成绩单[[#This Row],[考试日期]])*(表成绩单[语文]&lt;9E+307)*(表成绩单[语文]&gt;表成绩单[[#This Row],[语文]]))+1)</f>
        <v>132</v>
      </c>
      <c r="Q2016" s="29" cm="1">
        <f t="array" ref="Q2016">IF(表成绩单[[#This Row],[数学]]="","",SUMPRODUCT((表成绩单[考试日期]=表成绩单[[#This Row],[考试日期]])*(表成绩单[数学]&lt;9E+307)*(表成绩单[数学]&gt;表成绩单[[#This Row],[数学]]))+1)</f>
        <v>302</v>
      </c>
      <c r="R2016" s="29" cm="1">
        <f t="array" ref="R2016">IF(表成绩单[[#This Row],[英语]]="","",SUMPRODUCT((表成绩单[考试日期]=表成绩单[[#This Row],[考试日期]])*(表成绩单[英语]&lt;9E+307)*(表成绩单[英语]&gt;表成绩单[[#This Row],[英语]]))+1)</f>
        <v>556</v>
      </c>
      <c r="S2016" s="29" cm="1">
        <f t="array" ref="S2016">IF(表成绩单[[#This Row],[物理]]="","",SUMPRODUCT((表成绩单[考试日期]=表成绩单[[#This Row],[考试日期]])*(表成绩单[物理]&lt;9E+307)*(表成绩单[物理]&gt;表成绩单[[#This Row],[物理]]))+1)</f>
        <v>119</v>
      </c>
      <c r="T2016" s="29" cm="1">
        <f t="array" ref="T2016">IF(表成绩单[[#This Row],[化学]]="","",SUMPRODUCT((表成绩单[考试日期]=表成绩单[[#This Row],[考试日期]])*(表成绩单[化学]&lt;9E+307)*(表成绩单[化学]&gt;表成绩单[[#This Row],[化学]]))+1)</f>
        <v>494</v>
      </c>
      <c r="U2016" s="29" cm="1">
        <f t="array" ref="U2016">IF(表成绩单[[#This Row],[政治]]="","",SUMPRODUCT((表成绩单[考试日期]=表成绩单[[#This Row],[考试日期]])*(表成绩单[政治]&lt;9E+307)*(表成绩单[政治]&gt;表成绩单[[#This Row],[政治]]))+1)</f>
        <v>557</v>
      </c>
      <c r="V2016" s="29" cm="1">
        <f t="array" ref="V2016">IF(表成绩单[[#This Row],[历史]]="","",SUMPRODUCT((表成绩单[考试日期]=表成绩单[[#This Row],[考试日期]])*(表成绩单[历史]&lt;9E+307)*(表成绩单[历史]&gt;表成绩单[[#This Row],[历史]]))+1)</f>
        <v>545</v>
      </c>
      <c r="W2016" s="29" cm="1">
        <f t="array" ref="W2016">IF(表成绩单[[#This Row],[总分]]="","",SUMPRODUCT((表成绩单[考试日期]=表成绩单[[#This Row],[考试日期]])*(表成绩单[总分]&lt;9E+307)*(表成绩单[总分]&gt;表成绩单[[#This Row],[总分]]))+1)</f>
        <v>410</v>
      </c>
    </row>
    <row r="2017" ht="28" customHeight="1" spans="4:23">
      <c r="D2017" s="31">
        <v>46030</v>
      </c>
      <c r="E2017" s="29">
        <v>19175658</v>
      </c>
      <c r="F2017" s="29" t="s">
        <v>66</v>
      </c>
      <c r="G2017" s="29" t="s">
        <v>525</v>
      </c>
      <c r="H2017" s="29">
        <v>89</v>
      </c>
      <c r="I2017" s="29">
        <v>86</v>
      </c>
      <c r="J2017" s="29">
        <v>68.5</v>
      </c>
      <c r="K2017" s="29">
        <v>67</v>
      </c>
      <c r="L2017" s="29">
        <v>65</v>
      </c>
      <c r="M2017" s="29">
        <v>65</v>
      </c>
      <c r="N2017" s="29">
        <v>69</v>
      </c>
      <c r="O2017" s="32">
        <v>509.5</v>
      </c>
      <c r="P2017" s="29" cm="1">
        <f t="array" ref="P2017">IF(表成绩单[[#This Row],[语文]]="","",SUMPRODUCT((表成绩单[考试日期]=表成绩单[[#This Row],[考试日期]])*(表成绩单[语文]&lt;9E+307)*(表成绩单[语文]&gt;表成绩单[[#This Row],[语文]]))+1)</f>
        <v>540</v>
      </c>
      <c r="Q2017" s="29" cm="1">
        <f t="array" ref="Q2017">IF(表成绩单[[#This Row],[数学]]="","",SUMPRODUCT((表成绩单[考试日期]=表成绩单[[#This Row],[考试日期]])*(表成绩单[数学]&lt;9E+307)*(表成绩单[数学]&gt;表成绩单[[#This Row],[数学]]))+1)</f>
        <v>302</v>
      </c>
      <c r="R2017" s="29" cm="1">
        <f t="array" ref="R2017">IF(表成绩单[[#This Row],[英语]]="","",SUMPRODUCT((表成绩单[考试日期]=表成绩单[[#This Row],[考试日期]])*(表成绩单[英语]&lt;9E+307)*(表成绩单[英语]&gt;表成绩单[[#This Row],[英语]]))+1)</f>
        <v>351</v>
      </c>
      <c r="S2017" s="29" cm="1">
        <f t="array" ref="S2017">IF(表成绩单[[#This Row],[物理]]="","",SUMPRODUCT((表成绩单[考试日期]=表成绩单[[#This Row],[考试日期]])*(表成绩单[物理]&lt;9E+307)*(表成绩单[物理]&gt;表成绩单[[#This Row],[物理]]))+1)</f>
        <v>394</v>
      </c>
      <c r="T2017" s="29" cm="1">
        <f t="array" ref="T2017">IF(表成绩单[[#This Row],[化学]]="","",SUMPRODUCT((表成绩单[考试日期]=表成绩单[[#This Row],[考试日期]])*(表成绩单[化学]&lt;9E+307)*(表成绩单[化学]&gt;表成绩单[[#This Row],[化学]]))+1)</f>
        <v>439</v>
      </c>
      <c r="U2017" s="29" cm="1">
        <f t="array" ref="U2017">IF(表成绩单[[#This Row],[政治]]="","",SUMPRODUCT((表成绩单[考试日期]=表成绩单[[#This Row],[考试日期]])*(表成绩单[政治]&lt;9E+307)*(表成绩单[政治]&gt;表成绩单[[#This Row],[政治]]))+1)</f>
        <v>431</v>
      </c>
      <c r="V2017" s="29" cm="1">
        <f t="array" ref="V2017">IF(表成绩单[[#This Row],[历史]]="","",SUMPRODUCT((表成绩单[考试日期]=表成绩单[[#This Row],[考试日期]])*(表成绩单[历史]&lt;9E+307)*(表成绩单[历史]&gt;表成绩单[[#This Row],[历史]]))+1)</f>
        <v>366</v>
      </c>
      <c r="W2017" s="29" cm="1">
        <f t="array" ref="W2017">IF(表成绩单[[#This Row],[总分]]="","",SUMPRODUCT((表成绩单[考试日期]=表成绩单[[#This Row],[考试日期]])*(表成绩单[总分]&lt;9E+307)*(表成绩单[总分]&gt;表成绩单[[#This Row],[总分]]))+1)</f>
        <v>411</v>
      </c>
    </row>
    <row r="2018" ht="28" customHeight="1" spans="4:23">
      <c r="D2018" s="31">
        <v>46030</v>
      </c>
      <c r="E2018" s="29">
        <v>19172636</v>
      </c>
      <c r="F2018" s="29" t="s">
        <v>60</v>
      </c>
      <c r="G2018" s="29" t="s">
        <v>490</v>
      </c>
      <c r="H2018" s="29">
        <v>96</v>
      </c>
      <c r="I2018" s="29">
        <v>81</v>
      </c>
      <c r="J2018" s="29">
        <v>59.5</v>
      </c>
      <c r="K2018" s="29">
        <v>58</v>
      </c>
      <c r="L2018" s="29">
        <v>72</v>
      </c>
      <c r="M2018" s="29">
        <v>74</v>
      </c>
      <c r="N2018" s="29">
        <v>68</v>
      </c>
      <c r="O2018" s="32">
        <v>508.5</v>
      </c>
      <c r="P2018" s="29" cm="1">
        <f t="array" ref="P2018">IF(表成绩单[[#This Row],[语文]]="","",SUMPRODUCT((表成绩单[考试日期]=表成绩单[[#This Row],[考试日期]])*(表成绩单[语文]&lt;9E+307)*(表成绩单[语文]&gt;表成绩单[[#This Row],[语文]]))+1)</f>
        <v>315</v>
      </c>
      <c r="Q2018" s="29" cm="1">
        <f t="array" ref="Q2018">IF(表成绩单[[#This Row],[数学]]="","",SUMPRODUCT((表成绩单[考试日期]=表成绩单[[#This Row],[考试日期]])*(表成绩单[数学]&lt;9E+307)*(表成绩单[数学]&gt;表成绩单[[#This Row],[数学]]))+1)</f>
        <v>396</v>
      </c>
      <c r="R2018" s="29" cm="1">
        <f t="array" ref="R2018">IF(表成绩单[[#This Row],[英语]]="","",SUMPRODUCT((表成绩单[考试日期]=表成绩单[[#This Row],[考试日期]])*(表成绩单[英语]&lt;9E+307)*(表成绩单[英语]&gt;表成绩单[[#This Row],[英语]]))+1)</f>
        <v>533</v>
      </c>
      <c r="S2018" s="29" cm="1">
        <f t="array" ref="S2018">IF(表成绩单[[#This Row],[物理]]="","",SUMPRODUCT((表成绩单[考试日期]=表成绩单[[#This Row],[考试日期]])*(表成绩单[物理]&lt;9E+307)*(表成绩单[物理]&gt;表成绩单[[#This Row],[物理]]))+1)</f>
        <v>527</v>
      </c>
      <c r="T2018" s="29" cm="1">
        <f t="array" ref="T2018">IF(表成绩单[[#This Row],[化学]]="","",SUMPRODUCT((表成绩单[考试日期]=表成绩单[[#This Row],[考试日期]])*(表成绩单[化学]&lt;9E+307)*(表成绩单[化学]&gt;表成绩单[[#This Row],[化学]]))+1)</f>
        <v>271</v>
      </c>
      <c r="U2018" s="29" cm="1">
        <f t="array" ref="U2018">IF(表成绩单[[#This Row],[政治]]="","",SUMPRODUCT((表成绩单[考试日期]=表成绩单[[#This Row],[考试日期]])*(表成绩单[政治]&lt;9E+307)*(表成绩单[政治]&gt;表成绩单[[#This Row],[政治]]))+1)</f>
        <v>168</v>
      </c>
      <c r="V2018" s="29" cm="1">
        <f t="array" ref="V2018">IF(表成绩单[[#This Row],[历史]]="","",SUMPRODUCT((表成绩单[考试日期]=表成绩单[[#This Row],[考试日期]])*(表成绩单[历史]&lt;9E+307)*(表成绩单[历史]&gt;表成绩单[[#This Row],[历史]]))+1)</f>
        <v>390</v>
      </c>
      <c r="W2018" s="29" cm="1">
        <f t="array" ref="W2018">IF(表成绩单[[#This Row],[总分]]="","",SUMPRODUCT((表成绩单[考试日期]=表成绩单[[#This Row],[考试日期]])*(表成绩单[总分]&lt;9E+307)*(表成绩单[总分]&gt;表成绩单[[#This Row],[总分]]))+1)</f>
        <v>412</v>
      </c>
    </row>
    <row r="2019" ht="28" customHeight="1" spans="4:23">
      <c r="D2019" s="31">
        <v>46030</v>
      </c>
      <c r="E2019" s="29">
        <v>19171086</v>
      </c>
      <c r="F2019" s="29" t="s">
        <v>67</v>
      </c>
      <c r="G2019" s="29" t="s">
        <v>576</v>
      </c>
      <c r="H2019" s="29">
        <v>87</v>
      </c>
      <c r="I2019" s="29">
        <v>96</v>
      </c>
      <c r="J2019" s="29">
        <v>55</v>
      </c>
      <c r="K2019" s="29">
        <v>60</v>
      </c>
      <c r="L2019" s="29">
        <v>69</v>
      </c>
      <c r="M2019" s="29">
        <v>68</v>
      </c>
      <c r="N2019" s="29">
        <v>73</v>
      </c>
      <c r="O2019" s="32">
        <v>508</v>
      </c>
      <c r="P2019" s="29" cm="1">
        <f t="array" ref="P2019">IF(表成绩单[[#This Row],[语文]]="","",SUMPRODUCT((表成绩单[考试日期]=表成绩单[[#This Row],[考试日期]])*(表成绩单[语文]&lt;9E+307)*(表成绩单[语文]&gt;表成绩单[[#This Row],[语文]]))+1)</f>
        <v>581</v>
      </c>
      <c r="Q2019" s="29" cm="1">
        <f t="array" ref="Q2019">IF(表成绩单[[#This Row],[数学]]="","",SUMPRODUCT((表成绩单[考试日期]=表成绩单[[#This Row],[考试日期]])*(表成绩单[数学]&lt;9E+307)*(表成绩单[数学]&gt;表成绩单[[#This Row],[数学]]))+1)</f>
        <v>154</v>
      </c>
      <c r="R2019" s="29" cm="1">
        <f t="array" ref="R2019">IF(表成绩单[[#This Row],[英语]]="","",SUMPRODUCT((表成绩单[考试日期]=表成绩单[[#This Row],[考试日期]])*(表成绩单[英语]&lt;9E+307)*(表成绩单[英语]&gt;表成绩单[[#This Row],[英语]]))+1)</f>
        <v>596</v>
      </c>
      <c r="S2019" s="29" cm="1">
        <f t="array" ref="S2019">IF(表成绩单[[#This Row],[物理]]="","",SUMPRODUCT((表成绩单[考试日期]=表成绩单[[#This Row],[考试日期]])*(表成绩单[物理]&lt;9E+307)*(表成绩单[物理]&gt;表成绩单[[#This Row],[物理]]))+1)</f>
        <v>499</v>
      </c>
      <c r="T2019" s="29" cm="1">
        <f t="array" ref="T2019">IF(表成绩单[[#This Row],[化学]]="","",SUMPRODUCT((表成绩单[考试日期]=表成绩单[[#This Row],[考试日期]])*(表成绩单[化学]&lt;9E+307)*(表成绩单[化学]&gt;表成绩单[[#This Row],[化学]]))+1)</f>
        <v>339</v>
      </c>
      <c r="U2019" s="29" cm="1">
        <f t="array" ref="U2019">IF(表成绩单[[#This Row],[政治]]="","",SUMPRODUCT((表成绩单[考试日期]=表成绩单[[#This Row],[考试日期]])*(表成绩单[政治]&lt;9E+307)*(表成绩单[政治]&gt;表成绩单[[#This Row],[政治]]))+1)</f>
        <v>336</v>
      </c>
      <c r="V2019" s="29" cm="1">
        <f t="array" ref="V2019">IF(表成绩单[[#This Row],[历史]]="","",SUMPRODUCT((表成绩单[考试日期]=表成绩单[[#This Row],[考试日期]])*(表成绩单[历史]&lt;9E+307)*(表成绩单[历史]&gt;表成绩单[[#This Row],[历史]]))+1)</f>
        <v>240</v>
      </c>
      <c r="W2019" s="29" cm="1">
        <f t="array" ref="W2019">IF(表成绩单[[#This Row],[总分]]="","",SUMPRODUCT((表成绩单[考试日期]=表成绩单[[#This Row],[考试日期]])*(表成绩单[总分]&lt;9E+307)*(表成绩单[总分]&gt;表成绩单[[#This Row],[总分]]))+1)</f>
        <v>413</v>
      </c>
    </row>
    <row r="2020" ht="28" customHeight="1" spans="4:23">
      <c r="D2020" s="31">
        <v>46030</v>
      </c>
      <c r="E2020" s="29">
        <v>19174434</v>
      </c>
      <c r="F2020" s="29" t="s">
        <v>73</v>
      </c>
      <c r="G2020" s="29" t="s">
        <v>319</v>
      </c>
      <c r="H2020" s="29">
        <v>99</v>
      </c>
      <c r="I2020" s="29">
        <v>82</v>
      </c>
      <c r="J2020" s="29">
        <v>80</v>
      </c>
      <c r="K2020" s="29">
        <v>62</v>
      </c>
      <c r="L2020" s="29">
        <v>64</v>
      </c>
      <c r="M2020" s="29">
        <v>59</v>
      </c>
      <c r="N2020" s="29">
        <v>62</v>
      </c>
      <c r="O2020" s="32">
        <v>508</v>
      </c>
      <c r="P2020" s="29" cm="1">
        <f t="array" ref="P2020">IF(表成绩单[[#This Row],[语文]]="","",SUMPRODUCT((表成绩单[考试日期]=表成绩单[[#This Row],[考试日期]])*(表成绩单[语文]&lt;9E+307)*(表成绩单[语文]&gt;表成绩单[[#This Row],[语文]]))+1)</f>
        <v>213</v>
      </c>
      <c r="Q2020" s="29" cm="1">
        <f t="array" ref="Q2020">IF(表成绩单[[#This Row],[数学]]="","",SUMPRODUCT((表成绩单[考试日期]=表成绩单[[#This Row],[考试日期]])*(表成绩单[数学]&lt;9E+307)*(表成绩单[数学]&gt;表成绩单[[#This Row],[数学]]))+1)</f>
        <v>383</v>
      </c>
      <c r="R2020" s="29" cm="1">
        <f t="array" ref="R2020">IF(表成绩单[[#This Row],[英语]]="","",SUMPRODUCT((表成绩单[考试日期]=表成绩单[[#This Row],[考试日期]])*(表成绩单[英语]&lt;9E+307)*(表成绩单[英语]&gt;表成绩单[[#This Row],[英语]]))+1)</f>
        <v>27</v>
      </c>
      <c r="S2020" s="29" cm="1">
        <f t="array" ref="S2020">IF(表成绩单[[#This Row],[物理]]="","",SUMPRODUCT((表成绩单[考试日期]=表成绩单[[#This Row],[考试日期]])*(表成绩单[物理]&lt;9E+307)*(表成绩单[物理]&gt;表成绩单[[#This Row],[物理]]))+1)</f>
        <v>470</v>
      </c>
      <c r="T2020" s="29" cm="1">
        <f t="array" ref="T2020">IF(表成绩单[[#This Row],[化学]]="","",SUMPRODUCT((表成绩单[考试日期]=表成绩单[[#This Row],[考试日期]])*(表成绩单[化学]&lt;9E+307)*(表成绩单[化学]&gt;表成绩单[[#This Row],[化学]]))+1)</f>
        <v>451</v>
      </c>
      <c r="U2020" s="29" cm="1">
        <f t="array" ref="U2020">IF(表成绩单[[#This Row],[政治]]="","",SUMPRODUCT((表成绩单[考试日期]=表成绩单[[#This Row],[考试日期]])*(表成绩单[政治]&lt;9E+307)*(表成绩单[政治]&gt;表成绩单[[#This Row],[政治]]))+1)</f>
        <v>557</v>
      </c>
      <c r="V2020" s="29" cm="1">
        <f t="array" ref="V2020">IF(表成绩单[[#This Row],[历史]]="","",SUMPRODUCT((表成绩单[考试日期]=表成绩单[[#This Row],[考试日期]])*(表成绩单[历史]&lt;9E+307)*(表成绩单[历史]&gt;表成绩单[[#This Row],[历史]]))+1)</f>
        <v>545</v>
      </c>
      <c r="W2020" s="29" cm="1">
        <f t="array" ref="W2020">IF(表成绩单[[#This Row],[总分]]="","",SUMPRODUCT((表成绩单[考试日期]=表成绩单[[#This Row],[考试日期]])*(表成绩单[总分]&lt;9E+307)*(表成绩单[总分]&gt;表成绩单[[#This Row],[总分]]))+1)</f>
        <v>413</v>
      </c>
    </row>
    <row r="2021" ht="28" customHeight="1" spans="4:23">
      <c r="D2021" s="31">
        <v>46030</v>
      </c>
      <c r="E2021" s="29">
        <v>19174436</v>
      </c>
      <c r="F2021" s="29" t="s">
        <v>73</v>
      </c>
      <c r="G2021" s="29" t="s">
        <v>467</v>
      </c>
      <c r="H2021" s="29">
        <v>97</v>
      </c>
      <c r="I2021" s="29">
        <v>78</v>
      </c>
      <c r="J2021" s="29">
        <v>63</v>
      </c>
      <c r="K2021" s="29">
        <v>76</v>
      </c>
      <c r="L2021" s="29">
        <v>65</v>
      </c>
      <c r="M2021" s="29">
        <v>73</v>
      </c>
      <c r="N2021" s="29">
        <v>56</v>
      </c>
      <c r="O2021" s="32">
        <v>508</v>
      </c>
      <c r="P2021" s="29" cm="1">
        <f t="array" ref="P2021">IF(表成绩单[[#This Row],[语文]]="","",SUMPRODUCT((表成绩单[考试日期]=表成绩单[[#This Row],[考试日期]])*(表成绩单[语文]&lt;9E+307)*(表成绩单[语文]&gt;表成绩单[[#This Row],[语文]]))+1)</f>
        <v>291</v>
      </c>
      <c r="Q2021" s="29" cm="1">
        <f t="array" ref="Q2021">IF(表成绩单[[#This Row],[数学]]="","",SUMPRODUCT((表成绩单[考试日期]=表成绩单[[#This Row],[考试日期]])*(表成绩单[数学]&lt;9E+307)*(表成绩单[数学]&gt;表成绩单[[#This Row],[数学]]))+1)</f>
        <v>450</v>
      </c>
      <c r="R2021" s="29" cm="1">
        <f t="array" ref="R2021">IF(表成绩单[[#This Row],[英语]]="","",SUMPRODUCT((表成绩单[考试日期]=表成绩单[[#This Row],[考试日期]])*(表成绩单[英语]&lt;9E+307)*(表成绩单[英语]&gt;表成绩单[[#This Row],[英语]]))+1)</f>
        <v>471</v>
      </c>
      <c r="S2021" s="29" cm="1">
        <f t="array" ref="S2021">IF(表成绩单[[#This Row],[物理]]="","",SUMPRODUCT((表成绩单[考试日期]=表成绩单[[#This Row],[考试日期]])*(表成绩单[物理]&lt;9E+307)*(表成绩单[物理]&gt;表成绩单[[#This Row],[物理]]))+1)</f>
        <v>218</v>
      </c>
      <c r="T2021" s="29" cm="1">
        <f t="array" ref="T2021">IF(表成绩单[[#This Row],[化学]]="","",SUMPRODUCT((表成绩单[考试日期]=表成绩单[[#This Row],[考试日期]])*(表成绩单[化学]&lt;9E+307)*(表成绩单[化学]&gt;表成绩单[[#This Row],[化学]]))+1)</f>
        <v>439</v>
      </c>
      <c r="U2021" s="29" cm="1">
        <f t="array" ref="U2021">IF(表成绩单[[#This Row],[政治]]="","",SUMPRODUCT((表成绩单[考试日期]=表成绩单[[#This Row],[考试日期]])*(表成绩单[政治]&lt;9E+307)*(表成绩单[政治]&gt;表成绩单[[#This Row],[政治]]))+1)</f>
        <v>197</v>
      </c>
      <c r="V2021" s="29" cm="1">
        <f t="array" ref="V2021">IF(表成绩单[[#This Row],[历史]]="","",SUMPRODUCT((表成绩单[考试日期]=表成绩单[[#This Row],[考试日期]])*(表成绩单[历史]&lt;9E+307)*(表成绩单[历史]&gt;表成绩单[[#This Row],[历史]]))+1)</f>
        <v>651</v>
      </c>
      <c r="W2021" s="29" cm="1">
        <f t="array" ref="W2021">IF(表成绩单[[#This Row],[总分]]="","",SUMPRODUCT((表成绩单[考试日期]=表成绩单[[#This Row],[考试日期]])*(表成绩单[总分]&lt;9E+307)*(表成绩单[总分]&gt;表成绩单[[#This Row],[总分]]))+1)</f>
        <v>413</v>
      </c>
    </row>
    <row r="2022" ht="28" customHeight="1" spans="4:23">
      <c r="D2022" s="31">
        <v>46030</v>
      </c>
      <c r="E2022" s="29">
        <v>19173780</v>
      </c>
      <c r="F2022" s="29" t="s">
        <v>65</v>
      </c>
      <c r="G2022" s="29" t="s">
        <v>461</v>
      </c>
      <c r="H2022" s="29">
        <v>93</v>
      </c>
      <c r="I2022" s="29">
        <v>77</v>
      </c>
      <c r="J2022" s="29">
        <v>66.5</v>
      </c>
      <c r="K2022" s="29">
        <v>62</v>
      </c>
      <c r="L2022" s="29">
        <v>68</v>
      </c>
      <c r="M2022" s="29">
        <v>65</v>
      </c>
      <c r="N2022" s="29">
        <v>76</v>
      </c>
      <c r="O2022" s="32">
        <v>507.5</v>
      </c>
      <c r="P2022" s="29" cm="1">
        <f t="array" ref="P2022">IF(表成绩单[[#This Row],[语文]]="","",SUMPRODUCT((表成绩单[考试日期]=表成绩单[[#This Row],[考试日期]])*(表成绩单[语文]&lt;9E+307)*(表成绩单[语文]&gt;表成绩单[[#This Row],[语文]]))+1)</f>
        <v>412</v>
      </c>
      <c r="Q2022" s="29" cm="1">
        <f t="array" ref="Q2022">IF(表成绩单[[#This Row],[数学]]="","",SUMPRODUCT((表成绩单[考试日期]=表成绩单[[#This Row],[考试日期]])*(表成绩单[数学]&lt;9E+307)*(表成绩单[数学]&gt;表成绩单[[#This Row],[数学]]))+1)</f>
        <v>478</v>
      </c>
      <c r="R2022" s="29" cm="1">
        <f t="array" ref="R2022">IF(表成绩单[[#This Row],[英语]]="","",SUMPRODUCT((表成绩单[考试日期]=表成绩单[[#This Row],[考试日期]])*(表成绩单[英语]&lt;9E+307)*(表成绩单[英语]&gt;表成绩单[[#This Row],[英语]]))+1)</f>
        <v>402</v>
      </c>
      <c r="S2022" s="29" cm="1">
        <f t="array" ref="S2022">IF(表成绩单[[#This Row],[物理]]="","",SUMPRODUCT((表成绩单[考试日期]=表成绩单[[#This Row],[考试日期]])*(表成绩单[物理]&lt;9E+307)*(表成绩单[物理]&gt;表成绩单[[#This Row],[物理]]))+1)</f>
        <v>470</v>
      </c>
      <c r="T2022" s="29" cm="1">
        <f t="array" ref="T2022">IF(表成绩单[[#This Row],[化学]]="","",SUMPRODUCT((表成绩单[考试日期]=表成绩单[[#This Row],[考试日期]])*(表成绩单[化学]&lt;9E+307)*(表成绩单[化学]&gt;表成绩单[[#This Row],[化学]]))+1)</f>
        <v>358</v>
      </c>
      <c r="U2022" s="29" cm="1">
        <f t="array" ref="U2022">IF(表成绩单[[#This Row],[政治]]="","",SUMPRODUCT((表成绩单[考试日期]=表成绩单[[#This Row],[考试日期]])*(表成绩单[政治]&lt;9E+307)*(表成绩单[政治]&gt;表成绩单[[#This Row],[政治]]))+1)</f>
        <v>431</v>
      </c>
      <c r="V2022" s="29" cm="1">
        <f t="array" ref="V2022">IF(表成绩单[[#This Row],[历史]]="","",SUMPRODUCT((表成绩单[考试日期]=表成绩单[[#This Row],[考试日期]])*(表成绩单[历史]&lt;9E+307)*(表成绩单[历史]&gt;表成绩单[[#This Row],[历史]]))+1)</f>
        <v>169</v>
      </c>
      <c r="W2022" s="29" cm="1">
        <f t="array" ref="W2022">IF(表成绩单[[#This Row],[总分]]="","",SUMPRODUCT((表成绩单[考试日期]=表成绩单[[#This Row],[考试日期]])*(表成绩单[总分]&lt;9E+307)*(表成绩单[总分]&gt;表成绩单[[#This Row],[总分]]))+1)</f>
        <v>416</v>
      </c>
    </row>
    <row r="2023" ht="28" customHeight="1" spans="4:23">
      <c r="D2023" s="31">
        <v>46030</v>
      </c>
      <c r="E2023" s="29">
        <v>19176887</v>
      </c>
      <c r="F2023" s="29" t="s">
        <v>71</v>
      </c>
      <c r="G2023" s="29" t="s">
        <v>421</v>
      </c>
      <c r="H2023" s="29">
        <v>91</v>
      </c>
      <c r="I2023" s="29">
        <v>77</v>
      </c>
      <c r="J2023" s="29">
        <v>73.5</v>
      </c>
      <c r="K2023" s="29">
        <v>57</v>
      </c>
      <c r="L2023" s="29">
        <v>68</v>
      </c>
      <c r="M2023" s="29">
        <v>70</v>
      </c>
      <c r="N2023" s="29">
        <v>71</v>
      </c>
      <c r="O2023" s="32">
        <v>507.5</v>
      </c>
      <c r="P2023" s="29" cm="1">
        <f t="array" ref="P2023">IF(表成绩单[[#This Row],[语文]]="","",SUMPRODUCT((表成绩单[考试日期]=表成绩单[[#This Row],[考试日期]])*(表成绩单[语文]&lt;9E+307)*(表成绩单[语文]&gt;表成绩单[[#This Row],[语文]]))+1)</f>
        <v>478</v>
      </c>
      <c r="Q2023" s="29" cm="1">
        <f t="array" ref="Q2023">IF(表成绩单[[#This Row],[数学]]="","",SUMPRODUCT((表成绩单[考试日期]=表成绩单[[#This Row],[考试日期]])*(表成绩单[数学]&lt;9E+307)*(表成绩单[数学]&gt;表成绩单[[#This Row],[数学]]))+1)</f>
        <v>478</v>
      </c>
      <c r="R2023" s="29" cm="1">
        <f t="array" ref="R2023">IF(表成绩单[[#This Row],[英语]]="","",SUMPRODUCT((表成绩单[考试日期]=表成绩单[[#This Row],[考试日期]])*(表成绩单[英语]&lt;9E+307)*(表成绩单[英语]&gt;表成绩单[[#This Row],[英语]]))+1)</f>
        <v>209</v>
      </c>
      <c r="S2023" s="29" cm="1">
        <f t="array" ref="S2023">IF(表成绩单[[#This Row],[物理]]="","",SUMPRODUCT((表成绩单[考试日期]=表成绩单[[#This Row],[考试日期]])*(表成绩单[物理]&lt;9E+307)*(表成绩单[物理]&gt;表成绩单[[#This Row],[物理]]))+1)</f>
        <v>539</v>
      </c>
      <c r="T2023" s="29" cm="1">
        <f t="array" ref="T2023">IF(表成绩单[[#This Row],[化学]]="","",SUMPRODUCT((表成绩单[考试日期]=表成绩单[[#This Row],[考试日期]])*(表成绩单[化学]&lt;9E+307)*(表成绩单[化学]&gt;表成绩单[[#This Row],[化学]]))+1)</f>
        <v>358</v>
      </c>
      <c r="U2023" s="29" cm="1">
        <f t="array" ref="U2023">IF(表成绩单[[#This Row],[政治]]="","",SUMPRODUCT((表成绩单[考试日期]=表成绩单[[#This Row],[考试日期]])*(表成绩单[政治]&lt;9E+307)*(表成绩单[政治]&gt;表成绩单[[#This Row],[政治]]))+1)</f>
        <v>274</v>
      </c>
      <c r="V2023" s="29" cm="1">
        <f t="array" ref="V2023">IF(表成绩单[[#This Row],[历史]]="","",SUMPRODUCT((表成绩单[考试日期]=表成绩单[[#This Row],[考试日期]])*(表成绩单[历史]&lt;9E+307)*(表成绩单[历史]&gt;表成绩单[[#This Row],[历史]]))+1)</f>
        <v>297</v>
      </c>
      <c r="W2023" s="29" cm="1">
        <f t="array" ref="W2023">IF(表成绩单[[#This Row],[总分]]="","",SUMPRODUCT((表成绩单[考试日期]=表成绩单[[#This Row],[考试日期]])*(表成绩单[总分]&lt;9E+307)*(表成绩单[总分]&gt;表成绩单[[#This Row],[总分]]))+1)</f>
        <v>416</v>
      </c>
    </row>
    <row r="2024" ht="28" customHeight="1" spans="4:23">
      <c r="D2024" s="31">
        <v>46030</v>
      </c>
      <c r="E2024" s="29">
        <v>19173779</v>
      </c>
      <c r="F2024" s="29" t="s">
        <v>65</v>
      </c>
      <c r="G2024" s="29" t="s">
        <v>546</v>
      </c>
      <c r="H2024" s="29">
        <v>97</v>
      </c>
      <c r="I2024" s="29">
        <v>73</v>
      </c>
      <c r="J2024" s="29">
        <v>59</v>
      </c>
      <c r="K2024" s="29">
        <v>67</v>
      </c>
      <c r="L2024" s="29">
        <v>75</v>
      </c>
      <c r="M2024" s="29">
        <v>71</v>
      </c>
      <c r="N2024" s="29">
        <v>65</v>
      </c>
      <c r="O2024" s="32">
        <v>507</v>
      </c>
      <c r="P2024" s="29" cm="1">
        <f t="array" ref="P2024">IF(表成绩单[[#This Row],[语文]]="","",SUMPRODUCT((表成绩单[考试日期]=表成绩单[[#This Row],[考试日期]])*(表成绩单[语文]&lt;9E+307)*(表成绩单[语文]&gt;表成绩单[[#This Row],[语文]]))+1)</f>
        <v>291</v>
      </c>
      <c r="Q2024" s="29" cm="1">
        <f t="array" ref="Q2024">IF(表成绩单[[#This Row],[数学]]="","",SUMPRODUCT((表成绩单[考试日期]=表成绩单[[#This Row],[考试日期]])*(表成绩单[数学]&lt;9E+307)*(表成绩单[数学]&gt;表成绩单[[#This Row],[数学]]))+1)</f>
        <v>547</v>
      </c>
      <c r="R2024" s="29" cm="1">
        <f t="array" ref="R2024">IF(表成绩单[[#This Row],[英语]]="","",SUMPRODUCT((表成绩单[考试日期]=表成绩单[[#This Row],[考试日期]])*(表成绩单[英语]&lt;9E+307)*(表成绩单[英语]&gt;表成绩单[[#This Row],[英语]]))+1)</f>
        <v>538</v>
      </c>
      <c r="S2024" s="29" cm="1">
        <f t="array" ref="S2024">IF(表成绩单[[#This Row],[物理]]="","",SUMPRODUCT((表成绩单[考试日期]=表成绩单[[#This Row],[考试日期]])*(表成绩单[物理]&lt;9E+307)*(表成绩单[物理]&gt;表成绩单[[#This Row],[物理]]))+1)</f>
        <v>394</v>
      </c>
      <c r="T2024" s="29" cm="1">
        <f t="array" ref="T2024">IF(表成绩单[[#This Row],[化学]]="","",SUMPRODUCT((表成绩单[考试日期]=表成绩单[[#This Row],[考试日期]])*(表成绩单[化学]&lt;9E+307)*(表成绩单[化学]&gt;表成绩单[[#This Row],[化学]]))+1)</f>
        <v>169</v>
      </c>
      <c r="U2024" s="29" cm="1">
        <f t="array" ref="U2024">IF(表成绩单[[#This Row],[政治]]="","",SUMPRODUCT((表成绩单[考试日期]=表成绩单[[#This Row],[考试日期]])*(表成绩单[政治]&lt;9E+307)*(表成绩单[政治]&gt;表成绩单[[#This Row],[政治]]))+1)</f>
        <v>248</v>
      </c>
      <c r="V2024" s="29" cm="1">
        <f t="array" ref="V2024">IF(表成绩单[[#This Row],[历史]]="","",SUMPRODUCT((表成绩单[考试日期]=表成绩单[[#This Row],[考试日期]])*(表成绩单[历史]&lt;9E+307)*(表成绩单[历史]&gt;表成绩单[[#This Row],[历史]]))+1)</f>
        <v>471</v>
      </c>
      <c r="W2024" s="29" cm="1">
        <f t="array" ref="W2024">IF(表成绩单[[#This Row],[总分]]="","",SUMPRODUCT((表成绩单[考试日期]=表成绩单[[#This Row],[考试日期]])*(表成绩单[总分]&lt;9E+307)*(表成绩单[总分]&gt;表成绩单[[#This Row],[总分]]))+1)</f>
        <v>418</v>
      </c>
    </row>
    <row r="2025" ht="28" customHeight="1" spans="4:23">
      <c r="D2025" s="31">
        <v>46030</v>
      </c>
      <c r="E2025" s="29">
        <v>19177204</v>
      </c>
      <c r="F2025" s="29" t="s">
        <v>70</v>
      </c>
      <c r="G2025" s="29" t="s">
        <v>507</v>
      </c>
      <c r="H2025" s="29">
        <v>95</v>
      </c>
      <c r="I2025" s="29">
        <v>79</v>
      </c>
      <c r="J2025" s="29">
        <v>73</v>
      </c>
      <c r="K2025" s="29">
        <v>70</v>
      </c>
      <c r="L2025" s="29">
        <v>64</v>
      </c>
      <c r="M2025" s="29">
        <v>66</v>
      </c>
      <c r="N2025" s="29">
        <v>60</v>
      </c>
      <c r="O2025" s="32">
        <v>507</v>
      </c>
      <c r="P2025" s="29" cm="1">
        <f t="array" ref="P2025">IF(表成绩单[[#This Row],[语文]]="","",SUMPRODUCT((表成绩单[考试日期]=表成绩单[[#This Row],[考试日期]])*(表成绩单[语文]&lt;9E+307)*(表成绩单[语文]&gt;表成绩单[[#This Row],[语文]]))+1)</f>
        <v>342</v>
      </c>
      <c r="Q2025" s="29" cm="1">
        <f t="array" ref="Q2025">IF(表成绩单[[#This Row],[数学]]="","",SUMPRODUCT((表成绩单[考试日期]=表成绩单[[#This Row],[考试日期]])*(表成绩单[数学]&lt;9E+307)*(表成绩单[数学]&gt;表成绩单[[#This Row],[数学]]))+1)</f>
        <v>427</v>
      </c>
      <c r="R2025" s="29" cm="1">
        <f t="array" ref="R2025">IF(表成绩单[[#This Row],[英语]]="","",SUMPRODUCT((表成绩单[考试日期]=表成绩单[[#This Row],[考试日期]])*(表成绩单[英语]&lt;9E+307)*(表成绩单[英语]&gt;表成绩单[[#This Row],[英语]]))+1)</f>
        <v>222</v>
      </c>
      <c r="S2025" s="29" cm="1">
        <f t="array" ref="S2025">IF(表成绩单[[#This Row],[物理]]="","",SUMPRODUCT((表成绩单[考试日期]=表成绩单[[#This Row],[考试日期]])*(表成绩单[物理]&lt;9E+307)*(表成绩单[物理]&gt;表成绩单[[#This Row],[物理]]))+1)</f>
        <v>338</v>
      </c>
      <c r="T2025" s="29" cm="1">
        <f t="array" ref="T2025">IF(表成绩单[[#This Row],[化学]]="","",SUMPRODUCT((表成绩单[考试日期]=表成绩单[[#This Row],[考试日期]])*(表成绩单[化学]&lt;9E+307)*(表成绩单[化学]&gt;表成绩单[[#This Row],[化学]]))+1)</f>
        <v>451</v>
      </c>
      <c r="U2025" s="29" cm="1">
        <f t="array" ref="U2025">IF(表成绩单[[#This Row],[政治]]="","",SUMPRODUCT((表成绩单[考试日期]=表成绩单[[#This Row],[考试日期]])*(表成绩单[政治]&lt;9E+307)*(表成绩单[政治]&gt;表成绩单[[#This Row],[政治]]))+1)</f>
        <v>397</v>
      </c>
      <c r="V2025" s="29" cm="1">
        <f t="array" ref="V2025">IF(表成绩单[[#This Row],[历史]]="","",SUMPRODUCT((表成绩单[考试日期]=表成绩单[[#This Row],[考试日期]])*(表成绩单[历史]&lt;9E+307)*(表成绩单[历史]&gt;表成绩单[[#This Row],[历史]]))+1)</f>
        <v>579</v>
      </c>
      <c r="W2025" s="29" cm="1">
        <f t="array" ref="W2025">IF(表成绩单[[#This Row],[总分]]="","",SUMPRODUCT((表成绩单[考试日期]=表成绩单[[#This Row],[考试日期]])*(表成绩单[总分]&lt;9E+307)*(表成绩单[总分]&gt;表成绩单[[#This Row],[总分]]))+1)</f>
        <v>418</v>
      </c>
    </row>
    <row r="2026" ht="28" customHeight="1" spans="4:23">
      <c r="D2026" s="31">
        <v>46030</v>
      </c>
      <c r="E2026" s="29">
        <v>19175309</v>
      </c>
      <c r="F2026" s="29" t="s">
        <v>55</v>
      </c>
      <c r="G2026" s="29" t="s">
        <v>605</v>
      </c>
      <c r="H2026" s="29">
        <v>92</v>
      </c>
      <c r="I2026" s="29">
        <v>78</v>
      </c>
      <c r="J2026" s="29">
        <v>72</v>
      </c>
      <c r="K2026" s="29">
        <v>59</v>
      </c>
      <c r="L2026" s="29">
        <v>73</v>
      </c>
      <c r="M2026" s="29">
        <v>62</v>
      </c>
      <c r="N2026" s="29">
        <v>70</v>
      </c>
      <c r="O2026" s="32">
        <v>506</v>
      </c>
      <c r="P2026" s="29" cm="1">
        <f t="array" ref="P2026">IF(表成绩单[[#This Row],[语文]]="","",SUMPRODUCT((表成绩单[考试日期]=表成绩单[[#This Row],[考试日期]])*(表成绩单[语文]&lt;9E+307)*(表成绩单[语文]&gt;表成绩单[[#This Row],[语文]]))+1)</f>
        <v>444</v>
      </c>
      <c r="Q2026" s="29" cm="1">
        <f t="array" ref="Q2026">IF(表成绩单[[#This Row],[数学]]="","",SUMPRODUCT((表成绩单[考试日期]=表成绩单[[#This Row],[考试日期]])*(表成绩单[数学]&lt;9E+307)*(表成绩单[数学]&gt;表成绩单[[#This Row],[数学]]))+1)</f>
        <v>450</v>
      </c>
      <c r="R2026" s="29" cm="1">
        <f t="array" ref="R2026">IF(表成绩单[[#This Row],[英语]]="","",SUMPRODUCT((表成绩单[考试日期]=表成绩单[[#This Row],[考试日期]])*(表成绩单[英语]&lt;9E+307)*(表成绩单[英语]&gt;表成绩单[[#This Row],[英语]]))+1)</f>
        <v>258</v>
      </c>
      <c r="S2026" s="29" cm="1">
        <f t="array" ref="S2026">IF(表成绩单[[#This Row],[物理]]="","",SUMPRODUCT((表成绩单[考试日期]=表成绩单[[#This Row],[考试日期]])*(表成绩单[物理]&lt;9E+307)*(表成绩单[物理]&gt;表成绩单[[#This Row],[物理]]))+1)</f>
        <v>514</v>
      </c>
      <c r="T2026" s="29" cm="1">
        <f t="array" ref="T2026">IF(表成绩单[[#This Row],[化学]]="","",SUMPRODUCT((表成绩单[考试日期]=表成绩单[[#This Row],[考试日期]])*(表成绩单[化学]&lt;9E+307)*(表成绩单[化学]&gt;表成绩单[[#This Row],[化学]]))+1)</f>
        <v>236</v>
      </c>
      <c r="U2026" s="29" cm="1">
        <f t="array" ref="U2026">IF(表成绩单[[#This Row],[政治]]="","",SUMPRODUCT((表成绩单[考试日期]=表成绩单[[#This Row],[考试日期]])*(表成绩单[政治]&lt;9E+307)*(表成绩单[政治]&gt;表成绩单[[#This Row],[政治]]))+1)</f>
        <v>508</v>
      </c>
      <c r="V2026" s="29" cm="1">
        <f t="array" ref="V2026">IF(表成绩单[[#This Row],[历史]]="","",SUMPRODUCT((表成绩单[考试日期]=表成绩单[[#This Row],[考试日期]])*(表成绩单[历史]&lt;9E+307)*(表成绩单[历史]&gt;表成绩单[[#This Row],[历史]]))+1)</f>
        <v>328</v>
      </c>
      <c r="W2026" s="29" cm="1">
        <f t="array" ref="W2026">IF(表成绩单[[#This Row],[总分]]="","",SUMPRODUCT((表成绩单[考试日期]=表成绩单[[#This Row],[考试日期]])*(表成绩单[总分]&lt;9E+307)*(表成绩单[总分]&gt;表成绩单[[#This Row],[总分]]))+1)</f>
        <v>420</v>
      </c>
    </row>
    <row r="2027" ht="28" customHeight="1" spans="4:23">
      <c r="D2027" s="31">
        <v>46030</v>
      </c>
      <c r="E2027" s="29">
        <v>19171078</v>
      </c>
      <c r="F2027" s="29" t="s">
        <v>67</v>
      </c>
      <c r="G2027" s="29" t="s">
        <v>590</v>
      </c>
      <c r="H2027" s="29">
        <v>90</v>
      </c>
      <c r="I2027" s="29">
        <v>98</v>
      </c>
      <c r="J2027" s="29">
        <v>36.5</v>
      </c>
      <c r="K2027" s="29">
        <v>73</v>
      </c>
      <c r="L2027" s="29">
        <v>66</v>
      </c>
      <c r="M2027" s="29">
        <v>65</v>
      </c>
      <c r="N2027" s="29">
        <v>77</v>
      </c>
      <c r="O2027" s="32">
        <v>505.5</v>
      </c>
      <c r="P2027" s="29" cm="1">
        <f t="array" ref="P2027">IF(表成绩单[[#This Row],[语文]]="","",SUMPRODUCT((表成绩单[考试日期]=表成绩单[[#This Row],[考试日期]])*(表成绩单[语文]&lt;9E+307)*(表成绩单[语文]&gt;表成绩单[[#This Row],[语文]]))+1)</f>
        <v>509</v>
      </c>
      <c r="Q2027" s="29" cm="1">
        <f t="array" ref="Q2027">IF(表成绩单[[#This Row],[数学]]="","",SUMPRODUCT((表成绩单[考试日期]=表成绩单[[#This Row],[考试日期]])*(表成绩单[数学]&lt;9E+307)*(表成绩单[数学]&gt;表成绩单[[#This Row],[数学]]))+1)</f>
        <v>134</v>
      </c>
      <c r="R2027" s="29" cm="1">
        <f t="array" ref="R2027">IF(表成绩单[[#This Row],[英语]]="","",SUMPRODUCT((表成绩单[考试日期]=表成绩单[[#This Row],[考试日期]])*(表成绩单[英语]&lt;9E+307)*(表成绩单[英语]&gt;表成绩单[[#This Row],[英语]]))+1)</f>
        <v>740</v>
      </c>
      <c r="S2027" s="29" cm="1">
        <f t="array" ref="S2027">IF(表成绩单[[#This Row],[物理]]="","",SUMPRODUCT((表成绩单[考试日期]=表成绩单[[#This Row],[考试日期]])*(表成绩单[物理]&lt;9E+307)*(表成绩单[物理]&gt;表成绩单[[#This Row],[物理]]))+1)</f>
        <v>271</v>
      </c>
      <c r="T2027" s="29" cm="1">
        <f t="array" ref="T2027">IF(表成绩单[[#This Row],[化学]]="","",SUMPRODUCT((表成绩单[考试日期]=表成绩单[[#This Row],[考试日期]])*(表成绩单[化学]&lt;9E+307)*(表成绩单[化学]&gt;表成绩单[[#This Row],[化学]]))+1)</f>
        <v>414</v>
      </c>
      <c r="U2027" s="29" cm="1">
        <f t="array" ref="U2027">IF(表成绩单[[#This Row],[政治]]="","",SUMPRODUCT((表成绩单[考试日期]=表成绩单[[#This Row],[考试日期]])*(表成绩单[政治]&lt;9E+307)*(表成绩单[政治]&gt;表成绩单[[#This Row],[政治]]))+1)</f>
        <v>431</v>
      </c>
      <c r="V2027" s="29" cm="1">
        <f t="array" ref="V2027">IF(表成绩单[[#This Row],[历史]]="","",SUMPRODUCT((表成绩单[考试日期]=表成绩单[[#This Row],[考试日期]])*(表成绩单[历史]&lt;9E+307)*(表成绩单[历史]&gt;表成绩单[[#This Row],[历史]]))+1)</f>
        <v>148</v>
      </c>
      <c r="W2027" s="29" cm="1">
        <f t="array" ref="W2027">IF(表成绩单[[#This Row],[总分]]="","",SUMPRODUCT((表成绩单[考试日期]=表成绩单[[#This Row],[考试日期]])*(表成绩单[总分]&lt;9E+307)*(表成绩单[总分]&gt;表成绩单[[#This Row],[总分]]))+1)</f>
        <v>421</v>
      </c>
    </row>
    <row r="2028" ht="28" customHeight="1" spans="4:23">
      <c r="D2028" s="31">
        <v>46030</v>
      </c>
      <c r="E2028" s="29">
        <v>19173782</v>
      </c>
      <c r="F2028" s="29" t="s">
        <v>65</v>
      </c>
      <c r="G2028" s="29" t="s">
        <v>462</v>
      </c>
      <c r="H2028" s="29">
        <v>88</v>
      </c>
      <c r="I2028" s="29">
        <v>83</v>
      </c>
      <c r="J2028" s="29">
        <v>61.5</v>
      </c>
      <c r="K2028" s="29">
        <v>72</v>
      </c>
      <c r="L2028" s="29">
        <v>68</v>
      </c>
      <c r="M2028" s="29">
        <v>64</v>
      </c>
      <c r="N2028" s="29">
        <v>69</v>
      </c>
      <c r="O2028" s="32">
        <v>505.5</v>
      </c>
      <c r="P2028" s="29" cm="1">
        <f t="array" ref="P2028">IF(表成绩单[[#This Row],[语文]]="","",SUMPRODUCT((表成绩单[考试日期]=表成绩单[[#This Row],[考试日期]])*(表成绩单[语文]&lt;9E+307)*(表成绩单[语文]&gt;表成绩单[[#This Row],[语文]]))+1)</f>
        <v>562</v>
      </c>
      <c r="Q2028" s="29" cm="1">
        <f t="array" ref="Q2028">IF(表成绩单[[#This Row],[数学]]="","",SUMPRODUCT((表成绩单[考试日期]=表成绩单[[#This Row],[考试日期]])*(表成绩单[数学]&lt;9E+307)*(表成绩单[数学]&gt;表成绩单[[#This Row],[数学]]))+1)</f>
        <v>360</v>
      </c>
      <c r="R2028" s="29" cm="1">
        <f t="array" ref="R2028">IF(表成绩单[[#This Row],[英语]]="","",SUMPRODUCT((表成绩单[考试日期]=表成绩单[[#This Row],[考试日期]])*(表成绩单[英语]&lt;9E+307)*(表成绩单[英语]&gt;表成绩单[[#This Row],[英语]]))+1)</f>
        <v>495</v>
      </c>
      <c r="S2028" s="29" cm="1">
        <f t="array" ref="S2028">IF(表成绩单[[#This Row],[物理]]="","",SUMPRODUCT((表成绩单[考试日期]=表成绩单[[#This Row],[考试日期]])*(表成绩单[物理]&lt;9E+307)*(表成绩单[物理]&gt;表成绩单[[#This Row],[物理]]))+1)</f>
        <v>297</v>
      </c>
      <c r="T2028" s="29" cm="1">
        <f t="array" ref="T2028">IF(表成绩单[[#This Row],[化学]]="","",SUMPRODUCT((表成绩单[考试日期]=表成绩单[[#This Row],[考试日期]])*(表成绩单[化学]&lt;9E+307)*(表成绩单[化学]&gt;表成绩单[[#This Row],[化学]]))+1)</f>
        <v>358</v>
      </c>
      <c r="U2028" s="29" cm="1">
        <f t="array" ref="U2028">IF(表成绩单[[#This Row],[政治]]="","",SUMPRODUCT((表成绩单[考试日期]=表成绩单[[#This Row],[考试日期]])*(表成绩单[政治]&lt;9E+307)*(表成绩单[政治]&gt;表成绩单[[#This Row],[政治]]))+1)</f>
        <v>457</v>
      </c>
      <c r="V2028" s="29" cm="1">
        <f t="array" ref="V2028">IF(表成绩单[[#This Row],[历史]]="","",SUMPRODUCT((表成绩单[考试日期]=表成绩单[[#This Row],[考试日期]])*(表成绩单[历史]&lt;9E+307)*(表成绩单[历史]&gt;表成绩单[[#This Row],[历史]]))+1)</f>
        <v>366</v>
      </c>
      <c r="W2028" s="29" cm="1">
        <f t="array" ref="W2028">IF(表成绩单[[#This Row],[总分]]="","",SUMPRODUCT((表成绩单[考试日期]=表成绩单[[#This Row],[考试日期]])*(表成绩单[总分]&lt;9E+307)*(表成绩单[总分]&gt;表成绩单[[#This Row],[总分]]))+1)</f>
        <v>421</v>
      </c>
    </row>
    <row r="2029" ht="28" customHeight="1" spans="4:23">
      <c r="D2029" s="31">
        <v>46030</v>
      </c>
      <c r="E2029" s="29">
        <v>19178617</v>
      </c>
      <c r="F2029" s="29" t="s">
        <v>25</v>
      </c>
      <c r="G2029" s="29" t="s">
        <v>477</v>
      </c>
      <c r="H2029" s="29">
        <v>98</v>
      </c>
      <c r="I2029" s="29">
        <v>84</v>
      </c>
      <c r="J2029" s="29">
        <v>72.5</v>
      </c>
      <c r="K2029" s="29">
        <v>69</v>
      </c>
      <c r="L2029" s="29">
        <v>51</v>
      </c>
      <c r="M2029" s="29">
        <v>66</v>
      </c>
      <c r="N2029" s="29">
        <v>65</v>
      </c>
      <c r="O2029" s="32">
        <v>505.5</v>
      </c>
      <c r="P2029" s="29" cm="1">
        <f t="array" ref="P2029">IF(表成绩单[[#This Row],[语文]]="","",SUMPRODUCT((表成绩单[考试日期]=表成绩单[[#This Row],[考试日期]])*(表成绩单[语文]&lt;9E+307)*(表成绩单[语文]&gt;表成绩单[[#This Row],[语文]]))+1)</f>
        <v>248</v>
      </c>
      <c r="Q2029" s="29" cm="1">
        <f t="array" ref="Q2029">IF(表成绩单[[#This Row],[数学]]="","",SUMPRODUCT((表成绩单[考试日期]=表成绩单[[#This Row],[考试日期]])*(表成绩单[数学]&lt;9E+307)*(表成绩单[数学]&gt;表成绩单[[#This Row],[数学]]))+1)</f>
        <v>343</v>
      </c>
      <c r="R2029" s="29" cm="1">
        <f t="array" ref="R2029">IF(表成绩单[[#This Row],[英语]]="","",SUMPRODUCT((表成绩单[考试日期]=表成绩单[[#This Row],[考试日期]])*(表成绩单[英语]&lt;9E+307)*(表成绩单[英语]&gt;表成绩单[[#This Row],[英语]]))+1)</f>
        <v>242</v>
      </c>
      <c r="S2029" s="29" cm="1">
        <f t="array" ref="S2029">IF(表成绩单[[#This Row],[物理]]="","",SUMPRODUCT((表成绩单[考试日期]=表成绩单[[#This Row],[考试日期]])*(表成绩单[物理]&lt;9E+307)*(表成绩单[物理]&gt;表成绩单[[#This Row],[物理]]))+1)</f>
        <v>356</v>
      </c>
      <c r="T2029" s="29" cm="1">
        <f t="array" ref="T2029">IF(表成绩单[[#This Row],[化学]]="","",SUMPRODUCT((表成绩单[考试日期]=表成绩单[[#This Row],[考试日期]])*(表成绩单[化学]&lt;9E+307)*(表成绩单[化学]&gt;表成绩单[[#This Row],[化学]]))+1)</f>
        <v>648</v>
      </c>
      <c r="U2029" s="29" cm="1">
        <f t="array" ref="U2029">IF(表成绩单[[#This Row],[政治]]="","",SUMPRODUCT((表成绩单[考试日期]=表成绩单[[#This Row],[考试日期]])*(表成绩单[政治]&lt;9E+307)*(表成绩单[政治]&gt;表成绩单[[#This Row],[政治]]))+1)</f>
        <v>397</v>
      </c>
      <c r="V2029" s="29" cm="1">
        <f t="array" ref="V2029">IF(表成绩单[[#This Row],[历史]]="","",SUMPRODUCT((表成绩单[考试日期]=表成绩单[[#This Row],[考试日期]])*(表成绩单[历史]&lt;9E+307)*(表成绩单[历史]&gt;表成绩单[[#This Row],[历史]]))+1)</f>
        <v>471</v>
      </c>
      <c r="W2029" s="29" cm="1">
        <f t="array" ref="W2029">IF(表成绩单[[#This Row],[总分]]="","",SUMPRODUCT((表成绩单[考试日期]=表成绩单[[#This Row],[考试日期]])*(表成绩单[总分]&lt;9E+307)*(表成绩单[总分]&gt;表成绩单[[#This Row],[总分]]))+1)</f>
        <v>421</v>
      </c>
    </row>
    <row r="2030" ht="28" customHeight="1" spans="4:23">
      <c r="D2030" s="31">
        <v>46030</v>
      </c>
      <c r="E2030" s="29">
        <v>19174430</v>
      </c>
      <c r="F2030" s="29" t="s">
        <v>73</v>
      </c>
      <c r="G2030" s="29" t="s">
        <v>312</v>
      </c>
      <c r="H2030" s="29">
        <v>110</v>
      </c>
      <c r="I2030" s="29">
        <v>77</v>
      </c>
      <c r="J2030" s="29">
        <v>74.5</v>
      </c>
      <c r="K2030" s="29">
        <v>57</v>
      </c>
      <c r="L2030" s="29">
        <v>61</v>
      </c>
      <c r="M2030" s="29">
        <v>67</v>
      </c>
      <c r="N2030" s="29">
        <v>58</v>
      </c>
      <c r="O2030" s="32">
        <v>504.5</v>
      </c>
      <c r="P2030" s="29" cm="1">
        <f t="array" ref="P2030">IF(表成绩单[[#This Row],[语文]]="","",SUMPRODUCT((表成绩单[考试日期]=表成绩单[[#This Row],[考试日期]])*(表成绩单[语文]&lt;9E+307)*(表成绩单[语文]&gt;表成绩单[[#This Row],[语文]]))+1)</f>
        <v>14</v>
      </c>
      <c r="Q2030" s="29" cm="1">
        <f t="array" ref="Q2030">IF(表成绩单[[#This Row],[数学]]="","",SUMPRODUCT((表成绩单[考试日期]=表成绩单[[#This Row],[考试日期]])*(表成绩单[数学]&lt;9E+307)*(表成绩单[数学]&gt;表成绩单[[#This Row],[数学]]))+1)</f>
        <v>478</v>
      </c>
      <c r="R2030" s="29" cm="1">
        <f t="array" ref="R2030">IF(表成绩单[[#This Row],[英语]]="","",SUMPRODUCT((表成绩单[考试日期]=表成绩单[[#This Row],[考试日期]])*(表成绩单[英语]&lt;9E+307)*(表成绩单[英语]&gt;表成绩单[[#This Row],[英语]]))+1)</f>
        <v>181</v>
      </c>
      <c r="S2030" s="29" cm="1">
        <f t="array" ref="S2030">IF(表成绩单[[#This Row],[物理]]="","",SUMPRODUCT((表成绩单[考试日期]=表成绩单[[#This Row],[考试日期]])*(表成绩单[物理]&lt;9E+307)*(表成绩单[物理]&gt;表成绩单[[#This Row],[物理]]))+1)</f>
        <v>539</v>
      </c>
      <c r="T2030" s="29" cm="1">
        <f t="array" ref="T2030">IF(表成绩单[[#This Row],[化学]]="","",SUMPRODUCT((表成绩单[考试日期]=表成绩单[[#This Row],[考试日期]])*(表成绩单[化学]&lt;9E+307)*(表成绩单[化学]&gt;表成绩单[[#This Row],[化学]]))+1)</f>
        <v>508</v>
      </c>
      <c r="U2030" s="29" cm="1">
        <f t="array" ref="U2030">IF(表成绩单[[#This Row],[政治]]="","",SUMPRODUCT((表成绩单[考试日期]=表成绩单[[#This Row],[考试日期]])*(表成绩单[政治]&lt;9E+307)*(表成绩单[政治]&gt;表成绩单[[#This Row],[政治]]))+1)</f>
        <v>370</v>
      </c>
      <c r="V2030" s="29" cm="1">
        <f t="array" ref="V2030">IF(表成绩单[[#This Row],[历史]]="","",SUMPRODUCT((表成绩单[考试日期]=表成绩单[[#This Row],[考试日期]])*(表成绩单[历史]&lt;9E+307)*(表成绩单[历史]&gt;表成绩单[[#This Row],[历史]]))+1)</f>
        <v>620</v>
      </c>
      <c r="W2030" s="29" cm="1">
        <f t="array" ref="W2030">IF(表成绩单[[#This Row],[总分]]="","",SUMPRODUCT((表成绩单[考试日期]=表成绩单[[#This Row],[考试日期]])*(表成绩单[总分]&lt;9E+307)*(表成绩单[总分]&gt;表成绩单[[#This Row],[总分]]))+1)</f>
        <v>424</v>
      </c>
    </row>
    <row r="2031" ht="28" customHeight="1" spans="4:23">
      <c r="D2031" s="31">
        <v>46030</v>
      </c>
      <c r="E2031" s="29">
        <v>19174781</v>
      </c>
      <c r="F2031" s="29" t="s">
        <v>69</v>
      </c>
      <c r="G2031" s="29" t="s">
        <v>568</v>
      </c>
      <c r="H2031" s="29">
        <v>102</v>
      </c>
      <c r="I2031" s="29">
        <v>87</v>
      </c>
      <c r="J2031" s="29">
        <v>56.5</v>
      </c>
      <c r="K2031" s="29">
        <v>67</v>
      </c>
      <c r="L2031" s="29">
        <v>64</v>
      </c>
      <c r="M2031" s="29">
        <v>62</v>
      </c>
      <c r="N2031" s="29">
        <v>66</v>
      </c>
      <c r="O2031" s="32">
        <v>504.5</v>
      </c>
      <c r="P2031" s="29" cm="1">
        <f t="array" ref="P2031">IF(表成绩单[[#This Row],[语文]]="","",SUMPRODUCT((表成绩单[考试日期]=表成绩单[[#This Row],[考试日期]])*(表成绩单[语文]&lt;9E+307)*(表成绩单[语文]&gt;表成绩单[[#This Row],[语文]]))+1)</f>
        <v>132</v>
      </c>
      <c r="Q2031" s="29" cm="1">
        <f t="array" ref="Q2031">IF(表成绩单[[#This Row],[数学]]="","",SUMPRODUCT((表成绩单[考试日期]=表成绩单[[#This Row],[考试日期]])*(表成绩单[数学]&lt;9E+307)*(表成绩单[数学]&gt;表成绩单[[#This Row],[数学]]))+1)</f>
        <v>270</v>
      </c>
      <c r="R2031" s="29" cm="1">
        <f t="array" ref="R2031">IF(表成绩单[[#This Row],[英语]]="","",SUMPRODUCT((表成绩单[考试日期]=表成绩单[[#This Row],[考试日期]])*(表成绩单[英语]&lt;9E+307)*(表成绩单[英语]&gt;表成绩单[[#This Row],[英语]]))+1)</f>
        <v>575</v>
      </c>
      <c r="S2031" s="29" cm="1">
        <f t="array" ref="S2031">IF(表成绩单[[#This Row],[物理]]="","",SUMPRODUCT((表成绩单[考试日期]=表成绩单[[#This Row],[考试日期]])*(表成绩单[物理]&lt;9E+307)*(表成绩单[物理]&gt;表成绩单[[#This Row],[物理]]))+1)</f>
        <v>394</v>
      </c>
      <c r="T2031" s="29" cm="1">
        <f t="array" ref="T2031">IF(表成绩单[[#This Row],[化学]]="","",SUMPRODUCT((表成绩单[考试日期]=表成绩单[[#This Row],[考试日期]])*(表成绩单[化学]&lt;9E+307)*(表成绩单[化学]&gt;表成绩单[[#This Row],[化学]]))+1)</f>
        <v>451</v>
      </c>
      <c r="U2031" s="29" cm="1">
        <f t="array" ref="U2031">IF(表成绩单[[#This Row],[政治]]="","",SUMPRODUCT((表成绩单[考试日期]=表成绩单[[#This Row],[考试日期]])*(表成绩单[政治]&lt;9E+307)*(表成绩单[政治]&gt;表成绩单[[#This Row],[政治]]))+1)</f>
        <v>508</v>
      </c>
      <c r="V2031" s="29" cm="1">
        <f t="array" ref="V2031">IF(表成绩单[[#This Row],[历史]]="","",SUMPRODUCT((表成绩单[考试日期]=表成绩单[[#This Row],[考试日期]])*(表成绩单[历史]&lt;9E+307)*(表成绩单[历史]&gt;表成绩单[[#This Row],[历史]]))+1)</f>
        <v>451</v>
      </c>
      <c r="W2031" s="29" cm="1">
        <f t="array" ref="W2031">IF(表成绩单[[#This Row],[总分]]="","",SUMPRODUCT((表成绩单[考试日期]=表成绩单[[#This Row],[考试日期]])*(表成绩单[总分]&lt;9E+307)*(表成绩单[总分]&gt;表成绩单[[#This Row],[总分]]))+1)</f>
        <v>424</v>
      </c>
    </row>
    <row r="2032" ht="28" customHeight="1" spans="4:23">
      <c r="D2032" s="31">
        <v>46030</v>
      </c>
      <c r="E2032" s="29">
        <v>19176897</v>
      </c>
      <c r="F2032" s="29" t="s">
        <v>71</v>
      </c>
      <c r="G2032" s="29" t="s">
        <v>476</v>
      </c>
      <c r="H2032" s="29">
        <v>77</v>
      </c>
      <c r="I2032" s="29">
        <v>80</v>
      </c>
      <c r="J2032" s="29">
        <v>66.5</v>
      </c>
      <c r="K2032" s="29">
        <v>81</v>
      </c>
      <c r="L2032" s="29">
        <v>76</v>
      </c>
      <c r="M2032" s="29">
        <v>59</v>
      </c>
      <c r="N2032" s="29">
        <v>65</v>
      </c>
      <c r="O2032" s="32">
        <v>504.5</v>
      </c>
      <c r="P2032" s="29" cm="1">
        <f t="array" ref="P2032">IF(表成绩单[[#This Row],[语文]]="","",SUMPRODUCT((表成绩单[考试日期]=表成绩单[[#This Row],[考试日期]])*(表成绩单[语文]&lt;9E+307)*(表成绩单[语文]&gt;表成绩单[[#This Row],[语文]]))+1)</f>
        <v>702</v>
      </c>
      <c r="Q2032" s="29" cm="1">
        <f t="array" ref="Q2032">IF(表成绩单[[#This Row],[数学]]="","",SUMPRODUCT((表成绩单[考试日期]=表成绩单[[#This Row],[考试日期]])*(表成绩单[数学]&lt;9E+307)*(表成绩单[数学]&gt;表成绩单[[#This Row],[数学]]))+1)</f>
        <v>412</v>
      </c>
      <c r="R2032" s="29" cm="1">
        <f t="array" ref="R2032">IF(表成绩单[[#This Row],[英语]]="","",SUMPRODUCT((表成绩单[考试日期]=表成绩单[[#This Row],[考试日期]])*(表成绩单[英语]&lt;9E+307)*(表成绩单[英语]&gt;表成绩单[[#This Row],[英语]]))+1)</f>
        <v>402</v>
      </c>
      <c r="S2032" s="29" cm="1">
        <f t="array" ref="S2032">IF(表成绩单[[#This Row],[物理]]="","",SUMPRODUCT((表成绩单[考试日期]=表成绩单[[#This Row],[考试日期]])*(表成绩单[物理]&lt;9E+307)*(表成绩单[物理]&gt;表成绩单[[#This Row],[物理]]))+1)</f>
        <v>119</v>
      </c>
      <c r="T2032" s="29" cm="1">
        <f t="array" ref="T2032">IF(表成绩单[[#This Row],[化学]]="","",SUMPRODUCT((表成绩单[考试日期]=表成绩单[[#This Row],[考试日期]])*(表成绩单[化学]&lt;9E+307)*(表成绩单[化学]&gt;表成绩单[[#This Row],[化学]]))+1)</f>
        <v>139</v>
      </c>
      <c r="U2032" s="29" cm="1">
        <f t="array" ref="U2032">IF(表成绩单[[#This Row],[政治]]="","",SUMPRODUCT((表成绩单[考试日期]=表成绩单[[#This Row],[考试日期]])*(表成绩单[政治]&lt;9E+307)*(表成绩单[政治]&gt;表成绩单[[#This Row],[政治]]))+1)</f>
        <v>557</v>
      </c>
      <c r="V2032" s="29" cm="1">
        <f t="array" ref="V2032">IF(表成绩单[[#This Row],[历史]]="","",SUMPRODUCT((表成绩单[考试日期]=表成绩单[[#This Row],[考试日期]])*(表成绩单[历史]&lt;9E+307)*(表成绩单[历史]&gt;表成绩单[[#This Row],[历史]]))+1)</f>
        <v>471</v>
      </c>
      <c r="W2032" s="29" cm="1">
        <f t="array" ref="W2032">IF(表成绩单[[#This Row],[总分]]="","",SUMPRODUCT((表成绩单[考试日期]=表成绩单[[#This Row],[考试日期]])*(表成绩单[总分]&lt;9E+307)*(表成绩单[总分]&gt;表成绩单[[#This Row],[总分]]))+1)</f>
        <v>424</v>
      </c>
    </row>
    <row r="2033" ht="28" customHeight="1" spans="4:23">
      <c r="D2033" s="31">
        <v>46030</v>
      </c>
      <c r="E2033" s="29">
        <v>19178635</v>
      </c>
      <c r="F2033" s="29" t="s">
        <v>25</v>
      </c>
      <c r="G2033" s="29" t="s">
        <v>394</v>
      </c>
      <c r="H2033" s="29">
        <v>90</v>
      </c>
      <c r="I2033" s="29">
        <v>88</v>
      </c>
      <c r="J2033" s="29">
        <v>72</v>
      </c>
      <c r="K2033" s="29">
        <v>59</v>
      </c>
      <c r="L2033" s="29">
        <v>78</v>
      </c>
      <c r="M2033" s="29">
        <v>69</v>
      </c>
      <c r="N2033" s="29">
        <v>48</v>
      </c>
      <c r="O2033" s="32">
        <v>504</v>
      </c>
      <c r="P2033" s="29" cm="1">
        <f t="array" ref="P2033">IF(表成绩单[[#This Row],[语文]]="","",SUMPRODUCT((表成绩单[考试日期]=表成绩单[[#This Row],[考试日期]])*(表成绩单[语文]&lt;9E+307)*(表成绩单[语文]&gt;表成绩单[[#This Row],[语文]]))+1)</f>
        <v>509</v>
      </c>
      <c r="Q2033" s="29" cm="1">
        <f t="array" ref="Q2033">IF(表成绩单[[#This Row],[数学]]="","",SUMPRODUCT((表成绩单[考试日期]=表成绩单[[#This Row],[考试日期]])*(表成绩单[数学]&lt;9E+307)*(表成绩单[数学]&gt;表成绩单[[#This Row],[数学]]))+1)</f>
        <v>245</v>
      </c>
      <c r="R2033" s="29" cm="1">
        <f t="array" ref="R2033">IF(表成绩单[[#This Row],[英语]]="","",SUMPRODUCT((表成绩单[考试日期]=表成绩单[[#This Row],[考试日期]])*(表成绩单[英语]&lt;9E+307)*(表成绩单[英语]&gt;表成绩单[[#This Row],[英语]]))+1)</f>
        <v>258</v>
      </c>
      <c r="S2033" s="29" cm="1">
        <f t="array" ref="S2033">IF(表成绩单[[#This Row],[物理]]="","",SUMPRODUCT((表成绩单[考试日期]=表成绩单[[#This Row],[考试日期]])*(表成绩单[物理]&lt;9E+307)*(表成绩单[物理]&gt;表成绩单[[#This Row],[物理]]))+1)</f>
        <v>514</v>
      </c>
      <c r="T2033" s="29" cm="1">
        <f t="array" ref="T2033">IF(表成绩单[[#This Row],[化学]]="","",SUMPRODUCT((表成绩单[考试日期]=表成绩单[[#This Row],[考试日期]])*(表成绩单[化学]&lt;9E+307)*(表成绩单[化学]&gt;表成绩单[[#This Row],[化学]]))+1)</f>
        <v>93</v>
      </c>
      <c r="U2033" s="29" cm="1">
        <f t="array" ref="U2033">IF(表成绩单[[#This Row],[政治]]="","",SUMPRODUCT((表成绩单[考试日期]=表成绩单[[#This Row],[考试日期]])*(表成绩单[政治]&lt;9E+307)*(表成绩单[政治]&gt;表成绩单[[#This Row],[政治]]))+1)</f>
        <v>308</v>
      </c>
      <c r="V2033" s="29" cm="1">
        <f t="array" ref="V2033">IF(表成绩单[[#This Row],[历史]]="","",SUMPRODUCT((表成绩单[考试日期]=表成绩单[[#This Row],[考试日期]])*(表成绩单[历史]&lt;9E+307)*(表成绩单[历史]&gt;表成绩单[[#This Row],[历史]]))+1)</f>
        <v>733</v>
      </c>
      <c r="W2033" s="29" cm="1">
        <f t="array" ref="W2033">IF(表成绩单[[#This Row],[总分]]="","",SUMPRODUCT((表成绩单[考试日期]=表成绩单[[#This Row],[考试日期]])*(表成绩单[总分]&lt;9E+307)*(表成绩单[总分]&gt;表成绩单[[#This Row],[总分]]))+1)</f>
        <v>427</v>
      </c>
    </row>
    <row r="2034" ht="28" customHeight="1" spans="4:23">
      <c r="D2034" s="31">
        <v>46030</v>
      </c>
      <c r="E2034" s="29">
        <v>19173797</v>
      </c>
      <c r="F2034" s="29" t="s">
        <v>65</v>
      </c>
      <c r="G2034" s="29" t="s">
        <v>469</v>
      </c>
      <c r="H2034" s="29">
        <v>85</v>
      </c>
      <c r="I2034" s="29">
        <v>76</v>
      </c>
      <c r="J2034" s="29">
        <v>58.5</v>
      </c>
      <c r="K2034" s="29">
        <v>76</v>
      </c>
      <c r="L2034" s="29">
        <v>71</v>
      </c>
      <c r="M2034" s="29">
        <v>65</v>
      </c>
      <c r="N2034" s="29">
        <v>71</v>
      </c>
      <c r="O2034" s="32">
        <v>502.5</v>
      </c>
      <c r="P2034" s="29" cm="1">
        <f t="array" ref="P2034">IF(表成绩单[[#This Row],[语文]]="","",SUMPRODUCT((表成绩单[考试日期]=表成绩单[[#This Row],[考试日期]])*(表成绩单[语文]&lt;9E+307)*(表成绩单[语文]&gt;表成绩单[[#This Row],[语文]]))+1)</f>
        <v>619</v>
      </c>
      <c r="Q2034" s="29" cm="1">
        <f t="array" ref="Q2034">IF(表成绩单[[#This Row],[数学]]="","",SUMPRODUCT((表成绩单[考试日期]=表成绩单[[#This Row],[考试日期]])*(表成绩单[数学]&lt;9E+307)*(表成绩单[数学]&gt;表成绩单[[#This Row],[数学]]))+1)</f>
        <v>507</v>
      </c>
      <c r="R2034" s="29" cm="1">
        <f t="array" ref="R2034">IF(表成绩单[[#This Row],[英语]]="","",SUMPRODUCT((表成绩单[考试日期]=表成绩单[[#This Row],[考试日期]])*(表成绩单[英语]&lt;9E+307)*(表成绩单[英语]&gt;表成绩单[[#This Row],[英语]]))+1)</f>
        <v>545</v>
      </c>
      <c r="S2034" s="29" cm="1">
        <f t="array" ref="S2034">IF(表成绩单[[#This Row],[物理]]="","",SUMPRODUCT((表成绩单[考试日期]=表成绩单[[#This Row],[考试日期]])*(表成绩单[物理]&lt;9E+307)*(表成绩单[物理]&gt;表成绩单[[#This Row],[物理]]))+1)</f>
        <v>218</v>
      </c>
      <c r="T2034" s="29" cm="1">
        <f t="array" ref="T2034">IF(表成绩单[[#This Row],[化学]]="","",SUMPRODUCT((表成绩单[考试日期]=表成绩单[[#This Row],[考试日期]])*(表成绩单[化学]&lt;9E+307)*(表成绩单[化学]&gt;表成绩单[[#This Row],[化学]]))+1)</f>
        <v>297</v>
      </c>
      <c r="U2034" s="29" cm="1">
        <f t="array" ref="U2034">IF(表成绩单[[#This Row],[政治]]="","",SUMPRODUCT((表成绩单[考试日期]=表成绩单[[#This Row],[考试日期]])*(表成绩单[政治]&lt;9E+307)*(表成绩单[政治]&gt;表成绩单[[#This Row],[政治]]))+1)</f>
        <v>431</v>
      </c>
      <c r="V2034" s="29" cm="1">
        <f t="array" ref="V2034">IF(表成绩单[[#This Row],[历史]]="","",SUMPRODUCT((表成绩单[考试日期]=表成绩单[[#This Row],[考试日期]])*(表成绩单[历史]&lt;9E+307)*(表成绩单[历史]&gt;表成绩单[[#This Row],[历史]]))+1)</f>
        <v>297</v>
      </c>
      <c r="W2034" s="29" cm="1">
        <f t="array" ref="W2034">IF(表成绩单[[#This Row],[总分]]="","",SUMPRODUCT((表成绩单[考试日期]=表成绩单[[#This Row],[考试日期]])*(表成绩单[总分]&lt;9E+307)*(表成绩单[总分]&gt;表成绩单[[#This Row],[总分]]))+1)</f>
        <v>428</v>
      </c>
    </row>
    <row r="2035" ht="28" customHeight="1" spans="4:23">
      <c r="D2035" s="31">
        <v>46030</v>
      </c>
      <c r="E2035" s="29">
        <v>19175614</v>
      </c>
      <c r="F2035" s="29" t="s">
        <v>57</v>
      </c>
      <c r="G2035" s="29" t="s">
        <v>559</v>
      </c>
      <c r="H2035" s="29">
        <v>104</v>
      </c>
      <c r="I2035" s="29">
        <v>67</v>
      </c>
      <c r="J2035" s="29">
        <v>68</v>
      </c>
      <c r="K2035" s="29">
        <v>60</v>
      </c>
      <c r="L2035" s="29">
        <v>60</v>
      </c>
      <c r="M2035" s="29">
        <v>73</v>
      </c>
      <c r="N2035" s="29">
        <v>70</v>
      </c>
      <c r="O2035" s="32">
        <v>502</v>
      </c>
      <c r="P2035" s="29" cm="1">
        <f t="array" ref="P2035">IF(表成绩单[[#This Row],[语文]]="","",SUMPRODUCT((表成绩单[考试日期]=表成绩单[[#This Row],[考试日期]])*(表成绩单[语文]&lt;9E+307)*(表成绩单[语文]&gt;表成绩单[[#This Row],[语文]]))+1)</f>
        <v>82</v>
      </c>
      <c r="Q2035" s="29" cm="1">
        <f t="array" ref="Q2035">IF(表成绩单[[#This Row],[数学]]="","",SUMPRODUCT((表成绩单[考试日期]=表成绩单[[#This Row],[考试日期]])*(表成绩单[数学]&lt;9E+307)*(表成绩单[数学]&gt;表成绩单[[#This Row],[数学]]))+1)</f>
        <v>620</v>
      </c>
      <c r="R2035" s="29" cm="1">
        <f t="array" ref="R2035">IF(表成绩单[[#This Row],[英语]]="","",SUMPRODUCT((表成绩单[考试日期]=表成绩单[[#This Row],[考试日期]])*(表成绩单[英语]&lt;9E+307)*(表成绩单[英语]&gt;表成绩单[[#This Row],[英语]]))+1)</f>
        <v>364</v>
      </c>
      <c r="S2035" s="29" cm="1">
        <f t="array" ref="S2035">IF(表成绩单[[#This Row],[物理]]="","",SUMPRODUCT((表成绩单[考试日期]=表成绩单[[#This Row],[考试日期]])*(表成绩单[物理]&lt;9E+307)*(表成绩单[物理]&gt;表成绩单[[#This Row],[物理]]))+1)</f>
        <v>499</v>
      </c>
      <c r="T2035" s="29" cm="1">
        <f t="array" ref="T2035">IF(表成绩单[[#This Row],[化学]]="","",SUMPRODUCT((表成绩单[考试日期]=表成绩单[[#This Row],[考试日期]])*(表成绩单[化学]&lt;9E+307)*(表成绩单[化学]&gt;表成绩单[[#This Row],[化学]]))+1)</f>
        <v>525</v>
      </c>
      <c r="U2035" s="29" cm="1">
        <f t="array" ref="U2035">IF(表成绩单[[#This Row],[政治]]="","",SUMPRODUCT((表成绩单[考试日期]=表成绩单[[#This Row],[考试日期]])*(表成绩单[政治]&lt;9E+307)*(表成绩单[政治]&gt;表成绩单[[#This Row],[政治]]))+1)</f>
        <v>197</v>
      </c>
      <c r="V2035" s="29" cm="1">
        <f t="array" ref="V2035">IF(表成绩单[[#This Row],[历史]]="","",SUMPRODUCT((表成绩单[考试日期]=表成绩单[[#This Row],[考试日期]])*(表成绩单[历史]&lt;9E+307)*(表成绩单[历史]&gt;表成绩单[[#This Row],[历史]]))+1)</f>
        <v>328</v>
      </c>
      <c r="W2035" s="29" cm="1">
        <f t="array" ref="W2035">IF(表成绩单[[#This Row],[总分]]="","",SUMPRODUCT((表成绩单[考试日期]=表成绩单[[#This Row],[考试日期]])*(表成绩单[总分]&lt;9E+307)*(表成绩单[总分]&gt;表成绩单[[#This Row],[总分]]))+1)</f>
        <v>429</v>
      </c>
    </row>
    <row r="2036" ht="28" customHeight="1" spans="4:23">
      <c r="D2036" s="31">
        <v>46030</v>
      </c>
      <c r="E2036" s="29">
        <v>19175417</v>
      </c>
      <c r="F2036" s="29" t="s">
        <v>74</v>
      </c>
      <c r="G2036" s="29" t="s">
        <v>495</v>
      </c>
      <c r="H2036" s="29">
        <v>101</v>
      </c>
      <c r="I2036" s="29">
        <v>73</v>
      </c>
      <c r="J2036" s="29">
        <v>56.5</v>
      </c>
      <c r="K2036" s="29">
        <v>60</v>
      </c>
      <c r="L2036" s="29">
        <v>66</v>
      </c>
      <c r="M2036" s="29">
        <v>77</v>
      </c>
      <c r="N2036" s="29">
        <v>68</v>
      </c>
      <c r="O2036" s="32">
        <v>501.5</v>
      </c>
      <c r="P2036" s="29" cm="1">
        <f t="array" ref="P2036">IF(表成绩单[[#This Row],[语文]]="","",SUMPRODUCT((表成绩单[考试日期]=表成绩单[[#This Row],[考试日期]])*(表成绩单[语文]&lt;9E+307)*(表成绩单[语文]&gt;表成绩单[[#This Row],[语文]]))+1)</f>
        <v>159</v>
      </c>
      <c r="Q2036" s="29" cm="1">
        <f t="array" ref="Q2036">IF(表成绩单[[#This Row],[数学]]="","",SUMPRODUCT((表成绩单[考试日期]=表成绩单[[#This Row],[考试日期]])*(表成绩单[数学]&lt;9E+307)*(表成绩单[数学]&gt;表成绩单[[#This Row],[数学]]))+1)</f>
        <v>547</v>
      </c>
      <c r="R2036" s="29" cm="1">
        <f t="array" ref="R2036">IF(表成绩单[[#This Row],[英语]]="","",SUMPRODUCT((表成绩单[考试日期]=表成绩单[[#This Row],[考试日期]])*(表成绩单[英语]&lt;9E+307)*(表成绩单[英语]&gt;表成绩单[[#This Row],[英语]]))+1)</f>
        <v>575</v>
      </c>
      <c r="S2036" s="29" cm="1">
        <f t="array" ref="S2036">IF(表成绩单[[#This Row],[物理]]="","",SUMPRODUCT((表成绩单[考试日期]=表成绩单[[#This Row],[考试日期]])*(表成绩单[物理]&lt;9E+307)*(表成绩单[物理]&gt;表成绩单[[#This Row],[物理]]))+1)</f>
        <v>499</v>
      </c>
      <c r="T2036" s="29" cm="1">
        <f t="array" ref="T2036">IF(表成绩单[[#This Row],[化学]]="","",SUMPRODUCT((表成绩单[考试日期]=表成绩单[[#This Row],[考试日期]])*(表成绩单[化学]&lt;9E+307)*(表成绩单[化学]&gt;表成绩单[[#This Row],[化学]]))+1)</f>
        <v>414</v>
      </c>
      <c r="U2036" s="29" cm="1">
        <f t="array" ref="U2036">IF(表成绩单[[#This Row],[政治]]="","",SUMPRODUCT((表成绩单[考试日期]=表成绩单[[#This Row],[考试日期]])*(表成绩单[政治]&lt;9E+307)*(表成绩单[政治]&gt;表成绩单[[#This Row],[政治]]))+1)</f>
        <v>88</v>
      </c>
      <c r="V2036" s="29" cm="1">
        <f t="array" ref="V2036">IF(表成绩单[[#This Row],[历史]]="","",SUMPRODUCT((表成绩单[考试日期]=表成绩单[[#This Row],[考试日期]])*(表成绩单[历史]&lt;9E+307)*(表成绩单[历史]&gt;表成绩单[[#This Row],[历史]]))+1)</f>
        <v>390</v>
      </c>
      <c r="W2036" s="29" cm="1">
        <f t="array" ref="W2036">IF(表成绩单[[#This Row],[总分]]="","",SUMPRODUCT((表成绩单[考试日期]=表成绩单[[#This Row],[考试日期]])*(表成绩单[总分]&lt;9E+307)*(表成绩单[总分]&gt;表成绩单[[#This Row],[总分]]))+1)</f>
        <v>430</v>
      </c>
    </row>
    <row r="2037" ht="28" customHeight="1" spans="4:23">
      <c r="D2037" s="31">
        <v>46030</v>
      </c>
      <c r="E2037" s="29">
        <v>19176014</v>
      </c>
      <c r="F2037" s="29" t="s">
        <v>59</v>
      </c>
      <c r="G2037" s="29" t="s">
        <v>500</v>
      </c>
      <c r="H2037" s="29">
        <v>95</v>
      </c>
      <c r="I2037" s="29">
        <v>88</v>
      </c>
      <c r="J2037" s="29">
        <v>67.5</v>
      </c>
      <c r="K2037" s="29">
        <v>56</v>
      </c>
      <c r="L2037" s="29">
        <v>64</v>
      </c>
      <c r="M2037" s="29">
        <v>73</v>
      </c>
      <c r="N2037" s="29">
        <v>58</v>
      </c>
      <c r="O2037" s="32">
        <v>501.5</v>
      </c>
      <c r="P2037" s="29" cm="1">
        <f t="array" ref="P2037">IF(表成绩单[[#This Row],[语文]]="","",SUMPRODUCT((表成绩单[考试日期]=表成绩单[[#This Row],[考试日期]])*(表成绩单[语文]&lt;9E+307)*(表成绩单[语文]&gt;表成绩单[[#This Row],[语文]]))+1)</f>
        <v>342</v>
      </c>
      <c r="Q2037" s="29" cm="1">
        <f t="array" ref="Q2037">IF(表成绩单[[#This Row],[数学]]="","",SUMPRODUCT((表成绩单[考试日期]=表成绩单[[#This Row],[考试日期]])*(表成绩单[数学]&lt;9E+307)*(表成绩单[数学]&gt;表成绩单[[#This Row],[数学]]))+1)</f>
        <v>245</v>
      </c>
      <c r="R2037" s="29" cm="1">
        <f t="array" ref="R2037">IF(表成绩单[[#This Row],[英语]]="","",SUMPRODUCT((表成绩单[考试日期]=表成绩单[[#This Row],[考试日期]])*(表成绩单[英语]&lt;9E+307)*(表成绩单[英语]&gt;表成绩单[[#This Row],[英语]]))+1)</f>
        <v>377</v>
      </c>
      <c r="S2037" s="29" cm="1">
        <f t="array" ref="S2037">IF(表成绩单[[#This Row],[物理]]="","",SUMPRODUCT((表成绩单[考试日期]=表成绩单[[#This Row],[考试日期]])*(表成绩单[物理]&lt;9E+307)*(表成绩单[物理]&gt;表成绩单[[#This Row],[物理]]))+1)</f>
        <v>552</v>
      </c>
      <c r="T2037" s="29" cm="1">
        <f t="array" ref="T2037">IF(表成绩单[[#This Row],[化学]]="","",SUMPRODUCT((表成绩单[考试日期]=表成绩单[[#This Row],[考试日期]])*(表成绩单[化学]&lt;9E+307)*(表成绩单[化学]&gt;表成绩单[[#This Row],[化学]]))+1)</f>
        <v>451</v>
      </c>
      <c r="U2037" s="29" cm="1">
        <f t="array" ref="U2037">IF(表成绩单[[#This Row],[政治]]="","",SUMPRODUCT((表成绩单[考试日期]=表成绩单[[#This Row],[考试日期]])*(表成绩单[政治]&lt;9E+307)*(表成绩单[政治]&gt;表成绩单[[#This Row],[政治]]))+1)</f>
        <v>197</v>
      </c>
      <c r="V2037" s="29" cm="1">
        <f t="array" ref="V2037">IF(表成绩单[[#This Row],[历史]]="","",SUMPRODUCT((表成绩单[考试日期]=表成绩单[[#This Row],[考试日期]])*(表成绩单[历史]&lt;9E+307)*(表成绩单[历史]&gt;表成绩单[[#This Row],[历史]]))+1)</f>
        <v>620</v>
      </c>
      <c r="W2037" s="29" cm="1">
        <f t="array" ref="W2037">IF(表成绩单[[#This Row],[总分]]="","",SUMPRODUCT((表成绩单[考试日期]=表成绩单[[#This Row],[考试日期]])*(表成绩单[总分]&lt;9E+307)*(表成绩单[总分]&gt;表成绩单[[#This Row],[总分]]))+1)</f>
        <v>430</v>
      </c>
    </row>
    <row r="2038" ht="28" customHeight="1" spans="4:23">
      <c r="D2038" s="31">
        <v>46030</v>
      </c>
      <c r="E2038" s="29">
        <v>19177667</v>
      </c>
      <c r="F2038" s="29" t="s">
        <v>63</v>
      </c>
      <c r="G2038" s="29" t="s">
        <v>406</v>
      </c>
      <c r="H2038" s="29">
        <v>89</v>
      </c>
      <c r="I2038" s="29">
        <v>73</v>
      </c>
      <c r="J2038" s="29">
        <v>77.5</v>
      </c>
      <c r="K2038" s="29">
        <v>59</v>
      </c>
      <c r="L2038" s="29">
        <v>62</v>
      </c>
      <c r="M2038" s="29">
        <v>70</v>
      </c>
      <c r="N2038" s="29">
        <v>71</v>
      </c>
      <c r="O2038" s="32">
        <v>501.5</v>
      </c>
      <c r="P2038" s="29" cm="1">
        <f t="array" ref="P2038">IF(表成绩单[[#This Row],[语文]]="","",SUMPRODUCT((表成绩单[考试日期]=表成绩单[[#This Row],[考试日期]])*(表成绩单[语文]&lt;9E+307)*(表成绩单[语文]&gt;表成绩单[[#This Row],[语文]]))+1)</f>
        <v>540</v>
      </c>
      <c r="Q2038" s="29" cm="1">
        <f t="array" ref="Q2038">IF(表成绩单[[#This Row],[数学]]="","",SUMPRODUCT((表成绩单[考试日期]=表成绩单[[#This Row],[考试日期]])*(表成绩单[数学]&lt;9E+307)*(表成绩单[数学]&gt;表成绩单[[#This Row],[数学]]))+1)</f>
        <v>547</v>
      </c>
      <c r="R2038" s="29" cm="1">
        <f t="array" ref="R2038">IF(表成绩单[[#This Row],[英语]]="","",SUMPRODUCT((表成绩单[考试日期]=表成绩单[[#This Row],[考试日期]])*(表成绩单[英语]&lt;9E+307)*(表成绩单[英语]&gt;表成绩单[[#This Row],[英语]]))+1)</f>
        <v>89</v>
      </c>
      <c r="S2038" s="29" cm="1">
        <f t="array" ref="S2038">IF(表成绩单[[#This Row],[物理]]="","",SUMPRODUCT((表成绩单[考试日期]=表成绩单[[#This Row],[考试日期]])*(表成绩单[物理]&lt;9E+307)*(表成绩单[物理]&gt;表成绩单[[#This Row],[物理]]))+1)</f>
        <v>514</v>
      </c>
      <c r="T2038" s="29" cm="1">
        <f t="array" ref="T2038">IF(表成绩单[[#This Row],[化学]]="","",SUMPRODUCT((表成绩单[考试日期]=表成绩单[[#This Row],[考试日期]])*(表成绩单[化学]&lt;9E+307)*(表成绩单[化学]&gt;表成绩单[[#This Row],[化学]]))+1)</f>
        <v>494</v>
      </c>
      <c r="U2038" s="29" cm="1">
        <f t="array" ref="U2038">IF(表成绩单[[#This Row],[政治]]="","",SUMPRODUCT((表成绩单[考试日期]=表成绩单[[#This Row],[考试日期]])*(表成绩单[政治]&lt;9E+307)*(表成绩单[政治]&gt;表成绩单[[#This Row],[政治]]))+1)</f>
        <v>274</v>
      </c>
      <c r="V2038" s="29" cm="1">
        <f t="array" ref="V2038">IF(表成绩单[[#This Row],[历史]]="","",SUMPRODUCT((表成绩单[考试日期]=表成绩单[[#This Row],[考试日期]])*(表成绩单[历史]&lt;9E+307)*(表成绩单[历史]&gt;表成绩单[[#This Row],[历史]]))+1)</f>
        <v>297</v>
      </c>
      <c r="W2038" s="29" cm="1">
        <f t="array" ref="W2038">IF(表成绩单[[#This Row],[总分]]="","",SUMPRODUCT((表成绩单[考试日期]=表成绩单[[#This Row],[考试日期]])*(表成绩单[总分]&lt;9E+307)*(表成绩单[总分]&gt;表成绩单[[#This Row],[总分]]))+1)</f>
        <v>430</v>
      </c>
    </row>
    <row r="2039" ht="28" customHeight="1" spans="4:23">
      <c r="D2039" s="31">
        <v>46030</v>
      </c>
      <c r="E2039" s="29">
        <v>19173243</v>
      </c>
      <c r="F2039" s="29" t="s">
        <v>61</v>
      </c>
      <c r="G2039" s="29" t="s">
        <v>530</v>
      </c>
      <c r="H2039" s="29">
        <v>91</v>
      </c>
      <c r="I2039" s="29">
        <v>84</v>
      </c>
      <c r="J2039" s="29">
        <v>62.5</v>
      </c>
      <c r="K2039" s="29">
        <v>75</v>
      </c>
      <c r="L2039" s="29">
        <v>76</v>
      </c>
      <c r="M2039" s="29">
        <v>45</v>
      </c>
      <c r="N2039" s="29">
        <v>67</v>
      </c>
      <c r="O2039" s="32">
        <v>500.5</v>
      </c>
      <c r="P2039" s="29" cm="1">
        <f t="array" ref="P2039">IF(表成绩单[[#This Row],[语文]]="","",SUMPRODUCT((表成绩单[考试日期]=表成绩单[[#This Row],[考试日期]])*(表成绩单[语文]&lt;9E+307)*(表成绩单[语文]&gt;表成绩单[[#This Row],[语文]]))+1)</f>
        <v>478</v>
      </c>
      <c r="Q2039" s="29" cm="1">
        <f t="array" ref="Q2039">IF(表成绩单[[#This Row],[数学]]="","",SUMPRODUCT((表成绩单[考试日期]=表成绩单[[#This Row],[考试日期]])*(表成绩单[数学]&lt;9E+307)*(表成绩单[数学]&gt;表成绩单[[#This Row],[数学]]))+1)</f>
        <v>343</v>
      </c>
      <c r="R2039" s="29" cm="1">
        <f t="array" ref="R2039">IF(表成绩单[[#This Row],[英语]]="","",SUMPRODUCT((表成绩单[考试日期]=表成绩单[[#This Row],[考试日期]])*(表成绩单[英语]&lt;9E+307)*(表成绩单[英语]&gt;表成绩单[[#This Row],[英语]]))+1)</f>
        <v>477</v>
      </c>
      <c r="S2039" s="29" cm="1">
        <f t="array" ref="S2039">IF(表成绩单[[#This Row],[物理]]="","",SUMPRODUCT((表成绩单[考试日期]=表成绩单[[#This Row],[考试日期]])*(表成绩单[物理]&lt;9E+307)*(表成绩单[物理]&gt;表成绩单[[#This Row],[物理]]))+1)</f>
        <v>241</v>
      </c>
      <c r="T2039" s="29" cm="1">
        <f t="array" ref="T2039">IF(表成绩单[[#This Row],[化学]]="","",SUMPRODUCT((表成绩单[考试日期]=表成绩单[[#This Row],[考试日期]])*(表成绩单[化学]&lt;9E+307)*(表成绩单[化学]&gt;表成绩单[[#This Row],[化学]]))+1)</f>
        <v>139</v>
      </c>
      <c r="U2039" s="29" cm="1">
        <f t="array" ref="U2039">IF(表成绩单[[#This Row],[政治]]="","",SUMPRODUCT((表成绩单[考试日期]=表成绩单[[#This Row],[考试日期]])*(表成绩单[政治]&lt;9E+307)*(表成绩单[政治]&gt;表成绩单[[#This Row],[政治]]))+1)</f>
        <v>701</v>
      </c>
      <c r="V2039" s="29" cm="1">
        <f t="array" ref="V2039">IF(表成绩单[[#This Row],[历史]]="","",SUMPRODUCT((表成绩单[考试日期]=表成绩单[[#This Row],[考试日期]])*(表成绩单[历史]&lt;9E+307)*(表成绩单[历史]&gt;表成绩单[[#This Row],[历史]]))+1)</f>
        <v>415</v>
      </c>
      <c r="W2039" s="29" cm="1">
        <f t="array" ref="W2039">IF(表成绩单[[#This Row],[总分]]="","",SUMPRODUCT((表成绩单[考试日期]=表成绩单[[#This Row],[考试日期]])*(表成绩单[总分]&lt;9E+307)*(表成绩单[总分]&gt;表成绩单[[#This Row],[总分]]))+1)</f>
        <v>433</v>
      </c>
    </row>
    <row r="2040" ht="28" customHeight="1" spans="4:23">
      <c r="D2040" s="31">
        <v>46030</v>
      </c>
      <c r="E2040" s="29">
        <v>19178648</v>
      </c>
      <c r="F2040" s="29" t="s">
        <v>25</v>
      </c>
      <c r="G2040" s="29" t="s">
        <v>617</v>
      </c>
      <c r="H2040" s="29">
        <v>93</v>
      </c>
      <c r="I2040" s="29">
        <v>79</v>
      </c>
      <c r="J2040" s="29">
        <v>56.5</v>
      </c>
      <c r="K2040" s="29">
        <v>67</v>
      </c>
      <c r="L2040" s="29">
        <v>67</v>
      </c>
      <c r="M2040" s="29">
        <v>64</v>
      </c>
      <c r="N2040" s="29">
        <v>74</v>
      </c>
      <c r="O2040" s="32">
        <v>500.5</v>
      </c>
      <c r="P2040" s="29" cm="1">
        <f t="array" ref="P2040">IF(表成绩单[[#This Row],[语文]]="","",SUMPRODUCT((表成绩单[考试日期]=表成绩单[[#This Row],[考试日期]])*(表成绩单[语文]&lt;9E+307)*(表成绩单[语文]&gt;表成绩单[[#This Row],[语文]]))+1)</f>
        <v>412</v>
      </c>
      <c r="Q2040" s="29" cm="1">
        <f t="array" ref="Q2040">IF(表成绩单[[#This Row],[数学]]="","",SUMPRODUCT((表成绩单[考试日期]=表成绩单[[#This Row],[考试日期]])*(表成绩单[数学]&lt;9E+307)*(表成绩单[数学]&gt;表成绩单[[#This Row],[数学]]))+1)</f>
        <v>427</v>
      </c>
      <c r="R2040" s="29" cm="1">
        <f t="array" ref="R2040">IF(表成绩单[[#This Row],[英语]]="","",SUMPRODUCT((表成绩单[考试日期]=表成绩单[[#This Row],[考试日期]])*(表成绩单[英语]&lt;9E+307)*(表成绩单[英语]&gt;表成绩单[[#This Row],[英语]]))+1)</f>
        <v>575</v>
      </c>
      <c r="S2040" s="29" cm="1">
        <f t="array" ref="S2040">IF(表成绩单[[#This Row],[物理]]="","",SUMPRODUCT((表成绩单[考试日期]=表成绩单[[#This Row],[考试日期]])*(表成绩单[物理]&lt;9E+307)*(表成绩单[物理]&gt;表成绩单[[#This Row],[物理]]))+1)</f>
        <v>394</v>
      </c>
      <c r="T2040" s="29" cm="1">
        <f t="array" ref="T2040">IF(表成绩单[[#This Row],[化学]]="","",SUMPRODUCT((表成绩单[考试日期]=表成绩单[[#This Row],[考试日期]])*(表成绩单[化学]&lt;9E+307)*(表成绩单[化学]&gt;表成绩单[[#This Row],[化学]]))+1)</f>
        <v>381</v>
      </c>
      <c r="U2040" s="29" cm="1">
        <f t="array" ref="U2040">IF(表成绩单[[#This Row],[政治]]="","",SUMPRODUCT((表成绩单[考试日期]=表成绩单[[#This Row],[考试日期]])*(表成绩单[政治]&lt;9E+307)*(表成绩单[政治]&gt;表成绩单[[#This Row],[政治]]))+1)</f>
        <v>457</v>
      </c>
      <c r="V2040" s="29" cm="1">
        <f t="array" ref="V2040">IF(表成绩单[[#This Row],[历史]]="","",SUMPRODUCT((表成绩单[考试日期]=表成绩单[[#This Row],[考试日期]])*(表成绩单[历史]&lt;9E+307)*(表成绩单[历史]&gt;表成绩单[[#This Row],[历史]]))+1)</f>
        <v>215</v>
      </c>
      <c r="W2040" s="29" cm="1">
        <f t="array" ref="W2040">IF(表成绩单[[#This Row],[总分]]="","",SUMPRODUCT((表成绩单[考试日期]=表成绩单[[#This Row],[考试日期]])*(表成绩单[总分]&lt;9E+307)*(表成绩单[总分]&gt;表成绩单[[#This Row],[总分]]))+1)</f>
        <v>433</v>
      </c>
    </row>
    <row r="2041" ht="28" customHeight="1" spans="4:23">
      <c r="D2041" s="31">
        <v>46030</v>
      </c>
      <c r="E2041" s="29">
        <v>19172625</v>
      </c>
      <c r="F2041" s="29" t="s">
        <v>60</v>
      </c>
      <c r="G2041" s="29" t="s">
        <v>577</v>
      </c>
      <c r="H2041" s="29">
        <v>90</v>
      </c>
      <c r="I2041" s="29">
        <v>81</v>
      </c>
      <c r="J2041" s="29">
        <v>56.5</v>
      </c>
      <c r="K2041" s="29">
        <v>58</v>
      </c>
      <c r="L2041" s="29">
        <v>72</v>
      </c>
      <c r="M2041" s="29">
        <v>70</v>
      </c>
      <c r="N2041" s="29">
        <v>72</v>
      </c>
      <c r="O2041" s="32">
        <v>499.5</v>
      </c>
      <c r="P2041" s="29" cm="1">
        <f t="array" ref="P2041">IF(表成绩单[[#This Row],[语文]]="","",SUMPRODUCT((表成绩单[考试日期]=表成绩单[[#This Row],[考试日期]])*(表成绩单[语文]&lt;9E+307)*(表成绩单[语文]&gt;表成绩单[[#This Row],[语文]]))+1)</f>
        <v>509</v>
      </c>
      <c r="Q2041" s="29" cm="1">
        <f t="array" ref="Q2041">IF(表成绩单[[#This Row],[数学]]="","",SUMPRODUCT((表成绩单[考试日期]=表成绩单[[#This Row],[考试日期]])*(表成绩单[数学]&lt;9E+307)*(表成绩单[数学]&gt;表成绩单[[#This Row],[数学]]))+1)</f>
        <v>396</v>
      </c>
      <c r="R2041" s="29" cm="1">
        <f t="array" ref="R2041">IF(表成绩单[[#This Row],[英语]]="","",SUMPRODUCT((表成绩单[考试日期]=表成绩单[[#This Row],[考试日期]])*(表成绩单[英语]&lt;9E+307)*(表成绩单[英语]&gt;表成绩单[[#This Row],[英语]]))+1)</f>
        <v>575</v>
      </c>
      <c r="S2041" s="29" cm="1">
        <f t="array" ref="S2041">IF(表成绩单[[#This Row],[物理]]="","",SUMPRODUCT((表成绩单[考试日期]=表成绩单[[#This Row],[考试日期]])*(表成绩单[物理]&lt;9E+307)*(表成绩单[物理]&gt;表成绩单[[#This Row],[物理]]))+1)</f>
        <v>527</v>
      </c>
      <c r="T2041" s="29" cm="1">
        <f t="array" ref="T2041">IF(表成绩单[[#This Row],[化学]]="","",SUMPRODUCT((表成绩单[考试日期]=表成绩单[[#This Row],[考试日期]])*(表成绩单[化学]&lt;9E+307)*(表成绩单[化学]&gt;表成绩单[[#This Row],[化学]]))+1)</f>
        <v>271</v>
      </c>
      <c r="U2041" s="29" cm="1">
        <f t="array" ref="U2041">IF(表成绩单[[#This Row],[政治]]="","",SUMPRODUCT((表成绩单[考试日期]=表成绩单[[#This Row],[考试日期]])*(表成绩单[政治]&lt;9E+307)*(表成绩单[政治]&gt;表成绩单[[#This Row],[政治]]))+1)</f>
        <v>274</v>
      </c>
      <c r="V2041" s="29" cm="1">
        <f t="array" ref="V2041">IF(表成绩单[[#This Row],[历史]]="","",SUMPRODUCT((表成绩单[考试日期]=表成绩单[[#This Row],[考试日期]])*(表成绩单[历史]&lt;9E+307)*(表成绩单[历史]&gt;表成绩单[[#This Row],[历史]]))+1)</f>
        <v>266</v>
      </c>
      <c r="W2041" s="29" cm="1">
        <f t="array" ref="W2041">IF(表成绩单[[#This Row],[总分]]="","",SUMPRODUCT((表成绩单[考试日期]=表成绩单[[#This Row],[考试日期]])*(表成绩单[总分]&lt;9E+307)*(表成绩单[总分]&gt;表成绩单[[#This Row],[总分]]))+1)</f>
        <v>435</v>
      </c>
    </row>
    <row r="2042" ht="28" customHeight="1" spans="4:23">
      <c r="D2042" s="31">
        <v>46030</v>
      </c>
      <c r="E2042" s="29">
        <v>19174738</v>
      </c>
      <c r="F2042" s="29" t="s">
        <v>64</v>
      </c>
      <c r="G2042" s="29" t="s">
        <v>493</v>
      </c>
      <c r="H2042" s="29">
        <v>98</v>
      </c>
      <c r="I2042" s="29">
        <v>84</v>
      </c>
      <c r="J2042" s="29">
        <v>62.5</v>
      </c>
      <c r="K2042" s="29">
        <v>60</v>
      </c>
      <c r="L2042" s="29">
        <v>62</v>
      </c>
      <c r="M2042" s="29">
        <v>60</v>
      </c>
      <c r="N2042" s="29">
        <v>73</v>
      </c>
      <c r="O2042" s="32">
        <v>499.5</v>
      </c>
      <c r="P2042" s="29" cm="1">
        <f t="array" ref="P2042">IF(表成绩单[[#This Row],[语文]]="","",SUMPRODUCT((表成绩单[考试日期]=表成绩单[[#This Row],[考试日期]])*(表成绩单[语文]&lt;9E+307)*(表成绩单[语文]&gt;表成绩单[[#This Row],[语文]]))+1)</f>
        <v>248</v>
      </c>
      <c r="Q2042" s="29" cm="1">
        <f t="array" ref="Q2042">IF(表成绩单[[#This Row],[数学]]="","",SUMPRODUCT((表成绩单[考试日期]=表成绩单[[#This Row],[考试日期]])*(表成绩单[数学]&lt;9E+307)*(表成绩单[数学]&gt;表成绩单[[#This Row],[数学]]))+1)</f>
        <v>343</v>
      </c>
      <c r="R2042" s="29" cm="1">
        <f t="array" ref="R2042">IF(表成绩单[[#This Row],[英语]]="","",SUMPRODUCT((表成绩单[考试日期]=表成绩单[[#This Row],[考试日期]])*(表成绩单[英语]&lt;9E+307)*(表成绩单[英语]&gt;表成绩单[[#This Row],[英语]]))+1)</f>
        <v>477</v>
      </c>
      <c r="S2042" s="29" cm="1">
        <f t="array" ref="S2042">IF(表成绩单[[#This Row],[物理]]="","",SUMPRODUCT((表成绩单[考试日期]=表成绩单[[#This Row],[考试日期]])*(表成绩单[物理]&lt;9E+307)*(表成绩单[物理]&gt;表成绩单[[#This Row],[物理]]))+1)</f>
        <v>499</v>
      </c>
      <c r="T2042" s="29" cm="1">
        <f t="array" ref="T2042">IF(表成绩单[[#This Row],[化学]]="","",SUMPRODUCT((表成绩单[考试日期]=表成绩单[[#This Row],[考试日期]])*(表成绩单[化学]&lt;9E+307)*(表成绩单[化学]&gt;表成绩单[[#This Row],[化学]]))+1)</f>
        <v>494</v>
      </c>
      <c r="U2042" s="29" cm="1">
        <f t="array" ref="U2042">IF(表成绩单[[#This Row],[政治]]="","",SUMPRODUCT((表成绩单[考试日期]=表成绩单[[#This Row],[考试日期]])*(表成绩单[政治]&lt;9E+307)*(表成绩单[政治]&gt;表成绩单[[#This Row],[政治]]))+1)</f>
        <v>544</v>
      </c>
      <c r="V2042" s="29" cm="1">
        <f t="array" ref="V2042">IF(表成绩单[[#This Row],[历史]]="","",SUMPRODUCT((表成绩单[考试日期]=表成绩单[[#This Row],[考试日期]])*(表成绩单[历史]&lt;9E+307)*(表成绩单[历史]&gt;表成绩单[[#This Row],[历史]]))+1)</f>
        <v>240</v>
      </c>
      <c r="W2042" s="29" cm="1">
        <f t="array" ref="W2042">IF(表成绩单[[#This Row],[总分]]="","",SUMPRODUCT((表成绩单[考试日期]=表成绩单[[#This Row],[考试日期]])*(表成绩单[总分]&lt;9E+307)*(表成绩单[总分]&gt;表成绩单[[#This Row],[总分]]))+1)</f>
        <v>435</v>
      </c>
    </row>
    <row r="2043" ht="28" customHeight="1" spans="4:23">
      <c r="D2043" s="31">
        <v>46030</v>
      </c>
      <c r="E2043" s="29">
        <v>19175627</v>
      </c>
      <c r="F2043" s="29" t="s">
        <v>57</v>
      </c>
      <c r="G2043" s="29" t="s">
        <v>522</v>
      </c>
      <c r="H2043" s="29">
        <v>83</v>
      </c>
      <c r="I2043" s="29">
        <v>75</v>
      </c>
      <c r="J2043" s="29">
        <v>52.5</v>
      </c>
      <c r="K2043" s="29">
        <v>75</v>
      </c>
      <c r="L2043" s="29">
        <v>74</v>
      </c>
      <c r="M2043" s="29">
        <v>65</v>
      </c>
      <c r="N2043" s="29">
        <v>75</v>
      </c>
      <c r="O2043" s="32">
        <v>499.5</v>
      </c>
      <c r="P2043" s="29" cm="1">
        <f t="array" ref="P2043">IF(表成绩单[[#This Row],[语文]]="","",SUMPRODUCT((表成绩单[考试日期]=表成绩单[[#This Row],[考试日期]])*(表成绩单[语文]&lt;9E+307)*(表成绩单[语文]&gt;表成绩单[[#This Row],[语文]]))+1)</f>
        <v>648</v>
      </c>
      <c r="Q2043" s="29" cm="1">
        <f t="array" ref="Q2043">IF(表成绩单[[#This Row],[数学]]="","",SUMPRODUCT((表成绩单[考试日期]=表成绩单[[#This Row],[考试日期]])*(表成绩单[数学]&lt;9E+307)*(表成绩单[数学]&gt;表成绩单[[#This Row],[数学]]))+1)</f>
        <v>521</v>
      </c>
      <c r="R2043" s="29" cm="1">
        <f t="array" ref="R2043">IF(表成绩单[[#This Row],[英语]]="","",SUMPRODUCT((表成绩单[考试日期]=表成绩单[[#This Row],[考试日期]])*(表成绩单[英语]&lt;9E+307)*(表成绩单[英语]&gt;表成绩单[[#This Row],[英语]]))+1)</f>
        <v>620</v>
      </c>
      <c r="S2043" s="29" cm="1">
        <f t="array" ref="S2043">IF(表成绩单[[#This Row],[物理]]="","",SUMPRODUCT((表成绩单[考试日期]=表成绩单[[#This Row],[考试日期]])*(表成绩单[物理]&lt;9E+307)*(表成绩单[物理]&gt;表成绩单[[#This Row],[物理]]))+1)</f>
        <v>241</v>
      </c>
      <c r="T2043" s="29" cm="1">
        <f t="array" ref="T2043">IF(表成绩单[[#This Row],[化学]]="","",SUMPRODUCT((表成绩单[考试日期]=表成绩单[[#This Row],[考试日期]])*(表成绩单[化学]&lt;9E+307)*(表成绩单[化学]&gt;表成绩单[[#This Row],[化学]]))+1)</f>
        <v>208</v>
      </c>
      <c r="U2043" s="29" cm="1">
        <f t="array" ref="U2043">IF(表成绩单[[#This Row],[政治]]="","",SUMPRODUCT((表成绩单[考试日期]=表成绩单[[#This Row],[考试日期]])*(表成绩单[政治]&lt;9E+307)*(表成绩单[政治]&gt;表成绩单[[#This Row],[政治]]))+1)</f>
        <v>431</v>
      </c>
      <c r="V2043" s="29" cm="1">
        <f t="array" ref="V2043">IF(表成绩单[[#This Row],[历史]]="","",SUMPRODUCT((表成绩单[考试日期]=表成绩单[[#This Row],[考试日期]])*(表成绩单[历史]&lt;9E+307)*(表成绩单[历史]&gt;表成绩单[[#This Row],[历史]]))+1)</f>
        <v>193</v>
      </c>
      <c r="W2043" s="29" cm="1">
        <f t="array" ref="W2043">IF(表成绩单[[#This Row],[总分]]="","",SUMPRODUCT((表成绩单[考试日期]=表成绩单[[#This Row],[考试日期]])*(表成绩单[总分]&lt;9E+307)*(表成绩单[总分]&gt;表成绩单[[#This Row],[总分]]))+1)</f>
        <v>435</v>
      </c>
    </row>
    <row r="2044" ht="28" customHeight="1" spans="4:23">
      <c r="D2044" s="31">
        <v>46030</v>
      </c>
      <c r="E2044" s="29">
        <v>19172638</v>
      </c>
      <c r="F2044" s="29" t="s">
        <v>60</v>
      </c>
      <c r="G2044" s="29" t="s">
        <v>470</v>
      </c>
      <c r="H2044" s="29">
        <v>91</v>
      </c>
      <c r="I2044" s="29">
        <v>72</v>
      </c>
      <c r="J2044" s="29">
        <v>69</v>
      </c>
      <c r="K2044" s="29">
        <v>64</v>
      </c>
      <c r="L2044" s="29">
        <v>60</v>
      </c>
      <c r="M2044" s="29">
        <v>75</v>
      </c>
      <c r="N2044" s="29">
        <v>68</v>
      </c>
      <c r="O2044" s="32">
        <v>499</v>
      </c>
      <c r="P2044" s="29" cm="1">
        <f t="array" ref="P2044">IF(表成绩单[[#This Row],[语文]]="","",SUMPRODUCT((表成绩单[考试日期]=表成绩单[[#This Row],[考试日期]])*(表成绩单[语文]&lt;9E+307)*(表成绩单[语文]&gt;表成绩单[[#This Row],[语文]]))+1)</f>
        <v>478</v>
      </c>
      <c r="Q2044" s="29" cm="1">
        <f t="array" ref="Q2044">IF(表成绩单[[#This Row],[数学]]="","",SUMPRODUCT((表成绩单[考试日期]=表成绩单[[#This Row],[考试日期]])*(表成绩单[数学]&lt;9E+307)*(表成绩单[数学]&gt;表成绩单[[#This Row],[数学]]))+1)</f>
        <v>562</v>
      </c>
      <c r="R2044" s="29" cm="1">
        <f t="array" ref="R2044">IF(表成绩单[[#This Row],[英语]]="","",SUMPRODUCT((表成绩单[考试日期]=表成绩单[[#This Row],[考试日期]])*(表成绩单[英语]&lt;9E+307)*(表成绩单[英语]&gt;表成绩单[[#This Row],[英语]]))+1)</f>
        <v>342</v>
      </c>
      <c r="S2044" s="29" cm="1">
        <f t="array" ref="S2044">IF(表成绩单[[#This Row],[物理]]="","",SUMPRODUCT((表成绩单[考试日期]=表成绩单[[#This Row],[考试日期]])*(表成绩单[物理]&lt;9E+307)*(表成绩单[物理]&gt;表成绩单[[#This Row],[物理]]))+1)</f>
        <v>441</v>
      </c>
      <c r="T2044" s="29" cm="1">
        <f t="array" ref="T2044">IF(表成绩单[[#This Row],[化学]]="","",SUMPRODUCT((表成绩单[考试日期]=表成绩单[[#This Row],[考试日期]])*(表成绩单[化学]&lt;9E+307)*(表成绩单[化学]&gt;表成绩单[[#This Row],[化学]]))+1)</f>
        <v>525</v>
      </c>
      <c r="U2044" s="29" cm="1">
        <f t="array" ref="U2044">IF(表成绩单[[#This Row],[政治]]="","",SUMPRODUCT((表成绩单[考试日期]=表成绩单[[#This Row],[考试日期]])*(表成绩单[政治]&lt;9E+307)*(表成绩单[政治]&gt;表成绩单[[#This Row],[政治]]))+1)</f>
        <v>137</v>
      </c>
      <c r="V2044" s="29" cm="1">
        <f t="array" ref="V2044">IF(表成绩单[[#This Row],[历史]]="","",SUMPRODUCT((表成绩单[考试日期]=表成绩单[[#This Row],[考试日期]])*(表成绩单[历史]&lt;9E+307)*(表成绩单[历史]&gt;表成绩单[[#This Row],[历史]]))+1)</f>
        <v>390</v>
      </c>
      <c r="W2044" s="29" cm="1">
        <f t="array" ref="W2044">IF(表成绩单[[#This Row],[总分]]="","",SUMPRODUCT((表成绩单[考试日期]=表成绩单[[#This Row],[考试日期]])*(表成绩单[总分]&lt;9E+307)*(表成绩单[总分]&gt;表成绩单[[#This Row],[总分]]))+1)</f>
        <v>438</v>
      </c>
    </row>
    <row r="2045" ht="28" customHeight="1" spans="4:23">
      <c r="D2045" s="31">
        <v>46030</v>
      </c>
      <c r="E2045" s="29">
        <v>19175669</v>
      </c>
      <c r="F2045" s="29" t="s">
        <v>66</v>
      </c>
      <c r="G2045" s="29" t="s">
        <v>459</v>
      </c>
      <c r="H2045" s="29">
        <v>99</v>
      </c>
      <c r="I2045" s="29">
        <v>78</v>
      </c>
      <c r="J2045" s="29">
        <v>56</v>
      </c>
      <c r="K2045" s="29">
        <v>65</v>
      </c>
      <c r="L2045" s="29">
        <v>68</v>
      </c>
      <c r="M2045" s="29">
        <v>67</v>
      </c>
      <c r="N2045" s="29">
        <v>66</v>
      </c>
      <c r="O2045" s="32">
        <v>499</v>
      </c>
      <c r="P2045" s="29" cm="1">
        <f t="array" ref="P2045">IF(表成绩单[[#This Row],[语文]]="","",SUMPRODUCT((表成绩单[考试日期]=表成绩单[[#This Row],[考试日期]])*(表成绩单[语文]&lt;9E+307)*(表成绩单[语文]&gt;表成绩单[[#This Row],[语文]]))+1)</f>
        <v>213</v>
      </c>
      <c r="Q2045" s="29" cm="1">
        <f t="array" ref="Q2045">IF(表成绩单[[#This Row],[数学]]="","",SUMPRODUCT((表成绩单[考试日期]=表成绩单[[#This Row],[考试日期]])*(表成绩单[数学]&lt;9E+307)*(表成绩单[数学]&gt;表成绩单[[#This Row],[数学]]))+1)</f>
        <v>450</v>
      </c>
      <c r="R2045" s="29" cm="1">
        <f t="array" ref="R2045">IF(表成绩单[[#This Row],[英语]]="","",SUMPRODUCT((表成绩单[考试日期]=表成绩单[[#This Row],[考试日期]])*(表成绩单[英语]&lt;9E+307)*(表成绩单[英语]&gt;表成绩单[[#This Row],[英语]]))+1)</f>
        <v>582</v>
      </c>
      <c r="S2045" s="29" cm="1">
        <f t="array" ref="S2045">IF(表成绩单[[#This Row],[物理]]="","",SUMPRODUCT((表成绩单[考试日期]=表成绩单[[#This Row],[考试日期]])*(表成绩单[物理]&lt;9E+307)*(表成绩单[物理]&gt;表成绩单[[#This Row],[物理]]))+1)</f>
        <v>427</v>
      </c>
      <c r="T2045" s="29" cm="1">
        <f t="array" ref="T2045">IF(表成绩单[[#This Row],[化学]]="","",SUMPRODUCT((表成绩单[考试日期]=表成绩单[[#This Row],[考试日期]])*(表成绩单[化学]&lt;9E+307)*(表成绩单[化学]&gt;表成绩单[[#This Row],[化学]]))+1)</f>
        <v>358</v>
      </c>
      <c r="U2045" s="29" cm="1">
        <f t="array" ref="U2045">IF(表成绩单[[#This Row],[政治]]="","",SUMPRODUCT((表成绩单[考试日期]=表成绩单[[#This Row],[考试日期]])*(表成绩单[政治]&lt;9E+307)*(表成绩单[政治]&gt;表成绩单[[#This Row],[政治]]))+1)</f>
        <v>370</v>
      </c>
      <c r="V2045" s="29" cm="1">
        <f t="array" ref="V2045">IF(表成绩单[[#This Row],[历史]]="","",SUMPRODUCT((表成绩单[考试日期]=表成绩单[[#This Row],[考试日期]])*(表成绩单[历史]&lt;9E+307)*(表成绩单[历史]&gt;表成绩单[[#This Row],[历史]]))+1)</f>
        <v>451</v>
      </c>
      <c r="W2045" s="29" cm="1">
        <f t="array" ref="W2045">IF(表成绩单[[#This Row],[总分]]="","",SUMPRODUCT((表成绩单[考试日期]=表成绩单[[#This Row],[考试日期]])*(表成绩单[总分]&lt;9E+307)*(表成绩单[总分]&gt;表成绩单[[#This Row],[总分]]))+1)</f>
        <v>438</v>
      </c>
    </row>
    <row r="2046" ht="28" customHeight="1" spans="4:23">
      <c r="D2046" s="31">
        <v>46030</v>
      </c>
      <c r="E2046" s="29">
        <v>19174445</v>
      </c>
      <c r="F2046" s="29" t="s">
        <v>73</v>
      </c>
      <c r="G2046" s="29" t="s">
        <v>567</v>
      </c>
      <c r="H2046" s="29">
        <v>94</v>
      </c>
      <c r="I2046" s="29">
        <v>69</v>
      </c>
      <c r="J2046" s="29">
        <v>67</v>
      </c>
      <c r="K2046" s="29">
        <v>67</v>
      </c>
      <c r="L2046" s="29">
        <v>66</v>
      </c>
      <c r="M2046" s="29">
        <v>64</v>
      </c>
      <c r="N2046" s="29">
        <v>71</v>
      </c>
      <c r="O2046" s="32">
        <v>498</v>
      </c>
      <c r="P2046" s="29" cm="1">
        <f t="array" ref="P2046">IF(表成绩单[[#This Row],[语文]]="","",SUMPRODUCT((表成绩单[考试日期]=表成绩单[[#This Row],[考试日期]])*(表成绩单[语文]&lt;9E+307)*(表成绩单[语文]&gt;表成绩单[[#This Row],[语文]]))+1)</f>
        <v>381</v>
      </c>
      <c r="Q2046" s="29" cm="1">
        <f t="array" ref="Q2046">IF(表成绩单[[#This Row],[数学]]="","",SUMPRODUCT((表成绩单[考试日期]=表成绩单[[#This Row],[考试日期]])*(表成绩单[数学]&lt;9E+307)*(表成绩单[数学]&gt;表成绩单[[#This Row],[数学]]))+1)</f>
        <v>600</v>
      </c>
      <c r="R2046" s="29" cm="1">
        <f t="array" ref="R2046">IF(表成绩单[[#This Row],[英语]]="","",SUMPRODUCT((表成绩单[考试日期]=表成绩单[[#This Row],[考试日期]])*(表成绩单[英语]&lt;9E+307)*(表成绩单[英语]&gt;表成绩单[[#This Row],[英语]]))+1)</f>
        <v>391</v>
      </c>
      <c r="S2046" s="29" cm="1">
        <f t="array" ref="S2046">IF(表成绩单[[#This Row],[物理]]="","",SUMPRODUCT((表成绩单[考试日期]=表成绩单[[#This Row],[考试日期]])*(表成绩单[物理]&lt;9E+307)*(表成绩单[物理]&gt;表成绩单[[#This Row],[物理]]))+1)</f>
        <v>394</v>
      </c>
      <c r="T2046" s="29" cm="1">
        <f t="array" ref="T2046">IF(表成绩单[[#This Row],[化学]]="","",SUMPRODUCT((表成绩单[考试日期]=表成绩单[[#This Row],[考试日期]])*(表成绩单[化学]&lt;9E+307)*(表成绩单[化学]&gt;表成绩单[[#This Row],[化学]]))+1)</f>
        <v>414</v>
      </c>
      <c r="U2046" s="29" cm="1">
        <f t="array" ref="U2046">IF(表成绩单[[#This Row],[政治]]="","",SUMPRODUCT((表成绩单[考试日期]=表成绩单[[#This Row],[考试日期]])*(表成绩单[政治]&lt;9E+307)*(表成绩单[政治]&gt;表成绩单[[#This Row],[政治]]))+1)</f>
        <v>457</v>
      </c>
      <c r="V2046" s="29" cm="1">
        <f t="array" ref="V2046">IF(表成绩单[[#This Row],[历史]]="","",SUMPRODUCT((表成绩单[考试日期]=表成绩单[[#This Row],[考试日期]])*(表成绩单[历史]&lt;9E+307)*(表成绩单[历史]&gt;表成绩单[[#This Row],[历史]]))+1)</f>
        <v>297</v>
      </c>
      <c r="W2046" s="29" cm="1">
        <f t="array" ref="W2046">IF(表成绩单[[#This Row],[总分]]="","",SUMPRODUCT((表成绩单[考试日期]=表成绩单[[#This Row],[考试日期]])*(表成绩单[总分]&lt;9E+307)*(表成绩单[总分]&gt;表成绩单[[#This Row],[总分]]))+1)</f>
        <v>440</v>
      </c>
    </row>
    <row r="2047" ht="28" customHeight="1" spans="4:23">
      <c r="D2047" s="31">
        <v>46030</v>
      </c>
      <c r="E2047" s="29">
        <v>19176865</v>
      </c>
      <c r="F2047" s="29" t="s">
        <v>71</v>
      </c>
      <c r="G2047" s="29" t="s">
        <v>509</v>
      </c>
      <c r="H2047" s="29">
        <v>98</v>
      </c>
      <c r="I2047" s="29">
        <v>76</v>
      </c>
      <c r="J2047" s="29">
        <v>67</v>
      </c>
      <c r="K2047" s="29">
        <v>56</v>
      </c>
      <c r="L2047" s="29">
        <v>57</v>
      </c>
      <c r="M2047" s="29">
        <v>68</v>
      </c>
      <c r="N2047" s="29">
        <v>76</v>
      </c>
      <c r="O2047" s="32">
        <v>498</v>
      </c>
      <c r="P2047" s="29" cm="1">
        <f t="array" ref="P2047">IF(表成绩单[[#This Row],[语文]]="","",SUMPRODUCT((表成绩单[考试日期]=表成绩单[[#This Row],[考试日期]])*(表成绩单[语文]&lt;9E+307)*(表成绩单[语文]&gt;表成绩单[[#This Row],[语文]]))+1)</f>
        <v>248</v>
      </c>
      <c r="Q2047" s="29" cm="1">
        <f t="array" ref="Q2047">IF(表成绩单[[#This Row],[数学]]="","",SUMPRODUCT((表成绩单[考试日期]=表成绩单[[#This Row],[考试日期]])*(表成绩单[数学]&lt;9E+307)*(表成绩单[数学]&gt;表成绩单[[#This Row],[数学]]))+1)</f>
        <v>507</v>
      </c>
      <c r="R2047" s="29" cm="1">
        <f t="array" ref="R2047">IF(表成绩单[[#This Row],[英语]]="","",SUMPRODUCT((表成绩单[考试日期]=表成绩单[[#This Row],[考试日期]])*(表成绩单[英语]&lt;9E+307)*(表成绩单[英语]&gt;表成绩单[[#This Row],[英语]]))+1)</f>
        <v>391</v>
      </c>
      <c r="S2047" s="29" cm="1">
        <f t="array" ref="S2047">IF(表成绩单[[#This Row],[物理]]="","",SUMPRODUCT((表成绩单[考试日期]=表成绩单[[#This Row],[考试日期]])*(表成绩单[物理]&lt;9E+307)*(表成绩单[物理]&gt;表成绩单[[#This Row],[物理]]))+1)</f>
        <v>552</v>
      </c>
      <c r="T2047" s="29" cm="1">
        <f t="array" ref="T2047">IF(表成绩单[[#This Row],[化学]]="","",SUMPRODUCT((表成绩单[考试日期]=表成绩单[[#This Row],[考试日期]])*(表成绩单[化学]&lt;9E+307)*(表成绩单[化学]&gt;表成绩单[[#This Row],[化学]]))+1)</f>
        <v>564</v>
      </c>
      <c r="U2047" s="29" cm="1">
        <f t="array" ref="U2047">IF(表成绩单[[#This Row],[政治]]="","",SUMPRODUCT((表成绩单[考试日期]=表成绩单[[#This Row],[考试日期]])*(表成绩单[政治]&lt;9E+307)*(表成绩单[政治]&gt;表成绩单[[#This Row],[政治]]))+1)</f>
        <v>336</v>
      </c>
      <c r="V2047" s="29" cm="1">
        <f t="array" ref="V2047">IF(表成绩单[[#This Row],[历史]]="","",SUMPRODUCT((表成绩单[考试日期]=表成绩单[[#This Row],[考试日期]])*(表成绩单[历史]&lt;9E+307)*(表成绩单[历史]&gt;表成绩单[[#This Row],[历史]]))+1)</f>
        <v>169</v>
      </c>
      <c r="W2047" s="29" cm="1">
        <f t="array" ref="W2047">IF(表成绩单[[#This Row],[总分]]="","",SUMPRODUCT((表成绩单[考试日期]=表成绩单[[#This Row],[考试日期]])*(表成绩单[总分]&lt;9E+307)*(表成绩单[总分]&gt;表成绩单[[#This Row],[总分]]))+1)</f>
        <v>440</v>
      </c>
    </row>
    <row r="2048" ht="28" customHeight="1" spans="4:23">
      <c r="D2048" s="31">
        <v>46030</v>
      </c>
      <c r="E2048" s="29">
        <v>19177637</v>
      </c>
      <c r="F2048" s="29" t="s">
        <v>63</v>
      </c>
      <c r="G2048" s="29" t="s">
        <v>301</v>
      </c>
      <c r="H2048" s="29">
        <v>100</v>
      </c>
      <c r="I2048" s="29">
        <v>78</v>
      </c>
      <c r="J2048" s="29">
        <v>52</v>
      </c>
      <c r="K2048" s="29">
        <v>61</v>
      </c>
      <c r="L2048" s="29">
        <v>67</v>
      </c>
      <c r="M2048" s="29">
        <v>66</v>
      </c>
      <c r="N2048" s="29">
        <v>74</v>
      </c>
      <c r="O2048" s="32">
        <v>498</v>
      </c>
      <c r="P2048" s="29" cm="1">
        <f t="array" ref="P2048">IF(表成绩单[[#This Row],[语文]]="","",SUMPRODUCT((表成绩单[考试日期]=表成绩单[[#This Row],[考试日期]])*(表成绩单[语文]&lt;9E+307)*(表成绩单[语文]&gt;表成绩单[[#This Row],[语文]]))+1)</f>
        <v>182</v>
      </c>
      <c r="Q2048" s="29" cm="1">
        <f t="array" ref="Q2048">IF(表成绩单[[#This Row],[数学]]="","",SUMPRODUCT((表成绩单[考试日期]=表成绩单[[#This Row],[考试日期]])*(表成绩单[数学]&lt;9E+307)*(表成绩单[数学]&gt;表成绩单[[#This Row],[数学]]))+1)</f>
        <v>450</v>
      </c>
      <c r="R2048" s="29" cm="1">
        <f t="array" ref="R2048">IF(表成绩单[[#This Row],[英语]]="","",SUMPRODUCT((表成绩单[考试日期]=表成绩单[[#This Row],[考试日期]])*(表成绩单[英语]&lt;9E+307)*(表成绩单[英语]&gt;表成绩单[[#This Row],[英语]]))+1)</f>
        <v>624</v>
      </c>
      <c r="S2048" s="29" cm="1">
        <f t="array" ref="S2048">IF(表成绩单[[#This Row],[物理]]="","",SUMPRODUCT((表成绩单[考试日期]=表成绩单[[#This Row],[考试日期]])*(表成绩单[物理]&lt;9E+307)*(表成绩单[物理]&gt;表成绩单[[#This Row],[物理]]))+1)</f>
        <v>482</v>
      </c>
      <c r="T2048" s="29" cm="1">
        <f t="array" ref="T2048">IF(表成绩单[[#This Row],[化学]]="","",SUMPRODUCT((表成绩单[考试日期]=表成绩单[[#This Row],[考试日期]])*(表成绩单[化学]&lt;9E+307)*(表成绩单[化学]&gt;表成绩单[[#This Row],[化学]]))+1)</f>
        <v>381</v>
      </c>
      <c r="U2048" s="29" cm="1">
        <f t="array" ref="U2048">IF(表成绩单[[#This Row],[政治]]="","",SUMPRODUCT((表成绩单[考试日期]=表成绩单[[#This Row],[考试日期]])*(表成绩单[政治]&lt;9E+307)*(表成绩单[政治]&gt;表成绩单[[#This Row],[政治]]))+1)</f>
        <v>397</v>
      </c>
      <c r="V2048" s="29" cm="1">
        <f t="array" ref="V2048">IF(表成绩单[[#This Row],[历史]]="","",SUMPRODUCT((表成绩单[考试日期]=表成绩单[[#This Row],[考试日期]])*(表成绩单[历史]&lt;9E+307)*(表成绩单[历史]&gt;表成绩单[[#This Row],[历史]]))+1)</f>
        <v>215</v>
      </c>
      <c r="W2048" s="29" cm="1">
        <f t="array" ref="W2048">IF(表成绩单[[#This Row],[总分]]="","",SUMPRODUCT((表成绩单[考试日期]=表成绩单[[#This Row],[考试日期]])*(表成绩单[总分]&lt;9E+307)*(表成绩单[总分]&gt;表成绩单[[#This Row],[总分]]))+1)</f>
        <v>440</v>
      </c>
    </row>
    <row r="2049" ht="28" customHeight="1" spans="4:23">
      <c r="D2049" s="31">
        <v>46030</v>
      </c>
      <c r="E2049" s="29">
        <v>19175642</v>
      </c>
      <c r="F2049" s="29" t="s">
        <v>66</v>
      </c>
      <c r="G2049" s="29" t="s">
        <v>438</v>
      </c>
      <c r="H2049" s="29">
        <v>94</v>
      </c>
      <c r="I2049" s="29">
        <v>84</v>
      </c>
      <c r="J2049" s="29">
        <v>66.5</v>
      </c>
      <c r="K2049" s="29">
        <v>61</v>
      </c>
      <c r="L2049" s="29">
        <v>67</v>
      </c>
      <c r="M2049" s="29">
        <v>65</v>
      </c>
      <c r="N2049" s="29">
        <v>60</v>
      </c>
      <c r="O2049" s="32">
        <v>497.5</v>
      </c>
      <c r="P2049" s="29" cm="1">
        <f t="array" ref="P2049">IF(表成绩单[[#This Row],[语文]]="","",SUMPRODUCT((表成绩单[考试日期]=表成绩单[[#This Row],[考试日期]])*(表成绩单[语文]&lt;9E+307)*(表成绩单[语文]&gt;表成绩单[[#This Row],[语文]]))+1)</f>
        <v>381</v>
      </c>
      <c r="Q2049" s="29" cm="1">
        <f t="array" ref="Q2049">IF(表成绩单[[#This Row],[数学]]="","",SUMPRODUCT((表成绩单[考试日期]=表成绩单[[#This Row],[考试日期]])*(表成绩单[数学]&lt;9E+307)*(表成绩单[数学]&gt;表成绩单[[#This Row],[数学]]))+1)</f>
        <v>343</v>
      </c>
      <c r="R2049" s="29" cm="1">
        <f t="array" ref="R2049">IF(表成绩单[[#This Row],[英语]]="","",SUMPRODUCT((表成绩单[考试日期]=表成绩单[[#This Row],[考试日期]])*(表成绩单[英语]&lt;9E+307)*(表成绩单[英语]&gt;表成绩单[[#This Row],[英语]]))+1)</f>
        <v>402</v>
      </c>
      <c r="S2049" s="29" cm="1">
        <f t="array" ref="S2049">IF(表成绩单[[#This Row],[物理]]="","",SUMPRODUCT((表成绩单[考试日期]=表成绩单[[#This Row],[考试日期]])*(表成绩单[物理]&lt;9E+307)*(表成绩单[物理]&gt;表成绩单[[#This Row],[物理]]))+1)</f>
        <v>482</v>
      </c>
      <c r="T2049" s="29" cm="1">
        <f t="array" ref="T2049">IF(表成绩单[[#This Row],[化学]]="","",SUMPRODUCT((表成绩单[考试日期]=表成绩单[[#This Row],[考试日期]])*(表成绩单[化学]&lt;9E+307)*(表成绩单[化学]&gt;表成绩单[[#This Row],[化学]]))+1)</f>
        <v>381</v>
      </c>
      <c r="U2049" s="29" cm="1">
        <f t="array" ref="U2049">IF(表成绩单[[#This Row],[政治]]="","",SUMPRODUCT((表成绩单[考试日期]=表成绩单[[#This Row],[考试日期]])*(表成绩单[政治]&lt;9E+307)*(表成绩单[政治]&gt;表成绩单[[#This Row],[政治]]))+1)</f>
        <v>431</v>
      </c>
      <c r="V2049" s="29" cm="1">
        <f t="array" ref="V2049">IF(表成绩单[[#This Row],[历史]]="","",SUMPRODUCT((表成绩单[考试日期]=表成绩单[[#This Row],[考试日期]])*(表成绩单[历史]&lt;9E+307)*(表成绩单[历史]&gt;表成绩单[[#This Row],[历史]]))+1)</f>
        <v>579</v>
      </c>
      <c r="W2049" s="29" cm="1">
        <f t="array" ref="W2049">IF(表成绩单[[#This Row],[总分]]="","",SUMPRODUCT((表成绩单[考试日期]=表成绩单[[#This Row],[考试日期]])*(表成绩单[总分]&lt;9E+307)*(表成绩单[总分]&gt;表成绩单[[#This Row],[总分]]))+1)</f>
        <v>443</v>
      </c>
    </row>
    <row r="2050" ht="28" customHeight="1" spans="4:23">
      <c r="D2050" s="31">
        <v>46030</v>
      </c>
      <c r="E2050" s="29">
        <v>19175688</v>
      </c>
      <c r="F2050" s="29" t="s">
        <v>72</v>
      </c>
      <c r="G2050" s="29" t="s">
        <v>464</v>
      </c>
      <c r="H2050" s="29">
        <v>88</v>
      </c>
      <c r="I2050" s="29">
        <v>78</v>
      </c>
      <c r="J2050" s="29">
        <v>77.5</v>
      </c>
      <c r="K2050" s="29">
        <v>53</v>
      </c>
      <c r="L2050" s="29">
        <v>63</v>
      </c>
      <c r="M2050" s="29">
        <v>66</v>
      </c>
      <c r="N2050" s="29">
        <v>72</v>
      </c>
      <c r="O2050" s="32">
        <v>497.5</v>
      </c>
      <c r="P2050" s="29" cm="1">
        <f t="array" ref="P2050">IF(表成绩单[[#This Row],[语文]]="","",SUMPRODUCT((表成绩单[考试日期]=表成绩单[[#This Row],[考试日期]])*(表成绩单[语文]&lt;9E+307)*(表成绩单[语文]&gt;表成绩单[[#This Row],[语文]]))+1)</f>
        <v>562</v>
      </c>
      <c r="Q2050" s="29" cm="1">
        <f t="array" ref="Q2050">IF(表成绩单[[#This Row],[数学]]="","",SUMPRODUCT((表成绩单[考试日期]=表成绩单[[#This Row],[考试日期]])*(表成绩单[数学]&lt;9E+307)*(表成绩单[数学]&gt;表成绩单[[#This Row],[数学]]))+1)</f>
        <v>450</v>
      </c>
      <c r="R2050" s="29" cm="1">
        <f t="array" ref="R2050">IF(表成绩单[[#This Row],[英语]]="","",SUMPRODUCT((表成绩单[考试日期]=表成绩单[[#This Row],[考试日期]])*(表成绩单[英语]&lt;9E+307)*(表成绩单[英语]&gt;表成绩单[[#This Row],[英语]]))+1)</f>
        <v>89</v>
      </c>
      <c r="S2050" s="29" cm="1">
        <f t="array" ref="S2050">IF(表成绩单[[#This Row],[物理]]="","",SUMPRODUCT((表成绩单[考试日期]=表成绩单[[#This Row],[考试日期]])*(表成绩单[物理]&lt;9E+307)*(表成绩单[物理]&gt;表成绩单[[#This Row],[物理]]))+1)</f>
        <v>578</v>
      </c>
      <c r="T2050" s="29" cm="1">
        <f t="array" ref="T2050">IF(表成绩单[[#This Row],[化学]]="","",SUMPRODUCT((表成绩单[考试日期]=表成绩单[[#This Row],[考试日期]])*(表成绩单[化学]&lt;9E+307)*(表成绩单[化学]&gt;表成绩单[[#This Row],[化学]]))+1)</f>
        <v>472</v>
      </c>
      <c r="U2050" s="29" cm="1">
        <f t="array" ref="U2050">IF(表成绩单[[#This Row],[政治]]="","",SUMPRODUCT((表成绩单[考试日期]=表成绩单[[#This Row],[考试日期]])*(表成绩单[政治]&lt;9E+307)*(表成绩单[政治]&gt;表成绩单[[#This Row],[政治]]))+1)</f>
        <v>397</v>
      </c>
      <c r="V2050" s="29" cm="1">
        <f t="array" ref="V2050">IF(表成绩单[[#This Row],[历史]]="","",SUMPRODUCT((表成绩单[考试日期]=表成绩单[[#This Row],[考试日期]])*(表成绩单[历史]&lt;9E+307)*(表成绩单[历史]&gt;表成绩单[[#This Row],[历史]]))+1)</f>
        <v>266</v>
      </c>
      <c r="W2050" s="29" cm="1">
        <f t="array" ref="W2050">IF(表成绩单[[#This Row],[总分]]="","",SUMPRODUCT((表成绩单[考试日期]=表成绩单[[#This Row],[考试日期]])*(表成绩单[总分]&lt;9E+307)*(表成绩单[总分]&gt;表成绩单[[#This Row],[总分]]))+1)</f>
        <v>443</v>
      </c>
    </row>
    <row r="2051" ht="28" customHeight="1" spans="4:23">
      <c r="D2051" s="31">
        <v>46030</v>
      </c>
      <c r="E2051" s="29">
        <v>19173241</v>
      </c>
      <c r="F2051" s="29" t="s">
        <v>61</v>
      </c>
      <c r="G2051" s="29" t="s">
        <v>524</v>
      </c>
      <c r="H2051" s="29">
        <v>96</v>
      </c>
      <c r="I2051" s="29">
        <v>77</v>
      </c>
      <c r="J2051" s="29">
        <v>69</v>
      </c>
      <c r="K2051" s="29">
        <v>65</v>
      </c>
      <c r="L2051" s="29">
        <v>64</v>
      </c>
      <c r="M2051" s="29">
        <v>63</v>
      </c>
      <c r="N2051" s="29">
        <v>63</v>
      </c>
      <c r="O2051" s="32">
        <v>497</v>
      </c>
      <c r="P2051" s="29" cm="1">
        <f t="array" ref="P2051">IF(表成绩单[[#This Row],[语文]]="","",SUMPRODUCT((表成绩单[考试日期]=表成绩单[[#This Row],[考试日期]])*(表成绩单[语文]&lt;9E+307)*(表成绩单[语文]&gt;表成绩单[[#This Row],[语文]]))+1)</f>
        <v>315</v>
      </c>
      <c r="Q2051" s="29" cm="1">
        <f t="array" ref="Q2051">IF(表成绩单[[#This Row],[数学]]="","",SUMPRODUCT((表成绩单[考试日期]=表成绩单[[#This Row],[考试日期]])*(表成绩单[数学]&lt;9E+307)*(表成绩单[数学]&gt;表成绩单[[#This Row],[数学]]))+1)</f>
        <v>478</v>
      </c>
      <c r="R2051" s="29" cm="1">
        <f t="array" ref="R2051">IF(表成绩单[[#This Row],[英语]]="","",SUMPRODUCT((表成绩单[考试日期]=表成绩单[[#This Row],[考试日期]])*(表成绩单[英语]&lt;9E+307)*(表成绩单[英语]&gt;表成绩单[[#This Row],[英语]]))+1)</f>
        <v>342</v>
      </c>
      <c r="S2051" s="29" cm="1">
        <f t="array" ref="S2051">IF(表成绩单[[#This Row],[物理]]="","",SUMPRODUCT((表成绩单[考试日期]=表成绩单[[#This Row],[考试日期]])*(表成绩单[物理]&lt;9E+307)*(表成绩单[物理]&gt;表成绩单[[#This Row],[物理]]))+1)</f>
        <v>427</v>
      </c>
      <c r="T2051" s="29" cm="1">
        <f t="array" ref="T2051">IF(表成绩单[[#This Row],[化学]]="","",SUMPRODUCT((表成绩单[考试日期]=表成绩单[[#This Row],[考试日期]])*(表成绩单[化学]&lt;9E+307)*(表成绩单[化学]&gt;表成绩单[[#This Row],[化学]]))+1)</f>
        <v>451</v>
      </c>
      <c r="U2051" s="29" cm="1">
        <f t="array" ref="U2051">IF(表成绩单[[#This Row],[政治]]="","",SUMPRODUCT((表成绩单[考试日期]=表成绩单[[#This Row],[考试日期]])*(表成绩单[政治]&lt;9E+307)*(表成绩单[政治]&gt;表成绩单[[#This Row],[政治]]))+1)</f>
        <v>486</v>
      </c>
      <c r="V2051" s="29" cm="1">
        <f t="array" ref="V2051">IF(表成绩单[[#This Row],[历史]]="","",SUMPRODUCT((表成绩单[考试日期]=表成绩单[[#This Row],[考试日期]])*(表成绩单[历史]&lt;9E+307)*(表成绩单[历史]&gt;表成绩单[[#This Row],[历史]]))+1)</f>
        <v>521</v>
      </c>
      <c r="W2051" s="29" cm="1">
        <f t="array" ref="W2051">IF(表成绩单[[#This Row],[总分]]="","",SUMPRODUCT((表成绩单[考试日期]=表成绩单[[#This Row],[考试日期]])*(表成绩单[总分]&lt;9E+307)*(表成绩单[总分]&gt;表成绩单[[#This Row],[总分]]))+1)</f>
        <v>445</v>
      </c>
    </row>
    <row r="2052" ht="28" customHeight="1" spans="4:23">
      <c r="D2052" s="31">
        <v>46030</v>
      </c>
      <c r="E2052" s="29">
        <v>19173269</v>
      </c>
      <c r="F2052" s="29" t="s">
        <v>61</v>
      </c>
      <c r="G2052" s="29" t="s">
        <v>532</v>
      </c>
      <c r="H2052" s="29">
        <v>100</v>
      </c>
      <c r="I2052" s="29">
        <v>77</v>
      </c>
      <c r="J2052" s="29">
        <v>66</v>
      </c>
      <c r="K2052" s="29">
        <v>59</v>
      </c>
      <c r="L2052" s="29">
        <v>55</v>
      </c>
      <c r="M2052" s="29">
        <v>64</v>
      </c>
      <c r="N2052" s="29">
        <v>76</v>
      </c>
      <c r="O2052" s="32">
        <v>497</v>
      </c>
      <c r="P2052" s="29" cm="1">
        <f t="array" ref="P2052">IF(表成绩单[[#This Row],[语文]]="","",SUMPRODUCT((表成绩单[考试日期]=表成绩单[[#This Row],[考试日期]])*(表成绩单[语文]&lt;9E+307)*(表成绩单[语文]&gt;表成绩单[[#This Row],[语文]]))+1)</f>
        <v>182</v>
      </c>
      <c r="Q2052" s="29" cm="1">
        <f t="array" ref="Q2052">IF(表成绩单[[#This Row],[数学]]="","",SUMPRODUCT((表成绩单[考试日期]=表成绩单[[#This Row],[考试日期]])*(表成绩单[数学]&lt;9E+307)*(表成绩单[数学]&gt;表成绩单[[#This Row],[数学]]))+1)</f>
        <v>478</v>
      </c>
      <c r="R2052" s="29" cm="1">
        <f t="array" ref="R2052">IF(表成绩单[[#This Row],[英语]]="","",SUMPRODUCT((表成绩单[考试日期]=表成绩单[[#This Row],[考试日期]])*(表成绩单[英语]&lt;9E+307)*(表成绩单[英语]&gt;表成绩单[[#This Row],[英语]]))+1)</f>
        <v>421</v>
      </c>
      <c r="S2052" s="29" cm="1">
        <f t="array" ref="S2052">IF(表成绩单[[#This Row],[物理]]="","",SUMPRODUCT((表成绩单[考试日期]=表成绩单[[#This Row],[考试日期]])*(表成绩单[物理]&lt;9E+307)*(表成绩单[物理]&gt;表成绩单[[#This Row],[物理]]))+1)</f>
        <v>514</v>
      </c>
      <c r="T2052" s="29" cm="1">
        <f t="array" ref="T2052">IF(表成绩单[[#This Row],[化学]]="","",SUMPRODUCT((表成绩单[考试日期]=表成绩单[[#This Row],[考试日期]])*(表成绩单[化学]&lt;9E+307)*(表成绩单[化学]&gt;表成绩单[[#This Row],[化学]]))+1)</f>
        <v>593</v>
      </c>
      <c r="U2052" s="29" cm="1">
        <f t="array" ref="U2052">IF(表成绩单[[#This Row],[政治]]="","",SUMPRODUCT((表成绩单[考试日期]=表成绩单[[#This Row],[考试日期]])*(表成绩单[政治]&lt;9E+307)*(表成绩单[政治]&gt;表成绩单[[#This Row],[政治]]))+1)</f>
        <v>457</v>
      </c>
      <c r="V2052" s="29" cm="1">
        <f t="array" ref="V2052">IF(表成绩单[[#This Row],[历史]]="","",SUMPRODUCT((表成绩单[考试日期]=表成绩单[[#This Row],[考试日期]])*(表成绩单[历史]&lt;9E+307)*(表成绩单[历史]&gt;表成绩单[[#This Row],[历史]]))+1)</f>
        <v>169</v>
      </c>
      <c r="W2052" s="29" cm="1">
        <f t="array" ref="W2052">IF(表成绩单[[#This Row],[总分]]="","",SUMPRODUCT((表成绩单[考试日期]=表成绩单[[#This Row],[考试日期]])*(表成绩单[总分]&lt;9E+307)*(表成绩单[总分]&gt;表成绩单[[#This Row],[总分]]))+1)</f>
        <v>445</v>
      </c>
    </row>
    <row r="2053" ht="28" customHeight="1" spans="4:23">
      <c r="D2053" s="31">
        <v>46030</v>
      </c>
      <c r="E2053" s="29">
        <v>19177626</v>
      </c>
      <c r="F2053" s="29" t="s">
        <v>58</v>
      </c>
      <c r="G2053" s="29" t="s">
        <v>618</v>
      </c>
      <c r="H2053" s="29">
        <v>98</v>
      </c>
      <c r="I2053" s="29">
        <v>73</v>
      </c>
      <c r="J2053" s="29">
        <v>61.5</v>
      </c>
      <c r="K2053" s="29">
        <v>61</v>
      </c>
      <c r="L2053" s="29">
        <v>59</v>
      </c>
      <c r="M2053" s="29">
        <v>76</v>
      </c>
      <c r="N2053" s="29">
        <v>68</v>
      </c>
      <c r="O2053" s="32">
        <v>496.5</v>
      </c>
      <c r="P2053" s="29" cm="1">
        <f t="array" ref="P2053">IF(表成绩单[[#This Row],[语文]]="","",SUMPRODUCT((表成绩单[考试日期]=表成绩单[[#This Row],[考试日期]])*(表成绩单[语文]&lt;9E+307)*(表成绩单[语文]&gt;表成绩单[[#This Row],[语文]]))+1)</f>
        <v>248</v>
      </c>
      <c r="Q2053" s="29" cm="1">
        <f t="array" ref="Q2053">IF(表成绩单[[#This Row],[数学]]="","",SUMPRODUCT((表成绩单[考试日期]=表成绩单[[#This Row],[考试日期]])*(表成绩单[数学]&lt;9E+307)*(表成绩单[数学]&gt;表成绩单[[#This Row],[数学]]))+1)</f>
        <v>547</v>
      </c>
      <c r="R2053" s="29" cm="1">
        <f t="array" ref="R2053">IF(表成绩单[[#This Row],[英语]]="","",SUMPRODUCT((表成绩单[考试日期]=表成绩单[[#This Row],[考试日期]])*(表成绩单[英语]&lt;9E+307)*(表成绩单[英语]&gt;表成绩单[[#This Row],[英语]]))+1)</f>
        <v>495</v>
      </c>
      <c r="S2053" s="29" cm="1">
        <f t="array" ref="S2053">IF(表成绩单[[#This Row],[物理]]="","",SUMPRODUCT((表成绩单[考试日期]=表成绩单[[#This Row],[考试日期]])*(表成绩单[物理]&lt;9E+307)*(表成绩单[物理]&gt;表成绩单[[#This Row],[物理]]))+1)</f>
        <v>482</v>
      </c>
      <c r="T2053" s="29" cm="1">
        <f t="array" ref="T2053">IF(表成绩单[[#This Row],[化学]]="","",SUMPRODUCT((表成绩单[考试日期]=表成绩单[[#This Row],[考试日期]])*(表成绩单[化学]&lt;9E+307)*(表成绩单[化学]&gt;表成绩单[[#This Row],[化学]]))+1)</f>
        <v>540</v>
      </c>
      <c r="U2053" s="29" cm="1">
        <f t="array" ref="U2053">IF(表成绩单[[#This Row],[政治]]="","",SUMPRODUCT((表成绩单[考试日期]=表成绩单[[#This Row],[考试日期]])*(表成绩单[政治]&lt;9E+307)*(表成绩单[政治]&gt;表成绩单[[#This Row],[政治]]))+1)</f>
        <v>111</v>
      </c>
      <c r="V2053" s="29" cm="1">
        <f t="array" ref="V2053">IF(表成绩单[[#This Row],[历史]]="","",SUMPRODUCT((表成绩单[考试日期]=表成绩单[[#This Row],[考试日期]])*(表成绩单[历史]&lt;9E+307)*(表成绩单[历史]&gt;表成绩单[[#This Row],[历史]]))+1)</f>
        <v>390</v>
      </c>
      <c r="W2053" s="29" cm="1">
        <f t="array" ref="W2053">IF(表成绩单[[#This Row],[总分]]="","",SUMPRODUCT((表成绩单[考试日期]=表成绩单[[#This Row],[考试日期]])*(表成绩单[总分]&lt;9E+307)*(表成绩单[总分]&gt;表成绩单[[#This Row],[总分]]))+1)</f>
        <v>447</v>
      </c>
    </row>
    <row r="2054" ht="28" customHeight="1" spans="4:23">
      <c r="D2054" s="31">
        <v>46030</v>
      </c>
      <c r="E2054" s="29">
        <v>19174774</v>
      </c>
      <c r="F2054" s="29" t="s">
        <v>69</v>
      </c>
      <c r="G2054" s="29" t="s">
        <v>536</v>
      </c>
      <c r="H2054" s="29">
        <v>87</v>
      </c>
      <c r="I2054" s="29">
        <v>86</v>
      </c>
      <c r="J2054" s="29">
        <v>64</v>
      </c>
      <c r="K2054" s="29">
        <v>70</v>
      </c>
      <c r="L2054" s="29">
        <v>73</v>
      </c>
      <c r="M2054" s="29">
        <v>59</v>
      </c>
      <c r="N2054" s="29">
        <v>57</v>
      </c>
      <c r="O2054" s="32">
        <v>496</v>
      </c>
      <c r="P2054" s="29" cm="1">
        <f t="array" ref="P2054">IF(表成绩单[[#This Row],[语文]]="","",SUMPRODUCT((表成绩单[考试日期]=表成绩单[[#This Row],[考试日期]])*(表成绩单[语文]&lt;9E+307)*(表成绩单[语文]&gt;表成绩单[[#This Row],[语文]]))+1)</f>
        <v>581</v>
      </c>
      <c r="Q2054" s="29" cm="1">
        <f t="array" ref="Q2054">IF(表成绩单[[#This Row],[数学]]="","",SUMPRODUCT((表成绩单[考试日期]=表成绩单[[#This Row],[考试日期]])*(表成绩单[数学]&lt;9E+307)*(表成绩单[数学]&gt;表成绩单[[#This Row],[数学]]))+1)</f>
        <v>302</v>
      </c>
      <c r="R2054" s="29" cm="1">
        <f t="array" ref="R2054">IF(表成绩单[[#This Row],[英语]]="","",SUMPRODUCT((表成绩单[考试日期]=表成绩单[[#This Row],[考试日期]])*(表成绩单[英语]&lt;9E+307)*(表成绩单[英语]&gt;表成绩单[[#This Row],[英语]]))+1)</f>
        <v>456</v>
      </c>
      <c r="S2054" s="29" cm="1">
        <f t="array" ref="S2054">IF(表成绩单[[#This Row],[物理]]="","",SUMPRODUCT((表成绩单[考试日期]=表成绩单[[#This Row],[考试日期]])*(表成绩单[物理]&lt;9E+307)*(表成绩单[物理]&gt;表成绩单[[#This Row],[物理]]))+1)</f>
        <v>338</v>
      </c>
      <c r="T2054" s="29" cm="1">
        <f t="array" ref="T2054">IF(表成绩单[[#This Row],[化学]]="","",SUMPRODUCT((表成绩单[考试日期]=表成绩单[[#This Row],[考试日期]])*(表成绩单[化学]&lt;9E+307)*(表成绩单[化学]&gt;表成绩单[[#This Row],[化学]]))+1)</f>
        <v>236</v>
      </c>
      <c r="U2054" s="29" cm="1">
        <f t="array" ref="U2054">IF(表成绩单[[#This Row],[政治]]="","",SUMPRODUCT((表成绩单[考试日期]=表成绩单[[#This Row],[考试日期]])*(表成绩单[政治]&lt;9E+307)*(表成绩单[政治]&gt;表成绩单[[#This Row],[政治]]))+1)</f>
        <v>557</v>
      </c>
      <c r="V2054" s="29" cm="1">
        <f t="array" ref="V2054">IF(表成绩单[[#This Row],[历史]]="","",SUMPRODUCT((表成绩单[考试日期]=表成绩单[[#This Row],[考试日期]])*(表成绩单[历史]&lt;9E+307)*(表成绩单[历史]&gt;表成绩单[[#This Row],[历史]]))+1)</f>
        <v>637</v>
      </c>
      <c r="W2054" s="29" cm="1">
        <f t="array" ref="W2054">IF(表成绩单[[#This Row],[总分]]="","",SUMPRODUCT((表成绩单[考试日期]=表成绩单[[#This Row],[考试日期]])*(表成绩单[总分]&lt;9E+307)*(表成绩单[总分]&gt;表成绩单[[#This Row],[总分]]))+1)</f>
        <v>448</v>
      </c>
    </row>
    <row r="2055" ht="28" customHeight="1" spans="4:23">
      <c r="D2055" s="31">
        <v>46030</v>
      </c>
      <c r="E2055" s="29">
        <v>19174791</v>
      </c>
      <c r="F2055" s="29" t="s">
        <v>69</v>
      </c>
      <c r="G2055" s="29" t="s">
        <v>426</v>
      </c>
      <c r="H2055" s="29">
        <v>82</v>
      </c>
      <c r="I2055" s="29">
        <v>76</v>
      </c>
      <c r="J2055" s="29">
        <v>64</v>
      </c>
      <c r="K2055" s="29">
        <v>76</v>
      </c>
      <c r="L2055" s="29">
        <v>72</v>
      </c>
      <c r="M2055" s="29">
        <v>61</v>
      </c>
      <c r="N2055" s="29">
        <v>65</v>
      </c>
      <c r="O2055" s="32">
        <v>496</v>
      </c>
      <c r="P2055" s="29" cm="1">
        <f t="array" ref="P2055">IF(表成绩单[[#This Row],[语文]]="","",SUMPRODUCT((表成绩单[考试日期]=表成绩单[[#This Row],[考试日期]])*(表成绩单[语文]&lt;9E+307)*(表成绩单[语文]&gt;表成绩单[[#This Row],[语文]]))+1)</f>
        <v>655</v>
      </c>
      <c r="Q2055" s="29" cm="1">
        <f t="array" ref="Q2055">IF(表成绩单[[#This Row],[数学]]="","",SUMPRODUCT((表成绩单[考试日期]=表成绩单[[#This Row],[考试日期]])*(表成绩单[数学]&lt;9E+307)*(表成绩单[数学]&gt;表成绩单[[#This Row],[数学]]))+1)</f>
        <v>507</v>
      </c>
      <c r="R2055" s="29" cm="1">
        <f t="array" ref="R2055">IF(表成绩单[[#This Row],[英语]]="","",SUMPRODUCT((表成绩单[考试日期]=表成绩单[[#This Row],[考试日期]])*(表成绩单[英语]&lt;9E+307)*(表成绩单[英语]&gt;表成绩单[[#This Row],[英语]]))+1)</f>
        <v>456</v>
      </c>
      <c r="S2055" s="29" cm="1">
        <f t="array" ref="S2055">IF(表成绩单[[#This Row],[物理]]="","",SUMPRODUCT((表成绩单[考试日期]=表成绩单[[#This Row],[考试日期]])*(表成绩单[物理]&lt;9E+307)*(表成绩单[物理]&gt;表成绩单[[#This Row],[物理]]))+1)</f>
        <v>218</v>
      </c>
      <c r="T2055" s="29" cm="1">
        <f t="array" ref="T2055">IF(表成绩单[[#This Row],[化学]]="","",SUMPRODUCT((表成绩单[考试日期]=表成绩单[[#This Row],[考试日期]])*(表成绩单[化学]&lt;9E+307)*(表成绩单[化学]&gt;表成绩单[[#This Row],[化学]]))+1)</f>
        <v>271</v>
      </c>
      <c r="U2055" s="29" cm="1">
        <f t="array" ref="U2055">IF(表成绩单[[#This Row],[政治]]="","",SUMPRODUCT((表成绩单[考试日期]=表成绩单[[#This Row],[考试日期]])*(表成绩单[政治]&lt;9E+307)*(表成绩单[政治]&gt;表成绩单[[#This Row],[政治]]))+1)</f>
        <v>530</v>
      </c>
      <c r="V2055" s="29" cm="1">
        <f t="array" ref="V2055">IF(表成绩单[[#This Row],[历史]]="","",SUMPRODUCT((表成绩单[考试日期]=表成绩单[[#This Row],[考试日期]])*(表成绩单[历史]&lt;9E+307)*(表成绩单[历史]&gt;表成绩单[[#This Row],[历史]]))+1)</f>
        <v>471</v>
      </c>
      <c r="W2055" s="29" cm="1">
        <f t="array" ref="W2055">IF(表成绩单[[#This Row],[总分]]="","",SUMPRODUCT((表成绩单[考试日期]=表成绩单[[#This Row],[考试日期]])*(表成绩单[总分]&lt;9E+307)*(表成绩单[总分]&gt;表成绩单[[#This Row],[总分]]))+1)</f>
        <v>448</v>
      </c>
    </row>
    <row r="2056" ht="28" customHeight="1" spans="4:23">
      <c r="D2056" s="31">
        <v>46030</v>
      </c>
      <c r="E2056" s="29">
        <v>19178614</v>
      </c>
      <c r="F2056" s="29" t="s">
        <v>25</v>
      </c>
      <c r="G2056" s="29" t="s">
        <v>533</v>
      </c>
      <c r="H2056" s="29">
        <v>104</v>
      </c>
      <c r="I2056" s="29">
        <v>83</v>
      </c>
      <c r="J2056" s="29">
        <v>65</v>
      </c>
      <c r="K2056" s="29">
        <v>64</v>
      </c>
      <c r="L2056" s="29">
        <v>53</v>
      </c>
      <c r="M2056" s="29">
        <v>60</v>
      </c>
      <c r="N2056" s="29">
        <v>67</v>
      </c>
      <c r="O2056" s="32">
        <v>496</v>
      </c>
      <c r="P2056" s="29" cm="1">
        <f t="array" ref="P2056">IF(表成绩单[[#This Row],[语文]]="","",SUMPRODUCT((表成绩单[考试日期]=表成绩单[[#This Row],[考试日期]])*(表成绩单[语文]&lt;9E+307)*(表成绩单[语文]&gt;表成绩单[[#This Row],[语文]]))+1)</f>
        <v>82</v>
      </c>
      <c r="Q2056" s="29" cm="1">
        <f t="array" ref="Q2056">IF(表成绩单[[#This Row],[数学]]="","",SUMPRODUCT((表成绩单[考试日期]=表成绩单[[#This Row],[考试日期]])*(表成绩单[数学]&lt;9E+307)*(表成绩单[数学]&gt;表成绩单[[#This Row],[数学]]))+1)</f>
        <v>360</v>
      </c>
      <c r="R2056" s="29" cm="1">
        <f t="array" ref="R2056">IF(表成绩单[[#This Row],[英语]]="","",SUMPRODUCT((表成绩单[考试日期]=表成绩单[[#This Row],[考试日期]])*(表成绩单[英语]&lt;9E+307)*(表成绩单[英语]&gt;表成绩单[[#This Row],[英语]]))+1)</f>
        <v>438</v>
      </c>
      <c r="S2056" s="29" cm="1">
        <f t="array" ref="S2056">IF(表成绩单[[#This Row],[物理]]="","",SUMPRODUCT((表成绩单[考试日期]=表成绩单[[#This Row],[考试日期]])*(表成绩单[物理]&lt;9E+307)*(表成绩单[物理]&gt;表成绩单[[#This Row],[物理]]))+1)</f>
        <v>441</v>
      </c>
      <c r="T2056" s="29" cm="1">
        <f t="array" ref="T2056">IF(表成绩单[[#This Row],[化学]]="","",SUMPRODUCT((表成绩单[考试日期]=表成绩单[[#This Row],[考试日期]])*(表成绩单[化学]&lt;9E+307)*(表成绩单[化学]&gt;表成绩单[[#This Row],[化学]]))+1)</f>
        <v>623</v>
      </c>
      <c r="U2056" s="29" cm="1">
        <f t="array" ref="U2056">IF(表成绩单[[#This Row],[政治]]="","",SUMPRODUCT((表成绩单[考试日期]=表成绩单[[#This Row],[考试日期]])*(表成绩单[政治]&lt;9E+307)*(表成绩单[政治]&gt;表成绩单[[#This Row],[政治]]))+1)</f>
        <v>544</v>
      </c>
      <c r="V2056" s="29" cm="1">
        <f t="array" ref="V2056">IF(表成绩单[[#This Row],[历史]]="","",SUMPRODUCT((表成绩单[考试日期]=表成绩单[[#This Row],[考试日期]])*(表成绩单[历史]&lt;9E+307)*(表成绩单[历史]&gt;表成绩单[[#This Row],[历史]]))+1)</f>
        <v>415</v>
      </c>
      <c r="W2056" s="29" cm="1">
        <f t="array" ref="W2056">IF(表成绩单[[#This Row],[总分]]="","",SUMPRODUCT((表成绩单[考试日期]=表成绩单[[#This Row],[考试日期]])*(表成绩单[总分]&lt;9E+307)*(表成绩单[总分]&gt;表成绩单[[#This Row],[总分]]))+1)</f>
        <v>448</v>
      </c>
    </row>
    <row r="2057" ht="28" customHeight="1" spans="4:23">
      <c r="D2057" s="31">
        <v>46030</v>
      </c>
      <c r="E2057" s="29">
        <v>19176868</v>
      </c>
      <c r="F2057" s="29" t="s">
        <v>71</v>
      </c>
      <c r="G2057" s="29" t="s">
        <v>572</v>
      </c>
      <c r="H2057" s="29">
        <v>90</v>
      </c>
      <c r="I2057" s="29">
        <v>71</v>
      </c>
      <c r="J2057" s="29">
        <v>69.5</v>
      </c>
      <c r="K2057" s="29">
        <v>80</v>
      </c>
      <c r="L2057" s="29">
        <v>61</v>
      </c>
      <c r="M2057" s="29">
        <v>67</v>
      </c>
      <c r="N2057" s="29">
        <v>57</v>
      </c>
      <c r="O2057" s="32">
        <v>495.5</v>
      </c>
      <c r="P2057" s="29" cm="1">
        <f t="array" ref="P2057">IF(表成绩单[[#This Row],[语文]]="","",SUMPRODUCT((表成绩单[考试日期]=表成绩单[[#This Row],[考试日期]])*(表成绩单[语文]&lt;9E+307)*(表成绩单[语文]&gt;表成绩单[[#This Row],[语文]]))+1)</f>
        <v>509</v>
      </c>
      <c r="Q2057" s="29" cm="1">
        <f t="array" ref="Q2057">IF(表成绩单[[#This Row],[数学]]="","",SUMPRODUCT((表成绩单[考试日期]=表成绩单[[#This Row],[考试日期]])*(表成绩单[数学]&lt;9E+307)*(表成绩单[数学]&gt;表成绩单[[#This Row],[数学]]))+1)</f>
        <v>578</v>
      </c>
      <c r="R2057" s="29" cm="1">
        <f t="array" ref="R2057">IF(表成绩单[[#This Row],[英语]]="","",SUMPRODUCT((表成绩单[考试日期]=表成绩单[[#This Row],[考试日期]])*(表成绩单[英语]&lt;9E+307)*(表成绩单[英语]&gt;表成绩单[[#This Row],[英语]]))+1)</f>
        <v>330</v>
      </c>
      <c r="S2057" s="29" cm="1">
        <f t="array" ref="S2057">IF(表成绩单[[#This Row],[物理]]="","",SUMPRODUCT((表成绩单[考试日期]=表成绩单[[#This Row],[考试日期]])*(表成绩单[物理]&lt;9E+307)*(表成绩单[物理]&gt;表成绩单[[#This Row],[物理]]))+1)</f>
        <v>137</v>
      </c>
      <c r="T2057" s="29" cm="1">
        <f t="array" ref="T2057">IF(表成绩单[[#This Row],[化学]]="","",SUMPRODUCT((表成绩单[考试日期]=表成绩单[[#This Row],[考试日期]])*(表成绩单[化学]&lt;9E+307)*(表成绩单[化学]&gt;表成绩单[[#This Row],[化学]]))+1)</f>
        <v>508</v>
      </c>
      <c r="U2057" s="29" cm="1">
        <f t="array" ref="U2057">IF(表成绩单[[#This Row],[政治]]="","",SUMPRODUCT((表成绩单[考试日期]=表成绩单[[#This Row],[考试日期]])*(表成绩单[政治]&lt;9E+307)*(表成绩单[政治]&gt;表成绩单[[#This Row],[政治]]))+1)</f>
        <v>370</v>
      </c>
      <c r="V2057" s="29" cm="1">
        <f t="array" ref="V2057">IF(表成绩单[[#This Row],[历史]]="","",SUMPRODUCT((表成绩单[考试日期]=表成绩单[[#This Row],[考试日期]])*(表成绩单[历史]&lt;9E+307)*(表成绩单[历史]&gt;表成绩单[[#This Row],[历史]]))+1)</f>
        <v>637</v>
      </c>
      <c r="W2057" s="29" cm="1">
        <f t="array" ref="W2057">IF(表成绩单[[#This Row],[总分]]="","",SUMPRODUCT((表成绩单[考试日期]=表成绩单[[#This Row],[考试日期]])*(表成绩单[总分]&lt;9E+307)*(表成绩单[总分]&gt;表成绩单[[#This Row],[总分]]))+1)</f>
        <v>451</v>
      </c>
    </row>
    <row r="2058" ht="28" customHeight="1" spans="4:23">
      <c r="D2058" s="31">
        <v>46030</v>
      </c>
      <c r="E2058" s="29">
        <v>19177617</v>
      </c>
      <c r="F2058" s="29" t="s">
        <v>58</v>
      </c>
      <c r="G2058" s="29" t="s">
        <v>515</v>
      </c>
      <c r="H2058" s="29">
        <v>96</v>
      </c>
      <c r="I2058" s="29">
        <v>73</v>
      </c>
      <c r="J2058" s="29">
        <v>61</v>
      </c>
      <c r="K2058" s="29">
        <v>59</v>
      </c>
      <c r="L2058" s="29">
        <v>63</v>
      </c>
      <c r="M2058" s="29">
        <v>71</v>
      </c>
      <c r="N2058" s="29">
        <v>72</v>
      </c>
      <c r="O2058" s="32">
        <v>495</v>
      </c>
      <c r="P2058" s="29" cm="1">
        <f t="array" ref="P2058">IF(表成绩单[[#This Row],[语文]]="","",SUMPRODUCT((表成绩单[考试日期]=表成绩单[[#This Row],[考试日期]])*(表成绩单[语文]&lt;9E+307)*(表成绩单[语文]&gt;表成绩单[[#This Row],[语文]]))+1)</f>
        <v>315</v>
      </c>
      <c r="Q2058" s="29" cm="1">
        <f t="array" ref="Q2058">IF(表成绩单[[#This Row],[数学]]="","",SUMPRODUCT((表成绩单[考试日期]=表成绩单[[#This Row],[考试日期]])*(表成绩单[数学]&lt;9E+307)*(表成绩单[数学]&gt;表成绩单[[#This Row],[数学]]))+1)</f>
        <v>547</v>
      </c>
      <c r="R2058" s="29" cm="1">
        <f t="array" ref="R2058">IF(表成绩单[[#This Row],[英语]]="","",SUMPRODUCT((表成绩单[考试日期]=表成绩单[[#This Row],[考试日期]])*(表成绩单[英语]&lt;9E+307)*(表成绩单[英语]&gt;表成绩单[[#This Row],[英语]]))+1)</f>
        <v>507</v>
      </c>
      <c r="S2058" s="29" cm="1">
        <f t="array" ref="S2058">IF(表成绩单[[#This Row],[物理]]="","",SUMPRODUCT((表成绩单[考试日期]=表成绩单[[#This Row],[考试日期]])*(表成绩单[物理]&lt;9E+307)*(表成绩单[物理]&gt;表成绩单[[#This Row],[物理]]))+1)</f>
        <v>514</v>
      </c>
      <c r="T2058" s="29" cm="1">
        <f t="array" ref="T2058">IF(表成绩单[[#This Row],[化学]]="","",SUMPRODUCT((表成绩单[考试日期]=表成绩单[[#This Row],[考试日期]])*(表成绩单[化学]&lt;9E+307)*(表成绩单[化学]&gt;表成绩单[[#This Row],[化学]]))+1)</f>
        <v>472</v>
      </c>
      <c r="U2058" s="29" cm="1">
        <f t="array" ref="U2058">IF(表成绩单[[#This Row],[政治]]="","",SUMPRODUCT((表成绩单[考试日期]=表成绩单[[#This Row],[考试日期]])*(表成绩单[政治]&lt;9E+307)*(表成绩单[政治]&gt;表成绩单[[#This Row],[政治]]))+1)</f>
        <v>248</v>
      </c>
      <c r="V2058" s="29" cm="1">
        <f t="array" ref="V2058">IF(表成绩单[[#This Row],[历史]]="","",SUMPRODUCT((表成绩单[考试日期]=表成绩单[[#This Row],[考试日期]])*(表成绩单[历史]&lt;9E+307)*(表成绩单[历史]&gt;表成绩单[[#This Row],[历史]]))+1)</f>
        <v>266</v>
      </c>
      <c r="W2058" s="29" cm="1">
        <f t="array" ref="W2058">IF(表成绩单[[#This Row],[总分]]="","",SUMPRODUCT((表成绩单[考试日期]=表成绩单[[#This Row],[考试日期]])*(表成绩单[总分]&lt;9E+307)*(表成绩单[总分]&gt;表成绩单[[#This Row],[总分]]))+1)</f>
        <v>452</v>
      </c>
    </row>
    <row r="2059" ht="28" customHeight="1" spans="4:23">
      <c r="D2059" s="31">
        <v>46030</v>
      </c>
      <c r="E2059" s="29">
        <v>19178589</v>
      </c>
      <c r="F2059" s="29" t="s">
        <v>64</v>
      </c>
      <c r="G2059" s="29" t="s">
        <v>534</v>
      </c>
      <c r="H2059" s="29">
        <v>93</v>
      </c>
      <c r="I2059" s="29">
        <v>85</v>
      </c>
      <c r="J2059" s="29">
        <v>74</v>
      </c>
      <c r="K2059" s="29">
        <v>57</v>
      </c>
      <c r="L2059" s="29">
        <v>53</v>
      </c>
      <c r="M2059" s="29">
        <v>68</v>
      </c>
      <c r="N2059" s="29">
        <v>65</v>
      </c>
      <c r="O2059" s="32">
        <v>495</v>
      </c>
      <c r="P2059" s="29" cm="1">
        <f t="array" ref="P2059">IF(表成绩单[[#This Row],[语文]]="","",SUMPRODUCT((表成绩单[考试日期]=表成绩单[[#This Row],[考试日期]])*(表成绩单[语文]&lt;9E+307)*(表成绩单[语文]&gt;表成绩单[[#This Row],[语文]]))+1)</f>
        <v>412</v>
      </c>
      <c r="Q2059" s="29" cm="1">
        <f t="array" ref="Q2059">IF(表成绩单[[#This Row],[数学]]="","",SUMPRODUCT((表成绩单[考试日期]=表成绩单[[#This Row],[考试日期]])*(表成绩单[数学]&lt;9E+307)*(表成绩单[数学]&gt;表成绩单[[#This Row],[数学]]))+1)</f>
        <v>325</v>
      </c>
      <c r="R2059" s="29" cm="1">
        <f t="array" ref="R2059">IF(表成绩单[[#This Row],[英语]]="","",SUMPRODUCT((表成绩单[考试日期]=表成绩单[[#This Row],[考试日期]])*(表成绩单[英语]&lt;9E+307)*(表成绩单[英语]&gt;表成绩单[[#This Row],[英语]]))+1)</f>
        <v>201</v>
      </c>
      <c r="S2059" s="29" cm="1">
        <f t="array" ref="S2059">IF(表成绩单[[#This Row],[物理]]="","",SUMPRODUCT((表成绩单[考试日期]=表成绩单[[#This Row],[考试日期]])*(表成绩单[物理]&lt;9E+307)*(表成绩单[物理]&gt;表成绩单[[#This Row],[物理]]))+1)</f>
        <v>539</v>
      </c>
      <c r="T2059" s="29" cm="1">
        <f t="array" ref="T2059">IF(表成绩单[[#This Row],[化学]]="","",SUMPRODUCT((表成绩单[考试日期]=表成绩单[[#This Row],[考试日期]])*(表成绩单[化学]&lt;9E+307)*(表成绩单[化学]&gt;表成绩单[[#This Row],[化学]]))+1)</f>
        <v>623</v>
      </c>
      <c r="U2059" s="29" cm="1">
        <f t="array" ref="U2059">IF(表成绩单[[#This Row],[政治]]="","",SUMPRODUCT((表成绩单[考试日期]=表成绩单[[#This Row],[考试日期]])*(表成绩单[政治]&lt;9E+307)*(表成绩单[政治]&gt;表成绩单[[#This Row],[政治]]))+1)</f>
        <v>336</v>
      </c>
      <c r="V2059" s="29" cm="1">
        <f t="array" ref="V2059">IF(表成绩单[[#This Row],[历史]]="","",SUMPRODUCT((表成绩单[考试日期]=表成绩单[[#This Row],[考试日期]])*(表成绩单[历史]&lt;9E+307)*(表成绩单[历史]&gt;表成绩单[[#This Row],[历史]]))+1)</f>
        <v>471</v>
      </c>
      <c r="W2059" s="29" cm="1">
        <f t="array" ref="W2059">IF(表成绩单[[#This Row],[总分]]="","",SUMPRODUCT((表成绩单[考试日期]=表成绩单[[#This Row],[考试日期]])*(表成绩单[总分]&lt;9E+307)*(表成绩单[总分]&gt;表成绩单[[#This Row],[总分]]))+1)</f>
        <v>452</v>
      </c>
    </row>
    <row r="2060" ht="28" customHeight="1" spans="4:23">
      <c r="D2060" s="31">
        <v>46030</v>
      </c>
      <c r="E2060" s="29">
        <v>19178627</v>
      </c>
      <c r="F2060" s="29" t="s">
        <v>25</v>
      </c>
      <c r="G2060" s="29" t="s">
        <v>434</v>
      </c>
      <c r="H2060" s="29">
        <v>98</v>
      </c>
      <c r="I2060" s="29">
        <v>85</v>
      </c>
      <c r="J2060" s="29">
        <v>65</v>
      </c>
      <c r="K2060" s="29">
        <v>63</v>
      </c>
      <c r="L2060" s="29">
        <v>63</v>
      </c>
      <c r="M2060" s="29">
        <v>66</v>
      </c>
      <c r="N2060" s="29">
        <v>55</v>
      </c>
      <c r="O2060" s="32">
        <v>495</v>
      </c>
      <c r="P2060" s="29" cm="1">
        <f t="array" ref="P2060">IF(表成绩单[[#This Row],[语文]]="","",SUMPRODUCT((表成绩单[考试日期]=表成绩单[[#This Row],[考试日期]])*(表成绩单[语文]&lt;9E+307)*(表成绩单[语文]&gt;表成绩单[[#This Row],[语文]]))+1)</f>
        <v>248</v>
      </c>
      <c r="Q2060" s="29" cm="1">
        <f t="array" ref="Q2060">IF(表成绩单[[#This Row],[数学]]="","",SUMPRODUCT((表成绩单[考试日期]=表成绩单[[#This Row],[考试日期]])*(表成绩单[数学]&lt;9E+307)*(表成绩单[数学]&gt;表成绩单[[#This Row],[数学]]))+1)</f>
        <v>325</v>
      </c>
      <c r="R2060" s="29" cm="1">
        <f t="array" ref="R2060">IF(表成绩单[[#This Row],[英语]]="","",SUMPRODUCT((表成绩单[考试日期]=表成绩单[[#This Row],[考试日期]])*(表成绩单[英语]&lt;9E+307)*(表成绩单[英语]&gt;表成绩单[[#This Row],[英语]]))+1)</f>
        <v>438</v>
      </c>
      <c r="S2060" s="29" cm="1">
        <f t="array" ref="S2060">IF(表成绩单[[#This Row],[物理]]="","",SUMPRODUCT((表成绩单[考试日期]=表成绩单[[#This Row],[考试日期]])*(表成绩单[物理]&lt;9E+307)*(表成绩单[物理]&gt;表成绩单[[#This Row],[物理]]))+1)</f>
        <v>459</v>
      </c>
      <c r="T2060" s="29" cm="1">
        <f t="array" ref="T2060">IF(表成绩单[[#This Row],[化学]]="","",SUMPRODUCT((表成绩单[考试日期]=表成绩单[[#This Row],[考试日期]])*(表成绩单[化学]&lt;9E+307)*(表成绩单[化学]&gt;表成绩单[[#This Row],[化学]]))+1)</f>
        <v>472</v>
      </c>
      <c r="U2060" s="29" cm="1">
        <f t="array" ref="U2060">IF(表成绩单[[#This Row],[政治]]="","",SUMPRODUCT((表成绩单[考试日期]=表成绩单[[#This Row],[考试日期]])*(表成绩单[政治]&lt;9E+307)*(表成绩单[政治]&gt;表成绩单[[#This Row],[政治]]))+1)</f>
        <v>397</v>
      </c>
      <c r="V2060" s="29" cm="1">
        <f t="array" ref="V2060">IF(表成绩单[[#This Row],[历史]]="","",SUMPRODUCT((表成绩单[考试日期]=表成绩单[[#This Row],[考试日期]])*(表成绩单[历史]&lt;9E+307)*(表成绩单[历史]&gt;表成绩单[[#This Row],[历史]]))+1)</f>
        <v>662</v>
      </c>
      <c r="W2060" s="29" cm="1">
        <f t="array" ref="W2060">IF(表成绩单[[#This Row],[总分]]="","",SUMPRODUCT((表成绩单[考试日期]=表成绩单[[#This Row],[考试日期]])*(表成绩单[总分]&lt;9E+307)*(表成绩单[总分]&gt;表成绩单[[#This Row],[总分]]))+1)</f>
        <v>452</v>
      </c>
    </row>
    <row r="2061" ht="28" customHeight="1" spans="4:23">
      <c r="D2061" s="31">
        <v>46030</v>
      </c>
      <c r="E2061" s="29">
        <v>36668257</v>
      </c>
      <c r="F2061" s="29" t="s">
        <v>66</v>
      </c>
      <c r="G2061" s="29" t="s">
        <v>489</v>
      </c>
      <c r="H2061" s="29">
        <v>92</v>
      </c>
      <c r="I2061" s="29">
        <v>69</v>
      </c>
      <c r="J2061" s="29">
        <v>70</v>
      </c>
      <c r="K2061" s="29">
        <v>57</v>
      </c>
      <c r="L2061" s="29">
        <v>68</v>
      </c>
      <c r="M2061" s="29">
        <v>76</v>
      </c>
      <c r="N2061" s="29">
        <v>63</v>
      </c>
      <c r="O2061" s="32">
        <v>495</v>
      </c>
      <c r="P2061" s="29" cm="1">
        <f t="array" ref="P2061">IF(表成绩单[[#This Row],[语文]]="","",SUMPRODUCT((表成绩单[考试日期]=表成绩单[[#This Row],[考试日期]])*(表成绩单[语文]&lt;9E+307)*(表成绩单[语文]&gt;表成绩单[[#This Row],[语文]]))+1)</f>
        <v>444</v>
      </c>
      <c r="Q2061" s="29" cm="1">
        <f t="array" ref="Q2061">IF(表成绩单[[#This Row],[数学]]="","",SUMPRODUCT((表成绩单[考试日期]=表成绩单[[#This Row],[考试日期]])*(表成绩单[数学]&lt;9E+307)*(表成绩单[数学]&gt;表成绩单[[#This Row],[数学]]))+1)</f>
        <v>600</v>
      </c>
      <c r="R2061" s="29" cm="1">
        <f t="array" ref="R2061">IF(表成绩单[[#This Row],[英语]]="","",SUMPRODUCT((表成绩单[考试日期]=表成绩单[[#This Row],[考试日期]])*(表成绩单[英语]&lt;9E+307)*(表成绩单[英语]&gt;表成绩单[[#This Row],[英语]]))+1)</f>
        <v>319</v>
      </c>
      <c r="S2061" s="29" cm="1">
        <f t="array" ref="S2061">IF(表成绩单[[#This Row],[物理]]="","",SUMPRODUCT((表成绩单[考试日期]=表成绩单[[#This Row],[考试日期]])*(表成绩单[物理]&lt;9E+307)*(表成绩单[物理]&gt;表成绩单[[#This Row],[物理]]))+1)</f>
        <v>539</v>
      </c>
      <c r="T2061" s="29" cm="1">
        <f t="array" ref="T2061">IF(表成绩单[[#This Row],[化学]]="","",SUMPRODUCT((表成绩单[考试日期]=表成绩单[[#This Row],[考试日期]])*(表成绩单[化学]&lt;9E+307)*(表成绩单[化学]&gt;表成绩单[[#This Row],[化学]]))+1)</f>
        <v>358</v>
      </c>
      <c r="U2061" s="29" cm="1">
        <f t="array" ref="U2061">IF(表成绩单[[#This Row],[政治]]="","",SUMPRODUCT((表成绩单[考试日期]=表成绩单[[#This Row],[考试日期]])*(表成绩单[政治]&lt;9E+307)*(表成绩单[政治]&gt;表成绩单[[#This Row],[政治]]))+1)</f>
        <v>111</v>
      </c>
      <c r="V2061" s="29" cm="1">
        <f t="array" ref="V2061">IF(表成绩单[[#This Row],[历史]]="","",SUMPRODUCT((表成绩单[考试日期]=表成绩单[[#This Row],[考试日期]])*(表成绩单[历史]&lt;9E+307)*(表成绩单[历史]&gt;表成绩单[[#This Row],[历史]]))+1)</f>
        <v>521</v>
      </c>
      <c r="W2061" s="29" cm="1">
        <f t="array" ref="W2061">IF(表成绩单[[#This Row],[总分]]="","",SUMPRODUCT((表成绩单[考试日期]=表成绩单[[#This Row],[考试日期]])*(表成绩单[总分]&lt;9E+307)*(表成绩单[总分]&gt;表成绩单[[#This Row],[总分]]))+1)</f>
        <v>452</v>
      </c>
    </row>
    <row r="2062" ht="28" customHeight="1" spans="4:23">
      <c r="D2062" s="31">
        <v>46030</v>
      </c>
      <c r="E2062" s="29">
        <v>19176870</v>
      </c>
      <c r="F2062" s="29" t="s">
        <v>71</v>
      </c>
      <c r="G2062" s="29" t="s">
        <v>545</v>
      </c>
      <c r="H2062" s="29">
        <v>99</v>
      </c>
      <c r="I2062" s="29">
        <v>88</v>
      </c>
      <c r="J2062" s="29">
        <v>66.5</v>
      </c>
      <c r="K2062" s="29">
        <v>67</v>
      </c>
      <c r="L2062" s="29">
        <v>54</v>
      </c>
      <c r="M2062" s="29">
        <v>61</v>
      </c>
      <c r="N2062" s="29">
        <v>59</v>
      </c>
      <c r="O2062" s="32">
        <v>494.5</v>
      </c>
      <c r="P2062" s="29" cm="1">
        <f t="array" ref="P2062">IF(表成绩单[[#This Row],[语文]]="","",SUMPRODUCT((表成绩单[考试日期]=表成绩单[[#This Row],[考试日期]])*(表成绩单[语文]&lt;9E+307)*(表成绩单[语文]&gt;表成绩单[[#This Row],[语文]]))+1)</f>
        <v>213</v>
      </c>
      <c r="Q2062" s="29" cm="1">
        <f t="array" ref="Q2062">IF(表成绩单[[#This Row],[数学]]="","",SUMPRODUCT((表成绩单[考试日期]=表成绩单[[#This Row],[考试日期]])*(表成绩单[数学]&lt;9E+307)*(表成绩单[数学]&gt;表成绩单[[#This Row],[数学]]))+1)</f>
        <v>245</v>
      </c>
      <c r="R2062" s="29" cm="1">
        <f t="array" ref="R2062">IF(表成绩单[[#This Row],[英语]]="","",SUMPRODUCT((表成绩单[考试日期]=表成绩单[[#This Row],[考试日期]])*(表成绩单[英语]&lt;9E+307)*(表成绩单[英语]&gt;表成绩单[[#This Row],[英语]]))+1)</f>
        <v>402</v>
      </c>
      <c r="S2062" s="29" cm="1">
        <f t="array" ref="S2062">IF(表成绩单[[#This Row],[物理]]="","",SUMPRODUCT((表成绩单[考试日期]=表成绩单[[#This Row],[考试日期]])*(表成绩单[物理]&lt;9E+307)*(表成绩单[物理]&gt;表成绩单[[#This Row],[物理]]))+1)</f>
        <v>394</v>
      </c>
      <c r="T2062" s="29" cm="1">
        <f t="array" ref="T2062">IF(表成绩单[[#This Row],[化学]]="","",SUMPRODUCT((表成绩单[考试日期]=表成绩单[[#This Row],[考试日期]])*(表成绩单[化学]&lt;9E+307)*(表成绩单[化学]&gt;表成绩单[[#This Row],[化学]]))+1)</f>
        <v>609</v>
      </c>
      <c r="U2062" s="29" cm="1">
        <f t="array" ref="U2062">IF(表成绩单[[#This Row],[政治]]="","",SUMPRODUCT((表成绩单[考试日期]=表成绩单[[#This Row],[考试日期]])*(表成绩单[政治]&lt;9E+307)*(表成绩单[政治]&gt;表成绩单[[#This Row],[政治]]))+1)</f>
        <v>530</v>
      </c>
      <c r="V2062" s="29" cm="1">
        <f t="array" ref="V2062">IF(表成绩单[[#This Row],[历史]]="","",SUMPRODUCT((表成绩单[考试日期]=表成绩单[[#This Row],[考试日期]])*(表成绩单[历史]&lt;9E+307)*(表成绩单[历史]&gt;表成绩单[[#This Row],[历史]]))+1)</f>
        <v>601</v>
      </c>
      <c r="W2062" s="29" cm="1">
        <f t="array" ref="W2062">IF(表成绩单[[#This Row],[总分]]="","",SUMPRODUCT((表成绩单[考试日期]=表成绩单[[#This Row],[考试日期]])*(表成绩单[总分]&lt;9E+307)*(表成绩单[总分]&gt;表成绩单[[#This Row],[总分]]))+1)</f>
        <v>456</v>
      </c>
    </row>
    <row r="2063" ht="28" customHeight="1" spans="4:23">
      <c r="D2063" s="31">
        <v>46030</v>
      </c>
      <c r="E2063" s="29">
        <v>19177198</v>
      </c>
      <c r="F2063" s="29" t="s">
        <v>70</v>
      </c>
      <c r="G2063" s="29" t="s">
        <v>547</v>
      </c>
      <c r="H2063" s="29">
        <v>95</v>
      </c>
      <c r="I2063" s="29">
        <v>74</v>
      </c>
      <c r="J2063" s="29">
        <v>67.5</v>
      </c>
      <c r="K2063" s="29">
        <v>71</v>
      </c>
      <c r="L2063" s="29">
        <v>69</v>
      </c>
      <c r="M2063" s="29">
        <v>59</v>
      </c>
      <c r="N2063" s="29">
        <v>59</v>
      </c>
      <c r="O2063" s="32">
        <v>494.5</v>
      </c>
      <c r="P2063" s="29" cm="1">
        <f t="array" ref="P2063">IF(表成绩单[[#This Row],[语文]]="","",SUMPRODUCT((表成绩单[考试日期]=表成绩单[[#This Row],[考试日期]])*(表成绩单[语文]&lt;9E+307)*(表成绩单[语文]&gt;表成绩单[[#This Row],[语文]]))+1)</f>
        <v>342</v>
      </c>
      <c r="Q2063" s="29" cm="1">
        <f t="array" ref="Q2063">IF(表成绩单[[#This Row],[数学]]="","",SUMPRODUCT((表成绩单[考试日期]=表成绩单[[#This Row],[考试日期]])*(表成绩单[数学]&lt;9E+307)*(表成绩单[数学]&gt;表成绩单[[#This Row],[数学]]))+1)</f>
        <v>535</v>
      </c>
      <c r="R2063" s="29" cm="1">
        <f t="array" ref="R2063">IF(表成绩单[[#This Row],[英语]]="","",SUMPRODUCT((表成绩单[考试日期]=表成绩单[[#This Row],[考试日期]])*(表成绩单[英语]&lt;9E+307)*(表成绩单[英语]&gt;表成绩单[[#This Row],[英语]]))+1)</f>
        <v>377</v>
      </c>
      <c r="S2063" s="29" cm="1">
        <f t="array" ref="S2063">IF(表成绩单[[#This Row],[物理]]="","",SUMPRODUCT((表成绩单[考试日期]=表成绩单[[#This Row],[考试日期]])*(表成绩单[物理]&lt;9E+307)*(表成绩单[物理]&gt;表成绩单[[#This Row],[物理]]))+1)</f>
        <v>319</v>
      </c>
      <c r="T2063" s="29" cm="1">
        <f t="array" ref="T2063">IF(表成绩单[[#This Row],[化学]]="","",SUMPRODUCT((表成绩单[考试日期]=表成绩单[[#This Row],[考试日期]])*(表成绩单[化学]&lt;9E+307)*(表成绩单[化学]&gt;表成绩单[[#This Row],[化学]]))+1)</f>
        <v>339</v>
      </c>
      <c r="U2063" s="29" cm="1">
        <f t="array" ref="U2063">IF(表成绩单[[#This Row],[政治]]="","",SUMPRODUCT((表成绩单[考试日期]=表成绩单[[#This Row],[考试日期]])*(表成绩单[政治]&lt;9E+307)*(表成绩单[政治]&gt;表成绩单[[#This Row],[政治]]))+1)</f>
        <v>557</v>
      </c>
      <c r="V2063" s="29" cm="1">
        <f t="array" ref="V2063">IF(表成绩单[[#This Row],[历史]]="","",SUMPRODUCT((表成绩单[考试日期]=表成绩单[[#This Row],[考试日期]])*(表成绩单[历史]&lt;9E+307)*(表成绩单[历史]&gt;表成绩单[[#This Row],[历史]]))+1)</f>
        <v>601</v>
      </c>
      <c r="W2063" s="29" cm="1">
        <f t="array" ref="W2063">IF(表成绩单[[#This Row],[总分]]="","",SUMPRODUCT((表成绩单[考试日期]=表成绩单[[#This Row],[考试日期]])*(表成绩单[总分]&lt;9E+307)*(表成绩单[总分]&gt;表成绩单[[#This Row],[总分]]))+1)</f>
        <v>456</v>
      </c>
    </row>
    <row r="2064" ht="28" customHeight="1" spans="4:23">
      <c r="D2064" s="31">
        <v>46030</v>
      </c>
      <c r="E2064" s="29">
        <v>19178601</v>
      </c>
      <c r="F2064" s="29" t="s">
        <v>64</v>
      </c>
      <c r="G2064" s="29" t="s">
        <v>594</v>
      </c>
      <c r="H2064" s="29">
        <v>99</v>
      </c>
      <c r="I2064" s="29">
        <v>80</v>
      </c>
      <c r="J2064" s="29">
        <v>68</v>
      </c>
      <c r="K2064" s="29">
        <v>56</v>
      </c>
      <c r="L2064" s="29">
        <v>49</v>
      </c>
      <c r="M2064" s="29">
        <v>72</v>
      </c>
      <c r="N2064" s="29">
        <v>70</v>
      </c>
      <c r="O2064" s="32">
        <v>494</v>
      </c>
      <c r="P2064" s="29" cm="1">
        <f t="array" ref="P2064">IF(表成绩单[[#This Row],[语文]]="","",SUMPRODUCT((表成绩单[考试日期]=表成绩单[[#This Row],[考试日期]])*(表成绩单[语文]&lt;9E+307)*(表成绩单[语文]&gt;表成绩单[[#This Row],[语文]]))+1)</f>
        <v>213</v>
      </c>
      <c r="Q2064" s="29" cm="1">
        <f t="array" ref="Q2064">IF(表成绩单[[#This Row],[数学]]="","",SUMPRODUCT((表成绩单[考试日期]=表成绩单[[#This Row],[考试日期]])*(表成绩单[数学]&lt;9E+307)*(表成绩单[数学]&gt;表成绩单[[#This Row],[数学]]))+1)</f>
        <v>412</v>
      </c>
      <c r="R2064" s="29" cm="1">
        <f t="array" ref="R2064">IF(表成绩单[[#This Row],[英语]]="","",SUMPRODUCT((表成绩单[考试日期]=表成绩单[[#This Row],[考试日期]])*(表成绩单[英语]&lt;9E+307)*(表成绩单[英语]&gt;表成绩单[[#This Row],[英语]]))+1)</f>
        <v>364</v>
      </c>
      <c r="S2064" s="29" cm="1">
        <f t="array" ref="S2064">IF(表成绩单[[#This Row],[物理]]="","",SUMPRODUCT((表成绩单[考试日期]=表成绩单[[#This Row],[考试日期]])*(表成绩单[物理]&lt;9E+307)*(表成绩单[物理]&gt;表成绩单[[#This Row],[物理]]))+1)</f>
        <v>552</v>
      </c>
      <c r="T2064" s="29" cm="1">
        <f t="array" ref="T2064">IF(表成绩单[[#This Row],[化学]]="","",SUMPRODUCT((表成绩单[考试日期]=表成绩单[[#This Row],[考试日期]])*(表成绩单[化学]&lt;9E+307)*(表成绩单[化学]&gt;表成绩单[[#This Row],[化学]]))+1)</f>
        <v>675</v>
      </c>
      <c r="U2064" s="29" cm="1">
        <f t="array" ref="U2064">IF(表成绩单[[#This Row],[政治]]="","",SUMPRODUCT((表成绩单[考试日期]=表成绩单[[#This Row],[考试日期]])*(表成绩单[政治]&lt;9E+307)*(表成绩单[政治]&gt;表成绩单[[#This Row],[政治]]))+1)</f>
        <v>224</v>
      </c>
      <c r="V2064" s="29" cm="1">
        <f t="array" ref="V2064">IF(表成绩单[[#This Row],[历史]]="","",SUMPRODUCT((表成绩单[考试日期]=表成绩单[[#This Row],[考试日期]])*(表成绩单[历史]&lt;9E+307)*(表成绩单[历史]&gt;表成绩单[[#This Row],[历史]]))+1)</f>
        <v>328</v>
      </c>
      <c r="W2064" s="29" cm="1">
        <f t="array" ref="W2064">IF(表成绩单[[#This Row],[总分]]="","",SUMPRODUCT((表成绩单[考试日期]=表成绩单[[#This Row],[考试日期]])*(表成绩单[总分]&lt;9E+307)*(表成绩单[总分]&gt;表成绩单[[#This Row],[总分]]))+1)</f>
        <v>458</v>
      </c>
    </row>
    <row r="2065" ht="28" customHeight="1" spans="4:23">
      <c r="D2065" s="31">
        <v>46030</v>
      </c>
      <c r="E2065" s="29">
        <v>19172643</v>
      </c>
      <c r="F2065" s="29" t="s">
        <v>60</v>
      </c>
      <c r="G2065" s="29" t="s">
        <v>550</v>
      </c>
      <c r="H2065" s="29">
        <v>97</v>
      </c>
      <c r="I2065" s="29">
        <v>79</v>
      </c>
      <c r="J2065" s="29">
        <v>73.5</v>
      </c>
      <c r="K2065" s="29">
        <v>60</v>
      </c>
      <c r="L2065" s="29">
        <v>56</v>
      </c>
      <c r="M2065" s="29">
        <v>68</v>
      </c>
      <c r="N2065" s="29">
        <v>60</v>
      </c>
      <c r="O2065" s="32">
        <v>493.5</v>
      </c>
      <c r="P2065" s="29" cm="1">
        <f t="array" ref="P2065">IF(表成绩单[[#This Row],[语文]]="","",SUMPRODUCT((表成绩单[考试日期]=表成绩单[[#This Row],[考试日期]])*(表成绩单[语文]&lt;9E+307)*(表成绩单[语文]&gt;表成绩单[[#This Row],[语文]]))+1)</f>
        <v>291</v>
      </c>
      <c r="Q2065" s="29" cm="1">
        <f t="array" ref="Q2065">IF(表成绩单[[#This Row],[数学]]="","",SUMPRODUCT((表成绩单[考试日期]=表成绩单[[#This Row],[考试日期]])*(表成绩单[数学]&lt;9E+307)*(表成绩单[数学]&gt;表成绩单[[#This Row],[数学]]))+1)</f>
        <v>427</v>
      </c>
      <c r="R2065" s="29" cm="1">
        <f t="array" ref="R2065">IF(表成绩单[[#This Row],[英语]]="","",SUMPRODUCT((表成绩单[考试日期]=表成绩单[[#This Row],[考试日期]])*(表成绩单[英语]&lt;9E+307)*(表成绩单[英语]&gt;表成绩单[[#This Row],[英语]]))+1)</f>
        <v>209</v>
      </c>
      <c r="S2065" s="29" cm="1">
        <f t="array" ref="S2065">IF(表成绩单[[#This Row],[物理]]="","",SUMPRODUCT((表成绩单[考试日期]=表成绩单[[#This Row],[考试日期]])*(表成绩单[物理]&lt;9E+307)*(表成绩单[物理]&gt;表成绩单[[#This Row],[物理]]))+1)</f>
        <v>499</v>
      </c>
      <c r="T2065" s="29" cm="1">
        <f t="array" ref="T2065">IF(表成绩单[[#This Row],[化学]]="","",SUMPRODUCT((表成绩单[考试日期]=表成绩单[[#This Row],[考试日期]])*(表成绩单[化学]&lt;9E+307)*(表成绩单[化学]&gt;表成绩单[[#This Row],[化学]]))+1)</f>
        <v>581</v>
      </c>
      <c r="U2065" s="29" cm="1">
        <f t="array" ref="U2065">IF(表成绩单[[#This Row],[政治]]="","",SUMPRODUCT((表成绩单[考试日期]=表成绩单[[#This Row],[考试日期]])*(表成绩单[政治]&lt;9E+307)*(表成绩单[政治]&gt;表成绩单[[#This Row],[政治]]))+1)</f>
        <v>336</v>
      </c>
      <c r="V2065" s="29" cm="1">
        <f t="array" ref="V2065">IF(表成绩单[[#This Row],[历史]]="","",SUMPRODUCT((表成绩单[考试日期]=表成绩单[[#This Row],[考试日期]])*(表成绩单[历史]&lt;9E+307)*(表成绩单[历史]&gt;表成绩单[[#This Row],[历史]]))+1)</f>
        <v>579</v>
      </c>
      <c r="W2065" s="29" cm="1">
        <f t="array" ref="W2065">IF(表成绩单[[#This Row],[总分]]="","",SUMPRODUCT((表成绩单[考试日期]=表成绩单[[#This Row],[考试日期]])*(表成绩单[总分]&lt;9E+307)*(表成绩单[总分]&gt;表成绩单[[#This Row],[总分]]))+1)</f>
        <v>459</v>
      </c>
    </row>
    <row r="2066" ht="28" customHeight="1" spans="4:23">
      <c r="D2066" s="31">
        <v>46030</v>
      </c>
      <c r="E2066" s="29">
        <v>19177650</v>
      </c>
      <c r="F2066" s="29" t="s">
        <v>63</v>
      </c>
      <c r="G2066" s="29" t="s">
        <v>549</v>
      </c>
      <c r="H2066" s="29">
        <v>91</v>
      </c>
      <c r="I2066" s="29">
        <v>84</v>
      </c>
      <c r="J2066" s="29">
        <v>52</v>
      </c>
      <c r="K2066" s="29">
        <v>61</v>
      </c>
      <c r="L2066" s="29">
        <v>71</v>
      </c>
      <c r="M2066" s="29">
        <v>68</v>
      </c>
      <c r="N2066" s="29">
        <v>65</v>
      </c>
      <c r="O2066" s="32">
        <v>492</v>
      </c>
      <c r="P2066" s="29" cm="1">
        <f t="array" ref="P2066">IF(表成绩单[[#This Row],[语文]]="","",SUMPRODUCT((表成绩单[考试日期]=表成绩单[[#This Row],[考试日期]])*(表成绩单[语文]&lt;9E+307)*(表成绩单[语文]&gt;表成绩单[[#This Row],[语文]]))+1)</f>
        <v>478</v>
      </c>
      <c r="Q2066" s="29" cm="1">
        <f t="array" ref="Q2066">IF(表成绩单[[#This Row],[数学]]="","",SUMPRODUCT((表成绩单[考试日期]=表成绩单[[#This Row],[考试日期]])*(表成绩单[数学]&lt;9E+307)*(表成绩单[数学]&gt;表成绩单[[#This Row],[数学]]))+1)</f>
        <v>343</v>
      </c>
      <c r="R2066" s="29" cm="1">
        <f t="array" ref="R2066">IF(表成绩单[[#This Row],[英语]]="","",SUMPRODUCT((表成绩单[考试日期]=表成绩单[[#This Row],[考试日期]])*(表成绩单[英语]&lt;9E+307)*(表成绩单[英语]&gt;表成绩单[[#This Row],[英语]]))+1)</f>
        <v>624</v>
      </c>
      <c r="S2066" s="29" cm="1">
        <f t="array" ref="S2066">IF(表成绩单[[#This Row],[物理]]="","",SUMPRODUCT((表成绩单[考试日期]=表成绩单[[#This Row],[考试日期]])*(表成绩单[物理]&lt;9E+307)*(表成绩单[物理]&gt;表成绩单[[#This Row],[物理]]))+1)</f>
        <v>482</v>
      </c>
      <c r="T2066" s="29" cm="1">
        <f t="array" ref="T2066">IF(表成绩单[[#This Row],[化学]]="","",SUMPRODUCT((表成绩单[考试日期]=表成绩单[[#This Row],[考试日期]])*(表成绩单[化学]&lt;9E+307)*(表成绩单[化学]&gt;表成绩单[[#This Row],[化学]]))+1)</f>
        <v>297</v>
      </c>
      <c r="U2066" s="29" cm="1">
        <f t="array" ref="U2066">IF(表成绩单[[#This Row],[政治]]="","",SUMPRODUCT((表成绩单[考试日期]=表成绩单[[#This Row],[考试日期]])*(表成绩单[政治]&lt;9E+307)*(表成绩单[政治]&gt;表成绩单[[#This Row],[政治]]))+1)</f>
        <v>336</v>
      </c>
      <c r="V2066" s="29" cm="1">
        <f t="array" ref="V2066">IF(表成绩单[[#This Row],[历史]]="","",SUMPRODUCT((表成绩单[考试日期]=表成绩单[[#This Row],[考试日期]])*(表成绩单[历史]&lt;9E+307)*(表成绩单[历史]&gt;表成绩单[[#This Row],[历史]]))+1)</f>
        <v>471</v>
      </c>
      <c r="W2066" s="29" cm="1">
        <f t="array" ref="W2066">IF(表成绩单[[#This Row],[总分]]="","",SUMPRODUCT((表成绩单[考试日期]=表成绩单[[#This Row],[考试日期]])*(表成绩单[总分]&lt;9E+307)*(表成绩单[总分]&gt;表成绩单[[#This Row],[总分]]))+1)</f>
        <v>460</v>
      </c>
    </row>
    <row r="2067" ht="28" customHeight="1" spans="4:23">
      <c r="D2067" s="31">
        <v>46030</v>
      </c>
      <c r="E2067" s="29">
        <v>19178642</v>
      </c>
      <c r="F2067" s="29" t="s">
        <v>25</v>
      </c>
      <c r="G2067" s="29" t="s">
        <v>670</v>
      </c>
      <c r="H2067" s="29">
        <v>103</v>
      </c>
      <c r="I2067" s="29">
        <v>69</v>
      </c>
      <c r="J2067" s="29">
        <v>67.5</v>
      </c>
      <c r="K2067" s="29">
        <v>58</v>
      </c>
      <c r="L2067" s="29">
        <v>64</v>
      </c>
      <c r="M2067" s="29">
        <v>59</v>
      </c>
      <c r="N2067" s="29">
        <v>71</v>
      </c>
      <c r="O2067" s="32">
        <v>491.5</v>
      </c>
      <c r="P2067" s="29" cm="1">
        <f t="array" ref="P2067">IF(表成绩单[[#This Row],[语文]]="","",SUMPRODUCT((表成绩单[考试日期]=表成绩单[[#This Row],[考试日期]])*(表成绩单[语文]&lt;9E+307)*(表成绩单[语文]&gt;表成绩单[[#This Row],[语文]]))+1)</f>
        <v>105</v>
      </c>
      <c r="Q2067" s="29" cm="1">
        <f t="array" ref="Q2067">IF(表成绩单[[#This Row],[数学]]="","",SUMPRODUCT((表成绩单[考试日期]=表成绩单[[#This Row],[考试日期]])*(表成绩单[数学]&lt;9E+307)*(表成绩单[数学]&gt;表成绩单[[#This Row],[数学]]))+1)</f>
        <v>600</v>
      </c>
      <c r="R2067" s="29" cm="1">
        <f t="array" ref="R2067">IF(表成绩单[[#This Row],[英语]]="","",SUMPRODUCT((表成绩单[考试日期]=表成绩单[[#This Row],[考试日期]])*(表成绩单[英语]&lt;9E+307)*(表成绩单[英语]&gt;表成绩单[[#This Row],[英语]]))+1)</f>
        <v>377</v>
      </c>
      <c r="S2067" s="29" cm="1">
        <f t="array" ref="S2067">IF(表成绩单[[#This Row],[物理]]="","",SUMPRODUCT((表成绩单[考试日期]=表成绩单[[#This Row],[考试日期]])*(表成绩单[物理]&lt;9E+307)*(表成绩单[物理]&gt;表成绩单[[#This Row],[物理]]))+1)</f>
        <v>527</v>
      </c>
      <c r="T2067" s="29" cm="1">
        <f t="array" ref="T2067">IF(表成绩单[[#This Row],[化学]]="","",SUMPRODUCT((表成绩单[考试日期]=表成绩单[[#This Row],[考试日期]])*(表成绩单[化学]&lt;9E+307)*(表成绩单[化学]&gt;表成绩单[[#This Row],[化学]]))+1)</f>
        <v>451</v>
      </c>
      <c r="U2067" s="29" cm="1">
        <f t="array" ref="U2067">IF(表成绩单[[#This Row],[政治]]="","",SUMPRODUCT((表成绩单[考试日期]=表成绩单[[#This Row],[考试日期]])*(表成绩单[政治]&lt;9E+307)*(表成绩单[政治]&gt;表成绩单[[#This Row],[政治]]))+1)</f>
        <v>557</v>
      </c>
      <c r="V2067" s="29" cm="1">
        <f t="array" ref="V2067">IF(表成绩单[[#This Row],[历史]]="","",SUMPRODUCT((表成绩单[考试日期]=表成绩单[[#This Row],[考试日期]])*(表成绩单[历史]&lt;9E+307)*(表成绩单[历史]&gt;表成绩单[[#This Row],[历史]]))+1)</f>
        <v>297</v>
      </c>
      <c r="W2067" s="29" cm="1">
        <f t="array" ref="W2067">IF(表成绩单[[#This Row],[总分]]="","",SUMPRODUCT((表成绩单[考试日期]=表成绩单[[#This Row],[考试日期]])*(表成绩单[总分]&lt;9E+307)*(表成绩单[总分]&gt;表成绩单[[#This Row],[总分]]))+1)</f>
        <v>461</v>
      </c>
    </row>
    <row r="2068" ht="28" customHeight="1" spans="4:23">
      <c r="D2068" s="31">
        <v>46030</v>
      </c>
      <c r="E2068" s="29">
        <v>19178597</v>
      </c>
      <c r="F2068" s="29" t="s">
        <v>64</v>
      </c>
      <c r="G2068" s="29" t="s">
        <v>561</v>
      </c>
      <c r="H2068" s="29">
        <v>89</v>
      </c>
      <c r="I2068" s="29">
        <v>75</v>
      </c>
      <c r="J2068" s="29">
        <v>62</v>
      </c>
      <c r="K2068" s="29">
        <v>72</v>
      </c>
      <c r="L2068" s="29">
        <v>57</v>
      </c>
      <c r="M2068" s="29">
        <v>61</v>
      </c>
      <c r="N2068" s="29">
        <v>75</v>
      </c>
      <c r="O2068" s="32">
        <v>491</v>
      </c>
      <c r="P2068" s="29" cm="1">
        <f t="array" ref="P2068">IF(表成绩单[[#This Row],[语文]]="","",SUMPRODUCT((表成绩单[考试日期]=表成绩单[[#This Row],[考试日期]])*(表成绩单[语文]&lt;9E+307)*(表成绩单[语文]&gt;表成绩单[[#This Row],[语文]]))+1)</f>
        <v>540</v>
      </c>
      <c r="Q2068" s="29" cm="1">
        <f t="array" ref="Q2068">IF(表成绩单[[#This Row],[数学]]="","",SUMPRODUCT((表成绩单[考试日期]=表成绩单[[#This Row],[考试日期]])*(表成绩单[数学]&lt;9E+307)*(表成绩单[数学]&gt;表成绩单[[#This Row],[数学]]))+1)</f>
        <v>521</v>
      </c>
      <c r="R2068" s="29" cm="1">
        <f t="array" ref="R2068">IF(表成绩单[[#This Row],[英语]]="","",SUMPRODUCT((表成绩单[考试日期]=表成绩单[[#This Row],[考试日期]])*(表成绩单[英语]&lt;9E+307)*(表成绩单[英语]&gt;表成绩单[[#This Row],[英语]]))+1)</f>
        <v>490</v>
      </c>
      <c r="S2068" s="29" cm="1">
        <f t="array" ref="S2068">IF(表成绩单[[#This Row],[物理]]="","",SUMPRODUCT((表成绩单[考试日期]=表成绩单[[#This Row],[考试日期]])*(表成绩单[物理]&lt;9E+307)*(表成绩单[物理]&gt;表成绩单[[#This Row],[物理]]))+1)</f>
        <v>297</v>
      </c>
      <c r="T2068" s="29" cm="1">
        <f t="array" ref="T2068">IF(表成绩单[[#This Row],[化学]]="","",SUMPRODUCT((表成绩单[考试日期]=表成绩单[[#This Row],[考试日期]])*(表成绩单[化学]&lt;9E+307)*(表成绩单[化学]&gt;表成绩单[[#This Row],[化学]]))+1)</f>
        <v>564</v>
      </c>
      <c r="U2068" s="29" cm="1">
        <f t="array" ref="U2068">IF(表成绩单[[#This Row],[政治]]="","",SUMPRODUCT((表成绩单[考试日期]=表成绩单[[#This Row],[考试日期]])*(表成绩单[政治]&lt;9E+307)*(表成绩单[政治]&gt;表成绩单[[#This Row],[政治]]))+1)</f>
        <v>530</v>
      </c>
      <c r="V2068" s="29" cm="1">
        <f t="array" ref="V2068">IF(表成绩单[[#This Row],[历史]]="","",SUMPRODUCT((表成绩单[考试日期]=表成绩单[[#This Row],[考试日期]])*(表成绩单[历史]&lt;9E+307)*(表成绩单[历史]&gt;表成绩单[[#This Row],[历史]]))+1)</f>
        <v>193</v>
      </c>
      <c r="W2068" s="29" cm="1">
        <f t="array" ref="W2068">IF(表成绩单[[#This Row],[总分]]="","",SUMPRODUCT((表成绩单[考试日期]=表成绩单[[#This Row],[考试日期]])*(表成绩单[总分]&lt;9E+307)*(表成绩单[总分]&gt;表成绩单[[#This Row],[总分]]))+1)</f>
        <v>462</v>
      </c>
    </row>
    <row r="2069" ht="28" customHeight="1" spans="4:23">
      <c r="D2069" s="31">
        <v>46030</v>
      </c>
      <c r="E2069" s="29">
        <v>19175625</v>
      </c>
      <c r="F2069" s="29" t="s">
        <v>57</v>
      </c>
      <c r="G2069" s="29" t="s">
        <v>563</v>
      </c>
      <c r="H2069" s="29">
        <v>84</v>
      </c>
      <c r="I2069" s="29">
        <v>89</v>
      </c>
      <c r="J2069" s="29">
        <v>68.5</v>
      </c>
      <c r="K2069" s="29">
        <v>61</v>
      </c>
      <c r="L2069" s="29">
        <v>71</v>
      </c>
      <c r="M2069" s="29">
        <v>53</v>
      </c>
      <c r="N2069" s="29">
        <v>64</v>
      </c>
      <c r="O2069" s="32">
        <v>490.5</v>
      </c>
      <c r="P2069" s="29" cm="1">
        <f t="array" ref="P2069">IF(表成绩单[[#This Row],[语文]]="","",SUMPRODUCT((表成绩单[考试日期]=表成绩单[[#This Row],[考试日期]])*(表成绩单[语文]&lt;9E+307)*(表成绩单[语文]&gt;表成绩单[[#This Row],[语文]]))+1)</f>
        <v>635</v>
      </c>
      <c r="Q2069" s="29" cm="1">
        <f t="array" ref="Q2069">IF(表成绩单[[#This Row],[数学]]="","",SUMPRODUCT((表成绩单[考试日期]=表成绩单[[#This Row],[考试日期]])*(表成绩单[数学]&lt;9E+307)*(表成绩单[数学]&gt;表成绩单[[#This Row],[数学]]))+1)</f>
        <v>228</v>
      </c>
      <c r="R2069" s="29" cm="1">
        <f t="array" ref="R2069">IF(表成绩单[[#This Row],[英语]]="","",SUMPRODUCT((表成绩单[考试日期]=表成绩单[[#This Row],[考试日期]])*(表成绩单[英语]&lt;9E+307)*(表成绩单[英语]&gt;表成绩单[[#This Row],[英语]]))+1)</f>
        <v>351</v>
      </c>
      <c r="S2069" s="29" cm="1">
        <f t="array" ref="S2069">IF(表成绩单[[#This Row],[物理]]="","",SUMPRODUCT((表成绩单[考试日期]=表成绩单[[#This Row],[考试日期]])*(表成绩单[物理]&lt;9E+307)*(表成绩单[物理]&gt;表成绩单[[#This Row],[物理]]))+1)</f>
        <v>482</v>
      </c>
      <c r="T2069" s="29" cm="1">
        <f t="array" ref="T2069">IF(表成绩单[[#This Row],[化学]]="","",SUMPRODUCT((表成绩单[考试日期]=表成绩单[[#This Row],[考试日期]])*(表成绩单[化学]&lt;9E+307)*(表成绩单[化学]&gt;表成绩单[[#This Row],[化学]]))+1)</f>
        <v>297</v>
      </c>
      <c r="U2069" s="29" cm="1">
        <f t="array" ref="U2069">IF(表成绩单[[#This Row],[政治]]="","",SUMPRODUCT((表成绩单[考试日期]=表成绩单[[#This Row],[考试日期]])*(表成绩单[政治]&lt;9E+307)*(表成绩单[政治]&gt;表成绩单[[#This Row],[政治]]))+1)</f>
        <v>630</v>
      </c>
      <c r="V2069" s="29" cm="1">
        <f t="array" ref="V2069">IF(表成绩单[[#This Row],[历史]]="","",SUMPRODUCT((表成绩单[考试日期]=表成绩单[[#This Row],[考试日期]])*(表成绩单[历史]&lt;9E+307)*(表成绩单[历史]&gt;表成绩单[[#This Row],[历史]]))+1)</f>
        <v>509</v>
      </c>
      <c r="W2069" s="29" cm="1">
        <f t="array" ref="W2069">IF(表成绩单[[#This Row],[总分]]="","",SUMPRODUCT((表成绩单[考试日期]=表成绩单[[#This Row],[考试日期]])*(表成绩单[总分]&lt;9E+307)*(表成绩单[总分]&gt;表成绩单[[#This Row],[总分]]))+1)</f>
        <v>463</v>
      </c>
    </row>
    <row r="2070" ht="28" customHeight="1" spans="4:23">
      <c r="D2070" s="31">
        <v>46030</v>
      </c>
      <c r="E2070" s="29">
        <v>19175988</v>
      </c>
      <c r="F2070" s="29" t="s">
        <v>59</v>
      </c>
      <c r="G2070" s="29" t="s">
        <v>456</v>
      </c>
      <c r="H2070" s="29">
        <v>91</v>
      </c>
      <c r="I2070" s="29">
        <v>77</v>
      </c>
      <c r="J2070" s="29">
        <v>58.5</v>
      </c>
      <c r="K2070" s="29">
        <v>71</v>
      </c>
      <c r="L2070" s="29">
        <v>71</v>
      </c>
      <c r="M2070" s="29">
        <v>57</v>
      </c>
      <c r="N2070" s="29">
        <v>65</v>
      </c>
      <c r="O2070" s="32">
        <v>490.5</v>
      </c>
      <c r="P2070" s="29" cm="1">
        <f t="array" ref="P2070">IF(表成绩单[[#This Row],[语文]]="","",SUMPRODUCT((表成绩单[考试日期]=表成绩单[[#This Row],[考试日期]])*(表成绩单[语文]&lt;9E+307)*(表成绩单[语文]&gt;表成绩单[[#This Row],[语文]]))+1)</f>
        <v>478</v>
      </c>
      <c r="Q2070" s="29" cm="1">
        <f t="array" ref="Q2070">IF(表成绩单[[#This Row],[数学]]="","",SUMPRODUCT((表成绩单[考试日期]=表成绩单[[#This Row],[考试日期]])*(表成绩单[数学]&lt;9E+307)*(表成绩单[数学]&gt;表成绩单[[#This Row],[数学]]))+1)</f>
        <v>478</v>
      </c>
      <c r="R2070" s="29" cm="1">
        <f t="array" ref="R2070">IF(表成绩单[[#This Row],[英语]]="","",SUMPRODUCT((表成绩单[考试日期]=表成绩单[[#This Row],[考试日期]])*(表成绩单[英语]&lt;9E+307)*(表成绩单[英语]&gt;表成绩单[[#This Row],[英语]]))+1)</f>
        <v>545</v>
      </c>
      <c r="S2070" s="29" cm="1">
        <f t="array" ref="S2070">IF(表成绩单[[#This Row],[物理]]="","",SUMPRODUCT((表成绩单[考试日期]=表成绩单[[#This Row],[考试日期]])*(表成绩单[物理]&lt;9E+307)*(表成绩单[物理]&gt;表成绩单[[#This Row],[物理]]))+1)</f>
        <v>319</v>
      </c>
      <c r="T2070" s="29" cm="1">
        <f t="array" ref="T2070">IF(表成绩单[[#This Row],[化学]]="","",SUMPRODUCT((表成绩单[考试日期]=表成绩单[[#This Row],[考试日期]])*(表成绩单[化学]&lt;9E+307)*(表成绩单[化学]&gt;表成绩单[[#This Row],[化学]]))+1)</f>
        <v>297</v>
      </c>
      <c r="U2070" s="29" cm="1">
        <f t="array" ref="U2070">IF(表成绩单[[#This Row],[政治]]="","",SUMPRODUCT((表成绩单[考试日期]=表成绩单[[#This Row],[考试日期]])*(表成绩单[政治]&lt;9E+307)*(表成绩单[政治]&gt;表成绩单[[#This Row],[政治]]))+1)</f>
        <v>591</v>
      </c>
      <c r="V2070" s="29" cm="1">
        <f t="array" ref="V2070">IF(表成绩单[[#This Row],[历史]]="","",SUMPRODUCT((表成绩单[考试日期]=表成绩单[[#This Row],[考试日期]])*(表成绩单[历史]&lt;9E+307)*(表成绩单[历史]&gt;表成绩单[[#This Row],[历史]]))+1)</f>
        <v>471</v>
      </c>
      <c r="W2070" s="29" cm="1">
        <f t="array" ref="W2070">IF(表成绩单[[#This Row],[总分]]="","",SUMPRODUCT((表成绩单[考试日期]=表成绩单[[#This Row],[考试日期]])*(表成绩单[总分]&lt;9E+307)*(表成绩单[总分]&gt;表成绩单[[#This Row],[总分]]))+1)</f>
        <v>463</v>
      </c>
    </row>
    <row r="2071" ht="28" customHeight="1" spans="4:23">
      <c r="D2071" s="31">
        <v>46030</v>
      </c>
      <c r="E2071" s="29">
        <v>19176173</v>
      </c>
      <c r="F2071" s="29" t="s">
        <v>67</v>
      </c>
      <c r="G2071" s="29" t="s">
        <v>457</v>
      </c>
      <c r="H2071" s="29">
        <v>88</v>
      </c>
      <c r="I2071" s="29">
        <v>90</v>
      </c>
      <c r="J2071" s="29">
        <v>57.5</v>
      </c>
      <c r="K2071" s="29">
        <v>59</v>
      </c>
      <c r="L2071" s="29">
        <v>71</v>
      </c>
      <c r="M2071" s="29">
        <v>70</v>
      </c>
      <c r="N2071" s="29">
        <v>55</v>
      </c>
      <c r="O2071" s="32">
        <v>490.5</v>
      </c>
      <c r="P2071" s="29" cm="1">
        <f t="array" ref="P2071">IF(表成绩单[[#This Row],[语文]]="","",SUMPRODUCT((表成绩单[考试日期]=表成绩单[[#This Row],[考试日期]])*(表成绩单[语文]&lt;9E+307)*(表成绩单[语文]&gt;表成绩单[[#This Row],[语文]]))+1)</f>
        <v>562</v>
      </c>
      <c r="Q2071" s="29" cm="1">
        <f t="array" ref="Q2071">IF(表成绩单[[#This Row],[数学]]="","",SUMPRODUCT((表成绩单[考试日期]=表成绩单[[#This Row],[考试日期]])*(表成绩单[数学]&lt;9E+307)*(表成绩单[数学]&gt;表成绩单[[#This Row],[数学]]))+1)</f>
        <v>215</v>
      </c>
      <c r="R2071" s="29" cm="1">
        <f t="array" ref="R2071">IF(表成绩单[[#This Row],[英语]]="","",SUMPRODUCT((表成绩单[考试日期]=表成绩单[[#This Row],[考试日期]])*(表成绩单[英语]&lt;9E+307)*(表成绩单[英语]&gt;表成绩单[[#This Row],[英语]]))+1)</f>
        <v>566</v>
      </c>
      <c r="S2071" s="29" cm="1">
        <f t="array" ref="S2071">IF(表成绩单[[#This Row],[物理]]="","",SUMPRODUCT((表成绩单[考试日期]=表成绩单[[#This Row],[考试日期]])*(表成绩单[物理]&lt;9E+307)*(表成绩单[物理]&gt;表成绩单[[#This Row],[物理]]))+1)</f>
        <v>514</v>
      </c>
      <c r="T2071" s="29" cm="1">
        <f t="array" ref="T2071">IF(表成绩单[[#This Row],[化学]]="","",SUMPRODUCT((表成绩单[考试日期]=表成绩单[[#This Row],[考试日期]])*(表成绩单[化学]&lt;9E+307)*(表成绩单[化学]&gt;表成绩单[[#This Row],[化学]]))+1)</f>
        <v>297</v>
      </c>
      <c r="U2071" s="29" cm="1">
        <f t="array" ref="U2071">IF(表成绩单[[#This Row],[政治]]="","",SUMPRODUCT((表成绩单[考试日期]=表成绩单[[#This Row],[考试日期]])*(表成绩单[政治]&lt;9E+307)*(表成绩单[政治]&gt;表成绩单[[#This Row],[政治]]))+1)</f>
        <v>274</v>
      </c>
      <c r="V2071" s="29" cm="1">
        <f t="array" ref="V2071">IF(表成绩单[[#This Row],[历史]]="","",SUMPRODUCT((表成绩单[考试日期]=表成绩单[[#This Row],[考试日期]])*(表成绩单[历史]&lt;9E+307)*(表成绩单[历史]&gt;表成绩单[[#This Row],[历史]]))+1)</f>
        <v>662</v>
      </c>
      <c r="W2071" s="29" cm="1">
        <f t="array" ref="W2071">IF(表成绩单[[#This Row],[总分]]="","",SUMPRODUCT((表成绩单[考试日期]=表成绩单[[#This Row],[考试日期]])*(表成绩单[总分]&lt;9E+307)*(表成绩单[总分]&gt;表成绩单[[#This Row],[总分]]))+1)</f>
        <v>463</v>
      </c>
    </row>
    <row r="2072" ht="28" customHeight="1" spans="4:23">
      <c r="D2072" s="31">
        <v>46030</v>
      </c>
      <c r="E2072" s="29">
        <v>19178652</v>
      </c>
      <c r="F2072" s="29" t="s">
        <v>25</v>
      </c>
      <c r="G2072" s="29" t="s">
        <v>643</v>
      </c>
      <c r="H2072" s="29">
        <v>90</v>
      </c>
      <c r="I2072" s="29">
        <v>75</v>
      </c>
      <c r="J2072" s="29">
        <v>48.5</v>
      </c>
      <c r="K2072" s="29">
        <v>77</v>
      </c>
      <c r="L2072" s="29">
        <v>78</v>
      </c>
      <c r="M2072" s="29">
        <v>55</v>
      </c>
      <c r="N2072" s="29">
        <v>67</v>
      </c>
      <c r="O2072" s="32">
        <v>490.5</v>
      </c>
      <c r="P2072" s="29" cm="1">
        <f t="array" ref="P2072">IF(表成绩单[[#This Row],[语文]]="","",SUMPRODUCT((表成绩单[考试日期]=表成绩单[[#This Row],[考试日期]])*(表成绩单[语文]&lt;9E+307)*(表成绩单[语文]&gt;表成绩单[[#This Row],[语文]]))+1)</f>
        <v>509</v>
      </c>
      <c r="Q2072" s="29" cm="1">
        <f t="array" ref="Q2072">IF(表成绩单[[#This Row],[数学]]="","",SUMPRODUCT((表成绩单[考试日期]=表成绩单[[#This Row],[考试日期]])*(表成绩单[数学]&lt;9E+307)*(表成绩单[数学]&gt;表成绩单[[#This Row],[数学]]))+1)</f>
        <v>521</v>
      </c>
      <c r="R2072" s="29" cm="1">
        <f t="array" ref="R2072">IF(表成绩单[[#This Row],[英语]]="","",SUMPRODUCT((表成绩单[考试日期]=表成绩单[[#This Row],[考试日期]])*(表成绩单[英语]&lt;9E+307)*(表成绩单[英语]&gt;表成绩单[[#This Row],[英语]]))+1)</f>
        <v>666</v>
      </c>
      <c r="S2072" s="29" cm="1">
        <f t="array" ref="S2072">IF(表成绩单[[#This Row],[物理]]="","",SUMPRODUCT((表成绩单[考试日期]=表成绩单[[#This Row],[考试日期]])*(表成绩单[物理]&lt;9E+307)*(表成绩单[物理]&gt;表成绩单[[#This Row],[物理]]))+1)</f>
        <v>197</v>
      </c>
      <c r="T2072" s="29" cm="1">
        <f t="array" ref="T2072">IF(表成绩单[[#This Row],[化学]]="","",SUMPRODUCT((表成绩单[考试日期]=表成绩单[[#This Row],[考试日期]])*(表成绩单[化学]&lt;9E+307)*(表成绩单[化学]&gt;表成绩单[[#This Row],[化学]]))+1)</f>
        <v>93</v>
      </c>
      <c r="U2072" s="29" cm="1">
        <f t="array" ref="U2072">IF(表成绩单[[#This Row],[政治]]="","",SUMPRODUCT((表成绩单[考试日期]=表成绩单[[#This Row],[考试日期]])*(表成绩单[政治]&lt;9E+307)*(表成绩单[政治]&gt;表成绩单[[#This Row],[政治]]))+1)</f>
        <v>608</v>
      </c>
      <c r="V2072" s="29" cm="1">
        <f t="array" ref="V2072">IF(表成绩单[[#This Row],[历史]]="","",SUMPRODUCT((表成绩单[考试日期]=表成绩单[[#This Row],[考试日期]])*(表成绩单[历史]&lt;9E+307)*(表成绩单[历史]&gt;表成绩单[[#This Row],[历史]]))+1)</f>
        <v>415</v>
      </c>
      <c r="W2072" s="29" cm="1">
        <f t="array" ref="W2072">IF(表成绩单[[#This Row],[总分]]="","",SUMPRODUCT((表成绩单[考试日期]=表成绩单[[#This Row],[考试日期]])*(表成绩单[总分]&lt;9E+307)*(表成绩单[总分]&gt;表成绩单[[#This Row],[总分]]))+1)</f>
        <v>463</v>
      </c>
    </row>
    <row r="2073" ht="28" customHeight="1" spans="4:23">
      <c r="D2073" s="31">
        <v>46030</v>
      </c>
      <c r="E2073" s="29">
        <v>19178605</v>
      </c>
      <c r="F2073" s="29" t="s">
        <v>64</v>
      </c>
      <c r="G2073" s="29" t="s">
        <v>529</v>
      </c>
      <c r="H2073" s="29">
        <v>100</v>
      </c>
      <c r="I2073" s="29">
        <v>78</v>
      </c>
      <c r="J2073" s="29">
        <v>66</v>
      </c>
      <c r="K2073" s="29">
        <v>63</v>
      </c>
      <c r="L2073" s="29">
        <v>46</v>
      </c>
      <c r="M2073" s="29">
        <v>71</v>
      </c>
      <c r="N2073" s="29">
        <v>66</v>
      </c>
      <c r="O2073" s="32">
        <v>490</v>
      </c>
      <c r="P2073" s="29" cm="1">
        <f t="array" ref="P2073">IF(表成绩单[[#This Row],[语文]]="","",SUMPRODUCT((表成绩单[考试日期]=表成绩单[[#This Row],[考试日期]])*(表成绩单[语文]&lt;9E+307)*(表成绩单[语文]&gt;表成绩单[[#This Row],[语文]]))+1)</f>
        <v>182</v>
      </c>
      <c r="Q2073" s="29" cm="1">
        <f t="array" ref="Q2073">IF(表成绩单[[#This Row],[数学]]="","",SUMPRODUCT((表成绩单[考试日期]=表成绩单[[#This Row],[考试日期]])*(表成绩单[数学]&lt;9E+307)*(表成绩单[数学]&gt;表成绩单[[#This Row],[数学]]))+1)</f>
        <v>450</v>
      </c>
      <c r="R2073" s="29" cm="1">
        <f t="array" ref="R2073">IF(表成绩单[[#This Row],[英语]]="","",SUMPRODUCT((表成绩单[考试日期]=表成绩单[[#This Row],[考试日期]])*(表成绩单[英语]&lt;9E+307)*(表成绩单[英语]&gt;表成绩单[[#This Row],[英语]]))+1)</f>
        <v>421</v>
      </c>
      <c r="S2073" s="29" cm="1">
        <f t="array" ref="S2073">IF(表成绩单[[#This Row],[物理]]="","",SUMPRODUCT((表成绩单[考试日期]=表成绩单[[#This Row],[考试日期]])*(表成绩单[物理]&lt;9E+307)*(表成绩单[物理]&gt;表成绩单[[#This Row],[物理]]))+1)</f>
        <v>459</v>
      </c>
      <c r="T2073" s="29" cm="1">
        <f t="array" ref="T2073">IF(表成绩单[[#This Row],[化学]]="","",SUMPRODUCT((表成绩单[考试日期]=表成绩单[[#This Row],[考试日期]])*(表成绩单[化学]&lt;9E+307)*(表成绩单[化学]&gt;表成绩单[[#This Row],[化学]]))+1)</f>
        <v>704</v>
      </c>
      <c r="U2073" s="29" cm="1">
        <f t="array" ref="U2073">IF(表成绩单[[#This Row],[政治]]="","",SUMPRODUCT((表成绩单[考试日期]=表成绩单[[#This Row],[考试日期]])*(表成绩单[政治]&lt;9E+307)*(表成绩单[政治]&gt;表成绩单[[#This Row],[政治]]))+1)</f>
        <v>248</v>
      </c>
      <c r="V2073" s="29" cm="1">
        <f t="array" ref="V2073">IF(表成绩单[[#This Row],[历史]]="","",SUMPRODUCT((表成绩单[考试日期]=表成绩单[[#This Row],[考试日期]])*(表成绩单[历史]&lt;9E+307)*(表成绩单[历史]&gt;表成绩单[[#This Row],[历史]]))+1)</f>
        <v>451</v>
      </c>
      <c r="W2073" s="29" cm="1">
        <f t="array" ref="W2073">IF(表成绩单[[#This Row],[总分]]="","",SUMPRODUCT((表成绩单[考试日期]=表成绩单[[#This Row],[考试日期]])*(表成绩单[总分]&lt;9E+307)*(表成绩单[总分]&gt;表成绩单[[#This Row],[总分]]))+1)</f>
        <v>467</v>
      </c>
    </row>
    <row r="2074" ht="28" customHeight="1" spans="4:23">
      <c r="D2074" s="31">
        <v>46030</v>
      </c>
      <c r="E2074" s="29">
        <v>19174742</v>
      </c>
      <c r="F2074" s="29" t="s">
        <v>64</v>
      </c>
      <c r="G2074" s="29" t="s">
        <v>497</v>
      </c>
      <c r="H2074" s="29">
        <v>87</v>
      </c>
      <c r="I2074" s="29">
        <v>72</v>
      </c>
      <c r="J2074" s="29">
        <v>68.5</v>
      </c>
      <c r="K2074" s="29">
        <v>67</v>
      </c>
      <c r="L2074" s="29">
        <v>54</v>
      </c>
      <c r="M2074" s="29">
        <v>70</v>
      </c>
      <c r="N2074" s="29">
        <v>71</v>
      </c>
      <c r="O2074" s="32">
        <v>489.5</v>
      </c>
      <c r="P2074" s="29" cm="1">
        <f t="array" ref="P2074">IF(表成绩单[[#This Row],[语文]]="","",SUMPRODUCT((表成绩单[考试日期]=表成绩单[[#This Row],[考试日期]])*(表成绩单[语文]&lt;9E+307)*(表成绩单[语文]&gt;表成绩单[[#This Row],[语文]]))+1)</f>
        <v>581</v>
      </c>
      <c r="Q2074" s="29" cm="1">
        <f t="array" ref="Q2074">IF(表成绩单[[#This Row],[数学]]="","",SUMPRODUCT((表成绩单[考试日期]=表成绩单[[#This Row],[考试日期]])*(表成绩单[数学]&lt;9E+307)*(表成绩单[数学]&gt;表成绩单[[#This Row],[数学]]))+1)</f>
        <v>562</v>
      </c>
      <c r="R2074" s="29" cm="1">
        <f t="array" ref="R2074">IF(表成绩单[[#This Row],[英语]]="","",SUMPRODUCT((表成绩单[考试日期]=表成绩单[[#This Row],[考试日期]])*(表成绩单[英语]&lt;9E+307)*(表成绩单[英语]&gt;表成绩单[[#This Row],[英语]]))+1)</f>
        <v>351</v>
      </c>
      <c r="S2074" s="29" cm="1">
        <f t="array" ref="S2074">IF(表成绩单[[#This Row],[物理]]="","",SUMPRODUCT((表成绩单[考试日期]=表成绩单[[#This Row],[考试日期]])*(表成绩单[物理]&lt;9E+307)*(表成绩单[物理]&gt;表成绩单[[#This Row],[物理]]))+1)</f>
        <v>394</v>
      </c>
      <c r="T2074" s="29" cm="1">
        <f t="array" ref="T2074">IF(表成绩单[[#This Row],[化学]]="","",SUMPRODUCT((表成绩单[考试日期]=表成绩单[[#This Row],[考试日期]])*(表成绩单[化学]&lt;9E+307)*(表成绩单[化学]&gt;表成绩单[[#This Row],[化学]]))+1)</f>
        <v>609</v>
      </c>
      <c r="U2074" s="29" cm="1">
        <f t="array" ref="U2074">IF(表成绩单[[#This Row],[政治]]="","",SUMPRODUCT((表成绩单[考试日期]=表成绩单[[#This Row],[考试日期]])*(表成绩单[政治]&lt;9E+307)*(表成绩单[政治]&gt;表成绩单[[#This Row],[政治]]))+1)</f>
        <v>274</v>
      </c>
      <c r="V2074" s="29" cm="1">
        <f t="array" ref="V2074">IF(表成绩单[[#This Row],[历史]]="","",SUMPRODUCT((表成绩单[考试日期]=表成绩单[[#This Row],[考试日期]])*(表成绩单[历史]&lt;9E+307)*(表成绩单[历史]&gt;表成绩单[[#This Row],[历史]]))+1)</f>
        <v>297</v>
      </c>
      <c r="W2074" s="29" cm="1">
        <f t="array" ref="W2074">IF(表成绩单[[#This Row],[总分]]="","",SUMPRODUCT((表成绩单[考试日期]=表成绩单[[#This Row],[考试日期]])*(表成绩单[总分]&lt;9E+307)*(表成绩单[总分]&gt;表成绩单[[#This Row],[总分]]))+1)</f>
        <v>468</v>
      </c>
    </row>
    <row r="2075" ht="28" customHeight="1" spans="4:23">
      <c r="D2075" s="31">
        <v>46030</v>
      </c>
      <c r="E2075" s="29">
        <v>19177656</v>
      </c>
      <c r="F2075" s="29" t="s">
        <v>63</v>
      </c>
      <c r="G2075" s="29" t="s">
        <v>537</v>
      </c>
      <c r="H2075" s="29">
        <v>86</v>
      </c>
      <c r="I2075" s="29">
        <v>76</v>
      </c>
      <c r="J2075" s="29">
        <v>65.5</v>
      </c>
      <c r="K2075" s="29">
        <v>56</v>
      </c>
      <c r="L2075" s="29">
        <v>72</v>
      </c>
      <c r="M2075" s="29">
        <v>64</v>
      </c>
      <c r="N2075" s="29">
        <v>70</v>
      </c>
      <c r="O2075" s="32">
        <v>489.5</v>
      </c>
      <c r="P2075" s="29" cm="1">
        <f t="array" ref="P2075">IF(表成绩单[[#This Row],[语文]]="","",SUMPRODUCT((表成绩单[考试日期]=表成绩单[[#This Row],[考试日期]])*(表成绩单[语文]&lt;9E+307)*(表成绩单[语文]&gt;表成绩单[[#This Row],[语文]]))+1)</f>
        <v>601</v>
      </c>
      <c r="Q2075" s="29" cm="1">
        <f t="array" ref="Q2075">IF(表成绩单[[#This Row],[数学]]="","",SUMPRODUCT((表成绩单[考试日期]=表成绩单[[#This Row],[考试日期]])*(表成绩单[数学]&lt;9E+307)*(表成绩单[数学]&gt;表成绩单[[#This Row],[数学]]))+1)</f>
        <v>507</v>
      </c>
      <c r="R2075" s="29" cm="1">
        <f t="array" ref="R2075">IF(表成绩单[[#This Row],[英语]]="","",SUMPRODUCT((表成绩单[考试日期]=表成绩单[[#This Row],[考试日期]])*(表成绩单[英语]&lt;9E+307)*(表成绩单[英语]&gt;表成绩单[[#This Row],[英语]]))+1)</f>
        <v>429</v>
      </c>
      <c r="S2075" s="29" cm="1">
        <f t="array" ref="S2075">IF(表成绩单[[#This Row],[物理]]="","",SUMPRODUCT((表成绩单[考试日期]=表成绩单[[#This Row],[考试日期]])*(表成绩单[物理]&lt;9E+307)*(表成绩单[物理]&gt;表成绩单[[#This Row],[物理]]))+1)</f>
        <v>552</v>
      </c>
      <c r="T2075" s="29" cm="1">
        <f t="array" ref="T2075">IF(表成绩单[[#This Row],[化学]]="","",SUMPRODUCT((表成绩单[考试日期]=表成绩单[[#This Row],[考试日期]])*(表成绩单[化学]&lt;9E+307)*(表成绩单[化学]&gt;表成绩单[[#This Row],[化学]]))+1)</f>
        <v>271</v>
      </c>
      <c r="U2075" s="29" cm="1">
        <f t="array" ref="U2075">IF(表成绩单[[#This Row],[政治]]="","",SUMPRODUCT((表成绩单[考试日期]=表成绩单[[#This Row],[考试日期]])*(表成绩单[政治]&lt;9E+307)*(表成绩单[政治]&gt;表成绩单[[#This Row],[政治]]))+1)</f>
        <v>457</v>
      </c>
      <c r="V2075" s="29" cm="1">
        <f t="array" ref="V2075">IF(表成绩单[[#This Row],[历史]]="","",SUMPRODUCT((表成绩单[考试日期]=表成绩单[[#This Row],[考试日期]])*(表成绩单[历史]&lt;9E+307)*(表成绩单[历史]&gt;表成绩单[[#This Row],[历史]]))+1)</f>
        <v>328</v>
      </c>
      <c r="W2075" s="29" cm="1">
        <f t="array" ref="W2075">IF(表成绩单[[#This Row],[总分]]="","",SUMPRODUCT((表成绩单[考试日期]=表成绩单[[#This Row],[考试日期]])*(表成绩单[总分]&lt;9E+307)*(表成绩单[总分]&gt;表成绩单[[#This Row],[总分]]))+1)</f>
        <v>468</v>
      </c>
    </row>
    <row r="2076" ht="28" customHeight="1" spans="4:23">
      <c r="D2076" s="31">
        <v>46030</v>
      </c>
      <c r="E2076" s="29">
        <v>19177658</v>
      </c>
      <c r="F2076" s="29" t="s">
        <v>63</v>
      </c>
      <c r="G2076" s="29" t="s">
        <v>569</v>
      </c>
      <c r="H2076" s="29">
        <v>78</v>
      </c>
      <c r="I2076" s="29">
        <v>87</v>
      </c>
      <c r="J2076" s="29">
        <v>47.5</v>
      </c>
      <c r="K2076" s="29">
        <v>78</v>
      </c>
      <c r="L2076" s="29">
        <v>70</v>
      </c>
      <c r="M2076" s="29">
        <v>64</v>
      </c>
      <c r="N2076" s="29">
        <v>65</v>
      </c>
      <c r="O2076" s="32">
        <v>489.5</v>
      </c>
      <c r="P2076" s="29" cm="1">
        <f t="array" ref="P2076">IF(表成绩单[[#This Row],[语文]]="","",SUMPRODUCT((表成绩单[考试日期]=表成绩单[[#This Row],[考试日期]])*(表成绩单[语文]&lt;9E+307)*(表成绩单[语文]&gt;表成绩单[[#This Row],[语文]]))+1)</f>
        <v>694</v>
      </c>
      <c r="Q2076" s="29" cm="1">
        <f t="array" ref="Q2076">IF(表成绩单[[#This Row],[数学]]="","",SUMPRODUCT((表成绩单[考试日期]=表成绩单[[#This Row],[考试日期]])*(表成绩单[数学]&lt;9E+307)*(表成绩单[数学]&gt;表成绩单[[#This Row],[数学]]))+1)</f>
        <v>270</v>
      </c>
      <c r="R2076" s="29" cm="1">
        <f t="array" ref="R2076">IF(表成绩单[[#This Row],[英语]]="","",SUMPRODUCT((表成绩单[考试日期]=表成绩单[[#This Row],[考试日期]])*(表成绩单[英语]&lt;9E+307)*(表成绩单[英语]&gt;表成绩单[[#This Row],[英语]]))+1)</f>
        <v>670</v>
      </c>
      <c r="S2076" s="29" cm="1">
        <f t="array" ref="S2076">IF(表成绩单[[#This Row],[物理]]="","",SUMPRODUCT((表成绩单[考试日期]=表成绩单[[#This Row],[考试日期]])*(表成绩单[物理]&lt;9E+307)*(表成绩单[物理]&gt;表成绩单[[#This Row],[物理]]))+1)</f>
        <v>178</v>
      </c>
      <c r="T2076" s="29" cm="1">
        <f t="array" ref="T2076">IF(表成绩单[[#This Row],[化学]]="","",SUMPRODUCT((表成绩单[考试日期]=表成绩单[[#This Row],[考试日期]])*(表成绩单[化学]&lt;9E+307)*(表成绩单[化学]&gt;表成绩单[[#This Row],[化学]]))+1)</f>
        <v>318</v>
      </c>
      <c r="U2076" s="29" cm="1">
        <f t="array" ref="U2076">IF(表成绩单[[#This Row],[政治]]="","",SUMPRODUCT((表成绩单[考试日期]=表成绩单[[#This Row],[考试日期]])*(表成绩单[政治]&lt;9E+307)*(表成绩单[政治]&gt;表成绩单[[#This Row],[政治]]))+1)</f>
        <v>457</v>
      </c>
      <c r="V2076" s="29" cm="1">
        <f t="array" ref="V2076">IF(表成绩单[[#This Row],[历史]]="","",SUMPRODUCT((表成绩单[考试日期]=表成绩单[[#This Row],[考试日期]])*(表成绩单[历史]&lt;9E+307)*(表成绩单[历史]&gt;表成绩单[[#This Row],[历史]]))+1)</f>
        <v>471</v>
      </c>
      <c r="W2076" s="29" cm="1">
        <f t="array" ref="W2076">IF(表成绩单[[#This Row],[总分]]="","",SUMPRODUCT((表成绩单[考试日期]=表成绩单[[#This Row],[考试日期]])*(表成绩单[总分]&lt;9E+307)*(表成绩单[总分]&gt;表成绩单[[#This Row],[总分]]))+1)</f>
        <v>468</v>
      </c>
    </row>
    <row r="2077" ht="28" customHeight="1" spans="4:23">
      <c r="D2077" s="31">
        <v>46030</v>
      </c>
      <c r="E2077" s="29">
        <v>19178591</v>
      </c>
      <c r="F2077" s="29" t="s">
        <v>64</v>
      </c>
      <c r="G2077" s="29" t="s">
        <v>613</v>
      </c>
      <c r="H2077" s="29">
        <v>100</v>
      </c>
      <c r="I2077" s="29">
        <v>83</v>
      </c>
      <c r="J2077" s="29">
        <v>46</v>
      </c>
      <c r="K2077" s="29">
        <v>69</v>
      </c>
      <c r="L2077" s="29">
        <v>76</v>
      </c>
      <c r="M2077" s="29">
        <v>52</v>
      </c>
      <c r="N2077" s="29">
        <v>63</v>
      </c>
      <c r="O2077" s="32">
        <v>489</v>
      </c>
      <c r="P2077" s="29" cm="1">
        <f t="array" ref="P2077">IF(表成绩单[[#This Row],[语文]]="","",SUMPRODUCT((表成绩单[考试日期]=表成绩单[[#This Row],[考试日期]])*(表成绩单[语文]&lt;9E+307)*(表成绩单[语文]&gt;表成绩单[[#This Row],[语文]]))+1)</f>
        <v>182</v>
      </c>
      <c r="Q2077" s="29" cm="1">
        <f t="array" ref="Q2077">IF(表成绩单[[#This Row],[数学]]="","",SUMPRODUCT((表成绩单[考试日期]=表成绩单[[#This Row],[考试日期]])*(表成绩单[数学]&lt;9E+307)*(表成绩单[数学]&gt;表成绩单[[#This Row],[数学]]))+1)</f>
        <v>360</v>
      </c>
      <c r="R2077" s="29" cm="1">
        <f t="array" ref="R2077">IF(表成绩单[[#This Row],[英语]]="","",SUMPRODUCT((表成绩单[考试日期]=表成绩单[[#This Row],[考试日期]])*(表成绩单[英语]&lt;9E+307)*(表成绩单[英语]&gt;表成绩单[[#This Row],[英语]]))+1)</f>
        <v>682</v>
      </c>
      <c r="S2077" s="29" cm="1">
        <f t="array" ref="S2077">IF(表成绩单[[#This Row],[物理]]="","",SUMPRODUCT((表成绩单[考试日期]=表成绩单[[#This Row],[考试日期]])*(表成绩单[物理]&lt;9E+307)*(表成绩单[物理]&gt;表成绩单[[#This Row],[物理]]))+1)</f>
        <v>356</v>
      </c>
      <c r="T2077" s="29" cm="1">
        <f t="array" ref="T2077">IF(表成绩单[[#This Row],[化学]]="","",SUMPRODUCT((表成绩单[考试日期]=表成绩单[[#This Row],[考试日期]])*(表成绩单[化学]&lt;9E+307)*(表成绩单[化学]&gt;表成绩单[[#This Row],[化学]]))+1)</f>
        <v>139</v>
      </c>
      <c r="U2077" s="29" cm="1">
        <f t="array" ref="U2077">IF(表成绩单[[#This Row],[政治]]="","",SUMPRODUCT((表成绩单[考试日期]=表成绩单[[#This Row],[考试日期]])*(表成绩单[政治]&lt;9E+307)*(表成绩单[政治]&gt;表成绩单[[#This Row],[政治]]))+1)</f>
        <v>643</v>
      </c>
      <c r="V2077" s="29" cm="1">
        <f t="array" ref="V2077">IF(表成绩单[[#This Row],[历史]]="","",SUMPRODUCT((表成绩单[考试日期]=表成绩单[[#This Row],[考试日期]])*(表成绩单[历史]&lt;9E+307)*(表成绩单[历史]&gt;表成绩单[[#This Row],[历史]]))+1)</f>
        <v>521</v>
      </c>
      <c r="W2077" s="29" cm="1">
        <f t="array" ref="W2077">IF(表成绩单[[#This Row],[总分]]="","",SUMPRODUCT((表成绩单[考试日期]=表成绩单[[#This Row],[考试日期]])*(表成绩单[总分]&lt;9E+307)*(表成绩单[总分]&gt;表成绩单[[#This Row],[总分]]))+1)</f>
        <v>471</v>
      </c>
    </row>
    <row r="2078" ht="28" customHeight="1" spans="4:23">
      <c r="D2078" s="31">
        <v>46030</v>
      </c>
      <c r="E2078" s="29">
        <v>19173259</v>
      </c>
      <c r="F2078" s="29" t="s">
        <v>61</v>
      </c>
      <c r="G2078" s="29" t="s">
        <v>564</v>
      </c>
      <c r="H2078" s="29">
        <v>100</v>
      </c>
      <c r="I2078" s="29">
        <v>89</v>
      </c>
      <c r="J2078" s="29">
        <v>66</v>
      </c>
      <c r="K2078" s="29">
        <v>62</v>
      </c>
      <c r="L2078" s="29">
        <v>55</v>
      </c>
      <c r="M2078" s="29">
        <v>56</v>
      </c>
      <c r="N2078" s="29">
        <v>60</v>
      </c>
      <c r="O2078" s="32">
        <v>488</v>
      </c>
      <c r="P2078" s="29" cm="1">
        <f t="array" ref="P2078">IF(表成绩单[[#This Row],[语文]]="","",SUMPRODUCT((表成绩单[考试日期]=表成绩单[[#This Row],[考试日期]])*(表成绩单[语文]&lt;9E+307)*(表成绩单[语文]&gt;表成绩单[[#This Row],[语文]]))+1)</f>
        <v>182</v>
      </c>
      <c r="Q2078" s="29" cm="1">
        <f t="array" ref="Q2078">IF(表成绩单[[#This Row],[数学]]="","",SUMPRODUCT((表成绩单[考试日期]=表成绩单[[#This Row],[考试日期]])*(表成绩单[数学]&lt;9E+307)*(表成绩单[数学]&gt;表成绩单[[#This Row],[数学]]))+1)</f>
        <v>228</v>
      </c>
      <c r="R2078" s="29" cm="1">
        <f t="array" ref="R2078">IF(表成绩单[[#This Row],[英语]]="","",SUMPRODUCT((表成绩单[考试日期]=表成绩单[[#This Row],[考试日期]])*(表成绩单[英语]&lt;9E+307)*(表成绩单[英语]&gt;表成绩单[[#This Row],[英语]]))+1)</f>
        <v>421</v>
      </c>
      <c r="S2078" s="29" cm="1">
        <f t="array" ref="S2078">IF(表成绩单[[#This Row],[物理]]="","",SUMPRODUCT((表成绩单[考试日期]=表成绩单[[#This Row],[考试日期]])*(表成绩单[物理]&lt;9E+307)*(表成绩单[物理]&gt;表成绩单[[#This Row],[物理]]))+1)</f>
        <v>470</v>
      </c>
      <c r="T2078" s="29" cm="1">
        <f t="array" ref="T2078">IF(表成绩单[[#This Row],[化学]]="","",SUMPRODUCT((表成绩单[考试日期]=表成绩单[[#This Row],[考试日期]])*(表成绩单[化学]&lt;9E+307)*(表成绩单[化学]&gt;表成绩单[[#This Row],[化学]]))+1)</f>
        <v>593</v>
      </c>
      <c r="U2078" s="29" cm="1">
        <f t="array" ref="U2078">IF(表成绩单[[#This Row],[政治]]="","",SUMPRODUCT((表成绩单[考试日期]=表成绩单[[#This Row],[考试日期]])*(表成绩单[政治]&lt;9E+307)*(表成绩单[政治]&gt;表成绩单[[#This Row],[政治]]))+1)</f>
        <v>603</v>
      </c>
      <c r="V2078" s="29" cm="1">
        <f t="array" ref="V2078">IF(表成绩单[[#This Row],[历史]]="","",SUMPRODUCT((表成绩单[考试日期]=表成绩单[[#This Row],[考试日期]])*(表成绩单[历史]&lt;9E+307)*(表成绩单[历史]&gt;表成绩单[[#This Row],[历史]]))+1)</f>
        <v>579</v>
      </c>
      <c r="W2078" s="29" cm="1">
        <f t="array" ref="W2078">IF(表成绩单[[#This Row],[总分]]="","",SUMPRODUCT((表成绩单[考试日期]=表成绩单[[#This Row],[考试日期]])*(表成绩单[总分]&lt;9E+307)*(表成绩单[总分]&gt;表成绩单[[#This Row],[总分]]))+1)</f>
        <v>472</v>
      </c>
    </row>
    <row r="2079" ht="28" customHeight="1" spans="4:23">
      <c r="D2079" s="31">
        <v>46030</v>
      </c>
      <c r="E2079" s="29">
        <v>19177591</v>
      </c>
      <c r="F2079" s="29" t="s">
        <v>58</v>
      </c>
      <c r="G2079" s="29" t="s">
        <v>520</v>
      </c>
      <c r="H2079" s="29">
        <v>86</v>
      </c>
      <c r="I2079" s="29">
        <v>76</v>
      </c>
      <c r="J2079" s="29">
        <v>71</v>
      </c>
      <c r="K2079" s="29">
        <v>67</v>
      </c>
      <c r="L2079" s="29">
        <v>59</v>
      </c>
      <c r="M2079" s="29">
        <v>60</v>
      </c>
      <c r="N2079" s="29">
        <v>69</v>
      </c>
      <c r="O2079" s="32">
        <v>488</v>
      </c>
      <c r="P2079" s="29" cm="1">
        <f t="array" ref="P2079">IF(表成绩单[[#This Row],[语文]]="","",SUMPRODUCT((表成绩单[考试日期]=表成绩单[[#This Row],[考试日期]])*(表成绩单[语文]&lt;9E+307)*(表成绩单[语文]&gt;表成绩单[[#This Row],[语文]]))+1)</f>
        <v>601</v>
      </c>
      <c r="Q2079" s="29" cm="1">
        <f t="array" ref="Q2079">IF(表成绩单[[#This Row],[数学]]="","",SUMPRODUCT((表成绩单[考试日期]=表成绩单[[#This Row],[考试日期]])*(表成绩单[数学]&lt;9E+307)*(表成绩单[数学]&gt;表成绩单[[#This Row],[数学]]))+1)</f>
        <v>507</v>
      </c>
      <c r="R2079" s="29" cm="1">
        <f t="array" ref="R2079">IF(表成绩单[[#This Row],[英语]]="","",SUMPRODUCT((表成绩单[考试日期]=表成绩单[[#This Row],[考试日期]])*(表成绩单[英语]&lt;9E+307)*(表成绩单[英语]&gt;表成绩单[[#This Row],[英语]]))+1)</f>
        <v>281</v>
      </c>
      <c r="S2079" s="29" cm="1">
        <f t="array" ref="S2079">IF(表成绩单[[#This Row],[物理]]="","",SUMPRODUCT((表成绩单[考试日期]=表成绩单[[#This Row],[考试日期]])*(表成绩单[物理]&lt;9E+307)*(表成绩单[物理]&gt;表成绩单[[#This Row],[物理]]))+1)</f>
        <v>394</v>
      </c>
      <c r="T2079" s="29" cm="1">
        <f t="array" ref="T2079">IF(表成绩单[[#This Row],[化学]]="","",SUMPRODUCT((表成绩单[考试日期]=表成绩单[[#This Row],[考试日期]])*(表成绩单[化学]&lt;9E+307)*(表成绩单[化学]&gt;表成绩单[[#This Row],[化学]]))+1)</f>
        <v>540</v>
      </c>
      <c r="U2079" s="29" cm="1">
        <f t="array" ref="U2079">IF(表成绩单[[#This Row],[政治]]="","",SUMPRODUCT((表成绩单[考试日期]=表成绩单[[#This Row],[考试日期]])*(表成绩单[政治]&lt;9E+307)*(表成绩单[政治]&gt;表成绩单[[#This Row],[政治]]))+1)</f>
        <v>544</v>
      </c>
      <c r="V2079" s="29" cm="1">
        <f t="array" ref="V2079">IF(表成绩单[[#This Row],[历史]]="","",SUMPRODUCT((表成绩单[考试日期]=表成绩单[[#This Row],[考试日期]])*(表成绩单[历史]&lt;9E+307)*(表成绩单[历史]&gt;表成绩单[[#This Row],[历史]]))+1)</f>
        <v>366</v>
      </c>
      <c r="W2079" s="29" cm="1">
        <f t="array" ref="W2079">IF(表成绩单[[#This Row],[总分]]="","",SUMPRODUCT((表成绩单[考试日期]=表成绩单[[#This Row],[考试日期]])*(表成绩单[总分]&lt;9E+307)*(表成绩单[总分]&gt;表成绩单[[#This Row],[总分]]))+1)</f>
        <v>472</v>
      </c>
    </row>
    <row r="2080" ht="28" customHeight="1" spans="4:23">
      <c r="D2080" s="31">
        <v>46030</v>
      </c>
      <c r="E2080" s="29">
        <v>19178613</v>
      </c>
      <c r="F2080" s="29" t="s">
        <v>25</v>
      </c>
      <c r="G2080" s="29" t="s">
        <v>570</v>
      </c>
      <c r="H2080" s="29">
        <v>73</v>
      </c>
      <c r="I2080" s="29">
        <v>70</v>
      </c>
      <c r="J2080" s="29">
        <v>70</v>
      </c>
      <c r="K2080" s="29">
        <v>75</v>
      </c>
      <c r="L2080" s="29">
        <v>76</v>
      </c>
      <c r="M2080" s="29">
        <v>53</v>
      </c>
      <c r="N2080" s="29">
        <v>71</v>
      </c>
      <c r="O2080" s="32">
        <v>488</v>
      </c>
      <c r="P2080" s="29" cm="1">
        <f t="array" ref="P2080">IF(表成绩单[[#This Row],[语文]]="","",SUMPRODUCT((表成绩单[考试日期]=表成绩单[[#This Row],[考试日期]])*(表成绩单[语文]&lt;9E+307)*(表成绩单[语文]&gt;表成绩单[[#This Row],[语文]]))+1)</f>
        <v>722</v>
      </c>
      <c r="Q2080" s="29" cm="1">
        <f t="array" ref="Q2080">IF(表成绩单[[#This Row],[数学]]="","",SUMPRODUCT((表成绩单[考试日期]=表成绩单[[#This Row],[考试日期]])*(表成绩单[数学]&lt;9E+307)*(表成绩单[数学]&gt;表成绩单[[#This Row],[数学]]))+1)</f>
        <v>590</v>
      </c>
      <c r="R2080" s="29" cm="1">
        <f t="array" ref="R2080">IF(表成绩单[[#This Row],[英语]]="","",SUMPRODUCT((表成绩单[考试日期]=表成绩单[[#This Row],[考试日期]])*(表成绩单[英语]&lt;9E+307)*(表成绩单[英语]&gt;表成绩单[[#This Row],[英语]]))+1)</f>
        <v>319</v>
      </c>
      <c r="S2080" s="29" cm="1">
        <f t="array" ref="S2080">IF(表成绩单[[#This Row],[物理]]="","",SUMPRODUCT((表成绩单[考试日期]=表成绩单[[#This Row],[考试日期]])*(表成绩单[物理]&lt;9E+307)*(表成绩单[物理]&gt;表成绩单[[#This Row],[物理]]))+1)</f>
        <v>241</v>
      </c>
      <c r="T2080" s="29" cm="1">
        <f t="array" ref="T2080">IF(表成绩单[[#This Row],[化学]]="","",SUMPRODUCT((表成绩单[考试日期]=表成绩单[[#This Row],[考试日期]])*(表成绩单[化学]&lt;9E+307)*(表成绩单[化学]&gt;表成绩单[[#This Row],[化学]]))+1)</f>
        <v>139</v>
      </c>
      <c r="U2080" s="29" cm="1">
        <f t="array" ref="U2080">IF(表成绩单[[#This Row],[政治]]="","",SUMPRODUCT((表成绩单[考试日期]=表成绩单[[#This Row],[考试日期]])*(表成绩单[政治]&lt;9E+307)*(表成绩单[政治]&gt;表成绩单[[#This Row],[政治]]))+1)</f>
        <v>630</v>
      </c>
      <c r="V2080" s="29" cm="1">
        <f t="array" ref="V2080">IF(表成绩单[[#This Row],[历史]]="","",SUMPRODUCT((表成绩单[考试日期]=表成绩单[[#This Row],[考试日期]])*(表成绩单[历史]&lt;9E+307)*(表成绩单[历史]&gt;表成绩单[[#This Row],[历史]]))+1)</f>
        <v>297</v>
      </c>
      <c r="W2080" s="29" cm="1">
        <f t="array" ref="W2080">IF(表成绩单[[#This Row],[总分]]="","",SUMPRODUCT((表成绩单[考试日期]=表成绩单[[#This Row],[考试日期]])*(表成绩单[总分]&lt;9E+307)*(表成绩单[总分]&gt;表成绩单[[#This Row],[总分]]))+1)</f>
        <v>472</v>
      </c>
    </row>
    <row r="2081" ht="28" customHeight="1" spans="4:23">
      <c r="D2081" s="31">
        <v>46030</v>
      </c>
      <c r="E2081" s="29">
        <v>19175665</v>
      </c>
      <c r="F2081" s="29" t="s">
        <v>66</v>
      </c>
      <c r="G2081" s="29" t="s">
        <v>609</v>
      </c>
      <c r="H2081" s="29">
        <v>102</v>
      </c>
      <c r="I2081" s="29">
        <v>75</v>
      </c>
      <c r="J2081" s="29">
        <v>70.5</v>
      </c>
      <c r="K2081" s="29">
        <v>63</v>
      </c>
      <c r="L2081" s="29">
        <v>59</v>
      </c>
      <c r="M2081" s="29">
        <v>65</v>
      </c>
      <c r="N2081" s="29">
        <v>53</v>
      </c>
      <c r="O2081" s="32">
        <v>487.5</v>
      </c>
      <c r="P2081" s="29" cm="1">
        <f t="array" ref="P2081">IF(表成绩单[[#This Row],[语文]]="","",SUMPRODUCT((表成绩单[考试日期]=表成绩单[[#This Row],[考试日期]])*(表成绩单[语文]&lt;9E+307)*(表成绩单[语文]&gt;表成绩单[[#This Row],[语文]]))+1)</f>
        <v>132</v>
      </c>
      <c r="Q2081" s="29" cm="1">
        <f t="array" ref="Q2081">IF(表成绩单[[#This Row],[数学]]="","",SUMPRODUCT((表成绩单[考试日期]=表成绩单[[#This Row],[考试日期]])*(表成绩单[数学]&lt;9E+307)*(表成绩单[数学]&gt;表成绩单[[#This Row],[数学]]))+1)</f>
        <v>521</v>
      </c>
      <c r="R2081" s="29" cm="1">
        <f t="array" ref="R2081">IF(表成绩单[[#This Row],[英语]]="","",SUMPRODUCT((表成绩单[考试日期]=表成绩单[[#This Row],[考试日期]])*(表成绩单[英语]&lt;9E+307)*(表成绩单[英语]&gt;表成绩单[[#This Row],[英语]]))+1)</f>
        <v>299</v>
      </c>
      <c r="S2081" s="29" cm="1">
        <f t="array" ref="S2081">IF(表成绩单[[#This Row],[物理]]="","",SUMPRODUCT((表成绩单[考试日期]=表成绩单[[#This Row],[考试日期]])*(表成绩单[物理]&lt;9E+307)*(表成绩单[物理]&gt;表成绩单[[#This Row],[物理]]))+1)</f>
        <v>459</v>
      </c>
      <c r="T2081" s="29" cm="1">
        <f t="array" ref="T2081">IF(表成绩单[[#This Row],[化学]]="","",SUMPRODUCT((表成绩单[考试日期]=表成绩单[[#This Row],[考试日期]])*(表成绩单[化学]&lt;9E+307)*(表成绩单[化学]&gt;表成绩单[[#This Row],[化学]]))+1)</f>
        <v>540</v>
      </c>
      <c r="U2081" s="29" cm="1">
        <f t="array" ref="U2081">IF(表成绩单[[#This Row],[政治]]="","",SUMPRODUCT((表成绩单[考试日期]=表成绩单[[#This Row],[考试日期]])*(表成绩单[政治]&lt;9E+307)*(表成绩单[政治]&gt;表成绩单[[#This Row],[政治]]))+1)</f>
        <v>431</v>
      </c>
      <c r="V2081" s="29" cm="1">
        <f t="array" ref="V2081">IF(表成绩单[[#This Row],[历史]]="","",SUMPRODUCT((表成绩单[考试日期]=表成绩单[[#This Row],[考试日期]])*(表成绩单[历史]&lt;9E+307)*(表成绩单[历史]&gt;表成绩单[[#This Row],[历史]]))+1)</f>
        <v>690</v>
      </c>
      <c r="W2081" s="29" cm="1">
        <f t="array" ref="W2081">IF(表成绩单[[#This Row],[总分]]="","",SUMPRODUCT((表成绩单[考试日期]=表成绩单[[#This Row],[考试日期]])*(表成绩单[总分]&lt;9E+307)*(表成绩单[总分]&gt;表成绩单[[#This Row],[总分]]))+1)</f>
        <v>475</v>
      </c>
    </row>
    <row r="2082" ht="28" customHeight="1" spans="4:23">
      <c r="D2082" s="31">
        <v>46030</v>
      </c>
      <c r="E2082" s="29">
        <v>19176176</v>
      </c>
      <c r="F2082" s="29" t="s">
        <v>67</v>
      </c>
      <c r="G2082" s="29" t="s">
        <v>539</v>
      </c>
      <c r="H2082" s="29">
        <v>92</v>
      </c>
      <c r="I2082" s="29">
        <v>66</v>
      </c>
      <c r="J2082" s="29">
        <v>75.5</v>
      </c>
      <c r="K2082" s="29">
        <v>60</v>
      </c>
      <c r="L2082" s="29">
        <v>67</v>
      </c>
      <c r="M2082" s="29">
        <v>68</v>
      </c>
      <c r="N2082" s="29">
        <v>59</v>
      </c>
      <c r="O2082" s="32">
        <v>487.5</v>
      </c>
      <c r="P2082" s="29" cm="1">
        <f t="array" ref="P2082">IF(表成绩单[[#This Row],[语文]]="","",SUMPRODUCT((表成绩单[考试日期]=表成绩单[[#This Row],[考试日期]])*(表成绩单[语文]&lt;9E+307)*(表成绩单[语文]&gt;表成绩单[[#This Row],[语文]]))+1)</f>
        <v>444</v>
      </c>
      <c r="Q2082" s="29" cm="1">
        <f t="array" ref="Q2082">IF(表成绩单[[#This Row],[数学]]="","",SUMPRODUCT((表成绩单[考试日期]=表成绩单[[#This Row],[考试日期]])*(表成绩单[数学]&lt;9E+307)*(表成绩单[数学]&gt;表成绩单[[#This Row],[数学]]))+1)</f>
        <v>631</v>
      </c>
      <c r="R2082" s="29" cm="1">
        <f t="array" ref="R2082">IF(表成绩单[[#This Row],[英语]]="","",SUMPRODUCT((表成绩单[考试日期]=表成绩单[[#This Row],[考试日期]])*(表成绩单[英语]&lt;9E+307)*(表成绩单[英语]&gt;表成绩单[[#This Row],[英语]]))+1)</f>
        <v>145</v>
      </c>
      <c r="S2082" s="29" cm="1">
        <f t="array" ref="S2082">IF(表成绩单[[#This Row],[物理]]="","",SUMPRODUCT((表成绩单[考试日期]=表成绩单[[#This Row],[考试日期]])*(表成绩单[物理]&lt;9E+307)*(表成绩单[物理]&gt;表成绩单[[#This Row],[物理]]))+1)</f>
        <v>499</v>
      </c>
      <c r="T2082" s="29" cm="1">
        <f t="array" ref="T2082">IF(表成绩单[[#This Row],[化学]]="","",SUMPRODUCT((表成绩单[考试日期]=表成绩单[[#This Row],[考试日期]])*(表成绩单[化学]&lt;9E+307)*(表成绩单[化学]&gt;表成绩单[[#This Row],[化学]]))+1)</f>
        <v>381</v>
      </c>
      <c r="U2082" s="29" cm="1">
        <f t="array" ref="U2082">IF(表成绩单[[#This Row],[政治]]="","",SUMPRODUCT((表成绩单[考试日期]=表成绩单[[#This Row],[考试日期]])*(表成绩单[政治]&lt;9E+307)*(表成绩单[政治]&gt;表成绩单[[#This Row],[政治]]))+1)</f>
        <v>336</v>
      </c>
      <c r="V2082" s="29" cm="1">
        <f t="array" ref="V2082">IF(表成绩单[[#This Row],[历史]]="","",SUMPRODUCT((表成绩单[考试日期]=表成绩单[[#This Row],[考试日期]])*(表成绩单[历史]&lt;9E+307)*(表成绩单[历史]&gt;表成绩单[[#This Row],[历史]]))+1)</f>
        <v>601</v>
      </c>
      <c r="W2082" s="29" cm="1">
        <f t="array" ref="W2082">IF(表成绩单[[#This Row],[总分]]="","",SUMPRODUCT((表成绩单[考试日期]=表成绩单[[#This Row],[考试日期]])*(表成绩单[总分]&lt;9E+307)*(表成绩单[总分]&gt;表成绩单[[#This Row],[总分]]))+1)</f>
        <v>475</v>
      </c>
    </row>
    <row r="2083" ht="28" customHeight="1" spans="4:23">
      <c r="D2083" s="31">
        <v>46030</v>
      </c>
      <c r="E2083" s="29">
        <v>19174799</v>
      </c>
      <c r="F2083" s="29" t="s">
        <v>69</v>
      </c>
      <c r="G2083" s="29" t="s">
        <v>514</v>
      </c>
      <c r="H2083" s="29">
        <v>104</v>
      </c>
      <c r="I2083" s="29">
        <v>76</v>
      </c>
      <c r="J2083" s="29">
        <v>61</v>
      </c>
      <c r="K2083" s="29">
        <v>64</v>
      </c>
      <c r="L2083" s="29">
        <v>62</v>
      </c>
      <c r="M2083" s="29">
        <v>62</v>
      </c>
      <c r="N2083" s="29">
        <v>58</v>
      </c>
      <c r="O2083" s="32">
        <v>487</v>
      </c>
      <c r="P2083" s="29" cm="1">
        <f t="array" ref="P2083">IF(表成绩单[[#This Row],[语文]]="","",SUMPRODUCT((表成绩单[考试日期]=表成绩单[[#This Row],[考试日期]])*(表成绩单[语文]&lt;9E+307)*(表成绩单[语文]&gt;表成绩单[[#This Row],[语文]]))+1)</f>
        <v>82</v>
      </c>
      <c r="Q2083" s="29" cm="1">
        <f t="array" ref="Q2083">IF(表成绩单[[#This Row],[数学]]="","",SUMPRODUCT((表成绩单[考试日期]=表成绩单[[#This Row],[考试日期]])*(表成绩单[数学]&lt;9E+307)*(表成绩单[数学]&gt;表成绩单[[#This Row],[数学]]))+1)</f>
        <v>507</v>
      </c>
      <c r="R2083" s="29" cm="1">
        <f t="array" ref="R2083">IF(表成绩单[[#This Row],[英语]]="","",SUMPRODUCT((表成绩单[考试日期]=表成绩单[[#This Row],[考试日期]])*(表成绩单[英语]&lt;9E+307)*(表成绩单[英语]&gt;表成绩单[[#This Row],[英语]]))+1)</f>
        <v>507</v>
      </c>
      <c r="S2083" s="29" cm="1">
        <f t="array" ref="S2083">IF(表成绩单[[#This Row],[物理]]="","",SUMPRODUCT((表成绩单[考试日期]=表成绩单[[#This Row],[考试日期]])*(表成绩单[物理]&lt;9E+307)*(表成绩单[物理]&gt;表成绩单[[#This Row],[物理]]))+1)</f>
        <v>441</v>
      </c>
      <c r="T2083" s="29" cm="1">
        <f t="array" ref="T2083">IF(表成绩单[[#This Row],[化学]]="","",SUMPRODUCT((表成绩单[考试日期]=表成绩单[[#This Row],[考试日期]])*(表成绩单[化学]&lt;9E+307)*(表成绩单[化学]&gt;表成绩单[[#This Row],[化学]]))+1)</f>
        <v>494</v>
      </c>
      <c r="U2083" s="29" cm="1">
        <f t="array" ref="U2083">IF(表成绩单[[#This Row],[政治]]="","",SUMPRODUCT((表成绩单[考试日期]=表成绩单[[#This Row],[考试日期]])*(表成绩单[政治]&lt;9E+307)*(表成绩单[政治]&gt;表成绩单[[#This Row],[政治]]))+1)</f>
        <v>508</v>
      </c>
      <c r="V2083" s="29" cm="1">
        <f t="array" ref="V2083">IF(表成绩单[[#This Row],[历史]]="","",SUMPRODUCT((表成绩单[考试日期]=表成绩单[[#This Row],[考试日期]])*(表成绩单[历史]&lt;9E+307)*(表成绩单[历史]&gt;表成绩单[[#This Row],[历史]]))+1)</f>
        <v>620</v>
      </c>
      <c r="W2083" s="29" cm="1">
        <f t="array" ref="W2083">IF(表成绩单[[#This Row],[总分]]="","",SUMPRODUCT((表成绩单[考试日期]=表成绩单[[#This Row],[考试日期]])*(表成绩单[总分]&lt;9E+307)*(表成绩单[总分]&gt;表成绩单[[#This Row],[总分]]))+1)</f>
        <v>477</v>
      </c>
    </row>
    <row r="2084" ht="28" customHeight="1" spans="4:23">
      <c r="D2084" s="31">
        <v>46030</v>
      </c>
      <c r="E2084" s="29">
        <v>19171083</v>
      </c>
      <c r="F2084" s="29" t="s">
        <v>67</v>
      </c>
      <c r="G2084" s="29" t="s">
        <v>336</v>
      </c>
      <c r="H2084" s="29">
        <v>86</v>
      </c>
      <c r="I2084" s="29">
        <v>84</v>
      </c>
      <c r="J2084" s="29">
        <v>71.5</v>
      </c>
      <c r="K2084" s="29">
        <v>57</v>
      </c>
      <c r="L2084" s="29">
        <v>64</v>
      </c>
      <c r="M2084" s="29">
        <v>63</v>
      </c>
      <c r="N2084" s="29">
        <v>61</v>
      </c>
      <c r="O2084" s="32">
        <v>486.5</v>
      </c>
      <c r="P2084" s="29" cm="1">
        <f t="array" ref="P2084">IF(表成绩单[[#This Row],[语文]]="","",SUMPRODUCT((表成绩单[考试日期]=表成绩单[[#This Row],[考试日期]])*(表成绩单[语文]&lt;9E+307)*(表成绩单[语文]&gt;表成绩单[[#This Row],[语文]]))+1)</f>
        <v>601</v>
      </c>
      <c r="Q2084" s="29" cm="1">
        <f t="array" ref="Q2084">IF(表成绩单[[#This Row],[数学]]="","",SUMPRODUCT((表成绩单[考试日期]=表成绩单[[#This Row],[考试日期]])*(表成绩单[数学]&lt;9E+307)*(表成绩单[数学]&gt;表成绩单[[#This Row],[数学]]))+1)</f>
        <v>343</v>
      </c>
      <c r="R2084" s="29" cm="1">
        <f t="array" ref="R2084">IF(表成绩单[[#This Row],[英语]]="","",SUMPRODUCT((表成绩单[考试日期]=表成绩单[[#This Row],[考试日期]])*(表成绩单[英语]&lt;9E+307)*(表成绩单[英语]&gt;表成绩单[[#This Row],[英语]]))+1)</f>
        <v>271</v>
      </c>
      <c r="S2084" s="29" cm="1">
        <f t="array" ref="S2084">IF(表成绩单[[#This Row],[物理]]="","",SUMPRODUCT((表成绩单[考试日期]=表成绩单[[#This Row],[考试日期]])*(表成绩单[物理]&lt;9E+307)*(表成绩单[物理]&gt;表成绩单[[#This Row],[物理]]))+1)</f>
        <v>539</v>
      </c>
      <c r="T2084" s="29" cm="1">
        <f t="array" ref="T2084">IF(表成绩单[[#This Row],[化学]]="","",SUMPRODUCT((表成绩单[考试日期]=表成绩单[[#This Row],[考试日期]])*(表成绩单[化学]&lt;9E+307)*(表成绩单[化学]&gt;表成绩单[[#This Row],[化学]]))+1)</f>
        <v>451</v>
      </c>
      <c r="U2084" s="29" cm="1">
        <f t="array" ref="U2084">IF(表成绩单[[#This Row],[政治]]="","",SUMPRODUCT((表成绩单[考试日期]=表成绩单[[#This Row],[考试日期]])*(表成绩单[政治]&lt;9E+307)*(表成绩单[政治]&gt;表成绩单[[#This Row],[政治]]))+1)</f>
        <v>486</v>
      </c>
      <c r="V2084" s="29" cm="1">
        <f t="array" ref="V2084">IF(表成绩单[[#This Row],[历史]]="","",SUMPRODUCT((表成绩单[考试日期]=表成绩单[[#This Row],[考试日期]])*(表成绩单[历史]&lt;9E+307)*(表成绩单[历史]&gt;表成绩单[[#This Row],[历史]]))+1)</f>
        <v>566</v>
      </c>
      <c r="W2084" s="29" cm="1">
        <f t="array" ref="W2084">IF(表成绩单[[#This Row],[总分]]="","",SUMPRODUCT((表成绩单[考试日期]=表成绩单[[#This Row],[考试日期]])*(表成绩单[总分]&lt;9E+307)*(表成绩单[总分]&gt;表成绩单[[#This Row],[总分]]))+1)</f>
        <v>478</v>
      </c>
    </row>
    <row r="2085" ht="28" customHeight="1" spans="4:23">
      <c r="D2085" s="31">
        <v>46030</v>
      </c>
      <c r="E2085" s="29">
        <v>19175288</v>
      </c>
      <c r="F2085" s="29" t="s">
        <v>55</v>
      </c>
      <c r="G2085" s="29" t="s">
        <v>560</v>
      </c>
      <c r="H2085" s="29">
        <v>94</v>
      </c>
      <c r="I2085" s="29">
        <v>83</v>
      </c>
      <c r="J2085" s="29">
        <v>46.5</v>
      </c>
      <c r="K2085" s="29">
        <v>66</v>
      </c>
      <c r="L2085" s="29">
        <v>67</v>
      </c>
      <c r="M2085" s="29">
        <v>67</v>
      </c>
      <c r="N2085" s="29">
        <v>63</v>
      </c>
      <c r="O2085" s="32">
        <v>486.5</v>
      </c>
      <c r="P2085" s="29" cm="1">
        <f t="array" ref="P2085">IF(表成绩单[[#This Row],[语文]]="","",SUMPRODUCT((表成绩单[考试日期]=表成绩单[[#This Row],[考试日期]])*(表成绩单[语文]&lt;9E+307)*(表成绩单[语文]&gt;表成绩单[[#This Row],[语文]]))+1)</f>
        <v>381</v>
      </c>
      <c r="Q2085" s="29" cm="1">
        <f t="array" ref="Q2085">IF(表成绩单[[#This Row],[数学]]="","",SUMPRODUCT((表成绩单[考试日期]=表成绩单[[#This Row],[考试日期]])*(表成绩单[数学]&lt;9E+307)*(表成绩单[数学]&gt;表成绩单[[#This Row],[数学]]))+1)</f>
        <v>360</v>
      </c>
      <c r="R2085" s="29" cm="1">
        <f t="array" ref="R2085">IF(表成绩单[[#This Row],[英语]]="","",SUMPRODUCT((表成绩单[考试日期]=表成绩单[[#This Row],[考试日期]])*(表成绩单[英语]&lt;9E+307)*(表成绩单[英语]&gt;表成绩单[[#This Row],[英语]]))+1)</f>
        <v>678</v>
      </c>
      <c r="S2085" s="29" cm="1">
        <f t="array" ref="S2085">IF(表成绩单[[#This Row],[物理]]="","",SUMPRODUCT((表成绩单[考试日期]=表成绩单[[#This Row],[考试日期]])*(表成绩单[物理]&lt;9E+307)*(表成绩单[物理]&gt;表成绩单[[#This Row],[物理]]))+1)</f>
        <v>415</v>
      </c>
      <c r="T2085" s="29" cm="1">
        <f t="array" ref="T2085">IF(表成绩单[[#This Row],[化学]]="","",SUMPRODUCT((表成绩单[考试日期]=表成绩单[[#This Row],[考试日期]])*(表成绩单[化学]&lt;9E+307)*(表成绩单[化学]&gt;表成绩单[[#This Row],[化学]]))+1)</f>
        <v>381</v>
      </c>
      <c r="U2085" s="29" cm="1">
        <f t="array" ref="U2085">IF(表成绩单[[#This Row],[政治]]="","",SUMPRODUCT((表成绩单[考试日期]=表成绩单[[#This Row],[考试日期]])*(表成绩单[政治]&lt;9E+307)*(表成绩单[政治]&gt;表成绩单[[#This Row],[政治]]))+1)</f>
        <v>370</v>
      </c>
      <c r="V2085" s="29" cm="1">
        <f t="array" ref="V2085">IF(表成绩单[[#This Row],[历史]]="","",SUMPRODUCT((表成绩单[考试日期]=表成绩单[[#This Row],[考试日期]])*(表成绩单[历史]&lt;9E+307)*(表成绩单[历史]&gt;表成绩单[[#This Row],[历史]]))+1)</f>
        <v>521</v>
      </c>
      <c r="W2085" s="29" cm="1">
        <f t="array" ref="W2085">IF(表成绩单[[#This Row],[总分]]="","",SUMPRODUCT((表成绩单[考试日期]=表成绩单[[#This Row],[考试日期]])*(表成绩单[总分]&lt;9E+307)*(表成绩单[总分]&gt;表成绩单[[#This Row],[总分]]))+1)</f>
        <v>478</v>
      </c>
    </row>
    <row r="2086" ht="28" customHeight="1" spans="4:23">
      <c r="D2086" s="31">
        <v>46030</v>
      </c>
      <c r="E2086" s="29">
        <v>19177590</v>
      </c>
      <c r="F2086" s="29" t="s">
        <v>58</v>
      </c>
      <c r="G2086" s="29" t="s">
        <v>393</v>
      </c>
      <c r="H2086" s="29">
        <v>79</v>
      </c>
      <c r="I2086" s="29">
        <v>70</v>
      </c>
      <c r="J2086" s="29">
        <v>63.5</v>
      </c>
      <c r="K2086" s="29">
        <v>81</v>
      </c>
      <c r="L2086" s="29">
        <v>67</v>
      </c>
      <c r="M2086" s="29">
        <v>64</v>
      </c>
      <c r="N2086" s="29">
        <v>62</v>
      </c>
      <c r="O2086" s="32">
        <v>486.5</v>
      </c>
      <c r="P2086" s="29" cm="1">
        <f t="array" ref="P2086">IF(表成绩单[[#This Row],[语文]]="","",SUMPRODUCT((表成绩单[考试日期]=表成绩单[[#This Row],[考试日期]])*(表成绩单[语文]&lt;9E+307)*(表成绩单[语文]&gt;表成绩单[[#This Row],[语文]]))+1)</f>
        <v>684</v>
      </c>
      <c r="Q2086" s="29" cm="1">
        <f t="array" ref="Q2086">IF(表成绩单[[#This Row],[数学]]="","",SUMPRODUCT((表成绩单[考试日期]=表成绩单[[#This Row],[考试日期]])*(表成绩单[数学]&lt;9E+307)*(表成绩单[数学]&gt;表成绩单[[#This Row],[数学]]))+1)</f>
        <v>590</v>
      </c>
      <c r="R2086" s="29" cm="1">
        <f t="array" ref="R2086">IF(表成绩单[[#This Row],[英语]]="","",SUMPRODUCT((表成绩单[考试日期]=表成绩单[[#This Row],[考试日期]])*(表成绩单[英语]&lt;9E+307)*(表成绩单[英语]&gt;表成绩单[[#This Row],[英语]]))+1)</f>
        <v>466</v>
      </c>
      <c r="S2086" s="29" cm="1">
        <f t="array" ref="S2086">IF(表成绩单[[#This Row],[物理]]="","",SUMPRODUCT((表成绩单[考试日期]=表成绩单[[#This Row],[考试日期]])*(表成绩单[物理]&lt;9E+307)*(表成绩单[物理]&gt;表成绩单[[#This Row],[物理]]))+1)</f>
        <v>119</v>
      </c>
      <c r="T2086" s="29" cm="1">
        <f t="array" ref="T2086">IF(表成绩单[[#This Row],[化学]]="","",SUMPRODUCT((表成绩单[考试日期]=表成绩单[[#This Row],[考试日期]])*(表成绩单[化学]&lt;9E+307)*(表成绩单[化学]&gt;表成绩单[[#This Row],[化学]]))+1)</f>
        <v>381</v>
      </c>
      <c r="U2086" s="29" cm="1">
        <f t="array" ref="U2086">IF(表成绩单[[#This Row],[政治]]="","",SUMPRODUCT((表成绩单[考试日期]=表成绩单[[#This Row],[考试日期]])*(表成绩单[政治]&lt;9E+307)*(表成绩单[政治]&gt;表成绩单[[#This Row],[政治]]))+1)</f>
        <v>457</v>
      </c>
      <c r="V2086" s="29" cm="1">
        <f t="array" ref="V2086">IF(表成绩单[[#This Row],[历史]]="","",SUMPRODUCT((表成绩单[考试日期]=表成绩单[[#This Row],[考试日期]])*(表成绩单[历史]&lt;9E+307)*(表成绩单[历史]&gt;表成绩单[[#This Row],[历史]]))+1)</f>
        <v>545</v>
      </c>
      <c r="W2086" s="29" cm="1">
        <f t="array" ref="W2086">IF(表成绩单[[#This Row],[总分]]="","",SUMPRODUCT((表成绩单[考试日期]=表成绩单[[#This Row],[考试日期]])*(表成绩单[总分]&lt;9E+307)*(表成绩单[总分]&gt;表成绩单[[#This Row],[总分]]))+1)</f>
        <v>478</v>
      </c>
    </row>
    <row r="2087" ht="28" customHeight="1" spans="4:23">
      <c r="D2087" s="31">
        <v>46030</v>
      </c>
      <c r="E2087" s="29">
        <v>19174433</v>
      </c>
      <c r="F2087" s="29" t="s">
        <v>25</v>
      </c>
      <c r="G2087" s="29" t="s">
        <v>553</v>
      </c>
      <c r="H2087" s="29">
        <v>89</v>
      </c>
      <c r="I2087" s="29">
        <v>78</v>
      </c>
      <c r="J2087" s="29">
        <v>73</v>
      </c>
      <c r="K2087" s="29">
        <v>66</v>
      </c>
      <c r="L2087" s="29">
        <v>68</v>
      </c>
      <c r="M2087" s="29">
        <v>52</v>
      </c>
      <c r="N2087" s="29">
        <v>60</v>
      </c>
      <c r="O2087" s="32">
        <v>486</v>
      </c>
      <c r="P2087" s="29" cm="1">
        <f t="array" ref="P2087">IF(表成绩单[[#This Row],[语文]]="","",SUMPRODUCT((表成绩单[考试日期]=表成绩单[[#This Row],[考试日期]])*(表成绩单[语文]&lt;9E+307)*(表成绩单[语文]&gt;表成绩单[[#This Row],[语文]]))+1)</f>
        <v>540</v>
      </c>
      <c r="Q2087" s="29" cm="1">
        <f t="array" ref="Q2087">IF(表成绩单[[#This Row],[数学]]="","",SUMPRODUCT((表成绩单[考试日期]=表成绩单[[#This Row],[考试日期]])*(表成绩单[数学]&lt;9E+307)*(表成绩单[数学]&gt;表成绩单[[#This Row],[数学]]))+1)</f>
        <v>450</v>
      </c>
      <c r="R2087" s="29" cm="1">
        <f t="array" ref="R2087">IF(表成绩单[[#This Row],[英语]]="","",SUMPRODUCT((表成绩单[考试日期]=表成绩单[[#This Row],[考试日期]])*(表成绩单[英语]&lt;9E+307)*(表成绩单[英语]&gt;表成绩单[[#This Row],[英语]]))+1)</f>
        <v>222</v>
      </c>
      <c r="S2087" s="29" cm="1">
        <f t="array" ref="S2087">IF(表成绩单[[#This Row],[物理]]="","",SUMPRODUCT((表成绩单[考试日期]=表成绩单[[#This Row],[考试日期]])*(表成绩单[物理]&lt;9E+307)*(表成绩单[物理]&gt;表成绩单[[#This Row],[物理]]))+1)</f>
        <v>415</v>
      </c>
      <c r="T2087" s="29" cm="1">
        <f t="array" ref="T2087">IF(表成绩单[[#This Row],[化学]]="","",SUMPRODUCT((表成绩单[考试日期]=表成绩单[[#This Row],[考试日期]])*(表成绩单[化学]&lt;9E+307)*(表成绩单[化学]&gt;表成绩单[[#This Row],[化学]]))+1)</f>
        <v>358</v>
      </c>
      <c r="U2087" s="29" cm="1">
        <f t="array" ref="U2087">IF(表成绩单[[#This Row],[政治]]="","",SUMPRODUCT((表成绩单[考试日期]=表成绩单[[#This Row],[考试日期]])*(表成绩单[政治]&lt;9E+307)*(表成绩单[政治]&gt;表成绩单[[#This Row],[政治]]))+1)</f>
        <v>643</v>
      </c>
      <c r="V2087" s="29" cm="1">
        <f t="array" ref="V2087">IF(表成绩单[[#This Row],[历史]]="","",SUMPRODUCT((表成绩单[考试日期]=表成绩单[[#This Row],[考试日期]])*(表成绩单[历史]&lt;9E+307)*(表成绩单[历史]&gt;表成绩单[[#This Row],[历史]]))+1)</f>
        <v>579</v>
      </c>
      <c r="W2087" s="29" cm="1">
        <f t="array" ref="W2087">IF(表成绩单[[#This Row],[总分]]="","",SUMPRODUCT((表成绩单[考试日期]=表成绩单[[#This Row],[考试日期]])*(表成绩单[总分]&lt;9E+307)*(表成绩单[总分]&gt;表成绩单[[#This Row],[总分]]))+1)</f>
        <v>481</v>
      </c>
    </row>
    <row r="2088" ht="28" customHeight="1" spans="4:23">
      <c r="D2088" s="31">
        <v>46030</v>
      </c>
      <c r="E2088" s="29">
        <v>19175995</v>
      </c>
      <c r="F2088" s="29" t="s">
        <v>59</v>
      </c>
      <c r="G2088" s="29" t="s">
        <v>614</v>
      </c>
      <c r="H2088" s="29">
        <v>85</v>
      </c>
      <c r="I2088" s="29">
        <v>81</v>
      </c>
      <c r="J2088" s="29">
        <v>55</v>
      </c>
      <c r="K2088" s="29">
        <v>51</v>
      </c>
      <c r="L2088" s="29">
        <v>77</v>
      </c>
      <c r="M2088" s="29">
        <v>64</v>
      </c>
      <c r="N2088" s="29">
        <v>73</v>
      </c>
      <c r="O2088" s="32">
        <v>486</v>
      </c>
      <c r="P2088" s="29" cm="1">
        <f t="array" ref="P2088">IF(表成绩单[[#This Row],[语文]]="","",SUMPRODUCT((表成绩单[考试日期]=表成绩单[[#This Row],[考试日期]])*(表成绩单[语文]&lt;9E+307)*(表成绩单[语文]&gt;表成绩单[[#This Row],[语文]]))+1)</f>
        <v>619</v>
      </c>
      <c r="Q2088" s="29" cm="1">
        <f t="array" ref="Q2088">IF(表成绩单[[#This Row],[数学]]="","",SUMPRODUCT((表成绩单[考试日期]=表成绩单[[#This Row],[考试日期]])*(表成绩单[数学]&lt;9E+307)*(表成绩单[数学]&gt;表成绩单[[#This Row],[数学]]))+1)</f>
        <v>396</v>
      </c>
      <c r="R2088" s="29" cm="1">
        <f t="array" ref="R2088">IF(表成绩单[[#This Row],[英语]]="","",SUMPRODUCT((表成绩单[考试日期]=表成绩单[[#This Row],[考试日期]])*(表成绩单[英语]&lt;9E+307)*(表成绩单[英语]&gt;表成绩单[[#This Row],[英语]]))+1)</f>
        <v>596</v>
      </c>
      <c r="S2088" s="29" cm="1">
        <f t="array" ref="S2088">IF(表成绩单[[#This Row],[物理]]="","",SUMPRODUCT((表成绩单[考试日期]=表成绩单[[#This Row],[考试日期]])*(表成绩单[物理]&lt;9E+307)*(表成绩单[物理]&gt;表成绩单[[#This Row],[物理]]))+1)</f>
        <v>595</v>
      </c>
      <c r="T2088" s="29" cm="1">
        <f t="array" ref="T2088">IF(表成绩单[[#This Row],[化学]]="","",SUMPRODUCT((表成绩单[考试日期]=表成绩单[[#This Row],[考试日期]])*(表成绩单[化学]&lt;9E+307)*(表成绩单[化学]&gt;表成绩单[[#This Row],[化学]]))+1)</f>
        <v>116</v>
      </c>
      <c r="U2088" s="29" cm="1">
        <f t="array" ref="U2088">IF(表成绩单[[#This Row],[政治]]="","",SUMPRODUCT((表成绩单[考试日期]=表成绩单[[#This Row],[考试日期]])*(表成绩单[政治]&lt;9E+307)*(表成绩单[政治]&gt;表成绩单[[#This Row],[政治]]))+1)</f>
        <v>457</v>
      </c>
      <c r="V2088" s="29" cm="1">
        <f t="array" ref="V2088">IF(表成绩单[[#This Row],[历史]]="","",SUMPRODUCT((表成绩单[考试日期]=表成绩单[[#This Row],[考试日期]])*(表成绩单[历史]&lt;9E+307)*(表成绩单[历史]&gt;表成绩单[[#This Row],[历史]]))+1)</f>
        <v>240</v>
      </c>
      <c r="W2088" s="29" cm="1">
        <f t="array" ref="W2088">IF(表成绩单[[#This Row],[总分]]="","",SUMPRODUCT((表成绩单[考试日期]=表成绩单[[#This Row],[考试日期]])*(表成绩单[总分]&lt;9E+307)*(表成绩单[总分]&gt;表成绩单[[#This Row],[总分]]))+1)</f>
        <v>481</v>
      </c>
    </row>
    <row r="2089" ht="28" customHeight="1" spans="4:23">
      <c r="D2089" s="31">
        <v>46030</v>
      </c>
      <c r="E2089" s="29">
        <v>19176854</v>
      </c>
      <c r="F2089" s="29" t="s">
        <v>71</v>
      </c>
      <c r="G2089" s="29" t="s">
        <v>628</v>
      </c>
      <c r="H2089" s="29">
        <v>93</v>
      </c>
      <c r="I2089" s="29">
        <v>78</v>
      </c>
      <c r="J2089" s="29">
        <v>64.5</v>
      </c>
      <c r="K2089" s="29">
        <v>60</v>
      </c>
      <c r="L2089" s="29">
        <v>68</v>
      </c>
      <c r="M2089" s="29">
        <v>55</v>
      </c>
      <c r="N2089" s="29">
        <v>67</v>
      </c>
      <c r="O2089" s="32">
        <v>485.5</v>
      </c>
      <c r="P2089" s="29" cm="1">
        <f t="array" ref="P2089">IF(表成绩单[[#This Row],[语文]]="","",SUMPRODUCT((表成绩单[考试日期]=表成绩单[[#This Row],[考试日期]])*(表成绩单[语文]&lt;9E+307)*(表成绩单[语文]&gt;表成绩单[[#This Row],[语文]]))+1)</f>
        <v>412</v>
      </c>
      <c r="Q2089" s="29" cm="1">
        <f t="array" ref="Q2089">IF(表成绩单[[#This Row],[数学]]="","",SUMPRODUCT((表成绩单[考试日期]=表成绩单[[#This Row],[考试日期]])*(表成绩单[数学]&lt;9E+307)*(表成绩单[数学]&gt;表成绩单[[#This Row],[数学]]))+1)</f>
        <v>450</v>
      </c>
      <c r="R2089" s="29" cm="1">
        <f t="array" ref="R2089">IF(表成绩单[[#This Row],[英语]]="","",SUMPRODUCT((表成绩单[考试日期]=表成绩单[[#This Row],[考试日期]])*(表成绩单[英语]&lt;9E+307)*(表成绩单[英语]&gt;表成绩单[[#This Row],[英语]]))+1)</f>
        <v>447</v>
      </c>
      <c r="S2089" s="29" cm="1">
        <f t="array" ref="S2089">IF(表成绩单[[#This Row],[物理]]="","",SUMPRODUCT((表成绩单[考试日期]=表成绩单[[#This Row],[考试日期]])*(表成绩单[物理]&lt;9E+307)*(表成绩单[物理]&gt;表成绩单[[#This Row],[物理]]))+1)</f>
        <v>499</v>
      </c>
      <c r="T2089" s="29" cm="1">
        <f t="array" ref="T2089">IF(表成绩单[[#This Row],[化学]]="","",SUMPRODUCT((表成绩单[考试日期]=表成绩单[[#This Row],[考试日期]])*(表成绩单[化学]&lt;9E+307)*(表成绩单[化学]&gt;表成绩单[[#This Row],[化学]]))+1)</f>
        <v>358</v>
      </c>
      <c r="U2089" s="29" cm="1">
        <f t="array" ref="U2089">IF(表成绩单[[#This Row],[政治]]="","",SUMPRODUCT((表成绩单[考试日期]=表成绩单[[#This Row],[考试日期]])*(表成绩单[政治]&lt;9E+307)*(表成绩单[政治]&gt;表成绩单[[#This Row],[政治]]))+1)</f>
        <v>608</v>
      </c>
      <c r="V2089" s="29" cm="1">
        <f t="array" ref="V2089">IF(表成绩单[[#This Row],[历史]]="","",SUMPRODUCT((表成绩单[考试日期]=表成绩单[[#This Row],[考试日期]])*(表成绩单[历史]&lt;9E+307)*(表成绩单[历史]&gt;表成绩单[[#This Row],[历史]]))+1)</f>
        <v>415</v>
      </c>
      <c r="W2089" s="29" cm="1">
        <f t="array" ref="W2089">IF(表成绩单[[#This Row],[总分]]="","",SUMPRODUCT((表成绩单[考试日期]=表成绩单[[#This Row],[考试日期]])*(表成绩单[总分]&lt;9E+307)*(表成绩单[总分]&gt;表成绩单[[#This Row],[总分]]))+1)</f>
        <v>483</v>
      </c>
    </row>
    <row r="2090" ht="28" customHeight="1" spans="4:23">
      <c r="D2090" s="31">
        <v>46030</v>
      </c>
      <c r="E2090" s="29">
        <v>19173253</v>
      </c>
      <c r="F2090" s="29" t="s">
        <v>61</v>
      </c>
      <c r="G2090" s="29" t="s">
        <v>600</v>
      </c>
      <c r="H2090" s="29">
        <v>95</v>
      </c>
      <c r="I2090" s="29">
        <v>81</v>
      </c>
      <c r="J2090" s="29">
        <v>55</v>
      </c>
      <c r="K2090" s="29">
        <v>70</v>
      </c>
      <c r="L2090" s="29">
        <v>73</v>
      </c>
      <c r="M2090" s="29">
        <v>53</v>
      </c>
      <c r="N2090" s="29">
        <v>58</v>
      </c>
      <c r="O2090" s="32">
        <v>485</v>
      </c>
      <c r="P2090" s="29" cm="1">
        <f t="array" ref="P2090">IF(表成绩单[[#This Row],[语文]]="","",SUMPRODUCT((表成绩单[考试日期]=表成绩单[[#This Row],[考试日期]])*(表成绩单[语文]&lt;9E+307)*(表成绩单[语文]&gt;表成绩单[[#This Row],[语文]]))+1)</f>
        <v>342</v>
      </c>
      <c r="Q2090" s="29" cm="1">
        <f t="array" ref="Q2090">IF(表成绩单[[#This Row],[数学]]="","",SUMPRODUCT((表成绩单[考试日期]=表成绩单[[#This Row],[考试日期]])*(表成绩单[数学]&lt;9E+307)*(表成绩单[数学]&gt;表成绩单[[#This Row],[数学]]))+1)</f>
        <v>396</v>
      </c>
      <c r="R2090" s="29" cm="1">
        <f t="array" ref="R2090">IF(表成绩单[[#This Row],[英语]]="","",SUMPRODUCT((表成绩单[考试日期]=表成绩单[[#This Row],[考试日期]])*(表成绩单[英语]&lt;9E+307)*(表成绩单[英语]&gt;表成绩单[[#This Row],[英语]]))+1)</f>
        <v>596</v>
      </c>
      <c r="S2090" s="29" cm="1">
        <f t="array" ref="S2090">IF(表成绩单[[#This Row],[物理]]="","",SUMPRODUCT((表成绩单[考试日期]=表成绩单[[#This Row],[考试日期]])*(表成绩单[物理]&lt;9E+307)*(表成绩单[物理]&gt;表成绩单[[#This Row],[物理]]))+1)</f>
        <v>338</v>
      </c>
      <c r="T2090" s="29" cm="1">
        <f t="array" ref="T2090">IF(表成绩单[[#This Row],[化学]]="","",SUMPRODUCT((表成绩单[考试日期]=表成绩单[[#This Row],[考试日期]])*(表成绩单[化学]&lt;9E+307)*(表成绩单[化学]&gt;表成绩单[[#This Row],[化学]]))+1)</f>
        <v>236</v>
      </c>
      <c r="U2090" s="29" cm="1">
        <f t="array" ref="U2090">IF(表成绩单[[#This Row],[政治]]="","",SUMPRODUCT((表成绩单[考试日期]=表成绩单[[#This Row],[考试日期]])*(表成绩单[政治]&lt;9E+307)*(表成绩单[政治]&gt;表成绩单[[#This Row],[政治]]))+1)</f>
        <v>630</v>
      </c>
      <c r="V2090" s="29" cm="1">
        <f t="array" ref="V2090">IF(表成绩单[[#This Row],[历史]]="","",SUMPRODUCT((表成绩单[考试日期]=表成绩单[[#This Row],[考试日期]])*(表成绩单[历史]&lt;9E+307)*(表成绩单[历史]&gt;表成绩单[[#This Row],[历史]]))+1)</f>
        <v>620</v>
      </c>
      <c r="W2090" s="29" cm="1">
        <f t="array" ref="W2090">IF(表成绩单[[#This Row],[总分]]="","",SUMPRODUCT((表成绩单[考试日期]=表成绩单[[#This Row],[考试日期]])*(表成绩单[总分]&lt;9E+307)*(表成绩单[总分]&gt;表成绩单[[#This Row],[总分]]))+1)</f>
        <v>484</v>
      </c>
    </row>
    <row r="2091" ht="28" customHeight="1" spans="4:23">
      <c r="D2091" s="31">
        <v>46030</v>
      </c>
      <c r="E2091" s="29">
        <v>19175655</v>
      </c>
      <c r="F2091" s="29" t="s">
        <v>66</v>
      </c>
      <c r="G2091" s="29" t="s">
        <v>656</v>
      </c>
      <c r="H2091" s="29">
        <v>91</v>
      </c>
      <c r="I2091" s="29">
        <v>77</v>
      </c>
      <c r="J2091" s="29">
        <v>57</v>
      </c>
      <c r="K2091" s="29">
        <v>70</v>
      </c>
      <c r="L2091" s="29">
        <v>66</v>
      </c>
      <c r="M2091" s="29">
        <v>62</v>
      </c>
      <c r="N2091" s="29">
        <v>62</v>
      </c>
      <c r="O2091" s="32">
        <v>485</v>
      </c>
      <c r="P2091" s="29" cm="1">
        <f t="array" ref="P2091">IF(表成绩单[[#This Row],[语文]]="","",SUMPRODUCT((表成绩单[考试日期]=表成绩单[[#This Row],[考试日期]])*(表成绩单[语文]&lt;9E+307)*(表成绩单[语文]&gt;表成绩单[[#This Row],[语文]]))+1)</f>
        <v>478</v>
      </c>
      <c r="Q2091" s="29" cm="1">
        <f t="array" ref="Q2091">IF(表成绩单[[#This Row],[数学]]="","",SUMPRODUCT((表成绩单[考试日期]=表成绩单[[#This Row],[考试日期]])*(表成绩单[数学]&lt;9E+307)*(表成绩单[数学]&gt;表成绩单[[#This Row],[数学]]))+1)</f>
        <v>478</v>
      </c>
      <c r="R2091" s="29" cm="1">
        <f t="array" ref="R2091">IF(表成绩单[[#This Row],[英语]]="","",SUMPRODUCT((表成绩单[考试日期]=表成绩单[[#This Row],[考试日期]])*(表成绩单[英语]&lt;9E+307)*(表成绩单[英语]&gt;表成绩单[[#This Row],[英语]]))+1)</f>
        <v>572</v>
      </c>
      <c r="S2091" s="29" cm="1">
        <f t="array" ref="S2091">IF(表成绩单[[#This Row],[物理]]="","",SUMPRODUCT((表成绩单[考试日期]=表成绩单[[#This Row],[考试日期]])*(表成绩单[物理]&lt;9E+307)*(表成绩单[物理]&gt;表成绩单[[#This Row],[物理]]))+1)</f>
        <v>338</v>
      </c>
      <c r="T2091" s="29" cm="1">
        <f t="array" ref="T2091">IF(表成绩单[[#This Row],[化学]]="","",SUMPRODUCT((表成绩单[考试日期]=表成绩单[[#This Row],[考试日期]])*(表成绩单[化学]&lt;9E+307)*(表成绩单[化学]&gt;表成绩单[[#This Row],[化学]]))+1)</f>
        <v>414</v>
      </c>
      <c r="U2091" s="29" cm="1">
        <f t="array" ref="U2091">IF(表成绩单[[#This Row],[政治]]="","",SUMPRODUCT((表成绩单[考试日期]=表成绩单[[#This Row],[考试日期]])*(表成绩单[政治]&lt;9E+307)*(表成绩单[政治]&gt;表成绩单[[#This Row],[政治]]))+1)</f>
        <v>508</v>
      </c>
      <c r="V2091" s="29" cm="1">
        <f t="array" ref="V2091">IF(表成绩单[[#This Row],[历史]]="","",SUMPRODUCT((表成绩单[考试日期]=表成绩单[[#This Row],[考试日期]])*(表成绩单[历史]&lt;9E+307)*(表成绩单[历史]&gt;表成绩单[[#This Row],[历史]]))+1)</f>
        <v>545</v>
      </c>
      <c r="W2091" s="29" cm="1">
        <f t="array" ref="W2091">IF(表成绩单[[#This Row],[总分]]="","",SUMPRODUCT((表成绩单[考试日期]=表成绩单[[#This Row],[考试日期]])*(表成绩单[总分]&lt;9E+307)*(表成绩单[总分]&gt;表成绩单[[#This Row],[总分]]))+1)</f>
        <v>484</v>
      </c>
    </row>
    <row r="2092" ht="28" customHeight="1" spans="4:23">
      <c r="D2092" s="31">
        <v>46030</v>
      </c>
      <c r="E2092" s="29">
        <v>19177636</v>
      </c>
      <c r="F2092" s="29" t="s">
        <v>63</v>
      </c>
      <c r="G2092" s="29" t="s">
        <v>386</v>
      </c>
      <c r="H2092" s="29">
        <v>98</v>
      </c>
      <c r="I2092" s="29">
        <v>87</v>
      </c>
      <c r="J2092" s="29">
        <v>46</v>
      </c>
      <c r="K2092" s="29">
        <v>66</v>
      </c>
      <c r="L2092" s="29">
        <v>63</v>
      </c>
      <c r="M2092" s="29">
        <v>66</v>
      </c>
      <c r="N2092" s="29">
        <v>59</v>
      </c>
      <c r="O2092" s="32">
        <v>485</v>
      </c>
      <c r="P2092" s="29" cm="1">
        <f t="array" ref="P2092">IF(表成绩单[[#This Row],[语文]]="","",SUMPRODUCT((表成绩单[考试日期]=表成绩单[[#This Row],[考试日期]])*(表成绩单[语文]&lt;9E+307)*(表成绩单[语文]&gt;表成绩单[[#This Row],[语文]]))+1)</f>
        <v>248</v>
      </c>
      <c r="Q2092" s="29" cm="1">
        <f t="array" ref="Q2092">IF(表成绩单[[#This Row],[数学]]="","",SUMPRODUCT((表成绩单[考试日期]=表成绩单[[#This Row],[考试日期]])*(表成绩单[数学]&lt;9E+307)*(表成绩单[数学]&gt;表成绩单[[#This Row],[数学]]))+1)</f>
        <v>270</v>
      </c>
      <c r="R2092" s="29" cm="1">
        <f t="array" ref="R2092">IF(表成绩单[[#This Row],[英语]]="","",SUMPRODUCT((表成绩单[考试日期]=表成绩单[[#This Row],[考试日期]])*(表成绩单[英语]&lt;9E+307)*(表成绩单[英语]&gt;表成绩单[[#This Row],[英语]]))+1)</f>
        <v>682</v>
      </c>
      <c r="S2092" s="29" cm="1">
        <f t="array" ref="S2092">IF(表成绩单[[#This Row],[物理]]="","",SUMPRODUCT((表成绩单[考试日期]=表成绩单[[#This Row],[考试日期]])*(表成绩单[物理]&lt;9E+307)*(表成绩单[物理]&gt;表成绩单[[#This Row],[物理]]))+1)</f>
        <v>415</v>
      </c>
      <c r="T2092" s="29" cm="1">
        <f t="array" ref="T2092">IF(表成绩单[[#This Row],[化学]]="","",SUMPRODUCT((表成绩单[考试日期]=表成绩单[[#This Row],[考试日期]])*(表成绩单[化学]&lt;9E+307)*(表成绩单[化学]&gt;表成绩单[[#This Row],[化学]]))+1)</f>
        <v>472</v>
      </c>
      <c r="U2092" s="29" cm="1">
        <f t="array" ref="U2092">IF(表成绩单[[#This Row],[政治]]="","",SUMPRODUCT((表成绩单[考试日期]=表成绩单[[#This Row],[考试日期]])*(表成绩单[政治]&lt;9E+307)*(表成绩单[政治]&gt;表成绩单[[#This Row],[政治]]))+1)</f>
        <v>397</v>
      </c>
      <c r="V2092" s="29" cm="1">
        <f t="array" ref="V2092">IF(表成绩单[[#This Row],[历史]]="","",SUMPRODUCT((表成绩单[考试日期]=表成绩单[[#This Row],[考试日期]])*(表成绩单[历史]&lt;9E+307)*(表成绩单[历史]&gt;表成绩单[[#This Row],[历史]]))+1)</f>
        <v>601</v>
      </c>
      <c r="W2092" s="29" cm="1">
        <f t="array" ref="W2092">IF(表成绩单[[#This Row],[总分]]="","",SUMPRODUCT((表成绩单[考试日期]=表成绩单[[#This Row],[考试日期]])*(表成绩单[总分]&lt;9E+307)*(表成绩单[总分]&gt;表成绩单[[#This Row],[总分]]))+1)</f>
        <v>484</v>
      </c>
    </row>
    <row r="2093" ht="28" customHeight="1" spans="4:23">
      <c r="D2093" s="31">
        <v>46030</v>
      </c>
      <c r="E2093" s="29">
        <v>19172632</v>
      </c>
      <c r="F2093" s="29" t="s">
        <v>60</v>
      </c>
      <c r="G2093" s="29" t="s">
        <v>595</v>
      </c>
      <c r="H2093" s="29">
        <v>94</v>
      </c>
      <c r="I2093" s="29">
        <v>76</v>
      </c>
      <c r="J2093" s="29">
        <v>49.5</v>
      </c>
      <c r="K2093" s="29">
        <v>62</v>
      </c>
      <c r="L2093" s="29">
        <v>64</v>
      </c>
      <c r="M2093" s="29">
        <v>64</v>
      </c>
      <c r="N2093" s="29">
        <v>75</v>
      </c>
      <c r="O2093" s="32">
        <v>484.5</v>
      </c>
      <c r="P2093" s="29" cm="1">
        <f t="array" ref="P2093">IF(表成绩单[[#This Row],[语文]]="","",SUMPRODUCT((表成绩单[考试日期]=表成绩单[[#This Row],[考试日期]])*(表成绩单[语文]&lt;9E+307)*(表成绩单[语文]&gt;表成绩单[[#This Row],[语文]]))+1)</f>
        <v>381</v>
      </c>
      <c r="Q2093" s="29" cm="1">
        <f t="array" ref="Q2093">IF(表成绩单[[#This Row],[数学]]="","",SUMPRODUCT((表成绩单[考试日期]=表成绩单[[#This Row],[考试日期]])*(表成绩单[数学]&lt;9E+307)*(表成绩单[数学]&gt;表成绩单[[#This Row],[数学]]))+1)</f>
        <v>507</v>
      </c>
      <c r="R2093" s="29" cm="1">
        <f t="array" ref="R2093">IF(表成绩单[[#This Row],[英语]]="","",SUMPRODUCT((表成绩单[考试日期]=表成绩单[[#This Row],[考试日期]])*(表成绩单[英语]&lt;9E+307)*(表成绩单[英语]&gt;表成绩单[[#This Row],[英语]]))+1)</f>
        <v>651</v>
      </c>
      <c r="S2093" s="29" cm="1">
        <f t="array" ref="S2093">IF(表成绩单[[#This Row],[物理]]="","",SUMPRODUCT((表成绩单[考试日期]=表成绩单[[#This Row],[考试日期]])*(表成绩单[物理]&lt;9E+307)*(表成绩单[物理]&gt;表成绩单[[#This Row],[物理]]))+1)</f>
        <v>470</v>
      </c>
      <c r="T2093" s="29" cm="1">
        <f t="array" ref="T2093">IF(表成绩单[[#This Row],[化学]]="","",SUMPRODUCT((表成绩单[考试日期]=表成绩单[[#This Row],[考试日期]])*(表成绩单[化学]&lt;9E+307)*(表成绩单[化学]&gt;表成绩单[[#This Row],[化学]]))+1)</f>
        <v>451</v>
      </c>
      <c r="U2093" s="29" cm="1">
        <f t="array" ref="U2093">IF(表成绩单[[#This Row],[政治]]="","",SUMPRODUCT((表成绩单[考试日期]=表成绩单[[#This Row],[考试日期]])*(表成绩单[政治]&lt;9E+307)*(表成绩单[政治]&gt;表成绩单[[#This Row],[政治]]))+1)</f>
        <v>457</v>
      </c>
      <c r="V2093" s="29" cm="1">
        <f t="array" ref="V2093">IF(表成绩单[[#This Row],[历史]]="","",SUMPRODUCT((表成绩单[考试日期]=表成绩单[[#This Row],[考试日期]])*(表成绩单[历史]&lt;9E+307)*(表成绩单[历史]&gt;表成绩单[[#This Row],[历史]]))+1)</f>
        <v>193</v>
      </c>
      <c r="W2093" s="29" cm="1">
        <f t="array" ref="W2093">IF(表成绩单[[#This Row],[总分]]="","",SUMPRODUCT((表成绩单[考试日期]=表成绩单[[#This Row],[考试日期]])*(表成绩单[总分]&lt;9E+307)*(表成绩单[总分]&gt;表成绩单[[#This Row],[总分]]))+1)</f>
        <v>487</v>
      </c>
    </row>
    <row r="2094" ht="28" customHeight="1" spans="4:23">
      <c r="D2094" s="31">
        <v>46030</v>
      </c>
      <c r="E2094" s="29">
        <v>19173535</v>
      </c>
      <c r="F2094" s="29" t="s">
        <v>1</v>
      </c>
      <c r="G2094" s="29" t="s">
        <v>543</v>
      </c>
      <c r="H2094" s="29">
        <v>90</v>
      </c>
      <c r="I2094" s="29">
        <v>78</v>
      </c>
      <c r="J2094" s="29">
        <v>74.5</v>
      </c>
      <c r="K2094" s="29">
        <v>71</v>
      </c>
      <c r="L2094" s="29">
        <v>51</v>
      </c>
      <c r="M2094" s="29">
        <v>63</v>
      </c>
      <c r="N2094" s="29">
        <v>57</v>
      </c>
      <c r="O2094" s="32">
        <v>484.5</v>
      </c>
      <c r="P2094" s="29" cm="1">
        <f t="array" ref="P2094">IF(表成绩单[[#This Row],[语文]]="","",SUMPRODUCT((表成绩单[考试日期]=表成绩单[[#This Row],[考试日期]])*(表成绩单[语文]&lt;9E+307)*(表成绩单[语文]&gt;表成绩单[[#This Row],[语文]]))+1)</f>
        <v>509</v>
      </c>
      <c r="Q2094" s="29" cm="1">
        <f t="array" ref="Q2094">IF(表成绩单[[#This Row],[数学]]="","",SUMPRODUCT((表成绩单[考试日期]=表成绩单[[#This Row],[考试日期]])*(表成绩单[数学]&lt;9E+307)*(表成绩单[数学]&gt;表成绩单[[#This Row],[数学]]))+1)</f>
        <v>450</v>
      </c>
      <c r="R2094" s="29" cm="1">
        <f t="array" ref="R2094">IF(表成绩单[[#This Row],[英语]]="","",SUMPRODUCT((表成绩单[考试日期]=表成绩单[[#This Row],[考试日期]])*(表成绩单[英语]&lt;9E+307)*(表成绩单[英语]&gt;表成绩单[[#This Row],[英语]]))+1)</f>
        <v>181</v>
      </c>
      <c r="S2094" s="29" cm="1">
        <f t="array" ref="S2094">IF(表成绩单[[#This Row],[物理]]="","",SUMPRODUCT((表成绩单[考试日期]=表成绩单[[#This Row],[考试日期]])*(表成绩单[物理]&lt;9E+307)*(表成绩单[物理]&gt;表成绩单[[#This Row],[物理]]))+1)</f>
        <v>319</v>
      </c>
      <c r="T2094" s="29" cm="1">
        <f t="array" ref="T2094">IF(表成绩单[[#This Row],[化学]]="","",SUMPRODUCT((表成绩单[考试日期]=表成绩单[[#This Row],[考试日期]])*(表成绩单[化学]&lt;9E+307)*(表成绩单[化学]&gt;表成绩单[[#This Row],[化学]]))+1)</f>
        <v>648</v>
      </c>
      <c r="U2094" s="29" cm="1">
        <f t="array" ref="U2094">IF(表成绩单[[#This Row],[政治]]="","",SUMPRODUCT((表成绩单[考试日期]=表成绩单[[#This Row],[考试日期]])*(表成绩单[政治]&lt;9E+307)*(表成绩单[政治]&gt;表成绩单[[#This Row],[政治]]))+1)</f>
        <v>486</v>
      </c>
      <c r="V2094" s="29" cm="1">
        <f t="array" ref="V2094">IF(表成绩单[[#This Row],[历史]]="","",SUMPRODUCT((表成绩单[考试日期]=表成绩单[[#This Row],[考试日期]])*(表成绩单[历史]&lt;9E+307)*(表成绩单[历史]&gt;表成绩单[[#This Row],[历史]]))+1)</f>
        <v>637</v>
      </c>
      <c r="W2094" s="29" cm="1">
        <f t="array" ref="W2094">IF(表成绩单[[#This Row],[总分]]="","",SUMPRODUCT((表成绩单[考试日期]=表成绩单[[#This Row],[考试日期]])*(表成绩单[总分]&lt;9E+307)*(表成绩单[总分]&gt;表成绩单[[#This Row],[总分]]))+1)</f>
        <v>487</v>
      </c>
    </row>
    <row r="2095" ht="28" customHeight="1" spans="4:23">
      <c r="D2095" s="31">
        <v>46030</v>
      </c>
      <c r="E2095" s="29">
        <v>19175637</v>
      </c>
      <c r="F2095" s="29" t="s">
        <v>66</v>
      </c>
      <c r="G2095" s="29" t="s">
        <v>542</v>
      </c>
      <c r="H2095" s="29">
        <v>86</v>
      </c>
      <c r="I2095" s="29">
        <v>100</v>
      </c>
      <c r="J2095" s="29">
        <v>47.5</v>
      </c>
      <c r="K2095" s="29">
        <v>64</v>
      </c>
      <c r="L2095" s="29">
        <v>66</v>
      </c>
      <c r="M2095" s="29">
        <v>62</v>
      </c>
      <c r="N2095" s="29">
        <v>59</v>
      </c>
      <c r="O2095" s="32">
        <v>484.5</v>
      </c>
      <c r="P2095" s="29" cm="1">
        <f t="array" ref="P2095">IF(表成绩单[[#This Row],[语文]]="","",SUMPRODUCT((表成绩单[考试日期]=表成绩单[[#This Row],[考试日期]])*(表成绩单[语文]&lt;9E+307)*(表成绩单[语文]&gt;表成绩单[[#This Row],[语文]]))+1)</f>
        <v>601</v>
      </c>
      <c r="Q2095" s="29" cm="1">
        <f t="array" ref="Q2095">IF(表成绩单[[#This Row],[数学]]="","",SUMPRODUCT((表成绩单[考试日期]=表成绩单[[#This Row],[考试日期]])*(表成绩单[数学]&lt;9E+307)*(表成绩单[数学]&gt;表成绩单[[#This Row],[数学]]))+1)</f>
        <v>110</v>
      </c>
      <c r="R2095" s="29" cm="1">
        <f t="array" ref="R2095">IF(表成绩单[[#This Row],[英语]]="","",SUMPRODUCT((表成绩单[考试日期]=表成绩单[[#This Row],[考试日期]])*(表成绩单[英语]&lt;9E+307)*(表成绩单[英语]&gt;表成绩单[[#This Row],[英语]]))+1)</f>
        <v>670</v>
      </c>
      <c r="S2095" s="29" cm="1">
        <f t="array" ref="S2095">IF(表成绩单[[#This Row],[物理]]="","",SUMPRODUCT((表成绩单[考试日期]=表成绩单[[#This Row],[考试日期]])*(表成绩单[物理]&lt;9E+307)*(表成绩单[物理]&gt;表成绩单[[#This Row],[物理]]))+1)</f>
        <v>441</v>
      </c>
      <c r="T2095" s="29" cm="1">
        <f t="array" ref="T2095">IF(表成绩单[[#This Row],[化学]]="","",SUMPRODUCT((表成绩单[考试日期]=表成绩单[[#This Row],[考试日期]])*(表成绩单[化学]&lt;9E+307)*(表成绩单[化学]&gt;表成绩单[[#This Row],[化学]]))+1)</f>
        <v>414</v>
      </c>
      <c r="U2095" s="29" cm="1">
        <f t="array" ref="U2095">IF(表成绩单[[#This Row],[政治]]="","",SUMPRODUCT((表成绩单[考试日期]=表成绩单[[#This Row],[考试日期]])*(表成绩单[政治]&lt;9E+307)*(表成绩单[政治]&gt;表成绩单[[#This Row],[政治]]))+1)</f>
        <v>508</v>
      </c>
      <c r="V2095" s="29" cm="1">
        <f t="array" ref="V2095">IF(表成绩单[[#This Row],[历史]]="","",SUMPRODUCT((表成绩单[考试日期]=表成绩单[[#This Row],[考试日期]])*(表成绩单[历史]&lt;9E+307)*(表成绩单[历史]&gt;表成绩单[[#This Row],[历史]]))+1)</f>
        <v>601</v>
      </c>
      <c r="W2095" s="29" cm="1">
        <f t="array" ref="W2095">IF(表成绩单[[#This Row],[总分]]="","",SUMPRODUCT((表成绩单[考试日期]=表成绩单[[#This Row],[考试日期]])*(表成绩单[总分]&lt;9E+307)*(表成绩单[总分]&gt;表成绩单[[#This Row],[总分]]))+1)</f>
        <v>487</v>
      </c>
    </row>
    <row r="2096" ht="28" customHeight="1" spans="4:23">
      <c r="D2096" s="31">
        <v>46030</v>
      </c>
      <c r="E2096" s="29">
        <v>19178587</v>
      </c>
      <c r="F2096" s="29" t="s">
        <v>64</v>
      </c>
      <c r="G2096" s="29" t="s">
        <v>602</v>
      </c>
      <c r="H2096" s="29">
        <v>84</v>
      </c>
      <c r="I2096" s="29">
        <v>84</v>
      </c>
      <c r="J2096" s="29">
        <v>70.5</v>
      </c>
      <c r="K2096" s="29">
        <v>51</v>
      </c>
      <c r="L2096" s="29">
        <v>61</v>
      </c>
      <c r="M2096" s="29">
        <v>69</v>
      </c>
      <c r="N2096" s="29">
        <v>65</v>
      </c>
      <c r="O2096" s="32">
        <v>484.5</v>
      </c>
      <c r="P2096" s="29" cm="1">
        <f t="array" ref="P2096">IF(表成绩单[[#This Row],[语文]]="","",SUMPRODUCT((表成绩单[考试日期]=表成绩单[[#This Row],[考试日期]])*(表成绩单[语文]&lt;9E+307)*(表成绩单[语文]&gt;表成绩单[[#This Row],[语文]]))+1)</f>
        <v>635</v>
      </c>
      <c r="Q2096" s="29" cm="1">
        <f t="array" ref="Q2096">IF(表成绩单[[#This Row],[数学]]="","",SUMPRODUCT((表成绩单[考试日期]=表成绩单[[#This Row],[考试日期]])*(表成绩单[数学]&lt;9E+307)*(表成绩单[数学]&gt;表成绩单[[#This Row],[数学]]))+1)</f>
        <v>343</v>
      </c>
      <c r="R2096" s="29" cm="1">
        <f t="array" ref="R2096">IF(表成绩单[[#This Row],[英语]]="","",SUMPRODUCT((表成绩单[考试日期]=表成绩单[[#This Row],[考试日期]])*(表成绩单[英语]&lt;9E+307)*(表成绩单[英语]&gt;表成绩单[[#This Row],[英语]]))+1)</f>
        <v>299</v>
      </c>
      <c r="S2096" s="29" cm="1">
        <f t="array" ref="S2096">IF(表成绩单[[#This Row],[物理]]="","",SUMPRODUCT((表成绩单[考试日期]=表成绩单[[#This Row],[考试日期]])*(表成绩单[物理]&lt;9E+307)*(表成绩单[物理]&gt;表成绩单[[#This Row],[物理]]))+1)</f>
        <v>595</v>
      </c>
      <c r="T2096" s="29" cm="1">
        <f t="array" ref="T2096">IF(表成绩单[[#This Row],[化学]]="","",SUMPRODUCT((表成绩单[考试日期]=表成绩单[[#This Row],[考试日期]])*(表成绩单[化学]&lt;9E+307)*(表成绩单[化学]&gt;表成绩单[[#This Row],[化学]]))+1)</f>
        <v>508</v>
      </c>
      <c r="U2096" s="29" cm="1">
        <f t="array" ref="U2096">IF(表成绩单[[#This Row],[政治]]="","",SUMPRODUCT((表成绩单[考试日期]=表成绩单[[#This Row],[考试日期]])*(表成绩单[政治]&lt;9E+307)*(表成绩单[政治]&gt;表成绩单[[#This Row],[政治]]))+1)</f>
        <v>308</v>
      </c>
      <c r="V2096" s="29" cm="1">
        <f t="array" ref="V2096">IF(表成绩单[[#This Row],[历史]]="","",SUMPRODUCT((表成绩单[考试日期]=表成绩单[[#This Row],[考试日期]])*(表成绩单[历史]&lt;9E+307)*(表成绩单[历史]&gt;表成绩单[[#This Row],[历史]]))+1)</f>
        <v>471</v>
      </c>
      <c r="W2096" s="29" cm="1">
        <f t="array" ref="W2096">IF(表成绩单[[#This Row],[总分]]="","",SUMPRODUCT((表成绩单[考试日期]=表成绩单[[#This Row],[考试日期]])*(表成绩单[总分]&lt;9E+307)*(表成绩单[总分]&gt;表成绩单[[#This Row],[总分]]))+1)</f>
        <v>487</v>
      </c>
    </row>
    <row r="2097" ht="28" customHeight="1" spans="4:23">
      <c r="D2097" s="31">
        <v>46030</v>
      </c>
      <c r="E2097" s="29">
        <v>19176160</v>
      </c>
      <c r="F2097" s="29" t="s">
        <v>67</v>
      </c>
      <c r="G2097" s="29" t="s">
        <v>451</v>
      </c>
      <c r="H2097" s="29">
        <v>96</v>
      </c>
      <c r="I2097" s="29">
        <v>78</v>
      </c>
      <c r="J2097" s="29">
        <v>57</v>
      </c>
      <c r="K2097" s="29">
        <v>53</v>
      </c>
      <c r="L2097" s="29">
        <v>63</v>
      </c>
      <c r="M2097" s="29">
        <v>72</v>
      </c>
      <c r="N2097" s="29">
        <v>65</v>
      </c>
      <c r="O2097" s="32">
        <v>484</v>
      </c>
      <c r="P2097" s="29" cm="1">
        <f t="array" ref="P2097">IF(表成绩单[[#This Row],[语文]]="","",SUMPRODUCT((表成绩单[考试日期]=表成绩单[[#This Row],[考试日期]])*(表成绩单[语文]&lt;9E+307)*(表成绩单[语文]&gt;表成绩单[[#This Row],[语文]]))+1)</f>
        <v>315</v>
      </c>
      <c r="Q2097" s="29" cm="1">
        <f t="array" ref="Q2097">IF(表成绩单[[#This Row],[数学]]="","",SUMPRODUCT((表成绩单[考试日期]=表成绩单[[#This Row],[考试日期]])*(表成绩单[数学]&lt;9E+307)*(表成绩单[数学]&gt;表成绩单[[#This Row],[数学]]))+1)</f>
        <v>450</v>
      </c>
      <c r="R2097" s="29" cm="1">
        <f t="array" ref="R2097">IF(表成绩单[[#This Row],[英语]]="","",SUMPRODUCT((表成绩单[考试日期]=表成绩单[[#This Row],[考试日期]])*(表成绩单[英语]&lt;9E+307)*(表成绩单[英语]&gt;表成绩单[[#This Row],[英语]]))+1)</f>
        <v>572</v>
      </c>
      <c r="S2097" s="29" cm="1">
        <f t="array" ref="S2097">IF(表成绩单[[#This Row],[物理]]="","",SUMPRODUCT((表成绩单[考试日期]=表成绩单[[#This Row],[考试日期]])*(表成绩单[物理]&lt;9E+307)*(表成绩单[物理]&gt;表成绩单[[#This Row],[物理]]))+1)</f>
        <v>578</v>
      </c>
      <c r="T2097" s="29" cm="1">
        <f t="array" ref="T2097">IF(表成绩单[[#This Row],[化学]]="","",SUMPRODUCT((表成绩单[考试日期]=表成绩单[[#This Row],[考试日期]])*(表成绩单[化学]&lt;9E+307)*(表成绩单[化学]&gt;表成绩单[[#This Row],[化学]]))+1)</f>
        <v>472</v>
      </c>
      <c r="U2097" s="29" cm="1">
        <f t="array" ref="U2097">IF(表成绩单[[#This Row],[政治]]="","",SUMPRODUCT((表成绩单[考试日期]=表成绩单[[#This Row],[考试日期]])*(表成绩单[政治]&lt;9E+307)*(表成绩单[政治]&gt;表成绩单[[#This Row],[政治]]))+1)</f>
        <v>224</v>
      </c>
      <c r="V2097" s="29" cm="1">
        <f t="array" ref="V2097">IF(表成绩单[[#This Row],[历史]]="","",SUMPRODUCT((表成绩单[考试日期]=表成绩单[[#This Row],[考试日期]])*(表成绩单[历史]&lt;9E+307)*(表成绩单[历史]&gt;表成绩单[[#This Row],[历史]]))+1)</f>
        <v>471</v>
      </c>
      <c r="W2097" s="29" cm="1">
        <f t="array" ref="W2097">IF(表成绩单[[#This Row],[总分]]="","",SUMPRODUCT((表成绩单[考试日期]=表成绩单[[#This Row],[考试日期]])*(表成绩单[总分]&lt;9E+307)*(表成绩单[总分]&gt;表成绩单[[#This Row],[总分]]))+1)</f>
        <v>491</v>
      </c>
    </row>
    <row r="2098" ht="28" customHeight="1" spans="4:23">
      <c r="D2098" s="31">
        <v>46030</v>
      </c>
      <c r="E2098" s="29">
        <v>19173237</v>
      </c>
      <c r="F2098" s="29" t="s">
        <v>61</v>
      </c>
      <c r="G2098" s="29" t="s">
        <v>478</v>
      </c>
      <c r="H2098" s="29">
        <v>91</v>
      </c>
      <c r="I2098" s="29">
        <v>80</v>
      </c>
      <c r="J2098" s="29">
        <v>54</v>
      </c>
      <c r="K2098" s="29">
        <v>64</v>
      </c>
      <c r="L2098" s="29">
        <v>63</v>
      </c>
      <c r="M2098" s="29">
        <v>57</v>
      </c>
      <c r="N2098" s="29">
        <v>74</v>
      </c>
      <c r="O2098" s="32">
        <v>483</v>
      </c>
      <c r="P2098" s="29" cm="1">
        <f t="array" ref="P2098">IF(表成绩单[[#This Row],[语文]]="","",SUMPRODUCT((表成绩单[考试日期]=表成绩单[[#This Row],[考试日期]])*(表成绩单[语文]&lt;9E+307)*(表成绩单[语文]&gt;表成绩单[[#This Row],[语文]]))+1)</f>
        <v>478</v>
      </c>
      <c r="Q2098" s="29" cm="1">
        <f t="array" ref="Q2098">IF(表成绩单[[#This Row],[数学]]="","",SUMPRODUCT((表成绩单[考试日期]=表成绩单[[#This Row],[考试日期]])*(表成绩单[数学]&lt;9E+307)*(表成绩单[数学]&gt;表成绩单[[#This Row],[数学]]))+1)</f>
        <v>412</v>
      </c>
      <c r="R2098" s="29" cm="1">
        <f t="array" ref="R2098">IF(表成绩单[[#This Row],[英语]]="","",SUMPRODUCT((表成绩单[考试日期]=表成绩单[[#This Row],[考试日期]])*(表成绩单[英语]&lt;9E+307)*(表成绩单[英语]&gt;表成绩单[[#This Row],[英语]]))+1)</f>
        <v>606</v>
      </c>
      <c r="S2098" s="29" cm="1">
        <f t="array" ref="S2098">IF(表成绩单[[#This Row],[物理]]="","",SUMPRODUCT((表成绩单[考试日期]=表成绩单[[#This Row],[考试日期]])*(表成绩单[物理]&lt;9E+307)*(表成绩单[物理]&gt;表成绩单[[#This Row],[物理]]))+1)</f>
        <v>441</v>
      </c>
      <c r="T2098" s="29" cm="1">
        <f t="array" ref="T2098">IF(表成绩单[[#This Row],[化学]]="","",SUMPRODUCT((表成绩单[考试日期]=表成绩单[[#This Row],[考试日期]])*(表成绩单[化学]&lt;9E+307)*(表成绩单[化学]&gt;表成绩单[[#This Row],[化学]]))+1)</f>
        <v>472</v>
      </c>
      <c r="U2098" s="29" cm="1">
        <f t="array" ref="U2098">IF(表成绩单[[#This Row],[政治]]="","",SUMPRODUCT((表成绩单[考试日期]=表成绩单[[#This Row],[考试日期]])*(表成绩单[政治]&lt;9E+307)*(表成绩单[政治]&gt;表成绩单[[#This Row],[政治]]))+1)</f>
        <v>591</v>
      </c>
      <c r="V2098" s="29" cm="1">
        <f t="array" ref="V2098">IF(表成绩单[[#This Row],[历史]]="","",SUMPRODUCT((表成绩单[考试日期]=表成绩单[[#This Row],[考试日期]])*(表成绩单[历史]&lt;9E+307)*(表成绩单[历史]&gt;表成绩单[[#This Row],[历史]]))+1)</f>
        <v>215</v>
      </c>
      <c r="W2098" s="29" cm="1">
        <f t="array" ref="W2098">IF(表成绩单[[#This Row],[总分]]="","",SUMPRODUCT((表成绩单[考试日期]=表成绩单[[#This Row],[考试日期]])*(表成绩单[总分]&lt;9E+307)*(表成绩单[总分]&gt;表成绩单[[#This Row],[总分]]))+1)</f>
        <v>492</v>
      </c>
    </row>
    <row r="2099" ht="28" customHeight="1" spans="4:23">
      <c r="D2099" s="31">
        <v>46030</v>
      </c>
      <c r="E2099" s="29">
        <v>19172630</v>
      </c>
      <c r="F2099" s="29" t="s">
        <v>60</v>
      </c>
      <c r="G2099" s="29" t="s">
        <v>593</v>
      </c>
      <c r="H2099" s="29">
        <v>94</v>
      </c>
      <c r="I2099" s="29">
        <v>73</v>
      </c>
      <c r="J2099" s="29">
        <v>61.5</v>
      </c>
      <c r="K2099" s="29">
        <v>67</v>
      </c>
      <c r="L2099" s="29">
        <v>65</v>
      </c>
      <c r="M2099" s="29">
        <v>59</v>
      </c>
      <c r="N2099" s="29">
        <v>63</v>
      </c>
      <c r="O2099" s="32">
        <v>482.5</v>
      </c>
      <c r="P2099" s="29" cm="1">
        <f t="array" ref="P2099">IF(表成绩单[[#This Row],[语文]]="","",SUMPRODUCT((表成绩单[考试日期]=表成绩单[[#This Row],[考试日期]])*(表成绩单[语文]&lt;9E+307)*(表成绩单[语文]&gt;表成绩单[[#This Row],[语文]]))+1)</f>
        <v>381</v>
      </c>
      <c r="Q2099" s="29" cm="1">
        <f t="array" ref="Q2099">IF(表成绩单[[#This Row],[数学]]="","",SUMPRODUCT((表成绩单[考试日期]=表成绩单[[#This Row],[考试日期]])*(表成绩单[数学]&lt;9E+307)*(表成绩单[数学]&gt;表成绩单[[#This Row],[数学]]))+1)</f>
        <v>547</v>
      </c>
      <c r="R2099" s="29" cm="1">
        <f t="array" ref="R2099">IF(表成绩单[[#This Row],[英语]]="","",SUMPRODUCT((表成绩单[考试日期]=表成绩单[[#This Row],[考试日期]])*(表成绩单[英语]&lt;9E+307)*(表成绩单[英语]&gt;表成绩单[[#This Row],[英语]]))+1)</f>
        <v>495</v>
      </c>
      <c r="S2099" s="29" cm="1">
        <f t="array" ref="S2099">IF(表成绩单[[#This Row],[物理]]="","",SUMPRODUCT((表成绩单[考试日期]=表成绩单[[#This Row],[考试日期]])*(表成绩单[物理]&lt;9E+307)*(表成绩单[物理]&gt;表成绩单[[#This Row],[物理]]))+1)</f>
        <v>394</v>
      </c>
      <c r="T2099" s="29" cm="1">
        <f t="array" ref="T2099">IF(表成绩单[[#This Row],[化学]]="","",SUMPRODUCT((表成绩单[考试日期]=表成绩单[[#This Row],[考试日期]])*(表成绩单[化学]&lt;9E+307)*(表成绩单[化学]&gt;表成绩单[[#This Row],[化学]]))+1)</f>
        <v>439</v>
      </c>
      <c r="U2099" s="29" cm="1">
        <f t="array" ref="U2099">IF(表成绩单[[#This Row],[政治]]="","",SUMPRODUCT((表成绩单[考试日期]=表成绩单[[#This Row],[考试日期]])*(表成绩单[政治]&lt;9E+307)*(表成绩单[政治]&gt;表成绩单[[#This Row],[政治]]))+1)</f>
        <v>557</v>
      </c>
      <c r="V2099" s="29" cm="1">
        <f t="array" ref="V2099">IF(表成绩单[[#This Row],[历史]]="","",SUMPRODUCT((表成绩单[考试日期]=表成绩单[[#This Row],[考试日期]])*(表成绩单[历史]&lt;9E+307)*(表成绩单[历史]&gt;表成绩单[[#This Row],[历史]]))+1)</f>
        <v>521</v>
      </c>
      <c r="W2099" s="29" cm="1">
        <f t="array" ref="W2099">IF(表成绩单[[#This Row],[总分]]="","",SUMPRODUCT((表成绩单[考试日期]=表成绩单[[#This Row],[考试日期]])*(表成绩单[总分]&lt;9E+307)*(表成绩单[总分]&gt;表成绩单[[#This Row],[总分]]))+1)</f>
        <v>493</v>
      </c>
    </row>
    <row r="2100" ht="28" customHeight="1" spans="4:23">
      <c r="D2100" s="31">
        <v>46030</v>
      </c>
      <c r="E2100" s="29">
        <v>19173796</v>
      </c>
      <c r="F2100" s="29" t="s">
        <v>65</v>
      </c>
      <c r="G2100" s="29" t="s">
        <v>635</v>
      </c>
      <c r="H2100" s="29">
        <v>84</v>
      </c>
      <c r="I2100" s="29">
        <v>68</v>
      </c>
      <c r="J2100" s="29">
        <v>68.5</v>
      </c>
      <c r="K2100" s="29">
        <v>77</v>
      </c>
      <c r="L2100" s="29">
        <v>65</v>
      </c>
      <c r="M2100" s="29">
        <v>55</v>
      </c>
      <c r="N2100" s="29">
        <v>65</v>
      </c>
      <c r="O2100" s="32">
        <v>482.5</v>
      </c>
      <c r="P2100" s="29" cm="1">
        <f t="array" ref="P2100">IF(表成绩单[[#This Row],[语文]]="","",SUMPRODUCT((表成绩单[考试日期]=表成绩单[[#This Row],[考试日期]])*(表成绩单[语文]&lt;9E+307)*(表成绩单[语文]&gt;表成绩单[[#This Row],[语文]]))+1)</f>
        <v>635</v>
      </c>
      <c r="Q2100" s="29" cm="1">
        <f t="array" ref="Q2100">IF(表成绩单[[#This Row],[数学]]="","",SUMPRODUCT((表成绩单[考试日期]=表成绩单[[#This Row],[考试日期]])*(表成绩单[数学]&lt;9E+307)*(表成绩单[数学]&gt;表成绩单[[#This Row],[数学]]))+1)</f>
        <v>608</v>
      </c>
      <c r="R2100" s="29" cm="1">
        <f t="array" ref="R2100">IF(表成绩单[[#This Row],[英语]]="","",SUMPRODUCT((表成绩单[考试日期]=表成绩单[[#This Row],[考试日期]])*(表成绩单[英语]&lt;9E+307)*(表成绩单[英语]&gt;表成绩单[[#This Row],[英语]]))+1)</f>
        <v>351</v>
      </c>
      <c r="S2100" s="29" cm="1">
        <f t="array" ref="S2100">IF(表成绩单[[#This Row],[物理]]="","",SUMPRODUCT((表成绩单[考试日期]=表成绩单[[#This Row],[考试日期]])*(表成绩单[物理]&lt;9E+307)*(表成绩单[物理]&gt;表成绩单[[#This Row],[物理]]))+1)</f>
        <v>197</v>
      </c>
      <c r="T2100" s="29" cm="1">
        <f t="array" ref="T2100">IF(表成绩单[[#This Row],[化学]]="","",SUMPRODUCT((表成绩单[考试日期]=表成绩单[[#This Row],[考试日期]])*(表成绩单[化学]&lt;9E+307)*(表成绩单[化学]&gt;表成绩单[[#This Row],[化学]]))+1)</f>
        <v>439</v>
      </c>
      <c r="U2100" s="29" cm="1">
        <f t="array" ref="U2100">IF(表成绩单[[#This Row],[政治]]="","",SUMPRODUCT((表成绩单[考试日期]=表成绩单[[#This Row],[考试日期]])*(表成绩单[政治]&lt;9E+307)*(表成绩单[政治]&gt;表成绩单[[#This Row],[政治]]))+1)</f>
        <v>608</v>
      </c>
      <c r="V2100" s="29" cm="1">
        <f t="array" ref="V2100">IF(表成绩单[[#This Row],[历史]]="","",SUMPRODUCT((表成绩单[考试日期]=表成绩单[[#This Row],[考试日期]])*(表成绩单[历史]&lt;9E+307)*(表成绩单[历史]&gt;表成绩单[[#This Row],[历史]]))+1)</f>
        <v>471</v>
      </c>
      <c r="W2100" s="29" cm="1">
        <f t="array" ref="W2100">IF(表成绩单[[#This Row],[总分]]="","",SUMPRODUCT((表成绩单[考试日期]=表成绩单[[#This Row],[考试日期]])*(表成绩单[总分]&lt;9E+307)*(表成绩单[总分]&gt;表成绩单[[#This Row],[总分]]))+1)</f>
        <v>493</v>
      </c>
    </row>
    <row r="2101" ht="28" customHeight="1" spans="4:23">
      <c r="D2101" s="31">
        <v>46030</v>
      </c>
      <c r="E2101" s="29">
        <v>19176005</v>
      </c>
      <c r="F2101" s="29" t="s">
        <v>59</v>
      </c>
      <c r="G2101" s="29" t="s">
        <v>677</v>
      </c>
      <c r="H2101" s="29">
        <v>86</v>
      </c>
      <c r="I2101" s="29">
        <v>82</v>
      </c>
      <c r="J2101" s="29">
        <v>65.5</v>
      </c>
      <c r="K2101" s="29">
        <v>53</v>
      </c>
      <c r="L2101" s="29">
        <v>65</v>
      </c>
      <c r="M2101" s="29">
        <v>72</v>
      </c>
      <c r="N2101" s="29">
        <v>59</v>
      </c>
      <c r="O2101" s="32">
        <v>482.5</v>
      </c>
      <c r="P2101" s="29" cm="1">
        <f t="array" ref="P2101">IF(表成绩单[[#This Row],[语文]]="","",SUMPRODUCT((表成绩单[考试日期]=表成绩单[[#This Row],[考试日期]])*(表成绩单[语文]&lt;9E+307)*(表成绩单[语文]&gt;表成绩单[[#This Row],[语文]]))+1)</f>
        <v>601</v>
      </c>
      <c r="Q2101" s="29" cm="1">
        <f t="array" ref="Q2101">IF(表成绩单[[#This Row],[数学]]="","",SUMPRODUCT((表成绩单[考试日期]=表成绩单[[#This Row],[考试日期]])*(表成绩单[数学]&lt;9E+307)*(表成绩单[数学]&gt;表成绩单[[#This Row],[数学]]))+1)</f>
        <v>383</v>
      </c>
      <c r="R2101" s="29" cm="1">
        <f t="array" ref="R2101">IF(表成绩单[[#This Row],[英语]]="","",SUMPRODUCT((表成绩单[考试日期]=表成绩单[[#This Row],[考试日期]])*(表成绩单[英语]&lt;9E+307)*(表成绩单[英语]&gt;表成绩单[[#This Row],[英语]]))+1)</f>
        <v>429</v>
      </c>
      <c r="S2101" s="29" cm="1">
        <f t="array" ref="S2101">IF(表成绩单[[#This Row],[物理]]="","",SUMPRODUCT((表成绩单[考试日期]=表成绩单[[#This Row],[考试日期]])*(表成绩单[物理]&lt;9E+307)*(表成绩单[物理]&gt;表成绩单[[#This Row],[物理]]))+1)</f>
        <v>578</v>
      </c>
      <c r="T2101" s="29" cm="1">
        <f t="array" ref="T2101">IF(表成绩单[[#This Row],[化学]]="","",SUMPRODUCT((表成绩单[考试日期]=表成绩单[[#This Row],[考试日期]])*(表成绩单[化学]&lt;9E+307)*(表成绩单[化学]&gt;表成绩单[[#This Row],[化学]]))+1)</f>
        <v>439</v>
      </c>
      <c r="U2101" s="29" cm="1">
        <f t="array" ref="U2101">IF(表成绩单[[#This Row],[政治]]="","",SUMPRODUCT((表成绩单[考试日期]=表成绩单[[#This Row],[考试日期]])*(表成绩单[政治]&lt;9E+307)*(表成绩单[政治]&gt;表成绩单[[#This Row],[政治]]))+1)</f>
        <v>224</v>
      </c>
      <c r="V2101" s="29" cm="1">
        <f t="array" ref="V2101">IF(表成绩单[[#This Row],[历史]]="","",SUMPRODUCT((表成绩单[考试日期]=表成绩单[[#This Row],[考试日期]])*(表成绩单[历史]&lt;9E+307)*(表成绩单[历史]&gt;表成绩单[[#This Row],[历史]]))+1)</f>
        <v>601</v>
      </c>
      <c r="W2101" s="29" cm="1">
        <f t="array" ref="W2101">IF(表成绩单[[#This Row],[总分]]="","",SUMPRODUCT((表成绩单[考试日期]=表成绩单[[#This Row],[考试日期]])*(表成绩单[总分]&lt;9E+307)*(表成绩单[总分]&gt;表成绩单[[#This Row],[总分]]))+1)</f>
        <v>493</v>
      </c>
    </row>
    <row r="2102" ht="28" customHeight="1" spans="4:23">
      <c r="D2102" s="31">
        <v>46030</v>
      </c>
      <c r="E2102" s="29">
        <v>19172640</v>
      </c>
      <c r="F2102" s="29" t="s">
        <v>60</v>
      </c>
      <c r="G2102" s="29" t="s">
        <v>491</v>
      </c>
      <c r="H2102" s="29">
        <v>90</v>
      </c>
      <c r="I2102" s="29">
        <v>71</v>
      </c>
      <c r="J2102" s="29">
        <v>67.5</v>
      </c>
      <c r="K2102" s="29">
        <v>60</v>
      </c>
      <c r="L2102" s="29">
        <v>59</v>
      </c>
      <c r="M2102" s="29">
        <v>68</v>
      </c>
      <c r="N2102" s="29">
        <v>66</v>
      </c>
      <c r="O2102" s="32">
        <v>481.5</v>
      </c>
      <c r="P2102" s="29" cm="1">
        <f t="array" ref="P2102">IF(表成绩单[[#This Row],[语文]]="","",SUMPRODUCT((表成绩单[考试日期]=表成绩单[[#This Row],[考试日期]])*(表成绩单[语文]&lt;9E+307)*(表成绩单[语文]&gt;表成绩单[[#This Row],[语文]]))+1)</f>
        <v>509</v>
      </c>
      <c r="Q2102" s="29" cm="1">
        <f t="array" ref="Q2102">IF(表成绩单[[#This Row],[数学]]="","",SUMPRODUCT((表成绩单[考试日期]=表成绩单[[#This Row],[考试日期]])*(表成绩单[数学]&lt;9E+307)*(表成绩单[数学]&gt;表成绩单[[#This Row],[数学]]))+1)</f>
        <v>578</v>
      </c>
      <c r="R2102" s="29" cm="1">
        <f t="array" ref="R2102">IF(表成绩单[[#This Row],[英语]]="","",SUMPRODUCT((表成绩单[考试日期]=表成绩单[[#This Row],[考试日期]])*(表成绩单[英语]&lt;9E+307)*(表成绩单[英语]&gt;表成绩单[[#This Row],[英语]]))+1)</f>
        <v>377</v>
      </c>
      <c r="S2102" s="29" cm="1">
        <f t="array" ref="S2102">IF(表成绩单[[#This Row],[物理]]="","",SUMPRODUCT((表成绩单[考试日期]=表成绩单[[#This Row],[考试日期]])*(表成绩单[物理]&lt;9E+307)*(表成绩单[物理]&gt;表成绩单[[#This Row],[物理]]))+1)</f>
        <v>499</v>
      </c>
      <c r="T2102" s="29" cm="1">
        <f t="array" ref="T2102">IF(表成绩单[[#This Row],[化学]]="","",SUMPRODUCT((表成绩单[考试日期]=表成绩单[[#This Row],[考试日期]])*(表成绩单[化学]&lt;9E+307)*(表成绩单[化学]&gt;表成绩单[[#This Row],[化学]]))+1)</f>
        <v>540</v>
      </c>
      <c r="U2102" s="29" cm="1">
        <f t="array" ref="U2102">IF(表成绩单[[#This Row],[政治]]="","",SUMPRODUCT((表成绩单[考试日期]=表成绩单[[#This Row],[考试日期]])*(表成绩单[政治]&lt;9E+307)*(表成绩单[政治]&gt;表成绩单[[#This Row],[政治]]))+1)</f>
        <v>336</v>
      </c>
      <c r="V2102" s="29" cm="1">
        <f t="array" ref="V2102">IF(表成绩单[[#This Row],[历史]]="","",SUMPRODUCT((表成绩单[考试日期]=表成绩单[[#This Row],[考试日期]])*(表成绩单[历史]&lt;9E+307)*(表成绩单[历史]&gt;表成绩单[[#This Row],[历史]]))+1)</f>
        <v>451</v>
      </c>
      <c r="W2102" s="29" cm="1">
        <f t="array" ref="W2102">IF(表成绩单[[#This Row],[总分]]="","",SUMPRODUCT((表成绩单[考试日期]=表成绩单[[#This Row],[考试日期]])*(表成绩单[总分]&lt;9E+307)*(表成绩单[总分]&gt;表成绩单[[#This Row],[总分]]))+1)</f>
        <v>496</v>
      </c>
    </row>
    <row r="2103" ht="28" customHeight="1" spans="4:23">
      <c r="D2103" s="31">
        <v>46030</v>
      </c>
      <c r="E2103" s="29">
        <v>19175681</v>
      </c>
      <c r="F2103" s="29" t="s">
        <v>72</v>
      </c>
      <c r="G2103" s="29" t="s">
        <v>510</v>
      </c>
      <c r="H2103" s="29">
        <v>85</v>
      </c>
      <c r="I2103" s="29">
        <v>79</v>
      </c>
      <c r="J2103" s="29">
        <v>66.5</v>
      </c>
      <c r="K2103" s="29">
        <v>61</v>
      </c>
      <c r="L2103" s="29">
        <v>55</v>
      </c>
      <c r="M2103" s="29">
        <v>68</v>
      </c>
      <c r="N2103" s="29">
        <v>67</v>
      </c>
      <c r="O2103" s="32">
        <v>481.5</v>
      </c>
      <c r="P2103" s="29" cm="1">
        <f t="array" ref="P2103">IF(表成绩单[[#This Row],[语文]]="","",SUMPRODUCT((表成绩单[考试日期]=表成绩单[[#This Row],[考试日期]])*(表成绩单[语文]&lt;9E+307)*(表成绩单[语文]&gt;表成绩单[[#This Row],[语文]]))+1)</f>
        <v>619</v>
      </c>
      <c r="Q2103" s="29" cm="1">
        <f t="array" ref="Q2103">IF(表成绩单[[#This Row],[数学]]="","",SUMPRODUCT((表成绩单[考试日期]=表成绩单[[#This Row],[考试日期]])*(表成绩单[数学]&lt;9E+307)*(表成绩单[数学]&gt;表成绩单[[#This Row],[数学]]))+1)</f>
        <v>427</v>
      </c>
      <c r="R2103" s="29" cm="1">
        <f t="array" ref="R2103">IF(表成绩单[[#This Row],[英语]]="","",SUMPRODUCT((表成绩单[考试日期]=表成绩单[[#This Row],[考试日期]])*(表成绩单[英语]&lt;9E+307)*(表成绩单[英语]&gt;表成绩单[[#This Row],[英语]]))+1)</f>
        <v>402</v>
      </c>
      <c r="S2103" s="29" cm="1">
        <f t="array" ref="S2103">IF(表成绩单[[#This Row],[物理]]="","",SUMPRODUCT((表成绩单[考试日期]=表成绩单[[#This Row],[考试日期]])*(表成绩单[物理]&lt;9E+307)*(表成绩单[物理]&gt;表成绩单[[#This Row],[物理]]))+1)</f>
        <v>482</v>
      </c>
      <c r="T2103" s="29" cm="1">
        <f t="array" ref="T2103">IF(表成绩单[[#This Row],[化学]]="","",SUMPRODUCT((表成绩单[考试日期]=表成绩单[[#This Row],[考试日期]])*(表成绩单[化学]&lt;9E+307)*(表成绩单[化学]&gt;表成绩单[[#This Row],[化学]]))+1)</f>
        <v>593</v>
      </c>
      <c r="U2103" s="29" cm="1">
        <f t="array" ref="U2103">IF(表成绩单[[#This Row],[政治]]="","",SUMPRODUCT((表成绩单[考试日期]=表成绩单[[#This Row],[考试日期]])*(表成绩单[政治]&lt;9E+307)*(表成绩单[政治]&gt;表成绩单[[#This Row],[政治]]))+1)</f>
        <v>336</v>
      </c>
      <c r="V2103" s="29" cm="1">
        <f t="array" ref="V2103">IF(表成绩单[[#This Row],[历史]]="","",SUMPRODUCT((表成绩单[考试日期]=表成绩单[[#This Row],[考试日期]])*(表成绩单[历史]&lt;9E+307)*(表成绩单[历史]&gt;表成绩单[[#This Row],[历史]]))+1)</f>
        <v>415</v>
      </c>
      <c r="W2103" s="29" cm="1">
        <f t="array" ref="W2103">IF(表成绩单[[#This Row],[总分]]="","",SUMPRODUCT((表成绩单[考试日期]=表成绩单[[#This Row],[考试日期]])*(表成绩单[总分]&lt;9E+307)*(表成绩单[总分]&gt;表成绩单[[#This Row],[总分]]))+1)</f>
        <v>496</v>
      </c>
    </row>
    <row r="2104" ht="28" customHeight="1" spans="4:23">
      <c r="D2104" s="31">
        <v>46030</v>
      </c>
      <c r="E2104" s="29">
        <v>19178621</v>
      </c>
      <c r="F2104" s="29" t="s">
        <v>25</v>
      </c>
      <c r="G2104" s="29" t="s">
        <v>630</v>
      </c>
      <c r="H2104" s="29">
        <v>89</v>
      </c>
      <c r="I2104" s="29">
        <v>79</v>
      </c>
      <c r="J2104" s="29">
        <v>67</v>
      </c>
      <c r="K2104" s="29">
        <v>47</v>
      </c>
      <c r="L2104" s="29">
        <v>66</v>
      </c>
      <c r="M2104" s="29">
        <v>64</v>
      </c>
      <c r="N2104" s="29">
        <v>69</v>
      </c>
      <c r="O2104" s="32">
        <v>481</v>
      </c>
      <c r="P2104" s="29" cm="1">
        <f t="array" ref="P2104">IF(表成绩单[[#This Row],[语文]]="","",SUMPRODUCT((表成绩单[考试日期]=表成绩单[[#This Row],[考试日期]])*(表成绩单[语文]&lt;9E+307)*(表成绩单[语文]&gt;表成绩单[[#This Row],[语文]]))+1)</f>
        <v>540</v>
      </c>
      <c r="Q2104" s="29" cm="1">
        <f t="array" ref="Q2104">IF(表成绩单[[#This Row],[数学]]="","",SUMPRODUCT((表成绩单[考试日期]=表成绩单[[#This Row],[考试日期]])*(表成绩单[数学]&lt;9E+307)*(表成绩单[数学]&gt;表成绩单[[#This Row],[数学]]))+1)</f>
        <v>427</v>
      </c>
      <c r="R2104" s="29" cm="1">
        <f t="array" ref="R2104">IF(表成绩单[[#This Row],[英语]]="","",SUMPRODUCT((表成绩单[考试日期]=表成绩单[[#This Row],[考试日期]])*(表成绩单[英语]&lt;9E+307)*(表成绩单[英语]&gt;表成绩单[[#This Row],[英语]]))+1)</f>
        <v>391</v>
      </c>
      <c r="S2104" s="29" cm="1">
        <f t="array" ref="S2104">IF(表成绩单[[#This Row],[物理]]="","",SUMPRODUCT((表成绩单[考试日期]=表成绩单[[#This Row],[考试日期]])*(表成绩单[物理]&lt;9E+307)*(表成绩单[物理]&gt;表成绩单[[#This Row],[物理]]))+1)</f>
        <v>637</v>
      </c>
      <c r="T2104" s="29" cm="1">
        <f t="array" ref="T2104">IF(表成绩单[[#This Row],[化学]]="","",SUMPRODUCT((表成绩单[考试日期]=表成绩单[[#This Row],[考试日期]])*(表成绩单[化学]&lt;9E+307)*(表成绩单[化学]&gt;表成绩单[[#This Row],[化学]]))+1)</f>
        <v>414</v>
      </c>
      <c r="U2104" s="29" cm="1">
        <f t="array" ref="U2104">IF(表成绩单[[#This Row],[政治]]="","",SUMPRODUCT((表成绩单[考试日期]=表成绩单[[#This Row],[考试日期]])*(表成绩单[政治]&lt;9E+307)*(表成绩单[政治]&gt;表成绩单[[#This Row],[政治]]))+1)</f>
        <v>457</v>
      </c>
      <c r="V2104" s="29" cm="1">
        <f t="array" ref="V2104">IF(表成绩单[[#This Row],[历史]]="","",SUMPRODUCT((表成绩单[考试日期]=表成绩单[[#This Row],[考试日期]])*(表成绩单[历史]&lt;9E+307)*(表成绩单[历史]&gt;表成绩单[[#This Row],[历史]]))+1)</f>
        <v>366</v>
      </c>
      <c r="W2104" s="29" cm="1">
        <f t="array" ref="W2104">IF(表成绩单[[#This Row],[总分]]="","",SUMPRODUCT((表成绩单[考试日期]=表成绩单[[#This Row],[考试日期]])*(表成绩单[总分]&lt;9E+307)*(表成绩单[总分]&gt;表成绩单[[#This Row],[总分]]))+1)</f>
        <v>498</v>
      </c>
    </row>
    <row r="2105" ht="28" customHeight="1" spans="4:23">
      <c r="D2105" s="31">
        <v>46030</v>
      </c>
      <c r="E2105" s="29">
        <v>19174772</v>
      </c>
      <c r="F2105" s="29" t="s">
        <v>69</v>
      </c>
      <c r="G2105" s="29" t="s">
        <v>606</v>
      </c>
      <c r="H2105" s="29">
        <v>100</v>
      </c>
      <c r="I2105" s="29">
        <v>74</v>
      </c>
      <c r="J2105" s="29">
        <v>60.5</v>
      </c>
      <c r="K2105" s="29">
        <v>66</v>
      </c>
      <c r="L2105" s="29">
        <v>57</v>
      </c>
      <c r="M2105" s="29">
        <v>64</v>
      </c>
      <c r="N2105" s="29">
        <v>59</v>
      </c>
      <c r="O2105" s="32">
        <v>480.5</v>
      </c>
      <c r="P2105" s="29" cm="1">
        <f t="array" ref="P2105">IF(表成绩单[[#This Row],[语文]]="","",SUMPRODUCT((表成绩单[考试日期]=表成绩单[[#This Row],[考试日期]])*(表成绩单[语文]&lt;9E+307)*(表成绩单[语文]&gt;表成绩单[[#This Row],[语文]]))+1)</f>
        <v>182</v>
      </c>
      <c r="Q2105" s="29" cm="1">
        <f t="array" ref="Q2105">IF(表成绩单[[#This Row],[数学]]="","",SUMPRODUCT((表成绩单[考试日期]=表成绩单[[#This Row],[考试日期]])*(表成绩单[数学]&lt;9E+307)*(表成绩单[数学]&gt;表成绩单[[#This Row],[数学]]))+1)</f>
        <v>535</v>
      </c>
      <c r="R2105" s="29" cm="1">
        <f t="array" ref="R2105">IF(表成绩单[[#This Row],[英语]]="","",SUMPRODUCT((表成绩单[考试日期]=表成绩单[[#This Row],[考试日期]])*(表成绩单[英语]&lt;9E+307)*(表成绩单[英语]&gt;表成绩单[[#This Row],[英语]]))+1)</f>
        <v>520</v>
      </c>
      <c r="S2105" s="29" cm="1">
        <f t="array" ref="S2105">IF(表成绩单[[#This Row],[物理]]="","",SUMPRODUCT((表成绩单[考试日期]=表成绩单[[#This Row],[考试日期]])*(表成绩单[物理]&lt;9E+307)*(表成绩单[物理]&gt;表成绩单[[#This Row],[物理]]))+1)</f>
        <v>415</v>
      </c>
      <c r="T2105" s="29" cm="1">
        <f t="array" ref="T2105">IF(表成绩单[[#This Row],[化学]]="","",SUMPRODUCT((表成绩单[考试日期]=表成绩单[[#This Row],[考试日期]])*(表成绩单[化学]&lt;9E+307)*(表成绩单[化学]&gt;表成绩单[[#This Row],[化学]]))+1)</f>
        <v>564</v>
      </c>
      <c r="U2105" s="29" cm="1">
        <f t="array" ref="U2105">IF(表成绩单[[#This Row],[政治]]="","",SUMPRODUCT((表成绩单[考试日期]=表成绩单[[#This Row],[考试日期]])*(表成绩单[政治]&lt;9E+307)*(表成绩单[政治]&gt;表成绩单[[#This Row],[政治]]))+1)</f>
        <v>457</v>
      </c>
      <c r="V2105" s="29" cm="1">
        <f t="array" ref="V2105">IF(表成绩单[[#This Row],[历史]]="","",SUMPRODUCT((表成绩单[考试日期]=表成绩单[[#This Row],[考试日期]])*(表成绩单[历史]&lt;9E+307)*(表成绩单[历史]&gt;表成绩单[[#This Row],[历史]]))+1)</f>
        <v>601</v>
      </c>
      <c r="W2105" s="29" cm="1">
        <f t="array" ref="W2105">IF(表成绩单[[#This Row],[总分]]="","",SUMPRODUCT((表成绩单[考试日期]=表成绩单[[#This Row],[考试日期]])*(表成绩单[总分]&lt;9E+307)*(表成绩单[总分]&gt;表成绩单[[#This Row],[总分]]))+1)</f>
        <v>499</v>
      </c>
    </row>
    <row r="2106" ht="28" customHeight="1" spans="4:23">
      <c r="D2106" s="31">
        <v>46030</v>
      </c>
      <c r="E2106" s="29">
        <v>19176855</v>
      </c>
      <c r="F2106" s="29" t="s">
        <v>71</v>
      </c>
      <c r="G2106" s="29" t="s">
        <v>592</v>
      </c>
      <c r="H2106" s="29">
        <v>84</v>
      </c>
      <c r="I2106" s="29">
        <v>83</v>
      </c>
      <c r="J2106" s="29">
        <v>58</v>
      </c>
      <c r="K2106" s="29">
        <v>56</v>
      </c>
      <c r="L2106" s="29">
        <v>61</v>
      </c>
      <c r="M2106" s="29">
        <v>70</v>
      </c>
      <c r="N2106" s="29">
        <v>68</v>
      </c>
      <c r="O2106" s="32">
        <v>480</v>
      </c>
      <c r="P2106" s="29" cm="1">
        <f t="array" ref="P2106">IF(表成绩单[[#This Row],[语文]]="","",SUMPRODUCT((表成绩单[考试日期]=表成绩单[[#This Row],[考试日期]])*(表成绩单[语文]&lt;9E+307)*(表成绩单[语文]&gt;表成绩单[[#This Row],[语文]]))+1)</f>
        <v>635</v>
      </c>
      <c r="Q2106" s="29" cm="1">
        <f t="array" ref="Q2106">IF(表成绩单[[#This Row],[数学]]="","",SUMPRODUCT((表成绩单[考试日期]=表成绩单[[#This Row],[考试日期]])*(表成绩单[数学]&lt;9E+307)*(表成绩单[数学]&gt;表成绩单[[#This Row],[数学]]))+1)</f>
        <v>360</v>
      </c>
      <c r="R2106" s="29" cm="1">
        <f t="array" ref="R2106">IF(表成绩单[[#This Row],[英语]]="","",SUMPRODUCT((表成绩单[考试日期]=表成绩单[[#This Row],[考试日期]])*(表成绩单[英语]&lt;9E+307)*(表成绩单[英语]&gt;表成绩单[[#This Row],[英语]]))+1)</f>
        <v>556</v>
      </c>
      <c r="S2106" s="29" cm="1">
        <f t="array" ref="S2106">IF(表成绩单[[#This Row],[物理]]="","",SUMPRODUCT((表成绩单[考试日期]=表成绩单[[#This Row],[考试日期]])*(表成绩单[物理]&lt;9E+307)*(表成绩单[物理]&gt;表成绩单[[#This Row],[物理]]))+1)</f>
        <v>552</v>
      </c>
      <c r="T2106" s="29" cm="1">
        <f t="array" ref="T2106">IF(表成绩单[[#This Row],[化学]]="","",SUMPRODUCT((表成绩单[考试日期]=表成绩单[[#This Row],[考试日期]])*(表成绩单[化学]&lt;9E+307)*(表成绩单[化学]&gt;表成绩单[[#This Row],[化学]]))+1)</f>
        <v>508</v>
      </c>
      <c r="U2106" s="29" cm="1">
        <f t="array" ref="U2106">IF(表成绩单[[#This Row],[政治]]="","",SUMPRODUCT((表成绩单[考试日期]=表成绩单[[#This Row],[考试日期]])*(表成绩单[政治]&lt;9E+307)*(表成绩单[政治]&gt;表成绩单[[#This Row],[政治]]))+1)</f>
        <v>274</v>
      </c>
      <c r="V2106" s="29" cm="1">
        <f t="array" ref="V2106">IF(表成绩单[[#This Row],[历史]]="","",SUMPRODUCT((表成绩单[考试日期]=表成绩单[[#This Row],[考试日期]])*(表成绩单[历史]&lt;9E+307)*(表成绩单[历史]&gt;表成绩单[[#This Row],[历史]]))+1)</f>
        <v>390</v>
      </c>
      <c r="W2106" s="29" cm="1">
        <f t="array" ref="W2106">IF(表成绩单[[#This Row],[总分]]="","",SUMPRODUCT((表成绩单[考试日期]=表成绩单[[#This Row],[考试日期]])*(表成绩单[总分]&lt;9E+307)*(表成绩单[总分]&gt;表成绩单[[#This Row],[总分]]))+1)</f>
        <v>500</v>
      </c>
    </row>
    <row r="2107" ht="28" customHeight="1" spans="4:23">
      <c r="D2107" s="31">
        <v>46030</v>
      </c>
      <c r="E2107" s="29">
        <v>19175631</v>
      </c>
      <c r="F2107" s="29" t="s">
        <v>57</v>
      </c>
      <c r="G2107" s="29" t="s">
        <v>648</v>
      </c>
      <c r="H2107" s="29">
        <v>94</v>
      </c>
      <c r="I2107" s="29">
        <v>77</v>
      </c>
      <c r="J2107" s="29">
        <v>62.5</v>
      </c>
      <c r="K2107" s="29">
        <v>51</v>
      </c>
      <c r="L2107" s="29">
        <v>69</v>
      </c>
      <c r="M2107" s="29">
        <v>63</v>
      </c>
      <c r="N2107" s="29">
        <v>63</v>
      </c>
      <c r="O2107" s="32">
        <v>479.5</v>
      </c>
      <c r="P2107" s="29" cm="1">
        <f t="array" ref="P2107">IF(表成绩单[[#This Row],[语文]]="","",SUMPRODUCT((表成绩单[考试日期]=表成绩单[[#This Row],[考试日期]])*(表成绩单[语文]&lt;9E+307)*(表成绩单[语文]&gt;表成绩单[[#This Row],[语文]]))+1)</f>
        <v>381</v>
      </c>
      <c r="Q2107" s="29" cm="1">
        <f t="array" ref="Q2107">IF(表成绩单[[#This Row],[数学]]="","",SUMPRODUCT((表成绩单[考试日期]=表成绩单[[#This Row],[考试日期]])*(表成绩单[数学]&lt;9E+307)*(表成绩单[数学]&gt;表成绩单[[#This Row],[数学]]))+1)</f>
        <v>478</v>
      </c>
      <c r="R2107" s="29" cm="1">
        <f t="array" ref="R2107">IF(表成绩单[[#This Row],[英语]]="","",SUMPRODUCT((表成绩单[考试日期]=表成绩单[[#This Row],[考试日期]])*(表成绩单[英语]&lt;9E+307)*(表成绩单[英语]&gt;表成绩单[[#This Row],[英语]]))+1)</f>
        <v>477</v>
      </c>
      <c r="S2107" s="29" cm="1">
        <f t="array" ref="S2107">IF(表成绩单[[#This Row],[物理]]="","",SUMPRODUCT((表成绩单[考试日期]=表成绩单[[#This Row],[考试日期]])*(表成绩单[物理]&lt;9E+307)*(表成绩单[物理]&gt;表成绩单[[#This Row],[物理]]))+1)</f>
        <v>595</v>
      </c>
      <c r="T2107" s="29" cm="1">
        <f t="array" ref="T2107">IF(表成绩单[[#This Row],[化学]]="","",SUMPRODUCT((表成绩单[考试日期]=表成绩单[[#This Row],[考试日期]])*(表成绩单[化学]&lt;9E+307)*(表成绩单[化学]&gt;表成绩单[[#This Row],[化学]]))+1)</f>
        <v>339</v>
      </c>
      <c r="U2107" s="29" cm="1">
        <f t="array" ref="U2107">IF(表成绩单[[#This Row],[政治]]="","",SUMPRODUCT((表成绩单[考试日期]=表成绩单[[#This Row],[考试日期]])*(表成绩单[政治]&lt;9E+307)*(表成绩单[政治]&gt;表成绩单[[#This Row],[政治]]))+1)</f>
        <v>486</v>
      </c>
      <c r="V2107" s="29" cm="1">
        <f t="array" ref="V2107">IF(表成绩单[[#This Row],[历史]]="","",SUMPRODUCT((表成绩单[考试日期]=表成绩单[[#This Row],[考试日期]])*(表成绩单[历史]&lt;9E+307)*(表成绩单[历史]&gt;表成绩单[[#This Row],[历史]]))+1)</f>
        <v>521</v>
      </c>
      <c r="W2107" s="29" cm="1">
        <f t="array" ref="W2107">IF(表成绩单[[#This Row],[总分]]="","",SUMPRODUCT((表成绩单[考试日期]=表成绩单[[#This Row],[考试日期]])*(表成绩单[总分]&lt;9E+307)*(表成绩单[总分]&gt;表成绩单[[#This Row],[总分]]))+1)</f>
        <v>501</v>
      </c>
    </row>
    <row r="2108" ht="28" customHeight="1" spans="4:23">
      <c r="D2108" s="31">
        <v>46030</v>
      </c>
      <c r="E2108" s="29">
        <v>19177646</v>
      </c>
      <c r="F2108" s="29" t="s">
        <v>63</v>
      </c>
      <c r="G2108" s="29" t="s">
        <v>587</v>
      </c>
      <c r="H2108" s="29">
        <v>91</v>
      </c>
      <c r="I2108" s="29">
        <v>67</v>
      </c>
      <c r="J2108" s="29">
        <v>63.5</v>
      </c>
      <c r="K2108" s="29">
        <v>75</v>
      </c>
      <c r="L2108" s="29">
        <v>59</v>
      </c>
      <c r="M2108" s="29">
        <v>58</v>
      </c>
      <c r="N2108" s="29">
        <v>66</v>
      </c>
      <c r="O2108" s="32">
        <v>479.5</v>
      </c>
      <c r="P2108" s="29" cm="1">
        <f t="array" ref="P2108">IF(表成绩单[[#This Row],[语文]]="","",SUMPRODUCT((表成绩单[考试日期]=表成绩单[[#This Row],[考试日期]])*(表成绩单[语文]&lt;9E+307)*(表成绩单[语文]&gt;表成绩单[[#This Row],[语文]]))+1)</f>
        <v>478</v>
      </c>
      <c r="Q2108" s="29" cm="1">
        <f t="array" ref="Q2108">IF(表成绩单[[#This Row],[数学]]="","",SUMPRODUCT((表成绩单[考试日期]=表成绩单[[#This Row],[考试日期]])*(表成绩单[数学]&lt;9E+307)*(表成绩单[数学]&gt;表成绩单[[#This Row],[数学]]))+1)</f>
        <v>620</v>
      </c>
      <c r="R2108" s="29" cm="1">
        <f t="array" ref="R2108">IF(表成绩单[[#This Row],[英语]]="","",SUMPRODUCT((表成绩单[考试日期]=表成绩单[[#This Row],[考试日期]])*(表成绩单[英语]&lt;9E+307)*(表成绩单[英语]&gt;表成绩单[[#This Row],[英语]]))+1)</f>
        <v>466</v>
      </c>
      <c r="S2108" s="29" cm="1">
        <f t="array" ref="S2108">IF(表成绩单[[#This Row],[物理]]="","",SUMPRODUCT((表成绩单[考试日期]=表成绩单[[#This Row],[考试日期]])*(表成绩单[物理]&lt;9E+307)*(表成绩单[物理]&gt;表成绩单[[#This Row],[物理]]))+1)</f>
        <v>241</v>
      </c>
      <c r="T2108" s="29" cm="1">
        <f t="array" ref="T2108">IF(表成绩单[[#This Row],[化学]]="","",SUMPRODUCT((表成绩单[考试日期]=表成绩单[[#This Row],[考试日期]])*(表成绩单[化学]&lt;9E+307)*(表成绩单[化学]&gt;表成绩单[[#This Row],[化学]]))+1)</f>
        <v>540</v>
      </c>
      <c r="U2108" s="29" cm="1">
        <f t="array" ref="U2108">IF(表成绩单[[#This Row],[政治]]="","",SUMPRODUCT((表成绩单[考试日期]=表成绩单[[#This Row],[考试日期]])*(表成绩单[政治]&lt;9E+307)*(表成绩单[政治]&gt;表成绩单[[#This Row],[政治]]))+1)</f>
        <v>582</v>
      </c>
      <c r="V2108" s="29" cm="1">
        <f t="array" ref="V2108">IF(表成绩单[[#This Row],[历史]]="","",SUMPRODUCT((表成绩单[考试日期]=表成绩单[[#This Row],[考试日期]])*(表成绩单[历史]&lt;9E+307)*(表成绩单[历史]&gt;表成绩单[[#This Row],[历史]]))+1)</f>
        <v>451</v>
      </c>
      <c r="W2108" s="29" cm="1">
        <f t="array" ref="W2108">IF(表成绩单[[#This Row],[总分]]="","",SUMPRODUCT((表成绩单[考试日期]=表成绩单[[#This Row],[考试日期]])*(表成绩单[总分]&lt;9E+307)*(表成绩单[总分]&gt;表成绩单[[#This Row],[总分]]))+1)</f>
        <v>501</v>
      </c>
    </row>
    <row r="2109" ht="28" customHeight="1" spans="4:23">
      <c r="D2109" s="31">
        <v>46030</v>
      </c>
      <c r="E2109" s="29">
        <v>19175630</v>
      </c>
      <c r="F2109" s="29" t="s">
        <v>57</v>
      </c>
      <c r="G2109" s="29" t="s">
        <v>652</v>
      </c>
      <c r="H2109" s="29">
        <v>79</v>
      </c>
      <c r="I2109" s="29">
        <v>73</v>
      </c>
      <c r="J2109" s="29">
        <v>60</v>
      </c>
      <c r="K2109" s="29">
        <v>65</v>
      </c>
      <c r="L2109" s="29">
        <v>66</v>
      </c>
      <c r="M2109" s="29">
        <v>71</v>
      </c>
      <c r="N2109" s="29">
        <v>65</v>
      </c>
      <c r="O2109" s="32">
        <v>479</v>
      </c>
      <c r="P2109" s="29" cm="1">
        <f t="array" ref="P2109">IF(表成绩单[[#This Row],[语文]]="","",SUMPRODUCT((表成绩单[考试日期]=表成绩单[[#This Row],[考试日期]])*(表成绩单[语文]&lt;9E+307)*(表成绩单[语文]&gt;表成绩单[[#This Row],[语文]]))+1)</f>
        <v>684</v>
      </c>
      <c r="Q2109" s="29" cm="1">
        <f t="array" ref="Q2109">IF(表成绩单[[#This Row],[数学]]="","",SUMPRODUCT((表成绩单[考试日期]=表成绩单[[#This Row],[考试日期]])*(表成绩单[数学]&lt;9E+307)*(表成绩单[数学]&gt;表成绩单[[#This Row],[数学]]))+1)</f>
        <v>547</v>
      </c>
      <c r="R2109" s="29" cm="1">
        <f t="array" ref="R2109">IF(表成绩单[[#This Row],[英语]]="","",SUMPRODUCT((表成绩单[考试日期]=表成绩单[[#This Row],[考试日期]])*(表成绩单[英语]&lt;9E+307)*(表成绩单[英语]&gt;表成绩单[[#This Row],[英语]]))+1)</f>
        <v>524</v>
      </c>
      <c r="S2109" s="29" cm="1">
        <f t="array" ref="S2109">IF(表成绩单[[#This Row],[物理]]="","",SUMPRODUCT((表成绩单[考试日期]=表成绩单[[#This Row],[考试日期]])*(表成绩单[物理]&lt;9E+307)*(表成绩单[物理]&gt;表成绩单[[#This Row],[物理]]))+1)</f>
        <v>427</v>
      </c>
      <c r="T2109" s="29" cm="1">
        <f t="array" ref="T2109">IF(表成绩单[[#This Row],[化学]]="","",SUMPRODUCT((表成绩单[考试日期]=表成绩单[[#This Row],[考试日期]])*(表成绩单[化学]&lt;9E+307)*(表成绩单[化学]&gt;表成绩单[[#This Row],[化学]]))+1)</f>
        <v>414</v>
      </c>
      <c r="U2109" s="29" cm="1">
        <f t="array" ref="U2109">IF(表成绩单[[#This Row],[政治]]="","",SUMPRODUCT((表成绩单[考试日期]=表成绩单[[#This Row],[考试日期]])*(表成绩单[政治]&lt;9E+307)*(表成绩单[政治]&gt;表成绩单[[#This Row],[政治]]))+1)</f>
        <v>248</v>
      </c>
      <c r="V2109" s="29" cm="1">
        <f t="array" ref="V2109">IF(表成绩单[[#This Row],[历史]]="","",SUMPRODUCT((表成绩单[考试日期]=表成绩单[[#This Row],[考试日期]])*(表成绩单[历史]&lt;9E+307)*(表成绩单[历史]&gt;表成绩单[[#This Row],[历史]]))+1)</f>
        <v>471</v>
      </c>
      <c r="W2109" s="29" cm="1">
        <f t="array" ref="W2109">IF(表成绩单[[#This Row],[总分]]="","",SUMPRODUCT((表成绩单[考试日期]=表成绩单[[#This Row],[考试日期]])*(表成绩单[总分]&lt;9E+307)*(表成绩单[总分]&gt;表成绩单[[#This Row],[总分]]))+1)</f>
        <v>503</v>
      </c>
    </row>
    <row r="2110" ht="28" customHeight="1" spans="4:23">
      <c r="D2110" s="31">
        <v>46030</v>
      </c>
      <c r="E2110" s="29">
        <v>19174784</v>
      </c>
      <c r="F2110" s="29" t="s">
        <v>69</v>
      </c>
      <c r="G2110" s="29" t="s">
        <v>454</v>
      </c>
      <c r="H2110" s="29">
        <v>89</v>
      </c>
      <c r="I2110" s="29">
        <v>72</v>
      </c>
      <c r="J2110" s="29">
        <v>73.5</v>
      </c>
      <c r="K2110" s="29">
        <v>68</v>
      </c>
      <c r="L2110" s="29">
        <v>61</v>
      </c>
      <c r="M2110" s="29">
        <v>54</v>
      </c>
      <c r="N2110" s="29">
        <v>61</v>
      </c>
      <c r="O2110" s="32">
        <v>478.5</v>
      </c>
      <c r="P2110" s="29" cm="1">
        <f t="array" ref="P2110">IF(表成绩单[[#This Row],[语文]]="","",SUMPRODUCT((表成绩单[考试日期]=表成绩单[[#This Row],[考试日期]])*(表成绩单[语文]&lt;9E+307)*(表成绩单[语文]&gt;表成绩单[[#This Row],[语文]]))+1)</f>
        <v>540</v>
      </c>
      <c r="Q2110" s="29" cm="1">
        <f t="array" ref="Q2110">IF(表成绩单[[#This Row],[数学]]="","",SUMPRODUCT((表成绩单[考试日期]=表成绩单[[#This Row],[考试日期]])*(表成绩单[数学]&lt;9E+307)*(表成绩单[数学]&gt;表成绩单[[#This Row],[数学]]))+1)</f>
        <v>562</v>
      </c>
      <c r="R2110" s="29" cm="1">
        <f t="array" ref="R2110">IF(表成绩单[[#This Row],[英语]]="","",SUMPRODUCT((表成绩单[考试日期]=表成绩单[[#This Row],[考试日期]])*(表成绩单[英语]&lt;9E+307)*(表成绩单[英语]&gt;表成绩单[[#This Row],[英语]]))+1)</f>
        <v>209</v>
      </c>
      <c r="S2110" s="29" cm="1">
        <f t="array" ref="S2110">IF(表成绩单[[#This Row],[物理]]="","",SUMPRODUCT((表成绩单[考试日期]=表成绩单[[#This Row],[考试日期]])*(表成绩单[物理]&lt;9E+307)*(表成绩单[物理]&gt;表成绩单[[#This Row],[物理]]))+1)</f>
        <v>372</v>
      </c>
      <c r="T2110" s="29" cm="1">
        <f t="array" ref="T2110">IF(表成绩单[[#This Row],[化学]]="","",SUMPRODUCT((表成绩单[考试日期]=表成绩单[[#This Row],[考试日期]])*(表成绩单[化学]&lt;9E+307)*(表成绩单[化学]&gt;表成绩单[[#This Row],[化学]]))+1)</f>
        <v>508</v>
      </c>
      <c r="U2110" s="29" cm="1">
        <f t="array" ref="U2110">IF(表成绩单[[#This Row],[政治]]="","",SUMPRODUCT((表成绩单[考试日期]=表成绩单[[#This Row],[考试日期]])*(表成绩单[政治]&lt;9E+307)*(表成绩单[政治]&gt;表成绩单[[#This Row],[政治]]))+1)</f>
        <v>621</v>
      </c>
      <c r="V2110" s="29" cm="1">
        <f t="array" ref="V2110">IF(表成绩单[[#This Row],[历史]]="","",SUMPRODUCT((表成绩单[考试日期]=表成绩单[[#This Row],[考试日期]])*(表成绩单[历史]&lt;9E+307)*(表成绩单[历史]&gt;表成绩单[[#This Row],[历史]]))+1)</f>
        <v>566</v>
      </c>
      <c r="W2110" s="29" cm="1">
        <f t="array" ref="W2110">IF(表成绩单[[#This Row],[总分]]="","",SUMPRODUCT((表成绩单[考试日期]=表成绩单[[#This Row],[考试日期]])*(表成绩单[总分]&lt;9E+307)*(表成绩单[总分]&gt;表成绩单[[#This Row],[总分]]))+1)</f>
        <v>504</v>
      </c>
    </row>
    <row r="2111" ht="28" customHeight="1" spans="4:23">
      <c r="D2111" s="31">
        <v>46030</v>
      </c>
      <c r="E2111" s="29">
        <v>19178644</v>
      </c>
      <c r="F2111" s="29" t="s">
        <v>25</v>
      </c>
      <c r="G2111" s="29" t="s">
        <v>508</v>
      </c>
      <c r="H2111" s="29">
        <v>87</v>
      </c>
      <c r="I2111" s="29">
        <v>79</v>
      </c>
      <c r="J2111" s="29">
        <v>66.5</v>
      </c>
      <c r="K2111" s="29">
        <v>73</v>
      </c>
      <c r="L2111" s="29">
        <v>60</v>
      </c>
      <c r="M2111" s="29">
        <v>64</v>
      </c>
      <c r="N2111" s="29">
        <v>49</v>
      </c>
      <c r="O2111" s="32">
        <v>478.5</v>
      </c>
      <c r="P2111" s="29" cm="1">
        <f t="array" ref="P2111">IF(表成绩单[[#This Row],[语文]]="","",SUMPRODUCT((表成绩单[考试日期]=表成绩单[[#This Row],[考试日期]])*(表成绩单[语文]&lt;9E+307)*(表成绩单[语文]&gt;表成绩单[[#This Row],[语文]]))+1)</f>
        <v>581</v>
      </c>
      <c r="Q2111" s="29" cm="1">
        <f t="array" ref="Q2111">IF(表成绩单[[#This Row],[数学]]="","",SUMPRODUCT((表成绩单[考试日期]=表成绩单[[#This Row],[考试日期]])*(表成绩单[数学]&lt;9E+307)*(表成绩单[数学]&gt;表成绩单[[#This Row],[数学]]))+1)</f>
        <v>427</v>
      </c>
      <c r="R2111" s="29" cm="1">
        <f t="array" ref="R2111">IF(表成绩单[[#This Row],[英语]]="","",SUMPRODUCT((表成绩单[考试日期]=表成绩单[[#This Row],[考试日期]])*(表成绩单[英语]&lt;9E+307)*(表成绩单[英语]&gt;表成绩单[[#This Row],[英语]]))+1)</f>
        <v>402</v>
      </c>
      <c r="S2111" s="29" cm="1">
        <f t="array" ref="S2111">IF(表成绩单[[#This Row],[物理]]="","",SUMPRODUCT((表成绩单[考试日期]=表成绩单[[#This Row],[考试日期]])*(表成绩单[物理]&lt;9E+307)*(表成绩单[物理]&gt;表成绩单[[#This Row],[物理]]))+1)</f>
        <v>271</v>
      </c>
      <c r="T2111" s="29" cm="1">
        <f t="array" ref="T2111">IF(表成绩单[[#This Row],[化学]]="","",SUMPRODUCT((表成绩单[考试日期]=表成绩单[[#This Row],[考试日期]])*(表成绩单[化学]&lt;9E+307)*(表成绩单[化学]&gt;表成绩单[[#This Row],[化学]]))+1)</f>
        <v>525</v>
      </c>
      <c r="U2111" s="29" cm="1">
        <f t="array" ref="U2111">IF(表成绩单[[#This Row],[政治]]="","",SUMPRODUCT((表成绩单[考试日期]=表成绩单[[#This Row],[考试日期]])*(表成绩单[政治]&lt;9E+307)*(表成绩单[政治]&gt;表成绩单[[#This Row],[政治]]))+1)</f>
        <v>457</v>
      </c>
      <c r="V2111" s="29" cm="1">
        <f t="array" ref="V2111">IF(表成绩单[[#This Row],[历史]]="","",SUMPRODUCT((表成绩单[考试日期]=表成绩单[[#This Row],[考试日期]])*(表成绩单[历史]&lt;9E+307)*(表成绩单[历史]&gt;表成绩单[[#This Row],[历史]]))+1)</f>
        <v>728</v>
      </c>
      <c r="W2111" s="29" cm="1">
        <f t="array" ref="W2111">IF(表成绩单[[#This Row],[总分]]="","",SUMPRODUCT((表成绩单[考试日期]=表成绩单[[#This Row],[考试日期]])*(表成绩单[总分]&lt;9E+307)*(表成绩单[总分]&gt;表成绩单[[#This Row],[总分]]))+1)</f>
        <v>504</v>
      </c>
    </row>
    <row r="2112" ht="28" customHeight="1" spans="4:23">
      <c r="D2112" s="31">
        <v>46030</v>
      </c>
      <c r="E2112" s="29">
        <v>19175999</v>
      </c>
      <c r="F2112" s="29" t="s">
        <v>59</v>
      </c>
      <c r="G2112" s="29" t="s">
        <v>690</v>
      </c>
      <c r="H2112" s="29">
        <v>89</v>
      </c>
      <c r="I2112" s="29">
        <v>83</v>
      </c>
      <c r="J2112" s="29">
        <v>71</v>
      </c>
      <c r="K2112" s="29">
        <v>57</v>
      </c>
      <c r="L2112" s="29">
        <v>66</v>
      </c>
      <c r="M2112" s="29">
        <v>46</v>
      </c>
      <c r="N2112" s="29">
        <v>66</v>
      </c>
      <c r="O2112" s="32">
        <v>478</v>
      </c>
      <c r="P2112" s="29" cm="1">
        <f t="array" ref="P2112">IF(表成绩单[[#This Row],[语文]]="","",SUMPRODUCT((表成绩单[考试日期]=表成绩单[[#This Row],[考试日期]])*(表成绩单[语文]&lt;9E+307)*(表成绩单[语文]&gt;表成绩单[[#This Row],[语文]]))+1)</f>
        <v>540</v>
      </c>
      <c r="Q2112" s="29" cm="1">
        <f t="array" ref="Q2112">IF(表成绩单[[#This Row],[数学]]="","",SUMPRODUCT((表成绩单[考试日期]=表成绩单[[#This Row],[考试日期]])*(表成绩单[数学]&lt;9E+307)*(表成绩单[数学]&gt;表成绩单[[#This Row],[数学]]))+1)</f>
        <v>360</v>
      </c>
      <c r="R2112" s="29" cm="1">
        <f t="array" ref="R2112">IF(表成绩单[[#This Row],[英语]]="","",SUMPRODUCT((表成绩单[考试日期]=表成绩单[[#This Row],[考试日期]])*(表成绩单[英语]&lt;9E+307)*(表成绩单[英语]&gt;表成绩单[[#This Row],[英语]]))+1)</f>
        <v>281</v>
      </c>
      <c r="S2112" s="29" cm="1">
        <f t="array" ref="S2112">IF(表成绩单[[#This Row],[物理]]="","",SUMPRODUCT((表成绩单[考试日期]=表成绩单[[#This Row],[考试日期]])*(表成绩单[物理]&lt;9E+307)*(表成绩单[物理]&gt;表成绩单[[#This Row],[物理]]))+1)</f>
        <v>539</v>
      </c>
      <c r="T2112" s="29" cm="1">
        <f t="array" ref="T2112">IF(表成绩单[[#This Row],[化学]]="","",SUMPRODUCT((表成绩单[考试日期]=表成绩单[[#This Row],[考试日期]])*(表成绩单[化学]&lt;9E+307)*(表成绩单[化学]&gt;表成绩单[[#This Row],[化学]]))+1)</f>
        <v>414</v>
      </c>
      <c r="U2112" s="29" cm="1">
        <f t="array" ref="U2112">IF(表成绩单[[#This Row],[政治]]="","",SUMPRODUCT((表成绩单[考试日期]=表成绩单[[#This Row],[考试日期]])*(表成绩单[政治]&lt;9E+307)*(表成绩单[政治]&gt;表成绩单[[#This Row],[政治]]))+1)</f>
        <v>692</v>
      </c>
      <c r="V2112" s="29" cm="1">
        <f t="array" ref="V2112">IF(表成绩单[[#This Row],[历史]]="","",SUMPRODUCT((表成绩单[考试日期]=表成绩单[[#This Row],[考试日期]])*(表成绩单[历史]&lt;9E+307)*(表成绩单[历史]&gt;表成绩单[[#This Row],[历史]]))+1)</f>
        <v>451</v>
      </c>
      <c r="W2112" s="29" cm="1">
        <f t="array" ref="W2112">IF(表成绩单[[#This Row],[总分]]="","",SUMPRODUCT((表成绩单[考试日期]=表成绩单[[#This Row],[考试日期]])*(表成绩单[总分]&lt;9E+307)*(表成绩单[总分]&gt;表成绩单[[#This Row],[总分]]))+1)</f>
        <v>506</v>
      </c>
    </row>
    <row r="2113" ht="28" customHeight="1" spans="4:23">
      <c r="D2113" s="31">
        <v>46030</v>
      </c>
      <c r="E2113" s="29">
        <v>19176164</v>
      </c>
      <c r="F2113" s="29" t="s">
        <v>67</v>
      </c>
      <c r="G2113" s="29" t="s">
        <v>574</v>
      </c>
      <c r="H2113" s="29">
        <v>88</v>
      </c>
      <c r="I2113" s="29">
        <v>77</v>
      </c>
      <c r="J2113" s="29">
        <v>56</v>
      </c>
      <c r="K2113" s="29">
        <v>69</v>
      </c>
      <c r="L2113" s="29">
        <v>67</v>
      </c>
      <c r="M2113" s="29">
        <v>64</v>
      </c>
      <c r="N2113" s="29">
        <v>57</v>
      </c>
      <c r="O2113" s="32">
        <v>478</v>
      </c>
      <c r="P2113" s="29" cm="1">
        <f t="array" ref="P2113">IF(表成绩单[[#This Row],[语文]]="","",SUMPRODUCT((表成绩单[考试日期]=表成绩单[[#This Row],[考试日期]])*(表成绩单[语文]&lt;9E+307)*(表成绩单[语文]&gt;表成绩单[[#This Row],[语文]]))+1)</f>
        <v>562</v>
      </c>
      <c r="Q2113" s="29" cm="1">
        <f t="array" ref="Q2113">IF(表成绩单[[#This Row],[数学]]="","",SUMPRODUCT((表成绩单[考试日期]=表成绩单[[#This Row],[考试日期]])*(表成绩单[数学]&lt;9E+307)*(表成绩单[数学]&gt;表成绩单[[#This Row],[数学]]))+1)</f>
        <v>478</v>
      </c>
      <c r="R2113" s="29" cm="1">
        <f t="array" ref="R2113">IF(表成绩单[[#This Row],[英语]]="","",SUMPRODUCT((表成绩单[考试日期]=表成绩单[[#This Row],[考试日期]])*(表成绩单[英语]&lt;9E+307)*(表成绩单[英语]&gt;表成绩单[[#This Row],[英语]]))+1)</f>
        <v>582</v>
      </c>
      <c r="S2113" s="29" cm="1">
        <f t="array" ref="S2113">IF(表成绩单[[#This Row],[物理]]="","",SUMPRODUCT((表成绩单[考试日期]=表成绩单[[#This Row],[考试日期]])*(表成绩单[物理]&lt;9E+307)*(表成绩单[物理]&gt;表成绩单[[#This Row],[物理]]))+1)</f>
        <v>356</v>
      </c>
      <c r="T2113" s="29" cm="1">
        <f t="array" ref="T2113">IF(表成绩单[[#This Row],[化学]]="","",SUMPRODUCT((表成绩单[考试日期]=表成绩单[[#This Row],[考试日期]])*(表成绩单[化学]&lt;9E+307)*(表成绩单[化学]&gt;表成绩单[[#This Row],[化学]]))+1)</f>
        <v>381</v>
      </c>
      <c r="U2113" s="29" cm="1">
        <f t="array" ref="U2113">IF(表成绩单[[#This Row],[政治]]="","",SUMPRODUCT((表成绩单[考试日期]=表成绩单[[#This Row],[考试日期]])*(表成绩单[政治]&lt;9E+307)*(表成绩单[政治]&gt;表成绩单[[#This Row],[政治]]))+1)</f>
        <v>457</v>
      </c>
      <c r="V2113" s="29" cm="1">
        <f t="array" ref="V2113">IF(表成绩单[[#This Row],[历史]]="","",SUMPRODUCT((表成绩单[考试日期]=表成绩单[[#This Row],[考试日期]])*(表成绩单[历史]&lt;9E+307)*(表成绩单[历史]&gt;表成绩单[[#This Row],[历史]]))+1)</f>
        <v>637</v>
      </c>
      <c r="W2113" s="29" cm="1">
        <f t="array" ref="W2113">IF(表成绩单[[#This Row],[总分]]="","",SUMPRODUCT((表成绩单[考试日期]=表成绩单[[#This Row],[考试日期]])*(表成绩单[总分]&lt;9E+307)*(表成绩单[总分]&gt;表成绩单[[#This Row],[总分]]))+1)</f>
        <v>506</v>
      </c>
    </row>
    <row r="2114" ht="28" customHeight="1" spans="4:23">
      <c r="D2114" s="31">
        <v>46030</v>
      </c>
      <c r="E2114" s="29">
        <v>19171082</v>
      </c>
      <c r="F2114" s="29" t="s">
        <v>67</v>
      </c>
      <c r="G2114" s="29" t="s">
        <v>516</v>
      </c>
      <c r="H2114" s="29">
        <v>106</v>
      </c>
      <c r="I2114" s="29">
        <v>75</v>
      </c>
      <c r="J2114" s="29">
        <v>69.5</v>
      </c>
      <c r="K2114" s="29">
        <v>64</v>
      </c>
      <c r="L2114" s="29">
        <v>66</v>
      </c>
      <c r="M2114" s="29">
        <v>39</v>
      </c>
      <c r="N2114" s="29">
        <v>58</v>
      </c>
      <c r="O2114" s="32">
        <v>477.5</v>
      </c>
      <c r="P2114" s="29" cm="1">
        <f t="array" ref="P2114">IF(表成绩单[[#This Row],[语文]]="","",SUMPRODUCT((表成绩单[考试日期]=表成绩单[[#This Row],[考试日期]])*(表成绩单[语文]&lt;9E+307)*(表成绩单[语文]&gt;表成绩单[[#This Row],[语文]]))+1)</f>
        <v>50</v>
      </c>
      <c r="Q2114" s="29" cm="1">
        <f t="array" ref="Q2114">IF(表成绩单[[#This Row],[数学]]="","",SUMPRODUCT((表成绩单[考试日期]=表成绩单[[#This Row],[考试日期]])*(表成绩单[数学]&lt;9E+307)*(表成绩单[数学]&gt;表成绩单[[#This Row],[数学]]))+1)</f>
        <v>521</v>
      </c>
      <c r="R2114" s="29" cm="1">
        <f t="array" ref="R2114">IF(表成绩单[[#This Row],[英语]]="","",SUMPRODUCT((表成绩单[考试日期]=表成绩单[[#This Row],[考试日期]])*(表成绩单[英语]&lt;9E+307)*(表成绩单[英语]&gt;表成绩单[[#This Row],[英语]]))+1)</f>
        <v>330</v>
      </c>
      <c r="S2114" s="29" cm="1">
        <f t="array" ref="S2114">IF(表成绩单[[#This Row],[物理]]="","",SUMPRODUCT((表成绩单[考试日期]=表成绩单[[#This Row],[考试日期]])*(表成绩单[物理]&lt;9E+307)*(表成绩单[物理]&gt;表成绩单[[#This Row],[物理]]))+1)</f>
        <v>441</v>
      </c>
      <c r="T2114" s="29" cm="1">
        <f t="array" ref="T2114">IF(表成绩单[[#This Row],[化学]]="","",SUMPRODUCT((表成绩单[考试日期]=表成绩单[[#This Row],[考试日期]])*(表成绩单[化学]&lt;9E+307)*(表成绩单[化学]&gt;表成绩单[[#This Row],[化学]]))+1)</f>
        <v>414</v>
      </c>
      <c r="U2114" s="29" cm="1">
        <f t="array" ref="U2114">IF(表成绩单[[#This Row],[政治]]="","",SUMPRODUCT((表成绩单[考试日期]=表成绩单[[#This Row],[考试日期]])*(表成绩单[政治]&lt;9E+307)*(表成绩单[政治]&gt;表成绩单[[#This Row],[政治]]))+1)</f>
        <v>731</v>
      </c>
      <c r="V2114" s="29" cm="1">
        <f t="array" ref="V2114">IF(表成绩单[[#This Row],[历史]]="","",SUMPRODUCT((表成绩单[考试日期]=表成绩单[[#This Row],[考试日期]])*(表成绩单[历史]&lt;9E+307)*(表成绩单[历史]&gt;表成绩单[[#This Row],[历史]]))+1)</f>
        <v>620</v>
      </c>
      <c r="W2114" s="29" cm="1">
        <f t="array" ref="W2114">IF(表成绩单[[#This Row],[总分]]="","",SUMPRODUCT((表成绩单[考试日期]=表成绩单[[#This Row],[考试日期]])*(表成绩单[总分]&lt;9E+307)*(表成绩单[总分]&gt;表成绩单[[#This Row],[总分]]))+1)</f>
        <v>508</v>
      </c>
    </row>
    <row r="2115" ht="28" customHeight="1" spans="4:23">
      <c r="D2115" s="31">
        <v>46030</v>
      </c>
      <c r="E2115" s="29">
        <v>19173786</v>
      </c>
      <c r="F2115" s="29" t="s">
        <v>65</v>
      </c>
      <c r="G2115" s="29" t="s">
        <v>445</v>
      </c>
      <c r="H2115" s="29">
        <v>93</v>
      </c>
      <c r="I2115" s="29">
        <v>77</v>
      </c>
      <c r="J2115" s="29">
        <v>57.5</v>
      </c>
      <c r="K2115" s="29">
        <v>50</v>
      </c>
      <c r="L2115" s="29">
        <v>66</v>
      </c>
      <c r="M2115" s="29">
        <v>69</v>
      </c>
      <c r="N2115" s="29">
        <v>65</v>
      </c>
      <c r="O2115" s="32">
        <v>477.5</v>
      </c>
      <c r="P2115" s="29" cm="1">
        <f t="array" ref="P2115">IF(表成绩单[[#This Row],[语文]]="","",SUMPRODUCT((表成绩单[考试日期]=表成绩单[[#This Row],[考试日期]])*(表成绩单[语文]&lt;9E+307)*(表成绩单[语文]&gt;表成绩单[[#This Row],[语文]]))+1)</f>
        <v>412</v>
      </c>
      <c r="Q2115" s="29" cm="1">
        <f t="array" ref="Q2115">IF(表成绩单[[#This Row],[数学]]="","",SUMPRODUCT((表成绩单[考试日期]=表成绩单[[#This Row],[考试日期]])*(表成绩单[数学]&lt;9E+307)*(表成绩单[数学]&gt;表成绩单[[#This Row],[数学]]))+1)</f>
        <v>478</v>
      </c>
      <c r="R2115" s="29" cm="1">
        <f t="array" ref="R2115">IF(表成绩单[[#This Row],[英语]]="","",SUMPRODUCT((表成绩单[考试日期]=表成绩单[[#This Row],[考试日期]])*(表成绩单[英语]&lt;9E+307)*(表成绩单[英语]&gt;表成绩单[[#This Row],[英语]]))+1)</f>
        <v>566</v>
      </c>
      <c r="S2115" s="29" cm="1">
        <f t="array" ref="S2115">IF(表成绩单[[#This Row],[物理]]="","",SUMPRODUCT((表成绩单[考试日期]=表成绩单[[#This Row],[考试日期]])*(表成绩单[物理]&lt;9E+307)*(表成绩单[物理]&gt;表成绩单[[#This Row],[物理]]))+1)</f>
        <v>605</v>
      </c>
      <c r="T2115" s="29" cm="1">
        <f t="array" ref="T2115">IF(表成绩单[[#This Row],[化学]]="","",SUMPRODUCT((表成绩单[考试日期]=表成绩单[[#This Row],[考试日期]])*(表成绩单[化学]&lt;9E+307)*(表成绩单[化学]&gt;表成绩单[[#This Row],[化学]]))+1)</f>
        <v>414</v>
      </c>
      <c r="U2115" s="29" cm="1">
        <f t="array" ref="U2115">IF(表成绩单[[#This Row],[政治]]="","",SUMPRODUCT((表成绩单[考试日期]=表成绩单[[#This Row],[考试日期]])*(表成绩单[政治]&lt;9E+307)*(表成绩单[政治]&gt;表成绩单[[#This Row],[政治]]))+1)</f>
        <v>308</v>
      </c>
      <c r="V2115" s="29" cm="1">
        <f t="array" ref="V2115">IF(表成绩单[[#This Row],[历史]]="","",SUMPRODUCT((表成绩单[考试日期]=表成绩单[[#This Row],[考试日期]])*(表成绩单[历史]&lt;9E+307)*(表成绩单[历史]&gt;表成绩单[[#This Row],[历史]]))+1)</f>
        <v>471</v>
      </c>
      <c r="W2115" s="29" cm="1">
        <f t="array" ref="W2115">IF(表成绩单[[#This Row],[总分]]="","",SUMPRODUCT((表成绩单[考试日期]=表成绩单[[#This Row],[考试日期]])*(表成绩单[总分]&lt;9E+307)*(表成绩单[总分]&gt;表成绩单[[#This Row],[总分]]))+1)</f>
        <v>508</v>
      </c>
    </row>
    <row r="2116" ht="28" customHeight="1" spans="4:23">
      <c r="D2116" s="31">
        <v>46030</v>
      </c>
      <c r="E2116" s="29">
        <v>19175318</v>
      </c>
      <c r="F2116" s="29" t="s">
        <v>55</v>
      </c>
      <c r="G2116" s="29" t="s">
        <v>621</v>
      </c>
      <c r="H2116" s="29">
        <v>82</v>
      </c>
      <c r="I2116" s="29">
        <v>79</v>
      </c>
      <c r="J2116" s="29">
        <v>47.5</v>
      </c>
      <c r="K2116" s="29">
        <v>66</v>
      </c>
      <c r="L2116" s="29">
        <v>70</v>
      </c>
      <c r="M2116" s="29">
        <v>63</v>
      </c>
      <c r="N2116" s="29">
        <v>70</v>
      </c>
      <c r="O2116" s="32">
        <v>477.5</v>
      </c>
      <c r="P2116" s="29" cm="1">
        <f t="array" ref="P2116">IF(表成绩单[[#This Row],[语文]]="","",SUMPRODUCT((表成绩单[考试日期]=表成绩单[[#This Row],[考试日期]])*(表成绩单[语文]&lt;9E+307)*(表成绩单[语文]&gt;表成绩单[[#This Row],[语文]]))+1)</f>
        <v>655</v>
      </c>
      <c r="Q2116" s="29" cm="1">
        <f t="array" ref="Q2116">IF(表成绩单[[#This Row],[数学]]="","",SUMPRODUCT((表成绩单[考试日期]=表成绩单[[#This Row],[考试日期]])*(表成绩单[数学]&lt;9E+307)*(表成绩单[数学]&gt;表成绩单[[#This Row],[数学]]))+1)</f>
        <v>427</v>
      </c>
      <c r="R2116" s="29" cm="1">
        <f t="array" ref="R2116">IF(表成绩单[[#This Row],[英语]]="","",SUMPRODUCT((表成绩单[考试日期]=表成绩单[[#This Row],[考试日期]])*(表成绩单[英语]&lt;9E+307)*(表成绩单[英语]&gt;表成绩单[[#This Row],[英语]]))+1)</f>
        <v>670</v>
      </c>
      <c r="S2116" s="29" cm="1">
        <f t="array" ref="S2116">IF(表成绩单[[#This Row],[物理]]="","",SUMPRODUCT((表成绩单[考试日期]=表成绩单[[#This Row],[考试日期]])*(表成绩单[物理]&lt;9E+307)*(表成绩单[物理]&gt;表成绩单[[#This Row],[物理]]))+1)</f>
        <v>415</v>
      </c>
      <c r="T2116" s="29" cm="1">
        <f t="array" ref="T2116">IF(表成绩单[[#This Row],[化学]]="","",SUMPRODUCT((表成绩单[考试日期]=表成绩单[[#This Row],[考试日期]])*(表成绩单[化学]&lt;9E+307)*(表成绩单[化学]&gt;表成绩单[[#This Row],[化学]]))+1)</f>
        <v>318</v>
      </c>
      <c r="U2116" s="29" cm="1">
        <f t="array" ref="U2116">IF(表成绩单[[#This Row],[政治]]="","",SUMPRODUCT((表成绩单[考试日期]=表成绩单[[#This Row],[考试日期]])*(表成绩单[政治]&lt;9E+307)*(表成绩单[政治]&gt;表成绩单[[#This Row],[政治]]))+1)</f>
        <v>486</v>
      </c>
      <c r="V2116" s="29" cm="1">
        <f t="array" ref="V2116">IF(表成绩单[[#This Row],[历史]]="","",SUMPRODUCT((表成绩单[考试日期]=表成绩单[[#This Row],[考试日期]])*(表成绩单[历史]&lt;9E+307)*(表成绩单[历史]&gt;表成绩单[[#This Row],[历史]]))+1)</f>
        <v>328</v>
      </c>
      <c r="W2116" s="29" cm="1">
        <f t="array" ref="W2116">IF(表成绩单[[#This Row],[总分]]="","",SUMPRODUCT((表成绩单[考试日期]=表成绩单[[#This Row],[考试日期]])*(表成绩单[总分]&lt;9E+307)*(表成绩单[总分]&gt;表成绩单[[#This Row],[总分]]))+1)</f>
        <v>508</v>
      </c>
    </row>
    <row r="2117" ht="28" customHeight="1" spans="4:23">
      <c r="D2117" s="31">
        <v>46030</v>
      </c>
      <c r="E2117" s="29">
        <v>19178581</v>
      </c>
      <c r="F2117" s="29" t="s">
        <v>64</v>
      </c>
      <c r="G2117" s="29" t="s">
        <v>519</v>
      </c>
      <c r="H2117" s="29">
        <v>92</v>
      </c>
      <c r="I2117" s="29">
        <v>78</v>
      </c>
      <c r="J2117" s="29">
        <v>61.5</v>
      </c>
      <c r="K2117" s="29">
        <v>59</v>
      </c>
      <c r="L2117" s="29">
        <v>59</v>
      </c>
      <c r="M2117" s="29">
        <v>65</v>
      </c>
      <c r="N2117" s="29">
        <v>63</v>
      </c>
      <c r="O2117" s="32">
        <v>477.5</v>
      </c>
      <c r="P2117" s="29" cm="1">
        <f t="array" ref="P2117">IF(表成绩单[[#This Row],[语文]]="","",SUMPRODUCT((表成绩单[考试日期]=表成绩单[[#This Row],[考试日期]])*(表成绩单[语文]&lt;9E+307)*(表成绩单[语文]&gt;表成绩单[[#This Row],[语文]]))+1)</f>
        <v>444</v>
      </c>
      <c r="Q2117" s="29" cm="1">
        <f t="array" ref="Q2117">IF(表成绩单[[#This Row],[数学]]="","",SUMPRODUCT((表成绩单[考试日期]=表成绩单[[#This Row],[考试日期]])*(表成绩单[数学]&lt;9E+307)*(表成绩单[数学]&gt;表成绩单[[#This Row],[数学]]))+1)</f>
        <v>450</v>
      </c>
      <c r="R2117" s="29" cm="1">
        <f t="array" ref="R2117">IF(表成绩单[[#This Row],[英语]]="","",SUMPRODUCT((表成绩单[考试日期]=表成绩单[[#This Row],[考试日期]])*(表成绩单[英语]&lt;9E+307)*(表成绩单[英语]&gt;表成绩单[[#This Row],[英语]]))+1)</f>
        <v>495</v>
      </c>
      <c r="S2117" s="29" cm="1">
        <f t="array" ref="S2117">IF(表成绩单[[#This Row],[物理]]="","",SUMPRODUCT((表成绩单[考试日期]=表成绩单[[#This Row],[考试日期]])*(表成绩单[物理]&lt;9E+307)*(表成绩单[物理]&gt;表成绩单[[#This Row],[物理]]))+1)</f>
        <v>514</v>
      </c>
      <c r="T2117" s="29" cm="1">
        <f t="array" ref="T2117">IF(表成绩单[[#This Row],[化学]]="","",SUMPRODUCT((表成绩单[考试日期]=表成绩单[[#This Row],[考试日期]])*(表成绩单[化学]&lt;9E+307)*(表成绩单[化学]&gt;表成绩单[[#This Row],[化学]]))+1)</f>
        <v>540</v>
      </c>
      <c r="U2117" s="29" cm="1">
        <f t="array" ref="U2117">IF(表成绩单[[#This Row],[政治]]="","",SUMPRODUCT((表成绩单[考试日期]=表成绩单[[#This Row],[考试日期]])*(表成绩单[政治]&lt;9E+307)*(表成绩单[政治]&gt;表成绩单[[#This Row],[政治]]))+1)</f>
        <v>431</v>
      </c>
      <c r="V2117" s="29" cm="1">
        <f t="array" ref="V2117">IF(表成绩单[[#This Row],[历史]]="","",SUMPRODUCT((表成绩单[考试日期]=表成绩单[[#This Row],[考试日期]])*(表成绩单[历史]&lt;9E+307)*(表成绩单[历史]&gt;表成绩单[[#This Row],[历史]]))+1)</f>
        <v>521</v>
      </c>
      <c r="W2117" s="29" cm="1">
        <f t="array" ref="W2117">IF(表成绩单[[#This Row],[总分]]="","",SUMPRODUCT((表成绩单[考试日期]=表成绩单[[#This Row],[考试日期]])*(表成绩单[总分]&lt;9E+307)*(表成绩单[总分]&gt;表成绩单[[#This Row],[总分]]))+1)</f>
        <v>508</v>
      </c>
    </row>
    <row r="2118" ht="28" customHeight="1" spans="4:23">
      <c r="D2118" s="31">
        <v>46030</v>
      </c>
      <c r="E2118" s="29">
        <v>19178623</v>
      </c>
      <c r="F2118" s="29" t="s">
        <v>25</v>
      </c>
      <c r="G2118" s="29" t="s">
        <v>557</v>
      </c>
      <c r="H2118" s="29">
        <v>84</v>
      </c>
      <c r="I2118" s="29">
        <v>81</v>
      </c>
      <c r="J2118" s="29">
        <v>71.5</v>
      </c>
      <c r="K2118" s="29">
        <v>69</v>
      </c>
      <c r="L2118" s="29">
        <v>57</v>
      </c>
      <c r="M2118" s="29">
        <v>70</v>
      </c>
      <c r="N2118" s="29">
        <v>45</v>
      </c>
      <c r="O2118" s="32">
        <v>477.5</v>
      </c>
      <c r="P2118" s="29" cm="1">
        <f t="array" ref="P2118">IF(表成绩单[[#This Row],[语文]]="","",SUMPRODUCT((表成绩单[考试日期]=表成绩单[[#This Row],[考试日期]])*(表成绩单[语文]&lt;9E+307)*(表成绩单[语文]&gt;表成绩单[[#This Row],[语文]]))+1)</f>
        <v>635</v>
      </c>
      <c r="Q2118" s="29" cm="1">
        <f t="array" ref="Q2118">IF(表成绩单[[#This Row],[数学]]="","",SUMPRODUCT((表成绩单[考试日期]=表成绩单[[#This Row],[考试日期]])*(表成绩单[数学]&lt;9E+307)*(表成绩单[数学]&gt;表成绩单[[#This Row],[数学]]))+1)</f>
        <v>396</v>
      </c>
      <c r="R2118" s="29" cm="1">
        <f t="array" ref="R2118">IF(表成绩单[[#This Row],[英语]]="","",SUMPRODUCT((表成绩单[考试日期]=表成绩单[[#This Row],[考试日期]])*(表成绩单[英语]&lt;9E+307)*(表成绩单[英语]&gt;表成绩单[[#This Row],[英语]]))+1)</f>
        <v>271</v>
      </c>
      <c r="S2118" s="29" cm="1">
        <f t="array" ref="S2118">IF(表成绩单[[#This Row],[物理]]="","",SUMPRODUCT((表成绩单[考试日期]=表成绩单[[#This Row],[考试日期]])*(表成绩单[物理]&lt;9E+307)*(表成绩单[物理]&gt;表成绩单[[#This Row],[物理]]))+1)</f>
        <v>356</v>
      </c>
      <c r="T2118" s="29" cm="1">
        <f t="array" ref="T2118">IF(表成绩单[[#This Row],[化学]]="","",SUMPRODUCT((表成绩单[考试日期]=表成绩单[[#This Row],[考试日期]])*(表成绩单[化学]&lt;9E+307)*(表成绩单[化学]&gt;表成绩单[[#This Row],[化学]]))+1)</f>
        <v>564</v>
      </c>
      <c r="U2118" s="29" cm="1">
        <f t="array" ref="U2118">IF(表成绩单[[#This Row],[政治]]="","",SUMPRODUCT((表成绩单[考试日期]=表成绩单[[#This Row],[考试日期]])*(表成绩单[政治]&lt;9E+307)*(表成绩单[政治]&gt;表成绩单[[#This Row],[政治]]))+1)</f>
        <v>274</v>
      </c>
      <c r="V2118" s="29" cm="1">
        <f t="array" ref="V2118">IF(表成绩单[[#This Row],[历史]]="","",SUMPRODUCT((表成绩单[考试日期]=表成绩单[[#This Row],[考试日期]])*(表成绩单[历史]&lt;9E+307)*(表成绩单[历史]&gt;表成绩单[[#This Row],[历史]]))+1)</f>
        <v>746</v>
      </c>
      <c r="W2118" s="29" cm="1">
        <f t="array" ref="W2118">IF(表成绩单[[#This Row],[总分]]="","",SUMPRODUCT((表成绩单[考试日期]=表成绩单[[#This Row],[考试日期]])*(表成绩单[总分]&lt;9E+307)*(表成绩单[总分]&gt;表成绩单[[#This Row],[总分]]))+1)</f>
        <v>508</v>
      </c>
    </row>
    <row r="2119" ht="28" customHeight="1" spans="4:23">
      <c r="D2119" s="31">
        <v>46030</v>
      </c>
      <c r="E2119" s="29">
        <v>19173261</v>
      </c>
      <c r="F2119" s="29" t="s">
        <v>61</v>
      </c>
      <c r="G2119" s="29" t="s">
        <v>407</v>
      </c>
      <c r="H2119" s="29">
        <v>92</v>
      </c>
      <c r="I2119" s="29">
        <v>72</v>
      </c>
      <c r="J2119" s="29">
        <v>65</v>
      </c>
      <c r="K2119" s="29">
        <v>58</v>
      </c>
      <c r="L2119" s="29">
        <v>55</v>
      </c>
      <c r="M2119" s="29">
        <v>62</v>
      </c>
      <c r="N2119" s="29">
        <v>73</v>
      </c>
      <c r="O2119" s="32">
        <v>477</v>
      </c>
      <c r="P2119" s="29" cm="1">
        <f t="array" ref="P2119">IF(表成绩单[[#This Row],[语文]]="","",SUMPRODUCT((表成绩单[考试日期]=表成绩单[[#This Row],[考试日期]])*(表成绩单[语文]&lt;9E+307)*(表成绩单[语文]&gt;表成绩单[[#This Row],[语文]]))+1)</f>
        <v>444</v>
      </c>
      <c r="Q2119" s="29" cm="1">
        <f t="array" ref="Q2119">IF(表成绩单[[#This Row],[数学]]="","",SUMPRODUCT((表成绩单[考试日期]=表成绩单[[#This Row],[考试日期]])*(表成绩单[数学]&lt;9E+307)*(表成绩单[数学]&gt;表成绩单[[#This Row],[数学]]))+1)</f>
        <v>562</v>
      </c>
      <c r="R2119" s="29" cm="1">
        <f t="array" ref="R2119">IF(表成绩单[[#This Row],[英语]]="","",SUMPRODUCT((表成绩单[考试日期]=表成绩单[[#This Row],[考试日期]])*(表成绩单[英语]&lt;9E+307)*(表成绩单[英语]&gt;表成绩单[[#This Row],[英语]]))+1)</f>
        <v>438</v>
      </c>
      <c r="S2119" s="29" cm="1">
        <f t="array" ref="S2119">IF(表成绩单[[#This Row],[物理]]="","",SUMPRODUCT((表成绩单[考试日期]=表成绩单[[#This Row],[考试日期]])*(表成绩单[物理]&lt;9E+307)*(表成绩单[物理]&gt;表成绩单[[#This Row],[物理]]))+1)</f>
        <v>527</v>
      </c>
      <c r="T2119" s="29" cm="1">
        <f t="array" ref="T2119">IF(表成绩单[[#This Row],[化学]]="","",SUMPRODUCT((表成绩单[考试日期]=表成绩单[[#This Row],[考试日期]])*(表成绩单[化学]&lt;9E+307)*(表成绩单[化学]&gt;表成绩单[[#This Row],[化学]]))+1)</f>
        <v>593</v>
      </c>
      <c r="U2119" s="29" cm="1">
        <f t="array" ref="U2119">IF(表成绩单[[#This Row],[政治]]="","",SUMPRODUCT((表成绩单[考试日期]=表成绩单[[#This Row],[考试日期]])*(表成绩单[政治]&lt;9E+307)*(表成绩单[政治]&gt;表成绩单[[#This Row],[政治]]))+1)</f>
        <v>508</v>
      </c>
      <c r="V2119" s="29" cm="1">
        <f t="array" ref="V2119">IF(表成绩单[[#This Row],[历史]]="","",SUMPRODUCT((表成绩单[考试日期]=表成绩单[[#This Row],[考试日期]])*(表成绩单[历史]&lt;9E+307)*(表成绩单[历史]&gt;表成绩单[[#This Row],[历史]]))+1)</f>
        <v>240</v>
      </c>
      <c r="W2119" s="29" cm="1">
        <f t="array" ref="W2119">IF(表成绩单[[#This Row],[总分]]="","",SUMPRODUCT((表成绩单[考试日期]=表成绩单[[#This Row],[考试日期]])*(表成绩单[总分]&lt;9E+307)*(表成绩单[总分]&gt;表成绩单[[#This Row],[总分]]))+1)</f>
        <v>513</v>
      </c>
    </row>
    <row r="2120" ht="28" customHeight="1" spans="4:23">
      <c r="D2120" s="31">
        <v>46030</v>
      </c>
      <c r="E2120" s="29">
        <v>19173772</v>
      </c>
      <c r="F2120" s="29" t="s">
        <v>65</v>
      </c>
      <c r="G2120" s="29" t="s">
        <v>672</v>
      </c>
      <c r="H2120" s="29">
        <v>93</v>
      </c>
      <c r="I2120" s="29">
        <v>74</v>
      </c>
      <c r="J2120" s="29">
        <v>68</v>
      </c>
      <c r="K2120" s="29">
        <v>67</v>
      </c>
      <c r="L2120" s="29">
        <v>36</v>
      </c>
      <c r="M2120" s="29">
        <v>67</v>
      </c>
      <c r="N2120" s="29">
        <v>72</v>
      </c>
      <c r="O2120" s="32">
        <v>477</v>
      </c>
      <c r="P2120" s="29" cm="1">
        <f t="array" ref="P2120">IF(表成绩单[[#This Row],[语文]]="","",SUMPRODUCT((表成绩单[考试日期]=表成绩单[[#This Row],[考试日期]])*(表成绩单[语文]&lt;9E+307)*(表成绩单[语文]&gt;表成绩单[[#This Row],[语文]]))+1)</f>
        <v>412</v>
      </c>
      <c r="Q2120" s="29" cm="1">
        <f t="array" ref="Q2120">IF(表成绩单[[#This Row],[数学]]="","",SUMPRODUCT((表成绩单[考试日期]=表成绩单[[#This Row],[考试日期]])*(表成绩单[数学]&lt;9E+307)*(表成绩单[数学]&gt;表成绩单[[#This Row],[数学]]))+1)</f>
        <v>535</v>
      </c>
      <c r="R2120" s="29" cm="1">
        <f t="array" ref="R2120">IF(表成绩单[[#This Row],[英语]]="","",SUMPRODUCT((表成绩单[考试日期]=表成绩单[[#This Row],[考试日期]])*(表成绩单[英语]&lt;9E+307)*(表成绩单[英语]&gt;表成绩单[[#This Row],[英语]]))+1)</f>
        <v>364</v>
      </c>
      <c r="S2120" s="29" cm="1">
        <f t="array" ref="S2120">IF(表成绩单[[#This Row],[物理]]="","",SUMPRODUCT((表成绩单[考试日期]=表成绩单[[#This Row],[考试日期]])*(表成绩单[物理]&lt;9E+307)*(表成绩单[物理]&gt;表成绩单[[#This Row],[物理]]))+1)</f>
        <v>394</v>
      </c>
      <c r="T2120" s="29" cm="1">
        <f t="array" ref="T2120">IF(表成绩单[[#This Row],[化学]]="","",SUMPRODUCT((表成绩单[考试日期]=表成绩单[[#This Row],[考试日期]])*(表成绩单[化学]&lt;9E+307)*(表成绩单[化学]&gt;表成绩单[[#This Row],[化学]]))+1)</f>
        <v>756</v>
      </c>
      <c r="U2120" s="29" cm="1">
        <f t="array" ref="U2120">IF(表成绩单[[#This Row],[政治]]="","",SUMPRODUCT((表成绩单[考试日期]=表成绩单[[#This Row],[考试日期]])*(表成绩单[政治]&lt;9E+307)*(表成绩单[政治]&gt;表成绩单[[#This Row],[政治]]))+1)</f>
        <v>370</v>
      </c>
      <c r="V2120" s="29" cm="1">
        <f t="array" ref="V2120">IF(表成绩单[[#This Row],[历史]]="","",SUMPRODUCT((表成绩单[考试日期]=表成绩单[[#This Row],[考试日期]])*(表成绩单[历史]&lt;9E+307)*(表成绩单[历史]&gt;表成绩单[[#This Row],[历史]]))+1)</f>
        <v>266</v>
      </c>
      <c r="W2120" s="29" cm="1">
        <f t="array" ref="W2120">IF(表成绩单[[#This Row],[总分]]="","",SUMPRODUCT((表成绩单[考试日期]=表成绩单[[#This Row],[考试日期]])*(表成绩单[总分]&lt;9E+307)*(表成绩单[总分]&gt;表成绩单[[#This Row],[总分]]))+1)</f>
        <v>513</v>
      </c>
    </row>
    <row r="2121" ht="28" customHeight="1" spans="4:23">
      <c r="D2121" s="31">
        <v>46030</v>
      </c>
      <c r="E2121" s="29">
        <v>19175982</v>
      </c>
      <c r="F2121" s="29" t="s">
        <v>59</v>
      </c>
      <c r="G2121" s="29" t="s">
        <v>640</v>
      </c>
      <c r="H2121" s="29">
        <v>93</v>
      </c>
      <c r="I2121" s="29">
        <v>77</v>
      </c>
      <c r="J2121" s="29">
        <v>59.5</v>
      </c>
      <c r="K2121" s="29">
        <v>62</v>
      </c>
      <c r="L2121" s="29">
        <v>53</v>
      </c>
      <c r="M2121" s="29">
        <v>61</v>
      </c>
      <c r="N2121" s="29">
        <v>71</v>
      </c>
      <c r="O2121" s="32">
        <v>476.5</v>
      </c>
      <c r="P2121" s="29" cm="1">
        <f t="array" ref="P2121">IF(表成绩单[[#This Row],[语文]]="","",SUMPRODUCT((表成绩单[考试日期]=表成绩单[[#This Row],[考试日期]])*(表成绩单[语文]&lt;9E+307)*(表成绩单[语文]&gt;表成绩单[[#This Row],[语文]]))+1)</f>
        <v>412</v>
      </c>
      <c r="Q2121" s="29" cm="1">
        <f t="array" ref="Q2121">IF(表成绩单[[#This Row],[数学]]="","",SUMPRODUCT((表成绩单[考试日期]=表成绩单[[#This Row],[考试日期]])*(表成绩单[数学]&lt;9E+307)*(表成绩单[数学]&gt;表成绩单[[#This Row],[数学]]))+1)</f>
        <v>478</v>
      </c>
      <c r="R2121" s="29" cm="1">
        <f t="array" ref="R2121">IF(表成绩单[[#This Row],[英语]]="","",SUMPRODUCT((表成绩单[考试日期]=表成绩单[[#This Row],[考试日期]])*(表成绩单[英语]&lt;9E+307)*(表成绩单[英语]&gt;表成绩单[[#This Row],[英语]]))+1)</f>
        <v>533</v>
      </c>
      <c r="S2121" s="29" cm="1">
        <f t="array" ref="S2121">IF(表成绩单[[#This Row],[物理]]="","",SUMPRODUCT((表成绩单[考试日期]=表成绩单[[#This Row],[考试日期]])*(表成绩单[物理]&lt;9E+307)*(表成绩单[物理]&gt;表成绩单[[#This Row],[物理]]))+1)</f>
        <v>470</v>
      </c>
      <c r="T2121" s="29" cm="1">
        <f t="array" ref="T2121">IF(表成绩单[[#This Row],[化学]]="","",SUMPRODUCT((表成绩单[考试日期]=表成绩单[[#This Row],[考试日期]])*(表成绩单[化学]&lt;9E+307)*(表成绩单[化学]&gt;表成绩单[[#This Row],[化学]]))+1)</f>
        <v>623</v>
      </c>
      <c r="U2121" s="29" cm="1">
        <f t="array" ref="U2121">IF(表成绩单[[#This Row],[政治]]="","",SUMPRODUCT((表成绩单[考试日期]=表成绩单[[#This Row],[考试日期]])*(表成绩单[政治]&lt;9E+307)*(表成绩单[政治]&gt;表成绩单[[#This Row],[政治]]))+1)</f>
        <v>530</v>
      </c>
      <c r="V2121" s="29" cm="1">
        <f t="array" ref="V2121">IF(表成绩单[[#This Row],[历史]]="","",SUMPRODUCT((表成绩单[考试日期]=表成绩单[[#This Row],[考试日期]])*(表成绩单[历史]&lt;9E+307)*(表成绩单[历史]&gt;表成绩单[[#This Row],[历史]]))+1)</f>
        <v>297</v>
      </c>
      <c r="W2121" s="29" cm="1">
        <f t="array" ref="W2121">IF(表成绩单[[#This Row],[总分]]="","",SUMPRODUCT((表成绩单[考试日期]=表成绩单[[#This Row],[考试日期]])*(表成绩单[总分]&lt;9E+307)*(表成绩单[总分]&gt;表成绩单[[#This Row],[总分]]))+1)</f>
        <v>515</v>
      </c>
    </row>
    <row r="2122" ht="28" customHeight="1" spans="4:23">
      <c r="D2122" s="31">
        <v>46030</v>
      </c>
      <c r="E2122" s="29">
        <v>19177662</v>
      </c>
      <c r="F2122" s="29" t="s">
        <v>63</v>
      </c>
      <c r="G2122" s="29" t="s">
        <v>625</v>
      </c>
      <c r="H2122" s="29">
        <v>93</v>
      </c>
      <c r="I2122" s="29">
        <v>87</v>
      </c>
      <c r="J2122" s="29">
        <v>60.5</v>
      </c>
      <c r="K2122" s="29">
        <v>55</v>
      </c>
      <c r="L2122" s="29">
        <v>62</v>
      </c>
      <c r="M2122" s="29">
        <v>59</v>
      </c>
      <c r="N2122" s="29">
        <v>60</v>
      </c>
      <c r="O2122" s="32">
        <v>476.5</v>
      </c>
      <c r="P2122" s="29" cm="1">
        <f t="array" ref="P2122">IF(表成绩单[[#This Row],[语文]]="","",SUMPRODUCT((表成绩单[考试日期]=表成绩单[[#This Row],[考试日期]])*(表成绩单[语文]&lt;9E+307)*(表成绩单[语文]&gt;表成绩单[[#This Row],[语文]]))+1)</f>
        <v>412</v>
      </c>
      <c r="Q2122" s="29" cm="1">
        <f t="array" ref="Q2122">IF(表成绩单[[#This Row],[数学]]="","",SUMPRODUCT((表成绩单[考试日期]=表成绩单[[#This Row],[考试日期]])*(表成绩单[数学]&lt;9E+307)*(表成绩单[数学]&gt;表成绩单[[#This Row],[数学]]))+1)</f>
        <v>270</v>
      </c>
      <c r="R2122" s="29" cm="1">
        <f t="array" ref="R2122">IF(表成绩单[[#This Row],[英语]]="","",SUMPRODUCT((表成绩单[考试日期]=表成绩单[[#This Row],[考试日期]])*(表成绩单[英语]&lt;9E+307)*(表成绩单[英语]&gt;表成绩单[[#This Row],[英语]]))+1)</f>
        <v>520</v>
      </c>
      <c r="S2122" s="29" cm="1">
        <f t="array" ref="S2122">IF(表成绩单[[#This Row],[物理]]="","",SUMPRODUCT((表成绩单[考试日期]=表成绩单[[#This Row],[考试日期]])*(表成绩单[物理]&lt;9E+307)*(表成绩单[物理]&gt;表成绩单[[#This Row],[物理]]))+1)</f>
        <v>562</v>
      </c>
      <c r="T2122" s="29" cm="1">
        <f t="array" ref="T2122">IF(表成绩单[[#This Row],[化学]]="","",SUMPRODUCT((表成绩单[考试日期]=表成绩单[[#This Row],[考试日期]])*(表成绩单[化学]&lt;9E+307)*(表成绩单[化学]&gt;表成绩单[[#This Row],[化学]]))+1)</f>
        <v>494</v>
      </c>
      <c r="U2122" s="29" cm="1">
        <f t="array" ref="U2122">IF(表成绩单[[#This Row],[政治]]="","",SUMPRODUCT((表成绩单[考试日期]=表成绩单[[#This Row],[考试日期]])*(表成绩单[政治]&lt;9E+307)*(表成绩单[政治]&gt;表成绩单[[#This Row],[政治]]))+1)</f>
        <v>557</v>
      </c>
      <c r="V2122" s="29" cm="1">
        <f t="array" ref="V2122">IF(表成绩单[[#This Row],[历史]]="","",SUMPRODUCT((表成绩单[考试日期]=表成绩单[[#This Row],[考试日期]])*(表成绩单[历史]&lt;9E+307)*(表成绩单[历史]&gt;表成绩单[[#This Row],[历史]]))+1)</f>
        <v>579</v>
      </c>
      <c r="W2122" s="29" cm="1">
        <f t="array" ref="W2122">IF(表成绩单[[#This Row],[总分]]="","",SUMPRODUCT((表成绩单[考试日期]=表成绩单[[#This Row],[考试日期]])*(表成绩单[总分]&lt;9E+307)*(表成绩单[总分]&gt;表成绩单[[#This Row],[总分]]))+1)</f>
        <v>515</v>
      </c>
    </row>
    <row r="2123" ht="28" customHeight="1" spans="4:23">
      <c r="D2123" s="31">
        <v>46030</v>
      </c>
      <c r="E2123" s="29">
        <v>19174776</v>
      </c>
      <c r="F2123" s="29" t="s">
        <v>69</v>
      </c>
      <c r="G2123" s="29" t="s">
        <v>586</v>
      </c>
      <c r="H2123" s="29">
        <v>89</v>
      </c>
      <c r="I2123" s="29">
        <v>85</v>
      </c>
      <c r="J2123" s="29">
        <v>63</v>
      </c>
      <c r="K2123" s="29">
        <v>68</v>
      </c>
      <c r="L2123" s="29">
        <v>57</v>
      </c>
      <c r="M2123" s="29">
        <v>48</v>
      </c>
      <c r="N2123" s="29">
        <v>66</v>
      </c>
      <c r="O2123" s="32">
        <v>476</v>
      </c>
      <c r="P2123" s="29" cm="1">
        <f t="array" ref="P2123">IF(表成绩单[[#This Row],[语文]]="","",SUMPRODUCT((表成绩单[考试日期]=表成绩单[[#This Row],[考试日期]])*(表成绩单[语文]&lt;9E+307)*(表成绩单[语文]&gt;表成绩单[[#This Row],[语文]]))+1)</f>
        <v>540</v>
      </c>
      <c r="Q2123" s="29" cm="1">
        <f t="array" ref="Q2123">IF(表成绩单[[#This Row],[数学]]="","",SUMPRODUCT((表成绩单[考试日期]=表成绩单[[#This Row],[考试日期]])*(表成绩单[数学]&lt;9E+307)*(表成绩单[数学]&gt;表成绩单[[#This Row],[数学]]))+1)</f>
        <v>325</v>
      </c>
      <c r="R2123" s="29" cm="1">
        <f t="array" ref="R2123">IF(表成绩单[[#This Row],[英语]]="","",SUMPRODUCT((表成绩单[考试日期]=表成绩单[[#This Row],[考试日期]])*(表成绩单[英语]&lt;9E+307)*(表成绩单[英语]&gt;表成绩单[[#This Row],[英语]]))+1)</f>
        <v>471</v>
      </c>
      <c r="S2123" s="29" cm="1">
        <f t="array" ref="S2123">IF(表成绩单[[#This Row],[物理]]="","",SUMPRODUCT((表成绩单[考试日期]=表成绩单[[#This Row],[考试日期]])*(表成绩单[物理]&lt;9E+307)*(表成绩单[物理]&gt;表成绩单[[#This Row],[物理]]))+1)</f>
        <v>372</v>
      </c>
      <c r="T2123" s="29" cm="1">
        <f t="array" ref="T2123">IF(表成绩单[[#This Row],[化学]]="","",SUMPRODUCT((表成绩单[考试日期]=表成绩单[[#This Row],[考试日期]])*(表成绩单[化学]&lt;9E+307)*(表成绩单[化学]&gt;表成绩单[[#This Row],[化学]]))+1)</f>
        <v>564</v>
      </c>
      <c r="U2123" s="29" cm="1">
        <f t="array" ref="U2123">IF(表成绩单[[#This Row],[政治]]="","",SUMPRODUCT((表成绩单[考试日期]=表成绩单[[#This Row],[考试日期]])*(表成绩单[政治]&lt;9E+307)*(表成绩单[政治]&gt;表成绩单[[#This Row],[政治]]))+1)</f>
        <v>675</v>
      </c>
      <c r="V2123" s="29" cm="1">
        <f t="array" ref="V2123">IF(表成绩单[[#This Row],[历史]]="","",SUMPRODUCT((表成绩单[考试日期]=表成绩单[[#This Row],[考试日期]])*(表成绩单[历史]&lt;9E+307)*(表成绩单[历史]&gt;表成绩单[[#This Row],[历史]]))+1)</f>
        <v>451</v>
      </c>
      <c r="W2123" s="29" cm="1">
        <f t="array" ref="W2123">IF(表成绩单[[#This Row],[总分]]="","",SUMPRODUCT((表成绩单[考试日期]=表成绩单[[#This Row],[考试日期]])*(表成绩单[总分]&lt;9E+307)*(表成绩单[总分]&gt;表成绩单[[#This Row],[总分]]))+1)</f>
        <v>517</v>
      </c>
    </row>
    <row r="2124" ht="28" customHeight="1" spans="4:23">
      <c r="D2124" s="31">
        <v>46030</v>
      </c>
      <c r="E2124" s="29">
        <v>19177641</v>
      </c>
      <c r="F2124" s="29" t="s">
        <v>63</v>
      </c>
      <c r="G2124" s="29" t="s">
        <v>584</v>
      </c>
      <c r="H2124" s="29">
        <v>91</v>
      </c>
      <c r="I2124" s="29">
        <v>70</v>
      </c>
      <c r="J2124" s="29">
        <v>59</v>
      </c>
      <c r="K2124" s="29">
        <v>56</v>
      </c>
      <c r="L2124" s="29">
        <v>56</v>
      </c>
      <c r="M2124" s="29">
        <v>67</v>
      </c>
      <c r="N2124" s="29">
        <v>77</v>
      </c>
      <c r="O2124" s="32">
        <v>476</v>
      </c>
      <c r="P2124" s="29" cm="1">
        <f t="array" ref="P2124">IF(表成绩单[[#This Row],[语文]]="","",SUMPRODUCT((表成绩单[考试日期]=表成绩单[[#This Row],[考试日期]])*(表成绩单[语文]&lt;9E+307)*(表成绩单[语文]&gt;表成绩单[[#This Row],[语文]]))+1)</f>
        <v>478</v>
      </c>
      <c r="Q2124" s="29" cm="1">
        <f t="array" ref="Q2124">IF(表成绩单[[#This Row],[数学]]="","",SUMPRODUCT((表成绩单[考试日期]=表成绩单[[#This Row],[考试日期]])*(表成绩单[数学]&lt;9E+307)*(表成绩单[数学]&gt;表成绩单[[#This Row],[数学]]))+1)</f>
        <v>590</v>
      </c>
      <c r="R2124" s="29" cm="1">
        <f t="array" ref="R2124">IF(表成绩单[[#This Row],[英语]]="","",SUMPRODUCT((表成绩单[考试日期]=表成绩单[[#This Row],[考试日期]])*(表成绩单[英语]&lt;9E+307)*(表成绩单[英语]&gt;表成绩单[[#This Row],[英语]]))+1)</f>
        <v>538</v>
      </c>
      <c r="S2124" s="29" cm="1">
        <f t="array" ref="S2124">IF(表成绩单[[#This Row],[物理]]="","",SUMPRODUCT((表成绩单[考试日期]=表成绩单[[#This Row],[考试日期]])*(表成绩单[物理]&lt;9E+307)*(表成绩单[物理]&gt;表成绩单[[#This Row],[物理]]))+1)</f>
        <v>552</v>
      </c>
      <c r="T2124" s="29" cm="1">
        <f t="array" ref="T2124">IF(表成绩单[[#This Row],[化学]]="","",SUMPRODUCT((表成绩单[考试日期]=表成绩单[[#This Row],[考试日期]])*(表成绩单[化学]&lt;9E+307)*(表成绩单[化学]&gt;表成绩单[[#This Row],[化学]]))+1)</f>
        <v>581</v>
      </c>
      <c r="U2124" s="29" cm="1">
        <f t="array" ref="U2124">IF(表成绩单[[#This Row],[政治]]="","",SUMPRODUCT((表成绩单[考试日期]=表成绩单[[#This Row],[考试日期]])*(表成绩单[政治]&lt;9E+307)*(表成绩单[政治]&gt;表成绩单[[#This Row],[政治]]))+1)</f>
        <v>370</v>
      </c>
      <c r="V2124" s="29" cm="1">
        <f t="array" ref="V2124">IF(表成绩单[[#This Row],[历史]]="","",SUMPRODUCT((表成绩单[考试日期]=表成绩单[[#This Row],[考试日期]])*(表成绩单[历史]&lt;9E+307)*(表成绩单[历史]&gt;表成绩单[[#This Row],[历史]]))+1)</f>
        <v>148</v>
      </c>
      <c r="W2124" s="29" cm="1">
        <f t="array" ref="W2124">IF(表成绩单[[#This Row],[总分]]="","",SUMPRODUCT((表成绩单[考试日期]=表成绩单[[#This Row],[考试日期]])*(表成绩单[总分]&lt;9E+307)*(表成绩单[总分]&gt;表成绩单[[#This Row],[总分]]))+1)</f>
        <v>517</v>
      </c>
    </row>
    <row r="2125" ht="28" customHeight="1" spans="4:23">
      <c r="D2125" s="31">
        <v>46030</v>
      </c>
      <c r="E2125" s="29">
        <v>19175324</v>
      </c>
      <c r="F2125" s="29" t="s">
        <v>55</v>
      </c>
      <c r="G2125" s="29" t="s">
        <v>674</v>
      </c>
      <c r="H2125" s="29">
        <v>95</v>
      </c>
      <c r="I2125" s="29">
        <v>80</v>
      </c>
      <c r="J2125" s="29">
        <v>56.5</v>
      </c>
      <c r="K2125" s="29">
        <v>43</v>
      </c>
      <c r="L2125" s="29">
        <v>48</v>
      </c>
      <c r="M2125" s="29">
        <v>75</v>
      </c>
      <c r="N2125" s="29">
        <v>78</v>
      </c>
      <c r="O2125" s="32">
        <v>475.5</v>
      </c>
      <c r="P2125" s="29" cm="1">
        <f t="array" ref="P2125">IF(表成绩单[[#This Row],[语文]]="","",SUMPRODUCT((表成绩单[考试日期]=表成绩单[[#This Row],[考试日期]])*(表成绩单[语文]&lt;9E+307)*(表成绩单[语文]&gt;表成绩单[[#This Row],[语文]]))+1)</f>
        <v>342</v>
      </c>
      <c r="Q2125" s="29" cm="1">
        <f t="array" ref="Q2125">IF(表成绩单[[#This Row],[数学]]="","",SUMPRODUCT((表成绩单[考试日期]=表成绩单[[#This Row],[考试日期]])*(表成绩单[数学]&lt;9E+307)*(表成绩单[数学]&gt;表成绩单[[#This Row],[数学]]))+1)</f>
        <v>412</v>
      </c>
      <c r="R2125" s="29" cm="1">
        <f t="array" ref="R2125">IF(表成绩单[[#This Row],[英语]]="","",SUMPRODUCT((表成绩单[考试日期]=表成绩单[[#This Row],[考试日期]])*(表成绩单[英语]&lt;9E+307)*(表成绩单[英语]&gt;表成绩单[[#This Row],[英语]]))+1)</f>
        <v>575</v>
      </c>
      <c r="S2125" s="29" cm="1">
        <f t="array" ref="S2125">IF(表成绩单[[#This Row],[物理]]="","",SUMPRODUCT((表成绩单[考试日期]=表成绩单[[#This Row],[考试日期]])*(表成绩单[物理]&lt;9E+307)*(表成绩单[物理]&gt;表成绩单[[#This Row],[物理]]))+1)</f>
        <v>674</v>
      </c>
      <c r="T2125" s="29" cm="1">
        <f t="array" ref="T2125">IF(表成绩单[[#This Row],[化学]]="","",SUMPRODUCT((表成绩单[考试日期]=表成绩单[[#This Row],[考试日期]])*(表成绩单[化学]&lt;9E+307)*(表成绩单[化学]&gt;表成绩单[[#This Row],[化学]]))+1)</f>
        <v>685</v>
      </c>
      <c r="U2125" s="29" cm="1">
        <f t="array" ref="U2125">IF(表成绩单[[#This Row],[政治]]="","",SUMPRODUCT((表成绩单[考试日期]=表成绩单[[#This Row],[考试日期]])*(表成绩单[政治]&lt;9E+307)*(表成绩单[政治]&gt;表成绩单[[#This Row],[政治]]))+1)</f>
        <v>137</v>
      </c>
      <c r="V2125" s="29" cm="1">
        <f t="array" ref="V2125">IF(表成绩单[[#This Row],[历史]]="","",SUMPRODUCT((表成绩单[考试日期]=表成绩单[[#This Row],[考试日期]])*(表成绩单[历史]&lt;9E+307)*(表成绩单[历史]&gt;表成绩单[[#This Row],[历史]]))+1)</f>
        <v>126</v>
      </c>
      <c r="W2125" s="29" cm="1">
        <f t="array" ref="W2125">IF(表成绩单[[#This Row],[总分]]="","",SUMPRODUCT((表成绩单[考试日期]=表成绩单[[#This Row],[考试日期]])*(表成绩单[总分]&lt;9E+307)*(表成绩单[总分]&gt;表成绩单[[#This Row],[总分]]))+1)</f>
        <v>519</v>
      </c>
    </row>
    <row r="2126" ht="28" customHeight="1" spans="4:23">
      <c r="D2126" s="31">
        <v>46030</v>
      </c>
      <c r="E2126" s="29">
        <v>19178607</v>
      </c>
      <c r="F2126" s="29" t="s">
        <v>64</v>
      </c>
      <c r="G2126" s="29" t="s">
        <v>639</v>
      </c>
      <c r="H2126" s="29">
        <v>94</v>
      </c>
      <c r="I2126" s="29">
        <v>67</v>
      </c>
      <c r="J2126" s="29">
        <v>62.5</v>
      </c>
      <c r="K2126" s="29">
        <v>57</v>
      </c>
      <c r="L2126" s="29">
        <v>54</v>
      </c>
      <c r="M2126" s="29">
        <v>71</v>
      </c>
      <c r="N2126" s="29">
        <v>70</v>
      </c>
      <c r="O2126" s="32">
        <v>475.5</v>
      </c>
      <c r="P2126" s="29" cm="1">
        <f t="array" ref="P2126">IF(表成绩单[[#This Row],[语文]]="","",SUMPRODUCT((表成绩单[考试日期]=表成绩单[[#This Row],[考试日期]])*(表成绩单[语文]&lt;9E+307)*(表成绩单[语文]&gt;表成绩单[[#This Row],[语文]]))+1)</f>
        <v>381</v>
      </c>
      <c r="Q2126" s="29" cm="1">
        <f t="array" ref="Q2126">IF(表成绩单[[#This Row],[数学]]="","",SUMPRODUCT((表成绩单[考试日期]=表成绩单[[#This Row],[考试日期]])*(表成绩单[数学]&lt;9E+307)*(表成绩单[数学]&gt;表成绩单[[#This Row],[数学]]))+1)</f>
        <v>620</v>
      </c>
      <c r="R2126" s="29" cm="1">
        <f t="array" ref="R2126">IF(表成绩单[[#This Row],[英语]]="","",SUMPRODUCT((表成绩单[考试日期]=表成绩单[[#This Row],[考试日期]])*(表成绩单[英语]&lt;9E+307)*(表成绩单[英语]&gt;表成绩单[[#This Row],[英语]]))+1)</f>
        <v>477</v>
      </c>
      <c r="S2126" s="29" cm="1">
        <f t="array" ref="S2126">IF(表成绩单[[#This Row],[物理]]="","",SUMPRODUCT((表成绩单[考试日期]=表成绩单[[#This Row],[考试日期]])*(表成绩单[物理]&lt;9E+307)*(表成绩单[物理]&gt;表成绩单[[#This Row],[物理]]))+1)</f>
        <v>539</v>
      </c>
      <c r="T2126" s="29" cm="1">
        <f t="array" ref="T2126">IF(表成绩单[[#This Row],[化学]]="","",SUMPRODUCT((表成绩单[考试日期]=表成绩单[[#This Row],[考试日期]])*(表成绩单[化学]&lt;9E+307)*(表成绩单[化学]&gt;表成绩单[[#This Row],[化学]]))+1)</f>
        <v>609</v>
      </c>
      <c r="U2126" s="29" cm="1">
        <f t="array" ref="U2126">IF(表成绩单[[#This Row],[政治]]="","",SUMPRODUCT((表成绩单[考试日期]=表成绩单[[#This Row],[考试日期]])*(表成绩单[政治]&lt;9E+307)*(表成绩单[政治]&gt;表成绩单[[#This Row],[政治]]))+1)</f>
        <v>248</v>
      </c>
      <c r="V2126" s="29" cm="1">
        <f t="array" ref="V2126">IF(表成绩单[[#This Row],[历史]]="","",SUMPRODUCT((表成绩单[考试日期]=表成绩单[[#This Row],[考试日期]])*(表成绩单[历史]&lt;9E+307)*(表成绩单[历史]&gt;表成绩单[[#This Row],[历史]]))+1)</f>
        <v>328</v>
      </c>
      <c r="W2126" s="29" cm="1">
        <f t="array" ref="W2126">IF(表成绩单[[#This Row],[总分]]="","",SUMPRODUCT((表成绩单[考试日期]=表成绩单[[#This Row],[考试日期]])*(表成绩单[总分]&lt;9E+307)*(表成绩单[总分]&gt;表成绩单[[#This Row],[总分]]))+1)</f>
        <v>519</v>
      </c>
    </row>
    <row r="2127" ht="28" customHeight="1" spans="4:23">
      <c r="D2127" s="31">
        <v>46030</v>
      </c>
      <c r="E2127" s="29">
        <v>19175983</v>
      </c>
      <c r="F2127" s="29" t="s">
        <v>59</v>
      </c>
      <c r="G2127" s="29" t="s">
        <v>650</v>
      </c>
      <c r="H2127" s="29">
        <v>87</v>
      </c>
      <c r="I2127" s="29">
        <v>81</v>
      </c>
      <c r="J2127" s="29">
        <v>64</v>
      </c>
      <c r="K2127" s="29">
        <v>64</v>
      </c>
      <c r="L2127" s="29">
        <v>55</v>
      </c>
      <c r="M2127" s="29">
        <v>61</v>
      </c>
      <c r="N2127" s="29">
        <v>63</v>
      </c>
      <c r="O2127" s="32">
        <v>475</v>
      </c>
      <c r="P2127" s="29" cm="1">
        <f t="array" ref="P2127">IF(表成绩单[[#This Row],[语文]]="","",SUMPRODUCT((表成绩单[考试日期]=表成绩单[[#This Row],[考试日期]])*(表成绩单[语文]&lt;9E+307)*(表成绩单[语文]&gt;表成绩单[[#This Row],[语文]]))+1)</f>
        <v>581</v>
      </c>
      <c r="Q2127" s="29" cm="1">
        <f t="array" ref="Q2127">IF(表成绩单[[#This Row],[数学]]="","",SUMPRODUCT((表成绩单[考试日期]=表成绩单[[#This Row],[考试日期]])*(表成绩单[数学]&lt;9E+307)*(表成绩单[数学]&gt;表成绩单[[#This Row],[数学]]))+1)</f>
        <v>396</v>
      </c>
      <c r="R2127" s="29" cm="1">
        <f t="array" ref="R2127">IF(表成绩单[[#This Row],[英语]]="","",SUMPRODUCT((表成绩单[考试日期]=表成绩单[[#This Row],[考试日期]])*(表成绩单[英语]&lt;9E+307)*(表成绩单[英语]&gt;表成绩单[[#This Row],[英语]]))+1)</f>
        <v>456</v>
      </c>
      <c r="S2127" s="29" cm="1">
        <f t="array" ref="S2127">IF(表成绩单[[#This Row],[物理]]="","",SUMPRODUCT((表成绩单[考试日期]=表成绩单[[#This Row],[考试日期]])*(表成绩单[物理]&lt;9E+307)*(表成绩单[物理]&gt;表成绩单[[#This Row],[物理]]))+1)</f>
        <v>441</v>
      </c>
      <c r="T2127" s="29" cm="1">
        <f t="array" ref="T2127">IF(表成绩单[[#This Row],[化学]]="","",SUMPRODUCT((表成绩单[考试日期]=表成绩单[[#This Row],[考试日期]])*(表成绩单[化学]&lt;9E+307)*(表成绩单[化学]&gt;表成绩单[[#This Row],[化学]]))+1)</f>
        <v>593</v>
      </c>
      <c r="U2127" s="29" cm="1">
        <f t="array" ref="U2127">IF(表成绩单[[#This Row],[政治]]="","",SUMPRODUCT((表成绩单[考试日期]=表成绩单[[#This Row],[考试日期]])*(表成绩单[政治]&lt;9E+307)*(表成绩单[政治]&gt;表成绩单[[#This Row],[政治]]))+1)</f>
        <v>530</v>
      </c>
      <c r="V2127" s="29" cm="1">
        <f t="array" ref="V2127">IF(表成绩单[[#This Row],[历史]]="","",SUMPRODUCT((表成绩单[考试日期]=表成绩单[[#This Row],[考试日期]])*(表成绩单[历史]&lt;9E+307)*(表成绩单[历史]&gt;表成绩单[[#This Row],[历史]]))+1)</f>
        <v>521</v>
      </c>
      <c r="W2127" s="29" cm="1">
        <f t="array" ref="W2127">IF(表成绩单[[#This Row],[总分]]="","",SUMPRODUCT((表成绩单[考试日期]=表成绩单[[#This Row],[考试日期]])*(表成绩单[总分]&lt;9E+307)*(表成绩单[总分]&gt;表成绩单[[#This Row],[总分]]))+1)</f>
        <v>521</v>
      </c>
    </row>
    <row r="2128" ht="28" customHeight="1" spans="4:23">
      <c r="D2128" s="31">
        <v>46030</v>
      </c>
      <c r="E2128" s="29">
        <v>19177633</v>
      </c>
      <c r="F2128" s="29" t="s">
        <v>63</v>
      </c>
      <c r="G2128" s="29" t="s">
        <v>597</v>
      </c>
      <c r="H2128" s="29">
        <v>90</v>
      </c>
      <c r="I2128" s="29">
        <v>72</v>
      </c>
      <c r="J2128" s="29">
        <v>68</v>
      </c>
      <c r="K2128" s="29">
        <v>55</v>
      </c>
      <c r="L2128" s="29">
        <v>60</v>
      </c>
      <c r="M2128" s="29">
        <v>72</v>
      </c>
      <c r="N2128" s="29">
        <v>58</v>
      </c>
      <c r="O2128" s="32">
        <v>475</v>
      </c>
      <c r="P2128" s="29" cm="1">
        <f t="array" ref="P2128">IF(表成绩单[[#This Row],[语文]]="","",SUMPRODUCT((表成绩单[考试日期]=表成绩单[[#This Row],[考试日期]])*(表成绩单[语文]&lt;9E+307)*(表成绩单[语文]&gt;表成绩单[[#This Row],[语文]]))+1)</f>
        <v>509</v>
      </c>
      <c r="Q2128" s="29" cm="1">
        <f t="array" ref="Q2128">IF(表成绩单[[#This Row],[数学]]="","",SUMPRODUCT((表成绩单[考试日期]=表成绩单[[#This Row],[考试日期]])*(表成绩单[数学]&lt;9E+307)*(表成绩单[数学]&gt;表成绩单[[#This Row],[数学]]))+1)</f>
        <v>562</v>
      </c>
      <c r="R2128" s="29" cm="1">
        <f t="array" ref="R2128">IF(表成绩单[[#This Row],[英语]]="","",SUMPRODUCT((表成绩单[考试日期]=表成绩单[[#This Row],[考试日期]])*(表成绩单[英语]&lt;9E+307)*(表成绩单[英语]&gt;表成绩单[[#This Row],[英语]]))+1)</f>
        <v>364</v>
      </c>
      <c r="S2128" s="29" cm="1">
        <f t="array" ref="S2128">IF(表成绩单[[#This Row],[物理]]="","",SUMPRODUCT((表成绩单[考试日期]=表成绩单[[#This Row],[考试日期]])*(表成绩单[物理]&lt;9E+307)*(表成绩单[物理]&gt;表成绩单[[#This Row],[物理]]))+1)</f>
        <v>562</v>
      </c>
      <c r="T2128" s="29" cm="1">
        <f t="array" ref="T2128">IF(表成绩单[[#This Row],[化学]]="","",SUMPRODUCT((表成绩单[考试日期]=表成绩单[[#This Row],[考试日期]])*(表成绩单[化学]&lt;9E+307)*(表成绩单[化学]&gt;表成绩单[[#This Row],[化学]]))+1)</f>
        <v>525</v>
      </c>
      <c r="U2128" s="29" cm="1">
        <f t="array" ref="U2128">IF(表成绩单[[#This Row],[政治]]="","",SUMPRODUCT((表成绩单[考试日期]=表成绩单[[#This Row],[考试日期]])*(表成绩单[政治]&lt;9E+307)*(表成绩单[政治]&gt;表成绩单[[#This Row],[政治]]))+1)</f>
        <v>224</v>
      </c>
      <c r="V2128" s="29" cm="1">
        <f t="array" ref="V2128">IF(表成绩单[[#This Row],[历史]]="","",SUMPRODUCT((表成绩单[考试日期]=表成绩单[[#This Row],[考试日期]])*(表成绩单[历史]&lt;9E+307)*(表成绩单[历史]&gt;表成绩单[[#This Row],[历史]]))+1)</f>
        <v>620</v>
      </c>
      <c r="W2128" s="29" cm="1">
        <f t="array" ref="W2128">IF(表成绩单[[#This Row],[总分]]="","",SUMPRODUCT((表成绩单[考试日期]=表成绩单[[#This Row],[考试日期]])*(表成绩单[总分]&lt;9E+307)*(表成绩单[总分]&gt;表成绩单[[#This Row],[总分]]))+1)</f>
        <v>521</v>
      </c>
    </row>
    <row r="2129" ht="28" customHeight="1" spans="4:23">
      <c r="D2129" s="31">
        <v>46030</v>
      </c>
      <c r="E2129" s="29">
        <v>19177643</v>
      </c>
      <c r="F2129" s="29" t="s">
        <v>63</v>
      </c>
      <c r="G2129" s="29" t="s">
        <v>707</v>
      </c>
      <c r="H2129" s="29">
        <v>93</v>
      </c>
      <c r="I2129" s="29">
        <v>68</v>
      </c>
      <c r="J2129" s="29">
        <v>58.5</v>
      </c>
      <c r="K2129" s="29">
        <v>60</v>
      </c>
      <c r="L2129" s="29">
        <v>63</v>
      </c>
      <c r="M2129" s="29">
        <v>64</v>
      </c>
      <c r="N2129" s="29">
        <v>68</v>
      </c>
      <c r="O2129" s="32">
        <v>474.5</v>
      </c>
      <c r="P2129" s="29" cm="1">
        <f t="array" ref="P2129">IF(表成绩单[[#This Row],[语文]]="","",SUMPRODUCT((表成绩单[考试日期]=表成绩单[[#This Row],[考试日期]])*(表成绩单[语文]&lt;9E+307)*(表成绩单[语文]&gt;表成绩单[[#This Row],[语文]]))+1)</f>
        <v>412</v>
      </c>
      <c r="Q2129" s="29" cm="1">
        <f t="array" ref="Q2129">IF(表成绩单[[#This Row],[数学]]="","",SUMPRODUCT((表成绩单[考试日期]=表成绩单[[#This Row],[考试日期]])*(表成绩单[数学]&lt;9E+307)*(表成绩单[数学]&gt;表成绩单[[#This Row],[数学]]))+1)</f>
        <v>608</v>
      </c>
      <c r="R2129" s="29" cm="1">
        <f t="array" ref="R2129">IF(表成绩单[[#This Row],[英语]]="","",SUMPRODUCT((表成绩单[考试日期]=表成绩单[[#This Row],[考试日期]])*(表成绩单[英语]&lt;9E+307)*(表成绩单[英语]&gt;表成绩单[[#This Row],[英语]]))+1)</f>
        <v>545</v>
      </c>
      <c r="S2129" s="29" cm="1">
        <f t="array" ref="S2129">IF(表成绩单[[#This Row],[物理]]="","",SUMPRODUCT((表成绩单[考试日期]=表成绩单[[#This Row],[考试日期]])*(表成绩单[物理]&lt;9E+307)*(表成绩单[物理]&gt;表成绩单[[#This Row],[物理]]))+1)</f>
        <v>499</v>
      </c>
      <c r="T2129" s="29" cm="1">
        <f t="array" ref="T2129">IF(表成绩单[[#This Row],[化学]]="","",SUMPRODUCT((表成绩单[考试日期]=表成绩单[[#This Row],[考试日期]])*(表成绩单[化学]&lt;9E+307)*(表成绩单[化学]&gt;表成绩单[[#This Row],[化学]]))+1)</f>
        <v>472</v>
      </c>
      <c r="U2129" s="29" cm="1">
        <f t="array" ref="U2129">IF(表成绩单[[#This Row],[政治]]="","",SUMPRODUCT((表成绩单[考试日期]=表成绩单[[#This Row],[考试日期]])*(表成绩单[政治]&lt;9E+307)*(表成绩单[政治]&gt;表成绩单[[#This Row],[政治]]))+1)</f>
        <v>457</v>
      </c>
      <c r="V2129" s="29" cm="1">
        <f t="array" ref="V2129">IF(表成绩单[[#This Row],[历史]]="","",SUMPRODUCT((表成绩单[考试日期]=表成绩单[[#This Row],[考试日期]])*(表成绩单[历史]&lt;9E+307)*(表成绩单[历史]&gt;表成绩单[[#This Row],[历史]]))+1)</f>
        <v>390</v>
      </c>
      <c r="W2129" s="29" cm="1">
        <f t="array" ref="W2129">IF(表成绩单[[#This Row],[总分]]="","",SUMPRODUCT((表成绩单[考试日期]=表成绩单[[#This Row],[考试日期]])*(表成绩单[总分]&lt;9E+307)*(表成绩单[总分]&gt;表成绩单[[#This Row],[总分]]))+1)</f>
        <v>523</v>
      </c>
    </row>
    <row r="2130" ht="28" customHeight="1" spans="4:23">
      <c r="D2130" s="31">
        <v>46030</v>
      </c>
      <c r="E2130" s="29">
        <v>19172624</v>
      </c>
      <c r="F2130" s="29" t="s">
        <v>60</v>
      </c>
      <c r="G2130" s="29" t="s">
        <v>662</v>
      </c>
      <c r="H2130" s="29">
        <v>86</v>
      </c>
      <c r="I2130" s="29">
        <v>85</v>
      </c>
      <c r="J2130" s="29">
        <v>71</v>
      </c>
      <c r="K2130" s="29">
        <v>63</v>
      </c>
      <c r="L2130" s="29">
        <v>70</v>
      </c>
      <c r="M2130" s="29">
        <v>42</v>
      </c>
      <c r="N2130" s="29">
        <v>57</v>
      </c>
      <c r="O2130" s="32">
        <v>474</v>
      </c>
      <c r="P2130" s="29" cm="1">
        <f t="array" ref="P2130">IF(表成绩单[[#This Row],[语文]]="","",SUMPRODUCT((表成绩单[考试日期]=表成绩单[[#This Row],[考试日期]])*(表成绩单[语文]&lt;9E+307)*(表成绩单[语文]&gt;表成绩单[[#This Row],[语文]]))+1)</f>
        <v>601</v>
      </c>
      <c r="Q2130" s="29" cm="1">
        <f t="array" ref="Q2130">IF(表成绩单[[#This Row],[数学]]="","",SUMPRODUCT((表成绩单[考试日期]=表成绩单[[#This Row],[考试日期]])*(表成绩单[数学]&lt;9E+307)*(表成绩单[数学]&gt;表成绩单[[#This Row],[数学]]))+1)</f>
        <v>325</v>
      </c>
      <c r="R2130" s="29" cm="1">
        <f t="array" ref="R2130">IF(表成绩单[[#This Row],[英语]]="","",SUMPRODUCT((表成绩单[考试日期]=表成绩单[[#This Row],[考试日期]])*(表成绩单[英语]&lt;9E+307)*(表成绩单[英语]&gt;表成绩单[[#This Row],[英语]]))+1)</f>
        <v>281</v>
      </c>
      <c r="S2130" s="29" cm="1">
        <f t="array" ref="S2130">IF(表成绩单[[#This Row],[物理]]="","",SUMPRODUCT((表成绩单[考试日期]=表成绩单[[#This Row],[考试日期]])*(表成绩单[物理]&lt;9E+307)*(表成绩单[物理]&gt;表成绩单[[#This Row],[物理]]))+1)</f>
        <v>459</v>
      </c>
      <c r="T2130" s="29" cm="1">
        <f t="array" ref="T2130">IF(表成绩单[[#This Row],[化学]]="","",SUMPRODUCT((表成绩单[考试日期]=表成绩单[[#This Row],[考试日期]])*(表成绩单[化学]&lt;9E+307)*(表成绩单[化学]&gt;表成绩单[[#This Row],[化学]]))+1)</f>
        <v>318</v>
      </c>
      <c r="U2130" s="29" cm="1">
        <f t="array" ref="U2130">IF(表成绩单[[#This Row],[政治]]="","",SUMPRODUCT((表成绩单[考试日期]=表成绩单[[#This Row],[考试日期]])*(表成绩单[政治]&lt;9E+307)*(表成绩单[政治]&gt;表成绩单[[#This Row],[政治]]))+1)</f>
        <v>719</v>
      </c>
      <c r="V2130" s="29" cm="1">
        <f t="array" ref="V2130">IF(表成绩单[[#This Row],[历史]]="","",SUMPRODUCT((表成绩单[考试日期]=表成绩单[[#This Row],[考试日期]])*(表成绩单[历史]&lt;9E+307)*(表成绩单[历史]&gt;表成绩单[[#This Row],[历史]]))+1)</f>
        <v>637</v>
      </c>
      <c r="W2130" s="29" cm="1">
        <f t="array" ref="W2130">IF(表成绩单[[#This Row],[总分]]="","",SUMPRODUCT((表成绩单[考试日期]=表成绩单[[#This Row],[考试日期]])*(表成绩单[总分]&lt;9E+307)*(表成绩单[总分]&gt;表成绩单[[#This Row],[总分]]))+1)</f>
        <v>524</v>
      </c>
    </row>
    <row r="2131" ht="28" customHeight="1" spans="4:23">
      <c r="D2131" s="31">
        <v>46030</v>
      </c>
      <c r="E2131" s="29">
        <v>19177604</v>
      </c>
      <c r="F2131" s="29" t="s">
        <v>58</v>
      </c>
      <c r="G2131" s="29" t="s">
        <v>682</v>
      </c>
      <c r="H2131" s="29">
        <v>92</v>
      </c>
      <c r="I2131" s="29">
        <v>85</v>
      </c>
      <c r="J2131" s="29">
        <v>64</v>
      </c>
      <c r="K2131" s="29">
        <v>50</v>
      </c>
      <c r="L2131" s="29">
        <v>68</v>
      </c>
      <c r="M2131" s="29">
        <v>60</v>
      </c>
      <c r="N2131" s="29">
        <v>55</v>
      </c>
      <c r="O2131" s="32">
        <v>474</v>
      </c>
      <c r="P2131" s="29" cm="1">
        <f t="array" ref="P2131">IF(表成绩单[[#This Row],[语文]]="","",SUMPRODUCT((表成绩单[考试日期]=表成绩单[[#This Row],[考试日期]])*(表成绩单[语文]&lt;9E+307)*(表成绩单[语文]&gt;表成绩单[[#This Row],[语文]]))+1)</f>
        <v>444</v>
      </c>
      <c r="Q2131" s="29" cm="1">
        <f t="array" ref="Q2131">IF(表成绩单[[#This Row],[数学]]="","",SUMPRODUCT((表成绩单[考试日期]=表成绩单[[#This Row],[考试日期]])*(表成绩单[数学]&lt;9E+307)*(表成绩单[数学]&gt;表成绩单[[#This Row],[数学]]))+1)</f>
        <v>325</v>
      </c>
      <c r="R2131" s="29" cm="1">
        <f t="array" ref="R2131">IF(表成绩单[[#This Row],[英语]]="","",SUMPRODUCT((表成绩单[考试日期]=表成绩单[[#This Row],[考试日期]])*(表成绩单[英语]&lt;9E+307)*(表成绩单[英语]&gt;表成绩单[[#This Row],[英语]]))+1)</f>
        <v>456</v>
      </c>
      <c r="S2131" s="29" cm="1">
        <f t="array" ref="S2131">IF(表成绩单[[#This Row],[物理]]="","",SUMPRODUCT((表成绩单[考试日期]=表成绩单[[#This Row],[考试日期]])*(表成绩单[物理]&lt;9E+307)*(表成绩单[物理]&gt;表成绩单[[#This Row],[物理]]))+1)</f>
        <v>605</v>
      </c>
      <c r="T2131" s="29" cm="1">
        <f t="array" ref="T2131">IF(表成绩单[[#This Row],[化学]]="","",SUMPRODUCT((表成绩单[考试日期]=表成绩单[[#This Row],[考试日期]])*(表成绩单[化学]&lt;9E+307)*(表成绩单[化学]&gt;表成绩单[[#This Row],[化学]]))+1)</f>
        <v>358</v>
      </c>
      <c r="U2131" s="29" cm="1">
        <f t="array" ref="U2131">IF(表成绩单[[#This Row],[政治]]="","",SUMPRODUCT((表成绩单[考试日期]=表成绩单[[#This Row],[考试日期]])*(表成绩单[政治]&lt;9E+307)*(表成绩单[政治]&gt;表成绩单[[#This Row],[政治]]))+1)</f>
        <v>544</v>
      </c>
      <c r="V2131" s="29" cm="1">
        <f t="array" ref="V2131">IF(表成绩单[[#This Row],[历史]]="","",SUMPRODUCT((表成绩单[考试日期]=表成绩单[[#This Row],[考试日期]])*(表成绩单[历史]&lt;9E+307)*(表成绩单[历史]&gt;表成绩单[[#This Row],[历史]]))+1)</f>
        <v>662</v>
      </c>
      <c r="W2131" s="29" cm="1">
        <f t="array" ref="W2131">IF(表成绩单[[#This Row],[总分]]="","",SUMPRODUCT((表成绩单[考试日期]=表成绩单[[#This Row],[考试日期]])*(表成绩单[总分]&lt;9E+307)*(表成绩单[总分]&gt;表成绩单[[#This Row],[总分]]))+1)</f>
        <v>524</v>
      </c>
    </row>
    <row r="2132" ht="28" customHeight="1" spans="4:23">
      <c r="D2132" s="31">
        <v>46030</v>
      </c>
      <c r="E2132" s="29">
        <v>19178625</v>
      </c>
      <c r="F2132" s="29" t="s">
        <v>25</v>
      </c>
      <c r="G2132" s="29" t="s">
        <v>571</v>
      </c>
      <c r="H2132" s="29">
        <v>90</v>
      </c>
      <c r="I2132" s="29">
        <v>72</v>
      </c>
      <c r="J2132" s="29">
        <v>51.5</v>
      </c>
      <c r="K2132" s="29">
        <v>58</v>
      </c>
      <c r="L2132" s="29">
        <v>63</v>
      </c>
      <c r="M2132" s="29">
        <v>65</v>
      </c>
      <c r="N2132" s="29">
        <v>74</v>
      </c>
      <c r="O2132" s="32">
        <v>473.5</v>
      </c>
      <c r="P2132" s="29" cm="1">
        <f t="array" ref="P2132">IF(表成绩单[[#This Row],[语文]]="","",SUMPRODUCT((表成绩单[考试日期]=表成绩单[[#This Row],[考试日期]])*(表成绩单[语文]&lt;9E+307)*(表成绩单[语文]&gt;表成绩单[[#This Row],[语文]]))+1)</f>
        <v>509</v>
      </c>
      <c r="Q2132" s="29" cm="1">
        <f t="array" ref="Q2132">IF(表成绩单[[#This Row],[数学]]="","",SUMPRODUCT((表成绩单[考试日期]=表成绩单[[#This Row],[考试日期]])*(表成绩单[数学]&lt;9E+307)*(表成绩单[数学]&gt;表成绩单[[#This Row],[数学]]))+1)</f>
        <v>562</v>
      </c>
      <c r="R2132" s="29" cm="1">
        <f t="array" ref="R2132">IF(表成绩单[[#This Row],[英语]]="","",SUMPRODUCT((表成绩单[考试日期]=表成绩单[[#This Row],[考试日期]])*(表成绩单[英语]&lt;9E+307)*(表成绩单[英语]&gt;表成绩单[[#This Row],[英语]]))+1)</f>
        <v>634</v>
      </c>
      <c r="S2132" s="29" cm="1">
        <f t="array" ref="S2132">IF(表成绩单[[#This Row],[物理]]="","",SUMPRODUCT((表成绩单[考试日期]=表成绩单[[#This Row],[考试日期]])*(表成绩单[物理]&lt;9E+307)*(表成绩单[物理]&gt;表成绩单[[#This Row],[物理]]))+1)</f>
        <v>527</v>
      </c>
      <c r="T2132" s="29" cm="1">
        <f t="array" ref="T2132">IF(表成绩单[[#This Row],[化学]]="","",SUMPRODUCT((表成绩单[考试日期]=表成绩单[[#This Row],[考试日期]])*(表成绩单[化学]&lt;9E+307)*(表成绩单[化学]&gt;表成绩单[[#This Row],[化学]]))+1)</f>
        <v>472</v>
      </c>
      <c r="U2132" s="29" cm="1">
        <f t="array" ref="U2132">IF(表成绩单[[#This Row],[政治]]="","",SUMPRODUCT((表成绩单[考试日期]=表成绩单[[#This Row],[考试日期]])*(表成绩单[政治]&lt;9E+307)*(表成绩单[政治]&gt;表成绩单[[#This Row],[政治]]))+1)</f>
        <v>431</v>
      </c>
      <c r="V2132" s="29" cm="1">
        <f t="array" ref="V2132">IF(表成绩单[[#This Row],[历史]]="","",SUMPRODUCT((表成绩单[考试日期]=表成绩单[[#This Row],[考试日期]])*(表成绩单[历史]&lt;9E+307)*(表成绩单[历史]&gt;表成绩单[[#This Row],[历史]]))+1)</f>
        <v>215</v>
      </c>
      <c r="W2132" s="29" cm="1">
        <f t="array" ref="W2132">IF(表成绩单[[#This Row],[总分]]="","",SUMPRODUCT((表成绩单[考试日期]=表成绩单[[#This Row],[考试日期]])*(表成绩单[总分]&lt;9E+307)*(表成绩单[总分]&gt;表成绩单[[#This Row],[总分]]))+1)</f>
        <v>526</v>
      </c>
    </row>
    <row r="2133" ht="28" customHeight="1" spans="4:23">
      <c r="D2133" s="31">
        <v>46030</v>
      </c>
      <c r="E2133" s="29">
        <v>19174800</v>
      </c>
      <c r="F2133" s="29" t="s">
        <v>69</v>
      </c>
      <c r="G2133" s="29" t="s">
        <v>494</v>
      </c>
      <c r="H2133" s="29">
        <v>86</v>
      </c>
      <c r="I2133" s="29">
        <v>78</v>
      </c>
      <c r="J2133" s="29">
        <v>51</v>
      </c>
      <c r="K2133" s="29">
        <v>74</v>
      </c>
      <c r="L2133" s="29">
        <v>62</v>
      </c>
      <c r="M2133" s="29">
        <v>62</v>
      </c>
      <c r="N2133" s="29">
        <v>60</v>
      </c>
      <c r="O2133" s="32">
        <v>473</v>
      </c>
      <c r="P2133" s="29" cm="1">
        <f t="array" ref="P2133">IF(表成绩单[[#This Row],[语文]]="","",SUMPRODUCT((表成绩单[考试日期]=表成绩单[[#This Row],[考试日期]])*(表成绩单[语文]&lt;9E+307)*(表成绩单[语文]&gt;表成绩单[[#This Row],[语文]]))+1)</f>
        <v>601</v>
      </c>
      <c r="Q2133" s="29" cm="1">
        <f t="array" ref="Q2133">IF(表成绩单[[#This Row],[数学]]="","",SUMPRODUCT((表成绩单[考试日期]=表成绩单[[#This Row],[考试日期]])*(表成绩单[数学]&lt;9E+307)*(表成绩单[数学]&gt;表成绩单[[#This Row],[数学]]))+1)</f>
        <v>450</v>
      </c>
      <c r="R2133" s="29" cm="1">
        <f t="array" ref="R2133">IF(表成绩单[[#This Row],[英语]]="","",SUMPRODUCT((表成绩单[考试日期]=表成绩单[[#This Row],[考试日期]])*(表成绩单[英语]&lt;9E+307)*(表成绩单[英语]&gt;表成绩单[[#This Row],[英语]]))+1)</f>
        <v>641</v>
      </c>
      <c r="S2133" s="29" cm="1">
        <f t="array" ref="S2133">IF(表成绩单[[#This Row],[物理]]="","",SUMPRODUCT((表成绩单[考试日期]=表成绩单[[#This Row],[考试日期]])*(表成绩单[物理]&lt;9E+307)*(表成绩单[物理]&gt;表成绩单[[#This Row],[物理]]))+1)</f>
        <v>258</v>
      </c>
      <c r="T2133" s="29" cm="1">
        <f t="array" ref="T2133">IF(表成绩单[[#This Row],[化学]]="","",SUMPRODUCT((表成绩单[考试日期]=表成绩单[[#This Row],[考试日期]])*(表成绩单[化学]&lt;9E+307)*(表成绩单[化学]&gt;表成绩单[[#This Row],[化学]]))+1)</f>
        <v>494</v>
      </c>
      <c r="U2133" s="29" cm="1">
        <f t="array" ref="U2133">IF(表成绩单[[#This Row],[政治]]="","",SUMPRODUCT((表成绩单[考试日期]=表成绩单[[#This Row],[考试日期]])*(表成绩单[政治]&lt;9E+307)*(表成绩单[政治]&gt;表成绩单[[#This Row],[政治]]))+1)</f>
        <v>508</v>
      </c>
      <c r="V2133" s="29" cm="1">
        <f t="array" ref="V2133">IF(表成绩单[[#This Row],[历史]]="","",SUMPRODUCT((表成绩单[考试日期]=表成绩单[[#This Row],[考试日期]])*(表成绩单[历史]&lt;9E+307)*(表成绩单[历史]&gt;表成绩单[[#This Row],[历史]]))+1)</f>
        <v>579</v>
      </c>
      <c r="W2133" s="29" cm="1">
        <f t="array" ref="W2133">IF(表成绩单[[#This Row],[总分]]="","",SUMPRODUCT((表成绩单[考试日期]=表成绩单[[#This Row],[考试日期]])*(表成绩单[总分]&lt;9E+307)*(表成绩单[总分]&gt;表成绩单[[#This Row],[总分]]))+1)</f>
        <v>527</v>
      </c>
    </row>
    <row r="2134" ht="28" customHeight="1" spans="4:23">
      <c r="D2134" s="31">
        <v>46030</v>
      </c>
      <c r="E2134" s="29">
        <v>19175301</v>
      </c>
      <c r="F2134" s="29" t="s">
        <v>55</v>
      </c>
      <c r="G2134" s="29" t="s">
        <v>706</v>
      </c>
      <c r="H2134" s="29">
        <v>92</v>
      </c>
      <c r="I2134" s="29">
        <v>72</v>
      </c>
      <c r="J2134" s="29">
        <v>75.5</v>
      </c>
      <c r="K2134" s="29">
        <v>48</v>
      </c>
      <c r="L2134" s="29">
        <v>58</v>
      </c>
      <c r="M2134" s="29">
        <v>55</v>
      </c>
      <c r="N2134" s="29">
        <v>72</v>
      </c>
      <c r="O2134" s="32">
        <v>472.5</v>
      </c>
      <c r="P2134" s="29" cm="1">
        <f t="array" ref="P2134">IF(表成绩单[[#This Row],[语文]]="","",SUMPRODUCT((表成绩单[考试日期]=表成绩单[[#This Row],[考试日期]])*(表成绩单[语文]&lt;9E+307)*(表成绩单[语文]&gt;表成绩单[[#This Row],[语文]]))+1)</f>
        <v>444</v>
      </c>
      <c r="Q2134" s="29" cm="1">
        <f t="array" ref="Q2134">IF(表成绩单[[#This Row],[数学]]="","",SUMPRODUCT((表成绩单[考试日期]=表成绩单[[#This Row],[考试日期]])*(表成绩单[数学]&lt;9E+307)*(表成绩单[数学]&gt;表成绩单[[#This Row],[数学]]))+1)</f>
        <v>562</v>
      </c>
      <c r="R2134" s="29" cm="1">
        <f t="array" ref="R2134">IF(表成绩单[[#This Row],[英语]]="","",SUMPRODUCT((表成绩单[考试日期]=表成绩单[[#This Row],[考试日期]])*(表成绩单[英语]&lt;9E+307)*(表成绩单[英语]&gt;表成绩单[[#This Row],[英语]]))+1)</f>
        <v>145</v>
      </c>
      <c r="S2134" s="29" cm="1">
        <f t="array" ref="S2134">IF(表成绩单[[#This Row],[物理]]="","",SUMPRODUCT((表成绩单[考试日期]=表成绩单[[#This Row],[考试日期]])*(表成绩单[物理]&lt;9E+307)*(表成绩单[物理]&gt;表成绩单[[#This Row],[物理]]))+1)</f>
        <v>629</v>
      </c>
      <c r="T2134" s="29" cm="1">
        <f t="array" ref="T2134">IF(表成绩单[[#This Row],[化学]]="","",SUMPRODUCT((表成绩单[考试日期]=表成绩单[[#This Row],[考试日期]])*(表成绩单[化学]&lt;9E+307)*(表成绩单[化学]&gt;表成绩单[[#This Row],[化学]]))+1)</f>
        <v>558</v>
      </c>
      <c r="U2134" s="29" cm="1">
        <f t="array" ref="U2134">IF(表成绩单[[#This Row],[政治]]="","",SUMPRODUCT((表成绩单[考试日期]=表成绩单[[#This Row],[考试日期]])*(表成绩单[政治]&lt;9E+307)*(表成绩单[政治]&gt;表成绩单[[#This Row],[政治]]))+1)</f>
        <v>608</v>
      </c>
      <c r="V2134" s="29" cm="1">
        <f t="array" ref="V2134">IF(表成绩单[[#This Row],[历史]]="","",SUMPRODUCT((表成绩单[考试日期]=表成绩单[[#This Row],[考试日期]])*(表成绩单[历史]&lt;9E+307)*(表成绩单[历史]&gt;表成绩单[[#This Row],[历史]]))+1)</f>
        <v>266</v>
      </c>
      <c r="W2134" s="29" cm="1">
        <f t="array" ref="W2134">IF(表成绩单[[#This Row],[总分]]="","",SUMPRODUCT((表成绩单[考试日期]=表成绩单[[#This Row],[考试日期]])*(表成绩单[总分]&lt;9E+307)*(表成绩单[总分]&gt;表成绩单[[#This Row],[总分]]))+1)</f>
        <v>528</v>
      </c>
    </row>
    <row r="2135" ht="28" customHeight="1" spans="4:23">
      <c r="D2135" s="31">
        <v>46030</v>
      </c>
      <c r="E2135" s="29">
        <v>19178600</v>
      </c>
      <c r="F2135" s="29" t="s">
        <v>64</v>
      </c>
      <c r="G2135" s="29" t="s">
        <v>641</v>
      </c>
      <c r="H2135" s="29">
        <v>96</v>
      </c>
      <c r="I2135" s="29">
        <v>70</v>
      </c>
      <c r="J2135" s="29">
        <v>67.5</v>
      </c>
      <c r="K2135" s="29">
        <v>56</v>
      </c>
      <c r="L2135" s="29">
        <v>56</v>
      </c>
      <c r="M2135" s="29">
        <v>60</v>
      </c>
      <c r="N2135" s="29">
        <v>67</v>
      </c>
      <c r="O2135" s="32">
        <v>472.5</v>
      </c>
      <c r="P2135" s="29" cm="1">
        <f t="array" ref="P2135">IF(表成绩单[[#This Row],[语文]]="","",SUMPRODUCT((表成绩单[考试日期]=表成绩单[[#This Row],[考试日期]])*(表成绩单[语文]&lt;9E+307)*(表成绩单[语文]&gt;表成绩单[[#This Row],[语文]]))+1)</f>
        <v>315</v>
      </c>
      <c r="Q2135" s="29" cm="1">
        <f t="array" ref="Q2135">IF(表成绩单[[#This Row],[数学]]="","",SUMPRODUCT((表成绩单[考试日期]=表成绩单[[#This Row],[考试日期]])*(表成绩单[数学]&lt;9E+307)*(表成绩单[数学]&gt;表成绩单[[#This Row],[数学]]))+1)</f>
        <v>590</v>
      </c>
      <c r="R2135" s="29" cm="1">
        <f t="array" ref="R2135">IF(表成绩单[[#This Row],[英语]]="","",SUMPRODUCT((表成绩单[考试日期]=表成绩单[[#This Row],[考试日期]])*(表成绩单[英语]&lt;9E+307)*(表成绩单[英语]&gt;表成绩单[[#This Row],[英语]]))+1)</f>
        <v>377</v>
      </c>
      <c r="S2135" s="29" cm="1">
        <f t="array" ref="S2135">IF(表成绩单[[#This Row],[物理]]="","",SUMPRODUCT((表成绩单[考试日期]=表成绩单[[#This Row],[考试日期]])*(表成绩单[物理]&lt;9E+307)*(表成绩单[物理]&gt;表成绩单[[#This Row],[物理]]))+1)</f>
        <v>552</v>
      </c>
      <c r="T2135" s="29" cm="1">
        <f t="array" ref="T2135">IF(表成绩单[[#This Row],[化学]]="","",SUMPRODUCT((表成绩单[考试日期]=表成绩单[[#This Row],[考试日期]])*(表成绩单[化学]&lt;9E+307)*(表成绩单[化学]&gt;表成绩单[[#This Row],[化学]]))+1)</f>
        <v>581</v>
      </c>
      <c r="U2135" s="29" cm="1">
        <f t="array" ref="U2135">IF(表成绩单[[#This Row],[政治]]="","",SUMPRODUCT((表成绩单[考试日期]=表成绩单[[#This Row],[考试日期]])*(表成绩单[政治]&lt;9E+307)*(表成绩单[政治]&gt;表成绩单[[#This Row],[政治]]))+1)</f>
        <v>544</v>
      </c>
      <c r="V2135" s="29" cm="1">
        <f t="array" ref="V2135">IF(表成绩单[[#This Row],[历史]]="","",SUMPRODUCT((表成绩单[考试日期]=表成绩单[[#This Row],[考试日期]])*(表成绩单[历史]&lt;9E+307)*(表成绩单[历史]&gt;表成绩单[[#This Row],[历史]]))+1)</f>
        <v>415</v>
      </c>
      <c r="W2135" s="29" cm="1">
        <f t="array" ref="W2135">IF(表成绩单[[#This Row],[总分]]="","",SUMPRODUCT((表成绩单[考试日期]=表成绩单[[#This Row],[考试日期]])*(表成绩单[总分]&lt;9E+307)*(表成绩单[总分]&gt;表成绩单[[#This Row],[总分]]))+1)</f>
        <v>528</v>
      </c>
    </row>
    <row r="2136" ht="28" customHeight="1" spans="4:23">
      <c r="D2136" s="31">
        <v>46030</v>
      </c>
      <c r="E2136" s="29">
        <v>19176015</v>
      </c>
      <c r="F2136" s="29" t="s">
        <v>59</v>
      </c>
      <c r="G2136" s="29" t="s">
        <v>565</v>
      </c>
      <c r="H2136" s="29">
        <v>95</v>
      </c>
      <c r="I2136" s="29">
        <v>76</v>
      </c>
      <c r="J2136" s="29">
        <v>52</v>
      </c>
      <c r="K2136" s="29">
        <v>62</v>
      </c>
      <c r="L2136" s="29">
        <v>66</v>
      </c>
      <c r="M2136" s="29">
        <v>68</v>
      </c>
      <c r="N2136" s="29">
        <v>53</v>
      </c>
      <c r="O2136" s="32">
        <v>472</v>
      </c>
      <c r="P2136" s="29" cm="1">
        <f t="array" ref="P2136">IF(表成绩单[[#This Row],[语文]]="","",SUMPRODUCT((表成绩单[考试日期]=表成绩单[[#This Row],[考试日期]])*(表成绩单[语文]&lt;9E+307)*(表成绩单[语文]&gt;表成绩单[[#This Row],[语文]]))+1)</f>
        <v>342</v>
      </c>
      <c r="Q2136" s="29" cm="1">
        <f t="array" ref="Q2136">IF(表成绩单[[#This Row],[数学]]="","",SUMPRODUCT((表成绩单[考试日期]=表成绩单[[#This Row],[考试日期]])*(表成绩单[数学]&lt;9E+307)*(表成绩单[数学]&gt;表成绩单[[#This Row],[数学]]))+1)</f>
        <v>507</v>
      </c>
      <c r="R2136" s="29" cm="1">
        <f t="array" ref="R2136">IF(表成绩单[[#This Row],[英语]]="","",SUMPRODUCT((表成绩单[考试日期]=表成绩单[[#This Row],[考试日期]])*(表成绩单[英语]&lt;9E+307)*(表成绩单[英语]&gt;表成绩单[[#This Row],[英语]]))+1)</f>
        <v>624</v>
      </c>
      <c r="S2136" s="29" cm="1">
        <f t="array" ref="S2136">IF(表成绩单[[#This Row],[物理]]="","",SUMPRODUCT((表成绩单[考试日期]=表成绩单[[#This Row],[考试日期]])*(表成绩单[物理]&lt;9E+307)*(表成绩单[物理]&gt;表成绩单[[#This Row],[物理]]))+1)</f>
        <v>470</v>
      </c>
      <c r="T2136" s="29" cm="1">
        <f t="array" ref="T2136">IF(表成绩单[[#This Row],[化学]]="","",SUMPRODUCT((表成绩单[考试日期]=表成绩单[[#This Row],[考试日期]])*(表成绩单[化学]&lt;9E+307)*(表成绩单[化学]&gt;表成绩单[[#This Row],[化学]]))+1)</f>
        <v>414</v>
      </c>
      <c r="U2136" s="29" cm="1">
        <f t="array" ref="U2136">IF(表成绩单[[#This Row],[政治]]="","",SUMPRODUCT((表成绩单[考试日期]=表成绩单[[#This Row],[考试日期]])*(表成绩单[政治]&lt;9E+307)*(表成绩单[政治]&gt;表成绩单[[#This Row],[政治]]))+1)</f>
        <v>336</v>
      </c>
      <c r="V2136" s="29" cm="1">
        <f t="array" ref="V2136">IF(表成绩单[[#This Row],[历史]]="","",SUMPRODUCT((表成绩单[考试日期]=表成绩单[[#This Row],[考试日期]])*(表成绩单[历史]&lt;9E+307)*(表成绩单[历史]&gt;表成绩单[[#This Row],[历史]]))+1)</f>
        <v>690</v>
      </c>
      <c r="W2136" s="29" cm="1">
        <f t="array" ref="W2136">IF(表成绩单[[#This Row],[总分]]="","",SUMPRODUCT((表成绩单[考试日期]=表成绩单[[#This Row],[考试日期]])*(表成绩单[总分]&lt;9E+307)*(表成绩单[总分]&gt;表成绩单[[#This Row],[总分]]))+1)</f>
        <v>530</v>
      </c>
    </row>
    <row r="2137" ht="28" customHeight="1" spans="4:23">
      <c r="D2137" s="31">
        <v>46030</v>
      </c>
      <c r="E2137" s="29">
        <v>19177657</v>
      </c>
      <c r="F2137" s="29" t="s">
        <v>63</v>
      </c>
      <c r="G2137" s="29" t="s">
        <v>604</v>
      </c>
      <c r="H2137" s="29">
        <v>86</v>
      </c>
      <c r="I2137" s="29">
        <v>78</v>
      </c>
      <c r="J2137" s="29">
        <v>71</v>
      </c>
      <c r="K2137" s="29">
        <v>47</v>
      </c>
      <c r="L2137" s="29">
        <v>59</v>
      </c>
      <c r="M2137" s="29">
        <v>63</v>
      </c>
      <c r="N2137" s="29">
        <v>68</v>
      </c>
      <c r="O2137" s="32">
        <v>472</v>
      </c>
      <c r="P2137" s="29" cm="1">
        <f t="array" ref="P2137">IF(表成绩单[[#This Row],[语文]]="","",SUMPRODUCT((表成绩单[考试日期]=表成绩单[[#This Row],[考试日期]])*(表成绩单[语文]&lt;9E+307)*(表成绩单[语文]&gt;表成绩单[[#This Row],[语文]]))+1)</f>
        <v>601</v>
      </c>
      <c r="Q2137" s="29" cm="1">
        <f t="array" ref="Q2137">IF(表成绩单[[#This Row],[数学]]="","",SUMPRODUCT((表成绩单[考试日期]=表成绩单[[#This Row],[考试日期]])*(表成绩单[数学]&lt;9E+307)*(表成绩单[数学]&gt;表成绩单[[#This Row],[数学]]))+1)</f>
        <v>450</v>
      </c>
      <c r="R2137" s="29" cm="1">
        <f t="array" ref="R2137">IF(表成绩单[[#This Row],[英语]]="","",SUMPRODUCT((表成绩单[考试日期]=表成绩单[[#This Row],[考试日期]])*(表成绩单[英语]&lt;9E+307)*(表成绩单[英语]&gt;表成绩单[[#This Row],[英语]]))+1)</f>
        <v>281</v>
      </c>
      <c r="S2137" s="29" cm="1">
        <f t="array" ref="S2137">IF(表成绩单[[#This Row],[物理]]="","",SUMPRODUCT((表成绩单[考试日期]=表成绩单[[#This Row],[考试日期]])*(表成绩单[物理]&lt;9E+307)*(表成绩单[物理]&gt;表成绩单[[#This Row],[物理]]))+1)</f>
        <v>637</v>
      </c>
      <c r="T2137" s="29" cm="1">
        <f t="array" ref="T2137">IF(表成绩单[[#This Row],[化学]]="","",SUMPRODUCT((表成绩单[考试日期]=表成绩单[[#This Row],[考试日期]])*(表成绩单[化学]&lt;9E+307)*(表成绩单[化学]&gt;表成绩单[[#This Row],[化学]]))+1)</f>
        <v>540</v>
      </c>
      <c r="U2137" s="29" cm="1">
        <f t="array" ref="U2137">IF(表成绩单[[#This Row],[政治]]="","",SUMPRODUCT((表成绩单[考试日期]=表成绩单[[#This Row],[考试日期]])*(表成绩单[政治]&lt;9E+307)*(表成绩单[政治]&gt;表成绩单[[#This Row],[政治]]))+1)</f>
        <v>486</v>
      </c>
      <c r="V2137" s="29" cm="1">
        <f t="array" ref="V2137">IF(表成绩单[[#This Row],[历史]]="","",SUMPRODUCT((表成绩单[考试日期]=表成绩单[[#This Row],[考试日期]])*(表成绩单[历史]&lt;9E+307)*(表成绩单[历史]&gt;表成绩单[[#This Row],[历史]]))+1)</f>
        <v>390</v>
      </c>
      <c r="W2137" s="29" cm="1">
        <f t="array" ref="W2137">IF(表成绩单[[#This Row],[总分]]="","",SUMPRODUCT((表成绩单[考试日期]=表成绩单[[#This Row],[考试日期]])*(表成绩单[总分]&lt;9E+307)*(表成绩单[总分]&gt;表成绩单[[#This Row],[总分]]))+1)</f>
        <v>530</v>
      </c>
    </row>
    <row r="2138" ht="28" customHeight="1" spans="4:23">
      <c r="D2138" s="31">
        <v>46030</v>
      </c>
      <c r="E2138" s="29">
        <v>19174794</v>
      </c>
      <c r="F2138" s="29" t="s">
        <v>69</v>
      </c>
      <c r="G2138" s="29" t="s">
        <v>473</v>
      </c>
      <c r="H2138" s="29">
        <v>91</v>
      </c>
      <c r="I2138" s="29">
        <v>70</v>
      </c>
      <c r="J2138" s="29">
        <v>70.5</v>
      </c>
      <c r="K2138" s="29">
        <v>60</v>
      </c>
      <c r="L2138" s="29">
        <v>62</v>
      </c>
      <c r="M2138" s="29">
        <v>63</v>
      </c>
      <c r="N2138" s="29">
        <v>55</v>
      </c>
      <c r="O2138" s="32">
        <v>471.5</v>
      </c>
      <c r="P2138" s="29" cm="1">
        <f t="array" ref="P2138">IF(表成绩单[[#This Row],[语文]]="","",SUMPRODUCT((表成绩单[考试日期]=表成绩单[[#This Row],[考试日期]])*(表成绩单[语文]&lt;9E+307)*(表成绩单[语文]&gt;表成绩单[[#This Row],[语文]]))+1)</f>
        <v>478</v>
      </c>
      <c r="Q2138" s="29" cm="1">
        <f t="array" ref="Q2138">IF(表成绩单[[#This Row],[数学]]="","",SUMPRODUCT((表成绩单[考试日期]=表成绩单[[#This Row],[考试日期]])*(表成绩单[数学]&lt;9E+307)*(表成绩单[数学]&gt;表成绩单[[#This Row],[数学]]))+1)</f>
        <v>590</v>
      </c>
      <c r="R2138" s="29" cm="1">
        <f t="array" ref="R2138">IF(表成绩单[[#This Row],[英语]]="","",SUMPRODUCT((表成绩单[考试日期]=表成绩单[[#This Row],[考试日期]])*(表成绩单[英语]&lt;9E+307)*(表成绩单[英语]&gt;表成绩单[[#This Row],[英语]]))+1)</f>
        <v>299</v>
      </c>
      <c r="S2138" s="29" cm="1">
        <f t="array" ref="S2138">IF(表成绩单[[#This Row],[物理]]="","",SUMPRODUCT((表成绩单[考试日期]=表成绩单[[#This Row],[考试日期]])*(表成绩单[物理]&lt;9E+307)*(表成绩单[物理]&gt;表成绩单[[#This Row],[物理]]))+1)</f>
        <v>499</v>
      </c>
      <c r="T2138" s="29" cm="1">
        <f t="array" ref="T2138">IF(表成绩单[[#This Row],[化学]]="","",SUMPRODUCT((表成绩单[考试日期]=表成绩单[[#This Row],[考试日期]])*(表成绩单[化学]&lt;9E+307)*(表成绩单[化学]&gt;表成绩单[[#This Row],[化学]]))+1)</f>
        <v>494</v>
      </c>
      <c r="U2138" s="29" cm="1">
        <f t="array" ref="U2138">IF(表成绩单[[#This Row],[政治]]="","",SUMPRODUCT((表成绩单[考试日期]=表成绩单[[#This Row],[考试日期]])*(表成绩单[政治]&lt;9E+307)*(表成绩单[政治]&gt;表成绩单[[#This Row],[政治]]))+1)</f>
        <v>486</v>
      </c>
      <c r="V2138" s="29" cm="1">
        <f t="array" ref="V2138">IF(表成绩单[[#This Row],[历史]]="","",SUMPRODUCT((表成绩单[考试日期]=表成绩单[[#This Row],[考试日期]])*(表成绩单[历史]&lt;9E+307)*(表成绩单[历史]&gt;表成绩单[[#This Row],[历史]]))+1)</f>
        <v>662</v>
      </c>
      <c r="W2138" s="29" cm="1">
        <f t="array" ref="W2138">IF(表成绩单[[#This Row],[总分]]="","",SUMPRODUCT((表成绩单[考试日期]=表成绩单[[#This Row],[考试日期]])*(表成绩单[总分]&lt;9E+307)*(表成绩单[总分]&gt;表成绩单[[#This Row],[总分]]))+1)</f>
        <v>532</v>
      </c>
    </row>
    <row r="2139" ht="28" customHeight="1" spans="4:23">
      <c r="D2139" s="31">
        <v>46030</v>
      </c>
      <c r="E2139" s="29">
        <v>19178643</v>
      </c>
      <c r="F2139" s="29" t="s">
        <v>25</v>
      </c>
      <c r="G2139" s="29" t="s">
        <v>583</v>
      </c>
      <c r="H2139" s="29">
        <v>89</v>
      </c>
      <c r="I2139" s="29">
        <v>74</v>
      </c>
      <c r="J2139" s="29">
        <v>68.5</v>
      </c>
      <c r="K2139" s="29">
        <v>53</v>
      </c>
      <c r="L2139" s="29">
        <v>57</v>
      </c>
      <c r="M2139" s="29">
        <v>60</v>
      </c>
      <c r="N2139" s="29">
        <v>70</v>
      </c>
      <c r="O2139" s="32">
        <v>471.5</v>
      </c>
      <c r="P2139" s="29" cm="1">
        <f t="array" ref="P2139">IF(表成绩单[[#This Row],[语文]]="","",SUMPRODUCT((表成绩单[考试日期]=表成绩单[[#This Row],[考试日期]])*(表成绩单[语文]&lt;9E+307)*(表成绩单[语文]&gt;表成绩单[[#This Row],[语文]]))+1)</f>
        <v>540</v>
      </c>
      <c r="Q2139" s="29" cm="1">
        <f t="array" ref="Q2139">IF(表成绩单[[#This Row],[数学]]="","",SUMPRODUCT((表成绩单[考试日期]=表成绩单[[#This Row],[考试日期]])*(表成绩单[数学]&lt;9E+307)*(表成绩单[数学]&gt;表成绩单[[#This Row],[数学]]))+1)</f>
        <v>535</v>
      </c>
      <c r="R2139" s="29" cm="1">
        <f t="array" ref="R2139">IF(表成绩单[[#This Row],[英语]]="","",SUMPRODUCT((表成绩单[考试日期]=表成绩单[[#This Row],[考试日期]])*(表成绩单[英语]&lt;9E+307)*(表成绩单[英语]&gt;表成绩单[[#This Row],[英语]]))+1)</f>
        <v>351</v>
      </c>
      <c r="S2139" s="29" cm="1">
        <f t="array" ref="S2139">IF(表成绩单[[#This Row],[物理]]="","",SUMPRODUCT((表成绩单[考试日期]=表成绩单[[#This Row],[考试日期]])*(表成绩单[物理]&lt;9E+307)*(表成绩单[物理]&gt;表成绩单[[#This Row],[物理]]))+1)</f>
        <v>578</v>
      </c>
      <c r="T2139" s="29" cm="1">
        <f t="array" ref="T2139">IF(表成绩单[[#This Row],[化学]]="","",SUMPRODUCT((表成绩单[考试日期]=表成绩单[[#This Row],[考试日期]])*(表成绩单[化学]&lt;9E+307)*(表成绩单[化学]&gt;表成绩单[[#This Row],[化学]]))+1)</f>
        <v>564</v>
      </c>
      <c r="U2139" s="29" cm="1">
        <f t="array" ref="U2139">IF(表成绩单[[#This Row],[政治]]="","",SUMPRODUCT((表成绩单[考试日期]=表成绩单[[#This Row],[考试日期]])*(表成绩单[政治]&lt;9E+307)*(表成绩单[政治]&gt;表成绩单[[#This Row],[政治]]))+1)</f>
        <v>544</v>
      </c>
      <c r="V2139" s="29" cm="1">
        <f t="array" ref="V2139">IF(表成绩单[[#This Row],[历史]]="","",SUMPRODUCT((表成绩单[考试日期]=表成绩单[[#This Row],[考试日期]])*(表成绩单[历史]&lt;9E+307)*(表成绩单[历史]&gt;表成绩单[[#This Row],[历史]]))+1)</f>
        <v>328</v>
      </c>
      <c r="W2139" s="29" cm="1">
        <f t="array" ref="W2139">IF(表成绩单[[#This Row],[总分]]="","",SUMPRODUCT((表成绩单[考试日期]=表成绩单[[#This Row],[考试日期]])*(表成绩单[总分]&lt;9E+307)*(表成绩单[总分]&gt;表成绩单[[#This Row],[总分]]))+1)</f>
        <v>532</v>
      </c>
    </row>
    <row r="2140" ht="28" customHeight="1" spans="4:23">
      <c r="D2140" s="31">
        <v>46030</v>
      </c>
      <c r="E2140" s="29">
        <v>26756399</v>
      </c>
      <c r="F2140" s="29" t="s">
        <v>58</v>
      </c>
      <c r="G2140" s="29" t="s">
        <v>610</v>
      </c>
      <c r="H2140" s="29">
        <v>91</v>
      </c>
      <c r="I2140" s="29">
        <v>75</v>
      </c>
      <c r="J2140" s="29">
        <v>67.5</v>
      </c>
      <c r="K2140" s="29">
        <v>60</v>
      </c>
      <c r="L2140" s="29">
        <v>57</v>
      </c>
      <c r="M2140" s="29">
        <v>59</v>
      </c>
      <c r="N2140" s="29">
        <v>62</v>
      </c>
      <c r="O2140" s="32">
        <v>471.5</v>
      </c>
      <c r="P2140" s="29" cm="1">
        <f t="array" ref="P2140">IF(表成绩单[[#This Row],[语文]]="","",SUMPRODUCT((表成绩单[考试日期]=表成绩单[[#This Row],[考试日期]])*(表成绩单[语文]&lt;9E+307)*(表成绩单[语文]&gt;表成绩单[[#This Row],[语文]]))+1)</f>
        <v>478</v>
      </c>
      <c r="Q2140" s="29" cm="1">
        <f t="array" ref="Q2140">IF(表成绩单[[#This Row],[数学]]="","",SUMPRODUCT((表成绩单[考试日期]=表成绩单[[#This Row],[考试日期]])*(表成绩单[数学]&lt;9E+307)*(表成绩单[数学]&gt;表成绩单[[#This Row],[数学]]))+1)</f>
        <v>521</v>
      </c>
      <c r="R2140" s="29" cm="1">
        <f t="array" ref="R2140">IF(表成绩单[[#This Row],[英语]]="","",SUMPRODUCT((表成绩单[考试日期]=表成绩单[[#This Row],[考试日期]])*(表成绩单[英语]&lt;9E+307)*(表成绩单[英语]&gt;表成绩单[[#This Row],[英语]]))+1)</f>
        <v>377</v>
      </c>
      <c r="S2140" s="29" cm="1">
        <f t="array" ref="S2140">IF(表成绩单[[#This Row],[物理]]="","",SUMPRODUCT((表成绩单[考试日期]=表成绩单[[#This Row],[考试日期]])*(表成绩单[物理]&lt;9E+307)*(表成绩单[物理]&gt;表成绩单[[#This Row],[物理]]))+1)</f>
        <v>499</v>
      </c>
      <c r="T2140" s="29" cm="1">
        <f t="array" ref="T2140">IF(表成绩单[[#This Row],[化学]]="","",SUMPRODUCT((表成绩单[考试日期]=表成绩单[[#This Row],[考试日期]])*(表成绩单[化学]&lt;9E+307)*(表成绩单[化学]&gt;表成绩单[[#This Row],[化学]]))+1)</f>
        <v>564</v>
      </c>
      <c r="U2140" s="29" cm="1">
        <f t="array" ref="U2140">IF(表成绩单[[#This Row],[政治]]="","",SUMPRODUCT((表成绩单[考试日期]=表成绩单[[#This Row],[考试日期]])*(表成绩单[政治]&lt;9E+307)*(表成绩单[政治]&gt;表成绩单[[#This Row],[政治]]))+1)</f>
        <v>557</v>
      </c>
      <c r="V2140" s="29" cm="1">
        <f t="array" ref="V2140">IF(表成绩单[[#This Row],[历史]]="","",SUMPRODUCT((表成绩单[考试日期]=表成绩单[[#This Row],[考试日期]])*(表成绩单[历史]&lt;9E+307)*(表成绩单[历史]&gt;表成绩单[[#This Row],[历史]]))+1)</f>
        <v>545</v>
      </c>
      <c r="W2140" s="29" cm="1">
        <f t="array" ref="W2140">IF(表成绩单[[#This Row],[总分]]="","",SUMPRODUCT((表成绩单[考试日期]=表成绩单[[#This Row],[考试日期]])*(表成绩单[总分]&lt;9E+307)*(表成绩单[总分]&gt;表成绩单[[#This Row],[总分]]))+1)</f>
        <v>532</v>
      </c>
    </row>
    <row r="2141" ht="28" customHeight="1" spans="4:23">
      <c r="D2141" s="31">
        <v>46030</v>
      </c>
      <c r="E2141" s="29">
        <v>19176156</v>
      </c>
      <c r="F2141" s="29" t="s">
        <v>67</v>
      </c>
      <c r="G2141" s="29" t="s">
        <v>486</v>
      </c>
      <c r="H2141" s="29">
        <v>95</v>
      </c>
      <c r="I2141" s="29">
        <v>66</v>
      </c>
      <c r="J2141" s="29">
        <v>61</v>
      </c>
      <c r="K2141" s="29">
        <v>52</v>
      </c>
      <c r="L2141" s="29">
        <v>62</v>
      </c>
      <c r="M2141" s="29">
        <v>61</v>
      </c>
      <c r="N2141" s="29">
        <v>74</v>
      </c>
      <c r="O2141" s="32">
        <v>471</v>
      </c>
      <c r="P2141" s="29" cm="1">
        <f t="array" ref="P2141">IF(表成绩单[[#This Row],[语文]]="","",SUMPRODUCT((表成绩单[考试日期]=表成绩单[[#This Row],[考试日期]])*(表成绩单[语文]&lt;9E+307)*(表成绩单[语文]&gt;表成绩单[[#This Row],[语文]]))+1)</f>
        <v>342</v>
      </c>
      <c r="Q2141" s="29" cm="1">
        <f t="array" ref="Q2141">IF(表成绩单[[#This Row],[数学]]="","",SUMPRODUCT((表成绩单[考试日期]=表成绩单[[#This Row],[考试日期]])*(表成绩单[数学]&lt;9E+307)*(表成绩单[数学]&gt;表成绩单[[#This Row],[数学]]))+1)</f>
        <v>631</v>
      </c>
      <c r="R2141" s="29" cm="1">
        <f t="array" ref="R2141">IF(表成绩单[[#This Row],[英语]]="","",SUMPRODUCT((表成绩单[考试日期]=表成绩单[[#This Row],[考试日期]])*(表成绩单[英语]&lt;9E+307)*(表成绩单[英语]&gt;表成绩单[[#This Row],[英语]]))+1)</f>
        <v>507</v>
      </c>
      <c r="S2141" s="29" cm="1">
        <f t="array" ref="S2141">IF(表成绩单[[#This Row],[物理]]="","",SUMPRODUCT((表成绩单[考试日期]=表成绩单[[#This Row],[考试日期]])*(表成绩单[物理]&lt;9E+307)*(表成绩单[物理]&gt;表成绩单[[#This Row],[物理]]))+1)</f>
        <v>587</v>
      </c>
      <c r="T2141" s="29" cm="1">
        <f t="array" ref="T2141">IF(表成绩单[[#This Row],[化学]]="","",SUMPRODUCT((表成绩单[考试日期]=表成绩单[[#This Row],[考试日期]])*(表成绩单[化学]&lt;9E+307)*(表成绩单[化学]&gt;表成绩单[[#This Row],[化学]]))+1)</f>
        <v>494</v>
      </c>
      <c r="U2141" s="29" cm="1">
        <f t="array" ref="U2141">IF(表成绩单[[#This Row],[政治]]="","",SUMPRODUCT((表成绩单[考试日期]=表成绩单[[#This Row],[考试日期]])*(表成绩单[政治]&lt;9E+307)*(表成绩单[政治]&gt;表成绩单[[#This Row],[政治]]))+1)</f>
        <v>530</v>
      </c>
      <c r="V2141" s="29" cm="1">
        <f t="array" ref="V2141">IF(表成绩单[[#This Row],[历史]]="","",SUMPRODUCT((表成绩单[考试日期]=表成绩单[[#This Row],[考试日期]])*(表成绩单[历史]&lt;9E+307)*(表成绩单[历史]&gt;表成绩单[[#This Row],[历史]]))+1)</f>
        <v>215</v>
      </c>
      <c r="W2141" s="29" cm="1">
        <f t="array" ref="W2141">IF(表成绩单[[#This Row],[总分]]="","",SUMPRODUCT((表成绩单[考试日期]=表成绩单[[#This Row],[考试日期]])*(表成绩单[总分]&lt;9E+307)*(表成绩单[总分]&gt;表成绩单[[#This Row],[总分]]))+1)</f>
        <v>535</v>
      </c>
    </row>
    <row r="2142" ht="28" customHeight="1" spans="4:23">
      <c r="D2142" s="31">
        <v>46030</v>
      </c>
      <c r="E2142" s="29">
        <v>19178610</v>
      </c>
      <c r="F2142" s="29" t="s">
        <v>25</v>
      </c>
      <c r="G2142" s="29" t="s">
        <v>603</v>
      </c>
      <c r="H2142" s="29">
        <v>95</v>
      </c>
      <c r="I2142" s="29">
        <v>78</v>
      </c>
      <c r="J2142" s="29">
        <v>65.5</v>
      </c>
      <c r="K2142" s="29">
        <v>52</v>
      </c>
      <c r="L2142" s="29">
        <v>43</v>
      </c>
      <c r="M2142" s="29">
        <v>63</v>
      </c>
      <c r="N2142" s="29">
        <v>74</v>
      </c>
      <c r="O2142" s="32">
        <v>470.5</v>
      </c>
      <c r="P2142" s="29" cm="1">
        <f t="array" ref="P2142">IF(表成绩单[[#This Row],[语文]]="","",SUMPRODUCT((表成绩单[考试日期]=表成绩单[[#This Row],[考试日期]])*(表成绩单[语文]&lt;9E+307)*(表成绩单[语文]&gt;表成绩单[[#This Row],[语文]]))+1)</f>
        <v>342</v>
      </c>
      <c r="Q2142" s="29" cm="1">
        <f t="array" ref="Q2142">IF(表成绩单[[#This Row],[数学]]="","",SUMPRODUCT((表成绩单[考试日期]=表成绩单[[#This Row],[考试日期]])*(表成绩单[数学]&lt;9E+307)*(表成绩单[数学]&gt;表成绩单[[#This Row],[数学]]))+1)</f>
        <v>450</v>
      </c>
      <c r="R2142" s="29" cm="1">
        <f t="array" ref="R2142">IF(表成绩单[[#This Row],[英语]]="","",SUMPRODUCT((表成绩单[考试日期]=表成绩单[[#This Row],[考试日期]])*(表成绩单[英语]&lt;9E+307)*(表成绩单[英语]&gt;表成绩单[[#This Row],[英语]]))+1)</f>
        <v>429</v>
      </c>
      <c r="S2142" s="29" cm="1">
        <f t="array" ref="S2142">IF(表成绩单[[#This Row],[物理]]="","",SUMPRODUCT((表成绩单[考试日期]=表成绩单[[#This Row],[考试日期]])*(表成绩单[物理]&lt;9E+307)*(表成绩单[物理]&gt;表成绩单[[#This Row],[物理]]))+1)</f>
        <v>587</v>
      </c>
      <c r="T2142" s="29" cm="1">
        <f t="array" ref="T2142">IF(表成绩单[[#This Row],[化学]]="","",SUMPRODUCT((表成绩单[考试日期]=表成绩单[[#This Row],[考试日期]])*(表成绩单[化学]&lt;9E+307)*(表成绩单[化学]&gt;表成绩单[[#This Row],[化学]]))+1)</f>
        <v>727</v>
      </c>
      <c r="U2142" s="29" cm="1">
        <f t="array" ref="U2142">IF(表成绩单[[#This Row],[政治]]="","",SUMPRODUCT((表成绩单[考试日期]=表成绩单[[#This Row],[考试日期]])*(表成绩单[政治]&lt;9E+307)*(表成绩单[政治]&gt;表成绩单[[#This Row],[政治]]))+1)</f>
        <v>486</v>
      </c>
      <c r="V2142" s="29" cm="1">
        <f t="array" ref="V2142">IF(表成绩单[[#This Row],[历史]]="","",SUMPRODUCT((表成绩单[考试日期]=表成绩单[[#This Row],[考试日期]])*(表成绩单[历史]&lt;9E+307)*(表成绩单[历史]&gt;表成绩单[[#This Row],[历史]]))+1)</f>
        <v>215</v>
      </c>
      <c r="W2142" s="29" cm="1">
        <f t="array" ref="W2142">IF(表成绩单[[#This Row],[总分]]="","",SUMPRODUCT((表成绩单[考试日期]=表成绩单[[#This Row],[考试日期]])*(表成绩单[总分]&lt;9E+307)*(表成绩单[总分]&gt;表成绩单[[#This Row],[总分]]))+1)</f>
        <v>536</v>
      </c>
    </row>
    <row r="2143" ht="28" customHeight="1" spans="4:23">
      <c r="D2143" s="31">
        <v>46030</v>
      </c>
      <c r="E2143" s="29">
        <v>19175621</v>
      </c>
      <c r="F2143" s="29" t="s">
        <v>57</v>
      </c>
      <c r="G2143" s="29" t="s">
        <v>695</v>
      </c>
      <c r="H2143" s="29">
        <v>88</v>
      </c>
      <c r="I2143" s="29">
        <v>64</v>
      </c>
      <c r="J2143" s="29">
        <v>73.5</v>
      </c>
      <c r="K2143" s="29">
        <v>58</v>
      </c>
      <c r="L2143" s="29">
        <v>60</v>
      </c>
      <c r="M2143" s="29">
        <v>63</v>
      </c>
      <c r="N2143" s="29">
        <v>63</v>
      </c>
      <c r="O2143" s="32">
        <v>469.5</v>
      </c>
      <c r="P2143" s="29" cm="1">
        <f t="array" ref="P2143">IF(表成绩单[[#This Row],[语文]]="","",SUMPRODUCT((表成绩单[考试日期]=表成绩单[[#This Row],[考试日期]])*(表成绩单[语文]&lt;9E+307)*(表成绩单[语文]&gt;表成绩单[[#This Row],[语文]]))+1)</f>
        <v>562</v>
      </c>
      <c r="Q2143" s="29" cm="1">
        <f t="array" ref="Q2143">IF(表成绩单[[#This Row],[数学]]="","",SUMPRODUCT((表成绩单[考试日期]=表成绩单[[#This Row],[考试日期]])*(表成绩单[数学]&lt;9E+307)*(表成绩单[数学]&gt;表成绩单[[#This Row],[数学]]))+1)</f>
        <v>648</v>
      </c>
      <c r="R2143" s="29" cm="1">
        <f t="array" ref="R2143">IF(表成绩单[[#This Row],[英语]]="","",SUMPRODUCT((表成绩单[考试日期]=表成绩单[[#This Row],[考试日期]])*(表成绩单[英语]&lt;9E+307)*(表成绩单[英语]&gt;表成绩单[[#This Row],[英语]]))+1)</f>
        <v>209</v>
      </c>
      <c r="S2143" s="29" cm="1">
        <f t="array" ref="S2143">IF(表成绩单[[#This Row],[物理]]="","",SUMPRODUCT((表成绩单[考试日期]=表成绩单[[#This Row],[考试日期]])*(表成绩单[物理]&lt;9E+307)*(表成绩单[物理]&gt;表成绩单[[#This Row],[物理]]))+1)</f>
        <v>527</v>
      </c>
      <c r="T2143" s="29" cm="1">
        <f t="array" ref="T2143">IF(表成绩单[[#This Row],[化学]]="","",SUMPRODUCT((表成绩单[考试日期]=表成绩单[[#This Row],[考试日期]])*(表成绩单[化学]&lt;9E+307)*(表成绩单[化学]&gt;表成绩单[[#This Row],[化学]]))+1)</f>
        <v>525</v>
      </c>
      <c r="U2143" s="29" cm="1">
        <f t="array" ref="U2143">IF(表成绩单[[#This Row],[政治]]="","",SUMPRODUCT((表成绩单[考试日期]=表成绩单[[#This Row],[考试日期]])*(表成绩单[政治]&lt;9E+307)*(表成绩单[政治]&gt;表成绩单[[#This Row],[政治]]))+1)</f>
        <v>486</v>
      </c>
      <c r="V2143" s="29" cm="1">
        <f t="array" ref="V2143">IF(表成绩单[[#This Row],[历史]]="","",SUMPRODUCT((表成绩单[考试日期]=表成绩单[[#This Row],[考试日期]])*(表成绩单[历史]&lt;9E+307)*(表成绩单[历史]&gt;表成绩单[[#This Row],[历史]]))+1)</f>
        <v>521</v>
      </c>
      <c r="W2143" s="29" cm="1">
        <f t="array" ref="W2143">IF(表成绩单[[#This Row],[总分]]="","",SUMPRODUCT((表成绩单[考试日期]=表成绩单[[#This Row],[考试日期]])*(表成绩单[总分]&lt;9E+307)*(表成绩单[总分]&gt;表成绩单[[#This Row],[总分]]))+1)</f>
        <v>537</v>
      </c>
    </row>
    <row r="2144" ht="28" customHeight="1" spans="4:23">
      <c r="D2144" s="31">
        <v>46030</v>
      </c>
      <c r="E2144" s="29">
        <v>19173794</v>
      </c>
      <c r="F2144" s="29" t="s">
        <v>65</v>
      </c>
      <c r="G2144" s="29" t="s">
        <v>631</v>
      </c>
      <c r="H2144" s="29">
        <v>99</v>
      </c>
      <c r="I2144" s="29">
        <v>59</v>
      </c>
      <c r="J2144" s="29">
        <v>49</v>
      </c>
      <c r="K2144" s="29">
        <v>50</v>
      </c>
      <c r="L2144" s="29">
        <v>61</v>
      </c>
      <c r="M2144" s="29">
        <v>75</v>
      </c>
      <c r="N2144" s="29">
        <v>76</v>
      </c>
      <c r="O2144" s="32">
        <v>469</v>
      </c>
      <c r="P2144" s="29" cm="1">
        <f t="array" ref="P2144">IF(表成绩单[[#This Row],[语文]]="","",SUMPRODUCT((表成绩单[考试日期]=表成绩单[[#This Row],[考试日期]])*(表成绩单[语文]&lt;9E+307)*(表成绩单[语文]&gt;表成绩单[[#This Row],[语文]]))+1)</f>
        <v>213</v>
      </c>
      <c r="Q2144" s="29" cm="1">
        <f t="array" ref="Q2144">IF(表成绩单[[#This Row],[数学]]="","",SUMPRODUCT((表成绩单[考试日期]=表成绩单[[#This Row],[考试日期]])*(表成绩单[数学]&lt;9E+307)*(表成绩单[数学]&gt;表成绩单[[#This Row],[数学]]))+1)</f>
        <v>676</v>
      </c>
      <c r="R2144" s="29" cm="1">
        <f t="array" ref="R2144">IF(表成绩单[[#This Row],[英语]]="","",SUMPRODUCT((表成绩单[考试日期]=表成绩单[[#This Row],[考试日期]])*(表成绩单[英语]&lt;9E+307)*(表成绩单[英语]&gt;表成绩单[[#This Row],[英语]]))+1)</f>
        <v>659</v>
      </c>
      <c r="S2144" s="29" cm="1">
        <f t="array" ref="S2144">IF(表成绩单[[#This Row],[物理]]="","",SUMPRODUCT((表成绩单[考试日期]=表成绩单[[#This Row],[考试日期]])*(表成绩单[物理]&lt;9E+307)*(表成绩单[物理]&gt;表成绩单[[#This Row],[物理]]))+1)</f>
        <v>605</v>
      </c>
      <c r="T2144" s="29" cm="1">
        <f t="array" ref="T2144">IF(表成绩单[[#This Row],[化学]]="","",SUMPRODUCT((表成绩单[考试日期]=表成绩单[[#This Row],[考试日期]])*(表成绩单[化学]&lt;9E+307)*(表成绩单[化学]&gt;表成绩单[[#This Row],[化学]]))+1)</f>
        <v>508</v>
      </c>
      <c r="U2144" s="29" cm="1">
        <f t="array" ref="U2144">IF(表成绩单[[#This Row],[政治]]="","",SUMPRODUCT((表成绩单[考试日期]=表成绩单[[#This Row],[考试日期]])*(表成绩单[政治]&lt;9E+307)*(表成绩单[政治]&gt;表成绩单[[#This Row],[政治]]))+1)</f>
        <v>137</v>
      </c>
      <c r="V2144" s="29" cm="1">
        <f t="array" ref="V2144">IF(表成绩单[[#This Row],[历史]]="","",SUMPRODUCT((表成绩单[考试日期]=表成绩单[[#This Row],[考试日期]])*(表成绩单[历史]&lt;9E+307)*(表成绩单[历史]&gt;表成绩单[[#This Row],[历史]]))+1)</f>
        <v>169</v>
      </c>
      <c r="W2144" s="29" cm="1">
        <f t="array" ref="W2144">IF(表成绩单[[#This Row],[总分]]="","",SUMPRODUCT((表成绩单[考试日期]=表成绩单[[#This Row],[考试日期]])*(表成绩单[总分]&lt;9E+307)*(表成绩单[总分]&gt;表成绩单[[#This Row],[总分]]))+1)</f>
        <v>538</v>
      </c>
    </row>
    <row r="2145" ht="28" customHeight="1" spans="4:23">
      <c r="D2145" s="31">
        <v>46030</v>
      </c>
      <c r="E2145" s="29">
        <v>19173256</v>
      </c>
      <c r="F2145" s="29" t="s">
        <v>61</v>
      </c>
      <c r="G2145" s="29" t="s">
        <v>637</v>
      </c>
      <c r="H2145" s="29">
        <v>86</v>
      </c>
      <c r="I2145" s="29">
        <v>77</v>
      </c>
      <c r="J2145" s="29">
        <v>58.5</v>
      </c>
      <c r="K2145" s="29">
        <v>70</v>
      </c>
      <c r="L2145" s="29">
        <v>63</v>
      </c>
      <c r="M2145" s="29">
        <v>55</v>
      </c>
      <c r="N2145" s="29">
        <v>59</v>
      </c>
      <c r="O2145" s="32">
        <v>468.5</v>
      </c>
      <c r="P2145" s="29" cm="1">
        <f t="array" ref="P2145">IF(表成绩单[[#This Row],[语文]]="","",SUMPRODUCT((表成绩单[考试日期]=表成绩单[[#This Row],[考试日期]])*(表成绩单[语文]&lt;9E+307)*(表成绩单[语文]&gt;表成绩单[[#This Row],[语文]]))+1)</f>
        <v>601</v>
      </c>
      <c r="Q2145" s="29" cm="1">
        <f t="array" ref="Q2145">IF(表成绩单[[#This Row],[数学]]="","",SUMPRODUCT((表成绩单[考试日期]=表成绩单[[#This Row],[考试日期]])*(表成绩单[数学]&lt;9E+307)*(表成绩单[数学]&gt;表成绩单[[#This Row],[数学]]))+1)</f>
        <v>478</v>
      </c>
      <c r="R2145" s="29" cm="1">
        <f t="array" ref="R2145">IF(表成绩单[[#This Row],[英语]]="","",SUMPRODUCT((表成绩单[考试日期]=表成绩单[[#This Row],[考试日期]])*(表成绩单[英语]&lt;9E+307)*(表成绩单[英语]&gt;表成绩单[[#This Row],[英语]]))+1)</f>
        <v>545</v>
      </c>
      <c r="S2145" s="29" cm="1">
        <f t="array" ref="S2145">IF(表成绩单[[#This Row],[物理]]="","",SUMPRODUCT((表成绩单[考试日期]=表成绩单[[#This Row],[考试日期]])*(表成绩单[物理]&lt;9E+307)*(表成绩单[物理]&gt;表成绩单[[#This Row],[物理]]))+1)</f>
        <v>338</v>
      </c>
      <c r="T2145" s="29" cm="1">
        <f t="array" ref="T2145">IF(表成绩单[[#This Row],[化学]]="","",SUMPRODUCT((表成绩单[考试日期]=表成绩单[[#This Row],[考试日期]])*(表成绩单[化学]&lt;9E+307)*(表成绩单[化学]&gt;表成绩单[[#This Row],[化学]]))+1)</f>
        <v>472</v>
      </c>
      <c r="U2145" s="29" cm="1">
        <f t="array" ref="U2145">IF(表成绩单[[#This Row],[政治]]="","",SUMPRODUCT((表成绩单[考试日期]=表成绩单[[#This Row],[考试日期]])*(表成绩单[政治]&lt;9E+307)*(表成绩单[政治]&gt;表成绩单[[#This Row],[政治]]))+1)</f>
        <v>608</v>
      </c>
      <c r="V2145" s="29" cm="1">
        <f t="array" ref="V2145">IF(表成绩单[[#This Row],[历史]]="","",SUMPRODUCT((表成绩单[考试日期]=表成绩单[[#This Row],[考试日期]])*(表成绩单[历史]&lt;9E+307)*(表成绩单[历史]&gt;表成绩单[[#This Row],[历史]]))+1)</f>
        <v>601</v>
      </c>
      <c r="W2145" s="29" cm="1">
        <f t="array" ref="W2145">IF(表成绩单[[#This Row],[总分]]="","",SUMPRODUCT((表成绩单[考试日期]=表成绩单[[#This Row],[考试日期]])*(表成绩单[总分]&lt;9E+307)*(表成绩单[总分]&gt;表成绩单[[#This Row],[总分]]))+1)</f>
        <v>539</v>
      </c>
    </row>
    <row r="2146" ht="28" customHeight="1" spans="4:23">
      <c r="D2146" s="31">
        <v>46030</v>
      </c>
      <c r="E2146" s="29">
        <v>19175287</v>
      </c>
      <c r="F2146" s="29" t="s">
        <v>55</v>
      </c>
      <c r="G2146" s="29" t="s">
        <v>580</v>
      </c>
      <c r="H2146" s="29">
        <v>83</v>
      </c>
      <c r="I2146" s="29">
        <v>87</v>
      </c>
      <c r="J2146" s="29">
        <v>42.5</v>
      </c>
      <c r="K2146" s="29">
        <v>57</v>
      </c>
      <c r="L2146" s="29">
        <v>73</v>
      </c>
      <c r="M2146" s="29">
        <v>61</v>
      </c>
      <c r="N2146" s="29">
        <v>65</v>
      </c>
      <c r="O2146" s="32">
        <v>468.5</v>
      </c>
      <c r="P2146" s="29" cm="1">
        <f t="array" ref="P2146">IF(表成绩单[[#This Row],[语文]]="","",SUMPRODUCT((表成绩单[考试日期]=表成绩单[[#This Row],[考试日期]])*(表成绩单[语文]&lt;9E+307)*(表成绩单[语文]&gt;表成绩单[[#This Row],[语文]]))+1)</f>
        <v>648</v>
      </c>
      <c r="Q2146" s="29" cm="1">
        <f t="array" ref="Q2146">IF(表成绩单[[#This Row],[数学]]="","",SUMPRODUCT((表成绩单[考试日期]=表成绩单[[#This Row],[考试日期]])*(表成绩单[数学]&lt;9E+307)*(表成绩单[数学]&gt;表成绩单[[#This Row],[数学]]))+1)</f>
        <v>270</v>
      </c>
      <c r="R2146" s="29" cm="1">
        <f t="array" ref="R2146">IF(表成绩单[[#This Row],[英语]]="","",SUMPRODUCT((表成绩单[考试日期]=表成绩单[[#This Row],[考试日期]])*(表成绩单[英语]&lt;9E+307)*(表成绩单[英语]&gt;表成绩单[[#This Row],[英语]]))+1)</f>
        <v>707</v>
      </c>
      <c r="S2146" s="29" cm="1">
        <f t="array" ref="S2146">IF(表成绩单[[#This Row],[物理]]="","",SUMPRODUCT((表成绩单[考试日期]=表成绩单[[#This Row],[考试日期]])*(表成绩单[物理]&lt;9E+307)*(表成绩单[物理]&gt;表成绩单[[#This Row],[物理]]))+1)</f>
        <v>539</v>
      </c>
      <c r="T2146" s="29" cm="1">
        <f t="array" ref="T2146">IF(表成绩单[[#This Row],[化学]]="","",SUMPRODUCT((表成绩单[考试日期]=表成绩单[[#This Row],[考试日期]])*(表成绩单[化学]&lt;9E+307)*(表成绩单[化学]&gt;表成绩单[[#This Row],[化学]]))+1)</f>
        <v>236</v>
      </c>
      <c r="U2146" s="29" cm="1">
        <f t="array" ref="U2146">IF(表成绩单[[#This Row],[政治]]="","",SUMPRODUCT((表成绩单[考试日期]=表成绩单[[#This Row],[考试日期]])*(表成绩单[政治]&lt;9E+307)*(表成绩单[政治]&gt;表成绩单[[#This Row],[政治]]))+1)</f>
        <v>530</v>
      </c>
      <c r="V2146" s="29" cm="1">
        <f t="array" ref="V2146">IF(表成绩单[[#This Row],[历史]]="","",SUMPRODUCT((表成绩单[考试日期]=表成绩单[[#This Row],[考试日期]])*(表成绩单[历史]&lt;9E+307)*(表成绩单[历史]&gt;表成绩单[[#This Row],[历史]]))+1)</f>
        <v>471</v>
      </c>
      <c r="W2146" s="29" cm="1">
        <f t="array" ref="W2146">IF(表成绩单[[#This Row],[总分]]="","",SUMPRODUCT((表成绩单[考试日期]=表成绩单[[#This Row],[考试日期]])*(表成绩单[总分]&lt;9E+307)*(表成绩单[总分]&gt;表成绩单[[#This Row],[总分]]))+1)</f>
        <v>539</v>
      </c>
    </row>
    <row r="2147" ht="28" customHeight="1" spans="4:23">
      <c r="D2147" s="31">
        <v>46030</v>
      </c>
      <c r="E2147" s="29">
        <v>19178616</v>
      </c>
      <c r="F2147" s="29" t="s">
        <v>25</v>
      </c>
      <c r="G2147" s="29" t="s">
        <v>447</v>
      </c>
      <c r="H2147" s="29">
        <v>86</v>
      </c>
      <c r="I2147" s="29">
        <v>85</v>
      </c>
      <c r="J2147" s="29">
        <v>72.5</v>
      </c>
      <c r="K2147" s="29">
        <v>41</v>
      </c>
      <c r="L2147" s="29">
        <v>57</v>
      </c>
      <c r="M2147" s="29">
        <v>67</v>
      </c>
      <c r="N2147" s="29">
        <v>60</v>
      </c>
      <c r="O2147" s="32">
        <v>468.5</v>
      </c>
      <c r="P2147" s="29" cm="1">
        <f t="array" ref="P2147">IF(表成绩单[[#This Row],[语文]]="","",SUMPRODUCT((表成绩单[考试日期]=表成绩单[[#This Row],[考试日期]])*(表成绩单[语文]&lt;9E+307)*(表成绩单[语文]&gt;表成绩单[[#This Row],[语文]]))+1)</f>
        <v>601</v>
      </c>
      <c r="Q2147" s="29" cm="1">
        <f t="array" ref="Q2147">IF(表成绩单[[#This Row],[数学]]="","",SUMPRODUCT((表成绩单[考试日期]=表成绩单[[#This Row],[考试日期]])*(表成绩单[数学]&lt;9E+307)*(表成绩单[数学]&gt;表成绩单[[#This Row],[数学]]))+1)</f>
        <v>325</v>
      </c>
      <c r="R2147" s="29" cm="1">
        <f t="array" ref="R2147">IF(表成绩单[[#This Row],[英语]]="","",SUMPRODUCT((表成绩单[考试日期]=表成绩单[[#This Row],[考试日期]])*(表成绩单[英语]&lt;9E+307)*(表成绩单[英语]&gt;表成绩单[[#This Row],[英语]]))+1)</f>
        <v>242</v>
      </c>
      <c r="S2147" s="29" cm="1">
        <f t="array" ref="S2147">IF(表成绩单[[#This Row],[物理]]="","",SUMPRODUCT((表成绩单[考试日期]=表成绩单[[#This Row],[考试日期]])*(表成绩单[物理]&lt;9E+307)*(表成绩单[物理]&gt;表成绩单[[#This Row],[物理]]))+1)</f>
        <v>687</v>
      </c>
      <c r="T2147" s="29" cm="1">
        <f t="array" ref="T2147">IF(表成绩单[[#This Row],[化学]]="","",SUMPRODUCT((表成绩单[考试日期]=表成绩单[[#This Row],[考试日期]])*(表成绩单[化学]&lt;9E+307)*(表成绩单[化学]&gt;表成绩单[[#This Row],[化学]]))+1)</f>
        <v>564</v>
      </c>
      <c r="U2147" s="29" cm="1">
        <f t="array" ref="U2147">IF(表成绩单[[#This Row],[政治]]="","",SUMPRODUCT((表成绩单[考试日期]=表成绩单[[#This Row],[考试日期]])*(表成绩单[政治]&lt;9E+307)*(表成绩单[政治]&gt;表成绩单[[#This Row],[政治]]))+1)</f>
        <v>370</v>
      </c>
      <c r="V2147" s="29" cm="1">
        <f t="array" ref="V2147">IF(表成绩单[[#This Row],[历史]]="","",SUMPRODUCT((表成绩单[考试日期]=表成绩单[[#This Row],[考试日期]])*(表成绩单[历史]&lt;9E+307)*(表成绩单[历史]&gt;表成绩单[[#This Row],[历史]]))+1)</f>
        <v>579</v>
      </c>
      <c r="W2147" s="29" cm="1">
        <f t="array" ref="W2147">IF(表成绩单[[#This Row],[总分]]="","",SUMPRODUCT((表成绩单[考试日期]=表成绩单[[#This Row],[考试日期]])*(表成绩单[总分]&lt;9E+307)*(表成绩单[总分]&gt;表成绩单[[#This Row],[总分]]))+1)</f>
        <v>539</v>
      </c>
    </row>
    <row r="2148" ht="28" customHeight="1" spans="4:23">
      <c r="D2148" s="31">
        <v>46030</v>
      </c>
      <c r="E2148" s="29">
        <v>19173800</v>
      </c>
      <c r="F2148" s="29" t="s">
        <v>65</v>
      </c>
      <c r="G2148" s="29" t="s">
        <v>573</v>
      </c>
      <c r="H2148" s="29">
        <v>83</v>
      </c>
      <c r="I2148" s="29">
        <v>85</v>
      </c>
      <c r="J2148" s="29">
        <v>62</v>
      </c>
      <c r="K2148" s="29">
        <v>48</v>
      </c>
      <c r="L2148" s="29">
        <v>52</v>
      </c>
      <c r="M2148" s="29">
        <v>66</v>
      </c>
      <c r="N2148" s="29">
        <v>72</v>
      </c>
      <c r="O2148" s="32">
        <v>468</v>
      </c>
      <c r="P2148" s="29" cm="1">
        <f t="array" ref="P2148">IF(表成绩单[[#This Row],[语文]]="","",SUMPRODUCT((表成绩单[考试日期]=表成绩单[[#This Row],[考试日期]])*(表成绩单[语文]&lt;9E+307)*(表成绩单[语文]&gt;表成绩单[[#This Row],[语文]]))+1)</f>
        <v>648</v>
      </c>
      <c r="Q2148" s="29" cm="1">
        <f t="array" ref="Q2148">IF(表成绩单[[#This Row],[数学]]="","",SUMPRODUCT((表成绩单[考试日期]=表成绩单[[#This Row],[考试日期]])*(表成绩单[数学]&lt;9E+307)*(表成绩单[数学]&gt;表成绩单[[#This Row],[数学]]))+1)</f>
        <v>325</v>
      </c>
      <c r="R2148" s="29" cm="1">
        <f t="array" ref="R2148">IF(表成绩单[[#This Row],[英语]]="","",SUMPRODUCT((表成绩单[考试日期]=表成绩单[[#This Row],[考试日期]])*(表成绩单[英语]&lt;9E+307)*(表成绩单[英语]&gt;表成绩单[[#This Row],[英语]]))+1)</f>
        <v>490</v>
      </c>
      <c r="S2148" s="29" cm="1">
        <f t="array" ref="S2148">IF(表成绩单[[#This Row],[物理]]="","",SUMPRODUCT((表成绩单[考试日期]=表成绩单[[#This Row],[考试日期]])*(表成绩单[物理]&lt;9E+307)*(表成绩单[物理]&gt;表成绩单[[#This Row],[物理]]))+1)</f>
        <v>629</v>
      </c>
      <c r="T2148" s="29" cm="1">
        <f t="array" ref="T2148">IF(表成绩单[[#This Row],[化学]]="","",SUMPRODUCT((表成绩单[考试日期]=表成绩单[[#This Row],[考试日期]])*(表成绩单[化学]&lt;9E+307)*(表成绩单[化学]&gt;表成绩单[[#This Row],[化学]]))+1)</f>
        <v>638</v>
      </c>
      <c r="U2148" s="29" cm="1">
        <f t="array" ref="U2148">IF(表成绩单[[#This Row],[政治]]="","",SUMPRODUCT((表成绩单[考试日期]=表成绩单[[#This Row],[考试日期]])*(表成绩单[政治]&lt;9E+307)*(表成绩单[政治]&gt;表成绩单[[#This Row],[政治]]))+1)</f>
        <v>397</v>
      </c>
      <c r="V2148" s="29" cm="1">
        <f t="array" ref="V2148">IF(表成绩单[[#This Row],[历史]]="","",SUMPRODUCT((表成绩单[考试日期]=表成绩单[[#This Row],[考试日期]])*(表成绩单[历史]&lt;9E+307)*(表成绩单[历史]&gt;表成绩单[[#This Row],[历史]]))+1)</f>
        <v>266</v>
      </c>
      <c r="W2148" s="29" cm="1">
        <f t="array" ref="W2148">IF(表成绩单[[#This Row],[总分]]="","",SUMPRODUCT((表成绩单[考试日期]=表成绩单[[#This Row],[考试日期]])*(表成绩单[总分]&lt;9E+307)*(表成绩单[总分]&gt;表成绩单[[#This Row],[总分]]))+1)</f>
        <v>542</v>
      </c>
    </row>
    <row r="2149" ht="28" customHeight="1" spans="4:23">
      <c r="D2149" s="31">
        <v>46030</v>
      </c>
      <c r="E2149" s="29">
        <v>19178609</v>
      </c>
      <c r="F2149" s="29" t="s">
        <v>25</v>
      </c>
      <c r="G2149" s="29" t="s">
        <v>616</v>
      </c>
      <c r="H2149" s="29">
        <v>96</v>
      </c>
      <c r="I2149" s="29">
        <v>67</v>
      </c>
      <c r="J2149" s="29">
        <v>60</v>
      </c>
      <c r="K2149" s="29">
        <v>50</v>
      </c>
      <c r="L2149" s="29">
        <v>59</v>
      </c>
      <c r="M2149" s="29">
        <v>69</v>
      </c>
      <c r="N2149" s="29">
        <v>67</v>
      </c>
      <c r="O2149" s="32">
        <v>468</v>
      </c>
      <c r="P2149" s="29" cm="1">
        <f t="array" ref="P2149">IF(表成绩单[[#This Row],[语文]]="","",SUMPRODUCT((表成绩单[考试日期]=表成绩单[[#This Row],[考试日期]])*(表成绩单[语文]&lt;9E+307)*(表成绩单[语文]&gt;表成绩单[[#This Row],[语文]]))+1)</f>
        <v>315</v>
      </c>
      <c r="Q2149" s="29" cm="1">
        <f t="array" ref="Q2149">IF(表成绩单[[#This Row],[数学]]="","",SUMPRODUCT((表成绩单[考试日期]=表成绩单[[#This Row],[考试日期]])*(表成绩单[数学]&lt;9E+307)*(表成绩单[数学]&gt;表成绩单[[#This Row],[数学]]))+1)</f>
        <v>620</v>
      </c>
      <c r="R2149" s="29" cm="1">
        <f t="array" ref="R2149">IF(表成绩单[[#This Row],[英语]]="","",SUMPRODUCT((表成绩单[考试日期]=表成绩单[[#This Row],[考试日期]])*(表成绩单[英语]&lt;9E+307)*(表成绩单[英语]&gt;表成绩单[[#This Row],[英语]]))+1)</f>
        <v>524</v>
      </c>
      <c r="S2149" s="29" cm="1">
        <f t="array" ref="S2149">IF(表成绩单[[#This Row],[物理]]="","",SUMPRODUCT((表成绩单[考试日期]=表成绩单[[#This Row],[考试日期]])*(表成绩单[物理]&lt;9E+307)*(表成绩单[物理]&gt;表成绩单[[#This Row],[物理]]))+1)</f>
        <v>605</v>
      </c>
      <c r="T2149" s="29" cm="1">
        <f t="array" ref="T2149">IF(表成绩单[[#This Row],[化学]]="","",SUMPRODUCT((表成绩单[考试日期]=表成绩单[[#This Row],[考试日期]])*(表成绩单[化学]&lt;9E+307)*(表成绩单[化学]&gt;表成绩单[[#This Row],[化学]]))+1)</f>
        <v>540</v>
      </c>
      <c r="U2149" s="29" cm="1">
        <f t="array" ref="U2149">IF(表成绩单[[#This Row],[政治]]="","",SUMPRODUCT((表成绩单[考试日期]=表成绩单[[#This Row],[考试日期]])*(表成绩单[政治]&lt;9E+307)*(表成绩单[政治]&gt;表成绩单[[#This Row],[政治]]))+1)</f>
        <v>308</v>
      </c>
      <c r="V2149" s="29" cm="1">
        <f t="array" ref="V2149">IF(表成绩单[[#This Row],[历史]]="","",SUMPRODUCT((表成绩单[考试日期]=表成绩单[[#This Row],[考试日期]])*(表成绩单[历史]&lt;9E+307)*(表成绩单[历史]&gt;表成绩单[[#This Row],[历史]]))+1)</f>
        <v>415</v>
      </c>
      <c r="W2149" s="29" cm="1">
        <f t="array" ref="W2149">IF(表成绩单[[#This Row],[总分]]="","",SUMPRODUCT((表成绩单[考试日期]=表成绩单[[#This Row],[考试日期]])*(表成绩单[总分]&lt;9E+307)*(表成绩单[总分]&gt;表成绩单[[#This Row],[总分]]))+1)</f>
        <v>542</v>
      </c>
    </row>
    <row r="2150" ht="28" customHeight="1" spans="4:23">
      <c r="D2150" s="31">
        <v>46030</v>
      </c>
      <c r="E2150" s="29">
        <v>19174737</v>
      </c>
      <c r="F2150" s="29" t="s">
        <v>64</v>
      </c>
      <c r="G2150" s="29" t="s">
        <v>626</v>
      </c>
      <c r="H2150" s="29">
        <v>89</v>
      </c>
      <c r="I2150" s="29">
        <v>99</v>
      </c>
      <c r="J2150" s="29">
        <v>54</v>
      </c>
      <c r="K2150" s="29">
        <v>54</v>
      </c>
      <c r="L2150" s="29">
        <v>67</v>
      </c>
      <c r="M2150" s="29">
        <v>48</v>
      </c>
      <c r="N2150" s="29">
        <v>55</v>
      </c>
      <c r="O2150" s="32">
        <v>466</v>
      </c>
      <c r="P2150" s="29" cm="1">
        <f t="array" ref="P2150">IF(表成绩单[[#This Row],[语文]]="","",SUMPRODUCT((表成绩单[考试日期]=表成绩单[[#This Row],[考试日期]])*(表成绩单[语文]&lt;9E+307)*(表成绩单[语文]&gt;表成绩单[[#This Row],[语文]]))+1)</f>
        <v>540</v>
      </c>
      <c r="Q2150" s="29" cm="1">
        <f t="array" ref="Q2150">IF(表成绩单[[#This Row],[数学]]="","",SUMPRODUCT((表成绩单[考试日期]=表成绩单[[#This Row],[考试日期]])*(表成绩单[数学]&lt;9E+307)*(表成绩单[数学]&gt;表成绩单[[#This Row],[数学]]))+1)</f>
        <v>120</v>
      </c>
      <c r="R2150" s="29" cm="1">
        <f t="array" ref="R2150">IF(表成绩单[[#This Row],[英语]]="","",SUMPRODUCT((表成绩单[考试日期]=表成绩单[[#This Row],[考试日期]])*(表成绩单[英语]&lt;9E+307)*(表成绩单[英语]&gt;表成绩单[[#This Row],[英语]]))+1)</f>
        <v>606</v>
      </c>
      <c r="S2150" s="29" cm="1">
        <f t="array" ref="S2150">IF(表成绩单[[#This Row],[物理]]="","",SUMPRODUCT((表成绩单[考试日期]=表成绩单[[#This Row],[考试日期]])*(表成绩单[物理]&lt;9E+307)*(表成绩单[物理]&gt;表成绩单[[#This Row],[物理]]))+1)</f>
        <v>568</v>
      </c>
      <c r="T2150" s="29" cm="1">
        <f t="array" ref="T2150">IF(表成绩单[[#This Row],[化学]]="","",SUMPRODUCT((表成绩单[考试日期]=表成绩单[[#This Row],[考试日期]])*(表成绩单[化学]&lt;9E+307)*(表成绩单[化学]&gt;表成绩单[[#This Row],[化学]]))+1)</f>
        <v>381</v>
      </c>
      <c r="U2150" s="29" cm="1">
        <f t="array" ref="U2150">IF(表成绩单[[#This Row],[政治]]="","",SUMPRODUCT((表成绩单[考试日期]=表成绩单[[#This Row],[考试日期]])*(表成绩单[政治]&lt;9E+307)*(表成绩单[政治]&gt;表成绩单[[#This Row],[政治]]))+1)</f>
        <v>675</v>
      </c>
      <c r="V2150" s="29" cm="1">
        <f t="array" ref="V2150">IF(表成绩单[[#This Row],[历史]]="","",SUMPRODUCT((表成绩单[考试日期]=表成绩单[[#This Row],[考试日期]])*(表成绩单[历史]&lt;9E+307)*(表成绩单[历史]&gt;表成绩单[[#This Row],[历史]]))+1)</f>
        <v>662</v>
      </c>
      <c r="W2150" s="29" cm="1">
        <f t="array" ref="W2150">IF(表成绩单[[#This Row],[总分]]="","",SUMPRODUCT((表成绩单[考试日期]=表成绩单[[#This Row],[考试日期]])*(表成绩单[总分]&lt;9E+307)*(表成绩单[总分]&gt;表成绩单[[#This Row],[总分]]))+1)</f>
        <v>544</v>
      </c>
    </row>
    <row r="2151" ht="28" customHeight="1" spans="4:23">
      <c r="D2151" s="31">
        <v>46030</v>
      </c>
      <c r="E2151" s="29">
        <v>19175629</v>
      </c>
      <c r="F2151" s="29" t="s">
        <v>57</v>
      </c>
      <c r="G2151" s="29" t="s">
        <v>720</v>
      </c>
      <c r="H2151" s="29">
        <v>98</v>
      </c>
      <c r="I2151" s="29">
        <v>54</v>
      </c>
      <c r="J2151" s="29">
        <v>64</v>
      </c>
      <c r="K2151" s="29">
        <v>66</v>
      </c>
      <c r="L2151" s="29">
        <v>64</v>
      </c>
      <c r="M2151" s="29">
        <v>66</v>
      </c>
      <c r="N2151" s="29">
        <v>54</v>
      </c>
      <c r="O2151" s="32">
        <v>466</v>
      </c>
      <c r="P2151" s="29" cm="1">
        <f t="array" ref="P2151">IF(表成绩单[[#This Row],[语文]]="","",SUMPRODUCT((表成绩单[考试日期]=表成绩单[[#This Row],[考试日期]])*(表成绩单[语文]&lt;9E+307)*(表成绩单[语文]&gt;表成绩单[[#This Row],[语文]]))+1)</f>
        <v>248</v>
      </c>
      <c r="Q2151" s="29" cm="1">
        <f t="array" ref="Q2151">IF(表成绩单[[#This Row],[数学]]="","",SUMPRODUCT((表成绩单[考试日期]=表成绩单[[#This Row],[考试日期]])*(表成绩单[数学]&lt;9E+307)*(表成绩单[数学]&gt;表成绩单[[#This Row],[数学]]))+1)</f>
        <v>711</v>
      </c>
      <c r="R2151" s="29" cm="1">
        <f t="array" ref="R2151">IF(表成绩单[[#This Row],[英语]]="","",SUMPRODUCT((表成绩单[考试日期]=表成绩单[[#This Row],[考试日期]])*(表成绩单[英语]&lt;9E+307)*(表成绩单[英语]&gt;表成绩单[[#This Row],[英语]]))+1)</f>
        <v>456</v>
      </c>
      <c r="S2151" s="29" cm="1">
        <f t="array" ref="S2151">IF(表成绩单[[#This Row],[物理]]="","",SUMPRODUCT((表成绩单[考试日期]=表成绩单[[#This Row],[考试日期]])*(表成绩单[物理]&lt;9E+307)*(表成绩单[物理]&gt;表成绩单[[#This Row],[物理]]))+1)</f>
        <v>415</v>
      </c>
      <c r="T2151" s="29" cm="1">
        <f t="array" ref="T2151">IF(表成绩单[[#This Row],[化学]]="","",SUMPRODUCT((表成绩单[考试日期]=表成绩单[[#This Row],[考试日期]])*(表成绩单[化学]&lt;9E+307)*(表成绩单[化学]&gt;表成绩单[[#This Row],[化学]]))+1)</f>
        <v>451</v>
      </c>
      <c r="U2151" s="29" cm="1">
        <f t="array" ref="U2151">IF(表成绩单[[#This Row],[政治]]="","",SUMPRODUCT((表成绩单[考试日期]=表成绩单[[#This Row],[考试日期]])*(表成绩单[政治]&lt;9E+307)*(表成绩单[政治]&gt;表成绩单[[#This Row],[政治]]))+1)</f>
        <v>397</v>
      </c>
      <c r="V2151" s="29" cm="1">
        <f t="array" ref="V2151">IF(表成绩单[[#This Row],[历史]]="","",SUMPRODUCT((表成绩单[考试日期]=表成绩单[[#This Row],[考试日期]])*(表成绩单[历史]&lt;9E+307)*(表成绩单[历史]&gt;表成绩单[[#This Row],[历史]]))+1)</f>
        <v>682</v>
      </c>
      <c r="W2151" s="29" cm="1">
        <f t="array" ref="W2151">IF(表成绩单[[#This Row],[总分]]="","",SUMPRODUCT((表成绩单[考试日期]=表成绩单[[#This Row],[考试日期]])*(表成绩单[总分]&lt;9E+307)*(表成绩单[总分]&gt;表成绩单[[#This Row],[总分]]))+1)</f>
        <v>544</v>
      </c>
    </row>
    <row r="2152" ht="28" customHeight="1" spans="4:23">
      <c r="D2152" s="31">
        <v>46030</v>
      </c>
      <c r="E2152" s="29">
        <v>19175622</v>
      </c>
      <c r="F2152" s="29" t="s">
        <v>57</v>
      </c>
      <c r="G2152" s="29" t="s">
        <v>622</v>
      </c>
      <c r="H2152" s="29">
        <v>95</v>
      </c>
      <c r="I2152" s="29">
        <v>77</v>
      </c>
      <c r="J2152" s="29">
        <v>38.5</v>
      </c>
      <c r="K2152" s="29">
        <v>61</v>
      </c>
      <c r="L2152" s="29">
        <v>61</v>
      </c>
      <c r="M2152" s="29">
        <v>66</v>
      </c>
      <c r="N2152" s="29">
        <v>67</v>
      </c>
      <c r="O2152" s="32">
        <v>465.5</v>
      </c>
      <c r="P2152" s="29" cm="1">
        <f t="array" ref="P2152">IF(表成绩单[[#This Row],[语文]]="","",SUMPRODUCT((表成绩单[考试日期]=表成绩单[[#This Row],[考试日期]])*(表成绩单[语文]&lt;9E+307)*(表成绩单[语文]&gt;表成绩单[[#This Row],[语文]]))+1)</f>
        <v>342</v>
      </c>
      <c r="Q2152" s="29" cm="1">
        <f t="array" ref="Q2152">IF(表成绩单[[#This Row],[数学]]="","",SUMPRODUCT((表成绩单[考试日期]=表成绩单[[#This Row],[考试日期]])*(表成绩单[数学]&lt;9E+307)*(表成绩单[数学]&gt;表成绩单[[#This Row],[数学]]))+1)</f>
        <v>478</v>
      </c>
      <c r="R2152" s="29" cm="1">
        <f t="array" ref="R2152">IF(表成绩单[[#This Row],[英语]]="","",SUMPRODUCT((表成绩单[考试日期]=表成绩单[[#This Row],[考试日期]])*(表成绩单[英语]&lt;9E+307)*(表成绩单[英语]&gt;表成绩单[[#This Row],[英语]]))+1)</f>
        <v>728</v>
      </c>
      <c r="S2152" s="29" cm="1">
        <f t="array" ref="S2152">IF(表成绩单[[#This Row],[物理]]="","",SUMPRODUCT((表成绩单[考试日期]=表成绩单[[#This Row],[考试日期]])*(表成绩单[物理]&lt;9E+307)*(表成绩单[物理]&gt;表成绩单[[#This Row],[物理]]))+1)</f>
        <v>482</v>
      </c>
      <c r="T2152" s="29" cm="1">
        <f t="array" ref="T2152">IF(表成绩单[[#This Row],[化学]]="","",SUMPRODUCT((表成绩单[考试日期]=表成绩单[[#This Row],[考试日期]])*(表成绩单[化学]&lt;9E+307)*(表成绩单[化学]&gt;表成绩单[[#This Row],[化学]]))+1)</f>
        <v>508</v>
      </c>
      <c r="U2152" s="29" cm="1">
        <f t="array" ref="U2152">IF(表成绩单[[#This Row],[政治]]="","",SUMPRODUCT((表成绩单[考试日期]=表成绩单[[#This Row],[考试日期]])*(表成绩单[政治]&lt;9E+307)*(表成绩单[政治]&gt;表成绩单[[#This Row],[政治]]))+1)</f>
        <v>397</v>
      </c>
      <c r="V2152" s="29" cm="1">
        <f t="array" ref="V2152">IF(表成绩单[[#This Row],[历史]]="","",SUMPRODUCT((表成绩单[考试日期]=表成绩单[[#This Row],[考试日期]])*(表成绩单[历史]&lt;9E+307)*(表成绩单[历史]&gt;表成绩单[[#This Row],[历史]]))+1)</f>
        <v>415</v>
      </c>
      <c r="W2152" s="29" cm="1">
        <f t="array" ref="W2152">IF(表成绩单[[#This Row],[总分]]="","",SUMPRODUCT((表成绩单[考试日期]=表成绩单[[#This Row],[考试日期]])*(表成绩单[总分]&lt;9E+307)*(表成绩单[总分]&gt;表成绩单[[#This Row],[总分]]))+1)</f>
        <v>546</v>
      </c>
    </row>
    <row r="2153" ht="28" customHeight="1" spans="4:23">
      <c r="D2153" s="31">
        <v>46030</v>
      </c>
      <c r="E2153" s="29">
        <v>19172646</v>
      </c>
      <c r="F2153" s="29" t="s">
        <v>60</v>
      </c>
      <c r="G2153" s="29" t="s">
        <v>599</v>
      </c>
      <c r="H2153" s="29">
        <v>93</v>
      </c>
      <c r="I2153" s="29">
        <v>79</v>
      </c>
      <c r="J2153" s="29">
        <v>50</v>
      </c>
      <c r="K2153" s="29">
        <v>58</v>
      </c>
      <c r="L2153" s="29">
        <v>63</v>
      </c>
      <c r="M2153" s="29">
        <v>52</v>
      </c>
      <c r="N2153" s="29">
        <v>70</v>
      </c>
      <c r="O2153" s="32">
        <v>465</v>
      </c>
      <c r="P2153" s="29" cm="1">
        <f t="array" ref="P2153">IF(表成绩单[[#This Row],[语文]]="","",SUMPRODUCT((表成绩单[考试日期]=表成绩单[[#This Row],[考试日期]])*(表成绩单[语文]&lt;9E+307)*(表成绩单[语文]&gt;表成绩单[[#This Row],[语文]]))+1)</f>
        <v>412</v>
      </c>
      <c r="Q2153" s="29" cm="1">
        <f t="array" ref="Q2153">IF(表成绩单[[#This Row],[数学]]="","",SUMPRODUCT((表成绩单[考试日期]=表成绩单[[#This Row],[考试日期]])*(表成绩单[数学]&lt;9E+307)*(表成绩单[数学]&gt;表成绩单[[#This Row],[数学]]))+1)</f>
        <v>427</v>
      </c>
      <c r="R2153" s="29" cm="1">
        <f t="array" ref="R2153">IF(表成绩单[[#This Row],[英语]]="","",SUMPRODUCT((表成绩单[考试日期]=表成绩单[[#This Row],[考试日期]])*(表成绩单[英语]&lt;9E+307)*(表成绩单[英语]&gt;表成绩单[[#This Row],[英语]]))+1)</f>
        <v>649</v>
      </c>
      <c r="S2153" s="29" cm="1">
        <f t="array" ref="S2153">IF(表成绩单[[#This Row],[物理]]="","",SUMPRODUCT((表成绩单[考试日期]=表成绩单[[#This Row],[考试日期]])*(表成绩单[物理]&lt;9E+307)*(表成绩单[物理]&gt;表成绩单[[#This Row],[物理]]))+1)</f>
        <v>527</v>
      </c>
      <c r="T2153" s="29" cm="1">
        <f t="array" ref="T2153">IF(表成绩单[[#This Row],[化学]]="","",SUMPRODUCT((表成绩单[考试日期]=表成绩单[[#This Row],[考试日期]])*(表成绩单[化学]&lt;9E+307)*(表成绩单[化学]&gt;表成绩单[[#This Row],[化学]]))+1)</f>
        <v>472</v>
      </c>
      <c r="U2153" s="29" cm="1">
        <f t="array" ref="U2153">IF(表成绩单[[#This Row],[政治]]="","",SUMPRODUCT((表成绩单[考试日期]=表成绩单[[#This Row],[考试日期]])*(表成绩单[政治]&lt;9E+307)*(表成绩单[政治]&gt;表成绩单[[#This Row],[政治]]))+1)</f>
        <v>643</v>
      </c>
      <c r="V2153" s="29" cm="1">
        <f t="array" ref="V2153">IF(表成绩单[[#This Row],[历史]]="","",SUMPRODUCT((表成绩单[考试日期]=表成绩单[[#This Row],[考试日期]])*(表成绩单[历史]&lt;9E+307)*(表成绩单[历史]&gt;表成绩单[[#This Row],[历史]]))+1)</f>
        <v>328</v>
      </c>
      <c r="W2153" s="29" cm="1">
        <f t="array" ref="W2153">IF(表成绩单[[#This Row],[总分]]="","",SUMPRODUCT((表成绩单[考试日期]=表成绩单[[#This Row],[考试日期]])*(表成绩单[总分]&lt;9E+307)*(表成绩单[总分]&gt;表成绩单[[#This Row],[总分]]))+1)</f>
        <v>547</v>
      </c>
    </row>
    <row r="2154" ht="28" customHeight="1" spans="4:23">
      <c r="D2154" s="31">
        <v>46030</v>
      </c>
      <c r="E2154" s="29">
        <v>19172623</v>
      </c>
      <c r="F2154" s="29" t="s">
        <v>60</v>
      </c>
      <c r="G2154" s="29" t="s">
        <v>657</v>
      </c>
      <c r="H2154" s="29">
        <v>92</v>
      </c>
      <c r="I2154" s="29">
        <v>70</v>
      </c>
      <c r="J2154" s="29">
        <v>45.5</v>
      </c>
      <c r="K2154" s="29">
        <v>54</v>
      </c>
      <c r="L2154" s="29">
        <v>59</v>
      </c>
      <c r="M2154" s="29">
        <v>71</v>
      </c>
      <c r="N2154" s="29">
        <v>73</v>
      </c>
      <c r="O2154" s="32">
        <v>464.5</v>
      </c>
      <c r="P2154" s="29" cm="1">
        <f t="array" ref="P2154">IF(表成绩单[[#This Row],[语文]]="","",SUMPRODUCT((表成绩单[考试日期]=表成绩单[[#This Row],[考试日期]])*(表成绩单[语文]&lt;9E+307)*(表成绩单[语文]&gt;表成绩单[[#This Row],[语文]]))+1)</f>
        <v>444</v>
      </c>
      <c r="Q2154" s="29" cm="1">
        <f t="array" ref="Q2154">IF(表成绩单[[#This Row],[数学]]="","",SUMPRODUCT((表成绩单[考试日期]=表成绩单[[#This Row],[考试日期]])*(表成绩单[数学]&lt;9E+307)*(表成绩单[数学]&gt;表成绩单[[#This Row],[数学]]))+1)</f>
        <v>590</v>
      </c>
      <c r="R2154" s="29" cm="1">
        <f t="array" ref="R2154">IF(表成绩单[[#This Row],[英语]]="","",SUMPRODUCT((表成绩单[考试日期]=表成绩单[[#This Row],[考试日期]])*(表成绩单[英语]&lt;9E+307)*(表成绩单[英语]&gt;表成绩单[[#This Row],[英语]]))+1)</f>
        <v>688</v>
      </c>
      <c r="S2154" s="29" cm="1">
        <f t="array" ref="S2154">IF(表成绩单[[#This Row],[物理]]="","",SUMPRODUCT((表成绩单[考试日期]=表成绩单[[#This Row],[考试日期]])*(表成绩单[物理]&lt;9E+307)*(表成绩单[物理]&gt;表成绩单[[#This Row],[物理]]))+1)</f>
        <v>568</v>
      </c>
      <c r="T2154" s="29" cm="1">
        <f t="array" ref="T2154">IF(表成绩单[[#This Row],[化学]]="","",SUMPRODUCT((表成绩单[考试日期]=表成绩单[[#This Row],[考试日期]])*(表成绩单[化学]&lt;9E+307)*(表成绩单[化学]&gt;表成绩单[[#This Row],[化学]]))+1)</f>
        <v>540</v>
      </c>
      <c r="U2154" s="29" cm="1">
        <f t="array" ref="U2154">IF(表成绩单[[#This Row],[政治]]="","",SUMPRODUCT((表成绩单[考试日期]=表成绩单[[#This Row],[考试日期]])*(表成绩单[政治]&lt;9E+307)*(表成绩单[政治]&gt;表成绩单[[#This Row],[政治]]))+1)</f>
        <v>248</v>
      </c>
      <c r="V2154" s="29" cm="1">
        <f t="array" ref="V2154">IF(表成绩单[[#This Row],[历史]]="","",SUMPRODUCT((表成绩单[考试日期]=表成绩单[[#This Row],[考试日期]])*(表成绩单[历史]&lt;9E+307)*(表成绩单[历史]&gt;表成绩单[[#This Row],[历史]]))+1)</f>
        <v>240</v>
      </c>
      <c r="W2154" s="29" cm="1">
        <f t="array" ref="W2154">IF(表成绩单[[#This Row],[总分]]="","",SUMPRODUCT((表成绩单[考试日期]=表成绩单[[#This Row],[考试日期]])*(表成绩单[总分]&lt;9E+307)*(表成绩单[总分]&gt;表成绩单[[#This Row],[总分]]))+1)</f>
        <v>548</v>
      </c>
    </row>
    <row r="2155" ht="28" customHeight="1" spans="4:23">
      <c r="D2155" s="31">
        <v>46030</v>
      </c>
      <c r="E2155" s="29">
        <v>19177651</v>
      </c>
      <c r="F2155" s="29" t="s">
        <v>63</v>
      </c>
      <c r="G2155" s="29" t="s">
        <v>678</v>
      </c>
      <c r="H2155" s="29">
        <v>89</v>
      </c>
      <c r="I2155" s="29">
        <v>78</v>
      </c>
      <c r="J2155" s="29">
        <v>47.5</v>
      </c>
      <c r="K2155" s="29">
        <v>67</v>
      </c>
      <c r="L2155" s="29">
        <v>61</v>
      </c>
      <c r="M2155" s="29">
        <v>66</v>
      </c>
      <c r="N2155" s="29">
        <v>56</v>
      </c>
      <c r="O2155" s="32">
        <v>464.5</v>
      </c>
      <c r="P2155" s="29" cm="1">
        <f t="array" ref="P2155">IF(表成绩单[[#This Row],[语文]]="","",SUMPRODUCT((表成绩单[考试日期]=表成绩单[[#This Row],[考试日期]])*(表成绩单[语文]&lt;9E+307)*(表成绩单[语文]&gt;表成绩单[[#This Row],[语文]]))+1)</f>
        <v>540</v>
      </c>
      <c r="Q2155" s="29" cm="1">
        <f t="array" ref="Q2155">IF(表成绩单[[#This Row],[数学]]="","",SUMPRODUCT((表成绩单[考试日期]=表成绩单[[#This Row],[考试日期]])*(表成绩单[数学]&lt;9E+307)*(表成绩单[数学]&gt;表成绩单[[#This Row],[数学]]))+1)</f>
        <v>450</v>
      </c>
      <c r="R2155" s="29" cm="1">
        <f t="array" ref="R2155">IF(表成绩单[[#This Row],[英语]]="","",SUMPRODUCT((表成绩单[考试日期]=表成绩单[[#This Row],[考试日期]])*(表成绩单[英语]&lt;9E+307)*(表成绩单[英语]&gt;表成绩单[[#This Row],[英语]]))+1)</f>
        <v>670</v>
      </c>
      <c r="S2155" s="29" cm="1">
        <f t="array" ref="S2155">IF(表成绩单[[#This Row],[物理]]="","",SUMPRODUCT((表成绩单[考试日期]=表成绩单[[#This Row],[考试日期]])*(表成绩单[物理]&lt;9E+307)*(表成绩单[物理]&gt;表成绩单[[#This Row],[物理]]))+1)</f>
        <v>394</v>
      </c>
      <c r="T2155" s="29" cm="1">
        <f t="array" ref="T2155">IF(表成绩单[[#This Row],[化学]]="","",SUMPRODUCT((表成绩单[考试日期]=表成绩单[[#This Row],[考试日期]])*(表成绩单[化学]&lt;9E+307)*(表成绩单[化学]&gt;表成绩单[[#This Row],[化学]]))+1)</f>
        <v>508</v>
      </c>
      <c r="U2155" s="29" cm="1">
        <f t="array" ref="U2155">IF(表成绩单[[#This Row],[政治]]="","",SUMPRODUCT((表成绩单[考试日期]=表成绩单[[#This Row],[考试日期]])*(表成绩单[政治]&lt;9E+307)*(表成绩单[政治]&gt;表成绩单[[#This Row],[政治]]))+1)</f>
        <v>397</v>
      </c>
      <c r="V2155" s="29" cm="1">
        <f t="array" ref="V2155">IF(表成绩单[[#This Row],[历史]]="","",SUMPRODUCT((表成绩单[考试日期]=表成绩单[[#This Row],[考试日期]])*(表成绩单[历史]&lt;9E+307)*(表成绩单[历史]&gt;表成绩单[[#This Row],[历史]]))+1)</f>
        <v>651</v>
      </c>
      <c r="W2155" s="29" cm="1">
        <f t="array" ref="W2155">IF(表成绩单[[#This Row],[总分]]="","",SUMPRODUCT((表成绩单[考试日期]=表成绩单[[#This Row],[考试日期]])*(表成绩单[总分]&lt;9E+307)*(表成绩单[总分]&gt;表成绩单[[#This Row],[总分]]))+1)</f>
        <v>548</v>
      </c>
    </row>
    <row r="2156" ht="28" customHeight="1" spans="4:23">
      <c r="D2156" s="31">
        <v>46030</v>
      </c>
      <c r="E2156" s="29">
        <v>19178638</v>
      </c>
      <c r="F2156" s="29" t="s">
        <v>25</v>
      </c>
      <c r="G2156" s="29" t="s">
        <v>688</v>
      </c>
      <c r="H2156" s="29">
        <v>92</v>
      </c>
      <c r="I2156" s="29">
        <v>71</v>
      </c>
      <c r="J2156" s="29">
        <v>65.5</v>
      </c>
      <c r="K2156" s="29">
        <v>59</v>
      </c>
      <c r="L2156" s="29">
        <v>60</v>
      </c>
      <c r="M2156" s="29">
        <v>57</v>
      </c>
      <c r="N2156" s="29">
        <v>60</v>
      </c>
      <c r="O2156" s="32">
        <v>464.5</v>
      </c>
      <c r="P2156" s="29" cm="1">
        <f t="array" ref="P2156">IF(表成绩单[[#This Row],[语文]]="","",SUMPRODUCT((表成绩单[考试日期]=表成绩单[[#This Row],[考试日期]])*(表成绩单[语文]&lt;9E+307)*(表成绩单[语文]&gt;表成绩单[[#This Row],[语文]]))+1)</f>
        <v>444</v>
      </c>
      <c r="Q2156" s="29" cm="1">
        <f t="array" ref="Q2156">IF(表成绩单[[#This Row],[数学]]="","",SUMPRODUCT((表成绩单[考试日期]=表成绩单[[#This Row],[考试日期]])*(表成绩单[数学]&lt;9E+307)*(表成绩单[数学]&gt;表成绩单[[#This Row],[数学]]))+1)</f>
        <v>578</v>
      </c>
      <c r="R2156" s="29" cm="1">
        <f t="array" ref="R2156">IF(表成绩单[[#This Row],[英语]]="","",SUMPRODUCT((表成绩单[考试日期]=表成绩单[[#This Row],[考试日期]])*(表成绩单[英语]&lt;9E+307)*(表成绩单[英语]&gt;表成绩单[[#This Row],[英语]]))+1)</f>
        <v>429</v>
      </c>
      <c r="S2156" s="29" cm="1">
        <f t="array" ref="S2156">IF(表成绩单[[#This Row],[物理]]="","",SUMPRODUCT((表成绩单[考试日期]=表成绩单[[#This Row],[考试日期]])*(表成绩单[物理]&lt;9E+307)*(表成绩单[物理]&gt;表成绩单[[#This Row],[物理]]))+1)</f>
        <v>514</v>
      </c>
      <c r="T2156" s="29" cm="1">
        <f t="array" ref="T2156">IF(表成绩单[[#This Row],[化学]]="","",SUMPRODUCT((表成绩单[考试日期]=表成绩单[[#This Row],[考试日期]])*(表成绩单[化学]&lt;9E+307)*(表成绩单[化学]&gt;表成绩单[[#This Row],[化学]]))+1)</f>
        <v>525</v>
      </c>
      <c r="U2156" s="29" cm="1">
        <f t="array" ref="U2156">IF(表成绩单[[#This Row],[政治]]="","",SUMPRODUCT((表成绩单[考试日期]=表成绩单[[#This Row],[考试日期]])*(表成绩单[政治]&lt;9E+307)*(表成绩单[政治]&gt;表成绩单[[#This Row],[政治]]))+1)</f>
        <v>591</v>
      </c>
      <c r="V2156" s="29" cm="1">
        <f t="array" ref="V2156">IF(表成绩单[[#This Row],[历史]]="","",SUMPRODUCT((表成绩单[考试日期]=表成绩单[[#This Row],[考试日期]])*(表成绩单[历史]&lt;9E+307)*(表成绩单[历史]&gt;表成绩单[[#This Row],[历史]]))+1)</f>
        <v>579</v>
      </c>
      <c r="W2156" s="29" cm="1">
        <f t="array" ref="W2156">IF(表成绩单[[#This Row],[总分]]="","",SUMPRODUCT((表成绩单[考试日期]=表成绩单[[#This Row],[考试日期]])*(表成绩单[总分]&lt;9E+307)*(表成绩单[总分]&gt;表成绩单[[#This Row],[总分]]))+1)</f>
        <v>548</v>
      </c>
    </row>
    <row r="2157" ht="28" customHeight="1" spans="4:23">
      <c r="D2157" s="31">
        <v>46030</v>
      </c>
      <c r="E2157" s="29">
        <v>19173783</v>
      </c>
      <c r="F2157" s="29" t="s">
        <v>65</v>
      </c>
      <c r="G2157" s="29" t="s">
        <v>578</v>
      </c>
      <c r="H2157" s="29">
        <v>81</v>
      </c>
      <c r="I2157" s="29">
        <v>72</v>
      </c>
      <c r="J2157" s="29">
        <v>61</v>
      </c>
      <c r="K2157" s="29">
        <v>66</v>
      </c>
      <c r="L2157" s="29">
        <v>73</v>
      </c>
      <c r="M2157" s="29">
        <v>51</v>
      </c>
      <c r="N2157" s="29">
        <v>60</v>
      </c>
      <c r="O2157" s="32">
        <v>464</v>
      </c>
      <c r="P2157" s="29" cm="1">
        <f t="array" ref="P2157">IF(表成绩单[[#This Row],[语文]]="","",SUMPRODUCT((表成绩单[考试日期]=表成绩单[[#This Row],[考试日期]])*(表成绩单[语文]&lt;9E+307)*(表成绩单[语文]&gt;表成绩单[[#This Row],[语文]]))+1)</f>
        <v>668</v>
      </c>
      <c r="Q2157" s="29" cm="1">
        <f t="array" ref="Q2157">IF(表成绩单[[#This Row],[数学]]="","",SUMPRODUCT((表成绩单[考试日期]=表成绩单[[#This Row],[考试日期]])*(表成绩单[数学]&lt;9E+307)*(表成绩单[数学]&gt;表成绩单[[#This Row],[数学]]))+1)</f>
        <v>562</v>
      </c>
      <c r="R2157" s="29" cm="1">
        <f t="array" ref="R2157">IF(表成绩单[[#This Row],[英语]]="","",SUMPRODUCT((表成绩单[考试日期]=表成绩单[[#This Row],[考试日期]])*(表成绩单[英语]&lt;9E+307)*(表成绩单[英语]&gt;表成绩单[[#This Row],[英语]]))+1)</f>
        <v>507</v>
      </c>
      <c r="S2157" s="29" cm="1">
        <f t="array" ref="S2157">IF(表成绩单[[#This Row],[物理]]="","",SUMPRODUCT((表成绩单[考试日期]=表成绩单[[#This Row],[考试日期]])*(表成绩单[物理]&lt;9E+307)*(表成绩单[物理]&gt;表成绩单[[#This Row],[物理]]))+1)</f>
        <v>415</v>
      </c>
      <c r="T2157" s="29" cm="1">
        <f t="array" ref="T2157">IF(表成绩单[[#This Row],[化学]]="","",SUMPRODUCT((表成绩单[考试日期]=表成绩单[[#This Row],[考试日期]])*(表成绩单[化学]&lt;9E+307)*(表成绩单[化学]&gt;表成绩单[[#This Row],[化学]]))+1)</f>
        <v>236</v>
      </c>
      <c r="U2157" s="29" cm="1">
        <f t="array" ref="U2157">IF(表成绩单[[#This Row],[政治]]="","",SUMPRODUCT((表成绩单[考试日期]=表成绩单[[#This Row],[考试日期]])*(表成绩单[政治]&lt;9E+307)*(表成绩单[政治]&gt;表成绩单[[#This Row],[政治]]))+1)</f>
        <v>651</v>
      </c>
      <c r="V2157" s="29" cm="1">
        <f t="array" ref="V2157">IF(表成绩单[[#This Row],[历史]]="","",SUMPRODUCT((表成绩单[考试日期]=表成绩单[[#This Row],[考试日期]])*(表成绩单[历史]&lt;9E+307)*(表成绩单[历史]&gt;表成绩单[[#This Row],[历史]]))+1)</f>
        <v>579</v>
      </c>
      <c r="W2157" s="29" cm="1">
        <f t="array" ref="W2157">IF(表成绩单[[#This Row],[总分]]="","",SUMPRODUCT((表成绩单[考试日期]=表成绩单[[#This Row],[考试日期]])*(表成绩单[总分]&lt;9E+307)*(表成绩单[总分]&gt;表成绩单[[#This Row],[总分]]))+1)</f>
        <v>551</v>
      </c>
    </row>
    <row r="2158" ht="28" customHeight="1" spans="4:23">
      <c r="D2158" s="31">
        <v>46030</v>
      </c>
      <c r="E2158" s="29">
        <v>19178593</v>
      </c>
      <c r="F2158" s="29" t="s">
        <v>64</v>
      </c>
      <c r="G2158" s="29" t="s">
        <v>772</v>
      </c>
      <c r="H2158" s="29">
        <v>85</v>
      </c>
      <c r="I2158" s="29">
        <v>72</v>
      </c>
      <c r="J2158" s="29">
        <v>61</v>
      </c>
      <c r="K2158" s="29">
        <v>66</v>
      </c>
      <c r="L2158" s="29">
        <v>59</v>
      </c>
      <c r="M2158" s="29">
        <v>51</v>
      </c>
      <c r="N2158" s="29">
        <v>69</v>
      </c>
      <c r="O2158" s="32">
        <v>463</v>
      </c>
      <c r="P2158" s="29" cm="1">
        <f t="array" ref="P2158">IF(表成绩单[[#This Row],[语文]]="","",SUMPRODUCT((表成绩单[考试日期]=表成绩单[[#This Row],[考试日期]])*(表成绩单[语文]&lt;9E+307)*(表成绩单[语文]&gt;表成绩单[[#This Row],[语文]]))+1)</f>
        <v>619</v>
      </c>
      <c r="Q2158" s="29" cm="1">
        <f t="array" ref="Q2158">IF(表成绩单[[#This Row],[数学]]="","",SUMPRODUCT((表成绩单[考试日期]=表成绩单[[#This Row],[考试日期]])*(表成绩单[数学]&lt;9E+307)*(表成绩单[数学]&gt;表成绩单[[#This Row],[数学]]))+1)</f>
        <v>562</v>
      </c>
      <c r="R2158" s="29" cm="1">
        <f t="array" ref="R2158">IF(表成绩单[[#This Row],[英语]]="","",SUMPRODUCT((表成绩单[考试日期]=表成绩单[[#This Row],[考试日期]])*(表成绩单[英语]&lt;9E+307)*(表成绩单[英语]&gt;表成绩单[[#This Row],[英语]]))+1)</f>
        <v>507</v>
      </c>
      <c r="S2158" s="29" cm="1">
        <f t="array" ref="S2158">IF(表成绩单[[#This Row],[物理]]="","",SUMPRODUCT((表成绩单[考试日期]=表成绩单[[#This Row],[考试日期]])*(表成绩单[物理]&lt;9E+307)*(表成绩单[物理]&gt;表成绩单[[#This Row],[物理]]))+1)</f>
        <v>415</v>
      </c>
      <c r="T2158" s="29" cm="1">
        <f t="array" ref="T2158">IF(表成绩单[[#This Row],[化学]]="","",SUMPRODUCT((表成绩单[考试日期]=表成绩单[[#This Row],[考试日期]])*(表成绩单[化学]&lt;9E+307)*(表成绩单[化学]&gt;表成绩单[[#This Row],[化学]]))+1)</f>
        <v>540</v>
      </c>
      <c r="U2158" s="29" cm="1">
        <f t="array" ref="U2158">IF(表成绩单[[#This Row],[政治]]="","",SUMPRODUCT((表成绩单[考试日期]=表成绩单[[#This Row],[考试日期]])*(表成绩单[政治]&lt;9E+307)*(表成绩单[政治]&gt;表成绩单[[#This Row],[政治]]))+1)</f>
        <v>651</v>
      </c>
      <c r="V2158" s="29" cm="1">
        <f t="array" ref="V2158">IF(表成绩单[[#This Row],[历史]]="","",SUMPRODUCT((表成绩单[考试日期]=表成绩单[[#This Row],[考试日期]])*(表成绩单[历史]&lt;9E+307)*(表成绩单[历史]&gt;表成绩单[[#This Row],[历史]]))+1)</f>
        <v>366</v>
      </c>
      <c r="W2158" s="29" cm="1">
        <f t="array" ref="W2158">IF(表成绩单[[#This Row],[总分]]="","",SUMPRODUCT((表成绩单[考试日期]=表成绩单[[#This Row],[考试日期]])*(表成绩单[总分]&lt;9E+307)*(表成绩单[总分]&gt;表成绩单[[#This Row],[总分]]))+1)</f>
        <v>552</v>
      </c>
    </row>
    <row r="2159" ht="28" customHeight="1" spans="4:23">
      <c r="D2159" s="31">
        <v>46030</v>
      </c>
      <c r="E2159" s="29">
        <v>19177638</v>
      </c>
      <c r="F2159" s="29" t="s">
        <v>63</v>
      </c>
      <c r="G2159" s="29" t="s">
        <v>683</v>
      </c>
      <c r="H2159" s="29">
        <v>86</v>
      </c>
      <c r="I2159" s="29">
        <v>75</v>
      </c>
      <c r="J2159" s="29">
        <v>62.5</v>
      </c>
      <c r="K2159" s="29">
        <v>61</v>
      </c>
      <c r="L2159" s="29">
        <v>52</v>
      </c>
      <c r="M2159" s="29">
        <v>61</v>
      </c>
      <c r="N2159" s="29">
        <v>64</v>
      </c>
      <c r="O2159" s="32">
        <v>461.5</v>
      </c>
      <c r="P2159" s="29" cm="1">
        <f t="array" ref="P2159">IF(表成绩单[[#This Row],[语文]]="","",SUMPRODUCT((表成绩单[考试日期]=表成绩单[[#This Row],[考试日期]])*(表成绩单[语文]&lt;9E+307)*(表成绩单[语文]&gt;表成绩单[[#This Row],[语文]]))+1)</f>
        <v>601</v>
      </c>
      <c r="Q2159" s="29" cm="1">
        <f t="array" ref="Q2159">IF(表成绩单[[#This Row],[数学]]="","",SUMPRODUCT((表成绩单[考试日期]=表成绩单[[#This Row],[考试日期]])*(表成绩单[数学]&lt;9E+307)*(表成绩单[数学]&gt;表成绩单[[#This Row],[数学]]))+1)</f>
        <v>521</v>
      </c>
      <c r="R2159" s="29" cm="1">
        <f t="array" ref="R2159">IF(表成绩单[[#This Row],[英语]]="","",SUMPRODUCT((表成绩单[考试日期]=表成绩单[[#This Row],[考试日期]])*(表成绩单[英语]&lt;9E+307)*(表成绩单[英语]&gt;表成绩单[[#This Row],[英语]]))+1)</f>
        <v>477</v>
      </c>
      <c r="S2159" s="29" cm="1">
        <f t="array" ref="S2159">IF(表成绩单[[#This Row],[物理]]="","",SUMPRODUCT((表成绩单[考试日期]=表成绩单[[#This Row],[考试日期]])*(表成绩单[物理]&lt;9E+307)*(表成绩单[物理]&gt;表成绩单[[#This Row],[物理]]))+1)</f>
        <v>482</v>
      </c>
      <c r="T2159" s="29" cm="1">
        <f t="array" ref="T2159">IF(表成绩单[[#This Row],[化学]]="","",SUMPRODUCT((表成绩单[考试日期]=表成绩单[[#This Row],[考试日期]])*(表成绩单[化学]&lt;9E+307)*(表成绩单[化学]&gt;表成绩单[[#This Row],[化学]]))+1)</f>
        <v>638</v>
      </c>
      <c r="U2159" s="29" cm="1">
        <f t="array" ref="U2159">IF(表成绩单[[#This Row],[政治]]="","",SUMPRODUCT((表成绩单[考试日期]=表成绩单[[#This Row],[考试日期]])*(表成绩单[政治]&lt;9E+307)*(表成绩单[政治]&gt;表成绩单[[#This Row],[政治]]))+1)</f>
        <v>530</v>
      </c>
      <c r="V2159" s="29" cm="1">
        <f t="array" ref="V2159">IF(表成绩单[[#This Row],[历史]]="","",SUMPRODUCT((表成绩单[考试日期]=表成绩单[[#This Row],[考试日期]])*(表成绩单[历史]&lt;9E+307)*(表成绩单[历史]&gt;表成绩单[[#This Row],[历史]]))+1)</f>
        <v>509</v>
      </c>
      <c r="W2159" s="29" cm="1">
        <f t="array" ref="W2159">IF(表成绩单[[#This Row],[总分]]="","",SUMPRODUCT((表成绩单[考试日期]=表成绩单[[#This Row],[考试日期]])*(表成绩单[总分]&lt;9E+307)*(表成绩单[总分]&gt;表成绩单[[#This Row],[总分]]))+1)</f>
        <v>553</v>
      </c>
    </row>
    <row r="2160" ht="28" customHeight="1" spans="4:23">
      <c r="D2160" s="31">
        <v>46030</v>
      </c>
      <c r="E2160" s="29">
        <v>19173276</v>
      </c>
      <c r="F2160" s="29" t="s">
        <v>61</v>
      </c>
      <c r="G2160" s="29" t="s">
        <v>620</v>
      </c>
      <c r="H2160" s="29">
        <v>93</v>
      </c>
      <c r="I2160" s="29">
        <v>77</v>
      </c>
      <c r="J2160" s="29">
        <v>58</v>
      </c>
      <c r="K2160" s="29">
        <v>53</v>
      </c>
      <c r="L2160" s="29">
        <v>61</v>
      </c>
      <c r="M2160" s="29">
        <v>46</v>
      </c>
      <c r="N2160" s="29">
        <v>73</v>
      </c>
      <c r="O2160" s="32">
        <v>461</v>
      </c>
      <c r="P2160" s="29" cm="1">
        <f t="array" ref="P2160">IF(表成绩单[[#This Row],[语文]]="","",SUMPRODUCT((表成绩单[考试日期]=表成绩单[[#This Row],[考试日期]])*(表成绩单[语文]&lt;9E+307)*(表成绩单[语文]&gt;表成绩单[[#This Row],[语文]]))+1)</f>
        <v>412</v>
      </c>
      <c r="Q2160" s="29" cm="1">
        <f t="array" ref="Q2160">IF(表成绩单[[#This Row],[数学]]="","",SUMPRODUCT((表成绩单[考试日期]=表成绩单[[#This Row],[考试日期]])*(表成绩单[数学]&lt;9E+307)*(表成绩单[数学]&gt;表成绩单[[#This Row],[数学]]))+1)</f>
        <v>478</v>
      </c>
      <c r="R2160" s="29" cm="1">
        <f t="array" ref="R2160">IF(表成绩单[[#This Row],[英语]]="","",SUMPRODUCT((表成绩单[考试日期]=表成绩单[[#This Row],[考试日期]])*(表成绩单[英语]&lt;9E+307)*(表成绩单[英语]&gt;表成绩单[[#This Row],[英语]]))+1)</f>
        <v>556</v>
      </c>
      <c r="S2160" s="29" cm="1">
        <f t="array" ref="S2160">IF(表成绩单[[#This Row],[物理]]="","",SUMPRODUCT((表成绩单[考试日期]=表成绩单[[#This Row],[考试日期]])*(表成绩单[物理]&lt;9E+307)*(表成绩单[物理]&gt;表成绩单[[#This Row],[物理]]))+1)</f>
        <v>578</v>
      </c>
      <c r="T2160" s="29" cm="1">
        <f t="array" ref="T2160">IF(表成绩单[[#This Row],[化学]]="","",SUMPRODUCT((表成绩单[考试日期]=表成绩单[[#This Row],[考试日期]])*(表成绩单[化学]&lt;9E+307)*(表成绩单[化学]&gt;表成绩单[[#This Row],[化学]]))+1)</f>
        <v>508</v>
      </c>
      <c r="U2160" s="29" cm="1">
        <f t="array" ref="U2160">IF(表成绩单[[#This Row],[政治]]="","",SUMPRODUCT((表成绩单[考试日期]=表成绩单[[#This Row],[考试日期]])*(表成绩单[政治]&lt;9E+307)*(表成绩单[政治]&gt;表成绩单[[#This Row],[政治]]))+1)</f>
        <v>692</v>
      </c>
      <c r="V2160" s="29" cm="1">
        <f t="array" ref="V2160">IF(表成绩单[[#This Row],[历史]]="","",SUMPRODUCT((表成绩单[考试日期]=表成绩单[[#This Row],[考试日期]])*(表成绩单[历史]&lt;9E+307)*(表成绩单[历史]&gt;表成绩单[[#This Row],[历史]]))+1)</f>
        <v>240</v>
      </c>
      <c r="W2160" s="29" cm="1">
        <f t="array" ref="W2160">IF(表成绩单[[#This Row],[总分]]="","",SUMPRODUCT((表成绩单[考试日期]=表成绩单[[#This Row],[考试日期]])*(表成绩单[总分]&lt;9E+307)*(表成绩单[总分]&gt;表成绩单[[#This Row],[总分]]))+1)</f>
        <v>554</v>
      </c>
    </row>
    <row r="2161" ht="28" customHeight="1" spans="4:23">
      <c r="D2161" s="31">
        <v>46030</v>
      </c>
      <c r="E2161" s="29">
        <v>19175641</v>
      </c>
      <c r="F2161" s="29" t="s">
        <v>66</v>
      </c>
      <c r="G2161" s="29" t="s">
        <v>632</v>
      </c>
      <c r="H2161" s="29">
        <v>94</v>
      </c>
      <c r="I2161" s="29">
        <v>68</v>
      </c>
      <c r="J2161" s="29">
        <v>56</v>
      </c>
      <c r="K2161" s="29">
        <v>65</v>
      </c>
      <c r="L2161" s="29">
        <v>55</v>
      </c>
      <c r="M2161" s="29">
        <v>54</v>
      </c>
      <c r="N2161" s="29">
        <v>69</v>
      </c>
      <c r="O2161" s="32">
        <v>461</v>
      </c>
      <c r="P2161" s="29" cm="1">
        <f t="array" ref="P2161">IF(表成绩单[[#This Row],[语文]]="","",SUMPRODUCT((表成绩单[考试日期]=表成绩单[[#This Row],[考试日期]])*(表成绩单[语文]&lt;9E+307)*(表成绩单[语文]&gt;表成绩单[[#This Row],[语文]]))+1)</f>
        <v>381</v>
      </c>
      <c r="Q2161" s="29" cm="1">
        <f t="array" ref="Q2161">IF(表成绩单[[#This Row],[数学]]="","",SUMPRODUCT((表成绩单[考试日期]=表成绩单[[#This Row],[考试日期]])*(表成绩单[数学]&lt;9E+307)*(表成绩单[数学]&gt;表成绩单[[#This Row],[数学]]))+1)</f>
        <v>608</v>
      </c>
      <c r="R2161" s="29" cm="1">
        <f t="array" ref="R2161">IF(表成绩单[[#This Row],[英语]]="","",SUMPRODUCT((表成绩单[考试日期]=表成绩单[[#This Row],[考试日期]])*(表成绩单[英语]&lt;9E+307)*(表成绩单[英语]&gt;表成绩单[[#This Row],[英语]]))+1)</f>
        <v>582</v>
      </c>
      <c r="S2161" s="29" cm="1">
        <f t="array" ref="S2161">IF(表成绩单[[#This Row],[物理]]="","",SUMPRODUCT((表成绩单[考试日期]=表成绩单[[#This Row],[考试日期]])*(表成绩单[物理]&lt;9E+307)*(表成绩单[物理]&gt;表成绩单[[#This Row],[物理]]))+1)</f>
        <v>427</v>
      </c>
      <c r="T2161" s="29" cm="1">
        <f t="array" ref="T2161">IF(表成绩单[[#This Row],[化学]]="","",SUMPRODUCT((表成绩单[考试日期]=表成绩单[[#This Row],[考试日期]])*(表成绩单[化学]&lt;9E+307)*(表成绩单[化学]&gt;表成绩单[[#This Row],[化学]]))+1)</f>
        <v>593</v>
      </c>
      <c r="U2161" s="29" cm="1">
        <f t="array" ref="U2161">IF(表成绩单[[#This Row],[政治]]="","",SUMPRODUCT((表成绩单[考试日期]=表成绩单[[#This Row],[考试日期]])*(表成绩单[政治]&lt;9E+307)*(表成绩单[政治]&gt;表成绩单[[#This Row],[政治]]))+1)</f>
        <v>621</v>
      </c>
      <c r="V2161" s="29" cm="1">
        <f t="array" ref="V2161">IF(表成绩单[[#This Row],[历史]]="","",SUMPRODUCT((表成绩单[考试日期]=表成绩单[[#This Row],[考试日期]])*(表成绩单[历史]&lt;9E+307)*(表成绩单[历史]&gt;表成绩单[[#This Row],[历史]]))+1)</f>
        <v>366</v>
      </c>
      <c r="W2161" s="29" cm="1">
        <f t="array" ref="W2161">IF(表成绩单[[#This Row],[总分]]="","",SUMPRODUCT((表成绩单[考试日期]=表成绩单[[#This Row],[考试日期]])*(表成绩单[总分]&lt;9E+307)*(表成绩单[总分]&gt;表成绩单[[#This Row],[总分]]))+1)</f>
        <v>554</v>
      </c>
    </row>
    <row r="2162" ht="28" customHeight="1" spans="4:23">
      <c r="D2162" s="31">
        <v>46030</v>
      </c>
      <c r="E2162" s="29">
        <v>19173266</v>
      </c>
      <c r="F2162" s="29" t="s">
        <v>61</v>
      </c>
      <c r="G2162" s="29" t="s">
        <v>623</v>
      </c>
      <c r="H2162" s="29">
        <v>92</v>
      </c>
      <c r="I2162" s="29">
        <v>73</v>
      </c>
      <c r="J2162" s="29">
        <v>57.5</v>
      </c>
      <c r="K2162" s="29">
        <v>54</v>
      </c>
      <c r="L2162" s="29">
        <v>58</v>
      </c>
      <c r="M2162" s="29">
        <v>68</v>
      </c>
      <c r="N2162" s="29">
        <v>58</v>
      </c>
      <c r="O2162" s="32">
        <v>460.5</v>
      </c>
      <c r="P2162" s="29" cm="1">
        <f t="array" ref="P2162">IF(表成绩单[[#This Row],[语文]]="","",SUMPRODUCT((表成绩单[考试日期]=表成绩单[[#This Row],[考试日期]])*(表成绩单[语文]&lt;9E+307)*(表成绩单[语文]&gt;表成绩单[[#This Row],[语文]]))+1)</f>
        <v>444</v>
      </c>
      <c r="Q2162" s="29" cm="1">
        <f t="array" ref="Q2162">IF(表成绩单[[#This Row],[数学]]="","",SUMPRODUCT((表成绩单[考试日期]=表成绩单[[#This Row],[考试日期]])*(表成绩单[数学]&lt;9E+307)*(表成绩单[数学]&gt;表成绩单[[#This Row],[数学]]))+1)</f>
        <v>547</v>
      </c>
      <c r="R2162" s="29" cm="1">
        <f t="array" ref="R2162">IF(表成绩单[[#This Row],[英语]]="","",SUMPRODUCT((表成绩单[考试日期]=表成绩单[[#This Row],[考试日期]])*(表成绩单[英语]&lt;9E+307)*(表成绩单[英语]&gt;表成绩单[[#This Row],[英语]]))+1)</f>
        <v>566</v>
      </c>
      <c r="S2162" s="29" cm="1">
        <f t="array" ref="S2162">IF(表成绩单[[#This Row],[物理]]="","",SUMPRODUCT((表成绩单[考试日期]=表成绩单[[#This Row],[考试日期]])*(表成绩单[物理]&lt;9E+307)*(表成绩单[物理]&gt;表成绩单[[#This Row],[物理]]))+1)</f>
        <v>568</v>
      </c>
      <c r="T2162" s="29" cm="1">
        <f t="array" ref="T2162">IF(表成绩单[[#This Row],[化学]]="","",SUMPRODUCT((表成绩单[考试日期]=表成绩单[[#This Row],[考试日期]])*(表成绩单[化学]&lt;9E+307)*(表成绩单[化学]&gt;表成绩单[[#This Row],[化学]]))+1)</f>
        <v>558</v>
      </c>
      <c r="U2162" s="29" cm="1">
        <f t="array" ref="U2162">IF(表成绩单[[#This Row],[政治]]="","",SUMPRODUCT((表成绩单[考试日期]=表成绩单[[#This Row],[考试日期]])*(表成绩单[政治]&lt;9E+307)*(表成绩单[政治]&gt;表成绩单[[#This Row],[政治]]))+1)</f>
        <v>336</v>
      </c>
      <c r="V2162" s="29" cm="1">
        <f t="array" ref="V2162">IF(表成绩单[[#This Row],[历史]]="","",SUMPRODUCT((表成绩单[考试日期]=表成绩单[[#This Row],[考试日期]])*(表成绩单[历史]&lt;9E+307)*(表成绩单[历史]&gt;表成绩单[[#This Row],[历史]]))+1)</f>
        <v>620</v>
      </c>
      <c r="W2162" s="29" cm="1">
        <f t="array" ref="W2162">IF(表成绩单[[#This Row],[总分]]="","",SUMPRODUCT((表成绩单[考试日期]=表成绩单[[#This Row],[考试日期]])*(表成绩单[总分]&lt;9E+307)*(表成绩单[总分]&gt;表成绩单[[#This Row],[总分]]))+1)</f>
        <v>556</v>
      </c>
    </row>
    <row r="2163" ht="28" customHeight="1" spans="4:23">
      <c r="D2163" s="31">
        <v>46030</v>
      </c>
      <c r="E2163" s="29">
        <v>19175327</v>
      </c>
      <c r="F2163" s="29" t="s">
        <v>55</v>
      </c>
      <c r="G2163" s="29" t="s">
        <v>636</v>
      </c>
      <c r="H2163" s="29">
        <v>98</v>
      </c>
      <c r="I2163" s="29">
        <v>70</v>
      </c>
      <c r="J2163" s="29">
        <v>49.5</v>
      </c>
      <c r="K2163" s="29">
        <v>54</v>
      </c>
      <c r="L2163" s="29">
        <v>53</v>
      </c>
      <c r="M2163" s="29">
        <v>69</v>
      </c>
      <c r="N2163" s="29">
        <v>67</v>
      </c>
      <c r="O2163" s="32">
        <v>460.5</v>
      </c>
      <c r="P2163" s="29" cm="1">
        <f t="array" ref="P2163">IF(表成绩单[[#This Row],[语文]]="","",SUMPRODUCT((表成绩单[考试日期]=表成绩单[[#This Row],[考试日期]])*(表成绩单[语文]&lt;9E+307)*(表成绩单[语文]&gt;表成绩单[[#This Row],[语文]]))+1)</f>
        <v>248</v>
      </c>
      <c r="Q2163" s="29" cm="1">
        <f t="array" ref="Q2163">IF(表成绩单[[#This Row],[数学]]="","",SUMPRODUCT((表成绩单[考试日期]=表成绩单[[#This Row],[考试日期]])*(表成绩单[数学]&lt;9E+307)*(表成绩单[数学]&gt;表成绩单[[#This Row],[数学]]))+1)</f>
        <v>590</v>
      </c>
      <c r="R2163" s="29" cm="1">
        <f t="array" ref="R2163">IF(表成绩单[[#This Row],[英语]]="","",SUMPRODUCT((表成绩单[考试日期]=表成绩单[[#This Row],[考试日期]])*(表成绩单[英语]&lt;9E+307)*(表成绩单[英语]&gt;表成绩单[[#This Row],[英语]]))+1)</f>
        <v>651</v>
      </c>
      <c r="S2163" s="29" cm="1">
        <f t="array" ref="S2163">IF(表成绩单[[#This Row],[物理]]="","",SUMPRODUCT((表成绩单[考试日期]=表成绩单[[#This Row],[考试日期]])*(表成绩单[物理]&lt;9E+307)*(表成绩单[物理]&gt;表成绩单[[#This Row],[物理]]))+1)</f>
        <v>568</v>
      </c>
      <c r="T2163" s="29" cm="1">
        <f t="array" ref="T2163">IF(表成绩单[[#This Row],[化学]]="","",SUMPRODUCT((表成绩单[考试日期]=表成绩单[[#This Row],[考试日期]])*(表成绩单[化学]&lt;9E+307)*(表成绩单[化学]&gt;表成绩单[[#This Row],[化学]]))+1)</f>
        <v>623</v>
      </c>
      <c r="U2163" s="29" cm="1">
        <f t="array" ref="U2163">IF(表成绩单[[#This Row],[政治]]="","",SUMPRODUCT((表成绩单[考试日期]=表成绩单[[#This Row],[考试日期]])*(表成绩单[政治]&lt;9E+307)*(表成绩单[政治]&gt;表成绩单[[#This Row],[政治]]))+1)</f>
        <v>308</v>
      </c>
      <c r="V2163" s="29" cm="1">
        <f t="array" ref="V2163">IF(表成绩单[[#This Row],[历史]]="","",SUMPRODUCT((表成绩单[考试日期]=表成绩单[[#This Row],[考试日期]])*(表成绩单[历史]&lt;9E+307)*(表成绩单[历史]&gt;表成绩单[[#This Row],[历史]]))+1)</f>
        <v>415</v>
      </c>
      <c r="W2163" s="29" cm="1">
        <f t="array" ref="W2163">IF(表成绩单[[#This Row],[总分]]="","",SUMPRODUCT((表成绩单[考试日期]=表成绩单[[#This Row],[考试日期]])*(表成绩单[总分]&lt;9E+307)*(表成绩单[总分]&gt;表成绩单[[#This Row],[总分]]))+1)</f>
        <v>556</v>
      </c>
    </row>
    <row r="2164" ht="28" customHeight="1" spans="4:23">
      <c r="D2164" s="31">
        <v>46030</v>
      </c>
      <c r="E2164" s="29">
        <v>19176020</v>
      </c>
      <c r="F2164" s="29" t="s">
        <v>59</v>
      </c>
      <c r="G2164" s="29" t="s">
        <v>589</v>
      </c>
      <c r="H2164" s="29">
        <v>84</v>
      </c>
      <c r="I2164" s="29">
        <v>73</v>
      </c>
      <c r="J2164" s="29">
        <v>58.5</v>
      </c>
      <c r="K2164" s="29">
        <v>60</v>
      </c>
      <c r="L2164" s="29">
        <v>53</v>
      </c>
      <c r="M2164" s="29">
        <v>70</v>
      </c>
      <c r="N2164" s="29">
        <v>62</v>
      </c>
      <c r="O2164" s="32">
        <v>460.5</v>
      </c>
      <c r="P2164" s="29" cm="1">
        <f t="array" ref="P2164">IF(表成绩单[[#This Row],[语文]]="","",SUMPRODUCT((表成绩单[考试日期]=表成绩单[[#This Row],[考试日期]])*(表成绩单[语文]&lt;9E+307)*(表成绩单[语文]&gt;表成绩单[[#This Row],[语文]]))+1)</f>
        <v>635</v>
      </c>
      <c r="Q2164" s="29" cm="1">
        <f t="array" ref="Q2164">IF(表成绩单[[#This Row],[数学]]="","",SUMPRODUCT((表成绩单[考试日期]=表成绩单[[#This Row],[考试日期]])*(表成绩单[数学]&lt;9E+307)*(表成绩单[数学]&gt;表成绩单[[#This Row],[数学]]))+1)</f>
        <v>547</v>
      </c>
      <c r="R2164" s="29" cm="1">
        <f t="array" ref="R2164">IF(表成绩单[[#This Row],[英语]]="","",SUMPRODUCT((表成绩单[考试日期]=表成绩单[[#This Row],[考试日期]])*(表成绩单[英语]&lt;9E+307)*(表成绩单[英语]&gt;表成绩单[[#This Row],[英语]]))+1)</f>
        <v>545</v>
      </c>
      <c r="S2164" s="29" cm="1">
        <f t="array" ref="S2164">IF(表成绩单[[#This Row],[物理]]="","",SUMPRODUCT((表成绩单[考试日期]=表成绩单[[#This Row],[考试日期]])*(表成绩单[物理]&lt;9E+307)*(表成绩单[物理]&gt;表成绩单[[#This Row],[物理]]))+1)</f>
        <v>499</v>
      </c>
      <c r="T2164" s="29" cm="1">
        <f t="array" ref="T2164">IF(表成绩单[[#This Row],[化学]]="","",SUMPRODUCT((表成绩单[考试日期]=表成绩单[[#This Row],[考试日期]])*(表成绩单[化学]&lt;9E+307)*(表成绩单[化学]&gt;表成绩单[[#This Row],[化学]]))+1)</f>
        <v>623</v>
      </c>
      <c r="U2164" s="29" cm="1">
        <f t="array" ref="U2164">IF(表成绩单[[#This Row],[政治]]="","",SUMPRODUCT((表成绩单[考试日期]=表成绩单[[#This Row],[考试日期]])*(表成绩单[政治]&lt;9E+307)*(表成绩单[政治]&gt;表成绩单[[#This Row],[政治]]))+1)</f>
        <v>274</v>
      </c>
      <c r="V2164" s="29" cm="1">
        <f t="array" ref="V2164">IF(表成绩单[[#This Row],[历史]]="","",SUMPRODUCT((表成绩单[考试日期]=表成绩单[[#This Row],[考试日期]])*(表成绩单[历史]&lt;9E+307)*(表成绩单[历史]&gt;表成绩单[[#This Row],[历史]]))+1)</f>
        <v>545</v>
      </c>
      <c r="W2164" s="29" cm="1">
        <f t="array" ref="W2164">IF(表成绩单[[#This Row],[总分]]="","",SUMPRODUCT((表成绩单[考试日期]=表成绩单[[#This Row],[考试日期]])*(表成绩单[总分]&lt;9E+307)*(表成绩单[总分]&gt;表成绩单[[#This Row],[总分]]))+1)</f>
        <v>556</v>
      </c>
    </row>
    <row r="2165" ht="28" customHeight="1" spans="4:23">
      <c r="D2165" s="31">
        <v>46030</v>
      </c>
      <c r="E2165" s="29">
        <v>19175322</v>
      </c>
      <c r="F2165" s="29" t="s">
        <v>55</v>
      </c>
      <c r="G2165" s="29" t="s">
        <v>562</v>
      </c>
      <c r="H2165" s="29">
        <v>94</v>
      </c>
      <c r="I2165" s="29">
        <v>65</v>
      </c>
      <c r="J2165" s="29">
        <v>52</v>
      </c>
      <c r="K2165" s="29">
        <v>68</v>
      </c>
      <c r="L2165" s="29">
        <v>59</v>
      </c>
      <c r="M2165" s="29">
        <v>70</v>
      </c>
      <c r="N2165" s="29">
        <v>52</v>
      </c>
      <c r="O2165" s="32">
        <v>460</v>
      </c>
      <c r="P2165" s="29" cm="1">
        <f t="array" ref="P2165">IF(表成绩单[[#This Row],[语文]]="","",SUMPRODUCT((表成绩单[考试日期]=表成绩单[[#This Row],[考试日期]])*(表成绩单[语文]&lt;9E+307)*(表成绩单[语文]&gt;表成绩单[[#This Row],[语文]]))+1)</f>
        <v>381</v>
      </c>
      <c r="Q2165" s="29" cm="1">
        <f t="array" ref="Q2165">IF(表成绩单[[#This Row],[数学]]="","",SUMPRODUCT((表成绩单[考试日期]=表成绩单[[#This Row],[考试日期]])*(表成绩单[数学]&lt;9E+307)*(表成绩单[数学]&gt;表成绩单[[#This Row],[数学]]))+1)</f>
        <v>640</v>
      </c>
      <c r="R2165" s="29" cm="1">
        <f t="array" ref="R2165">IF(表成绩单[[#This Row],[英语]]="","",SUMPRODUCT((表成绩单[考试日期]=表成绩单[[#This Row],[考试日期]])*(表成绩单[英语]&lt;9E+307)*(表成绩单[英语]&gt;表成绩单[[#This Row],[英语]]))+1)</f>
        <v>624</v>
      </c>
      <c r="S2165" s="29" cm="1">
        <f t="array" ref="S2165">IF(表成绩单[[#This Row],[物理]]="","",SUMPRODUCT((表成绩单[考试日期]=表成绩单[[#This Row],[考试日期]])*(表成绩单[物理]&lt;9E+307)*(表成绩单[物理]&gt;表成绩单[[#This Row],[物理]]))+1)</f>
        <v>372</v>
      </c>
      <c r="T2165" s="29" cm="1">
        <f t="array" ref="T2165">IF(表成绩单[[#This Row],[化学]]="","",SUMPRODUCT((表成绩单[考试日期]=表成绩单[[#This Row],[考试日期]])*(表成绩单[化学]&lt;9E+307)*(表成绩单[化学]&gt;表成绩单[[#This Row],[化学]]))+1)</f>
        <v>540</v>
      </c>
      <c r="U2165" s="29" cm="1">
        <f t="array" ref="U2165">IF(表成绩单[[#This Row],[政治]]="","",SUMPRODUCT((表成绩单[考试日期]=表成绩单[[#This Row],[考试日期]])*(表成绩单[政治]&lt;9E+307)*(表成绩单[政治]&gt;表成绩单[[#This Row],[政治]]))+1)</f>
        <v>274</v>
      </c>
      <c r="V2165" s="29" cm="1">
        <f t="array" ref="V2165">IF(表成绩单[[#This Row],[历史]]="","",SUMPRODUCT((表成绩单[考试日期]=表成绩单[[#This Row],[考试日期]])*(表成绩单[历史]&lt;9E+307)*(表成绩单[历史]&gt;表成绩单[[#This Row],[历史]]))+1)</f>
        <v>701</v>
      </c>
      <c r="W2165" s="29" cm="1">
        <f t="array" ref="W2165">IF(表成绩单[[#This Row],[总分]]="","",SUMPRODUCT((表成绩单[考试日期]=表成绩单[[#This Row],[考试日期]])*(表成绩单[总分]&lt;9E+307)*(表成绩单[总分]&gt;表成绩单[[#This Row],[总分]]))+1)</f>
        <v>559</v>
      </c>
    </row>
    <row r="2166" ht="28" customHeight="1" spans="4:23">
      <c r="D2166" s="31">
        <v>46030</v>
      </c>
      <c r="E2166" s="29">
        <v>19175415</v>
      </c>
      <c r="F2166" s="29" t="s">
        <v>74</v>
      </c>
      <c r="G2166" s="29" t="s">
        <v>488</v>
      </c>
      <c r="H2166" s="29">
        <v>88</v>
      </c>
      <c r="I2166" s="29">
        <v>68</v>
      </c>
      <c r="J2166" s="29">
        <v>60</v>
      </c>
      <c r="K2166" s="29">
        <v>42</v>
      </c>
      <c r="L2166" s="29">
        <v>70</v>
      </c>
      <c r="M2166" s="29">
        <v>61</v>
      </c>
      <c r="N2166" s="29">
        <v>71</v>
      </c>
      <c r="O2166" s="32">
        <v>460</v>
      </c>
      <c r="P2166" s="29" cm="1">
        <f t="array" ref="P2166">IF(表成绩单[[#This Row],[语文]]="","",SUMPRODUCT((表成绩单[考试日期]=表成绩单[[#This Row],[考试日期]])*(表成绩单[语文]&lt;9E+307)*(表成绩单[语文]&gt;表成绩单[[#This Row],[语文]]))+1)</f>
        <v>562</v>
      </c>
      <c r="Q2166" s="29" cm="1">
        <f t="array" ref="Q2166">IF(表成绩单[[#This Row],[数学]]="","",SUMPRODUCT((表成绩单[考试日期]=表成绩单[[#This Row],[考试日期]])*(表成绩单[数学]&lt;9E+307)*(表成绩单[数学]&gt;表成绩单[[#This Row],[数学]]))+1)</f>
        <v>608</v>
      </c>
      <c r="R2166" s="29" cm="1">
        <f t="array" ref="R2166">IF(表成绩单[[#This Row],[英语]]="","",SUMPRODUCT((表成绩单[考试日期]=表成绩单[[#This Row],[考试日期]])*(表成绩单[英语]&lt;9E+307)*(表成绩单[英语]&gt;表成绩单[[#This Row],[英语]]))+1)</f>
        <v>524</v>
      </c>
      <c r="S2166" s="29" cm="1">
        <f t="array" ref="S2166">IF(表成绩单[[#This Row],[物理]]="","",SUMPRODUCT((表成绩单[考试日期]=表成绩单[[#This Row],[考试日期]])*(表成绩单[物理]&lt;9E+307)*(表成绩单[物理]&gt;表成绩单[[#This Row],[物理]]))+1)</f>
        <v>681</v>
      </c>
      <c r="T2166" s="29" cm="1">
        <f t="array" ref="T2166">IF(表成绩单[[#This Row],[化学]]="","",SUMPRODUCT((表成绩单[考试日期]=表成绩单[[#This Row],[考试日期]])*(表成绩单[化学]&lt;9E+307)*(表成绩单[化学]&gt;表成绩单[[#This Row],[化学]]))+1)</f>
        <v>318</v>
      </c>
      <c r="U2166" s="29" cm="1">
        <f t="array" ref="U2166">IF(表成绩单[[#This Row],[政治]]="","",SUMPRODUCT((表成绩单[考试日期]=表成绩单[[#This Row],[考试日期]])*(表成绩单[政治]&lt;9E+307)*(表成绩单[政治]&gt;表成绩单[[#This Row],[政治]]))+1)</f>
        <v>530</v>
      </c>
      <c r="V2166" s="29" cm="1">
        <f t="array" ref="V2166">IF(表成绩单[[#This Row],[历史]]="","",SUMPRODUCT((表成绩单[考试日期]=表成绩单[[#This Row],[考试日期]])*(表成绩单[历史]&lt;9E+307)*(表成绩单[历史]&gt;表成绩单[[#This Row],[历史]]))+1)</f>
        <v>297</v>
      </c>
      <c r="W2166" s="29" cm="1">
        <f t="array" ref="W2166">IF(表成绩单[[#This Row],[总分]]="","",SUMPRODUCT((表成绩单[考试日期]=表成绩单[[#This Row],[考试日期]])*(表成绩单[总分]&lt;9E+307)*(表成绩单[总分]&gt;表成绩单[[#This Row],[总分]]))+1)</f>
        <v>559</v>
      </c>
    </row>
    <row r="2167" ht="28" customHeight="1" spans="4:23">
      <c r="D2167" s="31">
        <v>46030</v>
      </c>
      <c r="E2167" s="29">
        <v>19178608</v>
      </c>
      <c r="F2167" s="29" t="s">
        <v>64</v>
      </c>
      <c r="G2167" s="29" t="s">
        <v>634</v>
      </c>
      <c r="H2167" s="29">
        <v>81</v>
      </c>
      <c r="I2167" s="29">
        <v>75</v>
      </c>
      <c r="J2167" s="29">
        <v>61</v>
      </c>
      <c r="K2167" s="29">
        <v>57</v>
      </c>
      <c r="L2167" s="29">
        <v>61</v>
      </c>
      <c r="M2167" s="29">
        <v>65</v>
      </c>
      <c r="N2167" s="29">
        <v>60</v>
      </c>
      <c r="O2167" s="32">
        <v>460</v>
      </c>
      <c r="P2167" s="29" cm="1">
        <f t="array" ref="P2167">IF(表成绩单[[#This Row],[语文]]="","",SUMPRODUCT((表成绩单[考试日期]=表成绩单[[#This Row],[考试日期]])*(表成绩单[语文]&lt;9E+307)*(表成绩单[语文]&gt;表成绩单[[#This Row],[语文]]))+1)</f>
        <v>668</v>
      </c>
      <c r="Q2167" s="29" cm="1">
        <f t="array" ref="Q2167">IF(表成绩单[[#This Row],[数学]]="","",SUMPRODUCT((表成绩单[考试日期]=表成绩单[[#This Row],[考试日期]])*(表成绩单[数学]&lt;9E+307)*(表成绩单[数学]&gt;表成绩单[[#This Row],[数学]]))+1)</f>
        <v>521</v>
      </c>
      <c r="R2167" s="29" cm="1">
        <f t="array" ref="R2167">IF(表成绩单[[#This Row],[英语]]="","",SUMPRODUCT((表成绩单[考试日期]=表成绩单[[#This Row],[考试日期]])*(表成绩单[英语]&lt;9E+307)*(表成绩单[英语]&gt;表成绩单[[#This Row],[英语]]))+1)</f>
        <v>507</v>
      </c>
      <c r="S2167" s="29" cm="1">
        <f t="array" ref="S2167">IF(表成绩单[[#This Row],[物理]]="","",SUMPRODUCT((表成绩单[考试日期]=表成绩单[[#This Row],[考试日期]])*(表成绩单[物理]&lt;9E+307)*(表成绩单[物理]&gt;表成绩单[[#This Row],[物理]]))+1)</f>
        <v>539</v>
      </c>
      <c r="T2167" s="29" cm="1">
        <f t="array" ref="T2167">IF(表成绩单[[#This Row],[化学]]="","",SUMPRODUCT((表成绩单[考试日期]=表成绩单[[#This Row],[考试日期]])*(表成绩单[化学]&lt;9E+307)*(表成绩单[化学]&gt;表成绩单[[#This Row],[化学]]))+1)</f>
        <v>508</v>
      </c>
      <c r="U2167" s="29" cm="1">
        <f t="array" ref="U2167">IF(表成绩单[[#This Row],[政治]]="","",SUMPRODUCT((表成绩单[考试日期]=表成绩单[[#This Row],[考试日期]])*(表成绩单[政治]&lt;9E+307)*(表成绩单[政治]&gt;表成绩单[[#This Row],[政治]]))+1)</f>
        <v>431</v>
      </c>
      <c r="V2167" s="29" cm="1">
        <f t="array" ref="V2167">IF(表成绩单[[#This Row],[历史]]="","",SUMPRODUCT((表成绩单[考试日期]=表成绩单[[#This Row],[考试日期]])*(表成绩单[历史]&lt;9E+307)*(表成绩单[历史]&gt;表成绩单[[#This Row],[历史]]))+1)</f>
        <v>579</v>
      </c>
      <c r="W2167" s="29" cm="1">
        <f t="array" ref="W2167">IF(表成绩单[[#This Row],[总分]]="","",SUMPRODUCT((表成绩单[考试日期]=表成绩单[[#This Row],[考试日期]])*(表成绩单[总分]&lt;9E+307)*(表成绩单[总分]&gt;表成绩单[[#This Row],[总分]]))+1)</f>
        <v>559</v>
      </c>
    </row>
    <row r="2168" ht="28" customHeight="1" spans="4:23">
      <c r="D2168" s="31">
        <v>46030</v>
      </c>
      <c r="E2168" s="29">
        <v>19177595</v>
      </c>
      <c r="F2168" s="29" t="s">
        <v>58</v>
      </c>
      <c r="G2168" s="29" t="s">
        <v>646</v>
      </c>
      <c r="H2168" s="29">
        <v>90</v>
      </c>
      <c r="I2168" s="29">
        <v>79</v>
      </c>
      <c r="J2168" s="29">
        <v>51.5</v>
      </c>
      <c r="K2168" s="29">
        <v>68</v>
      </c>
      <c r="L2168" s="29">
        <v>53</v>
      </c>
      <c r="M2168" s="29">
        <v>62</v>
      </c>
      <c r="N2168" s="29">
        <v>56</v>
      </c>
      <c r="O2168" s="32">
        <v>459.5</v>
      </c>
      <c r="P2168" s="29" cm="1">
        <f t="array" ref="P2168">IF(表成绩单[[#This Row],[语文]]="","",SUMPRODUCT((表成绩单[考试日期]=表成绩单[[#This Row],[考试日期]])*(表成绩单[语文]&lt;9E+307)*(表成绩单[语文]&gt;表成绩单[[#This Row],[语文]]))+1)</f>
        <v>509</v>
      </c>
      <c r="Q2168" s="29" cm="1">
        <f t="array" ref="Q2168">IF(表成绩单[[#This Row],[数学]]="","",SUMPRODUCT((表成绩单[考试日期]=表成绩单[[#This Row],[考试日期]])*(表成绩单[数学]&lt;9E+307)*(表成绩单[数学]&gt;表成绩单[[#This Row],[数学]]))+1)</f>
        <v>427</v>
      </c>
      <c r="R2168" s="29" cm="1">
        <f t="array" ref="R2168">IF(表成绩单[[#This Row],[英语]]="","",SUMPRODUCT((表成绩单[考试日期]=表成绩单[[#This Row],[考试日期]])*(表成绩单[英语]&lt;9E+307)*(表成绩单[英语]&gt;表成绩单[[#This Row],[英语]]))+1)</f>
        <v>634</v>
      </c>
      <c r="S2168" s="29" cm="1">
        <f t="array" ref="S2168">IF(表成绩单[[#This Row],[物理]]="","",SUMPRODUCT((表成绩单[考试日期]=表成绩单[[#This Row],[考试日期]])*(表成绩单[物理]&lt;9E+307)*(表成绩单[物理]&gt;表成绩单[[#This Row],[物理]]))+1)</f>
        <v>372</v>
      </c>
      <c r="T2168" s="29" cm="1">
        <f t="array" ref="T2168">IF(表成绩单[[#This Row],[化学]]="","",SUMPRODUCT((表成绩单[考试日期]=表成绩单[[#This Row],[考试日期]])*(表成绩单[化学]&lt;9E+307)*(表成绩单[化学]&gt;表成绩单[[#This Row],[化学]]))+1)</f>
        <v>623</v>
      </c>
      <c r="U2168" s="29" cm="1">
        <f t="array" ref="U2168">IF(表成绩单[[#This Row],[政治]]="","",SUMPRODUCT((表成绩单[考试日期]=表成绩单[[#This Row],[考试日期]])*(表成绩单[政治]&lt;9E+307)*(表成绩单[政治]&gt;表成绩单[[#This Row],[政治]]))+1)</f>
        <v>508</v>
      </c>
      <c r="V2168" s="29" cm="1">
        <f t="array" ref="V2168">IF(表成绩单[[#This Row],[历史]]="","",SUMPRODUCT((表成绩单[考试日期]=表成绩单[[#This Row],[考试日期]])*(表成绩单[历史]&lt;9E+307)*(表成绩单[历史]&gt;表成绩单[[#This Row],[历史]]))+1)</f>
        <v>651</v>
      </c>
      <c r="W2168" s="29" cm="1">
        <f t="array" ref="W2168">IF(表成绩单[[#This Row],[总分]]="","",SUMPRODUCT((表成绩单[考试日期]=表成绩单[[#This Row],[考试日期]])*(表成绩单[总分]&lt;9E+307)*(表成绩单[总分]&gt;表成绩单[[#This Row],[总分]]))+1)</f>
        <v>562</v>
      </c>
    </row>
    <row r="2169" ht="28" customHeight="1" spans="4:23">
      <c r="D2169" s="31">
        <v>46030</v>
      </c>
      <c r="E2169" s="29">
        <v>19173760</v>
      </c>
      <c r="F2169" s="29" t="s">
        <v>65</v>
      </c>
      <c r="G2169" s="29" t="s">
        <v>588</v>
      </c>
      <c r="H2169" s="29">
        <v>91</v>
      </c>
      <c r="I2169" s="29">
        <v>75</v>
      </c>
      <c r="J2169" s="29">
        <v>63</v>
      </c>
      <c r="K2169" s="29">
        <v>56</v>
      </c>
      <c r="L2169" s="29">
        <v>50</v>
      </c>
      <c r="M2169" s="29">
        <v>62</v>
      </c>
      <c r="N2169" s="29">
        <v>62</v>
      </c>
      <c r="O2169" s="32">
        <v>459</v>
      </c>
      <c r="P2169" s="29" cm="1">
        <f t="array" ref="P2169">IF(表成绩单[[#This Row],[语文]]="","",SUMPRODUCT((表成绩单[考试日期]=表成绩单[[#This Row],[考试日期]])*(表成绩单[语文]&lt;9E+307)*(表成绩单[语文]&gt;表成绩单[[#This Row],[语文]]))+1)</f>
        <v>478</v>
      </c>
      <c r="Q2169" s="29" cm="1">
        <f t="array" ref="Q2169">IF(表成绩单[[#This Row],[数学]]="","",SUMPRODUCT((表成绩单[考试日期]=表成绩单[[#This Row],[考试日期]])*(表成绩单[数学]&lt;9E+307)*(表成绩单[数学]&gt;表成绩单[[#This Row],[数学]]))+1)</f>
        <v>521</v>
      </c>
      <c r="R2169" s="29" cm="1">
        <f t="array" ref="R2169">IF(表成绩单[[#This Row],[英语]]="","",SUMPRODUCT((表成绩单[考试日期]=表成绩单[[#This Row],[考试日期]])*(表成绩单[英语]&lt;9E+307)*(表成绩单[英语]&gt;表成绩单[[#This Row],[英语]]))+1)</f>
        <v>471</v>
      </c>
      <c r="S2169" s="29" cm="1">
        <f t="array" ref="S2169">IF(表成绩单[[#This Row],[物理]]="","",SUMPRODUCT((表成绩单[考试日期]=表成绩单[[#This Row],[考试日期]])*(表成绩单[物理]&lt;9E+307)*(表成绩单[物理]&gt;表成绩单[[#This Row],[物理]]))+1)</f>
        <v>552</v>
      </c>
      <c r="T2169" s="29" cm="1">
        <f t="array" ref="T2169">IF(表成绩单[[#This Row],[化学]]="","",SUMPRODUCT((表成绩单[考试日期]=表成绩单[[#This Row],[考试日期]])*(表成绩单[化学]&lt;9E+307)*(表成绩单[化学]&gt;表成绩单[[#This Row],[化学]]))+1)</f>
        <v>662</v>
      </c>
      <c r="U2169" s="29" cm="1">
        <f t="array" ref="U2169">IF(表成绩单[[#This Row],[政治]]="","",SUMPRODUCT((表成绩单[考试日期]=表成绩单[[#This Row],[考试日期]])*(表成绩单[政治]&lt;9E+307)*(表成绩单[政治]&gt;表成绩单[[#This Row],[政治]]))+1)</f>
        <v>508</v>
      </c>
      <c r="V2169" s="29" cm="1">
        <f t="array" ref="V2169">IF(表成绩单[[#This Row],[历史]]="","",SUMPRODUCT((表成绩单[考试日期]=表成绩单[[#This Row],[考试日期]])*(表成绩单[历史]&lt;9E+307)*(表成绩单[历史]&gt;表成绩单[[#This Row],[历史]]))+1)</f>
        <v>545</v>
      </c>
      <c r="W2169" s="29" cm="1">
        <f t="array" ref="W2169">IF(表成绩单[[#This Row],[总分]]="","",SUMPRODUCT((表成绩单[考试日期]=表成绩单[[#This Row],[考试日期]])*(表成绩单[总分]&lt;9E+307)*(表成绩单[总分]&gt;表成绩单[[#This Row],[总分]]))+1)</f>
        <v>563</v>
      </c>
    </row>
    <row r="2170" ht="28" customHeight="1" spans="4:23">
      <c r="D2170" s="31">
        <v>46030</v>
      </c>
      <c r="E2170" s="29">
        <v>19177644</v>
      </c>
      <c r="F2170" s="29" t="s">
        <v>63</v>
      </c>
      <c r="G2170" s="29" t="s">
        <v>598</v>
      </c>
      <c r="H2170" s="29">
        <v>87</v>
      </c>
      <c r="I2170" s="29">
        <v>83</v>
      </c>
      <c r="J2170" s="29">
        <v>47.5</v>
      </c>
      <c r="K2170" s="29">
        <v>63</v>
      </c>
      <c r="L2170" s="29">
        <v>50</v>
      </c>
      <c r="M2170" s="29">
        <v>63</v>
      </c>
      <c r="N2170" s="29">
        <v>65</v>
      </c>
      <c r="O2170" s="32">
        <v>458.5</v>
      </c>
      <c r="P2170" s="29" cm="1">
        <f t="array" ref="P2170">IF(表成绩单[[#This Row],[语文]]="","",SUMPRODUCT((表成绩单[考试日期]=表成绩单[[#This Row],[考试日期]])*(表成绩单[语文]&lt;9E+307)*(表成绩单[语文]&gt;表成绩单[[#This Row],[语文]]))+1)</f>
        <v>581</v>
      </c>
      <c r="Q2170" s="29" cm="1">
        <f t="array" ref="Q2170">IF(表成绩单[[#This Row],[数学]]="","",SUMPRODUCT((表成绩单[考试日期]=表成绩单[[#This Row],[考试日期]])*(表成绩单[数学]&lt;9E+307)*(表成绩单[数学]&gt;表成绩单[[#This Row],[数学]]))+1)</f>
        <v>360</v>
      </c>
      <c r="R2170" s="29" cm="1">
        <f t="array" ref="R2170">IF(表成绩单[[#This Row],[英语]]="","",SUMPRODUCT((表成绩单[考试日期]=表成绩单[[#This Row],[考试日期]])*(表成绩单[英语]&lt;9E+307)*(表成绩单[英语]&gt;表成绩单[[#This Row],[英语]]))+1)</f>
        <v>670</v>
      </c>
      <c r="S2170" s="29" cm="1">
        <f t="array" ref="S2170">IF(表成绩单[[#This Row],[物理]]="","",SUMPRODUCT((表成绩单[考试日期]=表成绩单[[#This Row],[考试日期]])*(表成绩单[物理]&lt;9E+307)*(表成绩单[物理]&gt;表成绩单[[#This Row],[物理]]))+1)</f>
        <v>459</v>
      </c>
      <c r="T2170" s="29" cm="1">
        <f t="array" ref="T2170">IF(表成绩单[[#This Row],[化学]]="","",SUMPRODUCT((表成绩单[考试日期]=表成绩单[[#This Row],[考试日期]])*(表成绩单[化学]&lt;9E+307)*(表成绩单[化学]&gt;表成绩单[[#This Row],[化学]]))+1)</f>
        <v>662</v>
      </c>
      <c r="U2170" s="29" cm="1">
        <f t="array" ref="U2170">IF(表成绩单[[#This Row],[政治]]="","",SUMPRODUCT((表成绩单[考试日期]=表成绩单[[#This Row],[考试日期]])*(表成绩单[政治]&lt;9E+307)*(表成绩单[政治]&gt;表成绩单[[#This Row],[政治]]))+1)</f>
        <v>486</v>
      </c>
      <c r="V2170" s="29" cm="1">
        <f t="array" ref="V2170">IF(表成绩单[[#This Row],[历史]]="","",SUMPRODUCT((表成绩单[考试日期]=表成绩单[[#This Row],[考试日期]])*(表成绩单[历史]&lt;9E+307)*(表成绩单[历史]&gt;表成绩单[[#This Row],[历史]]))+1)</f>
        <v>471</v>
      </c>
      <c r="W2170" s="29" cm="1">
        <f t="array" ref="W2170">IF(表成绩单[[#This Row],[总分]]="","",SUMPRODUCT((表成绩单[考试日期]=表成绩单[[#This Row],[考试日期]])*(表成绩单[总分]&lt;9E+307)*(表成绩单[总分]&gt;表成绩单[[#This Row],[总分]]))+1)</f>
        <v>564</v>
      </c>
    </row>
    <row r="2171" ht="28" customHeight="1" spans="4:23">
      <c r="D2171" s="31">
        <v>46030</v>
      </c>
      <c r="E2171" s="29">
        <v>19177606</v>
      </c>
      <c r="F2171" s="29" t="s">
        <v>58</v>
      </c>
      <c r="G2171" s="29" t="s">
        <v>649</v>
      </c>
      <c r="H2171" s="29">
        <v>93</v>
      </c>
      <c r="I2171" s="29">
        <v>62</v>
      </c>
      <c r="J2171" s="29">
        <v>58</v>
      </c>
      <c r="K2171" s="29">
        <v>62</v>
      </c>
      <c r="L2171" s="29">
        <v>52</v>
      </c>
      <c r="M2171" s="29">
        <v>62</v>
      </c>
      <c r="N2171" s="29">
        <v>69</v>
      </c>
      <c r="O2171" s="32">
        <v>458</v>
      </c>
      <c r="P2171" s="29" cm="1">
        <f t="array" ref="P2171">IF(表成绩单[[#This Row],[语文]]="","",SUMPRODUCT((表成绩单[考试日期]=表成绩单[[#This Row],[考试日期]])*(表成绩单[语文]&lt;9E+307)*(表成绩单[语文]&gt;表成绩单[[#This Row],[语文]]))+1)</f>
        <v>412</v>
      </c>
      <c r="Q2171" s="29" cm="1">
        <f t="array" ref="Q2171">IF(表成绩单[[#This Row],[数学]]="","",SUMPRODUCT((表成绩单[考试日期]=表成绩单[[#This Row],[考试日期]])*(表成绩单[数学]&lt;9E+307)*(表成绩单[数学]&gt;表成绩单[[#This Row],[数学]]))+1)</f>
        <v>661</v>
      </c>
      <c r="R2171" s="29" cm="1">
        <f t="array" ref="R2171">IF(表成绩单[[#This Row],[英语]]="","",SUMPRODUCT((表成绩单[考试日期]=表成绩单[[#This Row],[考试日期]])*(表成绩单[英语]&lt;9E+307)*(表成绩单[英语]&gt;表成绩单[[#This Row],[英语]]))+1)</f>
        <v>556</v>
      </c>
      <c r="S2171" s="29" cm="1">
        <f t="array" ref="S2171">IF(表成绩单[[#This Row],[物理]]="","",SUMPRODUCT((表成绩单[考试日期]=表成绩单[[#This Row],[考试日期]])*(表成绩单[物理]&lt;9E+307)*(表成绩单[物理]&gt;表成绩单[[#This Row],[物理]]))+1)</f>
        <v>470</v>
      </c>
      <c r="T2171" s="29" cm="1">
        <f t="array" ref="T2171">IF(表成绩单[[#This Row],[化学]]="","",SUMPRODUCT((表成绩单[考试日期]=表成绩单[[#This Row],[考试日期]])*(表成绩单[化学]&lt;9E+307)*(表成绩单[化学]&gt;表成绩单[[#This Row],[化学]]))+1)</f>
        <v>638</v>
      </c>
      <c r="U2171" s="29" cm="1">
        <f t="array" ref="U2171">IF(表成绩单[[#This Row],[政治]]="","",SUMPRODUCT((表成绩单[考试日期]=表成绩单[[#This Row],[考试日期]])*(表成绩单[政治]&lt;9E+307)*(表成绩单[政治]&gt;表成绩单[[#This Row],[政治]]))+1)</f>
        <v>508</v>
      </c>
      <c r="V2171" s="29" cm="1">
        <f t="array" ref="V2171">IF(表成绩单[[#This Row],[历史]]="","",SUMPRODUCT((表成绩单[考试日期]=表成绩单[[#This Row],[考试日期]])*(表成绩单[历史]&lt;9E+307)*(表成绩单[历史]&gt;表成绩单[[#This Row],[历史]]))+1)</f>
        <v>366</v>
      </c>
      <c r="W2171" s="29" cm="1">
        <f t="array" ref="W2171">IF(表成绩单[[#This Row],[总分]]="","",SUMPRODUCT((表成绩单[考试日期]=表成绩单[[#This Row],[考试日期]])*(表成绩单[总分]&lt;9E+307)*(表成绩单[总分]&gt;表成绩单[[#This Row],[总分]]))+1)</f>
        <v>565</v>
      </c>
    </row>
    <row r="2172" ht="28" customHeight="1" spans="4:23">
      <c r="D2172" s="31">
        <v>46030</v>
      </c>
      <c r="E2172" s="29">
        <v>19178584</v>
      </c>
      <c r="F2172" s="29" t="s">
        <v>64</v>
      </c>
      <c r="G2172" s="29" t="s">
        <v>558</v>
      </c>
      <c r="H2172" s="29">
        <v>92</v>
      </c>
      <c r="I2172" s="29">
        <v>73</v>
      </c>
      <c r="J2172" s="29">
        <v>60</v>
      </c>
      <c r="K2172" s="29">
        <v>53</v>
      </c>
      <c r="L2172" s="29">
        <v>44</v>
      </c>
      <c r="M2172" s="29">
        <v>66</v>
      </c>
      <c r="N2172" s="29">
        <v>70</v>
      </c>
      <c r="O2172" s="32">
        <v>458</v>
      </c>
      <c r="P2172" s="29" cm="1">
        <f t="array" ref="P2172">IF(表成绩单[[#This Row],[语文]]="","",SUMPRODUCT((表成绩单[考试日期]=表成绩单[[#This Row],[考试日期]])*(表成绩单[语文]&lt;9E+307)*(表成绩单[语文]&gt;表成绩单[[#This Row],[语文]]))+1)</f>
        <v>444</v>
      </c>
      <c r="Q2172" s="29" cm="1">
        <f t="array" ref="Q2172">IF(表成绩单[[#This Row],[数学]]="","",SUMPRODUCT((表成绩单[考试日期]=表成绩单[[#This Row],[考试日期]])*(表成绩单[数学]&lt;9E+307)*(表成绩单[数学]&gt;表成绩单[[#This Row],[数学]]))+1)</f>
        <v>547</v>
      </c>
      <c r="R2172" s="29" cm="1">
        <f t="array" ref="R2172">IF(表成绩单[[#This Row],[英语]]="","",SUMPRODUCT((表成绩单[考试日期]=表成绩单[[#This Row],[考试日期]])*(表成绩单[英语]&lt;9E+307)*(表成绩单[英语]&gt;表成绩单[[#This Row],[英语]]))+1)</f>
        <v>524</v>
      </c>
      <c r="S2172" s="29" cm="1">
        <f t="array" ref="S2172">IF(表成绩单[[#This Row],[物理]]="","",SUMPRODUCT((表成绩单[考试日期]=表成绩单[[#This Row],[考试日期]])*(表成绩单[物理]&lt;9E+307)*(表成绩单[物理]&gt;表成绩单[[#This Row],[物理]]))+1)</f>
        <v>578</v>
      </c>
      <c r="T2172" s="29" cm="1">
        <f t="array" ref="T2172">IF(表成绩单[[#This Row],[化学]]="","",SUMPRODUCT((表成绩单[考试日期]=表成绩单[[#This Row],[考试日期]])*(表成绩单[化学]&lt;9E+307)*(表成绩单[化学]&gt;表成绩单[[#This Row],[化学]]))+1)</f>
        <v>720</v>
      </c>
      <c r="U2172" s="29" cm="1">
        <f t="array" ref="U2172">IF(表成绩单[[#This Row],[政治]]="","",SUMPRODUCT((表成绩单[考试日期]=表成绩单[[#This Row],[考试日期]])*(表成绩单[政治]&lt;9E+307)*(表成绩单[政治]&gt;表成绩单[[#This Row],[政治]]))+1)</f>
        <v>397</v>
      </c>
      <c r="V2172" s="29" cm="1">
        <f t="array" ref="V2172">IF(表成绩单[[#This Row],[历史]]="","",SUMPRODUCT((表成绩单[考试日期]=表成绩单[[#This Row],[考试日期]])*(表成绩单[历史]&lt;9E+307)*(表成绩单[历史]&gt;表成绩单[[#This Row],[历史]]))+1)</f>
        <v>328</v>
      </c>
      <c r="W2172" s="29" cm="1">
        <f t="array" ref="W2172">IF(表成绩单[[#This Row],[总分]]="","",SUMPRODUCT((表成绩单[考试日期]=表成绩单[[#This Row],[考试日期]])*(表成绩单[总分]&lt;9E+307)*(表成绩单[总分]&gt;表成绩单[[#This Row],[总分]]))+1)</f>
        <v>565</v>
      </c>
    </row>
    <row r="2173" ht="28" customHeight="1" spans="4:23">
      <c r="D2173" s="31">
        <v>46030</v>
      </c>
      <c r="E2173" s="29">
        <v>26761258</v>
      </c>
      <c r="F2173" s="29" t="s">
        <v>57</v>
      </c>
      <c r="G2173" s="29" t="s">
        <v>697</v>
      </c>
      <c r="H2173" s="29">
        <v>90</v>
      </c>
      <c r="I2173" s="29">
        <v>77</v>
      </c>
      <c r="J2173" s="29">
        <v>64.5</v>
      </c>
      <c r="K2173" s="29">
        <v>64</v>
      </c>
      <c r="L2173" s="29">
        <v>55</v>
      </c>
      <c r="M2173" s="29">
        <v>54</v>
      </c>
      <c r="N2173" s="29">
        <v>53</v>
      </c>
      <c r="O2173" s="32">
        <v>457.5</v>
      </c>
      <c r="P2173" s="29" cm="1">
        <f t="array" ref="P2173">IF(表成绩单[[#This Row],[语文]]="","",SUMPRODUCT((表成绩单[考试日期]=表成绩单[[#This Row],[考试日期]])*(表成绩单[语文]&lt;9E+307)*(表成绩单[语文]&gt;表成绩单[[#This Row],[语文]]))+1)</f>
        <v>509</v>
      </c>
      <c r="Q2173" s="29" cm="1">
        <f t="array" ref="Q2173">IF(表成绩单[[#This Row],[数学]]="","",SUMPRODUCT((表成绩单[考试日期]=表成绩单[[#This Row],[考试日期]])*(表成绩单[数学]&lt;9E+307)*(表成绩单[数学]&gt;表成绩单[[#This Row],[数学]]))+1)</f>
        <v>478</v>
      </c>
      <c r="R2173" s="29" cm="1">
        <f t="array" ref="R2173">IF(表成绩单[[#This Row],[英语]]="","",SUMPRODUCT((表成绩单[考试日期]=表成绩单[[#This Row],[考试日期]])*(表成绩单[英语]&lt;9E+307)*(表成绩单[英语]&gt;表成绩单[[#This Row],[英语]]))+1)</f>
        <v>447</v>
      </c>
      <c r="S2173" s="29" cm="1">
        <f t="array" ref="S2173">IF(表成绩单[[#This Row],[物理]]="","",SUMPRODUCT((表成绩单[考试日期]=表成绩单[[#This Row],[考试日期]])*(表成绩单[物理]&lt;9E+307)*(表成绩单[物理]&gt;表成绩单[[#This Row],[物理]]))+1)</f>
        <v>441</v>
      </c>
      <c r="T2173" s="29" cm="1">
        <f t="array" ref="T2173">IF(表成绩单[[#This Row],[化学]]="","",SUMPRODUCT((表成绩单[考试日期]=表成绩单[[#This Row],[考试日期]])*(表成绩单[化学]&lt;9E+307)*(表成绩单[化学]&gt;表成绩单[[#This Row],[化学]]))+1)</f>
        <v>593</v>
      </c>
      <c r="U2173" s="29" cm="1">
        <f t="array" ref="U2173">IF(表成绩单[[#This Row],[政治]]="","",SUMPRODUCT((表成绩单[考试日期]=表成绩单[[#This Row],[考试日期]])*(表成绩单[政治]&lt;9E+307)*(表成绩单[政治]&gt;表成绩单[[#This Row],[政治]]))+1)</f>
        <v>621</v>
      </c>
      <c r="V2173" s="29" cm="1">
        <f t="array" ref="V2173">IF(表成绩单[[#This Row],[历史]]="","",SUMPRODUCT((表成绩单[考试日期]=表成绩单[[#This Row],[考试日期]])*(表成绩单[历史]&lt;9E+307)*(表成绩单[历史]&gt;表成绩单[[#This Row],[历史]]))+1)</f>
        <v>690</v>
      </c>
      <c r="W2173" s="29" cm="1">
        <f t="array" ref="W2173">IF(表成绩单[[#This Row],[总分]]="","",SUMPRODUCT((表成绩单[考试日期]=表成绩单[[#This Row],[考试日期]])*(表成绩单[总分]&lt;9E+307)*(表成绩单[总分]&gt;表成绩单[[#This Row],[总分]]))+1)</f>
        <v>567</v>
      </c>
    </row>
    <row r="2174" ht="28" customHeight="1" spans="4:23">
      <c r="D2174" s="31">
        <v>46030</v>
      </c>
      <c r="E2174" s="29">
        <v>19175998</v>
      </c>
      <c r="F2174" s="29" t="s">
        <v>59</v>
      </c>
      <c r="G2174" s="29" t="s">
        <v>685</v>
      </c>
      <c r="H2174" s="29">
        <v>104</v>
      </c>
      <c r="I2174" s="29">
        <v>69</v>
      </c>
      <c r="J2174" s="29">
        <v>60</v>
      </c>
      <c r="K2174" s="29">
        <v>49</v>
      </c>
      <c r="L2174" s="29">
        <v>53</v>
      </c>
      <c r="M2174" s="29">
        <v>69</v>
      </c>
      <c r="N2174" s="29">
        <v>53</v>
      </c>
      <c r="O2174" s="32">
        <v>457</v>
      </c>
      <c r="P2174" s="29" cm="1">
        <f t="array" ref="P2174">IF(表成绩单[[#This Row],[语文]]="","",SUMPRODUCT((表成绩单[考试日期]=表成绩单[[#This Row],[考试日期]])*(表成绩单[语文]&lt;9E+307)*(表成绩单[语文]&gt;表成绩单[[#This Row],[语文]]))+1)</f>
        <v>82</v>
      </c>
      <c r="Q2174" s="29" cm="1">
        <f t="array" ref="Q2174">IF(表成绩单[[#This Row],[数学]]="","",SUMPRODUCT((表成绩单[考试日期]=表成绩单[[#This Row],[考试日期]])*(表成绩单[数学]&lt;9E+307)*(表成绩单[数学]&gt;表成绩单[[#This Row],[数学]]))+1)</f>
        <v>600</v>
      </c>
      <c r="R2174" s="29" cm="1">
        <f t="array" ref="R2174">IF(表成绩单[[#This Row],[英语]]="","",SUMPRODUCT((表成绩单[考试日期]=表成绩单[[#This Row],[考试日期]])*(表成绩单[英语]&lt;9E+307)*(表成绩单[英语]&gt;表成绩单[[#This Row],[英语]]))+1)</f>
        <v>524</v>
      </c>
      <c r="S2174" s="29" cm="1">
        <f t="array" ref="S2174">IF(表成绩单[[#This Row],[物理]]="","",SUMPRODUCT((表成绩单[考试日期]=表成绩单[[#This Row],[考试日期]])*(表成绩单[物理]&lt;9E+307)*(表成绩单[物理]&gt;表成绩单[[#This Row],[物理]]))+1)</f>
        <v>619</v>
      </c>
      <c r="T2174" s="29" cm="1">
        <f t="array" ref="T2174">IF(表成绩单[[#This Row],[化学]]="","",SUMPRODUCT((表成绩单[考试日期]=表成绩单[[#This Row],[考试日期]])*(表成绩单[化学]&lt;9E+307)*(表成绩单[化学]&gt;表成绩单[[#This Row],[化学]]))+1)</f>
        <v>623</v>
      </c>
      <c r="U2174" s="29" cm="1">
        <f t="array" ref="U2174">IF(表成绩单[[#This Row],[政治]]="","",SUMPRODUCT((表成绩单[考试日期]=表成绩单[[#This Row],[考试日期]])*(表成绩单[政治]&lt;9E+307)*(表成绩单[政治]&gt;表成绩单[[#This Row],[政治]]))+1)</f>
        <v>308</v>
      </c>
      <c r="V2174" s="29" cm="1">
        <f t="array" ref="V2174">IF(表成绩单[[#This Row],[历史]]="","",SUMPRODUCT((表成绩单[考试日期]=表成绩单[[#This Row],[考试日期]])*(表成绩单[历史]&lt;9E+307)*(表成绩单[历史]&gt;表成绩单[[#This Row],[历史]]))+1)</f>
        <v>690</v>
      </c>
      <c r="W2174" s="29" cm="1">
        <f t="array" ref="W2174">IF(表成绩单[[#This Row],[总分]]="","",SUMPRODUCT((表成绩单[考试日期]=表成绩单[[#This Row],[考试日期]])*(表成绩单[总分]&lt;9E+307)*(表成绩单[总分]&gt;表成绩单[[#This Row],[总分]]))+1)</f>
        <v>568</v>
      </c>
    </row>
    <row r="2175" ht="28" customHeight="1" spans="4:23">
      <c r="D2175" s="31">
        <v>46030</v>
      </c>
      <c r="E2175" s="29">
        <v>19178588</v>
      </c>
      <c r="F2175" s="29" t="s">
        <v>64</v>
      </c>
      <c r="G2175" s="29" t="s">
        <v>615</v>
      </c>
      <c r="H2175" s="29">
        <v>93</v>
      </c>
      <c r="I2175" s="29">
        <v>65</v>
      </c>
      <c r="J2175" s="29">
        <v>58.5</v>
      </c>
      <c r="K2175" s="29">
        <v>65</v>
      </c>
      <c r="L2175" s="29">
        <v>59</v>
      </c>
      <c r="M2175" s="29">
        <v>55</v>
      </c>
      <c r="N2175" s="29">
        <v>61</v>
      </c>
      <c r="O2175" s="32">
        <v>456.5</v>
      </c>
      <c r="P2175" s="29" cm="1">
        <f t="array" ref="P2175">IF(表成绩单[[#This Row],[语文]]="","",SUMPRODUCT((表成绩单[考试日期]=表成绩单[[#This Row],[考试日期]])*(表成绩单[语文]&lt;9E+307)*(表成绩单[语文]&gt;表成绩单[[#This Row],[语文]]))+1)</f>
        <v>412</v>
      </c>
      <c r="Q2175" s="29" cm="1">
        <f t="array" ref="Q2175">IF(表成绩单[[#This Row],[数学]]="","",SUMPRODUCT((表成绩单[考试日期]=表成绩单[[#This Row],[考试日期]])*(表成绩单[数学]&lt;9E+307)*(表成绩单[数学]&gt;表成绩单[[#This Row],[数学]]))+1)</f>
        <v>640</v>
      </c>
      <c r="R2175" s="29" cm="1">
        <f t="array" ref="R2175">IF(表成绩单[[#This Row],[英语]]="","",SUMPRODUCT((表成绩单[考试日期]=表成绩单[[#This Row],[考试日期]])*(表成绩单[英语]&lt;9E+307)*(表成绩单[英语]&gt;表成绩单[[#This Row],[英语]]))+1)</f>
        <v>545</v>
      </c>
      <c r="S2175" s="29" cm="1">
        <f t="array" ref="S2175">IF(表成绩单[[#This Row],[物理]]="","",SUMPRODUCT((表成绩单[考试日期]=表成绩单[[#This Row],[考试日期]])*(表成绩单[物理]&lt;9E+307)*(表成绩单[物理]&gt;表成绩单[[#This Row],[物理]]))+1)</f>
        <v>427</v>
      </c>
      <c r="T2175" s="29" cm="1">
        <f t="array" ref="T2175">IF(表成绩单[[#This Row],[化学]]="","",SUMPRODUCT((表成绩单[考试日期]=表成绩单[[#This Row],[考试日期]])*(表成绩单[化学]&lt;9E+307)*(表成绩单[化学]&gt;表成绩单[[#This Row],[化学]]))+1)</f>
        <v>540</v>
      </c>
      <c r="U2175" s="29" cm="1">
        <f t="array" ref="U2175">IF(表成绩单[[#This Row],[政治]]="","",SUMPRODUCT((表成绩单[考试日期]=表成绩单[[#This Row],[考试日期]])*(表成绩单[政治]&lt;9E+307)*(表成绩单[政治]&gt;表成绩单[[#This Row],[政治]]))+1)</f>
        <v>608</v>
      </c>
      <c r="V2175" s="29" cm="1">
        <f t="array" ref="V2175">IF(表成绩单[[#This Row],[历史]]="","",SUMPRODUCT((表成绩单[考试日期]=表成绩单[[#This Row],[考试日期]])*(表成绩单[历史]&lt;9E+307)*(表成绩单[历史]&gt;表成绩单[[#This Row],[历史]]))+1)</f>
        <v>566</v>
      </c>
      <c r="W2175" s="29" cm="1">
        <f t="array" ref="W2175">IF(表成绩单[[#This Row],[总分]]="","",SUMPRODUCT((表成绩单[考试日期]=表成绩单[[#This Row],[考试日期]])*(表成绩单[总分]&lt;9E+307)*(表成绩单[总分]&gt;表成绩单[[#This Row],[总分]]))+1)</f>
        <v>569</v>
      </c>
    </row>
    <row r="2176" ht="28" customHeight="1" spans="4:23">
      <c r="D2176" s="31">
        <v>46030</v>
      </c>
      <c r="E2176" s="29">
        <v>19176163</v>
      </c>
      <c r="F2176" s="29" t="s">
        <v>67</v>
      </c>
      <c r="G2176" s="29" t="s">
        <v>512</v>
      </c>
      <c r="H2176" s="29">
        <v>80</v>
      </c>
      <c r="I2176" s="29">
        <v>82</v>
      </c>
      <c r="J2176" s="29">
        <v>54</v>
      </c>
      <c r="K2176" s="29">
        <v>50</v>
      </c>
      <c r="L2176" s="29">
        <v>67</v>
      </c>
      <c r="M2176" s="29">
        <v>63</v>
      </c>
      <c r="N2176" s="29">
        <v>60</v>
      </c>
      <c r="O2176" s="32">
        <v>456</v>
      </c>
      <c r="P2176" s="29" cm="1">
        <f t="array" ref="P2176">IF(表成绩单[[#This Row],[语文]]="","",SUMPRODUCT((表成绩单[考试日期]=表成绩单[[#This Row],[考试日期]])*(表成绩单[语文]&lt;9E+307)*(表成绩单[语文]&gt;表成绩单[[#This Row],[语文]]))+1)</f>
        <v>675</v>
      </c>
      <c r="Q2176" s="29" cm="1">
        <f t="array" ref="Q2176">IF(表成绩单[[#This Row],[数学]]="","",SUMPRODUCT((表成绩单[考试日期]=表成绩单[[#This Row],[考试日期]])*(表成绩单[数学]&lt;9E+307)*(表成绩单[数学]&gt;表成绩单[[#This Row],[数学]]))+1)</f>
        <v>383</v>
      </c>
      <c r="R2176" s="29" cm="1">
        <f t="array" ref="R2176">IF(表成绩单[[#This Row],[英语]]="","",SUMPRODUCT((表成绩单[考试日期]=表成绩单[[#This Row],[考试日期]])*(表成绩单[英语]&lt;9E+307)*(表成绩单[英语]&gt;表成绩单[[#This Row],[英语]]))+1)</f>
        <v>606</v>
      </c>
      <c r="S2176" s="29" cm="1">
        <f t="array" ref="S2176">IF(表成绩单[[#This Row],[物理]]="","",SUMPRODUCT((表成绩单[考试日期]=表成绩单[[#This Row],[考试日期]])*(表成绩单[物理]&lt;9E+307)*(表成绩单[物理]&gt;表成绩单[[#This Row],[物理]]))+1)</f>
        <v>605</v>
      </c>
      <c r="T2176" s="29" cm="1">
        <f t="array" ref="T2176">IF(表成绩单[[#This Row],[化学]]="","",SUMPRODUCT((表成绩单[考试日期]=表成绩单[[#This Row],[考试日期]])*(表成绩单[化学]&lt;9E+307)*(表成绩单[化学]&gt;表成绩单[[#This Row],[化学]]))+1)</f>
        <v>381</v>
      </c>
      <c r="U2176" s="29" cm="1">
        <f t="array" ref="U2176">IF(表成绩单[[#This Row],[政治]]="","",SUMPRODUCT((表成绩单[考试日期]=表成绩单[[#This Row],[考试日期]])*(表成绩单[政治]&lt;9E+307)*(表成绩单[政治]&gt;表成绩单[[#This Row],[政治]]))+1)</f>
        <v>486</v>
      </c>
      <c r="V2176" s="29" cm="1">
        <f t="array" ref="V2176">IF(表成绩单[[#This Row],[历史]]="","",SUMPRODUCT((表成绩单[考试日期]=表成绩单[[#This Row],[考试日期]])*(表成绩单[历史]&lt;9E+307)*(表成绩单[历史]&gt;表成绩单[[#This Row],[历史]]))+1)</f>
        <v>579</v>
      </c>
      <c r="W2176" s="29" cm="1">
        <f t="array" ref="W2176">IF(表成绩单[[#This Row],[总分]]="","",SUMPRODUCT((表成绩单[考试日期]=表成绩单[[#This Row],[考试日期]])*(表成绩单[总分]&lt;9E+307)*(表成绩单[总分]&gt;表成绩单[[#This Row],[总分]]))+1)</f>
        <v>570</v>
      </c>
    </row>
    <row r="2177" ht="28" customHeight="1" spans="4:23">
      <c r="D2177" s="31">
        <v>46030</v>
      </c>
      <c r="E2177" s="29">
        <v>19175606</v>
      </c>
      <c r="F2177" s="29" t="s">
        <v>57</v>
      </c>
      <c r="G2177" s="29" t="s">
        <v>717</v>
      </c>
      <c r="H2177" s="29">
        <v>95</v>
      </c>
      <c r="I2177" s="29">
        <v>74</v>
      </c>
      <c r="J2177" s="29">
        <v>65.5</v>
      </c>
      <c r="K2177" s="29">
        <v>43</v>
      </c>
      <c r="L2177" s="29">
        <v>56</v>
      </c>
      <c r="M2177" s="29">
        <v>59</v>
      </c>
      <c r="N2177" s="29">
        <v>63</v>
      </c>
      <c r="O2177" s="32">
        <v>455.5</v>
      </c>
      <c r="P2177" s="29" cm="1">
        <f t="array" ref="P2177">IF(表成绩单[[#This Row],[语文]]="","",SUMPRODUCT((表成绩单[考试日期]=表成绩单[[#This Row],[考试日期]])*(表成绩单[语文]&lt;9E+307)*(表成绩单[语文]&gt;表成绩单[[#This Row],[语文]]))+1)</f>
        <v>342</v>
      </c>
      <c r="Q2177" s="29" cm="1">
        <f t="array" ref="Q2177">IF(表成绩单[[#This Row],[数学]]="","",SUMPRODUCT((表成绩单[考试日期]=表成绩单[[#This Row],[考试日期]])*(表成绩单[数学]&lt;9E+307)*(表成绩单[数学]&gt;表成绩单[[#This Row],[数学]]))+1)</f>
        <v>535</v>
      </c>
      <c r="R2177" s="29" cm="1">
        <f t="array" ref="R2177">IF(表成绩单[[#This Row],[英语]]="","",SUMPRODUCT((表成绩单[考试日期]=表成绩单[[#This Row],[考试日期]])*(表成绩单[英语]&lt;9E+307)*(表成绩单[英语]&gt;表成绩单[[#This Row],[英语]]))+1)</f>
        <v>429</v>
      </c>
      <c r="S2177" s="29" cm="1">
        <f t="array" ref="S2177">IF(表成绩单[[#This Row],[物理]]="","",SUMPRODUCT((表成绩单[考试日期]=表成绩单[[#This Row],[考试日期]])*(表成绩单[物理]&lt;9E+307)*(表成绩单[物理]&gt;表成绩单[[#This Row],[物理]]))+1)</f>
        <v>674</v>
      </c>
      <c r="T2177" s="29" cm="1">
        <f t="array" ref="T2177">IF(表成绩单[[#This Row],[化学]]="","",SUMPRODUCT((表成绩单[考试日期]=表成绩单[[#This Row],[考试日期]])*(表成绩单[化学]&lt;9E+307)*(表成绩单[化学]&gt;表成绩单[[#This Row],[化学]]))+1)</f>
        <v>581</v>
      </c>
      <c r="U2177" s="29" cm="1">
        <f t="array" ref="U2177">IF(表成绩单[[#This Row],[政治]]="","",SUMPRODUCT((表成绩单[考试日期]=表成绩单[[#This Row],[考试日期]])*(表成绩单[政治]&lt;9E+307)*(表成绩单[政治]&gt;表成绩单[[#This Row],[政治]]))+1)</f>
        <v>557</v>
      </c>
      <c r="V2177" s="29" cm="1">
        <f t="array" ref="V2177">IF(表成绩单[[#This Row],[历史]]="","",SUMPRODUCT((表成绩单[考试日期]=表成绩单[[#This Row],[考试日期]])*(表成绩单[历史]&lt;9E+307)*(表成绩单[历史]&gt;表成绩单[[#This Row],[历史]]))+1)</f>
        <v>521</v>
      </c>
      <c r="W2177" s="29" cm="1">
        <f t="array" ref="W2177">IF(表成绩单[[#This Row],[总分]]="","",SUMPRODUCT((表成绩单[考试日期]=表成绩单[[#This Row],[考试日期]])*(表成绩单[总分]&lt;9E+307)*(表成绩单[总分]&gt;表成绩单[[#This Row],[总分]]))+1)</f>
        <v>571</v>
      </c>
    </row>
    <row r="2178" ht="28" customHeight="1" spans="4:23">
      <c r="D2178" s="31">
        <v>46030</v>
      </c>
      <c r="E2178" s="29">
        <v>19175609</v>
      </c>
      <c r="F2178" s="29" t="s">
        <v>57</v>
      </c>
      <c r="G2178" s="29" t="s">
        <v>647</v>
      </c>
      <c r="H2178" s="29">
        <v>91</v>
      </c>
      <c r="I2178" s="29">
        <v>85</v>
      </c>
      <c r="J2178" s="29">
        <v>41</v>
      </c>
      <c r="K2178" s="29">
        <v>54</v>
      </c>
      <c r="L2178" s="29">
        <v>65</v>
      </c>
      <c r="M2178" s="29">
        <v>68</v>
      </c>
      <c r="N2178" s="29">
        <v>51</v>
      </c>
      <c r="O2178" s="32">
        <v>455</v>
      </c>
      <c r="P2178" s="29" cm="1">
        <f t="array" ref="P2178">IF(表成绩单[[#This Row],[语文]]="","",SUMPRODUCT((表成绩单[考试日期]=表成绩单[[#This Row],[考试日期]])*(表成绩单[语文]&lt;9E+307)*(表成绩单[语文]&gt;表成绩单[[#This Row],[语文]]))+1)</f>
        <v>478</v>
      </c>
      <c r="Q2178" s="29" cm="1">
        <f t="array" ref="Q2178">IF(表成绩单[[#This Row],[数学]]="","",SUMPRODUCT((表成绩单[考试日期]=表成绩单[[#This Row],[考试日期]])*(表成绩单[数学]&lt;9E+307)*(表成绩单[数学]&gt;表成绩单[[#This Row],[数学]]))+1)</f>
        <v>325</v>
      </c>
      <c r="R2178" s="29" cm="1">
        <f t="array" ref="R2178">IF(表成绩单[[#This Row],[英语]]="","",SUMPRODUCT((表成绩单[考试日期]=表成绩单[[#This Row],[考试日期]])*(表成绩单[英语]&lt;9E+307)*(表成绩单[英语]&gt;表成绩单[[#This Row],[英语]]))+1)</f>
        <v>715</v>
      </c>
      <c r="S2178" s="29" cm="1">
        <f t="array" ref="S2178">IF(表成绩单[[#This Row],[物理]]="","",SUMPRODUCT((表成绩单[考试日期]=表成绩单[[#This Row],[考试日期]])*(表成绩单[物理]&lt;9E+307)*(表成绩单[物理]&gt;表成绩单[[#This Row],[物理]]))+1)</f>
        <v>568</v>
      </c>
      <c r="T2178" s="29" cm="1">
        <f t="array" ref="T2178">IF(表成绩单[[#This Row],[化学]]="","",SUMPRODUCT((表成绩单[考试日期]=表成绩单[[#This Row],[考试日期]])*(表成绩单[化学]&lt;9E+307)*(表成绩单[化学]&gt;表成绩单[[#This Row],[化学]]))+1)</f>
        <v>439</v>
      </c>
      <c r="U2178" s="29" cm="1">
        <f t="array" ref="U2178">IF(表成绩单[[#This Row],[政治]]="","",SUMPRODUCT((表成绩单[考试日期]=表成绩单[[#This Row],[考试日期]])*(表成绩单[政治]&lt;9E+307)*(表成绩单[政治]&gt;表成绩单[[#This Row],[政治]]))+1)</f>
        <v>336</v>
      </c>
      <c r="V2178" s="29" cm="1">
        <f t="array" ref="V2178">IF(表成绩单[[#This Row],[历史]]="","",SUMPRODUCT((表成绩单[考试日期]=表成绩单[[#This Row],[考试日期]])*(表成绩单[历史]&lt;9E+307)*(表成绩单[历史]&gt;表成绩单[[#This Row],[历史]]))+1)</f>
        <v>714</v>
      </c>
      <c r="W2178" s="29" cm="1">
        <f t="array" ref="W2178">IF(表成绩单[[#This Row],[总分]]="","",SUMPRODUCT((表成绩单[考试日期]=表成绩单[[#This Row],[考试日期]])*(表成绩单[总分]&lt;9E+307)*(表成绩单[总分]&gt;表成绩单[[#This Row],[总分]]))+1)</f>
        <v>572</v>
      </c>
    </row>
    <row r="2179" ht="28" customHeight="1" spans="4:23">
      <c r="D2179" s="31">
        <v>46030</v>
      </c>
      <c r="E2179" s="29">
        <v>19172653</v>
      </c>
      <c r="F2179" s="29" t="s">
        <v>60</v>
      </c>
      <c r="G2179" s="29" t="s">
        <v>666</v>
      </c>
      <c r="H2179" s="29">
        <v>94</v>
      </c>
      <c r="I2179" s="29">
        <v>66</v>
      </c>
      <c r="J2179" s="29">
        <v>67.5</v>
      </c>
      <c r="K2179" s="29">
        <v>43</v>
      </c>
      <c r="L2179" s="29">
        <v>53</v>
      </c>
      <c r="M2179" s="29">
        <v>66</v>
      </c>
      <c r="N2179" s="29">
        <v>65</v>
      </c>
      <c r="O2179" s="32">
        <v>454.5</v>
      </c>
      <c r="P2179" s="29" cm="1">
        <f t="array" ref="P2179">IF(表成绩单[[#This Row],[语文]]="","",SUMPRODUCT((表成绩单[考试日期]=表成绩单[[#This Row],[考试日期]])*(表成绩单[语文]&lt;9E+307)*(表成绩单[语文]&gt;表成绩单[[#This Row],[语文]]))+1)</f>
        <v>381</v>
      </c>
      <c r="Q2179" s="29" cm="1">
        <f t="array" ref="Q2179">IF(表成绩单[[#This Row],[数学]]="","",SUMPRODUCT((表成绩单[考试日期]=表成绩单[[#This Row],[考试日期]])*(表成绩单[数学]&lt;9E+307)*(表成绩单[数学]&gt;表成绩单[[#This Row],[数学]]))+1)</f>
        <v>631</v>
      </c>
      <c r="R2179" s="29" cm="1">
        <f t="array" ref="R2179">IF(表成绩单[[#This Row],[英语]]="","",SUMPRODUCT((表成绩单[考试日期]=表成绩单[[#This Row],[考试日期]])*(表成绩单[英语]&lt;9E+307)*(表成绩单[英语]&gt;表成绩单[[#This Row],[英语]]))+1)</f>
        <v>377</v>
      </c>
      <c r="S2179" s="29" cm="1">
        <f t="array" ref="S2179">IF(表成绩单[[#This Row],[物理]]="","",SUMPRODUCT((表成绩单[考试日期]=表成绩单[[#This Row],[考试日期]])*(表成绩单[物理]&lt;9E+307)*(表成绩单[物理]&gt;表成绩单[[#This Row],[物理]]))+1)</f>
        <v>674</v>
      </c>
      <c r="T2179" s="29" cm="1">
        <f t="array" ref="T2179">IF(表成绩单[[#This Row],[化学]]="","",SUMPRODUCT((表成绩单[考试日期]=表成绩单[[#This Row],[考试日期]])*(表成绩单[化学]&lt;9E+307)*(表成绩单[化学]&gt;表成绩单[[#This Row],[化学]]))+1)</f>
        <v>623</v>
      </c>
      <c r="U2179" s="29" cm="1">
        <f t="array" ref="U2179">IF(表成绩单[[#This Row],[政治]]="","",SUMPRODUCT((表成绩单[考试日期]=表成绩单[[#This Row],[考试日期]])*(表成绩单[政治]&lt;9E+307)*(表成绩单[政治]&gt;表成绩单[[#This Row],[政治]]))+1)</f>
        <v>397</v>
      </c>
      <c r="V2179" s="29" cm="1">
        <f t="array" ref="V2179">IF(表成绩单[[#This Row],[历史]]="","",SUMPRODUCT((表成绩单[考试日期]=表成绩单[[#This Row],[考试日期]])*(表成绩单[历史]&lt;9E+307)*(表成绩单[历史]&gt;表成绩单[[#This Row],[历史]]))+1)</f>
        <v>471</v>
      </c>
      <c r="W2179" s="29" cm="1">
        <f t="array" ref="W2179">IF(表成绩单[[#This Row],[总分]]="","",SUMPRODUCT((表成绩单[考试日期]=表成绩单[[#This Row],[考试日期]])*(表成绩单[总分]&lt;9E+307)*(表成绩单[总分]&gt;表成绩单[[#This Row],[总分]]))+1)</f>
        <v>573</v>
      </c>
    </row>
    <row r="2180" ht="28" customHeight="1" spans="4:23">
      <c r="D2180" s="31">
        <v>46030</v>
      </c>
      <c r="E2180" s="29">
        <v>19174741</v>
      </c>
      <c r="F2180" s="29" t="s">
        <v>64</v>
      </c>
      <c r="G2180" s="29" t="s">
        <v>669</v>
      </c>
      <c r="H2180" s="29">
        <v>88</v>
      </c>
      <c r="I2180" s="29">
        <v>67</v>
      </c>
      <c r="J2180" s="29">
        <v>51.5</v>
      </c>
      <c r="K2180" s="29">
        <v>55</v>
      </c>
      <c r="L2180" s="29">
        <v>51</v>
      </c>
      <c r="M2180" s="29">
        <v>75</v>
      </c>
      <c r="N2180" s="29">
        <v>67</v>
      </c>
      <c r="O2180" s="32">
        <v>454.5</v>
      </c>
      <c r="P2180" s="29" cm="1">
        <f t="array" ref="P2180">IF(表成绩单[[#This Row],[语文]]="","",SUMPRODUCT((表成绩单[考试日期]=表成绩单[[#This Row],[考试日期]])*(表成绩单[语文]&lt;9E+307)*(表成绩单[语文]&gt;表成绩单[[#This Row],[语文]]))+1)</f>
        <v>562</v>
      </c>
      <c r="Q2180" s="29" cm="1">
        <f t="array" ref="Q2180">IF(表成绩单[[#This Row],[数学]]="","",SUMPRODUCT((表成绩单[考试日期]=表成绩单[[#This Row],[考试日期]])*(表成绩单[数学]&lt;9E+307)*(表成绩单[数学]&gt;表成绩单[[#This Row],[数学]]))+1)</f>
        <v>620</v>
      </c>
      <c r="R2180" s="29" cm="1">
        <f t="array" ref="R2180">IF(表成绩单[[#This Row],[英语]]="","",SUMPRODUCT((表成绩单[考试日期]=表成绩单[[#This Row],[考试日期]])*(表成绩单[英语]&lt;9E+307)*(表成绩单[英语]&gt;表成绩单[[#This Row],[英语]]))+1)</f>
        <v>634</v>
      </c>
      <c r="S2180" s="29" cm="1">
        <f t="array" ref="S2180">IF(表成绩单[[#This Row],[物理]]="","",SUMPRODUCT((表成绩单[考试日期]=表成绩单[[#This Row],[考试日期]])*(表成绩单[物理]&lt;9E+307)*(表成绩单[物理]&gt;表成绩单[[#This Row],[物理]]))+1)</f>
        <v>562</v>
      </c>
      <c r="T2180" s="29" cm="1">
        <f t="array" ref="T2180">IF(表成绩单[[#This Row],[化学]]="","",SUMPRODUCT((表成绩单[考试日期]=表成绩单[[#This Row],[考试日期]])*(表成绩单[化学]&lt;9E+307)*(表成绩单[化学]&gt;表成绩单[[#This Row],[化学]]))+1)</f>
        <v>648</v>
      </c>
      <c r="U2180" s="29" cm="1">
        <f t="array" ref="U2180">IF(表成绩单[[#This Row],[政治]]="","",SUMPRODUCT((表成绩单[考试日期]=表成绩单[[#This Row],[考试日期]])*(表成绩单[政治]&lt;9E+307)*(表成绩单[政治]&gt;表成绩单[[#This Row],[政治]]))+1)</f>
        <v>137</v>
      </c>
      <c r="V2180" s="29" cm="1">
        <f t="array" ref="V2180">IF(表成绩单[[#This Row],[历史]]="","",SUMPRODUCT((表成绩单[考试日期]=表成绩单[[#This Row],[考试日期]])*(表成绩单[历史]&lt;9E+307)*(表成绩单[历史]&gt;表成绩单[[#This Row],[历史]]))+1)</f>
        <v>415</v>
      </c>
      <c r="W2180" s="29" cm="1">
        <f t="array" ref="W2180">IF(表成绩单[[#This Row],[总分]]="","",SUMPRODUCT((表成绩单[考试日期]=表成绩单[[#This Row],[考试日期]])*(表成绩单[总分]&lt;9E+307)*(表成绩单[总分]&gt;表成绩单[[#This Row],[总分]]))+1)</f>
        <v>573</v>
      </c>
    </row>
    <row r="2181" ht="28" customHeight="1" spans="4:23">
      <c r="D2181" s="31">
        <v>46030</v>
      </c>
      <c r="E2181" s="29">
        <v>19171089</v>
      </c>
      <c r="F2181" s="29" t="s">
        <v>67</v>
      </c>
      <c r="G2181" s="29" t="s">
        <v>686</v>
      </c>
      <c r="H2181" s="29">
        <v>82</v>
      </c>
      <c r="I2181" s="29">
        <v>75</v>
      </c>
      <c r="J2181" s="29">
        <v>52</v>
      </c>
      <c r="K2181" s="29">
        <v>64</v>
      </c>
      <c r="L2181" s="29">
        <v>67</v>
      </c>
      <c r="M2181" s="29">
        <v>51</v>
      </c>
      <c r="N2181" s="29">
        <v>63</v>
      </c>
      <c r="O2181" s="32">
        <v>454</v>
      </c>
      <c r="P2181" s="29" cm="1">
        <f t="array" ref="P2181">IF(表成绩单[[#This Row],[语文]]="","",SUMPRODUCT((表成绩单[考试日期]=表成绩单[[#This Row],[考试日期]])*(表成绩单[语文]&lt;9E+307)*(表成绩单[语文]&gt;表成绩单[[#This Row],[语文]]))+1)</f>
        <v>655</v>
      </c>
      <c r="Q2181" s="29" cm="1">
        <f t="array" ref="Q2181">IF(表成绩单[[#This Row],[数学]]="","",SUMPRODUCT((表成绩单[考试日期]=表成绩单[[#This Row],[考试日期]])*(表成绩单[数学]&lt;9E+307)*(表成绩单[数学]&gt;表成绩单[[#This Row],[数学]]))+1)</f>
        <v>521</v>
      </c>
      <c r="R2181" s="29" cm="1">
        <f t="array" ref="R2181">IF(表成绩单[[#This Row],[英语]]="","",SUMPRODUCT((表成绩单[考试日期]=表成绩单[[#This Row],[考试日期]])*(表成绩单[英语]&lt;9E+307)*(表成绩单[英语]&gt;表成绩单[[#This Row],[英语]]))+1)</f>
        <v>624</v>
      </c>
      <c r="S2181" s="29" cm="1">
        <f t="array" ref="S2181">IF(表成绩单[[#This Row],[物理]]="","",SUMPRODUCT((表成绩单[考试日期]=表成绩单[[#This Row],[考试日期]])*(表成绩单[物理]&lt;9E+307)*(表成绩单[物理]&gt;表成绩单[[#This Row],[物理]]))+1)</f>
        <v>441</v>
      </c>
      <c r="T2181" s="29" cm="1">
        <f t="array" ref="T2181">IF(表成绩单[[#This Row],[化学]]="","",SUMPRODUCT((表成绩单[考试日期]=表成绩单[[#This Row],[考试日期]])*(表成绩单[化学]&lt;9E+307)*(表成绩单[化学]&gt;表成绩单[[#This Row],[化学]]))+1)</f>
        <v>381</v>
      </c>
      <c r="U2181" s="29" cm="1">
        <f t="array" ref="U2181">IF(表成绩单[[#This Row],[政治]]="","",SUMPRODUCT((表成绩单[考试日期]=表成绩单[[#This Row],[考试日期]])*(表成绩单[政治]&lt;9E+307)*(表成绩单[政治]&gt;表成绩单[[#This Row],[政治]]))+1)</f>
        <v>651</v>
      </c>
      <c r="V2181" s="29" cm="1">
        <f t="array" ref="V2181">IF(表成绩单[[#This Row],[历史]]="","",SUMPRODUCT((表成绩单[考试日期]=表成绩单[[#This Row],[考试日期]])*(表成绩单[历史]&lt;9E+307)*(表成绩单[历史]&gt;表成绩单[[#This Row],[历史]]))+1)</f>
        <v>521</v>
      </c>
      <c r="W2181" s="29" cm="1">
        <f t="array" ref="W2181">IF(表成绩单[[#This Row],[总分]]="","",SUMPRODUCT((表成绩单[考试日期]=表成绩单[[#This Row],[考试日期]])*(表成绩单[总分]&lt;9E+307)*(表成绩单[总分]&gt;表成绩单[[#This Row],[总分]]))+1)</f>
        <v>575</v>
      </c>
    </row>
    <row r="2182" ht="28" customHeight="1" spans="4:23">
      <c r="D2182" s="31">
        <v>46030</v>
      </c>
      <c r="E2182" s="29">
        <v>19173245</v>
      </c>
      <c r="F2182" s="29" t="s">
        <v>61</v>
      </c>
      <c r="G2182" s="29" t="s">
        <v>638</v>
      </c>
      <c r="H2182" s="29">
        <v>81</v>
      </c>
      <c r="I2182" s="29">
        <v>74</v>
      </c>
      <c r="J2182" s="29">
        <v>45</v>
      </c>
      <c r="K2182" s="29">
        <v>83</v>
      </c>
      <c r="L2182" s="29">
        <v>75</v>
      </c>
      <c r="M2182" s="29">
        <v>44</v>
      </c>
      <c r="N2182" s="29">
        <v>52</v>
      </c>
      <c r="O2182" s="32">
        <v>454</v>
      </c>
      <c r="P2182" s="29" cm="1">
        <f t="array" ref="P2182">IF(表成绩单[[#This Row],[语文]]="","",SUMPRODUCT((表成绩单[考试日期]=表成绩单[[#This Row],[考试日期]])*(表成绩单[语文]&lt;9E+307)*(表成绩单[语文]&gt;表成绩单[[#This Row],[语文]]))+1)</f>
        <v>668</v>
      </c>
      <c r="Q2182" s="29" cm="1">
        <f t="array" ref="Q2182">IF(表成绩单[[#This Row],[数学]]="","",SUMPRODUCT((表成绩单[考试日期]=表成绩单[[#This Row],[考试日期]])*(表成绩单[数学]&lt;9E+307)*(表成绩单[数学]&gt;表成绩单[[#This Row],[数学]]))+1)</f>
        <v>535</v>
      </c>
      <c r="R2182" s="29" cm="1">
        <f t="array" ref="R2182">IF(表成绩单[[#This Row],[英语]]="","",SUMPRODUCT((表成绩单[考试日期]=表成绩单[[#This Row],[考试日期]])*(表成绩单[英语]&lt;9E+307)*(表成绩单[英语]&gt;表成绩单[[#This Row],[英语]]))+1)</f>
        <v>691</v>
      </c>
      <c r="S2182" s="29" cm="1">
        <f t="array" ref="S2182">IF(表成绩单[[#This Row],[物理]]="","",SUMPRODUCT((表成绩单[考试日期]=表成绩单[[#This Row],[考试日期]])*(表成绩单[物理]&lt;9E+307)*(表成绩单[物理]&gt;表成绩单[[#This Row],[物理]]))+1)</f>
        <v>88</v>
      </c>
      <c r="T2182" s="29" cm="1">
        <f t="array" ref="T2182">IF(表成绩单[[#This Row],[化学]]="","",SUMPRODUCT((表成绩单[考试日期]=表成绩单[[#This Row],[考试日期]])*(表成绩单[化学]&lt;9E+307)*(表成绩单[化学]&gt;表成绩单[[#This Row],[化学]]))+1)</f>
        <v>169</v>
      </c>
      <c r="U2182" s="29" cm="1">
        <f t="array" ref="U2182">IF(表成绩单[[#This Row],[政治]]="","",SUMPRODUCT((表成绩单[考试日期]=表成绩单[[#This Row],[考试日期]])*(表成绩单[政治]&lt;9E+307)*(表成绩单[政治]&gt;表成绩单[[#This Row],[政治]]))+1)</f>
        <v>709</v>
      </c>
      <c r="V2182" s="29" cm="1">
        <f t="array" ref="V2182">IF(表成绩单[[#This Row],[历史]]="","",SUMPRODUCT((表成绩单[考试日期]=表成绩单[[#This Row],[考试日期]])*(表成绩单[历史]&lt;9E+307)*(表成绩单[历史]&gt;表成绩单[[#This Row],[历史]]))+1)</f>
        <v>701</v>
      </c>
      <c r="W2182" s="29" cm="1">
        <f t="array" ref="W2182">IF(表成绩单[[#This Row],[总分]]="","",SUMPRODUCT((表成绩单[考试日期]=表成绩单[[#This Row],[考试日期]])*(表成绩单[总分]&lt;9E+307)*(表成绩单[总分]&gt;表成绩单[[#This Row],[总分]]))+1)</f>
        <v>575</v>
      </c>
    </row>
    <row r="2183" ht="28" customHeight="1" spans="4:23">
      <c r="D2183" s="31">
        <v>46030</v>
      </c>
      <c r="E2183" s="29">
        <v>19173257</v>
      </c>
      <c r="F2183" s="29" t="s">
        <v>61</v>
      </c>
      <c r="G2183" s="29" t="s">
        <v>502</v>
      </c>
      <c r="H2183" s="29">
        <v>85</v>
      </c>
      <c r="I2183" s="29">
        <v>76</v>
      </c>
      <c r="J2183" s="29">
        <v>66.5</v>
      </c>
      <c r="K2183" s="29">
        <v>35</v>
      </c>
      <c r="L2183" s="29">
        <v>65</v>
      </c>
      <c r="M2183" s="29">
        <v>61</v>
      </c>
      <c r="N2183" s="29">
        <v>65</v>
      </c>
      <c r="O2183" s="32">
        <v>453.5</v>
      </c>
      <c r="P2183" s="29" cm="1">
        <f t="array" ref="P2183">IF(表成绩单[[#This Row],[语文]]="","",SUMPRODUCT((表成绩单[考试日期]=表成绩单[[#This Row],[考试日期]])*(表成绩单[语文]&lt;9E+307)*(表成绩单[语文]&gt;表成绩单[[#This Row],[语文]]))+1)</f>
        <v>619</v>
      </c>
      <c r="Q2183" s="29" cm="1">
        <f t="array" ref="Q2183">IF(表成绩单[[#This Row],[数学]]="","",SUMPRODUCT((表成绩单[考试日期]=表成绩单[[#This Row],[考试日期]])*(表成绩单[数学]&lt;9E+307)*(表成绩单[数学]&gt;表成绩单[[#This Row],[数学]]))+1)</f>
        <v>507</v>
      </c>
      <c r="R2183" s="29" cm="1">
        <f t="array" ref="R2183">IF(表成绩单[[#This Row],[英语]]="","",SUMPRODUCT((表成绩单[考试日期]=表成绩单[[#This Row],[考试日期]])*(表成绩单[英语]&lt;9E+307)*(表成绩单[英语]&gt;表成绩单[[#This Row],[英语]]))+1)</f>
        <v>402</v>
      </c>
      <c r="S2183" s="29" cm="1">
        <f t="array" ref="S2183">IF(表成绩单[[#This Row],[物理]]="","",SUMPRODUCT((表成绩单[考试日期]=表成绩单[[#This Row],[考试日期]])*(表成绩单[物理]&lt;9E+307)*(表成绩单[物理]&gt;表成绩单[[#This Row],[物理]]))+1)</f>
        <v>722</v>
      </c>
      <c r="T2183" s="29" cm="1">
        <f t="array" ref="T2183">IF(表成绩单[[#This Row],[化学]]="","",SUMPRODUCT((表成绩单[考试日期]=表成绩单[[#This Row],[考试日期]])*(表成绩单[化学]&lt;9E+307)*(表成绩单[化学]&gt;表成绩单[[#This Row],[化学]]))+1)</f>
        <v>439</v>
      </c>
      <c r="U2183" s="29" cm="1">
        <f t="array" ref="U2183">IF(表成绩单[[#This Row],[政治]]="","",SUMPRODUCT((表成绩单[考试日期]=表成绩单[[#This Row],[考试日期]])*(表成绩单[政治]&lt;9E+307)*(表成绩单[政治]&gt;表成绩单[[#This Row],[政治]]))+1)</f>
        <v>530</v>
      </c>
      <c r="V2183" s="29" cm="1">
        <f t="array" ref="V2183">IF(表成绩单[[#This Row],[历史]]="","",SUMPRODUCT((表成绩单[考试日期]=表成绩单[[#This Row],[考试日期]])*(表成绩单[历史]&lt;9E+307)*(表成绩单[历史]&gt;表成绩单[[#This Row],[历史]]))+1)</f>
        <v>471</v>
      </c>
      <c r="W2183" s="29" cm="1">
        <f t="array" ref="W2183">IF(表成绩单[[#This Row],[总分]]="","",SUMPRODUCT((表成绩单[考试日期]=表成绩单[[#This Row],[考试日期]])*(表成绩单[总分]&lt;9E+307)*(表成绩单[总分]&gt;表成绩单[[#This Row],[总分]]))+1)</f>
        <v>577</v>
      </c>
    </row>
    <row r="2184" ht="28" customHeight="1" spans="4:23">
      <c r="D2184" s="31">
        <v>46030</v>
      </c>
      <c r="E2184" s="29">
        <v>19177668</v>
      </c>
      <c r="F2184" s="29" t="s">
        <v>63</v>
      </c>
      <c r="G2184" s="29" t="s">
        <v>718</v>
      </c>
      <c r="H2184" s="29">
        <v>88</v>
      </c>
      <c r="I2184" s="29">
        <v>64</v>
      </c>
      <c r="J2184" s="29">
        <v>70.5</v>
      </c>
      <c r="K2184" s="29">
        <v>50</v>
      </c>
      <c r="L2184" s="29">
        <v>52</v>
      </c>
      <c r="M2184" s="29">
        <v>62</v>
      </c>
      <c r="N2184" s="29">
        <v>67</v>
      </c>
      <c r="O2184" s="32">
        <v>453.5</v>
      </c>
      <c r="P2184" s="29" cm="1">
        <f t="array" ref="P2184">IF(表成绩单[[#This Row],[语文]]="","",SUMPRODUCT((表成绩单[考试日期]=表成绩单[[#This Row],[考试日期]])*(表成绩单[语文]&lt;9E+307)*(表成绩单[语文]&gt;表成绩单[[#This Row],[语文]]))+1)</f>
        <v>562</v>
      </c>
      <c r="Q2184" s="29" cm="1">
        <f t="array" ref="Q2184">IF(表成绩单[[#This Row],[数学]]="","",SUMPRODUCT((表成绩单[考试日期]=表成绩单[[#This Row],[考试日期]])*(表成绩单[数学]&lt;9E+307)*(表成绩单[数学]&gt;表成绩单[[#This Row],[数学]]))+1)</f>
        <v>648</v>
      </c>
      <c r="R2184" s="29" cm="1">
        <f t="array" ref="R2184">IF(表成绩单[[#This Row],[英语]]="","",SUMPRODUCT((表成绩单[考试日期]=表成绩单[[#This Row],[考试日期]])*(表成绩单[英语]&lt;9E+307)*(表成绩单[英语]&gt;表成绩单[[#This Row],[英语]]))+1)</f>
        <v>299</v>
      </c>
      <c r="S2184" s="29" cm="1">
        <f t="array" ref="S2184">IF(表成绩单[[#This Row],[物理]]="","",SUMPRODUCT((表成绩单[考试日期]=表成绩单[[#This Row],[考试日期]])*(表成绩单[物理]&lt;9E+307)*(表成绩单[物理]&gt;表成绩单[[#This Row],[物理]]))+1)</f>
        <v>605</v>
      </c>
      <c r="T2184" s="29" cm="1">
        <f t="array" ref="T2184">IF(表成绩单[[#This Row],[化学]]="","",SUMPRODUCT((表成绩单[考试日期]=表成绩单[[#This Row],[考试日期]])*(表成绩单[化学]&lt;9E+307)*(表成绩单[化学]&gt;表成绩单[[#This Row],[化学]]))+1)</f>
        <v>638</v>
      </c>
      <c r="U2184" s="29" cm="1">
        <f t="array" ref="U2184">IF(表成绩单[[#This Row],[政治]]="","",SUMPRODUCT((表成绩单[考试日期]=表成绩单[[#This Row],[考试日期]])*(表成绩单[政治]&lt;9E+307)*(表成绩单[政治]&gt;表成绩单[[#This Row],[政治]]))+1)</f>
        <v>508</v>
      </c>
      <c r="V2184" s="29" cm="1">
        <f t="array" ref="V2184">IF(表成绩单[[#This Row],[历史]]="","",SUMPRODUCT((表成绩单[考试日期]=表成绩单[[#This Row],[考试日期]])*(表成绩单[历史]&lt;9E+307)*(表成绩单[历史]&gt;表成绩单[[#This Row],[历史]]))+1)</f>
        <v>415</v>
      </c>
      <c r="W2184" s="29" cm="1">
        <f t="array" ref="W2184">IF(表成绩单[[#This Row],[总分]]="","",SUMPRODUCT((表成绩单[考试日期]=表成绩单[[#This Row],[考试日期]])*(表成绩单[总分]&lt;9E+307)*(表成绩单[总分]&gt;表成绩单[[#This Row],[总分]]))+1)</f>
        <v>577</v>
      </c>
    </row>
    <row r="2185" ht="28" customHeight="1" spans="4:23">
      <c r="D2185" s="31">
        <v>46030</v>
      </c>
      <c r="E2185" s="29">
        <v>19177605</v>
      </c>
      <c r="F2185" s="29" t="s">
        <v>58</v>
      </c>
      <c r="G2185" s="29" t="s">
        <v>627</v>
      </c>
      <c r="H2185" s="29">
        <v>79</v>
      </c>
      <c r="I2185" s="29">
        <v>75</v>
      </c>
      <c r="J2185" s="29">
        <v>63.5</v>
      </c>
      <c r="K2185" s="29">
        <v>70</v>
      </c>
      <c r="L2185" s="29">
        <v>63</v>
      </c>
      <c r="M2185" s="29">
        <v>38</v>
      </c>
      <c r="N2185" s="29">
        <v>64</v>
      </c>
      <c r="O2185" s="32">
        <v>452.5</v>
      </c>
      <c r="P2185" s="29" cm="1">
        <f t="array" ref="P2185">IF(表成绩单[[#This Row],[语文]]="","",SUMPRODUCT((表成绩单[考试日期]=表成绩单[[#This Row],[考试日期]])*(表成绩单[语文]&lt;9E+307)*(表成绩单[语文]&gt;表成绩单[[#This Row],[语文]]))+1)</f>
        <v>684</v>
      </c>
      <c r="Q2185" s="29" cm="1">
        <f t="array" ref="Q2185">IF(表成绩单[[#This Row],[数学]]="","",SUMPRODUCT((表成绩单[考试日期]=表成绩单[[#This Row],[考试日期]])*(表成绩单[数学]&lt;9E+307)*(表成绩单[数学]&gt;表成绩单[[#This Row],[数学]]))+1)</f>
        <v>521</v>
      </c>
      <c r="R2185" s="29" cm="1">
        <f t="array" ref="R2185">IF(表成绩单[[#This Row],[英语]]="","",SUMPRODUCT((表成绩单[考试日期]=表成绩单[[#This Row],[考试日期]])*(表成绩单[英语]&lt;9E+307)*(表成绩单[英语]&gt;表成绩单[[#This Row],[英语]]))+1)</f>
        <v>466</v>
      </c>
      <c r="S2185" s="29" cm="1">
        <f t="array" ref="S2185">IF(表成绩单[[#This Row],[物理]]="","",SUMPRODUCT((表成绩单[考试日期]=表成绩单[[#This Row],[考试日期]])*(表成绩单[物理]&lt;9E+307)*(表成绩单[物理]&gt;表成绩单[[#This Row],[物理]]))+1)</f>
        <v>338</v>
      </c>
      <c r="T2185" s="29" cm="1">
        <f t="array" ref="T2185">IF(表成绩单[[#This Row],[化学]]="","",SUMPRODUCT((表成绩单[考试日期]=表成绩单[[#This Row],[考试日期]])*(表成绩单[化学]&lt;9E+307)*(表成绩单[化学]&gt;表成绩单[[#This Row],[化学]]))+1)</f>
        <v>472</v>
      </c>
      <c r="U2185" s="29" cm="1">
        <f t="array" ref="U2185">IF(表成绩单[[#This Row],[政治]]="","",SUMPRODUCT((表成绩单[考试日期]=表成绩单[[#This Row],[考试日期]])*(表成绩单[政治]&lt;9E+307)*(表成绩单[政治]&gt;表成绩单[[#This Row],[政治]]))+1)</f>
        <v>734</v>
      </c>
      <c r="V2185" s="29" cm="1">
        <f t="array" ref="V2185">IF(表成绩单[[#This Row],[历史]]="","",SUMPRODUCT((表成绩单[考试日期]=表成绩单[[#This Row],[考试日期]])*(表成绩单[历史]&lt;9E+307)*(表成绩单[历史]&gt;表成绩单[[#This Row],[历史]]))+1)</f>
        <v>509</v>
      </c>
      <c r="W2185" s="29" cm="1">
        <f t="array" ref="W2185">IF(表成绩单[[#This Row],[总分]]="","",SUMPRODUCT((表成绩单[考试日期]=表成绩单[[#This Row],[考试日期]])*(表成绩单[总分]&lt;9E+307)*(表成绩单[总分]&gt;表成绩单[[#This Row],[总分]]))+1)</f>
        <v>579</v>
      </c>
    </row>
    <row r="2186" ht="28" customHeight="1" spans="4:23">
      <c r="D2186" s="31">
        <v>46030</v>
      </c>
      <c r="E2186" s="29">
        <v>19174456</v>
      </c>
      <c r="F2186" s="29" t="s">
        <v>73</v>
      </c>
      <c r="G2186" s="29" t="s">
        <v>591</v>
      </c>
      <c r="H2186" s="29">
        <v>85</v>
      </c>
      <c r="I2186" s="29">
        <v>65</v>
      </c>
      <c r="J2186" s="29">
        <v>79</v>
      </c>
      <c r="K2186" s="29">
        <v>63</v>
      </c>
      <c r="L2186" s="29">
        <v>57</v>
      </c>
      <c r="M2186" s="29">
        <v>49</v>
      </c>
      <c r="N2186" s="29">
        <v>54</v>
      </c>
      <c r="O2186" s="32">
        <v>452</v>
      </c>
      <c r="P2186" s="29" cm="1">
        <f t="array" ref="P2186">IF(表成绩单[[#This Row],[语文]]="","",SUMPRODUCT((表成绩单[考试日期]=表成绩单[[#This Row],[考试日期]])*(表成绩单[语文]&lt;9E+307)*(表成绩单[语文]&gt;表成绩单[[#This Row],[语文]]))+1)</f>
        <v>619</v>
      </c>
      <c r="Q2186" s="29" cm="1">
        <f t="array" ref="Q2186">IF(表成绩单[[#This Row],[数学]]="","",SUMPRODUCT((表成绩单[考试日期]=表成绩单[[#This Row],[考试日期]])*(表成绩单[数学]&lt;9E+307)*(表成绩单[数学]&gt;表成绩单[[#This Row],[数学]]))+1)</f>
        <v>640</v>
      </c>
      <c r="R2186" s="29" cm="1">
        <f t="array" ref="R2186">IF(表成绩单[[#This Row],[英语]]="","",SUMPRODUCT((表成绩单[考试日期]=表成绩单[[#This Row],[考试日期]])*(表成绩单[英语]&lt;9E+307)*(表成绩单[英语]&gt;表成绩单[[#This Row],[英语]]))+1)</f>
        <v>50</v>
      </c>
      <c r="S2186" s="29" cm="1">
        <f t="array" ref="S2186">IF(表成绩单[[#This Row],[物理]]="","",SUMPRODUCT((表成绩单[考试日期]=表成绩单[[#This Row],[考试日期]])*(表成绩单[物理]&lt;9E+307)*(表成绩单[物理]&gt;表成绩单[[#This Row],[物理]]))+1)</f>
        <v>459</v>
      </c>
      <c r="T2186" s="29" cm="1">
        <f t="array" ref="T2186">IF(表成绩单[[#This Row],[化学]]="","",SUMPRODUCT((表成绩单[考试日期]=表成绩单[[#This Row],[考试日期]])*(表成绩单[化学]&lt;9E+307)*(表成绩单[化学]&gt;表成绩单[[#This Row],[化学]]))+1)</f>
        <v>564</v>
      </c>
      <c r="U2186" s="29" cm="1">
        <f t="array" ref="U2186">IF(表成绩单[[#This Row],[政治]]="","",SUMPRODUCT((表成绩单[考试日期]=表成绩单[[#This Row],[考试日期]])*(表成绩单[政治]&lt;9E+307)*(表成绩单[政治]&gt;表成绩单[[#This Row],[政治]]))+1)</f>
        <v>667</v>
      </c>
      <c r="V2186" s="29" cm="1">
        <f t="array" ref="V2186">IF(表成绩单[[#This Row],[历史]]="","",SUMPRODUCT((表成绩单[考试日期]=表成绩单[[#This Row],[考试日期]])*(表成绩单[历史]&lt;9E+307)*(表成绩单[历史]&gt;表成绩单[[#This Row],[历史]]))+1)</f>
        <v>682</v>
      </c>
      <c r="W2186" s="29" cm="1">
        <f t="array" ref="W2186">IF(表成绩单[[#This Row],[总分]]="","",SUMPRODUCT((表成绩单[考试日期]=表成绩单[[#This Row],[考试日期]])*(表成绩单[总分]&lt;9E+307)*(表成绩单[总分]&gt;表成绩单[[#This Row],[总分]]))+1)</f>
        <v>580</v>
      </c>
    </row>
    <row r="2187" ht="28" customHeight="1" spans="4:23">
      <c r="D2187" s="31">
        <v>46030</v>
      </c>
      <c r="E2187" s="29">
        <v>19178580</v>
      </c>
      <c r="F2187" s="29" t="s">
        <v>64</v>
      </c>
      <c r="G2187" s="29" t="s">
        <v>612</v>
      </c>
      <c r="H2187" s="29">
        <v>86</v>
      </c>
      <c r="I2187" s="29">
        <v>74</v>
      </c>
      <c r="J2187" s="29">
        <v>57.5</v>
      </c>
      <c r="K2187" s="29">
        <v>54</v>
      </c>
      <c r="L2187" s="29">
        <v>49</v>
      </c>
      <c r="M2187" s="29">
        <v>57</v>
      </c>
      <c r="N2187" s="29">
        <v>74</v>
      </c>
      <c r="O2187" s="32">
        <v>451.5</v>
      </c>
      <c r="P2187" s="29" cm="1">
        <f t="array" ref="P2187">IF(表成绩单[[#This Row],[语文]]="","",SUMPRODUCT((表成绩单[考试日期]=表成绩单[[#This Row],[考试日期]])*(表成绩单[语文]&lt;9E+307)*(表成绩单[语文]&gt;表成绩单[[#This Row],[语文]]))+1)</f>
        <v>601</v>
      </c>
      <c r="Q2187" s="29" cm="1">
        <f t="array" ref="Q2187">IF(表成绩单[[#This Row],[数学]]="","",SUMPRODUCT((表成绩单[考试日期]=表成绩单[[#This Row],[考试日期]])*(表成绩单[数学]&lt;9E+307)*(表成绩单[数学]&gt;表成绩单[[#This Row],[数学]]))+1)</f>
        <v>535</v>
      </c>
      <c r="R2187" s="29" cm="1">
        <f t="array" ref="R2187">IF(表成绩单[[#This Row],[英语]]="","",SUMPRODUCT((表成绩单[考试日期]=表成绩单[[#This Row],[考试日期]])*(表成绩单[英语]&lt;9E+307)*(表成绩单[英语]&gt;表成绩单[[#This Row],[英语]]))+1)</f>
        <v>566</v>
      </c>
      <c r="S2187" s="29" cm="1">
        <f t="array" ref="S2187">IF(表成绩单[[#This Row],[物理]]="","",SUMPRODUCT((表成绩单[考试日期]=表成绩单[[#This Row],[考试日期]])*(表成绩单[物理]&lt;9E+307)*(表成绩单[物理]&gt;表成绩单[[#This Row],[物理]]))+1)</f>
        <v>568</v>
      </c>
      <c r="T2187" s="29" cm="1">
        <f t="array" ref="T2187">IF(表成绩单[[#This Row],[化学]]="","",SUMPRODUCT((表成绩单[考试日期]=表成绩单[[#This Row],[考试日期]])*(表成绩单[化学]&lt;9E+307)*(表成绩单[化学]&gt;表成绩单[[#This Row],[化学]]))+1)</f>
        <v>675</v>
      </c>
      <c r="U2187" s="29" cm="1">
        <f t="array" ref="U2187">IF(表成绩单[[#This Row],[政治]]="","",SUMPRODUCT((表成绩单[考试日期]=表成绩单[[#This Row],[考试日期]])*(表成绩单[政治]&lt;9E+307)*(表成绩单[政治]&gt;表成绩单[[#This Row],[政治]]))+1)</f>
        <v>591</v>
      </c>
      <c r="V2187" s="29" cm="1">
        <f t="array" ref="V2187">IF(表成绩单[[#This Row],[历史]]="","",SUMPRODUCT((表成绩单[考试日期]=表成绩单[[#This Row],[考试日期]])*(表成绩单[历史]&lt;9E+307)*(表成绩单[历史]&gt;表成绩单[[#This Row],[历史]]))+1)</f>
        <v>215</v>
      </c>
      <c r="W2187" s="29" cm="1">
        <f t="array" ref="W2187">IF(表成绩单[[#This Row],[总分]]="","",SUMPRODUCT((表成绩单[考试日期]=表成绩单[[#This Row],[考试日期]])*(表成绩单[总分]&lt;9E+307)*(表成绩单[总分]&gt;表成绩单[[#This Row],[总分]]))+1)</f>
        <v>581</v>
      </c>
    </row>
    <row r="2188" ht="28" customHeight="1" spans="4:23">
      <c r="D2188" s="31">
        <v>46030</v>
      </c>
      <c r="E2188" s="29">
        <v>19178598</v>
      </c>
      <c r="F2188" s="29" t="s">
        <v>64</v>
      </c>
      <c r="G2188" s="29" t="s">
        <v>661</v>
      </c>
      <c r="H2188" s="29">
        <v>95</v>
      </c>
      <c r="I2188" s="29">
        <v>72</v>
      </c>
      <c r="J2188" s="29">
        <v>61.5</v>
      </c>
      <c r="K2188" s="29">
        <v>58</v>
      </c>
      <c r="L2188" s="29">
        <v>60</v>
      </c>
      <c r="M2188" s="29">
        <v>50</v>
      </c>
      <c r="N2188" s="29">
        <v>55</v>
      </c>
      <c r="O2188" s="32">
        <v>451.5</v>
      </c>
      <c r="P2188" s="29" cm="1">
        <f t="array" ref="P2188">IF(表成绩单[[#This Row],[语文]]="","",SUMPRODUCT((表成绩单[考试日期]=表成绩单[[#This Row],[考试日期]])*(表成绩单[语文]&lt;9E+307)*(表成绩单[语文]&gt;表成绩单[[#This Row],[语文]]))+1)</f>
        <v>342</v>
      </c>
      <c r="Q2188" s="29" cm="1">
        <f t="array" ref="Q2188">IF(表成绩单[[#This Row],[数学]]="","",SUMPRODUCT((表成绩单[考试日期]=表成绩单[[#This Row],[考试日期]])*(表成绩单[数学]&lt;9E+307)*(表成绩单[数学]&gt;表成绩单[[#This Row],[数学]]))+1)</f>
        <v>562</v>
      </c>
      <c r="R2188" s="29" cm="1">
        <f t="array" ref="R2188">IF(表成绩单[[#This Row],[英语]]="","",SUMPRODUCT((表成绩单[考试日期]=表成绩单[[#This Row],[考试日期]])*(表成绩单[英语]&lt;9E+307)*(表成绩单[英语]&gt;表成绩单[[#This Row],[英语]]))+1)</f>
        <v>495</v>
      </c>
      <c r="S2188" s="29" cm="1">
        <f t="array" ref="S2188">IF(表成绩单[[#This Row],[物理]]="","",SUMPRODUCT((表成绩单[考试日期]=表成绩单[[#This Row],[考试日期]])*(表成绩单[物理]&lt;9E+307)*(表成绩单[物理]&gt;表成绩单[[#This Row],[物理]]))+1)</f>
        <v>527</v>
      </c>
      <c r="T2188" s="29" cm="1">
        <f t="array" ref="T2188">IF(表成绩单[[#This Row],[化学]]="","",SUMPRODUCT((表成绩单[考试日期]=表成绩单[[#This Row],[考试日期]])*(表成绩单[化学]&lt;9E+307)*(表成绩单[化学]&gt;表成绩单[[#This Row],[化学]]))+1)</f>
        <v>525</v>
      </c>
      <c r="U2188" s="29" cm="1">
        <f t="array" ref="U2188">IF(表成绩单[[#This Row],[政治]]="","",SUMPRODUCT((表成绩单[考试日期]=表成绩单[[#This Row],[考试日期]])*(表成绩单[政治]&lt;9E+307)*(表成绩单[政治]&gt;表成绩单[[#This Row],[政治]]))+1)</f>
        <v>663</v>
      </c>
      <c r="V2188" s="29" cm="1">
        <f t="array" ref="V2188">IF(表成绩单[[#This Row],[历史]]="","",SUMPRODUCT((表成绩单[考试日期]=表成绩单[[#This Row],[考试日期]])*(表成绩单[历史]&lt;9E+307)*(表成绩单[历史]&gt;表成绩单[[#This Row],[历史]]))+1)</f>
        <v>662</v>
      </c>
      <c r="W2188" s="29" cm="1">
        <f t="array" ref="W2188">IF(表成绩单[[#This Row],[总分]]="","",SUMPRODUCT((表成绩单[考试日期]=表成绩单[[#This Row],[考试日期]])*(表成绩单[总分]&lt;9E+307)*(表成绩单[总分]&gt;表成绩单[[#This Row],[总分]]))+1)</f>
        <v>581</v>
      </c>
    </row>
    <row r="2189" ht="28" customHeight="1" spans="4:23">
      <c r="D2189" s="31">
        <v>46030</v>
      </c>
      <c r="E2189" s="29">
        <v>19175308</v>
      </c>
      <c r="F2189" s="29" t="s">
        <v>55</v>
      </c>
      <c r="G2189" s="29" t="s">
        <v>581</v>
      </c>
      <c r="H2189" s="29">
        <v>91</v>
      </c>
      <c r="I2189" s="29">
        <v>71</v>
      </c>
      <c r="J2189" s="29">
        <v>44</v>
      </c>
      <c r="K2189" s="29">
        <v>43</v>
      </c>
      <c r="L2189" s="29">
        <v>58</v>
      </c>
      <c r="M2189" s="29">
        <v>72</v>
      </c>
      <c r="N2189" s="29">
        <v>72</v>
      </c>
      <c r="O2189" s="32">
        <v>451</v>
      </c>
      <c r="P2189" s="29" cm="1">
        <f t="array" ref="P2189">IF(表成绩单[[#This Row],[语文]]="","",SUMPRODUCT((表成绩单[考试日期]=表成绩单[[#This Row],[考试日期]])*(表成绩单[语文]&lt;9E+307)*(表成绩单[语文]&gt;表成绩单[[#This Row],[语文]]))+1)</f>
        <v>478</v>
      </c>
      <c r="Q2189" s="29" cm="1">
        <f t="array" ref="Q2189">IF(表成绩单[[#This Row],[数学]]="","",SUMPRODUCT((表成绩单[考试日期]=表成绩单[[#This Row],[考试日期]])*(表成绩单[数学]&lt;9E+307)*(表成绩单[数学]&gt;表成绩单[[#This Row],[数学]]))+1)</f>
        <v>578</v>
      </c>
      <c r="R2189" s="29" cm="1">
        <f t="array" ref="R2189">IF(表成绩单[[#This Row],[英语]]="","",SUMPRODUCT((表成绩单[考试日期]=表成绩单[[#This Row],[考试日期]])*(表成绩单[英语]&lt;9E+307)*(表成绩单[英语]&gt;表成绩单[[#This Row],[英语]]))+1)</f>
        <v>695</v>
      </c>
      <c r="S2189" s="29" cm="1">
        <f t="array" ref="S2189">IF(表成绩单[[#This Row],[物理]]="","",SUMPRODUCT((表成绩单[考试日期]=表成绩单[[#This Row],[考试日期]])*(表成绩单[物理]&lt;9E+307)*(表成绩单[物理]&gt;表成绩单[[#This Row],[物理]]))+1)</f>
        <v>674</v>
      </c>
      <c r="T2189" s="29" cm="1">
        <f t="array" ref="T2189">IF(表成绩单[[#This Row],[化学]]="","",SUMPRODUCT((表成绩单[考试日期]=表成绩单[[#This Row],[考试日期]])*(表成绩单[化学]&lt;9E+307)*(表成绩单[化学]&gt;表成绩单[[#This Row],[化学]]))+1)</f>
        <v>558</v>
      </c>
      <c r="U2189" s="29" cm="1">
        <f t="array" ref="U2189">IF(表成绩单[[#This Row],[政治]]="","",SUMPRODUCT((表成绩单[考试日期]=表成绩单[[#This Row],[考试日期]])*(表成绩单[政治]&lt;9E+307)*(表成绩单[政治]&gt;表成绩单[[#This Row],[政治]]))+1)</f>
        <v>224</v>
      </c>
      <c r="V2189" s="29" cm="1">
        <f t="array" ref="V2189">IF(表成绩单[[#This Row],[历史]]="","",SUMPRODUCT((表成绩单[考试日期]=表成绩单[[#This Row],[考试日期]])*(表成绩单[历史]&lt;9E+307)*(表成绩单[历史]&gt;表成绩单[[#This Row],[历史]]))+1)</f>
        <v>266</v>
      </c>
      <c r="W2189" s="29" cm="1">
        <f t="array" ref="W2189">IF(表成绩单[[#This Row],[总分]]="","",SUMPRODUCT((表成绩单[考试日期]=表成绩单[[#This Row],[考试日期]])*(表成绩单[总分]&lt;9E+307)*(表成绩单[总分]&gt;表成绩单[[#This Row],[总分]]))+1)</f>
        <v>583</v>
      </c>
    </row>
    <row r="2190" ht="28" customHeight="1" spans="4:23">
      <c r="D2190" s="31">
        <v>46030</v>
      </c>
      <c r="E2190" s="29">
        <v>19177596</v>
      </c>
      <c r="F2190" s="29" t="s">
        <v>58</v>
      </c>
      <c r="G2190" s="29" t="s">
        <v>703</v>
      </c>
      <c r="H2190" s="29">
        <v>95</v>
      </c>
      <c r="I2190" s="29">
        <v>65</v>
      </c>
      <c r="J2190" s="29">
        <v>49</v>
      </c>
      <c r="K2190" s="29">
        <v>52</v>
      </c>
      <c r="L2190" s="29">
        <v>53</v>
      </c>
      <c r="M2190" s="29">
        <v>59</v>
      </c>
      <c r="N2190" s="29">
        <v>78</v>
      </c>
      <c r="O2190" s="32">
        <v>451</v>
      </c>
      <c r="P2190" s="29" cm="1">
        <f t="array" ref="P2190">IF(表成绩单[[#This Row],[语文]]="","",SUMPRODUCT((表成绩单[考试日期]=表成绩单[[#This Row],[考试日期]])*(表成绩单[语文]&lt;9E+307)*(表成绩单[语文]&gt;表成绩单[[#This Row],[语文]]))+1)</f>
        <v>342</v>
      </c>
      <c r="Q2190" s="29" cm="1">
        <f t="array" ref="Q2190">IF(表成绩单[[#This Row],[数学]]="","",SUMPRODUCT((表成绩单[考试日期]=表成绩单[[#This Row],[考试日期]])*(表成绩单[数学]&lt;9E+307)*(表成绩单[数学]&gt;表成绩单[[#This Row],[数学]]))+1)</f>
        <v>640</v>
      </c>
      <c r="R2190" s="29" cm="1">
        <f t="array" ref="R2190">IF(表成绩单[[#This Row],[英语]]="","",SUMPRODUCT((表成绩单[考试日期]=表成绩单[[#This Row],[考试日期]])*(表成绩单[英语]&lt;9E+307)*(表成绩单[英语]&gt;表成绩单[[#This Row],[英语]]))+1)</f>
        <v>659</v>
      </c>
      <c r="S2190" s="29" cm="1">
        <f t="array" ref="S2190">IF(表成绩单[[#This Row],[物理]]="","",SUMPRODUCT((表成绩单[考试日期]=表成绩单[[#This Row],[考试日期]])*(表成绩单[物理]&lt;9E+307)*(表成绩单[物理]&gt;表成绩单[[#This Row],[物理]]))+1)</f>
        <v>587</v>
      </c>
      <c r="T2190" s="29" cm="1">
        <f t="array" ref="T2190">IF(表成绩单[[#This Row],[化学]]="","",SUMPRODUCT((表成绩单[考试日期]=表成绩单[[#This Row],[考试日期]])*(表成绩单[化学]&lt;9E+307)*(表成绩单[化学]&gt;表成绩单[[#This Row],[化学]]))+1)</f>
        <v>623</v>
      </c>
      <c r="U2190" s="29" cm="1">
        <f t="array" ref="U2190">IF(表成绩单[[#This Row],[政治]]="","",SUMPRODUCT((表成绩单[考试日期]=表成绩单[[#This Row],[考试日期]])*(表成绩单[政治]&lt;9E+307)*(表成绩单[政治]&gt;表成绩单[[#This Row],[政治]]))+1)</f>
        <v>557</v>
      </c>
      <c r="V2190" s="29" cm="1">
        <f t="array" ref="V2190">IF(表成绩单[[#This Row],[历史]]="","",SUMPRODUCT((表成绩单[考试日期]=表成绩单[[#This Row],[考试日期]])*(表成绩单[历史]&lt;9E+307)*(表成绩单[历史]&gt;表成绩单[[#This Row],[历史]]))+1)</f>
        <v>126</v>
      </c>
      <c r="W2190" s="29" cm="1">
        <f t="array" ref="W2190">IF(表成绩单[[#This Row],[总分]]="","",SUMPRODUCT((表成绩单[考试日期]=表成绩单[[#This Row],[考试日期]])*(表成绩单[总分]&lt;9E+307)*(表成绩单[总分]&gt;表成绩单[[#This Row],[总分]]))+1)</f>
        <v>583</v>
      </c>
    </row>
    <row r="2191" ht="28" customHeight="1" spans="4:23">
      <c r="D2191" s="31">
        <v>46030</v>
      </c>
      <c r="E2191" s="29">
        <v>19176861</v>
      </c>
      <c r="F2191" s="29" t="s">
        <v>71</v>
      </c>
      <c r="G2191" s="29" t="s">
        <v>716</v>
      </c>
      <c r="H2191" s="29">
        <v>91</v>
      </c>
      <c r="I2191" s="29">
        <v>79</v>
      </c>
      <c r="J2191" s="29">
        <v>73</v>
      </c>
      <c r="K2191" s="29">
        <v>49</v>
      </c>
      <c r="L2191" s="29">
        <v>43</v>
      </c>
      <c r="M2191" s="29">
        <v>64</v>
      </c>
      <c r="N2191" s="29">
        <v>51</v>
      </c>
      <c r="O2191" s="32">
        <v>450</v>
      </c>
      <c r="P2191" s="29" cm="1">
        <f t="array" ref="P2191">IF(表成绩单[[#This Row],[语文]]="","",SUMPRODUCT((表成绩单[考试日期]=表成绩单[[#This Row],[考试日期]])*(表成绩单[语文]&lt;9E+307)*(表成绩单[语文]&gt;表成绩单[[#This Row],[语文]]))+1)</f>
        <v>478</v>
      </c>
      <c r="Q2191" s="29" cm="1">
        <f t="array" ref="Q2191">IF(表成绩单[[#This Row],[数学]]="","",SUMPRODUCT((表成绩单[考试日期]=表成绩单[[#This Row],[考试日期]])*(表成绩单[数学]&lt;9E+307)*(表成绩单[数学]&gt;表成绩单[[#This Row],[数学]]))+1)</f>
        <v>427</v>
      </c>
      <c r="R2191" s="29" cm="1">
        <f t="array" ref="R2191">IF(表成绩单[[#This Row],[英语]]="","",SUMPRODUCT((表成绩单[考试日期]=表成绩单[[#This Row],[考试日期]])*(表成绩单[英语]&lt;9E+307)*(表成绩单[英语]&gt;表成绩单[[#This Row],[英语]]))+1)</f>
        <v>222</v>
      </c>
      <c r="S2191" s="29" cm="1">
        <f t="array" ref="S2191">IF(表成绩单[[#This Row],[物理]]="","",SUMPRODUCT((表成绩单[考试日期]=表成绩单[[#This Row],[考试日期]])*(表成绩单[物理]&lt;9E+307)*(表成绩单[物理]&gt;表成绩单[[#This Row],[物理]]))+1)</f>
        <v>619</v>
      </c>
      <c r="T2191" s="29" cm="1">
        <f t="array" ref="T2191">IF(表成绩单[[#This Row],[化学]]="","",SUMPRODUCT((表成绩单[考试日期]=表成绩单[[#This Row],[考试日期]])*(表成绩单[化学]&lt;9E+307)*(表成绩单[化学]&gt;表成绩单[[#This Row],[化学]]))+1)</f>
        <v>727</v>
      </c>
      <c r="U2191" s="29" cm="1">
        <f t="array" ref="U2191">IF(表成绩单[[#This Row],[政治]]="","",SUMPRODUCT((表成绩单[考试日期]=表成绩单[[#This Row],[考试日期]])*(表成绩单[政治]&lt;9E+307)*(表成绩单[政治]&gt;表成绩单[[#This Row],[政治]]))+1)</f>
        <v>457</v>
      </c>
      <c r="V2191" s="29" cm="1">
        <f t="array" ref="V2191">IF(表成绩单[[#This Row],[历史]]="","",SUMPRODUCT((表成绩单[考试日期]=表成绩单[[#This Row],[考试日期]])*(表成绩单[历史]&lt;9E+307)*(表成绩单[历史]&gt;表成绩单[[#This Row],[历史]]))+1)</f>
        <v>714</v>
      </c>
      <c r="W2191" s="29" cm="1">
        <f t="array" ref="W2191">IF(表成绩单[[#This Row],[总分]]="","",SUMPRODUCT((表成绩单[考试日期]=表成绩单[[#This Row],[考试日期]])*(表成绩单[总分]&lt;9E+307)*(表成绩单[总分]&gt;表成绩单[[#This Row],[总分]]))+1)</f>
        <v>585</v>
      </c>
    </row>
    <row r="2192" ht="28" customHeight="1" spans="4:23">
      <c r="D2192" s="31">
        <v>46030</v>
      </c>
      <c r="E2192" s="29">
        <v>19174787</v>
      </c>
      <c r="F2192" s="29" t="s">
        <v>69</v>
      </c>
      <c r="G2192" s="29" t="s">
        <v>654</v>
      </c>
      <c r="H2192" s="29">
        <v>96</v>
      </c>
      <c r="I2192" s="29">
        <v>72</v>
      </c>
      <c r="J2192" s="29">
        <v>58</v>
      </c>
      <c r="K2192" s="29">
        <v>49</v>
      </c>
      <c r="L2192" s="29">
        <v>54</v>
      </c>
      <c r="M2192" s="29">
        <v>49</v>
      </c>
      <c r="N2192" s="29">
        <v>71</v>
      </c>
      <c r="O2192" s="32">
        <v>449</v>
      </c>
      <c r="P2192" s="29" cm="1">
        <f t="array" ref="P2192">IF(表成绩单[[#This Row],[语文]]="","",SUMPRODUCT((表成绩单[考试日期]=表成绩单[[#This Row],[考试日期]])*(表成绩单[语文]&lt;9E+307)*(表成绩单[语文]&gt;表成绩单[[#This Row],[语文]]))+1)</f>
        <v>315</v>
      </c>
      <c r="Q2192" s="29" cm="1">
        <f t="array" ref="Q2192">IF(表成绩单[[#This Row],[数学]]="","",SUMPRODUCT((表成绩单[考试日期]=表成绩单[[#This Row],[考试日期]])*(表成绩单[数学]&lt;9E+307)*(表成绩单[数学]&gt;表成绩单[[#This Row],[数学]]))+1)</f>
        <v>562</v>
      </c>
      <c r="R2192" s="29" cm="1">
        <f t="array" ref="R2192">IF(表成绩单[[#This Row],[英语]]="","",SUMPRODUCT((表成绩单[考试日期]=表成绩单[[#This Row],[考试日期]])*(表成绩单[英语]&lt;9E+307)*(表成绩单[英语]&gt;表成绩单[[#This Row],[英语]]))+1)</f>
        <v>556</v>
      </c>
      <c r="S2192" s="29" cm="1">
        <f t="array" ref="S2192">IF(表成绩单[[#This Row],[物理]]="","",SUMPRODUCT((表成绩单[考试日期]=表成绩单[[#This Row],[考试日期]])*(表成绩单[物理]&lt;9E+307)*(表成绩单[物理]&gt;表成绩单[[#This Row],[物理]]))+1)</f>
        <v>619</v>
      </c>
      <c r="T2192" s="29" cm="1">
        <f t="array" ref="T2192">IF(表成绩单[[#This Row],[化学]]="","",SUMPRODUCT((表成绩单[考试日期]=表成绩单[[#This Row],[考试日期]])*(表成绩单[化学]&lt;9E+307)*(表成绩单[化学]&gt;表成绩单[[#This Row],[化学]]))+1)</f>
        <v>609</v>
      </c>
      <c r="U2192" s="29" cm="1">
        <f t="array" ref="U2192">IF(表成绩单[[#This Row],[政治]]="","",SUMPRODUCT((表成绩单[考试日期]=表成绩单[[#This Row],[考试日期]])*(表成绩单[政治]&lt;9E+307)*(表成绩单[政治]&gt;表成绩单[[#This Row],[政治]]))+1)</f>
        <v>667</v>
      </c>
      <c r="V2192" s="29" cm="1">
        <f t="array" ref="V2192">IF(表成绩单[[#This Row],[历史]]="","",SUMPRODUCT((表成绩单[考试日期]=表成绩单[[#This Row],[考试日期]])*(表成绩单[历史]&lt;9E+307)*(表成绩单[历史]&gt;表成绩单[[#This Row],[历史]]))+1)</f>
        <v>297</v>
      </c>
      <c r="W2192" s="29" cm="1">
        <f t="array" ref="W2192">IF(表成绩单[[#This Row],[总分]]="","",SUMPRODUCT((表成绩单[考试日期]=表成绩单[[#This Row],[考试日期]])*(表成绩单[总分]&lt;9E+307)*(表成绩单[总分]&gt;表成绩单[[#This Row],[总分]]))+1)</f>
        <v>586</v>
      </c>
    </row>
    <row r="2193" ht="28" customHeight="1" spans="4:23">
      <c r="D2193" s="31">
        <v>46030</v>
      </c>
      <c r="E2193" s="29">
        <v>19177671</v>
      </c>
      <c r="F2193" s="29" t="s">
        <v>63</v>
      </c>
      <c r="G2193" s="29" t="s">
        <v>725</v>
      </c>
      <c r="H2193" s="29">
        <v>90</v>
      </c>
      <c r="I2193" s="29">
        <v>64</v>
      </c>
      <c r="J2193" s="29">
        <v>67</v>
      </c>
      <c r="K2193" s="29">
        <v>52</v>
      </c>
      <c r="L2193" s="29">
        <v>53</v>
      </c>
      <c r="M2193" s="29">
        <v>64</v>
      </c>
      <c r="N2193" s="29">
        <v>59</v>
      </c>
      <c r="O2193" s="32">
        <v>449</v>
      </c>
      <c r="P2193" s="29" cm="1">
        <f t="array" ref="P2193">IF(表成绩单[[#This Row],[语文]]="","",SUMPRODUCT((表成绩单[考试日期]=表成绩单[[#This Row],[考试日期]])*(表成绩单[语文]&lt;9E+307)*(表成绩单[语文]&gt;表成绩单[[#This Row],[语文]]))+1)</f>
        <v>509</v>
      </c>
      <c r="Q2193" s="29" cm="1">
        <f t="array" ref="Q2193">IF(表成绩单[[#This Row],[数学]]="","",SUMPRODUCT((表成绩单[考试日期]=表成绩单[[#This Row],[考试日期]])*(表成绩单[数学]&lt;9E+307)*(表成绩单[数学]&gt;表成绩单[[#This Row],[数学]]))+1)</f>
        <v>648</v>
      </c>
      <c r="R2193" s="29" cm="1">
        <f t="array" ref="R2193">IF(表成绩单[[#This Row],[英语]]="","",SUMPRODUCT((表成绩单[考试日期]=表成绩单[[#This Row],[考试日期]])*(表成绩单[英语]&lt;9E+307)*(表成绩单[英语]&gt;表成绩单[[#This Row],[英语]]))+1)</f>
        <v>391</v>
      </c>
      <c r="S2193" s="29" cm="1">
        <f t="array" ref="S2193">IF(表成绩单[[#This Row],[物理]]="","",SUMPRODUCT((表成绩单[考试日期]=表成绩单[[#This Row],[考试日期]])*(表成绩单[物理]&lt;9E+307)*(表成绩单[物理]&gt;表成绩单[[#This Row],[物理]]))+1)</f>
        <v>587</v>
      </c>
      <c r="T2193" s="29" cm="1">
        <f t="array" ref="T2193">IF(表成绩单[[#This Row],[化学]]="","",SUMPRODUCT((表成绩单[考试日期]=表成绩单[[#This Row],[考试日期]])*(表成绩单[化学]&lt;9E+307)*(表成绩单[化学]&gt;表成绩单[[#This Row],[化学]]))+1)</f>
        <v>623</v>
      </c>
      <c r="U2193" s="29" cm="1">
        <f t="array" ref="U2193">IF(表成绩单[[#This Row],[政治]]="","",SUMPRODUCT((表成绩单[考试日期]=表成绩单[[#This Row],[考试日期]])*(表成绩单[政治]&lt;9E+307)*(表成绩单[政治]&gt;表成绩单[[#This Row],[政治]]))+1)</f>
        <v>457</v>
      </c>
      <c r="V2193" s="29" cm="1">
        <f t="array" ref="V2193">IF(表成绩单[[#This Row],[历史]]="","",SUMPRODUCT((表成绩单[考试日期]=表成绩单[[#This Row],[考试日期]])*(表成绩单[历史]&lt;9E+307)*(表成绩单[历史]&gt;表成绩单[[#This Row],[历史]]))+1)</f>
        <v>601</v>
      </c>
      <c r="W2193" s="29" cm="1">
        <f t="array" ref="W2193">IF(表成绩单[[#This Row],[总分]]="","",SUMPRODUCT((表成绩单[考试日期]=表成绩单[[#This Row],[考试日期]])*(表成绩单[总分]&lt;9E+307)*(表成绩单[总分]&gt;表成绩单[[#This Row],[总分]]))+1)</f>
        <v>586</v>
      </c>
    </row>
    <row r="2194" ht="28" customHeight="1" spans="4:23">
      <c r="D2194" s="31">
        <v>46030</v>
      </c>
      <c r="E2194" s="29">
        <v>19178602</v>
      </c>
      <c r="F2194" s="29" t="s">
        <v>64</v>
      </c>
      <c r="G2194" s="29" t="s">
        <v>754</v>
      </c>
      <c r="H2194" s="29">
        <v>87</v>
      </c>
      <c r="I2194" s="29">
        <v>63</v>
      </c>
      <c r="J2194" s="29">
        <v>42</v>
      </c>
      <c r="K2194" s="29">
        <v>63</v>
      </c>
      <c r="L2194" s="29">
        <v>72</v>
      </c>
      <c r="M2194" s="29">
        <v>54</v>
      </c>
      <c r="N2194" s="29">
        <v>68</v>
      </c>
      <c r="O2194" s="32">
        <v>449</v>
      </c>
      <c r="P2194" s="29" cm="1">
        <f t="array" ref="P2194">IF(表成绩单[[#This Row],[语文]]="","",SUMPRODUCT((表成绩单[考试日期]=表成绩单[[#This Row],[考试日期]])*(表成绩单[语文]&lt;9E+307)*(表成绩单[语文]&gt;表成绩单[[#This Row],[语文]]))+1)</f>
        <v>581</v>
      </c>
      <c r="Q2194" s="29" cm="1">
        <f t="array" ref="Q2194">IF(表成绩单[[#This Row],[数学]]="","",SUMPRODUCT((表成绩单[考试日期]=表成绩单[[#This Row],[考试日期]])*(表成绩单[数学]&lt;9E+307)*(表成绩单[数学]&gt;表成绩单[[#This Row],[数学]]))+1)</f>
        <v>655</v>
      </c>
      <c r="R2194" s="29" cm="1">
        <f t="array" ref="R2194">IF(表成绩单[[#This Row],[英语]]="","",SUMPRODUCT((表成绩单[考试日期]=表成绩单[[#This Row],[考试日期]])*(表成绩单[英语]&lt;9E+307)*(表成绩单[英语]&gt;表成绩单[[#This Row],[英语]]))+1)</f>
        <v>711</v>
      </c>
      <c r="S2194" s="29" cm="1">
        <f t="array" ref="S2194">IF(表成绩单[[#This Row],[物理]]="","",SUMPRODUCT((表成绩单[考试日期]=表成绩单[[#This Row],[考试日期]])*(表成绩单[物理]&lt;9E+307)*(表成绩单[物理]&gt;表成绩单[[#This Row],[物理]]))+1)</f>
        <v>459</v>
      </c>
      <c r="T2194" s="29" cm="1">
        <f t="array" ref="T2194">IF(表成绩单[[#This Row],[化学]]="","",SUMPRODUCT((表成绩单[考试日期]=表成绩单[[#This Row],[考试日期]])*(表成绩单[化学]&lt;9E+307)*(表成绩单[化学]&gt;表成绩单[[#This Row],[化学]]))+1)</f>
        <v>271</v>
      </c>
      <c r="U2194" s="29" cm="1">
        <f t="array" ref="U2194">IF(表成绩单[[#This Row],[政治]]="","",SUMPRODUCT((表成绩单[考试日期]=表成绩单[[#This Row],[考试日期]])*(表成绩单[政治]&lt;9E+307)*(表成绩单[政治]&gt;表成绩单[[#This Row],[政治]]))+1)</f>
        <v>621</v>
      </c>
      <c r="V2194" s="29" cm="1">
        <f t="array" ref="V2194">IF(表成绩单[[#This Row],[历史]]="","",SUMPRODUCT((表成绩单[考试日期]=表成绩单[[#This Row],[考试日期]])*(表成绩单[历史]&lt;9E+307)*(表成绩单[历史]&gt;表成绩单[[#This Row],[历史]]))+1)</f>
        <v>390</v>
      </c>
      <c r="W2194" s="29" cm="1">
        <f t="array" ref="W2194">IF(表成绩单[[#This Row],[总分]]="","",SUMPRODUCT((表成绩单[考试日期]=表成绩单[[#This Row],[考试日期]])*(表成绩单[总分]&lt;9E+307)*(表成绩单[总分]&gt;表成绩单[[#This Row],[总分]]))+1)</f>
        <v>586</v>
      </c>
    </row>
    <row r="2195" ht="28" customHeight="1" spans="4:23">
      <c r="D2195" s="31">
        <v>46030</v>
      </c>
      <c r="E2195" s="29">
        <v>19174448</v>
      </c>
      <c r="F2195" s="29" t="s">
        <v>73</v>
      </c>
      <c r="G2195" s="29" t="s">
        <v>668</v>
      </c>
      <c r="H2195" s="29">
        <v>96</v>
      </c>
      <c r="I2195" s="29">
        <v>75</v>
      </c>
      <c r="J2195" s="29">
        <v>75.5</v>
      </c>
      <c r="K2195" s="29">
        <v>50</v>
      </c>
      <c r="L2195" s="29">
        <v>51</v>
      </c>
      <c r="M2195" s="29">
        <v>48</v>
      </c>
      <c r="N2195" s="29">
        <v>53</v>
      </c>
      <c r="O2195" s="32">
        <v>448.5</v>
      </c>
      <c r="P2195" s="29" cm="1">
        <f t="array" ref="P2195">IF(表成绩单[[#This Row],[语文]]="","",SUMPRODUCT((表成绩单[考试日期]=表成绩单[[#This Row],[考试日期]])*(表成绩单[语文]&lt;9E+307)*(表成绩单[语文]&gt;表成绩单[[#This Row],[语文]]))+1)</f>
        <v>315</v>
      </c>
      <c r="Q2195" s="29" cm="1">
        <f t="array" ref="Q2195">IF(表成绩单[[#This Row],[数学]]="","",SUMPRODUCT((表成绩单[考试日期]=表成绩单[[#This Row],[考试日期]])*(表成绩单[数学]&lt;9E+307)*(表成绩单[数学]&gt;表成绩单[[#This Row],[数学]]))+1)</f>
        <v>521</v>
      </c>
      <c r="R2195" s="29" cm="1">
        <f t="array" ref="R2195">IF(表成绩单[[#This Row],[英语]]="","",SUMPRODUCT((表成绩单[考试日期]=表成绩单[[#This Row],[考试日期]])*(表成绩单[英语]&lt;9E+307)*(表成绩单[英语]&gt;表成绩单[[#This Row],[英语]]))+1)</f>
        <v>145</v>
      </c>
      <c r="S2195" s="29" cm="1">
        <f t="array" ref="S2195">IF(表成绩单[[#This Row],[物理]]="","",SUMPRODUCT((表成绩单[考试日期]=表成绩单[[#This Row],[考试日期]])*(表成绩单[物理]&lt;9E+307)*(表成绩单[物理]&gt;表成绩单[[#This Row],[物理]]))+1)</f>
        <v>605</v>
      </c>
      <c r="T2195" s="29" cm="1">
        <f t="array" ref="T2195">IF(表成绩单[[#This Row],[化学]]="","",SUMPRODUCT((表成绩单[考试日期]=表成绩单[[#This Row],[考试日期]])*(表成绩单[化学]&lt;9E+307)*(表成绩单[化学]&gt;表成绩单[[#This Row],[化学]]))+1)</f>
        <v>648</v>
      </c>
      <c r="U2195" s="29" cm="1">
        <f t="array" ref="U2195">IF(表成绩单[[#This Row],[政治]]="","",SUMPRODUCT((表成绩单[考试日期]=表成绩单[[#This Row],[考试日期]])*(表成绩单[政治]&lt;9E+307)*(表成绩单[政治]&gt;表成绩单[[#This Row],[政治]]))+1)</f>
        <v>675</v>
      </c>
      <c r="V2195" s="29" cm="1">
        <f t="array" ref="V2195">IF(表成绩单[[#This Row],[历史]]="","",SUMPRODUCT((表成绩单[考试日期]=表成绩单[[#This Row],[考试日期]])*(表成绩单[历史]&lt;9E+307)*(表成绩单[历史]&gt;表成绩单[[#This Row],[历史]]))+1)</f>
        <v>690</v>
      </c>
      <c r="W2195" s="29" cm="1">
        <f t="array" ref="W2195">IF(表成绩单[[#This Row],[总分]]="","",SUMPRODUCT((表成绩单[考试日期]=表成绩单[[#This Row],[考试日期]])*(表成绩单[总分]&lt;9E+307)*(表成绩单[总分]&gt;表成绩单[[#This Row],[总分]]))+1)</f>
        <v>589</v>
      </c>
    </row>
    <row r="2196" ht="28" customHeight="1" spans="4:23">
      <c r="D2196" s="31">
        <v>46030</v>
      </c>
      <c r="E2196" s="29">
        <v>19178641</v>
      </c>
      <c r="F2196" s="29" t="s">
        <v>25</v>
      </c>
      <c r="G2196" s="29" t="s">
        <v>619</v>
      </c>
      <c r="H2196" s="29">
        <v>85</v>
      </c>
      <c r="I2196" s="29">
        <v>58</v>
      </c>
      <c r="J2196" s="29">
        <v>52.5</v>
      </c>
      <c r="K2196" s="29">
        <v>58</v>
      </c>
      <c r="L2196" s="29">
        <v>64</v>
      </c>
      <c r="M2196" s="29">
        <v>59</v>
      </c>
      <c r="N2196" s="29">
        <v>72</v>
      </c>
      <c r="O2196" s="32">
        <v>448.5</v>
      </c>
      <c r="P2196" s="29" cm="1">
        <f t="array" ref="P2196">IF(表成绩单[[#This Row],[语文]]="","",SUMPRODUCT((表成绩单[考试日期]=表成绩单[[#This Row],[考试日期]])*(表成绩单[语文]&lt;9E+307)*(表成绩单[语文]&gt;表成绩单[[#This Row],[语文]]))+1)</f>
        <v>619</v>
      </c>
      <c r="Q2196" s="29" cm="1">
        <f t="array" ref="Q2196">IF(表成绩单[[#This Row],[数学]]="","",SUMPRODUCT((表成绩单[考试日期]=表成绩单[[#This Row],[考试日期]])*(表成绩单[数学]&lt;9E+307)*(表成绩单[数学]&gt;表成绩单[[#This Row],[数学]]))+1)</f>
        <v>685</v>
      </c>
      <c r="R2196" s="29" cm="1">
        <f t="array" ref="R2196">IF(表成绩单[[#This Row],[英语]]="","",SUMPRODUCT((表成绩单[考试日期]=表成绩单[[#This Row],[考试日期]])*(表成绩单[英语]&lt;9E+307)*(表成绩单[英语]&gt;表成绩单[[#This Row],[英语]]))+1)</f>
        <v>620</v>
      </c>
      <c r="S2196" s="29" cm="1">
        <f t="array" ref="S2196">IF(表成绩单[[#This Row],[物理]]="","",SUMPRODUCT((表成绩单[考试日期]=表成绩单[[#This Row],[考试日期]])*(表成绩单[物理]&lt;9E+307)*(表成绩单[物理]&gt;表成绩单[[#This Row],[物理]]))+1)</f>
        <v>527</v>
      </c>
      <c r="T2196" s="29" cm="1">
        <f t="array" ref="T2196">IF(表成绩单[[#This Row],[化学]]="","",SUMPRODUCT((表成绩单[考试日期]=表成绩单[[#This Row],[考试日期]])*(表成绩单[化学]&lt;9E+307)*(表成绩单[化学]&gt;表成绩单[[#This Row],[化学]]))+1)</f>
        <v>451</v>
      </c>
      <c r="U2196" s="29" cm="1">
        <f t="array" ref="U2196">IF(表成绩单[[#This Row],[政治]]="","",SUMPRODUCT((表成绩单[考试日期]=表成绩单[[#This Row],[考试日期]])*(表成绩单[政治]&lt;9E+307)*(表成绩单[政治]&gt;表成绩单[[#This Row],[政治]]))+1)</f>
        <v>557</v>
      </c>
      <c r="V2196" s="29" cm="1">
        <f t="array" ref="V2196">IF(表成绩单[[#This Row],[历史]]="","",SUMPRODUCT((表成绩单[考试日期]=表成绩单[[#This Row],[考试日期]])*(表成绩单[历史]&lt;9E+307)*(表成绩单[历史]&gt;表成绩单[[#This Row],[历史]]))+1)</f>
        <v>266</v>
      </c>
      <c r="W2196" s="29" cm="1">
        <f t="array" ref="W2196">IF(表成绩单[[#This Row],[总分]]="","",SUMPRODUCT((表成绩单[考试日期]=表成绩单[[#This Row],[考试日期]])*(表成绩单[总分]&lt;9E+307)*(表成绩单[总分]&gt;表成绩单[[#This Row],[总分]]))+1)</f>
        <v>589</v>
      </c>
    </row>
    <row r="2197" ht="28" customHeight="1" spans="4:23">
      <c r="D2197" s="31">
        <v>46030</v>
      </c>
      <c r="E2197" s="29">
        <v>19174734</v>
      </c>
      <c r="F2197" s="29" t="s">
        <v>64</v>
      </c>
      <c r="G2197" s="29" t="s">
        <v>679</v>
      </c>
      <c r="H2197" s="29">
        <v>85</v>
      </c>
      <c r="I2197" s="29">
        <v>65</v>
      </c>
      <c r="J2197" s="29">
        <v>61</v>
      </c>
      <c r="K2197" s="29">
        <v>57</v>
      </c>
      <c r="L2197" s="29">
        <v>50</v>
      </c>
      <c r="M2197" s="29">
        <v>65</v>
      </c>
      <c r="N2197" s="29">
        <v>64</v>
      </c>
      <c r="O2197" s="32">
        <v>447</v>
      </c>
      <c r="P2197" s="29" cm="1">
        <f t="array" ref="P2197">IF(表成绩单[[#This Row],[语文]]="","",SUMPRODUCT((表成绩单[考试日期]=表成绩单[[#This Row],[考试日期]])*(表成绩单[语文]&lt;9E+307)*(表成绩单[语文]&gt;表成绩单[[#This Row],[语文]]))+1)</f>
        <v>619</v>
      </c>
      <c r="Q2197" s="29" cm="1">
        <f t="array" ref="Q2197">IF(表成绩单[[#This Row],[数学]]="","",SUMPRODUCT((表成绩单[考试日期]=表成绩单[[#This Row],[考试日期]])*(表成绩单[数学]&lt;9E+307)*(表成绩单[数学]&gt;表成绩单[[#This Row],[数学]]))+1)</f>
        <v>640</v>
      </c>
      <c r="R2197" s="29" cm="1">
        <f t="array" ref="R2197">IF(表成绩单[[#This Row],[英语]]="","",SUMPRODUCT((表成绩单[考试日期]=表成绩单[[#This Row],[考试日期]])*(表成绩单[英语]&lt;9E+307)*(表成绩单[英语]&gt;表成绩单[[#This Row],[英语]]))+1)</f>
        <v>507</v>
      </c>
      <c r="S2197" s="29" cm="1">
        <f t="array" ref="S2197">IF(表成绩单[[#This Row],[物理]]="","",SUMPRODUCT((表成绩单[考试日期]=表成绩单[[#This Row],[考试日期]])*(表成绩单[物理]&lt;9E+307)*(表成绩单[物理]&gt;表成绩单[[#This Row],[物理]]))+1)</f>
        <v>539</v>
      </c>
      <c r="T2197" s="29" cm="1">
        <f t="array" ref="T2197">IF(表成绩单[[#This Row],[化学]]="","",SUMPRODUCT((表成绩单[考试日期]=表成绩单[[#This Row],[考试日期]])*(表成绩单[化学]&lt;9E+307)*(表成绩单[化学]&gt;表成绩单[[#This Row],[化学]]))+1)</f>
        <v>662</v>
      </c>
      <c r="U2197" s="29" cm="1">
        <f t="array" ref="U2197">IF(表成绩单[[#This Row],[政治]]="","",SUMPRODUCT((表成绩单[考试日期]=表成绩单[[#This Row],[考试日期]])*(表成绩单[政治]&lt;9E+307)*(表成绩单[政治]&gt;表成绩单[[#This Row],[政治]]))+1)</f>
        <v>431</v>
      </c>
      <c r="V2197" s="29" cm="1">
        <f t="array" ref="V2197">IF(表成绩单[[#This Row],[历史]]="","",SUMPRODUCT((表成绩单[考试日期]=表成绩单[[#This Row],[考试日期]])*(表成绩单[历史]&lt;9E+307)*(表成绩单[历史]&gt;表成绩单[[#This Row],[历史]]))+1)</f>
        <v>509</v>
      </c>
      <c r="W2197" s="29" cm="1">
        <f t="array" ref="W2197">IF(表成绩单[[#This Row],[总分]]="","",SUMPRODUCT((表成绩单[考试日期]=表成绩单[[#This Row],[考试日期]])*(表成绩单[总分]&lt;9E+307)*(表成绩单[总分]&gt;表成绩单[[#This Row],[总分]]))+1)</f>
        <v>591</v>
      </c>
    </row>
    <row r="2198" ht="28" customHeight="1" spans="4:23">
      <c r="D2198" s="31">
        <v>46030</v>
      </c>
      <c r="E2198" s="29">
        <v>19178603</v>
      </c>
      <c r="F2198" s="29" t="s">
        <v>64</v>
      </c>
      <c r="G2198" s="29" t="s">
        <v>684</v>
      </c>
      <c r="H2198" s="29">
        <v>85</v>
      </c>
      <c r="I2198" s="29">
        <v>60</v>
      </c>
      <c r="J2198" s="29">
        <v>73.5</v>
      </c>
      <c r="K2198" s="29">
        <v>48</v>
      </c>
      <c r="L2198" s="29">
        <v>47</v>
      </c>
      <c r="M2198" s="29">
        <v>68</v>
      </c>
      <c r="N2198" s="29">
        <v>65</v>
      </c>
      <c r="O2198" s="32">
        <v>446.5</v>
      </c>
      <c r="P2198" s="29" cm="1">
        <f t="array" ref="P2198">IF(表成绩单[[#This Row],[语文]]="","",SUMPRODUCT((表成绩单[考试日期]=表成绩单[[#This Row],[考试日期]])*(表成绩单[语文]&lt;9E+307)*(表成绩单[语文]&gt;表成绩单[[#This Row],[语文]]))+1)</f>
        <v>619</v>
      </c>
      <c r="Q2198" s="29" cm="1">
        <f t="array" ref="Q2198">IF(表成绩单[[#This Row],[数学]]="","",SUMPRODUCT((表成绩单[考试日期]=表成绩单[[#This Row],[考试日期]])*(表成绩单[数学]&lt;9E+307)*(表成绩单[数学]&gt;表成绩单[[#This Row],[数学]]))+1)</f>
        <v>672</v>
      </c>
      <c r="R2198" s="29" cm="1">
        <f t="array" ref="R2198">IF(表成绩单[[#This Row],[英语]]="","",SUMPRODUCT((表成绩单[考试日期]=表成绩单[[#This Row],[考试日期]])*(表成绩单[英语]&lt;9E+307)*(表成绩单[英语]&gt;表成绩单[[#This Row],[英语]]))+1)</f>
        <v>209</v>
      </c>
      <c r="S2198" s="29" cm="1">
        <f t="array" ref="S2198">IF(表成绩单[[#This Row],[物理]]="","",SUMPRODUCT((表成绩单[考试日期]=表成绩单[[#This Row],[考试日期]])*(表成绩单[物理]&lt;9E+307)*(表成绩单[物理]&gt;表成绩单[[#This Row],[物理]]))+1)</f>
        <v>629</v>
      </c>
      <c r="T2198" s="29" cm="1">
        <f t="array" ref="T2198">IF(表成绩单[[#This Row],[化学]]="","",SUMPRODUCT((表成绩单[考试日期]=表成绩单[[#This Row],[考试日期]])*(表成绩单[化学]&lt;9E+307)*(表成绩单[化学]&gt;表成绩单[[#This Row],[化学]]))+1)</f>
        <v>694</v>
      </c>
      <c r="U2198" s="29" cm="1">
        <f t="array" ref="U2198">IF(表成绩单[[#This Row],[政治]]="","",SUMPRODUCT((表成绩单[考试日期]=表成绩单[[#This Row],[考试日期]])*(表成绩单[政治]&lt;9E+307)*(表成绩单[政治]&gt;表成绩单[[#This Row],[政治]]))+1)</f>
        <v>336</v>
      </c>
      <c r="V2198" s="29" cm="1">
        <f t="array" ref="V2198">IF(表成绩单[[#This Row],[历史]]="","",SUMPRODUCT((表成绩单[考试日期]=表成绩单[[#This Row],[考试日期]])*(表成绩单[历史]&lt;9E+307)*(表成绩单[历史]&gt;表成绩单[[#This Row],[历史]]))+1)</f>
        <v>471</v>
      </c>
      <c r="W2198" s="29" cm="1">
        <f t="array" ref="W2198">IF(表成绩单[[#This Row],[总分]]="","",SUMPRODUCT((表成绩单[考试日期]=表成绩单[[#This Row],[考试日期]])*(表成绩单[总分]&lt;9E+307)*(表成绩单[总分]&gt;表成绩单[[#This Row],[总分]]))+1)</f>
        <v>592</v>
      </c>
    </row>
    <row r="2199" ht="28" customHeight="1" spans="4:23">
      <c r="D2199" s="31">
        <v>46030</v>
      </c>
      <c r="E2199" s="29">
        <v>19173252</v>
      </c>
      <c r="F2199" s="29" t="s">
        <v>61</v>
      </c>
      <c r="G2199" s="29" t="s">
        <v>653</v>
      </c>
      <c r="H2199" s="29">
        <v>90</v>
      </c>
      <c r="I2199" s="29">
        <v>70</v>
      </c>
      <c r="J2199" s="29">
        <v>49</v>
      </c>
      <c r="K2199" s="29">
        <v>50</v>
      </c>
      <c r="L2199" s="29">
        <v>59</v>
      </c>
      <c r="M2199" s="29">
        <v>68</v>
      </c>
      <c r="N2199" s="29">
        <v>60</v>
      </c>
      <c r="O2199" s="32">
        <v>446</v>
      </c>
      <c r="P2199" s="29" cm="1">
        <f t="array" ref="P2199">IF(表成绩单[[#This Row],[语文]]="","",SUMPRODUCT((表成绩单[考试日期]=表成绩单[[#This Row],[考试日期]])*(表成绩单[语文]&lt;9E+307)*(表成绩单[语文]&gt;表成绩单[[#This Row],[语文]]))+1)</f>
        <v>509</v>
      </c>
      <c r="Q2199" s="29" cm="1">
        <f t="array" ref="Q2199">IF(表成绩单[[#This Row],[数学]]="","",SUMPRODUCT((表成绩单[考试日期]=表成绩单[[#This Row],[考试日期]])*(表成绩单[数学]&lt;9E+307)*(表成绩单[数学]&gt;表成绩单[[#This Row],[数学]]))+1)</f>
        <v>590</v>
      </c>
      <c r="R2199" s="29" cm="1">
        <f t="array" ref="R2199">IF(表成绩单[[#This Row],[英语]]="","",SUMPRODUCT((表成绩单[考试日期]=表成绩单[[#This Row],[考试日期]])*(表成绩单[英语]&lt;9E+307)*(表成绩单[英语]&gt;表成绩单[[#This Row],[英语]]))+1)</f>
        <v>659</v>
      </c>
      <c r="S2199" s="29" cm="1">
        <f t="array" ref="S2199">IF(表成绩单[[#This Row],[物理]]="","",SUMPRODUCT((表成绩单[考试日期]=表成绩单[[#This Row],[考试日期]])*(表成绩单[物理]&lt;9E+307)*(表成绩单[物理]&gt;表成绩单[[#This Row],[物理]]))+1)</f>
        <v>605</v>
      </c>
      <c r="T2199" s="29" cm="1">
        <f t="array" ref="T2199">IF(表成绩单[[#This Row],[化学]]="","",SUMPRODUCT((表成绩单[考试日期]=表成绩单[[#This Row],[考试日期]])*(表成绩单[化学]&lt;9E+307)*(表成绩单[化学]&gt;表成绩单[[#This Row],[化学]]))+1)</f>
        <v>540</v>
      </c>
      <c r="U2199" s="29" cm="1">
        <f t="array" ref="U2199">IF(表成绩单[[#This Row],[政治]]="","",SUMPRODUCT((表成绩单[考试日期]=表成绩单[[#This Row],[考试日期]])*(表成绩单[政治]&lt;9E+307)*(表成绩单[政治]&gt;表成绩单[[#This Row],[政治]]))+1)</f>
        <v>336</v>
      </c>
      <c r="V2199" s="29" cm="1">
        <f t="array" ref="V2199">IF(表成绩单[[#This Row],[历史]]="","",SUMPRODUCT((表成绩单[考试日期]=表成绩单[[#This Row],[考试日期]])*(表成绩单[历史]&lt;9E+307)*(表成绩单[历史]&gt;表成绩单[[#This Row],[历史]]))+1)</f>
        <v>579</v>
      </c>
      <c r="W2199" s="29" cm="1">
        <f t="array" ref="W2199">IF(表成绩单[[#This Row],[总分]]="","",SUMPRODUCT((表成绩单[考试日期]=表成绩单[[#This Row],[考试日期]])*(表成绩单[总分]&lt;9E+307)*(表成绩单[总分]&gt;表成绩单[[#This Row],[总分]]))+1)</f>
        <v>593</v>
      </c>
    </row>
    <row r="2200" ht="28" customHeight="1" spans="4:23">
      <c r="D2200" s="31">
        <v>46030</v>
      </c>
      <c r="E2200" s="29">
        <v>19177635</v>
      </c>
      <c r="F2200" s="29" t="s">
        <v>63</v>
      </c>
      <c r="G2200" s="29" t="s">
        <v>629</v>
      </c>
      <c r="H2200" s="29">
        <v>95</v>
      </c>
      <c r="I2200" s="29">
        <v>91</v>
      </c>
      <c r="J2200" s="29">
        <v>35</v>
      </c>
      <c r="K2200" s="29">
        <v>55</v>
      </c>
      <c r="L2200" s="29">
        <v>61</v>
      </c>
      <c r="M2200" s="29">
        <v>48</v>
      </c>
      <c r="N2200" s="29">
        <v>61</v>
      </c>
      <c r="O2200" s="32">
        <v>446</v>
      </c>
      <c r="P2200" s="29" cm="1">
        <f t="array" ref="P2200">IF(表成绩单[[#This Row],[语文]]="","",SUMPRODUCT((表成绩单[考试日期]=表成绩单[[#This Row],[考试日期]])*(表成绩单[语文]&lt;9E+307)*(表成绩单[语文]&gt;表成绩单[[#This Row],[语文]]))+1)</f>
        <v>342</v>
      </c>
      <c r="Q2200" s="29" cm="1">
        <f t="array" ref="Q2200">IF(表成绩单[[#This Row],[数学]]="","",SUMPRODUCT((表成绩单[考试日期]=表成绩单[[#This Row],[考试日期]])*(表成绩单[数学]&lt;9E+307)*(表成绩单[数学]&gt;表成绩单[[#This Row],[数学]]))+1)</f>
        <v>204</v>
      </c>
      <c r="R2200" s="29" cm="1">
        <f t="array" ref="R2200">IF(表成绩单[[#This Row],[英语]]="","",SUMPRODUCT((表成绩单[考试日期]=表成绩单[[#This Row],[考试日期]])*(表成绩单[英语]&lt;9E+307)*(表成绩单[英语]&gt;表成绩单[[#This Row],[英语]]))+1)</f>
        <v>746</v>
      </c>
      <c r="S2200" s="29" cm="1">
        <f t="array" ref="S2200">IF(表成绩单[[#This Row],[物理]]="","",SUMPRODUCT((表成绩单[考试日期]=表成绩单[[#This Row],[考试日期]])*(表成绩单[物理]&lt;9E+307)*(表成绩单[物理]&gt;表成绩单[[#This Row],[物理]]))+1)</f>
        <v>562</v>
      </c>
      <c r="T2200" s="29" cm="1">
        <f t="array" ref="T2200">IF(表成绩单[[#This Row],[化学]]="","",SUMPRODUCT((表成绩单[考试日期]=表成绩单[[#This Row],[考试日期]])*(表成绩单[化学]&lt;9E+307)*(表成绩单[化学]&gt;表成绩单[[#This Row],[化学]]))+1)</f>
        <v>508</v>
      </c>
      <c r="U2200" s="29" cm="1">
        <f t="array" ref="U2200">IF(表成绩单[[#This Row],[政治]]="","",SUMPRODUCT((表成绩单[考试日期]=表成绩单[[#This Row],[考试日期]])*(表成绩单[政治]&lt;9E+307)*(表成绩单[政治]&gt;表成绩单[[#This Row],[政治]]))+1)</f>
        <v>675</v>
      </c>
      <c r="V2200" s="29" cm="1">
        <f t="array" ref="V2200">IF(表成绩单[[#This Row],[历史]]="","",SUMPRODUCT((表成绩单[考试日期]=表成绩单[[#This Row],[考试日期]])*(表成绩单[历史]&lt;9E+307)*(表成绩单[历史]&gt;表成绩单[[#This Row],[历史]]))+1)</f>
        <v>566</v>
      </c>
      <c r="W2200" s="29" cm="1">
        <f t="array" ref="W2200">IF(表成绩单[[#This Row],[总分]]="","",SUMPRODUCT((表成绩单[考试日期]=表成绩单[[#This Row],[考试日期]])*(表成绩单[总分]&lt;9E+307)*(表成绩单[总分]&gt;表成绩单[[#This Row],[总分]]))+1)</f>
        <v>593</v>
      </c>
    </row>
    <row r="2201" ht="28" customHeight="1" spans="4:23">
      <c r="D2201" s="31">
        <v>46030</v>
      </c>
      <c r="E2201" s="29">
        <v>19173260</v>
      </c>
      <c r="F2201" s="29" t="s">
        <v>61</v>
      </c>
      <c r="G2201" s="29" t="s">
        <v>667</v>
      </c>
      <c r="H2201" s="29">
        <v>91</v>
      </c>
      <c r="I2201" s="29">
        <v>68</v>
      </c>
      <c r="J2201" s="29">
        <v>37</v>
      </c>
      <c r="K2201" s="29">
        <v>70</v>
      </c>
      <c r="L2201" s="29">
        <v>66</v>
      </c>
      <c r="M2201" s="29">
        <v>56</v>
      </c>
      <c r="N2201" s="29">
        <v>57</v>
      </c>
      <c r="O2201" s="32">
        <v>445</v>
      </c>
      <c r="P2201" s="29" cm="1">
        <f t="array" ref="P2201">IF(表成绩单[[#This Row],[语文]]="","",SUMPRODUCT((表成绩单[考试日期]=表成绩单[[#This Row],[考试日期]])*(表成绩单[语文]&lt;9E+307)*(表成绩单[语文]&gt;表成绩单[[#This Row],[语文]]))+1)</f>
        <v>478</v>
      </c>
      <c r="Q2201" s="29" cm="1">
        <f t="array" ref="Q2201">IF(表成绩单[[#This Row],[数学]]="","",SUMPRODUCT((表成绩单[考试日期]=表成绩单[[#This Row],[考试日期]])*(表成绩单[数学]&lt;9E+307)*(表成绩单[数学]&gt;表成绩单[[#This Row],[数学]]))+1)</f>
        <v>608</v>
      </c>
      <c r="R2201" s="29" cm="1">
        <f t="array" ref="R2201">IF(表成绩单[[#This Row],[英语]]="","",SUMPRODUCT((表成绩单[考试日期]=表成绩单[[#This Row],[考试日期]])*(表成绩单[英语]&lt;9E+307)*(表成绩单[英语]&gt;表成绩单[[#This Row],[英语]]))+1)</f>
        <v>737</v>
      </c>
      <c r="S2201" s="29" cm="1">
        <f t="array" ref="S2201">IF(表成绩单[[#This Row],[物理]]="","",SUMPRODUCT((表成绩单[考试日期]=表成绩单[[#This Row],[考试日期]])*(表成绩单[物理]&lt;9E+307)*(表成绩单[物理]&gt;表成绩单[[#This Row],[物理]]))+1)</f>
        <v>338</v>
      </c>
      <c r="T2201" s="29" cm="1">
        <f t="array" ref="T2201">IF(表成绩单[[#This Row],[化学]]="","",SUMPRODUCT((表成绩单[考试日期]=表成绩单[[#This Row],[考试日期]])*(表成绩单[化学]&lt;9E+307)*(表成绩单[化学]&gt;表成绩单[[#This Row],[化学]]))+1)</f>
        <v>414</v>
      </c>
      <c r="U2201" s="29" cm="1">
        <f t="array" ref="U2201">IF(表成绩单[[#This Row],[政治]]="","",SUMPRODUCT((表成绩单[考试日期]=表成绩单[[#This Row],[考试日期]])*(表成绩单[政治]&lt;9E+307)*(表成绩单[政治]&gt;表成绩单[[#This Row],[政治]]))+1)</f>
        <v>603</v>
      </c>
      <c r="V2201" s="29" cm="1">
        <f t="array" ref="V2201">IF(表成绩单[[#This Row],[历史]]="","",SUMPRODUCT((表成绩单[考试日期]=表成绩单[[#This Row],[考试日期]])*(表成绩单[历史]&lt;9E+307)*(表成绩单[历史]&gt;表成绩单[[#This Row],[历史]]))+1)</f>
        <v>637</v>
      </c>
      <c r="W2201" s="29" cm="1">
        <f t="array" ref="W2201">IF(表成绩单[[#This Row],[总分]]="","",SUMPRODUCT((表成绩单[考试日期]=表成绩单[[#This Row],[考试日期]])*(表成绩单[总分]&lt;9E+307)*(表成绩单[总分]&gt;表成绩单[[#This Row],[总分]]))+1)</f>
        <v>595</v>
      </c>
    </row>
    <row r="2202" ht="28" customHeight="1" spans="4:23">
      <c r="D2202" s="31">
        <v>46030</v>
      </c>
      <c r="E2202" s="29">
        <v>19173280</v>
      </c>
      <c r="F2202" s="29" t="s">
        <v>61</v>
      </c>
      <c r="G2202" s="29" t="s">
        <v>663</v>
      </c>
      <c r="H2202" s="29">
        <v>92</v>
      </c>
      <c r="I2202" s="29">
        <v>84</v>
      </c>
      <c r="J2202" s="29">
        <v>53</v>
      </c>
      <c r="K2202" s="29">
        <v>48</v>
      </c>
      <c r="L2202" s="29">
        <v>47</v>
      </c>
      <c r="M2202" s="29">
        <v>44</v>
      </c>
      <c r="N2202" s="29">
        <v>77</v>
      </c>
      <c r="O2202" s="32">
        <v>445</v>
      </c>
      <c r="P2202" s="29" cm="1">
        <f t="array" ref="P2202">IF(表成绩单[[#This Row],[语文]]="","",SUMPRODUCT((表成绩单[考试日期]=表成绩单[[#This Row],[考试日期]])*(表成绩单[语文]&lt;9E+307)*(表成绩单[语文]&gt;表成绩单[[#This Row],[语文]]))+1)</f>
        <v>444</v>
      </c>
      <c r="Q2202" s="29" cm="1">
        <f t="array" ref="Q2202">IF(表成绩单[[#This Row],[数学]]="","",SUMPRODUCT((表成绩单[考试日期]=表成绩单[[#This Row],[考试日期]])*(表成绩单[数学]&lt;9E+307)*(表成绩单[数学]&gt;表成绩单[[#This Row],[数学]]))+1)</f>
        <v>343</v>
      </c>
      <c r="R2202" s="29" cm="1">
        <f t="array" ref="R2202">IF(表成绩单[[#This Row],[英语]]="","",SUMPRODUCT((表成绩单[考试日期]=表成绩单[[#This Row],[考试日期]])*(表成绩单[英语]&lt;9E+307)*(表成绩单[英语]&gt;表成绩单[[#This Row],[英语]]))+1)</f>
        <v>619</v>
      </c>
      <c r="S2202" s="29" cm="1">
        <f t="array" ref="S2202">IF(表成绩单[[#This Row],[物理]]="","",SUMPRODUCT((表成绩单[考试日期]=表成绩单[[#This Row],[考试日期]])*(表成绩单[物理]&lt;9E+307)*(表成绩单[物理]&gt;表成绩单[[#This Row],[物理]]))+1)</f>
        <v>629</v>
      </c>
      <c r="T2202" s="29" cm="1">
        <f t="array" ref="T2202">IF(表成绩单[[#This Row],[化学]]="","",SUMPRODUCT((表成绩单[考试日期]=表成绩单[[#This Row],[考试日期]])*(表成绩单[化学]&lt;9E+307)*(表成绩单[化学]&gt;表成绩单[[#This Row],[化学]]))+1)</f>
        <v>694</v>
      </c>
      <c r="U2202" s="29" cm="1">
        <f t="array" ref="U2202">IF(表成绩单[[#This Row],[政治]]="","",SUMPRODUCT((表成绩单[考试日期]=表成绩单[[#This Row],[考试日期]])*(表成绩单[政治]&lt;9E+307)*(表成绩单[政治]&gt;表成绩单[[#This Row],[政治]]))+1)</f>
        <v>709</v>
      </c>
      <c r="V2202" s="29" cm="1">
        <f t="array" ref="V2202">IF(表成绩单[[#This Row],[历史]]="","",SUMPRODUCT((表成绩单[考试日期]=表成绩单[[#This Row],[考试日期]])*(表成绩单[历史]&lt;9E+307)*(表成绩单[历史]&gt;表成绩单[[#This Row],[历史]]))+1)</f>
        <v>148</v>
      </c>
      <c r="W2202" s="29" cm="1">
        <f t="array" ref="W2202">IF(表成绩单[[#This Row],[总分]]="","",SUMPRODUCT((表成绩单[考试日期]=表成绩单[[#This Row],[考试日期]])*(表成绩单[总分]&lt;9E+307)*(表成绩单[总分]&gt;表成绩单[[#This Row],[总分]]))+1)</f>
        <v>595</v>
      </c>
    </row>
    <row r="2203" ht="28" customHeight="1" spans="4:23">
      <c r="D2203" s="31">
        <v>46030</v>
      </c>
      <c r="E2203" s="29">
        <v>19174798</v>
      </c>
      <c r="F2203" s="29" t="s">
        <v>69</v>
      </c>
      <c r="G2203" s="29" t="s">
        <v>579</v>
      </c>
      <c r="H2203" s="29">
        <v>89</v>
      </c>
      <c r="I2203" s="29">
        <v>57</v>
      </c>
      <c r="J2203" s="29">
        <v>56</v>
      </c>
      <c r="K2203" s="29">
        <v>57</v>
      </c>
      <c r="L2203" s="29">
        <v>61</v>
      </c>
      <c r="M2203" s="29">
        <v>57</v>
      </c>
      <c r="N2203" s="29">
        <v>68</v>
      </c>
      <c r="O2203" s="32">
        <v>445</v>
      </c>
      <c r="P2203" s="29" cm="1">
        <f t="array" ref="P2203">IF(表成绩单[[#This Row],[语文]]="","",SUMPRODUCT((表成绩单[考试日期]=表成绩单[[#This Row],[考试日期]])*(表成绩单[语文]&lt;9E+307)*(表成绩单[语文]&gt;表成绩单[[#This Row],[语文]]))+1)</f>
        <v>540</v>
      </c>
      <c r="Q2203" s="29" cm="1">
        <f t="array" ref="Q2203">IF(表成绩单[[#This Row],[数学]]="","",SUMPRODUCT((表成绩单[考试日期]=表成绩单[[#This Row],[考试日期]])*(表成绩单[数学]&lt;9E+307)*(表成绩单[数学]&gt;表成绩单[[#This Row],[数学]]))+1)</f>
        <v>693</v>
      </c>
      <c r="R2203" s="29" cm="1">
        <f t="array" ref="R2203">IF(表成绩单[[#This Row],[英语]]="","",SUMPRODUCT((表成绩单[考试日期]=表成绩单[[#This Row],[考试日期]])*(表成绩单[英语]&lt;9E+307)*(表成绩单[英语]&gt;表成绩单[[#This Row],[英语]]))+1)</f>
        <v>582</v>
      </c>
      <c r="S2203" s="29" cm="1">
        <f t="array" ref="S2203">IF(表成绩单[[#This Row],[物理]]="","",SUMPRODUCT((表成绩单[考试日期]=表成绩单[[#This Row],[考试日期]])*(表成绩单[物理]&lt;9E+307)*(表成绩单[物理]&gt;表成绩单[[#This Row],[物理]]))+1)</f>
        <v>539</v>
      </c>
      <c r="T2203" s="29" cm="1">
        <f t="array" ref="T2203">IF(表成绩单[[#This Row],[化学]]="","",SUMPRODUCT((表成绩单[考试日期]=表成绩单[[#This Row],[考试日期]])*(表成绩单[化学]&lt;9E+307)*(表成绩单[化学]&gt;表成绩单[[#This Row],[化学]]))+1)</f>
        <v>508</v>
      </c>
      <c r="U2203" s="29" cm="1">
        <f t="array" ref="U2203">IF(表成绩单[[#This Row],[政治]]="","",SUMPRODUCT((表成绩单[考试日期]=表成绩单[[#This Row],[考试日期]])*(表成绩单[政治]&lt;9E+307)*(表成绩单[政治]&gt;表成绩单[[#This Row],[政治]]))+1)</f>
        <v>591</v>
      </c>
      <c r="V2203" s="29" cm="1">
        <f t="array" ref="V2203">IF(表成绩单[[#This Row],[历史]]="","",SUMPRODUCT((表成绩单[考试日期]=表成绩单[[#This Row],[考试日期]])*(表成绩单[历史]&lt;9E+307)*(表成绩单[历史]&gt;表成绩单[[#This Row],[历史]]))+1)</f>
        <v>390</v>
      </c>
      <c r="W2203" s="29" cm="1">
        <f t="array" ref="W2203">IF(表成绩单[[#This Row],[总分]]="","",SUMPRODUCT((表成绩单[考试日期]=表成绩单[[#This Row],[考试日期]])*(表成绩单[总分]&lt;9E+307)*(表成绩单[总分]&gt;表成绩单[[#This Row],[总分]]))+1)</f>
        <v>595</v>
      </c>
    </row>
    <row r="2204" ht="28" customHeight="1" spans="4:23">
      <c r="D2204" s="31">
        <v>46030</v>
      </c>
      <c r="E2204" s="29">
        <v>19177603</v>
      </c>
      <c r="F2204" s="29" t="s">
        <v>58</v>
      </c>
      <c r="G2204" s="29" t="s">
        <v>714</v>
      </c>
      <c r="H2204" s="29">
        <v>90</v>
      </c>
      <c r="I2204" s="29">
        <v>72</v>
      </c>
      <c r="J2204" s="29">
        <v>54</v>
      </c>
      <c r="K2204" s="29">
        <v>59</v>
      </c>
      <c r="L2204" s="29">
        <v>60</v>
      </c>
      <c r="M2204" s="29">
        <v>52</v>
      </c>
      <c r="N2204" s="29">
        <v>58</v>
      </c>
      <c r="O2204" s="32">
        <v>445</v>
      </c>
      <c r="P2204" s="29" cm="1">
        <f t="array" ref="P2204">IF(表成绩单[[#This Row],[语文]]="","",SUMPRODUCT((表成绩单[考试日期]=表成绩单[[#This Row],[考试日期]])*(表成绩单[语文]&lt;9E+307)*(表成绩单[语文]&gt;表成绩单[[#This Row],[语文]]))+1)</f>
        <v>509</v>
      </c>
      <c r="Q2204" s="29" cm="1">
        <f t="array" ref="Q2204">IF(表成绩单[[#This Row],[数学]]="","",SUMPRODUCT((表成绩单[考试日期]=表成绩单[[#This Row],[考试日期]])*(表成绩单[数学]&lt;9E+307)*(表成绩单[数学]&gt;表成绩单[[#This Row],[数学]]))+1)</f>
        <v>562</v>
      </c>
      <c r="R2204" s="29" cm="1">
        <f t="array" ref="R2204">IF(表成绩单[[#This Row],[英语]]="","",SUMPRODUCT((表成绩单[考试日期]=表成绩单[[#This Row],[考试日期]])*(表成绩单[英语]&lt;9E+307)*(表成绩单[英语]&gt;表成绩单[[#This Row],[英语]]))+1)</f>
        <v>606</v>
      </c>
      <c r="S2204" s="29" cm="1">
        <f t="array" ref="S2204">IF(表成绩单[[#This Row],[物理]]="","",SUMPRODUCT((表成绩单[考试日期]=表成绩单[[#This Row],[考试日期]])*(表成绩单[物理]&lt;9E+307)*(表成绩单[物理]&gt;表成绩单[[#This Row],[物理]]))+1)</f>
        <v>514</v>
      </c>
      <c r="T2204" s="29" cm="1">
        <f t="array" ref="T2204">IF(表成绩单[[#This Row],[化学]]="","",SUMPRODUCT((表成绩单[考试日期]=表成绩单[[#This Row],[考试日期]])*(表成绩单[化学]&lt;9E+307)*(表成绩单[化学]&gt;表成绩单[[#This Row],[化学]]))+1)</f>
        <v>525</v>
      </c>
      <c r="U2204" s="29" cm="1">
        <f t="array" ref="U2204">IF(表成绩单[[#This Row],[政治]]="","",SUMPRODUCT((表成绩单[考试日期]=表成绩单[[#This Row],[考试日期]])*(表成绩单[政治]&lt;9E+307)*(表成绩单[政治]&gt;表成绩单[[#This Row],[政治]]))+1)</f>
        <v>643</v>
      </c>
      <c r="V2204" s="29" cm="1">
        <f t="array" ref="V2204">IF(表成绩单[[#This Row],[历史]]="","",SUMPRODUCT((表成绩单[考试日期]=表成绩单[[#This Row],[考试日期]])*(表成绩单[历史]&lt;9E+307)*(表成绩单[历史]&gt;表成绩单[[#This Row],[历史]]))+1)</f>
        <v>620</v>
      </c>
      <c r="W2204" s="29" cm="1">
        <f t="array" ref="W2204">IF(表成绩单[[#This Row],[总分]]="","",SUMPRODUCT((表成绩单[考试日期]=表成绩单[[#This Row],[考试日期]])*(表成绩单[总分]&lt;9E+307)*(表成绩单[总分]&gt;表成绩单[[#This Row],[总分]]))+1)</f>
        <v>595</v>
      </c>
    </row>
    <row r="2205" ht="28" customHeight="1" spans="4:23">
      <c r="D2205" s="31">
        <v>46030</v>
      </c>
      <c r="E2205" s="29">
        <v>19173763</v>
      </c>
      <c r="F2205" s="29" t="s">
        <v>65</v>
      </c>
      <c r="G2205" s="29" t="s">
        <v>681</v>
      </c>
      <c r="H2205" s="29">
        <v>77</v>
      </c>
      <c r="I2205" s="29">
        <v>73</v>
      </c>
      <c r="J2205" s="29">
        <v>64</v>
      </c>
      <c r="K2205" s="29">
        <v>53</v>
      </c>
      <c r="L2205" s="29">
        <v>53</v>
      </c>
      <c r="M2205" s="29">
        <v>62</v>
      </c>
      <c r="N2205" s="29">
        <v>62</v>
      </c>
      <c r="O2205" s="32">
        <v>444</v>
      </c>
      <c r="P2205" s="29" cm="1">
        <f t="array" ref="P2205">IF(表成绩单[[#This Row],[语文]]="","",SUMPRODUCT((表成绩单[考试日期]=表成绩单[[#This Row],[考试日期]])*(表成绩单[语文]&lt;9E+307)*(表成绩单[语文]&gt;表成绩单[[#This Row],[语文]]))+1)</f>
        <v>702</v>
      </c>
      <c r="Q2205" s="29" cm="1">
        <f t="array" ref="Q2205">IF(表成绩单[[#This Row],[数学]]="","",SUMPRODUCT((表成绩单[考试日期]=表成绩单[[#This Row],[考试日期]])*(表成绩单[数学]&lt;9E+307)*(表成绩单[数学]&gt;表成绩单[[#This Row],[数学]]))+1)</f>
        <v>547</v>
      </c>
      <c r="R2205" s="29" cm="1">
        <f t="array" ref="R2205">IF(表成绩单[[#This Row],[英语]]="","",SUMPRODUCT((表成绩单[考试日期]=表成绩单[[#This Row],[考试日期]])*(表成绩单[英语]&lt;9E+307)*(表成绩单[英语]&gt;表成绩单[[#This Row],[英语]]))+1)</f>
        <v>456</v>
      </c>
      <c r="S2205" s="29" cm="1">
        <f t="array" ref="S2205">IF(表成绩单[[#This Row],[物理]]="","",SUMPRODUCT((表成绩单[考试日期]=表成绩单[[#This Row],[考试日期]])*(表成绩单[物理]&lt;9E+307)*(表成绩单[物理]&gt;表成绩单[[#This Row],[物理]]))+1)</f>
        <v>578</v>
      </c>
      <c r="T2205" s="29" cm="1">
        <f t="array" ref="T2205">IF(表成绩单[[#This Row],[化学]]="","",SUMPRODUCT((表成绩单[考试日期]=表成绩单[[#This Row],[考试日期]])*(表成绩单[化学]&lt;9E+307)*(表成绩单[化学]&gt;表成绩单[[#This Row],[化学]]))+1)</f>
        <v>623</v>
      </c>
      <c r="U2205" s="29" cm="1">
        <f t="array" ref="U2205">IF(表成绩单[[#This Row],[政治]]="","",SUMPRODUCT((表成绩单[考试日期]=表成绩单[[#This Row],[考试日期]])*(表成绩单[政治]&lt;9E+307)*(表成绩单[政治]&gt;表成绩单[[#This Row],[政治]]))+1)</f>
        <v>508</v>
      </c>
      <c r="V2205" s="29" cm="1">
        <f t="array" ref="V2205">IF(表成绩单[[#This Row],[历史]]="","",SUMPRODUCT((表成绩单[考试日期]=表成绩单[[#This Row],[考试日期]])*(表成绩单[历史]&lt;9E+307)*(表成绩单[历史]&gt;表成绩单[[#This Row],[历史]]))+1)</f>
        <v>545</v>
      </c>
      <c r="W2205" s="29" cm="1">
        <f t="array" ref="W2205">IF(表成绩单[[#This Row],[总分]]="","",SUMPRODUCT((表成绩单[考试日期]=表成绩单[[#This Row],[考试日期]])*(表成绩单[总分]&lt;9E+307)*(表成绩单[总分]&gt;表成绩单[[#This Row],[总分]]))+1)</f>
        <v>599</v>
      </c>
    </row>
    <row r="2206" ht="28" customHeight="1" spans="4:23">
      <c r="D2206" s="31">
        <v>46030</v>
      </c>
      <c r="E2206" s="29">
        <v>19178619</v>
      </c>
      <c r="F2206" s="29" t="s">
        <v>25</v>
      </c>
      <c r="G2206" s="29" t="s">
        <v>575</v>
      </c>
      <c r="H2206" s="29">
        <v>92</v>
      </c>
      <c r="I2206" s="29">
        <v>71</v>
      </c>
      <c r="J2206" s="29">
        <v>55</v>
      </c>
      <c r="K2206" s="29">
        <v>51</v>
      </c>
      <c r="L2206" s="29">
        <v>56</v>
      </c>
      <c r="M2206" s="29">
        <v>59</v>
      </c>
      <c r="N2206" s="29">
        <v>60</v>
      </c>
      <c r="O2206" s="32">
        <v>444</v>
      </c>
      <c r="P2206" s="29" cm="1">
        <f t="array" ref="P2206">IF(表成绩单[[#This Row],[语文]]="","",SUMPRODUCT((表成绩单[考试日期]=表成绩单[[#This Row],[考试日期]])*(表成绩单[语文]&lt;9E+307)*(表成绩单[语文]&gt;表成绩单[[#This Row],[语文]]))+1)</f>
        <v>444</v>
      </c>
      <c r="Q2206" s="29" cm="1">
        <f t="array" ref="Q2206">IF(表成绩单[[#This Row],[数学]]="","",SUMPRODUCT((表成绩单[考试日期]=表成绩单[[#This Row],[考试日期]])*(表成绩单[数学]&lt;9E+307)*(表成绩单[数学]&gt;表成绩单[[#This Row],[数学]]))+1)</f>
        <v>578</v>
      </c>
      <c r="R2206" s="29" cm="1">
        <f t="array" ref="R2206">IF(表成绩单[[#This Row],[英语]]="","",SUMPRODUCT((表成绩单[考试日期]=表成绩单[[#This Row],[考试日期]])*(表成绩单[英语]&lt;9E+307)*(表成绩单[英语]&gt;表成绩单[[#This Row],[英语]]))+1)</f>
        <v>596</v>
      </c>
      <c r="S2206" s="29" cm="1">
        <f t="array" ref="S2206">IF(表成绩单[[#This Row],[物理]]="","",SUMPRODUCT((表成绩单[考试日期]=表成绩单[[#This Row],[考试日期]])*(表成绩单[物理]&lt;9E+307)*(表成绩单[物理]&gt;表成绩单[[#This Row],[物理]]))+1)</f>
        <v>595</v>
      </c>
      <c r="T2206" s="29" cm="1">
        <f t="array" ref="T2206">IF(表成绩单[[#This Row],[化学]]="","",SUMPRODUCT((表成绩单[考试日期]=表成绩单[[#This Row],[考试日期]])*(表成绩单[化学]&lt;9E+307)*(表成绩单[化学]&gt;表成绩单[[#This Row],[化学]]))+1)</f>
        <v>581</v>
      </c>
      <c r="U2206" s="29" cm="1">
        <f t="array" ref="U2206">IF(表成绩单[[#This Row],[政治]]="","",SUMPRODUCT((表成绩单[考试日期]=表成绩单[[#This Row],[考试日期]])*(表成绩单[政治]&lt;9E+307)*(表成绩单[政治]&gt;表成绩单[[#This Row],[政治]]))+1)</f>
        <v>557</v>
      </c>
      <c r="V2206" s="29" cm="1">
        <f t="array" ref="V2206">IF(表成绩单[[#This Row],[历史]]="","",SUMPRODUCT((表成绩单[考试日期]=表成绩单[[#This Row],[考试日期]])*(表成绩单[历史]&lt;9E+307)*(表成绩单[历史]&gt;表成绩单[[#This Row],[历史]]))+1)</f>
        <v>579</v>
      </c>
      <c r="W2206" s="29" cm="1">
        <f t="array" ref="W2206">IF(表成绩单[[#This Row],[总分]]="","",SUMPRODUCT((表成绩单[考试日期]=表成绩单[[#This Row],[考试日期]])*(表成绩单[总分]&lt;9E+307)*(表成绩单[总分]&gt;表成绩单[[#This Row],[总分]]))+1)</f>
        <v>599</v>
      </c>
    </row>
    <row r="2207" ht="28" customHeight="1" spans="4:23">
      <c r="D2207" s="31">
        <v>46030</v>
      </c>
      <c r="E2207" s="29">
        <v>19177666</v>
      </c>
      <c r="F2207" s="29" t="s">
        <v>63</v>
      </c>
      <c r="G2207" s="29" t="s">
        <v>694</v>
      </c>
      <c r="H2207" s="29">
        <v>96</v>
      </c>
      <c r="I2207" s="29">
        <v>67</v>
      </c>
      <c r="J2207" s="29">
        <v>52</v>
      </c>
      <c r="K2207" s="29">
        <v>50</v>
      </c>
      <c r="L2207" s="29">
        <v>58</v>
      </c>
      <c r="M2207" s="29">
        <v>55</v>
      </c>
      <c r="N2207" s="29">
        <v>65</v>
      </c>
      <c r="O2207" s="32">
        <v>443</v>
      </c>
      <c r="P2207" s="29" cm="1">
        <f t="array" ref="P2207">IF(表成绩单[[#This Row],[语文]]="","",SUMPRODUCT((表成绩单[考试日期]=表成绩单[[#This Row],[考试日期]])*(表成绩单[语文]&lt;9E+307)*(表成绩单[语文]&gt;表成绩单[[#This Row],[语文]]))+1)</f>
        <v>315</v>
      </c>
      <c r="Q2207" s="29" cm="1">
        <f t="array" ref="Q2207">IF(表成绩单[[#This Row],[数学]]="","",SUMPRODUCT((表成绩单[考试日期]=表成绩单[[#This Row],[考试日期]])*(表成绩单[数学]&lt;9E+307)*(表成绩单[数学]&gt;表成绩单[[#This Row],[数学]]))+1)</f>
        <v>620</v>
      </c>
      <c r="R2207" s="29" cm="1">
        <f t="array" ref="R2207">IF(表成绩单[[#This Row],[英语]]="","",SUMPRODUCT((表成绩单[考试日期]=表成绩单[[#This Row],[考试日期]])*(表成绩单[英语]&lt;9E+307)*(表成绩单[英语]&gt;表成绩单[[#This Row],[英语]]))+1)</f>
        <v>624</v>
      </c>
      <c r="S2207" s="29" cm="1">
        <f t="array" ref="S2207">IF(表成绩单[[#This Row],[物理]]="","",SUMPRODUCT((表成绩单[考试日期]=表成绩单[[#This Row],[考试日期]])*(表成绩单[物理]&lt;9E+307)*(表成绩单[物理]&gt;表成绩单[[#This Row],[物理]]))+1)</f>
        <v>605</v>
      </c>
      <c r="T2207" s="29" cm="1">
        <f t="array" ref="T2207">IF(表成绩单[[#This Row],[化学]]="","",SUMPRODUCT((表成绩单[考试日期]=表成绩单[[#This Row],[考试日期]])*(表成绩单[化学]&lt;9E+307)*(表成绩单[化学]&gt;表成绩单[[#This Row],[化学]]))+1)</f>
        <v>558</v>
      </c>
      <c r="U2207" s="29" cm="1">
        <f t="array" ref="U2207">IF(表成绩单[[#This Row],[政治]]="","",SUMPRODUCT((表成绩单[考试日期]=表成绩单[[#This Row],[考试日期]])*(表成绩单[政治]&lt;9E+307)*(表成绩单[政治]&gt;表成绩单[[#This Row],[政治]]))+1)</f>
        <v>608</v>
      </c>
      <c r="V2207" s="29" cm="1">
        <f t="array" ref="V2207">IF(表成绩单[[#This Row],[历史]]="","",SUMPRODUCT((表成绩单[考试日期]=表成绩单[[#This Row],[考试日期]])*(表成绩单[历史]&lt;9E+307)*(表成绩单[历史]&gt;表成绩单[[#This Row],[历史]]))+1)</f>
        <v>471</v>
      </c>
      <c r="W2207" s="29" cm="1">
        <f t="array" ref="W2207">IF(表成绩单[[#This Row],[总分]]="","",SUMPRODUCT((表成绩单[考试日期]=表成绩单[[#This Row],[考试日期]])*(表成绩单[总分]&lt;9E+307)*(表成绩单[总分]&gt;表成绩单[[#This Row],[总分]]))+1)</f>
        <v>601</v>
      </c>
    </row>
    <row r="2208" ht="28" customHeight="1" spans="4:23">
      <c r="D2208" s="31">
        <v>46030</v>
      </c>
      <c r="E2208" s="29">
        <v>19173242</v>
      </c>
      <c r="F2208" s="29" t="s">
        <v>61</v>
      </c>
      <c r="G2208" s="29" t="s">
        <v>742</v>
      </c>
      <c r="H2208" s="29">
        <v>85</v>
      </c>
      <c r="I2208" s="29">
        <v>66</v>
      </c>
      <c r="J2208" s="29">
        <v>57.5</v>
      </c>
      <c r="K2208" s="29">
        <v>52</v>
      </c>
      <c r="L2208" s="29">
        <v>75</v>
      </c>
      <c r="M2208" s="29">
        <v>48</v>
      </c>
      <c r="N2208" s="29">
        <v>58</v>
      </c>
      <c r="O2208" s="32">
        <v>441.5</v>
      </c>
      <c r="P2208" s="29" cm="1">
        <f t="array" ref="P2208">IF(表成绩单[[#This Row],[语文]]="","",SUMPRODUCT((表成绩单[考试日期]=表成绩单[[#This Row],[考试日期]])*(表成绩单[语文]&lt;9E+307)*(表成绩单[语文]&gt;表成绩单[[#This Row],[语文]]))+1)</f>
        <v>619</v>
      </c>
      <c r="Q2208" s="29" cm="1">
        <f t="array" ref="Q2208">IF(表成绩单[[#This Row],[数学]]="","",SUMPRODUCT((表成绩单[考试日期]=表成绩单[[#This Row],[考试日期]])*(表成绩单[数学]&lt;9E+307)*(表成绩单[数学]&gt;表成绩单[[#This Row],[数学]]))+1)</f>
        <v>631</v>
      </c>
      <c r="R2208" s="29" cm="1">
        <f t="array" ref="R2208">IF(表成绩单[[#This Row],[英语]]="","",SUMPRODUCT((表成绩单[考试日期]=表成绩单[[#This Row],[考试日期]])*(表成绩单[英语]&lt;9E+307)*(表成绩单[英语]&gt;表成绩单[[#This Row],[英语]]))+1)</f>
        <v>566</v>
      </c>
      <c r="S2208" s="29" cm="1">
        <f t="array" ref="S2208">IF(表成绩单[[#This Row],[物理]]="","",SUMPRODUCT((表成绩单[考试日期]=表成绩单[[#This Row],[考试日期]])*(表成绩单[物理]&lt;9E+307)*(表成绩单[物理]&gt;表成绩单[[#This Row],[物理]]))+1)</f>
        <v>587</v>
      </c>
      <c r="T2208" s="29" cm="1">
        <f t="array" ref="T2208">IF(表成绩单[[#This Row],[化学]]="","",SUMPRODUCT((表成绩单[考试日期]=表成绩单[[#This Row],[考试日期]])*(表成绩单[化学]&lt;9E+307)*(表成绩单[化学]&gt;表成绩单[[#This Row],[化学]]))+1)</f>
        <v>169</v>
      </c>
      <c r="U2208" s="29" cm="1">
        <f t="array" ref="U2208">IF(表成绩单[[#This Row],[政治]]="","",SUMPRODUCT((表成绩单[考试日期]=表成绩单[[#This Row],[考试日期]])*(表成绩单[政治]&lt;9E+307)*(表成绩单[政治]&gt;表成绩单[[#This Row],[政治]]))+1)</f>
        <v>675</v>
      </c>
      <c r="V2208" s="29" cm="1">
        <f t="array" ref="V2208">IF(表成绩单[[#This Row],[历史]]="","",SUMPRODUCT((表成绩单[考试日期]=表成绩单[[#This Row],[考试日期]])*(表成绩单[历史]&lt;9E+307)*(表成绩单[历史]&gt;表成绩单[[#This Row],[历史]]))+1)</f>
        <v>620</v>
      </c>
      <c r="W2208" s="29" cm="1">
        <f t="array" ref="W2208">IF(表成绩单[[#This Row],[总分]]="","",SUMPRODUCT((表成绩单[考试日期]=表成绩单[[#This Row],[考试日期]])*(表成绩单[总分]&lt;9E+307)*(表成绩单[总分]&gt;表成绩单[[#This Row],[总分]]))+1)</f>
        <v>602</v>
      </c>
    </row>
    <row r="2209" ht="28" customHeight="1" spans="4:23">
      <c r="D2209" s="31">
        <v>46030</v>
      </c>
      <c r="E2209" s="29">
        <v>19177619</v>
      </c>
      <c r="F2209" s="29" t="s">
        <v>58</v>
      </c>
      <c r="G2209" s="29" t="s">
        <v>753</v>
      </c>
      <c r="H2209" s="29">
        <v>87</v>
      </c>
      <c r="I2209" s="29">
        <v>81</v>
      </c>
      <c r="J2209" s="29">
        <v>49.5</v>
      </c>
      <c r="K2209" s="29">
        <v>52</v>
      </c>
      <c r="L2209" s="29">
        <v>51</v>
      </c>
      <c r="M2209" s="29">
        <v>60</v>
      </c>
      <c r="N2209" s="29">
        <v>61</v>
      </c>
      <c r="O2209" s="32">
        <v>441.5</v>
      </c>
      <c r="P2209" s="29" cm="1">
        <f t="array" ref="P2209">IF(表成绩单[[#This Row],[语文]]="","",SUMPRODUCT((表成绩单[考试日期]=表成绩单[[#This Row],[考试日期]])*(表成绩单[语文]&lt;9E+307)*(表成绩单[语文]&gt;表成绩单[[#This Row],[语文]]))+1)</f>
        <v>581</v>
      </c>
      <c r="Q2209" s="29" cm="1">
        <f t="array" ref="Q2209">IF(表成绩单[[#This Row],[数学]]="","",SUMPRODUCT((表成绩单[考试日期]=表成绩单[[#This Row],[考试日期]])*(表成绩单[数学]&lt;9E+307)*(表成绩单[数学]&gt;表成绩单[[#This Row],[数学]]))+1)</f>
        <v>396</v>
      </c>
      <c r="R2209" s="29" cm="1">
        <f t="array" ref="R2209">IF(表成绩单[[#This Row],[英语]]="","",SUMPRODUCT((表成绩单[考试日期]=表成绩单[[#This Row],[考试日期]])*(表成绩单[英语]&lt;9E+307)*(表成绩单[英语]&gt;表成绩单[[#This Row],[英语]]))+1)</f>
        <v>651</v>
      </c>
      <c r="S2209" s="29" cm="1">
        <f t="array" ref="S2209">IF(表成绩单[[#This Row],[物理]]="","",SUMPRODUCT((表成绩单[考试日期]=表成绩单[[#This Row],[考试日期]])*(表成绩单[物理]&lt;9E+307)*(表成绩单[物理]&gt;表成绩单[[#This Row],[物理]]))+1)</f>
        <v>587</v>
      </c>
      <c r="T2209" s="29" cm="1">
        <f t="array" ref="T2209">IF(表成绩单[[#This Row],[化学]]="","",SUMPRODUCT((表成绩单[考试日期]=表成绩单[[#This Row],[考试日期]])*(表成绩单[化学]&lt;9E+307)*(表成绩单[化学]&gt;表成绩单[[#This Row],[化学]]))+1)</f>
        <v>648</v>
      </c>
      <c r="U2209" s="29" cm="1">
        <f t="array" ref="U2209">IF(表成绩单[[#This Row],[政治]]="","",SUMPRODUCT((表成绩单[考试日期]=表成绩单[[#This Row],[考试日期]])*(表成绩单[政治]&lt;9E+307)*(表成绩单[政治]&gt;表成绩单[[#This Row],[政治]]))+1)</f>
        <v>544</v>
      </c>
      <c r="V2209" s="29" cm="1">
        <f t="array" ref="V2209">IF(表成绩单[[#This Row],[历史]]="","",SUMPRODUCT((表成绩单[考试日期]=表成绩单[[#This Row],[考试日期]])*(表成绩单[历史]&lt;9E+307)*(表成绩单[历史]&gt;表成绩单[[#This Row],[历史]]))+1)</f>
        <v>566</v>
      </c>
      <c r="W2209" s="29" cm="1">
        <f t="array" ref="W2209">IF(表成绩单[[#This Row],[总分]]="","",SUMPRODUCT((表成绩单[考试日期]=表成绩单[[#This Row],[考试日期]])*(表成绩单[总分]&lt;9E+307)*(表成绩单[总分]&gt;表成绩单[[#This Row],[总分]]))+1)</f>
        <v>602</v>
      </c>
    </row>
    <row r="2210" ht="28" customHeight="1" spans="4:23">
      <c r="D2210" s="31">
        <v>46030</v>
      </c>
      <c r="E2210" s="29">
        <v>19177648</v>
      </c>
      <c r="F2210" s="29" t="s">
        <v>63</v>
      </c>
      <c r="G2210" s="29" t="s">
        <v>701</v>
      </c>
      <c r="H2210" s="29">
        <v>71</v>
      </c>
      <c r="I2210" s="29">
        <v>80</v>
      </c>
      <c r="J2210" s="29">
        <v>58.5</v>
      </c>
      <c r="K2210" s="29">
        <v>55</v>
      </c>
      <c r="L2210" s="29">
        <v>64</v>
      </c>
      <c r="M2210" s="29">
        <v>49</v>
      </c>
      <c r="N2210" s="29">
        <v>64</v>
      </c>
      <c r="O2210" s="32">
        <v>441.5</v>
      </c>
      <c r="P2210" s="29" cm="1">
        <f t="array" ref="P2210">IF(表成绩单[[#This Row],[语文]]="","",SUMPRODUCT((表成绩单[考试日期]=表成绩单[[#This Row],[考试日期]])*(表成绩单[语文]&lt;9E+307)*(表成绩单[语文]&gt;表成绩单[[#This Row],[语文]]))+1)</f>
        <v>737</v>
      </c>
      <c r="Q2210" s="29" cm="1">
        <f t="array" ref="Q2210">IF(表成绩单[[#This Row],[数学]]="","",SUMPRODUCT((表成绩单[考试日期]=表成绩单[[#This Row],[考试日期]])*(表成绩单[数学]&lt;9E+307)*(表成绩单[数学]&gt;表成绩单[[#This Row],[数学]]))+1)</f>
        <v>412</v>
      </c>
      <c r="R2210" s="29" cm="1">
        <f t="array" ref="R2210">IF(表成绩单[[#This Row],[英语]]="","",SUMPRODUCT((表成绩单[考试日期]=表成绩单[[#This Row],[考试日期]])*(表成绩单[英语]&lt;9E+307)*(表成绩单[英语]&gt;表成绩单[[#This Row],[英语]]))+1)</f>
        <v>545</v>
      </c>
      <c r="S2210" s="29" cm="1">
        <f t="array" ref="S2210">IF(表成绩单[[#This Row],[物理]]="","",SUMPRODUCT((表成绩单[考试日期]=表成绩单[[#This Row],[考试日期]])*(表成绩单[物理]&lt;9E+307)*(表成绩单[物理]&gt;表成绩单[[#This Row],[物理]]))+1)</f>
        <v>562</v>
      </c>
      <c r="T2210" s="29" cm="1">
        <f t="array" ref="T2210">IF(表成绩单[[#This Row],[化学]]="","",SUMPRODUCT((表成绩单[考试日期]=表成绩单[[#This Row],[考试日期]])*(表成绩单[化学]&lt;9E+307)*(表成绩单[化学]&gt;表成绩单[[#This Row],[化学]]))+1)</f>
        <v>451</v>
      </c>
      <c r="U2210" s="29" cm="1">
        <f t="array" ref="U2210">IF(表成绩单[[#This Row],[政治]]="","",SUMPRODUCT((表成绩单[考试日期]=表成绩单[[#This Row],[考试日期]])*(表成绩单[政治]&lt;9E+307)*(表成绩单[政治]&gt;表成绩单[[#This Row],[政治]]))+1)</f>
        <v>667</v>
      </c>
      <c r="V2210" s="29" cm="1">
        <f t="array" ref="V2210">IF(表成绩单[[#This Row],[历史]]="","",SUMPRODUCT((表成绩单[考试日期]=表成绩单[[#This Row],[考试日期]])*(表成绩单[历史]&lt;9E+307)*(表成绩单[历史]&gt;表成绩单[[#This Row],[历史]]))+1)</f>
        <v>509</v>
      </c>
      <c r="W2210" s="29" cm="1">
        <f t="array" ref="W2210">IF(表成绩单[[#This Row],[总分]]="","",SUMPRODUCT((表成绩单[考试日期]=表成绩单[[#This Row],[考试日期]])*(表成绩单[总分]&lt;9E+307)*(表成绩单[总分]&gt;表成绩单[[#This Row],[总分]]))+1)</f>
        <v>602</v>
      </c>
    </row>
    <row r="2211" ht="28" customHeight="1" spans="4:23">
      <c r="D2211" s="31">
        <v>46030</v>
      </c>
      <c r="E2211" s="29">
        <v>19178599</v>
      </c>
      <c r="F2211" s="29" t="s">
        <v>64</v>
      </c>
      <c r="G2211" s="29" t="s">
        <v>737</v>
      </c>
      <c r="H2211" s="29">
        <v>88</v>
      </c>
      <c r="I2211" s="29">
        <v>66</v>
      </c>
      <c r="J2211" s="29">
        <v>47</v>
      </c>
      <c r="K2211" s="29">
        <v>59</v>
      </c>
      <c r="L2211" s="29">
        <v>55</v>
      </c>
      <c r="M2211" s="29">
        <v>55</v>
      </c>
      <c r="N2211" s="29">
        <v>70</v>
      </c>
      <c r="O2211" s="32">
        <v>440</v>
      </c>
      <c r="P2211" s="29" cm="1">
        <f t="array" ref="P2211">IF(表成绩单[[#This Row],[语文]]="","",SUMPRODUCT((表成绩单[考试日期]=表成绩单[[#This Row],[考试日期]])*(表成绩单[语文]&lt;9E+307)*(表成绩单[语文]&gt;表成绩单[[#This Row],[语文]]))+1)</f>
        <v>562</v>
      </c>
      <c r="Q2211" s="29" cm="1">
        <f t="array" ref="Q2211">IF(表成绩单[[#This Row],[数学]]="","",SUMPRODUCT((表成绩单[考试日期]=表成绩单[[#This Row],[考试日期]])*(表成绩单[数学]&lt;9E+307)*(表成绩单[数学]&gt;表成绩单[[#This Row],[数学]]))+1)</f>
        <v>631</v>
      </c>
      <c r="R2211" s="29" cm="1">
        <f t="array" ref="R2211">IF(表成绩单[[#This Row],[英语]]="","",SUMPRODUCT((表成绩单[考试日期]=表成绩单[[#This Row],[考试日期]])*(表成绩单[英语]&lt;9E+307)*(表成绩单[英语]&gt;表成绩单[[#This Row],[英语]]))+1)</f>
        <v>676</v>
      </c>
      <c r="S2211" s="29" cm="1">
        <f t="array" ref="S2211">IF(表成绩单[[#This Row],[物理]]="","",SUMPRODUCT((表成绩单[考试日期]=表成绩单[[#This Row],[考试日期]])*(表成绩单[物理]&lt;9E+307)*(表成绩单[物理]&gt;表成绩单[[#This Row],[物理]]))+1)</f>
        <v>514</v>
      </c>
      <c r="T2211" s="29" cm="1">
        <f t="array" ref="T2211">IF(表成绩单[[#This Row],[化学]]="","",SUMPRODUCT((表成绩单[考试日期]=表成绩单[[#This Row],[考试日期]])*(表成绩单[化学]&lt;9E+307)*(表成绩单[化学]&gt;表成绩单[[#This Row],[化学]]))+1)</f>
        <v>593</v>
      </c>
      <c r="U2211" s="29" cm="1">
        <f t="array" ref="U2211">IF(表成绩单[[#This Row],[政治]]="","",SUMPRODUCT((表成绩单[考试日期]=表成绩单[[#This Row],[考试日期]])*(表成绩单[政治]&lt;9E+307)*(表成绩单[政治]&gt;表成绩单[[#This Row],[政治]]))+1)</f>
        <v>608</v>
      </c>
      <c r="V2211" s="29" cm="1">
        <f t="array" ref="V2211">IF(表成绩单[[#This Row],[历史]]="","",SUMPRODUCT((表成绩单[考试日期]=表成绩单[[#This Row],[考试日期]])*(表成绩单[历史]&lt;9E+307)*(表成绩单[历史]&gt;表成绩单[[#This Row],[历史]]))+1)</f>
        <v>328</v>
      </c>
      <c r="W2211" s="29" cm="1">
        <f t="array" ref="W2211">IF(表成绩单[[#This Row],[总分]]="","",SUMPRODUCT((表成绩单[考试日期]=表成绩单[[#This Row],[考试日期]])*(表成绩单[总分]&lt;9E+307)*(表成绩单[总分]&gt;表成绩单[[#This Row],[总分]]))+1)</f>
        <v>605</v>
      </c>
    </row>
    <row r="2212" ht="28" customHeight="1" spans="4:23">
      <c r="D2212" s="31">
        <v>46030</v>
      </c>
      <c r="E2212" s="29">
        <v>19178622</v>
      </c>
      <c r="F2212" s="29" t="s">
        <v>25</v>
      </c>
      <c r="G2212" s="29" t="s">
        <v>651</v>
      </c>
      <c r="H2212" s="29">
        <v>88</v>
      </c>
      <c r="I2212" s="29">
        <v>68</v>
      </c>
      <c r="J2212" s="29">
        <v>58</v>
      </c>
      <c r="K2212" s="29">
        <v>49</v>
      </c>
      <c r="L2212" s="29">
        <v>55</v>
      </c>
      <c r="M2212" s="29">
        <v>59</v>
      </c>
      <c r="N2212" s="29">
        <v>63</v>
      </c>
      <c r="O2212" s="32">
        <v>440</v>
      </c>
      <c r="P2212" s="29" cm="1">
        <f t="array" ref="P2212">IF(表成绩单[[#This Row],[语文]]="","",SUMPRODUCT((表成绩单[考试日期]=表成绩单[[#This Row],[考试日期]])*(表成绩单[语文]&lt;9E+307)*(表成绩单[语文]&gt;表成绩单[[#This Row],[语文]]))+1)</f>
        <v>562</v>
      </c>
      <c r="Q2212" s="29" cm="1">
        <f t="array" ref="Q2212">IF(表成绩单[[#This Row],[数学]]="","",SUMPRODUCT((表成绩单[考试日期]=表成绩单[[#This Row],[考试日期]])*(表成绩单[数学]&lt;9E+307)*(表成绩单[数学]&gt;表成绩单[[#This Row],[数学]]))+1)</f>
        <v>608</v>
      </c>
      <c r="R2212" s="29" cm="1">
        <f t="array" ref="R2212">IF(表成绩单[[#This Row],[英语]]="","",SUMPRODUCT((表成绩单[考试日期]=表成绩单[[#This Row],[考试日期]])*(表成绩单[英语]&lt;9E+307)*(表成绩单[英语]&gt;表成绩单[[#This Row],[英语]]))+1)</f>
        <v>556</v>
      </c>
      <c r="S2212" s="29" cm="1">
        <f t="array" ref="S2212">IF(表成绩单[[#This Row],[物理]]="","",SUMPRODUCT((表成绩单[考试日期]=表成绩单[[#This Row],[考试日期]])*(表成绩单[物理]&lt;9E+307)*(表成绩单[物理]&gt;表成绩单[[#This Row],[物理]]))+1)</f>
        <v>619</v>
      </c>
      <c r="T2212" s="29" cm="1">
        <f t="array" ref="T2212">IF(表成绩单[[#This Row],[化学]]="","",SUMPRODUCT((表成绩单[考试日期]=表成绩单[[#This Row],[考试日期]])*(表成绩单[化学]&lt;9E+307)*(表成绩单[化学]&gt;表成绩单[[#This Row],[化学]]))+1)</f>
        <v>593</v>
      </c>
      <c r="U2212" s="29" cm="1">
        <f t="array" ref="U2212">IF(表成绩单[[#This Row],[政治]]="","",SUMPRODUCT((表成绩单[考试日期]=表成绩单[[#This Row],[考试日期]])*(表成绩单[政治]&lt;9E+307)*(表成绩单[政治]&gt;表成绩单[[#This Row],[政治]]))+1)</f>
        <v>557</v>
      </c>
      <c r="V2212" s="29" cm="1">
        <f t="array" ref="V2212">IF(表成绩单[[#This Row],[历史]]="","",SUMPRODUCT((表成绩单[考试日期]=表成绩单[[#This Row],[考试日期]])*(表成绩单[历史]&lt;9E+307)*(表成绩单[历史]&gt;表成绩单[[#This Row],[历史]]))+1)</f>
        <v>521</v>
      </c>
      <c r="W2212" s="29" cm="1">
        <f t="array" ref="W2212">IF(表成绩单[[#This Row],[总分]]="","",SUMPRODUCT((表成绩单[考试日期]=表成绩单[[#This Row],[考试日期]])*(表成绩单[总分]&lt;9E+307)*(表成绩单[总分]&gt;表成绩单[[#This Row],[总分]]))+1)</f>
        <v>605</v>
      </c>
    </row>
    <row r="2213" ht="28" customHeight="1" spans="4:23">
      <c r="D2213" s="31">
        <v>46030</v>
      </c>
      <c r="E2213" s="29">
        <v>19175596</v>
      </c>
      <c r="F2213" s="29" t="s">
        <v>57</v>
      </c>
      <c r="G2213" s="29" t="s">
        <v>745</v>
      </c>
      <c r="H2213" s="29">
        <v>92</v>
      </c>
      <c r="I2213" s="29">
        <v>64</v>
      </c>
      <c r="J2213" s="29">
        <v>65.5</v>
      </c>
      <c r="K2213" s="29">
        <v>46</v>
      </c>
      <c r="L2213" s="29">
        <v>61</v>
      </c>
      <c r="M2213" s="29">
        <v>51</v>
      </c>
      <c r="N2213" s="29">
        <v>60</v>
      </c>
      <c r="O2213" s="32">
        <v>439.5</v>
      </c>
      <c r="P2213" s="29" cm="1">
        <f t="array" ref="P2213">IF(表成绩单[[#This Row],[语文]]="","",SUMPRODUCT((表成绩单[考试日期]=表成绩单[[#This Row],[考试日期]])*(表成绩单[语文]&lt;9E+307)*(表成绩单[语文]&gt;表成绩单[[#This Row],[语文]]))+1)</f>
        <v>444</v>
      </c>
      <c r="Q2213" s="29" cm="1">
        <f t="array" ref="Q2213">IF(表成绩单[[#This Row],[数学]]="","",SUMPRODUCT((表成绩单[考试日期]=表成绩单[[#This Row],[考试日期]])*(表成绩单[数学]&lt;9E+307)*(表成绩单[数学]&gt;表成绩单[[#This Row],[数学]]))+1)</f>
        <v>648</v>
      </c>
      <c r="R2213" s="29" cm="1">
        <f t="array" ref="R2213">IF(表成绩单[[#This Row],[英语]]="","",SUMPRODUCT((表成绩单[考试日期]=表成绩单[[#This Row],[考试日期]])*(表成绩单[英语]&lt;9E+307)*(表成绩单[英语]&gt;表成绩单[[#This Row],[英语]]))+1)</f>
        <v>429</v>
      </c>
      <c r="S2213" s="29" cm="1">
        <f t="array" ref="S2213">IF(表成绩单[[#This Row],[物理]]="","",SUMPRODUCT((表成绩单[考试日期]=表成绩单[[#This Row],[考试日期]])*(表成绩单[物理]&lt;9E+307)*(表成绩单[物理]&gt;表成绩单[[#This Row],[物理]]))+1)</f>
        <v>649</v>
      </c>
      <c r="T2213" s="29" cm="1">
        <f t="array" ref="T2213">IF(表成绩单[[#This Row],[化学]]="","",SUMPRODUCT((表成绩单[考试日期]=表成绩单[[#This Row],[考试日期]])*(表成绩单[化学]&lt;9E+307)*(表成绩单[化学]&gt;表成绩单[[#This Row],[化学]]))+1)</f>
        <v>508</v>
      </c>
      <c r="U2213" s="29" cm="1">
        <f t="array" ref="U2213">IF(表成绩单[[#This Row],[政治]]="","",SUMPRODUCT((表成绩单[考试日期]=表成绩单[[#This Row],[考试日期]])*(表成绩单[政治]&lt;9E+307)*(表成绩单[政治]&gt;表成绩单[[#This Row],[政治]]))+1)</f>
        <v>651</v>
      </c>
      <c r="V2213" s="29" cm="1">
        <f t="array" ref="V2213">IF(表成绩单[[#This Row],[历史]]="","",SUMPRODUCT((表成绩单[考试日期]=表成绩单[[#This Row],[考试日期]])*(表成绩单[历史]&lt;9E+307)*(表成绩单[历史]&gt;表成绩单[[#This Row],[历史]]))+1)</f>
        <v>579</v>
      </c>
      <c r="W2213" s="29" cm="1">
        <f t="array" ref="W2213">IF(表成绩单[[#This Row],[总分]]="","",SUMPRODUCT((表成绩单[考试日期]=表成绩单[[#This Row],[考试日期]])*(表成绩单[总分]&lt;9E+307)*(表成绩单[总分]&gt;表成绩单[[#This Row],[总分]]))+1)</f>
        <v>607</v>
      </c>
    </row>
    <row r="2214" ht="28" customHeight="1" spans="4:23">
      <c r="D2214" s="31">
        <v>46030</v>
      </c>
      <c r="E2214" s="29">
        <v>19173273</v>
      </c>
      <c r="F2214" s="29" t="s">
        <v>61</v>
      </c>
      <c r="G2214" s="29" t="s">
        <v>738</v>
      </c>
      <c r="H2214" s="29">
        <v>81</v>
      </c>
      <c r="I2214" s="29">
        <v>75</v>
      </c>
      <c r="J2214" s="29">
        <v>54</v>
      </c>
      <c r="K2214" s="29">
        <v>51</v>
      </c>
      <c r="L2214" s="29">
        <v>57</v>
      </c>
      <c r="M2214" s="29">
        <v>64</v>
      </c>
      <c r="N2214" s="29">
        <v>56</v>
      </c>
      <c r="O2214" s="32">
        <v>438</v>
      </c>
      <c r="P2214" s="29" cm="1">
        <f t="array" ref="P2214">IF(表成绩单[[#This Row],[语文]]="","",SUMPRODUCT((表成绩单[考试日期]=表成绩单[[#This Row],[考试日期]])*(表成绩单[语文]&lt;9E+307)*(表成绩单[语文]&gt;表成绩单[[#This Row],[语文]]))+1)</f>
        <v>668</v>
      </c>
      <c r="Q2214" s="29" cm="1">
        <f t="array" ref="Q2214">IF(表成绩单[[#This Row],[数学]]="","",SUMPRODUCT((表成绩单[考试日期]=表成绩单[[#This Row],[考试日期]])*(表成绩单[数学]&lt;9E+307)*(表成绩单[数学]&gt;表成绩单[[#This Row],[数学]]))+1)</f>
        <v>521</v>
      </c>
      <c r="R2214" s="29" cm="1">
        <f t="array" ref="R2214">IF(表成绩单[[#This Row],[英语]]="","",SUMPRODUCT((表成绩单[考试日期]=表成绩单[[#This Row],[考试日期]])*(表成绩单[英语]&lt;9E+307)*(表成绩单[英语]&gt;表成绩单[[#This Row],[英语]]))+1)</f>
        <v>606</v>
      </c>
      <c r="S2214" s="29" cm="1">
        <f t="array" ref="S2214">IF(表成绩单[[#This Row],[物理]]="","",SUMPRODUCT((表成绩单[考试日期]=表成绩单[[#This Row],[考试日期]])*(表成绩单[物理]&lt;9E+307)*(表成绩单[物理]&gt;表成绩单[[#This Row],[物理]]))+1)</f>
        <v>595</v>
      </c>
      <c r="T2214" s="29" cm="1">
        <f t="array" ref="T2214">IF(表成绩单[[#This Row],[化学]]="","",SUMPRODUCT((表成绩单[考试日期]=表成绩单[[#This Row],[考试日期]])*(表成绩单[化学]&lt;9E+307)*(表成绩单[化学]&gt;表成绩单[[#This Row],[化学]]))+1)</f>
        <v>564</v>
      </c>
      <c r="U2214" s="29" cm="1">
        <f t="array" ref="U2214">IF(表成绩单[[#This Row],[政治]]="","",SUMPRODUCT((表成绩单[考试日期]=表成绩单[[#This Row],[考试日期]])*(表成绩单[政治]&lt;9E+307)*(表成绩单[政治]&gt;表成绩单[[#This Row],[政治]]))+1)</f>
        <v>457</v>
      </c>
      <c r="V2214" s="29" cm="1">
        <f t="array" ref="V2214">IF(表成绩单[[#This Row],[历史]]="","",SUMPRODUCT((表成绩单[考试日期]=表成绩单[[#This Row],[考试日期]])*(表成绩单[历史]&lt;9E+307)*(表成绩单[历史]&gt;表成绩单[[#This Row],[历史]]))+1)</f>
        <v>651</v>
      </c>
      <c r="W2214" s="29" cm="1">
        <f t="array" ref="W2214">IF(表成绩单[[#This Row],[总分]]="","",SUMPRODUCT((表成绩单[考试日期]=表成绩单[[#This Row],[考试日期]])*(表成绩单[总分]&lt;9E+307)*(表成绩单[总分]&gt;表成绩单[[#This Row],[总分]]))+1)</f>
        <v>608</v>
      </c>
    </row>
    <row r="2215" ht="28" customHeight="1" spans="4:23">
      <c r="D2215" s="31">
        <v>46030</v>
      </c>
      <c r="E2215" s="29">
        <v>19175315</v>
      </c>
      <c r="F2215" s="29" t="s">
        <v>55</v>
      </c>
      <c r="G2215" s="29" t="s">
        <v>642</v>
      </c>
      <c r="H2215" s="29">
        <v>84</v>
      </c>
      <c r="I2215" s="29">
        <v>79</v>
      </c>
      <c r="J2215" s="29">
        <v>56</v>
      </c>
      <c r="K2215" s="29">
        <v>43</v>
      </c>
      <c r="L2215" s="29">
        <v>57</v>
      </c>
      <c r="M2215" s="29">
        <v>58</v>
      </c>
      <c r="N2215" s="29">
        <v>61</v>
      </c>
      <c r="O2215" s="32">
        <v>438</v>
      </c>
      <c r="P2215" s="29" cm="1">
        <f t="array" ref="P2215">IF(表成绩单[[#This Row],[语文]]="","",SUMPRODUCT((表成绩单[考试日期]=表成绩单[[#This Row],[考试日期]])*(表成绩单[语文]&lt;9E+307)*(表成绩单[语文]&gt;表成绩单[[#This Row],[语文]]))+1)</f>
        <v>635</v>
      </c>
      <c r="Q2215" s="29" cm="1">
        <f t="array" ref="Q2215">IF(表成绩单[[#This Row],[数学]]="","",SUMPRODUCT((表成绩单[考试日期]=表成绩单[[#This Row],[考试日期]])*(表成绩单[数学]&lt;9E+307)*(表成绩单[数学]&gt;表成绩单[[#This Row],[数学]]))+1)</f>
        <v>427</v>
      </c>
      <c r="R2215" s="29" cm="1">
        <f t="array" ref="R2215">IF(表成绩单[[#This Row],[英语]]="","",SUMPRODUCT((表成绩单[考试日期]=表成绩单[[#This Row],[考试日期]])*(表成绩单[英语]&lt;9E+307)*(表成绩单[英语]&gt;表成绩单[[#This Row],[英语]]))+1)</f>
        <v>582</v>
      </c>
      <c r="S2215" s="29" cm="1">
        <f t="array" ref="S2215">IF(表成绩单[[#This Row],[物理]]="","",SUMPRODUCT((表成绩单[考试日期]=表成绩单[[#This Row],[考试日期]])*(表成绩单[物理]&lt;9E+307)*(表成绩单[物理]&gt;表成绩单[[#This Row],[物理]]))+1)</f>
        <v>674</v>
      </c>
      <c r="T2215" s="29" cm="1">
        <f t="array" ref="T2215">IF(表成绩单[[#This Row],[化学]]="","",SUMPRODUCT((表成绩单[考试日期]=表成绩单[[#This Row],[考试日期]])*(表成绩单[化学]&lt;9E+307)*(表成绩单[化学]&gt;表成绩单[[#This Row],[化学]]))+1)</f>
        <v>564</v>
      </c>
      <c r="U2215" s="29" cm="1">
        <f t="array" ref="U2215">IF(表成绩单[[#This Row],[政治]]="","",SUMPRODUCT((表成绩单[考试日期]=表成绩单[[#This Row],[考试日期]])*(表成绩单[政治]&lt;9E+307)*(表成绩单[政治]&gt;表成绩单[[#This Row],[政治]]))+1)</f>
        <v>582</v>
      </c>
      <c r="V2215" s="29" cm="1">
        <f t="array" ref="V2215">IF(表成绩单[[#This Row],[历史]]="","",SUMPRODUCT((表成绩单[考试日期]=表成绩单[[#This Row],[考试日期]])*(表成绩单[历史]&lt;9E+307)*(表成绩单[历史]&gt;表成绩单[[#This Row],[历史]]))+1)</f>
        <v>566</v>
      </c>
      <c r="W2215" s="29" cm="1">
        <f t="array" ref="W2215">IF(表成绩单[[#This Row],[总分]]="","",SUMPRODUCT((表成绩单[考试日期]=表成绩单[[#This Row],[考试日期]])*(表成绩单[总分]&lt;9E+307)*(表成绩单[总分]&gt;表成绩单[[#This Row],[总分]]))+1)</f>
        <v>608</v>
      </c>
    </row>
    <row r="2216" ht="28" customHeight="1" spans="4:23">
      <c r="D2216" s="31">
        <v>46030</v>
      </c>
      <c r="E2216" s="29">
        <v>19173771</v>
      </c>
      <c r="F2216" s="29" t="s">
        <v>65</v>
      </c>
      <c r="G2216" s="29" t="s">
        <v>624</v>
      </c>
      <c r="H2216" s="29">
        <v>81</v>
      </c>
      <c r="I2216" s="29">
        <v>67</v>
      </c>
      <c r="J2216" s="29">
        <v>58.5</v>
      </c>
      <c r="K2216" s="29">
        <v>64</v>
      </c>
      <c r="L2216" s="29">
        <v>56</v>
      </c>
      <c r="M2216" s="29">
        <v>60</v>
      </c>
      <c r="N2216" s="29">
        <v>51</v>
      </c>
      <c r="O2216" s="32">
        <v>437.5</v>
      </c>
      <c r="P2216" s="29" cm="1">
        <f t="array" ref="P2216">IF(表成绩单[[#This Row],[语文]]="","",SUMPRODUCT((表成绩单[考试日期]=表成绩单[[#This Row],[考试日期]])*(表成绩单[语文]&lt;9E+307)*(表成绩单[语文]&gt;表成绩单[[#This Row],[语文]]))+1)</f>
        <v>668</v>
      </c>
      <c r="Q2216" s="29" cm="1">
        <f t="array" ref="Q2216">IF(表成绩单[[#This Row],[数学]]="","",SUMPRODUCT((表成绩单[考试日期]=表成绩单[[#This Row],[考试日期]])*(表成绩单[数学]&lt;9E+307)*(表成绩单[数学]&gt;表成绩单[[#This Row],[数学]]))+1)</f>
        <v>620</v>
      </c>
      <c r="R2216" s="29" cm="1">
        <f t="array" ref="R2216">IF(表成绩单[[#This Row],[英语]]="","",SUMPRODUCT((表成绩单[考试日期]=表成绩单[[#This Row],[考试日期]])*(表成绩单[英语]&lt;9E+307)*(表成绩单[英语]&gt;表成绩单[[#This Row],[英语]]))+1)</f>
        <v>545</v>
      </c>
      <c r="S2216" s="29" cm="1">
        <f t="array" ref="S2216">IF(表成绩单[[#This Row],[物理]]="","",SUMPRODUCT((表成绩单[考试日期]=表成绩单[[#This Row],[考试日期]])*(表成绩单[物理]&lt;9E+307)*(表成绩单[物理]&gt;表成绩单[[#This Row],[物理]]))+1)</f>
        <v>441</v>
      </c>
      <c r="T2216" s="29" cm="1">
        <f t="array" ref="T2216">IF(表成绩单[[#This Row],[化学]]="","",SUMPRODUCT((表成绩单[考试日期]=表成绩单[[#This Row],[考试日期]])*(表成绩单[化学]&lt;9E+307)*(表成绩单[化学]&gt;表成绩单[[#This Row],[化学]]))+1)</f>
        <v>581</v>
      </c>
      <c r="U2216" s="29" cm="1">
        <f t="array" ref="U2216">IF(表成绩单[[#This Row],[政治]]="","",SUMPRODUCT((表成绩单[考试日期]=表成绩单[[#This Row],[考试日期]])*(表成绩单[政治]&lt;9E+307)*(表成绩单[政治]&gt;表成绩单[[#This Row],[政治]]))+1)</f>
        <v>544</v>
      </c>
      <c r="V2216" s="29" cm="1">
        <f t="array" ref="V2216">IF(表成绩单[[#This Row],[历史]]="","",SUMPRODUCT((表成绩单[考试日期]=表成绩单[[#This Row],[考试日期]])*(表成绩单[历史]&lt;9E+307)*(表成绩单[历史]&gt;表成绩单[[#This Row],[历史]]))+1)</f>
        <v>714</v>
      </c>
      <c r="W2216" s="29" cm="1">
        <f t="array" ref="W2216">IF(表成绩单[[#This Row],[总分]]="","",SUMPRODUCT((表成绩单[考试日期]=表成绩单[[#This Row],[考试日期]])*(表成绩单[总分]&lt;9E+307)*(表成绩单[总分]&gt;表成绩单[[#This Row],[总分]]))+1)</f>
        <v>610</v>
      </c>
    </row>
    <row r="2217" ht="28" customHeight="1" spans="4:23">
      <c r="D2217" s="31">
        <v>46030</v>
      </c>
      <c r="E2217" s="29">
        <v>19173773</v>
      </c>
      <c r="F2217" s="29" t="s">
        <v>65</v>
      </c>
      <c r="G2217" s="29" t="s">
        <v>726</v>
      </c>
      <c r="H2217" s="29">
        <v>66</v>
      </c>
      <c r="I2217" s="29">
        <v>77</v>
      </c>
      <c r="J2217" s="29">
        <v>52.5</v>
      </c>
      <c r="K2217" s="29">
        <v>60</v>
      </c>
      <c r="L2217" s="29">
        <v>61</v>
      </c>
      <c r="M2217" s="29">
        <v>59</v>
      </c>
      <c r="N2217" s="29">
        <v>62</v>
      </c>
      <c r="O2217" s="32">
        <v>437.5</v>
      </c>
      <c r="P2217" s="29" cm="1">
        <f t="array" ref="P2217">IF(表成绩单[[#This Row],[语文]]="","",SUMPRODUCT((表成绩单[考试日期]=表成绩单[[#This Row],[考试日期]])*(表成绩单[语文]&lt;9E+307)*(表成绩单[语文]&gt;表成绩单[[#This Row],[语文]]))+1)</f>
        <v>758</v>
      </c>
      <c r="Q2217" s="29" cm="1">
        <f t="array" ref="Q2217">IF(表成绩单[[#This Row],[数学]]="","",SUMPRODUCT((表成绩单[考试日期]=表成绩单[[#This Row],[考试日期]])*(表成绩单[数学]&lt;9E+307)*(表成绩单[数学]&gt;表成绩单[[#This Row],[数学]]))+1)</f>
        <v>478</v>
      </c>
      <c r="R2217" s="29" cm="1">
        <f t="array" ref="R2217">IF(表成绩单[[#This Row],[英语]]="","",SUMPRODUCT((表成绩单[考试日期]=表成绩单[[#This Row],[考试日期]])*(表成绩单[英语]&lt;9E+307)*(表成绩单[英语]&gt;表成绩单[[#This Row],[英语]]))+1)</f>
        <v>620</v>
      </c>
      <c r="S2217" s="29" cm="1">
        <f t="array" ref="S2217">IF(表成绩单[[#This Row],[物理]]="","",SUMPRODUCT((表成绩单[考试日期]=表成绩单[[#This Row],[考试日期]])*(表成绩单[物理]&lt;9E+307)*(表成绩单[物理]&gt;表成绩单[[#This Row],[物理]]))+1)</f>
        <v>499</v>
      </c>
      <c r="T2217" s="29" cm="1">
        <f t="array" ref="T2217">IF(表成绩单[[#This Row],[化学]]="","",SUMPRODUCT((表成绩单[考试日期]=表成绩单[[#This Row],[考试日期]])*(表成绩单[化学]&lt;9E+307)*(表成绩单[化学]&gt;表成绩单[[#This Row],[化学]]))+1)</f>
        <v>508</v>
      </c>
      <c r="U2217" s="29" cm="1">
        <f t="array" ref="U2217">IF(表成绩单[[#This Row],[政治]]="","",SUMPRODUCT((表成绩单[考试日期]=表成绩单[[#This Row],[考试日期]])*(表成绩单[政治]&lt;9E+307)*(表成绩单[政治]&gt;表成绩单[[#This Row],[政治]]))+1)</f>
        <v>557</v>
      </c>
      <c r="V2217" s="29" cm="1">
        <f t="array" ref="V2217">IF(表成绩单[[#This Row],[历史]]="","",SUMPRODUCT((表成绩单[考试日期]=表成绩单[[#This Row],[考试日期]])*(表成绩单[历史]&lt;9E+307)*(表成绩单[历史]&gt;表成绩单[[#This Row],[历史]]))+1)</f>
        <v>545</v>
      </c>
      <c r="W2217" s="29" cm="1">
        <f t="array" ref="W2217">IF(表成绩单[[#This Row],[总分]]="","",SUMPRODUCT((表成绩单[考试日期]=表成绩单[[#This Row],[考试日期]])*(表成绩单[总分]&lt;9E+307)*(表成绩单[总分]&gt;表成绩单[[#This Row],[总分]]))+1)</f>
        <v>610</v>
      </c>
    </row>
    <row r="2218" ht="28" customHeight="1" spans="4:23">
      <c r="D2218" s="31">
        <v>46030</v>
      </c>
      <c r="E2218" s="29">
        <v>19175628</v>
      </c>
      <c r="F2218" s="29" t="s">
        <v>57</v>
      </c>
      <c r="G2218" s="29" t="s">
        <v>708</v>
      </c>
      <c r="H2218" s="29">
        <v>85</v>
      </c>
      <c r="I2218" s="29">
        <v>56</v>
      </c>
      <c r="J2218" s="29">
        <v>64</v>
      </c>
      <c r="K2218" s="29">
        <v>41</v>
      </c>
      <c r="L2218" s="29">
        <v>57</v>
      </c>
      <c r="M2218" s="29">
        <v>79</v>
      </c>
      <c r="N2218" s="29">
        <v>55</v>
      </c>
      <c r="O2218" s="32">
        <v>437</v>
      </c>
      <c r="P2218" s="29" cm="1">
        <f t="array" ref="P2218">IF(表成绩单[[#This Row],[语文]]="","",SUMPRODUCT((表成绩单[考试日期]=表成绩单[[#This Row],[考试日期]])*(表成绩单[语文]&lt;9E+307)*(表成绩单[语文]&gt;表成绩单[[#This Row],[语文]]))+1)</f>
        <v>619</v>
      </c>
      <c r="Q2218" s="29" cm="1">
        <f t="array" ref="Q2218">IF(表成绩单[[#This Row],[数学]]="","",SUMPRODUCT((表成绩单[考试日期]=表成绩单[[#This Row],[考试日期]])*(表成绩单[数学]&lt;9E+307)*(表成绩单[数学]&gt;表成绩单[[#This Row],[数学]]))+1)</f>
        <v>698</v>
      </c>
      <c r="R2218" s="29" cm="1">
        <f t="array" ref="R2218">IF(表成绩单[[#This Row],[英语]]="","",SUMPRODUCT((表成绩单[考试日期]=表成绩单[[#This Row],[考试日期]])*(表成绩单[英语]&lt;9E+307)*(表成绩单[英语]&gt;表成绩单[[#This Row],[英语]]))+1)</f>
        <v>456</v>
      </c>
      <c r="S2218" s="29" cm="1">
        <f t="array" ref="S2218">IF(表成绩单[[#This Row],[物理]]="","",SUMPRODUCT((表成绩单[考试日期]=表成绩单[[#This Row],[考试日期]])*(表成绩单[物理]&lt;9E+307)*(表成绩单[物理]&gt;表成绩单[[#This Row],[物理]]))+1)</f>
        <v>687</v>
      </c>
      <c r="T2218" s="29" cm="1">
        <f t="array" ref="T2218">IF(表成绩单[[#This Row],[化学]]="","",SUMPRODUCT((表成绩单[考试日期]=表成绩单[[#This Row],[考试日期]])*(表成绩单[化学]&lt;9E+307)*(表成绩单[化学]&gt;表成绩单[[#This Row],[化学]]))+1)</f>
        <v>564</v>
      </c>
      <c r="U2218" s="29" cm="1">
        <f t="array" ref="U2218">IF(表成绩单[[#This Row],[政治]]="","",SUMPRODUCT((表成绩单[考试日期]=表成绩单[[#This Row],[考试日期]])*(表成绩单[政治]&lt;9E+307)*(表成绩单[政治]&gt;表成绩单[[#This Row],[政治]]))+1)</f>
        <v>42</v>
      </c>
      <c r="V2218" s="29" cm="1">
        <f t="array" ref="V2218">IF(表成绩单[[#This Row],[历史]]="","",SUMPRODUCT((表成绩单[考试日期]=表成绩单[[#This Row],[考试日期]])*(表成绩单[历史]&lt;9E+307)*(表成绩单[历史]&gt;表成绩单[[#This Row],[历史]]))+1)</f>
        <v>662</v>
      </c>
      <c r="W2218" s="29" cm="1">
        <f t="array" ref="W2218">IF(表成绩单[[#This Row],[总分]]="","",SUMPRODUCT((表成绩单[考试日期]=表成绩单[[#This Row],[考试日期]])*(表成绩单[总分]&lt;9E+307)*(表成绩单[总分]&gt;表成绩单[[#This Row],[总分]]))+1)</f>
        <v>612</v>
      </c>
    </row>
    <row r="2219" ht="28" customHeight="1" spans="4:23">
      <c r="D2219" s="31">
        <v>46030</v>
      </c>
      <c r="E2219" s="29">
        <v>19172645</v>
      </c>
      <c r="F2219" s="29" t="s">
        <v>60</v>
      </c>
      <c r="G2219" s="29" t="s">
        <v>644</v>
      </c>
      <c r="H2219" s="29">
        <v>89</v>
      </c>
      <c r="I2219" s="29">
        <v>72</v>
      </c>
      <c r="J2219" s="29">
        <v>55.5</v>
      </c>
      <c r="K2219" s="29">
        <v>61</v>
      </c>
      <c r="L2219" s="29">
        <v>52</v>
      </c>
      <c r="M2219" s="29">
        <v>43</v>
      </c>
      <c r="N2219" s="29">
        <v>63</v>
      </c>
      <c r="O2219" s="32">
        <v>435.5</v>
      </c>
      <c r="P2219" s="29" cm="1">
        <f t="array" ref="P2219">IF(表成绩单[[#This Row],[语文]]="","",SUMPRODUCT((表成绩单[考试日期]=表成绩单[[#This Row],[考试日期]])*(表成绩单[语文]&lt;9E+307)*(表成绩单[语文]&gt;表成绩单[[#This Row],[语文]]))+1)</f>
        <v>540</v>
      </c>
      <c r="Q2219" s="29" cm="1">
        <f t="array" ref="Q2219">IF(表成绩单[[#This Row],[数学]]="","",SUMPRODUCT((表成绩单[考试日期]=表成绩单[[#This Row],[考试日期]])*(表成绩单[数学]&lt;9E+307)*(表成绩单[数学]&gt;表成绩单[[#This Row],[数学]]))+1)</f>
        <v>562</v>
      </c>
      <c r="R2219" s="29" cm="1">
        <f t="array" ref="R2219">IF(表成绩单[[#This Row],[英语]]="","",SUMPRODUCT((表成绩单[考试日期]=表成绩单[[#This Row],[考试日期]])*(表成绩单[英语]&lt;9E+307)*(表成绩单[英语]&gt;表成绩单[[#This Row],[英语]]))+1)</f>
        <v>588</v>
      </c>
      <c r="S2219" s="29" cm="1">
        <f t="array" ref="S2219">IF(表成绩单[[#This Row],[物理]]="","",SUMPRODUCT((表成绩单[考试日期]=表成绩单[[#This Row],[考试日期]])*(表成绩单[物理]&lt;9E+307)*(表成绩单[物理]&gt;表成绩单[[#This Row],[物理]]))+1)</f>
        <v>482</v>
      </c>
      <c r="T2219" s="29" cm="1">
        <f t="array" ref="T2219">IF(表成绩单[[#This Row],[化学]]="","",SUMPRODUCT((表成绩单[考试日期]=表成绩单[[#This Row],[考试日期]])*(表成绩单[化学]&lt;9E+307)*(表成绩单[化学]&gt;表成绩单[[#This Row],[化学]]))+1)</f>
        <v>638</v>
      </c>
      <c r="U2219" s="29" cm="1">
        <f t="array" ref="U2219">IF(表成绩单[[#This Row],[政治]]="","",SUMPRODUCT((表成绩单[考试日期]=表成绩单[[#This Row],[考试日期]])*(表成绩单[政治]&lt;9E+307)*(表成绩单[政治]&gt;表成绩单[[#This Row],[政治]]))+1)</f>
        <v>716</v>
      </c>
      <c r="V2219" s="29" cm="1">
        <f t="array" ref="V2219">IF(表成绩单[[#This Row],[历史]]="","",SUMPRODUCT((表成绩单[考试日期]=表成绩单[[#This Row],[考试日期]])*(表成绩单[历史]&lt;9E+307)*(表成绩单[历史]&gt;表成绩单[[#This Row],[历史]]))+1)</f>
        <v>521</v>
      </c>
      <c r="W2219" s="29" cm="1">
        <f t="array" ref="W2219">IF(表成绩单[[#This Row],[总分]]="","",SUMPRODUCT((表成绩单[考试日期]=表成绩单[[#This Row],[考试日期]])*(表成绩单[总分]&lt;9E+307)*(表成绩单[总分]&gt;表成绩单[[#This Row],[总分]]))+1)</f>
        <v>613</v>
      </c>
    </row>
    <row r="2220" ht="28" customHeight="1" spans="4:23">
      <c r="D2220" s="31">
        <v>46030</v>
      </c>
      <c r="E2220" s="29">
        <v>19172661</v>
      </c>
      <c r="F2220" s="29" t="s">
        <v>60</v>
      </c>
      <c r="G2220" s="29" t="s">
        <v>552</v>
      </c>
      <c r="H2220" s="29">
        <v>94</v>
      </c>
      <c r="I2220" s="29">
        <v>77</v>
      </c>
      <c r="J2220" s="29">
        <v>63.5</v>
      </c>
      <c r="K2220" s="29">
        <v>32</v>
      </c>
      <c r="L2220" s="29">
        <v>48</v>
      </c>
      <c r="M2220" s="29">
        <v>64</v>
      </c>
      <c r="N2220" s="29">
        <v>57</v>
      </c>
      <c r="O2220" s="32">
        <v>435.5</v>
      </c>
      <c r="P2220" s="29" cm="1">
        <f t="array" ref="P2220">IF(表成绩单[[#This Row],[语文]]="","",SUMPRODUCT((表成绩单[考试日期]=表成绩单[[#This Row],[考试日期]])*(表成绩单[语文]&lt;9E+307)*(表成绩单[语文]&gt;表成绩单[[#This Row],[语文]]))+1)</f>
        <v>381</v>
      </c>
      <c r="Q2220" s="29" cm="1">
        <f t="array" ref="Q2220">IF(表成绩单[[#This Row],[数学]]="","",SUMPRODUCT((表成绩单[考试日期]=表成绩单[[#This Row],[考试日期]])*(表成绩单[数学]&lt;9E+307)*(表成绩单[数学]&gt;表成绩单[[#This Row],[数学]]))+1)</f>
        <v>478</v>
      </c>
      <c r="R2220" s="29" cm="1">
        <f t="array" ref="R2220">IF(表成绩单[[#This Row],[英语]]="","",SUMPRODUCT((表成绩单[考试日期]=表成绩单[[#This Row],[考试日期]])*(表成绩单[英语]&lt;9E+307)*(表成绩单[英语]&gt;表成绩单[[#This Row],[英语]]))+1)</f>
        <v>466</v>
      </c>
      <c r="S2220" s="29" cm="1">
        <f t="array" ref="S2220">IF(表成绩单[[#This Row],[物理]]="","",SUMPRODUCT((表成绩单[考试日期]=表成绩单[[#This Row],[考试日期]])*(表成绩单[物理]&lt;9E+307)*(表成绩单[物理]&gt;表成绩单[[#This Row],[物理]]))+1)</f>
        <v>738</v>
      </c>
      <c r="T2220" s="29" cm="1">
        <f t="array" ref="T2220">IF(表成绩单[[#This Row],[化学]]="","",SUMPRODUCT((表成绩单[考试日期]=表成绩单[[#This Row],[考试日期]])*(表成绩单[化学]&lt;9E+307)*(表成绩单[化学]&gt;表成绩单[[#This Row],[化学]]))+1)</f>
        <v>685</v>
      </c>
      <c r="U2220" s="29" cm="1">
        <f t="array" ref="U2220">IF(表成绩单[[#This Row],[政治]]="","",SUMPRODUCT((表成绩单[考试日期]=表成绩单[[#This Row],[考试日期]])*(表成绩单[政治]&lt;9E+307)*(表成绩单[政治]&gt;表成绩单[[#This Row],[政治]]))+1)</f>
        <v>457</v>
      </c>
      <c r="V2220" s="29" cm="1">
        <f t="array" ref="V2220">IF(表成绩单[[#This Row],[历史]]="","",SUMPRODUCT((表成绩单[考试日期]=表成绩单[[#This Row],[考试日期]])*(表成绩单[历史]&lt;9E+307)*(表成绩单[历史]&gt;表成绩单[[#This Row],[历史]]))+1)</f>
        <v>637</v>
      </c>
      <c r="W2220" s="29" cm="1">
        <f t="array" ref="W2220">IF(表成绩单[[#This Row],[总分]]="","",SUMPRODUCT((表成绩单[考试日期]=表成绩单[[#This Row],[考试日期]])*(表成绩单[总分]&lt;9E+307)*(表成绩单[总分]&gt;表成绩单[[#This Row],[总分]]))+1)</f>
        <v>613</v>
      </c>
    </row>
    <row r="2221" ht="28" customHeight="1" spans="4:23">
      <c r="D2221" s="31">
        <v>46030</v>
      </c>
      <c r="E2221" s="29">
        <v>19177655</v>
      </c>
      <c r="F2221" s="29" t="s">
        <v>63</v>
      </c>
      <c r="G2221" s="29" t="s">
        <v>675</v>
      </c>
      <c r="H2221" s="29">
        <v>91</v>
      </c>
      <c r="I2221" s="29">
        <v>70</v>
      </c>
      <c r="J2221" s="29">
        <v>63.5</v>
      </c>
      <c r="K2221" s="29">
        <v>43</v>
      </c>
      <c r="L2221" s="29">
        <v>60</v>
      </c>
      <c r="M2221" s="29">
        <v>51</v>
      </c>
      <c r="N2221" s="29">
        <v>57</v>
      </c>
      <c r="O2221" s="32">
        <v>435.5</v>
      </c>
      <c r="P2221" s="29" cm="1">
        <f t="array" ref="P2221">IF(表成绩单[[#This Row],[语文]]="","",SUMPRODUCT((表成绩单[考试日期]=表成绩单[[#This Row],[考试日期]])*(表成绩单[语文]&lt;9E+307)*(表成绩单[语文]&gt;表成绩单[[#This Row],[语文]]))+1)</f>
        <v>478</v>
      </c>
      <c r="Q2221" s="29" cm="1">
        <f t="array" ref="Q2221">IF(表成绩单[[#This Row],[数学]]="","",SUMPRODUCT((表成绩单[考试日期]=表成绩单[[#This Row],[考试日期]])*(表成绩单[数学]&lt;9E+307)*(表成绩单[数学]&gt;表成绩单[[#This Row],[数学]]))+1)</f>
        <v>590</v>
      </c>
      <c r="R2221" s="29" cm="1">
        <f t="array" ref="R2221">IF(表成绩单[[#This Row],[英语]]="","",SUMPRODUCT((表成绩单[考试日期]=表成绩单[[#This Row],[考试日期]])*(表成绩单[英语]&lt;9E+307)*(表成绩单[英语]&gt;表成绩单[[#This Row],[英语]]))+1)</f>
        <v>466</v>
      </c>
      <c r="S2221" s="29" cm="1">
        <f t="array" ref="S2221">IF(表成绩单[[#This Row],[物理]]="","",SUMPRODUCT((表成绩单[考试日期]=表成绩单[[#This Row],[考试日期]])*(表成绩单[物理]&lt;9E+307)*(表成绩单[物理]&gt;表成绩单[[#This Row],[物理]]))+1)</f>
        <v>674</v>
      </c>
      <c r="T2221" s="29" cm="1">
        <f t="array" ref="T2221">IF(表成绩单[[#This Row],[化学]]="","",SUMPRODUCT((表成绩单[考试日期]=表成绩单[[#This Row],[考试日期]])*(表成绩单[化学]&lt;9E+307)*(表成绩单[化学]&gt;表成绩单[[#This Row],[化学]]))+1)</f>
        <v>525</v>
      </c>
      <c r="U2221" s="29" cm="1">
        <f t="array" ref="U2221">IF(表成绩单[[#This Row],[政治]]="","",SUMPRODUCT((表成绩单[考试日期]=表成绩单[[#This Row],[考试日期]])*(表成绩单[政治]&lt;9E+307)*(表成绩单[政治]&gt;表成绩单[[#This Row],[政治]]))+1)</f>
        <v>651</v>
      </c>
      <c r="V2221" s="29" cm="1">
        <f t="array" ref="V2221">IF(表成绩单[[#This Row],[历史]]="","",SUMPRODUCT((表成绩单[考试日期]=表成绩单[[#This Row],[考试日期]])*(表成绩单[历史]&lt;9E+307)*(表成绩单[历史]&gt;表成绩单[[#This Row],[历史]]))+1)</f>
        <v>637</v>
      </c>
      <c r="W2221" s="29" cm="1">
        <f t="array" ref="W2221">IF(表成绩单[[#This Row],[总分]]="","",SUMPRODUCT((表成绩单[考试日期]=表成绩单[[#This Row],[考试日期]])*(表成绩单[总分]&lt;9E+307)*(表成绩单[总分]&gt;表成绩单[[#This Row],[总分]]))+1)</f>
        <v>613</v>
      </c>
    </row>
    <row r="2222" ht="28" customHeight="1" spans="4:23">
      <c r="D2222" s="31">
        <v>46030</v>
      </c>
      <c r="E2222" s="29">
        <v>19177659</v>
      </c>
      <c r="F2222" s="29" t="s">
        <v>63</v>
      </c>
      <c r="G2222" s="29" t="s">
        <v>711</v>
      </c>
      <c r="H2222" s="29">
        <v>95</v>
      </c>
      <c r="I2222" s="29">
        <v>77</v>
      </c>
      <c r="J2222" s="29">
        <v>39.5</v>
      </c>
      <c r="K2222" s="29">
        <v>50</v>
      </c>
      <c r="L2222" s="29">
        <v>55</v>
      </c>
      <c r="M2222" s="29">
        <v>57</v>
      </c>
      <c r="N2222" s="29">
        <v>62</v>
      </c>
      <c r="O2222" s="32">
        <v>435.5</v>
      </c>
      <c r="P2222" s="29" cm="1">
        <f t="array" ref="P2222">IF(表成绩单[[#This Row],[语文]]="","",SUMPRODUCT((表成绩单[考试日期]=表成绩单[[#This Row],[考试日期]])*(表成绩单[语文]&lt;9E+307)*(表成绩单[语文]&gt;表成绩单[[#This Row],[语文]]))+1)</f>
        <v>342</v>
      </c>
      <c r="Q2222" s="29" cm="1">
        <f t="array" ref="Q2222">IF(表成绩单[[#This Row],[数学]]="","",SUMPRODUCT((表成绩单[考试日期]=表成绩单[[#This Row],[考试日期]])*(表成绩单[数学]&lt;9E+307)*(表成绩单[数学]&gt;表成绩单[[#This Row],[数学]]))+1)</f>
        <v>478</v>
      </c>
      <c r="R2222" s="29" cm="1">
        <f t="array" ref="R2222">IF(表成绩单[[#This Row],[英语]]="","",SUMPRODUCT((表成绩单[考试日期]=表成绩单[[#This Row],[考试日期]])*(表成绩单[英语]&lt;9E+307)*(表成绩单[英语]&gt;表成绩单[[#This Row],[英语]]))+1)</f>
        <v>725</v>
      </c>
      <c r="S2222" s="29" cm="1">
        <f t="array" ref="S2222">IF(表成绩单[[#This Row],[物理]]="","",SUMPRODUCT((表成绩单[考试日期]=表成绩单[[#This Row],[考试日期]])*(表成绩单[物理]&lt;9E+307)*(表成绩单[物理]&gt;表成绩单[[#This Row],[物理]]))+1)</f>
        <v>605</v>
      </c>
      <c r="T2222" s="29" cm="1">
        <f t="array" ref="T2222">IF(表成绩单[[#This Row],[化学]]="","",SUMPRODUCT((表成绩单[考试日期]=表成绩单[[#This Row],[考试日期]])*(表成绩单[化学]&lt;9E+307)*(表成绩单[化学]&gt;表成绩单[[#This Row],[化学]]))+1)</f>
        <v>593</v>
      </c>
      <c r="U2222" s="29" cm="1">
        <f t="array" ref="U2222">IF(表成绩单[[#This Row],[政治]]="","",SUMPRODUCT((表成绩单[考试日期]=表成绩单[[#This Row],[考试日期]])*(表成绩单[政治]&lt;9E+307)*(表成绩单[政治]&gt;表成绩单[[#This Row],[政治]]))+1)</f>
        <v>591</v>
      </c>
      <c r="V2222" s="29" cm="1">
        <f t="array" ref="V2222">IF(表成绩单[[#This Row],[历史]]="","",SUMPRODUCT((表成绩单[考试日期]=表成绩单[[#This Row],[考试日期]])*(表成绩单[历史]&lt;9E+307)*(表成绩单[历史]&gt;表成绩单[[#This Row],[历史]]))+1)</f>
        <v>545</v>
      </c>
      <c r="W2222" s="29" cm="1">
        <f t="array" ref="W2222">IF(表成绩单[[#This Row],[总分]]="","",SUMPRODUCT((表成绩单[考试日期]=表成绩单[[#This Row],[考试日期]])*(表成绩单[总分]&lt;9E+307)*(表成绩单[总分]&gt;表成绩单[[#This Row],[总分]]))+1)</f>
        <v>613</v>
      </c>
    </row>
    <row r="2223" ht="28" customHeight="1" spans="4:23">
      <c r="D2223" s="31">
        <v>46030</v>
      </c>
      <c r="E2223" s="29">
        <v>19172634</v>
      </c>
      <c r="F2223" s="29" t="s">
        <v>60</v>
      </c>
      <c r="G2223" s="29" t="s">
        <v>671</v>
      </c>
      <c r="H2223" s="29">
        <v>94</v>
      </c>
      <c r="I2223" s="29">
        <v>68</v>
      </c>
      <c r="J2223" s="29">
        <v>59</v>
      </c>
      <c r="K2223" s="29">
        <v>45</v>
      </c>
      <c r="L2223" s="29">
        <v>55</v>
      </c>
      <c r="M2223" s="29">
        <v>46</v>
      </c>
      <c r="N2223" s="29">
        <v>68</v>
      </c>
      <c r="O2223" s="32">
        <v>435</v>
      </c>
      <c r="P2223" s="29" cm="1">
        <f t="array" ref="P2223">IF(表成绩单[[#This Row],[语文]]="","",SUMPRODUCT((表成绩单[考试日期]=表成绩单[[#This Row],[考试日期]])*(表成绩单[语文]&lt;9E+307)*(表成绩单[语文]&gt;表成绩单[[#This Row],[语文]]))+1)</f>
        <v>381</v>
      </c>
      <c r="Q2223" s="29" cm="1">
        <f t="array" ref="Q2223">IF(表成绩单[[#This Row],[数学]]="","",SUMPRODUCT((表成绩单[考试日期]=表成绩单[[#This Row],[考试日期]])*(表成绩单[数学]&lt;9E+307)*(表成绩单[数学]&gt;表成绩单[[#This Row],[数学]]))+1)</f>
        <v>608</v>
      </c>
      <c r="R2223" s="29" cm="1">
        <f t="array" ref="R2223">IF(表成绩单[[#This Row],[英语]]="","",SUMPRODUCT((表成绩单[考试日期]=表成绩单[[#This Row],[考试日期]])*(表成绩单[英语]&lt;9E+307)*(表成绩单[英语]&gt;表成绩单[[#This Row],[英语]]))+1)</f>
        <v>538</v>
      </c>
      <c r="S2223" s="29" cm="1">
        <f t="array" ref="S2223">IF(表成绩单[[#This Row],[物理]]="","",SUMPRODUCT((表成绩单[考试日期]=表成绩单[[#This Row],[考试日期]])*(表成绩单[物理]&lt;9E+307)*(表成绩单[物理]&gt;表成绩单[[#This Row],[物理]]))+1)</f>
        <v>655</v>
      </c>
      <c r="T2223" s="29" cm="1">
        <f t="array" ref="T2223">IF(表成绩单[[#This Row],[化学]]="","",SUMPRODUCT((表成绩单[考试日期]=表成绩单[[#This Row],[考试日期]])*(表成绩单[化学]&lt;9E+307)*(表成绩单[化学]&gt;表成绩单[[#This Row],[化学]]))+1)</f>
        <v>593</v>
      </c>
      <c r="U2223" s="29" cm="1">
        <f t="array" ref="U2223">IF(表成绩单[[#This Row],[政治]]="","",SUMPRODUCT((表成绩单[考试日期]=表成绩单[[#This Row],[考试日期]])*(表成绩单[政治]&lt;9E+307)*(表成绩单[政治]&gt;表成绩单[[#This Row],[政治]]))+1)</f>
        <v>692</v>
      </c>
      <c r="V2223" s="29" cm="1">
        <f t="array" ref="V2223">IF(表成绩单[[#This Row],[历史]]="","",SUMPRODUCT((表成绩单[考试日期]=表成绩单[[#This Row],[考试日期]])*(表成绩单[历史]&lt;9E+307)*(表成绩单[历史]&gt;表成绩单[[#This Row],[历史]]))+1)</f>
        <v>390</v>
      </c>
      <c r="W2223" s="29" cm="1">
        <f t="array" ref="W2223">IF(表成绩单[[#This Row],[总分]]="","",SUMPRODUCT((表成绩单[考试日期]=表成绩单[[#This Row],[考试日期]])*(表成绩单[总分]&lt;9E+307)*(表成绩单[总分]&gt;表成绩单[[#This Row],[总分]]))+1)</f>
        <v>617</v>
      </c>
    </row>
    <row r="2224" ht="28" customHeight="1" spans="4:23">
      <c r="D2224" s="31">
        <v>46030</v>
      </c>
      <c r="E2224" s="29">
        <v>19175618</v>
      </c>
      <c r="F2224" s="29" t="s">
        <v>57</v>
      </c>
      <c r="G2224" s="29" t="s">
        <v>665</v>
      </c>
      <c r="H2224" s="29">
        <v>89</v>
      </c>
      <c r="I2224" s="29">
        <v>62</v>
      </c>
      <c r="J2224" s="29">
        <v>64.5</v>
      </c>
      <c r="K2224" s="29">
        <v>44</v>
      </c>
      <c r="L2224" s="29">
        <v>56</v>
      </c>
      <c r="M2224" s="29">
        <v>63</v>
      </c>
      <c r="N2224" s="29">
        <v>55</v>
      </c>
      <c r="O2224" s="32">
        <v>433.5</v>
      </c>
      <c r="P2224" s="29" cm="1">
        <f t="array" ref="P2224">IF(表成绩单[[#This Row],[语文]]="","",SUMPRODUCT((表成绩单[考试日期]=表成绩单[[#This Row],[考试日期]])*(表成绩单[语文]&lt;9E+307)*(表成绩单[语文]&gt;表成绩单[[#This Row],[语文]]))+1)</f>
        <v>540</v>
      </c>
      <c r="Q2224" s="29" cm="1">
        <f t="array" ref="Q2224">IF(表成绩单[[#This Row],[数学]]="","",SUMPRODUCT((表成绩单[考试日期]=表成绩单[[#This Row],[考试日期]])*(表成绩单[数学]&lt;9E+307)*(表成绩单[数学]&gt;表成绩单[[#This Row],[数学]]))+1)</f>
        <v>661</v>
      </c>
      <c r="R2224" s="29" cm="1">
        <f t="array" ref="R2224">IF(表成绩单[[#This Row],[英语]]="","",SUMPRODUCT((表成绩单[考试日期]=表成绩单[[#This Row],[考试日期]])*(表成绩单[英语]&lt;9E+307)*(表成绩单[英语]&gt;表成绩单[[#This Row],[英语]]))+1)</f>
        <v>447</v>
      </c>
      <c r="S2224" s="29" cm="1">
        <f t="array" ref="S2224">IF(表成绩单[[#This Row],[物理]]="","",SUMPRODUCT((表成绩单[考试日期]=表成绩单[[#This Row],[考试日期]])*(表成绩单[物理]&lt;9E+307)*(表成绩单[物理]&gt;表成绩单[[#This Row],[物理]]))+1)</f>
        <v>665</v>
      </c>
      <c r="T2224" s="29" cm="1">
        <f t="array" ref="T2224">IF(表成绩单[[#This Row],[化学]]="","",SUMPRODUCT((表成绩单[考试日期]=表成绩单[[#This Row],[考试日期]])*(表成绩单[化学]&lt;9E+307)*(表成绩单[化学]&gt;表成绩单[[#This Row],[化学]]))+1)</f>
        <v>581</v>
      </c>
      <c r="U2224" s="29" cm="1">
        <f t="array" ref="U2224">IF(表成绩单[[#This Row],[政治]]="","",SUMPRODUCT((表成绩单[考试日期]=表成绩单[[#This Row],[考试日期]])*(表成绩单[政治]&lt;9E+307)*(表成绩单[政治]&gt;表成绩单[[#This Row],[政治]]))+1)</f>
        <v>486</v>
      </c>
      <c r="V2224" s="29" cm="1">
        <f t="array" ref="V2224">IF(表成绩单[[#This Row],[历史]]="","",SUMPRODUCT((表成绩单[考试日期]=表成绩单[[#This Row],[考试日期]])*(表成绩单[历史]&lt;9E+307)*(表成绩单[历史]&gt;表成绩单[[#This Row],[历史]]))+1)</f>
        <v>662</v>
      </c>
      <c r="W2224" s="29" cm="1">
        <f t="array" ref="W2224">IF(表成绩单[[#This Row],[总分]]="","",SUMPRODUCT((表成绩单[考试日期]=表成绩单[[#This Row],[考试日期]])*(表成绩单[总分]&lt;9E+307)*(表成绩单[总分]&gt;表成绩单[[#This Row],[总分]]))+1)</f>
        <v>618</v>
      </c>
    </row>
    <row r="2225" ht="28" customHeight="1" spans="4:23">
      <c r="D2225" s="31">
        <v>46030</v>
      </c>
      <c r="E2225" s="29">
        <v>19177613</v>
      </c>
      <c r="F2225" s="29" t="s">
        <v>58</v>
      </c>
      <c r="G2225" s="29" t="s">
        <v>705</v>
      </c>
      <c r="H2225" s="29">
        <v>80</v>
      </c>
      <c r="I2225" s="29">
        <v>71</v>
      </c>
      <c r="J2225" s="29">
        <v>53.5</v>
      </c>
      <c r="K2225" s="29">
        <v>54</v>
      </c>
      <c r="L2225" s="29">
        <v>63</v>
      </c>
      <c r="M2225" s="29">
        <v>53</v>
      </c>
      <c r="N2225" s="29">
        <v>59</v>
      </c>
      <c r="O2225" s="32">
        <v>433.5</v>
      </c>
      <c r="P2225" s="29" cm="1">
        <f t="array" ref="P2225">IF(表成绩单[[#This Row],[语文]]="","",SUMPRODUCT((表成绩单[考试日期]=表成绩单[[#This Row],[考试日期]])*(表成绩单[语文]&lt;9E+307)*(表成绩单[语文]&gt;表成绩单[[#This Row],[语文]]))+1)</f>
        <v>675</v>
      </c>
      <c r="Q2225" s="29" cm="1">
        <f t="array" ref="Q2225">IF(表成绩单[[#This Row],[数学]]="","",SUMPRODUCT((表成绩单[考试日期]=表成绩单[[#This Row],[考试日期]])*(表成绩单[数学]&lt;9E+307)*(表成绩单[数学]&gt;表成绩单[[#This Row],[数学]]))+1)</f>
        <v>578</v>
      </c>
      <c r="R2225" s="29" cm="1">
        <f t="array" ref="R2225">IF(表成绩单[[#This Row],[英语]]="","",SUMPRODUCT((表成绩单[考试日期]=表成绩单[[#This Row],[考试日期]])*(表成绩单[英语]&lt;9E+307)*(表成绩单[英语]&gt;表成绩单[[#This Row],[英语]]))+1)</f>
        <v>615</v>
      </c>
      <c r="S2225" s="29" cm="1">
        <f t="array" ref="S2225">IF(表成绩单[[#This Row],[物理]]="","",SUMPRODUCT((表成绩单[考试日期]=表成绩单[[#This Row],[考试日期]])*(表成绩单[物理]&lt;9E+307)*(表成绩单[物理]&gt;表成绩单[[#This Row],[物理]]))+1)</f>
        <v>568</v>
      </c>
      <c r="T2225" s="29" cm="1">
        <f t="array" ref="T2225">IF(表成绩单[[#This Row],[化学]]="","",SUMPRODUCT((表成绩单[考试日期]=表成绩单[[#This Row],[考试日期]])*(表成绩单[化学]&lt;9E+307)*(表成绩单[化学]&gt;表成绩单[[#This Row],[化学]]))+1)</f>
        <v>472</v>
      </c>
      <c r="U2225" s="29" cm="1">
        <f t="array" ref="U2225">IF(表成绩单[[#This Row],[政治]]="","",SUMPRODUCT((表成绩单[考试日期]=表成绩单[[#This Row],[考试日期]])*(表成绩单[政治]&lt;9E+307)*(表成绩单[政治]&gt;表成绩单[[#This Row],[政治]]))+1)</f>
        <v>630</v>
      </c>
      <c r="V2225" s="29" cm="1">
        <f t="array" ref="V2225">IF(表成绩单[[#This Row],[历史]]="","",SUMPRODUCT((表成绩单[考试日期]=表成绩单[[#This Row],[考试日期]])*(表成绩单[历史]&lt;9E+307)*(表成绩单[历史]&gt;表成绩单[[#This Row],[历史]]))+1)</f>
        <v>601</v>
      </c>
      <c r="W2225" s="29" cm="1">
        <f t="array" ref="W2225">IF(表成绩单[[#This Row],[总分]]="","",SUMPRODUCT((表成绩单[考试日期]=表成绩单[[#This Row],[考试日期]])*(表成绩单[总分]&lt;9E+307)*(表成绩单[总分]&gt;表成绩单[[#This Row],[总分]]))+1)</f>
        <v>618</v>
      </c>
    </row>
    <row r="2226" ht="28" customHeight="1" spans="4:23">
      <c r="D2226" s="31">
        <v>46030</v>
      </c>
      <c r="E2226" s="29">
        <v>19173787</v>
      </c>
      <c r="F2226" s="29" t="s">
        <v>65</v>
      </c>
      <c r="G2226" s="29" t="s">
        <v>658</v>
      </c>
      <c r="H2226" s="29">
        <v>78</v>
      </c>
      <c r="I2226" s="29">
        <v>67</v>
      </c>
      <c r="J2226" s="29">
        <v>55</v>
      </c>
      <c r="K2226" s="29">
        <v>63</v>
      </c>
      <c r="L2226" s="29">
        <v>53</v>
      </c>
      <c r="M2226" s="29">
        <v>50</v>
      </c>
      <c r="N2226" s="29">
        <v>66</v>
      </c>
      <c r="O2226" s="32">
        <v>432</v>
      </c>
      <c r="P2226" s="29" cm="1">
        <f t="array" ref="P2226">IF(表成绩单[[#This Row],[语文]]="","",SUMPRODUCT((表成绩单[考试日期]=表成绩单[[#This Row],[考试日期]])*(表成绩单[语文]&lt;9E+307)*(表成绩单[语文]&gt;表成绩单[[#This Row],[语文]]))+1)</f>
        <v>694</v>
      </c>
      <c r="Q2226" s="29" cm="1">
        <f t="array" ref="Q2226">IF(表成绩单[[#This Row],[数学]]="","",SUMPRODUCT((表成绩单[考试日期]=表成绩单[[#This Row],[考试日期]])*(表成绩单[数学]&lt;9E+307)*(表成绩单[数学]&gt;表成绩单[[#This Row],[数学]]))+1)</f>
        <v>620</v>
      </c>
      <c r="R2226" s="29" cm="1">
        <f t="array" ref="R2226">IF(表成绩单[[#This Row],[英语]]="","",SUMPRODUCT((表成绩单[考试日期]=表成绩单[[#This Row],[考试日期]])*(表成绩单[英语]&lt;9E+307)*(表成绩单[英语]&gt;表成绩单[[#This Row],[英语]]))+1)</f>
        <v>596</v>
      </c>
      <c r="S2226" s="29" cm="1">
        <f t="array" ref="S2226">IF(表成绩单[[#This Row],[物理]]="","",SUMPRODUCT((表成绩单[考试日期]=表成绩单[[#This Row],[考试日期]])*(表成绩单[物理]&lt;9E+307)*(表成绩单[物理]&gt;表成绩单[[#This Row],[物理]]))+1)</f>
        <v>459</v>
      </c>
      <c r="T2226" s="29" cm="1">
        <f t="array" ref="T2226">IF(表成绩单[[#This Row],[化学]]="","",SUMPRODUCT((表成绩单[考试日期]=表成绩单[[#This Row],[考试日期]])*(表成绩单[化学]&lt;9E+307)*(表成绩单[化学]&gt;表成绩单[[#This Row],[化学]]))+1)</f>
        <v>623</v>
      </c>
      <c r="U2226" s="29" cm="1">
        <f t="array" ref="U2226">IF(表成绩单[[#This Row],[政治]]="","",SUMPRODUCT((表成绩单[考试日期]=表成绩单[[#This Row],[考试日期]])*(表成绩单[政治]&lt;9E+307)*(表成绩单[政治]&gt;表成绩单[[#This Row],[政治]]))+1)</f>
        <v>663</v>
      </c>
      <c r="V2226" s="29" cm="1">
        <f t="array" ref="V2226">IF(表成绩单[[#This Row],[历史]]="","",SUMPRODUCT((表成绩单[考试日期]=表成绩单[[#This Row],[考试日期]])*(表成绩单[历史]&lt;9E+307)*(表成绩单[历史]&gt;表成绩单[[#This Row],[历史]]))+1)</f>
        <v>451</v>
      </c>
      <c r="W2226" s="29" cm="1">
        <f t="array" ref="W2226">IF(表成绩单[[#This Row],[总分]]="","",SUMPRODUCT((表成绩单[考试日期]=表成绩单[[#This Row],[考试日期]])*(表成绩单[总分]&lt;9E+307)*(表成绩单[总分]&gt;表成绩单[[#This Row],[总分]]))+1)</f>
        <v>620</v>
      </c>
    </row>
    <row r="2227" ht="28" customHeight="1" spans="4:23">
      <c r="D2227" s="31">
        <v>46030</v>
      </c>
      <c r="E2227" s="29">
        <v>19175683</v>
      </c>
      <c r="F2227" s="29" t="s">
        <v>72</v>
      </c>
      <c r="G2227" s="29" t="s">
        <v>664</v>
      </c>
      <c r="H2227" s="29">
        <v>79</v>
      </c>
      <c r="I2227" s="29">
        <v>78</v>
      </c>
      <c r="J2227" s="29">
        <v>66.5</v>
      </c>
      <c r="K2227" s="29">
        <v>46</v>
      </c>
      <c r="L2227" s="29">
        <v>58</v>
      </c>
      <c r="M2227" s="29">
        <v>41</v>
      </c>
      <c r="N2227" s="29">
        <v>63</v>
      </c>
      <c r="O2227" s="32">
        <v>431.5</v>
      </c>
      <c r="P2227" s="29" cm="1">
        <f t="array" ref="P2227">IF(表成绩单[[#This Row],[语文]]="","",SUMPRODUCT((表成绩单[考试日期]=表成绩单[[#This Row],[考试日期]])*(表成绩单[语文]&lt;9E+307)*(表成绩单[语文]&gt;表成绩单[[#This Row],[语文]]))+1)</f>
        <v>684</v>
      </c>
      <c r="Q2227" s="29" cm="1">
        <f t="array" ref="Q2227">IF(表成绩单[[#This Row],[数学]]="","",SUMPRODUCT((表成绩单[考试日期]=表成绩单[[#This Row],[考试日期]])*(表成绩单[数学]&lt;9E+307)*(表成绩单[数学]&gt;表成绩单[[#This Row],[数学]]))+1)</f>
        <v>450</v>
      </c>
      <c r="R2227" s="29" cm="1">
        <f t="array" ref="R2227">IF(表成绩单[[#This Row],[英语]]="","",SUMPRODUCT((表成绩单[考试日期]=表成绩单[[#This Row],[考试日期]])*(表成绩单[英语]&lt;9E+307)*(表成绩单[英语]&gt;表成绩单[[#This Row],[英语]]))+1)</f>
        <v>402</v>
      </c>
      <c r="S2227" s="29" cm="1">
        <f t="array" ref="S2227">IF(表成绩单[[#This Row],[物理]]="","",SUMPRODUCT((表成绩单[考试日期]=表成绩单[[#This Row],[考试日期]])*(表成绩单[物理]&lt;9E+307)*(表成绩单[物理]&gt;表成绩单[[#This Row],[物理]]))+1)</f>
        <v>649</v>
      </c>
      <c r="T2227" s="29" cm="1">
        <f t="array" ref="T2227">IF(表成绩单[[#This Row],[化学]]="","",SUMPRODUCT((表成绩单[考试日期]=表成绩单[[#This Row],[考试日期]])*(表成绩单[化学]&lt;9E+307)*(表成绩单[化学]&gt;表成绩单[[#This Row],[化学]]))+1)</f>
        <v>558</v>
      </c>
      <c r="U2227" s="29" cm="1">
        <f t="array" ref="U2227">IF(表成绩单[[#This Row],[政治]]="","",SUMPRODUCT((表成绩单[考试日期]=表成绩单[[#This Row],[考试日期]])*(表成绩单[政治]&lt;9E+307)*(表成绩单[政治]&gt;表成绩单[[#This Row],[政治]]))+1)</f>
        <v>725</v>
      </c>
      <c r="V2227" s="29" cm="1">
        <f t="array" ref="V2227">IF(表成绩单[[#This Row],[历史]]="","",SUMPRODUCT((表成绩单[考试日期]=表成绩单[[#This Row],[考试日期]])*(表成绩单[历史]&lt;9E+307)*(表成绩单[历史]&gt;表成绩单[[#This Row],[历史]]))+1)</f>
        <v>521</v>
      </c>
      <c r="W2227" s="29" cm="1">
        <f t="array" ref="W2227">IF(表成绩单[[#This Row],[总分]]="","",SUMPRODUCT((表成绩单[考试日期]=表成绩单[[#This Row],[考试日期]])*(表成绩单[总分]&lt;9E+307)*(表成绩单[总分]&gt;表成绩单[[#This Row],[总分]]))+1)</f>
        <v>621</v>
      </c>
    </row>
    <row r="2228" ht="28" customHeight="1" spans="4:23">
      <c r="D2228" s="31">
        <v>46030</v>
      </c>
      <c r="E2228" s="29">
        <v>19177611</v>
      </c>
      <c r="F2228" s="29" t="s">
        <v>58</v>
      </c>
      <c r="G2228" s="29" t="s">
        <v>709</v>
      </c>
      <c r="H2228" s="29">
        <v>86</v>
      </c>
      <c r="I2228" s="29">
        <v>77</v>
      </c>
      <c r="J2228" s="29">
        <v>54</v>
      </c>
      <c r="K2228" s="29">
        <v>48</v>
      </c>
      <c r="L2228" s="29">
        <v>46</v>
      </c>
      <c r="M2228" s="29">
        <v>53</v>
      </c>
      <c r="N2228" s="29">
        <v>67</v>
      </c>
      <c r="O2228" s="32">
        <v>431</v>
      </c>
      <c r="P2228" s="29" cm="1">
        <f t="array" ref="P2228">IF(表成绩单[[#This Row],[语文]]="","",SUMPRODUCT((表成绩单[考试日期]=表成绩单[[#This Row],[考试日期]])*(表成绩单[语文]&lt;9E+307)*(表成绩单[语文]&gt;表成绩单[[#This Row],[语文]]))+1)</f>
        <v>601</v>
      </c>
      <c r="Q2228" s="29" cm="1">
        <f t="array" ref="Q2228">IF(表成绩单[[#This Row],[数学]]="","",SUMPRODUCT((表成绩单[考试日期]=表成绩单[[#This Row],[考试日期]])*(表成绩单[数学]&lt;9E+307)*(表成绩单[数学]&gt;表成绩单[[#This Row],[数学]]))+1)</f>
        <v>478</v>
      </c>
      <c r="R2228" s="29" cm="1">
        <f t="array" ref="R2228">IF(表成绩单[[#This Row],[英语]]="","",SUMPRODUCT((表成绩单[考试日期]=表成绩单[[#This Row],[考试日期]])*(表成绩单[英语]&lt;9E+307)*(表成绩单[英语]&gt;表成绩单[[#This Row],[英语]]))+1)</f>
        <v>606</v>
      </c>
      <c r="S2228" s="29" cm="1">
        <f t="array" ref="S2228">IF(表成绩单[[#This Row],[物理]]="","",SUMPRODUCT((表成绩单[考试日期]=表成绩单[[#This Row],[考试日期]])*(表成绩单[物理]&lt;9E+307)*(表成绩单[物理]&gt;表成绩单[[#This Row],[物理]]))+1)</f>
        <v>629</v>
      </c>
      <c r="T2228" s="29" cm="1">
        <f t="array" ref="T2228">IF(表成绩单[[#This Row],[化学]]="","",SUMPRODUCT((表成绩单[考试日期]=表成绩单[[#This Row],[考试日期]])*(表成绩单[化学]&lt;9E+307)*(表成绩单[化学]&gt;表成绩单[[#This Row],[化学]]))+1)</f>
        <v>704</v>
      </c>
      <c r="U2228" s="29" cm="1">
        <f t="array" ref="U2228">IF(表成绩单[[#This Row],[政治]]="","",SUMPRODUCT((表成绩单[考试日期]=表成绩单[[#This Row],[考试日期]])*(表成绩单[政治]&lt;9E+307)*(表成绩单[政治]&gt;表成绩单[[#This Row],[政治]]))+1)</f>
        <v>630</v>
      </c>
      <c r="V2228" s="29" cm="1">
        <f t="array" ref="V2228">IF(表成绩单[[#This Row],[历史]]="","",SUMPRODUCT((表成绩单[考试日期]=表成绩单[[#This Row],[考试日期]])*(表成绩单[历史]&lt;9E+307)*(表成绩单[历史]&gt;表成绩单[[#This Row],[历史]]))+1)</f>
        <v>415</v>
      </c>
      <c r="W2228" s="29" cm="1">
        <f t="array" ref="W2228">IF(表成绩单[[#This Row],[总分]]="","",SUMPRODUCT((表成绩单[考试日期]=表成绩单[[#This Row],[考试日期]])*(表成绩单[总分]&lt;9E+307)*(表成绩单[总分]&gt;表成绩单[[#This Row],[总分]]))+1)</f>
        <v>622</v>
      </c>
    </row>
    <row r="2229" ht="28" customHeight="1" spans="4:23">
      <c r="D2229" s="31">
        <v>46030</v>
      </c>
      <c r="E2229" s="29">
        <v>19176157</v>
      </c>
      <c r="F2229" s="29" t="s">
        <v>67</v>
      </c>
      <c r="G2229" s="29" t="s">
        <v>608</v>
      </c>
      <c r="H2229" s="29">
        <v>97</v>
      </c>
      <c r="I2229" s="29">
        <v>68</v>
      </c>
      <c r="J2229" s="29">
        <v>55.5</v>
      </c>
      <c r="K2229" s="29">
        <v>47</v>
      </c>
      <c r="L2229" s="29">
        <v>50</v>
      </c>
      <c r="M2229" s="29">
        <v>58</v>
      </c>
      <c r="N2229" s="29">
        <v>55</v>
      </c>
      <c r="O2229" s="32">
        <v>430.5</v>
      </c>
      <c r="P2229" s="29" cm="1">
        <f t="array" ref="P2229">IF(表成绩单[[#This Row],[语文]]="","",SUMPRODUCT((表成绩单[考试日期]=表成绩单[[#This Row],[考试日期]])*(表成绩单[语文]&lt;9E+307)*(表成绩单[语文]&gt;表成绩单[[#This Row],[语文]]))+1)</f>
        <v>291</v>
      </c>
      <c r="Q2229" s="29" cm="1">
        <f t="array" ref="Q2229">IF(表成绩单[[#This Row],[数学]]="","",SUMPRODUCT((表成绩单[考试日期]=表成绩单[[#This Row],[考试日期]])*(表成绩单[数学]&lt;9E+307)*(表成绩单[数学]&gt;表成绩单[[#This Row],[数学]]))+1)</f>
        <v>608</v>
      </c>
      <c r="R2229" s="29" cm="1">
        <f t="array" ref="R2229">IF(表成绩单[[#This Row],[英语]]="","",SUMPRODUCT((表成绩单[考试日期]=表成绩单[[#This Row],[考试日期]])*(表成绩单[英语]&lt;9E+307)*(表成绩单[英语]&gt;表成绩单[[#This Row],[英语]]))+1)</f>
        <v>588</v>
      </c>
      <c r="S2229" s="29" cm="1">
        <f t="array" ref="S2229">IF(表成绩单[[#This Row],[物理]]="","",SUMPRODUCT((表成绩单[考试日期]=表成绩单[[#This Row],[考试日期]])*(表成绩单[物理]&lt;9E+307)*(表成绩单[物理]&gt;表成绩单[[#This Row],[物理]]))+1)</f>
        <v>637</v>
      </c>
      <c r="T2229" s="29" cm="1">
        <f t="array" ref="T2229">IF(表成绩单[[#This Row],[化学]]="","",SUMPRODUCT((表成绩单[考试日期]=表成绩单[[#This Row],[考试日期]])*(表成绩单[化学]&lt;9E+307)*(表成绩单[化学]&gt;表成绩单[[#This Row],[化学]]))+1)</f>
        <v>662</v>
      </c>
      <c r="U2229" s="29" cm="1">
        <f t="array" ref="U2229">IF(表成绩单[[#This Row],[政治]]="","",SUMPRODUCT((表成绩单[考试日期]=表成绩单[[#This Row],[考试日期]])*(表成绩单[政治]&lt;9E+307)*(表成绩单[政治]&gt;表成绩单[[#This Row],[政治]]))+1)</f>
        <v>582</v>
      </c>
      <c r="V2229" s="29" cm="1">
        <f t="array" ref="V2229">IF(表成绩单[[#This Row],[历史]]="","",SUMPRODUCT((表成绩单[考试日期]=表成绩单[[#This Row],[考试日期]])*(表成绩单[历史]&lt;9E+307)*(表成绩单[历史]&gt;表成绩单[[#This Row],[历史]]))+1)</f>
        <v>662</v>
      </c>
      <c r="W2229" s="29" cm="1">
        <f t="array" ref="W2229">IF(表成绩单[[#This Row],[总分]]="","",SUMPRODUCT((表成绩单[考试日期]=表成绩单[[#This Row],[考试日期]])*(表成绩单[总分]&lt;9E+307)*(表成绩单[总分]&gt;表成绩单[[#This Row],[总分]]))+1)</f>
        <v>623</v>
      </c>
    </row>
    <row r="2230" ht="28" customHeight="1" spans="4:23">
      <c r="D2230" s="31">
        <v>46030</v>
      </c>
      <c r="E2230" s="29">
        <v>19178595</v>
      </c>
      <c r="F2230" s="29" t="s">
        <v>64</v>
      </c>
      <c r="G2230" s="29" t="s">
        <v>659</v>
      </c>
      <c r="H2230" s="29">
        <v>94</v>
      </c>
      <c r="I2230" s="29">
        <v>60</v>
      </c>
      <c r="J2230" s="29">
        <v>54.5</v>
      </c>
      <c r="K2230" s="29">
        <v>46</v>
      </c>
      <c r="L2230" s="29">
        <v>44</v>
      </c>
      <c r="M2230" s="29">
        <v>62</v>
      </c>
      <c r="N2230" s="29">
        <v>70</v>
      </c>
      <c r="O2230" s="32">
        <v>430.5</v>
      </c>
      <c r="P2230" s="29" cm="1">
        <f t="array" ref="P2230">IF(表成绩单[[#This Row],[语文]]="","",SUMPRODUCT((表成绩单[考试日期]=表成绩单[[#This Row],[考试日期]])*(表成绩单[语文]&lt;9E+307)*(表成绩单[语文]&gt;表成绩单[[#This Row],[语文]]))+1)</f>
        <v>381</v>
      </c>
      <c r="Q2230" s="29" cm="1">
        <f t="array" ref="Q2230">IF(表成绩单[[#This Row],[数学]]="","",SUMPRODUCT((表成绩单[考试日期]=表成绩单[[#This Row],[考试日期]])*(表成绩单[数学]&lt;9E+307)*(表成绩单[数学]&gt;表成绩单[[#This Row],[数学]]))+1)</f>
        <v>672</v>
      </c>
      <c r="R2230" s="29" cm="1">
        <f t="array" ref="R2230">IF(表成绩单[[#This Row],[英语]]="","",SUMPRODUCT((表成绩单[考试日期]=表成绩单[[#This Row],[考试日期]])*(表成绩单[英语]&lt;9E+307)*(表成绩单[英语]&gt;表成绩单[[#This Row],[英语]]))+1)</f>
        <v>604</v>
      </c>
      <c r="S2230" s="29" cm="1">
        <f t="array" ref="S2230">IF(表成绩单[[#This Row],[物理]]="","",SUMPRODUCT((表成绩单[考试日期]=表成绩单[[#This Row],[考试日期]])*(表成绩单[物理]&lt;9E+307)*(表成绩单[物理]&gt;表成绩单[[#This Row],[物理]]))+1)</f>
        <v>649</v>
      </c>
      <c r="T2230" s="29" cm="1">
        <f t="array" ref="T2230">IF(表成绩单[[#This Row],[化学]]="","",SUMPRODUCT((表成绩单[考试日期]=表成绩单[[#This Row],[考试日期]])*(表成绩单[化学]&lt;9E+307)*(表成绩单[化学]&gt;表成绩单[[#This Row],[化学]]))+1)</f>
        <v>720</v>
      </c>
      <c r="U2230" s="29" cm="1">
        <f t="array" ref="U2230">IF(表成绩单[[#This Row],[政治]]="","",SUMPRODUCT((表成绩单[考试日期]=表成绩单[[#This Row],[考试日期]])*(表成绩单[政治]&lt;9E+307)*(表成绩单[政治]&gt;表成绩单[[#This Row],[政治]]))+1)</f>
        <v>508</v>
      </c>
      <c r="V2230" s="29" cm="1">
        <f t="array" ref="V2230">IF(表成绩单[[#This Row],[历史]]="","",SUMPRODUCT((表成绩单[考试日期]=表成绩单[[#This Row],[考试日期]])*(表成绩单[历史]&lt;9E+307)*(表成绩单[历史]&gt;表成绩单[[#This Row],[历史]]))+1)</f>
        <v>328</v>
      </c>
      <c r="W2230" s="29" cm="1">
        <f t="array" ref="W2230">IF(表成绩单[[#This Row],[总分]]="","",SUMPRODUCT((表成绩单[考试日期]=表成绩单[[#This Row],[考试日期]])*(表成绩单[总分]&lt;9E+307)*(表成绩单[总分]&gt;表成绩单[[#This Row],[总分]]))+1)</f>
        <v>623</v>
      </c>
    </row>
    <row r="2231" ht="28" customHeight="1" spans="4:23">
      <c r="D2231" s="31">
        <v>46030</v>
      </c>
      <c r="E2231" s="29">
        <v>19173789</v>
      </c>
      <c r="F2231" s="29" t="s">
        <v>65</v>
      </c>
      <c r="G2231" s="29" t="s">
        <v>676</v>
      </c>
      <c r="H2231" s="29">
        <v>78</v>
      </c>
      <c r="I2231" s="29">
        <v>70</v>
      </c>
      <c r="J2231" s="29">
        <v>52.5</v>
      </c>
      <c r="K2231" s="29">
        <v>52</v>
      </c>
      <c r="L2231" s="29">
        <v>54</v>
      </c>
      <c r="M2231" s="29">
        <v>62</v>
      </c>
      <c r="N2231" s="29">
        <v>61</v>
      </c>
      <c r="O2231" s="32">
        <v>429.5</v>
      </c>
      <c r="P2231" s="29" cm="1">
        <f t="array" ref="P2231">IF(表成绩单[[#This Row],[语文]]="","",SUMPRODUCT((表成绩单[考试日期]=表成绩单[[#This Row],[考试日期]])*(表成绩单[语文]&lt;9E+307)*(表成绩单[语文]&gt;表成绩单[[#This Row],[语文]]))+1)</f>
        <v>694</v>
      </c>
      <c r="Q2231" s="29" cm="1">
        <f t="array" ref="Q2231">IF(表成绩单[[#This Row],[数学]]="","",SUMPRODUCT((表成绩单[考试日期]=表成绩单[[#This Row],[考试日期]])*(表成绩单[数学]&lt;9E+307)*(表成绩单[数学]&gt;表成绩单[[#This Row],[数学]]))+1)</f>
        <v>590</v>
      </c>
      <c r="R2231" s="29" cm="1">
        <f t="array" ref="R2231">IF(表成绩单[[#This Row],[英语]]="","",SUMPRODUCT((表成绩单[考试日期]=表成绩单[[#This Row],[考试日期]])*(表成绩单[英语]&lt;9E+307)*(表成绩单[英语]&gt;表成绩单[[#This Row],[英语]]))+1)</f>
        <v>620</v>
      </c>
      <c r="S2231" s="29" cm="1">
        <f t="array" ref="S2231">IF(表成绩单[[#This Row],[物理]]="","",SUMPRODUCT((表成绩单[考试日期]=表成绩单[[#This Row],[考试日期]])*(表成绩单[物理]&lt;9E+307)*(表成绩单[物理]&gt;表成绩单[[#This Row],[物理]]))+1)</f>
        <v>587</v>
      </c>
      <c r="T2231" s="29" cm="1">
        <f t="array" ref="T2231">IF(表成绩单[[#This Row],[化学]]="","",SUMPRODUCT((表成绩单[考试日期]=表成绩单[[#This Row],[考试日期]])*(表成绩单[化学]&lt;9E+307)*(表成绩单[化学]&gt;表成绩单[[#This Row],[化学]]))+1)</f>
        <v>609</v>
      </c>
      <c r="U2231" s="29" cm="1">
        <f t="array" ref="U2231">IF(表成绩单[[#This Row],[政治]]="","",SUMPRODUCT((表成绩单[考试日期]=表成绩单[[#This Row],[考试日期]])*(表成绩单[政治]&lt;9E+307)*(表成绩单[政治]&gt;表成绩单[[#This Row],[政治]]))+1)</f>
        <v>508</v>
      </c>
      <c r="V2231" s="29" cm="1">
        <f t="array" ref="V2231">IF(表成绩单[[#This Row],[历史]]="","",SUMPRODUCT((表成绩单[考试日期]=表成绩单[[#This Row],[考试日期]])*(表成绩单[历史]&lt;9E+307)*(表成绩单[历史]&gt;表成绩单[[#This Row],[历史]]))+1)</f>
        <v>566</v>
      </c>
      <c r="W2231" s="29" cm="1">
        <f t="array" ref="W2231">IF(表成绩单[[#This Row],[总分]]="","",SUMPRODUCT((表成绩单[考试日期]=表成绩单[[#This Row],[考试日期]])*(表成绩单[总分]&lt;9E+307)*(表成绩单[总分]&gt;表成绩单[[#This Row],[总分]]))+1)</f>
        <v>625</v>
      </c>
    </row>
    <row r="2232" ht="28" customHeight="1" spans="4:23">
      <c r="D2232" s="31">
        <v>46030</v>
      </c>
      <c r="E2232" s="29">
        <v>19172658</v>
      </c>
      <c r="F2232" s="29" t="s">
        <v>60</v>
      </c>
      <c r="G2232" s="29" t="s">
        <v>739</v>
      </c>
      <c r="H2232" s="29">
        <v>96</v>
      </c>
      <c r="I2232" s="29">
        <v>52</v>
      </c>
      <c r="J2232" s="29">
        <v>67</v>
      </c>
      <c r="K2232" s="29">
        <v>39</v>
      </c>
      <c r="L2232" s="29">
        <v>49</v>
      </c>
      <c r="M2232" s="29">
        <v>67</v>
      </c>
      <c r="N2232" s="29">
        <v>59</v>
      </c>
      <c r="O2232" s="32">
        <v>429</v>
      </c>
      <c r="P2232" s="29" cm="1">
        <f t="array" ref="P2232">IF(表成绩单[[#This Row],[语文]]="","",SUMPRODUCT((表成绩单[考试日期]=表成绩单[[#This Row],[考试日期]])*(表成绩单[语文]&lt;9E+307)*(表成绩单[语文]&gt;表成绩单[[#This Row],[语文]]))+1)</f>
        <v>315</v>
      </c>
      <c r="Q2232" s="29" cm="1">
        <f t="array" ref="Q2232">IF(表成绩单[[#This Row],[数学]]="","",SUMPRODUCT((表成绩单[考试日期]=表成绩单[[#This Row],[考试日期]])*(表成绩单[数学]&lt;9E+307)*(表成绩单[数学]&gt;表成绩单[[#This Row],[数学]]))+1)</f>
        <v>721</v>
      </c>
      <c r="R2232" s="29" cm="1">
        <f t="array" ref="R2232">IF(表成绩单[[#This Row],[英语]]="","",SUMPRODUCT((表成绩单[考试日期]=表成绩单[[#This Row],[考试日期]])*(表成绩单[英语]&lt;9E+307)*(表成绩单[英语]&gt;表成绩单[[#This Row],[英语]]))+1)</f>
        <v>391</v>
      </c>
      <c r="S2232" s="29" cm="1">
        <f t="array" ref="S2232">IF(表成绩单[[#This Row],[物理]]="","",SUMPRODUCT((表成绩单[考试日期]=表成绩单[[#This Row],[考试日期]])*(表成绩单[物理]&lt;9E+307)*(表成绩单[物理]&gt;表成绩单[[#This Row],[物理]]))+1)</f>
        <v>698</v>
      </c>
      <c r="T2232" s="29" cm="1">
        <f t="array" ref="T2232">IF(表成绩单[[#This Row],[化学]]="","",SUMPRODUCT((表成绩单[考试日期]=表成绩单[[#This Row],[考试日期]])*(表成绩单[化学]&lt;9E+307)*(表成绩单[化学]&gt;表成绩单[[#This Row],[化学]]))+1)</f>
        <v>675</v>
      </c>
      <c r="U2232" s="29" cm="1">
        <f t="array" ref="U2232">IF(表成绩单[[#This Row],[政治]]="","",SUMPRODUCT((表成绩单[考试日期]=表成绩单[[#This Row],[考试日期]])*(表成绩单[政治]&lt;9E+307)*(表成绩单[政治]&gt;表成绩单[[#This Row],[政治]]))+1)</f>
        <v>370</v>
      </c>
      <c r="V2232" s="29" cm="1">
        <f t="array" ref="V2232">IF(表成绩单[[#This Row],[历史]]="","",SUMPRODUCT((表成绩单[考试日期]=表成绩单[[#This Row],[考试日期]])*(表成绩单[历史]&lt;9E+307)*(表成绩单[历史]&gt;表成绩单[[#This Row],[历史]]))+1)</f>
        <v>601</v>
      </c>
      <c r="W2232" s="29" cm="1">
        <f t="array" ref="W2232">IF(表成绩单[[#This Row],[总分]]="","",SUMPRODUCT((表成绩单[考试日期]=表成绩单[[#This Row],[考试日期]])*(表成绩单[总分]&lt;9E+307)*(表成绩单[总分]&gt;表成绩单[[#This Row],[总分]]))+1)</f>
        <v>626</v>
      </c>
    </row>
    <row r="2233" ht="28" customHeight="1" spans="4:23">
      <c r="D2233" s="31">
        <v>46030</v>
      </c>
      <c r="E2233" s="29">
        <v>19175594</v>
      </c>
      <c r="F2233" s="29" t="s">
        <v>57</v>
      </c>
      <c r="G2233" s="29" t="s">
        <v>700</v>
      </c>
      <c r="H2233" s="29">
        <v>98</v>
      </c>
      <c r="I2233" s="29">
        <v>43</v>
      </c>
      <c r="J2233" s="29">
        <v>54</v>
      </c>
      <c r="K2233" s="29">
        <v>51</v>
      </c>
      <c r="L2233" s="29">
        <v>57</v>
      </c>
      <c r="M2233" s="29">
        <v>51</v>
      </c>
      <c r="N2233" s="29">
        <v>75</v>
      </c>
      <c r="O2233" s="32">
        <v>429</v>
      </c>
      <c r="P2233" s="29" cm="1">
        <f t="array" ref="P2233">IF(表成绩单[[#This Row],[语文]]="","",SUMPRODUCT((表成绩单[考试日期]=表成绩单[[#This Row],[考试日期]])*(表成绩单[语文]&lt;9E+307)*(表成绩单[语文]&gt;表成绩单[[#This Row],[语文]]))+1)</f>
        <v>248</v>
      </c>
      <c r="Q2233" s="29" cm="1">
        <f t="array" ref="Q2233">IF(表成绩单[[#This Row],[数学]]="","",SUMPRODUCT((表成绩单[考试日期]=表成绩单[[#This Row],[考试日期]])*(表成绩单[数学]&lt;9E+307)*(表成绩单[数学]&gt;表成绩单[[#This Row],[数学]]))+1)</f>
        <v>745</v>
      </c>
      <c r="R2233" s="29" cm="1">
        <f t="array" ref="R2233">IF(表成绩单[[#This Row],[英语]]="","",SUMPRODUCT((表成绩单[考试日期]=表成绩单[[#This Row],[考试日期]])*(表成绩单[英语]&lt;9E+307)*(表成绩单[英语]&gt;表成绩单[[#This Row],[英语]]))+1)</f>
        <v>606</v>
      </c>
      <c r="S2233" s="29" cm="1">
        <f t="array" ref="S2233">IF(表成绩单[[#This Row],[物理]]="","",SUMPRODUCT((表成绩单[考试日期]=表成绩单[[#This Row],[考试日期]])*(表成绩单[物理]&lt;9E+307)*(表成绩单[物理]&gt;表成绩单[[#This Row],[物理]]))+1)</f>
        <v>595</v>
      </c>
      <c r="T2233" s="29" cm="1">
        <f t="array" ref="T2233">IF(表成绩单[[#This Row],[化学]]="","",SUMPRODUCT((表成绩单[考试日期]=表成绩单[[#This Row],[考试日期]])*(表成绩单[化学]&lt;9E+307)*(表成绩单[化学]&gt;表成绩单[[#This Row],[化学]]))+1)</f>
        <v>564</v>
      </c>
      <c r="U2233" s="29" cm="1">
        <f t="array" ref="U2233">IF(表成绩单[[#This Row],[政治]]="","",SUMPRODUCT((表成绩单[考试日期]=表成绩单[[#This Row],[考试日期]])*(表成绩单[政治]&lt;9E+307)*(表成绩单[政治]&gt;表成绩单[[#This Row],[政治]]))+1)</f>
        <v>651</v>
      </c>
      <c r="V2233" s="29" cm="1">
        <f t="array" ref="V2233">IF(表成绩单[[#This Row],[历史]]="","",SUMPRODUCT((表成绩单[考试日期]=表成绩单[[#This Row],[考试日期]])*(表成绩单[历史]&lt;9E+307)*(表成绩单[历史]&gt;表成绩单[[#This Row],[历史]]))+1)</f>
        <v>193</v>
      </c>
      <c r="W2233" s="29" cm="1">
        <f t="array" ref="W2233">IF(表成绩单[[#This Row],[总分]]="","",SUMPRODUCT((表成绩单[考试日期]=表成绩单[[#This Row],[考试日期]])*(表成绩单[总分]&lt;9E+307)*(表成绩单[总分]&gt;表成绩单[[#This Row],[总分]]))+1)</f>
        <v>626</v>
      </c>
    </row>
    <row r="2234" ht="28" customHeight="1" spans="4:23">
      <c r="D2234" s="31">
        <v>46030</v>
      </c>
      <c r="E2234" s="29">
        <v>19172654</v>
      </c>
      <c r="F2234" s="29" t="s">
        <v>60</v>
      </c>
      <c r="G2234" s="29" t="s">
        <v>645</v>
      </c>
      <c r="H2234" s="29">
        <v>87</v>
      </c>
      <c r="I2234" s="29">
        <v>77</v>
      </c>
      <c r="J2234" s="29">
        <v>49.5</v>
      </c>
      <c r="K2234" s="29">
        <v>54</v>
      </c>
      <c r="L2234" s="29">
        <v>59</v>
      </c>
      <c r="M2234" s="29">
        <v>47</v>
      </c>
      <c r="N2234" s="29">
        <v>55</v>
      </c>
      <c r="O2234" s="32">
        <v>428.5</v>
      </c>
      <c r="P2234" s="29" cm="1">
        <f t="array" ref="P2234">IF(表成绩单[[#This Row],[语文]]="","",SUMPRODUCT((表成绩单[考试日期]=表成绩单[[#This Row],[考试日期]])*(表成绩单[语文]&lt;9E+307)*(表成绩单[语文]&gt;表成绩单[[#This Row],[语文]]))+1)</f>
        <v>581</v>
      </c>
      <c r="Q2234" s="29" cm="1">
        <f t="array" ref="Q2234">IF(表成绩单[[#This Row],[数学]]="","",SUMPRODUCT((表成绩单[考试日期]=表成绩单[[#This Row],[考试日期]])*(表成绩单[数学]&lt;9E+307)*(表成绩单[数学]&gt;表成绩单[[#This Row],[数学]]))+1)</f>
        <v>478</v>
      </c>
      <c r="R2234" s="29" cm="1">
        <f t="array" ref="R2234">IF(表成绩单[[#This Row],[英语]]="","",SUMPRODUCT((表成绩单[考试日期]=表成绩单[[#This Row],[考试日期]])*(表成绩单[英语]&lt;9E+307)*(表成绩单[英语]&gt;表成绩单[[#This Row],[英语]]))+1)</f>
        <v>651</v>
      </c>
      <c r="S2234" s="29" cm="1">
        <f t="array" ref="S2234">IF(表成绩单[[#This Row],[物理]]="","",SUMPRODUCT((表成绩单[考试日期]=表成绩单[[#This Row],[考试日期]])*(表成绩单[物理]&lt;9E+307)*(表成绩单[物理]&gt;表成绩单[[#This Row],[物理]]))+1)</f>
        <v>568</v>
      </c>
      <c r="T2234" s="29" cm="1">
        <f t="array" ref="T2234">IF(表成绩单[[#This Row],[化学]]="","",SUMPRODUCT((表成绩单[考试日期]=表成绩单[[#This Row],[考试日期]])*(表成绩单[化学]&lt;9E+307)*(表成绩单[化学]&gt;表成绩单[[#This Row],[化学]]))+1)</f>
        <v>540</v>
      </c>
      <c r="U2234" s="29" cm="1">
        <f t="array" ref="U2234">IF(表成绩单[[#This Row],[政治]]="","",SUMPRODUCT((表成绩单[考试日期]=表成绩单[[#This Row],[考试日期]])*(表成绩单[政治]&lt;9E+307)*(表成绩单[政治]&gt;表成绩单[[#This Row],[政治]]))+1)</f>
        <v>688</v>
      </c>
      <c r="V2234" s="29" cm="1">
        <f t="array" ref="V2234">IF(表成绩单[[#This Row],[历史]]="","",SUMPRODUCT((表成绩单[考试日期]=表成绩单[[#This Row],[考试日期]])*(表成绩单[历史]&lt;9E+307)*(表成绩单[历史]&gt;表成绩单[[#This Row],[历史]]))+1)</f>
        <v>662</v>
      </c>
      <c r="W2234" s="29" cm="1">
        <f t="array" ref="W2234">IF(表成绩单[[#This Row],[总分]]="","",SUMPRODUCT((表成绩单[考试日期]=表成绩单[[#This Row],[考试日期]])*(表成绩单[总分]&lt;9E+307)*(表成绩单[总分]&gt;表成绩单[[#This Row],[总分]]))+1)</f>
        <v>628</v>
      </c>
    </row>
    <row r="2235" ht="28" customHeight="1" spans="4:23">
      <c r="D2235" s="31">
        <v>46030</v>
      </c>
      <c r="E2235" s="29">
        <v>19173805</v>
      </c>
      <c r="F2235" s="29" t="s">
        <v>65</v>
      </c>
      <c r="G2235" s="29" t="s">
        <v>734</v>
      </c>
      <c r="H2235" s="29">
        <v>90</v>
      </c>
      <c r="I2235" s="29">
        <v>64</v>
      </c>
      <c r="J2235" s="29">
        <v>66.5</v>
      </c>
      <c r="K2235" s="29">
        <v>42</v>
      </c>
      <c r="L2235" s="29">
        <v>55</v>
      </c>
      <c r="M2235" s="29">
        <v>54</v>
      </c>
      <c r="N2235" s="29">
        <v>56</v>
      </c>
      <c r="O2235" s="32">
        <v>427.5</v>
      </c>
      <c r="P2235" s="29" cm="1">
        <f t="array" ref="P2235">IF(表成绩单[[#This Row],[语文]]="","",SUMPRODUCT((表成绩单[考试日期]=表成绩单[[#This Row],[考试日期]])*(表成绩单[语文]&lt;9E+307)*(表成绩单[语文]&gt;表成绩单[[#This Row],[语文]]))+1)</f>
        <v>509</v>
      </c>
      <c r="Q2235" s="29" cm="1">
        <f t="array" ref="Q2235">IF(表成绩单[[#This Row],[数学]]="","",SUMPRODUCT((表成绩单[考试日期]=表成绩单[[#This Row],[考试日期]])*(表成绩单[数学]&lt;9E+307)*(表成绩单[数学]&gt;表成绩单[[#This Row],[数学]]))+1)</f>
        <v>648</v>
      </c>
      <c r="R2235" s="29" cm="1">
        <f t="array" ref="R2235">IF(表成绩单[[#This Row],[英语]]="","",SUMPRODUCT((表成绩单[考试日期]=表成绩单[[#This Row],[考试日期]])*(表成绩单[英语]&lt;9E+307)*(表成绩单[英语]&gt;表成绩单[[#This Row],[英语]]))+1)</f>
        <v>402</v>
      </c>
      <c r="S2235" s="29" cm="1">
        <f t="array" ref="S2235">IF(表成绩单[[#This Row],[物理]]="","",SUMPRODUCT((表成绩单[考试日期]=表成绩单[[#This Row],[考试日期]])*(表成绩单[物理]&lt;9E+307)*(表成绩单[物理]&gt;表成绩单[[#This Row],[物理]]))+1)</f>
        <v>681</v>
      </c>
      <c r="T2235" s="29" cm="1">
        <f t="array" ref="T2235">IF(表成绩单[[#This Row],[化学]]="","",SUMPRODUCT((表成绩单[考试日期]=表成绩单[[#This Row],[考试日期]])*(表成绩单[化学]&lt;9E+307)*(表成绩单[化学]&gt;表成绩单[[#This Row],[化学]]))+1)</f>
        <v>593</v>
      </c>
      <c r="U2235" s="29" cm="1">
        <f t="array" ref="U2235">IF(表成绩单[[#This Row],[政治]]="","",SUMPRODUCT((表成绩单[考试日期]=表成绩单[[#This Row],[考试日期]])*(表成绩单[政治]&lt;9E+307)*(表成绩单[政治]&gt;表成绩单[[#This Row],[政治]]))+1)</f>
        <v>621</v>
      </c>
      <c r="V2235" s="29" cm="1">
        <f t="array" ref="V2235">IF(表成绩单[[#This Row],[历史]]="","",SUMPRODUCT((表成绩单[考试日期]=表成绩单[[#This Row],[考试日期]])*(表成绩单[历史]&lt;9E+307)*(表成绩单[历史]&gt;表成绩单[[#This Row],[历史]]))+1)</f>
        <v>651</v>
      </c>
      <c r="W2235" s="29" cm="1">
        <f t="array" ref="W2235">IF(表成绩单[[#This Row],[总分]]="","",SUMPRODUCT((表成绩单[考试日期]=表成绩单[[#This Row],[考试日期]])*(表成绩单[总分]&lt;9E+307)*(表成绩单[总分]&gt;表成绩单[[#This Row],[总分]]))+1)</f>
        <v>629</v>
      </c>
    </row>
    <row r="2236" ht="28" customHeight="1" spans="4:23">
      <c r="D2236" s="31">
        <v>46030</v>
      </c>
      <c r="E2236" s="29">
        <v>19175980</v>
      </c>
      <c r="F2236" s="29" t="s">
        <v>59</v>
      </c>
      <c r="G2236" s="29" t="s">
        <v>660</v>
      </c>
      <c r="H2236" s="29">
        <v>86</v>
      </c>
      <c r="I2236" s="29">
        <v>71</v>
      </c>
      <c r="J2236" s="29">
        <v>45</v>
      </c>
      <c r="K2236" s="29">
        <v>47</v>
      </c>
      <c r="L2236" s="29">
        <v>68</v>
      </c>
      <c r="M2236" s="29">
        <v>53</v>
      </c>
      <c r="N2236" s="29">
        <v>57</v>
      </c>
      <c r="O2236" s="32">
        <v>427</v>
      </c>
      <c r="P2236" s="29" cm="1">
        <f t="array" ref="P2236">IF(表成绩单[[#This Row],[语文]]="","",SUMPRODUCT((表成绩单[考试日期]=表成绩单[[#This Row],[考试日期]])*(表成绩单[语文]&lt;9E+307)*(表成绩单[语文]&gt;表成绩单[[#This Row],[语文]]))+1)</f>
        <v>601</v>
      </c>
      <c r="Q2236" s="29" cm="1">
        <f t="array" ref="Q2236">IF(表成绩单[[#This Row],[数学]]="","",SUMPRODUCT((表成绩单[考试日期]=表成绩单[[#This Row],[考试日期]])*(表成绩单[数学]&lt;9E+307)*(表成绩单[数学]&gt;表成绩单[[#This Row],[数学]]))+1)</f>
        <v>578</v>
      </c>
      <c r="R2236" s="29" cm="1">
        <f t="array" ref="R2236">IF(表成绩单[[#This Row],[英语]]="","",SUMPRODUCT((表成绩单[考试日期]=表成绩单[[#This Row],[考试日期]])*(表成绩单[英语]&lt;9E+307)*(表成绩单[英语]&gt;表成绩单[[#This Row],[英语]]))+1)</f>
        <v>691</v>
      </c>
      <c r="S2236" s="29" cm="1">
        <f t="array" ref="S2236">IF(表成绩单[[#This Row],[物理]]="","",SUMPRODUCT((表成绩单[考试日期]=表成绩单[[#This Row],[考试日期]])*(表成绩单[物理]&lt;9E+307)*(表成绩单[物理]&gt;表成绩单[[#This Row],[物理]]))+1)</f>
        <v>637</v>
      </c>
      <c r="T2236" s="29" cm="1">
        <f t="array" ref="T2236">IF(表成绩单[[#This Row],[化学]]="","",SUMPRODUCT((表成绩单[考试日期]=表成绩单[[#This Row],[考试日期]])*(表成绩单[化学]&lt;9E+307)*(表成绩单[化学]&gt;表成绩单[[#This Row],[化学]]))+1)</f>
        <v>358</v>
      </c>
      <c r="U2236" s="29" cm="1">
        <f t="array" ref="U2236">IF(表成绩单[[#This Row],[政治]]="","",SUMPRODUCT((表成绩单[考试日期]=表成绩单[[#This Row],[考试日期]])*(表成绩单[政治]&lt;9E+307)*(表成绩单[政治]&gt;表成绩单[[#This Row],[政治]]))+1)</f>
        <v>630</v>
      </c>
      <c r="V2236" s="29" cm="1">
        <f t="array" ref="V2236">IF(表成绩单[[#This Row],[历史]]="","",SUMPRODUCT((表成绩单[考试日期]=表成绩单[[#This Row],[考试日期]])*(表成绩单[历史]&lt;9E+307)*(表成绩单[历史]&gt;表成绩单[[#This Row],[历史]]))+1)</f>
        <v>637</v>
      </c>
      <c r="W2236" s="29" cm="1">
        <f t="array" ref="W2236">IF(表成绩单[[#This Row],[总分]]="","",SUMPRODUCT((表成绩单[考试日期]=表成绩单[[#This Row],[考试日期]])*(表成绩单[总分]&lt;9E+307)*(表成绩单[总分]&gt;表成绩单[[#This Row],[总分]]))+1)</f>
        <v>630</v>
      </c>
    </row>
    <row r="2237" ht="28" customHeight="1" spans="4:23">
      <c r="D2237" s="31">
        <v>46030</v>
      </c>
      <c r="E2237" s="29">
        <v>19172629</v>
      </c>
      <c r="F2237" s="29" t="s">
        <v>60</v>
      </c>
      <c r="G2237" s="29" t="s">
        <v>693</v>
      </c>
      <c r="H2237" s="29">
        <v>83</v>
      </c>
      <c r="I2237" s="29">
        <v>59</v>
      </c>
      <c r="J2237" s="29">
        <v>58.5</v>
      </c>
      <c r="K2237" s="29">
        <v>47</v>
      </c>
      <c r="L2237" s="29">
        <v>50</v>
      </c>
      <c r="M2237" s="29">
        <v>63</v>
      </c>
      <c r="N2237" s="29">
        <v>66</v>
      </c>
      <c r="O2237" s="32">
        <v>426.5</v>
      </c>
      <c r="P2237" s="29" cm="1">
        <f t="array" ref="P2237">IF(表成绩单[[#This Row],[语文]]="","",SUMPRODUCT((表成绩单[考试日期]=表成绩单[[#This Row],[考试日期]])*(表成绩单[语文]&lt;9E+307)*(表成绩单[语文]&gt;表成绩单[[#This Row],[语文]]))+1)</f>
        <v>648</v>
      </c>
      <c r="Q2237" s="29" cm="1">
        <f t="array" ref="Q2237">IF(表成绩单[[#This Row],[数学]]="","",SUMPRODUCT((表成绩单[考试日期]=表成绩单[[#This Row],[考试日期]])*(表成绩单[数学]&lt;9E+307)*(表成绩单[数学]&gt;表成绩单[[#This Row],[数学]]))+1)</f>
        <v>676</v>
      </c>
      <c r="R2237" s="29" cm="1">
        <f t="array" ref="R2237">IF(表成绩单[[#This Row],[英语]]="","",SUMPRODUCT((表成绩单[考试日期]=表成绩单[[#This Row],[考试日期]])*(表成绩单[英语]&lt;9E+307)*(表成绩单[英语]&gt;表成绩单[[#This Row],[英语]]))+1)</f>
        <v>545</v>
      </c>
      <c r="S2237" s="29" cm="1">
        <f t="array" ref="S2237">IF(表成绩单[[#This Row],[物理]]="","",SUMPRODUCT((表成绩单[考试日期]=表成绩单[[#This Row],[考试日期]])*(表成绩单[物理]&lt;9E+307)*(表成绩单[物理]&gt;表成绩单[[#This Row],[物理]]))+1)</f>
        <v>637</v>
      </c>
      <c r="T2237" s="29" cm="1">
        <f t="array" ref="T2237">IF(表成绩单[[#This Row],[化学]]="","",SUMPRODUCT((表成绩单[考试日期]=表成绩单[[#This Row],[考试日期]])*(表成绩单[化学]&lt;9E+307)*(表成绩单[化学]&gt;表成绩单[[#This Row],[化学]]))+1)</f>
        <v>662</v>
      </c>
      <c r="U2237" s="29" cm="1">
        <f t="array" ref="U2237">IF(表成绩单[[#This Row],[政治]]="","",SUMPRODUCT((表成绩单[考试日期]=表成绩单[[#This Row],[考试日期]])*(表成绩单[政治]&lt;9E+307)*(表成绩单[政治]&gt;表成绩单[[#This Row],[政治]]))+1)</f>
        <v>486</v>
      </c>
      <c r="V2237" s="29" cm="1">
        <f t="array" ref="V2237">IF(表成绩单[[#This Row],[历史]]="","",SUMPRODUCT((表成绩单[考试日期]=表成绩单[[#This Row],[考试日期]])*(表成绩单[历史]&lt;9E+307)*(表成绩单[历史]&gt;表成绩单[[#This Row],[历史]]))+1)</f>
        <v>451</v>
      </c>
      <c r="W2237" s="29" cm="1">
        <f t="array" ref="W2237">IF(表成绩单[[#This Row],[总分]]="","",SUMPRODUCT((表成绩单[考试日期]=表成绩单[[#This Row],[考试日期]])*(表成绩单[总分]&lt;9E+307)*(表成绩单[总分]&gt;表成绩单[[#This Row],[总分]]))+1)</f>
        <v>631</v>
      </c>
    </row>
    <row r="2238" ht="28" customHeight="1" spans="4:23">
      <c r="D2238" s="31">
        <v>46030</v>
      </c>
      <c r="E2238" s="29">
        <v>19173798</v>
      </c>
      <c r="F2238" s="29" t="s">
        <v>65</v>
      </c>
      <c r="G2238" s="29" t="s">
        <v>767</v>
      </c>
      <c r="H2238" s="29">
        <v>80</v>
      </c>
      <c r="I2238" s="29">
        <v>62</v>
      </c>
      <c r="J2238" s="29">
        <v>60.5</v>
      </c>
      <c r="K2238" s="29">
        <v>44</v>
      </c>
      <c r="L2238" s="29">
        <v>41</v>
      </c>
      <c r="M2238" s="29">
        <v>66</v>
      </c>
      <c r="N2238" s="29">
        <v>73</v>
      </c>
      <c r="O2238" s="32">
        <v>426.5</v>
      </c>
      <c r="P2238" s="29" cm="1">
        <f t="array" ref="P2238">IF(表成绩单[[#This Row],[语文]]="","",SUMPRODUCT((表成绩单[考试日期]=表成绩单[[#This Row],[考试日期]])*(表成绩单[语文]&lt;9E+307)*(表成绩单[语文]&gt;表成绩单[[#This Row],[语文]]))+1)</f>
        <v>675</v>
      </c>
      <c r="Q2238" s="29" cm="1">
        <f t="array" ref="Q2238">IF(表成绩单[[#This Row],[数学]]="","",SUMPRODUCT((表成绩单[考试日期]=表成绩单[[#This Row],[考试日期]])*(表成绩单[数学]&lt;9E+307)*(表成绩单[数学]&gt;表成绩单[[#This Row],[数学]]))+1)</f>
        <v>661</v>
      </c>
      <c r="R2238" s="29" cm="1">
        <f t="array" ref="R2238">IF(表成绩单[[#This Row],[英语]]="","",SUMPRODUCT((表成绩单[考试日期]=表成绩单[[#This Row],[考试日期]])*(表成绩单[英语]&lt;9E+307)*(表成绩单[英语]&gt;表成绩单[[#This Row],[英语]]))+1)</f>
        <v>520</v>
      </c>
      <c r="S2238" s="29" cm="1">
        <f t="array" ref="S2238">IF(表成绩单[[#This Row],[物理]]="","",SUMPRODUCT((表成绩单[考试日期]=表成绩单[[#This Row],[考试日期]])*(表成绩单[物理]&lt;9E+307)*(表成绩单[物理]&gt;表成绩单[[#This Row],[物理]]))+1)</f>
        <v>665</v>
      </c>
      <c r="T2238" s="29" cm="1">
        <f t="array" ref="T2238">IF(表成绩单[[#This Row],[化学]]="","",SUMPRODUCT((表成绩单[考试日期]=表成绩单[[#This Row],[考试日期]])*(表成绩单[化学]&lt;9E+307)*(表成绩单[化学]&gt;表成绩单[[#This Row],[化学]]))+1)</f>
        <v>734</v>
      </c>
      <c r="U2238" s="29" cm="1">
        <f t="array" ref="U2238">IF(表成绩单[[#This Row],[政治]]="","",SUMPRODUCT((表成绩单[考试日期]=表成绩单[[#This Row],[考试日期]])*(表成绩单[政治]&lt;9E+307)*(表成绩单[政治]&gt;表成绩单[[#This Row],[政治]]))+1)</f>
        <v>397</v>
      </c>
      <c r="V2238" s="29" cm="1">
        <f t="array" ref="V2238">IF(表成绩单[[#This Row],[历史]]="","",SUMPRODUCT((表成绩单[考试日期]=表成绩单[[#This Row],[考试日期]])*(表成绩单[历史]&lt;9E+307)*(表成绩单[历史]&gt;表成绩单[[#This Row],[历史]]))+1)</f>
        <v>240</v>
      </c>
      <c r="W2238" s="29" cm="1">
        <f t="array" ref="W2238">IF(表成绩单[[#This Row],[总分]]="","",SUMPRODUCT((表成绩单[考试日期]=表成绩单[[#This Row],[考试日期]])*(表成绩单[总分]&lt;9E+307)*(表成绩单[总分]&gt;表成绩单[[#This Row],[总分]]))+1)</f>
        <v>631</v>
      </c>
    </row>
    <row r="2239" ht="28" customHeight="1" spans="4:23">
      <c r="D2239" s="31">
        <v>46030</v>
      </c>
      <c r="E2239" s="29">
        <v>19172663</v>
      </c>
      <c r="F2239" s="29" t="s">
        <v>60</v>
      </c>
      <c r="G2239" s="29" t="s">
        <v>736</v>
      </c>
      <c r="H2239" s="29">
        <v>75</v>
      </c>
      <c r="I2239" s="29">
        <v>77</v>
      </c>
      <c r="J2239" s="29">
        <v>44</v>
      </c>
      <c r="K2239" s="29">
        <v>73</v>
      </c>
      <c r="L2239" s="29">
        <v>61</v>
      </c>
      <c r="M2239" s="29">
        <v>42</v>
      </c>
      <c r="N2239" s="29">
        <v>54</v>
      </c>
      <c r="O2239" s="32">
        <v>426</v>
      </c>
      <c r="P2239" s="29" cm="1">
        <f t="array" ref="P2239">IF(表成绩单[[#This Row],[语文]]="","",SUMPRODUCT((表成绩单[考试日期]=表成绩单[[#This Row],[考试日期]])*(表成绩单[语文]&lt;9E+307)*(表成绩单[语文]&gt;表成绩单[[#This Row],[语文]]))+1)</f>
        <v>714</v>
      </c>
      <c r="Q2239" s="29" cm="1">
        <f t="array" ref="Q2239">IF(表成绩单[[#This Row],[数学]]="","",SUMPRODUCT((表成绩单[考试日期]=表成绩单[[#This Row],[考试日期]])*(表成绩单[数学]&lt;9E+307)*(表成绩单[数学]&gt;表成绩单[[#This Row],[数学]]))+1)</f>
        <v>478</v>
      </c>
      <c r="R2239" s="29" cm="1">
        <f t="array" ref="R2239">IF(表成绩单[[#This Row],[英语]]="","",SUMPRODUCT((表成绩单[考试日期]=表成绩单[[#This Row],[考试日期]])*(表成绩单[英语]&lt;9E+307)*(表成绩单[英语]&gt;表成绩单[[#This Row],[英语]]))+1)</f>
        <v>695</v>
      </c>
      <c r="S2239" s="29" cm="1">
        <f t="array" ref="S2239">IF(表成绩单[[#This Row],[物理]]="","",SUMPRODUCT((表成绩单[考试日期]=表成绩单[[#This Row],[考试日期]])*(表成绩单[物理]&lt;9E+307)*(表成绩单[物理]&gt;表成绩单[[#This Row],[物理]]))+1)</f>
        <v>271</v>
      </c>
      <c r="T2239" s="29" cm="1">
        <f t="array" ref="T2239">IF(表成绩单[[#This Row],[化学]]="","",SUMPRODUCT((表成绩单[考试日期]=表成绩单[[#This Row],[考试日期]])*(表成绩单[化学]&lt;9E+307)*(表成绩单[化学]&gt;表成绩单[[#This Row],[化学]]))+1)</f>
        <v>508</v>
      </c>
      <c r="U2239" s="29" cm="1">
        <f t="array" ref="U2239">IF(表成绩单[[#This Row],[政治]]="","",SUMPRODUCT((表成绩单[考试日期]=表成绩单[[#This Row],[考试日期]])*(表成绩单[政治]&lt;9E+307)*(表成绩单[政治]&gt;表成绩单[[#This Row],[政治]]))+1)</f>
        <v>719</v>
      </c>
      <c r="V2239" s="29" cm="1">
        <f t="array" ref="V2239">IF(表成绩单[[#This Row],[历史]]="","",SUMPRODUCT((表成绩单[考试日期]=表成绩单[[#This Row],[考试日期]])*(表成绩单[历史]&lt;9E+307)*(表成绩单[历史]&gt;表成绩单[[#This Row],[历史]]))+1)</f>
        <v>682</v>
      </c>
      <c r="W2239" s="29" cm="1">
        <f t="array" ref="W2239">IF(表成绩单[[#This Row],[总分]]="","",SUMPRODUCT((表成绩单[考试日期]=表成绩单[[#This Row],[考试日期]])*(表成绩单[总分]&lt;9E+307)*(表成绩单[总分]&gt;表成绩单[[#This Row],[总分]]))+1)</f>
        <v>633</v>
      </c>
    </row>
    <row r="2240" ht="28" customHeight="1" spans="4:23">
      <c r="D2240" s="31">
        <v>46030</v>
      </c>
      <c r="E2240" s="29">
        <v>19176019</v>
      </c>
      <c r="F2240" s="29" t="s">
        <v>59</v>
      </c>
      <c r="G2240" s="29" t="s">
        <v>719</v>
      </c>
      <c r="H2240" s="29">
        <v>97</v>
      </c>
      <c r="I2240" s="29">
        <v>59</v>
      </c>
      <c r="J2240" s="29">
        <v>50.5</v>
      </c>
      <c r="K2240" s="29">
        <v>44</v>
      </c>
      <c r="L2240" s="29">
        <v>44</v>
      </c>
      <c r="M2240" s="29">
        <v>77</v>
      </c>
      <c r="N2240" s="29">
        <v>54</v>
      </c>
      <c r="O2240" s="32">
        <v>425.5</v>
      </c>
      <c r="P2240" s="29" cm="1">
        <f t="array" ref="P2240">IF(表成绩单[[#This Row],[语文]]="","",SUMPRODUCT((表成绩单[考试日期]=表成绩单[[#This Row],[考试日期]])*(表成绩单[语文]&lt;9E+307)*(表成绩单[语文]&gt;表成绩单[[#This Row],[语文]]))+1)</f>
        <v>291</v>
      </c>
      <c r="Q2240" s="29" cm="1">
        <f t="array" ref="Q2240">IF(表成绩单[[#This Row],[数学]]="","",SUMPRODUCT((表成绩单[考试日期]=表成绩单[[#This Row],[考试日期]])*(表成绩单[数学]&lt;9E+307)*(表成绩单[数学]&gt;表成绩单[[#This Row],[数学]]))+1)</f>
        <v>676</v>
      </c>
      <c r="R2240" s="29" cm="1">
        <f t="array" ref="R2240">IF(表成绩单[[#This Row],[英语]]="","",SUMPRODUCT((表成绩单[考试日期]=表成绩单[[#This Row],[考试日期]])*(表成绩单[英语]&lt;9E+307)*(表成绩单[英语]&gt;表成绩单[[#This Row],[英语]]))+1)</f>
        <v>643</v>
      </c>
      <c r="S2240" s="29" cm="1">
        <f t="array" ref="S2240">IF(表成绩单[[#This Row],[物理]]="","",SUMPRODUCT((表成绩单[考试日期]=表成绩单[[#This Row],[考试日期]])*(表成绩单[物理]&lt;9E+307)*(表成绩单[物理]&gt;表成绩单[[#This Row],[物理]]))+1)</f>
        <v>665</v>
      </c>
      <c r="T2240" s="29" cm="1">
        <f t="array" ref="T2240">IF(表成绩单[[#This Row],[化学]]="","",SUMPRODUCT((表成绩单[考试日期]=表成绩单[[#This Row],[考试日期]])*(表成绩单[化学]&lt;9E+307)*(表成绩单[化学]&gt;表成绩单[[#This Row],[化学]]))+1)</f>
        <v>720</v>
      </c>
      <c r="U2240" s="29" cm="1">
        <f t="array" ref="U2240">IF(表成绩单[[#This Row],[政治]]="","",SUMPRODUCT((表成绩单[考试日期]=表成绩单[[#This Row],[考试日期]])*(表成绩单[政治]&lt;9E+307)*(表成绩单[政治]&gt;表成绩单[[#This Row],[政治]]))+1)</f>
        <v>88</v>
      </c>
      <c r="V2240" s="29" cm="1">
        <f t="array" ref="V2240">IF(表成绩单[[#This Row],[历史]]="","",SUMPRODUCT((表成绩单[考试日期]=表成绩单[[#This Row],[考试日期]])*(表成绩单[历史]&lt;9E+307)*(表成绩单[历史]&gt;表成绩单[[#This Row],[历史]]))+1)</f>
        <v>682</v>
      </c>
      <c r="W2240" s="29" cm="1">
        <f t="array" ref="W2240">IF(表成绩单[[#This Row],[总分]]="","",SUMPRODUCT((表成绩单[考试日期]=表成绩单[[#This Row],[考试日期]])*(表成绩单[总分]&lt;9E+307)*(表成绩单[总分]&gt;表成绩单[[#This Row],[总分]]))+1)</f>
        <v>634</v>
      </c>
    </row>
    <row r="2241" ht="28" customHeight="1" spans="4:23">
      <c r="D2241" s="31">
        <v>46030</v>
      </c>
      <c r="E2241" s="29">
        <v>19175689</v>
      </c>
      <c r="F2241" s="29" t="s">
        <v>72</v>
      </c>
      <c r="G2241" s="29" t="s">
        <v>548</v>
      </c>
      <c r="H2241" s="29">
        <v>76</v>
      </c>
      <c r="I2241" s="29">
        <v>83</v>
      </c>
      <c r="J2241" s="29">
        <v>61</v>
      </c>
      <c r="K2241" s="29">
        <v>46</v>
      </c>
      <c r="L2241" s="29">
        <v>52</v>
      </c>
      <c r="M2241" s="29">
        <v>46</v>
      </c>
      <c r="N2241" s="29">
        <v>61</v>
      </c>
      <c r="O2241" s="32">
        <v>425</v>
      </c>
      <c r="P2241" s="29" cm="1">
        <f t="array" ref="P2241">IF(表成绩单[[#This Row],[语文]]="","",SUMPRODUCT((表成绩单[考试日期]=表成绩单[[#This Row],[考试日期]])*(表成绩单[语文]&lt;9E+307)*(表成绩单[语文]&gt;表成绩单[[#This Row],[语文]]))+1)</f>
        <v>709</v>
      </c>
      <c r="Q2241" s="29" cm="1">
        <f t="array" ref="Q2241">IF(表成绩单[[#This Row],[数学]]="","",SUMPRODUCT((表成绩单[考试日期]=表成绩单[[#This Row],[考试日期]])*(表成绩单[数学]&lt;9E+307)*(表成绩单[数学]&gt;表成绩单[[#This Row],[数学]]))+1)</f>
        <v>360</v>
      </c>
      <c r="R2241" s="29" cm="1">
        <f t="array" ref="R2241">IF(表成绩单[[#This Row],[英语]]="","",SUMPRODUCT((表成绩单[考试日期]=表成绩单[[#This Row],[考试日期]])*(表成绩单[英语]&lt;9E+307)*(表成绩单[英语]&gt;表成绩单[[#This Row],[英语]]))+1)</f>
        <v>507</v>
      </c>
      <c r="S2241" s="29" cm="1">
        <f t="array" ref="S2241">IF(表成绩单[[#This Row],[物理]]="","",SUMPRODUCT((表成绩单[考试日期]=表成绩单[[#This Row],[考试日期]])*(表成绩单[物理]&lt;9E+307)*(表成绩单[物理]&gt;表成绩单[[#This Row],[物理]]))+1)</f>
        <v>649</v>
      </c>
      <c r="T2241" s="29" cm="1">
        <f t="array" ref="T2241">IF(表成绩单[[#This Row],[化学]]="","",SUMPRODUCT((表成绩单[考试日期]=表成绩单[[#This Row],[考试日期]])*(表成绩单[化学]&lt;9E+307)*(表成绩单[化学]&gt;表成绩单[[#This Row],[化学]]))+1)</f>
        <v>638</v>
      </c>
      <c r="U2241" s="29" cm="1">
        <f t="array" ref="U2241">IF(表成绩单[[#This Row],[政治]]="","",SUMPRODUCT((表成绩单[考试日期]=表成绩单[[#This Row],[考试日期]])*(表成绩单[政治]&lt;9E+307)*(表成绩单[政治]&gt;表成绩单[[#This Row],[政治]]))+1)</f>
        <v>692</v>
      </c>
      <c r="V2241" s="29" cm="1">
        <f t="array" ref="V2241">IF(表成绩单[[#This Row],[历史]]="","",SUMPRODUCT((表成绩单[考试日期]=表成绩单[[#This Row],[考试日期]])*(表成绩单[历史]&lt;9E+307)*(表成绩单[历史]&gt;表成绩单[[#This Row],[历史]]))+1)</f>
        <v>566</v>
      </c>
      <c r="W2241" s="29" cm="1">
        <f t="array" ref="W2241">IF(表成绩单[[#This Row],[总分]]="","",SUMPRODUCT((表成绩单[考试日期]=表成绩单[[#This Row],[考试日期]])*(表成绩单[总分]&lt;9E+307)*(表成绩单[总分]&gt;表成绩单[[#This Row],[总分]]))+1)</f>
        <v>635</v>
      </c>
    </row>
    <row r="2242" ht="28" customHeight="1" spans="4:23">
      <c r="D2242" s="31">
        <v>46030</v>
      </c>
      <c r="E2242" s="29">
        <v>19175305</v>
      </c>
      <c r="F2242" s="29" t="s">
        <v>55</v>
      </c>
      <c r="G2242" s="29" t="s">
        <v>759</v>
      </c>
      <c r="H2242" s="29">
        <v>89</v>
      </c>
      <c r="I2242" s="29">
        <v>50</v>
      </c>
      <c r="J2242" s="29">
        <v>50.5</v>
      </c>
      <c r="K2242" s="29">
        <v>36</v>
      </c>
      <c r="L2242" s="29">
        <v>53</v>
      </c>
      <c r="M2242" s="29">
        <v>76</v>
      </c>
      <c r="N2242" s="29">
        <v>70</v>
      </c>
      <c r="O2242" s="32">
        <v>424.5</v>
      </c>
      <c r="P2242" s="29" cm="1">
        <f t="array" ref="P2242">IF(表成绩单[[#This Row],[语文]]="","",SUMPRODUCT((表成绩单[考试日期]=表成绩单[[#This Row],[考试日期]])*(表成绩单[语文]&lt;9E+307)*(表成绩单[语文]&gt;表成绩单[[#This Row],[语文]]))+1)</f>
        <v>540</v>
      </c>
      <c r="Q2242" s="29" cm="1">
        <f t="array" ref="Q2242">IF(表成绩单[[#This Row],[数学]]="","",SUMPRODUCT((表成绩单[考试日期]=表成绩单[[#This Row],[考试日期]])*(表成绩单[数学]&lt;9E+307)*(表成绩单[数学]&gt;表成绩单[[#This Row],[数学]]))+1)</f>
        <v>728</v>
      </c>
      <c r="R2242" s="29" cm="1">
        <f t="array" ref="R2242">IF(表成绩单[[#This Row],[英语]]="","",SUMPRODUCT((表成绩单[考试日期]=表成绩单[[#This Row],[考试日期]])*(表成绩单[英语]&lt;9E+307)*(表成绩单[英语]&gt;表成绩单[[#This Row],[英语]]))+1)</f>
        <v>643</v>
      </c>
      <c r="S2242" s="29" cm="1">
        <f t="array" ref="S2242">IF(表成绩单[[#This Row],[物理]]="","",SUMPRODUCT((表成绩单[考试日期]=表成绩单[[#This Row],[考试日期]])*(表成绩单[物理]&lt;9E+307)*(表成绩单[物理]&gt;表成绩单[[#This Row],[物理]]))+1)</f>
        <v>712</v>
      </c>
      <c r="T2242" s="29" cm="1">
        <f t="array" ref="T2242">IF(表成绩单[[#This Row],[化学]]="","",SUMPRODUCT((表成绩单[考试日期]=表成绩单[[#This Row],[考试日期]])*(表成绩单[化学]&lt;9E+307)*(表成绩单[化学]&gt;表成绩单[[#This Row],[化学]]))+1)</f>
        <v>623</v>
      </c>
      <c r="U2242" s="29" cm="1">
        <f t="array" ref="U2242">IF(表成绩单[[#This Row],[政治]]="","",SUMPRODUCT((表成绩单[考试日期]=表成绩单[[#This Row],[考试日期]])*(表成绩单[政治]&lt;9E+307)*(表成绩单[政治]&gt;表成绩单[[#This Row],[政治]]))+1)</f>
        <v>111</v>
      </c>
      <c r="V2242" s="29" cm="1">
        <f t="array" ref="V2242">IF(表成绩单[[#This Row],[历史]]="","",SUMPRODUCT((表成绩单[考试日期]=表成绩单[[#This Row],[考试日期]])*(表成绩单[历史]&lt;9E+307)*(表成绩单[历史]&gt;表成绩单[[#This Row],[历史]]))+1)</f>
        <v>328</v>
      </c>
      <c r="W2242" s="29" cm="1">
        <f t="array" ref="W2242">IF(表成绩单[[#This Row],[总分]]="","",SUMPRODUCT((表成绩单[考试日期]=表成绩单[[#This Row],[考试日期]])*(表成绩单[总分]&lt;9E+307)*(表成绩单[总分]&gt;表成绩单[[#This Row],[总分]]))+1)</f>
        <v>636</v>
      </c>
    </row>
    <row r="2243" ht="28" customHeight="1" spans="4:23">
      <c r="D2243" s="31">
        <v>46030</v>
      </c>
      <c r="E2243" s="29">
        <v>19176010</v>
      </c>
      <c r="F2243" s="29" t="s">
        <v>59</v>
      </c>
      <c r="G2243" s="29" t="s">
        <v>724</v>
      </c>
      <c r="H2243" s="29">
        <v>86</v>
      </c>
      <c r="I2243" s="29">
        <v>61</v>
      </c>
      <c r="J2243" s="29">
        <v>58.5</v>
      </c>
      <c r="K2243" s="29">
        <v>47</v>
      </c>
      <c r="L2243" s="29">
        <v>54</v>
      </c>
      <c r="M2243" s="29">
        <v>55</v>
      </c>
      <c r="N2243" s="29">
        <v>63</v>
      </c>
      <c r="O2243" s="32">
        <v>424.5</v>
      </c>
      <c r="P2243" s="29" cm="1">
        <f t="array" ref="P2243">IF(表成绩单[[#This Row],[语文]]="","",SUMPRODUCT((表成绩单[考试日期]=表成绩单[[#This Row],[考试日期]])*(表成绩单[语文]&lt;9E+307)*(表成绩单[语文]&gt;表成绩单[[#This Row],[语文]]))+1)</f>
        <v>601</v>
      </c>
      <c r="Q2243" s="29" cm="1">
        <f t="array" ref="Q2243">IF(表成绩单[[#This Row],[数学]]="","",SUMPRODUCT((表成绩单[考试日期]=表成绩单[[#This Row],[考试日期]])*(表成绩单[数学]&lt;9E+307)*(表成绩单[数学]&gt;表成绩单[[#This Row],[数学]]))+1)</f>
        <v>668</v>
      </c>
      <c r="R2243" s="29" cm="1">
        <f t="array" ref="R2243">IF(表成绩单[[#This Row],[英语]]="","",SUMPRODUCT((表成绩单[考试日期]=表成绩单[[#This Row],[考试日期]])*(表成绩单[英语]&lt;9E+307)*(表成绩单[英语]&gt;表成绩单[[#This Row],[英语]]))+1)</f>
        <v>545</v>
      </c>
      <c r="S2243" s="29" cm="1">
        <f t="array" ref="S2243">IF(表成绩单[[#This Row],[物理]]="","",SUMPRODUCT((表成绩单[考试日期]=表成绩单[[#This Row],[考试日期]])*(表成绩单[物理]&lt;9E+307)*(表成绩单[物理]&gt;表成绩单[[#This Row],[物理]]))+1)</f>
        <v>637</v>
      </c>
      <c r="T2243" s="29" cm="1">
        <f t="array" ref="T2243">IF(表成绩单[[#This Row],[化学]]="","",SUMPRODUCT((表成绩单[考试日期]=表成绩单[[#This Row],[考试日期]])*(表成绩单[化学]&lt;9E+307)*(表成绩单[化学]&gt;表成绩单[[#This Row],[化学]]))+1)</f>
        <v>609</v>
      </c>
      <c r="U2243" s="29" cm="1">
        <f t="array" ref="U2243">IF(表成绩单[[#This Row],[政治]]="","",SUMPRODUCT((表成绩单[考试日期]=表成绩单[[#This Row],[考试日期]])*(表成绩单[政治]&lt;9E+307)*(表成绩单[政治]&gt;表成绩单[[#This Row],[政治]]))+1)</f>
        <v>608</v>
      </c>
      <c r="V2243" s="29" cm="1">
        <f t="array" ref="V2243">IF(表成绩单[[#This Row],[历史]]="","",SUMPRODUCT((表成绩单[考试日期]=表成绩单[[#This Row],[考试日期]])*(表成绩单[历史]&lt;9E+307)*(表成绩单[历史]&gt;表成绩单[[#This Row],[历史]]))+1)</f>
        <v>521</v>
      </c>
      <c r="W2243" s="29" cm="1">
        <f t="array" ref="W2243">IF(表成绩单[[#This Row],[总分]]="","",SUMPRODUCT((表成绩单[考试日期]=表成绩单[[#This Row],[考试日期]])*(表成绩单[总分]&lt;9E+307)*(表成绩单[总分]&gt;表成绩单[[#This Row],[总分]]))+1)</f>
        <v>636</v>
      </c>
    </row>
    <row r="2244" ht="28" customHeight="1" spans="4:23">
      <c r="D2244" s="31">
        <v>46030</v>
      </c>
      <c r="E2244" s="29">
        <v>19173282</v>
      </c>
      <c r="F2244" s="29" t="s">
        <v>61</v>
      </c>
      <c r="G2244" s="29" t="s">
        <v>699</v>
      </c>
      <c r="H2244" s="29">
        <v>77</v>
      </c>
      <c r="I2244" s="29">
        <v>59</v>
      </c>
      <c r="J2244" s="29">
        <v>65</v>
      </c>
      <c r="K2244" s="29">
        <v>45</v>
      </c>
      <c r="L2244" s="29">
        <v>57</v>
      </c>
      <c r="M2244" s="29">
        <v>56</v>
      </c>
      <c r="N2244" s="29">
        <v>65</v>
      </c>
      <c r="O2244" s="32">
        <v>424</v>
      </c>
      <c r="P2244" s="29" cm="1">
        <f t="array" ref="P2244">IF(表成绩单[[#This Row],[语文]]="","",SUMPRODUCT((表成绩单[考试日期]=表成绩单[[#This Row],[考试日期]])*(表成绩单[语文]&lt;9E+307)*(表成绩单[语文]&gt;表成绩单[[#This Row],[语文]]))+1)</f>
        <v>702</v>
      </c>
      <c r="Q2244" s="29" cm="1">
        <f t="array" ref="Q2244">IF(表成绩单[[#This Row],[数学]]="","",SUMPRODUCT((表成绩单[考试日期]=表成绩单[[#This Row],[考试日期]])*(表成绩单[数学]&lt;9E+307)*(表成绩单[数学]&gt;表成绩单[[#This Row],[数学]]))+1)</f>
        <v>676</v>
      </c>
      <c r="R2244" s="29" cm="1">
        <f t="array" ref="R2244">IF(表成绩单[[#This Row],[英语]]="","",SUMPRODUCT((表成绩单[考试日期]=表成绩单[[#This Row],[考试日期]])*(表成绩单[英语]&lt;9E+307)*(表成绩单[英语]&gt;表成绩单[[#This Row],[英语]]))+1)</f>
        <v>438</v>
      </c>
      <c r="S2244" s="29" cm="1">
        <f t="array" ref="S2244">IF(表成绩单[[#This Row],[物理]]="","",SUMPRODUCT((表成绩单[考试日期]=表成绩单[[#This Row],[考试日期]])*(表成绩单[物理]&lt;9E+307)*(表成绩单[物理]&gt;表成绩单[[#This Row],[物理]]))+1)</f>
        <v>655</v>
      </c>
      <c r="T2244" s="29" cm="1">
        <f t="array" ref="T2244">IF(表成绩单[[#This Row],[化学]]="","",SUMPRODUCT((表成绩单[考试日期]=表成绩单[[#This Row],[考试日期]])*(表成绩单[化学]&lt;9E+307)*(表成绩单[化学]&gt;表成绩单[[#This Row],[化学]]))+1)</f>
        <v>564</v>
      </c>
      <c r="U2244" s="29" cm="1">
        <f t="array" ref="U2244">IF(表成绩单[[#This Row],[政治]]="","",SUMPRODUCT((表成绩单[考试日期]=表成绩单[[#This Row],[考试日期]])*(表成绩单[政治]&lt;9E+307)*(表成绩单[政治]&gt;表成绩单[[#This Row],[政治]]))+1)</f>
        <v>603</v>
      </c>
      <c r="V2244" s="29" cm="1">
        <f t="array" ref="V2244">IF(表成绩单[[#This Row],[历史]]="","",SUMPRODUCT((表成绩单[考试日期]=表成绩单[[#This Row],[考试日期]])*(表成绩单[历史]&lt;9E+307)*(表成绩单[历史]&gt;表成绩单[[#This Row],[历史]]))+1)</f>
        <v>471</v>
      </c>
      <c r="W2244" s="29" cm="1">
        <f t="array" ref="W2244">IF(表成绩单[[#This Row],[总分]]="","",SUMPRODUCT((表成绩单[考试日期]=表成绩单[[#This Row],[考试日期]])*(表成绩单[总分]&lt;9E+307)*(表成绩单[总分]&gt;表成绩单[[#This Row],[总分]]))+1)</f>
        <v>638</v>
      </c>
    </row>
    <row r="2245" ht="28" customHeight="1" spans="4:23">
      <c r="D2245" s="31">
        <v>46030</v>
      </c>
      <c r="E2245" s="29">
        <v>24033000</v>
      </c>
      <c r="F2245" s="29" t="s">
        <v>57</v>
      </c>
      <c r="G2245" s="29" t="s">
        <v>765</v>
      </c>
      <c r="H2245" s="29">
        <v>80</v>
      </c>
      <c r="I2245" s="29">
        <v>65</v>
      </c>
      <c r="J2245" s="29">
        <v>38.5</v>
      </c>
      <c r="K2245" s="29">
        <v>50</v>
      </c>
      <c r="L2245" s="29">
        <v>59</v>
      </c>
      <c r="M2245" s="29">
        <v>61</v>
      </c>
      <c r="N2245" s="29">
        <v>70</v>
      </c>
      <c r="O2245" s="32">
        <v>423.5</v>
      </c>
      <c r="P2245" s="29" cm="1">
        <f t="array" ref="P2245">IF(表成绩单[[#This Row],[语文]]="","",SUMPRODUCT((表成绩单[考试日期]=表成绩单[[#This Row],[考试日期]])*(表成绩单[语文]&lt;9E+307)*(表成绩单[语文]&gt;表成绩单[[#This Row],[语文]]))+1)</f>
        <v>675</v>
      </c>
      <c r="Q2245" s="29" cm="1">
        <f t="array" ref="Q2245">IF(表成绩单[[#This Row],[数学]]="","",SUMPRODUCT((表成绩单[考试日期]=表成绩单[[#This Row],[考试日期]])*(表成绩单[数学]&lt;9E+307)*(表成绩单[数学]&gt;表成绩单[[#This Row],[数学]]))+1)</f>
        <v>640</v>
      </c>
      <c r="R2245" s="29" cm="1">
        <f t="array" ref="R2245">IF(表成绩单[[#This Row],[英语]]="","",SUMPRODUCT((表成绩单[考试日期]=表成绩单[[#This Row],[考试日期]])*(表成绩单[英语]&lt;9E+307)*(表成绩单[英语]&gt;表成绩单[[#This Row],[英语]]))+1)</f>
        <v>728</v>
      </c>
      <c r="S2245" s="29" cm="1">
        <f t="array" ref="S2245">IF(表成绩单[[#This Row],[物理]]="","",SUMPRODUCT((表成绩单[考试日期]=表成绩单[[#This Row],[考试日期]])*(表成绩单[物理]&lt;9E+307)*(表成绩单[物理]&gt;表成绩单[[#This Row],[物理]]))+1)</f>
        <v>605</v>
      </c>
      <c r="T2245" s="29" cm="1">
        <f t="array" ref="T2245">IF(表成绩单[[#This Row],[化学]]="","",SUMPRODUCT((表成绩单[考试日期]=表成绩单[[#This Row],[考试日期]])*(表成绩单[化学]&lt;9E+307)*(表成绩单[化学]&gt;表成绩单[[#This Row],[化学]]))+1)</f>
        <v>540</v>
      </c>
      <c r="U2245" s="29" cm="1">
        <f t="array" ref="U2245">IF(表成绩单[[#This Row],[政治]]="","",SUMPRODUCT((表成绩单[考试日期]=表成绩单[[#This Row],[考试日期]])*(表成绩单[政治]&lt;9E+307)*(表成绩单[政治]&gt;表成绩单[[#This Row],[政治]]))+1)</f>
        <v>530</v>
      </c>
      <c r="V2245" s="29" cm="1">
        <f t="array" ref="V2245">IF(表成绩单[[#This Row],[历史]]="","",SUMPRODUCT((表成绩单[考试日期]=表成绩单[[#This Row],[考试日期]])*(表成绩单[历史]&lt;9E+307)*(表成绩单[历史]&gt;表成绩单[[#This Row],[历史]]))+1)</f>
        <v>328</v>
      </c>
      <c r="W2245" s="29" cm="1">
        <f t="array" ref="W2245">IF(表成绩单[[#This Row],[总分]]="","",SUMPRODUCT((表成绩单[考试日期]=表成绩单[[#This Row],[考试日期]])*(表成绩单[总分]&lt;9E+307)*(表成绩单[总分]&gt;表成绩单[[#This Row],[总分]]))+1)</f>
        <v>639</v>
      </c>
    </row>
    <row r="2246" ht="28" customHeight="1" spans="4:23">
      <c r="D2246" s="31">
        <v>46030</v>
      </c>
      <c r="E2246" s="29">
        <v>19175617</v>
      </c>
      <c r="F2246" s="29" t="s">
        <v>57</v>
      </c>
      <c r="G2246" s="29" t="s">
        <v>680</v>
      </c>
      <c r="H2246" s="29">
        <v>90</v>
      </c>
      <c r="I2246" s="29">
        <v>57</v>
      </c>
      <c r="J2246" s="29">
        <v>59</v>
      </c>
      <c r="K2246" s="29">
        <v>47</v>
      </c>
      <c r="L2246" s="29">
        <v>50</v>
      </c>
      <c r="M2246" s="29">
        <v>55</v>
      </c>
      <c r="N2246" s="29">
        <v>65</v>
      </c>
      <c r="O2246" s="32">
        <v>423</v>
      </c>
      <c r="P2246" s="29" cm="1">
        <f t="array" ref="P2246">IF(表成绩单[[#This Row],[语文]]="","",SUMPRODUCT((表成绩单[考试日期]=表成绩单[[#This Row],[考试日期]])*(表成绩单[语文]&lt;9E+307)*(表成绩单[语文]&gt;表成绩单[[#This Row],[语文]]))+1)</f>
        <v>509</v>
      </c>
      <c r="Q2246" s="29" cm="1">
        <f t="array" ref="Q2246">IF(表成绩单[[#This Row],[数学]]="","",SUMPRODUCT((表成绩单[考试日期]=表成绩单[[#This Row],[考试日期]])*(表成绩单[数学]&lt;9E+307)*(表成绩单[数学]&gt;表成绩单[[#This Row],[数学]]))+1)</f>
        <v>693</v>
      </c>
      <c r="R2246" s="29" cm="1">
        <f t="array" ref="R2246">IF(表成绩单[[#This Row],[英语]]="","",SUMPRODUCT((表成绩单[考试日期]=表成绩单[[#This Row],[考试日期]])*(表成绩单[英语]&lt;9E+307)*(表成绩单[英语]&gt;表成绩单[[#This Row],[英语]]))+1)</f>
        <v>538</v>
      </c>
      <c r="S2246" s="29" cm="1">
        <f t="array" ref="S2246">IF(表成绩单[[#This Row],[物理]]="","",SUMPRODUCT((表成绩单[考试日期]=表成绩单[[#This Row],[考试日期]])*(表成绩单[物理]&lt;9E+307)*(表成绩单[物理]&gt;表成绩单[[#This Row],[物理]]))+1)</f>
        <v>637</v>
      </c>
      <c r="T2246" s="29" cm="1">
        <f t="array" ref="T2246">IF(表成绩单[[#This Row],[化学]]="","",SUMPRODUCT((表成绩单[考试日期]=表成绩单[[#This Row],[考试日期]])*(表成绩单[化学]&lt;9E+307)*(表成绩单[化学]&gt;表成绩单[[#This Row],[化学]]))+1)</f>
        <v>662</v>
      </c>
      <c r="U2246" s="29" cm="1">
        <f t="array" ref="U2246">IF(表成绩单[[#This Row],[政治]]="","",SUMPRODUCT((表成绩单[考试日期]=表成绩单[[#This Row],[考试日期]])*(表成绩单[政治]&lt;9E+307)*(表成绩单[政治]&gt;表成绩单[[#This Row],[政治]]))+1)</f>
        <v>608</v>
      </c>
      <c r="V2246" s="29" cm="1">
        <f t="array" ref="V2246">IF(表成绩单[[#This Row],[历史]]="","",SUMPRODUCT((表成绩单[考试日期]=表成绩单[[#This Row],[考试日期]])*(表成绩单[历史]&lt;9E+307)*(表成绩单[历史]&gt;表成绩单[[#This Row],[历史]]))+1)</f>
        <v>471</v>
      </c>
      <c r="W2246" s="29" cm="1">
        <f t="array" ref="W2246">IF(表成绩单[[#This Row],[总分]]="","",SUMPRODUCT((表成绩单[考试日期]=表成绩单[[#This Row],[考试日期]])*(表成绩单[总分]&lt;9E+307)*(表成绩单[总分]&gt;表成绩单[[#This Row],[总分]]))+1)</f>
        <v>640</v>
      </c>
    </row>
    <row r="2247" ht="28" customHeight="1" spans="4:23">
      <c r="D2247" s="31">
        <v>46030</v>
      </c>
      <c r="E2247" s="29">
        <v>19174462</v>
      </c>
      <c r="F2247" s="29" t="s">
        <v>73</v>
      </c>
      <c r="G2247" s="29" t="s">
        <v>728</v>
      </c>
      <c r="H2247" s="29">
        <v>95</v>
      </c>
      <c r="I2247" s="29">
        <v>54</v>
      </c>
      <c r="J2247" s="29">
        <v>74</v>
      </c>
      <c r="K2247" s="29">
        <v>39</v>
      </c>
      <c r="L2247" s="29">
        <v>38</v>
      </c>
      <c r="M2247" s="29">
        <v>64</v>
      </c>
      <c r="N2247" s="29">
        <v>58</v>
      </c>
      <c r="O2247" s="32">
        <v>422</v>
      </c>
      <c r="P2247" s="29" cm="1">
        <f t="array" ref="P2247">IF(表成绩单[[#This Row],[语文]]="","",SUMPRODUCT((表成绩单[考试日期]=表成绩单[[#This Row],[考试日期]])*(表成绩单[语文]&lt;9E+307)*(表成绩单[语文]&gt;表成绩单[[#This Row],[语文]]))+1)</f>
        <v>342</v>
      </c>
      <c r="Q2247" s="29" cm="1">
        <f t="array" ref="Q2247">IF(表成绩单[[#This Row],[数学]]="","",SUMPRODUCT((表成绩单[考试日期]=表成绩单[[#This Row],[考试日期]])*(表成绩单[数学]&lt;9E+307)*(表成绩单[数学]&gt;表成绩单[[#This Row],[数学]]))+1)</f>
        <v>711</v>
      </c>
      <c r="R2247" s="29" cm="1">
        <f t="array" ref="R2247">IF(表成绩单[[#This Row],[英语]]="","",SUMPRODUCT((表成绩单[考试日期]=表成绩单[[#This Row],[考试日期]])*(表成绩单[英语]&lt;9E+307)*(表成绩单[英语]&gt;表成绩单[[#This Row],[英语]]))+1)</f>
        <v>201</v>
      </c>
      <c r="S2247" s="29" cm="1">
        <f t="array" ref="S2247">IF(表成绩单[[#This Row],[物理]]="","",SUMPRODUCT((表成绩单[考试日期]=表成绩单[[#This Row],[考试日期]])*(表成绩单[物理]&lt;9E+307)*(表成绩单[物理]&gt;表成绩单[[#This Row],[物理]]))+1)</f>
        <v>698</v>
      </c>
      <c r="T2247" s="29" cm="1">
        <f t="array" ref="T2247">IF(表成绩单[[#This Row],[化学]]="","",SUMPRODUCT((表成绩单[考试日期]=表成绩单[[#This Row],[考试日期]])*(表成绩单[化学]&lt;9E+307)*(表成绩单[化学]&gt;表成绩单[[#This Row],[化学]]))+1)</f>
        <v>748</v>
      </c>
      <c r="U2247" s="29" cm="1">
        <f t="array" ref="U2247">IF(表成绩单[[#This Row],[政治]]="","",SUMPRODUCT((表成绩单[考试日期]=表成绩单[[#This Row],[考试日期]])*(表成绩单[政治]&lt;9E+307)*(表成绩单[政治]&gt;表成绩单[[#This Row],[政治]]))+1)</f>
        <v>457</v>
      </c>
      <c r="V2247" s="29" cm="1">
        <f t="array" ref="V2247">IF(表成绩单[[#This Row],[历史]]="","",SUMPRODUCT((表成绩单[考试日期]=表成绩单[[#This Row],[考试日期]])*(表成绩单[历史]&lt;9E+307)*(表成绩单[历史]&gt;表成绩单[[#This Row],[历史]]))+1)</f>
        <v>620</v>
      </c>
      <c r="W2247" s="29" cm="1">
        <f t="array" ref="W2247">IF(表成绩单[[#This Row],[总分]]="","",SUMPRODUCT((表成绩单[考试日期]=表成绩单[[#This Row],[考试日期]])*(表成绩单[总分]&lt;9E+307)*(表成绩单[总分]&gt;表成绩单[[#This Row],[总分]]))+1)</f>
        <v>641</v>
      </c>
    </row>
    <row r="2248" ht="28" customHeight="1" spans="4:23">
      <c r="D2248" s="31">
        <v>46030</v>
      </c>
      <c r="E2248" s="29">
        <v>19173279</v>
      </c>
      <c r="F2248" s="29" t="s">
        <v>61</v>
      </c>
      <c r="G2248" s="29" t="s">
        <v>698</v>
      </c>
      <c r="H2248" s="29">
        <v>71</v>
      </c>
      <c r="I2248" s="29">
        <v>69</v>
      </c>
      <c r="J2248" s="29">
        <v>61</v>
      </c>
      <c r="K2248" s="29">
        <v>52</v>
      </c>
      <c r="L2248" s="29">
        <v>54</v>
      </c>
      <c r="M2248" s="29">
        <v>51</v>
      </c>
      <c r="N2248" s="29">
        <v>62</v>
      </c>
      <c r="O2248" s="32">
        <v>420</v>
      </c>
      <c r="P2248" s="29" cm="1">
        <f t="array" ref="P2248">IF(表成绩单[[#This Row],[语文]]="","",SUMPRODUCT((表成绩单[考试日期]=表成绩单[[#This Row],[考试日期]])*(表成绩单[语文]&lt;9E+307)*(表成绩单[语文]&gt;表成绩单[[#This Row],[语文]]))+1)</f>
        <v>737</v>
      </c>
      <c r="Q2248" s="29" cm="1">
        <f t="array" ref="Q2248">IF(表成绩单[[#This Row],[数学]]="","",SUMPRODUCT((表成绩单[考试日期]=表成绩单[[#This Row],[考试日期]])*(表成绩单[数学]&lt;9E+307)*(表成绩单[数学]&gt;表成绩单[[#This Row],[数学]]))+1)</f>
        <v>600</v>
      </c>
      <c r="R2248" s="29" cm="1">
        <f t="array" ref="R2248">IF(表成绩单[[#This Row],[英语]]="","",SUMPRODUCT((表成绩单[考试日期]=表成绩单[[#This Row],[考试日期]])*(表成绩单[英语]&lt;9E+307)*(表成绩单[英语]&gt;表成绩单[[#This Row],[英语]]))+1)</f>
        <v>507</v>
      </c>
      <c r="S2248" s="29" cm="1">
        <f t="array" ref="S2248">IF(表成绩单[[#This Row],[物理]]="","",SUMPRODUCT((表成绩单[考试日期]=表成绩单[[#This Row],[考试日期]])*(表成绩单[物理]&lt;9E+307)*(表成绩单[物理]&gt;表成绩单[[#This Row],[物理]]))+1)</f>
        <v>587</v>
      </c>
      <c r="T2248" s="29" cm="1">
        <f t="array" ref="T2248">IF(表成绩单[[#This Row],[化学]]="","",SUMPRODUCT((表成绩单[考试日期]=表成绩单[[#This Row],[考试日期]])*(表成绩单[化学]&lt;9E+307)*(表成绩单[化学]&gt;表成绩单[[#This Row],[化学]]))+1)</f>
        <v>609</v>
      </c>
      <c r="U2248" s="29" cm="1">
        <f t="array" ref="U2248">IF(表成绩单[[#This Row],[政治]]="","",SUMPRODUCT((表成绩单[考试日期]=表成绩单[[#This Row],[考试日期]])*(表成绩单[政治]&lt;9E+307)*(表成绩单[政治]&gt;表成绩单[[#This Row],[政治]]))+1)</f>
        <v>651</v>
      </c>
      <c r="V2248" s="29" cm="1">
        <f t="array" ref="V2248">IF(表成绩单[[#This Row],[历史]]="","",SUMPRODUCT((表成绩单[考试日期]=表成绩单[[#This Row],[考试日期]])*(表成绩单[历史]&lt;9E+307)*(表成绩单[历史]&gt;表成绩单[[#This Row],[历史]]))+1)</f>
        <v>545</v>
      </c>
      <c r="W2248" s="29" cm="1">
        <f t="array" ref="W2248">IF(表成绩单[[#This Row],[总分]]="","",SUMPRODUCT((表成绩单[考试日期]=表成绩单[[#This Row],[考试日期]])*(表成绩单[总分]&lt;9E+307)*(表成绩单[总分]&gt;表成绩单[[#This Row],[总分]]))+1)</f>
        <v>642</v>
      </c>
    </row>
    <row r="2249" ht="28" customHeight="1" spans="4:23">
      <c r="D2249" s="31">
        <v>46030</v>
      </c>
      <c r="E2249" s="29">
        <v>19175330</v>
      </c>
      <c r="F2249" s="29" t="s">
        <v>55</v>
      </c>
      <c r="G2249" s="29" t="s">
        <v>746</v>
      </c>
      <c r="H2249" s="29">
        <v>79</v>
      </c>
      <c r="I2249" s="29">
        <v>69</v>
      </c>
      <c r="J2249" s="29">
        <v>51.5</v>
      </c>
      <c r="K2249" s="29">
        <v>60</v>
      </c>
      <c r="L2249" s="29">
        <v>51</v>
      </c>
      <c r="M2249" s="29">
        <v>44</v>
      </c>
      <c r="N2249" s="29">
        <v>64</v>
      </c>
      <c r="O2249" s="32">
        <v>418.5</v>
      </c>
      <c r="P2249" s="29" cm="1">
        <f t="array" ref="P2249">IF(表成绩单[[#This Row],[语文]]="","",SUMPRODUCT((表成绩单[考试日期]=表成绩单[[#This Row],[考试日期]])*(表成绩单[语文]&lt;9E+307)*(表成绩单[语文]&gt;表成绩单[[#This Row],[语文]]))+1)</f>
        <v>684</v>
      </c>
      <c r="Q2249" s="29" cm="1">
        <f t="array" ref="Q2249">IF(表成绩单[[#This Row],[数学]]="","",SUMPRODUCT((表成绩单[考试日期]=表成绩单[[#This Row],[考试日期]])*(表成绩单[数学]&lt;9E+307)*(表成绩单[数学]&gt;表成绩单[[#This Row],[数学]]))+1)</f>
        <v>600</v>
      </c>
      <c r="R2249" s="29" cm="1">
        <f t="array" ref="R2249">IF(表成绩单[[#This Row],[英语]]="","",SUMPRODUCT((表成绩单[考试日期]=表成绩单[[#This Row],[考试日期]])*(表成绩单[英语]&lt;9E+307)*(表成绩单[英语]&gt;表成绩单[[#This Row],[英语]]))+1)</f>
        <v>634</v>
      </c>
      <c r="S2249" s="29" cm="1">
        <f t="array" ref="S2249">IF(表成绩单[[#This Row],[物理]]="","",SUMPRODUCT((表成绩单[考试日期]=表成绩单[[#This Row],[考试日期]])*(表成绩单[物理]&lt;9E+307)*(表成绩单[物理]&gt;表成绩单[[#This Row],[物理]]))+1)</f>
        <v>499</v>
      </c>
      <c r="T2249" s="29" cm="1">
        <f t="array" ref="T2249">IF(表成绩单[[#This Row],[化学]]="","",SUMPRODUCT((表成绩单[考试日期]=表成绩单[[#This Row],[考试日期]])*(表成绩单[化学]&lt;9E+307)*(表成绩单[化学]&gt;表成绩单[[#This Row],[化学]]))+1)</f>
        <v>648</v>
      </c>
      <c r="U2249" s="29" cm="1">
        <f t="array" ref="U2249">IF(表成绩单[[#This Row],[政治]]="","",SUMPRODUCT((表成绩单[考试日期]=表成绩单[[#This Row],[考试日期]])*(表成绩单[政治]&lt;9E+307)*(表成绩单[政治]&gt;表成绩单[[#This Row],[政治]]))+1)</f>
        <v>709</v>
      </c>
      <c r="V2249" s="29" cm="1">
        <f t="array" ref="V2249">IF(表成绩单[[#This Row],[历史]]="","",SUMPRODUCT((表成绩单[考试日期]=表成绩单[[#This Row],[考试日期]])*(表成绩单[历史]&lt;9E+307)*(表成绩单[历史]&gt;表成绩单[[#This Row],[历史]]))+1)</f>
        <v>509</v>
      </c>
      <c r="W2249" s="29" cm="1">
        <f t="array" ref="W2249">IF(表成绩单[[#This Row],[总分]]="","",SUMPRODUCT((表成绩单[考试日期]=表成绩单[[#This Row],[考试日期]])*(表成绩单[总分]&lt;9E+307)*(表成绩单[总分]&gt;表成绩单[[#This Row],[总分]]))+1)</f>
        <v>643</v>
      </c>
    </row>
    <row r="2250" ht="28" customHeight="1" spans="4:23">
      <c r="D2250" s="31">
        <v>46030</v>
      </c>
      <c r="E2250" s="29">
        <v>19177610</v>
      </c>
      <c r="F2250" s="29" t="s">
        <v>58</v>
      </c>
      <c r="G2250" s="29" t="s">
        <v>713</v>
      </c>
      <c r="H2250" s="29">
        <v>91</v>
      </c>
      <c r="I2250" s="29">
        <v>57</v>
      </c>
      <c r="J2250" s="29">
        <v>57</v>
      </c>
      <c r="K2250" s="29">
        <v>47</v>
      </c>
      <c r="L2250" s="29">
        <v>64</v>
      </c>
      <c r="M2250" s="29">
        <v>51</v>
      </c>
      <c r="N2250" s="29">
        <v>51</v>
      </c>
      <c r="O2250" s="32">
        <v>418</v>
      </c>
      <c r="P2250" s="29" cm="1">
        <f t="array" ref="P2250">IF(表成绩单[[#This Row],[语文]]="","",SUMPRODUCT((表成绩单[考试日期]=表成绩单[[#This Row],[考试日期]])*(表成绩单[语文]&lt;9E+307)*(表成绩单[语文]&gt;表成绩单[[#This Row],[语文]]))+1)</f>
        <v>478</v>
      </c>
      <c r="Q2250" s="29" cm="1">
        <f t="array" ref="Q2250">IF(表成绩单[[#This Row],[数学]]="","",SUMPRODUCT((表成绩单[考试日期]=表成绩单[[#This Row],[考试日期]])*(表成绩单[数学]&lt;9E+307)*(表成绩单[数学]&gt;表成绩单[[#This Row],[数学]]))+1)</f>
        <v>693</v>
      </c>
      <c r="R2250" s="29" cm="1">
        <f t="array" ref="R2250">IF(表成绩单[[#This Row],[英语]]="","",SUMPRODUCT((表成绩单[考试日期]=表成绩单[[#This Row],[考试日期]])*(表成绩单[英语]&lt;9E+307)*(表成绩单[英语]&gt;表成绩单[[#This Row],[英语]]))+1)</f>
        <v>572</v>
      </c>
      <c r="S2250" s="29" cm="1">
        <f t="array" ref="S2250">IF(表成绩单[[#This Row],[物理]]="","",SUMPRODUCT((表成绩单[考试日期]=表成绩单[[#This Row],[考试日期]])*(表成绩单[物理]&lt;9E+307)*(表成绩单[物理]&gt;表成绩单[[#This Row],[物理]]))+1)</f>
        <v>637</v>
      </c>
      <c r="T2250" s="29" cm="1">
        <f t="array" ref="T2250">IF(表成绩单[[#This Row],[化学]]="","",SUMPRODUCT((表成绩单[考试日期]=表成绩单[[#This Row],[考试日期]])*(表成绩单[化学]&lt;9E+307)*(表成绩单[化学]&gt;表成绩单[[#This Row],[化学]]))+1)</f>
        <v>451</v>
      </c>
      <c r="U2250" s="29" cm="1">
        <f t="array" ref="U2250">IF(表成绩单[[#This Row],[政治]]="","",SUMPRODUCT((表成绩单[考试日期]=表成绩单[[#This Row],[考试日期]])*(表成绩单[政治]&lt;9E+307)*(表成绩单[政治]&gt;表成绩单[[#This Row],[政治]]))+1)</f>
        <v>651</v>
      </c>
      <c r="V2250" s="29" cm="1">
        <f t="array" ref="V2250">IF(表成绩单[[#This Row],[历史]]="","",SUMPRODUCT((表成绩单[考试日期]=表成绩单[[#This Row],[考试日期]])*(表成绩单[历史]&lt;9E+307)*(表成绩单[历史]&gt;表成绩单[[#This Row],[历史]]))+1)</f>
        <v>714</v>
      </c>
      <c r="W2250" s="29" cm="1">
        <f t="array" ref="W2250">IF(表成绩单[[#This Row],[总分]]="","",SUMPRODUCT((表成绩单[考试日期]=表成绩单[[#This Row],[考试日期]])*(表成绩单[总分]&lt;9E+307)*(表成绩单[总分]&gt;表成绩单[[#This Row],[总分]]))+1)</f>
        <v>644</v>
      </c>
    </row>
    <row r="2251" ht="28" customHeight="1" spans="4:23">
      <c r="D2251" s="31">
        <v>46030</v>
      </c>
      <c r="E2251" s="29">
        <v>19175985</v>
      </c>
      <c r="F2251" s="29" t="s">
        <v>59</v>
      </c>
      <c r="G2251" s="29" t="s">
        <v>710</v>
      </c>
      <c r="H2251" s="29">
        <v>87</v>
      </c>
      <c r="I2251" s="29">
        <v>55</v>
      </c>
      <c r="J2251" s="29">
        <v>49.5</v>
      </c>
      <c r="K2251" s="29">
        <v>44</v>
      </c>
      <c r="L2251" s="29">
        <v>63</v>
      </c>
      <c r="M2251" s="29">
        <v>64</v>
      </c>
      <c r="N2251" s="29">
        <v>55</v>
      </c>
      <c r="O2251" s="32">
        <v>417.5</v>
      </c>
      <c r="P2251" s="29" cm="1">
        <f t="array" ref="P2251">IF(表成绩单[[#This Row],[语文]]="","",SUMPRODUCT((表成绩单[考试日期]=表成绩单[[#This Row],[考试日期]])*(表成绩单[语文]&lt;9E+307)*(表成绩单[语文]&gt;表成绩单[[#This Row],[语文]]))+1)</f>
        <v>581</v>
      </c>
      <c r="Q2251" s="29" cm="1">
        <f t="array" ref="Q2251">IF(表成绩单[[#This Row],[数学]]="","",SUMPRODUCT((表成绩单[考试日期]=表成绩单[[#This Row],[考试日期]])*(表成绩单[数学]&lt;9E+307)*(表成绩单[数学]&gt;表成绩单[[#This Row],[数学]]))+1)</f>
        <v>706</v>
      </c>
      <c r="R2251" s="29" cm="1">
        <f t="array" ref="R2251">IF(表成绩单[[#This Row],[英语]]="","",SUMPRODUCT((表成绩单[考试日期]=表成绩单[[#This Row],[考试日期]])*(表成绩单[英语]&lt;9E+307)*(表成绩单[英语]&gt;表成绩单[[#This Row],[英语]]))+1)</f>
        <v>651</v>
      </c>
      <c r="S2251" s="29" cm="1">
        <f t="array" ref="S2251">IF(表成绩单[[#This Row],[物理]]="","",SUMPRODUCT((表成绩单[考试日期]=表成绩单[[#This Row],[考试日期]])*(表成绩单[物理]&lt;9E+307)*(表成绩单[物理]&gt;表成绩单[[#This Row],[物理]]))+1)</f>
        <v>665</v>
      </c>
      <c r="T2251" s="29" cm="1">
        <f t="array" ref="T2251">IF(表成绩单[[#This Row],[化学]]="","",SUMPRODUCT((表成绩单[考试日期]=表成绩单[[#This Row],[考试日期]])*(表成绩单[化学]&lt;9E+307)*(表成绩单[化学]&gt;表成绩单[[#This Row],[化学]]))+1)</f>
        <v>472</v>
      </c>
      <c r="U2251" s="29" cm="1">
        <f t="array" ref="U2251">IF(表成绩单[[#This Row],[政治]]="","",SUMPRODUCT((表成绩单[考试日期]=表成绩单[[#This Row],[考试日期]])*(表成绩单[政治]&lt;9E+307)*(表成绩单[政治]&gt;表成绩单[[#This Row],[政治]]))+1)</f>
        <v>457</v>
      </c>
      <c r="V2251" s="29" cm="1">
        <f t="array" ref="V2251">IF(表成绩单[[#This Row],[历史]]="","",SUMPRODUCT((表成绩单[考试日期]=表成绩单[[#This Row],[考试日期]])*(表成绩单[历史]&lt;9E+307)*(表成绩单[历史]&gt;表成绩单[[#This Row],[历史]]))+1)</f>
        <v>662</v>
      </c>
      <c r="W2251" s="29" cm="1">
        <f t="array" ref="W2251">IF(表成绩单[[#This Row],[总分]]="","",SUMPRODUCT((表成绩单[考试日期]=表成绩单[[#This Row],[考试日期]])*(表成绩单[总分]&lt;9E+307)*(表成绩单[总分]&gt;表成绩单[[#This Row],[总分]]))+1)</f>
        <v>645</v>
      </c>
    </row>
    <row r="2252" ht="28" customHeight="1" spans="4:23">
      <c r="D2252" s="31">
        <v>46030</v>
      </c>
      <c r="E2252" s="29">
        <v>19176001</v>
      </c>
      <c r="F2252" s="29" t="s">
        <v>59</v>
      </c>
      <c r="G2252" s="29" t="s">
        <v>750</v>
      </c>
      <c r="H2252" s="29">
        <v>93</v>
      </c>
      <c r="I2252" s="29">
        <v>53</v>
      </c>
      <c r="J2252" s="29">
        <v>46.5</v>
      </c>
      <c r="K2252" s="29">
        <v>49</v>
      </c>
      <c r="L2252" s="29">
        <v>53</v>
      </c>
      <c r="M2252" s="29">
        <v>61</v>
      </c>
      <c r="N2252" s="29">
        <v>62</v>
      </c>
      <c r="O2252" s="32">
        <v>417.5</v>
      </c>
      <c r="P2252" s="29" cm="1">
        <f t="array" ref="P2252">IF(表成绩单[[#This Row],[语文]]="","",SUMPRODUCT((表成绩单[考试日期]=表成绩单[[#This Row],[考试日期]])*(表成绩单[语文]&lt;9E+307)*(表成绩单[语文]&gt;表成绩单[[#This Row],[语文]]))+1)</f>
        <v>412</v>
      </c>
      <c r="Q2252" s="29" cm="1">
        <f t="array" ref="Q2252">IF(表成绩单[[#This Row],[数学]]="","",SUMPRODUCT((表成绩单[考试日期]=表成绩单[[#This Row],[考试日期]])*(表成绩单[数学]&lt;9E+307)*(表成绩单[数学]&gt;表成绩单[[#This Row],[数学]]))+1)</f>
        <v>716</v>
      </c>
      <c r="R2252" s="29" cm="1">
        <f t="array" ref="R2252">IF(表成绩单[[#This Row],[英语]]="","",SUMPRODUCT((表成绩单[考试日期]=表成绩单[[#This Row],[考试日期]])*(表成绩单[英语]&lt;9E+307)*(表成绩单[英语]&gt;表成绩单[[#This Row],[英语]]))+1)</f>
        <v>678</v>
      </c>
      <c r="S2252" s="29" cm="1">
        <f t="array" ref="S2252">IF(表成绩单[[#This Row],[物理]]="","",SUMPRODUCT((表成绩单[考试日期]=表成绩单[[#This Row],[考试日期]])*(表成绩单[物理]&lt;9E+307)*(表成绩单[物理]&gt;表成绩单[[#This Row],[物理]]))+1)</f>
        <v>619</v>
      </c>
      <c r="T2252" s="29" cm="1">
        <f t="array" ref="T2252">IF(表成绩单[[#This Row],[化学]]="","",SUMPRODUCT((表成绩单[考试日期]=表成绩单[[#This Row],[考试日期]])*(表成绩单[化学]&lt;9E+307)*(表成绩单[化学]&gt;表成绩单[[#This Row],[化学]]))+1)</f>
        <v>623</v>
      </c>
      <c r="U2252" s="29" cm="1">
        <f t="array" ref="U2252">IF(表成绩单[[#This Row],[政治]]="","",SUMPRODUCT((表成绩单[考试日期]=表成绩单[[#This Row],[考试日期]])*(表成绩单[政治]&lt;9E+307)*(表成绩单[政治]&gt;表成绩单[[#This Row],[政治]]))+1)</f>
        <v>530</v>
      </c>
      <c r="V2252" s="29" cm="1">
        <f t="array" ref="V2252">IF(表成绩单[[#This Row],[历史]]="","",SUMPRODUCT((表成绩单[考试日期]=表成绩单[[#This Row],[考试日期]])*(表成绩单[历史]&lt;9E+307)*(表成绩单[历史]&gt;表成绩单[[#This Row],[历史]]))+1)</f>
        <v>545</v>
      </c>
      <c r="W2252" s="29" cm="1">
        <f t="array" ref="W2252">IF(表成绩单[[#This Row],[总分]]="","",SUMPRODUCT((表成绩单[考试日期]=表成绩单[[#This Row],[考试日期]])*(表成绩单[总分]&lt;9E+307)*(表成绩单[总分]&gt;表成绩单[[#This Row],[总分]]))+1)</f>
        <v>645</v>
      </c>
    </row>
    <row r="2253" ht="28" customHeight="1" spans="4:23">
      <c r="D2253" s="31">
        <v>46030</v>
      </c>
      <c r="E2253" s="29">
        <v>19173785</v>
      </c>
      <c r="F2253" s="29" t="s">
        <v>65</v>
      </c>
      <c r="G2253" s="29" t="s">
        <v>715</v>
      </c>
      <c r="H2253" s="29">
        <v>82</v>
      </c>
      <c r="I2253" s="29">
        <v>56</v>
      </c>
      <c r="J2253" s="29">
        <v>72.5</v>
      </c>
      <c r="K2253" s="29">
        <v>41</v>
      </c>
      <c r="L2253" s="29">
        <v>46</v>
      </c>
      <c r="M2253" s="29">
        <v>53</v>
      </c>
      <c r="N2253" s="29">
        <v>66</v>
      </c>
      <c r="O2253" s="32">
        <v>416.5</v>
      </c>
      <c r="P2253" s="29" cm="1">
        <f t="array" ref="P2253">IF(表成绩单[[#This Row],[语文]]="","",SUMPRODUCT((表成绩单[考试日期]=表成绩单[[#This Row],[考试日期]])*(表成绩单[语文]&lt;9E+307)*(表成绩单[语文]&gt;表成绩单[[#This Row],[语文]]))+1)</f>
        <v>655</v>
      </c>
      <c r="Q2253" s="29" cm="1">
        <f t="array" ref="Q2253">IF(表成绩单[[#This Row],[数学]]="","",SUMPRODUCT((表成绩单[考试日期]=表成绩单[[#This Row],[考试日期]])*(表成绩单[数学]&lt;9E+307)*(表成绩单[数学]&gt;表成绩单[[#This Row],[数学]]))+1)</f>
        <v>698</v>
      </c>
      <c r="R2253" s="29" cm="1">
        <f t="array" ref="R2253">IF(表成绩单[[#This Row],[英语]]="","",SUMPRODUCT((表成绩单[考试日期]=表成绩单[[#This Row],[考试日期]])*(表成绩单[英语]&lt;9E+307)*(表成绩单[英语]&gt;表成绩单[[#This Row],[英语]]))+1)</f>
        <v>242</v>
      </c>
      <c r="S2253" s="29" cm="1">
        <f t="array" ref="S2253">IF(表成绩单[[#This Row],[物理]]="","",SUMPRODUCT((表成绩单[考试日期]=表成绩单[[#This Row],[考试日期]])*(表成绩单[物理]&lt;9E+307)*(表成绩单[物理]&gt;表成绩单[[#This Row],[物理]]))+1)</f>
        <v>687</v>
      </c>
      <c r="T2253" s="29" cm="1">
        <f t="array" ref="T2253">IF(表成绩单[[#This Row],[化学]]="","",SUMPRODUCT((表成绩单[考试日期]=表成绩单[[#This Row],[考试日期]])*(表成绩单[化学]&lt;9E+307)*(表成绩单[化学]&gt;表成绩单[[#This Row],[化学]]))+1)</f>
        <v>704</v>
      </c>
      <c r="U2253" s="29" cm="1">
        <f t="array" ref="U2253">IF(表成绩单[[#This Row],[政治]]="","",SUMPRODUCT((表成绩单[考试日期]=表成绩单[[#This Row],[考试日期]])*(表成绩单[政治]&lt;9E+307)*(表成绩单[政治]&gt;表成绩单[[#This Row],[政治]]))+1)</f>
        <v>630</v>
      </c>
      <c r="V2253" s="29" cm="1">
        <f t="array" ref="V2253">IF(表成绩单[[#This Row],[历史]]="","",SUMPRODUCT((表成绩单[考试日期]=表成绩单[[#This Row],[考试日期]])*(表成绩单[历史]&lt;9E+307)*(表成绩单[历史]&gt;表成绩单[[#This Row],[历史]]))+1)</f>
        <v>451</v>
      </c>
      <c r="W2253" s="29" cm="1">
        <f t="array" ref="W2253">IF(表成绩单[[#This Row],[总分]]="","",SUMPRODUCT((表成绩单[考试日期]=表成绩单[[#This Row],[考试日期]])*(表成绩单[总分]&lt;9E+307)*(表成绩单[总分]&gt;表成绩单[[#This Row],[总分]]))+1)</f>
        <v>647</v>
      </c>
    </row>
    <row r="2254" ht="28" customHeight="1" spans="4:23">
      <c r="D2254" s="31">
        <v>46030</v>
      </c>
      <c r="E2254" s="29">
        <v>19178583</v>
      </c>
      <c r="F2254" s="29" t="s">
        <v>64</v>
      </c>
      <c r="G2254" s="29" t="s">
        <v>687</v>
      </c>
      <c r="H2254" s="29">
        <v>92</v>
      </c>
      <c r="I2254" s="29">
        <v>63</v>
      </c>
      <c r="J2254" s="29">
        <v>43</v>
      </c>
      <c r="K2254" s="29">
        <v>44</v>
      </c>
      <c r="L2254" s="29">
        <v>47</v>
      </c>
      <c r="M2254" s="29">
        <v>61</v>
      </c>
      <c r="N2254" s="29">
        <v>66</v>
      </c>
      <c r="O2254" s="32">
        <v>416</v>
      </c>
      <c r="P2254" s="29" cm="1">
        <f t="array" ref="P2254">IF(表成绩单[[#This Row],[语文]]="","",SUMPRODUCT((表成绩单[考试日期]=表成绩单[[#This Row],[考试日期]])*(表成绩单[语文]&lt;9E+307)*(表成绩单[语文]&gt;表成绩单[[#This Row],[语文]]))+1)</f>
        <v>444</v>
      </c>
      <c r="Q2254" s="29" cm="1">
        <f t="array" ref="Q2254">IF(表成绩单[[#This Row],[数学]]="","",SUMPRODUCT((表成绩单[考试日期]=表成绩单[[#This Row],[考试日期]])*(表成绩单[数学]&lt;9E+307)*(表成绩单[数学]&gt;表成绩单[[#This Row],[数学]]))+1)</f>
        <v>655</v>
      </c>
      <c r="R2254" s="29" cm="1">
        <f t="array" ref="R2254">IF(表成绩单[[#This Row],[英语]]="","",SUMPRODUCT((表成绩单[考试日期]=表成绩单[[#This Row],[考试日期]])*(表成绩单[英语]&lt;9E+307)*(表成绩单[英语]&gt;表成绩单[[#This Row],[英语]]))+1)</f>
        <v>704</v>
      </c>
      <c r="S2254" s="29" cm="1">
        <f t="array" ref="S2254">IF(表成绩单[[#This Row],[物理]]="","",SUMPRODUCT((表成绩单[考试日期]=表成绩单[[#This Row],[考试日期]])*(表成绩单[物理]&lt;9E+307)*(表成绩单[物理]&gt;表成绩单[[#This Row],[物理]]))+1)</f>
        <v>665</v>
      </c>
      <c r="T2254" s="29" cm="1">
        <f t="array" ref="T2254">IF(表成绩单[[#This Row],[化学]]="","",SUMPRODUCT((表成绩单[考试日期]=表成绩单[[#This Row],[考试日期]])*(表成绩单[化学]&lt;9E+307)*(表成绩单[化学]&gt;表成绩单[[#This Row],[化学]]))+1)</f>
        <v>694</v>
      </c>
      <c r="U2254" s="29" cm="1">
        <f t="array" ref="U2254">IF(表成绩单[[#This Row],[政治]]="","",SUMPRODUCT((表成绩单[考试日期]=表成绩单[[#This Row],[考试日期]])*(表成绩单[政治]&lt;9E+307)*(表成绩单[政治]&gt;表成绩单[[#This Row],[政治]]))+1)</f>
        <v>530</v>
      </c>
      <c r="V2254" s="29" cm="1">
        <f t="array" ref="V2254">IF(表成绩单[[#This Row],[历史]]="","",SUMPRODUCT((表成绩单[考试日期]=表成绩单[[#This Row],[考试日期]])*(表成绩单[历史]&lt;9E+307)*(表成绩单[历史]&gt;表成绩单[[#This Row],[历史]]))+1)</f>
        <v>451</v>
      </c>
      <c r="W2254" s="29" cm="1">
        <f t="array" ref="W2254">IF(表成绩单[[#This Row],[总分]]="","",SUMPRODUCT((表成绩单[考试日期]=表成绩单[[#This Row],[考试日期]])*(表成绩单[总分]&lt;9E+307)*(表成绩单[总分]&gt;表成绩单[[#This Row],[总分]]))+1)</f>
        <v>648</v>
      </c>
    </row>
    <row r="2255" ht="28" customHeight="1" spans="4:23">
      <c r="D2255" s="31">
        <v>46030</v>
      </c>
      <c r="E2255" s="29">
        <v>19173776</v>
      </c>
      <c r="F2255" s="29" t="s">
        <v>65</v>
      </c>
      <c r="G2255" s="29" t="s">
        <v>673</v>
      </c>
      <c r="H2255" s="29">
        <v>92</v>
      </c>
      <c r="I2255" s="29">
        <v>55</v>
      </c>
      <c r="J2255" s="29">
        <v>52</v>
      </c>
      <c r="K2255" s="29">
        <v>45</v>
      </c>
      <c r="L2255" s="29">
        <v>46</v>
      </c>
      <c r="M2255" s="29">
        <v>58</v>
      </c>
      <c r="N2255" s="29">
        <v>67</v>
      </c>
      <c r="O2255" s="32">
        <v>415</v>
      </c>
      <c r="P2255" s="29" cm="1">
        <f t="array" ref="P2255">IF(表成绩单[[#This Row],[语文]]="","",SUMPRODUCT((表成绩单[考试日期]=表成绩单[[#This Row],[考试日期]])*(表成绩单[语文]&lt;9E+307)*(表成绩单[语文]&gt;表成绩单[[#This Row],[语文]]))+1)</f>
        <v>444</v>
      </c>
      <c r="Q2255" s="29" cm="1">
        <f t="array" ref="Q2255">IF(表成绩单[[#This Row],[数学]]="","",SUMPRODUCT((表成绩单[考试日期]=表成绩单[[#This Row],[考试日期]])*(表成绩单[数学]&lt;9E+307)*(表成绩单[数学]&gt;表成绩单[[#This Row],[数学]]))+1)</f>
        <v>706</v>
      </c>
      <c r="R2255" s="29" cm="1">
        <f t="array" ref="R2255">IF(表成绩单[[#This Row],[英语]]="","",SUMPRODUCT((表成绩单[考试日期]=表成绩单[[#This Row],[考试日期]])*(表成绩单[英语]&lt;9E+307)*(表成绩单[英语]&gt;表成绩单[[#This Row],[英语]]))+1)</f>
        <v>624</v>
      </c>
      <c r="S2255" s="29" cm="1">
        <f t="array" ref="S2255">IF(表成绩单[[#This Row],[物理]]="","",SUMPRODUCT((表成绩单[考试日期]=表成绩单[[#This Row],[考试日期]])*(表成绩单[物理]&lt;9E+307)*(表成绩单[物理]&gt;表成绩单[[#This Row],[物理]]))+1)</f>
        <v>655</v>
      </c>
      <c r="T2255" s="29" cm="1">
        <f t="array" ref="T2255">IF(表成绩单[[#This Row],[化学]]="","",SUMPRODUCT((表成绩单[考试日期]=表成绩单[[#This Row],[考试日期]])*(表成绩单[化学]&lt;9E+307)*(表成绩单[化学]&gt;表成绩单[[#This Row],[化学]]))+1)</f>
        <v>704</v>
      </c>
      <c r="U2255" s="29" cm="1">
        <f t="array" ref="U2255">IF(表成绩单[[#This Row],[政治]]="","",SUMPRODUCT((表成绩单[考试日期]=表成绩单[[#This Row],[考试日期]])*(表成绩单[政治]&lt;9E+307)*(表成绩单[政治]&gt;表成绩单[[#This Row],[政治]]))+1)</f>
        <v>582</v>
      </c>
      <c r="V2255" s="29" cm="1">
        <f t="array" ref="V2255">IF(表成绩单[[#This Row],[历史]]="","",SUMPRODUCT((表成绩单[考试日期]=表成绩单[[#This Row],[考试日期]])*(表成绩单[历史]&lt;9E+307)*(表成绩单[历史]&gt;表成绩单[[#This Row],[历史]]))+1)</f>
        <v>415</v>
      </c>
      <c r="W2255" s="29" cm="1">
        <f t="array" ref="W2255">IF(表成绩单[[#This Row],[总分]]="","",SUMPRODUCT((表成绩单[考试日期]=表成绩单[[#This Row],[考试日期]])*(表成绩单[总分]&lt;9E+307)*(表成绩单[总分]&gt;表成绩单[[#This Row],[总分]]))+1)</f>
        <v>649</v>
      </c>
    </row>
    <row r="2256" ht="28" customHeight="1" spans="4:23">
      <c r="D2256" s="31">
        <v>46030</v>
      </c>
      <c r="E2256" s="29">
        <v>19173258</v>
      </c>
      <c r="F2256" s="29" t="s">
        <v>61</v>
      </c>
      <c r="G2256" s="29" t="s">
        <v>696</v>
      </c>
      <c r="H2256" s="29">
        <v>88</v>
      </c>
      <c r="I2256" s="29">
        <v>68</v>
      </c>
      <c r="J2256" s="29">
        <v>43.5</v>
      </c>
      <c r="K2256" s="29">
        <v>50</v>
      </c>
      <c r="L2256" s="29">
        <v>47</v>
      </c>
      <c r="M2256" s="29">
        <v>54</v>
      </c>
      <c r="N2256" s="29">
        <v>64</v>
      </c>
      <c r="O2256" s="32">
        <v>414.5</v>
      </c>
      <c r="P2256" s="29" cm="1">
        <f t="array" ref="P2256">IF(表成绩单[[#This Row],[语文]]="","",SUMPRODUCT((表成绩单[考试日期]=表成绩单[[#This Row],[考试日期]])*(表成绩单[语文]&lt;9E+307)*(表成绩单[语文]&gt;表成绩单[[#This Row],[语文]]))+1)</f>
        <v>562</v>
      </c>
      <c r="Q2256" s="29" cm="1">
        <f t="array" ref="Q2256">IF(表成绩单[[#This Row],[数学]]="","",SUMPRODUCT((表成绩单[考试日期]=表成绩单[[#This Row],[考试日期]])*(表成绩单[数学]&lt;9E+307)*(表成绩单[数学]&gt;表成绩单[[#This Row],[数学]]))+1)</f>
        <v>608</v>
      </c>
      <c r="R2256" s="29" cm="1">
        <f t="array" ref="R2256">IF(表成绩单[[#This Row],[英语]]="","",SUMPRODUCT((表成绩单[考试日期]=表成绩单[[#This Row],[考试日期]])*(表成绩单[英语]&lt;9E+307)*(表成绩单[英语]&gt;表成绩单[[#This Row],[英语]]))+1)</f>
        <v>701</v>
      </c>
      <c r="S2256" s="29" cm="1">
        <f t="array" ref="S2256">IF(表成绩单[[#This Row],[物理]]="","",SUMPRODUCT((表成绩单[考试日期]=表成绩单[[#This Row],[考试日期]])*(表成绩单[物理]&lt;9E+307)*(表成绩单[物理]&gt;表成绩单[[#This Row],[物理]]))+1)</f>
        <v>605</v>
      </c>
      <c r="T2256" s="29" cm="1">
        <f t="array" ref="T2256">IF(表成绩单[[#This Row],[化学]]="","",SUMPRODUCT((表成绩单[考试日期]=表成绩单[[#This Row],[考试日期]])*(表成绩单[化学]&lt;9E+307)*(表成绩单[化学]&gt;表成绩单[[#This Row],[化学]]))+1)</f>
        <v>694</v>
      </c>
      <c r="U2256" s="29" cm="1">
        <f t="array" ref="U2256">IF(表成绩单[[#This Row],[政治]]="","",SUMPRODUCT((表成绩单[考试日期]=表成绩单[[#This Row],[考试日期]])*(表成绩单[政治]&lt;9E+307)*(表成绩单[政治]&gt;表成绩单[[#This Row],[政治]]))+1)</f>
        <v>621</v>
      </c>
      <c r="V2256" s="29" cm="1">
        <f t="array" ref="V2256">IF(表成绩单[[#This Row],[历史]]="","",SUMPRODUCT((表成绩单[考试日期]=表成绩单[[#This Row],[考试日期]])*(表成绩单[历史]&lt;9E+307)*(表成绩单[历史]&gt;表成绩单[[#This Row],[历史]]))+1)</f>
        <v>509</v>
      </c>
      <c r="W2256" s="29" cm="1">
        <f t="array" ref="W2256">IF(表成绩单[[#This Row],[总分]]="","",SUMPRODUCT((表成绩单[考试日期]=表成绩单[[#This Row],[考试日期]])*(表成绩单[总分]&lt;9E+307)*(表成绩单[总分]&gt;表成绩单[[#This Row],[总分]]))+1)</f>
        <v>650</v>
      </c>
    </row>
    <row r="2257" ht="28" customHeight="1" spans="4:23">
      <c r="D2257" s="31">
        <v>46030</v>
      </c>
      <c r="E2257" s="29">
        <v>19177597</v>
      </c>
      <c r="F2257" s="29" t="s">
        <v>58</v>
      </c>
      <c r="G2257" s="29" t="s">
        <v>740</v>
      </c>
      <c r="H2257" s="29">
        <v>93</v>
      </c>
      <c r="I2257" s="29">
        <v>68</v>
      </c>
      <c r="J2257" s="29">
        <v>41</v>
      </c>
      <c r="K2257" s="29">
        <v>47</v>
      </c>
      <c r="L2257" s="29">
        <v>47</v>
      </c>
      <c r="M2257" s="29">
        <v>55</v>
      </c>
      <c r="N2257" s="29">
        <v>63</v>
      </c>
      <c r="O2257" s="32">
        <v>414</v>
      </c>
      <c r="P2257" s="29" cm="1">
        <f t="array" ref="P2257">IF(表成绩单[[#This Row],[语文]]="","",SUMPRODUCT((表成绩单[考试日期]=表成绩单[[#This Row],[考试日期]])*(表成绩单[语文]&lt;9E+307)*(表成绩单[语文]&gt;表成绩单[[#This Row],[语文]]))+1)</f>
        <v>412</v>
      </c>
      <c r="Q2257" s="29" cm="1">
        <f t="array" ref="Q2257">IF(表成绩单[[#This Row],[数学]]="","",SUMPRODUCT((表成绩单[考试日期]=表成绩单[[#This Row],[考试日期]])*(表成绩单[数学]&lt;9E+307)*(表成绩单[数学]&gt;表成绩单[[#This Row],[数学]]))+1)</f>
        <v>608</v>
      </c>
      <c r="R2257" s="29" cm="1">
        <f t="array" ref="R2257">IF(表成绩单[[#This Row],[英语]]="","",SUMPRODUCT((表成绩单[考试日期]=表成绩单[[#This Row],[考试日期]])*(表成绩单[英语]&lt;9E+307)*(表成绩单[英语]&gt;表成绩单[[#This Row],[英语]]))+1)</f>
        <v>715</v>
      </c>
      <c r="S2257" s="29" cm="1">
        <f t="array" ref="S2257">IF(表成绩单[[#This Row],[物理]]="","",SUMPRODUCT((表成绩单[考试日期]=表成绩单[[#This Row],[考试日期]])*(表成绩单[物理]&lt;9E+307)*(表成绩单[物理]&gt;表成绩单[[#This Row],[物理]]))+1)</f>
        <v>637</v>
      </c>
      <c r="T2257" s="29" cm="1">
        <f t="array" ref="T2257">IF(表成绩单[[#This Row],[化学]]="","",SUMPRODUCT((表成绩单[考试日期]=表成绩单[[#This Row],[考试日期]])*(表成绩单[化学]&lt;9E+307)*(表成绩单[化学]&gt;表成绩单[[#This Row],[化学]]))+1)</f>
        <v>694</v>
      </c>
      <c r="U2257" s="29" cm="1">
        <f t="array" ref="U2257">IF(表成绩单[[#This Row],[政治]]="","",SUMPRODUCT((表成绩单[考试日期]=表成绩单[[#This Row],[考试日期]])*(表成绩单[政治]&lt;9E+307)*(表成绩单[政治]&gt;表成绩单[[#This Row],[政治]]))+1)</f>
        <v>608</v>
      </c>
      <c r="V2257" s="29" cm="1">
        <f t="array" ref="V2257">IF(表成绩单[[#This Row],[历史]]="","",SUMPRODUCT((表成绩单[考试日期]=表成绩单[[#This Row],[考试日期]])*(表成绩单[历史]&lt;9E+307)*(表成绩单[历史]&gt;表成绩单[[#This Row],[历史]]))+1)</f>
        <v>521</v>
      </c>
      <c r="W2257" s="29" cm="1">
        <f t="array" ref="W2257">IF(表成绩单[[#This Row],[总分]]="","",SUMPRODUCT((表成绩单[考试日期]=表成绩单[[#This Row],[考试日期]])*(表成绩单[总分]&lt;9E+307)*(表成绩单[总分]&gt;表成绩单[[#This Row],[总分]]))+1)</f>
        <v>651</v>
      </c>
    </row>
    <row r="2258" ht="28" customHeight="1" spans="4:23">
      <c r="D2258" s="31">
        <v>46030</v>
      </c>
      <c r="E2258" s="29">
        <v>19175306</v>
      </c>
      <c r="F2258" s="29" t="s">
        <v>55</v>
      </c>
      <c r="G2258" s="29" t="s">
        <v>729</v>
      </c>
      <c r="H2258" s="29">
        <v>90</v>
      </c>
      <c r="I2258" s="29">
        <v>59</v>
      </c>
      <c r="J2258" s="29">
        <v>40.5</v>
      </c>
      <c r="K2258" s="29">
        <v>33</v>
      </c>
      <c r="L2258" s="29">
        <v>54</v>
      </c>
      <c r="M2258" s="29">
        <v>72</v>
      </c>
      <c r="N2258" s="29">
        <v>65</v>
      </c>
      <c r="O2258" s="32">
        <v>413.5</v>
      </c>
      <c r="P2258" s="29" cm="1">
        <f t="array" ref="P2258">IF(表成绩单[[#This Row],[语文]]="","",SUMPRODUCT((表成绩单[考试日期]=表成绩单[[#This Row],[考试日期]])*(表成绩单[语文]&lt;9E+307)*(表成绩单[语文]&gt;表成绩单[[#This Row],[语文]]))+1)</f>
        <v>509</v>
      </c>
      <c r="Q2258" s="29" cm="1">
        <f t="array" ref="Q2258">IF(表成绩单[[#This Row],[数学]]="","",SUMPRODUCT((表成绩单[考试日期]=表成绩单[[#This Row],[考试日期]])*(表成绩单[数学]&lt;9E+307)*(表成绩单[数学]&gt;表成绩单[[#This Row],[数学]]))+1)</f>
        <v>676</v>
      </c>
      <c r="R2258" s="29" cm="1">
        <f t="array" ref="R2258">IF(表成绩单[[#This Row],[英语]]="","",SUMPRODUCT((表成绩单[考试日期]=表成绩单[[#This Row],[考试日期]])*(表成绩单[英语]&lt;9E+307)*(表成绩单[英语]&gt;表成绩单[[#This Row],[英语]]))+1)</f>
        <v>719</v>
      </c>
      <c r="S2258" s="29" cm="1">
        <f t="array" ref="S2258">IF(表成绩单[[#This Row],[物理]]="","",SUMPRODUCT((表成绩单[考试日期]=表成绩单[[#This Row],[考试日期]])*(表成绩单[物理]&lt;9E+307)*(表成绩单[物理]&gt;表成绩单[[#This Row],[物理]]))+1)</f>
        <v>733</v>
      </c>
      <c r="T2258" s="29" cm="1">
        <f t="array" ref="T2258">IF(表成绩单[[#This Row],[化学]]="","",SUMPRODUCT((表成绩单[考试日期]=表成绩单[[#This Row],[考试日期]])*(表成绩单[化学]&lt;9E+307)*(表成绩单[化学]&gt;表成绩单[[#This Row],[化学]]))+1)</f>
        <v>609</v>
      </c>
      <c r="U2258" s="29" cm="1">
        <f t="array" ref="U2258">IF(表成绩单[[#This Row],[政治]]="","",SUMPRODUCT((表成绩单[考试日期]=表成绩单[[#This Row],[考试日期]])*(表成绩单[政治]&lt;9E+307)*(表成绩单[政治]&gt;表成绩单[[#This Row],[政治]]))+1)</f>
        <v>224</v>
      </c>
      <c r="V2258" s="29" cm="1">
        <f t="array" ref="V2258">IF(表成绩单[[#This Row],[历史]]="","",SUMPRODUCT((表成绩单[考试日期]=表成绩单[[#This Row],[考试日期]])*(表成绩单[历史]&lt;9E+307)*(表成绩单[历史]&gt;表成绩单[[#This Row],[历史]]))+1)</f>
        <v>471</v>
      </c>
      <c r="W2258" s="29" cm="1">
        <f t="array" ref="W2258">IF(表成绩单[[#This Row],[总分]]="","",SUMPRODUCT((表成绩单[考试日期]=表成绩单[[#This Row],[考试日期]])*(表成绩单[总分]&lt;9E+307)*(表成绩单[总分]&gt;表成绩单[[#This Row],[总分]]))+1)</f>
        <v>652</v>
      </c>
    </row>
    <row r="2259" ht="28" customHeight="1" spans="4:23">
      <c r="D2259" s="31">
        <v>46030</v>
      </c>
      <c r="E2259" s="29">
        <v>19176007</v>
      </c>
      <c r="F2259" s="29" t="s">
        <v>59</v>
      </c>
      <c r="G2259" s="29" t="s">
        <v>760</v>
      </c>
      <c r="H2259" s="29">
        <v>86</v>
      </c>
      <c r="I2259" s="29">
        <v>59</v>
      </c>
      <c r="J2259" s="29">
        <v>60.5</v>
      </c>
      <c r="K2259" s="29">
        <v>51</v>
      </c>
      <c r="L2259" s="29">
        <v>50</v>
      </c>
      <c r="M2259" s="29">
        <v>53</v>
      </c>
      <c r="N2259" s="29">
        <v>54</v>
      </c>
      <c r="O2259" s="32">
        <v>413.5</v>
      </c>
      <c r="P2259" s="29" cm="1">
        <f t="array" ref="P2259">IF(表成绩单[[#This Row],[语文]]="","",SUMPRODUCT((表成绩单[考试日期]=表成绩单[[#This Row],[考试日期]])*(表成绩单[语文]&lt;9E+307)*(表成绩单[语文]&gt;表成绩单[[#This Row],[语文]]))+1)</f>
        <v>601</v>
      </c>
      <c r="Q2259" s="29" cm="1">
        <f t="array" ref="Q2259">IF(表成绩单[[#This Row],[数学]]="","",SUMPRODUCT((表成绩单[考试日期]=表成绩单[[#This Row],[考试日期]])*(表成绩单[数学]&lt;9E+307)*(表成绩单[数学]&gt;表成绩单[[#This Row],[数学]]))+1)</f>
        <v>676</v>
      </c>
      <c r="R2259" s="29" cm="1">
        <f t="array" ref="R2259">IF(表成绩单[[#This Row],[英语]]="","",SUMPRODUCT((表成绩单[考试日期]=表成绩单[[#This Row],[考试日期]])*(表成绩单[英语]&lt;9E+307)*(表成绩单[英语]&gt;表成绩单[[#This Row],[英语]]))+1)</f>
        <v>520</v>
      </c>
      <c r="S2259" s="29" cm="1">
        <f t="array" ref="S2259">IF(表成绩单[[#This Row],[物理]]="","",SUMPRODUCT((表成绩单[考试日期]=表成绩单[[#This Row],[考试日期]])*(表成绩单[物理]&lt;9E+307)*(表成绩单[物理]&gt;表成绩单[[#This Row],[物理]]))+1)</f>
        <v>595</v>
      </c>
      <c r="T2259" s="29" cm="1">
        <f t="array" ref="T2259">IF(表成绩单[[#This Row],[化学]]="","",SUMPRODUCT((表成绩单[考试日期]=表成绩单[[#This Row],[考试日期]])*(表成绩单[化学]&lt;9E+307)*(表成绩单[化学]&gt;表成绩单[[#This Row],[化学]]))+1)</f>
        <v>662</v>
      </c>
      <c r="U2259" s="29" cm="1">
        <f t="array" ref="U2259">IF(表成绩单[[#This Row],[政治]]="","",SUMPRODUCT((表成绩单[考试日期]=表成绩单[[#This Row],[考试日期]])*(表成绩单[政治]&lt;9E+307)*(表成绩单[政治]&gt;表成绩单[[#This Row],[政治]]))+1)</f>
        <v>630</v>
      </c>
      <c r="V2259" s="29" cm="1">
        <f t="array" ref="V2259">IF(表成绩单[[#This Row],[历史]]="","",SUMPRODUCT((表成绩单[考试日期]=表成绩单[[#This Row],[考试日期]])*(表成绩单[历史]&lt;9E+307)*(表成绩单[历史]&gt;表成绩单[[#This Row],[历史]]))+1)</f>
        <v>682</v>
      </c>
      <c r="W2259" s="29" cm="1">
        <f t="array" ref="W2259">IF(表成绩单[[#This Row],[总分]]="","",SUMPRODUCT((表成绩单[考试日期]=表成绩单[[#This Row],[考试日期]])*(表成绩单[总分]&lt;9E+307)*(表成绩单[总分]&gt;表成绩单[[#This Row],[总分]]))+1)</f>
        <v>652</v>
      </c>
    </row>
    <row r="2260" ht="28" customHeight="1" spans="4:23">
      <c r="D2260" s="31">
        <v>46030</v>
      </c>
      <c r="E2260" s="29">
        <v>19177602</v>
      </c>
      <c r="F2260" s="29" t="s">
        <v>58</v>
      </c>
      <c r="G2260" s="29" t="s">
        <v>704</v>
      </c>
      <c r="H2260" s="29">
        <v>82</v>
      </c>
      <c r="I2260" s="29">
        <v>64</v>
      </c>
      <c r="J2260" s="29">
        <v>61.5</v>
      </c>
      <c r="K2260" s="29">
        <v>37</v>
      </c>
      <c r="L2260" s="29">
        <v>60</v>
      </c>
      <c r="M2260" s="29">
        <v>57</v>
      </c>
      <c r="N2260" s="29">
        <v>50</v>
      </c>
      <c r="O2260" s="32">
        <v>411.5</v>
      </c>
      <c r="P2260" s="29" cm="1">
        <f t="array" ref="P2260">IF(表成绩单[[#This Row],[语文]]="","",SUMPRODUCT((表成绩单[考试日期]=表成绩单[[#This Row],[考试日期]])*(表成绩单[语文]&lt;9E+307)*(表成绩单[语文]&gt;表成绩单[[#This Row],[语文]]))+1)</f>
        <v>655</v>
      </c>
      <c r="Q2260" s="29" cm="1">
        <f t="array" ref="Q2260">IF(表成绩单[[#This Row],[数学]]="","",SUMPRODUCT((表成绩单[考试日期]=表成绩单[[#This Row],[考试日期]])*(表成绩单[数学]&lt;9E+307)*(表成绩单[数学]&gt;表成绩单[[#This Row],[数学]]))+1)</f>
        <v>648</v>
      </c>
      <c r="R2260" s="29" cm="1">
        <f t="array" ref="R2260">IF(表成绩单[[#This Row],[英语]]="","",SUMPRODUCT((表成绩单[考试日期]=表成绩单[[#This Row],[考试日期]])*(表成绩单[英语]&lt;9E+307)*(表成绩单[英语]&gt;表成绩单[[#This Row],[英语]]))+1)</f>
        <v>495</v>
      </c>
      <c r="S2260" s="29" cm="1">
        <f t="array" ref="S2260">IF(表成绩单[[#This Row],[物理]]="","",SUMPRODUCT((表成绩单[考试日期]=表成绩单[[#This Row],[考试日期]])*(表成绩单[物理]&lt;9E+307)*(表成绩单[物理]&gt;表成绩单[[#This Row],[物理]]))+1)</f>
        <v>708</v>
      </c>
      <c r="T2260" s="29" cm="1">
        <f t="array" ref="T2260">IF(表成绩单[[#This Row],[化学]]="","",SUMPRODUCT((表成绩单[考试日期]=表成绩单[[#This Row],[考试日期]])*(表成绩单[化学]&lt;9E+307)*(表成绩单[化学]&gt;表成绩单[[#This Row],[化学]]))+1)</f>
        <v>525</v>
      </c>
      <c r="U2260" s="29" cm="1">
        <f t="array" ref="U2260">IF(表成绩单[[#This Row],[政治]]="","",SUMPRODUCT((表成绩单[考试日期]=表成绩单[[#This Row],[考试日期]])*(表成绩单[政治]&lt;9E+307)*(表成绩单[政治]&gt;表成绩单[[#This Row],[政治]]))+1)</f>
        <v>591</v>
      </c>
      <c r="V2260" s="29" cm="1">
        <f t="array" ref="V2260">IF(表成绩单[[#This Row],[历史]]="","",SUMPRODUCT((表成绩单[考试日期]=表成绩单[[#This Row],[考试日期]])*(表成绩单[历史]&lt;9E+307)*(表成绩单[历史]&gt;表成绩单[[#This Row],[历史]]))+1)</f>
        <v>723</v>
      </c>
      <c r="W2260" s="29" cm="1">
        <f t="array" ref="W2260">IF(表成绩单[[#This Row],[总分]]="","",SUMPRODUCT((表成绩单[考试日期]=表成绩单[[#This Row],[考试日期]])*(表成绩单[总分]&lt;9E+307)*(表成绩单[总分]&gt;表成绩单[[#This Row],[总分]]))+1)</f>
        <v>654</v>
      </c>
    </row>
    <row r="2261" ht="28" customHeight="1" spans="4:23">
      <c r="D2261" s="31">
        <v>46030</v>
      </c>
      <c r="E2261" s="29">
        <v>19173278</v>
      </c>
      <c r="F2261" s="29" t="s">
        <v>61</v>
      </c>
      <c r="G2261" s="29" t="s">
        <v>780</v>
      </c>
      <c r="H2261" s="29">
        <v>74</v>
      </c>
      <c r="I2261" s="29">
        <v>78</v>
      </c>
      <c r="J2261" s="29">
        <v>40.5</v>
      </c>
      <c r="K2261" s="29">
        <v>59</v>
      </c>
      <c r="L2261" s="29">
        <v>55</v>
      </c>
      <c r="M2261" s="29">
        <v>52</v>
      </c>
      <c r="N2261" s="29">
        <v>52</v>
      </c>
      <c r="O2261" s="32">
        <v>410.5</v>
      </c>
      <c r="P2261" s="29" cm="1">
        <f t="array" ref="P2261">IF(表成绩单[[#This Row],[语文]]="","",SUMPRODUCT((表成绩单[考试日期]=表成绩单[[#This Row],[考试日期]])*(表成绩单[语文]&lt;9E+307)*(表成绩单[语文]&gt;表成绩单[[#This Row],[语文]]))+1)</f>
        <v>721</v>
      </c>
      <c r="Q2261" s="29" cm="1">
        <f t="array" ref="Q2261">IF(表成绩单[[#This Row],[数学]]="","",SUMPRODUCT((表成绩单[考试日期]=表成绩单[[#This Row],[考试日期]])*(表成绩单[数学]&lt;9E+307)*(表成绩单[数学]&gt;表成绩单[[#This Row],[数学]]))+1)</f>
        <v>450</v>
      </c>
      <c r="R2261" s="29" cm="1">
        <f t="array" ref="R2261">IF(表成绩单[[#This Row],[英语]]="","",SUMPRODUCT((表成绩单[考试日期]=表成绩单[[#This Row],[考试日期]])*(表成绩单[英语]&lt;9E+307)*(表成绩单[英语]&gt;表成绩单[[#This Row],[英语]]))+1)</f>
        <v>719</v>
      </c>
      <c r="S2261" s="29" cm="1">
        <f t="array" ref="S2261">IF(表成绩单[[#This Row],[物理]]="","",SUMPRODUCT((表成绩单[考试日期]=表成绩单[[#This Row],[考试日期]])*(表成绩单[物理]&lt;9E+307)*(表成绩单[物理]&gt;表成绩单[[#This Row],[物理]]))+1)</f>
        <v>514</v>
      </c>
      <c r="T2261" s="29" cm="1">
        <f t="array" ref="T2261">IF(表成绩单[[#This Row],[化学]]="","",SUMPRODUCT((表成绩单[考试日期]=表成绩单[[#This Row],[考试日期]])*(表成绩单[化学]&lt;9E+307)*(表成绩单[化学]&gt;表成绩单[[#This Row],[化学]]))+1)</f>
        <v>593</v>
      </c>
      <c r="U2261" s="29" cm="1">
        <f t="array" ref="U2261">IF(表成绩单[[#This Row],[政治]]="","",SUMPRODUCT((表成绩单[考试日期]=表成绩单[[#This Row],[考试日期]])*(表成绩单[政治]&lt;9E+307)*(表成绩单[政治]&gt;表成绩单[[#This Row],[政治]]))+1)</f>
        <v>643</v>
      </c>
      <c r="V2261" s="29" cm="1">
        <f t="array" ref="V2261">IF(表成绩单[[#This Row],[历史]]="","",SUMPRODUCT((表成绩单[考试日期]=表成绩单[[#This Row],[考试日期]])*(表成绩单[历史]&lt;9E+307)*(表成绩单[历史]&gt;表成绩单[[#This Row],[历史]]))+1)</f>
        <v>701</v>
      </c>
      <c r="W2261" s="29" cm="1">
        <f t="array" ref="W2261">IF(表成绩单[[#This Row],[总分]]="","",SUMPRODUCT((表成绩单[考试日期]=表成绩单[[#This Row],[考试日期]])*(表成绩单[总分]&lt;9E+307)*(表成绩单[总分]&gt;表成绩单[[#This Row],[总分]]))+1)</f>
        <v>655</v>
      </c>
    </row>
    <row r="2262" ht="28" customHeight="1" spans="4:23">
      <c r="D2262" s="31">
        <v>46030</v>
      </c>
      <c r="E2262" s="29">
        <v>19176009</v>
      </c>
      <c r="F2262" s="29" t="s">
        <v>59</v>
      </c>
      <c r="G2262" s="29" t="s">
        <v>723</v>
      </c>
      <c r="H2262" s="29">
        <v>88</v>
      </c>
      <c r="I2262" s="29">
        <v>54</v>
      </c>
      <c r="J2262" s="29">
        <v>46</v>
      </c>
      <c r="K2262" s="29">
        <v>47</v>
      </c>
      <c r="L2262" s="29">
        <v>51</v>
      </c>
      <c r="M2262" s="29">
        <v>66</v>
      </c>
      <c r="N2262" s="29">
        <v>58</v>
      </c>
      <c r="O2262" s="32">
        <v>410</v>
      </c>
      <c r="P2262" s="29" cm="1">
        <f t="array" ref="P2262">IF(表成绩单[[#This Row],[语文]]="","",SUMPRODUCT((表成绩单[考试日期]=表成绩单[[#This Row],[考试日期]])*(表成绩单[语文]&lt;9E+307)*(表成绩单[语文]&gt;表成绩单[[#This Row],[语文]]))+1)</f>
        <v>562</v>
      </c>
      <c r="Q2262" s="29" cm="1">
        <f t="array" ref="Q2262">IF(表成绩单[[#This Row],[数学]]="","",SUMPRODUCT((表成绩单[考试日期]=表成绩单[[#This Row],[考试日期]])*(表成绩单[数学]&lt;9E+307)*(表成绩单[数学]&gt;表成绩单[[#This Row],[数学]]))+1)</f>
        <v>711</v>
      </c>
      <c r="R2262" s="29" cm="1">
        <f t="array" ref="R2262">IF(表成绩单[[#This Row],[英语]]="","",SUMPRODUCT((表成绩单[考试日期]=表成绩单[[#This Row],[考试日期]])*(表成绩单[英语]&lt;9E+307)*(表成绩单[英语]&gt;表成绩单[[#This Row],[英语]]))+1)</f>
        <v>682</v>
      </c>
      <c r="S2262" s="29" cm="1">
        <f t="array" ref="S2262">IF(表成绩单[[#This Row],[物理]]="","",SUMPRODUCT((表成绩单[考试日期]=表成绩单[[#This Row],[考试日期]])*(表成绩单[物理]&lt;9E+307)*(表成绩单[物理]&gt;表成绩单[[#This Row],[物理]]))+1)</f>
        <v>637</v>
      </c>
      <c r="T2262" s="29" cm="1">
        <f t="array" ref="T2262">IF(表成绩单[[#This Row],[化学]]="","",SUMPRODUCT((表成绩单[考试日期]=表成绩单[[#This Row],[考试日期]])*(表成绩单[化学]&lt;9E+307)*(表成绩单[化学]&gt;表成绩单[[#This Row],[化学]]))+1)</f>
        <v>648</v>
      </c>
      <c r="U2262" s="29" cm="1">
        <f t="array" ref="U2262">IF(表成绩单[[#This Row],[政治]]="","",SUMPRODUCT((表成绩单[考试日期]=表成绩单[[#This Row],[考试日期]])*(表成绩单[政治]&lt;9E+307)*(表成绩单[政治]&gt;表成绩单[[#This Row],[政治]]))+1)</f>
        <v>397</v>
      </c>
      <c r="V2262" s="29" cm="1">
        <f t="array" ref="V2262">IF(表成绩单[[#This Row],[历史]]="","",SUMPRODUCT((表成绩单[考试日期]=表成绩单[[#This Row],[考试日期]])*(表成绩单[历史]&lt;9E+307)*(表成绩单[历史]&gt;表成绩单[[#This Row],[历史]]))+1)</f>
        <v>620</v>
      </c>
      <c r="W2262" s="29" cm="1">
        <f t="array" ref="W2262">IF(表成绩单[[#This Row],[总分]]="","",SUMPRODUCT((表成绩单[考试日期]=表成绩单[[#This Row],[考试日期]])*(表成绩单[总分]&lt;9E+307)*(表成绩单[总分]&gt;表成绩单[[#This Row],[总分]]))+1)</f>
        <v>656</v>
      </c>
    </row>
    <row r="2263" ht="28" customHeight="1" spans="4:23">
      <c r="D2263" s="31">
        <v>46030</v>
      </c>
      <c r="E2263" s="29">
        <v>19175615</v>
      </c>
      <c r="F2263" s="29" t="s">
        <v>57</v>
      </c>
      <c r="G2263" s="29" t="s">
        <v>763</v>
      </c>
      <c r="H2263" s="29">
        <v>85</v>
      </c>
      <c r="I2263" s="29">
        <v>66</v>
      </c>
      <c r="J2263" s="29">
        <v>55</v>
      </c>
      <c r="K2263" s="29">
        <v>47</v>
      </c>
      <c r="L2263" s="29">
        <v>45</v>
      </c>
      <c r="M2263" s="29">
        <v>52</v>
      </c>
      <c r="N2263" s="29">
        <v>58</v>
      </c>
      <c r="O2263" s="32">
        <v>408</v>
      </c>
      <c r="P2263" s="29" cm="1">
        <f t="array" ref="P2263">IF(表成绩单[[#This Row],[语文]]="","",SUMPRODUCT((表成绩单[考试日期]=表成绩单[[#This Row],[考试日期]])*(表成绩单[语文]&lt;9E+307)*(表成绩单[语文]&gt;表成绩单[[#This Row],[语文]]))+1)</f>
        <v>619</v>
      </c>
      <c r="Q2263" s="29" cm="1">
        <f t="array" ref="Q2263">IF(表成绩单[[#This Row],[数学]]="","",SUMPRODUCT((表成绩单[考试日期]=表成绩单[[#This Row],[考试日期]])*(表成绩单[数学]&lt;9E+307)*(表成绩单[数学]&gt;表成绩单[[#This Row],[数学]]))+1)</f>
        <v>631</v>
      </c>
      <c r="R2263" s="29" cm="1">
        <f t="array" ref="R2263">IF(表成绩单[[#This Row],[英语]]="","",SUMPRODUCT((表成绩单[考试日期]=表成绩单[[#This Row],[考试日期]])*(表成绩单[英语]&lt;9E+307)*(表成绩单[英语]&gt;表成绩单[[#This Row],[英语]]))+1)</f>
        <v>596</v>
      </c>
      <c r="S2263" s="29" cm="1">
        <f t="array" ref="S2263">IF(表成绩单[[#This Row],[物理]]="","",SUMPRODUCT((表成绩单[考试日期]=表成绩单[[#This Row],[考试日期]])*(表成绩单[物理]&lt;9E+307)*(表成绩单[物理]&gt;表成绩单[[#This Row],[物理]]))+1)</f>
        <v>637</v>
      </c>
      <c r="T2263" s="29" cm="1">
        <f t="array" ref="T2263">IF(表成绩单[[#This Row],[化学]]="","",SUMPRODUCT((表成绩单[考试日期]=表成绩单[[#This Row],[考试日期]])*(表成绩单[化学]&lt;9E+307)*(表成绩单[化学]&gt;表成绩单[[#This Row],[化学]]))+1)</f>
        <v>711</v>
      </c>
      <c r="U2263" s="29" cm="1">
        <f t="array" ref="U2263">IF(表成绩单[[#This Row],[政治]]="","",SUMPRODUCT((表成绩单[考试日期]=表成绩单[[#This Row],[考试日期]])*(表成绩单[政治]&lt;9E+307)*(表成绩单[政治]&gt;表成绩单[[#This Row],[政治]]))+1)</f>
        <v>643</v>
      </c>
      <c r="V2263" s="29" cm="1">
        <f t="array" ref="V2263">IF(表成绩单[[#This Row],[历史]]="","",SUMPRODUCT((表成绩单[考试日期]=表成绩单[[#This Row],[考试日期]])*(表成绩单[历史]&lt;9E+307)*(表成绩单[历史]&gt;表成绩单[[#This Row],[历史]]))+1)</f>
        <v>620</v>
      </c>
      <c r="W2263" s="29" cm="1">
        <f t="array" ref="W2263">IF(表成绩单[[#This Row],[总分]]="","",SUMPRODUCT((表成绩单[考试日期]=表成绩单[[#This Row],[考试日期]])*(表成绩单[总分]&lt;9E+307)*(表成绩单[总分]&gt;表成绩单[[#This Row],[总分]]))+1)</f>
        <v>657</v>
      </c>
    </row>
    <row r="2264" ht="28" customHeight="1" spans="4:23">
      <c r="D2264" s="31">
        <v>46030</v>
      </c>
      <c r="E2264" s="29">
        <v>19175610</v>
      </c>
      <c r="F2264" s="29" t="s">
        <v>57</v>
      </c>
      <c r="G2264" s="29" t="s">
        <v>596</v>
      </c>
      <c r="H2264" s="29">
        <v>90</v>
      </c>
      <c r="I2264" s="29">
        <v>68</v>
      </c>
      <c r="J2264" s="29">
        <v>53.5</v>
      </c>
      <c r="K2264" s="29">
        <v>42</v>
      </c>
      <c r="L2264" s="29">
        <v>50</v>
      </c>
      <c r="M2264" s="29">
        <v>49</v>
      </c>
      <c r="N2264" s="29">
        <v>55</v>
      </c>
      <c r="O2264" s="32">
        <v>407.5</v>
      </c>
      <c r="P2264" s="29" cm="1">
        <f t="array" ref="P2264">IF(表成绩单[[#This Row],[语文]]="","",SUMPRODUCT((表成绩单[考试日期]=表成绩单[[#This Row],[考试日期]])*(表成绩单[语文]&lt;9E+307)*(表成绩单[语文]&gt;表成绩单[[#This Row],[语文]]))+1)</f>
        <v>509</v>
      </c>
      <c r="Q2264" s="29" cm="1">
        <f t="array" ref="Q2264">IF(表成绩单[[#This Row],[数学]]="","",SUMPRODUCT((表成绩单[考试日期]=表成绩单[[#This Row],[考试日期]])*(表成绩单[数学]&lt;9E+307)*(表成绩单[数学]&gt;表成绩单[[#This Row],[数学]]))+1)</f>
        <v>608</v>
      </c>
      <c r="R2264" s="29" cm="1">
        <f t="array" ref="R2264">IF(表成绩单[[#This Row],[英语]]="","",SUMPRODUCT((表成绩单[考试日期]=表成绩单[[#This Row],[考试日期]])*(表成绩单[英语]&lt;9E+307)*(表成绩单[英语]&gt;表成绩单[[#This Row],[英语]]))+1)</f>
        <v>615</v>
      </c>
      <c r="S2264" s="29" cm="1">
        <f t="array" ref="S2264">IF(表成绩单[[#This Row],[物理]]="","",SUMPRODUCT((表成绩单[考试日期]=表成绩单[[#This Row],[考试日期]])*(表成绩单[物理]&lt;9E+307)*(表成绩单[物理]&gt;表成绩单[[#This Row],[物理]]))+1)</f>
        <v>681</v>
      </c>
      <c r="T2264" s="29" cm="1">
        <f t="array" ref="T2264">IF(表成绩单[[#This Row],[化学]]="","",SUMPRODUCT((表成绩单[考试日期]=表成绩单[[#This Row],[考试日期]])*(表成绩单[化学]&lt;9E+307)*(表成绩单[化学]&gt;表成绩单[[#This Row],[化学]]))+1)</f>
        <v>662</v>
      </c>
      <c r="U2264" s="29" cm="1">
        <f t="array" ref="U2264">IF(表成绩单[[#This Row],[政治]]="","",SUMPRODUCT((表成绩单[考试日期]=表成绩单[[#This Row],[考试日期]])*(表成绩单[政治]&lt;9E+307)*(表成绩单[政治]&gt;表成绩单[[#This Row],[政治]]))+1)</f>
        <v>667</v>
      </c>
      <c r="V2264" s="29" cm="1">
        <f t="array" ref="V2264">IF(表成绩单[[#This Row],[历史]]="","",SUMPRODUCT((表成绩单[考试日期]=表成绩单[[#This Row],[考试日期]])*(表成绩单[历史]&lt;9E+307)*(表成绩单[历史]&gt;表成绩单[[#This Row],[历史]]))+1)</f>
        <v>662</v>
      </c>
      <c r="W2264" s="29" cm="1">
        <f t="array" ref="W2264">IF(表成绩单[[#This Row],[总分]]="","",SUMPRODUCT((表成绩单[考试日期]=表成绩单[[#This Row],[考试日期]])*(表成绩单[总分]&lt;9E+307)*(表成绩单[总分]&gt;表成绩单[[#This Row],[总分]]))+1)</f>
        <v>658</v>
      </c>
    </row>
    <row r="2265" ht="28" customHeight="1" spans="4:23">
      <c r="D2265" s="31">
        <v>46030</v>
      </c>
      <c r="E2265" s="29">
        <v>24038265</v>
      </c>
      <c r="F2265" s="29" t="s">
        <v>60</v>
      </c>
      <c r="G2265" s="29" t="s">
        <v>757</v>
      </c>
      <c r="H2265" s="29">
        <v>79</v>
      </c>
      <c r="I2265" s="29">
        <v>50</v>
      </c>
      <c r="J2265" s="29">
        <v>72</v>
      </c>
      <c r="K2265" s="29">
        <v>33</v>
      </c>
      <c r="L2265" s="29">
        <v>59</v>
      </c>
      <c r="M2265" s="29">
        <v>48</v>
      </c>
      <c r="N2265" s="29">
        <v>66</v>
      </c>
      <c r="O2265" s="32">
        <v>407</v>
      </c>
      <c r="P2265" s="29" cm="1">
        <f t="array" ref="P2265">IF(表成绩单[[#This Row],[语文]]="","",SUMPRODUCT((表成绩单[考试日期]=表成绩单[[#This Row],[考试日期]])*(表成绩单[语文]&lt;9E+307)*(表成绩单[语文]&gt;表成绩单[[#This Row],[语文]]))+1)</f>
        <v>684</v>
      </c>
      <c r="Q2265" s="29" cm="1">
        <f t="array" ref="Q2265">IF(表成绩单[[#This Row],[数学]]="","",SUMPRODUCT((表成绩单[考试日期]=表成绩单[[#This Row],[考试日期]])*(表成绩单[数学]&lt;9E+307)*(表成绩单[数学]&gt;表成绩单[[#This Row],[数学]]))+1)</f>
        <v>728</v>
      </c>
      <c r="R2265" s="29" cm="1">
        <f t="array" ref="R2265">IF(表成绩单[[#This Row],[英语]]="","",SUMPRODUCT((表成绩单[考试日期]=表成绩单[[#This Row],[考试日期]])*(表成绩单[英语]&lt;9E+307)*(表成绩单[英语]&gt;表成绩单[[#This Row],[英语]]))+1)</f>
        <v>258</v>
      </c>
      <c r="S2265" s="29" cm="1">
        <f t="array" ref="S2265">IF(表成绩单[[#This Row],[物理]]="","",SUMPRODUCT((表成绩单[考试日期]=表成绩单[[#This Row],[考试日期]])*(表成绩单[物理]&lt;9E+307)*(表成绩单[物理]&gt;表成绩单[[#This Row],[物理]]))+1)</f>
        <v>733</v>
      </c>
      <c r="T2265" s="29" cm="1">
        <f t="array" ref="T2265">IF(表成绩单[[#This Row],[化学]]="","",SUMPRODUCT((表成绩单[考试日期]=表成绩单[[#This Row],[考试日期]])*(表成绩单[化学]&lt;9E+307)*(表成绩单[化学]&gt;表成绩单[[#This Row],[化学]]))+1)</f>
        <v>540</v>
      </c>
      <c r="U2265" s="29" cm="1">
        <f t="array" ref="U2265">IF(表成绩单[[#This Row],[政治]]="","",SUMPRODUCT((表成绩单[考试日期]=表成绩单[[#This Row],[考试日期]])*(表成绩单[政治]&lt;9E+307)*(表成绩单[政治]&gt;表成绩单[[#This Row],[政治]]))+1)</f>
        <v>675</v>
      </c>
      <c r="V2265" s="29" cm="1">
        <f t="array" ref="V2265">IF(表成绩单[[#This Row],[历史]]="","",SUMPRODUCT((表成绩单[考试日期]=表成绩单[[#This Row],[考试日期]])*(表成绩单[历史]&lt;9E+307)*(表成绩单[历史]&gt;表成绩单[[#This Row],[历史]]))+1)</f>
        <v>451</v>
      </c>
      <c r="W2265" s="29" cm="1">
        <f t="array" ref="W2265">IF(表成绩单[[#This Row],[总分]]="","",SUMPRODUCT((表成绩单[考试日期]=表成绩单[[#This Row],[考试日期]])*(表成绩单[总分]&lt;9E+307)*(表成绩单[总分]&gt;表成绩单[[#This Row],[总分]]))+1)</f>
        <v>659</v>
      </c>
    </row>
    <row r="2266" ht="28" customHeight="1" spans="4:23">
      <c r="D2266" s="31">
        <v>46030</v>
      </c>
      <c r="E2266" s="29">
        <v>19173799</v>
      </c>
      <c r="F2266" s="29" t="s">
        <v>65</v>
      </c>
      <c r="G2266" s="29" t="s">
        <v>818</v>
      </c>
      <c r="H2266" s="29">
        <v>84</v>
      </c>
      <c r="I2266" s="29">
        <v>59</v>
      </c>
      <c r="J2266" s="29">
        <v>64.5</v>
      </c>
      <c r="K2266" s="29">
        <v>44</v>
      </c>
      <c r="L2266" s="29">
        <v>55</v>
      </c>
      <c r="M2266" s="29">
        <v>46</v>
      </c>
      <c r="N2266" s="29">
        <v>52</v>
      </c>
      <c r="O2266" s="32">
        <v>404.5</v>
      </c>
      <c r="P2266" s="29" cm="1">
        <f t="array" ref="P2266">IF(表成绩单[[#This Row],[语文]]="","",SUMPRODUCT((表成绩单[考试日期]=表成绩单[[#This Row],[考试日期]])*(表成绩单[语文]&lt;9E+307)*(表成绩单[语文]&gt;表成绩单[[#This Row],[语文]]))+1)</f>
        <v>635</v>
      </c>
      <c r="Q2266" s="29" cm="1">
        <f t="array" ref="Q2266">IF(表成绩单[[#This Row],[数学]]="","",SUMPRODUCT((表成绩单[考试日期]=表成绩单[[#This Row],[考试日期]])*(表成绩单[数学]&lt;9E+307)*(表成绩单[数学]&gt;表成绩单[[#This Row],[数学]]))+1)</f>
        <v>676</v>
      </c>
      <c r="R2266" s="29" cm="1">
        <f t="array" ref="R2266">IF(表成绩单[[#This Row],[英语]]="","",SUMPRODUCT((表成绩单[考试日期]=表成绩单[[#This Row],[考试日期]])*(表成绩单[英语]&lt;9E+307)*(表成绩单[英语]&gt;表成绩单[[#This Row],[英语]]))+1)</f>
        <v>447</v>
      </c>
      <c r="S2266" s="29" cm="1">
        <f t="array" ref="S2266">IF(表成绩单[[#This Row],[物理]]="","",SUMPRODUCT((表成绩单[考试日期]=表成绩单[[#This Row],[考试日期]])*(表成绩单[物理]&lt;9E+307)*(表成绩单[物理]&gt;表成绩单[[#This Row],[物理]]))+1)</f>
        <v>665</v>
      </c>
      <c r="T2266" s="29" cm="1">
        <f t="array" ref="T2266">IF(表成绩单[[#This Row],[化学]]="","",SUMPRODUCT((表成绩单[考试日期]=表成绩单[[#This Row],[考试日期]])*(表成绩单[化学]&lt;9E+307)*(表成绩单[化学]&gt;表成绩单[[#This Row],[化学]]))+1)</f>
        <v>593</v>
      </c>
      <c r="U2266" s="29" cm="1">
        <f t="array" ref="U2266">IF(表成绩单[[#This Row],[政治]]="","",SUMPRODUCT((表成绩单[考试日期]=表成绩单[[#This Row],[考试日期]])*(表成绩单[政治]&lt;9E+307)*(表成绩单[政治]&gt;表成绩单[[#This Row],[政治]]))+1)</f>
        <v>692</v>
      </c>
      <c r="V2266" s="29" cm="1">
        <f t="array" ref="V2266">IF(表成绩单[[#This Row],[历史]]="","",SUMPRODUCT((表成绩单[考试日期]=表成绩单[[#This Row],[考试日期]])*(表成绩单[历史]&lt;9E+307)*(表成绩单[历史]&gt;表成绩单[[#This Row],[历史]]))+1)</f>
        <v>701</v>
      </c>
      <c r="W2266" s="29" cm="1">
        <f t="array" ref="W2266">IF(表成绩单[[#This Row],[总分]]="","",SUMPRODUCT((表成绩单[考试日期]=表成绩单[[#This Row],[考试日期]])*(表成绩单[总分]&lt;9E+307)*(表成绩单[总分]&gt;表成绩单[[#This Row],[总分]]))+1)</f>
        <v>660</v>
      </c>
    </row>
    <row r="2267" ht="28" customHeight="1" spans="4:23">
      <c r="D2267" s="31">
        <v>46030</v>
      </c>
      <c r="E2267" s="29">
        <v>19177618</v>
      </c>
      <c r="F2267" s="29" t="s">
        <v>58</v>
      </c>
      <c r="G2267" s="29" t="s">
        <v>774</v>
      </c>
      <c r="H2267" s="29">
        <v>81</v>
      </c>
      <c r="I2267" s="29">
        <v>69</v>
      </c>
      <c r="J2267" s="29">
        <v>59.5</v>
      </c>
      <c r="K2267" s="29">
        <v>41</v>
      </c>
      <c r="L2267" s="29">
        <v>54</v>
      </c>
      <c r="M2267" s="29">
        <v>47</v>
      </c>
      <c r="N2267" s="29">
        <v>53</v>
      </c>
      <c r="O2267" s="32">
        <v>404.5</v>
      </c>
      <c r="P2267" s="29" cm="1">
        <f t="array" ref="P2267">IF(表成绩单[[#This Row],[语文]]="","",SUMPRODUCT((表成绩单[考试日期]=表成绩单[[#This Row],[考试日期]])*(表成绩单[语文]&lt;9E+307)*(表成绩单[语文]&gt;表成绩单[[#This Row],[语文]]))+1)</f>
        <v>668</v>
      </c>
      <c r="Q2267" s="29" cm="1">
        <f t="array" ref="Q2267">IF(表成绩单[[#This Row],[数学]]="","",SUMPRODUCT((表成绩单[考试日期]=表成绩单[[#This Row],[考试日期]])*(表成绩单[数学]&lt;9E+307)*(表成绩单[数学]&gt;表成绩单[[#This Row],[数学]]))+1)</f>
        <v>600</v>
      </c>
      <c r="R2267" s="29" cm="1">
        <f t="array" ref="R2267">IF(表成绩单[[#This Row],[英语]]="","",SUMPRODUCT((表成绩单[考试日期]=表成绩单[[#This Row],[考试日期]])*(表成绩单[英语]&lt;9E+307)*(表成绩单[英语]&gt;表成绩单[[#This Row],[英语]]))+1)</f>
        <v>533</v>
      </c>
      <c r="S2267" s="29" cm="1">
        <f t="array" ref="S2267">IF(表成绩单[[#This Row],[物理]]="","",SUMPRODUCT((表成绩单[考试日期]=表成绩单[[#This Row],[考试日期]])*(表成绩单[物理]&lt;9E+307)*(表成绩单[物理]&gt;表成绩单[[#This Row],[物理]]))+1)</f>
        <v>687</v>
      </c>
      <c r="T2267" s="29" cm="1">
        <f t="array" ref="T2267">IF(表成绩单[[#This Row],[化学]]="","",SUMPRODUCT((表成绩单[考试日期]=表成绩单[[#This Row],[考试日期]])*(表成绩单[化学]&lt;9E+307)*(表成绩单[化学]&gt;表成绩单[[#This Row],[化学]]))+1)</f>
        <v>609</v>
      </c>
      <c r="U2267" s="29" cm="1">
        <f t="array" ref="U2267">IF(表成绩单[[#This Row],[政治]]="","",SUMPRODUCT((表成绩单[考试日期]=表成绩单[[#This Row],[考试日期]])*(表成绩单[政治]&lt;9E+307)*(表成绩单[政治]&gt;表成绩单[[#This Row],[政治]]))+1)</f>
        <v>688</v>
      </c>
      <c r="V2267" s="29" cm="1">
        <f t="array" ref="V2267">IF(表成绩单[[#This Row],[历史]]="","",SUMPRODUCT((表成绩单[考试日期]=表成绩单[[#This Row],[考试日期]])*(表成绩单[历史]&lt;9E+307)*(表成绩单[历史]&gt;表成绩单[[#This Row],[历史]]))+1)</f>
        <v>690</v>
      </c>
      <c r="W2267" s="29" cm="1">
        <f t="array" ref="W2267">IF(表成绩单[[#This Row],[总分]]="","",SUMPRODUCT((表成绩单[考试日期]=表成绩单[[#This Row],[考试日期]])*(表成绩单[总分]&lt;9E+307)*(表成绩单[总分]&gt;表成绩单[[#This Row],[总分]]))+1)</f>
        <v>660</v>
      </c>
    </row>
    <row r="2268" ht="28" customHeight="1" spans="4:23">
      <c r="D2268" s="31">
        <v>46030</v>
      </c>
      <c r="E2268" s="29">
        <v>24028994</v>
      </c>
      <c r="F2268" s="29" t="s">
        <v>59</v>
      </c>
      <c r="G2268" s="29" t="s">
        <v>702</v>
      </c>
      <c r="H2268" s="29">
        <v>75</v>
      </c>
      <c r="I2268" s="29">
        <v>73</v>
      </c>
      <c r="J2268" s="29">
        <v>56</v>
      </c>
      <c r="K2268" s="29">
        <v>54</v>
      </c>
      <c r="L2268" s="29">
        <v>56</v>
      </c>
      <c r="M2268" s="29">
        <v>36</v>
      </c>
      <c r="N2268" s="29">
        <v>54</v>
      </c>
      <c r="O2268" s="32">
        <v>404</v>
      </c>
      <c r="P2268" s="29" cm="1">
        <f t="array" ref="P2268">IF(表成绩单[[#This Row],[语文]]="","",SUMPRODUCT((表成绩单[考试日期]=表成绩单[[#This Row],[考试日期]])*(表成绩单[语文]&lt;9E+307)*(表成绩单[语文]&gt;表成绩单[[#This Row],[语文]]))+1)</f>
        <v>714</v>
      </c>
      <c r="Q2268" s="29" cm="1">
        <f t="array" ref="Q2268">IF(表成绩单[[#This Row],[数学]]="","",SUMPRODUCT((表成绩单[考试日期]=表成绩单[[#This Row],[考试日期]])*(表成绩单[数学]&lt;9E+307)*(表成绩单[数学]&gt;表成绩单[[#This Row],[数学]]))+1)</f>
        <v>547</v>
      </c>
      <c r="R2268" s="29" cm="1">
        <f t="array" ref="R2268">IF(表成绩单[[#This Row],[英语]]="","",SUMPRODUCT((表成绩单[考试日期]=表成绩单[[#This Row],[考试日期]])*(表成绩单[英语]&lt;9E+307)*(表成绩单[英语]&gt;表成绩单[[#This Row],[英语]]))+1)</f>
        <v>582</v>
      </c>
      <c r="S2268" s="29" cm="1">
        <f t="array" ref="S2268">IF(表成绩单[[#This Row],[物理]]="","",SUMPRODUCT((表成绩单[考试日期]=表成绩单[[#This Row],[考试日期]])*(表成绩单[物理]&lt;9E+307)*(表成绩单[物理]&gt;表成绩单[[#This Row],[物理]]))+1)</f>
        <v>568</v>
      </c>
      <c r="T2268" s="29" cm="1">
        <f t="array" ref="T2268">IF(表成绩单[[#This Row],[化学]]="","",SUMPRODUCT((表成绩单[考试日期]=表成绩单[[#This Row],[考试日期]])*(表成绩单[化学]&lt;9E+307)*(表成绩单[化学]&gt;表成绩单[[#This Row],[化学]]))+1)</f>
        <v>581</v>
      </c>
      <c r="U2268" s="29" cm="1">
        <f t="array" ref="U2268">IF(表成绩单[[#This Row],[政治]]="","",SUMPRODUCT((表成绩单[考试日期]=表成绩单[[#This Row],[考试日期]])*(表成绩单[政治]&lt;9E+307)*(表成绩单[政治]&gt;表成绩单[[#This Row],[政治]]))+1)</f>
        <v>745</v>
      </c>
      <c r="V2268" s="29" cm="1">
        <f t="array" ref="V2268">IF(表成绩单[[#This Row],[历史]]="","",SUMPRODUCT((表成绩单[考试日期]=表成绩单[[#This Row],[考试日期]])*(表成绩单[历史]&lt;9E+307)*(表成绩单[历史]&gt;表成绩单[[#This Row],[历史]]))+1)</f>
        <v>682</v>
      </c>
      <c r="W2268" s="29" cm="1">
        <f t="array" ref="W2268">IF(表成绩单[[#This Row],[总分]]="","",SUMPRODUCT((表成绩单[考试日期]=表成绩单[[#This Row],[考试日期]])*(表成绩单[总分]&lt;9E+307)*(表成绩单[总分]&gt;表成绩单[[#This Row],[总分]]))+1)</f>
        <v>662</v>
      </c>
    </row>
    <row r="2269" ht="28" customHeight="1" spans="4:23">
      <c r="D2269" s="31">
        <v>46030</v>
      </c>
      <c r="E2269" s="29">
        <v>19173801</v>
      </c>
      <c r="F2269" s="29" t="s">
        <v>65</v>
      </c>
      <c r="G2269" s="29" t="s">
        <v>752</v>
      </c>
      <c r="H2269" s="29">
        <v>88</v>
      </c>
      <c r="I2269" s="29">
        <v>51</v>
      </c>
      <c r="J2269" s="29">
        <v>70</v>
      </c>
      <c r="K2269" s="29">
        <v>45</v>
      </c>
      <c r="L2269" s="29">
        <v>51</v>
      </c>
      <c r="M2269" s="29">
        <v>48</v>
      </c>
      <c r="N2269" s="29">
        <v>50</v>
      </c>
      <c r="O2269" s="32">
        <v>403</v>
      </c>
      <c r="P2269" s="29" cm="1">
        <f t="array" ref="P2269">IF(表成绩单[[#This Row],[语文]]="","",SUMPRODUCT((表成绩单[考试日期]=表成绩单[[#This Row],[考试日期]])*(表成绩单[语文]&lt;9E+307)*(表成绩单[语文]&gt;表成绩单[[#This Row],[语文]]))+1)</f>
        <v>562</v>
      </c>
      <c r="Q2269" s="29" cm="1">
        <f t="array" ref="Q2269">IF(表成绩单[[#This Row],[数学]]="","",SUMPRODUCT((表成绩单[考试日期]=表成绩单[[#This Row],[考试日期]])*(表成绩单[数学]&lt;9E+307)*(表成绩单[数学]&gt;表成绩单[[#This Row],[数学]]))+1)</f>
        <v>724</v>
      </c>
      <c r="R2269" s="29" cm="1">
        <f t="array" ref="R2269">IF(表成绩单[[#This Row],[英语]]="","",SUMPRODUCT((表成绩单[考试日期]=表成绩单[[#This Row],[考试日期]])*(表成绩单[英语]&lt;9E+307)*(表成绩单[英语]&gt;表成绩单[[#This Row],[英语]]))+1)</f>
        <v>319</v>
      </c>
      <c r="S2269" s="29" cm="1">
        <f t="array" ref="S2269">IF(表成绩单[[#This Row],[物理]]="","",SUMPRODUCT((表成绩单[考试日期]=表成绩单[[#This Row],[考试日期]])*(表成绩单[物理]&lt;9E+307)*(表成绩单[物理]&gt;表成绩单[[#This Row],[物理]]))+1)</f>
        <v>655</v>
      </c>
      <c r="T2269" s="29" cm="1">
        <f t="array" ref="T2269">IF(表成绩单[[#This Row],[化学]]="","",SUMPRODUCT((表成绩单[考试日期]=表成绩单[[#This Row],[考试日期]])*(表成绩单[化学]&lt;9E+307)*(表成绩单[化学]&gt;表成绩单[[#This Row],[化学]]))+1)</f>
        <v>648</v>
      </c>
      <c r="U2269" s="29" cm="1">
        <f t="array" ref="U2269">IF(表成绩单[[#This Row],[政治]]="","",SUMPRODUCT((表成绩单[考试日期]=表成绩单[[#This Row],[考试日期]])*(表成绩单[政治]&lt;9E+307)*(表成绩单[政治]&gt;表成绩单[[#This Row],[政治]]))+1)</f>
        <v>675</v>
      </c>
      <c r="V2269" s="29" cm="1">
        <f t="array" ref="V2269">IF(表成绩单[[#This Row],[历史]]="","",SUMPRODUCT((表成绩单[考试日期]=表成绩单[[#This Row],[考试日期]])*(表成绩单[历史]&lt;9E+307)*(表成绩单[历史]&gt;表成绩单[[#This Row],[历史]]))+1)</f>
        <v>723</v>
      </c>
      <c r="W2269" s="29" cm="1">
        <f t="array" ref="W2269">IF(表成绩单[[#This Row],[总分]]="","",SUMPRODUCT((表成绩单[考试日期]=表成绩单[[#This Row],[考试日期]])*(表成绩单[总分]&lt;9E+307)*(表成绩单[总分]&gt;表成绩单[[#This Row],[总分]]))+1)</f>
        <v>663</v>
      </c>
    </row>
    <row r="2270" ht="28" customHeight="1" spans="4:23">
      <c r="D2270" s="31">
        <v>46030</v>
      </c>
      <c r="E2270" s="29">
        <v>19175611</v>
      </c>
      <c r="F2270" s="29" t="s">
        <v>57</v>
      </c>
      <c r="G2270" s="29" t="s">
        <v>741</v>
      </c>
      <c r="H2270" s="29">
        <v>83</v>
      </c>
      <c r="I2270" s="29">
        <v>78</v>
      </c>
      <c r="J2270" s="29">
        <v>62</v>
      </c>
      <c r="K2270" s="29">
        <v>34</v>
      </c>
      <c r="L2270" s="29">
        <v>46</v>
      </c>
      <c r="M2270" s="29">
        <v>48</v>
      </c>
      <c r="N2270" s="29">
        <v>52</v>
      </c>
      <c r="O2270" s="32">
        <v>403</v>
      </c>
      <c r="P2270" s="29" cm="1">
        <f t="array" ref="P2270">IF(表成绩单[[#This Row],[语文]]="","",SUMPRODUCT((表成绩单[考试日期]=表成绩单[[#This Row],[考试日期]])*(表成绩单[语文]&lt;9E+307)*(表成绩单[语文]&gt;表成绩单[[#This Row],[语文]]))+1)</f>
        <v>648</v>
      </c>
      <c r="Q2270" s="29" cm="1">
        <f t="array" ref="Q2270">IF(表成绩单[[#This Row],[数学]]="","",SUMPRODUCT((表成绩单[考试日期]=表成绩单[[#This Row],[考试日期]])*(表成绩单[数学]&lt;9E+307)*(表成绩单[数学]&gt;表成绩单[[#This Row],[数学]]))+1)</f>
        <v>450</v>
      </c>
      <c r="R2270" s="29" cm="1">
        <f t="array" ref="R2270">IF(表成绩单[[#This Row],[英语]]="","",SUMPRODUCT((表成绩单[考试日期]=表成绩单[[#This Row],[考试日期]])*(表成绩单[英语]&lt;9E+307)*(表成绩单[英语]&gt;表成绩单[[#This Row],[英语]]))+1)</f>
        <v>490</v>
      </c>
      <c r="S2270" s="29" cm="1">
        <f t="array" ref="S2270">IF(表成绩单[[#This Row],[物理]]="","",SUMPRODUCT((表成绩单[考试日期]=表成绩单[[#This Row],[考试日期]])*(表成绩单[物理]&lt;9E+307)*(表成绩单[物理]&gt;表成绩单[[#This Row],[物理]]))+1)</f>
        <v>730</v>
      </c>
      <c r="T2270" s="29" cm="1">
        <f t="array" ref="T2270">IF(表成绩单[[#This Row],[化学]]="","",SUMPRODUCT((表成绩单[考试日期]=表成绩单[[#This Row],[考试日期]])*(表成绩单[化学]&lt;9E+307)*(表成绩单[化学]&gt;表成绩单[[#This Row],[化学]]))+1)</f>
        <v>704</v>
      </c>
      <c r="U2270" s="29" cm="1">
        <f t="array" ref="U2270">IF(表成绩单[[#This Row],[政治]]="","",SUMPRODUCT((表成绩单[考试日期]=表成绩单[[#This Row],[考试日期]])*(表成绩单[政治]&lt;9E+307)*(表成绩单[政治]&gt;表成绩单[[#This Row],[政治]]))+1)</f>
        <v>675</v>
      </c>
      <c r="V2270" s="29" cm="1">
        <f t="array" ref="V2270">IF(表成绩单[[#This Row],[历史]]="","",SUMPRODUCT((表成绩单[考试日期]=表成绩单[[#This Row],[考试日期]])*(表成绩单[历史]&lt;9E+307)*(表成绩单[历史]&gt;表成绩单[[#This Row],[历史]]))+1)</f>
        <v>701</v>
      </c>
      <c r="W2270" s="29" cm="1">
        <f t="array" ref="W2270">IF(表成绩单[[#This Row],[总分]]="","",SUMPRODUCT((表成绩单[考试日期]=表成绩单[[#This Row],[考试日期]])*(表成绩单[总分]&lt;9E+307)*(表成绩单[总分]&gt;表成绩单[[#This Row],[总分]]))+1)</f>
        <v>663</v>
      </c>
    </row>
    <row r="2271" ht="28" customHeight="1" spans="4:23">
      <c r="D2271" s="31">
        <v>46030</v>
      </c>
      <c r="E2271" s="29">
        <v>19175612</v>
      </c>
      <c r="F2271" s="29" t="s">
        <v>57</v>
      </c>
      <c r="G2271" s="29" t="s">
        <v>766</v>
      </c>
      <c r="H2271" s="29">
        <v>80</v>
      </c>
      <c r="I2271" s="29">
        <v>53</v>
      </c>
      <c r="J2271" s="29">
        <v>48</v>
      </c>
      <c r="K2271" s="29">
        <v>42</v>
      </c>
      <c r="L2271" s="29">
        <v>55</v>
      </c>
      <c r="M2271" s="29">
        <v>59</v>
      </c>
      <c r="N2271" s="29">
        <v>66</v>
      </c>
      <c r="O2271" s="32">
        <v>403</v>
      </c>
      <c r="P2271" s="29" cm="1">
        <f t="array" ref="P2271">IF(表成绩单[[#This Row],[语文]]="","",SUMPRODUCT((表成绩单[考试日期]=表成绩单[[#This Row],[考试日期]])*(表成绩单[语文]&lt;9E+307)*(表成绩单[语文]&gt;表成绩单[[#This Row],[语文]]))+1)</f>
        <v>675</v>
      </c>
      <c r="Q2271" s="29" cm="1">
        <f t="array" ref="Q2271">IF(表成绩单[[#This Row],[数学]]="","",SUMPRODUCT((表成绩单[考试日期]=表成绩单[[#This Row],[考试日期]])*(表成绩单[数学]&lt;9E+307)*(表成绩单[数学]&gt;表成绩单[[#This Row],[数学]]))+1)</f>
        <v>716</v>
      </c>
      <c r="R2271" s="29" cm="1">
        <f t="array" ref="R2271">IF(表成绩单[[#This Row],[英语]]="","",SUMPRODUCT((表成绩单[考试日期]=表成绩单[[#This Row],[考试日期]])*(表成绩单[英语]&lt;9E+307)*(表成绩单[英语]&gt;表成绩单[[#This Row],[英语]]))+1)</f>
        <v>668</v>
      </c>
      <c r="S2271" s="29" cm="1">
        <f t="array" ref="S2271">IF(表成绩单[[#This Row],[物理]]="","",SUMPRODUCT((表成绩单[考试日期]=表成绩单[[#This Row],[考试日期]])*(表成绩单[物理]&lt;9E+307)*(表成绩单[物理]&gt;表成绩单[[#This Row],[物理]]))+1)</f>
        <v>681</v>
      </c>
      <c r="T2271" s="29" cm="1">
        <f t="array" ref="T2271">IF(表成绩单[[#This Row],[化学]]="","",SUMPRODUCT((表成绩单[考试日期]=表成绩单[[#This Row],[考试日期]])*(表成绩单[化学]&lt;9E+307)*(表成绩单[化学]&gt;表成绩单[[#This Row],[化学]]))+1)</f>
        <v>593</v>
      </c>
      <c r="U2271" s="29" cm="1">
        <f t="array" ref="U2271">IF(表成绩单[[#This Row],[政治]]="","",SUMPRODUCT((表成绩单[考试日期]=表成绩单[[#This Row],[考试日期]])*(表成绩单[政治]&lt;9E+307)*(表成绩单[政治]&gt;表成绩单[[#This Row],[政治]]))+1)</f>
        <v>557</v>
      </c>
      <c r="V2271" s="29" cm="1">
        <f t="array" ref="V2271">IF(表成绩单[[#This Row],[历史]]="","",SUMPRODUCT((表成绩单[考试日期]=表成绩单[[#This Row],[考试日期]])*(表成绩单[历史]&lt;9E+307)*(表成绩单[历史]&gt;表成绩单[[#This Row],[历史]]))+1)</f>
        <v>451</v>
      </c>
      <c r="W2271" s="29" cm="1">
        <f t="array" ref="W2271">IF(表成绩单[[#This Row],[总分]]="","",SUMPRODUCT((表成绩单[考试日期]=表成绩单[[#This Row],[考试日期]])*(表成绩单[总分]&lt;9E+307)*(表成绩单[总分]&gt;表成绩单[[#This Row],[总分]]))+1)</f>
        <v>663</v>
      </c>
    </row>
    <row r="2272" ht="28" customHeight="1" spans="4:23">
      <c r="D2272" s="31">
        <v>46030</v>
      </c>
      <c r="E2272" s="29">
        <v>19175664</v>
      </c>
      <c r="F2272" s="29" t="s">
        <v>66</v>
      </c>
      <c r="G2272" s="29" t="s">
        <v>777</v>
      </c>
      <c r="H2272" s="29">
        <v>90</v>
      </c>
      <c r="I2272" s="29">
        <v>61</v>
      </c>
      <c r="J2272" s="29">
        <v>61.5</v>
      </c>
      <c r="K2272" s="29">
        <v>38</v>
      </c>
      <c r="L2272" s="29">
        <v>55</v>
      </c>
      <c r="M2272" s="29">
        <v>37</v>
      </c>
      <c r="N2272" s="29">
        <v>60</v>
      </c>
      <c r="O2272" s="32">
        <v>402.5</v>
      </c>
      <c r="P2272" s="29" cm="1">
        <f t="array" ref="P2272">IF(表成绩单[[#This Row],[语文]]="","",SUMPRODUCT((表成绩单[考试日期]=表成绩单[[#This Row],[考试日期]])*(表成绩单[语文]&lt;9E+307)*(表成绩单[语文]&gt;表成绩单[[#This Row],[语文]]))+1)</f>
        <v>509</v>
      </c>
      <c r="Q2272" s="29" cm="1">
        <f t="array" ref="Q2272">IF(表成绩单[[#This Row],[数学]]="","",SUMPRODUCT((表成绩单[考试日期]=表成绩单[[#This Row],[考试日期]])*(表成绩单[数学]&lt;9E+307)*(表成绩单[数学]&gt;表成绩单[[#This Row],[数学]]))+1)</f>
        <v>668</v>
      </c>
      <c r="R2272" s="29" cm="1">
        <f t="array" ref="R2272">IF(表成绩单[[#This Row],[英语]]="","",SUMPRODUCT((表成绩单[考试日期]=表成绩单[[#This Row],[考试日期]])*(表成绩单[英语]&lt;9E+307)*(表成绩单[英语]&gt;表成绩单[[#This Row],[英语]]))+1)</f>
        <v>495</v>
      </c>
      <c r="S2272" s="29" cm="1">
        <f t="array" ref="S2272">IF(表成绩单[[#This Row],[物理]]="","",SUMPRODUCT((表成绩单[考试日期]=表成绩单[[#This Row],[考试日期]])*(表成绩单[物理]&lt;9E+307)*(表成绩单[物理]&gt;表成绩单[[#This Row],[物理]]))+1)</f>
        <v>704</v>
      </c>
      <c r="T2272" s="29" cm="1">
        <f t="array" ref="T2272">IF(表成绩单[[#This Row],[化学]]="","",SUMPRODUCT((表成绩单[考试日期]=表成绩单[[#This Row],[考试日期]])*(表成绩单[化学]&lt;9E+307)*(表成绩单[化学]&gt;表成绩单[[#This Row],[化学]]))+1)</f>
        <v>593</v>
      </c>
      <c r="U2272" s="29" cm="1">
        <f t="array" ref="U2272">IF(表成绩单[[#This Row],[政治]]="","",SUMPRODUCT((表成绩单[考试日期]=表成绩单[[#This Row],[考试日期]])*(表成绩单[政治]&lt;9E+307)*(表成绩单[政治]&gt;表成绩单[[#This Row],[政治]]))+1)</f>
        <v>739</v>
      </c>
      <c r="V2272" s="29" cm="1">
        <f t="array" ref="V2272">IF(表成绩单[[#This Row],[历史]]="","",SUMPRODUCT((表成绩单[考试日期]=表成绩单[[#This Row],[考试日期]])*(表成绩单[历史]&lt;9E+307)*(表成绩单[历史]&gt;表成绩单[[#This Row],[历史]]))+1)</f>
        <v>579</v>
      </c>
      <c r="W2272" s="29" cm="1">
        <f t="array" ref="W2272">IF(表成绩单[[#This Row],[总分]]="","",SUMPRODUCT((表成绩单[考试日期]=表成绩单[[#This Row],[考试日期]])*(表成绩单[总分]&lt;9E+307)*(表成绩单[总分]&gt;表成绩单[[#This Row],[总分]]))+1)</f>
        <v>666</v>
      </c>
    </row>
    <row r="2273" ht="28" customHeight="1" spans="4:23">
      <c r="D2273" s="31">
        <v>46030</v>
      </c>
      <c r="E2273" s="29">
        <v>19177593</v>
      </c>
      <c r="F2273" s="29" t="s">
        <v>58</v>
      </c>
      <c r="G2273" s="29" t="s">
        <v>689</v>
      </c>
      <c r="H2273" s="29">
        <v>87</v>
      </c>
      <c r="I2273" s="29">
        <v>58</v>
      </c>
      <c r="J2273" s="29">
        <v>57.5</v>
      </c>
      <c r="K2273" s="29">
        <v>45</v>
      </c>
      <c r="L2273" s="29">
        <v>45</v>
      </c>
      <c r="M2273" s="29">
        <v>58</v>
      </c>
      <c r="N2273" s="29">
        <v>52</v>
      </c>
      <c r="O2273" s="32">
        <v>402.5</v>
      </c>
      <c r="P2273" s="29" cm="1">
        <f t="array" ref="P2273">IF(表成绩单[[#This Row],[语文]]="","",SUMPRODUCT((表成绩单[考试日期]=表成绩单[[#This Row],[考试日期]])*(表成绩单[语文]&lt;9E+307)*(表成绩单[语文]&gt;表成绩单[[#This Row],[语文]]))+1)</f>
        <v>581</v>
      </c>
      <c r="Q2273" s="29" cm="1">
        <f t="array" ref="Q2273">IF(表成绩单[[#This Row],[数学]]="","",SUMPRODUCT((表成绩单[考试日期]=表成绩单[[#This Row],[考试日期]])*(表成绩单[数学]&lt;9E+307)*(表成绩单[数学]&gt;表成绩单[[#This Row],[数学]]))+1)</f>
        <v>685</v>
      </c>
      <c r="R2273" s="29" cm="1">
        <f t="array" ref="R2273">IF(表成绩单[[#This Row],[英语]]="","",SUMPRODUCT((表成绩单[考试日期]=表成绩单[[#This Row],[考试日期]])*(表成绩单[英语]&lt;9E+307)*(表成绩单[英语]&gt;表成绩单[[#This Row],[英语]]))+1)</f>
        <v>566</v>
      </c>
      <c r="S2273" s="29" cm="1">
        <f t="array" ref="S2273">IF(表成绩单[[#This Row],[物理]]="","",SUMPRODUCT((表成绩单[考试日期]=表成绩单[[#This Row],[考试日期]])*(表成绩单[物理]&lt;9E+307)*(表成绩单[物理]&gt;表成绩单[[#This Row],[物理]]))+1)</f>
        <v>655</v>
      </c>
      <c r="T2273" s="29" cm="1">
        <f t="array" ref="T2273">IF(表成绩单[[#This Row],[化学]]="","",SUMPRODUCT((表成绩单[考试日期]=表成绩单[[#This Row],[考试日期]])*(表成绩单[化学]&lt;9E+307)*(表成绩单[化学]&gt;表成绩单[[#This Row],[化学]]))+1)</f>
        <v>711</v>
      </c>
      <c r="U2273" s="29" cm="1">
        <f t="array" ref="U2273">IF(表成绩单[[#This Row],[政治]]="","",SUMPRODUCT((表成绩单[考试日期]=表成绩单[[#This Row],[考试日期]])*(表成绩单[政治]&lt;9E+307)*(表成绩单[政治]&gt;表成绩单[[#This Row],[政治]]))+1)</f>
        <v>582</v>
      </c>
      <c r="V2273" s="29" cm="1">
        <f t="array" ref="V2273">IF(表成绩单[[#This Row],[历史]]="","",SUMPRODUCT((表成绩单[考试日期]=表成绩单[[#This Row],[考试日期]])*(表成绩单[历史]&lt;9E+307)*(表成绩单[历史]&gt;表成绩单[[#This Row],[历史]]))+1)</f>
        <v>701</v>
      </c>
      <c r="W2273" s="29" cm="1">
        <f t="array" ref="W2273">IF(表成绩单[[#This Row],[总分]]="","",SUMPRODUCT((表成绩单[考试日期]=表成绩单[[#This Row],[考试日期]])*(表成绩单[总分]&lt;9E+307)*(表成绩单[总分]&gt;表成绩单[[#This Row],[总分]]))+1)</f>
        <v>666</v>
      </c>
    </row>
    <row r="2274" ht="28" customHeight="1" spans="4:23">
      <c r="D2274" s="31">
        <v>46030</v>
      </c>
      <c r="E2274" s="29">
        <v>19178579</v>
      </c>
      <c r="F2274" s="29" t="s">
        <v>64</v>
      </c>
      <c r="G2274" s="29" t="s">
        <v>762</v>
      </c>
      <c r="H2274" s="29">
        <v>95</v>
      </c>
      <c r="I2274" s="29">
        <v>56</v>
      </c>
      <c r="J2274" s="29">
        <v>52</v>
      </c>
      <c r="K2274" s="29">
        <v>38</v>
      </c>
      <c r="L2274" s="29">
        <v>47</v>
      </c>
      <c r="M2274" s="29">
        <v>52</v>
      </c>
      <c r="N2274" s="29">
        <v>62</v>
      </c>
      <c r="O2274" s="32">
        <v>402</v>
      </c>
      <c r="P2274" s="29" cm="1">
        <f t="array" ref="P2274">IF(表成绩单[[#This Row],[语文]]="","",SUMPRODUCT((表成绩单[考试日期]=表成绩单[[#This Row],[考试日期]])*(表成绩单[语文]&lt;9E+307)*(表成绩单[语文]&gt;表成绩单[[#This Row],[语文]]))+1)</f>
        <v>342</v>
      </c>
      <c r="Q2274" s="29" cm="1">
        <f t="array" ref="Q2274">IF(表成绩单[[#This Row],[数学]]="","",SUMPRODUCT((表成绩单[考试日期]=表成绩单[[#This Row],[考试日期]])*(表成绩单[数学]&lt;9E+307)*(表成绩单[数学]&gt;表成绩单[[#This Row],[数学]]))+1)</f>
        <v>698</v>
      </c>
      <c r="R2274" s="29" cm="1">
        <f t="array" ref="R2274">IF(表成绩单[[#This Row],[英语]]="","",SUMPRODUCT((表成绩单[考试日期]=表成绩单[[#This Row],[考试日期]])*(表成绩单[英语]&lt;9E+307)*(表成绩单[英语]&gt;表成绩单[[#This Row],[英语]]))+1)</f>
        <v>624</v>
      </c>
      <c r="S2274" s="29" cm="1">
        <f t="array" ref="S2274">IF(表成绩单[[#This Row],[物理]]="","",SUMPRODUCT((表成绩单[考试日期]=表成绩单[[#This Row],[考试日期]])*(表成绩单[物理]&lt;9E+307)*(表成绩单[物理]&gt;表成绩单[[#This Row],[物理]]))+1)</f>
        <v>704</v>
      </c>
      <c r="T2274" s="29" cm="1">
        <f t="array" ref="T2274">IF(表成绩单[[#This Row],[化学]]="","",SUMPRODUCT((表成绩单[考试日期]=表成绩单[[#This Row],[考试日期]])*(表成绩单[化学]&lt;9E+307)*(表成绩单[化学]&gt;表成绩单[[#This Row],[化学]]))+1)</f>
        <v>694</v>
      </c>
      <c r="U2274" s="29" cm="1">
        <f t="array" ref="U2274">IF(表成绩单[[#This Row],[政治]]="","",SUMPRODUCT((表成绩单[考试日期]=表成绩单[[#This Row],[考试日期]])*(表成绩单[政治]&lt;9E+307)*(表成绩单[政治]&gt;表成绩单[[#This Row],[政治]]))+1)</f>
        <v>643</v>
      </c>
      <c r="V2274" s="29" cm="1">
        <f t="array" ref="V2274">IF(表成绩单[[#This Row],[历史]]="","",SUMPRODUCT((表成绩单[考试日期]=表成绩单[[#This Row],[考试日期]])*(表成绩单[历史]&lt;9E+307)*(表成绩单[历史]&gt;表成绩单[[#This Row],[历史]]))+1)</f>
        <v>545</v>
      </c>
      <c r="W2274" s="29" cm="1">
        <f t="array" ref="W2274">IF(表成绩单[[#This Row],[总分]]="","",SUMPRODUCT((表成绩单[考试日期]=表成绩单[[#This Row],[考试日期]])*(表成绩单[总分]&lt;9E+307)*(表成绩单[总分]&gt;表成绩单[[#This Row],[总分]]))+1)</f>
        <v>668</v>
      </c>
    </row>
    <row r="2275" ht="28" customHeight="1" spans="4:23">
      <c r="D2275" s="31">
        <v>46030</v>
      </c>
      <c r="E2275" s="29">
        <v>26754600</v>
      </c>
      <c r="F2275" s="29" t="s">
        <v>55</v>
      </c>
      <c r="G2275" s="29" t="s">
        <v>764</v>
      </c>
      <c r="H2275" s="29">
        <v>87</v>
      </c>
      <c r="I2275" s="29">
        <v>53</v>
      </c>
      <c r="J2275" s="29">
        <v>34.5</v>
      </c>
      <c r="K2275" s="29">
        <v>45</v>
      </c>
      <c r="L2275" s="29">
        <v>40</v>
      </c>
      <c r="M2275" s="29">
        <v>65</v>
      </c>
      <c r="N2275" s="29">
        <v>77</v>
      </c>
      <c r="O2275" s="32">
        <v>401.5</v>
      </c>
      <c r="P2275" s="29" cm="1">
        <f t="array" ref="P2275">IF(表成绩单[[#This Row],[语文]]="","",SUMPRODUCT((表成绩单[考试日期]=表成绩单[[#This Row],[考试日期]])*(表成绩单[语文]&lt;9E+307)*(表成绩单[语文]&gt;表成绩单[[#This Row],[语文]]))+1)</f>
        <v>581</v>
      </c>
      <c r="Q2275" s="29" cm="1">
        <f t="array" ref="Q2275">IF(表成绩单[[#This Row],[数学]]="","",SUMPRODUCT((表成绩单[考试日期]=表成绩单[[#This Row],[考试日期]])*(表成绩单[数学]&lt;9E+307)*(表成绩单[数学]&gt;表成绩单[[#This Row],[数学]]))+1)</f>
        <v>716</v>
      </c>
      <c r="R2275" s="29" cm="1">
        <f t="array" ref="R2275">IF(表成绩单[[#This Row],[英语]]="","",SUMPRODUCT((表成绩单[考试日期]=表成绩单[[#This Row],[考试日期]])*(表成绩单[英语]&lt;9E+307)*(表成绩单[英语]&gt;表成绩单[[#This Row],[英语]]))+1)</f>
        <v>749</v>
      </c>
      <c r="S2275" s="29" cm="1">
        <f t="array" ref="S2275">IF(表成绩单[[#This Row],[物理]]="","",SUMPRODUCT((表成绩单[考试日期]=表成绩单[[#This Row],[考试日期]])*(表成绩单[物理]&lt;9E+307)*(表成绩单[物理]&gt;表成绩单[[#This Row],[物理]]))+1)</f>
        <v>655</v>
      </c>
      <c r="T2275" s="29" cm="1">
        <f t="array" ref="T2275">IF(表成绩单[[#This Row],[化学]]="","",SUMPRODUCT((表成绩单[考试日期]=表成绩单[[#This Row],[考试日期]])*(表成绩单[化学]&lt;9E+307)*(表成绩单[化学]&gt;表成绩单[[#This Row],[化学]]))+1)</f>
        <v>738</v>
      </c>
      <c r="U2275" s="29" cm="1">
        <f t="array" ref="U2275">IF(表成绩单[[#This Row],[政治]]="","",SUMPRODUCT((表成绩单[考试日期]=表成绩单[[#This Row],[考试日期]])*(表成绩单[政治]&lt;9E+307)*(表成绩单[政治]&gt;表成绩单[[#This Row],[政治]]))+1)</f>
        <v>431</v>
      </c>
      <c r="V2275" s="29" cm="1">
        <f t="array" ref="V2275">IF(表成绩单[[#This Row],[历史]]="","",SUMPRODUCT((表成绩单[考试日期]=表成绩单[[#This Row],[考试日期]])*(表成绩单[历史]&lt;9E+307)*(表成绩单[历史]&gt;表成绩单[[#This Row],[历史]]))+1)</f>
        <v>148</v>
      </c>
      <c r="W2275" s="29" cm="1">
        <f t="array" ref="W2275">IF(表成绩单[[#This Row],[总分]]="","",SUMPRODUCT((表成绩单[考试日期]=表成绩单[[#This Row],[考试日期]])*(表成绩单[总分]&lt;9E+307)*(表成绩单[总分]&gt;表成绩单[[#This Row],[总分]]))+1)</f>
        <v>669</v>
      </c>
    </row>
    <row r="2276" ht="28" customHeight="1" spans="4:23">
      <c r="D2276" s="31">
        <v>46030</v>
      </c>
      <c r="E2276" s="29">
        <v>19178631</v>
      </c>
      <c r="F2276" s="29" t="s">
        <v>25</v>
      </c>
      <c r="G2276" s="29" t="s">
        <v>743</v>
      </c>
      <c r="H2276" s="29">
        <v>68</v>
      </c>
      <c r="I2276" s="29">
        <v>73</v>
      </c>
      <c r="J2276" s="29">
        <v>37</v>
      </c>
      <c r="K2276" s="29">
        <v>49</v>
      </c>
      <c r="L2276" s="29">
        <v>63</v>
      </c>
      <c r="M2276" s="29">
        <v>44</v>
      </c>
      <c r="N2276" s="29">
        <v>65</v>
      </c>
      <c r="O2276" s="32">
        <v>399</v>
      </c>
      <c r="P2276" s="29" cm="1">
        <f t="array" ref="P2276">IF(表成绩单[[#This Row],[语文]]="","",SUMPRODUCT((表成绩单[考试日期]=表成绩单[[#This Row],[考试日期]])*(表成绩单[语文]&lt;9E+307)*(表成绩单[语文]&gt;表成绩单[[#This Row],[语文]]))+1)</f>
        <v>752</v>
      </c>
      <c r="Q2276" s="29" cm="1">
        <f t="array" ref="Q2276">IF(表成绩单[[#This Row],[数学]]="","",SUMPRODUCT((表成绩单[考试日期]=表成绩单[[#This Row],[考试日期]])*(表成绩单[数学]&lt;9E+307)*(表成绩单[数学]&gt;表成绩单[[#This Row],[数学]]))+1)</f>
        <v>547</v>
      </c>
      <c r="R2276" s="29" cm="1">
        <f t="array" ref="R2276">IF(表成绩单[[#This Row],[英语]]="","",SUMPRODUCT((表成绩单[考试日期]=表成绩单[[#This Row],[考试日期]])*(表成绩单[英语]&lt;9E+307)*(表成绩单[英语]&gt;表成绩单[[#This Row],[英语]]))+1)</f>
        <v>737</v>
      </c>
      <c r="S2276" s="29" cm="1">
        <f t="array" ref="S2276">IF(表成绩单[[#This Row],[物理]]="","",SUMPRODUCT((表成绩单[考试日期]=表成绩单[[#This Row],[考试日期]])*(表成绩单[物理]&lt;9E+307)*(表成绩单[物理]&gt;表成绩单[[#This Row],[物理]]))+1)</f>
        <v>619</v>
      </c>
      <c r="T2276" s="29" cm="1">
        <f t="array" ref="T2276">IF(表成绩单[[#This Row],[化学]]="","",SUMPRODUCT((表成绩单[考试日期]=表成绩单[[#This Row],[考试日期]])*(表成绩单[化学]&lt;9E+307)*(表成绩单[化学]&gt;表成绩单[[#This Row],[化学]]))+1)</f>
        <v>472</v>
      </c>
      <c r="U2276" s="29" cm="1">
        <f t="array" ref="U2276">IF(表成绩单[[#This Row],[政治]]="","",SUMPRODUCT((表成绩单[考试日期]=表成绩单[[#This Row],[考试日期]])*(表成绩单[政治]&lt;9E+307)*(表成绩单[政治]&gt;表成绩单[[#This Row],[政治]]))+1)</f>
        <v>709</v>
      </c>
      <c r="V2276" s="29" cm="1">
        <f t="array" ref="V2276">IF(表成绩单[[#This Row],[历史]]="","",SUMPRODUCT((表成绩单[考试日期]=表成绩单[[#This Row],[考试日期]])*(表成绩单[历史]&lt;9E+307)*(表成绩单[历史]&gt;表成绩单[[#This Row],[历史]]))+1)</f>
        <v>471</v>
      </c>
      <c r="W2276" s="29" cm="1">
        <f t="array" ref="W2276">IF(表成绩单[[#This Row],[总分]]="","",SUMPRODUCT((表成绩单[考试日期]=表成绩单[[#This Row],[考试日期]])*(表成绩单[总分]&lt;9E+307)*(表成绩单[总分]&gt;表成绩单[[#This Row],[总分]]))+1)</f>
        <v>670</v>
      </c>
    </row>
    <row r="2277" ht="28" customHeight="1" spans="4:23">
      <c r="D2277" s="31">
        <v>46030</v>
      </c>
      <c r="E2277" s="29">
        <v>19172631</v>
      </c>
      <c r="F2277" s="29" t="s">
        <v>60</v>
      </c>
      <c r="G2277" s="29" t="s">
        <v>691</v>
      </c>
      <c r="H2277" s="29">
        <v>69</v>
      </c>
      <c r="I2277" s="29">
        <v>82</v>
      </c>
      <c r="J2277" s="29">
        <v>54</v>
      </c>
      <c r="K2277" s="29">
        <v>48</v>
      </c>
      <c r="L2277" s="29">
        <v>52</v>
      </c>
      <c r="M2277" s="29">
        <v>38</v>
      </c>
      <c r="N2277" s="29">
        <v>55</v>
      </c>
      <c r="O2277" s="32">
        <v>398</v>
      </c>
      <c r="P2277" s="29" cm="1">
        <f t="array" ref="P2277">IF(表成绩单[[#This Row],[语文]]="","",SUMPRODUCT((表成绩单[考试日期]=表成绩单[[#This Row],[考试日期]])*(表成绩单[语文]&lt;9E+307)*(表成绩单[语文]&gt;表成绩单[[#This Row],[语文]]))+1)</f>
        <v>748</v>
      </c>
      <c r="Q2277" s="29" cm="1">
        <f t="array" ref="Q2277">IF(表成绩单[[#This Row],[数学]]="","",SUMPRODUCT((表成绩单[考试日期]=表成绩单[[#This Row],[考试日期]])*(表成绩单[数学]&lt;9E+307)*(表成绩单[数学]&gt;表成绩单[[#This Row],[数学]]))+1)</f>
        <v>383</v>
      </c>
      <c r="R2277" s="29" cm="1">
        <f t="array" ref="R2277">IF(表成绩单[[#This Row],[英语]]="","",SUMPRODUCT((表成绩单[考试日期]=表成绩单[[#This Row],[考试日期]])*(表成绩单[英语]&lt;9E+307)*(表成绩单[英语]&gt;表成绩单[[#This Row],[英语]]))+1)</f>
        <v>606</v>
      </c>
      <c r="S2277" s="29" cm="1">
        <f t="array" ref="S2277">IF(表成绩单[[#This Row],[物理]]="","",SUMPRODUCT((表成绩单[考试日期]=表成绩单[[#This Row],[考试日期]])*(表成绩单[物理]&lt;9E+307)*(表成绩单[物理]&gt;表成绩单[[#This Row],[物理]]))+1)</f>
        <v>629</v>
      </c>
      <c r="T2277" s="29" cm="1">
        <f t="array" ref="T2277">IF(表成绩单[[#This Row],[化学]]="","",SUMPRODUCT((表成绩单[考试日期]=表成绩单[[#This Row],[考试日期]])*(表成绩单[化学]&lt;9E+307)*(表成绩单[化学]&gt;表成绩单[[#This Row],[化学]]))+1)</f>
        <v>638</v>
      </c>
      <c r="U2277" s="29" cm="1">
        <f t="array" ref="U2277">IF(表成绩单[[#This Row],[政治]]="","",SUMPRODUCT((表成绩单[考试日期]=表成绩单[[#This Row],[考试日期]])*(表成绩单[政治]&lt;9E+307)*(表成绩单[政治]&gt;表成绩单[[#This Row],[政治]]))+1)</f>
        <v>734</v>
      </c>
      <c r="V2277" s="29" cm="1">
        <f t="array" ref="V2277">IF(表成绩单[[#This Row],[历史]]="","",SUMPRODUCT((表成绩单[考试日期]=表成绩单[[#This Row],[考试日期]])*(表成绩单[历史]&lt;9E+307)*(表成绩单[历史]&gt;表成绩单[[#This Row],[历史]]))+1)</f>
        <v>662</v>
      </c>
      <c r="W2277" s="29" cm="1">
        <f t="array" ref="W2277">IF(表成绩单[[#This Row],[总分]]="","",SUMPRODUCT((表成绩单[考试日期]=表成绩单[[#This Row],[考试日期]])*(表成绩单[总分]&lt;9E+307)*(表成绩单[总分]&gt;表成绩单[[#This Row],[总分]]))+1)</f>
        <v>671</v>
      </c>
    </row>
    <row r="2278" ht="28" customHeight="1" spans="4:23">
      <c r="D2278" s="31">
        <v>46030</v>
      </c>
      <c r="E2278" s="29">
        <v>19175329</v>
      </c>
      <c r="F2278" s="29" t="s">
        <v>55</v>
      </c>
      <c r="G2278" s="29" t="s">
        <v>786</v>
      </c>
      <c r="H2278" s="29">
        <v>90</v>
      </c>
      <c r="I2278" s="29">
        <v>63</v>
      </c>
      <c r="J2278" s="29">
        <v>46.5</v>
      </c>
      <c r="K2278" s="29">
        <v>49</v>
      </c>
      <c r="L2278" s="29">
        <v>59</v>
      </c>
      <c r="M2278" s="29">
        <v>35</v>
      </c>
      <c r="N2278" s="29">
        <v>55</v>
      </c>
      <c r="O2278" s="32">
        <v>397.5</v>
      </c>
      <c r="P2278" s="29" cm="1">
        <f t="array" ref="P2278">IF(表成绩单[[#This Row],[语文]]="","",SUMPRODUCT((表成绩单[考试日期]=表成绩单[[#This Row],[考试日期]])*(表成绩单[语文]&lt;9E+307)*(表成绩单[语文]&gt;表成绩单[[#This Row],[语文]]))+1)</f>
        <v>509</v>
      </c>
      <c r="Q2278" s="29" cm="1">
        <f t="array" ref="Q2278">IF(表成绩单[[#This Row],[数学]]="","",SUMPRODUCT((表成绩单[考试日期]=表成绩单[[#This Row],[考试日期]])*(表成绩单[数学]&lt;9E+307)*(表成绩单[数学]&gt;表成绩单[[#This Row],[数学]]))+1)</f>
        <v>655</v>
      </c>
      <c r="R2278" s="29" cm="1">
        <f t="array" ref="R2278">IF(表成绩单[[#This Row],[英语]]="","",SUMPRODUCT((表成绩单[考试日期]=表成绩单[[#This Row],[考试日期]])*(表成绩单[英语]&lt;9E+307)*(表成绩单[英语]&gt;表成绩单[[#This Row],[英语]]))+1)</f>
        <v>678</v>
      </c>
      <c r="S2278" s="29" cm="1">
        <f t="array" ref="S2278">IF(表成绩单[[#This Row],[物理]]="","",SUMPRODUCT((表成绩单[考试日期]=表成绩单[[#This Row],[考试日期]])*(表成绩单[物理]&lt;9E+307)*(表成绩单[物理]&gt;表成绩单[[#This Row],[物理]]))+1)</f>
        <v>619</v>
      </c>
      <c r="T2278" s="29" cm="1">
        <f t="array" ref="T2278">IF(表成绩单[[#This Row],[化学]]="","",SUMPRODUCT((表成绩单[考试日期]=表成绩单[[#This Row],[考试日期]])*(表成绩单[化学]&lt;9E+307)*(表成绩单[化学]&gt;表成绩单[[#This Row],[化学]]))+1)</f>
        <v>540</v>
      </c>
      <c r="U2278" s="29" cm="1">
        <f t="array" ref="U2278">IF(表成绩单[[#This Row],[政治]]="","",SUMPRODUCT((表成绩单[考试日期]=表成绩单[[#This Row],[考试日期]])*(表成绩单[政治]&lt;9E+307)*(表成绩单[政治]&gt;表成绩单[[#This Row],[政治]]))+1)</f>
        <v>752</v>
      </c>
      <c r="V2278" s="29" cm="1">
        <f t="array" ref="V2278">IF(表成绩单[[#This Row],[历史]]="","",SUMPRODUCT((表成绩单[考试日期]=表成绩单[[#This Row],[考试日期]])*(表成绩单[历史]&lt;9E+307)*(表成绩单[历史]&gt;表成绩单[[#This Row],[历史]]))+1)</f>
        <v>662</v>
      </c>
      <c r="W2278" s="29" cm="1">
        <f t="array" ref="W2278">IF(表成绩单[[#This Row],[总分]]="","",SUMPRODUCT((表成绩单[考试日期]=表成绩单[[#This Row],[考试日期]])*(表成绩单[总分]&lt;9E+307)*(表成绩单[总分]&gt;表成绩单[[#This Row],[总分]]))+1)</f>
        <v>672</v>
      </c>
    </row>
    <row r="2279" ht="28" customHeight="1" spans="4:23">
      <c r="D2279" s="31">
        <v>46030</v>
      </c>
      <c r="E2279" s="29">
        <v>19172664</v>
      </c>
      <c r="F2279" s="29" t="s">
        <v>60</v>
      </c>
      <c r="G2279" s="29" t="s">
        <v>755</v>
      </c>
      <c r="H2279" s="29">
        <v>78</v>
      </c>
      <c r="I2279" s="29">
        <v>66</v>
      </c>
      <c r="J2279" s="29">
        <v>50.5</v>
      </c>
      <c r="K2279" s="29">
        <v>44</v>
      </c>
      <c r="L2279" s="29">
        <v>45</v>
      </c>
      <c r="M2279" s="29">
        <v>53</v>
      </c>
      <c r="N2279" s="29">
        <v>60</v>
      </c>
      <c r="O2279" s="32">
        <v>396.5</v>
      </c>
      <c r="P2279" s="29" cm="1">
        <f t="array" ref="P2279">IF(表成绩单[[#This Row],[语文]]="","",SUMPRODUCT((表成绩单[考试日期]=表成绩单[[#This Row],[考试日期]])*(表成绩单[语文]&lt;9E+307)*(表成绩单[语文]&gt;表成绩单[[#This Row],[语文]]))+1)</f>
        <v>694</v>
      </c>
      <c r="Q2279" s="29" cm="1">
        <f t="array" ref="Q2279">IF(表成绩单[[#This Row],[数学]]="","",SUMPRODUCT((表成绩单[考试日期]=表成绩单[[#This Row],[考试日期]])*(表成绩单[数学]&lt;9E+307)*(表成绩单[数学]&gt;表成绩单[[#This Row],[数学]]))+1)</f>
        <v>631</v>
      </c>
      <c r="R2279" s="29" cm="1">
        <f t="array" ref="R2279">IF(表成绩单[[#This Row],[英语]]="","",SUMPRODUCT((表成绩单[考试日期]=表成绩单[[#This Row],[考试日期]])*(表成绩单[英语]&lt;9E+307)*(表成绩单[英语]&gt;表成绩单[[#This Row],[英语]]))+1)</f>
        <v>643</v>
      </c>
      <c r="S2279" s="29" cm="1">
        <f t="array" ref="S2279">IF(表成绩单[[#This Row],[物理]]="","",SUMPRODUCT((表成绩单[考试日期]=表成绩单[[#This Row],[考试日期]])*(表成绩单[物理]&lt;9E+307)*(表成绩单[物理]&gt;表成绩单[[#This Row],[物理]]))+1)</f>
        <v>665</v>
      </c>
      <c r="T2279" s="29" cm="1">
        <f t="array" ref="T2279">IF(表成绩单[[#This Row],[化学]]="","",SUMPRODUCT((表成绩单[考试日期]=表成绩单[[#This Row],[考试日期]])*(表成绩单[化学]&lt;9E+307)*(表成绩单[化学]&gt;表成绩单[[#This Row],[化学]]))+1)</f>
        <v>711</v>
      </c>
      <c r="U2279" s="29" cm="1">
        <f t="array" ref="U2279">IF(表成绩单[[#This Row],[政治]]="","",SUMPRODUCT((表成绩单[考试日期]=表成绩单[[#This Row],[考试日期]])*(表成绩单[政治]&lt;9E+307)*(表成绩单[政治]&gt;表成绩单[[#This Row],[政治]]))+1)</f>
        <v>630</v>
      </c>
      <c r="V2279" s="29" cm="1">
        <f t="array" ref="V2279">IF(表成绩单[[#This Row],[历史]]="","",SUMPRODUCT((表成绩单[考试日期]=表成绩单[[#This Row],[考试日期]])*(表成绩单[历史]&lt;9E+307)*(表成绩单[历史]&gt;表成绩单[[#This Row],[历史]]))+1)</f>
        <v>579</v>
      </c>
      <c r="W2279" s="29" cm="1">
        <f t="array" ref="W2279">IF(表成绩单[[#This Row],[总分]]="","",SUMPRODUCT((表成绩单[考试日期]=表成绩单[[#This Row],[考试日期]])*(表成绩单[总分]&lt;9E+307)*(表成绩单[总分]&gt;表成绩单[[#This Row],[总分]]))+1)</f>
        <v>673</v>
      </c>
    </row>
    <row r="2280" ht="28" customHeight="1" spans="4:23">
      <c r="D2280" s="31">
        <v>46030</v>
      </c>
      <c r="E2280" s="29">
        <v>19175620</v>
      </c>
      <c r="F2280" s="29" t="s">
        <v>57</v>
      </c>
      <c r="G2280" s="29" t="s">
        <v>721</v>
      </c>
      <c r="H2280" s="29">
        <v>89</v>
      </c>
      <c r="I2280" s="29">
        <v>56</v>
      </c>
      <c r="J2280" s="29">
        <v>55.5</v>
      </c>
      <c r="K2280" s="29">
        <v>45</v>
      </c>
      <c r="L2280" s="29">
        <v>49</v>
      </c>
      <c r="M2280" s="29">
        <v>46</v>
      </c>
      <c r="N2280" s="29">
        <v>55</v>
      </c>
      <c r="O2280" s="32">
        <v>395.5</v>
      </c>
      <c r="P2280" s="29" cm="1">
        <f t="array" ref="P2280">IF(表成绩单[[#This Row],[语文]]="","",SUMPRODUCT((表成绩单[考试日期]=表成绩单[[#This Row],[考试日期]])*(表成绩单[语文]&lt;9E+307)*(表成绩单[语文]&gt;表成绩单[[#This Row],[语文]]))+1)</f>
        <v>540</v>
      </c>
      <c r="Q2280" s="29" cm="1">
        <f t="array" ref="Q2280">IF(表成绩单[[#This Row],[数学]]="","",SUMPRODUCT((表成绩单[考试日期]=表成绩单[[#This Row],[考试日期]])*(表成绩单[数学]&lt;9E+307)*(表成绩单[数学]&gt;表成绩单[[#This Row],[数学]]))+1)</f>
        <v>698</v>
      </c>
      <c r="R2280" s="29" cm="1">
        <f t="array" ref="R2280">IF(表成绩单[[#This Row],[英语]]="","",SUMPRODUCT((表成绩单[考试日期]=表成绩单[[#This Row],[考试日期]])*(表成绩单[英语]&lt;9E+307)*(表成绩单[英语]&gt;表成绩单[[#This Row],[英语]]))+1)</f>
        <v>588</v>
      </c>
      <c r="S2280" s="29" cm="1">
        <f t="array" ref="S2280">IF(表成绩单[[#This Row],[物理]]="","",SUMPRODUCT((表成绩单[考试日期]=表成绩单[[#This Row],[考试日期]])*(表成绩单[物理]&lt;9E+307)*(表成绩单[物理]&gt;表成绩单[[#This Row],[物理]]))+1)</f>
        <v>655</v>
      </c>
      <c r="T2280" s="29" cm="1">
        <f t="array" ref="T2280">IF(表成绩单[[#This Row],[化学]]="","",SUMPRODUCT((表成绩单[考试日期]=表成绩单[[#This Row],[考试日期]])*(表成绩单[化学]&lt;9E+307)*(表成绩单[化学]&gt;表成绩单[[#This Row],[化学]]))+1)</f>
        <v>675</v>
      </c>
      <c r="U2280" s="29" cm="1">
        <f t="array" ref="U2280">IF(表成绩单[[#This Row],[政治]]="","",SUMPRODUCT((表成绩单[考试日期]=表成绩单[[#This Row],[考试日期]])*(表成绩单[政治]&lt;9E+307)*(表成绩单[政治]&gt;表成绩单[[#This Row],[政治]]))+1)</f>
        <v>692</v>
      </c>
      <c r="V2280" s="29" cm="1">
        <f t="array" ref="V2280">IF(表成绩单[[#This Row],[历史]]="","",SUMPRODUCT((表成绩单[考试日期]=表成绩单[[#This Row],[考试日期]])*(表成绩单[历史]&lt;9E+307)*(表成绩单[历史]&gt;表成绩单[[#This Row],[历史]]))+1)</f>
        <v>662</v>
      </c>
      <c r="W2280" s="29" cm="1">
        <f t="array" ref="W2280">IF(表成绩单[[#This Row],[总分]]="","",SUMPRODUCT((表成绩单[考试日期]=表成绩单[[#This Row],[考试日期]])*(表成绩单[总分]&lt;9E+307)*(表成绩单[总分]&gt;表成绩单[[#This Row],[总分]]))+1)</f>
        <v>674</v>
      </c>
    </row>
    <row r="2281" ht="28" customHeight="1" spans="4:23">
      <c r="D2281" s="31">
        <v>46030</v>
      </c>
      <c r="E2281" s="29">
        <v>19175379</v>
      </c>
      <c r="F2281" s="29" t="s">
        <v>74</v>
      </c>
      <c r="G2281" s="29" t="s">
        <v>751</v>
      </c>
      <c r="H2281" s="29">
        <v>83</v>
      </c>
      <c r="I2281" s="29">
        <v>67</v>
      </c>
      <c r="J2281" s="29">
        <v>43</v>
      </c>
      <c r="K2281" s="29">
        <v>51</v>
      </c>
      <c r="L2281" s="29">
        <v>48</v>
      </c>
      <c r="M2281" s="29">
        <v>57</v>
      </c>
      <c r="N2281" s="29">
        <v>45</v>
      </c>
      <c r="O2281" s="32">
        <v>394</v>
      </c>
      <c r="P2281" s="29" cm="1">
        <f t="array" ref="P2281">IF(表成绩单[[#This Row],[语文]]="","",SUMPRODUCT((表成绩单[考试日期]=表成绩单[[#This Row],[考试日期]])*(表成绩单[语文]&lt;9E+307)*(表成绩单[语文]&gt;表成绩单[[#This Row],[语文]]))+1)</f>
        <v>648</v>
      </c>
      <c r="Q2281" s="29" cm="1">
        <f t="array" ref="Q2281">IF(表成绩单[[#This Row],[数学]]="","",SUMPRODUCT((表成绩单[考试日期]=表成绩单[[#This Row],[考试日期]])*(表成绩单[数学]&lt;9E+307)*(表成绩单[数学]&gt;表成绩单[[#This Row],[数学]]))+1)</f>
        <v>620</v>
      </c>
      <c r="R2281" s="29" cm="1">
        <f t="array" ref="R2281">IF(表成绩单[[#This Row],[英语]]="","",SUMPRODUCT((表成绩单[考试日期]=表成绩单[[#This Row],[考试日期]])*(表成绩单[英语]&lt;9E+307)*(表成绩单[英语]&gt;表成绩单[[#This Row],[英语]]))+1)</f>
        <v>704</v>
      </c>
      <c r="S2281" s="29" cm="1">
        <f t="array" ref="S2281">IF(表成绩单[[#This Row],[物理]]="","",SUMPRODUCT((表成绩单[考试日期]=表成绩单[[#This Row],[考试日期]])*(表成绩单[物理]&lt;9E+307)*(表成绩单[物理]&gt;表成绩单[[#This Row],[物理]]))+1)</f>
        <v>595</v>
      </c>
      <c r="T2281" s="29" cm="1">
        <f t="array" ref="T2281">IF(表成绩单[[#This Row],[化学]]="","",SUMPRODUCT((表成绩单[考试日期]=表成绩单[[#This Row],[考试日期]])*(表成绩单[化学]&lt;9E+307)*(表成绩单[化学]&gt;表成绩单[[#This Row],[化学]]))+1)</f>
        <v>685</v>
      </c>
      <c r="U2281" s="29" cm="1">
        <f t="array" ref="U2281">IF(表成绩单[[#This Row],[政治]]="","",SUMPRODUCT((表成绩单[考试日期]=表成绩单[[#This Row],[考试日期]])*(表成绩单[政治]&lt;9E+307)*(表成绩单[政治]&gt;表成绩单[[#This Row],[政治]]))+1)</f>
        <v>591</v>
      </c>
      <c r="V2281" s="29" cm="1">
        <f t="array" ref="V2281">IF(表成绩单[[#This Row],[历史]]="","",SUMPRODUCT((表成绩单[考试日期]=表成绩单[[#This Row],[考试日期]])*(表成绩单[历史]&lt;9E+307)*(表成绩单[历史]&gt;表成绩单[[#This Row],[历史]]))+1)</f>
        <v>746</v>
      </c>
      <c r="W2281" s="29" cm="1">
        <f t="array" ref="W2281">IF(表成绩单[[#This Row],[总分]]="","",SUMPRODUCT((表成绩单[考试日期]=表成绩单[[#This Row],[考试日期]])*(表成绩单[总分]&lt;9E+307)*(表成绩单[总分]&gt;表成绩单[[#This Row],[总分]]))+1)</f>
        <v>675</v>
      </c>
    </row>
    <row r="2282" ht="28" customHeight="1" spans="4:23">
      <c r="D2282" s="31">
        <v>46030</v>
      </c>
      <c r="E2282" s="29">
        <v>19175603</v>
      </c>
      <c r="F2282" s="29" t="s">
        <v>57</v>
      </c>
      <c r="G2282" s="29" t="s">
        <v>727</v>
      </c>
      <c r="H2282" s="29">
        <v>89</v>
      </c>
      <c r="I2282" s="29">
        <v>62</v>
      </c>
      <c r="J2282" s="29">
        <v>70</v>
      </c>
      <c r="K2282" s="29">
        <v>36</v>
      </c>
      <c r="L2282" s="29">
        <v>47</v>
      </c>
      <c r="M2282" s="29">
        <v>48</v>
      </c>
      <c r="N2282" s="29">
        <v>42</v>
      </c>
      <c r="O2282" s="32">
        <v>394</v>
      </c>
      <c r="P2282" s="29" cm="1">
        <f t="array" ref="P2282">IF(表成绩单[[#This Row],[语文]]="","",SUMPRODUCT((表成绩单[考试日期]=表成绩单[[#This Row],[考试日期]])*(表成绩单[语文]&lt;9E+307)*(表成绩单[语文]&gt;表成绩单[[#This Row],[语文]]))+1)</f>
        <v>540</v>
      </c>
      <c r="Q2282" s="29" cm="1">
        <f t="array" ref="Q2282">IF(表成绩单[[#This Row],[数学]]="","",SUMPRODUCT((表成绩单[考试日期]=表成绩单[[#This Row],[考试日期]])*(表成绩单[数学]&lt;9E+307)*(表成绩单[数学]&gt;表成绩单[[#This Row],[数学]]))+1)</f>
        <v>661</v>
      </c>
      <c r="R2282" s="29" cm="1">
        <f t="array" ref="R2282">IF(表成绩单[[#This Row],[英语]]="","",SUMPRODUCT((表成绩单[考试日期]=表成绩单[[#This Row],[考试日期]])*(表成绩单[英语]&lt;9E+307)*(表成绩单[英语]&gt;表成绩单[[#This Row],[英语]]))+1)</f>
        <v>319</v>
      </c>
      <c r="S2282" s="29" cm="1">
        <f t="array" ref="S2282">IF(表成绩单[[#This Row],[物理]]="","",SUMPRODUCT((表成绩单[考试日期]=表成绩单[[#This Row],[考试日期]])*(表成绩单[物理]&lt;9E+307)*(表成绩单[物理]&gt;表成绩单[[#This Row],[物理]]))+1)</f>
        <v>712</v>
      </c>
      <c r="T2282" s="29" cm="1">
        <f t="array" ref="T2282">IF(表成绩单[[#This Row],[化学]]="","",SUMPRODUCT((表成绩单[考试日期]=表成绩单[[#This Row],[考试日期]])*(表成绩单[化学]&lt;9E+307)*(表成绩单[化学]&gt;表成绩单[[#This Row],[化学]]))+1)</f>
        <v>694</v>
      </c>
      <c r="U2282" s="29" cm="1">
        <f t="array" ref="U2282">IF(表成绩单[[#This Row],[政治]]="","",SUMPRODUCT((表成绩单[考试日期]=表成绩单[[#This Row],[考试日期]])*(表成绩单[政治]&lt;9E+307)*(表成绩单[政治]&gt;表成绩单[[#This Row],[政治]]))+1)</f>
        <v>675</v>
      </c>
      <c r="V2282" s="29" cm="1">
        <f t="array" ref="V2282">IF(表成绩单[[#This Row],[历史]]="","",SUMPRODUCT((表成绩单[考试日期]=表成绩单[[#This Row],[考试日期]])*(表成绩单[历史]&lt;9E+307)*(表成绩单[历史]&gt;表成绩单[[#This Row],[历史]]))+1)</f>
        <v>756</v>
      </c>
      <c r="W2282" s="29" cm="1">
        <f t="array" ref="W2282">IF(表成绩单[[#This Row],[总分]]="","",SUMPRODUCT((表成绩单[考试日期]=表成绩单[[#This Row],[考试日期]])*(表成绩单[总分]&lt;9E+307)*(表成绩单[总分]&gt;表成绩单[[#This Row],[总分]]))+1)</f>
        <v>675</v>
      </c>
    </row>
    <row r="2283" ht="28" customHeight="1" spans="4:23">
      <c r="D2283" s="31">
        <v>46030</v>
      </c>
      <c r="E2283" s="29">
        <v>19175304</v>
      </c>
      <c r="F2283" s="29" t="s">
        <v>55</v>
      </c>
      <c r="G2283" s="29" t="s">
        <v>778</v>
      </c>
      <c r="H2283" s="29">
        <v>73</v>
      </c>
      <c r="I2283" s="29">
        <v>68</v>
      </c>
      <c r="J2283" s="29">
        <v>30.5</v>
      </c>
      <c r="K2283" s="29">
        <v>53</v>
      </c>
      <c r="L2283" s="29">
        <v>52</v>
      </c>
      <c r="M2283" s="29">
        <v>59</v>
      </c>
      <c r="N2283" s="29">
        <v>57</v>
      </c>
      <c r="O2283" s="32">
        <v>392.5</v>
      </c>
      <c r="P2283" s="29" cm="1">
        <f t="array" ref="P2283">IF(表成绩单[[#This Row],[语文]]="","",SUMPRODUCT((表成绩单[考试日期]=表成绩单[[#This Row],[考试日期]])*(表成绩单[语文]&lt;9E+307)*(表成绩单[语文]&gt;表成绩单[[#This Row],[语文]]))+1)</f>
        <v>722</v>
      </c>
      <c r="Q2283" s="29" cm="1">
        <f t="array" ref="Q2283">IF(表成绩单[[#This Row],[数学]]="","",SUMPRODUCT((表成绩单[考试日期]=表成绩单[[#This Row],[考试日期]])*(表成绩单[数学]&lt;9E+307)*(表成绩单[数学]&gt;表成绩单[[#This Row],[数学]]))+1)</f>
        <v>608</v>
      </c>
      <c r="R2283" s="29" cm="1">
        <f t="array" ref="R2283">IF(表成绩单[[#This Row],[英语]]="","",SUMPRODUCT((表成绩单[考试日期]=表成绩单[[#This Row],[考试日期]])*(表成绩单[英语]&lt;9E+307)*(表成绩单[英语]&gt;表成绩单[[#This Row],[英语]]))+1)</f>
        <v>758</v>
      </c>
      <c r="S2283" s="29" cm="1">
        <f t="array" ref="S2283">IF(表成绩单[[#This Row],[物理]]="","",SUMPRODUCT((表成绩单[考试日期]=表成绩单[[#This Row],[考试日期]])*(表成绩单[物理]&lt;9E+307)*(表成绩单[物理]&gt;表成绩单[[#This Row],[物理]]))+1)</f>
        <v>578</v>
      </c>
      <c r="T2283" s="29" cm="1">
        <f t="array" ref="T2283">IF(表成绩单[[#This Row],[化学]]="","",SUMPRODUCT((表成绩单[考试日期]=表成绩单[[#This Row],[考试日期]])*(表成绩单[化学]&lt;9E+307)*(表成绩单[化学]&gt;表成绩单[[#This Row],[化学]]))+1)</f>
        <v>638</v>
      </c>
      <c r="U2283" s="29" cm="1">
        <f t="array" ref="U2283">IF(表成绩单[[#This Row],[政治]]="","",SUMPRODUCT((表成绩单[考试日期]=表成绩单[[#This Row],[考试日期]])*(表成绩单[政治]&lt;9E+307)*(表成绩单[政治]&gt;表成绩单[[#This Row],[政治]]))+1)</f>
        <v>557</v>
      </c>
      <c r="V2283" s="29" cm="1">
        <f t="array" ref="V2283">IF(表成绩单[[#This Row],[历史]]="","",SUMPRODUCT((表成绩单[考试日期]=表成绩单[[#This Row],[考试日期]])*(表成绩单[历史]&lt;9E+307)*(表成绩单[历史]&gt;表成绩单[[#This Row],[历史]]))+1)</f>
        <v>637</v>
      </c>
      <c r="W2283" s="29" cm="1">
        <f t="array" ref="W2283">IF(表成绩单[[#This Row],[总分]]="","",SUMPRODUCT((表成绩单[考试日期]=表成绩单[[#This Row],[考试日期]])*(表成绩单[总分]&lt;9E+307)*(表成绩单[总分]&gt;表成绩单[[#This Row],[总分]]))+1)</f>
        <v>677</v>
      </c>
    </row>
    <row r="2284" ht="28" customHeight="1" spans="4:23">
      <c r="D2284" s="31">
        <v>46030</v>
      </c>
      <c r="E2284" s="29">
        <v>19176004</v>
      </c>
      <c r="F2284" s="29" t="s">
        <v>59</v>
      </c>
      <c r="G2284" s="29" t="s">
        <v>807</v>
      </c>
      <c r="H2284" s="29">
        <v>72</v>
      </c>
      <c r="I2284" s="29">
        <v>77</v>
      </c>
      <c r="J2284" s="29">
        <v>38.5</v>
      </c>
      <c r="K2284" s="29">
        <v>58</v>
      </c>
      <c r="L2284" s="29">
        <v>48</v>
      </c>
      <c r="M2284" s="29">
        <v>44</v>
      </c>
      <c r="N2284" s="29">
        <v>55</v>
      </c>
      <c r="O2284" s="32">
        <v>392.5</v>
      </c>
      <c r="P2284" s="29" cm="1">
        <f t="array" ref="P2284">IF(表成绩单[[#This Row],[语文]]="","",SUMPRODUCT((表成绩单[考试日期]=表成绩单[[#This Row],[考试日期]])*(表成绩单[语文]&lt;9E+307)*(表成绩单[语文]&gt;表成绩单[[#This Row],[语文]]))+1)</f>
        <v>731</v>
      </c>
      <c r="Q2284" s="29" cm="1">
        <f t="array" ref="Q2284">IF(表成绩单[[#This Row],[数学]]="","",SUMPRODUCT((表成绩单[考试日期]=表成绩单[[#This Row],[考试日期]])*(表成绩单[数学]&lt;9E+307)*(表成绩单[数学]&gt;表成绩单[[#This Row],[数学]]))+1)</f>
        <v>478</v>
      </c>
      <c r="R2284" s="29" cm="1">
        <f t="array" ref="R2284">IF(表成绩单[[#This Row],[英语]]="","",SUMPRODUCT((表成绩单[考试日期]=表成绩单[[#This Row],[考试日期]])*(表成绩单[英语]&lt;9E+307)*(表成绩单[英语]&gt;表成绩单[[#This Row],[英语]]))+1)</f>
        <v>728</v>
      </c>
      <c r="S2284" s="29" cm="1">
        <f t="array" ref="S2284">IF(表成绩单[[#This Row],[物理]]="","",SUMPRODUCT((表成绩单[考试日期]=表成绩单[[#This Row],[考试日期]])*(表成绩单[物理]&lt;9E+307)*(表成绩单[物理]&gt;表成绩单[[#This Row],[物理]]))+1)</f>
        <v>527</v>
      </c>
      <c r="T2284" s="29" cm="1">
        <f t="array" ref="T2284">IF(表成绩单[[#This Row],[化学]]="","",SUMPRODUCT((表成绩单[考试日期]=表成绩单[[#This Row],[考试日期]])*(表成绩单[化学]&lt;9E+307)*(表成绩单[化学]&gt;表成绩单[[#This Row],[化学]]))+1)</f>
        <v>685</v>
      </c>
      <c r="U2284" s="29" cm="1">
        <f t="array" ref="U2284">IF(表成绩单[[#This Row],[政治]]="","",SUMPRODUCT((表成绩单[考试日期]=表成绩单[[#This Row],[考试日期]])*(表成绩单[政治]&lt;9E+307)*(表成绩单[政治]&gt;表成绩单[[#This Row],[政治]]))+1)</f>
        <v>709</v>
      </c>
      <c r="V2284" s="29" cm="1">
        <f t="array" ref="V2284">IF(表成绩单[[#This Row],[历史]]="","",SUMPRODUCT((表成绩单[考试日期]=表成绩单[[#This Row],[考试日期]])*(表成绩单[历史]&lt;9E+307)*(表成绩单[历史]&gt;表成绩单[[#This Row],[历史]]))+1)</f>
        <v>662</v>
      </c>
      <c r="W2284" s="29" cm="1">
        <f t="array" ref="W2284">IF(表成绩单[[#This Row],[总分]]="","",SUMPRODUCT((表成绩单[考试日期]=表成绩单[[#This Row],[考试日期]])*(表成绩单[总分]&lt;9E+307)*(表成绩单[总分]&gt;表成绩单[[#This Row],[总分]]))+1)</f>
        <v>677</v>
      </c>
    </row>
    <row r="2285" ht="28" customHeight="1" spans="4:23">
      <c r="D2285" s="31">
        <v>46030</v>
      </c>
      <c r="E2285" s="29">
        <v>19175608</v>
      </c>
      <c r="F2285" s="29" t="s">
        <v>57</v>
      </c>
      <c r="G2285" s="29" t="s">
        <v>788</v>
      </c>
      <c r="H2285" s="29">
        <v>100</v>
      </c>
      <c r="I2285" s="29">
        <v>49</v>
      </c>
      <c r="J2285" s="29">
        <v>46</v>
      </c>
      <c r="K2285" s="29">
        <v>37</v>
      </c>
      <c r="L2285" s="29">
        <v>53</v>
      </c>
      <c r="M2285" s="29">
        <v>49</v>
      </c>
      <c r="N2285" s="29">
        <v>56</v>
      </c>
      <c r="O2285" s="32">
        <v>390</v>
      </c>
      <c r="P2285" s="29" cm="1">
        <f t="array" ref="P2285">IF(表成绩单[[#This Row],[语文]]="","",SUMPRODUCT((表成绩单[考试日期]=表成绩单[[#This Row],[考试日期]])*(表成绩单[语文]&lt;9E+307)*(表成绩单[语文]&gt;表成绩单[[#This Row],[语文]]))+1)</f>
        <v>182</v>
      </c>
      <c r="Q2285" s="29" cm="1">
        <f t="array" ref="Q2285">IF(表成绩单[[#This Row],[数学]]="","",SUMPRODUCT((表成绩单[考试日期]=表成绩单[[#This Row],[考试日期]])*(表成绩单[数学]&lt;9E+307)*(表成绩单[数学]&gt;表成绩单[[#This Row],[数学]]))+1)</f>
        <v>731</v>
      </c>
      <c r="R2285" s="29" cm="1">
        <f t="array" ref="R2285">IF(表成绩单[[#This Row],[英语]]="","",SUMPRODUCT((表成绩单[考试日期]=表成绩单[[#This Row],[考试日期]])*(表成绩单[英语]&lt;9E+307)*(表成绩单[英语]&gt;表成绩单[[#This Row],[英语]]))+1)</f>
        <v>682</v>
      </c>
      <c r="S2285" s="29" cm="1">
        <f t="array" ref="S2285">IF(表成绩单[[#This Row],[物理]]="","",SUMPRODUCT((表成绩单[考试日期]=表成绩单[[#This Row],[考试日期]])*(表成绩单[物理]&lt;9E+307)*(表成绩单[物理]&gt;表成绩单[[#This Row],[物理]]))+1)</f>
        <v>708</v>
      </c>
      <c r="T2285" s="29" cm="1">
        <f t="array" ref="T2285">IF(表成绩单[[#This Row],[化学]]="","",SUMPRODUCT((表成绩单[考试日期]=表成绩单[[#This Row],[考试日期]])*(表成绩单[化学]&lt;9E+307)*(表成绩单[化学]&gt;表成绩单[[#This Row],[化学]]))+1)</f>
        <v>623</v>
      </c>
      <c r="U2285" s="29" cm="1">
        <f t="array" ref="U2285">IF(表成绩单[[#This Row],[政治]]="","",SUMPRODUCT((表成绩单[考试日期]=表成绩单[[#This Row],[考试日期]])*(表成绩单[政治]&lt;9E+307)*(表成绩单[政治]&gt;表成绩单[[#This Row],[政治]]))+1)</f>
        <v>667</v>
      </c>
      <c r="V2285" s="29" cm="1">
        <f t="array" ref="V2285">IF(表成绩单[[#This Row],[历史]]="","",SUMPRODUCT((表成绩单[考试日期]=表成绩单[[#This Row],[考试日期]])*(表成绩单[历史]&lt;9E+307)*(表成绩单[历史]&gt;表成绩单[[#This Row],[历史]]))+1)</f>
        <v>651</v>
      </c>
      <c r="W2285" s="29" cm="1">
        <f t="array" ref="W2285">IF(表成绩单[[#This Row],[总分]]="","",SUMPRODUCT((表成绩单[考试日期]=表成绩单[[#This Row],[考试日期]])*(表成绩单[总分]&lt;9E+307)*(表成绩单[总分]&gt;表成绩单[[#This Row],[总分]]))+1)</f>
        <v>679</v>
      </c>
    </row>
    <row r="2286" ht="28" customHeight="1" spans="4:23">
      <c r="D2286" s="31">
        <v>46030</v>
      </c>
      <c r="E2286" s="29">
        <v>26752435</v>
      </c>
      <c r="F2286" s="29" t="s">
        <v>59</v>
      </c>
      <c r="G2286" s="29" t="s">
        <v>731</v>
      </c>
      <c r="H2286" s="29">
        <v>75</v>
      </c>
      <c r="I2286" s="29">
        <v>66</v>
      </c>
      <c r="J2286" s="29">
        <v>31</v>
      </c>
      <c r="K2286" s="29">
        <v>53</v>
      </c>
      <c r="L2286" s="29">
        <v>57</v>
      </c>
      <c r="M2286" s="29">
        <v>46</v>
      </c>
      <c r="N2286" s="29">
        <v>62</v>
      </c>
      <c r="O2286" s="32">
        <v>390</v>
      </c>
      <c r="P2286" s="29" cm="1">
        <f t="array" ref="P2286">IF(表成绩单[[#This Row],[语文]]="","",SUMPRODUCT((表成绩单[考试日期]=表成绩单[[#This Row],[考试日期]])*(表成绩单[语文]&lt;9E+307)*(表成绩单[语文]&gt;表成绩单[[#This Row],[语文]]))+1)</f>
        <v>714</v>
      </c>
      <c r="Q2286" s="29" cm="1">
        <f t="array" ref="Q2286">IF(表成绩单[[#This Row],[数学]]="","",SUMPRODUCT((表成绩单[考试日期]=表成绩单[[#This Row],[考试日期]])*(表成绩单[数学]&lt;9E+307)*(表成绩单[数学]&gt;表成绩单[[#This Row],[数学]]))+1)</f>
        <v>631</v>
      </c>
      <c r="R2286" s="29" cm="1">
        <f t="array" ref="R2286">IF(表成绩单[[#This Row],[英语]]="","",SUMPRODUCT((表成绩单[考试日期]=表成绩单[[#This Row],[考试日期]])*(表成绩单[英语]&lt;9E+307)*(表成绩单[英语]&gt;表成绩单[[#This Row],[英语]]))+1)</f>
        <v>756</v>
      </c>
      <c r="S2286" s="29" cm="1">
        <f t="array" ref="S2286">IF(表成绩单[[#This Row],[物理]]="","",SUMPRODUCT((表成绩单[考试日期]=表成绩单[[#This Row],[考试日期]])*(表成绩单[物理]&lt;9E+307)*(表成绩单[物理]&gt;表成绩单[[#This Row],[物理]]))+1)</f>
        <v>578</v>
      </c>
      <c r="T2286" s="29" cm="1">
        <f t="array" ref="T2286">IF(表成绩单[[#This Row],[化学]]="","",SUMPRODUCT((表成绩单[考试日期]=表成绩单[[#This Row],[考试日期]])*(表成绩单[化学]&lt;9E+307)*(表成绩单[化学]&gt;表成绩单[[#This Row],[化学]]))+1)</f>
        <v>564</v>
      </c>
      <c r="U2286" s="29" cm="1">
        <f t="array" ref="U2286">IF(表成绩单[[#This Row],[政治]]="","",SUMPRODUCT((表成绩单[考试日期]=表成绩单[[#This Row],[考试日期]])*(表成绩单[政治]&lt;9E+307)*(表成绩单[政治]&gt;表成绩单[[#This Row],[政治]]))+1)</f>
        <v>692</v>
      </c>
      <c r="V2286" s="29" cm="1">
        <f t="array" ref="V2286">IF(表成绩单[[#This Row],[历史]]="","",SUMPRODUCT((表成绩单[考试日期]=表成绩单[[#This Row],[考试日期]])*(表成绩单[历史]&lt;9E+307)*(表成绩单[历史]&gt;表成绩单[[#This Row],[历史]]))+1)</f>
        <v>545</v>
      </c>
      <c r="W2286" s="29" cm="1">
        <f t="array" ref="W2286">IF(表成绩单[[#This Row],[总分]]="","",SUMPRODUCT((表成绩单[考试日期]=表成绩单[[#This Row],[考试日期]])*(表成绩单[总分]&lt;9E+307)*(表成绩单[总分]&gt;表成绩单[[#This Row],[总分]]))+1)</f>
        <v>679</v>
      </c>
    </row>
    <row r="2287" ht="28" customHeight="1" spans="4:23">
      <c r="D2287" s="31">
        <v>46030</v>
      </c>
      <c r="E2287" s="29">
        <v>19172641</v>
      </c>
      <c r="F2287" s="29" t="s">
        <v>60</v>
      </c>
      <c r="G2287" s="29" t="s">
        <v>796</v>
      </c>
      <c r="H2287" s="29">
        <v>93</v>
      </c>
      <c r="I2287" s="29">
        <v>49</v>
      </c>
      <c r="J2287" s="29">
        <v>59.5</v>
      </c>
      <c r="K2287" s="29">
        <v>51</v>
      </c>
      <c r="L2287" s="29">
        <v>56</v>
      </c>
      <c r="M2287" s="29">
        <v>33</v>
      </c>
      <c r="N2287" s="29">
        <v>48</v>
      </c>
      <c r="O2287" s="32">
        <v>389.5</v>
      </c>
      <c r="P2287" s="29" cm="1">
        <f t="array" ref="P2287">IF(表成绩单[[#This Row],[语文]]="","",SUMPRODUCT((表成绩单[考试日期]=表成绩单[[#This Row],[考试日期]])*(表成绩单[语文]&lt;9E+307)*(表成绩单[语文]&gt;表成绩单[[#This Row],[语文]]))+1)</f>
        <v>412</v>
      </c>
      <c r="Q2287" s="29" cm="1">
        <f t="array" ref="Q2287">IF(表成绩单[[#This Row],[数学]]="","",SUMPRODUCT((表成绩单[考试日期]=表成绩单[[#This Row],[考试日期]])*(表成绩单[数学]&lt;9E+307)*(表成绩单[数学]&gt;表成绩单[[#This Row],[数学]]))+1)</f>
        <v>731</v>
      </c>
      <c r="R2287" s="29" cm="1">
        <f t="array" ref="R2287">IF(表成绩单[[#This Row],[英语]]="","",SUMPRODUCT((表成绩单[考试日期]=表成绩单[[#This Row],[考试日期]])*(表成绩单[英语]&lt;9E+307)*(表成绩单[英语]&gt;表成绩单[[#This Row],[英语]]))+1)</f>
        <v>533</v>
      </c>
      <c r="S2287" s="29" cm="1">
        <f t="array" ref="S2287">IF(表成绩单[[#This Row],[物理]]="","",SUMPRODUCT((表成绩单[考试日期]=表成绩单[[#This Row],[考试日期]])*(表成绩单[物理]&lt;9E+307)*(表成绩单[物理]&gt;表成绩单[[#This Row],[物理]]))+1)</f>
        <v>595</v>
      </c>
      <c r="T2287" s="29" cm="1">
        <f t="array" ref="T2287">IF(表成绩单[[#This Row],[化学]]="","",SUMPRODUCT((表成绩单[考试日期]=表成绩单[[#This Row],[考试日期]])*(表成绩单[化学]&lt;9E+307)*(表成绩单[化学]&gt;表成绩单[[#This Row],[化学]]))+1)</f>
        <v>581</v>
      </c>
      <c r="U2287" s="29" cm="1">
        <f t="array" ref="U2287">IF(表成绩单[[#This Row],[政治]]="","",SUMPRODUCT((表成绩单[考试日期]=表成绩单[[#This Row],[考试日期]])*(表成绩单[政治]&lt;9E+307)*(表成绩单[政治]&gt;表成绩单[[#This Row],[政治]]))+1)</f>
        <v>761</v>
      </c>
      <c r="V2287" s="29" cm="1">
        <f t="array" ref="V2287">IF(表成绩单[[#This Row],[历史]]="","",SUMPRODUCT((表成绩单[考试日期]=表成绩单[[#This Row],[考试日期]])*(表成绩单[历史]&lt;9E+307)*(表成绩单[历史]&gt;表成绩单[[#This Row],[历史]]))+1)</f>
        <v>733</v>
      </c>
      <c r="W2287" s="29" cm="1">
        <f t="array" ref="W2287">IF(表成绩单[[#This Row],[总分]]="","",SUMPRODUCT((表成绩单[考试日期]=表成绩单[[#This Row],[考试日期]])*(表成绩单[总分]&lt;9E+307)*(表成绩单[总分]&gt;表成绩单[[#This Row],[总分]]))+1)</f>
        <v>681</v>
      </c>
    </row>
    <row r="2288" ht="28" customHeight="1" spans="4:23">
      <c r="D2288" s="31">
        <v>46030</v>
      </c>
      <c r="E2288" s="29">
        <v>19173263</v>
      </c>
      <c r="F2288" s="29" t="s">
        <v>61</v>
      </c>
      <c r="G2288" s="29" t="s">
        <v>712</v>
      </c>
      <c r="H2288" s="29">
        <v>73</v>
      </c>
      <c r="I2288" s="29">
        <v>81</v>
      </c>
      <c r="J2288" s="29">
        <v>43</v>
      </c>
      <c r="K2288" s="29">
        <v>43</v>
      </c>
      <c r="L2288" s="29">
        <v>62</v>
      </c>
      <c r="M2288" s="29">
        <v>28</v>
      </c>
      <c r="N2288" s="29">
        <v>59</v>
      </c>
      <c r="O2288" s="32">
        <v>389</v>
      </c>
      <c r="P2288" s="29" cm="1">
        <f t="array" ref="P2288">IF(表成绩单[[#This Row],[语文]]="","",SUMPRODUCT((表成绩单[考试日期]=表成绩单[[#This Row],[考试日期]])*(表成绩单[语文]&lt;9E+307)*(表成绩单[语文]&gt;表成绩单[[#This Row],[语文]]))+1)</f>
        <v>722</v>
      </c>
      <c r="Q2288" s="29" cm="1">
        <f t="array" ref="Q2288">IF(表成绩单[[#This Row],[数学]]="","",SUMPRODUCT((表成绩单[考试日期]=表成绩单[[#This Row],[考试日期]])*(表成绩单[数学]&lt;9E+307)*(表成绩单[数学]&gt;表成绩单[[#This Row],[数学]]))+1)</f>
        <v>396</v>
      </c>
      <c r="R2288" s="29" cm="1">
        <f t="array" ref="R2288">IF(表成绩单[[#This Row],[英语]]="","",SUMPRODUCT((表成绩单[考试日期]=表成绩单[[#This Row],[考试日期]])*(表成绩单[英语]&lt;9E+307)*(表成绩单[英语]&gt;表成绩单[[#This Row],[英语]]))+1)</f>
        <v>704</v>
      </c>
      <c r="S2288" s="29" cm="1">
        <f t="array" ref="S2288">IF(表成绩单[[#This Row],[物理]]="","",SUMPRODUCT((表成绩单[考试日期]=表成绩单[[#This Row],[考试日期]])*(表成绩单[物理]&lt;9E+307)*(表成绩单[物理]&gt;表成绩单[[#This Row],[物理]]))+1)</f>
        <v>674</v>
      </c>
      <c r="T2288" s="29" cm="1">
        <f t="array" ref="T2288">IF(表成绩单[[#This Row],[化学]]="","",SUMPRODUCT((表成绩单[考试日期]=表成绩单[[#This Row],[考试日期]])*(表成绩单[化学]&lt;9E+307)*(表成绩单[化学]&gt;表成绩单[[#This Row],[化学]]))+1)</f>
        <v>494</v>
      </c>
      <c r="U2288" s="29" cm="1">
        <f t="array" ref="U2288">IF(表成绩单[[#This Row],[政治]]="","",SUMPRODUCT((表成绩单[考试日期]=表成绩单[[#This Row],[考试日期]])*(表成绩单[政治]&lt;9E+307)*(表成绩单[政治]&gt;表成绩单[[#This Row],[政治]]))+1)</f>
        <v>773</v>
      </c>
      <c r="V2288" s="29" cm="1">
        <f t="array" ref="V2288">IF(表成绩单[[#This Row],[历史]]="","",SUMPRODUCT((表成绩单[考试日期]=表成绩单[[#This Row],[考试日期]])*(表成绩单[历史]&lt;9E+307)*(表成绩单[历史]&gt;表成绩单[[#This Row],[历史]]))+1)</f>
        <v>601</v>
      </c>
      <c r="W2288" s="29" cm="1">
        <f t="array" ref="W2288">IF(表成绩单[[#This Row],[总分]]="","",SUMPRODUCT((表成绩单[考试日期]=表成绩单[[#This Row],[考试日期]])*(表成绩单[总分]&lt;9E+307)*(表成绩单[总分]&gt;表成绩单[[#This Row],[总分]]))+1)</f>
        <v>682</v>
      </c>
    </row>
    <row r="2289" ht="28" customHeight="1" spans="4:23">
      <c r="D2289" s="31">
        <v>46030</v>
      </c>
      <c r="E2289" s="29">
        <v>19175323</v>
      </c>
      <c r="F2289" s="29" t="s">
        <v>55</v>
      </c>
      <c r="G2289" s="29" t="s">
        <v>785</v>
      </c>
      <c r="H2289" s="29">
        <v>85</v>
      </c>
      <c r="I2289" s="29">
        <v>57</v>
      </c>
      <c r="J2289" s="29">
        <v>49.5</v>
      </c>
      <c r="K2289" s="29">
        <v>42</v>
      </c>
      <c r="L2289" s="29">
        <v>54</v>
      </c>
      <c r="M2289" s="29">
        <v>53</v>
      </c>
      <c r="N2289" s="29">
        <v>47</v>
      </c>
      <c r="O2289" s="32">
        <v>387.5</v>
      </c>
      <c r="P2289" s="29" cm="1">
        <f t="array" ref="P2289">IF(表成绩单[[#This Row],[语文]]="","",SUMPRODUCT((表成绩单[考试日期]=表成绩单[[#This Row],[考试日期]])*(表成绩单[语文]&lt;9E+307)*(表成绩单[语文]&gt;表成绩单[[#This Row],[语文]]))+1)</f>
        <v>619</v>
      </c>
      <c r="Q2289" s="29" cm="1">
        <f t="array" ref="Q2289">IF(表成绩单[[#This Row],[数学]]="","",SUMPRODUCT((表成绩单[考试日期]=表成绩单[[#This Row],[考试日期]])*(表成绩单[数学]&lt;9E+307)*(表成绩单[数学]&gt;表成绩单[[#This Row],[数学]]))+1)</f>
        <v>693</v>
      </c>
      <c r="R2289" s="29" cm="1">
        <f t="array" ref="R2289">IF(表成绩单[[#This Row],[英语]]="","",SUMPRODUCT((表成绩单[考试日期]=表成绩单[[#This Row],[考试日期]])*(表成绩单[英语]&lt;9E+307)*(表成绩单[英语]&gt;表成绩单[[#This Row],[英语]]))+1)</f>
        <v>651</v>
      </c>
      <c r="S2289" s="29" cm="1">
        <f t="array" ref="S2289">IF(表成绩单[[#This Row],[物理]]="","",SUMPRODUCT((表成绩单[考试日期]=表成绩单[[#This Row],[考试日期]])*(表成绩单[物理]&lt;9E+307)*(表成绩单[物理]&gt;表成绩单[[#This Row],[物理]]))+1)</f>
        <v>681</v>
      </c>
      <c r="T2289" s="29" cm="1">
        <f t="array" ref="T2289">IF(表成绩单[[#This Row],[化学]]="","",SUMPRODUCT((表成绩单[考试日期]=表成绩单[[#This Row],[考试日期]])*(表成绩单[化学]&lt;9E+307)*(表成绩单[化学]&gt;表成绩单[[#This Row],[化学]]))+1)</f>
        <v>609</v>
      </c>
      <c r="U2289" s="29" cm="1">
        <f t="array" ref="U2289">IF(表成绩单[[#This Row],[政治]]="","",SUMPRODUCT((表成绩单[考试日期]=表成绩单[[#This Row],[考试日期]])*(表成绩单[政治]&lt;9E+307)*(表成绩单[政治]&gt;表成绩单[[#This Row],[政治]]))+1)</f>
        <v>630</v>
      </c>
      <c r="V2289" s="29" cm="1">
        <f t="array" ref="V2289">IF(表成绩单[[#This Row],[历史]]="","",SUMPRODUCT((表成绩单[考试日期]=表成绩单[[#This Row],[考试日期]])*(表成绩单[历史]&lt;9E+307)*(表成绩单[历史]&gt;表成绩单[[#This Row],[历史]]))+1)</f>
        <v>739</v>
      </c>
      <c r="W2289" s="29" cm="1">
        <f t="array" ref="W2289">IF(表成绩单[[#This Row],[总分]]="","",SUMPRODUCT((表成绩单[考试日期]=表成绩单[[#This Row],[考试日期]])*(表成绩单[总分]&lt;9E+307)*(表成绩单[总分]&gt;表成绩单[[#This Row],[总分]]))+1)</f>
        <v>683</v>
      </c>
    </row>
    <row r="2290" ht="28" customHeight="1" spans="4:23">
      <c r="D2290" s="31">
        <v>46030</v>
      </c>
      <c r="E2290" s="29">
        <v>19175294</v>
      </c>
      <c r="F2290" s="29" t="s">
        <v>55</v>
      </c>
      <c r="G2290" s="29" t="s">
        <v>722</v>
      </c>
      <c r="H2290" s="29">
        <v>84</v>
      </c>
      <c r="I2290" s="29">
        <v>47</v>
      </c>
      <c r="J2290" s="29">
        <v>59</v>
      </c>
      <c r="K2290" s="29">
        <v>35</v>
      </c>
      <c r="L2290" s="29">
        <v>48</v>
      </c>
      <c r="M2290" s="29">
        <v>56</v>
      </c>
      <c r="N2290" s="29">
        <v>58</v>
      </c>
      <c r="O2290" s="32">
        <v>387</v>
      </c>
      <c r="P2290" s="29" cm="1">
        <f t="array" ref="P2290">IF(表成绩单[[#This Row],[语文]]="","",SUMPRODUCT((表成绩单[考试日期]=表成绩单[[#This Row],[考试日期]])*(表成绩单[语文]&lt;9E+307)*(表成绩单[语文]&gt;表成绩单[[#This Row],[语文]]))+1)</f>
        <v>635</v>
      </c>
      <c r="Q2290" s="29" cm="1">
        <f t="array" ref="Q2290">IF(表成绩单[[#This Row],[数学]]="","",SUMPRODUCT((表成绩单[考试日期]=表成绩单[[#This Row],[考试日期]])*(表成绩单[数学]&lt;9E+307)*(表成绩单[数学]&gt;表成绩单[[#This Row],[数学]]))+1)</f>
        <v>734</v>
      </c>
      <c r="R2290" s="29" cm="1">
        <f t="array" ref="R2290">IF(表成绩单[[#This Row],[英语]]="","",SUMPRODUCT((表成绩单[考试日期]=表成绩单[[#This Row],[考试日期]])*(表成绩单[英语]&lt;9E+307)*(表成绩单[英语]&gt;表成绩单[[#This Row],[英语]]))+1)</f>
        <v>538</v>
      </c>
      <c r="S2290" s="29" cm="1">
        <f t="array" ref="S2290">IF(表成绩单[[#This Row],[物理]]="","",SUMPRODUCT((表成绩单[考试日期]=表成绩单[[#This Row],[考试日期]])*(表成绩单[物理]&lt;9E+307)*(表成绩单[物理]&gt;表成绩单[[#This Row],[物理]]))+1)</f>
        <v>722</v>
      </c>
      <c r="T2290" s="29" cm="1">
        <f t="array" ref="T2290">IF(表成绩单[[#This Row],[化学]]="","",SUMPRODUCT((表成绩单[考试日期]=表成绩单[[#This Row],[考试日期]])*(表成绩单[化学]&lt;9E+307)*(表成绩单[化学]&gt;表成绩单[[#This Row],[化学]]))+1)</f>
        <v>685</v>
      </c>
      <c r="U2290" s="29" cm="1">
        <f t="array" ref="U2290">IF(表成绩单[[#This Row],[政治]]="","",SUMPRODUCT((表成绩单[考试日期]=表成绩单[[#This Row],[考试日期]])*(表成绩单[政治]&lt;9E+307)*(表成绩单[政治]&gt;表成绩单[[#This Row],[政治]]))+1)</f>
        <v>603</v>
      </c>
      <c r="V2290" s="29" cm="1">
        <f t="array" ref="V2290">IF(表成绩单[[#This Row],[历史]]="","",SUMPRODUCT((表成绩单[考试日期]=表成绩单[[#This Row],[考试日期]])*(表成绩单[历史]&lt;9E+307)*(表成绩单[历史]&gt;表成绩单[[#This Row],[历史]]))+1)</f>
        <v>620</v>
      </c>
      <c r="W2290" s="29" cm="1">
        <f t="array" ref="W2290">IF(表成绩单[[#This Row],[总分]]="","",SUMPRODUCT((表成绩单[考试日期]=表成绩单[[#This Row],[考试日期]])*(表成绩单[总分]&lt;9E+307)*(表成绩单[总分]&gt;表成绩单[[#This Row],[总分]]))+1)</f>
        <v>684</v>
      </c>
    </row>
    <row r="2291" ht="28" customHeight="1" spans="4:23">
      <c r="D2291" s="31">
        <v>46030</v>
      </c>
      <c r="E2291" s="29">
        <v>33603967</v>
      </c>
      <c r="F2291" s="29" t="s">
        <v>66</v>
      </c>
      <c r="G2291" s="29" t="s">
        <v>744</v>
      </c>
      <c r="H2291" s="29">
        <v>71</v>
      </c>
      <c r="I2291" s="29">
        <v>58</v>
      </c>
      <c r="J2291" s="29">
        <v>49</v>
      </c>
      <c r="K2291" s="29">
        <v>45</v>
      </c>
      <c r="L2291" s="29">
        <v>56</v>
      </c>
      <c r="M2291" s="29">
        <v>50</v>
      </c>
      <c r="N2291" s="29">
        <v>57</v>
      </c>
      <c r="O2291" s="32">
        <v>386</v>
      </c>
      <c r="P2291" s="29" cm="1">
        <f t="array" ref="P2291">IF(表成绩单[[#This Row],[语文]]="","",SUMPRODUCT((表成绩单[考试日期]=表成绩单[[#This Row],[考试日期]])*(表成绩单[语文]&lt;9E+307)*(表成绩单[语文]&gt;表成绩单[[#This Row],[语文]]))+1)</f>
        <v>737</v>
      </c>
      <c r="Q2291" s="29" cm="1">
        <f t="array" ref="Q2291">IF(表成绩单[[#This Row],[数学]]="","",SUMPRODUCT((表成绩单[考试日期]=表成绩单[[#This Row],[考试日期]])*(表成绩单[数学]&lt;9E+307)*(表成绩单[数学]&gt;表成绩单[[#This Row],[数学]]))+1)</f>
        <v>685</v>
      </c>
      <c r="R2291" s="29" cm="1">
        <f t="array" ref="R2291">IF(表成绩单[[#This Row],[英语]]="","",SUMPRODUCT((表成绩单[考试日期]=表成绩单[[#This Row],[考试日期]])*(表成绩单[英语]&lt;9E+307)*(表成绩单[英语]&gt;表成绩单[[#This Row],[英语]]))+1)</f>
        <v>659</v>
      </c>
      <c r="S2291" s="29" cm="1">
        <f t="array" ref="S2291">IF(表成绩单[[#This Row],[物理]]="","",SUMPRODUCT((表成绩单[考试日期]=表成绩单[[#This Row],[考试日期]])*(表成绩单[物理]&lt;9E+307)*(表成绩单[物理]&gt;表成绩单[[#This Row],[物理]]))+1)</f>
        <v>655</v>
      </c>
      <c r="T2291" s="29" cm="1">
        <f t="array" ref="T2291">IF(表成绩单[[#This Row],[化学]]="","",SUMPRODUCT((表成绩单[考试日期]=表成绩单[[#This Row],[考试日期]])*(表成绩单[化学]&lt;9E+307)*(表成绩单[化学]&gt;表成绩单[[#This Row],[化学]]))+1)</f>
        <v>581</v>
      </c>
      <c r="U2291" s="29" cm="1">
        <f t="array" ref="U2291">IF(表成绩单[[#This Row],[政治]]="","",SUMPRODUCT((表成绩单[考试日期]=表成绩单[[#This Row],[考试日期]])*(表成绩单[政治]&lt;9E+307)*(表成绩单[政治]&gt;表成绩单[[#This Row],[政治]]))+1)</f>
        <v>663</v>
      </c>
      <c r="V2291" s="29" cm="1">
        <f t="array" ref="V2291">IF(表成绩单[[#This Row],[历史]]="","",SUMPRODUCT((表成绩单[考试日期]=表成绩单[[#This Row],[考试日期]])*(表成绩单[历史]&lt;9E+307)*(表成绩单[历史]&gt;表成绩单[[#This Row],[历史]]))+1)</f>
        <v>637</v>
      </c>
      <c r="W2291" s="29" cm="1">
        <f t="array" ref="W2291">IF(表成绩单[[#This Row],[总分]]="","",SUMPRODUCT((表成绩单[考试日期]=表成绩单[[#This Row],[考试日期]])*(表成绩单[总分]&lt;9E+307)*(表成绩单[总分]&gt;表成绩单[[#This Row],[总分]]))+1)</f>
        <v>685</v>
      </c>
    </row>
    <row r="2292" ht="28" customHeight="1" spans="4:23">
      <c r="D2292" s="31">
        <v>46030</v>
      </c>
      <c r="E2292" s="29">
        <v>19173767</v>
      </c>
      <c r="F2292" s="29" t="s">
        <v>65</v>
      </c>
      <c r="G2292" s="29" t="s">
        <v>828</v>
      </c>
      <c r="H2292" s="29">
        <v>84</v>
      </c>
      <c r="I2292" s="29">
        <v>44</v>
      </c>
      <c r="J2292" s="29">
        <v>53.5</v>
      </c>
      <c r="K2292" s="29">
        <v>39</v>
      </c>
      <c r="L2292" s="29">
        <v>44</v>
      </c>
      <c r="M2292" s="29">
        <v>58</v>
      </c>
      <c r="N2292" s="29">
        <v>62</v>
      </c>
      <c r="O2292" s="32">
        <v>384.5</v>
      </c>
      <c r="P2292" s="29" cm="1">
        <f t="array" ref="P2292">IF(表成绩单[[#This Row],[语文]]="","",SUMPRODUCT((表成绩单[考试日期]=表成绩单[[#This Row],[考试日期]])*(表成绩单[语文]&lt;9E+307)*(表成绩单[语文]&gt;表成绩单[[#This Row],[语文]]))+1)</f>
        <v>635</v>
      </c>
      <c r="Q2292" s="29" cm="1">
        <f t="array" ref="Q2292">IF(表成绩单[[#This Row],[数学]]="","",SUMPRODUCT((表成绩单[考试日期]=表成绩单[[#This Row],[考试日期]])*(表成绩单[数学]&lt;9E+307)*(表成绩单[数学]&gt;表成绩单[[#This Row],[数学]]))+1)</f>
        <v>743</v>
      </c>
      <c r="R2292" s="29" cm="1">
        <f t="array" ref="R2292">IF(表成绩单[[#This Row],[英语]]="","",SUMPRODUCT((表成绩单[考试日期]=表成绩单[[#This Row],[考试日期]])*(表成绩单[英语]&lt;9E+307)*(表成绩单[英语]&gt;表成绩单[[#This Row],[英语]]))+1)</f>
        <v>615</v>
      </c>
      <c r="S2292" s="29" cm="1">
        <f t="array" ref="S2292">IF(表成绩单[[#This Row],[物理]]="","",SUMPRODUCT((表成绩单[考试日期]=表成绩单[[#This Row],[考试日期]])*(表成绩单[物理]&lt;9E+307)*(表成绩单[物理]&gt;表成绩单[[#This Row],[物理]]))+1)</f>
        <v>698</v>
      </c>
      <c r="T2292" s="29" cm="1">
        <f t="array" ref="T2292">IF(表成绩单[[#This Row],[化学]]="","",SUMPRODUCT((表成绩单[考试日期]=表成绩单[[#This Row],[考试日期]])*(表成绩单[化学]&lt;9E+307)*(表成绩单[化学]&gt;表成绩单[[#This Row],[化学]]))+1)</f>
        <v>720</v>
      </c>
      <c r="U2292" s="29" cm="1">
        <f t="array" ref="U2292">IF(表成绩单[[#This Row],[政治]]="","",SUMPRODUCT((表成绩单[考试日期]=表成绩单[[#This Row],[考试日期]])*(表成绩单[政治]&lt;9E+307)*(表成绩单[政治]&gt;表成绩单[[#This Row],[政治]]))+1)</f>
        <v>582</v>
      </c>
      <c r="V2292" s="29" cm="1">
        <f t="array" ref="V2292">IF(表成绩单[[#This Row],[历史]]="","",SUMPRODUCT((表成绩单[考试日期]=表成绩单[[#This Row],[考试日期]])*(表成绩单[历史]&lt;9E+307)*(表成绩单[历史]&gt;表成绩单[[#This Row],[历史]]))+1)</f>
        <v>545</v>
      </c>
      <c r="W2292" s="29" cm="1">
        <f t="array" ref="W2292">IF(表成绩单[[#This Row],[总分]]="","",SUMPRODUCT((表成绩单[考试日期]=表成绩单[[#This Row],[考试日期]])*(表成绩单[总分]&lt;9E+307)*(表成绩单[总分]&gt;表成绩单[[#This Row],[总分]]))+1)</f>
        <v>686</v>
      </c>
    </row>
    <row r="2293" ht="28" customHeight="1" spans="4:23">
      <c r="D2293" s="31">
        <v>46030</v>
      </c>
      <c r="E2293" s="29">
        <v>19177623</v>
      </c>
      <c r="F2293" s="29" t="s">
        <v>58</v>
      </c>
      <c r="G2293" s="29" t="s">
        <v>783</v>
      </c>
      <c r="H2293" s="29">
        <v>82</v>
      </c>
      <c r="I2293" s="29">
        <v>56</v>
      </c>
      <c r="J2293" s="29">
        <v>42.5</v>
      </c>
      <c r="K2293" s="29">
        <v>48</v>
      </c>
      <c r="L2293" s="29">
        <v>41</v>
      </c>
      <c r="M2293" s="29">
        <v>58</v>
      </c>
      <c r="N2293" s="29">
        <v>57</v>
      </c>
      <c r="O2293" s="32">
        <v>384.5</v>
      </c>
      <c r="P2293" s="29" cm="1">
        <f t="array" ref="P2293">IF(表成绩单[[#This Row],[语文]]="","",SUMPRODUCT((表成绩单[考试日期]=表成绩单[[#This Row],[考试日期]])*(表成绩单[语文]&lt;9E+307)*(表成绩单[语文]&gt;表成绩单[[#This Row],[语文]]))+1)</f>
        <v>655</v>
      </c>
      <c r="Q2293" s="29" cm="1">
        <f t="array" ref="Q2293">IF(表成绩单[[#This Row],[数学]]="","",SUMPRODUCT((表成绩单[考试日期]=表成绩单[[#This Row],[考试日期]])*(表成绩单[数学]&lt;9E+307)*(表成绩单[数学]&gt;表成绩单[[#This Row],[数学]]))+1)</f>
        <v>698</v>
      </c>
      <c r="R2293" s="29" cm="1">
        <f t="array" ref="R2293">IF(表成绩单[[#This Row],[英语]]="","",SUMPRODUCT((表成绩单[考试日期]=表成绩单[[#This Row],[考试日期]])*(表成绩单[英语]&lt;9E+307)*(表成绩单[英语]&gt;表成绩单[[#This Row],[英语]]))+1)</f>
        <v>707</v>
      </c>
      <c r="S2293" s="29" cm="1">
        <f t="array" ref="S2293">IF(表成绩单[[#This Row],[物理]]="","",SUMPRODUCT((表成绩单[考试日期]=表成绩单[[#This Row],[考试日期]])*(表成绩单[物理]&lt;9E+307)*(表成绩单[物理]&gt;表成绩单[[#This Row],[物理]]))+1)</f>
        <v>629</v>
      </c>
      <c r="T2293" s="29" cm="1">
        <f t="array" ref="T2293">IF(表成绩单[[#This Row],[化学]]="","",SUMPRODUCT((表成绩单[考试日期]=表成绩单[[#This Row],[考试日期]])*(表成绩单[化学]&lt;9E+307)*(表成绩单[化学]&gt;表成绩单[[#This Row],[化学]]))+1)</f>
        <v>734</v>
      </c>
      <c r="U2293" s="29" cm="1">
        <f t="array" ref="U2293">IF(表成绩单[[#This Row],[政治]]="","",SUMPRODUCT((表成绩单[考试日期]=表成绩单[[#This Row],[考试日期]])*(表成绩单[政治]&lt;9E+307)*(表成绩单[政治]&gt;表成绩单[[#This Row],[政治]]))+1)</f>
        <v>582</v>
      </c>
      <c r="V2293" s="29" cm="1">
        <f t="array" ref="V2293">IF(表成绩单[[#This Row],[历史]]="","",SUMPRODUCT((表成绩单[考试日期]=表成绩单[[#This Row],[考试日期]])*(表成绩单[历史]&lt;9E+307)*(表成绩单[历史]&gt;表成绩单[[#This Row],[历史]]))+1)</f>
        <v>637</v>
      </c>
      <c r="W2293" s="29" cm="1">
        <f t="array" ref="W2293">IF(表成绩单[[#This Row],[总分]]="","",SUMPRODUCT((表成绩单[考试日期]=表成绩单[[#This Row],[考试日期]])*(表成绩单[总分]&lt;9E+307)*(表成绩单[总分]&gt;表成绩单[[#This Row],[总分]]))+1)</f>
        <v>686</v>
      </c>
    </row>
    <row r="2294" ht="28" customHeight="1" spans="4:23">
      <c r="D2294" s="31">
        <v>46030</v>
      </c>
      <c r="E2294" s="29">
        <v>19175997</v>
      </c>
      <c r="F2294" s="29" t="s">
        <v>59</v>
      </c>
      <c r="G2294" s="29" t="s">
        <v>813</v>
      </c>
      <c r="H2294" s="29">
        <v>81</v>
      </c>
      <c r="I2294" s="29">
        <v>67</v>
      </c>
      <c r="J2294" s="29">
        <v>47.5</v>
      </c>
      <c r="K2294" s="29">
        <v>27</v>
      </c>
      <c r="L2294" s="29">
        <v>56</v>
      </c>
      <c r="M2294" s="29">
        <v>46</v>
      </c>
      <c r="N2294" s="29">
        <v>58</v>
      </c>
      <c r="O2294" s="32">
        <v>382.5</v>
      </c>
      <c r="P2294" s="29" cm="1">
        <f t="array" ref="P2294">IF(表成绩单[[#This Row],[语文]]="","",SUMPRODUCT((表成绩单[考试日期]=表成绩单[[#This Row],[考试日期]])*(表成绩单[语文]&lt;9E+307)*(表成绩单[语文]&gt;表成绩单[[#This Row],[语文]]))+1)</f>
        <v>668</v>
      </c>
      <c r="Q2294" s="29" cm="1">
        <f t="array" ref="Q2294">IF(表成绩单[[#This Row],[数学]]="","",SUMPRODUCT((表成绩单[考试日期]=表成绩单[[#This Row],[考试日期]])*(表成绩单[数学]&lt;9E+307)*(表成绩单[数学]&gt;表成绩单[[#This Row],[数学]]))+1)</f>
        <v>620</v>
      </c>
      <c r="R2294" s="29" cm="1">
        <f t="array" ref="R2294">IF(表成绩单[[#This Row],[英语]]="","",SUMPRODUCT((表成绩单[考试日期]=表成绩单[[#This Row],[考试日期]])*(表成绩单[英语]&lt;9E+307)*(表成绩单[英语]&gt;表成绩单[[#This Row],[英语]]))+1)</f>
        <v>670</v>
      </c>
      <c r="S2294" s="29" cm="1">
        <f t="array" ref="S2294">IF(表成绩单[[#This Row],[物理]]="","",SUMPRODUCT((表成绩单[考试日期]=表成绩单[[#This Row],[考试日期]])*(表成绩单[物理]&lt;9E+307)*(表成绩单[物理]&gt;表成绩单[[#This Row],[物理]]))+1)</f>
        <v>762</v>
      </c>
      <c r="T2294" s="29" cm="1">
        <f t="array" ref="T2294">IF(表成绩单[[#This Row],[化学]]="","",SUMPRODUCT((表成绩单[考试日期]=表成绩单[[#This Row],[考试日期]])*(表成绩单[化学]&lt;9E+307)*(表成绩单[化学]&gt;表成绩单[[#This Row],[化学]]))+1)</f>
        <v>581</v>
      </c>
      <c r="U2294" s="29" cm="1">
        <f t="array" ref="U2294">IF(表成绩单[[#This Row],[政治]]="","",SUMPRODUCT((表成绩单[考试日期]=表成绩单[[#This Row],[考试日期]])*(表成绩单[政治]&lt;9E+307)*(表成绩单[政治]&gt;表成绩单[[#This Row],[政治]]))+1)</f>
        <v>692</v>
      </c>
      <c r="V2294" s="29" cm="1">
        <f t="array" ref="V2294">IF(表成绩单[[#This Row],[历史]]="","",SUMPRODUCT((表成绩单[考试日期]=表成绩单[[#This Row],[考试日期]])*(表成绩单[历史]&lt;9E+307)*(表成绩单[历史]&gt;表成绩单[[#This Row],[历史]]))+1)</f>
        <v>620</v>
      </c>
      <c r="W2294" s="29" cm="1">
        <f t="array" ref="W2294">IF(表成绩单[[#This Row],[总分]]="","",SUMPRODUCT((表成绩单[考试日期]=表成绩单[[#This Row],[考试日期]])*(表成绩单[总分]&lt;9E+307)*(表成绩单[总分]&gt;表成绩单[[#This Row],[总分]]))+1)</f>
        <v>688</v>
      </c>
    </row>
    <row r="2295" ht="28" customHeight="1" spans="4:23">
      <c r="D2295" s="31">
        <v>46030</v>
      </c>
      <c r="E2295" s="29">
        <v>19176002</v>
      </c>
      <c r="F2295" s="29" t="s">
        <v>59</v>
      </c>
      <c r="G2295" s="29" t="s">
        <v>792</v>
      </c>
      <c r="H2295" s="29">
        <v>73</v>
      </c>
      <c r="I2295" s="29">
        <v>62</v>
      </c>
      <c r="J2295" s="29">
        <v>34.5</v>
      </c>
      <c r="K2295" s="29">
        <v>55</v>
      </c>
      <c r="L2295" s="29">
        <v>57</v>
      </c>
      <c r="M2295" s="29">
        <v>45</v>
      </c>
      <c r="N2295" s="29">
        <v>56</v>
      </c>
      <c r="O2295" s="32">
        <v>382.5</v>
      </c>
      <c r="P2295" s="29" cm="1">
        <f t="array" ref="P2295">IF(表成绩单[[#This Row],[语文]]="","",SUMPRODUCT((表成绩单[考试日期]=表成绩单[[#This Row],[考试日期]])*(表成绩单[语文]&lt;9E+307)*(表成绩单[语文]&gt;表成绩单[[#This Row],[语文]]))+1)</f>
        <v>722</v>
      </c>
      <c r="Q2295" s="29" cm="1">
        <f t="array" ref="Q2295">IF(表成绩单[[#This Row],[数学]]="","",SUMPRODUCT((表成绩单[考试日期]=表成绩单[[#This Row],[考试日期]])*(表成绩单[数学]&lt;9E+307)*(表成绩单[数学]&gt;表成绩单[[#This Row],[数学]]))+1)</f>
        <v>661</v>
      </c>
      <c r="R2295" s="29" cm="1">
        <f t="array" ref="R2295">IF(表成绩单[[#This Row],[英语]]="","",SUMPRODUCT((表成绩单[考试日期]=表成绩单[[#This Row],[考试日期]])*(表成绩单[英语]&lt;9E+307)*(表成绩单[英语]&gt;表成绩单[[#This Row],[英语]]))+1)</f>
        <v>749</v>
      </c>
      <c r="S2295" s="29" cm="1">
        <f t="array" ref="S2295">IF(表成绩单[[#This Row],[物理]]="","",SUMPRODUCT((表成绩单[考试日期]=表成绩单[[#This Row],[考试日期]])*(表成绩单[物理]&lt;9E+307)*(表成绩单[物理]&gt;表成绩单[[#This Row],[物理]]))+1)</f>
        <v>562</v>
      </c>
      <c r="T2295" s="29" cm="1">
        <f t="array" ref="T2295">IF(表成绩单[[#This Row],[化学]]="","",SUMPRODUCT((表成绩单[考试日期]=表成绩单[[#This Row],[考试日期]])*(表成绩单[化学]&lt;9E+307)*(表成绩单[化学]&gt;表成绩单[[#This Row],[化学]]))+1)</f>
        <v>564</v>
      </c>
      <c r="U2295" s="29" cm="1">
        <f t="array" ref="U2295">IF(表成绩单[[#This Row],[政治]]="","",SUMPRODUCT((表成绩单[考试日期]=表成绩单[[#This Row],[考试日期]])*(表成绩单[政治]&lt;9E+307)*(表成绩单[政治]&gt;表成绩单[[#This Row],[政治]]))+1)</f>
        <v>701</v>
      </c>
      <c r="V2295" s="29" cm="1">
        <f t="array" ref="V2295">IF(表成绩单[[#This Row],[历史]]="","",SUMPRODUCT((表成绩单[考试日期]=表成绩单[[#This Row],[考试日期]])*(表成绩单[历史]&lt;9E+307)*(表成绩单[历史]&gt;表成绩单[[#This Row],[历史]]))+1)</f>
        <v>651</v>
      </c>
      <c r="W2295" s="29" cm="1">
        <f t="array" ref="W2295">IF(表成绩单[[#This Row],[总分]]="","",SUMPRODUCT((表成绩单[考试日期]=表成绩单[[#This Row],[考试日期]])*(表成绩单[总分]&lt;9E+307)*(表成绩单[总分]&gt;表成绩单[[#This Row],[总分]]))+1)</f>
        <v>688</v>
      </c>
    </row>
    <row r="2296" ht="28" customHeight="1" spans="4:23">
      <c r="D2296" s="31">
        <v>46030</v>
      </c>
      <c r="E2296" s="29">
        <v>19177629</v>
      </c>
      <c r="F2296" s="29" t="s">
        <v>58</v>
      </c>
      <c r="G2296" s="29" t="s">
        <v>779</v>
      </c>
      <c r="H2296" s="29">
        <v>77</v>
      </c>
      <c r="I2296" s="29">
        <v>72</v>
      </c>
      <c r="J2296" s="29">
        <v>40.5</v>
      </c>
      <c r="K2296" s="29">
        <v>58</v>
      </c>
      <c r="L2296" s="29">
        <v>51</v>
      </c>
      <c r="M2296" s="29">
        <v>44</v>
      </c>
      <c r="N2296" s="29">
        <v>40</v>
      </c>
      <c r="O2296" s="32">
        <v>382.5</v>
      </c>
      <c r="P2296" s="29" cm="1">
        <f t="array" ref="P2296">IF(表成绩单[[#This Row],[语文]]="","",SUMPRODUCT((表成绩单[考试日期]=表成绩单[[#This Row],[考试日期]])*(表成绩单[语文]&lt;9E+307)*(表成绩单[语文]&gt;表成绩单[[#This Row],[语文]]))+1)</f>
        <v>702</v>
      </c>
      <c r="Q2296" s="29" cm="1">
        <f t="array" ref="Q2296">IF(表成绩单[[#This Row],[数学]]="","",SUMPRODUCT((表成绩单[考试日期]=表成绩单[[#This Row],[考试日期]])*(表成绩单[数学]&lt;9E+307)*(表成绩单[数学]&gt;表成绩单[[#This Row],[数学]]))+1)</f>
        <v>562</v>
      </c>
      <c r="R2296" s="29" cm="1">
        <f t="array" ref="R2296">IF(表成绩单[[#This Row],[英语]]="","",SUMPRODUCT((表成绩单[考试日期]=表成绩单[[#This Row],[考试日期]])*(表成绩单[英语]&lt;9E+307)*(表成绩单[英语]&gt;表成绩单[[#This Row],[英语]]))+1)</f>
        <v>719</v>
      </c>
      <c r="S2296" s="29" cm="1">
        <f t="array" ref="S2296">IF(表成绩单[[#This Row],[物理]]="","",SUMPRODUCT((表成绩单[考试日期]=表成绩单[[#This Row],[考试日期]])*(表成绩单[物理]&lt;9E+307)*(表成绩单[物理]&gt;表成绩单[[#This Row],[物理]]))+1)</f>
        <v>527</v>
      </c>
      <c r="T2296" s="29" cm="1">
        <f t="array" ref="T2296">IF(表成绩单[[#This Row],[化学]]="","",SUMPRODUCT((表成绩单[考试日期]=表成绩单[[#This Row],[考试日期]])*(表成绩单[化学]&lt;9E+307)*(表成绩单[化学]&gt;表成绩单[[#This Row],[化学]]))+1)</f>
        <v>648</v>
      </c>
      <c r="U2296" s="29" cm="1">
        <f t="array" ref="U2296">IF(表成绩单[[#This Row],[政治]]="","",SUMPRODUCT((表成绩单[考试日期]=表成绩单[[#This Row],[考试日期]])*(表成绩单[政治]&lt;9E+307)*(表成绩单[政治]&gt;表成绩单[[#This Row],[政治]]))+1)</f>
        <v>709</v>
      </c>
      <c r="V2296" s="29" cm="1">
        <f t="array" ref="V2296">IF(表成绩单[[#This Row],[历史]]="","",SUMPRODUCT((表成绩单[考试日期]=表成绩单[[#This Row],[考试日期]])*(表成绩单[历史]&lt;9E+307)*(表成绩单[历史]&gt;表成绩单[[#This Row],[历史]]))+1)</f>
        <v>761</v>
      </c>
      <c r="W2296" s="29" cm="1">
        <f t="array" ref="W2296">IF(表成绩单[[#This Row],[总分]]="","",SUMPRODUCT((表成绩单[考试日期]=表成绩单[[#This Row],[考试日期]])*(表成绩单[总分]&lt;9E+307)*(表成绩单[总分]&gt;表成绩单[[#This Row],[总分]]))+1)</f>
        <v>688</v>
      </c>
    </row>
    <row r="2297" ht="28" customHeight="1" spans="4:23">
      <c r="D2297" s="31">
        <v>46030</v>
      </c>
      <c r="E2297" s="29">
        <v>19178578</v>
      </c>
      <c r="F2297" s="29" t="s">
        <v>64</v>
      </c>
      <c r="G2297" s="29" t="s">
        <v>733</v>
      </c>
      <c r="H2297" s="29">
        <v>73</v>
      </c>
      <c r="I2297" s="29">
        <v>72</v>
      </c>
      <c r="J2297" s="29">
        <v>51.5</v>
      </c>
      <c r="K2297" s="29">
        <v>66</v>
      </c>
      <c r="L2297" s="29">
        <v>39</v>
      </c>
      <c r="M2297" s="29">
        <v>38</v>
      </c>
      <c r="N2297" s="29">
        <v>43</v>
      </c>
      <c r="O2297" s="32">
        <v>382.5</v>
      </c>
      <c r="P2297" s="29" cm="1">
        <f t="array" ref="P2297">IF(表成绩单[[#This Row],[语文]]="","",SUMPRODUCT((表成绩单[考试日期]=表成绩单[[#This Row],[考试日期]])*(表成绩单[语文]&lt;9E+307)*(表成绩单[语文]&gt;表成绩单[[#This Row],[语文]]))+1)</f>
        <v>722</v>
      </c>
      <c r="Q2297" s="29" cm="1">
        <f t="array" ref="Q2297">IF(表成绩单[[#This Row],[数学]]="","",SUMPRODUCT((表成绩单[考试日期]=表成绩单[[#This Row],[考试日期]])*(表成绩单[数学]&lt;9E+307)*(表成绩单[数学]&gt;表成绩单[[#This Row],[数学]]))+1)</f>
        <v>562</v>
      </c>
      <c r="R2297" s="29" cm="1">
        <f t="array" ref="R2297">IF(表成绩单[[#This Row],[英语]]="","",SUMPRODUCT((表成绩单[考试日期]=表成绩单[[#This Row],[考试日期]])*(表成绩单[英语]&lt;9E+307)*(表成绩单[英语]&gt;表成绩单[[#This Row],[英语]]))+1)</f>
        <v>634</v>
      </c>
      <c r="S2297" s="29" cm="1">
        <f t="array" ref="S2297">IF(表成绩单[[#This Row],[物理]]="","",SUMPRODUCT((表成绩单[考试日期]=表成绩单[[#This Row],[考试日期]])*(表成绩单[物理]&lt;9E+307)*(表成绩单[物理]&gt;表成绩单[[#This Row],[物理]]))+1)</f>
        <v>415</v>
      </c>
      <c r="T2297" s="29" cm="1">
        <f t="array" ref="T2297">IF(表成绩单[[#This Row],[化学]]="","",SUMPRODUCT((表成绩单[考试日期]=表成绩单[[#This Row],[考试日期]])*(表成绩单[化学]&lt;9E+307)*(表成绩单[化学]&gt;表成绩单[[#This Row],[化学]]))+1)</f>
        <v>743</v>
      </c>
      <c r="U2297" s="29" cm="1">
        <f t="array" ref="U2297">IF(表成绩单[[#This Row],[政治]]="","",SUMPRODUCT((表成绩单[考试日期]=表成绩单[[#This Row],[考试日期]])*(表成绩单[政治]&lt;9E+307)*(表成绩单[政治]&gt;表成绩单[[#This Row],[政治]]))+1)</f>
        <v>734</v>
      </c>
      <c r="V2297" s="29" cm="1">
        <f t="array" ref="V2297">IF(表成绩单[[#This Row],[历史]]="","",SUMPRODUCT((表成绩单[考试日期]=表成绩单[[#This Row],[考试日期]])*(表成绩单[历史]&lt;9E+307)*(表成绩单[历史]&gt;表成绩单[[#This Row],[历史]]))+1)</f>
        <v>753</v>
      </c>
      <c r="W2297" s="29" cm="1">
        <f t="array" ref="W2297">IF(表成绩单[[#This Row],[总分]]="","",SUMPRODUCT((表成绩单[考试日期]=表成绩单[[#This Row],[考试日期]])*(表成绩单[总分]&lt;9E+307)*(表成绩单[总分]&gt;表成绩单[[#This Row],[总分]]))+1)</f>
        <v>688</v>
      </c>
    </row>
    <row r="2298" ht="28" customHeight="1" spans="4:23">
      <c r="D2298" s="31">
        <v>46030</v>
      </c>
      <c r="E2298" s="29">
        <v>19177664</v>
      </c>
      <c r="F2298" s="29" t="s">
        <v>63</v>
      </c>
      <c r="G2298" s="29" t="s">
        <v>748</v>
      </c>
      <c r="H2298" s="29">
        <v>77</v>
      </c>
      <c r="I2298" s="29">
        <v>65</v>
      </c>
      <c r="J2298" s="29">
        <v>46</v>
      </c>
      <c r="K2298" s="29">
        <v>41</v>
      </c>
      <c r="L2298" s="29">
        <v>49</v>
      </c>
      <c r="M2298" s="29">
        <v>40</v>
      </c>
      <c r="N2298" s="29">
        <v>64</v>
      </c>
      <c r="O2298" s="32">
        <v>382</v>
      </c>
      <c r="P2298" s="29" cm="1">
        <f t="array" ref="P2298">IF(表成绩单[[#This Row],[语文]]="","",SUMPRODUCT((表成绩单[考试日期]=表成绩单[[#This Row],[考试日期]])*(表成绩单[语文]&lt;9E+307)*(表成绩单[语文]&gt;表成绩单[[#This Row],[语文]]))+1)</f>
        <v>702</v>
      </c>
      <c r="Q2298" s="29" cm="1">
        <f t="array" ref="Q2298">IF(表成绩单[[#This Row],[数学]]="","",SUMPRODUCT((表成绩单[考试日期]=表成绩单[[#This Row],[考试日期]])*(表成绩单[数学]&lt;9E+307)*(表成绩单[数学]&gt;表成绩单[[#This Row],[数学]]))+1)</f>
        <v>640</v>
      </c>
      <c r="R2298" s="29" cm="1">
        <f t="array" ref="R2298">IF(表成绩单[[#This Row],[英语]]="","",SUMPRODUCT((表成绩单[考试日期]=表成绩单[[#This Row],[考试日期]])*(表成绩单[英语]&lt;9E+307)*(表成绩单[英语]&gt;表成绩单[[#This Row],[英语]]))+1)</f>
        <v>682</v>
      </c>
      <c r="S2298" s="29" cm="1">
        <f t="array" ref="S2298">IF(表成绩单[[#This Row],[物理]]="","",SUMPRODUCT((表成绩单[考试日期]=表成绩单[[#This Row],[考试日期]])*(表成绩单[物理]&lt;9E+307)*(表成绩单[物理]&gt;表成绩单[[#This Row],[物理]]))+1)</f>
        <v>687</v>
      </c>
      <c r="T2298" s="29" cm="1">
        <f t="array" ref="T2298">IF(表成绩单[[#This Row],[化学]]="","",SUMPRODUCT((表成绩单[考试日期]=表成绩单[[#This Row],[考试日期]])*(表成绩单[化学]&lt;9E+307)*(表成绩单[化学]&gt;表成绩单[[#This Row],[化学]]))+1)</f>
        <v>675</v>
      </c>
      <c r="U2298" s="29" cm="1">
        <f t="array" ref="U2298">IF(表成绩单[[#This Row],[政治]]="","",SUMPRODUCT((表成绩单[考试日期]=表成绩单[[#This Row],[考试日期]])*(表成绩单[政治]&lt;9E+307)*(表成绩单[政治]&gt;表成绩单[[#This Row],[政治]]))+1)</f>
        <v>728</v>
      </c>
      <c r="V2298" s="29" cm="1">
        <f t="array" ref="V2298">IF(表成绩单[[#This Row],[历史]]="","",SUMPRODUCT((表成绩单[考试日期]=表成绩单[[#This Row],[考试日期]])*(表成绩单[历史]&lt;9E+307)*(表成绩单[历史]&gt;表成绩单[[#This Row],[历史]]))+1)</f>
        <v>509</v>
      </c>
      <c r="W2298" s="29" cm="1">
        <f t="array" ref="W2298">IF(表成绩单[[#This Row],[总分]]="","",SUMPRODUCT((表成绩单[考试日期]=表成绩单[[#This Row],[考试日期]])*(表成绩单[总分]&lt;9E+307)*(表成绩单[总分]&gt;表成绩单[[#This Row],[总分]]))+1)</f>
        <v>692</v>
      </c>
    </row>
    <row r="2299" ht="28" customHeight="1" spans="4:23">
      <c r="D2299" s="31">
        <v>46030</v>
      </c>
      <c r="E2299" s="29">
        <v>19175289</v>
      </c>
      <c r="F2299" s="29" t="s">
        <v>55</v>
      </c>
      <c r="G2299" s="29" t="s">
        <v>747</v>
      </c>
      <c r="H2299" s="29">
        <v>85</v>
      </c>
      <c r="I2299" s="29">
        <v>62</v>
      </c>
      <c r="J2299" s="29">
        <v>42.5</v>
      </c>
      <c r="K2299" s="29">
        <v>44</v>
      </c>
      <c r="L2299" s="29">
        <v>49</v>
      </c>
      <c r="M2299" s="29">
        <v>55</v>
      </c>
      <c r="N2299" s="29">
        <v>43</v>
      </c>
      <c r="O2299" s="32">
        <v>380.5</v>
      </c>
      <c r="P2299" s="29" cm="1">
        <f t="array" ref="P2299">IF(表成绩单[[#This Row],[语文]]="","",SUMPRODUCT((表成绩单[考试日期]=表成绩单[[#This Row],[考试日期]])*(表成绩单[语文]&lt;9E+307)*(表成绩单[语文]&gt;表成绩单[[#This Row],[语文]]))+1)</f>
        <v>619</v>
      </c>
      <c r="Q2299" s="29" cm="1">
        <f t="array" ref="Q2299">IF(表成绩单[[#This Row],[数学]]="","",SUMPRODUCT((表成绩单[考试日期]=表成绩单[[#This Row],[考试日期]])*(表成绩单[数学]&lt;9E+307)*(表成绩单[数学]&gt;表成绩单[[#This Row],[数学]]))+1)</f>
        <v>661</v>
      </c>
      <c r="R2299" s="29" cm="1">
        <f t="array" ref="R2299">IF(表成绩单[[#This Row],[英语]]="","",SUMPRODUCT((表成绩单[考试日期]=表成绩单[[#This Row],[考试日期]])*(表成绩单[英语]&lt;9E+307)*(表成绩单[英语]&gt;表成绩单[[#This Row],[英语]]))+1)</f>
        <v>707</v>
      </c>
      <c r="S2299" s="29" cm="1">
        <f t="array" ref="S2299">IF(表成绩单[[#This Row],[物理]]="","",SUMPRODUCT((表成绩单[考试日期]=表成绩单[[#This Row],[考试日期]])*(表成绩单[物理]&lt;9E+307)*(表成绩单[物理]&gt;表成绩单[[#This Row],[物理]]))+1)</f>
        <v>665</v>
      </c>
      <c r="T2299" s="29" cm="1">
        <f t="array" ref="T2299">IF(表成绩单[[#This Row],[化学]]="","",SUMPRODUCT((表成绩单[考试日期]=表成绩单[[#This Row],[考试日期]])*(表成绩单[化学]&lt;9E+307)*(表成绩单[化学]&gt;表成绩单[[#This Row],[化学]]))+1)</f>
        <v>675</v>
      </c>
      <c r="U2299" s="29" cm="1">
        <f t="array" ref="U2299">IF(表成绩单[[#This Row],[政治]]="","",SUMPRODUCT((表成绩单[考试日期]=表成绩单[[#This Row],[考试日期]])*(表成绩单[政治]&lt;9E+307)*(表成绩单[政治]&gt;表成绩单[[#This Row],[政治]]))+1)</f>
        <v>608</v>
      </c>
      <c r="V2299" s="29" cm="1">
        <f t="array" ref="V2299">IF(表成绩单[[#This Row],[历史]]="","",SUMPRODUCT((表成绩单[考试日期]=表成绩单[[#This Row],[考试日期]])*(表成绩单[历史]&lt;9E+307)*(表成绩单[历史]&gt;表成绩单[[#This Row],[历史]]))+1)</f>
        <v>753</v>
      </c>
      <c r="W2299" s="29" cm="1">
        <f t="array" ref="W2299">IF(表成绩单[[#This Row],[总分]]="","",SUMPRODUCT((表成绩单[考试日期]=表成绩单[[#This Row],[考试日期]])*(表成绩单[总分]&lt;9E+307)*(表成绩单[总分]&gt;表成绩单[[#This Row],[总分]]))+1)</f>
        <v>693</v>
      </c>
    </row>
    <row r="2300" ht="28" customHeight="1" spans="4:23">
      <c r="D2300" s="31">
        <v>46030</v>
      </c>
      <c r="E2300" s="29">
        <v>19173271</v>
      </c>
      <c r="F2300" s="29" t="s">
        <v>61</v>
      </c>
      <c r="G2300" s="29" t="s">
        <v>824</v>
      </c>
      <c r="H2300" s="29">
        <v>85</v>
      </c>
      <c r="I2300" s="29">
        <v>41</v>
      </c>
      <c r="J2300" s="29">
        <v>60</v>
      </c>
      <c r="K2300" s="29">
        <v>42</v>
      </c>
      <c r="L2300" s="29">
        <v>54</v>
      </c>
      <c r="M2300" s="29">
        <v>51</v>
      </c>
      <c r="N2300" s="29">
        <v>47</v>
      </c>
      <c r="O2300" s="32">
        <v>380</v>
      </c>
      <c r="P2300" s="29" cm="1">
        <f t="array" ref="P2300">IF(表成绩单[[#This Row],[语文]]="","",SUMPRODUCT((表成绩单[考试日期]=表成绩单[[#This Row],[考试日期]])*(表成绩单[语文]&lt;9E+307)*(表成绩单[语文]&gt;表成绩单[[#This Row],[语文]]))+1)</f>
        <v>619</v>
      </c>
      <c r="Q2300" s="29" cm="1">
        <f t="array" ref="Q2300">IF(表成绩单[[#This Row],[数学]]="","",SUMPRODUCT((表成绩单[考试日期]=表成绩单[[#This Row],[考试日期]])*(表成绩单[数学]&lt;9E+307)*(表成绩单[数学]&gt;表成绩单[[#This Row],[数学]]))+1)</f>
        <v>750</v>
      </c>
      <c r="R2300" s="29" cm="1">
        <f t="array" ref="R2300">IF(表成绩单[[#This Row],[英语]]="","",SUMPRODUCT((表成绩单[考试日期]=表成绩单[[#This Row],[考试日期]])*(表成绩单[英语]&lt;9E+307)*(表成绩单[英语]&gt;表成绩单[[#This Row],[英语]]))+1)</f>
        <v>524</v>
      </c>
      <c r="S2300" s="29" cm="1">
        <f t="array" ref="S2300">IF(表成绩单[[#This Row],[物理]]="","",SUMPRODUCT((表成绩单[考试日期]=表成绩单[[#This Row],[考试日期]])*(表成绩单[物理]&lt;9E+307)*(表成绩单[物理]&gt;表成绩单[[#This Row],[物理]]))+1)</f>
        <v>681</v>
      </c>
      <c r="T2300" s="29" cm="1">
        <f t="array" ref="T2300">IF(表成绩单[[#This Row],[化学]]="","",SUMPRODUCT((表成绩单[考试日期]=表成绩单[[#This Row],[考试日期]])*(表成绩单[化学]&lt;9E+307)*(表成绩单[化学]&gt;表成绩单[[#This Row],[化学]]))+1)</f>
        <v>609</v>
      </c>
      <c r="U2300" s="29" cm="1">
        <f t="array" ref="U2300">IF(表成绩单[[#This Row],[政治]]="","",SUMPRODUCT((表成绩单[考试日期]=表成绩单[[#This Row],[考试日期]])*(表成绩单[政治]&lt;9E+307)*(表成绩单[政治]&gt;表成绩单[[#This Row],[政治]]))+1)</f>
        <v>651</v>
      </c>
      <c r="V2300" s="29" cm="1">
        <f t="array" ref="V2300">IF(表成绩单[[#This Row],[历史]]="","",SUMPRODUCT((表成绩单[考试日期]=表成绩单[[#This Row],[考试日期]])*(表成绩单[历史]&lt;9E+307)*(表成绩单[历史]&gt;表成绩单[[#This Row],[历史]]))+1)</f>
        <v>739</v>
      </c>
      <c r="W2300" s="29" cm="1">
        <f t="array" ref="W2300">IF(表成绩单[[#This Row],[总分]]="","",SUMPRODUCT((表成绩单[考试日期]=表成绩单[[#This Row],[考试日期]])*(表成绩单[总分]&lt;9E+307)*(表成绩单[总分]&gt;表成绩单[[#This Row],[总分]]))+1)</f>
        <v>694</v>
      </c>
    </row>
    <row r="2301" ht="28" customHeight="1" spans="4:23">
      <c r="D2301" s="31">
        <v>46030</v>
      </c>
      <c r="E2301" s="29">
        <v>19175986</v>
      </c>
      <c r="F2301" s="29" t="s">
        <v>59</v>
      </c>
      <c r="G2301" s="29" t="s">
        <v>782</v>
      </c>
      <c r="H2301" s="29">
        <v>90</v>
      </c>
      <c r="I2301" s="29">
        <v>51</v>
      </c>
      <c r="J2301" s="29">
        <v>48</v>
      </c>
      <c r="K2301" s="29">
        <v>48</v>
      </c>
      <c r="L2301" s="29">
        <v>48</v>
      </c>
      <c r="M2301" s="29">
        <v>40</v>
      </c>
      <c r="N2301" s="29">
        <v>55</v>
      </c>
      <c r="O2301" s="32">
        <v>380</v>
      </c>
      <c r="P2301" s="29" cm="1">
        <f t="array" ref="P2301">IF(表成绩单[[#This Row],[语文]]="","",SUMPRODUCT((表成绩单[考试日期]=表成绩单[[#This Row],[考试日期]])*(表成绩单[语文]&lt;9E+307)*(表成绩单[语文]&gt;表成绩单[[#This Row],[语文]]))+1)</f>
        <v>509</v>
      </c>
      <c r="Q2301" s="29" cm="1">
        <f t="array" ref="Q2301">IF(表成绩单[[#This Row],[数学]]="","",SUMPRODUCT((表成绩单[考试日期]=表成绩单[[#This Row],[考试日期]])*(表成绩单[数学]&lt;9E+307)*(表成绩单[数学]&gt;表成绩单[[#This Row],[数学]]))+1)</f>
        <v>724</v>
      </c>
      <c r="R2301" s="29" cm="1">
        <f t="array" ref="R2301">IF(表成绩单[[#This Row],[英语]]="","",SUMPRODUCT((表成绩单[考试日期]=表成绩单[[#This Row],[考试日期]])*(表成绩单[英语]&lt;9E+307)*(表成绩单[英语]&gt;表成绩单[[#This Row],[英语]]))+1)</f>
        <v>668</v>
      </c>
      <c r="S2301" s="29" cm="1">
        <f t="array" ref="S2301">IF(表成绩单[[#This Row],[物理]]="","",SUMPRODUCT((表成绩单[考试日期]=表成绩单[[#This Row],[考试日期]])*(表成绩单[物理]&lt;9E+307)*(表成绩单[物理]&gt;表成绩单[[#This Row],[物理]]))+1)</f>
        <v>629</v>
      </c>
      <c r="T2301" s="29" cm="1">
        <f t="array" ref="T2301">IF(表成绩单[[#This Row],[化学]]="","",SUMPRODUCT((表成绩单[考试日期]=表成绩单[[#This Row],[考试日期]])*(表成绩单[化学]&lt;9E+307)*(表成绩单[化学]&gt;表成绩单[[#This Row],[化学]]))+1)</f>
        <v>685</v>
      </c>
      <c r="U2301" s="29" cm="1">
        <f t="array" ref="U2301">IF(表成绩单[[#This Row],[政治]]="","",SUMPRODUCT((表成绩单[考试日期]=表成绩单[[#This Row],[考试日期]])*(表成绩单[政治]&lt;9E+307)*(表成绩单[政治]&gt;表成绩单[[#This Row],[政治]]))+1)</f>
        <v>728</v>
      </c>
      <c r="V2301" s="29" cm="1">
        <f t="array" ref="V2301">IF(表成绩单[[#This Row],[历史]]="","",SUMPRODUCT((表成绩单[考试日期]=表成绩单[[#This Row],[考试日期]])*(表成绩单[历史]&lt;9E+307)*(表成绩单[历史]&gt;表成绩单[[#This Row],[历史]]))+1)</f>
        <v>662</v>
      </c>
      <c r="W2301" s="29" cm="1">
        <f t="array" ref="W2301">IF(表成绩单[[#This Row],[总分]]="","",SUMPRODUCT((表成绩单[考试日期]=表成绩单[[#This Row],[考试日期]])*(表成绩单[总分]&lt;9E+307)*(表成绩单[总分]&gt;表成绩单[[#This Row],[总分]]))+1)</f>
        <v>694</v>
      </c>
    </row>
    <row r="2302" ht="28" customHeight="1" spans="4:23">
      <c r="D2302" s="31">
        <v>46030</v>
      </c>
      <c r="E2302" s="29">
        <v>19172651</v>
      </c>
      <c r="F2302" s="29" t="s">
        <v>60</v>
      </c>
      <c r="G2302" s="29" t="s">
        <v>749</v>
      </c>
      <c r="H2302" s="29">
        <v>80</v>
      </c>
      <c r="I2302" s="29">
        <v>77</v>
      </c>
      <c r="J2302" s="29">
        <v>37.5</v>
      </c>
      <c r="K2302" s="29">
        <v>32</v>
      </c>
      <c r="L2302" s="29">
        <v>45</v>
      </c>
      <c r="M2302" s="29">
        <v>48</v>
      </c>
      <c r="N2302" s="29">
        <v>59</v>
      </c>
      <c r="O2302" s="32">
        <v>378.5</v>
      </c>
      <c r="P2302" s="29" cm="1">
        <f t="array" ref="P2302">IF(表成绩单[[#This Row],[语文]]="","",SUMPRODUCT((表成绩单[考试日期]=表成绩单[[#This Row],[考试日期]])*(表成绩单[语文]&lt;9E+307)*(表成绩单[语文]&gt;表成绩单[[#This Row],[语文]]))+1)</f>
        <v>675</v>
      </c>
      <c r="Q2302" s="29" cm="1">
        <f t="array" ref="Q2302">IF(表成绩单[[#This Row],[数学]]="","",SUMPRODUCT((表成绩单[考试日期]=表成绩单[[#This Row],[考试日期]])*(表成绩单[数学]&lt;9E+307)*(表成绩单[数学]&gt;表成绩单[[#This Row],[数学]]))+1)</f>
        <v>478</v>
      </c>
      <c r="R2302" s="29" cm="1">
        <f t="array" ref="R2302">IF(表成绩单[[#This Row],[英语]]="","",SUMPRODUCT((表成绩单[考试日期]=表成绩单[[#This Row],[考试日期]])*(表成绩单[英语]&lt;9E+307)*(表成绩单[英语]&gt;表成绩单[[#This Row],[英语]]))+1)</f>
        <v>734</v>
      </c>
      <c r="S2302" s="29" cm="1">
        <f t="array" ref="S2302">IF(表成绩单[[#This Row],[物理]]="","",SUMPRODUCT((表成绩单[考试日期]=表成绩单[[#This Row],[考试日期]])*(表成绩单[物理]&lt;9E+307)*(表成绩单[物理]&gt;表成绩单[[#This Row],[物理]]))+1)</f>
        <v>738</v>
      </c>
      <c r="T2302" s="29" cm="1">
        <f t="array" ref="T2302">IF(表成绩单[[#This Row],[化学]]="","",SUMPRODUCT((表成绩单[考试日期]=表成绩单[[#This Row],[考试日期]])*(表成绩单[化学]&lt;9E+307)*(表成绩单[化学]&gt;表成绩单[[#This Row],[化学]]))+1)</f>
        <v>711</v>
      </c>
      <c r="U2302" s="29" cm="1">
        <f t="array" ref="U2302">IF(表成绩单[[#This Row],[政治]]="","",SUMPRODUCT((表成绩单[考试日期]=表成绩单[[#This Row],[考试日期]])*(表成绩单[政治]&lt;9E+307)*(表成绩单[政治]&gt;表成绩单[[#This Row],[政治]]))+1)</f>
        <v>675</v>
      </c>
      <c r="V2302" s="29" cm="1">
        <f t="array" ref="V2302">IF(表成绩单[[#This Row],[历史]]="","",SUMPRODUCT((表成绩单[考试日期]=表成绩单[[#This Row],[考试日期]])*(表成绩单[历史]&lt;9E+307)*(表成绩单[历史]&gt;表成绩单[[#This Row],[历史]]))+1)</f>
        <v>601</v>
      </c>
      <c r="W2302" s="29" cm="1">
        <f t="array" ref="W2302">IF(表成绩单[[#This Row],[总分]]="","",SUMPRODUCT((表成绩单[考试日期]=表成绩单[[#This Row],[考试日期]])*(表成绩单[总分]&lt;9E+307)*(表成绩单[总分]&gt;表成绩单[[#This Row],[总分]]))+1)</f>
        <v>696</v>
      </c>
    </row>
    <row r="2303" ht="28" customHeight="1" spans="4:23">
      <c r="D2303" s="31">
        <v>46030</v>
      </c>
      <c r="E2303" s="29">
        <v>19173254</v>
      </c>
      <c r="F2303" s="29" t="s">
        <v>61</v>
      </c>
      <c r="G2303" s="29" t="s">
        <v>799</v>
      </c>
      <c r="H2303" s="29">
        <v>92</v>
      </c>
      <c r="I2303" s="29">
        <v>56</v>
      </c>
      <c r="J2303" s="29">
        <v>29</v>
      </c>
      <c r="K2303" s="29">
        <v>46</v>
      </c>
      <c r="L2303" s="29">
        <v>51</v>
      </c>
      <c r="M2303" s="29">
        <v>45</v>
      </c>
      <c r="N2303" s="29">
        <v>58</v>
      </c>
      <c r="O2303" s="32">
        <v>377</v>
      </c>
      <c r="P2303" s="29" cm="1">
        <f t="array" ref="P2303">IF(表成绩单[[#This Row],[语文]]="","",SUMPRODUCT((表成绩单[考试日期]=表成绩单[[#This Row],[考试日期]])*(表成绩单[语文]&lt;9E+307)*(表成绩单[语文]&gt;表成绩单[[#This Row],[语文]]))+1)</f>
        <v>444</v>
      </c>
      <c r="Q2303" s="29" cm="1">
        <f t="array" ref="Q2303">IF(表成绩单[[#This Row],[数学]]="","",SUMPRODUCT((表成绩单[考试日期]=表成绩单[[#This Row],[考试日期]])*(表成绩单[数学]&lt;9E+307)*(表成绩单[数学]&gt;表成绩单[[#This Row],[数学]]))+1)</f>
        <v>698</v>
      </c>
      <c r="R2303" s="29" cm="1">
        <f t="array" ref="R2303">IF(表成绩单[[#This Row],[英语]]="","",SUMPRODUCT((表成绩单[考试日期]=表成绩单[[#This Row],[考试日期]])*(表成绩单[英语]&lt;9E+307)*(表成绩单[英语]&gt;表成绩单[[#This Row],[英语]]))+1)</f>
        <v>763</v>
      </c>
      <c r="S2303" s="29" cm="1">
        <f t="array" ref="S2303">IF(表成绩单[[#This Row],[物理]]="","",SUMPRODUCT((表成绩单[考试日期]=表成绩单[[#This Row],[考试日期]])*(表成绩单[物理]&lt;9E+307)*(表成绩单[物理]&gt;表成绩单[[#This Row],[物理]]))+1)</f>
        <v>649</v>
      </c>
      <c r="T2303" s="29" cm="1">
        <f t="array" ref="T2303">IF(表成绩单[[#This Row],[化学]]="","",SUMPRODUCT((表成绩单[考试日期]=表成绩单[[#This Row],[考试日期]])*(表成绩单[化学]&lt;9E+307)*(表成绩单[化学]&gt;表成绩单[[#This Row],[化学]]))+1)</f>
        <v>648</v>
      </c>
      <c r="U2303" s="29" cm="1">
        <f t="array" ref="U2303">IF(表成绩单[[#This Row],[政治]]="","",SUMPRODUCT((表成绩单[考试日期]=表成绩单[[#This Row],[考试日期]])*(表成绩单[政治]&lt;9E+307)*(表成绩单[政治]&gt;表成绩单[[#This Row],[政治]]))+1)</f>
        <v>701</v>
      </c>
      <c r="V2303" s="29" cm="1">
        <f t="array" ref="V2303">IF(表成绩单[[#This Row],[历史]]="","",SUMPRODUCT((表成绩单[考试日期]=表成绩单[[#This Row],[考试日期]])*(表成绩单[历史]&lt;9E+307)*(表成绩单[历史]&gt;表成绩单[[#This Row],[历史]]))+1)</f>
        <v>620</v>
      </c>
      <c r="W2303" s="29" cm="1">
        <f t="array" ref="W2303">IF(表成绩单[[#This Row],[总分]]="","",SUMPRODUCT((表成绩单[考试日期]=表成绩单[[#This Row],[考试日期]])*(表成绩单[总分]&lt;9E+307)*(表成绩单[总分]&gt;表成绩单[[#This Row],[总分]]))+1)</f>
        <v>697</v>
      </c>
    </row>
    <row r="2304" ht="28" customHeight="1" spans="4:23">
      <c r="D2304" s="31">
        <v>46030</v>
      </c>
      <c r="E2304" s="29">
        <v>19173790</v>
      </c>
      <c r="F2304" s="29" t="s">
        <v>65</v>
      </c>
      <c r="G2304" s="29" t="s">
        <v>781</v>
      </c>
      <c r="H2304" s="29">
        <v>72</v>
      </c>
      <c r="I2304" s="29">
        <v>55</v>
      </c>
      <c r="J2304" s="29">
        <v>62.5</v>
      </c>
      <c r="K2304" s="29">
        <v>32</v>
      </c>
      <c r="L2304" s="29">
        <v>50</v>
      </c>
      <c r="M2304" s="29">
        <v>49</v>
      </c>
      <c r="N2304" s="29">
        <v>56</v>
      </c>
      <c r="O2304" s="32">
        <v>376.5</v>
      </c>
      <c r="P2304" s="29" cm="1">
        <f t="array" ref="P2304">IF(表成绩单[[#This Row],[语文]]="","",SUMPRODUCT((表成绩单[考试日期]=表成绩单[[#This Row],[考试日期]])*(表成绩单[语文]&lt;9E+307)*(表成绩单[语文]&gt;表成绩单[[#This Row],[语文]]))+1)</f>
        <v>731</v>
      </c>
      <c r="Q2304" s="29" cm="1">
        <f t="array" ref="Q2304">IF(表成绩单[[#This Row],[数学]]="","",SUMPRODUCT((表成绩单[考试日期]=表成绩单[[#This Row],[考试日期]])*(表成绩单[数学]&lt;9E+307)*(表成绩单[数学]&gt;表成绩单[[#This Row],[数学]]))+1)</f>
        <v>706</v>
      </c>
      <c r="R2304" s="29" cm="1">
        <f t="array" ref="R2304">IF(表成绩单[[#This Row],[英语]]="","",SUMPRODUCT((表成绩单[考试日期]=表成绩单[[#This Row],[考试日期]])*(表成绩单[英语]&lt;9E+307)*(表成绩单[英语]&gt;表成绩单[[#This Row],[英语]]))+1)</f>
        <v>477</v>
      </c>
      <c r="S2304" s="29" cm="1">
        <f t="array" ref="S2304">IF(表成绩单[[#This Row],[物理]]="","",SUMPRODUCT((表成绩单[考试日期]=表成绩单[[#This Row],[考试日期]])*(表成绩单[物理]&lt;9E+307)*(表成绩单[物理]&gt;表成绩单[[#This Row],[物理]]))+1)</f>
        <v>738</v>
      </c>
      <c r="T2304" s="29" cm="1">
        <f t="array" ref="T2304">IF(表成绩单[[#This Row],[化学]]="","",SUMPRODUCT((表成绩单[考试日期]=表成绩单[[#This Row],[考试日期]])*(表成绩单[化学]&lt;9E+307)*(表成绩单[化学]&gt;表成绩单[[#This Row],[化学]]))+1)</f>
        <v>662</v>
      </c>
      <c r="U2304" s="29" cm="1">
        <f t="array" ref="U2304">IF(表成绩单[[#This Row],[政治]]="","",SUMPRODUCT((表成绩单[考试日期]=表成绩单[[#This Row],[考试日期]])*(表成绩单[政治]&lt;9E+307)*(表成绩单[政治]&gt;表成绩单[[#This Row],[政治]]))+1)</f>
        <v>667</v>
      </c>
      <c r="V2304" s="29" cm="1">
        <f t="array" ref="V2304">IF(表成绩单[[#This Row],[历史]]="","",SUMPRODUCT((表成绩单[考试日期]=表成绩单[[#This Row],[考试日期]])*(表成绩单[历史]&lt;9E+307)*(表成绩单[历史]&gt;表成绩单[[#This Row],[历史]]))+1)</f>
        <v>651</v>
      </c>
      <c r="W2304" s="29" cm="1">
        <f t="array" ref="W2304">IF(表成绩单[[#This Row],[总分]]="","",SUMPRODUCT((表成绩单[考试日期]=表成绩单[[#This Row],[考试日期]])*(表成绩单[总分]&lt;9E+307)*(表成绩单[总分]&gt;表成绩单[[#This Row],[总分]]))+1)</f>
        <v>698</v>
      </c>
    </row>
    <row r="2305" ht="28" customHeight="1" spans="4:23">
      <c r="D2305" s="31">
        <v>46030</v>
      </c>
      <c r="E2305" s="29">
        <v>19175295</v>
      </c>
      <c r="F2305" s="29" t="s">
        <v>55</v>
      </c>
      <c r="G2305" s="29" t="s">
        <v>797</v>
      </c>
      <c r="H2305" s="29">
        <v>93</v>
      </c>
      <c r="I2305" s="29">
        <v>52</v>
      </c>
      <c r="J2305" s="29">
        <v>46.5</v>
      </c>
      <c r="K2305" s="29">
        <v>44</v>
      </c>
      <c r="L2305" s="29">
        <v>42</v>
      </c>
      <c r="M2305" s="29">
        <v>65</v>
      </c>
      <c r="N2305" s="29">
        <v>34</v>
      </c>
      <c r="O2305" s="32">
        <v>376.5</v>
      </c>
      <c r="P2305" s="29" cm="1">
        <f t="array" ref="P2305">IF(表成绩单[[#This Row],[语文]]="","",SUMPRODUCT((表成绩单[考试日期]=表成绩单[[#This Row],[考试日期]])*(表成绩单[语文]&lt;9E+307)*(表成绩单[语文]&gt;表成绩单[[#This Row],[语文]]))+1)</f>
        <v>412</v>
      </c>
      <c r="Q2305" s="29" cm="1">
        <f t="array" ref="Q2305">IF(表成绩单[[#This Row],[数学]]="","",SUMPRODUCT((表成绩单[考试日期]=表成绩单[[#This Row],[考试日期]])*(表成绩单[数学]&lt;9E+307)*(表成绩单[数学]&gt;表成绩单[[#This Row],[数学]]))+1)</f>
        <v>721</v>
      </c>
      <c r="R2305" s="29" cm="1">
        <f t="array" ref="R2305">IF(表成绩单[[#This Row],[英语]]="","",SUMPRODUCT((表成绩单[考试日期]=表成绩单[[#This Row],[考试日期]])*(表成绩单[英语]&lt;9E+307)*(表成绩单[英语]&gt;表成绩单[[#This Row],[英语]]))+1)</f>
        <v>678</v>
      </c>
      <c r="S2305" s="29" cm="1">
        <f t="array" ref="S2305">IF(表成绩单[[#This Row],[物理]]="","",SUMPRODUCT((表成绩单[考试日期]=表成绩单[[#This Row],[考试日期]])*(表成绩单[物理]&lt;9E+307)*(表成绩单[物理]&gt;表成绩单[[#This Row],[物理]]))+1)</f>
        <v>665</v>
      </c>
      <c r="T2305" s="29" cm="1">
        <f t="array" ref="T2305">IF(表成绩单[[#This Row],[化学]]="","",SUMPRODUCT((表成绩单[考试日期]=表成绩单[[#This Row],[考试日期]])*(表成绩单[化学]&lt;9E+307)*(表成绩单[化学]&gt;表成绩单[[#This Row],[化学]]))+1)</f>
        <v>730</v>
      </c>
      <c r="U2305" s="29" cm="1">
        <f t="array" ref="U2305">IF(表成绩单[[#This Row],[政治]]="","",SUMPRODUCT((表成绩单[考试日期]=表成绩单[[#This Row],[考试日期]])*(表成绩单[政治]&lt;9E+307)*(表成绩单[政治]&gt;表成绩单[[#This Row],[政治]]))+1)</f>
        <v>431</v>
      </c>
      <c r="V2305" s="29" cm="1">
        <f t="array" ref="V2305">IF(表成绩单[[#This Row],[历史]]="","",SUMPRODUCT((表成绩单[考试日期]=表成绩单[[#This Row],[考试日期]])*(表成绩单[历史]&lt;9E+307)*(表成绩单[历史]&gt;表成绩单[[#This Row],[历史]]))+1)</f>
        <v>775</v>
      </c>
      <c r="W2305" s="29" cm="1">
        <f t="array" ref="W2305">IF(表成绩单[[#This Row],[总分]]="","",SUMPRODUCT((表成绩单[考试日期]=表成绩单[[#This Row],[考试日期]])*(表成绩单[总分]&lt;9E+307)*(表成绩单[总分]&gt;表成绩单[[#This Row],[总分]]))+1)</f>
        <v>698</v>
      </c>
    </row>
    <row r="2306" ht="28" customHeight="1" spans="4:23">
      <c r="D2306" s="31">
        <v>46030</v>
      </c>
      <c r="E2306" s="29">
        <v>19176006</v>
      </c>
      <c r="F2306" s="29" t="s">
        <v>59</v>
      </c>
      <c r="G2306" s="29" t="s">
        <v>776</v>
      </c>
      <c r="H2306" s="29">
        <v>91</v>
      </c>
      <c r="I2306" s="29">
        <v>59</v>
      </c>
      <c r="J2306" s="29">
        <v>40.5</v>
      </c>
      <c r="K2306" s="29">
        <v>26</v>
      </c>
      <c r="L2306" s="29">
        <v>42</v>
      </c>
      <c r="M2306" s="29">
        <v>64</v>
      </c>
      <c r="N2306" s="29">
        <v>54</v>
      </c>
      <c r="O2306" s="32">
        <v>376.5</v>
      </c>
      <c r="P2306" s="29" cm="1">
        <f t="array" ref="P2306">IF(表成绩单[[#This Row],[语文]]="","",SUMPRODUCT((表成绩单[考试日期]=表成绩单[[#This Row],[考试日期]])*(表成绩单[语文]&lt;9E+307)*(表成绩单[语文]&gt;表成绩单[[#This Row],[语文]]))+1)</f>
        <v>478</v>
      </c>
      <c r="Q2306" s="29" cm="1">
        <f t="array" ref="Q2306">IF(表成绩单[[#This Row],[数学]]="","",SUMPRODUCT((表成绩单[考试日期]=表成绩单[[#This Row],[考试日期]])*(表成绩单[数学]&lt;9E+307)*(表成绩单[数学]&gt;表成绩单[[#This Row],[数学]]))+1)</f>
        <v>676</v>
      </c>
      <c r="R2306" s="29" cm="1">
        <f t="array" ref="R2306">IF(表成绩单[[#This Row],[英语]]="","",SUMPRODUCT((表成绩单[考试日期]=表成绩单[[#This Row],[考试日期]])*(表成绩单[英语]&lt;9E+307)*(表成绩单[英语]&gt;表成绩单[[#This Row],[英语]]))+1)</f>
        <v>719</v>
      </c>
      <c r="S2306" s="29" cm="1">
        <f t="array" ref="S2306">IF(表成绩单[[#This Row],[物理]]="","",SUMPRODUCT((表成绩单[考试日期]=表成绩单[[#This Row],[考试日期]])*(表成绩单[物理]&lt;9E+307)*(表成绩单[物理]&gt;表成绩单[[#This Row],[物理]]))+1)</f>
        <v>765</v>
      </c>
      <c r="T2306" s="29" cm="1">
        <f t="array" ref="T2306">IF(表成绩单[[#This Row],[化学]]="","",SUMPRODUCT((表成绩单[考试日期]=表成绩单[[#This Row],[考试日期]])*(表成绩单[化学]&lt;9E+307)*(表成绩单[化学]&gt;表成绩单[[#This Row],[化学]]))+1)</f>
        <v>730</v>
      </c>
      <c r="U2306" s="29" cm="1">
        <f t="array" ref="U2306">IF(表成绩单[[#This Row],[政治]]="","",SUMPRODUCT((表成绩单[考试日期]=表成绩单[[#This Row],[考试日期]])*(表成绩单[政治]&lt;9E+307)*(表成绩单[政治]&gt;表成绩单[[#This Row],[政治]]))+1)</f>
        <v>457</v>
      </c>
      <c r="V2306" s="29" cm="1">
        <f t="array" ref="V2306">IF(表成绩单[[#This Row],[历史]]="","",SUMPRODUCT((表成绩单[考试日期]=表成绩单[[#This Row],[考试日期]])*(表成绩单[历史]&lt;9E+307)*(表成绩单[历史]&gt;表成绩单[[#This Row],[历史]]))+1)</f>
        <v>682</v>
      </c>
      <c r="W2306" s="29" cm="1">
        <f t="array" ref="W2306">IF(表成绩单[[#This Row],[总分]]="","",SUMPRODUCT((表成绩单[考试日期]=表成绩单[[#This Row],[考试日期]])*(表成绩单[总分]&lt;9E+307)*(表成绩单[总分]&gt;表成绩单[[#This Row],[总分]]))+1)</f>
        <v>698</v>
      </c>
    </row>
    <row r="2307" ht="28" customHeight="1" spans="4:23">
      <c r="D2307" s="31">
        <v>46030</v>
      </c>
      <c r="E2307" s="29">
        <v>19177627</v>
      </c>
      <c r="F2307" s="29" t="s">
        <v>58</v>
      </c>
      <c r="G2307" s="29" t="s">
        <v>756</v>
      </c>
      <c r="H2307" s="29">
        <v>82</v>
      </c>
      <c r="I2307" s="29">
        <v>56</v>
      </c>
      <c r="J2307" s="29">
        <v>51.5</v>
      </c>
      <c r="K2307" s="29">
        <v>34</v>
      </c>
      <c r="L2307" s="29">
        <v>54</v>
      </c>
      <c r="M2307" s="29">
        <v>58</v>
      </c>
      <c r="N2307" s="29">
        <v>40</v>
      </c>
      <c r="O2307" s="32">
        <v>375.5</v>
      </c>
      <c r="P2307" s="29" cm="1">
        <f t="array" ref="P2307">IF(表成绩单[[#This Row],[语文]]="","",SUMPRODUCT((表成绩单[考试日期]=表成绩单[[#This Row],[考试日期]])*(表成绩单[语文]&lt;9E+307)*(表成绩单[语文]&gt;表成绩单[[#This Row],[语文]]))+1)</f>
        <v>655</v>
      </c>
      <c r="Q2307" s="29" cm="1">
        <f t="array" ref="Q2307">IF(表成绩单[[#This Row],[数学]]="","",SUMPRODUCT((表成绩单[考试日期]=表成绩单[[#This Row],[考试日期]])*(表成绩单[数学]&lt;9E+307)*(表成绩单[数学]&gt;表成绩单[[#This Row],[数学]]))+1)</f>
        <v>698</v>
      </c>
      <c r="R2307" s="29" cm="1">
        <f t="array" ref="R2307">IF(表成绩单[[#This Row],[英语]]="","",SUMPRODUCT((表成绩单[考试日期]=表成绩单[[#This Row],[考试日期]])*(表成绩单[英语]&lt;9E+307)*(表成绩单[英语]&gt;表成绩单[[#This Row],[英语]]))+1)</f>
        <v>634</v>
      </c>
      <c r="S2307" s="29" cm="1">
        <f t="array" ref="S2307">IF(表成绩单[[#This Row],[物理]]="","",SUMPRODUCT((表成绩单[考试日期]=表成绩单[[#This Row],[考试日期]])*(表成绩单[物理]&lt;9E+307)*(表成绩单[物理]&gt;表成绩单[[#This Row],[物理]]))+1)</f>
        <v>730</v>
      </c>
      <c r="T2307" s="29" cm="1">
        <f t="array" ref="T2307">IF(表成绩单[[#This Row],[化学]]="","",SUMPRODUCT((表成绩单[考试日期]=表成绩单[[#This Row],[考试日期]])*(表成绩单[化学]&lt;9E+307)*(表成绩单[化学]&gt;表成绩单[[#This Row],[化学]]))+1)</f>
        <v>609</v>
      </c>
      <c r="U2307" s="29" cm="1">
        <f t="array" ref="U2307">IF(表成绩单[[#This Row],[政治]]="","",SUMPRODUCT((表成绩单[考试日期]=表成绩单[[#This Row],[考试日期]])*(表成绩单[政治]&lt;9E+307)*(表成绩单[政治]&gt;表成绩单[[#This Row],[政治]]))+1)</f>
        <v>582</v>
      </c>
      <c r="V2307" s="29" cm="1">
        <f t="array" ref="V2307">IF(表成绩单[[#This Row],[历史]]="","",SUMPRODUCT((表成绩单[考试日期]=表成绩单[[#This Row],[考试日期]])*(表成绩单[历史]&lt;9E+307)*(表成绩单[历史]&gt;表成绩单[[#This Row],[历史]]))+1)</f>
        <v>761</v>
      </c>
      <c r="W2307" s="29" cm="1">
        <f t="array" ref="W2307">IF(表成绩单[[#This Row],[总分]]="","",SUMPRODUCT((表成绩单[考试日期]=表成绩单[[#This Row],[考试日期]])*(表成绩单[总分]&lt;9E+307)*(表成绩单[总分]&gt;表成绩单[[#This Row],[总分]]))+1)</f>
        <v>701</v>
      </c>
    </row>
    <row r="2308" ht="28" customHeight="1" spans="4:23">
      <c r="D2308" s="31">
        <v>46030</v>
      </c>
      <c r="E2308" s="29">
        <v>19175602</v>
      </c>
      <c r="F2308" s="29" t="s">
        <v>57</v>
      </c>
      <c r="G2308" s="29" t="s">
        <v>800</v>
      </c>
      <c r="H2308" s="29">
        <v>82</v>
      </c>
      <c r="I2308" s="29">
        <v>59</v>
      </c>
      <c r="J2308" s="29">
        <v>49</v>
      </c>
      <c r="K2308" s="29">
        <v>28</v>
      </c>
      <c r="L2308" s="29">
        <v>36</v>
      </c>
      <c r="M2308" s="29">
        <v>51</v>
      </c>
      <c r="N2308" s="29">
        <v>69</v>
      </c>
      <c r="O2308" s="32">
        <v>374</v>
      </c>
      <c r="P2308" s="29" cm="1">
        <f t="array" ref="P2308">IF(表成绩单[[#This Row],[语文]]="","",SUMPRODUCT((表成绩单[考试日期]=表成绩单[[#This Row],[考试日期]])*(表成绩单[语文]&lt;9E+307)*(表成绩单[语文]&gt;表成绩单[[#This Row],[语文]]))+1)</f>
        <v>655</v>
      </c>
      <c r="Q2308" s="29" cm="1">
        <f t="array" ref="Q2308">IF(表成绩单[[#This Row],[数学]]="","",SUMPRODUCT((表成绩单[考试日期]=表成绩单[[#This Row],[考试日期]])*(表成绩单[数学]&lt;9E+307)*(表成绩单[数学]&gt;表成绩单[[#This Row],[数学]]))+1)</f>
        <v>676</v>
      </c>
      <c r="R2308" s="29" cm="1">
        <f t="array" ref="R2308">IF(表成绩单[[#This Row],[英语]]="","",SUMPRODUCT((表成绩单[考试日期]=表成绩单[[#This Row],[考试日期]])*(表成绩单[英语]&lt;9E+307)*(表成绩单[英语]&gt;表成绩单[[#This Row],[英语]]))+1)</f>
        <v>659</v>
      </c>
      <c r="S2308" s="29" cm="1">
        <f t="array" ref="S2308">IF(表成绩单[[#This Row],[物理]]="","",SUMPRODUCT((表成绩单[考试日期]=表成绩单[[#This Row],[考试日期]])*(表成绩单[物理]&lt;9E+307)*(表成绩单[物理]&gt;表成绩单[[#This Row],[物理]]))+1)</f>
        <v>755</v>
      </c>
      <c r="T2308" s="29" cm="1">
        <f t="array" ref="T2308">IF(表成绩单[[#This Row],[化学]]="","",SUMPRODUCT((表成绩单[考试日期]=表成绩单[[#This Row],[考试日期]])*(表成绩单[化学]&lt;9E+307)*(表成绩单[化学]&gt;表成绩单[[#This Row],[化学]]))+1)</f>
        <v>756</v>
      </c>
      <c r="U2308" s="29" cm="1">
        <f t="array" ref="U2308">IF(表成绩单[[#This Row],[政治]]="","",SUMPRODUCT((表成绩单[考试日期]=表成绩单[[#This Row],[考试日期]])*(表成绩单[政治]&lt;9E+307)*(表成绩单[政治]&gt;表成绩单[[#This Row],[政治]]))+1)</f>
        <v>651</v>
      </c>
      <c r="V2308" s="29" cm="1">
        <f t="array" ref="V2308">IF(表成绩单[[#This Row],[历史]]="","",SUMPRODUCT((表成绩单[考试日期]=表成绩单[[#This Row],[考试日期]])*(表成绩单[历史]&lt;9E+307)*(表成绩单[历史]&gt;表成绩单[[#This Row],[历史]]))+1)</f>
        <v>366</v>
      </c>
      <c r="W2308" s="29" cm="1">
        <f t="array" ref="W2308">IF(表成绩单[[#This Row],[总分]]="","",SUMPRODUCT((表成绩单[考试日期]=表成绩单[[#This Row],[考试日期]])*(表成绩单[总分]&lt;9E+307)*(表成绩单[总分]&gt;表成绩单[[#This Row],[总分]]))+1)</f>
        <v>702</v>
      </c>
    </row>
    <row r="2309" ht="28" customHeight="1" spans="4:23">
      <c r="D2309" s="31">
        <v>46030</v>
      </c>
      <c r="E2309" s="29">
        <v>19175325</v>
      </c>
      <c r="F2309" s="29" t="s">
        <v>55</v>
      </c>
      <c r="G2309" s="29" t="s">
        <v>761</v>
      </c>
      <c r="H2309" s="29">
        <v>77</v>
      </c>
      <c r="I2309" s="29">
        <v>65</v>
      </c>
      <c r="J2309" s="29">
        <v>51.5</v>
      </c>
      <c r="K2309" s="29">
        <v>35</v>
      </c>
      <c r="L2309" s="29">
        <v>45</v>
      </c>
      <c r="M2309" s="29">
        <v>60</v>
      </c>
      <c r="N2309" s="29">
        <v>40</v>
      </c>
      <c r="O2309" s="32">
        <v>373.5</v>
      </c>
      <c r="P2309" s="29" cm="1">
        <f t="array" ref="P2309">IF(表成绩单[[#This Row],[语文]]="","",SUMPRODUCT((表成绩单[考试日期]=表成绩单[[#This Row],[考试日期]])*(表成绩单[语文]&lt;9E+307)*(表成绩单[语文]&gt;表成绩单[[#This Row],[语文]]))+1)</f>
        <v>702</v>
      </c>
      <c r="Q2309" s="29" cm="1">
        <f t="array" ref="Q2309">IF(表成绩单[[#This Row],[数学]]="","",SUMPRODUCT((表成绩单[考试日期]=表成绩单[[#This Row],[考试日期]])*(表成绩单[数学]&lt;9E+307)*(表成绩单[数学]&gt;表成绩单[[#This Row],[数学]]))+1)</f>
        <v>640</v>
      </c>
      <c r="R2309" s="29" cm="1">
        <f t="array" ref="R2309">IF(表成绩单[[#This Row],[英语]]="","",SUMPRODUCT((表成绩单[考试日期]=表成绩单[[#This Row],[考试日期]])*(表成绩单[英语]&lt;9E+307)*(表成绩单[英语]&gt;表成绩单[[#This Row],[英语]]))+1)</f>
        <v>634</v>
      </c>
      <c r="S2309" s="29" cm="1">
        <f t="array" ref="S2309">IF(表成绩单[[#This Row],[物理]]="","",SUMPRODUCT((表成绩单[考试日期]=表成绩单[[#This Row],[考试日期]])*(表成绩单[物理]&lt;9E+307)*(表成绩单[物理]&gt;表成绩单[[#This Row],[物理]]))+1)</f>
        <v>722</v>
      </c>
      <c r="T2309" s="29" cm="1">
        <f t="array" ref="T2309">IF(表成绩单[[#This Row],[化学]]="","",SUMPRODUCT((表成绩单[考试日期]=表成绩单[[#This Row],[考试日期]])*(表成绩单[化学]&lt;9E+307)*(表成绩单[化学]&gt;表成绩单[[#This Row],[化学]]))+1)</f>
        <v>711</v>
      </c>
      <c r="U2309" s="29" cm="1">
        <f t="array" ref="U2309">IF(表成绩单[[#This Row],[政治]]="","",SUMPRODUCT((表成绩单[考试日期]=表成绩单[[#This Row],[考试日期]])*(表成绩单[政治]&lt;9E+307)*(表成绩单[政治]&gt;表成绩单[[#This Row],[政治]]))+1)</f>
        <v>544</v>
      </c>
      <c r="V2309" s="29" cm="1">
        <f t="array" ref="V2309">IF(表成绩单[[#This Row],[历史]]="","",SUMPRODUCT((表成绩单[考试日期]=表成绩单[[#This Row],[考试日期]])*(表成绩单[历史]&lt;9E+307)*(表成绩单[历史]&gt;表成绩单[[#This Row],[历史]]))+1)</f>
        <v>761</v>
      </c>
      <c r="W2309" s="29" cm="1">
        <f t="array" ref="W2309">IF(表成绩单[[#This Row],[总分]]="","",SUMPRODUCT((表成绩单[考试日期]=表成绩单[[#This Row],[考试日期]])*(表成绩单[总分]&lt;9E+307)*(表成绩单[总分]&gt;表成绩单[[#This Row],[总分]]))+1)</f>
        <v>703</v>
      </c>
    </row>
    <row r="2310" ht="28" customHeight="1" spans="4:23">
      <c r="D2310" s="31">
        <v>46030</v>
      </c>
      <c r="E2310" s="29">
        <v>19172655</v>
      </c>
      <c r="F2310" s="29" t="s">
        <v>60</v>
      </c>
      <c r="G2310" s="29" t="s">
        <v>789</v>
      </c>
      <c r="H2310" s="29">
        <v>79</v>
      </c>
      <c r="I2310" s="29">
        <v>56</v>
      </c>
      <c r="J2310" s="29">
        <v>44</v>
      </c>
      <c r="K2310" s="29">
        <v>25</v>
      </c>
      <c r="L2310" s="29">
        <v>49</v>
      </c>
      <c r="M2310" s="29">
        <v>48</v>
      </c>
      <c r="N2310" s="29">
        <v>71</v>
      </c>
      <c r="O2310" s="32">
        <v>372</v>
      </c>
      <c r="P2310" s="29" cm="1">
        <f t="array" ref="P2310">IF(表成绩单[[#This Row],[语文]]="","",SUMPRODUCT((表成绩单[考试日期]=表成绩单[[#This Row],[考试日期]])*(表成绩单[语文]&lt;9E+307)*(表成绩单[语文]&gt;表成绩单[[#This Row],[语文]]))+1)</f>
        <v>684</v>
      </c>
      <c r="Q2310" s="29" cm="1">
        <f t="array" ref="Q2310">IF(表成绩单[[#This Row],[数学]]="","",SUMPRODUCT((表成绩单[考试日期]=表成绩单[[#This Row],[考试日期]])*(表成绩单[数学]&lt;9E+307)*(表成绩单[数学]&gt;表成绩单[[#This Row],[数学]]))+1)</f>
        <v>698</v>
      </c>
      <c r="R2310" s="29" cm="1">
        <f t="array" ref="R2310">IF(表成绩单[[#This Row],[英语]]="","",SUMPRODUCT((表成绩单[考试日期]=表成绩单[[#This Row],[考试日期]])*(表成绩单[英语]&lt;9E+307)*(表成绩单[英语]&gt;表成绩单[[#This Row],[英语]]))+1)</f>
        <v>695</v>
      </c>
      <c r="S2310" s="29" cm="1">
        <f t="array" ref="S2310">IF(表成绩单[[#This Row],[物理]]="","",SUMPRODUCT((表成绩单[考试日期]=表成绩单[[#This Row],[考试日期]])*(表成绩单[物理]&lt;9E+307)*(表成绩单[物理]&gt;表成绩单[[#This Row],[物理]]))+1)</f>
        <v>766</v>
      </c>
      <c r="T2310" s="29" cm="1">
        <f t="array" ref="T2310">IF(表成绩单[[#This Row],[化学]]="","",SUMPRODUCT((表成绩单[考试日期]=表成绩单[[#This Row],[考试日期]])*(表成绩单[化学]&lt;9E+307)*(表成绩单[化学]&gt;表成绩单[[#This Row],[化学]]))+1)</f>
        <v>675</v>
      </c>
      <c r="U2310" s="29" cm="1">
        <f t="array" ref="U2310">IF(表成绩单[[#This Row],[政治]]="","",SUMPRODUCT((表成绩单[考试日期]=表成绩单[[#This Row],[考试日期]])*(表成绩单[政治]&lt;9E+307)*(表成绩单[政治]&gt;表成绩单[[#This Row],[政治]]))+1)</f>
        <v>675</v>
      </c>
      <c r="V2310" s="29" cm="1">
        <f t="array" ref="V2310">IF(表成绩单[[#This Row],[历史]]="","",SUMPRODUCT((表成绩单[考试日期]=表成绩单[[#This Row],[考试日期]])*(表成绩单[历史]&lt;9E+307)*(表成绩单[历史]&gt;表成绩单[[#This Row],[历史]]))+1)</f>
        <v>297</v>
      </c>
      <c r="W2310" s="29" cm="1">
        <f t="array" ref="W2310">IF(表成绩单[[#This Row],[总分]]="","",SUMPRODUCT((表成绩单[考试日期]=表成绩单[[#This Row],[考试日期]])*(表成绩单[总分]&lt;9E+307)*(表成绩单[总分]&gt;表成绩单[[#This Row],[总分]]))+1)</f>
        <v>704</v>
      </c>
    </row>
    <row r="2311" ht="28" customHeight="1" spans="4:23">
      <c r="D2311" s="31">
        <v>46030</v>
      </c>
      <c r="E2311" s="29">
        <v>19172627</v>
      </c>
      <c r="F2311" s="29" t="s">
        <v>60</v>
      </c>
      <c r="G2311" s="29" t="s">
        <v>758</v>
      </c>
      <c r="H2311" s="29">
        <v>72</v>
      </c>
      <c r="I2311" s="29">
        <v>66</v>
      </c>
      <c r="J2311" s="29">
        <v>22.5</v>
      </c>
      <c r="K2311" s="29">
        <v>45</v>
      </c>
      <c r="L2311" s="29">
        <v>48</v>
      </c>
      <c r="M2311" s="29">
        <v>51</v>
      </c>
      <c r="N2311" s="29">
        <v>66</v>
      </c>
      <c r="O2311" s="32">
        <v>370.5</v>
      </c>
      <c r="P2311" s="29" cm="1">
        <f t="array" ref="P2311">IF(表成绩单[[#This Row],[语文]]="","",SUMPRODUCT((表成绩单[考试日期]=表成绩单[[#This Row],[考试日期]])*(表成绩单[语文]&lt;9E+307)*(表成绩单[语文]&gt;表成绩单[[#This Row],[语文]]))+1)</f>
        <v>731</v>
      </c>
      <c r="Q2311" s="29" cm="1">
        <f t="array" ref="Q2311">IF(表成绩单[[#This Row],[数学]]="","",SUMPRODUCT((表成绩单[考试日期]=表成绩单[[#This Row],[考试日期]])*(表成绩单[数学]&lt;9E+307)*(表成绩单[数学]&gt;表成绩单[[#This Row],[数学]]))+1)</f>
        <v>631</v>
      </c>
      <c r="R2311" s="29" cm="1">
        <f t="array" ref="R2311">IF(表成绩单[[#This Row],[英语]]="","",SUMPRODUCT((表成绩单[考试日期]=表成绩单[[#This Row],[考试日期]])*(表成绩单[英语]&lt;9E+307)*(表成绩单[英语]&gt;表成绩单[[#This Row],[英语]]))+1)</f>
        <v>773</v>
      </c>
      <c r="S2311" s="29" cm="1">
        <f t="array" ref="S2311">IF(表成绩单[[#This Row],[物理]]="","",SUMPRODUCT((表成绩单[考试日期]=表成绩单[[#This Row],[考试日期]])*(表成绩单[物理]&lt;9E+307)*(表成绩单[物理]&gt;表成绩单[[#This Row],[物理]]))+1)</f>
        <v>655</v>
      </c>
      <c r="T2311" s="29" cm="1">
        <f t="array" ref="T2311">IF(表成绩单[[#This Row],[化学]]="","",SUMPRODUCT((表成绩单[考试日期]=表成绩单[[#This Row],[考试日期]])*(表成绩单[化学]&lt;9E+307)*(表成绩单[化学]&gt;表成绩单[[#This Row],[化学]]))+1)</f>
        <v>685</v>
      </c>
      <c r="U2311" s="29" cm="1">
        <f t="array" ref="U2311">IF(表成绩单[[#This Row],[政治]]="","",SUMPRODUCT((表成绩单[考试日期]=表成绩单[[#This Row],[考试日期]])*(表成绩单[政治]&lt;9E+307)*(表成绩单[政治]&gt;表成绩单[[#This Row],[政治]]))+1)</f>
        <v>651</v>
      </c>
      <c r="V2311" s="29" cm="1">
        <f t="array" ref="V2311">IF(表成绩单[[#This Row],[历史]]="","",SUMPRODUCT((表成绩单[考试日期]=表成绩单[[#This Row],[考试日期]])*(表成绩单[历史]&lt;9E+307)*(表成绩单[历史]&gt;表成绩单[[#This Row],[历史]]))+1)</f>
        <v>451</v>
      </c>
      <c r="W2311" s="29" cm="1">
        <f t="array" ref="W2311">IF(表成绩单[[#This Row],[总分]]="","",SUMPRODUCT((表成绩单[考试日期]=表成绩单[[#This Row],[考试日期]])*(表成绩单[总分]&lt;9E+307)*(表成绩单[总分]&gt;表成绩单[[#This Row],[总分]]))+1)</f>
        <v>705</v>
      </c>
    </row>
    <row r="2312" ht="28" customHeight="1" spans="4:23">
      <c r="D2312" s="31">
        <v>46030</v>
      </c>
      <c r="E2312" s="29">
        <v>19177589</v>
      </c>
      <c r="F2312" s="29" t="s">
        <v>58</v>
      </c>
      <c r="G2312" s="29" t="s">
        <v>861</v>
      </c>
      <c r="H2312" s="29">
        <v>78</v>
      </c>
      <c r="I2312" s="29">
        <v>63</v>
      </c>
      <c r="J2312" s="29">
        <v>54.5</v>
      </c>
      <c r="K2312" s="29">
        <v>49</v>
      </c>
      <c r="L2312" s="29">
        <v>38</v>
      </c>
      <c r="M2312" s="29">
        <v>37</v>
      </c>
      <c r="N2312" s="29">
        <v>50</v>
      </c>
      <c r="O2312" s="32">
        <v>369.5</v>
      </c>
      <c r="P2312" s="29" cm="1">
        <f t="array" ref="P2312">IF(表成绩单[[#This Row],[语文]]="","",SUMPRODUCT((表成绩单[考试日期]=表成绩单[[#This Row],[考试日期]])*(表成绩单[语文]&lt;9E+307)*(表成绩单[语文]&gt;表成绩单[[#This Row],[语文]]))+1)</f>
        <v>694</v>
      </c>
      <c r="Q2312" s="29" cm="1">
        <f t="array" ref="Q2312">IF(表成绩单[[#This Row],[数学]]="","",SUMPRODUCT((表成绩单[考试日期]=表成绩单[[#This Row],[考试日期]])*(表成绩单[数学]&lt;9E+307)*(表成绩单[数学]&gt;表成绩单[[#This Row],[数学]]))+1)</f>
        <v>655</v>
      </c>
      <c r="R2312" s="29" cm="1">
        <f t="array" ref="R2312">IF(表成绩单[[#This Row],[英语]]="","",SUMPRODUCT((表成绩单[考试日期]=表成绩单[[#This Row],[考试日期]])*(表成绩单[英语]&lt;9E+307)*(表成绩单[英语]&gt;表成绩单[[#This Row],[英语]]))+1)</f>
        <v>604</v>
      </c>
      <c r="S2312" s="29" cm="1">
        <f t="array" ref="S2312">IF(表成绩单[[#This Row],[物理]]="","",SUMPRODUCT((表成绩单[考试日期]=表成绩单[[#This Row],[考试日期]])*(表成绩单[物理]&lt;9E+307)*(表成绩单[物理]&gt;表成绩单[[#This Row],[物理]]))+1)</f>
        <v>619</v>
      </c>
      <c r="T2312" s="29" cm="1">
        <f t="array" ref="T2312">IF(表成绩单[[#This Row],[化学]]="","",SUMPRODUCT((表成绩单[考试日期]=表成绩单[[#This Row],[考试日期]])*(表成绩单[化学]&lt;9E+307)*(表成绩单[化学]&gt;表成绩单[[#This Row],[化学]]))+1)</f>
        <v>748</v>
      </c>
      <c r="U2312" s="29" cm="1">
        <f t="array" ref="U2312">IF(表成绩单[[#This Row],[政治]]="","",SUMPRODUCT((表成绩单[考试日期]=表成绩单[[#This Row],[考试日期]])*(表成绩单[政治]&lt;9E+307)*(表成绩单[政治]&gt;表成绩单[[#This Row],[政治]]))+1)</f>
        <v>739</v>
      </c>
      <c r="V2312" s="29" cm="1">
        <f t="array" ref="V2312">IF(表成绩单[[#This Row],[历史]]="","",SUMPRODUCT((表成绩单[考试日期]=表成绩单[[#This Row],[考试日期]])*(表成绩单[历史]&lt;9E+307)*(表成绩单[历史]&gt;表成绩单[[#This Row],[历史]]))+1)</f>
        <v>723</v>
      </c>
      <c r="W2312" s="29" cm="1">
        <f t="array" ref="W2312">IF(表成绩单[[#This Row],[总分]]="","",SUMPRODUCT((表成绩单[考试日期]=表成绩单[[#This Row],[考试日期]])*(表成绩单[总分]&lt;9E+307)*(表成绩单[总分]&gt;表成绩单[[#This Row],[总分]]))+1)</f>
        <v>706</v>
      </c>
    </row>
    <row r="2313" ht="28" customHeight="1" spans="4:23">
      <c r="D2313" s="31">
        <v>46030</v>
      </c>
      <c r="E2313" s="29">
        <v>19174736</v>
      </c>
      <c r="F2313" s="29" t="s">
        <v>64</v>
      </c>
      <c r="G2313" s="29" t="s">
        <v>801</v>
      </c>
      <c r="H2313" s="29">
        <v>80</v>
      </c>
      <c r="I2313" s="29">
        <v>45</v>
      </c>
      <c r="J2313" s="29">
        <v>45.5</v>
      </c>
      <c r="K2313" s="29">
        <v>35</v>
      </c>
      <c r="L2313" s="29">
        <v>48</v>
      </c>
      <c r="M2313" s="29">
        <v>59</v>
      </c>
      <c r="N2313" s="29">
        <v>56</v>
      </c>
      <c r="O2313" s="32">
        <v>368.5</v>
      </c>
      <c r="P2313" s="29" cm="1">
        <f t="array" ref="P2313">IF(表成绩单[[#This Row],[语文]]="","",SUMPRODUCT((表成绩单[考试日期]=表成绩单[[#This Row],[考试日期]])*(表成绩单[语文]&lt;9E+307)*(表成绩单[语文]&gt;表成绩单[[#This Row],[语文]]))+1)</f>
        <v>675</v>
      </c>
      <c r="Q2313" s="29" cm="1">
        <f t="array" ref="Q2313">IF(表成绩单[[#This Row],[数学]]="","",SUMPRODUCT((表成绩单[考试日期]=表成绩单[[#This Row],[考试日期]])*(表成绩单[数学]&lt;9E+307)*(表成绩单[数学]&gt;表成绩单[[#This Row],[数学]]))+1)</f>
        <v>738</v>
      </c>
      <c r="R2313" s="29" cm="1">
        <f t="array" ref="R2313">IF(表成绩单[[#This Row],[英语]]="","",SUMPRODUCT((表成绩单[考试日期]=表成绩单[[#This Row],[考试日期]])*(表成绩单[英语]&lt;9E+307)*(表成绩单[英语]&gt;表成绩单[[#This Row],[英语]]))+1)</f>
        <v>688</v>
      </c>
      <c r="S2313" s="29" cm="1">
        <f t="array" ref="S2313">IF(表成绩单[[#This Row],[物理]]="","",SUMPRODUCT((表成绩单[考试日期]=表成绩单[[#This Row],[考试日期]])*(表成绩单[物理]&lt;9E+307)*(表成绩单[物理]&gt;表成绩单[[#This Row],[物理]]))+1)</f>
        <v>722</v>
      </c>
      <c r="T2313" s="29" cm="1">
        <f t="array" ref="T2313">IF(表成绩单[[#This Row],[化学]]="","",SUMPRODUCT((表成绩单[考试日期]=表成绩单[[#This Row],[考试日期]])*(表成绩单[化学]&lt;9E+307)*(表成绩单[化学]&gt;表成绩单[[#This Row],[化学]]))+1)</f>
        <v>685</v>
      </c>
      <c r="U2313" s="29" cm="1">
        <f t="array" ref="U2313">IF(表成绩单[[#This Row],[政治]]="","",SUMPRODUCT((表成绩单[考试日期]=表成绩单[[#This Row],[考试日期]])*(表成绩单[政治]&lt;9E+307)*(表成绩单[政治]&gt;表成绩单[[#This Row],[政治]]))+1)</f>
        <v>557</v>
      </c>
      <c r="V2313" s="29" cm="1">
        <f t="array" ref="V2313">IF(表成绩单[[#This Row],[历史]]="","",SUMPRODUCT((表成绩单[考试日期]=表成绩单[[#This Row],[考试日期]])*(表成绩单[历史]&lt;9E+307)*(表成绩单[历史]&gt;表成绩单[[#This Row],[历史]]))+1)</f>
        <v>651</v>
      </c>
      <c r="W2313" s="29" cm="1">
        <f t="array" ref="W2313">IF(表成绩单[[#This Row],[总分]]="","",SUMPRODUCT((表成绩单[考试日期]=表成绩单[[#This Row],[考试日期]])*(表成绩单[总分]&lt;9E+307)*(表成绩单[总分]&gt;表成绩单[[#This Row],[总分]]))+1)</f>
        <v>707</v>
      </c>
    </row>
    <row r="2314" ht="28" customHeight="1" spans="4:23">
      <c r="D2314" s="31">
        <v>46030</v>
      </c>
      <c r="E2314" s="29">
        <v>19172647</v>
      </c>
      <c r="F2314" s="29" t="s">
        <v>60</v>
      </c>
      <c r="G2314" s="29" t="s">
        <v>814</v>
      </c>
      <c r="H2314" s="29">
        <v>76</v>
      </c>
      <c r="I2314" s="29">
        <v>72</v>
      </c>
      <c r="J2314" s="29">
        <v>38.5</v>
      </c>
      <c r="K2314" s="29">
        <v>41</v>
      </c>
      <c r="L2314" s="29">
        <v>39</v>
      </c>
      <c r="M2314" s="29">
        <v>47</v>
      </c>
      <c r="N2314" s="29">
        <v>53</v>
      </c>
      <c r="O2314" s="32">
        <v>366.5</v>
      </c>
      <c r="P2314" s="29" cm="1">
        <f t="array" ref="P2314">IF(表成绩单[[#This Row],[语文]]="","",SUMPRODUCT((表成绩单[考试日期]=表成绩单[[#This Row],[考试日期]])*(表成绩单[语文]&lt;9E+307)*(表成绩单[语文]&gt;表成绩单[[#This Row],[语文]]))+1)</f>
        <v>709</v>
      </c>
      <c r="Q2314" s="29" cm="1">
        <f t="array" ref="Q2314">IF(表成绩单[[#This Row],[数学]]="","",SUMPRODUCT((表成绩单[考试日期]=表成绩单[[#This Row],[考试日期]])*(表成绩单[数学]&lt;9E+307)*(表成绩单[数学]&gt;表成绩单[[#This Row],[数学]]))+1)</f>
        <v>562</v>
      </c>
      <c r="R2314" s="29" cm="1">
        <f t="array" ref="R2314">IF(表成绩单[[#This Row],[英语]]="","",SUMPRODUCT((表成绩单[考试日期]=表成绩单[[#This Row],[考试日期]])*(表成绩单[英语]&lt;9E+307)*(表成绩单[英语]&gt;表成绩单[[#This Row],[英语]]))+1)</f>
        <v>728</v>
      </c>
      <c r="S2314" s="29" cm="1">
        <f t="array" ref="S2314">IF(表成绩单[[#This Row],[物理]]="","",SUMPRODUCT((表成绩单[考试日期]=表成绩单[[#This Row],[考试日期]])*(表成绩单[物理]&lt;9E+307)*(表成绩单[物理]&gt;表成绩单[[#This Row],[物理]]))+1)</f>
        <v>687</v>
      </c>
      <c r="T2314" s="29" cm="1">
        <f t="array" ref="T2314">IF(表成绩单[[#This Row],[化学]]="","",SUMPRODUCT((表成绩单[考试日期]=表成绩单[[#This Row],[考试日期]])*(表成绩单[化学]&lt;9E+307)*(表成绩单[化学]&gt;表成绩单[[#This Row],[化学]]))+1)</f>
        <v>743</v>
      </c>
      <c r="U2314" s="29" cm="1">
        <f t="array" ref="U2314">IF(表成绩单[[#This Row],[政治]]="","",SUMPRODUCT((表成绩单[考试日期]=表成绩单[[#This Row],[考试日期]])*(表成绩单[政治]&lt;9E+307)*(表成绩单[政治]&gt;表成绩单[[#This Row],[政治]]))+1)</f>
        <v>688</v>
      </c>
      <c r="V2314" s="29" cm="1">
        <f t="array" ref="V2314">IF(表成绩单[[#This Row],[历史]]="","",SUMPRODUCT((表成绩单[考试日期]=表成绩单[[#This Row],[考试日期]])*(表成绩单[历史]&lt;9E+307)*(表成绩单[历史]&gt;表成绩单[[#This Row],[历史]]))+1)</f>
        <v>690</v>
      </c>
      <c r="W2314" s="29" cm="1">
        <f t="array" ref="W2314">IF(表成绩单[[#This Row],[总分]]="","",SUMPRODUCT((表成绩单[考试日期]=表成绩单[[#This Row],[考试日期]])*(表成绩单[总分]&lt;9E+307)*(表成绩单[总分]&gt;表成绩单[[#This Row],[总分]]))+1)</f>
        <v>708</v>
      </c>
    </row>
    <row r="2315" ht="28" customHeight="1" spans="4:23">
      <c r="D2315" s="31">
        <v>46030</v>
      </c>
      <c r="E2315" s="29">
        <v>19173238</v>
      </c>
      <c r="F2315" s="29" t="s">
        <v>61</v>
      </c>
      <c r="G2315" s="29" t="s">
        <v>730</v>
      </c>
      <c r="H2315" s="29">
        <v>83</v>
      </c>
      <c r="I2315" s="29">
        <v>58</v>
      </c>
      <c r="J2315" s="29">
        <v>52</v>
      </c>
      <c r="K2315" s="29">
        <v>38</v>
      </c>
      <c r="L2315" s="29">
        <v>37</v>
      </c>
      <c r="M2315" s="29">
        <v>37</v>
      </c>
      <c r="N2315" s="29">
        <v>59</v>
      </c>
      <c r="O2315" s="32">
        <v>364</v>
      </c>
      <c r="P2315" s="29" cm="1">
        <f t="array" ref="P2315">IF(表成绩单[[#This Row],[语文]]="","",SUMPRODUCT((表成绩单[考试日期]=表成绩单[[#This Row],[考试日期]])*(表成绩单[语文]&lt;9E+307)*(表成绩单[语文]&gt;表成绩单[[#This Row],[语文]]))+1)</f>
        <v>648</v>
      </c>
      <c r="Q2315" s="29" cm="1">
        <f t="array" ref="Q2315">IF(表成绩单[[#This Row],[数学]]="","",SUMPRODUCT((表成绩单[考试日期]=表成绩单[[#This Row],[考试日期]])*(表成绩单[数学]&lt;9E+307)*(表成绩单[数学]&gt;表成绩单[[#This Row],[数学]]))+1)</f>
        <v>685</v>
      </c>
      <c r="R2315" s="29" cm="1">
        <f t="array" ref="R2315">IF(表成绩单[[#This Row],[英语]]="","",SUMPRODUCT((表成绩单[考试日期]=表成绩单[[#This Row],[考试日期]])*(表成绩单[英语]&lt;9E+307)*(表成绩单[英语]&gt;表成绩单[[#This Row],[英语]]))+1)</f>
        <v>624</v>
      </c>
      <c r="S2315" s="29" cm="1">
        <f t="array" ref="S2315">IF(表成绩单[[#This Row],[物理]]="","",SUMPRODUCT((表成绩单[考试日期]=表成绩单[[#This Row],[考试日期]])*(表成绩单[物理]&lt;9E+307)*(表成绩单[物理]&gt;表成绩单[[#This Row],[物理]]))+1)</f>
        <v>704</v>
      </c>
      <c r="T2315" s="29" cm="1">
        <f t="array" ref="T2315">IF(表成绩单[[#This Row],[化学]]="","",SUMPRODUCT((表成绩单[考试日期]=表成绩单[[#This Row],[考试日期]])*(表成绩单[化学]&lt;9E+307)*(表成绩单[化学]&gt;表成绩单[[#This Row],[化学]]))+1)</f>
        <v>754</v>
      </c>
      <c r="U2315" s="29" cm="1">
        <f t="array" ref="U2315">IF(表成绩单[[#This Row],[政治]]="","",SUMPRODUCT((表成绩单[考试日期]=表成绩单[[#This Row],[考试日期]])*(表成绩单[政治]&lt;9E+307)*(表成绩单[政治]&gt;表成绩单[[#This Row],[政治]]))+1)</f>
        <v>739</v>
      </c>
      <c r="V2315" s="29" cm="1">
        <f t="array" ref="V2315">IF(表成绩单[[#This Row],[历史]]="","",SUMPRODUCT((表成绩单[考试日期]=表成绩单[[#This Row],[考试日期]])*(表成绩单[历史]&lt;9E+307)*(表成绩单[历史]&gt;表成绩单[[#This Row],[历史]]))+1)</f>
        <v>601</v>
      </c>
      <c r="W2315" s="29" cm="1">
        <f t="array" ref="W2315">IF(表成绩单[[#This Row],[总分]]="","",SUMPRODUCT((表成绩单[考试日期]=表成绩单[[#This Row],[考试日期]])*(表成绩单[总分]&lt;9E+307)*(表成绩单[总分]&gt;表成绩单[[#This Row],[总分]]))+1)</f>
        <v>709</v>
      </c>
    </row>
    <row r="2316" ht="28" customHeight="1" spans="4:23">
      <c r="D2316" s="31">
        <v>46030</v>
      </c>
      <c r="E2316" s="29">
        <v>19177631</v>
      </c>
      <c r="F2316" s="29" t="s">
        <v>58</v>
      </c>
      <c r="G2316" s="29" t="s">
        <v>790</v>
      </c>
      <c r="H2316" s="29">
        <v>87</v>
      </c>
      <c r="I2316" s="29">
        <v>58</v>
      </c>
      <c r="J2316" s="29">
        <v>35.5</v>
      </c>
      <c r="K2316" s="29">
        <v>40</v>
      </c>
      <c r="L2316" s="29">
        <v>33</v>
      </c>
      <c r="M2316" s="29">
        <v>54</v>
      </c>
      <c r="N2316" s="29">
        <v>56</v>
      </c>
      <c r="O2316" s="32">
        <v>363.5</v>
      </c>
      <c r="P2316" s="29" cm="1">
        <f t="array" ref="P2316">IF(表成绩单[[#This Row],[语文]]="","",SUMPRODUCT((表成绩单[考试日期]=表成绩单[[#This Row],[考试日期]])*(表成绩单[语文]&lt;9E+307)*(表成绩单[语文]&gt;表成绩单[[#This Row],[语文]]))+1)</f>
        <v>581</v>
      </c>
      <c r="Q2316" s="29" cm="1">
        <f t="array" ref="Q2316">IF(表成绩单[[#This Row],[数学]]="","",SUMPRODUCT((表成绩单[考试日期]=表成绩单[[#This Row],[考试日期]])*(表成绩单[数学]&lt;9E+307)*(表成绩单[数学]&gt;表成绩单[[#This Row],[数学]]))+1)</f>
        <v>685</v>
      </c>
      <c r="R2316" s="29" cm="1">
        <f t="array" ref="R2316">IF(表成绩单[[#This Row],[英语]]="","",SUMPRODUCT((表成绩单[考试日期]=表成绩单[[#This Row],[考试日期]])*(表成绩单[英语]&lt;9E+307)*(表成绩单[英语]&gt;表成绩单[[#This Row],[英语]]))+1)</f>
        <v>741</v>
      </c>
      <c r="S2316" s="29" cm="1">
        <f t="array" ref="S2316">IF(表成绩单[[#This Row],[物理]]="","",SUMPRODUCT((表成绩单[考试日期]=表成绩单[[#This Row],[考试日期]])*(表成绩单[物理]&lt;9E+307)*(表成绩单[物理]&gt;表成绩单[[#This Row],[物理]]))+1)</f>
        <v>695</v>
      </c>
      <c r="T2316" s="29" cm="1">
        <f t="array" ref="T2316">IF(表成绩单[[#This Row],[化学]]="","",SUMPRODUCT((表成绩单[考试日期]=表成绩单[[#This Row],[考试日期]])*(表成绩单[化学]&lt;9E+307)*(表成绩单[化学]&gt;表成绩单[[#This Row],[化学]]))+1)</f>
        <v>768</v>
      </c>
      <c r="U2316" s="29" cm="1">
        <f t="array" ref="U2316">IF(表成绩单[[#This Row],[政治]]="","",SUMPRODUCT((表成绩单[考试日期]=表成绩单[[#This Row],[考试日期]])*(表成绩单[政治]&lt;9E+307)*(表成绩单[政治]&gt;表成绩单[[#This Row],[政治]]))+1)</f>
        <v>621</v>
      </c>
      <c r="V2316" s="29" cm="1">
        <f t="array" ref="V2316">IF(表成绩单[[#This Row],[历史]]="","",SUMPRODUCT((表成绩单[考试日期]=表成绩单[[#This Row],[考试日期]])*(表成绩单[历史]&lt;9E+307)*(表成绩单[历史]&gt;表成绩单[[#This Row],[历史]]))+1)</f>
        <v>651</v>
      </c>
      <c r="W2316" s="29" cm="1">
        <f t="array" ref="W2316">IF(表成绩单[[#This Row],[总分]]="","",SUMPRODUCT((表成绩单[考试日期]=表成绩单[[#This Row],[考试日期]])*(表成绩单[总分]&lt;9E+307)*(表成绩单[总分]&gt;表成绩单[[#This Row],[总分]]))+1)</f>
        <v>710</v>
      </c>
    </row>
    <row r="2317" ht="28" customHeight="1" spans="4:23">
      <c r="D2317" s="31">
        <v>46030</v>
      </c>
      <c r="E2317" s="29">
        <v>19175320</v>
      </c>
      <c r="F2317" s="29" t="s">
        <v>55</v>
      </c>
      <c r="G2317" s="29" t="s">
        <v>795</v>
      </c>
      <c r="H2317" s="29">
        <v>69</v>
      </c>
      <c r="I2317" s="29">
        <v>54</v>
      </c>
      <c r="J2317" s="29">
        <v>52</v>
      </c>
      <c r="K2317" s="29">
        <v>33</v>
      </c>
      <c r="L2317" s="29">
        <v>49</v>
      </c>
      <c r="M2317" s="29">
        <v>54</v>
      </c>
      <c r="N2317" s="29">
        <v>51</v>
      </c>
      <c r="O2317" s="32">
        <v>362</v>
      </c>
      <c r="P2317" s="29" cm="1">
        <f t="array" ref="P2317">IF(表成绩单[[#This Row],[语文]]="","",SUMPRODUCT((表成绩单[考试日期]=表成绩单[[#This Row],[考试日期]])*(表成绩单[语文]&lt;9E+307)*(表成绩单[语文]&gt;表成绩单[[#This Row],[语文]]))+1)</f>
        <v>748</v>
      </c>
      <c r="Q2317" s="29" cm="1">
        <f t="array" ref="Q2317">IF(表成绩单[[#This Row],[数学]]="","",SUMPRODUCT((表成绩单[考试日期]=表成绩单[[#This Row],[考试日期]])*(表成绩单[数学]&lt;9E+307)*(表成绩单[数学]&gt;表成绩单[[#This Row],[数学]]))+1)</f>
        <v>711</v>
      </c>
      <c r="R2317" s="29" cm="1">
        <f t="array" ref="R2317">IF(表成绩单[[#This Row],[英语]]="","",SUMPRODUCT((表成绩单[考试日期]=表成绩单[[#This Row],[考试日期]])*(表成绩单[英语]&lt;9E+307)*(表成绩单[英语]&gt;表成绩单[[#This Row],[英语]]))+1)</f>
        <v>624</v>
      </c>
      <c r="S2317" s="29" cm="1">
        <f t="array" ref="S2317">IF(表成绩单[[#This Row],[物理]]="","",SUMPRODUCT((表成绩单[考试日期]=表成绩单[[#This Row],[考试日期]])*(表成绩单[物理]&lt;9E+307)*(表成绩单[物理]&gt;表成绩单[[#This Row],[物理]]))+1)</f>
        <v>733</v>
      </c>
      <c r="T2317" s="29" cm="1">
        <f t="array" ref="T2317">IF(表成绩单[[#This Row],[化学]]="","",SUMPRODUCT((表成绩单[考试日期]=表成绩单[[#This Row],[考试日期]])*(表成绩单[化学]&lt;9E+307)*(表成绩单[化学]&gt;表成绩单[[#This Row],[化学]]))+1)</f>
        <v>675</v>
      </c>
      <c r="U2317" s="29" cm="1">
        <f t="array" ref="U2317">IF(表成绩单[[#This Row],[政治]]="","",SUMPRODUCT((表成绩单[考试日期]=表成绩单[[#This Row],[考试日期]])*(表成绩单[政治]&lt;9E+307)*(表成绩单[政治]&gt;表成绩单[[#This Row],[政治]]))+1)</f>
        <v>621</v>
      </c>
      <c r="V2317" s="29" cm="1">
        <f t="array" ref="V2317">IF(表成绩单[[#This Row],[历史]]="","",SUMPRODUCT((表成绩单[考试日期]=表成绩单[[#This Row],[考试日期]])*(表成绩单[历史]&lt;9E+307)*(表成绩单[历史]&gt;表成绩单[[#This Row],[历史]]))+1)</f>
        <v>714</v>
      </c>
      <c r="W2317" s="29" cm="1">
        <f t="array" ref="W2317">IF(表成绩单[[#This Row],[总分]]="","",SUMPRODUCT((表成绩单[考试日期]=表成绩单[[#This Row],[考试日期]])*(表成绩单[总分]&lt;9E+307)*(表成绩单[总分]&gt;表成绩单[[#This Row],[总分]]))+1)</f>
        <v>711</v>
      </c>
    </row>
    <row r="2318" ht="28" customHeight="1" spans="4:23">
      <c r="D2318" s="31">
        <v>46030</v>
      </c>
      <c r="E2318" s="29">
        <v>33609820</v>
      </c>
      <c r="F2318" s="29" t="s">
        <v>55</v>
      </c>
      <c r="G2318" s="29" t="s">
        <v>768</v>
      </c>
      <c r="H2318" s="29">
        <v>82</v>
      </c>
      <c r="I2318" s="29">
        <v>71</v>
      </c>
      <c r="J2318" s="29">
        <v>44</v>
      </c>
      <c r="K2318" s="29">
        <v>39</v>
      </c>
      <c r="L2318" s="29">
        <v>38</v>
      </c>
      <c r="M2318" s="29">
        <v>49</v>
      </c>
      <c r="N2318" s="29">
        <v>35</v>
      </c>
      <c r="O2318" s="32">
        <v>358</v>
      </c>
      <c r="P2318" s="29" cm="1">
        <f t="array" ref="P2318">IF(表成绩单[[#This Row],[语文]]="","",SUMPRODUCT((表成绩单[考试日期]=表成绩单[[#This Row],[考试日期]])*(表成绩单[语文]&lt;9E+307)*(表成绩单[语文]&gt;表成绩单[[#This Row],[语文]]))+1)</f>
        <v>655</v>
      </c>
      <c r="Q2318" s="29" cm="1">
        <f t="array" ref="Q2318">IF(表成绩单[[#This Row],[数学]]="","",SUMPRODUCT((表成绩单[考试日期]=表成绩单[[#This Row],[考试日期]])*(表成绩单[数学]&lt;9E+307)*(表成绩单[数学]&gt;表成绩单[[#This Row],[数学]]))+1)</f>
        <v>578</v>
      </c>
      <c r="R2318" s="29" cm="1">
        <f t="array" ref="R2318">IF(表成绩单[[#This Row],[英语]]="","",SUMPRODUCT((表成绩单[考试日期]=表成绩单[[#This Row],[考试日期]])*(表成绩单[英语]&lt;9E+307)*(表成绩单[英语]&gt;表成绩单[[#This Row],[英语]]))+1)</f>
        <v>695</v>
      </c>
      <c r="S2318" s="29" cm="1">
        <f t="array" ref="S2318">IF(表成绩单[[#This Row],[物理]]="","",SUMPRODUCT((表成绩单[考试日期]=表成绩单[[#This Row],[考试日期]])*(表成绩单[物理]&lt;9E+307)*(表成绩单[物理]&gt;表成绩单[[#This Row],[物理]]))+1)</f>
        <v>698</v>
      </c>
      <c r="T2318" s="29" cm="1">
        <f t="array" ref="T2318">IF(表成绩单[[#This Row],[化学]]="","",SUMPRODUCT((表成绩单[考试日期]=表成绩单[[#This Row],[考试日期]])*(表成绩单[化学]&lt;9E+307)*(表成绩单[化学]&gt;表成绩单[[#This Row],[化学]]))+1)</f>
        <v>748</v>
      </c>
      <c r="U2318" s="29" cm="1">
        <f t="array" ref="U2318">IF(表成绩单[[#This Row],[政治]]="","",SUMPRODUCT((表成绩单[考试日期]=表成绩单[[#This Row],[考试日期]])*(表成绩单[政治]&lt;9E+307)*(表成绩单[政治]&gt;表成绩单[[#This Row],[政治]]))+1)</f>
        <v>667</v>
      </c>
      <c r="V2318" s="29" cm="1">
        <f t="array" ref="V2318">IF(表成绩单[[#This Row],[历史]]="","",SUMPRODUCT((表成绩单[考试日期]=表成绩单[[#This Row],[考试日期]])*(表成绩单[历史]&lt;9E+307)*(表成绩单[历史]&gt;表成绩单[[#This Row],[历史]]))+1)</f>
        <v>773</v>
      </c>
      <c r="W2318" s="29" cm="1">
        <f t="array" ref="W2318">IF(表成绩单[[#This Row],[总分]]="","",SUMPRODUCT((表成绩单[考试日期]=表成绩单[[#This Row],[考试日期]])*(表成绩单[总分]&lt;9E+307)*(表成绩单[总分]&gt;表成绩单[[#This Row],[总分]]))+1)</f>
        <v>712</v>
      </c>
    </row>
    <row r="2319" ht="28" customHeight="1" spans="4:23">
      <c r="D2319" s="31">
        <v>46030</v>
      </c>
      <c r="E2319" s="29">
        <v>19176017</v>
      </c>
      <c r="F2319" s="29" t="s">
        <v>59</v>
      </c>
      <c r="G2319" s="29" t="s">
        <v>802</v>
      </c>
      <c r="H2319" s="29">
        <v>80</v>
      </c>
      <c r="I2319" s="29">
        <v>63</v>
      </c>
      <c r="J2319" s="29">
        <v>27.5</v>
      </c>
      <c r="K2319" s="29">
        <v>39</v>
      </c>
      <c r="L2319" s="29">
        <v>47</v>
      </c>
      <c r="M2319" s="29">
        <v>43</v>
      </c>
      <c r="N2319" s="29">
        <v>58</v>
      </c>
      <c r="O2319" s="32">
        <v>357.5</v>
      </c>
      <c r="P2319" s="29" cm="1">
        <f t="array" ref="P2319">IF(表成绩单[[#This Row],[语文]]="","",SUMPRODUCT((表成绩单[考试日期]=表成绩单[[#This Row],[考试日期]])*(表成绩单[语文]&lt;9E+307)*(表成绩单[语文]&gt;表成绩单[[#This Row],[语文]]))+1)</f>
        <v>675</v>
      </c>
      <c r="Q2319" s="29" cm="1">
        <f t="array" ref="Q2319">IF(表成绩单[[#This Row],[数学]]="","",SUMPRODUCT((表成绩单[考试日期]=表成绩单[[#This Row],[考试日期]])*(表成绩单[数学]&lt;9E+307)*(表成绩单[数学]&gt;表成绩单[[#This Row],[数学]]))+1)</f>
        <v>655</v>
      </c>
      <c r="R2319" s="29" cm="1">
        <f t="array" ref="R2319">IF(表成绩单[[#This Row],[英语]]="","",SUMPRODUCT((表成绩单[考试日期]=表成绩单[[#This Row],[考试日期]])*(表成绩单[英语]&lt;9E+307)*(表成绩单[英语]&gt;表成绩单[[#This Row],[英语]]))+1)</f>
        <v>767</v>
      </c>
      <c r="S2319" s="29" cm="1">
        <f t="array" ref="S2319">IF(表成绩单[[#This Row],[物理]]="","",SUMPRODUCT((表成绩单[考试日期]=表成绩单[[#This Row],[考试日期]])*(表成绩单[物理]&lt;9E+307)*(表成绩单[物理]&gt;表成绩单[[#This Row],[物理]]))+1)</f>
        <v>698</v>
      </c>
      <c r="T2319" s="29" cm="1">
        <f t="array" ref="T2319">IF(表成绩单[[#This Row],[化学]]="","",SUMPRODUCT((表成绩单[考试日期]=表成绩单[[#This Row],[考试日期]])*(表成绩单[化学]&lt;9E+307)*(表成绩单[化学]&gt;表成绩单[[#This Row],[化学]]))+1)</f>
        <v>694</v>
      </c>
      <c r="U2319" s="29" cm="1">
        <f t="array" ref="U2319">IF(表成绩单[[#This Row],[政治]]="","",SUMPRODUCT((表成绩单[考试日期]=表成绩单[[#This Row],[考试日期]])*(表成绩单[政治]&lt;9E+307)*(表成绩单[政治]&gt;表成绩单[[#This Row],[政治]]))+1)</f>
        <v>716</v>
      </c>
      <c r="V2319" s="29" cm="1">
        <f t="array" ref="V2319">IF(表成绩单[[#This Row],[历史]]="","",SUMPRODUCT((表成绩单[考试日期]=表成绩单[[#This Row],[考试日期]])*(表成绩单[历史]&lt;9E+307)*(表成绩单[历史]&gt;表成绩单[[#This Row],[历史]]))+1)</f>
        <v>620</v>
      </c>
      <c r="W2319" s="29" cm="1">
        <f t="array" ref="W2319">IF(表成绩单[[#This Row],[总分]]="","",SUMPRODUCT((表成绩单[考试日期]=表成绩单[[#This Row],[考试日期]])*(表成绩单[总分]&lt;9E+307)*(表成绩单[总分]&gt;表成绩单[[#This Row],[总分]]))+1)</f>
        <v>713</v>
      </c>
    </row>
    <row r="2320" ht="28" customHeight="1" spans="4:23">
      <c r="D2320" s="31">
        <v>46030</v>
      </c>
      <c r="E2320" s="29">
        <v>19173792</v>
      </c>
      <c r="F2320" s="29" t="s">
        <v>65</v>
      </c>
      <c r="G2320" s="29" t="s">
        <v>784</v>
      </c>
      <c r="H2320" s="29">
        <v>89</v>
      </c>
      <c r="I2320" s="29">
        <v>31</v>
      </c>
      <c r="J2320" s="29">
        <v>44</v>
      </c>
      <c r="K2320" s="29">
        <v>45</v>
      </c>
      <c r="L2320" s="29">
        <v>52</v>
      </c>
      <c r="M2320" s="29">
        <v>53</v>
      </c>
      <c r="N2320" s="29">
        <v>43</v>
      </c>
      <c r="O2320" s="32">
        <v>357</v>
      </c>
      <c r="P2320" s="29" cm="1">
        <f t="array" ref="P2320">IF(表成绩单[[#This Row],[语文]]="","",SUMPRODUCT((表成绩单[考试日期]=表成绩单[[#This Row],[考试日期]])*(表成绩单[语文]&lt;9E+307)*(表成绩单[语文]&gt;表成绩单[[#This Row],[语文]]))+1)</f>
        <v>540</v>
      </c>
      <c r="Q2320" s="29" cm="1">
        <f t="array" ref="Q2320">IF(表成绩单[[#This Row],[数学]]="","",SUMPRODUCT((表成绩单[考试日期]=表成绩单[[#This Row],[考试日期]])*(表成绩单[数学]&lt;9E+307)*(表成绩单[数学]&gt;表成绩单[[#This Row],[数学]]))+1)</f>
        <v>773</v>
      </c>
      <c r="R2320" s="29" cm="1">
        <f t="array" ref="R2320">IF(表成绩单[[#This Row],[英语]]="","",SUMPRODUCT((表成绩单[考试日期]=表成绩单[[#This Row],[考试日期]])*(表成绩单[英语]&lt;9E+307)*(表成绩单[英语]&gt;表成绩单[[#This Row],[英语]]))+1)</f>
        <v>695</v>
      </c>
      <c r="S2320" s="29" cm="1">
        <f t="array" ref="S2320">IF(表成绩单[[#This Row],[物理]]="","",SUMPRODUCT((表成绩单[考试日期]=表成绩单[[#This Row],[考试日期]])*(表成绩单[物理]&lt;9E+307)*(表成绩单[物理]&gt;表成绩单[[#This Row],[物理]]))+1)</f>
        <v>655</v>
      </c>
      <c r="T2320" s="29" cm="1">
        <f t="array" ref="T2320">IF(表成绩单[[#This Row],[化学]]="","",SUMPRODUCT((表成绩单[考试日期]=表成绩单[[#This Row],[考试日期]])*(表成绩单[化学]&lt;9E+307)*(表成绩单[化学]&gt;表成绩单[[#This Row],[化学]]))+1)</f>
        <v>638</v>
      </c>
      <c r="U2320" s="29" cm="1">
        <f t="array" ref="U2320">IF(表成绩单[[#This Row],[政治]]="","",SUMPRODUCT((表成绩单[考试日期]=表成绩单[[#This Row],[考试日期]])*(表成绩单[政治]&lt;9E+307)*(表成绩单[政治]&gt;表成绩单[[#This Row],[政治]]))+1)</f>
        <v>630</v>
      </c>
      <c r="V2320" s="29" cm="1">
        <f t="array" ref="V2320">IF(表成绩单[[#This Row],[历史]]="","",SUMPRODUCT((表成绩单[考试日期]=表成绩单[[#This Row],[考试日期]])*(表成绩单[历史]&lt;9E+307)*(表成绩单[历史]&gt;表成绩单[[#This Row],[历史]]))+1)</f>
        <v>753</v>
      </c>
      <c r="W2320" s="29" cm="1">
        <f t="array" ref="W2320">IF(表成绩单[[#This Row],[总分]]="","",SUMPRODUCT((表成绩单[考试日期]=表成绩单[[#This Row],[考试日期]])*(表成绩单[总分]&lt;9E+307)*(表成绩单[总分]&gt;表成绩单[[#This Row],[总分]]))+1)</f>
        <v>714</v>
      </c>
    </row>
    <row r="2321" ht="28" customHeight="1" spans="4:23">
      <c r="D2321" s="31">
        <v>46030</v>
      </c>
      <c r="E2321" s="29">
        <v>19172659</v>
      </c>
      <c r="F2321" s="29" t="s">
        <v>60</v>
      </c>
      <c r="G2321" s="29" t="s">
        <v>791</v>
      </c>
      <c r="H2321" s="29">
        <v>90</v>
      </c>
      <c r="I2321" s="29">
        <v>45</v>
      </c>
      <c r="J2321" s="29">
        <v>30.5</v>
      </c>
      <c r="K2321" s="29">
        <v>36</v>
      </c>
      <c r="L2321" s="29">
        <v>40</v>
      </c>
      <c r="M2321" s="29">
        <v>57</v>
      </c>
      <c r="N2321" s="29">
        <v>57</v>
      </c>
      <c r="O2321" s="32">
        <v>355.5</v>
      </c>
      <c r="P2321" s="29" cm="1">
        <f t="array" ref="P2321">IF(表成绩单[[#This Row],[语文]]="","",SUMPRODUCT((表成绩单[考试日期]=表成绩单[[#This Row],[考试日期]])*(表成绩单[语文]&lt;9E+307)*(表成绩单[语文]&gt;表成绩单[[#This Row],[语文]]))+1)</f>
        <v>509</v>
      </c>
      <c r="Q2321" s="29" cm="1">
        <f t="array" ref="Q2321">IF(表成绩单[[#This Row],[数学]]="","",SUMPRODUCT((表成绩单[考试日期]=表成绩单[[#This Row],[考试日期]])*(表成绩单[数学]&lt;9E+307)*(表成绩单[数学]&gt;表成绩单[[#This Row],[数学]]))+1)</f>
        <v>738</v>
      </c>
      <c r="R2321" s="29" cm="1">
        <f t="array" ref="R2321">IF(表成绩单[[#This Row],[英语]]="","",SUMPRODUCT((表成绩单[考试日期]=表成绩单[[#This Row],[考试日期]])*(表成绩单[英语]&lt;9E+307)*(表成绩单[英语]&gt;表成绩单[[#This Row],[英语]]))+1)</f>
        <v>758</v>
      </c>
      <c r="S2321" s="29" cm="1">
        <f t="array" ref="S2321">IF(表成绩单[[#This Row],[物理]]="","",SUMPRODUCT((表成绩单[考试日期]=表成绩单[[#This Row],[考试日期]])*(表成绩单[物理]&lt;9E+307)*(表成绩单[物理]&gt;表成绩单[[#This Row],[物理]]))+1)</f>
        <v>712</v>
      </c>
      <c r="T2321" s="29" cm="1">
        <f t="array" ref="T2321">IF(表成绩单[[#This Row],[化学]]="","",SUMPRODUCT((表成绩单[考试日期]=表成绩单[[#This Row],[考试日期]])*(表成绩单[化学]&lt;9E+307)*(表成绩单[化学]&gt;表成绩单[[#This Row],[化学]]))+1)</f>
        <v>738</v>
      </c>
      <c r="U2321" s="29" cm="1">
        <f t="array" ref="U2321">IF(表成绩单[[#This Row],[政治]]="","",SUMPRODUCT((表成绩单[考试日期]=表成绩单[[#This Row],[考试日期]])*(表成绩单[政治]&lt;9E+307)*(表成绩单[政治]&gt;表成绩单[[#This Row],[政治]]))+1)</f>
        <v>591</v>
      </c>
      <c r="V2321" s="29" cm="1">
        <f t="array" ref="V2321">IF(表成绩单[[#This Row],[历史]]="","",SUMPRODUCT((表成绩单[考试日期]=表成绩单[[#This Row],[考试日期]])*(表成绩单[历史]&lt;9E+307)*(表成绩单[历史]&gt;表成绩单[[#This Row],[历史]]))+1)</f>
        <v>637</v>
      </c>
      <c r="W2321" s="29" cm="1">
        <f t="array" ref="W2321">IF(表成绩单[[#This Row],[总分]]="","",SUMPRODUCT((表成绩单[考试日期]=表成绩单[[#This Row],[考试日期]])*(表成绩单[总分]&lt;9E+307)*(表成绩单[总分]&gt;表成绩单[[#This Row],[总分]]))+1)</f>
        <v>715</v>
      </c>
    </row>
    <row r="2322" ht="28" customHeight="1" spans="4:23">
      <c r="D2322" s="31">
        <v>46030</v>
      </c>
      <c r="E2322" s="29">
        <v>19175605</v>
      </c>
      <c r="F2322" s="29" t="s">
        <v>57</v>
      </c>
      <c r="G2322" s="29" t="s">
        <v>808</v>
      </c>
      <c r="H2322" s="29">
        <v>76</v>
      </c>
      <c r="I2322" s="29">
        <v>55</v>
      </c>
      <c r="J2322" s="29">
        <v>32</v>
      </c>
      <c r="K2322" s="29">
        <v>57</v>
      </c>
      <c r="L2322" s="29">
        <v>56</v>
      </c>
      <c r="M2322" s="29">
        <v>36</v>
      </c>
      <c r="N2322" s="29">
        <v>39</v>
      </c>
      <c r="O2322" s="32">
        <v>351</v>
      </c>
      <c r="P2322" s="29" cm="1">
        <f t="array" ref="P2322">IF(表成绩单[[#This Row],[语文]]="","",SUMPRODUCT((表成绩单[考试日期]=表成绩单[[#This Row],[考试日期]])*(表成绩单[语文]&lt;9E+307)*(表成绩单[语文]&gt;表成绩单[[#This Row],[语文]]))+1)</f>
        <v>709</v>
      </c>
      <c r="Q2322" s="29" cm="1">
        <f t="array" ref="Q2322">IF(表成绩单[[#This Row],[数学]]="","",SUMPRODUCT((表成绩单[考试日期]=表成绩单[[#This Row],[考试日期]])*(表成绩单[数学]&lt;9E+307)*(表成绩单[数学]&gt;表成绩单[[#This Row],[数学]]))+1)</f>
        <v>706</v>
      </c>
      <c r="R2322" s="29" cm="1">
        <f t="array" ref="R2322">IF(表成绩单[[#This Row],[英语]]="","",SUMPRODUCT((表成绩单[考试日期]=表成绩单[[#This Row],[考试日期]])*(表成绩单[英语]&lt;9E+307)*(表成绩单[英语]&gt;表成绩单[[#This Row],[英语]]))+1)</f>
        <v>754</v>
      </c>
      <c r="S2322" s="29" cm="1">
        <f t="array" ref="S2322">IF(表成绩单[[#This Row],[物理]]="","",SUMPRODUCT((表成绩单[考试日期]=表成绩单[[#This Row],[考试日期]])*(表成绩单[物理]&lt;9E+307)*(表成绩单[物理]&gt;表成绩单[[#This Row],[物理]]))+1)</f>
        <v>539</v>
      </c>
      <c r="T2322" s="29" cm="1">
        <f t="array" ref="T2322">IF(表成绩单[[#This Row],[化学]]="","",SUMPRODUCT((表成绩单[考试日期]=表成绩单[[#This Row],[考试日期]])*(表成绩单[化学]&lt;9E+307)*(表成绩单[化学]&gt;表成绩单[[#This Row],[化学]]))+1)</f>
        <v>581</v>
      </c>
      <c r="U2322" s="29" cm="1">
        <f t="array" ref="U2322">IF(表成绩单[[#This Row],[政治]]="","",SUMPRODUCT((表成绩单[考试日期]=表成绩单[[#This Row],[考试日期]])*(表成绩单[政治]&lt;9E+307)*(表成绩单[政治]&gt;表成绩单[[#This Row],[政治]]))+1)</f>
        <v>745</v>
      </c>
      <c r="V2322" s="29" cm="1">
        <f t="array" ref="V2322">IF(表成绩单[[#This Row],[历史]]="","",SUMPRODUCT((表成绩单[考试日期]=表成绩单[[#This Row],[考试日期]])*(表成绩单[历史]&lt;9E+307)*(表成绩单[历史]&gt;表成绩单[[#This Row],[历史]]))+1)</f>
        <v>766</v>
      </c>
      <c r="W2322" s="29" cm="1">
        <f t="array" ref="W2322">IF(表成绩单[[#This Row],[总分]]="","",SUMPRODUCT((表成绩单[考试日期]=表成绩单[[#This Row],[考试日期]])*(表成绩单[总分]&lt;9E+307)*(表成绩单[总分]&gt;表成绩单[[#This Row],[总分]]))+1)</f>
        <v>716</v>
      </c>
    </row>
    <row r="2323" ht="28" customHeight="1" spans="4:23">
      <c r="D2323" s="31">
        <v>46030</v>
      </c>
      <c r="E2323" s="29">
        <v>19172660</v>
      </c>
      <c r="F2323" s="29" t="s">
        <v>60</v>
      </c>
      <c r="G2323" s="29" t="s">
        <v>805</v>
      </c>
      <c r="H2323" s="29">
        <v>79</v>
      </c>
      <c r="I2323" s="29">
        <v>71</v>
      </c>
      <c r="J2323" s="29">
        <v>42</v>
      </c>
      <c r="K2323" s="29">
        <v>47</v>
      </c>
      <c r="L2323" s="29">
        <v>41</v>
      </c>
      <c r="M2323" s="29">
        <v>36</v>
      </c>
      <c r="N2323" s="29">
        <v>34</v>
      </c>
      <c r="O2323" s="32">
        <v>350</v>
      </c>
      <c r="P2323" s="29" cm="1">
        <f t="array" ref="P2323">IF(表成绩单[[#This Row],[语文]]="","",SUMPRODUCT((表成绩单[考试日期]=表成绩单[[#This Row],[考试日期]])*(表成绩单[语文]&lt;9E+307)*(表成绩单[语文]&gt;表成绩单[[#This Row],[语文]]))+1)</f>
        <v>684</v>
      </c>
      <c r="Q2323" s="29" cm="1">
        <f t="array" ref="Q2323">IF(表成绩单[[#This Row],[数学]]="","",SUMPRODUCT((表成绩单[考试日期]=表成绩单[[#This Row],[考试日期]])*(表成绩单[数学]&lt;9E+307)*(表成绩单[数学]&gt;表成绩单[[#This Row],[数学]]))+1)</f>
        <v>578</v>
      </c>
      <c r="R2323" s="29" cm="1">
        <f t="array" ref="R2323">IF(表成绩单[[#This Row],[英语]]="","",SUMPRODUCT((表成绩单[考试日期]=表成绩单[[#This Row],[考试日期]])*(表成绩单[英语]&lt;9E+307)*(表成绩单[英语]&gt;表成绩单[[#This Row],[英语]]))+1)</f>
        <v>711</v>
      </c>
      <c r="S2323" s="29" cm="1">
        <f t="array" ref="S2323">IF(表成绩单[[#This Row],[物理]]="","",SUMPRODUCT((表成绩单[考试日期]=表成绩单[[#This Row],[考试日期]])*(表成绩单[物理]&lt;9E+307)*(表成绩单[物理]&gt;表成绩单[[#This Row],[物理]]))+1)</f>
        <v>637</v>
      </c>
      <c r="T2323" s="29" cm="1">
        <f t="array" ref="T2323">IF(表成绩单[[#This Row],[化学]]="","",SUMPRODUCT((表成绩单[考试日期]=表成绩单[[#This Row],[考试日期]])*(表成绩单[化学]&lt;9E+307)*(表成绩单[化学]&gt;表成绩单[[#This Row],[化学]]))+1)</f>
        <v>734</v>
      </c>
      <c r="U2323" s="29" cm="1">
        <f t="array" ref="U2323">IF(表成绩单[[#This Row],[政治]]="","",SUMPRODUCT((表成绩单[考试日期]=表成绩单[[#This Row],[考试日期]])*(表成绩单[政治]&lt;9E+307)*(表成绩单[政治]&gt;表成绩单[[#This Row],[政治]]))+1)</f>
        <v>745</v>
      </c>
      <c r="V2323" s="29" cm="1">
        <f t="array" ref="V2323">IF(表成绩单[[#This Row],[历史]]="","",SUMPRODUCT((表成绩单[考试日期]=表成绩单[[#This Row],[考试日期]])*(表成绩单[历史]&lt;9E+307)*(表成绩单[历史]&gt;表成绩单[[#This Row],[历史]]))+1)</f>
        <v>775</v>
      </c>
      <c r="W2323" s="29" cm="1">
        <f t="array" ref="W2323">IF(表成绩单[[#This Row],[总分]]="","",SUMPRODUCT((表成绩单[考试日期]=表成绩单[[#This Row],[考试日期]])*(表成绩单[总分]&lt;9E+307)*(表成绩单[总分]&gt;表成绩单[[#This Row],[总分]]))+1)</f>
        <v>717</v>
      </c>
    </row>
    <row r="2324" ht="28" customHeight="1" spans="4:23">
      <c r="D2324" s="31">
        <v>46030</v>
      </c>
      <c r="E2324" s="29">
        <v>19175591</v>
      </c>
      <c r="F2324" s="29" t="s">
        <v>57</v>
      </c>
      <c r="G2324" s="29" t="s">
        <v>812</v>
      </c>
      <c r="H2324" s="29">
        <v>79</v>
      </c>
      <c r="I2324" s="29">
        <v>49</v>
      </c>
      <c r="J2324" s="29">
        <v>43.5</v>
      </c>
      <c r="K2324" s="29">
        <v>39</v>
      </c>
      <c r="L2324" s="29">
        <v>51</v>
      </c>
      <c r="M2324" s="29">
        <v>36</v>
      </c>
      <c r="N2324" s="29">
        <v>52</v>
      </c>
      <c r="O2324" s="32">
        <v>349.5</v>
      </c>
      <c r="P2324" s="29" cm="1">
        <f t="array" ref="P2324">IF(表成绩单[[#This Row],[语文]]="","",SUMPRODUCT((表成绩单[考试日期]=表成绩单[[#This Row],[考试日期]])*(表成绩单[语文]&lt;9E+307)*(表成绩单[语文]&gt;表成绩单[[#This Row],[语文]]))+1)</f>
        <v>684</v>
      </c>
      <c r="Q2324" s="29" cm="1">
        <f t="array" ref="Q2324">IF(表成绩单[[#This Row],[数学]]="","",SUMPRODUCT((表成绩单[考试日期]=表成绩单[[#This Row],[考试日期]])*(表成绩单[数学]&lt;9E+307)*(表成绩单[数学]&gt;表成绩单[[#This Row],[数学]]))+1)</f>
        <v>731</v>
      </c>
      <c r="R2324" s="29" cm="1">
        <f t="array" ref="R2324">IF(表成绩单[[#This Row],[英语]]="","",SUMPRODUCT((表成绩单[考试日期]=表成绩单[[#This Row],[考试日期]])*(表成绩单[英语]&lt;9E+307)*(表成绩单[英语]&gt;表成绩单[[#This Row],[英语]]))+1)</f>
        <v>701</v>
      </c>
      <c r="S2324" s="29" cm="1">
        <f t="array" ref="S2324">IF(表成绩单[[#This Row],[物理]]="","",SUMPRODUCT((表成绩单[考试日期]=表成绩单[[#This Row],[考试日期]])*(表成绩单[物理]&lt;9E+307)*(表成绩单[物理]&gt;表成绩单[[#This Row],[物理]]))+1)</f>
        <v>698</v>
      </c>
      <c r="T2324" s="29" cm="1">
        <f t="array" ref="T2324">IF(表成绩单[[#This Row],[化学]]="","",SUMPRODUCT((表成绩单[考试日期]=表成绩单[[#This Row],[考试日期]])*(表成绩单[化学]&lt;9E+307)*(表成绩单[化学]&gt;表成绩单[[#This Row],[化学]]))+1)</f>
        <v>648</v>
      </c>
      <c r="U2324" s="29" cm="1">
        <f t="array" ref="U2324">IF(表成绩单[[#This Row],[政治]]="","",SUMPRODUCT((表成绩单[考试日期]=表成绩单[[#This Row],[考试日期]])*(表成绩单[政治]&lt;9E+307)*(表成绩单[政治]&gt;表成绩单[[#This Row],[政治]]))+1)</f>
        <v>745</v>
      </c>
      <c r="V2324" s="29" cm="1">
        <f t="array" ref="V2324">IF(表成绩单[[#This Row],[历史]]="","",SUMPRODUCT((表成绩单[考试日期]=表成绩单[[#This Row],[考试日期]])*(表成绩单[历史]&lt;9E+307)*(表成绩单[历史]&gt;表成绩单[[#This Row],[历史]]))+1)</f>
        <v>701</v>
      </c>
      <c r="W2324" s="29" cm="1">
        <f t="array" ref="W2324">IF(表成绩单[[#This Row],[总分]]="","",SUMPRODUCT((表成绩单[考试日期]=表成绩单[[#This Row],[考试日期]])*(表成绩单[总分]&lt;9E+307)*(表成绩单[总分]&gt;表成绩单[[#This Row],[总分]]))+1)</f>
        <v>718</v>
      </c>
    </row>
    <row r="2325" ht="28" customHeight="1" spans="4:23">
      <c r="D2325" s="31">
        <v>46030</v>
      </c>
      <c r="E2325" s="29">
        <v>19175590</v>
      </c>
      <c r="F2325" s="29" t="s">
        <v>57</v>
      </c>
      <c r="G2325" s="29" t="s">
        <v>793</v>
      </c>
      <c r="H2325" s="29">
        <v>68</v>
      </c>
      <c r="I2325" s="29">
        <v>60</v>
      </c>
      <c r="J2325" s="29">
        <v>62</v>
      </c>
      <c r="K2325" s="29">
        <v>35</v>
      </c>
      <c r="L2325" s="29">
        <v>39</v>
      </c>
      <c r="M2325" s="29">
        <v>34</v>
      </c>
      <c r="N2325" s="29">
        <v>51</v>
      </c>
      <c r="O2325" s="32">
        <v>349</v>
      </c>
      <c r="P2325" s="29" cm="1">
        <f t="array" ref="P2325">IF(表成绩单[[#This Row],[语文]]="","",SUMPRODUCT((表成绩单[考试日期]=表成绩单[[#This Row],[考试日期]])*(表成绩单[语文]&lt;9E+307)*(表成绩单[语文]&gt;表成绩单[[#This Row],[语文]]))+1)</f>
        <v>752</v>
      </c>
      <c r="Q2325" s="29" cm="1">
        <f t="array" ref="Q2325">IF(表成绩单[[#This Row],[数学]]="","",SUMPRODUCT((表成绩单[考试日期]=表成绩单[[#This Row],[考试日期]])*(表成绩单[数学]&lt;9E+307)*(表成绩单[数学]&gt;表成绩单[[#This Row],[数学]]))+1)</f>
        <v>672</v>
      </c>
      <c r="R2325" s="29" cm="1">
        <f t="array" ref="R2325">IF(表成绩单[[#This Row],[英语]]="","",SUMPRODUCT((表成绩单[考试日期]=表成绩单[[#This Row],[考试日期]])*(表成绩单[英语]&lt;9E+307)*(表成绩单[英语]&gt;表成绩单[[#This Row],[英语]]))+1)</f>
        <v>490</v>
      </c>
      <c r="S2325" s="29" cm="1">
        <f t="array" ref="S2325">IF(表成绩单[[#This Row],[物理]]="","",SUMPRODUCT((表成绩单[考试日期]=表成绩单[[#This Row],[考试日期]])*(表成绩单[物理]&lt;9E+307)*(表成绩单[物理]&gt;表成绩单[[#This Row],[物理]]))+1)</f>
        <v>722</v>
      </c>
      <c r="T2325" s="29" cm="1">
        <f t="array" ref="T2325">IF(表成绩单[[#This Row],[化学]]="","",SUMPRODUCT((表成绩单[考试日期]=表成绩单[[#This Row],[考试日期]])*(表成绩单[化学]&lt;9E+307)*(表成绩单[化学]&gt;表成绩单[[#This Row],[化学]]))+1)</f>
        <v>743</v>
      </c>
      <c r="U2325" s="29" cm="1">
        <f t="array" ref="U2325">IF(表成绩单[[#This Row],[政治]]="","",SUMPRODUCT((表成绩单[考试日期]=表成绩单[[#This Row],[考试日期]])*(表成绩单[政治]&lt;9E+307)*(表成绩单[政治]&gt;表成绩单[[#This Row],[政治]]))+1)</f>
        <v>755</v>
      </c>
      <c r="V2325" s="29" cm="1">
        <f t="array" ref="V2325">IF(表成绩单[[#This Row],[历史]]="","",SUMPRODUCT((表成绩单[考试日期]=表成绩单[[#This Row],[考试日期]])*(表成绩单[历史]&lt;9E+307)*(表成绩单[历史]&gt;表成绩单[[#This Row],[历史]]))+1)</f>
        <v>714</v>
      </c>
      <c r="W2325" s="29" cm="1">
        <f t="array" ref="W2325">IF(表成绩单[[#This Row],[总分]]="","",SUMPRODUCT((表成绩单[考试日期]=表成绩单[[#This Row],[考试日期]])*(表成绩单[总分]&lt;9E+307)*(表成绩单[总分]&gt;表成绩单[[#This Row],[总分]]))+1)</f>
        <v>719</v>
      </c>
    </row>
    <row r="2326" ht="28" customHeight="1" spans="4:23">
      <c r="D2326" s="31">
        <v>46030</v>
      </c>
      <c r="E2326" s="29">
        <v>19176022</v>
      </c>
      <c r="F2326" s="29" t="s">
        <v>59</v>
      </c>
      <c r="G2326" s="29" t="s">
        <v>803</v>
      </c>
      <c r="H2326" s="29">
        <v>79</v>
      </c>
      <c r="I2326" s="29">
        <v>47</v>
      </c>
      <c r="J2326" s="29">
        <v>47</v>
      </c>
      <c r="K2326" s="29">
        <v>33</v>
      </c>
      <c r="L2326" s="29">
        <v>48</v>
      </c>
      <c r="M2326" s="29">
        <v>48</v>
      </c>
      <c r="N2326" s="29">
        <v>46</v>
      </c>
      <c r="O2326" s="32">
        <v>348</v>
      </c>
      <c r="P2326" s="29" cm="1">
        <f t="array" ref="P2326">IF(表成绩单[[#This Row],[语文]]="","",SUMPRODUCT((表成绩单[考试日期]=表成绩单[[#This Row],[考试日期]])*(表成绩单[语文]&lt;9E+307)*(表成绩单[语文]&gt;表成绩单[[#This Row],[语文]]))+1)</f>
        <v>684</v>
      </c>
      <c r="Q2326" s="29" cm="1">
        <f t="array" ref="Q2326">IF(表成绩单[[#This Row],[数学]]="","",SUMPRODUCT((表成绩单[考试日期]=表成绩单[[#This Row],[考试日期]])*(表成绩单[数学]&lt;9E+307)*(表成绩单[数学]&gt;表成绩单[[#This Row],[数学]]))+1)</f>
        <v>734</v>
      </c>
      <c r="R2326" s="29" cm="1">
        <f t="array" ref="R2326">IF(表成绩单[[#This Row],[英语]]="","",SUMPRODUCT((表成绩单[考试日期]=表成绩单[[#This Row],[考试日期]])*(表成绩单[英语]&lt;9E+307)*(表成绩单[英语]&gt;表成绩单[[#This Row],[英语]]))+1)</f>
        <v>676</v>
      </c>
      <c r="S2326" s="29" cm="1">
        <f t="array" ref="S2326">IF(表成绩单[[#This Row],[物理]]="","",SUMPRODUCT((表成绩单[考试日期]=表成绩单[[#This Row],[考试日期]])*(表成绩单[物理]&lt;9E+307)*(表成绩单[物理]&gt;表成绩单[[#This Row],[物理]]))+1)</f>
        <v>733</v>
      </c>
      <c r="T2326" s="29" cm="1">
        <f t="array" ref="T2326">IF(表成绩单[[#This Row],[化学]]="","",SUMPRODUCT((表成绩单[考试日期]=表成绩单[[#This Row],[考试日期]])*(表成绩单[化学]&lt;9E+307)*(表成绩单[化学]&gt;表成绩单[[#This Row],[化学]]))+1)</f>
        <v>685</v>
      </c>
      <c r="U2326" s="29" cm="1">
        <f t="array" ref="U2326">IF(表成绩单[[#This Row],[政治]]="","",SUMPRODUCT((表成绩单[考试日期]=表成绩单[[#This Row],[考试日期]])*(表成绩单[政治]&lt;9E+307)*(表成绩单[政治]&gt;表成绩单[[#This Row],[政治]]))+1)</f>
        <v>675</v>
      </c>
      <c r="V2326" s="29" cm="1">
        <f t="array" ref="V2326">IF(表成绩单[[#This Row],[历史]]="","",SUMPRODUCT((表成绩单[考试日期]=表成绩单[[#This Row],[考试日期]])*(表成绩单[历史]&lt;9E+307)*(表成绩单[历史]&gt;表成绩单[[#This Row],[历史]]))+1)</f>
        <v>742</v>
      </c>
      <c r="W2326" s="29" cm="1">
        <f t="array" ref="W2326">IF(表成绩单[[#This Row],[总分]]="","",SUMPRODUCT((表成绩单[考试日期]=表成绩单[[#This Row],[考试日期]])*(表成绩单[总分]&lt;9E+307)*(表成绩单[总分]&gt;表成绩单[[#This Row],[总分]]))+1)</f>
        <v>720</v>
      </c>
    </row>
    <row r="2327" ht="28" customHeight="1" spans="4:23">
      <c r="D2327" s="31">
        <v>46030</v>
      </c>
      <c r="E2327" s="29">
        <v>19172635</v>
      </c>
      <c r="F2327" s="29" t="s">
        <v>60</v>
      </c>
      <c r="G2327" s="29" t="s">
        <v>809</v>
      </c>
      <c r="H2327" s="29">
        <v>89</v>
      </c>
      <c r="I2327" s="29">
        <v>40</v>
      </c>
      <c r="J2327" s="29">
        <v>40.5</v>
      </c>
      <c r="K2327" s="29">
        <v>35</v>
      </c>
      <c r="L2327" s="29">
        <v>40</v>
      </c>
      <c r="M2327" s="29">
        <v>53</v>
      </c>
      <c r="N2327" s="29">
        <v>48</v>
      </c>
      <c r="O2327" s="32">
        <v>345.5</v>
      </c>
      <c r="P2327" s="29" cm="1">
        <f t="array" ref="P2327">IF(表成绩单[[#This Row],[语文]]="","",SUMPRODUCT((表成绩单[考试日期]=表成绩单[[#This Row],[考试日期]])*(表成绩单[语文]&lt;9E+307)*(表成绩单[语文]&gt;表成绩单[[#This Row],[语文]]))+1)</f>
        <v>540</v>
      </c>
      <c r="Q2327" s="29" cm="1">
        <f t="array" ref="Q2327">IF(表成绩单[[#This Row],[数学]]="","",SUMPRODUCT((表成绩单[考试日期]=表成绩单[[#This Row],[考试日期]])*(表成绩单[数学]&lt;9E+307)*(表成绩单[数学]&gt;表成绩单[[#This Row],[数学]]))+1)</f>
        <v>755</v>
      </c>
      <c r="R2327" s="29" cm="1">
        <f t="array" ref="R2327">IF(表成绩单[[#This Row],[英语]]="","",SUMPRODUCT((表成绩单[考试日期]=表成绩单[[#This Row],[考试日期]])*(表成绩单[英语]&lt;9E+307)*(表成绩单[英语]&gt;表成绩单[[#This Row],[英语]]))+1)</f>
        <v>719</v>
      </c>
      <c r="S2327" s="29" cm="1">
        <f t="array" ref="S2327">IF(表成绩单[[#This Row],[物理]]="","",SUMPRODUCT((表成绩单[考试日期]=表成绩单[[#This Row],[考试日期]])*(表成绩单[物理]&lt;9E+307)*(表成绩单[物理]&gt;表成绩单[[#This Row],[物理]]))+1)</f>
        <v>722</v>
      </c>
      <c r="T2327" s="29" cm="1">
        <f t="array" ref="T2327">IF(表成绩单[[#This Row],[化学]]="","",SUMPRODUCT((表成绩单[考试日期]=表成绩单[[#This Row],[考试日期]])*(表成绩单[化学]&lt;9E+307)*(表成绩单[化学]&gt;表成绩单[[#This Row],[化学]]))+1)</f>
        <v>738</v>
      </c>
      <c r="U2327" s="29" cm="1">
        <f t="array" ref="U2327">IF(表成绩单[[#This Row],[政治]]="","",SUMPRODUCT((表成绩单[考试日期]=表成绩单[[#This Row],[考试日期]])*(表成绩单[政治]&lt;9E+307)*(表成绩单[政治]&gt;表成绩单[[#This Row],[政治]]))+1)</f>
        <v>630</v>
      </c>
      <c r="V2327" s="29" cm="1">
        <f t="array" ref="V2327">IF(表成绩单[[#This Row],[历史]]="","",SUMPRODUCT((表成绩单[考试日期]=表成绩单[[#This Row],[考试日期]])*(表成绩单[历史]&lt;9E+307)*(表成绩单[历史]&gt;表成绩单[[#This Row],[历史]]))+1)</f>
        <v>733</v>
      </c>
      <c r="W2327" s="29" cm="1">
        <f t="array" ref="W2327">IF(表成绩单[[#This Row],[总分]]="","",SUMPRODUCT((表成绩单[考试日期]=表成绩单[[#This Row],[考试日期]])*(表成绩单[总分]&lt;9E+307)*(表成绩单[总分]&gt;表成绩单[[#This Row],[总分]]))+1)</f>
        <v>721</v>
      </c>
    </row>
    <row r="2328" ht="28" customHeight="1" spans="4:23">
      <c r="D2328" s="31">
        <v>46030</v>
      </c>
      <c r="E2328" s="29">
        <v>19172628</v>
      </c>
      <c r="F2328" s="29" t="s">
        <v>60</v>
      </c>
      <c r="G2328" s="29" t="s">
        <v>794</v>
      </c>
      <c r="H2328" s="29">
        <v>73</v>
      </c>
      <c r="I2328" s="29">
        <v>62</v>
      </c>
      <c r="J2328" s="29">
        <v>28.5</v>
      </c>
      <c r="K2328" s="29">
        <v>49</v>
      </c>
      <c r="L2328" s="29">
        <v>54</v>
      </c>
      <c r="M2328" s="29">
        <v>37</v>
      </c>
      <c r="N2328" s="29">
        <v>39</v>
      </c>
      <c r="O2328" s="32">
        <v>342.5</v>
      </c>
      <c r="P2328" s="29" cm="1">
        <f t="array" ref="P2328">IF(表成绩单[[#This Row],[语文]]="","",SUMPRODUCT((表成绩单[考试日期]=表成绩单[[#This Row],[考试日期]])*(表成绩单[语文]&lt;9E+307)*(表成绩单[语文]&gt;表成绩单[[#This Row],[语文]]))+1)</f>
        <v>722</v>
      </c>
      <c r="Q2328" s="29" cm="1">
        <f t="array" ref="Q2328">IF(表成绩单[[#This Row],[数学]]="","",SUMPRODUCT((表成绩单[考试日期]=表成绩单[[#This Row],[考试日期]])*(表成绩单[数学]&lt;9E+307)*(表成绩单[数学]&gt;表成绩单[[#This Row],[数学]]))+1)</f>
        <v>661</v>
      </c>
      <c r="R2328" s="29" cm="1">
        <f t="array" ref="R2328">IF(表成绩单[[#This Row],[英语]]="","",SUMPRODUCT((表成绩单[考试日期]=表成绩单[[#This Row],[考试日期]])*(表成绩单[英语]&lt;9E+307)*(表成绩单[英语]&gt;表成绩单[[#This Row],[英语]]))+1)</f>
        <v>765</v>
      </c>
      <c r="S2328" s="29" cm="1">
        <f t="array" ref="S2328">IF(表成绩单[[#This Row],[物理]]="","",SUMPRODUCT((表成绩单[考试日期]=表成绩单[[#This Row],[考试日期]])*(表成绩单[物理]&lt;9E+307)*(表成绩单[物理]&gt;表成绩单[[#This Row],[物理]]))+1)</f>
        <v>619</v>
      </c>
      <c r="T2328" s="29" cm="1">
        <f t="array" ref="T2328">IF(表成绩单[[#This Row],[化学]]="","",SUMPRODUCT((表成绩单[考试日期]=表成绩单[[#This Row],[考试日期]])*(表成绩单[化学]&lt;9E+307)*(表成绩单[化学]&gt;表成绩单[[#This Row],[化学]]))+1)</f>
        <v>609</v>
      </c>
      <c r="U2328" s="29" cm="1">
        <f t="array" ref="U2328">IF(表成绩单[[#This Row],[政治]]="","",SUMPRODUCT((表成绩单[考试日期]=表成绩单[[#This Row],[考试日期]])*(表成绩单[政治]&lt;9E+307)*(表成绩单[政治]&gt;表成绩单[[#This Row],[政治]]))+1)</f>
        <v>739</v>
      </c>
      <c r="V2328" s="29" cm="1">
        <f t="array" ref="V2328">IF(表成绩单[[#This Row],[历史]]="","",SUMPRODUCT((表成绩单[考试日期]=表成绩单[[#This Row],[考试日期]])*(表成绩单[历史]&lt;9E+307)*(表成绩单[历史]&gt;表成绩单[[#This Row],[历史]]))+1)</f>
        <v>766</v>
      </c>
      <c r="W2328" s="29" cm="1">
        <f t="array" ref="W2328">IF(表成绩单[[#This Row],[总分]]="","",SUMPRODUCT((表成绩单[考试日期]=表成绩单[[#This Row],[考试日期]])*(表成绩单[总分]&lt;9E+307)*(表成绩单[总分]&gt;表成绩单[[#This Row],[总分]]))+1)</f>
        <v>722</v>
      </c>
    </row>
    <row r="2329" ht="28" customHeight="1" spans="4:23">
      <c r="D2329" s="31">
        <v>46030</v>
      </c>
      <c r="E2329" s="29">
        <v>19177669</v>
      </c>
      <c r="F2329" s="29" t="s">
        <v>63</v>
      </c>
      <c r="G2329" s="29" t="s">
        <v>819</v>
      </c>
      <c r="H2329" s="29">
        <v>80</v>
      </c>
      <c r="I2329" s="29">
        <v>57</v>
      </c>
      <c r="J2329" s="29">
        <v>35.5</v>
      </c>
      <c r="K2329" s="29">
        <v>24</v>
      </c>
      <c r="L2329" s="29">
        <v>46</v>
      </c>
      <c r="M2329" s="29">
        <v>40</v>
      </c>
      <c r="N2329" s="29">
        <v>60</v>
      </c>
      <c r="O2329" s="32">
        <v>342.5</v>
      </c>
      <c r="P2329" s="29" cm="1">
        <f t="array" ref="P2329">IF(表成绩单[[#This Row],[语文]]="","",SUMPRODUCT((表成绩单[考试日期]=表成绩单[[#This Row],[考试日期]])*(表成绩单[语文]&lt;9E+307)*(表成绩单[语文]&gt;表成绩单[[#This Row],[语文]]))+1)</f>
        <v>675</v>
      </c>
      <c r="Q2329" s="29" cm="1">
        <f t="array" ref="Q2329">IF(表成绩单[[#This Row],[数学]]="","",SUMPRODUCT((表成绩单[考试日期]=表成绩单[[#This Row],[考试日期]])*(表成绩单[数学]&lt;9E+307)*(表成绩单[数学]&gt;表成绩单[[#This Row],[数学]]))+1)</f>
        <v>693</v>
      </c>
      <c r="R2329" s="29" cm="1">
        <f t="array" ref="R2329">IF(表成绩单[[#This Row],[英语]]="","",SUMPRODUCT((表成绩单[考试日期]=表成绩单[[#This Row],[考试日期]])*(表成绩单[英语]&lt;9E+307)*(表成绩单[英语]&gt;表成绩单[[#This Row],[英语]]))+1)</f>
        <v>741</v>
      </c>
      <c r="S2329" s="29" cm="1">
        <f t="array" ref="S2329">IF(表成绩单[[#This Row],[物理]]="","",SUMPRODUCT((表成绩单[考试日期]=表成绩单[[#This Row],[考试日期]])*(表成绩单[物理]&lt;9E+307)*(表成绩单[物理]&gt;表成绩单[[#This Row],[物理]]))+1)</f>
        <v>770</v>
      </c>
      <c r="T2329" s="29" cm="1">
        <f t="array" ref="T2329">IF(表成绩单[[#This Row],[化学]]="","",SUMPRODUCT((表成绩单[考试日期]=表成绩单[[#This Row],[考试日期]])*(表成绩单[化学]&lt;9E+307)*(表成绩单[化学]&gt;表成绩单[[#This Row],[化学]]))+1)</f>
        <v>704</v>
      </c>
      <c r="U2329" s="29" cm="1">
        <f t="array" ref="U2329">IF(表成绩单[[#This Row],[政治]]="","",SUMPRODUCT((表成绩单[考试日期]=表成绩单[[#This Row],[考试日期]])*(表成绩单[政治]&lt;9E+307)*(表成绩单[政治]&gt;表成绩单[[#This Row],[政治]]))+1)</f>
        <v>728</v>
      </c>
      <c r="V2329" s="29" cm="1">
        <f t="array" ref="V2329">IF(表成绩单[[#This Row],[历史]]="","",SUMPRODUCT((表成绩单[考试日期]=表成绩单[[#This Row],[考试日期]])*(表成绩单[历史]&lt;9E+307)*(表成绩单[历史]&gt;表成绩单[[#This Row],[历史]]))+1)</f>
        <v>579</v>
      </c>
      <c r="W2329" s="29" cm="1">
        <f t="array" ref="W2329">IF(表成绩单[[#This Row],[总分]]="","",SUMPRODUCT((表成绩单[考试日期]=表成绩单[[#This Row],[考试日期]])*(表成绩单[总分]&lt;9E+307)*(表成绩单[总分]&gt;表成绩单[[#This Row],[总分]]))+1)</f>
        <v>722</v>
      </c>
    </row>
    <row r="2330" ht="28" customHeight="1" spans="4:23">
      <c r="D2330" s="31">
        <v>46030</v>
      </c>
      <c r="E2330" s="29">
        <v>19172622</v>
      </c>
      <c r="F2330" s="29" t="s">
        <v>60</v>
      </c>
      <c r="G2330" s="29" t="s">
        <v>834</v>
      </c>
      <c r="H2330" s="29">
        <v>62</v>
      </c>
      <c r="I2330" s="29">
        <v>76</v>
      </c>
      <c r="J2330" s="29">
        <v>20</v>
      </c>
      <c r="K2330" s="29">
        <v>40</v>
      </c>
      <c r="L2330" s="29">
        <v>33</v>
      </c>
      <c r="M2330" s="29">
        <v>56</v>
      </c>
      <c r="N2330" s="29">
        <v>55</v>
      </c>
      <c r="O2330" s="32">
        <v>342</v>
      </c>
      <c r="P2330" s="29" cm="1">
        <f t="array" ref="P2330">IF(表成绩单[[#This Row],[语文]]="","",SUMPRODUCT((表成绩单[考试日期]=表成绩单[[#This Row],[考试日期]])*(表成绩单[语文]&lt;9E+307)*(表成绩单[语文]&gt;表成绩单[[#This Row],[语文]]))+1)</f>
        <v>768</v>
      </c>
      <c r="Q2330" s="29" cm="1">
        <f t="array" ref="Q2330">IF(表成绩单[[#This Row],[数学]]="","",SUMPRODUCT((表成绩单[考试日期]=表成绩单[[#This Row],[考试日期]])*(表成绩单[数学]&lt;9E+307)*(表成绩单[数学]&gt;表成绩单[[#This Row],[数学]]))+1)</f>
        <v>507</v>
      </c>
      <c r="R2330" s="29" cm="1">
        <f t="array" ref="R2330">IF(表成绩单[[#This Row],[英语]]="","",SUMPRODUCT((表成绩单[考试日期]=表成绩单[[#This Row],[考试日期]])*(表成绩单[英语]&lt;9E+307)*(表成绩单[英语]&gt;表成绩单[[#This Row],[英语]]))+1)</f>
        <v>777</v>
      </c>
      <c r="S2330" s="29" cm="1">
        <f t="array" ref="S2330">IF(表成绩单[[#This Row],[物理]]="","",SUMPRODUCT((表成绩单[考试日期]=表成绩单[[#This Row],[考试日期]])*(表成绩单[物理]&lt;9E+307)*(表成绩单[物理]&gt;表成绩单[[#This Row],[物理]]))+1)</f>
        <v>695</v>
      </c>
      <c r="T2330" s="29" cm="1">
        <f t="array" ref="T2330">IF(表成绩单[[#This Row],[化学]]="","",SUMPRODUCT((表成绩单[考试日期]=表成绩单[[#This Row],[考试日期]])*(表成绩单[化学]&lt;9E+307)*(表成绩单[化学]&gt;表成绩单[[#This Row],[化学]]))+1)</f>
        <v>768</v>
      </c>
      <c r="U2330" s="29" cm="1">
        <f t="array" ref="U2330">IF(表成绩单[[#This Row],[政治]]="","",SUMPRODUCT((表成绩单[考试日期]=表成绩单[[#This Row],[考试日期]])*(表成绩单[政治]&lt;9E+307)*(表成绩单[政治]&gt;表成绩单[[#This Row],[政治]]))+1)</f>
        <v>603</v>
      </c>
      <c r="V2330" s="29" cm="1">
        <f t="array" ref="V2330">IF(表成绩单[[#This Row],[历史]]="","",SUMPRODUCT((表成绩单[考试日期]=表成绩单[[#This Row],[考试日期]])*(表成绩单[历史]&lt;9E+307)*(表成绩单[历史]&gt;表成绩单[[#This Row],[历史]]))+1)</f>
        <v>662</v>
      </c>
      <c r="W2330" s="29" cm="1">
        <f t="array" ref="W2330">IF(表成绩单[[#This Row],[总分]]="","",SUMPRODUCT((表成绩单[考试日期]=表成绩单[[#This Row],[考试日期]])*(表成绩单[总分]&lt;9E+307)*(表成绩单[总分]&gt;表成绩单[[#This Row],[总分]]))+1)</f>
        <v>724</v>
      </c>
    </row>
    <row r="2331" ht="28" customHeight="1" spans="4:23">
      <c r="D2331" s="31">
        <v>46030</v>
      </c>
      <c r="E2331" s="29">
        <v>19172633</v>
      </c>
      <c r="F2331" s="29" t="s">
        <v>60</v>
      </c>
      <c r="G2331" s="29" t="s">
        <v>775</v>
      </c>
      <c r="H2331" s="29">
        <v>65</v>
      </c>
      <c r="I2331" s="29">
        <v>61</v>
      </c>
      <c r="J2331" s="29">
        <v>39</v>
      </c>
      <c r="K2331" s="29">
        <v>36</v>
      </c>
      <c r="L2331" s="29">
        <v>50</v>
      </c>
      <c r="M2331" s="29">
        <v>36</v>
      </c>
      <c r="N2331" s="29">
        <v>54</v>
      </c>
      <c r="O2331" s="32">
        <v>341</v>
      </c>
      <c r="P2331" s="29" cm="1">
        <f t="array" ref="P2331">IF(表成绩单[[#This Row],[语文]]="","",SUMPRODUCT((表成绩单[考试日期]=表成绩单[[#This Row],[考试日期]])*(表成绩单[语文]&lt;9E+307)*(表成绩单[语文]&gt;表成绩单[[#This Row],[语文]]))+1)</f>
        <v>759</v>
      </c>
      <c r="Q2331" s="29" cm="1">
        <f t="array" ref="Q2331">IF(表成绩单[[#This Row],[数学]]="","",SUMPRODUCT((表成绩单[考试日期]=表成绩单[[#This Row],[考试日期]])*(表成绩单[数学]&lt;9E+307)*(表成绩单[数学]&gt;表成绩单[[#This Row],[数学]]))+1)</f>
        <v>668</v>
      </c>
      <c r="R2331" s="29" cm="1">
        <f t="array" ref="R2331">IF(表成绩单[[#This Row],[英语]]="","",SUMPRODUCT((表成绩单[考试日期]=表成绩单[[#This Row],[考试日期]])*(表成绩单[英语]&lt;9E+307)*(表成绩单[英语]&gt;表成绩单[[#This Row],[英语]]))+1)</f>
        <v>727</v>
      </c>
      <c r="S2331" s="29" cm="1">
        <f t="array" ref="S2331">IF(表成绩单[[#This Row],[物理]]="","",SUMPRODUCT((表成绩单[考试日期]=表成绩单[[#This Row],[考试日期]])*(表成绩单[物理]&lt;9E+307)*(表成绩单[物理]&gt;表成绩单[[#This Row],[物理]]))+1)</f>
        <v>712</v>
      </c>
      <c r="T2331" s="29" cm="1">
        <f t="array" ref="T2331">IF(表成绩单[[#This Row],[化学]]="","",SUMPRODUCT((表成绩单[考试日期]=表成绩单[[#This Row],[考试日期]])*(表成绩单[化学]&lt;9E+307)*(表成绩单[化学]&gt;表成绩单[[#This Row],[化学]]))+1)</f>
        <v>662</v>
      </c>
      <c r="U2331" s="29" cm="1">
        <f t="array" ref="U2331">IF(表成绩单[[#This Row],[政治]]="","",SUMPRODUCT((表成绩单[考试日期]=表成绩单[[#This Row],[考试日期]])*(表成绩单[政治]&lt;9E+307)*(表成绩单[政治]&gt;表成绩单[[#This Row],[政治]]))+1)</f>
        <v>745</v>
      </c>
      <c r="V2331" s="29" cm="1">
        <f t="array" ref="V2331">IF(表成绩单[[#This Row],[历史]]="","",SUMPRODUCT((表成绩单[考试日期]=表成绩单[[#This Row],[考试日期]])*(表成绩单[历史]&lt;9E+307)*(表成绩单[历史]&gt;表成绩单[[#This Row],[历史]]))+1)</f>
        <v>682</v>
      </c>
      <c r="W2331" s="29" cm="1">
        <f t="array" ref="W2331">IF(表成绩单[[#This Row],[总分]]="","",SUMPRODUCT((表成绩单[考试日期]=表成绩单[[#This Row],[考试日期]])*(表成绩单[总分]&lt;9E+307)*(表成绩单[总分]&gt;表成绩单[[#This Row],[总分]]))+1)</f>
        <v>725</v>
      </c>
    </row>
    <row r="2332" ht="28" customHeight="1" spans="4:23">
      <c r="D2332" s="31">
        <v>46030</v>
      </c>
      <c r="E2332" s="29">
        <v>19173803</v>
      </c>
      <c r="F2332" s="29" t="s">
        <v>65</v>
      </c>
      <c r="G2332" s="29" t="s">
        <v>787</v>
      </c>
      <c r="H2332" s="29">
        <v>63</v>
      </c>
      <c r="I2332" s="29">
        <v>60</v>
      </c>
      <c r="J2332" s="29">
        <v>67.5</v>
      </c>
      <c r="K2332" s="29">
        <v>36</v>
      </c>
      <c r="L2332" s="29">
        <v>25</v>
      </c>
      <c r="M2332" s="29">
        <v>39</v>
      </c>
      <c r="N2332" s="29">
        <v>50</v>
      </c>
      <c r="O2332" s="32">
        <v>340.5</v>
      </c>
      <c r="P2332" s="29" cm="1">
        <f t="array" ref="P2332">IF(表成绩单[[#This Row],[语文]]="","",SUMPRODUCT((表成绩单[考试日期]=表成绩单[[#This Row],[考试日期]])*(表成绩单[语文]&lt;9E+307)*(表成绩单[语文]&gt;表成绩单[[#This Row],[语文]]))+1)</f>
        <v>766</v>
      </c>
      <c r="Q2332" s="29" cm="1">
        <f t="array" ref="Q2332">IF(表成绩单[[#This Row],[数学]]="","",SUMPRODUCT((表成绩单[考试日期]=表成绩单[[#This Row],[考试日期]])*(表成绩单[数学]&lt;9E+307)*(表成绩单[数学]&gt;表成绩单[[#This Row],[数学]]))+1)</f>
        <v>672</v>
      </c>
      <c r="R2332" s="29" cm="1">
        <f t="array" ref="R2332">IF(表成绩单[[#This Row],[英语]]="","",SUMPRODUCT((表成绩单[考试日期]=表成绩单[[#This Row],[考试日期]])*(表成绩单[英语]&lt;9E+307)*(表成绩单[英语]&gt;表成绩单[[#This Row],[英语]]))+1)</f>
        <v>377</v>
      </c>
      <c r="S2332" s="29" cm="1">
        <f t="array" ref="S2332">IF(表成绩单[[#This Row],[物理]]="","",SUMPRODUCT((表成绩单[考试日期]=表成绩单[[#This Row],[考试日期]])*(表成绩单[物理]&lt;9E+307)*(表成绩单[物理]&gt;表成绩单[[#This Row],[物理]]))+1)</f>
        <v>712</v>
      </c>
      <c r="T2332" s="29" cm="1">
        <f t="array" ref="T2332">IF(表成绩单[[#This Row],[化学]]="","",SUMPRODUCT((表成绩单[考试日期]=表成绩单[[#This Row],[考试日期]])*(表成绩单[化学]&lt;9E+307)*(表成绩单[化学]&gt;表成绩单[[#This Row],[化学]]))+1)</f>
        <v>781</v>
      </c>
      <c r="U2332" s="29" cm="1">
        <f t="array" ref="U2332">IF(表成绩单[[#This Row],[政治]]="","",SUMPRODUCT((表成绩单[考试日期]=表成绩单[[#This Row],[考试日期]])*(表成绩单[政治]&lt;9E+307)*(表成绩单[政治]&gt;表成绩单[[#This Row],[政治]]))+1)</f>
        <v>731</v>
      </c>
      <c r="V2332" s="29" cm="1">
        <f t="array" ref="V2332">IF(表成绩单[[#This Row],[历史]]="","",SUMPRODUCT((表成绩单[考试日期]=表成绩单[[#This Row],[考试日期]])*(表成绩单[历史]&lt;9E+307)*(表成绩单[历史]&gt;表成绩单[[#This Row],[历史]]))+1)</f>
        <v>723</v>
      </c>
      <c r="W2332" s="29" cm="1">
        <f t="array" ref="W2332">IF(表成绩单[[#This Row],[总分]]="","",SUMPRODUCT((表成绩单[考试日期]=表成绩单[[#This Row],[考试日期]])*(表成绩单[总分]&lt;9E+307)*(表成绩单[总分]&gt;表成绩单[[#This Row],[总分]]))+1)</f>
        <v>726</v>
      </c>
    </row>
    <row r="2333" ht="28" customHeight="1" spans="4:23">
      <c r="D2333" s="31">
        <v>46030</v>
      </c>
      <c r="E2333" s="29">
        <v>19175607</v>
      </c>
      <c r="F2333" s="29" t="s">
        <v>57</v>
      </c>
      <c r="G2333" s="29" t="s">
        <v>769</v>
      </c>
      <c r="H2333" s="29">
        <v>82</v>
      </c>
      <c r="I2333" s="29">
        <v>58</v>
      </c>
      <c r="J2333" s="29">
        <v>43.5</v>
      </c>
      <c r="K2333" s="29">
        <v>30</v>
      </c>
      <c r="L2333" s="29">
        <v>40</v>
      </c>
      <c r="M2333" s="29">
        <v>42</v>
      </c>
      <c r="N2333" s="29">
        <v>45</v>
      </c>
      <c r="O2333" s="32">
        <v>340.5</v>
      </c>
      <c r="P2333" s="29" cm="1">
        <f t="array" ref="P2333">IF(表成绩单[[#This Row],[语文]]="","",SUMPRODUCT((表成绩单[考试日期]=表成绩单[[#This Row],[考试日期]])*(表成绩单[语文]&lt;9E+307)*(表成绩单[语文]&gt;表成绩单[[#This Row],[语文]]))+1)</f>
        <v>655</v>
      </c>
      <c r="Q2333" s="29" cm="1">
        <f t="array" ref="Q2333">IF(表成绩单[[#This Row],[数学]]="","",SUMPRODUCT((表成绩单[考试日期]=表成绩单[[#This Row],[考试日期]])*(表成绩单[数学]&lt;9E+307)*(表成绩单[数学]&gt;表成绩单[[#This Row],[数学]]))+1)</f>
        <v>685</v>
      </c>
      <c r="R2333" s="29" cm="1">
        <f t="array" ref="R2333">IF(表成绩单[[#This Row],[英语]]="","",SUMPRODUCT((表成绩单[考试日期]=表成绩单[[#This Row],[考试日期]])*(表成绩单[英语]&lt;9E+307)*(表成绩单[英语]&gt;表成绩单[[#This Row],[英语]]))+1)</f>
        <v>701</v>
      </c>
      <c r="S2333" s="29" cm="1">
        <f t="array" ref="S2333">IF(表成绩单[[#This Row],[物理]]="","",SUMPRODUCT((表成绩单[考试日期]=表成绩单[[#This Row],[考试日期]])*(表成绩单[物理]&lt;9E+307)*(表成绩单[物理]&gt;表成绩单[[#This Row],[物理]]))+1)</f>
        <v>747</v>
      </c>
      <c r="T2333" s="29" cm="1">
        <f t="array" ref="T2333">IF(表成绩单[[#This Row],[化学]]="","",SUMPRODUCT((表成绩单[考试日期]=表成绩单[[#This Row],[考试日期]])*(表成绩单[化学]&lt;9E+307)*(表成绩单[化学]&gt;表成绩单[[#This Row],[化学]]))+1)</f>
        <v>738</v>
      </c>
      <c r="U2333" s="29" cm="1">
        <f t="array" ref="U2333">IF(表成绩单[[#This Row],[政治]]="","",SUMPRODUCT((表成绩单[考试日期]=表成绩单[[#This Row],[考试日期]])*(表成绩单[政治]&lt;9E+307)*(表成绩单[政治]&gt;表成绩单[[#This Row],[政治]]))+1)</f>
        <v>719</v>
      </c>
      <c r="V2333" s="29" cm="1">
        <f t="array" ref="V2333">IF(表成绩单[[#This Row],[历史]]="","",SUMPRODUCT((表成绩单[考试日期]=表成绩单[[#This Row],[考试日期]])*(表成绩单[历史]&lt;9E+307)*(表成绩单[历史]&gt;表成绩单[[#This Row],[历史]]))+1)</f>
        <v>746</v>
      </c>
      <c r="W2333" s="29" cm="1">
        <f t="array" ref="W2333">IF(表成绩单[[#This Row],[总分]]="","",SUMPRODUCT((表成绩单[考试日期]=表成绩单[[#This Row],[考试日期]])*(表成绩单[总分]&lt;9E+307)*(表成绩单[总分]&gt;表成绩单[[#This Row],[总分]]))+1)</f>
        <v>726</v>
      </c>
    </row>
    <row r="2334" ht="28" customHeight="1" spans="4:23">
      <c r="D2334" s="31">
        <v>46030</v>
      </c>
      <c r="E2334" s="29">
        <v>19176008</v>
      </c>
      <c r="F2334" s="29" t="s">
        <v>59</v>
      </c>
      <c r="G2334" s="29" t="s">
        <v>825</v>
      </c>
      <c r="H2334" s="29">
        <v>71</v>
      </c>
      <c r="I2334" s="29">
        <v>52</v>
      </c>
      <c r="J2334" s="29">
        <v>27.5</v>
      </c>
      <c r="K2334" s="29">
        <v>24</v>
      </c>
      <c r="L2334" s="29">
        <v>68</v>
      </c>
      <c r="M2334" s="29">
        <v>42</v>
      </c>
      <c r="N2334" s="29">
        <v>55</v>
      </c>
      <c r="O2334" s="32">
        <v>339.5</v>
      </c>
      <c r="P2334" s="29" cm="1">
        <f t="array" ref="P2334">IF(表成绩单[[#This Row],[语文]]="","",SUMPRODUCT((表成绩单[考试日期]=表成绩单[[#This Row],[考试日期]])*(表成绩单[语文]&lt;9E+307)*(表成绩单[语文]&gt;表成绩单[[#This Row],[语文]]))+1)</f>
        <v>737</v>
      </c>
      <c r="Q2334" s="29" cm="1">
        <f t="array" ref="Q2334">IF(表成绩单[[#This Row],[数学]]="","",SUMPRODUCT((表成绩单[考试日期]=表成绩单[[#This Row],[考试日期]])*(表成绩单[数学]&lt;9E+307)*(表成绩单[数学]&gt;表成绩单[[#This Row],[数学]]))+1)</f>
        <v>721</v>
      </c>
      <c r="R2334" s="29" cm="1">
        <f t="array" ref="R2334">IF(表成绩单[[#This Row],[英语]]="","",SUMPRODUCT((表成绩单[考试日期]=表成绩单[[#This Row],[考试日期]])*(表成绩单[英语]&lt;9E+307)*(表成绩单[英语]&gt;表成绩单[[#This Row],[英语]]))+1)</f>
        <v>767</v>
      </c>
      <c r="S2334" s="29" cm="1">
        <f t="array" ref="S2334">IF(表成绩单[[#This Row],[物理]]="","",SUMPRODUCT((表成绩单[考试日期]=表成绩单[[#This Row],[考试日期]])*(表成绩单[物理]&lt;9E+307)*(表成绩单[物理]&gt;表成绩单[[#This Row],[物理]]))+1)</f>
        <v>770</v>
      </c>
      <c r="T2334" s="29" cm="1">
        <f t="array" ref="T2334">IF(表成绩单[[#This Row],[化学]]="","",SUMPRODUCT((表成绩单[考试日期]=表成绩单[[#This Row],[考试日期]])*(表成绩单[化学]&lt;9E+307)*(表成绩单[化学]&gt;表成绩单[[#This Row],[化学]]))+1)</f>
        <v>358</v>
      </c>
      <c r="U2334" s="29" cm="1">
        <f t="array" ref="U2334">IF(表成绩单[[#This Row],[政治]]="","",SUMPRODUCT((表成绩单[考试日期]=表成绩单[[#This Row],[考试日期]])*(表成绩单[政治]&lt;9E+307)*(表成绩单[政治]&gt;表成绩单[[#This Row],[政治]]))+1)</f>
        <v>719</v>
      </c>
      <c r="V2334" s="29" cm="1">
        <f t="array" ref="V2334">IF(表成绩单[[#This Row],[历史]]="","",SUMPRODUCT((表成绩单[考试日期]=表成绩单[[#This Row],[考试日期]])*(表成绩单[历史]&lt;9E+307)*(表成绩单[历史]&gt;表成绩单[[#This Row],[历史]]))+1)</f>
        <v>662</v>
      </c>
      <c r="W2334" s="29" cm="1">
        <f t="array" ref="W2334">IF(表成绩单[[#This Row],[总分]]="","",SUMPRODUCT((表成绩单[考试日期]=表成绩单[[#This Row],[考试日期]])*(表成绩单[总分]&lt;9E+307)*(表成绩单[总分]&gt;表成绩单[[#This Row],[总分]]))+1)</f>
        <v>728</v>
      </c>
    </row>
    <row r="2335" ht="28" customHeight="1" spans="4:23">
      <c r="D2335" s="31">
        <v>46030</v>
      </c>
      <c r="E2335" s="29">
        <v>19178590</v>
      </c>
      <c r="F2335" s="29" t="s">
        <v>64</v>
      </c>
      <c r="G2335" s="29" t="s">
        <v>804</v>
      </c>
      <c r="H2335" s="29">
        <v>82</v>
      </c>
      <c r="I2335" s="29">
        <v>37</v>
      </c>
      <c r="J2335" s="29">
        <v>56.5</v>
      </c>
      <c r="K2335" s="29">
        <v>30</v>
      </c>
      <c r="L2335" s="29">
        <v>34</v>
      </c>
      <c r="M2335" s="29">
        <v>45</v>
      </c>
      <c r="N2335" s="29">
        <v>55</v>
      </c>
      <c r="O2335" s="32">
        <v>339.5</v>
      </c>
      <c r="P2335" s="29" cm="1">
        <f t="array" ref="P2335">IF(表成绩单[[#This Row],[语文]]="","",SUMPRODUCT((表成绩单[考试日期]=表成绩单[[#This Row],[考试日期]])*(表成绩单[语文]&lt;9E+307)*(表成绩单[语文]&gt;表成绩单[[#This Row],[语文]]))+1)</f>
        <v>655</v>
      </c>
      <c r="Q2335" s="29" cm="1">
        <f t="array" ref="Q2335">IF(表成绩单[[#This Row],[数学]]="","",SUMPRODUCT((表成绩单[考试日期]=表成绩单[[#This Row],[考试日期]])*(表成绩单[数学]&lt;9E+307)*(表成绩单[数学]&gt;表成绩单[[#This Row],[数学]]))+1)</f>
        <v>765</v>
      </c>
      <c r="R2335" s="29" cm="1">
        <f t="array" ref="R2335">IF(表成绩单[[#This Row],[英语]]="","",SUMPRODUCT((表成绩单[考试日期]=表成绩单[[#This Row],[考试日期]])*(表成绩单[英语]&lt;9E+307)*(表成绩单[英语]&gt;表成绩单[[#This Row],[英语]]))+1)</f>
        <v>575</v>
      </c>
      <c r="S2335" s="29" cm="1">
        <f t="array" ref="S2335">IF(表成绩单[[#This Row],[物理]]="","",SUMPRODUCT((表成绩单[考试日期]=表成绩单[[#This Row],[考试日期]])*(表成绩单[物理]&lt;9E+307)*(表成绩单[物理]&gt;表成绩单[[#This Row],[物理]]))+1)</f>
        <v>747</v>
      </c>
      <c r="T2335" s="29" cm="1">
        <f t="array" ref="T2335">IF(表成绩单[[#This Row],[化学]]="","",SUMPRODUCT((表成绩单[考试日期]=表成绩单[[#This Row],[考试日期]])*(表成绩单[化学]&lt;9E+307)*(表成绩单[化学]&gt;表成绩单[[#This Row],[化学]]))+1)</f>
        <v>763</v>
      </c>
      <c r="U2335" s="29" cm="1">
        <f t="array" ref="U2335">IF(表成绩单[[#This Row],[政治]]="","",SUMPRODUCT((表成绩单[考试日期]=表成绩单[[#This Row],[考试日期]])*(表成绩单[政治]&lt;9E+307)*(表成绩单[政治]&gt;表成绩单[[#This Row],[政治]]))+1)</f>
        <v>701</v>
      </c>
      <c r="V2335" s="29" cm="1">
        <f t="array" ref="V2335">IF(表成绩单[[#This Row],[历史]]="","",SUMPRODUCT((表成绩单[考试日期]=表成绩单[[#This Row],[考试日期]])*(表成绩单[历史]&lt;9E+307)*(表成绩单[历史]&gt;表成绩单[[#This Row],[历史]]))+1)</f>
        <v>662</v>
      </c>
      <c r="W2335" s="29" cm="1">
        <f t="array" ref="W2335">IF(表成绩单[[#This Row],[总分]]="","",SUMPRODUCT((表成绩单[考试日期]=表成绩单[[#This Row],[考试日期]])*(表成绩单[总分]&lt;9E+307)*(表成绩单[总分]&gt;表成绩单[[#This Row],[总分]]))+1)</f>
        <v>728</v>
      </c>
    </row>
    <row r="2336" ht="28" customHeight="1" spans="4:23">
      <c r="D2336" s="31">
        <v>46030</v>
      </c>
      <c r="E2336" s="29">
        <v>19172649</v>
      </c>
      <c r="F2336" s="29" t="s">
        <v>60</v>
      </c>
      <c r="G2336" s="29" t="s">
        <v>817</v>
      </c>
      <c r="H2336" s="29">
        <v>82</v>
      </c>
      <c r="I2336" s="29">
        <v>37</v>
      </c>
      <c r="J2336" s="29">
        <v>10.5</v>
      </c>
      <c r="K2336" s="29">
        <v>51</v>
      </c>
      <c r="L2336" s="29">
        <v>45</v>
      </c>
      <c r="M2336" s="29">
        <v>46</v>
      </c>
      <c r="N2336" s="29">
        <v>67</v>
      </c>
      <c r="O2336" s="32">
        <v>338.5</v>
      </c>
      <c r="P2336" s="29" cm="1">
        <f t="array" ref="P2336">IF(表成绩单[[#This Row],[语文]]="","",SUMPRODUCT((表成绩单[考试日期]=表成绩单[[#This Row],[考试日期]])*(表成绩单[语文]&lt;9E+307)*(表成绩单[语文]&gt;表成绩单[[#This Row],[语文]]))+1)</f>
        <v>655</v>
      </c>
      <c r="Q2336" s="29" cm="1">
        <f t="array" ref="Q2336">IF(表成绩单[[#This Row],[数学]]="","",SUMPRODUCT((表成绩单[考试日期]=表成绩单[[#This Row],[考试日期]])*(表成绩单[数学]&lt;9E+307)*(表成绩单[数学]&gt;表成绩单[[#This Row],[数学]]))+1)</f>
        <v>765</v>
      </c>
      <c r="R2336" s="29" cm="1">
        <f t="array" ref="R2336">IF(表成绩单[[#This Row],[英语]]="","",SUMPRODUCT((表成绩单[考试日期]=表成绩单[[#This Row],[考试日期]])*(表成绩单[英语]&lt;9E+307)*(表成绩单[英语]&gt;表成绩单[[#This Row],[英语]]))+1)</f>
        <v>782</v>
      </c>
      <c r="S2336" s="29" cm="1">
        <f t="array" ref="S2336">IF(表成绩单[[#This Row],[物理]]="","",SUMPRODUCT((表成绩单[考试日期]=表成绩单[[#This Row],[考试日期]])*(表成绩单[物理]&lt;9E+307)*(表成绩单[物理]&gt;表成绩单[[#This Row],[物理]]))+1)</f>
        <v>595</v>
      </c>
      <c r="T2336" s="29" cm="1">
        <f t="array" ref="T2336">IF(表成绩单[[#This Row],[化学]]="","",SUMPRODUCT((表成绩单[考试日期]=表成绩单[[#This Row],[考试日期]])*(表成绩单[化学]&lt;9E+307)*(表成绩单[化学]&gt;表成绩单[[#This Row],[化学]]))+1)</f>
        <v>711</v>
      </c>
      <c r="U2336" s="29" cm="1">
        <f t="array" ref="U2336">IF(表成绩单[[#This Row],[政治]]="","",SUMPRODUCT((表成绩单[考试日期]=表成绩单[[#This Row],[考试日期]])*(表成绩单[政治]&lt;9E+307)*(表成绩单[政治]&gt;表成绩单[[#This Row],[政治]]))+1)</f>
        <v>692</v>
      </c>
      <c r="V2336" s="29" cm="1">
        <f t="array" ref="V2336">IF(表成绩单[[#This Row],[历史]]="","",SUMPRODUCT((表成绩单[考试日期]=表成绩单[[#This Row],[考试日期]])*(表成绩单[历史]&lt;9E+307)*(表成绩单[历史]&gt;表成绩单[[#This Row],[历史]]))+1)</f>
        <v>415</v>
      </c>
      <c r="W2336" s="29" cm="1">
        <f t="array" ref="W2336">IF(表成绩单[[#This Row],[总分]]="","",SUMPRODUCT((表成绩单[考试日期]=表成绩单[[#This Row],[考试日期]])*(表成绩单[总分]&lt;9E+307)*(表成绩单[总分]&gt;表成绩单[[#This Row],[总分]]))+1)</f>
        <v>730</v>
      </c>
    </row>
    <row r="2337" ht="28" customHeight="1" spans="4:23">
      <c r="D2337" s="31">
        <v>46030</v>
      </c>
      <c r="E2337" s="29">
        <v>19177612</v>
      </c>
      <c r="F2337" s="29" t="s">
        <v>58</v>
      </c>
      <c r="G2337" s="29" t="s">
        <v>773</v>
      </c>
      <c r="H2337" s="29">
        <v>84</v>
      </c>
      <c r="I2337" s="29">
        <v>71</v>
      </c>
      <c r="J2337" s="29">
        <v>48.5</v>
      </c>
      <c r="K2337" s="29">
        <v>41</v>
      </c>
      <c r="L2337" s="29">
        <v>34</v>
      </c>
      <c r="M2337" s="29">
        <v>26</v>
      </c>
      <c r="N2337" s="29">
        <v>34</v>
      </c>
      <c r="O2337" s="32">
        <v>338.5</v>
      </c>
      <c r="P2337" s="29" cm="1">
        <f t="array" ref="P2337">IF(表成绩单[[#This Row],[语文]]="","",SUMPRODUCT((表成绩单[考试日期]=表成绩单[[#This Row],[考试日期]])*(表成绩单[语文]&lt;9E+307)*(表成绩单[语文]&gt;表成绩单[[#This Row],[语文]]))+1)</f>
        <v>635</v>
      </c>
      <c r="Q2337" s="29" cm="1">
        <f t="array" ref="Q2337">IF(表成绩单[[#This Row],[数学]]="","",SUMPRODUCT((表成绩单[考试日期]=表成绩单[[#This Row],[考试日期]])*(表成绩单[数学]&lt;9E+307)*(表成绩单[数学]&gt;表成绩单[[#This Row],[数学]]))+1)</f>
        <v>578</v>
      </c>
      <c r="R2337" s="29" cm="1">
        <f t="array" ref="R2337">IF(表成绩单[[#This Row],[英语]]="","",SUMPRODUCT((表成绩单[考试日期]=表成绩单[[#This Row],[考试日期]])*(表成绩单[英语]&lt;9E+307)*(表成绩单[英语]&gt;表成绩单[[#This Row],[英语]]))+1)</f>
        <v>666</v>
      </c>
      <c r="S2337" s="29" cm="1">
        <f t="array" ref="S2337">IF(表成绩单[[#This Row],[物理]]="","",SUMPRODUCT((表成绩单[考试日期]=表成绩单[[#This Row],[考试日期]])*(表成绩单[物理]&lt;9E+307)*(表成绩单[物理]&gt;表成绩单[[#This Row],[物理]]))+1)</f>
        <v>687</v>
      </c>
      <c r="T2337" s="29" cm="1">
        <f t="array" ref="T2337">IF(表成绩单[[#This Row],[化学]]="","",SUMPRODUCT((表成绩单[考试日期]=表成绩单[[#This Row],[考试日期]])*(表成绩单[化学]&lt;9E+307)*(表成绩单[化学]&gt;表成绩单[[#This Row],[化学]]))+1)</f>
        <v>763</v>
      </c>
      <c r="U2337" s="29" cm="1">
        <f t="array" ref="U2337">IF(表成绩单[[#This Row],[政治]]="","",SUMPRODUCT((表成绩单[考试日期]=表成绩单[[#This Row],[考试日期]])*(表成绩单[政治]&lt;9E+307)*(表成绩单[政治]&gt;表成绩单[[#This Row],[政治]]))+1)</f>
        <v>778</v>
      </c>
      <c r="V2337" s="29" cm="1">
        <f t="array" ref="V2337">IF(表成绩单[[#This Row],[历史]]="","",SUMPRODUCT((表成绩单[考试日期]=表成绩单[[#This Row],[考试日期]])*(表成绩单[历史]&lt;9E+307)*(表成绩单[历史]&gt;表成绩单[[#This Row],[历史]]))+1)</f>
        <v>775</v>
      </c>
      <c r="W2337" s="29" cm="1">
        <f t="array" ref="W2337">IF(表成绩单[[#This Row],[总分]]="","",SUMPRODUCT((表成绩单[考试日期]=表成绩单[[#This Row],[考试日期]])*(表成绩单[总分]&lt;9E+307)*(表成绩单[总分]&gt;表成绩单[[#This Row],[总分]]))+1)</f>
        <v>730</v>
      </c>
    </row>
    <row r="2338" ht="28" customHeight="1" spans="4:23">
      <c r="D2338" s="31">
        <v>46030</v>
      </c>
      <c r="E2338" s="29">
        <v>19175314</v>
      </c>
      <c r="F2338" s="29" t="s">
        <v>55</v>
      </c>
      <c r="G2338" s="29" t="s">
        <v>858</v>
      </c>
      <c r="H2338" s="29">
        <v>70</v>
      </c>
      <c r="I2338" s="29">
        <v>31</v>
      </c>
      <c r="J2338" s="29">
        <v>55</v>
      </c>
      <c r="K2338" s="29">
        <v>36</v>
      </c>
      <c r="L2338" s="29">
        <v>49</v>
      </c>
      <c r="M2338" s="29">
        <v>47</v>
      </c>
      <c r="N2338" s="29">
        <v>49</v>
      </c>
      <c r="O2338" s="32">
        <v>337</v>
      </c>
      <c r="P2338" s="29" cm="1">
        <f t="array" ref="P2338">IF(表成绩单[[#This Row],[语文]]="","",SUMPRODUCT((表成绩单[考试日期]=表成绩单[[#This Row],[考试日期]])*(表成绩单[语文]&lt;9E+307)*(表成绩单[语文]&gt;表成绩单[[#This Row],[语文]]))+1)</f>
        <v>742</v>
      </c>
      <c r="Q2338" s="29" cm="1">
        <f t="array" ref="Q2338">IF(表成绩单[[#This Row],[数学]]="","",SUMPRODUCT((表成绩单[考试日期]=表成绩单[[#This Row],[考试日期]])*(表成绩单[数学]&lt;9E+307)*(表成绩单[数学]&gt;表成绩单[[#This Row],[数学]]))+1)</f>
        <v>773</v>
      </c>
      <c r="R2338" s="29" cm="1">
        <f t="array" ref="R2338">IF(表成绩单[[#This Row],[英语]]="","",SUMPRODUCT((表成绩单[考试日期]=表成绩单[[#This Row],[考试日期]])*(表成绩单[英语]&lt;9E+307)*(表成绩单[英语]&gt;表成绩单[[#This Row],[英语]]))+1)</f>
        <v>596</v>
      </c>
      <c r="S2338" s="29" cm="1">
        <f t="array" ref="S2338">IF(表成绩单[[#This Row],[物理]]="","",SUMPRODUCT((表成绩单[考试日期]=表成绩单[[#This Row],[考试日期]])*(表成绩单[物理]&lt;9E+307)*(表成绩单[物理]&gt;表成绩单[[#This Row],[物理]]))+1)</f>
        <v>712</v>
      </c>
      <c r="T2338" s="29" cm="1">
        <f t="array" ref="T2338">IF(表成绩单[[#This Row],[化学]]="","",SUMPRODUCT((表成绩单[考试日期]=表成绩单[[#This Row],[考试日期]])*(表成绩单[化学]&lt;9E+307)*(表成绩单[化学]&gt;表成绩单[[#This Row],[化学]]))+1)</f>
        <v>675</v>
      </c>
      <c r="U2338" s="29" cm="1">
        <f t="array" ref="U2338">IF(表成绩单[[#This Row],[政治]]="","",SUMPRODUCT((表成绩单[考试日期]=表成绩单[[#This Row],[考试日期]])*(表成绩单[政治]&lt;9E+307)*(表成绩单[政治]&gt;表成绩单[[#This Row],[政治]]))+1)</f>
        <v>688</v>
      </c>
      <c r="V2338" s="29" cm="1">
        <f t="array" ref="V2338">IF(表成绩单[[#This Row],[历史]]="","",SUMPRODUCT((表成绩单[考试日期]=表成绩单[[#This Row],[考试日期]])*(表成绩单[历史]&lt;9E+307)*(表成绩单[历史]&gt;表成绩单[[#This Row],[历史]]))+1)</f>
        <v>728</v>
      </c>
      <c r="W2338" s="29" cm="1">
        <f t="array" ref="W2338">IF(表成绩单[[#This Row],[总分]]="","",SUMPRODUCT((表成绩单[考试日期]=表成绩单[[#This Row],[考试日期]])*(表成绩单[总分]&lt;9E+307)*(表成绩单[总分]&gt;表成绩单[[#This Row],[总分]]))+1)</f>
        <v>732</v>
      </c>
    </row>
    <row r="2339" ht="28" customHeight="1" spans="4:23">
      <c r="D2339" s="31">
        <v>46030</v>
      </c>
      <c r="E2339" s="29">
        <v>19177599</v>
      </c>
      <c r="F2339" s="29" t="s">
        <v>58</v>
      </c>
      <c r="G2339" s="29" t="s">
        <v>771</v>
      </c>
      <c r="H2339" s="29">
        <v>86</v>
      </c>
      <c r="I2339" s="29">
        <v>53</v>
      </c>
      <c r="J2339" s="29">
        <v>35</v>
      </c>
      <c r="K2339" s="29">
        <v>35</v>
      </c>
      <c r="L2339" s="29">
        <v>47</v>
      </c>
      <c r="M2339" s="29">
        <v>32</v>
      </c>
      <c r="N2339" s="29">
        <v>49</v>
      </c>
      <c r="O2339" s="32">
        <v>337</v>
      </c>
      <c r="P2339" s="29" cm="1">
        <f t="array" ref="P2339">IF(表成绩单[[#This Row],[语文]]="","",SUMPRODUCT((表成绩单[考试日期]=表成绩单[[#This Row],[考试日期]])*(表成绩单[语文]&lt;9E+307)*(表成绩单[语文]&gt;表成绩单[[#This Row],[语文]]))+1)</f>
        <v>601</v>
      </c>
      <c r="Q2339" s="29" cm="1">
        <f t="array" ref="Q2339">IF(表成绩单[[#This Row],[数学]]="","",SUMPRODUCT((表成绩单[考试日期]=表成绩单[[#This Row],[考试日期]])*(表成绩单[数学]&lt;9E+307)*(表成绩单[数学]&gt;表成绩单[[#This Row],[数学]]))+1)</f>
        <v>716</v>
      </c>
      <c r="R2339" s="29" cm="1">
        <f t="array" ref="R2339">IF(表成绩单[[#This Row],[英语]]="","",SUMPRODUCT((表成绩单[考试日期]=表成绩单[[#This Row],[考试日期]])*(表成绩单[英语]&lt;9E+307)*(表成绩单[英语]&gt;表成绩单[[#This Row],[英语]]))+1)</f>
        <v>746</v>
      </c>
      <c r="S2339" s="29" cm="1">
        <f t="array" ref="S2339">IF(表成绩单[[#This Row],[物理]]="","",SUMPRODUCT((表成绩单[考试日期]=表成绩单[[#This Row],[考试日期]])*(表成绩单[物理]&lt;9E+307)*(表成绩单[物理]&gt;表成绩单[[#This Row],[物理]]))+1)</f>
        <v>722</v>
      </c>
      <c r="T2339" s="29" cm="1">
        <f t="array" ref="T2339">IF(表成绩单[[#This Row],[化学]]="","",SUMPRODUCT((表成绩单[考试日期]=表成绩单[[#This Row],[考试日期]])*(表成绩单[化学]&lt;9E+307)*(表成绩单[化学]&gt;表成绩单[[#This Row],[化学]]))+1)</f>
        <v>694</v>
      </c>
      <c r="U2339" s="29" cm="1">
        <f t="array" ref="U2339">IF(表成绩单[[#This Row],[政治]]="","",SUMPRODUCT((表成绩单[考试日期]=表成绩单[[#This Row],[考试日期]])*(表成绩单[政治]&lt;9E+307)*(表成绩单[政治]&gt;表成绩单[[#This Row],[政治]]))+1)</f>
        <v>764</v>
      </c>
      <c r="V2339" s="29" cm="1">
        <f t="array" ref="V2339">IF(表成绩单[[#This Row],[历史]]="","",SUMPRODUCT((表成绩单[考试日期]=表成绩单[[#This Row],[考试日期]])*(表成绩单[历史]&lt;9E+307)*(表成绩单[历史]&gt;表成绩单[[#This Row],[历史]]))+1)</f>
        <v>728</v>
      </c>
      <c r="W2339" s="29" cm="1">
        <f t="array" ref="W2339">IF(表成绩单[[#This Row],[总分]]="","",SUMPRODUCT((表成绩单[考试日期]=表成绩单[[#This Row],[考试日期]])*(表成绩单[总分]&lt;9E+307)*(表成绩单[总分]&gt;表成绩单[[#This Row],[总分]]))+1)</f>
        <v>732</v>
      </c>
    </row>
    <row r="2340" ht="28" customHeight="1" spans="4:23">
      <c r="D2340" s="31">
        <v>46030</v>
      </c>
      <c r="E2340" s="29">
        <v>19175703</v>
      </c>
      <c r="F2340" s="29" t="s">
        <v>72</v>
      </c>
      <c r="G2340" s="29" t="s">
        <v>826</v>
      </c>
      <c r="H2340" s="29">
        <v>78</v>
      </c>
      <c r="I2340" s="29">
        <v>58</v>
      </c>
      <c r="J2340" s="29">
        <v>37.5</v>
      </c>
      <c r="K2340" s="29">
        <v>36</v>
      </c>
      <c r="L2340" s="29">
        <v>45</v>
      </c>
      <c r="M2340" s="29">
        <v>45</v>
      </c>
      <c r="N2340" s="29">
        <v>36</v>
      </c>
      <c r="O2340" s="32">
        <v>335.5</v>
      </c>
      <c r="P2340" s="29" cm="1">
        <f t="array" ref="P2340">IF(表成绩单[[#This Row],[语文]]="","",SUMPRODUCT((表成绩单[考试日期]=表成绩单[[#This Row],[考试日期]])*(表成绩单[语文]&lt;9E+307)*(表成绩单[语文]&gt;表成绩单[[#This Row],[语文]]))+1)</f>
        <v>694</v>
      </c>
      <c r="Q2340" s="29" cm="1">
        <f t="array" ref="Q2340">IF(表成绩单[[#This Row],[数学]]="","",SUMPRODUCT((表成绩单[考试日期]=表成绩单[[#This Row],[考试日期]])*(表成绩单[数学]&lt;9E+307)*(表成绩单[数学]&gt;表成绩单[[#This Row],[数学]]))+1)</f>
        <v>685</v>
      </c>
      <c r="R2340" s="29" cm="1">
        <f t="array" ref="R2340">IF(表成绩单[[#This Row],[英语]]="","",SUMPRODUCT((表成绩单[考试日期]=表成绩单[[#This Row],[考试日期]])*(表成绩单[英语]&lt;9E+307)*(表成绩单[英语]&gt;表成绩单[[#This Row],[英语]]))+1)</f>
        <v>734</v>
      </c>
      <c r="S2340" s="29" cm="1">
        <f t="array" ref="S2340">IF(表成绩单[[#This Row],[物理]]="","",SUMPRODUCT((表成绩单[考试日期]=表成绩单[[#This Row],[考试日期]])*(表成绩单[物理]&lt;9E+307)*(表成绩单[物理]&gt;表成绩单[[#This Row],[物理]]))+1)</f>
        <v>712</v>
      </c>
      <c r="T2340" s="29" cm="1">
        <f t="array" ref="T2340">IF(表成绩单[[#This Row],[化学]]="","",SUMPRODUCT((表成绩单[考试日期]=表成绩单[[#This Row],[考试日期]])*(表成绩单[化学]&lt;9E+307)*(表成绩单[化学]&gt;表成绩单[[#This Row],[化学]]))+1)</f>
        <v>711</v>
      </c>
      <c r="U2340" s="29" cm="1">
        <f t="array" ref="U2340">IF(表成绩单[[#This Row],[政治]]="","",SUMPRODUCT((表成绩单[考试日期]=表成绩单[[#This Row],[考试日期]])*(表成绩单[政治]&lt;9E+307)*(表成绩单[政治]&gt;表成绩单[[#This Row],[政治]]))+1)</f>
        <v>701</v>
      </c>
      <c r="V2340" s="29" cm="1">
        <f t="array" ref="V2340">IF(表成绩单[[#This Row],[历史]]="","",SUMPRODUCT((表成绩单[考试日期]=表成绩单[[#This Row],[考试日期]])*(表成绩单[历史]&lt;9E+307)*(表成绩单[历史]&gt;表成绩单[[#This Row],[历史]]))+1)</f>
        <v>770</v>
      </c>
      <c r="W2340" s="29" cm="1">
        <f t="array" ref="W2340">IF(表成绩单[[#This Row],[总分]]="","",SUMPRODUCT((表成绩单[考试日期]=表成绩单[[#This Row],[考试日期]])*(表成绩单[总分]&lt;9E+307)*(表成绩单[总分]&gt;表成绩单[[#This Row],[总分]]))+1)</f>
        <v>734</v>
      </c>
    </row>
    <row r="2341" ht="28" customHeight="1" spans="4:23">
      <c r="D2341" s="31">
        <v>46030</v>
      </c>
      <c r="E2341" s="29">
        <v>19172657</v>
      </c>
      <c r="F2341" s="29" t="s">
        <v>60</v>
      </c>
      <c r="G2341" s="29" t="s">
        <v>829</v>
      </c>
      <c r="H2341" s="29">
        <v>75</v>
      </c>
      <c r="I2341" s="29">
        <v>44</v>
      </c>
      <c r="J2341" s="29">
        <v>35</v>
      </c>
      <c r="K2341" s="29">
        <v>25</v>
      </c>
      <c r="L2341" s="29">
        <v>25</v>
      </c>
      <c r="M2341" s="29">
        <v>57</v>
      </c>
      <c r="N2341" s="29">
        <v>69</v>
      </c>
      <c r="O2341" s="32">
        <v>330</v>
      </c>
      <c r="P2341" s="29" cm="1">
        <f t="array" ref="P2341">IF(表成绩单[[#This Row],[语文]]="","",SUMPRODUCT((表成绩单[考试日期]=表成绩单[[#This Row],[考试日期]])*(表成绩单[语文]&lt;9E+307)*(表成绩单[语文]&gt;表成绩单[[#This Row],[语文]]))+1)</f>
        <v>714</v>
      </c>
      <c r="Q2341" s="29" cm="1">
        <f t="array" ref="Q2341">IF(表成绩单[[#This Row],[数学]]="","",SUMPRODUCT((表成绩单[考试日期]=表成绩单[[#This Row],[考试日期]])*(表成绩单[数学]&lt;9E+307)*(表成绩单[数学]&gt;表成绩单[[#This Row],[数学]]))+1)</f>
        <v>743</v>
      </c>
      <c r="R2341" s="29" cm="1">
        <f t="array" ref="R2341">IF(表成绩单[[#This Row],[英语]]="","",SUMPRODUCT((表成绩单[考试日期]=表成绩单[[#This Row],[考试日期]])*(表成绩单[英语]&lt;9E+307)*(表成绩单[英语]&gt;表成绩单[[#This Row],[英语]]))+1)</f>
        <v>746</v>
      </c>
      <c r="S2341" s="29" cm="1">
        <f t="array" ref="S2341">IF(表成绩单[[#This Row],[物理]]="","",SUMPRODUCT((表成绩单[考试日期]=表成绩单[[#This Row],[考试日期]])*(表成绩单[物理]&lt;9E+307)*(表成绩单[物理]&gt;表成绩单[[#This Row],[物理]]))+1)</f>
        <v>766</v>
      </c>
      <c r="T2341" s="29" cm="1">
        <f t="array" ref="T2341">IF(表成绩单[[#This Row],[化学]]="","",SUMPRODUCT((表成绩单[考试日期]=表成绩单[[#This Row],[考试日期]])*(表成绩单[化学]&lt;9E+307)*(表成绩单[化学]&gt;表成绩单[[#This Row],[化学]]))+1)</f>
        <v>781</v>
      </c>
      <c r="U2341" s="29" cm="1">
        <f t="array" ref="U2341">IF(表成绩单[[#This Row],[政治]]="","",SUMPRODUCT((表成绩单[考试日期]=表成绩单[[#This Row],[考试日期]])*(表成绩单[政治]&lt;9E+307)*(表成绩单[政治]&gt;表成绩单[[#This Row],[政治]]))+1)</f>
        <v>591</v>
      </c>
      <c r="V2341" s="29" cm="1">
        <f t="array" ref="V2341">IF(表成绩单[[#This Row],[历史]]="","",SUMPRODUCT((表成绩单[考试日期]=表成绩单[[#This Row],[考试日期]])*(表成绩单[历史]&lt;9E+307)*(表成绩单[历史]&gt;表成绩单[[#This Row],[历史]]))+1)</f>
        <v>366</v>
      </c>
      <c r="W2341" s="29" cm="1">
        <f t="array" ref="W2341">IF(表成绩单[[#This Row],[总分]]="","",SUMPRODUCT((表成绩单[考试日期]=表成绩单[[#This Row],[考试日期]])*(表成绩单[总分]&lt;9E+307)*(表成绩单[总分]&gt;表成绩单[[#This Row],[总分]]))+1)</f>
        <v>735</v>
      </c>
    </row>
    <row r="2342" ht="28" customHeight="1" spans="4:23">
      <c r="D2342" s="31">
        <v>46030</v>
      </c>
      <c r="E2342" s="29">
        <v>19172642</v>
      </c>
      <c r="F2342" s="29" t="s">
        <v>60</v>
      </c>
      <c r="G2342" s="29" t="s">
        <v>838</v>
      </c>
      <c r="H2342" s="29">
        <v>70</v>
      </c>
      <c r="I2342" s="29">
        <v>41</v>
      </c>
      <c r="J2342" s="29">
        <v>45</v>
      </c>
      <c r="K2342" s="29">
        <v>28</v>
      </c>
      <c r="L2342" s="29">
        <v>49</v>
      </c>
      <c r="M2342" s="29">
        <v>44</v>
      </c>
      <c r="N2342" s="29">
        <v>52</v>
      </c>
      <c r="O2342" s="32">
        <v>329</v>
      </c>
      <c r="P2342" s="29" cm="1">
        <f t="array" ref="P2342">IF(表成绩单[[#This Row],[语文]]="","",SUMPRODUCT((表成绩单[考试日期]=表成绩单[[#This Row],[考试日期]])*(表成绩单[语文]&lt;9E+307)*(表成绩单[语文]&gt;表成绩单[[#This Row],[语文]]))+1)</f>
        <v>742</v>
      </c>
      <c r="Q2342" s="29" cm="1">
        <f t="array" ref="Q2342">IF(表成绩单[[#This Row],[数学]]="","",SUMPRODUCT((表成绩单[考试日期]=表成绩单[[#This Row],[考试日期]])*(表成绩单[数学]&lt;9E+307)*(表成绩单[数学]&gt;表成绩单[[#This Row],[数学]]))+1)</f>
        <v>750</v>
      </c>
      <c r="R2342" s="29" cm="1">
        <f t="array" ref="R2342">IF(表成绩单[[#This Row],[英语]]="","",SUMPRODUCT((表成绩单[考试日期]=表成绩单[[#This Row],[考试日期]])*(表成绩单[英语]&lt;9E+307)*(表成绩单[英语]&gt;表成绩单[[#This Row],[英语]]))+1)</f>
        <v>691</v>
      </c>
      <c r="S2342" s="29" cm="1">
        <f t="array" ref="S2342">IF(表成绩单[[#This Row],[物理]]="","",SUMPRODUCT((表成绩单[考试日期]=表成绩单[[#This Row],[考试日期]])*(表成绩单[物理]&lt;9E+307)*(表成绩单[物理]&gt;表成绩单[[#This Row],[物理]]))+1)</f>
        <v>755</v>
      </c>
      <c r="T2342" s="29" cm="1">
        <f t="array" ref="T2342">IF(表成绩单[[#This Row],[化学]]="","",SUMPRODUCT((表成绩单[考试日期]=表成绩单[[#This Row],[考试日期]])*(表成绩单[化学]&lt;9E+307)*(表成绩单[化学]&gt;表成绩单[[#This Row],[化学]]))+1)</f>
        <v>675</v>
      </c>
      <c r="U2342" s="29" cm="1">
        <f t="array" ref="U2342">IF(表成绩单[[#This Row],[政治]]="","",SUMPRODUCT((表成绩单[考试日期]=表成绩单[[#This Row],[考试日期]])*(表成绩单[政治]&lt;9E+307)*(表成绩单[政治]&gt;表成绩单[[#This Row],[政治]]))+1)</f>
        <v>709</v>
      </c>
      <c r="V2342" s="29" cm="1">
        <f t="array" ref="V2342">IF(表成绩单[[#This Row],[历史]]="","",SUMPRODUCT((表成绩单[考试日期]=表成绩单[[#This Row],[考试日期]])*(表成绩单[历史]&lt;9E+307)*(表成绩单[历史]&gt;表成绩单[[#This Row],[历史]]))+1)</f>
        <v>701</v>
      </c>
      <c r="W2342" s="29" cm="1">
        <f t="array" ref="W2342">IF(表成绩单[[#This Row],[总分]]="","",SUMPRODUCT((表成绩单[考试日期]=表成绩单[[#This Row],[考试日期]])*(表成绩单[总分]&lt;9E+307)*(表成绩单[总分]&gt;表成绩单[[#This Row],[总分]]))+1)</f>
        <v>736</v>
      </c>
    </row>
    <row r="2343" ht="28" customHeight="1" spans="4:23">
      <c r="D2343" s="31">
        <v>46030</v>
      </c>
      <c r="E2343" s="29">
        <v>19175312</v>
      </c>
      <c r="F2343" s="29" t="s">
        <v>55</v>
      </c>
      <c r="G2343" s="29" t="s">
        <v>822</v>
      </c>
      <c r="H2343" s="29">
        <v>78</v>
      </c>
      <c r="I2343" s="29">
        <v>61</v>
      </c>
      <c r="J2343" s="29">
        <v>44</v>
      </c>
      <c r="K2343" s="29">
        <v>28</v>
      </c>
      <c r="L2343" s="29">
        <v>24</v>
      </c>
      <c r="M2343" s="29">
        <v>48</v>
      </c>
      <c r="N2343" s="29">
        <v>46</v>
      </c>
      <c r="O2343" s="32">
        <v>329</v>
      </c>
      <c r="P2343" s="29" cm="1">
        <f t="array" ref="P2343">IF(表成绩单[[#This Row],[语文]]="","",SUMPRODUCT((表成绩单[考试日期]=表成绩单[[#This Row],[考试日期]])*(表成绩单[语文]&lt;9E+307)*(表成绩单[语文]&gt;表成绩单[[#This Row],[语文]]))+1)</f>
        <v>694</v>
      </c>
      <c r="Q2343" s="29" cm="1">
        <f t="array" ref="Q2343">IF(表成绩单[[#This Row],[数学]]="","",SUMPRODUCT((表成绩单[考试日期]=表成绩单[[#This Row],[考试日期]])*(表成绩单[数学]&lt;9E+307)*(表成绩单[数学]&gt;表成绩单[[#This Row],[数学]]))+1)</f>
        <v>668</v>
      </c>
      <c r="R2343" s="29" cm="1">
        <f t="array" ref="R2343">IF(表成绩单[[#This Row],[英语]]="","",SUMPRODUCT((表成绩单[考试日期]=表成绩单[[#This Row],[考试日期]])*(表成绩单[英语]&lt;9E+307)*(表成绩单[英语]&gt;表成绩单[[#This Row],[英语]]))+1)</f>
        <v>695</v>
      </c>
      <c r="S2343" s="29" cm="1">
        <f t="array" ref="S2343">IF(表成绩单[[#This Row],[物理]]="","",SUMPRODUCT((表成绩单[考试日期]=表成绩单[[#This Row],[考试日期]])*(表成绩单[物理]&lt;9E+307)*(表成绩单[物理]&gt;表成绩单[[#This Row],[物理]]))+1)</f>
        <v>755</v>
      </c>
      <c r="T2343" s="29" cm="1">
        <f t="array" ref="T2343">IF(表成绩单[[#This Row],[化学]]="","",SUMPRODUCT((表成绩单[考试日期]=表成绩单[[#This Row],[考试日期]])*(表成绩单[化学]&lt;9E+307)*(表成绩单[化学]&gt;表成绩单[[#This Row],[化学]]))+1)</f>
        <v>783</v>
      </c>
      <c r="U2343" s="29" cm="1">
        <f t="array" ref="U2343">IF(表成绩单[[#This Row],[政治]]="","",SUMPRODUCT((表成绩单[考试日期]=表成绩单[[#This Row],[考试日期]])*(表成绩单[政治]&lt;9E+307)*(表成绩单[政治]&gt;表成绩单[[#This Row],[政治]]))+1)</f>
        <v>675</v>
      </c>
      <c r="V2343" s="29" cm="1">
        <f t="array" ref="V2343">IF(表成绩单[[#This Row],[历史]]="","",SUMPRODUCT((表成绩单[考试日期]=表成绩单[[#This Row],[考试日期]])*(表成绩单[历史]&lt;9E+307)*(表成绩单[历史]&gt;表成绩单[[#This Row],[历史]]))+1)</f>
        <v>742</v>
      </c>
      <c r="W2343" s="29" cm="1">
        <f t="array" ref="W2343">IF(表成绩单[[#This Row],[总分]]="","",SUMPRODUCT((表成绩单[考试日期]=表成绩单[[#This Row],[考试日期]])*(表成绩单[总分]&lt;9E+307)*(表成绩单[总分]&gt;表成绩单[[#This Row],[总分]]))+1)</f>
        <v>736</v>
      </c>
    </row>
    <row r="2344" ht="28" customHeight="1" spans="4:23">
      <c r="D2344" s="31">
        <v>46030</v>
      </c>
      <c r="E2344" s="29">
        <v>19176000</v>
      </c>
      <c r="F2344" s="29" t="s">
        <v>59</v>
      </c>
      <c r="G2344" s="29" t="s">
        <v>806</v>
      </c>
      <c r="H2344" s="29">
        <v>68</v>
      </c>
      <c r="I2344" s="29">
        <v>69</v>
      </c>
      <c r="J2344" s="29">
        <v>37</v>
      </c>
      <c r="K2344" s="29">
        <v>25</v>
      </c>
      <c r="L2344" s="29">
        <v>44</v>
      </c>
      <c r="M2344" s="29">
        <v>34</v>
      </c>
      <c r="N2344" s="29">
        <v>48</v>
      </c>
      <c r="O2344" s="32">
        <v>325</v>
      </c>
      <c r="P2344" s="29" cm="1">
        <f t="array" ref="P2344">IF(表成绩单[[#This Row],[语文]]="","",SUMPRODUCT((表成绩单[考试日期]=表成绩单[[#This Row],[考试日期]])*(表成绩单[语文]&lt;9E+307)*(表成绩单[语文]&gt;表成绩单[[#This Row],[语文]]))+1)</f>
        <v>752</v>
      </c>
      <c r="Q2344" s="29" cm="1">
        <f t="array" ref="Q2344">IF(表成绩单[[#This Row],[数学]]="","",SUMPRODUCT((表成绩单[考试日期]=表成绩单[[#This Row],[考试日期]])*(表成绩单[数学]&lt;9E+307)*(表成绩单[数学]&gt;表成绩单[[#This Row],[数学]]))+1)</f>
        <v>600</v>
      </c>
      <c r="R2344" s="29" cm="1">
        <f t="array" ref="R2344">IF(表成绩单[[#This Row],[英语]]="","",SUMPRODUCT((表成绩单[考试日期]=表成绩单[[#This Row],[考试日期]])*(表成绩单[英语]&lt;9E+307)*(表成绩单[英语]&gt;表成绩单[[#This Row],[英语]]))+1)</f>
        <v>737</v>
      </c>
      <c r="S2344" s="29" cm="1">
        <f t="array" ref="S2344">IF(表成绩单[[#This Row],[物理]]="","",SUMPRODUCT((表成绩单[考试日期]=表成绩单[[#This Row],[考试日期]])*(表成绩单[物理]&lt;9E+307)*(表成绩单[物理]&gt;表成绩单[[#This Row],[物理]]))+1)</f>
        <v>766</v>
      </c>
      <c r="T2344" s="29" cm="1">
        <f t="array" ref="T2344">IF(表成绩单[[#This Row],[化学]]="","",SUMPRODUCT((表成绩单[考试日期]=表成绩单[[#This Row],[考试日期]])*(表成绩单[化学]&lt;9E+307)*(表成绩单[化学]&gt;表成绩单[[#This Row],[化学]]))+1)</f>
        <v>720</v>
      </c>
      <c r="U2344" s="29" cm="1">
        <f t="array" ref="U2344">IF(表成绩单[[#This Row],[政治]]="","",SUMPRODUCT((表成绩单[考试日期]=表成绩单[[#This Row],[考试日期]])*(表成绩单[政治]&lt;9E+307)*(表成绩单[政治]&gt;表成绩单[[#This Row],[政治]]))+1)</f>
        <v>755</v>
      </c>
      <c r="V2344" s="29" cm="1">
        <f t="array" ref="V2344">IF(表成绩单[[#This Row],[历史]]="","",SUMPRODUCT((表成绩单[考试日期]=表成绩单[[#This Row],[考试日期]])*(表成绩单[历史]&lt;9E+307)*(表成绩单[历史]&gt;表成绩单[[#This Row],[历史]]))+1)</f>
        <v>733</v>
      </c>
      <c r="W2344" s="29" cm="1">
        <f t="array" ref="W2344">IF(表成绩单[[#This Row],[总分]]="","",SUMPRODUCT((表成绩单[考试日期]=表成绩单[[#This Row],[考试日期]])*(表成绩单[总分]&lt;9E+307)*(表成绩单[总分]&gt;表成绩单[[#This Row],[总分]]))+1)</f>
        <v>738</v>
      </c>
    </row>
    <row r="2345" ht="28" customHeight="1" spans="4:23">
      <c r="D2345" s="31">
        <v>46030</v>
      </c>
      <c r="E2345" s="29">
        <v>19175311</v>
      </c>
      <c r="F2345" s="29" t="s">
        <v>55</v>
      </c>
      <c r="G2345" s="29" t="s">
        <v>820</v>
      </c>
      <c r="H2345" s="29">
        <v>71</v>
      </c>
      <c r="I2345" s="29">
        <v>38</v>
      </c>
      <c r="J2345" s="29">
        <v>49.5</v>
      </c>
      <c r="K2345" s="29">
        <v>37</v>
      </c>
      <c r="L2345" s="29">
        <v>39</v>
      </c>
      <c r="M2345" s="29">
        <v>49</v>
      </c>
      <c r="N2345" s="29">
        <v>41</v>
      </c>
      <c r="O2345" s="32">
        <v>324.5</v>
      </c>
      <c r="P2345" s="29" cm="1">
        <f t="array" ref="P2345">IF(表成绩单[[#This Row],[语文]]="","",SUMPRODUCT((表成绩单[考试日期]=表成绩单[[#This Row],[考试日期]])*(表成绩单[语文]&lt;9E+307)*(表成绩单[语文]&gt;表成绩单[[#This Row],[语文]]))+1)</f>
        <v>737</v>
      </c>
      <c r="Q2345" s="29" cm="1">
        <f t="array" ref="Q2345">IF(表成绩单[[#This Row],[数学]]="","",SUMPRODUCT((表成绩单[考试日期]=表成绩单[[#This Row],[考试日期]])*(表成绩单[数学]&lt;9E+307)*(表成绩单[数学]&gt;表成绩单[[#This Row],[数学]]))+1)</f>
        <v>761</v>
      </c>
      <c r="R2345" s="29" cm="1">
        <f t="array" ref="R2345">IF(表成绩单[[#This Row],[英语]]="","",SUMPRODUCT((表成绩单[考试日期]=表成绩单[[#This Row],[考试日期]])*(表成绩单[英语]&lt;9E+307)*(表成绩单[英语]&gt;表成绩单[[#This Row],[英语]]))+1)</f>
        <v>651</v>
      </c>
      <c r="S2345" s="29" cm="1">
        <f t="array" ref="S2345">IF(表成绩单[[#This Row],[物理]]="","",SUMPRODUCT((表成绩单[考试日期]=表成绩单[[#This Row],[考试日期]])*(表成绩单[物理]&lt;9E+307)*(表成绩单[物理]&gt;表成绩单[[#This Row],[物理]]))+1)</f>
        <v>708</v>
      </c>
      <c r="T2345" s="29" cm="1">
        <f t="array" ref="T2345">IF(表成绩单[[#This Row],[化学]]="","",SUMPRODUCT((表成绩单[考试日期]=表成绩单[[#This Row],[考试日期]])*(表成绩单[化学]&lt;9E+307)*(表成绩单[化学]&gt;表成绩单[[#This Row],[化学]]))+1)</f>
        <v>743</v>
      </c>
      <c r="U2345" s="29" cm="1">
        <f t="array" ref="U2345">IF(表成绩单[[#This Row],[政治]]="","",SUMPRODUCT((表成绩单[考试日期]=表成绩单[[#This Row],[考试日期]])*(表成绩单[政治]&lt;9E+307)*(表成绩单[政治]&gt;表成绩单[[#This Row],[政治]]))+1)</f>
        <v>667</v>
      </c>
      <c r="V2345" s="29" cm="1">
        <f t="array" ref="V2345">IF(表成绩单[[#This Row],[历史]]="","",SUMPRODUCT((表成绩单[考试日期]=表成绩单[[#This Row],[考试日期]])*(表成绩单[历史]&lt;9E+307)*(表成绩单[历史]&gt;表成绩单[[#This Row],[历史]]))+1)</f>
        <v>759</v>
      </c>
      <c r="W2345" s="29" cm="1">
        <f t="array" ref="W2345">IF(表成绩单[[#This Row],[总分]]="","",SUMPRODUCT((表成绩单[考试日期]=表成绩单[[#This Row],[考试日期]])*(表成绩单[总分]&lt;9E+307)*(表成绩单[总分]&gt;表成绩单[[#This Row],[总分]]))+1)</f>
        <v>739</v>
      </c>
    </row>
    <row r="2346" ht="28" customHeight="1" spans="4:23">
      <c r="D2346" s="31">
        <v>46030</v>
      </c>
      <c r="E2346" s="29">
        <v>19175321</v>
      </c>
      <c r="F2346" s="29" t="s">
        <v>55</v>
      </c>
      <c r="G2346" s="29" t="s">
        <v>827</v>
      </c>
      <c r="H2346" s="29">
        <v>75</v>
      </c>
      <c r="I2346" s="29">
        <v>55</v>
      </c>
      <c r="J2346" s="29">
        <v>27</v>
      </c>
      <c r="K2346" s="29">
        <v>31</v>
      </c>
      <c r="L2346" s="29">
        <v>34</v>
      </c>
      <c r="M2346" s="29">
        <v>41</v>
      </c>
      <c r="N2346" s="29">
        <v>60</v>
      </c>
      <c r="O2346" s="32">
        <v>323</v>
      </c>
      <c r="P2346" s="29" cm="1">
        <f t="array" ref="P2346">IF(表成绩单[[#This Row],[语文]]="","",SUMPRODUCT((表成绩单[考试日期]=表成绩单[[#This Row],[考试日期]])*(表成绩单[语文]&lt;9E+307)*(表成绩单[语文]&gt;表成绩单[[#This Row],[语文]]))+1)</f>
        <v>714</v>
      </c>
      <c r="Q2346" s="29" cm="1">
        <f t="array" ref="Q2346">IF(表成绩单[[#This Row],[数学]]="","",SUMPRODUCT((表成绩单[考试日期]=表成绩单[[#This Row],[考试日期]])*(表成绩单[数学]&lt;9E+307)*(表成绩单[数学]&gt;表成绩单[[#This Row],[数学]]))+1)</f>
        <v>706</v>
      </c>
      <c r="R2346" s="29" cm="1">
        <f t="array" ref="R2346">IF(表成绩单[[#This Row],[英语]]="","",SUMPRODUCT((表成绩单[考试日期]=表成绩单[[#This Row],[考试日期]])*(表成绩单[英语]&lt;9E+307)*(表成绩单[英语]&gt;表成绩单[[#This Row],[英语]]))+1)</f>
        <v>769</v>
      </c>
      <c r="S2346" s="29" cm="1">
        <f t="array" ref="S2346">IF(表成绩单[[#This Row],[物理]]="","",SUMPRODUCT((表成绩单[考试日期]=表成绩单[[#This Row],[考试日期]])*(表成绩单[物理]&lt;9E+307)*(表成绩单[物理]&gt;表成绩单[[#This Row],[物理]]))+1)</f>
        <v>742</v>
      </c>
      <c r="T2346" s="29" cm="1">
        <f t="array" ref="T2346">IF(表成绩单[[#This Row],[化学]]="","",SUMPRODUCT((表成绩单[考试日期]=表成绩单[[#This Row],[考试日期]])*(表成绩单[化学]&lt;9E+307)*(表成绩单[化学]&gt;表成绩单[[#This Row],[化学]]))+1)</f>
        <v>763</v>
      </c>
      <c r="U2346" s="29" cm="1">
        <f t="array" ref="U2346">IF(表成绩单[[#This Row],[政治]]="","",SUMPRODUCT((表成绩单[考试日期]=表成绩单[[#This Row],[考试日期]])*(表成绩单[政治]&lt;9E+307)*(表成绩单[政治]&gt;表成绩单[[#This Row],[政治]]))+1)</f>
        <v>725</v>
      </c>
      <c r="V2346" s="29" cm="1">
        <f t="array" ref="V2346">IF(表成绩单[[#This Row],[历史]]="","",SUMPRODUCT((表成绩单[考试日期]=表成绩单[[#This Row],[考试日期]])*(表成绩单[历史]&lt;9E+307)*(表成绩单[历史]&gt;表成绩单[[#This Row],[历史]]))+1)</f>
        <v>579</v>
      </c>
      <c r="W2346" s="29" cm="1">
        <f t="array" ref="W2346">IF(表成绩单[[#This Row],[总分]]="","",SUMPRODUCT((表成绩单[考试日期]=表成绩单[[#This Row],[考试日期]])*(表成绩单[总分]&lt;9E+307)*(表成绩单[总分]&gt;表成绩单[[#This Row],[总分]]))+1)</f>
        <v>740</v>
      </c>
    </row>
    <row r="2347" ht="28" customHeight="1" spans="4:23">
      <c r="D2347" s="31">
        <v>46030</v>
      </c>
      <c r="E2347" s="29">
        <v>19177624</v>
      </c>
      <c r="F2347" s="29" t="s">
        <v>58</v>
      </c>
      <c r="G2347" s="29" t="s">
        <v>770</v>
      </c>
      <c r="H2347" s="29">
        <v>69</v>
      </c>
      <c r="I2347" s="29">
        <v>33</v>
      </c>
      <c r="J2347" s="29">
        <v>45</v>
      </c>
      <c r="K2347" s="29">
        <v>32</v>
      </c>
      <c r="L2347" s="29">
        <v>33</v>
      </c>
      <c r="M2347" s="29">
        <v>62</v>
      </c>
      <c r="N2347" s="29">
        <v>47</v>
      </c>
      <c r="O2347" s="32">
        <v>321</v>
      </c>
      <c r="P2347" s="29" cm="1">
        <f t="array" ref="P2347">IF(表成绩单[[#This Row],[语文]]="","",SUMPRODUCT((表成绩单[考试日期]=表成绩单[[#This Row],[考试日期]])*(表成绩单[语文]&lt;9E+307)*(表成绩单[语文]&gt;表成绩单[[#This Row],[语文]]))+1)</f>
        <v>748</v>
      </c>
      <c r="Q2347" s="29" cm="1">
        <f t="array" ref="Q2347">IF(表成绩单[[#This Row],[数学]]="","",SUMPRODUCT((表成绩单[考试日期]=表成绩单[[#This Row],[考试日期]])*(表成绩单[数学]&lt;9E+307)*(表成绩单[数学]&gt;表成绩单[[#This Row],[数学]]))+1)</f>
        <v>769</v>
      </c>
      <c r="R2347" s="29" cm="1">
        <f t="array" ref="R2347">IF(表成绩单[[#This Row],[英语]]="","",SUMPRODUCT((表成绩单[考试日期]=表成绩单[[#This Row],[考试日期]])*(表成绩单[英语]&lt;9E+307)*(表成绩单[英语]&gt;表成绩单[[#This Row],[英语]]))+1)</f>
        <v>691</v>
      </c>
      <c r="S2347" s="29" cm="1">
        <f t="array" ref="S2347">IF(表成绩单[[#This Row],[物理]]="","",SUMPRODUCT((表成绩单[考试日期]=表成绩单[[#This Row],[考试日期]])*(表成绩单[物理]&lt;9E+307)*(表成绩单[物理]&gt;表成绩单[[#This Row],[物理]]))+1)</f>
        <v>738</v>
      </c>
      <c r="T2347" s="29" cm="1">
        <f t="array" ref="T2347">IF(表成绩单[[#This Row],[化学]]="","",SUMPRODUCT((表成绩单[考试日期]=表成绩单[[#This Row],[考试日期]])*(表成绩单[化学]&lt;9E+307)*(表成绩单[化学]&gt;表成绩单[[#This Row],[化学]]))+1)</f>
        <v>768</v>
      </c>
      <c r="U2347" s="29" cm="1">
        <f t="array" ref="U2347">IF(表成绩单[[#This Row],[政治]]="","",SUMPRODUCT((表成绩单[考试日期]=表成绩单[[#This Row],[考试日期]])*(表成绩单[政治]&lt;9E+307)*(表成绩单[政治]&gt;表成绩单[[#This Row],[政治]]))+1)</f>
        <v>508</v>
      </c>
      <c r="V2347" s="29" cm="1">
        <f t="array" ref="V2347">IF(表成绩单[[#This Row],[历史]]="","",SUMPRODUCT((表成绩单[考试日期]=表成绩单[[#This Row],[考试日期]])*(表成绩单[历史]&lt;9E+307)*(表成绩单[历史]&gt;表成绩单[[#This Row],[历史]]))+1)</f>
        <v>739</v>
      </c>
      <c r="W2347" s="29" cm="1">
        <f t="array" ref="W2347">IF(表成绩单[[#This Row],[总分]]="","",SUMPRODUCT((表成绩单[考试日期]=表成绩单[[#This Row],[考试日期]])*(表成绩单[总分]&lt;9E+307)*(表成绩单[总分]&gt;表成绩单[[#This Row],[总分]]))+1)</f>
        <v>741</v>
      </c>
    </row>
    <row r="2348" ht="28" customHeight="1" spans="4:23">
      <c r="D2348" s="31">
        <v>46030</v>
      </c>
      <c r="E2348" s="29">
        <v>19178646</v>
      </c>
      <c r="F2348" s="29" t="s">
        <v>25</v>
      </c>
      <c r="G2348" s="29" t="s">
        <v>821</v>
      </c>
      <c r="H2348" s="29">
        <v>78</v>
      </c>
      <c r="I2348" s="29">
        <v>53</v>
      </c>
      <c r="J2348" s="29">
        <v>40.5</v>
      </c>
      <c r="K2348" s="29">
        <v>31</v>
      </c>
      <c r="L2348" s="29">
        <v>50</v>
      </c>
      <c r="M2348" s="29">
        <v>29</v>
      </c>
      <c r="N2348" s="29">
        <v>39</v>
      </c>
      <c r="O2348" s="32">
        <v>320.5</v>
      </c>
      <c r="P2348" s="29" cm="1">
        <f t="array" ref="P2348">IF(表成绩单[[#This Row],[语文]]="","",SUMPRODUCT((表成绩单[考试日期]=表成绩单[[#This Row],[考试日期]])*(表成绩单[语文]&lt;9E+307)*(表成绩单[语文]&gt;表成绩单[[#This Row],[语文]]))+1)</f>
        <v>694</v>
      </c>
      <c r="Q2348" s="29" cm="1">
        <f t="array" ref="Q2348">IF(表成绩单[[#This Row],[数学]]="","",SUMPRODUCT((表成绩单[考试日期]=表成绩单[[#This Row],[考试日期]])*(表成绩单[数学]&lt;9E+307)*(表成绩单[数学]&gt;表成绩单[[#This Row],[数学]]))+1)</f>
        <v>716</v>
      </c>
      <c r="R2348" s="29" cm="1">
        <f t="array" ref="R2348">IF(表成绩单[[#This Row],[英语]]="","",SUMPRODUCT((表成绩单[考试日期]=表成绩单[[#This Row],[考试日期]])*(表成绩单[英语]&lt;9E+307)*(表成绩单[英语]&gt;表成绩单[[#This Row],[英语]]))+1)</f>
        <v>719</v>
      </c>
      <c r="S2348" s="29" cm="1">
        <f t="array" ref="S2348">IF(表成绩单[[#This Row],[物理]]="","",SUMPRODUCT((表成绩单[考试日期]=表成绩单[[#This Row],[考试日期]])*(表成绩单[物理]&lt;9E+307)*(表成绩单[物理]&gt;表成绩单[[#This Row],[物理]]))+1)</f>
        <v>742</v>
      </c>
      <c r="T2348" s="29" cm="1">
        <f t="array" ref="T2348">IF(表成绩单[[#This Row],[化学]]="","",SUMPRODUCT((表成绩单[考试日期]=表成绩单[[#This Row],[考试日期]])*(表成绩单[化学]&lt;9E+307)*(表成绩单[化学]&gt;表成绩单[[#This Row],[化学]]))+1)</f>
        <v>662</v>
      </c>
      <c r="U2348" s="29" cm="1">
        <f t="array" ref="U2348">IF(表成绩单[[#This Row],[政治]]="","",SUMPRODUCT((表成绩单[考试日期]=表成绩单[[#This Row],[考试日期]])*(表成绩单[政治]&lt;9E+307)*(表成绩单[政治]&gt;表成绩单[[#This Row],[政治]]))+1)</f>
        <v>771</v>
      </c>
      <c r="V2348" s="29" cm="1">
        <f t="array" ref="V2348">IF(表成绩单[[#This Row],[历史]]="","",SUMPRODUCT((表成绩单[考试日期]=表成绩单[[#This Row],[考试日期]])*(表成绩单[历史]&lt;9E+307)*(表成绩单[历史]&gt;表成绩单[[#This Row],[历史]]))+1)</f>
        <v>766</v>
      </c>
      <c r="W2348" s="29" cm="1">
        <f t="array" ref="W2348">IF(表成绩单[[#This Row],[总分]]="","",SUMPRODUCT((表成绩单[考试日期]=表成绩单[[#This Row],[考试日期]])*(表成绩单[总分]&lt;9E+307)*(表成绩单[总分]&gt;表成绩单[[#This Row],[总分]]))+1)</f>
        <v>742</v>
      </c>
    </row>
    <row r="2349" ht="28" customHeight="1" spans="4:23">
      <c r="D2349" s="31">
        <v>46030</v>
      </c>
      <c r="E2349" s="29">
        <v>19175296</v>
      </c>
      <c r="F2349" s="29" t="s">
        <v>55</v>
      </c>
      <c r="G2349" s="29" t="s">
        <v>815</v>
      </c>
      <c r="H2349" s="29">
        <v>61</v>
      </c>
      <c r="I2349" s="29">
        <v>75</v>
      </c>
      <c r="J2349" s="29">
        <v>19</v>
      </c>
      <c r="K2349" s="29">
        <v>29</v>
      </c>
      <c r="L2349" s="29">
        <v>38</v>
      </c>
      <c r="M2349" s="29">
        <v>45</v>
      </c>
      <c r="N2349" s="29">
        <v>53</v>
      </c>
      <c r="O2349" s="32">
        <v>320</v>
      </c>
      <c r="P2349" s="29" cm="1">
        <f t="array" ref="P2349">IF(表成绩单[[#This Row],[语文]]="","",SUMPRODUCT((表成绩单[考试日期]=表成绩单[[#This Row],[考试日期]])*(表成绩单[语文]&lt;9E+307)*(表成绩单[语文]&gt;表成绩单[[#This Row],[语文]]))+1)</f>
        <v>769</v>
      </c>
      <c r="Q2349" s="29" cm="1">
        <f t="array" ref="Q2349">IF(表成绩单[[#This Row],[数学]]="","",SUMPRODUCT((表成绩单[考试日期]=表成绩单[[#This Row],[考试日期]])*(表成绩单[数学]&lt;9E+307)*(表成绩单[数学]&gt;表成绩单[[#This Row],[数学]]))+1)</f>
        <v>521</v>
      </c>
      <c r="R2349" s="29" cm="1">
        <f t="array" ref="R2349">IF(表成绩单[[#This Row],[英语]]="","",SUMPRODUCT((表成绩单[考试日期]=表成绩单[[#This Row],[考试日期]])*(表成绩单[英语]&lt;9E+307)*(表成绩单[英语]&gt;表成绩单[[#This Row],[英语]]))+1)</f>
        <v>778</v>
      </c>
      <c r="S2349" s="29" cm="1">
        <f t="array" ref="S2349">IF(表成绩单[[#This Row],[物理]]="","",SUMPRODUCT((表成绩单[考试日期]=表成绩单[[#This Row],[考试日期]])*(表成绩单[物理]&lt;9E+307)*(表成绩单[物理]&gt;表成绩单[[#This Row],[物理]]))+1)</f>
        <v>751</v>
      </c>
      <c r="T2349" s="29" cm="1">
        <f t="array" ref="T2349">IF(表成绩单[[#This Row],[化学]]="","",SUMPRODUCT((表成绩单[考试日期]=表成绩单[[#This Row],[考试日期]])*(表成绩单[化学]&lt;9E+307)*(表成绩单[化学]&gt;表成绩单[[#This Row],[化学]]))+1)</f>
        <v>748</v>
      </c>
      <c r="U2349" s="29" cm="1">
        <f t="array" ref="U2349">IF(表成绩单[[#This Row],[政治]]="","",SUMPRODUCT((表成绩单[考试日期]=表成绩单[[#This Row],[考试日期]])*(表成绩单[政治]&lt;9E+307)*(表成绩单[政治]&gt;表成绩单[[#This Row],[政治]]))+1)</f>
        <v>701</v>
      </c>
      <c r="V2349" s="29" cm="1">
        <f t="array" ref="V2349">IF(表成绩单[[#This Row],[历史]]="","",SUMPRODUCT((表成绩单[考试日期]=表成绩单[[#This Row],[考试日期]])*(表成绩单[历史]&lt;9E+307)*(表成绩单[历史]&gt;表成绩单[[#This Row],[历史]]))+1)</f>
        <v>690</v>
      </c>
      <c r="W2349" s="29" cm="1">
        <f t="array" ref="W2349">IF(表成绩单[[#This Row],[总分]]="","",SUMPRODUCT((表成绩单[考试日期]=表成绩单[[#This Row],[考试日期]])*(表成绩单[总分]&lt;9E+307)*(表成绩单[总分]&gt;表成绩单[[#This Row],[总分]]))+1)</f>
        <v>743</v>
      </c>
    </row>
    <row r="2350" ht="28" customHeight="1" spans="4:23">
      <c r="D2350" s="31">
        <v>46030</v>
      </c>
      <c r="E2350" s="29">
        <v>19176016</v>
      </c>
      <c r="F2350" s="29" t="s">
        <v>59</v>
      </c>
      <c r="G2350" s="29" t="s">
        <v>811</v>
      </c>
      <c r="H2350" s="29">
        <v>65</v>
      </c>
      <c r="I2350" s="29">
        <v>41</v>
      </c>
      <c r="J2350" s="29">
        <v>41</v>
      </c>
      <c r="K2350" s="29">
        <v>38</v>
      </c>
      <c r="L2350" s="29">
        <v>33</v>
      </c>
      <c r="M2350" s="29">
        <v>43</v>
      </c>
      <c r="N2350" s="29">
        <v>59</v>
      </c>
      <c r="O2350" s="32">
        <v>320</v>
      </c>
      <c r="P2350" s="29" cm="1">
        <f t="array" ref="P2350">IF(表成绩单[[#This Row],[语文]]="","",SUMPRODUCT((表成绩单[考试日期]=表成绩单[[#This Row],[考试日期]])*(表成绩单[语文]&lt;9E+307)*(表成绩单[语文]&gt;表成绩单[[#This Row],[语文]]))+1)</f>
        <v>759</v>
      </c>
      <c r="Q2350" s="29" cm="1">
        <f t="array" ref="Q2350">IF(表成绩单[[#This Row],[数学]]="","",SUMPRODUCT((表成绩单[考试日期]=表成绩单[[#This Row],[考试日期]])*(表成绩单[数学]&lt;9E+307)*(表成绩单[数学]&gt;表成绩单[[#This Row],[数学]]))+1)</f>
        <v>750</v>
      </c>
      <c r="R2350" s="29" cm="1">
        <f t="array" ref="R2350">IF(表成绩单[[#This Row],[英语]]="","",SUMPRODUCT((表成绩单[考试日期]=表成绩单[[#This Row],[考试日期]])*(表成绩单[英语]&lt;9E+307)*(表成绩单[英语]&gt;表成绩单[[#This Row],[英语]]))+1)</f>
        <v>715</v>
      </c>
      <c r="S2350" s="29" cm="1">
        <f t="array" ref="S2350">IF(表成绩单[[#This Row],[物理]]="","",SUMPRODUCT((表成绩单[考试日期]=表成绩单[[#This Row],[考试日期]])*(表成绩单[物理]&lt;9E+307)*(表成绩单[物理]&gt;表成绩单[[#This Row],[物理]]))+1)</f>
        <v>704</v>
      </c>
      <c r="T2350" s="29" cm="1">
        <f t="array" ref="T2350">IF(表成绩单[[#This Row],[化学]]="","",SUMPRODUCT((表成绩单[考试日期]=表成绩单[[#This Row],[考试日期]])*(表成绩单[化学]&lt;9E+307)*(表成绩单[化学]&gt;表成绩单[[#This Row],[化学]]))+1)</f>
        <v>768</v>
      </c>
      <c r="U2350" s="29" cm="1">
        <f t="array" ref="U2350">IF(表成绩单[[#This Row],[政治]]="","",SUMPRODUCT((表成绩单[考试日期]=表成绩单[[#This Row],[考试日期]])*(表成绩单[政治]&lt;9E+307)*(表成绩单[政治]&gt;表成绩单[[#This Row],[政治]]))+1)</f>
        <v>716</v>
      </c>
      <c r="V2350" s="29" cm="1">
        <f t="array" ref="V2350">IF(表成绩单[[#This Row],[历史]]="","",SUMPRODUCT((表成绩单[考试日期]=表成绩单[[#This Row],[考试日期]])*(表成绩单[历史]&lt;9E+307)*(表成绩单[历史]&gt;表成绩单[[#This Row],[历史]]))+1)</f>
        <v>601</v>
      </c>
      <c r="W2350" s="29" cm="1">
        <f t="array" ref="W2350">IF(表成绩单[[#This Row],[总分]]="","",SUMPRODUCT((表成绩单[考试日期]=表成绩单[[#This Row],[考试日期]])*(表成绩单[总分]&lt;9E+307)*(表成绩单[总分]&gt;表成绩单[[#This Row],[总分]]))+1)</f>
        <v>743</v>
      </c>
    </row>
    <row r="2351" ht="28" customHeight="1" spans="4:23">
      <c r="D2351" s="31">
        <v>46030</v>
      </c>
      <c r="E2351" s="29">
        <v>19173770</v>
      </c>
      <c r="F2351" s="29" t="s">
        <v>65</v>
      </c>
      <c r="G2351" s="29" t="s">
        <v>837</v>
      </c>
      <c r="H2351" s="29">
        <v>65</v>
      </c>
      <c r="I2351" s="29">
        <v>40</v>
      </c>
      <c r="J2351" s="29">
        <v>55.5</v>
      </c>
      <c r="K2351" s="29">
        <v>22</v>
      </c>
      <c r="L2351" s="29">
        <v>45</v>
      </c>
      <c r="M2351" s="29">
        <v>45</v>
      </c>
      <c r="N2351" s="29">
        <v>46</v>
      </c>
      <c r="O2351" s="32">
        <v>318.5</v>
      </c>
      <c r="P2351" s="29" cm="1">
        <f t="array" ref="P2351">IF(表成绩单[[#This Row],[语文]]="","",SUMPRODUCT((表成绩单[考试日期]=表成绩单[[#This Row],[考试日期]])*(表成绩单[语文]&lt;9E+307)*(表成绩单[语文]&gt;表成绩单[[#This Row],[语文]]))+1)</f>
        <v>759</v>
      </c>
      <c r="Q2351" s="29" cm="1">
        <f t="array" ref="Q2351">IF(表成绩单[[#This Row],[数学]]="","",SUMPRODUCT((表成绩单[考试日期]=表成绩单[[#This Row],[考试日期]])*(表成绩单[数学]&lt;9E+307)*(表成绩单[数学]&gt;表成绩单[[#This Row],[数学]]))+1)</f>
        <v>755</v>
      </c>
      <c r="R2351" s="29" cm="1">
        <f t="array" ref="R2351">IF(表成绩单[[#This Row],[英语]]="","",SUMPRODUCT((表成绩单[考试日期]=表成绩单[[#This Row],[考试日期]])*(表成绩单[英语]&lt;9E+307)*(表成绩单[英语]&gt;表成绩单[[#This Row],[英语]]))+1)</f>
        <v>588</v>
      </c>
      <c r="S2351" s="29" cm="1">
        <f t="array" ref="S2351">IF(表成绩单[[#This Row],[物理]]="","",SUMPRODUCT((表成绩单[考试日期]=表成绩单[[#This Row],[考试日期]])*(表成绩单[物理]&lt;9E+307)*(表成绩单[物理]&gt;表成绩单[[#This Row],[物理]]))+1)</f>
        <v>773</v>
      </c>
      <c r="T2351" s="29" cm="1">
        <f t="array" ref="T2351">IF(表成绩单[[#This Row],[化学]]="","",SUMPRODUCT((表成绩单[考试日期]=表成绩单[[#This Row],[考试日期]])*(表成绩单[化学]&lt;9E+307)*(表成绩单[化学]&gt;表成绩单[[#This Row],[化学]]))+1)</f>
        <v>711</v>
      </c>
      <c r="U2351" s="29" cm="1">
        <f t="array" ref="U2351">IF(表成绩单[[#This Row],[政治]]="","",SUMPRODUCT((表成绩单[考试日期]=表成绩单[[#This Row],[考试日期]])*(表成绩单[政治]&lt;9E+307)*(表成绩单[政治]&gt;表成绩单[[#This Row],[政治]]))+1)</f>
        <v>701</v>
      </c>
      <c r="V2351" s="29" cm="1">
        <f t="array" ref="V2351">IF(表成绩单[[#This Row],[历史]]="","",SUMPRODUCT((表成绩单[考试日期]=表成绩单[[#This Row],[考试日期]])*(表成绩单[历史]&lt;9E+307)*(表成绩单[历史]&gt;表成绩单[[#This Row],[历史]]))+1)</f>
        <v>742</v>
      </c>
      <c r="W2351" s="29" cm="1">
        <f t="array" ref="W2351">IF(表成绩单[[#This Row],[总分]]="","",SUMPRODUCT((表成绩单[考试日期]=表成绩单[[#This Row],[考试日期]])*(表成绩单[总分]&lt;9E+307)*(表成绩单[总分]&gt;表成绩单[[#This Row],[总分]]))+1)</f>
        <v>745</v>
      </c>
    </row>
    <row r="2352" ht="28" customHeight="1" spans="4:23">
      <c r="D2352" s="31">
        <v>46030</v>
      </c>
      <c r="E2352" s="29">
        <v>19177608</v>
      </c>
      <c r="F2352" s="29" t="s">
        <v>58</v>
      </c>
      <c r="G2352" s="29" t="s">
        <v>853</v>
      </c>
      <c r="H2352" s="29">
        <v>73</v>
      </c>
      <c r="I2352" s="29">
        <v>58</v>
      </c>
      <c r="J2352" s="29">
        <v>61</v>
      </c>
      <c r="K2352" s="29">
        <v>36</v>
      </c>
      <c r="L2352" s="29">
        <v>22</v>
      </c>
      <c r="M2352" s="29">
        <v>30</v>
      </c>
      <c r="N2352" s="29">
        <v>36</v>
      </c>
      <c r="O2352" s="32">
        <v>316</v>
      </c>
      <c r="P2352" s="29" cm="1">
        <f t="array" ref="P2352">IF(表成绩单[[#This Row],[语文]]="","",SUMPRODUCT((表成绩单[考试日期]=表成绩单[[#This Row],[考试日期]])*(表成绩单[语文]&lt;9E+307)*(表成绩单[语文]&gt;表成绩单[[#This Row],[语文]]))+1)</f>
        <v>722</v>
      </c>
      <c r="Q2352" s="29" cm="1">
        <f t="array" ref="Q2352">IF(表成绩单[[#This Row],[数学]]="","",SUMPRODUCT((表成绩单[考试日期]=表成绩单[[#This Row],[考试日期]])*(表成绩单[数学]&lt;9E+307)*(表成绩单[数学]&gt;表成绩单[[#This Row],[数学]]))+1)</f>
        <v>685</v>
      </c>
      <c r="R2352" s="29" cm="1">
        <f t="array" ref="R2352">IF(表成绩单[[#This Row],[英语]]="","",SUMPRODUCT((表成绩单[考试日期]=表成绩单[[#This Row],[考试日期]])*(表成绩单[英语]&lt;9E+307)*(表成绩单[英语]&gt;表成绩单[[#This Row],[英语]]))+1)</f>
        <v>507</v>
      </c>
      <c r="S2352" s="29" cm="1">
        <f t="array" ref="S2352">IF(表成绩单[[#This Row],[物理]]="","",SUMPRODUCT((表成绩单[考试日期]=表成绩单[[#This Row],[考试日期]])*(表成绩单[物理]&lt;9E+307)*(表成绩单[物理]&gt;表成绩单[[#This Row],[物理]]))+1)</f>
        <v>712</v>
      </c>
      <c r="T2352" s="29" cm="1">
        <f t="array" ref="T2352">IF(表成绩单[[#This Row],[化学]]="","",SUMPRODUCT((表成绩单[考试日期]=表成绩单[[#This Row],[考试日期]])*(表成绩单[化学]&lt;9E+307)*(表成绩单[化学]&gt;表成绩单[[#This Row],[化学]]))+1)</f>
        <v>784</v>
      </c>
      <c r="U2352" s="29" cm="1">
        <f t="array" ref="U2352">IF(表成绩单[[#This Row],[政治]]="","",SUMPRODUCT((表成绩单[考试日期]=表成绩单[[#This Row],[考试日期]])*(表成绩单[政治]&lt;9E+307)*(表成绩单[政治]&gt;表成绩单[[#This Row],[政治]]))+1)</f>
        <v>767</v>
      </c>
      <c r="V2352" s="29" cm="1">
        <f t="array" ref="V2352">IF(表成绩单[[#This Row],[历史]]="","",SUMPRODUCT((表成绩单[考试日期]=表成绩单[[#This Row],[考试日期]])*(表成绩单[历史]&lt;9E+307)*(表成绩单[历史]&gt;表成绩单[[#This Row],[历史]]))+1)</f>
        <v>770</v>
      </c>
      <c r="W2352" s="29" cm="1">
        <f t="array" ref="W2352">IF(表成绩单[[#This Row],[总分]]="","",SUMPRODUCT((表成绩单[考试日期]=表成绩单[[#This Row],[考试日期]])*(表成绩单[总分]&lt;9E+307)*(表成绩单[总分]&gt;表成绩单[[#This Row],[总分]]))+1)</f>
        <v>746</v>
      </c>
    </row>
    <row r="2353" ht="28" customHeight="1" spans="4:23">
      <c r="D2353" s="31">
        <v>46030</v>
      </c>
      <c r="E2353" s="29">
        <v>19177674</v>
      </c>
      <c r="F2353" s="29" t="s">
        <v>63</v>
      </c>
      <c r="G2353" s="29" t="s">
        <v>856</v>
      </c>
      <c r="H2353" s="29">
        <v>72</v>
      </c>
      <c r="I2353" s="29">
        <v>40</v>
      </c>
      <c r="J2353" s="29">
        <v>29.5</v>
      </c>
      <c r="K2353" s="29">
        <v>40</v>
      </c>
      <c r="L2353" s="29">
        <v>46</v>
      </c>
      <c r="M2353" s="29">
        <v>36</v>
      </c>
      <c r="N2353" s="29">
        <v>51</v>
      </c>
      <c r="O2353" s="32">
        <v>314.5</v>
      </c>
      <c r="P2353" s="29" cm="1">
        <f t="array" ref="P2353">IF(表成绩单[[#This Row],[语文]]="","",SUMPRODUCT((表成绩单[考试日期]=表成绩单[[#This Row],[考试日期]])*(表成绩单[语文]&lt;9E+307)*(表成绩单[语文]&gt;表成绩单[[#This Row],[语文]]))+1)</f>
        <v>731</v>
      </c>
      <c r="Q2353" s="29" cm="1">
        <f t="array" ref="Q2353">IF(表成绩单[[#This Row],[数学]]="","",SUMPRODUCT((表成绩单[考试日期]=表成绩单[[#This Row],[考试日期]])*(表成绩单[数学]&lt;9E+307)*(表成绩单[数学]&gt;表成绩单[[#This Row],[数学]]))+1)</f>
        <v>755</v>
      </c>
      <c r="R2353" s="29" cm="1">
        <f t="array" ref="R2353">IF(表成绩单[[#This Row],[英语]]="","",SUMPRODUCT((表成绩单[考试日期]=表成绩单[[#This Row],[考试日期]])*(表成绩单[英语]&lt;9E+307)*(表成绩单[英语]&gt;表成绩单[[#This Row],[英语]]))+1)</f>
        <v>762</v>
      </c>
      <c r="S2353" s="29" cm="1">
        <f t="array" ref="S2353">IF(表成绩单[[#This Row],[物理]]="","",SUMPRODUCT((表成绩单[考试日期]=表成绩单[[#This Row],[考试日期]])*(表成绩单[物理]&lt;9E+307)*(表成绩单[物理]&gt;表成绩单[[#This Row],[物理]]))+1)</f>
        <v>695</v>
      </c>
      <c r="T2353" s="29" cm="1">
        <f t="array" ref="T2353">IF(表成绩单[[#This Row],[化学]]="","",SUMPRODUCT((表成绩单[考试日期]=表成绩单[[#This Row],[考试日期]])*(表成绩单[化学]&lt;9E+307)*(表成绩单[化学]&gt;表成绩单[[#This Row],[化学]]))+1)</f>
        <v>704</v>
      </c>
      <c r="U2353" s="29" cm="1">
        <f t="array" ref="U2353">IF(表成绩单[[#This Row],[政治]]="","",SUMPRODUCT((表成绩单[考试日期]=表成绩单[[#This Row],[考试日期]])*(表成绩单[政治]&lt;9E+307)*(表成绩单[政治]&gt;表成绩单[[#This Row],[政治]]))+1)</f>
        <v>745</v>
      </c>
      <c r="V2353" s="29" cm="1">
        <f t="array" ref="V2353">IF(表成绩单[[#This Row],[历史]]="","",SUMPRODUCT((表成绩单[考试日期]=表成绩单[[#This Row],[考试日期]])*(表成绩单[历史]&lt;9E+307)*(表成绩单[历史]&gt;表成绩单[[#This Row],[历史]]))+1)</f>
        <v>714</v>
      </c>
      <c r="W2353" s="29" cm="1">
        <f t="array" ref="W2353">IF(表成绩单[[#This Row],[总分]]="","",SUMPRODUCT((表成绩单[考试日期]=表成绩单[[#This Row],[考试日期]])*(表成绩单[总分]&lt;9E+307)*(表成绩单[总分]&gt;表成绩单[[#This Row],[总分]]))+1)</f>
        <v>747</v>
      </c>
    </row>
    <row r="2354" ht="28" customHeight="1" spans="4:23">
      <c r="D2354" s="31">
        <v>46030</v>
      </c>
      <c r="E2354" s="29">
        <v>19175292</v>
      </c>
      <c r="F2354" s="29" t="s">
        <v>55</v>
      </c>
      <c r="G2354" s="29" t="s">
        <v>833</v>
      </c>
      <c r="H2354" s="29">
        <v>73</v>
      </c>
      <c r="I2354" s="29">
        <v>45</v>
      </c>
      <c r="J2354" s="29">
        <v>50.5</v>
      </c>
      <c r="K2354" s="29">
        <v>18</v>
      </c>
      <c r="L2354" s="29">
        <v>36</v>
      </c>
      <c r="M2354" s="29">
        <v>42</v>
      </c>
      <c r="N2354" s="29">
        <v>49</v>
      </c>
      <c r="O2354" s="32">
        <v>313.5</v>
      </c>
      <c r="P2354" s="29" cm="1">
        <f t="array" ref="P2354">IF(表成绩单[[#This Row],[语文]]="","",SUMPRODUCT((表成绩单[考试日期]=表成绩单[[#This Row],[考试日期]])*(表成绩单[语文]&lt;9E+307)*(表成绩单[语文]&gt;表成绩单[[#This Row],[语文]]))+1)</f>
        <v>722</v>
      </c>
      <c r="Q2354" s="29" cm="1">
        <f t="array" ref="Q2354">IF(表成绩单[[#This Row],[数学]]="","",SUMPRODUCT((表成绩单[考试日期]=表成绩单[[#This Row],[考试日期]])*(表成绩单[数学]&lt;9E+307)*(表成绩单[数学]&gt;表成绩单[[#This Row],[数学]]))+1)</f>
        <v>738</v>
      </c>
      <c r="R2354" s="29" cm="1">
        <f t="array" ref="R2354">IF(表成绩单[[#This Row],[英语]]="","",SUMPRODUCT((表成绩单[考试日期]=表成绩单[[#This Row],[考试日期]])*(表成绩单[英语]&lt;9E+307)*(表成绩单[英语]&gt;表成绩单[[#This Row],[英语]]))+1)</f>
        <v>643</v>
      </c>
      <c r="S2354" s="29" cm="1">
        <f t="array" ref="S2354">IF(表成绩单[[#This Row],[物理]]="","",SUMPRODUCT((表成绩单[考试日期]=表成绩单[[#This Row],[考试日期]])*(表成绩单[物理]&lt;9E+307)*(表成绩单[物理]&gt;表成绩单[[#This Row],[物理]]))+1)</f>
        <v>782</v>
      </c>
      <c r="T2354" s="29" cm="1">
        <f t="array" ref="T2354">IF(表成绩单[[#This Row],[化学]]="","",SUMPRODUCT((表成绩单[考试日期]=表成绩单[[#This Row],[考试日期]])*(表成绩单[化学]&lt;9E+307)*(表成绩单[化学]&gt;表成绩单[[#This Row],[化学]]))+1)</f>
        <v>756</v>
      </c>
      <c r="U2354" s="29" cm="1">
        <f t="array" ref="U2354">IF(表成绩单[[#This Row],[政治]]="","",SUMPRODUCT((表成绩单[考试日期]=表成绩单[[#This Row],[考试日期]])*(表成绩单[政治]&lt;9E+307)*(表成绩单[政治]&gt;表成绩单[[#This Row],[政治]]))+1)</f>
        <v>719</v>
      </c>
      <c r="V2354" s="29" cm="1">
        <f t="array" ref="V2354">IF(表成绩单[[#This Row],[历史]]="","",SUMPRODUCT((表成绩单[考试日期]=表成绩单[[#This Row],[考试日期]])*(表成绩单[历史]&lt;9E+307)*(表成绩单[历史]&gt;表成绩单[[#This Row],[历史]]))+1)</f>
        <v>728</v>
      </c>
      <c r="W2354" s="29" cm="1">
        <f t="array" ref="W2354">IF(表成绩单[[#This Row],[总分]]="","",SUMPRODUCT((表成绩单[考试日期]=表成绩单[[#This Row],[考试日期]])*(表成绩单[总分]&lt;9E+307)*(表成绩单[总分]&gt;表成绩单[[#This Row],[总分]]))+1)</f>
        <v>748</v>
      </c>
    </row>
    <row r="2355" ht="28" customHeight="1" spans="4:23">
      <c r="D2355" s="31">
        <v>46030</v>
      </c>
      <c r="E2355" s="29">
        <v>19177607</v>
      </c>
      <c r="F2355" s="29" t="s">
        <v>58</v>
      </c>
      <c r="G2355" s="29" t="s">
        <v>841</v>
      </c>
      <c r="H2355" s="29">
        <v>70</v>
      </c>
      <c r="I2355" s="29">
        <v>47</v>
      </c>
      <c r="J2355" s="29">
        <v>32.5</v>
      </c>
      <c r="K2355" s="29">
        <v>29</v>
      </c>
      <c r="L2355" s="29">
        <v>51</v>
      </c>
      <c r="M2355" s="29">
        <v>31</v>
      </c>
      <c r="N2355" s="29">
        <v>52</v>
      </c>
      <c r="O2355" s="32">
        <v>312.5</v>
      </c>
      <c r="P2355" s="29" cm="1">
        <f t="array" ref="P2355">IF(表成绩单[[#This Row],[语文]]="","",SUMPRODUCT((表成绩单[考试日期]=表成绩单[[#This Row],[考试日期]])*(表成绩单[语文]&lt;9E+307)*(表成绩单[语文]&gt;表成绩单[[#This Row],[语文]]))+1)</f>
        <v>742</v>
      </c>
      <c r="Q2355" s="29" cm="1">
        <f t="array" ref="Q2355">IF(表成绩单[[#This Row],[数学]]="","",SUMPRODUCT((表成绩单[考试日期]=表成绩单[[#This Row],[考试日期]])*(表成绩单[数学]&lt;9E+307)*(表成绩单[数学]&gt;表成绩单[[#This Row],[数学]]))+1)</f>
        <v>734</v>
      </c>
      <c r="R2355" s="29" cm="1">
        <f t="array" ref="R2355">IF(表成绩单[[#This Row],[英语]]="","",SUMPRODUCT((表成绩单[考试日期]=表成绩单[[#This Row],[考试日期]])*(表成绩单[英语]&lt;9E+307)*(表成绩单[英语]&gt;表成绩单[[#This Row],[英语]]))+1)</f>
        <v>753</v>
      </c>
      <c r="S2355" s="29" cm="1">
        <f t="array" ref="S2355">IF(表成绩单[[#This Row],[物理]]="","",SUMPRODUCT((表成绩单[考试日期]=表成绩单[[#This Row],[考试日期]])*(表成绩单[物理]&lt;9E+307)*(表成绩单[物理]&gt;表成绩单[[#This Row],[物理]]))+1)</f>
        <v>751</v>
      </c>
      <c r="T2355" s="29" cm="1">
        <f t="array" ref="T2355">IF(表成绩单[[#This Row],[化学]]="","",SUMPRODUCT((表成绩单[考试日期]=表成绩单[[#This Row],[考试日期]])*(表成绩单[化学]&lt;9E+307)*(表成绩单[化学]&gt;表成绩单[[#This Row],[化学]]))+1)</f>
        <v>648</v>
      </c>
      <c r="U2355" s="29" cm="1">
        <f t="array" ref="U2355">IF(表成绩单[[#This Row],[政治]]="","",SUMPRODUCT((表成绩单[考试日期]=表成绩单[[#This Row],[考试日期]])*(表成绩单[政治]&lt;9E+307)*(表成绩单[政治]&gt;表成绩单[[#This Row],[政治]]))+1)</f>
        <v>766</v>
      </c>
      <c r="V2355" s="29" cm="1">
        <f t="array" ref="V2355">IF(表成绩单[[#This Row],[历史]]="","",SUMPRODUCT((表成绩单[考试日期]=表成绩单[[#This Row],[考试日期]])*(表成绩单[历史]&lt;9E+307)*(表成绩单[历史]&gt;表成绩单[[#This Row],[历史]]))+1)</f>
        <v>701</v>
      </c>
      <c r="W2355" s="29" cm="1">
        <f t="array" ref="W2355">IF(表成绩单[[#This Row],[总分]]="","",SUMPRODUCT((表成绩单[考试日期]=表成绩单[[#This Row],[考试日期]])*(表成绩单[总分]&lt;9E+307)*(表成绩单[总分]&gt;表成绩单[[#This Row],[总分]]))+1)</f>
        <v>749</v>
      </c>
    </row>
    <row r="2356" ht="28" customHeight="1" spans="4:23">
      <c r="D2356" s="31">
        <v>46030</v>
      </c>
      <c r="E2356" s="29">
        <v>19175613</v>
      </c>
      <c r="F2356" s="29" t="s">
        <v>57</v>
      </c>
      <c r="G2356" s="29" t="s">
        <v>854</v>
      </c>
      <c r="H2356" s="29">
        <v>75</v>
      </c>
      <c r="I2356" s="29">
        <v>42</v>
      </c>
      <c r="J2356" s="29">
        <v>31</v>
      </c>
      <c r="K2356" s="29">
        <v>29</v>
      </c>
      <c r="L2356" s="29">
        <v>47</v>
      </c>
      <c r="M2356" s="29">
        <v>34</v>
      </c>
      <c r="N2356" s="29">
        <v>52</v>
      </c>
      <c r="O2356" s="32">
        <v>310</v>
      </c>
      <c r="P2356" s="29" cm="1">
        <f t="array" ref="P2356">IF(表成绩单[[#This Row],[语文]]="","",SUMPRODUCT((表成绩单[考试日期]=表成绩单[[#This Row],[考试日期]])*(表成绩单[语文]&lt;9E+307)*(表成绩单[语文]&gt;表成绩单[[#This Row],[语文]]))+1)</f>
        <v>714</v>
      </c>
      <c r="Q2356" s="29" cm="1">
        <f t="array" ref="Q2356">IF(表成绩单[[#This Row],[数学]]="","",SUMPRODUCT((表成绩单[考试日期]=表成绩单[[#This Row],[考试日期]])*(表成绩单[数学]&lt;9E+307)*(表成绩单[数学]&gt;表成绩单[[#This Row],[数学]]))+1)</f>
        <v>748</v>
      </c>
      <c r="R2356" s="29" cm="1">
        <f t="array" ref="R2356">IF(表成绩单[[#This Row],[英语]]="","",SUMPRODUCT((表成绩单[考试日期]=表成绩单[[#This Row],[考试日期]])*(表成绩单[英语]&lt;9E+307)*(表成绩单[英语]&gt;表成绩单[[#This Row],[英语]]))+1)</f>
        <v>756</v>
      </c>
      <c r="S2356" s="29" cm="1">
        <f t="array" ref="S2356">IF(表成绩单[[#This Row],[物理]]="","",SUMPRODUCT((表成绩单[考试日期]=表成绩单[[#This Row],[考试日期]])*(表成绩单[物理]&lt;9E+307)*(表成绩单[物理]&gt;表成绩单[[#This Row],[物理]]))+1)</f>
        <v>751</v>
      </c>
      <c r="T2356" s="29" cm="1">
        <f t="array" ref="T2356">IF(表成绩单[[#This Row],[化学]]="","",SUMPRODUCT((表成绩单[考试日期]=表成绩单[[#This Row],[考试日期]])*(表成绩单[化学]&lt;9E+307)*(表成绩单[化学]&gt;表成绩单[[#This Row],[化学]]))+1)</f>
        <v>694</v>
      </c>
      <c r="U2356" s="29" cm="1">
        <f t="array" ref="U2356">IF(表成绩单[[#This Row],[政治]]="","",SUMPRODUCT((表成绩单[考试日期]=表成绩单[[#This Row],[考试日期]])*(表成绩单[政治]&lt;9E+307)*(表成绩单[政治]&gt;表成绩单[[#This Row],[政治]]))+1)</f>
        <v>755</v>
      </c>
      <c r="V2356" s="29" cm="1">
        <f t="array" ref="V2356">IF(表成绩单[[#This Row],[历史]]="","",SUMPRODUCT((表成绩单[考试日期]=表成绩单[[#This Row],[考试日期]])*(表成绩单[历史]&lt;9E+307)*(表成绩单[历史]&gt;表成绩单[[#This Row],[历史]]))+1)</f>
        <v>701</v>
      </c>
      <c r="W2356" s="29" cm="1">
        <f t="array" ref="W2356">IF(表成绩单[[#This Row],[总分]]="","",SUMPRODUCT((表成绩单[考试日期]=表成绩单[[#This Row],[考试日期]])*(表成绩单[总分]&lt;9E+307)*(表成绩单[总分]&gt;表成绩单[[#This Row],[总分]]))+1)</f>
        <v>750</v>
      </c>
    </row>
    <row r="2357" ht="28" customHeight="1" spans="4:23">
      <c r="D2357" s="31">
        <v>46030</v>
      </c>
      <c r="E2357" s="29">
        <v>19175328</v>
      </c>
      <c r="F2357" s="29" t="s">
        <v>55</v>
      </c>
      <c r="G2357" s="29" t="s">
        <v>848</v>
      </c>
      <c r="H2357" s="29">
        <v>73</v>
      </c>
      <c r="I2357" s="29">
        <v>41</v>
      </c>
      <c r="J2357" s="29">
        <v>21.5</v>
      </c>
      <c r="K2357" s="29">
        <v>28</v>
      </c>
      <c r="L2357" s="29">
        <v>51</v>
      </c>
      <c r="M2357" s="29">
        <v>42</v>
      </c>
      <c r="N2357" s="29">
        <v>53</v>
      </c>
      <c r="O2357" s="32">
        <v>309.5</v>
      </c>
      <c r="P2357" s="29" cm="1">
        <f t="array" ref="P2357">IF(表成绩单[[#This Row],[语文]]="","",SUMPRODUCT((表成绩单[考试日期]=表成绩单[[#This Row],[考试日期]])*(表成绩单[语文]&lt;9E+307)*(表成绩单[语文]&gt;表成绩单[[#This Row],[语文]]))+1)</f>
        <v>722</v>
      </c>
      <c r="Q2357" s="29" cm="1">
        <f t="array" ref="Q2357">IF(表成绩单[[#This Row],[数学]]="","",SUMPRODUCT((表成绩单[考试日期]=表成绩单[[#This Row],[考试日期]])*(表成绩单[数学]&lt;9E+307)*(表成绩单[数学]&gt;表成绩单[[#This Row],[数学]]))+1)</f>
        <v>750</v>
      </c>
      <c r="R2357" s="29" cm="1">
        <f t="array" ref="R2357">IF(表成绩单[[#This Row],[英语]]="","",SUMPRODUCT((表成绩单[考试日期]=表成绩单[[#This Row],[考试日期]])*(表成绩单[英语]&lt;9E+307)*(表成绩单[英语]&gt;表成绩单[[#This Row],[英语]]))+1)</f>
        <v>775</v>
      </c>
      <c r="S2357" s="29" cm="1">
        <f t="array" ref="S2357">IF(表成绩单[[#This Row],[物理]]="","",SUMPRODUCT((表成绩单[考试日期]=表成绩单[[#This Row],[考试日期]])*(表成绩单[物理]&lt;9E+307)*(表成绩单[物理]&gt;表成绩单[[#This Row],[物理]]))+1)</f>
        <v>755</v>
      </c>
      <c r="T2357" s="29" cm="1">
        <f t="array" ref="T2357">IF(表成绩单[[#This Row],[化学]]="","",SUMPRODUCT((表成绩单[考试日期]=表成绩单[[#This Row],[考试日期]])*(表成绩单[化学]&lt;9E+307)*(表成绩单[化学]&gt;表成绩单[[#This Row],[化学]]))+1)</f>
        <v>648</v>
      </c>
      <c r="U2357" s="29" cm="1">
        <f t="array" ref="U2357">IF(表成绩单[[#This Row],[政治]]="","",SUMPRODUCT((表成绩单[考试日期]=表成绩单[[#This Row],[考试日期]])*(表成绩单[政治]&lt;9E+307)*(表成绩单[政治]&gt;表成绩单[[#This Row],[政治]]))+1)</f>
        <v>719</v>
      </c>
      <c r="V2357" s="29" cm="1">
        <f t="array" ref="V2357">IF(表成绩单[[#This Row],[历史]]="","",SUMPRODUCT((表成绩单[考试日期]=表成绩单[[#This Row],[考试日期]])*(表成绩单[历史]&lt;9E+307)*(表成绩单[历史]&gt;表成绩单[[#This Row],[历史]]))+1)</f>
        <v>690</v>
      </c>
      <c r="W2357" s="29" cm="1">
        <f t="array" ref="W2357">IF(表成绩单[[#This Row],[总分]]="","",SUMPRODUCT((表成绩单[考试日期]=表成绩单[[#This Row],[考试日期]])*(表成绩单[总分]&lt;9E+307)*(表成绩单[总分]&gt;表成绩单[[#This Row],[总分]]))+1)</f>
        <v>751</v>
      </c>
    </row>
    <row r="2358" ht="28" customHeight="1" spans="4:23">
      <c r="D2358" s="31">
        <v>46030</v>
      </c>
      <c r="E2358" s="29">
        <v>19175599</v>
      </c>
      <c r="F2358" s="29" t="s">
        <v>57</v>
      </c>
      <c r="G2358" s="29" t="s">
        <v>850</v>
      </c>
      <c r="H2358" s="29">
        <v>84</v>
      </c>
      <c r="I2358" s="29">
        <v>42</v>
      </c>
      <c r="J2358" s="29">
        <v>46</v>
      </c>
      <c r="K2358" s="29">
        <v>41</v>
      </c>
      <c r="L2358" s="29">
        <v>26</v>
      </c>
      <c r="M2358" s="29">
        <v>37</v>
      </c>
      <c r="N2358" s="29">
        <v>32</v>
      </c>
      <c r="O2358" s="32">
        <v>308</v>
      </c>
      <c r="P2358" s="29" cm="1">
        <f t="array" ref="P2358">IF(表成绩单[[#This Row],[语文]]="","",SUMPRODUCT((表成绩单[考试日期]=表成绩单[[#This Row],[考试日期]])*(表成绩单[语文]&lt;9E+307)*(表成绩单[语文]&gt;表成绩单[[#This Row],[语文]]))+1)</f>
        <v>635</v>
      </c>
      <c r="Q2358" s="29" cm="1">
        <f t="array" ref="Q2358">IF(表成绩单[[#This Row],[数学]]="","",SUMPRODUCT((表成绩单[考试日期]=表成绩单[[#This Row],[考试日期]])*(表成绩单[数学]&lt;9E+307)*(表成绩单[数学]&gt;表成绩单[[#This Row],[数学]]))+1)</f>
        <v>748</v>
      </c>
      <c r="R2358" s="29" cm="1">
        <f t="array" ref="R2358">IF(表成绩单[[#This Row],[英语]]="","",SUMPRODUCT((表成绩单[考试日期]=表成绩单[[#This Row],[考试日期]])*(表成绩单[英语]&lt;9E+307)*(表成绩单[英语]&gt;表成绩单[[#This Row],[英语]]))+1)</f>
        <v>682</v>
      </c>
      <c r="S2358" s="29" cm="1">
        <f t="array" ref="S2358">IF(表成绩单[[#This Row],[物理]]="","",SUMPRODUCT((表成绩单[考试日期]=表成绩单[[#This Row],[考试日期]])*(表成绩单[物理]&lt;9E+307)*(表成绩单[物理]&gt;表成绩单[[#This Row],[物理]]))+1)</f>
        <v>687</v>
      </c>
      <c r="T2358" s="29" cm="1">
        <f t="array" ref="T2358">IF(表成绩单[[#This Row],[化学]]="","",SUMPRODUCT((表成绩单[考试日期]=表成绩单[[#This Row],[考试日期]])*(表成绩单[化学]&lt;9E+307)*(表成绩单[化学]&gt;表成绩单[[#This Row],[化学]]))+1)</f>
        <v>778</v>
      </c>
      <c r="U2358" s="29" cm="1">
        <f t="array" ref="U2358">IF(表成绩单[[#This Row],[政治]]="","",SUMPRODUCT((表成绩单[考试日期]=表成绩单[[#This Row],[考试日期]])*(表成绩单[政治]&lt;9E+307)*(表成绩单[政治]&gt;表成绩单[[#This Row],[政治]]))+1)</f>
        <v>739</v>
      </c>
      <c r="V2358" s="29" cm="1">
        <f t="array" ref="V2358">IF(表成绩单[[#This Row],[历史]]="","",SUMPRODUCT((表成绩单[考试日期]=表成绩单[[#This Row],[考试日期]])*(表成绩单[历史]&lt;9E+307)*(表成绩单[历史]&gt;表成绩单[[#This Row],[历史]]))+1)</f>
        <v>779</v>
      </c>
      <c r="W2358" s="29" cm="1">
        <f t="array" ref="W2358">IF(表成绩单[[#This Row],[总分]]="","",SUMPRODUCT((表成绩单[考试日期]=表成绩单[[#This Row],[考试日期]])*(表成绩单[总分]&lt;9E+307)*(表成绩单[总分]&gt;表成绩单[[#This Row],[总分]]))+1)</f>
        <v>752</v>
      </c>
    </row>
    <row r="2359" ht="28" customHeight="1" spans="4:23">
      <c r="D2359" s="31">
        <v>46030</v>
      </c>
      <c r="E2359" s="29">
        <v>19175597</v>
      </c>
      <c r="F2359" s="29" t="s">
        <v>57</v>
      </c>
      <c r="G2359" s="29" t="s">
        <v>845</v>
      </c>
      <c r="H2359" s="29">
        <v>84</v>
      </c>
      <c r="I2359" s="29">
        <v>31</v>
      </c>
      <c r="J2359" s="29">
        <v>22</v>
      </c>
      <c r="K2359" s="29">
        <v>29</v>
      </c>
      <c r="L2359" s="29">
        <v>58</v>
      </c>
      <c r="M2359" s="29">
        <v>34</v>
      </c>
      <c r="N2359" s="29">
        <v>49</v>
      </c>
      <c r="O2359" s="32">
        <v>307</v>
      </c>
      <c r="P2359" s="29" cm="1">
        <f t="array" ref="P2359">IF(表成绩单[[#This Row],[语文]]="","",SUMPRODUCT((表成绩单[考试日期]=表成绩单[[#This Row],[考试日期]])*(表成绩单[语文]&lt;9E+307)*(表成绩单[语文]&gt;表成绩单[[#This Row],[语文]]))+1)</f>
        <v>635</v>
      </c>
      <c r="Q2359" s="29" cm="1">
        <f t="array" ref="Q2359">IF(表成绩单[[#This Row],[数学]]="","",SUMPRODUCT((表成绩单[考试日期]=表成绩单[[#This Row],[考试日期]])*(表成绩单[数学]&lt;9E+307)*(表成绩单[数学]&gt;表成绩单[[#This Row],[数学]]))+1)</f>
        <v>773</v>
      </c>
      <c r="R2359" s="29" cm="1">
        <f t="array" ref="R2359">IF(表成绩单[[#This Row],[英语]]="","",SUMPRODUCT((表成绩单[考试日期]=表成绩单[[#This Row],[考试日期]])*(表成绩单[英语]&lt;9E+307)*(表成绩单[英语]&gt;表成绩单[[#This Row],[英语]]))+1)</f>
        <v>774</v>
      </c>
      <c r="S2359" s="29" cm="1">
        <f t="array" ref="S2359">IF(表成绩单[[#This Row],[物理]]="","",SUMPRODUCT((表成绩单[考试日期]=表成绩单[[#This Row],[考试日期]])*(表成绩单[物理]&lt;9E+307)*(表成绩单[物理]&gt;表成绩单[[#This Row],[物理]]))+1)</f>
        <v>751</v>
      </c>
      <c r="T2359" s="29" cm="1">
        <f t="array" ref="T2359">IF(表成绩单[[#This Row],[化学]]="","",SUMPRODUCT((表成绩单[考试日期]=表成绩单[[#This Row],[考试日期]])*(表成绩单[化学]&lt;9E+307)*(表成绩单[化学]&gt;表成绩单[[#This Row],[化学]]))+1)</f>
        <v>558</v>
      </c>
      <c r="U2359" s="29" cm="1">
        <f t="array" ref="U2359">IF(表成绩单[[#This Row],[政治]]="","",SUMPRODUCT((表成绩单[考试日期]=表成绩单[[#This Row],[考试日期]])*(表成绩单[政治]&lt;9E+307)*(表成绩单[政治]&gt;表成绩单[[#This Row],[政治]]))+1)</f>
        <v>755</v>
      </c>
      <c r="V2359" s="29" cm="1">
        <f t="array" ref="V2359">IF(表成绩单[[#This Row],[历史]]="","",SUMPRODUCT((表成绩单[考试日期]=表成绩单[[#This Row],[考试日期]])*(表成绩单[历史]&lt;9E+307)*(表成绩单[历史]&gt;表成绩单[[#This Row],[历史]]))+1)</f>
        <v>728</v>
      </c>
      <c r="W2359" s="29" cm="1">
        <f t="array" ref="W2359">IF(表成绩单[[#This Row],[总分]]="","",SUMPRODUCT((表成绩单[考试日期]=表成绩单[[#This Row],[考试日期]])*(表成绩单[总分]&lt;9E+307)*(表成绩单[总分]&gt;表成绩单[[#This Row],[总分]]))+1)</f>
        <v>753</v>
      </c>
    </row>
    <row r="2360" ht="28" customHeight="1" spans="4:23">
      <c r="D2360" s="31">
        <v>46030</v>
      </c>
      <c r="E2360" s="29">
        <v>19175592</v>
      </c>
      <c r="F2360" s="29" t="s">
        <v>57</v>
      </c>
      <c r="G2360" s="29" t="s">
        <v>875</v>
      </c>
      <c r="H2360" s="29">
        <v>72</v>
      </c>
      <c r="I2360" s="29">
        <v>41</v>
      </c>
      <c r="J2360" s="29">
        <v>21</v>
      </c>
      <c r="K2360" s="29">
        <v>30</v>
      </c>
      <c r="L2360" s="29">
        <v>45</v>
      </c>
      <c r="M2360" s="29">
        <v>35</v>
      </c>
      <c r="N2360" s="29">
        <v>59</v>
      </c>
      <c r="O2360" s="32">
        <v>303</v>
      </c>
      <c r="P2360" s="29" cm="1">
        <f t="array" ref="P2360">IF(表成绩单[[#This Row],[语文]]="","",SUMPRODUCT((表成绩单[考试日期]=表成绩单[[#This Row],[考试日期]])*(表成绩单[语文]&lt;9E+307)*(表成绩单[语文]&gt;表成绩单[[#This Row],[语文]]))+1)</f>
        <v>731</v>
      </c>
      <c r="Q2360" s="29" cm="1">
        <f t="array" ref="Q2360">IF(表成绩单[[#This Row],[数学]]="","",SUMPRODUCT((表成绩单[考试日期]=表成绩单[[#This Row],[考试日期]])*(表成绩单[数学]&lt;9E+307)*(表成绩单[数学]&gt;表成绩单[[#This Row],[数学]]))+1)</f>
        <v>750</v>
      </c>
      <c r="R2360" s="29" cm="1">
        <f t="array" ref="R2360">IF(表成绩单[[#This Row],[英语]]="","",SUMPRODUCT((表成绩单[考试日期]=表成绩单[[#This Row],[考试日期]])*(表成绩单[英语]&lt;9E+307)*(表成绩单[英语]&gt;表成绩单[[#This Row],[英语]]))+1)</f>
        <v>776</v>
      </c>
      <c r="S2360" s="29" cm="1">
        <f t="array" ref="S2360">IF(表成绩单[[#This Row],[物理]]="","",SUMPRODUCT((表成绩单[考试日期]=表成绩单[[#This Row],[考试日期]])*(表成绩单[物理]&lt;9E+307)*(表成绩单[物理]&gt;表成绩单[[#This Row],[物理]]))+1)</f>
        <v>747</v>
      </c>
      <c r="T2360" s="29" cm="1">
        <f t="array" ref="T2360">IF(表成绩单[[#This Row],[化学]]="","",SUMPRODUCT((表成绩单[考试日期]=表成绩单[[#This Row],[考试日期]])*(表成绩单[化学]&lt;9E+307)*(表成绩单[化学]&gt;表成绩单[[#This Row],[化学]]))+1)</f>
        <v>711</v>
      </c>
      <c r="U2360" s="29" cm="1">
        <f t="array" ref="U2360">IF(表成绩单[[#This Row],[政治]]="","",SUMPRODUCT((表成绩单[考试日期]=表成绩单[[#This Row],[考试日期]])*(表成绩单[政治]&lt;9E+307)*(表成绩单[政治]&gt;表成绩单[[#This Row],[政治]]))+1)</f>
        <v>752</v>
      </c>
      <c r="V2360" s="29" cm="1">
        <f t="array" ref="V2360">IF(表成绩单[[#This Row],[历史]]="","",SUMPRODUCT((表成绩单[考试日期]=表成绩单[[#This Row],[考试日期]])*(表成绩单[历史]&lt;9E+307)*(表成绩单[历史]&gt;表成绩单[[#This Row],[历史]]))+1)</f>
        <v>601</v>
      </c>
      <c r="W2360" s="29" cm="1">
        <f t="array" ref="W2360">IF(表成绩单[[#This Row],[总分]]="","",SUMPRODUCT((表成绩单[考试日期]=表成绩单[[#This Row],[考试日期]])*(表成绩单[总分]&lt;9E+307)*(表成绩单[总分]&gt;表成绩单[[#This Row],[总分]]))+1)</f>
        <v>754</v>
      </c>
    </row>
    <row r="2361" ht="28" customHeight="1" spans="4:23">
      <c r="D2361" s="31">
        <v>46030</v>
      </c>
      <c r="E2361" s="29">
        <v>19175303</v>
      </c>
      <c r="F2361" s="29" t="s">
        <v>55</v>
      </c>
      <c r="G2361" s="29" t="s">
        <v>823</v>
      </c>
      <c r="H2361" s="29">
        <v>63</v>
      </c>
      <c r="I2361" s="29">
        <v>51</v>
      </c>
      <c r="J2361" s="29">
        <v>37.5</v>
      </c>
      <c r="K2361" s="29">
        <v>28</v>
      </c>
      <c r="L2361" s="29">
        <v>30</v>
      </c>
      <c r="M2361" s="29">
        <v>30</v>
      </c>
      <c r="N2361" s="29">
        <v>63</v>
      </c>
      <c r="O2361" s="32">
        <v>302.5</v>
      </c>
      <c r="P2361" s="29" cm="1">
        <f t="array" ref="P2361">IF(表成绩单[[#This Row],[语文]]="","",SUMPRODUCT((表成绩单[考试日期]=表成绩单[[#This Row],[考试日期]])*(表成绩单[语文]&lt;9E+307)*(表成绩单[语文]&gt;表成绩单[[#This Row],[语文]]))+1)</f>
        <v>766</v>
      </c>
      <c r="Q2361" s="29" cm="1">
        <f t="array" ref="Q2361">IF(表成绩单[[#This Row],[数学]]="","",SUMPRODUCT((表成绩单[考试日期]=表成绩单[[#This Row],[考试日期]])*(表成绩单[数学]&lt;9E+307)*(表成绩单[数学]&gt;表成绩单[[#This Row],[数学]]))+1)</f>
        <v>724</v>
      </c>
      <c r="R2361" s="29" cm="1">
        <f t="array" ref="R2361">IF(表成绩单[[#This Row],[英语]]="","",SUMPRODUCT((表成绩单[考试日期]=表成绩单[[#This Row],[考试日期]])*(表成绩单[英语]&lt;9E+307)*(表成绩单[英语]&gt;表成绩单[[#This Row],[英语]]))+1)</f>
        <v>734</v>
      </c>
      <c r="S2361" s="29" cm="1">
        <f t="array" ref="S2361">IF(表成绩单[[#This Row],[物理]]="","",SUMPRODUCT((表成绩单[考试日期]=表成绩单[[#This Row],[考试日期]])*(表成绩单[物理]&lt;9E+307)*(表成绩单[物理]&gt;表成绩单[[#This Row],[物理]]))+1)</f>
        <v>755</v>
      </c>
      <c r="T2361" s="29" cm="1">
        <f t="array" ref="T2361">IF(表成绩单[[#This Row],[化学]]="","",SUMPRODUCT((表成绩单[考试日期]=表成绩单[[#This Row],[考试日期]])*(表成绩单[化学]&lt;9E+307)*(表成绩单[化学]&gt;表成绩单[[#This Row],[化学]]))+1)</f>
        <v>772</v>
      </c>
      <c r="U2361" s="29" cm="1">
        <f t="array" ref="U2361">IF(表成绩单[[#This Row],[政治]]="","",SUMPRODUCT((表成绩单[考试日期]=表成绩单[[#This Row],[考试日期]])*(表成绩单[政治]&lt;9E+307)*(表成绩单[政治]&gt;表成绩单[[#This Row],[政治]]))+1)</f>
        <v>767</v>
      </c>
      <c r="V2361" s="29" cm="1">
        <f t="array" ref="V2361">IF(表成绩单[[#This Row],[历史]]="","",SUMPRODUCT((表成绩单[考试日期]=表成绩单[[#This Row],[考试日期]])*(表成绩单[历史]&lt;9E+307)*(表成绩单[历史]&gt;表成绩单[[#This Row],[历史]]))+1)</f>
        <v>521</v>
      </c>
      <c r="W2361" s="29" cm="1">
        <f t="array" ref="W2361">IF(表成绩单[[#This Row],[总分]]="","",SUMPRODUCT((表成绩单[考试日期]=表成绩单[[#This Row],[考试日期]])*(表成绩单[总分]&lt;9E+307)*(表成绩单[总分]&gt;表成绩单[[#This Row],[总分]]))+1)</f>
        <v>755</v>
      </c>
    </row>
    <row r="2362" ht="28" customHeight="1" spans="4:23">
      <c r="D2362" s="31">
        <v>46030</v>
      </c>
      <c r="E2362" s="29">
        <v>19175989</v>
      </c>
      <c r="F2362" s="29" t="s">
        <v>59</v>
      </c>
      <c r="G2362" s="29" t="s">
        <v>839</v>
      </c>
      <c r="H2362" s="29">
        <v>65</v>
      </c>
      <c r="I2362" s="29">
        <v>45</v>
      </c>
      <c r="J2362" s="29">
        <v>30.5</v>
      </c>
      <c r="K2362" s="29">
        <v>27</v>
      </c>
      <c r="L2362" s="29">
        <v>37</v>
      </c>
      <c r="M2362" s="29">
        <v>51</v>
      </c>
      <c r="N2362" s="29">
        <v>42</v>
      </c>
      <c r="O2362" s="32">
        <v>297.5</v>
      </c>
      <c r="P2362" s="29" cm="1">
        <f t="array" ref="P2362">IF(表成绩单[[#This Row],[语文]]="","",SUMPRODUCT((表成绩单[考试日期]=表成绩单[[#This Row],[考试日期]])*(表成绩单[语文]&lt;9E+307)*(表成绩单[语文]&gt;表成绩单[[#This Row],[语文]]))+1)</f>
        <v>759</v>
      </c>
      <c r="Q2362" s="29" cm="1">
        <f t="array" ref="Q2362">IF(表成绩单[[#This Row],[数学]]="","",SUMPRODUCT((表成绩单[考试日期]=表成绩单[[#This Row],[考试日期]])*(表成绩单[数学]&lt;9E+307)*(表成绩单[数学]&gt;表成绩单[[#This Row],[数学]]))+1)</f>
        <v>738</v>
      </c>
      <c r="R2362" s="29" cm="1">
        <f t="array" ref="R2362">IF(表成绩单[[#This Row],[英语]]="","",SUMPRODUCT((表成绩单[考试日期]=表成绩单[[#This Row],[考试日期]])*(表成绩单[英语]&lt;9E+307)*(表成绩单[英语]&gt;表成绩单[[#This Row],[英语]]))+1)</f>
        <v>758</v>
      </c>
      <c r="S2362" s="29" cm="1">
        <f t="array" ref="S2362">IF(表成绩单[[#This Row],[物理]]="","",SUMPRODUCT((表成绩单[考试日期]=表成绩单[[#This Row],[考试日期]])*(表成绩单[物理]&lt;9E+307)*(表成绩单[物理]&gt;表成绩单[[#This Row],[物理]]))+1)</f>
        <v>762</v>
      </c>
      <c r="T2362" s="29" cm="1">
        <f t="array" ref="T2362">IF(表成绩单[[#This Row],[化学]]="","",SUMPRODUCT((表成绩单[考试日期]=表成绩单[[#This Row],[考试日期]])*(表成绩单[化学]&lt;9E+307)*(表成绩单[化学]&gt;表成绩单[[#This Row],[化学]]))+1)</f>
        <v>754</v>
      </c>
      <c r="U2362" s="29" cm="1">
        <f t="array" ref="U2362">IF(表成绩单[[#This Row],[政治]]="","",SUMPRODUCT((表成绩单[考试日期]=表成绩单[[#This Row],[考试日期]])*(表成绩单[政治]&lt;9E+307)*(表成绩单[政治]&gt;表成绩单[[#This Row],[政治]]))+1)</f>
        <v>651</v>
      </c>
      <c r="V2362" s="29" cm="1">
        <f t="array" ref="V2362">IF(表成绩单[[#This Row],[历史]]="","",SUMPRODUCT((表成绩单[考试日期]=表成绩单[[#This Row],[考试日期]])*(表成绩单[历史]&lt;9E+307)*(表成绩单[历史]&gt;表成绩单[[#This Row],[历史]]))+1)</f>
        <v>756</v>
      </c>
      <c r="W2362" s="29" cm="1">
        <f t="array" ref="W2362">IF(表成绩单[[#This Row],[总分]]="","",SUMPRODUCT((表成绩单[考试日期]=表成绩单[[#This Row],[考试日期]])*(表成绩单[总分]&lt;9E+307)*(表成绩单[总分]&gt;表成绩单[[#This Row],[总分]]))+1)</f>
        <v>756</v>
      </c>
    </row>
    <row r="2363" ht="28" customHeight="1" spans="4:23">
      <c r="D2363" s="31">
        <v>46030</v>
      </c>
      <c r="E2363" s="29">
        <v>19177615</v>
      </c>
      <c r="F2363" s="29" t="s">
        <v>58</v>
      </c>
      <c r="G2363" s="29" t="s">
        <v>844</v>
      </c>
      <c r="H2363" s="29">
        <v>76</v>
      </c>
      <c r="I2363" s="29">
        <v>29</v>
      </c>
      <c r="J2363" s="29">
        <v>39.5</v>
      </c>
      <c r="K2363" s="29">
        <v>46</v>
      </c>
      <c r="L2363" s="29">
        <v>29</v>
      </c>
      <c r="M2363" s="29">
        <v>27</v>
      </c>
      <c r="N2363" s="29">
        <v>51</v>
      </c>
      <c r="O2363" s="32">
        <v>297.5</v>
      </c>
      <c r="P2363" s="29" cm="1">
        <f t="array" ref="P2363">IF(表成绩单[[#This Row],[语文]]="","",SUMPRODUCT((表成绩单[考试日期]=表成绩单[[#This Row],[考试日期]])*(表成绩单[语文]&lt;9E+307)*(表成绩单[语文]&gt;表成绩单[[#This Row],[语文]]))+1)</f>
        <v>709</v>
      </c>
      <c r="Q2363" s="29" cm="1">
        <f t="array" ref="Q2363">IF(表成绩单[[#This Row],[数学]]="","",SUMPRODUCT((表成绩单[考试日期]=表成绩单[[#This Row],[考试日期]])*(表成绩单[数学]&lt;9E+307)*(表成绩单[数学]&gt;表成绩单[[#This Row],[数学]]))+1)</f>
        <v>776</v>
      </c>
      <c r="R2363" s="29" cm="1">
        <f t="array" ref="R2363">IF(表成绩单[[#This Row],[英语]]="","",SUMPRODUCT((表成绩单[考试日期]=表成绩单[[#This Row],[考试日期]])*(表成绩单[英语]&lt;9E+307)*(表成绩单[英语]&gt;表成绩单[[#This Row],[英语]]))+1)</f>
        <v>725</v>
      </c>
      <c r="S2363" s="29" cm="1">
        <f t="array" ref="S2363">IF(表成绩单[[#This Row],[物理]]="","",SUMPRODUCT((表成绩单[考试日期]=表成绩单[[#This Row],[考试日期]])*(表成绩单[物理]&lt;9E+307)*(表成绩单[物理]&gt;表成绩单[[#This Row],[物理]]))+1)</f>
        <v>649</v>
      </c>
      <c r="T2363" s="29" cm="1">
        <f t="array" ref="T2363">IF(表成绩单[[#This Row],[化学]]="","",SUMPRODUCT((表成绩单[考试日期]=表成绩单[[#This Row],[考试日期]])*(表成绩单[化学]&lt;9E+307)*(表成绩单[化学]&gt;表成绩单[[#This Row],[化学]]))+1)</f>
        <v>775</v>
      </c>
      <c r="U2363" s="29" cm="1">
        <f t="array" ref="U2363">IF(表成绩单[[#This Row],[政治]]="","",SUMPRODUCT((表成绩单[考试日期]=表成绩单[[#This Row],[考试日期]])*(表成绩单[政治]&lt;9E+307)*(表成绩单[政治]&gt;表成绩单[[#This Row],[政治]]))+1)</f>
        <v>776</v>
      </c>
      <c r="V2363" s="29" cm="1">
        <f t="array" ref="V2363">IF(表成绩单[[#This Row],[历史]]="","",SUMPRODUCT((表成绩单[考试日期]=表成绩单[[#This Row],[考试日期]])*(表成绩单[历史]&lt;9E+307)*(表成绩单[历史]&gt;表成绩单[[#This Row],[历史]]))+1)</f>
        <v>714</v>
      </c>
      <c r="W2363" s="29" cm="1">
        <f t="array" ref="W2363">IF(表成绩单[[#This Row],[总分]]="","",SUMPRODUCT((表成绩单[考试日期]=表成绩单[[#This Row],[考试日期]])*(表成绩单[总分]&lt;9E+307)*(表成绩单[总分]&gt;表成绩单[[#This Row],[总分]]))+1)</f>
        <v>756</v>
      </c>
    </row>
    <row r="2364" ht="28" customHeight="1" spans="4:23">
      <c r="D2364" s="31">
        <v>46030</v>
      </c>
      <c r="E2364" s="29">
        <v>19175298</v>
      </c>
      <c r="F2364" s="29" t="s">
        <v>55</v>
      </c>
      <c r="G2364" s="29" t="s">
        <v>867</v>
      </c>
      <c r="H2364" s="29">
        <v>67</v>
      </c>
      <c r="I2364" s="29">
        <v>40</v>
      </c>
      <c r="J2364" s="29">
        <v>26.5</v>
      </c>
      <c r="K2364" s="29">
        <v>36</v>
      </c>
      <c r="L2364" s="29">
        <v>40</v>
      </c>
      <c r="M2364" s="29">
        <v>52</v>
      </c>
      <c r="N2364" s="29">
        <v>33</v>
      </c>
      <c r="O2364" s="32">
        <v>294.5</v>
      </c>
      <c r="P2364" s="29" cm="1">
        <f t="array" ref="P2364">IF(表成绩单[[#This Row],[语文]]="","",SUMPRODUCT((表成绩单[考试日期]=表成绩单[[#This Row],[考试日期]])*(表成绩单[语文]&lt;9E+307)*(表成绩单[语文]&gt;表成绩单[[#This Row],[语文]]))+1)</f>
        <v>756</v>
      </c>
      <c r="Q2364" s="29" cm="1">
        <f t="array" ref="Q2364">IF(表成绩单[[#This Row],[数学]]="","",SUMPRODUCT((表成绩单[考试日期]=表成绩单[[#This Row],[考试日期]])*(表成绩单[数学]&lt;9E+307)*(表成绩单[数学]&gt;表成绩单[[#This Row],[数学]]))+1)</f>
        <v>755</v>
      </c>
      <c r="R2364" s="29" cm="1">
        <f t="array" ref="R2364">IF(表成绩单[[#This Row],[英语]]="","",SUMPRODUCT((表成绩单[考试日期]=表成绩单[[#This Row],[考试日期]])*(表成绩单[英语]&lt;9E+307)*(表成绩单[英语]&gt;表成绩单[[#This Row],[英语]]))+1)</f>
        <v>770</v>
      </c>
      <c r="S2364" s="29" cm="1">
        <f t="array" ref="S2364">IF(表成绩单[[#This Row],[物理]]="","",SUMPRODUCT((表成绩单[考试日期]=表成绩单[[#This Row],[考试日期]])*(表成绩单[物理]&lt;9E+307)*(表成绩单[物理]&gt;表成绩单[[#This Row],[物理]]))+1)</f>
        <v>712</v>
      </c>
      <c r="T2364" s="29" cm="1">
        <f t="array" ref="T2364">IF(表成绩单[[#This Row],[化学]]="","",SUMPRODUCT((表成绩单[考试日期]=表成绩单[[#This Row],[考试日期]])*(表成绩单[化学]&lt;9E+307)*(表成绩单[化学]&gt;表成绩单[[#This Row],[化学]]))+1)</f>
        <v>738</v>
      </c>
      <c r="U2364" s="29" cm="1">
        <f t="array" ref="U2364">IF(表成绩单[[#This Row],[政治]]="","",SUMPRODUCT((表成绩单[考试日期]=表成绩单[[#This Row],[考试日期]])*(表成绩单[政治]&lt;9E+307)*(表成绩单[政治]&gt;表成绩单[[#This Row],[政治]]))+1)</f>
        <v>643</v>
      </c>
      <c r="V2364" s="29" cm="1">
        <f t="array" ref="V2364">IF(表成绩单[[#This Row],[历史]]="","",SUMPRODUCT((表成绩单[考试日期]=表成绩单[[#This Row],[考试日期]])*(表成绩单[历史]&lt;9E+307)*(表成绩单[历史]&gt;表成绩单[[#This Row],[历史]]))+1)</f>
        <v>778</v>
      </c>
      <c r="W2364" s="29" cm="1">
        <f t="array" ref="W2364">IF(表成绩单[[#This Row],[总分]]="","",SUMPRODUCT((表成绩单[考试日期]=表成绩单[[#This Row],[考试日期]])*(表成绩单[总分]&lt;9E+307)*(表成绩单[总分]&gt;表成绩单[[#This Row],[总分]]))+1)</f>
        <v>758</v>
      </c>
    </row>
    <row r="2365" ht="28" customHeight="1" spans="4:23">
      <c r="D2365" s="31">
        <v>46030</v>
      </c>
      <c r="E2365" s="29">
        <v>19178577</v>
      </c>
      <c r="F2365" s="29" t="s">
        <v>64</v>
      </c>
      <c r="G2365" s="29" t="s">
        <v>816</v>
      </c>
      <c r="H2365" s="29">
        <v>68</v>
      </c>
      <c r="I2365" s="29">
        <v>63</v>
      </c>
      <c r="J2365" s="29">
        <v>25.5</v>
      </c>
      <c r="K2365" s="29">
        <v>28</v>
      </c>
      <c r="L2365" s="29">
        <v>38</v>
      </c>
      <c r="M2365" s="29">
        <v>28</v>
      </c>
      <c r="N2365" s="29">
        <v>40</v>
      </c>
      <c r="O2365" s="32">
        <v>290.5</v>
      </c>
      <c r="P2365" s="29" cm="1">
        <f t="array" ref="P2365">IF(表成绩单[[#This Row],[语文]]="","",SUMPRODUCT((表成绩单[考试日期]=表成绩单[[#This Row],[考试日期]])*(表成绩单[语文]&lt;9E+307)*(表成绩单[语文]&gt;表成绩单[[#This Row],[语文]]))+1)</f>
        <v>752</v>
      </c>
      <c r="Q2365" s="29" cm="1">
        <f t="array" ref="Q2365">IF(表成绩单[[#This Row],[数学]]="","",SUMPRODUCT((表成绩单[考试日期]=表成绩单[[#This Row],[考试日期]])*(表成绩单[数学]&lt;9E+307)*(表成绩单[数学]&gt;表成绩单[[#This Row],[数学]]))+1)</f>
        <v>655</v>
      </c>
      <c r="R2365" s="29" cm="1">
        <f t="array" ref="R2365">IF(表成绩单[[#This Row],[英语]]="","",SUMPRODUCT((表成绩单[考试日期]=表成绩单[[#This Row],[考试日期]])*(表成绩单[英语]&lt;9E+307)*(表成绩单[英语]&gt;表成绩单[[#This Row],[英语]]))+1)</f>
        <v>771</v>
      </c>
      <c r="S2365" s="29" cm="1">
        <f t="array" ref="S2365">IF(表成绩单[[#This Row],[物理]]="","",SUMPRODUCT((表成绩单[考试日期]=表成绩单[[#This Row],[考试日期]])*(表成绩单[物理]&lt;9E+307)*(表成绩单[物理]&gt;表成绩单[[#This Row],[物理]]))+1)</f>
        <v>755</v>
      </c>
      <c r="T2365" s="29" cm="1">
        <f t="array" ref="T2365">IF(表成绩单[[#This Row],[化学]]="","",SUMPRODUCT((表成绩单[考试日期]=表成绩单[[#This Row],[考试日期]])*(表成绩单[化学]&lt;9E+307)*(表成绩单[化学]&gt;表成绩单[[#This Row],[化学]]))+1)</f>
        <v>748</v>
      </c>
      <c r="U2365" s="29" cm="1">
        <f t="array" ref="U2365">IF(表成绩单[[#This Row],[政治]]="","",SUMPRODUCT((表成绩单[考试日期]=表成绩单[[#This Row],[考试日期]])*(表成绩单[政治]&lt;9E+307)*(表成绩单[政治]&gt;表成绩单[[#This Row],[政治]]))+1)</f>
        <v>773</v>
      </c>
      <c r="V2365" s="29" cm="1">
        <f t="array" ref="V2365">IF(表成绩单[[#This Row],[历史]]="","",SUMPRODUCT((表成绩单[考试日期]=表成绩单[[#This Row],[考试日期]])*(表成绩单[历史]&lt;9E+307)*(表成绩单[历史]&gt;表成绩单[[#This Row],[历史]]))+1)</f>
        <v>761</v>
      </c>
      <c r="W2365" s="29" cm="1">
        <f t="array" ref="W2365">IF(表成绩单[[#This Row],[总分]]="","",SUMPRODUCT((表成绩单[考试日期]=表成绩单[[#This Row],[考试日期]])*(表成绩单[总分]&lt;9E+307)*(表成绩单[总分]&gt;表成绩单[[#This Row],[总分]]))+1)</f>
        <v>759</v>
      </c>
    </row>
    <row r="2366" ht="28" customHeight="1" spans="4:23">
      <c r="D2366" s="31">
        <v>46030</v>
      </c>
      <c r="E2366" s="29">
        <v>19175291</v>
      </c>
      <c r="F2366" s="29" t="s">
        <v>55</v>
      </c>
      <c r="G2366" s="29" t="s">
        <v>851</v>
      </c>
      <c r="H2366" s="29">
        <v>70</v>
      </c>
      <c r="I2366" s="29">
        <v>54</v>
      </c>
      <c r="J2366" s="29">
        <v>10</v>
      </c>
      <c r="K2366" s="29">
        <v>36</v>
      </c>
      <c r="L2366" s="29">
        <v>44</v>
      </c>
      <c r="M2366" s="29">
        <v>32</v>
      </c>
      <c r="N2366" s="29">
        <v>44</v>
      </c>
      <c r="O2366" s="32">
        <v>290</v>
      </c>
      <c r="P2366" s="29" cm="1">
        <f t="array" ref="P2366">IF(表成绩单[[#This Row],[语文]]="","",SUMPRODUCT((表成绩单[考试日期]=表成绩单[[#This Row],[考试日期]])*(表成绩单[语文]&lt;9E+307)*(表成绩单[语文]&gt;表成绩单[[#This Row],[语文]]))+1)</f>
        <v>742</v>
      </c>
      <c r="Q2366" s="29" cm="1">
        <f t="array" ref="Q2366">IF(表成绩单[[#This Row],[数学]]="","",SUMPRODUCT((表成绩单[考试日期]=表成绩单[[#This Row],[考试日期]])*(表成绩单[数学]&lt;9E+307)*(表成绩单[数学]&gt;表成绩单[[#This Row],[数学]]))+1)</f>
        <v>711</v>
      </c>
      <c r="R2366" s="29" cm="1">
        <f t="array" ref="R2366">IF(表成绩单[[#This Row],[英语]]="","",SUMPRODUCT((表成绩单[考试日期]=表成绩单[[#This Row],[考试日期]])*(表成绩单[英语]&lt;9E+307)*(表成绩单[英语]&gt;表成绩单[[#This Row],[英语]]))+1)</f>
        <v>784</v>
      </c>
      <c r="S2366" s="29" cm="1">
        <f t="array" ref="S2366">IF(表成绩单[[#This Row],[物理]]="","",SUMPRODUCT((表成绩单[考试日期]=表成绩单[[#This Row],[考试日期]])*(表成绩单[物理]&lt;9E+307)*(表成绩单[物理]&gt;表成绩单[[#This Row],[物理]]))+1)</f>
        <v>712</v>
      </c>
      <c r="T2366" s="29" cm="1">
        <f t="array" ref="T2366">IF(表成绩单[[#This Row],[化学]]="","",SUMPRODUCT((表成绩单[考试日期]=表成绩单[[#This Row],[考试日期]])*(表成绩单[化学]&lt;9E+307)*(表成绩单[化学]&gt;表成绩单[[#This Row],[化学]]))+1)</f>
        <v>720</v>
      </c>
      <c r="U2366" s="29" cm="1">
        <f t="array" ref="U2366">IF(表成绩单[[#This Row],[政治]]="","",SUMPRODUCT((表成绩单[考试日期]=表成绩单[[#This Row],[考试日期]])*(表成绩单[政治]&lt;9E+307)*(表成绩单[政治]&gt;表成绩单[[#This Row],[政治]]))+1)</f>
        <v>764</v>
      </c>
      <c r="V2366" s="29" cm="1">
        <f t="array" ref="V2366">IF(表成绩单[[#This Row],[历史]]="","",SUMPRODUCT((表成绩单[考试日期]=表成绩单[[#This Row],[考试日期]])*(表成绩单[历史]&lt;9E+307)*(表成绩单[历史]&gt;表成绩单[[#This Row],[历史]]))+1)</f>
        <v>751</v>
      </c>
      <c r="W2366" s="29" cm="1">
        <f t="array" ref="W2366">IF(表成绩单[[#This Row],[总分]]="","",SUMPRODUCT((表成绩单[考试日期]=表成绩单[[#This Row],[考试日期]])*(表成绩单[总分]&lt;9E+307)*(表成绩单[总分]&gt;表成绩单[[#This Row],[总分]]))+1)</f>
        <v>760</v>
      </c>
    </row>
    <row r="2367" ht="28" customHeight="1" spans="4:23">
      <c r="D2367" s="31">
        <v>46030</v>
      </c>
      <c r="E2367" s="29">
        <v>19175317</v>
      </c>
      <c r="F2367" s="29" t="s">
        <v>55</v>
      </c>
      <c r="G2367" s="29" t="s">
        <v>852</v>
      </c>
      <c r="H2367" s="29">
        <v>52</v>
      </c>
      <c r="I2367" s="29">
        <v>40</v>
      </c>
      <c r="J2367" s="29">
        <v>58</v>
      </c>
      <c r="K2367" s="29">
        <v>22</v>
      </c>
      <c r="L2367" s="29">
        <v>13</v>
      </c>
      <c r="M2367" s="29">
        <v>53</v>
      </c>
      <c r="N2367" s="29">
        <v>46</v>
      </c>
      <c r="O2367" s="32">
        <v>284</v>
      </c>
      <c r="P2367" s="29" cm="1">
        <f t="array" ref="P2367">IF(表成绩单[[#This Row],[语文]]="","",SUMPRODUCT((表成绩单[考试日期]=表成绩单[[#This Row],[考试日期]])*(表成绩单[语文]&lt;9E+307)*(表成绩单[语文]&gt;表成绩单[[#This Row],[语文]]))+1)</f>
        <v>778</v>
      </c>
      <c r="Q2367" s="29" cm="1">
        <f t="array" ref="Q2367">IF(表成绩单[[#This Row],[数学]]="","",SUMPRODUCT((表成绩单[考试日期]=表成绩单[[#This Row],[考试日期]])*(表成绩单[数学]&lt;9E+307)*(表成绩单[数学]&gt;表成绩单[[#This Row],[数学]]))+1)</f>
        <v>755</v>
      </c>
      <c r="R2367" s="29" cm="1">
        <f t="array" ref="R2367">IF(表成绩单[[#This Row],[英语]]="","",SUMPRODUCT((表成绩单[考试日期]=表成绩单[[#This Row],[考试日期]])*(表成绩单[英语]&lt;9E+307)*(表成绩单[英语]&gt;表成绩单[[#This Row],[英语]]))+1)</f>
        <v>556</v>
      </c>
      <c r="S2367" s="29" cm="1">
        <f t="array" ref="S2367">IF(表成绩单[[#This Row],[物理]]="","",SUMPRODUCT((表成绩单[考试日期]=表成绩单[[#This Row],[考试日期]])*(表成绩单[物理]&lt;9E+307)*(表成绩单[物理]&gt;表成绩单[[#This Row],[物理]]))+1)</f>
        <v>773</v>
      </c>
      <c r="T2367" s="29" cm="1">
        <f t="array" ref="T2367">IF(表成绩单[[#This Row],[化学]]="","",SUMPRODUCT((表成绩单[考试日期]=表成绩单[[#This Row],[考试日期]])*(表成绩单[化学]&lt;9E+307)*(表成绩单[化学]&gt;表成绩单[[#This Row],[化学]]))+1)</f>
        <v>786</v>
      </c>
      <c r="U2367" s="29" cm="1">
        <f t="array" ref="U2367">IF(表成绩单[[#This Row],[政治]]="","",SUMPRODUCT((表成绩单[考试日期]=表成绩单[[#This Row],[考试日期]])*(表成绩单[政治]&lt;9E+307)*(表成绩单[政治]&gt;表成绩单[[#This Row],[政治]]))+1)</f>
        <v>630</v>
      </c>
      <c r="V2367" s="29" cm="1">
        <f t="array" ref="V2367">IF(表成绩单[[#This Row],[历史]]="","",SUMPRODUCT((表成绩单[考试日期]=表成绩单[[#This Row],[考试日期]])*(表成绩单[历史]&lt;9E+307)*(表成绩单[历史]&gt;表成绩单[[#This Row],[历史]]))+1)</f>
        <v>742</v>
      </c>
      <c r="W2367" s="29" cm="1">
        <f t="array" ref="W2367">IF(表成绩单[[#This Row],[总分]]="","",SUMPRODUCT((表成绩单[考试日期]=表成绩单[[#This Row],[考试日期]])*(表成绩单[总分]&lt;9E+307)*(表成绩单[总分]&gt;表成绩单[[#This Row],[总分]]))+1)</f>
        <v>761</v>
      </c>
    </row>
    <row r="2368" ht="28" customHeight="1" spans="4:23">
      <c r="D2368" s="31">
        <v>46030</v>
      </c>
      <c r="E2368" s="29">
        <v>19175984</v>
      </c>
      <c r="F2368" s="29" t="s">
        <v>59</v>
      </c>
      <c r="G2368" s="29" t="s">
        <v>810</v>
      </c>
      <c r="H2368" s="29">
        <v>36</v>
      </c>
      <c r="I2368" s="29">
        <v>45</v>
      </c>
      <c r="J2368" s="29">
        <v>49</v>
      </c>
      <c r="K2368" s="29">
        <v>31</v>
      </c>
      <c r="L2368" s="29">
        <v>43</v>
      </c>
      <c r="M2368" s="29">
        <v>35</v>
      </c>
      <c r="N2368" s="29">
        <v>45</v>
      </c>
      <c r="O2368" s="32">
        <v>284</v>
      </c>
      <c r="P2368" s="29" cm="1">
        <f t="array" ref="P2368">IF(表成绩单[[#This Row],[语文]]="","",SUMPRODUCT((表成绩单[考试日期]=表成绩单[[#This Row],[考试日期]])*(表成绩单[语文]&lt;9E+307)*(表成绩单[语文]&gt;表成绩单[[#This Row],[语文]]))+1)</f>
        <v>784</v>
      </c>
      <c r="Q2368" s="29" cm="1">
        <f t="array" ref="Q2368">IF(表成绩单[[#This Row],[数学]]="","",SUMPRODUCT((表成绩单[考试日期]=表成绩单[[#This Row],[考试日期]])*(表成绩单[数学]&lt;9E+307)*(表成绩单[数学]&gt;表成绩单[[#This Row],[数学]]))+1)</f>
        <v>738</v>
      </c>
      <c r="R2368" s="29" cm="1">
        <f t="array" ref="R2368">IF(表成绩单[[#This Row],[英语]]="","",SUMPRODUCT((表成绩单[考试日期]=表成绩单[[#This Row],[考试日期]])*(表成绩单[英语]&lt;9E+307)*(表成绩单[英语]&gt;表成绩单[[#This Row],[英语]]))+1)</f>
        <v>659</v>
      </c>
      <c r="S2368" s="29" cm="1">
        <f t="array" ref="S2368">IF(表成绩单[[#This Row],[物理]]="","",SUMPRODUCT((表成绩单[考试日期]=表成绩单[[#This Row],[考试日期]])*(表成绩单[物理]&lt;9E+307)*(表成绩单[物理]&gt;表成绩单[[#This Row],[物理]]))+1)</f>
        <v>742</v>
      </c>
      <c r="T2368" s="29" cm="1">
        <f t="array" ref="T2368">IF(表成绩单[[#This Row],[化学]]="","",SUMPRODUCT((表成绩单[考试日期]=表成绩单[[#This Row],[考试日期]])*(表成绩单[化学]&lt;9E+307)*(表成绩单[化学]&gt;表成绩单[[#This Row],[化学]]))+1)</f>
        <v>727</v>
      </c>
      <c r="U2368" s="29" cm="1">
        <f t="array" ref="U2368">IF(表成绩单[[#This Row],[政治]]="","",SUMPRODUCT((表成绩单[考试日期]=表成绩单[[#This Row],[考试日期]])*(表成绩单[政治]&lt;9E+307)*(表成绩单[政治]&gt;表成绩单[[#This Row],[政治]]))+1)</f>
        <v>752</v>
      </c>
      <c r="V2368" s="29" cm="1">
        <f t="array" ref="V2368">IF(表成绩单[[#This Row],[历史]]="","",SUMPRODUCT((表成绩单[考试日期]=表成绩单[[#This Row],[考试日期]])*(表成绩单[历史]&lt;9E+307)*(表成绩单[历史]&gt;表成绩单[[#This Row],[历史]]))+1)</f>
        <v>746</v>
      </c>
      <c r="W2368" s="29" cm="1">
        <f t="array" ref="W2368">IF(表成绩单[[#This Row],[总分]]="","",SUMPRODUCT((表成绩单[考试日期]=表成绩单[[#This Row],[考试日期]])*(表成绩单[总分]&lt;9E+307)*(表成绩单[总分]&gt;表成绩单[[#This Row],[总分]]))+1)</f>
        <v>761</v>
      </c>
    </row>
    <row r="2369" ht="28" customHeight="1" spans="4:23">
      <c r="D2369" s="31">
        <v>46030</v>
      </c>
      <c r="E2369" s="29">
        <v>19173239</v>
      </c>
      <c r="F2369" s="29" t="s">
        <v>61</v>
      </c>
      <c r="G2369" s="29" t="s">
        <v>855</v>
      </c>
      <c r="H2369" s="29">
        <v>76</v>
      </c>
      <c r="I2369" s="29">
        <v>40</v>
      </c>
      <c r="J2369" s="29">
        <v>45.5</v>
      </c>
      <c r="K2369" s="29">
        <v>22</v>
      </c>
      <c r="L2369" s="29">
        <v>30</v>
      </c>
      <c r="M2369" s="29">
        <v>37</v>
      </c>
      <c r="N2369" s="29">
        <v>32</v>
      </c>
      <c r="O2369" s="32">
        <v>282.5</v>
      </c>
      <c r="P2369" s="29" cm="1">
        <f t="array" ref="P2369">IF(表成绩单[[#This Row],[语文]]="","",SUMPRODUCT((表成绩单[考试日期]=表成绩单[[#This Row],[考试日期]])*(表成绩单[语文]&lt;9E+307)*(表成绩单[语文]&gt;表成绩单[[#This Row],[语文]]))+1)</f>
        <v>709</v>
      </c>
      <c r="Q2369" s="29" cm="1">
        <f t="array" ref="Q2369">IF(表成绩单[[#This Row],[数学]]="","",SUMPRODUCT((表成绩单[考试日期]=表成绩单[[#This Row],[考试日期]])*(表成绩单[数学]&lt;9E+307)*(表成绩单[数学]&gt;表成绩单[[#This Row],[数学]]))+1)</f>
        <v>755</v>
      </c>
      <c r="R2369" s="29" cm="1">
        <f t="array" ref="R2369">IF(表成绩单[[#This Row],[英语]]="","",SUMPRODUCT((表成绩单[考试日期]=表成绩单[[#This Row],[考试日期]])*(表成绩单[英语]&lt;9E+307)*(表成绩单[英语]&gt;表成绩单[[#This Row],[英语]]))+1)</f>
        <v>688</v>
      </c>
      <c r="S2369" s="29" cm="1">
        <f t="array" ref="S2369">IF(表成绩单[[#This Row],[物理]]="","",SUMPRODUCT((表成绩单[考试日期]=表成绩单[[#This Row],[考试日期]])*(表成绩单[物理]&lt;9E+307)*(表成绩单[物理]&gt;表成绩单[[#This Row],[物理]]))+1)</f>
        <v>773</v>
      </c>
      <c r="T2369" s="29" cm="1">
        <f t="array" ref="T2369">IF(表成绩单[[#This Row],[化学]]="","",SUMPRODUCT((表成绩单[考试日期]=表成绩单[[#This Row],[考试日期]])*(表成绩单[化学]&lt;9E+307)*(表成绩单[化学]&gt;表成绩单[[#This Row],[化学]]))+1)</f>
        <v>772</v>
      </c>
      <c r="U2369" s="29" cm="1">
        <f t="array" ref="U2369">IF(表成绩单[[#This Row],[政治]]="","",SUMPRODUCT((表成绩单[考试日期]=表成绩单[[#This Row],[考试日期]])*(表成绩单[政治]&lt;9E+307)*(表成绩单[政治]&gt;表成绩单[[#This Row],[政治]]))+1)</f>
        <v>739</v>
      </c>
      <c r="V2369" s="29" cm="1">
        <f t="array" ref="V2369">IF(表成绩单[[#This Row],[历史]]="","",SUMPRODUCT((表成绩单[考试日期]=表成绩单[[#This Row],[考试日期]])*(表成绩单[历史]&lt;9E+307)*(表成绩单[历史]&gt;表成绩单[[#This Row],[历史]]))+1)</f>
        <v>779</v>
      </c>
      <c r="W2369" s="29" cm="1">
        <f t="array" ref="W2369">IF(表成绩单[[#This Row],[总分]]="","",SUMPRODUCT((表成绩单[考试日期]=表成绩单[[#This Row],[考试日期]])*(表成绩单[总分]&lt;9E+307)*(表成绩单[总分]&gt;表成绩单[[#This Row],[总分]]))+1)</f>
        <v>763</v>
      </c>
    </row>
    <row r="2370" ht="28" customHeight="1" spans="4:23">
      <c r="D2370" s="31">
        <v>46030</v>
      </c>
      <c r="E2370" s="29">
        <v>19175996</v>
      </c>
      <c r="F2370" s="29" t="s">
        <v>59</v>
      </c>
      <c r="G2370" s="29" t="s">
        <v>849</v>
      </c>
      <c r="H2370" s="29">
        <v>60</v>
      </c>
      <c r="I2370" s="29">
        <v>35</v>
      </c>
      <c r="J2370" s="29">
        <v>24.5</v>
      </c>
      <c r="K2370" s="29">
        <v>31</v>
      </c>
      <c r="L2370" s="29">
        <v>52</v>
      </c>
      <c r="M2370" s="29">
        <v>24</v>
      </c>
      <c r="N2370" s="29">
        <v>56</v>
      </c>
      <c r="O2370" s="32">
        <v>282.5</v>
      </c>
      <c r="P2370" s="29" cm="1">
        <f t="array" ref="P2370">IF(表成绩单[[#This Row],[语文]]="","",SUMPRODUCT((表成绩单[考试日期]=表成绩单[[#This Row],[考试日期]])*(表成绩单[语文]&lt;9E+307)*(表成绩单[语文]&gt;表成绩单[[#This Row],[语文]]))+1)</f>
        <v>772</v>
      </c>
      <c r="Q2370" s="29" cm="1">
        <f t="array" ref="Q2370">IF(表成绩单[[#This Row],[数学]]="","",SUMPRODUCT((表成绩单[考试日期]=表成绩单[[#This Row],[考试日期]])*(表成绩单[数学]&lt;9E+307)*(表成绩单[数学]&gt;表成绩单[[#This Row],[数学]]))+1)</f>
        <v>767</v>
      </c>
      <c r="R2370" s="29" cm="1">
        <f t="array" ref="R2370">IF(表成绩单[[#This Row],[英语]]="","",SUMPRODUCT((表成绩单[考试日期]=表成绩单[[#This Row],[考试日期]])*(表成绩单[英语]&lt;9E+307)*(表成绩单[英语]&gt;表成绩单[[#This Row],[英语]]))+1)</f>
        <v>772</v>
      </c>
      <c r="S2370" s="29" cm="1">
        <f t="array" ref="S2370">IF(表成绩单[[#This Row],[物理]]="","",SUMPRODUCT((表成绩单[考试日期]=表成绩单[[#This Row],[考试日期]])*(表成绩单[物理]&lt;9E+307)*(表成绩单[物理]&gt;表成绩单[[#This Row],[物理]]))+1)</f>
        <v>742</v>
      </c>
      <c r="T2370" s="29" cm="1">
        <f t="array" ref="T2370">IF(表成绩单[[#This Row],[化学]]="","",SUMPRODUCT((表成绩单[考试日期]=表成绩单[[#This Row],[考试日期]])*(表成绩单[化学]&lt;9E+307)*(表成绩单[化学]&gt;表成绩单[[#This Row],[化学]]))+1)</f>
        <v>638</v>
      </c>
      <c r="U2370" s="29" cm="1">
        <f t="array" ref="U2370">IF(表成绩单[[#This Row],[政治]]="","",SUMPRODUCT((表成绩单[考试日期]=表成绩单[[#This Row],[考试日期]])*(表成绩单[政治]&lt;9E+307)*(表成绩单[政治]&gt;表成绩单[[#This Row],[政治]]))+1)</f>
        <v>781</v>
      </c>
      <c r="V2370" s="29" cm="1">
        <f t="array" ref="V2370">IF(表成绩单[[#This Row],[历史]]="","",SUMPRODUCT((表成绩单[考试日期]=表成绩单[[#This Row],[考试日期]])*(表成绩单[历史]&lt;9E+307)*(表成绩单[历史]&gt;表成绩单[[#This Row],[历史]]))+1)</f>
        <v>651</v>
      </c>
      <c r="W2370" s="29" cm="1">
        <f t="array" ref="W2370">IF(表成绩单[[#This Row],[总分]]="","",SUMPRODUCT((表成绩单[考试日期]=表成绩单[[#This Row],[考试日期]])*(表成绩单[总分]&lt;9E+307)*(表成绩单[总分]&gt;表成绩单[[#This Row],[总分]]))+1)</f>
        <v>763</v>
      </c>
    </row>
    <row r="2371" ht="28" customHeight="1" spans="4:23">
      <c r="D2371" s="31">
        <v>46030</v>
      </c>
      <c r="E2371" s="29">
        <v>19177622</v>
      </c>
      <c r="F2371" s="29" t="s">
        <v>58</v>
      </c>
      <c r="G2371" s="29" t="s">
        <v>832</v>
      </c>
      <c r="H2371" s="29">
        <v>53</v>
      </c>
      <c r="I2371" s="29">
        <v>51</v>
      </c>
      <c r="J2371" s="29">
        <v>41</v>
      </c>
      <c r="K2371" s="29">
        <v>27</v>
      </c>
      <c r="L2371" s="29">
        <v>34</v>
      </c>
      <c r="M2371" s="29">
        <v>39</v>
      </c>
      <c r="N2371" s="29">
        <v>37</v>
      </c>
      <c r="O2371" s="32">
        <v>282</v>
      </c>
      <c r="P2371" s="29" cm="1">
        <f t="array" ref="P2371">IF(表成绩单[[#This Row],[语文]]="","",SUMPRODUCT((表成绩单[考试日期]=表成绩单[[#This Row],[考试日期]])*(表成绩单[语文]&lt;9E+307)*(表成绩单[语文]&gt;表成绩单[[#This Row],[语文]]))+1)</f>
        <v>777</v>
      </c>
      <c r="Q2371" s="29" cm="1">
        <f t="array" ref="Q2371">IF(表成绩单[[#This Row],[数学]]="","",SUMPRODUCT((表成绩单[考试日期]=表成绩单[[#This Row],[考试日期]])*(表成绩单[数学]&lt;9E+307)*(表成绩单[数学]&gt;表成绩单[[#This Row],[数学]]))+1)</f>
        <v>724</v>
      </c>
      <c r="R2371" s="29" cm="1">
        <f t="array" ref="R2371">IF(表成绩单[[#This Row],[英语]]="","",SUMPRODUCT((表成绩单[考试日期]=表成绩单[[#This Row],[考试日期]])*(表成绩单[英语]&lt;9E+307)*(表成绩单[英语]&gt;表成绩单[[#This Row],[英语]]))+1)</f>
        <v>715</v>
      </c>
      <c r="S2371" s="29" cm="1">
        <f t="array" ref="S2371">IF(表成绩单[[#This Row],[物理]]="","",SUMPRODUCT((表成绩单[考试日期]=表成绩单[[#This Row],[考试日期]])*(表成绩单[物理]&lt;9E+307)*(表成绩单[物理]&gt;表成绩单[[#This Row],[物理]]))+1)</f>
        <v>762</v>
      </c>
      <c r="T2371" s="29" cm="1">
        <f t="array" ref="T2371">IF(表成绩单[[#This Row],[化学]]="","",SUMPRODUCT((表成绩单[考试日期]=表成绩单[[#This Row],[考试日期]])*(表成绩单[化学]&lt;9E+307)*(表成绩单[化学]&gt;表成绩单[[#This Row],[化学]]))+1)</f>
        <v>763</v>
      </c>
      <c r="U2371" s="29" cm="1">
        <f t="array" ref="U2371">IF(表成绩单[[#This Row],[政治]]="","",SUMPRODUCT((表成绩单[考试日期]=表成绩单[[#This Row],[考试日期]])*(表成绩单[政治]&lt;9E+307)*(表成绩单[政治]&gt;表成绩单[[#This Row],[政治]]))+1)</f>
        <v>731</v>
      </c>
      <c r="V2371" s="29" cm="1">
        <f t="array" ref="V2371">IF(表成绩单[[#This Row],[历史]]="","",SUMPRODUCT((表成绩单[考试日期]=表成绩单[[#This Row],[考试日期]])*(表成绩单[历史]&lt;9E+307)*(表成绩单[历史]&gt;表成绩单[[#This Row],[历史]]))+1)</f>
        <v>769</v>
      </c>
      <c r="W2371" s="29" cm="1">
        <f t="array" ref="W2371">IF(表成绩单[[#This Row],[总分]]="","",SUMPRODUCT((表成绩单[考试日期]=表成绩单[[#This Row],[考试日期]])*(表成绩单[总分]&lt;9E+307)*(表成绩单[总分]&gt;表成绩单[[#This Row],[总分]]))+1)</f>
        <v>765</v>
      </c>
    </row>
    <row r="2372" ht="28" customHeight="1" spans="4:23">
      <c r="D2372" s="31">
        <v>46030</v>
      </c>
      <c r="E2372" s="29">
        <v>19177620</v>
      </c>
      <c r="F2372" s="29" t="s">
        <v>58</v>
      </c>
      <c r="G2372" s="29" t="s">
        <v>830</v>
      </c>
      <c r="H2372" s="29">
        <v>69</v>
      </c>
      <c r="I2372" s="29">
        <v>43</v>
      </c>
      <c r="J2372" s="29">
        <v>35.5</v>
      </c>
      <c r="K2372" s="29">
        <v>25</v>
      </c>
      <c r="L2372" s="29">
        <v>26</v>
      </c>
      <c r="M2372" s="29">
        <v>41</v>
      </c>
      <c r="N2372" s="29">
        <v>40</v>
      </c>
      <c r="O2372" s="32">
        <v>279.5</v>
      </c>
      <c r="P2372" s="29" cm="1">
        <f t="array" ref="P2372">IF(表成绩单[[#This Row],[语文]]="","",SUMPRODUCT((表成绩单[考试日期]=表成绩单[[#This Row],[考试日期]])*(表成绩单[语文]&lt;9E+307)*(表成绩单[语文]&gt;表成绩单[[#This Row],[语文]]))+1)</f>
        <v>748</v>
      </c>
      <c r="Q2372" s="29" cm="1">
        <f t="array" ref="Q2372">IF(表成绩单[[#This Row],[数学]]="","",SUMPRODUCT((表成绩单[考试日期]=表成绩单[[#This Row],[考试日期]])*(表成绩单[数学]&lt;9E+307)*(表成绩单[数学]&gt;表成绩单[[#This Row],[数学]]))+1)</f>
        <v>745</v>
      </c>
      <c r="R2372" s="29" cm="1">
        <f t="array" ref="R2372">IF(表成绩单[[#This Row],[英语]]="","",SUMPRODUCT((表成绩单[考试日期]=表成绩单[[#This Row],[考试日期]])*(表成绩单[英语]&lt;9E+307)*(表成绩单[英语]&gt;表成绩单[[#This Row],[英语]]))+1)</f>
        <v>741</v>
      </c>
      <c r="S2372" s="29" cm="1">
        <f t="array" ref="S2372">IF(表成绩单[[#This Row],[物理]]="","",SUMPRODUCT((表成绩单[考试日期]=表成绩单[[#This Row],[考试日期]])*(表成绩单[物理]&lt;9E+307)*(表成绩单[物理]&gt;表成绩单[[#This Row],[物理]]))+1)</f>
        <v>766</v>
      </c>
      <c r="T2372" s="29" cm="1">
        <f t="array" ref="T2372">IF(表成绩单[[#This Row],[化学]]="","",SUMPRODUCT((表成绩单[考试日期]=表成绩单[[#This Row],[考试日期]])*(表成绩单[化学]&lt;9E+307)*(表成绩单[化学]&gt;表成绩单[[#This Row],[化学]]))+1)</f>
        <v>778</v>
      </c>
      <c r="U2372" s="29" cm="1">
        <f t="array" ref="U2372">IF(表成绩单[[#This Row],[政治]]="","",SUMPRODUCT((表成绩单[考试日期]=表成绩单[[#This Row],[考试日期]])*(表成绩单[政治]&lt;9E+307)*(表成绩单[政治]&gt;表成绩单[[#This Row],[政治]]))+1)</f>
        <v>725</v>
      </c>
      <c r="V2372" s="29" cm="1">
        <f t="array" ref="V2372">IF(表成绩单[[#This Row],[历史]]="","",SUMPRODUCT((表成绩单[考试日期]=表成绩单[[#This Row],[考试日期]])*(表成绩单[历史]&lt;9E+307)*(表成绩单[历史]&gt;表成绩单[[#This Row],[历史]]))+1)</f>
        <v>761</v>
      </c>
      <c r="W2372" s="29" cm="1">
        <f t="array" ref="W2372">IF(表成绩单[[#This Row],[总分]]="","",SUMPRODUCT((表成绩单[考试日期]=表成绩单[[#This Row],[考试日期]])*(表成绩单[总分]&lt;9E+307)*(表成绩单[总分]&gt;表成绩单[[#This Row],[总分]]))+1)</f>
        <v>766</v>
      </c>
    </row>
    <row r="2373" ht="28" customHeight="1" spans="4:23">
      <c r="D2373" s="31">
        <v>46030</v>
      </c>
      <c r="E2373" s="29">
        <v>19173768</v>
      </c>
      <c r="F2373" s="29" t="s">
        <v>65</v>
      </c>
      <c r="G2373" s="29" t="s">
        <v>835</v>
      </c>
      <c r="H2373" s="29">
        <v>65</v>
      </c>
      <c r="I2373" s="29">
        <v>17</v>
      </c>
      <c r="J2373" s="29">
        <v>42.5</v>
      </c>
      <c r="K2373" s="29">
        <v>24</v>
      </c>
      <c r="L2373" s="29">
        <v>29</v>
      </c>
      <c r="M2373" s="29">
        <v>38</v>
      </c>
      <c r="N2373" s="29">
        <v>63</v>
      </c>
      <c r="O2373" s="32">
        <v>278.5</v>
      </c>
      <c r="P2373" s="29" cm="1">
        <f t="array" ref="P2373">IF(表成绩单[[#This Row],[语文]]="","",SUMPRODUCT((表成绩单[考试日期]=表成绩单[[#This Row],[考试日期]])*(表成绩单[语文]&lt;9E+307)*(表成绩单[语文]&gt;表成绩单[[#This Row],[语文]]))+1)</f>
        <v>759</v>
      </c>
      <c r="Q2373" s="29" cm="1">
        <f t="array" ref="Q2373">IF(表成绩单[[#This Row],[数学]]="","",SUMPRODUCT((表成绩单[考试日期]=表成绩单[[#This Row],[考试日期]])*(表成绩单[数学]&lt;9E+307)*(表成绩单[数学]&gt;表成绩单[[#This Row],[数学]]))+1)</f>
        <v>783</v>
      </c>
      <c r="R2373" s="29" cm="1">
        <f t="array" ref="R2373">IF(表成绩单[[#This Row],[英语]]="","",SUMPRODUCT((表成绩单[考试日期]=表成绩单[[#This Row],[考试日期]])*(表成绩单[英语]&lt;9E+307)*(表成绩单[英语]&gt;表成绩单[[#This Row],[英语]]))+1)</f>
        <v>707</v>
      </c>
      <c r="S2373" s="29" cm="1">
        <f t="array" ref="S2373">IF(表成绩单[[#This Row],[物理]]="","",SUMPRODUCT((表成绩单[考试日期]=表成绩单[[#This Row],[考试日期]])*(表成绩单[物理]&lt;9E+307)*(表成绩单[物理]&gt;表成绩单[[#This Row],[物理]]))+1)</f>
        <v>770</v>
      </c>
      <c r="T2373" s="29" cm="1">
        <f t="array" ref="T2373">IF(表成绩单[[#This Row],[化学]]="","",SUMPRODUCT((表成绩单[考试日期]=表成绩单[[#This Row],[考试日期]])*(表成绩单[化学]&lt;9E+307)*(表成绩单[化学]&gt;表成绩单[[#This Row],[化学]]))+1)</f>
        <v>775</v>
      </c>
      <c r="U2373" s="29" cm="1">
        <f t="array" ref="U2373">IF(表成绩单[[#This Row],[政治]]="","",SUMPRODUCT((表成绩单[考试日期]=表成绩单[[#This Row],[考试日期]])*(表成绩单[政治]&lt;9E+307)*(表成绩单[政治]&gt;表成绩单[[#This Row],[政治]]))+1)</f>
        <v>734</v>
      </c>
      <c r="V2373" s="29" cm="1">
        <f t="array" ref="V2373">IF(表成绩单[[#This Row],[历史]]="","",SUMPRODUCT((表成绩单[考试日期]=表成绩单[[#This Row],[考试日期]])*(表成绩单[历史]&lt;9E+307)*(表成绩单[历史]&gt;表成绩单[[#This Row],[历史]]))+1)</f>
        <v>521</v>
      </c>
      <c r="W2373" s="29" cm="1">
        <f t="array" ref="W2373">IF(表成绩单[[#This Row],[总分]]="","",SUMPRODUCT((表成绩单[考试日期]=表成绩单[[#This Row],[考试日期]])*(表成绩单[总分]&lt;9E+307)*(表成绩单[总分]&gt;表成绩单[[#This Row],[总分]]))+1)</f>
        <v>767</v>
      </c>
    </row>
    <row r="2374" ht="28" customHeight="1" spans="4:23">
      <c r="D2374" s="31">
        <v>46030</v>
      </c>
      <c r="E2374" s="29">
        <v>19175600</v>
      </c>
      <c r="F2374" s="29" t="s">
        <v>57</v>
      </c>
      <c r="G2374" s="29" t="s">
        <v>862</v>
      </c>
      <c r="H2374" s="29">
        <v>61</v>
      </c>
      <c r="I2374" s="29">
        <v>26</v>
      </c>
      <c r="J2374" s="29">
        <v>38</v>
      </c>
      <c r="K2374" s="29">
        <v>33</v>
      </c>
      <c r="L2374" s="29">
        <v>42</v>
      </c>
      <c r="M2374" s="29">
        <v>26</v>
      </c>
      <c r="N2374" s="29">
        <v>52</v>
      </c>
      <c r="O2374" s="32">
        <v>278</v>
      </c>
      <c r="P2374" s="29" cm="1">
        <f t="array" ref="P2374">IF(表成绩单[[#This Row],[语文]]="","",SUMPRODUCT((表成绩单[考试日期]=表成绩单[[#This Row],[考试日期]])*(表成绩单[语文]&lt;9E+307)*(表成绩单[语文]&gt;表成绩单[[#This Row],[语文]]))+1)</f>
        <v>769</v>
      </c>
      <c r="Q2374" s="29" cm="1">
        <f t="array" ref="Q2374">IF(表成绩单[[#This Row],[数学]]="","",SUMPRODUCT((表成绩单[考试日期]=表成绩单[[#This Row],[考试日期]])*(表成绩单[数学]&lt;9E+307)*(表成绩单[数学]&gt;表成绩单[[#This Row],[数学]]))+1)</f>
        <v>778</v>
      </c>
      <c r="R2374" s="29" cm="1">
        <f t="array" ref="R2374">IF(表成绩单[[#This Row],[英语]]="","",SUMPRODUCT((表成绩单[考试日期]=表成绩单[[#This Row],[考试日期]])*(表成绩单[英语]&lt;9E+307)*(表成绩单[英语]&gt;表成绩单[[#This Row],[英语]]))+1)</f>
        <v>732</v>
      </c>
      <c r="S2374" s="29" cm="1">
        <f t="array" ref="S2374">IF(表成绩单[[#This Row],[物理]]="","",SUMPRODUCT((表成绩单[考试日期]=表成绩单[[#This Row],[考试日期]])*(表成绩单[物理]&lt;9E+307)*(表成绩单[物理]&gt;表成绩单[[#This Row],[物理]]))+1)</f>
        <v>733</v>
      </c>
      <c r="T2374" s="29" cm="1">
        <f t="array" ref="T2374">IF(表成绩单[[#This Row],[化学]]="","",SUMPRODUCT((表成绩单[考试日期]=表成绩单[[#This Row],[考试日期]])*(表成绩单[化学]&lt;9E+307)*(表成绩单[化学]&gt;表成绩单[[#This Row],[化学]]))+1)</f>
        <v>730</v>
      </c>
      <c r="U2374" s="29" cm="1">
        <f t="array" ref="U2374">IF(表成绩单[[#This Row],[政治]]="","",SUMPRODUCT((表成绩单[考试日期]=表成绩单[[#This Row],[考试日期]])*(表成绩单[政治]&lt;9E+307)*(表成绩单[政治]&gt;表成绩单[[#This Row],[政治]]))+1)</f>
        <v>778</v>
      </c>
      <c r="V2374" s="29" cm="1">
        <f t="array" ref="V2374">IF(表成绩单[[#This Row],[历史]]="","",SUMPRODUCT((表成绩单[考试日期]=表成绩单[[#This Row],[考试日期]])*(表成绩单[历史]&lt;9E+307)*(表成绩单[历史]&gt;表成绩单[[#This Row],[历史]]))+1)</f>
        <v>701</v>
      </c>
      <c r="W2374" s="29" cm="1">
        <f t="array" ref="W2374">IF(表成绩单[[#This Row],[总分]]="","",SUMPRODUCT((表成绩单[考试日期]=表成绩单[[#This Row],[考试日期]])*(表成绩单[总分]&lt;9E+307)*(表成绩单[总分]&gt;表成绩单[[#This Row],[总分]]))+1)</f>
        <v>768</v>
      </c>
    </row>
    <row r="2375" ht="28" customHeight="1" spans="4:23">
      <c r="D2375" s="31">
        <v>46030</v>
      </c>
      <c r="E2375" s="29">
        <v>19173769</v>
      </c>
      <c r="F2375" s="29" t="s">
        <v>65</v>
      </c>
      <c r="G2375" s="29" t="s">
        <v>866</v>
      </c>
      <c r="H2375" s="29">
        <v>58</v>
      </c>
      <c r="I2375" s="29">
        <v>38</v>
      </c>
      <c r="J2375" s="29">
        <v>28</v>
      </c>
      <c r="K2375" s="29">
        <v>31</v>
      </c>
      <c r="L2375" s="29">
        <v>38</v>
      </c>
      <c r="M2375" s="29">
        <v>33</v>
      </c>
      <c r="N2375" s="29">
        <v>51</v>
      </c>
      <c r="O2375" s="32">
        <v>277</v>
      </c>
      <c r="P2375" s="29" cm="1">
        <f t="array" ref="P2375">IF(表成绩单[[#This Row],[语文]]="","",SUMPRODUCT((表成绩单[考试日期]=表成绩单[[#This Row],[考试日期]])*(表成绩单[语文]&lt;9E+307)*(表成绩单[语文]&gt;表成绩单[[#This Row],[语文]]))+1)</f>
        <v>774</v>
      </c>
      <c r="Q2375" s="29" cm="1">
        <f t="array" ref="Q2375">IF(表成绩单[[#This Row],[数学]]="","",SUMPRODUCT((表成绩单[考试日期]=表成绩单[[#This Row],[考试日期]])*(表成绩单[数学]&lt;9E+307)*(表成绩单[数学]&gt;表成绩单[[#This Row],[数学]]))+1)</f>
        <v>761</v>
      </c>
      <c r="R2375" s="29" cm="1">
        <f t="array" ref="R2375">IF(表成绩单[[#This Row],[英语]]="","",SUMPRODUCT((表成绩单[考试日期]=表成绩单[[#This Row],[考试日期]])*(表成绩单[英语]&lt;9E+307)*(表成绩单[英语]&gt;表成绩单[[#This Row],[英语]]))+1)</f>
        <v>766</v>
      </c>
      <c r="S2375" s="29" cm="1">
        <f t="array" ref="S2375">IF(表成绩单[[#This Row],[物理]]="","",SUMPRODUCT((表成绩单[考试日期]=表成绩单[[#This Row],[考试日期]])*(表成绩单[物理]&lt;9E+307)*(表成绩单[物理]&gt;表成绩单[[#This Row],[物理]]))+1)</f>
        <v>742</v>
      </c>
      <c r="T2375" s="29" cm="1">
        <f t="array" ref="T2375">IF(表成绩单[[#This Row],[化学]]="","",SUMPRODUCT((表成绩单[考试日期]=表成绩单[[#This Row],[考试日期]])*(表成绩单[化学]&lt;9E+307)*(表成绩单[化学]&gt;表成绩单[[#This Row],[化学]]))+1)</f>
        <v>748</v>
      </c>
      <c r="U2375" s="29" cm="1">
        <f t="array" ref="U2375">IF(表成绩单[[#This Row],[政治]]="","",SUMPRODUCT((表成绩单[考试日期]=表成绩单[[#This Row],[考试日期]])*(表成绩单[政治]&lt;9E+307)*(表成绩单[政治]&gt;表成绩单[[#This Row],[政治]]))+1)</f>
        <v>761</v>
      </c>
      <c r="V2375" s="29" cm="1">
        <f t="array" ref="V2375">IF(表成绩单[[#This Row],[历史]]="","",SUMPRODUCT((表成绩单[考试日期]=表成绩单[[#This Row],[考试日期]])*(表成绩单[历史]&lt;9E+307)*(表成绩单[历史]&gt;表成绩单[[#This Row],[历史]]))+1)</f>
        <v>714</v>
      </c>
      <c r="W2375" s="29" cm="1">
        <f t="array" ref="W2375">IF(表成绩单[[#This Row],[总分]]="","",SUMPRODUCT((表成绩单[考试日期]=表成绩单[[#This Row],[考试日期]])*(表成绩单[总分]&lt;9E+307)*(表成绩单[总分]&gt;表成绩单[[#This Row],[总分]]))+1)</f>
        <v>769</v>
      </c>
    </row>
    <row r="2376" ht="28" customHeight="1" spans="4:23">
      <c r="D2376" s="31">
        <v>46030</v>
      </c>
      <c r="E2376" s="29">
        <v>19175598</v>
      </c>
      <c r="F2376" s="29" t="s">
        <v>57</v>
      </c>
      <c r="G2376" s="29" t="s">
        <v>732</v>
      </c>
      <c r="H2376" s="29">
        <v>64</v>
      </c>
      <c r="I2376" s="29">
        <v>43</v>
      </c>
      <c r="J2376" s="29">
        <v>30.5</v>
      </c>
      <c r="K2376" s="29">
        <v>21</v>
      </c>
      <c r="L2376" s="29">
        <v>42</v>
      </c>
      <c r="M2376" s="29">
        <v>34</v>
      </c>
      <c r="N2376" s="29">
        <v>42</v>
      </c>
      <c r="O2376" s="32">
        <v>276.5</v>
      </c>
      <c r="P2376" s="29" cm="1">
        <f t="array" ref="P2376">IF(表成绩单[[#This Row],[语文]]="","",SUMPRODUCT((表成绩单[考试日期]=表成绩单[[#This Row],[考试日期]])*(表成绩单[语文]&lt;9E+307)*(表成绩单[语文]&gt;表成绩单[[#This Row],[语文]]))+1)</f>
        <v>764</v>
      </c>
      <c r="Q2376" s="29" cm="1">
        <f t="array" ref="Q2376">IF(表成绩单[[#This Row],[数学]]="","",SUMPRODUCT((表成绩单[考试日期]=表成绩单[[#This Row],[考试日期]])*(表成绩单[数学]&lt;9E+307)*(表成绩单[数学]&gt;表成绩单[[#This Row],[数学]]))+1)</f>
        <v>745</v>
      </c>
      <c r="R2376" s="29" cm="1">
        <f t="array" ref="R2376">IF(表成绩单[[#This Row],[英语]]="","",SUMPRODUCT((表成绩单[考试日期]=表成绩单[[#This Row],[考试日期]])*(表成绩单[英语]&lt;9E+307)*(表成绩单[英语]&gt;表成绩单[[#This Row],[英语]]))+1)</f>
        <v>758</v>
      </c>
      <c r="S2376" s="29" cm="1">
        <f t="array" ref="S2376">IF(表成绩单[[#This Row],[物理]]="","",SUMPRODUCT((表成绩单[考试日期]=表成绩单[[#This Row],[考试日期]])*(表成绩单[物理]&lt;9E+307)*(表成绩单[物理]&gt;表成绩单[[#This Row],[物理]]))+1)</f>
        <v>778</v>
      </c>
      <c r="T2376" s="29" cm="1">
        <f t="array" ref="T2376">IF(表成绩单[[#This Row],[化学]]="","",SUMPRODUCT((表成绩单[考试日期]=表成绩单[[#This Row],[考试日期]])*(表成绩单[化学]&lt;9E+307)*(表成绩单[化学]&gt;表成绩单[[#This Row],[化学]]))+1)</f>
        <v>730</v>
      </c>
      <c r="U2376" s="29" cm="1">
        <f t="array" ref="U2376">IF(表成绩单[[#This Row],[政治]]="","",SUMPRODUCT((表成绩单[考试日期]=表成绩单[[#This Row],[考试日期]])*(表成绩单[政治]&lt;9E+307)*(表成绩单[政治]&gt;表成绩单[[#This Row],[政治]]))+1)</f>
        <v>755</v>
      </c>
      <c r="V2376" s="29" cm="1">
        <f t="array" ref="V2376">IF(表成绩单[[#This Row],[历史]]="","",SUMPRODUCT((表成绩单[考试日期]=表成绩单[[#This Row],[考试日期]])*(表成绩单[历史]&lt;9E+307)*(表成绩单[历史]&gt;表成绩单[[#This Row],[历史]]))+1)</f>
        <v>756</v>
      </c>
      <c r="W2376" s="29" cm="1">
        <f t="array" ref="W2376">IF(表成绩单[[#This Row],[总分]]="","",SUMPRODUCT((表成绩单[考试日期]=表成绩单[[#This Row],[考试日期]])*(表成绩单[总分]&lt;9E+307)*(表成绩单[总分]&gt;表成绩单[[#This Row],[总分]]))+1)</f>
        <v>770</v>
      </c>
    </row>
    <row r="2377" ht="28" customHeight="1" spans="4:23">
      <c r="D2377" s="31">
        <v>46030</v>
      </c>
      <c r="E2377" s="29">
        <v>19176003</v>
      </c>
      <c r="F2377" s="29" t="s">
        <v>59</v>
      </c>
      <c r="G2377" s="29" t="s">
        <v>859</v>
      </c>
      <c r="H2377" s="29">
        <v>60</v>
      </c>
      <c r="I2377" s="29">
        <v>32</v>
      </c>
      <c r="J2377" s="29">
        <v>35.5</v>
      </c>
      <c r="K2377" s="29">
        <v>34</v>
      </c>
      <c r="L2377" s="29">
        <v>51</v>
      </c>
      <c r="M2377" s="29">
        <v>28</v>
      </c>
      <c r="N2377" s="29">
        <v>36</v>
      </c>
      <c r="O2377" s="32">
        <v>276.5</v>
      </c>
      <c r="P2377" s="29" cm="1">
        <f t="array" ref="P2377">IF(表成绩单[[#This Row],[语文]]="","",SUMPRODUCT((表成绩单[考试日期]=表成绩单[[#This Row],[考试日期]])*(表成绩单[语文]&lt;9E+307)*(表成绩单[语文]&gt;表成绩单[[#This Row],[语文]]))+1)</f>
        <v>772</v>
      </c>
      <c r="Q2377" s="29" cm="1">
        <f t="array" ref="Q2377">IF(表成绩单[[#This Row],[数学]]="","",SUMPRODUCT((表成绩单[考试日期]=表成绩单[[#This Row],[考试日期]])*(表成绩单[数学]&lt;9E+307)*(表成绩单[数学]&gt;表成绩单[[#This Row],[数学]]))+1)</f>
        <v>771</v>
      </c>
      <c r="R2377" s="29" cm="1">
        <f t="array" ref="R2377">IF(表成绩单[[#This Row],[英语]]="","",SUMPRODUCT((表成绩单[考试日期]=表成绩单[[#This Row],[考试日期]])*(表成绩单[英语]&lt;9E+307)*(表成绩单[英语]&gt;表成绩单[[#This Row],[英语]]))+1)</f>
        <v>741</v>
      </c>
      <c r="S2377" s="29" cm="1">
        <f t="array" ref="S2377">IF(表成绩单[[#This Row],[物理]]="","",SUMPRODUCT((表成绩单[考试日期]=表成绩单[[#This Row],[考试日期]])*(表成绩单[物理]&lt;9E+307)*(表成绩单[物理]&gt;表成绩单[[#This Row],[物理]]))+1)</f>
        <v>730</v>
      </c>
      <c r="T2377" s="29" cm="1">
        <f t="array" ref="T2377">IF(表成绩单[[#This Row],[化学]]="","",SUMPRODUCT((表成绩单[考试日期]=表成绩单[[#This Row],[考试日期]])*(表成绩单[化学]&lt;9E+307)*(表成绩单[化学]&gt;表成绩单[[#This Row],[化学]]))+1)</f>
        <v>648</v>
      </c>
      <c r="U2377" s="29" cm="1">
        <f t="array" ref="U2377">IF(表成绩单[[#This Row],[政治]]="","",SUMPRODUCT((表成绩单[考试日期]=表成绩单[[#This Row],[考试日期]])*(表成绩单[政治]&lt;9E+307)*(表成绩单[政治]&gt;表成绩单[[#This Row],[政治]]))+1)</f>
        <v>773</v>
      </c>
      <c r="V2377" s="29" cm="1">
        <f t="array" ref="V2377">IF(表成绩单[[#This Row],[历史]]="","",SUMPRODUCT((表成绩单[考试日期]=表成绩单[[#This Row],[考试日期]])*(表成绩单[历史]&lt;9E+307)*(表成绩单[历史]&gt;表成绩单[[#This Row],[历史]]))+1)</f>
        <v>770</v>
      </c>
      <c r="W2377" s="29" cm="1">
        <f t="array" ref="W2377">IF(表成绩单[[#This Row],[总分]]="","",SUMPRODUCT((表成绩单[考试日期]=表成绩单[[#This Row],[考试日期]])*(表成绩单[总分]&lt;9E+307)*(表成绩单[总分]&gt;表成绩单[[#This Row],[总分]]))+1)</f>
        <v>770</v>
      </c>
    </row>
    <row r="2378" ht="28" customHeight="1" spans="4:23">
      <c r="D2378" s="31">
        <v>46030</v>
      </c>
      <c r="E2378" s="29">
        <v>19177621</v>
      </c>
      <c r="F2378" s="29" t="s">
        <v>58</v>
      </c>
      <c r="G2378" s="29" t="s">
        <v>836</v>
      </c>
      <c r="H2378" s="29">
        <v>58</v>
      </c>
      <c r="I2378" s="29">
        <v>46</v>
      </c>
      <c r="J2378" s="29">
        <v>17.5</v>
      </c>
      <c r="K2378" s="29">
        <v>50</v>
      </c>
      <c r="L2378" s="29">
        <v>27</v>
      </c>
      <c r="M2378" s="29">
        <v>30</v>
      </c>
      <c r="N2378" s="29">
        <v>44</v>
      </c>
      <c r="O2378" s="32">
        <v>272.5</v>
      </c>
      <c r="P2378" s="29" cm="1">
        <f t="array" ref="P2378">IF(表成绩单[[#This Row],[语文]]="","",SUMPRODUCT((表成绩单[考试日期]=表成绩单[[#This Row],[考试日期]])*(表成绩单[语文]&lt;9E+307)*(表成绩单[语文]&gt;表成绩单[[#This Row],[语文]]))+1)</f>
        <v>774</v>
      </c>
      <c r="Q2378" s="29" cm="1">
        <f t="array" ref="Q2378">IF(表成绩单[[#This Row],[数学]]="","",SUMPRODUCT((表成绩单[考试日期]=表成绩单[[#This Row],[考试日期]])*(表成绩单[数学]&lt;9E+307)*(表成绩单[数学]&gt;表成绩单[[#This Row],[数学]]))+1)</f>
        <v>737</v>
      </c>
      <c r="R2378" s="29" cm="1">
        <f t="array" ref="R2378">IF(表成绩单[[#This Row],[英语]]="","",SUMPRODUCT((表成绩单[考试日期]=表成绩单[[#This Row],[考试日期]])*(表成绩单[英语]&lt;9E+307)*(表成绩单[英语]&gt;表成绩单[[#This Row],[英语]]))+1)</f>
        <v>779</v>
      </c>
      <c r="S2378" s="29" cm="1">
        <f t="array" ref="S2378">IF(表成绩单[[#This Row],[物理]]="","",SUMPRODUCT((表成绩单[考试日期]=表成绩单[[#This Row],[考试日期]])*(表成绩单[物理]&lt;9E+307)*(表成绩单[物理]&gt;表成绩单[[#This Row],[物理]]))+1)</f>
        <v>605</v>
      </c>
      <c r="T2378" s="29" cm="1">
        <f t="array" ref="T2378">IF(表成绩单[[#This Row],[化学]]="","",SUMPRODUCT((表成绩单[考试日期]=表成绩单[[#This Row],[考试日期]])*(表成绩单[化学]&lt;9E+307)*(表成绩单[化学]&gt;表成绩单[[#This Row],[化学]]))+1)</f>
        <v>777</v>
      </c>
      <c r="U2378" s="29" cm="1">
        <f t="array" ref="U2378">IF(表成绩单[[#This Row],[政治]]="","",SUMPRODUCT((表成绩单[考试日期]=表成绩单[[#This Row],[考试日期]])*(表成绩单[政治]&lt;9E+307)*(表成绩单[政治]&gt;表成绩单[[#This Row],[政治]]))+1)</f>
        <v>767</v>
      </c>
      <c r="V2378" s="29" cm="1">
        <f t="array" ref="V2378">IF(表成绩单[[#This Row],[历史]]="","",SUMPRODUCT((表成绩单[考试日期]=表成绩单[[#This Row],[考试日期]])*(表成绩单[历史]&lt;9E+307)*(表成绩单[历史]&gt;表成绩单[[#This Row],[历史]]))+1)</f>
        <v>751</v>
      </c>
      <c r="W2378" s="29" cm="1">
        <f t="array" ref="W2378">IF(表成绩单[[#This Row],[总分]]="","",SUMPRODUCT((表成绩单[考试日期]=表成绩单[[#This Row],[考试日期]])*(表成绩单[总分]&lt;9E+307)*(表成绩单[总分]&gt;表成绩单[[#This Row],[总分]]))+1)</f>
        <v>772</v>
      </c>
    </row>
    <row r="2379" ht="28" customHeight="1" spans="4:23">
      <c r="D2379" s="31">
        <v>46030</v>
      </c>
      <c r="E2379" s="29">
        <v>19172639</v>
      </c>
      <c r="F2379" s="29" t="s">
        <v>60</v>
      </c>
      <c r="G2379" s="29" t="s">
        <v>846</v>
      </c>
      <c r="H2379" s="29">
        <v>61</v>
      </c>
      <c r="I2379" s="29">
        <v>33</v>
      </c>
      <c r="J2379" s="29">
        <v>41.5</v>
      </c>
      <c r="K2379" s="29">
        <v>19</v>
      </c>
      <c r="L2379" s="29">
        <v>34</v>
      </c>
      <c r="M2379" s="29">
        <v>30</v>
      </c>
      <c r="N2379" s="29">
        <v>53</v>
      </c>
      <c r="O2379" s="32">
        <v>271.5</v>
      </c>
      <c r="P2379" s="29" cm="1">
        <f t="array" ref="P2379">IF(表成绩单[[#This Row],[语文]]="","",SUMPRODUCT((表成绩单[考试日期]=表成绩单[[#This Row],[考试日期]])*(表成绩单[语文]&lt;9E+307)*(表成绩单[语文]&gt;表成绩单[[#This Row],[语文]]))+1)</f>
        <v>769</v>
      </c>
      <c r="Q2379" s="29" cm="1">
        <f t="array" ref="Q2379">IF(表成绩单[[#This Row],[数学]]="","",SUMPRODUCT((表成绩单[考试日期]=表成绩单[[#This Row],[考试日期]])*(表成绩单[数学]&lt;9E+307)*(表成绩单[数学]&gt;表成绩单[[#This Row],[数学]]))+1)</f>
        <v>769</v>
      </c>
      <c r="R2379" s="29" cm="1">
        <f t="array" ref="R2379">IF(表成绩单[[#This Row],[英语]]="","",SUMPRODUCT((表成绩单[考试日期]=表成绩单[[#This Row],[考试日期]])*(表成绩单[英语]&lt;9E+307)*(表成绩单[英语]&gt;表成绩单[[#This Row],[英语]]))+1)</f>
        <v>714</v>
      </c>
      <c r="S2379" s="29" cm="1">
        <f t="array" ref="S2379">IF(表成绩单[[#This Row],[物理]]="","",SUMPRODUCT((表成绩单[考试日期]=表成绩单[[#This Row],[考试日期]])*(表成绩单[物理]&lt;9E+307)*(表成绩单[物理]&gt;表成绩单[[#This Row],[物理]]))+1)</f>
        <v>779</v>
      </c>
      <c r="T2379" s="29" cm="1">
        <f t="array" ref="T2379">IF(表成绩单[[#This Row],[化学]]="","",SUMPRODUCT((表成绩单[考试日期]=表成绩单[[#This Row],[考试日期]])*(表成绩单[化学]&lt;9E+307)*(表成绩单[化学]&gt;表成绩单[[#This Row],[化学]]))+1)</f>
        <v>763</v>
      </c>
      <c r="U2379" s="29" cm="1">
        <f t="array" ref="U2379">IF(表成绩单[[#This Row],[政治]]="","",SUMPRODUCT((表成绩单[考试日期]=表成绩单[[#This Row],[考试日期]])*(表成绩单[政治]&lt;9E+307)*(表成绩单[政治]&gt;表成绩单[[#This Row],[政治]]))+1)</f>
        <v>767</v>
      </c>
      <c r="V2379" s="29" cm="1">
        <f t="array" ref="V2379">IF(表成绩单[[#This Row],[历史]]="","",SUMPRODUCT((表成绩单[考试日期]=表成绩单[[#This Row],[考试日期]])*(表成绩单[历史]&lt;9E+307)*(表成绩单[历史]&gt;表成绩单[[#This Row],[历史]]))+1)</f>
        <v>690</v>
      </c>
      <c r="W2379" s="29" cm="1">
        <f t="array" ref="W2379">IF(表成绩单[[#This Row],[总分]]="","",SUMPRODUCT((表成绩单[考试日期]=表成绩单[[#This Row],[考试日期]])*(表成绩单[总分]&lt;9E+307)*(表成绩单[总分]&gt;表成绩单[[#This Row],[总分]]))+1)</f>
        <v>773</v>
      </c>
    </row>
    <row r="2380" ht="28" customHeight="1" spans="4:23">
      <c r="D2380" s="31">
        <v>46030</v>
      </c>
      <c r="E2380" s="29">
        <v>19172637</v>
      </c>
      <c r="F2380" s="29" t="s">
        <v>60</v>
      </c>
      <c r="G2380" s="29" t="s">
        <v>865</v>
      </c>
      <c r="H2380" s="29">
        <v>70</v>
      </c>
      <c r="I2380" s="29">
        <v>35</v>
      </c>
      <c r="J2380" s="29">
        <v>38</v>
      </c>
      <c r="K2380" s="29">
        <v>17</v>
      </c>
      <c r="L2380" s="29">
        <v>35</v>
      </c>
      <c r="M2380" s="29">
        <v>29</v>
      </c>
      <c r="N2380" s="29">
        <v>45</v>
      </c>
      <c r="O2380" s="32">
        <v>269</v>
      </c>
      <c r="P2380" s="29" cm="1">
        <f t="array" ref="P2380">IF(表成绩单[[#This Row],[语文]]="","",SUMPRODUCT((表成绩单[考试日期]=表成绩单[[#This Row],[考试日期]])*(表成绩单[语文]&lt;9E+307)*(表成绩单[语文]&gt;表成绩单[[#This Row],[语文]]))+1)</f>
        <v>742</v>
      </c>
      <c r="Q2380" s="29" cm="1">
        <f t="array" ref="Q2380">IF(表成绩单[[#This Row],[数学]]="","",SUMPRODUCT((表成绩单[考试日期]=表成绩单[[#This Row],[考试日期]])*(表成绩单[数学]&lt;9E+307)*(表成绩单[数学]&gt;表成绩单[[#This Row],[数学]]))+1)</f>
        <v>767</v>
      </c>
      <c r="R2380" s="29" cm="1">
        <f t="array" ref="R2380">IF(表成绩单[[#This Row],[英语]]="","",SUMPRODUCT((表成绩单[考试日期]=表成绩单[[#This Row],[考试日期]])*(表成绩单[英语]&lt;9E+307)*(表成绩单[英语]&gt;表成绩单[[#This Row],[英语]]))+1)</f>
        <v>732</v>
      </c>
      <c r="S2380" s="29" cm="1">
        <f t="array" ref="S2380">IF(表成绩单[[#This Row],[物理]]="","",SUMPRODUCT((表成绩单[考试日期]=表成绩单[[#This Row],[考试日期]])*(表成绩单[物理]&lt;9E+307)*(表成绩单[物理]&gt;表成绩单[[#This Row],[物理]]))+1)</f>
        <v>784</v>
      </c>
      <c r="T2380" s="29" cm="1">
        <f t="array" ref="T2380">IF(表成绩单[[#This Row],[化学]]="","",SUMPRODUCT((表成绩单[考试日期]=表成绩单[[#This Row],[考试日期]])*(表成绩单[化学]&lt;9E+307)*(表成绩单[化学]&gt;表成绩单[[#This Row],[化学]]))+1)</f>
        <v>761</v>
      </c>
      <c r="U2380" s="29" cm="1">
        <f t="array" ref="U2380">IF(表成绩单[[#This Row],[政治]]="","",SUMPRODUCT((表成绩单[考试日期]=表成绩单[[#This Row],[考试日期]])*(表成绩单[政治]&lt;9E+307)*(表成绩单[政治]&gt;表成绩单[[#This Row],[政治]]))+1)</f>
        <v>771</v>
      </c>
      <c r="V2380" s="29" cm="1">
        <f t="array" ref="V2380">IF(表成绩单[[#This Row],[历史]]="","",SUMPRODUCT((表成绩单[考试日期]=表成绩单[[#This Row],[考试日期]])*(表成绩单[历史]&lt;9E+307)*(表成绩单[历史]&gt;表成绩单[[#This Row],[历史]]))+1)</f>
        <v>746</v>
      </c>
      <c r="W2380" s="29" cm="1">
        <f t="array" ref="W2380">IF(表成绩单[[#This Row],[总分]]="","",SUMPRODUCT((表成绩单[考试日期]=表成绩单[[#This Row],[考试日期]])*(表成绩单[总分]&lt;9E+307)*(表成绩单[总分]&gt;表成绩单[[#This Row],[总分]]))+1)</f>
        <v>774</v>
      </c>
    </row>
    <row r="2381" ht="28" customHeight="1" spans="4:23">
      <c r="D2381" s="31">
        <v>46030</v>
      </c>
      <c r="E2381" s="29">
        <v>19177609</v>
      </c>
      <c r="F2381" s="29" t="s">
        <v>58</v>
      </c>
      <c r="G2381" s="29" t="s">
        <v>864</v>
      </c>
      <c r="H2381" s="29">
        <v>51</v>
      </c>
      <c r="I2381" s="29">
        <v>32</v>
      </c>
      <c r="J2381" s="29">
        <v>34</v>
      </c>
      <c r="K2381" s="29">
        <v>30</v>
      </c>
      <c r="L2381" s="29">
        <v>35</v>
      </c>
      <c r="M2381" s="29">
        <v>38</v>
      </c>
      <c r="N2381" s="29">
        <v>41</v>
      </c>
      <c r="O2381" s="32">
        <v>261</v>
      </c>
      <c r="P2381" s="29" cm="1">
        <f t="array" ref="P2381">IF(表成绩单[[#This Row],[语文]]="","",SUMPRODUCT((表成绩单[考试日期]=表成绩单[[#This Row],[考试日期]])*(表成绩单[语文]&lt;9E+307)*(表成绩单[语文]&gt;表成绩单[[#This Row],[语文]]))+1)</f>
        <v>779</v>
      </c>
      <c r="Q2381" s="29" cm="1">
        <f t="array" ref="Q2381">IF(表成绩单[[#This Row],[数学]]="","",SUMPRODUCT((表成绩单[考试日期]=表成绩单[[#This Row],[考试日期]])*(表成绩单[数学]&lt;9E+307)*(表成绩单[数学]&gt;表成绩单[[#This Row],[数学]]))+1)</f>
        <v>771</v>
      </c>
      <c r="R2381" s="29" cm="1">
        <f t="array" ref="R2381">IF(表成绩单[[#This Row],[英语]]="","",SUMPRODUCT((表成绩单[考试日期]=表成绩单[[#This Row],[考试日期]])*(表成绩单[英语]&lt;9E+307)*(表成绩单[英语]&gt;表成绩单[[#This Row],[英语]]))+1)</f>
        <v>751</v>
      </c>
      <c r="S2381" s="29" cm="1">
        <f t="array" ref="S2381">IF(表成绩单[[#This Row],[物理]]="","",SUMPRODUCT((表成绩单[考试日期]=表成绩单[[#This Row],[考试日期]])*(表成绩单[物理]&lt;9E+307)*(表成绩单[物理]&gt;表成绩单[[#This Row],[物理]]))+1)</f>
        <v>747</v>
      </c>
      <c r="T2381" s="29" cm="1">
        <f t="array" ref="T2381">IF(表成绩单[[#This Row],[化学]]="","",SUMPRODUCT((表成绩单[考试日期]=表成绩单[[#This Row],[考试日期]])*(表成绩单[化学]&lt;9E+307)*(表成绩单[化学]&gt;表成绩单[[#This Row],[化学]]))+1)</f>
        <v>761</v>
      </c>
      <c r="U2381" s="29" cm="1">
        <f t="array" ref="U2381">IF(表成绩单[[#This Row],[政治]]="","",SUMPRODUCT((表成绩单[考试日期]=表成绩单[[#This Row],[考试日期]])*(表成绩单[政治]&lt;9E+307)*(表成绩单[政治]&gt;表成绩单[[#This Row],[政治]]))+1)</f>
        <v>734</v>
      </c>
      <c r="V2381" s="29" cm="1">
        <f t="array" ref="V2381">IF(表成绩单[[#This Row],[历史]]="","",SUMPRODUCT((表成绩单[考试日期]=表成绩单[[#This Row],[考试日期]])*(表成绩单[历史]&lt;9E+307)*(表成绩单[历史]&gt;表成绩单[[#This Row],[历史]]))+1)</f>
        <v>759</v>
      </c>
      <c r="W2381" s="29" cm="1">
        <f t="array" ref="W2381">IF(表成绩单[[#This Row],[总分]]="","",SUMPRODUCT((表成绩单[考试日期]=表成绩单[[#This Row],[考试日期]])*(表成绩单[总分]&lt;9E+307)*(表成绩单[总分]&gt;表成绩单[[#This Row],[总分]]))+1)</f>
        <v>775</v>
      </c>
    </row>
    <row r="2382" ht="28" customHeight="1" spans="4:23">
      <c r="D2382" s="31">
        <v>46030</v>
      </c>
      <c r="E2382" s="29">
        <v>26753945</v>
      </c>
      <c r="F2382" s="29" t="s">
        <v>57</v>
      </c>
      <c r="G2382" s="29" t="s">
        <v>863</v>
      </c>
      <c r="H2382" s="29">
        <v>64</v>
      </c>
      <c r="I2382" s="29">
        <v>23</v>
      </c>
      <c r="J2382" s="29">
        <v>15</v>
      </c>
      <c r="K2382" s="29">
        <v>22</v>
      </c>
      <c r="L2382" s="29">
        <v>44</v>
      </c>
      <c r="M2382" s="29">
        <v>34</v>
      </c>
      <c r="N2382" s="29">
        <v>59</v>
      </c>
      <c r="O2382" s="32">
        <v>261</v>
      </c>
      <c r="P2382" s="29" cm="1">
        <f t="array" ref="P2382">IF(表成绩单[[#This Row],[语文]]="","",SUMPRODUCT((表成绩单[考试日期]=表成绩单[[#This Row],[考试日期]])*(表成绩单[语文]&lt;9E+307)*(表成绩单[语文]&gt;表成绩单[[#This Row],[语文]]))+1)</f>
        <v>764</v>
      </c>
      <c r="Q2382" s="29" cm="1">
        <f t="array" ref="Q2382">IF(表成绩单[[#This Row],[数学]]="","",SUMPRODUCT((表成绩单[考试日期]=表成绩单[[#This Row],[考试日期]])*(表成绩单[数学]&lt;9E+307)*(表成绩单[数学]&gt;表成绩单[[#This Row],[数学]]))+1)</f>
        <v>779</v>
      </c>
      <c r="R2382" s="29" cm="1">
        <f t="array" ref="R2382">IF(表成绩单[[#This Row],[英语]]="","",SUMPRODUCT((表成绩单[考试日期]=表成绩单[[#This Row],[考试日期]])*(表成绩单[英语]&lt;9E+307)*(表成绩单[英语]&gt;表成绩单[[#This Row],[英语]]))+1)</f>
        <v>780</v>
      </c>
      <c r="S2382" s="29" cm="1">
        <f t="array" ref="S2382">IF(表成绩单[[#This Row],[物理]]="","",SUMPRODUCT((表成绩单[考试日期]=表成绩单[[#This Row],[考试日期]])*(表成绩单[物理]&lt;9E+307)*(表成绩单[物理]&gt;表成绩单[[#This Row],[物理]]))+1)</f>
        <v>773</v>
      </c>
      <c r="T2382" s="29" cm="1">
        <f t="array" ref="T2382">IF(表成绩单[[#This Row],[化学]]="","",SUMPRODUCT((表成绩单[考试日期]=表成绩单[[#This Row],[考试日期]])*(表成绩单[化学]&lt;9E+307)*(表成绩单[化学]&gt;表成绩单[[#This Row],[化学]]))+1)</f>
        <v>720</v>
      </c>
      <c r="U2382" s="29" cm="1">
        <f t="array" ref="U2382">IF(表成绩单[[#This Row],[政治]]="","",SUMPRODUCT((表成绩单[考试日期]=表成绩单[[#This Row],[考试日期]])*(表成绩单[政治]&lt;9E+307)*(表成绩单[政治]&gt;表成绩单[[#This Row],[政治]]))+1)</f>
        <v>755</v>
      </c>
      <c r="V2382" s="29" cm="1">
        <f t="array" ref="V2382">IF(表成绩单[[#This Row],[历史]]="","",SUMPRODUCT((表成绩单[考试日期]=表成绩单[[#This Row],[考试日期]])*(表成绩单[历史]&lt;9E+307)*(表成绩单[历史]&gt;表成绩单[[#This Row],[历史]]))+1)</f>
        <v>601</v>
      </c>
      <c r="W2382" s="29" cm="1">
        <f t="array" ref="W2382">IF(表成绩单[[#This Row],[总分]]="","",SUMPRODUCT((表成绩单[考试日期]=表成绩单[[#This Row],[考试日期]])*(表成绩单[总分]&lt;9E+307)*(表成绩单[总分]&gt;表成绩单[[#This Row],[总分]]))+1)</f>
        <v>775</v>
      </c>
    </row>
    <row r="2383" ht="28" customHeight="1" spans="4:23">
      <c r="D2383" s="31">
        <v>46030</v>
      </c>
      <c r="E2383" s="29">
        <v>19176021</v>
      </c>
      <c r="F2383" s="29" t="s">
        <v>59</v>
      </c>
      <c r="G2383" s="29" t="s">
        <v>860</v>
      </c>
      <c r="H2383" s="29">
        <v>43</v>
      </c>
      <c r="I2383" s="29">
        <v>29</v>
      </c>
      <c r="J2383" s="29">
        <v>50</v>
      </c>
      <c r="K2383" s="29">
        <v>19</v>
      </c>
      <c r="L2383" s="29">
        <v>41</v>
      </c>
      <c r="M2383" s="29">
        <v>24</v>
      </c>
      <c r="N2383" s="29">
        <v>53</v>
      </c>
      <c r="O2383" s="32">
        <v>259</v>
      </c>
      <c r="P2383" s="29" cm="1">
        <f t="array" ref="P2383">IF(表成绩单[[#This Row],[语文]]="","",SUMPRODUCT((表成绩单[考试日期]=表成绩单[[#This Row],[考试日期]])*(表成绩单[语文]&lt;9E+307)*(表成绩单[语文]&gt;表成绩单[[#This Row],[语文]]))+1)</f>
        <v>783</v>
      </c>
      <c r="Q2383" s="29" cm="1">
        <f t="array" ref="Q2383">IF(表成绩单[[#This Row],[数学]]="","",SUMPRODUCT((表成绩单[考试日期]=表成绩单[[#This Row],[考试日期]])*(表成绩单[数学]&lt;9E+307)*(表成绩单[数学]&gt;表成绩单[[#This Row],[数学]]))+1)</f>
        <v>776</v>
      </c>
      <c r="R2383" s="29" cm="1">
        <f t="array" ref="R2383">IF(表成绩单[[#This Row],[英语]]="","",SUMPRODUCT((表成绩单[考试日期]=表成绩单[[#This Row],[考试日期]])*(表成绩单[英语]&lt;9E+307)*(表成绩单[英语]&gt;表成绩单[[#This Row],[英语]]))+1)</f>
        <v>649</v>
      </c>
      <c r="S2383" s="29" cm="1">
        <f t="array" ref="S2383">IF(表成绩单[[#This Row],[物理]]="","",SUMPRODUCT((表成绩单[考试日期]=表成绩单[[#This Row],[考试日期]])*(表成绩单[物理]&lt;9E+307)*(表成绩单[物理]&gt;表成绩单[[#This Row],[物理]]))+1)</f>
        <v>779</v>
      </c>
      <c r="T2383" s="29" cm="1">
        <f t="array" ref="T2383">IF(表成绩单[[#This Row],[化学]]="","",SUMPRODUCT((表成绩单[考试日期]=表成绩单[[#This Row],[考试日期]])*(表成绩单[化学]&lt;9E+307)*(表成绩单[化学]&gt;表成绩单[[#This Row],[化学]]))+1)</f>
        <v>734</v>
      </c>
      <c r="U2383" s="29" cm="1">
        <f t="array" ref="U2383">IF(表成绩单[[#This Row],[政治]]="","",SUMPRODUCT((表成绩单[考试日期]=表成绩单[[#This Row],[考试日期]])*(表成绩单[政治]&lt;9E+307)*(表成绩单[政治]&gt;表成绩单[[#This Row],[政治]]))+1)</f>
        <v>781</v>
      </c>
      <c r="V2383" s="29" cm="1">
        <f t="array" ref="V2383">IF(表成绩单[[#This Row],[历史]]="","",SUMPRODUCT((表成绩单[考试日期]=表成绩单[[#This Row],[考试日期]])*(表成绩单[历史]&lt;9E+307)*(表成绩单[历史]&gt;表成绩单[[#This Row],[历史]]))+1)</f>
        <v>690</v>
      </c>
      <c r="W2383" s="29" cm="1">
        <f t="array" ref="W2383">IF(表成绩单[[#This Row],[总分]]="","",SUMPRODUCT((表成绩单[考试日期]=表成绩单[[#This Row],[考试日期]])*(表成绩单[总分]&lt;9E+307)*(表成绩单[总分]&gt;表成绩单[[#This Row],[总分]]))+1)</f>
        <v>777</v>
      </c>
    </row>
    <row r="2384" ht="28" customHeight="1" spans="4:23">
      <c r="D2384" s="31">
        <v>46030</v>
      </c>
      <c r="E2384" s="29">
        <v>19177628</v>
      </c>
      <c r="F2384" s="29" t="s">
        <v>58</v>
      </c>
      <c r="G2384" s="29" t="s">
        <v>857</v>
      </c>
      <c r="H2384" s="29">
        <v>72</v>
      </c>
      <c r="I2384" s="29">
        <v>38</v>
      </c>
      <c r="J2384" s="29">
        <v>34</v>
      </c>
      <c r="K2384" s="29">
        <v>18</v>
      </c>
      <c r="L2384" s="29">
        <v>39</v>
      </c>
      <c r="M2384" s="29">
        <v>26</v>
      </c>
      <c r="N2384" s="29">
        <v>31</v>
      </c>
      <c r="O2384" s="32">
        <v>258</v>
      </c>
      <c r="P2384" s="29" cm="1">
        <f t="array" ref="P2384">IF(表成绩单[[#This Row],[语文]]="","",SUMPRODUCT((表成绩单[考试日期]=表成绩单[[#This Row],[考试日期]])*(表成绩单[语文]&lt;9E+307)*(表成绩单[语文]&gt;表成绩单[[#This Row],[语文]]))+1)</f>
        <v>731</v>
      </c>
      <c r="Q2384" s="29" cm="1">
        <f t="array" ref="Q2384">IF(表成绩单[[#This Row],[数学]]="","",SUMPRODUCT((表成绩单[考试日期]=表成绩单[[#This Row],[考试日期]])*(表成绩单[数学]&lt;9E+307)*(表成绩单[数学]&gt;表成绩单[[#This Row],[数学]]))+1)</f>
        <v>761</v>
      </c>
      <c r="R2384" s="29" cm="1">
        <f t="array" ref="R2384">IF(表成绩单[[#This Row],[英语]]="","",SUMPRODUCT((表成绩单[考试日期]=表成绩单[[#This Row],[考试日期]])*(表成绩单[英语]&lt;9E+307)*(表成绩单[英语]&gt;表成绩单[[#This Row],[英语]]))+1)</f>
        <v>751</v>
      </c>
      <c r="S2384" s="29" cm="1">
        <f t="array" ref="S2384">IF(表成绩单[[#This Row],[物理]]="","",SUMPRODUCT((表成绩单[考试日期]=表成绩单[[#This Row],[考试日期]])*(表成绩单[物理]&lt;9E+307)*(表成绩单[物理]&gt;表成绩单[[#This Row],[物理]]))+1)</f>
        <v>782</v>
      </c>
      <c r="T2384" s="29" cm="1">
        <f t="array" ref="T2384">IF(表成绩单[[#This Row],[化学]]="","",SUMPRODUCT((表成绩单[考试日期]=表成绩单[[#This Row],[考试日期]])*(表成绩单[化学]&lt;9E+307)*(表成绩单[化学]&gt;表成绩单[[#This Row],[化学]]))+1)</f>
        <v>743</v>
      </c>
      <c r="U2384" s="29" cm="1">
        <f t="array" ref="U2384">IF(表成绩单[[#This Row],[政治]]="","",SUMPRODUCT((表成绩单[考试日期]=表成绩单[[#This Row],[考试日期]])*(表成绩单[政治]&lt;9E+307)*(表成绩单[政治]&gt;表成绩单[[#This Row],[政治]]))+1)</f>
        <v>778</v>
      </c>
      <c r="V2384" s="29" cm="1">
        <f t="array" ref="V2384">IF(表成绩单[[#This Row],[历史]]="","",SUMPRODUCT((表成绩单[考试日期]=表成绩单[[#This Row],[考试日期]])*(表成绩单[历史]&lt;9E+307)*(表成绩单[历史]&gt;表成绩单[[#This Row],[历史]]))+1)</f>
        <v>781</v>
      </c>
      <c r="W2384" s="29" cm="1">
        <f t="array" ref="W2384">IF(表成绩单[[#This Row],[总分]]="","",SUMPRODUCT((表成绩单[考试日期]=表成绩单[[#This Row],[考试日期]])*(表成绩单[总分]&lt;9E+307)*(表成绩单[总分]&gt;表成绩单[[#This Row],[总分]]))+1)</f>
        <v>778</v>
      </c>
    </row>
    <row r="2385" ht="28" customHeight="1" spans="4:23">
      <c r="D2385" s="31">
        <v>46030</v>
      </c>
      <c r="E2385" s="29">
        <v>19176013</v>
      </c>
      <c r="F2385" s="29" t="s">
        <v>59</v>
      </c>
      <c r="G2385" s="29" t="s">
        <v>840</v>
      </c>
      <c r="H2385" s="29">
        <v>51</v>
      </c>
      <c r="I2385" s="29">
        <v>50</v>
      </c>
      <c r="J2385" s="29">
        <v>10.5</v>
      </c>
      <c r="K2385" s="29">
        <v>37</v>
      </c>
      <c r="L2385" s="29">
        <v>54</v>
      </c>
      <c r="M2385" s="29">
        <v>18</v>
      </c>
      <c r="N2385" s="29">
        <v>35</v>
      </c>
      <c r="O2385" s="32">
        <v>255.5</v>
      </c>
      <c r="P2385" s="29" cm="1">
        <f t="array" ref="P2385">IF(表成绩单[[#This Row],[语文]]="","",SUMPRODUCT((表成绩单[考试日期]=表成绩单[[#This Row],[考试日期]])*(表成绩单[语文]&lt;9E+307)*(表成绩单[语文]&gt;表成绩单[[#This Row],[语文]]))+1)</f>
        <v>779</v>
      </c>
      <c r="Q2385" s="29" cm="1">
        <f t="array" ref="Q2385">IF(表成绩单[[#This Row],[数学]]="","",SUMPRODUCT((表成绩单[考试日期]=表成绩单[[#This Row],[考试日期]])*(表成绩单[数学]&lt;9E+307)*(表成绩单[数学]&gt;表成绩单[[#This Row],[数学]]))+1)</f>
        <v>728</v>
      </c>
      <c r="R2385" s="29" cm="1">
        <f t="array" ref="R2385">IF(表成绩单[[#This Row],[英语]]="","",SUMPRODUCT((表成绩单[考试日期]=表成绩单[[#This Row],[考试日期]])*(表成绩单[英语]&lt;9E+307)*(表成绩单[英语]&gt;表成绩单[[#This Row],[英语]]))+1)</f>
        <v>782</v>
      </c>
      <c r="S2385" s="29" cm="1">
        <f t="array" ref="S2385">IF(表成绩单[[#This Row],[物理]]="","",SUMPRODUCT((表成绩单[考试日期]=表成绩单[[#This Row],[考试日期]])*(表成绩单[物理]&lt;9E+307)*(表成绩单[物理]&gt;表成绩单[[#This Row],[物理]]))+1)</f>
        <v>708</v>
      </c>
      <c r="T2385" s="29" cm="1">
        <f t="array" ref="T2385">IF(表成绩单[[#This Row],[化学]]="","",SUMPRODUCT((表成绩单[考试日期]=表成绩单[[#This Row],[考试日期]])*(表成绩单[化学]&lt;9E+307)*(表成绩单[化学]&gt;表成绩单[[#This Row],[化学]]))+1)</f>
        <v>609</v>
      </c>
      <c r="U2385" s="29" cm="1">
        <f t="array" ref="U2385">IF(表成绩单[[#This Row],[政治]]="","",SUMPRODUCT((表成绩单[考试日期]=表成绩单[[#This Row],[考试日期]])*(表成绩单[政治]&lt;9E+307)*(表成绩单[政治]&gt;表成绩单[[#This Row],[政治]]))+1)</f>
        <v>785</v>
      </c>
      <c r="V2385" s="29" cm="1">
        <f t="array" ref="V2385">IF(表成绩单[[#This Row],[历史]]="","",SUMPRODUCT((表成绩单[考试日期]=表成绩单[[#This Row],[考试日期]])*(表成绩单[历史]&lt;9E+307)*(表成绩单[历史]&gt;表成绩单[[#This Row],[历史]]))+1)</f>
        <v>773</v>
      </c>
      <c r="W2385" s="29" cm="1">
        <f t="array" ref="W2385">IF(表成绩单[[#This Row],[总分]]="","",SUMPRODUCT((表成绩单[考试日期]=表成绩单[[#This Row],[考试日期]])*(表成绩单[总分]&lt;9E+307)*(表成绩单[总分]&gt;表成绩单[[#This Row],[总分]]))+1)</f>
        <v>779</v>
      </c>
    </row>
    <row r="2386" ht="28" customHeight="1" spans="4:23">
      <c r="D2386" s="31">
        <v>46030</v>
      </c>
      <c r="E2386" s="29">
        <v>19175310</v>
      </c>
      <c r="F2386" s="29" t="s">
        <v>55</v>
      </c>
      <c r="G2386" s="29" t="s">
        <v>798</v>
      </c>
      <c r="H2386" s="29">
        <v>23</v>
      </c>
      <c r="I2386" s="29">
        <v>38</v>
      </c>
      <c r="J2386" s="29">
        <v>31.5</v>
      </c>
      <c r="K2386" s="29">
        <v>22</v>
      </c>
      <c r="L2386" s="29">
        <v>36</v>
      </c>
      <c r="M2386" s="29">
        <v>24</v>
      </c>
      <c r="N2386" s="29">
        <v>48</v>
      </c>
      <c r="O2386" s="32">
        <v>222.5</v>
      </c>
      <c r="P2386" s="29" cm="1">
        <f t="array" ref="P2386">IF(表成绩单[[#This Row],[语文]]="","",SUMPRODUCT((表成绩单[考试日期]=表成绩单[[#This Row],[考试日期]])*(表成绩单[语文]&lt;9E+307)*(表成绩单[语文]&gt;表成绩单[[#This Row],[语文]]))+1)</f>
        <v>786</v>
      </c>
      <c r="Q2386" s="29" cm="1">
        <f t="array" ref="Q2386">IF(表成绩单[[#This Row],[数学]]="","",SUMPRODUCT((表成绩单[考试日期]=表成绩单[[#This Row],[考试日期]])*(表成绩单[数学]&lt;9E+307)*(表成绩单[数学]&gt;表成绩单[[#This Row],[数学]]))+1)</f>
        <v>761</v>
      </c>
      <c r="R2386" s="29" cm="1">
        <f t="array" ref="R2386">IF(表成绩单[[#This Row],[英语]]="","",SUMPRODUCT((表成绩单[考试日期]=表成绩单[[#This Row],[考试日期]])*(表成绩单[英语]&lt;9E+307)*(表成绩单[英语]&gt;表成绩单[[#This Row],[英语]]))+1)</f>
        <v>755</v>
      </c>
      <c r="S2386" s="29" cm="1">
        <f t="array" ref="S2386">IF(表成绩单[[#This Row],[物理]]="","",SUMPRODUCT((表成绩单[考试日期]=表成绩单[[#This Row],[考试日期]])*(表成绩单[物理]&lt;9E+307)*(表成绩单[物理]&gt;表成绩单[[#This Row],[物理]]))+1)</f>
        <v>773</v>
      </c>
      <c r="T2386" s="29" cm="1">
        <f t="array" ref="T2386">IF(表成绩单[[#This Row],[化学]]="","",SUMPRODUCT((表成绩单[考试日期]=表成绩单[[#This Row],[考试日期]])*(表成绩单[化学]&lt;9E+307)*(表成绩单[化学]&gt;表成绩单[[#This Row],[化学]]))+1)</f>
        <v>756</v>
      </c>
      <c r="U2386" s="29" cm="1">
        <f t="array" ref="U2386">IF(表成绩单[[#This Row],[政治]]="","",SUMPRODUCT((表成绩单[考试日期]=表成绩单[[#This Row],[考试日期]])*(表成绩单[政治]&lt;9E+307)*(表成绩单[政治]&gt;表成绩单[[#This Row],[政治]]))+1)</f>
        <v>781</v>
      </c>
      <c r="V2386" s="29" cm="1">
        <f t="array" ref="V2386">IF(表成绩单[[#This Row],[历史]]="","",SUMPRODUCT((表成绩单[考试日期]=表成绩单[[#This Row],[考试日期]])*(表成绩单[历史]&lt;9E+307)*(表成绩单[历史]&gt;表成绩单[[#This Row],[历史]]))+1)</f>
        <v>733</v>
      </c>
      <c r="W2386" s="29" cm="1">
        <f t="array" ref="W2386">IF(表成绩单[[#This Row],[总分]]="","",SUMPRODUCT((表成绩单[考试日期]=表成绩单[[#This Row],[考试日期]])*(表成绩单[总分]&lt;9E+307)*(表成绩单[总分]&gt;表成绩单[[#This Row],[总分]]))+1)</f>
        <v>781</v>
      </c>
    </row>
    <row r="2387" ht="28" customHeight="1" spans="4:23">
      <c r="D2387" s="31">
        <v>46030</v>
      </c>
      <c r="E2387" s="29">
        <v>19175993</v>
      </c>
      <c r="F2387" s="29" t="s">
        <v>59</v>
      </c>
      <c r="G2387" s="29" t="s">
        <v>868</v>
      </c>
      <c r="H2387" s="29">
        <v>24</v>
      </c>
      <c r="I2387" s="29">
        <v>18</v>
      </c>
      <c r="J2387" s="29">
        <v>42</v>
      </c>
      <c r="K2387" s="29">
        <v>28</v>
      </c>
      <c r="L2387" s="29">
        <v>36</v>
      </c>
      <c r="M2387" s="29">
        <v>36</v>
      </c>
      <c r="N2387" s="29">
        <v>30</v>
      </c>
      <c r="O2387" s="32">
        <v>214</v>
      </c>
      <c r="P2387" s="29" cm="1">
        <f t="array" ref="P2387">IF(表成绩单[[#This Row],[语文]]="","",SUMPRODUCT((表成绩单[考试日期]=表成绩单[[#This Row],[考试日期]])*(表成绩单[语文]&lt;9E+307)*(表成绩单[语文]&gt;表成绩单[[#This Row],[语文]]))+1)</f>
        <v>785</v>
      </c>
      <c r="Q2387" s="29" cm="1">
        <f t="array" ref="Q2387">IF(表成绩单[[#This Row],[数学]]="","",SUMPRODUCT((表成绩单[考试日期]=表成绩单[[#This Row],[考试日期]])*(表成绩单[数学]&lt;9E+307)*(表成绩单[数学]&gt;表成绩单[[#This Row],[数学]]))+1)</f>
        <v>781</v>
      </c>
      <c r="R2387" s="29" cm="1">
        <f t="array" ref="R2387">IF(表成绩单[[#This Row],[英语]]="","",SUMPRODUCT((表成绩单[考试日期]=表成绩单[[#This Row],[考试日期]])*(表成绩单[英语]&lt;9E+307)*(表成绩单[英语]&gt;表成绩单[[#This Row],[英语]]))+1)</f>
        <v>711</v>
      </c>
      <c r="S2387" s="29" cm="1">
        <f t="array" ref="S2387">IF(表成绩单[[#This Row],[物理]]="","",SUMPRODUCT((表成绩单[考试日期]=表成绩单[[#This Row],[考试日期]])*(表成绩单[物理]&lt;9E+307)*(表成绩单[物理]&gt;表成绩单[[#This Row],[物理]]))+1)</f>
        <v>755</v>
      </c>
      <c r="T2387" s="29" cm="1">
        <f t="array" ref="T2387">IF(表成绩单[[#This Row],[化学]]="","",SUMPRODUCT((表成绩单[考试日期]=表成绩单[[#This Row],[考试日期]])*(表成绩单[化学]&lt;9E+307)*(表成绩单[化学]&gt;表成绩单[[#This Row],[化学]]))+1)</f>
        <v>756</v>
      </c>
      <c r="U2387" s="29" cm="1">
        <f t="array" ref="U2387">IF(表成绩单[[#This Row],[政治]]="","",SUMPRODUCT((表成绩单[考试日期]=表成绩单[[#This Row],[考试日期]])*(表成绩单[政治]&lt;9E+307)*(表成绩单[政治]&gt;表成绩单[[#This Row],[政治]]))+1)</f>
        <v>745</v>
      </c>
      <c r="V2387" s="29" cm="1">
        <f t="array" ref="V2387">IF(表成绩单[[#This Row],[历史]]="","",SUMPRODUCT((表成绩单[考试日期]=表成绩单[[#This Row],[考试日期]])*(表成绩单[历史]&lt;9E+307)*(表成绩单[历史]&gt;表成绩单[[#This Row],[历史]]))+1)</f>
        <v>782</v>
      </c>
      <c r="W2387" s="29" cm="1">
        <f t="array" ref="W2387">IF(表成绩单[[#This Row],[总分]]="","",SUMPRODUCT((表成绩单[考试日期]=表成绩单[[#This Row],[考试日期]])*(表成绩单[总分]&lt;9E+307)*(表成绩单[总分]&gt;表成绩单[[#This Row],[总分]]))+1)</f>
        <v>782</v>
      </c>
    </row>
    <row r="2388" ht="28" customHeight="1" spans="4:23">
      <c r="D2388" s="31">
        <v>46030</v>
      </c>
      <c r="E2388" s="29">
        <v>19175623</v>
      </c>
      <c r="F2388" s="29" t="s">
        <v>57</v>
      </c>
      <c r="G2388" s="29" t="s">
        <v>843</v>
      </c>
      <c r="H2388" s="29">
        <v>55</v>
      </c>
      <c r="I2388" s="29">
        <v>18</v>
      </c>
      <c r="J2388" s="29">
        <v>35.5</v>
      </c>
      <c r="K2388" s="29">
        <v>13</v>
      </c>
      <c r="L2388" s="29">
        <v>30</v>
      </c>
      <c r="M2388" s="29">
        <v>27</v>
      </c>
      <c r="N2388" s="29">
        <v>26</v>
      </c>
      <c r="O2388" s="32">
        <v>204.5</v>
      </c>
      <c r="P2388" s="29" cm="1">
        <f t="array" ref="P2388">IF(表成绩单[[#This Row],[语文]]="","",SUMPRODUCT((表成绩单[考试日期]=表成绩单[[#This Row],[考试日期]])*(表成绩单[语文]&lt;9E+307)*(表成绩单[语文]&gt;表成绩单[[#This Row],[语文]]))+1)</f>
        <v>776</v>
      </c>
      <c r="Q2388" s="29" cm="1">
        <f t="array" ref="Q2388">IF(表成绩单[[#This Row],[数学]]="","",SUMPRODUCT((表成绩单[考试日期]=表成绩单[[#This Row],[考试日期]])*(表成绩单[数学]&lt;9E+307)*(表成绩单[数学]&gt;表成绩单[[#This Row],[数学]]))+1)</f>
        <v>781</v>
      </c>
      <c r="R2388" s="29" cm="1">
        <f t="array" ref="R2388">IF(表成绩单[[#This Row],[英语]]="","",SUMPRODUCT((表成绩单[考试日期]=表成绩单[[#This Row],[考试日期]])*(表成绩单[英语]&lt;9E+307)*(表成绩单[英语]&gt;表成绩单[[#This Row],[英语]]))+1)</f>
        <v>741</v>
      </c>
      <c r="S2388" s="29" cm="1">
        <f t="array" ref="S2388">IF(表成绩单[[#This Row],[物理]]="","",SUMPRODUCT((表成绩单[考试日期]=表成绩单[[#This Row],[考试日期]])*(表成绩单[物理]&lt;9E+307)*(表成绩单[物理]&gt;表成绩单[[#This Row],[物理]]))+1)</f>
        <v>786</v>
      </c>
      <c r="T2388" s="29" cm="1">
        <f t="array" ref="T2388">IF(表成绩单[[#This Row],[化学]]="","",SUMPRODUCT((表成绩单[考试日期]=表成绩单[[#This Row],[考试日期]])*(表成绩单[化学]&lt;9E+307)*(表成绩单[化学]&gt;表成绩单[[#This Row],[化学]]))+1)</f>
        <v>772</v>
      </c>
      <c r="U2388" s="29" cm="1">
        <f t="array" ref="U2388">IF(表成绩单[[#This Row],[政治]]="","",SUMPRODUCT((表成绩单[考试日期]=表成绩单[[#This Row],[考试日期]])*(表成绩单[政治]&lt;9E+307)*(表成绩单[政治]&gt;表成绩单[[#This Row],[政治]]))+1)</f>
        <v>776</v>
      </c>
      <c r="V2388" s="29" cm="1">
        <f t="array" ref="V2388">IF(表成绩单[[#This Row],[历史]]="","",SUMPRODUCT((表成绩单[考试日期]=表成绩单[[#This Row],[考试日期]])*(表成绩单[历史]&lt;9E+307)*(表成绩单[历史]&gt;表成绩单[[#This Row],[历史]]))+1)</f>
        <v>784</v>
      </c>
      <c r="W2388" s="29" cm="1">
        <f t="array" ref="W2388">IF(表成绩单[[#This Row],[总分]]="","",SUMPRODUCT((表成绩单[考试日期]=表成绩单[[#This Row],[考试日期]])*(表成绩单[总分]&lt;9E+307)*(表成绩单[总分]&gt;表成绩单[[#This Row],[总分]]))+1)</f>
        <v>783</v>
      </c>
    </row>
    <row r="2389" ht="28" customHeight="1" spans="4:23">
      <c r="D2389" s="31">
        <v>46030</v>
      </c>
      <c r="E2389" s="29">
        <v>19175300</v>
      </c>
      <c r="F2389" s="29" t="s">
        <v>55</v>
      </c>
      <c r="G2389" s="29" t="s">
        <v>869</v>
      </c>
      <c r="H2389" s="29">
        <v>50</v>
      </c>
      <c r="I2389" s="29">
        <v>15</v>
      </c>
      <c r="J2389" s="29">
        <v>29</v>
      </c>
      <c r="K2389" s="29">
        <v>15</v>
      </c>
      <c r="L2389" s="29">
        <v>22</v>
      </c>
      <c r="M2389" s="29">
        <v>33</v>
      </c>
      <c r="N2389" s="29">
        <v>30</v>
      </c>
      <c r="O2389" s="32">
        <v>194</v>
      </c>
      <c r="P2389" s="29" cm="1">
        <f t="array" ref="P2389">IF(表成绩单[[#This Row],[语文]]="","",SUMPRODUCT((表成绩单[考试日期]=表成绩单[[#This Row],[考试日期]])*(表成绩单[语文]&lt;9E+307)*(表成绩单[语文]&gt;表成绩单[[#This Row],[语文]]))+1)</f>
        <v>781</v>
      </c>
      <c r="Q2389" s="29" cm="1">
        <f t="array" ref="Q2389">IF(表成绩单[[#This Row],[数学]]="","",SUMPRODUCT((表成绩单[考试日期]=表成绩单[[#This Row],[考试日期]])*(表成绩单[数学]&lt;9E+307)*(表成绩单[数学]&gt;表成绩单[[#This Row],[数学]]))+1)</f>
        <v>784</v>
      </c>
      <c r="R2389" s="29" cm="1">
        <f t="array" ref="R2389">IF(表成绩单[[#This Row],[英语]]="","",SUMPRODUCT((表成绩单[考试日期]=表成绩单[[#This Row],[考试日期]])*(表成绩单[英语]&lt;9E+307)*(表成绩单[英语]&gt;表成绩单[[#This Row],[英语]]))+1)</f>
        <v>763</v>
      </c>
      <c r="S2389" s="29" cm="1">
        <f t="array" ref="S2389">IF(表成绩单[[#This Row],[物理]]="","",SUMPRODUCT((表成绩单[考试日期]=表成绩单[[#This Row],[考试日期]])*(表成绩单[物理]&lt;9E+307)*(表成绩单[物理]&gt;表成绩单[[#This Row],[物理]]))+1)</f>
        <v>785</v>
      </c>
      <c r="T2389" s="29" cm="1">
        <f t="array" ref="T2389">IF(表成绩单[[#This Row],[化学]]="","",SUMPRODUCT((表成绩单[考试日期]=表成绩单[[#This Row],[考试日期]])*(表成绩单[化学]&lt;9E+307)*(表成绩单[化学]&gt;表成绩单[[#This Row],[化学]]))+1)</f>
        <v>784</v>
      </c>
      <c r="U2389" s="29" cm="1">
        <f t="array" ref="U2389">IF(表成绩单[[#This Row],[政治]]="","",SUMPRODUCT((表成绩单[考试日期]=表成绩单[[#This Row],[考试日期]])*(表成绩单[政治]&lt;9E+307)*(表成绩单[政治]&gt;表成绩单[[#This Row],[政治]]))+1)</f>
        <v>761</v>
      </c>
      <c r="V2389" s="29" cm="1">
        <f t="array" ref="V2389">IF(表成绩单[[#This Row],[历史]]="","",SUMPRODUCT((表成绩单[考试日期]=表成绩单[[#This Row],[考试日期]])*(表成绩单[历史]&lt;9E+307)*(表成绩单[历史]&gt;表成绩单[[#This Row],[历史]]))+1)</f>
        <v>782</v>
      </c>
      <c r="W2389" s="29" cm="1">
        <f t="array" ref="W2389">IF(表成绩单[[#This Row],[总分]]="","",SUMPRODUCT((表成绩单[考试日期]=表成绩单[[#This Row],[考试日期]])*(表成绩单[总分]&lt;9E+307)*(表成绩单[总分]&gt;表成绩单[[#This Row],[总分]]))+1)</f>
        <v>784</v>
      </c>
    </row>
    <row r="2390" ht="28" customHeight="1" spans="4:23">
      <c r="D2390" s="31">
        <v>46030</v>
      </c>
      <c r="E2390" s="29">
        <v>19175593</v>
      </c>
      <c r="F2390" s="29" t="s">
        <v>57</v>
      </c>
      <c r="G2390" s="29" t="s">
        <v>870</v>
      </c>
      <c r="H2390" s="29">
        <v>47</v>
      </c>
      <c r="I2390" s="29">
        <v>21</v>
      </c>
      <c r="J2390" s="29">
        <v>15</v>
      </c>
      <c r="K2390" s="29">
        <v>19</v>
      </c>
      <c r="L2390" s="29">
        <v>26</v>
      </c>
      <c r="M2390" s="29">
        <v>21</v>
      </c>
      <c r="N2390" s="29">
        <v>17</v>
      </c>
      <c r="O2390" s="32">
        <v>166</v>
      </c>
      <c r="P2390" s="29" cm="1">
        <f t="array" ref="P2390">IF(表成绩单[[#This Row],[语文]]="","",SUMPRODUCT((表成绩单[考试日期]=表成绩单[[#This Row],[考试日期]])*(表成绩单[语文]&lt;9E+307)*(表成绩单[语文]&gt;表成绩单[[#This Row],[语文]]))+1)</f>
        <v>782</v>
      </c>
      <c r="Q2390" s="29" cm="1">
        <f t="array" ref="Q2390">IF(表成绩单[[#This Row],[数学]]="","",SUMPRODUCT((表成绩单[考试日期]=表成绩单[[#This Row],[考试日期]])*(表成绩单[数学]&lt;9E+307)*(表成绩单[数学]&gt;表成绩单[[#This Row],[数学]]))+1)</f>
        <v>780</v>
      </c>
      <c r="R2390" s="29" cm="1">
        <f t="array" ref="R2390">IF(表成绩单[[#This Row],[英语]]="","",SUMPRODUCT((表成绩单[考试日期]=表成绩单[[#This Row],[考试日期]])*(表成绩单[英语]&lt;9E+307)*(表成绩单[英语]&gt;表成绩单[[#This Row],[英语]]))+1)</f>
        <v>780</v>
      </c>
      <c r="S2390" s="29" cm="1">
        <f t="array" ref="S2390">IF(表成绩单[[#This Row],[物理]]="","",SUMPRODUCT((表成绩单[考试日期]=表成绩单[[#This Row],[考试日期]])*(表成绩单[物理]&lt;9E+307)*(表成绩单[物理]&gt;表成绩单[[#This Row],[物理]]))+1)</f>
        <v>779</v>
      </c>
      <c r="T2390" s="29" cm="1">
        <f t="array" ref="T2390">IF(表成绩单[[#This Row],[化学]]="","",SUMPRODUCT((表成绩单[考试日期]=表成绩单[[#This Row],[考试日期]])*(表成绩单[化学]&lt;9E+307)*(表成绩单[化学]&gt;表成绩单[[#This Row],[化学]]))+1)</f>
        <v>778</v>
      </c>
      <c r="U2390" s="29" cm="1">
        <f t="array" ref="U2390">IF(表成绩单[[#This Row],[政治]]="","",SUMPRODUCT((表成绩单[考试日期]=表成绩单[[#This Row],[考试日期]])*(表成绩单[政治]&lt;9E+307)*(表成绩单[政治]&gt;表成绩单[[#This Row],[政治]]))+1)</f>
        <v>784</v>
      </c>
      <c r="V2390" s="29" cm="1">
        <f t="array" ref="V2390">IF(表成绩单[[#This Row],[历史]]="","",SUMPRODUCT((表成绩单[考试日期]=表成绩单[[#This Row],[考试日期]])*(表成绩单[历史]&lt;9E+307)*(表成绩单[历史]&gt;表成绩单[[#This Row],[历史]]))+1)</f>
        <v>785</v>
      </c>
      <c r="W2390" s="29" cm="1">
        <f t="array" ref="W2390">IF(表成绩单[[#This Row],[总分]]="","",SUMPRODUCT((表成绩单[考试日期]=表成绩单[[#This Row],[考试日期]])*(表成绩单[总分]&lt;9E+307)*(表成绩单[总分]&gt;表成绩单[[#This Row],[总分]]))+1)</f>
        <v>786</v>
      </c>
    </row>
    <row r="2391" ht="28" customHeight="1" spans="4:23">
      <c r="D2391" s="31">
        <v>46030</v>
      </c>
      <c r="E2391" s="29">
        <v>19172662</v>
      </c>
      <c r="F2391" s="29" t="s">
        <v>60</v>
      </c>
      <c r="G2391" s="29" t="s">
        <v>871</v>
      </c>
      <c r="H2391" s="29">
        <v>7</v>
      </c>
      <c r="I2391" s="29"/>
      <c r="J2391" s="29">
        <v>1</v>
      </c>
      <c r="K2391" s="29"/>
      <c r="L2391" s="29"/>
      <c r="M2391" s="29"/>
      <c r="N2391" s="29"/>
      <c r="O2391" s="32">
        <v>8</v>
      </c>
      <c r="P2391" s="29" cm="1">
        <f t="array" ref="P2391">IF(表成绩单[[#This Row],[语文]]="","",SUMPRODUCT((表成绩单[考试日期]=表成绩单[[#This Row],[考试日期]])*(表成绩单[语文]&lt;9E+307)*(表成绩单[语文]&gt;表成绩单[[#This Row],[语文]]))+1)</f>
        <v>787</v>
      </c>
      <c r="Q2391" s="29" t="str" cm="1">
        <f t="array" ref="Q2391">IF(表成绩单[[#This Row],[数学]]="","",SUMPRODUCT((表成绩单[考试日期]=表成绩单[[#This Row],[考试日期]])*(表成绩单[数学]&lt;9E+307)*(表成绩单[数学]&gt;表成绩单[[#This Row],[数学]]))+1)</f>
        <v/>
      </c>
      <c r="R2391" s="29" cm="1">
        <f t="array" ref="R2391">IF(表成绩单[[#This Row],[英语]]="","",SUMPRODUCT((表成绩单[考试日期]=表成绩单[[#This Row],[考试日期]])*(表成绩单[英语]&lt;9E+307)*(表成绩单[英语]&gt;表成绩单[[#This Row],[英语]]))+1)</f>
        <v>785</v>
      </c>
      <c r="S2391" s="29" t="str" cm="1">
        <f t="array" ref="S2391">IF(表成绩单[[#This Row],[物理]]="","",SUMPRODUCT((表成绩单[考试日期]=表成绩单[[#This Row],[考试日期]])*(表成绩单[物理]&lt;9E+307)*(表成绩单[物理]&gt;表成绩单[[#This Row],[物理]]))+1)</f>
        <v/>
      </c>
      <c r="T2391" s="29" t="str" cm="1">
        <f t="array" ref="T2391">IF(表成绩单[[#This Row],[化学]]="","",SUMPRODUCT((表成绩单[考试日期]=表成绩单[[#This Row],[考试日期]])*(表成绩单[化学]&lt;9E+307)*(表成绩单[化学]&gt;表成绩单[[#This Row],[化学]]))+1)</f>
        <v/>
      </c>
      <c r="U2391" s="29" t="str" cm="1">
        <f t="array" ref="U2391">IF(表成绩单[[#This Row],[政治]]="","",SUMPRODUCT((表成绩单[考试日期]=表成绩单[[#This Row],[考试日期]])*(表成绩单[政治]&lt;9E+307)*(表成绩单[政治]&gt;表成绩单[[#This Row],[政治]]))+1)</f>
        <v/>
      </c>
      <c r="V2391" s="29" t="str" cm="1">
        <f t="array" ref="V2391">IF(表成绩单[[#This Row],[历史]]="","",SUMPRODUCT((表成绩单[考试日期]=表成绩单[[#This Row],[考试日期]])*(表成绩单[历史]&lt;9E+307)*(表成绩单[历史]&gt;表成绩单[[#This Row],[历史]]))+1)</f>
        <v/>
      </c>
      <c r="W2391" s="29" cm="1">
        <f t="array" ref="W2391">IF(表成绩单[[#This Row],[总分]]="","",SUMPRODUCT((表成绩单[考试日期]=表成绩单[[#This Row],[考试日期]])*(表成绩单[总分]&lt;9E+307)*(表成绩单[总分]&gt;表成绩单[[#This Row],[总分]]))+1)</f>
        <v>787</v>
      </c>
    </row>
    <row r="2392" ht="28" customHeight="1" spans="4:23">
      <c r="D2392" s="31">
        <v>46030</v>
      </c>
      <c r="E2392" s="29">
        <v>19172656</v>
      </c>
      <c r="F2392" s="29" t="s">
        <v>60</v>
      </c>
      <c r="G2392" s="29" t="s">
        <v>847</v>
      </c>
      <c r="H2392" s="29"/>
      <c r="I2392" s="29"/>
      <c r="J2392" s="29"/>
      <c r="K2392" s="29"/>
      <c r="L2392" s="29"/>
      <c r="M2392" s="29"/>
      <c r="N2392" s="29"/>
      <c r="O2392" s="32"/>
      <c r="P2392" s="29" t="str" cm="1">
        <f t="array" ref="P2392">IF(表成绩单[[#This Row],[语文]]="","",SUMPRODUCT((表成绩单[考试日期]=表成绩单[[#This Row],[考试日期]])*(表成绩单[语文]&lt;9E+307)*(表成绩单[语文]&gt;表成绩单[[#This Row],[语文]]))+1)</f>
        <v/>
      </c>
      <c r="Q2392" s="29" t="str" cm="1">
        <f t="array" ref="Q2392">IF(表成绩单[[#This Row],[数学]]="","",SUMPRODUCT((表成绩单[考试日期]=表成绩单[[#This Row],[考试日期]])*(表成绩单[数学]&lt;9E+307)*(表成绩单[数学]&gt;表成绩单[[#This Row],[数学]]))+1)</f>
        <v/>
      </c>
      <c r="R2392" s="29" t="str" cm="1">
        <f t="array" ref="R2392">IF(表成绩单[[#This Row],[英语]]="","",SUMPRODUCT((表成绩单[考试日期]=表成绩单[[#This Row],[考试日期]])*(表成绩单[英语]&lt;9E+307)*(表成绩单[英语]&gt;表成绩单[[#This Row],[英语]]))+1)</f>
        <v/>
      </c>
      <c r="S2392" s="29" t="str" cm="1">
        <f t="array" ref="S2392">IF(表成绩单[[#This Row],[物理]]="","",SUMPRODUCT((表成绩单[考试日期]=表成绩单[[#This Row],[考试日期]])*(表成绩单[物理]&lt;9E+307)*(表成绩单[物理]&gt;表成绩单[[#This Row],[物理]]))+1)</f>
        <v/>
      </c>
      <c r="T2392" s="29" t="str" cm="1">
        <f t="array" ref="T2392">IF(表成绩单[[#This Row],[化学]]="","",SUMPRODUCT((表成绩单[考试日期]=表成绩单[[#This Row],[考试日期]])*(表成绩单[化学]&lt;9E+307)*(表成绩单[化学]&gt;表成绩单[[#This Row],[化学]]))+1)</f>
        <v/>
      </c>
      <c r="U2392" s="29" t="str" cm="1">
        <f t="array" ref="U2392">IF(表成绩单[[#This Row],[政治]]="","",SUMPRODUCT((表成绩单[考试日期]=表成绩单[[#This Row],[考试日期]])*(表成绩单[政治]&lt;9E+307)*(表成绩单[政治]&gt;表成绩单[[#This Row],[政治]]))+1)</f>
        <v/>
      </c>
      <c r="V2392" s="29" t="str" cm="1">
        <f t="array" ref="V2392">IF(表成绩单[[#This Row],[历史]]="","",SUMPRODUCT((表成绩单[考试日期]=表成绩单[[#This Row],[考试日期]])*(表成绩单[历史]&lt;9E+307)*(表成绩单[历史]&gt;表成绩单[[#This Row],[历史]]))+1)</f>
        <v/>
      </c>
      <c r="W2392" s="29" t="str" cm="1">
        <f t="array" ref="W2392">IF(表成绩单[[#This Row],[总分]]="","",SUMPRODUCT((表成绩单[考试日期]=表成绩单[[#This Row],[考试日期]])*(表成绩单[总分]&lt;9E+307)*(表成绩单[总分]&gt;表成绩单[[#This Row],[总分]]))+1)</f>
        <v/>
      </c>
    </row>
    <row r="2393" ht="28" customHeight="1" spans="4:23">
      <c r="D2393" s="31">
        <v>46030</v>
      </c>
      <c r="E2393" s="29">
        <v>19173527</v>
      </c>
      <c r="F2393" s="29" t="s">
        <v>1</v>
      </c>
      <c r="G2393" s="29" t="s">
        <v>145</v>
      </c>
      <c r="H2393" s="29"/>
      <c r="I2393" s="29"/>
      <c r="J2393" s="29"/>
      <c r="K2393" s="29"/>
      <c r="L2393" s="29"/>
      <c r="M2393" s="29"/>
      <c r="N2393" s="29"/>
      <c r="O2393" s="32"/>
      <c r="P2393" s="29" t="str" cm="1">
        <f t="array" ref="P2393">IF(表成绩单[[#This Row],[语文]]="","",SUMPRODUCT((表成绩单[考试日期]=表成绩单[[#This Row],[考试日期]])*(表成绩单[语文]&lt;9E+307)*(表成绩单[语文]&gt;表成绩单[[#This Row],[语文]]))+1)</f>
        <v/>
      </c>
      <c r="Q2393" s="29" t="str" cm="1">
        <f t="array" ref="Q2393">IF(表成绩单[[#This Row],[数学]]="","",SUMPRODUCT((表成绩单[考试日期]=表成绩单[[#This Row],[考试日期]])*(表成绩单[数学]&lt;9E+307)*(表成绩单[数学]&gt;表成绩单[[#This Row],[数学]]))+1)</f>
        <v/>
      </c>
      <c r="R2393" s="29" t="str" cm="1">
        <f t="array" ref="R2393">IF(表成绩单[[#This Row],[英语]]="","",SUMPRODUCT((表成绩单[考试日期]=表成绩单[[#This Row],[考试日期]])*(表成绩单[英语]&lt;9E+307)*(表成绩单[英语]&gt;表成绩单[[#This Row],[英语]]))+1)</f>
        <v/>
      </c>
      <c r="S2393" s="29" t="str" cm="1">
        <f t="array" ref="S2393">IF(表成绩单[[#This Row],[物理]]="","",SUMPRODUCT((表成绩单[考试日期]=表成绩单[[#This Row],[考试日期]])*(表成绩单[物理]&lt;9E+307)*(表成绩单[物理]&gt;表成绩单[[#This Row],[物理]]))+1)</f>
        <v/>
      </c>
      <c r="T2393" s="29" t="str" cm="1">
        <f t="array" ref="T2393">IF(表成绩单[[#This Row],[化学]]="","",SUMPRODUCT((表成绩单[考试日期]=表成绩单[[#This Row],[考试日期]])*(表成绩单[化学]&lt;9E+307)*(表成绩单[化学]&gt;表成绩单[[#This Row],[化学]]))+1)</f>
        <v/>
      </c>
      <c r="U2393" s="29" t="str" cm="1">
        <f t="array" ref="U2393">IF(表成绩单[[#This Row],[政治]]="","",SUMPRODUCT((表成绩单[考试日期]=表成绩单[[#This Row],[考试日期]])*(表成绩单[政治]&lt;9E+307)*(表成绩单[政治]&gt;表成绩单[[#This Row],[政治]]))+1)</f>
        <v/>
      </c>
      <c r="V2393" s="29" t="str" cm="1">
        <f t="array" ref="V2393">IF(表成绩单[[#This Row],[历史]]="","",SUMPRODUCT((表成绩单[考试日期]=表成绩单[[#This Row],[考试日期]])*(表成绩单[历史]&lt;9E+307)*(表成绩单[历史]&gt;表成绩单[[#This Row],[历史]]))+1)</f>
        <v/>
      </c>
      <c r="W2393" s="29" t="str" cm="1">
        <f t="array" ref="W2393">IF(表成绩单[[#This Row],[总分]]="","",SUMPRODUCT((表成绩单[考试日期]=表成绩单[[#This Row],[考试日期]])*(表成绩单[总分]&lt;9E+307)*(表成绩单[总分]&gt;表成绩单[[#This Row],[总分]]))+1)</f>
        <v/>
      </c>
    </row>
    <row r="2394" ht="28" customHeight="1" spans="4:23">
      <c r="D2394" s="31">
        <v>46030</v>
      </c>
      <c r="E2394" s="29">
        <v>19173762</v>
      </c>
      <c r="F2394" s="29" t="s">
        <v>65</v>
      </c>
      <c r="G2394" s="29" t="s">
        <v>607</v>
      </c>
      <c r="H2394" s="29"/>
      <c r="I2394" s="29"/>
      <c r="J2394" s="29"/>
      <c r="K2394" s="29"/>
      <c r="L2394" s="29"/>
      <c r="M2394" s="29"/>
      <c r="N2394" s="29"/>
      <c r="O2394" s="32"/>
      <c r="P2394" s="29" t="str" cm="1">
        <f t="array" ref="P2394">IF(表成绩单[[#This Row],[语文]]="","",SUMPRODUCT((表成绩单[考试日期]=表成绩单[[#This Row],[考试日期]])*(表成绩单[语文]&lt;9E+307)*(表成绩单[语文]&gt;表成绩单[[#This Row],[语文]]))+1)</f>
        <v/>
      </c>
      <c r="Q2394" s="29" t="str" cm="1">
        <f t="array" ref="Q2394">IF(表成绩单[[#This Row],[数学]]="","",SUMPRODUCT((表成绩单[考试日期]=表成绩单[[#This Row],[考试日期]])*(表成绩单[数学]&lt;9E+307)*(表成绩单[数学]&gt;表成绩单[[#This Row],[数学]]))+1)</f>
        <v/>
      </c>
      <c r="R2394" s="29" t="str" cm="1">
        <f t="array" ref="R2394">IF(表成绩单[[#This Row],[英语]]="","",SUMPRODUCT((表成绩单[考试日期]=表成绩单[[#This Row],[考试日期]])*(表成绩单[英语]&lt;9E+307)*(表成绩单[英语]&gt;表成绩单[[#This Row],[英语]]))+1)</f>
        <v/>
      </c>
      <c r="S2394" s="29" t="str" cm="1">
        <f t="array" ref="S2394">IF(表成绩单[[#This Row],[物理]]="","",SUMPRODUCT((表成绩单[考试日期]=表成绩单[[#This Row],[考试日期]])*(表成绩单[物理]&lt;9E+307)*(表成绩单[物理]&gt;表成绩单[[#This Row],[物理]]))+1)</f>
        <v/>
      </c>
      <c r="T2394" s="29" t="str" cm="1">
        <f t="array" ref="T2394">IF(表成绩单[[#This Row],[化学]]="","",SUMPRODUCT((表成绩单[考试日期]=表成绩单[[#This Row],[考试日期]])*(表成绩单[化学]&lt;9E+307)*(表成绩单[化学]&gt;表成绩单[[#This Row],[化学]]))+1)</f>
        <v/>
      </c>
      <c r="U2394" s="29" t="str" cm="1">
        <f t="array" ref="U2394">IF(表成绩单[[#This Row],[政治]]="","",SUMPRODUCT((表成绩单[考试日期]=表成绩单[[#This Row],[考试日期]])*(表成绩单[政治]&lt;9E+307)*(表成绩单[政治]&gt;表成绩单[[#This Row],[政治]]))+1)</f>
        <v/>
      </c>
      <c r="V2394" s="29" t="str" cm="1">
        <f t="array" ref="V2394">IF(表成绩单[[#This Row],[历史]]="","",SUMPRODUCT((表成绩单[考试日期]=表成绩单[[#This Row],[考试日期]])*(表成绩单[历史]&lt;9E+307)*(表成绩单[历史]&gt;表成绩单[[#This Row],[历史]]))+1)</f>
        <v/>
      </c>
      <c r="W2394" s="29" t="str" cm="1">
        <f t="array" ref="W2394">IF(表成绩单[[#This Row],[总分]]="","",SUMPRODUCT((表成绩单[考试日期]=表成绩单[[#This Row],[考试日期]])*(表成绩单[总分]&lt;9E+307)*(表成绩单[总分]&gt;表成绩单[[#This Row],[总分]]))+1)</f>
        <v/>
      </c>
    </row>
    <row r="2395" ht="28" customHeight="1" spans="4:23">
      <c r="D2395" s="31">
        <v>46030</v>
      </c>
      <c r="E2395" s="29">
        <v>19173778</v>
      </c>
      <c r="F2395" s="29" t="s">
        <v>65</v>
      </c>
      <c r="G2395" s="29" t="s">
        <v>831</v>
      </c>
      <c r="H2395" s="29">
        <v>67</v>
      </c>
      <c r="I2395" s="29"/>
      <c r="J2395" s="29"/>
      <c r="K2395" s="29">
        <v>54</v>
      </c>
      <c r="L2395" s="29">
        <v>50</v>
      </c>
      <c r="M2395" s="29"/>
      <c r="N2395" s="29"/>
      <c r="O2395" s="32">
        <v>171</v>
      </c>
      <c r="P2395" s="29" cm="1">
        <f t="array" ref="P2395">IF(表成绩单[[#This Row],[语文]]="","",SUMPRODUCT((表成绩单[考试日期]=表成绩单[[#This Row],[考试日期]])*(表成绩单[语文]&lt;9E+307)*(表成绩单[语文]&gt;表成绩单[[#This Row],[语文]]))+1)</f>
        <v>756</v>
      </c>
      <c r="Q2395" s="29" t="str" cm="1">
        <f t="array" ref="Q2395">IF(表成绩单[[#This Row],[数学]]="","",SUMPRODUCT((表成绩单[考试日期]=表成绩单[[#This Row],[考试日期]])*(表成绩单[数学]&lt;9E+307)*(表成绩单[数学]&gt;表成绩单[[#This Row],[数学]]))+1)</f>
        <v/>
      </c>
      <c r="R2395" s="29" t="str" cm="1">
        <f t="array" ref="R2395">IF(表成绩单[[#This Row],[英语]]="","",SUMPRODUCT((表成绩单[考试日期]=表成绩单[[#This Row],[考试日期]])*(表成绩单[英语]&lt;9E+307)*(表成绩单[英语]&gt;表成绩单[[#This Row],[英语]]))+1)</f>
        <v/>
      </c>
      <c r="S2395" s="29" cm="1">
        <f t="array" ref="S2395">IF(表成绩单[[#This Row],[物理]]="","",SUMPRODUCT((表成绩单[考试日期]=表成绩单[[#This Row],[考试日期]])*(表成绩单[物理]&lt;9E+307)*(表成绩单[物理]&gt;表成绩单[[#This Row],[物理]]))+1)</f>
        <v>568</v>
      </c>
      <c r="T2395" s="29" cm="1">
        <f t="array" ref="T2395">IF(表成绩单[[#This Row],[化学]]="","",SUMPRODUCT((表成绩单[考试日期]=表成绩单[[#This Row],[考试日期]])*(表成绩单[化学]&lt;9E+307)*(表成绩单[化学]&gt;表成绩单[[#This Row],[化学]]))+1)</f>
        <v>662</v>
      </c>
      <c r="U2395" s="29" t="str" cm="1">
        <f t="array" ref="U2395">IF(表成绩单[[#This Row],[政治]]="","",SUMPRODUCT((表成绩单[考试日期]=表成绩单[[#This Row],[考试日期]])*(表成绩单[政治]&lt;9E+307)*(表成绩单[政治]&gt;表成绩单[[#This Row],[政治]]))+1)</f>
        <v/>
      </c>
      <c r="V2395" s="29" t="str" cm="1">
        <f t="array" ref="V2395">IF(表成绩单[[#This Row],[历史]]="","",SUMPRODUCT((表成绩单[考试日期]=表成绩单[[#This Row],[考试日期]])*(表成绩单[历史]&lt;9E+307)*(表成绩单[历史]&gt;表成绩单[[#This Row],[历史]]))+1)</f>
        <v/>
      </c>
      <c r="W2395" s="29" cm="1">
        <f t="array" ref="W2395">IF(表成绩单[[#This Row],[总分]]="","",SUMPRODUCT((表成绩单[考试日期]=表成绩单[[#This Row],[考试日期]])*(表成绩单[总分]&lt;9E+307)*(表成绩单[总分]&gt;表成绩单[[#This Row],[总分]]))+1)</f>
        <v>785</v>
      </c>
    </row>
    <row r="2396" ht="28" customHeight="1" spans="4:23">
      <c r="D2396" s="31">
        <v>46030</v>
      </c>
      <c r="E2396" s="29">
        <v>19173791</v>
      </c>
      <c r="F2396" s="29" t="s">
        <v>65</v>
      </c>
      <c r="G2396" s="29" t="s">
        <v>872</v>
      </c>
      <c r="H2396" s="29"/>
      <c r="I2396" s="29"/>
      <c r="J2396" s="29"/>
      <c r="K2396" s="29"/>
      <c r="L2396" s="29"/>
      <c r="M2396" s="29"/>
      <c r="N2396" s="29"/>
      <c r="O2396" s="32"/>
      <c r="P2396" s="29" t="str" cm="1">
        <f t="array" ref="P2396">IF(表成绩单[[#This Row],[语文]]="","",SUMPRODUCT((表成绩单[考试日期]=表成绩单[[#This Row],[考试日期]])*(表成绩单[语文]&lt;9E+307)*(表成绩单[语文]&gt;表成绩单[[#This Row],[语文]]))+1)</f>
        <v/>
      </c>
      <c r="Q2396" s="29" t="str" cm="1">
        <f t="array" ref="Q2396">IF(表成绩单[[#This Row],[数学]]="","",SUMPRODUCT((表成绩单[考试日期]=表成绩单[[#This Row],[考试日期]])*(表成绩单[数学]&lt;9E+307)*(表成绩单[数学]&gt;表成绩单[[#This Row],[数学]]))+1)</f>
        <v/>
      </c>
      <c r="R2396" s="29" t="str" cm="1">
        <f t="array" ref="R2396">IF(表成绩单[[#This Row],[英语]]="","",SUMPRODUCT((表成绩单[考试日期]=表成绩单[[#This Row],[考试日期]])*(表成绩单[英语]&lt;9E+307)*(表成绩单[英语]&gt;表成绩单[[#This Row],[英语]]))+1)</f>
        <v/>
      </c>
      <c r="S2396" s="29" t="str" cm="1">
        <f t="array" ref="S2396">IF(表成绩单[[#This Row],[物理]]="","",SUMPRODUCT((表成绩单[考试日期]=表成绩单[[#This Row],[考试日期]])*(表成绩单[物理]&lt;9E+307)*(表成绩单[物理]&gt;表成绩单[[#This Row],[物理]]))+1)</f>
        <v/>
      </c>
      <c r="T2396" s="29" t="str" cm="1">
        <f t="array" ref="T2396">IF(表成绩单[[#This Row],[化学]]="","",SUMPRODUCT((表成绩单[考试日期]=表成绩单[[#This Row],[考试日期]])*(表成绩单[化学]&lt;9E+307)*(表成绩单[化学]&gt;表成绩单[[#This Row],[化学]]))+1)</f>
        <v/>
      </c>
      <c r="U2396" s="29" t="str" cm="1">
        <f t="array" ref="U2396">IF(表成绩单[[#This Row],[政治]]="","",SUMPRODUCT((表成绩单[考试日期]=表成绩单[[#This Row],[考试日期]])*(表成绩单[政治]&lt;9E+307)*(表成绩单[政治]&gt;表成绩单[[#This Row],[政治]]))+1)</f>
        <v/>
      </c>
      <c r="V2396" s="29" t="str" cm="1">
        <f t="array" ref="V2396">IF(表成绩单[[#This Row],[历史]]="","",SUMPRODUCT((表成绩单[考试日期]=表成绩单[[#This Row],[考试日期]])*(表成绩单[历史]&lt;9E+307)*(表成绩单[历史]&gt;表成绩单[[#This Row],[历史]]))+1)</f>
        <v/>
      </c>
      <c r="W2396" s="29" t="str" cm="1">
        <f t="array" ref="W2396">IF(表成绩单[[#This Row],[总分]]="","",SUMPRODUCT((表成绩单[考试日期]=表成绩单[[#This Row],[考试日期]])*(表成绩单[总分]&lt;9E+307)*(表成绩单[总分]&gt;表成绩单[[#This Row],[总分]]))+1)</f>
        <v/>
      </c>
    </row>
    <row r="2397" ht="28" customHeight="1" spans="4:23">
      <c r="D2397" s="31">
        <v>46030</v>
      </c>
      <c r="E2397" s="29">
        <v>19174808</v>
      </c>
      <c r="F2397" s="29" t="s">
        <v>69</v>
      </c>
      <c r="G2397" s="29" t="s">
        <v>873</v>
      </c>
      <c r="H2397" s="29">
        <v>70</v>
      </c>
      <c r="I2397" s="29"/>
      <c r="J2397" s="29"/>
      <c r="K2397" s="29">
        <v>35</v>
      </c>
      <c r="L2397" s="29">
        <v>50</v>
      </c>
      <c r="M2397" s="29">
        <v>50</v>
      </c>
      <c r="N2397" s="29">
        <v>50</v>
      </c>
      <c r="O2397" s="32">
        <v>255</v>
      </c>
      <c r="P2397" s="29" cm="1">
        <f t="array" ref="P2397">IF(表成绩单[[#This Row],[语文]]="","",SUMPRODUCT((表成绩单[考试日期]=表成绩单[[#This Row],[考试日期]])*(表成绩单[语文]&lt;9E+307)*(表成绩单[语文]&gt;表成绩单[[#This Row],[语文]]))+1)</f>
        <v>742</v>
      </c>
      <c r="Q2397" s="29" t="str" cm="1">
        <f t="array" ref="Q2397">IF(表成绩单[[#This Row],[数学]]="","",SUMPRODUCT((表成绩单[考试日期]=表成绩单[[#This Row],[考试日期]])*(表成绩单[数学]&lt;9E+307)*(表成绩单[数学]&gt;表成绩单[[#This Row],[数学]]))+1)</f>
        <v/>
      </c>
      <c r="R2397" s="29" t="str" cm="1">
        <f t="array" ref="R2397">IF(表成绩单[[#This Row],[英语]]="","",SUMPRODUCT((表成绩单[考试日期]=表成绩单[[#This Row],[考试日期]])*(表成绩单[英语]&lt;9E+307)*(表成绩单[英语]&gt;表成绩单[[#This Row],[英语]]))+1)</f>
        <v/>
      </c>
      <c r="S2397" s="29" cm="1">
        <f t="array" ref="S2397">IF(表成绩单[[#This Row],[物理]]="","",SUMPRODUCT((表成绩单[考试日期]=表成绩单[[#This Row],[考试日期]])*(表成绩单[物理]&lt;9E+307)*(表成绩单[物理]&gt;表成绩单[[#This Row],[物理]]))+1)</f>
        <v>722</v>
      </c>
      <c r="T2397" s="29" cm="1">
        <f t="array" ref="T2397">IF(表成绩单[[#This Row],[化学]]="","",SUMPRODUCT((表成绩单[考试日期]=表成绩单[[#This Row],[考试日期]])*(表成绩单[化学]&lt;9E+307)*(表成绩单[化学]&gt;表成绩单[[#This Row],[化学]]))+1)</f>
        <v>662</v>
      </c>
      <c r="U2397" s="29" cm="1">
        <f t="array" ref="U2397">IF(表成绩单[[#This Row],[政治]]="","",SUMPRODUCT((表成绩单[考试日期]=表成绩单[[#This Row],[考试日期]])*(表成绩单[政治]&lt;9E+307)*(表成绩单[政治]&gt;表成绩单[[#This Row],[政治]]))+1)</f>
        <v>663</v>
      </c>
      <c r="V2397" s="29" cm="1">
        <f t="array" ref="V2397">IF(表成绩单[[#This Row],[历史]]="","",SUMPRODUCT((表成绩单[考试日期]=表成绩单[[#This Row],[考试日期]])*(表成绩单[历史]&lt;9E+307)*(表成绩单[历史]&gt;表成绩单[[#This Row],[历史]]))+1)</f>
        <v>723</v>
      </c>
      <c r="W2397" s="29" cm="1">
        <f t="array" ref="W2397">IF(表成绩单[[#This Row],[总分]]="","",SUMPRODUCT((表成绩单[考试日期]=表成绩单[[#This Row],[考试日期]])*(表成绩单[总分]&lt;9E+307)*(表成绩单[总分]&gt;表成绩单[[#This Row],[总分]]))+1)</f>
        <v>780</v>
      </c>
    </row>
    <row r="2398" ht="28" customHeight="1" spans="4:23">
      <c r="D2398" s="31">
        <v>46030</v>
      </c>
      <c r="E2398" s="29">
        <v>19175302</v>
      </c>
      <c r="F2398" s="29" t="s">
        <v>55</v>
      </c>
      <c r="G2398" s="29" t="s">
        <v>842</v>
      </c>
      <c r="H2398" s="29"/>
      <c r="I2398" s="29"/>
      <c r="J2398" s="29"/>
      <c r="K2398" s="29"/>
      <c r="L2398" s="29"/>
      <c r="M2398" s="29"/>
      <c r="N2398" s="29"/>
      <c r="O2398" s="32"/>
      <c r="P2398" s="29" t="str" cm="1">
        <f t="array" ref="P2398">IF(表成绩单[[#This Row],[语文]]="","",SUMPRODUCT((表成绩单[考试日期]=表成绩单[[#This Row],[考试日期]])*(表成绩单[语文]&lt;9E+307)*(表成绩单[语文]&gt;表成绩单[[#This Row],[语文]]))+1)</f>
        <v/>
      </c>
      <c r="Q2398" s="29" t="str" cm="1">
        <f t="array" ref="Q2398">IF(表成绩单[[#This Row],[数学]]="","",SUMPRODUCT((表成绩单[考试日期]=表成绩单[[#This Row],[考试日期]])*(表成绩单[数学]&lt;9E+307)*(表成绩单[数学]&gt;表成绩单[[#This Row],[数学]]))+1)</f>
        <v/>
      </c>
      <c r="R2398" s="29" t="str" cm="1">
        <f t="array" ref="R2398">IF(表成绩单[[#This Row],[英语]]="","",SUMPRODUCT((表成绩单[考试日期]=表成绩单[[#This Row],[考试日期]])*(表成绩单[英语]&lt;9E+307)*(表成绩单[英语]&gt;表成绩单[[#This Row],[英语]]))+1)</f>
        <v/>
      </c>
      <c r="S2398" s="29" t="str" cm="1">
        <f t="array" ref="S2398">IF(表成绩单[[#This Row],[物理]]="","",SUMPRODUCT((表成绩单[考试日期]=表成绩单[[#This Row],[考试日期]])*(表成绩单[物理]&lt;9E+307)*(表成绩单[物理]&gt;表成绩单[[#This Row],[物理]]))+1)</f>
        <v/>
      </c>
      <c r="T2398" s="29" t="str" cm="1">
        <f t="array" ref="T2398">IF(表成绩单[[#This Row],[化学]]="","",SUMPRODUCT((表成绩单[考试日期]=表成绩单[[#This Row],[考试日期]])*(表成绩单[化学]&lt;9E+307)*(表成绩单[化学]&gt;表成绩单[[#This Row],[化学]]))+1)</f>
        <v/>
      </c>
      <c r="U2398" s="29" t="str" cm="1">
        <f t="array" ref="U2398">IF(表成绩单[[#This Row],[政治]]="","",SUMPRODUCT((表成绩单[考试日期]=表成绩单[[#This Row],[考试日期]])*(表成绩单[政治]&lt;9E+307)*(表成绩单[政治]&gt;表成绩单[[#This Row],[政治]]))+1)</f>
        <v/>
      </c>
      <c r="V2398" s="29" t="str" cm="1">
        <f t="array" ref="V2398">IF(表成绩单[[#This Row],[历史]]="","",SUMPRODUCT((表成绩单[考试日期]=表成绩单[[#This Row],[考试日期]])*(表成绩单[历史]&lt;9E+307)*(表成绩单[历史]&gt;表成绩单[[#This Row],[历史]]))+1)</f>
        <v/>
      </c>
      <c r="W2398" s="29" t="str" cm="1">
        <f t="array" ref="W2398">IF(表成绩单[[#This Row],[总分]]="","",SUMPRODUCT((表成绩单[考试日期]=表成绩单[[#This Row],[考试日期]])*(表成绩单[总分]&lt;9E+307)*(表成绩单[总分]&gt;表成绩单[[#This Row],[总分]]))+1)</f>
        <v/>
      </c>
    </row>
    <row r="2399" ht="28" customHeight="1" spans="4:23">
      <c r="D2399" s="31">
        <v>46030</v>
      </c>
      <c r="E2399" s="29">
        <v>19175319</v>
      </c>
      <c r="F2399" s="29" t="s">
        <v>55</v>
      </c>
      <c r="G2399" s="29" t="s">
        <v>874</v>
      </c>
      <c r="H2399" s="29"/>
      <c r="I2399" s="29"/>
      <c r="J2399" s="29"/>
      <c r="K2399" s="29"/>
      <c r="L2399" s="29"/>
      <c r="M2399" s="29"/>
      <c r="N2399" s="29"/>
      <c r="O2399" s="32"/>
      <c r="P2399" s="29" t="str" cm="1">
        <f t="array" ref="P2399">IF(表成绩单[[#This Row],[语文]]="","",SUMPRODUCT((表成绩单[考试日期]=表成绩单[[#This Row],[考试日期]])*(表成绩单[语文]&lt;9E+307)*(表成绩单[语文]&gt;表成绩单[[#This Row],[语文]]))+1)</f>
        <v/>
      </c>
      <c r="Q2399" s="29" t="str" cm="1">
        <f t="array" ref="Q2399">IF(表成绩单[[#This Row],[数学]]="","",SUMPRODUCT((表成绩单[考试日期]=表成绩单[[#This Row],[考试日期]])*(表成绩单[数学]&lt;9E+307)*(表成绩单[数学]&gt;表成绩单[[#This Row],[数学]]))+1)</f>
        <v/>
      </c>
      <c r="R2399" s="29" t="str" cm="1">
        <f t="array" ref="R2399">IF(表成绩单[[#This Row],[英语]]="","",SUMPRODUCT((表成绩单[考试日期]=表成绩单[[#This Row],[考试日期]])*(表成绩单[英语]&lt;9E+307)*(表成绩单[英语]&gt;表成绩单[[#This Row],[英语]]))+1)</f>
        <v/>
      </c>
      <c r="S2399" s="29" t="str" cm="1">
        <f t="array" ref="S2399">IF(表成绩单[[#This Row],[物理]]="","",SUMPRODUCT((表成绩单[考试日期]=表成绩单[[#This Row],[考试日期]])*(表成绩单[物理]&lt;9E+307)*(表成绩单[物理]&gt;表成绩单[[#This Row],[物理]]))+1)</f>
        <v/>
      </c>
      <c r="T2399" s="29" t="str" cm="1">
        <f t="array" ref="T2399">IF(表成绩单[[#This Row],[化学]]="","",SUMPRODUCT((表成绩单[考试日期]=表成绩单[[#This Row],[考试日期]])*(表成绩单[化学]&lt;9E+307)*(表成绩单[化学]&gt;表成绩单[[#This Row],[化学]]))+1)</f>
        <v/>
      </c>
      <c r="U2399" s="29" t="str" cm="1">
        <f t="array" ref="U2399">IF(表成绩单[[#This Row],[政治]]="","",SUMPRODUCT((表成绩单[考试日期]=表成绩单[[#This Row],[考试日期]])*(表成绩单[政治]&lt;9E+307)*(表成绩单[政治]&gt;表成绩单[[#This Row],[政治]]))+1)</f>
        <v/>
      </c>
      <c r="V2399" s="29" t="str" cm="1">
        <f t="array" ref="V2399">IF(表成绩单[[#This Row],[历史]]="","",SUMPRODUCT((表成绩单[考试日期]=表成绩单[[#This Row],[考试日期]])*(表成绩单[历史]&lt;9E+307)*(表成绩单[历史]&gt;表成绩单[[#This Row],[历史]]))+1)</f>
        <v/>
      </c>
      <c r="W2399" s="29" t="str" cm="1">
        <f t="array" ref="W2399">IF(表成绩单[[#This Row],[总分]]="","",SUMPRODUCT((表成绩单[考试日期]=表成绩单[[#This Row],[考试日期]])*(表成绩单[总分]&lt;9E+307)*(表成绩单[总分]&gt;表成绩单[[#This Row],[总分]]))+1)</f>
        <v/>
      </c>
    </row>
    <row r="2400" ht="28" customHeight="1" spans="4:23">
      <c r="D2400" s="31">
        <v>46030</v>
      </c>
      <c r="E2400" s="29">
        <v>19175397</v>
      </c>
      <c r="F2400" s="29" t="s">
        <v>74</v>
      </c>
      <c r="G2400" s="29" t="s">
        <v>92</v>
      </c>
      <c r="H2400" s="29"/>
      <c r="I2400" s="29"/>
      <c r="J2400" s="29"/>
      <c r="K2400" s="29"/>
      <c r="L2400" s="29"/>
      <c r="M2400" s="29"/>
      <c r="N2400" s="29"/>
      <c r="O2400" s="32"/>
      <c r="P2400" s="29" t="str" cm="1">
        <f t="array" ref="P2400">IF(表成绩单[[#This Row],[语文]]="","",SUMPRODUCT((表成绩单[考试日期]=表成绩单[[#This Row],[考试日期]])*(表成绩单[语文]&lt;9E+307)*(表成绩单[语文]&gt;表成绩单[[#This Row],[语文]]))+1)</f>
        <v/>
      </c>
      <c r="Q2400" s="29" t="str" cm="1">
        <f t="array" ref="Q2400">IF(表成绩单[[#This Row],[数学]]="","",SUMPRODUCT((表成绩单[考试日期]=表成绩单[[#This Row],[考试日期]])*(表成绩单[数学]&lt;9E+307)*(表成绩单[数学]&gt;表成绩单[[#This Row],[数学]]))+1)</f>
        <v/>
      </c>
      <c r="R2400" s="29" t="str" cm="1">
        <f t="array" ref="R2400">IF(表成绩单[[#This Row],[英语]]="","",SUMPRODUCT((表成绩单[考试日期]=表成绩单[[#This Row],[考试日期]])*(表成绩单[英语]&lt;9E+307)*(表成绩单[英语]&gt;表成绩单[[#This Row],[英语]]))+1)</f>
        <v/>
      </c>
      <c r="S2400" s="29" t="str" cm="1">
        <f t="array" ref="S2400">IF(表成绩单[[#This Row],[物理]]="","",SUMPRODUCT((表成绩单[考试日期]=表成绩单[[#This Row],[考试日期]])*(表成绩单[物理]&lt;9E+307)*(表成绩单[物理]&gt;表成绩单[[#This Row],[物理]]))+1)</f>
        <v/>
      </c>
      <c r="T2400" s="29" t="str" cm="1">
        <f t="array" ref="T2400">IF(表成绩单[[#This Row],[化学]]="","",SUMPRODUCT((表成绩单[考试日期]=表成绩单[[#This Row],[考试日期]])*(表成绩单[化学]&lt;9E+307)*(表成绩单[化学]&gt;表成绩单[[#This Row],[化学]]))+1)</f>
        <v/>
      </c>
      <c r="U2400" s="29" t="str" cm="1">
        <f t="array" ref="U2400">IF(表成绩单[[#This Row],[政治]]="","",SUMPRODUCT((表成绩单[考试日期]=表成绩单[[#This Row],[考试日期]])*(表成绩单[政治]&lt;9E+307)*(表成绩单[政治]&gt;表成绩单[[#This Row],[政治]]))+1)</f>
        <v/>
      </c>
      <c r="V2400" s="29" t="str" cm="1">
        <f t="array" ref="V2400">IF(表成绩单[[#This Row],[历史]]="","",SUMPRODUCT((表成绩单[考试日期]=表成绩单[[#This Row],[考试日期]])*(表成绩单[历史]&lt;9E+307)*(表成绩单[历史]&gt;表成绩单[[#This Row],[历史]]))+1)</f>
        <v/>
      </c>
      <c r="W2400" s="29" t="str" cm="1">
        <f t="array" ref="W2400">IF(表成绩单[[#This Row],[总分]]="","",SUMPRODUCT((表成绩单[考试日期]=表成绩单[[#This Row],[考试日期]])*(表成绩单[总分]&lt;9E+307)*(表成绩单[总分]&gt;表成绩单[[#This Row],[总分]]))+1)</f>
        <v/>
      </c>
    </row>
    <row r="2401" ht="28" customHeight="1" spans="4:23">
      <c r="D2401" s="31">
        <v>46030</v>
      </c>
      <c r="E2401" s="29">
        <v>19175418</v>
      </c>
      <c r="F2401" s="29" t="s">
        <v>74</v>
      </c>
      <c r="G2401" s="29" t="s">
        <v>371</v>
      </c>
      <c r="H2401" s="29"/>
      <c r="I2401" s="29"/>
      <c r="J2401" s="29"/>
      <c r="K2401" s="29"/>
      <c r="L2401" s="29"/>
      <c r="M2401" s="29"/>
      <c r="N2401" s="29"/>
      <c r="O2401" s="32"/>
      <c r="P2401" s="29" t="str" cm="1">
        <f t="array" ref="P2401">IF(表成绩单[[#This Row],[语文]]="","",SUMPRODUCT((表成绩单[考试日期]=表成绩单[[#This Row],[考试日期]])*(表成绩单[语文]&lt;9E+307)*(表成绩单[语文]&gt;表成绩单[[#This Row],[语文]]))+1)</f>
        <v/>
      </c>
      <c r="Q2401" s="29" t="str" cm="1">
        <f t="array" ref="Q2401">IF(表成绩单[[#This Row],[数学]]="","",SUMPRODUCT((表成绩单[考试日期]=表成绩单[[#This Row],[考试日期]])*(表成绩单[数学]&lt;9E+307)*(表成绩单[数学]&gt;表成绩单[[#This Row],[数学]]))+1)</f>
        <v/>
      </c>
      <c r="R2401" s="29" t="str" cm="1">
        <f t="array" ref="R2401">IF(表成绩单[[#This Row],[英语]]="","",SUMPRODUCT((表成绩单[考试日期]=表成绩单[[#This Row],[考试日期]])*(表成绩单[英语]&lt;9E+307)*(表成绩单[英语]&gt;表成绩单[[#This Row],[英语]]))+1)</f>
        <v/>
      </c>
      <c r="S2401" s="29" t="str" cm="1">
        <f t="array" ref="S2401">IF(表成绩单[[#This Row],[物理]]="","",SUMPRODUCT((表成绩单[考试日期]=表成绩单[[#This Row],[考试日期]])*(表成绩单[物理]&lt;9E+307)*(表成绩单[物理]&gt;表成绩单[[#This Row],[物理]]))+1)</f>
        <v/>
      </c>
      <c r="T2401" s="29" t="str" cm="1">
        <f t="array" ref="T2401">IF(表成绩单[[#This Row],[化学]]="","",SUMPRODUCT((表成绩单[考试日期]=表成绩单[[#This Row],[考试日期]])*(表成绩单[化学]&lt;9E+307)*(表成绩单[化学]&gt;表成绩单[[#This Row],[化学]]))+1)</f>
        <v/>
      </c>
      <c r="U2401" s="29" t="str" cm="1">
        <f t="array" ref="U2401">IF(表成绩单[[#This Row],[政治]]="","",SUMPRODUCT((表成绩单[考试日期]=表成绩单[[#This Row],[考试日期]])*(表成绩单[政治]&lt;9E+307)*(表成绩单[政治]&gt;表成绩单[[#This Row],[政治]]))+1)</f>
        <v/>
      </c>
      <c r="V2401" s="29" t="str" cm="1">
        <f t="array" ref="V2401">IF(表成绩单[[#This Row],[历史]]="","",SUMPRODUCT((表成绩单[考试日期]=表成绩单[[#This Row],[考试日期]])*(表成绩单[历史]&lt;9E+307)*(表成绩单[历史]&gt;表成绩单[[#This Row],[历史]]))+1)</f>
        <v/>
      </c>
      <c r="W2401" s="29" t="str" cm="1">
        <f t="array" ref="W2401">IF(表成绩单[[#This Row],[总分]]="","",SUMPRODUCT((表成绩单[考试日期]=表成绩单[[#This Row],[考试日期]])*(表成绩单[总分]&lt;9E+307)*(表成绩单[总分]&gt;表成绩单[[#This Row],[总分]]))+1)</f>
        <v/>
      </c>
    </row>
    <row r="2402" ht="28" customHeight="1" spans="4:23">
      <c r="D2402" s="31">
        <v>46030</v>
      </c>
      <c r="E2402" s="29">
        <v>19175619</v>
      </c>
      <c r="F2402" s="29" t="s">
        <v>57</v>
      </c>
      <c r="G2402" s="29" t="s">
        <v>876</v>
      </c>
      <c r="H2402" s="29"/>
      <c r="I2402" s="29"/>
      <c r="J2402" s="29"/>
      <c r="K2402" s="29"/>
      <c r="L2402" s="29"/>
      <c r="M2402" s="29"/>
      <c r="N2402" s="29"/>
      <c r="O2402" s="32"/>
      <c r="P2402" s="29" t="str" cm="1">
        <f t="array" ref="P2402">IF(表成绩单[[#This Row],[语文]]="","",SUMPRODUCT((表成绩单[考试日期]=表成绩单[[#This Row],[考试日期]])*(表成绩单[语文]&lt;9E+307)*(表成绩单[语文]&gt;表成绩单[[#This Row],[语文]]))+1)</f>
        <v/>
      </c>
      <c r="Q2402" s="29" t="str" cm="1">
        <f t="array" ref="Q2402">IF(表成绩单[[#This Row],[数学]]="","",SUMPRODUCT((表成绩单[考试日期]=表成绩单[[#This Row],[考试日期]])*(表成绩单[数学]&lt;9E+307)*(表成绩单[数学]&gt;表成绩单[[#This Row],[数学]]))+1)</f>
        <v/>
      </c>
      <c r="R2402" s="29" t="str" cm="1">
        <f t="array" ref="R2402">IF(表成绩单[[#This Row],[英语]]="","",SUMPRODUCT((表成绩单[考试日期]=表成绩单[[#This Row],[考试日期]])*(表成绩单[英语]&lt;9E+307)*(表成绩单[英语]&gt;表成绩单[[#This Row],[英语]]))+1)</f>
        <v/>
      </c>
      <c r="S2402" s="29" t="str" cm="1">
        <f t="array" ref="S2402">IF(表成绩单[[#This Row],[物理]]="","",SUMPRODUCT((表成绩单[考试日期]=表成绩单[[#This Row],[考试日期]])*(表成绩单[物理]&lt;9E+307)*(表成绩单[物理]&gt;表成绩单[[#This Row],[物理]]))+1)</f>
        <v/>
      </c>
      <c r="T2402" s="29" t="str" cm="1">
        <f t="array" ref="T2402">IF(表成绩单[[#This Row],[化学]]="","",SUMPRODUCT((表成绩单[考试日期]=表成绩单[[#This Row],[考试日期]])*(表成绩单[化学]&lt;9E+307)*(表成绩单[化学]&gt;表成绩单[[#This Row],[化学]]))+1)</f>
        <v/>
      </c>
      <c r="U2402" s="29" t="str" cm="1">
        <f t="array" ref="U2402">IF(表成绩单[[#This Row],[政治]]="","",SUMPRODUCT((表成绩单[考试日期]=表成绩单[[#This Row],[考试日期]])*(表成绩单[政治]&lt;9E+307)*(表成绩单[政治]&gt;表成绩单[[#This Row],[政治]]))+1)</f>
        <v/>
      </c>
      <c r="V2402" s="29" t="str" cm="1">
        <f t="array" ref="V2402">IF(表成绩单[[#This Row],[历史]]="","",SUMPRODUCT((表成绩单[考试日期]=表成绩单[[#This Row],[考试日期]])*(表成绩单[历史]&lt;9E+307)*(表成绩单[历史]&gt;表成绩单[[#This Row],[历史]]))+1)</f>
        <v/>
      </c>
      <c r="W2402" s="29" t="str" cm="1">
        <f t="array" ref="W2402">IF(表成绩单[[#This Row],[总分]]="","",SUMPRODUCT((表成绩单[考试日期]=表成绩单[[#This Row],[考试日期]])*(表成绩单[总分]&lt;9E+307)*(表成绩单[总分]&gt;表成绩单[[#This Row],[总分]]))+1)</f>
        <v/>
      </c>
    </row>
    <row r="2403" ht="28" customHeight="1" spans="4:23">
      <c r="D2403" s="31">
        <v>46030</v>
      </c>
      <c r="E2403" s="29">
        <v>19175624</v>
      </c>
      <c r="F2403" s="29" t="s">
        <v>57</v>
      </c>
      <c r="G2403" s="29" t="s">
        <v>877</v>
      </c>
      <c r="H2403" s="29"/>
      <c r="I2403" s="29"/>
      <c r="J2403" s="29"/>
      <c r="K2403" s="29"/>
      <c r="L2403" s="29"/>
      <c r="M2403" s="29"/>
      <c r="N2403" s="29"/>
      <c r="O2403" s="32"/>
      <c r="P2403" s="29" t="str" cm="1">
        <f t="array" ref="P2403">IF(表成绩单[[#This Row],[语文]]="","",SUMPRODUCT((表成绩单[考试日期]=表成绩单[[#This Row],[考试日期]])*(表成绩单[语文]&lt;9E+307)*(表成绩单[语文]&gt;表成绩单[[#This Row],[语文]]))+1)</f>
        <v/>
      </c>
      <c r="Q2403" s="29" t="str" cm="1">
        <f t="array" ref="Q2403">IF(表成绩单[[#This Row],[数学]]="","",SUMPRODUCT((表成绩单[考试日期]=表成绩单[[#This Row],[考试日期]])*(表成绩单[数学]&lt;9E+307)*(表成绩单[数学]&gt;表成绩单[[#This Row],[数学]]))+1)</f>
        <v/>
      </c>
      <c r="R2403" s="29" t="str" cm="1">
        <f t="array" ref="R2403">IF(表成绩单[[#This Row],[英语]]="","",SUMPRODUCT((表成绩单[考试日期]=表成绩单[[#This Row],[考试日期]])*(表成绩单[英语]&lt;9E+307)*(表成绩单[英语]&gt;表成绩单[[#This Row],[英语]]))+1)</f>
        <v/>
      </c>
      <c r="S2403" s="29" t="str" cm="1">
        <f t="array" ref="S2403">IF(表成绩单[[#This Row],[物理]]="","",SUMPRODUCT((表成绩单[考试日期]=表成绩单[[#This Row],[考试日期]])*(表成绩单[物理]&lt;9E+307)*(表成绩单[物理]&gt;表成绩单[[#This Row],[物理]]))+1)</f>
        <v/>
      </c>
      <c r="T2403" s="29" t="str" cm="1">
        <f t="array" ref="T2403">IF(表成绩单[[#This Row],[化学]]="","",SUMPRODUCT((表成绩单[考试日期]=表成绩单[[#This Row],[考试日期]])*(表成绩单[化学]&lt;9E+307)*(表成绩单[化学]&gt;表成绩单[[#This Row],[化学]]))+1)</f>
        <v/>
      </c>
      <c r="U2403" s="29" t="str" cm="1">
        <f t="array" ref="U2403">IF(表成绩单[[#This Row],[政治]]="","",SUMPRODUCT((表成绩单[考试日期]=表成绩单[[#This Row],[考试日期]])*(表成绩单[政治]&lt;9E+307)*(表成绩单[政治]&gt;表成绩单[[#This Row],[政治]]))+1)</f>
        <v/>
      </c>
      <c r="V2403" s="29" t="str" cm="1">
        <f t="array" ref="V2403">IF(表成绩单[[#This Row],[历史]]="","",SUMPRODUCT((表成绩单[考试日期]=表成绩单[[#This Row],[考试日期]])*(表成绩单[历史]&lt;9E+307)*(表成绩单[历史]&gt;表成绩单[[#This Row],[历史]]))+1)</f>
        <v/>
      </c>
      <c r="W2403" s="29" t="str" cm="1">
        <f t="array" ref="W2403">IF(表成绩单[[#This Row],[总分]]="","",SUMPRODUCT((表成绩单[考试日期]=表成绩单[[#This Row],[考试日期]])*(表成绩单[总分]&lt;9E+307)*(表成绩单[总分]&gt;表成绩单[[#This Row],[总分]]))+1)</f>
        <v/>
      </c>
    </row>
    <row r="2404" ht="28" customHeight="1" spans="4:23">
      <c r="D2404" s="31">
        <v>46030</v>
      </c>
      <c r="E2404" s="29">
        <v>19175981</v>
      </c>
      <c r="F2404" s="29" t="s">
        <v>59</v>
      </c>
      <c r="G2404" s="29" t="s">
        <v>735</v>
      </c>
      <c r="H2404" s="29"/>
      <c r="I2404" s="29"/>
      <c r="J2404" s="29"/>
      <c r="K2404" s="29"/>
      <c r="L2404" s="29"/>
      <c r="M2404" s="29"/>
      <c r="N2404" s="29"/>
      <c r="O2404" s="32"/>
      <c r="P2404" s="29" t="str" cm="1">
        <f t="array" ref="P2404">IF(表成绩单[[#This Row],[语文]]="","",SUMPRODUCT((表成绩单[考试日期]=表成绩单[[#This Row],[考试日期]])*(表成绩单[语文]&lt;9E+307)*(表成绩单[语文]&gt;表成绩单[[#This Row],[语文]]))+1)</f>
        <v/>
      </c>
      <c r="Q2404" s="29" t="str" cm="1">
        <f t="array" ref="Q2404">IF(表成绩单[[#This Row],[数学]]="","",SUMPRODUCT((表成绩单[考试日期]=表成绩单[[#This Row],[考试日期]])*(表成绩单[数学]&lt;9E+307)*(表成绩单[数学]&gt;表成绩单[[#This Row],[数学]]))+1)</f>
        <v/>
      </c>
      <c r="R2404" s="29" t="str" cm="1">
        <f t="array" ref="R2404">IF(表成绩单[[#This Row],[英语]]="","",SUMPRODUCT((表成绩单[考试日期]=表成绩单[[#This Row],[考试日期]])*(表成绩单[英语]&lt;9E+307)*(表成绩单[英语]&gt;表成绩单[[#This Row],[英语]]))+1)</f>
        <v/>
      </c>
      <c r="S2404" s="29" t="str" cm="1">
        <f t="array" ref="S2404">IF(表成绩单[[#This Row],[物理]]="","",SUMPRODUCT((表成绩单[考试日期]=表成绩单[[#This Row],[考试日期]])*(表成绩单[物理]&lt;9E+307)*(表成绩单[物理]&gt;表成绩单[[#This Row],[物理]]))+1)</f>
        <v/>
      </c>
      <c r="T2404" s="29" t="str" cm="1">
        <f t="array" ref="T2404">IF(表成绩单[[#This Row],[化学]]="","",SUMPRODUCT((表成绩单[考试日期]=表成绩单[[#This Row],[考试日期]])*(表成绩单[化学]&lt;9E+307)*(表成绩单[化学]&gt;表成绩单[[#This Row],[化学]]))+1)</f>
        <v/>
      </c>
      <c r="U2404" s="29" t="str" cm="1">
        <f t="array" ref="U2404">IF(表成绩单[[#This Row],[政治]]="","",SUMPRODUCT((表成绩单[考试日期]=表成绩单[[#This Row],[考试日期]])*(表成绩单[政治]&lt;9E+307)*(表成绩单[政治]&gt;表成绩单[[#This Row],[政治]]))+1)</f>
        <v/>
      </c>
      <c r="V2404" s="29" t="str" cm="1">
        <f t="array" ref="V2404">IF(表成绩单[[#This Row],[历史]]="","",SUMPRODUCT((表成绩单[考试日期]=表成绩单[[#This Row],[考试日期]])*(表成绩单[历史]&lt;9E+307)*(表成绩单[历史]&gt;表成绩单[[#This Row],[历史]]))+1)</f>
        <v/>
      </c>
      <c r="W2404" s="29" t="str" cm="1">
        <f t="array" ref="W2404">IF(表成绩单[[#This Row],[总分]]="","",SUMPRODUCT((表成绩单[考试日期]=表成绩单[[#This Row],[考试日期]])*(表成绩单[总分]&lt;9E+307)*(表成绩单[总分]&gt;表成绩单[[#This Row],[总分]]))+1)</f>
        <v/>
      </c>
    </row>
    <row r="2405" ht="28" customHeight="1" spans="4:23">
      <c r="D2405" s="31">
        <v>46030</v>
      </c>
      <c r="E2405" s="29">
        <v>19177598</v>
      </c>
      <c r="F2405" s="29" t="s">
        <v>58</v>
      </c>
      <c r="G2405" s="29" t="s">
        <v>878</v>
      </c>
      <c r="H2405" s="29"/>
      <c r="I2405" s="29"/>
      <c r="J2405" s="29"/>
      <c r="K2405" s="29"/>
      <c r="L2405" s="29"/>
      <c r="M2405" s="29"/>
      <c r="N2405" s="29"/>
      <c r="O2405" s="32"/>
      <c r="P2405" s="29" t="str" cm="1">
        <f t="array" ref="P2405">IF(表成绩单[[#This Row],[语文]]="","",SUMPRODUCT((表成绩单[考试日期]=表成绩单[[#This Row],[考试日期]])*(表成绩单[语文]&lt;9E+307)*(表成绩单[语文]&gt;表成绩单[[#This Row],[语文]]))+1)</f>
        <v/>
      </c>
      <c r="Q2405" s="29" t="str" cm="1">
        <f t="array" ref="Q2405">IF(表成绩单[[#This Row],[数学]]="","",SUMPRODUCT((表成绩单[考试日期]=表成绩单[[#This Row],[考试日期]])*(表成绩单[数学]&lt;9E+307)*(表成绩单[数学]&gt;表成绩单[[#This Row],[数学]]))+1)</f>
        <v/>
      </c>
      <c r="R2405" s="29" t="str" cm="1">
        <f t="array" ref="R2405">IF(表成绩单[[#This Row],[英语]]="","",SUMPRODUCT((表成绩单[考试日期]=表成绩单[[#This Row],[考试日期]])*(表成绩单[英语]&lt;9E+307)*(表成绩单[英语]&gt;表成绩单[[#This Row],[英语]]))+1)</f>
        <v/>
      </c>
      <c r="S2405" s="29" t="str" cm="1">
        <f t="array" ref="S2405">IF(表成绩单[[#This Row],[物理]]="","",SUMPRODUCT((表成绩单[考试日期]=表成绩单[[#This Row],[考试日期]])*(表成绩单[物理]&lt;9E+307)*(表成绩单[物理]&gt;表成绩单[[#This Row],[物理]]))+1)</f>
        <v/>
      </c>
      <c r="T2405" s="29" t="str" cm="1">
        <f t="array" ref="T2405">IF(表成绩单[[#This Row],[化学]]="","",SUMPRODUCT((表成绩单[考试日期]=表成绩单[[#This Row],[考试日期]])*(表成绩单[化学]&lt;9E+307)*(表成绩单[化学]&gt;表成绩单[[#This Row],[化学]]))+1)</f>
        <v/>
      </c>
      <c r="U2405" s="29" t="str" cm="1">
        <f t="array" ref="U2405">IF(表成绩单[[#This Row],[政治]]="","",SUMPRODUCT((表成绩单[考试日期]=表成绩单[[#This Row],[考试日期]])*(表成绩单[政治]&lt;9E+307)*(表成绩单[政治]&gt;表成绩单[[#This Row],[政治]]))+1)</f>
        <v/>
      </c>
      <c r="V2405" s="29" t="str" cm="1">
        <f t="array" ref="V2405">IF(表成绩单[[#This Row],[历史]]="","",SUMPRODUCT((表成绩单[考试日期]=表成绩单[[#This Row],[考试日期]])*(表成绩单[历史]&lt;9E+307)*(表成绩单[历史]&gt;表成绩单[[#This Row],[历史]]))+1)</f>
        <v/>
      </c>
      <c r="W2405" s="29" t="str" cm="1">
        <f t="array" ref="W2405">IF(表成绩单[[#This Row],[总分]]="","",SUMPRODUCT((表成绩单[考试日期]=表成绩单[[#This Row],[考试日期]])*(表成绩单[总分]&lt;9E+307)*(表成绩单[总分]&gt;表成绩单[[#This Row],[总分]]))+1)</f>
        <v/>
      </c>
    </row>
    <row r="2406" ht="28" customHeight="1" spans="4:23">
      <c r="D2406" s="31">
        <v>46030</v>
      </c>
      <c r="E2406" s="29">
        <v>19178611</v>
      </c>
      <c r="F2406" s="29" t="s">
        <v>25</v>
      </c>
      <c r="G2406" s="29" t="s">
        <v>655</v>
      </c>
      <c r="H2406" s="29"/>
      <c r="I2406" s="29"/>
      <c r="J2406" s="29"/>
      <c r="K2406" s="29"/>
      <c r="L2406" s="29"/>
      <c r="M2406" s="29"/>
      <c r="N2406" s="29"/>
      <c r="O2406" s="32"/>
      <c r="P2406" s="29" t="str" cm="1">
        <f t="array" ref="P2406">IF(表成绩单[[#This Row],[语文]]="","",SUMPRODUCT((表成绩单[考试日期]=表成绩单[[#This Row],[考试日期]])*(表成绩单[语文]&lt;9E+307)*(表成绩单[语文]&gt;表成绩单[[#This Row],[语文]]))+1)</f>
        <v/>
      </c>
      <c r="Q2406" s="29" t="str" cm="1">
        <f t="array" ref="Q2406">IF(表成绩单[[#This Row],[数学]]="","",SUMPRODUCT((表成绩单[考试日期]=表成绩单[[#This Row],[考试日期]])*(表成绩单[数学]&lt;9E+307)*(表成绩单[数学]&gt;表成绩单[[#This Row],[数学]]))+1)</f>
        <v/>
      </c>
      <c r="R2406" s="29" t="str" cm="1">
        <f t="array" ref="R2406">IF(表成绩单[[#This Row],[英语]]="","",SUMPRODUCT((表成绩单[考试日期]=表成绩单[[#This Row],[考试日期]])*(表成绩单[英语]&lt;9E+307)*(表成绩单[英语]&gt;表成绩单[[#This Row],[英语]]))+1)</f>
        <v/>
      </c>
      <c r="S2406" s="29" t="str" cm="1">
        <f t="array" ref="S2406">IF(表成绩单[[#This Row],[物理]]="","",SUMPRODUCT((表成绩单[考试日期]=表成绩单[[#This Row],[考试日期]])*(表成绩单[物理]&lt;9E+307)*(表成绩单[物理]&gt;表成绩单[[#This Row],[物理]]))+1)</f>
        <v/>
      </c>
      <c r="T2406" s="29" t="str" cm="1">
        <f t="array" ref="T2406">IF(表成绩单[[#This Row],[化学]]="","",SUMPRODUCT((表成绩单[考试日期]=表成绩单[[#This Row],[考试日期]])*(表成绩单[化学]&lt;9E+307)*(表成绩单[化学]&gt;表成绩单[[#This Row],[化学]]))+1)</f>
        <v/>
      </c>
      <c r="U2406" s="29" t="str" cm="1">
        <f t="array" ref="U2406">IF(表成绩单[[#This Row],[政治]]="","",SUMPRODUCT((表成绩单[考试日期]=表成绩单[[#This Row],[考试日期]])*(表成绩单[政治]&lt;9E+307)*(表成绩单[政治]&gt;表成绩单[[#This Row],[政治]]))+1)</f>
        <v/>
      </c>
      <c r="V2406" s="29" t="str" cm="1">
        <f t="array" ref="V2406">IF(表成绩单[[#This Row],[历史]]="","",SUMPRODUCT((表成绩单[考试日期]=表成绩单[[#This Row],[考试日期]])*(表成绩单[历史]&lt;9E+307)*(表成绩单[历史]&gt;表成绩单[[#This Row],[历史]]))+1)</f>
        <v/>
      </c>
      <c r="W2406" s="29" t="str" cm="1">
        <f t="array" ref="W2406">IF(表成绩单[[#This Row],[总分]]="","",SUMPRODUCT((表成绩单[考试日期]=表成绩单[[#This Row],[考试日期]])*(表成绩单[总分]&lt;9E+307)*(表成绩单[总分]&gt;表成绩单[[#This Row],[总分]]))+1)</f>
        <v/>
      </c>
    </row>
    <row r="2407" ht="28" customHeight="1" spans="4:23">
      <c r="D2407" s="31">
        <v>46030</v>
      </c>
      <c r="E2407" s="29">
        <v>36651092</v>
      </c>
      <c r="F2407" s="29" t="s">
        <v>25</v>
      </c>
      <c r="G2407" s="29" t="s">
        <v>439</v>
      </c>
      <c r="H2407" s="29"/>
      <c r="I2407" s="29"/>
      <c r="J2407" s="29"/>
      <c r="K2407" s="29"/>
      <c r="L2407" s="29"/>
      <c r="M2407" s="29"/>
      <c r="N2407" s="29"/>
      <c r="O2407" s="32"/>
      <c r="P2407" s="29" t="str" cm="1">
        <f t="array" ref="P2407">IF(表成绩单[[#This Row],[语文]]="","",SUMPRODUCT((表成绩单[考试日期]=表成绩单[[#This Row],[考试日期]])*(表成绩单[语文]&lt;9E+307)*(表成绩单[语文]&gt;表成绩单[[#This Row],[语文]]))+1)</f>
        <v/>
      </c>
      <c r="Q2407" s="29" t="str" cm="1">
        <f t="array" ref="Q2407">IF(表成绩单[[#This Row],[数学]]="","",SUMPRODUCT((表成绩单[考试日期]=表成绩单[[#This Row],[考试日期]])*(表成绩单[数学]&lt;9E+307)*(表成绩单[数学]&gt;表成绩单[[#This Row],[数学]]))+1)</f>
        <v/>
      </c>
      <c r="R2407" s="29" t="str" cm="1">
        <f t="array" ref="R2407">IF(表成绩单[[#This Row],[英语]]="","",SUMPRODUCT((表成绩单[考试日期]=表成绩单[[#This Row],[考试日期]])*(表成绩单[英语]&lt;9E+307)*(表成绩单[英语]&gt;表成绩单[[#This Row],[英语]]))+1)</f>
        <v/>
      </c>
      <c r="S2407" s="29" t="str" cm="1">
        <f t="array" ref="S2407">IF(表成绩单[[#This Row],[物理]]="","",SUMPRODUCT((表成绩单[考试日期]=表成绩单[[#This Row],[考试日期]])*(表成绩单[物理]&lt;9E+307)*(表成绩单[物理]&gt;表成绩单[[#This Row],[物理]]))+1)</f>
        <v/>
      </c>
      <c r="T2407" s="29" t="str" cm="1">
        <f t="array" ref="T2407">IF(表成绩单[[#This Row],[化学]]="","",SUMPRODUCT((表成绩单[考试日期]=表成绩单[[#This Row],[考试日期]])*(表成绩单[化学]&lt;9E+307)*(表成绩单[化学]&gt;表成绩单[[#This Row],[化学]]))+1)</f>
        <v/>
      </c>
      <c r="U2407" s="29" t="str" cm="1">
        <f t="array" ref="U2407">IF(表成绩单[[#This Row],[政治]]="","",SUMPRODUCT((表成绩单[考试日期]=表成绩单[[#This Row],[考试日期]])*(表成绩单[政治]&lt;9E+307)*(表成绩单[政治]&gt;表成绩单[[#This Row],[政治]]))+1)</f>
        <v/>
      </c>
      <c r="V2407" s="29" t="str" cm="1">
        <f t="array" ref="V2407">IF(表成绩单[[#This Row],[历史]]="","",SUMPRODUCT((表成绩单[考试日期]=表成绩单[[#This Row],[考试日期]])*(表成绩单[历史]&lt;9E+307)*(表成绩单[历史]&gt;表成绩单[[#This Row],[历史]]))+1)</f>
        <v/>
      </c>
      <c r="W2407" s="29" t="str" cm="1">
        <f t="array" ref="W2407">IF(表成绩单[[#This Row],[总分]]="","",SUMPRODUCT((表成绩单[考试日期]=表成绩单[[#This Row],[考试日期]])*(表成绩单[总分]&lt;9E+307)*(表成绩单[总分]&gt;表成绩单[[#This Row],[总分]]))+1)</f>
        <v/>
      </c>
    </row>
    <row r="2408" ht="28" customHeight="1" spans="4:23">
      <c r="D2408" s="31">
        <v>46108</v>
      </c>
      <c r="E2408" s="29">
        <v>19173522</v>
      </c>
      <c r="F2408" s="29" t="s">
        <v>1</v>
      </c>
      <c r="G2408" s="29" t="s">
        <v>3</v>
      </c>
      <c r="H2408" s="29">
        <v>109</v>
      </c>
      <c r="I2408" s="29">
        <v>111</v>
      </c>
      <c r="J2408" s="29">
        <v>87.5</v>
      </c>
      <c r="K2408" s="29">
        <v>85</v>
      </c>
      <c r="L2408" s="29">
        <v>85</v>
      </c>
      <c r="M2408" s="29">
        <v>82</v>
      </c>
      <c r="N2408" s="29">
        <v>83</v>
      </c>
      <c r="O2408" s="32">
        <v>642.5</v>
      </c>
      <c r="P2408" s="29" cm="1">
        <f t="array" ref="P2408">IF(表成绩单[[#This Row],[语文]]="","",SUMPRODUCT((表成绩单[考试日期]=表成绩单[[#This Row],[考试日期]])*(表成绩单[语文]&lt;9E+307)*(表成绩单[语文]&gt;表成绩单[[#This Row],[语文]]))+1)</f>
        <v>40</v>
      </c>
      <c r="Q2408" s="29" cm="1">
        <f t="array" ref="Q2408">IF(表成绩单[[#This Row],[数学]]="","",SUMPRODUCT((表成绩单[考试日期]=表成绩单[[#This Row],[考试日期]])*(表成绩单[数学]&lt;9E+307)*(表成绩单[数学]&gt;表成绩单[[#This Row],[数学]]))+1)</f>
        <v>7</v>
      </c>
      <c r="R2408" s="29" cm="1">
        <f t="array" ref="R2408">IF(表成绩单[[#This Row],[英语]]="","",SUMPRODUCT((表成绩单[考试日期]=表成绩单[[#This Row],[考试日期]])*(表成绩单[英语]&lt;9E+307)*(表成绩单[英语]&gt;表成绩单[[#This Row],[英语]]))+1)</f>
        <v>6</v>
      </c>
      <c r="S2408" s="29" cm="1">
        <f t="array" ref="S2408">IF(表成绩单[[#This Row],[物理]]="","",SUMPRODUCT((表成绩单[考试日期]=表成绩单[[#This Row],[考试日期]])*(表成绩单[物理]&lt;9E+307)*(表成绩单[物理]&gt;表成绩单[[#This Row],[物理]]))+1)</f>
        <v>105</v>
      </c>
      <c r="T2408" s="29" cm="1">
        <f t="array" ref="T2408">IF(表成绩单[[#This Row],[化学]]="","",SUMPRODUCT((表成绩单[考试日期]=表成绩单[[#This Row],[考试日期]])*(表成绩单[化学]&lt;9E+307)*(表成绩单[化学]&gt;表成绩单[[#This Row],[化学]]))+1)</f>
        <v>4</v>
      </c>
      <c r="U2408" s="29" cm="1">
        <f t="array" ref="U2408">IF(表成绩单[[#This Row],[政治]]="","",SUMPRODUCT((表成绩单[考试日期]=表成绩单[[#This Row],[考试日期]])*(表成绩单[政治]&lt;9E+307)*(表成绩单[政治]&gt;表成绩单[[#This Row],[政治]]))+1)</f>
        <v>45</v>
      </c>
      <c r="V2408" s="29" cm="1">
        <f t="array" ref="V2408">IF(表成绩单[[#This Row],[历史]]="","",SUMPRODUCT((表成绩单[考试日期]=表成绩单[[#This Row],[考试日期]])*(表成绩单[历史]&lt;9E+307)*(表成绩单[历史]&gt;表成绩单[[#This Row],[历史]]))+1)</f>
        <v>60</v>
      </c>
      <c r="W2408" s="29" cm="1">
        <f t="array" ref="W2408">IF(表成绩单[[#This Row],[总分]]="","",SUMPRODUCT((表成绩单[考试日期]=表成绩单[[#This Row],[考试日期]])*(表成绩单[总分]&lt;9E+307)*(表成绩单[总分]&gt;表成绩单[[#This Row],[总分]]))+1)</f>
        <v>1</v>
      </c>
    </row>
    <row r="2409" ht="28" customHeight="1" spans="4:23">
      <c r="D2409" s="31">
        <v>46108</v>
      </c>
      <c r="E2409" s="29">
        <v>19176896</v>
      </c>
      <c r="F2409" s="29" t="s">
        <v>71</v>
      </c>
      <c r="G2409" s="29" t="s">
        <v>80</v>
      </c>
      <c r="H2409" s="29">
        <v>112</v>
      </c>
      <c r="I2409" s="29">
        <v>111</v>
      </c>
      <c r="J2409" s="29">
        <v>86.5</v>
      </c>
      <c r="K2409" s="29">
        <v>86</v>
      </c>
      <c r="L2409" s="29">
        <v>79</v>
      </c>
      <c r="M2409" s="29">
        <v>83</v>
      </c>
      <c r="N2409" s="29">
        <v>82</v>
      </c>
      <c r="O2409" s="32">
        <v>639.5</v>
      </c>
      <c r="P2409" s="29" cm="1">
        <f t="array" ref="P2409">IF(表成绩单[[#This Row],[语文]]="","",SUMPRODUCT((表成绩单[考试日期]=表成绩单[[#This Row],[考试日期]])*(表成绩单[语文]&lt;9E+307)*(表成绩单[语文]&gt;表成绩单[[#This Row],[语文]]))+1)</f>
        <v>10</v>
      </c>
      <c r="Q2409" s="29" cm="1">
        <f t="array" ref="Q2409">IF(表成绩单[[#This Row],[数学]]="","",SUMPRODUCT((表成绩单[考试日期]=表成绩单[[#This Row],[考试日期]])*(表成绩单[数学]&lt;9E+307)*(表成绩单[数学]&gt;表成绩单[[#This Row],[数学]]))+1)</f>
        <v>7</v>
      </c>
      <c r="R2409" s="29" cm="1">
        <f t="array" ref="R2409">IF(表成绩单[[#This Row],[英语]]="","",SUMPRODUCT((表成绩单[考试日期]=表成绩单[[#This Row],[考试日期]])*(表成绩单[英语]&lt;9E+307)*(表成绩单[英语]&gt;表成绩单[[#This Row],[英语]]))+1)</f>
        <v>18</v>
      </c>
      <c r="S2409" s="29" cm="1">
        <f t="array" ref="S2409">IF(表成绩单[[#This Row],[物理]]="","",SUMPRODUCT((表成绩单[考试日期]=表成绩单[[#This Row],[考试日期]])*(表成绩单[物理]&lt;9E+307)*(表成绩单[物理]&gt;表成绩单[[#This Row],[物理]]))+1)</f>
        <v>61</v>
      </c>
      <c r="T2409" s="29" cm="1">
        <f t="array" ref="T2409">IF(表成绩单[[#This Row],[化学]]="","",SUMPRODUCT((表成绩单[考试日期]=表成绩单[[#This Row],[考试日期]])*(表成绩单[化学]&lt;9E+307)*(表成绩单[化学]&gt;表成绩单[[#This Row],[化学]]))+1)</f>
        <v>35</v>
      </c>
      <c r="U2409" s="29" cm="1">
        <f t="array" ref="U2409">IF(表成绩单[[#This Row],[政治]]="","",SUMPRODUCT((表成绩单[考试日期]=表成绩单[[#This Row],[考试日期]])*(表成绩单[政治]&lt;9E+307)*(表成绩单[政治]&gt;表成绩单[[#This Row],[政治]]))+1)</f>
        <v>24</v>
      </c>
      <c r="V2409" s="29" cm="1">
        <f t="array" ref="V2409">IF(表成绩单[[#This Row],[历史]]="","",SUMPRODUCT((表成绩单[考试日期]=表成绩单[[#This Row],[考试日期]])*(表成绩单[历史]&lt;9E+307)*(表成绩单[历史]&gt;表成绩单[[#This Row],[历史]]))+1)</f>
        <v>81</v>
      </c>
      <c r="W2409" s="29" cm="1">
        <f t="array" ref="W2409">IF(表成绩单[[#This Row],[总分]]="","",SUMPRODUCT((表成绩单[考试日期]=表成绩单[[#This Row],[考试日期]])*(表成绩单[总分]&lt;9E+307)*(表成绩单[总分]&gt;表成绩单[[#This Row],[总分]]))+1)</f>
        <v>2</v>
      </c>
    </row>
    <row r="2410" ht="28" customHeight="1" spans="4:23">
      <c r="D2410" s="31">
        <v>46108</v>
      </c>
      <c r="E2410" s="29">
        <v>19175388</v>
      </c>
      <c r="F2410" s="29" t="s">
        <v>74</v>
      </c>
      <c r="G2410" s="29" t="s">
        <v>138</v>
      </c>
      <c r="H2410" s="29">
        <v>115</v>
      </c>
      <c r="I2410" s="29">
        <v>109</v>
      </c>
      <c r="J2410" s="29">
        <v>87</v>
      </c>
      <c r="K2410" s="29">
        <v>88</v>
      </c>
      <c r="L2410" s="29">
        <v>68</v>
      </c>
      <c r="M2410" s="29">
        <v>83</v>
      </c>
      <c r="N2410" s="29">
        <v>88</v>
      </c>
      <c r="O2410" s="32">
        <v>638</v>
      </c>
      <c r="P2410" s="29" cm="1">
        <f t="array" ref="P2410">IF(表成绩单[[#This Row],[语文]]="","",SUMPRODUCT((表成绩单[考试日期]=表成绩单[[#This Row],[考试日期]])*(表成绩单[语文]&lt;9E+307)*(表成绩单[语文]&gt;表成绩单[[#This Row],[语文]]))+1)</f>
        <v>2</v>
      </c>
      <c r="Q2410" s="29" cm="1">
        <f t="array" ref="Q2410">IF(表成绩单[[#This Row],[数学]]="","",SUMPRODUCT((表成绩单[考试日期]=表成绩单[[#This Row],[考试日期]])*(表成绩单[数学]&lt;9E+307)*(表成绩单[数学]&gt;表成绩单[[#This Row],[数学]]))+1)</f>
        <v>16</v>
      </c>
      <c r="R2410" s="29" cm="1">
        <f t="array" ref="R2410">IF(表成绩单[[#This Row],[英语]]="","",SUMPRODUCT((表成绩单[考试日期]=表成绩单[[#This Row],[考试日期]])*(表成绩单[英语]&lt;9E+307)*(表成绩单[英语]&gt;表成绩单[[#This Row],[英语]]))+1)</f>
        <v>8</v>
      </c>
      <c r="S2410" s="29" cm="1">
        <f t="array" ref="S2410">IF(表成绩单[[#This Row],[物理]]="","",SUMPRODUCT((表成绩单[考试日期]=表成绩单[[#This Row],[考试日期]])*(表成绩单[物理]&lt;9E+307)*(表成绩单[物理]&gt;表成绩单[[#This Row],[物理]]))+1)</f>
        <v>27</v>
      </c>
      <c r="T2410" s="29" cm="1">
        <f t="array" ref="T2410">IF(表成绩单[[#This Row],[化学]]="","",SUMPRODUCT((表成绩单[考试日期]=表成绩单[[#This Row],[考试日期]])*(表成绩单[化学]&lt;9E+307)*(表成绩单[化学]&gt;表成绩单[[#This Row],[化学]]))+1)</f>
        <v>306</v>
      </c>
      <c r="U2410" s="29" cm="1">
        <f t="array" ref="U2410">IF(表成绩单[[#This Row],[政治]]="","",SUMPRODUCT((表成绩单[考试日期]=表成绩单[[#This Row],[考试日期]])*(表成绩单[政治]&lt;9E+307)*(表成绩单[政治]&gt;表成绩单[[#This Row],[政治]]))+1)</f>
        <v>24</v>
      </c>
      <c r="V2410" s="29" cm="1">
        <f t="array" ref="V2410">IF(表成绩单[[#This Row],[历史]]="","",SUMPRODUCT((表成绩单[考试日期]=表成绩单[[#This Row],[考试日期]])*(表成绩单[历史]&lt;9E+307)*(表成绩单[历史]&gt;表成绩单[[#This Row],[历史]]))+1)</f>
        <v>1</v>
      </c>
      <c r="W2410" s="29" cm="1">
        <f t="array" ref="W2410">IF(表成绩单[[#This Row],[总分]]="","",SUMPRODUCT((表成绩单[考试日期]=表成绩单[[#This Row],[考试日期]])*(表成绩单[总分]&lt;9E+307)*(表成绩单[总分]&gt;表成绩单[[#This Row],[总分]]))+1)</f>
        <v>3</v>
      </c>
    </row>
    <row r="2411" ht="28" customHeight="1" spans="4:23">
      <c r="D2411" s="31">
        <v>46108</v>
      </c>
      <c r="E2411" s="29">
        <v>19174792</v>
      </c>
      <c r="F2411" s="29" t="s">
        <v>69</v>
      </c>
      <c r="G2411" s="29" t="s">
        <v>108</v>
      </c>
      <c r="H2411" s="29">
        <v>112</v>
      </c>
      <c r="I2411" s="29">
        <v>112</v>
      </c>
      <c r="J2411" s="29">
        <v>84.5</v>
      </c>
      <c r="K2411" s="29">
        <v>83</v>
      </c>
      <c r="L2411" s="29">
        <v>83</v>
      </c>
      <c r="M2411" s="29">
        <v>84</v>
      </c>
      <c r="N2411" s="29">
        <v>78</v>
      </c>
      <c r="O2411" s="32">
        <v>636.5</v>
      </c>
      <c r="P2411" s="29" cm="1">
        <f t="array" ref="P2411">IF(表成绩单[[#This Row],[语文]]="","",SUMPRODUCT((表成绩单[考试日期]=表成绩单[[#This Row],[考试日期]])*(表成绩单[语文]&lt;9E+307)*(表成绩单[语文]&gt;表成绩单[[#This Row],[语文]]))+1)</f>
        <v>10</v>
      </c>
      <c r="Q2411" s="29" cm="1">
        <f t="array" ref="Q2411">IF(表成绩单[[#This Row],[数学]]="","",SUMPRODUCT((表成绩单[考试日期]=表成绩单[[#This Row],[考试日期]])*(表成绩单[数学]&lt;9E+307)*(表成绩单[数学]&gt;表成绩单[[#This Row],[数学]]))+1)</f>
        <v>4</v>
      </c>
      <c r="R2411" s="29" cm="1">
        <f t="array" ref="R2411">IF(表成绩单[[#This Row],[英语]]="","",SUMPRODUCT((表成绩单[考试日期]=表成绩单[[#This Row],[考试日期]])*(表成绩单[英语]&lt;9E+307)*(表成绩单[英语]&gt;表成绩单[[#This Row],[英语]]))+1)</f>
        <v>83</v>
      </c>
      <c r="S2411" s="29" cm="1">
        <f t="array" ref="S2411">IF(表成绩单[[#This Row],[物理]]="","",SUMPRODUCT((表成绩单[考试日期]=表成绩单[[#This Row],[考试日期]])*(表成绩单[物理]&lt;9E+307)*(表成绩单[物理]&gt;表成绩单[[#This Row],[物理]]))+1)</f>
        <v>184</v>
      </c>
      <c r="T2411" s="29" cm="1">
        <f t="array" ref="T2411">IF(表成绩单[[#This Row],[化学]]="","",SUMPRODUCT((表成绩单[考试日期]=表成绩单[[#This Row],[考试日期]])*(表成绩单[化学]&lt;9E+307)*(表成绩单[化学]&gt;表成绩单[[#This Row],[化学]]))+1)</f>
        <v>10</v>
      </c>
      <c r="U2411" s="29" cm="1">
        <f t="array" ref="U2411">IF(表成绩单[[#This Row],[政治]]="","",SUMPRODUCT((表成绩单[考试日期]=表成绩单[[#This Row],[考试日期]])*(表成绩单[政治]&lt;9E+307)*(表成绩单[政治]&gt;表成绩单[[#This Row],[政治]]))+1)</f>
        <v>14</v>
      </c>
      <c r="V2411" s="29" cm="1">
        <f t="array" ref="V2411">IF(表成绩单[[#This Row],[历史]]="","",SUMPRODUCT((表成绩单[考试日期]=表成绩单[[#This Row],[考试日期]])*(表成绩单[历史]&lt;9E+307)*(表成绩单[历史]&gt;表成绩单[[#This Row],[历史]]))+1)</f>
        <v>222</v>
      </c>
      <c r="W2411" s="29" cm="1">
        <f t="array" ref="W2411">IF(表成绩单[[#This Row],[总分]]="","",SUMPRODUCT((表成绩单[考试日期]=表成绩单[[#This Row],[考试日期]])*(表成绩单[总分]&lt;9E+307)*(表成绩单[总分]&gt;表成绩单[[#This Row],[总分]]))+1)</f>
        <v>4</v>
      </c>
    </row>
    <row r="2412" ht="28" customHeight="1" spans="4:23">
      <c r="D2412" s="31">
        <v>46108</v>
      </c>
      <c r="E2412" s="29">
        <v>19175400</v>
      </c>
      <c r="F2412" s="29" t="s">
        <v>74</v>
      </c>
      <c r="G2412" s="29" t="s">
        <v>84</v>
      </c>
      <c r="H2412" s="29">
        <v>112</v>
      </c>
      <c r="I2412" s="29">
        <v>102</v>
      </c>
      <c r="J2412" s="29">
        <v>86</v>
      </c>
      <c r="K2412" s="29">
        <v>89</v>
      </c>
      <c r="L2412" s="29">
        <v>79</v>
      </c>
      <c r="M2412" s="29">
        <v>84</v>
      </c>
      <c r="N2412" s="29">
        <v>84</v>
      </c>
      <c r="O2412" s="32">
        <v>636</v>
      </c>
      <c r="P2412" s="29" cm="1">
        <f t="array" ref="P2412">IF(表成绩单[[#This Row],[语文]]="","",SUMPRODUCT((表成绩单[考试日期]=表成绩单[[#This Row],[考试日期]])*(表成绩单[语文]&lt;9E+307)*(表成绩单[语文]&gt;表成绩单[[#This Row],[语文]]))+1)</f>
        <v>10</v>
      </c>
      <c r="Q2412" s="29" cm="1">
        <f t="array" ref="Q2412">IF(表成绩单[[#This Row],[数学]]="","",SUMPRODUCT((表成绩单[考试日期]=表成绩单[[#This Row],[考试日期]])*(表成绩单[数学]&lt;9E+307)*(表成绩单[数学]&gt;表成绩单[[#This Row],[数学]]))+1)</f>
        <v>98</v>
      </c>
      <c r="R2412" s="29" cm="1">
        <f t="array" ref="R2412">IF(表成绩单[[#This Row],[英语]]="","",SUMPRODUCT((表成绩单[考试日期]=表成绩单[[#This Row],[考试日期]])*(表成绩单[英语]&lt;9E+307)*(表成绩单[英语]&gt;表成绩单[[#This Row],[英语]]))+1)</f>
        <v>29</v>
      </c>
      <c r="S2412" s="29" cm="1">
        <f t="array" ref="S2412">IF(表成绩单[[#This Row],[物理]]="","",SUMPRODUCT((表成绩单[考试日期]=表成绩单[[#This Row],[考试日期]])*(表成绩单[物理]&lt;9E+307)*(表成绩单[物理]&gt;表成绩单[[#This Row],[物理]]))+1)</f>
        <v>15</v>
      </c>
      <c r="T2412" s="29" cm="1">
        <f t="array" ref="T2412">IF(表成绩单[[#This Row],[化学]]="","",SUMPRODUCT((表成绩单[考试日期]=表成绩单[[#This Row],[考试日期]])*(表成绩单[化学]&lt;9E+307)*(表成绩单[化学]&gt;表成绩单[[#This Row],[化学]]))+1)</f>
        <v>35</v>
      </c>
      <c r="U2412" s="29" cm="1">
        <f t="array" ref="U2412">IF(表成绩单[[#This Row],[政治]]="","",SUMPRODUCT((表成绩单[考试日期]=表成绩单[[#This Row],[考试日期]])*(表成绩单[政治]&lt;9E+307)*(表成绩单[政治]&gt;表成绩单[[#This Row],[政治]]))+1)</f>
        <v>14</v>
      </c>
      <c r="V2412" s="29" cm="1">
        <f t="array" ref="V2412">IF(表成绩单[[#This Row],[历史]]="","",SUMPRODUCT((表成绩单[考试日期]=表成绩单[[#This Row],[考试日期]])*(表成绩单[历史]&lt;9E+307)*(表成绩单[历史]&gt;表成绩单[[#This Row],[历史]]))+1)</f>
        <v>38</v>
      </c>
      <c r="W2412" s="29" cm="1">
        <f t="array" ref="W2412">IF(表成绩单[[#This Row],[总分]]="","",SUMPRODUCT((表成绩单[考试日期]=表成绩单[[#This Row],[考试日期]])*(表成绩单[总分]&lt;9E+307)*(表成绩单[总分]&gt;表成绩单[[#This Row],[总分]]))+1)</f>
        <v>5</v>
      </c>
    </row>
    <row r="2413" ht="28" customHeight="1" spans="4:23">
      <c r="D2413" s="31">
        <v>46108</v>
      </c>
      <c r="E2413" s="29">
        <v>19175403</v>
      </c>
      <c r="F2413" s="29" t="s">
        <v>74</v>
      </c>
      <c r="G2413" s="29" t="s">
        <v>96</v>
      </c>
      <c r="H2413" s="29">
        <v>99</v>
      </c>
      <c r="I2413" s="29">
        <v>113</v>
      </c>
      <c r="J2413" s="29">
        <v>85</v>
      </c>
      <c r="K2413" s="29">
        <v>88</v>
      </c>
      <c r="L2413" s="29">
        <v>85</v>
      </c>
      <c r="M2413" s="29">
        <v>78</v>
      </c>
      <c r="N2413" s="29">
        <v>86</v>
      </c>
      <c r="O2413" s="32">
        <v>634</v>
      </c>
      <c r="P2413" s="29" cm="1">
        <f t="array" ref="P2413">IF(表成绩单[[#This Row],[语文]]="","",SUMPRODUCT((表成绩单[考试日期]=表成绩单[[#This Row],[考试日期]])*(表成绩单[语文]&lt;9E+307)*(表成绩单[语文]&gt;表成绩单[[#This Row],[语文]]))+1)</f>
        <v>279</v>
      </c>
      <c r="Q2413" s="29" cm="1">
        <f t="array" ref="Q2413">IF(表成绩单[[#This Row],[数学]]="","",SUMPRODUCT((表成绩单[考试日期]=表成绩单[[#This Row],[考试日期]])*(表成绩单[数学]&lt;9E+307)*(表成绩单[数学]&gt;表成绩单[[#This Row],[数学]]))+1)</f>
        <v>1</v>
      </c>
      <c r="R2413" s="29" cm="1">
        <f t="array" ref="R2413">IF(表成绩单[[#This Row],[英语]]="","",SUMPRODUCT((表成绩单[考试日期]=表成绩单[[#This Row],[考试日期]])*(表成绩单[英语]&lt;9E+307)*(表成绩单[英语]&gt;表成绩单[[#This Row],[英语]]))+1)</f>
        <v>59</v>
      </c>
      <c r="S2413" s="29" cm="1">
        <f t="array" ref="S2413">IF(表成绩单[[#This Row],[物理]]="","",SUMPRODUCT((表成绩单[考试日期]=表成绩单[[#This Row],[考试日期]])*(表成绩单[物理]&lt;9E+307)*(表成绩单[物理]&gt;表成绩单[[#This Row],[物理]]))+1)</f>
        <v>27</v>
      </c>
      <c r="T2413" s="29" cm="1">
        <f t="array" ref="T2413">IF(表成绩单[[#This Row],[化学]]="","",SUMPRODUCT((表成绩单[考试日期]=表成绩单[[#This Row],[考试日期]])*(表成绩单[化学]&lt;9E+307)*(表成绩单[化学]&gt;表成绩单[[#This Row],[化学]]))+1)</f>
        <v>4</v>
      </c>
      <c r="U2413" s="29" cm="1">
        <f t="array" ref="U2413">IF(表成绩单[[#This Row],[政治]]="","",SUMPRODUCT((表成绩单[考试日期]=表成绩单[[#This Row],[考试日期]])*(表成绩单[政治]&lt;9E+307)*(表成绩单[政治]&gt;表成绩单[[#This Row],[政治]]))+1)</f>
        <v>171</v>
      </c>
      <c r="V2413" s="29" cm="1">
        <f t="array" ref="V2413">IF(表成绩单[[#This Row],[历史]]="","",SUMPRODUCT((表成绩单[考试日期]=表成绩单[[#This Row],[考试日期]])*(表成绩单[历史]&lt;9E+307)*(表成绩单[历史]&gt;表成绩单[[#This Row],[历史]]))+1)</f>
        <v>13</v>
      </c>
      <c r="W2413" s="29" cm="1">
        <f t="array" ref="W2413">IF(表成绩单[[#This Row],[总分]]="","",SUMPRODUCT((表成绩单[考试日期]=表成绩单[[#This Row],[考试日期]])*(表成绩单[总分]&lt;9E+307)*(表成绩单[总分]&gt;表成绩单[[#This Row],[总分]]))+1)</f>
        <v>6</v>
      </c>
    </row>
    <row r="2414" ht="28" customHeight="1" spans="4:23">
      <c r="D2414" s="31">
        <v>46108</v>
      </c>
      <c r="E2414" s="29">
        <v>19176874</v>
      </c>
      <c r="F2414" s="29" t="s">
        <v>71</v>
      </c>
      <c r="G2414" s="29" t="s">
        <v>87</v>
      </c>
      <c r="H2414" s="29">
        <v>108</v>
      </c>
      <c r="I2414" s="29">
        <v>103</v>
      </c>
      <c r="J2414" s="29">
        <v>87</v>
      </c>
      <c r="K2414" s="29">
        <v>90</v>
      </c>
      <c r="L2414" s="29">
        <v>81</v>
      </c>
      <c r="M2414" s="29">
        <v>83</v>
      </c>
      <c r="N2414" s="29">
        <v>82</v>
      </c>
      <c r="O2414" s="32">
        <v>634</v>
      </c>
      <c r="P2414" s="29" cm="1">
        <f t="array" ref="P2414">IF(表成绩单[[#This Row],[语文]]="","",SUMPRODUCT((表成绩单[考试日期]=表成绩单[[#This Row],[考试日期]])*(表成绩单[语文]&lt;9E+307)*(表成绩单[语文]&gt;表成绩单[[#This Row],[语文]]))+1)</f>
        <v>55</v>
      </c>
      <c r="Q2414" s="29" cm="1">
        <f t="array" ref="Q2414">IF(表成绩单[[#This Row],[数学]]="","",SUMPRODUCT((表成绩单[考试日期]=表成绩单[[#This Row],[考试日期]])*(表成绩单[数学]&lt;9E+307)*(表成绩单[数学]&gt;表成绩单[[#This Row],[数学]]))+1)</f>
        <v>87</v>
      </c>
      <c r="R2414" s="29" cm="1">
        <f t="array" ref="R2414">IF(表成绩单[[#This Row],[英语]]="","",SUMPRODUCT((表成绩单[考试日期]=表成绩单[[#This Row],[考试日期]])*(表成绩单[英语]&lt;9E+307)*(表成绩单[英语]&gt;表成绩单[[#This Row],[英语]]))+1)</f>
        <v>8</v>
      </c>
      <c r="S2414" s="29" cm="1">
        <f t="array" ref="S2414">IF(表成绩单[[#This Row],[物理]]="","",SUMPRODUCT((表成绩单[考试日期]=表成绩单[[#This Row],[考试日期]])*(表成绩单[物理]&lt;9E+307)*(表成绩单[物理]&gt;表成绩单[[#This Row],[物理]]))+1)</f>
        <v>1</v>
      </c>
      <c r="T2414" s="29" cm="1">
        <f t="array" ref="T2414">IF(表成绩单[[#This Row],[化学]]="","",SUMPRODUCT((表成绩单[考试日期]=表成绩单[[#This Row],[考试日期]])*(表成绩单[化学]&lt;9E+307)*(表成绩单[化学]&gt;表成绩单[[#This Row],[化学]]))+1)</f>
        <v>17</v>
      </c>
      <c r="U2414" s="29" cm="1">
        <f t="array" ref="U2414">IF(表成绩单[[#This Row],[政治]]="","",SUMPRODUCT((表成绩单[考试日期]=表成绩单[[#This Row],[考试日期]])*(表成绩单[政治]&lt;9E+307)*(表成绩单[政治]&gt;表成绩单[[#This Row],[政治]]))+1)</f>
        <v>24</v>
      </c>
      <c r="V2414" s="29" cm="1">
        <f t="array" ref="V2414">IF(表成绩单[[#This Row],[历史]]="","",SUMPRODUCT((表成绩单[考试日期]=表成绩单[[#This Row],[考试日期]])*(表成绩单[历史]&lt;9E+307)*(表成绩单[历史]&gt;表成绩单[[#This Row],[历史]]))+1)</f>
        <v>81</v>
      </c>
      <c r="W2414" s="29" cm="1">
        <f t="array" ref="W2414">IF(表成绩单[[#This Row],[总分]]="","",SUMPRODUCT((表成绩单[考试日期]=表成绩单[[#This Row],[考试日期]])*(表成绩单[总分]&lt;9E+307)*(表成绩单[总分]&gt;表成绩单[[#This Row],[总分]]))+1)</f>
        <v>6</v>
      </c>
    </row>
    <row r="2415" ht="28" customHeight="1" spans="4:23">
      <c r="D2415" s="31">
        <v>46108</v>
      </c>
      <c r="E2415" s="29">
        <v>19174441</v>
      </c>
      <c r="F2415" s="29" t="s">
        <v>73</v>
      </c>
      <c r="G2415" s="29" t="s">
        <v>126</v>
      </c>
      <c r="H2415" s="29">
        <v>110</v>
      </c>
      <c r="I2415" s="29">
        <v>104</v>
      </c>
      <c r="J2415" s="29">
        <v>88</v>
      </c>
      <c r="K2415" s="29">
        <v>86</v>
      </c>
      <c r="L2415" s="29">
        <v>84</v>
      </c>
      <c r="M2415" s="29">
        <v>76</v>
      </c>
      <c r="N2415" s="29">
        <v>85</v>
      </c>
      <c r="O2415" s="32">
        <v>633</v>
      </c>
      <c r="P2415" s="29" cm="1">
        <f t="array" ref="P2415">IF(表成绩单[[#This Row],[语文]]="","",SUMPRODUCT((表成绩单[考试日期]=表成绩单[[#This Row],[考试日期]])*(表成绩单[语文]&lt;9E+307)*(表成绩单[语文]&gt;表成绩单[[#This Row],[语文]]))+1)</f>
        <v>24</v>
      </c>
      <c r="Q2415" s="29" cm="1">
        <f t="array" ref="Q2415">IF(表成绩单[[#This Row],[数学]]="","",SUMPRODUCT((表成绩单[考试日期]=表成绩单[[#This Row],[考试日期]])*(表成绩单[数学]&lt;9E+307)*(表成绩单[数学]&gt;表成绩单[[#This Row],[数学]]))+1)</f>
        <v>68</v>
      </c>
      <c r="R2415" s="29" cm="1">
        <f t="array" ref="R2415">IF(表成绩单[[#This Row],[英语]]="","",SUMPRODUCT((表成绩单[考试日期]=表成绩单[[#This Row],[考试日期]])*(表成绩单[英语]&lt;9E+307)*(表成绩单[英语]&gt;表成绩单[[#This Row],[英语]]))+1)</f>
        <v>4</v>
      </c>
      <c r="S2415" s="29" cm="1">
        <f t="array" ref="S2415">IF(表成绩单[[#This Row],[物理]]="","",SUMPRODUCT((表成绩单[考试日期]=表成绩单[[#This Row],[考试日期]])*(表成绩单[物理]&lt;9E+307)*(表成绩单[物理]&gt;表成绩单[[#This Row],[物理]]))+1)</f>
        <v>61</v>
      </c>
      <c r="T2415" s="29" cm="1">
        <f t="array" ref="T2415">IF(表成绩单[[#This Row],[化学]]="","",SUMPRODUCT((表成绩单[考试日期]=表成绩单[[#This Row],[考试日期]])*(表成绩单[化学]&lt;9E+307)*(表成绩单[化学]&gt;表成绩单[[#This Row],[化学]]))+1)</f>
        <v>7</v>
      </c>
      <c r="U2415" s="29" cm="1">
        <f t="array" ref="U2415">IF(表成绩单[[#This Row],[政治]]="","",SUMPRODUCT((表成绩单[考试日期]=表成绩单[[#This Row],[考试日期]])*(表成绩单[政治]&lt;9E+307)*(表成绩单[政治]&gt;表成绩单[[#This Row],[政治]]))+1)</f>
        <v>291</v>
      </c>
      <c r="V2415" s="29" cm="1">
        <f t="array" ref="V2415">IF(表成绩单[[#This Row],[历史]]="","",SUMPRODUCT((表成绩单[考试日期]=表成绩单[[#This Row],[考试日期]])*(表成绩单[历史]&lt;9E+307)*(表成绩单[历史]&gt;表成绩单[[#This Row],[历史]]))+1)</f>
        <v>20</v>
      </c>
      <c r="W2415" s="29" cm="1">
        <f t="array" ref="W2415">IF(表成绩单[[#This Row],[总分]]="","",SUMPRODUCT((表成绩单[考试日期]=表成绩单[[#This Row],[考试日期]])*(表成绩单[总分]&lt;9E+307)*(表成绩单[总分]&gt;表成绩单[[#This Row],[总分]]))+1)</f>
        <v>8</v>
      </c>
    </row>
    <row r="2416" ht="28" customHeight="1" spans="4:23">
      <c r="D2416" s="31">
        <v>46108</v>
      </c>
      <c r="E2416" s="29">
        <v>19173540</v>
      </c>
      <c r="F2416" s="29" t="s">
        <v>1</v>
      </c>
      <c r="G2416" s="29" t="s">
        <v>209</v>
      </c>
      <c r="H2416" s="29">
        <v>104</v>
      </c>
      <c r="I2416" s="29">
        <v>109</v>
      </c>
      <c r="J2416" s="29">
        <v>88.5</v>
      </c>
      <c r="K2416" s="29">
        <v>86</v>
      </c>
      <c r="L2416" s="29">
        <v>84</v>
      </c>
      <c r="M2416" s="29">
        <v>79</v>
      </c>
      <c r="N2416" s="29">
        <v>82</v>
      </c>
      <c r="O2416" s="32">
        <v>632.5</v>
      </c>
      <c r="P2416" s="29" cm="1">
        <f t="array" ref="P2416">IF(表成绩单[[#This Row],[语文]]="","",SUMPRODUCT((表成绩单[考试日期]=表成绩单[[#This Row],[考试日期]])*(表成绩单[语文]&lt;9E+307)*(表成绩单[语文]&gt;表成绩单[[#This Row],[语文]]))+1)</f>
        <v>131</v>
      </c>
      <c r="Q2416" s="29" cm="1">
        <f t="array" ref="Q2416">IF(表成绩单[[#This Row],[数学]]="","",SUMPRODUCT((表成绩单[考试日期]=表成绩单[[#This Row],[考试日期]])*(表成绩单[数学]&lt;9E+307)*(表成绩单[数学]&gt;表成绩单[[#This Row],[数学]]))+1)</f>
        <v>16</v>
      </c>
      <c r="R2416" s="29" cm="1">
        <f t="array" ref="R2416">IF(表成绩单[[#This Row],[英语]]="","",SUMPRODUCT((表成绩单[考试日期]=表成绩单[[#This Row],[考试日期]])*(表成绩单[英语]&lt;9E+307)*(表成绩单[英语]&gt;表成绩单[[#This Row],[英语]]))+1)</f>
        <v>1</v>
      </c>
      <c r="S2416" s="29" cm="1">
        <f t="array" ref="S2416">IF(表成绩单[[#This Row],[物理]]="","",SUMPRODUCT((表成绩单[考试日期]=表成绩单[[#This Row],[考试日期]])*(表成绩单[物理]&lt;9E+307)*(表成绩单[物理]&gt;表成绩单[[#This Row],[物理]]))+1)</f>
        <v>61</v>
      </c>
      <c r="T2416" s="29" cm="1">
        <f t="array" ref="T2416">IF(表成绩单[[#This Row],[化学]]="","",SUMPRODUCT((表成绩单[考试日期]=表成绩单[[#This Row],[考试日期]])*(表成绩单[化学]&lt;9E+307)*(表成绩单[化学]&gt;表成绩单[[#This Row],[化学]]))+1)</f>
        <v>7</v>
      </c>
      <c r="U2416" s="29" cm="1">
        <f t="array" ref="U2416">IF(表成绩单[[#This Row],[政治]]="","",SUMPRODUCT((表成绩单[考试日期]=表成绩单[[#This Row],[考试日期]])*(表成绩单[政治]&lt;9E+307)*(表成绩单[政治]&gt;表成绩单[[#This Row],[政治]]))+1)</f>
        <v>134</v>
      </c>
      <c r="V2416" s="29" cm="1">
        <f t="array" ref="V2416">IF(表成绩单[[#This Row],[历史]]="","",SUMPRODUCT((表成绩单[考试日期]=表成绩单[[#This Row],[考试日期]])*(表成绩单[历史]&lt;9E+307)*(表成绩单[历史]&gt;表成绩单[[#This Row],[历史]]))+1)</f>
        <v>81</v>
      </c>
      <c r="W2416" s="29" cm="1">
        <f t="array" ref="W2416">IF(表成绩单[[#This Row],[总分]]="","",SUMPRODUCT((表成绩单[考试日期]=表成绩单[[#This Row],[考试日期]])*(表成绩单[总分]&lt;9E+307)*(表成绩单[总分]&gt;表成绩单[[#This Row],[总分]]))+1)</f>
        <v>9</v>
      </c>
    </row>
    <row r="2417" ht="28" customHeight="1" spans="4:23">
      <c r="D2417" s="31">
        <v>46108</v>
      </c>
      <c r="E2417" s="29">
        <v>19174435</v>
      </c>
      <c r="F2417" s="29" t="s">
        <v>73</v>
      </c>
      <c r="G2417" s="29" t="s">
        <v>82</v>
      </c>
      <c r="H2417" s="29">
        <v>114</v>
      </c>
      <c r="I2417" s="29">
        <v>109</v>
      </c>
      <c r="J2417" s="29">
        <v>85.5</v>
      </c>
      <c r="K2417" s="29">
        <v>90</v>
      </c>
      <c r="L2417" s="29">
        <v>73</v>
      </c>
      <c r="M2417" s="29">
        <v>75</v>
      </c>
      <c r="N2417" s="29">
        <v>85</v>
      </c>
      <c r="O2417" s="32">
        <v>631.5</v>
      </c>
      <c r="P2417" s="29" cm="1">
        <f t="array" ref="P2417">IF(表成绩单[[#This Row],[语文]]="","",SUMPRODUCT((表成绩单[考试日期]=表成绩单[[#This Row],[考试日期]])*(表成绩单[语文]&lt;9E+307)*(表成绩单[语文]&gt;表成绩单[[#This Row],[语文]]))+1)</f>
        <v>4</v>
      </c>
      <c r="Q2417" s="29" cm="1">
        <f t="array" ref="Q2417">IF(表成绩单[[#This Row],[数学]]="","",SUMPRODUCT((表成绩单[考试日期]=表成绩单[[#This Row],[考试日期]])*(表成绩单[数学]&lt;9E+307)*(表成绩单[数学]&gt;表成绩单[[#This Row],[数学]]))+1)</f>
        <v>16</v>
      </c>
      <c r="R2417" s="29" cm="1">
        <f t="array" ref="R2417">IF(表成绩单[[#This Row],[英语]]="","",SUMPRODUCT((表成绩单[考试日期]=表成绩单[[#This Row],[考试日期]])*(表成绩单[英语]&lt;9E+307)*(表成绩单[英语]&gt;表成绩单[[#This Row],[英语]]))+1)</f>
        <v>43</v>
      </c>
      <c r="S2417" s="29" cm="1">
        <f t="array" ref="S2417">IF(表成绩单[[#This Row],[物理]]="","",SUMPRODUCT((表成绩单[考试日期]=表成绩单[[#This Row],[考试日期]])*(表成绩单[物理]&lt;9E+307)*(表成绩单[物理]&gt;表成绩单[[#This Row],[物理]]))+1)</f>
        <v>1</v>
      </c>
      <c r="T2417" s="29" cm="1">
        <f t="array" ref="T2417">IF(表成绩单[[#This Row],[化学]]="","",SUMPRODUCT((表成绩单[考试日期]=表成绩单[[#This Row],[考试日期]])*(表成绩单[化学]&lt;9E+307)*(表成绩单[化学]&gt;表成绩单[[#This Row],[化学]]))+1)</f>
        <v>152</v>
      </c>
      <c r="U2417" s="29" cm="1">
        <f t="array" ref="U2417">IF(表成绩单[[#This Row],[政治]]="","",SUMPRODUCT((表成绩单[考试日期]=表成绩单[[#This Row],[考试日期]])*(表成绩单[政治]&lt;9E+307)*(表成绩单[政治]&gt;表成绩单[[#This Row],[政治]]))+1)</f>
        <v>346</v>
      </c>
      <c r="V2417" s="29" cm="1">
        <f t="array" ref="V2417">IF(表成绩单[[#This Row],[历史]]="","",SUMPRODUCT((表成绩单[考试日期]=表成绩单[[#This Row],[考试日期]])*(表成绩单[历史]&lt;9E+307)*(表成绩单[历史]&gt;表成绩单[[#This Row],[历史]]))+1)</f>
        <v>20</v>
      </c>
      <c r="W2417" s="29" cm="1">
        <f t="array" ref="W2417">IF(表成绩单[[#This Row],[总分]]="","",SUMPRODUCT((表成绩单[考试日期]=表成绩单[[#This Row],[考试日期]])*(表成绩单[总分]&lt;9E+307)*(表成绩单[总分]&gt;表成绩单[[#This Row],[总分]]))+1)</f>
        <v>10</v>
      </c>
    </row>
    <row r="2418" ht="28" customHeight="1" spans="4:23">
      <c r="D2418" s="31">
        <v>46108</v>
      </c>
      <c r="E2418" s="29">
        <v>19175410</v>
      </c>
      <c r="F2418" s="29" t="s">
        <v>74</v>
      </c>
      <c r="G2418" s="29" t="s">
        <v>146</v>
      </c>
      <c r="H2418" s="29">
        <v>113</v>
      </c>
      <c r="I2418" s="29">
        <v>106</v>
      </c>
      <c r="J2418" s="29">
        <v>87</v>
      </c>
      <c r="K2418" s="29">
        <v>88</v>
      </c>
      <c r="L2418" s="29">
        <v>74</v>
      </c>
      <c r="M2418" s="29">
        <v>82</v>
      </c>
      <c r="N2418" s="29">
        <v>81</v>
      </c>
      <c r="O2418" s="32">
        <v>631</v>
      </c>
      <c r="P2418" s="29" cm="1">
        <f t="array" ref="P2418">IF(表成绩单[[#This Row],[语文]]="","",SUMPRODUCT((表成绩单[考试日期]=表成绩单[[#This Row],[考试日期]])*(表成绩单[语文]&lt;9E+307)*(表成绩单[语文]&gt;表成绩单[[#This Row],[语文]]))+1)</f>
        <v>6</v>
      </c>
      <c r="Q2418" s="29" cm="1">
        <f t="array" ref="Q2418">IF(表成绩单[[#This Row],[数学]]="","",SUMPRODUCT((表成绩单[考试日期]=表成绩单[[#This Row],[考试日期]])*(表成绩单[数学]&lt;9E+307)*(表成绩单[数学]&gt;表成绩单[[#This Row],[数学]]))+1)</f>
        <v>40</v>
      </c>
      <c r="R2418" s="29" cm="1">
        <f t="array" ref="R2418">IF(表成绩单[[#This Row],[英语]]="","",SUMPRODUCT((表成绩单[考试日期]=表成绩单[[#This Row],[考试日期]])*(表成绩单[英语]&lt;9E+307)*(表成绩单[英语]&gt;表成绩单[[#This Row],[英语]]))+1)</f>
        <v>8</v>
      </c>
      <c r="S2418" s="29" cm="1">
        <f t="array" ref="S2418">IF(表成绩单[[#This Row],[物理]]="","",SUMPRODUCT((表成绩单[考试日期]=表成绩单[[#This Row],[考试日期]])*(表成绩单[物理]&lt;9E+307)*(表成绩单[物理]&gt;表成绩单[[#This Row],[物理]]))+1)</f>
        <v>27</v>
      </c>
      <c r="T2418" s="29" cm="1">
        <f t="array" ref="T2418">IF(表成绩单[[#This Row],[化学]]="","",SUMPRODUCT((表成绩单[考试日期]=表成绩单[[#This Row],[考试日期]])*(表成绩单[化学]&lt;9E+307)*(表成绩单[化学]&gt;表成绩单[[#This Row],[化学]]))+1)</f>
        <v>127</v>
      </c>
      <c r="U2418" s="29" cm="1">
        <f t="array" ref="U2418">IF(表成绩单[[#This Row],[政治]]="","",SUMPRODUCT((表成绩单[考试日期]=表成绩单[[#This Row],[考试日期]])*(表成绩单[政治]&lt;9E+307)*(表成绩单[政治]&gt;表成绩单[[#This Row],[政治]]))+1)</f>
        <v>45</v>
      </c>
      <c r="V2418" s="29" cm="1">
        <f t="array" ref="V2418">IF(表成绩单[[#This Row],[历史]]="","",SUMPRODUCT((表成绩单[考试日期]=表成绩单[[#This Row],[考试日期]])*(表成绩单[历史]&lt;9E+307)*(表成绩单[历史]&gt;表成绩单[[#This Row],[历史]]))+1)</f>
        <v>106</v>
      </c>
      <c r="W2418" s="29" cm="1">
        <f t="array" ref="W2418">IF(表成绩单[[#This Row],[总分]]="","",SUMPRODUCT((表成绩单[考试日期]=表成绩单[[#This Row],[考试日期]])*(表成绩单[总分]&lt;9E+307)*(表成绩单[总分]&gt;表成绩单[[#This Row],[总分]]))+1)</f>
        <v>11</v>
      </c>
    </row>
    <row r="2419" ht="28" customHeight="1" spans="4:23">
      <c r="D2419" s="31">
        <v>46108</v>
      </c>
      <c r="E2419" s="29">
        <v>19175402</v>
      </c>
      <c r="F2419" s="29" t="s">
        <v>74</v>
      </c>
      <c r="G2419" s="29" t="s">
        <v>95</v>
      </c>
      <c r="H2419" s="29">
        <v>106</v>
      </c>
      <c r="I2419" s="29">
        <v>104</v>
      </c>
      <c r="J2419" s="29">
        <v>85.5</v>
      </c>
      <c r="K2419" s="29">
        <v>86</v>
      </c>
      <c r="L2419" s="29">
        <v>89</v>
      </c>
      <c r="M2419" s="29">
        <v>80</v>
      </c>
      <c r="N2419" s="29">
        <v>80</v>
      </c>
      <c r="O2419" s="32">
        <v>630.5</v>
      </c>
      <c r="P2419" s="29" cm="1">
        <f t="array" ref="P2419">IF(表成绩单[[#This Row],[语文]]="","",SUMPRODUCT((表成绩单[考试日期]=表成绩单[[#This Row],[考试日期]])*(表成绩单[语文]&lt;9E+307)*(表成绩单[语文]&gt;表成绩单[[#This Row],[语文]]))+1)</f>
        <v>85</v>
      </c>
      <c r="Q2419" s="29" cm="1">
        <f t="array" ref="Q2419">IF(表成绩单[[#This Row],[数学]]="","",SUMPRODUCT((表成绩单[考试日期]=表成绩单[[#This Row],[考试日期]])*(表成绩单[数学]&lt;9E+307)*(表成绩单[数学]&gt;表成绩单[[#This Row],[数学]]))+1)</f>
        <v>68</v>
      </c>
      <c r="R2419" s="29" cm="1">
        <f t="array" ref="R2419">IF(表成绩单[[#This Row],[英语]]="","",SUMPRODUCT((表成绩单[考试日期]=表成绩单[[#This Row],[考试日期]])*(表成绩单[英语]&lt;9E+307)*(表成绩单[英语]&gt;表成绩单[[#This Row],[英语]]))+1)</f>
        <v>43</v>
      </c>
      <c r="S2419" s="29" cm="1">
        <f t="array" ref="S2419">IF(表成绩单[[#This Row],[物理]]="","",SUMPRODUCT((表成绩单[考试日期]=表成绩单[[#This Row],[考试日期]])*(表成绩单[物理]&lt;9E+307)*(表成绩单[物理]&gt;表成绩单[[#This Row],[物理]]))+1)</f>
        <v>61</v>
      </c>
      <c r="T2419" s="29" cm="1">
        <f t="array" ref="T2419">IF(表成绩单[[#This Row],[化学]]="","",SUMPRODUCT((表成绩单[考试日期]=表成绩单[[#This Row],[考试日期]])*(表成绩单[化学]&lt;9E+307)*(表成绩单[化学]&gt;表成绩单[[#This Row],[化学]]))+1)</f>
        <v>1</v>
      </c>
      <c r="U2419" s="29" cm="1">
        <f t="array" ref="U2419">IF(表成绩单[[#This Row],[政治]]="","",SUMPRODUCT((表成绩单[考试日期]=表成绩单[[#This Row],[考试日期]])*(表成绩单[政治]&lt;9E+307)*(表成绩单[政治]&gt;表成绩单[[#This Row],[政治]]))+1)</f>
        <v>98</v>
      </c>
      <c r="V2419" s="29" cm="1">
        <f t="array" ref="V2419">IF(表成绩单[[#This Row],[历史]]="","",SUMPRODUCT((表成绩单[考试日期]=表成绩单[[#This Row],[考试日期]])*(表成绩单[历史]&lt;9E+307)*(表成绩单[历史]&gt;表成绩单[[#This Row],[历史]]))+1)</f>
        <v>143</v>
      </c>
      <c r="W2419" s="29" cm="1">
        <f t="array" ref="W2419">IF(表成绩单[[#This Row],[总分]]="","",SUMPRODUCT((表成绩单[考试日期]=表成绩单[[#This Row],[考试日期]])*(表成绩单[总分]&lt;9E+307)*(表成绩单[总分]&gt;表成绩单[[#This Row],[总分]]))+1)</f>
        <v>12</v>
      </c>
    </row>
    <row r="2420" ht="28" customHeight="1" spans="4:23">
      <c r="D2420" s="31">
        <v>46108</v>
      </c>
      <c r="E2420" s="29">
        <v>19173521</v>
      </c>
      <c r="F2420" s="29" t="s">
        <v>1</v>
      </c>
      <c r="G2420" s="29" t="s">
        <v>109</v>
      </c>
      <c r="H2420" s="29">
        <v>109</v>
      </c>
      <c r="I2420" s="29">
        <v>108</v>
      </c>
      <c r="J2420" s="29">
        <v>86</v>
      </c>
      <c r="K2420" s="29">
        <v>84</v>
      </c>
      <c r="L2420" s="29">
        <v>85</v>
      </c>
      <c r="M2420" s="29">
        <v>77</v>
      </c>
      <c r="N2420" s="29">
        <v>81</v>
      </c>
      <c r="O2420" s="32">
        <v>630</v>
      </c>
      <c r="P2420" s="29" cm="1">
        <f t="array" ref="P2420">IF(表成绩单[[#This Row],[语文]]="","",SUMPRODUCT((表成绩单[考试日期]=表成绩单[[#This Row],[考试日期]])*(表成绩单[语文]&lt;9E+307)*(表成绩单[语文]&gt;表成绩单[[#This Row],[语文]]))+1)</f>
        <v>40</v>
      </c>
      <c r="Q2420" s="29" cm="1">
        <f t="array" ref="Q2420">IF(表成绩单[[#This Row],[数学]]="","",SUMPRODUCT((表成绩单[考试日期]=表成绩单[[#This Row],[考试日期]])*(表成绩单[数学]&lt;9E+307)*(表成绩单[数学]&gt;表成绩单[[#This Row],[数学]]))+1)</f>
        <v>25</v>
      </c>
      <c r="R2420" s="29" cm="1">
        <f t="array" ref="R2420">IF(表成绩单[[#This Row],[英语]]="","",SUMPRODUCT((表成绩单[考试日期]=表成绩单[[#This Row],[考试日期]])*(表成绩单[英语]&lt;9E+307)*(表成绩单[英语]&gt;表成绩单[[#This Row],[英语]]))+1)</f>
        <v>29</v>
      </c>
      <c r="S2420" s="29" cm="1">
        <f t="array" ref="S2420">IF(表成绩单[[#This Row],[物理]]="","",SUMPRODUCT((表成绩单[考试日期]=表成绩单[[#This Row],[考试日期]])*(表成绩单[物理]&lt;9E+307)*(表成绩单[物理]&gt;表成绩单[[#This Row],[物理]]))+1)</f>
        <v>146</v>
      </c>
      <c r="T2420" s="29" cm="1">
        <f t="array" ref="T2420">IF(表成绩单[[#This Row],[化学]]="","",SUMPRODUCT((表成绩单[考试日期]=表成绩单[[#This Row],[考试日期]])*(表成绩单[化学]&lt;9E+307)*(表成绩单[化学]&gt;表成绩单[[#This Row],[化学]]))+1)</f>
        <v>4</v>
      </c>
      <c r="U2420" s="29" cm="1">
        <f t="array" ref="U2420">IF(表成绩单[[#This Row],[政治]]="","",SUMPRODUCT((表成绩单[考试日期]=表成绩单[[#This Row],[考试日期]])*(表成绩单[政治]&lt;9E+307)*(表成绩单[政治]&gt;表成绩单[[#This Row],[政治]]))+1)</f>
        <v>230</v>
      </c>
      <c r="V2420" s="29" cm="1">
        <f t="array" ref="V2420">IF(表成绩单[[#This Row],[历史]]="","",SUMPRODUCT((表成绩单[考试日期]=表成绩单[[#This Row],[考试日期]])*(表成绩单[历史]&lt;9E+307)*(表成绩单[历史]&gt;表成绩单[[#This Row],[历史]]))+1)</f>
        <v>106</v>
      </c>
      <c r="W2420" s="29" cm="1">
        <f t="array" ref="W2420">IF(表成绩单[[#This Row],[总分]]="","",SUMPRODUCT((表成绩单[考试日期]=表成绩单[[#This Row],[考试日期]])*(表成绩单[总分]&lt;9E+307)*(表成绩单[总分]&gt;表成绩单[[#This Row],[总分]]))+1)</f>
        <v>13</v>
      </c>
    </row>
    <row r="2421" ht="28" customHeight="1" spans="4:23">
      <c r="D2421" s="31">
        <v>46108</v>
      </c>
      <c r="E2421" s="29">
        <v>19175396</v>
      </c>
      <c r="F2421" s="29" t="s">
        <v>74</v>
      </c>
      <c r="G2421" s="29" t="s">
        <v>98</v>
      </c>
      <c r="H2421" s="29">
        <v>101</v>
      </c>
      <c r="I2421" s="29">
        <v>112</v>
      </c>
      <c r="J2421" s="29">
        <v>84</v>
      </c>
      <c r="K2421" s="29">
        <v>86</v>
      </c>
      <c r="L2421" s="29">
        <v>78</v>
      </c>
      <c r="M2421" s="29">
        <v>84</v>
      </c>
      <c r="N2421" s="29">
        <v>85</v>
      </c>
      <c r="O2421" s="32">
        <v>630</v>
      </c>
      <c r="P2421" s="29" cm="1">
        <f t="array" ref="P2421">IF(表成绩单[[#This Row],[语文]]="","",SUMPRODUCT((表成绩单[考试日期]=表成绩单[[#This Row],[考试日期]])*(表成绩单[语文]&lt;9E+307)*(表成绩单[语文]&gt;表成绩单[[#This Row],[语文]]))+1)</f>
        <v>211</v>
      </c>
      <c r="Q2421" s="29" cm="1">
        <f t="array" ref="Q2421">IF(表成绩单[[#This Row],[数学]]="","",SUMPRODUCT((表成绩单[考试日期]=表成绩单[[#This Row],[考试日期]])*(表成绩单[数学]&lt;9E+307)*(表成绩单[数学]&gt;表成绩单[[#This Row],[数学]]))+1)</f>
        <v>4</v>
      </c>
      <c r="R2421" s="29" cm="1">
        <f t="array" ref="R2421">IF(表成绩单[[#This Row],[英语]]="","",SUMPRODUCT((表成绩单[考试日期]=表成绩单[[#This Row],[考试日期]])*(表成绩单[英语]&lt;9E+307)*(表成绩单[英语]&gt;表成绩单[[#This Row],[英语]]))+1)</f>
        <v>100</v>
      </c>
      <c r="S2421" s="29" cm="1">
        <f t="array" ref="S2421">IF(表成绩单[[#This Row],[物理]]="","",SUMPRODUCT((表成绩单[考试日期]=表成绩单[[#This Row],[考试日期]])*(表成绩单[物理]&lt;9E+307)*(表成绩单[物理]&gt;表成绩单[[#This Row],[物理]]))+1)</f>
        <v>61</v>
      </c>
      <c r="T2421" s="29" cm="1">
        <f t="array" ref="T2421">IF(表成绩单[[#This Row],[化学]]="","",SUMPRODUCT((表成绩单[考试日期]=表成绩单[[#This Row],[考试日期]])*(表成绩单[化学]&lt;9E+307)*(表成绩单[化学]&gt;表成绩单[[#This Row],[化学]]))+1)</f>
        <v>47</v>
      </c>
      <c r="U2421" s="29" cm="1">
        <f t="array" ref="U2421">IF(表成绩单[[#This Row],[政治]]="","",SUMPRODUCT((表成绩单[考试日期]=表成绩单[[#This Row],[考试日期]])*(表成绩单[政治]&lt;9E+307)*(表成绩单[政治]&gt;表成绩单[[#This Row],[政治]]))+1)</f>
        <v>14</v>
      </c>
      <c r="V2421" s="29" cm="1">
        <f t="array" ref="V2421">IF(表成绩单[[#This Row],[历史]]="","",SUMPRODUCT((表成绩单[考试日期]=表成绩单[[#This Row],[考试日期]])*(表成绩单[历史]&lt;9E+307)*(表成绩单[历史]&gt;表成绩单[[#This Row],[历史]]))+1)</f>
        <v>20</v>
      </c>
      <c r="W2421" s="29" cm="1">
        <f t="array" ref="W2421">IF(表成绩单[[#This Row],[总分]]="","",SUMPRODUCT((表成绩单[考试日期]=表成绩单[[#This Row],[考试日期]])*(表成绩单[总分]&lt;9E+307)*(表成绩单[总分]&gt;表成绩单[[#This Row],[总分]]))+1)</f>
        <v>13</v>
      </c>
    </row>
    <row r="2422" ht="28" customHeight="1" spans="4:23">
      <c r="D2422" s="31">
        <v>46108</v>
      </c>
      <c r="E2422" s="29">
        <v>19175697</v>
      </c>
      <c r="F2422" s="29" t="s">
        <v>72</v>
      </c>
      <c r="G2422" s="29" t="s">
        <v>135</v>
      </c>
      <c r="H2422" s="29">
        <v>110</v>
      </c>
      <c r="I2422" s="29">
        <v>108</v>
      </c>
      <c r="J2422" s="29">
        <v>83.5</v>
      </c>
      <c r="K2422" s="29">
        <v>85</v>
      </c>
      <c r="L2422" s="29">
        <v>77</v>
      </c>
      <c r="M2422" s="29">
        <v>81</v>
      </c>
      <c r="N2422" s="29">
        <v>85</v>
      </c>
      <c r="O2422" s="32">
        <v>629.5</v>
      </c>
      <c r="P2422" s="29" cm="1">
        <f t="array" ref="P2422">IF(表成绩单[[#This Row],[语文]]="","",SUMPRODUCT((表成绩单[考试日期]=表成绩单[[#This Row],[考试日期]])*(表成绩单[语文]&lt;9E+307)*(表成绩单[语文]&gt;表成绩单[[#This Row],[语文]]))+1)</f>
        <v>24</v>
      </c>
      <c r="Q2422" s="29" cm="1">
        <f t="array" ref="Q2422">IF(表成绩单[[#This Row],[数学]]="","",SUMPRODUCT((表成绩单[考试日期]=表成绩单[[#This Row],[考试日期]])*(表成绩单[数学]&lt;9E+307)*(表成绩单[数学]&gt;表成绩单[[#This Row],[数学]]))+1)</f>
        <v>25</v>
      </c>
      <c r="R2422" s="29" cm="1">
        <f t="array" ref="R2422">IF(表成绩单[[#This Row],[英语]]="","",SUMPRODUCT((表成绩单[考试日期]=表成绩单[[#This Row],[考试日期]])*(表成绩单[英语]&lt;9E+307)*(表成绩单[英语]&gt;表成绩单[[#This Row],[英语]]))+1)</f>
        <v>122</v>
      </c>
      <c r="S2422" s="29" cm="1">
        <f t="array" ref="S2422">IF(表成绩单[[#This Row],[物理]]="","",SUMPRODUCT((表成绩单[考试日期]=表成绩单[[#This Row],[考试日期]])*(表成绩单[物理]&lt;9E+307)*(表成绩单[物理]&gt;表成绩单[[#This Row],[物理]]))+1)</f>
        <v>105</v>
      </c>
      <c r="T2422" s="29" cm="1">
        <f t="array" ref="T2422">IF(表成绩单[[#This Row],[化学]]="","",SUMPRODUCT((表成绩单[考试日期]=表成绩单[[#This Row],[考试日期]])*(表成绩单[化学]&lt;9E+307)*(表成绩单[化学]&gt;表成绩单[[#This Row],[化学]]))+1)</f>
        <v>57</v>
      </c>
      <c r="U2422" s="29" cm="1">
        <f t="array" ref="U2422">IF(表成绩单[[#This Row],[政治]]="","",SUMPRODUCT((表成绩单[考试日期]=表成绩单[[#This Row],[考试日期]])*(表成绩单[政治]&lt;9E+307)*(表成绩单[政治]&gt;表成绩单[[#This Row],[政治]]))+1)</f>
        <v>68</v>
      </c>
      <c r="V2422" s="29" cm="1">
        <f t="array" ref="V2422">IF(表成绩单[[#This Row],[历史]]="","",SUMPRODUCT((表成绩单[考试日期]=表成绩单[[#This Row],[考试日期]])*(表成绩单[历史]&lt;9E+307)*(表成绩单[历史]&gt;表成绩单[[#This Row],[历史]]))+1)</f>
        <v>20</v>
      </c>
      <c r="W2422" s="29" cm="1">
        <f t="array" ref="W2422">IF(表成绩单[[#This Row],[总分]]="","",SUMPRODUCT((表成绩单[考试日期]=表成绩单[[#This Row],[考试日期]])*(表成绩单[总分]&lt;9E+307)*(表成绩单[总分]&gt;表成绩单[[#This Row],[总分]]))+1)</f>
        <v>15</v>
      </c>
    </row>
    <row r="2423" ht="28" customHeight="1" spans="4:23">
      <c r="D2423" s="31">
        <v>46108</v>
      </c>
      <c r="E2423" s="29">
        <v>19175393</v>
      </c>
      <c r="F2423" s="29" t="s">
        <v>74</v>
      </c>
      <c r="G2423" s="29" t="s">
        <v>114</v>
      </c>
      <c r="H2423" s="29">
        <v>108</v>
      </c>
      <c r="I2423" s="29">
        <v>104</v>
      </c>
      <c r="J2423" s="29">
        <v>87</v>
      </c>
      <c r="K2423" s="29">
        <v>87</v>
      </c>
      <c r="L2423" s="29">
        <v>79</v>
      </c>
      <c r="M2423" s="29">
        <v>84</v>
      </c>
      <c r="N2423" s="29">
        <v>80</v>
      </c>
      <c r="O2423" s="32">
        <v>629</v>
      </c>
      <c r="P2423" s="29" cm="1">
        <f t="array" ref="P2423">IF(表成绩单[[#This Row],[语文]]="","",SUMPRODUCT((表成绩单[考试日期]=表成绩单[[#This Row],[考试日期]])*(表成绩单[语文]&lt;9E+307)*(表成绩单[语文]&gt;表成绩单[[#This Row],[语文]]))+1)</f>
        <v>55</v>
      </c>
      <c r="Q2423" s="29" cm="1">
        <f t="array" ref="Q2423">IF(表成绩单[[#This Row],[数学]]="","",SUMPRODUCT((表成绩单[考试日期]=表成绩单[[#This Row],[考试日期]])*(表成绩单[数学]&lt;9E+307)*(表成绩单[数学]&gt;表成绩单[[#This Row],[数学]]))+1)</f>
        <v>68</v>
      </c>
      <c r="R2423" s="29" cm="1">
        <f t="array" ref="R2423">IF(表成绩单[[#This Row],[英语]]="","",SUMPRODUCT((表成绩单[考试日期]=表成绩单[[#This Row],[考试日期]])*(表成绩单[英语]&lt;9E+307)*(表成绩单[英语]&gt;表成绩单[[#This Row],[英语]]))+1)</f>
        <v>8</v>
      </c>
      <c r="S2423" s="29" cm="1">
        <f t="array" ref="S2423">IF(表成绩单[[#This Row],[物理]]="","",SUMPRODUCT((表成绩单[考试日期]=表成绩单[[#This Row],[考试日期]])*(表成绩单[物理]&lt;9E+307)*(表成绩单[物理]&gt;表成绩单[[#This Row],[物理]]))+1)</f>
        <v>49</v>
      </c>
      <c r="T2423" s="29" cm="1">
        <f t="array" ref="T2423">IF(表成绩单[[#This Row],[化学]]="","",SUMPRODUCT((表成绩单[考试日期]=表成绩单[[#This Row],[考试日期]])*(表成绩单[化学]&lt;9E+307)*(表成绩单[化学]&gt;表成绩单[[#This Row],[化学]]))+1)</f>
        <v>35</v>
      </c>
      <c r="U2423" s="29" cm="1">
        <f t="array" ref="U2423">IF(表成绩单[[#This Row],[政治]]="","",SUMPRODUCT((表成绩单[考试日期]=表成绩单[[#This Row],[考试日期]])*(表成绩单[政治]&lt;9E+307)*(表成绩单[政治]&gt;表成绩单[[#This Row],[政治]]))+1)</f>
        <v>14</v>
      </c>
      <c r="V2423" s="29" cm="1">
        <f t="array" ref="V2423">IF(表成绩单[[#This Row],[历史]]="","",SUMPRODUCT((表成绩单[考试日期]=表成绩单[[#This Row],[考试日期]])*(表成绩单[历史]&lt;9E+307)*(表成绩单[历史]&gt;表成绩单[[#This Row],[历史]]))+1)</f>
        <v>143</v>
      </c>
      <c r="W2423" s="29" cm="1">
        <f t="array" ref="W2423">IF(表成绩单[[#This Row],[总分]]="","",SUMPRODUCT((表成绩单[考试日期]=表成绩单[[#This Row],[考试日期]])*(表成绩单[总分]&lt;9E+307)*(表成绩单[总分]&gt;表成绩单[[#This Row],[总分]]))+1)</f>
        <v>16</v>
      </c>
    </row>
    <row r="2424" ht="28" customHeight="1" spans="4:23">
      <c r="D2424" s="31">
        <v>46108</v>
      </c>
      <c r="E2424" s="29">
        <v>19175395</v>
      </c>
      <c r="F2424" s="29" t="s">
        <v>74</v>
      </c>
      <c r="G2424" s="29" t="s">
        <v>111</v>
      </c>
      <c r="H2424" s="29">
        <v>113</v>
      </c>
      <c r="I2424" s="29">
        <v>97</v>
      </c>
      <c r="J2424" s="29">
        <v>86</v>
      </c>
      <c r="K2424" s="29">
        <v>87</v>
      </c>
      <c r="L2424" s="29">
        <v>79</v>
      </c>
      <c r="M2424" s="29">
        <v>82</v>
      </c>
      <c r="N2424" s="29">
        <v>84</v>
      </c>
      <c r="O2424" s="32">
        <v>628</v>
      </c>
      <c r="P2424" s="29" cm="1">
        <f t="array" ref="P2424">IF(表成绩单[[#This Row],[语文]]="","",SUMPRODUCT((表成绩单[考试日期]=表成绩单[[#This Row],[考试日期]])*(表成绩单[语文]&lt;9E+307)*(表成绩单[语文]&gt;表成绩单[[#This Row],[语文]]))+1)</f>
        <v>6</v>
      </c>
      <c r="Q2424" s="29" cm="1">
        <f t="array" ref="Q2424">IF(表成绩单[[#This Row],[数学]]="","",SUMPRODUCT((表成绩单[考试日期]=表成绩单[[#This Row],[考试日期]])*(表成绩单[数学]&lt;9E+307)*(表成绩单[数学]&gt;表成绩单[[#This Row],[数学]]))+1)</f>
        <v>175</v>
      </c>
      <c r="R2424" s="29" cm="1">
        <f t="array" ref="R2424">IF(表成绩单[[#This Row],[英语]]="","",SUMPRODUCT((表成绩单[考试日期]=表成绩单[[#This Row],[考试日期]])*(表成绩单[英语]&lt;9E+307)*(表成绩单[英语]&gt;表成绩单[[#This Row],[英语]]))+1)</f>
        <v>29</v>
      </c>
      <c r="S2424" s="29" cm="1">
        <f t="array" ref="S2424">IF(表成绩单[[#This Row],[物理]]="","",SUMPRODUCT((表成绩单[考试日期]=表成绩单[[#This Row],[考试日期]])*(表成绩单[物理]&lt;9E+307)*(表成绩单[物理]&gt;表成绩单[[#This Row],[物理]]))+1)</f>
        <v>49</v>
      </c>
      <c r="T2424" s="29" cm="1">
        <f t="array" ref="T2424">IF(表成绩单[[#This Row],[化学]]="","",SUMPRODUCT((表成绩单[考试日期]=表成绩单[[#This Row],[考试日期]])*(表成绩单[化学]&lt;9E+307)*(表成绩单[化学]&gt;表成绩单[[#This Row],[化学]]))+1)</f>
        <v>35</v>
      </c>
      <c r="U2424" s="29" cm="1">
        <f t="array" ref="U2424">IF(表成绩单[[#This Row],[政治]]="","",SUMPRODUCT((表成绩单[考试日期]=表成绩单[[#This Row],[考试日期]])*(表成绩单[政治]&lt;9E+307)*(表成绩单[政治]&gt;表成绩单[[#This Row],[政治]]))+1)</f>
        <v>45</v>
      </c>
      <c r="V2424" s="29" cm="1">
        <f t="array" ref="V2424">IF(表成绩单[[#This Row],[历史]]="","",SUMPRODUCT((表成绩单[考试日期]=表成绩单[[#This Row],[考试日期]])*(表成绩单[历史]&lt;9E+307)*(表成绩单[历史]&gt;表成绩单[[#This Row],[历史]]))+1)</f>
        <v>38</v>
      </c>
      <c r="W2424" s="29" cm="1">
        <f t="array" ref="W2424">IF(表成绩单[[#This Row],[总分]]="","",SUMPRODUCT((表成绩单[考试日期]=表成绩单[[#This Row],[考试日期]])*(表成绩单[总分]&lt;9E+307)*(表成绩单[总分]&gt;表成绩单[[#This Row],[总分]]))+1)</f>
        <v>17</v>
      </c>
    </row>
    <row r="2425" ht="28" customHeight="1" spans="4:23">
      <c r="D2425" s="31">
        <v>46108</v>
      </c>
      <c r="E2425" s="29">
        <v>19175710</v>
      </c>
      <c r="F2425" s="29" t="s">
        <v>72</v>
      </c>
      <c r="G2425" s="29" t="s">
        <v>122</v>
      </c>
      <c r="H2425" s="29">
        <v>103</v>
      </c>
      <c r="I2425" s="29">
        <v>113</v>
      </c>
      <c r="J2425" s="29">
        <v>84.5</v>
      </c>
      <c r="K2425" s="29">
        <v>85</v>
      </c>
      <c r="L2425" s="29">
        <v>82</v>
      </c>
      <c r="M2425" s="29">
        <v>77</v>
      </c>
      <c r="N2425" s="29">
        <v>82</v>
      </c>
      <c r="O2425" s="32">
        <v>626.5</v>
      </c>
      <c r="P2425" s="29" cm="1">
        <f t="array" ref="P2425">IF(表成绩单[[#This Row],[语文]]="","",SUMPRODUCT((表成绩单[考试日期]=表成绩单[[#This Row],[考试日期]])*(表成绩单[语文]&lt;9E+307)*(表成绩单[语文]&gt;表成绩单[[#This Row],[语文]]))+1)</f>
        <v>155</v>
      </c>
      <c r="Q2425" s="29" cm="1">
        <f t="array" ref="Q2425">IF(表成绩单[[#This Row],[数学]]="","",SUMPRODUCT((表成绩单[考试日期]=表成绩单[[#This Row],[考试日期]])*(表成绩单[数学]&lt;9E+307)*(表成绩单[数学]&gt;表成绩单[[#This Row],[数学]]))+1)</f>
        <v>1</v>
      </c>
      <c r="R2425" s="29" cm="1">
        <f t="array" ref="R2425">IF(表成绩单[[#This Row],[英语]]="","",SUMPRODUCT((表成绩单[考试日期]=表成绩单[[#This Row],[考试日期]])*(表成绩单[英语]&lt;9E+307)*(表成绩单[英语]&gt;表成绩单[[#This Row],[英语]]))+1)</f>
        <v>83</v>
      </c>
      <c r="S2425" s="29" cm="1">
        <f t="array" ref="S2425">IF(表成绩单[[#This Row],[物理]]="","",SUMPRODUCT((表成绩单[考试日期]=表成绩单[[#This Row],[考试日期]])*(表成绩单[物理]&lt;9E+307)*(表成绩单[物理]&gt;表成绩单[[#This Row],[物理]]))+1)</f>
        <v>105</v>
      </c>
      <c r="T2425" s="29" cm="1">
        <f t="array" ref="T2425">IF(表成绩单[[#This Row],[化学]]="","",SUMPRODUCT((表成绩单[考试日期]=表成绩单[[#This Row],[考试日期]])*(表成绩单[化学]&lt;9E+307)*(表成绩单[化学]&gt;表成绩单[[#This Row],[化学]]))+1)</f>
        <v>11</v>
      </c>
      <c r="U2425" s="29" cm="1">
        <f t="array" ref="U2425">IF(表成绩单[[#This Row],[政治]]="","",SUMPRODUCT((表成绩单[考试日期]=表成绩单[[#This Row],[考试日期]])*(表成绩单[政治]&lt;9E+307)*(表成绩单[政治]&gt;表成绩单[[#This Row],[政治]]))+1)</f>
        <v>230</v>
      </c>
      <c r="V2425" s="29" cm="1">
        <f t="array" ref="V2425">IF(表成绩单[[#This Row],[历史]]="","",SUMPRODUCT((表成绩单[考试日期]=表成绩单[[#This Row],[考试日期]])*(表成绩单[历史]&lt;9E+307)*(表成绩单[历史]&gt;表成绩单[[#This Row],[历史]]))+1)</f>
        <v>81</v>
      </c>
      <c r="W2425" s="29" cm="1">
        <f t="array" ref="W2425">IF(表成绩单[[#This Row],[总分]]="","",SUMPRODUCT((表成绩单[考试日期]=表成绩单[[#This Row],[考试日期]])*(表成绩单[总分]&lt;9E+307)*(表成绩单[总分]&gt;表成绩单[[#This Row],[总分]]))+1)</f>
        <v>18</v>
      </c>
    </row>
    <row r="2426" ht="28" customHeight="1" spans="4:23">
      <c r="D2426" s="31">
        <v>46108</v>
      </c>
      <c r="E2426" s="29">
        <v>19167654</v>
      </c>
      <c r="F2426" s="29" t="s">
        <v>1</v>
      </c>
      <c r="G2426" s="29" t="s">
        <v>107</v>
      </c>
      <c r="H2426" s="29">
        <v>105</v>
      </c>
      <c r="I2426" s="29">
        <v>107</v>
      </c>
      <c r="J2426" s="29">
        <v>84</v>
      </c>
      <c r="K2426" s="29">
        <v>82</v>
      </c>
      <c r="L2426" s="29">
        <v>76</v>
      </c>
      <c r="M2426" s="29">
        <v>85</v>
      </c>
      <c r="N2426" s="29">
        <v>87</v>
      </c>
      <c r="O2426" s="32">
        <v>626</v>
      </c>
      <c r="P2426" s="29" cm="1">
        <f t="array" ref="P2426">IF(表成绩单[[#This Row],[语文]]="","",SUMPRODUCT((表成绩单[考试日期]=表成绩单[[#This Row],[考试日期]])*(表成绩单[语文]&lt;9E+307)*(表成绩单[语文]&gt;表成绩单[[#This Row],[语文]]))+1)</f>
        <v>101</v>
      </c>
      <c r="Q2426" s="29" cm="1">
        <f t="array" ref="Q2426">IF(表成绩单[[#This Row],[数学]]="","",SUMPRODUCT((表成绩单[考试日期]=表成绩单[[#This Row],[考试日期]])*(表成绩单[数学]&lt;9E+307)*(表成绩单[数学]&gt;表成绩单[[#This Row],[数学]]))+1)</f>
        <v>34</v>
      </c>
      <c r="R2426" s="29" cm="1">
        <f t="array" ref="R2426">IF(表成绩单[[#This Row],[英语]]="","",SUMPRODUCT((表成绩单[考试日期]=表成绩单[[#This Row],[考试日期]])*(表成绩单[英语]&lt;9E+307)*(表成绩单[英语]&gt;表成绩单[[#This Row],[英语]]))+1)</f>
        <v>100</v>
      </c>
      <c r="S2426" s="29" cm="1">
        <f t="array" ref="S2426">IF(表成绩单[[#This Row],[物理]]="","",SUMPRODUCT((表成绩单[考试日期]=表成绩单[[#This Row],[考试日期]])*(表成绩单[物理]&lt;9E+307)*(表成绩单[物理]&gt;表成绩单[[#This Row],[物理]]))+1)</f>
        <v>223</v>
      </c>
      <c r="T2426" s="29" cm="1">
        <f t="array" ref="T2426">IF(表成绩单[[#This Row],[化学]]="","",SUMPRODUCT((表成绩单[考试日期]=表成绩单[[#This Row],[考试日期]])*(表成绩单[化学]&lt;9E+307)*(表成绩单[化学]&gt;表成绩单[[#This Row],[化学]]))+1)</f>
        <v>71</v>
      </c>
      <c r="U2426" s="29" cm="1">
        <f t="array" ref="U2426">IF(表成绩单[[#This Row],[政治]]="","",SUMPRODUCT((表成绩单[考试日期]=表成绩单[[#This Row],[考试日期]])*(表成绩单[政治]&lt;9E+307)*(表成绩单[政治]&gt;表成绩单[[#This Row],[政治]]))+1)</f>
        <v>5</v>
      </c>
      <c r="V2426" s="29" cm="1">
        <f t="array" ref="V2426">IF(表成绩单[[#This Row],[历史]]="","",SUMPRODUCT((表成绩单[考试日期]=表成绩单[[#This Row],[考试日期]])*(表成绩单[历史]&lt;9E+307)*(表成绩单[历史]&gt;表成绩单[[#This Row],[历史]]))+1)</f>
        <v>6</v>
      </c>
      <c r="W2426" s="29" cm="1">
        <f t="array" ref="W2426">IF(表成绩单[[#This Row],[总分]]="","",SUMPRODUCT((表成绩单[考试日期]=表成绩单[[#This Row],[考试日期]])*(表成绩单[总分]&lt;9E+307)*(表成绩单[总分]&gt;表成绩单[[#This Row],[总分]]))+1)</f>
        <v>19</v>
      </c>
    </row>
    <row r="2427" ht="28" customHeight="1" spans="4:23">
      <c r="D2427" s="31">
        <v>46108</v>
      </c>
      <c r="E2427" s="29">
        <v>19175398</v>
      </c>
      <c r="F2427" s="29" t="s">
        <v>74</v>
      </c>
      <c r="G2427" s="29" t="s">
        <v>168</v>
      </c>
      <c r="H2427" s="29">
        <v>106</v>
      </c>
      <c r="I2427" s="29">
        <v>108</v>
      </c>
      <c r="J2427" s="29">
        <v>82</v>
      </c>
      <c r="K2427" s="29">
        <v>89</v>
      </c>
      <c r="L2427" s="29">
        <v>75</v>
      </c>
      <c r="M2427" s="29">
        <v>79</v>
      </c>
      <c r="N2427" s="29">
        <v>87</v>
      </c>
      <c r="O2427" s="32">
        <v>626</v>
      </c>
      <c r="P2427" s="29" cm="1">
        <f t="array" ref="P2427">IF(表成绩单[[#This Row],[语文]]="","",SUMPRODUCT((表成绩单[考试日期]=表成绩单[[#This Row],[考试日期]])*(表成绩单[语文]&lt;9E+307)*(表成绩单[语文]&gt;表成绩单[[#This Row],[语文]]))+1)</f>
        <v>85</v>
      </c>
      <c r="Q2427" s="29" cm="1">
        <f t="array" ref="Q2427">IF(表成绩单[[#This Row],[数学]]="","",SUMPRODUCT((表成绩单[考试日期]=表成绩单[[#This Row],[考试日期]])*(表成绩单[数学]&lt;9E+307)*(表成绩单[数学]&gt;表成绩单[[#This Row],[数学]]))+1)</f>
        <v>25</v>
      </c>
      <c r="R2427" s="29" cm="1">
        <f t="array" ref="R2427">IF(表成绩单[[#This Row],[英语]]="","",SUMPRODUCT((表成绩单[考试日期]=表成绩单[[#This Row],[考试日期]])*(表成绩单[英语]&lt;9E+307)*(表成绩单[英语]&gt;表成绩单[[#This Row],[英语]]))+1)</f>
        <v>180</v>
      </c>
      <c r="S2427" s="29" cm="1">
        <f t="array" ref="S2427">IF(表成绩单[[#This Row],[物理]]="","",SUMPRODUCT((表成绩单[考试日期]=表成绩单[[#This Row],[考试日期]])*(表成绩单[物理]&lt;9E+307)*(表成绩单[物理]&gt;表成绩单[[#This Row],[物理]]))+1)</f>
        <v>15</v>
      </c>
      <c r="T2427" s="29" cm="1">
        <f t="array" ref="T2427">IF(表成绩单[[#This Row],[化学]]="","",SUMPRODUCT((表成绩单[考试日期]=表成绩单[[#This Row],[考试日期]])*(表成绩单[化学]&lt;9E+307)*(表成绩单[化学]&gt;表成绩单[[#This Row],[化学]]))+1)</f>
        <v>96</v>
      </c>
      <c r="U2427" s="29" cm="1">
        <f t="array" ref="U2427">IF(表成绩单[[#This Row],[政治]]="","",SUMPRODUCT((表成绩单[考试日期]=表成绩单[[#This Row],[考试日期]])*(表成绩单[政治]&lt;9E+307)*(表成绩单[政治]&gt;表成绩单[[#This Row],[政治]]))+1)</f>
        <v>134</v>
      </c>
      <c r="V2427" s="29" cm="1">
        <f t="array" ref="V2427">IF(表成绩单[[#This Row],[历史]]="","",SUMPRODUCT((表成绩单[考试日期]=表成绩单[[#This Row],[考试日期]])*(表成绩单[历史]&lt;9E+307)*(表成绩单[历史]&gt;表成绩单[[#This Row],[历史]]))+1)</f>
        <v>6</v>
      </c>
      <c r="W2427" s="29" cm="1">
        <f t="array" ref="W2427">IF(表成绩单[[#This Row],[总分]]="","",SUMPRODUCT((表成绩单[考试日期]=表成绩单[[#This Row],[考试日期]])*(表成绩单[总分]&lt;9E+307)*(表成绩单[总分]&gt;表成绩单[[#This Row],[总分]]))+1)</f>
        <v>19</v>
      </c>
    </row>
    <row r="2428" ht="28" customHeight="1" spans="4:23">
      <c r="D2428" s="31">
        <v>46108</v>
      </c>
      <c r="E2428" s="29">
        <v>19167655</v>
      </c>
      <c r="F2428" s="29" t="s">
        <v>1</v>
      </c>
      <c r="G2428" s="29" t="s">
        <v>115</v>
      </c>
      <c r="H2428" s="29">
        <v>112</v>
      </c>
      <c r="I2428" s="29">
        <v>105</v>
      </c>
      <c r="J2428" s="29">
        <v>87</v>
      </c>
      <c r="K2428" s="29">
        <v>83</v>
      </c>
      <c r="L2428" s="29">
        <v>73</v>
      </c>
      <c r="M2428" s="29">
        <v>84</v>
      </c>
      <c r="N2428" s="29">
        <v>81</v>
      </c>
      <c r="O2428" s="32">
        <v>625</v>
      </c>
      <c r="P2428" s="29" cm="1">
        <f t="array" ref="P2428">IF(表成绩单[[#This Row],[语文]]="","",SUMPRODUCT((表成绩单[考试日期]=表成绩单[[#This Row],[考试日期]])*(表成绩单[语文]&lt;9E+307)*(表成绩单[语文]&gt;表成绩单[[#This Row],[语文]]))+1)</f>
        <v>10</v>
      </c>
      <c r="Q2428" s="29" cm="1">
        <f t="array" ref="Q2428">IF(表成绩单[[#This Row],[数学]]="","",SUMPRODUCT((表成绩单[考试日期]=表成绩单[[#This Row],[考试日期]])*(表成绩单[数学]&lt;9E+307)*(表成绩单[数学]&gt;表成绩单[[#This Row],[数学]]))+1)</f>
        <v>52</v>
      </c>
      <c r="R2428" s="29" cm="1">
        <f t="array" ref="R2428">IF(表成绩单[[#This Row],[英语]]="","",SUMPRODUCT((表成绩单[考试日期]=表成绩单[[#This Row],[考试日期]])*(表成绩单[英语]&lt;9E+307)*(表成绩单[英语]&gt;表成绩单[[#This Row],[英语]]))+1)</f>
        <v>8</v>
      </c>
      <c r="S2428" s="29" cm="1">
        <f t="array" ref="S2428">IF(表成绩单[[#This Row],[物理]]="","",SUMPRODUCT((表成绩单[考试日期]=表成绩单[[#This Row],[考试日期]])*(表成绩单[物理]&lt;9E+307)*(表成绩单[物理]&gt;表成绩单[[#This Row],[物理]]))+1)</f>
        <v>184</v>
      </c>
      <c r="T2428" s="29" cm="1">
        <f t="array" ref="T2428">IF(表成绩单[[#This Row],[化学]]="","",SUMPRODUCT((表成绩单[考试日期]=表成绩单[[#This Row],[考试日期]])*(表成绩单[化学]&lt;9E+307)*(表成绩单[化学]&gt;表成绩单[[#This Row],[化学]]))+1)</f>
        <v>152</v>
      </c>
      <c r="U2428" s="29" cm="1">
        <f t="array" ref="U2428">IF(表成绩单[[#This Row],[政治]]="","",SUMPRODUCT((表成绩单[考试日期]=表成绩单[[#This Row],[考试日期]])*(表成绩单[政治]&lt;9E+307)*(表成绩单[政治]&gt;表成绩单[[#This Row],[政治]]))+1)</f>
        <v>14</v>
      </c>
      <c r="V2428" s="29" cm="1">
        <f t="array" ref="V2428">IF(表成绩单[[#This Row],[历史]]="","",SUMPRODUCT((表成绩单[考试日期]=表成绩单[[#This Row],[考试日期]])*(表成绩单[历史]&lt;9E+307)*(表成绩单[历史]&gt;表成绩单[[#This Row],[历史]]))+1)</f>
        <v>106</v>
      </c>
      <c r="W2428" s="29" cm="1">
        <f t="array" ref="W2428">IF(表成绩单[[#This Row],[总分]]="","",SUMPRODUCT((表成绩单[考试日期]=表成绩单[[#This Row],[考试日期]])*(表成绩单[总分]&lt;9E+307)*(表成绩单[总分]&gt;表成绩单[[#This Row],[总分]]))+1)</f>
        <v>21</v>
      </c>
    </row>
    <row r="2429" ht="28" customHeight="1" spans="4:23">
      <c r="D2429" s="31">
        <v>46108</v>
      </c>
      <c r="E2429" s="29">
        <v>19176883</v>
      </c>
      <c r="F2429" s="29" t="s">
        <v>71</v>
      </c>
      <c r="G2429" s="29" t="s">
        <v>85</v>
      </c>
      <c r="H2429" s="29">
        <v>111</v>
      </c>
      <c r="I2429" s="29">
        <v>103</v>
      </c>
      <c r="J2429" s="29">
        <v>87</v>
      </c>
      <c r="K2429" s="29">
        <v>90</v>
      </c>
      <c r="L2429" s="29">
        <v>71</v>
      </c>
      <c r="M2429" s="29">
        <v>84</v>
      </c>
      <c r="N2429" s="29">
        <v>79</v>
      </c>
      <c r="O2429" s="32">
        <v>625</v>
      </c>
      <c r="P2429" s="29" cm="1">
        <f t="array" ref="P2429">IF(表成绩单[[#This Row],[语文]]="","",SUMPRODUCT((表成绩单[考试日期]=表成绩单[[#This Row],[考试日期]])*(表成绩单[语文]&lt;9E+307)*(表成绩单[语文]&gt;表成绩单[[#This Row],[语文]]))+1)</f>
        <v>18</v>
      </c>
      <c r="Q2429" s="29" cm="1">
        <f t="array" ref="Q2429">IF(表成绩单[[#This Row],[数学]]="","",SUMPRODUCT((表成绩单[考试日期]=表成绩单[[#This Row],[考试日期]])*(表成绩单[数学]&lt;9E+307)*(表成绩单[数学]&gt;表成绩单[[#This Row],[数学]]))+1)</f>
        <v>87</v>
      </c>
      <c r="R2429" s="29" cm="1">
        <f t="array" ref="R2429">IF(表成绩单[[#This Row],[英语]]="","",SUMPRODUCT((表成绩单[考试日期]=表成绩单[[#This Row],[考试日期]])*(表成绩单[英语]&lt;9E+307)*(表成绩单[英语]&gt;表成绩单[[#This Row],[英语]]))+1)</f>
        <v>8</v>
      </c>
      <c r="S2429" s="29" cm="1">
        <f t="array" ref="S2429">IF(表成绩单[[#This Row],[物理]]="","",SUMPRODUCT((表成绩单[考试日期]=表成绩单[[#This Row],[考试日期]])*(表成绩单[物理]&lt;9E+307)*(表成绩单[物理]&gt;表成绩单[[#This Row],[物理]]))+1)</f>
        <v>1</v>
      </c>
      <c r="T2429" s="29" cm="1">
        <f t="array" ref="T2429">IF(表成绩单[[#This Row],[化学]]="","",SUMPRODUCT((表成绩单[考试日期]=表成绩单[[#This Row],[考试日期]])*(表成绩单[化学]&lt;9E+307)*(表成绩单[化学]&gt;表成绩单[[#This Row],[化学]]))+1)</f>
        <v>217</v>
      </c>
      <c r="U2429" s="29" cm="1">
        <f t="array" ref="U2429">IF(表成绩单[[#This Row],[政治]]="","",SUMPRODUCT((表成绩单[考试日期]=表成绩单[[#This Row],[考试日期]])*(表成绩单[政治]&lt;9E+307)*(表成绩单[政治]&gt;表成绩单[[#This Row],[政治]]))+1)</f>
        <v>14</v>
      </c>
      <c r="V2429" s="29" cm="1">
        <f t="array" ref="V2429">IF(表成绩单[[#This Row],[历史]]="","",SUMPRODUCT((表成绩单[考试日期]=表成绩单[[#This Row],[考试日期]])*(表成绩单[历史]&lt;9E+307)*(表成绩单[历史]&gt;表成绩单[[#This Row],[历史]]))+1)</f>
        <v>173</v>
      </c>
      <c r="W2429" s="29" cm="1">
        <f t="array" ref="W2429">IF(表成绩单[[#This Row],[总分]]="","",SUMPRODUCT((表成绩单[考试日期]=表成绩单[[#This Row],[考试日期]])*(表成绩单[总分]&lt;9E+307)*(表成绩单[总分]&gt;表成绩单[[#This Row],[总分]]))+1)</f>
        <v>21</v>
      </c>
    </row>
    <row r="2430" ht="28" customHeight="1" spans="4:23">
      <c r="D2430" s="31">
        <v>46108</v>
      </c>
      <c r="E2430" s="29">
        <v>19167642</v>
      </c>
      <c r="F2430" s="29" t="s">
        <v>1</v>
      </c>
      <c r="G2430" s="29" t="s">
        <v>151</v>
      </c>
      <c r="H2430" s="29">
        <v>110</v>
      </c>
      <c r="I2430" s="29">
        <v>104</v>
      </c>
      <c r="J2430" s="29">
        <v>85.5</v>
      </c>
      <c r="K2430" s="29">
        <v>85</v>
      </c>
      <c r="L2430" s="29">
        <v>73</v>
      </c>
      <c r="M2430" s="29">
        <v>83</v>
      </c>
      <c r="N2430" s="29">
        <v>84</v>
      </c>
      <c r="O2430" s="32">
        <v>624.5</v>
      </c>
      <c r="P2430" s="29" cm="1">
        <f t="array" ref="P2430">IF(表成绩单[[#This Row],[语文]]="","",SUMPRODUCT((表成绩单[考试日期]=表成绩单[[#This Row],[考试日期]])*(表成绩单[语文]&lt;9E+307)*(表成绩单[语文]&gt;表成绩单[[#This Row],[语文]]))+1)</f>
        <v>24</v>
      </c>
      <c r="Q2430" s="29" cm="1">
        <f t="array" ref="Q2430">IF(表成绩单[[#This Row],[数学]]="","",SUMPRODUCT((表成绩单[考试日期]=表成绩单[[#This Row],[考试日期]])*(表成绩单[数学]&lt;9E+307)*(表成绩单[数学]&gt;表成绩单[[#This Row],[数学]]))+1)</f>
        <v>68</v>
      </c>
      <c r="R2430" s="29" cm="1">
        <f t="array" ref="R2430">IF(表成绩单[[#This Row],[英语]]="","",SUMPRODUCT((表成绩单[考试日期]=表成绩单[[#This Row],[考试日期]])*(表成绩单[英语]&lt;9E+307)*(表成绩单[英语]&gt;表成绩单[[#This Row],[英语]]))+1)</f>
        <v>43</v>
      </c>
      <c r="S2430" s="29" cm="1">
        <f t="array" ref="S2430">IF(表成绩单[[#This Row],[物理]]="","",SUMPRODUCT((表成绩单[考试日期]=表成绩单[[#This Row],[考试日期]])*(表成绩单[物理]&lt;9E+307)*(表成绩单[物理]&gt;表成绩单[[#This Row],[物理]]))+1)</f>
        <v>105</v>
      </c>
      <c r="T2430" s="29" cm="1">
        <f t="array" ref="T2430">IF(表成绩单[[#This Row],[化学]]="","",SUMPRODUCT((表成绩单[考试日期]=表成绩单[[#This Row],[考试日期]])*(表成绩单[化学]&lt;9E+307)*(表成绩单[化学]&gt;表成绩单[[#This Row],[化学]]))+1)</f>
        <v>152</v>
      </c>
      <c r="U2430" s="29" cm="1">
        <f t="array" ref="U2430">IF(表成绩单[[#This Row],[政治]]="","",SUMPRODUCT((表成绩单[考试日期]=表成绩单[[#This Row],[考试日期]])*(表成绩单[政治]&lt;9E+307)*(表成绩单[政治]&gt;表成绩单[[#This Row],[政治]]))+1)</f>
        <v>24</v>
      </c>
      <c r="V2430" s="29" cm="1">
        <f t="array" ref="V2430">IF(表成绩单[[#This Row],[历史]]="","",SUMPRODUCT((表成绩单[考试日期]=表成绩单[[#This Row],[考试日期]])*(表成绩单[历史]&lt;9E+307)*(表成绩单[历史]&gt;表成绩单[[#This Row],[历史]]))+1)</f>
        <v>38</v>
      </c>
      <c r="W2430" s="29" cm="1">
        <f t="array" ref="W2430">IF(表成绩单[[#This Row],[总分]]="","",SUMPRODUCT((表成绩单[考试日期]=表成绩单[[#This Row],[考试日期]])*(表成绩单[总分]&lt;9E+307)*(表成绩单[总分]&gt;表成绩单[[#This Row],[总分]]))+1)</f>
        <v>23</v>
      </c>
    </row>
    <row r="2431" ht="28" customHeight="1" spans="4:23">
      <c r="D2431" s="31">
        <v>46108</v>
      </c>
      <c r="E2431" s="29">
        <v>19167643</v>
      </c>
      <c r="F2431" s="29" t="s">
        <v>1</v>
      </c>
      <c r="G2431" s="29" t="s">
        <v>88</v>
      </c>
      <c r="H2431" s="29">
        <v>103</v>
      </c>
      <c r="I2431" s="29">
        <v>111</v>
      </c>
      <c r="J2431" s="29">
        <v>88.5</v>
      </c>
      <c r="K2431" s="29">
        <v>86</v>
      </c>
      <c r="L2431" s="29">
        <v>74</v>
      </c>
      <c r="M2431" s="29">
        <v>78</v>
      </c>
      <c r="N2431" s="29">
        <v>84</v>
      </c>
      <c r="O2431" s="32">
        <v>624.5</v>
      </c>
      <c r="P2431" s="29" cm="1">
        <f t="array" ref="P2431">IF(表成绩单[[#This Row],[语文]]="","",SUMPRODUCT((表成绩单[考试日期]=表成绩单[[#This Row],[考试日期]])*(表成绩单[语文]&lt;9E+307)*(表成绩单[语文]&gt;表成绩单[[#This Row],[语文]]))+1)</f>
        <v>155</v>
      </c>
      <c r="Q2431" s="29" cm="1">
        <f t="array" ref="Q2431">IF(表成绩单[[#This Row],[数学]]="","",SUMPRODUCT((表成绩单[考试日期]=表成绩单[[#This Row],[考试日期]])*(表成绩单[数学]&lt;9E+307)*(表成绩单[数学]&gt;表成绩单[[#This Row],[数学]]))+1)</f>
        <v>7</v>
      </c>
      <c r="R2431" s="29" cm="1">
        <f t="array" ref="R2431">IF(表成绩单[[#This Row],[英语]]="","",SUMPRODUCT((表成绩单[考试日期]=表成绩单[[#This Row],[考试日期]])*(表成绩单[英语]&lt;9E+307)*(表成绩单[英语]&gt;表成绩单[[#This Row],[英语]]))+1)</f>
        <v>1</v>
      </c>
      <c r="S2431" s="29" cm="1">
        <f t="array" ref="S2431">IF(表成绩单[[#This Row],[物理]]="","",SUMPRODUCT((表成绩单[考试日期]=表成绩单[[#This Row],[考试日期]])*(表成绩单[物理]&lt;9E+307)*(表成绩单[物理]&gt;表成绩单[[#This Row],[物理]]))+1)</f>
        <v>61</v>
      </c>
      <c r="T2431" s="29" cm="1">
        <f t="array" ref="T2431">IF(表成绩单[[#This Row],[化学]]="","",SUMPRODUCT((表成绩单[考试日期]=表成绩单[[#This Row],[考试日期]])*(表成绩单[化学]&lt;9E+307)*(表成绩单[化学]&gt;表成绩单[[#This Row],[化学]]))+1)</f>
        <v>127</v>
      </c>
      <c r="U2431" s="29" cm="1">
        <f t="array" ref="U2431">IF(表成绩单[[#This Row],[政治]]="","",SUMPRODUCT((表成绩单[考试日期]=表成绩单[[#This Row],[考试日期]])*(表成绩单[政治]&lt;9E+307)*(表成绩单[政治]&gt;表成绩单[[#This Row],[政治]]))+1)</f>
        <v>171</v>
      </c>
      <c r="V2431" s="29" cm="1">
        <f t="array" ref="V2431">IF(表成绩单[[#This Row],[历史]]="","",SUMPRODUCT((表成绩单[考试日期]=表成绩单[[#This Row],[考试日期]])*(表成绩单[历史]&lt;9E+307)*(表成绩单[历史]&gt;表成绩单[[#This Row],[历史]]))+1)</f>
        <v>38</v>
      </c>
      <c r="W2431" s="29" cm="1">
        <f t="array" ref="W2431">IF(表成绩单[[#This Row],[总分]]="","",SUMPRODUCT((表成绩单[考试日期]=表成绩单[[#This Row],[考试日期]])*(表成绩单[总分]&lt;9E+307)*(表成绩单[总分]&gt;表成绩单[[#This Row],[总分]]))+1)</f>
        <v>23</v>
      </c>
    </row>
    <row r="2432" ht="28" customHeight="1" spans="4:23">
      <c r="D2432" s="31">
        <v>46108</v>
      </c>
      <c r="E2432" s="29">
        <v>19174467</v>
      </c>
      <c r="F2432" s="29" t="s">
        <v>73</v>
      </c>
      <c r="G2432" s="29" t="s">
        <v>167</v>
      </c>
      <c r="H2432" s="29">
        <v>104</v>
      </c>
      <c r="I2432" s="29">
        <v>107</v>
      </c>
      <c r="J2432" s="29">
        <v>88</v>
      </c>
      <c r="K2432" s="29">
        <v>88</v>
      </c>
      <c r="L2432" s="29">
        <v>75</v>
      </c>
      <c r="M2432" s="29">
        <v>77</v>
      </c>
      <c r="N2432" s="29">
        <v>85</v>
      </c>
      <c r="O2432" s="32">
        <v>624</v>
      </c>
      <c r="P2432" s="29" cm="1">
        <f t="array" ref="P2432">IF(表成绩单[[#This Row],[语文]]="","",SUMPRODUCT((表成绩单[考试日期]=表成绩单[[#This Row],[考试日期]])*(表成绩单[语文]&lt;9E+307)*(表成绩单[语文]&gt;表成绩单[[#This Row],[语文]]))+1)</f>
        <v>131</v>
      </c>
      <c r="Q2432" s="29" cm="1">
        <f t="array" ref="Q2432">IF(表成绩单[[#This Row],[数学]]="","",SUMPRODUCT((表成绩单[考试日期]=表成绩单[[#This Row],[考试日期]])*(表成绩单[数学]&lt;9E+307)*(表成绩单[数学]&gt;表成绩单[[#This Row],[数学]]))+1)</f>
        <v>34</v>
      </c>
      <c r="R2432" s="29" cm="1">
        <f t="array" ref="R2432">IF(表成绩单[[#This Row],[英语]]="","",SUMPRODUCT((表成绩单[考试日期]=表成绩单[[#This Row],[考试日期]])*(表成绩单[英语]&lt;9E+307)*(表成绩单[英语]&gt;表成绩单[[#This Row],[英语]]))+1)</f>
        <v>4</v>
      </c>
      <c r="S2432" s="29" cm="1">
        <f t="array" ref="S2432">IF(表成绩单[[#This Row],[物理]]="","",SUMPRODUCT((表成绩单[考试日期]=表成绩单[[#This Row],[考试日期]])*(表成绩单[物理]&lt;9E+307)*(表成绩单[物理]&gt;表成绩单[[#This Row],[物理]]))+1)</f>
        <v>27</v>
      </c>
      <c r="T2432" s="29" cm="1">
        <f t="array" ref="T2432">IF(表成绩单[[#This Row],[化学]]="","",SUMPRODUCT((表成绩单[考试日期]=表成绩单[[#This Row],[考试日期]])*(表成绩单[化学]&lt;9E+307)*(表成绩单[化学]&gt;表成绩单[[#This Row],[化学]]))+1)</f>
        <v>96</v>
      </c>
      <c r="U2432" s="29" cm="1">
        <f t="array" ref="U2432">IF(表成绩单[[#This Row],[政治]]="","",SUMPRODUCT((表成绩单[考试日期]=表成绩单[[#This Row],[考试日期]])*(表成绩单[政治]&lt;9E+307)*(表成绩单[政治]&gt;表成绩单[[#This Row],[政治]]))+1)</f>
        <v>230</v>
      </c>
      <c r="V2432" s="29" cm="1">
        <f t="array" ref="V2432">IF(表成绩单[[#This Row],[历史]]="","",SUMPRODUCT((表成绩单[考试日期]=表成绩单[[#This Row],[考试日期]])*(表成绩单[历史]&lt;9E+307)*(表成绩单[历史]&gt;表成绩单[[#This Row],[历史]]))+1)</f>
        <v>20</v>
      </c>
      <c r="W2432" s="29" cm="1">
        <f t="array" ref="W2432">IF(表成绩单[[#This Row],[总分]]="","",SUMPRODUCT((表成绩单[考试日期]=表成绩单[[#This Row],[考试日期]])*(表成绩单[总分]&lt;9E+307)*(表成绩单[总分]&gt;表成绩单[[#This Row],[总分]]))+1)</f>
        <v>25</v>
      </c>
    </row>
    <row r="2433" ht="28" customHeight="1" spans="4:23">
      <c r="D2433" s="31">
        <v>46108</v>
      </c>
      <c r="E2433" s="29">
        <v>19175413</v>
      </c>
      <c r="F2433" s="29" t="s">
        <v>74</v>
      </c>
      <c r="G2433" s="29" t="s">
        <v>117</v>
      </c>
      <c r="H2433" s="29">
        <v>104</v>
      </c>
      <c r="I2433" s="29">
        <v>104</v>
      </c>
      <c r="J2433" s="29">
        <v>86</v>
      </c>
      <c r="K2433" s="29">
        <v>88</v>
      </c>
      <c r="L2433" s="29">
        <v>82</v>
      </c>
      <c r="M2433" s="29">
        <v>81</v>
      </c>
      <c r="N2433" s="29">
        <v>79</v>
      </c>
      <c r="O2433" s="32">
        <v>624</v>
      </c>
      <c r="P2433" s="29" cm="1">
        <f t="array" ref="P2433">IF(表成绩单[[#This Row],[语文]]="","",SUMPRODUCT((表成绩单[考试日期]=表成绩单[[#This Row],[考试日期]])*(表成绩单[语文]&lt;9E+307)*(表成绩单[语文]&gt;表成绩单[[#This Row],[语文]]))+1)</f>
        <v>131</v>
      </c>
      <c r="Q2433" s="29" cm="1">
        <f t="array" ref="Q2433">IF(表成绩单[[#This Row],[数学]]="","",SUMPRODUCT((表成绩单[考试日期]=表成绩单[[#This Row],[考试日期]])*(表成绩单[数学]&lt;9E+307)*(表成绩单[数学]&gt;表成绩单[[#This Row],[数学]]))+1)</f>
        <v>68</v>
      </c>
      <c r="R2433" s="29" cm="1">
        <f t="array" ref="R2433">IF(表成绩单[[#This Row],[英语]]="","",SUMPRODUCT((表成绩单[考试日期]=表成绩单[[#This Row],[考试日期]])*(表成绩单[英语]&lt;9E+307)*(表成绩单[英语]&gt;表成绩单[[#This Row],[英语]]))+1)</f>
        <v>29</v>
      </c>
      <c r="S2433" s="29" cm="1">
        <f t="array" ref="S2433">IF(表成绩单[[#This Row],[物理]]="","",SUMPRODUCT((表成绩单[考试日期]=表成绩单[[#This Row],[考试日期]])*(表成绩单[物理]&lt;9E+307)*(表成绩单[物理]&gt;表成绩单[[#This Row],[物理]]))+1)</f>
        <v>27</v>
      </c>
      <c r="T2433" s="29" cm="1">
        <f t="array" ref="T2433">IF(表成绩单[[#This Row],[化学]]="","",SUMPRODUCT((表成绩单[考试日期]=表成绩单[[#This Row],[考试日期]])*(表成绩单[化学]&lt;9E+307)*(表成绩单[化学]&gt;表成绩单[[#This Row],[化学]]))+1)</f>
        <v>11</v>
      </c>
      <c r="U2433" s="29" cm="1">
        <f t="array" ref="U2433">IF(表成绩单[[#This Row],[政治]]="","",SUMPRODUCT((表成绩单[考试日期]=表成绩单[[#This Row],[考试日期]])*(表成绩单[政治]&lt;9E+307)*(表成绩单[政治]&gt;表成绩单[[#This Row],[政治]]))+1)</f>
        <v>68</v>
      </c>
      <c r="V2433" s="29" cm="1">
        <f t="array" ref="V2433">IF(表成绩单[[#This Row],[历史]]="","",SUMPRODUCT((表成绩单[考试日期]=表成绩单[[#This Row],[考试日期]])*(表成绩单[历史]&lt;9E+307)*(表成绩单[历史]&gt;表成绩单[[#This Row],[历史]]))+1)</f>
        <v>173</v>
      </c>
      <c r="W2433" s="29" cm="1">
        <f t="array" ref="W2433">IF(表成绩单[[#This Row],[总分]]="","",SUMPRODUCT((表成绩单[考试日期]=表成绩单[[#This Row],[考试日期]])*(表成绩单[总分]&lt;9E+307)*(表成绩单[总分]&gt;表成绩单[[#This Row],[总分]]))+1)</f>
        <v>25</v>
      </c>
    </row>
    <row r="2434" ht="28" customHeight="1" spans="4:23">
      <c r="D2434" s="31">
        <v>46108</v>
      </c>
      <c r="E2434" s="29">
        <v>19177672</v>
      </c>
      <c r="F2434" s="29" t="s">
        <v>63</v>
      </c>
      <c r="G2434" s="29" t="s">
        <v>160</v>
      </c>
      <c r="H2434" s="29">
        <v>99</v>
      </c>
      <c r="I2434" s="29">
        <v>104</v>
      </c>
      <c r="J2434" s="29">
        <v>86</v>
      </c>
      <c r="K2434" s="29">
        <v>90</v>
      </c>
      <c r="L2434" s="29">
        <v>87</v>
      </c>
      <c r="M2434" s="29">
        <v>81</v>
      </c>
      <c r="N2434" s="29">
        <v>77</v>
      </c>
      <c r="O2434" s="32">
        <v>624</v>
      </c>
      <c r="P2434" s="29" cm="1">
        <f t="array" ref="P2434">IF(表成绩单[[#This Row],[语文]]="","",SUMPRODUCT((表成绩单[考试日期]=表成绩单[[#This Row],[考试日期]])*(表成绩单[语文]&lt;9E+307)*(表成绩单[语文]&gt;表成绩单[[#This Row],[语文]]))+1)</f>
        <v>279</v>
      </c>
      <c r="Q2434" s="29" cm="1">
        <f t="array" ref="Q2434">IF(表成绩单[[#This Row],[数学]]="","",SUMPRODUCT((表成绩单[考试日期]=表成绩单[[#This Row],[考试日期]])*(表成绩单[数学]&lt;9E+307)*(表成绩单[数学]&gt;表成绩单[[#This Row],[数学]]))+1)</f>
        <v>68</v>
      </c>
      <c r="R2434" s="29" cm="1">
        <f t="array" ref="R2434">IF(表成绩单[[#This Row],[英语]]="","",SUMPRODUCT((表成绩单[考试日期]=表成绩单[[#This Row],[考试日期]])*(表成绩单[英语]&lt;9E+307)*(表成绩单[英语]&gt;表成绩单[[#This Row],[英语]]))+1)</f>
        <v>29</v>
      </c>
      <c r="S2434" s="29" cm="1">
        <f t="array" ref="S2434">IF(表成绩单[[#This Row],[物理]]="","",SUMPRODUCT((表成绩单[考试日期]=表成绩单[[#This Row],[考试日期]])*(表成绩单[物理]&lt;9E+307)*(表成绩单[物理]&gt;表成绩单[[#This Row],[物理]]))+1)</f>
        <v>1</v>
      </c>
      <c r="T2434" s="29" cm="1">
        <f t="array" ref="T2434">IF(表成绩单[[#This Row],[化学]]="","",SUMPRODUCT((表成绩单[考试日期]=表成绩单[[#This Row],[考试日期]])*(表成绩单[化学]&lt;9E+307)*(表成绩单[化学]&gt;表成绩单[[#This Row],[化学]]))+1)</f>
        <v>2</v>
      </c>
      <c r="U2434" s="29" cm="1">
        <f t="array" ref="U2434">IF(表成绩单[[#This Row],[政治]]="","",SUMPRODUCT((表成绩单[考试日期]=表成绩单[[#This Row],[考试日期]])*(表成绩单[政治]&lt;9E+307)*(表成绩单[政治]&gt;表成绩单[[#This Row],[政治]]))+1)</f>
        <v>68</v>
      </c>
      <c r="V2434" s="29" cm="1">
        <f t="array" ref="V2434">IF(表成绩单[[#This Row],[历史]]="","",SUMPRODUCT((表成绩单[考试日期]=表成绩单[[#This Row],[考试日期]])*(表成绩单[历史]&lt;9E+307)*(表成绩单[历史]&gt;表成绩单[[#This Row],[历史]]))+1)</f>
        <v>269</v>
      </c>
      <c r="W2434" s="29" cm="1">
        <f t="array" ref="W2434">IF(表成绩单[[#This Row],[总分]]="","",SUMPRODUCT((表成绩单[考试日期]=表成绩单[[#This Row],[考试日期]])*(表成绩单[总分]&lt;9E+307)*(表成绩单[总分]&gt;表成绩单[[#This Row],[总分]]))+1)</f>
        <v>25</v>
      </c>
    </row>
    <row r="2435" ht="28" customHeight="1" spans="4:23">
      <c r="D2435" s="31">
        <v>46108</v>
      </c>
      <c r="E2435" s="29">
        <v>19175646</v>
      </c>
      <c r="F2435" s="29" t="s">
        <v>66</v>
      </c>
      <c r="G2435" s="29" t="s">
        <v>143</v>
      </c>
      <c r="H2435" s="29">
        <v>103</v>
      </c>
      <c r="I2435" s="29">
        <v>107</v>
      </c>
      <c r="J2435" s="29">
        <v>83.5</v>
      </c>
      <c r="K2435" s="29">
        <v>85</v>
      </c>
      <c r="L2435" s="29">
        <v>82</v>
      </c>
      <c r="M2435" s="29">
        <v>82</v>
      </c>
      <c r="N2435" s="29">
        <v>80</v>
      </c>
      <c r="O2435" s="32">
        <v>622.5</v>
      </c>
      <c r="P2435" s="29" cm="1">
        <f t="array" ref="P2435">IF(表成绩单[[#This Row],[语文]]="","",SUMPRODUCT((表成绩单[考试日期]=表成绩单[[#This Row],[考试日期]])*(表成绩单[语文]&lt;9E+307)*(表成绩单[语文]&gt;表成绩单[[#This Row],[语文]]))+1)</f>
        <v>155</v>
      </c>
      <c r="Q2435" s="29" cm="1">
        <f t="array" ref="Q2435">IF(表成绩单[[#This Row],[数学]]="","",SUMPRODUCT((表成绩单[考试日期]=表成绩单[[#This Row],[考试日期]])*(表成绩单[数学]&lt;9E+307)*(表成绩单[数学]&gt;表成绩单[[#This Row],[数学]]))+1)</f>
        <v>34</v>
      </c>
      <c r="R2435" s="29" cm="1">
        <f t="array" ref="R2435">IF(表成绩单[[#This Row],[英语]]="","",SUMPRODUCT((表成绩单[考试日期]=表成绩单[[#This Row],[考试日期]])*(表成绩单[英语]&lt;9E+307)*(表成绩单[英语]&gt;表成绩单[[#This Row],[英语]]))+1)</f>
        <v>122</v>
      </c>
      <c r="S2435" s="29" cm="1">
        <f t="array" ref="S2435">IF(表成绩单[[#This Row],[物理]]="","",SUMPRODUCT((表成绩单[考试日期]=表成绩单[[#This Row],[考试日期]])*(表成绩单[物理]&lt;9E+307)*(表成绩单[物理]&gt;表成绩单[[#This Row],[物理]]))+1)</f>
        <v>105</v>
      </c>
      <c r="T2435" s="29" cm="1">
        <f t="array" ref="T2435">IF(表成绩单[[#This Row],[化学]]="","",SUMPRODUCT((表成绩单[考试日期]=表成绩单[[#This Row],[考试日期]])*(表成绩单[化学]&lt;9E+307)*(表成绩单[化学]&gt;表成绩单[[#This Row],[化学]]))+1)</f>
        <v>11</v>
      </c>
      <c r="U2435" s="29" cm="1">
        <f t="array" ref="U2435">IF(表成绩单[[#This Row],[政治]]="","",SUMPRODUCT((表成绩单[考试日期]=表成绩单[[#This Row],[考试日期]])*(表成绩单[政治]&lt;9E+307)*(表成绩单[政治]&gt;表成绩单[[#This Row],[政治]]))+1)</f>
        <v>45</v>
      </c>
      <c r="V2435" s="29" cm="1">
        <f t="array" ref="V2435">IF(表成绩单[[#This Row],[历史]]="","",SUMPRODUCT((表成绩单[考试日期]=表成绩单[[#This Row],[考试日期]])*(表成绩单[历史]&lt;9E+307)*(表成绩单[历史]&gt;表成绩单[[#This Row],[历史]]))+1)</f>
        <v>143</v>
      </c>
      <c r="W2435" s="29" cm="1">
        <f t="array" ref="W2435">IF(表成绩单[[#This Row],[总分]]="","",SUMPRODUCT((表成绩单[考试日期]=表成绩单[[#This Row],[考试日期]])*(表成绩单[总分]&lt;9E+307)*(表成绩单[总分]&gt;表成绩单[[#This Row],[总分]]))+1)</f>
        <v>28</v>
      </c>
    </row>
    <row r="2436" ht="28" customHeight="1" spans="4:23">
      <c r="D2436" s="31">
        <v>46108</v>
      </c>
      <c r="E2436" s="29">
        <v>19177208</v>
      </c>
      <c r="F2436" s="29" t="s">
        <v>70</v>
      </c>
      <c r="G2436" s="29" t="s">
        <v>163</v>
      </c>
      <c r="H2436" s="29">
        <v>109</v>
      </c>
      <c r="I2436" s="29">
        <v>108</v>
      </c>
      <c r="J2436" s="29">
        <v>85</v>
      </c>
      <c r="K2436" s="29">
        <v>82</v>
      </c>
      <c r="L2436" s="29">
        <v>79</v>
      </c>
      <c r="M2436" s="29">
        <v>79</v>
      </c>
      <c r="N2436" s="29">
        <v>80</v>
      </c>
      <c r="O2436" s="32">
        <v>622</v>
      </c>
      <c r="P2436" s="29" cm="1">
        <f t="array" ref="P2436">IF(表成绩单[[#This Row],[语文]]="","",SUMPRODUCT((表成绩单[考试日期]=表成绩单[[#This Row],[考试日期]])*(表成绩单[语文]&lt;9E+307)*(表成绩单[语文]&gt;表成绩单[[#This Row],[语文]]))+1)</f>
        <v>40</v>
      </c>
      <c r="Q2436" s="29" cm="1">
        <f t="array" ref="Q2436">IF(表成绩单[[#This Row],[数学]]="","",SUMPRODUCT((表成绩单[考试日期]=表成绩单[[#This Row],[考试日期]])*(表成绩单[数学]&lt;9E+307)*(表成绩单[数学]&gt;表成绩单[[#This Row],[数学]]))+1)</f>
        <v>25</v>
      </c>
      <c r="R2436" s="29" cm="1">
        <f t="array" ref="R2436">IF(表成绩单[[#This Row],[英语]]="","",SUMPRODUCT((表成绩单[考试日期]=表成绩单[[#This Row],[考试日期]])*(表成绩单[英语]&lt;9E+307)*(表成绩单[英语]&gt;表成绩单[[#This Row],[英语]]))+1)</f>
        <v>59</v>
      </c>
      <c r="S2436" s="29" cm="1">
        <f t="array" ref="S2436">IF(表成绩单[[#This Row],[物理]]="","",SUMPRODUCT((表成绩单[考试日期]=表成绩单[[#This Row],[考试日期]])*(表成绩单[物理]&lt;9E+307)*(表成绩单[物理]&gt;表成绩单[[#This Row],[物理]]))+1)</f>
        <v>223</v>
      </c>
      <c r="T2436" s="29" cm="1">
        <f t="array" ref="T2436">IF(表成绩单[[#This Row],[化学]]="","",SUMPRODUCT((表成绩单[考试日期]=表成绩单[[#This Row],[考试日期]])*(表成绩单[化学]&lt;9E+307)*(表成绩单[化学]&gt;表成绩单[[#This Row],[化学]]))+1)</f>
        <v>35</v>
      </c>
      <c r="U2436" s="29" cm="1">
        <f t="array" ref="U2436">IF(表成绩单[[#This Row],[政治]]="","",SUMPRODUCT((表成绩单[考试日期]=表成绩单[[#This Row],[考试日期]])*(表成绩单[政治]&lt;9E+307)*(表成绩单[政治]&gt;表成绩单[[#This Row],[政治]]))+1)</f>
        <v>134</v>
      </c>
      <c r="V2436" s="29" cm="1">
        <f t="array" ref="V2436">IF(表成绩单[[#This Row],[历史]]="","",SUMPRODUCT((表成绩单[考试日期]=表成绩单[[#This Row],[考试日期]])*(表成绩单[历史]&lt;9E+307)*(表成绩单[历史]&gt;表成绩单[[#This Row],[历史]]))+1)</f>
        <v>143</v>
      </c>
      <c r="W2436" s="29" cm="1">
        <f t="array" ref="W2436">IF(表成绩单[[#This Row],[总分]]="","",SUMPRODUCT((表成绩单[考试日期]=表成绩单[[#This Row],[考试日期]])*(表成绩单[总分]&lt;9E+307)*(表成绩单[总分]&gt;表成绩单[[#This Row],[总分]]))+1)</f>
        <v>29</v>
      </c>
    </row>
    <row r="2437" ht="28" customHeight="1" spans="4:23">
      <c r="D2437" s="31">
        <v>46108</v>
      </c>
      <c r="E2437" s="29">
        <v>19176871</v>
      </c>
      <c r="F2437" s="29" t="s">
        <v>71</v>
      </c>
      <c r="G2437" s="29" t="s">
        <v>123</v>
      </c>
      <c r="H2437" s="29">
        <v>101</v>
      </c>
      <c r="I2437" s="29">
        <v>113</v>
      </c>
      <c r="J2437" s="29">
        <v>84</v>
      </c>
      <c r="K2437" s="29">
        <v>87</v>
      </c>
      <c r="L2437" s="29">
        <v>79</v>
      </c>
      <c r="M2437" s="29">
        <v>76</v>
      </c>
      <c r="N2437" s="29">
        <v>81</v>
      </c>
      <c r="O2437" s="32">
        <v>621</v>
      </c>
      <c r="P2437" s="29" cm="1">
        <f t="array" ref="P2437">IF(表成绩单[[#This Row],[语文]]="","",SUMPRODUCT((表成绩单[考试日期]=表成绩单[[#This Row],[考试日期]])*(表成绩单[语文]&lt;9E+307)*(表成绩单[语文]&gt;表成绩单[[#This Row],[语文]]))+1)</f>
        <v>211</v>
      </c>
      <c r="Q2437" s="29" cm="1">
        <f t="array" ref="Q2437">IF(表成绩单[[#This Row],[数学]]="","",SUMPRODUCT((表成绩单[考试日期]=表成绩单[[#This Row],[考试日期]])*(表成绩单[数学]&lt;9E+307)*(表成绩单[数学]&gt;表成绩单[[#This Row],[数学]]))+1)</f>
        <v>1</v>
      </c>
      <c r="R2437" s="29" cm="1">
        <f t="array" ref="R2437">IF(表成绩单[[#This Row],[英语]]="","",SUMPRODUCT((表成绩单[考试日期]=表成绩单[[#This Row],[考试日期]])*(表成绩单[英语]&lt;9E+307)*(表成绩单[英语]&gt;表成绩单[[#This Row],[英语]]))+1)</f>
        <v>100</v>
      </c>
      <c r="S2437" s="29" cm="1">
        <f t="array" ref="S2437">IF(表成绩单[[#This Row],[物理]]="","",SUMPRODUCT((表成绩单[考试日期]=表成绩单[[#This Row],[考试日期]])*(表成绩单[物理]&lt;9E+307)*(表成绩单[物理]&gt;表成绩单[[#This Row],[物理]]))+1)</f>
        <v>49</v>
      </c>
      <c r="T2437" s="29" cm="1">
        <f t="array" ref="T2437">IF(表成绩单[[#This Row],[化学]]="","",SUMPRODUCT((表成绩单[考试日期]=表成绩单[[#This Row],[考试日期]])*(表成绩单[化学]&lt;9E+307)*(表成绩单[化学]&gt;表成绩单[[#This Row],[化学]]))+1)</f>
        <v>35</v>
      </c>
      <c r="U2437" s="29" cm="1">
        <f t="array" ref="U2437">IF(表成绩单[[#This Row],[政治]]="","",SUMPRODUCT((表成绩单[考试日期]=表成绩单[[#This Row],[考试日期]])*(表成绩单[政治]&lt;9E+307)*(表成绩单[政治]&gt;表成绩单[[#This Row],[政治]]))+1)</f>
        <v>291</v>
      </c>
      <c r="V2437" s="29" cm="1">
        <f t="array" ref="V2437">IF(表成绩单[[#This Row],[历史]]="","",SUMPRODUCT((表成绩单[考试日期]=表成绩单[[#This Row],[考试日期]])*(表成绩单[历史]&lt;9E+307)*(表成绩单[历史]&gt;表成绩单[[#This Row],[历史]]))+1)</f>
        <v>106</v>
      </c>
      <c r="W2437" s="29" cm="1">
        <f t="array" ref="W2437">IF(表成绩单[[#This Row],[总分]]="","",SUMPRODUCT((表成绩单[考试日期]=表成绩单[[#This Row],[考试日期]])*(表成绩单[总分]&lt;9E+307)*(表成绩单[总分]&gt;表成绩单[[#This Row],[总分]]))+1)</f>
        <v>30</v>
      </c>
    </row>
    <row r="2438" ht="28" customHeight="1" spans="4:23">
      <c r="D2438" s="31">
        <v>46108</v>
      </c>
      <c r="E2438" s="29">
        <v>19178630</v>
      </c>
      <c r="F2438" s="29" t="s">
        <v>25</v>
      </c>
      <c r="G2438" s="29" t="s">
        <v>27</v>
      </c>
      <c r="H2438" s="29">
        <v>104</v>
      </c>
      <c r="I2438" s="29">
        <v>104</v>
      </c>
      <c r="J2438" s="29">
        <v>83</v>
      </c>
      <c r="K2438" s="29">
        <v>86</v>
      </c>
      <c r="L2438" s="29">
        <v>71</v>
      </c>
      <c r="M2438" s="29">
        <v>88</v>
      </c>
      <c r="N2438" s="29">
        <v>84</v>
      </c>
      <c r="O2438" s="32">
        <v>620</v>
      </c>
      <c r="P2438" s="29" cm="1">
        <f t="array" ref="P2438">IF(表成绩单[[#This Row],[语文]]="","",SUMPRODUCT((表成绩单[考试日期]=表成绩单[[#This Row],[考试日期]])*(表成绩单[语文]&lt;9E+307)*(表成绩单[语文]&gt;表成绩单[[#This Row],[语文]]))+1)</f>
        <v>131</v>
      </c>
      <c r="Q2438" s="29" cm="1">
        <f t="array" ref="Q2438">IF(表成绩单[[#This Row],[数学]]="","",SUMPRODUCT((表成绩单[考试日期]=表成绩单[[#This Row],[考试日期]])*(表成绩单[数学]&lt;9E+307)*(表成绩单[数学]&gt;表成绩单[[#This Row],[数学]]))+1)</f>
        <v>68</v>
      </c>
      <c r="R2438" s="29" cm="1">
        <f t="array" ref="R2438">IF(表成绩单[[#This Row],[英语]]="","",SUMPRODUCT((表成绩单[考试日期]=表成绩单[[#This Row],[考试日期]])*(表成绩单[英语]&lt;9E+307)*(表成绩单[英语]&gt;表成绩单[[#This Row],[英语]]))+1)</f>
        <v>134</v>
      </c>
      <c r="S2438" s="29" cm="1">
        <f t="array" ref="S2438">IF(表成绩单[[#This Row],[物理]]="","",SUMPRODUCT((表成绩单[考试日期]=表成绩单[[#This Row],[考试日期]])*(表成绩单[物理]&lt;9E+307)*(表成绩单[物理]&gt;表成绩单[[#This Row],[物理]]))+1)</f>
        <v>61</v>
      </c>
      <c r="T2438" s="29" cm="1">
        <f t="array" ref="T2438">IF(表成绩单[[#This Row],[化学]]="","",SUMPRODUCT((表成绩单[考试日期]=表成绩单[[#This Row],[考试日期]])*(表成绩单[化学]&lt;9E+307)*(表成绩单[化学]&gt;表成绩单[[#This Row],[化学]]))+1)</f>
        <v>217</v>
      </c>
      <c r="U2438" s="29" cm="1">
        <f t="array" ref="U2438">IF(表成绩单[[#This Row],[政治]]="","",SUMPRODUCT((表成绩单[考试日期]=表成绩单[[#This Row],[考试日期]])*(表成绩单[政治]&lt;9E+307)*(表成绩单[政治]&gt;表成绩单[[#This Row],[政治]]))+1)</f>
        <v>1</v>
      </c>
      <c r="V2438" s="29" cm="1">
        <f t="array" ref="V2438">IF(表成绩单[[#This Row],[历史]]="","",SUMPRODUCT((表成绩单[考试日期]=表成绩单[[#This Row],[考试日期]])*(表成绩单[历史]&lt;9E+307)*(表成绩单[历史]&gt;表成绩单[[#This Row],[历史]]))+1)</f>
        <v>38</v>
      </c>
      <c r="W2438" s="29" cm="1">
        <f t="array" ref="W2438">IF(表成绩单[[#This Row],[总分]]="","",SUMPRODUCT((表成绩单[考试日期]=表成绩单[[#This Row],[考试日期]])*(表成绩单[总分]&lt;9E+307)*(表成绩单[总分]&gt;表成绩单[[#This Row],[总分]]))+1)</f>
        <v>31</v>
      </c>
    </row>
    <row r="2439" ht="28" customHeight="1" spans="4:23">
      <c r="D2439" s="31">
        <v>46108</v>
      </c>
      <c r="E2439" s="29">
        <v>19174789</v>
      </c>
      <c r="F2439" s="29" t="s">
        <v>69</v>
      </c>
      <c r="G2439" s="29" t="s">
        <v>86</v>
      </c>
      <c r="H2439" s="29">
        <v>102</v>
      </c>
      <c r="I2439" s="29">
        <v>104</v>
      </c>
      <c r="J2439" s="29">
        <v>82.5</v>
      </c>
      <c r="K2439" s="29">
        <v>86</v>
      </c>
      <c r="L2439" s="29">
        <v>81</v>
      </c>
      <c r="M2439" s="29">
        <v>81</v>
      </c>
      <c r="N2439" s="29">
        <v>83</v>
      </c>
      <c r="O2439" s="32">
        <v>619.5</v>
      </c>
      <c r="P2439" s="29" cm="1">
        <f t="array" ref="P2439">IF(表成绩单[[#This Row],[语文]]="","",SUMPRODUCT((表成绩单[考试日期]=表成绩单[[#This Row],[考试日期]])*(表成绩单[语文]&lt;9E+307)*(表成绩单[语文]&gt;表成绩单[[#This Row],[语文]]))+1)</f>
        <v>183</v>
      </c>
      <c r="Q2439" s="29" cm="1">
        <f t="array" ref="Q2439">IF(表成绩单[[#This Row],[数学]]="","",SUMPRODUCT((表成绩单[考试日期]=表成绩单[[#This Row],[考试日期]])*(表成绩单[数学]&lt;9E+307)*(表成绩单[数学]&gt;表成绩单[[#This Row],[数学]]))+1)</f>
        <v>68</v>
      </c>
      <c r="R2439" s="29" cm="1">
        <f t="array" ref="R2439">IF(表成绩单[[#This Row],[英语]]="","",SUMPRODUCT((表成绩单[考试日期]=表成绩单[[#This Row],[考试日期]])*(表成绩单[英语]&lt;9E+307)*(表成绩单[英语]&gt;表成绩单[[#This Row],[英语]]))+1)</f>
        <v>156</v>
      </c>
      <c r="S2439" s="29" cm="1">
        <f t="array" ref="S2439">IF(表成绩单[[#This Row],[物理]]="","",SUMPRODUCT((表成绩单[考试日期]=表成绩单[[#This Row],[考试日期]])*(表成绩单[物理]&lt;9E+307)*(表成绩单[物理]&gt;表成绩单[[#This Row],[物理]]))+1)</f>
        <v>61</v>
      </c>
      <c r="T2439" s="29" cm="1">
        <f t="array" ref="T2439">IF(表成绩单[[#This Row],[化学]]="","",SUMPRODUCT((表成绩单[考试日期]=表成绩单[[#This Row],[考试日期]])*(表成绩单[化学]&lt;9E+307)*(表成绩单[化学]&gt;表成绩单[[#This Row],[化学]]))+1)</f>
        <v>17</v>
      </c>
      <c r="U2439" s="29" cm="1">
        <f t="array" ref="U2439">IF(表成绩单[[#This Row],[政治]]="","",SUMPRODUCT((表成绩单[考试日期]=表成绩单[[#This Row],[考试日期]])*(表成绩单[政治]&lt;9E+307)*(表成绩单[政治]&gt;表成绩单[[#This Row],[政治]]))+1)</f>
        <v>68</v>
      </c>
      <c r="V2439" s="29" cm="1">
        <f t="array" ref="V2439">IF(表成绩单[[#This Row],[历史]]="","",SUMPRODUCT((表成绩单[考试日期]=表成绩单[[#This Row],[考试日期]])*(表成绩单[历史]&lt;9E+307)*(表成绩单[历史]&gt;表成绩单[[#This Row],[历史]]))+1)</f>
        <v>60</v>
      </c>
      <c r="W2439" s="29" cm="1">
        <f t="array" ref="W2439">IF(表成绩单[[#This Row],[总分]]="","",SUMPRODUCT((表成绩单[考试日期]=表成绩单[[#This Row],[考试日期]])*(表成绩单[总分]&lt;9E+307)*(表成绩单[总分]&gt;表成绩单[[#This Row],[总分]]))+1)</f>
        <v>32</v>
      </c>
    </row>
    <row r="2440" ht="28" customHeight="1" spans="4:23">
      <c r="D2440" s="31">
        <v>46108</v>
      </c>
      <c r="E2440" s="29">
        <v>19171094</v>
      </c>
      <c r="F2440" s="29" t="s">
        <v>67</v>
      </c>
      <c r="G2440" s="29" t="s">
        <v>142</v>
      </c>
      <c r="H2440" s="29">
        <v>110</v>
      </c>
      <c r="I2440" s="29">
        <v>97</v>
      </c>
      <c r="J2440" s="29">
        <v>85</v>
      </c>
      <c r="K2440" s="29">
        <v>83</v>
      </c>
      <c r="L2440" s="29">
        <v>71</v>
      </c>
      <c r="M2440" s="29">
        <v>85</v>
      </c>
      <c r="N2440" s="29">
        <v>88</v>
      </c>
      <c r="O2440" s="32">
        <v>619</v>
      </c>
      <c r="P2440" s="29" cm="1">
        <f t="array" ref="P2440">IF(表成绩单[[#This Row],[语文]]="","",SUMPRODUCT((表成绩单[考试日期]=表成绩单[[#This Row],[考试日期]])*(表成绩单[语文]&lt;9E+307)*(表成绩单[语文]&gt;表成绩单[[#This Row],[语文]]))+1)</f>
        <v>24</v>
      </c>
      <c r="Q2440" s="29" cm="1">
        <f t="array" ref="Q2440">IF(表成绩单[[#This Row],[数学]]="","",SUMPRODUCT((表成绩单[考试日期]=表成绩单[[#This Row],[考试日期]])*(表成绩单[数学]&lt;9E+307)*(表成绩单[数学]&gt;表成绩单[[#This Row],[数学]]))+1)</f>
        <v>175</v>
      </c>
      <c r="R2440" s="29" cm="1">
        <f t="array" ref="R2440">IF(表成绩单[[#This Row],[英语]]="","",SUMPRODUCT((表成绩单[考试日期]=表成绩单[[#This Row],[考试日期]])*(表成绩单[英语]&lt;9E+307)*(表成绩单[英语]&gt;表成绩单[[#This Row],[英语]]))+1)</f>
        <v>59</v>
      </c>
      <c r="S2440" s="29" cm="1">
        <f t="array" ref="S2440">IF(表成绩单[[#This Row],[物理]]="","",SUMPRODUCT((表成绩单[考试日期]=表成绩单[[#This Row],[考试日期]])*(表成绩单[物理]&lt;9E+307)*(表成绩单[物理]&gt;表成绩单[[#This Row],[物理]]))+1)</f>
        <v>184</v>
      </c>
      <c r="T2440" s="29" cm="1">
        <f t="array" ref="T2440">IF(表成绩单[[#This Row],[化学]]="","",SUMPRODUCT((表成绩单[考试日期]=表成绩单[[#This Row],[考试日期]])*(表成绩单[化学]&lt;9E+307)*(表成绩单[化学]&gt;表成绩单[[#This Row],[化学]]))+1)</f>
        <v>217</v>
      </c>
      <c r="U2440" s="29" cm="1">
        <f t="array" ref="U2440">IF(表成绩单[[#This Row],[政治]]="","",SUMPRODUCT((表成绩单[考试日期]=表成绩单[[#This Row],[考试日期]])*(表成绩单[政治]&lt;9E+307)*(表成绩单[政治]&gt;表成绩单[[#This Row],[政治]]))+1)</f>
        <v>5</v>
      </c>
      <c r="V2440" s="29" cm="1">
        <f t="array" ref="V2440">IF(表成绩单[[#This Row],[历史]]="","",SUMPRODUCT((表成绩单[考试日期]=表成绩单[[#This Row],[考试日期]])*(表成绩单[历史]&lt;9E+307)*(表成绩单[历史]&gt;表成绩单[[#This Row],[历史]]))+1)</f>
        <v>1</v>
      </c>
      <c r="W2440" s="29" cm="1">
        <f t="array" ref="W2440">IF(表成绩单[[#This Row],[总分]]="","",SUMPRODUCT((表成绩单[考试日期]=表成绩单[[#This Row],[考试日期]])*(表成绩单[总分]&lt;9E+307)*(表成绩单[总分]&gt;表成绩单[[#This Row],[总分]]))+1)</f>
        <v>33</v>
      </c>
    </row>
    <row r="2441" ht="28" customHeight="1" spans="4:23">
      <c r="D2441" s="31">
        <v>46108</v>
      </c>
      <c r="E2441" s="29">
        <v>19173528</v>
      </c>
      <c r="F2441" s="29" t="s">
        <v>1</v>
      </c>
      <c r="G2441" s="29" t="s">
        <v>105</v>
      </c>
      <c r="H2441" s="29">
        <v>109</v>
      </c>
      <c r="I2441" s="29">
        <v>93</v>
      </c>
      <c r="J2441" s="29">
        <v>87</v>
      </c>
      <c r="K2441" s="29">
        <v>90</v>
      </c>
      <c r="L2441" s="29">
        <v>73</v>
      </c>
      <c r="M2441" s="29">
        <v>82</v>
      </c>
      <c r="N2441" s="29">
        <v>85</v>
      </c>
      <c r="O2441" s="32">
        <v>619</v>
      </c>
      <c r="P2441" s="29" cm="1">
        <f t="array" ref="P2441">IF(表成绩单[[#This Row],[语文]]="","",SUMPRODUCT((表成绩单[考试日期]=表成绩单[[#This Row],[考试日期]])*(表成绩单[语文]&lt;9E+307)*(表成绩单[语文]&gt;表成绩单[[#This Row],[语文]]))+1)</f>
        <v>40</v>
      </c>
      <c r="Q2441" s="29" cm="1">
        <f t="array" ref="Q2441">IF(表成绩单[[#This Row],[数学]]="","",SUMPRODUCT((表成绩单[考试日期]=表成绩单[[#This Row],[考试日期]])*(表成绩单[数学]&lt;9E+307)*(表成绩单[数学]&gt;表成绩单[[#This Row],[数学]]))+1)</f>
        <v>289</v>
      </c>
      <c r="R2441" s="29" cm="1">
        <f t="array" ref="R2441">IF(表成绩单[[#This Row],[英语]]="","",SUMPRODUCT((表成绩单[考试日期]=表成绩单[[#This Row],[考试日期]])*(表成绩单[英语]&lt;9E+307)*(表成绩单[英语]&gt;表成绩单[[#This Row],[英语]]))+1)</f>
        <v>8</v>
      </c>
      <c r="S2441" s="29" cm="1">
        <f t="array" ref="S2441">IF(表成绩单[[#This Row],[物理]]="","",SUMPRODUCT((表成绩单[考试日期]=表成绩单[[#This Row],[考试日期]])*(表成绩单[物理]&lt;9E+307)*(表成绩单[物理]&gt;表成绩单[[#This Row],[物理]]))+1)</f>
        <v>1</v>
      </c>
      <c r="T2441" s="29" cm="1">
        <f t="array" ref="T2441">IF(表成绩单[[#This Row],[化学]]="","",SUMPRODUCT((表成绩单[考试日期]=表成绩单[[#This Row],[考试日期]])*(表成绩单[化学]&lt;9E+307)*(表成绩单[化学]&gt;表成绩单[[#This Row],[化学]]))+1)</f>
        <v>152</v>
      </c>
      <c r="U2441" s="29" cm="1">
        <f t="array" ref="U2441">IF(表成绩单[[#This Row],[政治]]="","",SUMPRODUCT((表成绩单[考试日期]=表成绩单[[#This Row],[考试日期]])*(表成绩单[政治]&lt;9E+307)*(表成绩单[政治]&gt;表成绩单[[#This Row],[政治]]))+1)</f>
        <v>45</v>
      </c>
      <c r="V2441" s="29" cm="1">
        <f t="array" ref="V2441">IF(表成绩单[[#This Row],[历史]]="","",SUMPRODUCT((表成绩单[考试日期]=表成绩单[[#This Row],[考试日期]])*(表成绩单[历史]&lt;9E+307)*(表成绩单[历史]&gt;表成绩单[[#This Row],[历史]]))+1)</f>
        <v>20</v>
      </c>
      <c r="W2441" s="29" cm="1">
        <f t="array" ref="W2441">IF(表成绩单[[#This Row],[总分]]="","",SUMPRODUCT((表成绩单[考试日期]=表成绩单[[#This Row],[考试日期]])*(表成绩单[总分]&lt;9E+307)*(表成绩单[总分]&gt;表成绩单[[#This Row],[总分]]))+1)</f>
        <v>33</v>
      </c>
    </row>
    <row r="2442" ht="28" customHeight="1" spans="4:23">
      <c r="D2442" s="31">
        <v>46108</v>
      </c>
      <c r="E2442" s="29">
        <v>19174805</v>
      </c>
      <c r="F2442" s="29" t="s">
        <v>69</v>
      </c>
      <c r="G2442" s="29" t="s">
        <v>134</v>
      </c>
      <c r="H2442" s="29">
        <v>112</v>
      </c>
      <c r="I2442" s="29">
        <v>90</v>
      </c>
      <c r="J2442" s="29">
        <v>84</v>
      </c>
      <c r="K2442" s="29">
        <v>85</v>
      </c>
      <c r="L2442" s="29">
        <v>77</v>
      </c>
      <c r="M2442" s="29">
        <v>84</v>
      </c>
      <c r="N2442" s="29">
        <v>87</v>
      </c>
      <c r="O2442" s="32">
        <v>619</v>
      </c>
      <c r="P2442" s="29" cm="1">
        <f t="array" ref="P2442">IF(表成绩单[[#This Row],[语文]]="","",SUMPRODUCT((表成绩单[考试日期]=表成绩单[[#This Row],[考试日期]])*(表成绩单[语文]&lt;9E+307)*(表成绩单[语文]&gt;表成绩单[[#This Row],[语文]]))+1)</f>
        <v>10</v>
      </c>
      <c r="Q2442" s="29" cm="1">
        <f t="array" ref="Q2442">IF(表成绩单[[#This Row],[数学]]="","",SUMPRODUCT((表成绩单[考试日期]=表成绩单[[#This Row],[考试日期]])*(表成绩单[数学]&lt;9E+307)*(表成绩单[数学]&gt;表成绩单[[#This Row],[数学]]))+1)</f>
        <v>368</v>
      </c>
      <c r="R2442" s="29" cm="1">
        <f t="array" ref="R2442">IF(表成绩单[[#This Row],[英语]]="","",SUMPRODUCT((表成绩单[考试日期]=表成绩单[[#This Row],[考试日期]])*(表成绩单[英语]&lt;9E+307)*(表成绩单[英语]&gt;表成绩单[[#This Row],[英语]]))+1)</f>
        <v>100</v>
      </c>
      <c r="S2442" s="29" cm="1">
        <f t="array" ref="S2442">IF(表成绩单[[#This Row],[物理]]="","",SUMPRODUCT((表成绩单[考试日期]=表成绩单[[#This Row],[考试日期]])*(表成绩单[物理]&lt;9E+307)*(表成绩单[物理]&gt;表成绩单[[#This Row],[物理]]))+1)</f>
        <v>105</v>
      </c>
      <c r="T2442" s="29" cm="1">
        <f t="array" ref="T2442">IF(表成绩单[[#This Row],[化学]]="","",SUMPRODUCT((表成绩单[考试日期]=表成绩单[[#This Row],[考试日期]])*(表成绩单[化学]&lt;9E+307)*(表成绩单[化学]&gt;表成绩单[[#This Row],[化学]]))+1)</f>
        <v>57</v>
      </c>
      <c r="U2442" s="29" cm="1">
        <f t="array" ref="U2442">IF(表成绩单[[#This Row],[政治]]="","",SUMPRODUCT((表成绩单[考试日期]=表成绩单[[#This Row],[考试日期]])*(表成绩单[政治]&lt;9E+307)*(表成绩单[政治]&gt;表成绩单[[#This Row],[政治]]))+1)</f>
        <v>14</v>
      </c>
      <c r="V2442" s="29" cm="1">
        <f t="array" ref="V2442">IF(表成绩单[[#This Row],[历史]]="","",SUMPRODUCT((表成绩单[考试日期]=表成绩单[[#This Row],[考试日期]])*(表成绩单[历史]&lt;9E+307)*(表成绩单[历史]&gt;表成绩单[[#This Row],[历史]]))+1)</f>
        <v>6</v>
      </c>
      <c r="W2442" s="29" cm="1">
        <f t="array" ref="W2442">IF(表成绩单[[#This Row],[总分]]="","",SUMPRODUCT((表成绩单[考试日期]=表成绩单[[#This Row],[考试日期]])*(表成绩单[总分]&lt;9E+307)*(表成绩单[总分]&gt;表成绩单[[#This Row],[总分]]))+1)</f>
        <v>33</v>
      </c>
    </row>
    <row r="2443" ht="28" customHeight="1" spans="4:23">
      <c r="D2443" s="31">
        <v>46108</v>
      </c>
      <c r="E2443" s="29">
        <v>19176869</v>
      </c>
      <c r="F2443" s="29" t="s">
        <v>71</v>
      </c>
      <c r="G2443" s="29" t="s">
        <v>156</v>
      </c>
      <c r="H2443" s="29">
        <v>107</v>
      </c>
      <c r="I2443" s="29">
        <v>100</v>
      </c>
      <c r="J2443" s="29">
        <v>86</v>
      </c>
      <c r="K2443" s="29">
        <v>85</v>
      </c>
      <c r="L2443" s="29">
        <v>72</v>
      </c>
      <c r="M2443" s="29">
        <v>87</v>
      </c>
      <c r="N2443" s="29">
        <v>82</v>
      </c>
      <c r="O2443" s="32">
        <v>619</v>
      </c>
      <c r="P2443" s="29" cm="1">
        <f t="array" ref="P2443">IF(表成绩单[[#This Row],[语文]]="","",SUMPRODUCT((表成绩单[考试日期]=表成绩单[[#This Row],[考试日期]])*(表成绩单[语文]&lt;9E+307)*(表成绩单[语文]&gt;表成绩单[[#This Row],[语文]]))+1)</f>
        <v>67</v>
      </c>
      <c r="Q2443" s="29" cm="1">
        <f t="array" ref="Q2443">IF(表成绩单[[#This Row],[数学]]="","",SUMPRODUCT((表成绩单[考试日期]=表成绩单[[#This Row],[考试日期]])*(表成绩单[数学]&lt;9E+307)*(表成绩单[数学]&gt;表成绩单[[#This Row],[数学]]))+1)</f>
        <v>121</v>
      </c>
      <c r="R2443" s="29" cm="1">
        <f t="array" ref="R2443">IF(表成绩单[[#This Row],[英语]]="","",SUMPRODUCT((表成绩单[考试日期]=表成绩单[[#This Row],[考试日期]])*(表成绩单[英语]&lt;9E+307)*(表成绩单[英语]&gt;表成绩单[[#This Row],[英语]]))+1)</f>
        <v>29</v>
      </c>
      <c r="S2443" s="29" cm="1">
        <f t="array" ref="S2443">IF(表成绩单[[#This Row],[物理]]="","",SUMPRODUCT((表成绩单[考试日期]=表成绩单[[#This Row],[考试日期]])*(表成绩单[物理]&lt;9E+307)*(表成绩单[物理]&gt;表成绩单[[#This Row],[物理]]))+1)</f>
        <v>105</v>
      </c>
      <c r="T2443" s="29" cm="1">
        <f t="array" ref="T2443">IF(表成绩单[[#This Row],[化学]]="","",SUMPRODUCT((表成绩单[考试日期]=表成绩单[[#This Row],[考试日期]])*(表成绩单[化学]&lt;9E+307)*(表成绩单[化学]&gt;表成绩单[[#This Row],[化学]]))+1)</f>
        <v>187</v>
      </c>
      <c r="U2443" s="29" cm="1">
        <f t="array" ref="U2443">IF(表成绩单[[#This Row],[政治]]="","",SUMPRODUCT((表成绩单[考试日期]=表成绩单[[#This Row],[考试日期]])*(表成绩单[政治]&lt;9E+307)*(表成绩单[政治]&gt;表成绩单[[#This Row],[政治]]))+1)</f>
        <v>2</v>
      </c>
      <c r="V2443" s="29" cm="1">
        <f t="array" ref="V2443">IF(表成绩单[[#This Row],[历史]]="","",SUMPRODUCT((表成绩单[考试日期]=表成绩单[[#This Row],[考试日期]])*(表成绩单[历史]&lt;9E+307)*(表成绩单[历史]&gt;表成绩单[[#This Row],[历史]]))+1)</f>
        <v>81</v>
      </c>
      <c r="W2443" s="29" cm="1">
        <f t="array" ref="W2443">IF(表成绩单[[#This Row],[总分]]="","",SUMPRODUCT((表成绩单[考试日期]=表成绩单[[#This Row],[考试日期]])*(表成绩单[总分]&lt;9E+307)*(表成绩单[总分]&gt;表成绩单[[#This Row],[总分]]))+1)</f>
        <v>33</v>
      </c>
    </row>
    <row r="2444" ht="28" customHeight="1" spans="4:23">
      <c r="D2444" s="31">
        <v>46108</v>
      </c>
      <c r="E2444" s="29">
        <v>19173531</v>
      </c>
      <c r="F2444" s="29" t="s">
        <v>1</v>
      </c>
      <c r="G2444" s="29" t="s">
        <v>102</v>
      </c>
      <c r="H2444" s="29">
        <v>109</v>
      </c>
      <c r="I2444" s="29">
        <v>108</v>
      </c>
      <c r="J2444" s="29">
        <v>86.5</v>
      </c>
      <c r="K2444" s="29">
        <v>86</v>
      </c>
      <c r="L2444" s="29">
        <v>69</v>
      </c>
      <c r="M2444" s="29">
        <v>82</v>
      </c>
      <c r="N2444" s="29">
        <v>78</v>
      </c>
      <c r="O2444" s="32">
        <v>618.5</v>
      </c>
      <c r="P2444" s="29" cm="1">
        <f t="array" ref="P2444">IF(表成绩单[[#This Row],[语文]]="","",SUMPRODUCT((表成绩单[考试日期]=表成绩单[[#This Row],[考试日期]])*(表成绩单[语文]&lt;9E+307)*(表成绩单[语文]&gt;表成绩单[[#This Row],[语文]]))+1)</f>
        <v>40</v>
      </c>
      <c r="Q2444" s="29" cm="1">
        <f t="array" ref="Q2444">IF(表成绩单[[#This Row],[数学]]="","",SUMPRODUCT((表成绩单[考试日期]=表成绩单[[#This Row],[考试日期]])*(表成绩单[数学]&lt;9E+307)*(表成绩单[数学]&gt;表成绩单[[#This Row],[数学]]))+1)</f>
        <v>25</v>
      </c>
      <c r="R2444" s="29" cm="1">
        <f t="array" ref="R2444">IF(表成绩单[[#This Row],[英语]]="","",SUMPRODUCT((表成绩单[考试日期]=表成绩单[[#This Row],[考试日期]])*(表成绩单[英语]&lt;9E+307)*(表成绩单[英语]&gt;表成绩单[[#This Row],[英语]]))+1)</f>
        <v>18</v>
      </c>
      <c r="S2444" s="29" cm="1">
        <f t="array" ref="S2444">IF(表成绩单[[#This Row],[物理]]="","",SUMPRODUCT((表成绩单[考试日期]=表成绩单[[#This Row],[考试日期]])*(表成绩单[物理]&lt;9E+307)*(表成绩单[物理]&gt;表成绩单[[#This Row],[物理]]))+1)</f>
        <v>61</v>
      </c>
      <c r="T2444" s="29" cm="1">
        <f t="array" ref="T2444">IF(表成绩单[[#This Row],[化学]]="","",SUMPRODUCT((表成绩单[考试日期]=表成绩单[[#This Row],[考试日期]])*(表成绩单[化学]&lt;9E+307)*(表成绩单[化学]&gt;表成绩单[[#This Row],[化学]]))+1)</f>
        <v>269</v>
      </c>
      <c r="U2444" s="29" cm="1">
        <f t="array" ref="U2444">IF(表成绩单[[#This Row],[政治]]="","",SUMPRODUCT((表成绩单[考试日期]=表成绩单[[#This Row],[考试日期]])*(表成绩单[政治]&lt;9E+307)*(表成绩单[政治]&gt;表成绩单[[#This Row],[政治]]))+1)</f>
        <v>45</v>
      </c>
      <c r="V2444" s="29" cm="1">
        <f t="array" ref="V2444">IF(表成绩单[[#This Row],[历史]]="","",SUMPRODUCT((表成绩单[考试日期]=表成绩单[[#This Row],[考试日期]])*(表成绩单[历史]&lt;9E+307)*(表成绩单[历史]&gt;表成绩单[[#This Row],[历史]]))+1)</f>
        <v>222</v>
      </c>
      <c r="W2444" s="29" cm="1">
        <f t="array" ref="W2444">IF(表成绩单[[#This Row],[总分]]="","",SUMPRODUCT((表成绩单[考试日期]=表成绩单[[#This Row],[考试日期]])*(表成绩单[总分]&lt;9E+307)*(表成绩单[总分]&gt;表成绩单[[#This Row],[总分]]))+1)</f>
        <v>37</v>
      </c>
    </row>
    <row r="2445" ht="28" customHeight="1" spans="4:23">
      <c r="D2445" s="31">
        <v>46108</v>
      </c>
      <c r="E2445" s="29">
        <v>19173525</v>
      </c>
      <c r="F2445" s="29" t="s">
        <v>1</v>
      </c>
      <c r="G2445" s="29" t="s">
        <v>91</v>
      </c>
      <c r="H2445" s="29">
        <v>104</v>
      </c>
      <c r="I2445" s="29">
        <v>102</v>
      </c>
      <c r="J2445" s="29">
        <v>87.5</v>
      </c>
      <c r="K2445" s="29">
        <v>86</v>
      </c>
      <c r="L2445" s="29">
        <v>81</v>
      </c>
      <c r="M2445" s="29">
        <v>76</v>
      </c>
      <c r="N2445" s="29">
        <v>81</v>
      </c>
      <c r="O2445" s="32">
        <v>617.5</v>
      </c>
      <c r="P2445" s="29" cm="1">
        <f t="array" ref="P2445">IF(表成绩单[[#This Row],[语文]]="","",SUMPRODUCT((表成绩单[考试日期]=表成绩单[[#This Row],[考试日期]])*(表成绩单[语文]&lt;9E+307)*(表成绩单[语文]&gt;表成绩单[[#This Row],[语文]]))+1)</f>
        <v>131</v>
      </c>
      <c r="Q2445" s="29" cm="1">
        <f t="array" ref="Q2445">IF(表成绩单[[#This Row],[数学]]="","",SUMPRODUCT((表成绩单[考试日期]=表成绩单[[#This Row],[考试日期]])*(表成绩单[数学]&lt;9E+307)*(表成绩单[数学]&gt;表成绩单[[#This Row],[数学]]))+1)</f>
        <v>98</v>
      </c>
      <c r="R2445" s="29" cm="1">
        <f t="array" ref="R2445">IF(表成绩单[[#This Row],[英语]]="","",SUMPRODUCT((表成绩单[考试日期]=表成绩单[[#This Row],[考试日期]])*(表成绩单[英语]&lt;9E+307)*(表成绩单[英语]&gt;表成绩单[[#This Row],[英语]]))+1)</f>
        <v>6</v>
      </c>
      <c r="S2445" s="29" cm="1">
        <f t="array" ref="S2445">IF(表成绩单[[#This Row],[物理]]="","",SUMPRODUCT((表成绩单[考试日期]=表成绩单[[#This Row],[考试日期]])*(表成绩单[物理]&lt;9E+307)*(表成绩单[物理]&gt;表成绩单[[#This Row],[物理]]))+1)</f>
        <v>61</v>
      </c>
      <c r="T2445" s="29" cm="1">
        <f t="array" ref="T2445">IF(表成绩单[[#This Row],[化学]]="","",SUMPRODUCT((表成绩单[考试日期]=表成绩单[[#This Row],[考试日期]])*(表成绩单[化学]&lt;9E+307)*(表成绩单[化学]&gt;表成绩单[[#This Row],[化学]]))+1)</f>
        <v>17</v>
      </c>
      <c r="U2445" s="29" cm="1">
        <f t="array" ref="U2445">IF(表成绩单[[#This Row],[政治]]="","",SUMPRODUCT((表成绩单[考试日期]=表成绩单[[#This Row],[考试日期]])*(表成绩单[政治]&lt;9E+307)*(表成绩单[政治]&gt;表成绩单[[#This Row],[政治]]))+1)</f>
        <v>291</v>
      </c>
      <c r="V2445" s="29" cm="1">
        <f t="array" ref="V2445">IF(表成绩单[[#This Row],[历史]]="","",SUMPRODUCT((表成绩单[考试日期]=表成绩单[[#This Row],[考试日期]])*(表成绩单[历史]&lt;9E+307)*(表成绩单[历史]&gt;表成绩单[[#This Row],[历史]]))+1)</f>
        <v>106</v>
      </c>
      <c r="W2445" s="29" cm="1">
        <f t="array" ref="W2445">IF(表成绩单[[#This Row],[总分]]="","",SUMPRODUCT((表成绩单[考试日期]=表成绩单[[#This Row],[考试日期]])*(表成绩单[总分]&lt;9E+307)*(表成绩单[总分]&gt;表成绩单[[#This Row],[总分]]))+1)</f>
        <v>38</v>
      </c>
    </row>
    <row r="2446" ht="28" customHeight="1" spans="4:23">
      <c r="D2446" s="31">
        <v>46108</v>
      </c>
      <c r="E2446" s="29">
        <v>19174793</v>
      </c>
      <c r="F2446" s="29" t="s">
        <v>69</v>
      </c>
      <c r="G2446" s="29" t="s">
        <v>158</v>
      </c>
      <c r="H2446" s="29">
        <v>103</v>
      </c>
      <c r="I2446" s="29">
        <v>100</v>
      </c>
      <c r="J2446" s="29">
        <v>80.5</v>
      </c>
      <c r="K2446" s="29">
        <v>90</v>
      </c>
      <c r="L2446" s="29">
        <v>81</v>
      </c>
      <c r="M2446" s="29">
        <v>85</v>
      </c>
      <c r="N2446" s="29">
        <v>78</v>
      </c>
      <c r="O2446" s="32">
        <v>617.5</v>
      </c>
      <c r="P2446" s="29" cm="1">
        <f t="array" ref="P2446">IF(表成绩单[[#This Row],[语文]]="","",SUMPRODUCT((表成绩单[考试日期]=表成绩单[[#This Row],[考试日期]])*(表成绩单[语文]&lt;9E+307)*(表成绩单[语文]&gt;表成绩单[[#This Row],[语文]]))+1)</f>
        <v>155</v>
      </c>
      <c r="Q2446" s="29" cm="1">
        <f t="array" ref="Q2446">IF(表成绩单[[#This Row],[数学]]="","",SUMPRODUCT((表成绩单[考试日期]=表成绩单[[#This Row],[考试日期]])*(表成绩单[数学]&lt;9E+307)*(表成绩单[数学]&gt;表成绩单[[#This Row],[数学]]))+1)</f>
        <v>121</v>
      </c>
      <c r="R2446" s="29" cm="1">
        <f t="array" ref="R2446">IF(表成绩单[[#This Row],[英语]]="","",SUMPRODUCT((表成绩单[考试日期]=表成绩单[[#This Row],[考试日期]])*(表成绩单[英语]&lt;9E+307)*(表成绩单[英语]&gt;表成绩单[[#This Row],[英语]]))+1)</f>
        <v>244</v>
      </c>
      <c r="S2446" s="29" cm="1">
        <f t="array" ref="S2446">IF(表成绩单[[#This Row],[物理]]="","",SUMPRODUCT((表成绩单[考试日期]=表成绩单[[#This Row],[考试日期]])*(表成绩单[物理]&lt;9E+307)*(表成绩单[物理]&gt;表成绩单[[#This Row],[物理]]))+1)</f>
        <v>1</v>
      </c>
      <c r="T2446" s="29" cm="1">
        <f t="array" ref="T2446">IF(表成绩单[[#This Row],[化学]]="","",SUMPRODUCT((表成绩单[考试日期]=表成绩单[[#This Row],[考试日期]])*(表成绩单[化学]&lt;9E+307)*(表成绩单[化学]&gt;表成绩单[[#This Row],[化学]]))+1)</f>
        <v>17</v>
      </c>
      <c r="U2446" s="29" cm="1">
        <f t="array" ref="U2446">IF(表成绩单[[#This Row],[政治]]="","",SUMPRODUCT((表成绩单[考试日期]=表成绩单[[#This Row],[考试日期]])*(表成绩单[政治]&lt;9E+307)*(表成绩单[政治]&gt;表成绩单[[#This Row],[政治]]))+1)</f>
        <v>5</v>
      </c>
      <c r="V2446" s="29" cm="1">
        <f t="array" ref="V2446">IF(表成绩单[[#This Row],[历史]]="","",SUMPRODUCT((表成绩单[考试日期]=表成绩单[[#This Row],[考试日期]])*(表成绩单[历史]&lt;9E+307)*(表成绩单[历史]&gt;表成绩单[[#This Row],[历史]]))+1)</f>
        <v>222</v>
      </c>
      <c r="W2446" s="29" cm="1">
        <f t="array" ref="W2446">IF(表成绩单[[#This Row],[总分]]="","",SUMPRODUCT((表成绩单[考试日期]=表成绩单[[#This Row],[考试日期]])*(表成绩单[总分]&lt;9E+307)*(表成绩单[总分]&gt;表成绩单[[#This Row],[总分]]))+1)</f>
        <v>38</v>
      </c>
    </row>
    <row r="2447" ht="28" customHeight="1" spans="4:23">
      <c r="D2447" s="31">
        <v>46108</v>
      </c>
      <c r="E2447" s="29">
        <v>19175695</v>
      </c>
      <c r="F2447" s="29" t="s">
        <v>72</v>
      </c>
      <c r="G2447" s="29" t="s">
        <v>148</v>
      </c>
      <c r="H2447" s="29">
        <v>100</v>
      </c>
      <c r="I2447" s="29">
        <v>108</v>
      </c>
      <c r="J2447" s="29">
        <v>82.5</v>
      </c>
      <c r="K2447" s="29">
        <v>89</v>
      </c>
      <c r="L2447" s="29">
        <v>80</v>
      </c>
      <c r="M2447" s="29">
        <v>78</v>
      </c>
      <c r="N2447" s="29">
        <v>80</v>
      </c>
      <c r="O2447" s="32">
        <v>617.5</v>
      </c>
      <c r="P2447" s="29" cm="1">
        <f t="array" ref="P2447">IF(表成绩单[[#This Row],[语文]]="","",SUMPRODUCT((表成绩单[考试日期]=表成绩单[[#This Row],[考试日期]])*(表成绩单[语文]&lt;9E+307)*(表成绩单[语文]&gt;表成绩单[[#This Row],[语文]]))+1)</f>
        <v>247</v>
      </c>
      <c r="Q2447" s="29" cm="1">
        <f t="array" ref="Q2447">IF(表成绩单[[#This Row],[数学]]="","",SUMPRODUCT((表成绩单[考试日期]=表成绩单[[#This Row],[考试日期]])*(表成绩单[数学]&lt;9E+307)*(表成绩单[数学]&gt;表成绩单[[#This Row],[数学]]))+1)</f>
        <v>25</v>
      </c>
      <c r="R2447" s="29" cm="1">
        <f t="array" ref="R2447">IF(表成绩单[[#This Row],[英语]]="","",SUMPRODUCT((表成绩单[考试日期]=表成绩单[[#This Row],[考试日期]])*(表成绩单[英语]&lt;9E+307)*(表成绩单[英语]&gt;表成绩单[[#This Row],[英语]]))+1)</f>
        <v>156</v>
      </c>
      <c r="S2447" s="29" cm="1">
        <f t="array" ref="S2447">IF(表成绩单[[#This Row],[物理]]="","",SUMPRODUCT((表成绩单[考试日期]=表成绩单[[#This Row],[考试日期]])*(表成绩单[物理]&lt;9E+307)*(表成绩单[物理]&gt;表成绩单[[#This Row],[物理]]))+1)</f>
        <v>15</v>
      </c>
      <c r="T2447" s="29" cm="1">
        <f t="array" ref="T2447">IF(表成绩单[[#This Row],[化学]]="","",SUMPRODUCT((表成绩单[考试日期]=表成绩单[[#This Row],[考试日期]])*(表成绩单[化学]&lt;9E+307)*(表成绩单[化学]&gt;表成绩单[[#This Row],[化学]]))+1)</f>
        <v>25</v>
      </c>
      <c r="U2447" s="29" cm="1">
        <f t="array" ref="U2447">IF(表成绩单[[#This Row],[政治]]="","",SUMPRODUCT((表成绩单[考试日期]=表成绩单[[#This Row],[考试日期]])*(表成绩单[政治]&lt;9E+307)*(表成绩单[政治]&gt;表成绩单[[#This Row],[政治]]))+1)</f>
        <v>171</v>
      </c>
      <c r="V2447" s="29" cm="1">
        <f t="array" ref="V2447">IF(表成绩单[[#This Row],[历史]]="","",SUMPRODUCT((表成绩单[考试日期]=表成绩单[[#This Row],[考试日期]])*(表成绩单[历史]&lt;9E+307)*(表成绩单[历史]&gt;表成绩单[[#This Row],[历史]]))+1)</f>
        <v>143</v>
      </c>
      <c r="W2447" s="29" cm="1">
        <f t="array" ref="W2447">IF(表成绩单[[#This Row],[总分]]="","",SUMPRODUCT((表成绩单[考试日期]=表成绩单[[#This Row],[考试日期]])*(表成绩单[总分]&lt;9E+307)*(表成绩单[总分]&gt;表成绩单[[#This Row],[总分]]))+1)</f>
        <v>38</v>
      </c>
    </row>
    <row r="2448" ht="28" customHeight="1" spans="4:23">
      <c r="D2448" s="31">
        <v>46108</v>
      </c>
      <c r="E2448" s="29">
        <v>19177221</v>
      </c>
      <c r="F2448" s="29" t="s">
        <v>70</v>
      </c>
      <c r="G2448" s="29" t="s">
        <v>106</v>
      </c>
      <c r="H2448" s="29">
        <v>106</v>
      </c>
      <c r="I2448" s="29">
        <v>109</v>
      </c>
      <c r="J2448" s="29">
        <v>85.5</v>
      </c>
      <c r="K2448" s="29">
        <v>83</v>
      </c>
      <c r="L2448" s="29">
        <v>73</v>
      </c>
      <c r="M2448" s="29">
        <v>82</v>
      </c>
      <c r="N2448" s="29">
        <v>79</v>
      </c>
      <c r="O2448" s="32">
        <v>617.5</v>
      </c>
      <c r="P2448" s="29" cm="1">
        <f t="array" ref="P2448">IF(表成绩单[[#This Row],[语文]]="","",SUMPRODUCT((表成绩单[考试日期]=表成绩单[[#This Row],[考试日期]])*(表成绩单[语文]&lt;9E+307)*(表成绩单[语文]&gt;表成绩单[[#This Row],[语文]]))+1)</f>
        <v>85</v>
      </c>
      <c r="Q2448" s="29" cm="1">
        <f t="array" ref="Q2448">IF(表成绩单[[#This Row],[数学]]="","",SUMPRODUCT((表成绩单[考试日期]=表成绩单[[#This Row],[考试日期]])*(表成绩单[数学]&lt;9E+307)*(表成绩单[数学]&gt;表成绩单[[#This Row],[数学]]))+1)</f>
        <v>16</v>
      </c>
      <c r="R2448" s="29" cm="1">
        <f t="array" ref="R2448">IF(表成绩单[[#This Row],[英语]]="","",SUMPRODUCT((表成绩单[考试日期]=表成绩单[[#This Row],[考试日期]])*(表成绩单[英语]&lt;9E+307)*(表成绩单[英语]&gt;表成绩单[[#This Row],[英语]]))+1)</f>
        <v>43</v>
      </c>
      <c r="S2448" s="29" cm="1">
        <f t="array" ref="S2448">IF(表成绩单[[#This Row],[物理]]="","",SUMPRODUCT((表成绩单[考试日期]=表成绩单[[#This Row],[考试日期]])*(表成绩单[物理]&lt;9E+307)*(表成绩单[物理]&gt;表成绩单[[#This Row],[物理]]))+1)</f>
        <v>184</v>
      </c>
      <c r="T2448" s="29" cm="1">
        <f t="array" ref="T2448">IF(表成绩单[[#This Row],[化学]]="","",SUMPRODUCT((表成绩单[考试日期]=表成绩单[[#This Row],[考试日期]])*(表成绩单[化学]&lt;9E+307)*(表成绩单[化学]&gt;表成绩单[[#This Row],[化学]]))+1)</f>
        <v>152</v>
      </c>
      <c r="U2448" s="29" cm="1">
        <f t="array" ref="U2448">IF(表成绩单[[#This Row],[政治]]="","",SUMPRODUCT((表成绩单[考试日期]=表成绩单[[#This Row],[考试日期]])*(表成绩单[政治]&lt;9E+307)*(表成绩单[政治]&gt;表成绩单[[#This Row],[政治]]))+1)</f>
        <v>45</v>
      </c>
      <c r="V2448" s="29" cm="1">
        <f t="array" ref="V2448">IF(表成绩单[[#This Row],[历史]]="","",SUMPRODUCT((表成绩单[考试日期]=表成绩单[[#This Row],[考试日期]])*(表成绩单[历史]&lt;9E+307)*(表成绩单[历史]&gt;表成绩单[[#This Row],[历史]]))+1)</f>
        <v>173</v>
      </c>
      <c r="W2448" s="29" cm="1">
        <f t="array" ref="W2448">IF(表成绩单[[#This Row],[总分]]="","",SUMPRODUCT((表成绩单[考试日期]=表成绩单[[#This Row],[考试日期]])*(表成绩单[总分]&lt;9E+307)*(表成绩单[总分]&gt;表成绩单[[#This Row],[总分]]))+1)</f>
        <v>38</v>
      </c>
    </row>
    <row r="2449" ht="28" customHeight="1" spans="4:23">
      <c r="D2449" s="31">
        <v>46108</v>
      </c>
      <c r="E2449" s="29">
        <v>19167649</v>
      </c>
      <c r="F2449" s="29" t="s">
        <v>1</v>
      </c>
      <c r="G2449" s="29" t="s">
        <v>153</v>
      </c>
      <c r="H2449" s="29">
        <v>107</v>
      </c>
      <c r="I2449" s="29">
        <v>107</v>
      </c>
      <c r="J2449" s="29">
        <v>83</v>
      </c>
      <c r="K2449" s="29">
        <v>86</v>
      </c>
      <c r="L2449" s="29">
        <v>70</v>
      </c>
      <c r="M2449" s="29">
        <v>80</v>
      </c>
      <c r="N2449" s="29">
        <v>84</v>
      </c>
      <c r="O2449" s="32">
        <v>617</v>
      </c>
      <c r="P2449" s="29" cm="1">
        <f t="array" ref="P2449">IF(表成绩单[[#This Row],[语文]]="","",SUMPRODUCT((表成绩单[考试日期]=表成绩单[[#This Row],[考试日期]])*(表成绩单[语文]&lt;9E+307)*(表成绩单[语文]&gt;表成绩单[[#This Row],[语文]]))+1)</f>
        <v>67</v>
      </c>
      <c r="Q2449" s="29" cm="1">
        <f t="array" ref="Q2449">IF(表成绩单[[#This Row],[数学]]="","",SUMPRODUCT((表成绩单[考试日期]=表成绩单[[#This Row],[考试日期]])*(表成绩单[数学]&lt;9E+307)*(表成绩单[数学]&gt;表成绩单[[#This Row],[数学]]))+1)</f>
        <v>34</v>
      </c>
      <c r="R2449" s="29" cm="1">
        <f t="array" ref="R2449">IF(表成绩单[[#This Row],[英语]]="","",SUMPRODUCT((表成绩单[考试日期]=表成绩单[[#This Row],[考试日期]])*(表成绩单[英语]&lt;9E+307)*(表成绩单[英语]&gt;表成绩单[[#This Row],[英语]]))+1)</f>
        <v>134</v>
      </c>
      <c r="S2449" s="29" cm="1">
        <f t="array" ref="S2449">IF(表成绩单[[#This Row],[物理]]="","",SUMPRODUCT((表成绩单[考试日期]=表成绩单[[#This Row],[考试日期]])*(表成绩单[物理]&lt;9E+307)*(表成绩单[物理]&gt;表成绩单[[#This Row],[物理]]))+1)</f>
        <v>61</v>
      </c>
      <c r="T2449" s="29" cm="1">
        <f t="array" ref="T2449">IF(表成绩单[[#This Row],[化学]]="","",SUMPRODUCT((表成绩单[考试日期]=表成绩单[[#This Row],[考试日期]])*(表成绩单[化学]&lt;9E+307)*(表成绩单[化学]&gt;表成绩单[[#This Row],[化学]]))+1)</f>
        <v>241</v>
      </c>
      <c r="U2449" s="29" cm="1">
        <f t="array" ref="U2449">IF(表成绩单[[#This Row],[政治]]="","",SUMPRODUCT((表成绩单[考试日期]=表成绩单[[#This Row],[考试日期]])*(表成绩单[政治]&lt;9E+307)*(表成绩单[政治]&gt;表成绩单[[#This Row],[政治]]))+1)</f>
        <v>98</v>
      </c>
      <c r="V2449" s="29" cm="1">
        <f t="array" ref="V2449">IF(表成绩单[[#This Row],[历史]]="","",SUMPRODUCT((表成绩单[考试日期]=表成绩单[[#This Row],[考试日期]])*(表成绩单[历史]&lt;9E+307)*(表成绩单[历史]&gt;表成绩单[[#This Row],[历史]]))+1)</f>
        <v>38</v>
      </c>
      <c r="W2449" s="29" cm="1">
        <f t="array" ref="W2449">IF(表成绩单[[#This Row],[总分]]="","",SUMPRODUCT((表成绩单[考试日期]=表成绩单[[#This Row],[考试日期]])*(表成绩单[总分]&lt;9E+307)*(表成绩单[总分]&gt;表成绩单[[#This Row],[总分]]))+1)</f>
        <v>42</v>
      </c>
    </row>
    <row r="2450" ht="28" customHeight="1" spans="4:23">
      <c r="D2450" s="31">
        <v>46108</v>
      </c>
      <c r="E2450" s="29">
        <v>19174468</v>
      </c>
      <c r="F2450" s="29" t="s">
        <v>73</v>
      </c>
      <c r="G2450" s="29" t="s">
        <v>234</v>
      </c>
      <c r="H2450" s="29">
        <v>107</v>
      </c>
      <c r="I2450" s="29">
        <v>100</v>
      </c>
      <c r="J2450" s="29">
        <v>85</v>
      </c>
      <c r="K2450" s="29">
        <v>84</v>
      </c>
      <c r="L2450" s="29">
        <v>74</v>
      </c>
      <c r="M2450" s="29">
        <v>81</v>
      </c>
      <c r="N2450" s="29">
        <v>86</v>
      </c>
      <c r="O2450" s="32">
        <v>617</v>
      </c>
      <c r="P2450" s="29" cm="1">
        <f t="array" ref="P2450">IF(表成绩单[[#This Row],[语文]]="","",SUMPRODUCT((表成绩单[考试日期]=表成绩单[[#This Row],[考试日期]])*(表成绩单[语文]&lt;9E+307)*(表成绩单[语文]&gt;表成绩单[[#This Row],[语文]]))+1)</f>
        <v>67</v>
      </c>
      <c r="Q2450" s="29" cm="1">
        <f t="array" ref="Q2450">IF(表成绩单[[#This Row],[数学]]="","",SUMPRODUCT((表成绩单[考试日期]=表成绩单[[#This Row],[考试日期]])*(表成绩单[数学]&lt;9E+307)*(表成绩单[数学]&gt;表成绩单[[#This Row],[数学]]))+1)</f>
        <v>121</v>
      </c>
      <c r="R2450" s="29" cm="1">
        <f t="array" ref="R2450">IF(表成绩单[[#This Row],[英语]]="","",SUMPRODUCT((表成绩单[考试日期]=表成绩单[[#This Row],[考试日期]])*(表成绩单[英语]&lt;9E+307)*(表成绩单[英语]&gt;表成绩单[[#This Row],[英语]]))+1)</f>
        <v>59</v>
      </c>
      <c r="S2450" s="29" cm="1">
        <f t="array" ref="S2450">IF(表成绩单[[#This Row],[物理]]="","",SUMPRODUCT((表成绩单[考试日期]=表成绩单[[#This Row],[考试日期]])*(表成绩单[物理]&lt;9E+307)*(表成绩单[物理]&gt;表成绩单[[#This Row],[物理]]))+1)</f>
        <v>146</v>
      </c>
      <c r="T2450" s="29" cm="1">
        <f t="array" ref="T2450">IF(表成绩单[[#This Row],[化学]]="","",SUMPRODUCT((表成绩单[考试日期]=表成绩单[[#This Row],[考试日期]])*(表成绩单[化学]&lt;9E+307)*(表成绩单[化学]&gt;表成绩单[[#This Row],[化学]]))+1)</f>
        <v>127</v>
      </c>
      <c r="U2450" s="29" cm="1">
        <f t="array" ref="U2450">IF(表成绩单[[#This Row],[政治]]="","",SUMPRODUCT((表成绩单[考试日期]=表成绩单[[#This Row],[考试日期]])*(表成绩单[政治]&lt;9E+307)*(表成绩单[政治]&gt;表成绩单[[#This Row],[政治]]))+1)</f>
        <v>68</v>
      </c>
      <c r="V2450" s="29" cm="1">
        <f t="array" ref="V2450">IF(表成绩单[[#This Row],[历史]]="","",SUMPRODUCT((表成绩单[考试日期]=表成绩单[[#This Row],[考试日期]])*(表成绩单[历史]&lt;9E+307)*(表成绩单[历史]&gt;表成绩单[[#This Row],[历史]]))+1)</f>
        <v>13</v>
      </c>
      <c r="W2450" s="29" cm="1">
        <f t="array" ref="W2450">IF(表成绩单[[#This Row],[总分]]="","",SUMPRODUCT((表成绩单[考试日期]=表成绩单[[#This Row],[考试日期]])*(表成绩单[总分]&lt;9E+307)*(表成绩单[总分]&gt;表成绩单[[#This Row],[总分]]))+1)</f>
        <v>42</v>
      </c>
    </row>
    <row r="2451" ht="28" customHeight="1" spans="4:23">
      <c r="D2451" s="31">
        <v>46108</v>
      </c>
      <c r="E2451" s="29">
        <v>19175414</v>
      </c>
      <c r="F2451" s="29" t="s">
        <v>74</v>
      </c>
      <c r="G2451" s="29" t="s">
        <v>130</v>
      </c>
      <c r="H2451" s="29">
        <v>102</v>
      </c>
      <c r="I2451" s="29">
        <v>107</v>
      </c>
      <c r="J2451" s="29">
        <v>82</v>
      </c>
      <c r="K2451" s="29">
        <v>90</v>
      </c>
      <c r="L2451" s="29">
        <v>71</v>
      </c>
      <c r="M2451" s="29">
        <v>80</v>
      </c>
      <c r="N2451" s="29">
        <v>85</v>
      </c>
      <c r="O2451" s="32">
        <v>617</v>
      </c>
      <c r="P2451" s="29" cm="1">
        <f t="array" ref="P2451">IF(表成绩单[[#This Row],[语文]]="","",SUMPRODUCT((表成绩单[考试日期]=表成绩单[[#This Row],[考试日期]])*(表成绩单[语文]&lt;9E+307)*(表成绩单[语文]&gt;表成绩单[[#This Row],[语文]]))+1)</f>
        <v>183</v>
      </c>
      <c r="Q2451" s="29" cm="1">
        <f t="array" ref="Q2451">IF(表成绩单[[#This Row],[数学]]="","",SUMPRODUCT((表成绩单[考试日期]=表成绩单[[#This Row],[考试日期]])*(表成绩单[数学]&lt;9E+307)*(表成绩单[数学]&gt;表成绩单[[#This Row],[数学]]))+1)</f>
        <v>34</v>
      </c>
      <c r="R2451" s="29" cm="1">
        <f t="array" ref="R2451">IF(表成绩单[[#This Row],[英语]]="","",SUMPRODUCT((表成绩单[考试日期]=表成绩单[[#This Row],[考试日期]])*(表成绩单[英语]&lt;9E+307)*(表成绩单[英语]&gt;表成绩单[[#This Row],[英语]]))+1)</f>
        <v>180</v>
      </c>
      <c r="S2451" s="29" cm="1">
        <f t="array" ref="S2451">IF(表成绩单[[#This Row],[物理]]="","",SUMPRODUCT((表成绩单[考试日期]=表成绩单[[#This Row],[考试日期]])*(表成绩单[物理]&lt;9E+307)*(表成绩单[物理]&gt;表成绩单[[#This Row],[物理]]))+1)</f>
        <v>1</v>
      </c>
      <c r="T2451" s="29" cm="1">
        <f t="array" ref="T2451">IF(表成绩单[[#This Row],[化学]]="","",SUMPRODUCT((表成绩单[考试日期]=表成绩单[[#This Row],[考试日期]])*(表成绩单[化学]&lt;9E+307)*(表成绩单[化学]&gt;表成绩单[[#This Row],[化学]]))+1)</f>
        <v>217</v>
      </c>
      <c r="U2451" s="29" cm="1">
        <f t="array" ref="U2451">IF(表成绩单[[#This Row],[政治]]="","",SUMPRODUCT((表成绩单[考试日期]=表成绩单[[#This Row],[考试日期]])*(表成绩单[政治]&lt;9E+307)*(表成绩单[政治]&gt;表成绩单[[#This Row],[政治]]))+1)</f>
        <v>98</v>
      </c>
      <c r="V2451" s="29" cm="1">
        <f t="array" ref="V2451">IF(表成绩单[[#This Row],[历史]]="","",SUMPRODUCT((表成绩单[考试日期]=表成绩单[[#This Row],[考试日期]])*(表成绩单[历史]&lt;9E+307)*(表成绩单[历史]&gt;表成绩单[[#This Row],[历史]]))+1)</f>
        <v>20</v>
      </c>
      <c r="W2451" s="29" cm="1">
        <f t="array" ref="W2451">IF(表成绩单[[#This Row],[总分]]="","",SUMPRODUCT((表成绩单[考试日期]=表成绩单[[#This Row],[考试日期]])*(表成绩单[总分]&lt;9E+307)*(表成绩单[总分]&gt;表成绩单[[#This Row],[总分]]))+1)</f>
        <v>42</v>
      </c>
    </row>
    <row r="2452" ht="28" customHeight="1" spans="4:23">
      <c r="D2452" s="31">
        <v>46108</v>
      </c>
      <c r="E2452" s="29">
        <v>19177217</v>
      </c>
      <c r="F2452" s="29" t="s">
        <v>70</v>
      </c>
      <c r="G2452" s="29" t="s">
        <v>216</v>
      </c>
      <c r="H2452" s="29">
        <v>113</v>
      </c>
      <c r="I2452" s="29">
        <v>105</v>
      </c>
      <c r="J2452" s="29">
        <v>77</v>
      </c>
      <c r="K2452" s="29">
        <v>83</v>
      </c>
      <c r="L2452" s="29">
        <v>74</v>
      </c>
      <c r="M2452" s="29">
        <v>83</v>
      </c>
      <c r="N2452" s="29">
        <v>82</v>
      </c>
      <c r="O2452" s="32">
        <v>617</v>
      </c>
      <c r="P2452" s="29" cm="1">
        <f t="array" ref="P2452">IF(表成绩单[[#This Row],[语文]]="","",SUMPRODUCT((表成绩单[考试日期]=表成绩单[[#This Row],[考试日期]])*(表成绩单[语文]&lt;9E+307)*(表成绩单[语文]&gt;表成绩单[[#This Row],[语文]]))+1)</f>
        <v>6</v>
      </c>
      <c r="Q2452" s="29" cm="1">
        <f t="array" ref="Q2452">IF(表成绩单[[#This Row],[数学]]="","",SUMPRODUCT((表成绩单[考试日期]=表成绩单[[#This Row],[考试日期]])*(表成绩单[数学]&lt;9E+307)*(表成绩单[数学]&gt;表成绩单[[#This Row],[数学]]))+1)</f>
        <v>52</v>
      </c>
      <c r="R2452" s="29" cm="1">
        <f t="array" ref="R2452">IF(表成绩单[[#This Row],[英语]]="","",SUMPRODUCT((表成绩单[考试日期]=表成绩单[[#This Row],[考试日期]])*(表成绩单[英语]&lt;9E+307)*(表成绩单[英语]&gt;表成绩单[[#This Row],[英语]]))+1)</f>
        <v>370</v>
      </c>
      <c r="S2452" s="29" cm="1">
        <f t="array" ref="S2452">IF(表成绩单[[#This Row],[物理]]="","",SUMPRODUCT((表成绩单[考试日期]=表成绩单[[#This Row],[考试日期]])*(表成绩单[物理]&lt;9E+307)*(表成绩单[物理]&gt;表成绩单[[#This Row],[物理]]))+1)</f>
        <v>184</v>
      </c>
      <c r="T2452" s="29" cm="1">
        <f t="array" ref="T2452">IF(表成绩单[[#This Row],[化学]]="","",SUMPRODUCT((表成绩单[考试日期]=表成绩单[[#This Row],[考试日期]])*(表成绩单[化学]&lt;9E+307)*(表成绩单[化学]&gt;表成绩单[[#This Row],[化学]]))+1)</f>
        <v>127</v>
      </c>
      <c r="U2452" s="29" cm="1">
        <f t="array" ref="U2452">IF(表成绩单[[#This Row],[政治]]="","",SUMPRODUCT((表成绩单[考试日期]=表成绩单[[#This Row],[考试日期]])*(表成绩单[政治]&lt;9E+307)*(表成绩单[政治]&gt;表成绩单[[#This Row],[政治]]))+1)</f>
        <v>24</v>
      </c>
      <c r="V2452" s="29" cm="1">
        <f t="array" ref="V2452">IF(表成绩单[[#This Row],[历史]]="","",SUMPRODUCT((表成绩单[考试日期]=表成绩单[[#This Row],[考试日期]])*(表成绩单[历史]&lt;9E+307)*(表成绩单[历史]&gt;表成绩单[[#This Row],[历史]]))+1)</f>
        <v>81</v>
      </c>
      <c r="W2452" s="29" cm="1">
        <f t="array" ref="W2452">IF(表成绩单[[#This Row],[总分]]="","",SUMPRODUCT((表成绩单[考试日期]=表成绩单[[#This Row],[考试日期]])*(表成绩单[总分]&lt;9E+307)*(表成绩单[总分]&gt;表成绩单[[#This Row],[总分]]))+1)</f>
        <v>42</v>
      </c>
    </row>
    <row r="2453" ht="28" customHeight="1" spans="4:23">
      <c r="D2453" s="31">
        <v>46108</v>
      </c>
      <c r="E2453" s="29">
        <v>19174472</v>
      </c>
      <c r="F2453" s="29" t="s">
        <v>73</v>
      </c>
      <c r="G2453" s="29" t="s">
        <v>186</v>
      </c>
      <c r="H2453" s="29">
        <v>110</v>
      </c>
      <c r="I2453" s="29">
        <v>106</v>
      </c>
      <c r="J2453" s="29">
        <v>86.5</v>
      </c>
      <c r="K2453" s="29">
        <v>80</v>
      </c>
      <c r="L2453" s="29">
        <v>76</v>
      </c>
      <c r="M2453" s="29">
        <v>79</v>
      </c>
      <c r="N2453" s="29">
        <v>79</v>
      </c>
      <c r="O2453" s="32">
        <v>616.5</v>
      </c>
      <c r="P2453" s="29" cm="1">
        <f t="array" ref="P2453">IF(表成绩单[[#This Row],[语文]]="","",SUMPRODUCT((表成绩单[考试日期]=表成绩单[[#This Row],[考试日期]])*(表成绩单[语文]&lt;9E+307)*(表成绩单[语文]&gt;表成绩单[[#This Row],[语文]]))+1)</f>
        <v>24</v>
      </c>
      <c r="Q2453" s="29" cm="1">
        <f t="array" ref="Q2453">IF(表成绩单[[#This Row],[数学]]="","",SUMPRODUCT((表成绩单[考试日期]=表成绩单[[#This Row],[考试日期]])*(表成绩单[数学]&lt;9E+307)*(表成绩单[数学]&gt;表成绩单[[#This Row],[数学]]))+1)</f>
        <v>40</v>
      </c>
      <c r="R2453" s="29" cm="1">
        <f t="array" ref="R2453">IF(表成绩单[[#This Row],[英语]]="","",SUMPRODUCT((表成绩单[考试日期]=表成绩单[[#This Row],[考试日期]])*(表成绩单[英语]&lt;9E+307)*(表成绩单[英语]&gt;表成绩单[[#This Row],[英语]]))+1)</f>
        <v>18</v>
      </c>
      <c r="S2453" s="29" cm="1">
        <f t="array" ref="S2453">IF(表成绩单[[#This Row],[物理]]="","",SUMPRODUCT((表成绩单[考试日期]=表成绩单[[#This Row],[考试日期]])*(表成绩单[物理]&lt;9E+307)*(表成绩单[物理]&gt;表成绩单[[#This Row],[物理]]))+1)</f>
        <v>305</v>
      </c>
      <c r="T2453" s="29" cm="1">
        <f t="array" ref="T2453">IF(表成绩单[[#This Row],[化学]]="","",SUMPRODUCT((表成绩单[考试日期]=表成绩单[[#This Row],[考试日期]])*(表成绩单[化学]&lt;9E+307)*(表成绩单[化学]&gt;表成绩单[[#This Row],[化学]]))+1)</f>
        <v>71</v>
      </c>
      <c r="U2453" s="29" cm="1">
        <f t="array" ref="U2453">IF(表成绩单[[#This Row],[政治]]="","",SUMPRODUCT((表成绩单[考试日期]=表成绩单[[#This Row],[考试日期]])*(表成绩单[政治]&lt;9E+307)*(表成绩单[政治]&gt;表成绩单[[#This Row],[政治]]))+1)</f>
        <v>134</v>
      </c>
      <c r="V2453" s="29" cm="1">
        <f t="array" ref="V2453">IF(表成绩单[[#This Row],[历史]]="","",SUMPRODUCT((表成绩单[考试日期]=表成绩单[[#This Row],[考试日期]])*(表成绩单[历史]&lt;9E+307)*(表成绩单[历史]&gt;表成绩单[[#This Row],[历史]]))+1)</f>
        <v>173</v>
      </c>
      <c r="W2453" s="29" cm="1">
        <f t="array" ref="W2453">IF(表成绩单[[#This Row],[总分]]="","",SUMPRODUCT((表成绩单[考试日期]=表成绩单[[#This Row],[考试日期]])*(表成绩单[总分]&lt;9E+307)*(表成绩单[总分]&gt;表成绩单[[#This Row],[总分]]))+1)</f>
        <v>46</v>
      </c>
    </row>
    <row r="2454" ht="28" customHeight="1" spans="4:23">
      <c r="D2454" s="31">
        <v>46108</v>
      </c>
      <c r="E2454" s="29">
        <v>19175397</v>
      </c>
      <c r="F2454" s="29" t="s">
        <v>74</v>
      </c>
      <c r="G2454" s="29" t="s">
        <v>92</v>
      </c>
      <c r="H2454" s="29">
        <v>99</v>
      </c>
      <c r="I2454" s="29">
        <v>106</v>
      </c>
      <c r="J2454" s="29">
        <v>83</v>
      </c>
      <c r="K2454" s="29">
        <v>86</v>
      </c>
      <c r="L2454" s="29">
        <v>82</v>
      </c>
      <c r="M2454" s="29">
        <v>82</v>
      </c>
      <c r="N2454" s="29">
        <v>78</v>
      </c>
      <c r="O2454" s="32">
        <v>616</v>
      </c>
      <c r="P2454" s="29" cm="1">
        <f t="array" ref="P2454">IF(表成绩单[[#This Row],[语文]]="","",SUMPRODUCT((表成绩单[考试日期]=表成绩单[[#This Row],[考试日期]])*(表成绩单[语文]&lt;9E+307)*(表成绩单[语文]&gt;表成绩单[[#This Row],[语文]]))+1)</f>
        <v>279</v>
      </c>
      <c r="Q2454" s="29" cm="1">
        <f t="array" ref="Q2454">IF(表成绩单[[#This Row],[数学]]="","",SUMPRODUCT((表成绩单[考试日期]=表成绩单[[#This Row],[考试日期]])*(表成绩单[数学]&lt;9E+307)*(表成绩单[数学]&gt;表成绩单[[#This Row],[数学]]))+1)</f>
        <v>40</v>
      </c>
      <c r="R2454" s="29" cm="1">
        <f t="array" ref="R2454">IF(表成绩单[[#This Row],[英语]]="","",SUMPRODUCT((表成绩单[考试日期]=表成绩单[[#This Row],[考试日期]])*(表成绩单[英语]&lt;9E+307)*(表成绩单[英语]&gt;表成绩单[[#This Row],[英语]]))+1)</f>
        <v>134</v>
      </c>
      <c r="S2454" s="29" cm="1">
        <f t="array" ref="S2454">IF(表成绩单[[#This Row],[物理]]="","",SUMPRODUCT((表成绩单[考试日期]=表成绩单[[#This Row],[考试日期]])*(表成绩单[物理]&lt;9E+307)*(表成绩单[物理]&gt;表成绩单[[#This Row],[物理]]))+1)</f>
        <v>61</v>
      </c>
      <c r="T2454" s="29" cm="1">
        <f t="array" ref="T2454">IF(表成绩单[[#This Row],[化学]]="","",SUMPRODUCT((表成绩单[考试日期]=表成绩单[[#This Row],[考试日期]])*(表成绩单[化学]&lt;9E+307)*(表成绩单[化学]&gt;表成绩单[[#This Row],[化学]]))+1)</f>
        <v>11</v>
      </c>
      <c r="U2454" s="29" cm="1">
        <f t="array" ref="U2454">IF(表成绩单[[#This Row],[政治]]="","",SUMPRODUCT((表成绩单[考试日期]=表成绩单[[#This Row],[考试日期]])*(表成绩单[政治]&lt;9E+307)*(表成绩单[政治]&gt;表成绩单[[#This Row],[政治]]))+1)</f>
        <v>45</v>
      </c>
      <c r="V2454" s="29" cm="1">
        <f t="array" ref="V2454">IF(表成绩单[[#This Row],[历史]]="","",SUMPRODUCT((表成绩单[考试日期]=表成绩单[[#This Row],[考试日期]])*(表成绩单[历史]&lt;9E+307)*(表成绩单[历史]&gt;表成绩单[[#This Row],[历史]]))+1)</f>
        <v>222</v>
      </c>
      <c r="W2454" s="29" cm="1">
        <f t="array" ref="W2454">IF(表成绩单[[#This Row],[总分]]="","",SUMPRODUCT((表成绩单[考试日期]=表成绩单[[#This Row],[考试日期]])*(表成绩单[总分]&lt;9E+307)*(表成绩单[总分]&gt;表成绩单[[#This Row],[总分]]))+1)</f>
        <v>47</v>
      </c>
    </row>
    <row r="2455" ht="28" customHeight="1" spans="4:23">
      <c r="D2455" s="31">
        <v>46108</v>
      </c>
      <c r="E2455" s="29">
        <v>19177201</v>
      </c>
      <c r="F2455" s="29" t="s">
        <v>70</v>
      </c>
      <c r="G2455" s="29" t="s">
        <v>196</v>
      </c>
      <c r="H2455" s="29">
        <v>106</v>
      </c>
      <c r="I2455" s="29">
        <v>110</v>
      </c>
      <c r="J2455" s="29">
        <v>82</v>
      </c>
      <c r="K2455" s="29">
        <v>86</v>
      </c>
      <c r="L2455" s="29">
        <v>75</v>
      </c>
      <c r="M2455" s="29">
        <v>78</v>
      </c>
      <c r="N2455" s="29">
        <v>79</v>
      </c>
      <c r="O2455" s="32">
        <v>616</v>
      </c>
      <c r="P2455" s="29" cm="1">
        <f t="array" ref="P2455">IF(表成绩单[[#This Row],[语文]]="","",SUMPRODUCT((表成绩单[考试日期]=表成绩单[[#This Row],[考试日期]])*(表成绩单[语文]&lt;9E+307)*(表成绩单[语文]&gt;表成绩单[[#This Row],[语文]]))+1)</f>
        <v>85</v>
      </c>
      <c r="Q2455" s="29" cm="1">
        <f t="array" ref="Q2455">IF(表成绩单[[#This Row],[数学]]="","",SUMPRODUCT((表成绩单[考试日期]=表成绩单[[#This Row],[考试日期]])*(表成绩单[数学]&lt;9E+307)*(表成绩单[数学]&gt;表成绩单[[#This Row],[数学]]))+1)</f>
        <v>14</v>
      </c>
      <c r="R2455" s="29" cm="1">
        <f t="array" ref="R2455">IF(表成绩单[[#This Row],[英语]]="","",SUMPRODUCT((表成绩单[考试日期]=表成绩单[[#This Row],[考试日期]])*(表成绩单[英语]&lt;9E+307)*(表成绩单[英语]&gt;表成绩单[[#This Row],[英语]]))+1)</f>
        <v>180</v>
      </c>
      <c r="S2455" s="29" cm="1">
        <f t="array" ref="S2455">IF(表成绩单[[#This Row],[物理]]="","",SUMPRODUCT((表成绩单[考试日期]=表成绩单[[#This Row],[考试日期]])*(表成绩单[物理]&lt;9E+307)*(表成绩单[物理]&gt;表成绩单[[#This Row],[物理]]))+1)</f>
        <v>61</v>
      </c>
      <c r="T2455" s="29" cm="1">
        <f t="array" ref="T2455">IF(表成绩单[[#This Row],[化学]]="","",SUMPRODUCT((表成绩单[考试日期]=表成绩单[[#This Row],[考试日期]])*(表成绩单[化学]&lt;9E+307)*(表成绩单[化学]&gt;表成绩单[[#This Row],[化学]]))+1)</f>
        <v>96</v>
      </c>
      <c r="U2455" s="29" cm="1">
        <f t="array" ref="U2455">IF(表成绩单[[#This Row],[政治]]="","",SUMPRODUCT((表成绩单[考试日期]=表成绩单[[#This Row],[考试日期]])*(表成绩单[政治]&lt;9E+307)*(表成绩单[政治]&gt;表成绩单[[#This Row],[政治]]))+1)</f>
        <v>171</v>
      </c>
      <c r="V2455" s="29" cm="1">
        <f t="array" ref="V2455">IF(表成绩单[[#This Row],[历史]]="","",SUMPRODUCT((表成绩单[考试日期]=表成绩单[[#This Row],[考试日期]])*(表成绩单[历史]&lt;9E+307)*(表成绩单[历史]&gt;表成绩单[[#This Row],[历史]]))+1)</f>
        <v>173</v>
      </c>
      <c r="W2455" s="29" cm="1">
        <f t="array" ref="W2455">IF(表成绩单[[#This Row],[总分]]="","",SUMPRODUCT((表成绩单[考试日期]=表成绩单[[#This Row],[考试日期]])*(表成绩单[总分]&lt;9E+307)*(表成绩单[总分]&gt;表成绩单[[#This Row],[总分]]))+1)</f>
        <v>47</v>
      </c>
    </row>
    <row r="2456" ht="28" customHeight="1" spans="4:23">
      <c r="D2456" s="31">
        <v>46108</v>
      </c>
      <c r="E2456" s="29">
        <v>19167647</v>
      </c>
      <c r="F2456" s="29" t="s">
        <v>1</v>
      </c>
      <c r="G2456" s="29" t="s">
        <v>152</v>
      </c>
      <c r="H2456" s="29">
        <v>102</v>
      </c>
      <c r="I2456" s="29">
        <v>110</v>
      </c>
      <c r="J2456" s="29">
        <v>82.5</v>
      </c>
      <c r="K2456" s="29">
        <v>86</v>
      </c>
      <c r="L2456" s="29">
        <v>76</v>
      </c>
      <c r="M2456" s="29">
        <v>78</v>
      </c>
      <c r="N2456" s="29">
        <v>81</v>
      </c>
      <c r="O2456" s="32">
        <v>615.5</v>
      </c>
      <c r="P2456" s="29" cm="1">
        <f t="array" ref="P2456">IF(表成绩单[[#This Row],[语文]]="","",SUMPRODUCT((表成绩单[考试日期]=表成绩单[[#This Row],[考试日期]])*(表成绩单[语文]&lt;9E+307)*(表成绩单[语文]&gt;表成绩单[[#This Row],[语文]]))+1)</f>
        <v>183</v>
      </c>
      <c r="Q2456" s="29" cm="1">
        <f t="array" ref="Q2456">IF(表成绩单[[#This Row],[数学]]="","",SUMPRODUCT((表成绩单[考试日期]=表成绩单[[#This Row],[考试日期]])*(表成绩单[数学]&lt;9E+307)*(表成绩单[数学]&gt;表成绩单[[#This Row],[数学]]))+1)</f>
        <v>14</v>
      </c>
      <c r="R2456" s="29" cm="1">
        <f t="array" ref="R2456">IF(表成绩单[[#This Row],[英语]]="","",SUMPRODUCT((表成绩单[考试日期]=表成绩单[[#This Row],[考试日期]])*(表成绩单[英语]&lt;9E+307)*(表成绩单[英语]&gt;表成绩单[[#This Row],[英语]]))+1)</f>
        <v>156</v>
      </c>
      <c r="S2456" s="29" cm="1">
        <f t="array" ref="S2456">IF(表成绩单[[#This Row],[物理]]="","",SUMPRODUCT((表成绩单[考试日期]=表成绩单[[#This Row],[考试日期]])*(表成绩单[物理]&lt;9E+307)*(表成绩单[物理]&gt;表成绩单[[#This Row],[物理]]))+1)</f>
        <v>61</v>
      </c>
      <c r="T2456" s="29" cm="1">
        <f t="array" ref="T2456">IF(表成绩单[[#This Row],[化学]]="","",SUMPRODUCT((表成绩单[考试日期]=表成绩单[[#This Row],[考试日期]])*(表成绩单[化学]&lt;9E+307)*(表成绩单[化学]&gt;表成绩单[[#This Row],[化学]]))+1)</f>
        <v>71</v>
      </c>
      <c r="U2456" s="29" cm="1">
        <f t="array" ref="U2456">IF(表成绩单[[#This Row],[政治]]="","",SUMPRODUCT((表成绩单[考试日期]=表成绩单[[#This Row],[考试日期]])*(表成绩单[政治]&lt;9E+307)*(表成绩单[政治]&gt;表成绩单[[#This Row],[政治]]))+1)</f>
        <v>171</v>
      </c>
      <c r="V2456" s="29" cm="1">
        <f t="array" ref="V2456">IF(表成绩单[[#This Row],[历史]]="","",SUMPRODUCT((表成绩单[考试日期]=表成绩单[[#This Row],[考试日期]])*(表成绩单[历史]&lt;9E+307)*(表成绩单[历史]&gt;表成绩单[[#This Row],[历史]]))+1)</f>
        <v>106</v>
      </c>
      <c r="W2456" s="29" cm="1">
        <f t="array" ref="W2456">IF(表成绩单[[#This Row],[总分]]="","",SUMPRODUCT((表成绩单[考试日期]=表成绩单[[#This Row],[考试日期]])*(表成绩单[总分]&lt;9E+307)*(表成绩单[总分]&gt;表成绩单[[#This Row],[总分]]))+1)</f>
        <v>49</v>
      </c>
    </row>
    <row r="2457" ht="28" customHeight="1" spans="4:23">
      <c r="D2457" s="31">
        <v>46108</v>
      </c>
      <c r="E2457" s="29">
        <v>19167652</v>
      </c>
      <c r="F2457" s="29" t="s">
        <v>1</v>
      </c>
      <c r="G2457" s="29" t="s">
        <v>89</v>
      </c>
      <c r="H2457" s="29">
        <v>105</v>
      </c>
      <c r="I2457" s="29">
        <v>104</v>
      </c>
      <c r="J2457" s="29">
        <v>82.5</v>
      </c>
      <c r="K2457" s="29">
        <v>90</v>
      </c>
      <c r="L2457" s="29">
        <v>80</v>
      </c>
      <c r="M2457" s="29">
        <v>72</v>
      </c>
      <c r="N2457" s="29">
        <v>82</v>
      </c>
      <c r="O2457" s="32">
        <v>615.5</v>
      </c>
      <c r="P2457" s="29" cm="1">
        <f t="array" ref="P2457">IF(表成绩单[[#This Row],[语文]]="","",SUMPRODUCT((表成绩单[考试日期]=表成绩单[[#This Row],[考试日期]])*(表成绩单[语文]&lt;9E+307)*(表成绩单[语文]&gt;表成绩单[[#This Row],[语文]]))+1)</f>
        <v>101</v>
      </c>
      <c r="Q2457" s="29" cm="1">
        <f t="array" ref="Q2457">IF(表成绩单[[#This Row],[数学]]="","",SUMPRODUCT((表成绩单[考试日期]=表成绩单[[#This Row],[考试日期]])*(表成绩单[数学]&lt;9E+307)*(表成绩单[数学]&gt;表成绩单[[#This Row],[数学]]))+1)</f>
        <v>68</v>
      </c>
      <c r="R2457" s="29" cm="1">
        <f t="array" ref="R2457">IF(表成绩单[[#This Row],[英语]]="","",SUMPRODUCT((表成绩单[考试日期]=表成绩单[[#This Row],[考试日期]])*(表成绩单[英语]&lt;9E+307)*(表成绩单[英语]&gt;表成绩单[[#This Row],[英语]]))+1)</f>
        <v>156</v>
      </c>
      <c r="S2457" s="29" cm="1">
        <f t="array" ref="S2457">IF(表成绩单[[#This Row],[物理]]="","",SUMPRODUCT((表成绩单[考试日期]=表成绩单[[#This Row],[考试日期]])*(表成绩单[物理]&lt;9E+307)*(表成绩单[物理]&gt;表成绩单[[#This Row],[物理]]))+1)</f>
        <v>1</v>
      </c>
      <c r="T2457" s="29" cm="1">
        <f t="array" ref="T2457">IF(表成绩单[[#This Row],[化学]]="","",SUMPRODUCT((表成绩单[考试日期]=表成绩单[[#This Row],[考试日期]])*(表成绩单[化学]&lt;9E+307)*(表成绩单[化学]&gt;表成绩单[[#This Row],[化学]]))+1)</f>
        <v>25</v>
      </c>
      <c r="U2457" s="29" cm="1">
        <f t="array" ref="U2457">IF(表成绩单[[#This Row],[政治]]="","",SUMPRODUCT((表成绩单[考试日期]=表成绩单[[#This Row],[考试日期]])*(表成绩单[政治]&lt;9E+307)*(表成绩单[政治]&gt;表成绩单[[#This Row],[政治]]))+1)</f>
        <v>470</v>
      </c>
      <c r="V2457" s="29" cm="1">
        <f t="array" ref="V2457">IF(表成绩单[[#This Row],[历史]]="","",SUMPRODUCT((表成绩单[考试日期]=表成绩单[[#This Row],[考试日期]])*(表成绩单[历史]&lt;9E+307)*(表成绩单[历史]&gt;表成绩单[[#This Row],[历史]]))+1)</f>
        <v>81</v>
      </c>
      <c r="W2457" s="29" cm="1">
        <f t="array" ref="W2457">IF(表成绩单[[#This Row],[总分]]="","",SUMPRODUCT((表成绩单[考试日期]=表成绩单[[#This Row],[考试日期]])*(表成绩单[总分]&lt;9E+307)*(表成绩单[总分]&gt;表成绩单[[#This Row],[总分]]))+1)</f>
        <v>49</v>
      </c>
    </row>
    <row r="2458" ht="28" customHeight="1" spans="4:23">
      <c r="D2458" s="31">
        <v>46108</v>
      </c>
      <c r="E2458" s="29">
        <v>19173520</v>
      </c>
      <c r="F2458" s="29" t="s">
        <v>1</v>
      </c>
      <c r="G2458" s="29" t="s">
        <v>144</v>
      </c>
      <c r="H2458" s="29">
        <v>104</v>
      </c>
      <c r="I2458" s="29">
        <v>102</v>
      </c>
      <c r="J2458" s="29">
        <v>81.5</v>
      </c>
      <c r="K2458" s="29">
        <v>83</v>
      </c>
      <c r="L2458" s="29">
        <v>76</v>
      </c>
      <c r="M2458" s="29">
        <v>82</v>
      </c>
      <c r="N2458" s="29">
        <v>87</v>
      </c>
      <c r="O2458" s="32">
        <v>615.5</v>
      </c>
      <c r="P2458" s="29" cm="1">
        <f t="array" ref="P2458">IF(表成绩单[[#This Row],[语文]]="","",SUMPRODUCT((表成绩单[考试日期]=表成绩单[[#This Row],[考试日期]])*(表成绩单[语文]&lt;9E+307)*(表成绩单[语文]&gt;表成绩单[[#This Row],[语文]]))+1)</f>
        <v>131</v>
      </c>
      <c r="Q2458" s="29" cm="1">
        <f t="array" ref="Q2458">IF(表成绩单[[#This Row],[数学]]="","",SUMPRODUCT((表成绩单[考试日期]=表成绩单[[#This Row],[考试日期]])*(表成绩单[数学]&lt;9E+307)*(表成绩单[数学]&gt;表成绩单[[#This Row],[数学]]))+1)</f>
        <v>98</v>
      </c>
      <c r="R2458" s="29" cm="1">
        <f t="array" ref="R2458">IF(表成绩单[[#This Row],[英语]]="","",SUMPRODUCT((表成绩单[考试日期]=表成绩单[[#This Row],[考试日期]])*(表成绩单[英语]&lt;9E+307)*(表成绩单[英语]&gt;表成绩单[[#This Row],[英语]]))+1)</f>
        <v>203</v>
      </c>
      <c r="S2458" s="29" cm="1">
        <f t="array" ref="S2458">IF(表成绩单[[#This Row],[物理]]="","",SUMPRODUCT((表成绩单[考试日期]=表成绩单[[#This Row],[考试日期]])*(表成绩单[物理]&lt;9E+307)*(表成绩单[物理]&gt;表成绩单[[#This Row],[物理]]))+1)</f>
        <v>184</v>
      </c>
      <c r="T2458" s="29" cm="1">
        <f t="array" ref="T2458">IF(表成绩单[[#This Row],[化学]]="","",SUMPRODUCT((表成绩单[考试日期]=表成绩单[[#This Row],[考试日期]])*(表成绩单[化学]&lt;9E+307)*(表成绩单[化学]&gt;表成绩单[[#This Row],[化学]]))+1)</f>
        <v>71</v>
      </c>
      <c r="U2458" s="29" cm="1">
        <f t="array" ref="U2458">IF(表成绩单[[#This Row],[政治]]="","",SUMPRODUCT((表成绩单[考试日期]=表成绩单[[#This Row],[考试日期]])*(表成绩单[政治]&lt;9E+307)*(表成绩单[政治]&gt;表成绩单[[#This Row],[政治]]))+1)</f>
        <v>45</v>
      </c>
      <c r="V2458" s="29" cm="1">
        <f t="array" ref="V2458">IF(表成绩单[[#This Row],[历史]]="","",SUMPRODUCT((表成绩单[考试日期]=表成绩单[[#This Row],[考试日期]])*(表成绩单[历史]&lt;9E+307)*(表成绩单[历史]&gt;表成绩单[[#This Row],[历史]]))+1)</f>
        <v>6</v>
      </c>
      <c r="W2458" s="29" cm="1">
        <f t="array" ref="W2458">IF(表成绩单[[#This Row],[总分]]="","",SUMPRODUCT((表成绩单[考试日期]=表成绩单[[#This Row],[考试日期]])*(表成绩单[总分]&lt;9E+307)*(表成绩单[总分]&gt;表成绩单[[#This Row],[总分]]))+1)</f>
        <v>49</v>
      </c>
    </row>
    <row r="2459" ht="28" customHeight="1" spans="4:23">
      <c r="D2459" s="31">
        <v>46108</v>
      </c>
      <c r="E2459" s="29">
        <v>19173526</v>
      </c>
      <c r="F2459" s="29" t="s">
        <v>1</v>
      </c>
      <c r="G2459" s="29" t="s">
        <v>240</v>
      </c>
      <c r="H2459" s="29">
        <v>101</v>
      </c>
      <c r="I2459" s="29">
        <v>106</v>
      </c>
      <c r="J2459" s="29">
        <v>83.5</v>
      </c>
      <c r="K2459" s="29">
        <v>90</v>
      </c>
      <c r="L2459" s="29">
        <v>76</v>
      </c>
      <c r="M2459" s="29">
        <v>77</v>
      </c>
      <c r="N2459" s="29">
        <v>82</v>
      </c>
      <c r="O2459" s="32">
        <v>615.5</v>
      </c>
      <c r="P2459" s="29" cm="1">
        <f t="array" ref="P2459">IF(表成绩单[[#This Row],[语文]]="","",SUMPRODUCT((表成绩单[考试日期]=表成绩单[[#This Row],[考试日期]])*(表成绩单[语文]&lt;9E+307)*(表成绩单[语文]&gt;表成绩单[[#This Row],[语文]]))+1)</f>
        <v>211</v>
      </c>
      <c r="Q2459" s="29" cm="1">
        <f t="array" ref="Q2459">IF(表成绩单[[#This Row],[数学]]="","",SUMPRODUCT((表成绩单[考试日期]=表成绩单[[#This Row],[考试日期]])*(表成绩单[数学]&lt;9E+307)*(表成绩单[数学]&gt;表成绩单[[#This Row],[数学]]))+1)</f>
        <v>40</v>
      </c>
      <c r="R2459" s="29" cm="1">
        <f t="array" ref="R2459">IF(表成绩单[[#This Row],[英语]]="","",SUMPRODUCT((表成绩单[考试日期]=表成绩单[[#This Row],[考试日期]])*(表成绩单[英语]&lt;9E+307)*(表成绩单[英语]&gt;表成绩单[[#This Row],[英语]]))+1)</f>
        <v>122</v>
      </c>
      <c r="S2459" s="29" cm="1">
        <f t="array" ref="S2459">IF(表成绩单[[#This Row],[物理]]="","",SUMPRODUCT((表成绩单[考试日期]=表成绩单[[#This Row],[考试日期]])*(表成绩单[物理]&lt;9E+307)*(表成绩单[物理]&gt;表成绩单[[#This Row],[物理]]))+1)</f>
        <v>1</v>
      </c>
      <c r="T2459" s="29" cm="1">
        <f t="array" ref="T2459">IF(表成绩单[[#This Row],[化学]]="","",SUMPRODUCT((表成绩单[考试日期]=表成绩单[[#This Row],[考试日期]])*(表成绩单[化学]&lt;9E+307)*(表成绩单[化学]&gt;表成绩单[[#This Row],[化学]]))+1)</f>
        <v>71</v>
      </c>
      <c r="U2459" s="29" cm="1">
        <f t="array" ref="U2459">IF(表成绩单[[#This Row],[政治]]="","",SUMPRODUCT((表成绩单[考试日期]=表成绩单[[#This Row],[考试日期]])*(表成绩单[政治]&lt;9E+307)*(表成绩单[政治]&gt;表成绩单[[#This Row],[政治]]))+1)</f>
        <v>230</v>
      </c>
      <c r="V2459" s="29" cm="1">
        <f t="array" ref="V2459">IF(表成绩单[[#This Row],[历史]]="","",SUMPRODUCT((表成绩单[考试日期]=表成绩单[[#This Row],[考试日期]])*(表成绩单[历史]&lt;9E+307)*(表成绩单[历史]&gt;表成绩单[[#This Row],[历史]]))+1)</f>
        <v>81</v>
      </c>
      <c r="W2459" s="29" cm="1">
        <f t="array" ref="W2459">IF(表成绩单[[#This Row],[总分]]="","",SUMPRODUCT((表成绩单[考试日期]=表成绩单[[#This Row],[考试日期]])*(表成绩单[总分]&lt;9E+307)*(表成绩单[总分]&gt;表成绩单[[#This Row],[总分]]))+1)</f>
        <v>49</v>
      </c>
    </row>
    <row r="2460" ht="28" customHeight="1" spans="4:23">
      <c r="D2460" s="31">
        <v>46108</v>
      </c>
      <c r="E2460" s="29">
        <v>19177230</v>
      </c>
      <c r="F2460" s="29" t="s">
        <v>70</v>
      </c>
      <c r="G2460" s="29" t="s">
        <v>150</v>
      </c>
      <c r="H2460" s="29">
        <v>108</v>
      </c>
      <c r="I2460" s="29">
        <v>102</v>
      </c>
      <c r="J2460" s="29">
        <v>79.5</v>
      </c>
      <c r="K2460" s="29">
        <v>83</v>
      </c>
      <c r="L2460" s="29">
        <v>80</v>
      </c>
      <c r="M2460" s="29">
        <v>79</v>
      </c>
      <c r="N2460" s="29">
        <v>84</v>
      </c>
      <c r="O2460" s="32">
        <v>615.5</v>
      </c>
      <c r="P2460" s="29" cm="1">
        <f t="array" ref="P2460">IF(表成绩单[[#This Row],[语文]]="","",SUMPRODUCT((表成绩单[考试日期]=表成绩单[[#This Row],[考试日期]])*(表成绩单[语文]&lt;9E+307)*(表成绩单[语文]&gt;表成绩单[[#This Row],[语文]]))+1)</f>
        <v>55</v>
      </c>
      <c r="Q2460" s="29" cm="1">
        <f t="array" ref="Q2460">IF(表成绩单[[#This Row],[数学]]="","",SUMPRODUCT((表成绩单[考试日期]=表成绩单[[#This Row],[考试日期]])*(表成绩单[数学]&lt;9E+307)*(表成绩单[数学]&gt;表成绩单[[#This Row],[数学]]))+1)</f>
        <v>98</v>
      </c>
      <c r="R2460" s="29" cm="1">
        <f t="array" ref="R2460">IF(表成绩单[[#This Row],[英语]]="","",SUMPRODUCT((表成绩单[考试日期]=表成绩单[[#This Row],[考试日期]])*(表成绩单[英语]&lt;9E+307)*(表成绩单[英语]&gt;表成绩单[[#This Row],[英语]]))+1)</f>
        <v>286</v>
      </c>
      <c r="S2460" s="29" cm="1">
        <f t="array" ref="S2460">IF(表成绩单[[#This Row],[物理]]="","",SUMPRODUCT((表成绩单[考试日期]=表成绩单[[#This Row],[考试日期]])*(表成绩单[物理]&lt;9E+307)*(表成绩单[物理]&gt;表成绩单[[#This Row],[物理]]))+1)</f>
        <v>184</v>
      </c>
      <c r="T2460" s="29" cm="1">
        <f t="array" ref="T2460">IF(表成绩单[[#This Row],[化学]]="","",SUMPRODUCT((表成绩单[考试日期]=表成绩单[[#This Row],[考试日期]])*(表成绩单[化学]&lt;9E+307)*(表成绩单[化学]&gt;表成绩单[[#This Row],[化学]]))+1)</f>
        <v>25</v>
      </c>
      <c r="U2460" s="29" cm="1">
        <f t="array" ref="U2460">IF(表成绩单[[#This Row],[政治]]="","",SUMPRODUCT((表成绩单[考试日期]=表成绩单[[#This Row],[考试日期]])*(表成绩单[政治]&lt;9E+307)*(表成绩单[政治]&gt;表成绩单[[#This Row],[政治]]))+1)</f>
        <v>134</v>
      </c>
      <c r="V2460" s="29" cm="1">
        <f t="array" ref="V2460">IF(表成绩单[[#This Row],[历史]]="","",SUMPRODUCT((表成绩单[考试日期]=表成绩单[[#This Row],[考试日期]])*(表成绩单[历史]&lt;9E+307)*(表成绩单[历史]&gt;表成绩单[[#This Row],[历史]]))+1)</f>
        <v>38</v>
      </c>
      <c r="W2460" s="29" cm="1">
        <f t="array" ref="W2460">IF(表成绩单[[#This Row],[总分]]="","",SUMPRODUCT((表成绩单[考试日期]=表成绩单[[#This Row],[考试日期]])*(表成绩单[总分]&lt;9E+307)*(表成绩单[总分]&gt;表成绩单[[#This Row],[总分]]))+1)</f>
        <v>49</v>
      </c>
    </row>
    <row r="2461" ht="28" customHeight="1" spans="4:23">
      <c r="D2461" s="31">
        <v>46108</v>
      </c>
      <c r="E2461" s="29">
        <v>19174446</v>
      </c>
      <c r="F2461" s="29" t="s">
        <v>73</v>
      </c>
      <c r="G2461" s="29" t="s">
        <v>185</v>
      </c>
      <c r="H2461" s="29">
        <v>113</v>
      </c>
      <c r="I2461" s="29">
        <v>102</v>
      </c>
      <c r="J2461" s="29">
        <v>86</v>
      </c>
      <c r="K2461" s="29">
        <v>78</v>
      </c>
      <c r="L2461" s="29">
        <v>73</v>
      </c>
      <c r="M2461" s="29">
        <v>81</v>
      </c>
      <c r="N2461" s="29">
        <v>82</v>
      </c>
      <c r="O2461" s="32">
        <v>615</v>
      </c>
      <c r="P2461" s="29" cm="1">
        <f t="array" ref="P2461">IF(表成绩单[[#This Row],[语文]]="","",SUMPRODUCT((表成绩单[考试日期]=表成绩单[[#This Row],[考试日期]])*(表成绩单[语文]&lt;9E+307)*(表成绩单[语文]&gt;表成绩单[[#This Row],[语文]]))+1)</f>
        <v>6</v>
      </c>
      <c r="Q2461" s="29" cm="1">
        <f t="array" ref="Q2461">IF(表成绩单[[#This Row],[数学]]="","",SUMPRODUCT((表成绩单[考试日期]=表成绩单[[#This Row],[考试日期]])*(表成绩单[数学]&lt;9E+307)*(表成绩单[数学]&gt;表成绩单[[#This Row],[数学]]))+1)</f>
        <v>98</v>
      </c>
      <c r="R2461" s="29" cm="1">
        <f t="array" ref="R2461">IF(表成绩单[[#This Row],[英语]]="","",SUMPRODUCT((表成绩单[考试日期]=表成绩单[[#This Row],[考试日期]])*(表成绩单[英语]&lt;9E+307)*(表成绩单[英语]&gt;表成绩单[[#This Row],[英语]]))+1)</f>
        <v>29</v>
      </c>
      <c r="S2461" s="29" cm="1">
        <f t="array" ref="S2461">IF(表成绩单[[#This Row],[物理]]="","",SUMPRODUCT((表成绩单[考试日期]=表成绩单[[#This Row],[考试日期]])*(表成绩单[物理]&lt;9E+307)*(表成绩单[物理]&gt;表成绩单[[#This Row],[物理]]))+1)</f>
        <v>365</v>
      </c>
      <c r="T2461" s="29" cm="1">
        <f t="array" ref="T2461">IF(表成绩单[[#This Row],[化学]]="","",SUMPRODUCT((表成绩单[考试日期]=表成绩单[[#This Row],[考试日期]])*(表成绩单[化学]&lt;9E+307)*(表成绩单[化学]&gt;表成绩单[[#This Row],[化学]]))+1)</f>
        <v>152</v>
      </c>
      <c r="U2461" s="29" cm="1">
        <f t="array" ref="U2461">IF(表成绩单[[#This Row],[政治]]="","",SUMPRODUCT((表成绩单[考试日期]=表成绩单[[#This Row],[考试日期]])*(表成绩单[政治]&lt;9E+307)*(表成绩单[政治]&gt;表成绩单[[#This Row],[政治]]))+1)</f>
        <v>68</v>
      </c>
      <c r="V2461" s="29" cm="1">
        <f t="array" ref="V2461">IF(表成绩单[[#This Row],[历史]]="","",SUMPRODUCT((表成绩单[考试日期]=表成绩单[[#This Row],[考试日期]])*(表成绩单[历史]&lt;9E+307)*(表成绩单[历史]&gt;表成绩单[[#This Row],[历史]]))+1)</f>
        <v>81</v>
      </c>
      <c r="W2461" s="29" cm="1">
        <f t="array" ref="W2461">IF(表成绩单[[#This Row],[总分]]="","",SUMPRODUCT((表成绩单[考试日期]=表成绩单[[#This Row],[考试日期]])*(表成绩单[总分]&lt;9E+307)*(表成绩单[总分]&gt;表成绩单[[#This Row],[总分]]))+1)</f>
        <v>54</v>
      </c>
    </row>
    <row r="2462" ht="28" customHeight="1" spans="4:23">
      <c r="D2462" s="31">
        <v>46108</v>
      </c>
      <c r="E2462" s="29">
        <v>19177199</v>
      </c>
      <c r="F2462" s="29" t="s">
        <v>70</v>
      </c>
      <c r="G2462" s="29" t="s">
        <v>161</v>
      </c>
      <c r="H2462" s="29">
        <v>103</v>
      </c>
      <c r="I2462" s="29">
        <v>105</v>
      </c>
      <c r="J2462" s="29">
        <v>82</v>
      </c>
      <c r="K2462" s="29">
        <v>86</v>
      </c>
      <c r="L2462" s="29">
        <v>84</v>
      </c>
      <c r="M2462" s="29">
        <v>81</v>
      </c>
      <c r="N2462" s="29">
        <v>74</v>
      </c>
      <c r="O2462" s="32">
        <v>615</v>
      </c>
      <c r="P2462" s="29" cm="1">
        <f t="array" ref="P2462">IF(表成绩单[[#This Row],[语文]]="","",SUMPRODUCT((表成绩单[考试日期]=表成绩单[[#This Row],[考试日期]])*(表成绩单[语文]&lt;9E+307)*(表成绩单[语文]&gt;表成绩单[[#This Row],[语文]]))+1)</f>
        <v>155</v>
      </c>
      <c r="Q2462" s="29" cm="1">
        <f t="array" ref="Q2462">IF(表成绩单[[#This Row],[数学]]="","",SUMPRODUCT((表成绩单[考试日期]=表成绩单[[#This Row],[考试日期]])*(表成绩单[数学]&lt;9E+307)*(表成绩单[数学]&gt;表成绩单[[#This Row],[数学]]))+1)</f>
        <v>52</v>
      </c>
      <c r="R2462" s="29" cm="1">
        <f t="array" ref="R2462">IF(表成绩单[[#This Row],[英语]]="","",SUMPRODUCT((表成绩单[考试日期]=表成绩单[[#This Row],[考试日期]])*(表成绩单[英语]&lt;9E+307)*(表成绩单[英语]&gt;表成绩单[[#This Row],[英语]]))+1)</f>
        <v>180</v>
      </c>
      <c r="S2462" s="29" cm="1">
        <f t="array" ref="S2462">IF(表成绩单[[#This Row],[物理]]="","",SUMPRODUCT((表成绩单[考试日期]=表成绩单[[#This Row],[考试日期]])*(表成绩单[物理]&lt;9E+307)*(表成绩单[物理]&gt;表成绩单[[#This Row],[物理]]))+1)</f>
        <v>61</v>
      </c>
      <c r="T2462" s="29" cm="1">
        <f t="array" ref="T2462">IF(表成绩单[[#This Row],[化学]]="","",SUMPRODUCT((表成绩单[考试日期]=表成绩单[[#This Row],[考试日期]])*(表成绩单[化学]&lt;9E+307)*(表成绩单[化学]&gt;表成绩单[[#This Row],[化学]]))+1)</f>
        <v>7</v>
      </c>
      <c r="U2462" s="29" cm="1">
        <f t="array" ref="U2462">IF(表成绩单[[#This Row],[政治]]="","",SUMPRODUCT((表成绩单[考试日期]=表成绩单[[#This Row],[考试日期]])*(表成绩单[政治]&lt;9E+307)*(表成绩单[政治]&gt;表成绩单[[#This Row],[政治]]))+1)</f>
        <v>68</v>
      </c>
      <c r="V2462" s="29" cm="1">
        <f t="array" ref="V2462">IF(表成绩单[[#This Row],[历史]]="","",SUMPRODUCT((表成绩单[考试日期]=表成绩单[[#This Row],[考试日期]])*(表成绩单[历史]&lt;9E+307)*(表成绩单[历史]&gt;表成绩单[[#This Row],[历史]]))+1)</f>
        <v>389</v>
      </c>
      <c r="W2462" s="29" cm="1">
        <f t="array" ref="W2462">IF(表成绩单[[#This Row],[总分]]="","",SUMPRODUCT((表成绩单[考试日期]=表成绩单[[#This Row],[考试日期]])*(表成绩单[总分]&lt;9E+307)*(表成绩单[总分]&gt;表成绩单[[#This Row],[总分]]))+1)</f>
        <v>54</v>
      </c>
    </row>
    <row r="2463" ht="28" customHeight="1" spans="4:23">
      <c r="D2463" s="31">
        <v>46108</v>
      </c>
      <c r="E2463" s="29">
        <v>19175684</v>
      </c>
      <c r="F2463" s="29" t="s">
        <v>72</v>
      </c>
      <c r="G2463" s="29" t="s">
        <v>140</v>
      </c>
      <c r="H2463" s="29">
        <v>98</v>
      </c>
      <c r="I2463" s="29">
        <v>104</v>
      </c>
      <c r="J2463" s="29">
        <v>85.5</v>
      </c>
      <c r="K2463" s="29">
        <v>86</v>
      </c>
      <c r="L2463" s="29">
        <v>74</v>
      </c>
      <c r="M2463" s="29">
        <v>80</v>
      </c>
      <c r="N2463" s="29">
        <v>87</v>
      </c>
      <c r="O2463" s="32">
        <v>614.5</v>
      </c>
      <c r="P2463" s="29" cm="1">
        <f t="array" ref="P2463">IF(表成绩单[[#This Row],[语文]]="","",SUMPRODUCT((表成绩单[考试日期]=表成绩单[[#This Row],[考试日期]])*(表成绩单[语文]&lt;9E+307)*(表成绩单[语文]&gt;表成绩单[[#This Row],[语文]]))+1)</f>
        <v>322</v>
      </c>
      <c r="Q2463" s="29" cm="1">
        <f t="array" ref="Q2463">IF(表成绩单[[#This Row],[数学]]="","",SUMPRODUCT((表成绩单[考试日期]=表成绩单[[#This Row],[考试日期]])*(表成绩单[数学]&lt;9E+307)*(表成绩单[数学]&gt;表成绩单[[#This Row],[数学]]))+1)</f>
        <v>68</v>
      </c>
      <c r="R2463" s="29" cm="1">
        <f t="array" ref="R2463">IF(表成绩单[[#This Row],[英语]]="","",SUMPRODUCT((表成绩单[考试日期]=表成绩单[[#This Row],[考试日期]])*(表成绩单[英语]&lt;9E+307)*(表成绩单[英语]&gt;表成绩单[[#This Row],[英语]]))+1)</f>
        <v>43</v>
      </c>
      <c r="S2463" s="29" cm="1">
        <f t="array" ref="S2463">IF(表成绩单[[#This Row],[物理]]="","",SUMPRODUCT((表成绩单[考试日期]=表成绩单[[#This Row],[考试日期]])*(表成绩单[物理]&lt;9E+307)*(表成绩单[物理]&gt;表成绩单[[#This Row],[物理]]))+1)</f>
        <v>61</v>
      </c>
      <c r="T2463" s="29" cm="1">
        <f t="array" ref="T2463">IF(表成绩单[[#This Row],[化学]]="","",SUMPRODUCT((表成绩单[考试日期]=表成绩单[[#This Row],[考试日期]])*(表成绩单[化学]&lt;9E+307)*(表成绩单[化学]&gt;表成绩单[[#This Row],[化学]]))+1)</f>
        <v>127</v>
      </c>
      <c r="U2463" s="29" cm="1">
        <f t="array" ref="U2463">IF(表成绩单[[#This Row],[政治]]="","",SUMPRODUCT((表成绩单[考试日期]=表成绩单[[#This Row],[考试日期]])*(表成绩单[政治]&lt;9E+307)*(表成绩单[政治]&gt;表成绩单[[#This Row],[政治]]))+1)</f>
        <v>98</v>
      </c>
      <c r="V2463" s="29" cm="1">
        <f t="array" ref="V2463">IF(表成绩单[[#This Row],[历史]]="","",SUMPRODUCT((表成绩单[考试日期]=表成绩单[[#This Row],[考试日期]])*(表成绩单[历史]&lt;9E+307)*(表成绩单[历史]&gt;表成绩单[[#This Row],[历史]]))+1)</f>
        <v>6</v>
      </c>
      <c r="W2463" s="29" cm="1">
        <f t="array" ref="W2463">IF(表成绩单[[#This Row],[总分]]="","",SUMPRODUCT((表成绩单[考试日期]=表成绩单[[#This Row],[考试日期]])*(表成绩单[总分]&lt;9E+307)*(表成绩单[总分]&gt;表成绩单[[#This Row],[总分]]))+1)</f>
        <v>56</v>
      </c>
    </row>
    <row r="2464" ht="28" customHeight="1" spans="4:23">
      <c r="D2464" s="31">
        <v>46108</v>
      </c>
      <c r="E2464" s="29">
        <v>19176888</v>
      </c>
      <c r="F2464" s="29" t="s">
        <v>71</v>
      </c>
      <c r="G2464" s="29" t="s">
        <v>120</v>
      </c>
      <c r="H2464" s="29">
        <v>95</v>
      </c>
      <c r="I2464" s="29">
        <v>105</v>
      </c>
      <c r="J2464" s="29">
        <v>84.5</v>
      </c>
      <c r="K2464" s="29">
        <v>87</v>
      </c>
      <c r="L2464" s="29">
        <v>81</v>
      </c>
      <c r="M2464" s="29">
        <v>80</v>
      </c>
      <c r="N2464" s="29">
        <v>82</v>
      </c>
      <c r="O2464" s="32">
        <v>614.5</v>
      </c>
      <c r="P2464" s="29" cm="1">
        <f t="array" ref="P2464">IF(表成绩单[[#This Row],[语文]]="","",SUMPRODUCT((表成绩单[考试日期]=表成绩单[[#This Row],[考试日期]])*(表成绩单[语文]&lt;9E+307)*(表成绩单[语文]&gt;表成绩单[[#This Row],[语文]]))+1)</f>
        <v>422</v>
      </c>
      <c r="Q2464" s="29" cm="1">
        <f t="array" ref="Q2464">IF(表成绩单[[#This Row],[数学]]="","",SUMPRODUCT((表成绩单[考试日期]=表成绩单[[#This Row],[考试日期]])*(表成绩单[数学]&lt;9E+307)*(表成绩单[数学]&gt;表成绩单[[#This Row],[数学]]))+1)</f>
        <v>52</v>
      </c>
      <c r="R2464" s="29" cm="1">
        <f t="array" ref="R2464">IF(表成绩单[[#This Row],[英语]]="","",SUMPRODUCT((表成绩单[考试日期]=表成绩单[[#This Row],[考试日期]])*(表成绩单[英语]&lt;9E+307)*(表成绩单[英语]&gt;表成绩单[[#This Row],[英语]]))+1)</f>
        <v>83</v>
      </c>
      <c r="S2464" s="29" cm="1">
        <f t="array" ref="S2464">IF(表成绩单[[#This Row],[物理]]="","",SUMPRODUCT((表成绩单[考试日期]=表成绩单[[#This Row],[考试日期]])*(表成绩单[物理]&lt;9E+307)*(表成绩单[物理]&gt;表成绩单[[#This Row],[物理]]))+1)</f>
        <v>49</v>
      </c>
      <c r="T2464" s="29" cm="1">
        <f t="array" ref="T2464">IF(表成绩单[[#This Row],[化学]]="","",SUMPRODUCT((表成绩单[考试日期]=表成绩单[[#This Row],[考试日期]])*(表成绩单[化学]&lt;9E+307)*(表成绩单[化学]&gt;表成绩单[[#This Row],[化学]]))+1)</f>
        <v>17</v>
      </c>
      <c r="U2464" s="29" cm="1">
        <f t="array" ref="U2464">IF(表成绩单[[#This Row],[政治]]="","",SUMPRODUCT((表成绩单[考试日期]=表成绩单[[#This Row],[考试日期]])*(表成绩单[政治]&lt;9E+307)*(表成绩单[政治]&gt;表成绩单[[#This Row],[政治]]))+1)</f>
        <v>98</v>
      </c>
      <c r="V2464" s="29" cm="1">
        <f t="array" ref="V2464">IF(表成绩单[[#This Row],[历史]]="","",SUMPRODUCT((表成绩单[考试日期]=表成绩单[[#This Row],[考试日期]])*(表成绩单[历史]&lt;9E+307)*(表成绩单[历史]&gt;表成绩单[[#This Row],[历史]]))+1)</f>
        <v>81</v>
      </c>
      <c r="W2464" s="29" cm="1">
        <f t="array" ref="W2464">IF(表成绩单[[#This Row],[总分]]="","",SUMPRODUCT((表成绩单[考试日期]=表成绩单[[#This Row],[考试日期]])*(表成绩单[总分]&lt;9E+307)*(表成绩单[总分]&gt;表成绩单[[#This Row],[总分]]))+1)</f>
        <v>56</v>
      </c>
    </row>
    <row r="2465" ht="28" customHeight="1" spans="4:23">
      <c r="D2465" s="31">
        <v>46108</v>
      </c>
      <c r="E2465" s="29">
        <v>19177223</v>
      </c>
      <c r="F2465" s="29" t="s">
        <v>70</v>
      </c>
      <c r="G2465" s="29" t="s">
        <v>171</v>
      </c>
      <c r="H2465" s="29">
        <v>104</v>
      </c>
      <c r="I2465" s="29">
        <v>97</v>
      </c>
      <c r="J2465" s="29">
        <v>84.5</v>
      </c>
      <c r="K2465" s="29">
        <v>88</v>
      </c>
      <c r="L2465" s="29">
        <v>75</v>
      </c>
      <c r="M2465" s="29">
        <v>81</v>
      </c>
      <c r="N2465" s="29">
        <v>85</v>
      </c>
      <c r="O2465" s="32">
        <v>614.5</v>
      </c>
      <c r="P2465" s="29" cm="1">
        <f t="array" ref="P2465">IF(表成绩单[[#This Row],[语文]]="","",SUMPRODUCT((表成绩单[考试日期]=表成绩单[[#This Row],[考试日期]])*(表成绩单[语文]&lt;9E+307)*(表成绩单[语文]&gt;表成绩单[[#This Row],[语文]]))+1)</f>
        <v>131</v>
      </c>
      <c r="Q2465" s="29" cm="1">
        <f t="array" ref="Q2465">IF(表成绩单[[#This Row],[数学]]="","",SUMPRODUCT((表成绩单[考试日期]=表成绩单[[#This Row],[考试日期]])*(表成绩单[数学]&lt;9E+307)*(表成绩单[数学]&gt;表成绩单[[#This Row],[数学]]))+1)</f>
        <v>175</v>
      </c>
      <c r="R2465" s="29" cm="1">
        <f t="array" ref="R2465">IF(表成绩单[[#This Row],[英语]]="","",SUMPRODUCT((表成绩单[考试日期]=表成绩单[[#This Row],[考试日期]])*(表成绩单[英语]&lt;9E+307)*(表成绩单[英语]&gt;表成绩单[[#This Row],[英语]]))+1)</f>
        <v>83</v>
      </c>
      <c r="S2465" s="29" cm="1">
        <f t="array" ref="S2465">IF(表成绩单[[#This Row],[物理]]="","",SUMPRODUCT((表成绩单[考试日期]=表成绩单[[#This Row],[考试日期]])*(表成绩单[物理]&lt;9E+307)*(表成绩单[物理]&gt;表成绩单[[#This Row],[物理]]))+1)</f>
        <v>27</v>
      </c>
      <c r="T2465" s="29" cm="1">
        <f t="array" ref="T2465">IF(表成绩单[[#This Row],[化学]]="","",SUMPRODUCT((表成绩单[考试日期]=表成绩单[[#This Row],[考试日期]])*(表成绩单[化学]&lt;9E+307)*(表成绩单[化学]&gt;表成绩单[[#This Row],[化学]]))+1)</f>
        <v>96</v>
      </c>
      <c r="U2465" s="29" cm="1">
        <f t="array" ref="U2465">IF(表成绩单[[#This Row],[政治]]="","",SUMPRODUCT((表成绩单[考试日期]=表成绩单[[#This Row],[考试日期]])*(表成绩单[政治]&lt;9E+307)*(表成绩单[政治]&gt;表成绩单[[#This Row],[政治]]))+1)</f>
        <v>68</v>
      </c>
      <c r="V2465" s="29" cm="1">
        <f t="array" ref="V2465">IF(表成绩单[[#This Row],[历史]]="","",SUMPRODUCT((表成绩单[考试日期]=表成绩单[[#This Row],[考试日期]])*(表成绩单[历史]&lt;9E+307)*(表成绩单[历史]&gt;表成绩单[[#This Row],[历史]]))+1)</f>
        <v>20</v>
      </c>
      <c r="W2465" s="29" cm="1">
        <f t="array" ref="W2465">IF(表成绩单[[#This Row],[总分]]="","",SUMPRODUCT((表成绩单[考试日期]=表成绩单[[#This Row],[考试日期]])*(表成绩单[总分]&lt;9E+307)*(表成绩单[总分]&gt;表成绩单[[#This Row],[总分]]))+1)</f>
        <v>56</v>
      </c>
    </row>
    <row r="2466" ht="28" customHeight="1" spans="4:23">
      <c r="D2466" s="31">
        <v>46108</v>
      </c>
      <c r="E2466" s="29">
        <v>19174439</v>
      </c>
      <c r="F2466" s="29" t="s">
        <v>73</v>
      </c>
      <c r="G2466" s="29" t="s">
        <v>202</v>
      </c>
      <c r="H2466" s="29">
        <v>108</v>
      </c>
      <c r="I2466" s="29">
        <v>107</v>
      </c>
      <c r="J2466" s="29">
        <v>85</v>
      </c>
      <c r="K2466" s="29">
        <v>80</v>
      </c>
      <c r="L2466" s="29">
        <v>78</v>
      </c>
      <c r="M2466" s="29">
        <v>76</v>
      </c>
      <c r="N2466" s="29">
        <v>80</v>
      </c>
      <c r="O2466" s="32">
        <v>614</v>
      </c>
      <c r="P2466" s="29" cm="1">
        <f t="array" ref="P2466">IF(表成绩单[[#This Row],[语文]]="","",SUMPRODUCT((表成绩单[考试日期]=表成绩单[[#This Row],[考试日期]])*(表成绩单[语文]&lt;9E+307)*(表成绩单[语文]&gt;表成绩单[[#This Row],[语文]]))+1)</f>
        <v>55</v>
      </c>
      <c r="Q2466" s="29" cm="1">
        <f t="array" ref="Q2466">IF(表成绩单[[#This Row],[数学]]="","",SUMPRODUCT((表成绩单[考试日期]=表成绩单[[#This Row],[考试日期]])*(表成绩单[数学]&lt;9E+307)*(表成绩单[数学]&gt;表成绩单[[#This Row],[数学]]))+1)</f>
        <v>34</v>
      </c>
      <c r="R2466" s="29" cm="1">
        <f t="array" ref="R2466">IF(表成绩单[[#This Row],[英语]]="","",SUMPRODUCT((表成绩单[考试日期]=表成绩单[[#This Row],[考试日期]])*(表成绩单[英语]&lt;9E+307)*(表成绩单[英语]&gt;表成绩单[[#This Row],[英语]]))+1)</f>
        <v>59</v>
      </c>
      <c r="S2466" s="29" cm="1">
        <f t="array" ref="S2466">IF(表成绩单[[#This Row],[物理]]="","",SUMPRODUCT((表成绩单[考试日期]=表成绩单[[#This Row],[考试日期]])*(表成绩单[物理]&lt;9E+307)*(表成绩单[物理]&gt;表成绩单[[#This Row],[物理]]))+1)</f>
        <v>305</v>
      </c>
      <c r="T2466" s="29" cm="1">
        <f t="array" ref="T2466">IF(表成绩单[[#This Row],[化学]]="","",SUMPRODUCT((表成绩单[考试日期]=表成绩单[[#This Row],[考试日期]])*(表成绩单[化学]&lt;9E+307)*(表成绩单[化学]&gt;表成绩单[[#This Row],[化学]]))+1)</f>
        <v>47</v>
      </c>
      <c r="U2466" s="29" cm="1">
        <f t="array" ref="U2466">IF(表成绩单[[#This Row],[政治]]="","",SUMPRODUCT((表成绩单[考试日期]=表成绩单[[#This Row],[考试日期]])*(表成绩单[政治]&lt;9E+307)*(表成绩单[政治]&gt;表成绩单[[#This Row],[政治]]))+1)</f>
        <v>291</v>
      </c>
      <c r="V2466" s="29" cm="1">
        <f t="array" ref="V2466">IF(表成绩单[[#This Row],[历史]]="","",SUMPRODUCT((表成绩单[考试日期]=表成绩单[[#This Row],[考试日期]])*(表成绩单[历史]&lt;9E+307)*(表成绩单[历史]&gt;表成绩单[[#This Row],[历史]]))+1)</f>
        <v>143</v>
      </c>
      <c r="W2466" s="29" cm="1">
        <f t="array" ref="W2466">IF(表成绩单[[#This Row],[总分]]="","",SUMPRODUCT((表成绩单[考试日期]=表成绩单[[#This Row],[考试日期]])*(表成绩单[总分]&lt;9E+307)*(表成绩单[总分]&gt;表成绩单[[#This Row],[总分]]))+1)</f>
        <v>59</v>
      </c>
    </row>
    <row r="2467" ht="28" customHeight="1" spans="4:23">
      <c r="D2467" s="31">
        <v>46108</v>
      </c>
      <c r="E2467" s="29">
        <v>19175383</v>
      </c>
      <c r="F2467" s="29" t="s">
        <v>74</v>
      </c>
      <c r="G2467" s="29" t="s">
        <v>104</v>
      </c>
      <c r="H2467" s="29">
        <v>105</v>
      </c>
      <c r="I2467" s="29">
        <v>95</v>
      </c>
      <c r="J2467" s="29">
        <v>85</v>
      </c>
      <c r="K2467" s="29">
        <v>85</v>
      </c>
      <c r="L2467" s="29">
        <v>81</v>
      </c>
      <c r="M2467" s="29">
        <v>79</v>
      </c>
      <c r="N2467" s="29">
        <v>84</v>
      </c>
      <c r="O2467" s="32">
        <v>614</v>
      </c>
      <c r="P2467" s="29" cm="1">
        <f t="array" ref="P2467">IF(表成绩单[[#This Row],[语文]]="","",SUMPRODUCT((表成绩单[考试日期]=表成绩单[[#This Row],[考试日期]])*(表成绩单[语文]&lt;9E+307)*(表成绩单[语文]&gt;表成绩单[[#This Row],[语文]]))+1)</f>
        <v>101</v>
      </c>
      <c r="Q2467" s="29" cm="1">
        <f t="array" ref="Q2467">IF(表成绩单[[#This Row],[数学]]="","",SUMPRODUCT((表成绩单[考试日期]=表成绩单[[#This Row],[考试日期]])*(表成绩单[数学]&lt;9E+307)*(表成绩单[数学]&gt;表成绩单[[#This Row],[数学]]))+1)</f>
        <v>229</v>
      </c>
      <c r="R2467" s="29" cm="1">
        <f t="array" ref="R2467">IF(表成绩单[[#This Row],[英语]]="","",SUMPRODUCT((表成绩单[考试日期]=表成绩单[[#This Row],[考试日期]])*(表成绩单[英语]&lt;9E+307)*(表成绩单[英语]&gt;表成绩单[[#This Row],[英语]]))+1)</f>
        <v>59</v>
      </c>
      <c r="S2467" s="29" cm="1">
        <f t="array" ref="S2467">IF(表成绩单[[#This Row],[物理]]="","",SUMPRODUCT((表成绩单[考试日期]=表成绩单[[#This Row],[考试日期]])*(表成绩单[物理]&lt;9E+307)*(表成绩单[物理]&gt;表成绩单[[#This Row],[物理]]))+1)</f>
        <v>105</v>
      </c>
      <c r="T2467" s="29" cm="1">
        <f t="array" ref="T2467">IF(表成绩单[[#This Row],[化学]]="","",SUMPRODUCT((表成绩单[考试日期]=表成绩单[[#This Row],[考试日期]])*(表成绩单[化学]&lt;9E+307)*(表成绩单[化学]&gt;表成绩单[[#This Row],[化学]]))+1)</f>
        <v>17</v>
      </c>
      <c r="U2467" s="29" cm="1">
        <f t="array" ref="U2467">IF(表成绩单[[#This Row],[政治]]="","",SUMPRODUCT((表成绩单[考试日期]=表成绩单[[#This Row],[考试日期]])*(表成绩单[政治]&lt;9E+307)*(表成绩单[政治]&gt;表成绩单[[#This Row],[政治]]))+1)</f>
        <v>134</v>
      </c>
      <c r="V2467" s="29" cm="1">
        <f t="array" ref="V2467">IF(表成绩单[[#This Row],[历史]]="","",SUMPRODUCT((表成绩单[考试日期]=表成绩单[[#This Row],[考试日期]])*(表成绩单[历史]&lt;9E+307)*(表成绩单[历史]&gt;表成绩单[[#This Row],[历史]]))+1)</f>
        <v>38</v>
      </c>
      <c r="W2467" s="29" cm="1">
        <f t="array" ref="W2467">IF(表成绩单[[#This Row],[总分]]="","",SUMPRODUCT((表成绩单[考试日期]=表成绩单[[#This Row],[考试日期]])*(表成绩单[总分]&lt;9E+307)*(表成绩单[总分]&gt;表成绩单[[#This Row],[总分]]))+1)</f>
        <v>59</v>
      </c>
    </row>
    <row r="2468" ht="28" customHeight="1" spans="4:23">
      <c r="D2468" s="31">
        <v>46108</v>
      </c>
      <c r="E2468" s="29">
        <v>19177205</v>
      </c>
      <c r="F2468" s="29" t="s">
        <v>70</v>
      </c>
      <c r="G2468" s="29" t="s">
        <v>304</v>
      </c>
      <c r="H2468" s="29">
        <v>107</v>
      </c>
      <c r="I2468" s="29">
        <v>106</v>
      </c>
      <c r="J2468" s="29">
        <v>85</v>
      </c>
      <c r="K2468" s="29">
        <v>79</v>
      </c>
      <c r="L2468" s="29">
        <v>72</v>
      </c>
      <c r="M2468" s="29">
        <v>84</v>
      </c>
      <c r="N2468" s="29">
        <v>81</v>
      </c>
      <c r="O2468" s="32">
        <v>614</v>
      </c>
      <c r="P2468" s="29" cm="1">
        <f t="array" ref="P2468">IF(表成绩单[[#This Row],[语文]]="","",SUMPRODUCT((表成绩单[考试日期]=表成绩单[[#This Row],[考试日期]])*(表成绩单[语文]&lt;9E+307)*(表成绩单[语文]&gt;表成绩单[[#This Row],[语文]]))+1)</f>
        <v>67</v>
      </c>
      <c r="Q2468" s="29" cm="1">
        <f t="array" ref="Q2468">IF(表成绩单[[#This Row],[数学]]="","",SUMPRODUCT((表成绩单[考试日期]=表成绩单[[#This Row],[考试日期]])*(表成绩单[数学]&lt;9E+307)*(表成绩单[数学]&gt;表成绩单[[#This Row],[数学]]))+1)</f>
        <v>40</v>
      </c>
      <c r="R2468" s="29" cm="1">
        <f t="array" ref="R2468">IF(表成绩单[[#This Row],[英语]]="","",SUMPRODUCT((表成绩单[考试日期]=表成绩单[[#This Row],[考试日期]])*(表成绩单[英语]&lt;9E+307)*(表成绩单[英语]&gt;表成绩单[[#This Row],[英语]]))+1)</f>
        <v>59</v>
      </c>
      <c r="S2468" s="29" cm="1">
        <f t="array" ref="S2468">IF(表成绩单[[#This Row],[物理]]="","",SUMPRODUCT((表成绩单[考试日期]=表成绩单[[#This Row],[考试日期]])*(表成绩单[物理]&lt;9E+307)*(表成绩单[物理]&gt;表成绩单[[#This Row],[物理]]))+1)</f>
        <v>344</v>
      </c>
      <c r="T2468" s="29" cm="1">
        <f t="array" ref="T2468">IF(表成绩单[[#This Row],[化学]]="","",SUMPRODUCT((表成绩单[考试日期]=表成绩单[[#This Row],[考试日期]])*(表成绩单[化学]&lt;9E+307)*(表成绩单[化学]&gt;表成绩单[[#This Row],[化学]]))+1)</f>
        <v>187</v>
      </c>
      <c r="U2468" s="29" cm="1">
        <f t="array" ref="U2468">IF(表成绩单[[#This Row],[政治]]="","",SUMPRODUCT((表成绩单[考试日期]=表成绩单[[#This Row],[考试日期]])*(表成绩单[政治]&lt;9E+307)*(表成绩单[政治]&gt;表成绩单[[#This Row],[政治]]))+1)</f>
        <v>14</v>
      </c>
      <c r="V2468" s="29" cm="1">
        <f t="array" ref="V2468">IF(表成绩单[[#This Row],[历史]]="","",SUMPRODUCT((表成绩单[考试日期]=表成绩单[[#This Row],[考试日期]])*(表成绩单[历史]&lt;9E+307)*(表成绩单[历史]&gt;表成绩单[[#This Row],[历史]]))+1)</f>
        <v>106</v>
      </c>
      <c r="W2468" s="29" cm="1">
        <f t="array" ref="W2468">IF(表成绩单[[#This Row],[总分]]="","",SUMPRODUCT((表成绩单[考试日期]=表成绩单[[#This Row],[考试日期]])*(表成绩单[总分]&lt;9E+307)*(表成绩单[总分]&gt;表成绩单[[#This Row],[总分]]))+1)</f>
        <v>59</v>
      </c>
    </row>
    <row r="2469" ht="28" customHeight="1" spans="4:23">
      <c r="D2469" s="31">
        <v>46108</v>
      </c>
      <c r="E2469" s="29">
        <v>19175412</v>
      </c>
      <c r="F2469" s="29" t="s">
        <v>74</v>
      </c>
      <c r="G2469" s="29" t="s">
        <v>181</v>
      </c>
      <c r="H2469" s="29">
        <v>104</v>
      </c>
      <c r="I2469" s="29">
        <v>96</v>
      </c>
      <c r="J2469" s="29">
        <v>83.5</v>
      </c>
      <c r="K2469" s="29">
        <v>89</v>
      </c>
      <c r="L2469" s="29">
        <v>75</v>
      </c>
      <c r="M2469" s="29">
        <v>83</v>
      </c>
      <c r="N2469" s="29">
        <v>83</v>
      </c>
      <c r="O2469" s="32">
        <v>613.5</v>
      </c>
      <c r="P2469" s="29" cm="1">
        <f t="array" ref="P2469">IF(表成绩单[[#This Row],[语文]]="","",SUMPRODUCT((表成绩单[考试日期]=表成绩单[[#This Row],[考试日期]])*(表成绩单[语文]&lt;9E+307)*(表成绩单[语文]&gt;表成绩单[[#This Row],[语文]]))+1)</f>
        <v>131</v>
      </c>
      <c r="Q2469" s="29" cm="1">
        <f t="array" ref="Q2469">IF(表成绩单[[#This Row],[数学]]="","",SUMPRODUCT((表成绩单[考试日期]=表成绩单[[#This Row],[考试日期]])*(表成绩单[数学]&lt;9E+307)*(表成绩单[数学]&gt;表成绩单[[#This Row],[数学]]))+1)</f>
        <v>202</v>
      </c>
      <c r="R2469" s="29" cm="1">
        <f t="array" ref="R2469">IF(表成绩单[[#This Row],[英语]]="","",SUMPRODUCT((表成绩单[考试日期]=表成绩单[[#This Row],[考试日期]])*(表成绩单[英语]&lt;9E+307)*(表成绩单[英语]&gt;表成绩单[[#This Row],[英语]]))+1)</f>
        <v>122</v>
      </c>
      <c r="S2469" s="29" cm="1">
        <f t="array" ref="S2469">IF(表成绩单[[#This Row],[物理]]="","",SUMPRODUCT((表成绩单[考试日期]=表成绩单[[#This Row],[考试日期]])*(表成绩单[物理]&lt;9E+307)*(表成绩单[物理]&gt;表成绩单[[#This Row],[物理]]))+1)</f>
        <v>15</v>
      </c>
      <c r="T2469" s="29" cm="1">
        <f t="array" ref="T2469">IF(表成绩单[[#This Row],[化学]]="","",SUMPRODUCT((表成绩单[考试日期]=表成绩单[[#This Row],[考试日期]])*(表成绩单[化学]&lt;9E+307)*(表成绩单[化学]&gt;表成绩单[[#This Row],[化学]]))+1)</f>
        <v>96</v>
      </c>
      <c r="U2469" s="29" cm="1">
        <f t="array" ref="U2469">IF(表成绩单[[#This Row],[政治]]="","",SUMPRODUCT((表成绩单[考试日期]=表成绩单[[#This Row],[考试日期]])*(表成绩单[政治]&lt;9E+307)*(表成绩单[政治]&gt;表成绩单[[#This Row],[政治]]))+1)</f>
        <v>24</v>
      </c>
      <c r="V2469" s="29" cm="1">
        <f t="array" ref="V2469">IF(表成绩单[[#This Row],[历史]]="","",SUMPRODUCT((表成绩单[考试日期]=表成绩单[[#This Row],[考试日期]])*(表成绩单[历史]&lt;9E+307)*(表成绩单[历史]&gt;表成绩单[[#This Row],[历史]]))+1)</f>
        <v>60</v>
      </c>
      <c r="W2469" s="29" cm="1">
        <f t="array" ref="W2469">IF(表成绩单[[#This Row],[总分]]="","",SUMPRODUCT((表成绩单[考试日期]=表成绩单[[#This Row],[考试日期]])*(表成绩单[总分]&lt;9E+307)*(表成绩单[总分]&gt;表成绩单[[#This Row],[总分]]))+1)</f>
        <v>62</v>
      </c>
    </row>
    <row r="2470" ht="28" customHeight="1" spans="4:23">
      <c r="D2470" s="31">
        <v>46108</v>
      </c>
      <c r="E2470" s="29">
        <v>19175685</v>
      </c>
      <c r="F2470" s="29" t="s">
        <v>72</v>
      </c>
      <c r="G2470" s="29" t="s">
        <v>236</v>
      </c>
      <c r="H2470" s="29">
        <v>102</v>
      </c>
      <c r="I2470" s="29">
        <v>109</v>
      </c>
      <c r="J2470" s="29">
        <v>84.5</v>
      </c>
      <c r="K2470" s="29">
        <v>89</v>
      </c>
      <c r="L2470" s="29">
        <v>71</v>
      </c>
      <c r="M2470" s="29">
        <v>80</v>
      </c>
      <c r="N2470" s="29">
        <v>78</v>
      </c>
      <c r="O2470" s="32">
        <v>613.5</v>
      </c>
      <c r="P2470" s="29" cm="1">
        <f t="array" ref="P2470">IF(表成绩单[[#This Row],[语文]]="","",SUMPRODUCT((表成绩单[考试日期]=表成绩单[[#This Row],[考试日期]])*(表成绩单[语文]&lt;9E+307)*(表成绩单[语文]&gt;表成绩单[[#This Row],[语文]]))+1)</f>
        <v>183</v>
      </c>
      <c r="Q2470" s="29" cm="1">
        <f t="array" ref="Q2470">IF(表成绩单[[#This Row],[数学]]="","",SUMPRODUCT((表成绩单[考试日期]=表成绩单[[#This Row],[考试日期]])*(表成绩单[数学]&lt;9E+307)*(表成绩单[数学]&gt;表成绩单[[#This Row],[数学]]))+1)</f>
        <v>16</v>
      </c>
      <c r="R2470" s="29" cm="1">
        <f t="array" ref="R2470">IF(表成绩单[[#This Row],[英语]]="","",SUMPRODUCT((表成绩单[考试日期]=表成绩单[[#This Row],[考试日期]])*(表成绩单[英语]&lt;9E+307)*(表成绩单[英语]&gt;表成绩单[[#This Row],[英语]]))+1)</f>
        <v>83</v>
      </c>
      <c r="S2470" s="29" cm="1">
        <f t="array" ref="S2470">IF(表成绩单[[#This Row],[物理]]="","",SUMPRODUCT((表成绩单[考试日期]=表成绩单[[#This Row],[考试日期]])*(表成绩单[物理]&lt;9E+307)*(表成绩单[物理]&gt;表成绩单[[#This Row],[物理]]))+1)</f>
        <v>15</v>
      </c>
      <c r="T2470" s="29" cm="1">
        <f t="array" ref="T2470">IF(表成绩单[[#This Row],[化学]]="","",SUMPRODUCT((表成绩单[考试日期]=表成绩单[[#This Row],[考试日期]])*(表成绩单[化学]&lt;9E+307)*(表成绩单[化学]&gt;表成绩单[[#This Row],[化学]]))+1)</f>
        <v>217</v>
      </c>
      <c r="U2470" s="29" cm="1">
        <f t="array" ref="U2470">IF(表成绩单[[#This Row],[政治]]="","",SUMPRODUCT((表成绩单[考试日期]=表成绩单[[#This Row],[考试日期]])*(表成绩单[政治]&lt;9E+307)*(表成绩单[政治]&gt;表成绩单[[#This Row],[政治]]))+1)</f>
        <v>98</v>
      </c>
      <c r="V2470" s="29" cm="1">
        <f t="array" ref="V2470">IF(表成绩单[[#This Row],[历史]]="","",SUMPRODUCT((表成绩单[考试日期]=表成绩单[[#This Row],[考试日期]])*(表成绩单[历史]&lt;9E+307)*(表成绩单[历史]&gt;表成绩单[[#This Row],[历史]]))+1)</f>
        <v>222</v>
      </c>
      <c r="W2470" s="29" cm="1">
        <f t="array" ref="W2470">IF(表成绩单[[#This Row],[总分]]="","",SUMPRODUCT((表成绩单[考试日期]=表成绩单[[#This Row],[考试日期]])*(表成绩单[总分]&lt;9E+307)*(表成绩单[总分]&gt;表成绩单[[#This Row],[总分]]))+1)</f>
        <v>62</v>
      </c>
    </row>
    <row r="2471" ht="28" customHeight="1" spans="4:23">
      <c r="D2471" s="31">
        <v>46108</v>
      </c>
      <c r="E2471" s="29">
        <v>19176875</v>
      </c>
      <c r="F2471" s="29" t="s">
        <v>71</v>
      </c>
      <c r="G2471" s="29" t="s">
        <v>81</v>
      </c>
      <c r="H2471" s="29">
        <v>107</v>
      </c>
      <c r="I2471" s="29">
        <v>100</v>
      </c>
      <c r="J2471" s="29">
        <v>84.5</v>
      </c>
      <c r="K2471" s="29">
        <v>81</v>
      </c>
      <c r="L2471" s="29">
        <v>76</v>
      </c>
      <c r="M2471" s="29">
        <v>83</v>
      </c>
      <c r="N2471" s="29">
        <v>82</v>
      </c>
      <c r="O2471" s="32">
        <v>613.5</v>
      </c>
      <c r="P2471" s="29" cm="1">
        <f t="array" ref="P2471">IF(表成绩单[[#This Row],[语文]]="","",SUMPRODUCT((表成绩单[考试日期]=表成绩单[[#This Row],[考试日期]])*(表成绩单[语文]&lt;9E+307)*(表成绩单[语文]&gt;表成绩单[[#This Row],[语文]]))+1)</f>
        <v>67</v>
      </c>
      <c r="Q2471" s="29" cm="1">
        <f t="array" ref="Q2471">IF(表成绩单[[#This Row],[数学]]="","",SUMPRODUCT((表成绩单[考试日期]=表成绩单[[#This Row],[考试日期]])*(表成绩单[数学]&lt;9E+307)*(表成绩单[数学]&gt;表成绩单[[#This Row],[数学]]))+1)</f>
        <v>121</v>
      </c>
      <c r="R2471" s="29" cm="1">
        <f t="array" ref="R2471">IF(表成绩单[[#This Row],[英语]]="","",SUMPRODUCT((表成绩单[考试日期]=表成绩单[[#This Row],[考试日期]])*(表成绩单[英语]&lt;9E+307)*(表成绩单[英语]&gt;表成绩单[[#This Row],[英语]]))+1)</f>
        <v>83</v>
      </c>
      <c r="S2471" s="29" cm="1">
        <f t="array" ref="S2471">IF(表成绩单[[#This Row],[物理]]="","",SUMPRODUCT((表成绩单[考试日期]=表成绩单[[#This Row],[考试日期]])*(表成绩单[物理]&lt;9E+307)*(表成绩单[物理]&gt;表成绩单[[#This Row],[物理]]))+1)</f>
        <v>269</v>
      </c>
      <c r="T2471" s="29" cm="1">
        <f t="array" ref="T2471">IF(表成绩单[[#This Row],[化学]]="","",SUMPRODUCT((表成绩单[考试日期]=表成绩单[[#This Row],[考试日期]])*(表成绩单[化学]&lt;9E+307)*(表成绩单[化学]&gt;表成绩单[[#This Row],[化学]]))+1)</f>
        <v>71</v>
      </c>
      <c r="U2471" s="29" cm="1">
        <f t="array" ref="U2471">IF(表成绩单[[#This Row],[政治]]="","",SUMPRODUCT((表成绩单[考试日期]=表成绩单[[#This Row],[考试日期]])*(表成绩单[政治]&lt;9E+307)*(表成绩单[政治]&gt;表成绩单[[#This Row],[政治]]))+1)</f>
        <v>24</v>
      </c>
      <c r="V2471" s="29" cm="1">
        <f t="array" ref="V2471">IF(表成绩单[[#This Row],[历史]]="","",SUMPRODUCT((表成绩单[考试日期]=表成绩单[[#This Row],[考试日期]])*(表成绩单[历史]&lt;9E+307)*(表成绩单[历史]&gt;表成绩单[[#This Row],[历史]]))+1)</f>
        <v>81</v>
      </c>
      <c r="W2471" s="29" cm="1">
        <f t="array" ref="W2471">IF(表成绩单[[#This Row],[总分]]="","",SUMPRODUCT((表成绩单[考试日期]=表成绩单[[#This Row],[考试日期]])*(表成绩单[总分]&lt;9E+307)*(表成绩单[总分]&gt;表成绩单[[#This Row],[总分]]))+1)</f>
        <v>62</v>
      </c>
    </row>
    <row r="2472" ht="28" customHeight="1" spans="4:23">
      <c r="D2472" s="31">
        <v>46108</v>
      </c>
      <c r="E2472" s="29">
        <v>19177196</v>
      </c>
      <c r="F2472" s="29" t="s">
        <v>70</v>
      </c>
      <c r="G2472" s="29" t="s">
        <v>93</v>
      </c>
      <c r="H2472" s="29">
        <v>107</v>
      </c>
      <c r="I2472" s="29">
        <v>103</v>
      </c>
      <c r="J2472" s="29">
        <v>85</v>
      </c>
      <c r="K2472" s="29">
        <v>83</v>
      </c>
      <c r="L2472" s="29">
        <v>73</v>
      </c>
      <c r="M2472" s="29">
        <v>83</v>
      </c>
      <c r="N2472" s="29">
        <v>79</v>
      </c>
      <c r="O2472" s="32">
        <v>613</v>
      </c>
      <c r="P2472" s="29" cm="1">
        <f t="array" ref="P2472">IF(表成绩单[[#This Row],[语文]]="","",SUMPRODUCT((表成绩单[考试日期]=表成绩单[[#This Row],[考试日期]])*(表成绩单[语文]&lt;9E+307)*(表成绩单[语文]&gt;表成绩单[[#This Row],[语文]]))+1)</f>
        <v>67</v>
      </c>
      <c r="Q2472" s="29" cm="1">
        <f t="array" ref="Q2472">IF(表成绩单[[#This Row],[数学]]="","",SUMPRODUCT((表成绩单[考试日期]=表成绩单[[#This Row],[考试日期]])*(表成绩单[数学]&lt;9E+307)*(表成绩单[数学]&gt;表成绩单[[#This Row],[数学]]))+1)</f>
        <v>87</v>
      </c>
      <c r="R2472" s="29" cm="1">
        <f t="array" ref="R2472">IF(表成绩单[[#This Row],[英语]]="","",SUMPRODUCT((表成绩单[考试日期]=表成绩单[[#This Row],[考试日期]])*(表成绩单[英语]&lt;9E+307)*(表成绩单[英语]&gt;表成绩单[[#This Row],[英语]]))+1)</f>
        <v>59</v>
      </c>
      <c r="S2472" s="29" cm="1">
        <f t="array" ref="S2472">IF(表成绩单[[#This Row],[物理]]="","",SUMPRODUCT((表成绩单[考试日期]=表成绩单[[#This Row],[考试日期]])*(表成绩单[物理]&lt;9E+307)*(表成绩单[物理]&gt;表成绩单[[#This Row],[物理]]))+1)</f>
        <v>184</v>
      </c>
      <c r="T2472" s="29" cm="1">
        <f t="array" ref="T2472">IF(表成绩单[[#This Row],[化学]]="","",SUMPRODUCT((表成绩单[考试日期]=表成绩单[[#This Row],[考试日期]])*(表成绩单[化学]&lt;9E+307)*(表成绩单[化学]&gt;表成绩单[[#This Row],[化学]]))+1)</f>
        <v>152</v>
      </c>
      <c r="U2472" s="29" cm="1">
        <f t="array" ref="U2472">IF(表成绩单[[#This Row],[政治]]="","",SUMPRODUCT((表成绩单[考试日期]=表成绩单[[#This Row],[考试日期]])*(表成绩单[政治]&lt;9E+307)*(表成绩单[政治]&gt;表成绩单[[#This Row],[政治]]))+1)</f>
        <v>24</v>
      </c>
      <c r="V2472" s="29" cm="1">
        <f t="array" ref="V2472">IF(表成绩单[[#This Row],[历史]]="","",SUMPRODUCT((表成绩单[考试日期]=表成绩单[[#This Row],[考试日期]])*(表成绩单[历史]&lt;9E+307)*(表成绩单[历史]&gt;表成绩单[[#This Row],[历史]]))+1)</f>
        <v>173</v>
      </c>
      <c r="W2472" s="29" cm="1">
        <f t="array" ref="W2472">IF(表成绩单[[#This Row],[总分]]="","",SUMPRODUCT((表成绩单[考试日期]=表成绩单[[#This Row],[考试日期]])*(表成绩单[总分]&lt;9E+307)*(表成绩单[总分]&gt;表成绩单[[#This Row],[总分]]))+1)</f>
        <v>65</v>
      </c>
    </row>
    <row r="2473" ht="28" customHeight="1" spans="4:23">
      <c r="D2473" s="31">
        <v>46108</v>
      </c>
      <c r="E2473" s="29">
        <v>19177218</v>
      </c>
      <c r="F2473" s="29" t="s">
        <v>70</v>
      </c>
      <c r="G2473" s="29" t="s">
        <v>121</v>
      </c>
      <c r="H2473" s="29">
        <v>109</v>
      </c>
      <c r="I2473" s="29">
        <v>100</v>
      </c>
      <c r="J2473" s="29">
        <v>82</v>
      </c>
      <c r="K2473" s="29">
        <v>83</v>
      </c>
      <c r="L2473" s="29">
        <v>75</v>
      </c>
      <c r="M2473" s="29">
        <v>80</v>
      </c>
      <c r="N2473" s="29">
        <v>84</v>
      </c>
      <c r="O2473" s="32">
        <v>613</v>
      </c>
      <c r="P2473" s="29" cm="1">
        <f t="array" ref="P2473">IF(表成绩单[[#This Row],[语文]]="","",SUMPRODUCT((表成绩单[考试日期]=表成绩单[[#This Row],[考试日期]])*(表成绩单[语文]&lt;9E+307)*(表成绩单[语文]&gt;表成绩单[[#This Row],[语文]]))+1)</f>
        <v>40</v>
      </c>
      <c r="Q2473" s="29" cm="1">
        <f t="array" ref="Q2473">IF(表成绩单[[#This Row],[数学]]="","",SUMPRODUCT((表成绩单[考试日期]=表成绩单[[#This Row],[考试日期]])*(表成绩单[数学]&lt;9E+307)*(表成绩单[数学]&gt;表成绩单[[#This Row],[数学]]))+1)</f>
        <v>121</v>
      </c>
      <c r="R2473" s="29" cm="1">
        <f t="array" ref="R2473">IF(表成绩单[[#This Row],[英语]]="","",SUMPRODUCT((表成绩单[考试日期]=表成绩单[[#This Row],[考试日期]])*(表成绩单[英语]&lt;9E+307)*(表成绩单[英语]&gt;表成绩单[[#This Row],[英语]]))+1)</f>
        <v>180</v>
      </c>
      <c r="S2473" s="29" cm="1">
        <f t="array" ref="S2473">IF(表成绩单[[#This Row],[物理]]="","",SUMPRODUCT((表成绩单[考试日期]=表成绩单[[#This Row],[考试日期]])*(表成绩单[物理]&lt;9E+307)*(表成绩单[物理]&gt;表成绩单[[#This Row],[物理]]))+1)</f>
        <v>184</v>
      </c>
      <c r="T2473" s="29" cm="1">
        <f t="array" ref="T2473">IF(表成绩单[[#This Row],[化学]]="","",SUMPRODUCT((表成绩单[考试日期]=表成绩单[[#This Row],[考试日期]])*(表成绩单[化学]&lt;9E+307)*(表成绩单[化学]&gt;表成绩单[[#This Row],[化学]]))+1)</f>
        <v>96</v>
      </c>
      <c r="U2473" s="29" cm="1">
        <f t="array" ref="U2473">IF(表成绩单[[#This Row],[政治]]="","",SUMPRODUCT((表成绩单[考试日期]=表成绩单[[#This Row],[考试日期]])*(表成绩单[政治]&lt;9E+307)*(表成绩单[政治]&gt;表成绩单[[#This Row],[政治]]))+1)</f>
        <v>98</v>
      </c>
      <c r="V2473" s="29" cm="1">
        <f t="array" ref="V2473">IF(表成绩单[[#This Row],[历史]]="","",SUMPRODUCT((表成绩单[考试日期]=表成绩单[[#This Row],[考试日期]])*(表成绩单[历史]&lt;9E+307)*(表成绩单[历史]&gt;表成绩单[[#This Row],[历史]]))+1)</f>
        <v>38</v>
      </c>
      <c r="W2473" s="29" cm="1">
        <f t="array" ref="W2473">IF(表成绩单[[#This Row],[总分]]="","",SUMPRODUCT((表成绩单[考试日期]=表成绩单[[#This Row],[考试日期]])*(表成绩单[总分]&lt;9E+307)*(表成绩单[总分]&gt;表成绩单[[#This Row],[总分]]))+1)</f>
        <v>65</v>
      </c>
    </row>
    <row r="2474" ht="28" customHeight="1" spans="4:23">
      <c r="D2474" s="31">
        <v>46108</v>
      </c>
      <c r="E2474" s="29">
        <v>19177227</v>
      </c>
      <c r="F2474" s="29" t="s">
        <v>70</v>
      </c>
      <c r="G2474" s="29" t="s">
        <v>212</v>
      </c>
      <c r="H2474" s="29">
        <v>108</v>
      </c>
      <c r="I2474" s="29">
        <v>96</v>
      </c>
      <c r="J2474" s="29">
        <v>86.5</v>
      </c>
      <c r="K2474" s="29">
        <v>87</v>
      </c>
      <c r="L2474" s="29">
        <v>76</v>
      </c>
      <c r="M2474" s="29">
        <v>78</v>
      </c>
      <c r="N2474" s="29">
        <v>81</v>
      </c>
      <c r="O2474" s="32">
        <v>612.5</v>
      </c>
      <c r="P2474" s="29" cm="1">
        <f t="array" ref="P2474">IF(表成绩单[[#This Row],[语文]]="","",SUMPRODUCT((表成绩单[考试日期]=表成绩单[[#This Row],[考试日期]])*(表成绩单[语文]&lt;9E+307)*(表成绩单[语文]&gt;表成绩单[[#This Row],[语文]]))+1)</f>
        <v>55</v>
      </c>
      <c r="Q2474" s="29" cm="1">
        <f t="array" ref="Q2474">IF(表成绩单[[#This Row],[数学]]="","",SUMPRODUCT((表成绩单[考试日期]=表成绩单[[#This Row],[考试日期]])*(表成绩单[数学]&lt;9E+307)*(表成绩单[数学]&gt;表成绩单[[#This Row],[数学]]))+1)</f>
        <v>202</v>
      </c>
      <c r="R2474" s="29" cm="1">
        <f t="array" ref="R2474">IF(表成绩单[[#This Row],[英语]]="","",SUMPRODUCT((表成绩单[考试日期]=表成绩单[[#This Row],[考试日期]])*(表成绩单[英语]&lt;9E+307)*(表成绩单[英语]&gt;表成绩单[[#This Row],[英语]]))+1)</f>
        <v>18</v>
      </c>
      <c r="S2474" s="29" cm="1">
        <f t="array" ref="S2474">IF(表成绩单[[#This Row],[物理]]="","",SUMPRODUCT((表成绩单[考试日期]=表成绩单[[#This Row],[考试日期]])*(表成绩单[物理]&lt;9E+307)*(表成绩单[物理]&gt;表成绩单[[#This Row],[物理]]))+1)</f>
        <v>49</v>
      </c>
      <c r="T2474" s="29" cm="1">
        <f t="array" ref="T2474">IF(表成绩单[[#This Row],[化学]]="","",SUMPRODUCT((表成绩单[考试日期]=表成绩单[[#This Row],[考试日期]])*(表成绩单[化学]&lt;9E+307)*(表成绩单[化学]&gt;表成绩单[[#This Row],[化学]]))+1)</f>
        <v>71</v>
      </c>
      <c r="U2474" s="29" cm="1">
        <f t="array" ref="U2474">IF(表成绩单[[#This Row],[政治]]="","",SUMPRODUCT((表成绩单[考试日期]=表成绩单[[#This Row],[考试日期]])*(表成绩单[政治]&lt;9E+307)*(表成绩单[政治]&gt;表成绩单[[#This Row],[政治]]))+1)</f>
        <v>171</v>
      </c>
      <c r="V2474" s="29" cm="1">
        <f t="array" ref="V2474">IF(表成绩单[[#This Row],[历史]]="","",SUMPRODUCT((表成绩单[考试日期]=表成绩单[[#This Row],[考试日期]])*(表成绩单[历史]&lt;9E+307)*(表成绩单[历史]&gt;表成绩单[[#This Row],[历史]]))+1)</f>
        <v>106</v>
      </c>
      <c r="W2474" s="29" cm="1">
        <f t="array" ref="W2474">IF(表成绩单[[#This Row],[总分]]="","",SUMPRODUCT((表成绩单[考试日期]=表成绩单[[#This Row],[考试日期]])*(表成绩单[总分]&lt;9E+307)*(表成绩单[总分]&gt;表成绩单[[#This Row],[总分]]))+1)</f>
        <v>67</v>
      </c>
    </row>
    <row r="2475" ht="28" customHeight="1" spans="4:23">
      <c r="D2475" s="31">
        <v>46108</v>
      </c>
      <c r="E2475" s="29">
        <v>19173530</v>
      </c>
      <c r="F2475" s="29" t="s">
        <v>1</v>
      </c>
      <c r="G2475" s="29" t="s">
        <v>182</v>
      </c>
      <c r="H2475" s="29">
        <v>105</v>
      </c>
      <c r="I2475" s="29">
        <v>100</v>
      </c>
      <c r="J2475" s="29">
        <v>86.5</v>
      </c>
      <c r="K2475" s="29">
        <v>84</v>
      </c>
      <c r="L2475" s="29">
        <v>76</v>
      </c>
      <c r="M2475" s="29">
        <v>78</v>
      </c>
      <c r="N2475" s="29">
        <v>82</v>
      </c>
      <c r="O2475" s="32">
        <v>611.5</v>
      </c>
      <c r="P2475" s="29" cm="1">
        <f t="array" ref="P2475">IF(表成绩单[[#This Row],[语文]]="","",SUMPRODUCT((表成绩单[考试日期]=表成绩单[[#This Row],[考试日期]])*(表成绩单[语文]&lt;9E+307)*(表成绩单[语文]&gt;表成绩单[[#This Row],[语文]]))+1)</f>
        <v>101</v>
      </c>
      <c r="Q2475" s="29" cm="1">
        <f t="array" ref="Q2475">IF(表成绩单[[#This Row],[数学]]="","",SUMPRODUCT((表成绩单[考试日期]=表成绩单[[#This Row],[考试日期]])*(表成绩单[数学]&lt;9E+307)*(表成绩单[数学]&gt;表成绩单[[#This Row],[数学]]))+1)</f>
        <v>121</v>
      </c>
      <c r="R2475" s="29" cm="1">
        <f t="array" ref="R2475">IF(表成绩单[[#This Row],[英语]]="","",SUMPRODUCT((表成绩单[考试日期]=表成绩单[[#This Row],[考试日期]])*(表成绩单[英语]&lt;9E+307)*(表成绩单[英语]&gt;表成绩单[[#This Row],[英语]]))+1)</f>
        <v>18</v>
      </c>
      <c r="S2475" s="29" cm="1">
        <f t="array" ref="S2475">IF(表成绩单[[#This Row],[物理]]="","",SUMPRODUCT((表成绩单[考试日期]=表成绩单[[#This Row],[考试日期]])*(表成绩单[物理]&lt;9E+307)*(表成绩单[物理]&gt;表成绩单[[#This Row],[物理]]))+1)</f>
        <v>146</v>
      </c>
      <c r="T2475" s="29" cm="1">
        <f t="array" ref="T2475">IF(表成绩单[[#This Row],[化学]]="","",SUMPRODUCT((表成绩单[考试日期]=表成绩单[[#This Row],[考试日期]])*(表成绩单[化学]&lt;9E+307)*(表成绩单[化学]&gt;表成绩单[[#This Row],[化学]]))+1)</f>
        <v>71</v>
      </c>
      <c r="U2475" s="29" cm="1">
        <f t="array" ref="U2475">IF(表成绩单[[#This Row],[政治]]="","",SUMPRODUCT((表成绩单[考试日期]=表成绩单[[#This Row],[考试日期]])*(表成绩单[政治]&lt;9E+307)*(表成绩单[政治]&gt;表成绩单[[#This Row],[政治]]))+1)</f>
        <v>171</v>
      </c>
      <c r="V2475" s="29" cm="1">
        <f t="array" ref="V2475">IF(表成绩单[[#This Row],[历史]]="","",SUMPRODUCT((表成绩单[考试日期]=表成绩单[[#This Row],[考试日期]])*(表成绩单[历史]&lt;9E+307)*(表成绩单[历史]&gt;表成绩单[[#This Row],[历史]]))+1)</f>
        <v>81</v>
      </c>
      <c r="W2475" s="29" cm="1">
        <f t="array" ref="W2475">IF(表成绩单[[#This Row],[总分]]="","",SUMPRODUCT((表成绩单[考试日期]=表成绩单[[#This Row],[考试日期]])*(表成绩单[总分]&lt;9E+307)*(表成绩单[总分]&gt;表成绩单[[#This Row],[总分]]))+1)</f>
        <v>68</v>
      </c>
    </row>
    <row r="2476" ht="28" customHeight="1" spans="4:23">
      <c r="D2476" s="31">
        <v>46108</v>
      </c>
      <c r="E2476" s="29">
        <v>19175654</v>
      </c>
      <c r="F2476" s="29" t="s">
        <v>66</v>
      </c>
      <c r="G2476" s="29" t="s">
        <v>225</v>
      </c>
      <c r="H2476" s="29">
        <v>106</v>
      </c>
      <c r="I2476" s="29">
        <v>105</v>
      </c>
      <c r="J2476" s="29">
        <v>85.5</v>
      </c>
      <c r="K2476" s="29">
        <v>83</v>
      </c>
      <c r="L2476" s="29">
        <v>72</v>
      </c>
      <c r="M2476" s="29">
        <v>79</v>
      </c>
      <c r="N2476" s="29">
        <v>81</v>
      </c>
      <c r="O2476" s="32">
        <v>611.5</v>
      </c>
      <c r="P2476" s="29" cm="1">
        <f t="array" ref="P2476">IF(表成绩单[[#This Row],[语文]]="","",SUMPRODUCT((表成绩单[考试日期]=表成绩单[[#This Row],[考试日期]])*(表成绩单[语文]&lt;9E+307)*(表成绩单[语文]&gt;表成绩单[[#This Row],[语文]]))+1)</f>
        <v>85</v>
      </c>
      <c r="Q2476" s="29" cm="1">
        <f t="array" ref="Q2476">IF(表成绩单[[#This Row],[数学]]="","",SUMPRODUCT((表成绩单[考试日期]=表成绩单[[#This Row],[考试日期]])*(表成绩单[数学]&lt;9E+307)*(表成绩单[数学]&gt;表成绩单[[#This Row],[数学]]))+1)</f>
        <v>52</v>
      </c>
      <c r="R2476" s="29" cm="1">
        <f t="array" ref="R2476">IF(表成绩单[[#This Row],[英语]]="","",SUMPRODUCT((表成绩单[考试日期]=表成绩单[[#This Row],[考试日期]])*(表成绩单[英语]&lt;9E+307)*(表成绩单[英语]&gt;表成绩单[[#This Row],[英语]]))+1)</f>
        <v>43</v>
      </c>
      <c r="S2476" s="29" cm="1">
        <f t="array" ref="S2476">IF(表成绩单[[#This Row],[物理]]="","",SUMPRODUCT((表成绩单[考试日期]=表成绩单[[#This Row],[考试日期]])*(表成绩单[物理]&lt;9E+307)*(表成绩单[物理]&gt;表成绩单[[#This Row],[物理]]))+1)</f>
        <v>184</v>
      </c>
      <c r="T2476" s="29" cm="1">
        <f t="array" ref="T2476">IF(表成绩单[[#This Row],[化学]]="","",SUMPRODUCT((表成绩单[考试日期]=表成绩单[[#This Row],[考试日期]])*(表成绩单[化学]&lt;9E+307)*(表成绩单[化学]&gt;表成绩单[[#This Row],[化学]]))+1)</f>
        <v>187</v>
      </c>
      <c r="U2476" s="29" cm="1">
        <f t="array" ref="U2476">IF(表成绩单[[#This Row],[政治]]="","",SUMPRODUCT((表成绩单[考试日期]=表成绩单[[#This Row],[考试日期]])*(表成绩单[政治]&lt;9E+307)*(表成绩单[政治]&gt;表成绩单[[#This Row],[政治]]))+1)</f>
        <v>134</v>
      </c>
      <c r="V2476" s="29" cm="1">
        <f t="array" ref="V2476">IF(表成绩单[[#This Row],[历史]]="","",SUMPRODUCT((表成绩单[考试日期]=表成绩单[[#This Row],[考试日期]])*(表成绩单[历史]&lt;9E+307)*(表成绩单[历史]&gt;表成绩单[[#This Row],[历史]]))+1)</f>
        <v>106</v>
      </c>
      <c r="W2476" s="29" cm="1">
        <f t="array" ref="W2476">IF(表成绩单[[#This Row],[总分]]="","",SUMPRODUCT((表成绩单[考试日期]=表成绩单[[#This Row],[考试日期]])*(表成绩单[总分]&lt;9E+307)*(表成绩单[总分]&gt;表成绩单[[#This Row],[总分]]))+1)</f>
        <v>68</v>
      </c>
    </row>
    <row r="2477" ht="28" customHeight="1" spans="4:23">
      <c r="D2477" s="31">
        <v>46108</v>
      </c>
      <c r="E2477" s="29">
        <v>19175391</v>
      </c>
      <c r="F2477" s="29" t="s">
        <v>74</v>
      </c>
      <c r="G2477" s="29" t="s">
        <v>94</v>
      </c>
      <c r="H2477" s="29">
        <v>104</v>
      </c>
      <c r="I2477" s="29">
        <v>91</v>
      </c>
      <c r="J2477" s="29">
        <v>86</v>
      </c>
      <c r="K2477" s="29">
        <v>83</v>
      </c>
      <c r="L2477" s="29">
        <v>74</v>
      </c>
      <c r="M2477" s="29">
        <v>87</v>
      </c>
      <c r="N2477" s="29">
        <v>86</v>
      </c>
      <c r="O2477" s="32">
        <v>611</v>
      </c>
      <c r="P2477" s="29" cm="1">
        <f t="array" ref="P2477">IF(表成绩单[[#This Row],[语文]]="","",SUMPRODUCT((表成绩单[考试日期]=表成绩单[[#This Row],[考试日期]])*(表成绩单[语文]&lt;9E+307)*(表成绩单[语文]&gt;表成绩单[[#This Row],[语文]]))+1)</f>
        <v>131</v>
      </c>
      <c r="Q2477" s="29" cm="1">
        <f t="array" ref="Q2477">IF(表成绩单[[#This Row],[数学]]="","",SUMPRODUCT((表成绩单[考试日期]=表成绩单[[#This Row],[考试日期]])*(表成绩单[数学]&lt;9E+307)*(表成绩单[数学]&gt;表成绩单[[#This Row],[数学]]))+1)</f>
        <v>341</v>
      </c>
      <c r="R2477" s="29" cm="1">
        <f t="array" ref="R2477">IF(表成绩单[[#This Row],[英语]]="","",SUMPRODUCT((表成绩单[考试日期]=表成绩单[[#This Row],[考试日期]])*(表成绩单[英语]&lt;9E+307)*(表成绩单[英语]&gt;表成绩单[[#This Row],[英语]]))+1)</f>
        <v>29</v>
      </c>
      <c r="S2477" s="29" cm="1">
        <f t="array" ref="S2477">IF(表成绩单[[#This Row],[物理]]="","",SUMPRODUCT((表成绩单[考试日期]=表成绩单[[#This Row],[考试日期]])*(表成绩单[物理]&lt;9E+307)*(表成绩单[物理]&gt;表成绩单[[#This Row],[物理]]))+1)</f>
        <v>184</v>
      </c>
      <c r="T2477" s="29" cm="1">
        <f t="array" ref="T2477">IF(表成绩单[[#This Row],[化学]]="","",SUMPRODUCT((表成绩单[考试日期]=表成绩单[[#This Row],[考试日期]])*(表成绩单[化学]&lt;9E+307)*(表成绩单[化学]&gt;表成绩单[[#This Row],[化学]]))+1)</f>
        <v>127</v>
      </c>
      <c r="U2477" s="29" cm="1">
        <f t="array" ref="U2477">IF(表成绩单[[#This Row],[政治]]="","",SUMPRODUCT((表成绩单[考试日期]=表成绩单[[#This Row],[考试日期]])*(表成绩单[政治]&lt;9E+307)*(表成绩单[政治]&gt;表成绩单[[#This Row],[政治]]))+1)</f>
        <v>2</v>
      </c>
      <c r="V2477" s="29" cm="1">
        <f t="array" ref="V2477">IF(表成绩单[[#This Row],[历史]]="","",SUMPRODUCT((表成绩单[考试日期]=表成绩单[[#This Row],[考试日期]])*(表成绩单[历史]&lt;9E+307)*(表成绩单[历史]&gt;表成绩单[[#This Row],[历史]]))+1)</f>
        <v>13</v>
      </c>
      <c r="W2477" s="29" cm="1">
        <f t="array" ref="W2477">IF(表成绩单[[#This Row],[总分]]="","",SUMPRODUCT((表成绩单[考试日期]=表成绩单[[#This Row],[考试日期]])*(表成绩单[总分]&lt;9E+307)*(表成绩单[总分]&gt;表成绩单[[#This Row],[总分]]))+1)</f>
        <v>70</v>
      </c>
    </row>
    <row r="2478" ht="28" customHeight="1" spans="4:23">
      <c r="D2478" s="31">
        <v>46108</v>
      </c>
      <c r="E2478" s="29">
        <v>19177225</v>
      </c>
      <c r="F2478" s="29" t="s">
        <v>70</v>
      </c>
      <c r="G2478" s="29" t="s">
        <v>166</v>
      </c>
      <c r="H2478" s="29">
        <v>102</v>
      </c>
      <c r="I2478" s="29">
        <v>102</v>
      </c>
      <c r="J2478" s="29">
        <v>81</v>
      </c>
      <c r="K2478" s="29">
        <v>89</v>
      </c>
      <c r="L2478" s="29">
        <v>77</v>
      </c>
      <c r="M2478" s="29">
        <v>79</v>
      </c>
      <c r="N2478" s="29">
        <v>81</v>
      </c>
      <c r="O2478" s="32">
        <v>611</v>
      </c>
      <c r="P2478" s="29" cm="1">
        <f t="array" ref="P2478">IF(表成绩单[[#This Row],[语文]]="","",SUMPRODUCT((表成绩单[考试日期]=表成绩单[[#This Row],[考试日期]])*(表成绩单[语文]&lt;9E+307)*(表成绩单[语文]&gt;表成绩单[[#This Row],[语文]]))+1)</f>
        <v>183</v>
      </c>
      <c r="Q2478" s="29" cm="1">
        <f t="array" ref="Q2478">IF(表成绩单[[#This Row],[数学]]="","",SUMPRODUCT((表成绩单[考试日期]=表成绩单[[#This Row],[考试日期]])*(表成绩单[数学]&lt;9E+307)*(表成绩单[数学]&gt;表成绩单[[#This Row],[数学]]))+1)</f>
        <v>98</v>
      </c>
      <c r="R2478" s="29" cm="1">
        <f t="array" ref="R2478">IF(表成绩单[[#This Row],[英语]]="","",SUMPRODUCT((表成绩单[考试日期]=表成绩单[[#This Row],[考试日期]])*(表成绩单[英语]&lt;9E+307)*(表成绩单[英语]&gt;表成绩单[[#This Row],[英语]]))+1)</f>
        <v>227</v>
      </c>
      <c r="S2478" s="29" cm="1">
        <f t="array" ref="S2478">IF(表成绩单[[#This Row],[物理]]="","",SUMPRODUCT((表成绩单[考试日期]=表成绩单[[#This Row],[考试日期]])*(表成绩单[物理]&lt;9E+307)*(表成绩单[物理]&gt;表成绩单[[#This Row],[物理]]))+1)</f>
        <v>15</v>
      </c>
      <c r="T2478" s="29" cm="1">
        <f t="array" ref="T2478">IF(表成绩单[[#This Row],[化学]]="","",SUMPRODUCT((表成绩单[考试日期]=表成绩单[[#This Row],[考试日期]])*(表成绩单[化学]&lt;9E+307)*(表成绩单[化学]&gt;表成绩单[[#This Row],[化学]]))+1)</f>
        <v>57</v>
      </c>
      <c r="U2478" s="29" cm="1">
        <f t="array" ref="U2478">IF(表成绩单[[#This Row],[政治]]="","",SUMPRODUCT((表成绩单[考试日期]=表成绩单[[#This Row],[考试日期]])*(表成绩单[政治]&lt;9E+307)*(表成绩单[政治]&gt;表成绩单[[#This Row],[政治]]))+1)</f>
        <v>134</v>
      </c>
      <c r="V2478" s="29" cm="1">
        <f t="array" ref="V2478">IF(表成绩单[[#This Row],[历史]]="","",SUMPRODUCT((表成绩单[考试日期]=表成绩单[[#This Row],[考试日期]])*(表成绩单[历史]&lt;9E+307)*(表成绩单[历史]&gt;表成绩单[[#This Row],[历史]]))+1)</f>
        <v>106</v>
      </c>
      <c r="W2478" s="29" cm="1">
        <f t="array" ref="W2478">IF(表成绩单[[#This Row],[总分]]="","",SUMPRODUCT((表成绩单[考试日期]=表成绩单[[#This Row],[考试日期]])*(表成绩单[总分]&lt;9E+307)*(表成绩单[总分]&gt;表成绩单[[#This Row],[总分]]))+1)</f>
        <v>70</v>
      </c>
    </row>
    <row r="2479" ht="28" customHeight="1" spans="4:23">
      <c r="D2479" s="31">
        <v>46108</v>
      </c>
      <c r="E2479" s="29">
        <v>19175407</v>
      </c>
      <c r="F2479" s="29" t="s">
        <v>74</v>
      </c>
      <c r="G2479" s="29" t="s">
        <v>128</v>
      </c>
      <c r="H2479" s="29">
        <v>103</v>
      </c>
      <c r="I2479" s="29">
        <v>97</v>
      </c>
      <c r="J2479" s="29">
        <v>85</v>
      </c>
      <c r="K2479" s="29">
        <v>86</v>
      </c>
      <c r="L2479" s="29">
        <v>80</v>
      </c>
      <c r="M2479" s="29">
        <v>80</v>
      </c>
      <c r="N2479" s="29">
        <v>79</v>
      </c>
      <c r="O2479" s="32">
        <v>610</v>
      </c>
      <c r="P2479" s="29" cm="1">
        <f t="array" ref="P2479">IF(表成绩单[[#This Row],[语文]]="","",SUMPRODUCT((表成绩单[考试日期]=表成绩单[[#This Row],[考试日期]])*(表成绩单[语文]&lt;9E+307)*(表成绩单[语文]&gt;表成绩单[[#This Row],[语文]]))+1)</f>
        <v>155</v>
      </c>
      <c r="Q2479" s="29" cm="1">
        <f t="array" ref="Q2479">IF(表成绩单[[#This Row],[数学]]="","",SUMPRODUCT((表成绩单[考试日期]=表成绩单[[#This Row],[考试日期]])*(表成绩单[数学]&lt;9E+307)*(表成绩单[数学]&gt;表成绩单[[#This Row],[数学]]))+1)</f>
        <v>175</v>
      </c>
      <c r="R2479" s="29" cm="1">
        <f t="array" ref="R2479">IF(表成绩单[[#This Row],[英语]]="","",SUMPRODUCT((表成绩单[考试日期]=表成绩单[[#This Row],[考试日期]])*(表成绩单[英语]&lt;9E+307)*(表成绩单[英语]&gt;表成绩单[[#This Row],[英语]]))+1)</f>
        <v>59</v>
      </c>
      <c r="S2479" s="29" cm="1">
        <f t="array" ref="S2479">IF(表成绩单[[#This Row],[物理]]="","",SUMPRODUCT((表成绩单[考试日期]=表成绩单[[#This Row],[考试日期]])*(表成绩单[物理]&lt;9E+307)*(表成绩单[物理]&gt;表成绩单[[#This Row],[物理]]))+1)</f>
        <v>61</v>
      </c>
      <c r="T2479" s="29" cm="1">
        <f t="array" ref="T2479">IF(表成绩单[[#This Row],[化学]]="","",SUMPRODUCT((表成绩单[考试日期]=表成绩单[[#This Row],[考试日期]])*(表成绩单[化学]&lt;9E+307)*(表成绩单[化学]&gt;表成绩单[[#This Row],[化学]]))+1)</f>
        <v>25</v>
      </c>
      <c r="U2479" s="29" cm="1">
        <f t="array" ref="U2479">IF(表成绩单[[#This Row],[政治]]="","",SUMPRODUCT((表成绩单[考试日期]=表成绩单[[#This Row],[考试日期]])*(表成绩单[政治]&lt;9E+307)*(表成绩单[政治]&gt;表成绩单[[#This Row],[政治]]))+1)</f>
        <v>98</v>
      </c>
      <c r="V2479" s="29" cm="1">
        <f t="array" ref="V2479">IF(表成绩单[[#This Row],[历史]]="","",SUMPRODUCT((表成绩单[考试日期]=表成绩单[[#This Row],[考试日期]])*(表成绩单[历史]&lt;9E+307)*(表成绩单[历史]&gt;表成绩单[[#This Row],[历史]]))+1)</f>
        <v>173</v>
      </c>
      <c r="W2479" s="29" cm="1">
        <f t="array" ref="W2479">IF(表成绩单[[#This Row],[总分]]="","",SUMPRODUCT((表成绩单[考试日期]=表成绩单[[#This Row],[考试日期]])*(表成绩单[总分]&lt;9E+307)*(表成绩单[总分]&gt;表成绩单[[#This Row],[总分]]))+1)</f>
        <v>72</v>
      </c>
    </row>
    <row r="2480" ht="28" customHeight="1" spans="4:23">
      <c r="D2480" s="31">
        <v>46108</v>
      </c>
      <c r="E2480" s="29">
        <v>19176880</v>
      </c>
      <c r="F2480" s="29" t="s">
        <v>71</v>
      </c>
      <c r="G2480" s="29" t="s">
        <v>189</v>
      </c>
      <c r="H2480" s="29">
        <v>95</v>
      </c>
      <c r="I2480" s="29">
        <v>111</v>
      </c>
      <c r="J2480" s="29">
        <v>82</v>
      </c>
      <c r="K2480" s="29">
        <v>90</v>
      </c>
      <c r="L2480" s="29">
        <v>72</v>
      </c>
      <c r="M2480" s="29">
        <v>81</v>
      </c>
      <c r="N2480" s="29">
        <v>79</v>
      </c>
      <c r="O2480" s="32">
        <v>610</v>
      </c>
      <c r="P2480" s="29" cm="1">
        <f t="array" ref="P2480">IF(表成绩单[[#This Row],[语文]]="","",SUMPRODUCT((表成绩单[考试日期]=表成绩单[[#This Row],[考试日期]])*(表成绩单[语文]&lt;9E+307)*(表成绩单[语文]&gt;表成绩单[[#This Row],[语文]]))+1)</f>
        <v>422</v>
      </c>
      <c r="Q2480" s="29" cm="1">
        <f t="array" ref="Q2480">IF(表成绩单[[#This Row],[数学]]="","",SUMPRODUCT((表成绩单[考试日期]=表成绩单[[#This Row],[考试日期]])*(表成绩单[数学]&lt;9E+307)*(表成绩单[数学]&gt;表成绩单[[#This Row],[数学]]))+1)</f>
        <v>7</v>
      </c>
      <c r="R2480" s="29" cm="1">
        <f t="array" ref="R2480">IF(表成绩单[[#This Row],[英语]]="","",SUMPRODUCT((表成绩单[考试日期]=表成绩单[[#This Row],[考试日期]])*(表成绩单[英语]&lt;9E+307)*(表成绩单[英语]&gt;表成绩单[[#This Row],[英语]]))+1)</f>
        <v>180</v>
      </c>
      <c r="S2480" s="29" cm="1">
        <f t="array" ref="S2480">IF(表成绩单[[#This Row],[物理]]="","",SUMPRODUCT((表成绩单[考试日期]=表成绩单[[#This Row],[考试日期]])*(表成绩单[物理]&lt;9E+307)*(表成绩单[物理]&gt;表成绩单[[#This Row],[物理]]))+1)</f>
        <v>1</v>
      </c>
      <c r="T2480" s="29" cm="1">
        <f t="array" ref="T2480">IF(表成绩单[[#This Row],[化学]]="","",SUMPRODUCT((表成绩单[考试日期]=表成绩单[[#This Row],[考试日期]])*(表成绩单[化学]&lt;9E+307)*(表成绩单[化学]&gt;表成绩单[[#This Row],[化学]]))+1)</f>
        <v>187</v>
      </c>
      <c r="U2480" s="29" cm="1">
        <f t="array" ref="U2480">IF(表成绩单[[#This Row],[政治]]="","",SUMPRODUCT((表成绩单[考试日期]=表成绩单[[#This Row],[考试日期]])*(表成绩单[政治]&lt;9E+307)*(表成绩单[政治]&gt;表成绩单[[#This Row],[政治]]))+1)</f>
        <v>68</v>
      </c>
      <c r="V2480" s="29" cm="1">
        <f t="array" ref="V2480">IF(表成绩单[[#This Row],[历史]]="","",SUMPRODUCT((表成绩单[考试日期]=表成绩单[[#This Row],[考试日期]])*(表成绩单[历史]&lt;9E+307)*(表成绩单[历史]&gt;表成绩单[[#This Row],[历史]]))+1)</f>
        <v>173</v>
      </c>
      <c r="W2480" s="29" cm="1">
        <f t="array" ref="W2480">IF(表成绩单[[#This Row],[总分]]="","",SUMPRODUCT((表成绩单[考试日期]=表成绩单[[#This Row],[考试日期]])*(表成绩单[总分]&lt;9E+307)*(表成绩单[总分]&gt;表成绩单[[#This Row],[总分]]))+1)</f>
        <v>72</v>
      </c>
    </row>
    <row r="2481" ht="28" customHeight="1" spans="4:23">
      <c r="D2481" s="31">
        <v>46108</v>
      </c>
      <c r="E2481" s="29">
        <v>19177211</v>
      </c>
      <c r="F2481" s="29" t="s">
        <v>70</v>
      </c>
      <c r="G2481" s="29" t="s">
        <v>165</v>
      </c>
      <c r="H2481" s="29">
        <v>107</v>
      </c>
      <c r="I2481" s="29">
        <v>98</v>
      </c>
      <c r="J2481" s="29">
        <v>85</v>
      </c>
      <c r="K2481" s="29">
        <v>82</v>
      </c>
      <c r="L2481" s="29">
        <v>79</v>
      </c>
      <c r="M2481" s="29">
        <v>83</v>
      </c>
      <c r="N2481" s="29">
        <v>76</v>
      </c>
      <c r="O2481" s="32">
        <v>610</v>
      </c>
      <c r="P2481" s="29" cm="1">
        <f t="array" ref="P2481">IF(表成绩单[[#This Row],[语文]]="","",SUMPRODUCT((表成绩单[考试日期]=表成绩单[[#This Row],[考试日期]])*(表成绩单[语文]&lt;9E+307)*(表成绩单[语文]&gt;表成绩单[[#This Row],[语文]]))+1)</f>
        <v>67</v>
      </c>
      <c r="Q2481" s="29" cm="1">
        <f t="array" ref="Q2481">IF(表成绩单[[#This Row],[数学]]="","",SUMPRODUCT((表成绩单[考试日期]=表成绩单[[#This Row],[考试日期]])*(表成绩单[数学]&lt;9E+307)*(表成绩单[数学]&gt;表成绩单[[#This Row],[数学]]))+1)</f>
        <v>158</v>
      </c>
      <c r="R2481" s="29" cm="1">
        <f t="array" ref="R2481">IF(表成绩单[[#This Row],[英语]]="","",SUMPRODUCT((表成绩单[考试日期]=表成绩单[[#This Row],[考试日期]])*(表成绩单[英语]&lt;9E+307)*(表成绩单[英语]&gt;表成绩单[[#This Row],[英语]]))+1)</f>
        <v>59</v>
      </c>
      <c r="S2481" s="29" cm="1">
        <f t="array" ref="S2481">IF(表成绩单[[#This Row],[物理]]="","",SUMPRODUCT((表成绩单[考试日期]=表成绩单[[#This Row],[考试日期]])*(表成绩单[物理]&lt;9E+307)*(表成绩单[物理]&gt;表成绩单[[#This Row],[物理]]))+1)</f>
        <v>223</v>
      </c>
      <c r="T2481" s="29" cm="1">
        <f t="array" ref="T2481">IF(表成绩单[[#This Row],[化学]]="","",SUMPRODUCT((表成绩单[考试日期]=表成绩单[[#This Row],[考试日期]])*(表成绩单[化学]&lt;9E+307)*(表成绩单[化学]&gt;表成绩单[[#This Row],[化学]]))+1)</f>
        <v>35</v>
      </c>
      <c r="U2481" s="29" cm="1">
        <f t="array" ref="U2481">IF(表成绩单[[#This Row],[政治]]="","",SUMPRODUCT((表成绩单[考试日期]=表成绩单[[#This Row],[考试日期]])*(表成绩单[政治]&lt;9E+307)*(表成绩单[政治]&gt;表成绩单[[#This Row],[政治]]))+1)</f>
        <v>24</v>
      </c>
      <c r="V2481" s="29" cm="1">
        <f t="array" ref="V2481">IF(表成绩单[[#This Row],[历史]]="","",SUMPRODUCT((表成绩单[考试日期]=表成绩单[[#This Row],[考试日期]])*(表成绩单[历史]&lt;9E+307)*(表成绩单[历史]&gt;表成绩单[[#This Row],[历史]]))+1)</f>
        <v>316</v>
      </c>
      <c r="W2481" s="29" cm="1">
        <f t="array" ref="W2481">IF(表成绩单[[#This Row],[总分]]="","",SUMPRODUCT((表成绩单[考试日期]=表成绩单[[#This Row],[考试日期]])*(表成绩单[总分]&lt;9E+307)*(表成绩单[总分]&gt;表成绩单[[#This Row],[总分]]))+1)</f>
        <v>72</v>
      </c>
    </row>
    <row r="2482" ht="28" customHeight="1" spans="4:23">
      <c r="D2482" s="31">
        <v>46108</v>
      </c>
      <c r="E2482" s="29">
        <v>19178573</v>
      </c>
      <c r="F2482" s="29" t="s">
        <v>64</v>
      </c>
      <c r="G2482" s="29" t="s">
        <v>284</v>
      </c>
      <c r="H2482" s="29">
        <v>105</v>
      </c>
      <c r="I2482" s="29">
        <v>103</v>
      </c>
      <c r="J2482" s="29">
        <v>81</v>
      </c>
      <c r="K2482" s="29">
        <v>83</v>
      </c>
      <c r="L2482" s="29">
        <v>75</v>
      </c>
      <c r="M2482" s="29">
        <v>78</v>
      </c>
      <c r="N2482" s="29">
        <v>85</v>
      </c>
      <c r="O2482" s="32">
        <v>610</v>
      </c>
      <c r="P2482" s="29" cm="1">
        <f t="array" ref="P2482">IF(表成绩单[[#This Row],[语文]]="","",SUMPRODUCT((表成绩单[考试日期]=表成绩单[[#This Row],[考试日期]])*(表成绩单[语文]&lt;9E+307)*(表成绩单[语文]&gt;表成绩单[[#This Row],[语文]]))+1)</f>
        <v>101</v>
      </c>
      <c r="Q2482" s="29" cm="1">
        <f t="array" ref="Q2482">IF(表成绩单[[#This Row],[数学]]="","",SUMPRODUCT((表成绩单[考试日期]=表成绩单[[#This Row],[考试日期]])*(表成绩单[数学]&lt;9E+307)*(表成绩单[数学]&gt;表成绩单[[#This Row],[数学]]))+1)</f>
        <v>87</v>
      </c>
      <c r="R2482" s="29" cm="1">
        <f t="array" ref="R2482">IF(表成绩单[[#This Row],[英语]]="","",SUMPRODUCT((表成绩单[考试日期]=表成绩单[[#This Row],[考试日期]])*(表成绩单[英语]&lt;9E+307)*(表成绩单[英语]&gt;表成绩单[[#This Row],[英语]]))+1)</f>
        <v>227</v>
      </c>
      <c r="S2482" s="29" cm="1">
        <f t="array" ref="S2482">IF(表成绩单[[#This Row],[物理]]="","",SUMPRODUCT((表成绩单[考试日期]=表成绩单[[#This Row],[考试日期]])*(表成绩单[物理]&lt;9E+307)*(表成绩单[物理]&gt;表成绩单[[#This Row],[物理]]))+1)</f>
        <v>184</v>
      </c>
      <c r="T2482" s="29" cm="1">
        <f t="array" ref="T2482">IF(表成绩单[[#This Row],[化学]]="","",SUMPRODUCT((表成绩单[考试日期]=表成绩单[[#This Row],[考试日期]])*(表成绩单[化学]&lt;9E+307)*(表成绩单[化学]&gt;表成绩单[[#This Row],[化学]]))+1)</f>
        <v>96</v>
      </c>
      <c r="U2482" s="29" cm="1">
        <f t="array" ref="U2482">IF(表成绩单[[#This Row],[政治]]="","",SUMPRODUCT((表成绩单[考试日期]=表成绩单[[#This Row],[考试日期]])*(表成绩单[政治]&lt;9E+307)*(表成绩单[政治]&gt;表成绩单[[#This Row],[政治]]))+1)</f>
        <v>171</v>
      </c>
      <c r="V2482" s="29" cm="1">
        <f t="array" ref="V2482">IF(表成绩单[[#This Row],[历史]]="","",SUMPRODUCT((表成绩单[考试日期]=表成绩单[[#This Row],[考试日期]])*(表成绩单[历史]&lt;9E+307)*(表成绩单[历史]&gt;表成绩单[[#This Row],[历史]]))+1)</f>
        <v>20</v>
      </c>
      <c r="W2482" s="29" cm="1">
        <f t="array" ref="W2482">IF(表成绩单[[#This Row],[总分]]="","",SUMPRODUCT((表成绩单[考试日期]=表成绩单[[#This Row],[考试日期]])*(表成绩单[总分]&lt;9E+307)*(表成绩单[总分]&gt;表成绩单[[#This Row],[总分]]))+1)</f>
        <v>72</v>
      </c>
    </row>
    <row r="2483" ht="28" customHeight="1" spans="4:23">
      <c r="D2483" s="31">
        <v>46108</v>
      </c>
      <c r="E2483" s="29">
        <v>19175401</v>
      </c>
      <c r="F2483" s="29" t="s">
        <v>74</v>
      </c>
      <c r="G2483" s="29" t="s">
        <v>101</v>
      </c>
      <c r="H2483" s="29">
        <v>102</v>
      </c>
      <c r="I2483" s="29">
        <v>99</v>
      </c>
      <c r="J2483" s="29">
        <v>85.5</v>
      </c>
      <c r="K2483" s="29">
        <v>86</v>
      </c>
      <c r="L2483" s="29">
        <v>77</v>
      </c>
      <c r="M2483" s="29">
        <v>79</v>
      </c>
      <c r="N2483" s="29">
        <v>81</v>
      </c>
      <c r="O2483" s="32">
        <v>609.5</v>
      </c>
      <c r="P2483" s="29" cm="1">
        <f t="array" ref="P2483">IF(表成绩单[[#This Row],[语文]]="","",SUMPRODUCT((表成绩单[考试日期]=表成绩单[[#This Row],[考试日期]])*(表成绩单[语文]&lt;9E+307)*(表成绩单[语文]&gt;表成绩单[[#This Row],[语文]]))+1)</f>
        <v>183</v>
      </c>
      <c r="Q2483" s="29" cm="1">
        <f t="array" ref="Q2483">IF(表成绩单[[#This Row],[数学]]="","",SUMPRODUCT((表成绩单[考试日期]=表成绩单[[#This Row],[考试日期]])*(表成绩单[数学]&lt;9E+307)*(表成绩单[数学]&gt;表成绩单[[#This Row],[数学]]))+1)</f>
        <v>140</v>
      </c>
      <c r="R2483" s="29" cm="1">
        <f t="array" ref="R2483">IF(表成绩单[[#This Row],[英语]]="","",SUMPRODUCT((表成绩单[考试日期]=表成绩单[[#This Row],[考试日期]])*(表成绩单[英语]&lt;9E+307)*(表成绩单[英语]&gt;表成绩单[[#This Row],[英语]]))+1)</f>
        <v>43</v>
      </c>
      <c r="S2483" s="29" cm="1">
        <f t="array" ref="S2483">IF(表成绩单[[#This Row],[物理]]="","",SUMPRODUCT((表成绩单[考试日期]=表成绩单[[#This Row],[考试日期]])*(表成绩单[物理]&lt;9E+307)*(表成绩单[物理]&gt;表成绩单[[#This Row],[物理]]))+1)</f>
        <v>61</v>
      </c>
      <c r="T2483" s="29" cm="1">
        <f t="array" ref="T2483">IF(表成绩单[[#This Row],[化学]]="","",SUMPRODUCT((表成绩单[考试日期]=表成绩单[[#This Row],[考试日期]])*(表成绩单[化学]&lt;9E+307)*(表成绩单[化学]&gt;表成绩单[[#This Row],[化学]]))+1)</f>
        <v>57</v>
      </c>
      <c r="U2483" s="29" cm="1">
        <f t="array" ref="U2483">IF(表成绩单[[#This Row],[政治]]="","",SUMPRODUCT((表成绩单[考试日期]=表成绩单[[#This Row],[考试日期]])*(表成绩单[政治]&lt;9E+307)*(表成绩单[政治]&gt;表成绩单[[#This Row],[政治]]))+1)</f>
        <v>134</v>
      </c>
      <c r="V2483" s="29" cm="1">
        <f t="array" ref="V2483">IF(表成绩单[[#This Row],[历史]]="","",SUMPRODUCT((表成绩单[考试日期]=表成绩单[[#This Row],[考试日期]])*(表成绩单[历史]&lt;9E+307)*(表成绩单[历史]&gt;表成绩单[[#This Row],[历史]]))+1)</f>
        <v>106</v>
      </c>
      <c r="W2483" s="29" cm="1">
        <f t="array" ref="W2483">IF(表成绩单[[#This Row],[总分]]="","",SUMPRODUCT((表成绩单[考试日期]=表成绩单[[#This Row],[考试日期]])*(表成绩单[总分]&lt;9E+307)*(表成绩单[总分]&gt;表成绩单[[#This Row],[总分]]))+1)</f>
        <v>76</v>
      </c>
    </row>
    <row r="2484" ht="28" customHeight="1" spans="4:23">
      <c r="D2484" s="31">
        <v>46108</v>
      </c>
      <c r="E2484" s="29">
        <v>19175416</v>
      </c>
      <c r="F2484" s="29" t="s">
        <v>74</v>
      </c>
      <c r="G2484" s="29" t="s">
        <v>99</v>
      </c>
      <c r="H2484" s="29">
        <v>100</v>
      </c>
      <c r="I2484" s="29">
        <v>112</v>
      </c>
      <c r="J2484" s="29">
        <v>82.5</v>
      </c>
      <c r="K2484" s="29">
        <v>86</v>
      </c>
      <c r="L2484" s="29">
        <v>76</v>
      </c>
      <c r="M2484" s="29">
        <v>80</v>
      </c>
      <c r="N2484" s="29">
        <v>73</v>
      </c>
      <c r="O2484" s="32">
        <v>609.5</v>
      </c>
      <c r="P2484" s="29" cm="1">
        <f t="array" ref="P2484">IF(表成绩单[[#This Row],[语文]]="","",SUMPRODUCT((表成绩单[考试日期]=表成绩单[[#This Row],[考试日期]])*(表成绩单[语文]&lt;9E+307)*(表成绩单[语文]&gt;表成绩单[[#This Row],[语文]]))+1)</f>
        <v>247</v>
      </c>
      <c r="Q2484" s="29" cm="1">
        <f t="array" ref="Q2484">IF(表成绩单[[#This Row],[数学]]="","",SUMPRODUCT((表成绩单[考试日期]=表成绩单[[#This Row],[考试日期]])*(表成绩单[数学]&lt;9E+307)*(表成绩单[数学]&gt;表成绩单[[#This Row],[数学]]))+1)</f>
        <v>4</v>
      </c>
      <c r="R2484" s="29" cm="1">
        <f t="array" ref="R2484">IF(表成绩单[[#This Row],[英语]]="","",SUMPRODUCT((表成绩单[考试日期]=表成绩单[[#This Row],[考试日期]])*(表成绩单[英语]&lt;9E+307)*(表成绩单[英语]&gt;表成绩单[[#This Row],[英语]]))+1)</f>
        <v>156</v>
      </c>
      <c r="S2484" s="29" cm="1">
        <f t="array" ref="S2484">IF(表成绩单[[#This Row],[物理]]="","",SUMPRODUCT((表成绩单[考试日期]=表成绩单[[#This Row],[考试日期]])*(表成绩单[物理]&lt;9E+307)*(表成绩单[物理]&gt;表成绩单[[#This Row],[物理]]))+1)</f>
        <v>61</v>
      </c>
      <c r="T2484" s="29" cm="1">
        <f t="array" ref="T2484">IF(表成绩单[[#This Row],[化学]]="","",SUMPRODUCT((表成绩单[考试日期]=表成绩单[[#This Row],[考试日期]])*(表成绩单[化学]&lt;9E+307)*(表成绩单[化学]&gt;表成绩单[[#This Row],[化学]]))+1)</f>
        <v>71</v>
      </c>
      <c r="U2484" s="29" cm="1">
        <f t="array" ref="U2484">IF(表成绩单[[#This Row],[政治]]="","",SUMPRODUCT((表成绩单[考试日期]=表成绩单[[#This Row],[考试日期]])*(表成绩单[政治]&lt;9E+307)*(表成绩单[政治]&gt;表成绩单[[#This Row],[政治]]))+1)</f>
        <v>98</v>
      </c>
      <c r="V2484" s="29" cm="1">
        <f t="array" ref="V2484">IF(表成绩单[[#This Row],[历史]]="","",SUMPRODUCT((表成绩单[考试日期]=表成绩单[[#This Row],[考试日期]])*(表成绩单[历史]&lt;9E+307)*(表成绩单[历史]&gt;表成绩单[[#This Row],[历史]]))+1)</f>
        <v>432</v>
      </c>
      <c r="W2484" s="29" cm="1">
        <f t="array" ref="W2484">IF(表成绩单[[#This Row],[总分]]="","",SUMPRODUCT((表成绩单[考试日期]=表成绩单[[#This Row],[考试日期]])*(表成绩单[总分]&lt;9E+307)*(表成绩单[总分]&gt;表成绩单[[#This Row],[总分]]))+1)</f>
        <v>76</v>
      </c>
    </row>
    <row r="2485" ht="28" customHeight="1" spans="4:23">
      <c r="D2485" s="31">
        <v>46108</v>
      </c>
      <c r="E2485" s="29">
        <v>19177207</v>
      </c>
      <c r="F2485" s="29" t="s">
        <v>70</v>
      </c>
      <c r="G2485" s="29" t="s">
        <v>320</v>
      </c>
      <c r="H2485" s="29">
        <v>107</v>
      </c>
      <c r="I2485" s="29">
        <v>104</v>
      </c>
      <c r="J2485" s="29">
        <v>82.5</v>
      </c>
      <c r="K2485" s="29">
        <v>83</v>
      </c>
      <c r="L2485" s="29">
        <v>74</v>
      </c>
      <c r="M2485" s="29">
        <v>79</v>
      </c>
      <c r="N2485" s="29">
        <v>80</v>
      </c>
      <c r="O2485" s="32">
        <v>609.5</v>
      </c>
      <c r="P2485" s="29" cm="1">
        <f t="array" ref="P2485">IF(表成绩单[[#This Row],[语文]]="","",SUMPRODUCT((表成绩单[考试日期]=表成绩单[[#This Row],[考试日期]])*(表成绩单[语文]&lt;9E+307)*(表成绩单[语文]&gt;表成绩单[[#This Row],[语文]]))+1)</f>
        <v>67</v>
      </c>
      <c r="Q2485" s="29" cm="1">
        <f t="array" ref="Q2485">IF(表成绩单[[#This Row],[数学]]="","",SUMPRODUCT((表成绩单[考试日期]=表成绩单[[#This Row],[考试日期]])*(表成绩单[数学]&lt;9E+307)*(表成绩单[数学]&gt;表成绩单[[#This Row],[数学]]))+1)</f>
        <v>68</v>
      </c>
      <c r="R2485" s="29" cm="1">
        <f t="array" ref="R2485">IF(表成绩单[[#This Row],[英语]]="","",SUMPRODUCT((表成绩单[考试日期]=表成绩单[[#This Row],[考试日期]])*(表成绩单[英语]&lt;9E+307)*(表成绩单[英语]&gt;表成绩单[[#This Row],[英语]]))+1)</f>
        <v>156</v>
      </c>
      <c r="S2485" s="29" cm="1">
        <f t="array" ref="S2485">IF(表成绩单[[#This Row],[物理]]="","",SUMPRODUCT((表成绩单[考试日期]=表成绩单[[#This Row],[考试日期]])*(表成绩单[物理]&lt;9E+307)*(表成绩单[物理]&gt;表成绩单[[#This Row],[物理]]))+1)</f>
        <v>184</v>
      </c>
      <c r="T2485" s="29" cm="1">
        <f t="array" ref="T2485">IF(表成绩单[[#This Row],[化学]]="","",SUMPRODUCT((表成绩单[考试日期]=表成绩单[[#This Row],[考试日期]])*(表成绩单[化学]&lt;9E+307)*(表成绩单[化学]&gt;表成绩单[[#This Row],[化学]]))+1)</f>
        <v>127</v>
      </c>
      <c r="U2485" s="29" cm="1">
        <f t="array" ref="U2485">IF(表成绩单[[#This Row],[政治]]="","",SUMPRODUCT((表成绩单[考试日期]=表成绩单[[#This Row],[考试日期]])*(表成绩单[政治]&lt;9E+307)*(表成绩单[政治]&gt;表成绩单[[#This Row],[政治]]))+1)</f>
        <v>134</v>
      </c>
      <c r="V2485" s="29" cm="1">
        <f t="array" ref="V2485">IF(表成绩单[[#This Row],[历史]]="","",SUMPRODUCT((表成绩单[考试日期]=表成绩单[[#This Row],[考试日期]])*(表成绩单[历史]&lt;9E+307)*(表成绩单[历史]&gt;表成绩单[[#This Row],[历史]]))+1)</f>
        <v>143</v>
      </c>
      <c r="W2485" s="29" cm="1">
        <f t="array" ref="W2485">IF(表成绩单[[#This Row],[总分]]="","",SUMPRODUCT((表成绩单[考试日期]=表成绩单[[#This Row],[考试日期]])*(表成绩单[总分]&lt;9E+307)*(表成绩单[总分]&gt;表成绩单[[#This Row],[总分]]))+1)</f>
        <v>76</v>
      </c>
    </row>
    <row r="2486" ht="28" customHeight="1" spans="4:23">
      <c r="D2486" s="31">
        <v>46108</v>
      </c>
      <c r="E2486" s="29">
        <v>19173532</v>
      </c>
      <c r="F2486" s="29" t="s">
        <v>1</v>
      </c>
      <c r="G2486" s="29" t="s">
        <v>125</v>
      </c>
      <c r="H2486" s="29">
        <v>98</v>
      </c>
      <c r="I2486" s="29">
        <v>106</v>
      </c>
      <c r="J2486" s="29">
        <v>85</v>
      </c>
      <c r="K2486" s="29">
        <v>85</v>
      </c>
      <c r="L2486" s="29">
        <v>73</v>
      </c>
      <c r="M2486" s="29">
        <v>81</v>
      </c>
      <c r="N2486" s="29">
        <v>81</v>
      </c>
      <c r="O2486" s="32">
        <v>609</v>
      </c>
      <c r="P2486" s="29" cm="1">
        <f t="array" ref="P2486">IF(表成绩单[[#This Row],[语文]]="","",SUMPRODUCT((表成绩单[考试日期]=表成绩单[[#This Row],[考试日期]])*(表成绩单[语文]&lt;9E+307)*(表成绩单[语文]&gt;表成绩单[[#This Row],[语文]]))+1)</f>
        <v>322</v>
      </c>
      <c r="Q2486" s="29" cm="1">
        <f t="array" ref="Q2486">IF(表成绩单[[#This Row],[数学]]="","",SUMPRODUCT((表成绩单[考试日期]=表成绩单[[#This Row],[考试日期]])*(表成绩单[数学]&lt;9E+307)*(表成绩单[数学]&gt;表成绩单[[#This Row],[数学]]))+1)</f>
        <v>40</v>
      </c>
      <c r="R2486" s="29" cm="1">
        <f t="array" ref="R2486">IF(表成绩单[[#This Row],[英语]]="","",SUMPRODUCT((表成绩单[考试日期]=表成绩单[[#This Row],[考试日期]])*(表成绩单[英语]&lt;9E+307)*(表成绩单[英语]&gt;表成绩单[[#This Row],[英语]]))+1)</f>
        <v>59</v>
      </c>
      <c r="S2486" s="29" cm="1">
        <f t="array" ref="S2486">IF(表成绩单[[#This Row],[物理]]="","",SUMPRODUCT((表成绩单[考试日期]=表成绩单[[#This Row],[考试日期]])*(表成绩单[物理]&lt;9E+307)*(表成绩单[物理]&gt;表成绩单[[#This Row],[物理]]))+1)</f>
        <v>105</v>
      </c>
      <c r="T2486" s="29" cm="1">
        <f t="array" ref="T2486">IF(表成绩单[[#This Row],[化学]]="","",SUMPRODUCT((表成绩单[考试日期]=表成绩单[[#This Row],[考试日期]])*(表成绩单[化学]&lt;9E+307)*(表成绩单[化学]&gt;表成绩单[[#This Row],[化学]]))+1)</f>
        <v>152</v>
      </c>
      <c r="U2486" s="29" cm="1">
        <f t="array" ref="U2486">IF(表成绩单[[#This Row],[政治]]="","",SUMPRODUCT((表成绩单[考试日期]=表成绩单[[#This Row],[考试日期]])*(表成绩单[政治]&lt;9E+307)*(表成绩单[政治]&gt;表成绩单[[#This Row],[政治]]))+1)</f>
        <v>68</v>
      </c>
      <c r="V2486" s="29" cm="1">
        <f t="array" ref="V2486">IF(表成绩单[[#This Row],[历史]]="","",SUMPRODUCT((表成绩单[考试日期]=表成绩单[[#This Row],[考试日期]])*(表成绩单[历史]&lt;9E+307)*(表成绩单[历史]&gt;表成绩单[[#This Row],[历史]]))+1)</f>
        <v>106</v>
      </c>
      <c r="W2486" s="29" cm="1">
        <f t="array" ref="W2486">IF(表成绩单[[#This Row],[总分]]="","",SUMPRODUCT((表成绩单[考试日期]=表成绩单[[#This Row],[考试日期]])*(表成绩单[总分]&lt;9E+307)*(表成绩单[总分]&gt;表成绩单[[#This Row],[总分]]))+1)</f>
        <v>79</v>
      </c>
    </row>
    <row r="2487" ht="28" customHeight="1" spans="4:23">
      <c r="D2487" s="31">
        <v>46108</v>
      </c>
      <c r="E2487" s="29">
        <v>19175382</v>
      </c>
      <c r="F2487" s="29" t="s">
        <v>74</v>
      </c>
      <c r="G2487" s="29" t="s">
        <v>224</v>
      </c>
      <c r="H2487" s="29">
        <v>96</v>
      </c>
      <c r="I2487" s="29">
        <v>105</v>
      </c>
      <c r="J2487" s="29">
        <v>78</v>
      </c>
      <c r="K2487" s="29">
        <v>88</v>
      </c>
      <c r="L2487" s="29">
        <v>87</v>
      </c>
      <c r="M2487" s="29">
        <v>79</v>
      </c>
      <c r="N2487" s="29">
        <v>76</v>
      </c>
      <c r="O2487" s="32">
        <v>609</v>
      </c>
      <c r="P2487" s="29" cm="1">
        <f t="array" ref="P2487">IF(表成绩单[[#This Row],[语文]]="","",SUMPRODUCT((表成绩单[考试日期]=表成绩单[[#This Row],[考试日期]])*(表成绩单[语文]&lt;9E+307)*(表成绩单[语文]&gt;表成绩单[[#This Row],[语文]]))+1)</f>
        <v>390</v>
      </c>
      <c r="Q2487" s="29" cm="1">
        <f t="array" ref="Q2487">IF(表成绩单[[#This Row],[数学]]="","",SUMPRODUCT((表成绩单[考试日期]=表成绩单[[#This Row],[考试日期]])*(表成绩单[数学]&lt;9E+307)*(表成绩单[数学]&gt;表成绩单[[#This Row],[数学]]))+1)</f>
        <v>52</v>
      </c>
      <c r="R2487" s="29" cm="1">
        <f t="array" ref="R2487">IF(表成绩单[[#This Row],[英语]]="","",SUMPRODUCT((表成绩单[考试日期]=表成绩单[[#This Row],[考试日期]])*(表成绩单[英语]&lt;9E+307)*(表成绩单[英语]&gt;表成绩单[[#This Row],[英语]]))+1)</f>
        <v>341</v>
      </c>
      <c r="S2487" s="29" cm="1">
        <f t="array" ref="S2487">IF(表成绩单[[#This Row],[物理]]="","",SUMPRODUCT((表成绩单[考试日期]=表成绩单[[#This Row],[考试日期]])*(表成绩单[物理]&lt;9E+307)*(表成绩单[物理]&gt;表成绩单[[#This Row],[物理]]))+1)</f>
        <v>27</v>
      </c>
      <c r="T2487" s="29" cm="1">
        <f t="array" ref="T2487">IF(表成绩单[[#This Row],[化学]]="","",SUMPRODUCT((表成绩单[考试日期]=表成绩单[[#This Row],[考试日期]])*(表成绩单[化学]&lt;9E+307)*(表成绩单[化学]&gt;表成绩单[[#This Row],[化学]]))+1)</f>
        <v>2</v>
      </c>
      <c r="U2487" s="29" cm="1">
        <f t="array" ref="U2487">IF(表成绩单[[#This Row],[政治]]="","",SUMPRODUCT((表成绩单[考试日期]=表成绩单[[#This Row],[考试日期]])*(表成绩单[政治]&lt;9E+307)*(表成绩单[政治]&gt;表成绩单[[#This Row],[政治]]))+1)</f>
        <v>134</v>
      </c>
      <c r="V2487" s="29" cm="1">
        <f t="array" ref="V2487">IF(表成绩单[[#This Row],[历史]]="","",SUMPRODUCT((表成绩单[考试日期]=表成绩单[[#This Row],[考试日期]])*(表成绩单[历史]&lt;9E+307)*(表成绩单[历史]&gt;表成绩单[[#This Row],[历史]]))+1)</f>
        <v>316</v>
      </c>
      <c r="W2487" s="29" cm="1">
        <f t="array" ref="W2487">IF(表成绩单[[#This Row],[总分]]="","",SUMPRODUCT((表成绩单[考试日期]=表成绩单[[#This Row],[考试日期]])*(表成绩单[总分]&lt;9E+307)*(表成绩单[总分]&gt;表成绩单[[#This Row],[总分]]))+1)</f>
        <v>79</v>
      </c>
    </row>
    <row r="2488" ht="28" customHeight="1" spans="4:23">
      <c r="D2488" s="31">
        <v>46108</v>
      </c>
      <c r="E2488" s="29">
        <v>19177203</v>
      </c>
      <c r="F2488" s="29" t="s">
        <v>70</v>
      </c>
      <c r="G2488" s="29" t="s">
        <v>83</v>
      </c>
      <c r="H2488" s="29">
        <v>102</v>
      </c>
      <c r="I2488" s="29">
        <v>95</v>
      </c>
      <c r="J2488" s="29">
        <v>82</v>
      </c>
      <c r="K2488" s="29">
        <v>85</v>
      </c>
      <c r="L2488" s="29">
        <v>75</v>
      </c>
      <c r="M2488" s="29">
        <v>86</v>
      </c>
      <c r="N2488" s="29">
        <v>84</v>
      </c>
      <c r="O2488" s="32">
        <v>609</v>
      </c>
      <c r="P2488" s="29" cm="1">
        <f t="array" ref="P2488">IF(表成绩单[[#This Row],[语文]]="","",SUMPRODUCT((表成绩单[考试日期]=表成绩单[[#This Row],[考试日期]])*(表成绩单[语文]&lt;9E+307)*(表成绩单[语文]&gt;表成绩单[[#This Row],[语文]]))+1)</f>
        <v>183</v>
      </c>
      <c r="Q2488" s="29" cm="1">
        <f t="array" ref="Q2488">IF(表成绩单[[#This Row],[数学]]="","",SUMPRODUCT((表成绩单[考试日期]=表成绩单[[#This Row],[考试日期]])*(表成绩单[数学]&lt;9E+307)*(表成绩单[数学]&gt;表成绩单[[#This Row],[数学]]))+1)</f>
        <v>229</v>
      </c>
      <c r="R2488" s="29" cm="1">
        <f t="array" ref="R2488">IF(表成绩单[[#This Row],[英语]]="","",SUMPRODUCT((表成绩单[考试日期]=表成绩单[[#This Row],[考试日期]])*(表成绩单[英语]&lt;9E+307)*(表成绩单[英语]&gt;表成绩单[[#This Row],[英语]]))+1)</f>
        <v>180</v>
      </c>
      <c r="S2488" s="29" cm="1">
        <f t="array" ref="S2488">IF(表成绩单[[#This Row],[物理]]="","",SUMPRODUCT((表成绩单[考试日期]=表成绩单[[#This Row],[考试日期]])*(表成绩单[物理]&lt;9E+307)*(表成绩单[物理]&gt;表成绩单[[#This Row],[物理]]))+1)</f>
        <v>105</v>
      </c>
      <c r="T2488" s="29" cm="1">
        <f t="array" ref="T2488">IF(表成绩单[[#This Row],[化学]]="","",SUMPRODUCT((表成绩单[考试日期]=表成绩单[[#This Row],[考试日期]])*(表成绩单[化学]&lt;9E+307)*(表成绩单[化学]&gt;表成绩单[[#This Row],[化学]]))+1)</f>
        <v>96</v>
      </c>
      <c r="U2488" s="29" cm="1">
        <f t="array" ref="U2488">IF(表成绩单[[#This Row],[政治]]="","",SUMPRODUCT((表成绩单[考试日期]=表成绩单[[#This Row],[考试日期]])*(表成绩单[政治]&lt;9E+307)*(表成绩单[政治]&gt;表成绩单[[#This Row],[政治]]))+1)</f>
        <v>4</v>
      </c>
      <c r="V2488" s="29" cm="1">
        <f t="array" ref="V2488">IF(表成绩单[[#This Row],[历史]]="","",SUMPRODUCT((表成绩单[考试日期]=表成绩单[[#This Row],[考试日期]])*(表成绩单[历史]&lt;9E+307)*(表成绩单[历史]&gt;表成绩单[[#This Row],[历史]]))+1)</f>
        <v>38</v>
      </c>
      <c r="W2488" s="29" cm="1">
        <f t="array" ref="W2488">IF(表成绩单[[#This Row],[总分]]="","",SUMPRODUCT((表成绩单[考试日期]=表成绩单[[#This Row],[考试日期]])*(表成绩单[总分]&lt;9E+307)*(表成绩单[总分]&gt;表成绩单[[#This Row],[总分]]))+1)</f>
        <v>79</v>
      </c>
    </row>
    <row r="2489" ht="28" customHeight="1" spans="4:23">
      <c r="D2489" s="31">
        <v>46108</v>
      </c>
      <c r="E2489" s="29">
        <v>19175405</v>
      </c>
      <c r="F2489" s="29" t="s">
        <v>74</v>
      </c>
      <c r="G2489" s="29" t="s">
        <v>203</v>
      </c>
      <c r="H2489" s="29">
        <v>102</v>
      </c>
      <c r="I2489" s="29">
        <v>111</v>
      </c>
      <c r="J2489" s="29">
        <v>78.5</v>
      </c>
      <c r="K2489" s="29">
        <v>84</v>
      </c>
      <c r="L2489" s="29">
        <v>77</v>
      </c>
      <c r="M2489" s="29">
        <v>73</v>
      </c>
      <c r="N2489" s="29">
        <v>83</v>
      </c>
      <c r="O2489" s="32">
        <v>608.5</v>
      </c>
      <c r="P2489" s="29" cm="1">
        <f t="array" ref="P2489">IF(表成绩单[[#This Row],[语文]]="","",SUMPRODUCT((表成绩单[考试日期]=表成绩单[[#This Row],[考试日期]])*(表成绩单[语文]&lt;9E+307)*(表成绩单[语文]&gt;表成绩单[[#This Row],[语文]]))+1)</f>
        <v>183</v>
      </c>
      <c r="Q2489" s="29" cm="1">
        <f t="array" ref="Q2489">IF(表成绩单[[#This Row],[数学]]="","",SUMPRODUCT((表成绩单[考试日期]=表成绩单[[#This Row],[考试日期]])*(表成绩单[数学]&lt;9E+307)*(表成绩单[数学]&gt;表成绩单[[#This Row],[数学]]))+1)</f>
        <v>7</v>
      </c>
      <c r="R2489" s="29" cm="1">
        <f t="array" ref="R2489">IF(表成绩单[[#This Row],[英语]]="","",SUMPRODUCT((表成绩单[考试日期]=表成绩单[[#This Row],[考试日期]])*(表成绩单[英语]&lt;9E+307)*(表成绩单[英语]&gt;表成绩单[[#This Row],[英语]]))+1)</f>
        <v>322</v>
      </c>
      <c r="S2489" s="29" cm="1">
        <f t="array" ref="S2489">IF(表成绩单[[#This Row],[物理]]="","",SUMPRODUCT((表成绩单[考试日期]=表成绩单[[#This Row],[考试日期]])*(表成绩单[物理]&lt;9E+307)*(表成绩单[物理]&gt;表成绩单[[#This Row],[物理]]))+1)</f>
        <v>146</v>
      </c>
      <c r="T2489" s="29" cm="1">
        <f t="array" ref="T2489">IF(表成绩单[[#This Row],[化学]]="","",SUMPRODUCT((表成绩单[考试日期]=表成绩单[[#This Row],[考试日期]])*(表成绩单[化学]&lt;9E+307)*(表成绩单[化学]&gt;表成绩单[[#This Row],[化学]]))+1)</f>
        <v>57</v>
      </c>
      <c r="U2489" s="29" cm="1">
        <f t="array" ref="U2489">IF(表成绩单[[#This Row],[政治]]="","",SUMPRODUCT((表成绩单[考试日期]=表成绩单[[#This Row],[考试日期]])*(表成绩单[政治]&lt;9E+307)*(表成绩单[政治]&gt;表成绩单[[#This Row],[政治]]))+1)</f>
        <v>431</v>
      </c>
      <c r="V2489" s="29" cm="1">
        <f t="array" ref="V2489">IF(表成绩单[[#This Row],[历史]]="","",SUMPRODUCT((表成绩单[考试日期]=表成绩单[[#This Row],[考试日期]])*(表成绩单[历史]&lt;9E+307)*(表成绩单[历史]&gt;表成绩单[[#This Row],[历史]]))+1)</f>
        <v>60</v>
      </c>
      <c r="W2489" s="29" cm="1">
        <f t="array" ref="W2489">IF(表成绩单[[#This Row],[总分]]="","",SUMPRODUCT((表成绩单[考试日期]=表成绩单[[#This Row],[考试日期]])*(表成绩单[总分]&lt;9E+307)*(表成绩单[总分]&gt;表成绩单[[#This Row],[总分]]))+1)</f>
        <v>82</v>
      </c>
    </row>
    <row r="2490" ht="28" customHeight="1" spans="4:23">
      <c r="D2490" s="31">
        <v>46108</v>
      </c>
      <c r="E2490" s="29">
        <v>19176856</v>
      </c>
      <c r="F2490" s="29" t="s">
        <v>71</v>
      </c>
      <c r="G2490" s="29" t="s">
        <v>206</v>
      </c>
      <c r="H2490" s="29">
        <v>109</v>
      </c>
      <c r="I2490" s="29">
        <v>104</v>
      </c>
      <c r="J2490" s="29">
        <v>84.5</v>
      </c>
      <c r="K2490" s="29">
        <v>82</v>
      </c>
      <c r="L2490" s="29">
        <v>67</v>
      </c>
      <c r="M2490" s="29">
        <v>82</v>
      </c>
      <c r="N2490" s="29">
        <v>80</v>
      </c>
      <c r="O2490" s="32">
        <v>608.5</v>
      </c>
      <c r="P2490" s="29" cm="1">
        <f t="array" ref="P2490">IF(表成绩单[[#This Row],[语文]]="","",SUMPRODUCT((表成绩单[考试日期]=表成绩单[[#This Row],[考试日期]])*(表成绩单[语文]&lt;9E+307)*(表成绩单[语文]&gt;表成绩单[[#This Row],[语文]]))+1)</f>
        <v>40</v>
      </c>
      <c r="Q2490" s="29" cm="1">
        <f t="array" ref="Q2490">IF(表成绩单[[#This Row],[数学]]="","",SUMPRODUCT((表成绩单[考试日期]=表成绩单[[#This Row],[考试日期]])*(表成绩单[数学]&lt;9E+307)*(表成绩单[数学]&gt;表成绩单[[#This Row],[数学]]))+1)</f>
        <v>68</v>
      </c>
      <c r="R2490" s="29" cm="1">
        <f t="array" ref="R2490">IF(表成绩单[[#This Row],[英语]]="","",SUMPRODUCT((表成绩单[考试日期]=表成绩单[[#This Row],[考试日期]])*(表成绩单[英语]&lt;9E+307)*(表成绩单[英语]&gt;表成绩单[[#This Row],[英语]]))+1)</f>
        <v>83</v>
      </c>
      <c r="S2490" s="29" cm="1">
        <f t="array" ref="S2490">IF(表成绩单[[#This Row],[物理]]="","",SUMPRODUCT((表成绩单[考试日期]=表成绩单[[#This Row],[考试日期]])*(表成绩单[物理]&lt;9E+307)*(表成绩单[物理]&gt;表成绩单[[#This Row],[物理]]))+1)</f>
        <v>223</v>
      </c>
      <c r="T2490" s="29" cm="1">
        <f t="array" ref="T2490">IF(表成绩单[[#This Row],[化学]]="","",SUMPRODUCT((表成绩单[考试日期]=表成绩单[[#This Row],[考试日期]])*(表成绩单[化学]&lt;9E+307)*(表成绩单[化学]&gt;表成绩单[[#This Row],[化学]]))+1)</f>
        <v>335</v>
      </c>
      <c r="U2490" s="29" cm="1">
        <f t="array" ref="U2490">IF(表成绩单[[#This Row],[政治]]="","",SUMPRODUCT((表成绩单[考试日期]=表成绩单[[#This Row],[考试日期]])*(表成绩单[政治]&lt;9E+307)*(表成绩单[政治]&gt;表成绩单[[#This Row],[政治]]))+1)</f>
        <v>45</v>
      </c>
      <c r="V2490" s="29" cm="1">
        <f t="array" ref="V2490">IF(表成绩单[[#This Row],[历史]]="","",SUMPRODUCT((表成绩单[考试日期]=表成绩单[[#This Row],[考试日期]])*(表成绩单[历史]&lt;9E+307)*(表成绩单[历史]&gt;表成绩单[[#This Row],[历史]]))+1)</f>
        <v>143</v>
      </c>
      <c r="W2490" s="29" cm="1">
        <f t="array" ref="W2490">IF(表成绩单[[#This Row],[总分]]="","",SUMPRODUCT((表成绩单[考试日期]=表成绩单[[#This Row],[考试日期]])*(表成绩单[总分]&lt;9E+307)*(表成绩单[总分]&gt;表成绩单[[#This Row],[总分]]))+1)</f>
        <v>82</v>
      </c>
    </row>
    <row r="2491" ht="28" customHeight="1" spans="4:23">
      <c r="D2491" s="31">
        <v>46108</v>
      </c>
      <c r="E2491" s="29">
        <v>19176892</v>
      </c>
      <c r="F2491" s="29" t="s">
        <v>71</v>
      </c>
      <c r="G2491" s="29" t="s">
        <v>100</v>
      </c>
      <c r="H2491" s="29">
        <v>105</v>
      </c>
      <c r="I2491" s="29">
        <v>106</v>
      </c>
      <c r="J2491" s="29">
        <v>80.5</v>
      </c>
      <c r="K2491" s="29">
        <v>81</v>
      </c>
      <c r="L2491" s="29">
        <v>80</v>
      </c>
      <c r="M2491" s="29">
        <v>79</v>
      </c>
      <c r="N2491" s="29">
        <v>77</v>
      </c>
      <c r="O2491" s="32">
        <v>608.5</v>
      </c>
      <c r="P2491" s="29" cm="1">
        <f t="array" ref="P2491">IF(表成绩单[[#This Row],[语文]]="","",SUMPRODUCT((表成绩单[考试日期]=表成绩单[[#This Row],[考试日期]])*(表成绩单[语文]&lt;9E+307)*(表成绩单[语文]&gt;表成绩单[[#This Row],[语文]]))+1)</f>
        <v>101</v>
      </c>
      <c r="Q2491" s="29" cm="1">
        <f t="array" ref="Q2491">IF(表成绩单[[#This Row],[数学]]="","",SUMPRODUCT((表成绩单[考试日期]=表成绩单[[#This Row],[考试日期]])*(表成绩单[数学]&lt;9E+307)*(表成绩单[数学]&gt;表成绩单[[#This Row],[数学]]))+1)</f>
        <v>40</v>
      </c>
      <c r="R2491" s="29" cm="1">
        <f t="array" ref="R2491">IF(表成绩单[[#This Row],[英语]]="","",SUMPRODUCT((表成绩单[考试日期]=表成绩单[[#This Row],[考试日期]])*(表成绩单[英语]&lt;9E+307)*(表成绩单[英语]&gt;表成绩单[[#This Row],[英语]]))+1)</f>
        <v>244</v>
      </c>
      <c r="S2491" s="29" cm="1">
        <f t="array" ref="S2491">IF(表成绩单[[#This Row],[物理]]="","",SUMPRODUCT((表成绩单[考试日期]=表成绩单[[#This Row],[考试日期]])*(表成绩单[物理]&lt;9E+307)*(表成绩单[物理]&gt;表成绩单[[#This Row],[物理]]))+1)</f>
        <v>269</v>
      </c>
      <c r="T2491" s="29" cm="1">
        <f t="array" ref="T2491">IF(表成绩单[[#This Row],[化学]]="","",SUMPRODUCT((表成绩单[考试日期]=表成绩单[[#This Row],[考试日期]])*(表成绩单[化学]&lt;9E+307)*(表成绩单[化学]&gt;表成绩单[[#This Row],[化学]]))+1)</f>
        <v>25</v>
      </c>
      <c r="U2491" s="29" cm="1">
        <f t="array" ref="U2491">IF(表成绩单[[#This Row],[政治]]="","",SUMPRODUCT((表成绩单[考试日期]=表成绩单[[#This Row],[考试日期]])*(表成绩单[政治]&lt;9E+307)*(表成绩单[政治]&gt;表成绩单[[#This Row],[政治]]))+1)</f>
        <v>134</v>
      </c>
      <c r="V2491" s="29" cm="1">
        <f t="array" ref="V2491">IF(表成绩单[[#This Row],[历史]]="","",SUMPRODUCT((表成绩单[考试日期]=表成绩单[[#This Row],[考试日期]])*(表成绩单[历史]&lt;9E+307)*(表成绩单[历史]&gt;表成绩单[[#This Row],[历史]]))+1)</f>
        <v>269</v>
      </c>
      <c r="W2491" s="29" cm="1">
        <f t="array" ref="W2491">IF(表成绩单[[#This Row],[总分]]="","",SUMPRODUCT((表成绩单[考试日期]=表成绩单[[#This Row],[考试日期]])*(表成绩单[总分]&lt;9E+307)*(表成绩单[总分]&gt;表成绩单[[#This Row],[总分]]))+1)</f>
        <v>82</v>
      </c>
    </row>
    <row r="2492" ht="28" customHeight="1" spans="4:23">
      <c r="D2492" s="31">
        <v>46108</v>
      </c>
      <c r="E2492" s="29">
        <v>19177200</v>
      </c>
      <c r="F2492" s="29" t="s">
        <v>70</v>
      </c>
      <c r="G2492" s="29" t="s">
        <v>177</v>
      </c>
      <c r="H2492" s="29">
        <v>101</v>
      </c>
      <c r="I2492" s="29">
        <v>102</v>
      </c>
      <c r="J2492" s="29">
        <v>81.5</v>
      </c>
      <c r="K2492" s="29">
        <v>85</v>
      </c>
      <c r="L2492" s="29">
        <v>74</v>
      </c>
      <c r="M2492" s="29">
        <v>85</v>
      </c>
      <c r="N2492" s="29">
        <v>80</v>
      </c>
      <c r="O2492" s="32">
        <v>608.5</v>
      </c>
      <c r="P2492" s="29" cm="1">
        <f t="array" ref="P2492">IF(表成绩单[[#This Row],[语文]]="","",SUMPRODUCT((表成绩单[考试日期]=表成绩单[[#This Row],[考试日期]])*(表成绩单[语文]&lt;9E+307)*(表成绩单[语文]&gt;表成绩单[[#This Row],[语文]]))+1)</f>
        <v>211</v>
      </c>
      <c r="Q2492" s="29" cm="1">
        <f t="array" ref="Q2492">IF(表成绩单[[#This Row],[数学]]="","",SUMPRODUCT((表成绩单[考试日期]=表成绩单[[#This Row],[考试日期]])*(表成绩单[数学]&lt;9E+307)*(表成绩单[数学]&gt;表成绩单[[#This Row],[数学]]))+1)</f>
        <v>98</v>
      </c>
      <c r="R2492" s="29" cm="1">
        <f t="array" ref="R2492">IF(表成绩单[[#This Row],[英语]]="","",SUMPRODUCT((表成绩单[考试日期]=表成绩单[[#This Row],[考试日期]])*(表成绩单[英语]&lt;9E+307)*(表成绩单[英语]&gt;表成绩单[[#This Row],[英语]]))+1)</f>
        <v>203</v>
      </c>
      <c r="S2492" s="29" cm="1">
        <f t="array" ref="S2492">IF(表成绩单[[#This Row],[物理]]="","",SUMPRODUCT((表成绩单[考试日期]=表成绩单[[#This Row],[考试日期]])*(表成绩单[物理]&lt;9E+307)*(表成绩单[物理]&gt;表成绩单[[#This Row],[物理]]))+1)</f>
        <v>105</v>
      </c>
      <c r="T2492" s="29" cm="1">
        <f t="array" ref="T2492">IF(表成绩单[[#This Row],[化学]]="","",SUMPRODUCT((表成绩单[考试日期]=表成绩单[[#This Row],[考试日期]])*(表成绩单[化学]&lt;9E+307)*(表成绩单[化学]&gt;表成绩单[[#This Row],[化学]]))+1)</f>
        <v>127</v>
      </c>
      <c r="U2492" s="29" cm="1">
        <f t="array" ref="U2492">IF(表成绩单[[#This Row],[政治]]="","",SUMPRODUCT((表成绩单[考试日期]=表成绩单[[#This Row],[考试日期]])*(表成绩单[政治]&lt;9E+307)*(表成绩单[政治]&gt;表成绩单[[#This Row],[政治]]))+1)</f>
        <v>5</v>
      </c>
      <c r="V2492" s="29" cm="1">
        <f t="array" ref="V2492">IF(表成绩单[[#This Row],[历史]]="","",SUMPRODUCT((表成绩单[考试日期]=表成绩单[[#This Row],[考试日期]])*(表成绩单[历史]&lt;9E+307)*(表成绩单[历史]&gt;表成绩单[[#This Row],[历史]]))+1)</f>
        <v>143</v>
      </c>
      <c r="W2492" s="29" cm="1">
        <f t="array" ref="W2492">IF(表成绩单[[#This Row],[总分]]="","",SUMPRODUCT((表成绩单[考试日期]=表成绩单[[#This Row],[考试日期]])*(表成绩单[总分]&lt;9E+307)*(表成绩单[总分]&gt;表成绩单[[#This Row],[总分]]))+1)</f>
        <v>82</v>
      </c>
    </row>
    <row r="2493" ht="28" customHeight="1" spans="4:23">
      <c r="D2493" s="31">
        <v>46108</v>
      </c>
      <c r="E2493" s="29">
        <v>19178618</v>
      </c>
      <c r="F2493" s="29" t="s">
        <v>25</v>
      </c>
      <c r="G2493" s="29" t="s">
        <v>335</v>
      </c>
      <c r="H2493" s="29">
        <v>100</v>
      </c>
      <c r="I2493" s="29">
        <v>93</v>
      </c>
      <c r="J2493" s="29">
        <v>84.5</v>
      </c>
      <c r="K2493" s="29">
        <v>85</v>
      </c>
      <c r="L2493" s="29">
        <v>81</v>
      </c>
      <c r="M2493" s="29">
        <v>82</v>
      </c>
      <c r="N2493" s="29">
        <v>83</v>
      </c>
      <c r="O2493" s="32">
        <v>608.5</v>
      </c>
      <c r="P2493" s="29" cm="1">
        <f t="array" ref="P2493">IF(表成绩单[[#This Row],[语文]]="","",SUMPRODUCT((表成绩单[考试日期]=表成绩单[[#This Row],[考试日期]])*(表成绩单[语文]&lt;9E+307)*(表成绩单[语文]&gt;表成绩单[[#This Row],[语文]]))+1)</f>
        <v>247</v>
      </c>
      <c r="Q2493" s="29" cm="1">
        <f t="array" ref="Q2493">IF(表成绩单[[#This Row],[数学]]="","",SUMPRODUCT((表成绩单[考试日期]=表成绩单[[#This Row],[考试日期]])*(表成绩单[数学]&lt;9E+307)*(表成绩单[数学]&gt;表成绩单[[#This Row],[数学]]))+1)</f>
        <v>289</v>
      </c>
      <c r="R2493" s="29" cm="1">
        <f t="array" ref="R2493">IF(表成绩单[[#This Row],[英语]]="","",SUMPRODUCT((表成绩单[考试日期]=表成绩单[[#This Row],[考试日期]])*(表成绩单[英语]&lt;9E+307)*(表成绩单[英语]&gt;表成绩单[[#This Row],[英语]]))+1)</f>
        <v>83</v>
      </c>
      <c r="S2493" s="29" cm="1">
        <f t="array" ref="S2493">IF(表成绩单[[#This Row],[物理]]="","",SUMPRODUCT((表成绩单[考试日期]=表成绩单[[#This Row],[考试日期]])*(表成绩单[物理]&lt;9E+307)*(表成绩单[物理]&gt;表成绩单[[#This Row],[物理]]))+1)</f>
        <v>105</v>
      </c>
      <c r="T2493" s="29" cm="1">
        <f t="array" ref="T2493">IF(表成绩单[[#This Row],[化学]]="","",SUMPRODUCT((表成绩单[考试日期]=表成绩单[[#This Row],[考试日期]])*(表成绩单[化学]&lt;9E+307)*(表成绩单[化学]&gt;表成绩单[[#This Row],[化学]]))+1)</f>
        <v>17</v>
      </c>
      <c r="U2493" s="29" cm="1">
        <f t="array" ref="U2493">IF(表成绩单[[#This Row],[政治]]="","",SUMPRODUCT((表成绩单[考试日期]=表成绩单[[#This Row],[考试日期]])*(表成绩单[政治]&lt;9E+307)*(表成绩单[政治]&gt;表成绩单[[#This Row],[政治]]))+1)</f>
        <v>45</v>
      </c>
      <c r="V2493" s="29" cm="1">
        <f t="array" ref="V2493">IF(表成绩单[[#This Row],[历史]]="","",SUMPRODUCT((表成绩单[考试日期]=表成绩单[[#This Row],[考试日期]])*(表成绩单[历史]&lt;9E+307)*(表成绩单[历史]&gt;表成绩单[[#This Row],[历史]]))+1)</f>
        <v>60</v>
      </c>
      <c r="W2493" s="29" cm="1">
        <f t="array" ref="W2493">IF(表成绩单[[#This Row],[总分]]="","",SUMPRODUCT((表成绩单[考试日期]=表成绩单[[#This Row],[考试日期]])*(表成绩单[总分]&lt;9E+307)*(表成绩单[总分]&gt;表成绩单[[#This Row],[总分]]))+1)</f>
        <v>82</v>
      </c>
    </row>
    <row r="2494" ht="28" customHeight="1" spans="4:23">
      <c r="D2494" s="31">
        <v>46108</v>
      </c>
      <c r="E2494" s="29">
        <v>19175421</v>
      </c>
      <c r="F2494" s="29" t="s">
        <v>74</v>
      </c>
      <c r="G2494" s="29" t="s">
        <v>198</v>
      </c>
      <c r="H2494" s="29">
        <v>94</v>
      </c>
      <c r="I2494" s="29">
        <v>111</v>
      </c>
      <c r="J2494" s="29">
        <v>85</v>
      </c>
      <c r="K2494" s="29">
        <v>86</v>
      </c>
      <c r="L2494" s="29">
        <v>77</v>
      </c>
      <c r="M2494" s="29">
        <v>77</v>
      </c>
      <c r="N2494" s="29">
        <v>78</v>
      </c>
      <c r="O2494" s="32">
        <v>608</v>
      </c>
      <c r="P2494" s="29" cm="1">
        <f t="array" ref="P2494">IF(表成绩单[[#This Row],[语文]]="","",SUMPRODUCT((表成绩单[考试日期]=表成绩单[[#This Row],[考试日期]])*(表成绩单[语文]&lt;9E+307)*(表成绩单[语文]&gt;表成绩单[[#This Row],[语文]]))+1)</f>
        <v>449</v>
      </c>
      <c r="Q2494" s="29" cm="1">
        <f t="array" ref="Q2494">IF(表成绩单[[#This Row],[数学]]="","",SUMPRODUCT((表成绩单[考试日期]=表成绩单[[#This Row],[考试日期]])*(表成绩单[数学]&lt;9E+307)*(表成绩单[数学]&gt;表成绩单[[#This Row],[数学]]))+1)</f>
        <v>7</v>
      </c>
      <c r="R2494" s="29" cm="1">
        <f t="array" ref="R2494">IF(表成绩单[[#This Row],[英语]]="","",SUMPRODUCT((表成绩单[考试日期]=表成绩单[[#This Row],[考试日期]])*(表成绩单[英语]&lt;9E+307)*(表成绩单[英语]&gt;表成绩单[[#This Row],[英语]]))+1)</f>
        <v>59</v>
      </c>
      <c r="S2494" s="29" cm="1">
        <f t="array" ref="S2494">IF(表成绩单[[#This Row],[物理]]="","",SUMPRODUCT((表成绩单[考试日期]=表成绩单[[#This Row],[考试日期]])*(表成绩单[物理]&lt;9E+307)*(表成绩单[物理]&gt;表成绩单[[#This Row],[物理]]))+1)</f>
        <v>61</v>
      </c>
      <c r="T2494" s="29" cm="1">
        <f t="array" ref="T2494">IF(表成绩单[[#This Row],[化学]]="","",SUMPRODUCT((表成绩单[考试日期]=表成绩单[[#This Row],[考试日期]])*(表成绩单[化学]&lt;9E+307)*(表成绩单[化学]&gt;表成绩单[[#This Row],[化学]]))+1)</f>
        <v>57</v>
      </c>
      <c r="U2494" s="29" cm="1">
        <f t="array" ref="U2494">IF(表成绩单[[#This Row],[政治]]="","",SUMPRODUCT((表成绩单[考试日期]=表成绩单[[#This Row],[考试日期]])*(表成绩单[政治]&lt;9E+307)*(表成绩单[政治]&gt;表成绩单[[#This Row],[政治]]))+1)</f>
        <v>230</v>
      </c>
      <c r="V2494" s="29" cm="1">
        <f t="array" ref="V2494">IF(表成绩单[[#This Row],[历史]]="","",SUMPRODUCT((表成绩单[考试日期]=表成绩单[[#This Row],[考试日期]])*(表成绩单[历史]&lt;9E+307)*(表成绩单[历史]&gt;表成绩单[[#This Row],[历史]]))+1)</f>
        <v>222</v>
      </c>
      <c r="W2494" s="29" cm="1">
        <f t="array" ref="W2494">IF(表成绩单[[#This Row],[总分]]="","",SUMPRODUCT((表成绩单[考试日期]=表成绩单[[#This Row],[考试日期]])*(表成绩单[总分]&lt;9E+307)*(表成绩单[总分]&gt;表成绩单[[#This Row],[总分]]))+1)</f>
        <v>87</v>
      </c>
    </row>
    <row r="2495" ht="28" customHeight="1" spans="4:23">
      <c r="D2495" s="31">
        <v>46108</v>
      </c>
      <c r="E2495" s="29">
        <v>19177233</v>
      </c>
      <c r="F2495" s="29" t="s">
        <v>70</v>
      </c>
      <c r="G2495" s="29" t="s">
        <v>164</v>
      </c>
      <c r="H2495" s="29">
        <v>109</v>
      </c>
      <c r="I2495" s="29">
        <v>87</v>
      </c>
      <c r="J2495" s="29">
        <v>85</v>
      </c>
      <c r="K2495" s="29">
        <v>84</v>
      </c>
      <c r="L2495" s="29">
        <v>76</v>
      </c>
      <c r="M2495" s="29">
        <v>79</v>
      </c>
      <c r="N2495" s="29">
        <v>88</v>
      </c>
      <c r="O2495" s="32">
        <v>608</v>
      </c>
      <c r="P2495" s="29" cm="1">
        <f t="array" ref="P2495">IF(表成绩单[[#This Row],[语文]]="","",SUMPRODUCT((表成绩单[考试日期]=表成绩单[[#This Row],[考试日期]])*(表成绩单[语文]&lt;9E+307)*(表成绩单[语文]&gt;表成绩单[[#This Row],[语文]]))+1)</f>
        <v>40</v>
      </c>
      <c r="Q2495" s="29" cm="1">
        <f t="array" ref="Q2495">IF(表成绩单[[#This Row],[数学]]="","",SUMPRODUCT((表成绩单[考试日期]=表成绩单[[#This Row],[考试日期]])*(表成绩单[数学]&lt;9E+307)*(表成绩单[数学]&gt;表成绩单[[#This Row],[数学]]))+1)</f>
        <v>452</v>
      </c>
      <c r="R2495" s="29" cm="1">
        <f t="array" ref="R2495">IF(表成绩单[[#This Row],[英语]]="","",SUMPRODUCT((表成绩单[考试日期]=表成绩单[[#This Row],[考试日期]])*(表成绩单[英语]&lt;9E+307)*(表成绩单[英语]&gt;表成绩单[[#This Row],[英语]]))+1)</f>
        <v>59</v>
      </c>
      <c r="S2495" s="29" cm="1">
        <f t="array" ref="S2495">IF(表成绩单[[#This Row],[物理]]="","",SUMPRODUCT((表成绩单[考试日期]=表成绩单[[#This Row],[考试日期]])*(表成绩单[物理]&lt;9E+307)*(表成绩单[物理]&gt;表成绩单[[#This Row],[物理]]))+1)</f>
        <v>146</v>
      </c>
      <c r="T2495" s="29" cm="1">
        <f t="array" ref="T2495">IF(表成绩单[[#This Row],[化学]]="","",SUMPRODUCT((表成绩单[考试日期]=表成绩单[[#This Row],[考试日期]])*(表成绩单[化学]&lt;9E+307)*(表成绩单[化学]&gt;表成绩单[[#This Row],[化学]]))+1)</f>
        <v>71</v>
      </c>
      <c r="U2495" s="29" cm="1">
        <f t="array" ref="U2495">IF(表成绩单[[#This Row],[政治]]="","",SUMPRODUCT((表成绩单[考试日期]=表成绩单[[#This Row],[考试日期]])*(表成绩单[政治]&lt;9E+307)*(表成绩单[政治]&gt;表成绩单[[#This Row],[政治]]))+1)</f>
        <v>134</v>
      </c>
      <c r="V2495" s="29" cm="1">
        <f t="array" ref="V2495">IF(表成绩单[[#This Row],[历史]]="","",SUMPRODUCT((表成绩单[考试日期]=表成绩单[[#This Row],[考试日期]])*(表成绩单[历史]&lt;9E+307)*(表成绩单[历史]&gt;表成绩单[[#This Row],[历史]]))+1)</f>
        <v>1</v>
      </c>
      <c r="W2495" s="29" cm="1">
        <f t="array" ref="W2495">IF(表成绩单[[#This Row],[总分]]="","",SUMPRODUCT((表成绩单[考试日期]=表成绩单[[#This Row],[考试日期]])*(表成绩单[总分]&lt;9E+307)*(表成绩单[总分]&gt;表成绩单[[#This Row],[总分]]))+1)</f>
        <v>87</v>
      </c>
    </row>
    <row r="2496" ht="28" customHeight="1" spans="4:23">
      <c r="D2496" s="31">
        <v>46108</v>
      </c>
      <c r="E2496" s="29">
        <v>19174450</v>
      </c>
      <c r="F2496" s="29" t="s">
        <v>73</v>
      </c>
      <c r="G2496" s="29" t="s">
        <v>90</v>
      </c>
      <c r="H2496" s="29">
        <v>102</v>
      </c>
      <c r="I2496" s="29">
        <v>109</v>
      </c>
      <c r="J2496" s="29">
        <v>88.5</v>
      </c>
      <c r="K2496" s="29">
        <v>85</v>
      </c>
      <c r="L2496" s="29">
        <v>75</v>
      </c>
      <c r="M2496" s="29">
        <v>77</v>
      </c>
      <c r="N2496" s="29">
        <v>71</v>
      </c>
      <c r="O2496" s="32">
        <v>607.5</v>
      </c>
      <c r="P2496" s="29" cm="1">
        <f t="array" ref="P2496">IF(表成绩单[[#This Row],[语文]]="","",SUMPRODUCT((表成绩单[考试日期]=表成绩单[[#This Row],[考试日期]])*(表成绩单[语文]&lt;9E+307)*(表成绩单[语文]&gt;表成绩单[[#This Row],[语文]]))+1)</f>
        <v>183</v>
      </c>
      <c r="Q2496" s="29" cm="1">
        <f t="array" ref="Q2496">IF(表成绩单[[#This Row],[数学]]="","",SUMPRODUCT((表成绩单[考试日期]=表成绩单[[#This Row],[考试日期]])*(表成绩单[数学]&lt;9E+307)*(表成绩单[数学]&gt;表成绩单[[#This Row],[数学]]))+1)</f>
        <v>16</v>
      </c>
      <c r="R2496" s="29" cm="1">
        <f t="array" ref="R2496">IF(表成绩单[[#This Row],[英语]]="","",SUMPRODUCT((表成绩单[考试日期]=表成绩单[[#This Row],[考试日期]])*(表成绩单[英语]&lt;9E+307)*(表成绩单[英语]&gt;表成绩单[[#This Row],[英语]]))+1)</f>
        <v>1</v>
      </c>
      <c r="S2496" s="29" cm="1">
        <f t="array" ref="S2496">IF(表成绩单[[#This Row],[物理]]="","",SUMPRODUCT((表成绩单[考试日期]=表成绩单[[#This Row],[考试日期]])*(表成绩单[物理]&lt;9E+307)*(表成绩单[物理]&gt;表成绩单[[#This Row],[物理]]))+1)</f>
        <v>105</v>
      </c>
      <c r="T2496" s="29" cm="1">
        <f t="array" ref="T2496">IF(表成绩单[[#This Row],[化学]]="","",SUMPRODUCT((表成绩单[考试日期]=表成绩单[[#This Row],[考试日期]])*(表成绩单[化学]&lt;9E+307)*(表成绩单[化学]&gt;表成绩单[[#This Row],[化学]]))+1)</f>
        <v>96</v>
      </c>
      <c r="U2496" s="29" cm="1">
        <f t="array" ref="U2496">IF(表成绩单[[#This Row],[政治]]="","",SUMPRODUCT((表成绩单[考试日期]=表成绩单[[#This Row],[考试日期]])*(表成绩单[政治]&lt;9E+307)*(表成绩单[政治]&gt;表成绩单[[#This Row],[政治]]))+1)</f>
        <v>230</v>
      </c>
      <c r="V2496" s="29" cm="1">
        <f t="array" ref="V2496">IF(表成绩单[[#This Row],[历史]]="","",SUMPRODUCT((表成绩单[考试日期]=表成绩单[[#This Row],[考试日期]])*(表成绩单[历史]&lt;9E+307)*(表成绩单[历史]&gt;表成绩单[[#This Row],[历史]]))+1)</f>
        <v>516</v>
      </c>
      <c r="W2496" s="29" cm="1">
        <f t="array" ref="W2496">IF(表成绩单[[#This Row],[总分]]="","",SUMPRODUCT((表成绩单[考试日期]=表成绩单[[#This Row],[考试日期]])*(表成绩单[总分]&lt;9E+307)*(表成绩单[总分]&gt;表成绩单[[#This Row],[总分]]))+1)</f>
        <v>89</v>
      </c>
    </row>
    <row r="2497" ht="28" customHeight="1" spans="4:23">
      <c r="D2497" s="31">
        <v>46108</v>
      </c>
      <c r="E2497" s="29">
        <v>19175389</v>
      </c>
      <c r="F2497" s="29" t="s">
        <v>74</v>
      </c>
      <c r="G2497" s="29" t="s">
        <v>103</v>
      </c>
      <c r="H2497" s="29">
        <v>105</v>
      </c>
      <c r="I2497" s="29">
        <v>104</v>
      </c>
      <c r="J2497" s="29">
        <v>81.5</v>
      </c>
      <c r="K2497" s="29">
        <v>85</v>
      </c>
      <c r="L2497" s="29">
        <v>70</v>
      </c>
      <c r="M2497" s="29">
        <v>79</v>
      </c>
      <c r="N2497" s="29">
        <v>83</v>
      </c>
      <c r="O2497" s="32">
        <v>607.5</v>
      </c>
      <c r="P2497" s="29" cm="1">
        <f t="array" ref="P2497">IF(表成绩单[[#This Row],[语文]]="","",SUMPRODUCT((表成绩单[考试日期]=表成绩单[[#This Row],[考试日期]])*(表成绩单[语文]&lt;9E+307)*(表成绩单[语文]&gt;表成绩单[[#This Row],[语文]]))+1)</f>
        <v>101</v>
      </c>
      <c r="Q2497" s="29" cm="1">
        <f t="array" ref="Q2497">IF(表成绩单[[#This Row],[数学]]="","",SUMPRODUCT((表成绩单[考试日期]=表成绩单[[#This Row],[考试日期]])*(表成绩单[数学]&lt;9E+307)*(表成绩单[数学]&gt;表成绩单[[#This Row],[数学]]))+1)</f>
        <v>68</v>
      </c>
      <c r="R2497" s="29" cm="1">
        <f t="array" ref="R2497">IF(表成绩单[[#This Row],[英语]]="","",SUMPRODUCT((表成绩单[考试日期]=表成绩单[[#This Row],[考试日期]])*(表成绩单[英语]&lt;9E+307)*(表成绩单[英语]&gt;表成绩单[[#This Row],[英语]]))+1)</f>
        <v>203</v>
      </c>
      <c r="S2497" s="29" cm="1">
        <f t="array" ref="S2497">IF(表成绩单[[#This Row],[物理]]="","",SUMPRODUCT((表成绩单[考试日期]=表成绩单[[#This Row],[考试日期]])*(表成绩单[物理]&lt;9E+307)*(表成绩单[物理]&gt;表成绩单[[#This Row],[物理]]))+1)</f>
        <v>105</v>
      </c>
      <c r="T2497" s="29" cm="1">
        <f t="array" ref="T2497">IF(表成绩单[[#This Row],[化学]]="","",SUMPRODUCT((表成绩单[考试日期]=表成绩单[[#This Row],[考试日期]])*(表成绩单[化学]&lt;9E+307)*(表成绩单[化学]&gt;表成绩单[[#This Row],[化学]]))+1)</f>
        <v>241</v>
      </c>
      <c r="U2497" s="29" cm="1">
        <f t="array" ref="U2497">IF(表成绩单[[#This Row],[政治]]="","",SUMPRODUCT((表成绩单[考试日期]=表成绩单[[#This Row],[考试日期]])*(表成绩单[政治]&lt;9E+307)*(表成绩单[政治]&gt;表成绩单[[#This Row],[政治]]))+1)</f>
        <v>134</v>
      </c>
      <c r="V2497" s="29" cm="1">
        <f t="array" ref="V2497">IF(表成绩单[[#This Row],[历史]]="","",SUMPRODUCT((表成绩单[考试日期]=表成绩单[[#This Row],[考试日期]])*(表成绩单[历史]&lt;9E+307)*(表成绩单[历史]&gt;表成绩单[[#This Row],[历史]]))+1)</f>
        <v>60</v>
      </c>
      <c r="W2497" s="29" cm="1">
        <f t="array" ref="W2497">IF(表成绩单[[#This Row],[总分]]="","",SUMPRODUCT((表成绩单[考试日期]=表成绩单[[#This Row],[考试日期]])*(表成绩单[总分]&lt;9E+307)*(表成绩单[总分]&gt;表成绩单[[#This Row],[总分]]))+1)</f>
        <v>89</v>
      </c>
    </row>
    <row r="2498" ht="28" customHeight="1" spans="4:23">
      <c r="D2498" s="31">
        <v>46108</v>
      </c>
      <c r="E2498" s="29">
        <v>19175380</v>
      </c>
      <c r="F2498" s="29" t="s">
        <v>74</v>
      </c>
      <c r="G2498" s="29" t="s">
        <v>174</v>
      </c>
      <c r="H2498" s="29">
        <v>100</v>
      </c>
      <c r="I2498" s="29">
        <v>106</v>
      </c>
      <c r="J2498" s="29">
        <v>80</v>
      </c>
      <c r="K2498" s="29">
        <v>84</v>
      </c>
      <c r="L2498" s="29">
        <v>73</v>
      </c>
      <c r="M2498" s="29">
        <v>81</v>
      </c>
      <c r="N2498" s="29">
        <v>83</v>
      </c>
      <c r="O2498" s="32">
        <v>607</v>
      </c>
      <c r="P2498" s="29" cm="1">
        <f t="array" ref="P2498">IF(表成绩单[[#This Row],[语文]]="","",SUMPRODUCT((表成绩单[考试日期]=表成绩单[[#This Row],[考试日期]])*(表成绩单[语文]&lt;9E+307)*(表成绩单[语文]&gt;表成绩单[[#This Row],[语文]]))+1)</f>
        <v>247</v>
      </c>
      <c r="Q2498" s="29" cm="1">
        <f t="array" ref="Q2498">IF(表成绩单[[#This Row],[数学]]="","",SUMPRODUCT((表成绩单[考试日期]=表成绩单[[#This Row],[考试日期]])*(表成绩单[数学]&lt;9E+307)*(表成绩单[数学]&gt;表成绩单[[#This Row],[数学]]))+1)</f>
        <v>40</v>
      </c>
      <c r="R2498" s="29" cm="1">
        <f t="array" ref="R2498">IF(表成绩单[[#This Row],[英语]]="","",SUMPRODUCT((表成绩单[考试日期]=表成绩单[[#This Row],[考试日期]])*(表成绩单[英语]&lt;9E+307)*(表成绩单[英语]&gt;表成绩单[[#This Row],[英语]]))+1)</f>
        <v>266</v>
      </c>
      <c r="S2498" s="29" cm="1">
        <f t="array" ref="S2498">IF(表成绩单[[#This Row],[物理]]="","",SUMPRODUCT((表成绩单[考试日期]=表成绩单[[#This Row],[考试日期]])*(表成绩单[物理]&lt;9E+307)*(表成绩单[物理]&gt;表成绩单[[#This Row],[物理]]))+1)</f>
        <v>146</v>
      </c>
      <c r="T2498" s="29" cm="1">
        <f t="array" ref="T2498">IF(表成绩单[[#This Row],[化学]]="","",SUMPRODUCT((表成绩单[考试日期]=表成绩单[[#This Row],[考试日期]])*(表成绩单[化学]&lt;9E+307)*(表成绩单[化学]&gt;表成绩单[[#This Row],[化学]]))+1)</f>
        <v>152</v>
      </c>
      <c r="U2498" s="29" cm="1">
        <f t="array" ref="U2498">IF(表成绩单[[#This Row],[政治]]="","",SUMPRODUCT((表成绩单[考试日期]=表成绩单[[#This Row],[考试日期]])*(表成绩单[政治]&lt;9E+307)*(表成绩单[政治]&gt;表成绩单[[#This Row],[政治]]))+1)</f>
        <v>68</v>
      </c>
      <c r="V2498" s="29" cm="1">
        <f t="array" ref="V2498">IF(表成绩单[[#This Row],[历史]]="","",SUMPRODUCT((表成绩单[考试日期]=表成绩单[[#This Row],[考试日期]])*(表成绩单[历史]&lt;9E+307)*(表成绩单[历史]&gt;表成绩单[[#This Row],[历史]]))+1)</f>
        <v>60</v>
      </c>
      <c r="W2498" s="29" cm="1">
        <f t="array" ref="W2498">IF(表成绩单[[#This Row],[总分]]="","",SUMPRODUCT((表成绩单[考试日期]=表成绩单[[#This Row],[考试日期]])*(表成绩单[总分]&lt;9E+307)*(表成绩单[总分]&gt;表成绩单[[#This Row],[总分]]))+1)</f>
        <v>91</v>
      </c>
    </row>
    <row r="2499" ht="28" customHeight="1" spans="4:23">
      <c r="D2499" s="31">
        <v>46108</v>
      </c>
      <c r="E2499" s="29">
        <v>19176890</v>
      </c>
      <c r="F2499" s="29" t="s">
        <v>71</v>
      </c>
      <c r="G2499" s="29" t="s">
        <v>159</v>
      </c>
      <c r="H2499" s="29">
        <v>111</v>
      </c>
      <c r="I2499" s="29">
        <v>95</v>
      </c>
      <c r="J2499" s="29">
        <v>82</v>
      </c>
      <c r="K2499" s="29">
        <v>87</v>
      </c>
      <c r="L2499" s="29">
        <v>73</v>
      </c>
      <c r="M2499" s="29">
        <v>82</v>
      </c>
      <c r="N2499" s="29">
        <v>77</v>
      </c>
      <c r="O2499" s="32">
        <v>607</v>
      </c>
      <c r="P2499" s="29" cm="1">
        <f t="array" ref="P2499">IF(表成绩单[[#This Row],[语文]]="","",SUMPRODUCT((表成绩单[考试日期]=表成绩单[[#This Row],[考试日期]])*(表成绩单[语文]&lt;9E+307)*(表成绩单[语文]&gt;表成绩单[[#This Row],[语文]]))+1)</f>
        <v>18</v>
      </c>
      <c r="Q2499" s="29" cm="1">
        <f t="array" ref="Q2499">IF(表成绩单[[#This Row],[数学]]="","",SUMPRODUCT((表成绩单[考试日期]=表成绩单[[#This Row],[考试日期]])*(表成绩单[数学]&lt;9E+307)*(表成绩单[数学]&gt;表成绩单[[#This Row],[数学]]))+1)</f>
        <v>229</v>
      </c>
      <c r="R2499" s="29" cm="1">
        <f t="array" ref="R2499">IF(表成绩单[[#This Row],[英语]]="","",SUMPRODUCT((表成绩单[考试日期]=表成绩单[[#This Row],[考试日期]])*(表成绩单[英语]&lt;9E+307)*(表成绩单[英语]&gt;表成绩单[[#This Row],[英语]]))+1)</f>
        <v>180</v>
      </c>
      <c r="S2499" s="29" cm="1">
        <f t="array" ref="S2499">IF(表成绩单[[#This Row],[物理]]="","",SUMPRODUCT((表成绩单[考试日期]=表成绩单[[#This Row],[考试日期]])*(表成绩单[物理]&lt;9E+307)*(表成绩单[物理]&gt;表成绩单[[#This Row],[物理]]))+1)</f>
        <v>49</v>
      </c>
      <c r="T2499" s="29" cm="1">
        <f t="array" ref="T2499">IF(表成绩单[[#This Row],[化学]]="","",SUMPRODUCT((表成绩单[考试日期]=表成绩单[[#This Row],[考试日期]])*(表成绩单[化学]&lt;9E+307)*(表成绩单[化学]&gt;表成绩单[[#This Row],[化学]]))+1)</f>
        <v>152</v>
      </c>
      <c r="U2499" s="29" cm="1">
        <f t="array" ref="U2499">IF(表成绩单[[#This Row],[政治]]="","",SUMPRODUCT((表成绩单[考试日期]=表成绩单[[#This Row],[考试日期]])*(表成绩单[政治]&lt;9E+307)*(表成绩单[政治]&gt;表成绩单[[#This Row],[政治]]))+1)</f>
        <v>45</v>
      </c>
      <c r="V2499" s="29" cm="1">
        <f t="array" ref="V2499">IF(表成绩单[[#This Row],[历史]]="","",SUMPRODUCT((表成绩单[考试日期]=表成绩单[[#This Row],[考试日期]])*(表成绩单[历史]&lt;9E+307)*(表成绩单[历史]&gt;表成绩单[[#This Row],[历史]]))+1)</f>
        <v>269</v>
      </c>
      <c r="W2499" s="29" cm="1">
        <f t="array" ref="W2499">IF(表成绩单[[#This Row],[总分]]="","",SUMPRODUCT((表成绩单[考试日期]=表成绩单[[#This Row],[考试日期]])*(表成绩单[总分]&lt;9E+307)*(表成绩单[总分]&gt;表成绩单[[#This Row],[总分]]))+1)</f>
        <v>91</v>
      </c>
    </row>
    <row r="2500" ht="28" customHeight="1" spans="4:23">
      <c r="D2500" s="31">
        <v>46108</v>
      </c>
      <c r="E2500" s="29">
        <v>19177202</v>
      </c>
      <c r="F2500" s="29" t="s">
        <v>70</v>
      </c>
      <c r="G2500" s="29" t="s">
        <v>162</v>
      </c>
      <c r="H2500" s="29">
        <v>103</v>
      </c>
      <c r="I2500" s="29">
        <v>105</v>
      </c>
      <c r="J2500" s="29">
        <v>77</v>
      </c>
      <c r="K2500" s="29">
        <v>85</v>
      </c>
      <c r="L2500" s="29">
        <v>80</v>
      </c>
      <c r="M2500" s="29">
        <v>75</v>
      </c>
      <c r="N2500" s="29">
        <v>82</v>
      </c>
      <c r="O2500" s="32">
        <v>607</v>
      </c>
      <c r="P2500" s="29" cm="1">
        <f t="array" ref="P2500">IF(表成绩单[[#This Row],[语文]]="","",SUMPRODUCT((表成绩单[考试日期]=表成绩单[[#This Row],[考试日期]])*(表成绩单[语文]&lt;9E+307)*(表成绩单[语文]&gt;表成绩单[[#This Row],[语文]]))+1)</f>
        <v>155</v>
      </c>
      <c r="Q2500" s="29" cm="1">
        <f t="array" ref="Q2500">IF(表成绩单[[#This Row],[数学]]="","",SUMPRODUCT((表成绩单[考试日期]=表成绩单[[#This Row],[考试日期]])*(表成绩单[数学]&lt;9E+307)*(表成绩单[数学]&gt;表成绩单[[#This Row],[数学]]))+1)</f>
        <v>52</v>
      </c>
      <c r="R2500" s="29" cm="1">
        <f t="array" ref="R2500">IF(表成绩单[[#This Row],[英语]]="","",SUMPRODUCT((表成绩单[考试日期]=表成绩单[[#This Row],[考试日期]])*(表成绩单[英语]&lt;9E+307)*(表成绩单[英语]&gt;表成绩单[[#This Row],[英语]]))+1)</f>
        <v>370</v>
      </c>
      <c r="S2500" s="29" cm="1">
        <f t="array" ref="S2500">IF(表成绩单[[#This Row],[物理]]="","",SUMPRODUCT((表成绩单[考试日期]=表成绩单[[#This Row],[考试日期]])*(表成绩单[物理]&lt;9E+307)*(表成绩单[物理]&gt;表成绩单[[#This Row],[物理]]))+1)</f>
        <v>105</v>
      </c>
      <c r="T2500" s="29" cm="1">
        <f t="array" ref="T2500">IF(表成绩单[[#This Row],[化学]]="","",SUMPRODUCT((表成绩单[考试日期]=表成绩单[[#This Row],[考试日期]])*(表成绩单[化学]&lt;9E+307)*(表成绩单[化学]&gt;表成绩单[[#This Row],[化学]]))+1)</f>
        <v>25</v>
      </c>
      <c r="U2500" s="29" cm="1">
        <f t="array" ref="U2500">IF(表成绩单[[#This Row],[政治]]="","",SUMPRODUCT((表成绩单[考试日期]=表成绩单[[#This Row],[考试日期]])*(表成绩单[政治]&lt;9E+307)*(表成绩单[政治]&gt;表成绩单[[#This Row],[政治]]))+1)</f>
        <v>346</v>
      </c>
      <c r="V2500" s="29" cm="1">
        <f t="array" ref="V2500">IF(表成绩单[[#This Row],[历史]]="","",SUMPRODUCT((表成绩单[考试日期]=表成绩单[[#This Row],[考试日期]])*(表成绩单[历史]&lt;9E+307)*(表成绩单[历史]&gt;表成绩单[[#This Row],[历史]]))+1)</f>
        <v>81</v>
      </c>
      <c r="W2500" s="29" cm="1">
        <f t="array" ref="W2500">IF(表成绩单[[#This Row],[总分]]="","",SUMPRODUCT((表成绩单[考试日期]=表成绩单[[#This Row],[考试日期]])*(表成绩单[总分]&lt;9E+307)*(表成绩单[总分]&gt;表成绩单[[#This Row],[总分]]))+1)</f>
        <v>91</v>
      </c>
    </row>
    <row r="2501" ht="28" customHeight="1" spans="4:23">
      <c r="D2501" s="31">
        <v>46108</v>
      </c>
      <c r="E2501" s="29">
        <v>19174466</v>
      </c>
      <c r="F2501" s="29" t="s">
        <v>73</v>
      </c>
      <c r="G2501" s="29" t="s">
        <v>343</v>
      </c>
      <c r="H2501" s="29">
        <v>110</v>
      </c>
      <c r="I2501" s="29">
        <v>94</v>
      </c>
      <c r="J2501" s="29">
        <v>85</v>
      </c>
      <c r="K2501" s="29">
        <v>89</v>
      </c>
      <c r="L2501" s="29">
        <v>74</v>
      </c>
      <c r="M2501" s="29">
        <v>77</v>
      </c>
      <c r="N2501" s="29">
        <v>77</v>
      </c>
      <c r="O2501" s="32">
        <v>606</v>
      </c>
      <c r="P2501" s="29" cm="1">
        <f t="array" ref="P2501">IF(表成绩单[[#This Row],[语文]]="","",SUMPRODUCT((表成绩单[考试日期]=表成绩单[[#This Row],[考试日期]])*(表成绩单[语文]&lt;9E+307)*(表成绩单[语文]&gt;表成绩单[[#This Row],[语文]]))+1)</f>
        <v>24</v>
      </c>
      <c r="Q2501" s="29" cm="1">
        <f t="array" ref="Q2501">IF(表成绩单[[#This Row],[数学]]="","",SUMPRODUCT((表成绩单[考试日期]=表成绩单[[#This Row],[考试日期]])*(表成绩单[数学]&lt;9E+307)*(表成绩单[数学]&gt;表成绩单[[#This Row],[数学]]))+1)</f>
        <v>258</v>
      </c>
      <c r="R2501" s="29" cm="1">
        <f t="array" ref="R2501">IF(表成绩单[[#This Row],[英语]]="","",SUMPRODUCT((表成绩单[考试日期]=表成绩单[[#This Row],[考试日期]])*(表成绩单[英语]&lt;9E+307)*(表成绩单[英语]&gt;表成绩单[[#This Row],[英语]]))+1)</f>
        <v>59</v>
      </c>
      <c r="S2501" s="29" cm="1">
        <f t="array" ref="S2501">IF(表成绩单[[#This Row],[物理]]="","",SUMPRODUCT((表成绩单[考试日期]=表成绩单[[#This Row],[考试日期]])*(表成绩单[物理]&lt;9E+307)*(表成绩单[物理]&gt;表成绩单[[#This Row],[物理]]))+1)</f>
        <v>15</v>
      </c>
      <c r="T2501" s="29" cm="1">
        <f t="array" ref="T2501">IF(表成绩单[[#This Row],[化学]]="","",SUMPRODUCT((表成绩单[考试日期]=表成绩单[[#This Row],[考试日期]])*(表成绩单[化学]&lt;9E+307)*(表成绩单[化学]&gt;表成绩单[[#This Row],[化学]]))+1)</f>
        <v>127</v>
      </c>
      <c r="U2501" s="29" cm="1">
        <f t="array" ref="U2501">IF(表成绩单[[#This Row],[政治]]="","",SUMPRODUCT((表成绩单[考试日期]=表成绩单[[#This Row],[考试日期]])*(表成绩单[政治]&lt;9E+307)*(表成绩单[政治]&gt;表成绩单[[#This Row],[政治]]))+1)</f>
        <v>230</v>
      </c>
      <c r="V2501" s="29" cm="1">
        <f t="array" ref="V2501">IF(表成绩单[[#This Row],[历史]]="","",SUMPRODUCT((表成绩单[考试日期]=表成绩单[[#This Row],[考试日期]])*(表成绩单[历史]&lt;9E+307)*(表成绩单[历史]&gt;表成绩单[[#This Row],[历史]]))+1)</f>
        <v>269</v>
      </c>
      <c r="W2501" s="29" cm="1">
        <f t="array" ref="W2501">IF(表成绩单[[#This Row],[总分]]="","",SUMPRODUCT((表成绩单[考试日期]=表成绩单[[#This Row],[考试日期]])*(表成绩单[总分]&lt;9E+307)*(表成绩单[总分]&gt;表成绩单[[#This Row],[总分]]))+1)</f>
        <v>94</v>
      </c>
    </row>
    <row r="2502" ht="28" customHeight="1" spans="4:23">
      <c r="D2502" s="31">
        <v>46108</v>
      </c>
      <c r="E2502" s="29">
        <v>19175706</v>
      </c>
      <c r="F2502" s="29" t="s">
        <v>72</v>
      </c>
      <c r="G2502" s="29" t="s">
        <v>132</v>
      </c>
      <c r="H2502" s="29">
        <v>98</v>
      </c>
      <c r="I2502" s="29">
        <v>104</v>
      </c>
      <c r="J2502" s="29">
        <v>84</v>
      </c>
      <c r="K2502" s="29">
        <v>87</v>
      </c>
      <c r="L2502" s="29">
        <v>79</v>
      </c>
      <c r="M2502" s="29">
        <v>81</v>
      </c>
      <c r="N2502" s="29">
        <v>73</v>
      </c>
      <c r="O2502" s="32">
        <v>606</v>
      </c>
      <c r="P2502" s="29" cm="1">
        <f t="array" ref="P2502">IF(表成绩单[[#This Row],[语文]]="","",SUMPRODUCT((表成绩单[考试日期]=表成绩单[[#This Row],[考试日期]])*(表成绩单[语文]&lt;9E+307)*(表成绩单[语文]&gt;表成绩单[[#This Row],[语文]]))+1)</f>
        <v>322</v>
      </c>
      <c r="Q2502" s="29" cm="1">
        <f t="array" ref="Q2502">IF(表成绩单[[#This Row],[数学]]="","",SUMPRODUCT((表成绩单[考试日期]=表成绩单[[#This Row],[考试日期]])*(表成绩单[数学]&lt;9E+307)*(表成绩单[数学]&gt;表成绩单[[#This Row],[数学]]))+1)</f>
        <v>68</v>
      </c>
      <c r="R2502" s="29" cm="1">
        <f t="array" ref="R2502">IF(表成绩单[[#This Row],[英语]]="","",SUMPRODUCT((表成绩单[考试日期]=表成绩单[[#This Row],[考试日期]])*(表成绩单[英语]&lt;9E+307)*(表成绩单[英语]&gt;表成绩单[[#This Row],[英语]]))+1)</f>
        <v>100</v>
      </c>
      <c r="S2502" s="29" cm="1">
        <f t="array" ref="S2502">IF(表成绩单[[#This Row],[物理]]="","",SUMPRODUCT((表成绩单[考试日期]=表成绩单[[#This Row],[考试日期]])*(表成绩单[物理]&lt;9E+307)*(表成绩单[物理]&gt;表成绩单[[#This Row],[物理]]))+1)</f>
        <v>49</v>
      </c>
      <c r="T2502" s="29" cm="1">
        <f t="array" ref="T2502">IF(表成绩单[[#This Row],[化学]]="","",SUMPRODUCT((表成绩单[考试日期]=表成绩单[[#This Row],[考试日期]])*(表成绩单[化学]&lt;9E+307)*(表成绩单[化学]&gt;表成绩单[[#This Row],[化学]]))+1)</f>
        <v>35</v>
      </c>
      <c r="U2502" s="29" cm="1">
        <f t="array" ref="U2502">IF(表成绩单[[#This Row],[政治]]="","",SUMPRODUCT((表成绩单[考试日期]=表成绩单[[#This Row],[考试日期]])*(表成绩单[政治]&lt;9E+307)*(表成绩单[政治]&gt;表成绩单[[#This Row],[政治]]))+1)</f>
        <v>68</v>
      </c>
      <c r="V2502" s="29" cm="1">
        <f t="array" ref="V2502">IF(表成绩单[[#This Row],[历史]]="","",SUMPRODUCT((表成绩单[考试日期]=表成绩单[[#This Row],[考试日期]])*(表成绩单[历史]&lt;9E+307)*(表成绩单[历史]&gt;表成绩单[[#This Row],[历史]]))+1)</f>
        <v>432</v>
      </c>
      <c r="W2502" s="29" cm="1">
        <f t="array" ref="W2502">IF(表成绩单[[#This Row],[总分]]="","",SUMPRODUCT((表成绩单[考试日期]=表成绩单[[#This Row],[考试日期]])*(表成绩单[总分]&lt;9E+307)*(表成绩单[总分]&gt;表成绩单[[#This Row],[总分]]))+1)</f>
        <v>94</v>
      </c>
    </row>
    <row r="2503" ht="28" customHeight="1" spans="4:23">
      <c r="D2503" s="31">
        <v>46108</v>
      </c>
      <c r="E2503" s="29">
        <v>19175316</v>
      </c>
      <c r="F2503" s="29" t="s">
        <v>66</v>
      </c>
      <c r="G2503" s="29" t="s">
        <v>272</v>
      </c>
      <c r="H2503" s="29">
        <v>97</v>
      </c>
      <c r="I2503" s="29">
        <v>109</v>
      </c>
      <c r="J2503" s="29">
        <v>82.5</v>
      </c>
      <c r="K2503" s="29">
        <v>85</v>
      </c>
      <c r="L2503" s="29">
        <v>79</v>
      </c>
      <c r="M2503" s="29">
        <v>75</v>
      </c>
      <c r="N2503" s="29">
        <v>78</v>
      </c>
      <c r="O2503" s="32">
        <v>605.5</v>
      </c>
      <c r="P2503" s="29" cm="1">
        <f t="array" ref="P2503">IF(表成绩单[[#This Row],[语文]]="","",SUMPRODUCT((表成绩单[考试日期]=表成绩单[[#This Row],[考试日期]])*(表成绩单[语文]&lt;9E+307)*(表成绩单[语文]&gt;表成绩单[[#This Row],[语文]]))+1)</f>
        <v>357</v>
      </c>
      <c r="Q2503" s="29" cm="1">
        <f t="array" ref="Q2503">IF(表成绩单[[#This Row],[数学]]="","",SUMPRODUCT((表成绩单[考试日期]=表成绩单[[#This Row],[考试日期]])*(表成绩单[数学]&lt;9E+307)*(表成绩单[数学]&gt;表成绩单[[#This Row],[数学]]))+1)</f>
        <v>16</v>
      </c>
      <c r="R2503" s="29" cm="1">
        <f t="array" ref="R2503">IF(表成绩单[[#This Row],[英语]]="","",SUMPRODUCT((表成绩单[考试日期]=表成绩单[[#This Row],[考试日期]])*(表成绩单[英语]&lt;9E+307)*(表成绩单[英语]&gt;表成绩单[[#This Row],[英语]]))+1)</f>
        <v>156</v>
      </c>
      <c r="S2503" s="29" cm="1">
        <f t="array" ref="S2503">IF(表成绩单[[#This Row],[物理]]="","",SUMPRODUCT((表成绩单[考试日期]=表成绩单[[#This Row],[考试日期]])*(表成绩单[物理]&lt;9E+307)*(表成绩单[物理]&gt;表成绩单[[#This Row],[物理]]))+1)</f>
        <v>105</v>
      </c>
      <c r="T2503" s="29" cm="1">
        <f t="array" ref="T2503">IF(表成绩单[[#This Row],[化学]]="","",SUMPRODUCT((表成绩单[考试日期]=表成绩单[[#This Row],[考试日期]])*(表成绩单[化学]&lt;9E+307)*(表成绩单[化学]&gt;表成绩单[[#This Row],[化学]]))+1)</f>
        <v>35</v>
      </c>
      <c r="U2503" s="29" cm="1">
        <f t="array" ref="U2503">IF(表成绩单[[#This Row],[政治]]="","",SUMPRODUCT((表成绩单[考试日期]=表成绩单[[#This Row],[考试日期]])*(表成绩单[政治]&lt;9E+307)*(表成绩单[政治]&gt;表成绩单[[#This Row],[政治]]))+1)</f>
        <v>346</v>
      </c>
      <c r="V2503" s="29" cm="1">
        <f t="array" ref="V2503">IF(表成绩单[[#This Row],[历史]]="","",SUMPRODUCT((表成绩单[考试日期]=表成绩单[[#This Row],[考试日期]])*(表成绩单[历史]&lt;9E+307)*(表成绩单[历史]&gt;表成绩单[[#This Row],[历史]]))+1)</f>
        <v>222</v>
      </c>
      <c r="W2503" s="29" cm="1">
        <f t="array" ref="W2503">IF(表成绩单[[#This Row],[总分]]="","",SUMPRODUCT((表成绩单[考试日期]=表成绩单[[#This Row],[考试日期]])*(表成绩单[总分]&lt;9E+307)*(表成绩单[总分]&gt;表成绩单[[#This Row],[总分]]))+1)</f>
        <v>96</v>
      </c>
    </row>
    <row r="2504" ht="28" customHeight="1" spans="4:23">
      <c r="D2504" s="31">
        <v>46108</v>
      </c>
      <c r="E2504" s="29">
        <v>19175696</v>
      </c>
      <c r="F2504" s="29" t="s">
        <v>72</v>
      </c>
      <c r="G2504" s="29" t="s">
        <v>169</v>
      </c>
      <c r="H2504" s="29">
        <v>98</v>
      </c>
      <c r="I2504" s="29">
        <v>109</v>
      </c>
      <c r="J2504" s="29">
        <v>77.5</v>
      </c>
      <c r="K2504" s="29">
        <v>83</v>
      </c>
      <c r="L2504" s="29">
        <v>75</v>
      </c>
      <c r="M2504" s="29">
        <v>81</v>
      </c>
      <c r="N2504" s="29">
        <v>82</v>
      </c>
      <c r="O2504" s="32">
        <v>605.5</v>
      </c>
      <c r="P2504" s="29" cm="1">
        <f t="array" ref="P2504">IF(表成绩单[[#This Row],[语文]]="","",SUMPRODUCT((表成绩单[考试日期]=表成绩单[[#This Row],[考试日期]])*(表成绩单[语文]&lt;9E+307)*(表成绩单[语文]&gt;表成绩单[[#This Row],[语文]]))+1)</f>
        <v>322</v>
      </c>
      <c r="Q2504" s="29" cm="1">
        <f t="array" ref="Q2504">IF(表成绩单[[#This Row],[数学]]="","",SUMPRODUCT((表成绩单[考试日期]=表成绩单[[#This Row],[考试日期]])*(表成绩单[数学]&lt;9E+307)*(表成绩单[数学]&gt;表成绩单[[#This Row],[数学]]))+1)</f>
        <v>16</v>
      </c>
      <c r="R2504" s="29" cm="1">
        <f t="array" ref="R2504">IF(表成绩单[[#This Row],[英语]]="","",SUMPRODUCT((表成绩单[考试日期]=表成绩单[[#This Row],[考试日期]])*(表成绩单[英语]&lt;9E+307)*(表成绩单[英语]&gt;表成绩单[[#This Row],[英语]]))+1)</f>
        <v>353</v>
      </c>
      <c r="S2504" s="29" cm="1">
        <f t="array" ref="S2504">IF(表成绩单[[#This Row],[物理]]="","",SUMPRODUCT((表成绩单[考试日期]=表成绩单[[#This Row],[考试日期]])*(表成绩单[物理]&lt;9E+307)*(表成绩单[物理]&gt;表成绩单[[#This Row],[物理]]))+1)</f>
        <v>184</v>
      </c>
      <c r="T2504" s="29" cm="1">
        <f t="array" ref="T2504">IF(表成绩单[[#This Row],[化学]]="","",SUMPRODUCT((表成绩单[考试日期]=表成绩单[[#This Row],[考试日期]])*(表成绩单[化学]&lt;9E+307)*(表成绩单[化学]&gt;表成绩单[[#This Row],[化学]]))+1)</f>
        <v>96</v>
      </c>
      <c r="U2504" s="29" cm="1">
        <f t="array" ref="U2504">IF(表成绩单[[#This Row],[政治]]="","",SUMPRODUCT((表成绩单[考试日期]=表成绩单[[#This Row],[考试日期]])*(表成绩单[政治]&lt;9E+307)*(表成绩单[政治]&gt;表成绩单[[#This Row],[政治]]))+1)</f>
        <v>68</v>
      </c>
      <c r="V2504" s="29" cm="1">
        <f t="array" ref="V2504">IF(表成绩单[[#This Row],[历史]]="","",SUMPRODUCT((表成绩单[考试日期]=表成绩单[[#This Row],[考试日期]])*(表成绩单[历史]&lt;9E+307)*(表成绩单[历史]&gt;表成绩单[[#This Row],[历史]]))+1)</f>
        <v>81</v>
      </c>
      <c r="W2504" s="29" cm="1">
        <f t="array" ref="W2504">IF(表成绩单[[#This Row],[总分]]="","",SUMPRODUCT((表成绩单[考试日期]=表成绩单[[#This Row],[考试日期]])*(表成绩单[总分]&lt;9E+307)*(表成绩单[总分]&gt;表成绩单[[#This Row],[总分]]))+1)</f>
        <v>96</v>
      </c>
    </row>
    <row r="2505" ht="28" customHeight="1" spans="4:23">
      <c r="D2505" s="31">
        <v>46108</v>
      </c>
      <c r="E2505" s="29">
        <v>19174788</v>
      </c>
      <c r="F2505" s="29" t="s">
        <v>69</v>
      </c>
      <c r="G2505" s="29" t="s">
        <v>278</v>
      </c>
      <c r="H2505" s="29">
        <v>103</v>
      </c>
      <c r="I2505" s="29">
        <v>100</v>
      </c>
      <c r="J2505" s="29">
        <v>78</v>
      </c>
      <c r="K2505" s="29">
        <v>86</v>
      </c>
      <c r="L2505" s="29">
        <v>76</v>
      </c>
      <c r="M2505" s="29">
        <v>83</v>
      </c>
      <c r="N2505" s="29">
        <v>79</v>
      </c>
      <c r="O2505" s="32">
        <v>605</v>
      </c>
      <c r="P2505" s="29" cm="1">
        <f t="array" ref="P2505">IF(表成绩单[[#This Row],[语文]]="","",SUMPRODUCT((表成绩单[考试日期]=表成绩单[[#This Row],[考试日期]])*(表成绩单[语文]&lt;9E+307)*(表成绩单[语文]&gt;表成绩单[[#This Row],[语文]]))+1)</f>
        <v>155</v>
      </c>
      <c r="Q2505" s="29" cm="1">
        <f t="array" ref="Q2505">IF(表成绩单[[#This Row],[数学]]="","",SUMPRODUCT((表成绩单[考试日期]=表成绩单[[#This Row],[考试日期]])*(表成绩单[数学]&lt;9E+307)*(表成绩单[数学]&gt;表成绩单[[#This Row],[数学]]))+1)</f>
        <v>121</v>
      </c>
      <c r="R2505" s="29" cm="1">
        <f t="array" ref="R2505">IF(表成绩单[[#This Row],[英语]]="","",SUMPRODUCT((表成绩单[考试日期]=表成绩单[[#This Row],[考试日期]])*(表成绩单[英语]&lt;9E+307)*(表成绩单[英语]&gt;表成绩单[[#This Row],[英语]]))+1)</f>
        <v>341</v>
      </c>
      <c r="S2505" s="29" cm="1">
        <f t="array" ref="S2505">IF(表成绩单[[#This Row],[物理]]="","",SUMPRODUCT((表成绩单[考试日期]=表成绩单[[#This Row],[考试日期]])*(表成绩单[物理]&lt;9E+307)*(表成绩单[物理]&gt;表成绩单[[#This Row],[物理]]))+1)</f>
        <v>61</v>
      </c>
      <c r="T2505" s="29" cm="1">
        <f t="array" ref="T2505">IF(表成绩单[[#This Row],[化学]]="","",SUMPRODUCT((表成绩单[考试日期]=表成绩单[[#This Row],[考试日期]])*(表成绩单[化学]&lt;9E+307)*(表成绩单[化学]&gt;表成绩单[[#This Row],[化学]]))+1)</f>
        <v>71</v>
      </c>
      <c r="U2505" s="29" cm="1">
        <f t="array" ref="U2505">IF(表成绩单[[#This Row],[政治]]="","",SUMPRODUCT((表成绩单[考试日期]=表成绩单[[#This Row],[考试日期]])*(表成绩单[政治]&lt;9E+307)*(表成绩单[政治]&gt;表成绩单[[#This Row],[政治]]))+1)</f>
        <v>24</v>
      </c>
      <c r="V2505" s="29" cm="1">
        <f t="array" ref="V2505">IF(表成绩单[[#This Row],[历史]]="","",SUMPRODUCT((表成绩单[考试日期]=表成绩单[[#This Row],[考试日期]])*(表成绩单[历史]&lt;9E+307)*(表成绩单[历史]&gt;表成绩单[[#This Row],[历史]]))+1)</f>
        <v>173</v>
      </c>
      <c r="W2505" s="29" cm="1">
        <f t="array" ref="W2505">IF(表成绩单[[#This Row],[总分]]="","",SUMPRODUCT((表成绩单[考试日期]=表成绩单[[#This Row],[考试日期]])*(表成绩单[总分]&lt;9E+307)*(表成绩单[总分]&gt;表成绩单[[#This Row],[总分]]))+1)</f>
        <v>98</v>
      </c>
    </row>
    <row r="2506" ht="28" customHeight="1" spans="4:23">
      <c r="D2506" s="31">
        <v>46108</v>
      </c>
      <c r="E2506" s="29">
        <v>19175384</v>
      </c>
      <c r="F2506" s="29" t="s">
        <v>74</v>
      </c>
      <c r="G2506" s="29" t="s">
        <v>131</v>
      </c>
      <c r="H2506" s="29">
        <v>103</v>
      </c>
      <c r="I2506" s="29">
        <v>91</v>
      </c>
      <c r="J2506" s="29">
        <v>85</v>
      </c>
      <c r="K2506" s="29">
        <v>84</v>
      </c>
      <c r="L2506" s="29">
        <v>71</v>
      </c>
      <c r="M2506" s="29">
        <v>83</v>
      </c>
      <c r="N2506" s="29">
        <v>88</v>
      </c>
      <c r="O2506" s="32">
        <v>605</v>
      </c>
      <c r="P2506" s="29" cm="1">
        <f t="array" ref="P2506">IF(表成绩单[[#This Row],[语文]]="","",SUMPRODUCT((表成绩单[考试日期]=表成绩单[[#This Row],[考试日期]])*(表成绩单[语文]&lt;9E+307)*(表成绩单[语文]&gt;表成绩单[[#This Row],[语文]]))+1)</f>
        <v>155</v>
      </c>
      <c r="Q2506" s="29" cm="1">
        <f t="array" ref="Q2506">IF(表成绩单[[#This Row],[数学]]="","",SUMPRODUCT((表成绩单[考试日期]=表成绩单[[#This Row],[考试日期]])*(表成绩单[数学]&lt;9E+307)*(表成绩单[数学]&gt;表成绩单[[#This Row],[数学]]))+1)</f>
        <v>341</v>
      </c>
      <c r="R2506" s="29" cm="1">
        <f t="array" ref="R2506">IF(表成绩单[[#This Row],[英语]]="","",SUMPRODUCT((表成绩单[考试日期]=表成绩单[[#This Row],[考试日期]])*(表成绩单[英语]&lt;9E+307)*(表成绩单[英语]&gt;表成绩单[[#This Row],[英语]]))+1)</f>
        <v>59</v>
      </c>
      <c r="S2506" s="29" cm="1">
        <f t="array" ref="S2506">IF(表成绩单[[#This Row],[物理]]="","",SUMPRODUCT((表成绩单[考试日期]=表成绩单[[#This Row],[考试日期]])*(表成绩单[物理]&lt;9E+307)*(表成绩单[物理]&gt;表成绩单[[#This Row],[物理]]))+1)</f>
        <v>146</v>
      </c>
      <c r="T2506" s="29" cm="1">
        <f t="array" ref="T2506">IF(表成绩单[[#This Row],[化学]]="","",SUMPRODUCT((表成绩单[考试日期]=表成绩单[[#This Row],[考试日期]])*(表成绩单[化学]&lt;9E+307)*(表成绩单[化学]&gt;表成绩单[[#This Row],[化学]]))+1)</f>
        <v>217</v>
      </c>
      <c r="U2506" s="29" cm="1">
        <f t="array" ref="U2506">IF(表成绩单[[#This Row],[政治]]="","",SUMPRODUCT((表成绩单[考试日期]=表成绩单[[#This Row],[考试日期]])*(表成绩单[政治]&lt;9E+307)*(表成绩单[政治]&gt;表成绩单[[#This Row],[政治]]))+1)</f>
        <v>24</v>
      </c>
      <c r="V2506" s="29" cm="1">
        <f t="array" ref="V2506">IF(表成绩单[[#This Row],[历史]]="","",SUMPRODUCT((表成绩单[考试日期]=表成绩单[[#This Row],[考试日期]])*(表成绩单[历史]&lt;9E+307)*(表成绩单[历史]&gt;表成绩单[[#This Row],[历史]]))+1)</f>
        <v>1</v>
      </c>
      <c r="W2506" s="29" cm="1">
        <f t="array" ref="W2506">IF(表成绩单[[#This Row],[总分]]="","",SUMPRODUCT((表成绩单[考试日期]=表成绩单[[#This Row],[考试日期]])*(表成绩单[总分]&lt;9E+307)*(表成绩单[总分]&gt;表成绩单[[#This Row],[总分]]))+1)</f>
        <v>98</v>
      </c>
    </row>
    <row r="2507" ht="28" customHeight="1" spans="4:23">
      <c r="D2507" s="31">
        <v>46108</v>
      </c>
      <c r="E2507" s="29">
        <v>19175386</v>
      </c>
      <c r="F2507" s="29" t="s">
        <v>74</v>
      </c>
      <c r="G2507" s="29" t="s">
        <v>197</v>
      </c>
      <c r="H2507" s="29">
        <v>104</v>
      </c>
      <c r="I2507" s="29">
        <v>95</v>
      </c>
      <c r="J2507" s="29">
        <v>86.5</v>
      </c>
      <c r="K2507" s="29">
        <v>87</v>
      </c>
      <c r="L2507" s="29">
        <v>75</v>
      </c>
      <c r="M2507" s="29">
        <v>77</v>
      </c>
      <c r="N2507" s="29">
        <v>80</v>
      </c>
      <c r="O2507" s="32">
        <v>604.5</v>
      </c>
      <c r="P2507" s="29" cm="1">
        <f t="array" ref="P2507">IF(表成绩单[[#This Row],[语文]]="","",SUMPRODUCT((表成绩单[考试日期]=表成绩单[[#This Row],[考试日期]])*(表成绩单[语文]&lt;9E+307)*(表成绩单[语文]&gt;表成绩单[[#This Row],[语文]]))+1)</f>
        <v>131</v>
      </c>
      <c r="Q2507" s="29" cm="1">
        <f t="array" ref="Q2507">IF(表成绩单[[#This Row],[数学]]="","",SUMPRODUCT((表成绩单[考试日期]=表成绩单[[#This Row],[考试日期]])*(表成绩单[数学]&lt;9E+307)*(表成绩单[数学]&gt;表成绩单[[#This Row],[数学]]))+1)</f>
        <v>229</v>
      </c>
      <c r="R2507" s="29" cm="1">
        <f t="array" ref="R2507">IF(表成绩单[[#This Row],[英语]]="","",SUMPRODUCT((表成绩单[考试日期]=表成绩单[[#This Row],[考试日期]])*(表成绩单[英语]&lt;9E+307)*(表成绩单[英语]&gt;表成绩单[[#This Row],[英语]]))+1)</f>
        <v>18</v>
      </c>
      <c r="S2507" s="29" cm="1">
        <f t="array" ref="S2507">IF(表成绩单[[#This Row],[物理]]="","",SUMPRODUCT((表成绩单[考试日期]=表成绩单[[#This Row],[考试日期]])*(表成绩单[物理]&lt;9E+307)*(表成绩单[物理]&gt;表成绩单[[#This Row],[物理]]))+1)</f>
        <v>49</v>
      </c>
      <c r="T2507" s="29" cm="1">
        <f t="array" ref="T2507">IF(表成绩单[[#This Row],[化学]]="","",SUMPRODUCT((表成绩单[考试日期]=表成绩单[[#This Row],[考试日期]])*(表成绩单[化学]&lt;9E+307)*(表成绩单[化学]&gt;表成绩单[[#This Row],[化学]]))+1)</f>
        <v>96</v>
      </c>
      <c r="U2507" s="29" cm="1">
        <f t="array" ref="U2507">IF(表成绩单[[#This Row],[政治]]="","",SUMPRODUCT((表成绩单[考试日期]=表成绩单[[#This Row],[考试日期]])*(表成绩单[政治]&lt;9E+307)*(表成绩单[政治]&gt;表成绩单[[#This Row],[政治]]))+1)</f>
        <v>230</v>
      </c>
      <c r="V2507" s="29" cm="1">
        <f t="array" ref="V2507">IF(表成绩单[[#This Row],[历史]]="","",SUMPRODUCT((表成绩单[考试日期]=表成绩单[[#This Row],[考试日期]])*(表成绩单[历史]&lt;9E+307)*(表成绩单[历史]&gt;表成绩单[[#This Row],[历史]]))+1)</f>
        <v>143</v>
      </c>
      <c r="W2507" s="29" cm="1">
        <f t="array" ref="W2507">IF(表成绩单[[#This Row],[总分]]="","",SUMPRODUCT((表成绩单[考试日期]=表成绩单[[#This Row],[考试日期]])*(表成绩单[总分]&lt;9E+307)*(表成绩单[总分]&gt;表成绩单[[#This Row],[总分]]))+1)</f>
        <v>100</v>
      </c>
    </row>
    <row r="2508" ht="28" customHeight="1" spans="4:23">
      <c r="D2508" s="31">
        <v>46108</v>
      </c>
      <c r="E2508" s="29">
        <v>19177197</v>
      </c>
      <c r="F2508" s="29" t="s">
        <v>70</v>
      </c>
      <c r="G2508" s="29" t="s">
        <v>281</v>
      </c>
      <c r="H2508" s="29">
        <v>99</v>
      </c>
      <c r="I2508" s="29">
        <v>106</v>
      </c>
      <c r="J2508" s="29">
        <v>79.5</v>
      </c>
      <c r="K2508" s="29">
        <v>81</v>
      </c>
      <c r="L2508" s="29">
        <v>77</v>
      </c>
      <c r="M2508" s="29">
        <v>80</v>
      </c>
      <c r="N2508" s="29">
        <v>82</v>
      </c>
      <c r="O2508" s="32">
        <v>604.5</v>
      </c>
      <c r="P2508" s="29" cm="1">
        <f t="array" ref="P2508">IF(表成绩单[[#This Row],[语文]]="","",SUMPRODUCT((表成绩单[考试日期]=表成绩单[[#This Row],[考试日期]])*(表成绩单[语文]&lt;9E+307)*(表成绩单[语文]&gt;表成绩单[[#This Row],[语文]]))+1)</f>
        <v>279</v>
      </c>
      <c r="Q2508" s="29" cm="1">
        <f t="array" ref="Q2508">IF(表成绩单[[#This Row],[数学]]="","",SUMPRODUCT((表成绩单[考试日期]=表成绩单[[#This Row],[考试日期]])*(表成绩单[数学]&lt;9E+307)*(表成绩单[数学]&gt;表成绩单[[#This Row],[数学]]))+1)</f>
        <v>40</v>
      </c>
      <c r="R2508" s="29" cm="1">
        <f t="array" ref="R2508">IF(表成绩单[[#This Row],[英语]]="","",SUMPRODUCT((表成绩单[考试日期]=表成绩单[[#This Row],[考试日期]])*(表成绩单[英语]&lt;9E+307)*(表成绩单[英语]&gt;表成绩单[[#This Row],[英语]]))+1)</f>
        <v>286</v>
      </c>
      <c r="S2508" s="29" cm="1">
        <f t="array" ref="S2508">IF(表成绩单[[#This Row],[物理]]="","",SUMPRODUCT((表成绩单[考试日期]=表成绩单[[#This Row],[考试日期]])*(表成绩单[物理]&lt;9E+307)*(表成绩单[物理]&gt;表成绩单[[#This Row],[物理]]))+1)</f>
        <v>269</v>
      </c>
      <c r="T2508" s="29" cm="1">
        <f t="array" ref="T2508">IF(表成绩单[[#This Row],[化学]]="","",SUMPRODUCT((表成绩单[考试日期]=表成绩单[[#This Row],[考试日期]])*(表成绩单[化学]&lt;9E+307)*(表成绩单[化学]&gt;表成绩单[[#This Row],[化学]]))+1)</f>
        <v>57</v>
      </c>
      <c r="U2508" s="29" cm="1">
        <f t="array" ref="U2508">IF(表成绩单[[#This Row],[政治]]="","",SUMPRODUCT((表成绩单[考试日期]=表成绩单[[#This Row],[考试日期]])*(表成绩单[政治]&lt;9E+307)*(表成绩单[政治]&gt;表成绩单[[#This Row],[政治]]))+1)</f>
        <v>98</v>
      </c>
      <c r="V2508" s="29" cm="1">
        <f t="array" ref="V2508">IF(表成绩单[[#This Row],[历史]]="","",SUMPRODUCT((表成绩单[考试日期]=表成绩单[[#This Row],[考试日期]])*(表成绩单[历史]&lt;9E+307)*(表成绩单[历史]&gt;表成绩单[[#This Row],[历史]]))+1)</f>
        <v>81</v>
      </c>
      <c r="W2508" s="29" cm="1">
        <f t="array" ref="W2508">IF(表成绩单[[#This Row],[总分]]="","",SUMPRODUCT((表成绩单[考试日期]=表成绩单[[#This Row],[考试日期]])*(表成绩单[总分]&lt;9E+307)*(表成绩单[总分]&gt;表成绩单[[#This Row],[总分]]))+1)</f>
        <v>100</v>
      </c>
    </row>
    <row r="2509" ht="28" customHeight="1" spans="4:23">
      <c r="D2509" s="31">
        <v>46108</v>
      </c>
      <c r="E2509" s="29">
        <v>19173529</v>
      </c>
      <c r="F2509" s="29" t="s">
        <v>1</v>
      </c>
      <c r="G2509" s="29" t="s">
        <v>183</v>
      </c>
      <c r="H2509" s="29">
        <v>96</v>
      </c>
      <c r="I2509" s="29">
        <v>111</v>
      </c>
      <c r="J2509" s="29">
        <v>81</v>
      </c>
      <c r="K2509" s="29">
        <v>83</v>
      </c>
      <c r="L2509" s="29">
        <v>77</v>
      </c>
      <c r="M2509" s="29">
        <v>76</v>
      </c>
      <c r="N2509" s="29">
        <v>80</v>
      </c>
      <c r="O2509" s="32">
        <v>604</v>
      </c>
      <c r="P2509" s="29" cm="1">
        <f t="array" ref="P2509">IF(表成绩单[[#This Row],[语文]]="","",SUMPRODUCT((表成绩单[考试日期]=表成绩单[[#This Row],[考试日期]])*(表成绩单[语文]&lt;9E+307)*(表成绩单[语文]&gt;表成绩单[[#This Row],[语文]]))+1)</f>
        <v>390</v>
      </c>
      <c r="Q2509" s="29" cm="1">
        <f t="array" ref="Q2509">IF(表成绩单[[#This Row],[数学]]="","",SUMPRODUCT((表成绩单[考试日期]=表成绩单[[#This Row],[考试日期]])*(表成绩单[数学]&lt;9E+307)*(表成绩单[数学]&gt;表成绩单[[#This Row],[数学]]))+1)</f>
        <v>7</v>
      </c>
      <c r="R2509" s="29" cm="1">
        <f t="array" ref="R2509">IF(表成绩单[[#This Row],[英语]]="","",SUMPRODUCT((表成绩单[考试日期]=表成绩单[[#This Row],[考试日期]])*(表成绩单[英语]&lt;9E+307)*(表成绩单[英语]&gt;表成绩单[[#This Row],[英语]]))+1)</f>
        <v>227</v>
      </c>
      <c r="S2509" s="29" cm="1">
        <f t="array" ref="S2509">IF(表成绩单[[#This Row],[物理]]="","",SUMPRODUCT((表成绩单[考试日期]=表成绩单[[#This Row],[考试日期]])*(表成绩单[物理]&lt;9E+307)*(表成绩单[物理]&gt;表成绩单[[#This Row],[物理]]))+1)</f>
        <v>184</v>
      </c>
      <c r="T2509" s="29" cm="1">
        <f t="array" ref="T2509">IF(表成绩单[[#This Row],[化学]]="","",SUMPRODUCT((表成绩单[考试日期]=表成绩单[[#This Row],[考试日期]])*(表成绩单[化学]&lt;9E+307)*(表成绩单[化学]&gt;表成绩单[[#This Row],[化学]]))+1)</f>
        <v>57</v>
      </c>
      <c r="U2509" s="29" cm="1">
        <f t="array" ref="U2509">IF(表成绩单[[#This Row],[政治]]="","",SUMPRODUCT((表成绩单[考试日期]=表成绩单[[#This Row],[考试日期]])*(表成绩单[政治]&lt;9E+307)*(表成绩单[政治]&gt;表成绩单[[#This Row],[政治]]))+1)</f>
        <v>291</v>
      </c>
      <c r="V2509" s="29" cm="1">
        <f t="array" ref="V2509">IF(表成绩单[[#This Row],[历史]]="","",SUMPRODUCT((表成绩单[考试日期]=表成绩单[[#This Row],[考试日期]])*(表成绩单[历史]&lt;9E+307)*(表成绩单[历史]&gt;表成绩单[[#This Row],[历史]]))+1)</f>
        <v>143</v>
      </c>
      <c r="W2509" s="29" cm="1">
        <f t="array" ref="W2509">IF(表成绩单[[#This Row],[总分]]="","",SUMPRODUCT((表成绩单[考试日期]=表成绩单[[#This Row],[考试日期]])*(表成绩单[总分]&lt;9E+307)*(表成绩单[总分]&gt;表成绩单[[#This Row],[总分]]))+1)</f>
        <v>102</v>
      </c>
    </row>
    <row r="2510" ht="28" customHeight="1" spans="4:23">
      <c r="D2510" s="31">
        <v>46108</v>
      </c>
      <c r="E2510" s="29">
        <v>19173543</v>
      </c>
      <c r="F2510" s="29" t="s">
        <v>1</v>
      </c>
      <c r="G2510" s="29" t="s">
        <v>127</v>
      </c>
      <c r="H2510" s="29">
        <v>98</v>
      </c>
      <c r="I2510" s="29">
        <v>104</v>
      </c>
      <c r="J2510" s="29">
        <v>80</v>
      </c>
      <c r="K2510" s="29">
        <v>86</v>
      </c>
      <c r="L2510" s="29">
        <v>75</v>
      </c>
      <c r="M2510" s="29">
        <v>80</v>
      </c>
      <c r="N2510" s="29">
        <v>81</v>
      </c>
      <c r="O2510" s="32">
        <v>604</v>
      </c>
      <c r="P2510" s="29" cm="1">
        <f t="array" ref="P2510">IF(表成绩单[[#This Row],[语文]]="","",SUMPRODUCT((表成绩单[考试日期]=表成绩单[[#This Row],[考试日期]])*(表成绩单[语文]&lt;9E+307)*(表成绩单[语文]&gt;表成绩单[[#This Row],[语文]]))+1)</f>
        <v>322</v>
      </c>
      <c r="Q2510" s="29" cm="1">
        <f t="array" ref="Q2510">IF(表成绩单[[#This Row],[数学]]="","",SUMPRODUCT((表成绩单[考试日期]=表成绩单[[#This Row],[考试日期]])*(表成绩单[数学]&lt;9E+307)*(表成绩单[数学]&gt;表成绩单[[#This Row],[数学]]))+1)</f>
        <v>68</v>
      </c>
      <c r="R2510" s="29" cm="1">
        <f t="array" ref="R2510">IF(表成绩单[[#This Row],[英语]]="","",SUMPRODUCT((表成绩单[考试日期]=表成绩单[[#This Row],[考试日期]])*(表成绩单[英语]&lt;9E+307)*(表成绩单[英语]&gt;表成绩单[[#This Row],[英语]]))+1)</f>
        <v>266</v>
      </c>
      <c r="S2510" s="29" cm="1">
        <f t="array" ref="S2510">IF(表成绩单[[#This Row],[物理]]="","",SUMPRODUCT((表成绩单[考试日期]=表成绩单[[#This Row],[考试日期]])*(表成绩单[物理]&lt;9E+307)*(表成绩单[物理]&gt;表成绩单[[#This Row],[物理]]))+1)</f>
        <v>61</v>
      </c>
      <c r="T2510" s="29" cm="1">
        <f t="array" ref="T2510">IF(表成绩单[[#This Row],[化学]]="","",SUMPRODUCT((表成绩单[考试日期]=表成绩单[[#This Row],[考试日期]])*(表成绩单[化学]&lt;9E+307)*(表成绩单[化学]&gt;表成绩单[[#This Row],[化学]]))+1)</f>
        <v>96</v>
      </c>
      <c r="U2510" s="29" cm="1">
        <f t="array" ref="U2510">IF(表成绩单[[#This Row],[政治]]="","",SUMPRODUCT((表成绩单[考试日期]=表成绩单[[#This Row],[考试日期]])*(表成绩单[政治]&lt;9E+307)*(表成绩单[政治]&gt;表成绩单[[#This Row],[政治]]))+1)</f>
        <v>98</v>
      </c>
      <c r="V2510" s="29" cm="1">
        <f t="array" ref="V2510">IF(表成绩单[[#This Row],[历史]]="","",SUMPRODUCT((表成绩单[考试日期]=表成绩单[[#This Row],[考试日期]])*(表成绩单[历史]&lt;9E+307)*(表成绩单[历史]&gt;表成绩单[[#This Row],[历史]]))+1)</f>
        <v>106</v>
      </c>
      <c r="W2510" s="29" cm="1">
        <f t="array" ref="W2510">IF(表成绩单[[#This Row],[总分]]="","",SUMPRODUCT((表成绩单[考试日期]=表成绩单[[#This Row],[考试日期]])*(表成绩单[总分]&lt;9E+307)*(表成绩单[总分]&gt;表成绩单[[#This Row],[总分]]))+1)</f>
        <v>102</v>
      </c>
    </row>
    <row r="2511" ht="28" customHeight="1" spans="4:23">
      <c r="D2511" s="31">
        <v>46108</v>
      </c>
      <c r="E2511" s="29">
        <v>19175420</v>
      </c>
      <c r="F2511" s="29" t="s">
        <v>74</v>
      </c>
      <c r="G2511" s="29" t="s">
        <v>129</v>
      </c>
      <c r="H2511" s="29">
        <v>97</v>
      </c>
      <c r="I2511" s="29">
        <v>104</v>
      </c>
      <c r="J2511" s="29">
        <v>82.5</v>
      </c>
      <c r="K2511" s="29">
        <v>86</v>
      </c>
      <c r="L2511" s="29">
        <v>73</v>
      </c>
      <c r="M2511" s="29">
        <v>78</v>
      </c>
      <c r="N2511" s="29">
        <v>83</v>
      </c>
      <c r="O2511" s="32">
        <v>603.5</v>
      </c>
      <c r="P2511" s="29" cm="1">
        <f t="array" ref="P2511">IF(表成绩单[[#This Row],[语文]]="","",SUMPRODUCT((表成绩单[考试日期]=表成绩单[[#This Row],[考试日期]])*(表成绩单[语文]&lt;9E+307)*(表成绩单[语文]&gt;表成绩单[[#This Row],[语文]]))+1)</f>
        <v>357</v>
      </c>
      <c r="Q2511" s="29" cm="1">
        <f t="array" ref="Q2511">IF(表成绩单[[#This Row],[数学]]="","",SUMPRODUCT((表成绩单[考试日期]=表成绩单[[#This Row],[考试日期]])*(表成绩单[数学]&lt;9E+307)*(表成绩单[数学]&gt;表成绩单[[#This Row],[数学]]))+1)</f>
        <v>68</v>
      </c>
      <c r="R2511" s="29" cm="1">
        <f t="array" ref="R2511">IF(表成绩单[[#This Row],[英语]]="","",SUMPRODUCT((表成绩单[考试日期]=表成绩单[[#This Row],[考试日期]])*(表成绩单[英语]&lt;9E+307)*(表成绩单[英语]&gt;表成绩单[[#This Row],[英语]]))+1)</f>
        <v>156</v>
      </c>
      <c r="S2511" s="29" cm="1">
        <f t="array" ref="S2511">IF(表成绩单[[#This Row],[物理]]="","",SUMPRODUCT((表成绩单[考试日期]=表成绩单[[#This Row],[考试日期]])*(表成绩单[物理]&lt;9E+307)*(表成绩单[物理]&gt;表成绩单[[#This Row],[物理]]))+1)</f>
        <v>61</v>
      </c>
      <c r="T2511" s="29" cm="1">
        <f t="array" ref="T2511">IF(表成绩单[[#This Row],[化学]]="","",SUMPRODUCT((表成绩单[考试日期]=表成绩单[[#This Row],[考试日期]])*(表成绩单[化学]&lt;9E+307)*(表成绩单[化学]&gt;表成绩单[[#This Row],[化学]]))+1)</f>
        <v>152</v>
      </c>
      <c r="U2511" s="29" cm="1">
        <f t="array" ref="U2511">IF(表成绩单[[#This Row],[政治]]="","",SUMPRODUCT((表成绩单[考试日期]=表成绩单[[#This Row],[考试日期]])*(表成绩单[政治]&lt;9E+307)*(表成绩单[政治]&gt;表成绩单[[#This Row],[政治]]))+1)</f>
        <v>171</v>
      </c>
      <c r="V2511" s="29" cm="1">
        <f t="array" ref="V2511">IF(表成绩单[[#This Row],[历史]]="","",SUMPRODUCT((表成绩单[考试日期]=表成绩单[[#This Row],[考试日期]])*(表成绩单[历史]&lt;9E+307)*(表成绩单[历史]&gt;表成绩单[[#This Row],[历史]]))+1)</f>
        <v>60</v>
      </c>
      <c r="W2511" s="29" cm="1">
        <f t="array" ref="W2511">IF(表成绩单[[#This Row],[总分]]="","",SUMPRODUCT((表成绩单[考试日期]=表成绩单[[#This Row],[考试日期]])*(表成绩单[总分]&lt;9E+307)*(表成绩单[总分]&gt;表成绩单[[#This Row],[总分]]))+1)</f>
        <v>104</v>
      </c>
    </row>
    <row r="2512" ht="28" customHeight="1" spans="4:23">
      <c r="D2512" s="31">
        <v>46108</v>
      </c>
      <c r="E2512" s="29">
        <v>19167650</v>
      </c>
      <c r="F2512" s="29" t="s">
        <v>1</v>
      </c>
      <c r="G2512" s="29" t="s">
        <v>274</v>
      </c>
      <c r="H2512" s="29">
        <v>100</v>
      </c>
      <c r="I2512" s="29">
        <v>105</v>
      </c>
      <c r="J2512" s="29">
        <v>84</v>
      </c>
      <c r="K2512" s="29">
        <v>88</v>
      </c>
      <c r="L2512" s="29">
        <v>77</v>
      </c>
      <c r="M2512" s="29">
        <v>73</v>
      </c>
      <c r="N2512" s="29">
        <v>76</v>
      </c>
      <c r="O2512" s="32">
        <v>603</v>
      </c>
      <c r="P2512" s="29" cm="1">
        <f t="array" ref="P2512">IF(表成绩单[[#This Row],[语文]]="","",SUMPRODUCT((表成绩单[考试日期]=表成绩单[[#This Row],[考试日期]])*(表成绩单[语文]&lt;9E+307)*(表成绩单[语文]&gt;表成绩单[[#This Row],[语文]]))+1)</f>
        <v>247</v>
      </c>
      <c r="Q2512" s="29" cm="1">
        <f t="array" ref="Q2512">IF(表成绩单[[#This Row],[数学]]="","",SUMPRODUCT((表成绩单[考试日期]=表成绩单[[#This Row],[考试日期]])*(表成绩单[数学]&lt;9E+307)*(表成绩单[数学]&gt;表成绩单[[#This Row],[数学]]))+1)</f>
        <v>52</v>
      </c>
      <c r="R2512" s="29" cm="1">
        <f t="array" ref="R2512">IF(表成绩单[[#This Row],[英语]]="","",SUMPRODUCT((表成绩单[考试日期]=表成绩单[[#This Row],[考试日期]])*(表成绩单[英语]&lt;9E+307)*(表成绩单[英语]&gt;表成绩单[[#This Row],[英语]]))+1)</f>
        <v>100</v>
      </c>
      <c r="S2512" s="29" cm="1">
        <f t="array" ref="S2512">IF(表成绩单[[#This Row],[物理]]="","",SUMPRODUCT((表成绩单[考试日期]=表成绩单[[#This Row],[考试日期]])*(表成绩单[物理]&lt;9E+307)*(表成绩单[物理]&gt;表成绩单[[#This Row],[物理]]))+1)</f>
        <v>27</v>
      </c>
      <c r="T2512" s="29" cm="1">
        <f t="array" ref="T2512">IF(表成绩单[[#This Row],[化学]]="","",SUMPRODUCT((表成绩单[考试日期]=表成绩单[[#This Row],[考试日期]])*(表成绩单[化学]&lt;9E+307)*(表成绩单[化学]&gt;表成绩单[[#This Row],[化学]]))+1)</f>
        <v>57</v>
      </c>
      <c r="U2512" s="29" cm="1">
        <f t="array" ref="U2512">IF(表成绩单[[#This Row],[政治]]="","",SUMPRODUCT((表成绩单[考试日期]=表成绩单[[#This Row],[考试日期]])*(表成绩单[政治]&lt;9E+307)*(表成绩单[政治]&gt;表成绩单[[#This Row],[政治]]))+1)</f>
        <v>431</v>
      </c>
      <c r="V2512" s="29" cm="1">
        <f t="array" ref="V2512">IF(表成绩单[[#This Row],[历史]]="","",SUMPRODUCT((表成绩单[考试日期]=表成绩单[[#This Row],[考试日期]])*(表成绩单[历史]&lt;9E+307)*(表成绩单[历史]&gt;表成绩单[[#This Row],[历史]]))+1)</f>
        <v>316</v>
      </c>
      <c r="W2512" s="29" cm="1">
        <f t="array" ref="W2512">IF(表成绩单[[#This Row],[总分]]="","",SUMPRODUCT((表成绩单[考试日期]=表成绩单[[#This Row],[考试日期]])*(表成绩单[总分]&lt;9E+307)*(表成绩单[总分]&gt;表成绩单[[#This Row],[总分]]))+1)</f>
        <v>105</v>
      </c>
    </row>
    <row r="2513" ht="28" customHeight="1" spans="4:23">
      <c r="D2513" s="31">
        <v>46108</v>
      </c>
      <c r="E2513" s="29">
        <v>19167659</v>
      </c>
      <c r="F2513" s="29" t="s">
        <v>1</v>
      </c>
      <c r="G2513" s="29" t="s">
        <v>116</v>
      </c>
      <c r="H2513" s="29">
        <v>100</v>
      </c>
      <c r="I2513" s="29">
        <v>102</v>
      </c>
      <c r="J2513" s="29">
        <v>86</v>
      </c>
      <c r="K2513" s="29">
        <v>85</v>
      </c>
      <c r="L2513" s="29">
        <v>68</v>
      </c>
      <c r="M2513" s="29">
        <v>76</v>
      </c>
      <c r="N2513" s="29">
        <v>86</v>
      </c>
      <c r="O2513" s="32">
        <v>603</v>
      </c>
      <c r="P2513" s="29" cm="1">
        <f t="array" ref="P2513">IF(表成绩单[[#This Row],[语文]]="","",SUMPRODUCT((表成绩单[考试日期]=表成绩单[[#This Row],[考试日期]])*(表成绩单[语文]&lt;9E+307)*(表成绩单[语文]&gt;表成绩单[[#This Row],[语文]]))+1)</f>
        <v>247</v>
      </c>
      <c r="Q2513" s="29" cm="1">
        <f t="array" ref="Q2513">IF(表成绩单[[#This Row],[数学]]="","",SUMPRODUCT((表成绩单[考试日期]=表成绩单[[#This Row],[考试日期]])*(表成绩单[数学]&lt;9E+307)*(表成绩单[数学]&gt;表成绩单[[#This Row],[数学]]))+1)</f>
        <v>98</v>
      </c>
      <c r="R2513" s="29" cm="1">
        <f t="array" ref="R2513">IF(表成绩单[[#This Row],[英语]]="","",SUMPRODUCT((表成绩单[考试日期]=表成绩单[[#This Row],[考试日期]])*(表成绩单[英语]&lt;9E+307)*(表成绩单[英语]&gt;表成绩单[[#This Row],[英语]]))+1)</f>
        <v>29</v>
      </c>
      <c r="S2513" s="29" cm="1">
        <f t="array" ref="S2513">IF(表成绩单[[#This Row],[物理]]="","",SUMPRODUCT((表成绩单[考试日期]=表成绩单[[#This Row],[考试日期]])*(表成绩单[物理]&lt;9E+307)*(表成绩单[物理]&gt;表成绩单[[#This Row],[物理]]))+1)</f>
        <v>105</v>
      </c>
      <c r="T2513" s="29" cm="1">
        <f t="array" ref="T2513">IF(表成绩单[[#This Row],[化学]]="","",SUMPRODUCT((表成绩单[考试日期]=表成绩单[[#This Row],[考试日期]])*(表成绩单[化学]&lt;9E+307)*(表成绩单[化学]&gt;表成绩单[[#This Row],[化学]]))+1)</f>
        <v>306</v>
      </c>
      <c r="U2513" s="29" cm="1">
        <f t="array" ref="U2513">IF(表成绩单[[#This Row],[政治]]="","",SUMPRODUCT((表成绩单[考试日期]=表成绩单[[#This Row],[考试日期]])*(表成绩单[政治]&lt;9E+307)*(表成绩单[政治]&gt;表成绩单[[#This Row],[政治]]))+1)</f>
        <v>291</v>
      </c>
      <c r="V2513" s="29" cm="1">
        <f t="array" ref="V2513">IF(表成绩单[[#This Row],[历史]]="","",SUMPRODUCT((表成绩单[考试日期]=表成绩单[[#This Row],[考试日期]])*(表成绩单[历史]&lt;9E+307)*(表成绩单[历史]&gt;表成绩单[[#This Row],[历史]]))+1)</f>
        <v>13</v>
      </c>
      <c r="W2513" s="29" cm="1">
        <f t="array" ref="W2513">IF(表成绩单[[#This Row],[总分]]="","",SUMPRODUCT((表成绩单[考试日期]=表成绩单[[#This Row],[考试日期]])*(表成绩单[总分]&lt;9E+307)*(表成绩单[总分]&gt;表成绩单[[#This Row],[总分]]))+1)</f>
        <v>105</v>
      </c>
    </row>
    <row r="2514" ht="28" customHeight="1" spans="4:23">
      <c r="D2514" s="31">
        <v>46108</v>
      </c>
      <c r="E2514" s="29">
        <v>19175381</v>
      </c>
      <c r="F2514" s="29" t="s">
        <v>74</v>
      </c>
      <c r="G2514" s="29" t="s">
        <v>260</v>
      </c>
      <c r="H2514" s="29">
        <v>109</v>
      </c>
      <c r="I2514" s="29">
        <v>102</v>
      </c>
      <c r="J2514" s="29">
        <v>82</v>
      </c>
      <c r="K2514" s="29">
        <v>83</v>
      </c>
      <c r="L2514" s="29">
        <v>67</v>
      </c>
      <c r="M2514" s="29">
        <v>80</v>
      </c>
      <c r="N2514" s="29">
        <v>80</v>
      </c>
      <c r="O2514" s="32">
        <v>603</v>
      </c>
      <c r="P2514" s="29" cm="1">
        <f t="array" ref="P2514">IF(表成绩单[[#This Row],[语文]]="","",SUMPRODUCT((表成绩单[考试日期]=表成绩单[[#This Row],[考试日期]])*(表成绩单[语文]&lt;9E+307)*(表成绩单[语文]&gt;表成绩单[[#This Row],[语文]]))+1)</f>
        <v>40</v>
      </c>
      <c r="Q2514" s="29" cm="1">
        <f t="array" ref="Q2514">IF(表成绩单[[#This Row],[数学]]="","",SUMPRODUCT((表成绩单[考试日期]=表成绩单[[#This Row],[考试日期]])*(表成绩单[数学]&lt;9E+307)*(表成绩单[数学]&gt;表成绩单[[#This Row],[数学]]))+1)</f>
        <v>98</v>
      </c>
      <c r="R2514" s="29" cm="1">
        <f t="array" ref="R2514">IF(表成绩单[[#This Row],[英语]]="","",SUMPRODUCT((表成绩单[考试日期]=表成绩单[[#This Row],[考试日期]])*(表成绩单[英语]&lt;9E+307)*(表成绩单[英语]&gt;表成绩单[[#This Row],[英语]]))+1)</f>
        <v>180</v>
      </c>
      <c r="S2514" s="29" cm="1">
        <f t="array" ref="S2514">IF(表成绩单[[#This Row],[物理]]="","",SUMPRODUCT((表成绩单[考试日期]=表成绩单[[#This Row],[考试日期]])*(表成绩单[物理]&lt;9E+307)*(表成绩单[物理]&gt;表成绩单[[#This Row],[物理]]))+1)</f>
        <v>184</v>
      </c>
      <c r="T2514" s="29" cm="1">
        <f t="array" ref="T2514">IF(表成绩单[[#This Row],[化学]]="","",SUMPRODUCT((表成绩单[考试日期]=表成绩单[[#This Row],[考试日期]])*(表成绩单[化学]&lt;9E+307)*(表成绩单[化学]&gt;表成绩单[[#This Row],[化学]]))+1)</f>
        <v>335</v>
      </c>
      <c r="U2514" s="29" cm="1">
        <f t="array" ref="U2514">IF(表成绩单[[#This Row],[政治]]="","",SUMPRODUCT((表成绩单[考试日期]=表成绩单[[#This Row],[考试日期]])*(表成绩单[政治]&lt;9E+307)*(表成绩单[政治]&gt;表成绩单[[#This Row],[政治]]))+1)</f>
        <v>98</v>
      </c>
      <c r="V2514" s="29" cm="1">
        <f t="array" ref="V2514">IF(表成绩单[[#This Row],[历史]]="","",SUMPRODUCT((表成绩单[考试日期]=表成绩单[[#This Row],[考试日期]])*(表成绩单[历史]&lt;9E+307)*(表成绩单[历史]&gt;表成绩单[[#This Row],[历史]]))+1)</f>
        <v>143</v>
      </c>
      <c r="W2514" s="29" cm="1">
        <f t="array" ref="W2514">IF(表成绩单[[#This Row],[总分]]="","",SUMPRODUCT((表成绩单[考试日期]=表成绩单[[#This Row],[考试日期]])*(表成绩单[总分]&lt;9E+307)*(表成绩单[总分]&gt;表成绩单[[#This Row],[总分]]))+1)</f>
        <v>105</v>
      </c>
    </row>
    <row r="2515" ht="28" customHeight="1" spans="4:23">
      <c r="D2515" s="31">
        <v>46108</v>
      </c>
      <c r="E2515" s="29">
        <v>19177649</v>
      </c>
      <c r="F2515" s="29" t="s">
        <v>63</v>
      </c>
      <c r="G2515" s="29" t="s">
        <v>254</v>
      </c>
      <c r="H2515" s="29">
        <v>112</v>
      </c>
      <c r="I2515" s="29">
        <v>91</v>
      </c>
      <c r="J2515" s="29">
        <v>87</v>
      </c>
      <c r="K2515" s="29">
        <v>82</v>
      </c>
      <c r="L2515" s="29">
        <v>78</v>
      </c>
      <c r="M2515" s="29">
        <v>82</v>
      </c>
      <c r="N2515" s="29">
        <v>71</v>
      </c>
      <c r="O2515" s="32">
        <v>603</v>
      </c>
      <c r="P2515" s="29" cm="1">
        <f t="array" ref="P2515">IF(表成绩单[[#This Row],[语文]]="","",SUMPRODUCT((表成绩单[考试日期]=表成绩单[[#This Row],[考试日期]])*(表成绩单[语文]&lt;9E+307)*(表成绩单[语文]&gt;表成绩单[[#This Row],[语文]]))+1)</f>
        <v>10</v>
      </c>
      <c r="Q2515" s="29" cm="1">
        <f t="array" ref="Q2515">IF(表成绩单[[#This Row],[数学]]="","",SUMPRODUCT((表成绩单[考试日期]=表成绩单[[#This Row],[考试日期]])*(表成绩单[数学]&lt;9E+307)*(表成绩单[数学]&gt;表成绩单[[#This Row],[数学]]))+1)</f>
        <v>341</v>
      </c>
      <c r="R2515" s="29" cm="1">
        <f t="array" ref="R2515">IF(表成绩单[[#This Row],[英语]]="","",SUMPRODUCT((表成绩单[考试日期]=表成绩单[[#This Row],[考试日期]])*(表成绩单[英语]&lt;9E+307)*(表成绩单[英语]&gt;表成绩单[[#This Row],[英语]]))+1)</f>
        <v>8</v>
      </c>
      <c r="S2515" s="29" cm="1">
        <f t="array" ref="S2515">IF(表成绩单[[#This Row],[物理]]="","",SUMPRODUCT((表成绩单[考试日期]=表成绩单[[#This Row],[考试日期]])*(表成绩单[物理]&lt;9E+307)*(表成绩单[物理]&gt;表成绩单[[#This Row],[物理]]))+1)</f>
        <v>223</v>
      </c>
      <c r="T2515" s="29" cm="1">
        <f t="array" ref="T2515">IF(表成绩单[[#This Row],[化学]]="","",SUMPRODUCT((表成绩单[考试日期]=表成绩单[[#This Row],[考试日期]])*(表成绩单[化学]&lt;9E+307)*(表成绩单[化学]&gt;表成绩单[[#This Row],[化学]]))+1)</f>
        <v>47</v>
      </c>
      <c r="U2515" s="29" cm="1">
        <f t="array" ref="U2515">IF(表成绩单[[#This Row],[政治]]="","",SUMPRODUCT((表成绩单[考试日期]=表成绩单[[#This Row],[考试日期]])*(表成绩单[政治]&lt;9E+307)*(表成绩单[政治]&gt;表成绩单[[#This Row],[政治]]))+1)</f>
        <v>45</v>
      </c>
      <c r="V2515" s="29" cm="1">
        <f t="array" ref="V2515">IF(表成绩单[[#This Row],[历史]]="","",SUMPRODUCT((表成绩单[考试日期]=表成绩单[[#This Row],[考试日期]])*(表成绩单[历史]&lt;9E+307)*(表成绩单[历史]&gt;表成绩单[[#This Row],[历史]]))+1)</f>
        <v>516</v>
      </c>
      <c r="W2515" s="29" cm="1">
        <f t="array" ref="W2515">IF(表成绩单[[#This Row],[总分]]="","",SUMPRODUCT((表成绩单[考试日期]=表成绩单[[#This Row],[考试日期]])*(表成绩单[总分]&lt;9E+307)*(表成绩单[总分]&gt;表成绩单[[#This Row],[总分]]))+1)</f>
        <v>105</v>
      </c>
    </row>
    <row r="2516" ht="28" customHeight="1" spans="4:23">
      <c r="D2516" s="31">
        <v>46108</v>
      </c>
      <c r="E2516" s="29">
        <v>19176177</v>
      </c>
      <c r="F2516" s="29" t="s">
        <v>67</v>
      </c>
      <c r="G2516" s="29" t="s">
        <v>149</v>
      </c>
      <c r="H2516" s="29">
        <v>101</v>
      </c>
      <c r="I2516" s="29">
        <v>103</v>
      </c>
      <c r="J2516" s="29">
        <v>81.5</v>
      </c>
      <c r="K2516" s="29">
        <v>88</v>
      </c>
      <c r="L2516" s="29">
        <v>70</v>
      </c>
      <c r="M2516" s="29">
        <v>81</v>
      </c>
      <c r="N2516" s="29">
        <v>78</v>
      </c>
      <c r="O2516" s="32">
        <v>602.5</v>
      </c>
      <c r="P2516" s="29" cm="1">
        <f t="array" ref="P2516">IF(表成绩单[[#This Row],[语文]]="","",SUMPRODUCT((表成绩单[考试日期]=表成绩单[[#This Row],[考试日期]])*(表成绩单[语文]&lt;9E+307)*(表成绩单[语文]&gt;表成绩单[[#This Row],[语文]]))+1)</f>
        <v>211</v>
      </c>
      <c r="Q2516" s="29" cm="1">
        <f t="array" ref="Q2516">IF(表成绩单[[#This Row],[数学]]="","",SUMPRODUCT((表成绩单[考试日期]=表成绩单[[#This Row],[考试日期]])*(表成绩单[数学]&lt;9E+307)*(表成绩单[数学]&gt;表成绩单[[#This Row],[数学]]))+1)</f>
        <v>87</v>
      </c>
      <c r="R2516" s="29" cm="1">
        <f t="array" ref="R2516">IF(表成绩单[[#This Row],[英语]]="","",SUMPRODUCT((表成绩单[考试日期]=表成绩单[[#This Row],[考试日期]])*(表成绩单[英语]&lt;9E+307)*(表成绩单[英语]&gt;表成绩单[[#This Row],[英语]]))+1)</f>
        <v>203</v>
      </c>
      <c r="S2516" s="29" cm="1">
        <f t="array" ref="S2516">IF(表成绩单[[#This Row],[物理]]="","",SUMPRODUCT((表成绩单[考试日期]=表成绩单[[#This Row],[考试日期]])*(表成绩单[物理]&lt;9E+307)*(表成绩单[物理]&gt;表成绩单[[#This Row],[物理]]))+1)</f>
        <v>27</v>
      </c>
      <c r="T2516" s="29" cm="1">
        <f t="array" ref="T2516">IF(表成绩单[[#This Row],[化学]]="","",SUMPRODUCT((表成绩单[考试日期]=表成绩单[[#This Row],[考试日期]])*(表成绩单[化学]&lt;9E+307)*(表成绩单[化学]&gt;表成绩单[[#This Row],[化学]]))+1)</f>
        <v>241</v>
      </c>
      <c r="U2516" s="29" cm="1">
        <f t="array" ref="U2516">IF(表成绩单[[#This Row],[政治]]="","",SUMPRODUCT((表成绩单[考试日期]=表成绩单[[#This Row],[考试日期]])*(表成绩单[政治]&lt;9E+307)*(表成绩单[政治]&gt;表成绩单[[#This Row],[政治]]))+1)</f>
        <v>68</v>
      </c>
      <c r="V2516" s="29" cm="1">
        <f t="array" ref="V2516">IF(表成绩单[[#This Row],[历史]]="","",SUMPRODUCT((表成绩单[考试日期]=表成绩单[[#This Row],[考试日期]])*(表成绩单[历史]&lt;9E+307)*(表成绩单[历史]&gt;表成绩单[[#This Row],[历史]]))+1)</f>
        <v>222</v>
      </c>
      <c r="W2516" s="29" cm="1">
        <f t="array" ref="W2516">IF(表成绩单[[#This Row],[总分]]="","",SUMPRODUCT((表成绩单[考试日期]=表成绩单[[#This Row],[考试日期]])*(表成绩单[总分]&lt;9E+307)*(表成绩单[总分]&gt;表成绩单[[#This Row],[总分]]))+1)</f>
        <v>109</v>
      </c>
    </row>
    <row r="2517" ht="28" customHeight="1" spans="4:23">
      <c r="D2517" s="31">
        <v>46108</v>
      </c>
      <c r="E2517" s="29">
        <v>19174786</v>
      </c>
      <c r="F2517" s="29" t="s">
        <v>69</v>
      </c>
      <c r="G2517" s="29" t="s">
        <v>180</v>
      </c>
      <c r="H2517" s="29">
        <v>104</v>
      </c>
      <c r="I2517" s="29">
        <v>96</v>
      </c>
      <c r="J2517" s="29">
        <v>87</v>
      </c>
      <c r="K2517" s="29">
        <v>84</v>
      </c>
      <c r="L2517" s="29">
        <v>75</v>
      </c>
      <c r="M2517" s="29">
        <v>76</v>
      </c>
      <c r="N2517" s="29">
        <v>80</v>
      </c>
      <c r="O2517" s="32">
        <v>602</v>
      </c>
      <c r="P2517" s="29" cm="1">
        <f t="array" ref="P2517">IF(表成绩单[[#This Row],[语文]]="","",SUMPRODUCT((表成绩单[考试日期]=表成绩单[[#This Row],[考试日期]])*(表成绩单[语文]&lt;9E+307)*(表成绩单[语文]&gt;表成绩单[[#This Row],[语文]]))+1)</f>
        <v>131</v>
      </c>
      <c r="Q2517" s="29" cm="1">
        <f t="array" ref="Q2517">IF(表成绩单[[#This Row],[数学]]="","",SUMPRODUCT((表成绩单[考试日期]=表成绩单[[#This Row],[考试日期]])*(表成绩单[数学]&lt;9E+307)*(表成绩单[数学]&gt;表成绩单[[#This Row],[数学]]))+1)</f>
        <v>202</v>
      </c>
      <c r="R2517" s="29" cm="1">
        <f t="array" ref="R2517">IF(表成绩单[[#This Row],[英语]]="","",SUMPRODUCT((表成绩单[考试日期]=表成绩单[[#This Row],[考试日期]])*(表成绩单[英语]&lt;9E+307)*(表成绩单[英语]&gt;表成绩单[[#This Row],[英语]]))+1)</f>
        <v>8</v>
      </c>
      <c r="S2517" s="29" cm="1">
        <f t="array" ref="S2517">IF(表成绩单[[#This Row],[物理]]="","",SUMPRODUCT((表成绩单[考试日期]=表成绩单[[#This Row],[考试日期]])*(表成绩单[物理]&lt;9E+307)*(表成绩单[物理]&gt;表成绩单[[#This Row],[物理]]))+1)</f>
        <v>146</v>
      </c>
      <c r="T2517" s="29" cm="1">
        <f t="array" ref="T2517">IF(表成绩单[[#This Row],[化学]]="","",SUMPRODUCT((表成绩单[考试日期]=表成绩单[[#This Row],[考试日期]])*(表成绩单[化学]&lt;9E+307)*(表成绩单[化学]&gt;表成绩单[[#This Row],[化学]]))+1)</f>
        <v>96</v>
      </c>
      <c r="U2517" s="29" cm="1">
        <f t="array" ref="U2517">IF(表成绩单[[#This Row],[政治]]="","",SUMPRODUCT((表成绩单[考试日期]=表成绩单[[#This Row],[考试日期]])*(表成绩单[政治]&lt;9E+307)*(表成绩单[政治]&gt;表成绩单[[#This Row],[政治]]))+1)</f>
        <v>291</v>
      </c>
      <c r="V2517" s="29" cm="1">
        <f t="array" ref="V2517">IF(表成绩单[[#This Row],[历史]]="","",SUMPRODUCT((表成绩单[考试日期]=表成绩单[[#This Row],[考试日期]])*(表成绩单[历史]&lt;9E+307)*(表成绩单[历史]&gt;表成绩单[[#This Row],[历史]]))+1)</f>
        <v>143</v>
      </c>
      <c r="W2517" s="29" cm="1">
        <f t="array" ref="W2517">IF(表成绩单[[#This Row],[总分]]="","",SUMPRODUCT((表成绩单[考试日期]=表成绩单[[#This Row],[考试日期]])*(表成绩单[总分]&lt;9E+307)*(表成绩单[总分]&gt;表成绩单[[#This Row],[总分]]))+1)</f>
        <v>110</v>
      </c>
    </row>
    <row r="2518" ht="28" customHeight="1" spans="4:23">
      <c r="D2518" s="31">
        <v>46108</v>
      </c>
      <c r="E2518" s="29">
        <v>19175406</v>
      </c>
      <c r="F2518" s="29" t="s">
        <v>74</v>
      </c>
      <c r="G2518" s="29" t="s">
        <v>252</v>
      </c>
      <c r="H2518" s="29">
        <v>103</v>
      </c>
      <c r="I2518" s="29">
        <v>98</v>
      </c>
      <c r="J2518" s="29">
        <v>84</v>
      </c>
      <c r="K2518" s="29">
        <v>84</v>
      </c>
      <c r="L2518" s="29">
        <v>67</v>
      </c>
      <c r="M2518" s="29">
        <v>82</v>
      </c>
      <c r="N2518" s="29">
        <v>84</v>
      </c>
      <c r="O2518" s="32">
        <v>602</v>
      </c>
      <c r="P2518" s="29" cm="1">
        <f t="array" ref="P2518">IF(表成绩单[[#This Row],[语文]]="","",SUMPRODUCT((表成绩单[考试日期]=表成绩单[[#This Row],[考试日期]])*(表成绩单[语文]&lt;9E+307)*(表成绩单[语文]&gt;表成绩单[[#This Row],[语文]]))+1)</f>
        <v>155</v>
      </c>
      <c r="Q2518" s="29" cm="1">
        <f t="array" ref="Q2518">IF(表成绩单[[#This Row],[数学]]="","",SUMPRODUCT((表成绩单[考试日期]=表成绩单[[#This Row],[考试日期]])*(表成绩单[数学]&lt;9E+307)*(表成绩单[数学]&gt;表成绩单[[#This Row],[数学]]))+1)</f>
        <v>158</v>
      </c>
      <c r="R2518" s="29" cm="1">
        <f t="array" ref="R2518">IF(表成绩单[[#This Row],[英语]]="","",SUMPRODUCT((表成绩单[考试日期]=表成绩单[[#This Row],[考试日期]])*(表成绩单[英语]&lt;9E+307)*(表成绩单[英语]&gt;表成绩单[[#This Row],[英语]]))+1)</f>
        <v>100</v>
      </c>
      <c r="S2518" s="29" cm="1">
        <f t="array" ref="S2518">IF(表成绩单[[#This Row],[物理]]="","",SUMPRODUCT((表成绩单[考试日期]=表成绩单[[#This Row],[考试日期]])*(表成绩单[物理]&lt;9E+307)*(表成绩单[物理]&gt;表成绩单[[#This Row],[物理]]))+1)</f>
        <v>146</v>
      </c>
      <c r="T2518" s="29" cm="1">
        <f t="array" ref="T2518">IF(表成绩单[[#This Row],[化学]]="","",SUMPRODUCT((表成绩单[考试日期]=表成绩单[[#This Row],[考试日期]])*(表成绩单[化学]&lt;9E+307)*(表成绩单[化学]&gt;表成绩单[[#This Row],[化学]]))+1)</f>
        <v>335</v>
      </c>
      <c r="U2518" s="29" cm="1">
        <f t="array" ref="U2518">IF(表成绩单[[#This Row],[政治]]="","",SUMPRODUCT((表成绩单[考试日期]=表成绩单[[#This Row],[考试日期]])*(表成绩单[政治]&lt;9E+307)*(表成绩单[政治]&gt;表成绩单[[#This Row],[政治]]))+1)</f>
        <v>45</v>
      </c>
      <c r="V2518" s="29" cm="1">
        <f t="array" ref="V2518">IF(表成绩单[[#This Row],[历史]]="","",SUMPRODUCT((表成绩单[考试日期]=表成绩单[[#This Row],[考试日期]])*(表成绩单[历史]&lt;9E+307)*(表成绩单[历史]&gt;表成绩单[[#This Row],[历史]]))+1)</f>
        <v>38</v>
      </c>
      <c r="W2518" s="29" cm="1">
        <f t="array" ref="W2518">IF(表成绩单[[#This Row],[总分]]="","",SUMPRODUCT((表成绩单[考试日期]=表成绩单[[#This Row],[考试日期]])*(表成绩单[总分]&lt;9E+307)*(表成绩单[总分]&gt;表成绩单[[#This Row],[总分]]))+1)</f>
        <v>110</v>
      </c>
    </row>
    <row r="2519" ht="28" customHeight="1" spans="4:23">
      <c r="D2519" s="31">
        <v>46108</v>
      </c>
      <c r="E2519" s="29">
        <v>19175387</v>
      </c>
      <c r="F2519" s="29" t="s">
        <v>74</v>
      </c>
      <c r="G2519" s="29" t="s">
        <v>184</v>
      </c>
      <c r="H2519" s="29">
        <v>104</v>
      </c>
      <c r="I2519" s="29">
        <v>99</v>
      </c>
      <c r="J2519" s="29">
        <v>81.5</v>
      </c>
      <c r="K2519" s="29">
        <v>84</v>
      </c>
      <c r="L2519" s="29">
        <v>75</v>
      </c>
      <c r="M2519" s="29">
        <v>78</v>
      </c>
      <c r="N2519" s="29">
        <v>80</v>
      </c>
      <c r="O2519" s="32">
        <v>601.5</v>
      </c>
      <c r="P2519" s="29" cm="1">
        <f t="array" ref="P2519">IF(表成绩单[[#This Row],[语文]]="","",SUMPRODUCT((表成绩单[考试日期]=表成绩单[[#This Row],[考试日期]])*(表成绩单[语文]&lt;9E+307)*(表成绩单[语文]&gt;表成绩单[[#This Row],[语文]]))+1)</f>
        <v>131</v>
      </c>
      <c r="Q2519" s="29" cm="1">
        <f t="array" ref="Q2519">IF(表成绩单[[#This Row],[数学]]="","",SUMPRODUCT((表成绩单[考试日期]=表成绩单[[#This Row],[考试日期]])*(表成绩单[数学]&lt;9E+307)*(表成绩单[数学]&gt;表成绩单[[#This Row],[数学]]))+1)</f>
        <v>140</v>
      </c>
      <c r="R2519" s="29" cm="1">
        <f t="array" ref="R2519">IF(表成绩单[[#This Row],[英语]]="","",SUMPRODUCT((表成绩单[考试日期]=表成绩单[[#This Row],[考试日期]])*(表成绩单[英语]&lt;9E+307)*(表成绩单[英语]&gt;表成绩单[[#This Row],[英语]]))+1)</f>
        <v>203</v>
      </c>
      <c r="S2519" s="29" cm="1">
        <f t="array" ref="S2519">IF(表成绩单[[#This Row],[物理]]="","",SUMPRODUCT((表成绩单[考试日期]=表成绩单[[#This Row],[考试日期]])*(表成绩单[物理]&lt;9E+307)*(表成绩单[物理]&gt;表成绩单[[#This Row],[物理]]))+1)</f>
        <v>146</v>
      </c>
      <c r="T2519" s="29" cm="1">
        <f t="array" ref="T2519">IF(表成绩单[[#This Row],[化学]]="","",SUMPRODUCT((表成绩单[考试日期]=表成绩单[[#This Row],[考试日期]])*(表成绩单[化学]&lt;9E+307)*(表成绩单[化学]&gt;表成绩单[[#This Row],[化学]]))+1)</f>
        <v>96</v>
      </c>
      <c r="U2519" s="29" cm="1">
        <f t="array" ref="U2519">IF(表成绩单[[#This Row],[政治]]="","",SUMPRODUCT((表成绩单[考试日期]=表成绩单[[#This Row],[考试日期]])*(表成绩单[政治]&lt;9E+307)*(表成绩单[政治]&gt;表成绩单[[#This Row],[政治]]))+1)</f>
        <v>171</v>
      </c>
      <c r="V2519" s="29" cm="1">
        <f t="array" ref="V2519">IF(表成绩单[[#This Row],[历史]]="","",SUMPRODUCT((表成绩单[考试日期]=表成绩单[[#This Row],[考试日期]])*(表成绩单[历史]&lt;9E+307)*(表成绩单[历史]&gt;表成绩单[[#This Row],[历史]]))+1)</f>
        <v>143</v>
      </c>
      <c r="W2519" s="29" cm="1">
        <f t="array" ref="W2519">IF(表成绩单[[#This Row],[总分]]="","",SUMPRODUCT((表成绩单[考试日期]=表成绩单[[#This Row],[考试日期]])*(表成绩单[总分]&lt;9E+307)*(表成绩单[总分]&gt;表成绩单[[#This Row],[总分]]))+1)</f>
        <v>112</v>
      </c>
    </row>
    <row r="2520" ht="28" customHeight="1" spans="4:23">
      <c r="D2520" s="31">
        <v>46108</v>
      </c>
      <c r="E2520" s="29">
        <v>19167645</v>
      </c>
      <c r="F2520" s="29" t="s">
        <v>1</v>
      </c>
      <c r="G2520" s="29" t="s">
        <v>173</v>
      </c>
      <c r="H2520" s="29">
        <v>104</v>
      </c>
      <c r="I2520" s="29">
        <v>103</v>
      </c>
      <c r="J2520" s="29">
        <v>76</v>
      </c>
      <c r="K2520" s="29">
        <v>85</v>
      </c>
      <c r="L2520" s="29">
        <v>71</v>
      </c>
      <c r="M2520" s="29">
        <v>77</v>
      </c>
      <c r="N2520" s="29">
        <v>85</v>
      </c>
      <c r="O2520" s="32">
        <v>601</v>
      </c>
      <c r="P2520" s="29" cm="1">
        <f t="array" ref="P2520">IF(表成绩单[[#This Row],[语文]]="","",SUMPRODUCT((表成绩单[考试日期]=表成绩单[[#This Row],[考试日期]])*(表成绩单[语文]&lt;9E+307)*(表成绩单[语文]&gt;表成绩单[[#This Row],[语文]]))+1)</f>
        <v>131</v>
      </c>
      <c r="Q2520" s="29" cm="1">
        <f t="array" ref="Q2520">IF(表成绩单[[#This Row],[数学]]="","",SUMPRODUCT((表成绩单[考试日期]=表成绩单[[#This Row],[考试日期]])*(表成绩单[数学]&lt;9E+307)*(表成绩单[数学]&gt;表成绩单[[#This Row],[数学]]))+1)</f>
        <v>87</v>
      </c>
      <c r="R2520" s="29" cm="1">
        <f t="array" ref="R2520">IF(表成绩单[[#This Row],[英语]]="","",SUMPRODUCT((表成绩单[考试日期]=表成绩单[[#This Row],[考试日期]])*(表成绩单[英语]&lt;9E+307)*(表成绩单[英语]&gt;表成绩单[[#This Row],[英语]]))+1)</f>
        <v>405</v>
      </c>
      <c r="S2520" s="29" cm="1">
        <f t="array" ref="S2520">IF(表成绩单[[#This Row],[物理]]="","",SUMPRODUCT((表成绩单[考试日期]=表成绩单[[#This Row],[考试日期]])*(表成绩单[物理]&lt;9E+307)*(表成绩单[物理]&gt;表成绩单[[#This Row],[物理]]))+1)</f>
        <v>105</v>
      </c>
      <c r="T2520" s="29" cm="1">
        <f t="array" ref="T2520">IF(表成绩单[[#This Row],[化学]]="","",SUMPRODUCT((表成绩单[考试日期]=表成绩单[[#This Row],[考试日期]])*(表成绩单[化学]&lt;9E+307)*(表成绩单[化学]&gt;表成绩单[[#This Row],[化学]]))+1)</f>
        <v>217</v>
      </c>
      <c r="U2520" s="29" cm="1">
        <f t="array" ref="U2520">IF(表成绩单[[#This Row],[政治]]="","",SUMPRODUCT((表成绩单[考试日期]=表成绩单[[#This Row],[考试日期]])*(表成绩单[政治]&lt;9E+307)*(表成绩单[政治]&gt;表成绩单[[#This Row],[政治]]))+1)</f>
        <v>230</v>
      </c>
      <c r="V2520" s="29" cm="1">
        <f t="array" ref="V2520">IF(表成绩单[[#This Row],[历史]]="","",SUMPRODUCT((表成绩单[考试日期]=表成绩单[[#This Row],[考试日期]])*(表成绩单[历史]&lt;9E+307)*(表成绩单[历史]&gt;表成绩单[[#This Row],[历史]]))+1)</f>
        <v>20</v>
      </c>
      <c r="W2520" s="29" cm="1">
        <f t="array" ref="W2520">IF(表成绩单[[#This Row],[总分]]="","",SUMPRODUCT((表成绩单[考试日期]=表成绩单[[#This Row],[考试日期]])*(表成绩单[总分]&lt;9E+307)*(表成绩单[总分]&gt;表成绩单[[#This Row],[总分]]))+1)</f>
        <v>113</v>
      </c>
    </row>
    <row r="2521" ht="28" customHeight="1" spans="4:23">
      <c r="D2521" s="31">
        <v>46108</v>
      </c>
      <c r="E2521" s="29">
        <v>19173524</v>
      </c>
      <c r="F2521" s="29" t="s">
        <v>1</v>
      </c>
      <c r="G2521" s="29" t="s">
        <v>124</v>
      </c>
      <c r="H2521" s="29">
        <v>93</v>
      </c>
      <c r="I2521" s="29">
        <v>105</v>
      </c>
      <c r="J2521" s="29">
        <v>86</v>
      </c>
      <c r="K2521" s="29">
        <v>88</v>
      </c>
      <c r="L2521" s="29">
        <v>72</v>
      </c>
      <c r="M2521" s="29">
        <v>77</v>
      </c>
      <c r="N2521" s="29">
        <v>80</v>
      </c>
      <c r="O2521" s="32">
        <v>601</v>
      </c>
      <c r="P2521" s="29" cm="1">
        <f t="array" ref="P2521">IF(表成绩单[[#This Row],[语文]]="","",SUMPRODUCT((表成绩单[考试日期]=表成绩单[[#This Row],[考试日期]])*(表成绩单[语文]&lt;9E+307)*(表成绩单[语文]&gt;表成绩单[[#This Row],[语文]]))+1)</f>
        <v>470</v>
      </c>
      <c r="Q2521" s="29" cm="1">
        <f t="array" ref="Q2521">IF(表成绩单[[#This Row],[数学]]="","",SUMPRODUCT((表成绩单[考试日期]=表成绩单[[#This Row],[考试日期]])*(表成绩单[数学]&lt;9E+307)*(表成绩单[数学]&gt;表成绩单[[#This Row],[数学]]))+1)</f>
        <v>52</v>
      </c>
      <c r="R2521" s="29" cm="1">
        <f t="array" ref="R2521">IF(表成绩单[[#This Row],[英语]]="","",SUMPRODUCT((表成绩单[考试日期]=表成绩单[[#This Row],[考试日期]])*(表成绩单[英语]&lt;9E+307)*(表成绩单[英语]&gt;表成绩单[[#This Row],[英语]]))+1)</f>
        <v>29</v>
      </c>
      <c r="S2521" s="29" cm="1">
        <f t="array" ref="S2521">IF(表成绩单[[#This Row],[物理]]="","",SUMPRODUCT((表成绩单[考试日期]=表成绩单[[#This Row],[考试日期]])*(表成绩单[物理]&lt;9E+307)*(表成绩单[物理]&gt;表成绩单[[#This Row],[物理]]))+1)</f>
        <v>27</v>
      </c>
      <c r="T2521" s="29" cm="1">
        <f t="array" ref="T2521">IF(表成绩单[[#This Row],[化学]]="","",SUMPRODUCT((表成绩单[考试日期]=表成绩单[[#This Row],[考试日期]])*(表成绩单[化学]&lt;9E+307)*(表成绩单[化学]&gt;表成绩单[[#This Row],[化学]]))+1)</f>
        <v>187</v>
      </c>
      <c r="U2521" s="29" cm="1">
        <f t="array" ref="U2521">IF(表成绩单[[#This Row],[政治]]="","",SUMPRODUCT((表成绩单[考试日期]=表成绩单[[#This Row],[考试日期]])*(表成绩单[政治]&lt;9E+307)*(表成绩单[政治]&gt;表成绩单[[#This Row],[政治]]))+1)</f>
        <v>230</v>
      </c>
      <c r="V2521" s="29" cm="1">
        <f t="array" ref="V2521">IF(表成绩单[[#This Row],[历史]]="","",SUMPRODUCT((表成绩单[考试日期]=表成绩单[[#This Row],[考试日期]])*(表成绩单[历史]&lt;9E+307)*(表成绩单[历史]&gt;表成绩单[[#This Row],[历史]]))+1)</f>
        <v>143</v>
      </c>
      <c r="W2521" s="29" cm="1">
        <f t="array" ref="W2521">IF(表成绩单[[#This Row],[总分]]="","",SUMPRODUCT((表成绩单[考试日期]=表成绩单[[#This Row],[考试日期]])*(表成绩单[总分]&lt;9E+307)*(表成绩单[总分]&gt;表成绩单[[#This Row],[总分]]))+1)</f>
        <v>113</v>
      </c>
    </row>
    <row r="2522" ht="28" customHeight="1" spans="4:23">
      <c r="D2522" s="31">
        <v>46108</v>
      </c>
      <c r="E2522" s="29">
        <v>19173536</v>
      </c>
      <c r="F2522" s="29" t="s">
        <v>1</v>
      </c>
      <c r="G2522" s="29" t="s">
        <v>233</v>
      </c>
      <c r="H2522" s="29">
        <v>101</v>
      </c>
      <c r="I2522" s="29">
        <v>92</v>
      </c>
      <c r="J2522" s="29">
        <v>82</v>
      </c>
      <c r="K2522" s="29">
        <v>84</v>
      </c>
      <c r="L2522" s="29">
        <v>80</v>
      </c>
      <c r="M2522" s="29">
        <v>81</v>
      </c>
      <c r="N2522" s="29">
        <v>81</v>
      </c>
      <c r="O2522" s="32">
        <v>601</v>
      </c>
      <c r="P2522" s="29" cm="1">
        <f t="array" ref="P2522">IF(表成绩单[[#This Row],[语文]]="","",SUMPRODUCT((表成绩单[考试日期]=表成绩单[[#This Row],[考试日期]])*(表成绩单[语文]&lt;9E+307)*(表成绩单[语文]&gt;表成绩单[[#This Row],[语文]]))+1)</f>
        <v>211</v>
      </c>
      <c r="Q2522" s="29" cm="1">
        <f t="array" ref="Q2522">IF(表成绩单[[#This Row],[数学]]="","",SUMPRODUCT((表成绩单[考试日期]=表成绩单[[#This Row],[考试日期]])*(表成绩单[数学]&lt;9E+307)*(表成绩单[数学]&gt;表成绩单[[#This Row],[数学]]))+1)</f>
        <v>312</v>
      </c>
      <c r="R2522" s="29" cm="1">
        <f t="array" ref="R2522">IF(表成绩单[[#This Row],[英语]]="","",SUMPRODUCT((表成绩单[考试日期]=表成绩单[[#This Row],[考试日期]])*(表成绩单[英语]&lt;9E+307)*(表成绩单[英语]&gt;表成绩单[[#This Row],[英语]]))+1)</f>
        <v>180</v>
      </c>
      <c r="S2522" s="29" cm="1">
        <f t="array" ref="S2522">IF(表成绩单[[#This Row],[物理]]="","",SUMPRODUCT((表成绩单[考试日期]=表成绩单[[#This Row],[考试日期]])*(表成绩单[物理]&lt;9E+307)*(表成绩单[物理]&gt;表成绩单[[#This Row],[物理]]))+1)</f>
        <v>146</v>
      </c>
      <c r="T2522" s="29" cm="1">
        <f t="array" ref="T2522">IF(表成绩单[[#This Row],[化学]]="","",SUMPRODUCT((表成绩单[考试日期]=表成绩单[[#This Row],[考试日期]])*(表成绩单[化学]&lt;9E+307)*(表成绩单[化学]&gt;表成绩单[[#This Row],[化学]]))+1)</f>
        <v>25</v>
      </c>
      <c r="U2522" s="29" cm="1">
        <f t="array" ref="U2522">IF(表成绩单[[#This Row],[政治]]="","",SUMPRODUCT((表成绩单[考试日期]=表成绩单[[#This Row],[考试日期]])*(表成绩单[政治]&lt;9E+307)*(表成绩单[政治]&gt;表成绩单[[#This Row],[政治]]))+1)</f>
        <v>68</v>
      </c>
      <c r="V2522" s="29" cm="1">
        <f t="array" ref="V2522">IF(表成绩单[[#This Row],[历史]]="","",SUMPRODUCT((表成绩单[考试日期]=表成绩单[[#This Row],[考试日期]])*(表成绩单[历史]&lt;9E+307)*(表成绩单[历史]&gt;表成绩单[[#This Row],[历史]]))+1)</f>
        <v>106</v>
      </c>
      <c r="W2522" s="29" cm="1">
        <f t="array" ref="W2522">IF(表成绩单[[#This Row],[总分]]="","",SUMPRODUCT((表成绩单[考试日期]=表成绩单[[#This Row],[考试日期]])*(表成绩单[总分]&lt;9E+307)*(表成绩单[总分]&gt;表成绩单[[#This Row],[总分]]))+1)</f>
        <v>113</v>
      </c>
    </row>
    <row r="2523" ht="28" customHeight="1" spans="4:23">
      <c r="D2523" s="31">
        <v>46108</v>
      </c>
      <c r="E2523" s="29">
        <v>19174440</v>
      </c>
      <c r="F2523" s="29" t="s">
        <v>73</v>
      </c>
      <c r="G2523" s="29" t="s">
        <v>251</v>
      </c>
      <c r="H2523" s="29">
        <v>102</v>
      </c>
      <c r="I2523" s="29">
        <v>92</v>
      </c>
      <c r="J2523" s="29">
        <v>83</v>
      </c>
      <c r="K2523" s="29">
        <v>85</v>
      </c>
      <c r="L2523" s="29">
        <v>77</v>
      </c>
      <c r="M2523" s="29">
        <v>78</v>
      </c>
      <c r="N2523" s="29">
        <v>84</v>
      </c>
      <c r="O2523" s="32">
        <v>601</v>
      </c>
      <c r="P2523" s="29" cm="1">
        <f t="array" ref="P2523">IF(表成绩单[[#This Row],[语文]]="","",SUMPRODUCT((表成绩单[考试日期]=表成绩单[[#This Row],[考试日期]])*(表成绩单[语文]&lt;9E+307)*(表成绩单[语文]&gt;表成绩单[[#This Row],[语文]]))+1)</f>
        <v>183</v>
      </c>
      <c r="Q2523" s="29" cm="1">
        <f t="array" ref="Q2523">IF(表成绩单[[#This Row],[数学]]="","",SUMPRODUCT((表成绩单[考试日期]=表成绩单[[#This Row],[考试日期]])*(表成绩单[数学]&lt;9E+307)*(表成绩单[数学]&gt;表成绩单[[#This Row],[数学]]))+1)</f>
        <v>312</v>
      </c>
      <c r="R2523" s="29" cm="1">
        <f t="array" ref="R2523">IF(表成绩单[[#This Row],[英语]]="","",SUMPRODUCT((表成绩单[考试日期]=表成绩单[[#This Row],[考试日期]])*(表成绩单[英语]&lt;9E+307)*(表成绩单[英语]&gt;表成绩单[[#This Row],[英语]]))+1)</f>
        <v>134</v>
      </c>
      <c r="S2523" s="29" cm="1">
        <f t="array" ref="S2523">IF(表成绩单[[#This Row],[物理]]="","",SUMPRODUCT((表成绩单[考试日期]=表成绩单[[#This Row],[考试日期]])*(表成绩单[物理]&lt;9E+307)*(表成绩单[物理]&gt;表成绩单[[#This Row],[物理]]))+1)</f>
        <v>105</v>
      </c>
      <c r="T2523" s="29" cm="1">
        <f t="array" ref="T2523">IF(表成绩单[[#This Row],[化学]]="","",SUMPRODUCT((表成绩单[考试日期]=表成绩单[[#This Row],[考试日期]])*(表成绩单[化学]&lt;9E+307)*(表成绩单[化学]&gt;表成绩单[[#This Row],[化学]]))+1)</f>
        <v>57</v>
      </c>
      <c r="U2523" s="29" cm="1">
        <f t="array" ref="U2523">IF(表成绩单[[#This Row],[政治]]="","",SUMPRODUCT((表成绩单[考试日期]=表成绩单[[#This Row],[考试日期]])*(表成绩单[政治]&lt;9E+307)*(表成绩单[政治]&gt;表成绩单[[#This Row],[政治]]))+1)</f>
        <v>171</v>
      </c>
      <c r="V2523" s="29" cm="1">
        <f t="array" ref="V2523">IF(表成绩单[[#This Row],[历史]]="","",SUMPRODUCT((表成绩单[考试日期]=表成绩单[[#This Row],[考试日期]])*(表成绩单[历史]&lt;9E+307)*(表成绩单[历史]&gt;表成绩单[[#This Row],[历史]]))+1)</f>
        <v>38</v>
      </c>
      <c r="W2523" s="29" cm="1">
        <f t="array" ref="W2523">IF(表成绩单[[#This Row],[总分]]="","",SUMPRODUCT((表成绩单[考试日期]=表成绩单[[#This Row],[考试日期]])*(表成绩单[总分]&lt;9E+307)*(表成绩单[总分]&gt;表成绩单[[#This Row],[总分]]))+1)</f>
        <v>113</v>
      </c>
    </row>
    <row r="2524" ht="28" customHeight="1" spans="4:23">
      <c r="D2524" s="31">
        <v>46108</v>
      </c>
      <c r="E2524" s="29">
        <v>19175409</v>
      </c>
      <c r="F2524" s="29" t="s">
        <v>74</v>
      </c>
      <c r="G2524" s="29" t="s">
        <v>112</v>
      </c>
      <c r="H2524" s="29">
        <v>95</v>
      </c>
      <c r="I2524" s="29">
        <v>101</v>
      </c>
      <c r="J2524" s="29">
        <v>85</v>
      </c>
      <c r="K2524" s="29">
        <v>89</v>
      </c>
      <c r="L2524" s="29">
        <v>69</v>
      </c>
      <c r="M2524" s="29">
        <v>76</v>
      </c>
      <c r="N2524" s="29">
        <v>86</v>
      </c>
      <c r="O2524" s="32">
        <v>601</v>
      </c>
      <c r="P2524" s="29" cm="1">
        <f t="array" ref="P2524">IF(表成绩单[[#This Row],[语文]]="","",SUMPRODUCT((表成绩单[考试日期]=表成绩单[[#This Row],[考试日期]])*(表成绩单[语文]&lt;9E+307)*(表成绩单[语文]&gt;表成绩单[[#This Row],[语文]]))+1)</f>
        <v>422</v>
      </c>
      <c r="Q2524" s="29" cm="1">
        <f t="array" ref="Q2524">IF(表成绩单[[#This Row],[数学]]="","",SUMPRODUCT((表成绩单[考试日期]=表成绩单[[#This Row],[考试日期]])*(表成绩单[数学]&lt;9E+307)*(表成绩单[数学]&gt;表成绩单[[#This Row],[数学]]))+1)</f>
        <v>115</v>
      </c>
      <c r="R2524" s="29" cm="1">
        <f t="array" ref="R2524">IF(表成绩单[[#This Row],[英语]]="","",SUMPRODUCT((表成绩单[考试日期]=表成绩单[[#This Row],[考试日期]])*(表成绩单[英语]&lt;9E+307)*(表成绩单[英语]&gt;表成绩单[[#This Row],[英语]]))+1)</f>
        <v>59</v>
      </c>
      <c r="S2524" s="29" cm="1">
        <f t="array" ref="S2524">IF(表成绩单[[#This Row],[物理]]="","",SUMPRODUCT((表成绩单[考试日期]=表成绩单[[#This Row],[考试日期]])*(表成绩单[物理]&lt;9E+307)*(表成绩单[物理]&gt;表成绩单[[#This Row],[物理]]))+1)</f>
        <v>15</v>
      </c>
      <c r="T2524" s="29" cm="1">
        <f t="array" ref="T2524">IF(表成绩单[[#This Row],[化学]]="","",SUMPRODUCT((表成绩单[考试日期]=表成绩单[[#This Row],[考试日期]])*(表成绩单[化学]&lt;9E+307)*(表成绩单[化学]&gt;表成绩单[[#This Row],[化学]]))+1)</f>
        <v>269</v>
      </c>
      <c r="U2524" s="29" cm="1">
        <f t="array" ref="U2524">IF(表成绩单[[#This Row],[政治]]="","",SUMPRODUCT((表成绩单[考试日期]=表成绩单[[#This Row],[考试日期]])*(表成绩单[政治]&lt;9E+307)*(表成绩单[政治]&gt;表成绩单[[#This Row],[政治]]))+1)</f>
        <v>291</v>
      </c>
      <c r="V2524" s="29" cm="1">
        <f t="array" ref="V2524">IF(表成绩单[[#This Row],[历史]]="","",SUMPRODUCT((表成绩单[考试日期]=表成绩单[[#This Row],[考试日期]])*(表成绩单[历史]&lt;9E+307)*(表成绩单[历史]&gt;表成绩单[[#This Row],[历史]]))+1)</f>
        <v>13</v>
      </c>
      <c r="W2524" s="29" cm="1">
        <f t="array" ref="W2524">IF(表成绩单[[#This Row],[总分]]="","",SUMPRODUCT((表成绩单[考试日期]=表成绩单[[#This Row],[考试日期]])*(表成绩单[总分]&lt;9E+307)*(表成绩单[总分]&gt;表成绩单[[#This Row],[总分]]))+1)</f>
        <v>113</v>
      </c>
    </row>
    <row r="2525" ht="28" customHeight="1" spans="4:23">
      <c r="D2525" s="31">
        <v>46108</v>
      </c>
      <c r="E2525" s="29">
        <v>19177222</v>
      </c>
      <c r="F2525" s="29" t="s">
        <v>70</v>
      </c>
      <c r="G2525" s="29" t="s">
        <v>193</v>
      </c>
      <c r="H2525" s="29">
        <v>105</v>
      </c>
      <c r="I2525" s="29">
        <v>94</v>
      </c>
      <c r="J2525" s="29">
        <v>77</v>
      </c>
      <c r="K2525" s="29">
        <v>83</v>
      </c>
      <c r="L2525" s="29">
        <v>75</v>
      </c>
      <c r="M2525" s="29">
        <v>85</v>
      </c>
      <c r="N2525" s="29">
        <v>82</v>
      </c>
      <c r="O2525" s="32">
        <v>601</v>
      </c>
      <c r="P2525" s="29" cm="1">
        <f t="array" ref="P2525">IF(表成绩单[[#This Row],[语文]]="","",SUMPRODUCT((表成绩单[考试日期]=表成绩单[[#This Row],[考试日期]])*(表成绩单[语文]&lt;9E+307)*(表成绩单[语文]&gt;表成绩单[[#This Row],[语文]]))+1)</f>
        <v>101</v>
      </c>
      <c r="Q2525" s="29" cm="1">
        <f t="array" ref="Q2525">IF(表成绩单[[#This Row],[数学]]="","",SUMPRODUCT((表成绩单[考试日期]=表成绩单[[#This Row],[考试日期]])*(表成绩单[数学]&lt;9E+307)*(表成绩单[数学]&gt;表成绩单[[#This Row],[数学]]))+1)</f>
        <v>258</v>
      </c>
      <c r="R2525" s="29" cm="1">
        <f t="array" ref="R2525">IF(表成绩单[[#This Row],[英语]]="","",SUMPRODUCT((表成绩单[考试日期]=表成绩单[[#This Row],[考试日期]])*(表成绩单[英语]&lt;9E+307)*(表成绩单[英语]&gt;表成绩单[[#This Row],[英语]]))+1)</f>
        <v>370</v>
      </c>
      <c r="S2525" s="29" cm="1">
        <f t="array" ref="S2525">IF(表成绩单[[#This Row],[物理]]="","",SUMPRODUCT((表成绩单[考试日期]=表成绩单[[#This Row],[考试日期]])*(表成绩单[物理]&lt;9E+307)*(表成绩单[物理]&gt;表成绩单[[#This Row],[物理]]))+1)</f>
        <v>184</v>
      </c>
      <c r="T2525" s="29" cm="1">
        <f t="array" ref="T2525">IF(表成绩单[[#This Row],[化学]]="","",SUMPRODUCT((表成绩单[考试日期]=表成绩单[[#This Row],[考试日期]])*(表成绩单[化学]&lt;9E+307)*(表成绩单[化学]&gt;表成绩单[[#This Row],[化学]]))+1)</f>
        <v>96</v>
      </c>
      <c r="U2525" s="29" cm="1">
        <f t="array" ref="U2525">IF(表成绩单[[#This Row],[政治]]="","",SUMPRODUCT((表成绩单[考试日期]=表成绩单[[#This Row],[考试日期]])*(表成绩单[政治]&lt;9E+307)*(表成绩单[政治]&gt;表成绩单[[#This Row],[政治]]))+1)</f>
        <v>5</v>
      </c>
      <c r="V2525" s="29" cm="1">
        <f t="array" ref="V2525">IF(表成绩单[[#This Row],[历史]]="","",SUMPRODUCT((表成绩单[考试日期]=表成绩单[[#This Row],[考试日期]])*(表成绩单[历史]&lt;9E+307)*(表成绩单[历史]&gt;表成绩单[[#This Row],[历史]]))+1)</f>
        <v>81</v>
      </c>
      <c r="W2525" s="29" cm="1">
        <f t="array" ref="W2525">IF(表成绩单[[#This Row],[总分]]="","",SUMPRODUCT((表成绩单[考试日期]=表成绩单[[#This Row],[考试日期]])*(表成绩单[总分]&lt;9E+307)*(表成绩单[总分]&gt;表成绩单[[#This Row],[总分]]))+1)</f>
        <v>113</v>
      </c>
    </row>
    <row r="2526" ht="28" customHeight="1" spans="4:23">
      <c r="D2526" s="31">
        <v>46108</v>
      </c>
      <c r="E2526" s="29">
        <v>19173523</v>
      </c>
      <c r="F2526" s="29" t="s">
        <v>1</v>
      </c>
      <c r="G2526" s="29" t="s">
        <v>119</v>
      </c>
      <c r="H2526" s="29">
        <v>107</v>
      </c>
      <c r="I2526" s="29">
        <v>100</v>
      </c>
      <c r="J2526" s="29">
        <v>84.5</v>
      </c>
      <c r="K2526" s="29">
        <v>77</v>
      </c>
      <c r="L2526" s="29">
        <v>78</v>
      </c>
      <c r="M2526" s="29">
        <v>78</v>
      </c>
      <c r="N2526" s="29">
        <v>76</v>
      </c>
      <c r="O2526" s="32">
        <v>600.5</v>
      </c>
      <c r="P2526" s="29" cm="1">
        <f t="array" ref="P2526">IF(表成绩单[[#This Row],[语文]]="","",SUMPRODUCT((表成绩单[考试日期]=表成绩单[[#This Row],[考试日期]])*(表成绩单[语文]&lt;9E+307)*(表成绩单[语文]&gt;表成绩单[[#This Row],[语文]]))+1)</f>
        <v>67</v>
      </c>
      <c r="Q2526" s="29" cm="1">
        <f t="array" ref="Q2526">IF(表成绩单[[#This Row],[数学]]="","",SUMPRODUCT((表成绩单[考试日期]=表成绩单[[#This Row],[考试日期]])*(表成绩单[数学]&lt;9E+307)*(表成绩单[数学]&gt;表成绩单[[#This Row],[数学]]))+1)</f>
        <v>121</v>
      </c>
      <c r="R2526" s="29" cm="1">
        <f t="array" ref="R2526">IF(表成绩单[[#This Row],[英语]]="","",SUMPRODUCT((表成绩单[考试日期]=表成绩单[[#This Row],[考试日期]])*(表成绩单[英语]&lt;9E+307)*(表成绩单[英语]&gt;表成绩单[[#This Row],[英语]]))+1)</f>
        <v>83</v>
      </c>
      <c r="S2526" s="29" cm="1">
        <f t="array" ref="S2526">IF(表成绩单[[#This Row],[物理]]="","",SUMPRODUCT((表成绩单[考试日期]=表成绩单[[#This Row],[考试日期]])*(表成绩单[物理]&lt;9E+307)*(表成绩单[物理]&gt;表成绩单[[#This Row],[物理]]))+1)</f>
        <v>400</v>
      </c>
      <c r="T2526" s="29" cm="1">
        <f t="array" ref="T2526">IF(表成绩单[[#This Row],[化学]]="","",SUMPRODUCT((表成绩单[考试日期]=表成绩单[[#This Row],[考试日期]])*(表成绩单[化学]&lt;9E+307)*(表成绩单[化学]&gt;表成绩单[[#This Row],[化学]]))+1)</f>
        <v>47</v>
      </c>
      <c r="U2526" s="29" cm="1">
        <f t="array" ref="U2526">IF(表成绩单[[#This Row],[政治]]="","",SUMPRODUCT((表成绩单[考试日期]=表成绩单[[#This Row],[考试日期]])*(表成绩单[政治]&lt;9E+307)*(表成绩单[政治]&gt;表成绩单[[#This Row],[政治]]))+1)</f>
        <v>171</v>
      </c>
      <c r="V2526" s="29" cm="1">
        <f t="array" ref="V2526">IF(表成绩单[[#This Row],[历史]]="","",SUMPRODUCT((表成绩单[考试日期]=表成绩单[[#This Row],[考试日期]])*(表成绩单[历史]&lt;9E+307)*(表成绩单[历史]&gt;表成绩单[[#This Row],[历史]]))+1)</f>
        <v>316</v>
      </c>
      <c r="W2526" s="29" cm="1">
        <f t="array" ref="W2526">IF(表成绩单[[#This Row],[总分]]="","",SUMPRODUCT((表成绩单[考试日期]=表成绩单[[#This Row],[考试日期]])*(表成绩单[总分]&lt;9E+307)*(表成绩单[总分]&gt;表成绩单[[#This Row],[总分]]))+1)</f>
        <v>119</v>
      </c>
    </row>
    <row r="2527" ht="28" customHeight="1" spans="4:23">
      <c r="D2527" s="31">
        <v>46108</v>
      </c>
      <c r="E2527" s="29">
        <v>19174785</v>
      </c>
      <c r="F2527" s="29" t="s">
        <v>69</v>
      </c>
      <c r="G2527" s="29" t="s">
        <v>289</v>
      </c>
      <c r="H2527" s="29">
        <v>112</v>
      </c>
      <c r="I2527" s="29">
        <v>97</v>
      </c>
      <c r="J2527" s="29">
        <v>77.5</v>
      </c>
      <c r="K2527" s="29">
        <v>85</v>
      </c>
      <c r="L2527" s="29">
        <v>75</v>
      </c>
      <c r="M2527" s="29">
        <v>74</v>
      </c>
      <c r="N2527" s="29">
        <v>80</v>
      </c>
      <c r="O2527" s="32">
        <v>600.5</v>
      </c>
      <c r="P2527" s="29" cm="1">
        <f t="array" ref="P2527">IF(表成绩单[[#This Row],[语文]]="","",SUMPRODUCT((表成绩单[考试日期]=表成绩单[[#This Row],[考试日期]])*(表成绩单[语文]&lt;9E+307)*(表成绩单[语文]&gt;表成绩单[[#This Row],[语文]]))+1)</f>
        <v>10</v>
      </c>
      <c r="Q2527" s="29" cm="1">
        <f t="array" ref="Q2527">IF(表成绩单[[#This Row],[数学]]="","",SUMPRODUCT((表成绩单[考试日期]=表成绩单[[#This Row],[考试日期]])*(表成绩单[数学]&lt;9E+307)*(表成绩单[数学]&gt;表成绩单[[#This Row],[数学]]))+1)</f>
        <v>175</v>
      </c>
      <c r="R2527" s="29" cm="1">
        <f t="array" ref="R2527">IF(表成绩单[[#This Row],[英语]]="","",SUMPRODUCT((表成绩单[考试日期]=表成绩单[[#This Row],[考试日期]])*(表成绩单[英语]&lt;9E+307)*(表成绩单[英语]&gt;表成绩单[[#This Row],[英语]]))+1)</f>
        <v>353</v>
      </c>
      <c r="S2527" s="29" cm="1">
        <f t="array" ref="S2527">IF(表成绩单[[#This Row],[物理]]="","",SUMPRODUCT((表成绩单[考试日期]=表成绩单[[#This Row],[考试日期]])*(表成绩单[物理]&lt;9E+307)*(表成绩单[物理]&gt;表成绩单[[#This Row],[物理]]))+1)</f>
        <v>105</v>
      </c>
      <c r="T2527" s="29" cm="1">
        <f t="array" ref="T2527">IF(表成绩单[[#This Row],[化学]]="","",SUMPRODUCT((表成绩单[考试日期]=表成绩单[[#This Row],[考试日期]])*(表成绩单[化学]&lt;9E+307)*(表成绩单[化学]&gt;表成绩单[[#This Row],[化学]]))+1)</f>
        <v>96</v>
      </c>
      <c r="U2527" s="29" cm="1">
        <f t="array" ref="U2527">IF(表成绩单[[#This Row],[政治]]="","",SUMPRODUCT((表成绩单[考试日期]=表成绩单[[#This Row],[考试日期]])*(表成绩单[政治]&lt;9E+307)*(表成绩单[政治]&gt;表成绩单[[#This Row],[政治]]))+1)</f>
        <v>389</v>
      </c>
      <c r="V2527" s="29" cm="1">
        <f t="array" ref="V2527">IF(表成绩单[[#This Row],[历史]]="","",SUMPRODUCT((表成绩单[考试日期]=表成绩单[[#This Row],[考试日期]])*(表成绩单[历史]&lt;9E+307)*(表成绩单[历史]&gt;表成绩单[[#This Row],[历史]]))+1)</f>
        <v>143</v>
      </c>
      <c r="W2527" s="29" cm="1">
        <f t="array" ref="W2527">IF(表成绩单[[#This Row],[总分]]="","",SUMPRODUCT((表成绩单[考试日期]=表成绩单[[#This Row],[考试日期]])*(表成绩单[总分]&lt;9E+307)*(表成绩单[总分]&gt;表成绩单[[#This Row],[总分]]))+1)</f>
        <v>119</v>
      </c>
    </row>
    <row r="2528" ht="28" customHeight="1" spans="4:23">
      <c r="D2528" s="31">
        <v>46108</v>
      </c>
      <c r="E2528" s="29">
        <v>19177194</v>
      </c>
      <c r="F2528" s="29" t="s">
        <v>70</v>
      </c>
      <c r="G2528" s="29" t="s">
        <v>246</v>
      </c>
      <c r="H2528" s="29">
        <v>107</v>
      </c>
      <c r="I2528" s="29">
        <v>99</v>
      </c>
      <c r="J2528" s="29">
        <v>83.5</v>
      </c>
      <c r="K2528" s="29">
        <v>86</v>
      </c>
      <c r="L2528" s="29">
        <v>70</v>
      </c>
      <c r="M2528" s="29">
        <v>76</v>
      </c>
      <c r="N2528" s="29">
        <v>79</v>
      </c>
      <c r="O2528" s="32">
        <v>600.5</v>
      </c>
      <c r="P2528" s="29" cm="1">
        <f t="array" ref="P2528">IF(表成绩单[[#This Row],[语文]]="","",SUMPRODUCT((表成绩单[考试日期]=表成绩单[[#This Row],[考试日期]])*(表成绩单[语文]&lt;9E+307)*(表成绩单[语文]&gt;表成绩单[[#This Row],[语文]]))+1)</f>
        <v>67</v>
      </c>
      <c r="Q2528" s="29" cm="1">
        <f t="array" ref="Q2528">IF(表成绩单[[#This Row],[数学]]="","",SUMPRODUCT((表成绩单[考试日期]=表成绩单[[#This Row],[考试日期]])*(表成绩单[数学]&lt;9E+307)*(表成绩单[数学]&gt;表成绩单[[#This Row],[数学]]))+1)</f>
        <v>140</v>
      </c>
      <c r="R2528" s="29" cm="1">
        <f t="array" ref="R2528">IF(表成绩单[[#This Row],[英语]]="","",SUMPRODUCT((表成绩单[考试日期]=表成绩单[[#This Row],[考试日期]])*(表成绩单[英语]&lt;9E+307)*(表成绩单[英语]&gt;表成绩单[[#This Row],[英语]]))+1)</f>
        <v>122</v>
      </c>
      <c r="S2528" s="29" cm="1">
        <f t="array" ref="S2528">IF(表成绩单[[#This Row],[物理]]="","",SUMPRODUCT((表成绩单[考试日期]=表成绩单[[#This Row],[考试日期]])*(表成绩单[物理]&lt;9E+307)*(表成绩单[物理]&gt;表成绩单[[#This Row],[物理]]))+1)</f>
        <v>61</v>
      </c>
      <c r="T2528" s="29" cm="1">
        <f t="array" ref="T2528">IF(表成绩单[[#This Row],[化学]]="","",SUMPRODUCT((表成绩单[考试日期]=表成绩单[[#This Row],[考试日期]])*(表成绩单[化学]&lt;9E+307)*(表成绩单[化学]&gt;表成绩单[[#This Row],[化学]]))+1)</f>
        <v>241</v>
      </c>
      <c r="U2528" s="29" cm="1">
        <f t="array" ref="U2528">IF(表成绩单[[#This Row],[政治]]="","",SUMPRODUCT((表成绩单[考试日期]=表成绩单[[#This Row],[考试日期]])*(表成绩单[政治]&lt;9E+307)*(表成绩单[政治]&gt;表成绩单[[#This Row],[政治]]))+1)</f>
        <v>291</v>
      </c>
      <c r="V2528" s="29" cm="1">
        <f t="array" ref="V2528">IF(表成绩单[[#This Row],[历史]]="","",SUMPRODUCT((表成绩单[考试日期]=表成绩单[[#This Row],[考试日期]])*(表成绩单[历史]&lt;9E+307)*(表成绩单[历史]&gt;表成绩单[[#This Row],[历史]]))+1)</f>
        <v>173</v>
      </c>
      <c r="W2528" s="29" cm="1">
        <f t="array" ref="W2528">IF(表成绩单[[#This Row],[总分]]="","",SUMPRODUCT((表成绩单[考试日期]=表成绩单[[#This Row],[考试日期]])*(表成绩单[总分]&lt;9E+307)*(表成绩单[总分]&gt;表成绩单[[#This Row],[总分]]))+1)</f>
        <v>119</v>
      </c>
    </row>
    <row r="2529" ht="28" customHeight="1" spans="4:23">
      <c r="D2529" s="31">
        <v>46108</v>
      </c>
      <c r="E2529" s="29">
        <v>19174803</v>
      </c>
      <c r="F2529" s="29" t="s">
        <v>69</v>
      </c>
      <c r="G2529" s="29" t="s">
        <v>191</v>
      </c>
      <c r="H2529" s="29">
        <v>103</v>
      </c>
      <c r="I2529" s="29">
        <v>105</v>
      </c>
      <c r="J2529" s="29">
        <v>83</v>
      </c>
      <c r="K2529" s="29">
        <v>84</v>
      </c>
      <c r="L2529" s="29">
        <v>67</v>
      </c>
      <c r="M2529" s="29">
        <v>82</v>
      </c>
      <c r="N2529" s="29">
        <v>76</v>
      </c>
      <c r="O2529" s="32">
        <v>600</v>
      </c>
      <c r="P2529" s="29" cm="1">
        <f t="array" ref="P2529">IF(表成绩单[[#This Row],[语文]]="","",SUMPRODUCT((表成绩单[考试日期]=表成绩单[[#This Row],[考试日期]])*(表成绩单[语文]&lt;9E+307)*(表成绩单[语文]&gt;表成绩单[[#This Row],[语文]]))+1)</f>
        <v>155</v>
      </c>
      <c r="Q2529" s="29" cm="1">
        <f t="array" ref="Q2529">IF(表成绩单[[#This Row],[数学]]="","",SUMPRODUCT((表成绩单[考试日期]=表成绩单[[#This Row],[考试日期]])*(表成绩单[数学]&lt;9E+307)*(表成绩单[数学]&gt;表成绩单[[#This Row],[数学]]))+1)</f>
        <v>52</v>
      </c>
      <c r="R2529" s="29" cm="1">
        <f t="array" ref="R2529">IF(表成绩单[[#This Row],[英语]]="","",SUMPRODUCT((表成绩单[考试日期]=表成绩单[[#This Row],[考试日期]])*(表成绩单[英语]&lt;9E+307)*(表成绩单[英语]&gt;表成绩单[[#This Row],[英语]]))+1)</f>
        <v>134</v>
      </c>
      <c r="S2529" s="29" cm="1">
        <f t="array" ref="S2529">IF(表成绩单[[#This Row],[物理]]="","",SUMPRODUCT((表成绩单[考试日期]=表成绩单[[#This Row],[考试日期]])*(表成绩单[物理]&lt;9E+307)*(表成绩单[物理]&gt;表成绩单[[#This Row],[物理]]))+1)</f>
        <v>146</v>
      </c>
      <c r="T2529" s="29" cm="1">
        <f t="array" ref="T2529">IF(表成绩单[[#This Row],[化学]]="","",SUMPRODUCT((表成绩单[考试日期]=表成绩单[[#This Row],[考试日期]])*(表成绩单[化学]&lt;9E+307)*(表成绩单[化学]&gt;表成绩单[[#This Row],[化学]]))+1)</f>
        <v>335</v>
      </c>
      <c r="U2529" s="29" cm="1">
        <f t="array" ref="U2529">IF(表成绩单[[#This Row],[政治]]="","",SUMPRODUCT((表成绩单[考试日期]=表成绩单[[#This Row],[考试日期]])*(表成绩单[政治]&lt;9E+307)*(表成绩单[政治]&gt;表成绩单[[#This Row],[政治]]))+1)</f>
        <v>45</v>
      </c>
      <c r="V2529" s="29" cm="1">
        <f t="array" ref="V2529">IF(表成绩单[[#This Row],[历史]]="","",SUMPRODUCT((表成绩单[考试日期]=表成绩单[[#This Row],[考试日期]])*(表成绩单[历史]&lt;9E+307)*(表成绩单[历史]&gt;表成绩单[[#This Row],[历史]]))+1)</f>
        <v>316</v>
      </c>
      <c r="W2529" s="29" cm="1">
        <f t="array" ref="W2529">IF(表成绩单[[#This Row],[总分]]="","",SUMPRODUCT((表成绩单[考试日期]=表成绩单[[#This Row],[考试日期]])*(表成绩单[总分]&lt;9E+307)*(表成绩单[总分]&gt;表成绩单[[#This Row],[总分]]))+1)</f>
        <v>122</v>
      </c>
    </row>
    <row r="2530" ht="28" customHeight="1" spans="4:23">
      <c r="D2530" s="31">
        <v>46108</v>
      </c>
      <c r="E2530" s="29">
        <v>19175636</v>
      </c>
      <c r="F2530" s="29" t="s">
        <v>66</v>
      </c>
      <c r="G2530" s="29" t="s">
        <v>285</v>
      </c>
      <c r="H2530" s="29">
        <v>115</v>
      </c>
      <c r="I2530" s="29">
        <v>94</v>
      </c>
      <c r="J2530" s="29">
        <v>82</v>
      </c>
      <c r="K2530" s="29">
        <v>76</v>
      </c>
      <c r="L2530" s="29">
        <v>72</v>
      </c>
      <c r="M2530" s="29">
        <v>77</v>
      </c>
      <c r="N2530" s="29">
        <v>84</v>
      </c>
      <c r="O2530" s="32">
        <v>600</v>
      </c>
      <c r="P2530" s="29" cm="1">
        <f t="array" ref="P2530">IF(表成绩单[[#This Row],[语文]]="","",SUMPRODUCT((表成绩单[考试日期]=表成绩单[[#This Row],[考试日期]])*(表成绩单[语文]&lt;9E+307)*(表成绩单[语文]&gt;表成绩单[[#This Row],[语文]]))+1)</f>
        <v>2</v>
      </c>
      <c r="Q2530" s="29" cm="1">
        <f t="array" ref="Q2530">IF(表成绩单[[#This Row],[数学]]="","",SUMPRODUCT((表成绩单[考试日期]=表成绩单[[#This Row],[考试日期]])*(表成绩单[数学]&lt;9E+307)*(表成绩单[数学]&gt;表成绩单[[#This Row],[数学]]))+1)</f>
        <v>258</v>
      </c>
      <c r="R2530" s="29" cm="1">
        <f t="array" ref="R2530">IF(表成绩单[[#This Row],[英语]]="","",SUMPRODUCT((表成绩单[考试日期]=表成绩单[[#This Row],[考试日期]])*(表成绩单[英语]&lt;9E+307)*(表成绩单[英语]&gt;表成绩单[[#This Row],[英语]]))+1)</f>
        <v>180</v>
      </c>
      <c r="S2530" s="29" cm="1">
        <f t="array" ref="S2530">IF(表成绩单[[#This Row],[物理]]="","",SUMPRODUCT((表成绩单[考试日期]=表成绩单[[#This Row],[考试日期]])*(表成绩单[物理]&lt;9E+307)*(表成绩单[物理]&gt;表成绩单[[#This Row],[物理]]))+1)</f>
        <v>433</v>
      </c>
      <c r="T2530" s="29" cm="1">
        <f t="array" ref="T2530">IF(表成绩单[[#This Row],[化学]]="","",SUMPRODUCT((表成绩单[考试日期]=表成绩单[[#This Row],[考试日期]])*(表成绩单[化学]&lt;9E+307)*(表成绩单[化学]&gt;表成绩单[[#This Row],[化学]]))+1)</f>
        <v>187</v>
      </c>
      <c r="U2530" s="29" cm="1">
        <f t="array" ref="U2530">IF(表成绩单[[#This Row],[政治]]="","",SUMPRODUCT((表成绩单[考试日期]=表成绩单[[#This Row],[考试日期]])*(表成绩单[政治]&lt;9E+307)*(表成绩单[政治]&gt;表成绩单[[#This Row],[政治]]))+1)</f>
        <v>230</v>
      </c>
      <c r="V2530" s="29" cm="1">
        <f t="array" ref="V2530">IF(表成绩单[[#This Row],[历史]]="","",SUMPRODUCT((表成绩单[考试日期]=表成绩单[[#This Row],[考试日期]])*(表成绩单[历史]&lt;9E+307)*(表成绩单[历史]&gt;表成绩单[[#This Row],[历史]]))+1)</f>
        <v>38</v>
      </c>
      <c r="W2530" s="29" cm="1">
        <f t="array" ref="W2530">IF(表成绩单[[#This Row],[总分]]="","",SUMPRODUCT((表成绩单[考试日期]=表成绩单[[#This Row],[考试日期]])*(表成绩单[总分]&lt;9E+307)*(表成绩单[总分]&gt;表成绩单[[#This Row],[总分]]))+1)</f>
        <v>122</v>
      </c>
    </row>
    <row r="2531" ht="28" customHeight="1" spans="4:23">
      <c r="D2531" s="31">
        <v>46108</v>
      </c>
      <c r="E2531" s="29">
        <v>19173250</v>
      </c>
      <c r="F2531" s="29" t="s">
        <v>61</v>
      </c>
      <c r="G2531" s="29" t="s">
        <v>221</v>
      </c>
      <c r="H2531" s="29">
        <v>109</v>
      </c>
      <c r="I2531" s="29">
        <v>96</v>
      </c>
      <c r="J2531" s="29">
        <v>84</v>
      </c>
      <c r="K2531" s="29">
        <v>85</v>
      </c>
      <c r="L2531" s="29">
        <v>63</v>
      </c>
      <c r="M2531" s="29">
        <v>77</v>
      </c>
      <c r="N2531" s="29">
        <v>85</v>
      </c>
      <c r="O2531" s="32">
        <v>599</v>
      </c>
      <c r="P2531" s="29" cm="1">
        <f t="array" ref="P2531">IF(表成绩单[[#This Row],[语文]]="","",SUMPRODUCT((表成绩单[考试日期]=表成绩单[[#This Row],[考试日期]])*(表成绩单[语文]&lt;9E+307)*(表成绩单[语文]&gt;表成绩单[[#This Row],[语文]]))+1)</f>
        <v>40</v>
      </c>
      <c r="Q2531" s="29" cm="1">
        <f t="array" ref="Q2531">IF(表成绩单[[#This Row],[数学]]="","",SUMPRODUCT((表成绩单[考试日期]=表成绩单[[#This Row],[考试日期]])*(表成绩单[数学]&lt;9E+307)*(表成绩单[数学]&gt;表成绩单[[#This Row],[数学]]))+1)</f>
        <v>202</v>
      </c>
      <c r="R2531" s="29" cm="1">
        <f t="array" ref="R2531">IF(表成绩单[[#This Row],[英语]]="","",SUMPRODUCT((表成绩单[考试日期]=表成绩单[[#This Row],[考试日期]])*(表成绩单[英语]&lt;9E+307)*(表成绩单[英语]&gt;表成绩单[[#This Row],[英语]]))+1)</f>
        <v>100</v>
      </c>
      <c r="S2531" s="29" cm="1">
        <f t="array" ref="S2531">IF(表成绩单[[#This Row],[物理]]="","",SUMPRODUCT((表成绩单[考试日期]=表成绩单[[#This Row],[考试日期]])*(表成绩单[物理]&lt;9E+307)*(表成绩单[物理]&gt;表成绩单[[#This Row],[物理]]))+1)</f>
        <v>105</v>
      </c>
      <c r="T2531" s="29" cm="1">
        <f t="array" ref="T2531">IF(表成绩单[[#This Row],[化学]]="","",SUMPRODUCT((表成绩单[考试日期]=表成绩单[[#This Row],[考试日期]])*(表成绩单[化学]&lt;9E+307)*(表成绩单[化学]&gt;表成绩单[[#This Row],[化学]]))+1)</f>
        <v>426</v>
      </c>
      <c r="U2531" s="29" cm="1">
        <f t="array" ref="U2531">IF(表成绩单[[#This Row],[政治]]="","",SUMPRODUCT((表成绩单[考试日期]=表成绩单[[#This Row],[考试日期]])*(表成绩单[政治]&lt;9E+307)*(表成绩单[政治]&gt;表成绩单[[#This Row],[政治]]))+1)</f>
        <v>230</v>
      </c>
      <c r="V2531" s="29" cm="1">
        <f t="array" ref="V2531">IF(表成绩单[[#This Row],[历史]]="","",SUMPRODUCT((表成绩单[考试日期]=表成绩单[[#This Row],[考试日期]])*(表成绩单[历史]&lt;9E+307)*(表成绩单[历史]&gt;表成绩单[[#This Row],[历史]]))+1)</f>
        <v>20</v>
      </c>
      <c r="W2531" s="29" cm="1">
        <f t="array" ref="W2531">IF(表成绩单[[#This Row],[总分]]="","",SUMPRODUCT((表成绩单[考试日期]=表成绩单[[#This Row],[考试日期]])*(表成绩单[总分]&lt;9E+307)*(表成绩单[总分]&gt;表成绩单[[#This Row],[总分]]))+1)</f>
        <v>124</v>
      </c>
    </row>
    <row r="2532" ht="28" customHeight="1" spans="4:23">
      <c r="D2532" s="31">
        <v>46108</v>
      </c>
      <c r="E2532" s="29">
        <v>19173539</v>
      </c>
      <c r="F2532" s="29" t="s">
        <v>1</v>
      </c>
      <c r="G2532" s="29" t="s">
        <v>113</v>
      </c>
      <c r="H2532" s="29">
        <v>106</v>
      </c>
      <c r="I2532" s="29">
        <v>99</v>
      </c>
      <c r="J2532" s="29">
        <v>86</v>
      </c>
      <c r="K2532" s="29">
        <v>86</v>
      </c>
      <c r="L2532" s="29">
        <v>70</v>
      </c>
      <c r="M2532" s="29">
        <v>69</v>
      </c>
      <c r="N2532" s="29">
        <v>83</v>
      </c>
      <c r="O2532" s="32">
        <v>599</v>
      </c>
      <c r="P2532" s="29" cm="1">
        <f t="array" ref="P2532">IF(表成绩单[[#This Row],[语文]]="","",SUMPRODUCT((表成绩单[考试日期]=表成绩单[[#This Row],[考试日期]])*(表成绩单[语文]&lt;9E+307)*(表成绩单[语文]&gt;表成绩单[[#This Row],[语文]]))+1)</f>
        <v>85</v>
      </c>
      <c r="Q2532" s="29" cm="1">
        <f t="array" ref="Q2532">IF(表成绩单[[#This Row],[数学]]="","",SUMPRODUCT((表成绩单[考试日期]=表成绩单[[#This Row],[考试日期]])*(表成绩单[数学]&lt;9E+307)*(表成绩单[数学]&gt;表成绩单[[#This Row],[数学]]))+1)</f>
        <v>140</v>
      </c>
      <c r="R2532" s="29" cm="1">
        <f t="array" ref="R2532">IF(表成绩单[[#This Row],[英语]]="","",SUMPRODUCT((表成绩单[考试日期]=表成绩单[[#This Row],[考试日期]])*(表成绩单[英语]&lt;9E+307)*(表成绩单[英语]&gt;表成绩单[[#This Row],[英语]]))+1)</f>
        <v>29</v>
      </c>
      <c r="S2532" s="29" cm="1">
        <f t="array" ref="S2532">IF(表成绩单[[#This Row],[物理]]="","",SUMPRODUCT((表成绩单[考试日期]=表成绩单[[#This Row],[考试日期]])*(表成绩单[物理]&lt;9E+307)*(表成绩单[物理]&gt;表成绩单[[#This Row],[物理]]))+1)</f>
        <v>61</v>
      </c>
      <c r="T2532" s="29" cm="1">
        <f t="array" ref="T2532">IF(表成绩单[[#This Row],[化学]]="","",SUMPRODUCT((表成绩单[考试日期]=表成绩单[[#This Row],[考试日期]])*(表成绩单[化学]&lt;9E+307)*(表成绩单[化学]&gt;表成绩单[[#This Row],[化学]]))+1)</f>
        <v>241</v>
      </c>
      <c r="U2532" s="29" cm="1">
        <f t="array" ref="U2532">IF(表成绩单[[#This Row],[政治]]="","",SUMPRODUCT((表成绩单[考试日期]=表成绩单[[#This Row],[考试日期]])*(表成绩单[政治]&lt;9E+307)*(表成绩单[政治]&gt;表成绩单[[#This Row],[政治]]))+1)</f>
        <v>567</v>
      </c>
      <c r="V2532" s="29" cm="1">
        <f t="array" ref="V2532">IF(表成绩单[[#This Row],[历史]]="","",SUMPRODUCT((表成绩单[考试日期]=表成绩单[[#This Row],[考试日期]])*(表成绩单[历史]&lt;9E+307)*(表成绩单[历史]&gt;表成绩单[[#This Row],[历史]]))+1)</f>
        <v>60</v>
      </c>
      <c r="W2532" s="29" cm="1">
        <f t="array" ref="W2532">IF(表成绩单[[#This Row],[总分]]="","",SUMPRODUCT((表成绩单[考试日期]=表成绩单[[#This Row],[考试日期]])*(表成绩单[总分]&lt;9E+307)*(表成绩单[总分]&gt;表成绩单[[#This Row],[总分]]))+1)</f>
        <v>124</v>
      </c>
    </row>
    <row r="2533" ht="28" customHeight="1" spans="4:23">
      <c r="D2533" s="31">
        <v>46108</v>
      </c>
      <c r="E2533" s="29">
        <v>19175634</v>
      </c>
      <c r="F2533" s="29" t="s">
        <v>66</v>
      </c>
      <c r="G2533" s="29" t="s">
        <v>255</v>
      </c>
      <c r="H2533" s="29">
        <v>99</v>
      </c>
      <c r="I2533" s="29">
        <v>96</v>
      </c>
      <c r="J2533" s="29">
        <v>86</v>
      </c>
      <c r="K2533" s="29">
        <v>90</v>
      </c>
      <c r="L2533" s="29">
        <v>82</v>
      </c>
      <c r="M2533" s="29">
        <v>71</v>
      </c>
      <c r="N2533" s="29">
        <v>75</v>
      </c>
      <c r="O2533" s="32">
        <v>599</v>
      </c>
      <c r="P2533" s="29" cm="1">
        <f t="array" ref="P2533">IF(表成绩单[[#This Row],[语文]]="","",SUMPRODUCT((表成绩单[考试日期]=表成绩单[[#This Row],[考试日期]])*(表成绩单[语文]&lt;9E+307)*(表成绩单[语文]&gt;表成绩单[[#This Row],[语文]]))+1)</f>
        <v>279</v>
      </c>
      <c r="Q2533" s="29" cm="1">
        <f t="array" ref="Q2533">IF(表成绩单[[#This Row],[数学]]="","",SUMPRODUCT((表成绩单[考试日期]=表成绩单[[#This Row],[考试日期]])*(表成绩单[数学]&lt;9E+307)*(表成绩单[数学]&gt;表成绩单[[#This Row],[数学]]))+1)</f>
        <v>202</v>
      </c>
      <c r="R2533" s="29" cm="1">
        <f t="array" ref="R2533">IF(表成绩单[[#This Row],[英语]]="","",SUMPRODUCT((表成绩单[考试日期]=表成绩单[[#This Row],[考试日期]])*(表成绩单[英语]&lt;9E+307)*(表成绩单[英语]&gt;表成绩单[[#This Row],[英语]]))+1)</f>
        <v>29</v>
      </c>
      <c r="S2533" s="29" cm="1">
        <f t="array" ref="S2533">IF(表成绩单[[#This Row],[物理]]="","",SUMPRODUCT((表成绩单[考试日期]=表成绩单[[#This Row],[考试日期]])*(表成绩单[物理]&lt;9E+307)*(表成绩单[物理]&gt;表成绩单[[#This Row],[物理]]))+1)</f>
        <v>1</v>
      </c>
      <c r="T2533" s="29" cm="1">
        <f t="array" ref="T2533">IF(表成绩单[[#This Row],[化学]]="","",SUMPRODUCT((表成绩单[考试日期]=表成绩单[[#This Row],[考试日期]])*(表成绩单[化学]&lt;9E+307)*(表成绩单[化学]&gt;表成绩单[[#This Row],[化学]]))+1)</f>
        <v>11</v>
      </c>
      <c r="U2533" s="29" cm="1">
        <f t="array" ref="U2533">IF(表成绩单[[#This Row],[政治]]="","",SUMPRODUCT((表成绩单[考试日期]=表成绩单[[#This Row],[考试日期]])*(表成绩单[政治]&lt;9E+307)*(表成绩单[政治]&gt;表成绩单[[#This Row],[政治]]))+1)</f>
        <v>513</v>
      </c>
      <c r="V2533" s="29" cm="1">
        <f t="array" ref="V2533">IF(表成绩单[[#This Row],[历史]]="","",SUMPRODUCT((表成绩单[考试日期]=表成绩单[[#This Row],[考试日期]])*(表成绩单[历史]&lt;9E+307)*(表成绩单[历史]&gt;表成绩单[[#This Row],[历史]]))+1)</f>
        <v>354</v>
      </c>
      <c r="W2533" s="29" cm="1">
        <f t="array" ref="W2533">IF(表成绩单[[#This Row],[总分]]="","",SUMPRODUCT((表成绩单[考试日期]=表成绩单[[#This Row],[考试日期]])*(表成绩单[总分]&lt;9E+307)*(表成绩单[总分]&gt;表成绩单[[#This Row],[总分]]))+1)</f>
        <v>124</v>
      </c>
    </row>
    <row r="2534" ht="28" customHeight="1" spans="4:23">
      <c r="D2534" s="31">
        <v>46108</v>
      </c>
      <c r="E2534" s="29">
        <v>19176885</v>
      </c>
      <c r="F2534" s="29" t="s">
        <v>71</v>
      </c>
      <c r="G2534" s="29" t="s">
        <v>384</v>
      </c>
      <c r="H2534" s="29">
        <v>97</v>
      </c>
      <c r="I2534" s="29">
        <v>103</v>
      </c>
      <c r="J2534" s="29">
        <v>81</v>
      </c>
      <c r="K2534" s="29">
        <v>90</v>
      </c>
      <c r="L2534" s="29">
        <v>71</v>
      </c>
      <c r="M2534" s="29">
        <v>74</v>
      </c>
      <c r="N2534" s="29">
        <v>83</v>
      </c>
      <c r="O2534" s="32">
        <v>599</v>
      </c>
      <c r="P2534" s="29" cm="1">
        <f t="array" ref="P2534">IF(表成绩单[[#This Row],[语文]]="","",SUMPRODUCT((表成绩单[考试日期]=表成绩单[[#This Row],[考试日期]])*(表成绩单[语文]&lt;9E+307)*(表成绩单[语文]&gt;表成绩单[[#This Row],[语文]]))+1)</f>
        <v>357</v>
      </c>
      <c r="Q2534" s="29" cm="1">
        <f t="array" ref="Q2534">IF(表成绩单[[#This Row],[数学]]="","",SUMPRODUCT((表成绩单[考试日期]=表成绩单[[#This Row],[考试日期]])*(表成绩单[数学]&lt;9E+307)*(表成绩单[数学]&gt;表成绩单[[#This Row],[数学]]))+1)</f>
        <v>87</v>
      </c>
      <c r="R2534" s="29" cm="1">
        <f t="array" ref="R2534">IF(表成绩单[[#This Row],[英语]]="","",SUMPRODUCT((表成绩单[考试日期]=表成绩单[[#This Row],[考试日期]])*(表成绩单[英语]&lt;9E+307)*(表成绩单[英语]&gt;表成绩单[[#This Row],[英语]]))+1)</f>
        <v>227</v>
      </c>
      <c r="S2534" s="29" cm="1">
        <f t="array" ref="S2534">IF(表成绩单[[#This Row],[物理]]="","",SUMPRODUCT((表成绩单[考试日期]=表成绩单[[#This Row],[考试日期]])*(表成绩单[物理]&lt;9E+307)*(表成绩单[物理]&gt;表成绩单[[#This Row],[物理]]))+1)</f>
        <v>1</v>
      </c>
      <c r="T2534" s="29" cm="1">
        <f t="array" ref="T2534">IF(表成绩单[[#This Row],[化学]]="","",SUMPRODUCT((表成绩单[考试日期]=表成绩单[[#This Row],[考试日期]])*(表成绩单[化学]&lt;9E+307)*(表成绩单[化学]&gt;表成绩单[[#This Row],[化学]]))+1)</f>
        <v>217</v>
      </c>
      <c r="U2534" s="29" cm="1">
        <f t="array" ref="U2534">IF(表成绩单[[#This Row],[政治]]="","",SUMPRODUCT((表成绩单[考试日期]=表成绩单[[#This Row],[考试日期]])*(表成绩单[政治]&lt;9E+307)*(表成绩单[政治]&gt;表成绩单[[#This Row],[政治]]))+1)</f>
        <v>389</v>
      </c>
      <c r="V2534" s="29" cm="1">
        <f t="array" ref="V2534">IF(表成绩单[[#This Row],[历史]]="","",SUMPRODUCT((表成绩单[考试日期]=表成绩单[[#This Row],[考试日期]])*(表成绩单[历史]&lt;9E+307)*(表成绩单[历史]&gt;表成绩单[[#This Row],[历史]]))+1)</f>
        <v>60</v>
      </c>
      <c r="W2534" s="29" cm="1">
        <f t="array" ref="W2534">IF(表成绩单[[#This Row],[总分]]="","",SUMPRODUCT((表成绩单[考试日期]=表成绩单[[#This Row],[考试日期]])*(表成绩单[总分]&lt;9E+307)*(表成绩单[总分]&gt;表成绩单[[#This Row],[总分]]))+1)</f>
        <v>124</v>
      </c>
    </row>
    <row r="2535" ht="28" customHeight="1" spans="4:23">
      <c r="D2535" s="31">
        <v>46108</v>
      </c>
      <c r="E2535" s="29">
        <v>19177236</v>
      </c>
      <c r="F2535" s="29" t="s">
        <v>70</v>
      </c>
      <c r="G2535" s="29" t="s">
        <v>238</v>
      </c>
      <c r="H2535" s="29">
        <v>106</v>
      </c>
      <c r="I2535" s="29">
        <v>91</v>
      </c>
      <c r="J2535" s="29">
        <v>78.5</v>
      </c>
      <c r="K2535" s="29">
        <v>82</v>
      </c>
      <c r="L2535" s="29">
        <v>69</v>
      </c>
      <c r="M2535" s="29">
        <v>85</v>
      </c>
      <c r="N2535" s="29">
        <v>87</v>
      </c>
      <c r="O2535" s="32">
        <v>598.5</v>
      </c>
      <c r="P2535" s="29" cm="1">
        <f t="array" ref="P2535">IF(表成绩单[[#This Row],[语文]]="","",SUMPRODUCT((表成绩单[考试日期]=表成绩单[[#This Row],[考试日期]])*(表成绩单[语文]&lt;9E+307)*(表成绩单[语文]&gt;表成绩单[[#This Row],[语文]]))+1)</f>
        <v>85</v>
      </c>
      <c r="Q2535" s="29" cm="1">
        <f t="array" ref="Q2535">IF(表成绩单[[#This Row],[数学]]="","",SUMPRODUCT((表成绩单[考试日期]=表成绩单[[#This Row],[考试日期]])*(表成绩单[数学]&lt;9E+307)*(表成绩单[数学]&gt;表成绩单[[#This Row],[数学]]))+1)</f>
        <v>341</v>
      </c>
      <c r="R2535" s="29" cm="1">
        <f t="array" ref="R2535">IF(表成绩单[[#This Row],[英语]]="","",SUMPRODUCT((表成绩单[考试日期]=表成绩单[[#This Row],[考试日期]])*(表成绩单[英语]&lt;9E+307)*(表成绩单[英语]&gt;表成绩单[[#This Row],[英语]]))+1)</f>
        <v>322</v>
      </c>
      <c r="S2535" s="29" cm="1">
        <f t="array" ref="S2535">IF(表成绩单[[#This Row],[物理]]="","",SUMPRODUCT((表成绩单[考试日期]=表成绩单[[#This Row],[考试日期]])*(表成绩单[物理]&lt;9E+307)*(表成绩单[物理]&gt;表成绩单[[#This Row],[物理]]))+1)</f>
        <v>223</v>
      </c>
      <c r="T2535" s="29" cm="1">
        <f t="array" ref="T2535">IF(表成绩单[[#This Row],[化学]]="","",SUMPRODUCT((表成绩单[考试日期]=表成绩单[[#This Row],[考试日期]])*(表成绩单[化学]&lt;9E+307)*(表成绩单[化学]&gt;表成绩单[[#This Row],[化学]]))+1)</f>
        <v>269</v>
      </c>
      <c r="U2535" s="29" cm="1">
        <f t="array" ref="U2535">IF(表成绩单[[#This Row],[政治]]="","",SUMPRODUCT((表成绩单[考试日期]=表成绩单[[#This Row],[考试日期]])*(表成绩单[政治]&lt;9E+307)*(表成绩单[政治]&gt;表成绩单[[#This Row],[政治]]))+1)</f>
        <v>5</v>
      </c>
      <c r="V2535" s="29" cm="1">
        <f t="array" ref="V2535">IF(表成绩单[[#This Row],[历史]]="","",SUMPRODUCT((表成绩单[考试日期]=表成绩单[[#This Row],[考试日期]])*(表成绩单[历史]&lt;9E+307)*(表成绩单[历史]&gt;表成绩单[[#This Row],[历史]]))+1)</f>
        <v>6</v>
      </c>
      <c r="W2535" s="29" cm="1">
        <f t="array" ref="W2535">IF(表成绩单[[#This Row],[总分]]="","",SUMPRODUCT((表成绩单[考试日期]=表成绩单[[#This Row],[考试日期]])*(表成绩单[总分]&lt;9E+307)*(表成绩单[总分]&gt;表成绩单[[#This Row],[总分]]))+1)</f>
        <v>128</v>
      </c>
    </row>
    <row r="2536" ht="28" customHeight="1" spans="4:23">
      <c r="D2536" s="31">
        <v>46108</v>
      </c>
      <c r="E2536" s="29">
        <v>36665452</v>
      </c>
      <c r="F2536" s="29" t="s">
        <v>67</v>
      </c>
      <c r="G2536" s="29" t="s">
        <v>172</v>
      </c>
      <c r="H2536" s="29">
        <v>103</v>
      </c>
      <c r="I2536" s="29">
        <v>93</v>
      </c>
      <c r="J2536" s="29">
        <v>82.5</v>
      </c>
      <c r="K2536" s="29">
        <v>83</v>
      </c>
      <c r="L2536" s="29">
        <v>70</v>
      </c>
      <c r="M2536" s="29">
        <v>83</v>
      </c>
      <c r="N2536" s="29">
        <v>84</v>
      </c>
      <c r="O2536" s="32">
        <v>598.5</v>
      </c>
      <c r="P2536" s="29" cm="1">
        <f t="array" ref="P2536">IF(表成绩单[[#This Row],[语文]]="","",SUMPRODUCT((表成绩单[考试日期]=表成绩单[[#This Row],[考试日期]])*(表成绩单[语文]&lt;9E+307)*(表成绩单[语文]&gt;表成绩单[[#This Row],[语文]]))+1)</f>
        <v>155</v>
      </c>
      <c r="Q2536" s="29" cm="1">
        <f t="array" ref="Q2536">IF(表成绩单[[#This Row],[数学]]="","",SUMPRODUCT((表成绩单[考试日期]=表成绩单[[#This Row],[考试日期]])*(表成绩单[数学]&lt;9E+307)*(表成绩单[数学]&gt;表成绩单[[#This Row],[数学]]))+1)</f>
        <v>289</v>
      </c>
      <c r="R2536" s="29" cm="1">
        <f t="array" ref="R2536">IF(表成绩单[[#This Row],[英语]]="","",SUMPRODUCT((表成绩单[考试日期]=表成绩单[[#This Row],[考试日期]])*(表成绩单[英语]&lt;9E+307)*(表成绩单[英语]&gt;表成绩单[[#This Row],[英语]]))+1)</f>
        <v>156</v>
      </c>
      <c r="S2536" s="29" cm="1">
        <f t="array" ref="S2536">IF(表成绩单[[#This Row],[物理]]="","",SUMPRODUCT((表成绩单[考试日期]=表成绩单[[#This Row],[考试日期]])*(表成绩单[物理]&lt;9E+307)*(表成绩单[物理]&gt;表成绩单[[#This Row],[物理]]))+1)</f>
        <v>184</v>
      </c>
      <c r="T2536" s="29" cm="1">
        <f t="array" ref="T2536">IF(表成绩单[[#This Row],[化学]]="","",SUMPRODUCT((表成绩单[考试日期]=表成绩单[[#This Row],[考试日期]])*(表成绩单[化学]&lt;9E+307)*(表成绩单[化学]&gt;表成绩单[[#This Row],[化学]]))+1)</f>
        <v>241</v>
      </c>
      <c r="U2536" s="29" cm="1">
        <f t="array" ref="U2536">IF(表成绩单[[#This Row],[政治]]="","",SUMPRODUCT((表成绩单[考试日期]=表成绩单[[#This Row],[考试日期]])*(表成绩单[政治]&lt;9E+307)*(表成绩单[政治]&gt;表成绩单[[#This Row],[政治]]))+1)</f>
        <v>24</v>
      </c>
      <c r="V2536" s="29" cm="1">
        <f t="array" ref="V2536">IF(表成绩单[[#This Row],[历史]]="","",SUMPRODUCT((表成绩单[考试日期]=表成绩单[[#This Row],[考试日期]])*(表成绩单[历史]&lt;9E+307)*(表成绩单[历史]&gt;表成绩单[[#This Row],[历史]]))+1)</f>
        <v>38</v>
      </c>
      <c r="W2536" s="29" cm="1">
        <f t="array" ref="W2536">IF(表成绩单[[#This Row],[总分]]="","",SUMPRODUCT((表成绩单[考试日期]=表成绩单[[#This Row],[考试日期]])*(表成绩单[总分]&lt;9E+307)*(表成绩单[总分]&gt;表成绩单[[#This Row],[总分]]))+1)</f>
        <v>128</v>
      </c>
    </row>
    <row r="2537" ht="28" customHeight="1" spans="4:23">
      <c r="D2537" s="31">
        <v>46108</v>
      </c>
      <c r="E2537" s="29">
        <v>19173541</v>
      </c>
      <c r="F2537" s="29" t="s">
        <v>1</v>
      </c>
      <c r="G2537" s="29" t="s">
        <v>249</v>
      </c>
      <c r="H2537" s="29">
        <v>99</v>
      </c>
      <c r="I2537" s="29">
        <v>102</v>
      </c>
      <c r="J2537" s="29">
        <v>80</v>
      </c>
      <c r="K2537" s="29">
        <v>82</v>
      </c>
      <c r="L2537" s="29">
        <v>76</v>
      </c>
      <c r="M2537" s="29">
        <v>80</v>
      </c>
      <c r="N2537" s="29">
        <v>79</v>
      </c>
      <c r="O2537" s="32">
        <v>598</v>
      </c>
      <c r="P2537" s="29" cm="1">
        <f t="array" ref="P2537">IF(表成绩单[[#This Row],[语文]]="","",SUMPRODUCT((表成绩单[考试日期]=表成绩单[[#This Row],[考试日期]])*(表成绩单[语文]&lt;9E+307)*(表成绩单[语文]&gt;表成绩单[[#This Row],[语文]]))+1)</f>
        <v>279</v>
      </c>
      <c r="Q2537" s="29" cm="1">
        <f t="array" ref="Q2537">IF(表成绩单[[#This Row],[数学]]="","",SUMPRODUCT((表成绩单[考试日期]=表成绩单[[#This Row],[考试日期]])*(表成绩单[数学]&lt;9E+307)*(表成绩单[数学]&gt;表成绩单[[#This Row],[数学]]))+1)</f>
        <v>98</v>
      </c>
      <c r="R2537" s="29" cm="1">
        <f t="array" ref="R2537">IF(表成绩单[[#This Row],[英语]]="","",SUMPRODUCT((表成绩单[考试日期]=表成绩单[[#This Row],[考试日期]])*(表成绩单[英语]&lt;9E+307)*(表成绩单[英语]&gt;表成绩单[[#This Row],[英语]]))+1)</f>
        <v>266</v>
      </c>
      <c r="S2537" s="29" cm="1">
        <f t="array" ref="S2537">IF(表成绩单[[#This Row],[物理]]="","",SUMPRODUCT((表成绩单[考试日期]=表成绩单[[#This Row],[考试日期]])*(表成绩单[物理]&lt;9E+307)*(表成绩单[物理]&gt;表成绩单[[#This Row],[物理]]))+1)</f>
        <v>223</v>
      </c>
      <c r="T2537" s="29" cm="1">
        <f t="array" ref="T2537">IF(表成绩单[[#This Row],[化学]]="","",SUMPRODUCT((表成绩单[考试日期]=表成绩单[[#This Row],[考试日期]])*(表成绩单[化学]&lt;9E+307)*(表成绩单[化学]&gt;表成绩单[[#This Row],[化学]]))+1)</f>
        <v>71</v>
      </c>
      <c r="U2537" s="29" cm="1">
        <f t="array" ref="U2537">IF(表成绩单[[#This Row],[政治]]="","",SUMPRODUCT((表成绩单[考试日期]=表成绩单[[#This Row],[考试日期]])*(表成绩单[政治]&lt;9E+307)*(表成绩单[政治]&gt;表成绩单[[#This Row],[政治]]))+1)</f>
        <v>98</v>
      </c>
      <c r="V2537" s="29" cm="1">
        <f t="array" ref="V2537">IF(表成绩单[[#This Row],[历史]]="","",SUMPRODUCT((表成绩单[考试日期]=表成绩单[[#This Row],[考试日期]])*(表成绩单[历史]&lt;9E+307)*(表成绩单[历史]&gt;表成绩单[[#This Row],[历史]]))+1)</f>
        <v>173</v>
      </c>
      <c r="W2537" s="29" cm="1">
        <f t="array" ref="W2537">IF(表成绩单[[#This Row],[总分]]="","",SUMPRODUCT((表成绩单[考试日期]=表成绩单[[#This Row],[考试日期]])*(表成绩单[总分]&lt;9E+307)*(表成绩单[总分]&gt;表成绩单[[#This Row],[总分]]))+1)</f>
        <v>130</v>
      </c>
    </row>
    <row r="2538" ht="28" customHeight="1" spans="4:23">
      <c r="D2538" s="31">
        <v>46108</v>
      </c>
      <c r="E2538" s="29">
        <v>19174783</v>
      </c>
      <c r="F2538" s="29" t="s">
        <v>69</v>
      </c>
      <c r="G2538" s="29" t="s">
        <v>269</v>
      </c>
      <c r="H2538" s="29">
        <v>101</v>
      </c>
      <c r="I2538" s="29">
        <v>104</v>
      </c>
      <c r="J2538" s="29">
        <v>81</v>
      </c>
      <c r="K2538" s="29">
        <v>81</v>
      </c>
      <c r="L2538" s="29">
        <v>74</v>
      </c>
      <c r="M2538" s="29">
        <v>79</v>
      </c>
      <c r="N2538" s="29">
        <v>78</v>
      </c>
      <c r="O2538" s="32">
        <v>598</v>
      </c>
      <c r="P2538" s="29" cm="1">
        <f t="array" ref="P2538">IF(表成绩单[[#This Row],[语文]]="","",SUMPRODUCT((表成绩单[考试日期]=表成绩单[[#This Row],[考试日期]])*(表成绩单[语文]&lt;9E+307)*(表成绩单[语文]&gt;表成绩单[[#This Row],[语文]]))+1)</f>
        <v>211</v>
      </c>
      <c r="Q2538" s="29" cm="1">
        <f t="array" ref="Q2538">IF(表成绩单[[#This Row],[数学]]="","",SUMPRODUCT((表成绩单[考试日期]=表成绩单[[#This Row],[考试日期]])*(表成绩单[数学]&lt;9E+307)*(表成绩单[数学]&gt;表成绩单[[#This Row],[数学]]))+1)</f>
        <v>68</v>
      </c>
      <c r="R2538" s="29" cm="1">
        <f t="array" ref="R2538">IF(表成绩单[[#This Row],[英语]]="","",SUMPRODUCT((表成绩单[考试日期]=表成绩单[[#This Row],[考试日期]])*(表成绩单[英语]&lt;9E+307)*(表成绩单[英语]&gt;表成绩单[[#This Row],[英语]]))+1)</f>
        <v>227</v>
      </c>
      <c r="S2538" s="29" cm="1">
        <f t="array" ref="S2538">IF(表成绩单[[#This Row],[物理]]="","",SUMPRODUCT((表成绩单[考试日期]=表成绩单[[#This Row],[考试日期]])*(表成绩单[物理]&lt;9E+307)*(表成绩单[物理]&gt;表成绩单[[#This Row],[物理]]))+1)</f>
        <v>269</v>
      </c>
      <c r="T2538" s="29" cm="1">
        <f t="array" ref="T2538">IF(表成绩单[[#This Row],[化学]]="","",SUMPRODUCT((表成绩单[考试日期]=表成绩单[[#This Row],[考试日期]])*(表成绩单[化学]&lt;9E+307)*(表成绩单[化学]&gt;表成绩单[[#This Row],[化学]]))+1)</f>
        <v>127</v>
      </c>
      <c r="U2538" s="29" cm="1">
        <f t="array" ref="U2538">IF(表成绩单[[#This Row],[政治]]="","",SUMPRODUCT((表成绩单[考试日期]=表成绩单[[#This Row],[考试日期]])*(表成绩单[政治]&lt;9E+307)*(表成绩单[政治]&gt;表成绩单[[#This Row],[政治]]))+1)</f>
        <v>134</v>
      </c>
      <c r="V2538" s="29" cm="1">
        <f t="array" ref="V2538">IF(表成绩单[[#This Row],[历史]]="","",SUMPRODUCT((表成绩单[考试日期]=表成绩单[[#This Row],[考试日期]])*(表成绩单[历史]&lt;9E+307)*(表成绩单[历史]&gt;表成绩单[[#This Row],[历史]]))+1)</f>
        <v>222</v>
      </c>
      <c r="W2538" s="29" cm="1">
        <f t="array" ref="W2538">IF(表成绩单[[#This Row],[总分]]="","",SUMPRODUCT((表成绩单[考试日期]=表成绩单[[#This Row],[考试日期]])*(表成绩单[总分]&lt;9E+307)*(表成绩单[总分]&gt;表成绩单[[#This Row],[总分]]))+1)</f>
        <v>130</v>
      </c>
    </row>
    <row r="2539" ht="28" customHeight="1" spans="4:23">
      <c r="D2539" s="31">
        <v>46108</v>
      </c>
      <c r="E2539" s="29">
        <v>19175708</v>
      </c>
      <c r="F2539" s="29" t="s">
        <v>72</v>
      </c>
      <c r="G2539" s="29" t="s">
        <v>230</v>
      </c>
      <c r="H2539" s="29">
        <v>97</v>
      </c>
      <c r="I2539" s="29">
        <v>109</v>
      </c>
      <c r="J2539" s="29">
        <v>82</v>
      </c>
      <c r="K2539" s="29">
        <v>82</v>
      </c>
      <c r="L2539" s="29">
        <v>73</v>
      </c>
      <c r="M2539" s="29">
        <v>79</v>
      </c>
      <c r="N2539" s="29">
        <v>76</v>
      </c>
      <c r="O2539" s="32">
        <v>598</v>
      </c>
      <c r="P2539" s="29" cm="1">
        <f t="array" ref="P2539">IF(表成绩单[[#This Row],[语文]]="","",SUMPRODUCT((表成绩单[考试日期]=表成绩单[[#This Row],[考试日期]])*(表成绩单[语文]&lt;9E+307)*(表成绩单[语文]&gt;表成绩单[[#This Row],[语文]]))+1)</f>
        <v>357</v>
      </c>
      <c r="Q2539" s="29" cm="1">
        <f t="array" ref="Q2539">IF(表成绩单[[#This Row],[数学]]="","",SUMPRODUCT((表成绩单[考试日期]=表成绩单[[#This Row],[考试日期]])*(表成绩单[数学]&lt;9E+307)*(表成绩单[数学]&gt;表成绩单[[#This Row],[数学]]))+1)</f>
        <v>16</v>
      </c>
      <c r="R2539" s="29" cm="1">
        <f t="array" ref="R2539">IF(表成绩单[[#This Row],[英语]]="","",SUMPRODUCT((表成绩单[考试日期]=表成绩单[[#This Row],[考试日期]])*(表成绩单[英语]&lt;9E+307)*(表成绩单[英语]&gt;表成绩单[[#This Row],[英语]]))+1)</f>
        <v>180</v>
      </c>
      <c r="S2539" s="29" cm="1">
        <f t="array" ref="S2539">IF(表成绩单[[#This Row],[物理]]="","",SUMPRODUCT((表成绩单[考试日期]=表成绩单[[#This Row],[考试日期]])*(表成绩单[物理]&lt;9E+307)*(表成绩单[物理]&gt;表成绩单[[#This Row],[物理]]))+1)</f>
        <v>223</v>
      </c>
      <c r="T2539" s="29" cm="1">
        <f t="array" ref="T2539">IF(表成绩单[[#This Row],[化学]]="","",SUMPRODUCT((表成绩单[考试日期]=表成绩单[[#This Row],[考试日期]])*(表成绩单[化学]&lt;9E+307)*(表成绩单[化学]&gt;表成绩单[[#This Row],[化学]]))+1)</f>
        <v>152</v>
      </c>
      <c r="U2539" s="29" cm="1">
        <f t="array" ref="U2539">IF(表成绩单[[#This Row],[政治]]="","",SUMPRODUCT((表成绩单[考试日期]=表成绩单[[#This Row],[考试日期]])*(表成绩单[政治]&lt;9E+307)*(表成绩单[政治]&gt;表成绩单[[#This Row],[政治]]))+1)</f>
        <v>134</v>
      </c>
      <c r="V2539" s="29" cm="1">
        <f t="array" ref="V2539">IF(表成绩单[[#This Row],[历史]]="","",SUMPRODUCT((表成绩单[考试日期]=表成绩单[[#This Row],[考试日期]])*(表成绩单[历史]&lt;9E+307)*(表成绩单[历史]&gt;表成绩单[[#This Row],[历史]]))+1)</f>
        <v>316</v>
      </c>
      <c r="W2539" s="29" cm="1">
        <f t="array" ref="W2539">IF(表成绩单[[#This Row],[总分]]="","",SUMPRODUCT((表成绩单[考试日期]=表成绩单[[#This Row],[考试日期]])*(表成绩单[总分]&lt;9E+307)*(表成绩单[总分]&gt;表成绩单[[#This Row],[总分]]))+1)</f>
        <v>130</v>
      </c>
    </row>
    <row r="2540" ht="28" customHeight="1" spans="4:23">
      <c r="D2540" s="31">
        <v>46108</v>
      </c>
      <c r="E2540" s="29">
        <v>19177647</v>
      </c>
      <c r="F2540" s="29" t="s">
        <v>63</v>
      </c>
      <c r="G2540" s="29" t="s">
        <v>443</v>
      </c>
      <c r="H2540" s="29">
        <v>112</v>
      </c>
      <c r="I2540" s="29">
        <v>90</v>
      </c>
      <c r="J2540" s="29">
        <v>85</v>
      </c>
      <c r="K2540" s="29">
        <v>86</v>
      </c>
      <c r="L2540" s="29">
        <v>70</v>
      </c>
      <c r="M2540" s="29">
        <v>70</v>
      </c>
      <c r="N2540" s="29">
        <v>85</v>
      </c>
      <c r="O2540" s="32">
        <v>598</v>
      </c>
      <c r="P2540" s="29" cm="1">
        <f t="array" ref="P2540">IF(表成绩单[[#This Row],[语文]]="","",SUMPRODUCT((表成绩单[考试日期]=表成绩单[[#This Row],[考试日期]])*(表成绩单[语文]&lt;9E+307)*(表成绩单[语文]&gt;表成绩单[[#This Row],[语文]]))+1)</f>
        <v>10</v>
      </c>
      <c r="Q2540" s="29" cm="1">
        <f t="array" ref="Q2540">IF(表成绩单[[#This Row],[数学]]="","",SUMPRODUCT((表成绩单[考试日期]=表成绩单[[#This Row],[考试日期]])*(表成绩单[数学]&lt;9E+307)*(表成绩单[数学]&gt;表成绩单[[#This Row],[数学]]))+1)</f>
        <v>368</v>
      </c>
      <c r="R2540" s="29" cm="1">
        <f t="array" ref="R2540">IF(表成绩单[[#This Row],[英语]]="","",SUMPRODUCT((表成绩单[考试日期]=表成绩单[[#This Row],[考试日期]])*(表成绩单[英语]&lt;9E+307)*(表成绩单[英语]&gt;表成绩单[[#This Row],[英语]]))+1)</f>
        <v>59</v>
      </c>
      <c r="S2540" s="29" cm="1">
        <f t="array" ref="S2540">IF(表成绩单[[#This Row],[物理]]="","",SUMPRODUCT((表成绩单[考试日期]=表成绩单[[#This Row],[考试日期]])*(表成绩单[物理]&lt;9E+307)*(表成绩单[物理]&gt;表成绩单[[#This Row],[物理]]))+1)</f>
        <v>61</v>
      </c>
      <c r="T2540" s="29" cm="1">
        <f t="array" ref="T2540">IF(表成绩单[[#This Row],[化学]]="","",SUMPRODUCT((表成绩单[考试日期]=表成绩单[[#This Row],[考试日期]])*(表成绩单[化学]&lt;9E+307)*(表成绩单[化学]&gt;表成绩单[[#This Row],[化学]]))+1)</f>
        <v>241</v>
      </c>
      <c r="U2540" s="29" cm="1">
        <f t="array" ref="U2540">IF(表成绩单[[#This Row],[政治]]="","",SUMPRODUCT((表成绩单[考试日期]=表成绩单[[#This Row],[考试日期]])*(表成绩单[政治]&lt;9E+307)*(表成绩单[政治]&gt;表成绩单[[#This Row],[政治]]))+1)</f>
        <v>548</v>
      </c>
      <c r="V2540" s="29" cm="1">
        <f t="array" ref="V2540">IF(表成绩单[[#This Row],[历史]]="","",SUMPRODUCT((表成绩单[考试日期]=表成绩单[[#This Row],[考试日期]])*(表成绩单[历史]&lt;9E+307)*(表成绩单[历史]&gt;表成绩单[[#This Row],[历史]]))+1)</f>
        <v>20</v>
      </c>
      <c r="W2540" s="29" cm="1">
        <f t="array" ref="W2540">IF(表成绩单[[#This Row],[总分]]="","",SUMPRODUCT((表成绩单[考试日期]=表成绩单[[#This Row],[考试日期]])*(表成绩单[总分]&lt;9E+307)*(表成绩单[总分]&gt;表成绩单[[#This Row],[总分]]))+1)</f>
        <v>130</v>
      </c>
    </row>
    <row r="2541" ht="28" customHeight="1" spans="4:23">
      <c r="D2541" s="31">
        <v>46108</v>
      </c>
      <c r="E2541" s="29">
        <v>19173534</v>
      </c>
      <c r="F2541" s="29" t="s">
        <v>1</v>
      </c>
      <c r="G2541" s="29" t="s">
        <v>157</v>
      </c>
      <c r="H2541" s="29">
        <v>105</v>
      </c>
      <c r="I2541" s="29">
        <v>97</v>
      </c>
      <c r="J2541" s="29">
        <v>80.5</v>
      </c>
      <c r="K2541" s="29">
        <v>80</v>
      </c>
      <c r="L2541" s="29">
        <v>75</v>
      </c>
      <c r="M2541" s="29">
        <v>76</v>
      </c>
      <c r="N2541" s="29">
        <v>84</v>
      </c>
      <c r="O2541" s="32">
        <v>597.5</v>
      </c>
      <c r="P2541" s="29" cm="1">
        <f t="array" ref="P2541">IF(表成绩单[[#This Row],[语文]]="","",SUMPRODUCT((表成绩单[考试日期]=表成绩单[[#This Row],[考试日期]])*(表成绩单[语文]&lt;9E+307)*(表成绩单[语文]&gt;表成绩单[[#This Row],[语文]]))+1)</f>
        <v>101</v>
      </c>
      <c r="Q2541" s="29" cm="1">
        <f t="array" ref="Q2541">IF(表成绩单[[#This Row],[数学]]="","",SUMPRODUCT((表成绩单[考试日期]=表成绩单[[#This Row],[考试日期]])*(表成绩单[数学]&lt;9E+307)*(表成绩单[数学]&gt;表成绩单[[#This Row],[数学]]))+1)</f>
        <v>175</v>
      </c>
      <c r="R2541" s="29" cm="1">
        <f t="array" ref="R2541">IF(表成绩单[[#This Row],[英语]]="","",SUMPRODUCT((表成绩单[考试日期]=表成绩单[[#This Row],[考试日期]])*(表成绩单[英语]&lt;9E+307)*(表成绩单[英语]&gt;表成绩单[[#This Row],[英语]]))+1)</f>
        <v>244</v>
      </c>
      <c r="S2541" s="29" cm="1">
        <f t="array" ref="S2541">IF(表成绩单[[#This Row],[物理]]="","",SUMPRODUCT((表成绩单[考试日期]=表成绩单[[#This Row],[考试日期]])*(表成绩单[物理]&lt;9E+307)*(表成绩单[物理]&gt;表成绩单[[#This Row],[物理]]))+1)</f>
        <v>305</v>
      </c>
      <c r="T2541" s="29" cm="1">
        <f t="array" ref="T2541">IF(表成绩单[[#This Row],[化学]]="","",SUMPRODUCT((表成绩单[考试日期]=表成绩单[[#This Row],[考试日期]])*(表成绩单[化学]&lt;9E+307)*(表成绩单[化学]&gt;表成绩单[[#This Row],[化学]]))+1)</f>
        <v>96</v>
      </c>
      <c r="U2541" s="29" cm="1">
        <f t="array" ref="U2541">IF(表成绩单[[#This Row],[政治]]="","",SUMPRODUCT((表成绩单[考试日期]=表成绩单[[#This Row],[考试日期]])*(表成绩单[政治]&lt;9E+307)*(表成绩单[政治]&gt;表成绩单[[#This Row],[政治]]))+1)</f>
        <v>291</v>
      </c>
      <c r="V2541" s="29" cm="1">
        <f t="array" ref="V2541">IF(表成绩单[[#This Row],[历史]]="","",SUMPRODUCT((表成绩单[考试日期]=表成绩单[[#This Row],[考试日期]])*(表成绩单[历史]&lt;9E+307)*(表成绩单[历史]&gt;表成绩单[[#This Row],[历史]]))+1)</f>
        <v>38</v>
      </c>
      <c r="W2541" s="29" cm="1">
        <f t="array" ref="W2541">IF(表成绩单[[#This Row],[总分]]="","",SUMPRODUCT((表成绩单[考试日期]=表成绩单[[#This Row],[考试日期]])*(表成绩单[总分]&lt;9E+307)*(表成绩单[总分]&gt;表成绩单[[#This Row],[总分]]))+1)</f>
        <v>134</v>
      </c>
    </row>
    <row r="2542" ht="28" customHeight="1" spans="4:23">
      <c r="D2542" s="31">
        <v>46108</v>
      </c>
      <c r="E2542" s="29">
        <v>19174811</v>
      </c>
      <c r="F2542" s="29" t="s">
        <v>69</v>
      </c>
      <c r="G2542" s="29" t="s">
        <v>110</v>
      </c>
      <c r="H2542" s="29">
        <v>98</v>
      </c>
      <c r="I2542" s="29">
        <v>103</v>
      </c>
      <c r="J2542" s="29">
        <v>80.5</v>
      </c>
      <c r="K2542" s="29">
        <v>82</v>
      </c>
      <c r="L2542" s="29">
        <v>73</v>
      </c>
      <c r="M2542" s="29">
        <v>83</v>
      </c>
      <c r="N2542" s="29">
        <v>78</v>
      </c>
      <c r="O2542" s="32">
        <v>597.5</v>
      </c>
      <c r="P2542" s="29" cm="1">
        <f t="array" ref="P2542">IF(表成绩单[[#This Row],[语文]]="","",SUMPRODUCT((表成绩单[考试日期]=表成绩单[[#This Row],[考试日期]])*(表成绩单[语文]&lt;9E+307)*(表成绩单[语文]&gt;表成绩单[[#This Row],[语文]]))+1)</f>
        <v>322</v>
      </c>
      <c r="Q2542" s="29" cm="1">
        <f t="array" ref="Q2542">IF(表成绩单[[#This Row],[数学]]="","",SUMPRODUCT((表成绩单[考试日期]=表成绩单[[#This Row],[考试日期]])*(表成绩单[数学]&lt;9E+307)*(表成绩单[数学]&gt;表成绩单[[#This Row],[数学]]))+1)</f>
        <v>87</v>
      </c>
      <c r="R2542" s="29" cm="1">
        <f t="array" ref="R2542">IF(表成绩单[[#This Row],[英语]]="","",SUMPRODUCT((表成绩单[考试日期]=表成绩单[[#This Row],[考试日期]])*(表成绩单[英语]&lt;9E+307)*(表成绩单[英语]&gt;表成绩单[[#This Row],[英语]]))+1)</f>
        <v>244</v>
      </c>
      <c r="S2542" s="29" cm="1">
        <f t="array" ref="S2542">IF(表成绩单[[#This Row],[物理]]="","",SUMPRODUCT((表成绩单[考试日期]=表成绩单[[#This Row],[考试日期]])*(表成绩单[物理]&lt;9E+307)*(表成绩单[物理]&gt;表成绩单[[#This Row],[物理]]))+1)</f>
        <v>223</v>
      </c>
      <c r="T2542" s="29" cm="1">
        <f t="array" ref="T2542">IF(表成绩单[[#This Row],[化学]]="","",SUMPRODUCT((表成绩单[考试日期]=表成绩单[[#This Row],[考试日期]])*(表成绩单[化学]&lt;9E+307)*(表成绩单[化学]&gt;表成绩单[[#This Row],[化学]]))+1)</f>
        <v>152</v>
      </c>
      <c r="U2542" s="29" cm="1">
        <f t="array" ref="U2542">IF(表成绩单[[#This Row],[政治]]="","",SUMPRODUCT((表成绩单[考试日期]=表成绩单[[#This Row],[考试日期]])*(表成绩单[政治]&lt;9E+307)*(表成绩单[政治]&gt;表成绩单[[#This Row],[政治]]))+1)</f>
        <v>24</v>
      </c>
      <c r="V2542" s="29" cm="1">
        <f t="array" ref="V2542">IF(表成绩单[[#This Row],[历史]]="","",SUMPRODUCT((表成绩单[考试日期]=表成绩单[[#This Row],[考试日期]])*(表成绩单[历史]&lt;9E+307)*(表成绩单[历史]&gt;表成绩单[[#This Row],[历史]]))+1)</f>
        <v>222</v>
      </c>
      <c r="W2542" s="29" cm="1">
        <f t="array" ref="W2542">IF(表成绩单[[#This Row],[总分]]="","",SUMPRODUCT((表成绩单[考试日期]=表成绩单[[#This Row],[考试日期]])*(表成绩单[总分]&lt;9E+307)*(表成绩单[总分]&gt;表成绩单[[#This Row],[总分]]))+1)</f>
        <v>134</v>
      </c>
    </row>
    <row r="2543" ht="28" customHeight="1" spans="4:23">
      <c r="D2543" s="31">
        <v>46108</v>
      </c>
      <c r="E2543" s="29">
        <v>19176168</v>
      </c>
      <c r="F2543" s="29" t="s">
        <v>67</v>
      </c>
      <c r="G2543" s="29" t="s">
        <v>390</v>
      </c>
      <c r="H2543" s="29">
        <v>99</v>
      </c>
      <c r="I2543" s="29">
        <v>96</v>
      </c>
      <c r="J2543" s="29">
        <v>82.5</v>
      </c>
      <c r="K2543" s="29">
        <v>84</v>
      </c>
      <c r="L2543" s="29">
        <v>76</v>
      </c>
      <c r="M2543" s="29">
        <v>81</v>
      </c>
      <c r="N2543" s="29">
        <v>79</v>
      </c>
      <c r="O2543" s="32">
        <v>597.5</v>
      </c>
      <c r="P2543" s="29" cm="1">
        <f t="array" ref="P2543">IF(表成绩单[[#This Row],[语文]]="","",SUMPRODUCT((表成绩单[考试日期]=表成绩单[[#This Row],[考试日期]])*(表成绩单[语文]&lt;9E+307)*(表成绩单[语文]&gt;表成绩单[[#This Row],[语文]]))+1)</f>
        <v>279</v>
      </c>
      <c r="Q2543" s="29" cm="1">
        <f t="array" ref="Q2543">IF(表成绩单[[#This Row],[数学]]="","",SUMPRODUCT((表成绩单[考试日期]=表成绩单[[#This Row],[考试日期]])*(表成绩单[数学]&lt;9E+307)*(表成绩单[数学]&gt;表成绩单[[#This Row],[数学]]))+1)</f>
        <v>202</v>
      </c>
      <c r="R2543" s="29" cm="1">
        <f t="array" ref="R2543">IF(表成绩单[[#This Row],[英语]]="","",SUMPRODUCT((表成绩单[考试日期]=表成绩单[[#This Row],[考试日期]])*(表成绩单[英语]&lt;9E+307)*(表成绩单[英语]&gt;表成绩单[[#This Row],[英语]]))+1)</f>
        <v>156</v>
      </c>
      <c r="S2543" s="29" cm="1">
        <f t="array" ref="S2543">IF(表成绩单[[#This Row],[物理]]="","",SUMPRODUCT((表成绩单[考试日期]=表成绩单[[#This Row],[考试日期]])*(表成绩单[物理]&lt;9E+307)*(表成绩单[物理]&gt;表成绩单[[#This Row],[物理]]))+1)</f>
        <v>146</v>
      </c>
      <c r="T2543" s="29" cm="1">
        <f t="array" ref="T2543">IF(表成绩单[[#This Row],[化学]]="","",SUMPRODUCT((表成绩单[考试日期]=表成绩单[[#This Row],[考试日期]])*(表成绩单[化学]&lt;9E+307)*(表成绩单[化学]&gt;表成绩单[[#This Row],[化学]]))+1)</f>
        <v>71</v>
      </c>
      <c r="U2543" s="29" cm="1">
        <f t="array" ref="U2543">IF(表成绩单[[#This Row],[政治]]="","",SUMPRODUCT((表成绩单[考试日期]=表成绩单[[#This Row],[考试日期]])*(表成绩单[政治]&lt;9E+307)*(表成绩单[政治]&gt;表成绩单[[#This Row],[政治]]))+1)</f>
        <v>68</v>
      </c>
      <c r="V2543" s="29" cm="1">
        <f t="array" ref="V2543">IF(表成绩单[[#This Row],[历史]]="","",SUMPRODUCT((表成绩单[考试日期]=表成绩单[[#This Row],[考试日期]])*(表成绩单[历史]&lt;9E+307)*(表成绩单[历史]&gt;表成绩单[[#This Row],[历史]]))+1)</f>
        <v>173</v>
      </c>
      <c r="W2543" s="29" cm="1">
        <f t="array" ref="W2543">IF(表成绩单[[#This Row],[总分]]="","",SUMPRODUCT((表成绩单[考试日期]=表成绩单[[#This Row],[考试日期]])*(表成绩单[总分]&lt;9E+307)*(表成绩单[总分]&gt;表成绩单[[#This Row],[总分]]))+1)</f>
        <v>134</v>
      </c>
    </row>
    <row r="2544" ht="28" customHeight="1" spans="4:23">
      <c r="D2544" s="31">
        <v>46108</v>
      </c>
      <c r="E2544" s="29">
        <v>19174777</v>
      </c>
      <c r="F2544" s="29" t="s">
        <v>69</v>
      </c>
      <c r="G2544" s="29" t="s">
        <v>298</v>
      </c>
      <c r="H2544" s="29">
        <v>105</v>
      </c>
      <c r="I2544" s="29">
        <v>100</v>
      </c>
      <c r="J2544" s="29">
        <v>85</v>
      </c>
      <c r="K2544" s="29">
        <v>77</v>
      </c>
      <c r="L2544" s="29">
        <v>73</v>
      </c>
      <c r="M2544" s="29">
        <v>76</v>
      </c>
      <c r="N2544" s="29">
        <v>81</v>
      </c>
      <c r="O2544" s="32">
        <v>597</v>
      </c>
      <c r="P2544" s="29" cm="1">
        <f t="array" ref="P2544">IF(表成绩单[[#This Row],[语文]]="","",SUMPRODUCT((表成绩单[考试日期]=表成绩单[[#This Row],[考试日期]])*(表成绩单[语文]&lt;9E+307)*(表成绩单[语文]&gt;表成绩单[[#This Row],[语文]]))+1)</f>
        <v>101</v>
      </c>
      <c r="Q2544" s="29" cm="1">
        <f t="array" ref="Q2544">IF(表成绩单[[#This Row],[数学]]="","",SUMPRODUCT((表成绩单[考试日期]=表成绩单[[#This Row],[考试日期]])*(表成绩单[数学]&lt;9E+307)*(表成绩单[数学]&gt;表成绩单[[#This Row],[数学]]))+1)</f>
        <v>121</v>
      </c>
      <c r="R2544" s="29" cm="1">
        <f t="array" ref="R2544">IF(表成绩单[[#This Row],[英语]]="","",SUMPRODUCT((表成绩单[考试日期]=表成绩单[[#This Row],[考试日期]])*(表成绩单[英语]&lt;9E+307)*(表成绩单[英语]&gt;表成绩单[[#This Row],[英语]]))+1)</f>
        <v>59</v>
      </c>
      <c r="S2544" s="29" cm="1">
        <f t="array" ref="S2544">IF(表成绩单[[#This Row],[物理]]="","",SUMPRODUCT((表成绩单[考试日期]=表成绩单[[#This Row],[考试日期]])*(表成绩单[物理]&lt;9E+307)*(表成绩单[物理]&gt;表成绩单[[#This Row],[物理]]))+1)</f>
        <v>400</v>
      </c>
      <c r="T2544" s="29" cm="1">
        <f t="array" ref="T2544">IF(表成绩单[[#This Row],[化学]]="","",SUMPRODUCT((表成绩单[考试日期]=表成绩单[[#This Row],[考试日期]])*(表成绩单[化学]&lt;9E+307)*(表成绩单[化学]&gt;表成绩单[[#This Row],[化学]]))+1)</f>
        <v>152</v>
      </c>
      <c r="U2544" s="29" cm="1">
        <f t="array" ref="U2544">IF(表成绩单[[#This Row],[政治]]="","",SUMPRODUCT((表成绩单[考试日期]=表成绩单[[#This Row],[考试日期]])*(表成绩单[政治]&lt;9E+307)*(表成绩单[政治]&gt;表成绩单[[#This Row],[政治]]))+1)</f>
        <v>291</v>
      </c>
      <c r="V2544" s="29" cm="1">
        <f t="array" ref="V2544">IF(表成绩单[[#This Row],[历史]]="","",SUMPRODUCT((表成绩单[考试日期]=表成绩单[[#This Row],[考试日期]])*(表成绩单[历史]&lt;9E+307)*(表成绩单[历史]&gt;表成绩单[[#This Row],[历史]]))+1)</f>
        <v>106</v>
      </c>
      <c r="W2544" s="29" cm="1">
        <f t="array" ref="W2544">IF(表成绩单[[#This Row],[总分]]="","",SUMPRODUCT((表成绩单[考试日期]=表成绩单[[#This Row],[考试日期]])*(表成绩单[总分]&lt;9E+307)*(表成绩单[总分]&gt;表成绩单[[#This Row],[总分]]))+1)</f>
        <v>137</v>
      </c>
    </row>
    <row r="2545" ht="28" customHeight="1" spans="4:23">
      <c r="D2545" s="31">
        <v>46108</v>
      </c>
      <c r="E2545" s="29">
        <v>19177195</v>
      </c>
      <c r="F2545" s="29" t="s">
        <v>70</v>
      </c>
      <c r="G2545" s="29" t="s">
        <v>239</v>
      </c>
      <c r="H2545" s="29">
        <v>91</v>
      </c>
      <c r="I2545" s="29">
        <v>102</v>
      </c>
      <c r="J2545" s="29">
        <v>78</v>
      </c>
      <c r="K2545" s="29">
        <v>86</v>
      </c>
      <c r="L2545" s="29">
        <v>78</v>
      </c>
      <c r="M2545" s="29">
        <v>80</v>
      </c>
      <c r="N2545" s="29">
        <v>82</v>
      </c>
      <c r="O2545" s="32">
        <v>597</v>
      </c>
      <c r="P2545" s="29" cm="1">
        <f t="array" ref="P2545">IF(表成绩单[[#This Row],[语文]]="","",SUMPRODUCT((表成绩单[考试日期]=表成绩单[[#This Row],[考试日期]])*(表成绩单[语文]&lt;9E+307)*(表成绩单[语文]&gt;表成绩单[[#This Row],[语文]]))+1)</f>
        <v>519</v>
      </c>
      <c r="Q2545" s="29" cm="1">
        <f t="array" ref="Q2545">IF(表成绩单[[#This Row],[数学]]="","",SUMPRODUCT((表成绩单[考试日期]=表成绩单[[#This Row],[考试日期]])*(表成绩单[数学]&lt;9E+307)*(表成绩单[数学]&gt;表成绩单[[#This Row],[数学]]))+1)</f>
        <v>98</v>
      </c>
      <c r="R2545" s="29" cm="1">
        <f t="array" ref="R2545">IF(表成绩单[[#This Row],[英语]]="","",SUMPRODUCT((表成绩单[考试日期]=表成绩单[[#This Row],[考试日期]])*(表成绩单[英语]&lt;9E+307)*(表成绩单[英语]&gt;表成绩单[[#This Row],[英语]]))+1)</f>
        <v>341</v>
      </c>
      <c r="S2545" s="29" cm="1">
        <f t="array" ref="S2545">IF(表成绩单[[#This Row],[物理]]="","",SUMPRODUCT((表成绩单[考试日期]=表成绩单[[#This Row],[考试日期]])*(表成绩单[物理]&lt;9E+307)*(表成绩单[物理]&gt;表成绩单[[#This Row],[物理]]))+1)</f>
        <v>61</v>
      </c>
      <c r="T2545" s="29" cm="1">
        <f t="array" ref="T2545">IF(表成绩单[[#This Row],[化学]]="","",SUMPRODUCT((表成绩单[考试日期]=表成绩单[[#This Row],[考试日期]])*(表成绩单[化学]&lt;9E+307)*(表成绩单[化学]&gt;表成绩单[[#This Row],[化学]]))+1)</f>
        <v>47</v>
      </c>
      <c r="U2545" s="29" cm="1">
        <f t="array" ref="U2545">IF(表成绩单[[#This Row],[政治]]="","",SUMPRODUCT((表成绩单[考试日期]=表成绩单[[#This Row],[考试日期]])*(表成绩单[政治]&lt;9E+307)*(表成绩单[政治]&gt;表成绩单[[#This Row],[政治]]))+1)</f>
        <v>98</v>
      </c>
      <c r="V2545" s="29" cm="1">
        <f t="array" ref="V2545">IF(表成绩单[[#This Row],[历史]]="","",SUMPRODUCT((表成绩单[考试日期]=表成绩单[[#This Row],[考试日期]])*(表成绩单[历史]&lt;9E+307)*(表成绩单[历史]&gt;表成绩单[[#This Row],[历史]]))+1)</f>
        <v>81</v>
      </c>
      <c r="W2545" s="29" cm="1">
        <f t="array" ref="W2545">IF(表成绩单[[#This Row],[总分]]="","",SUMPRODUCT((表成绩单[考试日期]=表成绩单[[#This Row],[考试日期]])*(表成绩单[总分]&lt;9E+307)*(表成绩单[总分]&gt;表成绩单[[#This Row],[总分]]))+1)</f>
        <v>137</v>
      </c>
    </row>
    <row r="2546" ht="28" customHeight="1" spans="4:23">
      <c r="D2546" s="31">
        <v>46108</v>
      </c>
      <c r="E2546" s="29">
        <v>19167656</v>
      </c>
      <c r="F2546" s="29" t="s">
        <v>1</v>
      </c>
      <c r="G2546" s="29" t="s">
        <v>97</v>
      </c>
      <c r="H2546" s="29">
        <v>105</v>
      </c>
      <c r="I2546" s="29">
        <v>99</v>
      </c>
      <c r="J2546" s="29">
        <v>79.5</v>
      </c>
      <c r="K2546" s="29">
        <v>83</v>
      </c>
      <c r="L2546" s="29">
        <v>76</v>
      </c>
      <c r="M2546" s="29">
        <v>77</v>
      </c>
      <c r="N2546" s="29">
        <v>77</v>
      </c>
      <c r="O2546" s="32">
        <v>596.5</v>
      </c>
      <c r="P2546" s="29" cm="1">
        <f t="array" ref="P2546">IF(表成绩单[[#This Row],[语文]]="","",SUMPRODUCT((表成绩单[考试日期]=表成绩单[[#This Row],[考试日期]])*(表成绩单[语文]&lt;9E+307)*(表成绩单[语文]&gt;表成绩单[[#This Row],[语文]]))+1)</f>
        <v>101</v>
      </c>
      <c r="Q2546" s="29" cm="1">
        <f t="array" ref="Q2546">IF(表成绩单[[#This Row],[数学]]="","",SUMPRODUCT((表成绩单[考试日期]=表成绩单[[#This Row],[考试日期]])*(表成绩单[数学]&lt;9E+307)*(表成绩单[数学]&gt;表成绩单[[#This Row],[数学]]))+1)</f>
        <v>140</v>
      </c>
      <c r="R2546" s="29" cm="1">
        <f t="array" ref="R2546">IF(表成绩单[[#This Row],[英语]]="","",SUMPRODUCT((表成绩单[考试日期]=表成绩单[[#This Row],[考试日期]])*(表成绩单[英语]&lt;9E+307)*(表成绩单[英语]&gt;表成绩单[[#This Row],[英语]]))+1)</f>
        <v>286</v>
      </c>
      <c r="S2546" s="29" cm="1">
        <f t="array" ref="S2546">IF(表成绩单[[#This Row],[物理]]="","",SUMPRODUCT((表成绩单[考试日期]=表成绩单[[#This Row],[考试日期]])*(表成绩单[物理]&lt;9E+307)*(表成绩单[物理]&gt;表成绩单[[#This Row],[物理]]))+1)</f>
        <v>184</v>
      </c>
      <c r="T2546" s="29" cm="1">
        <f t="array" ref="T2546">IF(表成绩单[[#This Row],[化学]]="","",SUMPRODUCT((表成绩单[考试日期]=表成绩单[[#This Row],[考试日期]])*(表成绩单[化学]&lt;9E+307)*(表成绩单[化学]&gt;表成绩单[[#This Row],[化学]]))+1)</f>
        <v>71</v>
      </c>
      <c r="U2546" s="29" cm="1">
        <f t="array" ref="U2546">IF(表成绩单[[#This Row],[政治]]="","",SUMPRODUCT((表成绩单[考试日期]=表成绩单[[#This Row],[考试日期]])*(表成绩单[政治]&lt;9E+307)*(表成绩单[政治]&gt;表成绩单[[#This Row],[政治]]))+1)</f>
        <v>230</v>
      </c>
      <c r="V2546" s="29" cm="1">
        <f t="array" ref="V2546">IF(表成绩单[[#This Row],[历史]]="","",SUMPRODUCT((表成绩单[考试日期]=表成绩单[[#This Row],[考试日期]])*(表成绩单[历史]&lt;9E+307)*(表成绩单[历史]&gt;表成绩单[[#This Row],[历史]]))+1)</f>
        <v>269</v>
      </c>
      <c r="W2546" s="29" cm="1">
        <f t="array" ref="W2546">IF(表成绩单[[#This Row],[总分]]="","",SUMPRODUCT((表成绩单[考试日期]=表成绩单[[#This Row],[考试日期]])*(表成绩单[总分]&lt;9E+307)*(表成绩单[总分]&gt;表成绩单[[#This Row],[总分]]))+1)</f>
        <v>139</v>
      </c>
    </row>
    <row r="2547" ht="28" customHeight="1" spans="4:23">
      <c r="D2547" s="31">
        <v>46108</v>
      </c>
      <c r="E2547" s="29">
        <v>19176878</v>
      </c>
      <c r="F2547" s="29" t="s">
        <v>71</v>
      </c>
      <c r="G2547" s="29" t="s">
        <v>303</v>
      </c>
      <c r="H2547" s="29">
        <v>102</v>
      </c>
      <c r="I2547" s="29">
        <v>103</v>
      </c>
      <c r="J2547" s="29">
        <v>86.5</v>
      </c>
      <c r="K2547" s="29">
        <v>88</v>
      </c>
      <c r="L2547" s="29">
        <v>64</v>
      </c>
      <c r="M2547" s="29">
        <v>77</v>
      </c>
      <c r="N2547" s="29">
        <v>76</v>
      </c>
      <c r="O2547" s="32">
        <v>596.5</v>
      </c>
      <c r="P2547" s="29" cm="1">
        <f t="array" ref="P2547">IF(表成绩单[[#This Row],[语文]]="","",SUMPRODUCT((表成绩单[考试日期]=表成绩单[[#This Row],[考试日期]])*(表成绩单[语文]&lt;9E+307)*(表成绩单[语文]&gt;表成绩单[[#This Row],[语文]]))+1)</f>
        <v>183</v>
      </c>
      <c r="Q2547" s="29" cm="1">
        <f t="array" ref="Q2547">IF(表成绩单[[#This Row],[数学]]="","",SUMPRODUCT((表成绩单[考试日期]=表成绩单[[#This Row],[考试日期]])*(表成绩单[数学]&lt;9E+307)*(表成绩单[数学]&gt;表成绩单[[#This Row],[数学]]))+1)</f>
        <v>87</v>
      </c>
      <c r="R2547" s="29" cm="1">
        <f t="array" ref="R2547">IF(表成绩单[[#This Row],[英语]]="","",SUMPRODUCT((表成绩单[考试日期]=表成绩单[[#This Row],[考试日期]])*(表成绩单[英语]&lt;9E+307)*(表成绩单[英语]&gt;表成绩单[[#This Row],[英语]]))+1)</f>
        <v>18</v>
      </c>
      <c r="S2547" s="29" cm="1">
        <f t="array" ref="S2547">IF(表成绩单[[#This Row],[物理]]="","",SUMPRODUCT((表成绩单[考试日期]=表成绩单[[#This Row],[考试日期]])*(表成绩单[物理]&lt;9E+307)*(表成绩单[物理]&gt;表成绩单[[#This Row],[物理]]))+1)</f>
        <v>27</v>
      </c>
      <c r="T2547" s="29" cm="1">
        <f t="array" ref="T2547">IF(表成绩单[[#This Row],[化学]]="","",SUMPRODUCT((表成绩单[考试日期]=表成绩单[[#This Row],[考试日期]])*(表成绩单[化学]&lt;9E+307)*(表成绩单[化学]&gt;表成绩单[[#This Row],[化学]]))+1)</f>
        <v>400</v>
      </c>
      <c r="U2547" s="29" cm="1">
        <f t="array" ref="U2547">IF(表成绩单[[#This Row],[政治]]="","",SUMPRODUCT((表成绩单[考试日期]=表成绩单[[#This Row],[考试日期]])*(表成绩单[政治]&lt;9E+307)*(表成绩单[政治]&gt;表成绩单[[#This Row],[政治]]))+1)</f>
        <v>230</v>
      </c>
      <c r="V2547" s="29" cm="1">
        <f t="array" ref="V2547">IF(表成绩单[[#This Row],[历史]]="","",SUMPRODUCT((表成绩单[考试日期]=表成绩单[[#This Row],[考试日期]])*(表成绩单[历史]&lt;9E+307)*(表成绩单[历史]&gt;表成绩单[[#This Row],[历史]]))+1)</f>
        <v>316</v>
      </c>
      <c r="W2547" s="29" cm="1">
        <f t="array" ref="W2547">IF(表成绩单[[#This Row],[总分]]="","",SUMPRODUCT((表成绩单[考试日期]=表成绩单[[#This Row],[考试日期]])*(表成绩单[总分]&lt;9E+307)*(表成绩单[总分]&gt;表成绩单[[#This Row],[总分]]))+1)</f>
        <v>139</v>
      </c>
    </row>
    <row r="2548" ht="28" customHeight="1" spans="4:23">
      <c r="D2548" s="31">
        <v>46108</v>
      </c>
      <c r="E2548" s="29">
        <v>19177213</v>
      </c>
      <c r="F2548" s="29" t="s">
        <v>70</v>
      </c>
      <c r="G2548" s="29" t="s">
        <v>282</v>
      </c>
      <c r="H2548" s="29">
        <v>105</v>
      </c>
      <c r="I2548" s="29">
        <v>94</v>
      </c>
      <c r="J2548" s="29">
        <v>81.5</v>
      </c>
      <c r="K2548" s="29">
        <v>83</v>
      </c>
      <c r="L2548" s="29">
        <v>75</v>
      </c>
      <c r="M2548" s="29">
        <v>78</v>
      </c>
      <c r="N2548" s="29">
        <v>80</v>
      </c>
      <c r="O2548" s="32">
        <v>596.5</v>
      </c>
      <c r="P2548" s="29" cm="1">
        <f t="array" ref="P2548">IF(表成绩单[[#This Row],[语文]]="","",SUMPRODUCT((表成绩单[考试日期]=表成绩单[[#This Row],[考试日期]])*(表成绩单[语文]&lt;9E+307)*(表成绩单[语文]&gt;表成绩单[[#This Row],[语文]]))+1)</f>
        <v>101</v>
      </c>
      <c r="Q2548" s="29" cm="1">
        <f t="array" ref="Q2548">IF(表成绩单[[#This Row],[数学]]="","",SUMPRODUCT((表成绩单[考试日期]=表成绩单[[#This Row],[考试日期]])*(表成绩单[数学]&lt;9E+307)*(表成绩单[数学]&gt;表成绩单[[#This Row],[数学]]))+1)</f>
        <v>258</v>
      </c>
      <c r="R2548" s="29" cm="1">
        <f t="array" ref="R2548">IF(表成绩单[[#This Row],[英语]]="","",SUMPRODUCT((表成绩单[考试日期]=表成绩单[[#This Row],[考试日期]])*(表成绩单[英语]&lt;9E+307)*(表成绩单[英语]&gt;表成绩单[[#This Row],[英语]]))+1)</f>
        <v>203</v>
      </c>
      <c r="S2548" s="29" cm="1">
        <f t="array" ref="S2548">IF(表成绩单[[#This Row],[物理]]="","",SUMPRODUCT((表成绩单[考试日期]=表成绩单[[#This Row],[考试日期]])*(表成绩单[物理]&lt;9E+307)*(表成绩单[物理]&gt;表成绩单[[#This Row],[物理]]))+1)</f>
        <v>184</v>
      </c>
      <c r="T2548" s="29" cm="1">
        <f t="array" ref="T2548">IF(表成绩单[[#This Row],[化学]]="","",SUMPRODUCT((表成绩单[考试日期]=表成绩单[[#This Row],[考试日期]])*(表成绩单[化学]&lt;9E+307)*(表成绩单[化学]&gt;表成绩单[[#This Row],[化学]]))+1)</f>
        <v>96</v>
      </c>
      <c r="U2548" s="29" cm="1">
        <f t="array" ref="U2548">IF(表成绩单[[#This Row],[政治]]="","",SUMPRODUCT((表成绩单[考试日期]=表成绩单[[#This Row],[考试日期]])*(表成绩单[政治]&lt;9E+307)*(表成绩单[政治]&gt;表成绩单[[#This Row],[政治]]))+1)</f>
        <v>171</v>
      </c>
      <c r="V2548" s="29" cm="1">
        <f t="array" ref="V2548">IF(表成绩单[[#This Row],[历史]]="","",SUMPRODUCT((表成绩单[考试日期]=表成绩单[[#This Row],[考试日期]])*(表成绩单[历史]&lt;9E+307)*(表成绩单[历史]&gt;表成绩单[[#This Row],[历史]]))+1)</f>
        <v>143</v>
      </c>
      <c r="W2548" s="29" cm="1">
        <f t="array" ref="W2548">IF(表成绩单[[#This Row],[总分]]="","",SUMPRODUCT((表成绩单[考试日期]=表成绩单[[#This Row],[考试日期]])*(表成绩单[总分]&lt;9E+307)*(表成绩单[总分]&gt;表成绩单[[#This Row],[总分]]))+1)</f>
        <v>139</v>
      </c>
    </row>
    <row r="2549" ht="28" customHeight="1" spans="4:23">
      <c r="D2549" s="31">
        <v>46108</v>
      </c>
      <c r="E2549" s="29">
        <v>19174438</v>
      </c>
      <c r="F2549" s="29" t="s">
        <v>73</v>
      </c>
      <c r="G2549" s="29" t="s">
        <v>179</v>
      </c>
      <c r="H2549" s="29">
        <v>110</v>
      </c>
      <c r="I2549" s="29">
        <v>94</v>
      </c>
      <c r="J2549" s="29">
        <v>83.5</v>
      </c>
      <c r="K2549" s="29">
        <v>81</v>
      </c>
      <c r="L2549" s="29">
        <v>77</v>
      </c>
      <c r="M2549" s="29">
        <v>74</v>
      </c>
      <c r="N2549" s="29">
        <v>76</v>
      </c>
      <c r="O2549" s="32">
        <v>595.5</v>
      </c>
      <c r="P2549" s="29" cm="1">
        <f t="array" ref="P2549">IF(表成绩单[[#This Row],[语文]]="","",SUMPRODUCT((表成绩单[考试日期]=表成绩单[[#This Row],[考试日期]])*(表成绩单[语文]&lt;9E+307)*(表成绩单[语文]&gt;表成绩单[[#This Row],[语文]]))+1)</f>
        <v>24</v>
      </c>
      <c r="Q2549" s="29" cm="1">
        <f t="array" ref="Q2549">IF(表成绩单[[#This Row],[数学]]="","",SUMPRODUCT((表成绩单[考试日期]=表成绩单[[#This Row],[考试日期]])*(表成绩单[数学]&lt;9E+307)*(表成绩单[数学]&gt;表成绩单[[#This Row],[数学]]))+1)</f>
        <v>258</v>
      </c>
      <c r="R2549" s="29" cm="1">
        <f t="array" ref="R2549">IF(表成绩单[[#This Row],[英语]]="","",SUMPRODUCT((表成绩单[考试日期]=表成绩单[[#This Row],[考试日期]])*(表成绩单[英语]&lt;9E+307)*(表成绩单[英语]&gt;表成绩单[[#This Row],[英语]]))+1)</f>
        <v>122</v>
      </c>
      <c r="S2549" s="29" cm="1">
        <f t="array" ref="S2549">IF(表成绩单[[#This Row],[物理]]="","",SUMPRODUCT((表成绩单[考试日期]=表成绩单[[#This Row],[考试日期]])*(表成绩单[物理]&lt;9E+307)*(表成绩单[物理]&gt;表成绩单[[#This Row],[物理]]))+1)</f>
        <v>269</v>
      </c>
      <c r="T2549" s="29" cm="1">
        <f t="array" ref="T2549">IF(表成绩单[[#This Row],[化学]]="","",SUMPRODUCT((表成绩单[考试日期]=表成绩单[[#This Row],[考试日期]])*(表成绩单[化学]&lt;9E+307)*(表成绩单[化学]&gt;表成绩单[[#This Row],[化学]]))+1)</f>
        <v>57</v>
      </c>
      <c r="U2549" s="29" cm="1">
        <f t="array" ref="U2549">IF(表成绩单[[#This Row],[政治]]="","",SUMPRODUCT((表成绩单[考试日期]=表成绩单[[#This Row],[考试日期]])*(表成绩单[政治]&lt;9E+307)*(表成绩单[政治]&gt;表成绩单[[#This Row],[政治]]))+1)</f>
        <v>389</v>
      </c>
      <c r="V2549" s="29" cm="1">
        <f t="array" ref="V2549">IF(表成绩单[[#This Row],[历史]]="","",SUMPRODUCT((表成绩单[考试日期]=表成绩单[[#This Row],[考试日期]])*(表成绩单[历史]&lt;9E+307)*(表成绩单[历史]&gt;表成绩单[[#This Row],[历史]]))+1)</f>
        <v>316</v>
      </c>
      <c r="W2549" s="29" cm="1">
        <f t="array" ref="W2549">IF(表成绩单[[#This Row],[总分]]="","",SUMPRODUCT((表成绩单[考试日期]=表成绩单[[#This Row],[考试日期]])*(表成绩单[总分]&lt;9E+307)*(表成绩单[总分]&gt;表成绩单[[#This Row],[总分]]))+1)</f>
        <v>142</v>
      </c>
    </row>
    <row r="2550" ht="28" customHeight="1" spans="4:23">
      <c r="D2550" s="31">
        <v>46108</v>
      </c>
      <c r="E2550" s="29">
        <v>19176891</v>
      </c>
      <c r="F2550" s="29" t="s">
        <v>71</v>
      </c>
      <c r="G2550" s="29" t="s">
        <v>133</v>
      </c>
      <c r="H2550" s="29">
        <v>106</v>
      </c>
      <c r="I2550" s="29">
        <v>97</v>
      </c>
      <c r="J2550" s="29">
        <v>82.5</v>
      </c>
      <c r="K2550" s="29">
        <v>85</v>
      </c>
      <c r="L2550" s="29">
        <v>67</v>
      </c>
      <c r="M2550" s="29">
        <v>81</v>
      </c>
      <c r="N2550" s="29">
        <v>77</v>
      </c>
      <c r="O2550" s="32">
        <v>595.5</v>
      </c>
      <c r="P2550" s="29" cm="1">
        <f t="array" ref="P2550">IF(表成绩单[[#This Row],[语文]]="","",SUMPRODUCT((表成绩单[考试日期]=表成绩单[[#This Row],[考试日期]])*(表成绩单[语文]&lt;9E+307)*(表成绩单[语文]&gt;表成绩单[[#This Row],[语文]]))+1)</f>
        <v>85</v>
      </c>
      <c r="Q2550" s="29" cm="1">
        <f t="array" ref="Q2550">IF(表成绩单[[#This Row],[数学]]="","",SUMPRODUCT((表成绩单[考试日期]=表成绩单[[#This Row],[考试日期]])*(表成绩单[数学]&lt;9E+307)*(表成绩单[数学]&gt;表成绩单[[#This Row],[数学]]))+1)</f>
        <v>175</v>
      </c>
      <c r="R2550" s="29" cm="1">
        <f t="array" ref="R2550">IF(表成绩单[[#This Row],[英语]]="","",SUMPRODUCT((表成绩单[考试日期]=表成绩单[[#This Row],[考试日期]])*(表成绩单[英语]&lt;9E+307)*(表成绩单[英语]&gt;表成绩单[[#This Row],[英语]]))+1)</f>
        <v>156</v>
      </c>
      <c r="S2550" s="29" cm="1">
        <f t="array" ref="S2550">IF(表成绩单[[#This Row],[物理]]="","",SUMPRODUCT((表成绩单[考试日期]=表成绩单[[#This Row],[考试日期]])*(表成绩单[物理]&lt;9E+307)*(表成绩单[物理]&gt;表成绩单[[#This Row],[物理]]))+1)</f>
        <v>105</v>
      </c>
      <c r="T2550" s="29" cm="1">
        <f t="array" ref="T2550">IF(表成绩单[[#This Row],[化学]]="","",SUMPRODUCT((表成绩单[考试日期]=表成绩单[[#This Row],[考试日期]])*(表成绩单[化学]&lt;9E+307)*(表成绩单[化学]&gt;表成绩单[[#This Row],[化学]]))+1)</f>
        <v>335</v>
      </c>
      <c r="U2550" s="29" cm="1">
        <f t="array" ref="U2550">IF(表成绩单[[#This Row],[政治]]="","",SUMPRODUCT((表成绩单[考试日期]=表成绩单[[#This Row],[考试日期]])*(表成绩单[政治]&lt;9E+307)*(表成绩单[政治]&gt;表成绩单[[#This Row],[政治]]))+1)</f>
        <v>68</v>
      </c>
      <c r="V2550" s="29" cm="1">
        <f t="array" ref="V2550">IF(表成绩单[[#This Row],[历史]]="","",SUMPRODUCT((表成绩单[考试日期]=表成绩单[[#This Row],[考试日期]])*(表成绩单[历史]&lt;9E+307)*(表成绩单[历史]&gt;表成绩单[[#This Row],[历史]]))+1)</f>
        <v>269</v>
      </c>
      <c r="W2550" s="29" cm="1">
        <f t="array" ref="W2550">IF(表成绩单[[#This Row],[总分]]="","",SUMPRODUCT((表成绩单[考试日期]=表成绩单[[#This Row],[考试日期]])*(表成绩单[总分]&lt;9E+307)*(表成绩单[总分]&gt;表成绩单[[#This Row],[总分]]))+1)</f>
        <v>142</v>
      </c>
    </row>
    <row r="2551" ht="28" customHeight="1" spans="4:23">
      <c r="D2551" s="31">
        <v>46108</v>
      </c>
      <c r="E2551" s="29">
        <v>19177209</v>
      </c>
      <c r="F2551" s="29" t="s">
        <v>70</v>
      </c>
      <c r="G2551" s="29" t="s">
        <v>245</v>
      </c>
      <c r="H2551" s="29">
        <v>103</v>
      </c>
      <c r="I2551" s="29">
        <v>87</v>
      </c>
      <c r="J2551" s="29">
        <v>80.5</v>
      </c>
      <c r="K2551" s="29">
        <v>85</v>
      </c>
      <c r="L2551" s="29">
        <v>76</v>
      </c>
      <c r="M2551" s="29">
        <v>85</v>
      </c>
      <c r="N2551" s="29">
        <v>79</v>
      </c>
      <c r="O2551" s="32">
        <v>595.5</v>
      </c>
      <c r="P2551" s="29" cm="1">
        <f t="array" ref="P2551">IF(表成绩单[[#This Row],[语文]]="","",SUMPRODUCT((表成绩单[考试日期]=表成绩单[[#This Row],[考试日期]])*(表成绩单[语文]&lt;9E+307)*(表成绩单[语文]&gt;表成绩单[[#This Row],[语文]]))+1)</f>
        <v>155</v>
      </c>
      <c r="Q2551" s="29" cm="1">
        <f t="array" ref="Q2551">IF(表成绩单[[#This Row],[数学]]="","",SUMPRODUCT((表成绩单[考试日期]=表成绩单[[#This Row],[考试日期]])*(表成绩单[数学]&lt;9E+307)*(表成绩单[数学]&gt;表成绩单[[#This Row],[数学]]))+1)</f>
        <v>452</v>
      </c>
      <c r="R2551" s="29" cm="1">
        <f t="array" ref="R2551">IF(表成绩单[[#This Row],[英语]]="","",SUMPRODUCT((表成绩单[考试日期]=表成绩单[[#This Row],[考试日期]])*(表成绩单[英语]&lt;9E+307)*(表成绩单[英语]&gt;表成绩单[[#This Row],[英语]]))+1)</f>
        <v>244</v>
      </c>
      <c r="S2551" s="29" cm="1">
        <f t="array" ref="S2551">IF(表成绩单[[#This Row],[物理]]="","",SUMPRODUCT((表成绩单[考试日期]=表成绩单[[#This Row],[考试日期]])*(表成绩单[物理]&lt;9E+307)*(表成绩单[物理]&gt;表成绩单[[#This Row],[物理]]))+1)</f>
        <v>105</v>
      </c>
      <c r="T2551" s="29" cm="1">
        <f t="array" ref="T2551">IF(表成绩单[[#This Row],[化学]]="","",SUMPRODUCT((表成绩单[考试日期]=表成绩单[[#This Row],[考试日期]])*(表成绩单[化学]&lt;9E+307)*(表成绩单[化学]&gt;表成绩单[[#This Row],[化学]]))+1)</f>
        <v>71</v>
      </c>
      <c r="U2551" s="29" cm="1">
        <f t="array" ref="U2551">IF(表成绩单[[#This Row],[政治]]="","",SUMPRODUCT((表成绩单[考试日期]=表成绩单[[#This Row],[考试日期]])*(表成绩单[政治]&lt;9E+307)*(表成绩单[政治]&gt;表成绩单[[#This Row],[政治]]))+1)</f>
        <v>5</v>
      </c>
      <c r="V2551" s="29" cm="1">
        <f t="array" ref="V2551">IF(表成绩单[[#This Row],[历史]]="","",SUMPRODUCT((表成绩单[考试日期]=表成绩单[[#This Row],[考试日期]])*(表成绩单[历史]&lt;9E+307)*(表成绩单[历史]&gt;表成绩单[[#This Row],[历史]]))+1)</f>
        <v>173</v>
      </c>
      <c r="W2551" s="29" cm="1">
        <f t="array" ref="W2551">IF(表成绩单[[#This Row],[总分]]="","",SUMPRODUCT((表成绩单[考试日期]=表成绩单[[#This Row],[考试日期]])*(表成绩单[总分]&lt;9E+307)*(表成绩单[总分]&gt;表成绩单[[#This Row],[总分]]))+1)</f>
        <v>142</v>
      </c>
    </row>
    <row r="2552" ht="28" customHeight="1" spans="4:23">
      <c r="D2552" s="31">
        <v>46108</v>
      </c>
      <c r="E2552" s="29">
        <v>19176853</v>
      </c>
      <c r="F2552" s="29" t="s">
        <v>71</v>
      </c>
      <c r="G2552" s="29" t="s">
        <v>256</v>
      </c>
      <c r="H2552" s="29">
        <v>108</v>
      </c>
      <c r="I2552" s="29">
        <v>99</v>
      </c>
      <c r="J2552" s="29">
        <v>84</v>
      </c>
      <c r="K2552" s="29">
        <v>85</v>
      </c>
      <c r="L2552" s="29">
        <v>71</v>
      </c>
      <c r="M2552" s="29">
        <v>71</v>
      </c>
      <c r="N2552" s="29">
        <v>77</v>
      </c>
      <c r="O2552" s="32">
        <v>595</v>
      </c>
      <c r="P2552" s="29" cm="1">
        <f t="array" ref="P2552">IF(表成绩单[[#This Row],[语文]]="","",SUMPRODUCT((表成绩单[考试日期]=表成绩单[[#This Row],[考试日期]])*(表成绩单[语文]&lt;9E+307)*(表成绩单[语文]&gt;表成绩单[[#This Row],[语文]]))+1)</f>
        <v>55</v>
      </c>
      <c r="Q2552" s="29" cm="1">
        <f t="array" ref="Q2552">IF(表成绩单[[#This Row],[数学]]="","",SUMPRODUCT((表成绩单[考试日期]=表成绩单[[#This Row],[考试日期]])*(表成绩单[数学]&lt;9E+307)*(表成绩单[数学]&gt;表成绩单[[#This Row],[数学]]))+1)</f>
        <v>140</v>
      </c>
      <c r="R2552" s="29" cm="1">
        <f t="array" ref="R2552">IF(表成绩单[[#This Row],[英语]]="","",SUMPRODUCT((表成绩单[考试日期]=表成绩单[[#This Row],[考试日期]])*(表成绩单[英语]&lt;9E+307)*(表成绩单[英语]&gt;表成绩单[[#This Row],[英语]]))+1)</f>
        <v>100</v>
      </c>
      <c r="S2552" s="29" cm="1">
        <f t="array" ref="S2552">IF(表成绩单[[#This Row],[物理]]="","",SUMPRODUCT((表成绩单[考试日期]=表成绩单[[#This Row],[考试日期]])*(表成绩单[物理]&lt;9E+307)*(表成绩单[物理]&gt;表成绩单[[#This Row],[物理]]))+1)</f>
        <v>105</v>
      </c>
      <c r="T2552" s="29" cm="1">
        <f t="array" ref="T2552">IF(表成绩单[[#This Row],[化学]]="","",SUMPRODUCT((表成绩单[考试日期]=表成绩单[[#This Row],[考试日期]])*(表成绩单[化学]&lt;9E+307)*(表成绩单[化学]&gt;表成绩单[[#This Row],[化学]]))+1)</f>
        <v>217</v>
      </c>
      <c r="U2552" s="29" cm="1">
        <f t="array" ref="U2552">IF(表成绩单[[#This Row],[政治]]="","",SUMPRODUCT((表成绩单[考试日期]=表成绩单[[#This Row],[考试日期]])*(表成绩单[政治]&lt;9E+307)*(表成绩单[政治]&gt;表成绩单[[#This Row],[政治]]))+1)</f>
        <v>513</v>
      </c>
      <c r="V2552" s="29" cm="1">
        <f t="array" ref="V2552">IF(表成绩单[[#This Row],[历史]]="","",SUMPRODUCT((表成绩单[考试日期]=表成绩单[[#This Row],[考试日期]])*(表成绩单[历史]&lt;9E+307)*(表成绩单[历史]&gt;表成绩单[[#This Row],[历史]]))+1)</f>
        <v>269</v>
      </c>
      <c r="W2552" s="29" cm="1">
        <f t="array" ref="W2552">IF(表成绩单[[#This Row],[总分]]="","",SUMPRODUCT((表成绩单[考试日期]=表成绩单[[#This Row],[考试日期]])*(表成绩单[总分]&lt;9E+307)*(表成绩单[总分]&gt;表成绩单[[#This Row],[总分]]))+1)</f>
        <v>145</v>
      </c>
    </row>
    <row r="2553" ht="28" customHeight="1" spans="4:23">
      <c r="D2553" s="31">
        <v>46108</v>
      </c>
      <c r="E2553" s="29">
        <v>19174464</v>
      </c>
      <c r="F2553" s="29" t="s">
        <v>73</v>
      </c>
      <c r="G2553" s="29" t="s">
        <v>307</v>
      </c>
      <c r="H2553" s="29">
        <v>108</v>
      </c>
      <c r="I2553" s="29">
        <v>96</v>
      </c>
      <c r="J2553" s="29">
        <v>86.5</v>
      </c>
      <c r="K2553" s="29">
        <v>82</v>
      </c>
      <c r="L2553" s="29">
        <v>63</v>
      </c>
      <c r="M2553" s="29">
        <v>75</v>
      </c>
      <c r="N2553" s="29">
        <v>84</v>
      </c>
      <c r="O2553" s="32">
        <v>594.5</v>
      </c>
      <c r="P2553" s="29" cm="1">
        <f t="array" ref="P2553">IF(表成绩单[[#This Row],[语文]]="","",SUMPRODUCT((表成绩单[考试日期]=表成绩单[[#This Row],[考试日期]])*(表成绩单[语文]&lt;9E+307)*(表成绩单[语文]&gt;表成绩单[[#This Row],[语文]]))+1)</f>
        <v>55</v>
      </c>
      <c r="Q2553" s="29" cm="1">
        <f t="array" ref="Q2553">IF(表成绩单[[#This Row],[数学]]="","",SUMPRODUCT((表成绩单[考试日期]=表成绩单[[#This Row],[考试日期]])*(表成绩单[数学]&lt;9E+307)*(表成绩单[数学]&gt;表成绩单[[#This Row],[数学]]))+1)</f>
        <v>202</v>
      </c>
      <c r="R2553" s="29" cm="1">
        <f t="array" ref="R2553">IF(表成绩单[[#This Row],[英语]]="","",SUMPRODUCT((表成绩单[考试日期]=表成绩单[[#This Row],[考试日期]])*(表成绩单[英语]&lt;9E+307)*(表成绩单[英语]&gt;表成绩单[[#This Row],[英语]]))+1)</f>
        <v>18</v>
      </c>
      <c r="S2553" s="29" cm="1">
        <f t="array" ref="S2553">IF(表成绩单[[#This Row],[物理]]="","",SUMPRODUCT((表成绩单[考试日期]=表成绩单[[#This Row],[考试日期]])*(表成绩单[物理]&lt;9E+307)*(表成绩单[物理]&gt;表成绩单[[#This Row],[物理]]))+1)</f>
        <v>223</v>
      </c>
      <c r="T2553" s="29" cm="1">
        <f t="array" ref="T2553">IF(表成绩单[[#This Row],[化学]]="","",SUMPRODUCT((表成绩单[考试日期]=表成绩单[[#This Row],[考试日期]])*(表成绩单[化学]&lt;9E+307)*(表成绩单[化学]&gt;表成绩单[[#This Row],[化学]]))+1)</f>
        <v>426</v>
      </c>
      <c r="U2553" s="29" cm="1">
        <f t="array" ref="U2553">IF(表成绩单[[#This Row],[政治]]="","",SUMPRODUCT((表成绩单[考试日期]=表成绩单[[#This Row],[考试日期]])*(表成绩单[政治]&lt;9E+307)*(表成绩单[政治]&gt;表成绩单[[#This Row],[政治]]))+1)</f>
        <v>346</v>
      </c>
      <c r="V2553" s="29" cm="1">
        <f t="array" ref="V2553">IF(表成绩单[[#This Row],[历史]]="","",SUMPRODUCT((表成绩单[考试日期]=表成绩单[[#This Row],[考试日期]])*(表成绩单[历史]&lt;9E+307)*(表成绩单[历史]&gt;表成绩单[[#This Row],[历史]]))+1)</f>
        <v>38</v>
      </c>
      <c r="W2553" s="29" cm="1">
        <f t="array" ref="W2553">IF(表成绩单[[#This Row],[总分]]="","",SUMPRODUCT((表成绩单[考试日期]=表成绩单[[#This Row],[考试日期]])*(表成绩单[总分]&lt;9E+307)*(表成绩单[总分]&gt;表成绩单[[#This Row],[总分]]))+1)</f>
        <v>146</v>
      </c>
    </row>
    <row r="2554" ht="28" customHeight="1" spans="4:23">
      <c r="D2554" s="31">
        <v>46108</v>
      </c>
      <c r="E2554" s="29">
        <v>19175670</v>
      </c>
      <c r="F2554" s="29" t="s">
        <v>66</v>
      </c>
      <c r="G2554" s="29" t="s">
        <v>297</v>
      </c>
      <c r="H2554" s="29">
        <v>105</v>
      </c>
      <c r="I2554" s="29">
        <v>106</v>
      </c>
      <c r="J2554" s="29">
        <v>74.5</v>
      </c>
      <c r="K2554" s="29">
        <v>86</v>
      </c>
      <c r="L2554" s="29">
        <v>66</v>
      </c>
      <c r="M2554" s="29">
        <v>80</v>
      </c>
      <c r="N2554" s="29">
        <v>77</v>
      </c>
      <c r="O2554" s="32">
        <v>594.5</v>
      </c>
      <c r="P2554" s="29" cm="1">
        <f t="array" ref="P2554">IF(表成绩单[[#This Row],[语文]]="","",SUMPRODUCT((表成绩单[考试日期]=表成绩单[[#This Row],[考试日期]])*(表成绩单[语文]&lt;9E+307)*(表成绩单[语文]&gt;表成绩单[[#This Row],[语文]]))+1)</f>
        <v>101</v>
      </c>
      <c r="Q2554" s="29" cm="1">
        <f t="array" ref="Q2554">IF(表成绩单[[#This Row],[数学]]="","",SUMPRODUCT((表成绩单[考试日期]=表成绩单[[#This Row],[考试日期]])*(表成绩单[数学]&lt;9E+307)*(表成绩单[数学]&gt;表成绩单[[#This Row],[数学]]))+1)</f>
        <v>40</v>
      </c>
      <c r="R2554" s="29" cm="1">
        <f t="array" ref="R2554">IF(表成绩单[[#This Row],[英语]]="","",SUMPRODUCT((表成绩单[考试日期]=表成绩单[[#This Row],[考试日期]])*(表成绩单[英语]&lt;9E+307)*(表成绩单[英语]&gt;表成绩单[[#This Row],[英语]]))+1)</f>
        <v>456</v>
      </c>
      <c r="S2554" s="29" cm="1">
        <f t="array" ref="S2554">IF(表成绩单[[#This Row],[物理]]="","",SUMPRODUCT((表成绩单[考试日期]=表成绩单[[#This Row],[考试日期]])*(表成绩单[物理]&lt;9E+307)*(表成绩单[物理]&gt;表成绩单[[#This Row],[物理]]))+1)</f>
        <v>61</v>
      </c>
      <c r="T2554" s="29" cm="1">
        <f t="array" ref="T2554">IF(表成绩单[[#This Row],[化学]]="","",SUMPRODUCT((表成绩单[考试日期]=表成绩单[[#This Row],[考试日期]])*(表成绩单[化学]&lt;9E+307)*(表成绩单[化学]&gt;表成绩单[[#This Row],[化学]]))+1)</f>
        <v>359</v>
      </c>
      <c r="U2554" s="29" cm="1">
        <f t="array" ref="U2554">IF(表成绩单[[#This Row],[政治]]="","",SUMPRODUCT((表成绩单[考试日期]=表成绩单[[#This Row],[考试日期]])*(表成绩单[政治]&lt;9E+307)*(表成绩单[政治]&gt;表成绩单[[#This Row],[政治]]))+1)</f>
        <v>98</v>
      </c>
      <c r="V2554" s="29" cm="1">
        <f t="array" ref="V2554">IF(表成绩单[[#This Row],[历史]]="","",SUMPRODUCT((表成绩单[考试日期]=表成绩单[[#This Row],[考试日期]])*(表成绩单[历史]&lt;9E+307)*(表成绩单[历史]&gt;表成绩单[[#This Row],[历史]]))+1)</f>
        <v>269</v>
      </c>
      <c r="W2554" s="29" cm="1">
        <f t="array" ref="W2554">IF(表成绩单[[#This Row],[总分]]="","",SUMPRODUCT((表成绩单[考试日期]=表成绩单[[#This Row],[考试日期]])*(表成绩单[总分]&lt;9E+307)*(表成绩单[总分]&gt;表成绩单[[#This Row],[总分]]))+1)</f>
        <v>146</v>
      </c>
    </row>
    <row r="2555" ht="28" customHeight="1" spans="4:23">
      <c r="D2555" s="31">
        <v>46108</v>
      </c>
      <c r="E2555" s="29">
        <v>19176864</v>
      </c>
      <c r="F2555" s="29" t="s">
        <v>71</v>
      </c>
      <c r="G2555" s="29" t="s">
        <v>310</v>
      </c>
      <c r="H2555" s="29">
        <v>100</v>
      </c>
      <c r="I2555" s="29">
        <v>98</v>
      </c>
      <c r="J2555" s="29">
        <v>84.5</v>
      </c>
      <c r="K2555" s="29">
        <v>88</v>
      </c>
      <c r="L2555" s="29">
        <v>77</v>
      </c>
      <c r="M2555" s="29">
        <v>75</v>
      </c>
      <c r="N2555" s="29">
        <v>72</v>
      </c>
      <c r="O2555" s="32">
        <v>594.5</v>
      </c>
      <c r="P2555" s="29" cm="1">
        <f t="array" ref="P2555">IF(表成绩单[[#This Row],[语文]]="","",SUMPRODUCT((表成绩单[考试日期]=表成绩单[[#This Row],[考试日期]])*(表成绩单[语文]&lt;9E+307)*(表成绩单[语文]&gt;表成绩单[[#This Row],[语文]]))+1)</f>
        <v>247</v>
      </c>
      <c r="Q2555" s="29" cm="1">
        <f t="array" ref="Q2555">IF(表成绩单[[#This Row],[数学]]="","",SUMPRODUCT((表成绩单[考试日期]=表成绩单[[#This Row],[考试日期]])*(表成绩单[数学]&lt;9E+307)*(表成绩单[数学]&gt;表成绩单[[#This Row],[数学]]))+1)</f>
        <v>158</v>
      </c>
      <c r="R2555" s="29" cm="1">
        <f t="array" ref="R2555">IF(表成绩单[[#This Row],[英语]]="","",SUMPRODUCT((表成绩单[考试日期]=表成绩单[[#This Row],[考试日期]])*(表成绩单[英语]&lt;9E+307)*(表成绩单[英语]&gt;表成绩单[[#This Row],[英语]]))+1)</f>
        <v>83</v>
      </c>
      <c r="S2555" s="29" cm="1">
        <f t="array" ref="S2555">IF(表成绩单[[#This Row],[物理]]="","",SUMPRODUCT((表成绩单[考试日期]=表成绩单[[#This Row],[考试日期]])*(表成绩单[物理]&lt;9E+307)*(表成绩单[物理]&gt;表成绩单[[#This Row],[物理]]))+1)</f>
        <v>27</v>
      </c>
      <c r="T2555" s="29" cm="1">
        <f t="array" ref="T2555">IF(表成绩单[[#This Row],[化学]]="","",SUMPRODUCT((表成绩单[考试日期]=表成绩单[[#This Row],[考试日期]])*(表成绩单[化学]&lt;9E+307)*(表成绩单[化学]&gt;表成绩单[[#This Row],[化学]]))+1)</f>
        <v>57</v>
      </c>
      <c r="U2555" s="29" cm="1">
        <f t="array" ref="U2555">IF(表成绩单[[#This Row],[政治]]="","",SUMPRODUCT((表成绩单[考试日期]=表成绩单[[#This Row],[考试日期]])*(表成绩单[政治]&lt;9E+307)*(表成绩单[政治]&gt;表成绩单[[#This Row],[政治]]))+1)</f>
        <v>346</v>
      </c>
      <c r="V2555" s="29" cm="1">
        <f t="array" ref="V2555">IF(表成绩单[[#This Row],[历史]]="","",SUMPRODUCT((表成绩单[考试日期]=表成绩单[[#This Row],[考试日期]])*(表成绩单[历史]&lt;9E+307)*(表成绩单[历史]&gt;表成绩单[[#This Row],[历史]]))+1)</f>
        <v>470</v>
      </c>
      <c r="W2555" s="29" cm="1">
        <f t="array" ref="W2555">IF(表成绩单[[#This Row],[总分]]="","",SUMPRODUCT((表成绩单[考试日期]=表成绩单[[#This Row],[考试日期]])*(表成绩单[总分]&lt;9E+307)*(表成绩单[总分]&gt;表成绩单[[#This Row],[总分]]))+1)</f>
        <v>146</v>
      </c>
    </row>
    <row r="2556" ht="28" customHeight="1" spans="4:23">
      <c r="D2556" s="31">
        <v>46108</v>
      </c>
      <c r="E2556" s="29">
        <v>19175668</v>
      </c>
      <c r="F2556" s="29" t="s">
        <v>66</v>
      </c>
      <c r="G2556" s="29" t="s">
        <v>270</v>
      </c>
      <c r="H2556" s="29">
        <v>107</v>
      </c>
      <c r="I2556" s="29">
        <v>101</v>
      </c>
      <c r="J2556" s="29">
        <v>85.5</v>
      </c>
      <c r="K2556" s="29">
        <v>76</v>
      </c>
      <c r="L2556" s="29">
        <v>69</v>
      </c>
      <c r="M2556" s="29">
        <v>75</v>
      </c>
      <c r="N2556" s="29">
        <v>80</v>
      </c>
      <c r="O2556" s="32">
        <v>593.5</v>
      </c>
      <c r="P2556" s="29" cm="1">
        <f t="array" ref="P2556">IF(表成绩单[[#This Row],[语文]]="","",SUMPRODUCT((表成绩单[考试日期]=表成绩单[[#This Row],[考试日期]])*(表成绩单[语文]&lt;9E+307)*(表成绩单[语文]&gt;表成绩单[[#This Row],[语文]]))+1)</f>
        <v>67</v>
      </c>
      <c r="Q2556" s="29" cm="1">
        <f t="array" ref="Q2556">IF(表成绩单[[#This Row],[数学]]="","",SUMPRODUCT((表成绩单[考试日期]=表成绩单[[#This Row],[考试日期]])*(表成绩单[数学]&lt;9E+307)*(表成绩单[数学]&gt;表成绩单[[#This Row],[数学]]))+1)</f>
        <v>115</v>
      </c>
      <c r="R2556" s="29" cm="1">
        <f t="array" ref="R2556">IF(表成绩单[[#This Row],[英语]]="","",SUMPRODUCT((表成绩单[考试日期]=表成绩单[[#This Row],[考试日期]])*(表成绩单[英语]&lt;9E+307)*(表成绩单[英语]&gt;表成绩单[[#This Row],[英语]]))+1)</f>
        <v>43</v>
      </c>
      <c r="S2556" s="29" cm="1">
        <f t="array" ref="S2556">IF(表成绩单[[#This Row],[物理]]="","",SUMPRODUCT((表成绩单[考试日期]=表成绩单[[#This Row],[考试日期]])*(表成绩单[物理]&lt;9E+307)*(表成绩单[物理]&gt;表成绩单[[#This Row],[物理]]))+1)</f>
        <v>433</v>
      </c>
      <c r="T2556" s="29" cm="1">
        <f t="array" ref="T2556">IF(表成绩单[[#This Row],[化学]]="","",SUMPRODUCT((表成绩单[考试日期]=表成绩单[[#This Row],[考试日期]])*(表成绩单[化学]&lt;9E+307)*(表成绩单[化学]&gt;表成绩单[[#This Row],[化学]]))+1)</f>
        <v>269</v>
      </c>
      <c r="U2556" s="29" cm="1">
        <f t="array" ref="U2556">IF(表成绩单[[#This Row],[政治]]="","",SUMPRODUCT((表成绩单[考试日期]=表成绩单[[#This Row],[考试日期]])*(表成绩单[政治]&lt;9E+307)*(表成绩单[政治]&gt;表成绩单[[#This Row],[政治]]))+1)</f>
        <v>346</v>
      </c>
      <c r="V2556" s="29" cm="1">
        <f t="array" ref="V2556">IF(表成绩单[[#This Row],[历史]]="","",SUMPRODUCT((表成绩单[考试日期]=表成绩单[[#This Row],[考试日期]])*(表成绩单[历史]&lt;9E+307)*(表成绩单[历史]&gt;表成绩单[[#This Row],[历史]]))+1)</f>
        <v>143</v>
      </c>
      <c r="W2556" s="29" cm="1">
        <f t="array" ref="W2556">IF(表成绩单[[#This Row],[总分]]="","",SUMPRODUCT((表成绩单[考试日期]=表成绩单[[#This Row],[考试日期]])*(表成绩单[总分]&lt;9E+307)*(表成绩单[总分]&gt;表成绩单[[#This Row],[总分]]))+1)</f>
        <v>149</v>
      </c>
    </row>
    <row r="2557" ht="28" customHeight="1" spans="4:23">
      <c r="D2557" s="31">
        <v>46108</v>
      </c>
      <c r="E2557" s="29">
        <v>19175701</v>
      </c>
      <c r="F2557" s="29" t="s">
        <v>72</v>
      </c>
      <c r="G2557" s="29" t="s">
        <v>395</v>
      </c>
      <c r="H2557" s="29">
        <v>104</v>
      </c>
      <c r="I2557" s="29">
        <v>98</v>
      </c>
      <c r="J2557" s="29">
        <v>83.5</v>
      </c>
      <c r="K2557" s="29">
        <v>80</v>
      </c>
      <c r="L2557" s="29">
        <v>73</v>
      </c>
      <c r="M2557" s="29">
        <v>80</v>
      </c>
      <c r="N2557" s="29">
        <v>75</v>
      </c>
      <c r="O2557" s="32">
        <v>593.5</v>
      </c>
      <c r="P2557" s="29" cm="1">
        <f t="array" ref="P2557">IF(表成绩单[[#This Row],[语文]]="","",SUMPRODUCT((表成绩单[考试日期]=表成绩单[[#This Row],[考试日期]])*(表成绩单[语文]&lt;9E+307)*(表成绩单[语文]&gt;表成绩单[[#This Row],[语文]]))+1)</f>
        <v>131</v>
      </c>
      <c r="Q2557" s="29" cm="1">
        <f t="array" ref="Q2557">IF(表成绩单[[#This Row],[数学]]="","",SUMPRODUCT((表成绩单[考试日期]=表成绩单[[#This Row],[考试日期]])*(表成绩单[数学]&lt;9E+307)*(表成绩单[数学]&gt;表成绩单[[#This Row],[数学]]))+1)</f>
        <v>158</v>
      </c>
      <c r="R2557" s="29" cm="1">
        <f t="array" ref="R2557">IF(表成绩单[[#This Row],[英语]]="","",SUMPRODUCT((表成绩单[考试日期]=表成绩单[[#This Row],[考试日期]])*(表成绩单[英语]&lt;9E+307)*(表成绩单[英语]&gt;表成绩单[[#This Row],[英语]]))+1)</f>
        <v>122</v>
      </c>
      <c r="S2557" s="29" cm="1">
        <f t="array" ref="S2557">IF(表成绩单[[#This Row],[物理]]="","",SUMPRODUCT((表成绩单[考试日期]=表成绩单[[#This Row],[考试日期]])*(表成绩单[物理]&lt;9E+307)*(表成绩单[物理]&gt;表成绩单[[#This Row],[物理]]))+1)</f>
        <v>305</v>
      </c>
      <c r="T2557" s="29" cm="1">
        <f t="array" ref="T2557">IF(表成绩单[[#This Row],[化学]]="","",SUMPRODUCT((表成绩单[考试日期]=表成绩单[[#This Row],[考试日期]])*(表成绩单[化学]&lt;9E+307)*(表成绩单[化学]&gt;表成绩单[[#This Row],[化学]]))+1)</f>
        <v>152</v>
      </c>
      <c r="U2557" s="29" cm="1">
        <f t="array" ref="U2557">IF(表成绩单[[#This Row],[政治]]="","",SUMPRODUCT((表成绩单[考试日期]=表成绩单[[#This Row],[考试日期]])*(表成绩单[政治]&lt;9E+307)*(表成绩单[政治]&gt;表成绩单[[#This Row],[政治]]))+1)</f>
        <v>98</v>
      </c>
      <c r="V2557" s="29" cm="1">
        <f t="array" ref="V2557">IF(表成绩单[[#This Row],[历史]]="","",SUMPRODUCT((表成绩单[考试日期]=表成绩单[[#This Row],[考试日期]])*(表成绩单[历史]&lt;9E+307)*(表成绩单[历史]&gt;表成绩单[[#This Row],[历史]]))+1)</f>
        <v>354</v>
      </c>
      <c r="W2557" s="29" cm="1">
        <f t="array" ref="W2557">IF(表成绩单[[#This Row],[总分]]="","",SUMPRODUCT((表成绩单[考试日期]=表成绩单[[#This Row],[考试日期]])*(表成绩单[总分]&lt;9E+307)*(表成绩单[总分]&gt;表成绩单[[#This Row],[总分]]))+1)</f>
        <v>149</v>
      </c>
    </row>
    <row r="2558" ht="28" customHeight="1" spans="4:23">
      <c r="D2558" s="31">
        <v>46108</v>
      </c>
      <c r="E2558" s="29">
        <v>19173247</v>
      </c>
      <c r="F2558" s="29" t="s">
        <v>61</v>
      </c>
      <c r="G2558" s="29" t="s">
        <v>175</v>
      </c>
      <c r="H2558" s="29">
        <v>101</v>
      </c>
      <c r="I2558" s="29">
        <v>100</v>
      </c>
      <c r="J2558" s="29">
        <v>85</v>
      </c>
      <c r="K2558" s="29">
        <v>84</v>
      </c>
      <c r="L2558" s="29">
        <v>70</v>
      </c>
      <c r="M2558" s="29">
        <v>79</v>
      </c>
      <c r="N2558" s="29">
        <v>74</v>
      </c>
      <c r="O2558" s="32">
        <v>593</v>
      </c>
      <c r="P2558" s="29" cm="1">
        <f t="array" ref="P2558">IF(表成绩单[[#This Row],[语文]]="","",SUMPRODUCT((表成绩单[考试日期]=表成绩单[[#This Row],[考试日期]])*(表成绩单[语文]&lt;9E+307)*(表成绩单[语文]&gt;表成绩单[[#This Row],[语文]]))+1)</f>
        <v>211</v>
      </c>
      <c r="Q2558" s="29" cm="1">
        <f t="array" ref="Q2558">IF(表成绩单[[#This Row],[数学]]="","",SUMPRODUCT((表成绩单[考试日期]=表成绩单[[#This Row],[考试日期]])*(表成绩单[数学]&lt;9E+307)*(表成绩单[数学]&gt;表成绩单[[#This Row],[数学]]))+1)</f>
        <v>121</v>
      </c>
      <c r="R2558" s="29" cm="1">
        <f t="array" ref="R2558">IF(表成绩单[[#This Row],[英语]]="","",SUMPRODUCT((表成绩单[考试日期]=表成绩单[[#This Row],[考试日期]])*(表成绩单[英语]&lt;9E+307)*(表成绩单[英语]&gt;表成绩单[[#This Row],[英语]]))+1)</f>
        <v>59</v>
      </c>
      <c r="S2558" s="29" cm="1">
        <f t="array" ref="S2558">IF(表成绩单[[#This Row],[物理]]="","",SUMPRODUCT((表成绩单[考试日期]=表成绩单[[#This Row],[考试日期]])*(表成绩单[物理]&lt;9E+307)*(表成绩单[物理]&gt;表成绩单[[#This Row],[物理]]))+1)</f>
        <v>146</v>
      </c>
      <c r="T2558" s="29" cm="1">
        <f t="array" ref="T2558">IF(表成绩单[[#This Row],[化学]]="","",SUMPRODUCT((表成绩单[考试日期]=表成绩单[[#This Row],[考试日期]])*(表成绩单[化学]&lt;9E+307)*(表成绩单[化学]&gt;表成绩单[[#This Row],[化学]]))+1)</f>
        <v>241</v>
      </c>
      <c r="U2558" s="29" cm="1">
        <f t="array" ref="U2558">IF(表成绩单[[#This Row],[政治]]="","",SUMPRODUCT((表成绩单[考试日期]=表成绩单[[#This Row],[考试日期]])*(表成绩单[政治]&lt;9E+307)*(表成绩单[政治]&gt;表成绩单[[#This Row],[政治]]))+1)</f>
        <v>134</v>
      </c>
      <c r="V2558" s="29" cm="1">
        <f t="array" ref="V2558">IF(表成绩单[[#This Row],[历史]]="","",SUMPRODUCT((表成绩单[考试日期]=表成绩单[[#This Row],[考试日期]])*(表成绩单[历史]&lt;9E+307)*(表成绩单[历史]&gt;表成绩单[[#This Row],[历史]]))+1)</f>
        <v>389</v>
      </c>
      <c r="W2558" s="29" cm="1">
        <f t="array" ref="W2558">IF(表成绩单[[#This Row],[总分]]="","",SUMPRODUCT((表成绩单[考试日期]=表成绩单[[#This Row],[考试日期]])*(表成绩单[总分]&lt;9E+307)*(表成绩单[总分]&gt;表成绩单[[#This Row],[总分]]))+1)</f>
        <v>151</v>
      </c>
    </row>
    <row r="2559" ht="28" customHeight="1" spans="4:23">
      <c r="D2559" s="31">
        <v>46108</v>
      </c>
      <c r="E2559" s="29">
        <v>19174453</v>
      </c>
      <c r="F2559" s="29" t="s">
        <v>73</v>
      </c>
      <c r="G2559" s="29" t="s">
        <v>247</v>
      </c>
      <c r="H2559" s="29">
        <v>105</v>
      </c>
      <c r="I2559" s="29">
        <v>97</v>
      </c>
      <c r="J2559" s="29">
        <v>84</v>
      </c>
      <c r="K2559" s="29">
        <v>80</v>
      </c>
      <c r="L2559" s="29">
        <v>69</v>
      </c>
      <c r="M2559" s="29">
        <v>80</v>
      </c>
      <c r="N2559" s="29">
        <v>78</v>
      </c>
      <c r="O2559" s="32">
        <v>593</v>
      </c>
      <c r="P2559" s="29" cm="1">
        <f t="array" ref="P2559">IF(表成绩单[[#This Row],[语文]]="","",SUMPRODUCT((表成绩单[考试日期]=表成绩单[[#This Row],[考试日期]])*(表成绩单[语文]&lt;9E+307)*(表成绩单[语文]&gt;表成绩单[[#This Row],[语文]]))+1)</f>
        <v>101</v>
      </c>
      <c r="Q2559" s="29" cm="1">
        <f t="array" ref="Q2559">IF(表成绩单[[#This Row],[数学]]="","",SUMPRODUCT((表成绩单[考试日期]=表成绩单[[#This Row],[考试日期]])*(表成绩单[数学]&lt;9E+307)*(表成绩单[数学]&gt;表成绩单[[#This Row],[数学]]))+1)</f>
        <v>175</v>
      </c>
      <c r="R2559" s="29" cm="1">
        <f t="array" ref="R2559">IF(表成绩单[[#This Row],[英语]]="","",SUMPRODUCT((表成绩单[考试日期]=表成绩单[[#This Row],[考试日期]])*(表成绩单[英语]&lt;9E+307)*(表成绩单[英语]&gt;表成绩单[[#This Row],[英语]]))+1)</f>
        <v>100</v>
      </c>
      <c r="S2559" s="29" cm="1">
        <f t="array" ref="S2559">IF(表成绩单[[#This Row],[物理]]="","",SUMPRODUCT((表成绩单[考试日期]=表成绩单[[#This Row],[考试日期]])*(表成绩单[物理]&lt;9E+307)*(表成绩单[物理]&gt;表成绩单[[#This Row],[物理]]))+1)</f>
        <v>305</v>
      </c>
      <c r="T2559" s="29" cm="1">
        <f t="array" ref="T2559">IF(表成绩单[[#This Row],[化学]]="","",SUMPRODUCT((表成绩单[考试日期]=表成绩单[[#This Row],[考试日期]])*(表成绩单[化学]&lt;9E+307)*(表成绩单[化学]&gt;表成绩单[[#This Row],[化学]]))+1)</f>
        <v>269</v>
      </c>
      <c r="U2559" s="29" cm="1">
        <f t="array" ref="U2559">IF(表成绩单[[#This Row],[政治]]="","",SUMPRODUCT((表成绩单[考试日期]=表成绩单[[#This Row],[考试日期]])*(表成绩单[政治]&lt;9E+307)*(表成绩单[政治]&gt;表成绩单[[#This Row],[政治]]))+1)</f>
        <v>98</v>
      </c>
      <c r="V2559" s="29" cm="1">
        <f t="array" ref="V2559">IF(表成绩单[[#This Row],[历史]]="","",SUMPRODUCT((表成绩单[考试日期]=表成绩单[[#This Row],[考试日期]])*(表成绩单[历史]&lt;9E+307)*(表成绩单[历史]&gt;表成绩单[[#This Row],[历史]]))+1)</f>
        <v>222</v>
      </c>
      <c r="W2559" s="29" cm="1">
        <f t="array" ref="W2559">IF(表成绩单[[#This Row],[总分]]="","",SUMPRODUCT((表成绩单[考试日期]=表成绩单[[#This Row],[考试日期]])*(表成绩单[总分]&lt;9E+307)*(表成绩单[总分]&gt;表成绩单[[#This Row],[总分]]))+1)</f>
        <v>151</v>
      </c>
    </row>
    <row r="2560" ht="28" customHeight="1" spans="4:23">
      <c r="D2560" s="31">
        <v>46108</v>
      </c>
      <c r="E2560" s="29">
        <v>19175651</v>
      </c>
      <c r="F2560" s="29" t="s">
        <v>66</v>
      </c>
      <c r="G2560" s="29" t="s">
        <v>211</v>
      </c>
      <c r="H2560" s="29">
        <v>107</v>
      </c>
      <c r="I2560" s="29">
        <v>96</v>
      </c>
      <c r="J2560" s="29">
        <v>85</v>
      </c>
      <c r="K2560" s="29">
        <v>80</v>
      </c>
      <c r="L2560" s="29">
        <v>67</v>
      </c>
      <c r="M2560" s="29">
        <v>80</v>
      </c>
      <c r="N2560" s="29">
        <v>78</v>
      </c>
      <c r="O2560" s="32">
        <v>593</v>
      </c>
      <c r="P2560" s="29" cm="1">
        <f t="array" ref="P2560">IF(表成绩单[[#This Row],[语文]]="","",SUMPRODUCT((表成绩单[考试日期]=表成绩单[[#This Row],[考试日期]])*(表成绩单[语文]&lt;9E+307)*(表成绩单[语文]&gt;表成绩单[[#This Row],[语文]]))+1)</f>
        <v>67</v>
      </c>
      <c r="Q2560" s="29" cm="1">
        <f t="array" ref="Q2560">IF(表成绩单[[#This Row],[数学]]="","",SUMPRODUCT((表成绩单[考试日期]=表成绩单[[#This Row],[考试日期]])*(表成绩单[数学]&lt;9E+307)*(表成绩单[数学]&gt;表成绩单[[#This Row],[数学]]))+1)</f>
        <v>202</v>
      </c>
      <c r="R2560" s="29" cm="1">
        <f t="array" ref="R2560">IF(表成绩单[[#This Row],[英语]]="","",SUMPRODUCT((表成绩单[考试日期]=表成绩单[[#This Row],[考试日期]])*(表成绩单[英语]&lt;9E+307)*(表成绩单[英语]&gt;表成绩单[[#This Row],[英语]]))+1)</f>
        <v>59</v>
      </c>
      <c r="S2560" s="29" cm="1">
        <f t="array" ref="S2560">IF(表成绩单[[#This Row],[物理]]="","",SUMPRODUCT((表成绩单[考试日期]=表成绩单[[#This Row],[考试日期]])*(表成绩单[物理]&lt;9E+307)*(表成绩单[物理]&gt;表成绩单[[#This Row],[物理]]))+1)</f>
        <v>305</v>
      </c>
      <c r="T2560" s="29" cm="1">
        <f t="array" ref="T2560">IF(表成绩单[[#This Row],[化学]]="","",SUMPRODUCT((表成绩单[考试日期]=表成绩单[[#This Row],[考试日期]])*(表成绩单[化学]&lt;9E+307)*(表成绩单[化学]&gt;表成绩单[[#This Row],[化学]]))+1)</f>
        <v>335</v>
      </c>
      <c r="U2560" s="29" cm="1">
        <f t="array" ref="U2560">IF(表成绩单[[#This Row],[政治]]="","",SUMPRODUCT((表成绩单[考试日期]=表成绩单[[#This Row],[考试日期]])*(表成绩单[政治]&lt;9E+307)*(表成绩单[政治]&gt;表成绩单[[#This Row],[政治]]))+1)</f>
        <v>98</v>
      </c>
      <c r="V2560" s="29" cm="1">
        <f t="array" ref="V2560">IF(表成绩单[[#This Row],[历史]]="","",SUMPRODUCT((表成绩单[考试日期]=表成绩单[[#This Row],[考试日期]])*(表成绩单[历史]&lt;9E+307)*(表成绩单[历史]&gt;表成绩单[[#This Row],[历史]]))+1)</f>
        <v>222</v>
      </c>
      <c r="W2560" s="29" cm="1">
        <f t="array" ref="W2560">IF(表成绩单[[#This Row],[总分]]="","",SUMPRODUCT((表成绩单[考试日期]=表成绩单[[#This Row],[考试日期]])*(表成绩单[总分]&lt;9E+307)*(表成绩单[总分]&gt;表成绩单[[#This Row],[总分]]))+1)</f>
        <v>151</v>
      </c>
    </row>
    <row r="2561" ht="28" customHeight="1" spans="4:23">
      <c r="D2561" s="31">
        <v>46108</v>
      </c>
      <c r="E2561" s="29">
        <v>19175660</v>
      </c>
      <c r="F2561" s="29" t="s">
        <v>66</v>
      </c>
      <c r="G2561" s="29" t="s">
        <v>328</v>
      </c>
      <c r="H2561" s="29">
        <v>101</v>
      </c>
      <c r="I2561" s="29">
        <v>92</v>
      </c>
      <c r="J2561" s="29">
        <v>83</v>
      </c>
      <c r="K2561" s="29">
        <v>89</v>
      </c>
      <c r="L2561" s="29">
        <v>74</v>
      </c>
      <c r="M2561" s="29">
        <v>72</v>
      </c>
      <c r="N2561" s="29">
        <v>82</v>
      </c>
      <c r="O2561" s="32">
        <v>593</v>
      </c>
      <c r="P2561" s="29" cm="1">
        <f t="array" ref="P2561">IF(表成绩单[[#This Row],[语文]]="","",SUMPRODUCT((表成绩单[考试日期]=表成绩单[[#This Row],[考试日期]])*(表成绩单[语文]&lt;9E+307)*(表成绩单[语文]&gt;表成绩单[[#This Row],[语文]]))+1)</f>
        <v>211</v>
      </c>
      <c r="Q2561" s="29" cm="1">
        <f t="array" ref="Q2561">IF(表成绩单[[#This Row],[数学]]="","",SUMPRODUCT((表成绩单[考试日期]=表成绩单[[#This Row],[考试日期]])*(表成绩单[数学]&lt;9E+307)*(表成绩单[数学]&gt;表成绩单[[#This Row],[数学]]))+1)</f>
        <v>312</v>
      </c>
      <c r="R2561" s="29" cm="1">
        <f t="array" ref="R2561">IF(表成绩单[[#This Row],[英语]]="","",SUMPRODUCT((表成绩单[考试日期]=表成绩单[[#This Row],[考试日期]])*(表成绩单[英语]&lt;9E+307)*(表成绩单[英语]&gt;表成绩单[[#This Row],[英语]]))+1)</f>
        <v>134</v>
      </c>
      <c r="S2561" s="29" cm="1">
        <f t="array" ref="S2561">IF(表成绩单[[#This Row],[物理]]="","",SUMPRODUCT((表成绩单[考试日期]=表成绩单[[#This Row],[考试日期]])*(表成绩单[物理]&lt;9E+307)*(表成绩单[物理]&gt;表成绩单[[#This Row],[物理]]))+1)</f>
        <v>15</v>
      </c>
      <c r="T2561" s="29" cm="1">
        <f t="array" ref="T2561">IF(表成绩单[[#This Row],[化学]]="","",SUMPRODUCT((表成绩单[考试日期]=表成绩单[[#This Row],[考试日期]])*(表成绩单[化学]&lt;9E+307)*(表成绩单[化学]&gt;表成绩单[[#This Row],[化学]]))+1)</f>
        <v>127</v>
      </c>
      <c r="U2561" s="29" cm="1">
        <f t="array" ref="U2561">IF(表成绩单[[#This Row],[政治]]="","",SUMPRODUCT((表成绩单[考试日期]=表成绩单[[#This Row],[考试日期]])*(表成绩单[政治]&lt;9E+307)*(表成绩单[政治]&gt;表成绩单[[#This Row],[政治]]))+1)</f>
        <v>470</v>
      </c>
      <c r="V2561" s="29" cm="1">
        <f t="array" ref="V2561">IF(表成绩单[[#This Row],[历史]]="","",SUMPRODUCT((表成绩单[考试日期]=表成绩单[[#This Row],[考试日期]])*(表成绩单[历史]&lt;9E+307)*(表成绩单[历史]&gt;表成绩单[[#This Row],[历史]]))+1)</f>
        <v>81</v>
      </c>
      <c r="W2561" s="29" cm="1">
        <f t="array" ref="W2561">IF(表成绩单[[#This Row],[总分]]="","",SUMPRODUCT((表成绩单[考试日期]=表成绩单[[#This Row],[考试日期]])*(表成绩单[总分]&lt;9E+307)*(表成绩单[总分]&gt;表成绩单[[#This Row],[总分]]))+1)</f>
        <v>151</v>
      </c>
    </row>
    <row r="2562" ht="28" customHeight="1" spans="4:23">
      <c r="D2562" s="31">
        <v>46108</v>
      </c>
      <c r="E2562" s="29">
        <v>19175691</v>
      </c>
      <c r="F2562" s="29" t="s">
        <v>72</v>
      </c>
      <c r="G2562" s="29" t="s">
        <v>147</v>
      </c>
      <c r="H2562" s="29">
        <v>95</v>
      </c>
      <c r="I2562" s="29">
        <v>103</v>
      </c>
      <c r="J2562" s="29">
        <v>81</v>
      </c>
      <c r="K2562" s="29">
        <v>84</v>
      </c>
      <c r="L2562" s="29">
        <v>71</v>
      </c>
      <c r="M2562" s="29">
        <v>76</v>
      </c>
      <c r="N2562" s="29">
        <v>83</v>
      </c>
      <c r="O2562" s="32">
        <v>593</v>
      </c>
      <c r="P2562" s="29" cm="1">
        <f t="array" ref="P2562">IF(表成绩单[[#This Row],[语文]]="","",SUMPRODUCT((表成绩单[考试日期]=表成绩单[[#This Row],[考试日期]])*(表成绩单[语文]&lt;9E+307)*(表成绩单[语文]&gt;表成绩单[[#This Row],[语文]]))+1)</f>
        <v>422</v>
      </c>
      <c r="Q2562" s="29" cm="1">
        <f t="array" ref="Q2562">IF(表成绩单[[#This Row],[数学]]="","",SUMPRODUCT((表成绩单[考试日期]=表成绩单[[#This Row],[考试日期]])*(表成绩单[数学]&lt;9E+307)*(表成绩单[数学]&gt;表成绩单[[#This Row],[数学]]))+1)</f>
        <v>87</v>
      </c>
      <c r="R2562" s="29" cm="1">
        <f t="array" ref="R2562">IF(表成绩单[[#This Row],[英语]]="","",SUMPRODUCT((表成绩单[考试日期]=表成绩单[[#This Row],[考试日期]])*(表成绩单[英语]&lt;9E+307)*(表成绩单[英语]&gt;表成绩单[[#This Row],[英语]]))+1)</f>
        <v>227</v>
      </c>
      <c r="S2562" s="29" cm="1">
        <f t="array" ref="S2562">IF(表成绩单[[#This Row],[物理]]="","",SUMPRODUCT((表成绩单[考试日期]=表成绩单[[#This Row],[考试日期]])*(表成绩单[物理]&lt;9E+307)*(表成绩单[物理]&gt;表成绩单[[#This Row],[物理]]))+1)</f>
        <v>146</v>
      </c>
      <c r="T2562" s="29" cm="1">
        <f t="array" ref="T2562">IF(表成绩单[[#This Row],[化学]]="","",SUMPRODUCT((表成绩单[考试日期]=表成绩单[[#This Row],[考试日期]])*(表成绩单[化学]&lt;9E+307)*(表成绩单[化学]&gt;表成绩单[[#This Row],[化学]]))+1)</f>
        <v>217</v>
      </c>
      <c r="U2562" s="29" cm="1">
        <f t="array" ref="U2562">IF(表成绩单[[#This Row],[政治]]="","",SUMPRODUCT((表成绩单[考试日期]=表成绩单[[#This Row],[考试日期]])*(表成绩单[政治]&lt;9E+307)*(表成绩单[政治]&gt;表成绩单[[#This Row],[政治]]))+1)</f>
        <v>291</v>
      </c>
      <c r="V2562" s="29" cm="1">
        <f t="array" ref="V2562">IF(表成绩单[[#This Row],[历史]]="","",SUMPRODUCT((表成绩单[考试日期]=表成绩单[[#This Row],[考试日期]])*(表成绩单[历史]&lt;9E+307)*(表成绩单[历史]&gt;表成绩单[[#This Row],[历史]]))+1)</f>
        <v>60</v>
      </c>
      <c r="W2562" s="29" cm="1">
        <f t="array" ref="W2562">IF(表成绩单[[#This Row],[总分]]="","",SUMPRODUCT((表成绩单[考试日期]=表成绩单[[#This Row],[考试日期]])*(表成绩单[总分]&lt;9E+307)*(表成绩单[总分]&gt;表成绩单[[#This Row],[总分]]))+1)</f>
        <v>151</v>
      </c>
    </row>
    <row r="2563" ht="28" customHeight="1" spans="4:23">
      <c r="D2563" s="31">
        <v>46108</v>
      </c>
      <c r="E2563" s="29">
        <v>19175643</v>
      </c>
      <c r="F2563" s="29" t="s">
        <v>66</v>
      </c>
      <c r="G2563" s="29" t="s">
        <v>139</v>
      </c>
      <c r="H2563" s="29">
        <v>106</v>
      </c>
      <c r="I2563" s="29">
        <v>94</v>
      </c>
      <c r="J2563" s="29">
        <v>85.5</v>
      </c>
      <c r="K2563" s="29">
        <v>83</v>
      </c>
      <c r="L2563" s="29">
        <v>66</v>
      </c>
      <c r="M2563" s="29">
        <v>77</v>
      </c>
      <c r="N2563" s="29">
        <v>81</v>
      </c>
      <c r="O2563" s="32">
        <v>592.5</v>
      </c>
      <c r="P2563" s="29" cm="1">
        <f t="array" ref="P2563">IF(表成绩单[[#This Row],[语文]]="","",SUMPRODUCT((表成绩单[考试日期]=表成绩单[[#This Row],[考试日期]])*(表成绩单[语文]&lt;9E+307)*(表成绩单[语文]&gt;表成绩单[[#This Row],[语文]]))+1)</f>
        <v>85</v>
      </c>
      <c r="Q2563" s="29" cm="1">
        <f t="array" ref="Q2563">IF(表成绩单[[#This Row],[数学]]="","",SUMPRODUCT((表成绩单[考试日期]=表成绩单[[#This Row],[考试日期]])*(表成绩单[数学]&lt;9E+307)*(表成绩单[数学]&gt;表成绩单[[#This Row],[数学]]))+1)</f>
        <v>258</v>
      </c>
      <c r="R2563" s="29" cm="1">
        <f t="array" ref="R2563">IF(表成绩单[[#This Row],[英语]]="","",SUMPRODUCT((表成绩单[考试日期]=表成绩单[[#This Row],[考试日期]])*(表成绩单[英语]&lt;9E+307)*(表成绩单[英语]&gt;表成绩单[[#This Row],[英语]]))+1)</f>
        <v>43</v>
      </c>
      <c r="S2563" s="29" cm="1">
        <f t="array" ref="S2563">IF(表成绩单[[#This Row],[物理]]="","",SUMPRODUCT((表成绩单[考试日期]=表成绩单[[#This Row],[考试日期]])*(表成绩单[物理]&lt;9E+307)*(表成绩单[物理]&gt;表成绩单[[#This Row],[物理]]))+1)</f>
        <v>184</v>
      </c>
      <c r="T2563" s="29" cm="1">
        <f t="array" ref="T2563">IF(表成绩单[[#This Row],[化学]]="","",SUMPRODUCT((表成绩单[考试日期]=表成绩单[[#This Row],[考试日期]])*(表成绩单[化学]&lt;9E+307)*(表成绩单[化学]&gt;表成绩单[[#This Row],[化学]]))+1)</f>
        <v>359</v>
      </c>
      <c r="U2563" s="29" cm="1">
        <f t="array" ref="U2563">IF(表成绩单[[#This Row],[政治]]="","",SUMPRODUCT((表成绩单[考试日期]=表成绩单[[#This Row],[考试日期]])*(表成绩单[政治]&lt;9E+307)*(表成绩单[政治]&gt;表成绩单[[#This Row],[政治]]))+1)</f>
        <v>230</v>
      </c>
      <c r="V2563" s="29" cm="1">
        <f t="array" ref="V2563">IF(表成绩单[[#This Row],[历史]]="","",SUMPRODUCT((表成绩单[考试日期]=表成绩单[[#This Row],[考试日期]])*(表成绩单[历史]&lt;9E+307)*(表成绩单[历史]&gt;表成绩单[[#This Row],[历史]]))+1)</f>
        <v>106</v>
      </c>
      <c r="W2563" s="29" cm="1">
        <f t="array" ref="W2563">IF(表成绩单[[#This Row],[总分]]="","",SUMPRODUCT((表成绩单[考试日期]=表成绩单[[#This Row],[考试日期]])*(表成绩单[总分]&lt;9E+307)*(表成绩单[总分]&gt;表成绩单[[#This Row],[总分]]))+1)</f>
        <v>156</v>
      </c>
    </row>
    <row r="2564" ht="28" customHeight="1" spans="4:23">
      <c r="D2564" s="31">
        <v>46108</v>
      </c>
      <c r="E2564" s="29">
        <v>19175709</v>
      </c>
      <c r="F2564" s="29" t="s">
        <v>72</v>
      </c>
      <c r="G2564" s="29" t="s">
        <v>364</v>
      </c>
      <c r="H2564" s="29">
        <v>103</v>
      </c>
      <c r="I2564" s="29">
        <v>101</v>
      </c>
      <c r="J2564" s="29">
        <v>85.5</v>
      </c>
      <c r="K2564" s="29">
        <v>77</v>
      </c>
      <c r="L2564" s="29">
        <v>74</v>
      </c>
      <c r="M2564" s="29">
        <v>77</v>
      </c>
      <c r="N2564" s="29">
        <v>75</v>
      </c>
      <c r="O2564" s="32">
        <v>592.5</v>
      </c>
      <c r="P2564" s="29" cm="1">
        <f t="array" ref="P2564">IF(表成绩单[[#This Row],[语文]]="","",SUMPRODUCT((表成绩单[考试日期]=表成绩单[[#This Row],[考试日期]])*(表成绩单[语文]&lt;9E+307)*(表成绩单[语文]&gt;表成绩单[[#This Row],[语文]]))+1)</f>
        <v>155</v>
      </c>
      <c r="Q2564" s="29" cm="1">
        <f t="array" ref="Q2564">IF(表成绩单[[#This Row],[数学]]="","",SUMPRODUCT((表成绩单[考试日期]=表成绩单[[#This Row],[考试日期]])*(表成绩单[数学]&lt;9E+307)*(表成绩单[数学]&gt;表成绩单[[#This Row],[数学]]))+1)</f>
        <v>115</v>
      </c>
      <c r="R2564" s="29" cm="1">
        <f t="array" ref="R2564">IF(表成绩单[[#This Row],[英语]]="","",SUMPRODUCT((表成绩单[考试日期]=表成绩单[[#This Row],[考试日期]])*(表成绩单[英语]&lt;9E+307)*(表成绩单[英语]&gt;表成绩单[[#This Row],[英语]]))+1)</f>
        <v>43</v>
      </c>
      <c r="S2564" s="29" cm="1">
        <f t="array" ref="S2564">IF(表成绩单[[#This Row],[物理]]="","",SUMPRODUCT((表成绩单[考试日期]=表成绩单[[#This Row],[考试日期]])*(表成绩单[物理]&lt;9E+307)*(表成绩单[物理]&gt;表成绩单[[#This Row],[物理]]))+1)</f>
        <v>400</v>
      </c>
      <c r="T2564" s="29" cm="1">
        <f t="array" ref="T2564">IF(表成绩单[[#This Row],[化学]]="","",SUMPRODUCT((表成绩单[考试日期]=表成绩单[[#This Row],[考试日期]])*(表成绩单[化学]&lt;9E+307)*(表成绩单[化学]&gt;表成绩单[[#This Row],[化学]]))+1)</f>
        <v>127</v>
      </c>
      <c r="U2564" s="29" cm="1">
        <f t="array" ref="U2564">IF(表成绩单[[#This Row],[政治]]="","",SUMPRODUCT((表成绩单[考试日期]=表成绩单[[#This Row],[考试日期]])*(表成绩单[政治]&lt;9E+307)*(表成绩单[政治]&gt;表成绩单[[#This Row],[政治]]))+1)</f>
        <v>230</v>
      </c>
      <c r="V2564" s="29" cm="1">
        <f t="array" ref="V2564">IF(表成绩单[[#This Row],[历史]]="","",SUMPRODUCT((表成绩单[考试日期]=表成绩单[[#This Row],[考试日期]])*(表成绩单[历史]&lt;9E+307)*(表成绩单[历史]&gt;表成绩单[[#This Row],[历史]]))+1)</f>
        <v>354</v>
      </c>
      <c r="W2564" s="29" cm="1">
        <f t="array" ref="W2564">IF(表成绩单[[#This Row],[总分]]="","",SUMPRODUCT((表成绩单[考试日期]=表成绩单[[#This Row],[考试日期]])*(表成绩单[总分]&lt;9E+307)*(表成绩单[总分]&gt;表成绩单[[#This Row],[总分]]))+1)</f>
        <v>156</v>
      </c>
    </row>
    <row r="2565" ht="28" customHeight="1" spans="4:23">
      <c r="D2565" s="31">
        <v>46108</v>
      </c>
      <c r="E2565" s="29">
        <v>19174790</v>
      </c>
      <c r="F2565" s="29" t="s">
        <v>69</v>
      </c>
      <c r="G2565" s="29" t="s">
        <v>411</v>
      </c>
      <c r="H2565" s="29">
        <v>110</v>
      </c>
      <c r="I2565" s="29">
        <v>87</v>
      </c>
      <c r="J2565" s="29">
        <v>83</v>
      </c>
      <c r="K2565" s="29">
        <v>82</v>
      </c>
      <c r="L2565" s="29">
        <v>73</v>
      </c>
      <c r="M2565" s="29">
        <v>83</v>
      </c>
      <c r="N2565" s="29">
        <v>74</v>
      </c>
      <c r="O2565" s="32">
        <v>592</v>
      </c>
      <c r="P2565" s="29" cm="1">
        <f t="array" ref="P2565">IF(表成绩单[[#This Row],[语文]]="","",SUMPRODUCT((表成绩单[考试日期]=表成绩单[[#This Row],[考试日期]])*(表成绩单[语文]&lt;9E+307)*(表成绩单[语文]&gt;表成绩单[[#This Row],[语文]]))+1)</f>
        <v>24</v>
      </c>
      <c r="Q2565" s="29" cm="1">
        <f t="array" ref="Q2565">IF(表成绩单[[#This Row],[数学]]="","",SUMPRODUCT((表成绩单[考试日期]=表成绩单[[#This Row],[考试日期]])*(表成绩单[数学]&lt;9E+307)*(表成绩单[数学]&gt;表成绩单[[#This Row],[数学]]))+1)</f>
        <v>452</v>
      </c>
      <c r="R2565" s="29" cm="1">
        <f t="array" ref="R2565">IF(表成绩单[[#This Row],[英语]]="","",SUMPRODUCT((表成绩单[考试日期]=表成绩单[[#This Row],[考试日期]])*(表成绩单[英语]&lt;9E+307)*(表成绩单[英语]&gt;表成绩单[[#This Row],[英语]]))+1)</f>
        <v>134</v>
      </c>
      <c r="S2565" s="29" cm="1">
        <f t="array" ref="S2565">IF(表成绩单[[#This Row],[物理]]="","",SUMPRODUCT((表成绩单[考试日期]=表成绩单[[#This Row],[考试日期]])*(表成绩单[物理]&lt;9E+307)*(表成绩单[物理]&gt;表成绩单[[#This Row],[物理]]))+1)</f>
        <v>223</v>
      </c>
      <c r="T2565" s="29" cm="1">
        <f t="array" ref="T2565">IF(表成绩单[[#This Row],[化学]]="","",SUMPRODUCT((表成绩单[考试日期]=表成绩单[[#This Row],[考试日期]])*(表成绩单[化学]&lt;9E+307)*(表成绩单[化学]&gt;表成绩单[[#This Row],[化学]]))+1)</f>
        <v>152</v>
      </c>
      <c r="U2565" s="29" cm="1">
        <f t="array" ref="U2565">IF(表成绩单[[#This Row],[政治]]="","",SUMPRODUCT((表成绩单[考试日期]=表成绩单[[#This Row],[考试日期]])*(表成绩单[政治]&lt;9E+307)*(表成绩单[政治]&gt;表成绩单[[#This Row],[政治]]))+1)</f>
        <v>24</v>
      </c>
      <c r="V2565" s="29" cm="1">
        <f t="array" ref="V2565">IF(表成绩单[[#This Row],[历史]]="","",SUMPRODUCT((表成绩单[考试日期]=表成绩单[[#This Row],[考试日期]])*(表成绩单[历史]&lt;9E+307)*(表成绩单[历史]&gt;表成绩单[[#This Row],[历史]]))+1)</f>
        <v>389</v>
      </c>
      <c r="W2565" s="29" cm="1">
        <f t="array" ref="W2565">IF(表成绩单[[#This Row],[总分]]="","",SUMPRODUCT((表成绩单[考试日期]=表成绩单[[#This Row],[考试日期]])*(表成绩单[总分]&lt;9E+307)*(表成绩单[总分]&gt;表成绩单[[#This Row],[总分]]))+1)</f>
        <v>158</v>
      </c>
    </row>
    <row r="2566" ht="28" customHeight="1" spans="4:23">
      <c r="D2566" s="31">
        <v>46108</v>
      </c>
      <c r="E2566" s="29">
        <v>19167648</v>
      </c>
      <c r="F2566" s="29" t="s">
        <v>1</v>
      </c>
      <c r="G2566" s="29" t="s">
        <v>205</v>
      </c>
      <c r="H2566" s="29">
        <v>105</v>
      </c>
      <c r="I2566" s="29">
        <v>98</v>
      </c>
      <c r="J2566" s="29">
        <v>85.5</v>
      </c>
      <c r="K2566" s="29">
        <v>74</v>
      </c>
      <c r="L2566" s="29">
        <v>78</v>
      </c>
      <c r="M2566" s="29">
        <v>74</v>
      </c>
      <c r="N2566" s="29">
        <v>77</v>
      </c>
      <c r="O2566" s="32">
        <v>591.5</v>
      </c>
      <c r="P2566" s="29" cm="1">
        <f t="array" ref="P2566">IF(表成绩单[[#This Row],[语文]]="","",SUMPRODUCT((表成绩单[考试日期]=表成绩单[[#This Row],[考试日期]])*(表成绩单[语文]&lt;9E+307)*(表成绩单[语文]&gt;表成绩单[[#This Row],[语文]]))+1)</f>
        <v>101</v>
      </c>
      <c r="Q2566" s="29" cm="1">
        <f t="array" ref="Q2566">IF(表成绩单[[#This Row],[数学]]="","",SUMPRODUCT((表成绩单[考试日期]=表成绩单[[#This Row],[考试日期]])*(表成绩单[数学]&lt;9E+307)*(表成绩单[数学]&gt;表成绩单[[#This Row],[数学]]))+1)</f>
        <v>158</v>
      </c>
      <c r="R2566" s="29" cm="1">
        <f t="array" ref="R2566">IF(表成绩单[[#This Row],[英语]]="","",SUMPRODUCT((表成绩单[考试日期]=表成绩单[[#This Row],[考试日期]])*(表成绩单[英语]&lt;9E+307)*(表成绩单[英语]&gt;表成绩单[[#This Row],[英语]]))+1)</f>
        <v>43</v>
      </c>
      <c r="S2566" s="29" cm="1">
        <f t="array" ref="S2566">IF(表成绩单[[#This Row],[物理]]="","",SUMPRODUCT((表成绩单[考试日期]=表成绩单[[#This Row],[考试日期]])*(表成绩单[物理]&lt;9E+307)*(表成绩单[物理]&gt;表成绩单[[#This Row],[物理]]))+1)</f>
        <v>472</v>
      </c>
      <c r="T2566" s="29" cm="1">
        <f t="array" ref="T2566">IF(表成绩单[[#This Row],[化学]]="","",SUMPRODUCT((表成绩单[考试日期]=表成绩单[[#This Row],[考试日期]])*(表成绩单[化学]&lt;9E+307)*(表成绩单[化学]&gt;表成绩单[[#This Row],[化学]]))+1)</f>
        <v>47</v>
      </c>
      <c r="U2566" s="29" cm="1">
        <f t="array" ref="U2566">IF(表成绩单[[#This Row],[政治]]="","",SUMPRODUCT((表成绩单[考试日期]=表成绩单[[#This Row],[考试日期]])*(表成绩单[政治]&lt;9E+307)*(表成绩单[政治]&gt;表成绩单[[#This Row],[政治]]))+1)</f>
        <v>389</v>
      </c>
      <c r="V2566" s="29" cm="1">
        <f t="array" ref="V2566">IF(表成绩单[[#This Row],[历史]]="","",SUMPRODUCT((表成绩单[考试日期]=表成绩单[[#This Row],[考试日期]])*(表成绩单[历史]&lt;9E+307)*(表成绩单[历史]&gt;表成绩单[[#This Row],[历史]]))+1)</f>
        <v>269</v>
      </c>
      <c r="W2566" s="29" cm="1">
        <f t="array" ref="W2566">IF(表成绩单[[#This Row],[总分]]="","",SUMPRODUCT((表成绩单[考试日期]=表成绩单[[#This Row],[考试日期]])*(表成绩单[总分]&lt;9E+307)*(表成绩单[总分]&gt;表成绩单[[#This Row],[总分]]))+1)</f>
        <v>159</v>
      </c>
    </row>
    <row r="2567" ht="28" customHeight="1" spans="4:23">
      <c r="D2567" s="31">
        <v>46108</v>
      </c>
      <c r="E2567" s="29">
        <v>19176873</v>
      </c>
      <c r="F2567" s="29" t="s">
        <v>71</v>
      </c>
      <c r="G2567" s="29" t="s">
        <v>257</v>
      </c>
      <c r="H2567" s="29">
        <v>104</v>
      </c>
      <c r="I2567" s="29">
        <v>100</v>
      </c>
      <c r="J2567" s="29">
        <v>80.5</v>
      </c>
      <c r="K2567" s="29">
        <v>89</v>
      </c>
      <c r="L2567" s="29">
        <v>64</v>
      </c>
      <c r="M2567" s="29">
        <v>76</v>
      </c>
      <c r="N2567" s="29">
        <v>78</v>
      </c>
      <c r="O2567" s="32">
        <v>591.5</v>
      </c>
      <c r="P2567" s="29" cm="1">
        <f t="array" ref="P2567">IF(表成绩单[[#This Row],[语文]]="","",SUMPRODUCT((表成绩单[考试日期]=表成绩单[[#This Row],[考试日期]])*(表成绩单[语文]&lt;9E+307)*(表成绩单[语文]&gt;表成绩单[[#This Row],[语文]]))+1)</f>
        <v>131</v>
      </c>
      <c r="Q2567" s="29" cm="1">
        <f t="array" ref="Q2567">IF(表成绩单[[#This Row],[数学]]="","",SUMPRODUCT((表成绩单[考试日期]=表成绩单[[#This Row],[考试日期]])*(表成绩单[数学]&lt;9E+307)*(表成绩单[数学]&gt;表成绩单[[#This Row],[数学]]))+1)</f>
        <v>121</v>
      </c>
      <c r="R2567" s="29" cm="1">
        <f t="array" ref="R2567">IF(表成绩单[[#This Row],[英语]]="","",SUMPRODUCT((表成绩单[考试日期]=表成绩单[[#This Row],[考试日期]])*(表成绩单[英语]&lt;9E+307)*(表成绩单[英语]&gt;表成绩单[[#This Row],[英语]]))+1)</f>
        <v>244</v>
      </c>
      <c r="S2567" s="29" cm="1">
        <f t="array" ref="S2567">IF(表成绩单[[#This Row],[物理]]="","",SUMPRODUCT((表成绩单[考试日期]=表成绩单[[#This Row],[考试日期]])*(表成绩单[物理]&lt;9E+307)*(表成绩单[物理]&gt;表成绩单[[#This Row],[物理]]))+1)</f>
        <v>15</v>
      </c>
      <c r="T2567" s="29" cm="1">
        <f t="array" ref="T2567">IF(表成绩单[[#This Row],[化学]]="","",SUMPRODUCT((表成绩单[考试日期]=表成绩单[[#This Row],[考试日期]])*(表成绩单[化学]&lt;9E+307)*(表成绩单[化学]&gt;表成绩单[[#This Row],[化学]]))+1)</f>
        <v>400</v>
      </c>
      <c r="U2567" s="29" cm="1">
        <f t="array" ref="U2567">IF(表成绩单[[#This Row],[政治]]="","",SUMPRODUCT((表成绩单[考试日期]=表成绩单[[#This Row],[考试日期]])*(表成绩单[政治]&lt;9E+307)*(表成绩单[政治]&gt;表成绩单[[#This Row],[政治]]))+1)</f>
        <v>291</v>
      </c>
      <c r="V2567" s="29" cm="1">
        <f t="array" ref="V2567">IF(表成绩单[[#This Row],[历史]]="","",SUMPRODUCT((表成绩单[考试日期]=表成绩单[[#This Row],[考试日期]])*(表成绩单[历史]&lt;9E+307)*(表成绩单[历史]&gt;表成绩单[[#This Row],[历史]]))+1)</f>
        <v>222</v>
      </c>
      <c r="W2567" s="29" cm="1">
        <f t="array" ref="W2567">IF(表成绩单[[#This Row],[总分]]="","",SUMPRODUCT((表成绩单[考试日期]=表成绩单[[#This Row],[考试日期]])*(表成绩单[总分]&lt;9E+307)*(表成绩单[总分]&gt;表成绩单[[#This Row],[总分]]))+1)</f>
        <v>159</v>
      </c>
    </row>
    <row r="2568" ht="28" customHeight="1" spans="4:23">
      <c r="D2568" s="31">
        <v>46108</v>
      </c>
      <c r="E2568" s="29">
        <v>19173268</v>
      </c>
      <c r="F2568" s="29" t="s">
        <v>61</v>
      </c>
      <c r="G2568" s="29" t="s">
        <v>190</v>
      </c>
      <c r="H2568" s="29">
        <v>93</v>
      </c>
      <c r="I2568" s="29">
        <v>98</v>
      </c>
      <c r="J2568" s="29">
        <v>80</v>
      </c>
      <c r="K2568" s="29">
        <v>83</v>
      </c>
      <c r="L2568" s="29">
        <v>79</v>
      </c>
      <c r="M2568" s="29">
        <v>79</v>
      </c>
      <c r="N2568" s="29">
        <v>79</v>
      </c>
      <c r="O2568" s="32">
        <v>591</v>
      </c>
      <c r="P2568" s="29" cm="1">
        <f t="array" ref="P2568">IF(表成绩单[[#This Row],[语文]]="","",SUMPRODUCT((表成绩单[考试日期]=表成绩单[[#This Row],[考试日期]])*(表成绩单[语文]&lt;9E+307)*(表成绩单[语文]&gt;表成绩单[[#This Row],[语文]]))+1)</f>
        <v>470</v>
      </c>
      <c r="Q2568" s="29" cm="1">
        <f t="array" ref="Q2568">IF(表成绩单[[#This Row],[数学]]="","",SUMPRODUCT((表成绩单[考试日期]=表成绩单[[#This Row],[考试日期]])*(表成绩单[数学]&lt;9E+307)*(表成绩单[数学]&gt;表成绩单[[#This Row],[数学]]))+1)</f>
        <v>158</v>
      </c>
      <c r="R2568" s="29" cm="1">
        <f t="array" ref="R2568">IF(表成绩单[[#This Row],[英语]]="","",SUMPRODUCT((表成绩单[考试日期]=表成绩单[[#This Row],[考试日期]])*(表成绩单[英语]&lt;9E+307)*(表成绩单[英语]&gt;表成绩单[[#This Row],[英语]]))+1)</f>
        <v>266</v>
      </c>
      <c r="S2568" s="29" cm="1">
        <f t="array" ref="S2568">IF(表成绩单[[#This Row],[物理]]="","",SUMPRODUCT((表成绩单[考试日期]=表成绩单[[#This Row],[考试日期]])*(表成绩单[物理]&lt;9E+307)*(表成绩单[物理]&gt;表成绩单[[#This Row],[物理]]))+1)</f>
        <v>184</v>
      </c>
      <c r="T2568" s="29" cm="1">
        <f t="array" ref="T2568">IF(表成绩单[[#This Row],[化学]]="","",SUMPRODUCT((表成绩单[考试日期]=表成绩单[[#This Row],[考试日期]])*(表成绩单[化学]&lt;9E+307)*(表成绩单[化学]&gt;表成绩单[[#This Row],[化学]]))+1)</f>
        <v>35</v>
      </c>
      <c r="U2568" s="29" cm="1">
        <f t="array" ref="U2568">IF(表成绩单[[#This Row],[政治]]="","",SUMPRODUCT((表成绩单[考试日期]=表成绩单[[#This Row],[考试日期]])*(表成绩单[政治]&lt;9E+307)*(表成绩单[政治]&gt;表成绩单[[#This Row],[政治]]))+1)</f>
        <v>134</v>
      </c>
      <c r="V2568" s="29" cm="1">
        <f t="array" ref="V2568">IF(表成绩单[[#This Row],[历史]]="","",SUMPRODUCT((表成绩单[考试日期]=表成绩单[[#This Row],[考试日期]])*(表成绩单[历史]&lt;9E+307)*(表成绩单[历史]&gt;表成绩单[[#This Row],[历史]]))+1)</f>
        <v>173</v>
      </c>
      <c r="W2568" s="29" cm="1">
        <f t="array" ref="W2568">IF(表成绩单[[#This Row],[总分]]="","",SUMPRODUCT((表成绩单[考试日期]=表成绩单[[#This Row],[考试日期]])*(表成绩单[总分]&lt;9E+307)*(表成绩单[总分]&gt;表成绩单[[#This Row],[总分]]))+1)</f>
        <v>161</v>
      </c>
    </row>
    <row r="2569" ht="28" customHeight="1" spans="4:23">
      <c r="D2569" s="31">
        <v>46108</v>
      </c>
      <c r="E2569" s="29">
        <v>19175711</v>
      </c>
      <c r="F2569" s="29" t="s">
        <v>72</v>
      </c>
      <c r="G2569" s="29" t="s">
        <v>309</v>
      </c>
      <c r="H2569" s="29">
        <v>114</v>
      </c>
      <c r="I2569" s="29">
        <v>100</v>
      </c>
      <c r="J2569" s="29">
        <v>75</v>
      </c>
      <c r="K2569" s="29">
        <v>79</v>
      </c>
      <c r="L2569" s="29">
        <v>67</v>
      </c>
      <c r="M2569" s="29">
        <v>83</v>
      </c>
      <c r="N2569" s="29">
        <v>73</v>
      </c>
      <c r="O2569" s="32">
        <v>591</v>
      </c>
      <c r="P2569" s="29" cm="1">
        <f t="array" ref="P2569">IF(表成绩单[[#This Row],[语文]]="","",SUMPRODUCT((表成绩单[考试日期]=表成绩单[[#This Row],[考试日期]])*(表成绩单[语文]&lt;9E+307)*(表成绩单[语文]&gt;表成绩单[[#This Row],[语文]]))+1)</f>
        <v>4</v>
      </c>
      <c r="Q2569" s="29" cm="1">
        <f t="array" ref="Q2569">IF(表成绩单[[#This Row],[数学]]="","",SUMPRODUCT((表成绩单[考试日期]=表成绩单[[#This Row],[考试日期]])*(表成绩单[数学]&lt;9E+307)*(表成绩单[数学]&gt;表成绩单[[#This Row],[数学]]))+1)</f>
        <v>121</v>
      </c>
      <c r="R2569" s="29" cm="1">
        <f t="array" ref="R2569">IF(表成绩单[[#This Row],[英语]]="","",SUMPRODUCT((表成绩单[考试日期]=表成绩单[[#This Row],[考试日期]])*(表成绩单[英语]&lt;9E+307)*(表成绩单[英语]&gt;表成绩单[[#This Row],[英语]]))+1)</f>
        <v>444</v>
      </c>
      <c r="S2569" s="29" cm="1">
        <f t="array" ref="S2569">IF(表成绩单[[#This Row],[物理]]="","",SUMPRODUCT((表成绩单[考试日期]=表成绩单[[#This Row],[考试日期]])*(表成绩单[物理]&lt;9E+307)*(表成绩单[物理]&gt;表成绩单[[#This Row],[物理]]))+1)</f>
        <v>344</v>
      </c>
      <c r="T2569" s="29" cm="1">
        <f t="array" ref="T2569">IF(表成绩单[[#This Row],[化学]]="","",SUMPRODUCT((表成绩单[考试日期]=表成绩单[[#This Row],[考试日期]])*(表成绩单[化学]&lt;9E+307)*(表成绩单[化学]&gt;表成绩单[[#This Row],[化学]]))+1)</f>
        <v>335</v>
      </c>
      <c r="U2569" s="29" cm="1">
        <f t="array" ref="U2569">IF(表成绩单[[#This Row],[政治]]="","",SUMPRODUCT((表成绩单[考试日期]=表成绩单[[#This Row],[考试日期]])*(表成绩单[政治]&lt;9E+307)*(表成绩单[政治]&gt;表成绩单[[#This Row],[政治]]))+1)</f>
        <v>24</v>
      </c>
      <c r="V2569" s="29" cm="1">
        <f t="array" ref="V2569">IF(表成绩单[[#This Row],[历史]]="","",SUMPRODUCT((表成绩单[考试日期]=表成绩单[[#This Row],[考试日期]])*(表成绩单[历史]&lt;9E+307)*(表成绩单[历史]&gt;表成绩单[[#This Row],[历史]]))+1)</f>
        <v>432</v>
      </c>
      <c r="W2569" s="29" cm="1">
        <f t="array" ref="W2569">IF(表成绩单[[#This Row],[总分]]="","",SUMPRODUCT((表成绩单[考试日期]=表成绩单[[#This Row],[考试日期]])*(表成绩单[总分]&lt;9E+307)*(表成绩单[总分]&gt;表成绩单[[#This Row],[总分]]))+1)</f>
        <v>161</v>
      </c>
    </row>
    <row r="2570" ht="28" customHeight="1" spans="4:23">
      <c r="D2570" s="31">
        <v>46108</v>
      </c>
      <c r="E2570" s="29">
        <v>19176876</v>
      </c>
      <c r="F2570" s="29" t="s">
        <v>71</v>
      </c>
      <c r="G2570" s="29" t="s">
        <v>243</v>
      </c>
      <c r="H2570" s="29">
        <v>108</v>
      </c>
      <c r="I2570" s="29">
        <v>89</v>
      </c>
      <c r="J2570" s="29">
        <v>77</v>
      </c>
      <c r="K2570" s="29">
        <v>89</v>
      </c>
      <c r="L2570" s="29">
        <v>76</v>
      </c>
      <c r="M2570" s="29">
        <v>80</v>
      </c>
      <c r="N2570" s="29">
        <v>72</v>
      </c>
      <c r="O2570" s="32">
        <v>591</v>
      </c>
      <c r="P2570" s="29" cm="1">
        <f t="array" ref="P2570">IF(表成绩单[[#This Row],[语文]]="","",SUMPRODUCT((表成绩单[考试日期]=表成绩单[[#This Row],[考试日期]])*(表成绩单[语文]&lt;9E+307)*(表成绩单[语文]&gt;表成绩单[[#This Row],[语文]]))+1)</f>
        <v>55</v>
      </c>
      <c r="Q2570" s="29" cm="1">
        <f t="array" ref="Q2570">IF(表成绩单[[#This Row],[数学]]="","",SUMPRODUCT((表成绩单[考试日期]=表成绩单[[#This Row],[考试日期]])*(表成绩单[数学]&lt;9E+307)*(表成绩单[数学]&gt;表成绩单[[#This Row],[数学]]))+1)</f>
        <v>402</v>
      </c>
      <c r="R2570" s="29" cm="1">
        <f t="array" ref="R2570">IF(表成绩单[[#This Row],[英语]]="","",SUMPRODUCT((表成绩单[考试日期]=表成绩单[[#This Row],[考试日期]])*(表成绩单[英语]&lt;9E+307)*(表成绩单[英语]&gt;表成绩单[[#This Row],[英语]]))+1)</f>
        <v>370</v>
      </c>
      <c r="S2570" s="29" cm="1">
        <f t="array" ref="S2570">IF(表成绩单[[#This Row],[物理]]="","",SUMPRODUCT((表成绩单[考试日期]=表成绩单[[#This Row],[考试日期]])*(表成绩单[物理]&lt;9E+307)*(表成绩单[物理]&gt;表成绩单[[#This Row],[物理]]))+1)</f>
        <v>15</v>
      </c>
      <c r="T2570" s="29" cm="1">
        <f t="array" ref="T2570">IF(表成绩单[[#This Row],[化学]]="","",SUMPRODUCT((表成绩单[考试日期]=表成绩单[[#This Row],[考试日期]])*(表成绩单[化学]&lt;9E+307)*(表成绩单[化学]&gt;表成绩单[[#This Row],[化学]]))+1)</f>
        <v>71</v>
      </c>
      <c r="U2570" s="29" cm="1">
        <f t="array" ref="U2570">IF(表成绩单[[#This Row],[政治]]="","",SUMPRODUCT((表成绩单[考试日期]=表成绩单[[#This Row],[考试日期]])*(表成绩单[政治]&lt;9E+307)*(表成绩单[政治]&gt;表成绩单[[#This Row],[政治]]))+1)</f>
        <v>98</v>
      </c>
      <c r="V2570" s="29" cm="1">
        <f t="array" ref="V2570">IF(表成绩单[[#This Row],[历史]]="","",SUMPRODUCT((表成绩单[考试日期]=表成绩单[[#This Row],[考试日期]])*(表成绩单[历史]&lt;9E+307)*(表成绩单[历史]&gt;表成绩单[[#This Row],[历史]]))+1)</f>
        <v>470</v>
      </c>
      <c r="W2570" s="29" cm="1">
        <f t="array" ref="W2570">IF(表成绩单[[#This Row],[总分]]="","",SUMPRODUCT((表成绩单[考试日期]=表成绩单[[#This Row],[考试日期]])*(表成绩单[总分]&lt;9E+307)*(表成绩单[总分]&gt;表成绩单[[#This Row],[总分]]))+1)</f>
        <v>161</v>
      </c>
    </row>
    <row r="2571" ht="28" customHeight="1" spans="4:23">
      <c r="D2571" s="31">
        <v>46108</v>
      </c>
      <c r="E2571" s="29">
        <v>19177235</v>
      </c>
      <c r="F2571" s="29" t="s">
        <v>70</v>
      </c>
      <c r="G2571" s="29" t="s">
        <v>137</v>
      </c>
      <c r="H2571" s="29">
        <v>103</v>
      </c>
      <c r="I2571" s="29">
        <v>93</v>
      </c>
      <c r="J2571" s="29">
        <v>83</v>
      </c>
      <c r="K2571" s="29">
        <v>82</v>
      </c>
      <c r="L2571" s="29">
        <v>71</v>
      </c>
      <c r="M2571" s="29">
        <v>78</v>
      </c>
      <c r="N2571" s="29">
        <v>81</v>
      </c>
      <c r="O2571" s="32">
        <v>591</v>
      </c>
      <c r="P2571" s="29" cm="1">
        <f t="array" ref="P2571">IF(表成绩单[[#This Row],[语文]]="","",SUMPRODUCT((表成绩单[考试日期]=表成绩单[[#This Row],[考试日期]])*(表成绩单[语文]&lt;9E+307)*(表成绩单[语文]&gt;表成绩单[[#This Row],[语文]]))+1)</f>
        <v>155</v>
      </c>
      <c r="Q2571" s="29" cm="1">
        <f t="array" ref="Q2571">IF(表成绩单[[#This Row],[数学]]="","",SUMPRODUCT((表成绩单[考试日期]=表成绩单[[#This Row],[考试日期]])*(表成绩单[数学]&lt;9E+307)*(表成绩单[数学]&gt;表成绩单[[#This Row],[数学]]))+1)</f>
        <v>289</v>
      </c>
      <c r="R2571" s="29" cm="1">
        <f t="array" ref="R2571">IF(表成绩单[[#This Row],[英语]]="","",SUMPRODUCT((表成绩单[考试日期]=表成绩单[[#This Row],[考试日期]])*(表成绩单[英语]&lt;9E+307)*(表成绩单[英语]&gt;表成绩单[[#This Row],[英语]]))+1)</f>
        <v>134</v>
      </c>
      <c r="S2571" s="29" cm="1">
        <f t="array" ref="S2571">IF(表成绩单[[#This Row],[物理]]="","",SUMPRODUCT((表成绩单[考试日期]=表成绩单[[#This Row],[考试日期]])*(表成绩单[物理]&lt;9E+307)*(表成绩单[物理]&gt;表成绩单[[#This Row],[物理]]))+1)</f>
        <v>223</v>
      </c>
      <c r="T2571" s="29" cm="1">
        <f t="array" ref="T2571">IF(表成绩单[[#This Row],[化学]]="","",SUMPRODUCT((表成绩单[考试日期]=表成绩单[[#This Row],[考试日期]])*(表成绩单[化学]&lt;9E+307)*(表成绩单[化学]&gt;表成绩单[[#This Row],[化学]]))+1)</f>
        <v>217</v>
      </c>
      <c r="U2571" s="29" cm="1">
        <f t="array" ref="U2571">IF(表成绩单[[#This Row],[政治]]="","",SUMPRODUCT((表成绩单[考试日期]=表成绩单[[#This Row],[考试日期]])*(表成绩单[政治]&lt;9E+307)*(表成绩单[政治]&gt;表成绩单[[#This Row],[政治]]))+1)</f>
        <v>171</v>
      </c>
      <c r="V2571" s="29" cm="1">
        <f t="array" ref="V2571">IF(表成绩单[[#This Row],[历史]]="","",SUMPRODUCT((表成绩单[考试日期]=表成绩单[[#This Row],[考试日期]])*(表成绩单[历史]&lt;9E+307)*(表成绩单[历史]&gt;表成绩单[[#This Row],[历史]]))+1)</f>
        <v>106</v>
      </c>
      <c r="W2571" s="29" cm="1">
        <f t="array" ref="W2571">IF(表成绩单[[#This Row],[总分]]="","",SUMPRODUCT((表成绩单[考试日期]=表成绩单[[#This Row],[考试日期]])*(表成绩单[总分]&lt;9E+307)*(表成绩单[总分]&gt;表成绩单[[#This Row],[总分]]))+1)</f>
        <v>161</v>
      </c>
    </row>
    <row r="2572" ht="28" customHeight="1" spans="4:23">
      <c r="D2572" s="31">
        <v>46108</v>
      </c>
      <c r="E2572" s="29">
        <v>19178594</v>
      </c>
      <c r="F2572" s="29" t="s">
        <v>64</v>
      </c>
      <c r="G2572" s="29" t="s">
        <v>429</v>
      </c>
      <c r="H2572" s="29">
        <v>101</v>
      </c>
      <c r="I2572" s="29">
        <v>90</v>
      </c>
      <c r="J2572" s="29">
        <v>78.5</v>
      </c>
      <c r="K2572" s="29">
        <v>90</v>
      </c>
      <c r="L2572" s="29">
        <v>78</v>
      </c>
      <c r="M2572" s="29">
        <v>75</v>
      </c>
      <c r="N2572" s="29">
        <v>78</v>
      </c>
      <c r="O2572" s="32">
        <v>590.5</v>
      </c>
      <c r="P2572" s="29" cm="1">
        <f t="array" ref="P2572">IF(表成绩单[[#This Row],[语文]]="","",SUMPRODUCT((表成绩单[考试日期]=表成绩单[[#This Row],[考试日期]])*(表成绩单[语文]&lt;9E+307)*(表成绩单[语文]&gt;表成绩单[[#This Row],[语文]]))+1)</f>
        <v>211</v>
      </c>
      <c r="Q2572" s="29" cm="1">
        <f t="array" ref="Q2572">IF(表成绩单[[#This Row],[数学]]="","",SUMPRODUCT((表成绩单[考试日期]=表成绩单[[#This Row],[考试日期]])*(表成绩单[数学]&lt;9E+307)*(表成绩单[数学]&gt;表成绩单[[#This Row],[数学]]))+1)</f>
        <v>368</v>
      </c>
      <c r="R2572" s="29" cm="1">
        <f t="array" ref="R2572">IF(表成绩单[[#This Row],[英语]]="","",SUMPRODUCT((表成绩单[考试日期]=表成绩单[[#This Row],[考试日期]])*(表成绩单[英语]&lt;9E+307)*(表成绩单[英语]&gt;表成绩单[[#This Row],[英语]]))+1)</f>
        <v>322</v>
      </c>
      <c r="S2572" s="29" cm="1">
        <f t="array" ref="S2572">IF(表成绩单[[#This Row],[物理]]="","",SUMPRODUCT((表成绩单[考试日期]=表成绩单[[#This Row],[考试日期]])*(表成绩单[物理]&lt;9E+307)*(表成绩单[物理]&gt;表成绩单[[#This Row],[物理]]))+1)</f>
        <v>1</v>
      </c>
      <c r="T2572" s="29" cm="1">
        <f t="array" ref="T2572">IF(表成绩单[[#This Row],[化学]]="","",SUMPRODUCT((表成绩单[考试日期]=表成绩单[[#This Row],[考试日期]])*(表成绩单[化学]&lt;9E+307)*(表成绩单[化学]&gt;表成绩单[[#This Row],[化学]]))+1)</f>
        <v>47</v>
      </c>
      <c r="U2572" s="29" cm="1">
        <f t="array" ref="U2572">IF(表成绩单[[#This Row],[政治]]="","",SUMPRODUCT((表成绩单[考试日期]=表成绩单[[#This Row],[考试日期]])*(表成绩单[政治]&lt;9E+307)*(表成绩单[政治]&gt;表成绩单[[#This Row],[政治]]))+1)</f>
        <v>346</v>
      </c>
      <c r="V2572" s="29" cm="1">
        <f t="array" ref="V2572">IF(表成绩单[[#This Row],[历史]]="","",SUMPRODUCT((表成绩单[考试日期]=表成绩单[[#This Row],[考试日期]])*(表成绩单[历史]&lt;9E+307)*(表成绩单[历史]&gt;表成绩单[[#This Row],[历史]]))+1)</f>
        <v>222</v>
      </c>
      <c r="W2572" s="29" cm="1">
        <f t="array" ref="W2572">IF(表成绩单[[#This Row],[总分]]="","",SUMPRODUCT((表成绩单[考试日期]=表成绩单[[#This Row],[考试日期]])*(表成绩单[总分]&lt;9E+307)*(表成绩单[总分]&gt;表成绩单[[#This Row],[总分]]))+1)</f>
        <v>165</v>
      </c>
    </row>
    <row r="2573" ht="28" customHeight="1" spans="4:23">
      <c r="D2573" s="31">
        <v>46108</v>
      </c>
      <c r="E2573" s="29">
        <v>26750491</v>
      </c>
      <c r="F2573" s="29" t="s">
        <v>66</v>
      </c>
      <c r="G2573" s="29" t="s">
        <v>482</v>
      </c>
      <c r="H2573" s="29">
        <v>102</v>
      </c>
      <c r="I2573" s="29">
        <v>96</v>
      </c>
      <c r="J2573" s="29">
        <v>78.5</v>
      </c>
      <c r="K2573" s="29">
        <v>82</v>
      </c>
      <c r="L2573" s="29">
        <v>75</v>
      </c>
      <c r="M2573" s="29">
        <v>77</v>
      </c>
      <c r="N2573" s="29">
        <v>80</v>
      </c>
      <c r="O2573" s="32">
        <v>590.5</v>
      </c>
      <c r="P2573" s="29" cm="1">
        <f t="array" ref="P2573">IF(表成绩单[[#This Row],[语文]]="","",SUMPRODUCT((表成绩单[考试日期]=表成绩单[[#This Row],[考试日期]])*(表成绩单[语文]&lt;9E+307)*(表成绩单[语文]&gt;表成绩单[[#This Row],[语文]]))+1)</f>
        <v>183</v>
      </c>
      <c r="Q2573" s="29" cm="1">
        <f t="array" ref="Q2573">IF(表成绩单[[#This Row],[数学]]="","",SUMPRODUCT((表成绩单[考试日期]=表成绩单[[#This Row],[考试日期]])*(表成绩单[数学]&lt;9E+307)*(表成绩单[数学]&gt;表成绩单[[#This Row],[数学]]))+1)</f>
        <v>202</v>
      </c>
      <c r="R2573" s="29" cm="1">
        <f t="array" ref="R2573">IF(表成绩单[[#This Row],[英语]]="","",SUMPRODUCT((表成绩单[考试日期]=表成绩单[[#This Row],[考试日期]])*(表成绩单[英语]&lt;9E+307)*(表成绩单[英语]&gt;表成绩单[[#This Row],[英语]]))+1)</f>
        <v>322</v>
      </c>
      <c r="S2573" s="29" cm="1">
        <f t="array" ref="S2573">IF(表成绩单[[#This Row],[物理]]="","",SUMPRODUCT((表成绩单[考试日期]=表成绩单[[#This Row],[考试日期]])*(表成绩单[物理]&lt;9E+307)*(表成绩单[物理]&gt;表成绩单[[#This Row],[物理]]))+1)</f>
        <v>223</v>
      </c>
      <c r="T2573" s="29" cm="1">
        <f t="array" ref="T2573">IF(表成绩单[[#This Row],[化学]]="","",SUMPRODUCT((表成绩单[考试日期]=表成绩单[[#This Row],[考试日期]])*(表成绩单[化学]&lt;9E+307)*(表成绩单[化学]&gt;表成绩单[[#This Row],[化学]]))+1)</f>
        <v>96</v>
      </c>
      <c r="U2573" s="29" cm="1">
        <f t="array" ref="U2573">IF(表成绩单[[#This Row],[政治]]="","",SUMPRODUCT((表成绩单[考试日期]=表成绩单[[#This Row],[考试日期]])*(表成绩单[政治]&lt;9E+307)*(表成绩单[政治]&gt;表成绩单[[#This Row],[政治]]))+1)</f>
        <v>230</v>
      </c>
      <c r="V2573" s="29" cm="1">
        <f t="array" ref="V2573">IF(表成绩单[[#This Row],[历史]]="","",SUMPRODUCT((表成绩单[考试日期]=表成绩单[[#This Row],[考试日期]])*(表成绩单[历史]&lt;9E+307)*(表成绩单[历史]&gt;表成绩单[[#This Row],[历史]]))+1)</f>
        <v>143</v>
      </c>
      <c r="W2573" s="29" cm="1">
        <f t="array" ref="W2573">IF(表成绩单[[#This Row],[总分]]="","",SUMPRODUCT((表成绩单[考试日期]=表成绩单[[#This Row],[考试日期]])*(表成绩单[总分]&lt;9E+307)*(表成绩单[总分]&gt;表成绩单[[#This Row],[总分]]))+1)</f>
        <v>165</v>
      </c>
    </row>
    <row r="2574" ht="28" customHeight="1" spans="4:23">
      <c r="D2574" s="31">
        <v>46108</v>
      </c>
      <c r="E2574" s="29">
        <v>19173249</v>
      </c>
      <c r="F2574" s="29" t="s">
        <v>61</v>
      </c>
      <c r="G2574" s="29" t="s">
        <v>218</v>
      </c>
      <c r="H2574" s="29">
        <v>99</v>
      </c>
      <c r="I2574" s="29">
        <v>98</v>
      </c>
      <c r="J2574" s="29">
        <v>82</v>
      </c>
      <c r="K2574" s="29">
        <v>86</v>
      </c>
      <c r="L2574" s="29">
        <v>76</v>
      </c>
      <c r="M2574" s="29">
        <v>75</v>
      </c>
      <c r="N2574" s="29">
        <v>74</v>
      </c>
      <c r="O2574" s="32">
        <v>590</v>
      </c>
      <c r="P2574" s="29" cm="1">
        <f t="array" ref="P2574">IF(表成绩单[[#This Row],[语文]]="","",SUMPRODUCT((表成绩单[考试日期]=表成绩单[[#This Row],[考试日期]])*(表成绩单[语文]&lt;9E+307)*(表成绩单[语文]&gt;表成绩单[[#This Row],[语文]]))+1)</f>
        <v>279</v>
      </c>
      <c r="Q2574" s="29" cm="1">
        <f t="array" ref="Q2574">IF(表成绩单[[#This Row],[数学]]="","",SUMPRODUCT((表成绩单[考试日期]=表成绩单[[#This Row],[考试日期]])*(表成绩单[数学]&lt;9E+307)*(表成绩单[数学]&gt;表成绩单[[#This Row],[数学]]))+1)</f>
        <v>158</v>
      </c>
      <c r="R2574" s="29" cm="1">
        <f t="array" ref="R2574">IF(表成绩单[[#This Row],[英语]]="","",SUMPRODUCT((表成绩单[考试日期]=表成绩单[[#This Row],[考试日期]])*(表成绩单[英语]&lt;9E+307)*(表成绩单[英语]&gt;表成绩单[[#This Row],[英语]]))+1)</f>
        <v>180</v>
      </c>
      <c r="S2574" s="29" cm="1">
        <f t="array" ref="S2574">IF(表成绩单[[#This Row],[物理]]="","",SUMPRODUCT((表成绩单[考试日期]=表成绩单[[#This Row],[考试日期]])*(表成绩单[物理]&lt;9E+307)*(表成绩单[物理]&gt;表成绩单[[#This Row],[物理]]))+1)</f>
        <v>61</v>
      </c>
      <c r="T2574" s="29" cm="1">
        <f t="array" ref="T2574">IF(表成绩单[[#This Row],[化学]]="","",SUMPRODUCT((表成绩单[考试日期]=表成绩单[[#This Row],[考试日期]])*(表成绩单[化学]&lt;9E+307)*(表成绩单[化学]&gt;表成绩单[[#This Row],[化学]]))+1)</f>
        <v>71</v>
      </c>
      <c r="U2574" s="29" cm="1">
        <f t="array" ref="U2574">IF(表成绩单[[#This Row],[政治]]="","",SUMPRODUCT((表成绩单[考试日期]=表成绩单[[#This Row],[考试日期]])*(表成绩单[政治]&lt;9E+307)*(表成绩单[政治]&gt;表成绩单[[#This Row],[政治]]))+1)</f>
        <v>346</v>
      </c>
      <c r="V2574" s="29" cm="1">
        <f t="array" ref="V2574">IF(表成绩单[[#This Row],[历史]]="","",SUMPRODUCT((表成绩单[考试日期]=表成绩单[[#This Row],[考试日期]])*(表成绩单[历史]&lt;9E+307)*(表成绩单[历史]&gt;表成绩单[[#This Row],[历史]]))+1)</f>
        <v>389</v>
      </c>
      <c r="W2574" s="29" cm="1">
        <f t="array" ref="W2574">IF(表成绩单[[#This Row],[总分]]="","",SUMPRODUCT((表成绩单[考试日期]=表成绩单[[#This Row],[考试日期]])*(表成绩单[总分]&lt;9E+307)*(表成绩单[总分]&gt;表成绩单[[#This Row],[总分]]))+1)</f>
        <v>167</v>
      </c>
    </row>
    <row r="2575" ht="28" customHeight="1" spans="4:23">
      <c r="D2575" s="31">
        <v>46108</v>
      </c>
      <c r="E2575" s="29">
        <v>19173527</v>
      </c>
      <c r="F2575" s="29" t="s">
        <v>1</v>
      </c>
      <c r="G2575" s="29" t="s">
        <v>145</v>
      </c>
      <c r="H2575" s="29">
        <v>110</v>
      </c>
      <c r="I2575" s="29">
        <v>96</v>
      </c>
      <c r="J2575" s="29">
        <v>83</v>
      </c>
      <c r="K2575" s="29">
        <v>77</v>
      </c>
      <c r="L2575" s="29">
        <v>81</v>
      </c>
      <c r="M2575" s="29">
        <v>67</v>
      </c>
      <c r="N2575" s="29">
        <v>76</v>
      </c>
      <c r="O2575" s="32">
        <v>590</v>
      </c>
      <c r="P2575" s="29" cm="1">
        <f t="array" ref="P2575">IF(表成绩单[[#This Row],[语文]]="","",SUMPRODUCT((表成绩单[考试日期]=表成绩单[[#This Row],[考试日期]])*(表成绩单[语文]&lt;9E+307)*(表成绩单[语文]&gt;表成绩单[[#This Row],[语文]]))+1)</f>
        <v>24</v>
      </c>
      <c r="Q2575" s="29" cm="1">
        <f t="array" ref="Q2575">IF(表成绩单[[#This Row],[数学]]="","",SUMPRODUCT((表成绩单[考试日期]=表成绩单[[#This Row],[考试日期]])*(表成绩单[数学]&lt;9E+307)*(表成绩单[数学]&gt;表成绩单[[#This Row],[数学]]))+1)</f>
        <v>202</v>
      </c>
      <c r="R2575" s="29" cm="1">
        <f t="array" ref="R2575">IF(表成绩单[[#This Row],[英语]]="","",SUMPRODUCT((表成绩单[考试日期]=表成绩单[[#This Row],[考试日期]])*(表成绩单[英语]&lt;9E+307)*(表成绩单[英语]&gt;表成绩单[[#This Row],[英语]]))+1)</f>
        <v>134</v>
      </c>
      <c r="S2575" s="29" cm="1">
        <f t="array" ref="S2575">IF(表成绩单[[#This Row],[物理]]="","",SUMPRODUCT((表成绩单[考试日期]=表成绩单[[#This Row],[考试日期]])*(表成绩单[物理]&lt;9E+307)*(表成绩单[物理]&gt;表成绩单[[#This Row],[物理]]))+1)</f>
        <v>400</v>
      </c>
      <c r="T2575" s="29" cm="1">
        <f t="array" ref="T2575">IF(表成绩单[[#This Row],[化学]]="","",SUMPRODUCT((表成绩单[考试日期]=表成绩单[[#This Row],[考试日期]])*(表成绩单[化学]&lt;9E+307)*(表成绩单[化学]&gt;表成绩单[[#This Row],[化学]]))+1)</f>
        <v>17</v>
      </c>
      <c r="U2575" s="29" cm="1">
        <f t="array" ref="U2575">IF(表成绩单[[#This Row],[政治]]="","",SUMPRODUCT((表成绩单[考试日期]=表成绩单[[#This Row],[考试日期]])*(表成绩单[政治]&lt;9E+307)*(表成绩单[政治]&gt;表成绩单[[#This Row],[政治]]))+1)</f>
        <v>626</v>
      </c>
      <c r="V2575" s="29" cm="1">
        <f t="array" ref="V2575">IF(表成绩单[[#This Row],[历史]]="","",SUMPRODUCT((表成绩单[考试日期]=表成绩单[[#This Row],[考试日期]])*(表成绩单[历史]&lt;9E+307)*(表成绩单[历史]&gt;表成绩单[[#This Row],[历史]]))+1)</f>
        <v>316</v>
      </c>
      <c r="W2575" s="29" cm="1">
        <f t="array" ref="W2575">IF(表成绩单[[#This Row],[总分]]="","",SUMPRODUCT((表成绩单[考试日期]=表成绩单[[#This Row],[考试日期]])*(表成绩单[总分]&lt;9E+307)*(表成绩单[总分]&gt;表成绩单[[#This Row],[总分]]))+1)</f>
        <v>167</v>
      </c>
    </row>
    <row r="2576" ht="28" customHeight="1" spans="4:23">
      <c r="D2576" s="31">
        <v>46108</v>
      </c>
      <c r="E2576" s="29">
        <v>19178620</v>
      </c>
      <c r="F2576" s="29" t="s">
        <v>25</v>
      </c>
      <c r="G2576" s="29" t="s">
        <v>265</v>
      </c>
      <c r="H2576" s="29">
        <v>97</v>
      </c>
      <c r="I2576" s="29">
        <v>97</v>
      </c>
      <c r="J2576" s="29">
        <v>82</v>
      </c>
      <c r="K2576" s="29">
        <v>77</v>
      </c>
      <c r="L2576" s="29">
        <v>82</v>
      </c>
      <c r="M2576" s="29">
        <v>76</v>
      </c>
      <c r="N2576" s="29">
        <v>79</v>
      </c>
      <c r="O2576" s="32">
        <v>590</v>
      </c>
      <c r="P2576" s="29" cm="1">
        <f t="array" ref="P2576">IF(表成绩单[[#This Row],[语文]]="","",SUMPRODUCT((表成绩单[考试日期]=表成绩单[[#This Row],[考试日期]])*(表成绩单[语文]&lt;9E+307)*(表成绩单[语文]&gt;表成绩单[[#This Row],[语文]]))+1)</f>
        <v>357</v>
      </c>
      <c r="Q2576" s="29" cm="1">
        <f t="array" ref="Q2576">IF(表成绩单[[#This Row],[数学]]="","",SUMPRODUCT((表成绩单[考试日期]=表成绩单[[#This Row],[考试日期]])*(表成绩单[数学]&lt;9E+307)*(表成绩单[数学]&gt;表成绩单[[#This Row],[数学]]))+1)</f>
        <v>175</v>
      </c>
      <c r="R2576" s="29" cm="1">
        <f t="array" ref="R2576">IF(表成绩单[[#This Row],[英语]]="","",SUMPRODUCT((表成绩单[考试日期]=表成绩单[[#This Row],[考试日期]])*(表成绩单[英语]&lt;9E+307)*(表成绩单[英语]&gt;表成绩单[[#This Row],[英语]]))+1)</f>
        <v>180</v>
      </c>
      <c r="S2576" s="29" cm="1">
        <f t="array" ref="S2576">IF(表成绩单[[#This Row],[物理]]="","",SUMPRODUCT((表成绩单[考试日期]=表成绩单[[#This Row],[考试日期]])*(表成绩单[物理]&lt;9E+307)*(表成绩单[物理]&gt;表成绩单[[#This Row],[物理]]))+1)</f>
        <v>400</v>
      </c>
      <c r="T2576" s="29" cm="1">
        <f t="array" ref="T2576">IF(表成绩单[[#This Row],[化学]]="","",SUMPRODUCT((表成绩单[考试日期]=表成绩单[[#This Row],[考试日期]])*(表成绩单[化学]&lt;9E+307)*(表成绩单[化学]&gt;表成绩单[[#This Row],[化学]]))+1)</f>
        <v>11</v>
      </c>
      <c r="U2576" s="29" cm="1">
        <f t="array" ref="U2576">IF(表成绩单[[#This Row],[政治]]="","",SUMPRODUCT((表成绩单[考试日期]=表成绩单[[#This Row],[考试日期]])*(表成绩单[政治]&lt;9E+307)*(表成绩单[政治]&gt;表成绩单[[#This Row],[政治]]))+1)</f>
        <v>291</v>
      </c>
      <c r="V2576" s="29" cm="1">
        <f t="array" ref="V2576">IF(表成绩单[[#This Row],[历史]]="","",SUMPRODUCT((表成绩单[考试日期]=表成绩单[[#This Row],[考试日期]])*(表成绩单[历史]&lt;9E+307)*(表成绩单[历史]&gt;表成绩单[[#This Row],[历史]]))+1)</f>
        <v>173</v>
      </c>
      <c r="W2576" s="29" cm="1">
        <f t="array" ref="W2576">IF(表成绩单[[#This Row],[总分]]="","",SUMPRODUCT((表成绩单[考试日期]=表成绩单[[#This Row],[考试日期]])*(表成绩单[总分]&lt;9E+307)*(表成绩单[总分]&gt;表成绩单[[#This Row],[总分]]))+1)</f>
        <v>167</v>
      </c>
    </row>
    <row r="2577" ht="28" customHeight="1" spans="4:23">
      <c r="D2577" s="31">
        <v>46108</v>
      </c>
      <c r="E2577" s="29">
        <v>19178629</v>
      </c>
      <c r="F2577" s="29" t="s">
        <v>25</v>
      </c>
      <c r="G2577" s="29" t="s">
        <v>468</v>
      </c>
      <c r="H2577" s="29">
        <v>99</v>
      </c>
      <c r="I2577" s="29">
        <v>96</v>
      </c>
      <c r="J2577" s="29">
        <v>81</v>
      </c>
      <c r="K2577" s="29">
        <v>80</v>
      </c>
      <c r="L2577" s="29">
        <v>74</v>
      </c>
      <c r="M2577" s="29">
        <v>79</v>
      </c>
      <c r="N2577" s="29">
        <v>81</v>
      </c>
      <c r="O2577" s="32">
        <v>590</v>
      </c>
      <c r="P2577" s="29" cm="1">
        <f t="array" ref="P2577">IF(表成绩单[[#This Row],[语文]]="","",SUMPRODUCT((表成绩单[考试日期]=表成绩单[[#This Row],[考试日期]])*(表成绩单[语文]&lt;9E+307)*(表成绩单[语文]&gt;表成绩单[[#This Row],[语文]]))+1)</f>
        <v>279</v>
      </c>
      <c r="Q2577" s="29" cm="1">
        <f t="array" ref="Q2577">IF(表成绩单[[#This Row],[数学]]="","",SUMPRODUCT((表成绩单[考试日期]=表成绩单[[#This Row],[考试日期]])*(表成绩单[数学]&lt;9E+307)*(表成绩单[数学]&gt;表成绩单[[#This Row],[数学]]))+1)</f>
        <v>202</v>
      </c>
      <c r="R2577" s="29" cm="1">
        <f t="array" ref="R2577">IF(表成绩单[[#This Row],[英语]]="","",SUMPRODUCT((表成绩单[考试日期]=表成绩单[[#This Row],[考试日期]])*(表成绩单[英语]&lt;9E+307)*(表成绩单[英语]&gt;表成绩单[[#This Row],[英语]]))+1)</f>
        <v>227</v>
      </c>
      <c r="S2577" s="29" cm="1">
        <f t="array" ref="S2577">IF(表成绩单[[#This Row],[物理]]="","",SUMPRODUCT((表成绩单[考试日期]=表成绩单[[#This Row],[考试日期]])*(表成绩单[物理]&lt;9E+307)*(表成绩单[物理]&gt;表成绩单[[#This Row],[物理]]))+1)</f>
        <v>305</v>
      </c>
      <c r="T2577" s="29" cm="1">
        <f t="array" ref="T2577">IF(表成绩单[[#This Row],[化学]]="","",SUMPRODUCT((表成绩单[考试日期]=表成绩单[[#This Row],[考试日期]])*(表成绩单[化学]&lt;9E+307)*(表成绩单[化学]&gt;表成绩单[[#This Row],[化学]]))+1)</f>
        <v>127</v>
      </c>
      <c r="U2577" s="29" cm="1">
        <f t="array" ref="U2577">IF(表成绩单[[#This Row],[政治]]="","",SUMPRODUCT((表成绩单[考试日期]=表成绩单[[#This Row],[考试日期]])*(表成绩单[政治]&lt;9E+307)*(表成绩单[政治]&gt;表成绩单[[#This Row],[政治]]))+1)</f>
        <v>134</v>
      </c>
      <c r="V2577" s="29" cm="1">
        <f t="array" ref="V2577">IF(表成绩单[[#This Row],[历史]]="","",SUMPRODUCT((表成绩单[考试日期]=表成绩单[[#This Row],[考试日期]])*(表成绩单[历史]&lt;9E+307)*(表成绩单[历史]&gt;表成绩单[[#This Row],[历史]]))+1)</f>
        <v>106</v>
      </c>
      <c r="W2577" s="29" cm="1">
        <f t="array" ref="W2577">IF(表成绩单[[#This Row],[总分]]="","",SUMPRODUCT((表成绩单[考试日期]=表成绩单[[#This Row],[考试日期]])*(表成绩单[总分]&lt;9E+307)*(表成绩单[总分]&gt;表成绩单[[#This Row],[总分]]))+1)</f>
        <v>167</v>
      </c>
    </row>
    <row r="2578" ht="28" customHeight="1" spans="4:23">
      <c r="D2578" s="31">
        <v>46108</v>
      </c>
      <c r="E2578" s="29">
        <v>19178645</v>
      </c>
      <c r="F2578" s="29" t="s">
        <v>25</v>
      </c>
      <c r="G2578" s="29" t="s">
        <v>323</v>
      </c>
      <c r="H2578" s="29">
        <v>96</v>
      </c>
      <c r="I2578" s="29">
        <v>89</v>
      </c>
      <c r="J2578" s="29">
        <v>84</v>
      </c>
      <c r="K2578" s="29">
        <v>80</v>
      </c>
      <c r="L2578" s="29">
        <v>75</v>
      </c>
      <c r="M2578" s="29">
        <v>80</v>
      </c>
      <c r="N2578" s="29">
        <v>86</v>
      </c>
      <c r="O2578" s="32">
        <v>590</v>
      </c>
      <c r="P2578" s="29" cm="1">
        <f t="array" ref="P2578">IF(表成绩单[[#This Row],[语文]]="","",SUMPRODUCT((表成绩单[考试日期]=表成绩单[[#This Row],[考试日期]])*(表成绩单[语文]&lt;9E+307)*(表成绩单[语文]&gt;表成绩单[[#This Row],[语文]]))+1)</f>
        <v>390</v>
      </c>
      <c r="Q2578" s="29" cm="1">
        <f t="array" ref="Q2578">IF(表成绩单[[#This Row],[数学]]="","",SUMPRODUCT((表成绩单[考试日期]=表成绩单[[#This Row],[考试日期]])*(表成绩单[数学]&lt;9E+307)*(表成绩单[数学]&gt;表成绩单[[#This Row],[数学]]))+1)</f>
        <v>402</v>
      </c>
      <c r="R2578" s="29" cm="1">
        <f t="array" ref="R2578">IF(表成绩单[[#This Row],[英语]]="","",SUMPRODUCT((表成绩单[考试日期]=表成绩单[[#This Row],[考试日期]])*(表成绩单[英语]&lt;9E+307)*(表成绩单[英语]&gt;表成绩单[[#This Row],[英语]]))+1)</f>
        <v>100</v>
      </c>
      <c r="S2578" s="29" cm="1">
        <f t="array" ref="S2578">IF(表成绩单[[#This Row],[物理]]="","",SUMPRODUCT((表成绩单[考试日期]=表成绩单[[#This Row],[考试日期]])*(表成绩单[物理]&lt;9E+307)*(表成绩单[物理]&gt;表成绩单[[#This Row],[物理]]))+1)</f>
        <v>305</v>
      </c>
      <c r="T2578" s="29" cm="1">
        <f t="array" ref="T2578">IF(表成绩单[[#This Row],[化学]]="","",SUMPRODUCT((表成绩单[考试日期]=表成绩单[[#This Row],[考试日期]])*(表成绩单[化学]&lt;9E+307)*(表成绩单[化学]&gt;表成绩单[[#This Row],[化学]]))+1)</f>
        <v>96</v>
      </c>
      <c r="U2578" s="29" cm="1">
        <f t="array" ref="U2578">IF(表成绩单[[#This Row],[政治]]="","",SUMPRODUCT((表成绩单[考试日期]=表成绩单[[#This Row],[考试日期]])*(表成绩单[政治]&lt;9E+307)*(表成绩单[政治]&gt;表成绩单[[#This Row],[政治]]))+1)</f>
        <v>98</v>
      </c>
      <c r="V2578" s="29" cm="1">
        <f t="array" ref="V2578">IF(表成绩单[[#This Row],[历史]]="","",SUMPRODUCT((表成绩单[考试日期]=表成绩单[[#This Row],[考试日期]])*(表成绩单[历史]&lt;9E+307)*(表成绩单[历史]&gt;表成绩单[[#This Row],[历史]]))+1)</f>
        <v>13</v>
      </c>
      <c r="W2578" s="29" cm="1">
        <f t="array" ref="W2578">IF(表成绩单[[#This Row],[总分]]="","",SUMPRODUCT((表成绩单[考试日期]=表成绩单[[#This Row],[考试日期]])*(表成绩单[总分]&lt;9E+307)*(表成绩单[总分]&gt;表成绩单[[#This Row],[总分]]))+1)</f>
        <v>167</v>
      </c>
    </row>
    <row r="2579" ht="28" customHeight="1" spans="4:23">
      <c r="D2579" s="31">
        <v>46108</v>
      </c>
      <c r="E2579" s="29">
        <v>19173761</v>
      </c>
      <c r="F2579" s="29" t="s">
        <v>65</v>
      </c>
      <c r="G2579" s="29" t="s">
        <v>217</v>
      </c>
      <c r="H2579" s="29">
        <v>110</v>
      </c>
      <c r="I2579" s="29">
        <v>91</v>
      </c>
      <c r="J2579" s="29">
        <v>78.5</v>
      </c>
      <c r="K2579" s="29">
        <v>81</v>
      </c>
      <c r="L2579" s="29">
        <v>74</v>
      </c>
      <c r="M2579" s="29">
        <v>81</v>
      </c>
      <c r="N2579" s="29">
        <v>74</v>
      </c>
      <c r="O2579" s="32">
        <v>589.5</v>
      </c>
      <c r="P2579" s="29" cm="1">
        <f t="array" ref="P2579">IF(表成绩单[[#This Row],[语文]]="","",SUMPRODUCT((表成绩单[考试日期]=表成绩单[[#This Row],[考试日期]])*(表成绩单[语文]&lt;9E+307)*(表成绩单[语文]&gt;表成绩单[[#This Row],[语文]]))+1)</f>
        <v>24</v>
      </c>
      <c r="Q2579" s="29" cm="1">
        <f t="array" ref="Q2579">IF(表成绩单[[#This Row],[数学]]="","",SUMPRODUCT((表成绩单[考试日期]=表成绩单[[#This Row],[考试日期]])*(表成绩单[数学]&lt;9E+307)*(表成绩单[数学]&gt;表成绩单[[#This Row],[数学]]))+1)</f>
        <v>341</v>
      </c>
      <c r="R2579" s="29" cm="1">
        <f t="array" ref="R2579">IF(表成绩单[[#This Row],[英语]]="","",SUMPRODUCT((表成绩单[考试日期]=表成绩单[[#This Row],[考试日期]])*(表成绩单[英语]&lt;9E+307)*(表成绩单[英语]&gt;表成绩单[[#This Row],[英语]]))+1)</f>
        <v>322</v>
      </c>
      <c r="S2579" s="29" cm="1">
        <f t="array" ref="S2579">IF(表成绩单[[#This Row],[物理]]="","",SUMPRODUCT((表成绩单[考试日期]=表成绩单[[#This Row],[考试日期]])*(表成绩单[物理]&lt;9E+307)*(表成绩单[物理]&gt;表成绩单[[#This Row],[物理]]))+1)</f>
        <v>269</v>
      </c>
      <c r="T2579" s="29" cm="1">
        <f t="array" ref="T2579">IF(表成绩单[[#This Row],[化学]]="","",SUMPRODUCT((表成绩单[考试日期]=表成绩单[[#This Row],[考试日期]])*(表成绩单[化学]&lt;9E+307)*(表成绩单[化学]&gt;表成绩单[[#This Row],[化学]]))+1)</f>
        <v>127</v>
      </c>
      <c r="U2579" s="29" cm="1">
        <f t="array" ref="U2579">IF(表成绩单[[#This Row],[政治]]="","",SUMPRODUCT((表成绩单[考试日期]=表成绩单[[#This Row],[考试日期]])*(表成绩单[政治]&lt;9E+307)*(表成绩单[政治]&gt;表成绩单[[#This Row],[政治]]))+1)</f>
        <v>68</v>
      </c>
      <c r="V2579" s="29" cm="1">
        <f t="array" ref="V2579">IF(表成绩单[[#This Row],[历史]]="","",SUMPRODUCT((表成绩单[考试日期]=表成绩单[[#This Row],[考试日期]])*(表成绩单[历史]&lt;9E+307)*(表成绩单[历史]&gt;表成绩单[[#This Row],[历史]]))+1)</f>
        <v>389</v>
      </c>
      <c r="W2579" s="29" cm="1">
        <f t="array" ref="W2579">IF(表成绩单[[#This Row],[总分]]="","",SUMPRODUCT((表成绩单[考试日期]=表成绩单[[#This Row],[考试日期]])*(表成绩单[总分]&lt;9E+307)*(表成绩单[总分]&gt;表成绩单[[#This Row],[总分]]))+1)</f>
        <v>172</v>
      </c>
    </row>
    <row r="2580" ht="28" customHeight="1" spans="4:23">
      <c r="D2580" s="31">
        <v>46108</v>
      </c>
      <c r="E2580" s="29">
        <v>19174437</v>
      </c>
      <c r="F2580" s="29" t="s">
        <v>73</v>
      </c>
      <c r="G2580" s="29" t="s">
        <v>453</v>
      </c>
      <c r="H2580" s="29">
        <v>102</v>
      </c>
      <c r="I2580" s="29">
        <v>101</v>
      </c>
      <c r="J2580" s="29">
        <v>85.5</v>
      </c>
      <c r="K2580" s="29">
        <v>85</v>
      </c>
      <c r="L2580" s="29">
        <v>73</v>
      </c>
      <c r="M2580" s="29">
        <v>68</v>
      </c>
      <c r="N2580" s="29">
        <v>75</v>
      </c>
      <c r="O2580" s="32">
        <v>589.5</v>
      </c>
      <c r="P2580" s="29" cm="1">
        <f t="array" ref="P2580">IF(表成绩单[[#This Row],[语文]]="","",SUMPRODUCT((表成绩单[考试日期]=表成绩单[[#This Row],[考试日期]])*(表成绩单[语文]&lt;9E+307)*(表成绩单[语文]&gt;表成绩单[[#This Row],[语文]]))+1)</f>
        <v>183</v>
      </c>
      <c r="Q2580" s="29" cm="1">
        <f t="array" ref="Q2580">IF(表成绩单[[#This Row],[数学]]="","",SUMPRODUCT((表成绩单[考试日期]=表成绩单[[#This Row],[考试日期]])*(表成绩单[数学]&lt;9E+307)*(表成绩单[数学]&gt;表成绩单[[#This Row],[数学]]))+1)</f>
        <v>115</v>
      </c>
      <c r="R2580" s="29" cm="1">
        <f t="array" ref="R2580">IF(表成绩单[[#This Row],[英语]]="","",SUMPRODUCT((表成绩单[考试日期]=表成绩单[[#This Row],[考试日期]])*(表成绩单[英语]&lt;9E+307)*(表成绩单[英语]&gt;表成绩单[[#This Row],[英语]]))+1)</f>
        <v>43</v>
      </c>
      <c r="S2580" s="29" cm="1">
        <f t="array" ref="S2580">IF(表成绩单[[#This Row],[物理]]="","",SUMPRODUCT((表成绩单[考试日期]=表成绩单[[#This Row],[考试日期]])*(表成绩单[物理]&lt;9E+307)*(表成绩单[物理]&gt;表成绩单[[#This Row],[物理]]))+1)</f>
        <v>105</v>
      </c>
      <c r="T2580" s="29" cm="1">
        <f t="array" ref="T2580">IF(表成绩单[[#This Row],[化学]]="","",SUMPRODUCT((表成绩单[考试日期]=表成绩单[[#This Row],[考试日期]])*(表成绩单[化学]&lt;9E+307)*(表成绩单[化学]&gt;表成绩单[[#This Row],[化学]]))+1)</f>
        <v>152</v>
      </c>
      <c r="U2580" s="29" cm="1">
        <f t="array" ref="U2580">IF(表成绩单[[#This Row],[政治]]="","",SUMPRODUCT((表成绩单[考试日期]=表成绩单[[#This Row],[考试日期]])*(表成绩单[政治]&lt;9E+307)*(表成绩单[政治]&gt;表成绩单[[#This Row],[政治]]))+1)</f>
        <v>596</v>
      </c>
      <c r="V2580" s="29" cm="1">
        <f t="array" ref="V2580">IF(表成绩单[[#This Row],[历史]]="","",SUMPRODUCT((表成绩单[考试日期]=表成绩单[[#This Row],[考试日期]])*(表成绩单[历史]&lt;9E+307)*(表成绩单[历史]&gt;表成绩单[[#This Row],[历史]]))+1)</f>
        <v>354</v>
      </c>
      <c r="W2580" s="29" cm="1">
        <f t="array" ref="W2580">IF(表成绩单[[#This Row],[总分]]="","",SUMPRODUCT((表成绩单[考试日期]=表成绩单[[#This Row],[考试日期]])*(表成绩单[总分]&lt;9E+307)*(表成绩单[总分]&gt;表成绩单[[#This Row],[总分]]))+1)</f>
        <v>172</v>
      </c>
    </row>
    <row r="2581" ht="28" customHeight="1" spans="4:23">
      <c r="D2581" s="31">
        <v>46108</v>
      </c>
      <c r="E2581" s="29">
        <v>19174442</v>
      </c>
      <c r="F2581" s="29" t="s">
        <v>73</v>
      </c>
      <c r="G2581" s="29" t="s">
        <v>288</v>
      </c>
      <c r="H2581" s="29">
        <v>106</v>
      </c>
      <c r="I2581" s="29">
        <v>93</v>
      </c>
      <c r="J2581" s="29">
        <v>83.5</v>
      </c>
      <c r="K2581" s="29">
        <v>84</v>
      </c>
      <c r="L2581" s="29">
        <v>69</v>
      </c>
      <c r="M2581" s="29">
        <v>75</v>
      </c>
      <c r="N2581" s="29">
        <v>79</v>
      </c>
      <c r="O2581" s="32">
        <v>589.5</v>
      </c>
      <c r="P2581" s="29" cm="1">
        <f t="array" ref="P2581">IF(表成绩单[[#This Row],[语文]]="","",SUMPRODUCT((表成绩单[考试日期]=表成绩单[[#This Row],[考试日期]])*(表成绩单[语文]&lt;9E+307)*(表成绩单[语文]&gt;表成绩单[[#This Row],[语文]]))+1)</f>
        <v>85</v>
      </c>
      <c r="Q2581" s="29" cm="1">
        <f t="array" ref="Q2581">IF(表成绩单[[#This Row],[数学]]="","",SUMPRODUCT((表成绩单[考试日期]=表成绩单[[#This Row],[考试日期]])*(表成绩单[数学]&lt;9E+307)*(表成绩单[数学]&gt;表成绩单[[#This Row],[数学]]))+1)</f>
        <v>289</v>
      </c>
      <c r="R2581" s="29" cm="1">
        <f t="array" ref="R2581">IF(表成绩单[[#This Row],[英语]]="","",SUMPRODUCT((表成绩单[考试日期]=表成绩单[[#This Row],[考试日期]])*(表成绩单[英语]&lt;9E+307)*(表成绩单[英语]&gt;表成绩单[[#This Row],[英语]]))+1)</f>
        <v>122</v>
      </c>
      <c r="S2581" s="29" cm="1">
        <f t="array" ref="S2581">IF(表成绩单[[#This Row],[物理]]="","",SUMPRODUCT((表成绩单[考试日期]=表成绩单[[#This Row],[考试日期]])*(表成绩单[物理]&lt;9E+307)*(表成绩单[物理]&gt;表成绩单[[#This Row],[物理]]))+1)</f>
        <v>146</v>
      </c>
      <c r="T2581" s="29" cm="1">
        <f t="array" ref="T2581">IF(表成绩单[[#This Row],[化学]]="","",SUMPRODUCT((表成绩单[考试日期]=表成绩单[[#This Row],[考试日期]])*(表成绩单[化学]&lt;9E+307)*(表成绩单[化学]&gt;表成绩单[[#This Row],[化学]]))+1)</f>
        <v>269</v>
      </c>
      <c r="U2581" s="29" cm="1">
        <f t="array" ref="U2581">IF(表成绩单[[#This Row],[政治]]="","",SUMPRODUCT((表成绩单[考试日期]=表成绩单[[#This Row],[考试日期]])*(表成绩单[政治]&lt;9E+307)*(表成绩单[政治]&gt;表成绩单[[#This Row],[政治]]))+1)</f>
        <v>346</v>
      </c>
      <c r="V2581" s="29" cm="1">
        <f t="array" ref="V2581">IF(表成绩单[[#This Row],[历史]]="","",SUMPRODUCT((表成绩单[考试日期]=表成绩单[[#This Row],[考试日期]])*(表成绩单[历史]&lt;9E+307)*(表成绩单[历史]&gt;表成绩单[[#This Row],[历史]]))+1)</f>
        <v>173</v>
      </c>
      <c r="W2581" s="29" cm="1">
        <f t="array" ref="W2581">IF(表成绩单[[#This Row],[总分]]="","",SUMPRODUCT((表成绩单[考试日期]=表成绩单[[#This Row],[考试日期]])*(表成绩单[总分]&lt;9E+307)*(表成绩单[总分]&gt;表成绩单[[#This Row],[总分]]))+1)</f>
        <v>172</v>
      </c>
    </row>
    <row r="2582" ht="28" customHeight="1" spans="4:23">
      <c r="D2582" s="31">
        <v>46108</v>
      </c>
      <c r="E2582" s="29">
        <v>19175702</v>
      </c>
      <c r="F2582" s="29" t="s">
        <v>72</v>
      </c>
      <c r="G2582" s="29" t="s">
        <v>273</v>
      </c>
      <c r="H2582" s="29">
        <v>103</v>
      </c>
      <c r="I2582" s="29">
        <v>106</v>
      </c>
      <c r="J2582" s="29">
        <v>86.5</v>
      </c>
      <c r="K2582" s="29">
        <v>78</v>
      </c>
      <c r="L2582" s="29">
        <v>61</v>
      </c>
      <c r="M2582" s="29">
        <v>78</v>
      </c>
      <c r="N2582" s="29">
        <v>77</v>
      </c>
      <c r="O2582" s="32">
        <v>589.5</v>
      </c>
      <c r="P2582" s="29" cm="1">
        <f t="array" ref="P2582">IF(表成绩单[[#This Row],[语文]]="","",SUMPRODUCT((表成绩单[考试日期]=表成绩单[[#This Row],[考试日期]])*(表成绩单[语文]&lt;9E+307)*(表成绩单[语文]&gt;表成绩单[[#This Row],[语文]]))+1)</f>
        <v>155</v>
      </c>
      <c r="Q2582" s="29" cm="1">
        <f t="array" ref="Q2582">IF(表成绩单[[#This Row],[数学]]="","",SUMPRODUCT((表成绩单[考试日期]=表成绩单[[#This Row],[考试日期]])*(表成绩单[数学]&lt;9E+307)*(表成绩单[数学]&gt;表成绩单[[#This Row],[数学]]))+1)</f>
        <v>40</v>
      </c>
      <c r="R2582" s="29" cm="1">
        <f t="array" ref="R2582">IF(表成绩单[[#This Row],[英语]]="","",SUMPRODUCT((表成绩单[考试日期]=表成绩单[[#This Row],[考试日期]])*(表成绩单[英语]&lt;9E+307)*(表成绩单[英语]&gt;表成绩单[[#This Row],[英语]]))+1)</f>
        <v>18</v>
      </c>
      <c r="S2582" s="29" cm="1">
        <f t="array" ref="S2582">IF(表成绩单[[#This Row],[物理]]="","",SUMPRODUCT((表成绩单[考试日期]=表成绩单[[#This Row],[考试日期]])*(表成绩单[物理]&lt;9E+307)*(表成绩单[物理]&gt;表成绩单[[#This Row],[物理]]))+1)</f>
        <v>365</v>
      </c>
      <c r="T2582" s="29" cm="1">
        <f t="array" ref="T2582">IF(表成绩单[[#This Row],[化学]]="","",SUMPRODUCT((表成绩单[考试日期]=表成绩单[[#This Row],[考试日期]])*(表成绩单[化学]&lt;9E+307)*(表成绩单[化学]&gt;表成绩单[[#This Row],[化学]]))+1)</f>
        <v>467</v>
      </c>
      <c r="U2582" s="29" cm="1">
        <f t="array" ref="U2582">IF(表成绩单[[#This Row],[政治]]="","",SUMPRODUCT((表成绩单[考试日期]=表成绩单[[#This Row],[考试日期]])*(表成绩单[政治]&lt;9E+307)*(表成绩单[政治]&gt;表成绩单[[#This Row],[政治]]))+1)</f>
        <v>171</v>
      </c>
      <c r="V2582" s="29" cm="1">
        <f t="array" ref="V2582">IF(表成绩单[[#This Row],[历史]]="","",SUMPRODUCT((表成绩单[考试日期]=表成绩单[[#This Row],[考试日期]])*(表成绩单[历史]&lt;9E+307)*(表成绩单[历史]&gt;表成绩单[[#This Row],[历史]]))+1)</f>
        <v>269</v>
      </c>
      <c r="W2582" s="29" cm="1">
        <f t="array" ref="W2582">IF(表成绩单[[#This Row],[总分]]="","",SUMPRODUCT((表成绩单[考试日期]=表成绩单[[#This Row],[考试日期]])*(表成绩单[总分]&lt;9E+307)*(表成绩单[总分]&gt;表成绩单[[#This Row],[总分]]))+1)</f>
        <v>172</v>
      </c>
    </row>
    <row r="2583" ht="28" customHeight="1" spans="4:23">
      <c r="D2583" s="31">
        <v>46108</v>
      </c>
      <c r="E2583" s="29">
        <v>19178640</v>
      </c>
      <c r="F2583" s="29" t="s">
        <v>25</v>
      </c>
      <c r="G2583" s="29" t="s">
        <v>268</v>
      </c>
      <c r="H2583" s="29">
        <v>107</v>
      </c>
      <c r="I2583" s="29">
        <v>99</v>
      </c>
      <c r="J2583" s="29">
        <v>81.5</v>
      </c>
      <c r="K2583" s="29">
        <v>83</v>
      </c>
      <c r="L2583" s="29">
        <v>72</v>
      </c>
      <c r="M2583" s="29">
        <v>78</v>
      </c>
      <c r="N2583" s="29">
        <v>69</v>
      </c>
      <c r="O2583" s="32">
        <v>589.5</v>
      </c>
      <c r="P2583" s="29" cm="1">
        <f t="array" ref="P2583">IF(表成绩单[[#This Row],[语文]]="","",SUMPRODUCT((表成绩单[考试日期]=表成绩单[[#This Row],[考试日期]])*(表成绩单[语文]&lt;9E+307)*(表成绩单[语文]&gt;表成绩单[[#This Row],[语文]]))+1)</f>
        <v>67</v>
      </c>
      <c r="Q2583" s="29" cm="1">
        <f t="array" ref="Q2583">IF(表成绩单[[#This Row],[数学]]="","",SUMPRODUCT((表成绩单[考试日期]=表成绩单[[#This Row],[考试日期]])*(表成绩单[数学]&lt;9E+307)*(表成绩单[数学]&gt;表成绩单[[#This Row],[数学]]))+1)</f>
        <v>140</v>
      </c>
      <c r="R2583" s="29" cm="1">
        <f t="array" ref="R2583">IF(表成绩单[[#This Row],[英语]]="","",SUMPRODUCT((表成绩单[考试日期]=表成绩单[[#This Row],[考试日期]])*(表成绩单[英语]&lt;9E+307)*(表成绩单[英语]&gt;表成绩单[[#This Row],[英语]]))+1)</f>
        <v>203</v>
      </c>
      <c r="S2583" s="29" cm="1">
        <f t="array" ref="S2583">IF(表成绩单[[#This Row],[物理]]="","",SUMPRODUCT((表成绩单[考试日期]=表成绩单[[#This Row],[考试日期]])*(表成绩单[物理]&lt;9E+307)*(表成绩单[物理]&gt;表成绩单[[#This Row],[物理]]))+1)</f>
        <v>184</v>
      </c>
      <c r="T2583" s="29" cm="1">
        <f t="array" ref="T2583">IF(表成绩单[[#This Row],[化学]]="","",SUMPRODUCT((表成绩单[考试日期]=表成绩单[[#This Row],[考试日期]])*(表成绩单[化学]&lt;9E+307)*(表成绩单[化学]&gt;表成绩单[[#This Row],[化学]]))+1)</f>
        <v>187</v>
      </c>
      <c r="U2583" s="29" cm="1">
        <f t="array" ref="U2583">IF(表成绩单[[#This Row],[政治]]="","",SUMPRODUCT((表成绩单[考试日期]=表成绩单[[#This Row],[考试日期]])*(表成绩单[政治]&lt;9E+307)*(表成绩单[政治]&gt;表成绩单[[#This Row],[政治]]))+1)</f>
        <v>171</v>
      </c>
      <c r="V2583" s="29" cm="1">
        <f t="array" ref="V2583">IF(表成绩单[[#This Row],[历史]]="","",SUMPRODUCT((表成绩单[考试日期]=表成绩单[[#This Row],[考试日期]])*(表成绩单[历史]&lt;9E+307)*(表成绩单[历史]&gt;表成绩单[[#This Row],[历史]]))+1)</f>
        <v>569</v>
      </c>
      <c r="W2583" s="29" cm="1">
        <f t="array" ref="W2583">IF(表成绩单[[#This Row],[总分]]="","",SUMPRODUCT((表成绩单[考试日期]=表成绩单[[#This Row],[考试日期]])*(表成绩单[总分]&lt;9E+307)*(表成绩单[总分]&gt;表成绩单[[#This Row],[总分]]))+1)</f>
        <v>172</v>
      </c>
    </row>
    <row r="2584" ht="28" customHeight="1" spans="4:23">
      <c r="D2584" s="31">
        <v>46108</v>
      </c>
      <c r="E2584" s="29">
        <v>19173274</v>
      </c>
      <c r="F2584" s="29" t="s">
        <v>61</v>
      </c>
      <c r="G2584" s="29" t="s">
        <v>154</v>
      </c>
      <c r="H2584" s="29">
        <v>101</v>
      </c>
      <c r="I2584" s="29">
        <v>90</v>
      </c>
      <c r="J2584" s="29">
        <v>84</v>
      </c>
      <c r="K2584" s="29">
        <v>84</v>
      </c>
      <c r="L2584" s="29">
        <v>75</v>
      </c>
      <c r="M2584" s="29">
        <v>77</v>
      </c>
      <c r="N2584" s="29">
        <v>78</v>
      </c>
      <c r="O2584" s="32">
        <v>589</v>
      </c>
      <c r="P2584" s="29" cm="1">
        <f t="array" ref="P2584">IF(表成绩单[[#This Row],[语文]]="","",SUMPRODUCT((表成绩单[考试日期]=表成绩单[[#This Row],[考试日期]])*(表成绩单[语文]&lt;9E+307)*(表成绩单[语文]&gt;表成绩单[[#This Row],[语文]]))+1)</f>
        <v>211</v>
      </c>
      <c r="Q2584" s="29" cm="1">
        <f t="array" ref="Q2584">IF(表成绩单[[#This Row],[数学]]="","",SUMPRODUCT((表成绩单[考试日期]=表成绩单[[#This Row],[考试日期]])*(表成绩单[数学]&lt;9E+307)*(表成绩单[数学]&gt;表成绩单[[#This Row],[数学]]))+1)</f>
        <v>368</v>
      </c>
      <c r="R2584" s="29" cm="1">
        <f t="array" ref="R2584">IF(表成绩单[[#This Row],[英语]]="","",SUMPRODUCT((表成绩单[考试日期]=表成绩单[[#This Row],[考试日期]])*(表成绩单[英语]&lt;9E+307)*(表成绩单[英语]&gt;表成绩单[[#This Row],[英语]]))+1)</f>
        <v>100</v>
      </c>
      <c r="S2584" s="29" cm="1">
        <f t="array" ref="S2584">IF(表成绩单[[#This Row],[物理]]="","",SUMPRODUCT((表成绩单[考试日期]=表成绩单[[#This Row],[考试日期]])*(表成绩单[物理]&lt;9E+307)*(表成绩单[物理]&gt;表成绩单[[#This Row],[物理]]))+1)</f>
        <v>146</v>
      </c>
      <c r="T2584" s="29" cm="1">
        <f t="array" ref="T2584">IF(表成绩单[[#This Row],[化学]]="","",SUMPRODUCT((表成绩单[考试日期]=表成绩单[[#This Row],[考试日期]])*(表成绩单[化学]&lt;9E+307)*(表成绩单[化学]&gt;表成绩单[[#This Row],[化学]]))+1)</f>
        <v>96</v>
      </c>
      <c r="U2584" s="29" cm="1">
        <f t="array" ref="U2584">IF(表成绩单[[#This Row],[政治]]="","",SUMPRODUCT((表成绩单[考试日期]=表成绩单[[#This Row],[考试日期]])*(表成绩单[政治]&lt;9E+307)*(表成绩单[政治]&gt;表成绩单[[#This Row],[政治]]))+1)</f>
        <v>230</v>
      </c>
      <c r="V2584" s="29" cm="1">
        <f t="array" ref="V2584">IF(表成绩单[[#This Row],[历史]]="","",SUMPRODUCT((表成绩单[考试日期]=表成绩单[[#This Row],[考试日期]])*(表成绩单[历史]&lt;9E+307)*(表成绩单[历史]&gt;表成绩单[[#This Row],[历史]]))+1)</f>
        <v>222</v>
      </c>
      <c r="W2584" s="29" cm="1">
        <f t="array" ref="W2584">IF(表成绩单[[#This Row],[总分]]="","",SUMPRODUCT((表成绩单[考试日期]=表成绩单[[#This Row],[考试日期]])*(表成绩单[总分]&lt;9E+307)*(表成绩单[总分]&gt;表成绩单[[#This Row],[总分]]))+1)</f>
        <v>177</v>
      </c>
    </row>
    <row r="2585" ht="28" customHeight="1" spans="4:23">
      <c r="D2585" s="31">
        <v>46108</v>
      </c>
      <c r="E2585" s="29">
        <v>19173542</v>
      </c>
      <c r="F2585" s="29" t="s">
        <v>1</v>
      </c>
      <c r="G2585" s="29" t="s">
        <v>250</v>
      </c>
      <c r="H2585" s="29">
        <v>110</v>
      </c>
      <c r="I2585" s="29">
        <v>99</v>
      </c>
      <c r="J2585" s="29">
        <v>84</v>
      </c>
      <c r="K2585" s="29">
        <v>80</v>
      </c>
      <c r="L2585" s="29">
        <v>65</v>
      </c>
      <c r="M2585" s="29">
        <v>72</v>
      </c>
      <c r="N2585" s="29">
        <v>79</v>
      </c>
      <c r="O2585" s="32">
        <v>589</v>
      </c>
      <c r="P2585" s="29" cm="1">
        <f t="array" ref="P2585">IF(表成绩单[[#This Row],[语文]]="","",SUMPRODUCT((表成绩单[考试日期]=表成绩单[[#This Row],[考试日期]])*(表成绩单[语文]&lt;9E+307)*(表成绩单[语文]&gt;表成绩单[[#This Row],[语文]]))+1)</f>
        <v>24</v>
      </c>
      <c r="Q2585" s="29" cm="1">
        <f t="array" ref="Q2585">IF(表成绩单[[#This Row],[数学]]="","",SUMPRODUCT((表成绩单[考试日期]=表成绩单[[#This Row],[考试日期]])*(表成绩单[数学]&lt;9E+307)*(表成绩单[数学]&gt;表成绩单[[#This Row],[数学]]))+1)</f>
        <v>140</v>
      </c>
      <c r="R2585" s="29" cm="1">
        <f t="array" ref="R2585">IF(表成绩单[[#This Row],[英语]]="","",SUMPRODUCT((表成绩单[考试日期]=表成绩单[[#This Row],[考试日期]])*(表成绩单[英语]&lt;9E+307)*(表成绩单[英语]&gt;表成绩单[[#This Row],[英语]]))+1)</f>
        <v>100</v>
      </c>
      <c r="S2585" s="29" cm="1">
        <f t="array" ref="S2585">IF(表成绩单[[#This Row],[物理]]="","",SUMPRODUCT((表成绩单[考试日期]=表成绩单[[#This Row],[考试日期]])*(表成绩单[物理]&lt;9E+307)*(表成绩单[物理]&gt;表成绩单[[#This Row],[物理]]))+1)</f>
        <v>305</v>
      </c>
      <c r="T2585" s="29" cm="1">
        <f t="array" ref="T2585">IF(表成绩单[[#This Row],[化学]]="","",SUMPRODUCT((表成绩单[考试日期]=表成绩单[[#This Row],[考试日期]])*(表成绩单[化学]&lt;9E+307)*(表成绩单[化学]&gt;表成绩单[[#This Row],[化学]]))+1)</f>
        <v>379</v>
      </c>
      <c r="U2585" s="29" cm="1">
        <f t="array" ref="U2585">IF(表成绩单[[#This Row],[政治]]="","",SUMPRODUCT((表成绩单[考试日期]=表成绩单[[#This Row],[考试日期]])*(表成绩单[政治]&lt;9E+307)*(表成绩单[政治]&gt;表成绩单[[#This Row],[政治]]))+1)</f>
        <v>470</v>
      </c>
      <c r="V2585" s="29" cm="1">
        <f t="array" ref="V2585">IF(表成绩单[[#This Row],[历史]]="","",SUMPRODUCT((表成绩单[考试日期]=表成绩单[[#This Row],[考试日期]])*(表成绩单[历史]&lt;9E+307)*(表成绩单[历史]&gt;表成绩单[[#This Row],[历史]]))+1)</f>
        <v>173</v>
      </c>
      <c r="W2585" s="29" cm="1">
        <f t="array" ref="W2585">IF(表成绩单[[#This Row],[总分]]="","",SUMPRODUCT((表成绩单[考试日期]=表成绩单[[#This Row],[考试日期]])*(表成绩单[总分]&lt;9E+307)*(表成绩单[总分]&gt;表成绩单[[#This Row],[总分]]))+1)</f>
        <v>177</v>
      </c>
    </row>
    <row r="2586" ht="28" customHeight="1" spans="4:23">
      <c r="D2586" s="31">
        <v>46108</v>
      </c>
      <c r="E2586" s="29">
        <v>19175686</v>
      </c>
      <c r="F2586" s="29" t="s">
        <v>72</v>
      </c>
      <c r="G2586" s="29" t="s">
        <v>263</v>
      </c>
      <c r="H2586" s="29">
        <v>99</v>
      </c>
      <c r="I2586" s="29">
        <v>97</v>
      </c>
      <c r="J2586" s="29">
        <v>83</v>
      </c>
      <c r="K2586" s="29">
        <v>84</v>
      </c>
      <c r="L2586" s="29">
        <v>70</v>
      </c>
      <c r="M2586" s="29">
        <v>79</v>
      </c>
      <c r="N2586" s="29">
        <v>77</v>
      </c>
      <c r="O2586" s="32">
        <v>589</v>
      </c>
      <c r="P2586" s="29" cm="1">
        <f t="array" ref="P2586">IF(表成绩单[[#This Row],[语文]]="","",SUMPRODUCT((表成绩单[考试日期]=表成绩单[[#This Row],[考试日期]])*(表成绩单[语文]&lt;9E+307)*(表成绩单[语文]&gt;表成绩单[[#This Row],[语文]]))+1)</f>
        <v>279</v>
      </c>
      <c r="Q2586" s="29" cm="1">
        <f t="array" ref="Q2586">IF(表成绩单[[#This Row],[数学]]="","",SUMPRODUCT((表成绩单[考试日期]=表成绩单[[#This Row],[考试日期]])*(表成绩单[数学]&lt;9E+307)*(表成绩单[数学]&gt;表成绩单[[#This Row],[数学]]))+1)</f>
        <v>175</v>
      </c>
      <c r="R2586" s="29" cm="1">
        <f t="array" ref="R2586">IF(表成绩单[[#This Row],[英语]]="","",SUMPRODUCT((表成绩单[考试日期]=表成绩单[[#This Row],[考试日期]])*(表成绩单[英语]&lt;9E+307)*(表成绩单[英语]&gt;表成绩单[[#This Row],[英语]]))+1)</f>
        <v>134</v>
      </c>
      <c r="S2586" s="29" cm="1">
        <f t="array" ref="S2586">IF(表成绩单[[#This Row],[物理]]="","",SUMPRODUCT((表成绩单[考试日期]=表成绩单[[#This Row],[考试日期]])*(表成绩单[物理]&lt;9E+307)*(表成绩单[物理]&gt;表成绩单[[#This Row],[物理]]))+1)</f>
        <v>146</v>
      </c>
      <c r="T2586" s="29" cm="1">
        <f t="array" ref="T2586">IF(表成绩单[[#This Row],[化学]]="","",SUMPRODUCT((表成绩单[考试日期]=表成绩单[[#This Row],[考试日期]])*(表成绩单[化学]&lt;9E+307)*(表成绩单[化学]&gt;表成绩单[[#This Row],[化学]]))+1)</f>
        <v>241</v>
      </c>
      <c r="U2586" s="29" cm="1">
        <f t="array" ref="U2586">IF(表成绩单[[#This Row],[政治]]="","",SUMPRODUCT((表成绩单[考试日期]=表成绩单[[#This Row],[考试日期]])*(表成绩单[政治]&lt;9E+307)*(表成绩单[政治]&gt;表成绩单[[#This Row],[政治]]))+1)</f>
        <v>134</v>
      </c>
      <c r="V2586" s="29" cm="1">
        <f t="array" ref="V2586">IF(表成绩单[[#This Row],[历史]]="","",SUMPRODUCT((表成绩单[考试日期]=表成绩单[[#This Row],[考试日期]])*(表成绩单[历史]&lt;9E+307)*(表成绩单[历史]&gt;表成绩单[[#This Row],[历史]]))+1)</f>
        <v>269</v>
      </c>
      <c r="W2586" s="29" cm="1">
        <f t="array" ref="W2586">IF(表成绩单[[#This Row],[总分]]="","",SUMPRODUCT((表成绩单[考试日期]=表成绩单[[#This Row],[考试日期]])*(表成绩单[总分]&lt;9E+307)*(表成绩单[总分]&gt;表成绩单[[#This Row],[总分]]))+1)</f>
        <v>177</v>
      </c>
    </row>
    <row r="2587" ht="28" customHeight="1" spans="4:23">
      <c r="D2587" s="31">
        <v>46108</v>
      </c>
      <c r="E2587" s="29">
        <v>19167651</v>
      </c>
      <c r="F2587" s="29" t="s">
        <v>1</v>
      </c>
      <c r="G2587" s="29" t="s">
        <v>259</v>
      </c>
      <c r="H2587" s="29">
        <v>103</v>
      </c>
      <c r="I2587" s="29">
        <v>94</v>
      </c>
      <c r="J2587" s="29">
        <v>81.5</v>
      </c>
      <c r="K2587" s="29">
        <v>78</v>
      </c>
      <c r="L2587" s="29">
        <v>68</v>
      </c>
      <c r="M2587" s="29">
        <v>80</v>
      </c>
      <c r="N2587" s="29">
        <v>84</v>
      </c>
      <c r="O2587" s="32">
        <v>588.5</v>
      </c>
      <c r="P2587" s="29" cm="1">
        <f t="array" ref="P2587">IF(表成绩单[[#This Row],[语文]]="","",SUMPRODUCT((表成绩单[考试日期]=表成绩单[[#This Row],[考试日期]])*(表成绩单[语文]&lt;9E+307)*(表成绩单[语文]&gt;表成绩单[[#This Row],[语文]]))+1)</f>
        <v>155</v>
      </c>
      <c r="Q2587" s="29" cm="1">
        <f t="array" ref="Q2587">IF(表成绩单[[#This Row],[数学]]="","",SUMPRODUCT((表成绩单[考试日期]=表成绩单[[#This Row],[考试日期]])*(表成绩单[数学]&lt;9E+307)*(表成绩单[数学]&gt;表成绩单[[#This Row],[数学]]))+1)</f>
        <v>258</v>
      </c>
      <c r="R2587" s="29" cm="1">
        <f t="array" ref="R2587">IF(表成绩单[[#This Row],[英语]]="","",SUMPRODUCT((表成绩单[考试日期]=表成绩单[[#This Row],[考试日期]])*(表成绩单[英语]&lt;9E+307)*(表成绩单[英语]&gt;表成绩单[[#This Row],[英语]]))+1)</f>
        <v>203</v>
      </c>
      <c r="S2587" s="29" cm="1">
        <f t="array" ref="S2587">IF(表成绩单[[#This Row],[物理]]="","",SUMPRODUCT((表成绩单[考试日期]=表成绩单[[#This Row],[考试日期]])*(表成绩单[物理]&lt;9E+307)*(表成绩单[物理]&gt;表成绩单[[#This Row],[物理]]))+1)</f>
        <v>365</v>
      </c>
      <c r="T2587" s="29" cm="1">
        <f t="array" ref="T2587">IF(表成绩单[[#This Row],[化学]]="","",SUMPRODUCT((表成绩单[考试日期]=表成绩单[[#This Row],[考试日期]])*(表成绩单[化学]&lt;9E+307)*(表成绩单[化学]&gt;表成绩单[[#This Row],[化学]]))+1)</f>
        <v>306</v>
      </c>
      <c r="U2587" s="29" cm="1">
        <f t="array" ref="U2587">IF(表成绩单[[#This Row],[政治]]="","",SUMPRODUCT((表成绩单[考试日期]=表成绩单[[#This Row],[考试日期]])*(表成绩单[政治]&lt;9E+307)*(表成绩单[政治]&gt;表成绩单[[#This Row],[政治]]))+1)</f>
        <v>98</v>
      </c>
      <c r="V2587" s="29" cm="1">
        <f t="array" ref="V2587">IF(表成绩单[[#This Row],[历史]]="","",SUMPRODUCT((表成绩单[考试日期]=表成绩单[[#This Row],[考试日期]])*(表成绩单[历史]&lt;9E+307)*(表成绩单[历史]&gt;表成绩单[[#This Row],[历史]]))+1)</f>
        <v>38</v>
      </c>
      <c r="W2587" s="29" cm="1">
        <f t="array" ref="W2587">IF(表成绩单[[#This Row],[总分]]="","",SUMPRODUCT((表成绩单[考试日期]=表成绩单[[#This Row],[考试日期]])*(表成绩单[总分]&lt;9E+307)*(表成绩单[总分]&gt;表成绩单[[#This Row],[总分]]))+1)</f>
        <v>180</v>
      </c>
    </row>
    <row r="2588" ht="28" customHeight="1" spans="4:23">
      <c r="D2588" s="31">
        <v>46108</v>
      </c>
      <c r="E2588" s="29">
        <v>19175688</v>
      </c>
      <c r="F2588" s="29" t="s">
        <v>72</v>
      </c>
      <c r="G2588" s="29" t="s">
        <v>464</v>
      </c>
      <c r="H2588" s="29">
        <v>99</v>
      </c>
      <c r="I2588" s="29">
        <v>99</v>
      </c>
      <c r="J2588" s="29">
        <v>85.5</v>
      </c>
      <c r="K2588" s="29">
        <v>84</v>
      </c>
      <c r="L2588" s="29">
        <v>64</v>
      </c>
      <c r="M2588" s="29">
        <v>74</v>
      </c>
      <c r="N2588" s="29">
        <v>83</v>
      </c>
      <c r="O2588" s="32">
        <v>588.5</v>
      </c>
      <c r="P2588" s="29" cm="1">
        <f t="array" ref="P2588">IF(表成绩单[[#This Row],[语文]]="","",SUMPRODUCT((表成绩单[考试日期]=表成绩单[[#This Row],[考试日期]])*(表成绩单[语文]&lt;9E+307)*(表成绩单[语文]&gt;表成绩单[[#This Row],[语文]]))+1)</f>
        <v>279</v>
      </c>
      <c r="Q2588" s="29" cm="1">
        <f t="array" ref="Q2588">IF(表成绩单[[#This Row],[数学]]="","",SUMPRODUCT((表成绩单[考试日期]=表成绩单[[#This Row],[考试日期]])*(表成绩单[数学]&lt;9E+307)*(表成绩单[数学]&gt;表成绩单[[#This Row],[数学]]))+1)</f>
        <v>140</v>
      </c>
      <c r="R2588" s="29" cm="1">
        <f t="array" ref="R2588">IF(表成绩单[[#This Row],[英语]]="","",SUMPRODUCT((表成绩单[考试日期]=表成绩单[[#This Row],[考试日期]])*(表成绩单[英语]&lt;9E+307)*(表成绩单[英语]&gt;表成绩单[[#This Row],[英语]]))+1)</f>
        <v>43</v>
      </c>
      <c r="S2588" s="29" cm="1">
        <f t="array" ref="S2588">IF(表成绩单[[#This Row],[物理]]="","",SUMPRODUCT((表成绩单[考试日期]=表成绩单[[#This Row],[考试日期]])*(表成绩单[物理]&lt;9E+307)*(表成绩单[物理]&gt;表成绩单[[#This Row],[物理]]))+1)</f>
        <v>146</v>
      </c>
      <c r="T2588" s="29" cm="1">
        <f t="array" ref="T2588">IF(表成绩单[[#This Row],[化学]]="","",SUMPRODUCT((表成绩单[考试日期]=表成绩单[[#This Row],[考试日期]])*(表成绩单[化学]&lt;9E+307)*(表成绩单[化学]&gt;表成绩单[[#This Row],[化学]]))+1)</f>
        <v>400</v>
      </c>
      <c r="U2588" s="29" cm="1">
        <f t="array" ref="U2588">IF(表成绩单[[#This Row],[政治]]="","",SUMPRODUCT((表成绩单[考试日期]=表成绩单[[#This Row],[考试日期]])*(表成绩单[政治]&lt;9E+307)*(表成绩单[政治]&gt;表成绩单[[#This Row],[政治]]))+1)</f>
        <v>389</v>
      </c>
      <c r="V2588" s="29" cm="1">
        <f t="array" ref="V2588">IF(表成绩单[[#This Row],[历史]]="","",SUMPRODUCT((表成绩单[考试日期]=表成绩单[[#This Row],[考试日期]])*(表成绩单[历史]&lt;9E+307)*(表成绩单[历史]&gt;表成绩单[[#This Row],[历史]]))+1)</f>
        <v>60</v>
      </c>
      <c r="W2588" s="29" cm="1">
        <f t="array" ref="W2588">IF(表成绩单[[#This Row],[总分]]="","",SUMPRODUCT((表成绩单[考试日期]=表成绩单[[#This Row],[考试日期]])*(表成绩单[总分]&lt;9E+307)*(表成绩单[总分]&gt;表成绩单[[#This Row],[总分]]))+1)</f>
        <v>180</v>
      </c>
    </row>
    <row r="2589" ht="28" customHeight="1" spans="4:23">
      <c r="D2589" s="31">
        <v>46108</v>
      </c>
      <c r="E2589" s="29">
        <v>19175700</v>
      </c>
      <c r="F2589" s="29" t="s">
        <v>72</v>
      </c>
      <c r="G2589" s="29" t="s">
        <v>354</v>
      </c>
      <c r="H2589" s="29">
        <v>101</v>
      </c>
      <c r="I2589" s="29">
        <v>105</v>
      </c>
      <c r="J2589" s="29">
        <v>77.5</v>
      </c>
      <c r="K2589" s="29">
        <v>84</v>
      </c>
      <c r="L2589" s="29">
        <v>71</v>
      </c>
      <c r="M2589" s="29">
        <v>78</v>
      </c>
      <c r="N2589" s="29">
        <v>72</v>
      </c>
      <c r="O2589" s="32">
        <v>588.5</v>
      </c>
      <c r="P2589" s="29" cm="1">
        <f t="array" ref="P2589">IF(表成绩单[[#This Row],[语文]]="","",SUMPRODUCT((表成绩单[考试日期]=表成绩单[[#This Row],[考试日期]])*(表成绩单[语文]&lt;9E+307)*(表成绩单[语文]&gt;表成绩单[[#This Row],[语文]]))+1)</f>
        <v>211</v>
      </c>
      <c r="Q2589" s="29" cm="1">
        <f t="array" ref="Q2589">IF(表成绩单[[#This Row],[数学]]="","",SUMPRODUCT((表成绩单[考试日期]=表成绩单[[#This Row],[考试日期]])*(表成绩单[数学]&lt;9E+307)*(表成绩单[数学]&gt;表成绩单[[#This Row],[数学]]))+1)</f>
        <v>52</v>
      </c>
      <c r="R2589" s="29" cm="1">
        <f t="array" ref="R2589">IF(表成绩单[[#This Row],[英语]]="","",SUMPRODUCT((表成绩单[考试日期]=表成绩单[[#This Row],[考试日期]])*(表成绩单[英语]&lt;9E+307)*(表成绩单[英语]&gt;表成绩单[[#This Row],[英语]]))+1)</f>
        <v>353</v>
      </c>
      <c r="S2589" s="29" cm="1">
        <f t="array" ref="S2589">IF(表成绩单[[#This Row],[物理]]="","",SUMPRODUCT((表成绩单[考试日期]=表成绩单[[#This Row],[考试日期]])*(表成绩单[物理]&lt;9E+307)*(表成绩单[物理]&gt;表成绩单[[#This Row],[物理]]))+1)</f>
        <v>146</v>
      </c>
      <c r="T2589" s="29" cm="1">
        <f t="array" ref="T2589">IF(表成绩单[[#This Row],[化学]]="","",SUMPRODUCT((表成绩单[考试日期]=表成绩单[[#This Row],[考试日期]])*(表成绩单[化学]&lt;9E+307)*(表成绩单[化学]&gt;表成绩单[[#This Row],[化学]]))+1)</f>
        <v>217</v>
      </c>
      <c r="U2589" s="29" cm="1">
        <f t="array" ref="U2589">IF(表成绩单[[#This Row],[政治]]="","",SUMPRODUCT((表成绩单[考试日期]=表成绩单[[#This Row],[考试日期]])*(表成绩单[政治]&lt;9E+307)*(表成绩单[政治]&gt;表成绩单[[#This Row],[政治]]))+1)</f>
        <v>171</v>
      </c>
      <c r="V2589" s="29" cm="1">
        <f t="array" ref="V2589">IF(表成绩单[[#This Row],[历史]]="","",SUMPRODUCT((表成绩单[考试日期]=表成绩单[[#This Row],[考试日期]])*(表成绩单[历史]&lt;9E+307)*(表成绩单[历史]&gt;表成绩单[[#This Row],[历史]]))+1)</f>
        <v>470</v>
      </c>
      <c r="W2589" s="29" cm="1">
        <f t="array" ref="W2589">IF(表成绩单[[#This Row],[总分]]="","",SUMPRODUCT((表成绩单[考试日期]=表成绩单[[#This Row],[考试日期]])*(表成绩单[总分]&lt;9E+307)*(表成绩单[总分]&gt;表成绩单[[#This Row],[总分]]))+1)</f>
        <v>180</v>
      </c>
    </row>
    <row r="2590" ht="28" customHeight="1" spans="4:23">
      <c r="D2590" s="31">
        <v>46108</v>
      </c>
      <c r="E2590" s="29">
        <v>19176170</v>
      </c>
      <c r="F2590" s="29" t="s">
        <v>67</v>
      </c>
      <c r="G2590" s="29" t="s">
        <v>403</v>
      </c>
      <c r="H2590" s="29">
        <v>110</v>
      </c>
      <c r="I2590" s="29">
        <v>91</v>
      </c>
      <c r="J2590" s="29">
        <v>85.5</v>
      </c>
      <c r="K2590" s="29">
        <v>80</v>
      </c>
      <c r="L2590" s="29">
        <v>68</v>
      </c>
      <c r="M2590" s="29">
        <v>82</v>
      </c>
      <c r="N2590" s="29">
        <v>72</v>
      </c>
      <c r="O2590" s="32">
        <v>588.5</v>
      </c>
      <c r="P2590" s="29" cm="1">
        <f t="array" ref="P2590">IF(表成绩单[[#This Row],[语文]]="","",SUMPRODUCT((表成绩单[考试日期]=表成绩单[[#This Row],[考试日期]])*(表成绩单[语文]&lt;9E+307)*(表成绩单[语文]&gt;表成绩单[[#This Row],[语文]]))+1)</f>
        <v>24</v>
      </c>
      <c r="Q2590" s="29" cm="1">
        <f t="array" ref="Q2590">IF(表成绩单[[#This Row],[数学]]="","",SUMPRODUCT((表成绩单[考试日期]=表成绩单[[#This Row],[考试日期]])*(表成绩单[数学]&lt;9E+307)*(表成绩单[数学]&gt;表成绩单[[#This Row],[数学]]))+1)</f>
        <v>341</v>
      </c>
      <c r="R2590" s="29" cm="1">
        <f t="array" ref="R2590">IF(表成绩单[[#This Row],[英语]]="","",SUMPRODUCT((表成绩单[考试日期]=表成绩单[[#This Row],[考试日期]])*(表成绩单[英语]&lt;9E+307)*(表成绩单[英语]&gt;表成绩单[[#This Row],[英语]]))+1)</f>
        <v>43</v>
      </c>
      <c r="S2590" s="29" cm="1">
        <f t="array" ref="S2590">IF(表成绩单[[#This Row],[物理]]="","",SUMPRODUCT((表成绩单[考试日期]=表成绩单[[#This Row],[考试日期]])*(表成绩单[物理]&lt;9E+307)*(表成绩单[物理]&gt;表成绩单[[#This Row],[物理]]))+1)</f>
        <v>305</v>
      </c>
      <c r="T2590" s="29" cm="1">
        <f t="array" ref="T2590">IF(表成绩单[[#This Row],[化学]]="","",SUMPRODUCT((表成绩单[考试日期]=表成绩单[[#This Row],[考试日期]])*(表成绩单[化学]&lt;9E+307)*(表成绩单[化学]&gt;表成绩单[[#This Row],[化学]]))+1)</f>
        <v>306</v>
      </c>
      <c r="U2590" s="29" cm="1">
        <f t="array" ref="U2590">IF(表成绩单[[#This Row],[政治]]="","",SUMPRODUCT((表成绩单[考试日期]=表成绩单[[#This Row],[考试日期]])*(表成绩单[政治]&lt;9E+307)*(表成绩单[政治]&gt;表成绩单[[#This Row],[政治]]))+1)</f>
        <v>45</v>
      </c>
      <c r="V2590" s="29" cm="1">
        <f t="array" ref="V2590">IF(表成绩单[[#This Row],[历史]]="","",SUMPRODUCT((表成绩单[考试日期]=表成绩单[[#This Row],[考试日期]])*(表成绩单[历史]&lt;9E+307)*(表成绩单[历史]&gt;表成绩单[[#This Row],[历史]]))+1)</f>
        <v>470</v>
      </c>
      <c r="W2590" s="29" cm="1">
        <f t="array" ref="W2590">IF(表成绩单[[#This Row],[总分]]="","",SUMPRODUCT((表成绩单[考试日期]=表成绩单[[#This Row],[考试日期]])*(表成绩单[总分]&lt;9E+307)*(表成绩单[总分]&gt;表成绩单[[#This Row],[总分]]))+1)</f>
        <v>180</v>
      </c>
    </row>
    <row r="2591" ht="28" customHeight="1" spans="4:23">
      <c r="D2591" s="31">
        <v>46108</v>
      </c>
      <c r="E2591" s="29">
        <v>19175313</v>
      </c>
      <c r="F2591" s="29" t="s">
        <v>55</v>
      </c>
      <c r="G2591" s="29" t="s">
        <v>365</v>
      </c>
      <c r="H2591" s="29">
        <v>101</v>
      </c>
      <c r="I2591" s="29">
        <v>93</v>
      </c>
      <c r="J2591" s="29">
        <v>73</v>
      </c>
      <c r="K2591" s="29">
        <v>86</v>
      </c>
      <c r="L2591" s="29">
        <v>78</v>
      </c>
      <c r="M2591" s="29">
        <v>76</v>
      </c>
      <c r="N2591" s="29">
        <v>81</v>
      </c>
      <c r="O2591" s="32">
        <v>588</v>
      </c>
      <c r="P2591" s="29" cm="1">
        <f t="array" ref="P2591">IF(表成绩单[[#This Row],[语文]]="","",SUMPRODUCT((表成绩单[考试日期]=表成绩单[[#This Row],[考试日期]])*(表成绩单[语文]&lt;9E+307)*(表成绩单[语文]&gt;表成绩单[[#This Row],[语文]]))+1)</f>
        <v>211</v>
      </c>
      <c r="Q2591" s="29" cm="1">
        <f t="array" ref="Q2591">IF(表成绩单[[#This Row],[数学]]="","",SUMPRODUCT((表成绩单[考试日期]=表成绩单[[#This Row],[考试日期]])*(表成绩单[数学]&lt;9E+307)*(表成绩单[数学]&gt;表成绩单[[#This Row],[数学]]))+1)</f>
        <v>289</v>
      </c>
      <c r="R2591" s="29" cm="1">
        <f t="array" ref="R2591">IF(表成绩单[[#This Row],[英语]]="","",SUMPRODUCT((表成绩单[考试日期]=表成绩单[[#This Row],[考试日期]])*(表成绩单[英语]&lt;9E+307)*(表成绩单[英语]&gt;表成绩单[[#This Row],[英语]]))+1)</f>
        <v>478</v>
      </c>
      <c r="S2591" s="29" cm="1">
        <f t="array" ref="S2591">IF(表成绩单[[#This Row],[物理]]="","",SUMPRODUCT((表成绩单[考试日期]=表成绩单[[#This Row],[考试日期]])*(表成绩单[物理]&lt;9E+307)*(表成绩单[物理]&gt;表成绩单[[#This Row],[物理]]))+1)</f>
        <v>61</v>
      </c>
      <c r="T2591" s="29" cm="1">
        <f t="array" ref="T2591">IF(表成绩单[[#This Row],[化学]]="","",SUMPRODUCT((表成绩单[考试日期]=表成绩单[[#This Row],[考试日期]])*(表成绩单[化学]&lt;9E+307)*(表成绩单[化学]&gt;表成绩单[[#This Row],[化学]]))+1)</f>
        <v>47</v>
      </c>
      <c r="U2591" s="29" cm="1">
        <f t="array" ref="U2591">IF(表成绩单[[#This Row],[政治]]="","",SUMPRODUCT((表成绩单[考试日期]=表成绩单[[#This Row],[考试日期]])*(表成绩单[政治]&lt;9E+307)*(表成绩单[政治]&gt;表成绩单[[#This Row],[政治]]))+1)</f>
        <v>291</v>
      </c>
      <c r="V2591" s="29" cm="1">
        <f t="array" ref="V2591">IF(表成绩单[[#This Row],[历史]]="","",SUMPRODUCT((表成绩单[考试日期]=表成绩单[[#This Row],[考试日期]])*(表成绩单[历史]&lt;9E+307)*(表成绩单[历史]&gt;表成绩单[[#This Row],[历史]]))+1)</f>
        <v>106</v>
      </c>
      <c r="W2591" s="29" cm="1">
        <f t="array" ref="W2591">IF(表成绩单[[#This Row],[总分]]="","",SUMPRODUCT((表成绩单[考试日期]=表成绩单[[#This Row],[考试日期]])*(表成绩单[总分]&lt;9E+307)*(表成绩单[总分]&gt;表成绩单[[#This Row],[总分]]))+1)</f>
        <v>184</v>
      </c>
    </row>
    <row r="2592" ht="28" customHeight="1" spans="4:23">
      <c r="D2592" s="31">
        <v>46108</v>
      </c>
      <c r="E2592" s="29">
        <v>19177214</v>
      </c>
      <c r="F2592" s="29" t="s">
        <v>70</v>
      </c>
      <c r="G2592" s="29" t="s">
        <v>283</v>
      </c>
      <c r="H2592" s="29">
        <v>101</v>
      </c>
      <c r="I2592" s="29">
        <v>92</v>
      </c>
      <c r="J2592" s="29">
        <v>81</v>
      </c>
      <c r="K2592" s="29">
        <v>82</v>
      </c>
      <c r="L2592" s="29">
        <v>72</v>
      </c>
      <c r="M2592" s="29">
        <v>85</v>
      </c>
      <c r="N2592" s="29">
        <v>75</v>
      </c>
      <c r="O2592" s="32">
        <v>588</v>
      </c>
      <c r="P2592" s="29" cm="1">
        <f t="array" ref="P2592">IF(表成绩单[[#This Row],[语文]]="","",SUMPRODUCT((表成绩单[考试日期]=表成绩单[[#This Row],[考试日期]])*(表成绩单[语文]&lt;9E+307)*(表成绩单[语文]&gt;表成绩单[[#This Row],[语文]]))+1)</f>
        <v>211</v>
      </c>
      <c r="Q2592" s="29" cm="1">
        <f t="array" ref="Q2592">IF(表成绩单[[#This Row],[数学]]="","",SUMPRODUCT((表成绩单[考试日期]=表成绩单[[#This Row],[考试日期]])*(表成绩单[数学]&lt;9E+307)*(表成绩单[数学]&gt;表成绩单[[#This Row],[数学]]))+1)</f>
        <v>312</v>
      </c>
      <c r="R2592" s="29" cm="1">
        <f t="array" ref="R2592">IF(表成绩单[[#This Row],[英语]]="","",SUMPRODUCT((表成绩单[考试日期]=表成绩单[[#This Row],[考试日期]])*(表成绩单[英语]&lt;9E+307)*(表成绩单[英语]&gt;表成绩单[[#This Row],[英语]]))+1)</f>
        <v>227</v>
      </c>
      <c r="S2592" s="29" cm="1">
        <f t="array" ref="S2592">IF(表成绩单[[#This Row],[物理]]="","",SUMPRODUCT((表成绩单[考试日期]=表成绩单[[#This Row],[考试日期]])*(表成绩单[物理]&lt;9E+307)*(表成绩单[物理]&gt;表成绩单[[#This Row],[物理]]))+1)</f>
        <v>223</v>
      </c>
      <c r="T2592" s="29" cm="1">
        <f t="array" ref="T2592">IF(表成绩单[[#This Row],[化学]]="","",SUMPRODUCT((表成绩单[考试日期]=表成绩单[[#This Row],[考试日期]])*(表成绩单[化学]&lt;9E+307)*(表成绩单[化学]&gt;表成绩单[[#This Row],[化学]]))+1)</f>
        <v>187</v>
      </c>
      <c r="U2592" s="29" cm="1">
        <f t="array" ref="U2592">IF(表成绩单[[#This Row],[政治]]="","",SUMPRODUCT((表成绩单[考试日期]=表成绩单[[#This Row],[考试日期]])*(表成绩单[政治]&lt;9E+307)*(表成绩单[政治]&gt;表成绩单[[#This Row],[政治]]))+1)</f>
        <v>5</v>
      </c>
      <c r="V2592" s="29" cm="1">
        <f t="array" ref="V2592">IF(表成绩单[[#This Row],[历史]]="","",SUMPRODUCT((表成绩单[考试日期]=表成绩单[[#This Row],[考试日期]])*(表成绩单[历史]&lt;9E+307)*(表成绩单[历史]&gt;表成绩单[[#This Row],[历史]]))+1)</f>
        <v>354</v>
      </c>
      <c r="W2592" s="29" cm="1">
        <f t="array" ref="W2592">IF(表成绩单[[#This Row],[总分]]="","",SUMPRODUCT((表成绩单[考试日期]=表成绩单[[#This Row],[考试日期]])*(表成绩单[总分]&lt;9E+307)*(表成绩单[总分]&gt;表成绩单[[#This Row],[总分]]))+1)</f>
        <v>184</v>
      </c>
    </row>
    <row r="2593" ht="28" customHeight="1" spans="4:23">
      <c r="D2593" s="31">
        <v>46108</v>
      </c>
      <c r="E2593" s="29">
        <v>19177232</v>
      </c>
      <c r="F2593" s="29" t="s">
        <v>70</v>
      </c>
      <c r="G2593" s="29" t="s">
        <v>293</v>
      </c>
      <c r="H2593" s="29">
        <v>92</v>
      </c>
      <c r="I2593" s="29">
        <v>100</v>
      </c>
      <c r="J2593" s="29">
        <v>80</v>
      </c>
      <c r="K2593" s="29">
        <v>86</v>
      </c>
      <c r="L2593" s="29">
        <v>75</v>
      </c>
      <c r="M2593" s="29">
        <v>78</v>
      </c>
      <c r="N2593" s="29">
        <v>77</v>
      </c>
      <c r="O2593" s="32">
        <v>588</v>
      </c>
      <c r="P2593" s="29" cm="1">
        <f t="array" ref="P2593">IF(表成绩单[[#This Row],[语文]]="","",SUMPRODUCT((表成绩单[考试日期]=表成绩单[[#This Row],[考试日期]])*(表成绩单[语文]&lt;9E+307)*(表成绩单[语文]&gt;表成绩单[[#This Row],[语文]]))+1)</f>
        <v>494</v>
      </c>
      <c r="Q2593" s="29" cm="1">
        <f t="array" ref="Q2593">IF(表成绩单[[#This Row],[数学]]="","",SUMPRODUCT((表成绩单[考试日期]=表成绩单[[#This Row],[考试日期]])*(表成绩单[数学]&lt;9E+307)*(表成绩单[数学]&gt;表成绩单[[#This Row],[数学]]))+1)</f>
        <v>121</v>
      </c>
      <c r="R2593" s="29" cm="1">
        <f t="array" ref="R2593">IF(表成绩单[[#This Row],[英语]]="","",SUMPRODUCT((表成绩单[考试日期]=表成绩单[[#This Row],[考试日期]])*(表成绩单[英语]&lt;9E+307)*(表成绩单[英语]&gt;表成绩单[[#This Row],[英语]]))+1)</f>
        <v>266</v>
      </c>
      <c r="S2593" s="29" cm="1">
        <f t="array" ref="S2593">IF(表成绩单[[#This Row],[物理]]="","",SUMPRODUCT((表成绩单[考试日期]=表成绩单[[#This Row],[考试日期]])*(表成绩单[物理]&lt;9E+307)*(表成绩单[物理]&gt;表成绩单[[#This Row],[物理]]))+1)</f>
        <v>61</v>
      </c>
      <c r="T2593" s="29" cm="1">
        <f t="array" ref="T2593">IF(表成绩单[[#This Row],[化学]]="","",SUMPRODUCT((表成绩单[考试日期]=表成绩单[[#This Row],[考试日期]])*(表成绩单[化学]&lt;9E+307)*(表成绩单[化学]&gt;表成绩单[[#This Row],[化学]]))+1)</f>
        <v>96</v>
      </c>
      <c r="U2593" s="29" cm="1">
        <f t="array" ref="U2593">IF(表成绩单[[#This Row],[政治]]="","",SUMPRODUCT((表成绩单[考试日期]=表成绩单[[#This Row],[考试日期]])*(表成绩单[政治]&lt;9E+307)*(表成绩单[政治]&gt;表成绩单[[#This Row],[政治]]))+1)</f>
        <v>171</v>
      </c>
      <c r="V2593" s="29" cm="1">
        <f t="array" ref="V2593">IF(表成绩单[[#This Row],[历史]]="","",SUMPRODUCT((表成绩单[考试日期]=表成绩单[[#This Row],[考试日期]])*(表成绩单[历史]&lt;9E+307)*(表成绩单[历史]&gt;表成绩单[[#This Row],[历史]]))+1)</f>
        <v>269</v>
      </c>
      <c r="W2593" s="29" cm="1">
        <f t="array" ref="W2593">IF(表成绩单[[#This Row],[总分]]="","",SUMPRODUCT((表成绩单[考试日期]=表成绩单[[#This Row],[考试日期]])*(表成绩单[总分]&lt;9E+307)*(表成绩单[总分]&gt;表成绩单[[#This Row],[总分]]))+1)</f>
        <v>184</v>
      </c>
    </row>
    <row r="2594" ht="28" customHeight="1" spans="4:23">
      <c r="D2594" s="31">
        <v>46108</v>
      </c>
      <c r="E2594" s="29">
        <v>19171079</v>
      </c>
      <c r="F2594" s="29" t="s">
        <v>67</v>
      </c>
      <c r="G2594" s="29" t="s">
        <v>141</v>
      </c>
      <c r="H2594" s="29">
        <v>94</v>
      </c>
      <c r="I2594" s="29">
        <v>105</v>
      </c>
      <c r="J2594" s="29">
        <v>83.5</v>
      </c>
      <c r="K2594" s="29">
        <v>73</v>
      </c>
      <c r="L2594" s="29">
        <v>72</v>
      </c>
      <c r="M2594" s="29">
        <v>77</v>
      </c>
      <c r="N2594" s="29">
        <v>83</v>
      </c>
      <c r="O2594" s="32">
        <v>587.5</v>
      </c>
      <c r="P2594" s="29" cm="1">
        <f t="array" ref="P2594">IF(表成绩单[[#This Row],[语文]]="","",SUMPRODUCT((表成绩单[考试日期]=表成绩单[[#This Row],[考试日期]])*(表成绩单[语文]&lt;9E+307)*(表成绩单[语文]&gt;表成绩单[[#This Row],[语文]]))+1)</f>
        <v>449</v>
      </c>
      <c r="Q2594" s="29" cm="1">
        <f t="array" ref="Q2594">IF(表成绩单[[#This Row],[数学]]="","",SUMPRODUCT((表成绩单[考试日期]=表成绩单[[#This Row],[考试日期]])*(表成绩单[数学]&lt;9E+307)*(表成绩单[数学]&gt;表成绩单[[#This Row],[数学]]))+1)</f>
        <v>52</v>
      </c>
      <c r="R2594" s="29" cm="1">
        <f t="array" ref="R2594">IF(表成绩单[[#This Row],[英语]]="","",SUMPRODUCT((表成绩单[考试日期]=表成绩单[[#This Row],[考试日期]])*(表成绩单[英语]&lt;9E+307)*(表成绩单[英语]&gt;表成绩单[[#This Row],[英语]]))+1)</f>
        <v>122</v>
      </c>
      <c r="S2594" s="29" cm="1">
        <f t="array" ref="S2594">IF(表成绩单[[#This Row],[物理]]="","",SUMPRODUCT((表成绩单[考试日期]=表成绩单[[#This Row],[考试日期]])*(表成绩单[物理]&lt;9E+307)*(表成绩单[物理]&gt;表成绩单[[#This Row],[物理]]))+1)</f>
        <v>500</v>
      </c>
      <c r="T2594" s="29" cm="1">
        <f t="array" ref="T2594">IF(表成绩单[[#This Row],[化学]]="","",SUMPRODUCT((表成绩单[考试日期]=表成绩单[[#This Row],[考试日期]])*(表成绩单[化学]&lt;9E+307)*(表成绩单[化学]&gt;表成绩单[[#This Row],[化学]]))+1)</f>
        <v>187</v>
      </c>
      <c r="U2594" s="29" cm="1">
        <f t="array" ref="U2594">IF(表成绩单[[#This Row],[政治]]="","",SUMPRODUCT((表成绩单[考试日期]=表成绩单[[#This Row],[考试日期]])*(表成绩单[政治]&lt;9E+307)*(表成绩单[政治]&gt;表成绩单[[#This Row],[政治]]))+1)</f>
        <v>230</v>
      </c>
      <c r="V2594" s="29" cm="1">
        <f t="array" ref="V2594">IF(表成绩单[[#This Row],[历史]]="","",SUMPRODUCT((表成绩单[考试日期]=表成绩单[[#This Row],[考试日期]])*(表成绩单[历史]&lt;9E+307)*(表成绩单[历史]&gt;表成绩单[[#This Row],[历史]]))+1)</f>
        <v>60</v>
      </c>
      <c r="W2594" s="29" cm="1">
        <f t="array" ref="W2594">IF(表成绩单[[#This Row],[总分]]="","",SUMPRODUCT((表成绩单[考试日期]=表成绩单[[#This Row],[考试日期]])*(表成绩单[总分]&lt;9E+307)*(表成绩单[总分]&gt;表成绩单[[#This Row],[总分]]))+1)</f>
        <v>187</v>
      </c>
    </row>
    <row r="2595" ht="28" customHeight="1" spans="4:23">
      <c r="D2595" s="31">
        <v>46108</v>
      </c>
      <c r="E2595" s="29">
        <v>19174459</v>
      </c>
      <c r="F2595" s="29" t="s">
        <v>73</v>
      </c>
      <c r="G2595" s="29" t="s">
        <v>399</v>
      </c>
      <c r="H2595" s="29">
        <v>100</v>
      </c>
      <c r="I2595" s="29">
        <v>99</v>
      </c>
      <c r="J2595" s="29">
        <v>85.5</v>
      </c>
      <c r="K2595" s="29">
        <v>81</v>
      </c>
      <c r="L2595" s="29">
        <v>69</v>
      </c>
      <c r="M2595" s="29">
        <v>69</v>
      </c>
      <c r="N2595" s="29">
        <v>84</v>
      </c>
      <c r="O2595" s="32">
        <v>587.5</v>
      </c>
      <c r="P2595" s="29" cm="1">
        <f t="array" ref="P2595">IF(表成绩单[[#This Row],[语文]]="","",SUMPRODUCT((表成绩单[考试日期]=表成绩单[[#This Row],[考试日期]])*(表成绩单[语文]&lt;9E+307)*(表成绩单[语文]&gt;表成绩单[[#This Row],[语文]]))+1)</f>
        <v>247</v>
      </c>
      <c r="Q2595" s="29" cm="1">
        <f t="array" ref="Q2595">IF(表成绩单[[#This Row],[数学]]="","",SUMPRODUCT((表成绩单[考试日期]=表成绩单[[#This Row],[考试日期]])*(表成绩单[数学]&lt;9E+307)*(表成绩单[数学]&gt;表成绩单[[#This Row],[数学]]))+1)</f>
        <v>140</v>
      </c>
      <c r="R2595" s="29" cm="1">
        <f t="array" ref="R2595">IF(表成绩单[[#This Row],[英语]]="","",SUMPRODUCT((表成绩单[考试日期]=表成绩单[[#This Row],[考试日期]])*(表成绩单[英语]&lt;9E+307)*(表成绩单[英语]&gt;表成绩单[[#This Row],[英语]]))+1)</f>
        <v>43</v>
      </c>
      <c r="S2595" s="29" cm="1">
        <f t="array" ref="S2595">IF(表成绩单[[#This Row],[物理]]="","",SUMPRODUCT((表成绩单[考试日期]=表成绩单[[#This Row],[考试日期]])*(表成绩单[物理]&lt;9E+307)*(表成绩单[物理]&gt;表成绩单[[#This Row],[物理]]))+1)</f>
        <v>269</v>
      </c>
      <c r="T2595" s="29" cm="1">
        <f t="array" ref="T2595">IF(表成绩单[[#This Row],[化学]]="","",SUMPRODUCT((表成绩单[考试日期]=表成绩单[[#This Row],[考试日期]])*(表成绩单[化学]&lt;9E+307)*(表成绩单[化学]&gt;表成绩单[[#This Row],[化学]]))+1)</f>
        <v>269</v>
      </c>
      <c r="U2595" s="29" cm="1">
        <f t="array" ref="U2595">IF(表成绩单[[#This Row],[政治]]="","",SUMPRODUCT((表成绩单[考试日期]=表成绩单[[#This Row],[考试日期]])*(表成绩单[政治]&lt;9E+307)*(表成绩单[政治]&gt;表成绩单[[#This Row],[政治]]))+1)</f>
        <v>567</v>
      </c>
      <c r="V2595" s="29" cm="1">
        <f t="array" ref="V2595">IF(表成绩单[[#This Row],[历史]]="","",SUMPRODUCT((表成绩单[考试日期]=表成绩单[[#This Row],[考试日期]])*(表成绩单[历史]&lt;9E+307)*(表成绩单[历史]&gt;表成绩单[[#This Row],[历史]]))+1)</f>
        <v>38</v>
      </c>
      <c r="W2595" s="29" cm="1">
        <f t="array" ref="W2595">IF(表成绩单[[#This Row],[总分]]="","",SUMPRODUCT((表成绩单[考试日期]=表成绩单[[#This Row],[考试日期]])*(表成绩单[总分]&lt;9E+307)*(表成绩单[总分]&gt;表成绩单[[#This Row],[总分]]))+1)</f>
        <v>187</v>
      </c>
    </row>
    <row r="2596" ht="28" customHeight="1" spans="4:23">
      <c r="D2596" s="31">
        <v>46108</v>
      </c>
      <c r="E2596" s="29">
        <v>19175394</v>
      </c>
      <c r="F2596" s="29" t="s">
        <v>74</v>
      </c>
      <c r="G2596" s="29" t="s">
        <v>417</v>
      </c>
      <c r="H2596" s="29">
        <v>101</v>
      </c>
      <c r="I2596" s="29">
        <v>105</v>
      </c>
      <c r="J2596" s="29">
        <v>75.5</v>
      </c>
      <c r="K2596" s="29">
        <v>86</v>
      </c>
      <c r="L2596" s="29">
        <v>68</v>
      </c>
      <c r="M2596" s="29">
        <v>78</v>
      </c>
      <c r="N2596" s="29">
        <v>74</v>
      </c>
      <c r="O2596" s="32">
        <v>587.5</v>
      </c>
      <c r="P2596" s="29" cm="1">
        <f t="array" ref="P2596">IF(表成绩单[[#This Row],[语文]]="","",SUMPRODUCT((表成绩单[考试日期]=表成绩单[[#This Row],[考试日期]])*(表成绩单[语文]&lt;9E+307)*(表成绩单[语文]&gt;表成绩单[[#This Row],[语文]]))+1)</f>
        <v>211</v>
      </c>
      <c r="Q2596" s="29" cm="1">
        <f t="array" ref="Q2596">IF(表成绩单[[#This Row],[数学]]="","",SUMPRODUCT((表成绩单[考试日期]=表成绩单[[#This Row],[考试日期]])*(表成绩单[数学]&lt;9E+307)*(表成绩单[数学]&gt;表成绩单[[#This Row],[数学]]))+1)</f>
        <v>52</v>
      </c>
      <c r="R2596" s="29" cm="1">
        <f t="array" ref="R2596">IF(表成绩单[[#This Row],[英语]]="","",SUMPRODUCT((表成绩单[考试日期]=表成绩单[[#This Row],[考试日期]])*(表成绩单[英语]&lt;9E+307)*(表成绩单[英语]&gt;表成绩单[[#This Row],[英语]]))+1)</f>
        <v>421</v>
      </c>
      <c r="S2596" s="29" cm="1">
        <f t="array" ref="S2596">IF(表成绩单[[#This Row],[物理]]="","",SUMPRODUCT((表成绩单[考试日期]=表成绩单[[#This Row],[考试日期]])*(表成绩单[物理]&lt;9E+307)*(表成绩单[物理]&gt;表成绩单[[#This Row],[物理]]))+1)</f>
        <v>61</v>
      </c>
      <c r="T2596" s="29" cm="1">
        <f t="array" ref="T2596">IF(表成绩单[[#This Row],[化学]]="","",SUMPRODUCT((表成绩单[考试日期]=表成绩单[[#This Row],[考试日期]])*(表成绩单[化学]&lt;9E+307)*(表成绩单[化学]&gt;表成绩单[[#This Row],[化学]]))+1)</f>
        <v>306</v>
      </c>
      <c r="U2596" s="29" cm="1">
        <f t="array" ref="U2596">IF(表成绩单[[#This Row],[政治]]="","",SUMPRODUCT((表成绩单[考试日期]=表成绩单[[#This Row],[考试日期]])*(表成绩单[政治]&lt;9E+307)*(表成绩单[政治]&gt;表成绩单[[#This Row],[政治]]))+1)</f>
        <v>171</v>
      </c>
      <c r="V2596" s="29" cm="1">
        <f t="array" ref="V2596">IF(表成绩单[[#This Row],[历史]]="","",SUMPRODUCT((表成绩单[考试日期]=表成绩单[[#This Row],[考试日期]])*(表成绩单[历史]&lt;9E+307)*(表成绩单[历史]&gt;表成绩单[[#This Row],[历史]]))+1)</f>
        <v>389</v>
      </c>
      <c r="W2596" s="29" cm="1">
        <f t="array" ref="W2596">IF(表成绩单[[#This Row],[总分]]="","",SUMPRODUCT((表成绩单[考试日期]=表成绩单[[#This Row],[考试日期]])*(表成绩单[总分]&lt;9E+307)*(表成绩单[总分]&gt;表成绩单[[#This Row],[总分]]))+1)</f>
        <v>187</v>
      </c>
    </row>
    <row r="2597" ht="28" customHeight="1" spans="4:23">
      <c r="D2597" s="31">
        <v>46108</v>
      </c>
      <c r="E2597" s="29">
        <v>19175647</v>
      </c>
      <c r="F2597" s="29" t="s">
        <v>66</v>
      </c>
      <c r="G2597" s="29" t="s">
        <v>200</v>
      </c>
      <c r="H2597" s="29">
        <v>98</v>
      </c>
      <c r="I2597" s="29">
        <v>94</v>
      </c>
      <c r="J2597" s="29">
        <v>77.5</v>
      </c>
      <c r="K2597" s="29">
        <v>83</v>
      </c>
      <c r="L2597" s="29">
        <v>72</v>
      </c>
      <c r="M2597" s="29">
        <v>79</v>
      </c>
      <c r="N2597" s="29">
        <v>84</v>
      </c>
      <c r="O2597" s="32">
        <v>587.5</v>
      </c>
      <c r="P2597" s="29" cm="1">
        <f t="array" ref="P2597">IF(表成绩单[[#This Row],[语文]]="","",SUMPRODUCT((表成绩单[考试日期]=表成绩单[[#This Row],[考试日期]])*(表成绩单[语文]&lt;9E+307)*(表成绩单[语文]&gt;表成绩单[[#This Row],[语文]]))+1)</f>
        <v>322</v>
      </c>
      <c r="Q2597" s="29" cm="1">
        <f t="array" ref="Q2597">IF(表成绩单[[#This Row],[数学]]="","",SUMPRODUCT((表成绩单[考试日期]=表成绩单[[#This Row],[考试日期]])*(表成绩单[数学]&lt;9E+307)*(表成绩单[数学]&gt;表成绩单[[#This Row],[数学]]))+1)</f>
        <v>258</v>
      </c>
      <c r="R2597" s="29" cm="1">
        <f t="array" ref="R2597">IF(表成绩单[[#This Row],[英语]]="","",SUMPRODUCT((表成绩单[考试日期]=表成绩单[[#This Row],[考试日期]])*(表成绩单[英语]&lt;9E+307)*(表成绩单[英语]&gt;表成绩单[[#This Row],[英语]]))+1)</f>
        <v>353</v>
      </c>
      <c r="S2597" s="29" cm="1">
        <f t="array" ref="S2597">IF(表成绩单[[#This Row],[物理]]="","",SUMPRODUCT((表成绩单[考试日期]=表成绩单[[#This Row],[考试日期]])*(表成绩单[物理]&lt;9E+307)*(表成绩单[物理]&gt;表成绩单[[#This Row],[物理]]))+1)</f>
        <v>184</v>
      </c>
      <c r="T2597" s="29" cm="1">
        <f t="array" ref="T2597">IF(表成绩单[[#This Row],[化学]]="","",SUMPRODUCT((表成绩单[考试日期]=表成绩单[[#This Row],[考试日期]])*(表成绩单[化学]&lt;9E+307)*(表成绩单[化学]&gt;表成绩单[[#This Row],[化学]]))+1)</f>
        <v>187</v>
      </c>
      <c r="U2597" s="29" cm="1">
        <f t="array" ref="U2597">IF(表成绩单[[#This Row],[政治]]="","",SUMPRODUCT((表成绩单[考试日期]=表成绩单[[#This Row],[考试日期]])*(表成绩单[政治]&lt;9E+307)*(表成绩单[政治]&gt;表成绩单[[#This Row],[政治]]))+1)</f>
        <v>134</v>
      </c>
      <c r="V2597" s="29" cm="1">
        <f t="array" ref="V2597">IF(表成绩单[[#This Row],[历史]]="","",SUMPRODUCT((表成绩单[考试日期]=表成绩单[[#This Row],[考试日期]])*(表成绩单[历史]&lt;9E+307)*(表成绩单[历史]&gt;表成绩单[[#This Row],[历史]]))+1)</f>
        <v>38</v>
      </c>
      <c r="W2597" s="29" cm="1">
        <f t="array" ref="W2597">IF(表成绩单[[#This Row],[总分]]="","",SUMPRODUCT((表成绩单[考试日期]=表成绩单[[#This Row],[考试日期]])*(表成绩单[总分]&lt;9E+307)*(表成绩单[总分]&gt;表成绩单[[#This Row],[总分]]))+1)</f>
        <v>187</v>
      </c>
    </row>
    <row r="2598" ht="28" customHeight="1" spans="4:23">
      <c r="D2598" s="31">
        <v>46108</v>
      </c>
      <c r="E2598" s="29">
        <v>19175679</v>
      </c>
      <c r="F2598" s="29" t="s">
        <v>72</v>
      </c>
      <c r="G2598" s="29" t="s">
        <v>155</v>
      </c>
      <c r="H2598" s="29">
        <v>94</v>
      </c>
      <c r="I2598" s="29">
        <v>102</v>
      </c>
      <c r="J2598" s="29">
        <v>82.5</v>
      </c>
      <c r="K2598" s="29">
        <v>87</v>
      </c>
      <c r="L2598" s="29">
        <v>70</v>
      </c>
      <c r="M2598" s="29">
        <v>71</v>
      </c>
      <c r="N2598" s="29">
        <v>81</v>
      </c>
      <c r="O2598" s="32">
        <v>587.5</v>
      </c>
      <c r="P2598" s="29" cm="1">
        <f t="array" ref="P2598">IF(表成绩单[[#This Row],[语文]]="","",SUMPRODUCT((表成绩单[考试日期]=表成绩单[[#This Row],[考试日期]])*(表成绩单[语文]&lt;9E+307)*(表成绩单[语文]&gt;表成绩单[[#This Row],[语文]]))+1)</f>
        <v>449</v>
      </c>
      <c r="Q2598" s="29" cm="1">
        <f t="array" ref="Q2598">IF(表成绩单[[#This Row],[数学]]="","",SUMPRODUCT((表成绩单[考试日期]=表成绩单[[#This Row],[考试日期]])*(表成绩单[数学]&lt;9E+307)*(表成绩单[数学]&gt;表成绩单[[#This Row],[数学]]))+1)</f>
        <v>98</v>
      </c>
      <c r="R2598" s="29" cm="1">
        <f t="array" ref="R2598">IF(表成绩单[[#This Row],[英语]]="","",SUMPRODUCT((表成绩单[考试日期]=表成绩单[[#This Row],[考试日期]])*(表成绩单[英语]&lt;9E+307)*(表成绩单[英语]&gt;表成绩单[[#This Row],[英语]]))+1)</f>
        <v>156</v>
      </c>
      <c r="S2598" s="29" cm="1">
        <f t="array" ref="S2598">IF(表成绩单[[#This Row],[物理]]="","",SUMPRODUCT((表成绩单[考试日期]=表成绩单[[#This Row],[考试日期]])*(表成绩单[物理]&lt;9E+307)*(表成绩单[物理]&gt;表成绩单[[#This Row],[物理]]))+1)</f>
        <v>49</v>
      </c>
      <c r="T2598" s="29" cm="1">
        <f t="array" ref="T2598">IF(表成绩单[[#This Row],[化学]]="","",SUMPRODUCT((表成绩单[考试日期]=表成绩单[[#This Row],[考试日期]])*(表成绩单[化学]&lt;9E+307)*(表成绩单[化学]&gt;表成绩单[[#This Row],[化学]]))+1)</f>
        <v>241</v>
      </c>
      <c r="U2598" s="29" cm="1">
        <f t="array" ref="U2598">IF(表成绩单[[#This Row],[政治]]="","",SUMPRODUCT((表成绩单[考试日期]=表成绩单[[#This Row],[考试日期]])*(表成绩单[政治]&lt;9E+307)*(表成绩单[政治]&gt;表成绩单[[#This Row],[政治]]))+1)</f>
        <v>513</v>
      </c>
      <c r="V2598" s="29" cm="1">
        <f t="array" ref="V2598">IF(表成绩单[[#This Row],[历史]]="","",SUMPRODUCT((表成绩单[考试日期]=表成绩单[[#This Row],[考试日期]])*(表成绩单[历史]&lt;9E+307)*(表成绩单[历史]&gt;表成绩单[[#This Row],[历史]]))+1)</f>
        <v>106</v>
      </c>
      <c r="W2598" s="29" cm="1">
        <f t="array" ref="W2598">IF(表成绩单[[#This Row],[总分]]="","",SUMPRODUCT((表成绩单[考试日期]=表成绩单[[#This Row],[考试日期]])*(表成绩单[总分]&lt;9E+307)*(表成绩单[总分]&gt;表成绩单[[#This Row],[总分]]))+1)</f>
        <v>187</v>
      </c>
    </row>
    <row r="2599" ht="28" customHeight="1" spans="4:23">
      <c r="D2599" s="31">
        <v>46108</v>
      </c>
      <c r="E2599" s="29">
        <v>19177193</v>
      </c>
      <c r="F2599" s="29" t="s">
        <v>70</v>
      </c>
      <c r="G2599" s="29" t="s">
        <v>192</v>
      </c>
      <c r="H2599" s="29">
        <v>105</v>
      </c>
      <c r="I2599" s="29">
        <v>104</v>
      </c>
      <c r="J2599" s="29">
        <v>79.5</v>
      </c>
      <c r="K2599" s="29">
        <v>85</v>
      </c>
      <c r="L2599" s="29">
        <v>70</v>
      </c>
      <c r="M2599" s="29">
        <v>65</v>
      </c>
      <c r="N2599" s="29">
        <v>79</v>
      </c>
      <c r="O2599" s="32">
        <v>587.5</v>
      </c>
      <c r="P2599" s="29" cm="1">
        <f t="array" ref="P2599">IF(表成绩单[[#This Row],[语文]]="","",SUMPRODUCT((表成绩单[考试日期]=表成绩单[[#This Row],[考试日期]])*(表成绩单[语文]&lt;9E+307)*(表成绩单[语文]&gt;表成绩单[[#This Row],[语文]]))+1)</f>
        <v>101</v>
      </c>
      <c r="Q2599" s="29" cm="1">
        <f t="array" ref="Q2599">IF(表成绩单[[#This Row],[数学]]="","",SUMPRODUCT((表成绩单[考试日期]=表成绩单[[#This Row],[考试日期]])*(表成绩单[数学]&lt;9E+307)*(表成绩单[数学]&gt;表成绩单[[#This Row],[数学]]))+1)</f>
        <v>68</v>
      </c>
      <c r="R2599" s="29" cm="1">
        <f t="array" ref="R2599">IF(表成绩单[[#This Row],[英语]]="","",SUMPRODUCT((表成绩单[考试日期]=表成绩单[[#This Row],[考试日期]])*(表成绩单[英语]&lt;9E+307)*(表成绩单[英语]&gt;表成绩单[[#This Row],[英语]]))+1)</f>
        <v>286</v>
      </c>
      <c r="S2599" s="29" cm="1">
        <f t="array" ref="S2599">IF(表成绩单[[#This Row],[物理]]="","",SUMPRODUCT((表成绩单[考试日期]=表成绩单[[#This Row],[考试日期]])*(表成绩单[物理]&lt;9E+307)*(表成绩单[物理]&gt;表成绩单[[#This Row],[物理]]))+1)</f>
        <v>105</v>
      </c>
      <c r="T2599" s="29" cm="1">
        <f t="array" ref="T2599">IF(表成绩单[[#This Row],[化学]]="","",SUMPRODUCT((表成绩单[考试日期]=表成绩单[[#This Row],[考试日期]])*(表成绩单[化学]&lt;9E+307)*(表成绩单[化学]&gt;表成绩单[[#This Row],[化学]]))+1)</f>
        <v>241</v>
      </c>
      <c r="U2599" s="29" cm="1">
        <f t="array" ref="U2599">IF(表成绩单[[#This Row],[政治]]="","",SUMPRODUCT((表成绩单[考试日期]=表成绩单[[#This Row],[考试日期]])*(表成绩单[政治]&lt;9E+307)*(表成绩单[政治]&gt;表成绩单[[#This Row],[政治]]))+1)</f>
        <v>655</v>
      </c>
      <c r="V2599" s="29" cm="1">
        <f t="array" ref="V2599">IF(表成绩单[[#This Row],[历史]]="","",SUMPRODUCT((表成绩单[考试日期]=表成绩单[[#This Row],[考试日期]])*(表成绩单[历史]&lt;9E+307)*(表成绩单[历史]&gt;表成绩单[[#This Row],[历史]]))+1)</f>
        <v>173</v>
      </c>
      <c r="W2599" s="29" cm="1">
        <f t="array" ref="W2599">IF(表成绩单[[#This Row],[总分]]="","",SUMPRODUCT((表成绩单[考试日期]=表成绩单[[#This Row],[考试日期]])*(表成绩单[总分]&lt;9E+307)*(表成绩单[总分]&gt;表成绩单[[#This Row],[总分]]))+1)</f>
        <v>187</v>
      </c>
    </row>
    <row r="2600" ht="28" customHeight="1" spans="4:23">
      <c r="D2600" s="31">
        <v>46108</v>
      </c>
      <c r="E2600" s="29">
        <v>19177215</v>
      </c>
      <c r="F2600" s="29" t="s">
        <v>70</v>
      </c>
      <c r="G2600" s="29" t="s">
        <v>292</v>
      </c>
      <c r="H2600" s="29">
        <v>99</v>
      </c>
      <c r="I2600" s="29">
        <v>102</v>
      </c>
      <c r="J2600" s="29">
        <v>81.5</v>
      </c>
      <c r="K2600" s="29">
        <v>79</v>
      </c>
      <c r="L2600" s="29">
        <v>74</v>
      </c>
      <c r="M2600" s="29">
        <v>83</v>
      </c>
      <c r="N2600" s="29">
        <v>69</v>
      </c>
      <c r="O2600" s="32">
        <v>587.5</v>
      </c>
      <c r="P2600" s="29" cm="1">
        <f t="array" ref="P2600">IF(表成绩单[[#This Row],[语文]]="","",SUMPRODUCT((表成绩单[考试日期]=表成绩单[[#This Row],[考试日期]])*(表成绩单[语文]&lt;9E+307)*(表成绩单[语文]&gt;表成绩单[[#This Row],[语文]]))+1)</f>
        <v>279</v>
      </c>
      <c r="Q2600" s="29" cm="1">
        <f t="array" ref="Q2600">IF(表成绩单[[#This Row],[数学]]="","",SUMPRODUCT((表成绩单[考试日期]=表成绩单[[#This Row],[考试日期]])*(表成绩单[数学]&lt;9E+307)*(表成绩单[数学]&gt;表成绩单[[#This Row],[数学]]))+1)</f>
        <v>98</v>
      </c>
      <c r="R2600" s="29" cm="1">
        <f t="array" ref="R2600">IF(表成绩单[[#This Row],[英语]]="","",SUMPRODUCT((表成绩单[考试日期]=表成绩单[[#This Row],[考试日期]])*(表成绩单[英语]&lt;9E+307)*(表成绩单[英语]&gt;表成绩单[[#This Row],[英语]]))+1)</f>
        <v>203</v>
      </c>
      <c r="S2600" s="29" cm="1">
        <f t="array" ref="S2600">IF(表成绩单[[#This Row],[物理]]="","",SUMPRODUCT((表成绩单[考试日期]=表成绩单[[#This Row],[考试日期]])*(表成绩单[物理]&lt;9E+307)*(表成绩单[物理]&gt;表成绩单[[#This Row],[物理]]))+1)</f>
        <v>344</v>
      </c>
      <c r="T2600" s="29" cm="1">
        <f t="array" ref="T2600">IF(表成绩单[[#This Row],[化学]]="","",SUMPRODUCT((表成绩单[考试日期]=表成绩单[[#This Row],[考试日期]])*(表成绩单[化学]&lt;9E+307)*(表成绩单[化学]&gt;表成绩单[[#This Row],[化学]]))+1)</f>
        <v>127</v>
      </c>
      <c r="U2600" s="29" cm="1">
        <f t="array" ref="U2600">IF(表成绩单[[#This Row],[政治]]="","",SUMPRODUCT((表成绩单[考试日期]=表成绩单[[#This Row],[考试日期]])*(表成绩单[政治]&lt;9E+307)*(表成绩单[政治]&gt;表成绩单[[#This Row],[政治]]))+1)</f>
        <v>24</v>
      </c>
      <c r="V2600" s="29" cm="1">
        <f t="array" ref="V2600">IF(表成绩单[[#This Row],[历史]]="","",SUMPRODUCT((表成绩单[考试日期]=表成绩单[[#This Row],[考试日期]])*(表成绩单[历史]&lt;9E+307)*(表成绩单[历史]&gt;表成绩单[[#This Row],[历史]]))+1)</f>
        <v>569</v>
      </c>
      <c r="W2600" s="29" cm="1">
        <f t="array" ref="W2600">IF(表成绩单[[#This Row],[总分]]="","",SUMPRODUCT((表成绩单[考试日期]=表成绩单[[#This Row],[考试日期]])*(表成绩单[总分]&lt;9E+307)*(表成绩单[总分]&gt;表成绩单[[#This Row],[总分]]))+1)</f>
        <v>187</v>
      </c>
    </row>
    <row r="2601" ht="28" customHeight="1" spans="4:23">
      <c r="D2601" s="31">
        <v>46108</v>
      </c>
      <c r="E2601" s="29">
        <v>19178576</v>
      </c>
      <c r="F2601" s="29" t="s">
        <v>64</v>
      </c>
      <c r="G2601" s="29" t="s">
        <v>213</v>
      </c>
      <c r="H2601" s="29">
        <v>95</v>
      </c>
      <c r="I2601" s="29">
        <v>98</v>
      </c>
      <c r="J2601" s="29">
        <v>75.5</v>
      </c>
      <c r="K2601" s="29">
        <v>82</v>
      </c>
      <c r="L2601" s="29">
        <v>70</v>
      </c>
      <c r="M2601" s="29">
        <v>82</v>
      </c>
      <c r="N2601" s="29">
        <v>85</v>
      </c>
      <c r="O2601" s="32">
        <v>587.5</v>
      </c>
      <c r="P2601" s="29" cm="1">
        <f t="array" ref="P2601">IF(表成绩单[[#This Row],[语文]]="","",SUMPRODUCT((表成绩单[考试日期]=表成绩单[[#This Row],[考试日期]])*(表成绩单[语文]&lt;9E+307)*(表成绩单[语文]&gt;表成绩单[[#This Row],[语文]]))+1)</f>
        <v>422</v>
      </c>
      <c r="Q2601" s="29" cm="1">
        <f t="array" ref="Q2601">IF(表成绩单[[#This Row],[数学]]="","",SUMPRODUCT((表成绩单[考试日期]=表成绩单[[#This Row],[考试日期]])*(表成绩单[数学]&lt;9E+307)*(表成绩单[数学]&gt;表成绩单[[#This Row],[数学]]))+1)</f>
        <v>158</v>
      </c>
      <c r="R2601" s="29" cm="1">
        <f t="array" ref="R2601">IF(表成绩单[[#This Row],[英语]]="","",SUMPRODUCT((表成绩单[考试日期]=表成绩单[[#This Row],[考试日期]])*(表成绩单[英语]&lt;9E+307)*(表成绩单[英语]&gt;表成绩单[[#This Row],[英语]]))+1)</f>
        <v>421</v>
      </c>
      <c r="S2601" s="29" cm="1">
        <f t="array" ref="S2601">IF(表成绩单[[#This Row],[物理]]="","",SUMPRODUCT((表成绩单[考试日期]=表成绩单[[#This Row],[考试日期]])*(表成绩单[物理]&lt;9E+307)*(表成绩单[物理]&gt;表成绩单[[#This Row],[物理]]))+1)</f>
        <v>223</v>
      </c>
      <c r="T2601" s="29" cm="1">
        <f t="array" ref="T2601">IF(表成绩单[[#This Row],[化学]]="","",SUMPRODUCT((表成绩单[考试日期]=表成绩单[[#This Row],[考试日期]])*(表成绩单[化学]&lt;9E+307)*(表成绩单[化学]&gt;表成绩单[[#This Row],[化学]]))+1)</f>
        <v>241</v>
      </c>
      <c r="U2601" s="29" cm="1">
        <f t="array" ref="U2601">IF(表成绩单[[#This Row],[政治]]="","",SUMPRODUCT((表成绩单[考试日期]=表成绩单[[#This Row],[考试日期]])*(表成绩单[政治]&lt;9E+307)*(表成绩单[政治]&gt;表成绩单[[#This Row],[政治]]))+1)</f>
        <v>45</v>
      </c>
      <c r="V2601" s="29" cm="1">
        <f t="array" ref="V2601">IF(表成绩单[[#This Row],[历史]]="","",SUMPRODUCT((表成绩单[考试日期]=表成绩单[[#This Row],[考试日期]])*(表成绩单[历史]&lt;9E+307)*(表成绩单[历史]&gt;表成绩单[[#This Row],[历史]]))+1)</f>
        <v>20</v>
      </c>
      <c r="W2601" s="29" cm="1">
        <f t="array" ref="W2601">IF(表成绩单[[#This Row],[总分]]="","",SUMPRODUCT((表成绩单[考试日期]=表成绩单[[#This Row],[考试日期]])*(表成绩单[总分]&lt;9E+307)*(表成绩单[总分]&gt;表成绩单[[#This Row],[总分]]))+1)</f>
        <v>187</v>
      </c>
    </row>
    <row r="2602" ht="28" customHeight="1" spans="4:23">
      <c r="D2602" s="31">
        <v>46108</v>
      </c>
      <c r="E2602" s="29">
        <v>19174458</v>
      </c>
      <c r="F2602" s="29" t="s">
        <v>73</v>
      </c>
      <c r="G2602" s="29" t="s">
        <v>118</v>
      </c>
      <c r="H2602" s="29">
        <v>109</v>
      </c>
      <c r="I2602" s="29">
        <v>90</v>
      </c>
      <c r="J2602" s="29">
        <v>84</v>
      </c>
      <c r="K2602" s="29">
        <v>85</v>
      </c>
      <c r="L2602" s="29">
        <v>61</v>
      </c>
      <c r="M2602" s="29">
        <v>80</v>
      </c>
      <c r="N2602" s="29">
        <v>78</v>
      </c>
      <c r="O2602" s="32">
        <v>587</v>
      </c>
      <c r="P2602" s="29" cm="1">
        <f t="array" ref="P2602">IF(表成绩单[[#This Row],[语文]]="","",SUMPRODUCT((表成绩单[考试日期]=表成绩单[[#This Row],[考试日期]])*(表成绩单[语文]&lt;9E+307)*(表成绩单[语文]&gt;表成绩单[[#This Row],[语文]]))+1)</f>
        <v>40</v>
      </c>
      <c r="Q2602" s="29" cm="1">
        <f t="array" ref="Q2602">IF(表成绩单[[#This Row],[数学]]="","",SUMPRODUCT((表成绩单[考试日期]=表成绩单[[#This Row],[考试日期]])*(表成绩单[数学]&lt;9E+307)*(表成绩单[数学]&gt;表成绩单[[#This Row],[数学]]))+1)</f>
        <v>368</v>
      </c>
      <c r="R2602" s="29" cm="1">
        <f t="array" ref="R2602">IF(表成绩单[[#This Row],[英语]]="","",SUMPRODUCT((表成绩单[考试日期]=表成绩单[[#This Row],[考试日期]])*(表成绩单[英语]&lt;9E+307)*(表成绩单[英语]&gt;表成绩单[[#This Row],[英语]]))+1)</f>
        <v>100</v>
      </c>
      <c r="S2602" s="29" cm="1">
        <f t="array" ref="S2602">IF(表成绩单[[#This Row],[物理]]="","",SUMPRODUCT((表成绩单[考试日期]=表成绩单[[#This Row],[考试日期]])*(表成绩单[物理]&lt;9E+307)*(表成绩单[物理]&gt;表成绩单[[#This Row],[物理]]))+1)</f>
        <v>105</v>
      </c>
      <c r="T2602" s="29" cm="1">
        <f t="array" ref="T2602">IF(表成绩单[[#This Row],[化学]]="","",SUMPRODUCT((表成绩单[考试日期]=表成绩单[[#This Row],[考试日期]])*(表成绩单[化学]&lt;9E+307)*(表成绩单[化学]&gt;表成绩单[[#This Row],[化学]]))+1)</f>
        <v>467</v>
      </c>
      <c r="U2602" s="29" cm="1">
        <f t="array" ref="U2602">IF(表成绩单[[#This Row],[政治]]="","",SUMPRODUCT((表成绩单[考试日期]=表成绩单[[#This Row],[考试日期]])*(表成绩单[政治]&lt;9E+307)*(表成绩单[政治]&gt;表成绩单[[#This Row],[政治]]))+1)</f>
        <v>98</v>
      </c>
      <c r="V2602" s="29" cm="1">
        <f t="array" ref="V2602">IF(表成绩单[[#This Row],[历史]]="","",SUMPRODUCT((表成绩单[考试日期]=表成绩单[[#This Row],[考试日期]])*(表成绩单[历史]&lt;9E+307)*(表成绩单[历史]&gt;表成绩单[[#This Row],[历史]]))+1)</f>
        <v>222</v>
      </c>
      <c r="W2602" s="29" cm="1">
        <f t="array" ref="W2602">IF(表成绩单[[#This Row],[总分]]="","",SUMPRODUCT((表成绩单[考试日期]=表成绩单[[#This Row],[考试日期]])*(表成绩单[总分]&lt;9E+307)*(表成绩单[总分]&gt;表成绩单[[#This Row],[总分]]))+1)</f>
        <v>195</v>
      </c>
    </row>
    <row r="2603" ht="28" customHeight="1" spans="4:23">
      <c r="D2603" s="31">
        <v>46108</v>
      </c>
      <c r="E2603" s="29">
        <v>19175693</v>
      </c>
      <c r="F2603" s="29" t="s">
        <v>72</v>
      </c>
      <c r="G2603" s="29" t="s">
        <v>242</v>
      </c>
      <c r="H2603" s="29">
        <v>96</v>
      </c>
      <c r="I2603" s="29">
        <v>102</v>
      </c>
      <c r="J2603" s="29">
        <v>83</v>
      </c>
      <c r="K2603" s="29">
        <v>84</v>
      </c>
      <c r="L2603" s="29">
        <v>72</v>
      </c>
      <c r="M2603" s="29">
        <v>74</v>
      </c>
      <c r="N2603" s="29">
        <v>76</v>
      </c>
      <c r="O2603" s="32">
        <v>587</v>
      </c>
      <c r="P2603" s="29" cm="1">
        <f t="array" ref="P2603">IF(表成绩单[[#This Row],[语文]]="","",SUMPRODUCT((表成绩单[考试日期]=表成绩单[[#This Row],[考试日期]])*(表成绩单[语文]&lt;9E+307)*(表成绩单[语文]&gt;表成绩单[[#This Row],[语文]]))+1)</f>
        <v>390</v>
      </c>
      <c r="Q2603" s="29" cm="1">
        <f t="array" ref="Q2603">IF(表成绩单[[#This Row],[数学]]="","",SUMPRODUCT((表成绩单[考试日期]=表成绩单[[#This Row],[考试日期]])*(表成绩单[数学]&lt;9E+307)*(表成绩单[数学]&gt;表成绩单[[#This Row],[数学]]))+1)</f>
        <v>98</v>
      </c>
      <c r="R2603" s="29" cm="1">
        <f t="array" ref="R2603">IF(表成绩单[[#This Row],[英语]]="","",SUMPRODUCT((表成绩单[考试日期]=表成绩单[[#This Row],[考试日期]])*(表成绩单[英语]&lt;9E+307)*(表成绩单[英语]&gt;表成绩单[[#This Row],[英语]]))+1)</f>
        <v>134</v>
      </c>
      <c r="S2603" s="29" cm="1">
        <f t="array" ref="S2603">IF(表成绩单[[#This Row],[物理]]="","",SUMPRODUCT((表成绩单[考试日期]=表成绩单[[#This Row],[考试日期]])*(表成绩单[物理]&lt;9E+307)*(表成绩单[物理]&gt;表成绩单[[#This Row],[物理]]))+1)</f>
        <v>146</v>
      </c>
      <c r="T2603" s="29" cm="1">
        <f t="array" ref="T2603">IF(表成绩单[[#This Row],[化学]]="","",SUMPRODUCT((表成绩单[考试日期]=表成绩单[[#This Row],[考试日期]])*(表成绩单[化学]&lt;9E+307)*(表成绩单[化学]&gt;表成绩单[[#This Row],[化学]]))+1)</f>
        <v>187</v>
      </c>
      <c r="U2603" s="29" cm="1">
        <f t="array" ref="U2603">IF(表成绩单[[#This Row],[政治]]="","",SUMPRODUCT((表成绩单[考试日期]=表成绩单[[#This Row],[考试日期]])*(表成绩单[政治]&lt;9E+307)*(表成绩单[政治]&gt;表成绩单[[#This Row],[政治]]))+1)</f>
        <v>389</v>
      </c>
      <c r="V2603" s="29" cm="1">
        <f t="array" ref="V2603">IF(表成绩单[[#This Row],[历史]]="","",SUMPRODUCT((表成绩单[考试日期]=表成绩单[[#This Row],[考试日期]])*(表成绩单[历史]&lt;9E+307)*(表成绩单[历史]&gt;表成绩单[[#This Row],[历史]]))+1)</f>
        <v>316</v>
      </c>
      <c r="W2603" s="29" cm="1">
        <f t="array" ref="W2603">IF(表成绩单[[#This Row],[总分]]="","",SUMPRODUCT((表成绩单[考试日期]=表成绩单[[#This Row],[考试日期]])*(表成绩单[总分]&lt;9E+307)*(表成绩单[总分]&gt;表成绩单[[#This Row],[总分]]))+1)</f>
        <v>195</v>
      </c>
    </row>
    <row r="2604" ht="28" customHeight="1" spans="4:23">
      <c r="D2604" s="31">
        <v>46108</v>
      </c>
      <c r="E2604" s="29">
        <v>19176158</v>
      </c>
      <c r="F2604" s="29" t="s">
        <v>67</v>
      </c>
      <c r="G2604" s="29" t="s">
        <v>237</v>
      </c>
      <c r="H2604" s="29">
        <v>110</v>
      </c>
      <c r="I2604" s="29">
        <v>92</v>
      </c>
      <c r="J2604" s="29">
        <v>83</v>
      </c>
      <c r="K2604" s="29">
        <v>82</v>
      </c>
      <c r="L2604" s="29">
        <v>66</v>
      </c>
      <c r="M2604" s="29">
        <v>80</v>
      </c>
      <c r="N2604" s="29">
        <v>74</v>
      </c>
      <c r="O2604" s="32">
        <v>587</v>
      </c>
      <c r="P2604" s="29" cm="1">
        <f t="array" ref="P2604">IF(表成绩单[[#This Row],[语文]]="","",SUMPRODUCT((表成绩单[考试日期]=表成绩单[[#This Row],[考试日期]])*(表成绩单[语文]&lt;9E+307)*(表成绩单[语文]&gt;表成绩单[[#This Row],[语文]]))+1)</f>
        <v>24</v>
      </c>
      <c r="Q2604" s="29" cm="1">
        <f t="array" ref="Q2604">IF(表成绩单[[#This Row],[数学]]="","",SUMPRODUCT((表成绩单[考试日期]=表成绩单[[#This Row],[考试日期]])*(表成绩单[数学]&lt;9E+307)*(表成绩单[数学]&gt;表成绩单[[#This Row],[数学]]))+1)</f>
        <v>312</v>
      </c>
      <c r="R2604" s="29" cm="1">
        <f t="array" ref="R2604">IF(表成绩单[[#This Row],[英语]]="","",SUMPRODUCT((表成绩单[考试日期]=表成绩单[[#This Row],[考试日期]])*(表成绩单[英语]&lt;9E+307)*(表成绩单[英语]&gt;表成绩单[[#This Row],[英语]]))+1)</f>
        <v>134</v>
      </c>
      <c r="S2604" s="29" cm="1">
        <f t="array" ref="S2604">IF(表成绩单[[#This Row],[物理]]="","",SUMPRODUCT((表成绩单[考试日期]=表成绩单[[#This Row],[考试日期]])*(表成绩单[物理]&lt;9E+307)*(表成绩单[物理]&gt;表成绩单[[#This Row],[物理]]))+1)</f>
        <v>223</v>
      </c>
      <c r="T2604" s="29" cm="1">
        <f t="array" ref="T2604">IF(表成绩单[[#This Row],[化学]]="","",SUMPRODUCT((表成绩单[考试日期]=表成绩单[[#This Row],[考试日期]])*(表成绩单[化学]&lt;9E+307)*(表成绩单[化学]&gt;表成绩单[[#This Row],[化学]]))+1)</f>
        <v>359</v>
      </c>
      <c r="U2604" s="29" cm="1">
        <f t="array" ref="U2604">IF(表成绩单[[#This Row],[政治]]="","",SUMPRODUCT((表成绩单[考试日期]=表成绩单[[#This Row],[考试日期]])*(表成绩单[政治]&lt;9E+307)*(表成绩单[政治]&gt;表成绩单[[#This Row],[政治]]))+1)</f>
        <v>98</v>
      </c>
      <c r="V2604" s="29" cm="1">
        <f t="array" ref="V2604">IF(表成绩单[[#This Row],[历史]]="","",SUMPRODUCT((表成绩单[考试日期]=表成绩单[[#This Row],[考试日期]])*(表成绩单[历史]&lt;9E+307)*(表成绩单[历史]&gt;表成绩单[[#This Row],[历史]]))+1)</f>
        <v>389</v>
      </c>
      <c r="W2604" s="29" cm="1">
        <f t="array" ref="W2604">IF(表成绩单[[#This Row],[总分]]="","",SUMPRODUCT((表成绩单[考试日期]=表成绩单[[#This Row],[考试日期]])*(表成绩单[总分]&lt;9E+307)*(表成绩单[总分]&gt;表成绩单[[#This Row],[总分]]))+1)</f>
        <v>195</v>
      </c>
    </row>
    <row r="2605" ht="28" customHeight="1" spans="4:23">
      <c r="D2605" s="31">
        <v>46108</v>
      </c>
      <c r="E2605" s="29">
        <v>19175399</v>
      </c>
      <c r="F2605" s="29" t="s">
        <v>74</v>
      </c>
      <c r="G2605" s="29" t="s">
        <v>317</v>
      </c>
      <c r="H2605" s="29">
        <v>103</v>
      </c>
      <c r="I2605" s="29">
        <v>92</v>
      </c>
      <c r="J2605" s="29">
        <v>82.5</v>
      </c>
      <c r="K2605" s="29">
        <v>82</v>
      </c>
      <c r="L2605" s="29">
        <v>67</v>
      </c>
      <c r="M2605" s="29">
        <v>80</v>
      </c>
      <c r="N2605" s="29">
        <v>80</v>
      </c>
      <c r="O2605" s="32">
        <v>586.5</v>
      </c>
      <c r="P2605" s="29" cm="1">
        <f t="array" ref="P2605">IF(表成绩单[[#This Row],[语文]]="","",SUMPRODUCT((表成绩单[考试日期]=表成绩单[[#This Row],[考试日期]])*(表成绩单[语文]&lt;9E+307)*(表成绩单[语文]&gt;表成绩单[[#This Row],[语文]]))+1)</f>
        <v>155</v>
      </c>
      <c r="Q2605" s="29" cm="1">
        <f t="array" ref="Q2605">IF(表成绩单[[#This Row],[数学]]="","",SUMPRODUCT((表成绩单[考试日期]=表成绩单[[#This Row],[考试日期]])*(表成绩单[数学]&lt;9E+307)*(表成绩单[数学]&gt;表成绩单[[#This Row],[数学]]))+1)</f>
        <v>312</v>
      </c>
      <c r="R2605" s="29" cm="1">
        <f t="array" ref="R2605">IF(表成绩单[[#This Row],[英语]]="","",SUMPRODUCT((表成绩单[考试日期]=表成绩单[[#This Row],[考试日期]])*(表成绩单[英语]&lt;9E+307)*(表成绩单[英语]&gt;表成绩单[[#This Row],[英语]]))+1)</f>
        <v>156</v>
      </c>
      <c r="S2605" s="29" cm="1">
        <f t="array" ref="S2605">IF(表成绩单[[#This Row],[物理]]="","",SUMPRODUCT((表成绩单[考试日期]=表成绩单[[#This Row],[考试日期]])*(表成绩单[物理]&lt;9E+307)*(表成绩单[物理]&gt;表成绩单[[#This Row],[物理]]))+1)</f>
        <v>223</v>
      </c>
      <c r="T2605" s="29" cm="1">
        <f t="array" ref="T2605">IF(表成绩单[[#This Row],[化学]]="","",SUMPRODUCT((表成绩单[考试日期]=表成绩单[[#This Row],[考试日期]])*(表成绩单[化学]&lt;9E+307)*(表成绩单[化学]&gt;表成绩单[[#This Row],[化学]]))+1)</f>
        <v>335</v>
      </c>
      <c r="U2605" s="29" cm="1">
        <f t="array" ref="U2605">IF(表成绩单[[#This Row],[政治]]="","",SUMPRODUCT((表成绩单[考试日期]=表成绩单[[#This Row],[考试日期]])*(表成绩单[政治]&lt;9E+307)*(表成绩单[政治]&gt;表成绩单[[#This Row],[政治]]))+1)</f>
        <v>98</v>
      </c>
      <c r="V2605" s="29" cm="1">
        <f t="array" ref="V2605">IF(表成绩单[[#This Row],[历史]]="","",SUMPRODUCT((表成绩单[考试日期]=表成绩单[[#This Row],[考试日期]])*(表成绩单[历史]&lt;9E+307)*(表成绩单[历史]&gt;表成绩单[[#This Row],[历史]]))+1)</f>
        <v>143</v>
      </c>
      <c r="W2605" s="29" cm="1">
        <f t="array" ref="W2605">IF(表成绩单[[#This Row],[总分]]="","",SUMPRODUCT((表成绩单[考试日期]=表成绩单[[#This Row],[考试日期]])*(表成绩单[总分]&lt;9E+307)*(表成绩单[总分]&gt;表成绩单[[#This Row],[总分]]))+1)</f>
        <v>198</v>
      </c>
    </row>
    <row r="2606" ht="28" customHeight="1" spans="4:23">
      <c r="D2606" s="31">
        <v>46108</v>
      </c>
      <c r="E2606" s="29">
        <v>19175675</v>
      </c>
      <c r="F2606" s="29" t="s">
        <v>72</v>
      </c>
      <c r="G2606" s="29" t="s">
        <v>226</v>
      </c>
      <c r="H2606" s="29">
        <v>96</v>
      </c>
      <c r="I2606" s="29">
        <v>108</v>
      </c>
      <c r="J2606" s="29">
        <v>86.5</v>
      </c>
      <c r="K2606" s="29">
        <v>83</v>
      </c>
      <c r="L2606" s="29">
        <v>67</v>
      </c>
      <c r="M2606" s="29">
        <v>68</v>
      </c>
      <c r="N2606" s="29">
        <v>78</v>
      </c>
      <c r="O2606" s="32">
        <v>586.5</v>
      </c>
      <c r="P2606" s="29" cm="1">
        <f t="array" ref="P2606">IF(表成绩单[[#This Row],[语文]]="","",SUMPRODUCT((表成绩单[考试日期]=表成绩单[[#This Row],[考试日期]])*(表成绩单[语文]&lt;9E+307)*(表成绩单[语文]&gt;表成绩单[[#This Row],[语文]]))+1)</f>
        <v>390</v>
      </c>
      <c r="Q2606" s="29" cm="1">
        <f t="array" ref="Q2606">IF(表成绩单[[#This Row],[数学]]="","",SUMPRODUCT((表成绩单[考试日期]=表成绩单[[#This Row],[考试日期]])*(表成绩单[数学]&lt;9E+307)*(表成绩单[数学]&gt;表成绩单[[#This Row],[数学]]))+1)</f>
        <v>25</v>
      </c>
      <c r="R2606" s="29" cm="1">
        <f t="array" ref="R2606">IF(表成绩单[[#This Row],[英语]]="","",SUMPRODUCT((表成绩单[考试日期]=表成绩单[[#This Row],[考试日期]])*(表成绩单[英语]&lt;9E+307)*(表成绩单[英语]&gt;表成绩单[[#This Row],[英语]]))+1)</f>
        <v>18</v>
      </c>
      <c r="S2606" s="29" cm="1">
        <f t="array" ref="S2606">IF(表成绩单[[#This Row],[物理]]="","",SUMPRODUCT((表成绩单[考试日期]=表成绩单[[#This Row],[考试日期]])*(表成绩单[物理]&lt;9E+307)*(表成绩单[物理]&gt;表成绩单[[#This Row],[物理]]))+1)</f>
        <v>184</v>
      </c>
      <c r="T2606" s="29" cm="1">
        <f t="array" ref="T2606">IF(表成绩单[[#This Row],[化学]]="","",SUMPRODUCT((表成绩单[考试日期]=表成绩单[[#This Row],[考试日期]])*(表成绩单[化学]&lt;9E+307)*(表成绩单[化学]&gt;表成绩单[[#This Row],[化学]]))+1)</f>
        <v>335</v>
      </c>
      <c r="U2606" s="29" cm="1">
        <f t="array" ref="U2606">IF(表成绩单[[#This Row],[政治]]="","",SUMPRODUCT((表成绩单[考试日期]=表成绩单[[#This Row],[考试日期]])*(表成绩单[政治]&lt;9E+307)*(表成绩单[政治]&gt;表成绩单[[#This Row],[政治]]))+1)</f>
        <v>596</v>
      </c>
      <c r="V2606" s="29" cm="1">
        <f t="array" ref="V2606">IF(表成绩单[[#This Row],[历史]]="","",SUMPRODUCT((表成绩单[考试日期]=表成绩单[[#This Row],[考试日期]])*(表成绩单[历史]&lt;9E+307)*(表成绩单[历史]&gt;表成绩单[[#This Row],[历史]]))+1)</f>
        <v>222</v>
      </c>
      <c r="W2606" s="29" cm="1">
        <f t="array" ref="W2606">IF(表成绩单[[#This Row],[总分]]="","",SUMPRODUCT((表成绩单[考试日期]=表成绩单[[#This Row],[考试日期]])*(表成绩单[总分]&lt;9E+307)*(表成绩单[总分]&gt;表成绩单[[#This Row],[总分]]))+1)</f>
        <v>198</v>
      </c>
    </row>
    <row r="2607" ht="28" customHeight="1" spans="4:23">
      <c r="D2607" s="31">
        <v>46108</v>
      </c>
      <c r="E2607" s="29">
        <v>19177234</v>
      </c>
      <c r="F2607" s="29" t="s">
        <v>70</v>
      </c>
      <c r="G2607" s="29" t="s">
        <v>258</v>
      </c>
      <c r="H2607" s="29">
        <v>110</v>
      </c>
      <c r="I2607" s="29">
        <v>95</v>
      </c>
      <c r="J2607" s="29">
        <v>81.5</v>
      </c>
      <c r="K2607" s="29">
        <v>78</v>
      </c>
      <c r="L2607" s="29">
        <v>74</v>
      </c>
      <c r="M2607" s="29">
        <v>78</v>
      </c>
      <c r="N2607" s="29">
        <v>70</v>
      </c>
      <c r="O2607" s="32">
        <v>586.5</v>
      </c>
      <c r="P2607" s="29" cm="1">
        <f t="array" ref="P2607">IF(表成绩单[[#This Row],[语文]]="","",SUMPRODUCT((表成绩单[考试日期]=表成绩单[[#This Row],[考试日期]])*(表成绩单[语文]&lt;9E+307)*(表成绩单[语文]&gt;表成绩单[[#This Row],[语文]]))+1)</f>
        <v>24</v>
      </c>
      <c r="Q2607" s="29" cm="1">
        <f t="array" ref="Q2607">IF(表成绩单[[#This Row],[数学]]="","",SUMPRODUCT((表成绩单[考试日期]=表成绩单[[#This Row],[考试日期]])*(表成绩单[数学]&lt;9E+307)*(表成绩单[数学]&gt;表成绩单[[#This Row],[数学]]))+1)</f>
        <v>229</v>
      </c>
      <c r="R2607" s="29" cm="1">
        <f t="array" ref="R2607">IF(表成绩单[[#This Row],[英语]]="","",SUMPRODUCT((表成绩单[考试日期]=表成绩单[[#This Row],[考试日期]])*(表成绩单[英语]&lt;9E+307)*(表成绩单[英语]&gt;表成绩单[[#This Row],[英语]]))+1)</f>
        <v>203</v>
      </c>
      <c r="S2607" s="29" cm="1">
        <f t="array" ref="S2607">IF(表成绩单[[#This Row],[物理]]="","",SUMPRODUCT((表成绩单[考试日期]=表成绩单[[#This Row],[考试日期]])*(表成绩单[物理]&lt;9E+307)*(表成绩单[物理]&gt;表成绩单[[#This Row],[物理]]))+1)</f>
        <v>365</v>
      </c>
      <c r="T2607" s="29" cm="1">
        <f t="array" ref="T2607">IF(表成绩单[[#This Row],[化学]]="","",SUMPRODUCT((表成绩单[考试日期]=表成绩单[[#This Row],[考试日期]])*(表成绩单[化学]&lt;9E+307)*(表成绩单[化学]&gt;表成绩单[[#This Row],[化学]]))+1)</f>
        <v>127</v>
      </c>
      <c r="U2607" s="29" cm="1">
        <f t="array" ref="U2607">IF(表成绩单[[#This Row],[政治]]="","",SUMPRODUCT((表成绩单[考试日期]=表成绩单[[#This Row],[考试日期]])*(表成绩单[政治]&lt;9E+307)*(表成绩单[政治]&gt;表成绩单[[#This Row],[政治]]))+1)</f>
        <v>171</v>
      </c>
      <c r="V2607" s="29" cm="1">
        <f t="array" ref="V2607">IF(表成绩单[[#This Row],[历史]]="","",SUMPRODUCT((表成绩单[考试日期]=表成绩单[[#This Row],[考试日期]])*(表成绩单[历史]&lt;9E+307)*(表成绩单[历史]&gt;表成绩单[[#This Row],[历史]]))+1)</f>
        <v>539</v>
      </c>
      <c r="W2607" s="29" cm="1">
        <f t="array" ref="W2607">IF(表成绩单[[#This Row],[总分]]="","",SUMPRODUCT((表成绩单[考试日期]=表成绩单[[#This Row],[考试日期]])*(表成绩单[总分]&lt;9E+307)*(表成绩单[总分]&gt;表成绩单[[#This Row],[总分]]))+1)</f>
        <v>198</v>
      </c>
    </row>
    <row r="2608" ht="28" customHeight="1" spans="4:23">
      <c r="D2608" s="31">
        <v>46108</v>
      </c>
      <c r="E2608" s="29">
        <v>19167641</v>
      </c>
      <c r="F2608" s="29" t="s">
        <v>1</v>
      </c>
      <c r="G2608" s="29" t="s">
        <v>358</v>
      </c>
      <c r="H2608" s="29">
        <v>97</v>
      </c>
      <c r="I2608" s="29">
        <v>96</v>
      </c>
      <c r="J2608" s="29">
        <v>75</v>
      </c>
      <c r="K2608" s="29">
        <v>86</v>
      </c>
      <c r="L2608" s="29">
        <v>71</v>
      </c>
      <c r="M2608" s="29">
        <v>77</v>
      </c>
      <c r="N2608" s="29">
        <v>84</v>
      </c>
      <c r="O2608" s="32">
        <v>586</v>
      </c>
      <c r="P2608" s="29" cm="1">
        <f t="array" ref="P2608">IF(表成绩单[[#This Row],[语文]]="","",SUMPRODUCT((表成绩单[考试日期]=表成绩单[[#This Row],[考试日期]])*(表成绩单[语文]&lt;9E+307)*(表成绩单[语文]&gt;表成绩单[[#This Row],[语文]]))+1)</f>
        <v>357</v>
      </c>
      <c r="Q2608" s="29" cm="1">
        <f t="array" ref="Q2608">IF(表成绩单[[#This Row],[数学]]="","",SUMPRODUCT((表成绩单[考试日期]=表成绩单[[#This Row],[考试日期]])*(表成绩单[数学]&lt;9E+307)*(表成绩单[数学]&gt;表成绩单[[#This Row],[数学]]))+1)</f>
        <v>202</v>
      </c>
      <c r="R2608" s="29" cm="1">
        <f t="array" ref="R2608">IF(表成绩单[[#This Row],[英语]]="","",SUMPRODUCT((表成绩单[考试日期]=表成绩单[[#This Row],[考试日期]])*(表成绩单[英语]&lt;9E+307)*(表成绩单[英语]&gt;表成绩单[[#This Row],[英语]]))+1)</f>
        <v>444</v>
      </c>
      <c r="S2608" s="29" cm="1">
        <f t="array" ref="S2608">IF(表成绩单[[#This Row],[物理]]="","",SUMPRODUCT((表成绩单[考试日期]=表成绩单[[#This Row],[考试日期]])*(表成绩单[物理]&lt;9E+307)*(表成绩单[物理]&gt;表成绩单[[#This Row],[物理]]))+1)</f>
        <v>61</v>
      </c>
      <c r="T2608" s="29" cm="1">
        <f t="array" ref="T2608">IF(表成绩单[[#This Row],[化学]]="","",SUMPRODUCT((表成绩单[考试日期]=表成绩单[[#This Row],[考试日期]])*(表成绩单[化学]&lt;9E+307)*(表成绩单[化学]&gt;表成绩单[[#This Row],[化学]]))+1)</f>
        <v>217</v>
      </c>
      <c r="U2608" s="29" cm="1">
        <f t="array" ref="U2608">IF(表成绩单[[#This Row],[政治]]="","",SUMPRODUCT((表成绩单[考试日期]=表成绩单[[#This Row],[考试日期]])*(表成绩单[政治]&lt;9E+307)*(表成绩单[政治]&gt;表成绩单[[#This Row],[政治]]))+1)</f>
        <v>230</v>
      </c>
      <c r="V2608" s="29" cm="1">
        <f t="array" ref="V2608">IF(表成绩单[[#This Row],[历史]]="","",SUMPRODUCT((表成绩单[考试日期]=表成绩单[[#This Row],[考试日期]])*(表成绩单[历史]&lt;9E+307)*(表成绩单[历史]&gt;表成绩单[[#This Row],[历史]]))+1)</f>
        <v>38</v>
      </c>
      <c r="W2608" s="29" cm="1">
        <f t="array" ref="W2608">IF(表成绩单[[#This Row],[总分]]="","",SUMPRODUCT((表成绩单[考试日期]=表成绩单[[#This Row],[考试日期]])*(表成绩单[总分]&lt;9E+307)*(表成绩单[总分]&gt;表成绩单[[#This Row],[总分]]))+1)</f>
        <v>201</v>
      </c>
    </row>
    <row r="2609" ht="28" customHeight="1" spans="4:23">
      <c r="D2609" s="31">
        <v>46108</v>
      </c>
      <c r="E2609" s="29">
        <v>19177625</v>
      </c>
      <c r="F2609" s="29" t="s">
        <v>58</v>
      </c>
      <c r="G2609" s="29" t="s">
        <v>244</v>
      </c>
      <c r="H2609" s="29">
        <v>105</v>
      </c>
      <c r="I2609" s="29">
        <v>87</v>
      </c>
      <c r="J2609" s="29">
        <v>80</v>
      </c>
      <c r="K2609" s="29">
        <v>84</v>
      </c>
      <c r="L2609" s="29">
        <v>71</v>
      </c>
      <c r="M2609" s="29">
        <v>74</v>
      </c>
      <c r="N2609" s="29">
        <v>85</v>
      </c>
      <c r="O2609" s="32">
        <v>586</v>
      </c>
      <c r="P2609" s="29" cm="1">
        <f t="array" ref="P2609">IF(表成绩单[[#This Row],[语文]]="","",SUMPRODUCT((表成绩单[考试日期]=表成绩单[[#This Row],[考试日期]])*(表成绩单[语文]&lt;9E+307)*(表成绩单[语文]&gt;表成绩单[[#This Row],[语文]]))+1)</f>
        <v>101</v>
      </c>
      <c r="Q2609" s="29" cm="1">
        <f t="array" ref="Q2609">IF(表成绩单[[#This Row],[数学]]="","",SUMPRODUCT((表成绩单[考试日期]=表成绩单[[#This Row],[考试日期]])*(表成绩单[数学]&lt;9E+307)*(表成绩单[数学]&gt;表成绩单[[#This Row],[数学]]))+1)</f>
        <v>452</v>
      </c>
      <c r="R2609" s="29" cm="1">
        <f t="array" ref="R2609">IF(表成绩单[[#This Row],[英语]]="","",SUMPRODUCT((表成绩单[考试日期]=表成绩单[[#This Row],[考试日期]])*(表成绩单[英语]&lt;9E+307)*(表成绩单[英语]&gt;表成绩单[[#This Row],[英语]]))+1)</f>
        <v>266</v>
      </c>
      <c r="S2609" s="29" cm="1">
        <f t="array" ref="S2609">IF(表成绩单[[#This Row],[物理]]="","",SUMPRODUCT((表成绩单[考试日期]=表成绩单[[#This Row],[考试日期]])*(表成绩单[物理]&lt;9E+307)*(表成绩单[物理]&gt;表成绩单[[#This Row],[物理]]))+1)</f>
        <v>146</v>
      </c>
      <c r="T2609" s="29" cm="1">
        <f t="array" ref="T2609">IF(表成绩单[[#This Row],[化学]]="","",SUMPRODUCT((表成绩单[考试日期]=表成绩单[[#This Row],[考试日期]])*(表成绩单[化学]&lt;9E+307)*(表成绩单[化学]&gt;表成绩单[[#This Row],[化学]]))+1)</f>
        <v>217</v>
      </c>
      <c r="U2609" s="29" cm="1">
        <f t="array" ref="U2609">IF(表成绩单[[#This Row],[政治]]="","",SUMPRODUCT((表成绩单[考试日期]=表成绩单[[#This Row],[考试日期]])*(表成绩单[政治]&lt;9E+307)*(表成绩单[政治]&gt;表成绩单[[#This Row],[政治]]))+1)</f>
        <v>389</v>
      </c>
      <c r="V2609" s="29" cm="1">
        <f t="array" ref="V2609">IF(表成绩单[[#This Row],[历史]]="","",SUMPRODUCT((表成绩单[考试日期]=表成绩单[[#This Row],[考试日期]])*(表成绩单[历史]&lt;9E+307)*(表成绩单[历史]&gt;表成绩单[[#This Row],[历史]]))+1)</f>
        <v>20</v>
      </c>
      <c r="W2609" s="29" cm="1">
        <f t="array" ref="W2609">IF(表成绩单[[#This Row],[总分]]="","",SUMPRODUCT((表成绩单[考试日期]=表成绩单[[#This Row],[考试日期]])*(表成绩单[总分]&lt;9E+307)*(表成绩单[总分]&gt;表成绩单[[#This Row],[总分]]))+1)</f>
        <v>201</v>
      </c>
    </row>
    <row r="2610" ht="28" customHeight="1" spans="4:23">
      <c r="D2610" s="31">
        <v>46108</v>
      </c>
      <c r="E2610" s="29">
        <v>19174796</v>
      </c>
      <c r="F2610" s="29" t="s">
        <v>69</v>
      </c>
      <c r="G2610" s="29" t="s">
        <v>375</v>
      </c>
      <c r="H2610" s="29">
        <v>104</v>
      </c>
      <c r="I2610" s="29">
        <v>105</v>
      </c>
      <c r="J2610" s="29">
        <v>75.5</v>
      </c>
      <c r="K2610" s="29">
        <v>77</v>
      </c>
      <c r="L2610" s="29">
        <v>76</v>
      </c>
      <c r="M2610" s="29">
        <v>77</v>
      </c>
      <c r="N2610" s="29">
        <v>71</v>
      </c>
      <c r="O2610" s="32">
        <v>585.5</v>
      </c>
      <c r="P2610" s="29" cm="1">
        <f t="array" ref="P2610">IF(表成绩单[[#This Row],[语文]]="","",SUMPRODUCT((表成绩单[考试日期]=表成绩单[[#This Row],[考试日期]])*(表成绩单[语文]&lt;9E+307)*(表成绩单[语文]&gt;表成绩单[[#This Row],[语文]]))+1)</f>
        <v>131</v>
      </c>
      <c r="Q2610" s="29" cm="1">
        <f t="array" ref="Q2610">IF(表成绩单[[#This Row],[数学]]="","",SUMPRODUCT((表成绩单[考试日期]=表成绩单[[#This Row],[考试日期]])*(表成绩单[数学]&lt;9E+307)*(表成绩单[数学]&gt;表成绩单[[#This Row],[数学]]))+1)</f>
        <v>52</v>
      </c>
      <c r="R2610" s="29" cm="1">
        <f t="array" ref="R2610">IF(表成绩单[[#This Row],[英语]]="","",SUMPRODUCT((表成绩单[考试日期]=表成绩单[[#This Row],[考试日期]])*(表成绩单[英语]&lt;9E+307)*(表成绩单[英语]&gt;表成绩单[[#This Row],[英语]]))+1)</f>
        <v>421</v>
      </c>
      <c r="S2610" s="29" cm="1">
        <f t="array" ref="S2610">IF(表成绩单[[#This Row],[物理]]="","",SUMPRODUCT((表成绩单[考试日期]=表成绩单[[#This Row],[考试日期]])*(表成绩单[物理]&lt;9E+307)*(表成绩单[物理]&gt;表成绩单[[#This Row],[物理]]))+1)</f>
        <v>400</v>
      </c>
      <c r="T2610" s="29" cm="1">
        <f t="array" ref="T2610">IF(表成绩单[[#This Row],[化学]]="","",SUMPRODUCT((表成绩单[考试日期]=表成绩单[[#This Row],[考试日期]])*(表成绩单[化学]&lt;9E+307)*(表成绩单[化学]&gt;表成绩单[[#This Row],[化学]]))+1)</f>
        <v>71</v>
      </c>
      <c r="U2610" s="29" cm="1">
        <f t="array" ref="U2610">IF(表成绩单[[#This Row],[政治]]="","",SUMPRODUCT((表成绩单[考试日期]=表成绩单[[#This Row],[考试日期]])*(表成绩单[政治]&lt;9E+307)*(表成绩单[政治]&gt;表成绩单[[#This Row],[政治]]))+1)</f>
        <v>230</v>
      </c>
      <c r="V2610" s="29" cm="1">
        <f t="array" ref="V2610">IF(表成绩单[[#This Row],[历史]]="","",SUMPRODUCT((表成绩单[考试日期]=表成绩单[[#This Row],[考试日期]])*(表成绩单[历史]&lt;9E+307)*(表成绩单[历史]&gt;表成绩单[[#This Row],[历史]]))+1)</f>
        <v>516</v>
      </c>
      <c r="W2610" s="29" cm="1">
        <f t="array" ref="W2610">IF(表成绩单[[#This Row],[总分]]="","",SUMPRODUCT((表成绩单[考试日期]=表成绩单[[#This Row],[考试日期]])*(表成绩单[总分]&lt;9E+307)*(表成绩单[总分]&gt;表成绩单[[#This Row],[总分]]))+1)</f>
        <v>203</v>
      </c>
    </row>
    <row r="2611" ht="28" customHeight="1" spans="4:23">
      <c r="D2611" s="31">
        <v>46108</v>
      </c>
      <c r="E2611" s="29">
        <v>19174801</v>
      </c>
      <c r="F2611" s="29" t="s">
        <v>69</v>
      </c>
      <c r="G2611" s="29" t="s">
        <v>279</v>
      </c>
      <c r="H2611" s="29">
        <v>99</v>
      </c>
      <c r="I2611" s="29">
        <v>88</v>
      </c>
      <c r="J2611" s="29">
        <v>81.5</v>
      </c>
      <c r="K2611" s="29">
        <v>86</v>
      </c>
      <c r="L2611" s="29">
        <v>64</v>
      </c>
      <c r="M2611" s="29">
        <v>81</v>
      </c>
      <c r="N2611" s="29">
        <v>86</v>
      </c>
      <c r="O2611" s="32">
        <v>585.5</v>
      </c>
      <c r="P2611" s="29" cm="1">
        <f t="array" ref="P2611">IF(表成绩单[[#This Row],[语文]]="","",SUMPRODUCT((表成绩单[考试日期]=表成绩单[[#This Row],[考试日期]])*(表成绩单[语文]&lt;9E+307)*(表成绩单[语文]&gt;表成绩单[[#This Row],[语文]]))+1)</f>
        <v>279</v>
      </c>
      <c r="Q2611" s="29" cm="1">
        <f t="array" ref="Q2611">IF(表成绩单[[#This Row],[数学]]="","",SUMPRODUCT((表成绩单[考试日期]=表成绩单[[#This Row],[考试日期]])*(表成绩单[数学]&lt;9E+307)*(表成绩单[数学]&gt;表成绩单[[#This Row],[数学]]))+1)</f>
        <v>424</v>
      </c>
      <c r="R2611" s="29" cm="1">
        <f t="array" ref="R2611">IF(表成绩单[[#This Row],[英语]]="","",SUMPRODUCT((表成绩单[考试日期]=表成绩单[[#This Row],[考试日期]])*(表成绩单[英语]&lt;9E+307)*(表成绩单[英语]&gt;表成绩单[[#This Row],[英语]]))+1)</f>
        <v>203</v>
      </c>
      <c r="S2611" s="29" cm="1">
        <f t="array" ref="S2611">IF(表成绩单[[#This Row],[物理]]="","",SUMPRODUCT((表成绩单[考试日期]=表成绩单[[#This Row],[考试日期]])*(表成绩单[物理]&lt;9E+307)*(表成绩单[物理]&gt;表成绩单[[#This Row],[物理]]))+1)</f>
        <v>61</v>
      </c>
      <c r="T2611" s="29" cm="1">
        <f t="array" ref="T2611">IF(表成绩单[[#This Row],[化学]]="","",SUMPRODUCT((表成绩单[考试日期]=表成绩单[[#This Row],[考试日期]])*(表成绩单[化学]&lt;9E+307)*(表成绩单[化学]&gt;表成绩单[[#This Row],[化学]]))+1)</f>
        <v>400</v>
      </c>
      <c r="U2611" s="29" cm="1">
        <f t="array" ref="U2611">IF(表成绩单[[#This Row],[政治]]="","",SUMPRODUCT((表成绩单[考试日期]=表成绩单[[#This Row],[考试日期]])*(表成绩单[政治]&lt;9E+307)*(表成绩单[政治]&gt;表成绩单[[#This Row],[政治]]))+1)</f>
        <v>68</v>
      </c>
      <c r="V2611" s="29" cm="1">
        <f t="array" ref="V2611">IF(表成绩单[[#This Row],[历史]]="","",SUMPRODUCT((表成绩单[考试日期]=表成绩单[[#This Row],[考试日期]])*(表成绩单[历史]&lt;9E+307)*(表成绩单[历史]&gt;表成绩单[[#This Row],[历史]]))+1)</f>
        <v>13</v>
      </c>
      <c r="W2611" s="29" cm="1">
        <f t="array" ref="W2611">IF(表成绩单[[#This Row],[总分]]="","",SUMPRODUCT((表成绩单[考试日期]=表成绩单[[#This Row],[考试日期]])*(表成绩单[总分]&lt;9E+307)*(表成绩单[总分]&gt;表成绩单[[#This Row],[总分]]))+1)</f>
        <v>203</v>
      </c>
    </row>
    <row r="2612" ht="28" customHeight="1" spans="4:23">
      <c r="D2612" s="31">
        <v>46108</v>
      </c>
      <c r="E2612" s="29">
        <v>19175601</v>
      </c>
      <c r="F2612" s="29" t="s">
        <v>57</v>
      </c>
      <c r="G2612" s="29" t="s">
        <v>350</v>
      </c>
      <c r="H2612" s="29">
        <v>98</v>
      </c>
      <c r="I2612" s="29">
        <v>94</v>
      </c>
      <c r="J2612" s="29">
        <v>82.5</v>
      </c>
      <c r="K2612" s="29">
        <v>86</v>
      </c>
      <c r="L2612" s="29">
        <v>76</v>
      </c>
      <c r="M2612" s="29">
        <v>77</v>
      </c>
      <c r="N2612" s="29">
        <v>72</v>
      </c>
      <c r="O2612" s="32">
        <v>585.5</v>
      </c>
      <c r="P2612" s="29" cm="1">
        <f t="array" ref="P2612">IF(表成绩单[[#This Row],[语文]]="","",SUMPRODUCT((表成绩单[考试日期]=表成绩单[[#This Row],[考试日期]])*(表成绩单[语文]&lt;9E+307)*(表成绩单[语文]&gt;表成绩单[[#This Row],[语文]]))+1)</f>
        <v>322</v>
      </c>
      <c r="Q2612" s="29" cm="1">
        <f t="array" ref="Q2612">IF(表成绩单[[#This Row],[数学]]="","",SUMPRODUCT((表成绩单[考试日期]=表成绩单[[#This Row],[考试日期]])*(表成绩单[数学]&lt;9E+307)*(表成绩单[数学]&gt;表成绩单[[#This Row],[数学]]))+1)</f>
        <v>258</v>
      </c>
      <c r="R2612" s="29" cm="1">
        <f t="array" ref="R2612">IF(表成绩单[[#This Row],[英语]]="","",SUMPRODUCT((表成绩单[考试日期]=表成绩单[[#This Row],[考试日期]])*(表成绩单[英语]&lt;9E+307)*(表成绩单[英语]&gt;表成绩单[[#This Row],[英语]]))+1)</f>
        <v>156</v>
      </c>
      <c r="S2612" s="29" cm="1">
        <f t="array" ref="S2612">IF(表成绩单[[#This Row],[物理]]="","",SUMPRODUCT((表成绩单[考试日期]=表成绩单[[#This Row],[考试日期]])*(表成绩单[物理]&lt;9E+307)*(表成绩单[物理]&gt;表成绩单[[#This Row],[物理]]))+1)</f>
        <v>61</v>
      </c>
      <c r="T2612" s="29" cm="1">
        <f t="array" ref="T2612">IF(表成绩单[[#This Row],[化学]]="","",SUMPRODUCT((表成绩单[考试日期]=表成绩单[[#This Row],[考试日期]])*(表成绩单[化学]&lt;9E+307)*(表成绩单[化学]&gt;表成绩单[[#This Row],[化学]]))+1)</f>
        <v>71</v>
      </c>
      <c r="U2612" s="29" cm="1">
        <f t="array" ref="U2612">IF(表成绩单[[#This Row],[政治]]="","",SUMPRODUCT((表成绩单[考试日期]=表成绩单[[#This Row],[考试日期]])*(表成绩单[政治]&lt;9E+307)*(表成绩单[政治]&gt;表成绩单[[#This Row],[政治]]))+1)</f>
        <v>230</v>
      </c>
      <c r="V2612" s="29" cm="1">
        <f t="array" ref="V2612">IF(表成绩单[[#This Row],[历史]]="","",SUMPRODUCT((表成绩单[考试日期]=表成绩单[[#This Row],[考试日期]])*(表成绩单[历史]&lt;9E+307)*(表成绩单[历史]&gt;表成绩单[[#This Row],[历史]]))+1)</f>
        <v>470</v>
      </c>
      <c r="W2612" s="29" cm="1">
        <f t="array" ref="W2612">IF(表成绩单[[#This Row],[总分]]="","",SUMPRODUCT((表成绩单[考试日期]=表成绩单[[#This Row],[考试日期]])*(表成绩单[总分]&lt;9E+307)*(表成绩单[总分]&gt;表成绩单[[#This Row],[总分]]))+1)</f>
        <v>203</v>
      </c>
    </row>
    <row r="2613" ht="28" customHeight="1" spans="4:23">
      <c r="D2613" s="31">
        <v>46108</v>
      </c>
      <c r="E2613" s="29">
        <v>19175645</v>
      </c>
      <c r="F2613" s="29" t="s">
        <v>66</v>
      </c>
      <c r="G2613" s="29" t="s">
        <v>380</v>
      </c>
      <c r="H2613" s="29">
        <v>101</v>
      </c>
      <c r="I2613" s="29">
        <v>100</v>
      </c>
      <c r="J2613" s="29">
        <v>78</v>
      </c>
      <c r="K2613" s="29">
        <v>84</v>
      </c>
      <c r="L2613" s="29">
        <v>71</v>
      </c>
      <c r="M2613" s="29">
        <v>70</v>
      </c>
      <c r="N2613" s="29">
        <v>81</v>
      </c>
      <c r="O2613" s="32">
        <v>585</v>
      </c>
      <c r="P2613" s="29" cm="1">
        <f t="array" ref="P2613">IF(表成绩单[[#This Row],[语文]]="","",SUMPRODUCT((表成绩单[考试日期]=表成绩单[[#This Row],[考试日期]])*(表成绩单[语文]&lt;9E+307)*(表成绩单[语文]&gt;表成绩单[[#This Row],[语文]]))+1)</f>
        <v>211</v>
      </c>
      <c r="Q2613" s="29" cm="1">
        <f t="array" ref="Q2613">IF(表成绩单[[#This Row],[数学]]="","",SUMPRODUCT((表成绩单[考试日期]=表成绩单[[#This Row],[考试日期]])*(表成绩单[数学]&lt;9E+307)*(表成绩单[数学]&gt;表成绩单[[#This Row],[数学]]))+1)</f>
        <v>121</v>
      </c>
      <c r="R2613" s="29" cm="1">
        <f t="array" ref="R2613">IF(表成绩单[[#This Row],[英语]]="","",SUMPRODUCT((表成绩单[考试日期]=表成绩单[[#This Row],[考试日期]])*(表成绩单[英语]&lt;9E+307)*(表成绩单[英语]&gt;表成绩单[[#This Row],[英语]]))+1)</f>
        <v>341</v>
      </c>
      <c r="S2613" s="29" cm="1">
        <f t="array" ref="S2613">IF(表成绩单[[#This Row],[物理]]="","",SUMPRODUCT((表成绩单[考试日期]=表成绩单[[#This Row],[考试日期]])*(表成绩单[物理]&lt;9E+307)*(表成绩单[物理]&gt;表成绩单[[#This Row],[物理]]))+1)</f>
        <v>146</v>
      </c>
      <c r="T2613" s="29" cm="1">
        <f t="array" ref="T2613">IF(表成绩单[[#This Row],[化学]]="","",SUMPRODUCT((表成绩单[考试日期]=表成绩单[[#This Row],[考试日期]])*(表成绩单[化学]&lt;9E+307)*(表成绩单[化学]&gt;表成绩单[[#This Row],[化学]]))+1)</f>
        <v>217</v>
      </c>
      <c r="U2613" s="29" cm="1">
        <f t="array" ref="U2613">IF(表成绩单[[#This Row],[政治]]="","",SUMPRODUCT((表成绩单[考试日期]=表成绩单[[#This Row],[考试日期]])*(表成绩单[政治]&lt;9E+307)*(表成绩单[政治]&gt;表成绩单[[#This Row],[政治]]))+1)</f>
        <v>548</v>
      </c>
      <c r="V2613" s="29" cm="1">
        <f t="array" ref="V2613">IF(表成绩单[[#This Row],[历史]]="","",SUMPRODUCT((表成绩单[考试日期]=表成绩单[[#This Row],[考试日期]])*(表成绩单[历史]&lt;9E+307)*(表成绩单[历史]&gt;表成绩单[[#This Row],[历史]]))+1)</f>
        <v>106</v>
      </c>
      <c r="W2613" s="29" cm="1">
        <f t="array" ref="W2613">IF(表成绩单[[#This Row],[总分]]="","",SUMPRODUCT((表成绩单[考试日期]=表成绩单[[#This Row],[考试日期]])*(表成绩单[总分]&lt;9E+307)*(表成绩单[总分]&gt;表成绩单[[#This Row],[总分]]))+1)</f>
        <v>206</v>
      </c>
    </row>
    <row r="2614" ht="28" customHeight="1" spans="4:23">
      <c r="D2614" s="31">
        <v>46108</v>
      </c>
      <c r="E2614" s="29">
        <v>19171084</v>
      </c>
      <c r="F2614" s="29" t="s">
        <v>67</v>
      </c>
      <c r="G2614" s="29" t="s">
        <v>178</v>
      </c>
      <c r="H2614" s="29">
        <v>109</v>
      </c>
      <c r="I2614" s="29">
        <v>84</v>
      </c>
      <c r="J2614" s="29">
        <v>78.5</v>
      </c>
      <c r="K2614" s="29">
        <v>88</v>
      </c>
      <c r="L2614" s="29">
        <v>68</v>
      </c>
      <c r="M2614" s="29">
        <v>78</v>
      </c>
      <c r="N2614" s="29">
        <v>79</v>
      </c>
      <c r="O2614" s="32">
        <v>584.5</v>
      </c>
      <c r="P2614" s="29" cm="1">
        <f t="array" ref="P2614">IF(表成绩单[[#This Row],[语文]]="","",SUMPRODUCT((表成绩单[考试日期]=表成绩单[[#This Row],[考试日期]])*(表成绩单[语文]&lt;9E+307)*(表成绩单[语文]&gt;表成绩单[[#This Row],[语文]]))+1)</f>
        <v>40</v>
      </c>
      <c r="Q2614" s="29" cm="1">
        <f t="array" ref="Q2614">IF(表成绩单[[#This Row],[数学]]="","",SUMPRODUCT((表成绩单[考试日期]=表成绩单[[#This Row],[考试日期]])*(表成绩单[数学]&lt;9E+307)*(表成绩单[数学]&gt;表成绩单[[#This Row],[数学]]))+1)</f>
        <v>518</v>
      </c>
      <c r="R2614" s="29" cm="1">
        <f t="array" ref="R2614">IF(表成绩单[[#This Row],[英语]]="","",SUMPRODUCT((表成绩单[考试日期]=表成绩单[[#This Row],[考试日期]])*(表成绩单[英语]&lt;9E+307)*(表成绩单[英语]&gt;表成绩单[[#This Row],[英语]]))+1)</f>
        <v>322</v>
      </c>
      <c r="S2614" s="29" cm="1">
        <f t="array" ref="S2614">IF(表成绩单[[#This Row],[物理]]="","",SUMPRODUCT((表成绩单[考试日期]=表成绩单[[#This Row],[考试日期]])*(表成绩单[物理]&lt;9E+307)*(表成绩单[物理]&gt;表成绩单[[#This Row],[物理]]))+1)</f>
        <v>27</v>
      </c>
      <c r="T2614" s="29" cm="1">
        <f t="array" ref="T2614">IF(表成绩单[[#This Row],[化学]]="","",SUMPRODUCT((表成绩单[考试日期]=表成绩单[[#This Row],[考试日期]])*(表成绩单[化学]&lt;9E+307)*(表成绩单[化学]&gt;表成绩单[[#This Row],[化学]]))+1)</f>
        <v>306</v>
      </c>
      <c r="U2614" s="29" cm="1">
        <f t="array" ref="U2614">IF(表成绩单[[#This Row],[政治]]="","",SUMPRODUCT((表成绩单[考试日期]=表成绩单[[#This Row],[考试日期]])*(表成绩单[政治]&lt;9E+307)*(表成绩单[政治]&gt;表成绩单[[#This Row],[政治]]))+1)</f>
        <v>171</v>
      </c>
      <c r="V2614" s="29" cm="1">
        <f t="array" ref="V2614">IF(表成绩单[[#This Row],[历史]]="","",SUMPRODUCT((表成绩单[考试日期]=表成绩单[[#This Row],[考试日期]])*(表成绩单[历史]&lt;9E+307)*(表成绩单[历史]&gt;表成绩单[[#This Row],[历史]]))+1)</f>
        <v>173</v>
      </c>
      <c r="W2614" s="29" cm="1">
        <f t="array" ref="W2614">IF(表成绩单[[#This Row],[总分]]="","",SUMPRODUCT((表成绩单[考试日期]=表成绩单[[#This Row],[考试日期]])*(表成绩单[总分]&lt;9E+307)*(表成绩单[总分]&gt;表成绩单[[#This Row],[总分]]))+1)</f>
        <v>207</v>
      </c>
    </row>
    <row r="2615" ht="28" customHeight="1" spans="4:23">
      <c r="D2615" s="31">
        <v>46108</v>
      </c>
      <c r="E2615" s="29">
        <v>19174782</v>
      </c>
      <c r="F2615" s="29" t="s">
        <v>69</v>
      </c>
      <c r="G2615" s="29" t="s">
        <v>344</v>
      </c>
      <c r="H2615" s="29">
        <v>103</v>
      </c>
      <c r="I2615" s="29">
        <v>93</v>
      </c>
      <c r="J2615" s="29">
        <v>80.5</v>
      </c>
      <c r="K2615" s="29">
        <v>82</v>
      </c>
      <c r="L2615" s="29">
        <v>71</v>
      </c>
      <c r="M2615" s="29">
        <v>73</v>
      </c>
      <c r="N2615" s="29">
        <v>82</v>
      </c>
      <c r="O2615" s="32">
        <v>584.5</v>
      </c>
      <c r="P2615" s="29" cm="1">
        <f t="array" ref="P2615">IF(表成绩单[[#This Row],[语文]]="","",SUMPRODUCT((表成绩单[考试日期]=表成绩单[[#This Row],[考试日期]])*(表成绩单[语文]&lt;9E+307)*(表成绩单[语文]&gt;表成绩单[[#This Row],[语文]]))+1)</f>
        <v>155</v>
      </c>
      <c r="Q2615" s="29" cm="1">
        <f t="array" ref="Q2615">IF(表成绩单[[#This Row],[数学]]="","",SUMPRODUCT((表成绩单[考试日期]=表成绩单[[#This Row],[考试日期]])*(表成绩单[数学]&lt;9E+307)*(表成绩单[数学]&gt;表成绩单[[#This Row],[数学]]))+1)</f>
        <v>289</v>
      </c>
      <c r="R2615" s="29" cm="1">
        <f t="array" ref="R2615">IF(表成绩单[[#This Row],[英语]]="","",SUMPRODUCT((表成绩单[考试日期]=表成绩单[[#This Row],[考试日期]])*(表成绩单[英语]&lt;9E+307)*(表成绩单[英语]&gt;表成绩单[[#This Row],[英语]]))+1)</f>
        <v>244</v>
      </c>
      <c r="S2615" s="29" cm="1">
        <f t="array" ref="S2615">IF(表成绩单[[#This Row],[物理]]="","",SUMPRODUCT((表成绩单[考试日期]=表成绩单[[#This Row],[考试日期]])*(表成绩单[物理]&lt;9E+307)*(表成绩单[物理]&gt;表成绩单[[#This Row],[物理]]))+1)</f>
        <v>223</v>
      </c>
      <c r="T2615" s="29" cm="1">
        <f t="array" ref="T2615">IF(表成绩单[[#This Row],[化学]]="","",SUMPRODUCT((表成绩单[考试日期]=表成绩单[[#This Row],[考试日期]])*(表成绩单[化学]&lt;9E+307)*(表成绩单[化学]&gt;表成绩单[[#This Row],[化学]]))+1)</f>
        <v>217</v>
      </c>
      <c r="U2615" s="29" cm="1">
        <f t="array" ref="U2615">IF(表成绩单[[#This Row],[政治]]="","",SUMPRODUCT((表成绩单[考试日期]=表成绩单[[#This Row],[考试日期]])*(表成绩单[政治]&lt;9E+307)*(表成绩单[政治]&gt;表成绩单[[#This Row],[政治]]))+1)</f>
        <v>431</v>
      </c>
      <c r="V2615" s="29" cm="1">
        <f t="array" ref="V2615">IF(表成绩单[[#This Row],[历史]]="","",SUMPRODUCT((表成绩单[考试日期]=表成绩单[[#This Row],[考试日期]])*(表成绩单[历史]&lt;9E+307)*(表成绩单[历史]&gt;表成绩单[[#This Row],[历史]]))+1)</f>
        <v>81</v>
      </c>
      <c r="W2615" s="29" cm="1">
        <f t="array" ref="W2615">IF(表成绩单[[#This Row],[总分]]="","",SUMPRODUCT((表成绩单[考试日期]=表成绩单[[#This Row],[考试日期]])*(表成绩单[总分]&lt;9E+307)*(表成绩单[总分]&gt;表成绩单[[#This Row],[总分]]))+1)</f>
        <v>207</v>
      </c>
    </row>
    <row r="2616" ht="28" customHeight="1" spans="4:23">
      <c r="D2616" s="31">
        <v>46108</v>
      </c>
      <c r="E2616" s="29">
        <v>19175418</v>
      </c>
      <c r="F2616" s="29" t="s">
        <v>74</v>
      </c>
      <c r="G2616" s="29" t="s">
        <v>371</v>
      </c>
      <c r="H2616" s="29">
        <v>98</v>
      </c>
      <c r="I2616" s="29">
        <v>108</v>
      </c>
      <c r="J2616" s="29">
        <v>77.5</v>
      </c>
      <c r="K2616" s="29">
        <v>74</v>
      </c>
      <c r="L2616" s="29">
        <v>80</v>
      </c>
      <c r="M2616" s="29">
        <v>72</v>
      </c>
      <c r="N2616" s="29">
        <v>75</v>
      </c>
      <c r="O2616" s="32">
        <v>584.5</v>
      </c>
      <c r="P2616" s="29" cm="1">
        <f t="array" ref="P2616">IF(表成绩单[[#This Row],[语文]]="","",SUMPRODUCT((表成绩单[考试日期]=表成绩单[[#This Row],[考试日期]])*(表成绩单[语文]&lt;9E+307)*(表成绩单[语文]&gt;表成绩单[[#This Row],[语文]]))+1)</f>
        <v>322</v>
      </c>
      <c r="Q2616" s="29" cm="1">
        <f t="array" ref="Q2616">IF(表成绩单[[#This Row],[数学]]="","",SUMPRODUCT((表成绩单[考试日期]=表成绩单[[#This Row],[考试日期]])*(表成绩单[数学]&lt;9E+307)*(表成绩单[数学]&gt;表成绩单[[#This Row],[数学]]))+1)</f>
        <v>25</v>
      </c>
      <c r="R2616" s="29" cm="1">
        <f t="array" ref="R2616">IF(表成绩单[[#This Row],[英语]]="","",SUMPRODUCT((表成绩单[考试日期]=表成绩单[[#This Row],[考试日期]])*(表成绩单[英语]&lt;9E+307)*(表成绩单[英语]&gt;表成绩单[[#This Row],[英语]]))+1)</f>
        <v>353</v>
      </c>
      <c r="S2616" s="29" cm="1">
        <f t="array" ref="S2616">IF(表成绩单[[#This Row],[物理]]="","",SUMPRODUCT((表成绩单[考试日期]=表成绩单[[#This Row],[考试日期]])*(表成绩单[物理]&lt;9E+307)*(表成绩单[物理]&gt;表成绩单[[#This Row],[物理]]))+1)</f>
        <v>472</v>
      </c>
      <c r="T2616" s="29" cm="1">
        <f t="array" ref="T2616">IF(表成绩单[[#This Row],[化学]]="","",SUMPRODUCT((表成绩单[考试日期]=表成绩单[[#This Row],[考试日期]])*(表成绩单[化学]&lt;9E+307)*(表成绩单[化学]&gt;表成绩单[[#This Row],[化学]]))+1)</f>
        <v>25</v>
      </c>
      <c r="U2616" s="29" cm="1">
        <f t="array" ref="U2616">IF(表成绩单[[#This Row],[政治]]="","",SUMPRODUCT((表成绩单[考试日期]=表成绩单[[#This Row],[考试日期]])*(表成绩单[政治]&lt;9E+307)*(表成绩单[政治]&gt;表成绩单[[#This Row],[政治]]))+1)</f>
        <v>470</v>
      </c>
      <c r="V2616" s="29" cm="1">
        <f t="array" ref="V2616">IF(表成绩单[[#This Row],[历史]]="","",SUMPRODUCT((表成绩单[考试日期]=表成绩单[[#This Row],[考试日期]])*(表成绩单[历史]&lt;9E+307)*(表成绩单[历史]&gt;表成绩单[[#This Row],[历史]]))+1)</f>
        <v>354</v>
      </c>
      <c r="W2616" s="29" cm="1">
        <f t="array" ref="W2616">IF(表成绩单[[#This Row],[总分]]="","",SUMPRODUCT((表成绩单[考试日期]=表成绩单[[#This Row],[考试日期]])*(表成绩单[总分]&lt;9E+307)*(表成绩单[总分]&gt;表成绩单[[#This Row],[总分]]))+1)</f>
        <v>207</v>
      </c>
    </row>
    <row r="2617" ht="28" customHeight="1" spans="4:23">
      <c r="D2617" s="31">
        <v>46108</v>
      </c>
      <c r="E2617" s="29">
        <v>19176175</v>
      </c>
      <c r="F2617" s="29" t="s">
        <v>67</v>
      </c>
      <c r="G2617" s="29" t="s">
        <v>276</v>
      </c>
      <c r="H2617" s="29">
        <v>99</v>
      </c>
      <c r="I2617" s="29">
        <v>90</v>
      </c>
      <c r="J2617" s="29">
        <v>85.5</v>
      </c>
      <c r="K2617" s="29">
        <v>84</v>
      </c>
      <c r="L2617" s="29">
        <v>77</v>
      </c>
      <c r="M2617" s="29">
        <v>71</v>
      </c>
      <c r="N2617" s="29">
        <v>78</v>
      </c>
      <c r="O2617" s="32">
        <v>584.5</v>
      </c>
      <c r="P2617" s="29" cm="1">
        <f t="array" ref="P2617">IF(表成绩单[[#This Row],[语文]]="","",SUMPRODUCT((表成绩单[考试日期]=表成绩单[[#This Row],[考试日期]])*(表成绩单[语文]&lt;9E+307)*(表成绩单[语文]&gt;表成绩单[[#This Row],[语文]]))+1)</f>
        <v>279</v>
      </c>
      <c r="Q2617" s="29" cm="1">
        <f t="array" ref="Q2617">IF(表成绩单[[#This Row],[数学]]="","",SUMPRODUCT((表成绩单[考试日期]=表成绩单[[#This Row],[考试日期]])*(表成绩单[数学]&lt;9E+307)*(表成绩单[数学]&gt;表成绩单[[#This Row],[数学]]))+1)</f>
        <v>368</v>
      </c>
      <c r="R2617" s="29" cm="1">
        <f t="array" ref="R2617">IF(表成绩单[[#This Row],[英语]]="","",SUMPRODUCT((表成绩单[考试日期]=表成绩单[[#This Row],[考试日期]])*(表成绩单[英语]&lt;9E+307)*(表成绩单[英语]&gt;表成绩单[[#This Row],[英语]]))+1)</f>
        <v>43</v>
      </c>
      <c r="S2617" s="29" cm="1">
        <f t="array" ref="S2617">IF(表成绩单[[#This Row],[物理]]="","",SUMPRODUCT((表成绩单[考试日期]=表成绩单[[#This Row],[考试日期]])*(表成绩单[物理]&lt;9E+307)*(表成绩单[物理]&gt;表成绩单[[#This Row],[物理]]))+1)</f>
        <v>146</v>
      </c>
      <c r="T2617" s="29" cm="1">
        <f t="array" ref="T2617">IF(表成绩单[[#This Row],[化学]]="","",SUMPRODUCT((表成绩单[考试日期]=表成绩单[[#This Row],[考试日期]])*(表成绩单[化学]&lt;9E+307)*(表成绩单[化学]&gt;表成绩单[[#This Row],[化学]]))+1)</f>
        <v>57</v>
      </c>
      <c r="U2617" s="29" cm="1">
        <f t="array" ref="U2617">IF(表成绩单[[#This Row],[政治]]="","",SUMPRODUCT((表成绩单[考试日期]=表成绩单[[#This Row],[考试日期]])*(表成绩单[政治]&lt;9E+307)*(表成绩单[政治]&gt;表成绩单[[#This Row],[政治]]))+1)</f>
        <v>513</v>
      </c>
      <c r="V2617" s="29" cm="1">
        <f t="array" ref="V2617">IF(表成绩单[[#This Row],[历史]]="","",SUMPRODUCT((表成绩单[考试日期]=表成绩单[[#This Row],[考试日期]])*(表成绩单[历史]&lt;9E+307)*(表成绩单[历史]&gt;表成绩单[[#This Row],[历史]]))+1)</f>
        <v>222</v>
      </c>
      <c r="W2617" s="29" cm="1">
        <f t="array" ref="W2617">IF(表成绩单[[#This Row],[总分]]="","",SUMPRODUCT((表成绩单[考试日期]=表成绩单[[#This Row],[考试日期]])*(表成绩单[总分]&lt;9E+307)*(表成绩单[总分]&gt;表成绩单[[#This Row],[总分]]))+1)</f>
        <v>207</v>
      </c>
    </row>
    <row r="2618" ht="28" customHeight="1" spans="4:23">
      <c r="D2618" s="31">
        <v>46108</v>
      </c>
      <c r="E2618" s="29">
        <v>19174431</v>
      </c>
      <c r="F2618" s="29" t="s">
        <v>73</v>
      </c>
      <c r="G2618" s="29" t="s">
        <v>388</v>
      </c>
      <c r="H2618" s="29">
        <v>100</v>
      </c>
      <c r="I2618" s="29">
        <v>92</v>
      </c>
      <c r="J2618" s="29">
        <v>82</v>
      </c>
      <c r="K2618" s="29">
        <v>84</v>
      </c>
      <c r="L2618" s="29">
        <v>69</v>
      </c>
      <c r="M2618" s="29">
        <v>77</v>
      </c>
      <c r="N2618" s="29">
        <v>80</v>
      </c>
      <c r="O2618" s="32">
        <v>584</v>
      </c>
      <c r="P2618" s="29" cm="1">
        <f t="array" ref="P2618">IF(表成绩单[[#This Row],[语文]]="","",SUMPRODUCT((表成绩单[考试日期]=表成绩单[[#This Row],[考试日期]])*(表成绩单[语文]&lt;9E+307)*(表成绩单[语文]&gt;表成绩单[[#This Row],[语文]]))+1)</f>
        <v>247</v>
      </c>
      <c r="Q2618" s="29" cm="1">
        <f t="array" ref="Q2618">IF(表成绩单[[#This Row],[数学]]="","",SUMPRODUCT((表成绩单[考试日期]=表成绩单[[#This Row],[考试日期]])*(表成绩单[数学]&lt;9E+307)*(表成绩单[数学]&gt;表成绩单[[#This Row],[数学]]))+1)</f>
        <v>312</v>
      </c>
      <c r="R2618" s="29" cm="1">
        <f t="array" ref="R2618">IF(表成绩单[[#This Row],[英语]]="","",SUMPRODUCT((表成绩单[考试日期]=表成绩单[[#This Row],[考试日期]])*(表成绩单[英语]&lt;9E+307)*(表成绩单[英语]&gt;表成绩单[[#This Row],[英语]]))+1)</f>
        <v>180</v>
      </c>
      <c r="S2618" s="29" cm="1">
        <f t="array" ref="S2618">IF(表成绩单[[#This Row],[物理]]="","",SUMPRODUCT((表成绩单[考试日期]=表成绩单[[#This Row],[考试日期]])*(表成绩单[物理]&lt;9E+307)*(表成绩单[物理]&gt;表成绩单[[#This Row],[物理]]))+1)</f>
        <v>146</v>
      </c>
      <c r="T2618" s="29" cm="1">
        <f t="array" ref="T2618">IF(表成绩单[[#This Row],[化学]]="","",SUMPRODUCT((表成绩单[考试日期]=表成绩单[[#This Row],[考试日期]])*(表成绩单[化学]&lt;9E+307)*(表成绩单[化学]&gt;表成绩单[[#This Row],[化学]]))+1)</f>
        <v>269</v>
      </c>
      <c r="U2618" s="29" cm="1">
        <f t="array" ref="U2618">IF(表成绩单[[#This Row],[政治]]="","",SUMPRODUCT((表成绩单[考试日期]=表成绩单[[#This Row],[考试日期]])*(表成绩单[政治]&lt;9E+307)*(表成绩单[政治]&gt;表成绩单[[#This Row],[政治]]))+1)</f>
        <v>230</v>
      </c>
      <c r="V2618" s="29" cm="1">
        <f t="array" ref="V2618">IF(表成绩单[[#This Row],[历史]]="","",SUMPRODUCT((表成绩单[考试日期]=表成绩单[[#This Row],[考试日期]])*(表成绩单[历史]&lt;9E+307)*(表成绩单[历史]&gt;表成绩单[[#This Row],[历史]]))+1)</f>
        <v>143</v>
      </c>
      <c r="W2618" s="29" cm="1">
        <f t="array" ref="W2618">IF(表成绩单[[#This Row],[总分]]="","",SUMPRODUCT((表成绩单[考试日期]=表成绩单[[#This Row],[考试日期]])*(表成绩单[总分]&lt;9E+307)*(表成绩单[总分]&gt;表成绩单[[#This Row],[总分]]))+1)</f>
        <v>211</v>
      </c>
    </row>
    <row r="2619" ht="28" customHeight="1" spans="4:23">
      <c r="D2619" s="31">
        <v>46108</v>
      </c>
      <c r="E2619" s="29">
        <v>19175385</v>
      </c>
      <c r="F2619" s="29" t="s">
        <v>74</v>
      </c>
      <c r="G2619" s="29" t="s">
        <v>299</v>
      </c>
      <c r="H2619" s="29">
        <v>104</v>
      </c>
      <c r="I2619" s="29">
        <v>93</v>
      </c>
      <c r="J2619" s="29">
        <v>82.5</v>
      </c>
      <c r="K2619" s="29">
        <v>81</v>
      </c>
      <c r="L2619" s="29">
        <v>74</v>
      </c>
      <c r="M2619" s="29">
        <v>77</v>
      </c>
      <c r="N2619" s="29">
        <v>72</v>
      </c>
      <c r="O2619" s="32">
        <v>583.5</v>
      </c>
      <c r="P2619" s="29" cm="1">
        <f t="array" ref="P2619">IF(表成绩单[[#This Row],[语文]]="","",SUMPRODUCT((表成绩单[考试日期]=表成绩单[[#This Row],[考试日期]])*(表成绩单[语文]&lt;9E+307)*(表成绩单[语文]&gt;表成绩单[[#This Row],[语文]]))+1)</f>
        <v>131</v>
      </c>
      <c r="Q2619" s="29" cm="1">
        <f t="array" ref="Q2619">IF(表成绩单[[#This Row],[数学]]="","",SUMPRODUCT((表成绩单[考试日期]=表成绩单[[#This Row],[考试日期]])*(表成绩单[数学]&lt;9E+307)*(表成绩单[数学]&gt;表成绩单[[#This Row],[数学]]))+1)</f>
        <v>289</v>
      </c>
      <c r="R2619" s="29" cm="1">
        <f t="array" ref="R2619">IF(表成绩单[[#This Row],[英语]]="","",SUMPRODUCT((表成绩单[考试日期]=表成绩单[[#This Row],[考试日期]])*(表成绩单[英语]&lt;9E+307)*(表成绩单[英语]&gt;表成绩单[[#This Row],[英语]]))+1)</f>
        <v>156</v>
      </c>
      <c r="S2619" s="29" cm="1">
        <f t="array" ref="S2619">IF(表成绩单[[#This Row],[物理]]="","",SUMPRODUCT((表成绩单[考试日期]=表成绩单[[#This Row],[考试日期]])*(表成绩单[物理]&lt;9E+307)*(表成绩单[物理]&gt;表成绩单[[#This Row],[物理]]))+1)</f>
        <v>269</v>
      </c>
      <c r="T2619" s="29" cm="1">
        <f t="array" ref="T2619">IF(表成绩单[[#This Row],[化学]]="","",SUMPRODUCT((表成绩单[考试日期]=表成绩单[[#This Row],[考试日期]])*(表成绩单[化学]&lt;9E+307)*(表成绩单[化学]&gt;表成绩单[[#This Row],[化学]]))+1)</f>
        <v>127</v>
      </c>
      <c r="U2619" s="29" cm="1">
        <f t="array" ref="U2619">IF(表成绩单[[#This Row],[政治]]="","",SUMPRODUCT((表成绩单[考试日期]=表成绩单[[#This Row],[考试日期]])*(表成绩单[政治]&lt;9E+307)*(表成绩单[政治]&gt;表成绩单[[#This Row],[政治]]))+1)</f>
        <v>230</v>
      </c>
      <c r="V2619" s="29" cm="1">
        <f t="array" ref="V2619">IF(表成绩单[[#This Row],[历史]]="","",SUMPRODUCT((表成绩单[考试日期]=表成绩单[[#This Row],[考试日期]])*(表成绩单[历史]&lt;9E+307)*(表成绩单[历史]&gt;表成绩单[[#This Row],[历史]]))+1)</f>
        <v>470</v>
      </c>
      <c r="W2619" s="29" cm="1">
        <f t="array" ref="W2619">IF(表成绩单[[#This Row],[总分]]="","",SUMPRODUCT((表成绩单[考试日期]=表成绩单[[#This Row],[考试日期]])*(表成绩单[总分]&lt;9E+307)*(表成绩单[总分]&gt;表成绩单[[#This Row],[总分]]))+1)</f>
        <v>212</v>
      </c>
    </row>
    <row r="2620" ht="28" customHeight="1" spans="4:23">
      <c r="D2620" s="31">
        <v>46108</v>
      </c>
      <c r="E2620" s="29">
        <v>19176889</v>
      </c>
      <c r="F2620" s="29" t="s">
        <v>71</v>
      </c>
      <c r="G2620" s="29" t="s">
        <v>277</v>
      </c>
      <c r="H2620" s="29">
        <v>98</v>
      </c>
      <c r="I2620" s="29">
        <v>97</v>
      </c>
      <c r="J2620" s="29">
        <v>77.5</v>
      </c>
      <c r="K2620" s="29">
        <v>88</v>
      </c>
      <c r="L2620" s="29">
        <v>75</v>
      </c>
      <c r="M2620" s="29">
        <v>79</v>
      </c>
      <c r="N2620" s="29">
        <v>69</v>
      </c>
      <c r="O2620" s="32">
        <v>583.5</v>
      </c>
      <c r="P2620" s="29" cm="1">
        <f t="array" ref="P2620">IF(表成绩单[[#This Row],[语文]]="","",SUMPRODUCT((表成绩单[考试日期]=表成绩单[[#This Row],[考试日期]])*(表成绩单[语文]&lt;9E+307)*(表成绩单[语文]&gt;表成绩单[[#This Row],[语文]]))+1)</f>
        <v>322</v>
      </c>
      <c r="Q2620" s="29" cm="1">
        <f t="array" ref="Q2620">IF(表成绩单[[#This Row],[数学]]="","",SUMPRODUCT((表成绩单[考试日期]=表成绩单[[#This Row],[考试日期]])*(表成绩单[数学]&lt;9E+307)*(表成绩单[数学]&gt;表成绩单[[#This Row],[数学]]))+1)</f>
        <v>175</v>
      </c>
      <c r="R2620" s="29" cm="1">
        <f t="array" ref="R2620">IF(表成绩单[[#This Row],[英语]]="","",SUMPRODUCT((表成绩单[考试日期]=表成绩单[[#This Row],[考试日期]])*(表成绩单[英语]&lt;9E+307)*(表成绩单[英语]&gt;表成绩单[[#This Row],[英语]]))+1)</f>
        <v>353</v>
      </c>
      <c r="S2620" s="29" cm="1">
        <f t="array" ref="S2620">IF(表成绩单[[#This Row],[物理]]="","",SUMPRODUCT((表成绩单[考试日期]=表成绩单[[#This Row],[考试日期]])*(表成绩单[物理]&lt;9E+307)*(表成绩单[物理]&gt;表成绩单[[#This Row],[物理]]))+1)</f>
        <v>27</v>
      </c>
      <c r="T2620" s="29" cm="1">
        <f t="array" ref="T2620">IF(表成绩单[[#This Row],[化学]]="","",SUMPRODUCT((表成绩单[考试日期]=表成绩单[[#This Row],[考试日期]])*(表成绩单[化学]&lt;9E+307)*(表成绩单[化学]&gt;表成绩单[[#This Row],[化学]]))+1)</f>
        <v>96</v>
      </c>
      <c r="U2620" s="29" cm="1">
        <f t="array" ref="U2620">IF(表成绩单[[#This Row],[政治]]="","",SUMPRODUCT((表成绩单[考试日期]=表成绩单[[#This Row],[考试日期]])*(表成绩单[政治]&lt;9E+307)*(表成绩单[政治]&gt;表成绩单[[#This Row],[政治]]))+1)</f>
        <v>134</v>
      </c>
      <c r="V2620" s="29" cm="1">
        <f t="array" ref="V2620">IF(表成绩单[[#This Row],[历史]]="","",SUMPRODUCT((表成绩单[考试日期]=表成绩单[[#This Row],[考试日期]])*(表成绩单[历史]&lt;9E+307)*(表成绩单[历史]&gt;表成绩单[[#This Row],[历史]]))+1)</f>
        <v>569</v>
      </c>
      <c r="W2620" s="29" cm="1">
        <f t="array" ref="W2620">IF(表成绩单[[#This Row],[总分]]="","",SUMPRODUCT((表成绩单[考试日期]=表成绩单[[#This Row],[考试日期]])*(表成绩单[总分]&lt;9E+307)*(表成绩单[总分]&gt;表成绩单[[#This Row],[总分]]))+1)</f>
        <v>212</v>
      </c>
    </row>
    <row r="2621" ht="28" customHeight="1" spans="4:23">
      <c r="D2621" s="31">
        <v>46108</v>
      </c>
      <c r="E2621" s="29">
        <v>19167646</v>
      </c>
      <c r="F2621" s="29" t="s">
        <v>1</v>
      </c>
      <c r="G2621" s="29" t="s">
        <v>229</v>
      </c>
      <c r="H2621" s="29">
        <v>97</v>
      </c>
      <c r="I2621" s="29">
        <v>97</v>
      </c>
      <c r="J2621" s="29">
        <v>84</v>
      </c>
      <c r="K2621" s="29">
        <v>84</v>
      </c>
      <c r="L2621" s="29">
        <v>70</v>
      </c>
      <c r="M2621" s="29">
        <v>76</v>
      </c>
      <c r="N2621" s="29">
        <v>75</v>
      </c>
      <c r="O2621" s="32">
        <v>583</v>
      </c>
      <c r="P2621" s="29" cm="1">
        <f t="array" ref="P2621">IF(表成绩单[[#This Row],[语文]]="","",SUMPRODUCT((表成绩单[考试日期]=表成绩单[[#This Row],[考试日期]])*(表成绩单[语文]&lt;9E+307)*(表成绩单[语文]&gt;表成绩单[[#This Row],[语文]]))+1)</f>
        <v>357</v>
      </c>
      <c r="Q2621" s="29" cm="1">
        <f t="array" ref="Q2621">IF(表成绩单[[#This Row],[数学]]="","",SUMPRODUCT((表成绩单[考试日期]=表成绩单[[#This Row],[考试日期]])*(表成绩单[数学]&lt;9E+307)*(表成绩单[数学]&gt;表成绩单[[#This Row],[数学]]))+1)</f>
        <v>175</v>
      </c>
      <c r="R2621" s="29" cm="1">
        <f t="array" ref="R2621">IF(表成绩单[[#This Row],[英语]]="","",SUMPRODUCT((表成绩单[考试日期]=表成绩单[[#This Row],[考试日期]])*(表成绩单[英语]&lt;9E+307)*(表成绩单[英语]&gt;表成绩单[[#This Row],[英语]]))+1)</f>
        <v>100</v>
      </c>
      <c r="S2621" s="29" cm="1">
        <f t="array" ref="S2621">IF(表成绩单[[#This Row],[物理]]="","",SUMPRODUCT((表成绩单[考试日期]=表成绩单[[#This Row],[考试日期]])*(表成绩单[物理]&lt;9E+307)*(表成绩单[物理]&gt;表成绩单[[#This Row],[物理]]))+1)</f>
        <v>146</v>
      </c>
      <c r="T2621" s="29" cm="1">
        <f t="array" ref="T2621">IF(表成绩单[[#This Row],[化学]]="","",SUMPRODUCT((表成绩单[考试日期]=表成绩单[[#This Row],[考试日期]])*(表成绩单[化学]&lt;9E+307)*(表成绩单[化学]&gt;表成绩单[[#This Row],[化学]]))+1)</f>
        <v>241</v>
      </c>
      <c r="U2621" s="29" cm="1">
        <f t="array" ref="U2621">IF(表成绩单[[#This Row],[政治]]="","",SUMPRODUCT((表成绩单[考试日期]=表成绩单[[#This Row],[考试日期]])*(表成绩单[政治]&lt;9E+307)*(表成绩单[政治]&gt;表成绩单[[#This Row],[政治]]))+1)</f>
        <v>291</v>
      </c>
      <c r="V2621" s="29" cm="1">
        <f t="array" ref="V2621">IF(表成绩单[[#This Row],[历史]]="","",SUMPRODUCT((表成绩单[考试日期]=表成绩单[[#This Row],[考试日期]])*(表成绩单[历史]&lt;9E+307)*(表成绩单[历史]&gt;表成绩单[[#This Row],[历史]]))+1)</f>
        <v>354</v>
      </c>
      <c r="W2621" s="29" cm="1">
        <f t="array" ref="W2621">IF(表成绩单[[#This Row],[总分]]="","",SUMPRODUCT((表成绩单[考试日期]=表成绩单[[#This Row],[考试日期]])*(表成绩单[总分]&lt;9E+307)*(表成绩单[总分]&gt;表成绩单[[#This Row],[总分]]))+1)</f>
        <v>214</v>
      </c>
    </row>
    <row r="2622" ht="28" customHeight="1" spans="4:23">
      <c r="D2622" s="31">
        <v>46108</v>
      </c>
      <c r="E2622" s="29">
        <v>19174809</v>
      </c>
      <c r="F2622" s="29" t="s">
        <v>69</v>
      </c>
      <c r="G2622" s="29" t="s">
        <v>296</v>
      </c>
      <c r="H2622" s="29">
        <v>110</v>
      </c>
      <c r="I2622" s="29">
        <v>95</v>
      </c>
      <c r="J2622" s="29">
        <v>76</v>
      </c>
      <c r="K2622" s="29">
        <v>85</v>
      </c>
      <c r="L2622" s="29">
        <v>60</v>
      </c>
      <c r="M2622" s="29">
        <v>78</v>
      </c>
      <c r="N2622" s="29">
        <v>79</v>
      </c>
      <c r="O2622" s="32">
        <v>583</v>
      </c>
      <c r="P2622" s="29" cm="1">
        <f t="array" ref="P2622">IF(表成绩单[[#This Row],[语文]]="","",SUMPRODUCT((表成绩单[考试日期]=表成绩单[[#This Row],[考试日期]])*(表成绩单[语文]&lt;9E+307)*(表成绩单[语文]&gt;表成绩单[[#This Row],[语文]]))+1)</f>
        <v>24</v>
      </c>
      <c r="Q2622" s="29" cm="1">
        <f t="array" ref="Q2622">IF(表成绩单[[#This Row],[数学]]="","",SUMPRODUCT((表成绩单[考试日期]=表成绩单[[#This Row],[考试日期]])*(表成绩单[数学]&lt;9E+307)*(表成绩单[数学]&gt;表成绩单[[#This Row],[数学]]))+1)</f>
        <v>229</v>
      </c>
      <c r="R2622" s="29" cm="1">
        <f t="array" ref="R2622">IF(表成绩单[[#This Row],[英语]]="","",SUMPRODUCT((表成绩单[考试日期]=表成绩单[[#This Row],[考试日期]])*(表成绩单[英语]&lt;9E+307)*(表成绩单[英语]&gt;表成绩单[[#This Row],[英语]]))+1)</f>
        <v>405</v>
      </c>
      <c r="S2622" s="29" cm="1">
        <f t="array" ref="S2622">IF(表成绩单[[#This Row],[物理]]="","",SUMPRODUCT((表成绩单[考试日期]=表成绩单[[#This Row],[考试日期]])*(表成绩单[物理]&lt;9E+307)*(表成绩单[物理]&gt;表成绩单[[#This Row],[物理]]))+1)</f>
        <v>105</v>
      </c>
      <c r="T2622" s="29" cm="1">
        <f t="array" ref="T2622">IF(表成绩单[[#This Row],[化学]]="","",SUMPRODUCT((表成绩单[考试日期]=表成绩单[[#This Row],[考试日期]])*(表成绩单[化学]&lt;9E+307)*(表成绩单[化学]&gt;表成绩单[[#This Row],[化学]]))+1)</f>
        <v>490</v>
      </c>
      <c r="U2622" s="29" cm="1">
        <f t="array" ref="U2622">IF(表成绩单[[#This Row],[政治]]="","",SUMPRODUCT((表成绩单[考试日期]=表成绩单[[#This Row],[考试日期]])*(表成绩单[政治]&lt;9E+307)*(表成绩单[政治]&gt;表成绩单[[#This Row],[政治]]))+1)</f>
        <v>171</v>
      </c>
      <c r="V2622" s="29" cm="1">
        <f t="array" ref="V2622">IF(表成绩单[[#This Row],[历史]]="","",SUMPRODUCT((表成绩单[考试日期]=表成绩单[[#This Row],[考试日期]])*(表成绩单[历史]&lt;9E+307)*(表成绩单[历史]&gt;表成绩单[[#This Row],[历史]]))+1)</f>
        <v>173</v>
      </c>
      <c r="W2622" s="29" cm="1">
        <f t="array" ref="W2622">IF(表成绩单[[#This Row],[总分]]="","",SUMPRODUCT((表成绩单[考试日期]=表成绩单[[#This Row],[考试日期]])*(表成绩单[总分]&lt;9E+307)*(表成绩单[总分]&gt;表成绩单[[#This Row],[总分]]))+1)</f>
        <v>214</v>
      </c>
    </row>
    <row r="2623" ht="28" customHeight="1" spans="4:23">
      <c r="D2623" s="31">
        <v>46108</v>
      </c>
      <c r="E2623" s="29">
        <v>19176872</v>
      </c>
      <c r="F2623" s="29" t="s">
        <v>71</v>
      </c>
      <c r="G2623" s="29" t="s">
        <v>329</v>
      </c>
      <c r="H2623" s="29">
        <v>105</v>
      </c>
      <c r="I2623" s="29">
        <v>95</v>
      </c>
      <c r="J2623" s="29">
        <v>77</v>
      </c>
      <c r="K2623" s="29">
        <v>78</v>
      </c>
      <c r="L2623" s="29">
        <v>73</v>
      </c>
      <c r="M2623" s="29">
        <v>76</v>
      </c>
      <c r="N2623" s="29">
        <v>79</v>
      </c>
      <c r="O2623" s="32">
        <v>583</v>
      </c>
      <c r="P2623" s="29" cm="1">
        <f t="array" ref="P2623">IF(表成绩单[[#This Row],[语文]]="","",SUMPRODUCT((表成绩单[考试日期]=表成绩单[[#This Row],[考试日期]])*(表成绩单[语文]&lt;9E+307)*(表成绩单[语文]&gt;表成绩单[[#This Row],[语文]]))+1)</f>
        <v>101</v>
      </c>
      <c r="Q2623" s="29" cm="1">
        <f t="array" ref="Q2623">IF(表成绩单[[#This Row],[数学]]="","",SUMPRODUCT((表成绩单[考试日期]=表成绩单[[#This Row],[考试日期]])*(表成绩单[数学]&lt;9E+307)*(表成绩单[数学]&gt;表成绩单[[#This Row],[数学]]))+1)</f>
        <v>229</v>
      </c>
      <c r="R2623" s="29" cm="1">
        <f t="array" ref="R2623">IF(表成绩单[[#This Row],[英语]]="","",SUMPRODUCT((表成绩单[考试日期]=表成绩单[[#This Row],[考试日期]])*(表成绩单[英语]&lt;9E+307)*(表成绩单[英语]&gt;表成绩单[[#This Row],[英语]]))+1)</f>
        <v>370</v>
      </c>
      <c r="S2623" s="29" cm="1">
        <f t="array" ref="S2623">IF(表成绩单[[#This Row],[物理]]="","",SUMPRODUCT((表成绩单[考试日期]=表成绩单[[#This Row],[考试日期]])*(表成绩单[物理]&lt;9E+307)*(表成绩单[物理]&gt;表成绩单[[#This Row],[物理]]))+1)</f>
        <v>365</v>
      </c>
      <c r="T2623" s="29" cm="1">
        <f t="array" ref="T2623">IF(表成绩单[[#This Row],[化学]]="","",SUMPRODUCT((表成绩单[考试日期]=表成绩单[[#This Row],[考试日期]])*(表成绩单[化学]&lt;9E+307)*(表成绩单[化学]&gt;表成绩单[[#This Row],[化学]]))+1)</f>
        <v>152</v>
      </c>
      <c r="U2623" s="29" cm="1">
        <f t="array" ref="U2623">IF(表成绩单[[#This Row],[政治]]="","",SUMPRODUCT((表成绩单[考试日期]=表成绩单[[#This Row],[考试日期]])*(表成绩单[政治]&lt;9E+307)*(表成绩单[政治]&gt;表成绩单[[#This Row],[政治]]))+1)</f>
        <v>291</v>
      </c>
      <c r="V2623" s="29" cm="1">
        <f t="array" ref="V2623">IF(表成绩单[[#This Row],[历史]]="","",SUMPRODUCT((表成绩单[考试日期]=表成绩单[[#This Row],[考试日期]])*(表成绩单[历史]&lt;9E+307)*(表成绩单[历史]&gt;表成绩单[[#This Row],[历史]]))+1)</f>
        <v>173</v>
      </c>
      <c r="W2623" s="29" cm="1">
        <f t="array" ref="W2623">IF(表成绩单[[#This Row],[总分]]="","",SUMPRODUCT((表成绩单[考试日期]=表成绩单[[#This Row],[考试日期]])*(表成绩单[总分]&lt;9E+307)*(表成绩单[总分]&gt;表成绩单[[#This Row],[总分]]))+1)</f>
        <v>214</v>
      </c>
    </row>
    <row r="2624" ht="28" customHeight="1" spans="4:23">
      <c r="D2624" s="31">
        <v>46108</v>
      </c>
      <c r="E2624" s="29">
        <v>19176884</v>
      </c>
      <c r="F2624" s="29" t="s">
        <v>71</v>
      </c>
      <c r="G2624" s="29" t="s">
        <v>340</v>
      </c>
      <c r="H2624" s="29">
        <v>99</v>
      </c>
      <c r="I2624" s="29">
        <v>94</v>
      </c>
      <c r="J2624" s="29">
        <v>74</v>
      </c>
      <c r="K2624" s="29">
        <v>89</v>
      </c>
      <c r="L2624" s="29">
        <v>73</v>
      </c>
      <c r="M2624" s="29">
        <v>77</v>
      </c>
      <c r="N2624" s="29">
        <v>77</v>
      </c>
      <c r="O2624" s="32">
        <v>583</v>
      </c>
      <c r="P2624" s="29" cm="1">
        <f t="array" ref="P2624">IF(表成绩单[[#This Row],[语文]]="","",SUMPRODUCT((表成绩单[考试日期]=表成绩单[[#This Row],[考试日期]])*(表成绩单[语文]&lt;9E+307)*(表成绩单[语文]&gt;表成绩单[[#This Row],[语文]]))+1)</f>
        <v>279</v>
      </c>
      <c r="Q2624" s="29" cm="1">
        <f t="array" ref="Q2624">IF(表成绩单[[#This Row],[数学]]="","",SUMPRODUCT((表成绩单[考试日期]=表成绩单[[#This Row],[考试日期]])*(表成绩单[数学]&lt;9E+307)*(表成绩单[数学]&gt;表成绩单[[#This Row],[数学]]))+1)</f>
        <v>258</v>
      </c>
      <c r="R2624" s="29" cm="1">
        <f t="array" ref="R2624">IF(表成绩单[[#This Row],[英语]]="","",SUMPRODUCT((表成绩单[考试日期]=表成绩单[[#This Row],[考试日期]])*(表成绩单[英语]&lt;9E+307)*(表成绩单[英语]&gt;表成绩单[[#This Row],[英语]]))+1)</f>
        <v>464</v>
      </c>
      <c r="S2624" s="29" cm="1">
        <f t="array" ref="S2624">IF(表成绩单[[#This Row],[物理]]="","",SUMPRODUCT((表成绩单[考试日期]=表成绩单[[#This Row],[考试日期]])*(表成绩单[物理]&lt;9E+307)*(表成绩单[物理]&gt;表成绩单[[#This Row],[物理]]))+1)</f>
        <v>15</v>
      </c>
      <c r="T2624" s="29" cm="1">
        <f t="array" ref="T2624">IF(表成绩单[[#This Row],[化学]]="","",SUMPRODUCT((表成绩单[考试日期]=表成绩单[[#This Row],[考试日期]])*(表成绩单[化学]&lt;9E+307)*(表成绩单[化学]&gt;表成绩单[[#This Row],[化学]]))+1)</f>
        <v>152</v>
      </c>
      <c r="U2624" s="29" cm="1">
        <f t="array" ref="U2624">IF(表成绩单[[#This Row],[政治]]="","",SUMPRODUCT((表成绩单[考试日期]=表成绩单[[#This Row],[考试日期]])*(表成绩单[政治]&lt;9E+307)*(表成绩单[政治]&gt;表成绩单[[#This Row],[政治]]))+1)</f>
        <v>230</v>
      </c>
      <c r="V2624" s="29" cm="1">
        <f t="array" ref="V2624">IF(表成绩单[[#This Row],[历史]]="","",SUMPRODUCT((表成绩单[考试日期]=表成绩单[[#This Row],[考试日期]])*(表成绩单[历史]&lt;9E+307)*(表成绩单[历史]&gt;表成绩单[[#This Row],[历史]]))+1)</f>
        <v>269</v>
      </c>
      <c r="W2624" s="29" cm="1">
        <f t="array" ref="W2624">IF(表成绩单[[#This Row],[总分]]="","",SUMPRODUCT((表成绩单[考试日期]=表成绩单[[#This Row],[考试日期]])*(表成绩单[总分]&lt;9E+307)*(表成绩单[总分]&gt;表成绩单[[#This Row],[总分]]))+1)</f>
        <v>214</v>
      </c>
    </row>
    <row r="2625" ht="28" customHeight="1" spans="4:23">
      <c r="D2625" s="31">
        <v>46108</v>
      </c>
      <c r="E2625" s="29">
        <v>19167660</v>
      </c>
      <c r="F2625" s="29" t="s">
        <v>1</v>
      </c>
      <c r="G2625" s="29" t="s">
        <v>374</v>
      </c>
      <c r="H2625" s="29">
        <v>102</v>
      </c>
      <c r="I2625" s="29">
        <v>92</v>
      </c>
      <c r="J2625" s="29">
        <v>76.5</v>
      </c>
      <c r="K2625" s="29">
        <v>80</v>
      </c>
      <c r="L2625" s="29">
        <v>71</v>
      </c>
      <c r="M2625" s="29">
        <v>77</v>
      </c>
      <c r="N2625" s="29">
        <v>84</v>
      </c>
      <c r="O2625" s="32">
        <v>582.5</v>
      </c>
      <c r="P2625" s="29" cm="1">
        <f t="array" ref="P2625">IF(表成绩单[[#This Row],[语文]]="","",SUMPRODUCT((表成绩单[考试日期]=表成绩单[[#This Row],[考试日期]])*(表成绩单[语文]&lt;9E+307)*(表成绩单[语文]&gt;表成绩单[[#This Row],[语文]]))+1)</f>
        <v>183</v>
      </c>
      <c r="Q2625" s="29" cm="1">
        <f t="array" ref="Q2625">IF(表成绩单[[#This Row],[数学]]="","",SUMPRODUCT((表成绩单[考试日期]=表成绩单[[#This Row],[考试日期]])*(表成绩单[数学]&lt;9E+307)*(表成绩单[数学]&gt;表成绩单[[#This Row],[数学]]))+1)</f>
        <v>312</v>
      </c>
      <c r="R2625" s="29" cm="1">
        <f t="array" ref="R2625">IF(表成绩单[[#This Row],[英语]]="","",SUMPRODUCT((表成绩单[考试日期]=表成绩单[[#This Row],[考试日期]])*(表成绩单[英语]&lt;9E+307)*(表成绩单[英语]&gt;表成绩单[[#This Row],[英语]]))+1)</f>
        <v>384</v>
      </c>
      <c r="S2625" s="29" cm="1">
        <f t="array" ref="S2625">IF(表成绩单[[#This Row],[物理]]="","",SUMPRODUCT((表成绩单[考试日期]=表成绩单[[#This Row],[考试日期]])*(表成绩单[物理]&lt;9E+307)*(表成绩单[物理]&gt;表成绩单[[#This Row],[物理]]))+1)</f>
        <v>305</v>
      </c>
      <c r="T2625" s="29" cm="1">
        <f t="array" ref="T2625">IF(表成绩单[[#This Row],[化学]]="","",SUMPRODUCT((表成绩单[考试日期]=表成绩单[[#This Row],[考试日期]])*(表成绩单[化学]&lt;9E+307)*(表成绩单[化学]&gt;表成绩单[[#This Row],[化学]]))+1)</f>
        <v>217</v>
      </c>
      <c r="U2625" s="29" cm="1">
        <f t="array" ref="U2625">IF(表成绩单[[#This Row],[政治]]="","",SUMPRODUCT((表成绩单[考试日期]=表成绩单[[#This Row],[考试日期]])*(表成绩单[政治]&lt;9E+307)*(表成绩单[政治]&gt;表成绩单[[#This Row],[政治]]))+1)</f>
        <v>230</v>
      </c>
      <c r="V2625" s="29" cm="1">
        <f t="array" ref="V2625">IF(表成绩单[[#This Row],[历史]]="","",SUMPRODUCT((表成绩单[考试日期]=表成绩单[[#This Row],[考试日期]])*(表成绩单[历史]&lt;9E+307)*(表成绩单[历史]&gt;表成绩单[[#This Row],[历史]]))+1)</f>
        <v>38</v>
      </c>
      <c r="W2625" s="29" cm="1">
        <f t="array" ref="W2625">IF(表成绩单[[#This Row],[总分]]="","",SUMPRODUCT((表成绩单[考试日期]=表成绩单[[#This Row],[考试日期]])*(表成绩单[总分]&lt;9E+307)*(表成绩单[总分]&gt;表成绩单[[#This Row],[总分]]))+1)</f>
        <v>218</v>
      </c>
    </row>
    <row r="2626" ht="28" customHeight="1" spans="4:23">
      <c r="D2626" s="31">
        <v>46108</v>
      </c>
      <c r="E2626" s="29">
        <v>19173236</v>
      </c>
      <c r="F2626" s="29" t="s">
        <v>61</v>
      </c>
      <c r="G2626" s="29" t="s">
        <v>267</v>
      </c>
      <c r="H2626" s="29">
        <v>104</v>
      </c>
      <c r="I2626" s="29">
        <v>97</v>
      </c>
      <c r="J2626" s="29">
        <v>82.5</v>
      </c>
      <c r="K2626" s="29">
        <v>82</v>
      </c>
      <c r="L2626" s="29">
        <v>66</v>
      </c>
      <c r="M2626" s="29">
        <v>72</v>
      </c>
      <c r="N2626" s="29">
        <v>79</v>
      </c>
      <c r="O2626" s="32">
        <v>582.5</v>
      </c>
      <c r="P2626" s="29" cm="1">
        <f t="array" ref="P2626">IF(表成绩单[[#This Row],[语文]]="","",SUMPRODUCT((表成绩单[考试日期]=表成绩单[[#This Row],[考试日期]])*(表成绩单[语文]&lt;9E+307)*(表成绩单[语文]&gt;表成绩单[[#This Row],[语文]]))+1)</f>
        <v>131</v>
      </c>
      <c r="Q2626" s="29" cm="1">
        <f t="array" ref="Q2626">IF(表成绩单[[#This Row],[数学]]="","",SUMPRODUCT((表成绩单[考试日期]=表成绩单[[#This Row],[考试日期]])*(表成绩单[数学]&lt;9E+307)*(表成绩单[数学]&gt;表成绩单[[#This Row],[数学]]))+1)</f>
        <v>175</v>
      </c>
      <c r="R2626" s="29" cm="1">
        <f t="array" ref="R2626">IF(表成绩单[[#This Row],[英语]]="","",SUMPRODUCT((表成绩单[考试日期]=表成绩单[[#This Row],[考试日期]])*(表成绩单[英语]&lt;9E+307)*(表成绩单[英语]&gt;表成绩单[[#This Row],[英语]]))+1)</f>
        <v>156</v>
      </c>
      <c r="S2626" s="29" cm="1">
        <f t="array" ref="S2626">IF(表成绩单[[#This Row],[物理]]="","",SUMPRODUCT((表成绩单[考试日期]=表成绩单[[#This Row],[考试日期]])*(表成绩单[物理]&lt;9E+307)*(表成绩单[物理]&gt;表成绩单[[#This Row],[物理]]))+1)</f>
        <v>223</v>
      </c>
      <c r="T2626" s="29" cm="1">
        <f t="array" ref="T2626">IF(表成绩单[[#This Row],[化学]]="","",SUMPRODUCT((表成绩单[考试日期]=表成绩单[[#This Row],[考试日期]])*(表成绩单[化学]&lt;9E+307)*(表成绩单[化学]&gt;表成绩单[[#This Row],[化学]]))+1)</f>
        <v>359</v>
      </c>
      <c r="U2626" s="29" cm="1">
        <f t="array" ref="U2626">IF(表成绩单[[#This Row],[政治]]="","",SUMPRODUCT((表成绩单[考试日期]=表成绩单[[#This Row],[考试日期]])*(表成绩单[政治]&lt;9E+307)*(表成绩单[政治]&gt;表成绩单[[#This Row],[政治]]))+1)</f>
        <v>470</v>
      </c>
      <c r="V2626" s="29" cm="1">
        <f t="array" ref="V2626">IF(表成绩单[[#This Row],[历史]]="","",SUMPRODUCT((表成绩单[考试日期]=表成绩单[[#This Row],[考试日期]])*(表成绩单[历史]&lt;9E+307)*(表成绩单[历史]&gt;表成绩单[[#This Row],[历史]]))+1)</f>
        <v>173</v>
      </c>
      <c r="W2626" s="29" cm="1">
        <f t="array" ref="W2626">IF(表成绩单[[#This Row],[总分]]="","",SUMPRODUCT((表成绩单[考试日期]=表成绩单[[#This Row],[考试日期]])*(表成绩单[总分]&lt;9E+307)*(表成绩单[总分]&gt;表成绩单[[#This Row],[总分]]))+1)</f>
        <v>218</v>
      </c>
    </row>
    <row r="2627" ht="28" customHeight="1" spans="4:23">
      <c r="D2627" s="31">
        <v>46108</v>
      </c>
      <c r="E2627" s="29">
        <v>19174455</v>
      </c>
      <c r="F2627" s="29" t="s">
        <v>73</v>
      </c>
      <c r="G2627" s="29" t="s">
        <v>220</v>
      </c>
      <c r="H2627" s="29">
        <v>108</v>
      </c>
      <c r="I2627" s="29">
        <v>91</v>
      </c>
      <c r="J2627" s="29">
        <v>81.5</v>
      </c>
      <c r="K2627" s="29">
        <v>80</v>
      </c>
      <c r="L2627" s="29">
        <v>73</v>
      </c>
      <c r="M2627" s="29">
        <v>75</v>
      </c>
      <c r="N2627" s="29">
        <v>74</v>
      </c>
      <c r="O2627" s="32">
        <v>582.5</v>
      </c>
      <c r="P2627" s="29" cm="1">
        <f t="array" ref="P2627">IF(表成绩单[[#This Row],[语文]]="","",SUMPRODUCT((表成绩单[考试日期]=表成绩单[[#This Row],[考试日期]])*(表成绩单[语文]&lt;9E+307)*(表成绩单[语文]&gt;表成绩单[[#This Row],[语文]]))+1)</f>
        <v>55</v>
      </c>
      <c r="Q2627" s="29" cm="1">
        <f t="array" ref="Q2627">IF(表成绩单[[#This Row],[数学]]="","",SUMPRODUCT((表成绩单[考试日期]=表成绩单[[#This Row],[考试日期]])*(表成绩单[数学]&lt;9E+307)*(表成绩单[数学]&gt;表成绩单[[#This Row],[数学]]))+1)</f>
        <v>341</v>
      </c>
      <c r="R2627" s="29" cm="1">
        <f t="array" ref="R2627">IF(表成绩单[[#This Row],[英语]]="","",SUMPRODUCT((表成绩单[考试日期]=表成绩单[[#This Row],[考试日期]])*(表成绩单[英语]&lt;9E+307)*(表成绩单[英语]&gt;表成绩单[[#This Row],[英语]]))+1)</f>
        <v>203</v>
      </c>
      <c r="S2627" s="29" cm="1">
        <f t="array" ref="S2627">IF(表成绩单[[#This Row],[物理]]="","",SUMPRODUCT((表成绩单[考试日期]=表成绩单[[#This Row],[考试日期]])*(表成绩单[物理]&lt;9E+307)*(表成绩单[物理]&gt;表成绩单[[#This Row],[物理]]))+1)</f>
        <v>305</v>
      </c>
      <c r="T2627" s="29" cm="1">
        <f t="array" ref="T2627">IF(表成绩单[[#This Row],[化学]]="","",SUMPRODUCT((表成绩单[考试日期]=表成绩单[[#This Row],[考试日期]])*(表成绩单[化学]&lt;9E+307)*(表成绩单[化学]&gt;表成绩单[[#This Row],[化学]]))+1)</f>
        <v>152</v>
      </c>
      <c r="U2627" s="29" cm="1">
        <f t="array" ref="U2627">IF(表成绩单[[#This Row],[政治]]="","",SUMPRODUCT((表成绩单[考试日期]=表成绩单[[#This Row],[考试日期]])*(表成绩单[政治]&lt;9E+307)*(表成绩单[政治]&gt;表成绩单[[#This Row],[政治]]))+1)</f>
        <v>346</v>
      </c>
      <c r="V2627" s="29" cm="1">
        <f t="array" ref="V2627">IF(表成绩单[[#This Row],[历史]]="","",SUMPRODUCT((表成绩单[考试日期]=表成绩单[[#This Row],[考试日期]])*(表成绩单[历史]&lt;9E+307)*(表成绩单[历史]&gt;表成绩单[[#This Row],[历史]]))+1)</f>
        <v>389</v>
      </c>
      <c r="W2627" s="29" cm="1">
        <f t="array" ref="W2627">IF(表成绩单[[#This Row],[总分]]="","",SUMPRODUCT((表成绩单[考试日期]=表成绩单[[#This Row],[考试日期]])*(表成绩单[总分]&lt;9E+307)*(表成绩单[总分]&gt;表成绩单[[#This Row],[总分]]))+1)</f>
        <v>218</v>
      </c>
    </row>
    <row r="2628" ht="28" customHeight="1" spans="4:23">
      <c r="D2628" s="31">
        <v>46108</v>
      </c>
      <c r="E2628" s="29">
        <v>19175705</v>
      </c>
      <c r="F2628" s="29" t="s">
        <v>72</v>
      </c>
      <c r="G2628" s="29" t="s">
        <v>275</v>
      </c>
      <c r="H2628" s="29">
        <v>96</v>
      </c>
      <c r="I2628" s="29">
        <v>106</v>
      </c>
      <c r="J2628" s="29">
        <v>80.5</v>
      </c>
      <c r="K2628" s="29">
        <v>85</v>
      </c>
      <c r="L2628" s="29">
        <v>69</v>
      </c>
      <c r="M2628" s="29">
        <v>68</v>
      </c>
      <c r="N2628" s="29">
        <v>78</v>
      </c>
      <c r="O2628" s="32">
        <v>582.5</v>
      </c>
      <c r="P2628" s="29" cm="1">
        <f t="array" ref="P2628">IF(表成绩单[[#This Row],[语文]]="","",SUMPRODUCT((表成绩单[考试日期]=表成绩单[[#This Row],[考试日期]])*(表成绩单[语文]&lt;9E+307)*(表成绩单[语文]&gt;表成绩单[[#This Row],[语文]]))+1)</f>
        <v>390</v>
      </c>
      <c r="Q2628" s="29" cm="1">
        <f t="array" ref="Q2628">IF(表成绩单[[#This Row],[数学]]="","",SUMPRODUCT((表成绩单[考试日期]=表成绩单[[#This Row],[考试日期]])*(表成绩单[数学]&lt;9E+307)*(表成绩单[数学]&gt;表成绩单[[#This Row],[数学]]))+1)</f>
        <v>40</v>
      </c>
      <c r="R2628" s="29" cm="1">
        <f t="array" ref="R2628">IF(表成绩单[[#This Row],[英语]]="","",SUMPRODUCT((表成绩单[考试日期]=表成绩单[[#This Row],[考试日期]])*(表成绩单[英语]&lt;9E+307)*(表成绩单[英语]&gt;表成绩单[[#This Row],[英语]]))+1)</f>
        <v>244</v>
      </c>
      <c r="S2628" s="29" cm="1">
        <f t="array" ref="S2628">IF(表成绩单[[#This Row],[物理]]="","",SUMPRODUCT((表成绩单[考试日期]=表成绩单[[#This Row],[考试日期]])*(表成绩单[物理]&lt;9E+307)*(表成绩单[物理]&gt;表成绩单[[#This Row],[物理]]))+1)</f>
        <v>105</v>
      </c>
      <c r="T2628" s="29" cm="1">
        <f t="array" ref="T2628">IF(表成绩单[[#This Row],[化学]]="","",SUMPRODUCT((表成绩单[考试日期]=表成绩单[[#This Row],[考试日期]])*(表成绩单[化学]&lt;9E+307)*(表成绩单[化学]&gt;表成绩单[[#This Row],[化学]]))+1)</f>
        <v>269</v>
      </c>
      <c r="U2628" s="29" cm="1">
        <f t="array" ref="U2628">IF(表成绩单[[#This Row],[政治]]="","",SUMPRODUCT((表成绩单[考试日期]=表成绩单[[#This Row],[考试日期]])*(表成绩单[政治]&lt;9E+307)*(表成绩单[政治]&gt;表成绩单[[#This Row],[政治]]))+1)</f>
        <v>596</v>
      </c>
      <c r="V2628" s="29" cm="1">
        <f t="array" ref="V2628">IF(表成绩单[[#This Row],[历史]]="","",SUMPRODUCT((表成绩单[考试日期]=表成绩单[[#This Row],[考试日期]])*(表成绩单[历史]&lt;9E+307)*(表成绩单[历史]&gt;表成绩单[[#This Row],[历史]]))+1)</f>
        <v>222</v>
      </c>
      <c r="W2628" s="29" cm="1">
        <f t="array" ref="W2628">IF(表成绩单[[#This Row],[总分]]="","",SUMPRODUCT((表成绩单[考试日期]=表成绩单[[#This Row],[考试日期]])*(表成绩单[总分]&lt;9E+307)*(表成绩单[总分]&gt;表成绩单[[#This Row],[总分]]))+1)</f>
        <v>218</v>
      </c>
    </row>
    <row r="2629" ht="28" customHeight="1" spans="4:23">
      <c r="D2629" s="31">
        <v>46108</v>
      </c>
      <c r="E2629" s="29">
        <v>19177645</v>
      </c>
      <c r="F2629" s="29" t="s">
        <v>63</v>
      </c>
      <c r="G2629" s="29" t="s">
        <v>264</v>
      </c>
      <c r="H2629" s="29">
        <v>107</v>
      </c>
      <c r="I2629" s="29">
        <v>91</v>
      </c>
      <c r="J2629" s="29">
        <v>82.5</v>
      </c>
      <c r="K2629" s="29">
        <v>80</v>
      </c>
      <c r="L2629" s="29">
        <v>68</v>
      </c>
      <c r="M2629" s="29">
        <v>78</v>
      </c>
      <c r="N2629" s="29">
        <v>76</v>
      </c>
      <c r="O2629" s="32">
        <v>582.5</v>
      </c>
      <c r="P2629" s="29" cm="1">
        <f t="array" ref="P2629">IF(表成绩单[[#This Row],[语文]]="","",SUMPRODUCT((表成绩单[考试日期]=表成绩单[[#This Row],[考试日期]])*(表成绩单[语文]&lt;9E+307)*(表成绩单[语文]&gt;表成绩单[[#This Row],[语文]]))+1)</f>
        <v>67</v>
      </c>
      <c r="Q2629" s="29" cm="1">
        <f t="array" ref="Q2629">IF(表成绩单[[#This Row],[数学]]="","",SUMPRODUCT((表成绩单[考试日期]=表成绩单[[#This Row],[考试日期]])*(表成绩单[数学]&lt;9E+307)*(表成绩单[数学]&gt;表成绩单[[#This Row],[数学]]))+1)</f>
        <v>341</v>
      </c>
      <c r="R2629" s="29" cm="1">
        <f t="array" ref="R2629">IF(表成绩单[[#This Row],[英语]]="","",SUMPRODUCT((表成绩单[考试日期]=表成绩单[[#This Row],[考试日期]])*(表成绩单[英语]&lt;9E+307)*(表成绩单[英语]&gt;表成绩单[[#This Row],[英语]]))+1)</f>
        <v>156</v>
      </c>
      <c r="S2629" s="29" cm="1">
        <f t="array" ref="S2629">IF(表成绩单[[#This Row],[物理]]="","",SUMPRODUCT((表成绩单[考试日期]=表成绩单[[#This Row],[考试日期]])*(表成绩单[物理]&lt;9E+307)*(表成绩单[物理]&gt;表成绩单[[#This Row],[物理]]))+1)</f>
        <v>305</v>
      </c>
      <c r="T2629" s="29" cm="1">
        <f t="array" ref="T2629">IF(表成绩单[[#This Row],[化学]]="","",SUMPRODUCT((表成绩单[考试日期]=表成绩单[[#This Row],[考试日期]])*(表成绩单[化学]&lt;9E+307)*(表成绩单[化学]&gt;表成绩单[[#This Row],[化学]]))+1)</f>
        <v>306</v>
      </c>
      <c r="U2629" s="29" cm="1">
        <f t="array" ref="U2629">IF(表成绩单[[#This Row],[政治]]="","",SUMPRODUCT((表成绩单[考试日期]=表成绩单[[#This Row],[考试日期]])*(表成绩单[政治]&lt;9E+307)*(表成绩单[政治]&gt;表成绩单[[#This Row],[政治]]))+1)</f>
        <v>171</v>
      </c>
      <c r="V2629" s="29" cm="1">
        <f t="array" ref="V2629">IF(表成绩单[[#This Row],[历史]]="","",SUMPRODUCT((表成绩单[考试日期]=表成绩单[[#This Row],[考试日期]])*(表成绩单[历史]&lt;9E+307)*(表成绩单[历史]&gt;表成绩单[[#This Row],[历史]]))+1)</f>
        <v>316</v>
      </c>
      <c r="W2629" s="29" cm="1">
        <f t="array" ref="W2629">IF(表成绩单[[#This Row],[总分]]="","",SUMPRODUCT((表成绩单[考试日期]=表成绩单[[#This Row],[考试日期]])*(表成绩单[总分]&lt;9E+307)*(表成绩单[总分]&gt;表成绩单[[#This Row],[总分]]))+1)</f>
        <v>218</v>
      </c>
    </row>
    <row r="2630" ht="28" customHeight="1" spans="4:23">
      <c r="D2630" s="31">
        <v>46108</v>
      </c>
      <c r="E2630" s="29">
        <v>19173537</v>
      </c>
      <c r="F2630" s="29" t="s">
        <v>1</v>
      </c>
      <c r="G2630" s="29" t="s">
        <v>362</v>
      </c>
      <c r="H2630" s="29">
        <v>107</v>
      </c>
      <c r="I2630" s="29">
        <v>95</v>
      </c>
      <c r="J2630" s="29">
        <v>78</v>
      </c>
      <c r="K2630" s="29">
        <v>77</v>
      </c>
      <c r="L2630" s="29">
        <v>74</v>
      </c>
      <c r="M2630" s="29">
        <v>76</v>
      </c>
      <c r="N2630" s="29">
        <v>75</v>
      </c>
      <c r="O2630" s="32">
        <v>582</v>
      </c>
      <c r="P2630" s="29" cm="1">
        <f t="array" ref="P2630">IF(表成绩单[[#This Row],[语文]]="","",SUMPRODUCT((表成绩单[考试日期]=表成绩单[[#This Row],[考试日期]])*(表成绩单[语文]&lt;9E+307)*(表成绩单[语文]&gt;表成绩单[[#This Row],[语文]]))+1)</f>
        <v>67</v>
      </c>
      <c r="Q2630" s="29" cm="1">
        <f t="array" ref="Q2630">IF(表成绩单[[#This Row],[数学]]="","",SUMPRODUCT((表成绩单[考试日期]=表成绩单[[#This Row],[考试日期]])*(表成绩单[数学]&lt;9E+307)*(表成绩单[数学]&gt;表成绩单[[#This Row],[数学]]))+1)</f>
        <v>229</v>
      </c>
      <c r="R2630" s="29" cm="1">
        <f t="array" ref="R2630">IF(表成绩单[[#This Row],[英语]]="","",SUMPRODUCT((表成绩单[考试日期]=表成绩单[[#This Row],[考试日期]])*(表成绩单[英语]&lt;9E+307)*(表成绩单[英语]&gt;表成绩单[[#This Row],[英语]]))+1)</f>
        <v>341</v>
      </c>
      <c r="S2630" s="29" cm="1">
        <f t="array" ref="S2630">IF(表成绩单[[#This Row],[物理]]="","",SUMPRODUCT((表成绩单[考试日期]=表成绩单[[#This Row],[考试日期]])*(表成绩单[物理]&lt;9E+307)*(表成绩单[物理]&gt;表成绩单[[#This Row],[物理]]))+1)</f>
        <v>400</v>
      </c>
      <c r="T2630" s="29" cm="1">
        <f t="array" ref="T2630">IF(表成绩单[[#This Row],[化学]]="","",SUMPRODUCT((表成绩单[考试日期]=表成绩单[[#This Row],[考试日期]])*(表成绩单[化学]&lt;9E+307)*(表成绩单[化学]&gt;表成绩单[[#This Row],[化学]]))+1)</f>
        <v>127</v>
      </c>
      <c r="U2630" s="29" cm="1">
        <f t="array" ref="U2630">IF(表成绩单[[#This Row],[政治]]="","",SUMPRODUCT((表成绩单[考试日期]=表成绩单[[#This Row],[考试日期]])*(表成绩单[政治]&lt;9E+307)*(表成绩单[政治]&gt;表成绩单[[#This Row],[政治]]))+1)</f>
        <v>291</v>
      </c>
      <c r="V2630" s="29" cm="1">
        <f t="array" ref="V2630">IF(表成绩单[[#This Row],[历史]]="","",SUMPRODUCT((表成绩单[考试日期]=表成绩单[[#This Row],[考试日期]])*(表成绩单[历史]&lt;9E+307)*(表成绩单[历史]&gt;表成绩单[[#This Row],[历史]]))+1)</f>
        <v>354</v>
      </c>
      <c r="W2630" s="29" cm="1">
        <f t="array" ref="W2630">IF(表成绩单[[#This Row],[总分]]="","",SUMPRODUCT((表成绩单[考试日期]=表成绩单[[#This Row],[考试日期]])*(表成绩单[总分]&lt;9E+307)*(表成绩单[总分]&gt;表成绩单[[#This Row],[总分]]))+1)</f>
        <v>223</v>
      </c>
    </row>
    <row r="2631" ht="28" customHeight="1" spans="4:23">
      <c r="D2631" s="31">
        <v>46108</v>
      </c>
      <c r="E2631" s="29">
        <v>19174735</v>
      </c>
      <c r="F2631" s="29" t="s">
        <v>64</v>
      </c>
      <c r="G2631" s="29" t="s">
        <v>316</v>
      </c>
      <c r="H2631" s="29">
        <v>102</v>
      </c>
      <c r="I2631" s="29">
        <v>93</v>
      </c>
      <c r="J2631" s="29">
        <v>86</v>
      </c>
      <c r="K2631" s="29">
        <v>81</v>
      </c>
      <c r="L2631" s="29">
        <v>61</v>
      </c>
      <c r="M2631" s="29">
        <v>81</v>
      </c>
      <c r="N2631" s="29">
        <v>78</v>
      </c>
      <c r="O2631" s="32">
        <v>582</v>
      </c>
      <c r="P2631" s="29" cm="1">
        <f t="array" ref="P2631">IF(表成绩单[[#This Row],[语文]]="","",SUMPRODUCT((表成绩单[考试日期]=表成绩单[[#This Row],[考试日期]])*(表成绩单[语文]&lt;9E+307)*(表成绩单[语文]&gt;表成绩单[[#This Row],[语文]]))+1)</f>
        <v>183</v>
      </c>
      <c r="Q2631" s="29" cm="1">
        <f t="array" ref="Q2631">IF(表成绩单[[#This Row],[数学]]="","",SUMPRODUCT((表成绩单[考试日期]=表成绩单[[#This Row],[考试日期]])*(表成绩单[数学]&lt;9E+307)*(表成绩单[数学]&gt;表成绩单[[#This Row],[数学]]))+1)</f>
        <v>289</v>
      </c>
      <c r="R2631" s="29" cm="1">
        <f t="array" ref="R2631">IF(表成绩单[[#This Row],[英语]]="","",SUMPRODUCT((表成绩单[考试日期]=表成绩单[[#This Row],[考试日期]])*(表成绩单[英语]&lt;9E+307)*(表成绩单[英语]&gt;表成绩单[[#This Row],[英语]]))+1)</f>
        <v>29</v>
      </c>
      <c r="S2631" s="29" cm="1">
        <f t="array" ref="S2631">IF(表成绩单[[#This Row],[物理]]="","",SUMPRODUCT((表成绩单[考试日期]=表成绩单[[#This Row],[考试日期]])*(表成绩单[物理]&lt;9E+307)*(表成绩单[物理]&gt;表成绩单[[#This Row],[物理]]))+1)</f>
        <v>269</v>
      </c>
      <c r="T2631" s="29" cm="1">
        <f t="array" ref="T2631">IF(表成绩单[[#This Row],[化学]]="","",SUMPRODUCT((表成绩单[考试日期]=表成绩单[[#This Row],[考试日期]])*(表成绩单[化学]&lt;9E+307)*(表成绩单[化学]&gt;表成绩单[[#This Row],[化学]]))+1)</f>
        <v>467</v>
      </c>
      <c r="U2631" s="29" cm="1">
        <f t="array" ref="U2631">IF(表成绩单[[#This Row],[政治]]="","",SUMPRODUCT((表成绩单[考试日期]=表成绩单[[#This Row],[考试日期]])*(表成绩单[政治]&lt;9E+307)*(表成绩单[政治]&gt;表成绩单[[#This Row],[政治]]))+1)</f>
        <v>68</v>
      </c>
      <c r="V2631" s="29" cm="1">
        <f t="array" ref="V2631">IF(表成绩单[[#This Row],[历史]]="","",SUMPRODUCT((表成绩单[考试日期]=表成绩单[[#This Row],[考试日期]])*(表成绩单[历史]&lt;9E+307)*(表成绩单[历史]&gt;表成绩单[[#This Row],[历史]]))+1)</f>
        <v>222</v>
      </c>
      <c r="W2631" s="29" cm="1">
        <f t="array" ref="W2631">IF(表成绩单[[#This Row],[总分]]="","",SUMPRODUCT((表成绩单[考试日期]=表成绩单[[#This Row],[考试日期]])*(表成绩单[总分]&lt;9E+307)*(表成绩单[总分]&gt;表成绩单[[#This Row],[总分]]))+1)</f>
        <v>223</v>
      </c>
    </row>
    <row r="2632" ht="28" customHeight="1" spans="4:23">
      <c r="D2632" s="31">
        <v>46108</v>
      </c>
      <c r="E2632" s="29">
        <v>19175672</v>
      </c>
      <c r="F2632" s="29" t="s">
        <v>72</v>
      </c>
      <c r="G2632" s="29" t="s">
        <v>194</v>
      </c>
      <c r="H2632" s="29">
        <v>98</v>
      </c>
      <c r="I2632" s="29">
        <v>100</v>
      </c>
      <c r="J2632" s="29">
        <v>79</v>
      </c>
      <c r="K2632" s="29">
        <v>83</v>
      </c>
      <c r="L2632" s="29">
        <v>69</v>
      </c>
      <c r="M2632" s="29">
        <v>76</v>
      </c>
      <c r="N2632" s="29">
        <v>77</v>
      </c>
      <c r="O2632" s="32">
        <v>582</v>
      </c>
      <c r="P2632" s="29" cm="1">
        <f t="array" ref="P2632">IF(表成绩单[[#This Row],[语文]]="","",SUMPRODUCT((表成绩单[考试日期]=表成绩单[[#This Row],[考试日期]])*(表成绩单[语文]&lt;9E+307)*(表成绩单[语文]&gt;表成绩单[[#This Row],[语文]]))+1)</f>
        <v>322</v>
      </c>
      <c r="Q2632" s="29" cm="1">
        <f t="array" ref="Q2632">IF(表成绩单[[#This Row],[数学]]="","",SUMPRODUCT((表成绩单[考试日期]=表成绩单[[#This Row],[考试日期]])*(表成绩单[数学]&lt;9E+307)*(表成绩单[数学]&gt;表成绩单[[#This Row],[数学]]))+1)</f>
        <v>121</v>
      </c>
      <c r="R2632" s="29" cm="1">
        <f t="array" ref="R2632">IF(表成绩单[[#This Row],[英语]]="","",SUMPRODUCT((表成绩单[考试日期]=表成绩单[[#This Row],[考试日期]])*(表成绩单[英语]&lt;9E+307)*(表成绩单[英语]&gt;表成绩单[[#This Row],[英语]]))+1)</f>
        <v>305</v>
      </c>
      <c r="S2632" s="29" cm="1">
        <f t="array" ref="S2632">IF(表成绩单[[#This Row],[物理]]="","",SUMPRODUCT((表成绩单[考试日期]=表成绩单[[#This Row],[考试日期]])*(表成绩单[物理]&lt;9E+307)*(表成绩单[物理]&gt;表成绩单[[#This Row],[物理]]))+1)</f>
        <v>184</v>
      </c>
      <c r="T2632" s="29" cm="1">
        <f t="array" ref="T2632">IF(表成绩单[[#This Row],[化学]]="","",SUMPRODUCT((表成绩单[考试日期]=表成绩单[[#This Row],[考试日期]])*(表成绩单[化学]&lt;9E+307)*(表成绩单[化学]&gt;表成绩单[[#This Row],[化学]]))+1)</f>
        <v>269</v>
      </c>
      <c r="U2632" s="29" cm="1">
        <f t="array" ref="U2632">IF(表成绩单[[#This Row],[政治]]="","",SUMPRODUCT((表成绩单[考试日期]=表成绩单[[#This Row],[考试日期]])*(表成绩单[政治]&lt;9E+307)*(表成绩单[政治]&gt;表成绩单[[#This Row],[政治]]))+1)</f>
        <v>291</v>
      </c>
      <c r="V2632" s="29" cm="1">
        <f t="array" ref="V2632">IF(表成绩单[[#This Row],[历史]]="","",SUMPRODUCT((表成绩单[考试日期]=表成绩单[[#This Row],[考试日期]])*(表成绩单[历史]&lt;9E+307)*(表成绩单[历史]&gt;表成绩单[[#This Row],[历史]]))+1)</f>
        <v>269</v>
      </c>
      <c r="W2632" s="29" cm="1">
        <f t="array" ref="W2632">IF(表成绩单[[#This Row],[总分]]="","",SUMPRODUCT((表成绩单[考试日期]=表成绩单[[#This Row],[考试日期]])*(表成绩单[总分]&lt;9E+307)*(表成绩单[总分]&gt;表成绩单[[#This Row],[总分]]))+1)</f>
        <v>223</v>
      </c>
    </row>
    <row r="2633" ht="28" customHeight="1" spans="4:23">
      <c r="D2633" s="31">
        <v>46108</v>
      </c>
      <c r="E2633" s="29">
        <v>19175698</v>
      </c>
      <c r="F2633" s="29" t="s">
        <v>72</v>
      </c>
      <c r="G2633" s="29" t="s">
        <v>333</v>
      </c>
      <c r="H2633" s="29">
        <v>90</v>
      </c>
      <c r="I2633" s="29">
        <v>105</v>
      </c>
      <c r="J2633" s="29">
        <v>84</v>
      </c>
      <c r="K2633" s="29">
        <v>79</v>
      </c>
      <c r="L2633" s="29">
        <v>76</v>
      </c>
      <c r="M2633" s="29">
        <v>78</v>
      </c>
      <c r="N2633" s="29">
        <v>70</v>
      </c>
      <c r="O2633" s="32">
        <v>582</v>
      </c>
      <c r="P2633" s="29" cm="1">
        <f t="array" ref="P2633">IF(表成绩单[[#This Row],[语文]]="","",SUMPRODUCT((表成绩单[考试日期]=表成绩单[[#This Row],[考试日期]])*(表成绩单[语文]&lt;9E+307)*(表成绩单[语文]&gt;表成绩单[[#This Row],[语文]]))+1)</f>
        <v>539</v>
      </c>
      <c r="Q2633" s="29" cm="1">
        <f t="array" ref="Q2633">IF(表成绩单[[#This Row],[数学]]="","",SUMPRODUCT((表成绩单[考试日期]=表成绩单[[#This Row],[考试日期]])*(表成绩单[数学]&lt;9E+307)*(表成绩单[数学]&gt;表成绩单[[#This Row],[数学]]))+1)</f>
        <v>52</v>
      </c>
      <c r="R2633" s="29" cm="1">
        <f t="array" ref="R2633">IF(表成绩单[[#This Row],[英语]]="","",SUMPRODUCT((表成绩单[考试日期]=表成绩单[[#This Row],[考试日期]])*(表成绩单[英语]&lt;9E+307)*(表成绩单[英语]&gt;表成绩单[[#This Row],[英语]]))+1)</f>
        <v>100</v>
      </c>
      <c r="S2633" s="29" cm="1">
        <f t="array" ref="S2633">IF(表成绩单[[#This Row],[物理]]="","",SUMPRODUCT((表成绩单[考试日期]=表成绩单[[#This Row],[考试日期]])*(表成绩单[物理]&lt;9E+307)*(表成绩单[物理]&gt;表成绩单[[#This Row],[物理]]))+1)</f>
        <v>344</v>
      </c>
      <c r="T2633" s="29" cm="1">
        <f t="array" ref="T2633">IF(表成绩单[[#This Row],[化学]]="","",SUMPRODUCT((表成绩单[考试日期]=表成绩单[[#This Row],[考试日期]])*(表成绩单[化学]&lt;9E+307)*(表成绩单[化学]&gt;表成绩单[[#This Row],[化学]]))+1)</f>
        <v>71</v>
      </c>
      <c r="U2633" s="29" cm="1">
        <f t="array" ref="U2633">IF(表成绩单[[#This Row],[政治]]="","",SUMPRODUCT((表成绩单[考试日期]=表成绩单[[#This Row],[考试日期]])*(表成绩单[政治]&lt;9E+307)*(表成绩单[政治]&gt;表成绩单[[#This Row],[政治]]))+1)</f>
        <v>171</v>
      </c>
      <c r="V2633" s="29" cm="1">
        <f t="array" ref="V2633">IF(表成绩单[[#This Row],[历史]]="","",SUMPRODUCT((表成绩单[考试日期]=表成绩单[[#This Row],[考试日期]])*(表成绩单[历史]&lt;9E+307)*(表成绩单[历史]&gt;表成绩单[[#This Row],[历史]]))+1)</f>
        <v>539</v>
      </c>
      <c r="W2633" s="29" cm="1">
        <f t="array" ref="W2633">IF(表成绩单[[#This Row],[总分]]="","",SUMPRODUCT((表成绩单[考试日期]=表成绩单[[#This Row],[考试日期]])*(表成绩单[总分]&lt;9E+307)*(表成绩单[总分]&gt;表成绩单[[#This Row],[总分]]))+1)</f>
        <v>223</v>
      </c>
    </row>
    <row r="2634" ht="28" customHeight="1" spans="4:23">
      <c r="D2634" s="31">
        <v>46108</v>
      </c>
      <c r="E2634" s="29">
        <v>19176899</v>
      </c>
      <c r="F2634" s="29" t="s">
        <v>71</v>
      </c>
      <c r="G2634" s="29" t="s">
        <v>136</v>
      </c>
      <c r="H2634" s="29">
        <v>99</v>
      </c>
      <c r="I2634" s="29">
        <v>102</v>
      </c>
      <c r="J2634" s="29">
        <v>75</v>
      </c>
      <c r="K2634" s="29">
        <v>86</v>
      </c>
      <c r="L2634" s="29">
        <v>62</v>
      </c>
      <c r="M2634" s="29">
        <v>79</v>
      </c>
      <c r="N2634" s="29">
        <v>79</v>
      </c>
      <c r="O2634" s="32">
        <v>582</v>
      </c>
      <c r="P2634" s="29" cm="1">
        <f t="array" ref="P2634">IF(表成绩单[[#This Row],[语文]]="","",SUMPRODUCT((表成绩单[考试日期]=表成绩单[[#This Row],[考试日期]])*(表成绩单[语文]&lt;9E+307)*(表成绩单[语文]&gt;表成绩单[[#This Row],[语文]]))+1)</f>
        <v>279</v>
      </c>
      <c r="Q2634" s="29" cm="1">
        <f t="array" ref="Q2634">IF(表成绩单[[#This Row],[数学]]="","",SUMPRODUCT((表成绩单[考试日期]=表成绩单[[#This Row],[考试日期]])*(表成绩单[数学]&lt;9E+307)*(表成绩单[数学]&gt;表成绩单[[#This Row],[数学]]))+1)</f>
        <v>98</v>
      </c>
      <c r="R2634" s="29" cm="1">
        <f t="array" ref="R2634">IF(表成绩单[[#This Row],[英语]]="","",SUMPRODUCT((表成绩单[考试日期]=表成绩单[[#This Row],[考试日期]])*(表成绩单[英语]&lt;9E+307)*(表成绩单[英语]&gt;表成绩单[[#This Row],[英语]]))+1)</f>
        <v>444</v>
      </c>
      <c r="S2634" s="29" cm="1">
        <f t="array" ref="S2634">IF(表成绩单[[#This Row],[物理]]="","",SUMPRODUCT((表成绩单[考试日期]=表成绩单[[#This Row],[考试日期]])*(表成绩单[物理]&lt;9E+307)*(表成绩单[物理]&gt;表成绩单[[#This Row],[物理]]))+1)</f>
        <v>61</v>
      </c>
      <c r="T2634" s="29" cm="1">
        <f t="array" ref="T2634">IF(表成绩单[[#This Row],[化学]]="","",SUMPRODUCT((表成绩单[考试日期]=表成绩单[[#This Row],[考试日期]])*(表成绩单[化学]&lt;9E+307)*(表成绩单[化学]&gt;表成绩单[[#This Row],[化学]]))+1)</f>
        <v>449</v>
      </c>
      <c r="U2634" s="29" cm="1">
        <f t="array" ref="U2634">IF(表成绩单[[#This Row],[政治]]="","",SUMPRODUCT((表成绩单[考试日期]=表成绩单[[#This Row],[考试日期]])*(表成绩单[政治]&lt;9E+307)*(表成绩单[政治]&gt;表成绩单[[#This Row],[政治]]))+1)</f>
        <v>134</v>
      </c>
      <c r="V2634" s="29" cm="1">
        <f t="array" ref="V2634">IF(表成绩单[[#This Row],[历史]]="","",SUMPRODUCT((表成绩单[考试日期]=表成绩单[[#This Row],[考试日期]])*(表成绩单[历史]&lt;9E+307)*(表成绩单[历史]&gt;表成绩单[[#This Row],[历史]]))+1)</f>
        <v>173</v>
      </c>
      <c r="W2634" s="29" cm="1">
        <f t="array" ref="W2634">IF(表成绩单[[#This Row],[总分]]="","",SUMPRODUCT((表成绩单[考试日期]=表成绩单[[#This Row],[考试日期]])*(表成绩单[总分]&lt;9E+307)*(表成绩单[总分]&gt;表成绩单[[#This Row],[总分]]))+1)</f>
        <v>223</v>
      </c>
    </row>
    <row r="2635" ht="28" customHeight="1" spans="4:23">
      <c r="D2635" s="31">
        <v>46108</v>
      </c>
      <c r="E2635" s="29">
        <v>36645763</v>
      </c>
      <c r="F2635" s="29" t="s">
        <v>72</v>
      </c>
      <c r="G2635" s="29" t="s">
        <v>208</v>
      </c>
      <c r="H2635" s="29">
        <v>111</v>
      </c>
      <c r="I2635" s="29">
        <v>86</v>
      </c>
      <c r="J2635" s="29">
        <v>85</v>
      </c>
      <c r="K2635" s="29">
        <v>77</v>
      </c>
      <c r="L2635" s="29">
        <v>67</v>
      </c>
      <c r="M2635" s="29">
        <v>79</v>
      </c>
      <c r="N2635" s="29">
        <v>77</v>
      </c>
      <c r="O2635" s="32">
        <v>582</v>
      </c>
      <c r="P2635" s="29" cm="1">
        <f t="array" ref="P2635">IF(表成绩单[[#This Row],[语文]]="","",SUMPRODUCT((表成绩单[考试日期]=表成绩单[[#This Row],[考试日期]])*(表成绩单[语文]&lt;9E+307)*(表成绩单[语文]&gt;表成绩单[[#This Row],[语文]]))+1)</f>
        <v>18</v>
      </c>
      <c r="Q2635" s="29" cm="1">
        <f t="array" ref="Q2635">IF(表成绩单[[#This Row],[数学]]="","",SUMPRODUCT((表成绩单[考试日期]=表成绩单[[#This Row],[考试日期]])*(表成绩单[数学]&lt;9E+307)*(表成绩单[数学]&gt;表成绩单[[#This Row],[数学]]))+1)</f>
        <v>479</v>
      </c>
      <c r="R2635" s="29" cm="1">
        <f t="array" ref="R2635">IF(表成绩单[[#This Row],[英语]]="","",SUMPRODUCT((表成绩单[考试日期]=表成绩单[[#This Row],[考试日期]])*(表成绩单[英语]&lt;9E+307)*(表成绩单[英语]&gt;表成绩单[[#This Row],[英语]]))+1)</f>
        <v>59</v>
      </c>
      <c r="S2635" s="29" cm="1">
        <f t="array" ref="S2635">IF(表成绩单[[#This Row],[物理]]="","",SUMPRODUCT((表成绩单[考试日期]=表成绩单[[#This Row],[考试日期]])*(表成绩单[物理]&lt;9E+307)*(表成绩单[物理]&gt;表成绩单[[#This Row],[物理]]))+1)</f>
        <v>400</v>
      </c>
      <c r="T2635" s="29" cm="1">
        <f t="array" ref="T2635">IF(表成绩单[[#This Row],[化学]]="","",SUMPRODUCT((表成绩单[考试日期]=表成绩单[[#This Row],[考试日期]])*(表成绩单[化学]&lt;9E+307)*(表成绩单[化学]&gt;表成绩单[[#This Row],[化学]]))+1)</f>
        <v>335</v>
      </c>
      <c r="U2635" s="29" cm="1">
        <f t="array" ref="U2635">IF(表成绩单[[#This Row],[政治]]="","",SUMPRODUCT((表成绩单[考试日期]=表成绩单[[#This Row],[考试日期]])*(表成绩单[政治]&lt;9E+307)*(表成绩单[政治]&gt;表成绩单[[#This Row],[政治]]))+1)</f>
        <v>134</v>
      </c>
      <c r="V2635" s="29" cm="1">
        <f t="array" ref="V2635">IF(表成绩单[[#This Row],[历史]]="","",SUMPRODUCT((表成绩单[考试日期]=表成绩单[[#This Row],[考试日期]])*(表成绩单[历史]&lt;9E+307)*(表成绩单[历史]&gt;表成绩单[[#This Row],[历史]]))+1)</f>
        <v>269</v>
      </c>
      <c r="W2635" s="29" cm="1">
        <f t="array" ref="W2635">IF(表成绩单[[#This Row],[总分]]="","",SUMPRODUCT((表成绩单[考试日期]=表成绩单[[#This Row],[考试日期]])*(表成绩单[总分]&lt;9E+307)*(表成绩单[总分]&gt;表成绩单[[#This Row],[总分]]))+1)</f>
        <v>223</v>
      </c>
    </row>
    <row r="2636" ht="28" customHeight="1" spans="4:23">
      <c r="D2636" s="31">
        <v>46108</v>
      </c>
      <c r="E2636" s="29">
        <v>19173267</v>
      </c>
      <c r="F2636" s="29" t="s">
        <v>61</v>
      </c>
      <c r="G2636" s="29" t="s">
        <v>397</v>
      </c>
      <c r="H2636" s="29">
        <v>98</v>
      </c>
      <c r="I2636" s="29">
        <v>102</v>
      </c>
      <c r="J2636" s="29">
        <v>80.5</v>
      </c>
      <c r="K2636" s="29">
        <v>83</v>
      </c>
      <c r="L2636" s="29">
        <v>73</v>
      </c>
      <c r="M2636" s="29">
        <v>71</v>
      </c>
      <c r="N2636" s="29">
        <v>74</v>
      </c>
      <c r="O2636" s="32">
        <v>581.5</v>
      </c>
      <c r="P2636" s="29" cm="1">
        <f t="array" ref="P2636">IF(表成绩单[[#This Row],[语文]]="","",SUMPRODUCT((表成绩单[考试日期]=表成绩单[[#This Row],[考试日期]])*(表成绩单[语文]&lt;9E+307)*(表成绩单[语文]&gt;表成绩单[[#This Row],[语文]]))+1)</f>
        <v>322</v>
      </c>
      <c r="Q2636" s="29" cm="1">
        <f t="array" ref="Q2636">IF(表成绩单[[#This Row],[数学]]="","",SUMPRODUCT((表成绩单[考试日期]=表成绩单[[#This Row],[考试日期]])*(表成绩单[数学]&lt;9E+307)*(表成绩单[数学]&gt;表成绩单[[#This Row],[数学]]))+1)</f>
        <v>98</v>
      </c>
      <c r="R2636" s="29" cm="1">
        <f t="array" ref="R2636">IF(表成绩单[[#This Row],[英语]]="","",SUMPRODUCT((表成绩单[考试日期]=表成绩单[[#This Row],[考试日期]])*(表成绩单[英语]&lt;9E+307)*(表成绩单[英语]&gt;表成绩单[[#This Row],[英语]]))+1)</f>
        <v>244</v>
      </c>
      <c r="S2636" s="29" cm="1">
        <f t="array" ref="S2636">IF(表成绩单[[#This Row],[物理]]="","",SUMPRODUCT((表成绩单[考试日期]=表成绩单[[#This Row],[考试日期]])*(表成绩单[物理]&lt;9E+307)*(表成绩单[物理]&gt;表成绩单[[#This Row],[物理]]))+1)</f>
        <v>184</v>
      </c>
      <c r="T2636" s="29" cm="1">
        <f t="array" ref="T2636">IF(表成绩单[[#This Row],[化学]]="","",SUMPRODUCT((表成绩单[考试日期]=表成绩单[[#This Row],[考试日期]])*(表成绩单[化学]&lt;9E+307)*(表成绩单[化学]&gt;表成绩单[[#This Row],[化学]]))+1)</f>
        <v>152</v>
      </c>
      <c r="U2636" s="29" cm="1">
        <f t="array" ref="U2636">IF(表成绩单[[#This Row],[政治]]="","",SUMPRODUCT((表成绩单[考试日期]=表成绩单[[#This Row],[考试日期]])*(表成绩单[政治]&lt;9E+307)*(表成绩单[政治]&gt;表成绩单[[#This Row],[政治]]))+1)</f>
        <v>513</v>
      </c>
      <c r="V2636" s="29" cm="1">
        <f t="array" ref="V2636">IF(表成绩单[[#This Row],[历史]]="","",SUMPRODUCT((表成绩单[考试日期]=表成绩单[[#This Row],[考试日期]])*(表成绩单[历史]&lt;9E+307)*(表成绩单[历史]&gt;表成绩单[[#This Row],[历史]]))+1)</f>
        <v>389</v>
      </c>
      <c r="W2636" s="29" cm="1">
        <f t="array" ref="W2636">IF(表成绩单[[#This Row],[总分]]="","",SUMPRODUCT((表成绩单[考试日期]=表成绩单[[#This Row],[考试日期]])*(表成绩单[总分]&lt;9E+307)*(表成绩单[总分]&gt;表成绩单[[#This Row],[总分]]))+1)</f>
        <v>229</v>
      </c>
    </row>
    <row r="2637" ht="28" customHeight="1" spans="4:23">
      <c r="D2637" s="31">
        <v>46108</v>
      </c>
      <c r="E2637" s="29">
        <v>19175419</v>
      </c>
      <c r="F2637" s="29" t="s">
        <v>74</v>
      </c>
      <c r="G2637" s="29" t="s">
        <v>222</v>
      </c>
      <c r="H2637" s="29">
        <v>100</v>
      </c>
      <c r="I2637" s="29">
        <v>96</v>
      </c>
      <c r="J2637" s="29">
        <v>76.5</v>
      </c>
      <c r="K2637" s="29">
        <v>81</v>
      </c>
      <c r="L2637" s="29">
        <v>75</v>
      </c>
      <c r="M2637" s="29">
        <v>79</v>
      </c>
      <c r="N2637" s="29">
        <v>74</v>
      </c>
      <c r="O2637" s="32">
        <v>581.5</v>
      </c>
      <c r="P2637" s="29" cm="1">
        <f t="array" ref="P2637">IF(表成绩单[[#This Row],[语文]]="","",SUMPRODUCT((表成绩单[考试日期]=表成绩单[[#This Row],[考试日期]])*(表成绩单[语文]&lt;9E+307)*(表成绩单[语文]&gt;表成绩单[[#This Row],[语文]]))+1)</f>
        <v>247</v>
      </c>
      <c r="Q2637" s="29" cm="1">
        <f t="array" ref="Q2637">IF(表成绩单[[#This Row],[数学]]="","",SUMPRODUCT((表成绩单[考试日期]=表成绩单[[#This Row],[考试日期]])*(表成绩单[数学]&lt;9E+307)*(表成绩单[数学]&gt;表成绩单[[#This Row],[数学]]))+1)</f>
        <v>202</v>
      </c>
      <c r="R2637" s="29" cm="1">
        <f t="array" ref="R2637">IF(表成绩单[[#This Row],[英语]]="","",SUMPRODUCT((表成绩单[考试日期]=表成绩单[[#This Row],[考试日期]])*(表成绩单[英语]&lt;9E+307)*(表成绩单[英语]&gt;表成绩单[[#This Row],[英语]]))+1)</f>
        <v>384</v>
      </c>
      <c r="S2637" s="29" cm="1">
        <f t="array" ref="S2637">IF(表成绩单[[#This Row],[物理]]="","",SUMPRODUCT((表成绩单[考试日期]=表成绩单[[#This Row],[考试日期]])*(表成绩单[物理]&lt;9E+307)*(表成绩单[物理]&gt;表成绩单[[#This Row],[物理]]))+1)</f>
        <v>269</v>
      </c>
      <c r="T2637" s="29" cm="1">
        <f t="array" ref="T2637">IF(表成绩单[[#This Row],[化学]]="","",SUMPRODUCT((表成绩单[考试日期]=表成绩单[[#This Row],[考试日期]])*(表成绩单[化学]&lt;9E+307)*(表成绩单[化学]&gt;表成绩单[[#This Row],[化学]]))+1)</f>
        <v>96</v>
      </c>
      <c r="U2637" s="29" cm="1">
        <f t="array" ref="U2637">IF(表成绩单[[#This Row],[政治]]="","",SUMPRODUCT((表成绩单[考试日期]=表成绩单[[#This Row],[考试日期]])*(表成绩单[政治]&lt;9E+307)*(表成绩单[政治]&gt;表成绩单[[#This Row],[政治]]))+1)</f>
        <v>134</v>
      </c>
      <c r="V2637" s="29" cm="1">
        <f t="array" ref="V2637">IF(表成绩单[[#This Row],[历史]]="","",SUMPRODUCT((表成绩单[考试日期]=表成绩单[[#This Row],[考试日期]])*(表成绩单[历史]&lt;9E+307)*(表成绩单[历史]&gt;表成绩单[[#This Row],[历史]]))+1)</f>
        <v>389</v>
      </c>
      <c r="W2637" s="29" cm="1">
        <f t="array" ref="W2637">IF(表成绩单[[#This Row],[总分]]="","",SUMPRODUCT((表成绩单[考试日期]=表成绩单[[#This Row],[考试日期]])*(表成绩单[总分]&lt;9E+307)*(表成绩单[总分]&gt;表成绩单[[#This Row],[总分]]))+1)</f>
        <v>229</v>
      </c>
    </row>
    <row r="2638" ht="28" customHeight="1" spans="4:23">
      <c r="D2638" s="31">
        <v>46108</v>
      </c>
      <c r="E2638" s="29">
        <v>19174460</v>
      </c>
      <c r="F2638" s="29" t="s">
        <v>73</v>
      </c>
      <c r="G2638" s="29" t="s">
        <v>342</v>
      </c>
      <c r="H2638" s="29">
        <v>105</v>
      </c>
      <c r="I2638" s="29">
        <v>90</v>
      </c>
      <c r="J2638" s="29">
        <v>81</v>
      </c>
      <c r="K2638" s="29">
        <v>78</v>
      </c>
      <c r="L2638" s="29">
        <v>68</v>
      </c>
      <c r="M2638" s="29">
        <v>77</v>
      </c>
      <c r="N2638" s="29">
        <v>82</v>
      </c>
      <c r="O2638" s="32">
        <v>581</v>
      </c>
      <c r="P2638" s="29" cm="1">
        <f t="array" ref="P2638">IF(表成绩单[[#This Row],[语文]]="","",SUMPRODUCT((表成绩单[考试日期]=表成绩单[[#This Row],[考试日期]])*(表成绩单[语文]&lt;9E+307)*(表成绩单[语文]&gt;表成绩单[[#This Row],[语文]]))+1)</f>
        <v>101</v>
      </c>
      <c r="Q2638" s="29" cm="1">
        <f t="array" ref="Q2638">IF(表成绩单[[#This Row],[数学]]="","",SUMPRODUCT((表成绩单[考试日期]=表成绩单[[#This Row],[考试日期]])*(表成绩单[数学]&lt;9E+307)*(表成绩单[数学]&gt;表成绩单[[#This Row],[数学]]))+1)</f>
        <v>368</v>
      </c>
      <c r="R2638" s="29" cm="1">
        <f t="array" ref="R2638">IF(表成绩单[[#This Row],[英语]]="","",SUMPRODUCT((表成绩单[考试日期]=表成绩单[[#This Row],[考试日期]])*(表成绩单[英语]&lt;9E+307)*(表成绩单[英语]&gt;表成绩单[[#This Row],[英语]]))+1)</f>
        <v>227</v>
      </c>
      <c r="S2638" s="29" cm="1">
        <f t="array" ref="S2638">IF(表成绩单[[#This Row],[物理]]="","",SUMPRODUCT((表成绩单[考试日期]=表成绩单[[#This Row],[考试日期]])*(表成绩单[物理]&lt;9E+307)*(表成绩单[物理]&gt;表成绩单[[#This Row],[物理]]))+1)</f>
        <v>365</v>
      </c>
      <c r="T2638" s="29" cm="1">
        <f t="array" ref="T2638">IF(表成绩单[[#This Row],[化学]]="","",SUMPRODUCT((表成绩单[考试日期]=表成绩单[[#This Row],[考试日期]])*(表成绩单[化学]&lt;9E+307)*(表成绩单[化学]&gt;表成绩单[[#This Row],[化学]]))+1)</f>
        <v>306</v>
      </c>
      <c r="U2638" s="29" cm="1">
        <f t="array" ref="U2638">IF(表成绩单[[#This Row],[政治]]="","",SUMPRODUCT((表成绩单[考试日期]=表成绩单[[#This Row],[考试日期]])*(表成绩单[政治]&lt;9E+307)*(表成绩单[政治]&gt;表成绩单[[#This Row],[政治]]))+1)</f>
        <v>230</v>
      </c>
      <c r="V2638" s="29" cm="1">
        <f t="array" ref="V2638">IF(表成绩单[[#This Row],[历史]]="","",SUMPRODUCT((表成绩单[考试日期]=表成绩单[[#This Row],[考试日期]])*(表成绩单[历史]&lt;9E+307)*(表成绩单[历史]&gt;表成绩单[[#This Row],[历史]]))+1)</f>
        <v>81</v>
      </c>
      <c r="W2638" s="29" cm="1">
        <f t="array" ref="W2638">IF(表成绩单[[#This Row],[总分]]="","",SUMPRODUCT((表成绩单[考试日期]=表成绩单[[#This Row],[考试日期]])*(表成绩单[总分]&lt;9E+307)*(表成绩单[总分]&gt;表成绩单[[#This Row],[总分]]))+1)</f>
        <v>231</v>
      </c>
    </row>
    <row r="2639" ht="28" customHeight="1" spans="4:23">
      <c r="D2639" s="31">
        <v>46108</v>
      </c>
      <c r="E2639" s="29">
        <v>19174779</v>
      </c>
      <c r="F2639" s="29" t="s">
        <v>69</v>
      </c>
      <c r="G2639" s="29" t="s">
        <v>472</v>
      </c>
      <c r="H2639" s="29">
        <v>102</v>
      </c>
      <c r="I2639" s="29">
        <v>97</v>
      </c>
      <c r="J2639" s="29">
        <v>82</v>
      </c>
      <c r="K2639" s="29">
        <v>85</v>
      </c>
      <c r="L2639" s="29">
        <v>66</v>
      </c>
      <c r="M2639" s="29">
        <v>75</v>
      </c>
      <c r="N2639" s="29">
        <v>74</v>
      </c>
      <c r="O2639" s="32">
        <v>581</v>
      </c>
      <c r="P2639" s="29" cm="1">
        <f t="array" ref="P2639">IF(表成绩单[[#This Row],[语文]]="","",SUMPRODUCT((表成绩单[考试日期]=表成绩单[[#This Row],[考试日期]])*(表成绩单[语文]&lt;9E+307)*(表成绩单[语文]&gt;表成绩单[[#This Row],[语文]]))+1)</f>
        <v>183</v>
      </c>
      <c r="Q2639" s="29" cm="1">
        <f t="array" ref="Q2639">IF(表成绩单[[#This Row],[数学]]="","",SUMPRODUCT((表成绩单[考试日期]=表成绩单[[#This Row],[考试日期]])*(表成绩单[数学]&lt;9E+307)*(表成绩单[数学]&gt;表成绩单[[#This Row],[数学]]))+1)</f>
        <v>175</v>
      </c>
      <c r="R2639" s="29" cm="1">
        <f t="array" ref="R2639">IF(表成绩单[[#This Row],[英语]]="","",SUMPRODUCT((表成绩单[考试日期]=表成绩单[[#This Row],[考试日期]])*(表成绩单[英语]&lt;9E+307)*(表成绩单[英语]&gt;表成绩单[[#This Row],[英语]]))+1)</f>
        <v>180</v>
      </c>
      <c r="S2639" s="29" cm="1">
        <f t="array" ref="S2639">IF(表成绩单[[#This Row],[物理]]="","",SUMPRODUCT((表成绩单[考试日期]=表成绩单[[#This Row],[考试日期]])*(表成绩单[物理]&lt;9E+307)*(表成绩单[物理]&gt;表成绩单[[#This Row],[物理]]))+1)</f>
        <v>105</v>
      </c>
      <c r="T2639" s="29" cm="1">
        <f t="array" ref="T2639">IF(表成绩单[[#This Row],[化学]]="","",SUMPRODUCT((表成绩单[考试日期]=表成绩单[[#This Row],[考试日期]])*(表成绩单[化学]&lt;9E+307)*(表成绩单[化学]&gt;表成绩单[[#This Row],[化学]]))+1)</f>
        <v>359</v>
      </c>
      <c r="U2639" s="29" cm="1">
        <f t="array" ref="U2639">IF(表成绩单[[#This Row],[政治]]="","",SUMPRODUCT((表成绩单[考试日期]=表成绩单[[#This Row],[考试日期]])*(表成绩单[政治]&lt;9E+307)*(表成绩单[政治]&gt;表成绩单[[#This Row],[政治]]))+1)</f>
        <v>346</v>
      </c>
      <c r="V2639" s="29" cm="1">
        <f t="array" ref="V2639">IF(表成绩单[[#This Row],[历史]]="","",SUMPRODUCT((表成绩单[考试日期]=表成绩单[[#This Row],[考试日期]])*(表成绩单[历史]&lt;9E+307)*(表成绩单[历史]&gt;表成绩单[[#This Row],[历史]]))+1)</f>
        <v>389</v>
      </c>
      <c r="W2639" s="29" cm="1">
        <f t="array" ref="W2639">IF(表成绩单[[#This Row],[总分]]="","",SUMPRODUCT((表成绩单[考试日期]=表成绩单[[#This Row],[考试日期]])*(表成绩单[总分]&lt;9E+307)*(表成绩单[总分]&gt;表成绩单[[#This Row],[总分]]))+1)</f>
        <v>231</v>
      </c>
    </row>
    <row r="2640" ht="28" customHeight="1" spans="4:23">
      <c r="D2640" s="31">
        <v>46108</v>
      </c>
      <c r="E2640" s="29">
        <v>19175297</v>
      </c>
      <c r="F2640" s="29" t="s">
        <v>55</v>
      </c>
      <c r="G2640" s="29" t="s">
        <v>376</v>
      </c>
      <c r="H2640" s="29">
        <v>97</v>
      </c>
      <c r="I2640" s="29">
        <v>100</v>
      </c>
      <c r="J2640" s="29">
        <v>83</v>
      </c>
      <c r="K2640" s="29">
        <v>81</v>
      </c>
      <c r="L2640" s="29">
        <v>70</v>
      </c>
      <c r="M2640" s="29">
        <v>72</v>
      </c>
      <c r="N2640" s="29">
        <v>78</v>
      </c>
      <c r="O2640" s="32">
        <v>581</v>
      </c>
      <c r="P2640" s="29" cm="1">
        <f t="array" ref="P2640">IF(表成绩单[[#This Row],[语文]]="","",SUMPRODUCT((表成绩单[考试日期]=表成绩单[[#This Row],[考试日期]])*(表成绩单[语文]&lt;9E+307)*(表成绩单[语文]&gt;表成绩单[[#This Row],[语文]]))+1)</f>
        <v>357</v>
      </c>
      <c r="Q2640" s="29" cm="1">
        <f t="array" ref="Q2640">IF(表成绩单[[#This Row],[数学]]="","",SUMPRODUCT((表成绩单[考试日期]=表成绩单[[#This Row],[考试日期]])*(表成绩单[数学]&lt;9E+307)*(表成绩单[数学]&gt;表成绩单[[#This Row],[数学]]))+1)</f>
        <v>121</v>
      </c>
      <c r="R2640" s="29" cm="1">
        <f t="array" ref="R2640">IF(表成绩单[[#This Row],[英语]]="","",SUMPRODUCT((表成绩单[考试日期]=表成绩单[[#This Row],[考试日期]])*(表成绩单[英语]&lt;9E+307)*(表成绩单[英语]&gt;表成绩单[[#This Row],[英语]]))+1)</f>
        <v>134</v>
      </c>
      <c r="S2640" s="29" cm="1">
        <f t="array" ref="S2640">IF(表成绩单[[#This Row],[物理]]="","",SUMPRODUCT((表成绩单[考试日期]=表成绩单[[#This Row],[考试日期]])*(表成绩单[物理]&lt;9E+307)*(表成绩单[物理]&gt;表成绩单[[#This Row],[物理]]))+1)</f>
        <v>269</v>
      </c>
      <c r="T2640" s="29" cm="1">
        <f t="array" ref="T2640">IF(表成绩单[[#This Row],[化学]]="","",SUMPRODUCT((表成绩单[考试日期]=表成绩单[[#This Row],[考试日期]])*(表成绩单[化学]&lt;9E+307)*(表成绩单[化学]&gt;表成绩单[[#This Row],[化学]]))+1)</f>
        <v>241</v>
      </c>
      <c r="U2640" s="29" cm="1">
        <f t="array" ref="U2640">IF(表成绩单[[#This Row],[政治]]="","",SUMPRODUCT((表成绩单[考试日期]=表成绩单[[#This Row],[考试日期]])*(表成绩单[政治]&lt;9E+307)*(表成绩单[政治]&gt;表成绩单[[#This Row],[政治]]))+1)</f>
        <v>470</v>
      </c>
      <c r="V2640" s="29" cm="1">
        <f t="array" ref="V2640">IF(表成绩单[[#This Row],[历史]]="","",SUMPRODUCT((表成绩单[考试日期]=表成绩单[[#This Row],[考试日期]])*(表成绩单[历史]&lt;9E+307)*(表成绩单[历史]&gt;表成绩单[[#This Row],[历史]]))+1)</f>
        <v>222</v>
      </c>
      <c r="W2640" s="29" cm="1">
        <f t="array" ref="W2640">IF(表成绩单[[#This Row],[总分]]="","",SUMPRODUCT((表成绩单[考试日期]=表成绩单[[#This Row],[考试日期]])*(表成绩单[总分]&lt;9E+307)*(表成绩单[总分]&gt;表成绩单[[#This Row],[总分]]))+1)</f>
        <v>231</v>
      </c>
    </row>
    <row r="2641" ht="28" customHeight="1" spans="4:23">
      <c r="D2641" s="31">
        <v>46108</v>
      </c>
      <c r="E2641" s="29">
        <v>19175648</v>
      </c>
      <c r="F2641" s="29" t="s">
        <v>66</v>
      </c>
      <c r="G2641" s="29" t="s">
        <v>300</v>
      </c>
      <c r="H2641" s="29">
        <v>96</v>
      </c>
      <c r="I2641" s="29">
        <v>96</v>
      </c>
      <c r="J2641" s="29">
        <v>77</v>
      </c>
      <c r="K2641" s="29">
        <v>80</v>
      </c>
      <c r="L2641" s="29">
        <v>76</v>
      </c>
      <c r="M2641" s="29">
        <v>77</v>
      </c>
      <c r="N2641" s="29">
        <v>79</v>
      </c>
      <c r="O2641" s="32">
        <v>581</v>
      </c>
      <c r="P2641" s="29" cm="1">
        <f t="array" ref="P2641">IF(表成绩单[[#This Row],[语文]]="","",SUMPRODUCT((表成绩单[考试日期]=表成绩单[[#This Row],[考试日期]])*(表成绩单[语文]&lt;9E+307)*(表成绩单[语文]&gt;表成绩单[[#This Row],[语文]]))+1)</f>
        <v>390</v>
      </c>
      <c r="Q2641" s="29" cm="1">
        <f t="array" ref="Q2641">IF(表成绩单[[#This Row],[数学]]="","",SUMPRODUCT((表成绩单[考试日期]=表成绩单[[#This Row],[考试日期]])*(表成绩单[数学]&lt;9E+307)*(表成绩单[数学]&gt;表成绩单[[#This Row],[数学]]))+1)</f>
        <v>202</v>
      </c>
      <c r="R2641" s="29" cm="1">
        <f t="array" ref="R2641">IF(表成绩单[[#This Row],[英语]]="","",SUMPRODUCT((表成绩单[考试日期]=表成绩单[[#This Row],[考试日期]])*(表成绩单[英语]&lt;9E+307)*(表成绩单[英语]&gt;表成绩单[[#This Row],[英语]]))+1)</f>
        <v>370</v>
      </c>
      <c r="S2641" s="29" cm="1">
        <f t="array" ref="S2641">IF(表成绩单[[#This Row],[物理]]="","",SUMPRODUCT((表成绩单[考试日期]=表成绩单[[#This Row],[考试日期]])*(表成绩单[物理]&lt;9E+307)*(表成绩单[物理]&gt;表成绩单[[#This Row],[物理]]))+1)</f>
        <v>305</v>
      </c>
      <c r="T2641" s="29" cm="1">
        <f t="array" ref="T2641">IF(表成绩单[[#This Row],[化学]]="","",SUMPRODUCT((表成绩单[考试日期]=表成绩单[[#This Row],[考试日期]])*(表成绩单[化学]&lt;9E+307)*(表成绩单[化学]&gt;表成绩单[[#This Row],[化学]]))+1)</f>
        <v>71</v>
      </c>
      <c r="U2641" s="29" cm="1">
        <f t="array" ref="U2641">IF(表成绩单[[#This Row],[政治]]="","",SUMPRODUCT((表成绩单[考试日期]=表成绩单[[#This Row],[考试日期]])*(表成绩单[政治]&lt;9E+307)*(表成绩单[政治]&gt;表成绩单[[#This Row],[政治]]))+1)</f>
        <v>230</v>
      </c>
      <c r="V2641" s="29" cm="1">
        <f t="array" ref="V2641">IF(表成绩单[[#This Row],[历史]]="","",SUMPRODUCT((表成绩单[考试日期]=表成绩单[[#This Row],[考试日期]])*(表成绩单[历史]&lt;9E+307)*(表成绩单[历史]&gt;表成绩单[[#This Row],[历史]]))+1)</f>
        <v>173</v>
      </c>
      <c r="W2641" s="29" cm="1">
        <f t="array" ref="W2641">IF(表成绩单[[#This Row],[总分]]="","",SUMPRODUCT((表成绩单[考试日期]=表成绩单[[#This Row],[考试日期]])*(表成绩单[总分]&lt;9E+307)*(表成绩单[总分]&gt;表成绩单[[#This Row],[总分]]))+1)</f>
        <v>231</v>
      </c>
    </row>
    <row r="2642" ht="28" customHeight="1" spans="4:23">
      <c r="D2642" s="31">
        <v>46108</v>
      </c>
      <c r="E2642" s="29">
        <v>19177653</v>
      </c>
      <c r="F2642" s="29" t="s">
        <v>63</v>
      </c>
      <c r="G2642" s="29" t="s">
        <v>321</v>
      </c>
      <c r="H2642" s="29">
        <v>100</v>
      </c>
      <c r="I2642" s="29">
        <v>86</v>
      </c>
      <c r="J2642" s="29">
        <v>80</v>
      </c>
      <c r="K2642" s="29">
        <v>80</v>
      </c>
      <c r="L2642" s="29">
        <v>75</v>
      </c>
      <c r="M2642" s="29">
        <v>78</v>
      </c>
      <c r="N2642" s="29">
        <v>82</v>
      </c>
      <c r="O2642" s="32">
        <v>581</v>
      </c>
      <c r="P2642" s="29" cm="1">
        <f t="array" ref="P2642">IF(表成绩单[[#This Row],[语文]]="","",SUMPRODUCT((表成绩单[考试日期]=表成绩单[[#This Row],[考试日期]])*(表成绩单[语文]&lt;9E+307)*(表成绩单[语文]&gt;表成绩单[[#This Row],[语文]]))+1)</f>
        <v>247</v>
      </c>
      <c r="Q2642" s="29" cm="1">
        <f t="array" ref="Q2642">IF(表成绩单[[#This Row],[数学]]="","",SUMPRODUCT((表成绩单[考试日期]=表成绩单[[#This Row],[考试日期]])*(表成绩单[数学]&lt;9E+307)*(表成绩单[数学]&gt;表成绩单[[#This Row],[数学]]))+1)</f>
        <v>479</v>
      </c>
      <c r="R2642" s="29" cm="1">
        <f t="array" ref="R2642">IF(表成绩单[[#This Row],[英语]]="","",SUMPRODUCT((表成绩单[考试日期]=表成绩单[[#This Row],[考试日期]])*(表成绩单[英语]&lt;9E+307)*(表成绩单[英语]&gt;表成绩单[[#This Row],[英语]]))+1)</f>
        <v>266</v>
      </c>
      <c r="S2642" s="29" cm="1">
        <f t="array" ref="S2642">IF(表成绩单[[#This Row],[物理]]="","",SUMPRODUCT((表成绩单[考试日期]=表成绩单[[#This Row],[考试日期]])*(表成绩单[物理]&lt;9E+307)*(表成绩单[物理]&gt;表成绩单[[#This Row],[物理]]))+1)</f>
        <v>305</v>
      </c>
      <c r="T2642" s="29" cm="1">
        <f t="array" ref="T2642">IF(表成绩单[[#This Row],[化学]]="","",SUMPRODUCT((表成绩单[考试日期]=表成绩单[[#This Row],[考试日期]])*(表成绩单[化学]&lt;9E+307)*(表成绩单[化学]&gt;表成绩单[[#This Row],[化学]]))+1)</f>
        <v>96</v>
      </c>
      <c r="U2642" s="29" cm="1">
        <f t="array" ref="U2642">IF(表成绩单[[#This Row],[政治]]="","",SUMPRODUCT((表成绩单[考试日期]=表成绩单[[#This Row],[考试日期]])*(表成绩单[政治]&lt;9E+307)*(表成绩单[政治]&gt;表成绩单[[#This Row],[政治]]))+1)</f>
        <v>171</v>
      </c>
      <c r="V2642" s="29" cm="1">
        <f t="array" ref="V2642">IF(表成绩单[[#This Row],[历史]]="","",SUMPRODUCT((表成绩单[考试日期]=表成绩单[[#This Row],[考试日期]])*(表成绩单[历史]&lt;9E+307)*(表成绩单[历史]&gt;表成绩单[[#This Row],[历史]]))+1)</f>
        <v>81</v>
      </c>
      <c r="W2642" s="29" cm="1">
        <f t="array" ref="W2642">IF(表成绩单[[#This Row],[总分]]="","",SUMPRODUCT((表成绩单[考试日期]=表成绩单[[#This Row],[考试日期]])*(表成绩单[总分]&lt;9E+307)*(表成绩单[总分]&gt;表成绩单[[#This Row],[总分]]))+1)</f>
        <v>231</v>
      </c>
    </row>
    <row r="2643" ht="28" customHeight="1" spans="4:23">
      <c r="D2643" s="31">
        <v>46108</v>
      </c>
      <c r="E2643" s="29">
        <v>19175390</v>
      </c>
      <c r="F2643" s="29" t="s">
        <v>74</v>
      </c>
      <c r="G2643" s="29" t="s">
        <v>235</v>
      </c>
      <c r="H2643" s="29">
        <v>105</v>
      </c>
      <c r="I2643" s="29">
        <v>85</v>
      </c>
      <c r="J2643" s="29">
        <v>81.5</v>
      </c>
      <c r="K2643" s="29">
        <v>85</v>
      </c>
      <c r="L2643" s="29">
        <v>61</v>
      </c>
      <c r="M2643" s="29">
        <v>78</v>
      </c>
      <c r="N2643" s="29">
        <v>85</v>
      </c>
      <c r="O2643" s="32">
        <v>580.5</v>
      </c>
      <c r="P2643" s="29" cm="1">
        <f t="array" ref="P2643">IF(表成绩单[[#This Row],[语文]]="","",SUMPRODUCT((表成绩单[考试日期]=表成绩单[[#This Row],[考试日期]])*(表成绩单[语文]&lt;9E+307)*(表成绩单[语文]&gt;表成绩单[[#This Row],[语文]]))+1)</f>
        <v>101</v>
      </c>
      <c r="Q2643" s="29" cm="1">
        <f t="array" ref="Q2643">IF(表成绩单[[#This Row],[数学]]="","",SUMPRODUCT((表成绩单[考试日期]=表成绩单[[#This Row],[考试日期]])*(表成绩单[数学]&lt;9E+307)*(表成绩单[数学]&gt;表成绩单[[#This Row],[数学]]))+1)</f>
        <v>501</v>
      </c>
      <c r="R2643" s="29" cm="1">
        <f t="array" ref="R2643">IF(表成绩单[[#This Row],[英语]]="","",SUMPRODUCT((表成绩单[考试日期]=表成绩单[[#This Row],[考试日期]])*(表成绩单[英语]&lt;9E+307)*(表成绩单[英语]&gt;表成绩单[[#This Row],[英语]]))+1)</f>
        <v>203</v>
      </c>
      <c r="S2643" s="29" cm="1">
        <f t="array" ref="S2643">IF(表成绩单[[#This Row],[物理]]="","",SUMPRODUCT((表成绩单[考试日期]=表成绩单[[#This Row],[考试日期]])*(表成绩单[物理]&lt;9E+307)*(表成绩单[物理]&gt;表成绩单[[#This Row],[物理]]))+1)</f>
        <v>105</v>
      </c>
      <c r="T2643" s="29" cm="1">
        <f t="array" ref="T2643">IF(表成绩单[[#This Row],[化学]]="","",SUMPRODUCT((表成绩单[考试日期]=表成绩单[[#This Row],[考试日期]])*(表成绩单[化学]&lt;9E+307)*(表成绩单[化学]&gt;表成绩单[[#This Row],[化学]]))+1)</f>
        <v>467</v>
      </c>
      <c r="U2643" s="29" cm="1">
        <f t="array" ref="U2643">IF(表成绩单[[#This Row],[政治]]="","",SUMPRODUCT((表成绩单[考试日期]=表成绩单[[#This Row],[考试日期]])*(表成绩单[政治]&lt;9E+307)*(表成绩单[政治]&gt;表成绩单[[#This Row],[政治]]))+1)</f>
        <v>171</v>
      </c>
      <c r="V2643" s="29" cm="1">
        <f t="array" ref="V2643">IF(表成绩单[[#This Row],[历史]]="","",SUMPRODUCT((表成绩单[考试日期]=表成绩单[[#This Row],[考试日期]])*(表成绩单[历史]&lt;9E+307)*(表成绩单[历史]&gt;表成绩单[[#This Row],[历史]]))+1)</f>
        <v>20</v>
      </c>
      <c r="W2643" s="29" cm="1">
        <f t="array" ref="W2643">IF(表成绩单[[#This Row],[总分]]="","",SUMPRODUCT((表成绩单[考试日期]=表成绩单[[#This Row],[考试日期]])*(表成绩单[总分]&lt;9E+307)*(表成绩单[总分]&gt;表成绩单[[#This Row],[总分]]))+1)</f>
        <v>236</v>
      </c>
    </row>
    <row r="2644" ht="28" customHeight="1" spans="4:23">
      <c r="D2644" s="31">
        <v>46108</v>
      </c>
      <c r="E2644" s="29">
        <v>19175408</v>
      </c>
      <c r="F2644" s="29" t="s">
        <v>74</v>
      </c>
      <c r="G2644" s="29" t="s">
        <v>308</v>
      </c>
      <c r="H2644" s="29">
        <v>97</v>
      </c>
      <c r="I2644" s="29">
        <v>92</v>
      </c>
      <c r="J2644" s="29">
        <v>81.5</v>
      </c>
      <c r="K2644" s="29">
        <v>86</v>
      </c>
      <c r="L2644" s="29">
        <v>80</v>
      </c>
      <c r="M2644" s="29">
        <v>72</v>
      </c>
      <c r="N2644" s="29">
        <v>72</v>
      </c>
      <c r="O2644" s="32">
        <v>580.5</v>
      </c>
      <c r="P2644" s="29" cm="1">
        <f t="array" ref="P2644">IF(表成绩单[[#This Row],[语文]]="","",SUMPRODUCT((表成绩单[考试日期]=表成绩单[[#This Row],[考试日期]])*(表成绩单[语文]&lt;9E+307)*(表成绩单[语文]&gt;表成绩单[[#This Row],[语文]]))+1)</f>
        <v>357</v>
      </c>
      <c r="Q2644" s="29" cm="1">
        <f t="array" ref="Q2644">IF(表成绩单[[#This Row],[数学]]="","",SUMPRODUCT((表成绩单[考试日期]=表成绩单[[#This Row],[考试日期]])*(表成绩单[数学]&lt;9E+307)*(表成绩单[数学]&gt;表成绩单[[#This Row],[数学]]))+1)</f>
        <v>312</v>
      </c>
      <c r="R2644" s="29" cm="1">
        <f t="array" ref="R2644">IF(表成绩单[[#This Row],[英语]]="","",SUMPRODUCT((表成绩单[考试日期]=表成绩单[[#This Row],[考试日期]])*(表成绩单[英语]&lt;9E+307)*(表成绩单[英语]&gt;表成绩单[[#This Row],[英语]]))+1)</f>
        <v>203</v>
      </c>
      <c r="S2644" s="29" cm="1">
        <f t="array" ref="S2644">IF(表成绩单[[#This Row],[物理]]="","",SUMPRODUCT((表成绩单[考试日期]=表成绩单[[#This Row],[考试日期]])*(表成绩单[物理]&lt;9E+307)*(表成绩单[物理]&gt;表成绩单[[#This Row],[物理]]))+1)</f>
        <v>61</v>
      </c>
      <c r="T2644" s="29" cm="1">
        <f t="array" ref="T2644">IF(表成绩单[[#This Row],[化学]]="","",SUMPRODUCT((表成绩单[考试日期]=表成绩单[[#This Row],[考试日期]])*(表成绩单[化学]&lt;9E+307)*(表成绩单[化学]&gt;表成绩单[[#This Row],[化学]]))+1)</f>
        <v>25</v>
      </c>
      <c r="U2644" s="29" cm="1">
        <f t="array" ref="U2644">IF(表成绩单[[#This Row],[政治]]="","",SUMPRODUCT((表成绩单[考试日期]=表成绩单[[#This Row],[考试日期]])*(表成绩单[政治]&lt;9E+307)*(表成绩单[政治]&gt;表成绩单[[#This Row],[政治]]))+1)</f>
        <v>470</v>
      </c>
      <c r="V2644" s="29" cm="1">
        <f t="array" ref="V2644">IF(表成绩单[[#This Row],[历史]]="","",SUMPRODUCT((表成绩单[考试日期]=表成绩单[[#This Row],[考试日期]])*(表成绩单[历史]&lt;9E+307)*(表成绩单[历史]&gt;表成绩单[[#This Row],[历史]]))+1)</f>
        <v>470</v>
      </c>
      <c r="W2644" s="29" cm="1">
        <f t="array" ref="W2644">IF(表成绩单[[#This Row],[总分]]="","",SUMPRODUCT((表成绩单[考试日期]=表成绩单[[#This Row],[考试日期]])*(表成绩单[总分]&lt;9E+307)*(表成绩单[总分]&gt;表成绩单[[#This Row],[总分]]))+1)</f>
        <v>236</v>
      </c>
    </row>
    <row r="2645" ht="28" customHeight="1" spans="4:23">
      <c r="D2645" s="31">
        <v>46108</v>
      </c>
      <c r="E2645" s="29">
        <v>19178606</v>
      </c>
      <c r="F2645" s="29" t="s">
        <v>64</v>
      </c>
      <c r="G2645" s="29" t="s">
        <v>318</v>
      </c>
      <c r="H2645" s="29">
        <v>99</v>
      </c>
      <c r="I2645" s="29">
        <v>97</v>
      </c>
      <c r="J2645" s="29">
        <v>72.5</v>
      </c>
      <c r="K2645" s="29">
        <v>86</v>
      </c>
      <c r="L2645" s="29">
        <v>76</v>
      </c>
      <c r="M2645" s="29">
        <v>74</v>
      </c>
      <c r="N2645" s="29">
        <v>76</v>
      </c>
      <c r="O2645" s="32">
        <v>580.5</v>
      </c>
      <c r="P2645" s="29" cm="1">
        <f t="array" ref="P2645">IF(表成绩单[[#This Row],[语文]]="","",SUMPRODUCT((表成绩单[考试日期]=表成绩单[[#This Row],[考试日期]])*(表成绩单[语文]&lt;9E+307)*(表成绩单[语文]&gt;表成绩单[[#This Row],[语文]]))+1)</f>
        <v>279</v>
      </c>
      <c r="Q2645" s="29" cm="1">
        <f t="array" ref="Q2645">IF(表成绩单[[#This Row],[数学]]="","",SUMPRODUCT((表成绩单[考试日期]=表成绩单[[#This Row],[考试日期]])*(表成绩单[数学]&lt;9E+307)*(表成绩单[数学]&gt;表成绩单[[#This Row],[数学]]))+1)</f>
        <v>175</v>
      </c>
      <c r="R2645" s="29" cm="1">
        <f t="array" ref="R2645">IF(表成绩单[[#This Row],[英语]]="","",SUMPRODUCT((表成绩单[考试日期]=表成绩单[[#This Row],[考试日期]])*(表成绩单[英语]&lt;9E+307)*(表成绩单[英语]&gt;表成绩单[[#This Row],[英语]]))+1)</f>
        <v>491</v>
      </c>
      <c r="S2645" s="29" cm="1">
        <f t="array" ref="S2645">IF(表成绩单[[#This Row],[物理]]="","",SUMPRODUCT((表成绩单[考试日期]=表成绩单[[#This Row],[考试日期]])*(表成绩单[物理]&lt;9E+307)*(表成绩单[物理]&gt;表成绩单[[#This Row],[物理]]))+1)</f>
        <v>61</v>
      </c>
      <c r="T2645" s="29" cm="1">
        <f t="array" ref="T2645">IF(表成绩单[[#This Row],[化学]]="","",SUMPRODUCT((表成绩单[考试日期]=表成绩单[[#This Row],[考试日期]])*(表成绩单[化学]&lt;9E+307)*(表成绩单[化学]&gt;表成绩单[[#This Row],[化学]]))+1)</f>
        <v>71</v>
      </c>
      <c r="U2645" s="29" cm="1">
        <f t="array" ref="U2645">IF(表成绩单[[#This Row],[政治]]="","",SUMPRODUCT((表成绩单[考试日期]=表成绩单[[#This Row],[考试日期]])*(表成绩单[政治]&lt;9E+307)*(表成绩单[政治]&gt;表成绩单[[#This Row],[政治]]))+1)</f>
        <v>389</v>
      </c>
      <c r="V2645" s="29" cm="1">
        <f t="array" ref="V2645">IF(表成绩单[[#This Row],[历史]]="","",SUMPRODUCT((表成绩单[考试日期]=表成绩单[[#This Row],[考试日期]])*(表成绩单[历史]&lt;9E+307)*(表成绩单[历史]&gt;表成绩单[[#This Row],[历史]]))+1)</f>
        <v>316</v>
      </c>
      <c r="W2645" s="29" cm="1">
        <f t="array" ref="W2645">IF(表成绩单[[#This Row],[总分]]="","",SUMPRODUCT((表成绩单[考试日期]=表成绩单[[#This Row],[考试日期]])*(表成绩单[总分]&lt;9E+307)*(表成绩单[总分]&gt;表成绩单[[#This Row],[总分]]))+1)</f>
        <v>236</v>
      </c>
    </row>
    <row r="2646" ht="28" customHeight="1" spans="4:23">
      <c r="D2646" s="31">
        <v>46108</v>
      </c>
      <c r="E2646" s="29">
        <v>19173275</v>
      </c>
      <c r="F2646" s="29" t="s">
        <v>61</v>
      </c>
      <c r="G2646" s="29" t="s">
        <v>356</v>
      </c>
      <c r="H2646" s="29">
        <v>98</v>
      </c>
      <c r="I2646" s="29">
        <v>95</v>
      </c>
      <c r="J2646" s="29">
        <v>78</v>
      </c>
      <c r="K2646" s="29">
        <v>82</v>
      </c>
      <c r="L2646" s="29">
        <v>69</v>
      </c>
      <c r="M2646" s="29">
        <v>80</v>
      </c>
      <c r="N2646" s="29">
        <v>78</v>
      </c>
      <c r="O2646" s="32">
        <v>580</v>
      </c>
      <c r="P2646" s="29" cm="1">
        <f t="array" ref="P2646">IF(表成绩单[[#This Row],[语文]]="","",SUMPRODUCT((表成绩单[考试日期]=表成绩单[[#This Row],[考试日期]])*(表成绩单[语文]&lt;9E+307)*(表成绩单[语文]&gt;表成绩单[[#This Row],[语文]]))+1)</f>
        <v>322</v>
      </c>
      <c r="Q2646" s="29" cm="1">
        <f t="array" ref="Q2646">IF(表成绩单[[#This Row],[数学]]="","",SUMPRODUCT((表成绩单[考试日期]=表成绩单[[#This Row],[考试日期]])*(表成绩单[数学]&lt;9E+307)*(表成绩单[数学]&gt;表成绩单[[#This Row],[数学]]))+1)</f>
        <v>229</v>
      </c>
      <c r="R2646" s="29" cm="1">
        <f t="array" ref="R2646">IF(表成绩单[[#This Row],[英语]]="","",SUMPRODUCT((表成绩单[考试日期]=表成绩单[[#This Row],[考试日期]])*(表成绩单[英语]&lt;9E+307)*(表成绩单[英语]&gt;表成绩单[[#This Row],[英语]]))+1)</f>
        <v>341</v>
      </c>
      <c r="S2646" s="29" cm="1">
        <f t="array" ref="S2646">IF(表成绩单[[#This Row],[物理]]="","",SUMPRODUCT((表成绩单[考试日期]=表成绩单[[#This Row],[考试日期]])*(表成绩单[物理]&lt;9E+307)*(表成绩单[物理]&gt;表成绩单[[#This Row],[物理]]))+1)</f>
        <v>223</v>
      </c>
      <c r="T2646" s="29" cm="1">
        <f t="array" ref="T2646">IF(表成绩单[[#This Row],[化学]]="","",SUMPRODUCT((表成绩单[考试日期]=表成绩单[[#This Row],[考试日期]])*(表成绩单[化学]&lt;9E+307)*(表成绩单[化学]&gt;表成绩单[[#This Row],[化学]]))+1)</f>
        <v>269</v>
      </c>
      <c r="U2646" s="29" cm="1">
        <f t="array" ref="U2646">IF(表成绩单[[#This Row],[政治]]="","",SUMPRODUCT((表成绩单[考试日期]=表成绩单[[#This Row],[考试日期]])*(表成绩单[政治]&lt;9E+307)*(表成绩单[政治]&gt;表成绩单[[#This Row],[政治]]))+1)</f>
        <v>98</v>
      </c>
      <c r="V2646" s="29" cm="1">
        <f t="array" ref="V2646">IF(表成绩单[[#This Row],[历史]]="","",SUMPRODUCT((表成绩单[考试日期]=表成绩单[[#This Row],[考试日期]])*(表成绩单[历史]&lt;9E+307)*(表成绩单[历史]&gt;表成绩单[[#This Row],[历史]]))+1)</f>
        <v>222</v>
      </c>
      <c r="W2646" s="29" cm="1">
        <f t="array" ref="W2646">IF(表成绩单[[#This Row],[总分]]="","",SUMPRODUCT((表成绩单[考试日期]=表成绩单[[#This Row],[考试日期]])*(表成绩单[总分]&lt;9E+307)*(表成绩单[总分]&gt;表成绩单[[#This Row],[总分]]))+1)</f>
        <v>239</v>
      </c>
    </row>
    <row r="2647" ht="28" customHeight="1" spans="4:23">
      <c r="D2647" s="31">
        <v>46108</v>
      </c>
      <c r="E2647" s="29">
        <v>19175674</v>
      </c>
      <c r="F2647" s="29" t="s">
        <v>72</v>
      </c>
      <c r="G2647" s="29" t="s">
        <v>215</v>
      </c>
      <c r="H2647" s="29">
        <v>98</v>
      </c>
      <c r="I2647" s="29">
        <v>86</v>
      </c>
      <c r="J2647" s="29">
        <v>83</v>
      </c>
      <c r="K2647" s="29">
        <v>82</v>
      </c>
      <c r="L2647" s="29">
        <v>74</v>
      </c>
      <c r="M2647" s="29">
        <v>78</v>
      </c>
      <c r="N2647" s="29">
        <v>79</v>
      </c>
      <c r="O2647" s="32">
        <v>580</v>
      </c>
      <c r="P2647" s="29" cm="1">
        <f t="array" ref="P2647">IF(表成绩单[[#This Row],[语文]]="","",SUMPRODUCT((表成绩单[考试日期]=表成绩单[[#This Row],[考试日期]])*(表成绩单[语文]&lt;9E+307)*(表成绩单[语文]&gt;表成绩单[[#This Row],[语文]]))+1)</f>
        <v>322</v>
      </c>
      <c r="Q2647" s="29" cm="1">
        <f t="array" ref="Q2647">IF(表成绩单[[#This Row],[数学]]="","",SUMPRODUCT((表成绩单[考试日期]=表成绩单[[#This Row],[考试日期]])*(表成绩单[数学]&lt;9E+307)*(表成绩单[数学]&gt;表成绩单[[#This Row],[数学]]))+1)</f>
        <v>479</v>
      </c>
      <c r="R2647" s="29" cm="1">
        <f t="array" ref="R2647">IF(表成绩单[[#This Row],[英语]]="","",SUMPRODUCT((表成绩单[考试日期]=表成绩单[[#This Row],[考试日期]])*(表成绩单[英语]&lt;9E+307)*(表成绩单[英语]&gt;表成绩单[[#This Row],[英语]]))+1)</f>
        <v>134</v>
      </c>
      <c r="S2647" s="29" cm="1">
        <f t="array" ref="S2647">IF(表成绩单[[#This Row],[物理]]="","",SUMPRODUCT((表成绩单[考试日期]=表成绩单[[#This Row],[考试日期]])*(表成绩单[物理]&lt;9E+307)*(表成绩单[物理]&gt;表成绩单[[#This Row],[物理]]))+1)</f>
        <v>223</v>
      </c>
      <c r="T2647" s="29" cm="1">
        <f t="array" ref="T2647">IF(表成绩单[[#This Row],[化学]]="","",SUMPRODUCT((表成绩单[考试日期]=表成绩单[[#This Row],[考试日期]])*(表成绩单[化学]&lt;9E+307)*(表成绩单[化学]&gt;表成绩单[[#This Row],[化学]]))+1)</f>
        <v>127</v>
      </c>
      <c r="U2647" s="29" cm="1">
        <f t="array" ref="U2647">IF(表成绩单[[#This Row],[政治]]="","",SUMPRODUCT((表成绩单[考试日期]=表成绩单[[#This Row],[考试日期]])*(表成绩单[政治]&lt;9E+307)*(表成绩单[政治]&gt;表成绩单[[#This Row],[政治]]))+1)</f>
        <v>171</v>
      </c>
      <c r="V2647" s="29" cm="1">
        <f t="array" ref="V2647">IF(表成绩单[[#This Row],[历史]]="","",SUMPRODUCT((表成绩单[考试日期]=表成绩单[[#This Row],[考试日期]])*(表成绩单[历史]&lt;9E+307)*(表成绩单[历史]&gt;表成绩单[[#This Row],[历史]]))+1)</f>
        <v>173</v>
      </c>
      <c r="W2647" s="29" cm="1">
        <f t="array" ref="W2647">IF(表成绩单[[#This Row],[总分]]="","",SUMPRODUCT((表成绩单[考试日期]=表成绩单[[#This Row],[考试日期]])*(表成绩单[总分]&lt;9E+307)*(表成绩单[总分]&gt;表成绩单[[#This Row],[总分]]))+1)</f>
        <v>239</v>
      </c>
    </row>
    <row r="2648" ht="28" customHeight="1" spans="4:23">
      <c r="D2648" s="31">
        <v>46108</v>
      </c>
      <c r="E2648" s="29">
        <v>19176877</v>
      </c>
      <c r="F2648" s="29" t="s">
        <v>71</v>
      </c>
      <c r="G2648" s="29" t="s">
        <v>286</v>
      </c>
      <c r="H2648" s="29">
        <v>102</v>
      </c>
      <c r="I2648" s="29">
        <v>93</v>
      </c>
      <c r="J2648" s="29">
        <v>83</v>
      </c>
      <c r="K2648" s="29">
        <v>88</v>
      </c>
      <c r="L2648" s="29">
        <v>63</v>
      </c>
      <c r="M2648" s="29">
        <v>73</v>
      </c>
      <c r="N2648" s="29">
        <v>78</v>
      </c>
      <c r="O2648" s="32">
        <v>580</v>
      </c>
      <c r="P2648" s="29" cm="1">
        <f t="array" ref="P2648">IF(表成绩单[[#This Row],[语文]]="","",SUMPRODUCT((表成绩单[考试日期]=表成绩单[[#This Row],[考试日期]])*(表成绩单[语文]&lt;9E+307)*(表成绩单[语文]&gt;表成绩单[[#This Row],[语文]]))+1)</f>
        <v>183</v>
      </c>
      <c r="Q2648" s="29" cm="1">
        <f t="array" ref="Q2648">IF(表成绩单[[#This Row],[数学]]="","",SUMPRODUCT((表成绩单[考试日期]=表成绩单[[#This Row],[考试日期]])*(表成绩单[数学]&lt;9E+307)*(表成绩单[数学]&gt;表成绩单[[#This Row],[数学]]))+1)</f>
        <v>289</v>
      </c>
      <c r="R2648" s="29" cm="1">
        <f t="array" ref="R2648">IF(表成绩单[[#This Row],[英语]]="","",SUMPRODUCT((表成绩单[考试日期]=表成绩单[[#This Row],[考试日期]])*(表成绩单[英语]&lt;9E+307)*(表成绩单[英语]&gt;表成绩单[[#This Row],[英语]]))+1)</f>
        <v>134</v>
      </c>
      <c r="S2648" s="29" cm="1">
        <f t="array" ref="S2648">IF(表成绩单[[#This Row],[物理]]="","",SUMPRODUCT((表成绩单[考试日期]=表成绩单[[#This Row],[考试日期]])*(表成绩单[物理]&lt;9E+307)*(表成绩单[物理]&gt;表成绩单[[#This Row],[物理]]))+1)</f>
        <v>27</v>
      </c>
      <c r="T2648" s="29" cm="1">
        <f t="array" ref="T2648">IF(表成绩单[[#This Row],[化学]]="","",SUMPRODUCT((表成绩单[考试日期]=表成绩单[[#This Row],[考试日期]])*(表成绩单[化学]&lt;9E+307)*(表成绩单[化学]&gt;表成绩单[[#This Row],[化学]]))+1)</f>
        <v>426</v>
      </c>
      <c r="U2648" s="29" cm="1">
        <f t="array" ref="U2648">IF(表成绩单[[#This Row],[政治]]="","",SUMPRODUCT((表成绩单[考试日期]=表成绩单[[#This Row],[考试日期]])*(表成绩单[政治]&lt;9E+307)*(表成绩单[政治]&gt;表成绩单[[#This Row],[政治]]))+1)</f>
        <v>431</v>
      </c>
      <c r="V2648" s="29" cm="1">
        <f t="array" ref="V2648">IF(表成绩单[[#This Row],[历史]]="","",SUMPRODUCT((表成绩单[考试日期]=表成绩单[[#This Row],[考试日期]])*(表成绩单[历史]&lt;9E+307)*(表成绩单[历史]&gt;表成绩单[[#This Row],[历史]]))+1)</f>
        <v>222</v>
      </c>
      <c r="W2648" s="29" cm="1">
        <f t="array" ref="W2648">IF(表成绩单[[#This Row],[总分]]="","",SUMPRODUCT((表成绩单[考试日期]=表成绩单[[#This Row],[考试日期]])*(表成绩单[总分]&lt;9E+307)*(表成绩单[总分]&gt;表成绩单[[#This Row],[总分]]))+1)</f>
        <v>239</v>
      </c>
    </row>
    <row r="2649" ht="28" customHeight="1" spans="4:23">
      <c r="D2649" s="31">
        <v>46108</v>
      </c>
      <c r="E2649" s="29">
        <v>19174432</v>
      </c>
      <c r="F2649" s="29" t="s">
        <v>73</v>
      </c>
      <c r="G2649" s="29" t="s">
        <v>348</v>
      </c>
      <c r="H2649" s="29">
        <v>105</v>
      </c>
      <c r="I2649" s="29">
        <v>84</v>
      </c>
      <c r="J2649" s="29">
        <v>83.5</v>
      </c>
      <c r="K2649" s="29">
        <v>79</v>
      </c>
      <c r="L2649" s="29">
        <v>64</v>
      </c>
      <c r="M2649" s="29">
        <v>79</v>
      </c>
      <c r="N2649" s="29">
        <v>85</v>
      </c>
      <c r="O2649" s="32">
        <v>579.5</v>
      </c>
      <c r="P2649" s="29" cm="1">
        <f t="array" ref="P2649">IF(表成绩单[[#This Row],[语文]]="","",SUMPRODUCT((表成绩单[考试日期]=表成绩单[[#This Row],[考试日期]])*(表成绩单[语文]&lt;9E+307)*(表成绩单[语文]&gt;表成绩单[[#This Row],[语文]]))+1)</f>
        <v>101</v>
      </c>
      <c r="Q2649" s="29" cm="1">
        <f t="array" ref="Q2649">IF(表成绩单[[#This Row],[数学]]="","",SUMPRODUCT((表成绩单[考试日期]=表成绩单[[#This Row],[考试日期]])*(表成绩单[数学]&lt;9E+307)*(表成绩单[数学]&gt;表成绩单[[#This Row],[数学]]))+1)</f>
        <v>518</v>
      </c>
      <c r="R2649" s="29" cm="1">
        <f t="array" ref="R2649">IF(表成绩单[[#This Row],[英语]]="","",SUMPRODUCT((表成绩单[考试日期]=表成绩单[[#This Row],[考试日期]])*(表成绩单[英语]&lt;9E+307)*(表成绩单[英语]&gt;表成绩单[[#This Row],[英语]]))+1)</f>
        <v>122</v>
      </c>
      <c r="S2649" s="29" cm="1">
        <f t="array" ref="S2649">IF(表成绩单[[#This Row],[物理]]="","",SUMPRODUCT((表成绩单[考试日期]=表成绩单[[#This Row],[考试日期]])*(表成绩单[物理]&lt;9E+307)*(表成绩单[物理]&gt;表成绩单[[#This Row],[物理]]))+1)</f>
        <v>344</v>
      </c>
      <c r="T2649" s="29" cm="1">
        <f t="array" ref="T2649">IF(表成绩单[[#This Row],[化学]]="","",SUMPRODUCT((表成绩单[考试日期]=表成绩单[[#This Row],[考试日期]])*(表成绩单[化学]&lt;9E+307)*(表成绩单[化学]&gt;表成绩单[[#This Row],[化学]]))+1)</f>
        <v>400</v>
      </c>
      <c r="U2649" s="29" cm="1">
        <f t="array" ref="U2649">IF(表成绩单[[#This Row],[政治]]="","",SUMPRODUCT((表成绩单[考试日期]=表成绩单[[#This Row],[考试日期]])*(表成绩单[政治]&lt;9E+307)*(表成绩单[政治]&gt;表成绩单[[#This Row],[政治]]))+1)</f>
        <v>134</v>
      </c>
      <c r="V2649" s="29" cm="1">
        <f t="array" ref="V2649">IF(表成绩单[[#This Row],[历史]]="","",SUMPRODUCT((表成绩单[考试日期]=表成绩单[[#This Row],[考试日期]])*(表成绩单[历史]&lt;9E+307)*(表成绩单[历史]&gt;表成绩单[[#This Row],[历史]]))+1)</f>
        <v>20</v>
      </c>
      <c r="W2649" s="29" cm="1">
        <f t="array" ref="W2649">IF(表成绩单[[#This Row],[总分]]="","",SUMPRODUCT((表成绩单[考试日期]=表成绩单[[#This Row],[考试日期]])*(表成绩单[总分]&lt;9E+307)*(表成绩单[总分]&gt;表成绩单[[#This Row],[总分]]))+1)</f>
        <v>242</v>
      </c>
    </row>
    <row r="2650" ht="28" customHeight="1" spans="4:23">
      <c r="D2650" s="31">
        <v>46108</v>
      </c>
      <c r="E2650" s="29">
        <v>19174797</v>
      </c>
      <c r="F2650" s="29" t="s">
        <v>69</v>
      </c>
      <c r="G2650" s="29" t="s">
        <v>176</v>
      </c>
      <c r="H2650" s="29">
        <v>100</v>
      </c>
      <c r="I2650" s="29">
        <v>96</v>
      </c>
      <c r="J2650" s="29">
        <v>76.5</v>
      </c>
      <c r="K2650" s="29">
        <v>85</v>
      </c>
      <c r="L2650" s="29">
        <v>74</v>
      </c>
      <c r="M2650" s="29">
        <v>76</v>
      </c>
      <c r="N2650" s="29">
        <v>72</v>
      </c>
      <c r="O2650" s="32">
        <v>579.5</v>
      </c>
      <c r="P2650" s="29" cm="1">
        <f t="array" ref="P2650">IF(表成绩单[[#This Row],[语文]]="","",SUMPRODUCT((表成绩单[考试日期]=表成绩单[[#This Row],[考试日期]])*(表成绩单[语文]&lt;9E+307)*(表成绩单[语文]&gt;表成绩单[[#This Row],[语文]]))+1)</f>
        <v>247</v>
      </c>
      <c r="Q2650" s="29" cm="1">
        <f t="array" ref="Q2650">IF(表成绩单[[#This Row],[数学]]="","",SUMPRODUCT((表成绩单[考试日期]=表成绩单[[#This Row],[考试日期]])*(表成绩单[数学]&lt;9E+307)*(表成绩单[数学]&gt;表成绩单[[#This Row],[数学]]))+1)</f>
        <v>202</v>
      </c>
      <c r="R2650" s="29" cm="1">
        <f t="array" ref="R2650">IF(表成绩单[[#This Row],[英语]]="","",SUMPRODUCT((表成绩单[考试日期]=表成绩单[[#This Row],[考试日期]])*(表成绩单[英语]&lt;9E+307)*(表成绩单[英语]&gt;表成绩单[[#This Row],[英语]]))+1)</f>
        <v>384</v>
      </c>
      <c r="S2650" s="29" cm="1">
        <f t="array" ref="S2650">IF(表成绩单[[#This Row],[物理]]="","",SUMPRODUCT((表成绩单[考试日期]=表成绩单[[#This Row],[考试日期]])*(表成绩单[物理]&lt;9E+307)*(表成绩单[物理]&gt;表成绩单[[#This Row],[物理]]))+1)</f>
        <v>105</v>
      </c>
      <c r="T2650" s="29" cm="1">
        <f t="array" ref="T2650">IF(表成绩单[[#This Row],[化学]]="","",SUMPRODUCT((表成绩单[考试日期]=表成绩单[[#This Row],[考试日期]])*(表成绩单[化学]&lt;9E+307)*(表成绩单[化学]&gt;表成绩单[[#This Row],[化学]]))+1)</f>
        <v>127</v>
      </c>
      <c r="U2650" s="29" cm="1">
        <f t="array" ref="U2650">IF(表成绩单[[#This Row],[政治]]="","",SUMPRODUCT((表成绩单[考试日期]=表成绩单[[#This Row],[考试日期]])*(表成绩单[政治]&lt;9E+307)*(表成绩单[政治]&gt;表成绩单[[#This Row],[政治]]))+1)</f>
        <v>291</v>
      </c>
      <c r="V2650" s="29" cm="1">
        <f t="array" ref="V2650">IF(表成绩单[[#This Row],[历史]]="","",SUMPRODUCT((表成绩单[考试日期]=表成绩单[[#This Row],[考试日期]])*(表成绩单[历史]&lt;9E+307)*(表成绩单[历史]&gt;表成绩单[[#This Row],[历史]]))+1)</f>
        <v>470</v>
      </c>
      <c r="W2650" s="29" cm="1">
        <f t="array" ref="W2650">IF(表成绩单[[#This Row],[总分]]="","",SUMPRODUCT((表成绩单[考试日期]=表成绩单[[#This Row],[考试日期]])*(表成绩单[总分]&lt;9E+307)*(表成绩单[总分]&gt;表成绩单[[#This Row],[总分]]))+1)</f>
        <v>242</v>
      </c>
    </row>
    <row r="2651" ht="28" customHeight="1" spans="4:23">
      <c r="D2651" s="31">
        <v>46108</v>
      </c>
      <c r="E2651" s="29">
        <v>19176155</v>
      </c>
      <c r="F2651" s="29" t="s">
        <v>67</v>
      </c>
      <c r="G2651" s="29" t="s">
        <v>339</v>
      </c>
      <c r="H2651" s="29">
        <v>99</v>
      </c>
      <c r="I2651" s="29">
        <v>87</v>
      </c>
      <c r="J2651" s="29">
        <v>80.5</v>
      </c>
      <c r="K2651" s="29">
        <v>80</v>
      </c>
      <c r="L2651" s="29">
        <v>74</v>
      </c>
      <c r="M2651" s="29">
        <v>78</v>
      </c>
      <c r="N2651" s="29">
        <v>81</v>
      </c>
      <c r="O2651" s="32">
        <v>579.5</v>
      </c>
      <c r="P2651" s="29" cm="1">
        <f t="array" ref="P2651">IF(表成绩单[[#This Row],[语文]]="","",SUMPRODUCT((表成绩单[考试日期]=表成绩单[[#This Row],[考试日期]])*(表成绩单[语文]&lt;9E+307)*(表成绩单[语文]&gt;表成绩单[[#This Row],[语文]]))+1)</f>
        <v>279</v>
      </c>
      <c r="Q2651" s="29" cm="1">
        <f t="array" ref="Q2651">IF(表成绩单[[#This Row],[数学]]="","",SUMPRODUCT((表成绩单[考试日期]=表成绩单[[#This Row],[考试日期]])*(表成绩单[数学]&lt;9E+307)*(表成绩单[数学]&gt;表成绩单[[#This Row],[数学]]))+1)</f>
        <v>452</v>
      </c>
      <c r="R2651" s="29" cm="1">
        <f t="array" ref="R2651">IF(表成绩单[[#This Row],[英语]]="","",SUMPRODUCT((表成绩单[考试日期]=表成绩单[[#This Row],[考试日期]])*(表成绩单[英语]&lt;9E+307)*(表成绩单[英语]&gt;表成绩单[[#This Row],[英语]]))+1)</f>
        <v>244</v>
      </c>
      <c r="S2651" s="29" cm="1">
        <f t="array" ref="S2651">IF(表成绩单[[#This Row],[物理]]="","",SUMPRODUCT((表成绩单[考试日期]=表成绩单[[#This Row],[考试日期]])*(表成绩单[物理]&lt;9E+307)*(表成绩单[物理]&gt;表成绩单[[#This Row],[物理]]))+1)</f>
        <v>305</v>
      </c>
      <c r="T2651" s="29" cm="1">
        <f t="array" ref="T2651">IF(表成绩单[[#This Row],[化学]]="","",SUMPRODUCT((表成绩单[考试日期]=表成绩单[[#This Row],[考试日期]])*(表成绩单[化学]&lt;9E+307)*(表成绩单[化学]&gt;表成绩单[[#This Row],[化学]]))+1)</f>
        <v>127</v>
      </c>
      <c r="U2651" s="29" cm="1">
        <f t="array" ref="U2651">IF(表成绩单[[#This Row],[政治]]="","",SUMPRODUCT((表成绩单[考试日期]=表成绩单[[#This Row],[考试日期]])*(表成绩单[政治]&lt;9E+307)*(表成绩单[政治]&gt;表成绩单[[#This Row],[政治]]))+1)</f>
        <v>171</v>
      </c>
      <c r="V2651" s="29" cm="1">
        <f t="array" ref="V2651">IF(表成绩单[[#This Row],[历史]]="","",SUMPRODUCT((表成绩单[考试日期]=表成绩单[[#This Row],[考试日期]])*(表成绩单[历史]&lt;9E+307)*(表成绩单[历史]&gt;表成绩单[[#This Row],[历史]]))+1)</f>
        <v>106</v>
      </c>
      <c r="W2651" s="29" cm="1">
        <f t="array" ref="W2651">IF(表成绩单[[#This Row],[总分]]="","",SUMPRODUCT((表成绩单[考试日期]=表成绩单[[#This Row],[考试日期]])*(表成绩单[总分]&lt;9E+307)*(表成绩单[总分]&gt;表成绩单[[#This Row],[总分]]))+1)</f>
        <v>242</v>
      </c>
    </row>
    <row r="2652" ht="28" customHeight="1" spans="4:23">
      <c r="D2652" s="31">
        <v>46108</v>
      </c>
      <c r="E2652" s="29">
        <v>19176862</v>
      </c>
      <c r="F2652" s="29" t="s">
        <v>71</v>
      </c>
      <c r="G2652" s="29" t="s">
        <v>366</v>
      </c>
      <c r="H2652" s="29">
        <v>99</v>
      </c>
      <c r="I2652" s="29">
        <v>90</v>
      </c>
      <c r="J2652" s="29">
        <v>82.5</v>
      </c>
      <c r="K2652" s="29">
        <v>88</v>
      </c>
      <c r="L2652" s="29">
        <v>59</v>
      </c>
      <c r="M2652" s="29">
        <v>83</v>
      </c>
      <c r="N2652" s="29">
        <v>78</v>
      </c>
      <c r="O2652" s="32">
        <v>579.5</v>
      </c>
      <c r="P2652" s="29" cm="1">
        <f t="array" ref="P2652">IF(表成绩单[[#This Row],[语文]]="","",SUMPRODUCT((表成绩单[考试日期]=表成绩单[[#This Row],[考试日期]])*(表成绩单[语文]&lt;9E+307)*(表成绩单[语文]&gt;表成绩单[[#This Row],[语文]]))+1)</f>
        <v>279</v>
      </c>
      <c r="Q2652" s="29" cm="1">
        <f t="array" ref="Q2652">IF(表成绩单[[#This Row],[数学]]="","",SUMPRODUCT((表成绩单[考试日期]=表成绩单[[#This Row],[考试日期]])*(表成绩单[数学]&lt;9E+307)*(表成绩单[数学]&gt;表成绩单[[#This Row],[数学]]))+1)</f>
        <v>368</v>
      </c>
      <c r="R2652" s="29" cm="1">
        <f t="array" ref="R2652">IF(表成绩单[[#This Row],[英语]]="","",SUMPRODUCT((表成绩单[考试日期]=表成绩单[[#This Row],[考试日期]])*(表成绩单[英语]&lt;9E+307)*(表成绩单[英语]&gt;表成绩单[[#This Row],[英语]]))+1)</f>
        <v>156</v>
      </c>
      <c r="S2652" s="29" cm="1">
        <f t="array" ref="S2652">IF(表成绩单[[#This Row],[物理]]="","",SUMPRODUCT((表成绩单[考试日期]=表成绩单[[#This Row],[考试日期]])*(表成绩单[物理]&lt;9E+307)*(表成绩单[物理]&gt;表成绩单[[#This Row],[物理]]))+1)</f>
        <v>27</v>
      </c>
      <c r="T2652" s="29" cm="1">
        <f t="array" ref="T2652">IF(表成绩单[[#This Row],[化学]]="","",SUMPRODUCT((表成绩单[考试日期]=表成绩单[[#This Row],[考试日期]])*(表成绩单[化学]&lt;9E+307)*(表成绩单[化学]&gt;表成绩单[[#This Row],[化学]]))+1)</f>
        <v>510</v>
      </c>
      <c r="U2652" s="29" cm="1">
        <f t="array" ref="U2652">IF(表成绩单[[#This Row],[政治]]="","",SUMPRODUCT((表成绩单[考试日期]=表成绩单[[#This Row],[考试日期]])*(表成绩单[政治]&lt;9E+307)*(表成绩单[政治]&gt;表成绩单[[#This Row],[政治]]))+1)</f>
        <v>24</v>
      </c>
      <c r="V2652" s="29" cm="1">
        <f t="array" ref="V2652">IF(表成绩单[[#This Row],[历史]]="","",SUMPRODUCT((表成绩单[考试日期]=表成绩单[[#This Row],[考试日期]])*(表成绩单[历史]&lt;9E+307)*(表成绩单[历史]&gt;表成绩单[[#This Row],[历史]]))+1)</f>
        <v>222</v>
      </c>
      <c r="W2652" s="29" cm="1">
        <f t="array" ref="W2652">IF(表成绩单[[#This Row],[总分]]="","",SUMPRODUCT((表成绩单[考试日期]=表成绩单[[#This Row],[考试日期]])*(表成绩单[总分]&lt;9E+307)*(表成绩单[总分]&gt;表成绩单[[#This Row],[总分]]))+1)</f>
        <v>242</v>
      </c>
    </row>
    <row r="2653" ht="28" customHeight="1" spans="4:23">
      <c r="D2653" s="31">
        <v>46108</v>
      </c>
      <c r="E2653" s="29">
        <v>19177210</v>
      </c>
      <c r="F2653" s="29" t="s">
        <v>70</v>
      </c>
      <c r="G2653" s="29" t="s">
        <v>385</v>
      </c>
      <c r="H2653" s="29">
        <v>93</v>
      </c>
      <c r="I2653" s="29">
        <v>90</v>
      </c>
      <c r="J2653" s="29">
        <v>80.5</v>
      </c>
      <c r="K2653" s="29">
        <v>81</v>
      </c>
      <c r="L2653" s="29">
        <v>75</v>
      </c>
      <c r="M2653" s="29">
        <v>75</v>
      </c>
      <c r="N2653" s="29">
        <v>85</v>
      </c>
      <c r="O2653" s="32">
        <v>579.5</v>
      </c>
      <c r="P2653" s="29" cm="1">
        <f t="array" ref="P2653">IF(表成绩单[[#This Row],[语文]]="","",SUMPRODUCT((表成绩单[考试日期]=表成绩单[[#This Row],[考试日期]])*(表成绩单[语文]&lt;9E+307)*(表成绩单[语文]&gt;表成绩单[[#This Row],[语文]]))+1)</f>
        <v>470</v>
      </c>
      <c r="Q2653" s="29" cm="1">
        <f t="array" ref="Q2653">IF(表成绩单[[#This Row],[数学]]="","",SUMPRODUCT((表成绩单[考试日期]=表成绩单[[#This Row],[考试日期]])*(表成绩单[数学]&lt;9E+307)*(表成绩单[数学]&gt;表成绩单[[#This Row],[数学]]))+1)</f>
        <v>368</v>
      </c>
      <c r="R2653" s="29" cm="1">
        <f t="array" ref="R2653">IF(表成绩单[[#This Row],[英语]]="","",SUMPRODUCT((表成绩单[考试日期]=表成绩单[[#This Row],[考试日期]])*(表成绩单[英语]&lt;9E+307)*(表成绩单[英语]&gt;表成绩单[[#This Row],[英语]]))+1)</f>
        <v>244</v>
      </c>
      <c r="S2653" s="29" cm="1">
        <f t="array" ref="S2653">IF(表成绩单[[#This Row],[物理]]="","",SUMPRODUCT((表成绩单[考试日期]=表成绩单[[#This Row],[考试日期]])*(表成绩单[物理]&lt;9E+307)*(表成绩单[物理]&gt;表成绩单[[#This Row],[物理]]))+1)</f>
        <v>269</v>
      </c>
      <c r="T2653" s="29" cm="1">
        <f t="array" ref="T2653">IF(表成绩单[[#This Row],[化学]]="","",SUMPRODUCT((表成绩单[考试日期]=表成绩单[[#This Row],[考试日期]])*(表成绩单[化学]&lt;9E+307)*(表成绩单[化学]&gt;表成绩单[[#This Row],[化学]]))+1)</f>
        <v>96</v>
      </c>
      <c r="U2653" s="29" cm="1">
        <f t="array" ref="U2653">IF(表成绩单[[#This Row],[政治]]="","",SUMPRODUCT((表成绩单[考试日期]=表成绩单[[#This Row],[考试日期]])*(表成绩单[政治]&lt;9E+307)*(表成绩单[政治]&gt;表成绩单[[#This Row],[政治]]))+1)</f>
        <v>346</v>
      </c>
      <c r="V2653" s="29" cm="1">
        <f t="array" ref="V2653">IF(表成绩单[[#This Row],[历史]]="","",SUMPRODUCT((表成绩单[考试日期]=表成绩单[[#This Row],[考试日期]])*(表成绩单[历史]&lt;9E+307)*(表成绩单[历史]&gt;表成绩单[[#This Row],[历史]]))+1)</f>
        <v>20</v>
      </c>
      <c r="W2653" s="29" cm="1">
        <f t="array" ref="W2653">IF(表成绩单[[#This Row],[总分]]="","",SUMPRODUCT((表成绩单[考试日期]=表成绩单[[#This Row],[考试日期]])*(表成绩单[总分]&lt;9E+307)*(表成绩单[总分]&gt;表成绩单[[#This Row],[总分]]))+1)</f>
        <v>242</v>
      </c>
    </row>
    <row r="2654" ht="28" customHeight="1" spans="4:23">
      <c r="D2654" s="31">
        <v>46108</v>
      </c>
      <c r="E2654" s="29">
        <v>19177219</v>
      </c>
      <c r="F2654" s="29" t="s">
        <v>70</v>
      </c>
      <c r="G2654" s="29" t="s">
        <v>170</v>
      </c>
      <c r="H2654" s="29">
        <v>98</v>
      </c>
      <c r="I2654" s="29">
        <v>97</v>
      </c>
      <c r="J2654" s="29">
        <v>79.5</v>
      </c>
      <c r="K2654" s="29">
        <v>88</v>
      </c>
      <c r="L2654" s="29">
        <v>63</v>
      </c>
      <c r="M2654" s="29">
        <v>76</v>
      </c>
      <c r="N2654" s="29">
        <v>78</v>
      </c>
      <c r="O2654" s="32">
        <v>579.5</v>
      </c>
      <c r="P2654" s="29" cm="1">
        <f t="array" ref="P2654">IF(表成绩单[[#This Row],[语文]]="","",SUMPRODUCT((表成绩单[考试日期]=表成绩单[[#This Row],[考试日期]])*(表成绩单[语文]&lt;9E+307)*(表成绩单[语文]&gt;表成绩单[[#This Row],[语文]]))+1)</f>
        <v>322</v>
      </c>
      <c r="Q2654" s="29" cm="1">
        <f t="array" ref="Q2654">IF(表成绩单[[#This Row],[数学]]="","",SUMPRODUCT((表成绩单[考试日期]=表成绩单[[#This Row],[考试日期]])*(表成绩单[数学]&lt;9E+307)*(表成绩单[数学]&gt;表成绩单[[#This Row],[数学]]))+1)</f>
        <v>175</v>
      </c>
      <c r="R2654" s="29" cm="1">
        <f t="array" ref="R2654">IF(表成绩单[[#This Row],[英语]]="","",SUMPRODUCT((表成绩单[考试日期]=表成绩单[[#This Row],[考试日期]])*(表成绩单[英语]&lt;9E+307)*(表成绩单[英语]&gt;表成绩单[[#This Row],[英语]]))+1)</f>
        <v>286</v>
      </c>
      <c r="S2654" s="29" cm="1">
        <f t="array" ref="S2654">IF(表成绩单[[#This Row],[物理]]="","",SUMPRODUCT((表成绩单[考试日期]=表成绩单[[#This Row],[考试日期]])*(表成绩单[物理]&lt;9E+307)*(表成绩单[物理]&gt;表成绩单[[#This Row],[物理]]))+1)</f>
        <v>27</v>
      </c>
      <c r="T2654" s="29" cm="1">
        <f t="array" ref="T2654">IF(表成绩单[[#This Row],[化学]]="","",SUMPRODUCT((表成绩单[考试日期]=表成绩单[[#This Row],[考试日期]])*(表成绩单[化学]&lt;9E+307)*(表成绩单[化学]&gt;表成绩单[[#This Row],[化学]]))+1)</f>
        <v>426</v>
      </c>
      <c r="U2654" s="29" cm="1">
        <f t="array" ref="U2654">IF(表成绩单[[#This Row],[政治]]="","",SUMPRODUCT((表成绩单[考试日期]=表成绩单[[#This Row],[考试日期]])*(表成绩单[政治]&lt;9E+307)*(表成绩单[政治]&gt;表成绩单[[#This Row],[政治]]))+1)</f>
        <v>291</v>
      </c>
      <c r="V2654" s="29" cm="1">
        <f t="array" ref="V2654">IF(表成绩单[[#This Row],[历史]]="","",SUMPRODUCT((表成绩单[考试日期]=表成绩单[[#This Row],[考试日期]])*(表成绩单[历史]&lt;9E+307)*(表成绩单[历史]&gt;表成绩单[[#This Row],[历史]]))+1)</f>
        <v>222</v>
      </c>
      <c r="W2654" s="29" cm="1">
        <f t="array" ref="W2654">IF(表成绩单[[#This Row],[总分]]="","",SUMPRODUCT((表成绩单[考试日期]=表成绩单[[#This Row],[考试日期]])*(表成绩单[总分]&lt;9E+307)*(表成绩单[总分]&gt;表成绩单[[#This Row],[总分]]))+1)</f>
        <v>242</v>
      </c>
    </row>
    <row r="2655" ht="28" customHeight="1" spans="4:23">
      <c r="D2655" s="31">
        <v>46108</v>
      </c>
      <c r="E2655" s="29">
        <v>19173804</v>
      </c>
      <c r="F2655" s="29" t="s">
        <v>65</v>
      </c>
      <c r="G2655" s="29" t="s">
        <v>324</v>
      </c>
      <c r="H2655" s="29">
        <v>94</v>
      </c>
      <c r="I2655" s="29">
        <v>99</v>
      </c>
      <c r="J2655" s="29">
        <v>81</v>
      </c>
      <c r="K2655" s="29">
        <v>88</v>
      </c>
      <c r="L2655" s="29">
        <v>65</v>
      </c>
      <c r="M2655" s="29">
        <v>78</v>
      </c>
      <c r="N2655" s="29">
        <v>74</v>
      </c>
      <c r="O2655" s="32">
        <v>579</v>
      </c>
      <c r="P2655" s="29" cm="1">
        <f t="array" ref="P2655">IF(表成绩单[[#This Row],[语文]]="","",SUMPRODUCT((表成绩单[考试日期]=表成绩单[[#This Row],[考试日期]])*(表成绩单[语文]&lt;9E+307)*(表成绩单[语文]&gt;表成绩单[[#This Row],[语文]]))+1)</f>
        <v>449</v>
      </c>
      <c r="Q2655" s="29" cm="1">
        <f t="array" ref="Q2655">IF(表成绩单[[#This Row],[数学]]="","",SUMPRODUCT((表成绩单[考试日期]=表成绩单[[#This Row],[考试日期]])*(表成绩单[数学]&lt;9E+307)*(表成绩单[数学]&gt;表成绩单[[#This Row],[数学]]))+1)</f>
        <v>140</v>
      </c>
      <c r="R2655" s="29" cm="1">
        <f t="array" ref="R2655">IF(表成绩单[[#This Row],[英语]]="","",SUMPRODUCT((表成绩单[考试日期]=表成绩单[[#This Row],[考试日期]])*(表成绩单[英语]&lt;9E+307)*(表成绩单[英语]&gt;表成绩单[[#This Row],[英语]]))+1)</f>
        <v>227</v>
      </c>
      <c r="S2655" s="29" cm="1">
        <f t="array" ref="S2655">IF(表成绩单[[#This Row],[物理]]="","",SUMPRODUCT((表成绩单[考试日期]=表成绩单[[#This Row],[考试日期]])*(表成绩单[物理]&lt;9E+307)*(表成绩单[物理]&gt;表成绩单[[#This Row],[物理]]))+1)</f>
        <v>27</v>
      </c>
      <c r="T2655" s="29" cm="1">
        <f t="array" ref="T2655">IF(表成绩单[[#This Row],[化学]]="","",SUMPRODUCT((表成绩单[考试日期]=表成绩单[[#This Row],[考试日期]])*(表成绩单[化学]&lt;9E+307)*(表成绩单[化学]&gt;表成绩单[[#This Row],[化学]]))+1)</f>
        <v>379</v>
      </c>
      <c r="U2655" s="29" cm="1">
        <f t="array" ref="U2655">IF(表成绩单[[#This Row],[政治]]="","",SUMPRODUCT((表成绩单[考试日期]=表成绩单[[#This Row],[考试日期]])*(表成绩单[政治]&lt;9E+307)*(表成绩单[政治]&gt;表成绩单[[#This Row],[政治]]))+1)</f>
        <v>171</v>
      </c>
      <c r="V2655" s="29" cm="1">
        <f t="array" ref="V2655">IF(表成绩单[[#This Row],[历史]]="","",SUMPRODUCT((表成绩单[考试日期]=表成绩单[[#This Row],[考试日期]])*(表成绩单[历史]&lt;9E+307)*(表成绩单[历史]&gt;表成绩单[[#This Row],[历史]]))+1)</f>
        <v>389</v>
      </c>
      <c r="W2655" s="29" cm="1">
        <f t="array" ref="W2655">IF(表成绩单[[#This Row],[总分]]="","",SUMPRODUCT((表成绩单[考试日期]=表成绩单[[#This Row],[考试日期]])*(表成绩单[总分]&lt;9E+307)*(表成绩单[总分]&gt;表成绩单[[#This Row],[总分]]))+1)</f>
        <v>248</v>
      </c>
    </row>
    <row r="2656" ht="28" customHeight="1" spans="4:23">
      <c r="D2656" s="31">
        <v>46108</v>
      </c>
      <c r="E2656" s="29">
        <v>19174471</v>
      </c>
      <c r="F2656" s="29" t="s">
        <v>73</v>
      </c>
      <c r="G2656" s="29" t="s">
        <v>425</v>
      </c>
      <c r="H2656" s="29">
        <v>96</v>
      </c>
      <c r="I2656" s="29">
        <v>92</v>
      </c>
      <c r="J2656" s="29">
        <v>83</v>
      </c>
      <c r="K2656" s="29">
        <v>82</v>
      </c>
      <c r="L2656" s="29">
        <v>69</v>
      </c>
      <c r="M2656" s="29">
        <v>78</v>
      </c>
      <c r="N2656" s="29">
        <v>79</v>
      </c>
      <c r="O2656" s="32">
        <v>579</v>
      </c>
      <c r="P2656" s="29" cm="1">
        <f t="array" ref="P2656">IF(表成绩单[[#This Row],[语文]]="","",SUMPRODUCT((表成绩单[考试日期]=表成绩单[[#This Row],[考试日期]])*(表成绩单[语文]&lt;9E+307)*(表成绩单[语文]&gt;表成绩单[[#This Row],[语文]]))+1)</f>
        <v>390</v>
      </c>
      <c r="Q2656" s="29" cm="1">
        <f t="array" ref="Q2656">IF(表成绩单[[#This Row],[数学]]="","",SUMPRODUCT((表成绩单[考试日期]=表成绩单[[#This Row],[考试日期]])*(表成绩单[数学]&lt;9E+307)*(表成绩单[数学]&gt;表成绩单[[#This Row],[数学]]))+1)</f>
        <v>312</v>
      </c>
      <c r="R2656" s="29" cm="1">
        <f t="array" ref="R2656">IF(表成绩单[[#This Row],[英语]]="","",SUMPRODUCT((表成绩单[考试日期]=表成绩单[[#This Row],[考试日期]])*(表成绩单[英语]&lt;9E+307)*(表成绩单[英语]&gt;表成绩单[[#This Row],[英语]]))+1)</f>
        <v>134</v>
      </c>
      <c r="S2656" s="29" cm="1">
        <f t="array" ref="S2656">IF(表成绩单[[#This Row],[物理]]="","",SUMPRODUCT((表成绩单[考试日期]=表成绩单[[#This Row],[考试日期]])*(表成绩单[物理]&lt;9E+307)*(表成绩单[物理]&gt;表成绩单[[#This Row],[物理]]))+1)</f>
        <v>223</v>
      </c>
      <c r="T2656" s="29" cm="1">
        <f t="array" ref="T2656">IF(表成绩单[[#This Row],[化学]]="","",SUMPRODUCT((表成绩单[考试日期]=表成绩单[[#This Row],[考试日期]])*(表成绩单[化学]&lt;9E+307)*(表成绩单[化学]&gt;表成绩单[[#This Row],[化学]]))+1)</f>
        <v>269</v>
      </c>
      <c r="U2656" s="29" cm="1">
        <f t="array" ref="U2656">IF(表成绩单[[#This Row],[政治]]="","",SUMPRODUCT((表成绩单[考试日期]=表成绩单[[#This Row],[考试日期]])*(表成绩单[政治]&lt;9E+307)*(表成绩单[政治]&gt;表成绩单[[#This Row],[政治]]))+1)</f>
        <v>171</v>
      </c>
      <c r="V2656" s="29" cm="1">
        <f t="array" ref="V2656">IF(表成绩单[[#This Row],[历史]]="","",SUMPRODUCT((表成绩单[考试日期]=表成绩单[[#This Row],[考试日期]])*(表成绩单[历史]&lt;9E+307)*(表成绩单[历史]&gt;表成绩单[[#This Row],[历史]]))+1)</f>
        <v>173</v>
      </c>
      <c r="W2656" s="29" cm="1">
        <f t="array" ref="W2656">IF(表成绩单[[#This Row],[总分]]="","",SUMPRODUCT((表成绩单[考试日期]=表成绩单[[#This Row],[考试日期]])*(表成绩单[总分]&lt;9E+307)*(表成绩单[总分]&gt;表成绩单[[#This Row],[总分]]))+1)</f>
        <v>248</v>
      </c>
    </row>
    <row r="2657" ht="28" customHeight="1" spans="4:23">
      <c r="D2657" s="31">
        <v>46108</v>
      </c>
      <c r="E2657" s="29">
        <v>19173270</v>
      </c>
      <c r="F2657" s="29" t="s">
        <v>61</v>
      </c>
      <c r="G2657" s="29" t="s">
        <v>448</v>
      </c>
      <c r="H2657" s="29">
        <v>95</v>
      </c>
      <c r="I2657" s="29">
        <v>94</v>
      </c>
      <c r="J2657" s="29">
        <v>80.5</v>
      </c>
      <c r="K2657" s="29">
        <v>82</v>
      </c>
      <c r="L2657" s="29">
        <v>73</v>
      </c>
      <c r="M2657" s="29">
        <v>75</v>
      </c>
      <c r="N2657" s="29">
        <v>79</v>
      </c>
      <c r="O2657" s="32">
        <v>578.5</v>
      </c>
      <c r="P2657" s="29" cm="1">
        <f t="array" ref="P2657">IF(表成绩单[[#This Row],[语文]]="","",SUMPRODUCT((表成绩单[考试日期]=表成绩单[[#This Row],[考试日期]])*(表成绩单[语文]&lt;9E+307)*(表成绩单[语文]&gt;表成绩单[[#This Row],[语文]]))+1)</f>
        <v>422</v>
      </c>
      <c r="Q2657" s="29" cm="1">
        <f t="array" ref="Q2657">IF(表成绩单[[#This Row],[数学]]="","",SUMPRODUCT((表成绩单[考试日期]=表成绩单[[#This Row],[考试日期]])*(表成绩单[数学]&lt;9E+307)*(表成绩单[数学]&gt;表成绩单[[#This Row],[数学]]))+1)</f>
        <v>258</v>
      </c>
      <c r="R2657" s="29" cm="1">
        <f t="array" ref="R2657">IF(表成绩单[[#This Row],[英语]]="","",SUMPRODUCT((表成绩单[考试日期]=表成绩单[[#This Row],[考试日期]])*(表成绩单[英语]&lt;9E+307)*(表成绩单[英语]&gt;表成绩单[[#This Row],[英语]]))+1)</f>
        <v>244</v>
      </c>
      <c r="S2657" s="29" cm="1">
        <f t="array" ref="S2657">IF(表成绩单[[#This Row],[物理]]="","",SUMPRODUCT((表成绩单[考试日期]=表成绩单[[#This Row],[考试日期]])*(表成绩单[物理]&lt;9E+307)*(表成绩单[物理]&gt;表成绩单[[#This Row],[物理]]))+1)</f>
        <v>223</v>
      </c>
      <c r="T2657" s="29" cm="1">
        <f t="array" ref="T2657">IF(表成绩单[[#This Row],[化学]]="","",SUMPRODUCT((表成绩单[考试日期]=表成绩单[[#This Row],[考试日期]])*(表成绩单[化学]&lt;9E+307)*(表成绩单[化学]&gt;表成绩单[[#This Row],[化学]]))+1)</f>
        <v>152</v>
      </c>
      <c r="U2657" s="29" cm="1">
        <f t="array" ref="U2657">IF(表成绩单[[#This Row],[政治]]="","",SUMPRODUCT((表成绩单[考试日期]=表成绩单[[#This Row],[考试日期]])*(表成绩单[政治]&lt;9E+307)*(表成绩单[政治]&gt;表成绩单[[#This Row],[政治]]))+1)</f>
        <v>346</v>
      </c>
      <c r="V2657" s="29" cm="1">
        <f t="array" ref="V2657">IF(表成绩单[[#This Row],[历史]]="","",SUMPRODUCT((表成绩单[考试日期]=表成绩单[[#This Row],[考试日期]])*(表成绩单[历史]&lt;9E+307)*(表成绩单[历史]&gt;表成绩单[[#This Row],[历史]]))+1)</f>
        <v>173</v>
      </c>
      <c r="W2657" s="29" cm="1">
        <f t="array" ref="W2657">IF(表成绩单[[#This Row],[总分]]="","",SUMPRODUCT((表成绩单[考试日期]=表成绩单[[#This Row],[考试日期]])*(表成绩单[总分]&lt;9E+307)*(表成绩单[总分]&gt;表成绩单[[#This Row],[总分]]))+1)</f>
        <v>250</v>
      </c>
    </row>
    <row r="2658" ht="28" customHeight="1" spans="4:23">
      <c r="D2658" s="31">
        <v>46108</v>
      </c>
      <c r="E2658" s="29">
        <v>19174802</v>
      </c>
      <c r="F2658" s="29" t="s">
        <v>69</v>
      </c>
      <c r="G2658" s="29" t="s">
        <v>271</v>
      </c>
      <c r="H2658" s="29">
        <v>95</v>
      </c>
      <c r="I2658" s="29">
        <v>100</v>
      </c>
      <c r="J2658" s="29">
        <v>75.5</v>
      </c>
      <c r="K2658" s="29">
        <v>79</v>
      </c>
      <c r="L2658" s="29">
        <v>73</v>
      </c>
      <c r="M2658" s="29">
        <v>83</v>
      </c>
      <c r="N2658" s="29">
        <v>73</v>
      </c>
      <c r="O2658" s="32">
        <v>578.5</v>
      </c>
      <c r="P2658" s="29" cm="1">
        <f t="array" ref="P2658">IF(表成绩单[[#This Row],[语文]]="","",SUMPRODUCT((表成绩单[考试日期]=表成绩单[[#This Row],[考试日期]])*(表成绩单[语文]&lt;9E+307)*(表成绩单[语文]&gt;表成绩单[[#This Row],[语文]]))+1)</f>
        <v>422</v>
      </c>
      <c r="Q2658" s="29" cm="1">
        <f t="array" ref="Q2658">IF(表成绩单[[#This Row],[数学]]="","",SUMPRODUCT((表成绩单[考试日期]=表成绩单[[#This Row],[考试日期]])*(表成绩单[数学]&lt;9E+307)*(表成绩单[数学]&gt;表成绩单[[#This Row],[数学]]))+1)</f>
        <v>121</v>
      </c>
      <c r="R2658" s="29" cm="1">
        <f t="array" ref="R2658">IF(表成绩单[[#This Row],[英语]]="","",SUMPRODUCT((表成绩单[考试日期]=表成绩单[[#This Row],[考试日期]])*(表成绩单[英语]&lt;9E+307)*(表成绩单[英语]&gt;表成绩单[[#This Row],[英语]]))+1)</f>
        <v>421</v>
      </c>
      <c r="S2658" s="29" cm="1">
        <f t="array" ref="S2658">IF(表成绩单[[#This Row],[物理]]="","",SUMPRODUCT((表成绩单[考试日期]=表成绩单[[#This Row],[考试日期]])*(表成绩单[物理]&lt;9E+307)*(表成绩单[物理]&gt;表成绩单[[#This Row],[物理]]))+1)</f>
        <v>344</v>
      </c>
      <c r="T2658" s="29" cm="1">
        <f t="array" ref="T2658">IF(表成绩单[[#This Row],[化学]]="","",SUMPRODUCT((表成绩单[考试日期]=表成绩单[[#This Row],[考试日期]])*(表成绩单[化学]&lt;9E+307)*(表成绩单[化学]&gt;表成绩单[[#This Row],[化学]]))+1)</f>
        <v>152</v>
      </c>
      <c r="U2658" s="29" cm="1">
        <f t="array" ref="U2658">IF(表成绩单[[#This Row],[政治]]="","",SUMPRODUCT((表成绩单[考试日期]=表成绩单[[#This Row],[考试日期]])*(表成绩单[政治]&lt;9E+307)*(表成绩单[政治]&gt;表成绩单[[#This Row],[政治]]))+1)</f>
        <v>24</v>
      </c>
      <c r="V2658" s="29" cm="1">
        <f t="array" ref="V2658">IF(表成绩单[[#This Row],[历史]]="","",SUMPRODUCT((表成绩单[考试日期]=表成绩单[[#This Row],[考试日期]])*(表成绩单[历史]&lt;9E+307)*(表成绩单[历史]&gt;表成绩单[[#This Row],[历史]]))+1)</f>
        <v>432</v>
      </c>
      <c r="W2658" s="29" cm="1">
        <f t="array" ref="W2658">IF(表成绩单[[#This Row],[总分]]="","",SUMPRODUCT((表成绩单[考试日期]=表成绩单[[#This Row],[考试日期]])*(表成绩单[总分]&lt;9E+307)*(表成绩单[总分]&gt;表成绩单[[#This Row],[总分]]))+1)</f>
        <v>250</v>
      </c>
    </row>
    <row r="2659" ht="28" customHeight="1" spans="4:23">
      <c r="D2659" s="31">
        <v>46108</v>
      </c>
      <c r="E2659" s="29">
        <v>19176011</v>
      </c>
      <c r="F2659" s="29" t="s">
        <v>59</v>
      </c>
      <c r="G2659" s="29" t="s">
        <v>455</v>
      </c>
      <c r="H2659" s="29">
        <v>98</v>
      </c>
      <c r="I2659" s="29">
        <v>92</v>
      </c>
      <c r="J2659" s="29">
        <v>82.5</v>
      </c>
      <c r="K2659" s="29">
        <v>78</v>
      </c>
      <c r="L2659" s="29">
        <v>66</v>
      </c>
      <c r="M2659" s="29">
        <v>81</v>
      </c>
      <c r="N2659" s="29">
        <v>81</v>
      </c>
      <c r="O2659" s="32">
        <v>578.5</v>
      </c>
      <c r="P2659" s="29" cm="1">
        <f t="array" ref="P2659">IF(表成绩单[[#This Row],[语文]]="","",SUMPRODUCT((表成绩单[考试日期]=表成绩单[[#This Row],[考试日期]])*(表成绩单[语文]&lt;9E+307)*(表成绩单[语文]&gt;表成绩单[[#This Row],[语文]]))+1)</f>
        <v>322</v>
      </c>
      <c r="Q2659" s="29" cm="1">
        <f t="array" ref="Q2659">IF(表成绩单[[#This Row],[数学]]="","",SUMPRODUCT((表成绩单[考试日期]=表成绩单[[#This Row],[考试日期]])*(表成绩单[数学]&lt;9E+307)*(表成绩单[数学]&gt;表成绩单[[#This Row],[数学]]))+1)</f>
        <v>312</v>
      </c>
      <c r="R2659" s="29" cm="1">
        <f t="array" ref="R2659">IF(表成绩单[[#This Row],[英语]]="","",SUMPRODUCT((表成绩单[考试日期]=表成绩单[[#This Row],[考试日期]])*(表成绩单[英语]&lt;9E+307)*(表成绩单[英语]&gt;表成绩单[[#This Row],[英语]]))+1)</f>
        <v>156</v>
      </c>
      <c r="S2659" s="29" cm="1">
        <f t="array" ref="S2659">IF(表成绩单[[#This Row],[物理]]="","",SUMPRODUCT((表成绩单[考试日期]=表成绩单[[#This Row],[考试日期]])*(表成绩单[物理]&lt;9E+307)*(表成绩单[物理]&gt;表成绩单[[#This Row],[物理]]))+1)</f>
        <v>365</v>
      </c>
      <c r="T2659" s="29" cm="1">
        <f t="array" ref="T2659">IF(表成绩单[[#This Row],[化学]]="","",SUMPRODUCT((表成绩单[考试日期]=表成绩单[[#This Row],[考试日期]])*(表成绩单[化学]&lt;9E+307)*(表成绩单[化学]&gt;表成绩单[[#This Row],[化学]]))+1)</f>
        <v>359</v>
      </c>
      <c r="U2659" s="29" cm="1">
        <f t="array" ref="U2659">IF(表成绩单[[#This Row],[政治]]="","",SUMPRODUCT((表成绩单[考试日期]=表成绩单[[#This Row],[考试日期]])*(表成绩单[政治]&lt;9E+307)*(表成绩单[政治]&gt;表成绩单[[#This Row],[政治]]))+1)</f>
        <v>68</v>
      </c>
      <c r="V2659" s="29" cm="1">
        <f t="array" ref="V2659">IF(表成绩单[[#This Row],[历史]]="","",SUMPRODUCT((表成绩单[考试日期]=表成绩单[[#This Row],[考试日期]])*(表成绩单[历史]&lt;9E+307)*(表成绩单[历史]&gt;表成绩单[[#This Row],[历史]]))+1)</f>
        <v>106</v>
      </c>
      <c r="W2659" s="29" cm="1">
        <f t="array" ref="W2659">IF(表成绩单[[#This Row],[总分]]="","",SUMPRODUCT((表成绩单[考试日期]=表成绩单[[#This Row],[考试日期]])*(表成绩单[总分]&lt;9E+307)*(表成绩单[总分]&gt;表成绩单[[#This Row],[总分]]))+1)</f>
        <v>250</v>
      </c>
    </row>
    <row r="2660" ht="28" customHeight="1" spans="4:23">
      <c r="D2660" s="31">
        <v>46108</v>
      </c>
      <c r="E2660" s="29">
        <v>19176895</v>
      </c>
      <c r="F2660" s="29" t="s">
        <v>71</v>
      </c>
      <c r="G2660" s="29" t="s">
        <v>231</v>
      </c>
      <c r="H2660" s="29">
        <v>98</v>
      </c>
      <c r="I2660" s="29">
        <v>99</v>
      </c>
      <c r="J2660" s="29">
        <v>82.5</v>
      </c>
      <c r="K2660" s="29">
        <v>87</v>
      </c>
      <c r="L2660" s="29">
        <v>67</v>
      </c>
      <c r="M2660" s="29">
        <v>73</v>
      </c>
      <c r="N2660" s="29">
        <v>72</v>
      </c>
      <c r="O2660" s="32">
        <v>578.5</v>
      </c>
      <c r="P2660" s="29" cm="1">
        <f t="array" ref="P2660">IF(表成绩单[[#This Row],[语文]]="","",SUMPRODUCT((表成绩单[考试日期]=表成绩单[[#This Row],[考试日期]])*(表成绩单[语文]&lt;9E+307)*(表成绩单[语文]&gt;表成绩单[[#This Row],[语文]]))+1)</f>
        <v>322</v>
      </c>
      <c r="Q2660" s="29" cm="1">
        <f t="array" ref="Q2660">IF(表成绩单[[#This Row],[数学]]="","",SUMPRODUCT((表成绩单[考试日期]=表成绩单[[#This Row],[考试日期]])*(表成绩单[数学]&lt;9E+307)*(表成绩单[数学]&gt;表成绩单[[#This Row],[数学]]))+1)</f>
        <v>140</v>
      </c>
      <c r="R2660" s="29" cm="1">
        <f t="array" ref="R2660">IF(表成绩单[[#This Row],[英语]]="","",SUMPRODUCT((表成绩单[考试日期]=表成绩单[[#This Row],[考试日期]])*(表成绩单[英语]&lt;9E+307)*(表成绩单[英语]&gt;表成绩单[[#This Row],[英语]]))+1)</f>
        <v>156</v>
      </c>
      <c r="S2660" s="29" cm="1">
        <f t="array" ref="S2660">IF(表成绩单[[#This Row],[物理]]="","",SUMPRODUCT((表成绩单[考试日期]=表成绩单[[#This Row],[考试日期]])*(表成绩单[物理]&lt;9E+307)*(表成绩单[物理]&gt;表成绩单[[#This Row],[物理]]))+1)</f>
        <v>49</v>
      </c>
      <c r="T2660" s="29" cm="1">
        <f t="array" ref="T2660">IF(表成绩单[[#This Row],[化学]]="","",SUMPRODUCT((表成绩单[考试日期]=表成绩单[[#This Row],[考试日期]])*(表成绩单[化学]&lt;9E+307)*(表成绩单[化学]&gt;表成绩单[[#This Row],[化学]]))+1)</f>
        <v>335</v>
      </c>
      <c r="U2660" s="29" cm="1">
        <f t="array" ref="U2660">IF(表成绩单[[#This Row],[政治]]="","",SUMPRODUCT((表成绩单[考试日期]=表成绩单[[#This Row],[考试日期]])*(表成绩单[政治]&lt;9E+307)*(表成绩单[政治]&gt;表成绩单[[#This Row],[政治]]))+1)</f>
        <v>431</v>
      </c>
      <c r="V2660" s="29" cm="1">
        <f t="array" ref="V2660">IF(表成绩单[[#This Row],[历史]]="","",SUMPRODUCT((表成绩单[考试日期]=表成绩单[[#This Row],[考试日期]])*(表成绩单[历史]&lt;9E+307)*(表成绩单[历史]&gt;表成绩单[[#This Row],[历史]]))+1)</f>
        <v>470</v>
      </c>
      <c r="W2660" s="29" cm="1">
        <f t="array" ref="W2660">IF(表成绩单[[#This Row],[总分]]="","",SUMPRODUCT((表成绩单[考试日期]=表成绩单[[#This Row],[考试日期]])*(表成绩单[总分]&lt;9E+307)*(表成绩单[总分]&gt;表成绩单[[#This Row],[总分]]))+1)</f>
        <v>250</v>
      </c>
    </row>
    <row r="2661" ht="28" customHeight="1" spans="4:23">
      <c r="D2661" s="31">
        <v>46108</v>
      </c>
      <c r="E2661" s="29">
        <v>19178582</v>
      </c>
      <c r="F2661" s="29" t="s">
        <v>64</v>
      </c>
      <c r="G2661" s="29" t="s">
        <v>475</v>
      </c>
      <c r="H2661" s="29">
        <v>117</v>
      </c>
      <c r="I2661" s="29">
        <v>96</v>
      </c>
      <c r="J2661" s="29">
        <v>81.5</v>
      </c>
      <c r="K2661" s="29">
        <v>83</v>
      </c>
      <c r="L2661" s="29">
        <v>57</v>
      </c>
      <c r="M2661" s="29">
        <v>72</v>
      </c>
      <c r="N2661" s="29">
        <v>72</v>
      </c>
      <c r="O2661" s="32">
        <v>578.5</v>
      </c>
      <c r="P2661" s="29" cm="1">
        <f t="array" ref="P2661">IF(表成绩单[[#This Row],[语文]]="","",SUMPRODUCT((表成绩单[考试日期]=表成绩单[[#This Row],[考试日期]])*(表成绩单[语文]&lt;9E+307)*(表成绩单[语文]&gt;表成绩单[[#This Row],[语文]]))+1)</f>
        <v>1</v>
      </c>
      <c r="Q2661" s="29" cm="1">
        <f t="array" ref="Q2661">IF(表成绩单[[#This Row],[数学]]="","",SUMPRODUCT((表成绩单[考试日期]=表成绩单[[#This Row],[考试日期]])*(表成绩单[数学]&lt;9E+307)*(表成绩单[数学]&gt;表成绩单[[#This Row],[数学]]))+1)</f>
        <v>202</v>
      </c>
      <c r="R2661" s="29" cm="1">
        <f t="array" ref="R2661">IF(表成绩单[[#This Row],[英语]]="","",SUMPRODUCT((表成绩单[考试日期]=表成绩单[[#This Row],[考试日期]])*(表成绩单[英语]&lt;9E+307)*(表成绩单[英语]&gt;表成绩单[[#This Row],[英语]]))+1)</f>
        <v>203</v>
      </c>
      <c r="S2661" s="29" cm="1">
        <f t="array" ref="S2661">IF(表成绩单[[#This Row],[物理]]="","",SUMPRODUCT((表成绩单[考试日期]=表成绩单[[#This Row],[考试日期]])*(表成绩单[物理]&lt;9E+307)*(表成绩单[物理]&gt;表成绩单[[#This Row],[物理]]))+1)</f>
        <v>184</v>
      </c>
      <c r="T2661" s="29" cm="1">
        <f t="array" ref="T2661">IF(表成绩单[[#This Row],[化学]]="","",SUMPRODUCT((表成绩单[考试日期]=表成绩单[[#This Row],[考试日期]])*(表成绩单[化学]&lt;9E+307)*(表成绩单[化学]&gt;表成绩单[[#This Row],[化学]]))+1)</f>
        <v>552</v>
      </c>
      <c r="U2661" s="29" cm="1">
        <f t="array" ref="U2661">IF(表成绩单[[#This Row],[政治]]="","",SUMPRODUCT((表成绩单[考试日期]=表成绩单[[#This Row],[考试日期]])*(表成绩单[政治]&lt;9E+307)*(表成绩单[政治]&gt;表成绩单[[#This Row],[政治]]))+1)</f>
        <v>470</v>
      </c>
      <c r="V2661" s="29" cm="1">
        <f t="array" ref="V2661">IF(表成绩单[[#This Row],[历史]]="","",SUMPRODUCT((表成绩单[考试日期]=表成绩单[[#This Row],[考试日期]])*(表成绩单[历史]&lt;9E+307)*(表成绩单[历史]&gt;表成绩单[[#This Row],[历史]]))+1)</f>
        <v>470</v>
      </c>
      <c r="W2661" s="29" cm="1">
        <f t="array" ref="W2661">IF(表成绩单[[#This Row],[总分]]="","",SUMPRODUCT((表成绩单[考试日期]=表成绩单[[#This Row],[考试日期]])*(表成绩单[总分]&lt;9E+307)*(表成绩单[总分]&gt;表成绩单[[#This Row],[总分]]))+1)</f>
        <v>250</v>
      </c>
    </row>
    <row r="2662" ht="28" customHeight="1" spans="4:23">
      <c r="D2662" s="31">
        <v>46108</v>
      </c>
      <c r="E2662" s="29">
        <v>19173277</v>
      </c>
      <c r="F2662" s="29" t="s">
        <v>61</v>
      </c>
      <c r="G2662" s="29" t="s">
        <v>387</v>
      </c>
      <c r="H2662" s="29">
        <v>95</v>
      </c>
      <c r="I2662" s="29">
        <v>98</v>
      </c>
      <c r="J2662" s="29">
        <v>77</v>
      </c>
      <c r="K2662" s="29">
        <v>85</v>
      </c>
      <c r="L2662" s="29">
        <v>73</v>
      </c>
      <c r="M2662" s="29">
        <v>72</v>
      </c>
      <c r="N2662" s="29">
        <v>78</v>
      </c>
      <c r="O2662" s="32">
        <v>578</v>
      </c>
      <c r="P2662" s="29" cm="1">
        <f t="array" ref="P2662">IF(表成绩单[[#This Row],[语文]]="","",SUMPRODUCT((表成绩单[考试日期]=表成绩单[[#This Row],[考试日期]])*(表成绩单[语文]&lt;9E+307)*(表成绩单[语文]&gt;表成绩单[[#This Row],[语文]]))+1)</f>
        <v>422</v>
      </c>
      <c r="Q2662" s="29" cm="1">
        <f t="array" ref="Q2662">IF(表成绩单[[#This Row],[数学]]="","",SUMPRODUCT((表成绩单[考试日期]=表成绩单[[#This Row],[考试日期]])*(表成绩单[数学]&lt;9E+307)*(表成绩单[数学]&gt;表成绩单[[#This Row],[数学]]))+1)</f>
        <v>158</v>
      </c>
      <c r="R2662" s="29" cm="1">
        <f t="array" ref="R2662">IF(表成绩单[[#This Row],[英语]]="","",SUMPRODUCT((表成绩单[考试日期]=表成绩单[[#This Row],[考试日期]])*(表成绩单[英语]&lt;9E+307)*(表成绩单[英语]&gt;表成绩单[[#This Row],[英语]]))+1)</f>
        <v>370</v>
      </c>
      <c r="S2662" s="29" cm="1">
        <f t="array" ref="S2662">IF(表成绩单[[#This Row],[物理]]="","",SUMPRODUCT((表成绩单[考试日期]=表成绩单[[#This Row],[考试日期]])*(表成绩单[物理]&lt;9E+307)*(表成绩单[物理]&gt;表成绩单[[#This Row],[物理]]))+1)</f>
        <v>105</v>
      </c>
      <c r="T2662" s="29" cm="1">
        <f t="array" ref="T2662">IF(表成绩单[[#This Row],[化学]]="","",SUMPRODUCT((表成绩单[考试日期]=表成绩单[[#This Row],[考试日期]])*(表成绩单[化学]&lt;9E+307)*(表成绩单[化学]&gt;表成绩单[[#This Row],[化学]]))+1)</f>
        <v>152</v>
      </c>
      <c r="U2662" s="29" cm="1">
        <f t="array" ref="U2662">IF(表成绩单[[#This Row],[政治]]="","",SUMPRODUCT((表成绩单[考试日期]=表成绩单[[#This Row],[考试日期]])*(表成绩单[政治]&lt;9E+307)*(表成绩单[政治]&gt;表成绩单[[#This Row],[政治]]))+1)</f>
        <v>470</v>
      </c>
      <c r="V2662" s="29" cm="1">
        <f t="array" ref="V2662">IF(表成绩单[[#This Row],[历史]]="","",SUMPRODUCT((表成绩单[考试日期]=表成绩单[[#This Row],[考试日期]])*(表成绩单[历史]&lt;9E+307)*(表成绩单[历史]&gt;表成绩单[[#This Row],[历史]]))+1)</f>
        <v>222</v>
      </c>
      <c r="W2662" s="29" cm="1">
        <f t="array" ref="W2662">IF(表成绩单[[#This Row],[总分]]="","",SUMPRODUCT((表成绩单[考试日期]=表成绩单[[#This Row],[考试日期]])*(表成绩单[总分]&lt;9E+307)*(表成绩单[总分]&gt;表成绩单[[#This Row],[总分]]))+1)</f>
        <v>255</v>
      </c>
    </row>
    <row r="2663" ht="28" customHeight="1" spans="4:23">
      <c r="D2663" s="31">
        <v>46108</v>
      </c>
      <c r="E2663" s="29">
        <v>19173538</v>
      </c>
      <c r="F2663" s="29" t="s">
        <v>1</v>
      </c>
      <c r="G2663" s="29" t="s">
        <v>535</v>
      </c>
      <c r="H2663" s="29">
        <v>104</v>
      </c>
      <c r="I2663" s="29">
        <v>103</v>
      </c>
      <c r="J2663" s="29">
        <v>82</v>
      </c>
      <c r="K2663" s="29">
        <v>77</v>
      </c>
      <c r="L2663" s="29">
        <v>63</v>
      </c>
      <c r="M2663" s="29">
        <v>71</v>
      </c>
      <c r="N2663" s="29">
        <v>78</v>
      </c>
      <c r="O2663" s="32">
        <v>578</v>
      </c>
      <c r="P2663" s="29" cm="1">
        <f t="array" ref="P2663">IF(表成绩单[[#This Row],[语文]]="","",SUMPRODUCT((表成绩单[考试日期]=表成绩单[[#This Row],[考试日期]])*(表成绩单[语文]&lt;9E+307)*(表成绩单[语文]&gt;表成绩单[[#This Row],[语文]]))+1)</f>
        <v>131</v>
      </c>
      <c r="Q2663" s="29" cm="1">
        <f t="array" ref="Q2663">IF(表成绩单[[#This Row],[数学]]="","",SUMPRODUCT((表成绩单[考试日期]=表成绩单[[#This Row],[考试日期]])*(表成绩单[数学]&lt;9E+307)*(表成绩单[数学]&gt;表成绩单[[#This Row],[数学]]))+1)</f>
        <v>87</v>
      </c>
      <c r="R2663" s="29" cm="1">
        <f t="array" ref="R2663">IF(表成绩单[[#This Row],[英语]]="","",SUMPRODUCT((表成绩单[考试日期]=表成绩单[[#This Row],[考试日期]])*(表成绩单[英语]&lt;9E+307)*(表成绩单[英语]&gt;表成绩单[[#This Row],[英语]]))+1)</f>
        <v>180</v>
      </c>
      <c r="S2663" s="29" cm="1">
        <f t="array" ref="S2663">IF(表成绩单[[#This Row],[物理]]="","",SUMPRODUCT((表成绩单[考试日期]=表成绩单[[#This Row],[考试日期]])*(表成绩单[物理]&lt;9E+307)*(表成绩单[物理]&gt;表成绩单[[#This Row],[物理]]))+1)</f>
        <v>400</v>
      </c>
      <c r="T2663" s="29" cm="1">
        <f t="array" ref="T2663">IF(表成绩单[[#This Row],[化学]]="","",SUMPRODUCT((表成绩单[考试日期]=表成绩单[[#This Row],[考试日期]])*(表成绩单[化学]&lt;9E+307)*(表成绩单[化学]&gt;表成绩单[[#This Row],[化学]]))+1)</f>
        <v>426</v>
      </c>
      <c r="U2663" s="29" cm="1">
        <f t="array" ref="U2663">IF(表成绩单[[#This Row],[政治]]="","",SUMPRODUCT((表成绩单[考试日期]=表成绩单[[#This Row],[考试日期]])*(表成绩单[政治]&lt;9E+307)*(表成绩单[政治]&gt;表成绩单[[#This Row],[政治]]))+1)</f>
        <v>513</v>
      </c>
      <c r="V2663" s="29" cm="1">
        <f t="array" ref="V2663">IF(表成绩单[[#This Row],[历史]]="","",SUMPRODUCT((表成绩单[考试日期]=表成绩单[[#This Row],[考试日期]])*(表成绩单[历史]&lt;9E+307)*(表成绩单[历史]&gt;表成绩单[[#This Row],[历史]]))+1)</f>
        <v>222</v>
      </c>
      <c r="W2663" s="29" cm="1">
        <f t="array" ref="W2663">IF(表成绩单[[#This Row],[总分]]="","",SUMPRODUCT((表成绩单[考试日期]=表成绩单[[#This Row],[考试日期]])*(表成绩单[总分]&lt;9E+307)*(表成绩单[总分]&gt;表成绩单[[#This Row],[总分]]))+1)</f>
        <v>255</v>
      </c>
    </row>
    <row r="2664" ht="28" customHeight="1" spans="4:23">
      <c r="D2664" s="31">
        <v>46108</v>
      </c>
      <c r="E2664" s="29">
        <v>19175411</v>
      </c>
      <c r="F2664" s="29" t="s">
        <v>74</v>
      </c>
      <c r="G2664" s="29" t="s">
        <v>427</v>
      </c>
      <c r="H2664" s="29">
        <v>97</v>
      </c>
      <c r="I2664" s="29">
        <v>99</v>
      </c>
      <c r="J2664" s="29">
        <v>75</v>
      </c>
      <c r="K2664" s="29">
        <v>80</v>
      </c>
      <c r="L2664" s="29">
        <v>73</v>
      </c>
      <c r="M2664" s="29">
        <v>78</v>
      </c>
      <c r="N2664" s="29">
        <v>76</v>
      </c>
      <c r="O2664" s="32">
        <v>578</v>
      </c>
      <c r="P2664" s="29" cm="1">
        <f t="array" ref="P2664">IF(表成绩单[[#This Row],[语文]]="","",SUMPRODUCT((表成绩单[考试日期]=表成绩单[[#This Row],[考试日期]])*(表成绩单[语文]&lt;9E+307)*(表成绩单[语文]&gt;表成绩单[[#This Row],[语文]]))+1)</f>
        <v>357</v>
      </c>
      <c r="Q2664" s="29" cm="1">
        <f t="array" ref="Q2664">IF(表成绩单[[#This Row],[数学]]="","",SUMPRODUCT((表成绩单[考试日期]=表成绩单[[#This Row],[考试日期]])*(表成绩单[数学]&lt;9E+307)*(表成绩单[数学]&gt;表成绩单[[#This Row],[数学]]))+1)</f>
        <v>140</v>
      </c>
      <c r="R2664" s="29" cm="1">
        <f t="array" ref="R2664">IF(表成绩单[[#This Row],[英语]]="","",SUMPRODUCT((表成绩单[考试日期]=表成绩单[[#This Row],[考试日期]])*(表成绩单[英语]&lt;9E+307)*(表成绩单[英语]&gt;表成绩单[[#This Row],[英语]]))+1)</f>
        <v>444</v>
      </c>
      <c r="S2664" s="29" cm="1">
        <f t="array" ref="S2664">IF(表成绩单[[#This Row],[物理]]="","",SUMPRODUCT((表成绩单[考试日期]=表成绩单[[#This Row],[考试日期]])*(表成绩单[物理]&lt;9E+307)*(表成绩单[物理]&gt;表成绩单[[#This Row],[物理]]))+1)</f>
        <v>305</v>
      </c>
      <c r="T2664" s="29" cm="1">
        <f t="array" ref="T2664">IF(表成绩单[[#This Row],[化学]]="","",SUMPRODUCT((表成绩单[考试日期]=表成绩单[[#This Row],[考试日期]])*(表成绩单[化学]&lt;9E+307)*(表成绩单[化学]&gt;表成绩单[[#This Row],[化学]]))+1)</f>
        <v>152</v>
      </c>
      <c r="U2664" s="29" cm="1">
        <f t="array" ref="U2664">IF(表成绩单[[#This Row],[政治]]="","",SUMPRODUCT((表成绩单[考试日期]=表成绩单[[#This Row],[考试日期]])*(表成绩单[政治]&lt;9E+307)*(表成绩单[政治]&gt;表成绩单[[#This Row],[政治]]))+1)</f>
        <v>171</v>
      </c>
      <c r="V2664" s="29" cm="1">
        <f t="array" ref="V2664">IF(表成绩单[[#This Row],[历史]]="","",SUMPRODUCT((表成绩单[考试日期]=表成绩单[[#This Row],[考试日期]])*(表成绩单[历史]&lt;9E+307)*(表成绩单[历史]&gt;表成绩单[[#This Row],[历史]]))+1)</f>
        <v>316</v>
      </c>
      <c r="W2664" s="29" cm="1">
        <f t="array" ref="W2664">IF(表成绩单[[#This Row],[总分]]="","",SUMPRODUCT((表成绩单[考试日期]=表成绩单[[#This Row],[考试日期]])*(表成绩单[总分]&lt;9E+307)*(表成绩单[总分]&gt;表成绩单[[#This Row],[总分]]))+1)</f>
        <v>255</v>
      </c>
    </row>
    <row r="2665" ht="28" customHeight="1" spans="4:23">
      <c r="D2665" s="31">
        <v>46108</v>
      </c>
      <c r="E2665" s="29">
        <v>19176898</v>
      </c>
      <c r="F2665" s="29" t="s">
        <v>71</v>
      </c>
      <c r="G2665" s="29" t="s">
        <v>396</v>
      </c>
      <c r="H2665" s="29">
        <v>98</v>
      </c>
      <c r="I2665" s="29">
        <v>91</v>
      </c>
      <c r="J2665" s="29">
        <v>85</v>
      </c>
      <c r="K2665" s="29">
        <v>81</v>
      </c>
      <c r="L2665" s="29">
        <v>75</v>
      </c>
      <c r="M2665" s="29">
        <v>78</v>
      </c>
      <c r="N2665" s="29">
        <v>70</v>
      </c>
      <c r="O2665" s="32">
        <v>578</v>
      </c>
      <c r="P2665" s="29" cm="1">
        <f t="array" ref="P2665">IF(表成绩单[[#This Row],[语文]]="","",SUMPRODUCT((表成绩单[考试日期]=表成绩单[[#This Row],[考试日期]])*(表成绩单[语文]&lt;9E+307)*(表成绩单[语文]&gt;表成绩单[[#This Row],[语文]]))+1)</f>
        <v>322</v>
      </c>
      <c r="Q2665" s="29" cm="1">
        <f t="array" ref="Q2665">IF(表成绩单[[#This Row],[数学]]="","",SUMPRODUCT((表成绩单[考试日期]=表成绩单[[#This Row],[考试日期]])*(表成绩单[数学]&lt;9E+307)*(表成绩单[数学]&gt;表成绩单[[#This Row],[数学]]))+1)</f>
        <v>341</v>
      </c>
      <c r="R2665" s="29" cm="1">
        <f t="array" ref="R2665">IF(表成绩单[[#This Row],[英语]]="","",SUMPRODUCT((表成绩单[考试日期]=表成绩单[[#This Row],[考试日期]])*(表成绩单[英语]&lt;9E+307)*(表成绩单[英语]&gt;表成绩单[[#This Row],[英语]]))+1)</f>
        <v>59</v>
      </c>
      <c r="S2665" s="29" cm="1">
        <f t="array" ref="S2665">IF(表成绩单[[#This Row],[物理]]="","",SUMPRODUCT((表成绩单[考试日期]=表成绩单[[#This Row],[考试日期]])*(表成绩单[物理]&lt;9E+307)*(表成绩单[物理]&gt;表成绩单[[#This Row],[物理]]))+1)</f>
        <v>269</v>
      </c>
      <c r="T2665" s="29" cm="1">
        <f t="array" ref="T2665">IF(表成绩单[[#This Row],[化学]]="","",SUMPRODUCT((表成绩单[考试日期]=表成绩单[[#This Row],[考试日期]])*(表成绩单[化学]&lt;9E+307)*(表成绩单[化学]&gt;表成绩单[[#This Row],[化学]]))+1)</f>
        <v>96</v>
      </c>
      <c r="U2665" s="29" cm="1">
        <f t="array" ref="U2665">IF(表成绩单[[#This Row],[政治]]="","",SUMPRODUCT((表成绩单[考试日期]=表成绩单[[#This Row],[考试日期]])*(表成绩单[政治]&lt;9E+307)*(表成绩单[政治]&gt;表成绩单[[#This Row],[政治]]))+1)</f>
        <v>171</v>
      </c>
      <c r="V2665" s="29" cm="1">
        <f t="array" ref="V2665">IF(表成绩单[[#This Row],[历史]]="","",SUMPRODUCT((表成绩单[考试日期]=表成绩单[[#This Row],[考试日期]])*(表成绩单[历史]&lt;9E+307)*(表成绩单[历史]&gt;表成绩单[[#This Row],[历史]]))+1)</f>
        <v>539</v>
      </c>
      <c r="W2665" s="29" cm="1">
        <f t="array" ref="W2665">IF(表成绩单[[#This Row],[总分]]="","",SUMPRODUCT((表成绩单[考试日期]=表成绩单[[#This Row],[考试日期]])*(表成绩单[总分]&lt;9E+307)*(表成绩单[总分]&gt;表成绩单[[#This Row],[总分]]))+1)</f>
        <v>255</v>
      </c>
    </row>
    <row r="2666" ht="28" customHeight="1" spans="4:23">
      <c r="D2666" s="31">
        <v>46108</v>
      </c>
      <c r="E2666" s="29">
        <v>19178634</v>
      </c>
      <c r="F2666" s="29" t="s">
        <v>25</v>
      </c>
      <c r="G2666" s="29" t="s">
        <v>322</v>
      </c>
      <c r="H2666" s="29">
        <v>106</v>
      </c>
      <c r="I2666" s="29">
        <v>93</v>
      </c>
      <c r="J2666" s="29">
        <v>84</v>
      </c>
      <c r="K2666" s="29">
        <v>77</v>
      </c>
      <c r="L2666" s="29">
        <v>64</v>
      </c>
      <c r="M2666" s="29">
        <v>76</v>
      </c>
      <c r="N2666" s="29">
        <v>78</v>
      </c>
      <c r="O2666" s="32">
        <v>578</v>
      </c>
      <c r="P2666" s="29" cm="1">
        <f t="array" ref="P2666">IF(表成绩单[[#This Row],[语文]]="","",SUMPRODUCT((表成绩单[考试日期]=表成绩单[[#This Row],[考试日期]])*(表成绩单[语文]&lt;9E+307)*(表成绩单[语文]&gt;表成绩单[[#This Row],[语文]]))+1)</f>
        <v>85</v>
      </c>
      <c r="Q2666" s="29" cm="1">
        <f t="array" ref="Q2666">IF(表成绩单[[#This Row],[数学]]="","",SUMPRODUCT((表成绩单[考试日期]=表成绩单[[#This Row],[考试日期]])*(表成绩单[数学]&lt;9E+307)*(表成绩单[数学]&gt;表成绩单[[#This Row],[数学]]))+1)</f>
        <v>289</v>
      </c>
      <c r="R2666" s="29" cm="1">
        <f t="array" ref="R2666">IF(表成绩单[[#This Row],[英语]]="","",SUMPRODUCT((表成绩单[考试日期]=表成绩单[[#This Row],[考试日期]])*(表成绩单[英语]&lt;9E+307)*(表成绩单[英语]&gt;表成绩单[[#This Row],[英语]]))+1)</f>
        <v>100</v>
      </c>
      <c r="S2666" s="29" cm="1">
        <f t="array" ref="S2666">IF(表成绩单[[#This Row],[物理]]="","",SUMPRODUCT((表成绩单[考试日期]=表成绩单[[#This Row],[考试日期]])*(表成绩单[物理]&lt;9E+307)*(表成绩单[物理]&gt;表成绩单[[#This Row],[物理]]))+1)</f>
        <v>400</v>
      </c>
      <c r="T2666" s="29" cm="1">
        <f t="array" ref="T2666">IF(表成绩单[[#This Row],[化学]]="","",SUMPRODUCT((表成绩单[考试日期]=表成绩单[[#This Row],[考试日期]])*(表成绩单[化学]&lt;9E+307)*(表成绩单[化学]&gt;表成绩单[[#This Row],[化学]]))+1)</f>
        <v>400</v>
      </c>
      <c r="U2666" s="29" cm="1">
        <f t="array" ref="U2666">IF(表成绩单[[#This Row],[政治]]="","",SUMPRODUCT((表成绩单[考试日期]=表成绩单[[#This Row],[考试日期]])*(表成绩单[政治]&lt;9E+307)*(表成绩单[政治]&gt;表成绩单[[#This Row],[政治]]))+1)</f>
        <v>291</v>
      </c>
      <c r="V2666" s="29" cm="1">
        <f t="array" ref="V2666">IF(表成绩单[[#This Row],[历史]]="","",SUMPRODUCT((表成绩单[考试日期]=表成绩单[[#This Row],[考试日期]])*(表成绩单[历史]&lt;9E+307)*(表成绩单[历史]&gt;表成绩单[[#This Row],[历史]]))+1)</f>
        <v>222</v>
      </c>
      <c r="W2666" s="29" cm="1">
        <f t="array" ref="W2666">IF(表成绩单[[#This Row],[总分]]="","",SUMPRODUCT((表成绩单[考试日期]=表成绩单[[#This Row],[考试日期]])*(表成绩单[总分]&lt;9E+307)*(表成绩单[总分]&gt;表成绩单[[#This Row],[总分]]))+1)</f>
        <v>255</v>
      </c>
    </row>
    <row r="2667" ht="28" customHeight="1" spans="4:23">
      <c r="D2667" s="31">
        <v>46108</v>
      </c>
      <c r="E2667" s="29">
        <v>19175635</v>
      </c>
      <c r="F2667" s="29" t="s">
        <v>66</v>
      </c>
      <c r="G2667" s="29" t="s">
        <v>382</v>
      </c>
      <c r="H2667" s="29">
        <v>95</v>
      </c>
      <c r="I2667" s="29">
        <v>99</v>
      </c>
      <c r="J2667" s="29">
        <v>78.5</v>
      </c>
      <c r="K2667" s="29">
        <v>83</v>
      </c>
      <c r="L2667" s="29">
        <v>80</v>
      </c>
      <c r="M2667" s="29">
        <v>69</v>
      </c>
      <c r="N2667" s="29">
        <v>73</v>
      </c>
      <c r="O2667" s="32">
        <v>577.5</v>
      </c>
      <c r="P2667" s="29" cm="1">
        <f t="array" ref="P2667">IF(表成绩单[[#This Row],[语文]]="","",SUMPRODUCT((表成绩单[考试日期]=表成绩单[[#This Row],[考试日期]])*(表成绩单[语文]&lt;9E+307)*(表成绩单[语文]&gt;表成绩单[[#This Row],[语文]]))+1)</f>
        <v>422</v>
      </c>
      <c r="Q2667" s="29" cm="1">
        <f t="array" ref="Q2667">IF(表成绩单[[#This Row],[数学]]="","",SUMPRODUCT((表成绩单[考试日期]=表成绩单[[#This Row],[考试日期]])*(表成绩单[数学]&lt;9E+307)*(表成绩单[数学]&gt;表成绩单[[#This Row],[数学]]))+1)</f>
        <v>140</v>
      </c>
      <c r="R2667" s="29" cm="1">
        <f t="array" ref="R2667">IF(表成绩单[[#This Row],[英语]]="","",SUMPRODUCT((表成绩单[考试日期]=表成绩单[[#This Row],[考试日期]])*(表成绩单[英语]&lt;9E+307)*(表成绩单[英语]&gt;表成绩单[[#This Row],[英语]]))+1)</f>
        <v>322</v>
      </c>
      <c r="S2667" s="29" cm="1">
        <f t="array" ref="S2667">IF(表成绩单[[#This Row],[物理]]="","",SUMPRODUCT((表成绩单[考试日期]=表成绩单[[#This Row],[考试日期]])*(表成绩单[物理]&lt;9E+307)*(表成绩单[物理]&gt;表成绩单[[#This Row],[物理]]))+1)</f>
        <v>184</v>
      </c>
      <c r="T2667" s="29" cm="1">
        <f t="array" ref="T2667">IF(表成绩单[[#This Row],[化学]]="","",SUMPRODUCT((表成绩单[考试日期]=表成绩单[[#This Row],[考试日期]])*(表成绩单[化学]&lt;9E+307)*(表成绩单[化学]&gt;表成绩单[[#This Row],[化学]]))+1)</f>
        <v>25</v>
      </c>
      <c r="U2667" s="29" cm="1">
        <f t="array" ref="U2667">IF(表成绩单[[#This Row],[政治]]="","",SUMPRODUCT((表成绩单[考试日期]=表成绩单[[#This Row],[考试日期]])*(表成绩单[政治]&lt;9E+307)*(表成绩单[政治]&gt;表成绩单[[#This Row],[政治]]))+1)</f>
        <v>567</v>
      </c>
      <c r="V2667" s="29" cm="1">
        <f t="array" ref="V2667">IF(表成绩单[[#This Row],[历史]]="","",SUMPRODUCT((表成绩单[考试日期]=表成绩单[[#This Row],[考试日期]])*(表成绩单[历史]&lt;9E+307)*(表成绩单[历史]&gt;表成绩单[[#This Row],[历史]]))+1)</f>
        <v>432</v>
      </c>
      <c r="W2667" s="29" cm="1">
        <f t="array" ref="W2667">IF(表成绩单[[#This Row],[总分]]="","",SUMPRODUCT((表成绩单[考试日期]=表成绩单[[#This Row],[考试日期]])*(表成绩单[总分]&lt;9E+307)*(表成绩单[总分]&gt;表成绩单[[#This Row],[总分]]))+1)</f>
        <v>260</v>
      </c>
    </row>
    <row r="2668" ht="28" customHeight="1" spans="4:23">
      <c r="D2668" s="31">
        <v>46108</v>
      </c>
      <c r="E2668" s="29">
        <v>19175639</v>
      </c>
      <c r="F2668" s="29" t="s">
        <v>66</v>
      </c>
      <c r="G2668" s="29" t="s">
        <v>314</v>
      </c>
      <c r="H2668" s="29">
        <v>109</v>
      </c>
      <c r="I2668" s="29">
        <v>90</v>
      </c>
      <c r="J2668" s="29">
        <v>77.5</v>
      </c>
      <c r="K2668" s="29">
        <v>81</v>
      </c>
      <c r="L2668" s="29">
        <v>71</v>
      </c>
      <c r="M2668" s="29">
        <v>77</v>
      </c>
      <c r="N2668" s="29">
        <v>72</v>
      </c>
      <c r="O2668" s="32">
        <v>577.5</v>
      </c>
      <c r="P2668" s="29" cm="1">
        <f t="array" ref="P2668">IF(表成绩单[[#This Row],[语文]]="","",SUMPRODUCT((表成绩单[考试日期]=表成绩单[[#This Row],[考试日期]])*(表成绩单[语文]&lt;9E+307)*(表成绩单[语文]&gt;表成绩单[[#This Row],[语文]]))+1)</f>
        <v>40</v>
      </c>
      <c r="Q2668" s="29" cm="1">
        <f t="array" ref="Q2668">IF(表成绩单[[#This Row],[数学]]="","",SUMPRODUCT((表成绩单[考试日期]=表成绩单[[#This Row],[考试日期]])*(表成绩单[数学]&lt;9E+307)*(表成绩单[数学]&gt;表成绩单[[#This Row],[数学]]))+1)</f>
        <v>368</v>
      </c>
      <c r="R2668" s="29" cm="1">
        <f t="array" ref="R2668">IF(表成绩单[[#This Row],[英语]]="","",SUMPRODUCT((表成绩单[考试日期]=表成绩单[[#This Row],[考试日期]])*(表成绩单[英语]&lt;9E+307)*(表成绩单[英语]&gt;表成绩单[[#This Row],[英语]]))+1)</f>
        <v>353</v>
      </c>
      <c r="S2668" s="29" cm="1">
        <f t="array" ref="S2668">IF(表成绩单[[#This Row],[物理]]="","",SUMPRODUCT((表成绩单[考试日期]=表成绩单[[#This Row],[考试日期]])*(表成绩单[物理]&lt;9E+307)*(表成绩单[物理]&gt;表成绩单[[#This Row],[物理]]))+1)</f>
        <v>269</v>
      </c>
      <c r="T2668" s="29" cm="1">
        <f t="array" ref="T2668">IF(表成绩单[[#This Row],[化学]]="","",SUMPRODUCT((表成绩单[考试日期]=表成绩单[[#This Row],[考试日期]])*(表成绩单[化学]&lt;9E+307)*(表成绩单[化学]&gt;表成绩单[[#This Row],[化学]]))+1)</f>
        <v>217</v>
      </c>
      <c r="U2668" s="29" cm="1">
        <f t="array" ref="U2668">IF(表成绩单[[#This Row],[政治]]="","",SUMPRODUCT((表成绩单[考试日期]=表成绩单[[#This Row],[考试日期]])*(表成绩单[政治]&lt;9E+307)*(表成绩单[政治]&gt;表成绩单[[#This Row],[政治]]))+1)</f>
        <v>230</v>
      </c>
      <c r="V2668" s="29" cm="1">
        <f t="array" ref="V2668">IF(表成绩单[[#This Row],[历史]]="","",SUMPRODUCT((表成绩单[考试日期]=表成绩单[[#This Row],[考试日期]])*(表成绩单[历史]&lt;9E+307)*(表成绩单[历史]&gt;表成绩单[[#This Row],[历史]]))+1)</f>
        <v>470</v>
      </c>
      <c r="W2668" s="29" cm="1">
        <f t="array" ref="W2668">IF(表成绩单[[#This Row],[总分]]="","",SUMPRODUCT((表成绩单[考试日期]=表成绩单[[#This Row],[考试日期]])*(表成绩单[总分]&lt;9E+307)*(表成绩单[总分]&gt;表成绩单[[#This Row],[总分]]))+1)</f>
        <v>260</v>
      </c>
    </row>
    <row r="2669" ht="28" customHeight="1" spans="4:23">
      <c r="D2669" s="31">
        <v>46108</v>
      </c>
      <c r="E2669" s="29">
        <v>19175650</v>
      </c>
      <c r="F2669" s="29" t="s">
        <v>66</v>
      </c>
      <c r="G2669" s="29" t="s">
        <v>400</v>
      </c>
      <c r="H2669" s="29">
        <v>105</v>
      </c>
      <c r="I2669" s="29">
        <v>96</v>
      </c>
      <c r="J2669" s="29">
        <v>78.5</v>
      </c>
      <c r="K2669" s="29">
        <v>83</v>
      </c>
      <c r="L2669" s="29">
        <v>72</v>
      </c>
      <c r="M2669" s="29">
        <v>74</v>
      </c>
      <c r="N2669" s="29">
        <v>69</v>
      </c>
      <c r="O2669" s="32">
        <v>577.5</v>
      </c>
      <c r="P2669" s="29" cm="1">
        <f t="array" ref="P2669">IF(表成绩单[[#This Row],[语文]]="","",SUMPRODUCT((表成绩单[考试日期]=表成绩单[[#This Row],[考试日期]])*(表成绩单[语文]&lt;9E+307)*(表成绩单[语文]&gt;表成绩单[[#This Row],[语文]]))+1)</f>
        <v>101</v>
      </c>
      <c r="Q2669" s="29" cm="1">
        <f t="array" ref="Q2669">IF(表成绩单[[#This Row],[数学]]="","",SUMPRODUCT((表成绩单[考试日期]=表成绩单[[#This Row],[考试日期]])*(表成绩单[数学]&lt;9E+307)*(表成绩单[数学]&gt;表成绩单[[#This Row],[数学]]))+1)</f>
        <v>202</v>
      </c>
      <c r="R2669" s="29" cm="1">
        <f t="array" ref="R2669">IF(表成绩单[[#This Row],[英语]]="","",SUMPRODUCT((表成绩单[考试日期]=表成绩单[[#This Row],[考试日期]])*(表成绩单[英语]&lt;9E+307)*(表成绩单[英语]&gt;表成绩单[[#This Row],[英语]]))+1)</f>
        <v>322</v>
      </c>
      <c r="S2669" s="29" cm="1">
        <f t="array" ref="S2669">IF(表成绩单[[#This Row],[物理]]="","",SUMPRODUCT((表成绩单[考试日期]=表成绩单[[#This Row],[考试日期]])*(表成绩单[物理]&lt;9E+307)*(表成绩单[物理]&gt;表成绩单[[#This Row],[物理]]))+1)</f>
        <v>184</v>
      </c>
      <c r="T2669" s="29" cm="1">
        <f t="array" ref="T2669">IF(表成绩单[[#This Row],[化学]]="","",SUMPRODUCT((表成绩单[考试日期]=表成绩单[[#This Row],[考试日期]])*(表成绩单[化学]&lt;9E+307)*(表成绩单[化学]&gt;表成绩单[[#This Row],[化学]]))+1)</f>
        <v>187</v>
      </c>
      <c r="U2669" s="29" cm="1">
        <f t="array" ref="U2669">IF(表成绩单[[#This Row],[政治]]="","",SUMPRODUCT((表成绩单[考试日期]=表成绩单[[#This Row],[考试日期]])*(表成绩单[政治]&lt;9E+307)*(表成绩单[政治]&gt;表成绩单[[#This Row],[政治]]))+1)</f>
        <v>389</v>
      </c>
      <c r="V2669" s="29" cm="1">
        <f t="array" ref="V2669">IF(表成绩单[[#This Row],[历史]]="","",SUMPRODUCT((表成绩单[考试日期]=表成绩单[[#This Row],[考试日期]])*(表成绩单[历史]&lt;9E+307)*(表成绩单[历史]&gt;表成绩单[[#This Row],[历史]]))+1)</f>
        <v>569</v>
      </c>
      <c r="W2669" s="29" cm="1">
        <f t="array" ref="W2669">IF(表成绩单[[#This Row],[总分]]="","",SUMPRODUCT((表成绩单[考试日期]=表成绩单[[#This Row],[考试日期]])*(表成绩单[总分]&lt;9E+307)*(表成绩单[总分]&gt;表成绩单[[#This Row],[总分]]))+1)</f>
        <v>260</v>
      </c>
    </row>
    <row r="2670" ht="28" customHeight="1" spans="4:23">
      <c r="D2670" s="31">
        <v>46108</v>
      </c>
      <c r="E2670" s="29">
        <v>19177206</v>
      </c>
      <c r="F2670" s="29" t="s">
        <v>70</v>
      </c>
      <c r="G2670" s="29" t="s">
        <v>351</v>
      </c>
      <c r="H2670" s="29">
        <v>96</v>
      </c>
      <c r="I2670" s="29">
        <v>97</v>
      </c>
      <c r="J2670" s="29">
        <v>82.5</v>
      </c>
      <c r="K2670" s="29">
        <v>82</v>
      </c>
      <c r="L2670" s="29">
        <v>63</v>
      </c>
      <c r="M2670" s="29">
        <v>77</v>
      </c>
      <c r="N2670" s="29">
        <v>80</v>
      </c>
      <c r="O2670" s="32">
        <v>577.5</v>
      </c>
      <c r="P2670" s="29" cm="1">
        <f t="array" ref="P2670">IF(表成绩单[[#This Row],[语文]]="","",SUMPRODUCT((表成绩单[考试日期]=表成绩单[[#This Row],[考试日期]])*(表成绩单[语文]&lt;9E+307)*(表成绩单[语文]&gt;表成绩单[[#This Row],[语文]]))+1)</f>
        <v>390</v>
      </c>
      <c r="Q2670" s="29" cm="1">
        <f t="array" ref="Q2670">IF(表成绩单[[#This Row],[数学]]="","",SUMPRODUCT((表成绩单[考试日期]=表成绩单[[#This Row],[考试日期]])*(表成绩单[数学]&lt;9E+307)*(表成绩单[数学]&gt;表成绩单[[#This Row],[数学]]))+1)</f>
        <v>175</v>
      </c>
      <c r="R2670" s="29" cm="1">
        <f t="array" ref="R2670">IF(表成绩单[[#This Row],[英语]]="","",SUMPRODUCT((表成绩单[考试日期]=表成绩单[[#This Row],[考试日期]])*(表成绩单[英语]&lt;9E+307)*(表成绩单[英语]&gt;表成绩单[[#This Row],[英语]]))+1)</f>
        <v>156</v>
      </c>
      <c r="S2670" s="29" cm="1">
        <f t="array" ref="S2670">IF(表成绩单[[#This Row],[物理]]="","",SUMPRODUCT((表成绩单[考试日期]=表成绩单[[#This Row],[考试日期]])*(表成绩单[物理]&lt;9E+307)*(表成绩单[物理]&gt;表成绩单[[#This Row],[物理]]))+1)</f>
        <v>223</v>
      </c>
      <c r="T2670" s="29" cm="1">
        <f t="array" ref="T2670">IF(表成绩单[[#This Row],[化学]]="","",SUMPRODUCT((表成绩单[考试日期]=表成绩单[[#This Row],[考试日期]])*(表成绩单[化学]&lt;9E+307)*(表成绩单[化学]&gt;表成绩单[[#This Row],[化学]]))+1)</f>
        <v>426</v>
      </c>
      <c r="U2670" s="29" cm="1">
        <f t="array" ref="U2670">IF(表成绩单[[#This Row],[政治]]="","",SUMPRODUCT((表成绩单[考试日期]=表成绩单[[#This Row],[考试日期]])*(表成绩单[政治]&lt;9E+307)*(表成绩单[政治]&gt;表成绩单[[#This Row],[政治]]))+1)</f>
        <v>230</v>
      </c>
      <c r="V2670" s="29" cm="1">
        <f t="array" ref="V2670">IF(表成绩单[[#This Row],[历史]]="","",SUMPRODUCT((表成绩单[考试日期]=表成绩单[[#This Row],[考试日期]])*(表成绩单[历史]&lt;9E+307)*(表成绩单[历史]&gt;表成绩单[[#This Row],[历史]]))+1)</f>
        <v>143</v>
      </c>
      <c r="W2670" s="29" cm="1">
        <f t="array" ref="W2670">IF(表成绩单[[#This Row],[总分]]="","",SUMPRODUCT((表成绩单[考试日期]=表成绩单[[#This Row],[考试日期]])*(表成绩单[总分]&lt;9E+307)*(表成绩单[总分]&gt;表成绩单[[#This Row],[总分]]))+1)</f>
        <v>260</v>
      </c>
    </row>
    <row r="2671" ht="28" customHeight="1" spans="4:23">
      <c r="D2671" s="31">
        <v>46108</v>
      </c>
      <c r="E2671" s="29">
        <v>19175704</v>
      </c>
      <c r="F2671" s="29" t="s">
        <v>72</v>
      </c>
      <c r="G2671" s="29" t="s">
        <v>291</v>
      </c>
      <c r="H2671" s="29">
        <v>100</v>
      </c>
      <c r="I2671" s="29">
        <v>88</v>
      </c>
      <c r="J2671" s="29">
        <v>84</v>
      </c>
      <c r="K2671" s="29">
        <v>86</v>
      </c>
      <c r="L2671" s="29">
        <v>62</v>
      </c>
      <c r="M2671" s="29">
        <v>78</v>
      </c>
      <c r="N2671" s="29">
        <v>79</v>
      </c>
      <c r="O2671" s="32">
        <v>577</v>
      </c>
      <c r="P2671" s="29" cm="1">
        <f t="array" ref="P2671">IF(表成绩单[[#This Row],[语文]]="","",SUMPRODUCT((表成绩单[考试日期]=表成绩单[[#This Row],[考试日期]])*(表成绩单[语文]&lt;9E+307)*(表成绩单[语文]&gt;表成绩单[[#This Row],[语文]]))+1)</f>
        <v>247</v>
      </c>
      <c r="Q2671" s="29" cm="1">
        <f t="array" ref="Q2671">IF(表成绩单[[#This Row],[数学]]="","",SUMPRODUCT((表成绩单[考试日期]=表成绩单[[#This Row],[考试日期]])*(表成绩单[数学]&lt;9E+307)*(表成绩单[数学]&gt;表成绩单[[#This Row],[数学]]))+1)</f>
        <v>424</v>
      </c>
      <c r="R2671" s="29" cm="1">
        <f t="array" ref="R2671">IF(表成绩单[[#This Row],[英语]]="","",SUMPRODUCT((表成绩单[考试日期]=表成绩单[[#This Row],[考试日期]])*(表成绩单[英语]&lt;9E+307)*(表成绩单[英语]&gt;表成绩单[[#This Row],[英语]]))+1)</f>
        <v>100</v>
      </c>
      <c r="S2671" s="29" cm="1">
        <f t="array" ref="S2671">IF(表成绩单[[#This Row],[物理]]="","",SUMPRODUCT((表成绩单[考试日期]=表成绩单[[#This Row],[考试日期]])*(表成绩单[物理]&lt;9E+307)*(表成绩单[物理]&gt;表成绩单[[#This Row],[物理]]))+1)</f>
        <v>61</v>
      </c>
      <c r="T2671" s="29" cm="1">
        <f t="array" ref="T2671">IF(表成绩单[[#This Row],[化学]]="","",SUMPRODUCT((表成绩单[考试日期]=表成绩单[[#This Row],[考试日期]])*(表成绩单[化学]&lt;9E+307)*(表成绩单[化学]&gt;表成绩单[[#This Row],[化学]]))+1)</f>
        <v>449</v>
      </c>
      <c r="U2671" s="29" cm="1">
        <f t="array" ref="U2671">IF(表成绩单[[#This Row],[政治]]="","",SUMPRODUCT((表成绩单[考试日期]=表成绩单[[#This Row],[考试日期]])*(表成绩单[政治]&lt;9E+307)*(表成绩单[政治]&gt;表成绩单[[#This Row],[政治]]))+1)</f>
        <v>171</v>
      </c>
      <c r="V2671" s="29" cm="1">
        <f t="array" ref="V2671">IF(表成绩单[[#This Row],[历史]]="","",SUMPRODUCT((表成绩单[考试日期]=表成绩单[[#This Row],[考试日期]])*(表成绩单[历史]&lt;9E+307)*(表成绩单[历史]&gt;表成绩单[[#This Row],[历史]]))+1)</f>
        <v>173</v>
      </c>
      <c r="W2671" s="29" cm="1">
        <f t="array" ref="W2671">IF(表成绩单[[#This Row],[总分]]="","",SUMPRODUCT((表成绩单[考试日期]=表成绩单[[#This Row],[考试日期]])*(表成绩单[总分]&lt;9E+307)*(表成绩单[总分]&gt;表成绩单[[#This Row],[总分]]))+1)</f>
        <v>264</v>
      </c>
    </row>
    <row r="2672" ht="28" customHeight="1" spans="4:23">
      <c r="D2672" s="31">
        <v>46108</v>
      </c>
      <c r="E2672" s="29">
        <v>19174775</v>
      </c>
      <c r="F2672" s="29" t="s">
        <v>69</v>
      </c>
      <c r="G2672" s="29" t="s">
        <v>479</v>
      </c>
      <c r="H2672" s="29">
        <v>110</v>
      </c>
      <c r="I2672" s="29">
        <v>91</v>
      </c>
      <c r="J2672" s="29">
        <v>75.5</v>
      </c>
      <c r="K2672" s="29">
        <v>71</v>
      </c>
      <c r="L2672" s="29">
        <v>71</v>
      </c>
      <c r="M2672" s="29">
        <v>77</v>
      </c>
      <c r="N2672" s="29">
        <v>81</v>
      </c>
      <c r="O2672" s="32">
        <v>576.5</v>
      </c>
      <c r="P2672" s="29" cm="1">
        <f t="array" ref="P2672">IF(表成绩单[[#This Row],[语文]]="","",SUMPRODUCT((表成绩单[考试日期]=表成绩单[[#This Row],[考试日期]])*(表成绩单[语文]&lt;9E+307)*(表成绩单[语文]&gt;表成绩单[[#This Row],[语文]]))+1)</f>
        <v>24</v>
      </c>
      <c r="Q2672" s="29" cm="1">
        <f t="array" ref="Q2672">IF(表成绩单[[#This Row],[数学]]="","",SUMPRODUCT((表成绩单[考试日期]=表成绩单[[#This Row],[考试日期]])*(表成绩单[数学]&lt;9E+307)*(表成绩单[数学]&gt;表成绩单[[#This Row],[数学]]))+1)</f>
        <v>341</v>
      </c>
      <c r="R2672" s="29" cm="1">
        <f t="array" ref="R2672">IF(表成绩单[[#This Row],[英语]]="","",SUMPRODUCT((表成绩单[考试日期]=表成绩单[[#This Row],[考试日期]])*(表成绩单[英语]&lt;9E+307)*(表成绩单[英语]&gt;表成绩单[[#This Row],[英语]]))+1)</f>
        <v>421</v>
      </c>
      <c r="S2672" s="29" cm="1">
        <f t="array" ref="S2672">IF(表成绩单[[#This Row],[物理]]="","",SUMPRODUCT((表成绩单[考试日期]=表成绩单[[#This Row],[考试日期]])*(表成绩单[物理]&lt;9E+307)*(表成绩单[物理]&gt;表成绩单[[#This Row],[物理]]))+1)</f>
        <v>536</v>
      </c>
      <c r="T2672" s="29" cm="1">
        <f t="array" ref="T2672">IF(表成绩单[[#This Row],[化学]]="","",SUMPRODUCT((表成绩单[考试日期]=表成绩单[[#This Row],[考试日期]])*(表成绩单[化学]&lt;9E+307)*(表成绩单[化学]&gt;表成绩单[[#This Row],[化学]]))+1)</f>
        <v>217</v>
      </c>
      <c r="U2672" s="29" cm="1">
        <f t="array" ref="U2672">IF(表成绩单[[#This Row],[政治]]="","",SUMPRODUCT((表成绩单[考试日期]=表成绩单[[#This Row],[考试日期]])*(表成绩单[政治]&lt;9E+307)*(表成绩单[政治]&gt;表成绩单[[#This Row],[政治]]))+1)</f>
        <v>230</v>
      </c>
      <c r="V2672" s="29" cm="1">
        <f t="array" ref="V2672">IF(表成绩单[[#This Row],[历史]]="","",SUMPRODUCT((表成绩单[考试日期]=表成绩单[[#This Row],[考试日期]])*(表成绩单[历史]&lt;9E+307)*(表成绩单[历史]&gt;表成绩单[[#This Row],[历史]]))+1)</f>
        <v>106</v>
      </c>
      <c r="W2672" s="29" cm="1">
        <f t="array" ref="W2672">IF(表成绩单[[#This Row],[总分]]="","",SUMPRODUCT((表成绩单[考试日期]=表成绩单[[#This Row],[考试日期]])*(表成绩单[总分]&lt;9E+307)*(表成绩单[总分]&gt;表成绩单[[#This Row],[总分]]))+1)</f>
        <v>265</v>
      </c>
    </row>
    <row r="2673" ht="28" customHeight="1" spans="4:23">
      <c r="D2673" s="31">
        <v>46108</v>
      </c>
      <c r="E2673" s="29">
        <v>19177212</v>
      </c>
      <c r="F2673" s="29" t="s">
        <v>70</v>
      </c>
      <c r="G2673" s="29" t="s">
        <v>207</v>
      </c>
      <c r="H2673" s="29">
        <v>102</v>
      </c>
      <c r="I2673" s="29">
        <v>88</v>
      </c>
      <c r="J2673" s="29">
        <v>79.5</v>
      </c>
      <c r="K2673" s="29">
        <v>81</v>
      </c>
      <c r="L2673" s="29">
        <v>73</v>
      </c>
      <c r="M2673" s="29">
        <v>77</v>
      </c>
      <c r="N2673" s="29">
        <v>76</v>
      </c>
      <c r="O2673" s="32">
        <v>576.5</v>
      </c>
      <c r="P2673" s="29" cm="1">
        <f t="array" ref="P2673">IF(表成绩单[[#This Row],[语文]]="","",SUMPRODUCT((表成绩单[考试日期]=表成绩单[[#This Row],[考试日期]])*(表成绩单[语文]&lt;9E+307)*(表成绩单[语文]&gt;表成绩单[[#This Row],[语文]]))+1)</f>
        <v>183</v>
      </c>
      <c r="Q2673" s="29" cm="1">
        <f t="array" ref="Q2673">IF(表成绩单[[#This Row],[数学]]="","",SUMPRODUCT((表成绩单[考试日期]=表成绩单[[#This Row],[考试日期]])*(表成绩单[数学]&lt;9E+307)*(表成绩单[数学]&gt;表成绩单[[#This Row],[数学]]))+1)</f>
        <v>424</v>
      </c>
      <c r="R2673" s="29" cm="1">
        <f t="array" ref="R2673">IF(表成绩单[[#This Row],[英语]]="","",SUMPRODUCT((表成绩单[考试日期]=表成绩单[[#This Row],[考试日期]])*(表成绩单[英语]&lt;9E+307)*(表成绩单[英语]&gt;表成绩单[[#This Row],[英语]]))+1)</f>
        <v>286</v>
      </c>
      <c r="S2673" s="29" cm="1">
        <f t="array" ref="S2673">IF(表成绩单[[#This Row],[物理]]="","",SUMPRODUCT((表成绩单[考试日期]=表成绩单[[#This Row],[考试日期]])*(表成绩单[物理]&lt;9E+307)*(表成绩单[物理]&gt;表成绩单[[#This Row],[物理]]))+1)</f>
        <v>269</v>
      </c>
      <c r="T2673" s="29" cm="1">
        <f t="array" ref="T2673">IF(表成绩单[[#This Row],[化学]]="","",SUMPRODUCT((表成绩单[考试日期]=表成绩单[[#This Row],[考试日期]])*(表成绩单[化学]&lt;9E+307)*(表成绩单[化学]&gt;表成绩单[[#This Row],[化学]]))+1)</f>
        <v>152</v>
      </c>
      <c r="U2673" s="29" cm="1">
        <f t="array" ref="U2673">IF(表成绩单[[#This Row],[政治]]="","",SUMPRODUCT((表成绩单[考试日期]=表成绩单[[#This Row],[考试日期]])*(表成绩单[政治]&lt;9E+307)*(表成绩单[政治]&gt;表成绩单[[#This Row],[政治]]))+1)</f>
        <v>230</v>
      </c>
      <c r="V2673" s="29" cm="1">
        <f t="array" ref="V2673">IF(表成绩单[[#This Row],[历史]]="","",SUMPRODUCT((表成绩单[考试日期]=表成绩单[[#This Row],[考试日期]])*(表成绩单[历史]&lt;9E+307)*(表成绩单[历史]&gt;表成绩单[[#This Row],[历史]]))+1)</f>
        <v>316</v>
      </c>
      <c r="W2673" s="29" cm="1">
        <f t="array" ref="W2673">IF(表成绩单[[#This Row],[总分]]="","",SUMPRODUCT((表成绩单[考试日期]=表成绩单[[#This Row],[考试日期]])*(表成绩单[总分]&lt;9E+307)*(表成绩单[总分]&gt;表成绩单[[#This Row],[总分]]))+1)</f>
        <v>265</v>
      </c>
    </row>
    <row r="2674" ht="28" customHeight="1" spans="4:23">
      <c r="D2674" s="31">
        <v>46108</v>
      </c>
      <c r="E2674" s="29">
        <v>19177665</v>
      </c>
      <c r="F2674" s="29" t="s">
        <v>63</v>
      </c>
      <c r="G2674" s="29" t="s">
        <v>302</v>
      </c>
      <c r="H2674" s="29">
        <v>107</v>
      </c>
      <c r="I2674" s="29">
        <v>87</v>
      </c>
      <c r="J2674" s="29">
        <v>75.5</v>
      </c>
      <c r="K2674" s="29">
        <v>84</v>
      </c>
      <c r="L2674" s="29">
        <v>69</v>
      </c>
      <c r="M2674" s="29">
        <v>73</v>
      </c>
      <c r="N2674" s="29">
        <v>81</v>
      </c>
      <c r="O2674" s="32">
        <v>576.5</v>
      </c>
      <c r="P2674" s="29" cm="1">
        <f t="array" ref="P2674">IF(表成绩单[[#This Row],[语文]]="","",SUMPRODUCT((表成绩单[考试日期]=表成绩单[[#This Row],[考试日期]])*(表成绩单[语文]&lt;9E+307)*(表成绩单[语文]&gt;表成绩单[[#This Row],[语文]]))+1)</f>
        <v>67</v>
      </c>
      <c r="Q2674" s="29" cm="1">
        <f t="array" ref="Q2674">IF(表成绩单[[#This Row],[数学]]="","",SUMPRODUCT((表成绩单[考试日期]=表成绩单[[#This Row],[考试日期]])*(表成绩单[数学]&lt;9E+307)*(表成绩单[数学]&gt;表成绩单[[#This Row],[数学]]))+1)</f>
        <v>452</v>
      </c>
      <c r="R2674" s="29" cm="1">
        <f t="array" ref="R2674">IF(表成绩单[[#This Row],[英语]]="","",SUMPRODUCT((表成绩单[考试日期]=表成绩单[[#This Row],[考试日期]])*(表成绩单[英语]&lt;9E+307)*(表成绩单[英语]&gt;表成绩单[[#This Row],[英语]]))+1)</f>
        <v>421</v>
      </c>
      <c r="S2674" s="29" cm="1">
        <f t="array" ref="S2674">IF(表成绩单[[#This Row],[物理]]="","",SUMPRODUCT((表成绩单[考试日期]=表成绩单[[#This Row],[考试日期]])*(表成绩单[物理]&lt;9E+307)*(表成绩单[物理]&gt;表成绩单[[#This Row],[物理]]))+1)</f>
        <v>146</v>
      </c>
      <c r="T2674" s="29" cm="1">
        <f t="array" ref="T2674">IF(表成绩单[[#This Row],[化学]]="","",SUMPRODUCT((表成绩单[考试日期]=表成绩单[[#This Row],[考试日期]])*(表成绩单[化学]&lt;9E+307)*(表成绩单[化学]&gt;表成绩单[[#This Row],[化学]]))+1)</f>
        <v>269</v>
      </c>
      <c r="U2674" s="29" cm="1">
        <f t="array" ref="U2674">IF(表成绩单[[#This Row],[政治]]="","",SUMPRODUCT((表成绩单[考试日期]=表成绩单[[#This Row],[考试日期]])*(表成绩单[政治]&lt;9E+307)*(表成绩单[政治]&gt;表成绩单[[#This Row],[政治]]))+1)</f>
        <v>431</v>
      </c>
      <c r="V2674" s="29" cm="1">
        <f t="array" ref="V2674">IF(表成绩单[[#This Row],[历史]]="","",SUMPRODUCT((表成绩单[考试日期]=表成绩单[[#This Row],[考试日期]])*(表成绩单[历史]&lt;9E+307)*(表成绩单[历史]&gt;表成绩单[[#This Row],[历史]]))+1)</f>
        <v>106</v>
      </c>
      <c r="W2674" s="29" cm="1">
        <f t="array" ref="W2674">IF(表成绩单[[#This Row],[总分]]="","",SUMPRODUCT((表成绩单[考试日期]=表成绩单[[#This Row],[考试日期]])*(表成绩单[总分]&lt;9E+307)*(表成绩单[总分]&gt;表成绩单[[#This Row],[总分]]))+1)</f>
        <v>265</v>
      </c>
    </row>
    <row r="2675" ht="28" customHeight="1" spans="4:23">
      <c r="D2675" s="31">
        <v>46108</v>
      </c>
      <c r="E2675" s="29">
        <v>19171080</v>
      </c>
      <c r="F2675" s="29" t="s">
        <v>67</v>
      </c>
      <c r="G2675" s="29" t="s">
        <v>195</v>
      </c>
      <c r="H2675" s="29">
        <v>106</v>
      </c>
      <c r="I2675" s="29">
        <v>86</v>
      </c>
      <c r="J2675" s="29">
        <v>81</v>
      </c>
      <c r="K2675" s="29">
        <v>88</v>
      </c>
      <c r="L2675" s="29">
        <v>62</v>
      </c>
      <c r="M2675" s="29">
        <v>75</v>
      </c>
      <c r="N2675" s="29">
        <v>78</v>
      </c>
      <c r="O2675" s="32">
        <v>576</v>
      </c>
      <c r="P2675" s="29" cm="1">
        <f t="array" ref="P2675">IF(表成绩单[[#This Row],[语文]]="","",SUMPRODUCT((表成绩单[考试日期]=表成绩单[[#This Row],[考试日期]])*(表成绩单[语文]&lt;9E+307)*(表成绩单[语文]&gt;表成绩单[[#This Row],[语文]]))+1)</f>
        <v>85</v>
      </c>
      <c r="Q2675" s="29" cm="1">
        <f t="array" ref="Q2675">IF(表成绩单[[#This Row],[数学]]="","",SUMPRODUCT((表成绩单[考试日期]=表成绩单[[#This Row],[考试日期]])*(表成绩单[数学]&lt;9E+307)*(表成绩单[数学]&gt;表成绩单[[#This Row],[数学]]))+1)</f>
        <v>479</v>
      </c>
      <c r="R2675" s="29" cm="1">
        <f t="array" ref="R2675">IF(表成绩单[[#This Row],[英语]]="","",SUMPRODUCT((表成绩单[考试日期]=表成绩单[[#This Row],[考试日期]])*(表成绩单[英语]&lt;9E+307)*(表成绩单[英语]&gt;表成绩单[[#This Row],[英语]]))+1)</f>
        <v>227</v>
      </c>
      <c r="S2675" s="29" cm="1">
        <f t="array" ref="S2675">IF(表成绩单[[#This Row],[物理]]="","",SUMPRODUCT((表成绩单[考试日期]=表成绩单[[#This Row],[考试日期]])*(表成绩单[物理]&lt;9E+307)*(表成绩单[物理]&gt;表成绩单[[#This Row],[物理]]))+1)</f>
        <v>27</v>
      </c>
      <c r="T2675" s="29" cm="1">
        <f t="array" ref="T2675">IF(表成绩单[[#This Row],[化学]]="","",SUMPRODUCT((表成绩单[考试日期]=表成绩单[[#This Row],[考试日期]])*(表成绩单[化学]&lt;9E+307)*(表成绩单[化学]&gt;表成绩单[[#This Row],[化学]]))+1)</f>
        <v>449</v>
      </c>
      <c r="U2675" s="29" cm="1">
        <f t="array" ref="U2675">IF(表成绩单[[#This Row],[政治]]="","",SUMPRODUCT((表成绩单[考试日期]=表成绩单[[#This Row],[考试日期]])*(表成绩单[政治]&lt;9E+307)*(表成绩单[政治]&gt;表成绩单[[#This Row],[政治]]))+1)</f>
        <v>346</v>
      </c>
      <c r="V2675" s="29" cm="1">
        <f t="array" ref="V2675">IF(表成绩单[[#This Row],[历史]]="","",SUMPRODUCT((表成绩单[考试日期]=表成绩单[[#This Row],[考试日期]])*(表成绩单[历史]&lt;9E+307)*(表成绩单[历史]&gt;表成绩单[[#This Row],[历史]]))+1)</f>
        <v>222</v>
      </c>
      <c r="W2675" s="29" cm="1">
        <f t="array" ref="W2675">IF(表成绩单[[#This Row],[总分]]="","",SUMPRODUCT((表成绩单[考试日期]=表成绩单[[#This Row],[考试日期]])*(表成绩单[总分]&lt;9E+307)*(表成绩单[总分]&gt;表成绩单[[#This Row],[总分]]))+1)</f>
        <v>268</v>
      </c>
    </row>
    <row r="2676" ht="28" customHeight="1" spans="4:23">
      <c r="D2676" s="31">
        <v>46108</v>
      </c>
      <c r="E2676" s="29">
        <v>19174465</v>
      </c>
      <c r="F2676" s="29" t="s">
        <v>73</v>
      </c>
      <c r="G2676" s="29" t="s">
        <v>332</v>
      </c>
      <c r="H2676" s="29">
        <v>103</v>
      </c>
      <c r="I2676" s="29">
        <v>97</v>
      </c>
      <c r="J2676" s="29">
        <v>76.5</v>
      </c>
      <c r="K2676" s="29">
        <v>82</v>
      </c>
      <c r="L2676" s="29">
        <v>65</v>
      </c>
      <c r="M2676" s="29">
        <v>76</v>
      </c>
      <c r="N2676" s="29">
        <v>76</v>
      </c>
      <c r="O2676" s="32">
        <v>575.5</v>
      </c>
      <c r="P2676" s="29" cm="1">
        <f t="array" ref="P2676">IF(表成绩单[[#This Row],[语文]]="","",SUMPRODUCT((表成绩单[考试日期]=表成绩单[[#This Row],[考试日期]])*(表成绩单[语文]&lt;9E+307)*(表成绩单[语文]&gt;表成绩单[[#This Row],[语文]]))+1)</f>
        <v>155</v>
      </c>
      <c r="Q2676" s="29" cm="1">
        <f t="array" ref="Q2676">IF(表成绩单[[#This Row],[数学]]="","",SUMPRODUCT((表成绩单[考试日期]=表成绩单[[#This Row],[考试日期]])*(表成绩单[数学]&lt;9E+307)*(表成绩单[数学]&gt;表成绩单[[#This Row],[数学]]))+1)</f>
        <v>175</v>
      </c>
      <c r="R2676" s="29" cm="1">
        <f t="array" ref="R2676">IF(表成绩单[[#This Row],[英语]]="","",SUMPRODUCT((表成绩单[考试日期]=表成绩单[[#This Row],[考试日期]])*(表成绩单[英语]&lt;9E+307)*(表成绩单[英语]&gt;表成绩单[[#This Row],[英语]]))+1)</f>
        <v>384</v>
      </c>
      <c r="S2676" s="29" cm="1">
        <f t="array" ref="S2676">IF(表成绩单[[#This Row],[物理]]="","",SUMPRODUCT((表成绩单[考试日期]=表成绩单[[#This Row],[考试日期]])*(表成绩单[物理]&lt;9E+307)*(表成绩单[物理]&gt;表成绩单[[#This Row],[物理]]))+1)</f>
        <v>223</v>
      </c>
      <c r="T2676" s="29" cm="1">
        <f t="array" ref="T2676">IF(表成绩单[[#This Row],[化学]]="","",SUMPRODUCT((表成绩单[考试日期]=表成绩单[[#This Row],[考试日期]])*(表成绩单[化学]&lt;9E+307)*(表成绩单[化学]&gt;表成绩单[[#This Row],[化学]]))+1)</f>
        <v>379</v>
      </c>
      <c r="U2676" s="29" cm="1">
        <f t="array" ref="U2676">IF(表成绩单[[#This Row],[政治]]="","",SUMPRODUCT((表成绩单[考试日期]=表成绩单[[#This Row],[考试日期]])*(表成绩单[政治]&lt;9E+307)*(表成绩单[政治]&gt;表成绩单[[#This Row],[政治]]))+1)</f>
        <v>291</v>
      </c>
      <c r="V2676" s="29" cm="1">
        <f t="array" ref="V2676">IF(表成绩单[[#This Row],[历史]]="","",SUMPRODUCT((表成绩单[考试日期]=表成绩单[[#This Row],[考试日期]])*(表成绩单[历史]&lt;9E+307)*(表成绩单[历史]&gt;表成绩单[[#This Row],[历史]]))+1)</f>
        <v>316</v>
      </c>
      <c r="W2676" s="29" cm="1">
        <f t="array" ref="W2676">IF(表成绩单[[#This Row],[总分]]="","",SUMPRODUCT((表成绩单[考试日期]=表成绩单[[#This Row],[考试日期]])*(表成绩单[总分]&lt;9E+307)*(表成绩单[总分]&gt;表成绩单[[#This Row],[总分]]))+1)</f>
        <v>269</v>
      </c>
    </row>
    <row r="2677" ht="28" customHeight="1" spans="4:23">
      <c r="D2677" s="31">
        <v>46108</v>
      </c>
      <c r="E2677" s="29">
        <v>19174780</v>
      </c>
      <c r="F2677" s="29" t="s">
        <v>69</v>
      </c>
      <c r="G2677" s="29" t="s">
        <v>370</v>
      </c>
      <c r="H2677" s="29">
        <v>100</v>
      </c>
      <c r="I2677" s="29">
        <v>88</v>
      </c>
      <c r="J2677" s="29">
        <v>81.5</v>
      </c>
      <c r="K2677" s="29">
        <v>83</v>
      </c>
      <c r="L2677" s="29">
        <v>73</v>
      </c>
      <c r="M2677" s="29">
        <v>75</v>
      </c>
      <c r="N2677" s="29">
        <v>75</v>
      </c>
      <c r="O2677" s="32">
        <v>575.5</v>
      </c>
      <c r="P2677" s="29" cm="1">
        <f t="array" ref="P2677">IF(表成绩单[[#This Row],[语文]]="","",SUMPRODUCT((表成绩单[考试日期]=表成绩单[[#This Row],[考试日期]])*(表成绩单[语文]&lt;9E+307)*(表成绩单[语文]&gt;表成绩单[[#This Row],[语文]]))+1)</f>
        <v>247</v>
      </c>
      <c r="Q2677" s="29" cm="1">
        <f t="array" ref="Q2677">IF(表成绩单[[#This Row],[数学]]="","",SUMPRODUCT((表成绩单[考试日期]=表成绩单[[#This Row],[考试日期]])*(表成绩单[数学]&lt;9E+307)*(表成绩单[数学]&gt;表成绩单[[#This Row],[数学]]))+1)</f>
        <v>424</v>
      </c>
      <c r="R2677" s="29" cm="1">
        <f t="array" ref="R2677">IF(表成绩单[[#This Row],[英语]]="","",SUMPRODUCT((表成绩单[考试日期]=表成绩单[[#This Row],[考试日期]])*(表成绩单[英语]&lt;9E+307)*(表成绩单[英语]&gt;表成绩单[[#This Row],[英语]]))+1)</f>
        <v>203</v>
      </c>
      <c r="S2677" s="29" cm="1">
        <f t="array" ref="S2677">IF(表成绩单[[#This Row],[物理]]="","",SUMPRODUCT((表成绩单[考试日期]=表成绩单[[#This Row],[考试日期]])*(表成绩单[物理]&lt;9E+307)*(表成绩单[物理]&gt;表成绩单[[#This Row],[物理]]))+1)</f>
        <v>184</v>
      </c>
      <c r="T2677" s="29" cm="1">
        <f t="array" ref="T2677">IF(表成绩单[[#This Row],[化学]]="","",SUMPRODUCT((表成绩单[考试日期]=表成绩单[[#This Row],[考试日期]])*(表成绩单[化学]&lt;9E+307)*(表成绩单[化学]&gt;表成绩单[[#This Row],[化学]]))+1)</f>
        <v>152</v>
      </c>
      <c r="U2677" s="29" cm="1">
        <f t="array" ref="U2677">IF(表成绩单[[#This Row],[政治]]="","",SUMPRODUCT((表成绩单[考试日期]=表成绩单[[#This Row],[考试日期]])*(表成绩单[政治]&lt;9E+307)*(表成绩单[政治]&gt;表成绩单[[#This Row],[政治]]))+1)</f>
        <v>346</v>
      </c>
      <c r="V2677" s="29" cm="1">
        <f t="array" ref="V2677">IF(表成绩单[[#This Row],[历史]]="","",SUMPRODUCT((表成绩单[考试日期]=表成绩单[[#This Row],[考试日期]])*(表成绩单[历史]&lt;9E+307)*(表成绩单[历史]&gt;表成绩单[[#This Row],[历史]]))+1)</f>
        <v>354</v>
      </c>
      <c r="W2677" s="29" cm="1">
        <f t="array" ref="W2677">IF(表成绩单[[#This Row],[总分]]="","",SUMPRODUCT((表成绩单[考试日期]=表成绩单[[#This Row],[考试日期]])*(表成绩单[总分]&lt;9E+307)*(表成绩单[总分]&gt;表成绩单[[#This Row],[总分]]))+1)</f>
        <v>269</v>
      </c>
    </row>
    <row r="2678" ht="28" customHeight="1" spans="4:23">
      <c r="D2678" s="31">
        <v>46108</v>
      </c>
      <c r="E2678" s="29">
        <v>19176887</v>
      </c>
      <c r="F2678" s="29" t="s">
        <v>71</v>
      </c>
      <c r="G2678" s="29" t="s">
        <v>421</v>
      </c>
      <c r="H2678" s="29">
        <v>97</v>
      </c>
      <c r="I2678" s="29">
        <v>99</v>
      </c>
      <c r="J2678" s="29">
        <v>67.5</v>
      </c>
      <c r="K2678" s="29">
        <v>82</v>
      </c>
      <c r="L2678" s="29">
        <v>67</v>
      </c>
      <c r="M2678" s="29">
        <v>78</v>
      </c>
      <c r="N2678" s="29">
        <v>85</v>
      </c>
      <c r="O2678" s="32">
        <v>575.5</v>
      </c>
      <c r="P2678" s="29" cm="1">
        <f t="array" ref="P2678">IF(表成绩单[[#This Row],[语文]]="","",SUMPRODUCT((表成绩单[考试日期]=表成绩单[[#This Row],[考试日期]])*(表成绩单[语文]&lt;9E+307)*(表成绩单[语文]&gt;表成绩单[[#This Row],[语文]]))+1)</f>
        <v>357</v>
      </c>
      <c r="Q2678" s="29" cm="1">
        <f t="array" ref="Q2678">IF(表成绩单[[#This Row],[数学]]="","",SUMPRODUCT((表成绩单[考试日期]=表成绩单[[#This Row],[考试日期]])*(表成绩单[数学]&lt;9E+307)*(表成绩单[数学]&gt;表成绩单[[#This Row],[数学]]))+1)</f>
        <v>140</v>
      </c>
      <c r="R2678" s="29" cm="1">
        <f t="array" ref="R2678">IF(表成绩单[[#This Row],[英语]]="","",SUMPRODUCT((表成绩单[考试日期]=表成绩单[[#This Row],[考试日期]])*(表成绩单[英语]&lt;9E+307)*(表成绩单[英语]&gt;表成绩单[[#This Row],[英语]]))+1)</f>
        <v>571</v>
      </c>
      <c r="S2678" s="29" cm="1">
        <f t="array" ref="S2678">IF(表成绩单[[#This Row],[物理]]="","",SUMPRODUCT((表成绩单[考试日期]=表成绩单[[#This Row],[考试日期]])*(表成绩单[物理]&lt;9E+307)*(表成绩单[物理]&gt;表成绩单[[#This Row],[物理]]))+1)</f>
        <v>223</v>
      </c>
      <c r="T2678" s="29" cm="1">
        <f t="array" ref="T2678">IF(表成绩单[[#This Row],[化学]]="","",SUMPRODUCT((表成绩单[考试日期]=表成绩单[[#This Row],[考试日期]])*(表成绩单[化学]&lt;9E+307)*(表成绩单[化学]&gt;表成绩单[[#This Row],[化学]]))+1)</f>
        <v>335</v>
      </c>
      <c r="U2678" s="29" cm="1">
        <f t="array" ref="U2678">IF(表成绩单[[#This Row],[政治]]="","",SUMPRODUCT((表成绩单[考试日期]=表成绩单[[#This Row],[考试日期]])*(表成绩单[政治]&lt;9E+307)*(表成绩单[政治]&gt;表成绩单[[#This Row],[政治]]))+1)</f>
        <v>171</v>
      </c>
      <c r="V2678" s="29" cm="1">
        <f t="array" ref="V2678">IF(表成绩单[[#This Row],[历史]]="","",SUMPRODUCT((表成绩单[考试日期]=表成绩单[[#This Row],[考试日期]])*(表成绩单[历史]&lt;9E+307)*(表成绩单[历史]&gt;表成绩单[[#This Row],[历史]]))+1)</f>
        <v>20</v>
      </c>
      <c r="W2678" s="29" cm="1">
        <f t="array" ref="W2678">IF(表成绩单[[#This Row],[总分]]="","",SUMPRODUCT((表成绩单[考试日期]=表成绩单[[#This Row],[考试日期]])*(表成绩单[总分]&lt;9E+307)*(表成绩单[总分]&gt;表成绩单[[#This Row],[总分]]))+1)</f>
        <v>269</v>
      </c>
    </row>
    <row r="2679" ht="28" customHeight="1" spans="4:23">
      <c r="D2679" s="31">
        <v>46108</v>
      </c>
      <c r="E2679" s="29">
        <v>19178650</v>
      </c>
      <c r="F2679" s="29" t="s">
        <v>25</v>
      </c>
      <c r="G2679" s="29" t="s">
        <v>294</v>
      </c>
      <c r="H2679" s="29">
        <v>99</v>
      </c>
      <c r="I2679" s="29">
        <v>108</v>
      </c>
      <c r="J2679" s="29">
        <v>76.5</v>
      </c>
      <c r="K2679" s="29">
        <v>80</v>
      </c>
      <c r="L2679" s="29">
        <v>61</v>
      </c>
      <c r="M2679" s="29">
        <v>77</v>
      </c>
      <c r="N2679" s="29">
        <v>74</v>
      </c>
      <c r="O2679" s="32">
        <v>575.5</v>
      </c>
      <c r="P2679" s="29" cm="1">
        <f t="array" ref="P2679">IF(表成绩单[[#This Row],[语文]]="","",SUMPRODUCT((表成绩单[考试日期]=表成绩单[[#This Row],[考试日期]])*(表成绩单[语文]&lt;9E+307)*(表成绩单[语文]&gt;表成绩单[[#This Row],[语文]]))+1)</f>
        <v>279</v>
      </c>
      <c r="Q2679" s="29" cm="1">
        <f t="array" ref="Q2679">IF(表成绩单[[#This Row],[数学]]="","",SUMPRODUCT((表成绩单[考试日期]=表成绩单[[#This Row],[考试日期]])*(表成绩单[数学]&lt;9E+307)*(表成绩单[数学]&gt;表成绩单[[#This Row],[数学]]))+1)</f>
        <v>25</v>
      </c>
      <c r="R2679" s="29" cm="1">
        <f t="array" ref="R2679">IF(表成绩单[[#This Row],[英语]]="","",SUMPRODUCT((表成绩单[考试日期]=表成绩单[[#This Row],[考试日期]])*(表成绩单[英语]&lt;9E+307)*(表成绩单[英语]&gt;表成绩单[[#This Row],[英语]]))+1)</f>
        <v>384</v>
      </c>
      <c r="S2679" s="29" cm="1">
        <f t="array" ref="S2679">IF(表成绩单[[#This Row],[物理]]="","",SUMPRODUCT((表成绩单[考试日期]=表成绩单[[#This Row],[考试日期]])*(表成绩单[物理]&lt;9E+307)*(表成绩单[物理]&gt;表成绩单[[#This Row],[物理]]))+1)</f>
        <v>305</v>
      </c>
      <c r="T2679" s="29" cm="1">
        <f t="array" ref="T2679">IF(表成绩单[[#This Row],[化学]]="","",SUMPRODUCT((表成绩单[考试日期]=表成绩单[[#This Row],[考试日期]])*(表成绩单[化学]&lt;9E+307)*(表成绩单[化学]&gt;表成绩单[[#This Row],[化学]]))+1)</f>
        <v>467</v>
      </c>
      <c r="U2679" s="29" cm="1">
        <f t="array" ref="U2679">IF(表成绩单[[#This Row],[政治]]="","",SUMPRODUCT((表成绩单[考试日期]=表成绩单[[#This Row],[考试日期]])*(表成绩单[政治]&lt;9E+307)*(表成绩单[政治]&gt;表成绩单[[#This Row],[政治]]))+1)</f>
        <v>230</v>
      </c>
      <c r="V2679" s="29" cm="1">
        <f t="array" ref="V2679">IF(表成绩单[[#This Row],[历史]]="","",SUMPRODUCT((表成绩单[考试日期]=表成绩单[[#This Row],[考试日期]])*(表成绩单[历史]&lt;9E+307)*(表成绩单[历史]&gt;表成绩单[[#This Row],[历史]]))+1)</f>
        <v>389</v>
      </c>
      <c r="W2679" s="29" cm="1">
        <f t="array" ref="W2679">IF(表成绩单[[#This Row],[总分]]="","",SUMPRODUCT((表成绩单[考试日期]=表成绩单[[#This Row],[考试日期]])*(表成绩单[总分]&lt;9E+307)*(表成绩单[总分]&gt;表成绩单[[#This Row],[总分]]))+1)</f>
        <v>269</v>
      </c>
    </row>
    <row r="2680" ht="28" customHeight="1" spans="4:23">
      <c r="D2680" s="31">
        <v>46108</v>
      </c>
      <c r="E2680" s="29">
        <v>19174470</v>
      </c>
      <c r="F2680" s="29" t="s">
        <v>73</v>
      </c>
      <c r="G2680" s="29" t="s">
        <v>337</v>
      </c>
      <c r="H2680" s="29">
        <v>101</v>
      </c>
      <c r="I2680" s="29">
        <v>99</v>
      </c>
      <c r="J2680" s="29">
        <v>81</v>
      </c>
      <c r="K2680" s="29">
        <v>74</v>
      </c>
      <c r="L2680" s="29">
        <v>72</v>
      </c>
      <c r="M2680" s="29">
        <v>78</v>
      </c>
      <c r="N2680" s="29">
        <v>70</v>
      </c>
      <c r="O2680" s="32">
        <v>575</v>
      </c>
      <c r="P2680" s="29" cm="1">
        <f t="array" ref="P2680">IF(表成绩单[[#This Row],[语文]]="","",SUMPRODUCT((表成绩单[考试日期]=表成绩单[[#This Row],[考试日期]])*(表成绩单[语文]&lt;9E+307)*(表成绩单[语文]&gt;表成绩单[[#This Row],[语文]]))+1)</f>
        <v>211</v>
      </c>
      <c r="Q2680" s="29" cm="1">
        <f t="array" ref="Q2680">IF(表成绩单[[#This Row],[数学]]="","",SUMPRODUCT((表成绩单[考试日期]=表成绩单[[#This Row],[考试日期]])*(表成绩单[数学]&lt;9E+307)*(表成绩单[数学]&gt;表成绩单[[#This Row],[数学]]))+1)</f>
        <v>140</v>
      </c>
      <c r="R2680" s="29" cm="1">
        <f t="array" ref="R2680">IF(表成绩单[[#This Row],[英语]]="","",SUMPRODUCT((表成绩单[考试日期]=表成绩单[[#This Row],[考试日期]])*(表成绩单[英语]&lt;9E+307)*(表成绩单[英语]&gt;表成绩单[[#This Row],[英语]]))+1)</f>
        <v>227</v>
      </c>
      <c r="S2680" s="29" cm="1">
        <f t="array" ref="S2680">IF(表成绩单[[#This Row],[物理]]="","",SUMPRODUCT((表成绩单[考试日期]=表成绩单[[#This Row],[考试日期]])*(表成绩单[物理]&lt;9E+307)*(表成绩单[物理]&gt;表成绩单[[#This Row],[物理]]))+1)</f>
        <v>472</v>
      </c>
      <c r="T2680" s="29" cm="1">
        <f t="array" ref="T2680">IF(表成绩单[[#This Row],[化学]]="","",SUMPRODUCT((表成绩单[考试日期]=表成绩单[[#This Row],[考试日期]])*(表成绩单[化学]&lt;9E+307)*(表成绩单[化学]&gt;表成绩单[[#This Row],[化学]]))+1)</f>
        <v>187</v>
      </c>
      <c r="U2680" s="29" cm="1">
        <f t="array" ref="U2680">IF(表成绩单[[#This Row],[政治]]="","",SUMPRODUCT((表成绩单[考试日期]=表成绩单[[#This Row],[考试日期]])*(表成绩单[政治]&lt;9E+307)*(表成绩单[政治]&gt;表成绩单[[#This Row],[政治]]))+1)</f>
        <v>171</v>
      </c>
      <c r="V2680" s="29" cm="1">
        <f t="array" ref="V2680">IF(表成绩单[[#This Row],[历史]]="","",SUMPRODUCT((表成绩单[考试日期]=表成绩单[[#This Row],[考试日期]])*(表成绩单[历史]&lt;9E+307)*(表成绩单[历史]&gt;表成绩单[[#This Row],[历史]]))+1)</f>
        <v>539</v>
      </c>
      <c r="W2680" s="29" cm="1">
        <f t="array" ref="W2680">IF(表成绩单[[#This Row],[总分]]="","",SUMPRODUCT((表成绩单[考试日期]=表成绩单[[#This Row],[考试日期]])*(表成绩单[总分]&lt;9E+307)*(表成绩单[总分]&gt;表成绩单[[#This Row],[总分]]))+1)</f>
        <v>273</v>
      </c>
    </row>
    <row r="2681" ht="28" customHeight="1" spans="4:23">
      <c r="D2681" s="31">
        <v>46108</v>
      </c>
      <c r="E2681" s="29">
        <v>19175626</v>
      </c>
      <c r="F2681" s="29" t="s">
        <v>57</v>
      </c>
      <c r="G2681" s="29" t="s">
        <v>437</v>
      </c>
      <c r="H2681" s="29">
        <v>101</v>
      </c>
      <c r="I2681" s="29">
        <v>98</v>
      </c>
      <c r="J2681" s="29">
        <v>75.5</v>
      </c>
      <c r="K2681" s="29">
        <v>82</v>
      </c>
      <c r="L2681" s="29">
        <v>69</v>
      </c>
      <c r="M2681" s="29">
        <v>72</v>
      </c>
      <c r="N2681" s="29">
        <v>77</v>
      </c>
      <c r="O2681" s="32">
        <v>574.5</v>
      </c>
      <c r="P2681" s="29" cm="1">
        <f t="array" ref="P2681">IF(表成绩单[[#This Row],[语文]]="","",SUMPRODUCT((表成绩单[考试日期]=表成绩单[[#This Row],[考试日期]])*(表成绩单[语文]&lt;9E+307)*(表成绩单[语文]&gt;表成绩单[[#This Row],[语文]]))+1)</f>
        <v>211</v>
      </c>
      <c r="Q2681" s="29" cm="1">
        <f t="array" ref="Q2681">IF(表成绩单[[#This Row],[数学]]="","",SUMPRODUCT((表成绩单[考试日期]=表成绩单[[#This Row],[考试日期]])*(表成绩单[数学]&lt;9E+307)*(表成绩单[数学]&gt;表成绩单[[#This Row],[数学]]))+1)</f>
        <v>158</v>
      </c>
      <c r="R2681" s="29" cm="1">
        <f t="array" ref="R2681">IF(表成绩单[[#This Row],[英语]]="","",SUMPRODUCT((表成绩单[考试日期]=表成绩单[[#This Row],[考试日期]])*(表成绩单[英语]&lt;9E+307)*(表成绩单[英语]&gt;表成绩单[[#This Row],[英语]]))+1)</f>
        <v>421</v>
      </c>
      <c r="S2681" s="29" cm="1">
        <f t="array" ref="S2681">IF(表成绩单[[#This Row],[物理]]="","",SUMPRODUCT((表成绩单[考试日期]=表成绩单[[#This Row],[考试日期]])*(表成绩单[物理]&lt;9E+307)*(表成绩单[物理]&gt;表成绩单[[#This Row],[物理]]))+1)</f>
        <v>223</v>
      </c>
      <c r="T2681" s="29" cm="1">
        <f t="array" ref="T2681">IF(表成绩单[[#This Row],[化学]]="","",SUMPRODUCT((表成绩单[考试日期]=表成绩单[[#This Row],[考试日期]])*(表成绩单[化学]&lt;9E+307)*(表成绩单[化学]&gt;表成绩单[[#This Row],[化学]]))+1)</f>
        <v>269</v>
      </c>
      <c r="U2681" s="29" cm="1">
        <f t="array" ref="U2681">IF(表成绩单[[#This Row],[政治]]="","",SUMPRODUCT((表成绩单[考试日期]=表成绩单[[#This Row],[考试日期]])*(表成绩单[政治]&lt;9E+307)*(表成绩单[政治]&gt;表成绩单[[#This Row],[政治]]))+1)</f>
        <v>470</v>
      </c>
      <c r="V2681" s="29" cm="1">
        <f t="array" ref="V2681">IF(表成绩单[[#This Row],[历史]]="","",SUMPRODUCT((表成绩单[考试日期]=表成绩单[[#This Row],[考试日期]])*(表成绩单[历史]&lt;9E+307)*(表成绩单[历史]&gt;表成绩单[[#This Row],[历史]]))+1)</f>
        <v>269</v>
      </c>
      <c r="W2681" s="29" cm="1">
        <f t="array" ref="W2681">IF(表成绩单[[#This Row],[总分]]="","",SUMPRODUCT((表成绩单[考试日期]=表成绩单[[#This Row],[考试日期]])*(表成绩单[总分]&lt;9E+307)*(表成绩单[总分]&gt;表成绩单[[#This Row],[总分]]))+1)</f>
        <v>274</v>
      </c>
    </row>
    <row r="2682" ht="28" customHeight="1" spans="4:23">
      <c r="D2682" s="31">
        <v>46108</v>
      </c>
      <c r="E2682" s="29">
        <v>19175669</v>
      </c>
      <c r="F2682" s="29" t="s">
        <v>66</v>
      </c>
      <c r="G2682" s="29" t="s">
        <v>459</v>
      </c>
      <c r="H2682" s="29">
        <v>106</v>
      </c>
      <c r="I2682" s="29">
        <v>95</v>
      </c>
      <c r="J2682" s="29">
        <v>69.5</v>
      </c>
      <c r="K2682" s="29">
        <v>82</v>
      </c>
      <c r="L2682" s="29">
        <v>69</v>
      </c>
      <c r="M2682" s="29">
        <v>76</v>
      </c>
      <c r="N2682" s="29">
        <v>77</v>
      </c>
      <c r="O2682" s="32">
        <v>574.5</v>
      </c>
      <c r="P2682" s="29" cm="1">
        <f t="array" ref="P2682">IF(表成绩单[[#This Row],[语文]]="","",SUMPRODUCT((表成绩单[考试日期]=表成绩单[[#This Row],[考试日期]])*(表成绩单[语文]&lt;9E+307)*(表成绩单[语文]&gt;表成绩单[[#This Row],[语文]]))+1)</f>
        <v>85</v>
      </c>
      <c r="Q2682" s="29" cm="1">
        <f t="array" ref="Q2682">IF(表成绩单[[#This Row],[数学]]="","",SUMPRODUCT((表成绩单[考试日期]=表成绩单[[#This Row],[考试日期]])*(表成绩单[数学]&lt;9E+307)*(表成绩单[数学]&gt;表成绩单[[#This Row],[数学]]))+1)</f>
        <v>229</v>
      </c>
      <c r="R2682" s="29" cm="1">
        <f t="array" ref="R2682">IF(表成绩单[[#This Row],[英语]]="","",SUMPRODUCT((表成绩单[考试日期]=表成绩单[[#This Row],[考试日期]])*(表成绩单[英语]&lt;9E+307)*(表成绩单[英语]&gt;表成绩单[[#This Row],[英语]]))+1)</f>
        <v>547</v>
      </c>
      <c r="S2682" s="29" cm="1">
        <f t="array" ref="S2682">IF(表成绩单[[#This Row],[物理]]="","",SUMPRODUCT((表成绩单[考试日期]=表成绩单[[#This Row],[考试日期]])*(表成绩单[物理]&lt;9E+307)*(表成绩单[物理]&gt;表成绩单[[#This Row],[物理]]))+1)</f>
        <v>223</v>
      </c>
      <c r="T2682" s="29" cm="1">
        <f t="array" ref="T2682">IF(表成绩单[[#This Row],[化学]]="","",SUMPRODUCT((表成绩单[考试日期]=表成绩单[[#This Row],[考试日期]])*(表成绩单[化学]&lt;9E+307)*(表成绩单[化学]&gt;表成绩单[[#This Row],[化学]]))+1)</f>
        <v>269</v>
      </c>
      <c r="U2682" s="29" cm="1">
        <f t="array" ref="U2682">IF(表成绩单[[#This Row],[政治]]="","",SUMPRODUCT((表成绩单[考试日期]=表成绩单[[#This Row],[考试日期]])*(表成绩单[政治]&lt;9E+307)*(表成绩单[政治]&gt;表成绩单[[#This Row],[政治]]))+1)</f>
        <v>291</v>
      </c>
      <c r="V2682" s="29" cm="1">
        <f t="array" ref="V2682">IF(表成绩单[[#This Row],[历史]]="","",SUMPRODUCT((表成绩单[考试日期]=表成绩单[[#This Row],[考试日期]])*(表成绩单[历史]&lt;9E+307)*(表成绩单[历史]&gt;表成绩单[[#This Row],[历史]]))+1)</f>
        <v>269</v>
      </c>
      <c r="W2682" s="29" cm="1">
        <f t="array" ref="W2682">IF(表成绩单[[#This Row],[总分]]="","",SUMPRODUCT((表成绩单[考试日期]=表成绩单[[#This Row],[考试日期]])*(表成绩单[总分]&lt;9E+307)*(表成绩单[总分]&gt;表成绩单[[#This Row],[总分]]))+1)</f>
        <v>274</v>
      </c>
    </row>
    <row r="2683" ht="28" customHeight="1" spans="4:23">
      <c r="D2683" s="31">
        <v>46108</v>
      </c>
      <c r="E2683" s="29">
        <v>19175673</v>
      </c>
      <c r="F2683" s="29" t="s">
        <v>72</v>
      </c>
      <c r="G2683" s="29" t="s">
        <v>201</v>
      </c>
      <c r="H2683" s="29">
        <v>91</v>
      </c>
      <c r="I2683" s="29">
        <v>96</v>
      </c>
      <c r="J2683" s="29">
        <v>81.5</v>
      </c>
      <c r="K2683" s="29">
        <v>80</v>
      </c>
      <c r="L2683" s="29">
        <v>73</v>
      </c>
      <c r="M2683" s="29">
        <v>74</v>
      </c>
      <c r="N2683" s="29">
        <v>79</v>
      </c>
      <c r="O2683" s="32">
        <v>574.5</v>
      </c>
      <c r="P2683" s="29" cm="1">
        <f t="array" ref="P2683">IF(表成绩单[[#This Row],[语文]]="","",SUMPRODUCT((表成绩单[考试日期]=表成绩单[[#This Row],[考试日期]])*(表成绩单[语文]&lt;9E+307)*(表成绩单[语文]&gt;表成绩单[[#This Row],[语文]]))+1)</f>
        <v>519</v>
      </c>
      <c r="Q2683" s="29" cm="1">
        <f t="array" ref="Q2683">IF(表成绩单[[#This Row],[数学]]="","",SUMPRODUCT((表成绩单[考试日期]=表成绩单[[#This Row],[考试日期]])*(表成绩单[数学]&lt;9E+307)*(表成绩单[数学]&gt;表成绩单[[#This Row],[数学]]))+1)</f>
        <v>202</v>
      </c>
      <c r="R2683" s="29" cm="1">
        <f t="array" ref="R2683">IF(表成绩单[[#This Row],[英语]]="","",SUMPRODUCT((表成绩单[考试日期]=表成绩单[[#This Row],[考试日期]])*(表成绩单[英语]&lt;9E+307)*(表成绩单[英语]&gt;表成绩单[[#This Row],[英语]]))+1)</f>
        <v>203</v>
      </c>
      <c r="S2683" s="29" cm="1">
        <f t="array" ref="S2683">IF(表成绩单[[#This Row],[物理]]="","",SUMPRODUCT((表成绩单[考试日期]=表成绩单[[#This Row],[考试日期]])*(表成绩单[物理]&lt;9E+307)*(表成绩单[物理]&gt;表成绩单[[#This Row],[物理]]))+1)</f>
        <v>305</v>
      </c>
      <c r="T2683" s="29" cm="1">
        <f t="array" ref="T2683">IF(表成绩单[[#This Row],[化学]]="","",SUMPRODUCT((表成绩单[考试日期]=表成绩单[[#This Row],[考试日期]])*(表成绩单[化学]&lt;9E+307)*(表成绩单[化学]&gt;表成绩单[[#This Row],[化学]]))+1)</f>
        <v>152</v>
      </c>
      <c r="U2683" s="29" cm="1">
        <f t="array" ref="U2683">IF(表成绩单[[#This Row],[政治]]="","",SUMPRODUCT((表成绩单[考试日期]=表成绩单[[#This Row],[考试日期]])*(表成绩单[政治]&lt;9E+307)*(表成绩单[政治]&gt;表成绩单[[#This Row],[政治]]))+1)</f>
        <v>389</v>
      </c>
      <c r="V2683" s="29" cm="1">
        <f t="array" ref="V2683">IF(表成绩单[[#This Row],[历史]]="","",SUMPRODUCT((表成绩单[考试日期]=表成绩单[[#This Row],[考试日期]])*(表成绩单[历史]&lt;9E+307)*(表成绩单[历史]&gt;表成绩单[[#This Row],[历史]]))+1)</f>
        <v>173</v>
      </c>
      <c r="W2683" s="29" cm="1">
        <f t="array" ref="W2683">IF(表成绩单[[#This Row],[总分]]="","",SUMPRODUCT((表成绩单[考试日期]=表成绩单[[#This Row],[考试日期]])*(表成绩单[总分]&lt;9E+307)*(表成绩单[总分]&gt;表成绩单[[#This Row],[总分]]))+1)</f>
        <v>274</v>
      </c>
    </row>
    <row r="2684" ht="28" customHeight="1" spans="4:23">
      <c r="D2684" s="31">
        <v>46108</v>
      </c>
      <c r="E2684" s="29">
        <v>19178639</v>
      </c>
      <c r="F2684" s="29" t="s">
        <v>25</v>
      </c>
      <c r="G2684" s="29" t="s">
        <v>496</v>
      </c>
      <c r="H2684" s="29">
        <v>100</v>
      </c>
      <c r="I2684" s="29">
        <v>99</v>
      </c>
      <c r="J2684" s="29">
        <v>76.5</v>
      </c>
      <c r="K2684" s="29">
        <v>84</v>
      </c>
      <c r="L2684" s="29">
        <v>78</v>
      </c>
      <c r="M2684" s="29">
        <v>71</v>
      </c>
      <c r="N2684" s="29">
        <v>66</v>
      </c>
      <c r="O2684" s="32">
        <v>574.5</v>
      </c>
      <c r="P2684" s="29" cm="1">
        <f t="array" ref="P2684">IF(表成绩单[[#This Row],[语文]]="","",SUMPRODUCT((表成绩单[考试日期]=表成绩单[[#This Row],[考试日期]])*(表成绩单[语文]&lt;9E+307)*(表成绩单[语文]&gt;表成绩单[[#This Row],[语文]]))+1)</f>
        <v>247</v>
      </c>
      <c r="Q2684" s="29" cm="1">
        <f t="array" ref="Q2684">IF(表成绩单[[#This Row],[数学]]="","",SUMPRODUCT((表成绩单[考试日期]=表成绩单[[#This Row],[考试日期]])*(表成绩单[数学]&lt;9E+307)*(表成绩单[数学]&gt;表成绩单[[#This Row],[数学]]))+1)</f>
        <v>140</v>
      </c>
      <c r="R2684" s="29" cm="1">
        <f t="array" ref="R2684">IF(表成绩单[[#This Row],[英语]]="","",SUMPRODUCT((表成绩单[考试日期]=表成绩单[[#This Row],[考试日期]])*(表成绩单[英语]&lt;9E+307)*(表成绩单[英语]&gt;表成绩单[[#This Row],[英语]]))+1)</f>
        <v>384</v>
      </c>
      <c r="S2684" s="29" cm="1">
        <f t="array" ref="S2684">IF(表成绩单[[#This Row],[物理]]="","",SUMPRODUCT((表成绩单[考试日期]=表成绩单[[#This Row],[考试日期]])*(表成绩单[物理]&lt;9E+307)*(表成绩单[物理]&gt;表成绩单[[#This Row],[物理]]))+1)</f>
        <v>146</v>
      </c>
      <c r="T2684" s="29" cm="1">
        <f t="array" ref="T2684">IF(表成绩单[[#This Row],[化学]]="","",SUMPRODUCT((表成绩单[考试日期]=表成绩单[[#This Row],[考试日期]])*(表成绩单[化学]&lt;9E+307)*(表成绩单[化学]&gt;表成绩单[[#This Row],[化学]]))+1)</f>
        <v>47</v>
      </c>
      <c r="U2684" s="29" cm="1">
        <f t="array" ref="U2684">IF(表成绩单[[#This Row],[政治]]="","",SUMPRODUCT((表成绩单[考试日期]=表成绩单[[#This Row],[考试日期]])*(表成绩单[政治]&lt;9E+307)*(表成绩单[政治]&gt;表成绩单[[#This Row],[政治]]))+1)</f>
        <v>513</v>
      </c>
      <c r="V2684" s="29" cm="1">
        <f t="array" ref="V2684">IF(表成绩单[[#This Row],[历史]]="","",SUMPRODUCT((表成绩单[考试日期]=表成绩单[[#This Row],[考试日期]])*(表成绩单[历史]&lt;9E+307)*(表成绩单[历史]&gt;表成绩单[[#This Row],[历史]]))+1)</f>
        <v>637</v>
      </c>
      <c r="W2684" s="29" cm="1">
        <f t="array" ref="W2684">IF(表成绩单[[#This Row],[总分]]="","",SUMPRODUCT((表成绩单[考试日期]=表成绩单[[#This Row],[考试日期]])*(表成绩单[总分]&lt;9E+307)*(表成绩单[总分]&gt;表成绩单[[#This Row],[总分]]))+1)</f>
        <v>274</v>
      </c>
    </row>
    <row r="2685" ht="28" customHeight="1" spans="4:23">
      <c r="D2685" s="31">
        <v>46108</v>
      </c>
      <c r="E2685" s="29">
        <v>19174443</v>
      </c>
      <c r="F2685" s="29" t="s">
        <v>73</v>
      </c>
      <c r="G2685" s="29" t="s">
        <v>408</v>
      </c>
      <c r="H2685" s="29">
        <v>99</v>
      </c>
      <c r="I2685" s="29">
        <v>90</v>
      </c>
      <c r="J2685" s="29">
        <v>84</v>
      </c>
      <c r="K2685" s="29">
        <v>78</v>
      </c>
      <c r="L2685" s="29">
        <v>68</v>
      </c>
      <c r="M2685" s="29">
        <v>76</v>
      </c>
      <c r="N2685" s="29">
        <v>79</v>
      </c>
      <c r="O2685" s="32">
        <v>574</v>
      </c>
      <c r="P2685" s="29" cm="1">
        <f t="array" ref="P2685">IF(表成绩单[[#This Row],[语文]]="","",SUMPRODUCT((表成绩单[考试日期]=表成绩单[[#This Row],[考试日期]])*(表成绩单[语文]&lt;9E+307)*(表成绩单[语文]&gt;表成绩单[[#This Row],[语文]]))+1)</f>
        <v>279</v>
      </c>
      <c r="Q2685" s="29" cm="1">
        <f t="array" ref="Q2685">IF(表成绩单[[#This Row],[数学]]="","",SUMPRODUCT((表成绩单[考试日期]=表成绩单[[#This Row],[考试日期]])*(表成绩单[数学]&lt;9E+307)*(表成绩单[数学]&gt;表成绩单[[#This Row],[数学]]))+1)</f>
        <v>368</v>
      </c>
      <c r="R2685" s="29" cm="1">
        <f t="array" ref="R2685">IF(表成绩单[[#This Row],[英语]]="","",SUMPRODUCT((表成绩单[考试日期]=表成绩单[[#This Row],[考试日期]])*(表成绩单[英语]&lt;9E+307)*(表成绩单[英语]&gt;表成绩单[[#This Row],[英语]]))+1)</f>
        <v>100</v>
      </c>
      <c r="S2685" s="29" cm="1">
        <f t="array" ref="S2685">IF(表成绩单[[#This Row],[物理]]="","",SUMPRODUCT((表成绩单[考试日期]=表成绩单[[#This Row],[考试日期]])*(表成绩单[物理]&lt;9E+307)*(表成绩单[物理]&gt;表成绩单[[#This Row],[物理]]))+1)</f>
        <v>365</v>
      </c>
      <c r="T2685" s="29" cm="1">
        <f t="array" ref="T2685">IF(表成绩单[[#This Row],[化学]]="","",SUMPRODUCT((表成绩单[考试日期]=表成绩单[[#This Row],[考试日期]])*(表成绩单[化学]&lt;9E+307)*(表成绩单[化学]&gt;表成绩单[[#This Row],[化学]]))+1)</f>
        <v>306</v>
      </c>
      <c r="U2685" s="29" cm="1">
        <f t="array" ref="U2685">IF(表成绩单[[#This Row],[政治]]="","",SUMPRODUCT((表成绩单[考试日期]=表成绩单[[#This Row],[考试日期]])*(表成绩单[政治]&lt;9E+307)*(表成绩单[政治]&gt;表成绩单[[#This Row],[政治]]))+1)</f>
        <v>291</v>
      </c>
      <c r="V2685" s="29" cm="1">
        <f t="array" ref="V2685">IF(表成绩单[[#This Row],[历史]]="","",SUMPRODUCT((表成绩单[考试日期]=表成绩单[[#This Row],[考试日期]])*(表成绩单[历史]&lt;9E+307)*(表成绩单[历史]&gt;表成绩单[[#This Row],[历史]]))+1)</f>
        <v>173</v>
      </c>
      <c r="W2685" s="29" cm="1">
        <f t="array" ref="W2685">IF(表成绩单[[#This Row],[总分]]="","",SUMPRODUCT((表成绩单[考试日期]=表成绩单[[#This Row],[考试日期]])*(表成绩单[总分]&lt;9E+307)*(表成绩单[总分]&gt;表成绩单[[#This Row],[总分]]))+1)</f>
        <v>278</v>
      </c>
    </row>
    <row r="2686" ht="28" customHeight="1" spans="4:23">
      <c r="D2686" s="31">
        <v>46108</v>
      </c>
      <c r="E2686" s="29">
        <v>19174452</v>
      </c>
      <c r="F2686" s="29" t="s">
        <v>73</v>
      </c>
      <c r="G2686" s="29" t="s">
        <v>210</v>
      </c>
      <c r="H2686" s="29">
        <v>99</v>
      </c>
      <c r="I2686" s="29">
        <v>97</v>
      </c>
      <c r="J2686" s="29">
        <v>83</v>
      </c>
      <c r="K2686" s="29">
        <v>78</v>
      </c>
      <c r="L2686" s="29">
        <v>77</v>
      </c>
      <c r="M2686" s="29">
        <v>72</v>
      </c>
      <c r="N2686" s="29">
        <v>67</v>
      </c>
      <c r="O2686" s="32">
        <v>573</v>
      </c>
      <c r="P2686" s="29" cm="1">
        <f t="array" ref="P2686">IF(表成绩单[[#This Row],[语文]]="","",SUMPRODUCT((表成绩单[考试日期]=表成绩单[[#This Row],[考试日期]])*(表成绩单[语文]&lt;9E+307)*(表成绩单[语文]&gt;表成绩单[[#This Row],[语文]]))+1)</f>
        <v>279</v>
      </c>
      <c r="Q2686" s="29" cm="1">
        <f t="array" ref="Q2686">IF(表成绩单[[#This Row],[数学]]="","",SUMPRODUCT((表成绩单[考试日期]=表成绩单[[#This Row],[考试日期]])*(表成绩单[数学]&lt;9E+307)*(表成绩单[数学]&gt;表成绩单[[#This Row],[数学]]))+1)</f>
        <v>175</v>
      </c>
      <c r="R2686" s="29" cm="1">
        <f t="array" ref="R2686">IF(表成绩单[[#This Row],[英语]]="","",SUMPRODUCT((表成绩单[考试日期]=表成绩单[[#This Row],[考试日期]])*(表成绩单[英语]&lt;9E+307)*(表成绩单[英语]&gt;表成绩单[[#This Row],[英语]]))+1)</f>
        <v>134</v>
      </c>
      <c r="S2686" s="29" cm="1">
        <f t="array" ref="S2686">IF(表成绩单[[#This Row],[物理]]="","",SUMPRODUCT((表成绩单[考试日期]=表成绩单[[#This Row],[考试日期]])*(表成绩单[物理]&lt;9E+307)*(表成绩单[物理]&gt;表成绩单[[#This Row],[物理]]))+1)</f>
        <v>365</v>
      </c>
      <c r="T2686" s="29" cm="1">
        <f t="array" ref="T2686">IF(表成绩单[[#This Row],[化学]]="","",SUMPRODUCT((表成绩单[考试日期]=表成绩单[[#This Row],[考试日期]])*(表成绩单[化学]&lt;9E+307)*(表成绩单[化学]&gt;表成绩单[[#This Row],[化学]]))+1)</f>
        <v>57</v>
      </c>
      <c r="U2686" s="29" cm="1">
        <f t="array" ref="U2686">IF(表成绩单[[#This Row],[政治]]="","",SUMPRODUCT((表成绩单[考试日期]=表成绩单[[#This Row],[考试日期]])*(表成绩单[政治]&lt;9E+307)*(表成绩单[政治]&gt;表成绩单[[#This Row],[政治]]))+1)</f>
        <v>470</v>
      </c>
      <c r="V2686" s="29" cm="1">
        <f t="array" ref="V2686">IF(表成绩单[[#This Row],[历史]]="","",SUMPRODUCT((表成绩单[考试日期]=表成绩单[[#This Row],[考试日期]])*(表成绩单[历史]&lt;9E+307)*(表成绩单[历史]&gt;表成绩单[[#This Row],[历史]]))+1)</f>
        <v>623</v>
      </c>
      <c r="W2686" s="29" cm="1">
        <f t="array" ref="W2686">IF(表成绩单[[#This Row],[总分]]="","",SUMPRODUCT((表成绩单[考试日期]=表成绩单[[#This Row],[考试日期]])*(表成绩单[总分]&lt;9E+307)*(表成绩单[总分]&gt;表成绩单[[#This Row],[总分]]))+1)</f>
        <v>279</v>
      </c>
    </row>
    <row r="2687" ht="28" customHeight="1" spans="4:23">
      <c r="D2687" s="31">
        <v>46108</v>
      </c>
      <c r="E2687" s="29">
        <v>19174791</v>
      </c>
      <c r="F2687" s="29" t="s">
        <v>69</v>
      </c>
      <c r="G2687" s="29" t="s">
        <v>426</v>
      </c>
      <c r="H2687" s="29">
        <v>91</v>
      </c>
      <c r="I2687" s="29">
        <v>96</v>
      </c>
      <c r="J2687" s="29">
        <v>80</v>
      </c>
      <c r="K2687" s="29">
        <v>82</v>
      </c>
      <c r="L2687" s="29">
        <v>70</v>
      </c>
      <c r="M2687" s="29">
        <v>75</v>
      </c>
      <c r="N2687" s="29">
        <v>79</v>
      </c>
      <c r="O2687" s="32">
        <v>573</v>
      </c>
      <c r="P2687" s="29" cm="1">
        <f t="array" ref="P2687">IF(表成绩单[[#This Row],[语文]]="","",SUMPRODUCT((表成绩单[考试日期]=表成绩单[[#This Row],[考试日期]])*(表成绩单[语文]&lt;9E+307)*(表成绩单[语文]&gt;表成绩单[[#This Row],[语文]]))+1)</f>
        <v>519</v>
      </c>
      <c r="Q2687" s="29" cm="1">
        <f t="array" ref="Q2687">IF(表成绩单[[#This Row],[数学]]="","",SUMPRODUCT((表成绩单[考试日期]=表成绩单[[#This Row],[考试日期]])*(表成绩单[数学]&lt;9E+307)*(表成绩单[数学]&gt;表成绩单[[#This Row],[数学]]))+1)</f>
        <v>202</v>
      </c>
      <c r="R2687" s="29" cm="1">
        <f t="array" ref="R2687">IF(表成绩单[[#This Row],[英语]]="","",SUMPRODUCT((表成绩单[考试日期]=表成绩单[[#This Row],[考试日期]])*(表成绩单[英语]&lt;9E+307)*(表成绩单[英语]&gt;表成绩单[[#This Row],[英语]]))+1)</f>
        <v>266</v>
      </c>
      <c r="S2687" s="29" cm="1">
        <f t="array" ref="S2687">IF(表成绩单[[#This Row],[物理]]="","",SUMPRODUCT((表成绩单[考试日期]=表成绩单[[#This Row],[考试日期]])*(表成绩单[物理]&lt;9E+307)*(表成绩单[物理]&gt;表成绩单[[#This Row],[物理]]))+1)</f>
        <v>223</v>
      </c>
      <c r="T2687" s="29" cm="1">
        <f t="array" ref="T2687">IF(表成绩单[[#This Row],[化学]]="","",SUMPRODUCT((表成绩单[考试日期]=表成绩单[[#This Row],[考试日期]])*(表成绩单[化学]&lt;9E+307)*(表成绩单[化学]&gt;表成绩单[[#This Row],[化学]]))+1)</f>
        <v>241</v>
      </c>
      <c r="U2687" s="29" cm="1">
        <f t="array" ref="U2687">IF(表成绩单[[#This Row],[政治]]="","",SUMPRODUCT((表成绩单[考试日期]=表成绩单[[#This Row],[考试日期]])*(表成绩单[政治]&lt;9E+307)*(表成绩单[政治]&gt;表成绩单[[#This Row],[政治]]))+1)</f>
        <v>346</v>
      </c>
      <c r="V2687" s="29" cm="1">
        <f t="array" ref="V2687">IF(表成绩单[[#This Row],[历史]]="","",SUMPRODUCT((表成绩单[考试日期]=表成绩单[[#This Row],[考试日期]])*(表成绩单[历史]&lt;9E+307)*(表成绩单[历史]&gt;表成绩单[[#This Row],[历史]]))+1)</f>
        <v>173</v>
      </c>
      <c r="W2687" s="29" cm="1">
        <f t="array" ref="W2687">IF(表成绩单[[#This Row],[总分]]="","",SUMPRODUCT((表成绩单[考试日期]=表成绩单[[#This Row],[考试日期]])*(表成绩单[总分]&lt;9E+307)*(表成绩单[总分]&gt;表成绩单[[#This Row],[总分]]))+1)</f>
        <v>279</v>
      </c>
    </row>
    <row r="2688" ht="28" customHeight="1" spans="4:23">
      <c r="D2688" s="31">
        <v>46108</v>
      </c>
      <c r="E2688" s="29">
        <v>19175707</v>
      </c>
      <c r="F2688" s="29" t="s">
        <v>72</v>
      </c>
      <c r="G2688" s="29" t="s">
        <v>345</v>
      </c>
      <c r="H2688" s="29">
        <v>101</v>
      </c>
      <c r="I2688" s="29">
        <v>95</v>
      </c>
      <c r="J2688" s="29">
        <v>83</v>
      </c>
      <c r="K2688" s="29">
        <v>82</v>
      </c>
      <c r="L2688" s="29">
        <v>68</v>
      </c>
      <c r="M2688" s="29">
        <v>73</v>
      </c>
      <c r="N2688" s="29">
        <v>71</v>
      </c>
      <c r="O2688" s="32">
        <v>573</v>
      </c>
      <c r="P2688" s="29" cm="1">
        <f t="array" ref="P2688">IF(表成绩单[[#This Row],[语文]]="","",SUMPRODUCT((表成绩单[考试日期]=表成绩单[[#This Row],[考试日期]])*(表成绩单[语文]&lt;9E+307)*(表成绩单[语文]&gt;表成绩单[[#This Row],[语文]]))+1)</f>
        <v>211</v>
      </c>
      <c r="Q2688" s="29" cm="1">
        <f t="array" ref="Q2688">IF(表成绩单[[#This Row],[数学]]="","",SUMPRODUCT((表成绩单[考试日期]=表成绩单[[#This Row],[考试日期]])*(表成绩单[数学]&lt;9E+307)*(表成绩单[数学]&gt;表成绩单[[#This Row],[数学]]))+1)</f>
        <v>229</v>
      </c>
      <c r="R2688" s="29" cm="1">
        <f t="array" ref="R2688">IF(表成绩单[[#This Row],[英语]]="","",SUMPRODUCT((表成绩单[考试日期]=表成绩单[[#This Row],[考试日期]])*(表成绩单[英语]&lt;9E+307)*(表成绩单[英语]&gt;表成绩单[[#This Row],[英语]]))+1)</f>
        <v>134</v>
      </c>
      <c r="S2688" s="29" cm="1">
        <f t="array" ref="S2688">IF(表成绩单[[#This Row],[物理]]="","",SUMPRODUCT((表成绩单[考试日期]=表成绩单[[#This Row],[考试日期]])*(表成绩单[物理]&lt;9E+307)*(表成绩单[物理]&gt;表成绩单[[#This Row],[物理]]))+1)</f>
        <v>223</v>
      </c>
      <c r="T2688" s="29" cm="1">
        <f t="array" ref="T2688">IF(表成绩单[[#This Row],[化学]]="","",SUMPRODUCT((表成绩单[考试日期]=表成绩单[[#This Row],[考试日期]])*(表成绩单[化学]&lt;9E+307)*(表成绩单[化学]&gt;表成绩单[[#This Row],[化学]]))+1)</f>
        <v>306</v>
      </c>
      <c r="U2688" s="29" cm="1">
        <f t="array" ref="U2688">IF(表成绩单[[#This Row],[政治]]="","",SUMPRODUCT((表成绩单[考试日期]=表成绩单[[#This Row],[考试日期]])*(表成绩单[政治]&lt;9E+307)*(表成绩单[政治]&gt;表成绩单[[#This Row],[政治]]))+1)</f>
        <v>431</v>
      </c>
      <c r="V2688" s="29" cm="1">
        <f t="array" ref="V2688">IF(表成绩单[[#This Row],[历史]]="","",SUMPRODUCT((表成绩单[考试日期]=表成绩单[[#This Row],[考试日期]])*(表成绩单[历史]&lt;9E+307)*(表成绩单[历史]&gt;表成绩单[[#This Row],[历史]]))+1)</f>
        <v>516</v>
      </c>
      <c r="W2688" s="29" cm="1">
        <f t="array" ref="W2688">IF(表成绩单[[#This Row],[总分]]="","",SUMPRODUCT((表成绩单[考试日期]=表成绩单[[#This Row],[考试日期]])*(表成绩单[总分]&lt;9E+307)*(表成绩单[总分]&gt;表成绩单[[#This Row],[总分]]))+1)</f>
        <v>279</v>
      </c>
    </row>
    <row r="2689" ht="28" customHeight="1" spans="4:23">
      <c r="D2689" s="31">
        <v>46108</v>
      </c>
      <c r="E2689" s="29">
        <v>19177590</v>
      </c>
      <c r="F2689" s="29" t="s">
        <v>58</v>
      </c>
      <c r="G2689" s="29" t="s">
        <v>393</v>
      </c>
      <c r="H2689" s="29">
        <v>92</v>
      </c>
      <c r="I2689" s="29">
        <v>98</v>
      </c>
      <c r="J2689" s="29">
        <v>77</v>
      </c>
      <c r="K2689" s="29">
        <v>88</v>
      </c>
      <c r="L2689" s="29">
        <v>70</v>
      </c>
      <c r="M2689" s="29">
        <v>75</v>
      </c>
      <c r="N2689" s="29">
        <v>73</v>
      </c>
      <c r="O2689" s="32">
        <v>573</v>
      </c>
      <c r="P2689" s="29" cm="1">
        <f t="array" ref="P2689">IF(表成绩单[[#This Row],[语文]]="","",SUMPRODUCT((表成绩单[考试日期]=表成绩单[[#This Row],[考试日期]])*(表成绩单[语文]&lt;9E+307)*(表成绩单[语文]&gt;表成绩单[[#This Row],[语文]]))+1)</f>
        <v>494</v>
      </c>
      <c r="Q2689" s="29" cm="1">
        <f t="array" ref="Q2689">IF(表成绩单[[#This Row],[数学]]="","",SUMPRODUCT((表成绩单[考试日期]=表成绩单[[#This Row],[考试日期]])*(表成绩单[数学]&lt;9E+307)*(表成绩单[数学]&gt;表成绩单[[#This Row],[数学]]))+1)</f>
        <v>158</v>
      </c>
      <c r="R2689" s="29" cm="1">
        <f t="array" ref="R2689">IF(表成绩单[[#This Row],[英语]]="","",SUMPRODUCT((表成绩单[考试日期]=表成绩单[[#This Row],[考试日期]])*(表成绩单[英语]&lt;9E+307)*(表成绩单[英语]&gt;表成绩单[[#This Row],[英语]]))+1)</f>
        <v>370</v>
      </c>
      <c r="S2689" s="29" cm="1">
        <f t="array" ref="S2689">IF(表成绩单[[#This Row],[物理]]="","",SUMPRODUCT((表成绩单[考试日期]=表成绩单[[#This Row],[考试日期]])*(表成绩单[物理]&lt;9E+307)*(表成绩单[物理]&gt;表成绩单[[#This Row],[物理]]))+1)</f>
        <v>27</v>
      </c>
      <c r="T2689" s="29" cm="1">
        <f t="array" ref="T2689">IF(表成绩单[[#This Row],[化学]]="","",SUMPRODUCT((表成绩单[考试日期]=表成绩单[[#This Row],[考试日期]])*(表成绩单[化学]&lt;9E+307)*(表成绩单[化学]&gt;表成绩单[[#This Row],[化学]]))+1)</f>
        <v>241</v>
      </c>
      <c r="U2689" s="29" cm="1">
        <f t="array" ref="U2689">IF(表成绩单[[#This Row],[政治]]="","",SUMPRODUCT((表成绩单[考试日期]=表成绩单[[#This Row],[考试日期]])*(表成绩单[政治]&lt;9E+307)*(表成绩单[政治]&gt;表成绩单[[#This Row],[政治]]))+1)</f>
        <v>346</v>
      </c>
      <c r="V2689" s="29" cm="1">
        <f t="array" ref="V2689">IF(表成绩单[[#This Row],[历史]]="","",SUMPRODUCT((表成绩单[考试日期]=表成绩单[[#This Row],[考试日期]])*(表成绩单[历史]&lt;9E+307)*(表成绩单[历史]&gt;表成绩单[[#This Row],[历史]]))+1)</f>
        <v>432</v>
      </c>
      <c r="W2689" s="29" cm="1">
        <f t="array" ref="W2689">IF(表成绩单[[#This Row],[总分]]="","",SUMPRODUCT((表成绩单[考试日期]=表成绩单[[#This Row],[考试日期]])*(表成绩单[总分]&lt;9E+307)*(表成绩单[总分]&gt;表成绩单[[#This Row],[总分]]))+1)</f>
        <v>279</v>
      </c>
    </row>
    <row r="2690" ht="28" customHeight="1" spans="4:23">
      <c r="D2690" s="31">
        <v>46108</v>
      </c>
      <c r="E2690" s="29">
        <v>19177637</v>
      </c>
      <c r="F2690" s="29" t="s">
        <v>63</v>
      </c>
      <c r="G2690" s="29" t="s">
        <v>301</v>
      </c>
      <c r="H2690" s="29">
        <v>96</v>
      </c>
      <c r="I2690" s="29">
        <v>95</v>
      </c>
      <c r="J2690" s="29">
        <v>74</v>
      </c>
      <c r="K2690" s="29">
        <v>84</v>
      </c>
      <c r="L2690" s="29">
        <v>68</v>
      </c>
      <c r="M2690" s="29">
        <v>76</v>
      </c>
      <c r="N2690" s="29">
        <v>80</v>
      </c>
      <c r="O2690" s="32">
        <v>573</v>
      </c>
      <c r="P2690" s="29" cm="1">
        <f t="array" ref="P2690">IF(表成绩单[[#This Row],[语文]]="","",SUMPRODUCT((表成绩单[考试日期]=表成绩单[[#This Row],[考试日期]])*(表成绩单[语文]&lt;9E+307)*(表成绩单[语文]&gt;表成绩单[[#This Row],[语文]]))+1)</f>
        <v>390</v>
      </c>
      <c r="Q2690" s="29" cm="1">
        <f t="array" ref="Q2690">IF(表成绩单[[#This Row],[数学]]="","",SUMPRODUCT((表成绩单[考试日期]=表成绩单[[#This Row],[考试日期]])*(表成绩单[数学]&lt;9E+307)*(表成绩单[数学]&gt;表成绩单[[#This Row],[数学]]))+1)</f>
        <v>229</v>
      </c>
      <c r="R2690" s="29" cm="1">
        <f t="array" ref="R2690">IF(表成绩单[[#This Row],[英语]]="","",SUMPRODUCT((表成绩单[考试日期]=表成绩单[[#This Row],[考试日期]])*(表成绩单[英语]&lt;9E+307)*(表成绩单[英语]&gt;表成绩单[[#This Row],[英语]]))+1)</f>
        <v>464</v>
      </c>
      <c r="S2690" s="29" cm="1">
        <f t="array" ref="S2690">IF(表成绩单[[#This Row],[物理]]="","",SUMPRODUCT((表成绩单[考试日期]=表成绩单[[#This Row],[考试日期]])*(表成绩单[物理]&lt;9E+307)*(表成绩单[物理]&gt;表成绩单[[#This Row],[物理]]))+1)</f>
        <v>146</v>
      </c>
      <c r="T2690" s="29" cm="1">
        <f t="array" ref="T2690">IF(表成绩单[[#This Row],[化学]]="","",SUMPRODUCT((表成绩单[考试日期]=表成绩单[[#This Row],[考试日期]])*(表成绩单[化学]&lt;9E+307)*(表成绩单[化学]&gt;表成绩单[[#This Row],[化学]]))+1)</f>
        <v>306</v>
      </c>
      <c r="U2690" s="29" cm="1">
        <f t="array" ref="U2690">IF(表成绩单[[#This Row],[政治]]="","",SUMPRODUCT((表成绩单[考试日期]=表成绩单[[#This Row],[考试日期]])*(表成绩单[政治]&lt;9E+307)*(表成绩单[政治]&gt;表成绩单[[#This Row],[政治]]))+1)</f>
        <v>291</v>
      </c>
      <c r="V2690" s="29" cm="1">
        <f t="array" ref="V2690">IF(表成绩单[[#This Row],[历史]]="","",SUMPRODUCT((表成绩单[考试日期]=表成绩单[[#This Row],[考试日期]])*(表成绩单[历史]&lt;9E+307)*(表成绩单[历史]&gt;表成绩单[[#This Row],[历史]]))+1)</f>
        <v>143</v>
      </c>
      <c r="W2690" s="29" cm="1">
        <f t="array" ref="W2690">IF(表成绩单[[#This Row],[总分]]="","",SUMPRODUCT((表成绩单[考试日期]=表成绩单[[#This Row],[考试日期]])*(表成绩单[总分]&lt;9E+307)*(表成绩单[总分]&gt;表成绩单[[#This Row],[总分]]))+1)</f>
        <v>279</v>
      </c>
    </row>
    <row r="2691" ht="28" customHeight="1" spans="4:23">
      <c r="D2691" s="31">
        <v>46108</v>
      </c>
      <c r="E2691" s="29">
        <v>19174457</v>
      </c>
      <c r="F2691" s="29" t="s">
        <v>73</v>
      </c>
      <c r="G2691" s="29" t="s">
        <v>326</v>
      </c>
      <c r="H2691" s="29">
        <v>101</v>
      </c>
      <c r="I2691" s="29">
        <v>95</v>
      </c>
      <c r="J2691" s="29">
        <v>82.5</v>
      </c>
      <c r="K2691" s="29">
        <v>87</v>
      </c>
      <c r="L2691" s="29">
        <v>60</v>
      </c>
      <c r="M2691" s="29">
        <v>76</v>
      </c>
      <c r="N2691" s="29">
        <v>71</v>
      </c>
      <c r="O2691" s="32">
        <v>572.5</v>
      </c>
      <c r="P2691" s="29" cm="1">
        <f t="array" ref="P2691">IF(表成绩单[[#This Row],[语文]]="","",SUMPRODUCT((表成绩单[考试日期]=表成绩单[[#This Row],[考试日期]])*(表成绩单[语文]&lt;9E+307)*(表成绩单[语文]&gt;表成绩单[[#This Row],[语文]]))+1)</f>
        <v>211</v>
      </c>
      <c r="Q2691" s="29" cm="1">
        <f t="array" ref="Q2691">IF(表成绩单[[#This Row],[数学]]="","",SUMPRODUCT((表成绩单[考试日期]=表成绩单[[#This Row],[考试日期]])*(表成绩单[数学]&lt;9E+307)*(表成绩单[数学]&gt;表成绩单[[#This Row],[数学]]))+1)</f>
        <v>229</v>
      </c>
      <c r="R2691" s="29" cm="1">
        <f t="array" ref="R2691">IF(表成绩单[[#This Row],[英语]]="","",SUMPRODUCT((表成绩单[考试日期]=表成绩单[[#This Row],[考试日期]])*(表成绩单[英语]&lt;9E+307)*(表成绩单[英语]&gt;表成绩单[[#This Row],[英语]]))+1)</f>
        <v>156</v>
      </c>
      <c r="S2691" s="29" cm="1">
        <f t="array" ref="S2691">IF(表成绩单[[#This Row],[物理]]="","",SUMPRODUCT((表成绩单[考试日期]=表成绩单[[#This Row],[考试日期]])*(表成绩单[物理]&lt;9E+307)*(表成绩单[物理]&gt;表成绩单[[#This Row],[物理]]))+1)</f>
        <v>49</v>
      </c>
      <c r="T2691" s="29" cm="1">
        <f t="array" ref="T2691">IF(表成绩单[[#This Row],[化学]]="","",SUMPRODUCT((表成绩单[考试日期]=表成绩单[[#This Row],[考试日期]])*(表成绩单[化学]&lt;9E+307)*(表成绩单[化学]&gt;表成绩单[[#This Row],[化学]]))+1)</f>
        <v>490</v>
      </c>
      <c r="U2691" s="29" cm="1">
        <f t="array" ref="U2691">IF(表成绩单[[#This Row],[政治]]="","",SUMPRODUCT((表成绩单[考试日期]=表成绩单[[#This Row],[考试日期]])*(表成绩单[政治]&lt;9E+307)*(表成绩单[政治]&gt;表成绩单[[#This Row],[政治]]))+1)</f>
        <v>291</v>
      </c>
      <c r="V2691" s="29" cm="1">
        <f t="array" ref="V2691">IF(表成绩单[[#This Row],[历史]]="","",SUMPRODUCT((表成绩单[考试日期]=表成绩单[[#This Row],[考试日期]])*(表成绩单[历史]&lt;9E+307)*(表成绩单[历史]&gt;表成绩单[[#This Row],[历史]]))+1)</f>
        <v>516</v>
      </c>
      <c r="W2691" s="29" cm="1">
        <f t="array" ref="W2691">IF(表成绩单[[#This Row],[总分]]="","",SUMPRODUCT((表成绩单[考试日期]=表成绩单[[#This Row],[考试日期]])*(表成绩单[总分]&lt;9E+307)*(表成绩单[总分]&gt;表成绩单[[#This Row],[总分]]))+1)</f>
        <v>284</v>
      </c>
    </row>
    <row r="2692" ht="28" customHeight="1" spans="4:23">
      <c r="D2692" s="31">
        <v>46108</v>
      </c>
      <c r="E2692" s="29">
        <v>19175662</v>
      </c>
      <c r="F2692" s="29" t="s">
        <v>66</v>
      </c>
      <c r="G2692" s="29" t="s">
        <v>414</v>
      </c>
      <c r="H2692" s="29">
        <v>103</v>
      </c>
      <c r="I2692" s="29">
        <v>88</v>
      </c>
      <c r="J2692" s="29">
        <v>81.5</v>
      </c>
      <c r="K2692" s="29">
        <v>77</v>
      </c>
      <c r="L2692" s="29">
        <v>73</v>
      </c>
      <c r="M2692" s="29">
        <v>73</v>
      </c>
      <c r="N2692" s="29">
        <v>77</v>
      </c>
      <c r="O2692" s="32">
        <v>572.5</v>
      </c>
      <c r="P2692" s="29" cm="1">
        <f t="array" ref="P2692">IF(表成绩单[[#This Row],[语文]]="","",SUMPRODUCT((表成绩单[考试日期]=表成绩单[[#This Row],[考试日期]])*(表成绩单[语文]&lt;9E+307)*(表成绩单[语文]&gt;表成绩单[[#This Row],[语文]]))+1)</f>
        <v>155</v>
      </c>
      <c r="Q2692" s="29" cm="1">
        <f t="array" ref="Q2692">IF(表成绩单[[#This Row],[数学]]="","",SUMPRODUCT((表成绩单[考试日期]=表成绩单[[#This Row],[考试日期]])*(表成绩单[数学]&lt;9E+307)*(表成绩单[数学]&gt;表成绩单[[#This Row],[数学]]))+1)</f>
        <v>424</v>
      </c>
      <c r="R2692" s="29" cm="1">
        <f t="array" ref="R2692">IF(表成绩单[[#This Row],[英语]]="","",SUMPRODUCT((表成绩单[考试日期]=表成绩单[[#This Row],[考试日期]])*(表成绩单[英语]&lt;9E+307)*(表成绩单[英语]&gt;表成绩单[[#This Row],[英语]]))+1)</f>
        <v>203</v>
      </c>
      <c r="S2692" s="29" cm="1">
        <f t="array" ref="S2692">IF(表成绩单[[#This Row],[物理]]="","",SUMPRODUCT((表成绩单[考试日期]=表成绩单[[#This Row],[考试日期]])*(表成绩单[物理]&lt;9E+307)*(表成绩单[物理]&gt;表成绩单[[#This Row],[物理]]))+1)</f>
        <v>400</v>
      </c>
      <c r="T2692" s="29" cm="1">
        <f t="array" ref="T2692">IF(表成绩单[[#This Row],[化学]]="","",SUMPRODUCT((表成绩单[考试日期]=表成绩单[[#This Row],[考试日期]])*(表成绩单[化学]&lt;9E+307)*(表成绩单[化学]&gt;表成绩单[[#This Row],[化学]]))+1)</f>
        <v>152</v>
      </c>
      <c r="U2692" s="29" cm="1">
        <f t="array" ref="U2692">IF(表成绩单[[#This Row],[政治]]="","",SUMPRODUCT((表成绩单[考试日期]=表成绩单[[#This Row],[考试日期]])*(表成绩单[政治]&lt;9E+307)*(表成绩单[政治]&gt;表成绩单[[#This Row],[政治]]))+1)</f>
        <v>431</v>
      </c>
      <c r="V2692" s="29" cm="1">
        <f t="array" ref="V2692">IF(表成绩单[[#This Row],[历史]]="","",SUMPRODUCT((表成绩单[考试日期]=表成绩单[[#This Row],[考试日期]])*(表成绩单[历史]&lt;9E+307)*(表成绩单[历史]&gt;表成绩单[[#This Row],[历史]]))+1)</f>
        <v>269</v>
      </c>
      <c r="W2692" s="29" cm="1">
        <f t="array" ref="W2692">IF(表成绩单[[#This Row],[总分]]="","",SUMPRODUCT((表成绩单[考试日期]=表成绩单[[#This Row],[考试日期]])*(表成绩单[总分]&lt;9E+307)*(表成绩单[总分]&gt;表成绩单[[#This Row],[总分]]))+1)</f>
        <v>284</v>
      </c>
    </row>
    <row r="2693" ht="28" customHeight="1" spans="4:23">
      <c r="D2693" s="31">
        <v>46108</v>
      </c>
      <c r="E2693" s="29">
        <v>19176854</v>
      </c>
      <c r="F2693" s="29" t="s">
        <v>71</v>
      </c>
      <c r="G2693" s="29" t="s">
        <v>628</v>
      </c>
      <c r="H2693" s="29">
        <v>102</v>
      </c>
      <c r="I2693" s="29">
        <v>94</v>
      </c>
      <c r="J2693" s="29">
        <v>74.5</v>
      </c>
      <c r="K2693" s="29">
        <v>88</v>
      </c>
      <c r="L2693" s="29">
        <v>67</v>
      </c>
      <c r="M2693" s="29">
        <v>76</v>
      </c>
      <c r="N2693" s="29">
        <v>71</v>
      </c>
      <c r="O2693" s="32">
        <v>572.5</v>
      </c>
      <c r="P2693" s="29" cm="1">
        <f t="array" ref="P2693">IF(表成绩单[[#This Row],[语文]]="","",SUMPRODUCT((表成绩单[考试日期]=表成绩单[[#This Row],[考试日期]])*(表成绩单[语文]&lt;9E+307)*(表成绩单[语文]&gt;表成绩单[[#This Row],[语文]]))+1)</f>
        <v>183</v>
      </c>
      <c r="Q2693" s="29" cm="1">
        <f t="array" ref="Q2693">IF(表成绩单[[#This Row],[数学]]="","",SUMPRODUCT((表成绩单[考试日期]=表成绩单[[#This Row],[考试日期]])*(表成绩单[数学]&lt;9E+307)*(表成绩单[数学]&gt;表成绩单[[#This Row],[数学]]))+1)</f>
        <v>258</v>
      </c>
      <c r="R2693" s="29" cm="1">
        <f t="array" ref="R2693">IF(表成绩单[[#This Row],[英语]]="","",SUMPRODUCT((表成绩单[考试日期]=表成绩单[[#This Row],[考试日期]])*(表成绩单[英语]&lt;9E+307)*(表成绩单[英语]&gt;表成绩单[[#This Row],[英语]]))+1)</f>
        <v>456</v>
      </c>
      <c r="S2693" s="29" cm="1">
        <f t="array" ref="S2693">IF(表成绩单[[#This Row],[物理]]="","",SUMPRODUCT((表成绩单[考试日期]=表成绩单[[#This Row],[考试日期]])*(表成绩单[物理]&lt;9E+307)*(表成绩单[物理]&gt;表成绩单[[#This Row],[物理]]))+1)</f>
        <v>27</v>
      </c>
      <c r="T2693" s="29" cm="1">
        <f t="array" ref="T2693">IF(表成绩单[[#This Row],[化学]]="","",SUMPRODUCT((表成绩单[考试日期]=表成绩单[[#This Row],[考试日期]])*(表成绩单[化学]&lt;9E+307)*(表成绩单[化学]&gt;表成绩单[[#This Row],[化学]]))+1)</f>
        <v>335</v>
      </c>
      <c r="U2693" s="29" cm="1">
        <f t="array" ref="U2693">IF(表成绩单[[#This Row],[政治]]="","",SUMPRODUCT((表成绩单[考试日期]=表成绩单[[#This Row],[考试日期]])*(表成绩单[政治]&lt;9E+307)*(表成绩单[政治]&gt;表成绩单[[#This Row],[政治]]))+1)</f>
        <v>291</v>
      </c>
      <c r="V2693" s="29" cm="1">
        <f t="array" ref="V2693">IF(表成绩单[[#This Row],[历史]]="","",SUMPRODUCT((表成绩单[考试日期]=表成绩单[[#This Row],[考试日期]])*(表成绩单[历史]&lt;9E+307)*(表成绩单[历史]&gt;表成绩单[[#This Row],[历史]]))+1)</f>
        <v>516</v>
      </c>
      <c r="W2693" s="29" cm="1">
        <f t="array" ref="W2693">IF(表成绩单[[#This Row],[总分]]="","",SUMPRODUCT((表成绩单[考试日期]=表成绩单[[#This Row],[考试日期]])*(表成绩单[总分]&lt;9E+307)*(表成绩单[总分]&gt;表成绩单[[#This Row],[总分]]))+1)</f>
        <v>284</v>
      </c>
    </row>
    <row r="2694" ht="28" customHeight="1" spans="4:23">
      <c r="D2694" s="31">
        <v>46108</v>
      </c>
      <c r="E2694" s="29">
        <v>19177660</v>
      </c>
      <c r="F2694" s="29" t="s">
        <v>63</v>
      </c>
      <c r="G2694" s="29" t="s">
        <v>204</v>
      </c>
      <c r="H2694" s="29">
        <v>96</v>
      </c>
      <c r="I2694" s="29">
        <v>102</v>
      </c>
      <c r="J2694" s="29">
        <v>81</v>
      </c>
      <c r="K2694" s="29">
        <v>79</v>
      </c>
      <c r="L2694" s="29">
        <v>67</v>
      </c>
      <c r="M2694" s="29">
        <v>70</v>
      </c>
      <c r="N2694" s="29">
        <v>77</v>
      </c>
      <c r="O2694" s="32">
        <v>572</v>
      </c>
      <c r="P2694" s="29" cm="1">
        <f t="array" ref="P2694">IF(表成绩单[[#This Row],[语文]]="","",SUMPRODUCT((表成绩单[考试日期]=表成绩单[[#This Row],[考试日期]])*(表成绩单[语文]&lt;9E+307)*(表成绩单[语文]&gt;表成绩单[[#This Row],[语文]]))+1)</f>
        <v>390</v>
      </c>
      <c r="Q2694" s="29" cm="1">
        <f t="array" ref="Q2694">IF(表成绩单[[#This Row],[数学]]="","",SUMPRODUCT((表成绩单[考试日期]=表成绩单[[#This Row],[考试日期]])*(表成绩单[数学]&lt;9E+307)*(表成绩单[数学]&gt;表成绩单[[#This Row],[数学]]))+1)</f>
        <v>98</v>
      </c>
      <c r="R2694" s="29" cm="1">
        <f t="array" ref="R2694">IF(表成绩单[[#This Row],[英语]]="","",SUMPRODUCT((表成绩单[考试日期]=表成绩单[[#This Row],[考试日期]])*(表成绩单[英语]&lt;9E+307)*(表成绩单[英语]&gt;表成绩单[[#This Row],[英语]]))+1)</f>
        <v>227</v>
      </c>
      <c r="S2694" s="29" cm="1">
        <f t="array" ref="S2694">IF(表成绩单[[#This Row],[物理]]="","",SUMPRODUCT((表成绩单[考试日期]=表成绩单[[#This Row],[考试日期]])*(表成绩单[物理]&lt;9E+307)*(表成绩单[物理]&gt;表成绩单[[#This Row],[物理]]))+1)</f>
        <v>344</v>
      </c>
      <c r="T2694" s="29" cm="1">
        <f t="array" ref="T2694">IF(表成绩单[[#This Row],[化学]]="","",SUMPRODUCT((表成绩单[考试日期]=表成绩单[[#This Row],[考试日期]])*(表成绩单[化学]&lt;9E+307)*(表成绩单[化学]&gt;表成绩单[[#This Row],[化学]]))+1)</f>
        <v>335</v>
      </c>
      <c r="U2694" s="29" cm="1">
        <f t="array" ref="U2694">IF(表成绩单[[#This Row],[政治]]="","",SUMPRODUCT((表成绩单[考试日期]=表成绩单[[#This Row],[考试日期]])*(表成绩单[政治]&lt;9E+307)*(表成绩单[政治]&gt;表成绩单[[#This Row],[政治]]))+1)</f>
        <v>548</v>
      </c>
      <c r="V2694" s="29" cm="1">
        <f t="array" ref="V2694">IF(表成绩单[[#This Row],[历史]]="","",SUMPRODUCT((表成绩单[考试日期]=表成绩单[[#This Row],[考试日期]])*(表成绩单[历史]&lt;9E+307)*(表成绩单[历史]&gt;表成绩单[[#This Row],[历史]]))+1)</f>
        <v>269</v>
      </c>
      <c r="W2694" s="29" cm="1">
        <f t="array" ref="W2694">IF(表成绩单[[#This Row],[总分]]="","",SUMPRODUCT((表成绩单[考试日期]=表成绩单[[#This Row],[考试日期]])*(表成绩单[总分]&lt;9E+307)*(表成绩单[总分]&gt;表成绩单[[#This Row],[总分]]))+1)</f>
        <v>287</v>
      </c>
    </row>
    <row r="2695" ht="28" customHeight="1" spans="4:23">
      <c r="D2695" s="31">
        <v>46108</v>
      </c>
      <c r="E2695" s="29">
        <v>19177675</v>
      </c>
      <c r="F2695" s="29" t="s">
        <v>63</v>
      </c>
      <c r="G2695" s="29" t="s">
        <v>261</v>
      </c>
      <c r="H2695" s="29">
        <v>100</v>
      </c>
      <c r="I2695" s="29">
        <v>88</v>
      </c>
      <c r="J2695" s="29">
        <v>83</v>
      </c>
      <c r="K2695" s="29">
        <v>79</v>
      </c>
      <c r="L2695" s="29">
        <v>70</v>
      </c>
      <c r="M2695" s="29">
        <v>79</v>
      </c>
      <c r="N2695" s="29">
        <v>73</v>
      </c>
      <c r="O2695" s="32">
        <v>572</v>
      </c>
      <c r="P2695" s="29" cm="1">
        <f t="array" ref="P2695">IF(表成绩单[[#This Row],[语文]]="","",SUMPRODUCT((表成绩单[考试日期]=表成绩单[[#This Row],[考试日期]])*(表成绩单[语文]&lt;9E+307)*(表成绩单[语文]&gt;表成绩单[[#This Row],[语文]]))+1)</f>
        <v>247</v>
      </c>
      <c r="Q2695" s="29" cm="1">
        <f t="array" ref="Q2695">IF(表成绩单[[#This Row],[数学]]="","",SUMPRODUCT((表成绩单[考试日期]=表成绩单[[#This Row],[考试日期]])*(表成绩单[数学]&lt;9E+307)*(表成绩单[数学]&gt;表成绩单[[#This Row],[数学]]))+1)</f>
        <v>424</v>
      </c>
      <c r="R2695" s="29" cm="1">
        <f t="array" ref="R2695">IF(表成绩单[[#This Row],[英语]]="","",SUMPRODUCT((表成绩单[考试日期]=表成绩单[[#This Row],[考试日期]])*(表成绩单[英语]&lt;9E+307)*(表成绩单[英语]&gt;表成绩单[[#This Row],[英语]]))+1)</f>
        <v>134</v>
      </c>
      <c r="S2695" s="29" cm="1">
        <f t="array" ref="S2695">IF(表成绩单[[#This Row],[物理]]="","",SUMPRODUCT((表成绩单[考试日期]=表成绩单[[#This Row],[考试日期]])*(表成绩单[物理]&lt;9E+307)*(表成绩单[物理]&gt;表成绩单[[#This Row],[物理]]))+1)</f>
        <v>344</v>
      </c>
      <c r="T2695" s="29" cm="1">
        <f t="array" ref="T2695">IF(表成绩单[[#This Row],[化学]]="","",SUMPRODUCT((表成绩单[考试日期]=表成绩单[[#This Row],[考试日期]])*(表成绩单[化学]&lt;9E+307)*(表成绩单[化学]&gt;表成绩单[[#This Row],[化学]]))+1)</f>
        <v>241</v>
      </c>
      <c r="U2695" s="29" cm="1">
        <f t="array" ref="U2695">IF(表成绩单[[#This Row],[政治]]="","",SUMPRODUCT((表成绩单[考试日期]=表成绩单[[#This Row],[考试日期]])*(表成绩单[政治]&lt;9E+307)*(表成绩单[政治]&gt;表成绩单[[#This Row],[政治]]))+1)</f>
        <v>134</v>
      </c>
      <c r="V2695" s="29" cm="1">
        <f t="array" ref="V2695">IF(表成绩单[[#This Row],[历史]]="","",SUMPRODUCT((表成绩单[考试日期]=表成绩单[[#This Row],[考试日期]])*(表成绩单[历史]&lt;9E+307)*(表成绩单[历史]&gt;表成绩单[[#This Row],[历史]]))+1)</f>
        <v>432</v>
      </c>
      <c r="W2695" s="29" cm="1">
        <f t="array" ref="W2695">IF(表成绩单[[#This Row],[总分]]="","",SUMPRODUCT((表成绩单[考试日期]=表成绩单[[#This Row],[考试日期]])*(表成绩单[总分]&lt;9E+307)*(表成绩单[总分]&gt;表成绩单[[#This Row],[总分]]))+1)</f>
        <v>287</v>
      </c>
    </row>
    <row r="2696" ht="28" customHeight="1" spans="4:23">
      <c r="D2696" s="31">
        <v>46108</v>
      </c>
      <c r="E2696" s="29">
        <v>19178633</v>
      </c>
      <c r="F2696" s="29" t="s">
        <v>25</v>
      </c>
      <c r="G2696" s="29" t="s">
        <v>315</v>
      </c>
      <c r="H2696" s="29">
        <v>98</v>
      </c>
      <c r="I2696" s="29">
        <v>90</v>
      </c>
      <c r="J2696" s="29">
        <v>79</v>
      </c>
      <c r="K2696" s="29">
        <v>78</v>
      </c>
      <c r="L2696" s="29">
        <v>70</v>
      </c>
      <c r="M2696" s="29">
        <v>80</v>
      </c>
      <c r="N2696" s="29">
        <v>77</v>
      </c>
      <c r="O2696" s="32">
        <v>572</v>
      </c>
      <c r="P2696" s="29" cm="1">
        <f t="array" ref="P2696">IF(表成绩单[[#This Row],[语文]]="","",SUMPRODUCT((表成绩单[考试日期]=表成绩单[[#This Row],[考试日期]])*(表成绩单[语文]&lt;9E+307)*(表成绩单[语文]&gt;表成绩单[[#This Row],[语文]]))+1)</f>
        <v>322</v>
      </c>
      <c r="Q2696" s="29" cm="1">
        <f t="array" ref="Q2696">IF(表成绩单[[#This Row],[数学]]="","",SUMPRODUCT((表成绩单[考试日期]=表成绩单[[#This Row],[考试日期]])*(表成绩单[数学]&lt;9E+307)*(表成绩单[数学]&gt;表成绩单[[#This Row],[数学]]))+1)</f>
        <v>368</v>
      </c>
      <c r="R2696" s="29" cm="1">
        <f t="array" ref="R2696">IF(表成绩单[[#This Row],[英语]]="","",SUMPRODUCT((表成绩单[考试日期]=表成绩单[[#This Row],[考试日期]])*(表成绩单[英语]&lt;9E+307)*(表成绩单[英语]&gt;表成绩单[[#This Row],[英语]]))+1)</f>
        <v>305</v>
      </c>
      <c r="S2696" s="29" cm="1">
        <f t="array" ref="S2696">IF(表成绩单[[#This Row],[物理]]="","",SUMPRODUCT((表成绩单[考试日期]=表成绩单[[#This Row],[考试日期]])*(表成绩单[物理]&lt;9E+307)*(表成绩单[物理]&gt;表成绩单[[#This Row],[物理]]))+1)</f>
        <v>365</v>
      </c>
      <c r="T2696" s="29" cm="1">
        <f t="array" ref="T2696">IF(表成绩单[[#This Row],[化学]]="","",SUMPRODUCT((表成绩单[考试日期]=表成绩单[[#This Row],[考试日期]])*(表成绩单[化学]&lt;9E+307)*(表成绩单[化学]&gt;表成绩单[[#This Row],[化学]]))+1)</f>
        <v>241</v>
      </c>
      <c r="U2696" s="29" cm="1">
        <f t="array" ref="U2696">IF(表成绩单[[#This Row],[政治]]="","",SUMPRODUCT((表成绩单[考试日期]=表成绩单[[#This Row],[考试日期]])*(表成绩单[政治]&lt;9E+307)*(表成绩单[政治]&gt;表成绩单[[#This Row],[政治]]))+1)</f>
        <v>98</v>
      </c>
      <c r="V2696" s="29" cm="1">
        <f t="array" ref="V2696">IF(表成绩单[[#This Row],[历史]]="","",SUMPRODUCT((表成绩单[考试日期]=表成绩单[[#This Row],[考试日期]])*(表成绩单[历史]&lt;9E+307)*(表成绩单[历史]&gt;表成绩单[[#This Row],[历史]]))+1)</f>
        <v>269</v>
      </c>
      <c r="W2696" s="29" cm="1">
        <f t="array" ref="W2696">IF(表成绩单[[#This Row],[总分]]="","",SUMPRODUCT((表成绩单[考试日期]=表成绩单[[#This Row],[考试日期]])*(表成绩单[总分]&lt;9E+307)*(表成绩单[总分]&gt;表成绩单[[#This Row],[总分]]))+1)</f>
        <v>287</v>
      </c>
    </row>
    <row r="2697" ht="28" customHeight="1" spans="4:23">
      <c r="D2697" s="31">
        <v>46108</v>
      </c>
      <c r="E2697" s="29">
        <v>19174807</v>
      </c>
      <c r="F2697" s="29" t="s">
        <v>69</v>
      </c>
      <c r="G2697" s="29" t="s">
        <v>280</v>
      </c>
      <c r="H2697" s="29">
        <v>99</v>
      </c>
      <c r="I2697" s="29">
        <v>96</v>
      </c>
      <c r="J2697" s="29">
        <v>76.5</v>
      </c>
      <c r="K2697" s="29">
        <v>82</v>
      </c>
      <c r="L2697" s="29">
        <v>64</v>
      </c>
      <c r="M2697" s="29">
        <v>81</v>
      </c>
      <c r="N2697" s="29">
        <v>73</v>
      </c>
      <c r="O2697" s="32">
        <v>571.5</v>
      </c>
      <c r="P2697" s="29" cm="1">
        <f t="array" ref="P2697">IF(表成绩单[[#This Row],[语文]]="","",SUMPRODUCT((表成绩单[考试日期]=表成绩单[[#This Row],[考试日期]])*(表成绩单[语文]&lt;9E+307)*(表成绩单[语文]&gt;表成绩单[[#This Row],[语文]]))+1)</f>
        <v>279</v>
      </c>
      <c r="Q2697" s="29" cm="1">
        <f t="array" ref="Q2697">IF(表成绩单[[#This Row],[数学]]="","",SUMPRODUCT((表成绩单[考试日期]=表成绩单[[#This Row],[考试日期]])*(表成绩单[数学]&lt;9E+307)*(表成绩单[数学]&gt;表成绩单[[#This Row],[数学]]))+1)</f>
        <v>202</v>
      </c>
      <c r="R2697" s="29" cm="1">
        <f t="array" ref="R2697">IF(表成绩单[[#This Row],[英语]]="","",SUMPRODUCT((表成绩单[考试日期]=表成绩单[[#This Row],[考试日期]])*(表成绩单[英语]&lt;9E+307)*(表成绩单[英语]&gt;表成绩单[[#This Row],[英语]]))+1)</f>
        <v>384</v>
      </c>
      <c r="S2697" s="29" cm="1">
        <f t="array" ref="S2697">IF(表成绩单[[#This Row],[物理]]="","",SUMPRODUCT((表成绩单[考试日期]=表成绩单[[#This Row],[考试日期]])*(表成绩单[物理]&lt;9E+307)*(表成绩单[物理]&gt;表成绩单[[#This Row],[物理]]))+1)</f>
        <v>223</v>
      </c>
      <c r="T2697" s="29" cm="1">
        <f t="array" ref="T2697">IF(表成绩单[[#This Row],[化学]]="","",SUMPRODUCT((表成绩单[考试日期]=表成绩单[[#This Row],[考试日期]])*(表成绩单[化学]&lt;9E+307)*(表成绩单[化学]&gt;表成绩单[[#This Row],[化学]]))+1)</f>
        <v>400</v>
      </c>
      <c r="U2697" s="29" cm="1">
        <f t="array" ref="U2697">IF(表成绩单[[#This Row],[政治]]="","",SUMPRODUCT((表成绩单[考试日期]=表成绩单[[#This Row],[考试日期]])*(表成绩单[政治]&lt;9E+307)*(表成绩单[政治]&gt;表成绩单[[#This Row],[政治]]))+1)</f>
        <v>68</v>
      </c>
      <c r="V2697" s="29" cm="1">
        <f t="array" ref="V2697">IF(表成绩单[[#This Row],[历史]]="","",SUMPRODUCT((表成绩单[考试日期]=表成绩单[[#This Row],[考试日期]])*(表成绩单[历史]&lt;9E+307)*(表成绩单[历史]&gt;表成绩单[[#This Row],[历史]]))+1)</f>
        <v>432</v>
      </c>
      <c r="W2697" s="29" cm="1">
        <f t="array" ref="W2697">IF(表成绩单[[#This Row],[总分]]="","",SUMPRODUCT((表成绩单[考试日期]=表成绩单[[#This Row],[考试日期]])*(表成绩单[总分]&lt;9E+307)*(表成绩单[总分]&gt;表成绩单[[#This Row],[总分]]))+1)</f>
        <v>290</v>
      </c>
    </row>
    <row r="2698" ht="28" customHeight="1" spans="4:23">
      <c r="D2698" s="31">
        <v>46108</v>
      </c>
      <c r="E2698" s="29">
        <v>19175404</v>
      </c>
      <c r="F2698" s="29" t="s">
        <v>74</v>
      </c>
      <c r="G2698" s="29" t="s">
        <v>334</v>
      </c>
      <c r="H2698" s="29">
        <v>106</v>
      </c>
      <c r="I2698" s="29">
        <v>92</v>
      </c>
      <c r="J2698" s="29">
        <v>78.5</v>
      </c>
      <c r="K2698" s="29">
        <v>76</v>
      </c>
      <c r="L2698" s="29">
        <v>68</v>
      </c>
      <c r="M2698" s="29">
        <v>76</v>
      </c>
      <c r="N2698" s="29">
        <v>75</v>
      </c>
      <c r="O2698" s="32">
        <v>571.5</v>
      </c>
      <c r="P2698" s="29" cm="1">
        <f t="array" ref="P2698">IF(表成绩单[[#This Row],[语文]]="","",SUMPRODUCT((表成绩单[考试日期]=表成绩单[[#This Row],[考试日期]])*(表成绩单[语文]&lt;9E+307)*(表成绩单[语文]&gt;表成绩单[[#This Row],[语文]]))+1)</f>
        <v>85</v>
      </c>
      <c r="Q2698" s="29" cm="1">
        <f t="array" ref="Q2698">IF(表成绩单[[#This Row],[数学]]="","",SUMPRODUCT((表成绩单[考试日期]=表成绩单[[#This Row],[考试日期]])*(表成绩单[数学]&lt;9E+307)*(表成绩单[数学]&gt;表成绩单[[#This Row],[数学]]))+1)</f>
        <v>312</v>
      </c>
      <c r="R2698" s="29" cm="1">
        <f t="array" ref="R2698">IF(表成绩单[[#This Row],[英语]]="","",SUMPRODUCT((表成绩单[考试日期]=表成绩单[[#This Row],[考试日期]])*(表成绩单[英语]&lt;9E+307)*(表成绩单[英语]&gt;表成绩单[[#This Row],[英语]]))+1)</f>
        <v>322</v>
      </c>
      <c r="S2698" s="29" cm="1">
        <f t="array" ref="S2698">IF(表成绩单[[#This Row],[物理]]="","",SUMPRODUCT((表成绩单[考试日期]=表成绩单[[#This Row],[考试日期]])*(表成绩单[物理]&lt;9E+307)*(表成绩单[物理]&gt;表成绩单[[#This Row],[物理]]))+1)</f>
        <v>433</v>
      </c>
      <c r="T2698" s="29" cm="1">
        <f t="array" ref="T2698">IF(表成绩单[[#This Row],[化学]]="","",SUMPRODUCT((表成绩单[考试日期]=表成绩单[[#This Row],[考试日期]])*(表成绩单[化学]&lt;9E+307)*(表成绩单[化学]&gt;表成绩单[[#This Row],[化学]]))+1)</f>
        <v>306</v>
      </c>
      <c r="U2698" s="29" cm="1">
        <f t="array" ref="U2698">IF(表成绩单[[#This Row],[政治]]="","",SUMPRODUCT((表成绩单[考试日期]=表成绩单[[#This Row],[考试日期]])*(表成绩单[政治]&lt;9E+307)*(表成绩单[政治]&gt;表成绩单[[#This Row],[政治]]))+1)</f>
        <v>291</v>
      </c>
      <c r="V2698" s="29" cm="1">
        <f t="array" ref="V2698">IF(表成绩单[[#This Row],[历史]]="","",SUMPRODUCT((表成绩单[考试日期]=表成绩单[[#This Row],[考试日期]])*(表成绩单[历史]&lt;9E+307)*(表成绩单[历史]&gt;表成绩单[[#This Row],[历史]]))+1)</f>
        <v>354</v>
      </c>
      <c r="W2698" s="29" cm="1">
        <f t="array" ref="W2698">IF(表成绩单[[#This Row],[总分]]="","",SUMPRODUCT((表成绩单[考试日期]=表成绩单[[#This Row],[考试日期]])*(表成绩单[总分]&lt;9E+307)*(表成绩单[总分]&gt;表成绩单[[#This Row],[总分]]))+1)</f>
        <v>290</v>
      </c>
    </row>
    <row r="2699" ht="28" customHeight="1" spans="4:23">
      <c r="D2699" s="31">
        <v>46108</v>
      </c>
      <c r="E2699" s="29">
        <v>19175692</v>
      </c>
      <c r="F2699" s="29" t="s">
        <v>72</v>
      </c>
      <c r="G2699" s="29" t="s">
        <v>338</v>
      </c>
      <c r="H2699" s="29">
        <v>94</v>
      </c>
      <c r="I2699" s="29">
        <v>89</v>
      </c>
      <c r="J2699" s="29">
        <v>84.5</v>
      </c>
      <c r="K2699" s="29">
        <v>80</v>
      </c>
      <c r="L2699" s="29">
        <v>68</v>
      </c>
      <c r="M2699" s="29">
        <v>79</v>
      </c>
      <c r="N2699" s="29">
        <v>77</v>
      </c>
      <c r="O2699" s="32">
        <v>571.5</v>
      </c>
      <c r="P2699" s="29" cm="1">
        <f t="array" ref="P2699">IF(表成绩单[[#This Row],[语文]]="","",SUMPRODUCT((表成绩单[考试日期]=表成绩单[[#This Row],[考试日期]])*(表成绩单[语文]&lt;9E+307)*(表成绩单[语文]&gt;表成绩单[[#This Row],[语文]]))+1)</f>
        <v>449</v>
      </c>
      <c r="Q2699" s="29" cm="1">
        <f t="array" ref="Q2699">IF(表成绩单[[#This Row],[数学]]="","",SUMPRODUCT((表成绩单[考试日期]=表成绩单[[#This Row],[考试日期]])*(表成绩单[数学]&lt;9E+307)*(表成绩单[数学]&gt;表成绩单[[#This Row],[数学]]))+1)</f>
        <v>402</v>
      </c>
      <c r="R2699" s="29" cm="1">
        <f t="array" ref="R2699">IF(表成绩单[[#This Row],[英语]]="","",SUMPRODUCT((表成绩单[考试日期]=表成绩单[[#This Row],[考试日期]])*(表成绩单[英语]&lt;9E+307)*(表成绩单[英语]&gt;表成绩单[[#This Row],[英语]]))+1)</f>
        <v>83</v>
      </c>
      <c r="S2699" s="29" cm="1">
        <f t="array" ref="S2699">IF(表成绩单[[#This Row],[物理]]="","",SUMPRODUCT((表成绩单[考试日期]=表成绩单[[#This Row],[考试日期]])*(表成绩单[物理]&lt;9E+307)*(表成绩单[物理]&gt;表成绩单[[#This Row],[物理]]))+1)</f>
        <v>305</v>
      </c>
      <c r="T2699" s="29" cm="1">
        <f t="array" ref="T2699">IF(表成绩单[[#This Row],[化学]]="","",SUMPRODUCT((表成绩单[考试日期]=表成绩单[[#This Row],[考试日期]])*(表成绩单[化学]&lt;9E+307)*(表成绩单[化学]&gt;表成绩单[[#This Row],[化学]]))+1)</f>
        <v>306</v>
      </c>
      <c r="U2699" s="29" cm="1">
        <f t="array" ref="U2699">IF(表成绩单[[#This Row],[政治]]="","",SUMPRODUCT((表成绩单[考试日期]=表成绩单[[#This Row],[考试日期]])*(表成绩单[政治]&lt;9E+307)*(表成绩单[政治]&gt;表成绩单[[#This Row],[政治]]))+1)</f>
        <v>134</v>
      </c>
      <c r="V2699" s="29" cm="1">
        <f t="array" ref="V2699">IF(表成绩单[[#This Row],[历史]]="","",SUMPRODUCT((表成绩单[考试日期]=表成绩单[[#This Row],[考试日期]])*(表成绩单[历史]&lt;9E+307)*(表成绩单[历史]&gt;表成绩单[[#This Row],[历史]]))+1)</f>
        <v>269</v>
      </c>
      <c r="W2699" s="29" cm="1">
        <f t="array" ref="W2699">IF(表成绩单[[#This Row],[总分]]="","",SUMPRODUCT((表成绩单[考试日期]=表成绩单[[#This Row],[考试日期]])*(表成绩单[总分]&lt;9E+307)*(表成绩单[总分]&gt;表成绩单[[#This Row],[总分]]))+1)</f>
        <v>290</v>
      </c>
    </row>
    <row r="2700" ht="28" customHeight="1" spans="4:23">
      <c r="D2700" s="31">
        <v>46108</v>
      </c>
      <c r="E2700" s="29">
        <v>19175694</v>
      </c>
      <c r="F2700" s="29" t="s">
        <v>72</v>
      </c>
      <c r="G2700" s="29" t="s">
        <v>188</v>
      </c>
      <c r="H2700" s="29">
        <v>99</v>
      </c>
      <c r="I2700" s="29">
        <v>105</v>
      </c>
      <c r="J2700" s="29">
        <v>76.5</v>
      </c>
      <c r="K2700" s="29">
        <v>81</v>
      </c>
      <c r="L2700" s="29">
        <v>59</v>
      </c>
      <c r="M2700" s="29">
        <v>78</v>
      </c>
      <c r="N2700" s="29">
        <v>73</v>
      </c>
      <c r="O2700" s="32">
        <v>571.5</v>
      </c>
      <c r="P2700" s="29" cm="1">
        <f t="array" ref="P2700">IF(表成绩单[[#This Row],[语文]]="","",SUMPRODUCT((表成绩单[考试日期]=表成绩单[[#This Row],[考试日期]])*(表成绩单[语文]&lt;9E+307)*(表成绩单[语文]&gt;表成绩单[[#This Row],[语文]]))+1)</f>
        <v>279</v>
      </c>
      <c r="Q2700" s="29" cm="1">
        <f t="array" ref="Q2700">IF(表成绩单[[#This Row],[数学]]="","",SUMPRODUCT((表成绩单[考试日期]=表成绩单[[#This Row],[考试日期]])*(表成绩单[数学]&lt;9E+307)*(表成绩单[数学]&gt;表成绩单[[#This Row],[数学]]))+1)</f>
        <v>52</v>
      </c>
      <c r="R2700" s="29" cm="1">
        <f t="array" ref="R2700">IF(表成绩单[[#This Row],[英语]]="","",SUMPRODUCT((表成绩单[考试日期]=表成绩单[[#This Row],[考试日期]])*(表成绩单[英语]&lt;9E+307)*(表成绩单[英语]&gt;表成绩单[[#This Row],[英语]]))+1)</f>
        <v>384</v>
      </c>
      <c r="S2700" s="29" cm="1">
        <f t="array" ref="S2700">IF(表成绩单[[#This Row],[物理]]="","",SUMPRODUCT((表成绩单[考试日期]=表成绩单[[#This Row],[考试日期]])*(表成绩单[物理]&lt;9E+307)*(表成绩单[物理]&gt;表成绩单[[#This Row],[物理]]))+1)</f>
        <v>269</v>
      </c>
      <c r="T2700" s="29" cm="1">
        <f t="array" ref="T2700">IF(表成绩单[[#This Row],[化学]]="","",SUMPRODUCT((表成绩单[考试日期]=表成绩单[[#This Row],[考试日期]])*(表成绩单[化学]&lt;9E+307)*(表成绩单[化学]&gt;表成绩单[[#This Row],[化学]]))+1)</f>
        <v>510</v>
      </c>
      <c r="U2700" s="29" cm="1">
        <f t="array" ref="U2700">IF(表成绩单[[#This Row],[政治]]="","",SUMPRODUCT((表成绩单[考试日期]=表成绩单[[#This Row],[考试日期]])*(表成绩单[政治]&lt;9E+307)*(表成绩单[政治]&gt;表成绩单[[#This Row],[政治]]))+1)</f>
        <v>171</v>
      </c>
      <c r="V2700" s="29" cm="1">
        <f t="array" ref="V2700">IF(表成绩单[[#This Row],[历史]]="","",SUMPRODUCT((表成绩单[考试日期]=表成绩单[[#This Row],[考试日期]])*(表成绩单[历史]&lt;9E+307)*(表成绩单[历史]&gt;表成绩单[[#This Row],[历史]]))+1)</f>
        <v>432</v>
      </c>
      <c r="W2700" s="29" cm="1">
        <f t="array" ref="W2700">IF(表成绩单[[#This Row],[总分]]="","",SUMPRODUCT((表成绩单[考试日期]=表成绩单[[#This Row],[考试日期]])*(表成绩单[总分]&lt;9E+307)*(表成绩单[总分]&gt;表成绩单[[#This Row],[总分]]))+1)</f>
        <v>290</v>
      </c>
    </row>
    <row r="2701" ht="28" customHeight="1" spans="4:23">
      <c r="D2701" s="31">
        <v>46108</v>
      </c>
      <c r="E2701" s="29">
        <v>19176858</v>
      </c>
      <c r="F2701" s="29" t="s">
        <v>71</v>
      </c>
      <c r="G2701" s="29" t="s">
        <v>199</v>
      </c>
      <c r="H2701" s="29">
        <v>90</v>
      </c>
      <c r="I2701" s="29">
        <v>98</v>
      </c>
      <c r="J2701" s="29">
        <v>75.5</v>
      </c>
      <c r="K2701" s="29">
        <v>80</v>
      </c>
      <c r="L2701" s="29">
        <v>72</v>
      </c>
      <c r="M2701" s="29">
        <v>81</v>
      </c>
      <c r="N2701" s="29">
        <v>75</v>
      </c>
      <c r="O2701" s="32">
        <v>571.5</v>
      </c>
      <c r="P2701" s="29" cm="1">
        <f t="array" ref="P2701">IF(表成绩单[[#This Row],[语文]]="","",SUMPRODUCT((表成绩单[考试日期]=表成绩单[[#This Row],[考试日期]])*(表成绩单[语文]&lt;9E+307)*(表成绩单[语文]&gt;表成绩单[[#This Row],[语文]]))+1)</f>
        <v>539</v>
      </c>
      <c r="Q2701" s="29" cm="1">
        <f t="array" ref="Q2701">IF(表成绩单[[#This Row],[数学]]="","",SUMPRODUCT((表成绩单[考试日期]=表成绩单[[#This Row],[考试日期]])*(表成绩单[数学]&lt;9E+307)*(表成绩单[数学]&gt;表成绩单[[#This Row],[数学]]))+1)</f>
        <v>158</v>
      </c>
      <c r="R2701" s="29" cm="1">
        <f t="array" ref="R2701">IF(表成绩单[[#This Row],[英语]]="","",SUMPRODUCT((表成绩单[考试日期]=表成绩单[[#This Row],[考试日期]])*(表成绩单[英语]&lt;9E+307)*(表成绩单[英语]&gt;表成绩单[[#This Row],[英语]]))+1)</f>
        <v>421</v>
      </c>
      <c r="S2701" s="29" cm="1">
        <f t="array" ref="S2701">IF(表成绩单[[#This Row],[物理]]="","",SUMPRODUCT((表成绩单[考试日期]=表成绩单[[#This Row],[考试日期]])*(表成绩单[物理]&lt;9E+307)*(表成绩单[物理]&gt;表成绩单[[#This Row],[物理]]))+1)</f>
        <v>305</v>
      </c>
      <c r="T2701" s="29" cm="1">
        <f t="array" ref="T2701">IF(表成绩单[[#This Row],[化学]]="","",SUMPRODUCT((表成绩单[考试日期]=表成绩单[[#This Row],[考试日期]])*(表成绩单[化学]&lt;9E+307)*(表成绩单[化学]&gt;表成绩单[[#This Row],[化学]]))+1)</f>
        <v>187</v>
      </c>
      <c r="U2701" s="29" cm="1">
        <f t="array" ref="U2701">IF(表成绩单[[#This Row],[政治]]="","",SUMPRODUCT((表成绩单[考试日期]=表成绩单[[#This Row],[考试日期]])*(表成绩单[政治]&lt;9E+307)*(表成绩单[政治]&gt;表成绩单[[#This Row],[政治]]))+1)</f>
        <v>68</v>
      </c>
      <c r="V2701" s="29" cm="1">
        <f t="array" ref="V2701">IF(表成绩单[[#This Row],[历史]]="","",SUMPRODUCT((表成绩单[考试日期]=表成绩单[[#This Row],[考试日期]])*(表成绩单[历史]&lt;9E+307)*(表成绩单[历史]&gt;表成绩单[[#This Row],[历史]]))+1)</f>
        <v>354</v>
      </c>
      <c r="W2701" s="29" cm="1">
        <f t="array" ref="W2701">IF(表成绩单[[#This Row],[总分]]="","",SUMPRODUCT((表成绩单[考试日期]=表成绩单[[#This Row],[考试日期]])*(表成绩单[总分]&lt;9E+307)*(表成绩单[总分]&gt;表成绩单[[#This Row],[总分]]))+1)</f>
        <v>290</v>
      </c>
    </row>
    <row r="2702" ht="28" customHeight="1" spans="4:23">
      <c r="D2702" s="31">
        <v>46108</v>
      </c>
      <c r="E2702" s="29">
        <v>19178604</v>
      </c>
      <c r="F2702" s="29" t="s">
        <v>64</v>
      </c>
      <c r="G2702" s="29" t="s">
        <v>372</v>
      </c>
      <c r="H2702" s="29">
        <v>105</v>
      </c>
      <c r="I2702" s="29">
        <v>94</v>
      </c>
      <c r="J2702" s="29">
        <v>76.5</v>
      </c>
      <c r="K2702" s="29">
        <v>76</v>
      </c>
      <c r="L2702" s="29">
        <v>69</v>
      </c>
      <c r="M2702" s="29">
        <v>78</v>
      </c>
      <c r="N2702" s="29">
        <v>73</v>
      </c>
      <c r="O2702" s="32">
        <v>571.5</v>
      </c>
      <c r="P2702" s="29" cm="1">
        <f t="array" ref="P2702">IF(表成绩单[[#This Row],[语文]]="","",SUMPRODUCT((表成绩单[考试日期]=表成绩单[[#This Row],[考试日期]])*(表成绩单[语文]&lt;9E+307)*(表成绩单[语文]&gt;表成绩单[[#This Row],[语文]]))+1)</f>
        <v>101</v>
      </c>
      <c r="Q2702" s="29" cm="1">
        <f t="array" ref="Q2702">IF(表成绩单[[#This Row],[数学]]="","",SUMPRODUCT((表成绩单[考试日期]=表成绩单[[#This Row],[考试日期]])*(表成绩单[数学]&lt;9E+307)*(表成绩单[数学]&gt;表成绩单[[#This Row],[数学]]))+1)</f>
        <v>258</v>
      </c>
      <c r="R2702" s="29" cm="1">
        <f t="array" ref="R2702">IF(表成绩单[[#This Row],[英语]]="","",SUMPRODUCT((表成绩单[考试日期]=表成绩单[[#This Row],[考试日期]])*(表成绩单[英语]&lt;9E+307)*(表成绩单[英语]&gt;表成绩单[[#This Row],[英语]]))+1)</f>
        <v>384</v>
      </c>
      <c r="S2702" s="29" cm="1">
        <f t="array" ref="S2702">IF(表成绩单[[#This Row],[物理]]="","",SUMPRODUCT((表成绩单[考试日期]=表成绩单[[#This Row],[考试日期]])*(表成绩单[物理]&lt;9E+307)*(表成绩单[物理]&gt;表成绩单[[#This Row],[物理]]))+1)</f>
        <v>433</v>
      </c>
      <c r="T2702" s="29" cm="1">
        <f t="array" ref="T2702">IF(表成绩单[[#This Row],[化学]]="","",SUMPRODUCT((表成绩单[考试日期]=表成绩单[[#This Row],[考试日期]])*(表成绩单[化学]&lt;9E+307)*(表成绩单[化学]&gt;表成绩单[[#This Row],[化学]]))+1)</f>
        <v>269</v>
      </c>
      <c r="U2702" s="29" cm="1">
        <f t="array" ref="U2702">IF(表成绩单[[#This Row],[政治]]="","",SUMPRODUCT((表成绩单[考试日期]=表成绩单[[#This Row],[考试日期]])*(表成绩单[政治]&lt;9E+307)*(表成绩单[政治]&gt;表成绩单[[#This Row],[政治]]))+1)</f>
        <v>171</v>
      </c>
      <c r="V2702" s="29" cm="1">
        <f t="array" ref="V2702">IF(表成绩单[[#This Row],[历史]]="","",SUMPRODUCT((表成绩单[考试日期]=表成绩单[[#This Row],[考试日期]])*(表成绩单[历史]&lt;9E+307)*(表成绩单[历史]&gt;表成绩单[[#This Row],[历史]]))+1)</f>
        <v>432</v>
      </c>
      <c r="W2702" s="29" cm="1">
        <f t="array" ref="W2702">IF(表成绩单[[#This Row],[总分]]="","",SUMPRODUCT((表成绩单[考试日期]=表成绩单[[#This Row],[考试日期]])*(表成绩单[总分]&lt;9E+307)*(表成绩单[总分]&gt;表成绩单[[#This Row],[总分]]))+1)</f>
        <v>290</v>
      </c>
    </row>
    <row r="2703" ht="28" customHeight="1" spans="4:23">
      <c r="D2703" s="31">
        <v>46108</v>
      </c>
      <c r="E2703" s="29">
        <v>19175992</v>
      </c>
      <c r="F2703" s="29" t="s">
        <v>59</v>
      </c>
      <c r="G2703" s="29" t="s">
        <v>480</v>
      </c>
      <c r="H2703" s="29">
        <v>92</v>
      </c>
      <c r="I2703" s="29">
        <v>90</v>
      </c>
      <c r="J2703" s="29">
        <v>78</v>
      </c>
      <c r="K2703" s="29">
        <v>85</v>
      </c>
      <c r="L2703" s="29">
        <v>79</v>
      </c>
      <c r="M2703" s="29">
        <v>75</v>
      </c>
      <c r="N2703" s="29">
        <v>72</v>
      </c>
      <c r="O2703" s="32">
        <v>571</v>
      </c>
      <c r="P2703" s="29" cm="1">
        <f t="array" ref="P2703">IF(表成绩单[[#This Row],[语文]]="","",SUMPRODUCT((表成绩单[考试日期]=表成绩单[[#This Row],[考试日期]])*(表成绩单[语文]&lt;9E+307)*(表成绩单[语文]&gt;表成绩单[[#This Row],[语文]]))+1)</f>
        <v>494</v>
      </c>
      <c r="Q2703" s="29" cm="1">
        <f t="array" ref="Q2703">IF(表成绩单[[#This Row],[数学]]="","",SUMPRODUCT((表成绩单[考试日期]=表成绩单[[#This Row],[考试日期]])*(表成绩单[数学]&lt;9E+307)*(表成绩单[数学]&gt;表成绩单[[#This Row],[数学]]))+1)</f>
        <v>368</v>
      </c>
      <c r="R2703" s="29" cm="1">
        <f t="array" ref="R2703">IF(表成绩单[[#This Row],[英语]]="","",SUMPRODUCT((表成绩单[考试日期]=表成绩单[[#This Row],[考试日期]])*(表成绩单[英语]&lt;9E+307)*(表成绩单[英语]&gt;表成绩单[[#This Row],[英语]]))+1)</f>
        <v>341</v>
      </c>
      <c r="S2703" s="29" cm="1">
        <f t="array" ref="S2703">IF(表成绩单[[#This Row],[物理]]="","",SUMPRODUCT((表成绩单[考试日期]=表成绩单[[#This Row],[考试日期]])*(表成绩单[物理]&lt;9E+307)*(表成绩单[物理]&gt;表成绩单[[#This Row],[物理]]))+1)</f>
        <v>105</v>
      </c>
      <c r="T2703" s="29" cm="1">
        <f t="array" ref="T2703">IF(表成绩单[[#This Row],[化学]]="","",SUMPRODUCT((表成绩单[考试日期]=表成绩单[[#This Row],[考试日期]])*(表成绩单[化学]&lt;9E+307)*(表成绩单[化学]&gt;表成绩单[[#This Row],[化学]]))+1)</f>
        <v>35</v>
      </c>
      <c r="U2703" s="29" cm="1">
        <f t="array" ref="U2703">IF(表成绩单[[#This Row],[政治]]="","",SUMPRODUCT((表成绩单[考试日期]=表成绩单[[#This Row],[考试日期]])*(表成绩单[政治]&lt;9E+307)*(表成绩单[政治]&gt;表成绩单[[#This Row],[政治]]))+1)</f>
        <v>346</v>
      </c>
      <c r="V2703" s="29" cm="1">
        <f t="array" ref="V2703">IF(表成绩单[[#This Row],[历史]]="","",SUMPRODUCT((表成绩单[考试日期]=表成绩单[[#This Row],[考试日期]])*(表成绩单[历史]&lt;9E+307)*(表成绩单[历史]&gt;表成绩单[[#This Row],[历史]]))+1)</f>
        <v>470</v>
      </c>
      <c r="W2703" s="29" cm="1">
        <f t="array" ref="W2703">IF(表成绩单[[#This Row],[总分]]="","",SUMPRODUCT((表成绩单[考试日期]=表成绩单[[#This Row],[考试日期]])*(表成绩单[总分]&lt;9E+307)*(表成绩单[总分]&gt;表成绩单[[#This Row],[总分]]))+1)</f>
        <v>296</v>
      </c>
    </row>
    <row r="2704" ht="28" customHeight="1" spans="4:23">
      <c r="D2704" s="31">
        <v>46108</v>
      </c>
      <c r="E2704" s="29">
        <v>19177616</v>
      </c>
      <c r="F2704" s="29" t="s">
        <v>58</v>
      </c>
      <c r="G2704" s="29" t="s">
        <v>420</v>
      </c>
      <c r="H2704" s="29">
        <v>100</v>
      </c>
      <c r="I2704" s="29">
        <v>95</v>
      </c>
      <c r="J2704" s="29">
        <v>67</v>
      </c>
      <c r="K2704" s="29">
        <v>84</v>
      </c>
      <c r="L2704" s="29">
        <v>69</v>
      </c>
      <c r="M2704" s="29">
        <v>74</v>
      </c>
      <c r="N2704" s="29">
        <v>82</v>
      </c>
      <c r="O2704" s="32">
        <v>571</v>
      </c>
      <c r="P2704" s="29" cm="1">
        <f t="array" ref="P2704">IF(表成绩单[[#This Row],[语文]]="","",SUMPRODUCT((表成绩单[考试日期]=表成绩单[[#This Row],[考试日期]])*(表成绩单[语文]&lt;9E+307)*(表成绩单[语文]&gt;表成绩单[[#This Row],[语文]]))+1)</f>
        <v>247</v>
      </c>
      <c r="Q2704" s="29" cm="1">
        <f t="array" ref="Q2704">IF(表成绩单[[#This Row],[数学]]="","",SUMPRODUCT((表成绩单[考试日期]=表成绩单[[#This Row],[考试日期]])*(表成绩单[数学]&lt;9E+307)*(表成绩单[数学]&gt;表成绩单[[#This Row],[数学]]))+1)</f>
        <v>229</v>
      </c>
      <c r="R2704" s="29" cm="1">
        <f t="array" ref="R2704">IF(表成绩单[[#This Row],[英语]]="","",SUMPRODUCT((表成绩单[考试日期]=表成绩单[[#This Row],[考试日期]])*(表成绩单[英语]&lt;9E+307)*(表成绩单[英语]&gt;表成绩单[[#This Row],[英语]]))+1)</f>
        <v>580</v>
      </c>
      <c r="S2704" s="29" cm="1">
        <f t="array" ref="S2704">IF(表成绩单[[#This Row],[物理]]="","",SUMPRODUCT((表成绩单[考试日期]=表成绩单[[#This Row],[考试日期]])*(表成绩单[物理]&lt;9E+307)*(表成绩单[物理]&gt;表成绩单[[#This Row],[物理]]))+1)</f>
        <v>146</v>
      </c>
      <c r="T2704" s="29" cm="1">
        <f t="array" ref="T2704">IF(表成绩单[[#This Row],[化学]]="","",SUMPRODUCT((表成绩单[考试日期]=表成绩单[[#This Row],[考试日期]])*(表成绩单[化学]&lt;9E+307)*(表成绩单[化学]&gt;表成绩单[[#This Row],[化学]]))+1)</f>
        <v>269</v>
      </c>
      <c r="U2704" s="29" cm="1">
        <f t="array" ref="U2704">IF(表成绩单[[#This Row],[政治]]="","",SUMPRODUCT((表成绩单[考试日期]=表成绩单[[#This Row],[考试日期]])*(表成绩单[政治]&lt;9E+307)*(表成绩单[政治]&gt;表成绩单[[#This Row],[政治]]))+1)</f>
        <v>389</v>
      </c>
      <c r="V2704" s="29" cm="1">
        <f t="array" ref="V2704">IF(表成绩单[[#This Row],[历史]]="","",SUMPRODUCT((表成绩单[考试日期]=表成绩单[[#This Row],[考试日期]])*(表成绩单[历史]&lt;9E+307)*(表成绩单[历史]&gt;表成绩单[[#This Row],[历史]]))+1)</f>
        <v>81</v>
      </c>
      <c r="W2704" s="29" cm="1">
        <f t="array" ref="W2704">IF(表成绩单[[#This Row],[总分]]="","",SUMPRODUCT((表成绩单[考试日期]=表成绩单[[#This Row],[考试日期]])*(表成绩单[总分]&lt;9E+307)*(表成绩单[总分]&gt;表成绩单[[#This Row],[总分]]))+1)</f>
        <v>296</v>
      </c>
    </row>
    <row r="2705" ht="28" customHeight="1" spans="4:23">
      <c r="D2705" s="31">
        <v>46108</v>
      </c>
      <c r="E2705" s="29">
        <v>19178586</v>
      </c>
      <c r="F2705" s="29" t="s">
        <v>64</v>
      </c>
      <c r="G2705" s="29" t="s">
        <v>585</v>
      </c>
      <c r="H2705" s="29">
        <v>95</v>
      </c>
      <c r="I2705" s="29">
        <v>101</v>
      </c>
      <c r="J2705" s="29">
        <v>72</v>
      </c>
      <c r="K2705" s="29">
        <v>86</v>
      </c>
      <c r="L2705" s="29">
        <v>66</v>
      </c>
      <c r="M2705" s="29">
        <v>77</v>
      </c>
      <c r="N2705" s="29">
        <v>74</v>
      </c>
      <c r="O2705" s="32">
        <v>571</v>
      </c>
      <c r="P2705" s="29" cm="1">
        <f t="array" ref="P2705">IF(表成绩单[[#This Row],[语文]]="","",SUMPRODUCT((表成绩单[考试日期]=表成绩单[[#This Row],[考试日期]])*(表成绩单[语文]&lt;9E+307)*(表成绩单[语文]&gt;表成绩单[[#This Row],[语文]]))+1)</f>
        <v>422</v>
      </c>
      <c r="Q2705" s="29" cm="1">
        <f t="array" ref="Q2705">IF(表成绩单[[#This Row],[数学]]="","",SUMPRODUCT((表成绩单[考试日期]=表成绩单[[#This Row],[考试日期]])*(表成绩单[数学]&lt;9E+307)*(表成绩单[数学]&gt;表成绩单[[#This Row],[数学]]))+1)</f>
        <v>115</v>
      </c>
      <c r="R2705" s="29" cm="1">
        <f t="array" ref="R2705">IF(表成绩单[[#This Row],[英语]]="","",SUMPRODUCT((表成绩单[考试日期]=表成绩单[[#This Row],[考试日期]])*(表成绩单[英语]&lt;9E+307)*(表成绩单[英语]&gt;表成绩单[[#This Row],[英语]]))+1)</f>
        <v>499</v>
      </c>
      <c r="S2705" s="29" cm="1">
        <f t="array" ref="S2705">IF(表成绩单[[#This Row],[物理]]="","",SUMPRODUCT((表成绩单[考试日期]=表成绩单[[#This Row],[考试日期]])*(表成绩单[物理]&lt;9E+307)*(表成绩单[物理]&gt;表成绩单[[#This Row],[物理]]))+1)</f>
        <v>61</v>
      </c>
      <c r="T2705" s="29" cm="1">
        <f t="array" ref="T2705">IF(表成绩单[[#This Row],[化学]]="","",SUMPRODUCT((表成绩单[考试日期]=表成绩单[[#This Row],[考试日期]])*(表成绩单[化学]&lt;9E+307)*(表成绩单[化学]&gt;表成绩单[[#This Row],[化学]]))+1)</f>
        <v>359</v>
      </c>
      <c r="U2705" s="29" cm="1">
        <f t="array" ref="U2705">IF(表成绩单[[#This Row],[政治]]="","",SUMPRODUCT((表成绩单[考试日期]=表成绩单[[#This Row],[考试日期]])*(表成绩单[政治]&lt;9E+307)*(表成绩单[政治]&gt;表成绩单[[#This Row],[政治]]))+1)</f>
        <v>230</v>
      </c>
      <c r="V2705" s="29" cm="1">
        <f t="array" ref="V2705">IF(表成绩单[[#This Row],[历史]]="","",SUMPRODUCT((表成绩单[考试日期]=表成绩单[[#This Row],[考试日期]])*(表成绩单[历史]&lt;9E+307)*(表成绩单[历史]&gt;表成绩单[[#This Row],[历史]]))+1)</f>
        <v>389</v>
      </c>
      <c r="W2705" s="29" cm="1">
        <f t="array" ref="W2705">IF(表成绩单[[#This Row],[总分]]="","",SUMPRODUCT((表成绩单[考试日期]=表成绩单[[#This Row],[考试日期]])*(表成绩单[总分]&lt;9E+307)*(表成绩单[总分]&gt;表成绩单[[#This Row],[总分]]))+1)</f>
        <v>296</v>
      </c>
    </row>
    <row r="2706" ht="28" customHeight="1" spans="4:23">
      <c r="D2706" s="31">
        <v>46108</v>
      </c>
      <c r="E2706" s="29">
        <v>19174430</v>
      </c>
      <c r="F2706" s="29" t="s">
        <v>73</v>
      </c>
      <c r="G2706" s="29" t="s">
        <v>312</v>
      </c>
      <c r="H2706" s="29">
        <v>101</v>
      </c>
      <c r="I2706" s="29">
        <v>89</v>
      </c>
      <c r="J2706" s="29">
        <v>82.5</v>
      </c>
      <c r="K2706" s="29">
        <v>78</v>
      </c>
      <c r="L2706" s="29">
        <v>70</v>
      </c>
      <c r="M2706" s="29">
        <v>71</v>
      </c>
      <c r="N2706" s="29">
        <v>79</v>
      </c>
      <c r="O2706" s="32">
        <v>570.5</v>
      </c>
      <c r="P2706" s="29" cm="1">
        <f t="array" ref="P2706">IF(表成绩单[[#This Row],[语文]]="","",SUMPRODUCT((表成绩单[考试日期]=表成绩单[[#This Row],[考试日期]])*(表成绩单[语文]&lt;9E+307)*(表成绩单[语文]&gt;表成绩单[[#This Row],[语文]]))+1)</f>
        <v>211</v>
      </c>
      <c r="Q2706" s="29" cm="1">
        <f t="array" ref="Q2706">IF(表成绩单[[#This Row],[数学]]="","",SUMPRODUCT((表成绩单[考试日期]=表成绩单[[#This Row],[考试日期]])*(表成绩单[数学]&lt;9E+307)*(表成绩单[数学]&gt;表成绩单[[#This Row],[数学]]))+1)</f>
        <v>402</v>
      </c>
      <c r="R2706" s="29" cm="1">
        <f t="array" ref="R2706">IF(表成绩单[[#This Row],[英语]]="","",SUMPRODUCT((表成绩单[考试日期]=表成绩单[[#This Row],[考试日期]])*(表成绩单[英语]&lt;9E+307)*(表成绩单[英语]&gt;表成绩单[[#This Row],[英语]]))+1)</f>
        <v>156</v>
      </c>
      <c r="S2706" s="29" cm="1">
        <f t="array" ref="S2706">IF(表成绩单[[#This Row],[物理]]="","",SUMPRODUCT((表成绩单[考试日期]=表成绩单[[#This Row],[考试日期]])*(表成绩单[物理]&lt;9E+307)*(表成绩单[物理]&gt;表成绩单[[#This Row],[物理]]))+1)</f>
        <v>365</v>
      </c>
      <c r="T2706" s="29" cm="1">
        <f t="array" ref="T2706">IF(表成绩单[[#This Row],[化学]]="","",SUMPRODUCT((表成绩单[考试日期]=表成绩单[[#This Row],[考试日期]])*(表成绩单[化学]&lt;9E+307)*(表成绩单[化学]&gt;表成绩单[[#This Row],[化学]]))+1)</f>
        <v>241</v>
      </c>
      <c r="U2706" s="29" cm="1">
        <f t="array" ref="U2706">IF(表成绩单[[#This Row],[政治]]="","",SUMPRODUCT((表成绩单[考试日期]=表成绩单[[#This Row],[考试日期]])*(表成绩单[政治]&lt;9E+307)*(表成绩单[政治]&gt;表成绩单[[#This Row],[政治]]))+1)</f>
        <v>513</v>
      </c>
      <c r="V2706" s="29" cm="1">
        <f t="array" ref="V2706">IF(表成绩单[[#This Row],[历史]]="","",SUMPRODUCT((表成绩单[考试日期]=表成绩单[[#This Row],[考试日期]])*(表成绩单[历史]&lt;9E+307)*(表成绩单[历史]&gt;表成绩单[[#This Row],[历史]]))+1)</f>
        <v>173</v>
      </c>
      <c r="W2706" s="29" cm="1">
        <f t="array" ref="W2706">IF(表成绩单[[#This Row],[总分]]="","",SUMPRODUCT((表成绩单[考试日期]=表成绩单[[#This Row],[考试日期]])*(表成绩单[总分]&lt;9E+307)*(表成绩单[总分]&gt;表成绩单[[#This Row],[总分]]))+1)</f>
        <v>299</v>
      </c>
    </row>
    <row r="2707" ht="28" customHeight="1" spans="4:23">
      <c r="D2707" s="31">
        <v>46108</v>
      </c>
      <c r="E2707" s="29">
        <v>19174436</v>
      </c>
      <c r="F2707" s="29" t="s">
        <v>73</v>
      </c>
      <c r="G2707" s="29" t="s">
        <v>467</v>
      </c>
      <c r="H2707" s="29">
        <v>100</v>
      </c>
      <c r="I2707" s="29">
        <v>95</v>
      </c>
      <c r="J2707" s="29">
        <v>79.5</v>
      </c>
      <c r="K2707" s="29">
        <v>80</v>
      </c>
      <c r="L2707" s="29">
        <v>72</v>
      </c>
      <c r="M2707" s="29">
        <v>69</v>
      </c>
      <c r="N2707" s="29">
        <v>75</v>
      </c>
      <c r="O2707" s="32">
        <v>570.5</v>
      </c>
      <c r="P2707" s="29" cm="1">
        <f t="array" ref="P2707">IF(表成绩单[[#This Row],[语文]]="","",SUMPRODUCT((表成绩单[考试日期]=表成绩单[[#This Row],[考试日期]])*(表成绩单[语文]&lt;9E+307)*(表成绩单[语文]&gt;表成绩单[[#This Row],[语文]]))+1)</f>
        <v>247</v>
      </c>
      <c r="Q2707" s="29" cm="1">
        <f t="array" ref="Q2707">IF(表成绩单[[#This Row],[数学]]="","",SUMPRODUCT((表成绩单[考试日期]=表成绩单[[#This Row],[考试日期]])*(表成绩单[数学]&lt;9E+307)*(表成绩单[数学]&gt;表成绩单[[#This Row],[数学]]))+1)</f>
        <v>229</v>
      </c>
      <c r="R2707" s="29" cm="1">
        <f t="array" ref="R2707">IF(表成绩单[[#This Row],[英语]]="","",SUMPRODUCT((表成绩单[考试日期]=表成绩单[[#This Row],[考试日期]])*(表成绩单[英语]&lt;9E+307)*(表成绩单[英语]&gt;表成绩单[[#This Row],[英语]]))+1)</f>
        <v>286</v>
      </c>
      <c r="S2707" s="29" cm="1">
        <f t="array" ref="S2707">IF(表成绩单[[#This Row],[物理]]="","",SUMPRODUCT((表成绩单[考试日期]=表成绩单[[#This Row],[考试日期]])*(表成绩单[物理]&lt;9E+307)*(表成绩单[物理]&gt;表成绩单[[#This Row],[物理]]))+1)</f>
        <v>305</v>
      </c>
      <c r="T2707" s="29" cm="1">
        <f t="array" ref="T2707">IF(表成绩单[[#This Row],[化学]]="","",SUMPRODUCT((表成绩单[考试日期]=表成绩单[[#This Row],[考试日期]])*(表成绩单[化学]&lt;9E+307)*(表成绩单[化学]&gt;表成绩单[[#This Row],[化学]]))+1)</f>
        <v>187</v>
      </c>
      <c r="U2707" s="29" cm="1">
        <f t="array" ref="U2707">IF(表成绩单[[#This Row],[政治]]="","",SUMPRODUCT((表成绩单[考试日期]=表成绩单[[#This Row],[考试日期]])*(表成绩单[政治]&lt;9E+307)*(表成绩单[政治]&gt;表成绩单[[#This Row],[政治]]))+1)</f>
        <v>567</v>
      </c>
      <c r="V2707" s="29" cm="1">
        <f t="array" ref="V2707">IF(表成绩单[[#This Row],[历史]]="","",SUMPRODUCT((表成绩单[考试日期]=表成绩单[[#This Row],[考试日期]])*(表成绩单[历史]&lt;9E+307)*(表成绩单[历史]&gt;表成绩单[[#This Row],[历史]]))+1)</f>
        <v>354</v>
      </c>
      <c r="W2707" s="29" cm="1">
        <f t="array" ref="W2707">IF(表成绩单[[#This Row],[总分]]="","",SUMPRODUCT((表成绩单[考试日期]=表成绩单[[#This Row],[考试日期]])*(表成绩单[总分]&lt;9E+307)*(表成绩单[总分]&gt;表成绩单[[#This Row],[总分]]))+1)</f>
        <v>299</v>
      </c>
    </row>
    <row r="2708" ht="28" customHeight="1" spans="4:23">
      <c r="D2708" s="31">
        <v>46108</v>
      </c>
      <c r="E2708" s="29">
        <v>19174461</v>
      </c>
      <c r="F2708" s="29" t="s">
        <v>73</v>
      </c>
      <c r="G2708" s="29" t="s">
        <v>471</v>
      </c>
      <c r="H2708" s="29">
        <v>102</v>
      </c>
      <c r="I2708" s="29">
        <v>87</v>
      </c>
      <c r="J2708" s="29">
        <v>77.5</v>
      </c>
      <c r="K2708" s="29">
        <v>74</v>
      </c>
      <c r="L2708" s="29">
        <v>66</v>
      </c>
      <c r="M2708" s="29">
        <v>82</v>
      </c>
      <c r="N2708" s="29">
        <v>82</v>
      </c>
      <c r="O2708" s="32">
        <v>570.5</v>
      </c>
      <c r="P2708" s="29" cm="1">
        <f t="array" ref="P2708">IF(表成绩单[[#This Row],[语文]]="","",SUMPRODUCT((表成绩单[考试日期]=表成绩单[[#This Row],[考试日期]])*(表成绩单[语文]&lt;9E+307)*(表成绩单[语文]&gt;表成绩单[[#This Row],[语文]]))+1)</f>
        <v>183</v>
      </c>
      <c r="Q2708" s="29" cm="1">
        <f t="array" ref="Q2708">IF(表成绩单[[#This Row],[数学]]="","",SUMPRODUCT((表成绩单[考试日期]=表成绩单[[#This Row],[考试日期]])*(表成绩单[数学]&lt;9E+307)*(表成绩单[数学]&gt;表成绩单[[#This Row],[数学]]))+1)</f>
        <v>452</v>
      </c>
      <c r="R2708" s="29" cm="1">
        <f t="array" ref="R2708">IF(表成绩单[[#This Row],[英语]]="","",SUMPRODUCT((表成绩单[考试日期]=表成绩单[[#This Row],[考试日期]])*(表成绩单[英语]&lt;9E+307)*(表成绩单[英语]&gt;表成绩单[[#This Row],[英语]]))+1)</f>
        <v>353</v>
      </c>
      <c r="S2708" s="29" cm="1">
        <f t="array" ref="S2708">IF(表成绩单[[#This Row],[物理]]="","",SUMPRODUCT((表成绩单[考试日期]=表成绩单[[#This Row],[考试日期]])*(表成绩单[物理]&lt;9E+307)*(表成绩单[物理]&gt;表成绩单[[#This Row],[物理]]))+1)</f>
        <v>472</v>
      </c>
      <c r="T2708" s="29" cm="1">
        <f t="array" ref="T2708">IF(表成绩单[[#This Row],[化学]]="","",SUMPRODUCT((表成绩单[考试日期]=表成绩单[[#This Row],[考试日期]])*(表成绩单[化学]&lt;9E+307)*(表成绩单[化学]&gt;表成绩单[[#This Row],[化学]]))+1)</f>
        <v>359</v>
      </c>
      <c r="U2708" s="29" cm="1">
        <f t="array" ref="U2708">IF(表成绩单[[#This Row],[政治]]="","",SUMPRODUCT((表成绩单[考试日期]=表成绩单[[#This Row],[考试日期]])*(表成绩单[政治]&lt;9E+307)*(表成绩单[政治]&gt;表成绩单[[#This Row],[政治]]))+1)</f>
        <v>45</v>
      </c>
      <c r="V2708" s="29" cm="1">
        <f t="array" ref="V2708">IF(表成绩单[[#This Row],[历史]]="","",SUMPRODUCT((表成绩单[考试日期]=表成绩单[[#This Row],[考试日期]])*(表成绩单[历史]&lt;9E+307)*(表成绩单[历史]&gt;表成绩单[[#This Row],[历史]]))+1)</f>
        <v>81</v>
      </c>
      <c r="W2708" s="29" cm="1">
        <f t="array" ref="W2708">IF(表成绩单[[#This Row],[总分]]="","",SUMPRODUCT((表成绩单[考试日期]=表成绩单[[#This Row],[考试日期]])*(表成绩单[总分]&lt;9E+307)*(表成绩单[总分]&gt;表成绩单[[#This Row],[总分]]))+1)</f>
        <v>299</v>
      </c>
    </row>
    <row r="2709" ht="28" customHeight="1" spans="4:23">
      <c r="D2709" s="31">
        <v>46108</v>
      </c>
      <c r="E2709" s="29">
        <v>19177224</v>
      </c>
      <c r="F2709" s="29" t="s">
        <v>70</v>
      </c>
      <c r="G2709" s="29" t="s">
        <v>305</v>
      </c>
      <c r="H2709" s="29">
        <v>101</v>
      </c>
      <c r="I2709" s="29">
        <v>96</v>
      </c>
      <c r="J2709" s="29">
        <v>72.5</v>
      </c>
      <c r="K2709" s="29">
        <v>80</v>
      </c>
      <c r="L2709" s="29">
        <v>67</v>
      </c>
      <c r="M2709" s="29">
        <v>80</v>
      </c>
      <c r="N2709" s="29">
        <v>74</v>
      </c>
      <c r="O2709" s="32">
        <v>570.5</v>
      </c>
      <c r="P2709" s="29" cm="1">
        <f t="array" ref="P2709">IF(表成绩单[[#This Row],[语文]]="","",SUMPRODUCT((表成绩单[考试日期]=表成绩单[[#This Row],[考试日期]])*(表成绩单[语文]&lt;9E+307)*(表成绩单[语文]&gt;表成绩单[[#This Row],[语文]]))+1)</f>
        <v>211</v>
      </c>
      <c r="Q2709" s="29" cm="1">
        <f t="array" ref="Q2709">IF(表成绩单[[#This Row],[数学]]="","",SUMPRODUCT((表成绩单[考试日期]=表成绩单[[#This Row],[考试日期]])*(表成绩单[数学]&lt;9E+307)*(表成绩单[数学]&gt;表成绩单[[#This Row],[数学]]))+1)</f>
        <v>202</v>
      </c>
      <c r="R2709" s="29" cm="1">
        <f t="array" ref="R2709">IF(表成绩单[[#This Row],[英语]]="","",SUMPRODUCT((表成绩单[考试日期]=表成绩单[[#This Row],[考试日期]])*(表成绩单[英语]&lt;9E+307)*(表成绩单[英语]&gt;表成绩单[[#This Row],[英语]]))+1)</f>
        <v>491</v>
      </c>
      <c r="S2709" s="29" cm="1">
        <f t="array" ref="S2709">IF(表成绩单[[#This Row],[物理]]="","",SUMPRODUCT((表成绩单[考试日期]=表成绩单[[#This Row],[考试日期]])*(表成绩单[物理]&lt;9E+307)*(表成绩单[物理]&gt;表成绩单[[#This Row],[物理]]))+1)</f>
        <v>305</v>
      </c>
      <c r="T2709" s="29" cm="1">
        <f t="array" ref="T2709">IF(表成绩单[[#This Row],[化学]]="","",SUMPRODUCT((表成绩单[考试日期]=表成绩单[[#This Row],[考试日期]])*(表成绩单[化学]&lt;9E+307)*(表成绩单[化学]&gt;表成绩单[[#This Row],[化学]]))+1)</f>
        <v>335</v>
      </c>
      <c r="U2709" s="29" cm="1">
        <f t="array" ref="U2709">IF(表成绩单[[#This Row],[政治]]="","",SUMPRODUCT((表成绩单[考试日期]=表成绩单[[#This Row],[考试日期]])*(表成绩单[政治]&lt;9E+307)*(表成绩单[政治]&gt;表成绩单[[#This Row],[政治]]))+1)</f>
        <v>98</v>
      </c>
      <c r="V2709" s="29" cm="1">
        <f t="array" ref="V2709">IF(表成绩单[[#This Row],[历史]]="","",SUMPRODUCT((表成绩单[考试日期]=表成绩单[[#This Row],[考试日期]])*(表成绩单[历史]&lt;9E+307)*(表成绩单[历史]&gt;表成绩单[[#This Row],[历史]]))+1)</f>
        <v>389</v>
      </c>
      <c r="W2709" s="29" cm="1">
        <f t="array" ref="W2709">IF(表成绩单[[#This Row],[总分]]="","",SUMPRODUCT((表成绩单[考试日期]=表成绩单[[#This Row],[考试日期]])*(表成绩单[总分]&lt;9E+307)*(表成绩单[总分]&gt;表成绩单[[#This Row],[总分]]))+1)</f>
        <v>299</v>
      </c>
    </row>
    <row r="2710" ht="28" customHeight="1" spans="4:23">
      <c r="D2710" s="31">
        <v>46108</v>
      </c>
      <c r="E2710" s="29">
        <v>19171088</v>
      </c>
      <c r="F2710" s="29" t="s">
        <v>67</v>
      </c>
      <c r="G2710" s="29" t="s">
        <v>262</v>
      </c>
      <c r="H2710" s="29">
        <v>88</v>
      </c>
      <c r="I2710" s="29">
        <v>95</v>
      </c>
      <c r="J2710" s="29">
        <v>81</v>
      </c>
      <c r="K2710" s="29">
        <v>85</v>
      </c>
      <c r="L2710" s="29">
        <v>73</v>
      </c>
      <c r="M2710" s="29">
        <v>76</v>
      </c>
      <c r="N2710" s="29">
        <v>72</v>
      </c>
      <c r="O2710" s="32">
        <v>570</v>
      </c>
      <c r="P2710" s="29" cm="1">
        <f t="array" ref="P2710">IF(表成绩单[[#This Row],[语文]]="","",SUMPRODUCT((表成绩单[考试日期]=表成绩单[[#This Row],[考试日期]])*(表成绩单[语文]&lt;9E+307)*(表成绩单[语文]&gt;表成绩单[[#This Row],[语文]]))+1)</f>
        <v>575</v>
      </c>
      <c r="Q2710" s="29" cm="1">
        <f t="array" ref="Q2710">IF(表成绩单[[#This Row],[数学]]="","",SUMPRODUCT((表成绩单[考试日期]=表成绩单[[#This Row],[考试日期]])*(表成绩单[数学]&lt;9E+307)*(表成绩单[数学]&gt;表成绩单[[#This Row],[数学]]))+1)</f>
        <v>229</v>
      </c>
      <c r="R2710" s="29" cm="1">
        <f t="array" ref="R2710">IF(表成绩单[[#This Row],[英语]]="","",SUMPRODUCT((表成绩单[考试日期]=表成绩单[[#This Row],[考试日期]])*(表成绩单[英语]&lt;9E+307)*(表成绩单[英语]&gt;表成绩单[[#This Row],[英语]]))+1)</f>
        <v>227</v>
      </c>
      <c r="S2710" s="29" cm="1">
        <f t="array" ref="S2710">IF(表成绩单[[#This Row],[物理]]="","",SUMPRODUCT((表成绩单[考试日期]=表成绩单[[#This Row],[考试日期]])*(表成绩单[物理]&lt;9E+307)*(表成绩单[物理]&gt;表成绩单[[#This Row],[物理]]))+1)</f>
        <v>105</v>
      </c>
      <c r="T2710" s="29" cm="1">
        <f t="array" ref="T2710">IF(表成绩单[[#This Row],[化学]]="","",SUMPRODUCT((表成绩单[考试日期]=表成绩单[[#This Row],[考试日期]])*(表成绩单[化学]&lt;9E+307)*(表成绩单[化学]&gt;表成绩单[[#This Row],[化学]]))+1)</f>
        <v>152</v>
      </c>
      <c r="U2710" s="29" cm="1">
        <f t="array" ref="U2710">IF(表成绩单[[#This Row],[政治]]="","",SUMPRODUCT((表成绩单[考试日期]=表成绩单[[#This Row],[考试日期]])*(表成绩单[政治]&lt;9E+307)*(表成绩单[政治]&gt;表成绩单[[#This Row],[政治]]))+1)</f>
        <v>291</v>
      </c>
      <c r="V2710" s="29" cm="1">
        <f t="array" ref="V2710">IF(表成绩单[[#This Row],[历史]]="","",SUMPRODUCT((表成绩单[考试日期]=表成绩单[[#This Row],[考试日期]])*(表成绩单[历史]&lt;9E+307)*(表成绩单[历史]&gt;表成绩单[[#This Row],[历史]]))+1)</f>
        <v>470</v>
      </c>
      <c r="W2710" s="29" cm="1">
        <f t="array" ref="W2710">IF(表成绩单[[#This Row],[总分]]="","",SUMPRODUCT((表成绩单[考试日期]=表成绩单[[#This Row],[考试日期]])*(表成绩单[总分]&lt;9E+307)*(表成绩单[总分]&gt;表成绩单[[#This Row],[总分]]))+1)</f>
        <v>303</v>
      </c>
    </row>
    <row r="2711" ht="28" customHeight="1" spans="4:23">
      <c r="D2711" s="31">
        <v>46108</v>
      </c>
      <c r="E2711" s="29">
        <v>19176859</v>
      </c>
      <c r="F2711" s="29" t="s">
        <v>71</v>
      </c>
      <c r="G2711" s="29" t="s">
        <v>404</v>
      </c>
      <c r="H2711" s="29">
        <v>104</v>
      </c>
      <c r="I2711" s="29">
        <v>89</v>
      </c>
      <c r="J2711" s="29">
        <v>80</v>
      </c>
      <c r="K2711" s="29">
        <v>80</v>
      </c>
      <c r="L2711" s="29">
        <v>62</v>
      </c>
      <c r="M2711" s="29">
        <v>76</v>
      </c>
      <c r="N2711" s="29">
        <v>79</v>
      </c>
      <c r="O2711" s="32">
        <v>570</v>
      </c>
      <c r="P2711" s="29" cm="1">
        <f t="array" ref="P2711">IF(表成绩单[[#This Row],[语文]]="","",SUMPRODUCT((表成绩单[考试日期]=表成绩单[[#This Row],[考试日期]])*(表成绩单[语文]&lt;9E+307)*(表成绩单[语文]&gt;表成绩单[[#This Row],[语文]]))+1)</f>
        <v>131</v>
      </c>
      <c r="Q2711" s="29" cm="1">
        <f t="array" ref="Q2711">IF(表成绩单[[#This Row],[数学]]="","",SUMPRODUCT((表成绩单[考试日期]=表成绩单[[#This Row],[考试日期]])*(表成绩单[数学]&lt;9E+307)*(表成绩单[数学]&gt;表成绩单[[#This Row],[数学]]))+1)</f>
        <v>402</v>
      </c>
      <c r="R2711" s="29" cm="1">
        <f t="array" ref="R2711">IF(表成绩单[[#This Row],[英语]]="","",SUMPRODUCT((表成绩单[考试日期]=表成绩单[[#This Row],[考试日期]])*(表成绩单[英语]&lt;9E+307)*(表成绩单[英语]&gt;表成绩单[[#This Row],[英语]]))+1)</f>
        <v>266</v>
      </c>
      <c r="S2711" s="29" cm="1">
        <f t="array" ref="S2711">IF(表成绩单[[#This Row],[物理]]="","",SUMPRODUCT((表成绩单[考试日期]=表成绩单[[#This Row],[考试日期]])*(表成绩单[物理]&lt;9E+307)*(表成绩单[物理]&gt;表成绩单[[#This Row],[物理]]))+1)</f>
        <v>305</v>
      </c>
      <c r="T2711" s="29" cm="1">
        <f t="array" ref="T2711">IF(表成绩单[[#This Row],[化学]]="","",SUMPRODUCT((表成绩单[考试日期]=表成绩单[[#This Row],[考试日期]])*(表成绩单[化学]&lt;9E+307)*(表成绩单[化学]&gt;表成绩单[[#This Row],[化学]]))+1)</f>
        <v>449</v>
      </c>
      <c r="U2711" s="29" cm="1">
        <f t="array" ref="U2711">IF(表成绩单[[#This Row],[政治]]="","",SUMPRODUCT((表成绩单[考试日期]=表成绩单[[#This Row],[考试日期]])*(表成绩单[政治]&lt;9E+307)*(表成绩单[政治]&gt;表成绩单[[#This Row],[政治]]))+1)</f>
        <v>291</v>
      </c>
      <c r="V2711" s="29" cm="1">
        <f t="array" ref="V2711">IF(表成绩单[[#This Row],[历史]]="","",SUMPRODUCT((表成绩单[考试日期]=表成绩单[[#This Row],[考试日期]])*(表成绩单[历史]&lt;9E+307)*(表成绩单[历史]&gt;表成绩单[[#This Row],[历史]]))+1)</f>
        <v>173</v>
      </c>
      <c r="W2711" s="29" cm="1">
        <f t="array" ref="W2711">IF(表成绩单[[#This Row],[总分]]="","",SUMPRODUCT((表成绩单[考试日期]=表成绩单[[#This Row],[考试日期]])*(表成绩单[总分]&lt;9E+307)*(表成绩单[总分]&gt;表成绩单[[#This Row],[总分]]))+1)</f>
        <v>303</v>
      </c>
    </row>
    <row r="2712" ht="28" customHeight="1" spans="4:23">
      <c r="D2712" s="31">
        <v>46108</v>
      </c>
      <c r="E2712" s="29">
        <v>19173775</v>
      </c>
      <c r="F2712" s="29" t="s">
        <v>65</v>
      </c>
      <c r="G2712" s="29" t="s">
        <v>331</v>
      </c>
      <c r="H2712" s="29">
        <v>99</v>
      </c>
      <c r="I2712" s="29">
        <v>93</v>
      </c>
      <c r="J2712" s="29">
        <v>77.5</v>
      </c>
      <c r="K2712" s="29">
        <v>81</v>
      </c>
      <c r="L2712" s="29">
        <v>68</v>
      </c>
      <c r="M2712" s="29">
        <v>78</v>
      </c>
      <c r="N2712" s="29">
        <v>73</v>
      </c>
      <c r="O2712" s="32">
        <v>569.5</v>
      </c>
      <c r="P2712" s="29" cm="1">
        <f t="array" ref="P2712">IF(表成绩单[[#This Row],[语文]]="","",SUMPRODUCT((表成绩单[考试日期]=表成绩单[[#This Row],[考试日期]])*(表成绩单[语文]&lt;9E+307)*(表成绩单[语文]&gt;表成绩单[[#This Row],[语文]]))+1)</f>
        <v>279</v>
      </c>
      <c r="Q2712" s="29" cm="1">
        <f t="array" ref="Q2712">IF(表成绩单[[#This Row],[数学]]="","",SUMPRODUCT((表成绩单[考试日期]=表成绩单[[#This Row],[考试日期]])*(表成绩单[数学]&lt;9E+307)*(表成绩单[数学]&gt;表成绩单[[#This Row],[数学]]))+1)</f>
        <v>289</v>
      </c>
      <c r="R2712" s="29" cm="1">
        <f t="array" ref="R2712">IF(表成绩单[[#This Row],[英语]]="","",SUMPRODUCT((表成绩单[考试日期]=表成绩单[[#This Row],[考试日期]])*(表成绩单[英语]&lt;9E+307)*(表成绩单[英语]&gt;表成绩单[[#This Row],[英语]]))+1)</f>
        <v>353</v>
      </c>
      <c r="S2712" s="29" cm="1">
        <f t="array" ref="S2712">IF(表成绩单[[#This Row],[物理]]="","",SUMPRODUCT((表成绩单[考试日期]=表成绩单[[#This Row],[考试日期]])*(表成绩单[物理]&lt;9E+307)*(表成绩单[物理]&gt;表成绩单[[#This Row],[物理]]))+1)</f>
        <v>269</v>
      </c>
      <c r="T2712" s="29" cm="1">
        <f t="array" ref="T2712">IF(表成绩单[[#This Row],[化学]]="","",SUMPRODUCT((表成绩单[考试日期]=表成绩单[[#This Row],[考试日期]])*(表成绩单[化学]&lt;9E+307)*(表成绩单[化学]&gt;表成绩单[[#This Row],[化学]]))+1)</f>
        <v>306</v>
      </c>
      <c r="U2712" s="29" cm="1">
        <f t="array" ref="U2712">IF(表成绩单[[#This Row],[政治]]="","",SUMPRODUCT((表成绩单[考试日期]=表成绩单[[#This Row],[考试日期]])*(表成绩单[政治]&lt;9E+307)*(表成绩单[政治]&gt;表成绩单[[#This Row],[政治]]))+1)</f>
        <v>171</v>
      </c>
      <c r="V2712" s="29" cm="1">
        <f t="array" ref="V2712">IF(表成绩单[[#This Row],[历史]]="","",SUMPRODUCT((表成绩单[考试日期]=表成绩单[[#This Row],[考试日期]])*(表成绩单[历史]&lt;9E+307)*(表成绩单[历史]&gt;表成绩单[[#This Row],[历史]]))+1)</f>
        <v>432</v>
      </c>
      <c r="W2712" s="29" cm="1">
        <f t="array" ref="W2712">IF(表成绩单[[#This Row],[总分]]="","",SUMPRODUCT((表成绩单[考试日期]=表成绩单[[#This Row],[考试日期]])*(表成绩单[总分]&lt;9E+307)*(表成绩单[总分]&gt;表成绩单[[#This Row],[总分]]))+1)</f>
        <v>305</v>
      </c>
    </row>
    <row r="2713" ht="28" customHeight="1" spans="4:23">
      <c r="D2713" s="31">
        <v>46108</v>
      </c>
      <c r="E2713" s="29">
        <v>19174434</v>
      </c>
      <c r="F2713" s="29" t="s">
        <v>73</v>
      </c>
      <c r="G2713" s="29" t="s">
        <v>319</v>
      </c>
      <c r="H2713" s="29">
        <v>111</v>
      </c>
      <c r="I2713" s="29">
        <v>95</v>
      </c>
      <c r="J2713" s="29">
        <v>81.5</v>
      </c>
      <c r="K2713" s="29">
        <v>80</v>
      </c>
      <c r="L2713" s="29">
        <v>56</v>
      </c>
      <c r="M2713" s="29">
        <v>77</v>
      </c>
      <c r="N2713" s="29">
        <v>69</v>
      </c>
      <c r="O2713" s="32">
        <v>569.5</v>
      </c>
      <c r="P2713" s="29" cm="1">
        <f t="array" ref="P2713">IF(表成绩单[[#This Row],[语文]]="","",SUMPRODUCT((表成绩单[考试日期]=表成绩单[[#This Row],[考试日期]])*(表成绩单[语文]&lt;9E+307)*(表成绩单[语文]&gt;表成绩单[[#This Row],[语文]]))+1)</f>
        <v>18</v>
      </c>
      <c r="Q2713" s="29" cm="1">
        <f t="array" ref="Q2713">IF(表成绩单[[#This Row],[数学]]="","",SUMPRODUCT((表成绩单[考试日期]=表成绩单[[#This Row],[考试日期]])*(表成绩单[数学]&lt;9E+307)*(表成绩单[数学]&gt;表成绩单[[#This Row],[数学]]))+1)</f>
        <v>229</v>
      </c>
      <c r="R2713" s="29" cm="1">
        <f t="array" ref="R2713">IF(表成绩单[[#This Row],[英语]]="","",SUMPRODUCT((表成绩单[考试日期]=表成绩单[[#This Row],[考试日期]])*(表成绩单[英语]&lt;9E+307)*(表成绩单[英语]&gt;表成绩单[[#This Row],[英语]]))+1)</f>
        <v>203</v>
      </c>
      <c r="S2713" s="29" cm="1">
        <f t="array" ref="S2713">IF(表成绩单[[#This Row],[物理]]="","",SUMPRODUCT((表成绩单[考试日期]=表成绩单[[#This Row],[考试日期]])*(表成绩单[物理]&lt;9E+307)*(表成绩单[物理]&gt;表成绩单[[#This Row],[物理]]))+1)</f>
        <v>305</v>
      </c>
      <c r="T2713" s="29" cm="1">
        <f t="array" ref="T2713">IF(表成绩单[[#This Row],[化学]]="","",SUMPRODUCT((表成绩单[考试日期]=表成绩单[[#This Row],[考试日期]])*(表成绩单[化学]&lt;9E+307)*(表成绩单[化学]&gt;表成绩单[[#This Row],[化学]]))+1)</f>
        <v>569</v>
      </c>
      <c r="U2713" s="29" cm="1">
        <f t="array" ref="U2713">IF(表成绩单[[#This Row],[政治]]="","",SUMPRODUCT((表成绩单[考试日期]=表成绩单[[#This Row],[考试日期]])*(表成绩单[政治]&lt;9E+307)*(表成绩单[政治]&gt;表成绩单[[#This Row],[政治]]))+1)</f>
        <v>230</v>
      </c>
      <c r="V2713" s="29" cm="1">
        <f t="array" ref="V2713">IF(表成绩单[[#This Row],[历史]]="","",SUMPRODUCT((表成绩单[考试日期]=表成绩单[[#This Row],[考试日期]])*(表成绩单[历史]&lt;9E+307)*(表成绩单[历史]&gt;表成绩单[[#This Row],[历史]]))+1)</f>
        <v>569</v>
      </c>
      <c r="W2713" s="29" cm="1">
        <f t="array" ref="W2713">IF(表成绩单[[#This Row],[总分]]="","",SUMPRODUCT((表成绩单[考试日期]=表成绩单[[#This Row],[考试日期]])*(表成绩单[总分]&lt;9E+307)*(表成绩单[总分]&gt;表成绩单[[#This Row],[总分]]))+1)</f>
        <v>305</v>
      </c>
    </row>
    <row r="2714" ht="28" customHeight="1" spans="4:23">
      <c r="D2714" s="31">
        <v>46108</v>
      </c>
      <c r="E2714" s="29">
        <v>19175649</v>
      </c>
      <c r="F2714" s="29" t="s">
        <v>66</v>
      </c>
      <c r="G2714" s="29" t="s">
        <v>474</v>
      </c>
      <c r="H2714" s="29">
        <v>97</v>
      </c>
      <c r="I2714" s="29">
        <v>90</v>
      </c>
      <c r="J2714" s="29">
        <v>80.5</v>
      </c>
      <c r="K2714" s="29">
        <v>76</v>
      </c>
      <c r="L2714" s="29">
        <v>71</v>
      </c>
      <c r="M2714" s="29">
        <v>77</v>
      </c>
      <c r="N2714" s="29">
        <v>78</v>
      </c>
      <c r="O2714" s="32">
        <v>569.5</v>
      </c>
      <c r="P2714" s="29" cm="1">
        <f t="array" ref="P2714">IF(表成绩单[[#This Row],[语文]]="","",SUMPRODUCT((表成绩单[考试日期]=表成绩单[[#This Row],[考试日期]])*(表成绩单[语文]&lt;9E+307)*(表成绩单[语文]&gt;表成绩单[[#This Row],[语文]]))+1)</f>
        <v>357</v>
      </c>
      <c r="Q2714" s="29" cm="1">
        <f t="array" ref="Q2714">IF(表成绩单[[#This Row],[数学]]="","",SUMPRODUCT((表成绩单[考试日期]=表成绩单[[#This Row],[考试日期]])*(表成绩单[数学]&lt;9E+307)*(表成绩单[数学]&gt;表成绩单[[#This Row],[数学]]))+1)</f>
        <v>368</v>
      </c>
      <c r="R2714" s="29" cm="1">
        <f t="array" ref="R2714">IF(表成绩单[[#This Row],[英语]]="","",SUMPRODUCT((表成绩单[考试日期]=表成绩单[[#This Row],[考试日期]])*(表成绩单[英语]&lt;9E+307)*(表成绩单[英语]&gt;表成绩单[[#This Row],[英语]]))+1)</f>
        <v>244</v>
      </c>
      <c r="S2714" s="29" cm="1">
        <f t="array" ref="S2714">IF(表成绩单[[#This Row],[物理]]="","",SUMPRODUCT((表成绩单[考试日期]=表成绩单[[#This Row],[考试日期]])*(表成绩单[物理]&lt;9E+307)*(表成绩单[物理]&gt;表成绩单[[#This Row],[物理]]))+1)</f>
        <v>433</v>
      </c>
      <c r="T2714" s="29" cm="1">
        <f t="array" ref="T2714">IF(表成绩单[[#This Row],[化学]]="","",SUMPRODUCT((表成绩单[考试日期]=表成绩单[[#This Row],[考试日期]])*(表成绩单[化学]&lt;9E+307)*(表成绩单[化学]&gt;表成绩单[[#This Row],[化学]]))+1)</f>
        <v>217</v>
      </c>
      <c r="U2714" s="29" cm="1">
        <f t="array" ref="U2714">IF(表成绩单[[#This Row],[政治]]="","",SUMPRODUCT((表成绩单[考试日期]=表成绩单[[#This Row],[考试日期]])*(表成绩单[政治]&lt;9E+307)*(表成绩单[政治]&gt;表成绩单[[#This Row],[政治]]))+1)</f>
        <v>230</v>
      </c>
      <c r="V2714" s="29" cm="1">
        <f t="array" ref="V2714">IF(表成绩单[[#This Row],[历史]]="","",SUMPRODUCT((表成绩单[考试日期]=表成绩单[[#This Row],[考试日期]])*(表成绩单[历史]&lt;9E+307)*(表成绩单[历史]&gt;表成绩单[[#This Row],[历史]]))+1)</f>
        <v>222</v>
      </c>
      <c r="W2714" s="29" cm="1">
        <f t="array" ref="W2714">IF(表成绩单[[#This Row],[总分]]="","",SUMPRODUCT((表成绩单[考试日期]=表成绩单[[#This Row],[考试日期]])*(表成绩单[总分]&lt;9E+307)*(表成绩单[总分]&gt;表成绩单[[#This Row],[总分]]))+1)</f>
        <v>305</v>
      </c>
    </row>
    <row r="2715" ht="28" customHeight="1" spans="4:23">
      <c r="D2715" s="31">
        <v>46108</v>
      </c>
      <c r="E2715" s="29">
        <v>19175690</v>
      </c>
      <c r="F2715" s="29" t="s">
        <v>72</v>
      </c>
      <c r="G2715" s="29" t="s">
        <v>367</v>
      </c>
      <c r="H2715" s="29">
        <v>91</v>
      </c>
      <c r="I2715" s="29">
        <v>91</v>
      </c>
      <c r="J2715" s="29">
        <v>84.5</v>
      </c>
      <c r="K2715" s="29">
        <v>84</v>
      </c>
      <c r="L2715" s="29">
        <v>69</v>
      </c>
      <c r="M2715" s="29">
        <v>78</v>
      </c>
      <c r="N2715" s="29">
        <v>72</v>
      </c>
      <c r="O2715" s="32">
        <v>569.5</v>
      </c>
      <c r="P2715" s="29" cm="1">
        <f t="array" ref="P2715">IF(表成绩单[[#This Row],[语文]]="","",SUMPRODUCT((表成绩单[考试日期]=表成绩单[[#This Row],[考试日期]])*(表成绩单[语文]&lt;9E+307)*(表成绩单[语文]&gt;表成绩单[[#This Row],[语文]]))+1)</f>
        <v>519</v>
      </c>
      <c r="Q2715" s="29" cm="1">
        <f t="array" ref="Q2715">IF(表成绩单[[#This Row],[数学]]="","",SUMPRODUCT((表成绩单[考试日期]=表成绩单[[#This Row],[考试日期]])*(表成绩单[数学]&lt;9E+307)*(表成绩单[数学]&gt;表成绩单[[#This Row],[数学]]))+1)</f>
        <v>341</v>
      </c>
      <c r="R2715" s="29" cm="1">
        <f t="array" ref="R2715">IF(表成绩单[[#This Row],[英语]]="","",SUMPRODUCT((表成绩单[考试日期]=表成绩单[[#This Row],[考试日期]])*(表成绩单[英语]&lt;9E+307)*(表成绩单[英语]&gt;表成绩单[[#This Row],[英语]]))+1)</f>
        <v>83</v>
      </c>
      <c r="S2715" s="29" cm="1">
        <f t="array" ref="S2715">IF(表成绩单[[#This Row],[物理]]="","",SUMPRODUCT((表成绩单[考试日期]=表成绩单[[#This Row],[考试日期]])*(表成绩单[物理]&lt;9E+307)*(表成绩单[物理]&gt;表成绩单[[#This Row],[物理]]))+1)</f>
        <v>146</v>
      </c>
      <c r="T2715" s="29" cm="1">
        <f t="array" ref="T2715">IF(表成绩单[[#This Row],[化学]]="","",SUMPRODUCT((表成绩单[考试日期]=表成绩单[[#This Row],[考试日期]])*(表成绩单[化学]&lt;9E+307)*(表成绩单[化学]&gt;表成绩单[[#This Row],[化学]]))+1)</f>
        <v>269</v>
      </c>
      <c r="U2715" s="29" cm="1">
        <f t="array" ref="U2715">IF(表成绩单[[#This Row],[政治]]="","",SUMPRODUCT((表成绩单[考试日期]=表成绩单[[#This Row],[考试日期]])*(表成绩单[政治]&lt;9E+307)*(表成绩单[政治]&gt;表成绩单[[#This Row],[政治]]))+1)</f>
        <v>171</v>
      </c>
      <c r="V2715" s="29" cm="1">
        <f t="array" ref="V2715">IF(表成绩单[[#This Row],[历史]]="","",SUMPRODUCT((表成绩单[考试日期]=表成绩单[[#This Row],[考试日期]])*(表成绩单[历史]&lt;9E+307)*(表成绩单[历史]&gt;表成绩单[[#This Row],[历史]]))+1)</f>
        <v>470</v>
      </c>
      <c r="W2715" s="29" cm="1">
        <f t="array" ref="W2715">IF(表成绩单[[#This Row],[总分]]="","",SUMPRODUCT((表成绩单[考试日期]=表成绩单[[#This Row],[考试日期]])*(表成绩单[总分]&lt;9E+307)*(表成绩单[总分]&gt;表成绩单[[#This Row],[总分]]))+1)</f>
        <v>305</v>
      </c>
    </row>
    <row r="2716" ht="28" customHeight="1" spans="4:23">
      <c r="D2716" s="31">
        <v>46108</v>
      </c>
      <c r="E2716" s="29">
        <v>19177228</v>
      </c>
      <c r="F2716" s="29" t="s">
        <v>70</v>
      </c>
      <c r="G2716" s="29" t="s">
        <v>511</v>
      </c>
      <c r="H2716" s="29">
        <v>105</v>
      </c>
      <c r="I2716" s="29">
        <v>88</v>
      </c>
      <c r="J2716" s="29">
        <v>76.5</v>
      </c>
      <c r="K2716" s="29">
        <v>67</v>
      </c>
      <c r="L2716" s="29">
        <v>75</v>
      </c>
      <c r="M2716" s="29">
        <v>79</v>
      </c>
      <c r="N2716" s="29">
        <v>79</v>
      </c>
      <c r="O2716" s="32">
        <v>569.5</v>
      </c>
      <c r="P2716" s="29" cm="1">
        <f t="array" ref="P2716">IF(表成绩单[[#This Row],[语文]]="","",SUMPRODUCT((表成绩单[考试日期]=表成绩单[[#This Row],[考试日期]])*(表成绩单[语文]&lt;9E+307)*(表成绩单[语文]&gt;表成绩单[[#This Row],[语文]]))+1)</f>
        <v>101</v>
      </c>
      <c r="Q2716" s="29" cm="1">
        <f t="array" ref="Q2716">IF(表成绩单[[#This Row],[数学]]="","",SUMPRODUCT((表成绩单[考试日期]=表成绩单[[#This Row],[考试日期]])*(表成绩单[数学]&lt;9E+307)*(表成绩单[数学]&gt;表成绩单[[#This Row],[数学]]))+1)</f>
        <v>424</v>
      </c>
      <c r="R2716" s="29" cm="1">
        <f t="array" ref="R2716">IF(表成绩单[[#This Row],[英语]]="","",SUMPRODUCT((表成绩单[考试日期]=表成绩单[[#This Row],[考试日期]])*(表成绩单[英语]&lt;9E+307)*(表成绩单[英语]&gt;表成绩单[[#This Row],[英语]]))+1)</f>
        <v>384</v>
      </c>
      <c r="S2716" s="29" cm="1">
        <f t="array" ref="S2716">IF(表成绩单[[#This Row],[物理]]="","",SUMPRODUCT((表成绩单[考试日期]=表成绩单[[#This Row],[考试日期]])*(表成绩单[物理]&lt;9E+307)*(表成绩单[物理]&gt;表成绩单[[#This Row],[物理]]))+1)</f>
        <v>593</v>
      </c>
      <c r="T2716" s="29" cm="1">
        <f t="array" ref="T2716">IF(表成绩单[[#This Row],[化学]]="","",SUMPRODUCT((表成绩单[考试日期]=表成绩单[[#This Row],[考试日期]])*(表成绩单[化学]&lt;9E+307)*(表成绩单[化学]&gt;表成绩单[[#This Row],[化学]]))+1)</f>
        <v>96</v>
      </c>
      <c r="U2716" s="29" cm="1">
        <f t="array" ref="U2716">IF(表成绩单[[#This Row],[政治]]="","",SUMPRODUCT((表成绩单[考试日期]=表成绩单[[#This Row],[考试日期]])*(表成绩单[政治]&lt;9E+307)*(表成绩单[政治]&gt;表成绩单[[#This Row],[政治]]))+1)</f>
        <v>134</v>
      </c>
      <c r="V2716" s="29" cm="1">
        <f t="array" ref="V2716">IF(表成绩单[[#This Row],[历史]]="","",SUMPRODUCT((表成绩单[考试日期]=表成绩单[[#This Row],[考试日期]])*(表成绩单[历史]&lt;9E+307)*(表成绩单[历史]&gt;表成绩单[[#This Row],[历史]]))+1)</f>
        <v>173</v>
      </c>
      <c r="W2716" s="29" cm="1">
        <f t="array" ref="W2716">IF(表成绩单[[#This Row],[总分]]="","",SUMPRODUCT((表成绩单[考试日期]=表成绩单[[#This Row],[考试日期]])*(表成绩单[总分]&lt;9E+307)*(表成绩单[总分]&gt;表成绩单[[#This Row],[总分]]))+1)</f>
        <v>305</v>
      </c>
    </row>
    <row r="2717" ht="28" customHeight="1" spans="4:23">
      <c r="D2717" s="31">
        <v>46108</v>
      </c>
      <c r="E2717" s="29">
        <v>19177231</v>
      </c>
      <c r="F2717" s="29" t="s">
        <v>70</v>
      </c>
      <c r="G2717" s="29" t="s">
        <v>311</v>
      </c>
      <c r="H2717" s="29">
        <v>99</v>
      </c>
      <c r="I2717" s="29">
        <v>89</v>
      </c>
      <c r="J2717" s="29">
        <v>76.5</v>
      </c>
      <c r="K2717" s="29">
        <v>80</v>
      </c>
      <c r="L2717" s="29">
        <v>68</v>
      </c>
      <c r="M2717" s="29">
        <v>78</v>
      </c>
      <c r="N2717" s="29">
        <v>79</v>
      </c>
      <c r="O2717" s="32">
        <v>569.5</v>
      </c>
      <c r="P2717" s="29" cm="1">
        <f t="array" ref="P2717">IF(表成绩单[[#This Row],[语文]]="","",SUMPRODUCT((表成绩单[考试日期]=表成绩单[[#This Row],[考试日期]])*(表成绩单[语文]&lt;9E+307)*(表成绩单[语文]&gt;表成绩单[[#This Row],[语文]]))+1)</f>
        <v>279</v>
      </c>
      <c r="Q2717" s="29" cm="1">
        <f t="array" ref="Q2717">IF(表成绩单[[#This Row],[数学]]="","",SUMPRODUCT((表成绩单[考试日期]=表成绩单[[#This Row],[考试日期]])*(表成绩单[数学]&lt;9E+307)*(表成绩单[数学]&gt;表成绩单[[#This Row],[数学]]))+1)</f>
        <v>402</v>
      </c>
      <c r="R2717" s="29" cm="1">
        <f t="array" ref="R2717">IF(表成绩单[[#This Row],[英语]]="","",SUMPRODUCT((表成绩单[考试日期]=表成绩单[[#This Row],[考试日期]])*(表成绩单[英语]&lt;9E+307)*(表成绩单[英语]&gt;表成绩单[[#This Row],[英语]]))+1)</f>
        <v>384</v>
      </c>
      <c r="S2717" s="29" cm="1">
        <f t="array" ref="S2717">IF(表成绩单[[#This Row],[物理]]="","",SUMPRODUCT((表成绩单[考试日期]=表成绩单[[#This Row],[考试日期]])*(表成绩单[物理]&lt;9E+307)*(表成绩单[物理]&gt;表成绩单[[#This Row],[物理]]))+1)</f>
        <v>305</v>
      </c>
      <c r="T2717" s="29" cm="1">
        <f t="array" ref="T2717">IF(表成绩单[[#This Row],[化学]]="","",SUMPRODUCT((表成绩单[考试日期]=表成绩单[[#This Row],[考试日期]])*(表成绩单[化学]&lt;9E+307)*(表成绩单[化学]&gt;表成绩单[[#This Row],[化学]]))+1)</f>
        <v>306</v>
      </c>
      <c r="U2717" s="29" cm="1">
        <f t="array" ref="U2717">IF(表成绩单[[#This Row],[政治]]="","",SUMPRODUCT((表成绩单[考试日期]=表成绩单[[#This Row],[考试日期]])*(表成绩单[政治]&lt;9E+307)*(表成绩单[政治]&gt;表成绩单[[#This Row],[政治]]))+1)</f>
        <v>171</v>
      </c>
      <c r="V2717" s="29" cm="1">
        <f t="array" ref="V2717">IF(表成绩单[[#This Row],[历史]]="","",SUMPRODUCT((表成绩单[考试日期]=表成绩单[[#This Row],[考试日期]])*(表成绩单[历史]&lt;9E+307)*(表成绩单[历史]&gt;表成绩单[[#This Row],[历史]]))+1)</f>
        <v>173</v>
      </c>
      <c r="W2717" s="29" cm="1">
        <f t="array" ref="W2717">IF(表成绩单[[#This Row],[总分]]="","",SUMPRODUCT((表成绩单[考试日期]=表成绩单[[#This Row],[考试日期]])*(表成绩单[总分]&lt;9E+307)*(表成绩单[总分]&gt;表成绩单[[#This Row],[总分]]))+1)</f>
        <v>305</v>
      </c>
    </row>
    <row r="2718" ht="28" customHeight="1" spans="4:23">
      <c r="D2718" s="31">
        <v>46108</v>
      </c>
      <c r="E2718" s="29">
        <v>19177636</v>
      </c>
      <c r="F2718" s="29" t="s">
        <v>63</v>
      </c>
      <c r="G2718" s="29" t="s">
        <v>386</v>
      </c>
      <c r="H2718" s="29">
        <v>108</v>
      </c>
      <c r="I2718" s="29">
        <v>87</v>
      </c>
      <c r="J2718" s="29">
        <v>78.5</v>
      </c>
      <c r="K2718" s="29">
        <v>83</v>
      </c>
      <c r="L2718" s="29">
        <v>66</v>
      </c>
      <c r="M2718" s="29">
        <v>72</v>
      </c>
      <c r="N2718" s="29">
        <v>75</v>
      </c>
      <c r="O2718" s="32">
        <v>569.5</v>
      </c>
      <c r="P2718" s="29" cm="1">
        <f t="array" ref="P2718">IF(表成绩单[[#This Row],[语文]]="","",SUMPRODUCT((表成绩单[考试日期]=表成绩单[[#This Row],[考试日期]])*(表成绩单[语文]&lt;9E+307)*(表成绩单[语文]&gt;表成绩单[[#This Row],[语文]]))+1)</f>
        <v>55</v>
      </c>
      <c r="Q2718" s="29" cm="1">
        <f t="array" ref="Q2718">IF(表成绩单[[#This Row],[数学]]="","",SUMPRODUCT((表成绩单[考试日期]=表成绩单[[#This Row],[考试日期]])*(表成绩单[数学]&lt;9E+307)*(表成绩单[数学]&gt;表成绩单[[#This Row],[数学]]))+1)</f>
        <v>452</v>
      </c>
      <c r="R2718" s="29" cm="1">
        <f t="array" ref="R2718">IF(表成绩单[[#This Row],[英语]]="","",SUMPRODUCT((表成绩单[考试日期]=表成绩单[[#This Row],[考试日期]])*(表成绩单[英语]&lt;9E+307)*(表成绩单[英语]&gt;表成绩单[[#This Row],[英语]]))+1)</f>
        <v>322</v>
      </c>
      <c r="S2718" s="29" cm="1">
        <f t="array" ref="S2718">IF(表成绩单[[#This Row],[物理]]="","",SUMPRODUCT((表成绩单[考试日期]=表成绩单[[#This Row],[考试日期]])*(表成绩单[物理]&lt;9E+307)*(表成绩单[物理]&gt;表成绩单[[#This Row],[物理]]))+1)</f>
        <v>184</v>
      </c>
      <c r="T2718" s="29" cm="1">
        <f t="array" ref="T2718">IF(表成绩单[[#This Row],[化学]]="","",SUMPRODUCT((表成绩单[考试日期]=表成绩单[[#This Row],[考试日期]])*(表成绩单[化学]&lt;9E+307)*(表成绩单[化学]&gt;表成绩单[[#This Row],[化学]]))+1)</f>
        <v>359</v>
      </c>
      <c r="U2718" s="29" cm="1">
        <f t="array" ref="U2718">IF(表成绩单[[#This Row],[政治]]="","",SUMPRODUCT((表成绩单[考试日期]=表成绩单[[#This Row],[考试日期]])*(表成绩单[政治]&lt;9E+307)*(表成绩单[政治]&gt;表成绩单[[#This Row],[政治]]))+1)</f>
        <v>470</v>
      </c>
      <c r="V2718" s="29" cm="1">
        <f t="array" ref="V2718">IF(表成绩单[[#This Row],[历史]]="","",SUMPRODUCT((表成绩单[考试日期]=表成绩单[[#This Row],[考试日期]])*(表成绩单[历史]&lt;9E+307)*(表成绩单[历史]&gt;表成绩单[[#This Row],[历史]]))+1)</f>
        <v>354</v>
      </c>
      <c r="W2718" s="29" cm="1">
        <f t="array" ref="W2718">IF(表成绩单[[#This Row],[总分]]="","",SUMPRODUCT((表成绩单[考试日期]=表成绩单[[#This Row],[考试日期]])*(表成绩单[总分]&lt;9E+307)*(表成绩单[总分]&gt;表成绩单[[#This Row],[总分]]))+1)</f>
        <v>305</v>
      </c>
    </row>
    <row r="2719" ht="28" customHeight="1" spans="4:23">
      <c r="D2719" s="31">
        <v>46108</v>
      </c>
      <c r="E2719" s="29">
        <v>19177642</v>
      </c>
      <c r="F2719" s="29" t="s">
        <v>63</v>
      </c>
      <c r="G2719" s="29" t="s">
        <v>232</v>
      </c>
      <c r="H2719" s="29">
        <v>97</v>
      </c>
      <c r="I2719" s="29">
        <v>93</v>
      </c>
      <c r="J2719" s="29">
        <v>76.5</v>
      </c>
      <c r="K2719" s="29">
        <v>82</v>
      </c>
      <c r="L2719" s="29">
        <v>65</v>
      </c>
      <c r="M2719" s="29">
        <v>73</v>
      </c>
      <c r="N2719" s="29">
        <v>83</v>
      </c>
      <c r="O2719" s="32">
        <v>569.5</v>
      </c>
      <c r="P2719" s="29" cm="1">
        <f t="array" ref="P2719">IF(表成绩单[[#This Row],[语文]]="","",SUMPRODUCT((表成绩单[考试日期]=表成绩单[[#This Row],[考试日期]])*(表成绩单[语文]&lt;9E+307)*(表成绩单[语文]&gt;表成绩单[[#This Row],[语文]]))+1)</f>
        <v>357</v>
      </c>
      <c r="Q2719" s="29" cm="1">
        <f t="array" ref="Q2719">IF(表成绩单[[#This Row],[数学]]="","",SUMPRODUCT((表成绩单[考试日期]=表成绩单[[#This Row],[考试日期]])*(表成绩单[数学]&lt;9E+307)*(表成绩单[数学]&gt;表成绩单[[#This Row],[数学]]))+1)</f>
        <v>289</v>
      </c>
      <c r="R2719" s="29" cm="1">
        <f t="array" ref="R2719">IF(表成绩单[[#This Row],[英语]]="","",SUMPRODUCT((表成绩单[考试日期]=表成绩单[[#This Row],[考试日期]])*(表成绩单[英语]&lt;9E+307)*(表成绩单[英语]&gt;表成绩单[[#This Row],[英语]]))+1)</f>
        <v>384</v>
      </c>
      <c r="S2719" s="29" cm="1">
        <f t="array" ref="S2719">IF(表成绩单[[#This Row],[物理]]="","",SUMPRODUCT((表成绩单[考试日期]=表成绩单[[#This Row],[考试日期]])*(表成绩单[物理]&lt;9E+307)*(表成绩单[物理]&gt;表成绩单[[#This Row],[物理]]))+1)</f>
        <v>223</v>
      </c>
      <c r="T2719" s="29" cm="1">
        <f t="array" ref="T2719">IF(表成绩单[[#This Row],[化学]]="","",SUMPRODUCT((表成绩单[考试日期]=表成绩单[[#This Row],[考试日期]])*(表成绩单[化学]&lt;9E+307)*(表成绩单[化学]&gt;表成绩单[[#This Row],[化学]]))+1)</f>
        <v>379</v>
      </c>
      <c r="U2719" s="29" cm="1">
        <f t="array" ref="U2719">IF(表成绩单[[#This Row],[政治]]="","",SUMPRODUCT((表成绩单[考试日期]=表成绩单[[#This Row],[考试日期]])*(表成绩单[政治]&lt;9E+307)*(表成绩单[政治]&gt;表成绩单[[#This Row],[政治]]))+1)</f>
        <v>431</v>
      </c>
      <c r="V2719" s="29" cm="1">
        <f t="array" ref="V2719">IF(表成绩单[[#This Row],[历史]]="","",SUMPRODUCT((表成绩单[考试日期]=表成绩单[[#This Row],[考试日期]])*(表成绩单[历史]&lt;9E+307)*(表成绩单[历史]&gt;表成绩单[[#This Row],[历史]]))+1)</f>
        <v>60</v>
      </c>
      <c r="W2719" s="29" cm="1">
        <f t="array" ref="W2719">IF(表成绩单[[#This Row],[总分]]="","",SUMPRODUCT((表成绩单[考试日期]=表成绩单[[#This Row],[考试日期]])*(表成绩单[总分]&lt;9E+307)*(表成绩单[总分]&gt;表成绩单[[#This Row],[总分]]))+1)</f>
        <v>305</v>
      </c>
    </row>
    <row r="2720" ht="28" customHeight="1" spans="4:23">
      <c r="D2720" s="31">
        <v>46108</v>
      </c>
      <c r="E2720" s="29">
        <v>19178574</v>
      </c>
      <c r="F2720" s="29" t="s">
        <v>64</v>
      </c>
      <c r="G2720" s="29" t="s">
        <v>391</v>
      </c>
      <c r="H2720" s="29">
        <v>101</v>
      </c>
      <c r="I2720" s="29">
        <v>95</v>
      </c>
      <c r="J2720" s="29">
        <v>76.5</v>
      </c>
      <c r="K2720" s="29">
        <v>82</v>
      </c>
      <c r="L2720" s="29">
        <v>64</v>
      </c>
      <c r="M2720" s="29">
        <v>73</v>
      </c>
      <c r="N2720" s="29">
        <v>78</v>
      </c>
      <c r="O2720" s="32">
        <v>569.5</v>
      </c>
      <c r="P2720" s="29" cm="1">
        <f t="array" ref="P2720">IF(表成绩单[[#This Row],[语文]]="","",SUMPRODUCT((表成绩单[考试日期]=表成绩单[[#This Row],[考试日期]])*(表成绩单[语文]&lt;9E+307)*(表成绩单[语文]&gt;表成绩单[[#This Row],[语文]]))+1)</f>
        <v>211</v>
      </c>
      <c r="Q2720" s="29" cm="1">
        <f t="array" ref="Q2720">IF(表成绩单[[#This Row],[数学]]="","",SUMPRODUCT((表成绩单[考试日期]=表成绩单[[#This Row],[考试日期]])*(表成绩单[数学]&lt;9E+307)*(表成绩单[数学]&gt;表成绩单[[#This Row],[数学]]))+1)</f>
        <v>229</v>
      </c>
      <c r="R2720" s="29" cm="1">
        <f t="array" ref="R2720">IF(表成绩单[[#This Row],[英语]]="","",SUMPRODUCT((表成绩单[考试日期]=表成绩单[[#This Row],[考试日期]])*(表成绩单[英语]&lt;9E+307)*(表成绩单[英语]&gt;表成绩单[[#This Row],[英语]]))+1)</f>
        <v>384</v>
      </c>
      <c r="S2720" s="29" cm="1">
        <f t="array" ref="S2720">IF(表成绩单[[#This Row],[物理]]="","",SUMPRODUCT((表成绩单[考试日期]=表成绩单[[#This Row],[考试日期]])*(表成绩单[物理]&lt;9E+307)*(表成绩单[物理]&gt;表成绩单[[#This Row],[物理]]))+1)</f>
        <v>223</v>
      </c>
      <c r="T2720" s="29" cm="1">
        <f t="array" ref="T2720">IF(表成绩单[[#This Row],[化学]]="","",SUMPRODUCT((表成绩单[考试日期]=表成绩单[[#This Row],[考试日期]])*(表成绩单[化学]&lt;9E+307)*(表成绩单[化学]&gt;表成绩单[[#This Row],[化学]]))+1)</f>
        <v>400</v>
      </c>
      <c r="U2720" s="29" cm="1">
        <f t="array" ref="U2720">IF(表成绩单[[#This Row],[政治]]="","",SUMPRODUCT((表成绩单[考试日期]=表成绩单[[#This Row],[考试日期]])*(表成绩单[政治]&lt;9E+307)*(表成绩单[政治]&gt;表成绩单[[#This Row],[政治]]))+1)</f>
        <v>431</v>
      </c>
      <c r="V2720" s="29" cm="1">
        <f t="array" ref="V2720">IF(表成绩单[[#This Row],[历史]]="","",SUMPRODUCT((表成绩单[考试日期]=表成绩单[[#This Row],[考试日期]])*(表成绩单[历史]&lt;9E+307)*(表成绩单[历史]&gt;表成绩单[[#This Row],[历史]]))+1)</f>
        <v>222</v>
      </c>
      <c r="W2720" s="29" cm="1">
        <f t="array" ref="W2720">IF(表成绩单[[#This Row],[总分]]="","",SUMPRODUCT((表成绩单[考试日期]=表成绩单[[#This Row],[考试日期]])*(表成绩单[总分]&lt;9E+307)*(表成绩单[总分]&gt;表成绩单[[#This Row],[总分]]))+1)</f>
        <v>305</v>
      </c>
    </row>
    <row r="2721" ht="28" customHeight="1" spans="4:23">
      <c r="D2721" s="31">
        <v>46108</v>
      </c>
      <c r="E2721" s="29">
        <v>19175632</v>
      </c>
      <c r="F2721" s="29" t="s">
        <v>66</v>
      </c>
      <c r="G2721" s="29" t="s">
        <v>313</v>
      </c>
      <c r="H2721" s="29">
        <v>98</v>
      </c>
      <c r="I2721" s="29">
        <v>98</v>
      </c>
      <c r="J2721" s="29">
        <v>80</v>
      </c>
      <c r="K2721" s="29">
        <v>79</v>
      </c>
      <c r="L2721" s="29">
        <v>69</v>
      </c>
      <c r="M2721" s="29">
        <v>70</v>
      </c>
      <c r="N2721" s="29">
        <v>75</v>
      </c>
      <c r="O2721" s="32">
        <v>569</v>
      </c>
      <c r="P2721" s="29" cm="1">
        <f t="array" ref="P2721">IF(表成绩单[[#This Row],[语文]]="","",SUMPRODUCT((表成绩单[考试日期]=表成绩单[[#This Row],[考试日期]])*(表成绩单[语文]&lt;9E+307)*(表成绩单[语文]&gt;表成绩单[[#This Row],[语文]]))+1)</f>
        <v>322</v>
      </c>
      <c r="Q2721" s="29" cm="1">
        <f t="array" ref="Q2721">IF(表成绩单[[#This Row],[数学]]="","",SUMPRODUCT((表成绩单[考试日期]=表成绩单[[#This Row],[考试日期]])*(表成绩单[数学]&lt;9E+307)*(表成绩单[数学]&gt;表成绩单[[#This Row],[数学]]))+1)</f>
        <v>158</v>
      </c>
      <c r="R2721" s="29" cm="1">
        <f t="array" ref="R2721">IF(表成绩单[[#This Row],[英语]]="","",SUMPRODUCT((表成绩单[考试日期]=表成绩单[[#This Row],[考试日期]])*(表成绩单[英语]&lt;9E+307)*(表成绩单[英语]&gt;表成绩单[[#This Row],[英语]]))+1)</f>
        <v>266</v>
      </c>
      <c r="S2721" s="29" cm="1">
        <f t="array" ref="S2721">IF(表成绩单[[#This Row],[物理]]="","",SUMPRODUCT((表成绩单[考试日期]=表成绩单[[#This Row],[考试日期]])*(表成绩单[物理]&lt;9E+307)*(表成绩单[物理]&gt;表成绩单[[#This Row],[物理]]))+1)</f>
        <v>344</v>
      </c>
      <c r="T2721" s="29" cm="1">
        <f t="array" ref="T2721">IF(表成绩单[[#This Row],[化学]]="","",SUMPRODUCT((表成绩单[考试日期]=表成绩单[[#This Row],[考试日期]])*(表成绩单[化学]&lt;9E+307)*(表成绩单[化学]&gt;表成绩单[[#This Row],[化学]]))+1)</f>
        <v>269</v>
      </c>
      <c r="U2721" s="29" cm="1">
        <f t="array" ref="U2721">IF(表成绩单[[#This Row],[政治]]="","",SUMPRODUCT((表成绩单[考试日期]=表成绩单[[#This Row],[考试日期]])*(表成绩单[政治]&lt;9E+307)*(表成绩单[政治]&gt;表成绩单[[#This Row],[政治]]))+1)</f>
        <v>548</v>
      </c>
      <c r="V2721" s="29" cm="1">
        <f t="array" ref="V2721">IF(表成绩单[[#This Row],[历史]]="","",SUMPRODUCT((表成绩单[考试日期]=表成绩单[[#This Row],[考试日期]])*(表成绩单[历史]&lt;9E+307)*(表成绩单[历史]&gt;表成绩单[[#This Row],[历史]]))+1)</f>
        <v>354</v>
      </c>
      <c r="W2721" s="29" cm="1">
        <f t="array" ref="W2721">IF(表成绩单[[#This Row],[总分]]="","",SUMPRODUCT((表成绩单[考试日期]=表成绩单[[#This Row],[考试日期]])*(表成绩单[总分]&lt;9E+307)*(表成绩单[总分]&gt;表成绩单[[#This Row],[总分]]))+1)</f>
        <v>314</v>
      </c>
    </row>
    <row r="2722" ht="28" customHeight="1" spans="4:23">
      <c r="D2722" s="31">
        <v>46108</v>
      </c>
      <c r="E2722" s="29">
        <v>19175659</v>
      </c>
      <c r="F2722" s="29" t="s">
        <v>66</v>
      </c>
      <c r="G2722" s="29" t="s">
        <v>450</v>
      </c>
      <c r="H2722" s="29">
        <v>103</v>
      </c>
      <c r="I2722" s="29">
        <v>97</v>
      </c>
      <c r="J2722" s="29">
        <v>80</v>
      </c>
      <c r="K2722" s="29">
        <v>73</v>
      </c>
      <c r="L2722" s="29">
        <v>71</v>
      </c>
      <c r="M2722" s="29">
        <v>73</v>
      </c>
      <c r="N2722" s="29">
        <v>72</v>
      </c>
      <c r="O2722" s="32">
        <v>569</v>
      </c>
      <c r="P2722" s="29" cm="1">
        <f t="array" ref="P2722">IF(表成绩单[[#This Row],[语文]]="","",SUMPRODUCT((表成绩单[考试日期]=表成绩单[[#This Row],[考试日期]])*(表成绩单[语文]&lt;9E+307)*(表成绩单[语文]&gt;表成绩单[[#This Row],[语文]]))+1)</f>
        <v>155</v>
      </c>
      <c r="Q2722" s="29" cm="1">
        <f t="array" ref="Q2722">IF(表成绩单[[#This Row],[数学]]="","",SUMPRODUCT((表成绩单[考试日期]=表成绩单[[#This Row],[考试日期]])*(表成绩单[数学]&lt;9E+307)*(表成绩单[数学]&gt;表成绩单[[#This Row],[数学]]))+1)</f>
        <v>175</v>
      </c>
      <c r="R2722" s="29" cm="1">
        <f t="array" ref="R2722">IF(表成绩单[[#This Row],[英语]]="","",SUMPRODUCT((表成绩单[考试日期]=表成绩单[[#This Row],[考试日期]])*(表成绩单[英语]&lt;9E+307)*(表成绩单[英语]&gt;表成绩单[[#This Row],[英语]]))+1)</f>
        <v>266</v>
      </c>
      <c r="S2722" s="29" cm="1">
        <f t="array" ref="S2722">IF(表成绩单[[#This Row],[物理]]="","",SUMPRODUCT((表成绩单[考试日期]=表成绩单[[#This Row],[考试日期]])*(表成绩单[物理]&lt;9E+307)*(表成绩单[物理]&gt;表成绩单[[#This Row],[物理]]))+1)</f>
        <v>500</v>
      </c>
      <c r="T2722" s="29" cm="1">
        <f t="array" ref="T2722">IF(表成绩单[[#This Row],[化学]]="","",SUMPRODUCT((表成绩单[考试日期]=表成绩单[[#This Row],[考试日期]])*(表成绩单[化学]&lt;9E+307)*(表成绩单[化学]&gt;表成绩单[[#This Row],[化学]]))+1)</f>
        <v>217</v>
      </c>
      <c r="U2722" s="29" cm="1">
        <f t="array" ref="U2722">IF(表成绩单[[#This Row],[政治]]="","",SUMPRODUCT((表成绩单[考试日期]=表成绩单[[#This Row],[考试日期]])*(表成绩单[政治]&lt;9E+307)*(表成绩单[政治]&gt;表成绩单[[#This Row],[政治]]))+1)</f>
        <v>431</v>
      </c>
      <c r="V2722" s="29" cm="1">
        <f t="array" ref="V2722">IF(表成绩单[[#This Row],[历史]]="","",SUMPRODUCT((表成绩单[考试日期]=表成绩单[[#This Row],[考试日期]])*(表成绩单[历史]&lt;9E+307)*(表成绩单[历史]&gt;表成绩单[[#This Row],[历史]]))+1)</f>
        <v>470</v>
      </c>
      <c r="W2722" s="29" cm="1">
        <f t="array" ref="W2722">IF(表成绩单[[#This Row],[总分]]="","",SUMPRODUCT((表成绩单[考试日期]=表成绩单[[#This Row],[考试日期]])*(表成绩单[总分]&lt;9E+307)*(表成绩单[总分]&gt;表成绩单[[#This Row],[总分]]))+1)</f>
        <v>314</v>
      </c>
    </row>
    <row r="2723" ht="28" customHeight="1" spans="4:23">
      <c r="D2723" s="31">
        <v>46108</v>
      </c>
      <c r="E2723" s="29">
        <v>19175666</v>
      </c>
      <c r="F2723" s="29" t="s">
        <v>66</v>
      </c>
      <c r="G2723" s="29" t="s">
        <v>498</v>
      </c>
      <c r="H2723" s="29">
        <v>93</v>
      </c>
      <c r="I2723" s="29">
        <v>90</v>
      </c>
      <c r="J2723" s="29">
        <v>72</v>
      </c>
      <c r="K2723" s="29">
        <v>87</v>
      </c>
      <c r="L2723" s="29">
        <v>73</v>
      </c>
      <c r="M2723" s="29">
        <v>77</v>
      </c>
      <c r="N2723" s="29">
        <v>77</v>
      </c>
      <c r="O2723" s="32">
        <v>569</v>
      </c>
      <c r="P2723" s="29" cm="1">
        <f t="array" ref="P2723">IF(表成绩单[[#This Row],[语文]]="","",SUMPRODUCT((表成绩单[考试日期]=表成绩单[[#This Row],[考试日期]])*(表成绩单[语文]&lt;9E+307)*(表成绩单[语文]&gt;表成绩单[[#This Row],[语文]]))+1)</f>
        <v>470</v>
      </c>
      <c r="Q2723" s="29" cm="1">
        <f t="array" ref="Q2723">IF(表成绩单[[#This Row],[数学]]="","",SUMPRODUCT((表成绩单[考试日期]=表成绩单[[#This Row],[考试日期]])*(表成绩单[数学]&lt;9E+307)*(表成绩单[数学]&gt;表成绩单[[#This Row],[数学]]))+1)</f>
        <v>368</v>
      </c>
      <c r="R2723" s="29" cm="1">
        <f t="array" ref="R2723">IF(表成绩单[[#This Row],[英语]]="","",SUMPRODUCT((表成绩单[考试日期]=表成绩单[[#This Row],[考试日期]])*(表成绩单[英语]&lt;9E+307)*(表成绩单[英语]&gt;表成绩单[[#This Row],[英语]]))+1)</f>
        <v>499</v>
      </c>
      <c r="S2723" s="29" cm="1">
        <f t="array" ref="S2723">IF(表成绩单[[#This Row],[物理]]="","",SUMPRODUCT((表成绩单[考试日期]=表成绩单[[#This Row],[考试日期]])*(表成绩单[物理]&lt;9E+307)*(表成绩单[物理]&gt;表成绩单[[#This Row],[物理]]))+1)</f>
        <v>49</v>
      </c>
      <c r="T2723" s="29" cm="1">
        <f t="array" ref="T2723">IF(表成绩单[[#This Row],[化学]]="","",SUMPRODUCT((表成绩单[考试日期]=表成绩单[[#This Row],[考试日期]])*(表成绩单[化学]&lt;9E+307)*(表成绩单[化学]&gt;表成绩单[[#This Row],[化学]]))+1)</f>
        <v>152</v>
      </c>
      <c r="U2723" s="29" cm="1">
        <f t="array" ref="U2723">IF(表成绩单[[#This Row],[政治]]="","",SUMPRODUCT((表成绩单[考试日期]=表成绩单[[#This Row],[考试日期]])*(表成绩单[政治]&lt;9E+307)*(表成绩单[政治]&gt;表成绩单[[#This Row],[政治]]))+1)</f>
        <v>230</v>
      </c>
      <c r="V2723" s="29" cm="1">
        <f t="array" ref="V2723">IF(表成绩单[[#This Row],[历史]]="","",SUMPRODUCT((表成绩单[考试日期]=表成绩单[[#This Row],[考试日期]])*(表成绩单[历史]&lt;9E+307)*(表成绩单[历史]&gt;表成绩单[[#This Row],[历史]]))+1)</f>
        <v>269</v>
      </c>
      <c r="W2723" s="29" cm="1">
        <f t="array" ref="W2723">IF(表成绩单[[#This Row],[总分]]="","",SUMPRODUCT((表成绩单[考试日期]=表成绩单[[#This Row],[考试日期]])*(表成绩单[总分]&lt;9E+307)*(表成绩单[总分]&gt;表成绩单[[#This Row],[总分]]))+1)</f>
        <v>314</v>
      </c>
    </row>
    <row r="2724" ht="28" customHeight="1" spans="4:23">
      <c r="D2724" s="31">
        <v>46108</v>
      </c>
      <c r="E2724" s="29">
        <v>19175682</v>
      </c>
      <c r="F2724" s="29" t="s">
        <v>72</v>
      </c>
      <c r="G2724" s="29" t="s">
        <v>431</v>
      </c>
      <c r="H2724" s="29">
        <v>96</v>
      </c>
      <c r="I2724" s="29">
        <v>97</v>
      </c>
      <c r="J2724" s="29">
        <v>77</v>
      </c>
      <c r="K2724" s="29">
        <v>80</v>
      </c>
      <c r="L2724" s="29">
        <v>69</v>
      </c>
      <c r="M2724" s="29">
        <v>75</v>
      </c>
      <c r="N2724" s="29">
        <v>75</v>
      </c>
      <c r="O2724" s="32">
        <v>569</v>
      </c>
      <c r="P2724" s="29" cm="1">
        <f t="array" ref="P2724">IF(表成绩单[[#This Row],[语文]]="","",SUMPRODUCT((表成绩单[考试日期]=表成绩单[[#This Row],[考试日期]])*(表成绩单[语文]&lt;9E+307)*(表成绩单[语文]&gt;表成绩单[[#This Row],[语文]]))+1)</f>
        <v>390</v>
      </c>
      <c r="Q2724" s="29" cm="1">
        <f t="array" ref="Q2724">IF(表成绩单[[#This Row],[数学]]="","",SUMPRODUCT((表成绩单[考试日期]=表成绩单[[#This Row],[考试日期]])*(表成绩单[数学]&lt;9E+307)*(表成绩单[数学]&gt;表成绩单[[#This Row],[数学]]))+1)</f>
        <v>175</v>
      </c>
      <c r="R2724" s="29" cm="1">
        <f t="array" ref="R2724">IF(表成绩单[[#This Row],[英语]]="","",SUMPRODUCT((表成绩单[考试日期]=表成绩单[[#This Row],[考试日期]])*(表成绩单[英语]&lt;9E+307)*(表成绩单[英语]&gt;表成绩单[[#This Row],[英语]]))+1)</f>
        <v>370</v>
      </c>
      <c r="S2724" s="29" cm="1">
        <f t="array" ref="S2724">IF(表成绩单[[#This Row],[物理]]="","",SUMPRODUCT((表成绩单[考试日期]=表成绩单[[#This Row],[考试日期]])*(表成绩单[物理]&lt;9E+307)*(表成绩单[物理]&gt;表成绩单[[#This Row],[物理]]))+1)</f>
        <v>305</v>
      </c>
      <c r="T2724" s="29" cm="1">
        <f t="array" ref="T2724">IF(表成绩单[[#This Row],[化学]]="","",SUMPRODUCT((表成绩单[考试日期]=表成绩单[[#This Row],[考试日期]])*(表成绩单[化学]&lt;9E+307)*(表成绩单[化学]&gt;表成绩单[[#This Row],[化学]]))+1)</f>
        <v>269</v>
      </c>
      <c r="U2724" s="29" cm="1">
        <f t="array" ref="U2724">IF(表成绩单[[#This Row],[政治]]="","",SUMPRODUCT((表成绩单[考试日期]=表成绩单[[#This Row],[考试日期]])*(表成绩单[政治]&lt;9E+307)*(表成绩单[政治]&gt;表成绩单[[#This Row],[政治]]))+1)</f>
        <v>346</v>
      </c>
      <c r="V2724" s="29" cm="1">
        <f t="array" ref="V2724">IF(表成绩单[[#This Row],[历史]]="","",SUMPRODUCT((表成绩单[考试日期]=表成绩单[[#This Row],[考试日期]])*(表成绩单[历史]&lt;9E+307)*(表成绩单[历史]&gt;表成绩单[[#This Row],[历史]]))+1)</f>
        <v>354</v>
      </c>
      <c r="W2724" s="29" cm="1">
        <f t="array" ref="W2724">IF(表成绩单[[#This Row],[总分]]="","",SUMPRODUCT((表成绩单[考试日期]=表成绩单[[#This Row],[考试日期]])*(表成绩单[总分]&lt;9E+307)*(表成绩单[总分]&gt;表成绩单[[#This Row],[总分]]))+1)</f>
        <v>314</v>
      </c>
    </row>
    <row r="2725" ht="28" customHeight="1" spans="4:23">
      <c r="D2725" s="31">
        <v>46108</v>
      </c>
      <c r="E2725" s="29">
        <v>19176897</v>
      </c>
      <c r="F2725" s="29" t="s">
        <v>71</v>
      </c>
      <c r="G2725" s="29" t="s">
        <v>476</v>
      </c>
      <c r="H2725" s="29">
        <v>94</v>
      </c>
      <c r="I2725" s="29">
        <v>94</v>
      </c>
      <c r="J2725" s="29">
        <v>76</v>
      </c>
      <c r="K2725" s="29">
        <v>86</v>
      </c>
      <c r="L2725" s="29">
        <v>69</v>
      </c>
      <c r="M2725" s="29">
        <v>78</v>
      </c>
      <c r="N2725" s="29">
        <v>72</v>
      </c>
      <c r="O2725" s="32">
        <v>569</v>
      </c>
      <c r="P2725" s="29" cm="1">
        <f t="array" ref="P2725">IF(表成绩单[[#This Row],[语文]]="","",SUMPRODUCT((表成绩单[考试日期]=表成绩单[[#This Row],[考试日期]])*(表成绩单[语文]&lt;9E+307)*(表成绩单[语文]&gt;表成绩单[[#This Row],[语文]]))+1)</f>
        <v>449</v>
      </c>
      <c r="Q2725" s="29" cm="1">
        <f t="array" ref="Q2725">IF(表成绩单[[#This Row],[数学]]="","",SUMPRODUCT((表成绩单[考试日期]=表成绩单[[#This Row],[考试日期]])*(表成绩单[数学]&lt;9E+307)*(表成绩单[数学]&gt;表成绩单[[#This Row],[数学]]))+1)</f>
        <v>258</v>
      </c>
      <c r="R2725" s="29" cm="1">
        <f t="array" ref="R2725">IF(表成绩单[[#This Row],[英语]]="","",SUMPRODUCT((表成绩单[考试日期]=表成绩单[[#This Row],[考试日期]])*(表成绩单[英语]&lt;9E+307)*(表成绩单[英语]&gt;表成绩单[[#This Row],[英语]]))+1)</f>
        <v>405</v>
      </c>
      <c r="S2725" s="29" cm="1">
        <f t="array" ref="S2725">IF(表成绩单[[#This Row],[物理]]="","",SUMPRODUCT((表成绩单[考试日期]=表成绩单[[#This Row],[考试日期]])*(表成绩单[物理]&lt;9E+307)*(表成绩单[物理]&gt;表成绩单[[#This Row],[物理]]))+1)</f>
        <v>61</v>
      </c>
      <c r="T2725" s="29" cm="1">
        <f t="array" ref="T2725">IF(表成绩单[[#This Row],[化学]]="","",SUMPRODUCT((表成绩单[考试日期]=表成绩单[[#This Row],[考试日期]])*(表成绩单[化学]&lt;9E+307)*(表成绩单[化学]&gt;表成绩单[[#This Row],[化学]]))+1)</f>
        <v>269</v>
      </c>
      <c r="U2725" s="29" cm="1">
        <f t="array" ref="U2725">IF(表成绩单[[#This Row],[政治]]="","",SUMPRODUCT((表成绩单[考试日期]=表成绩单[[#This Row],[考试日期]])*(表成绩单[政治]&lt;9E+307)*(表成绩单[政治]&gt;表成绩单[[#This Row],[政治]]))+1)</f>
        <v>171</v>
      </c>
      <c r="V2725" s="29" cm="1">
        <f t="array" ref="V2725">IF(表成绩单[[#This Row],[历史]]="","",SUMPRODUCT((表成绩单[考试日期]=表成绩单[[#This Row],[考试日期]])*(表成绩单[历史]&lt;9E+307)*(表成绩单[历史]&gt;表成绩单[[#This Row],[历史]]))+1)</f>
        <v>470</v>
      </c>
      <c r="W2725" s="29" cm="1">
        <f t="array" ref="W2725">IF(表成绩单[[#This Row],[总分]]="","",SUMPRODUCT((表成绩单[考试日期]=表成绩单[[#This Row],[考试日期]])*(表成绩单[总分]&lt;9E+307)*(表成绩单[总分]&gt;表成绩单[[#This Row],[总分]]))+1)</f>
        <v>314</v>
      </c>
    </row>
    <row r="2726" ht="28" customHeight="1" spans="4:23">
      <c r="D2726" s="31">
        <v>46108</v>
      </c>
      <c r="E2726" s="29">
        <v>19174454</v>
      </c>
      <c r="F2726" s="29" t="s">
        <v>73</v>
      </c>
      <c r="G2726" s="29" t="s">
        <v>440</v>
      </c>
      <c r="H2726" s="29">
        <v>105</v>
      </c>
      <c r="I2726" s="29">
        <v>83</v>
      </c>
      <c r="J2726" s="29">
        <v>81.5</v>
      </c>
      <c r="K2726" s="29">
        <v>75</v>
      </c>
      <c r="L2726" s="29">
        <v>63</v>
      </c>
      <c r="M2726" s="29">
        <v>80</v>
      </c>
      <c r="N2726" s="29">
        <v>81</v>
      </c>
      <c r="O2726" s="32">
        <v>568.5</v>
      </c>
      <c r="P2726" s="29" cm="1">
        <f t="array" ref="P2726">IF(表成绩单[[#This Row],[语文]]="","",SUMPRODUCT((表成绩单[考试日期]=表成绩单[[#This Row],[考试日期]])*(表成绩单[语文]&lt;9E+307)*(表成绩单[语文]&gt;表成绩单[[#This Row],[语文]]))+1)</f>
        <v>101</v>
      </c>
      <c r="Q2726" s="29" cm="1">
        <f t="array" ref="Q2726">IF(表成绩单[[#This Row],[数学]]="","",SUMPRODUCT((表成绩单[考试日期]=表成绩单[[#This Row],[考试日期]])*(表成绩单[数学]&lt;9E+307)*(表成绩单[数学]&gt;表成绩单[[#This Row],[数学]]))+1)</f>
        <v>543</v>
      </c>
      <c r="R2726" s="29" cm="1">
        <f t="array" ref="R2726">IF(表成绩单[[#This Row],[英语]]="","",SUMPRODUCT((表成绩单[考试日期]=表成绩单[[#This Row],[考试日期]])*(表成绩单[英语]&lt;9E+307)*(表成绩单[英语]&gt;表成绩单[[#This Row],[英语]]))+1)</f>
        <v>203</v>
      </c>
      <c r="S2726" s="29" cm="1">
        <f t="array" ref="S2726">IF(表成绩单[[#This Row],[物理]]="","",SUMPRODUCT((表成绩单[考试日期]=表成绩单[[#This Row],[考试日期]])*(表成绩单[物理]&lt;9E+307)*(表成绩单[物理]&gt;表成绩单[[#This Row],[物理]]))+1)</f>
        <v>456</v>
      </c>
      <c r="T2726" s="29" cm="1">
        <f t="array" ref="T2726">IF(表成绩单[[#This Row],[化学]]="","",SUMPRODUCT((表成绩单[考试日期]=表成绩单[[#This Row],[考试日期]])*(表成绩单[化学]&lt;9E+307)*(表成绩单[化学]&gt;表成绩单[[#This Row],[化学]]))+1)</f>
        <v>426</v>
      </c>
      <c r="U2726" s="29" cm="1">
        <f t="array" ref="U2726">IF(表成绩单[[#This Row],[政治]]="","",SUMPRODUCT((表成绩单[考试日期]=表成绩单[[#This Row],[考试日期]])*(表成绩单[政治]&lt;9E+307)*(表成绩单[政治]&gt;表成绩单[[#This Row],[政治]]))+1)</f>
        <v>98</v>
      </c>
      <c r="V2726" s="29" cm="1">
        <f t="array" ref="V2726">IF(表成绩单[[#This Row],[历史]]="","",SUMPRODUCT((表成绩单[考试日期]=表成绩单[[#This Row],[考试日期]])*(表成绩单[历史]&lt;9E+307)*(表成绩单[历史]&gt;表成绩单[[#This Row],[历史]]))+1)</f>
        <v>106</v>
      </c>
      <c r="W2726" s="29" cm="1">
        <f t="array" ref="W2726">IF(表成绩单[[#This Row],[总分]]="","",SUMPRODUCT((表成绩单[考试日期]=表成绩单[[#This Row],[考试日期]])*(表成绩单[总分]&lt;9E+307)*(表成绩单[总分]&gt;表成绩单[[#This Row],[总分]]))+1)</f>
        <v>319</v>
      </c>
    </row>
    <row r="2727" ht="28" customHeight="1" spans="4:23">
      <c r="D2727" s="31">
        <v>46108</v>
      </c>
      <c r="E2727" s="29">
        <v>19175677</v>
      </c>
      <c r="F2727" s="29" t="s">
        <v>72</v>
      </c>
      <c r="G2727" s="29" t="s">
        <v>253</v>
      </c>
      <c r="H2727" s="29">
        <v>98</v>
      </c>
      <c r="I2727" s="29">
        <v>95</v>
      </c>
      <c r="J2727" s="29">
        <v>78.5</v>
      </c>
      <c r="K2727" s="29">
        <v>76</v>
      </c>
      <c r="L2727" s="29">
        <v>70</v>
      </c>
      <c r="M2727" s="29">
        <v>77</v>
      </c>
      <c r="N2727" s="29">
        <v>74</v>
      </c>
      <c r="O2727" s="32">
        <v>568.5</v>
      </c>
      <c r="P2727" s="29" cm="1">
        <f t="array" ref="P2727">IF(表成绩单[[#This Row],[语文]]="","",SUMPRODUCT((表成绩单[考试日期]=表成绩单[[#This Row],[考试日期]])*(表成绩单[语文]&lt;9E+307)*(表成绩单[语文]&gt;表成绩单[[#This Row],[语文]]))+1)</f>
        <v>322</v>
      </c>
      <c r="Q2727" s="29" cm="1">
        <f t="array" ref="Q2727">IF(表成绩单[[#This Row],[数学]]="","",SUMPRODUCT((表成绩单[考试日期]=表成绩单[[#This Row],[考试日期]])*(表成绩单[数学]&lt;9E+307)*(表成绩单[数学]&gt;表成绩单[[#This Row],[数学]]))+1)</f>
        <v>229</v>
      </c>
      <c r="R2727" s="29" cm="1">
        <f t="array" ref="R2727">IF(表成绩单[[#This Row],[英语]]="","",SUMPRODUCT((表成绩单[考试日期]=表成绩单[[#This Row],[考试日期]])*(表成绩单[英语]&lt;9E+307)*(表成绩单[英语]&gt;表成绩单[[#This Row],[英语]]))+1)</f>
        <v>322</v>
      </c>
      <c r="S2727" s="29" cm="1">
        <f t="array" ref="S2727">IF(表成绩单[[#This Row],[物理]]="","",SUMPRODUCT((表成绩单[考试日期]=表成绩单[[#This Row],[考试日期]])*(表成绩单[物理]&lt;9E+307)*(表成绩单[物理]&gt;表成绩单[[#This Row],[物理]]))+1)</f>
        <v>433</v>
      </c>
      <c r="T2727" s="29" cm="1">
        <f t="array" ref="T2727">IF(表成绩单[[#This Row],[化学]]="","",SUMPRODUCT((表成绩单[考试日期]=表成绩单[[#This Row],[考试日期]])*(表成绩单[化学]&lt;9E+307)*(表成绩单[化学]&gt;表成绩单[[#This Row],[化学]]))+1)</f>
        <v>241</v>
      </c>
      <c r="U2727" s="29" cm="1">
        <f t="array" ref="U2727">IF(表成绩单[[#This Row],[政治]]="","",SUMPRODUCT((表成绩单[考试日期]=表成绩单[[#This Row],[考试日期]])*(表成绩单[政治]&lt;9E+307)*(表成绩单[政治]&gt;表成绩单[[#This Row],[政治]]))+1)</f>
        <v>230</v>
      </c>
      <c r="V2727" s="29" cm="1">
        <f t="array" ref="V2727">IF(表成绩单[[#This Row],[历史]]="","",SUMPRODUCT((表成绩单[考试日期]=表成绩单[[#This Row],[考试日期]])*(表成绩单[历史]&lt;9E+307)*(表成绩单[历史]&gt;表成绩单[[#This Row],[历史]]))+1)</f>
        <v>389</v>
      </c>
      <c r="W2727" s="29" cm="1">
        <f t="array" ref="W2727">IF(表成绩单[[#This Row],[总分]]="","",SUMPRODUCT((表成绩单[考试日期]=表成绩单[[#This Row],[考试日期]])*(表成绩单[总分]&lt;9E+307)*(表成绩单[总分]&gt;表成绩单[[#This Row],[总分]]))+1)</f>
        <v>319</v>
      </c>
    </row>
    <row r="2728" ht="28" customHeight="1" spans="4:23">
      <c r="D2728" s="31">
        <v>46108</v>
      </c>
      <c r="E2728" s="29">
        <v>19173774</v>
      </c>
      <c r="F2728" s="29" t="s">
        <v>65</v>
      </c>
      <c r="G2728" s="29" t="s">
        <v>444</v>
      </c>
      <c r="H2728" s="29">
        <v>106</v>
      </c>
      <c r="I2728" s="29">
        <v>69</v>
      </c>
      <c r="J2728" s="29">
        <v>83</v>
      </c>
      <c r="K2728" s="29">
        <v>75</v>
      </c>
      <c r="L2728" s="29">
        <v>70</v>
      </c>
      <c r="M2728" s="29">
        <v>82</v>
      </c>
      <c r="N2728" s="29">
        <v>83</v>
      </c>
      <c r="O2728" s="32">
        <v>568</v>
      </c>
      <c r="P2728" s="29" cm="1">
        <f t="array" ref="P2728">IF(表成绩单[[#This Row],[语文]]="","",SUMPRODUCT((表成绩单[考试日期]=表成绩单[[#This Row],[考试日期]])*(表成绩单[语文]&lt;9E+307)*(表成绩单[语文]&gt;表成绩单[[#This Row],[语文]]))+1)</f>
        <v>85</v>
      </c>
      <c r="Q2728" s="29" cm="1">
        <f t="array" ref="Q2728">IF(表成绩单[[#This Row],[数学]]="","",SUMPRODUCT((表成绩单[考试日期]=表成绩单[[#This Row],[考试日期]])*(表成绩单[数学]&lt;9E+307)*(表成绩单[数学]&gt;表成绩单[[#This Row],[数学]]))+1)</f>
        <v>663</v>
      </c>
      <c r="R2728" s="29" cm="1">
        <f t="array" ref="R2728">IF(表成绩单[[#This Row],[英语]]="","",SUMPRODUCT((表成绩单[考试日期]=表成绩单[[#This Row],[考试日期]])*(表成绩单[英语]&lt;9E+307)*(表成绩单[英语]&gt;表成绩单[[#This Row],[英语]]))+1)</f>
        <v>134</v>
      </c>
      <c r="S2728" s="29" cm="1">
        <f t="array" ref="S2728">IF(表成绩单[[#This Row],[物理]]="","",SUMPRODUCT((表成绩单[考试日期]=表成绩单[[#This Row],[考试日期]])*(表成绩单[物理]&lt;9E+307)*(表成绩单[物理]&gt;表成绩单[[#This Row],[物理]]))+1)</f>
        <v>456</v>
      </c>
      <c r="T2728" s="29" cm="1">
        <f t="array" ref="T2728">IF(表成绩单[[#This Row],[化学]]="","",SUMPRODUCT((表成绩单[考试日期]=表成绩单[[#This Row],[考试日期]])*(表成绩单[化学]&lt;9E+307)*(表成绩单[化学]&gt;表成绩单[[#This Row],[化学]]))+1)</f>
        <v>241</v>
      </c>
      <c r="U2728" s="29" cm="1">
        <f t="array" ref="U2728">IF(表成绩单[[#This Row],[政治]]="","",SUMPRODUCT((表成绩单[考试日期]=表成绩单[[#This Row],[考试日期]])*(表成绩单[政治]&lt;9E+307)*(表成绩单[政治]&gt;表成绩单[[#This Row],[政治]]))+1)</f>
        <v>45</v>
      </c>
      <c r="V2728" s="29" cm="1">
        <f t="array" ref="V2728">IF(表成绩单[[#This Row],[历史]]="","",SUMPRODUCT((表成绩单[考试日期]=表成绩单[[#This Row],[考试日期]])*(表成绩单[历史]&lt;9E+307)*(表成绩单[历史]&gt;表成绩单[[#This Row],[历史]]))+1)</f>
        <v>60</v>
      </c>
      <c r="W2728" s="29" cm="1">
        <f t="array" ref="W2728">IF(表成绩单[[#This Row],[总分]]="","",SUMPRODUCT((表成绩单[考试日期]=表成绩单[[#This Row],[考试日期]])*(表成绩单[总分]&lt;9E+307)*(表成绩单[总分]&gt;表成绩单[[#This Row],[总分]]))+1)</f>
        <v>321</v>
      </c>
    </row>
    <row r="2729" ht="28" customHeight="1" spans="4:23">
      <c r="D2729" s="31">
        <v>46108</v>
      </c>
      <c r="E2729" s="29">
        <v>19175680</v>
      </c>
      <c r="F2729" s="29" t="s">
        <v>72</v>
      </c>
      <c r="G2729" s="29" t="s">
        <v>353</v>
      </c>
      <c r="H2729" s="29">
        <v>95</v>
      </c>
      <c r="I2729" s="29">
        <v>84</v>
      </c>
      <c r="J2729" s="29">
        <v>86</v>
      </c>
      <c r="K2729" s="29">
        <v>83</v>
      </c>
      <c r="L2729" s="29">
        <v>66</v>
      </c>
      <c r="M2729" s="29">
        <v>75</v>
      </c>
      <c r="N2729" s="29">
        <v>79</v>
      </c>
      <c r="O2729" s="32">
        <v>568</v>
      </c>
      <c r="P2729" s="29" cm="1">
        <f t="array" ref="P2729">IF(表成绩单[[#This Row],[语文]]="","",SUMPRODUCT((表成绩单[考试日期]=表成绩单[[#This Row],[考试日期]])*(表成绩单[语文]&lt;9E+307)*(表成绩单[语文]&gt;表成绩单[[#This Row],[语文]]))+1)</f>
        <v>422</v>
      </c>
      <c r="Q2729" s="29" cm="1">
        <f t="array" ref="Q2729">IF(表成绩单[[#This Row],[数学]]="","",SUMPRODUCT((表成绩单[考试日期]=表成绩单[[#This Row],[考试日期]])*(表成绩单[数学]&lt;9E+307)*(表成绩单[数学]&gt;表成绩单[[#This Row],[数学]]))+1)</f>
        <v>518</v>
      </c>
      <c r="R2729" s="29" cm="1">
        <f t="array" ref="R2729">IF(表成绩单[[#This Row],[英语]]="","",SUMPRODUCT((表成绩单[考试日期]=表成绩单[[#This Row],[考试日期]])*(表成绩单[英语]&lt;9E+307)*(表成绩单[英语]&gt;表成绩单[[#This Row],[英语]]))+1)</f>
        <v>29</v>
      </c>
      <c r="S2729" s="29" cm="1">
        <f t="array" ref="S2729">IF(表成绩单[[#This Row],[物理]]="","",SUMPRODUCT((表成绩单[考试日期]=表成绩单[[#This Row],[考试日期]])*(表成绩单[物理]&lt;9E+307)*(表成绩单[物理]&gt;表成绩单[[#This Row],[物理]]))+1)</f>
        <v>184</v>
      </c>
      <c r="T2729" s="29" cm="1">
        <f t="array" ref="T2729">IF(表成绩单[[#This Row],[化学]]="","",SUMPRODUCT((表成绩单[考试日期]=表成绩单[[#This Row],[考试日期]])*(表成绩单[化学]&lt;9E+307)*(表成绩单[化学]&gt;表成绩单[[#This Row],[化学]]))+1)</f>
        <v>359</v>
      </c>
      <c r="U2729" s="29" cm="1">
        <f t="array" ref="U2729">IF(表成绩单[[#This Row],[政治]]="","",SUMPRODUCT((表成绩单[考试日期]=表成绩单[[#This Row],[考试日期]])*(表成绩单[政治]&lt;9E+307)*(表成绩单[政治]&gt;表成绩单[[#This Row],[政治]]))+1)</f>
        <v>346</v>
      </c>
      <c r="V2729" s="29" cm="1">
        <f t="array" ref="V2729">IF(表成绩单[[#This Row],[历史]]="","",SUMPRODUCT((表成绩单[考试日期]=表成绩单[[#This Row],[考试日期]])*(表成绩单[历史]&lt;9E+307)*(表成绩单[历史]&gt;表成绩单[[#This Row],[历史]]))+1)</f>
        <v>173</v>
      </c>
      <c r="W2729" s="29" cm="1">
        <f t="array" ref="W2729">IF(表成绩单[[#This Row],[总分]]="","",SUMPRODUCT((表成绩单[考试日期]=表成绩单[[#This Row],[考试日期]])*(表成绩单[总分]&lt;9E+307)*(表成绩单[总分]&gt;表成绩单[[#This Row],[总分]]))+1)</f>
        <v>321</v>
      </c>
    </row>
    <row r="2730" ht="28" customHeight="1" spans="4:23">
      <c r="D2730" s="31">
        <v>46108</v>
      </c>
      <c r="E2730" s="29">
        <v>19177639</v>
      </c>
      <c r="F2730" s="29" t="s">
        <v>63</v>
      </c>
      <c r="G2730" s="29" t="s">
        <v>499</v>
      </c>
      <c r="H2730" s="29">
        <v>96</v>
      </c>
      <c r="I2730" s="29">
        <v>81</v>
      </c>
      <c r="J2730" s="29">
        <v>85</v>
      </c>
      <c r="K2730" s="29">
        <v>80</v>
      </c>
      <c r="L2730" s="29">
        <v>72</v>
      </c>
      <c r="M2730" s="29">
        <v>77</v>
      </c>
      <c r="N2730" s="29">
        <v>77</v>
      </c>
      <c r="O2730" s="32">
        <v>568</v>
      </c>
      <c r="P2730" s="29" cm="1">
        <f t="array" ref="P2730">IF(表成绩单[[#This Row],[语文]]="","",SUMPRODUCT((表成绩单[考试日期]=表成绩单[[#This Row],[考试日期]])*(表成绩单[语文]&lt;9E+307)*(表成绩单[语文]&gt;表成绩单[[#This Row],[语文]]))+1)</f>
        <v>390</v>
      </c>
      <c r="Q2730" s="29" cm="1">
        <f t="array" ref="Q2730">IF(表成绩单[[#This Row],[数学]]="","",SUMPRODUCT((表成绩单[考试日期]=表成绩单[[#This Row],[考试日期]])*(表成绩单[数学]&lt;9E+307)*(表成绩单[数学]&gt;表成绩单[[#This Row],[数学]]))+1)</f>
        <v>563</v>
      </c>
      <c r="R2730" s="29" cm="1">
        <f t="array" ref="R2730">IF(表成绩单[[#This Row],[英语]]="","",SUMPRODUCT((表成绩单[考试日期]=表成绩单[[#This Row],[考试日期]])*(表成绩单[英语]&lt;9E+307)*(表成绩单[英语]&gt;表成绩单[[#This Row],[英语]]))+1)</f>
        <v>59</v>
      </c>
      <c r="S2730" s="29" cm="1">
        <f t="array" ref="S2730">IF(表成绩单[[#This Row],[物理]]="","",SUMPRODUCT((表成绩单[考试日期]=表成绩单[[#This Row],[考试日期]])*(表成绩单[物理]&lt;9E+307)*(表成绩单[物理]&gt;表成绩单[[#This Row],[物理]]))+1)</f>
        <v>305</v>
      </c>
      <c r="T2730" s="29" cm="1">
        <f t="array" ref="T2730">IF(表成绩单[[#This Row],[化学]]="","",SUMPRODUCT((表成绩单[考试日期]=表成绩单[[#This Row],[考试日期]])*(表成绩单[化学]&lt;9E+307)*(表成绩单[化学]&gt;表成绩单[[#This Row],[化学]]))+1)</f>
        <v>187</v>
      </c>
      <c r="U2730" s="29" cm="1">
        <f t="array" ref="U2730">IF(表成绩单[[#This Row],[政治]]="","",SUMPRODUCT((表成绩单[考试日期]=表成绩单[[#This Row],[考试日期]])*(表成绩单[政治]&lt;9E+307)*(表成绩单[政治]&gt;表成绩单[[#This Row],[政治]]))+1)</f>
        <v>230</v>
      </c>
      <c r="V2730" s="29" cm="1">
        <f t="array" ref="V2730">IF(表成绩单[[#This Row],[历史]]="","",SUMPRODUCT((表成绩单[考试日期]=表成绩单[[#This Row],[考试日期]])*(表成绩单[历史]&lt;9E+307)*(表成绩单[历史]&gt;表成绩单[[#This Row],[历史]]))+1)</f>
        <v>269</v>
      </c>
      <c r="W2730" s="29" cm="1">
        <f t="array" ref="W2730">IF(表成绩单[[#This Row],[总分]]="","",SUMPRODUCT((表成绩单[考试日期]=表成绩单[[#This Row],[考试日期]])*(表成绩单[总分]&lt;9E+307)*(表成绩单[总分]&gt;表成绩单[[#This Row],[总分]]))+1)</f>
        <v>321</v>
      </c>
    </row>
    <row r="2731" ht="28" customHeight="1" spans="4:23">
      <c r="D2731" s="31">
        <v>46108</v>
      </c>
      <c r="E2731" s="29">
        <v>19178626</v>
      </c>
      <c r="F2731" s="29" t="s">
        <v>25</v>
      </c>
      <c r="G2731" s="29" t="s">
        <v>413</v>
      </c>
      <c r="H2731" s="29">
        <v>103</v>
      </c>
      <c r="I2731" s="29">
        <v>85</v>
      </c>
      <c r="J2731" s="29">
        <v>79</v>
      </c>
      <c r="K2731" s="29">
        <v>75</v>
      </c>
      <c r="L2731" s="29">
        <v>65</v>
      </c>
      <c r="M2731" s="29">
        <v>80</v>
      </c>
      <c r="N2731" s="29">
        <v>81</v>
      </c>
      <c r="O2731" s="32">
        <v>568</v>
      </c>
      <c r="P2731" s="29" cm="1">
        <f t="array" ref="P2731">IF(表成绩单[[#This Row],[语文]]="","",SUMPRODUCT((表成绩单[考试日期]=表成绩单[[#This Row],[考试日期]])*(表成绩单[语文]&lt;9E+307)*(表成绩单[语文]&gt;表成绩单[[#This Row],[语文]]))+1)</f>
        <v>155</v>
      </c>
      <c r="Q2731" s="29" cm="1">
        <f t="array" ref="Q2731">IF(表成绩单[[#This Row],[数学]]="","",SUMPRODUCT((表成绩单[考试日期]=表成绩单[[#This Row],[考试日期]])*(表成绩单[数学]&lt;9E+307)*(表成绩单[数学]&gt;表成绩单[[#This Row],[数学]]))+1)</f>
        <v>501</v>
      </c>
      <c r="R2731" s="29" cm="1">
        <f t="array" ref="R2731">IF(表成绩单[[#This Row],[英语]]="","",SUMPRODUCT((表成绩单[考试日期]=表成绩单[[#This Row],[考试日期]])*(表成绩单[英语]&lt;9E+307)*(表成绩单[英语]&gt;表成绩单[[#This Row],[英语]]))+1)</f>
        <v>305</v>
      </c>
      <c r="S2731" s="29" cm="1">
        <f t="array" ref="S2731">IF(表成绩单[[#This Row],[物理]]="","",SUMPRODUCT((表成绩单[考试日期]=表成绩单[[#This Row],[考试日期]])*(表成绩单[物理]&lt;9E+307)*(表成绩单[物理]&gt;表成绩单[[#This Row],[物理]]))+1)</f>
        <v>456</v>
      </c>
      <c r="T2731" s="29" cm="1">
        <f t="array" ref="T2731">IF(表成绩单[[#This Row],[化学]]="","",SUMPRODUCT((表成绩单[考试日期]=表成绩单[[#This Row],[考试日期]])*(表成绩单[化学]&lt;9E+307)*(表成绩单[化学]&gt;表成绩单[[#This Row],[化学]]))+1)</f>
        <v>379</v>
      </c>
      <c r="U2731" s="29" cm="1">
        <f t="array" ref="U2731">IF(表成绩单[[#This Row],[政治]]="","",SUMPRODUCT((表成绩单[考试日期]=表成绩单[[#This Row],[考试日期]])*(表成绩单[政治]&lt;9E+307)*(表成绩单[政治]&gt;表成绩单[[#This Row],[政治]]))+1)</f>
        <v>98</v>
      </c>
      <c r="V2731" s="29" cm="1">
        <f t="array" ref="V2731">IF(表成绩单[[#This Row],[历史]]="","",SUMPRODUCT((表成绩单[考试日期]=表成绩单[[#This Row],[考试日期]])*(表成绩单[历史]&lt;9E+307)*(表成绩单[历史]&gt;表成绩单[[#This Row],[历史]]))+1)</f>
        <v>106</v>
      </c>
      <c r="W2731" s="29" cm="1">
        <f t="array" ref="W2731">IF(表成绩单[[#This Row],[总分]]="","",SUMPRODUCT((表成绩单[考试日期]=表成绩单[[#This Row],[考试日期]])*(表成绩单[总分]&lt;9E+307)*(表成绩单[总分]&gt;表成绩单[[#This Row],[总分]]))+1)</f>
        <v>321</v>
      </c>
    </row>
    <row r="2732" ht="28" customHeight="1" spans="4:23">
      <c r="D2732" s="31">
        <v>46108</v>
      </c>
      <c r="E2732" s="29">
        <v>19178628</v>
      </c>
      <c r="F2732" s="29" t="s">
        <v>25</v>
      </c>
      <c r="G2732" s="29" t="s">
        <v>266</v>
      </c>
      <c r="H2732" s="29">
        <v>94</v>
      </c>
      <c r="I2732" s="29">
        <v>90</v>
      </c>
      <c r="J2732" s="29">
        <v>86.5</v>
      </c>
      <c r="K2732" s="29">
        <v>77</v>
      </c>
      <c r="L2732" s="29">
        <v>59</v>
      </c>
      <c r="M2732" s="29">
        <v>78</v>
      </c>
      <c r="N2732" s="29">
        <v>83</v>
      </c>
      <c r="O2732" s="32">
        <v>567.5</v>
      </c>
      <c r="P2732" s="29" cm="1">
        <f t="array" ref="P2732">IF(表成绩单[[#This Row],[语文]]="","",SUMPRODUCT((表成绩单[考试日期]=表成绩单[[#This Row],[考试日期]])*(表成绩单[语文]&lt;9E+307)*(表成绩单[语文]&gt;表成绩单[[#This Row],[语文]]))+1)</f>
        <v>449</v>
      </c>
      <c r="Q2732" s="29" cm="1">
        <f t="array" ref="Q2732">IF(表成绩单[[#This Row],[数学]]="","",SUMPRODUCT((表成绩单[考试日期]=表成绩单[[#This Row],[考试日期]])*(表成绩单[数学]&lt;9E+307)*(表成绩单[数学]&gt;表成绩单[[#This Row],[数学]]))+1)</f>
        <v>368</v>
      </c>
      <c r="R2732" s="29" cm="1">
        <f t="array" ref="R2732">IF(表成绩单[[#This Row],[英语]]="","",SUMPRODUCT((表成绩单[考试日期]=表成绩单[[#This Row],[考试日期]])*(表成绩单[英语]&lt;9E+307)*(表成绩单[英语]&gt;表成绩单[[#This Row],[英语]]))+1)</f>
        <v>18</v>
      </c>
      <c r="S2732" s="29" cm="1">
        <f t="array" ref="S2732">IF(表成绩单[[#This Row],[物理]]="","",SUMPRODUCT((表成绩单[考试日期]=表成绩单[[#This Row],[考试日期]])*(表成绩单[物理]&lt;9E+307)*(表成绩单[物理]&gt;表成绩单[[#This Row],[物理]]))+1)</f>
        <v>400</v>
      </c>
      <c r="T2732" s="29" cm="1">
        <f t="array" ref="T2732">IF(表成绩单[[#This Row],[化学]]="","",SUMPRODUCT((表成绩单[考试日期]=表成绩单[[#This Row],[考试日期]])*(表成绩单[化学]&lt;9E+307)*(表成绩单[化学]&gt;表成绩单[[#This Row],[化学]]))+1)</f>
        <v>510</v>
      </c>
      <c r="U2732" s="29" cm="1">
        <f t="array" ref="U2732">IF(表成绩单[[#This Row],[政治]]="","",SUMPRODUCT((表成绩单[考试日期]=表成绩单[[#This Row],[考试日期]])*(表成绩单[政治]&lt;9E+307)*(表成绩单[政治]&gt;表成绩单[[#This Row],[政治]]))+1)</f>
        <v>171</v>
      </c>
      <c r="V2732" s="29" cm="1">
        <f t="array" ref="V2732">IF(表成绩单[[#This Row],[历史]]="","",SUMPRODUCT((表成绩单[考试日期]=表成绩单[[#This Row],[考试日期]])*(表成绩单[历史]&lt;9E+307)*(表成绩单[历史]&gt;表成绩单[[#This Row],[历史]]))+1)</f>
        <v>60</v>
      </c>
      <c r="W2732" s="29" cm="1">
        <f t="array" ref="W2732">IF(表成绩单[[#This Row],[总分]]="","",SUMPRODUCT((表成绩单[考试日期]=表成绩单[[#This Row],[考试日期]])*(表成绩单[总分]&lt;9E+307)*(表成绩单[总分]&gt;表成绩单[[#This Row],[总分]]))+1)</f>
        <v>325</v>
      </c>
    </row>
    <row r="2733" ht="28" customHeight="1" spans="4:23">
      <c r="D2733" s="31">
        <v>46108</v>
      </c>
      <c r="E2733" s="29">
        <v>19174444</v>
      </c>
      <c r="F2733" s="29" t="s">
        <v>73</v>
      </c>
      <c r="G2733" s="29" t="s">
        <v>458</v>
      </c>
      <c r="H2733" s="29">
        <v>102</v>
      </c>
      <c r="I2733" s="29">
        <v>89</v>
      </c>
      <c r="J2733" s="29">
        <v>79</v>
      </c>
      <c r="K2733" s="29">
        <v>83</v>
      </c>
      <c r="L2733" s="29">
        <v>62</v>
      </c>
      <c r="M2733" s="29">
        <v>76</v>
      </c>
      <c r="N2733" s="29">
        <v>76</v>
      </c>
      <c r="O2733" s="32">
        <v>567</v>
      </c>
      <c r="P2733" s="29" cm="1">
        <f t="array" ref="P2733">IF(表成绩单[[#This Row],[语文]]="","",SUMPRODUCT((表成绩单[考试日期]=表成绩单[[#This Row],[考试日期]])*(表成绩单[语文]&lt;9E+307)*(表成绩单[语文]&gt;表成绩单[[#This Row],[语文]]))+1)</f>
        <v>183</v>
      </c>
      <c r="Q2733" s="29" cm="1">
        <f t="array" ref="Q2733">IF(表成绩单[[#This Row],[数学]]="","",SUMPRODUCT((表成绩单[考试日期]=表成绩单[[#This Row],[考试日期]])*(表成绩单[数学]&lt;9E+307)*(表成绩单[数学]&gt;表成绩单[[#This Row],[数学]]))+1)</f>
        <v>402</v>
      </c>
      <c r="R2733" s="29" cm="1">
        <f t="array" ref="R2733">IF(表成绩单[[#This Row],[英语]]="","",SUMPRODUCT((表成绩单[考试日期]=表成绩单[[#This Row],[考试日期]])*(表成绩单[英语]&lt;9E+307)*(表成绩单[英语]&gt;表成绩单[[#This Row],[英语]]))+1)</f>
        <v>305</v>
      </c>
      <c r="S2733" s="29" cm="1">
        <f t="array" ref="S2733">IF(表成绩单[[#This Row],[物理]]="","",SUMPRODUCT((表成绩单[考试日期]=表成绩单[[#This Row],[考试日期]])*(表成绩单[物理]&lt;9E+307)*(表成绩单[物理]&gt;表成绩单[[#This Row],[物理]]))+1)</f>
        <v>184</v>
      </c>
      <c r="T2733" s="29" cm="1">
        <f t="array" ref="T2733">IF(表成绩单[[#This Row],[化学]]="","",SUMPRODUCT((表成绩单[考试日期]=表成绩单[[#This Row],[考试日期]])*(表成绩单[化学]&lt;9E+307)*(表成绩单[化学]&gt;表成绩单[[#This Row],[化学]]))+1)</f>
        <v>449</v>
      </c>
      <c r="U2733" s="29" cm="1">
        <f t="array" ref="U2733">IF(表成绩单[[#This Row],[政治]]="","",SUMPRODUCT((表成绩单[考试日期]=表成绩单[[#This Row],[考试日期]])*(表成绩单[政治]&lt;9E+307)*(表成绩单[政治]&gt;表成绩单[[#This Row],[政治]]))+1)</f>
        <v>291</v>
      </c>
      <c r="V2733" s="29" cm="1">
        <f t="array" ref="V2733">IF(表成绩单[[#This Row],[历史]]="","",SUMPRODUCT((表成绩单[考试日期]=表成绩单[[#This Row],[考试日期]])*(表成绩单[历史]&lt;9E+307)*(表成绩单[历史]&gt;表成绩单[[#This Row],[历史]]))+1)</f>
        <v>316</v>
      </c>
      <c r="W2733" s="29" cm="1">
        <f t="array" ref="W2733">IF(表成绩单[[#This Row],[总分]]="","",SUMPRODUCT((表成绩单[考试日期]=表成绩单[[#This Row],[考试日期]])*(表成绩单[总分]&lt;9E+307)*(表成绩单[总分]&gt;表成绩单[[#This Row],[总分]]))+1)</f>
        <v>326</v>
      </c>
    </row>
    <row r="2734" ht="28" customHeight="1" spans="4:23">
      <c r="D2734" s="31">
        <v>46108</v>
      </c>
      <c r="E2734" s="29">
        <v>19174810</v>
      </c>
      <c r="F2734" s="29" t="s">
        <v>69</v>
      </c>
      <c r="G2734" s="29" t="s">
        <v>485</v>
      </c>
      <c r="H2734" s="29">
        <v>102</v>
      </c>
      <c r="I2734" s="29">
        <v>88</v>
      </c>
      <c r="J2734" s="29">
        <v>72</v>
      </c>
      <c r="K2734" s="29">
        <v>73</v>
      </c>
      <c r="L2734" s="29">
        <v>76</v>
      </c>
      <c r="M2734" s="29">
        <v>78</v>
      </c>
      <c r="N2734" s="29">
        <v>78</v>
      </c>
      <c r="O2734" s="32">
        <v>567</v>
      </c>
      <c r="P2734" s="29" cm="1">
        <f t="array" ref="P2734">IF(表成绩单[[#This Row],[语文]]="","",SUMPRODUCT((表成绩单[考试日期]=表成绩单[[#This Row],[考试日期]])*(表成绩单[语文]&lt;9E+307)*(表成绩单[语文]&gt;表成绩单[[#This Row],[语文]]))+1)</f>
        <v>183</v>
      </c>
      <c r="Q2734" s="29" cm="1">
        <f t="array" ref="Q2734">IF(表成绩单[[#This Row],[数学]]="","",SUMPRODUCT((表成绩单[考试日期]=表成绩单[[#This Row],[考试日期]])*(表成绩单[数学]&lt;9E+307)*(表成绩单[数学]&gt;表成绩单[[#This Row],[数学]]))+1)</f>
        <v>424</v>
      </c>
      <c r="R2734" s="29" cm="1">
        <f t="array" ref="R2734">IF(表成绩单[[#This Row],[英语]]="","",SUMPRODUCT((表成绩单[考试日期]=表成绩单[[#This Row],[考试日期]])*(表成绩单[英语]&lt;9E+307)*(表成绩单[英语]&gt;表成绩单[[#This Row],[英语]]))+1)</f>
        <v>499</v>
      </c>
      <c r="S2734" s="29" cm="1">
        <f t="array" ref="S2734">IF(表成绩单[[#This Row],[物理]]="","",SUMPRODUCT((表成绩单[考试日期]=表成绩单[[#This Row],[考试日期]])*(表成绩单[物理]&lt;9E+307)*(表成绩单[物理]&gt;表成绩单[[#This Row],[物理]]))+1)</f>
        <v>500</v>
      </c>
      <c r="T2734" s="29" cm="1">
        <f t="array" ref="T2734">IF(表成绩单[[#This Row],[化学]]="","",SUMPRODUCT((表成绩单[考试日期]=表成绩单[[#This Row],[考试日期]])*(表成绩单[化学]&lt;9E+307)*(表成绩单[化学]&gt;表成绩单[[#This Row],[化学]]))+1)</f>
        <v>71</v>
      </c>
      <c r="U2734" s="29" cm="1">
        <f t="array" ref="U2734">IF(表成绩单[[#This Row],[政治]]="","",SUMPRODUCT((表成绩单[考试日期]=表成绩单[[#This Row],[考试日期]])*(表成绩单[政治]&lt;9E+307)*(表成绩单[政治]&gt;表成绩单[[#This Row],[政治]]))+1)</f>
        <v>171</v>
      </c>
      <c r="V2734" s="29" cm="1">
        <f t="array" ref="V2734">IF(表成绩单[[#This Row],[历史]]="","",SUMPRODUCT((表成绩单[考试日期]=表成绩单[[#This Row],[考试日期]])*(表成绩单[历史]&lt;9E+307)*(表成绩单[历史]&gt;表成绩单[[#This Row],[历史]]))+1)</f>
        <v>222</v>
      </c>
      <c r="W2734" s="29" cm="1">
        <f t="array" ref="W2734">IF(表成绩单[[#This Row],[总分]]="","",SUMPRODUCT((表成绩单[考试日期]=表成绩单[[#This Row],[考试日期]])*(表成绩单[总分]&lt;9E+307)*(表成绩单[总分]&gt;表成绩单[[#This Row],[总分]]))+1)</f>
        <v>326</v>
      </c>
    </row>
    <row r="2735" ht="28" customHeight="1" spans="4:23">
      <c r="D2735" s="31">
        <v>46108</v>
      </c>
      <c r="E2735" s="29">
        <v>19178636</v>
      </c>
      <c r="F2735" s="29" t="s">
        <v>25</v>
      </c>
      <c r="G2735" s="29" t="s">
        <v>460</v>
      </c>
      <c r="H2735" s="29">
        <v>98</v>
      </c>
      <c r="I2735" s="29">
        <v>91</v>
      </c>
      <c r="J2735" s="29">
        <v>79</v>
      </c>
      <c r="K2735" s="29">
        <v>78</v>
      </c>
      <c r="L2735" s="29">
        <v>66</v>
      </c>
      <c r="M2735" s="29">
        <v>81</v>
      </c>
      <c r="N2735" s="29">
        <v>74</v>
      </c>
      <c r="O2735" s="32">
        <v>567</v>
      </c>
      <c r="P2735" s="29" cm="1">
        <f t="array" ref="P2735">IF(表成绩单[[#This Row],[语文]]="","",SUMPRODUCT((表成绩单[考试日期]=表成绩单[[#This Row],[考试日期]])*(表成绩单[语文]&lt;9E+307)*(表成绩单[语文]&gt;表成绩单[[#This Row],[语文]]))+1)</f>
        <v>322</v>
      </c>
      <c r="Q2735" s="29" cm="1">
        <f t="array" ref="Q2735">IF(表成绩单[[#This Row],[数学]]="","",SUMPRODUCT((表成绩单[考试日期]=表成绩单[[#This Row],[考试日期]])*(表成绩单[数学]&lt;9E+307)*(表成绩单[数学]&gt;表成绩单[[#This Row],[数学]]))+1)</f>
        <v>341</v>
      </c>
      <c r="R2735" s="29" cm="1">
        <f t="array" ref="R2735">IF(表成绩单[[#This Row],[英语]]="","",SUMPRODUCT((表成绩单[考试日期]=表成绩单[[#This Row],[考试日期]])*(表成绩单[英语]&lt;9E+307)*(表成绩单[英语]&gt;表成绩单[[#This Row],[英语]]))+1)</f>
        <v>305</v>
      </c>
      <c r="S2735" s="29" cm="1">
        <f t="array" ref="S2735">IF(表成绩单[[#This Row],[物理]]="","",SUMPRODUCT((表成绩单[考试日期]=表成绩单[[#This Row],[考试日期]])*(表成绩单[物理]&lt;9E+307)*(表成绩单[物理]&gt;表成绩单[[#This Row],[物理]]))+1)</f>
        <v>365</v>
      </c>
      <c r="T2735" s="29" cm="1">
        <f t="array" ref="T2735">IF(表成绩单[[#This Row],[化学]]="","",SUMPRODUCT((表成绩单[考试日期]=表成绩单[[#This Row],[考试日期]])*(表成绩单[化学]&lt;9E+307)*(表成绩单[化学]&gt;表成绩单[[#This Row],[化学]]))+1)</f>
        <v>359</v>
      </c>
      <c r="U2735" s="29" cm="1">
        <f t="array" ref="U2735">IF(表成绩单[[#This Row],[政治]]="","",SUMPRODUCT((表成绩单[考试日期]=表成绩单[[#This Row],[考试日期]])*(表成绩单[政治]&lt;9E+307)*(表成绩单[政治]&gt;表成绩单[[#This Row],[政治]]))+1)</f>
        <v>68</v>
      </c>
      <c r="V2735" s="29" cm="1">
        <f t="array" ref="V2735">IF(表成绩单[[#This Row],[历史]]="","",SUMPRODUCT((表成绩单[考试日期]=表成绩单[[#This Row],[考试日期]])*(表成绩单[历史]&lt;9E+307)*(表成绩单[历史]&gt;表成绩单[[#This Row],[历史]]))+1)</f>
        <v>389</v>
      </c>
      <c r="W2735" s="29" cm="1">
        <f t="array" ref="W2735">IF(表成绩单[[#This Row],[总分]]="","",SUMPRODUCT((表成绩单[考试日期]=表成绩单[[#This Row],[考试日期]])*(表成绩单[总分]&lt;9E+307)*(表成绩单[总分]&gt;表成绩单[[#This Row],[总分]]))+1)</f>
        <v>326</v>
      </c>
    </row>
    <row r="2736" ht="28" customHeight="1" spans="4:23">
      <c r="D2736" s="31">
        <v>46108</v>
      </c>
      <c r="E2736" s="29">
        <v>19173262</v>
      </c>
      <c r="F2736" s="29" t="s">
        <v>61</v>
      </c>
      <c r="G2736" s="29" t="s">
        <v>484</v>
      </c>
      <c r="H2736" s="29">
        <v>88</v>
      </c>
      <c r="I2736" s="29">
        <v>93</v>
      </c>
      <c r="J2736" s="29">
        <v>70.5</v>
      </c>
      <c r="K2736" s="29">
        <v>82</v>
      </c>
      <c r="L2736" s="29">
        <v>78</v>
      </c>
      <c r="M2736" s="29">
        <v>80</v>
      </c>
      <c r="N2736" s="29">
        <v>75</v>
      </c>
      <c r="O2736" s="32">
        <v>566.5</v>
      </c>
      <c r="P2736" s="29" cm="1">
        <f t="array" ref="P2736">IF(表成绩单[[#This Row],[语文]]="","",SUMPRODUCT((表成绩单[考试日期]=表成绩单[[#This Row],[考试日期]])*(表成绩单[语文]&lt;9E+307)*(表成绩单[语文]&gt;表成绩单[[#This Row],[语文]]))+1)</f>
        <v>575</v>
      </c>
      <c r="Q2736" s="29" cm="1">
        <f t="array" ref="Q2736">IF(表成绩单[[#This Row],[数学]]="","",SUMPRODUCT((表成绩单[考试日期]=表成绩单[[#This Row],[考试日期]])*(表成绩单[数学]&lt;9E+307)*(表成绩单[数学]&gt;表成绩单[[#This Row],[数学]]))+1)</f>
        <v>289</v>
      </c>
      <c r="R2736" s="29" cm="1">
        <f t="array" ref="R2736">IF(表成绩单[[#This Row],[英语]]="","",SUMPRODUCT((表成绩单[考试日期]=表成绩单[[#This Row],[考试日期]])*(表成绩单[英语]&lt;9E+307)*(表成绩单[英语]&gt;表成绩单[[#This Row],[英语]]))+1)</f>
        <v>530</v>
      </c>
      <c r="S2736" s="29" cm="1">
        <f t="array" ref="S2736">IF(表成绩单[[#This Row],[物理]]="","",SUMPRODUCT((表成绩单[考试日期]=表成绩单[[#This Row],[考试日期]])*(表成绩单[物理]&lt;9E+307)*(表成绩单[物理]&gt;表成绩单[[#This Row],[物理]]))+1)</f>
        <v>223</v>
      </c>
      <c r="T2736" s="29" cm="1">
        <f t="array" ref="T2736">IF(表成绩单[[#This Row],[化学]]="","",SUMPRODUCT((表成绩单[考试日期]=表成绩单[[#This Row],[考试日期]])*(表成绩单[化学]&lt;9E+307)*(表成绩单[化学]&gt;表成绩单[[#This Row],[化学]]))+1)</f>
        <v>47</v>
      </c>
      <c r="U2736" s="29" cm="1">
        <f t="array" ref="U2736">IF(表成绩单[[#This Row],[政治]]="","",SUMPRODUCT((表成绩单[考试日期]=表成绩单[[#This Row],[考试日期]])*(表成绩单[政治]&lt;9E+307)*(表成绩单[政治]&gt;表成绩单[[#This Row],[政治]]))+1)</f>
        <v>98</v>
      </c>
      <c r="V2736" s="29" cm="1">
        <f t="array" ref="V2736">IF(表成绩单[[#This Row],[历史]]="","",SUMPRODUCT((表成绩单[考试日期]=表成绩单[[#This Row],[考试日期]])*(表成绩单[历史]&lt;9E+307)*(表成绩单[历史]&gt;表成绩单[[#This Row],[历史]]))+1)</f>
        <v>354</v>
      </c>
      <c r="W2736" s="29" cm="1">
        <f t="array" ref="W2736">IF(表成绩单[[#This Row],[总分]]="","",SUMPRODUCT((表成绩单[考试日期]=表成绩单[[#This Row],[考试日期]])*(表成绩单[总分]&lt;9E+307)*(表成绩单[总分]&gt;表成绩单[[#This Row],[总分]]))+1)</f>
        <v>329</v>
      </c>
    </row>
    <row r="2737" ht="28" customHeight="1" spans="4:23">
      <c r="D2737" s="31">
        <v>46108</v>
      </c>
      <c r="E2737" s="29">
        <v>19174463</v>
      </c>
      <c r="F2737" s="29" t="s">
        <v>73</v>
      </c>
      <c r="G2737" s="29" t="s">
        <v>352</v>
      </c>
      <c r="H2737" s="29">
        <v>102</v>
      </c>
      <c r="I2737" s="29">
        <v>95</v>
      </c>
      <c r="J2737" s="29">
        <v>79.5</v>
      </c>
      <c r="K2737" s="29">
        <v>81</v>
      </c>
      <c r="L2737" s="29">
        <v>60</v>
      </c>
      <c r="M2737" s="29">
        <v>74</v>
      </c>
      <c r="N2737" s="29">
        <v>75</v>
      </c>
      <c r="O2737" s="32">
        <v>566.5</v>
      </c>
      <c r="P2737" s="29" cm="1">
        <f t="array" ref="P2737">IF(表成绩单[[#This Row],[语文]]="","",SUMPRODUCT((表成绩单[考试日期]=表成绩单[[#This Row],[考试日期]])*(表成绩单[语文]&lt;9E+307)*(表成绩单[语文]&gt;表成绩单[[#This Row],[语文]]))+1)</f>
        <v>183</v>
      </c>
      <c r="Q2737" s="29" cm="1">
        <f t="array" ref="Q2737">IF(表成绩单[[#This Row],[数学]]="","",SUMPRODUCT((表成绩单[考试日期]=表成绩单[[#This Row],[考试日期]])*(表成绩单[数学]&lt;9E+307)*(表成绩单[数学]&gt;表成绩单[[#This Row],[数学]]))+1)</f>
        <v>229</v>
      </c>
      <c r="R2737" s="29" cm="1">
        <f t="array" ref="R2737">IF(表成绩单[[#This Row],[英语]]="","",SUMPRODUCT((表成绩单[考试日期]=表成绩单[[#This Row],[考试日期]])*(表成绩单[英语]&lt;9E+307)*(表成绩单[英语]&gt;表成绩单[[#This Row],[英语]]))+1)</f>
        <v>286</v>
      </c>
      <c r="S2737" s="29" cm="1">
        <f t="array" ref="S2737">IF(表成绩单[[#This Row],[物理]]="","",SUMPRODUCT((表成绩单[考试日期]=表成绩单[[#This Row],[考试日期]])*(表成绩单[物理]&lt;9E+307)*(表成绩单[物理]&gt;表成绩单[[#This Row],[物理]]))+1)</f>
        <v>269</v>
      </c>
      <c r="T2737" s="29" cm="1">
        <f t="array" ref="T2737">IF(表成绩单[[#This Row],[化学]]="","",SUMPRODUCT((表成绩单[考试日期]=表成绩单[[#This Row],[考试日期]])*(表成绩单[化学]&lt;9E+307)*(表成绩单[化学]&gt;表成绩单[[#This Row],[化学]]))+1)</f>
        <v>490</v>
      </c>
      <c r="U2737" s="29" cm="1">
        <f t="array" ref="U2737">IF(表成绩单[[#This Row],[政治]]="","",SUMPRODUCT((表成绩单[考试日期]=表成绩单[[#This Row],[考试日期]])*(表成绩单[政治]&lt;9E+307)*(表成绩单[政治]&gt;表成绩单[[#This Row],[政治]]))+1)</f>
        <v>389</v>
      </c>
      <c r="V2737" s="29" cm="1">
        <f t="array" ref="V2737">IF(表成绩单[[#This Row],[历史]]="","",SUMPRODUCT((表成绩单[考试日期]=表成绩单[[#This Row],[考试日期]])*(表成绩单[历史]&lt;9E+307)*(表成绩单[历史]&gt;表成绩单[[#This Row],[历史]]))+1)</f>
        <v>354</v>
      </c>
      <c r="W2737" s="29" cm="1">
        <f t="array" ref="W2737">IF(表成绩单[[#This Row],[总分]]="","",SUMPRODUCT((表成绩单[考试日期]=表成绩单[[#This Row],[考试日期]])*(表成绩单[总分]&lt;9E+307)*(表成绩单[总分]&gt;表成绩单[[#This Row],[总分]]))+1)</f>
        <v>329</v>
      </c>
    </row>
    <row r="2738" ht="28" customHeight="1" spans="4:23">
      <c r="D2738" s="31">
        <v>46108</v>
      </c>
      <c r="E2738" s="29">
        <v>19178647</v>
      </c>
      <c r="F2738" s="29" t="s">
        <v>25</v>
      </c>
      <c r="G2738" s="29" t="s">
        <v>219</v>
      </c>
      <c r="H2738" s="29">
        <v>96</v>
      </c>
      <c r="I2738" s="29">
        <v>96</v>
      </c>
      <c r="J2738" s="29">
        <v>67.5</v>
      </c>
      <c r="K2738" s="29">
        <v>84</v>
      </c>
      <c r="L2738" s="29">
        <v>73</v>
      </c>
      <c r="M2738" s="29">
        <v>76</v>
      </c>
      <c r="N2738" s="29">
        <v>74</v>
      </c>
      <c r="O2738" s="32">
        <v>566.5</v>
      </c>
      <c r="P2738" s="29" cm="1">
        <f t="array" ref="P2738">IF(表成绩单[[#This Row],[语文]]="","",SUMPRODUCT((表成绩单[考试日期]=表成绩单[[#This Row],[考试日期]])*(表成绩单[语文]&lt;9E+307)*(表成绩单[语文]&gt;表成绩单[[#This Row],[语文]]))+1)</f>
        <v>390</v>
      </c>
      <c r="Q2738" s="29" cm="1">
        <f t="array" ref="Q2738">IF(表成绩单[[#This Row],[数学]]="","",SUMPRODUCT((表成绩单[考试日期]=表成绩单[[#This Row],[考试日期]])*(表成绩单[数学]&lt;9E+307)*(表成绩单[数学]&gt;表成绩单[[#This Row],[数学]]))+1)</f>
        <v>202</v>
      </c>
      <c r="R2738" s="29" cm="1">
        <f t="array" ref="R2738">IF(表成绩单[[#This Row],[英语]]="","",SUMPRODUCT((表成绩单[考试日期]=表成绩单[[#This Row],[考试日期]])*(表成绩单[英语]&lt;9E+307)*(表成绩单[英语]&gt;表成绩单[[#This Row],[英语]]))+1)</f>
        <v>571</v>
      </c>
      <c r="S2738" s="29" cm="1">
        <f t="array" ref="S2738">IF(表成绩单[[#This Row],[物理]]="","",SUMPRODUCT((表成绩单[考试日期]=表成绩单[[#This Row],[考试日期]])*(表成绩单[物理]&lt;9E+307)*(表成绩单[物理]&gt;表成绩单[[#This Row],[物理]]))+1)</f>
        <v>146</v>
      </c>
      <c r="T2738" s="29" cm="1">
        <f t="array" ref="T2738">IF(表成绩单[[#This Row],[化学]]="","",SUMPRODUCT((表成绩单[考试日期]=表成绩单[[#This Row],[考试日期]])*(表成绩单[化学]&lt;9E+307)*(表成绩单[化学]&gt;表成绩单[[#This Row],[化学]]))+1)</f>
        <v>152</v>
      </c>
      <c r="U2738" s="29" cm="1">
        <f t="array" ref="U2738">IF(表成绩单[[#This Row],[政治]]="","",SUMPRODUCT((表成绩单[考试日期]=表成绩单[[#This Row],[考试日期]])*(表成绩单[政治]&lt;9E+307)*(表成绩单[政治]&gt;表成绩单[[#This Row],[政治]]))+1)</f>
        <v>291</v>
      </c>
      <c r="V2738" s="29" cm="1">
        <f t="array" ref="V2738">IF(表成绩单[[#This Row],[历史]]="","",SUMPRODUCT((表成绩单[考试日期]=表成绩单[[#This Row],[考试日期]])*(表成绩单[历史]&lt;9E+307)*(表成绩单[历史]&gt;表成绩单[[#This Row],[历史]]))+1)</f>
        <v>389</v>
      </c>
      <c r="W2738" s="29" cm="1">
        <f t="array" ref="W2738">IF(表成绩单[[#This Row],[总分]]="","",SUMPRODUCT((表成绩单[考试日期]=表成绩单[[#This Row],[考试日期]])*(表成绩单[总分]&lt;9E+307)*(表成绩单[总分]&gt;表成绩单[[#This Row],[总分]]))+1)</f>
        <v>329</v>
      </c>
    </row>
    <row r="2739" ht="28" customHeight="1" spans="4:23">
      <c r="D2739" s="31">
        <v>46108</v>
      </c>
      <c r="E2739" s="29">
        <v>19173764</v>
      </c>
      <c r="F2739" s="29" t="s">
        <v>65</v>
      </c>
      <c r="G2739" s="29" t="s">
        <v>424</v>
      </c>
      <c r="H2739" s="29">
        <v>97</v>
      </c>
      <c r="I2739" s="29">
        <v>89</v>
      </c>
      <c r="J2739" s="29">
        <v>84</v>
      </c>
      <c r="K2739" s="29">
        <v>78</v>
      </c>
      <c r="L2739" s="29">
        <v>64</v>
      </c>
      <c r="M2739" s="29">
        <v>78</v>
      </c>
      <c r="N2739" s="29">
        <v>76</v>
      </c>
      <c r="O2739" s="32">
        <v>566</v>
      </c>
      <c r="P2739" s="29" cm="1">
        <f t="array" ref="P2739">IF(表成绩单[[#This Row],[语文]]="","",SUMPRODUCT((表成绩单[考试日期]=表成绩单[[#This Row],[考试日期]])*(表成绩单[语文]&lt;9E+307)*(表成绩单[语文]&gt;表成绩单[[#This Row],[语文]]))+1)</f>
        <v>357</v>
      </c>
      <c r="Q2739" s="29" cm="1">
        <f t="array" ref="Q2739">IF(表成绩单[[#This Row],[数学]]="","",SUMPRODUCT((表成绩单[考试日期]=表成绩单[[#This Row],[考试日期]])*(表成绩单[数学]&lt;9E+307)*(表成绩单[数学]&gt;表成绩单[[#This Row],[数学]]))+1)</f>
        <v>402</v>
      </c>
      <c r="R2739" s="29" cm="1">
        <f t="array" ref="R2739">IF(表成绩单[[#This Row],[英语]]="","",SUMPRODUCT((表成绩单[考试日期]=表成绩单[[#This Row],[考试日期]])*(表成绩单[英语]&lt;9E+307)*(表成绩单[英语]&gt;表成绩单[[#This Row],[英语]]))+1)</f>
        <v>100</v>
      </c>
      <c r="S2739" s="29" cm="1">
        <f t="array" ref="S2739">IF(表成绩单[[#This Row],[物理]]="","",SUMPRODUCT((表成绩单[考试日期]=表成绩单[[#This Row],[考试日期]])*(表成绩单[物理]&lt;9E+307)*(表成绩单[物理]&gt;表成绩单[[#This Row],[物理]]))+1)</f>
        <v>365</v>
      </c>
      <c r="T2739" s="29" cm="1">
        <f t="array" ref="T2739">IF(表成绩单[[#This Row],[化学]]="","",SUMPRODUCT((表成绩单[考试日期]=表成绩单[[#This Row],[考试日期]])*(表成绩单[化学]&lt;9E+307)*(表成绩单[化学]&gt;表成绩单[[#This Row],[化学]]))+1)</f>
        <v>400</v>
      </c>
      <c r="U2739" s="29" cm="1">
        <f t="array" ref="U2739">IF(表成绩单[[#This Row],[政治]]="","",SUMPRODUCT((表成绩单[考试日期]=表成绩单[[#This Row],[考试日期]])*(表成绩单[政治]&lt;9E+307)*(表成绩单[政治]&gt;表成绩单[[#This Row],[政治]]))+1)</f>
        <v>171</v>
      </c>
      <c r="V2739" s="29" cm="1">
        <f t="array" ref="V2739">IF(表成绩单[[#This Row],[历史]]="","",SUMPRODUCT((表成绩单[考试日期]=表成绩单[[#This Row],[考试日期]])*(表成绩单[历史]&lt;9E+307)*(表成绩单[历史]&gt;表成绩单[[#This Row],[历史]]))+1)</f>
        <v>316</v>
      </c>
      <c r="W2739" s="29" cm="1">
        <f t="array" ref="W2739">IF(表成绩单[[#This Row],[总分]]="","",SUMPRODUCT((表成绩单[考试日期]=表成绩单[[#This Row],[考试日期]])*(表成绩单[总分]&lt;9E+307)*(表成绩单[总分]&gt;表成绩单[[#This Row],[总分]]))+1)</f>
        <v>332</v>
      </c>
    </row>
    <row r="2740" ht="28" customHeight="1" spans="4:23">
      <c r="D2740" s="31">
        <v>46108</v>
      </c>
      <c r="E2740" s="29">
        <v>19174806</v>
      </c>
      <c r="F2740" s="29" t="s">
        <v>69</v>
      </c>
      <c r="G2740" s="29" t="s">
        <v>416</v>
      </c>
      <c r="H2740" s="29">
        <v>99</v>
      </c>
      <c r="I2740" s="29">
        <v>95</v>
      </c>
      <c r="J2740" s="29">
        <v>74</v>
      </c>
      <c r="K2740" s="29">
        <v>75</v>
      </c>
      <c r="L2740" s="29">
        <v>75</v>
      </c>
      <c r="M2740" s="29">
        <v>79</v>
      </c>
      <c r="N2740" s="29">
        <v>69</v>
      </c>
      <c r="O2740" s="32">
        <v>566</v>
      </c>
      <c r="P2740" s="29" cm="1">
        <f t="array" ref="P2740">IF(表成绩单[[#This Row],[语文]]="","",SUMPRODUCT((表成绩单[考试日期]=表成绩单[[#This Row],[考试日期]])*(表成绩单[语文]&lt;9E+307)*(表成绩单[语文]&gt;表成绩单[[#This Row],[语文]]))+1)</f>
        <v>279</v>
      </c>
      <c r="Q2740" s="29" cm="1">
        <f t="array" ref="Q2740">IF(表成绩单[[#This Row],[数学]]="","",SUMPRODUCT((表成绩单[考试日期]=表成绩单[[#This Row],[考试日期]])*(表成绩单[数学]&lt;9E+307)*(表成绩单[数学]&gt;表成绩单[[#This Row],[数学]]))+1)</f>
        <v>229</v>
      </c>
      <c r="R2740" s="29" cm="1">
        <f t="array" ref="R2740">IF(表成绩单[[#This Row],[英语]]="","",SUMPRODUCT((表成绩单[考试日期]=表成绩单[[#This Row],[考试日期]])*(表成绩单[英语]&lt;9E+307)*(表成绩单[英语]&gt;表成绩单[[#This Row],[英语]]))+1)</f>
        <v>464</v>
      </c>
      <c r="S2740" s="29" cm="1">
        <f t="array" ref="S2740">IF(表成绩单[[#This Row],[物理]]="","",SUMPRODUCT((表成绩单[考试日期]=表成绩单[[#This Row],[考试日期]])*(表成绩单[物理]&lt;9E+307)*(表成绩单[物理]&gt;表成绩单[[#This Row],[物理]]))+1)</f>
        <v>456</v>
      </c>
      <c r="T2740" s="29" cm="1">
        <f t="array" ref="T2740">IF(表成绩单[[#This Row],[化学]]="","",SUMPRODUCT((表成绩单[考试日期]=表成绩单[[#This Row],[考试日期]])*(表成绩单[化学]&lt;9E+307)*(表成绩单[化学]&gt;表成绩单[[#This Row],[化学]]))+1)</f>
        <v>96</v>
      </c>
      <c r="U2740" s="29" cm="1">
        <f t="array" ref="U2740">IF(表成绩单[[#This Row],[政治]]="","",SUMPRODUCT((表成绩单[考试日期]=表成绩单[[#This Row],[考试日期]])*(表成绩单[政治]&lt;9E+307)*(表成绩单[政治]&gt;表成绩单[[#This Row],[政治]]))+1)</f>
        <v>134</v>
      </c>
      <c r="V2740" s="29" cm="1">
        <f t="array" ref="V2740">IF(表成绩单[[#This Row],[历史]]="","",SUMPRODUCT((表成绩单[考试日期]=表成绩单[[#This Row],[考试日期]])*(表成绩单[历史]&lt;9E+307)*(表成绩单[历史]&gt;表成绩单[[#This Row],[历史]]))+1)</f>
        <v>569</v>
      </c>
      <c r="W2740" s="29" cm="1">
        <f t="array" ref="W2740">IF(表成绩单[[#This Row],[总分]]="","",SUMPRODUCT((表成绩单[考试日期]=表成绩单[[#This Row],[考试日期]])*(表成绩单[总分]&lt;9E+307)*(表成绩单[总分]&gt;表成绩单[[#This Row],[总分]]))+1)</f>
        <v>332</v>
      </c>
    </row>
    <row r="2741" ht="28" customHeight="1" spans="4:23">
      <c r="D2741" s="31">
        <v>46108</v>
      </c>
      <c r="E2741" s="29">
        <v>19175671</v>
      </c>
      <c r="F2741" s="29" t="s">
        <v>66</v>
      </c>
      <c r="G2741" s="29" t="s">
        <v>381</v>
      </c>
      <c r="H2741" s="29">
        <v>103</v>
      </c>
      <c r="I2741" s="29">
        <v>97</v>
      </c>
      <c r="J2741" s="29">
        <v>76</v>
      </c>
      <c r="K2741" s="29">
        <v>81</v>
      </c>
      <c r="L2741" s="29">
        <v>69</v>
      </c>
      <c r="M2741" s="29">
        <v>76</v>
      </c>
      <c r="N2741" s="29">
        <v>64</v>
      </c>
      <c r="O2741" s="32">
        <v>566</v>
      </c>
      <c r="P2741" s="29" cm="1">
        <f t="array" ref="P2741">IF(表成绩单[[#This Row],[语文]]="","",SUMPRODUCT((表成绩单[考试日期]=表成绩单[[#This Row],[考试日期]])*(表成绩单[语文]&lt;9E+307)*(表成绩单[语文]&gt;表成绩单[[#This Row],[语文]]))+1)</f>
        <v>155</v>
      </c>
      <c r="Q2741" s="29" cm="1">
        <f t="array" ref="Q2741">IF(表成绩单[[#This Row],[数学]]="","",SUMPRODUCT((表成绩单[考试日期]=表成绩单[[#This Row],[考试日期]])*(表成绩单[数学]&lt;9E+307)*(表成绩单[数学]&gt;表成绩单[[#This Row],[数学]]))+1)</f>
        <v>175</v>
      </c>
      <c r="R2741" s="29" cm="1">
        <f t="array" ref="R2741">IF(表成绩单[[#This Row],[英语]]="","",SUMPRODUCT((表成绩单[考试日期]=表成绩单[[#This Row],[考试日期]])*(表成绩单[英语]&lt;9E+307)*(表成绩单[英语]&gt;表成绩单[[#This Row],[英语]]))+1)</f>
        <v>405</v>
      </c>
      <c r="S2741" s="29" cm="1">
        <f t="array" ref="S2741">IF(表成绩单[[#This Row],[物理]]="","",SUMPRODUCT((表成绩单[考试日期]=表成绩单[[#This Row],[考试日期]])*(表成绩单[物理]&lt;9E+307)*(表成绩单[物理]&gt;表成绩单[[#This Row],[物理]]))+1)</f>
        <v>269</v>
      </c>
      <c r="T2741" s="29" cm="1">
        <f t="array" ref="T2741">IF(表成绩单[[#This Row],[化学]]="","",SUMPRODUCT((表成绩单[考试日期]=表成绩单[[#This Row],[考试日期]])*(表成绩单[化学]&lt;9E+307)*(表成绩单[化学]&gt;表成绩单[[#This Row],[化学]]))+1)</f>
        <v>269</v>
      </c>
      <c r="U2741" s="29" cm="1">
        <f t="array" ref="U2741">IF(表成绩单[[#This Row],[政治]]="","",SUMPRODUCT((表成绩单[考试日期]=表成绩单[[#This Row],[考试日期]])*(表成绩单[政治]&lt;9E+307)*(表成绩单[政治]&gt;表成绩单[[#This Row],[政治]]))+1)</f>
        <v>291</v>
      </c>
      <c r="V2741" s="29" cm="1">
        <f t="array" ref="V2741">IF(表成绩单[[#This Row],[历史]]="","",SUMPRODUCT((表成绩单[考试日期]=表成绩单[[#This Row],[考试日期]])*(表成绩单[历史]&lt;9E+307)*(表成绩单[历史]&gt;表成绩单[[#This Row],[历史]]))+1)</f>
        <v>666</v>
      </c>
      <c r="W2741" s="29" cm="1">
        <f t="array" ref="W2741">IF(表成绩单[[#This Row],[总分]]="","",SUMPRODUCT((表成绩单[考试日期]=表成绩单[[#This Row],[考试日期]])*(表成绩单[总分]&lt;9E+307)*(表成绩单[总分]&gt;表成绩单[[#This Row],[总分]]))+1)</f>
        <v>332</v>
      </c>
    </row>
    <row r="2742" ht="28" customHeight="1" spans="4:23">
      <c r="D2742" s="31">
        <v>46108</v>
      </c>
      <c r="E2742" s="29">
        <v>19176881</v>
      </c>
      <c r="F2742" s="29" t="s">
        <v>71</v>
      </c>
      <c r="G2742" s="29" t="s">
        <v>446</v>
      </c>
      <c r="H2742" s="29">
        <v>96</v>
      </c>
      <c r="I2742" s="29">
        <v>96</v>
      </c>
      <c r="J2742" s="29">
        <v>81</v>
      </c>
      <c r="K2742" s="29">
        <v>79</v>
      </c>
      <c r="L2742" s="29">
        <v>59</v>
      </c>
      <c r="M2742" s="29">
        <v>71</v>
      </c>
      <c r="N2742" s="29">
        <v>84</v>
      </c>
      <c r="O2742" s="32">
        <v>566</v>
      </c>
      <c r="P2742" s="29" cm="1">
        <f t="array" ref="P2742">IF(表成绩单[[#This Row],[语文]]="","",SUMPRODUCT((表成绩单[考试日期]=表成绩单[[#This Row],[考试日期]])*(表成绩单[语文]&lt;9E+307)*(表成绩单[语文]&gt;表成绩单[[#This Row],[语文]]))+1)</f>
        <v>390</v>
      </c>
      <c r="Q2742" s="29" cm="1">
        <f t="array" ref="Q2742">IF(表成绩单[[#This Row],[数学]]="","",SUMPRODUCT((表成绩单[考试日期]=表成绩单[[#This Row],[考试日期]])*(表成绩单[数学]&lt;9E+307)*(表成绩单[数学]&gt;表成绩单[[#This Row],[数学]]))+1)</f>
        <v>202</v>
      </c>
      <c r="R2742" s="29" cm="1">
        <f t="array" ref="R2742">IF(表成绩单[[#This Row],[英语]]="","",SUMPRODUCT((表成绩单[考试日期]=表成绩单[[#This Row],[考试日期]])*(表成绩单[英语]&lt;9E+307)*(表成绩单[英语]&gt;表成绩单[[#This Row],[英语]]))+1)</f>
        <v>227</v>
      </c>
      <c r="S2742" s="29" cm="1">
        <f t="array" ref="S2742">IF(表成绩单[[#This Row],[物理]]="","",SUMPRODUCT((表成绩单[考试日期]=表成绩单[[#This Row],[考试日期]])*(表成绩单[物理]&lt;9E+307)*(表成绩单[物理]&gt;表成绩单[[#This Row],[物理]]))+1)</f>
        <v>344</v>
      </c>
      <c r="T2742" s="29" cm="1">
        <f t="array" ref="T2742">IF(表成绩单[[#This Row],[化学]]="","",SUMPRODUCT((表成绩单[考试日期]=表成绩单[[#This Row],[考试日期]])*(表成绩单[化学]&lt;9E+307)*(表成绩单[化学]&gt;表成绩单[[#This Row],[化学]]))+1)</f>
        <v>510</v>
      </c>
      <c r="U2742" s="29" cm="1">
        <f t="array" ref="U2742">IF(表成绩单[[#This Row],[政治]]="","",SUMPRODUCT((表成绩单[考试日期]=表成绩单[[#This Row],[考试日期]])*(表成绩单[政治]&lt;9E+307)*(表成绩单[政治]&gt;表成绩单[[#This Row],[政治]]))+1)</f>
        <v>513</v>
      </c>
      <c r="V2742" s="29" cm="1">
        <f t="array" ref="V2742">IF(表成绩单[[#This Row],[历史]]="","",SUMPRODUCT((表成绩单[考试日期]=表成绩单[[#This Row],[考试日期]])*(表成绩单[历史]&lt;9E+307)*(表成绩单[历史]&gt;表成绩单[[#This Row],[历史]]))+1)</f>
        <v>38</v>
      </c>
      <c r="W2742" s="29" cm="1">
        <f t="array" ref="W2742">IF(表成绩单[[#This Row],[总分]]="","",SUMPRODUCT((表成绩单[考试日期]=表成绩单[[#This Row],[考试日期]])*(表成绩单[总分]&lt;9E+307)*(表成绩单[总分]&gt;表成绩单[[#This Row],[总分]]))+1)</f>
        <v>332</v>
      </c>
    </row>
    <row r="2743" ht="28" customHeight="1" spans="4:23">
      <c r="D2743" s="31">
        <v>46108</v>
      </c>
      <c r="E2743" s="29">
        <v>19177632</v>
      </c>
      <c r="F2743" s="29" t="s">
        <v>63</v>
      </c>
      <c r="G2743" s="29" t="s">
        <v>418</v>
      </c>
      <c r="H2743" s="29">
        <v>96</v>
      </c>
      <c r="I2743" s="29">
        <v>84</v>
      </c>
      <c r="J2743" s="29">
        <v>84.5</v>
      </c>
      <c r="K2743" s="29">
        <v>76</v>
      </c>
      <c r="L2743" s="29">
        <v>72</v>
      </c>
      <c r="M2743" s="29">
        <v>75</v>
      </c>
      <c r="N2743" s="29">
        <v>78</v>
      </c>
      <c r="O2743" s="32">
        <v>565.5</v>
      </c>
      <c r="P2743" s="29" cm="1">
        <f t="array" ref="P2743">IF(表成绩单[[#This Row],[语文]]="","",SUMPRODUCT((表成绩单[考试日期]=表成绩单[[#This Row],[考试日期]])*(表成绩单[语文]&lt;9E+307)*(表成绩单[语文]&gt;表成绩单[[#This Row],[语文]]))+1)</f>
        <v>390</v>
      </c>
      <c r="Q2743" s="29" cm="1">
        <f t="array" ref="Q2743">IF(表成绩单[[#This Row],[数学]]="","",SUMPRODUCT((表成绩单[考试日期]=表成绩单[[#This Row],[考试日期]])*(表成绩单[数学]&lt;9E+307)*(表成绩单[数学]&gt;表成绩单[[#This Row],[数学]]))+1)</f>
        <v>518</v>
      </c>
      <c r="R2743" s="29" cm="1">
        <f t="array" ref="R2743">IF(表成绩单[[#This Row],[英语]]="","",SUMPRODUCT((表成绩单[考试日期]=表成绩单[[#This Row],[考试日期]])*(表成绩单[英语]&lt;9E+307)*(表成绩单[英语]&gt;表成绩单[[#This Row],[英语]]))+1)</f>
        <v>83</v>
      </c>
      <c r="S2743" s="29" cm="1">
        <f t="array" ref="S2743">IF(表成绩单[[#This Row],[物理]]="","",SUMPRODUCT((表成绩单[考试日期]=表成绩单[[#This Row],[考试日期]])*(表成绩单[物理]&lt;9E+307)*(表成绩单[物理]&gt;表成绩单[[#This Row],[物理]]))+1)</f>
        <v>433</v>
      </c>
      <c r="T2743" s="29" cm="1">
        <f t="array" ref="T2743">IF(表成绩单[[#This Row],[化学]]="","",SUMPRODUCT((表成绩单[考试日期]=表成绩单[[#This Row],[考试日期]])*(表成绩单[化学]&lt;9E+307)*(表成绩单[化学]&gt;表成绩单[[#This Row],[化学]]))+1)</f>
        <v>187</v>
      </c>
      <c r="U2743" s="29" cm="1">
        <f t="array" ref="U2743">IF(表成绩单[[#This Row],[政治]]="","",SUMPRODUCT((表成绩单[考试日期]=表成绩单[[#This Row],[考试日期]])*(表成绩单[政治]&lt;9E+307)*(表成绩单[政治]&gt;表成绩单[[#This Row],[政治]]))+1)</f>
        <v>346</v>
      </c>
      <c r="V2743" s="29" cm="1">
        <f t="array" ref="V2743">IF(表成绩单[[#This Row],[历史]]="","",SUMPRODUCT((表成绩单[考试日期]=表成绩单[[#This Row],[考试日期]])*(表成绩单[历史]&lt;9E+307)*(表成绩单[历史]&gt;表成绩单[[#This Row],[历史]]))+1)</f>
        <v>222</v>
      </c>
      <c r="W2743" s="29" cm="1">
        <f t="array" ref="W2743">IF(表成绩单[[#This Row],[总分]]="","",SUMPRODUCT((表成绩单[考试日期]=表成绩单[[#This Row],[考试日期]])*(表成绩单[总分]&lt;9E+307)*(表成绩单[总分]&gt;表成绩单[[#This Row],[总分]]))+1)</f>
        <v>336</v>
      </c>
    </row>
    <row r="2744" ht="28" customHeight="1" spans="4:23">
      <c r="D2744" s="31">
        <v>46108</v>
      </c>
      <c r="E2744" s="29">
        <v>19177667</v>
      </c>
      <c r="F2744" s="29" t="s">
        <v>63</v>
      </c>
      <c r="G2744" s="29" t="s">
        <v>406</v>
      </c>
      <c r="H2744" s="29">
        <v>98</v>
      </c>
      <c r="I2744" s="29">
        <v>90</v>
      </c>
      <c r="J2744" s="29">
        <v>80.5</v>
      </c>
      <c r="K2744" s="29">
        <v>85</v>
      </c>
      <c r="L2744" s="29">
        <v>59</v>
      </c>
      <c r="M2744" s="29">
        <v>80</v>
      </c>
      <c r="N2744" s="29">
        <v>73</v>
      </c>
      <c r="O2744" s="32">
        <v>565.5</v>
      </c>
      <c r="P2744" s="29" cm="1">
        <f t="array" ref="P2744">IF(表成绩单[[#This Row],[语文]]="","",SUMPRODUCT((表成绩单[考试日期]=表成绩单[[#This Row],[考试日期]])*(表成绩单[语文]&lt;9E+307)*(表成绩单[语文]&gt;表成绩单[[#This Row],[语文]]))+1)</f>
        <v>322</v>
      </c>
      <c r="Q2744" s="29" cm="1">
        <f t="array" ref="Q2744">IF(表成绩单[[#This Row],[数学]]="","",SUMPRODUCT((表成绩单[考试日期]=表成绩单[[#This Row],[考试日期]])*(表成绩单[数学]&lt;9E+307)*(表成绩单[数学]&gt;表成绩单[[#This Row],[数学]]))+1)</f>
        <v>368</v>
      </c>
      <c r="R2744" s="29" cm="1">
        <f t="array" ref="R2744">IF(表成绩单[[#This Row],[英语]]="","",SUMPRODUCT((表成绩单[考试日期]=表成绩单[[#This Row],[考试日期]])*(表成绩单[英语]&lt;9E+307)*(表成绩单[英语]&gt;表成绩单[[#This Row],[英语]]))+1)</f>
        <v>244</v>
      </c>
      <c r="S2744" s="29" cm="1">
        <f t="array" ref="S2744">IF(表成绩单[[#This Row],[物理]]="","",SUMPRODUCT((表成绩单[考试日期]=表成绩单[[#This Row],[考试日期]])*(表成绩单[物理]&lt;9E+307)*(表成绩单[物理]&gt;表成绩单[[#This Row],[物理]]))+1)</f>
        <v>105</v>
      </c>
      <c r="T2744" s="29" cm="1">
        <f t="array" ref="T2744">IF(表成绩单[[#This Row],[化学]]="","",SUMPRODUCT((表成绩单[考试日期]=表成绩单[[#This Row],[考试日期]])*(表成绩单[化学]&lt;9E+307)*(表成绩单[化学]&gt;表成绩单[[#This Row],[化学]]))+1)</f>
        <v>510</v>
      </c>
      <c r="U2744" s="29" cm="1">
        <f t="array" ref="U2744">IF(表成绩单[[#This Row],[政治]]="","",SUMPRODUCT((表成绩单[考试日期]=表成绩单[[#This Row],[考试日期]])*(表成绩单[政治]&lt;9E+307)*(表成绩单[政治]&gt;表成绩单[[#This Row],[政治]]))+1)</f>
        <v>98</v>
      </c>
      <c r="V2744" s="29" cm="1">
        <f t="array" ref="V2744">IF(表成绩单[[#This Row],[历史]]="","",SUMPRODUCT((表成绩单[考试日期]=表成绩单[[#This Row],[考试日期]])*(表成绩单[历史]&lt;9E+307)*(表成绩单[历史]&gt;表成绩单[[#This Row],[历史]]))+1)</f>
        <v>432</v>
      </c>
      <c r="W2744" s="29" cm="1">
        <f t="array" ref="W2744">IF(表成绩单[[#This Row],[总分]]="","",SUMPRODUCT((表成绩单[考试日期]=表成绩单[[#This Row],[考试日期]])*(表成绩单[总分]&lt;9E+307)*(表成绩单[总分]&gt;表成绩单[[#This Row],[总分]]))+1)</f>
        <v>336</v>
      </c>
    </row>
    <row r="2745" ht="28" customHeight="1" spans="4:23">
      <c r="D2745" s="31">
        <v>46108</v>
      </c>
      <c r="E2745" s="29">
        <v>19173786</v>
      </c>
      <c r="F2745" s="29" t="s">
        <v>65</v>
      </c>
      <c r="G2745" s="29" t="s">
        <v>445</v>
      </c>
      <c r="H2745" s="29">
        <v>96</v>
      </c>
      <c r="I2745" s="29">
        <v>90</v>
      </c>
      <c r="J2745" s="29">
        <v>76</v>
      </c>
      <c r="K2745" s="29">
        <v>79</v>
      </c>
      <c r="L2745" s="29">
        <v>64</v>
      </c>
      <c r="M2745" s="29">
        <v>78</v>
      </c>
      <c r="N2745" s="29">
        <v>82</v>
      </c>
      <c r="O2745" s="32">
        <v>565</v>
      </c>
      <c r="P2745" s="29" cm="1">
        <f t="array" ref="P2745">IF(表成绩单[[#This Row],[语文]]="","",SUMPRODUCT((表成绩单[考试日期]=表成绩单[[#This Row],[考试日期]])*(表成绩单[语文]&lt;9E+307)*(表成绩单[语文]&gt;表成绩单[[#This Row],[语文]]))+1)</f>
        <v>390</v>
      </c>
      <c r="Q2745" s="29" cm="1">
        <f t="array" ref="Q2745">IF(表成绩单[[#This Row],[数学]]="","",SUMPRODUCT((表成绩单[考试日期]=表成绩单[[#This Row],[考试日期]])*(表成绩单[数学]&lt;9E+307)*(表成绩单[数学]&gt;表成绩单[[#This Row],[数学]]))+1)</f>
        <v>368</v>
      </c>
      <c r="R2745" s="29" cm="1">
        <f t="array" ref="R2745">IF(表成绩单[[#This Row],[英语]]="","",SUMPRODUCT((表成绩单[考试日期]=表成绩单[[#This Row],[考试日期]])*(表成绩单[英语]&lt;9E+307)*(表成绩单[英语]&gt;表成绩单[[#This Row],[英语]]))+1)</f>
        <v>405</v>
      </c>
      <c r="S2745" s="29" cm="1">
        <f t="array" ref="S2745">IF(表成绩单[[#This Row],[物理]]="","",SUMPRODUCT((表成绩单[考试日期]=表成绩单[[#This Row],[考试日期]])*(表成绩单[物理]&lt;9E+307)*(表成绩单[物理]&gt;表成绩单[[#This Row],[物理]]))+1)</f>
        <v>344</v>
      </c>
      <c r="T2745" s="29" cm="1">
        <f t="array" ref="T2745">IF(表成绩单[[#This Row],[化学]]="","",SUMPRODUCT((表成绩单[考试日期]=表成绩单[[#This Row],[考试日期]])*(表成绩单[化学]&lt;9E+307)*(表成绩单[化学]&gt;表成绩单[[#This Row],[化学]]))+1)</f>
        <v>400</v>
      </c>
      <c r="U2745" s="29" cm="1">
        <f t="array" ref="U2745">IF(表成绩单[[#This Row],[政治]]="","",SUMPRODUCT((表成绩单[考试日期]=表成绩单[[#This Row],[考试日期]])*(表成绩单[政治]&lt;9E+307)*(表成绩单[政治]&gt;表成绩单[[#This Row],[政治]]))+1)</f>
        <v>171</v>
      </c>
      <c r="V2745" s="29" cm="1">
        <f t="array" ref="V2745">IF(表成绩单[[#This Row],[历史]]="","",SUMPRODUCT((表成绩单[考试日期]=表成绩单[[#This Row],[考试日期]])*(表成绩单[历史]&lt;9E+307)*(表成绩单[历史]&gt;表成绩单[[#This Row],[历史]]))+1)</f>
        <v>81</v>
      </c>
      <c r="W2745" s="29" cm="1">
        <f t="array" ref="W2745">IF(表成绩单[[#This Row],[总分]]="","",SUMPRODUCT((表成绩单[考试日期]=表成绩单[[#This Row],[考试日期]])*(表成绩单[总分]&lt;9E+307)*(表成绩单[总分]&gt;表成绩单[[#This Row],[总分]]))+1)</f>
        <v>338</v>
      </c>
    </row>
    <row r="2746" ht="28" customHeight="1" spans="4:23">
      <c r="D2746" s="31">
        <v>46108</v>
      </c>
      <c r="E2746" s="29">
        <v>19174445</v>
      </c>
      <c r="F2746" s="29" t="s">
        <v>73</v>
      </c>
      <c r="G2746" s="29" t="s">
        <v>567</v>
      </c>
      <c r="H2746" s="29">
        <v>101</v>
      </c>
      <c r="I2746" s="29">
        <v>84</v>
      </c>
      <c r="J2746" s="29">
        <v>80</v>
      </c>
      <c r="K2746" s="29">
        <v>72</v>
      </c>
      <c r="L2746" s="29">
        <v>70</v>
      </c>
      <c r="M2746" s="29">
        <v>82</v>
      </c>
      <c r="N2746" s="29">
        <v>76</v>
      </c>
      <c r="O2746" s="32">
        <v>565</v>
      </c>
      <c r="P2746" s="29" cm="1">
        <f t="array" ref="P2746">IF(表成绩单[[#This Row],[语文]]="","",SUMPRODUCT((表成绩单[考试日期]=表成绩单[[#This Row],[考试日期]])*(表成绩单[语文]&lt;9E+307)*(表成绩单[语文]&gt;表成绩单[[#This Row],[语文]]))+1)</f>
        <v>211</v>
      </c>
      <c r="Q2746" s="29" cm="1">
        <f t="array" ref="Q2746">IF(表成绩单[[#This Row],[数学]]="","",SUMPRODUCT((表成绩单[考试日期]=表成绩单[[#This Row],[考试日期]])*(表成绩单[数学]&lt;9E+307)*(表成绩单[数学]&gt;表成绩单[[#This Row],[数学]]))+1)</f>
        <v>518</v>
      </c>
      <c r="R2746" s="29" cm="1">
        <f t="array" ref="R2746">IF(表成绩单[[#This Row],[英语]]="","",SUMPRODUCT((表成绩单[考试日期]=表成绩单[[#This Row],[考试日期]])*(表成绩单[英语]&lt;9E+307)*(表成绩单[英语]&gt;表成绩单[[#This Row],[英语]]))+1)</f>
        <v>266</v>
      </c>
      <c r="S2746" s="29" cm="1">
        <f t="array" ref="S2746">IF(表成绩单[[#This Row],[物理]]="","",SUMPRODUCT((表成绩单[考试日期]=表成绩单[[#This Row],[考试日期]])*(表成绩单[物理]&lt;9E+307)*(表成绩单[物理]&gt;表成绩单[[#This Row],[物理]]))+1)</f>
        <v>521</v>
      </c>
      <c r="T2746" s="29" cm="1">
        <f t="array" ref="T2746">IF(表成绩单[[#This Row],[化学]]="","",SUMPRODUCT((表成绩单[考试日期]=表成绩单[[#This Row],[考试日期]])*(表成绩单[化学]&lt;9E+307)*(表成绩单[化学]&gt;表成绩单[[#This Row],[化学]]))+1)</f>
        <v>241</v>
      </c>
      <c r="U2746" s="29" cm="1">
        <f t="array" ref="U2746">IF(表成绩单[[#This Row],[政治]]="","",SUMPRODUCT((表成绩单[考试日期]=表成绩单[[#This Row],[考试日期]])*(表成绩单[政治]&lt;9E+307)*(表成绩单[政治]&gt;表成绩单[[#This Row],[政治]]))+1)</f>
        <v>45</v>
      </c>
      <c r="V2746" s="29" cm="1">
        <f t="array" ref="V2746">IF(表成绩单[[#This Row],[历史]]="","",SUMPRODUCT((表成绩单[考试日期]=表成绩单[[#This Row],[考试日期]])*(表成绩单[历史]&lt;9E+307)*(表成绩单[历史]&gt;表成绩单[[#This Row],[历史]]))+1)</f>
        <v>316</v>
      </c>
      <c r="W2746" s="29" cm="1">
        <f t="array" ref="W2746">IF(表成绩单[[#This Row],[总分]]="","",SUMPRODUCT((表成绩单[考试日期]=表成绩单[[#This Row],[考试日期]])*(表成绩单[总分]&lt;9E+307)*(表成绩单[总分]&gt;表成绩单[[#This Row],[总分]]))+1)</f>
        <v>338</v>
      </c>
    </row>
    <row r="2747" ht="28" customHeight="1" spans="4:23">
      <c r="D2747" s="31">
        <v>46108</v>
      </c>
      <c r="E2747" s="29">
        <v>19173533</v>
      </c>
      <c r="F2747" s="29" t="s">
        <v>1</v>
      </c>
      <c r="G2747" s="29" t="s">
        <v>369</v>
      </c>
      <c r="H2747" s="29">
        <v>98</v>
      </c>
      <c r="I2747" s="29">
        <v>93</v>
      </c>
      <c r="J2747" s="29">
        <v>84.5</v>
      </c>
      <c r="K2747" s="29">
        <v>74</v>
      </c>
      <c r="L2747" s="29">
        <v>60</v>
      </c>
      <c r="M2747" s="29">
        <v>78</v>
      </c>
      <c r="N2747" s="29">
        <v>77</v>
      </c>
      <c r="O2747" s="32">
        <v>564.5</v>
      </c>
      <c r="P2747" s="29" cm="1">
        <f t="array" ref="P2747">IF(表成绩单[[#This Row],[语文]]="","",SUMPRODUCT((表成绩单[考试日期]=表成绩单[[#This Row],[考试日期]])*(表成绩单[语文]&lt;9E+307)*(表成绩单[语文]&gt;表成绩单[[#This Row],[语文]]))+1)</f>
        <v>322</v>
      </c>
      <c r="Q2747" s="29" cm="1">
        <f t="array" ref="Q2747">IF(表成绩单[[#This Row],[数学]]="","",SUMPRODUCT((表成绩单[考试日期]=表成绩单[[#This Row],[考试日期]])*(表成绩单[数学]&lt;9E+307)*(表成绩单[数学]&gt;表成绩单[[#This Row],[数学]]))+1)</f>
        <v>289</v>
      </c>
      <c r="R2747" s="29" cm="1">
        <f t="array" ref="R2747">IF(表成绩单[[#This Row],[英语]]="","",SUMPRODUCT((表成绩单[考试日期]=表成绩单[[#This Row],[考试日期]])*(表成绩单[英语]&lt;9E+307)*(表成绩单[英语]&gt;表成绩单[[#This Row],[英语]]))+1)</f>
        <v>83</v>
      </c>
      <c r="S2747" s="29" cm="1">
        <f t="array" ref="S2747">IF(表成绩单[[#This Row],[物理]]="","",SUMPRODUCT((表成绩单[考试日期]=表成绩单[[#This Row],[考试日期]])*(表成绩单[物理]&lt;9E+307)*(表成绩单[物理]&gt;表成绩单[[#This Row],[物理]]))+1)</f>
        <v>472</v>
      </c>
      <c r="T2747" s="29" cm="1">
        <f t="array" ref="T2747">IF(表成绩单[[#This Row],[化学]]="","",SUMPRODUCT((表成绩单[考试日期]=表成绩单[[#This Row],[考试日期]])*(表成绩单[化学]&lt;9E+307)*(表成绩单[化学]&gt;表成绩单[[#This Row],[化学]]))+1)</f>
        <v>490</v>
      </c>
      <c r="U2747" s="29" cm="1">
        <f t="array" ref="U2747">IF(表成绩单[[#This Row],[政治]]="","",SUMPRODUCT((表成绩单[考试日期]=表成绩单[[#This Row],[考试日期]])*(表成绩单[政治]&lt;9E+307)*(表成绩单[政治]&gt;表成绩单[[#This Row],[政治]]))+1)</f>
        <v>171</v>
      </c>
      <c r="V2747" s="29" cm="1">
        <f t="array" ref="V2747">IF(表成绩单[[#This Row],[历史]]="","",SUMPRODUCT((表成绩单[考试日期]=表成绩单[[#This Row],[考试日期]])*(表成绩单[历史]&lt;9E+307)*(表成绩单[历史]&gt;表成绩单[[#This Row],[历史]]))+1)</f>
        <v>269</v>
      </c>
      <c r="W2747" s="29" cm="1">
        <f t="array" ref="W2747">IF(表成绩单[[#This Row],[总分]]="","",SUMPRODUCT((表成绩单[考试日期]=表成绩单[[#This Row],[考试日期]])*(表成绩单[总分]&lt;9E+307)*(表成绩单[总分]&gt;表成绩单[[#This Row],[总分]]))+1)</f>
        <v>340</v>
      </c>
    </row>
    <row r="2748" ht="28" customHeight="1" spans="4:23">
      <c r="D2748" s="31">
        <v>46108</v>
      </c>
      <c r="E2748" s="29">
        <v>19174804</v>
      </c>
      <c r="F2748" s="29" t="s">
        <v>69</v>
      </c>
      <c r="G2748" s="29" t="s">
        <v>349</v>
      </c>
      <c r="H2748" s="29">
        <v>91</v>
      </c>
      <c r="I2748" s="29">
        <v>100</v>
      </c>
      <c r="J2748" s="29">
        <v>70.5</v>
      </c>
      <c r="K2748" s="29">
        <v>81</v>
      </c>
      <c r="L2748" s="29">
        <v>74</v>
      </c>
      <c r="M2748" s="29">
        <v>76</v>
      </c>
      <c r="N2748" s="29">
        <v>72</v>
      </c>
      <c r="O2748" s="32">
        <v>564.5</v>
      </c>
      <c r="P2748" s="29" cm="1">
        <f t="array" ref="P2748">IF(表成绩单[[#This Row],[语文]]="","",SUMPRODUCT((表成绩单[考试日期]=表成绩单[[#This Row],[考试日期]])*(表成绩单[语文]&lt;9E+307)*(表成绩单[语文]&gt;表成绩单[[#This Row],[语文]]))+1)</f>
        <v>519</v>
      </c>
      <c r="Q2748" s="29" cm="1">
        <f t="array" ref="Q2748">IF(表成绩单[[#This Row],[数学]]="","",SUMPRODUCT((表成绩单[考试日期]=表成绩单[[#This Row],[考试日期]])*(表成绩单[数学]&lt;9E+307)*(表成绩单[数学]&gt;表成绩单[[#This Row],[数学]]))+1)</f>
        <v>121</v>
      </c>
      <c r="R2748" s="29" cm="1">
        <f t="array" ref="R2748">IF(表成绩单[[#This Row],[英语]]="","",SUMPRODUCT((表成绩单[考试日期]=表成绩单[[#This Row],[考试日期]])*(表成绩单[英语]&lt;9E+307)*(表成绩单[英语]&gt;表成绩单[[#This Row],[英语]]))+1)</f>
        <v>530</v>
      </c>
      <c r="S2748" s="29" cm="1">
        <f t="array" ref="S2748">IF(表成绩单[[#This Row],[物理]]="","",SUMPRODUCT((表成绩单[考试日期]=表成绩单[[#This Row],[考试日期]])*(表成绩单[物理]&lt;9E+307)*(表成绩单[物理]&gt;表成绩单[[#This Row],[物理]]))+1)</f>
        <v>269</v>
      </c>
      <c r="T2748" s="29" cm="1">
        <f t="array" ref="T2748">IF(表成绩单[[#This Row],[化学]]="","",SUMPRODUCT((表成绩单[考试日期]=表成绩单[[#This Row],[考试日期]])*(表成绩单[化学]&lt;9E+307)*(表成绩单[化学]&gt;表成绩单[[#This Row],[化学]]))+1)</f>
        <v>127</v>
      </c>
      <c r="U2748" s="29" cm="1">
        <f t="array" ref="U2748">IF(表成绩单[[#This Row],[政治]]="","",SUMPRODUCT((表成绩单[考试日期]=表成绩单[[#This Row],[考试日期]])*(表成绩单[政治]&lt;9E+307)*(表成绩单[政治]&gt;表成绩单[[#This Row],[政治]]))+1)</f>
        <v>291</v>
      </c>
      <c r="V2748" s="29" cm="1">
        <f t="array" ref="V2748">IF(表成绩单[[#This Row],[历史]]="","",SUMPRODUCT((表成绩单[考试日期]=表成绩单[[#This Row],[考试日期]])*(表成绩单[历史]&lt;9E+307)*(表成绩单[历史]&gt;表成绩单[[#This Row],[历史]]))+1)</f>
        <v>470</v>
      </c>
      <c r="W2748" s="29" cm="1">
        <f t="array" ref="W2748">IF(表成绩单[[#This Row],[总分]]="","",SUMPRODUCT((表成绩单[考试日期]=表成绩单[[#This Row],[考试日期]])*(表成绩单[总分]&lt;9E+307)*(表成绩单[总分]&gt;表成绩单[[#This Row],[总分]]))+1)</f>
        <v>340</v>
      </c>
    </row>
    <row r="2749" ht="28" customHeight="1" spans="4:23">
      <c r="D2749" s="31">
        <v>46108</v>
      </c>
      <c r="E2749" s="29">
        <v>19175644</v>
      </c>
      <c r="F2749" s="29" t="s">
        <v>66</v>
      </c>
      <c r="G2749" s="29" t="s">
        <v>544</v>
      </c>
      <c r="H2749" s="29">
        <v>97</v>
      </c>
      <c r="I2749" s="29">
        <v>95</v>
      </c>
      <c r="J2749" s="29">
        <v>70.5</v>
      </c>
      <c r="K2749" s="29">
        <v>85</v>
      </c>
      <c r="L2749" s="29">
        <v>69</v>
      </c>
      <c r="M2749" s="29">
        <v>77</v>
      </c>
      <c r="N2749" s="29">
        <v>71</v>
      </c>
      <c r="O2749" s="32">
        <v>564.5</v>
      </c>
      <c r="P2749" s="29" cm="1">
        <f t="array" ref="P2749">IF(表成绩单[[#This Row],[语文]]="","",SUMPRODUCT((表成绩单[考试日期]=表成绩单[[#This Row],[考试日期]])*(表成绩单[语文]&lt;9E+307)*(表成绩单[语文]&gt;表成绩单[[#This Row],[语文]]))+1)</f>
        <v>357</v>
      </c>
      <c r="Q2749" s="29" cm="1">
        <f t="array" ref="Q2749">IF(表成绩单[[#This Row],[数学]]="","",SUMPRODUCT((表成绩单[考试日期]=表成绩单[[#This Row],[考试日期]])*(表成绩单[数学]&lt;9E+307)*(表成绩单[数学]&gt;表成绩单[[#This Row],[数学]]))+1)</f>
        <v>229</v>
      </c>
      <c r="R2749" s="29" cm="1">
        <f t="array" ref="R2749">IF(表成绩单[[#This Row],[英语]]="","",SUMPRODUCT((表成绩单[考试日期]=表成绩单[[#This Row],[考试日期]])*(表成绩单[英语]&lt;9E+307)*(表成绩单[英语]&gt;表成绩单[[#This Row],[英语]]))+1)</f>
        <v>530</v>
      </c>
      <c r="S2749" s="29" cm="1">
        <f t="array" ref="S2749">IF(表成绩单[[#This Row],[物理]]="","",SUMPRODUCT((表成绩单[考试日期]=表成绩单[[#This Row],[考试日期]])*(表成绩单[物理]&lt;9E+307)*(表成绩单[物理]&gt;表成绩单[[#This Row],[物理]]))+1)</f>
        <v>105</v>
      </c>
      <c r="T2749" s="29" cm="1">
        <f t="array" ref="T2749">IF(表成绩单[[#This Row],[化学]]="","",SUMPRODUCT((表成绩单[考试日期]=表成绩单[[#This Row],[考试日期]])*(表成绩单[化学]&lt;9E+307)*(表成绩单[化学]&gt;表成绩单[[#This Row],[化学]]))+1)</f>
        <v>269</v>
      </c>
      <c r="U2749" s="29" cm="1">
        <f t="array" ref="U2749">IF(表成绩单[[#This Row],[政治]]="","",SUMPRODUCT((表成绩单[考试日期]=表成绩单[[#This Row],[考试日期]])*(表成绩单[政治]&lt;9E+307)*(表成绩单[政治]&gt;表成绩单[[#This Row],[政治]]))+1)</f>
        <v>230</v>
      </c>
      <c r="V2749" s="29" cm="1">
        <f t="array" ref="V2749">IF(表成绩单[[#This Row],[历史]]="","",SUMPRODUCT((表成绩单[考试日期]=表成绩单[[#This Row],[考试日期]])*(表成绩单[历史]&lt;9E+307)*(表成绩单[历史]&gt;表成绩单[[#This Row],[历史]]))+1)</f>
        <v>516</v>
      </c>
      <c r="W2749" s="29" cm="1">
        <f t="array" ref="W2749">IF(表成绩单[[#This Row],[总分]]="","",SUMPRODUCT((表成绩单[考试日期]=表成绩单[[#This Row],[考试日期]])*(表成绩单[总分]&lt;9E+307)*(表成绩单[总分]&gt;表成绩单[[#This Row],[总分]]))+1)</f>
        <v>340</v>
      </c>
    </row>
    <row r="2750" ht="28" customHeight="1" spans="4:23">
      <c r="D2750" s="31">
        <v>46108</v>
      </c>
      <c r="E2750" s="29">
        <v>19176165</v>
      </c>
      <c r="F2750" s="29" t="s">
        <v>67</v>
      </c>
      <c r="G2750" s="29" t="s">
        <v>227</v>
      </c>
      <c r="H2750" s="29">
        <v>91</v>
      </c>
      <c r="I2750" s="29">
        <v>92</v>
      </c>
      <c r="J2750" s="29">
        <v>78</v>
      </c>
      <c r="K2750" s="29">
        <v>81</v>
      </c>
      <c r="L2750" s="29">
        <v>68</v>
      </c>
      <c r="M2750" s="29">
        <v>75</v>
      </c>
      <c r="N2750" s="29">
        <v>79</v>
      </c>
      <c r="O2750" s="32">
        <v>564</v>
      </c>
      <c r="P2750" s="29" cm="1">
        <f t="array" ref="P2750">IF(表成绩单[[#This Row],[语文]]="","",SUMPRODUCT((表成绩单[考试日期]=表成绩单[[#This Row],[考试日期]])*(表成绩单[语文]&lt;9E+307)*(表成绩单[语文]&gt;表成绩单[[#This Row],[语文]]))+1)</f>
        <v>519</v>
      </c>
      <c r="Q2750" s="29" cm="1">
        <f t="array" ref="Q2750">IF(表成绩单[[#This Row],[数学]]="","",SUMPRODUCT((表成绩单[考试日期]=表成绩单[[#This Row],[考试日期]])*(表成绩单[数学]&lt;9E+307)*(表成绩单[数学]&gt;表成绩单[[#This Row],[数学]]))+1)</f>
        <v>312</v>
      </c>
      <c r="R2750" s="29" cm="1">
        <f t="array" ref="R2750">IF(表成绩单[[#This Row],[英语]]="","",SUMPRODUCT((表成绩单[考试日期]=表成绩单[[#This Row],[考试日期]])*(表成绩单[英语]&lt;9E+307)*(表成绩单[英语]&gt;表成绩单[[#This Row],[英语]]))+1)</f>
        <v>341</v>
      </c>
      <c r="S2750" s="29" cm="1">
        <f t="array" ref="S2750">IF(表成绩单[[#This Row],[物理]]="","",SUMPRODUCT((表成绩单[考试日期]=表成绩单[[#This Row],[考试日期]])*(表成绩单[物理]&lt;9E+307)*(表成绩单[物理]&gt;表成绩单[[#This Row],[物理]]))+1)</f>
        <v>269</v>
      </c>
      <c r="T2750" s="29" cm="1">
        <f t="array" ref="T2750">IF(表成绩单[[#This Row],[化学]]="","",SUMPRODUCT((表成绩单[考试日期]=表成绩单[[#This Row],[考试日期]])*(表成绩单[化学]&lt;9E+307)*(表成绩单[化学]&gt;表成绩单[[#This Row],[化学]]))+1)</f>
        <v>306</v>
      </c>
      <c r="U2750" s="29" cm="1">
        <f t="array" ref="U2750">IF(表成绩单[[#This Row],[政治]]="","",SUMPRODUCT((表成绩单[考试日期]=表成绩单[[#This Row],[考试日期]])*(表成绩单[政治]&lt;9E+307)*(表成绩单[政治]&gt;表成绩单[[#This Row],[政治]]))+1)</f>
        <v>346</v>
      </c>
      <c r="V2750" s="29" cm="1">
        <f t="array" ref="V2750">IF(表成绩单[[#This Row],[历史]]="","",SUMPRODUCT((表成绩单[考试日期]=表成绩单[[#This Row],[考试日期]])*(表成绩单[历史]&lt;9E+307)*(表成绩单[历史]&gt;表成绩单[[#This Row],[历史]]))+1)</f>
        <v>173</v>
      </c>
      <c r="W2750" s="29" cm="1">
        <f t="array" ref="W2750">IF(表成绩单[[#This Row],[总分]]="","",SUMPRODUCT((表成绩单[考试日期]=表成绩单[[#This Row],[考试日期]])*(表成绩单[总分]&lt;9E+307)*(表成绩单[总分]&gt;表成绩单[[#This Row],[总分]]))+1)</f>
        <v>343</v>
      </c>
    </row>
    <row r="2751" ht="28" customHeight="1" spans="4:23">
      <c r="D2751" s="31">
        <v>46108</v>
      </c>
      <c r="E2751" s="29">
        <v>19173264</v>
      </c>
      <c r="F2751" s="29" t="s">
        <v>61</v>
      </c>
      <c r="G2751" s="29" t="s">
        <v>330</v>
      </c>
      <c r="H2751" s="29">
        <v>100</v>
      </c>
      <c r="I2751" s="29">
        <v>92</v>
      </c>
      <c r="J2751" s="29">
        <v>84.5</v>
      </c>
      <c r="K2751" s="29">
        <v>76</v>
      </c>
      <c r="L2751" s="29">
        <v>62</v>
      </c>
      <c r="M2751" s="29">
        <v>74</v>
      </c>
      <c r="N2751" s="29">
        <v>75</v>
      </c>
      <c r="O2751" s="32">
        <v>563.5</v>
      </c>
      <c r="P2751" s="29" cm="1">
        <f t="array" ref="P2751">IF(表成绩单[[#This Row],[语文]]="","",SUMPRODUCT((表成绩单[考试日期]=表成绩单[[#This Row],[考试日期]])*(表成绩单[语文]&lt;9E+307)*(表成绩单[语文]&gt;表成绩单[[#This Row],[语文]]))+1)</f>
        <v>247</v>
      </c>
      <c r="Q2751" s="29" cm="1">
        <f t="array" ref="Q2751">IF(表成绩单[[#This Row],[数学]]="","",SUMPRODUCT((表成绩单[考试日期]=表成绩单[[#This Row],[考试日期]])*(表成绩单[数学]&lt;9E+307)*(表成绩单[数学]&gt;表成绩单[[#This Row],[数学]]))+1)</f>
        <v>312</v>
      </c>
      <c r="R2751" s="29" cm="1">
        <f t="array" ref="R2751">IF(表成绩单[[#This Row],[英语]]="","",SUMPRODUCT((表成绩单[考试日期]=表成绩单[[#This Row],[考试日期]])*(表成绩单[英语]&lt;9E+307)*(表成绩单[英语]&gt;表成绩单[[#This Row],[英语]]))+1)</f>
        <v>83</v>
      </c>
      <c r="S2751" s="29" cm="1">
        <f t="array" ref="S2751">IF(表成绩单[[#This Row],[物理]]="","",SUMPRODUCT((表成绩单[考试日期]=表成绩单[[#This Row],[考试日期]])*(表成绩单[物理]&lt;9E+307)*(表成绩单[物理]&gt;表成绩单[[#This Row],[物理]]))+1)</f>
        <v>433</v>
      </c>
      <c r="T2751" s="29" cm="1">
        <f t="array" ref="T2751">IF(表成绩单[[#This Row],[化学]]="","",SUMPRODUCT((表成绩单[考试日期]=表成绩单[[#This Row],[考试日期]])*(表成绩单[化学]&lt;9E+307)*(表成绩单[化学]&gt;表成绩单[[#This Row],[化学]]))+1)</f>
        <v>449</v>
      </c>
      <c r="U2751" s="29" cm="1">
        <f t="array" ref="U2751">IF(表成绩单[[#This Row],[政治]]="","",SUMPRODUCT((表成绩单[考试日期]=表成绩单[[#This Row],[考试日期]])*(表成绩单[政治]&lt;9E+307)*(表成绩单[政治]&gt;表成绩单[[#This Row],[政治]]))+1)</f>
        <v>389</v>
      </c>
      <c r="V2751" s="29" cm="1">
        <f t="array" ref="V2751">IF(表成绩单[[#This Row],[历史]]="","",SUMPRODUCT((表成绩单[考试日期]=表成绩单[[#This Row],[考试日期]])*(表成绩单[历史]&lt;9E+307)*(表成绩单[历史]&gt;表成绩单[[#This Row],[历史]]))+1)</f>
        <v>354</v>
      </c>
      <c r="W2751" s="29" cm="1">
        <f t="array" ref="W2751">IF(表成绩单[[#This Row],[总分]]="","",SUMPRODUCT((表成绩单[考试日期]=表成绩单[[#This Row],[考试日期]])*(表成绩单[总分]&lt;9E+307)*(表成绩单[总分]&gt;表成绩单[[#This Row],[总分]]))+1)</f>
        <v>344</v>
      </c>
    </row>
    <row r="2752" ht="28" customHeight="1" spans="4:23">
      <c r="D2752" s="31">
        <v>46108</v>
      </c>
      <c r="E2752" s="29">
        <v>19175687</v>
      </c>
      <c r="F2752" s="29" t="s">
        <v>72</v>
      </c>
      <c r="G2752" s="29" t="s">
        <v>582</v>
      </c>
      <c r="H2752" s="29">
        <v>97</v>
      </c>
      <c r="I2752" s="29">
        <v>92</v>
      </c>
      <c r="J2752" s="29">
        <v>78.5</v>
      </c>
      <c r="K2752" s="29">
        <v>78</v>
      </c>
      <c r="L2752" s="29">
        <v>64</v>
      </c>
      <c r="M2752" s="29">
        <v>73</v>
      </c>
      <c r="N2752" s="29">
        <v>81</v>
      </c>
      <c r="O2752" s="32">
        <v>563.5</v>
      </c>
      <c r="P2752" s="29" cm="1">
        <f t="array" ref="P2752">IF(表成绩单[[#This Row],[语文]]="","",SUMPRODUCT((表成绩单[考试日期]=表成绩单[[#This Row],[考试日期]])*(表成绩单[语文]&lt;9E+307)*(表成绩单[语文]&gt;表成绩单[[#This Row],[语文]]))+1)</f>
        <v>357</v>
      </c>
      <c r="Q2752" s="29" cm="1">
        <f t="array" ref="Q2752">IF(表成绩单[[#This Row],[数学]]="","",SUMPRODUCT((表成绩单[考试日期]=表成绩单[[#This Row],[考试日期]])*(表成绩单[数学]&lt;9E+307)*(表成绩单[数学]&gt;表成绩单[[#This Row],[数学]]))+1)</f>
        <v>312</v>
      </c>
      <c r="R2752" s="29" cm="1">
        <f t="array" ref="R2752">IF(表成绩单[[#This Row],[英语]]="","",SUMPRODUCT((表成绩单[考试日期]=表成绩单[[#This Row],[考试日期]])*(表成绩单[英语]&lt;9E+307)*(表成绩单[英语]&gt;表成绩单[[#This Row],[英语]]))+1)</f>
        <v>322</v>
      </c>
      <c r="S2752" s="29" cm="1">
        <f t="array" ref="S2752">IF(表成绩单[[#This Row],[物理]]="","",SUMPRODUCT((表成绩单[考试日期]=表成绩单[[#This Row],[考试日期]])*(表成绩单[物理]&lt;9E+307)*(表成绩单[物理]&gt;表成绩单[[#This Row],[物理]]))+1)</f>
        <v>365</v>
      </c>
      <c r="T2752" s="29" cm="1">
        <f t="array" ref="T2752">IF(表成绩单[[#This Row],[化学]]="","",SUMPRODUCT((表成绩单[考试日期]=表成绩单[[#This Row],[考试日期]])*(表成绩单[化学]&lt;9E+307)*(表成绩单[化学]&gt;表成绩单[[#This Row],[化学]]))+1)</f>
        <v>400</v>
      </c>
      <c r="U2752" s="29" cm="1">
        <f t="array" ref="U2752">IF(表成绩单[[#This Row],[政治]]="","",SUMPRODUCT((表成绩单[考试日期]=表成绩单[[#This Row],[考试日期]])*(表成绩单[政治]&lt;9E+307)*(表成绩单[政治]&gt;表成绩单[[#This Row],[政治]]))+1)</f>
        <v>431</v>
      </c>
      <c r="V2752" s="29" cm="1">
        <f t="array" ref="V2752">IF(表成绩单[[#This Row],[历史]]="","",SUMPRODUCT((表成绩单[考试日期]=表成绩单[[#This Row],[考试日期]])*(表成绩单[历史]&lt;9E+307)*(表成绩单[历史]&gt;表成绩单[[#This Row],[历史]]))+1)</f>
        <v>106</v>
      </c>
      <c r="W2752" s="29" cm="1">
        <f t="array" ref="W2752">IF(表成绩单[[#This Row],[总分]]="","",SUMPRODUCT((表成绩单[考试日期]=表成绩单[[#This Row],[考试日期]])*(表成绩单[总分]&lt;9E+307)*(表成绩单[总分]&gt;表成绩单[[#This Row],[总分]]))+1)</f>
        <v>344</v>
      </c>
    </row>
    <row r="2753" ht="28" customHeight="1" spans="4:23">
      <c r="D2753" s="31">
        <v>46108</v>
      </c>
      <c r="E2753" s="29">
        <v>19177630</v>
      </c>
      <c r="F2753" s="29" t="s">
        <v>58</v>
      </c>
      <c r="G2753" s="29" t="s">
        <v>521</v>
      </c>
      <c r="H2753" s="29">
        <v>86</v>
      </c>
      <c r="I2753" s="29">
        <v>94</v>
      </c>
      <c r="J2753" s="29">
        <v>71</v>
      </c>
      <c r="K2753" s="29">
        <v>88</v>
      </c>
      <c r="L2753" s="29">
        <v>74</v>
      </c>
      <c r="M2753" s="29">
        <v>77</v>
      </c>
      <c r="N2753" s="29">
        <v>73</v>
      </c>
      <c r="O2753" s="32">
        <v>563</v>
      </c>
      <c r="P2753" s="29" cm="1">
        <f t="array" ref="P2753">IF(表成绩单[[#This Row],[语文]]="","",SUMPRODUCT((表成绩单[考试日期]=表成绩单[[#This Row],[考试日期]])*(表成绩单[语文]&lt;9E+307)*(表成绩单[语文]&gt;表成绩单[[#This Row],[语文]]))+1)</f>
        <v>610</v>
      </c>
      <c r="Q2753" s="29" cm="1">
        <f t="array" ref="Q2753">IF(表成绩单[[#This Row],[数学]]="","",SUMPRODUCT((表成绩单[考试日期]=表成绩单[[#This Row],[考试日期]])*(表成绩单[数学]&lt;9E+307)*(表成绩单[数学]&gt;表成绩单[[#This Row],[数学]]))+1)</f>
        <v>258</v>
      </c>
      <c r="R2753" s="29" cm="1">
        <f t="array" ref="R2753">IF(表成绩单[[#This Row],[英语]]="","",SUMPRODUCT((表成绩单[考试日期]=表成绩单[[#This Row],[考试日期]])*(表成绩单[英语]&lt;9E+307)*(表成绩单[英语]&gt;表成绩单[[#This Row],[英语]]))+1)</f>
        <v>522</v>
      </c>
      <c r="S2753" s="29" cm="1">
        <f t="array" ref="S2753">IF(表成绩单[[#This Row],[物理]]="","",SUMPRODUCT((表成绩单[考试日期]=表成绩单[[#This Row],[考试日期]])*(表成绩单[物理]&lt;9E+307)*(表成绩单[物理]&gt;表成绩单[[#This Row],[物理]]))+1)</f>
        <v>27</v>
      </c>
      <c r="T2753" s="29" cm="1">
        <f t="array" ref="T2753">IF(表成绩单[[#This Row],[化学]]="","",SUMPRODUCT((表成绩单[考试日期]=表成绩单[[#This Row],[考试日期]])*(表成绩单[化学]&lt;9E+307)*(表成绩单[化学]&gt;表成绩单[[#This Row],[化学]]))+1)</f>
        <v>127</v>
      </c>
      <c r="U2753" s="29" cm="1">
        <f t="array" ref="U2753">IF(表成绩单[[#This Row],[政治]]="","",SUMPRODUCT((表成绩单[考试日期]=表成绩单[[#This Row],[考试日期]])*(表成绩单[政治]&lt;9E+307)*(表成绩单[政治]&gt;表成绩单[[#This Row],[政治]]))+1)</f>
        <v>230</v>
      </c>
      <c r="V2753" s="29" cm="1">
        <f t="array" ref="V2753">IF(表成绩单[[#This Row],[历史]]="","",SUMPRODUCT((表成绩单[考试日期]=表成绩单[[#This Row],[考试日期]])*(表成绩单[历史]&lt;9E+307)*(表成绩单[历史]&gt;表成绩单[[#This Row],[历史]]))+1)</f>
        <v>432</v>
      </c>
      <c r="W2753" s="29" cm="1">
        <f t="array" ref="W2753">IF(表成绩单[[#This Row],[总分]]="","",SUMPRODUCT((表成绩单[考试日期]=表成绩单[[#This Row],[考试日期]])*(表成绩单[总分]&lt;9E+307)*(表成绩单[总分]&gt;表成绩单[[#This Row],[总分]]))+1)</f>
        <v>346</v>
      </c>
    </row>
    <row r="2754" ht="28" customHeight="1" spans="4:23">
      <c r="D2754" s="31">
        <v>46108</v>
      </c>
      <c r="E2754" s="29">
        <v>19178624</v>
      </c>
      <c r="F2754" s="29" t="s">
        <v>25</v>
      </c>
      <c r="G2754" s="29" t="s">
        <v>373</v>
      </c>
      <c r="H2754" s="29">
        <v>98</v>
      </c>
      <c r="I2754" s="29">
        <v>95</v>
      </c>
      <c r="J2754" s="29">
        <v>79</v>
      </c>
      <c r="K2754" s="29">
        <v>69</v>
      </c>
      <c r="L2754" s="29">
        <v>68</v>
      </c>
      <c r="M2754" s="29">
        <v>82</v>
      </c>
      <c r="N2754" s="29">
        <v>72</v>
      </c>
      <c r="O2754" s="32">
        <v>563</v>
      </c>
      <c r="P2754" s="29" cm="1">
        <f t="array" ref="P2754">IF(表成绩单[[#This Row],[语文]]="","",SUMPRODUCT((表成绩单[考试日期]=表成绩单[[#This Row],[考试日期]])*(表成绩单[语文]&lt;9E+307)*(表成绩单[语文]&gt;表成绩单[[#This Row],[语文]]))+1)</f>
        <v>322</v>
      </c>
      <c r="Q2754" s="29" cm="1">
        <f t="array" ref="Q2754">IF(表成绩单[[#This Row],[数学]]="","",SUMPRODUCT((表成绩单[考试日期]=表成绩单[[#This Row],[考试日期]])*(表成绩单[数学]&lt;9E+307)*(表成绩单[数学]&gt;表成绩单[[#This Row],[数学]]))+1)</f>
        <v>229</v>
      </c>
      <c r="R2754" s="29" cm="1">
        <f t="array" ref="R2754">IF(表成绩单[[#This Row],[英语]]="","",SUMPRODUCT((表成绩单[考试日期]=表成绩单[[#This Row],[考试日期]])*(表成绩单[英语]&lt;9E+307)*(表成绩单[英语]&gt;表成绩单[[#This Row],[英语]]))+1)</f>
        <v>305</v>
      </c>
      <c r="S2754" s="29" cm="1">
        <f t="array" ref="S2754">IF(表成绩单[[#This Row],[物理]]="","",SUMPRODUCT((表成绩单[考试日期]=表成绩单[[#This Row],[考试日期]])*(表成绩单[物理]&lt;9E+307)*(表成绩单[物理]&gt;表成绩单[[#This Row],[物理]]))+1)</f>
        <v>565</v>
      </c>
      <c r="T2754" s="29" cm="1">
        <f t="array" ref="T2754">IF(表成绩单[[#This Row],[化学]]="","",SUMPRODUCT((表成绩单[考试日期]=表成绩单[[#This Row],[考试日期]])*(表成绩单[化学]&lt;9E+307)*(表成绩单[化学]&gt;表成绩单[[#This Row],[化学]]))+1)</f>
        <v>306</v>
      </c>
      <c r="U2754" s="29" cm="1">
        <f t="array" ref="U2754">IF(表成绩单[[#This Row],[政治]]="","",SUMPRODUCT((表成绩单[考试日期]=表成绩单[[#This Row],[考试日期]])*(表成绩单[政治]&lt;9E+307)*(表成绩单[政治]&gt;表成绩单[[#This Row],[政治]]))+1)</f>
        <v>45</v>
      </c>
      <c r="V2754" s="29" cm="1">
        <f t="array" ref="V2754">IF(表成绩单[[#This Row],[历史]]="","",SUMPRODUCT((表成绩单[考试日期]=表成绩单[[#This Row],[考试日期]])*(表成绩单[历史]&lt;9E+307)*(表成绩单[历史]&gt;表成绩单[[#This Row],[历史]]))+1)</f>
        <v>470</v>
      </c>
      <c r="W2754" s="29" cm="1">
        <f t="array" ref="W2754">IF(表成绩单[[#This Row],[总分]]="","",SUMPRODUCT((表成绩单[考试日期]=表成绩单[[#This Row],[考试日期]])*(表成绩单[总分]&lt;9E+307)*(表成绩单[总分]&gt;表成绩单[[#This Row],[总分]]))+1)</f>
        <v>346</v>
      </c>
    </row>
    <row r="2755" ht="28" customHeight="1" spans="4:23">
      <c r="D2755" s="31">
        <v>46108</v>
      </c>
      <c r="E2755" s="29">
        <v>19173779</v>
      </c>
      <c r="F2755" s="29" t="s">
        <v>65</v>
      </c>
      <c r="G2755" s="29" t="s">
        <v>546</v>
      </c>
      <c r="H2755" s="29">
        <v>90</v>
      </c>
      <c r="I2755" s="29">
        <v>95</v>
      </c>
      <c r="J2755" s="29">
        <v>79.5</v>
      </c>
      <c r="K2755" s="29">
        <v>82</v>
      </c>
      <c r="L2755" s="29">
        <v>72</v>
      </c>
      <c r="M2755" s="29">
        <v>75</v>
      </c>
      <c r="N2755" s="29">
        <v>69</v>
      </c>
      <c r="O2755" s="32">
        <v>562.5</v>
      </c>
      <c r="P2755" s="29" cm="1">
        <f t="array" ref="P2755">IF(表成绩单[[#This Row],[语文]]="","",SUMPRODUCT((表成绩单[考试日期]=表成绩单[[#This Row],[考试日期]])*(表成绩单[语文]&lt;9E+307)*(表成绩单[语文]&gt;表成绩单[[#This Row],[语文]]))+1)</f>
        <v>539</v>
      </c>
      <c r="Q2755" s="29" cm="1">
        <f t="array" ref="Q2755">IF(表成绩单[[#This Row],[数学]]="","",SUMPRODUCT((表成绩单[考试日期]=表成绩单[[#This Row],[考试日期]])*(表成绩单[数学]&lt;9E+307)*(表成绩单[数学]&gt;表成绩单[[#This Row],[数学]]))+1)</f>
        <v>229</v>
      </c>
      <c r="R2755" s="29" cm="1">
        <f t="array" ref="R2755">IF(表成绩单[[#This Row],[英语]]="","",SUMPRODUCT((表成绩单[考试日期]=表成绩单[[#This Row],[考试日期]])*(表成绩单[英语]&lt;9E+307)*(表成绩单[英语]&gt;表成绩单[[#This Row],[英语]]))+1)</f>
        <v>286</v>
      </c>
      <c r="S2755" s="29" cm="1">
        <f t="array" ref="S2755">IF(表成绩单[[#This Row],[物理]]="","",SUMPRODUCT((表成绩单[考试日期]=表成绩单[[#This Row],[考试日期]])*(表成绩单[物理]&lt;9E+307)*(表成绩单[物理]&gt;表成绩单[[#This Row],[物理]]))+1)</f>
        <v>223</v>
      </c>
      <c r="T2755" s="29" cm="1">
        <f t="array" ref="T2755">IF(表成绩单[[#This Row],[化学]]="","",SUMPRODUCT((表成绩单[考试日期]=表成绩单[[#This Row],[考试日期]])*(表成绩单[化学]&lt;9E+307)*(表成绩单[化学]&gt;表成绩单[[#This Row],[化学]]))+1)</f>
        <v>187</v>
      </c>
      <c r="U2755" s="29" cm="1">
        <f t="array" ref="U2755">IF(表成绩单[[#This Row],[政治]]="","",SUMPRODUCT((表成绩单[考试日期]=表成绩单[[#This Row],[考试日期]])*(表成绩单[政治]&lt;9E+307)*(表成绩单[政治]&gt;表成绩单[[#This Row],[政治]]))+1)</f>
        <v>346</v>
      </c>
      <c r="V2755" s="29" cm="1">
        <f t="array" ref="V2755">IF(表成绩单[[#This Row],[历史]]="","",SUMPRODUCT((表成绩单[考试日期]=表成绩单[[#This Row],[考试日期]])*(表成绩单[历史]&lt;9E+307)*(表成绩单[历史]&gt;表成绩单[[#This Row],[历史]]))+1)</f>
        <v>569</v>
      </c>
      <c r="W2755" s="29" cm="1">
        <f t="array" ref="W2755">IF(表成绩单[[#This Row],[总分]]="","",SUMPRODUCT((表成绩单[考试日期]=表成绩单[[#This Row],[考试日期]])*(表成绩单[总分]&lt;9E+307)*(表成绩单[总分]&gt;表成绩单[[#This Row],[总分]]))+1)</f>
        <v>348</v>
      </c>
    </row>
    <row r="2756" ht="28" customHeight="1" spans="4:23">
      <c r="D2756" s="31">
        <v>46108</v>
      </c>
      <c r="E2756" s="29">
        <v>19176893</v>
      </c>
      <c r="F2756" s="29" t="s">
        <v>71</v>
      </c>
      <c r="G2756" s="29" t="s">
        <v>465</v>
      </c>
      <c r="H2756" s="29">
        <v>93</v>
      </c>
      <c r="I2756" s="29">
        <v>94</v>
      </c>
      <c r="J2756" s="29">
        <v>74</v>
      </c>
      <c r="K2756" s="29">
        <v>83</v>
      </c>
      <c r="L2756" s="29">
        <v>64</v>
      </c>
      <c r="M2756" s="29">
        <v>76</v>
      </c>
      <c r="N2756" s="29">
        <v>78</v>
      </c>
      <c r="O2756" s="32">
        <v>562</v>
      </c>
      <c r="P2756" s="29" cm="1">
        <f t="array" ref="P2756">IF(表成绩单[[#This Row],[语文]]="","",SUMPRODUCT((表成绩单[考试日期]=表成绩单[[#This Row],[考试日期]])*(表成绩单[语文]&lt;9E+307)*(表成绩单[语文]&gt;表成绩单[[#This Row],[语文]]))+1)</f>
        <v>470</v>
      </c>
      <c r="Q2756" s="29" cm="1">
        <f t="array" ref="Q2756">IF(表成绩单[[#This Row],[数学]]="","",SUMPRODUCT((表成绩单[考试日期]=表成绩单[[#This Row],[考试日期]])*(表成绩单[数学]&lt;9E+307)*(表成绩单[数学]&gt;表成绩单[[#This Row],[数学]]))+1)</f>
        <v>258</v>
      </c>
      <c r="R2756" s="29" cm="1">
        <f t="array" ref="R2756">IF(表成绩单[[#This Row],[英语]]="","",SUMPRODUCT((表成绩单[考试日期]=表成绩单[[#This Row],[考试日期]])*(表成绩单[英语]&lt;9E+307)*(表成绩单[英语]&gt;表成绩单[[#This Row],[英语]]))+1)</f>
        <v>464</v>
      </c>
      <c r="S2756" s="29" cm="1">
        <f t="array" ref="S2756">IF(表成绩单[[#This Row],[物理]]="","",SUMPRODUCT((表成绩单[考试日期]=表成绩单[[#This Row],[考试日期]])*(表成绩单[物理]&lt;9E+307)*(表成绩单[物理]&gt;表成绩单[[#This Row],[物理]]))+1)</f>
        <v>184</v>
      </c>
      <c r="T2756" s="29" cm="1">
        <f t="array" ref="T2756">IF(表成绩单[[#This Row],[化学]]="","",SUMPRODUCT((表成绩单[考试日期]=表成绩单[[#This Row],[考试日期]])*(表成绩单[化学]&lt;9E+307)*(表成绩单[化学]&gt;表成绩单[[#This Row],[化学]]))+1)</f>
        <v>400</v>
      </c>
      <c r="U2756" s="29" cm="1">
        <f t="array" ref="U2756">IF(表成绩单[[#This Row],[政治]]="","",SUMPRODUCT((表成绩单[考试日期]=表成绩单[[#This Row],[考试日期]])*(表成绩单[政治]&lt;9E+307)*(表成绩单[政治]&gt;表成绩单[[#This Row],[政治]]))+1)</f>
        <v>291</v>
      </c>
      <c r="V2756" s="29" cm="1">
        <f t="array" ref="V2756">IF(表成绩单[[#This Row],[历史]]="","",SUMPRODUCT((表成绩单[考试日期]=表成绩单[[#This Row],[考试日期]])*(表成绩单[历史]&lt;9E+307)*(表成绩单[历史]&gt;表成绩单[[#This Row],[历史]]))+1)</f>
        <v>222</v>
      </c>
      <c r="W2756" s="29" cm="1">
        <f t="array" ref="W2756">IF(表成绩单[[#This Row],[总分]]="","",SUMPRODUCT((表成绩单[考试日期]=表成绩单[[#This Row],[考试日期]])*(表成绩单[总分]&lt;9E+307)*(表成绩单[总分]&gt;表成绩单[[#This Row],[总分]]))+1)</f>
        <v>349</v>
      </c>
    </row>
    <row r="2757" ht="28" customHeight="1" spans="4:23">
      <c r="D2757" s="31">
        <v>46108</v>
      </c>
      <c r="E2757" s="29">
        <v>19177198</v>
      </c>
      <c r="F2757" s="29" t="s">
        <v>70</v>
      </c>
      <c r="G2757" s="29" t="s">
        <v>547</v>
      </c>
      <c r="H2757" s="29">
        <v>104</v>
      </c>
      <c r="I2757" s="29">
        <v>89</v>
      </c>
      <c r="J2757" s="29">
        <v>73</v>
      </c>
      <c r="K2757" s="29">
        <v>81</v>
      </c>
      <c r="L2757" s="29">
        <v>72</v>
      </c>
      <c r="M2757" s="29">
        <v>74</v>
      </c>
      <c r="N2757" s="29">
        <v>69</v>
      </c>
      <c r="O2757" s="32">
        <v>562</v>
      </c>
      <c r="P2757" s="29" cm="1">
        <f t="array" ref="P2757">IF(表成绩单[[#This Row],[语文]]="","",SUMPRODUCT((表成绩单[考试日期]=表成绩单[[#This Row],[考试日期]])*(表成绩单[语文]&lt;9E+307)*(表成绩单[语文]&gt;表成绩单[[#This Row],[语文]]))+1)</f>
        <v>131</v>
      </c>
      <c r="Q2757" s="29" cm="1">
        <f t="array" ref="Q2757">IF(表成绩单[[#This Row],[数学]]="","",SUMPRODUCT((表成绩单[考试日期]=表成绩单[[#This Row],[考试日期]])*(表成绩单[数学]&lt;9E+307)*(表成绩单[数学]&gt;表成绩单[[#This Row],[数学]]))+1)</f>
        <v>402</v>
      </c>
      <c r="R2757" s="29" cm="1">
        <f t="array" ref="R2757">IF(表成绩单[[#This Row],[英语]]="","",SUMPRODUCT((表成绩单[考试日期]=表成绩单[[#This Row],[考试日期]])*(表成绩单[英语]&lt;9E+307)*(表成绩单[英语]&gt;表成绩单[[#This Row],[英语]]))+1)</f>
        <v>478</v>
      </c>
      <c r="S2757" s="29" cm="1">
        <f t="array" ref="S2757">IF(表成绩单[[#This Row],[物理]]="","",SUMPRODUCT((表成绩单[考试日期]=表成绩单[[#This Row],[考试日期]])*(表成绩单[物理]&lt;9E+307)*(表成绩单[物理]&gt;表成绩单[[#This Row],[物理]]))+1)</f>
        <v>269</v>
      </c>
      <c r="T2757" s="29" cm="1">
        <f t="array" ref="T2757">IF(表成绩单[[#This Row],[化学]]="","",SUMPRODUCT((表成绩单[考试日期]=表成绩单[[#This Row],[考试日期]])*(表成绩单[化学]&lt;9E+307)*(表成绩单[化学]&gt;表成绩单[[#This Row],[化学]]))+1)</f>
        <v>187</v>
      </c>
      <c r="U2757" s="29" cm="1">
        <f t="array" ref="U2757">IF(表成绩单[[#This Row],[政治]]="","",SUMPRODUCT((表成绩单[考试日期]=表成绩单[[#This Row],[考试日期]])*(表成绩单[政治]&lt;9E+307)*(表成绩单[政治]&gt;表成绩单[[#This Row],[政治]]))+1)</f>
        <v>389</v>
      </c>
      <c r="V2757" s="29" cm="1">
        <f t="array" ref="V2757">IF(表成绩单[[#This Row],[历史]]="","",SUMPRODUCT((表成绩单[考试日期]=表成绩单[[#This Row],[考试日期]])*(表成绩单[历史]&lt;9E+307)*(表成绩单[历史]&gt;表成绩单[[#This Row],[历史]]))+1)</f>
        <v>569</v>
      </c>
      <c r="W2757" s="29" cm="1">
        <f t="array" ref="W2757">IF(表成绩单[[#This Row],[总分]]="","",SUMPRODUCT((表成绩单[考试日期]=表成绩单[[#This Row],[考试日期]])*(表成绩单[总分]&lt;9E+307)*(表成绩单[总分]&gt;表成绩单[[#This Row],[总分]]))+1)</f>
        <v>349</v>
      </c>
    </row>
    <row r="2758" ht="28" customHeight="1" spans="4:23">
      <c r="D2758" s="31">
        <v>46108</v>
      </c>
      <c r="E2758" s="29">
        <v>19177634</v>
      </c>
      <c r="F2758" s="29" t="s">
        <v>63</v>
      </c>
      <c r="G2758" s="29" t="s">
        <v>405</v>
      </c>
      <c r="H2758" s="29">
        <v>109</v>
      </c>
      <c r="I2758" s="29">
        <v>81</v>
      </c>
      <c r="J2758" s="29">
        <v>79</v>
      </c>
      <c r="K2758" s="29">
        <v>78</v>
      </c>
      <c r="L2758" s="29">
        <v>67</v>
      </c>
      <c r="M2758" s="29">
        <v>74</v>
      </c>
      <c r="N2758" s="29">
        <v>74</v>
      </c>
      <c r="O2758" s="32">
        <v>562</v>
      </c>
      <c r="P2758" s="29" cm="1">
        <f t="array" ref="P2758">IF(表成绩单[[#This Row],[语文]]="","",SUMPRODUCT((表成绩单[考试日期]=表成绩单[[#This Row],[考试日期]])*(表成绩单[语文]&lt;9E+307)*(表成绩单[语文]&gt;表成绩单[[#This Row],[语文]]))+1)</f>
        <v>40</v>
      </c>
      <c r="Q2758" s="29" cm="1">
        <f t="array" ref="Q2758">IF(表成绩单[[#This Row],[数学]]="","",SUMPRODUCT((表成绩单[考试日期]=表成绩单[[#This Row],[考试日期]])*(表成绩单[数学]&lt;9E+307)*(表成绩单[数学]&gt;表成绩单[[#This Row],[数学]]))+1)</f>
        <v>563</v>
      </c>
      <c r="R2758" s="29" cm="1">
        <f t="array" ref="R2758">IF(表成绩单[[#This Row],[英语]]="","",SUMPRODUCT((表成绩单[考试日期]=表成绩单[[#This Row],[考试日期]])*(表成绩单[英语]&lt;9E+307)*(表成绩单[英语]&gt;表成绩单[[#This Row],[英语]]))+1)</f>
        <v>305</v>
      </c>
      <c r="S2758" s="29" cm="1">
        <f t="array" ref="S2758">IF(表成绩单[[#This Row],[物理]]="","",SUMPRODUCT((表成绩单[考试日期]=表成绩单[[#This Row],[考试日期]])*(表成绩单[物理]&lt;9E+307)*(表成绩单[物理]&gt;表成绩单[[#This Row],[物理]]))+1)</f>
        <v>365</v>
      </c>
      <c r="T2758" s="29" cm="1">
        <f t="array" ref="T2758">IF(表成绩单[[#This Row],[化学]]="","",SUMPRODUCT((表成绩单[考试日期]=表成绩单[[#This Row],[考试日期]])*(表成绩单[化学]&lt;9E+307)*(表成绩单[化学]&gt;表成绩单[[#This Row],[化学]]))+1)</f>
        <v>335</v>
      </c>
      <c r="U2758" s="29" cm="1">
        <f t="array" ref="U2758">IF(表成绩单[[#This Row],[政治]]="","",SUMPRODUCT((表成绩单[考试日期]=表成绩单[[#This Row],[考试日期]])*(表成绩单[政治]&lt;9E+307)*(表成绩单[政治]&gt;表成绩单[[#This Row],[政治]]))+1)</f>
        <v>389</v>
      </c>
      <c r="V2758" s="29" cm="1">
        <f t="array" ref="V2758">IF(表成绩单[[#This Row],[历史]]="","",SUMPRODUCT((表成绩单[考试日期]=表成绩单[[#This Row],[考试日期]])*(表成绩单[历史]&lt;9E+307)*(表成绩单[历史]&gt;表成绩单[[#This Row],[历史]]))+1)</f>
        <v>389</v>
      </c>
      <c r="W2758" s="29" cm="1">
        <f t="array" ref="W2758">IF(表成绩单[[#This Row],[总分]]="","",SUMPRODUCT((表成绩单[考试日期]=表成绩单[[#This Row],[考试日期]])*(表成绩单[总分]&lt;9E+307)*(表成绩单[总分]&gt;表成绩单[[#This Row],[总分]]))+1)</f>
        <v>349</v>
      </c>
    </row>
    <row r="2759" ht="28" customHeight="1" spans="4:23">
      <c r="D2759" s="31">
        <v>46108</v>
      </c>
      <c r="E2759" s="29">
        <v>19178651</v>
      </c>
      <c r="F2759" s="29" t="s">
        <v>25</v>
      </c>
      <c r="G2759" s="29" t="s">
        <v>306</v>
      </c>
      <c r="H2759" s="29">
        <v>92</v>
      </c>
      <c r="I2759" s="29">
        <v>90</v>
      </c>
      <c r="J2759" s="29">
        <v>87</v>
      </c>
      <c r="K2759" s="29">
        <v>81</v>
      </c>
      <c r="L2759" s="29">
        <v>64</v>
      </c>
      <c r="M2759" s="29">
        <v>76</v>
      </c>
      <c r="N2759" s="29">
        <v>72</v>
      </c>
      <c r="O2759" s="32">
        <v>562</v>
      </c>
      <c r="P2759" s="29" cm="1">
        <f t="array" ref="P2759">IF(表成绩单[[#This Row],[语文]]="","",SUMPRODUCT((表成绩单[考试日期]=表成绩单[[#This Row],[考试日期]])*(表成绩单[语文]&lt;9E+307)*(表成绩单[语文]&gt;表成绩单[[#This Row],[语文]]))+1)</f>
        <v>494</v>
      </c>
      <c r="Q2759" s="29" cm="1">
        <f t="array" ref="Q2759">IF(表成绩单[[#This Row],[数学]]="","",SUMPRODUCT((表成绩单[考试日期]=表成绩单[[#This Row],[考试日期]])*(表成绩单[数学]&lt;9E+307)*(表成绩单[数学]&gt;表成绩单[[#This Row],[数学]]))+1)</f>
        <v>368</v>
      </c>
      <c r="R2759" s="29" cm="1">
        <f t="array" ref="R2759">IF(表成绩单[[#This Row],[英语]]="","",SUMPRODUCT((表成绩单[考试日期]=表成绩单[[#This Row],[考试日期]])*(表成绩单[英语]&lt;9E+307)*(表成绩单[英语]&gt;表成绩单[[#This Row],[英语]]))+1)</f>
        <v>8</v>
      </c>
      <c r="S2759" s="29" cm="1">
        <f t="array" ref="S2759">IF(表成绩单[[#This Row],[物理]]="","",SUMPRODUCT((表成绩单[考试日期]=表成绩单[[#This Row],[考试日期]])*(表成绩单[物理]&lt;9E+307)*(表成绩单[物理]&gt;表成绩单[[#This Row],[物理]]))+1)</f>
        <v>269</v>
      </c>
      <c r="T2759" s="29" cm="1">
        <f t="array" ref="T2759">IF(表成绩单[[#This Row],[化学]]="","",SUMPRODUCT((表成绩单[考试日期]=表成绩单[[#This Row],[考试日期]])*(表成绩单[化学]&lt;9E+307)*(表成绩单[化学]&gt;表成绩单[[#This Row],[化学]]))+1)</f>
        <v>400</v>
      </c>
      <c r="U2759" s="29" cm="1">
        <f t="array" ref="U2759">IF(表成绩单[[#This Row],[政治]]="","",SUMPRODUCT((表成绩单[考试日期]=表成绩单[[#This Row],[考试日期]])*(表成绩单[政治]&lt;9E+307)*(表成绩单[政治]&gt;表成绩单[[#This Row],[政治]]))+1)</f>
        <v>291</v>
      </c>
      <c r="V2759" s="29" cm="1">
        <f t="array" ref="V2759">IF(表成绩单[[#This Row],[历史]]="","",SUMPRODUCT((表成绩单[考试日期]=表成绩单[[#This Row],[考试日期]])*(表成绩单[历史]&lt;9E+307)*(表成绩单[历史]&gt;表成绩单[[#This Row],[历史]]))+1)</f>
        <v>470</v>
      </c>
      <c r="W2759" s="29" cm="1">
        <f t="array" ref="W2759">IF(表成绩单[[#This Row],[总分]]="","",SUMPRODUCT((表成绩单[考试日期]=表成绩单[[#This Row],[考试日期]])*(表成绩单[总分]&lt;9E+307)*(表成绩单[总分]&gt;表成绩单[[#This Row],[总分]]))+1)</f>
        <v>349</v>
      </c>
    </row>
    <row r="2760" ht="28" customHeight="1" spans="4:23">
      <c r="D2760" s="31">
        <v>46108</v>
      </c>
      <c r="E2760" s="29">
        <v>19175415</v>
      </c>
      <c r="F2760" s="29" t="s">
        <v>74</v>
      </c>
      <c r="G2760" s="29" t="s">
        <v>488</v>
      </c>
      <c r="H2760" s="29">
        <v>97</v>
      </c>
      <c r="I2760" s="29">
        <v>93</v>
      </c>
      <c r="J2760" s="29">
        <v>69.5</v>
      </c>
      <c r="K2760" s="29">
        <v>84</v>
      </c>
      <c r="L2760" s="29">
        <v>72</v>
      </c>
      <c r="M2760" s="29">
        <v>71</v>
      </c>
      <c r="N2760" s="29">
        <v>75</v>
      </c>
      <c r="O2760" s="32">
        <v>561.5</v>
      </c>
      <c r="P2760" s="29" cm="1">
        <f t="array" ref="P2760">IF(表成绩单[[#This Row],[语文]]="","",SUMPRODUCT((表成绩单[考试日期]=表成绩单[[#This Row],[考试日期]])*(表成绩单[语文]&lt;9E+307)*(表成绩单[语文]&gt;表成绩单[[#This Row],[语文]]))+1)</f>
        <v>357</v>
      </c>
      <c r="Q2760" s="29" cm="1">
        <f t="array" ref="Q2760">IF(表成绩单[[#This Row],[数学]]="","",SUMPRODUCT((表成绩单[考试日期]=表成绩单[[#This Row],[考试日期]])*(表成绩单[数学]&lt;9E+307)*(表成绩单[数学]&gt;表成绩单[[#This Row],[数学]]))+1)</f>
        <v>289</v>
      </c>
      <c r="R2760" s="29" cm="1">
        <f t="array" ref="R2760">IF(表成绩单[[#This Row],[英语]]="","",SUMPRODUCT((表成绩单[考试日期]=表成绩单[[#This Row],[考试日期]])*(表成绩单[英语]&lt;9E+307)*(表成绩单[英语]&gt;表成绩单[[#This Row],[英语]]))+1)</f>
        <v>547</v>
      </c>
      <c r="S2760" s="29" cm="1">
        <f t="array" ref="S2760">IF(表成绩单[[#This Row],[物理]]="","",SUMPRODUCT((表成绩单[考试日期]=表成绩单[[#This Row],[考试日期]])*(表成绩单[物理]&lt;9E+307)*(表成绩单[物理]&gt;表成绩单[[#This Row],[物理]]))+1)</f>
        <v>146</v>
      </c>
      <c r="T2760" s="29" cm="1">
        <f t="array" ref="T2760">IF(表成绩单[[#This Row],[化学]]="","",SUMPRODUCT((表成绩单[考试日期]=表成绩单[[#This Row],[考试日期]])*(表成绩单[化学]&lt;9E+307)*(表成绩单[化学]&gt;表成绩单[[#This Row],[化学]]))+1)</f>
        <v>187</v>
      </c>
      <c r="U2760" s="29" cm="1">
        <f t="array" ref="U2760">IF(表成绩单[[#This Row],[政治]]="","",SUMPRODUCT((表成绩单[考试日期]=表成绩单[[#This Row],[考试日期]])*(表成绩单[政治]&lt;9E+307)*(表成绩单[政治]&gt;表成绩单[[#This Row],[政治]]))+1)</f>
        <v>513</v>
      </c>
      <c r="V2760" s="29" cm="1">
        <f t="array" ref="V2760">IF(表成绩单[[#This Row],[历史]]="","",SUMPRODUCT((表成绩单[考试日期]=表成绩单[[#This Row],[考试日期]])*(表成绩单[历史]&lt;9E+307)*(表成绩单[历史]&gt;表成绩单[[#This Row],[历史]]))+1)</f>
        <v>354</v>
      </c>
      <c r="W2760" s="29" cm="1">
        <f t="array" ref="W2760">IF(表成绩单[[#This Row],[总分]]="","",SUMPRODUCT((表成绩单[考试日期]=表成绩单[[#This Row],[考试日期]])*(表成绩单[总分]&lt;9E+307)*(表成绩单[总分]&gt;表成绩单[[#This Row],[总分]]))+1)</f>
        <v>353</v>
      </c>
    </row>
    <row r="2761" ht="28" customHeight="1" spans="4:23">
      <c r="D2761" s="31">
        <v>46108</v>
      </c>
      <c r="E2761" s="29">
        <v>19175991</v>
      </c>
      <c r="F2761" s="29" t="s">
        <v>59</v>
      </c>
      <c r="G2761" s="29" t="s">
        <v>223</v>
      </c>
      <c r="H2761" s="29">
        <v>98</v>
      </c>
      <c r="I2761" s="29">
        <v>86</v>
      </c>
      <c r="J2761" s="29">
        <v>77.5</v>
      </c>
      <c r="K2761" s="29">
        <v>83</v>
      </c>
      <c r="L2761" s="29">
        <v>63</v>
      </c>
      <c r="M2761" s="29">
        <v>77</v>
      </c>
      <c r="N2761" s="29">
        <v>77</v>
      </c>
      <c r="O2761" s="32">
        <v>561.5</v>
      </c>
      <c r="P2761" s="29" cm="1">
        <f t="array" ref="P2761">IF(表成绩单[[#This Row],[语文]]="","",SUMPRODUCT((表成绩单[考试日期]=表成绩单[[#This Row],[考试日期]])*(表成绩单[语文]&lt;9E+307)*(表成绩单[语文]&gt;表成绩单[[#This Row],[语文]]))+1)</f>
        <v>322</v>
      </c>
      <c r="Q2761" s="29" cm="1">
        <f t="array" ref="Q2761">IF(表成绩单[[#This Row],[数学]]="","",SUMPRODUCT((表成绩单[考试日期]=表成绩单[[#This Row],[考试日期]])*(表成绩单[数学]&lt;9E+307)*(表成绩单[数学]&gt;表成绩单[[#This Row],[数学]]))+1)</f>
        <v>479</v>
      </c>
      <c r="R2761" s="29" cm="1">
        <f t="array" ref="R2761">IF(表成绩单[[#This Row],[英语]]="","",SUMPRODUCT((表成绩单[考试日期]=表成绩单[[#This Row],[考试日期]])*(表成绩单[英语]&lt;9E+307)*(表成绩单[英语]&gt;表成绩单[[#This Row],[英语]]))+1)</f>
        <v>353</v>
      </c>
      <c r="S2761" s="29" cm="1">
        <f t="array" ref="S2761">IF(表成绩单[[#This Row],[物理]]="","",SUMPRODUCT((表成绩单[考试日期]=表成绩单[[#This Row],[考试日期]])*(表成绩单[物理]&lt;9E+307)*(表成绩单[物理]&gt;表成绩单[[#This Row],[物理]]))+1)</f>
        <v>184</v>
      </c>
      <c r="T2761" s="29" cm="1">
        <f t="array" ref="T2761">IF(表成绩单[[#This Row],[化学]]="","",SUMPRODUCT((表成绩单[考试日期]=表成绩单[[#This Row],[考试日期]])*(表成绩单[化学]&lt;9E+307)*(表成绩单[化学]&gt;表成绩单[[#This Row],[化学]]))+1)</f>
        <v>426</v>
      </c>
      <c r="U2761" s="29" cm="1">
        <f t="array" ref="U2761">IF(表成绩单[[#This Row],[政治]]="","",SUMPRODUCT((表成绩单[考试日期]=表成绩单[[#This Row],[考试日期]])*(表成绩单[政治]&lt;9E+307)*(表成绩单[政治]&gt;表成绩单[[#This Row],[政治]]))+1)</f>
        <v>230</v>
      </c>
      <c r="V2761" s="29" cm="1">
        <f t="array" ref="V2761">IF(表成绩单[[#This Row],[历史]]="","",SUMPRODUCT((表成绩单[考试日期]=表成绩单[[#This Row],[考试日期]])*(表成绩单[历史]&lt;9E+307)*(表成绩单[历史]&gt;表成绩单[[#This Row],[历史]]))+1)</f>
        <v>269</v>
      </c>
      <c r="W2761" s="29" cm="1">
        <f t="array" ref="W2761">IF(表成绩单[[#This Row],[总分]]="","",SUMPRODUCT((表成绩单[考试日期]=表成绩单[[#This Row],[考试日期]])*(表成绩单[总分]&lt;9E+307)*(表成绩单[总分]&gt;表成绩单[[#This Row],[总分]]))+1)</f>
        <v>353</v>
      </c>
    </row>
    <row r="2762" ht="28" customHeight="1" spans="4:23">
      <c r="D2762" s="31">
        <v>46108</v>
      </c>
      <c r="E2762" s="29">
        <v>19177661</v>
      </c>
      <c r="F2762" s="29" t="s">
        <v>63</v>
      </c>
      <c r="G2762" s="29" t="s">
        <v>433</v>
      </c>
      <c r="H2762" s="29">
        <v>101</v>
      </c>
      <c r="I2762" s="29">
        <v>91</v>
      </c>
      <c r="J2762" s="29">
        <v>81.5</v>
      </c>
      <c r="K2762" s="29">
        <v>77</v>
      </c>
      <c r="L2762" s="29">
        <v>64</v>
      </c>
      <c r="M2762" s="29">
        <v>72</v>
      </c>
      <c r="N2762" s="29">
        <v>75</v>
      </c>
      <c r="O2762" s="32">
        <v>561.5</v>
      </c>
      <c r="P2762" s="29" cm="1">
        <f t="array" ref="P2762">IF(表成绩单[[#This Row],[语文]]="","",SUMPRODUCT((表成绩单[考试日期]=表成绩单[[#This Row],[考试日期]])*(表成绩单[语文]&lt;9E+307)*(表成绩单[语文]&gt;表成绩单[[#This Row],[语文]]))+1)</f>
        <v>211</v>
      </c>
      <c r="Q2762" s="29" cm="1">
        <f t="array" ref="Q2762">IF(表成绩单[[#This Row],[数学]]="","",SUMPRODUCT((表成绩单[考试日期]=表成绩单[[#This Row],[考试日期]])*(表成绩单[数学]&lt;9E+307)*(表成绩单[数学]&gt;表成绩单[[#This Row],[数学]]))+1)</f>
        <v>341</v>
      </c>
      <c r="R2762" s="29" cm="1">
        <f t="array" ref="R2762">IF(表成绩单[[#This Row],[英语]]="","",SUMPRODUCT((表成绩单[考试日期]=表成绩单[[#This Row],[考试日期]])*(表成绩单[英语]&lt;9E+307)*(表成绩单[英语]&gt;表成绩单[[#This Row],[英语]]))+1)</f>
        <v>203</v>
      </c>
      <c r="S2762" s="29" cm="1">
        <f t="array" ref="S2762">IF(表成绩单[[#This Row],[物理]]="","",SUMPRODUCT((表成绩单[考试日期]=表成绩单[[#This Row],[考试日期]])*(表成绩单[物理]&lt;9E+307)*(表成绩单[物理]&gt;表成绩单[[#This Row],[物理]]))+1)</f>
        <v>400</v>
      </c>
      <c r="T2762" s="29" cm="1">
        <f t="array" ref="T2762">IF(表成绩单[[#This Row],[化学]]="","",SUMPRODUCT((表成绩单[考试日期]=表成绩单[[#This Row],[考试日期]])*(表成绩单[化学]&lt;9E+307)*(表成绩单[化学]&gt;表成绩单[[#This Row],[化学]]))+1)</f>
        <v>400</v>
      </c>
      <c r="U2762" s="29" cm="1">
        <f t="array" ref="U2762">IF(表成绩单[[#This Row],[政治]]="","",SUMPRODUCT((表成绩单[考试日期]=表成绩单[[#This Row],[考试日期]])*(表成绩单[政治]&lt;9E+307)*(表成绩单[政治]&gt;表成绩单[[#This Row],[政治]]))+1)</f>
        <v>470</v>
      </c>
      <c r="V2762" s="29" cm="1">
        <f t="array" ref="V2762">IF(表成绩单[[#This Row],[历史]]="","",SUMPRODUCT((表成绩单[考试日期]=表成绩单[[#This Row],[考试日期]])*(表成绩单[历史]&lt;9E+307)*(表成绩单[历史]&gt;表成绩单[[#This Row],[历史]]))+1)</f>
        <v>354</v>
      </c>
      <c r="W2762" s="29" cm="1">
        <f t="array" ref="W2762">IF(表成绩单[[#This Row],[总分]]="","",SUMPRODUCT((表成绩单[考试日期]=表成绩单[[#This Row],[考试日期]])*(表成绩单[总分]&lt;9E+307)*(表成绩单[总分]&gt;表成绩单[[#This Row],[总分]]))+1)</f>
        <v>353</v>
      </c>
    </row>
    <row r="2763" ht="28" customHeight="1" spans="4:23">
      <c r="D2763" s="31">
        <v>46108</v>
      </c>
      <c r="E2763" s="29">
        <v>19174773</v>
      </c>
      <c r="F2763" s="29" t="s">
        <v>69</v>
      </c>
      <c r="G2763" s="29" t="s">
        <v>402</v>
      </c>
      <c r="H2763" s="29">
        <v>101</v>
      </c>
      <c r="I2763" s="29">
        <v>84</v>
      </c>
      <c r="J2763" s="29">
        <v>82</v>
      </c>
      <c r="K2763" s="29">
        <v>74</v>
      </c>
      <c r="L2763" s="29">
        <v>63</v>
      </c>
      <c r="M2763" s="29">
        <v>83</v>
      </c>
      <c r="N2763" s="29">
        <v>74</v>
      </c>
      <c r="O2763" s="32">
        <v>561</v>
      </c>
      <c r="P2763" s="29" cm="1">
        <f t="array" ref="P2763">IF(表成绩单[[#This Row],[语文]]="","",SUMPRODUCT((表成绩单[考试日期]=表成绩单[[#This Row],[考试日期]])*(表成绩单[语文]&lt;9E+307)*(表成绩单[语文]&gt;表成绩单[[#This Row],[语文]]))+1)</f>
        <v>211</v>
      </c>
      <c r="Q2763" s="29" cm="1">
        <f t="array" ref="Q2763">IF(表成绩单[[#This Row],[数学]]="","",SUMPRODUCT((表成绩单[考试日期]=表成绩单[[#This Row],[考试日期]])*(表成绩单[数学]&lt;9E+307)*(表成绩单[数学]&gt;表成绩单[[#This Row],[数学]]))+1)</f>
        <v>518</v>
      </c>
      <c r="R2763" s="29" cm="1">
        <f t="array" ref="R2763">IF(表成绩单[[#This Row],[英语]]="","",SUMPRODUCT((表成绩单[考试日期]=表成绩单[[#This Row],[考试日期]])*(表成绩单[英语]&lt;9E+307)*(表成绩单[英语]&gt;表成绩单[[#This Row],[英语]]))+1)</f>
        <v>180</v>
      </c>
      <c r="S2763" s="29" cm="1">
        <f t="array" ref="S2763">IF(表成绩单[[#This Row],[物理]]="","",SUMPRODUCT((表成绩单[考试日期]=表成绩单[[#This Row],[考试日期]])*(表成绩单[物理]&lt;9E+307)*(表成绩单[物理]&gt;表成绩单[[#This Row],[物理]]))+1)</f>
        <v>472</v>
      </c>
      <c r="T2763" s="29" cm="1">
        <f t="array" ref="T2763">IF(表成绩单[[#This Row],[化学]]="","",SUMPRODUCT((表成绩单[考试日期]=表成绩单[[#This Row],[考试日期]])*(表成绩单[化学]&lt;9E+307)*(表成绩单[化学]&gt;表成绩单[[#This Row],[化学]]))+1)</f>
        <v>426</v>
      </c>
      <c r="U2763" s="29" cm="1">
        <f t="array" ref="U2763">IF(表成绩单[[#This Row],[政治]]="","",SUMPRODUCT((表成绩单[考试日期]=表成绩单[[#This Row],[考试日期]])*(表成绩单[政治]&lt;9E+307)*(表成绩单[政治]&gt;表成绩单[[#This Row],[政治]]))+1)</f>
        <v>24</v>
      </c>
      <c r="V2763" s="29" cm="1">
        <f t="array" ref="V2763">IF(表成绩单[[#This Row],[历史]]="","",SUMPRODUCT((表成绩单[考试日期]=表成绩单[[#This Row],[考试日期]])*(表成绩单[历史]&lt;9E+307)*(表成绩单[历史]&gt;表成绩单[[#This Row],[历史]]))+1)</f>
        <v>389</v>
      </c>
      <c r="W2763" s="29" cm="1">
        <f t="array" ref="W2763">IF(表成绩单[[#This Row],[总分]]="","",SUMPRODUCT((表成绩单[考试日期]=表成绩单[[#This Row],[考试日期]])*(表成绩单[总分]&lt;9E+307)*(表成绩单[总分]&gt;表成绩单[[#This Row],[总分]]))+1)</f>
        <v>356</v>
      </c>
    </row>
    <row r="2764" ht="28" customHeight="1" spans="4:23">
      <c r="D2764" s="31">
        <v>46108</v>
      </c>
      <c r="E2764" s="29">
        <v>19175392</v>
      </c>
      <c r="F2764" s="29" t="s">
        <v>74</v>
      </c>
      <c r="G2764" s="29" t="s">
        <v>463</v>
      </c>
      <c r="H2764" s="29">
        <v>95</v>
      </c>
      <c r="I2764" s="29">
        <v>90</v>
      </c>
      <c r="J2764" s="29">
        <v>84</v>
      </c>
      <c r="K2764" s="29">
        <v>82</v>
      </c>
      <c r="L2764" s="29">
        <v>64</v>
      </c>
      <c r="M2764" s="29">
        <v>72</v>
      </c>
      <c r="N2764" s="29">
        <v>74</v>
      </c>
      <c r="O2764" s="32">
        <v>561</v>
      </c>
      <c r="P2764" s="29" cm="1">
        <f t="array" ref="P2764">IF(表成绩单[[#This Row],[语文]]="","",SUMPRODUCT((表成绩单[考试日期]=表成绩单[[#This Row],[考试日期]])*(表成绩单[语文]&lt;9E+307)*(表成绩单[语文]&gt;表成绩单[[#This Row],[语文]]))+1)</f>
        <v>422</v>
      </c>
      <c r="Q2764" s="29" cm="1">
        <f t="array" ref="Q2764">IF(表成绩单[[#This Row],[数学]]="","",SUMPRODUCT((表成绩单[考试日期]=表成绩单[[#This Row],[考试日期]])*(表成绩单[数学]&lt;9E+307)*(表成绩单[数学]&gt;表成绩单[[#This Row],[数学]]))+1)</f>
        <v>368</v>
      </c>
      <c r="R2764" s="29" cm="1">
        <f t="array" ref="R2764">IF(表成绩单[[#This Row],[英语]]="","",SUMPRODUCT((表成绩单[考试日期]=表成绩单[[#This Row],[考试日期]])*(表成绩单[英语]&lt;9E+307)*(表成绩单[英语]&gt;表成绩单[[#This Row],[英语]]))+1)</f>
        <v>100</v>
      </c>
      <c r="S2764" s="29" cm="1">
        <f t="array" ref="S2764">IF(表成绩单[[#This Row],[物理]]="","",SUMPRODUCT((表成绩单[考试日期]=表成绩单[[#This Row],[考试日期]])*(表成绩单[物理]&lt;9E+307)*(表成绩单[物理]&gt;表成绩单[[#This Row],[物理]]))+1)</f>
        <v>223</v>
      </c>
      <c r="T2764" s="29" cm="1">
        <f t="array" ref="T2764">IF(表成绩单[[#This Row],[化学]]="","",SUMPRODUCT((表成绩单[考试日期]=表成绩单[[#This Row],[考试日期]])*(表成绩单[化学]&lt;9E+307)*(表成绩单[化学]&gt;表成绩单[[#This Row],[化学]]))+1)</f>
        <v>400</v>
      </c>
      <c r="U2764" s="29" cm="1">
        <f t="array" ref="U2764">IF(表成绩单[[#This Row],[政治]]="","",SUMPRODUCT((表成绩单[考试日期]=表成绩单[[#This Row],[考试日期]])*(表成绩单[政治]&lt;9E+307)*(表成绩单[政治]&gt;表成绩单[[#This Row],[政治]]))+1)</f>
        <v>470</v>
      </c>
      <c r="V2764" s="29" cm="1">
        <f t="array" ref="V2764">IF(表成绩单[[#This Row],[历史]]="","",SUMPRODUCT((表成绩单[考试日期]=表成绩单[[#This Row],[考试日期]])*(表成绩单[历史]&lt;9E+307)*(表成绩单[历史]&gt;表成绩单[[#This Row],[历史]]))+1)</f>
        <v>389</v>
      </c>
      <c r="W2764" s="29" cm="1">
        <f t="array" ref="W2764">IF(表成绩单[[#This Row],[总分]]="","",SUMPRODUCT((表成绩单[考试日期]=表成绩单[[#This Row],[考试日期]])*(表成绩单[总分]&lt;9E+307)*(表成绩单[总分]&gt;表成绩单[[#This Row],[总分]]))+1)</f>
        <v>356</v>
      </c>
    </row>
    <row r="2765" ht="28" customHeight="1" spans="4:23">
      <c r="D2765" s="31">
        <v>46108</v>
      </c>
      <c r="E2765" s="29">
        <v>19176018</v>
      </c>
      <c r="F2765" s="29" t="s">
        <v>59</v>
      </c>
      <c r="G2765" s="29" t="s">
        <v>357</v>
      </c>
      <c r="H2765" s="29">
        <v>91</v>
      </c>
      <c r="I2765" s="29">
        <v>94</v>
      </c>
      <c r="J2765" s="29">
        <v>80</v>
      </c>
      <c r="K2765" s="29">
        <v>83</v>
      </c>
      <c r="L2765" s="29">
        <v>69</v>
      </c>
      <c r="M2765" s="29">
        <v>72</v>
      </c>
      <c r="N2765" s="29">
        <v>72</v>
      </c>
      <c r="O2765" s="32">
        <v>561</v>
      </c>
      <c r="P2765" s="29" cm="1">
        <f t="array" ref="P2765">IF(表成绩单[[#This Row],[语文]]="","",SUMPRODUCT((表成绩单[考试日期]=表成绩单[[#This Row],[考试日期]])*(表成绩单[语文]&lt;9E+307)*(表成绩单[语文]&gt;表成绩单[[#This Row],[语文]]))+1)</f>
        <v>519</v>
      </c>
      <c r="Q2765" s="29" cm="1">
        <f t="array" ref="Q2765">IF(表成绩单[[#This Row],[数学]]="","",SUMPRODUCT((表成绩单[考试日期]=表成绩单[[#This Row],[考试日期]])*(表成绩单[数学]&lt;9E+307)*(表成绩单[数学]&gt;表成绩单[[#This Row],[数学]]))+1)</f>
        <v>258</v>
      </c>
      <c r="R2765" s="29" cm="1">
        <f t="array" ref="R2765">IF(表成绩单[[#This Row],[英语]]="","",SUMPRODUCT((表成绩单[考试日期]=表成绩单[[#This Row],[考试日期]])*(表成绩单[英语]&lt;9E+307)*(表成绩单[英语]&gt;表成绩单[[#This Row],[英语]]))+1)</f>
        <v>266</v>
      </c>
      <c r="S2765" s="29" cm="1">
        <f t="array" ref="S2765">IF(表成绩单[[#This Row],[物理]]="","",SUMPRODUCT((表成绩单[考试日期]=表成绩单[[#This Row],[考试日期]])*(表成绩单[物理]&lt;9E+307)*(表成绩单[物理]&gt;表成绩单[[#This Row],[物理]]))+1)</f>
        <v>184</v>
      </c>
      <c r="T2765" s="29" cm="1">
        <f t="array" ref="T2765">IF(表成绩单[[#This Row],[化学]]="","",SUMPRODUCT((表成绩单[考试日期]=表成绩单[[#This Row],[考试日期]])*(表成绩单[化学]&lt;9E+307)*(表成绩单[化学]&gt;表成绩单[[#This Row],[化学]]))+1)</f>
        <v>269</v>
      </c>
      <c r="U2765" s="29" cm="1">
        <f t="array" ref="U2765">IF(表成绩单[[#This Row],[政治]]="","",SUMPRODUCT((表成绩单[考试日期]=表成绩单[[#This Row],[考试日期]])*(表成绩单[政治]&lt;9E+307)*(表成绩单[政治]&gt;表成绩单[[#This Row],[政治]]))+1)</f>
        <v>470</v>
      </c>
      <c r="V2765" s="29" cm="1">
        <f t="array" ref="V2765">IF(表成绩单[[#This Row],[历史]]="","",SUMPRODUCT((表成绩单[考试日期]=表成绩单[[#This Row],[考试日期]])*(表成绩单[历史]&lt;9E+307)*(表成绩单[历史]&gt;表成绩单[[#This Row],[历史]]))+1)</f>
        <v>470</v>
      </c>
      <c r="W2765" s="29" cm="1">
        <f t="array" ref="W2765">IF(表成绩单[[#This Row],[总分]]="","",SUMPRODUCT((表成绩单[考试日期]=表成绩单[[#This Row],[考试日期]])*(表成绩单[总分]&lt;9E+307)*(表成绩单[总分]&gt;表成绩单[[#This Row],[总分]]))+1)</f>
        <v>356</v>
      </c>
    </row>
    <row r="2766" ht="28" customHeight="1" spans="4:23">
      <c r="D2766" s="31">
        <v>46108</v>
      </c>
      <c r="E2766" s="29">
        <v>19177226</v>
      </c>
      <c r="F2766" s="29" t="s">
        <v>70</v>
      </c>
      <c r="G2766" s="29" t="s">
        <v>228</v>
      </c>
      <c r="H2766" s="29">
        <v>108</v>
      </c>
      <c r="I2766" s="29">
        <v>87</v>
      </c>
      <c r="J2766" s="29">
        <v>79</v>
      </c>
      <c r="K2766" s="29">
        <v>74</v>
      </c>
      <c r="L2766" s="29">
        <v>60</v>
      </c>
      <c r="M2766" s="29">
        <v>75</v>
      </c>
      <c r="N2766" s="29">
        <v>78</v>
      </c>
      <c r="O2766" s="32">
        <v>561</v>
      </c>
      <c r="P2766" s="29" cm="1">
        <f t="array" ref="P2766">IF(表成绩单[[#This Row],[语文]]="","",SUMPRODUCT((表成绩单[考试日期]=表成绩单[[#This Row],[考试日期]])*(表成绩单[语文]&lt;9E+307)*(表成绩单[语文]&gt;表成绩单[[#This Row],[语文]]))+1)</f>
        <v>55</v>
      </c>
      <c r="Q2766" s="29" cm="1">
        <f t="array" ref="Q2766">IF(表成绩单[[#This Row],[数学]]="","",SUMPRODUCT((表成绩单[考试日期]=表成绩单[[#This Row],[考试日期]])*(表成绩单[数学]&lt;9E+307)*(表成绩单[数学]&gt;表成绩单[[#This Row],[数学]]))+1)</f>
        <v>452</v>
      </c>
      <c r="R2766" s="29" cm="1">
        <f t="array" ref="R2766">IF(表成绩单[[#This Row],[英语]]="","",SUMPRODUCT((表成绩单[考试日期]=表成绩单[[#This Row],[考试日期]])*(表成绩单[英语]&lt;9E+307)*(表成绩单[英语]&gt;表成绩单[[#This Row],[英语]]))+1)</f>
        <v>305</v>
      </c>
      <c r="S2766" s="29" cm="1">
        <f t="array" ref="S2766">IF(表成绩单[[#This Row],[物理]]="","",SUMPRODUCT((表成绩单[考试日期]=表成绩单[[#This Row],[考试日期]])*(表成绩单[物理]&lt;9E+307)*(表成绩单[物理]&gt;表成绩单[[#This Row],[物理]]))+1)</f>
        <v>472</v>
      </c>
      <c r="T2766" s="29" cm="1">
        <f t="array" ref="T2766">IF(表成绩单[[#This Row],[化学]]="","",SUMPRODUCT((表成绩单[考试日期]=表成绩单[[#This Row],[考试日期]])*(表成绩单[化学]&lt;9E+307)*(表成绩单[化学]&gt;表成绩单[[#This Row],[化学]]))+1)</f>
        <v>490</v>
      </c>
      <c r="U2766" s="29" cm="1">
        <f t="array" ref="U2766">IF(表成绩单[[#This Row],[政治]]="","",SUMPRODUCT((表成绩单[考试日期]=表成绩单[[#This Row],[考试日期]])*(表成绩单[政治]&lt;9E+307)*(表成绩单[政治]&gt;表成绩单[[#This Row],[政治]]))+1)</f>
        <v>346</v>
      </c>
      <c r="V2766" s="29" cm="1">
        <f t="array" ref="V2766">IF(表成绩单[[#This Row],[历史]]="","",SUMPRODUCT((表成绩单[考试日期]=表成绩单[[#This Row],[考试日期]])*(表成绩单[历史]&lt;9E+307)*(表成绩单[历史]&gt;表成绩单[[#This Row],[历史]]))+1)</f>
        <v>222</v>
      </c>
      <c r="W2766" s="29" cm="1">
        <f t="array" ref="W2766">IF(表成绩单[[#This Row],[总分]]="","",SUMPRODUCT((表成绩单[考试日期]=表成绩单[[#This Row],[考试日期]])*(表成绩单[总分]&lt;9E+307)*(表成绩单[总分]&gt;表成绩单[[#This Row],[总分]]))+1)</f>
        <v>356</v>
      </c>
    </row>
    <row r="2767" ht="28" customHeight="1" spans="4:23">
      <c r="D2767" s="31">
        <v>46108</v>
      </c>
      <c r="E2767" s="29">
        <v>19171090</v>
      </c>
      <c r="F2767" s="29" t="s">
        <v>67</v>
      </c>
      <c r="G2767" s="29" t="s">
        <v>347</v>
      </c>
      <c r="H2767" s="29">
        <v>100</v>
      </c>
      <c r="I2767" s="29">
        <v>98</v>
      </c>
      <c r="J2767" s="29">
        <v>75.5</v>
      </c>
      <c r="K2767" s="29">
        <v>84</v>
      </c>
      <c r="L2767" s="29">
        <v>61</v>
      </c>
      <c r="M2767" s="29">
        <v>74</v>
      </c>
      <c r="N2767" s="29">
        <v>68</v>
      </c>
      <c r="O2767" s="32">
        <v>560.5</v>
      </c>
      <c r="P2767" s="29" cm="1">
        <f t="array" ref="P2767">IF(表成绩单[[#This Row],[语文]]="","",SUMPRODUCT((表成绩单[考试日期]=表成绩单[[#This Row],[考试日期]])*(表成绩单[语文]&lt;9E+307)*(表成绩单[语文]&gt;表成绩单[[#This Row],[语文]]))+1)</f>
        <v>247</v>
      </c>
      <c r="Q2767" s="29" cm="1">
        <f t="array" ref="Q2767">IF(表成绩单[[#This Row],[数学]]="","",SUMPRODUCT((表成绩单[考试日期]=表成绩单[[#This Row],[考试日期]])*(表成绩单[数学]&lt;9E+307)*(表成绩单[数学]&gt;表成绩单[[#This Row],[数学]]))+1)</f>
        <v>158</v>
      </c>
      <c r="R2767" s="29" cm="1">
        <f t="array" ref="R2767">IF(表成绩单[[#This Row],[英语]]="","",SUMPRODUCT((表成绩单[考试日期]=表成绩单[[#This Row],[考试日期]])*(表成绩单[英语]&lt;9E+307)*(表成绩单[英语]&gt;表成绩单[[#This Row],[英语]]))+1)</f>
        <v>421</v>
      </c>
      <c r="S2767" s="29" cm="1">
        <f t="array" ref="S2767">IF(表成绩单[[#This Row],[物理]]="","",SUMPRODUCT((表成绩单[考试日期]=表成绩单[[#This Row],[考试日期]])*(表成绩单[物理]&lt;9E+307)*(表成绩单[物理]&gt;表成绩单[[#This Row],[物理]]))+1)</f>
        <v>146</v>
      </c>
      <c r="T2767" s="29" cm="1">
        <f t="array" ref="T2767">IF(表成绩单[[#This Row],[化学]]="","",SUMPRODUCT((表成绩单[考试日期]=表成绩单[[#This Row],[考试日期]])*(表成绩单[化学]&lt;9E+307)*(表成绩单[化学]&gt;表成绩单[[#This Row],[化学]]))+1)</f>
        <v>467</v>
      </c>
      <c r="U2767" s="29" cm="1">
        <f t="array" ref="U2767">IF(表成绩单[[#This Row],[政治]]="","",SUMPRODUCT((表成绩单[考试日期]=表成绩单[[#This Row],[考试日期]])*(表成绩单[政治]&lt;9E+307)*(表成绩单[政治]&gt;表成绩单[[#This Row],[政治]]))+1)</f>
        <v>389</v>
      </c>
      <c r="V2767" s="29" cm="1">
        <f t="array" ref="V2767">IF(表成绩单[[#This Row],[历史]]="","",SUMPRODUCT((表成绩单[考试日期]=表成绩单[[#This Row],[考试日期]])*(表成绩单[历史]&lt;9E+307)*(表成绩单[历史]&gt;表成绩单[[#This Row],[历史]]))+1)</f>
        <v>599</v>
      </c>
      <c r="W2767" s="29" cm="1">
        <f t="array" ref="W2767">IF(表成绩单[[#This Row],[总分]]="","",SUMPRODUCT((表成绩单[考试日期]=表成绩单[[#This Row],[考试日期]])*(表成绩单[总分]&lt;9E+307)*(表成绩单[总分]&gt;表成绩单[[#This Row],[总分]]))+1)</f>
        <v>360</v>
      </c>
    </row>
    <row r="2768" ht="28" customHeight="1" spans="4:23">
      <c r="D2768" s="31">
        <v>46108</v>
      </c>
      <c r="E2768" s="29">
        <v>19173793</v>
      </c>
      <c r="F2768" s="29" t="s">
        <v>65</v>
      </c>
      <c r="G2768" s="29" t="s">
        <v>295</v>
      </c>
      <c r="H2768" s="29">
        <v>96</v>
      </c>
      <c r="I2768" s="29">
        <v>91</v>
      </c>
      <c r="J2768" s="29">
        <v>83.5</v>
      </c>
      <c r="K2768" s="29">
        <v>78</v>
      </c>
      <c r="L2768" s="29">
        <v>69</v>
      </c>
      <c r="M2768" s="29">
        <v>71</v>
      </c>
      <c r="N2768" s="29">
        <v>72</v>
      </c>
      <c r="O2768" s="32">
        <v>560.5</v>
      </c>
      <c r="P2768" s="29" cm="1">
        <f t="array" ref="P2768">IF(表成绩单[[#This Row],[语文]]="","",SUMPRODUCT((表成绩单[考试日期]=表成绩单[[#This Row],[考试日期]])*(表成绩单[语文]&lt;9E+307)*(表成绩单[语文]&gt;表成绩单[[#This Row],[语文]]))+1)</f>
        <v>390</v>
      </c>
      <c r="Q2768" s="29" cm="1">
        <f t="array" ref="Q2768">IF(表成绩单[[#This Row],[数学]]="","",SUMPRODUCT((表成绩单[考试日期]=表成绩单[[#This Row],[考试日期]])*(表成绩单[数学]&lt;9E+307)*(表成绩单[数学]&gt;表成绩单[[#This Row],[数学]]))+1)</f>
        <v>341</v>
      </c>
      <c r="R2768" s="29" cm="1">
        <f t="array" ref="R2768">IF(表成绩单[[#This Row],[英语]]="","",SUMPRODUCT((表成绩单[考试日期]=表成绩单[[#This Row],[考试日期]])*(表成绩单[英语]&lt;9E+307)*(表成绩单[英语]&gt;表成绩单[[#This Row],[英语]]))+1)</f>
        <v>122</v>
      </c>
      <c r="S2768" s="29" cm="1">
        <f t="array" ref="S2768">IF(表成绩单[[#This Row],[物理]]="","",SUMPRODUCT((表成绩单[考试日期]=表成绩单[[#This Row],[考试日期]])*(表成绩单[物理]&lt;9E+307)*(表成绩单[物理]&gt;表成绩单[[#This Row],[物理]]))+1)</f>
        <v>365</v>
      </c>
      <c r="T2768" s="29" cm="1">
        <f t="array" ref="T2768">IF(表成绩单[[#This Row],[化学]]="","",SUMPRODUCT((表成绩单[考试日期]=表成绩单[[#This Row],[考试日期]])*(表成绩单[化学]&lt;9E+307)*(表成绩单[化学]&gt;表成绩单[[#This Row],[化学]]))+1)</f>
        <v>269</v>
      </c>
      <c r="U2768" s="29" cm="1">
        <f t="array" ref="U2768">IF(表成绩单[[#This Row],[政治]]="","",SUMPRODUCT((表成绩单[考试日期]=表成绩单[[#This Row],[考试日期]])*(表成绩单[政治]&lt;9E+307)*(表成绩单[政治]&gt;表成绩单[[#This Row],[政治]]))+1)</f>
        <v>513</v>
      </c>
      <c r="V2768" s="29" cm="1">
        <f t="array" ref="V2768">IF(表成绩单[[#This Row],[历史]]="","",SUMPRODUCT((表成绩单[考试日期]=表成绩单[[#This Row],[考试日期]])*(表成绩单[历史]&lt;9E+307)*(表成绩单[历史]&gt;表成绩单[[#This Row],[历史]]))+1)</f>
        <v>470</v>
      </c>
      <c r="W2768" s="29" cm="1">
        <f t="array" ref="W2768">IF(表成绩单[[#This Row],[总分]]="","",SUMPRODUCT((表成绩单[考试日期]=表成绩单[[#This Row],[考试日期]])*(表成绩单[总分]&lt;9E+307)*(表成绩单[总分]&gt;表成绩单[[#This Row],[总分]]))+1)</f>
        <v>360</v>
      </c>
    </row>
    <row r="2769" ht="28" customHeight="1" spans="4:23">
      <c r="D2769" s="31">
        <v>46108</v>
      </c>
      <c r="E2769" s="29">
        <v>19175642</v>
      </c>
      <c r="F2769" s="29" t="s">
        <v>66</v>
      </c>
      <c r="G2769" s="29" t="s">
        <v>438</v>
      </c>
      <c r="H2769" s="29">
        <v>100</v>
      </c>
      <c r="I2769" s="29">
        <v>94</v>
      </c>
      <c r="J2769" s="29">
        <v>77.5</v>
      </c>
      <c r="K2769" s="29">
        <v>78</v>
      </c>
      <c r="L2769" s="29">
        <v>65</v>
      </c>
      <c r="M2769" s="29">
        <v>76</v>
      </c>
      <c r="N2769" s="29">
        <v>70</v>
      </c>
      <c r="O2769" s="32">
        <v>560.5</v>
      </c>
      <c r="P2769" s="29" cm="1">
        <f t="array" ref="P2769">IF(表成绩单[[#This Row],[语文]]="","",SUMPRODUCT((表成绩单[考试日期]=表成绩单[[#This Row],[考试日期]])*(表成绩单[语文]&lt;9E+307)*(表成绩单[语文]&gt;表成绩单[[#This Row],[语文]]))+1)</f>
        <v>247</v>
      </c>
      <c r="Q2769" s="29" cm="1">
        <f t="array" ref="Q2769">IF(表成绩单[[#This Row],[数学]]="","",SUMPRODUCT((表成绩单[考试日期]=表成绩单[[#This Row],[考试日期]])*(表成绩单[数学]&lt;9E+307)*(表成绩单[数学]&gt;表成绩单[[#This Row],[数学]]))+1)</f>
        <v>258</v>
      </c>
      <c r="R2769" s="29" cm="1">
        <f t="array" ref="R2769">IF(表成绩单[[#This Row],[英语]]="","",SUMPRODUCT((表成绩单[考试日期]=表成绩单[[#This Row],[考试日期]])*(表成绩单[英语]&lt;9E+307)*(表成绩单[英语]&gt;表成绩单[[#This Row],[英语]]))+1)</f>
        <v>353</v>
      </c>
      <c r="S2769" s="29" cm="1">
        <f t="array" ref="S2769">IF(表成绩单[[#This Row],[物理]]="","",SUMPRODUCT((表成绩单[考试日期]=表成绩单[[#This Row],[考试日期]])*(表成绩单[物理]&lt;9E+307)*(表成绩单[物理]&gt;表成绩单[[#This Row],[物理]]))+1)</f>
        <v>365</v>
      </c>
      <c r="T2769" s="29" cm="1">
        <f t="array" ref="T2769">IF(表成绩单[[#This Row],[化学]]="","",SUMPRODUCT((表成绩单[考试日期]=表成绩单[[#This Row],[考试日期]])*(表成绩单[化学]&lt;9E+307)*(表成绩单[化学]&gt;表成绩单[[#This Row],[化学]]))+1)</f>
        <v>379</v>
      </c>
      <c r="U2769" s="29" cm="1">
        <f t="array" ref="U2769">IF(表成绩单[[#This Row],[政治]]="","",SUMPRODUCT((表成绩单[考试日期]=表成绩单[[#This Row],[考试日期]])*(表成绩单[政治]&lt;9E+307)*(表成绩单[政治]&gt;表成绩单[[#This Row],[政治]]))+1)</f>
        <v>291</v>
      </c>
      <c r="V2769" s="29" cm="1">
        <f t="array" ref="V2769">IF(表成绩单[[#This Row],[历史]]="","",SUMPRODUCT((表成绩单[考试日期]=表成绩单[[#This Row],[考试日期]])*(表成绩单[历史]&lt;9E+307)*(表成绩单[历史]&gt;表成绩单[[#This Row],[历史]]))+1)</f>
        <v>539</v>
      </c>
      <c r="W2769" s="29" cm="1">
        <f t="array" ref="W2769">IF(表成绩单[[#This Row],[总分]]="","",SUMPRODUCT((表成绩单[考试日期]=表成绩单[[#This Row],[考试日期]])*(表成绩单[总分]&lt;9E+307)*(表成绩单[总分]&gt;表成绩单[[#This Row],[总分]]))+1)</f>
        <v>360</v>
      </c>
    </row>
    <row r="2770" ht="28" customHeight="1" spans="4:23">
      <c r="D2770" s="31">
        <v>46108</v>
      </c>
      <c r="E2770" s="29">
        <v>19175657</v>
      </c>
      <c r="F2770" s="29" t="s">
        <v>66</v>
      </c>
      <c r="G2770" s="29" t="s">
        <v>611</v>
      </c>
      <c r="H2770" s="29">
        <v>98</v>
      </c>
      <c r="I2770" s="29">
        <v>88</v>
      </c>
      <c r="J2770" s="29">
        <v>57.5</v>
      </c>
      <c r="K2770" s="29">
        <v>82</v>
      </c>
      <c r="L2770" s="29">
        <v>66</v>
      </c>
      <c r="M2770" s="29">
        <v>81</v>
      </c>
      <c r="N2770" s="29">
        <v>88</v>
      </c>
      <c r="O2770" s="32">
        <v>560.5</v>
      </c>
      <c r="P2770" s="29" cm="1">
        <f t="array" ref="P2770">IF(表成绩单[[#This Row],[语文]]="","",SUMPRODUCT((表成绩单[考试日期]=表成绩单[[#This Row],[考试日期]])*(表成绩单[语文]&lt;9E+307)*(表成绩单[语文]&gt;表成绩单[[#This Row],[语文]]))+1)</f>
        <v>322</v>
      </c>
      <c r="Q2770" s="29" cm="1">
        <f t="array" ref="Q2770">IF(表成绩单[[#This Row],[数学]]="","",SUMPRODUCT((表成绩单[考试日期]=表成绩单[[#This Row],[考试日期]])*(表成绩单[数学]&lt;9E+307)*(表成绩单[数学]&gt;表成绩单[[#This Row],[数学]]))+1)</f>
        <v>424</v>
      </c>
      <c r="R2770" s="29" cm="1">
        <f t="array" ref="R2770">IF(表成绩单[[#This Row],[英语]]="","",SUMPRODUCT((表成绩单[考试日期]=表成绩单[[#This Row],[考试日期]])*(表成绩单[英语]&lt;9E+307)*(表成绩单[英语]&gt;表成绩单[[#This Row],[英语]]))+1)</f>
        <v>673</v>
      </c>
      <c r="S2770" s="29" cm="1">
        <f t="array" ref="S2770">IF(表成绩单[[#This Row],[物理]]="","",SUMPRODUCT((表成绩单[考试日期]=表成绩单[[#This Row],[考试日期]])*(表成绩单[物理]&lt;9E+307)*(表成绩单[物理]&gt;表成绩单[[#This Row],[物理]]))+1)</f>
        <v>223</v>
      </c>
      <c r="T2770" s="29" cm="1">
        <f t="array" ref="T2770">IF(表成绩单[[#This Row],[化学]]="","",SUMPRODUCT((表成绩单[考试日期]=表成绩单[[#This Row],[考试日期]])*(表成绩单[化学]&lt;9E+307)*(表成绩单[化学]&gt;表成绩单[[#This Row],[化学]]))+1)</f>
        <v>359</v>
      </c>
      <c r="U2770" s="29" cm="1">
        <f t="array" ref="U2770">IF(表成绩单[[#This Row],[政治]]="","",SUMPRODUCT((表成绩单[考试日期]=表成绩单[[#This Row],[考试日期]])*(表成绩单[政治]&lt;9E+307)*(表成绩单[政治]&gt;表成绩单[[#This Row],[政治]]))+1)</f>
        <v>68</v>
      </c>
      <c r="V2770" s="29" cm="1">
        <f t="array" ref="V2770">IF(表成绩单[[#This Row],[历史]]="","",SUMPRODUCT((表成绩单[考试日期]=表成绩单[[#This Row],[考试日期]])*(表成绩单[历史]&lt;9E+307)*(表成绩单[历史]&gt;表成绩单[[#This Row],[历史]]))+1)</f>
        <v>1</v>
      </c>
      <c r="W2770" s="29" cm="1">
        <f t="array" ref="W2770">IF(表成绩单[[#This Row],[总分]]="","",SUMPRODUCT((表成绩单[考试日期]=表成绩单[[#This Row],[考试日期]])*(表成绩单[总分]&lt;9E+307)*(表成绩单[总分]&gt;表成绩单[[#This Row],[总分]]))+1)</f>
        <v>360</v>
      </c>
    </row>
    <row r="2771" ht="28" customHeight="1" spans="4:23">
      <c r="D2771" s="31">
        <v>46108</v>
      </c>
      <c r="E2771" s="29">
        <v>19176160</v>
      </c>
      <c r="F2771" s="29" t="s">
        <v>67</v>
      </c>
      <c r="G2771" s="29" t="s">
        <v>451</v>
      </c>
      <c r="H2771" s="29">
        <v>95</v>
      </c>
      <c r="I2771" s="29">
        <v>90</v>
      </c>
      <c r="J2771" s="29">
        <v>77.5</v>
      </c>
      <c r="K2771" s="29">
        <v>72</v>
      </c>
      <c r="L2771" s="29">
        <v>69</v>
      </c>
      <c r="M2771" s="29">
        <v>77</v>
      </c>
      <c r="N2771" s="29">
        <v>80</v>
      </c>
      <c r="O2771" s="32">
        <v>560.5</v>
      </c>
      <c r="P2771" s="29" cm="1">
        <f t="array" ref="P2771">IF(表成绩单[[#This Row],[语文]]="","",SUMPRODUCT((表成绩单[考试日期]=表成绩单[[#This Row],[考试日期]])*(表成绩单[语文]&lt;9E+307)*(表成绩单[语文]&gt;表成绩单[[#This Row],[语文]]))+1)</f>
        <v>422</v>
      </c>
      <c r="Q2771" s="29" cm="1">
        <f t="array" ref="Q2771">IF(表成绩单[[#This Row],[数学]]="","",SUMPRODUCT((表成绩单[考试日期]=表成绩单[[#This Row],[考试日期]])*(表成绩单[数学]&lt;9E+307)*(表成绩单[数学]&gt;表成绩单[[#This Row],[数学]]))+1)</f>
        <v>368</v>
      </c>
      <c r="R2771" s="29" cm="1">
        <f t="array" ref="R2771">IF(表成绩单[[#This Row],[英语]]="","",SUMPRODUCT((表成绩单[考试日期]=表成绩单[[#This Row],[考试日期]])*(表成绩单[英语]&lt;9E+307)*(表成绩单[英语]&gt;表成绩单[[#This Row],[英语]]))+1)</f>
        <v>353</v>
      </c>
      <c r="S2771" s="29" cm="1">
        <f t="array" ref="S2771">IF(表成绩单[[#This Row],[物理]]="","",SUMPRODUCT((表成绩单[考试日期]=表成绩单[[#This Row],[考试日期]])*(表成绩单[物理]&lt;9E+307)*(表成绩单[物理]&gt;表成绩单[[#This Row],[物理]]))+1)</f>
        <v>521</v>
      </c>
      <c r="T2771" s="29" cm="1">
        <f t="array" ref="T2771">IF(表成绩单[[#This Row],[化学]]="","",SUMPRODUCT((表成绩单[考试日期]=表成绩单[[#This Row],[考试日期]])*(表成绩单[化学]&lt;9E+307)*(表成绩单[化学]&gt;表成绩单[[#This Row],[化学]]))+1)</f>
        <v>269</v>
      </c>
      <c r="U2771" s="29" cm="1">
        <f t="array" ref="U2771">IF(表成绩单[[#This Row],[政治]]="","",SUMPRODUCT((表成绩单[考试日期]=表成绩单[[#This Row],[考试日期]])*(表成绩单[政治]&lt;9E+307)*(表成绩单[政治]&gt;表成绩单[[#This Row],[政治]]))+1)</f>
        <v>230</v>
      </c>
      <c r="V2771" s="29" cm="1">
        <f t="array" ref="V2771">IF(表成绩单[[#This Row],[历史]]="","",SUMPRODUCT((表成绩单[考试日期]=表成绩单[[#This Row],[考试日期]])*(表成绩单[历史]&lt;9E+307)*(表成绩单[历史]&gt;表成绩单[[#This Row],[历史]]))+1)</f>
        <v>143</v>
      </c>
      <c r="W2771" s="29" cm="1">
        <f t="array" ref="W2771">IF(表成绩单[[#This Row],[总分]]="","",SUMPRODUCT((表成绩单[考试日期]=表成绩单[[#This Row],[考试日期]])*(表成绩单[总分]&lt;9E+307)*(表成绩单[总分]&gt;表成绩单[[#This Row],[总分]]))+1)</f>
        <v>360</v>
      </c>
    </row>
    <row r="2772" ht="28" customHeight="1" spans="4:23">
      <c r="D2772" s="31">
        <v>46108</v>
      </c>
      <c r="E2772" s="29">
        <v>19176882</v>
      </c>
      <c r="F2772" s="29" t="s">
        <v>71</v>
      </c>
      <c r="G2772" s="29" t="s">
        <v>378</v>
      </c>
      <c r="H2772" s="29">
        <v>94</v>
      </c>
      <c r="I2772" s="29">
        <v>87</v>
      </c>
      <c r="J2772" s="29">
        <v>80.5</v>
      </c>
      <c r="K2772" s="29">
        <v>85</v>
      </c>
      <c r="L2772" s="29">
        <v>60</v>
      </c>
      <c r="M2772" s="29">
        <v>85</v>
      </c>
      <c r="N2772" s="29">
        <v>69</v>
      </c>
      <c r="O2772" s="32">
        <v>560.5</v>
      </c>
      <c r="P2772" s="29" cm="1">
        <f t="array" ref="P2772">IF(表成绩单[[#This Row],[语文]]="","",SUMPRODUCT((表成绩单[考试日期]=表成绩单[[#This Row],[考试日期]])*(表成绩单[语文]&lt;9E+307)*(表成绩单[语文]&gt;表成绩单[[#This Row],[语文]]))+1)</f>
        <v>449</v>
      </c>
      <c r="Q2772" s="29" cm="1">
        <f t="array" ref="Q2772">IF(表成绩单[[#This Row],[数学]]="","",SUMPRODUCT((表成绩单[考试日期]=表成绩单[[#This Row],[考试日期]])*(表成绩单[数学]&lt;9E+307)*(表成绩单[数学]&gt;表成绩单[[#This Row],[数学]]))+1)</f>
        <v>452</v>
      </c>
      <c r="R2772" s="29" cm="1">
        <f t="array" ref="R2772">IF(表成绩单[[#This Row],[英语]]="","",SUMPRODUCT((表成绩单[考试日期]=表成绩单[[#This Row],[考试日期]])*(表成绩单[英语]&lt;9E+307)*(表成绩单[英语]&gt;表成绩单[[#This Row],[英语]]))+1)</f>
        <v>244</v>
      </c>
      <c r="S2772" s="29" cm="1">
        <f t="array" ref="S2772">IF(表成绩单[[#This Row],[物理]]="","",SUMPRODUCT((表成绩单[考试日期]=表成绩单[[#This Row],[考试日期]])*(表成绩单[物理]&lt;9E+307)*(表成绩单[物理]&gt;表成绩单[[#This Row],[物理]]))+1)</f>
        <v>105</v>
      </c>
      <c r="T2772" s="29" cm="1">
        <f t="array" ref="T2772">IF(表成绩单[[#This Row],[化学]]="","",SUMPRODUCT((表成绩单[考试日期]=表成绩单[[#This Row],[考试日期]])*(表成绩单[化学]&lt;9E+307)*(表成绩单[化学]&gt;表成绩单[[#This Row],[化学]]))+1)</f>
        <v>490</v>
      </c>
      <c r="U2772" s="29" cm="1">
        <f t="array" ref="U2772">IF(表成绩单[[#This Row],[政治]]="","",SUMPRODUCT((表成绩单[考试日期]=表成绩单[[#This Row],[考试日期]])*(表成绩单[政治]&lt;9E+307)*(表成绩单[政治]&gt;表成绩单[[#This Row],[政治]]))+1)</f>
        <v>5</v>
      </c>
      <c r="V2772" s="29" cm="1">
        <f t="array" ref="V2772">IF(表成绩单[[#This Row],[历史]]="","",SUMPRODUCT((表成绩单[考试日期]=表成绩单[[#This Row],[考试日期]])*(表成绩单[历史]&lt;9E+307)*(表成绩单[历史]&gt;表成绩单[[#This Row],[历史]]))+1)</f>
        <v>569</v>
      </c>
      <c r="W2772" s="29" cm="1">
        <f t="array" ref="W2772">IF(表成绩单[[#This Row],[总分]]="","",SUMPRODUCT((表成绩单[考试日期]=表成绩单[[#This Row],[考试日期]])*(表成绩单[总分]&lt;9E+307)*(表成绩单[总分]&gt;表成绩单[[#This Row],[总分]]))+1)</f>
        <v>360</v>
      </c>
    </row>
    <row r="2773" ht="28" customHeight="1" spans="4:23">
      <c r="D2773" s="31">
        <v>46108</v>
      </c>
      <c r="E2773" s="29">
        <v>19173777</v>
      </c>
      <c r="F2773" s="29" t="s">
        <v>65</v>
      </c>
      <c r="G2773" s="29" t="s">
        <v>287</v>
      </c>
      <c r="H2773" s="29">
        <v>91</v>
      </c>
      <c r="I2773" s="29">
        <v>85</v>
      </c>
      <c r="J2773" s="29">
        <v>79</v>
      </c>
      <c r="K2773" s="29">
        <v>77</v>
      </c>
      <c r="L2773" s="29">
        <v>71</v>
      </c>
      <c r="M2773" s="29">
        <v>84</v>
      </c>
      <c r="N2773" s="29">
        <v>73</v>
      </c>
      <c r="O2773" s="32">
        <v>560</v>
      </c>
      <c r="P2773" s="29" cm="1">
        <f t="array" ref="P2773">IF(表成绩单[[#This Row],[语文]]="","",SUMPRODUCT((表成绩单[考试日期]=表成绩单[[#This Row],[考试日期]])*(表成绩单[语文]&lt;9E+307)*(表成绩单[语文]&gt;表成绩单[[#This Row],[语文]]))+1)</f>
        <v>519</v>
      </c>
      <c r="Q2773" s="29" cm="1">
        <f t="array" ref="Q2773">IF(表成绩单[[#This Row],[数学]]="","",SUMPRODUCT((表成绩单[考试日期]=表成绩单[[#This Row],[考试日期]])*(表成绩单[数学]&lt;9E+307)*(表成绩单[数学]&gt;表成绩单[[#This Row],[数学]]))+1)</f>
        <v>501</v>
      </c>
      <c r="R2773" s="29" cm="1">
        <f t="array" ref="R2773">IF(表成绩单[[#This Row],[英语]]="","",SUMPRODUCT((表成绩单[考试日期]=表成绩单[[#This Row],[考试日期]])*(表成绩单[英语]&lt;9E+307)*(表成绩单[英语]&gt;表成绩单[[#This Row],[英语]]))+1)</f>
        <v>305</v>
      </c>
      <c r="S2773" s="29" cm="1">
        <f t="array" ref="S2773">IF(表成绩单[[#This Row],[物理]]="","",SUMPRODUCT((表成绩单[考试日期]=表成绩单[[#This Row],[考试日期]])*(表成绩单[物理]&lt;9E+307)*(表成绩单[物理]&gt;表成绩单[[#This Row],[物理]]))+1)</f>
        <v>400</v>
      </c>
      <c r="T2773" s="29" cm="1">
        <f t="array" ref="T2773">IF(表成绩单[[#This Row],[化学]]="","",SUMPRODUCT((表成绩单[考试日期]=表成绩单[[#This Row],[考试日期]])*(表成绩单[化学]&lt;9E+307)*(表成绩单[化学]&gt;表成绩单[[#This Row],[化学]]))+1)</f>
        <v>217</v>
      </c>
      <c r="U2773" s="29" cm="1">
        <f t="array" ref="U2773">IF(表成绩单[[#This Row],[政治]]="","",SUMPRODUCT((表成绩单[考试日期]=表成绩单[[#This Row],[考试日期]])*(表成绩单[政治]&lt;9E+307)*(表成绩单[政治]&gt;表成绩单[[#This Row],[政治]]))+1)</f>
        <v>14</v>
      </c>
      <c r="V2773" s="29" cm="1">
        <f t="array" ref="V2773">IF(表成绩单[[#This Row],[历史]]="","",SUMPRODUCT((表成绩单[考试日期]=表成绩单[[#This Row],[考试日期]])*(表成绩单[历史]&lt;9E+307)*(表成绩单[历史]&gt;表成绩单[[#This Row],[历史]]))+1)</f>
        <v>432</v>
      </c>
      <c r="W2773" s="29" cm="1">
        <f t="array" ref="W2773">IF(表成绩单[[#This Row],[总分]]="","",SUMPRODUCT((表成绩单[考试日期]=表成绩单[[#This Row],[考试日期]])*(表成绩单[总分]&lt;9E+307)*(表成绩单[总分]&gt;表成绩单[[#This Row],[总分]]))+1)</f>
        <v>366</v>
      </c>
    </row>
    <row r="2774" ht="28" customHeight="1" spans="4:23">
      <c r="D2774" s="31">
        <v>46108</v>
      </c>
      <c r="E2774" s="29">
        <v>19173265</v>
      </c>
      <c r="F2774" s="29" t="s">
        <v>61</v>
      </c>
      <c r="G2774" s="29" t="s">
        <v>401</v>
      </c>
      <c r="H2774" s="29">
        <v>90</v>
      </c>
      <c r="I2774" s="29">
        <v>91</v>
      </c>
      <c r="J2774" s="29">
        <v>78.5</v>
      </c>
      <c r="K2774" s="29">
        <v>81</v>
      </c>
      <c r="L2774" s="29">
        <v>73</v>
      </c>
      <c r="M2774" s="29">
        <v>69</v>
      </c>
      <c r="N2774" s="29">
        <v>77</v>
      </c>
      <c r="O2774" s="32">
        <v>559.5</v>
      </c>
      <c r="P2774" s="29" cm="1">
        <f t="array" ref="P2774">IF(表成绩单[[#This Row],[语文]]="","",SUMPRODUCT((表成绩单[考试日期]=表成绩单[[#This Row],[考试日期]])*(表成绩单[语文]&lt;9E+307)*(表成绩单[语文]&gt;表成绩单[[#This Row],[语文]]))+1)</f>
        <v>539</v>
      </c>
      <c r="Q2774" s="29" cm="1">
        <f t="array" ref="Q2774">IF(表成绩单[[#This Row],[数学]]="","",SUMPRODUCT((表成绩单[考试日期]=表成绩单[[#This Row],[考试日期]])*(表成绩单[数学]&lt;9E+307)*(表成绩单[数学]&gt;表成绩单[[#This Row],[数学]]))+1)</f>
        <v>341</v>
      </c>
      <c r="R2774" s="29" cm="1">
        <f t="array" ref="R2774">IF(表成绩单[[#This Row],[英语]]="","",SUMPRODUCT((表成绩单[考试日期]=表成绩单[[#This Row],[考试日期]])*(表成绩单[英语]&lt;9E+307)*(表成绩单[英语]&gt;表成绩单[[#This Row],[英语]]))+1)</f>
        <v>322</v>
      </c>
      <c r="S2774" s="29" cm="1">
        <f t="array" ref="S2774">IF(表成绩单[[#This Row],[物理]]="","",SUMPRODUCT((表成绩单[考试日期]=表成绩单[[#This Row],[考试日期]])*(表成绩单[物理]&lt;9E+307)*(表成绩单[物理]&gt;表成绩单[[#This Row],[物理]]))+1)</f>
        <v>269</v>
      </c>
      <c r="T2774" s="29" cm="1">
        <f t="array" ref="T2774">IF(表成绩单[[#This Row],[化学]]="","",SUMPRODUCT((表成绩单[考试日期]=表成绩单[[#This Row],[考试日期]])*(表成绩单[化学]&lt;9E+307)*(表成绩单[化学]&gt;表成绩单[[#This Row],[化学]]))+1)</f>
        <v>152</v>
      </c>
      <c r="U2774" s="29" cm="1">
        <f t="array" ref="U2774">IF(表成绩单[[#This Row],[政治]]="","",SUMPRODUCT((表成绩单[考试日期]=表成绩单[[#This Row],[考试日期]])*(表成绩单[政治]&lt;9E+307)*(表成绩单[政治]&gt;表成绩单[[#This Row],[政治]]))+1)</f>
        <v>567</v>
      </c>
      <c r="V2774" s="29" cm="1">
        <f t="array" ref="V2774">IF(表成绩单[[#This Row],[历史]]="","",SUMPRODUCT((表成绩单[考试日期]=表成绩单[[#This Row],[考试日期]])*(表成绩单[历史]&lt;9E+307)*(表成绩单[历史]&gt;表成绩单[[#This Row],[历史]]))+1)</f>
        <v>269</v>
      </c>
      <c r="W2774" s="29" cm="1">
        <f t="array" ref="W2774">IF(表成绩单[[#This Row],[总分]]="","",SUMPRODUCT((表成绩单[考试日期]=表成绩单[[#This Row],[考试日期]])*(表成绩单[总分]&lt;9E+307)*(表成绩单[总分]&gt;表成绩单[[#This Row],[总分]]))+1)</f>
        <v>367</v>
      </c>
    </row>
    <row r="2775" ht="28" customHeight="1" spans="4:23">
      <c r="D2775" s="31">
        <v>46108</v>
      </c>
      <c r="E2775" s="29">
        <v>19174447</v>
      </c>
      <c r="F2775" s="29" t="s">
        <v>73</v>
      </c>
      <c r="G2775" s="29" t="s">
        <v>449</v>
      </c>
      <c r="H2775" s="29">
        <v>96</v>
      </c>
      <c r="I2775" s="29">
        <v>90</v>
      </c>
      <c r="J2775" s="29">
        <v>81.5</v>
      </c>
      <c r="K2775" s="29">
        <v>78</v>
      </c>
      <c r="L2775" s="29">
        <v>59</v>
      </c>
      <c r="M2775" s="29">
        <v>75</v>
      </c>
      <c r="N2775" s="29">
        <v>80</v>
      </c>
      <c r="O2775" s="32">
        <v>559.5</v>
      </c>
      <c r="P2775" s="29" cm="1">
        <f t="array" ref="P2775">IF(表成绩单[[#This Row],[语文]]="","",SUMPRODUCT((表成绩单[考试日期]=表成绩单[[#This Row],[考试日期]])*(表成绩单[语文]&lt;9E+307)*(表成绩单[语文]&gt;表成绩单[[#This Row],[语文]]))+1)</f>
        <v>390</v>
      </c>
      <c r="Q2775" s="29" cm="1">
        <f t="array" ref="Q2775">IF(表成绩单[[#This Row],[数学]]="","",SUMPRODUCT((表成绩单[考试日期]=表成绩单[[#This Row],[考试日期]])*(表成绩单[数学]&lt;9E+307)*(表成绩单[数学]&gt;表成绩单[[#This Row],[数学]]))+1)</f>
        <v>368</v>
      </c>
      <c r="R2775" s="29" cm="1">
        <f t="array" ref="R2775">IF(表成绩单[[#This Row],[英语]]="","",SUMPRODUCT((表成绩单[考试日期]=表成绩单[[#This Row],[考试日期]])*(表成绩单[英语]&lt;9E+307)*(表成绩单[英语]&gt;表成绩单[[#This Row],[英语]]))+1)</f>
        <v>203</v>
      </c>
      <c r="S2775" s="29" cm="1">
        <f t="array" ref="S2775">IF(表成绩单[[#This Row],[物理]]="","",SUMPRODUCT((表成绩单[考试日期]=表成绩单[[#This Row],[考试日期]])*(表成绩单[物理]&lt;9E+307)*(表成绩单[物理]&gt;表成绩单[[#This Row],[物理]]))+1)</f>
        <v>365</v>
      </c>
      <c r="T2775" s="29" cm="1">
        <f t="array" ref="T2775">IF(表成绩单[[#This Row],[化学]]="","",SUMPRODUCT((表成绩单[考试日期]=表成绩单[[#This Row],[考试日期]])*(表成绩单[化学]&lt;9E+307)*(表成绩单[化学]&gt;表成绩单[[#This Row],[化学]]))+1)</f>
        <v>510</v>
      </c>
      <c r="U2775" s="29" cm="1">
        <f t="array" ref="U2775">IF(表成绩单[[#This Row],[政治]]="","",SUMPRODUCT((表成绩单[考试日期]=表成绩单[[#This Row],[考试日期]])*(表成绩单[政治]&lt;9E+307)*(表成绩单[政治]&gt;表成绩单[[#This Row],[政治]]))+1)</f>
        <v>346</v>
      </c>
      <c r="V2775" s="29" cm="1">
        <f t="array" ref="V2775">IF(表成绩单[[#This Row],[历史]]="","",SUMPRODUCT((表成绩单[考试日期]=表成绩单[[#This Row],[考试日期]])*(表成绩单[历史]&lt;9E+307)*(表成绩单[历史]&gt;表成绩单[[#This Row],[历史]]))+1)</f>
        <v>143</v>
      </c>
      <c r="W2775" s="29" cm="1">
        <f t="array" ref="W2775">IF(表成绩单[[#This Row],[总分]]="","",SUMPRODUCT((表成绩单[考试日期]=表成绩单[[#This Row],[考试日期]])*(表成绩单[总分]&lt;9E+307)*(表成绩单[总分]&gt;表成绩单[[#This Row],[总分]]))+1)</f>
        <v>367</v>
      </c>
    </row>
    <row r="2776" ht="28" customHeight="1" spans="4:23">
      <c r="D2776" s="31">
        <v>46108</v>
      </c>
      <c r="E2776" s="29">
        <v>19174469</v>
      </c>
      <c r="F2776" s="29" t="s">
        <v>73</v>
      </c>
      <c r="G2776" s="29" t="s">
        <v>327</v>
      </c>
      <c r="H2776" s="29">
        <v>109</v>
      </c>
      <c r="I2776" s="29">
        <v>85</v>
      </c>
      <c r="J2776" s="29">
        <v>84.5</v>
      </c>
      <c r="K2776" s="29">
        <v>74</v>
      </c>
      <c r="L2776" s="29">
        <v>64</v>
      </c>
      <c r="M2776" s="29">
        <v>74</v>
      </c>
      <c r="N2776" s="29">
        <v>69</v>
      </c>
      <c r="O2776" s="32">
        <v>559.5</v>
      </c>
      <c r="P2776" s="29" cm="1">
        <f t="array" ref="P2776">IF(表成绩单[[#This Row],[语文]]="","",SUMPRODUCT((表成绩单[考试日期]=表成绩单[[#This Row],[考试日期]])*(表成绩单[语文]&lt;9E+307)*(表成绩单[语文]&gt;表成绩单[[#This Row],[语文]]))+1)</f>
        <v>40</v>
      </c>
      <c r="Q2776" s="29" cm="1">
        <f t="array" ref="Q2776">IF(表成绩单[[#This Row],[数学]]="","",SUMPRODUCT((表成绩单[考试日期]=表成绩单[[#This Row],[考试日期]])*(表成绩单[数学]&lt;9E+307)*(表成绩单[数学]&gt;表成绩单[[#This Row],[数学]]))+1)</f>
        <v>501</v>
      </c>
      <c r="R2776" s="29" cm="1">
        <f t="array" ref="R2776">IF(表成绩单[[#This Row],[英语]]="","",SUMPRODUCT((表成绩单[考试日期]=表成绩单[[#This Row],[考试日期]])*(表成绩单[英语]&lt;9E+307)*(表成绩单[英语]&gt;表成绩单[[#This Row],[英语]]))+1)</f>
        <v>83</v>
      </c>
      <c r="S2776" s="29" cm="1">
        <f t="array" ref="S2776">IF(表成绩单[[#This Row],[物理]]="","",SUMPRODUCT((表成绩单[考试日期]=表成绩单[[#This Row],[考试日期]])*(表成绩单[物理]&lt;9E+307)*(表成绩单[物理]&gt;表成绩单[[#This Row],[物理]]))+1)</f>
        <v>472</v>
      </c>
      <c r="T2776" s="29" cm="1">
        <f t="array" ref="T2776">IF(表成绩单[[#This Row],[化学]]="","",SUMPRODUCT((表成绩单[考试日期]=表成绩单[[#This Row],[考试日期]])*(表成绩单[化学]&lt;9E+307)*(表成绩单[化学]&gt;表成绩单[[#This Row],[化学]]))+1)</f>
        <v>400</v>
      </c>
      <c r="U2776" s="29" cm="1">
        <f t="array" ref="U2776">IF(表成绩单[[#This Row],[政治]]="","",SUMPRODUCT((表成绩单[考试日期]=表成绩单[[#This Row],[考试日期]])*(表成绩单[政治]&lt;9E+307)*(表成绩单[政治]&gt;表成绩单[[#This Row],[政治]]))+1)</f>
        <v>389</v>
      </c>
      <c r="V2776" s="29" cm="1">
        <f t="array" ref="V2776">IF(表成绩单[[#This Row],[历史]]="","",SUMPRODUCT((表成绩单[考试日期]=表成绩单[[#This Row],[考试日期]])*(表成绩单[历史]&lt;9E+307)*(表成绩单[历史]&gt;表成绩单[[#This Row],[历史]]))+1)</f>
        <v>569</v>
      </c>
      <c r="W2776" s="29" cm="1">
        <f t="array" ref="W2776">IF(表成绩单[[#This Row],[总分]]="","",SUMPRODUCT((表成绩单[考试日期]=表成绩单[[#This Row],[考试日期]])*(表成绩单[总分]&lt;9E+307)*(表成绩单[总分]&gt;表成绩单[[#This Row],[总分]]))+1)</f>
        <v>367</v>
      </c>
    </row>
    <row r="2777" ht="28" customHeight="1" spans="4:23">
      <c r="D2777" s="31">
        <v>46108</v>
      </c>
      <c r="E2777" s="29">
        <v>19174772</v>
      </c>
      <c r="F2777" s="29" t="s">
        <v>69</v>
      </c>
      <c r="G2777" s="29" t="s">
        <v>606</v>
      </c>
      <c r="H2777" s="29">
        <v>99</v>
      </c>
      <c r="I2777" s="29">
        <v>89</v>
      </c>
      <c r="J2777" s="29">
        <v>79.5</v>
      </c>
      <c r="K2777" s="29">
        <v>71</v>
      </c>
      <c r="L2777" s="29">
        <v>70</v>
      </c>
      <c r="M2777" s="29">
        <v>78</v>
      </c>
      <c r="N2777" s="29">
        <v>73</v>
      </c>
      <c r="O2777" s="32">
        <v>559.5</v>
      </c>
      <c r="P2777" s="29" cm="1">
        <f t="array" ref="P2777">IF(表成绩单[[#This Row],[语文]]="","",SUMPRODUCT((表成绩单[考试日期]=表成绩单[[#This Row],[考试日期]])*(表成绩单[语文]&lt;9E+307)*(表成绩单[语文]&gt;表成绩单[[#This Row],[语文]]))+1)</f>
        <v>279</v>
      </c>
      <c r="Q2777" s="29" cm="1">
        <f t="array" ref="Q2777">IF(表成绩单[[#This Row],[数学]]="","",SUMPRODUCT((表成绩单[考试日期]=表成绩单[[#This Row],[考试日期]])*(表成绩单[数学]&lt;9E+307)*(表成绩单[数学]&gt;表成绩单[[#This Row],[数学]]))+1)</f>
        <v>402</v>
      </c>
      <c r="R2777" s="29" cm="1">
        <f t="array" ref="R2777">IF(表成绩单[[#This Row],[英语]]="","",SUMPRODUCT((表成绩单[考试日期]=表成绩单[[#This Row],[考试日期]])*(表成绩单[英语]&lt;9E+307)*(表成绩单[英语]&gt;表成绩单[[#This Row],[英语]]))+1)</f>
        <v>286</v>
      </c>
      <c r="S2777" s="29" cm="1">
        <f t="array" ref="S2777">IF(表成绩单[[#This Row],[物理]]="","",SUMPRODUCT((表成绩单[考试日期]=表成绩单[[#This Row],[考试日期]])*(表成绩单[物理]&lt;9E+307)*(表成绩单[物理]&gt;表成绩单[[#This Row],[物理]]))+1)</f>
        <v>536</v>
      </c>
      <c r="T2777" s="29" cm="1">
        <f t="array" ref="T2777">IF(表成绩单[[#This Row],[化学]]="","",SUMPRODUCT((表成绩单[考试日期]=表成绩单[[#This Row],[考试日期]])*(表成绩单[化学]&lt;9E+307)*(表成绩单[化学]&gt;表成绩单[[#This Row],[化学]]))+1)</f>
        <v>241</v>
      </c>
      <c r="U2777" s="29" cm="1">
        <f t="array" ref="U2777">IF(表成绩单[[#This Row],[政治]]="","",SUMPRODUCT((表成绩单[考试日期]=表成绩单[[#This Row],[考试日期]])*(表成绩单[政治]&lt;9E+307)*(表成绩单[政治]&gt;表成绩单[[#This Row],[政治]]))+1)</f>
        <v>171</v>
      </c>
      <c r="V2777" s="29" cm="1">
        <f t="array" ref="V2777">IF(表成绩单[[#This Row],[历史]]="","",SUMPRODUCT((表成绩单[考试日期]=表成绩单[[#This Row],[考试日期]])*(表成绩单[历史]&lt;9E+307)*(表成绩单[历史]&gt;表成绩单[[#This Row],[历史]]))+1)</f>
        <v>432</v>
      </c>
      <c r="W2777" s="29" cm="1">
        <f t="array" ref="W2777">IF(表成绩单[[#This Row],[总分]]="","",SUMPRODUCT((表成绩单[考试日期]=表成绩单[[#This Row],[考试日期]])*(表成绩单[总分]&lt;9E+307)*(表成绩单[总分]&gt;表成绩单[[#This Row],[总分]]))+1)</f>
        <v>367</v>
      </c>
    </row>
    <row r="2778" ht="28" customHeight="1" spans="4:23">
      <c r="D2778" s="31">
        <v>46108</v>
      </c>
      <c r="E2778" s="29">
        <v>19176161</v>
      </c>
      <c r="F2778" s="29" t="s">
        <v>67</v>
      </c>
      <c r="G2778" s="29" t="s">
        <v>481</v>
      </c>
      <c r="H2778" s="29">
        <v>93</v>
      </c>
      <c r="I2778" s="29">
        <v>92</v>
      </c>
      <c r="J2778" s="29">
        <v>74.5</v>
      </c>
      <c r="K2778" s="29">
        <v>74</v>
      </c>
      <c r="L2778" s="29">
        <v>66</v>
      </c>
      <c r="M2778" s="29">
        <v>73</v>
      </c>
      <c r="N2778" s="29">
        <v>87</v>
      </c>
      <c r="O2778" s="32">
        <v>559.5</v>
      </c>
      <c r="P2778" s="29" cm="1">
        <f t="array" ref="P2778">IF(表成绩单[[#This Row],[语文]]="","",SUMPRODUCT((表成绩单[考试日期]=表成绩单[[#This Row],[考试日期]])*(表成绩单[语文]&lt;9E+307)*(表成绩单[语文]&gt;表成绩单[[#This Row],[语文]]))+1)</f>
        <v>470</v>
      </c>
      <c r="Q2778" s="29" cm="1">
        <f t="array" ref="Q2778">IF(表成绩单[[#This Row],[数学]]="","",SUMPRODUCT((表成绩单[考试日期]=表成绩单[[#This Row],[考试日期]])*(表成绩单[数学]&lt;9E+307)*(表成绩单[数学]&gt;表成绩单[[#This Row],[数学]]))+1)</f>
        <v>312</v>
      </c>
      <c r="R2778" s="29" cm="1">
        <f t="array" ref="R2778">IF(表成绩单[[#This Row],[英语]]="","",SUMPRODUCT((表成绩单[考试日期]=表成绩单[[#This Row],[考试日期]])*(表成绩单[英语]&lt;9E+307)*(表成绩单[英语]&gt;表成绩单[[#This Row],[英语]]))+1)</f>
        <v>456</v>
      </c>
      <c r="S2778" s="29" cm="1">
        <f t="array" ref="S2778">IF(表成绩单[[#This Row],[物理]]="","",SUMPRODUCT((表成绩单[考试日期]=表成绩单[[#This Row],[考试日期]])*(表成绩单[物理]&lt;9E+307)*(表成绩单[物理]&gt;表成绩单[[#This Row],[物理]]))+1)</f>
        <v>472</v>
      </c>
      <c r="T2778" s="29" cm="1">
        <f t="array" ref="T2778">IF(表成绩单[[#This Row],[化学]]="","",SUMPRODUCT((表成绩单[考试日期]=表成绩单[[#This Row],[考试日期]])*(表成绩单[化学]&lt;9E+307)*(表成绩单[化学]&gt;表成绩单[[#This Row],[化学]]))+1)</f>
        <v>359</v>
      </c>
      <c r="U2778" s="29" cm="1">
        <f t="array" ref="U2778">IF(表成绩单[[#This Row],[政治]]="","",SUMPRODUCT((表成绩单[考试日期]=表成绩单[[#This Row],[考试日期]])*(表成绩单[政治]&lt;9E+307)*(表成绩单[政治]&gt;表成绩单[[#This Row],[政治]]))+1)</f>
        <v>431</v>
      </c>
      <c r="V2778" s="29" cm="1">
        <f t="array" ref="V2778">IF(表成绩单[[#This Row],[历史]]="","",SUMPRODUCT((表成绩单[考试日期]=表成绩单[[#This Row],[考试日期]])*(表成绩单[历史]&lt;9E+307)*(表成绩单[历史]&gt;表成绩单[[#This Row],[历史]]))+1)</f>
        <v>6</v>
      </c>
      <c r="W2778" s="29" cm="1">
        <f t="array" ref="W2778">IF(表成绩单[[#This Row],[总分]]="","",SUMPRODUCT((表成绩单[考试日期]=表成绩单[[#This Row],[考试日期]])*(表成绩单[总分]&lt;9E+307)*(表成绩单[总分]&gt;表成绩单[[#This Row],[总分]]))+1)</f>
        <v>367</v>
      </c>
    </row>
    <row r="2779" ht="28" customHeight="1" spans="4:23">
      <c r="D2779" s="31">
        <v>46108</v>
      </c>
      <c r="E2779" s="29">
        <v>19176894</v>
      </c>
      <c r="F2779" s="29" t="s">
        <v>71</v>
      </c>
      <c r="G2779" s="29" t="s">
        <v>466</v>
      </c>
      <c r="H2779" s="29">
        <v>90</v>
      </c>
      <c r="I2779" s="29">
        <v>98</v>
      </c>
      <c r="J2779" s="29">
        <v>76.5</v>
      </c>
      <c r="K2779" s="29">
        <v>80</v>
      </c>
      <c r="L2779" s="29">
        <v>65</v>
      </c>
      <c r="M2779" s="29">
        <v>73</v>
      </c>
      <c r="N2779" s="29">
        <v>77</v>
      </c>
      <c r="O2779" s="32">
        <v>559.5</v>
      </c>
      <c r="P2779" s="29" cm="1">
        <f t="array" ref="P2779">IF(表成绩单[[#This Row],[语文]]="","",SUMPRODUCT((表成绩单[考试日期]=表成绩单[[#This Row],[考试日期]])*(表成绩单[语文]&lt;9E+307)*(表成绩单[语文]&gt;表成绩单[[#This Row],[语文]]))+1)</f>
        <v>539</v>
      </c>
      <c r="Q2779" s="29" cm="1">
        <f t="array" ref="Q2779">IF(表成绩单[[#This Row],[数学]]="","",SUMPRODUCT((表成绩单[考试日期]=表成绩单[[#This Row],[考试日期]])*(表成绩单[数学]&lt;9E+307)*(表成绩单[数学]&gt;表成绩单[[#This Row],[数学]]))+1)</f>
        <v>158</v>
      </c>
      <c r="R2779" s="29" cm="1">
        <f t="array" ref="R2779">IF(表成绩单[[#This Row],[英语]]="","",SUMPRODUCT((表成绩单[考试日期]=表成绩单[[#This Row],[考试日期]])*(表成绩单[英语]&lt;9E+307)*(表成绩单[英语]&gt;表成绩单[[#This Row],[英语]]))+1)</f>
        <v>384</v>
      </c>
      <c r="S2779" s="29" cm="1">
        <f t="array" ref="S2779">IF(表成绩单[[#This Row],[物理]]="","",SUMPRODUCT((表成绩单[考试日期]=表成绩单[[#This Row],[考试日期]])*(表成绩单[物理]&lt;9E+307)*(表成绩单[物理]&gt;表成绩单[[#This Row],[物理]]))+1)</f>
        <v>305</v>
      </c>
      <c r="T2779" s="29" cm="1">
        <f t="array" ref="T2779">IF(表成绩单[[#This Row],[化学]]="","",SUMPRODUCT((表成绩单[考试日期]=表成绩单[[#This Row],[考试日期]])*(表成绩单[化学]&lt;9E+307)*(表成绩单[化学]&gt;表成绩单[[#This Row],[化学]]))+1)</f>
        <v>379</v>
      </c>
      <c r="U2779" s="29" cm="1">
        <f t="array" ref="U2779">IF(表成绩单[[#This Row],[政治]]="","",SUMPRODUCT((表成绩单[考试日期]=表成绩单[[#This Row],[考试日期]])*(表成绩单[政治]&lt;9E+307)*(表成绩单[政治]&gt;表成绩单[[#This Row],[政治]]))+1)</f>
        <v>431</v>
      </c>
      <c r="V2779" s="29" cm="1">
        <f t="array" ref="V2779">IF(表成绩单[[#This Row],[历史]]="","",SUMPRODUCT((表成绩单[考试日期]=表成绩单[[#This Row],[考试日期]])*(表成绩单[历史]&lt;9E+307)*(表成绩单[历史]&gt;表成绩单[[#This Row],[历史]]))+1)</f>
        <v>269</v>
      </c>
      <c r="W2779" s="29" cm="1">
        <f t="array" ref="W2779">IF(表成绩单[[#This Row],[总分]]="","",SUMPRODUCT((表成绩单[考试日期]=表成绩单[[#This Row],[考试日期]])*(表成绩单[总分]&lt;9E+307)*(表成绩单[总分]&gt;表成绩单[[#This Row],[总分]]))+1)</f>
        <v>367</v>
      </c>
    </row>
    <row r="2780" ht="28" customHeight="1" spans="4:23">
      <c r="D2780" s="31">
        <v>46108</v>
      </c>
      <c r="E2780" s="29">
        <v>19171085</v>
      </c>
      <c r="F2780" s="29" t="s">
        <v>67</v>
      </c>
      <c r="G2780" s="29" t="s">
        <v>248</v>
      </c>
      <c r="H2780" s="29">
        <v>86</v>
      </c>
      <c r="I2780" s="29">
        <v>94</v>
      </c>
      <c r="J2780" s="29">
        <v>79</v>
      </c>
      <c r="K2780" s="29">
        <v>81</v>
      </c>
      <c r="L2780" s="29">
        <v>64</v>
      </c>
      <c r="M2780" s="29">
        <v>76</v>
      </c>
      <c r="N2780" s="29">
        <v>79</v>
      </c>
      <c r="O2780" s="32">
        <v>559</v>
      </c>
      <c r="P2780" s="29" cm="1">
        <f t="array" ref="P2780">IF(表成绩单[[#This Row],[语文]]="","",SUMPRODUCT((表成绩单[考试日期]=表成绩单[[#This Row],[考试日期]])*(表成绩单[语文]&lt;9E+307)*(表成绩单[语文]&gt;表成绩单[[#This Row],[语文]]))+1)</f>
        <v>610</v>
      </c>
      <c r="Q2780" s="29" cm="1">
        <f t="array" ref="Q2780">IF(表成绩单[[#This Row],[数学]]="","",SUMPRODUCT((表成绩单[考试日期]=表成绩单[[#This Row],[考试日期]])*(表成绩单[数学]&lt;9E+307)*(表成绩单[数学]&gt;表成绩单[[#This Row],[数学]]))+1)</f>
        <v>258</v>
      </c>
      <c r="R2780" s="29" cm="1">
        <f t="array" ref="R2780">IF(表成绩单[[#This Row],[英语]]="","",SUMPRODUCT((表成绩单[考试日期]=表成绩单[[#This Row],[考试日期]])*(表成绩单[英语]&lt;9E+307)*(表成绩单[英语]&gt;表成绩单[[#This Row],[英语]]))+1)</f>
        <v>305</v>
      </c>
      <c r="S2780" s="29" cm="1">
        <f t="array" ref="S2780">IF(表成绩单[[#This Row],[物理]]="","",SUMPRODUCT((表成绩单[考试日期]=表成绩单[[#This Row],[考试日期]])*(表成绩单[物理]&lt;9E+307)*(表成绩单[物理]&gt;表成绩单[[#This Row],[物理]]))+1)</f>
        <v>269</v>
      </c>
      <c r="T2780" s="29" cm="1">
        <f t="array" ref="T2780">IF(表成绩单[[#This Row],[化学]]="","",SUMPRODUCT((表成绩单[考试日期]=表成绩单[[#This Row],[考试日期]])*(表成绩单[化学]&lt;9E+307)*(表成绩单[化学]&gt;表成绩单[[#This Row],[化学]]))+1)</f>
        <v>400</v>
      </c>
      <c r="U2780" s="29" cm="1">
        <f t="array" ref="U2780">IF(表成绩单[[#This Row],[政治]]="","",SUMPRODUCT((表成绩单[考试日期]=表成绩单[[#This Row],[考试日期]])*(表成绩单[政治]&lt;9E+307)*(表成绩单[政治]&gt;表成绩单[[#This Row],[政治]]))+1)</f>
        <v>291</v>
      </c>
      <c r="V2780" s="29" cm="1">
        <f t="array" ref="V2780">IF(表成绩单[[#This Row],[历史]]="","",SUMPRODUCT((表成绩单[考试日期]=表成绩单[[#This Row],[考试日期]])*(表成绩单[历史]&lt;9E+307)*(表成绩单[历史]&gt;表成绩单[[#This Row],[历史]]))+1)</f>
        <v>173</v>
      </c>
      <c r="W2780" s="29" cm="1">
        <f t="array" ref="W2780">IF(表成绩单[[#This Row],[总分]]="","",SUMPRODUCT((表成绩单[考试日期]=表成绩单[[#This Row],[考试日期]])*(表成绩单[总分]&lt;9E+307)*(表成绩单[总分]&gt;表成绩单[[#This Row],[总分]]))+1)</f>
        <v>373</v>
      </c>
    </row>
    <row r="2781" ht="28" customHeight="1" spans="4:23">
      <c r="D2781" s="31">
        <v>46108</v>
      </c>
      <c r="E2781" s="29">
        <v>19171093</v>
      </c>
      <c r="F2781" s="29" t="s">
        <v>67</v>
      </c>
      <c r="G2781" s="29" t="s">
        <v>487</v>
      </c>
      <c r="H2781" s="29">
        <v>97</v>
      </c>
      <c r="I2781" s="29">
        <v>84</v>
      </c>
      <c r="J2781" s="29">
        <v>78</v>
      </c>
      <c r="K2781" s="29">
        <v>77</v>
      </c>
      <c r="L2781" s="29">
        <v>74</v>
      </c>
      <c r="M2781" s="29">
        <v>75</v>
      </c>
      <c r="N2781" s="29">
        <v>74</v>
      </c>
      <c r="O2781" s="32">
        <v>559</v>
      </c>
      <c r="P2781" s="29" cm="1">
        <f t="array" ref="P2781">IF(表成绩单[[#This Row],[语文]]="","",SUMPRODUCT((表成绩单[考试日期]=表成绩单[[#This Row],[考试日期]])*(表成绩单[语文]&lt;9E+307)*(表成绩单[语文]&gt;表成绩单[[#This Row],[语文]]))+1)</f>
        <v>357</v>
      </c>
      <c r="Q2781" s="29" cm="1">
        <f t="array" ref="Q2781">IF(表成绩单[[#This Row],[数学]]="","",SUMPRODUCT((表成绩单[考试日期]=表成绩单[[#This Row],[考试日期]])*(表成绩单[数学]&lt;9E+307)*(表成绩单[数学]&gt;表成绩单[[#This Row],[数学]]))+1)</f>
        <v>518</v>
      </c>
      <c r="R2781" s="29" cm="1">
        <f t="array" ref="R2781">IF(表成绩单[[#This Row],[英语]]="","",SUMPRODUCT((表成绩单[考试日期]=表成绩单[[#This Row],[考试日期]])*(表成绩单[英语]&lt;9E+307)*(表成绩单[英语]&gt;表成绩单[[#This Row],[英语]]))+1)</f>
        <v>341</v>
      </c>
      <c r="S2781" s="29" cm="1">
        <f t="array" ref="S2781">IF(表成绩单[[#This Row],[物理]]="","",SUMPRODUCT((表成绩单[考试日期]=表成绩单[[#This Row],[考试日期]])*(表成绩单[物理]&lt;9E+307)*(表成绩单[物理]&gt;表成绩单[[#This Row],[物理]]))+1)</f>
        <v>400</v>
      </c>
      <c r="T2781" s="29" cm="1">
        <f t="array" ref="T2781">IF(表成绩单[[#This Row],[化学]]="","",SUMPRODUCT((表成绩单[考试日期]=表成绩单[[#This Row],[考试日期]])*(表成绩单[化学]&lt;9E+307)*(表成绩单[化学]&gt;表成绩单[[#This Row],[化学]]))+1)</f>
        <v>127</v>
      </c>
      <c r="U2781" s="29" cm="1">
        <f t="array" ref="U2781">IF(表成绩单[[#This Row],[政治]]="","",SUMPRODUCT((表成绩单[考试日期]=表成绩单[[#This Row],[考试日期]])*(表成绩单[政治]&lt;9E+307)*(表成绩单[政治]&gt;表成绩单[[#This Row],[政治]]))+1)</f>
        <v>346</v>
      </c>
      <c r="V2781" s="29" cm="1">
        <f t="array" ref="V2781">IF(表成绩单[[#This Row],[历史]]="","",SUMPRODUCT((表成绩单[考试日期]=表成绩单[[#This Row],[考试日期]])*(表成绩单[历史]&lt;9E+307)*(表成绩单[历史]&gt;表成绩单[[#This Row],[历史]]))+1)</f>
        <v>389</v>
      </c>
      <c r="W2781" s="29" cm="1">
        <f t="array" ref="W2781">IF(表成绩单[[#This Row],[总分]]="","",SUMPRODUCT((表成绩单[考试日期]=表成绩单[[#This Row],[考试日期]])*(表成绩单[总分]&lt;9E+307)*(表成绩单[总分]&gt;表成绩单[[#This Row],[总分]]))+1)</f>
        <v>373</v>
      </c>
    </row>
    <row r="2782" ht="28" customHeight="1" spans="4:23">
      <c r="D2782" s="31">
        <v>46108</v>
      </c>
      <c r="E2782" s="29">
        <v>19174739</v>
      </c>
      <c r="F2782" s="29" t="s">
        <v>64</v>
      </c>
      <c r="G2782" s="29" t="s">
        <v>513</v>
      </c>
      <c r="H2782" s="29">
        <v>100</v>
      </c>
      <c r="I2782" s="29">
        <v>97</v>
      </c>
      <c r="J2782" s="29">
        <v>75</v>
      </c>
      <c r="K2782" s="29">
        <v>72</v>
      </c>
      <c r="L2782" s="29">
        <v>62</v>
      </c>
      <c r="M2782" s="29">
        <v>81</v>
      </c>
      <c r="N2782" s="29">
        <v>72</v>
      </c>
      <c r="O2782" s="32">
        <v>559</v>
      </c>
      <c r="P2782" s="29" cm="1">
        <f t="array" ref="P2782">IF(表成绩单[[#This Row],[语文]]="","",SUMPRODUCT((表成绩单[考试日期]=表成绩单[[#This Row],[考试日期]])*(表成绩单[语文]&lt;9E+307)*(表成绩单[语文]&gt;表成绩单[[#This Row],[语文]]))+1)</f>
        <v>247</v>
      </c>
      <c r="Q2782" s="29" cm="1">
        <f t="array" ref="Q2782">IF(表成绩单[[#This Row],[数学]]="","",SUMPRODUCT((表成绩单[考试日期]=表成绩单[[#This Row],[考试日期]])*(表成绩单[数学]&lt;9E+307)*(表成绩单[数学]&gt;表成绩单[[#This Row],[数学]]))+1)</f>
        <v>175</v>
      </c>
      <c r="R2782" s="29" cm="1">
        <f t="array" ref="R2782">IF(表成绩单[[#This Row],[英语]]="","",SUMPRODUCT((表成绩单[考试日期]=表成绩单[[#This Row],[考试日期]])*(表成绩单[英语]&lt;9E+307)*(表成绩单[英语]&gt;表成绩单[[#This Row],[英语]]))+1)</f>
        <v>444</v>
      </c>
      <c r="S2782" s="29" cm="1">
        <f t="array" ref="S2782">IF(表成绩单[[#This Row],[物理]]="","",SUMPRODUCT((表成绩单[考试日期]=表成绩单[[#This Row],[考试日期]])*(表成绩单[物理]&lt;9E+307)*(表成绩单[物理]&gt;表成绩单[[#This Row],[物理]]))+1)</f>
        <v>521</v>
      </c>
      <c r="T2782" s="29" cm="1">
        <f t="array" ref="T2782">IF(表成绩单[[#This Row],[化学]]="","",SUMPRODUCT((表成绩单[考试日期]=表成绩单[[#This Row],[考试日期]])*(表成绩单[化学]&lt;9E+307)*(表成绩单[化学]&gt;表成绩单[[#This Row],[化学]]))+1)</f>
        <v>449</v>
      </c>
      <c r="U2782" s="29" cm="1">
        <f t="array" ref="U2782">IF(表成绩单[[#This Row],[政治]]="","",SUMPRODUCT((表成绩单[考试日期]=表成绩单[[#This Row],[考试日期]])*(表成绩单[政治]&lt;9E+307)*(表成绩单[政治]&gt;表成绩单[[#This Row],[政治]]))+1)</f>
        <v>68</v>
      </c>
      <c r="V2782" s="29" cm="1">
        <f t="array" ref="V2782">IF(表成绩单[[#This Row],[历史]]="","",SUMPRODUCT((表成绩单[考试日期]=表成绩单[[#This Row],[考试日期]])*(表成绩单[历史]&lt;9E+307)*(表成绩单[历史]&gt;表成绩单[[#This Row],[历史]]))+1)</f>
        <v>470</v>
      </c>
      <c r="W2782" s="29" cm="1">
        <f t="array" ref="W2782">IF(表成绩单[[#This Row],[总分]]="","",SUMPRODUCT((表成绩单[考试日期]=表成绩单[[#This Row],[考试日期]])*(表成绩单[总分]&lt;9E+307)*(表成绩单[总分]&gt;表成绩单[[#This Row],[总分]]))+1)</f>
        <v>373</v>
      </c>
    </row>
    <row r="2783" ht="28" customHeight="1" spans="4:23">
      <c r="D2783" s="31">
        <v>46108</v>
      </c>
      <c r="E2783" s="29">
        <v>19178596</v>
      </c>
      <c r="F2783" s="29" t="s">
        <v>64</v>
      </c>
      <c r="G2783" s="29" t="s">
        <v>392</v>
      </c>
      <c r="H2783" s="29">
        <v>89</v>
      </c>
      <c r="I2783" s="29">
        <v>90</v>
      </c>
      <c r="J2783" s="29">
        <v>84</v>
      </c>
      <c r="K2783" s="29">
        <v>81</v>
      </c>
      <c r="L2783" s="29">
        <v>63</v>
      </c>
      <c r="M2783" s="29">
        <v>77</v>
      </c>
      <c r="N2783" s="29">
        <v>75</v>
      </c>
      <c r="O2783" s="32">
        <v>559</v>
      </c>
      <c r="P2783" s="29" cm="1">
        <f t="array" ref="P2783">IF(表成绩单[[#This Row],[语文]]="","",SUMPRODUCT((表成绩单[考试日期]=表成绩单[[#This Row],[考试日期]])*(表成绩单[语文]&lt;9E+307)*(表成绩单[语文]&gt;表成绩单[[#This Row],[语文]]))+1)</f>
        <v>559</v>
      </c>
      <c r="Q2783" s="29" cm="1">
        <f t="array" ref="Q2783">IF(表成绩单[[#This Row],[数学]]="","",SUMPRODUCT((表成绩单[考试日期]=表成绩单[[#This Row],[考试日期]])*(表成绩单[数学]&lt;9E+307)*(表成绩单[数学]&gt;表成绩单[[#This Row],[数学]]))+1)</f>
        <v>368</v>
      </c>
      <c r="R2783" s="29" cm="1">
        <f t="array" ref="R2783">IF(表成绩单[[#This Row],[英语]]="","",SUMPRODUCT((表成绩单[考试日期]=表成绩单[[#This Row],[考试日期]])*(表成绩单[英语]&lt;9E+307)*(表成绩单[英语]&gt;表成绩单[[#This Row],[英语]]))+1)</f>
        <v>100</v>
      </c>
      <c r="S2783" s="29" cm="1">
        <f t="array" ref="S2783">IF(表成绩单[[#This Row],[物理]]="","",SUMPRODUCT((表成绩单[考试日期]=表成绩单[[#This Row],[考试日期]])*(表成绩单[物理]&lt;9E+307)*(表成绩单[物理]&gt;表成绩单[[#This Row],[物理]]))+1)</f>
        <v>269</v>
      </c>
      <c r="T2783" s="29" cm="1">
        <f t="array" ref="T2783">IF(表成绩单[[#This Row],[化学]]="","",SUMPRODUCT((表成绩单[考试日期]=表成绩单[[#This Row],[考试日期]])*(表成绩单[化学]&lt;9E+307)*(表成绩单[化学]&gt;表成绩单[[#This Row],[化学]]))+1)</f>
        <v>426</v>
      </c>
      <c r="U2783" s="29" cm="1">
        <f t="array" ref="U2783">IF(表成绩单[[#This Row],[政治]]="","",SUMPRODUCT((表成绩单[考试日期]=表成绩单[[#This Row],[考试日期]])*(表成绩单[政治]&lt;9E+307)*(表成绩单[政治]&gt;表成绩单[[#This Row],[政治]]))+1)</f>
        <v>230</v>
      </c>
      <c r="V2783" s="29" cm="1">
        <f t="array" ref="V2783">IF(表成绩单[[#This Row],[历史]]="","",SUMPRODUCT((表成绩单[考试日期]=表成绩单[[#This Row],[考试日期]])*(表成绩单[历史]&lt;9E+307)*(表成绩单[历史]&gt;表成绩单[[#This Row],[历史]]))+1)</f>
        <v>354</v>
      </c>
      <c r="W2783" s="29" cm="1">
        <f t="array" ref="W2783">IF(表成绩单[[#This Row],[总分]]="","",SUMPRODUCT((表成绩单[考试日期]=表成绩单[[#This Row],[考试日期]])*(表成绩单[总分]&lt;9E+307)*(表成绩单[总分]&gt;表成绩单[[#This Row],[总分]]))+1)</f>
        <v>373</v>
      </c>
    </row>
    <row r="2784" ht="28" customHeight="1" spans="4:23">
      <c r="D2784" s="31">
        <v>46108</v>
      </c>
      <c r="E2784" s="29">
        <v>19178617</v>
      </c>
      <c r="F2784" s="29" t="s">
        <v>25</v>
      </c>
      <c r="G2784" s="29" t="s">
        <v>477</v>
      </c>
      <c r="H2784" s="29">
        <v>99</v>
      </c>
      <c r="I2784" s="29">
        <v>94</v>
      </c>
      <c r="J2784" s="29">
        <v>83</v>
      </c>
      <c r="K2784" s="29">
        <v>80</v>
      </c>
      <c r="L2784" s="29">
        <v>57</v>
      </c>
      <c r="M2784" s="29">
        <v>78</v>
      </c>
      <c r="N2784" s="29">
        <v>68</v>
      </c>
      <c r="O2784" s="32">
        <v>559</v>
      </c>
      <c r="P2784" s="29" cm="1">
        <f t="array" ref="P2784">IF(表成绩单[[#This Row],[语文]]="","",SUMPRODUCT((表成绩单[考试日期]=表成绩单[[#This Row],[考试日期]])*(表成绩单[语文]&lt;9E+307)*(表成绩单[语文]&gt;表成绩单[[#This Row],[语文]]))+1)</f>
        <v>279</v>
      </c>
      <c r="Q2784" s="29" cm="1">
        <f t="array" ref="Q2784">IF(表成绩单[[#This Row],[数学]]="","",SUMPRODUCT((表成绩单[考试日期]=表成绩单[[#This Row],[考试日期]])*(表成绩单[数学]&lt;9E+307)*(表成绩单[数学]&gt;表成绩单[[#This Row],[数学]]))+1)</f>
        <v>258</v>
      </c>
      <c r="R2784" s="29" cm="1">
        <f t="array" ref="R2784">IF(表成绩单[[#This Row],[英语]]="","",SUMPRODUCT((表成绩单[考试日期]=表成绩单[[#This Row],[考试日期]])*(表成绩单[英语]&lt;9E+307)*(表成绩单[英语]&gt;表成绩单[[#This Row],[英语]]))+1)</f>
        <v>134</v>
      </c>
      <c r="S2784" s="29" cm="1">
        <f t="array" ref="S2784">IF(表成绩单[[#This Row],[物理]]="","",SUMPRODUCT((表成绩单[考试日期]=表成绩单[[#This Row],[考试日期]])*(表成绩单[物理]&lt;9E+307)*(表成绩单[物理]&gt;表成绩单[[#This Row],[物理]]))+1)</f>
        <v>305</v>
      </c>
      <c r="T2784" s="29" cm="1">
        <f t="array" ref="T2784">IF(表成绩单[[#This Row],[化学]]="","",SUMPRODUCT((表成绩单[考试日期]=表成绩单[[#This Row],[考试日期]])*(表成绩单[化学]&lt;9E+307)*(表成绩单[化学]&gt;表成绩单[[#This Row],[化学]]))+1)</f>
        <v>552</v>
      </c>
      <c r="U2784" s="29" cm="1">
        <f t="array" ref="U2784">IF(表成绩单[[#This Row],[政治]]="","",SUMPRODUCT((表成绩单[考试日期]=表成绩单[[#This Row],[考试日期]])*(表成绩单[政治]&lt;9E+307)*(表成绩单[政治]&gt;表成绩单[[#This Row],[政治]]))+1)</f>
        <v>171</v>
      </c>
      <c r="V2784" s="29" cm="1">
        <f t="array" ref="V2784">IF(表成绩单[[#This Row],[历史]]="","",SUMPRODUCT((表成绩单[考试日期]=表成绩单[[#This Row],[考试日期]])*(表成绩单[历史]&lt;9E+307)*(表成绩单[历史]&gt;表成绩单[[#This Row],[历史]]))+1)</f>
        <v>599</v>
      </c>
      <c r="W2784" s="29" cm="1">
        <f t="array" ref="W2784">IF(表成绩单[[#This Row],[总分]]="","",SUMPRODUCT((表成绩单[考试日期]=表成绩单[[#This Row],[考试日期]])*(表成绩单[总分]&lt;9E+307)*(表成绩单[总分]&gt;表成绩单[[#This Row],[总分]]))+1)</f>
        <v>373</v>
      </c>
    </row>
    <row r="2785" ht="28" customHeight="1" spans="4:23">
      <c r="D2785" s="31">
        <v>46108</v>
      </c>
      <c r="E2785" s="29">
        <v>19173766</v>
      </c>
      <c r="F2785" s="29" t="s">
        <v>65</v>
      </c>
      <c r="G2785" s="29" t="s">
        <v>436</v>
      </c>
      <c r="H2785" s="29">
        <v>94</v>
      </c>
      <c r="I2785" s="29">
        <v>88</v>
      </c>
      <c r="J2785" s="29">
        <v>75.5</v>
      </c>
      <c r="K2785" s="29">
        <v>75</v>
      </c>
      <c r="L2785" s="29">
        <v>70</v>
      </c>
      <c r="M2785" s="29">
        <v>77</v>
      </c>
      <c r="N2785" s="29">
        <v>79</v>
      </c>
      <c r="O2785" s="32">
        <v>558.5</v>
      </c>
      <c r="P2785" s="29" cm="1">
        <f t="array" ref="P2785">IF(表成绩单[[#This Row],[语文]]="","",SUMPRODUCT((表成绩单[考试日期]=表成绩单[[#This Row],[考试日期]])*(表成绩单[语文]&lt;9E+307)*(表成绩单[语文]&gt;表成绩单[[#This Row],[语文]]))+1)</f>
        <v>449</v>
      </c>
      <c r="Q2785" s="29" cm="1">
        <f t="array" ref="Q2785">IF(表成绩单[[#This Row],[数学]]="","",SUMPRODUCT((表成绩单[考试日期]=表成绩单[[#This Row],[考试日期]])*(表成绩单[数学]&lt;9E+307)*(表成绩单[数学]&gt;表成绩单[[#This Row],[数学]]))+1)</f>
        <v>424</v>
      </c>
      <c r="R2785" s="29" cm="1">
        <f t="array" ref="R2785">IF(表成绩单[[#This Row],[英语]]="","",SUMPRODUCT((表成绩单[考试日期]=表成绩单[[#This Row],[考试日期]])*(表成绩单[英语]&lt;9E+307)*(表成绩单[英语]&gt;表成绩单[[#This Row],[英语]]))+1)</f>
        <v>421</v>
      </c>
      <c r="S2785" s="29" cm="1">
        <f t="array" ref="S2785">IF(表成绩单[[#This Row],[物理]]="","",SUMPRODUCT((表成绩单[考试日期]=表成绩单[[#This Row],[考试日期]])*(表成绩单[物理]&lt;9E+307)*(表成绩单[物理]&gt;表成绩单[[#This Row],[物理]]))+1)</f>
        <v>456</v>
      </c>
      <c r="T2785" s="29" cm="1">
        <f t="array" ref="T2785">IF(表成绩单[[#This Row],[化学]]="","",SUMPRODUCT((表成绩单[考试日期]=表成绩单[[#This Row],[考试日期]])*(表成绩单[化学]&lt;9E+307)*(表成绩单[化学]&gt;表成绩单[[#This Row],[化学]]))+1)</f>
        <v>241</v>
      </c>
      <c r="U2785" s="29" cm="1">
        <f t="array" ref="U2785">IF(表成绩单[[#This Row],[政治]]="","",SUMPRODUCT((表成绩单[考试日期]=表成绩单[[#This Row],[考试日期]])*(表成绩单[政治]&lt;9E+307)*(表成绩单[政治]&gt;表成绩单[[#This Row],[政治]]))+1)</f>
        <v>230</v>
      </c>
      <c r="V2785" s="29" cm="1">
        <f t="array" ref="V2785">IF(表成绩单[[#This Row],[历史]]="","",SUMPRODUCT((表成绩单[考试日期]=表成绩单[[#This Row],[考试日期]])*(表成绩单[历史]&lt;9E+307)*(表成绩单[历史]&gt;表成绩单[[#This Row],[历史]]))+1)</f>
        <v>173</v>
      </c>
      <c r="W2785" s="29" cm="1">
        <f t="array" ref="W2785">IF(表成绩单[[#This Row],[总分]]="","",SUMPRODUCT((表成绩单[考试日期]=表成绩单[[#This Row],[考试日期]])*(表成绩单[总分]&lt;9E+307)*(表成绩单[总分]&gt;表成绩单[[#This Row],[总分]]))+1)</f>
        <v>378</v>
      </c>
    </row>
    <row r="2786" ht="28" customHeight="1" spans="4:23">
      <c r="D2786" s="31">
        <v>46108</v>
      </c>
      <c r="E2786" s="29">
        <v>19174778</v>
      </c>
      <c r="F2786" s="29" t="s">
        <v>69</v>
      </c>
      <c r="G2786" s="29" t="s">
        <v>359</v>
      </c>
      <c r="H2786" s="29">
        <v>92</v>
      </c>
      <c r="I2786" s="29">
        <v>88</v>
      </c>
      <c r="J2786" s="29">
        <v>80</v>
      </c>
      <c r="K2786" s="29">
        <v>77</v>
      </c>
      <c r="L2786" s="29">
        <v>69</v>
      </c>
      <c r="M2786" s="29">
        <v>75</v>
      </c>
      <c r="N2786" s="29">
        <v>77</v>
      </c>
      <c r="O2786" s="32">
        <v>558</v>
      </c>
      <c r="P2786" s="29" cm="1">
        <f t="array" ref="P2786">IF(表成绩单[[#This Row],[语文]]="","",SUMPRODUCT((表成绩单[考试日期]=表成绩单[[#This Row],[考试日期]])*(表成绩单[语文]&lt;9E+307)*(表成绩单[语文]&gt;表成绩单[[#This Row],[语文]]))+1)</f>
        <v>494</v>
      </c>
      <c r="Q2786" s="29" cm="1">
        <f t="array" ref="Q2786">IF(表成绩单[[#This Row],[数学]]="","",SUMPRODUCT((表成绩单[考试日期]=表成绩单[[#This Row],[考试日期]])*(表成绩单[数学]&lt;9E+307)*(表成绩单[数学]&gt;表成绩单[[#This Row],[数学]]))+1)</f>
        <v>424</v>
      </c>
      <c r="R2786" s="29" cm="1">
        <f t="array" ref="R2786">IF(表成绩单[[#This Row],[英语]]="","",SUMPRODUCT((表成绩单[考试日期]=表成绩单[[#This Row],[考试日期]])*(表成绩单[英语]&lt;9E+307)*(表成绩单[英语]&gt;表成绩单[[#This Row],[英语]]))+1)</f>
        <v>266</v>
      </c>
      <c r="S2786" s="29" cm="1">
        <f t="array" ref="S2786">IF(表成绩单[[#This Row],[物理]]="","",SUMPRODUCT((表成绩单[考试日期]=表成绩单[[#This Row],[考试日期]])*(表成绩单[物理]&lt;9E+307)*(表成绩单[物理]&gt;表成绩单[[#This Row],[物理]]))+1)</f>
        <v>400</v>
      </c>
      <c r="T2786" s="29" cm="1">
        <f t="array" ref="T2786">IF(表成绩单[[#This Row],[化学]]="","",SUMPRODUCT((表成绩单[考试日期]=表成绩单[[#This Row],[考试日期]])*(表成绩单[化学]&lt;9E+307)*(表成绩单[化学]&gt;表成绩单[[#This Row],[化学]]))+1)</f>
        <v>269</v>
      </c>
      <c r="U2786" s="29" cm="1">
        <f t="array" ref="U2786">IF(表成绩单[[#This Row],[政治]]="","",SUMPRODUCT((表成绩单[考试日期]=表成绩单[[#This Row],[考试日期]])*(表成绩单[政治]&lt;9E+307)*(表成绩单[政治]&gt;表成绩单[[#This Row],[政治]]))+1)</f>
        <v>346</v>
      </c>
      <c r="V2786" s="29" cm="1">
        <f t="array" ref="V2786">IF(表成绩单[[#This Row],[历史]]="","",SUMPRODUCT((表成绩单[考试日期]=表成绩单[[#This Row],[考试日期]])*(表成绩单[历史]&lt;9E+307)*(表成绩单[历史]&gt;表成绩单[[#This Row],[历史]]))+1)</f>
        <v>269</v>
      </c>
      <c r="W2786" s="29" cm="1">
        <f t="array" ref="W2786">IF(表成绩单[[#This Row],[总分]]="","",SUMPRODUCT((表成绩单[考试日期]=表成绩单[[#This Row],[考试日期]])*(表成绩单[总分]&lt;9E+307)*(表成绩单[总分]&gt;表成绩单[[#This Row],[总分]]))+1)</f>
        <v>379</v>
      </c>
    </row>
    <row r="2787" ht="28" customHeight="1" spans="4:23">
      <c r="D2787" s="31">
        <v>46108</v>
      </c>
      <c r="E2787" s="29">
        <v>19175663</v>
      </c>
      <c r="F2787" s="29" t="s">
        <v>66</v>
      </c>
      <c r="G2787" s="29" t="s">
        <v>441</v>
      </c>
      <c r="H2787" s="29">
        <v>98</v>
      </c>
      <c r="I2787" s="29">
        <v>85</v>
      </c>
      <c r="J2787" s="29">
        <v>80</v>
      </c>
      <c r="K2787" s="29">
        <v>81</v>
      </c>
      <c r="L2787" s="29">
        <v>60</v>
      </c>
      <c r="M2787" s="29">
        <v>75</v>
      </c>
      <c r="N2787" s="29">
        <v>79</v>
      </c>
      <c r="O2787" s="32">
        <v>558</v>
      </c>
      <c r="P2787" s="29" cm="1">
        <f t="array" ref="P2787">IF(表成绩单[[#This Row],[语文]]="","",SUMPRODUCT((表成绩单[考试日期]=表成绩单[[#This Row],[考试日期]])*(表成绩单[语文]&lt;9E+307)*(表成绩单[语文]&gt;表成绩单[[#This Row],[语文]]))+1)</f>
        <v>322</v>
      </c>
      <c r="Q2787" s="29" cm="1">
        <f t="array" ref="Q2787">IF(表成绩单[[#This Row],[数学]]="","",SUMPRODUCT((表成绩单[考试日期]=表成绩单[[#This Row],[考试日期]])*(表成绩单[数学]&lt;9E+307)*(表成绩单[数学]&gt;表成绩单[[#This Row],[数学]]))+1)</f>
        <v>501</v>
      </c>
      <c r="R2787" s="29" cm="1">
        <f t="array" ref="R2787">IF(表成绩单[[#This Row],[英语]]="","",SUMPRODUCT((表成绩单[考试日期]=表成绩单[[#This Row],[考试日期]])*(表成绩单[英语]&lt;9E+307)*(表成绩单[英语]&gt;表成绩单[[#This Row],[英语]]))+1)</f>
        <v>266</v>
      </c>
      <c r="S2787" s="29" cm="1">
        <f t="array" ref="S2787">IF(表成绩单[[#This Row],[物理]]="","",SUMPRODUCT((表成绩单[考试日期]=表成绩单[[#This Row],[考试日期]])*(表成绩单[物理]&lt;9E+307)*(表成绩单[物理]&gt;表成绩单[[#This Row],[物理]]))+1)</f>
        <v>269</v>
      </c>
      <c r="T2787" s="29" cm="1">
        <f t="array" ref="T2787">IF(表成绩单[[#This Row],[化学]]="","",SUMPRODUCT((表成绩单[考试日期]=表成绩单[[#This Row],[考试日期]])*(表成绩单[化学]&lt;9E+307)*(表成绩单[化学]&gt;表成绩单[[#This Row],[化学]]))+1)</f>
        <v>490</v>
      </c>
      <c r="U2787" s="29" cm="1">
        <f t="array" ref="U2787">IF(表成绩单[[#This Row],[政治]]="","",SUMPRODUCT((表成绩单[考试日期]=表成绩单[[#This Row],[考试日期]])*(表成绩单[政治]&lt;9E+307)*(表成绩单[政治]&gt;表成绩单[[#This Row],[政治]]))+1)</f>
        <v>346</v>
      </c>
      <c r="V2787" s="29" cm="1">
        <f t="array" ref="V2787">IF(表成绩单[[#This Row],[历史]]="","",SUMPRODUCT((表成绩单[考试日期]=表成绩单[[#This Row],[考试日期]])*(表成绩单[历史]&lt;9E+307)*(表成绩单[历史]&gt;表成绩单[[#This Row],[历史]]))+1)</f>
        <v>173</v>
      </c>
      <c r="W2787" s="29" cm="1">
        <f t="array" ref="W2787">IF(表成绩单[[#This Row],[总分]]="","",SUMPRODUCT((表成绩单[考试日期]=表成绩单[[#This Row],[考试日期]])*(表成绩单[总分]&lt;9E+307)*(表成绩单[总分]&gt;表成绩单[[#This Row],[总分]]))+1)</f>
        <v>379</v>
      </c>
    </row>
    <row r="2788" ht="28" customHeight="1" spans="4:23">
      <c r="D2788" s="31">
        <v>46108</v>
      </c>
      <c r="E2788" s="29">
        <v>19178619</v>
      </c>
      <c r="F2788" s="29" t="s">
        <v>25</v>
      </c>
      <c r="G2788" s="29" t="s">
        <v>575</v>
      </c>
      <c r="H2788" s="29">
        <v>98</v>
      </c>
      <c r="I2788" s="29">
        <v>93</v>
      </c>
      <c r="J2788" s="29">
        <v>73</v>
      </c>
      <c r="K2788" s="29">
        <v>71</v>
      </c>
      <c r="L2788" s="29">
        <v>59</v>
      </c>
      <c r="M2788" s="29">
        <v>83</v>
      </c>
      <c r="N2788" s="29">
        <v>81</v>
      </c>
      <c r="O2788" s="32">
        <v>558</v>
      </c>
      <c r="P2788" s="29" cm="1">
        <f t="array" ref="P2788">IF(表成绩单[[#This Row],[语文]]="","",SUMPRODUCT((表成绩单[考试日期]=表成绩单[[#This Row],[考试日期]])*(表成绩单[语文]&lt;9E+307)*(表成绩单[语文]&gt;表成绩单[[#This Row],[语文]]))+1)</f>
        <v>322</v>
      </c>
      <c r="Q2788" s="29" cm="1">
        <f t="array" ref="Q2788">IF(表成绩单[[#This Row],[数学]]="","",SUMPRODUCT((表成绩单[考试日期]=表成绩单[[#This Row],[考试日期]])*(表成绩单[数学]&lt;9E+307)*(表成绩单[数学]&gt;表成绩单[[#This Row],[数学]]))+1)</f>
        <v>289</v>
      </c>
      <c r="R2788" s="29" cm="1">
        <f t="array" ref="R2788">IF(表成绩单[[#This Row],[英语]]="","",SUMPRODUCT((表成绩单[考试日期]=表成绩单[[#This Row],[考试日期]])*(表成绩单[英语]&lt;9E+307)*(表成绩单[英语]&gt;表成绩单[[#This Row],[英语]]))+1)</f>
        <v>478</v>
      </c>
      <c r="S2788" s="29" cm="1">
        <f t="array" ref="S2788">IF(表成绩单[[#This Row],[物理]]="","",SUMPRODUCT((表成绩单[考试日期]=表成绩单[[#This Row],[考试日期]])*(表成绩单[物理]&lt;9E+307)*(表成绩单[物理]&gt;表成绩单[[#This Row],[物理]]))+1)</f>
        <v>536</v>
      </c>
      <c r="T2788" s="29" cm="1">
        <f t="array" ref="T2788">IF(表成绩单[[#This Row],[化学]]="","",SUMPRODUCT((表成绩单[考试日期]=表成绩单[[#This Row],[考试日期]])*(表成绩单[化学]&lt;9E+307)*(表成绩单[化学]&gt;表成绩单[[#This Row],[化学]]))+1)</f>
        <v>510</v>
      </c>
      <c r="U2788" s="29" cm="1">
        <f t="array" ref="U2788">IF(表成绩单[[#This Row],[政治]]="","",SUMPRODUCT((表成绩单[考试日期]=表成绩单[[#This Row],[考试日期]])*(表成绩单[政治]&lt;9E+307)*(表成绩单[政治]&gt;表成绩单[[#This Row],[政治]]))+1)</f>
        <v>24</v>
      </c>
      <c r="V2788" s="29" cm="1">
        <f t="array" ref="V2788">IF(表成绩单[[#This Row],[历史]]="","",SUMPRODUCT((表成绩单[考试日期]=表成绩单[[#This Row],[考试日期]])*(表成绩单[历史]&lt;9E+307)*(表成绩单[历史]&gt;表成绩单[[#This Row],[历史]]))+1)</f>
        <v>106</v>
      </c>
      <c r="W2788" s="29" cm="1">
        <f t="array" ref="W2788">IF(表成绩单[[#This Row],[总分]]="","",SUMPRODUCT((表成绩单[考试日期]=表成绩单[[#This Row],[考试日期]])*(表成绩单[总分]&lt;9E+307)*(表成绩单[总分]&gt;表成绩单[[#This Row],[总分]]))+1)</f>
        <v>379</v>
      </c>
    </row>
    <row r="2789" ht="28" customHeight="1" spans="4:23">
      <c r="D2789" s="31">
        <v>46108</v>
      </c>
      <c r="E2789" s="29">
        <v>26750296</v>
      </c>
      <c r="F2789" s="29" t="s">
        <v>66</v>
      </c>
      <c r="G2789" s="29" t="s">
        <v>506</v>
      </c>
      <c r="H2789" s="29">
        <v>102</v>
      </c>
      <c r="I2789" s="29">
        <v>89</v>
      </c>
      <c r="J2789" s="29">
        <v>77</v>
      </c>
      <c r="K2789" s="29">
        <v>75</v>
      </c>
      <c r="L2789" s="29">
        <v>60</v>
      </c>
      <c r="M2789" s="29">
        <v>76</v>
      </c>
      <c r="N2789" s="29">
        <v>79</v>
      </c>
      <c r="O2789" s="32">
        <v>558</v>
      </c>
      <c r="P2789" s="29" cm="1">
        <f t="array" ref="P2789">IF(表成绩单[[#This Row],[语文]]="","",SUMPRODUCT((表成绩单[考试日期]=表成绩单[[#This Row],[考试日期]])*(表成绩单[语文]&lt;9E+307)*(表成绩单[语文]&gt;表成绩单[[#This Row],[语文]]))+1)</f>
        <v>183</v>
      </c>
      <c r="Q2789" s="29" cm="1">
        <f t="array" ref="Q2789">IF(表成绩单[[#This Row],[数学]]="","",SUMPRODUCT((表成绩单[考试日期]=表成绩单[[#This Row],[考试日期]])*(表成绩单[数学]&lt;9E+307)*(表成绩单[数学]&gt;表成绩单[[#This Row],[数学]]))+1)</f>
        <v>402</v>
      </c>
      <c r="R2789" s="29" cm="1">
        <f t="array" ref="R2789">IF(表成绩单[[#This Row],[英语]]="","",SUMPRODUCT((表成绩单[考试日期]=表成绩单[[#This Row],[考试日期]])*(表成绩单[英语]&lt;9E+307)*(表成绩单[英语]&gt;表成绩单[[#This Row],[英语]]))+1)</f>
        <v>370</v>
      </c>
      <c r="S2789" s="29" cm="1">
        <f t="array" ref="S2789">IF(表成绩单[[#This Row],[物理]]="","",SUMPRODUCT((表成绩单[考试日期]=表成绩单[[#This Row],[考试日期]])*(表成绩单[物理]&lt;9E+307)*(表成绩单[物理]&gt;表成绩单[[#This Row],[物理]]))+1)</f>
        <v>456</v>
      </c>
      <c r="T2789" s="29" cm="1">
        <f t="array" ref="T2789">IF(表成绩单[[#This Row],[化学]]="","",SUMPRODUCT((表成绩单[考试日期]=表成绩单[[#This Row],[考试日期]])*(表成绩单[化学]&lt;9E+307)*(表成绩单[化学]&gt;表成绩单[[#This Row],[化学]]))+1)</f>
        <v>490</v>
      </c>
      <c r="U2789" s="29" cm="1">
        <f t="array" ref="U2789">IF(表成绩单[[#This Row],[政治]]="","",SUMPRODUCT((表成绩单[考试日期]=表成绩单[[#This Row],[考试日期]])*(表成绩单[政治]&lt;9E+307)*(表成绩单[政治]&gt;表成绩单[[#This Row],[政治]]))+1)</f>
        <v>291</v>
      </c>
      <c r="V2789" s="29" cm="1">
        <f t="array" ref="V2789">IF(表成绩单[[#This Row],[历史]]="","",SUMPRODUCT((表成绩单[考试日期]=表成绩单[[#This Row],[考试日期]])*(表成绩单[历史]&lt;9E+307)*(表成绩单[历史]&gt;表成绩单[[#This Row],[历史]]))+1)</f>
        <v>173</v>
      </c>
      <c r="W2789" s="29" cm="1">
        <f t="array" ref="W2789">IF(表成绩单[[#This Row],[总分]]="","",SUMPRODUCT((表成绩单[考试日期]=表成绩单[[#This Row],[考试日期]])*(表成绩单[总分]&lt;9E+307)*(表成绩单[总分]&gt;表成绩单[[#This Row],[总分]]))+1)</f>
        <v>379</v>
      </c>
    </row>
    <row r="2790" ht="28" customHeight="1" spans="4:23">
      <c r="D2790" s="31">
        <v>46108</v>
      </c>
      <c r="E2790" s="29">
        <v>19167657</v>
      </c>
      <c r="F2790" s="29" t="s">
        <v>1</v>
      </c>
      <c r="G2790" s="29" t="s">
        <v>214</v>
      </c>
      <c r="H2790" s="29">
        <v>97</v>
      </c>
      <c r="I2790" s="29">
        <v>89</v>
      </c>
      <c r="J2790" s="29">
        <v>79.5</v>
      </c>
      <c r="K2790" s="29">
        <v>73</v>
      </c>
      <c r="L2790" s="29">
        <v>68</v>
      </c>
      <c r="M2790" s="29">
        <v>77</v>
      </c>
      <c r="N2790" s="29">
        <v>74</v>
      </c>
      <c r="O2790" s="32">
        <v>557.5</v>
      </c>
      <c r="P2790" s="29" cm="1">
        <f t="array" ref="P2790">IF(表成绩单[[#This Row],[语文]]="","",SUMPRODUCT((表成绩单[考试日期]=表成绩单[[#This Row],[考试日期]])*(表成绩单[语文]&lt;9E+307)*(表成绩单[语文]&gt;表成绩单[[#This Row],[语文]]))+1)</f>
        <v>357</v>
      </c>
      <c r="Q2790" s="29" cm="1">
        <f t="array" ref="Q2790">IF(表成绩单[[#This Row],[数学]]="","",SUMPRODUCT((表成绩单[考试日期]=表成绩单[[#This Row],[考试日期]])*(表成绩单[数学]&lt;9E+307)*(表成绩单[数学]&gt;表成绩单[[#This Row],[数学]]))+1)</f>
        <v>402</v>
      </c>
      <c r="R2790" s="29" cm="1">
        <f t="array" ref="R2790">IF(表成绩单[[#This Row],[英语]]="","",SUMPRODUCT((表成绩单[考试日期]=表成绩单[[#This Row],[考试日期]])*(表成绩单[英语]&lt;9E+307)*(表成绩单[英语]&gt;表成绩单[[#This Row],[英语]]))+1)</f>
        <v>286</v>
      </c>
      <c r="S2790" s="29" cm="1">
        <f t="array" ref="S2790">IF(表成绩单[[#This Row],[物理]]="","",SUMPRODUCT((表成绩单[考试日期]=表成绩单[[#This Row],[考试日期]])*(表成绩单[物理]&lt;9E+307)*(表成绩单[物理]&gt;表成绩单[[#This Row],[物理]]))+1)</f>
        <v>500</v>
      </c>
      <c r="T2790" s="29" cm="1">
        <f t="array" ref="T2790">IF(表成绩单[[#This Row],[化学]]="","",SUMPRODUCT((表成绩单[考试日期]=表成绩单[[#This Row],[考试日期]])*(表成绩单[化学]&lt;9E+307)*(表成绩单[化学]&gt;表成绩单[[#This Row],[化学]]))+1)</f>
        <v>306</v>
      </c>
      <c r="U2790" s="29" cm="1">
        <f t="array" ref="U2790">IF(表成绩单[[#This Row],[政治]]="","",SUMPRODUCT((表成绩单[考试日期]=表成绩单[[#This Row],[考试日期]])*(表成绩单[政治]&lt;9E+307)*(表成绩单[政治]&gt;表成绩单[[#This Row],[政治]]))+1)</f>
        <v>230</v>
      </c>
      <c r="V2790" s="29" cm="1">
        <f t="array" ref="V2790">IF(表成绩单[[#This Row],[历史]]="","",SUMPRODUCT((表成绩单[考试日期]=表成绩单[[#This Row],[考试日期]])*(表成绩单[历史]&lt;9E+307)*(表成绩单[历史]&gt;表成绩单[[#This Row],[历史]]))+1)</f>
        <v>389</v>
      </c>
      <c r="W2790" s="29" cm="1">
        <f t="array" ref="W2790">IF(表成绩单[[#This Row],[总分]]="","",SUMPRODUCT((表成绩单[考试日期]=表成绩单[[#This Row],[考试日期]])*(表成绩单[总分]&lt;9E+307)*(表成绩单[总分]&gt;表成绩单[[#This Row],[总分]]))+1)</f>
        <v>383</v>
      </c>
    </row>
    <row r="2791" ht="28" customHeight="1" spans="4:23">
      <c r="D2791" s="31">
        <v>46108</v>
      </c>
      <c r="E2791" s="29">
        <v>19176860</v>
      </c>
      <c r="F2791" s="29" t="s">
        <v>71</v>
      </c>
      <c r="G2791" s="29" t="s">
        <v>346</v>
      </c>
      <c r="H2791" s="29">
        <v>95</v>
      </c>
      <c r="I2791" s="29">
        <v>85</v>
      </c>
      <c r="J2791" s="29">
        <v>78.5</v>
      </c>
      <c r="K2791" s="29">
        <v>79</v>
      </c>
      <c r="L2791" s="29">
        <v>68</v>
      </c>
      <c r="M2791" s="29">
        <v>80</v>
      </c>
      <c r="N2791" s="29">
        <v>72</v>
      </c>
      <c r="O2791" s="32">
        <v>557.5</v>
      </c>
      <c r="P2791" s="29" cm="1">
        <f t="array" ref="P2791">IF(表成绩单[[#This Row],[语文]]="","",SUMPRODUCT((表成绩单[考试日期]=表成绩单[[#This Row],[考试日期]])*(表成绩单[语文]&lt;9E+307)*(表成绩单[语文]&gt;表成绩单[[#This Row],[语文]]))+1)</f>
        <v>422</v>
      </c>
      <c r="Q2791" s="29" cm="1">
        <f t="array" ref="Q2791">IF(表成绩单[[#This Row],[数学]]="","",SUMPRODUCT((表成绩单[考试日期]=表成绩单[[#This Row],[考试日期]])*(表成绩单[数学]&lt;9E+307)*(表成绩单[数学]&gt;表成绩单[[#This Row],[数学]]))+1)</f>
        <v>501</v>
      </c>
      <c r="R2791" s="29" cm="1">
        <f t="array" ref="R2791">IF(表成绩单[[#This Row],[英语]]="","",SUMPRODUCT((表成绩单[考试日期]=表成绩单[[#This Row],[考试日期]])*(表成绩单[英语]&lt;9E+307)*(表成绩单[英语]&gt;表成绩单[[#This Row],[英语]]))+1)</f>
        <v>322</v>
      </c>
      <c r="S2791" s="29" cm="1">
        <f t="array" ref="S2791">IF(表成绩单[[#This Row],[物理]]="","",SUMPRODUCT((表成绩单[考试日期]=表成绩单[[#This Row],[考试日期]])*(表成绩单[物理]&lt;9E+307)*(表成绩单[物理]&gt;表成绩单[[#This Row],[物理]]))+1)</f>
        <v>344</v>
      </c>
      <c r="T2791" s="29" cm="1">
        <f t="array" ref="T2791">IF(表成绩单[[#This Row],[化学]]="","",SUMPRODUCT((表成绩单[考试日期]=表成绩单[[#This Row],[考试日期]])*(表成绩单[化学]&lt;9E+307)*(表成绩单[化学]&gt;表成绩单[[#This Row],[化学]]))+1)</f>
        <v>306</v>
      </c>
      <c r="U2791" s="29" cm="1">
        <f t="array" ref="U2791">IF(表成绩单[[#This Row],[政治]]="","",SUMPRODUCT((表成绩单[考试日期]=表成绩单[[#This Row],[考试日期]])*(表成绩单[政治]&lt;9E+307)*(表成绩单[政治]&gt;表成绩单[[#This Row],[政治]]))+1)</f>
        <v>98</v>
      </c>
      <c r="V2791" s="29" cm="1">
        <f t="array" ref="V2791">IF(表成绩单[[#This Row],[历史]]="","",SUMPRODUCT((表成绩单[考试日期]=表成绩单[[#This Row],[考试日期]])*(表成绩单[历史]&lt;9E+307)*(表成绩单[历史]&gt;表成绩单[[#This Row],[历史]]))+1)</f>
        <v>470</v>
      </c>
      <c r="W2791" s="29" cm="1">
        <f t="array" ref="W2791">IF(表成绩单[[#This Row],[总分]]="","",SUMPRODUCT((表成绩单[考试日期]=表成绩单[[#This Row],[考试日期]])*(表成绩单[总分]&lt;9E+307)*(表成绩单[总分]&gt;表成绩单[[#This Row],[总分]]))+1)</f>
        <v>383</v>
      </c>
    </row>
    <row r="2792" ht="28" customHeight="1" spans="4:23">
      <c r="D2792" s="31">
        <v>46108</v>
      </c>
      <c r="E2792" s="29">
        <v>19178649</v>
      </c>
      <c r="F2792" s="29" t="s">
        <v>25</v>
      </c>
      <c r="G2792" s="29" t="s">
        <v>415</v>
      </c>
      <c r="H2792" s="29">
        <v>96</v>
      </c>
      <c r="I2792" s="29">
        <v>77</v>
      </c>
      <c r="J2792" s="29">
        <v>76.5</v>
      </c>
      <c r="K2792" s="29">
        <v>77</v>
      </c>
      <c r="L2792" s="29">
        <v>72</v>
      </c>
      <c r="M2792" s="29">
        <v>79</v>
      </c>
      <c r="N2792" s="29">
        <v>80</v>
      </c>
      <c r="O2792" s="32">
        <v>557.5</v>
      </c>
      <c r="P2792" s="29" cm="1">
        <f t="array" ref="P2792">IF(表成绩单[[#This Row],[语文]]="","",SUMPRODUCT((表成绩单[考试日期]=表成绩单[[#This Row],[考试日期]])*(表成绩单[语文]&lt;9E+307)*(表成绩单[语文]&gt;表成绩单[[#This Row],[语文]]))+1)</f>
        <v>390</v>
      </c>
      <c r="Q2792" s="29" cm="1">
        <f t="array" ref="Q2792">IF(表成绩单[[#This Row],[数学]]="","",SUMPRODUCT((表成绩单[考试日期]=表成绩单[[#This Row],[考试日期]])*(表成绩单[数学]&lt;9E+307)*(表成绩单[数学]&gt;表成绩单[[#This Row],[数学]]))+1)</f>
        <v>617</v>
      </c>
      <c r="R2792" s="29" cm="1">
        <f t="array" ref="R2792">IF(表成绩单[[#This Row],[英语]]="","",SUMPRODUCT((表成绩单[考试日期]=表成绩单[[#This Row],[考试日期]])*(表成绩单[英语]&lt;9E+307)*(表成绩单[英语]&gt;表成绩单[[#This Row],[英语]]))+1)</f>
        <v>384</v>
      </c>
      <c r="S2792" s="29" cm="1">
        <f t="array" ref="S2792">IF(表成绩单[[#This Row],[物理]]="","",SUMPRODUCT((表成绩单[考试日期]=表成绩单[[#This Row],[考试日期]])*(表成绩单[物理]&lt;9E+307)*(表成绩单[物理]&gt;表成绩单[[#This Row],[物理]]))+1)</f>
        <v>400</v>
      </c>
      <c r="T2792" s="29" cm="1">
        <f t="array" ref="T2792">IF(表成绩单[[#This Row],[化学]]="","",SUMPRODUCT((表成绩单[考试日期]=表成绩单[[#This Row],[考试日期]])*(表成绩单[化学]&lt;9E+307)*(表成绩单[化学]&gt;表成绩单[[#This Row],[化学]]))+1)</f>
        <v>187</v>
      </c>
      <c r="U2792" s="29" cm="1">
        <f t="array" ref="U2792">IF(表成绩单[[#This Row],[政治]]="","",SUMPRODUCT((表成绩单[考试日期]=表成绩单[[#This Row],[考试日期]])*(表成绩单[政治]&lt;9E+307)*(表成绩单[政治]&gt;表成绩单[[#This Row],[政治]]))+1)</f>
        <v>134</v>
      </c>
      <c r="V2792" s="29" cm="1">
        <f t="array" ref="V2792">IF(表成绩单[[#This Row],[历史]]="","",SUMPRODUCT((表成绩单[考试日期]=表成绩单[[#This Row],[考试日期]])*(表成绩单[历史]&lt;9E+307)*(表成绩单[历史]&gt;表成绩单[[#This Row],[历史]]))+1)</f>
        <v>143</v>
      </c>
      <c r="W2792" s="29" cm="1">
        <f t="array" ref="W2792">IF(表成绩单[[#This Row],[总分]]="","",SUMPRODUCT((表成绩单[考试日期]=表成绩单[[#This Row],[考试日期]])*(表成绩单[总分]&lt;9E+307)*(表成绩单[总分]&gt;表成绩单[[#This Row],[总分]]))+1)</f>
        <v>383</v>
      </c>
    </row>
    <row r="2793" ht="28" customHeight="1" spans="4:23">
      <c r="D2793" s="31">
        <v>46108</v>
      </c>
      <c r="E2793" s="29">
        <v>19176886</v>
      </c>
      <c r="F2793" s="29" t="s">
        <v>71</v>
      </c>
      <c r="G2793" s="29" t="s">
        <v>409</v>
      </c>
      <c r="H2793" s="29">
        <v>100</v>
      </c>
      <c r="I2793" s="29">
        <v>92</v>
      </c>
      <c r="J2793" s="29">
        <v>76</v>
      </c>
      <c r="K2793" s="29">
        <v>79</v>
      </c>
      <c r="L2793" s="29">
        <v>67</v>
      </c>
      <c r="M2793" s="29">
        <v>68</v>
      </c>
      <c r="N2793" s="29">
        <v>75</v>
      </c>
      <c r="O2793" s="32">
        <v>557</v>
      </c>
      <c r="P2793" s="29" cm="1">
        <f t="array" ref="P2793">IF(表成绩单[[#This Row],[语文]]="","",SUMPRODUCT((表成绩单[考试日期]=表成绩单[[#This Row],[考试日期]])*(表成绩单[语文]&lt;9E+307)*(表成绩单[语文]&gt;表成绩单[[#This Row],[语文]]))+1)</f>
        <v>247</v>
      </c>
      <c r="Q2793" s="29" cm="1">
        <f t="array" ref="Q2793">IF(表成绩单[[#This Row],[数学]]="","",SUMPRODUCT((表成绩单[考试日期]=表成绩单[[#This Row],[考试日期]])*(表成绩单[数学]&lt;9E+307)*(表成绩单[数学]&gt;表成绩单[[#This Row],[数学]]))+1)</f>
        <v>312</v>
      </c>
      <c r="R2793" s="29" cm="1">
        <f t="array" ref="R2793">IF(表成绩单[[#This Row],[英语]]="","",SUMPRODUCT((表成绩单[考试日期]=表成绩单[[#This Row],[考试日期]])*(表成绩单[英语]&lt;9E+307)*(表成绩单[英语]&gt;表成绩单[[#This Row],[英语]]))+1)</f>
        <v>405</v>
      </c>
      <c r="S2793" s="29" cm="1">
        <f t="array" ref="S2793">IF(表成绩单[[#This Row],[物理]]="","",SUMPRODUCT((表成绩单[考试日期]=表成绩单[[#This Row],[考试日期]])*(表成绩单[物理]&lt;9E+307)*(表成绩单[物理]&gt;表成绩单[[#This Row],[物理]]))+1)</f>
        <v>344</v>
      </c>
      <c r="T2793" s="29" cm="1">
        <f t="array" ref="T2793">IF(表成绩单[[#This Row],[化学]]="","",SUMPRODUCT((表成绩单[考试日期]=表成绩单[[#This Row],[考试日期]])*(表成绩单[化学]&lt;9E+307)*(表成绩单[化学]&gt;表成绩单[[#This Row],[化学]]))+1)</f>
        <v>335</v>
      </c>
      <c r="U2793" s="29" cm="1">
        <f t="array" ref="U2793">IF(表成绩单[[#This Row],[政治]]="","",SUMPRODUCT((表成绩单[考试日期]=表成绩单[[#This Row],[考试日期]])*(表成绩单[政治]&lt;9E+307)*(表成绩单[政治]&gt;表成绩单[[#This Row],[政治]]))+1)</f>
        <v>596</v>
      </c>
      <c r="V2793" s="29" cm="1">
        <f t="array" ref="V2793">IF(表成绩单[[#This Row],[历史]]="","",SUMPRODUCT((表成绩单[考试日期]=表成绩单[[#This Row],[考试日期]])*(表成绩单[历史]&lt;9E+307)*(表成绩单[历史]&gt;表成绩单[[#This Row],[历史]]))+1)</f>
        <v>354</v>
      </c>
      <c r="W2793" s="29" cm="1">
        <f t="array" ref="W2793">IF(表成绩单[[#This Row],[总分]]="","",SUMPRODUCT((表成绩单[考试日期]=表成绩单[[#This Row],[考试日期]])*(表成绩单[总分]&lt;9E+307)*(表成绩单[总分]&gt;表成绩单[[#This Row],[总分]]))+1)</f>
        <v>386</v>
      </c>
    </row>
    <row r="2794" ht="28" customHeight="1" spans="4:23">
      <c r="D2794" s="31">
        <v>46108</v>
      </c>
      <c r="E2794" s="29">
        <v>19172638</v>
      </c>
      <c r="F2794" s="29" t="s">
        <v>60</v>
      </c>
      <c r="G2794" s="29" t="s">
        <v>470</v>
      </c>
      <c r="H2794" s="29">
        <v>93</v>
      </c>
      <c r="I2794" s="29">
        <v>91</v>
      </c>
      <c r="J2794" s="29">
        <v>80.5</v>
      </c>
      <c r="K2794" s="29">
        <v>76</v>
      </c>
      <c r="L2794" s="29">
        <v>65</v>
      </c>
      <c r="M2794" s="29">
        <v>69</v>
      </c>
      <c r="N2794" s="29">
        <v>82</v>
      </c>
      <c r="O2794" s="32">
        <v>556.5</v>
      </c>
      <c r="P2794" s="29" cm="1">
        <f t="array" ref="P2794">IF(表成绩单[[#This Row],[语文]]="","",SUMPRODUCT((表成绩单[考试日期]=表成绩单[[#This Row],[考试日期]])*(表成绩单[语文]&lt;9E+307)*(表成绩单[语文]&gt;表成绩单[[#This Row],[语文]]))+1)</f>
        <v>470</v>
      </c>
      <c r="Q2794" s="29" cm="1">
        <f t="array" ref="Q2794">IF(表成绩单[[#This Row],[数学]]="","",SUMPRODUCT((表成绩单[考试日期]=表成绩单[[#This Row],[考试日期]])*(表成绩单[数学]&lt;9E+307)*(表成绩单[数学]&gt;表成绩单[[#This Row],[数学]]))+1)</f>
        <v>341</v>
      </c>
      <c r="R2794" s="29" cm="1">
        <f t="array" ref="R2794">IF(表成绩单[[#This Row],[英语]]="","",SUMPRODUCT((表成绩单[考试日期]=表成绩单[[#This Row],[考试日期]])*(表成绩单[英语]&lt;9E+307)*(表成绩单[英语]&gt;表成绩单[[#This Row],[英语]]))+1)</f>
        <v>244</v>
      </c>
      <c r="S2794" s="29" cm="1">
        <f t="array" ref="S2794">IF(表成绩单[[#This Row],[物理]]="","",SUMPRODUCT((表成绩单[考试日期]=表成绩单[[#This Row],[考试日期]])*(表成绩单[物理]&lt;9E+307)*(表成绩单[物理]&gt;表成绩单[[#This Row],[物理]]))+1)</f>
        <v>433</v>
      </c>
      <c r="T2794" s="29" cm="1">
        <f t="array" ref="T2794">IF(表成绩单[[#This Row],[化学]]="","",SUMPRODUCT((表成绩单[考试日期]=表成绩单[[#This Row],[考试日期]])*(表成绩单[化学]&lt;9E+307)*(表成绩单[化学]&gt;表成绩单[[#This Row],[化学]]))+1)</f>
        <v>379</v>
      </c>
      <c r="U2794" s="29" cm="1">
        <f t="array" ref="U2794">IF(表成绩单[[#This Row],[政治]]="","",SUMPRODUCT((表成绩单[考试日期]=表成绩单[[#This Row],[考试日期]])*(表成绩单[政治]&lt;9E+307)*(表成绩单[政治]&gt;表成绩单[[#This Row],[政治]]))+1)</f>
        <v>567</v>
      </c>
      <c r="V2794" s="29" cm="1">
        <f t="array" ref="V2794">IF(表成绩单[[#This Row],[历史]]="","",SUMPRODUCT((表成绩单[考试日期]=表成绩单[[#This Row],[考试日期]])*(表成绩单[历史]&lt;9E+307)*(表成绩单[历史]&gt;表成绩单[[#This Row],[历史]]))+1)</f>
        <v>81</v>
      </c>
      <c r="W2794" s="29" cm="1">
        <f t="array" ref="W2794">IF(表成绩单[[#This Row],[总分]]="","",SUMPRODUCT((表成绩单[考试日期]=表成绩单[[#This Row],[考试日期]])*(表成绩单[总分]&lt;9E+307)*(表成绩单[总分]&gt;表成绩单[[#This Row],[总分]]))+1)</f>
        <v>387</v>
      </c>
    </row>
    <row r="2795" ht="28" customHeight="1" spans="4:23">
      <c r="D2795" s="31">
        <v>46108</v>
      </c>
      <c r="E2795" s="29">
        <v>19173795</v>
      </c>
      <c r="F2795" s="29" t="s">
        <v>65</v>
      </c>
      <c r="G2795" s="29" t="s">
        <v>541</v>
      </c>
      <c r="H2795" s="29">
        <v>95</v>
      </c>
      <c r="I2795" s="29">
        <v>93</v>
      </c>
      <c r="J2795" s="29">
        <v>70.5</v>
      </c>
      <c r="K2795" s="29">
        <v>90</v>
      </c>
      <c r="L2795" s="29">
        <v>62</v>
      </c>
      <c r="M2795" s="29">
        <v>74</v>
      </c>
      <c r="N2795" s="29">
        <v>72</v>
      </c>
      <c r="O2795" s="32">
        <v>556.5</v>
      </c>
      <c r="P2795" s="29" cm="1">
        <f t="array" ref="P2795">IF(表成绩单[[#This Row],[语文]]="","",SUMPRODUCT((表成绩单[考试日期]=表成绩单[[#This Row],[考试日期]])*(表成绩单[语文]&lt;9E+307)*(表成绩单[语文]&gt;表成绩单[[#This Row],[语文]]))+1)</f>
        <v>422</v>
      </c>
      <c r="Q2795" s="29" cm="1">
        <f t="array" ref="Q2795">IF(表成绩单[[#This Row],[数学]]="","",SUMPRODUCT((表成绩单[考试日期]=表成绩单[[#This Row],[考试日期]])*(表成绩单[数学]&lt;9E+307)*(表成绩单[数学]&gt;表成绩单[[#This Row],[数学]]))+1)</f>
        <v>289</v>
      </c>
      <c r="R2795" s="29" cm="1">
        <f t="array" ref="R2795">IF(表成绩单[[#This Row],[英语]]="","",SUMPRODUCT((表成绩单[考试日期]=表成绩单[[#This Row],[考试日期]])*(表成绩单[英语]&lt;9E+307)*(表成绩单[英语]&gt;表成绩单[[#This Row],[英语]]))+1)</f>
        <v>530</v>
      </c>
      <c r="S2795" s="29" cm="1">
        <f t="array" ref="S2795">IF(表成绩单[[#This Row],[物理]]="","",SUMPRODUCT((表成绩单[考试日期]=表成绩单[[#This Row],[考试日期]])*(表成绩单[物理]&lt;9E+307)*(表成绩单[物理]&gt;表成绩单[[#This Row],[物理]]))+1)</f>
        <v>1</v>
      </c>
      <c r="T2795" s="29" cm="1">
        <f t="array" ref="T2795">IF(表成绩单[[#This Row],[化学]]="","",SUMPRODUCT((表成绩单[考试日期]=表成绩单[[#This Row],[考试日期]])*(表成绩单[化学]&lt;9E+307)*(表成绩单[化学]&gt;表成绩单[[#This Row],[化学]]))+1)</f>
        <v>449</v>
      </c>
      <c r="U2795" s="29" cm="1">
        <f t="array" ref="U2795">IF(表成绩单[[#This Row],[政治]]="","",SUMPRODUCT((表成绩单[考试日期]=表成绩单[[#This Row],[考试日期]])*(表成绩单[政治]&lt;9E+307)*(表成绩单[政治]&gt;表成绩单[[#This Row],[政治]]))+1)</f>
        <v>389</v>
      </c>
      <c r="V2795" s="29" cm="1">
        <f t="array" ref="V2795">IF(表成绩单[[#This Row],[历史]]="","",SUMPRODUCT((表成绩单[考试日期]=表成绩单[[#This Row],[考试日期]])*(表成绩单[历史]&lt;9E+307)*(表成绩单[历史]&gt;表成绩单[[#This Row],[历史]]))+1)</f>
        <v>470</v>
      </c>
      <c r="W2795" s="29" cm="1">
        <f t="array" ref="W2795">IF(表成绩单[[#This Row],[总分]]="","",SUMPRODUCT((表成绩单[考试日期]=表成绩单[[#This Row],[考试日期]])*(表成绩单[总分]&lt;9E+307)*(表成绩单[总分]&gt;表成绩单[[#This Row],[总分]]))+1)</f>
        <v>387</v>
      </c>
    </row>
    <row r="2796" ht="28" customHeight="1" spans="4:23">
      <c r="D2796" s="31">
        <v>46108</v>
      </c>
      <c r="E2796" s="29">
        <v>19178623</v>
      </c>
      <c r="F2796" s="29" t="s">
        <v>25</v>
      </c>
      <c r="G2796" s="29" t="s">
        <v>557</v>
      </c>
      <c r="H2796" s="29">
        <v>108</v>
      </c>
      <c r="I2796" s="29">
        <v>88</v>
      </c>
      <c r="J2796" s="29">
        <v>79.5</v>
      </c>
      <c r="K2796" s="29">
        <v>73</v>
      </c>
      <c r="L2796" s="29">
        <v>58</v>
      </c>
      <c r="M2796" s="29">
        <v>81</v>
      </c>
      <c r="N2796" s="29">
        <v>69</v>
      </c>
      <c r="O2796" s="32">
        <v>556.5</v>
      </c>
      <c r="P2796" s="29" cm="1">
        <f t="array" ref="P2796">IF(表成绩单[[#This Row],[语文]]="","",SUMPRODUCT((表成绩单[考试日期]=表成绩单[[#This Row],[考试日期]])*(表成绩单[语文]&lt;9E+307)*(表成绩单[语文]&gt;表成绩单[[#This Row],[语文]]))+1)</f>
        <v>55</v>
      </c>
      <c r="Q2796" s="29" cm="1">
        <f t="array" ref="Q2796">IF(表成绩单[[#This Row],[数学]]="","",SUMPRODUCT((表成绩单[考试日期]=表成绩单[[#This Row],[考试日期]])*(表成绩单[数学]&lt;9E+307)*(表成绩单[数学]&gt;表成绩单[[#This Row],[数学]]))+1)</f>
        <v>424</v>
      </c>
      <c r="R2796" s="29" cm="1">
        <f t="array" ref="R2796">IF(表成绩单[[#This Row],[英语]]="","",SUMPRODUCT((表成绩单[考试日期]=表成绩单[[#This Row],[考试日期]])*(表成绩单[英语]&lt;9E+307)*(表成绩单[英语]&gt;表成绩单[[#This Row],[英语]]))+1)</f>
        <v>286</v>
      </c>
      <c r="S2796" s="29" cm="1">
        <f t="array" ref="S2796">IF(表成绩单[[#This Row],[物理]]="","",SUMPRODUCT((表成绩单[考试日期]=表成绩单[[#This Row],[考试日期]])*(表成绩单[物理]&lt;9E+307)*(表成绩单[物理]&gt;表成绩单[[#This Row],[物理]]))+1)</f>
        <v>500</v>
      </c>
      <c r="T2796" s="29" cm="1">
        <f t="array" ref="T2796">IF(表成绩单[[#This Row],[化学]]="","",SUMPRODUCT((表成绩单[考试日期]=表成绩单[[#This Row],[考试日期]])*(表成绩单[化学]&lt;9E+307)*(表成绩单[化学]&gt;表成绩单[[#This Row],[化学]]))+1)</f>
        <v>532</v>
      </c>
      <c r="U2796" s="29" cm="1">
        <f t="array" ref="U2796">IF(表成绩单[[#This Row],[政治]]="","",SUMPRODUCT((表成绩单[考试日期]=表成绩单[[#This Row],[考试日期]])*(表成绩单[政治]&lt;9E+307)*(表成绩单[政治]&gt;表成绩单[[#This Row],[政治]]))+1)</f>
        <v>68</v>
      </c>
      <c r="V2796" s="29" cm="1">
        <f t="array" ref="V2796">IF(表成绩单[[#This Row],[历史]]="","",SUMPRODUCT((表成绩单[考试日期]=表成绩单[[#This Row],[考试日期]])*(表成绩单[历史]&lt;9E+307)*(表成绩单[历史]&gt;表成绩单[[#This Row],[历史]]))+1)</f>
        <v>569</v>
      </c>
      <c r="W2796" s="29" cm="1">
        <f t="array" ref="W2796">IF(表成绩单[[#This Row],[总分]]="","",SUMPRODUCT((表成绩单[考试日期]=表成绩单[[#This Row],[考试日期]])*(表成绩单[总分]&lt;9E+307)*(表成绩单[总分]&gt;表成绩单[[#This Row],[总分]]))+1)</f>
        <v>387</v>
      </c>
    </row>
    <row r="2797" ht="28" customHeight="1" spans="4:23">
      <c r="D2797" s="31">
        <v>46108</v>
      </c>
      <c r="E2797" s="29">
        <v>19173272</v>
      </c>
      <c r="F2797" s="29" t="s">
        <v>61</v>
      </c>
      <c r="G2797" s="29" t="s">
        <v>410</v>
      </c>
      <c r="H2797" s="29">
        <v>95</v>
      </c>
      <c r="I2797" s="29">
        <v>94</v>
      </c>
      <c r="J2797" s="29">
        <v>71</v>
      </c>
      <c r="K2797" s="29">
        <v>77</v>
      </c>
      <c r="L2797" s="29">
        <v>69</v>
      </c>
      <c r="M2797" s="29">
        <v>76</v>
      </c>
      <c r="N2797" s="29">
        <v>74</v>
      </c>
      <c r="O2797" s="32">
        <v>556</v>
      </c>
      <c r="P2797" s="29" cm="1">
        <f t="array" ref="P2797">IF(表成绩单[[#This Row],[语文]]="","",SUMPRODUCT((表成绩单[考试日期]=表成绩单[[#This Row],[考试日期]])*(表成绩单[语文]&lt;9E+307)*(表成绩单[语文]&gt;表成绩单[[#This Row],[语文]]))+1)</f>
        <v>422</v>
      </c>
      <c r="Q2797" s="29" cm="1">
        <f t="array" ref="Q2797">IF(表成绩单[[#This Row],[数学]]="","",SUMPRODUCT((表成绩单[考试日期]=表成绩单[[#This Row],[考试日期]])*(表成绩单[数学]&lt;9E+307)*(表成绩单[数学]&gt;表成绩单[[#This Row],[数学]]))+1)</f>
        <v>258</v>
      </c>
      <c r="R2797" s="29" cm="1">
        <f t="array" ref="R2797">IF(表成绩单[[#This Row],[英语]]="","",SUMPRODUCT((表成绩单[考试日期]=表成绩单[[#This Row],[考试日期]])*(表成绩单[英语]&lt;9E+307)*(表成绩单[英语]&gt;表成绩单[[#This Row],[英语]]))+1)</f>
        <v>522</v>
      </c>
      <c r="S2797" s="29" cm="1">
        <f t="array" ref="S2797">IF(表成绩单[[#This Row],[物理]]="","",SUMPRODUCT((表成绩单[考试日期]=表成绩单[[#This Row],[考试日期]])*(表成绩单[物理]&lt;9E+307)*(表成绩单[物理]&gt;表成绩单[[#This Row],[物理]]))+1)</f>
        <v>400</v>
      </c>
      <c r="T2797" s="29" cm="1">
        <f t="array" ref="T2797">IF(表成绩单[[#This Row],[化学]]="","",SUMPRODUCT((表成绩单[考试日期]=表成绩单[[#This Row],[考试日期]])*(表成绩单[化学]&lt;9E+307)*(表成绩单[化学]&gt;表成绩单[[#This Row],[化学]]))+1)</f>
        <v>269</v>
      </c>
      <c r="U2797" s="29" cm="1">
        <f t="array" ref="U2797">IF(表成绩单[[#This Row],[政治]]="","",SUMPRODUCT((表成绩单[考试日期]=表成绩单[[#This Row],[考试日期]])*(表成绩单[政治]&lt;9E+307)*(表成绩单[政治]&gt;表成绩单[[#This Row],[政治]]))+1)</f>
        <v>291</v>
      </c>
      <c r="V2797" s="29" cm="1">
        <f t="array" ref="V2797">IF(表成绩单[[#This Row],[历史]]="","",SUMPRODUCT((表成绩单[考试日期]=表成绩单[[#This Row],[考试日期]])*(表成绩单[历史]&lt;9E+307)*(表成绩单[历史]&gt;表成绩单[[#This Row],[历史]]))+1)</f>
        <v>389</v>
      </c>
      <c r="W2797" s="29" cm="1">
        <f t="array" ref="W2797">IF(表成绩单[[#This Row],[总分]]="","",SUMPRODUCT((表成绩单[考试日期]=表成绩单[[#This Row],[考试日期]])*(表成绩单[总分]&lt;9E+307)*(表成绩单[总分]&gt;表成绩单[[#This Row],[总分]]))+1)</f>
        <v>390</v>
      </c>
    </row>
    <row r="2798" ht="28" customHeight="1" spans="4:23">
      <c r="D2798" s="31">
        <v>46108</v>
      </c>
      <c r="E2798" s="29">
        <v>19176162</v>
      </c>
      <c r="F2798" s="29" t="s">
        <v>67</v>
      </c>
      <c r="G2798" s="29" t="s">
        <v>383</v>
      </c>
      <c r="H2798" s="29">
        <v>93</v>
      </c>
      <c r="I2798" s="29">
        <v>84</v>
      </c>
      <c r="J2798" s="29">
        <v>80</v>
      </c>
      <c r="K2798" s="29">
        <v>80</v>
      </c>
      <c r="L2798" s="29">
        <v>57</v>
      </c>
      <c r="M2798" s="29">
        <v>83</v>
      </c>
      <c r="N2798" s="29">
        <v>79</v>
      </c>
      <c r="O2798" s="32">
        <v>556</v>
      </c>
      <c r="P2798" s="29" cm="1">
        <f t="array" ref="P2798">IF(表成绩单[[#This Row],[语文]]="","",SUMPRODUCT((表成绩单[考试日期]=表成绩单[[#This Row],[考试日期]])*(表成绩单[语文]&lt;9E+307)*(表成绩单[语文]&gt;表成绩单[[#This Row],[语文]]))+1)</f>
        <v>470</v>
      </c>
      <c r="Q2798" s="29" cm="1">
        <f t="array" ref="Q2798">IF(表成绩单[[#This Row],[数学]]="","",SUMPRODUCT((表成绩单[考试日期]=表成绩单[[#This Row],[考试日期]])*(表成绩单[数学]&lt;9E+307)*(表成绩单[数学]&gt;表成绩单[[#This Row],[数学]]))+1)</f>
        <v>518</v>
      </c>
      <c r="R2798" s="29" cm="1">
        <f t="array" ref="R2798">IF(表成绩单[[#This Row],[英语]]="","",SUMPRODUCT((表成绩单[考试日期]=表成绩单[[#This Row],[考试日期]])*(表成绩单[英语]&lt;9E+307)*(表成绩单[英语]&gt;表成绩单[[#This Row],[英语]]))+1)</f>
        <v>266</v>
      </c>
      <c r="S2798" s="29" cm="1">
        <f t="array" ref="S2798">IF(表成绩单[[#This Row],[物理]]="","",SUMPRODUCT((表成绩单[考试日期]=表成绩单[[#This Row],[考试日期]])*(表成绩单[物理]&lt;9E+307)*(表成绩单[物理]&gt;表成绩单[[#This Row],[物理]]))+1)</f>
        <v>305</v>
      </c>
      <c r="T2798" s="29" cm="1">
        <f t="array" ref="T2798">IF(表成绩单[[#This Row],[化学]]="","",SUMPRODUCT((表成绩单[考试日期]=表成绩单[[#This Row],[考试日期]])*(表成绩单[化学]&lt;9E+307)*(表成绩单[化学]&gt;表成绩单[[#This Row],[化学]]))+1)</f>
        <v>552</v>
      </c>
      <c r="U2798" s="29" cm="1">
        <f t="array" ref="U2798">IF(表成绩单[[#This Row],[政治]]="","",SUMPRODUCT((表成绩单[考试日期]=表成绩单[[#This Row],[考试日期]])*(表成绩单[政治]&lt;9E+307)*(表成绩单[政治]&gt;表成绩单[[#This Row],[政治]]))+1)</f>
        <v>24</v>
      </c>
      <c r="V2798" s="29" cm="1">
        <f t="array" ref="V2798">IF(表成绩单[[#This Row],[历史]]="","",SUMPRODUCT((表成绩单[考试日期]=表成绩单[[#This Row],[考试日期]])*(表成绩单[历史]&lt;9E+307)*(表成绩单[历史]&gt;表成绩单[[#This Row],[历史]]))+1)</f>
        <v>173</v>
      </c>
      <c r="W2798" s="29" cm="1">
        <f t="array" ref="W2798">IF(表成绩单[[#This Row],[总分]]="","",SUMPRODUCT((表成绩单[考试日期]=表成绩单[[#This Row],[考试日期]])*(表成绩单[总分]&lt;9E+307)*(表成绩单[总分]&gt;表成绩单[[#This Row],[总分]]))+1)</f>
        <v>390</v>
      </c>
    </row>
    <row r="2799" ht="28" customHeight="1" spans="4:23">
      <c r="D2799" s="31">
        <v>46108</v>
      </c>
      <c r="E2799" s="29">
        <v>19177656</v>
      </c>
      <c r="F2799" s="29" t="s">
        <v>63</v>
      </c>
      <c r="G2799" s="29" t="s">
        <v>537</v>
      </c>
      <c r="H2799" s="29">
        <v>105</v>
      </c>
      <c r="I2799" s="29">
        <v>86</v>
      </c>
      <c r="J2799" s="29">
        <v>70</v>
      </c>
      <c r="K2799" s="29">
        <v>76</v>
      </c>
      <c r="L2799" s="29">
        <v>72</v>
      </c>
      <c r="M2799" s="29">
        <v>71</v>
      </c>
      <c r="N2799" s="29">
        <v>76</v>
      </c>
      <c r="O2799" s="32">
        <v>556</v>
      </c>
      <c r="P2799" s="29" cm="1">
        <f t="array" ref="P2799">IF(表成绩单[[#This Row],[语文]]="","",SUMPRODUCT((表成绩单[考试日期]=表成绩单[[#This Row],[考试日期]])*(表成绩单[语文]&lt;9E+307)*(表成绩单[语文]&gt;表成绩单[[#This Row],[语文]]))+1)</f>
        <v>101</v>
      </c>
      <c r="Q2799" s="29" cm="1">
        <f t="array" ref="Q2799">IF(表成绩单[[#This Row],[数学]]="","",SUMPRODUCT((表成绩单[考试日期]=表成绩单[[#This Row],[考试日期]])*(表成绩单[数学]&lt;9E+307)*(表成绩单[数学]&gt;表成绩单[[#This Row],[数学]]))+1)</f>
        <v>479</v>
      </c>
      <c r="R2799" s="29" cm="1">
        <f t="array" ref="R2799">IF(表成绩单[[#This Row],[英语]]="","",SUMPRODUCT((表成绩单[考试日期]=表成绩单[[#This Row],[考试日期]])*(表成绩单[英语]&lt;9E+307)*(表成绩单[英语]&gt;表成绩单[[#This Row],[英语]]))+1)</f>
        <v>542</v>
      </c>
      <c r="S2799" s="29" cm="1">
        <f t="array" ref="S2799">IF(表成绩单[[#This Row],[物理]]="","",SUMPRODUCT((表成绩单[考试日期]=表成绩单[[#This Row],[考试日期]])*(表成绩单[物理]&lt;9E+307)*(表成绩单[物理]&gt;表成绩单[[#This Row],[物理]]))+1)</f>
        <v>433</v>
      </c>
      <c r="T2799" s="29" cm="1">
        <f t="array" ref="T2799">IF(表成绩单[[#This Row],[化学]]="","",SUMPRODUCT((表成绩单[考试日期]=表成绩单[[#This Row],[考试日期]])*(表成绩单[化学]&lt;9E+307)*(表成绩单[化学]&gt;表成绩单[[#This Row],[化学]]))+1)</f>
        <v>187</v>
      </c>
      <c r="U2799" s="29" cm="1">
        <f t="array" ref="U2799">IF(表成绩单[[#This Row],[政治]]="","",SUMPRODUCT((表成绩单[考试日期]=表成绩单[[#This Row],[考试日期]])*(表成绩单[政治]&lt;9E+307)*(表成绩单[政治]&gt;表成绩单[[#This Row],[政治]]))+1)</f>
        <v>513</v>
      </c>
      <c r="V2799" s="29" cm="1">
        <f t="array" ref="V2799">IF(表成绩单[[#This Row],[历史]]="","",SUMPRODUCT((表成绩单[考试日期]=表成绩单[[#This Row],[考试日期]])*(表成绩单[历史]&lt;9E+307)*(表成绩单[历史]&gt;表成绩单[[#This Row],[历史]]))+1)</f>
        <v>316</v>
      </c>
      <c r="W2799" s="29" cm="1">
        <f t="array" ref="W2799">IF(表成绩单[[#This Row],[总分]]="","",SUMPRODUCT((表成绩单[考试日期]=表成绩单[[#This Row],[考试日期]])*(表成绩单[总分]&lt;9E+307)*(表成绩单[总分]&gt;表成绩单[[#This Row],[总分]]))+1)</f>
        <v>390</v>
      </c>
    </row>
    <row r="2800" ht="28" customHeight="1" spans="4:23">
      <c r="D2800" s="31">
        <v>46108</v>
      </c>
      <c r="E2800" s="29">
        <v>19177676</v>
      </c>
      <c r="F2800" s="29" t="s">
        <v>63</v>
      </c>
      <c r="G2800" s="29" t="s">
        <v>368</v>
      </c>
      <c r="H2800" s="29">
        <v>93</v>
      </c>
      <c r="I2800" s="29">
        <v>84</v>
      </c>
      <c r="J2800" s="29">
        <v>75</v>
      </c>
      <c r="K2800" s="29">
        <v>81</v>
      </c>
      <c r="L2800" s="29">
        <v>67</v>
      </c>
      <c r="M2800" s="29">
        <v>79</v>
      </c>
      <c r="N2800" s="29">
        <v>77</v>
      </c>
      <c r="O2800" s="32">
        <v>556</v>
      </c>
      <c r="P2800" s="29" cm="1">
        <f t="array" ref="P2800">IF(表成绩单[[#This Row],[语文]]="","",SUMPRODUCT((表成绩单[考试日期]=表成绩单[[#This Row],[考试日期]])*(表成绩单[语文]&lt;9E+307)*(表成绩单[语文]&gt;表成绩单[[#This Row],[语文]]))+1)</f>
        <v>470</v>
      </c>
      <c r="Q2800" s="29" cm="1">
        <f t="array" ref="Q2800">IF(表成绩单[[#This Row],[数学]]="","",SUMPRODUCT((表成绩单[考试日期]=表成绩单[[#This Row],[考试日期]])*(表成绩单[数学]&lt;9E+307)*(表成绩单[数学]&gt;表成绩单[[#This Row],[数学]]))+1)</f>
        <v>518</v>
      </c>
      <c r="R2800" s="29" cm="1">
        <f t="array" ref="R2800">IF(表成绩单[[#This Row],[英语]]="","",SUMPRODUCT((表成绩单[考试日期]=表成绩单[[#This Row],[考试日期]])*(表成绩单[英语]&lt;9E+307)*(表成绩单[英语]&gt;表成绩单[[#This Row],[英语]]))+1)</f>
        <v>444</v>
      </c>
      <c r="S2800" s="29" cm="1">
        <f t="array" ref="S2800">IF(表成绩单[[#This Row],[物理]]="","",SUMPRODUCT((表成绩单[考试日期]=表成绩单[[#This Row],[考试日期]])*(表成绩单[物理]&lt;9E+307)*(表成绩单[物理]&gt;表成绩单[[#This Row],[物理]]))+1)</f>
        <v>269</v>
      </c>
      <c r="T2800" s="29" cm="1">
        <f t="array" ref="T2800">IF(表成绩单[[#This Row],[化学]]="","",SUMPRODUCT((表成绩单[考试日期]=表成绩单[[#This Row],[考试日期]])*(表成绩单[化学]&lt;9E+307)*(表成绩单[化学]&gt;表成绩单[[#This Row],[化学]]))+1)</f>
        <v>335</v>
      </c>
      <c r="U2800" s="29" cm="1">
        <f t="array" ref="U2800">IF(表成绩单[[#This Row],[政治]]="","",SUMPRODUCT((表成绩单[考试日期]=表成绩单[[#This Row],[考试日期]])*(表成绩单[政治]&lt;9E+307)*(表成绩单[政治]&gt;表成绩单[[#This Row],[政治]]))+1)</f>
        <v>134</v>
      </c>
      <c r="V2800" s="29" cm="1">
        <f t="array" ref="V2800">IF(表成绩单[[#This Row],[历史]]="","",SUMPRODUCT((表成绩单[考试日期]=表成绩单[[#This Row],[考试日期]])*(表成绩单[历史]&lt;9E+307)*(表成绩单[历史]&gt;表成绩单[[#This Row],[历史]]))+1)</f>
        <v>269</v>
      </c>
      <c r="W2800" s="29" cm="1">
        <f t="array" ref="W2800">IF(表成绩单[[#This Row],[总分]]="","",SUMPRODUCT((表成绩单[考试日期]=表成绩单[[#This Row],[考试日期]])*(表成绩单[总分]&lt;9E+307)*(表成绩单[总分]&gt;表成绩单[[#This Row],[总分]]))+1)</f>
        <v>390</v>
      </c>
    </row>
    <row r="2801" ht="28" customHeight="1" spans="4:23">
      <c r="D2801" s="31">
        <v>46108</v>
      </c>
      <c r="E2801" s="29">
        <v>19175658</v>
      </c>
      <c r="F2801" s="29" t="s">
        <v>66</v>
      </c>
      <c r="G2801" s="29" t="s">
        <v>525</v>
      </c>
      <c r="H2801" s="29">
        <v>97</v>
      </c>
      <c r="I2801" s="29">
        <v>91</v>
      </c>
      <c r="J2801" s="29">
        <v>80.5</v>
      </c>
      <c r="K2801" s="29">
        <v>70</v>
      </c>
      <c r="L2801" s="29">
        <v>64</v>
      </c>
      <c r="M2801" s="29">
        <v>75</v>
      </c>
      <c r="N2801" s="29">
        <v>78</v>
      </c>
      <c r="O2801" s="32">
        <v>555.5</v>
      </c>
      <c r="P2801" s="29" cm="1">
        <f t="array" ref="P2801">IF(表成绩单[[#This Row],[语文]]="","",SUMPRODUCT((表成绩单[考试日期]=表成绩单[[#This Row],[考试日期]])*(表成绩单[语文]&lt;9E+307)*(表成绩单[语文]&gt;表成绩单[[#This Row],[语文]]))+1)</f>
        <v>357</v>
      </c>
      <c r="Q2801" s="29" cm="1">
        <f t="array" ref="Q2801">IF(表成绩单[[#This Row],[数学]]="","",SUMPRODUCT((表成绩单[考试日期]=表成绩单[[#This Row],[考试日期]])*(表成绩单[数学]&lt;9E+307)*(表成绩单[数学]&gt;表成绩单[[#This Row],[数学]]))+1)</f>
        <v>341</v>
      </c>
      <c r="R2801" s="29" cm="1">
        <f t="array" ref="R2801">IF(表成绩单[[#This Row],[英语]]="","",SUMPRODUCT((表成绩单[考试日期]=表成绩单[[#This Row],[考试日期]])*(表成绩单[英语]&lt;9E+307)*(表成绩单[英语]&gt;表成绩单[[#This Row],[英语]]))+1)</f>
        <v>244</v>
      </c>
      <c r="S2801" s="29" cm="1">
        <f t="array" ref="S2801">IF(表成绩单[[#This Row],[物理]]="","",SUMPRODUCT((表成绩单[考试日期]=表成绩单[[#This Row],[考试日期]])*(表成绩单[物理]&lt;9E+307)*(表成绩单[物理]&gt;表成绩单[[#This Row],[物理]]))+1)</f>
        <v>549</v>
      </c>
      <c r="T2801" s="29" cm="1">
        <f t="array" ref="T2801">IF(表成绩单[[#This Row],[化学]]="","",SUMPRODUCT((表成绩单[考试日期]=表成绩单[[#This Row],[考试日期]])*(表成绩单[化学]&lt;9E+307)*(表成绩单[化学]&gt;表成绩单[[#This Row],[化学]]))+1)</f>
        <v>400</v>
      </c>
      <c r="U2801" s="29" cm="1">
        <f t="array" ref="U2801">IF(表成绩单[[#This Row],[政治]]="","",SUMPRODUCT((表成绩单[考试日期]=表成绩单[[#This Row],[考试日期]])*(表成绩单[政治]&lt;9E+307)*(表成绩单[政治]&gt;表成绩单[[#This Row],[政治]]))+1)</f>
        <v>346</v>
      </c>
      <c r="V2801" s="29" cm="1">
        <f t="array" ref="V2801">IF(表成绩单[[#This Row],[历史]]="","",SUMPRODUCT((表成绩单[考试日期]=表成绩单[[#This Row],[考试日期]])*(表成绩单[历史]&lt;9E+307)*(表成绩单[历史]&gt;表成绩单[[#This Row],[历史]]))+1)</f>
        <v>222</v>
      </c>
      <c r="W2801" s="29" cm="1">
        <f t="array" ref="W2801">IF(表成绩单[[#This Row],[总分]]="","",SUMPRODUCT((表成绩单[考试日期]=表成绩单[[#This Row],[考试日期]])*(表成绩单[总分]&lt;9E+307)*(表成绩单[总分]&gt;表成绩单[[#This Row],[总分]]))+1)</f>
        <v>394</v>
      </c>
    </row>
    <row r="2802" ht="28" customHeight="1" spans="4:23">
      <c r="D2802" s="31">
        <v>46108</v>
      </c>
      <c r="E2802" s="29">
        <v>19176870</v>
      </c>
      <c r="F2802" s="29" t="s">
        <v>71</v>
      </c>
      <c r="G2802" s="29" t="s">
        <v>545</v>
      </c>
      <c r="H2802" s="29">
        <v>90</v>
      </c>
      <c r="I2802" s="29">
        <v>97</v>
      </c>
      <c r="J2802" s="29">
        <v>75.5</v>
      </c>
      <c r="K2802" s="29">
        <v>81</v>
      </c>
      <c r="L2802" s="29">
        <v>58</v>
      </c>
      <c r="M2802" s="29">
        <v>74</v>
      </c>
      <c r="N2802" s="29">
        <v>80</v>
      </c>
      <c r="O2802" s="32">
        <v>555.5</v>
      </c>
      <c r="P2802" s="29" cm="1">
        <f t="array" ref="P2802">IF(表成绩单[[#This Row],[语文]]="","",SUMPRODUCT((表成绩单[考试日期]=表成绩单[[#This Row],[考试日期]])*(表成绩单[语文]&lt;9E+307)*(表成绩单[语文]&gt;表成绩单[[#This Row],[语文]]))+1)</f>
        <v>539</v>
      </c>
      <c r="Q2802" s="29" cm="1">
        <f t="array" ref="Q2802">IF(表成绩单[[#This Row],[数学]]="","",SUMPRODUCT((表成绩单[考试日期]=表成绩单[[#This Row],[考试日期]])*(表成绩单[数学]&lt;9E+307)*(表成绩单[数学]&gt;表成绩单[[#This Row],[数学]]))+1)</f>
        <v>175</v>
      </c>
      <c r="R2802" s="29" cm="1">
        <f t="array" ref="R2802">IF(表成绩单[[#This Row],[英语]]="","",SUMPRODUCT((表成绩单[考试日期]=表成绩单[[#This Row],[考试日期]])*(表成绩单[英语]&lt;9E+307)*(表成绩单[英语]&gt;表成绩单[[#This Row],[英语]]))+1)</f>
        <v>421</v>
      </c>
      <c r="S2802" s="29" cm="1">
        <f t="array" ref="S2802">IF(表成绩单[[#This Row],[物理]]="","",SUMPRODUCT((表成绩单[考试日期]=表成绩单[[#This Row],[考试日期]])*(表成绩单[物理]&lt;9E+307)*(表成绩单[物理]&gt;表成绩单[[#This Row],[物理]]))+1)</f>
        <v>269</v>
      </c>
      <c r="T2802" s="29" cm="1">
        <f t="array" ref="T2802">IF(表成绩单[[#This Row],[化学]]="","",SUMPRODUCT((表成绩单[考试日期]=表成绩单[[#This Row],[考试日期]])*(表成绩单[化学]&lt;9E+307)*(表成绩单[化学]&gt;表成绩单[[#This Row],[化学]]))+1)</f>
        <v>532</v>
      </c>
      <c r="U2802" s="29" cm="1">
        <f t="array" ref="U2802">IF(表成绩单[[#This Row],[政治]]="","",SUMPRODUCT((表成绩单[考试日期]=表成绩单[[#This Row],[考试日期]])*(表成绩单[政治]&lt;9E+307)*(表成绩单[政治]&gt;表成绩单[[#This Row],[政治]]))+1)</f>
        <v>389</v>
      </c>
      <c r="V2802" s="29" cm="1">
        <f t="array" ref="V2802">IF(表成绩单[[#This Row],[历史]]="","",SUMPRODUCT((表成绩单[考试日期]=表成绩单[[#This Row],[考试日期]])*(表成绩单[历史]&lt;9E+307)*(表成绩单[历史]&gt;表成绩单[[#This Row],[历史]]))+1)</f>
        <v>143</v>
      </c>
      <c r="W2802" s="29" cm="1">
        <f t="array" ref="W2802">IF(表成绩单[[#This Row],[总分]]="","",SUMPRODUCT((表成绩单[考试日期]=表成绩单[[#This Row],[考试日期]])*(表成绩单[总分]&lt;9E+307)*(表成绩单[总分]&gt;表成绩单[[#This Row],[总分]]))+1)</f>
        <v>394</v>
      </c>
    </row>
    <row r="2803" ht="28" customHeight="1" spans="4:23">
      <c r="D2803" s="31">
        <v>46108</v>
      </c>
      <c r="E2803" s="29">
        <v>19173797</v>
      </c>
      <c r="F2803" s="29" t="s">
        <v>65</v>
      </c>
      <c r="G2803" s="29" t="s">
        <v>469</v>
      </c>
      <c r="H2803" s="29">
        <v>82</v>
      </c>
      <c r="I2803" s="29">
        <v>90</v>
      </c>
      <c r="J2803" s="29">
        <v>78</v>
      </c>
      <c r="K2803" s="29">
        <v>83</v>
      </c>
      <c r="L2803" s="29">
        <v>72</v>
      </c>
      <c r="M2803" s="29">
        <v>77</v>
      </c>
      <c r="N2803" s="29">
        <v>73</v>
      </c>
      <c r="O2803" s="32">
        <v>555</v>
      </c>
      <c r="P2803" s="29" cm="1">
        <f t="array" ref="P2803">IF(表成绩单[[#This Row],[语文]]="","",SUMPRODUCT((表成绩单[考试日期]=表成绩单[[#This Row],[考试日期]])*(表成绩单[语文]&lt;9E+307)*(表成绩单[语文]&gt;表成绩单[[#This Row],[语文]]))+1)</f>
        <v>657</v>
      </c>
      <c r="Q2803" s="29" cm="1">
        <f t="array" ref="Q2803">IF(表成绩单[[#This Row],[数学]]="","",SUMPRODUCT((表成绩单[考试日期]=表成绩单[[#This Row],[考试日期]])*(表成绩单[数学]&lt;9E+307)*(表成绩单[数学]&gt;表成绩单[[#This Row],[数学]]))+1)</f>
        <v>368</v>
      </c>
      <c r="R2803" s="29" cm="1">
        <f t="array" ref="R2803">IF(表成绩单[[#This Row],[英语]]="","",SUMPRODUCT((表成绩单[考试日期]=表成绩单[[#This Row],[考试日期]])*(表成绩单[英语]&lt;9E+307)*(表成绩单[英语]&gt;表成绩单[[#This Row],[英语]]))+1)</f>
        <v>341</v>
      </c>
      <c r="S2803" s="29" cm="1">
        <f t="array" ref="S2803">IF(表成绩单[[#This Row],[物理]]="","",SUMPRODUCT((表成绩单[考试日期]=表成绩单[[#This Row],[考试日期]])*(表成绩单[物理]&lt;9E+307)*(表成绩单[物理]&gt;表成绩单[[#This Row],[物理]]))+1)</f>
        <v>184</v>
      </c>
      <c r="T2803" s="29" cm="1">
        <f t="array" ref="T2803">IF(表成绩单[[#This Row],[化学]]="","",SUMPRODUCT((表成绩单[考试日期]=表成绩单[[#This Row],[考试日期]])*(表成绩单[化学]&lt;9E+307)*(表成绩单[化学]&gt;表成绩单[[#This Row],[化学]]))+1)</f>
        <v>187</v>
      </c>
      <c r="U2803" s="29" cm="1">
        <f t="array" ref="U2803">IF(表成绩单[[#This Row],[政治]]="","",SUMPRODUCT((表成绩单[考试日期]=表成绩单[[#This Row],[考试日期]])*(表成绩单[政治]&lt;9E+307)*(表成绩单[政治]&gt;表成绩单[[#This Row],[政治]]))+1)</f>
        <v>230</v>
      </c>
      <c r="V2803" s="29" cm="1">
        <f t="array" ref="V2803">IF(表成绩单[[#This Row],[历史]]="","",SUMPRODUCT((表成绩单[考试日期]=表成绩单[[#This Row],[考试日期]])*(表成绩单[历史]&lt;9E+307)*(表成绩单[历史]&gt;表成绩单[[#This Row],[历史]]))+1)</f>
        <v>432</v>
      </c>
      <c r="W2803" s="29" cm="1">
        <f t="array" ref="W2803">IF(表成绩单[[#This Row],[总分]]="","",SUMPRODUCT((表成绩单[考试日期]=表成绩单[[#This Row],[考试日期]])*(表成绩单[总分]&lt;9E+307)*(表成绩单[总分]&gt;表成绩单[[#This Row],[总分]]))+1)</f>
        <v>396</v>
      </c>
    </row>
    <row r="2804" ht="28" customHeight="1" spans="4:23">
      <c r="D2804" s="31">
        <v>46108</v>
      </c>
      <c r="E2804" s="29">
        <v>19174771</v>
      </c>
      <c r="F2804" s="29" t="s">
        <v>69</v>
      </c>
      <c r="G2804" s="29" t="s">
        <v>526</v>
      </c>
      <c r="H2804" s="29">
        <v>88</v>
      </c>
      <c r="I2804" s="29">
        <v>87</v>
      </c>
      <c r="J2804" s="29">
        <v>80</v>
      </c>
      <c r="K2804" s="29">
        <v>86</v>
      </c>
      <c r="L2804" s="29">
        <v>69</v>
      </c>
      <c r="M2804" s="29">
        <v>72</v>
      </c>
      <c r="N2804" s="29">
        <v>73</v>
      </c>
      <c r="O2804" s="32">
        <v>555</v>
      </c>
      <c r="P2804" s="29" cm="1">
        <f t="array" ref="P2804">IF(表成绩单[[#This Row],[语文]]="","",SUMPRODUCT((表成绩单[考试日期]=表成绩单[[#This Row],[考试日期]])*(表成绩单[语文]&lt;9E+307)*(表成绩单[语文]&gt;表成绩单[[#This Row],[语文]]))+1)</f>
        <v>575</v>
      </c>
      <c r="Q2804" s="29" cm="1">
        <f t="array" ref="Q2804">IF(表成绩单[[#This Row],[数学]]="","",SUMPRODUCT((表成绩单[考试日期]=表成绩单[[#This Row],[考试日期]])*(表成绩单[数学]&lt;9E+307)*(表成绩单[数学]&gt;表成绩单[[#This Row],[数学]]))+1)</f>
        <v>452</v>
      </c>
      <c r="R2804" s="29" cm="1">
        <f t="array" ref="R2804">IF(表成绩单[[#This Row],[英语]]="","",SUMPRODUCT((表成绩单[考试日期]=表成绩单[[#This Row],[考试日期]])*(表成绩单[英语]&lt;9E+307)*(表成绩单[英语]&gt;表成绩单[[#This Row],[英语]]))+1)</f>
        <v>266</v>
      </c>
      <c r="S2804" s="29" cm="1">
        <f t="array" ref="S2804">IF(表成绩单[[#This Row],[物理]]="","",SUMPRODUCT((表成绩单[考试日期]=表成绩单[[#This Row],[考试日期]])*(表成绩单[物理]&lt;9E+307)*(表成绩单[物理]&gt;表成绩单[[#This Row],[物理]]))+1)</f>
        <v>61</v>
      </c>
      <c r="T2804" s="29" cm="1">
        <f t="array" ref="T2804">IF(表成绩单[[#This Row],[化学]]="","",SUMPRODUCT((表成绩单[考试日期]=表成绩单[[#This Row],[考试日期]])*(表成绩单[化学]&lt;9E+307)*(表成绩单[化学]&gt;表成绩单[[#This Row],[化学]]))+1)</f>
        <v>269</v>
      </c>
      <c r="U2804" s="29" cm="1">
        <f t="array" ref="U2804">IF(表成绩单[[#This Row],[政治]]="","",SUMPRODUCT((表成绩单[考试日期]=表成绩单[[#This Row],[考试日期]])*(表成绩单[政治]&lt;9E+307)*(表成绩单[政治]&gt;表成绩单[[#This Row],[政治]]))+1)</f>
        <v>470</v>
      </c>
      <c r="V2804" s="29" cm="1">
        <f t="array" ref="V2804">IF(表成绩单[[#This Row],[历史]]="","",SUMPRODUCT((表成绩单[考试日期]=表成绩单[[#This Row],[考试日期]])*(表成绩单[历史]&lt;9E+307)*(表成绩单[历史]&gt;表成绩单[[#This Row],[历史]]))+1)</f>
        <v>432</v>
      </c>
      <c r="W2804" s="29" cm="1">
        <f t="array" ref="W2804">IF(表成绩单[[#This Row],[总分]]="","",SUMPRODUCT((表成绩单[考试日期]=表成绩单[[#This Row],[考试日期]])*(表成绩单[总分]&lt;9E+307)*(表成绩单[总分]&gt;表成绩单[[#This Row],[总分]]))+1)</f>
        <v>396</v>
      </c>
    </row>
    <row r="2805" ht="28" customHeight="1" spans="4:23">
      <c r="D2805" s="31">
        <v>46108</v>
      </c>
      <c r="E2805" s="29">
        <v>19176176</v>
      </c>
      <c r="F2805" s="29" t="s">
        <v>67</v>
      </c>
      <c r="G2805" s="29" t="s">
        <v>539</v>
      </c>
      <c r="H2805" s="29">
        <v>105</v>
      </c>
      <c r="I2805" s="29">
        <v>84</v>
      </c>
      <c r="J2805" s="29">
        <v>82</v>
      </c>
      <c r="K2805" s="29">
        <v>77</v>
      </c>
      <c r="L2805" s="29">
        <v>61</v>
      </c>
      <c r="M2805" s="29">
        <v>77</v>
      </c>
      <c r="N2805" s="29">
        <v>69</v>
      </c>
      <c r="O2805" s="32">
        <v>555</v>
      </c>
      <c r="P2805" s="29" cm="1">
        <f t="array" ref="P2805">IF(表成绩单[[#This Row],[语文]]="","",SUMPRODUCT((表成绩单[考试日期]=表成绩单[[#This Row],[考试日期]])*(表成绩单[语文]&lt;9E+307)*(表成绩单[语文]&gt;表成绩单[[#This Row],[语文]]))+1)</f>
        <v>101</v>
      </c>
      <c r="Q2805" s="29" cm="1">
        <f t="array" ref="Q2805">IF(表成绩单[[#This Row],[数学]]="","",SUMPRODUCT((表成绩单[考试日期]=表成绩单[[#This Row],[考试日期]])*(表成绩单[数学]&lt;9E+307)*(表成绩单[数学]&gt;表成绩单[[#This Row],[数学]]))+1)</f>
        <v>518</v>
      </c>
      <c r="R2805" s="29" cm="1">
        <f t="array" ref="R2805">IF(表成绩单[[#This Row],[英语]]="","",SUMPRODUCT((表成绩单[考试日期]=表成绩单[[#This Row],[考试日期]])*(表成绩单[英语]&lt;9E+307)*(表成绩单[英语]&gt;表成绩单[[#This Row],[英语]]))+1)</f>
        <v>180</v>
      </c>
      <c r="S2805" s="29" cm="1">
        <f t="array" ref="S2805">IF(表成绩单[[#This Row],[物理]]="","",SUMPRODUCT((表成绩单[考试日期]=表成绩单[[#This Row],[考试日期]])*(表成绩单[物理]&lt;9E+307)*(表成绩单[物理]&gt;表成绩单[[#This Row],[物理]]))+1)</f>
        <v>400</v>
      </c>
      <c r="T2805" s="29" cm="1">
        <f t="array" ref="T2805">IF(表成绩单[[#This Row],[化学]]="","",SUMPRODUCT((表成绩单[考试日期]=表成绩单[[#This Row],[考试日期]])*(表成绩单[化学]&lt;9E+307)*(表成绩单[化学]&gt;表成绩单[[#This Row],[化学]]))+1)</f>
        <v>467</v>
      </c>
      <c r="U2805" s="29" cm="1">
        <f t="array" ref="U2805">IF(表成绩单[[#This Row],[政治]]="","",SUMPRODUCT((表成绩单[考试日期]=表成绩单[[#This Row],[考试日期]])*(表成绩单[政治]&lt;9E+307)*(表成绩单[政治]&gt;表成绩单[[#This Row],[政治]]))+1)</f>
        <v>230</v>
      </c>
      <c r="V2805" s="29" cm="1">
        <f t="array" ref="V2805">IF(表成绩单[[#This Row],[历史]]="","",SUMPRODUCT((表成绩单[考试日期]=表成绩单[[#This Row],[考试日期]])*(表成绩单[历史]&lt;9E+307)*(表成绩单[历史]&gt;表成绩单[[#This Row],[历史]]))+1)</f>
        <v>569</v>
      </c>
      <c r="W2805" s="29" cm="1">
        <f t="array" ref="W2805">IF(表成绩单[[#This Row],[总分]]="","",SUMPRODUCT((表成绩单[考试日期]=表成绩单[[#This Row],[考试日期]])*(表成绩单[总分]&lt;9E+307)*(表成绩单[总分]&gt;表成绩单[[#This Row],[总分]]))+1)</f>
        <v>396</v>
      </c>
    </row>
    <row r="2806" ht="28" customHeight="1" spans="4:23">
      <c r="D2806" s="31">
        <v>46108</v>
      </c>
      <c r="E2806" s="29">
        <v>19176167</v>
      </c>
      <c r="F2806" s="29" t="s">
        <v>67</v>
      </c>
      <c r="G2806" s="29" t="s">
        <v>389</v>
      </c>
      <c r="H2806" s="29">
        <v>88</v>
      </c>
      <c r="I2806" s="29">
        <v>101</v>
      </c>
      <c r="J2806" s="29">
        <v>80.5</v>
      </c>
      <c r="K2806" s="29">
        <v>85</v>
      </c>
      <c r="L2806" s="29">
        <v>61</v>
      </c>
      <c r="M2806" s="29">
        <v>73</v>
      </c>
      <c r="N2806" s="29">
        <v>66</v>
      </c>
      <c r="O2806" s="32">
        <v>554.5</v>
      </c>
      <c r="P2806" s="29" cm="1">
        <f t="array" ref="P2806">IF(表成绩单[[#This Row],[语文]]="","",SUMPRODUCT((表成绩单[考试日期]=表成绩单[[#This Row],[考试日期]])*(表成绩单[语文]&lt;9E+307)*(表成绩单[语文]&gt;表成绩单[[#This Row],[语文]]))+1)</f>
        <v>575</v>
      </c>
      <c r="Q2806" s="29" cm="1">
        <f t="array" ref="Q2806">IF(表成绩单[[#This Row],[数学]]="","",SUMPRODUCT((表成绩单[考试日期]=表成绩单[[#This Row],[考试日期]])*(表成绩单[数学]&lt;9E+307)*(表成绩单[数学]&gt;表成绩单[[#This Row],[数学]]))+1)</f>
        <v>115</v>
      </c>
      <c r="R2806" s="29" cm="1">
        <f t="array" ref="R2806">IF(表成绩单[[#This Row],[英语]]="","",SUMPRODUCT((表成绩单[考试日期]=表成绩单[[#This Row],[考试日期]])*(表成绩单[英语]&lt;9E+307)*(表成绩单[英语]&gt;表成绩单[[#This Row],[英语]]))+1)</f>
        <v>244</v>
      </c>
      <c r="S2806" s="29" cm="1">
        <f t="array" ref="S2806">IF(表成绩单[[#This Row],[物理]]="","",SUMPRODUCT((表成绩单[考试日期]=表成绩单[[#This Row],[考试日期]])*(表成绩单[物理]&lt;9E+307)*(表成绩单[物理]&gt;表成绩单[[#This Row],[物理]]))+1)</f>
        <v>105</v>
      </c>
      <c r="T2806" s="29" cm="1">
        <f t="array" ref="T2806">IF(表成绩单[[#This Row],[化学]]="","",SUMPRODUCT((表成绩单[考试日期]=表成绩单[[#This Row],[考试日期]])*(表成绩单[化学]&lt;9E+307)*(表成绩单[化学]&gt;表成绩单[[#This Row],[化学]]))+1)</f>
        <v>467</v>
      </c>
      <c r="U2806" s="29" cm="1">
        <f t="array" ref="U2806">IF(表成绩单[[#This Row],[政治]]="","",SUMPRODUCT((表成绩单[考试日期]=表成绩单[[#This Row],[考试日期]])*(表成绩单[政治]&lt;9E+307)*(表成绩单[政治]&gt;表成绩单[[#This Row],[政治]]))+1)</f>
        <v>431</v>
      </c>
      <c r="V2806" s="29" cm="1">
        <f t="array" ref="V2806">IF(表成绩单[[#This Row],[历史]]="","",SUMPRODUCT((表成绩单[考试日期]=表成绩单[[#This Row],[考试日期]])*(表成绩单[历史]&lt;9E+307)*(表成绩单[历史]&gt;表成绩单[[#This Row],[历史]]))+1)</f>
        <v>637</v>
      </c>
      <c r="W2806" s="29" cm="1">
        <f t="array" ref="W2806">IF(表成绩单[[#This Row],[总分]]="","",SUMPRODUCT((表成绩单[考试日期]=表成绩单[[#This Row],[考试日期]])*(表成绩单[总分]&lt;9E+307)*(表成绩单[总分]&gt;表成绩单[[#This Row],[总分]]))+1)</f>
        <v>399</v>
      </c>
    </row>
    <row r="2807" ht="28" customHeight="1" spans="4:23">
      <c r="D2807" s="31">
        <v>46108</v>
      </c>
      <c r="E2807" s="29">
        <v>19176879</v>
      </c>
      <c r="F2807" s="29" t="s">
        <v>71</v>
      </c>
      <c r="G2807" s="29" t="s">
        <v>361</v>
      </c>
      <c r="H2807" s="29">
        <v>104</v>
      </c>
      <c r="I2807" s="29">
        <v>92</v>
      </c>
      <c r="J2807" s="29">
        <v>75.5</v>
      </c>
      <c r="K2807" s="29">
        <v>75</v>
      </c>
      <c r="L2807" s="29">
        <v>55</v>
      </c>
      <c r="M2807" s="29">
        <v>77</v>
      </c>
      <c r="N2807" s="29">
        <v>76</v>
      </c>
      <c r="O2807" s="32">
        <v>554.5</v>
      </c>
      <c r="P2807" s="29" cm="1">
        <f t="array" ref="P2807">IF(表成绩单[[#This Row],[语文]]="","",SUMPRODUCT((表成绩单[考试日期]=表成绩单[[#This Row],[考试日期]])*(表成绩单[语文]&lt;9E+307)*(表成绩单[语文]&gt;表成绩单[[#This Row],[语文]]))+1)</f>
        <v>131</v>
      </c>
      <c r="Q2807" s="29" cm="1">
        <f t="array" ref="Q2807">IF(表成绩单[[#This Row],[数学]]="","",SUMPRODUCT((表成绩单[考试日期]=表成绩单[[#This Row],[考试日期]])*(表成绩单[数学]&lt;9E+307)*(表成绩单[数学]&gt;表成绩单[[#This Row],[数学]]))+1)</f>
        <v>312</v>
      </c>
      <c r="R2807" s="29" cm="1">
        <f t="array" ref="R2807">IF(表成绩单[[#This Row],[英语]]="","",SUMPRODUCT((表成绩单[考试日期]=表成绩单[[#This Row],[考试日期]])*(表成绩单[英语]&lt;9E+307)*(表成绩单[英语]&gt;表成绩单[[#This Row],[英语]]))+1)</f>
        <v>421</v>
      </c>
      <c r="S2807" s="29" cm="1">
        <f t="array" ref="S2807">IF(表成绩单[[#This Row],[物理]]="","",SUMPRODUCT((表成绩单[考试日期]=表成绩单[[#This Row],[考试日期]])*(表成绩单[物理]&lt;9E+307)*(表成绩单[物理]&gt;表成绩单[[#This Row],[物理]]))+1)</f>
        <v>456</v>
      </c>
      <c r="T2807" s="29" cm="1">
        <f t="array" ref="T2807">IF(表成绩单[[#This Row],[化学]]="","",SUMPRODUCT((表成绩单[考试日期]=表成绩单[[#This Row],[考试日期]])*(表成绩单[化学]&lt;9E+307)*(表成绩单[化学]&gt;表成绩单[[#This Row],[化学]]))+1)</f>
        <v>580</v>
      </c>
      <c r="U2807" s="29" cm="1">
        <f t="array" ref="U2807">IF(表成绩单[[#This Row],[政治]]="","",SUMPRODUCT((表成绩单[考试日期]=表成绩单[[#This Row],[考试日期]])*(表成绩单[政治]&lt;9E+307)*(表成绩单[政治]&gt;表成绩单[[#This Row],[政治]]))+1)</f>
        <v>230</v>
      </c>
      <c r="V2807" s="29" cm="1">
        <f t="array" ref="V2807">IF(表成绩单[[#This Row],[历史]]="","",SUMPRODUCT((表成绩单[考试日期]=表成绩单[[#This Row],[考试日期]])*(表成绩单[历史]&lt;9E+307)*(表成绩单[历史]&gt;表成绩单[[#This Row],[历史]]))+1)</f>
        <v>316</v>
      </c>
      <c r="W2807" s="29" cm="1">
        <f t="array" ref="W2807">IF(表成绩单[[#This Row],[总分]]="","",SUMPRODUCT((表成绩单[考试日期]=表成绩单[[#This Row],[考试日期]])*(表成绩单[总分]&lt;9E+307)*(表成绩单[总分]&gt;表成绩单[[#This Row],[总分]]))+1)</f>
        <v>399</v>
      </c>
    </row>
    <row r="2808" ht="28" customHeight="1" spans="4:23">
      <c r="D2808" s="31">
        <v>46108</v>
      </c>
      <c r="E2808" s="29">
        <v>19177220</v>
      </c>
      <c r="F2808" s="29" t="s">
        <v>70</v>
      </c>
      <c r="G2808" s="29" t="s">
        <v>452</v>
      </c>
      <c r="H2808" s="29">
        <v>100</v>
      </c>
      <c r="I2808" s="29">
        <v>79</v>
      </c>
      <c r="J2808" s="29">
        <v>78.5</v>
      </c>
      <c r="K2808" s="29">
        <v>76</v>
      </c>
      <c r="L2808" s="29">
        <v>72</v>
      </c>
      <c r="M2808" s="29">
        <v>73</v>
      </c>
      <c r="N2808" s="29">
        <v>76</v>
      </c>
      <c r="O2808" s="32">
        <v>554.5</v>
      </c>
      <c r="P2808" s="29" cm="1">
        <f t="array" ref="P2808">IF(表成绩单[[#This Row],[语文]]="","",SUMPRODUCT((表成绩单[考试日期]=表成绩单[[#This Row],[考试日期]])*(表成绩单[语文]&lt;9E+307)*(表成绩单[语文]&gt;表成绩单[[#This Row],[语文]]))+1)</f>
        <v>247</v>
      </c>
      <c r="Q2808" s="29" cm="1">
        <f t="array" ref="Q2808">IF(表成绩单[[#This Row],[数学]]="","",SUMPRODUCT((表成绩单[考试日期]=表成绩单[[#This Row],[考试日期]])*(表成绩单[数学]&lt;9E+307)*(表成绩单[数学]&gt;表成绩单[[#This Row],[数学]]))+1)</f>
        <v>591</v>
      </c>
      <c r="R2808" s="29" cm="1">
        <f t="array" ref="R2808">IF(表成绩单[[#This Row],[英语]]="","",SUMPRODUCT((表成绩单[考试日期]=表成绩单[[#This Row],[考试日期]])*(表成绩单[英语]&lt;9E+307)*(表成绩单[英语]&gt;表成绩单[[#This Row],[英语]]))+1)</f>
        <v>322</v>
      </c>
      <c r="S2808" s="29" cm="1">
        <f t="array" ref="S2808">IF(表成绩单[[#This Row],[物理]]="","",SUMPRODUCT((表成绩单[考试日期]=表成绩单[[#This Row],[考试日期]])*(表成绩单[物理]&lt;9E+307)*(表成绩单[物理]&gt;表成绩单[[#This Row],[物理]]))+1)</f>
        <v>433</v>
      </c>
      <c r="T2808" s="29" cm="1">
        <f t="array" ref="T2808">IF(表成绩单[[#This Row],[化学]]="","",SUMPRODUCT((表成绩单[考试日期]=表成绩单[[#This Row],[考试日期]])*(表成绩单[化学]&lt;9E+307)*(表成绩单[化学]&gt;表成绩单[[#This Row],[化学]]))+1)</f>
        <v>187</v>
      </c>
      <c r="U2808" s="29" cm="1">
        <f t="array" ref="U2808">IF(表成绩单[[#This Row],[政治]]="","",SUMPRODUCT((表成绩单[考试日期]=表成绩单[[#This Row],[考试日期]])*(表成绩单[政治]&lt;9E+307)*(表成绩单[政治]&gt;表成绩单[[#This Row],[政治]]))+1)</f>
        <v>431</v>
      </c>
      <c r="V2808" s="29" cm="1">
        <f t="array" ref="V2808">IF(表成绩单[[#This Row],[历史]]="","",SUMPRODUCT((表成绩单[考试日期]=表成绩单[[#This Row],[考试日期]])*(表成绩单[历史]&lt;9E+307)*(表成绩单[历史]&gt;表成绩单[[#This Row],[历史]]))+1)</f>
        <v>316</v>
      </c>
      <c r="W2808" s="29" cm="1">
        <f t="array" ref="W2808">IF(表成绩单[[#This Row],[总分]]="","",SUMPRODUCT((表成绩单[考试日期]=表成绩单[[#This Row],[考试日期]])*(表成绩单[总分]&lt;9E+307)*(表成绩单[总分]&gt;表成绩单[[#This Row],[总分]]))+1)</f>
        <v>399</v>
      </c>
    </row>
    <row r="2809" ht="28" customHeight="1" spans="4:23">
      <c r="D2809" s="31">
        <v>46108</v>
      </c>
      <c r="E2809" s="29">
        <v>19178597</v>
      </c>
      <c r="F2809" s="29" t="s">
        <v>64</v>
      </c>
      <c r="G2809" s="29" t="s">
        <v>561</v>
      </c>
      <c r="H2809" s="29">
        <v>91</v>
      </c>
      <c r="I2809" s="29">
        <v>99</v>
      </c>
      <c r="J2809" s="29">
        <v>73.5</v>
      </c>
      <c r="K2809" s="29">
        <v>72</v>
      </c>
      <c r="L2809" s="29">
        <v>70</v>
      </c>
      <c r="M2809" s="29">
        <v>78</v>
      </c>
      <c r="N2809" s="29">
        <v>70</v>
      </c>
      <c r="O2809" s="32">
        <v>553.5</v>
      </c>
      <c r="P2809" s="29" cm="1">
        <f t="array" ref="P2809">IF(表成绩单[[#This Row],[语文]]="","",SUMPRODUCT((表成绩单[考试日期]=表成绩单[[#This Row],[考试日期]])*(表成绩单[语文]&lt;9E+307)*(表成绩单[语文]&gt;表成绩单[[#This Row],[语文]]))+1)</f>
        <v>519</v>
      </c>
      <c r="Q2809" s="29" cm="1">
        <f t="array" ref="Q2809">IF(表成绩单[[#This Row],[数学]]="","",SUMPRODUCT((表成绩单[考试日期]=表成绩单[[#This Row],[考试日期]])*(表成绩单[数学]&lt;9E+307)*(表成绩单[数学]&gt;表成绩单[[#This Row],[数学]]))+1)</f>
        <v>140</v>
      </c>
      <c r="R2809" s="29" cm="1">
        <f t="array" ref="R2809">IF(表成绩单[[#This Row],[英语]]="","",SUMPRODUCT((表成绩单[考试日期]=表成绩单[[#This Row],[考试日期]])*(表成绩单[英语]&lt;9E+307)*(表成绩单[英语]&gt;表成绩单[[#This Row],[英语]]))+1)</f>
        <v>473</v>
      </c>
      <c r="S2809" s="29" cm="1">
        <f t="array" ref="S2809">IF(表成绩单[[#This Row],[物理]]="","",SUMPRODUCT((表成绩单[考试日期]=表成绩单[[#This Row],[考试日期]])*(表成绩单[物理]&lt;9E+307)*(表成绩单[物理]&gt;表成绩单[[#This Row],[物理]]))+1)</f>
        <v>521</v>
      </c>
      <c r="T2809" s="29" cm="1">
        <f t="array" ref="T2809">IF(表成绩单[[#This Row],[化学]]="","",SUMPRODUCT((表成绩单[考试日期]=表成绩单[[#This Row],[考试日期]])*(表成绩单[化学]&lt;9E+307)*(表成绩单[化学]&gt;表成绩单[[#This Row],[化学]]))+1)</f>
        <v>241</v>
      </c>
      <c r="U2809" s="29" cm="1">
        <f t="array" ref="U2809">IF(表成绩单[[#This Row],[政治]]="","",SUMPRODUCT((表成绩单[考试日期]=表成绩单[[#This Row],[考试日期]])*(表成绩单[政治]&lt;9E+307)*(表成绩单[政治]&gt;表成绩单[[#This Row],[政治]]))+1)</f>
        <v>171</v>
      </c>
      <c r="V2809" s="29" cm="1">
        <f t="array" ref="V2809">IF(表成绩单[[#This Row],[历史]]="","",SUMPRODUCT((表成绩单[考试日期]=表成绩单[[#This Row],[考试日期]])*(表成绩单[历史]&lt;9E+307)*(表成绩单[历史]&gt;表成绩单[[#This Row],[历史]]))+1)</f>
        <v>539</v>
      </c>
      <c r="W2809" s="29" cm="1">
        <f t="array" ref="W2809">IF(表成绩单[[#This Row],[总分]]="","",SUMPRODUCT((表成绩单[考试日期]=表成绩单[[#This Row],[考试日期]])*(表成绩单[总分]&lt;9E+307)*(表成绩单[总分]&gt;表成绩单[[#This Row],[总分]]))+1)</f>
        <v>402</v>
      </c>
    </row>
    <row r="2810" ht="28" customHeight="1" spans="4:23">
      <c r="D2810" s="31">
        <v>46108</v>
      </c>
      <c r="E2810" s="29">
        <v>19174794</v>
      </c>
      <c r="F2810" s="29" t="s">
        <v>69</v>
      </c>
      <c r="G2810" s="29" t="s">
        <v>473</v>
      </c>
      <c r="H2810" s="29">
        <v>106</v>
      </c>
      <c r="I2810" s="29">
        <v>83</v>
      </c>
      <c r="J2810" s="29">
        <v>76</v>
      </c>
      <c r="K2810" s="29">
        <v>77</v>
      </c>
      <c r="L2810" s="29">
        <v>65</v>
      </c>
      <c r="M2810" s="29">
        <v>77</v>
      </c>
      <c r="N2810" s="29">
        <v>69</v>
      </c>
      <c r="O2810" s="32">
        <v>553</v>
      </c>
      <c r="P2810" s="29" cm="1">
        <f t="array" ref="P2810">IF(表成绩单[[#This Row],[语文]]="","",SUMPRODUCT((表成绩单[考试日期]=表成绩单[[#This Row],[考试日期]])*(表成绩单[语文]&lt;9E+307)*(表成绩单[语文]&gt;表成绩单[[#This Row],[语文]]))+1)</f>
        <v>85</v>
      </c>
      <c r="Q2810" s="29" cm="1">
        <f t="array" ref="Q2810">IF(表成绩单[[#This Row],[数学]]="","",SUMPRODUCT((表成绩单[考试日期]=表成绩单[[#This Row],[考试日期]])*(表成绩单[数学]&lt;9E+307)*(表成绩单[数学]&gt;表成绩单[[#This Row],[数学]]))+1)</f>
        <v>543</v>
      </c>
      <c r="R2810" s="29" cm="1">
        <f t="array" ref="R2810">IF(表成绩单[[#This Row],[英语]]="","",SUMPRODUCT((表成绩单[考试日期]=表成绩单[[#This Row],[考试日期]])*(表成绩单[英语]&lt;9E+307)*(表成绩单[英语]&gt;表成绩单[[#This Row],[英语]]))+1)</f>
        <v>405</v>
      </c>
      <c r="S2810" s="29" cm="1">
        <f t="array" ref="S2810">IF(表成绩单[[#This Row],[物理]]="","",SUMPRODUCT((表成绩单[考试日期]=表成绩单[[#This Row],[考试日期]])*(表成绩单[物理]&lt;9E+307)*(表成绩单[物理]&gt;表成绩单[[#This Row],[物理]]))+1)</f>
        <v>400</v>
      </c>
      <c r="T2810" s="29" cm="1">
        <f t="array" ref="T2810">IF(表成绩单[[#This Row],[化学]]="","",SUMPRODUCT((表成绩单[考试日期]=表成绩单[[#This Row],[考试日期]])*(表成绩单[化学]&lt;9E+307)*(表成绩单[化学]&gt;表成绩单[[#This Row],[化学]]))+1)</f>
        <v>379</v>
      </c>
      <c r="U2810" s="29" cm="1">
        <f t="array" ref="U2810">IF(表成绩单[[#This Row],[政治]]="","",SUMPRODUCT((表成绩单[考试日期]=表成绩单[[#This Row],[考试日期]])*(表成绩单[政治]&lt;9E+307)*(表成绩单[政治]&gt;表成绩单[[#This Row],[政治]]))+1)</f>
        <v>230</v>
      </c>
      <c r="V2810" s="29" cm="1">
        <f t="array" ref="V2810">IF(表成绩单[[#This Row],[历史]]="","",SUMPRODUCT((表成绩单[考试日期]=表成绩单[[#This Row],[考试日期]])*(表成绩单[历史]&lt;9E+307)*(表成绩单[历史]&gt;表成绩单[[#This Row],[历史]]))+1)</f>
        <v>569</v>
      </c>
      <c r="W2810" s="29" cm="1">
        <f t="array" ref="W2810">IF(表成绩单[[#This Row],[总分]]="","",SUMPRODUCT((表成绩单[考试日期]=表成绩单[[#This Row],[考试日期]])*(表成绩单[总分]&lt;9E+307)*(表成绩单[总分]&gt;表成绩单[[#This Row],[总分]]))+1)</f>
        <v>403</v>
      </c>
    </row>
    <row r="2811" ht="28" customHeight="1" spans="4:23">
      <c r="D2811" s="31">
        <v>46108</v>
      </c>
      <c r="E2811" s="29">
        <v>19174795</v>
      </c>
      <c r="F2811" s="29" t="s">
        <v>69</v>
      </c>
      <c r="G2811" s="29" t="s">
        <v>504</v>
      </c>
      <c r="H2811" s="29">
        <v>103</v>
      </c>
      <c r="I2811" s="29">
        <v>80</v>
      </c>
      <c r="J2811" s="29">
        <v>80</v>
      </c>
      <c r="K2811" s="29">
        <v>72</v>
      </c>
      <c r="L2811" s="29">
        <v>65</v>
      </c>
      <c r="M2811" s="29">
        <v>80</v>
      </c>
      <c r="N2811" s="29">
        <v>73</v>
      </c>
      <c r="O2811" s="32">
        <v>553</v>
      </c>
      <c r="P2811" s="29" cm="1">
        <f t="array" ref="P2811">IF(表成绩单[[#This Row],[语文]]="","",SUMPRODUCT((表成绩单[考试日期]=表成绩单[[#This Row],[考试日期]])*(表成绩单[语文]&lt;9E+307)*(表成绩单[语文]&gt;表成绩单[[#This Row],[语文]]))+1)</f>
        <v>155</v>
      </c>
      <c r="Q2811" s="29" cm="1">
        <f t="array" ref="Q2811">IF(表成绩单[[#This Row],[数学]]="","",SUMPRODUCT((表成绩单[考试日期]=表成绩单[[#This Row],[考试日期]])*(表成绩单[数学]&lt;9E+307)*(表成绩单[数学]&gt;表成绩单[[#This Row],[数学]]))+1)</f>
        <v>578</v>
      </c>
      <c r="R2811" s="29" cm="1">
        <f t="array" ref="R2811">IF(表成绩单[[#This Row],[英语]]="","",SUMPRODUCT((表成绩单[考试日期]=表成绩单[[#This Row],[考试日期]])*(表成绩单[英语]&lt;9E+307)*(表成绩单[英语]&gt;表成绩单[[#This Row],[英语]]))+1)</f>
        <v>266</v>
      </c>
      <c r="S2811" s="29" cm="1">
        <f t="array" ref="S2811">IF(表成绩单[[#This Row],[物理]]="","",SUMPRODUCT((表成绩单[考试日期]=表成绩单[[#This Row],[考试日期]])*(表成绩单[物理]&lt;9E+307)*(表成绩单[物理]&gt;表成绩单[[#This Row],[物理]]))+1)</f>
        <v>521</v>
      </c>
      <c r="T2811" s="29" cm="1">
        <f t="array" ref="T2811">IF(表成绩单[[#This Row],[化学]]="","",SUMPRODUCT((表成绩单[考试日期]=表成绩单[[#This Row],[考试日期]])*(表成绩单[化学]&lt;9E+307)*(表成绩单[化学]&gt;表成绩单[[#This Row],[化学]]))+1)</f>
        <v>379</v>
      </c>
      <c r="U2811" s="29" cm="1">
        <f t="array" ref="U2811">IF(表成绩单[[#This Row],[政治]]="","",SUMPRODUCT((表成绩单[考试日期]=表成绩单[[#This Row],[考试日期]])*(表成绩单[政治]&lt;9E+307)*(表成绩单[政治]&gt;表成绩单[[#This Row],[政治]]))+1)</f>
        <v>98</v>
      </c>
      <c r="V2811" s="29" cm="1">
        <f t="array" ref="V2811">IF(表成绩单[[#This Row],[历史]]="","",SUMPRODUCT((表成绩单[考试日期]=表成绩单[[#This Row],[考试日期]])*(表成绩单[历史]&lt;9E+307)*(表成绩单[历史]&gt;表成绩单[[#This Row],[历史]]))+1)</f>
        <v>432</v>
      </c>
      <c r="W2811" s="29" cm="1">
        <f t="array" ref="W2811">IF(表成绩单[[#This Row],[总分]]="","",SUMPRODUCT((表成绩单[考试日期]=表成绩单[[#This Row],[考试日期]])*(表成绩单[总分]&lt;9E+307)*(表成绩单[总分]&gt;表成绩单[[#This Row],[总分]]))+1)</f>
        <v>403</v>
      </c>
    </row>
    <row r="2812" ht="28" customHeight="1" spans="4:23">
      <c r="D2812" s="31">
        <v>46108</v>
      </c>
      <c r="E2812" s="29">
        <v>19175604</v>
      </c>
      <c r="F2812" s="29" t="s">
        <v>57</v>
      </c>
      <c r="G2812" s="29" t="s">
        <v>290</v>
      </c>
      <c r="H2812" s="29">
        <v>97</v>
      </c>
      <c r="I2812" s="29">
        <v>87</v>
      </c>
      <c r="J2812" s="29">
        <v>79</v>
      </c>
      <c r="K2812" s="29">
        <v>73</v>
      </c>
      <c r="L2812" s="29">
        <v>68</v>
      </c>
      <c r="M2812" s="29">
        <v>76</v>
      </c>
      <c r="N2812" s="29">
        <v>73</v>
      </c>
      <c r="O2812" s="32">
        <v>553</v>
      </c>
      <c r="P2812" s="29" cm="1">
        <f t="array" ref="P2812">IF(表成绩单[[#This Row],[语文]]="","",SUMPRODUCT((表成绩单[考试日期]=表成绩单[[#This Row],[考试日期]])*(表成绩单[语文]&lt;9E+307)*(表成绩单[语文]&gt;表成绩单[[#This Row],[语文]]))+1)</f>
        <v>357</v>
      </c>
      <c r="Q2812" s="29" cm="1">
        <f t="array" ref="Q2812">IF(表成绩单[[#This Row],[数学]]="","",SUMPRODUCT((表成绩单[考试日期]=表成绩单[[#This Row],[考试日期]])*(表成绩单[数学]&lt;9E+307)*(表成绩单[数学]&gt;表成绩单[[#This Row],[数学]]))+1)</f>
        <v>452</v>
      </c>
      <c r="R2812" s="29" cm="1">
        <f t="array" ref="R2812">IF(表成绩单[[#This Row],[英语]]="","",SUMPRODUCT((表成绩单[考试日期]=表成绩单[[#This Row],[考试日期]])*(表成绩单[英语]&lt;9E+307)*(表成绩单[英语]&gt;表成绩单[[#This Row],[英语]]))+1)</f>
        <v>305</v>
      </c>
      <c r="S2812" s="29" cm="1">
        <f t="array" ref="S2812">IF(表成绩单[[#This Row],[物理]]="","",SUMPRODUCT((表成绩单[考试日期]=表成绩单[[#This Row],[考试日期]])*(表成绩单[物理]&lt;9E+307)*(表成绩单[物理]&gt;表成绩单[[#This Row],[物理]]))+1)</f>
        <v>500</v>
      </c>
      <c r="T2812" s="29" cm="1">
        <f t="array" ref="T2812">IF(表成绩单[[#This Row],[化学]]="","",SUMPRODUCT((表成绩单[考试日期]=表成绩单[[#This Row],[考试日期]])*(表成绩单[化学]&lt;9E+307)*(表成绩单[化学]&gt;表成绩单[[#This Row],[化学]]))+1)</f>
        <v>306</v>
      </c>
      <c r="U2812" s="29" cm="1">
        <f t="array" ref="U2812">IF(表成绩单[[#This Row],[政治]]="","",SUMPRODUCT((表成绩单[考试日期]=表成绩单[[#This Row],[考试日期]])*(表成绩单[政治]&lt;9E+307)*(表成绩单[政治]&gt;表成绩单[[#This Row],[政治]]))+1)</f>
        <v>291</v>
      </c>
      <c r="V2812" s="29" cm="1">
        <f t="array" ref="V2812">IF(表成绩单[[#This Row],[历史]]="","",SUMPRODUCT((表成绩单[考试日期]=表成绩单[[#This Row],[考试日期]])*(表成绩单[历史]&lt;9E+307)*(表成绩单[历史]&gt;表成绩单[[#This Row],[历史]]))+1)</f>
        <v>432</v>
      </c>
      <c r="W2812" s="29" cm="1">
        <f t="array" ref="W2812">IF(表成绩单[[#This Row],[总分]]="","",SUMPRODUCT((表成绩单[考试日期]=表成绩单[[#This Row],[考试日期]])*(表成绩单[总分]&lt;9E+307)*(表成绩单[总分]&gt;表成绩单[[#This Row],[总分]]))+1)</f>
        <v>403</v>
      </c>
    </row>
    <row r="2813" ht="28" customHeight="1" spans="4:23">
      <c r="D2813" s="31">
        <v>46108</v>
      </c>
      <c r="E2813" s="29">
        <v>19177673</v>
      </c>
      <c r="F2813" s="29" t="s">
        <v>63</v>
      </c>
      <c r="G2813" s="29" t="s">
        <v>423</v>
      </c>
      <c r="H2813" s="29">
        <v>101</v>
      </c>
      <c r="I2813" s="29">
        <v>95</v>
      </c>
      <c r="J2813" s="29">
        <v>71</v>
      </c>
      <c r="K2813" s="29">
        <v>79</v>
      </c>
      <c r="L2813" s="29">
        <v>69</v>
      </c>
      <c r="M2813" s="29">
        <v>73</v>
      </c>
      <c r="N2813" s="29">
        <v>65</v>
      </c>
      <c r="O2813" s="32">
        <v>553</v>
      </c>
      <c r="P2813" s="29" cm="1">
        <f t="array" ref="P2813">IF(表成绩单[[#This Row],[语文]]="","",SUMPRODUCT((表成绩单[考试日期]=表成绩单[[#This Row],[考试日期]])*(表成绩单[语文]&lt;9E+307)*(表成绩单[语文]&gt;表成绩单[[#This Row],[语文]]))+1)</f>
        <v>211</v>
      </c>
      <c r="Q2813" s="29" cm="1">
        <f t="array" ref="Q2813">IF(表成绩单[[#This Row],[数学]]="","",SUMPRODUCT((表成绩单[考试日期]=表成绩单[[#This Row],[考试日期]])*(表成绩单[数学]&lt;9E+307)*(表成绩单[数学]&gt;表成绩单[[#This Row],[数学]]))+1)</f>
        <v>229</v>
      </c>
      <c r="R2813" s="29" cm="1">
        <f t="array" ref="R2813">IF(表成绩单[[#This Row],[英语]]="","",SUMPRODUCT((表成绩单[考试日期]=表成绩单[[#This Row],[考试日期]])*(表成绩单[英语]&lt;9E+307)*(表成绩单[英语]&gt;表成绩单[[#This Row],[英语]]))+1)</f>
        <v>522</v>
      </c>
      <c r="S2813" s="29" cm="1">
        <f t="array" ref="S2813">IF(表成绩单[[#This Row],[物理]]="","",SUMPRODUCT((表成绩单[考试日期]=表成绩单[[#This Row],[考试日期]])*(表成绩单[物理]&lt;9E+307)*(表成绩单[物理]&gt;表成绩单[[#This Row],[物理]]))+1)</f>
        <v>344</v>
      </c>
      <c r="T2813" s="29" cm="1">
        <f t="array" ref="T2813">IF(表成绩单[[#This Row],[化学]]="","",SUMPRODUCT((表成绩单[考试日期]=表成绩单[[#This Row],[考试日期]])*(表成绩单[化学]&lt;9E+307)*(表成绩单[化学]&gt;表成绩单[[#This Row],[化学]]))+1)</f>
        <v>269</v>
      </c>
      <c r="U2813" s="29" cm="1">
        <f t="array" ref="U2813">IF(表成绩单[[#This Row],[政治]]="","",SUMPRODUCT((表成绩单[考试日期]=表成绩单[[#This Row],[考试日期]])*(表成绩单[政治]&lt;9E+307)*(表成绩单[政治]&gt;表成绩单[[#This Row],[政治]]))+1)</f>
        <v>431</v>
      </c>
      <c r="V2813" s="29" cm="1">
        <f t="array" ref="V2813">IF(表成绩单[[#This Row],[历史]]="","",SUMPRODUCT((表成绩单[考试日期]=表成绩单[[#This Row],[考试日期]])*(表成绩单[历史]&lt;9E+307)*(表成绩单[历史]&gt;表成绩单[[#This Row],[历史]]))+1)</f>
        <v>657</v>
      </c>
      <c r="W2813" s="29" cm="1">
        <f t="array" ref="W2813">IF(表成绩单[[#This Row],[总分]]="","",SUMPRODUCT((表成绩单[考试日期]=表成绩单[[#This Row],[考试日期]])*(表成绩单[总分]&lt;9E+307)*(表成绩单[总分]&gt;表成绩单[[#This Row],[总分]]))+1)</f>
        <v>403</v>
      </c>
    </row>
    <row r="2814" ht="28" customHeight="1" spans="4:23">
      <c r="D2814" s="31">
        <v>46108</v>
      </c>
      <c r="E2814" s="29">
        <v>19171091</v>
      </c>
      <c r="F2814" s="29" t="s">
        <v>67</v>
      </c>
      <c r="G2814" s="29" t="s">
        <v>523</v>
      </c>
      <c r="H2814" s="29">
        <v>100</v>
      </c>
      <c r="I2814" s="29">
        <v>89</v>
      </c>
      <c r="J2814" s="29">
        <v>76.5</v>
      </c>
      <c r="K2814" s="29">
        <v>76</v>
      </c>
      <c r="L2814" s="29">
        <v>65</v>
      </c>
      <c r="M2814" s="29">
        <v>73</v>
      </c>
      <c r="N2814" s="29">
        <v>73</v>
      </c>
      <c r="O2814" s="32">
        <v>552.5</v>
      </c>
      <c r="P2814" s="29" cm="1">
        <f t="array" ref="P2814">IF(表成绩单[[#This Row],[语文]]="","",SUMPRODUCT((表成绩单[考试日期]=表成绩单[[#This Row],[考试日期]])*(表成绩单[语文]&lt;9E+307)*(表成绩单[语文]&gt;表成绩单[[#This Row],[语文]]))+1)</f>
        <v>247</v>
      </c>
      <c r="Q2814" s="29" cm="1">
        <f t="array" ref="Q2814">IF(表成绩单[[#This Row],[数学]]="","",SUMPRODUCT((表成绩单[考试日期]=表成绩单[[#This Row],[考试日期]])*(表成绩单[数学]&lt;9E+307)*(表成绩单[数学]&gt;表成绩单[[#This Row],[数学]]))+1)</f>
        <v>402</v>
      </c>
      <c r="R2814" s="29" cm="1">
        <f t="array" ref="R2814">IF(表成绩单[[#This Row],[英语]]="","",SUMPRODUCT((表成绩单[考试日期]=表成绩单[[#This Row],[考试日期]])*(表成绩单[英语]&lt;9E+307)*(表成绩单[英语]&gt;表成绩单[[#This Row],[英语]]))+1)</f>
        <v>384</v>
      </c>
      <c r="S2814" s="29" cm="1">
        <f t="array" ref="S2814">IF(表成绩单[[#This Row],[物理]]="","",SUMPRODUCT((表成绩单[考试日期]=表成绩单[[#This Row],[考试日期]])*(表成绩单[物理]&lt;9E+307)*(表成绩单[物理]&gt;表成绩单[[#This Row],[物理]]))+1)</f>
        <v>433</v>
      </c>
      <c r="T2814" s="29" cm="1">
        <f t="array" ref="T2814">IF(表成绩单[[#This Row],[化学]]="","",SUMPRODUCT((表成绩单[考试日期]=表成绩单[[#This Row],[考试日期]])*(表成绩单[化学]&lt;9E+307)*(表成绩单[化学]&gt;表成绩单[[#This Row],[化学]]))+1)</f>
        <v>379</v>
      </c>
      <c r="U2814" s="29" cm="1">
        <f t="array" ref="U2814">IF(表成绩单[[#This Row],[政治]]="","",SUMPRODUCT((表成绩单[考试日期]=表成绩单[[#This Row],[考试日期]])*(表成绩单[政治]&lt;9E+307)*(表成绩单[政治]&gt;表成绩单[[#This Row],[政治]]))+1)</f>
        <v>431</v>
      </c>
      <c r="V2814" s="29" cm="1">
        <f t="array" ref="V2814">IF(表成绩单[[#This Row],[历史]]="","",SUMPRODUCT((表成绩单[考试日期]=表成绩单[[#This Row],[考试日期]])*(表成绩单[历史]&lt;9E+307)*(表成绩单[历史]&gt;表成绩单[[#This Row],[历史]]))+1)</f>
        <v>432</v>
      </c>
      <c r="W2814" s="29" cm="1">
        <f t="array" ref="W2814">IF(表成绩单[[#This Row],[总分]]="","",SUMPRODUCT((表成绩单[考试日期]=表成绩单[[#This Row],[考试日期]])*(表成绩单[总分]&lt;9E+307)*(表成绩单[总分]&gt;表成绩单[[#This Row],[总分]]))+1)</f>
        <v>407</v>
      </c>
    </row>
    <row r="2815" ht="28" customHeight="1" spans="4:23">
      <c r="D2815" s="31">
        <v>46108</v>
      </c>
      <c r="E2815" s="29">
        <v>19175678</v>
      </c>
      <c r="F2815" s="29" t="s">
        <v>72</v>
      </c>
      <c r="G2815" s="29" t="s">
        <v>428</v>
      </c>
      <c r="H2815" s="29">
        <v>86</v>
      </c>
      <c r="I2815" s="29">
        <v>94</v>
      </c>
      <c r="J2815" s="29">
        <v>83.5</v>
      </c>
      <c r="K2815" s="29">
        <v>76</v>
      </c>
      <c r="L2815" s="29">
        <v>70</v>
      </c>
      <c r="M2815" s="29">
        <v>72</v>
      </c>
      <c r="N2815" s="29">
        <v>71</v>
      </c>
      <c r="O2815" s="32">
        <v>552.5</v>
      </c>
      <c r="P2815" s="29" cm="1">
        <f t="array" ref="P2815">IF(表成绩单[[#This Row],[语文]]="","",SUMPRODUCT((表成绩单[考试日期]=表成绩单[[#This Row],[考试日期]])*(表成绩单[语文]&lt;9E+307)*(表成绩单[语文]&gt;表成绩单[[#This Row],[语文]]))+1)</f>
        <v>610</v>
      </c>
      <c r="Q2815" s="29" cm="1">
        <f t="array" ref="Q2815">IF(表成绩单[[#This Row],[数学]]="","",SUMPRODUCT((表成绩单[考试日期]=表成绩单[[#This Row],[考试日期]])*(表成绩单[数学]&lt;9E+307)*(表成绩单[数学]&gt;表成绩单[[#This Row],[数学]]))+1)</f>
        <v>258</v>
      </c>
      <c r="R2815" s="29" cm="1">
        <f t="array" ref="R2815">IF(表成绩单[[#This Row],[英语]]="","",SUMPRODUCT((表成绩单[考试日期]=表成绩单[[#This Row],[考试日期]])*(表成绩单[英语]&lt;9E+307)*(表成绩单[英语]&gt;表成绩单[[#This Row],[英语]]))+1)</f>
        <v>122</v>
      </c>
      <c r="S2815" s="29" cm="1">
        <f t="array" ref="S2815">IF(表成绩单[[#This Row],[物理]]="","",SUMPRODUCT((表成绩单[考试日期]=表成绩单[[#This Row],[考试日期]])*(表成绩单[物理]&lt;9E+307)*(表成绩单[物理]&gt;表成绩单[[#This Row],[物理]]))+1)</f>
        <v>433</v>
      </c>
      <c r="T2815" s="29" cm="1">
        <f t="array" ref="T2815">IF(表成绩单[[#This Row],[化学]]="","",SUMPRODUCT((表成绩单[考试日期]=表成绩单[[#This Row],[考试日期]])*(表成绩单[化学]&lt;9E+307)*(表成绩单[化学]&gt;表成绩单[[#This Row],[化学]]))+1)</f>
        <v>241</v>
      </c>
      <c r="U2815" s="29" cm="1">
        <f t="array" ref="U2815">IF(表成绩单[[#This Row],[政治]]="","",SUMPRODUCT((表成绩单[考试日期]=表成绩单[[#This Row],[考试日期]])*(表成绩单[政治]&lt;9E+307)*(表成绩单[政治]&gt;表成绩单[[#This Row],[政治]]))+1)</f>
        <v>470</v>
      </c>
      <c r="V2815" s="29" cm="1">
        <f t="array" ref="V2815">IF(表成绩单[[#This Row],[历史]]="","",SUMPRODUCT((表成绩单[考试日期]=表成绩单[[#This Row],[考试日期]])*(表成绩单[历史]&lt;9E+307)*(表成绩单[历史]&gt;表成绩单[[#This Row],[历史]]))+1)</f>
        <v>516</v>
      </c>
      <c r="W2815" s="29" cm="1">
        <f t="array" ref="W2815">IF(表成绩单[[#This Row],[总分]]="","",SUMPRODUCT((表成绩单[考试日期]=表成绩单[[#This Row],[考试日期]])*(表成绩单[总分]&lt;9E+307)*(表成绩单[总分]&gt;表成绩单[[#This Row],[总分]]))+1)</f>
        <v>407</v>
      </c>
    </row>
    <row r="2816" ht="28" customHeight="1" spans="4:23">
      <c r="D2816" s="31">
        <v>46108</v>
      </c>
      <c r="E2816" s="29">
        <v>19176014</v>
      </c>
      <c r="F2816" s="29" t="s">
        <v>59</v>
      </c>
      <c r="G2816" s="29" t="s">
        <v>500</v>
      </c>
      <c r="H2816" s="29">
        <v>104</v>
      </c>
      <c r="I2816" s="29">
        <v>90</v>
      </c>
      <c r="J2816" s="29">
        <v>75.5</v>
      </c>
      <c r="K2816" s="29">
        <v>73</v>
      </c>
      <c r="L2816" s="29">
        <v>68</v>
      </c>
      <c r="M2816" s="29">
        <v>74</v>
      </c>
      <c r="N2816" s="29">
        <v>68</v>
      </c>
      <c r="O2816" s="32">
        <v>552.5</v>
      </c>
      <c r="P2816" s="29" cm="1">
        <f t="array" ref="P2816">IF(表成绩单[[#This Row],[语文]]="","",SUMPRODUCT((表成绩单[考试日期]=表成绩单[[#This Row],[考试日期]])*(表成绩单[语文]&lt;9E+307)*(表成绩单[语文]&gt;表成绩单[[#This Row],[语文]]))+1)</f>
        <v>131</v>
      </c>
      <c r="Q2816" s="29" cm="1">
        <f t="array" ref="Q2816">IF(表成绩单[[#This Row],[数学]]="","",SUMPRODUCT((表成绩单[考试日期]=表成绩单[[#This Row],[考试日期]])*(表成绩单[数学]&lt;9E+307)*(表成绩单[数学]&gt;表成绩单[[#This Row],[数学]]))+1)</f>
        <v>368</v>
      </c>
      <c r="R2816" s="29" cm="1">
        <f t="array" ref="R2816">IF(表成绩单[[#This Row],[英语]]="","",SUMPRODUCT((表成绩单[考试日期]=表成绩单[[#This Row],[考试日期]])*(表成绩单[英语]&lt;9E+307)*(表成绩单[英语]&gt;表成绩单[[#This Row],[英语]]))+1)</f>
        <v>421</v>
      </c>
      <c r="S2816" s="29" cm="1">
        <f t="array" ref="S2816">IF(表成绩单[[#This Row],[物理]]="","",SUMPRODUCT((表成绩单[考试日期]=表成绩单[[#This Row],[考试日期]])*(表成绩单[物理]&lt;9E+307)*(表成绩单[物理]&gt;表成绩单[[#This Row],[物理]]))+1)</f>
        <v>500</v>
      </c>
      <c r="T2816" s="29" cm="1">
        <f t="array" ref="T2816">IF(表成绩单[[#This Row],[化学]]="","",SUMPRODUCT((表成绩单[考试日期]=表成绩单[[#This Row],[考试日期]])*(表成绩单[化学]&lt;9E+307)*(表成绩单[化学]&gt;表成绩单[[#This Row],[化学]]))+1)</f>
        <v>306</v>
      </c>
      <c r="U2816" s="29" cm="1">
        <f t="array" ref="U2816">IF(表成绩单[[#This Row],[政治]]="","",SUMPRODUCT((表成绩单[考试日期]=表成绩单[[#This Row],[考试日期]])*(表成绩单[政治]&lt;9E+307)*(表成绩单[政治]&gt;表成绩单[[#This Row],[政治]]))+1)</f>
        <v>389</v>
      </c>
      <c r="V2816" s="29" cm="1">
        <f t="array" ref="V2816">IF(表成绩单[[#This Row],[历史]]="","",SUMPRODUCT((表成绩单[考试日期]=表成绩单[[#This Row],[考试日期]])*(表成绩单[历史]&lt;9E+307)*(表成绩单[历史]&gt;表成绩单[[#This Row],[历史]]))+1)</f>
        <v>599</v>
      </c>
      <c r="W2816" s="29" cm="1">
        <f t="array" ref="W2816">IF(表成绩单[[#This Row],[总分]]="","",SUMPRODUCT((表成绩单[考试日期]=表成绩单[[#This Row],[考试日期]])*(表成绩单[总分]&lt;9E+307)*(表成绩单[总分]&gt;表成绩单[[#This Row],[总分]]))+1)</f>
        <v>407</v>
      </c>
    </row>
    <row r="2817" ht="28" customHeight="1" spans="4:23">
      <c r="D2817" s="31">
        <v>46108</v>
      </c>
      <c r="E2817" s="29">
        <v>19176169</v>
      </c>
      <c r="F2817" s="29" t="s">
        <v>67</v>
      </c>
      <c r="G2817" s="29" t="s">
        <v>377</v>
      </c>
      <c r="H2817" s="29">
        <v>89</v>
      </c>
      <c r="I2817" s="29">
        <v>88</v>
      </c>
      <c r="J2817" s="29">
        <v>80.5</v>
      </c>
      <c r="K2817" s="29">
        <v>77</v>
      </c>
      <c r="L2817" s="29">
        <v>76</v>
      </c>
      <c r="M2817" s="29">
        <v>69</v>
      </c>
      <c r="N2817" s="29">
        <v>73</v>
      </c>
      <c r="O2817" s="32">
        <v>552.5</v>
      </c>
      <c r="P2817" s="29" cm="1">
        <f t="array" ref="P2817">IF(表成绩单[[#This Row],[语文]]="","",SUMPRODUCT((表成绩单[考试日期]=表成绩单[[#This Row],[考试日期]])*(表成绩单[语文]&lt;9E+307)*(表成绩单[语文]&gt;表成绩单[[#This Row],[语文]]))+1)</f>
        <v>559</v>
      </c>
      <c r="Q2817" s="29" cm="1">
        <f t="array" ref="Q2817">IF(表成绩单[[#This Row],[数学]]="","",SUMPRODUCT((表成绩单[考试日期]=表成绩单[[#This Row],[考试日期]])*(表成绩单[数学]&lt;9E+307)*(表成绩单[数学]&gt;表成绩单[[#This Row],[数学]]))+1)</f>
        <v>424</v>
      </c>
      <c r="R2817" s="29" cm="1">
        <f t="array" ref="R2817">IF(表成绩单[[#This Row],[英语]]="","",SUMPRODUCT((表成绩单[考试日期]=表成绩单[[#This Row],[考试日期]])*(表成绩单[英语]&lt;9E+307)*(表成绩单[英语]&gt;表成绩单[[#This Row],[英语]]))+1)</f>
        <v>244</v>
      </c>
      <c r="S2817" s="29" cm="1">
        <f t="array" ref="S2817">IF(表成绩单[[#This Row],[物理]]="","",SUMPRODUCT((表成绩单[考试日期]=表成绩单[[#This Row],[考试日期]])*(表成绩单[物理]&lt;9E+307)*(表成绩单[物理]&gt;表成绩单[[#This Row],[物理]]))+1)</f>
        <v>400</v>
      </c>
      <c r="T2817" s="29" cm="1">
        <f t="array" ref="T2817">IF(表成绩单[[#This Row],[化学]]="","",SUMPRODUCT((表成绩单[考试日期]=表成绩单[[#This Row],[考试日期]])*(表成绩单[化学]&lt;9E+307)*(表成绩单[化学]&gt;表成绩单[[#This Row],[化学]]))+1)</f>
        <v>71</v>
      </c>
      <c r="U2817" s="29" cm="1">
        <f t="array" ref="U2817">IF(表成绩单[[#This Row],[政治]]="","",SUMPRODUCT((表成绩单[考试日期]=表成绩单[[#This Row],[考试日期]])*(表成绩单[政治]&lt;9E+307)*(表成绩单[政治]&gt;表成绩单[[#This Row],[政治]]))+1)</f>
        <v>567</v>
      </c>
      <c r="V2817" s="29" cm="1">
        <f t="array" ref="V2817">IF(表成绩单[[#This Row],[历史]]="","",SUMPRODUCT((表成绩单[考试日期]=表成绩单[[#This Row],[考试日期]])*(表成绩单[历史]&lt;9E+307)*(表成绩单[历史]&gt;表成绩单[[#This Row],[历史]]))+1)</f>
        <v>432</v>
      </c>
      <c r="W2817" s="29" cm="1">
        <f t="array" ref="W2817">IF(表成绩单[[#This Row],[总分]]="","",SUMPRODUCT((表成绩单[考试日期]=表成绩单[[#This Row],[考试日期]])*(表成绩单[总分]&lt;9E+307)*(表成绩单[总分]&gt;表成绩单[[#This Row],[总分]]))+1)</f>
        <v>407</v>
      </c>
    </row>
    <row r="2818" ht="28" customHeight="1" spans="4:23">
      <c r="D2818" s="31">
        <v>46108</v>
      </c>
      <c r="E2818" s="29">
        <v>19177650</v>
      </c>
      <c r="F2818" s="29" t="s">
        <v>63</v>
      </c>
      <c r="G2818" s="29" t="s">
        <v>549</v>
      </c>
      <c r="H2818" s="29">
        <v>98</v>
      </c>
      <c r="I2818" s="29">
        <v>93</v>
      </c>
      <c r="J2818" s="29">
        <v>65</v>
      </c>
      <c r="K2818" s="29">
        <v>77</v>
      </c>
      <c r="L2818" s="29">
        <v>58</v>
      </c>
      <c r="M2818" s="29">
        <v>80</v>
      </c>
      <c r="N2818" s="29">
        <v>81</v>
      </c>
      <c r="O2818" s="32">
        <v>552</v>
      </c>
      <c r="P2818" s="29" cm="1">
        <f t="array" ref="P2818">IF(表成绩单[[#This Row],[语文]]="","",SUMPRODUCT((表成绩单[考试日期]=表成绩单[[#This Row],[考试日期]])*(表成绩单[语文]&lt;9E+307)*(表成绩单[语文]&gt;表成绩单[[#This Row],[语文]]))+1)</f>
        <v>322</v>
      </c>
      <c r="Q2818" s="29" cm="1">
        <f t="array" ref="Q2818">IF(表成绩单[[#This Row],[数学]]="","",SUMPRODUCT((表成绩单[考试日期]=表成绩单[[#This Row],[考试日期]])*(表成绩单[数学]&lt;9E+307)*(表成绩单[数学]&gt;表成绩单[[#This Row],[数学]]))+1)</f>
        <v>289</v>
      </c>
      <c r="R2818" s="29" cm="1">
        <f t="array" ref="R2818">IF(表成绩单[[#This Row],[英语]]="","",SUMPRODUCT((表成绩单[考试日期]=表成绩单[[#This Row],[考试日期]])*(表成绩单[英语]&lt;9E+307)*(表成绩单[英语]&gt;表成绩单[[#This Row],[英语]]))+1)</f>
        <v>603</v>
      </c>
      <c r="S2818" s="29" cm="1">
        <f t="array" ref="S2818">IF(表成绩单[[#This Row],[物理]]="","",SUMPRODUCT((表成绩单[考试日期]=表成绩单[[#This Row],[考试日期]])*(表成绩单[物理]&lt;9E+307)*(表成绩单[物理]&gt;表成绩单[[#This Row],[物理]]))+1)</f>
        <v>400</v>
      </c>
      <c r="T2818" s="29" cm="1">
        <f t="array" ref="T2818">IF(表成绩单[[#This Row],[化学]]="","",SUMPRODUCT((表成绩单[考试日期]=表成绩单[[#This Row],[考试日期]])*(表成绩单[化学]&lt;9E+307)*(表成绩单[化学]&gt;表成绩单[[#This Row],[化学]]))+1)</f>
        <v>532</v>
      </c>
      <c r="U2818" s="29" cm="1">
        <f t="array" ref="U2818">IF(表成绩单[[#This Row],[政治]]="","",SUMPRODUCT((表成绩单[考试日期]=表成绩单[[#This Row],[考试日期]])*(表成绩单[政治]&lt;9E+307)*(表成绩单[政治]&gt;表成绩单[[#This Row],[政治]]))+1)</f>
        <v>98</v>
      </c>
      <c r="V2818" s="29" cm="1">
        <f t="array" ref="V2818">IF(表成绩单[[#This Row],[历史]]="","",SUMPRODUCT((表成绩单[考试日期]=表成绩单[[#This Row],[考试日期]])*(表成绩单[历史]&lt;9E+307)*(表成绩单[历史]&gt;表成绩单[[#This Row],[历史]]))+1)</f>
        <v>106</v>
      </c>
      <c r="W2818" s="29" cm="1">
        <f t="array" ref="W2818">IF(表成绩单[[#This Row],[总分]]="","",SUMPRODUCT((表成绩单[考试日期]=表成绩单[[#This Row],[考试日期]])*(表成绩单[总分]&lt;9E+307)*(表成绩单[总分]&gt;表成绩单[[#This Row],[总分]]))+1)</f>
        <v>411</v>
      </c>
    </row>
    <row r="2819" ht="28" customHeight="1" spans="4:23">
      <c r="D2819" s="31">
        <v>46108</v>
      </c>
      <c r="E2819" s="29">
        <v>19177663</v>
      </c>
      <c r="F2819" s="29" t="s">
        <v>63</v>
      </c>
      <c r="G2819" s="29" t="s">
        <v>412</v>
      </c>
      <c r="H2819" s="29">
        <v>101</v>
      </c>
      <c r="I2819" s="29">
        <v>92</v>
      </c>
      <c r="J2819" s="29">
        <v>69</v>
      </c>
      <c r="K2819" s="29">
        <v>75</v>
      </c>
      <c r="L2819" s="29">
        <v>72</v>
      </c>
      <c r="M2819" s="29">
        <v>75</v>
      </c>
      <c r="N2819" s="29">
        <v>68</v>
      </c>
      <c r="O2819" s="32">
        <v>552</v>
      </c>
      <c r="P2819" s="29" cm="1">
        <f t="array" ref="P2819">IF(表成绩单[[#This Row],[语文]]="","",SUMPRODUCT((表成绩单[考试日期]=表成绩单[[#This Row],[考试日期]])*(表成绩单[语文]&lt;9E+307)*(表成绩单[语文]&gt;表成绩单[[#This Row],[语文]]))+1)</f>
        <v>211</v>
      </c>
      <c r="Q2819" s="29" cm="1">
        <f t="array" ref="Q2819">IF(表成绩单[[#This Row],[数学]]="","",SUMPRODUCT((表成绩单[考试日期]=表成绩单[[#This Row],[考试日期]])*(表成绩单[数学]&lt;9E+307)*(表成绩单[数学]&gt;表成绩单[[#This Row],[数学]]))+1)</f>
        <v>312</v>
      </c>
      <c r="R2819" s="29" cm="1">
        <f t="array" ref="R2819">IF(表成绩单[[#This Row],[英语]]="","",SUMPRODUCT((表成绩单[考试日期]=表成绩单[[#This Row],[考试日期]])*(表成绩单[英语]&lt;9E+307)*(表成绩单[英语]&gt;表成绩单[[#This Row],[英语]]))+1)</f>
        <v>554</v>
      </c>
      <c r="S2819" s="29" cm="1">
        <f t="array" ref="S2819">IF(表成绩单[[#This Row],[物理]]="","",SUMPRODUCT((表成绩单[考试日期]=表成绩单[[#This Row],[考试日期]])*(表成绩单[物理]&lt;9E+307)*(表成绩单[物理]&gt;表成绩单[[#This Row],[物理]]))+1)</f>
        <v>456</v>
      </c>
      <c r="T2819" s="29" cm="1">
        <f t="array" ref="T2819">IF(表成绩单[[#This Row],[化学]]="","",SUMPRODUCT((表成绩单[考试日期]=表成绩单[[#This Row],[考试日期]])*(表成绩单[化学]&lt;9E+307)*(表成绩单[化学]&gt;表成绩单[[#This Row],[化学]]))+1)</f>
        <v>187</v>
      </c>
      <c r="U2819" s="29" cm="1">
        <f t="array" ref="U2819">IF(表成绩单[[#This Row],[政治]]="","",SUMPRODUCT((表成绩单[考试日期]=表成绩单[[#This Row],[考试日期]])*(表成绩单[政治]&lt;9E+307)*(表成绩单[政治]&gt;表成绩单[[#This Row],[政治]]))+1)</f>
        <v>346</v>
      </c>
      <c r="V2819" s="29" cm="1">
        <f t="array" ref="V2819">IF(表成绩单[[#This Row],[历史]]="","",SUMPRODUCT((表成绩单[考试日期]=表成绩单[[#This Row],[考试日期]])*(表成绩单[历史]&lt;9E+307)*(表成绩单[历史]&gt;表成绩单[[#This Row],[历史]]))+1)</f>
        <v>599</v>
      </c>
      <c r="W2819" s="29" cm="1">
        <f t="array" ref="W2819">IF(表成绩单[[#This Row],[总分]]="","",SUMPRODUCT((表成绩单[考试日期]=表成绩单[[#This Row],[考试日期]])*(表成绩单[总分]&lt;9E+307)*(表成绩单[总分]&gt;表成绩单[[#This Row],[总分]]))+1)</f>
        <v>411</v>
      </c>
    </row>
    <row r="2820" ht="28" customHeight="1" spans="4:23">
      <c r="D2820" s="31">
        <v>46108</v>
      </c>
      <c r="E2820" s="29">
        <v>19175307</v>
      </c>
      <c r="F2820" s="29" t="s">
        <v>55</v>
      </c>
      <c r="G2820" s="29" t="s">
        <v>518</v>
      </c>
      <c r="H2820" s="29">
        <v>96</v>
      </c>
      <c r="I2820" s="29">
        <v>86</v>
      </c>
      <c r="J2820" s="29">
        <v>77.5</v>
      </c>
      <c r="K2820" s="29">
        <v>81</v>
      </c>
      <c r="L2820" s="29">
        <v>62</v>
      </c>
      <c r="M2820" s="29">
        <v>74</v>
      </c>
      <c r="N2820" s="29">
        <v>75</v>
      </c>
      <c r="O2820" s="32">
        <v>551.5</v>
      </c>
      <c r="P2820" s="29" cm="1">
        <f t="array" ref="P2820">IF(表成绩单[[#This Row],[语文]]="","",SUMPRODUCT((表成绩单[考试日期]=表成绩单[[#This Row],[考试日期]])*(表成绩单[语文]&lt;9E+307)*(表成绩单[语文]&gt;表成绩单[[#This Row],[语文]]))+1)</f>
        <v>390</v>
      </c>
      <c r="Q2820" s="29" cm="1">
        <f t="array" ref="Q2820">IF(表成绩单[[#This Row],[数学]]="","",SUMPRODUCT((表成绩单[考试日期]=表成绩单[[#This Row],[考试日期]])*(表成绩单[数学]&lt;9E+307)*(表成绩单[数学]&gt;表成绩单[[#This Row],[数学]]))+1)</f>
        <v>479</v>
      </c>
      <c r="R2820" s="29" cm="1">
        <f t="array" ref="R2820">IF(表成绩单[[#This Row],[英语]]="","",SUMPRODUCT((表成绩单[考试日期]=表成绩单[[#This Row],[考试日期]])*(表成绩单[英语]&lt;9E+307)*(表成绩单[英语]&gt;表成绩单[[#This Row],[英语]]))+1)</f>
        <v>353</v>
      </c>
      <c r="S2820" s="29" cm="1">
        <f t="array" ref="S2820">IF(表成绩单[[#This Row],[物理]]="","",SUMPRODUCT((表成绩单[考试日期]=表成绩单[[#This Row],[考试日期]])*(表成绩单[物理]&lt;9E+307)*(表成绩单[物理]&gt;表成绩单[[#This Row],[物理]]))+1)</f>
        <v>269</v>
      </c>
      <c r="T2820" s="29" cm="1">
        <f t="array" ref="T2820">IF(表成绩单[[#This Row],[化学]]="","",SUMPRODUCT((表成绩单[考试日期]=表成绩单[[#This Row],[考试日期]])*(表成绩单[化学]&lt;9E+307)*(表成绩单[化学]&gt;表成绩单[[#This Row],[化学]]))+1)</f>
        <v>449</v>
      </c>
      <c r="U2820" s="29" cm="1">
        <f t="array" ref="U2820">IF(表成绩单[[#This Row],[政治]]="","",SUMPRODUCT((表成绩单[考试日期]=表成绩单[[#This Row],[考试日期]])*(表成绩单[政治]&lt;9E+307)*(表成绩单[政治]&gt;表成绩单[[#This Row],[政治]]))+1)</f>
        <v>389</v>
      </c>
      <c r="V2820" s="29" cm="1">
        <f t="array" ref="V2820">IF(表成绩单[[#This Row],[历史]]="","",SUMPRODUCT((表成绩单[考试日期]=表成绩单[[#This Row],[考试日期]])*(表成绩单[历史]&lt;9E+307)*(表成绩单[历史]&gt;表成绩单[[#This Row],[历史]]))+1)</f>
        <v>354</v>
      </c>
      <c r="W2820" s="29" cm="1">
        <f t="array" ref="W2820">IF(表成绩单[[#This Row],[总分]]="","",SUMPRODUCT((表成绩单[考试日期]=表成绩单[[#This Row],[考试日期]])*(表成绩单[总分]&lt;9E+307)*(表成绩单[总分]&gt;表成绩单[[#This Row],[总分]]))+1)</f>
        <v>413</v>
      </c>
    </row>
    <row r="2821" ht="28" customHeight="1" spans="4:23">
      <c r="D2821" s="31">
        <v>46108</v>
      </c>
      <c r="E2821" s="29">
        <v>19178614</v>
      </c>
      <c r="F2821" s="29" t="s">
        <v>25</v>
      </c>
      <c r="G2821" s="29" t="s">
        <v>533</v>
      </c>
      <c r="H2821" s="29">
        <v>100</v>
      </c>
      <c r="I2821" s="29">
        <v>98</v>
      </c>
      <c r="J2821" s="29">
        <v>77</v>
      </c>
      <c r="K2821" s="29">
        <v>68</v>
      </c>
      <c r="L2821" s="29">
        <v>63</v>
      </c>
      <c r="M2821" s="29">
        <v>74</v>
      </c>
      <c r="N2821" s="29">
        <v>71</v>
      </c>
      <c r="O2821" s="32">
        <v>551</v>
      </c>
      <c r="P2821" s="29" cm="1">
        <f t="array" ref="P2821">IF(表成绩单[[#This Row],[语文]]="","",SUMPRODUCT((表成绩单[考试日期]=表成绩单[[#This Row],[考试日期]])*(表成绩单[语文]&lt;9E+307)*(表成绩单[语文]&gt;表成绩单[[#This Row],[语文]]))+1)</f>
        <v>247</v>
      </c>
      <c r="Q2821" s="29" cm="1">
        <f t="array" ref="Q2821">IF(表成绩单[[#This Row],[数学]]="","",SUMPRODUCT((表成绩单[考试日期]=表成绩单[[#This Row],[考试日期]])*(表成绩单[数学]&lt;9E+307)*(表成绩单[数学]&gt;表成绩单[[#This Row],[数学]]))+1)</f>
        <v>158</v>
      </c>
      <c r="R2821" s="29" cm="1">
        <f t="array" ref="R2821">IF(表成绩单[[#This Row],[英语]]="","",SUMPRODUCT((表成绩单[考试日期]=表成绩单[[#This Row],[考试日期]])*(表成绩单[英语]&lt;9E+307)*(表成绩单[英语]&gt;表成绩单[[#This Row],[英语]]))+1)</f>
        <v>370</v>
      </c>
      <c r="S2821" s="29" cm="1">
        <f t="array" ref="S2821">IF(表成绩单[[#This Row],[物理]]="","",SUMPRODUCT((表成绩单[考试日期]=表成绩单[[#This Row],[考试日期]])*(表成绩单[物理]&lt;9E+307)*(表成绩单[物理]&gt;表成绩单[[#This Row],[物理]]))+1)</f>
        <v>581</v>
      </c>
      <c r="T2821" s="29" cm="1">
        <f t="array" ref="T2821">IF(表成绩单[[#This Row],[化学]]="","",SUMPRODUCT((表成绩单[考试日期]=表成绩单[[#This Row],[考试日期]])*(表成绩单[化学]&lt;9E+307)*(表成绩单[化学]&gt;表成绩单[[#This Row],[化学]]))+1)</f>
        <v>426</v>
      </c>
      <c r="U2821" s="29" cm="1">
        <f t="array" ref="U2821">IF(表成绩单[[#This Row],[政治]]="","",SUMPRODUCT((表成绩单[考试日期]=表成绩单[[#This Row],[考试日期]])*(表成绩单[政治]&lt;9E+307)*(表成绩单[政治]&gt;表成绩单[[#This Row],[政治]]))+1)</f>
        <v>389</v>
      </c>
      <c r="V2821" s="29" cm="1">
        <f t="array" ref="V2821">IF(表成绩单[[#This Row],[历史]]="","",SUMPRODUCT((表成绩单[考试日期]=表成绩单[[#This Row],[考试日期]])*(表成绩单[历史]&lt;9E+307)*(表成绩单[历史]&gt;表成绩单[[#This Row],[历史]]))+1)</f>
        <v>516</v>
      </c>
      <c r="W2821" s="29" cm="1">
        <f t="array" ref="W2821">IF(表成绩单[[#This Row],[总分]]="","",SUMPRODUCT((表成绩单[考试日期]=表成绩单[[#This Row],[考试日期]])*(表成绩单[总分]&lt;9E+307)*(表成绩单[总分]&gt;表成绩单[[#This Row],[总分]]))+1)</f>
        <v>414</v>
      </c>
    </row>
    <row r="2822" ht="28" customHeight="1" spans="4:23">
      <c r="D2822" s="31">
        <v>46108</v>
      </c>
      <c r="E2822" s="29">
        <v>19178621</v>
      </c>
      <c r="F2822" s="29" t="s">
        <v>25</v>
      </c>
      <c r="G2822" s="29" t="s">
        <v>630</v>
      </c>
      <c r="H2822" s="29">
        <v>100</v>
      </c>
      <c r="I2822" s="29">
        <v>80</v>
      </c>
      <c r="J2822" s="29">
        <v>83</v>
      </c>
      <c r="K2822" s="29">
        <v>75</v>
      </c>
      <c r="L2822" s="29">
        <v>59</v>
      </c>
      <c r="M2822" s="29">
        <v>73</v>
      </c>
      <c r="N2822" s="29">
        <v>81</v>
      </c>
      <c r="O2822" s="32">
        <v>551</v>
      </c>
      <c r="P2822" s="29" cm="1">
        <f t="array" ref="P2822">IF(表成绩单[[#This Row],[语文]]="","",SUMPRODUCT((表成绩单[考试日期]=表成绩单[[#This Row],[考试日期]])*(表成绩单[语文]&lt;9E+307)*(表成绩单[语文]&gt;表成绩单[[#This Row],[语文]]))+1)</f>
        <v>247</v>
      </c>
      <c r="Q2822" s="29" cm="1">
        <f t="array" ref="Q2822">IF(表成绩单[[#This Row],[数学]]="","",SUMPRODUCT((表成绩单[考试日期]=表成绩单[[#This Row],[考试日期]])*(表成绩单[数学]&lt;9E+307)*(表成绩单[数学]&gt;表成绩单[[#This Row],[数学]]))+1)</f>
        <v>578</v>
      </c>
      <c r="R2822" s="29" cm="1">
        <f t="array" ref="R2822">IF(表成绩单[[#This Row],[英语]]="","",SUMPRODUCT((表成绩单[考试日期]=表成绩单[[#This Row],[考试日期]])*(表成绩单[英语]&lt;9E+307)*(表成绩单[英语]&gt;表成绩单[[#This Row],[英语]]))+1)</f>
        <v>134</v>
      </c>
      <c r="S2822" s="29" cm="1">
        <f t="array" ref="S2822">IF(表成绩单[[#This Row],[物理]]="","",SUMPRODUCT((表成绩单[考试日期]=表成绩单[[#This Row],[考试日期]])*(表成绩单[物理]&lt;9E+307)*(表成绩单[物理]&gt;表成绩单[[#This Row],[物理]]))+1)</f>
        <v>456</v>
      </c>
      <c r="T2822" s="29" cm="1">
        <f t="array" ref="T2822">IF(表成绩单[[#This Row],[化学]]="","",SUMPRODUCT((表成绩单[考试日期]=表成绩单[[#This Row],[考试日期]])*(表成绩单[化学]&lt;9E+307)*(表成绩单[化学]&gt;表成绩单[[#This Row],[化学]]))+1)</f>
        <v>510</v>
      </c>
      <c r="U2822" s="29" cm="1">
        <f t="array" ref="U2822">IF(表成绩单[[#This Row],[政治]]="","",SUMPRODUCT((表成绩单[考试日期]=表成绩单[[#This Row],[考试日期]])*(表成绩单[政治]&lt;9E+307)*(表成绩单[政治]&gt;表成绩单[[#This Row],[政治]]))+1)</f>
        <v>431</v>
      </c>
      <c r="V2822" s="29" cm="1">
        <f t="array" ref="V2822">IF(表成绩单[[#This Row],[历史]]="","",SUMPRODUCT((表成绩单[考试日期]=表成绩单[[#This Row],[考试日期]])*(表成绩单[历史]&lt;9E+307)*(表成绩单[历史]&gt;表成绩单[[#This Row],[历史]]))+1)</f>
        <v>106</v>
      </c>
      <c r="W2822" s="29" cm="1">
        <f t="array" ref="W2822">IF(表成绩单[[#This Row],[总分]]="","",SUMPRODUCT((表成绩单[考试日期]=表成绩单[[#This Row],[考试日期]])*(表成绩单[总分]&lt;9E+307)*(表成绩单[总分]&gt;表成绩单[[#This Row],[总分]]))+1)</f>
        <v>414</v>
      </c>
    </row>
    <row r="2823" ht="28" customHeight="1" spans="4:23">
      <c r="D2823" s="31">
        <v>46108</v>
      </c>
      <c r="E2823" s="29">
        <v>19178635</v>
      </c>
      <c r="F2823" s="29" t="s">
        <v>25</v>
      </c>
      <c r="G2823" s="29" t="s">
        <v>394</v>
      </c>
      <c r="H2823" s="29">
        <v>101</v>
      </c>
      <c r="I2823" s="29">
        <v>92</v>
      </c>
      <c r="J2823" s="29">
        <v>73</v>
      </c>
      <c r="K2823" s="29">
        <v>74</v>
      </c>
      <c r="L2823" s="29">
        <v>71</v>
      </c>
      <c r="M2823" s="29">
        <v>72</v>
      </c>
      <c r="N2823" s="29">
        <v>68</v>
      </c>
      <c r="O2823" s="32">
        <v>551</v>
      </c>
      <c r="P2823" s="29" cm="1">
        <f t="array" ref="P2823">IF(表成绩单[[#This Row],[语文]]="","",SUMPRODUCT((表成绩单[考试日期]=表成绩单[[#This Row],[考试日期]])*(表成绩单[语文]&lt;9E+307)*(表成绩单[语文]&gt;表成绩单[[#This Row],[语文]]))+1)</f>
        <v>211</v>
      </c>
      <c r="Q2823" s="29" cm="1">
        <f t="array" ref="Q2823">IF(表成绩单[[#This Row],[数学]]="","",SUMPRODUCT((表成绩单[考试日期]=表成绩单[[#This Row],[考试日期]])*(表成绩单[数学]&lt;9E+307)*(表成绩单[数学]&gt;表成绩单[[#This Row],[数学]]))+1)</f>
        <v>312</v>
      </c>
      <c r="R2823" s="29" cm="1">
        <f t="array" ref="R2823">IF(表成绩单[[#This Row],[英语]]="","",SUMPRODUCT((表成绩单[考试日期]=表成绩单[[#This Row],[考试日期]])*(表成绩单[英语]&lt;9E+307)*(表成绩单[英语]&gt;表成绩单[[#This Row],[英语]]))+1)</f>
        <v>478</v>
      </c>
      <c r="S2823" s="29" cm="1">
        <f t="array" ref="S2823">IF(表成绩单[[#This Row],[物理]]="","",SUMPRODUCT((表成绩单[考试日期]=表成绩单[[#This Row],[考试日期]])*(表成绩单[物理]&lt;9E+307)*(表成绩单[物理]&gt;表成绩单[[#This Row],[物理]]))+1)</f>
        <v>472</v>
      </c>
      <c r="T2823" s="29" cm="1">
        <f t="array" ref="T2823">IF(表成绩单[[#This Row],[化学]]="","",SUMPRODUCT((表成绩单[考试日期]=表成绩单[[#This Row],[考试日期]])*(表成绩单[化学]&lt;9E+307)*(表成绩单[化学]&gt;表成绩单[[#This Row],[化学]]))+1)</f>
        <v>217</v>
      </c>
      <c r="U2823" s="29" cm="1">
        <f t="array" ref="U2823">IF(表成绩单[[#This Row],[政治]]="","",SUMPRODUCT((表成绩单[考试日期]=表成绩单[[#This Row],[考试日期]])*(表成绩单[政治]&lt;9E+307)*(表成绩单[政治]&gt;表成绩单[[#This Row],[政治]]))+1)</f>
        <v>470</v>
      </c>
      <c r="V2823" s="29" cm="1">
        <f t="array" ref="V2823">IF(表成绩单[[#This Row],[历史]]="","",SUMPRODUCT((表成绩单[考试日期]=表成绩单[[#This Row],[考试日期]])*(表成绩单[历史]&lt;9E+307)*(表成绩单[历史]&gt;表成绩单[[#This Row],[历史]]))+1)</f>
        <v>599</v>
      </c>
      <c r="W2823" s="29" cm="1">
        <f t="array" ref="W2823">IF(表成绩单[[#This Row],[总分]]="","",SUMPRODUCT((表成绩单[考试日期]=表成绩单[[#This Row],[考试日期]])*(表成绩单[总分]&lt;9E+307)*(表成绩单[总分]&gt;表成绩单[[#This Row],[总分]]))+1)</f>
        <v>414</v>
      </c>
    </row>
    <row r="2824" ht="28" customHeight="1" spans="4:23">
      <c r="D2824" s="31">
        <v>46108</v>
      </c>
      <c r="E2824" s="29">
        <v>19177640</v>
      </c>
      <c r="F2824" s="29" t="s">
        <v>63</v>
      </c>
      <c r="G2824" s="29" t="s">
        <v>505</v>
      </c>
      <c r="H2824" s="29">
        <v>104</v>
      </c>
      <c r="I2824" s="29">
        <v>80</v>
      </c>
      <c r="J2824" s="29">
        <v>75.5</v>
      </c>
      <c r="K2824" s="29">
        <v>77</v>
      </c>
      <c r="L2824" s="29">
        <v>63</v>
      </c>
      <c r="M2824" s="29">
        <v>77</v>
      </c>
      <c r="N2824" s="29">
        <v>74</v>
      </c>
      <c r="O2824" s="32">
        <v>550.5</v>
      </c>
      <c r="P2824" s="29" cm="1">
        <f t="array" ref="P2824">IF(表成绩单[[#This Row],[语文]]="","",SUMPRODUCT((表成绩单[考试日期]=表成绩单[[#This Row],[考试日期]])*(表成绩单[语文]&lt;9E+307)*(表成绩单[语文]&gt;表成绩单[[#This Row],[语文]]))+1)</f>
        <v>131</v>
      </c>
      <c r="Q2824" s="29" cm="1">
        <f t="array" ref="Q2824">IF(表成绩单[[#This Row],[数学]]="","",SUMPRODUCT((表成绩单[考试日期]=表成绩单[[#This Row],[考试日期]])*(表成绩单[数学]&lt;9E+307)*(表成绩单[数学]&gt;表成绩单[[#This Row],[数学]]))+1)</f>
        <v>578</v>
      </c>
      <c r="R2824" s="29" cm="1">
        <f t="array" ref="R2824">IF(表成绩单[[#This Row],[英语]]="","",SUMPRODUCT((表成绩单[考试日期]=表成绩单[[#This Row],[考试日期]])*(表成绩单[英语]&lt;9E+307)*(表成绩单[英语]&gt;表成绩单[[#This Row],[英语]]))+1)</f>
        <v>421</v>
      </c>
      <c r="S2824" s="29" cm="1">
        <f t="array" ref="S2824">IF(表成绩单[[#This Row],[物理]]="","",SUMPRODUCT((表成绩单[考试日期]=表成绩单[[#This Row],[考试日期]])*(表成绩单[物理]&lt;9E+307)*(表成绩单[物理]&gt;表成绩单[[#This Row],[物理]]))+1)</f>
        <v>400</v>
      </c>
      <c r="T2824" s="29" cm="1">
        <f t="array" ref="T2824">IF(表成绩单[[#This Row],[化学]]="","",SUMPRODUCT((表成绩单[考试日期]=表成绩单[[#This Row],[考试日期]])*(表成绩单[化学]&lt;9E+307)*(表成绩单[化学]&gt;表成绩单[[#This Row],[化学]]))+1)</f>
        <v>426</v>
      </c>
      <c r="U2824" s="29" cm="1">
        <f t="array" ref="U2824">IF(表成绩单[[#This Row],[政治]]="","",SUMPRODUCT((表成绩单[考试日期]=表成绩单[[#This Row],[考试日期]])*(表成绩单[政治]&lt;9E+307)*(表成绩单[政治]&gt;表成绩单[[#This Row],[政治]]))+1)</f>
        <v>230</v>
      </c>
      <c r="V2824" s="29" cm="1">
        <f t="array" ref="V2824">IF(表成绩单[[#This Row],[历史]]="","",SUMPRODUCT((表成绩单[考试日期]=表成绩单[[#This Row],[考试日期]])*(表成绩单[历史]&lt;9E+307)*(表成绩单[历史]&gt;表成绩单[[#This Row],[历史]]))+1)</f>
        <v>389</v>
      </c>
      <c r="W2824" s="29" cm="1">
        <f t="array" ref="W2824">IF(表成绩单[[#This Row],[总分]]="","",SUMPRODUCT((表成绩单[考试日期]=表成绩单[[#This Row],[考试日期]])*(表成绩单[总分]&lt;9E+307)*(表成绩单[总分]&gt;表成绩单[[#This Row],[总分]]))+1)</f>
        <v>417</v>
      </c>
    </row>
    <row r="2825" ht="28" customHeight="1" spans="4:23">
      <c r="D2825" s="31">
        <v>46108</v>
      </c>
      <c r="E2825" s="29">
        <v>19178625</v>
      </c>
      <c r="F2825" s="29" t="s">
        <v>25</v>
      </c>
      <c r="G2825" s="29" t="s">
        <v>571</v>
      </c>
      <c r="H2825" s="29">
        <v>101</v>
      </c>
      <c r="I2825" s="29">
        <v>90</v>
      </c>
      <c r="J2825" s="29">
        <v>69.5</v>
      </c>
      <c r="K2825" s="29">
        <v>73</v>
      </c>
      <c r="L2825" s="29">
        <v>65</v>
      </c>
      <c r="M2825" s="29">
        <v>72</v>
      </c>
      <c r="N2825" s="29">
        <v>80</v>
      </c>
      <c r="O2825" s="32">
        <v>550.5</v>
      </c>
      <c r="P2825" s="29" cm="1">
        <f t="array" ref="P2825">IF(表成绩单[[#This Row],[语文]]="","",SUMPRODUCT((表成绩单[考试日期]=表成绩单[[#This Row],[考试日期]])*(表成绩单[语文]&lt;9E+307)*(表成绩单[语文]&gt;表成绩单[[#This Row],[语文]]))+1)</f>
        <v>211</v>
      </c>
      <c r="Q2825" s="29" cm="1">
        <f t="array" ref="Q2825">IF(表成绩单[[#This Row],[数学]]="","",SUMPRODUCT((表成绩单[考试日期]=表成绩单[[#This Row],[考试日期]])*(表成绩单[数学]&lt;9E+307)*(表成绩单[数学]&gt;表成绩单[[#This Row],[数学]]))+1)</f>
        <v>368</v>
      </c>
      <c r="R2825" s="29" cm="1">
        <f t="array" ref="R2825">IF(表成绩单[[#This Row],[英语]]="","",SUMPRODUCT((表成绩单[考试日期]=表成绩单[[#This Row],[考试日期]])*(表成绩单[英语]&lt;9E+307)*(表成绩单[英语]&gt;表成绩单[[#This Row],[英语]]))+1)</f>
        <v>547</v>
      </c>
      <c r="S2825" s="29" cm="1">
        <f t="array" ref="S2825">IF(表成绩单[[#This Row],[物理]]="","",SUMPRODUCT((表成绩单[考试日期]=表成绩单[[#This Row],[考试日期]])*(表成绩单[物理]&lt;9E+307)*(表成绩单[物理]&gt;表成绩单[[#This Row],[物理]]))+1)</f>
        <v>500</v>
      </c>
      <c r="T2825" s="29" cm="1">
        <f t="array" ref="T2825">IF(表成绩单[[#This Row],[化学]]="","",SUMPRODUCT((表成绩单[考试日期]=表成绩单[[#This Row],[考试日期]])*(表成绩单[化学]&lt;9E+307)*(表成绩单[化学]&gt;表成绩单[[#This Row],[化学]]))+1)</f>
        <v>379</v>
      </c>
      <c r="U2825" s="29" cm="1">
        <f t="array" ref="U2825">IF(表成绩单[[#This Row],[政治]]="","",SUMPRODUCT((表成绩单[考试日期]=表成绩单[[#This Row],[考试日期]])*(表成绩单[政治]&lt;9E+307)*(表成绩单[政治]&gt;表成绩单[[#This Row],[政治]]))+1)</f>
        <v>470</v>
      </c>
      <c r="V2825" s="29" cm="1">
        <f t="array" ref="V2825">IF(表成绩单[[#This Row],[历史]]="","",SUMPRODUCT((表成绩单[考试日期]=表成绩单[[#This Row],[考试日期]])*(表成绩单[历史]&lt;9E+307)*(表成绩单[历史]&gt;表成绩单[[#This Row],[历史]]))+1)</f>
        <v>143</v>
      </c>
      <c r="W2825" s="29" cm="1">
        <f t="array" ref="W2825">IF(表成绩单[[#This Row],[总分]]="","",SUMPRODUCT((表成绩单[考试日期]=表成绩单[[#This Row],[考试日期]])*(表成绩单[总分]&lt;9E+307)*(表成绩单[总分]&gt;表成绩单[[#This Row],[总分]]))+1)</f>
        <v>417</v>
      </c>
    </row>
    <row r="2826" ht="28" customHeight="1" spans="4:23">
      <c r="D2826" s="31">
        <v>46108</v>
      </c>
      <c r="E2826" s="29">
        <v>19171077</v>
      </c>
      <c r="F2826" s="29" t="s">
        <v>67</v>
      </c>
      <c r="G2826" s="29" t="s">
        <v>540</v>
      </c>
      <c r="H2826" s="29">
        <v>100</v>
      </c>
      <c r="I2826" s="29">
        <v>94</v>
      </c>
      <c r="J2826" s="29">
        <v>79</v>
      </c>
      <c r="K2826" s="29">
        <v>71</v>
      </c>
      <c r="L2826" s="29">
        <v>57</v>
      </c>
      <c r="M2826" s="29">
        <v>72</v>
      </c>
      <c r="N2826" s="29">
        <v>77</v>
      </c>
      <c r="O2826" s="32">
        <v>550</v>
      </c>
      <c r="P2826" s="29" cm="1">
        <f t="array" ref="P2826">IF(表成绩单[[#This Row],[语文]]="","",SUMPRODUCT((表成绩单[考试日期]=表成绩单[[#This Row],[考试日期]])*(表成绩单[语文]&lt;9E+307)*(表成绩单[语文]&gt;表成绩单[[#This Row],[语文]]))+1)</f>
        <v>247</v>
      </c>
      <c r="Q2826" s="29" cm="1">
        <f t="array" ref="Q2826">IF(表成绩单[[#This Row],[数学]]="","",SUMPRODUCT((表成绩单[考试日期]=表成绩单[[#This Row],[考试日期]])*(表成绩单[数学]&lt;9E+307)*(表成绩单[数学]&gt;表成绩单[[#This Row],[数学]]))+1)</f>
        <v>258</v>
      </c>
      <c r="R2826" s="29" cm="1">
        <f t="array" ref="R2826">IF(表成绩单[[#This Row],[英语]]="","",SUMPRODUCT((表成绩单[考试日期]=表成绩单[[#This Row],[考试日期]])*(表成绩单[英语]&lt;9E+307)*(表成绩单[英语]&gt;表成绩单[[#This Row],[英语]]))+1)</f>
        <v>305</v>
      </c>
      <c r="S2826" s="29" cm="1">
        <f t="array" ref="S2826">IF(表成绩单[[#This Row],[物理]]="","",SUMPRODUCT((表成绩单[考试日期]=表成绩单[[#This Row],[考试日期]])*(表成绩单[物理]&lt;9E+307)*(表成绩单[物理]&gt;表成绩单[[#This Row],[物理]]))+1)</f>
        <v>536</v>
      </c>
      <c r="T2826" s="29" cm="1">
        <f t="array" ref="T2826">IF(表成绩单[[#This Row],[化学]]="","",SUMPRODUCT((表成绩单[考试日期]=表成绩单[[#This Row],[考试日期]])*(表成绩单[化学]&lt;9E+307)*(表成绩单[化学]&gt;表成绩单[[#This Row],[化学]]))+1)</f>
        <v>552</v>
      </c>
      <c r="U2826" s="29" cm="1">
        <f t="array" ref="U2826">IF(表成绩单[[#This Row],[政治]]="","",SUMPRODUCT((表成绩单[考试日期]=表成绩单[[#This Row],[考试日期]])*(表成绩单[政治]&lt;9E+307)*(表成绩单[政治]&gt;表成绩单[[#This Row],[政治]]))+1)</f>
        <v>470</v>
      </c>
      <c r="V2826" s="29" cm="1">
        <f t="array" ref="V2826">IF(表成绩单[[#This Row],[历史]]="","",SUMPRODUCT((表成绩单[考试日期]=表成绩单[[#This Row],[考试日期]])*(表成绩单[历史]&lt;9E+307)*(表成绩单[历史]&gt;表成绩单[[#This Row],[历史]]))+1)</f>
        <v>269</v>
      </c>
      <c r="W2826" s="29" cm="1">
        <f t="array" ref="W2826">IF(表成绩单[[#This Row],[总分]]="","",SUMPRODUCT((表成绩单[考试日期]=表成绩单[[#This Row],[考试日期]])*(表成绩单[总分]&lt;9E+307)*(表成绩单[总分]&gt;表成绩单[[#This Row],[总分]]))+1)</f>
        <v>419</v>
      </c>
    </row>
    <row r="2827" ht="28" customHeight="1" spans="4:23">
      <c r="D2827" s="31">
        <v>46108</v>
      </c>
      <c r="E2827" s="29">
        <v>19174449</v>
      </c>
      <c r="F2827" s="29" t="s">
        <v>73</v>
      </c>
      <c r="G2827" s="29" t="s">
        <v>325</v>
      </c>
      <c r="H2827" s="29">
        <v>99</v>
      </c>
      <c r="I2827" s="29">
        <v>94</v>
      </c>
      <c r="J2827" s="29">
        <v>85</v>
      </c>
      <c r="K2827" s="29">
        <v>69</v>
      </c>
      <c r="L2827" s="29">
        <v>59</v>
      </c>
      <c r="M2827" s="29">
        <v>68</v>
      </c>
      <c r="N2827" s="29">
        <v>76</v>
      </c>
      <c r="O2827" s="32">
        <v>550</v>
      </c>
      <c r="P2827" s="29" cm="1">
        <f t="array" ref="P2827">IF(表成绩单[[#This Row],[语文]]="","",SUMPRODUCT((表成绩单[考试日期]=表成绩单[[#This Row],[考试日期]])*(表成绩单[语文]&lt;9E+307)*(表成绩单[语文]&gt;表成绩单[[#This Row],[语文]]))+1)</f>
        <v>279</v>
      </c>
      <c r="Q2827" s="29" cm="1">
        <f t="array" ref="Q2827">IF(表成绩单[[#This Row],[数学]]="","",SUMPRODUCT((表成绩单[考试日期]=表成绩单[[#This Row],[考试日期]])*(表成绩单[数学]&lt;9E+307)*(表成绩单[数学]&gt;表成绩单[[#This Row],[数学]]))+1)</f>
        <v>258</v>
      </c>
      <c r="R2827" s="29" cm="1">
        <f t="array" ref="R2827">IF(表成绩单[[#This Row],[英语]]="","",SUMPRODUCT((表成绩单[考试日期]=表成绩单[[#This Row],[考试日期]])*(表成绩单[英语]&lt;9E+307)*(表成绩单[英语]&gt;表成绩单[[#This Row],[英语]]))+1)</f>
        <v>59</v>
      </c>
      <c r="S2827" s="29" cm="1">
        <f t="array" ref="S2827">IF(表成绩单[[#This Row],[物理]]="","",SUMPRODUCT((表成绩单[考试日期]=表成绩单[[#This Row],[考试日期]])*(表成绩单[物理]&lt;9E+307)*(表成绩单[物理]&gt;表成绩单[[#This Row],[物理]]))+1)</f>
        <v>565</v>
      </c>
      <c r="T2827" s="29" cm="1">
        <f t="array" ref="T2827">IF(表成绩单[[#This Row],[化学]]="","",SUMPRODUCT((表成绩单[考试日期]=表成绩单[[#This Row],[考试日期]])*(表成绩单[化学]&lt;9E+307)*(表成绩单[化学]&gt;表成绩单[[#This Row],[化学]]))+1)</f>
        <v>510</v>
      </c>
      <c r="U2827" s="29" cm="1">
        <f t="array" ref="U2827">IF(表成绩单[[#This Row],[政治]]="","",SUMPRODUCT((表成绩单[考试日期]=表成绩单[[#This Row],[考试日期]])*(表成绩单[政治]&lt;9E+307)*(表成绩单[政治]&gt;表成绩单[[#This Row],[政治]]))+1)</f>
        <v>596</v>
      </c>
      <c r="V2827" s="29" cm="1">
        <f t="array" ref="V2827">IF(表成绩单[[#This Row],[历史]]="","",SUMPRODUCT((表成绩单[考试日期]=表成绩单[[#This Row],[考试日期]])*(表成绩单[历史]&lt;9E+307)*(表成绩单[历史]&gt;表成绩单[[#This Row],[历史]]))+1)</f>
        <v>316</v>
      </c>
      <c r="W2827" s="29" cm="1">
        <f t="array" ref="W2827">IF(表成绩单[[#This Row],[总分]]="","",SUMPRODUCT((表成绩单[考试日期]=表成绩单[[#This Row],[考试日期]])*(表成绩单[总分]&lt;9E+307)*(表成绩单[总分]&gt;表成绩单[[#This Row],[总分]]))+1)</f>
        <v>419</v>
      </c>
    </row>
    <row r="2828" ht="28" customHeight="1" spans="4:23">
      <c r="D2828" s="31">
        <v>46108</v>
      </c>
      <c r="E2828" s="29">
        <v>19175417</v>
      </c>
      <c r="F2828" s="29" t="s">
        <v>74</v>
      </c>
      <c r="G2828" s="29" t="s">
        <v>495</v>
      </c>
      <c r="H2828" s="29">
        <v>99</v>
      </c>
      <c r="I2828" s="29">
        <v>87</v>
      </c>
      <c r="J2828" s="29">
        <v>77</v>
      </c>
      <c r="K2828" s="29">
        <v>78</v>
      </c>
      <c r="L2828" s="29">
        <v>57</v>
      </c>
      <c r="M2828" s="29">
        <v>81</v>
      </c>
      <c r="N2828" s="29">
        <v>71</v>
      </c>
      <c r="O2828" s="32">
        <v>550</v>
      </c>
      <c r="P2828" s="29" cm="1">
        <f t="array" ref="P2828">IF(表成绩单[[#This Row],[语文]]="","",SUMPRODUCT((表成绩单[考试日期]=表成绩单[[#This Row],[考试日期]])*(表成绩单[语文]&lt;9E+307)*(表成绩单[语文]&gt;表成绩单[[#This Row],[语文]]))+1)</f>
        <v>279</v>
      </c>
      <c r="Q2828" s="29" cm="1">
        <f t="array" ref="Q2828">IF(表成绩单[[#This Row],[数学]]="","",SUMPRODUCT((表成绩单[考试日期]=表成绩单[[#This Row],[考试日期]])*(表成绩单[数学]&lt;9E+307)*(表成绩单[数学]&gt;表成绩单[[#This Row],[数学]]))+1)</f>
        <v>452</v>
      </c>
      <c r="R2828" s="29" cm="1">
        <f t="array" ref="R2828">IF(表成绩单[[#This Row],[英语]]="","",SUMPRODUCT((表成绩单[考试日期]=表成绩单[[#This Row],[考试日期]])*(表成绩单[英语]&lt;9E+307)*(表成绩单[英语]&gt;表成绩单[[#This Row],[英语]]))+1)</f>
        <v>370</v>
      </c>
      <c r="S2828" s="29" cm="1">
        <f t="array" ref="S2828">IF(表成绩单[[#This Row],[物理]]="","",SUMPRODUCT((表成绩单[考试日期]=表成绩单[[#This Row],[考试日期]])*(表成绩单[物理]&lt;9E+307)*(表成绩单[物理]&gt;表成绩单[[#This Row],[物理]]))+1)</f>
        <v>365</v>
      </c>
      <c r="T2828" s="29" cm="1">
        <f t="array" ref="T2828">IF(表成绩单[[#This Row],[化学]]="","",SUMPRODUCT((表成绩单[考试日期]=表成绩单[[#This Row],[考试日期]])*(表成绩单[化学]&lt;9E+307)*(表成绩单[化学]&gt;表成绩单[[#This Row],[化学]]))+1)</f>
        <v>552</v>
      </c>
      <c r="U2828" s="29" cm="1">
        <f t="array" ref="U2828">IF(表成绩单[[#This Row],[政治]]="","",SUMPRODUCT((表成绩单[考试日期]=表成绩单[[#This Row],[考试日期]])*(表成绩单[政治]&lt;9E+307)*(表成绩单[政治]&gt;表成绩单[[#This Row],[政治]]))+1)</f>
        <v>68</v>
      </c>
      <c r="V2828" s="29" cm="1">
        <f t="array" ref="V2828">IF(表成绩单[[#This Row],[历史]]="","",SUMPRODUCT((表成绩单[考试日期]=表成绩单[[#This Row],[考试日期]])*(表成绩单[历史]&lt;9E+307)*(表成绩单[历史]&gt;表成绩单[[#This Row],[历史]]))+1)</f>
        <v>516</v>
      </c>
      <c r="W2828" s="29" cm="1">
        <f t="array" ref="W2828">IF(表成绩单[[#This Row],[总分]]="","",SUMPRODUCT((表成绩单[考试日期]=表成绩单[[#This Row],[考试日期]])*(表成绩单[总分]&lt;9E+307)*(表成绩单[总分]&gt;表成绩单[[#This Row],[总分]]))+1)</f>
        <v>419</v>
      </c>
    </row>
    <row r="2829" ht="28" customHeight="1" spans="4:23">
      <c r="D2829" s="31">
        <v>46108</v>
      </c>
      <c r="E2829" s="29">
        <v>19176863</v>
      </c>
      <c r="F2829" s="29" t="s">
        <v>71</v>
      </c>
      <c r="G2829" s="29" t="s">
        <v>538</v>
      </c>
      <c r="H2829" s="29">
        <v>100</v>
      </c>
      <c r="I2829" s="29">
        <v>83</v>
      </c>
      <c r="J2829" s="29">
        <v>80</v>
      </c>
      <c r="K2829" s="29">
        <v>77</v>
      </c>
      <c r="L2829" s="29">
        <v>61</v>
      </c>
      <c r="M2829" s="29">
        <v>74</v>
      </c>
      <c r="N2829" s="29">
        <v>75</v>
      </c>
      <c r="O2829" s="32">
        <v>550</v>
      </c>
      <c r="P2829" s="29" cm="1">
        <f t="array" ref="P2829">IF(表成绩单[[#This Row],[语文]]="","",SUMPRODUCT((表成绩单[考试日期]=表成绩单[[#This Row],[考试日期]])*(表成绩单[语文]&lt;9E+307)*(表成绩单[语文]&gt;表成绩单[[#This Row],[语文]]))+1)</f>
        <v>247</v>
      </c>
      <c r="Q2829" s="29" cm="1">
        <f t="array" ref="Q2829">IF(表成绩单[[#This Row],[数学]]="","",SUMPRODUCT((表成绩单[考试日期]=表成绩单[[#This Row],[考试日期]])*(表成绩单[数学]&lt;9E+307)*(表成绩单[数学]&gt;表成绩单[[#This Row],[数学]]))+1)</f>
        <v>543</v>
      </c>
      <c r="R2829" s="29" cm="1">
        <f t="array" ref="R2829">IF(表成绩单[[#This Row],[英语]]="","",SUMPRODUCT((表成绩单[考试日期]=表成绩单[[#This Row],[考试日期]])*(表成绩单[英语]&lt;9E+307)*(表成绩单[英语]&gt;表成绩单[[#This Row],[英语]]))+1)</f>
        <v>266</v>
      </c>
      <c r="S2829" s="29" cm="1">
        <f t="array" ref="S2829">IF(表成绩单[[#This Row],[物理]]="","",SUMPRODUCT((表成绩单[考试日期]=表成绩单[[#This Row],[考试日期]])*(表成绩单[物理]&lt;9E+307)*(表成绩单[物理]&gt;表成绩单[[#This Row],[物理]]))+1)</f>
        <v>400</v>
      </c>
      <c r="T2829" s="29" cm="1">
        <f t="array" ref="T2829">IF(表成绩单[[#This Row],[化学]]="","",SUMPRODUCT((表成绩单[考试日期]=表成绩单[[#This Row],[考试日期]])*(表成绩单[化学]&lt;9E+307)*(表成绩单[化学]&gt;表成绩单[[#This Row],[化学]]))+1)</f>
        <v>467</v>
      </c>
      <c r="U2829" s="29" cm="1">
        <f t="array" ref="U2829">IF(表成绩单[[#This Row],[政治]]="","",SUMPRODUCT((表成绩单[考试日期]=表成绩单[[#This Row],[考试日期]])*(表成绩单[政治]&lt;9E+307)*(表成绩单[政治]&gt;表成绩单[[#This Row],[政治]]))+1)</f>
        <v>389</v>
      </c>
      <c r="V2829" s="29" cm="1">
        <f t="array" ref="V2829">IF(表成绩单[[#This Row],[历史]]="","",SUMPRODUCT((表成绩单[考试日期]=表成绩单[[#This Row],[考试日期]])*(表成绩单[历史]&lt;9E+307)*(表成绩单[历史]&gt;表成绩单[[#This Row],[历史]]))+1)</f>
        <v>354</v>
      </c>
      <c r="W2829" s="29" cm="1">
        <f t="array" ref="W2829">IF(表成绩单[[#This Row],[总分]]="","",SUMPRODUCT((表成绩单[考试日期]=表成绩单[[#This Row],[考试日期]])*(表成绩单[总分]&lt;9E+307)*(表成绩单[总分]&gt;表成绩单[[#This Row],[总分]]))+1)</f>
        <v>419</v>
      </c>
    </row>
    <row r="2830" ht="28" customHeight="1" spans="4:23">
      <c r="D2830" s="31">
        <v>46108</v>
      </c>
      <c r="E2830" s="29">
        <v>19177204</v>
      </c>
      <c r="F2830" s="29" t="s">
        <v>70</v>
      </c>
      <c r="G2830" s="29" t="s">
        <v>507</v>
      </c>
      <c r="H2830" s="29">
        <v>111</v>
      </c>
      <c r="I2830" s="29">
        <v>80</v>
      </c>
      <c r="J2830" s="29">
        <v>79</v>
      </c>
      <c r="K2830" s="29">
        <v>79</v>
      </c>
      <c r="L2830" s="29">
        <v>58</v>
      </c>
      <c r="M2830" s="29">
        <v>76</v>
      </c>
      <c r="N2830" s="29">
        <v>67</v>
      </c>
      <c r="O2830" s="32">
        <v>550</v>
      </c>
      <c r="P2830" s="29" cm="1">
        <f t="array" ref="P2830">IF(表成绩单[[#This Row],[语文]]="","",SUMPRODUCT((表成绩单[考试日期]=表成绩单[[#This Row],[考试日期]])*(表成绩单[语文]&lt;9E+307)*(表成绩单[语文]&gt;表成绩单[[#This Row],[语文]]))+1)</f>
        <v>18</v>
      </c>
      <c r="Q2830" s="29" cm="1">
        <f t="array" ref="Q2830">IF(表成绩单[[#This Row],[数学]]="","",SUMPRODUCT((表成绩单[考试日期]=表成绩单[[#This Row],[考试日期]])*(表成绩单[数学]&lt;9E+307)*(表成绩单[数学]&gt;表成绩单[[#This Row],[数学]]))+1)</f>
        <v>578</v>
      </c>
      <c r="R2830" s="29" cm="1">
        <f t="array" ref="R2830">IF(表成绩单[[#This Row],[英语]]="","",SUMPRODUCT((表成绩单[考试日期]=表成绩单[[#This Row],[考试日期]])*(表成绩单[英语]&lt;9E+307)*(表成绩单[英语]&gt;表成绩单[[#This Row],[英语]]))+1)</f>
        <v>305</v>
      </c>
      <c r="S2830" s="29" cm="1">
        <f t="array" ref="S2830">IF(表成绩单[[#This Row],[物理]]="","",SUMPRODUCT((表成绩单[考试日期]=表成绩单[[#This Row],[考试日期]])*(表成绩单[物理]&lt;9E+307)*(表成绩单[物理]&gt;表成绩单[[#This Row],[物理]]))+1)</f>
        <v>344</v>
      </c>
      <c r="T2830" s="29" cm="1">
        <f t="array" ref="T2830">IF(表成绩单[[#This Row],[化学]]="","",SUMPRODUCT((表成绩单[考试日期]=表成绩单[[#This Row],[考试日期]])*(表成绩单[化学]&lt;9E+307)*(表成绩单[化学]&gt;表成绩单[[#This Row],[化学]]))+1)</f>
        <v>532</v>
      </c>
      <c r="U2830" s="29" cm="1">
        <f t="array" ref="U2830">IF(表成绩单[[#This Row],[政治]]="","",SUMPRODUCT((表成绩单[考试日期]=表成绩单[[#This Row],[考试日期]])*(表成绩单[政治]&lt;9E+307)*(表成绩单[政治]&gt;表成绩单[[#This Row],[政治]]))+1)</f>
        <v>291</v>
      </c>
      <c r="V2830" s="29" cm="1">
        <f t="array" ref="V2830">IF(表成绩单[[#This Row],[历史]]="","",SUMPRODUCT((表成绩单[考试日期]=表成绩单[[#This Row],[考试日期]])*(表成绩单[历史]&lt;9E+307)*(表成绩单[历史]&gt;表成绩单[[#This Row],[历史]]))+1)</f>
        <v>623</v>
      </c>
      <c r="W2830" s="29" cm="1">
        <f t="array" ref="W2830">IF(表成绩单[[#This Row],[总分]]="","",SUMPRODUCT((表成绩单[考试日期]=表成绩单[[#This Row],[考试日期]])*(表成绩单[总分]&lt;9E+307)*(表成绩单[总分]&gt;表成绩单[[#This Row],[总分]]))+1)</f>
        <v>419</v>
      </c>
    </row>
    <row r="2831" ht="28" customHeight="1" spans="4:23">
      <c r="D2831" s="31">
        <v>46108</v>
      </c>
      <c r="E2831" s="29">
        <v>19172632</v>
      </c>
      <c r="F2831" s="29" t="s">
        <v>60</v>
      </c>
      <c r="G2831" s="29" t="s">
        <v>595</v>
      </c>
      <c r="H2831" s="29">
        <v>93</v>
      </c>
      <c r="I2831" s="29">
        <v>82</v>
      </c>
      <c r="J2831" s="29">
        <v>76.5</v>
      </c>
      <c r="K2831" s="29">
        <v>78</v>
      </c>
      <c r="L2831" s="29">
        <v>66</v>
      </c>
      <c r="M2831" s="29">
        <v>74</v>
      </c>
      <c r="N2831" s="29">
        <v>80</v>
      </c>
      <c r="O2831" s="32">
        <v>549.5</v>
      </c>
      <c r="P2831" s="29" cm="1">
        <f t="array" ref="P2831">IF(表成绩单[[#This Row],[语文]]="","",SUMPRODUCT((表成绩单[考试日期]=表成绩单[[#This Row],[考试日期]])*(表成绩单[语文]&lt;9E+307)*(表成绩单[语文]&gt;表成绩单[[#This Row],[语文]]))+1)</f>
        <v>470</v>
      </c>
      <c r="Q2831" s="29" cm="1">
        <f t="array" ref="Q2831">IF(表成绩单[[#This Row],[数学]]="","",SUMPRODUCT((表成绩单[考试日期]=表成绩单[[#This Row],[考试日期]])*(表成绩单[数学]&lt;9E+307)*(表成绩单[数学]&gt;表成绩单[[#This Row],[数学]]))+1)</f>
        <v>555</v>
      </c>
      <c r="R2831" s="29" cm="1">
        <f t="array" ref="R2831">IF(表成绩单[[#This Row],[英语]]="","",SUMPRODUCT((表成绩单[考试日期]=表成绩单[[#This Row],[考试日期]])*(表成绩单[英语]&lt;9E+307)*(表成绩单[英语]&gt;表成绩单[[#This Row],[英语]]))+1)</f>
        <v>384</v>
      </c>
      <c r="S2831" s="29" cm="1">
        <f t="array" ref="S2831">IF(表成绩单[[#This Row],[物理]]="","",SUMPRODUCT((表成绩单[考试日期]=表成绩单[[#This Row],[考试日期]])*(表成绩单[物理]&lt;9E+307)*(表成绩单[物理]&gt;表成绩单[[#This Row],[物理]]))+1)</f>
        <v>365</v>
      </c>
      <c r="T2831" s="29" cm="1">
        <f t="array" ref="T2831">IF(表成绩单[[#This Row],[化学]]="","",SUMPRODUCT((表成绩单[考试日期]=表成绩单[[#This Row],[考试日期]])*(表成绩单[化学]&lt;9E+307)*(表成绩单[化学]&gt;表成绩单[[#This Row],[化学]]))+1)</f>
        <v>359</v>
      </c>
      <c r="U2831" s="29" cm="1">
        <f t="array" ref="U2831">IF(表成绩单[[#This Row],[政治]]="","",SUMPRODUCT((表成绩单[考试日期]=表成绩单[[#This Row],[考试日期]])*(表成绩单[政治]&lt;9E+307)*(表成绩单[政治]&gt;表成绩单[[#This Row],[政治]]))+1)</f>
        <v>389</v>
      </c>
      <c r="V2831" s="29" cm="1">
        <f t="array" ref="V2831">IF(表成绩单[[#This Row],[历史]]="","",SUMPRODUCT((表成绩单[考试日期]=表成绩单[[#This Row],[考试日期]])*(表成绩单[历史]&lt;9E+307)*(表成绩单[历史]&gt;表成绩单[[#This Row],[历史]]))+1)</f>
        <v>143</v>
      </c>
      <c r="W2831" s="29" cm="1">
        <f t="array" ref="W2831">IF(表成绩单[[#This Row],[总分]]="","",SUMPRODUCT((表成绩单[考试日期]=表成绩单[[#This Row],[考试日期]])*(表成绩单[总分]&lt;9E+307)*(表成绩单[总分]&gt;表成绩单[[#This Row],[总分]]))+1)</f>
        <v>424</v>
      </c>
    </row>
    <row r="2832" ht="28" customHeight="1" spans="4:23">
      <c r="D2832" s="31">
        <v>46108</v>
      </c>
      <c r="E2832" s="29">
        <v>19178609</v>
      </c>
      <c r="F2832" s="29" t="s">
        <v>25</v>
      </c>
      <c r="G2832" s="29" t="s">
        <v>616</v>
      </c>
      <c r="H2832" s="29">
        <v>102</v>
      </c>
      <c r="I2832" s="29">
        <v>87</v>
      </c>
      <c r="J2832" s="29">
        <v>78.5</v>
      </c>
      <c r="K2832" s="29">
        <v>70</v>
      </c>
      <c r="L2832" s="29">
        <v>57</v>
      </c>
      <c r="M2832" s="29">
        <v>78</v>
      </c>
      <c r="N2832" s="29">
        <v>77</v>
      </c>
      <c r="O2832" s="32">
        <v>549.5</v>
      </c>
      <c r="P2832" s="29" cm="1">
        <f t="array" ref="P2832">IF(表成绩单[[#This Row],[语文]]="","",SUMPRODUCT((表成绩单[考试日期]=表成绩单[[#This Row],[考试日期]])*(表成绩单[语文]&lt;9E+307)*(表成绩单[语文]&gt;表成绩单[[#This Row],[语文]]))+1)</f>
        <v>183</v>
      </c>
      <c r="Q2832" s="29" cm="1">
        <f t="array" ref="Q2832">IF(表成绩单[[#This Row],[数学]]="","",SUMPRODUCT((表成绩单[考试日期]=表成绩单[[#This Row],[考试日期]])*(表成绩单[数学]&lt;9E+307)*(表成绩单[数学]&gt;表成绩单[[#This Row],[数学]]))+1)</f>
        <v>452</v>
      </c>
      <c r="R2832" s="29" cm="1">
        <f t="array" ref="R2832">IF(表成绩单[[#This Row],[英语]]="","",SUMPRODUCT((表成绩单[考试日期]=表成绩单[[#This Row],[考试日期]])*(表成绩单[英语]&lt;9E+307)*(表成绩单[英语]&gt;表成绩单[[#This Row],[英语]]))+1)</f>
        <v>322</v>
      </c>
      <c r="S2832" s="29" cm="1">
        <f t="array" ref="S2832">IF(表成绩单[[#This Row],[物理]]="","",SUMPRODUCT((表成绩单[考试日期]=表成绩单[[#This Row],[考试日期]])*(表成绩单[物理]&lt;9E+307)*(表成绩单[物理]&gt;表成绩单[[#This Row],[物理]]))+1)</f>
        <v>549</v>
      </c>
      <c r="T2832" s="29" cm="1">
        <f t="array" ref="T2832">IF(表成绩单[[#This Row],[化学]]="","",SUMPRODUCT((表成绩单[考试日期]=表成绩单[[#This Row],[考试日期]])*(表成绩单[化学]&lt;9E+307)*(表成绩单[化学]&gt;表成绩单[[#This Row],[化学]]))+1)</f>
        <v>552</v>
      </c>
      <c r="U2832" s="29" cm="1">
        <f t="array" ref="U2832">IF(表成绩单[[#This Row],[政治]]="","",SUMPRODUCT((表成绩单[考试日期]=表成绩单[[#This Row],[考试日期]])*(表成绩单[政治]&lt;9E+307)*(表成绩单[政治]&gt;表成绩单[[#This Row],[政治]]))+1)</f>
        <v>171</v>
      </c>
      <c r="V2832" s="29" cm="1">
        <f t="array" ref="V2832">IF(表成绩单[[#This Row],[历史]]="","",SUMPRODUCT((表成绩单[考试日期]=表成绩单[[#This Row],[考试日期]])*(表成绩单[历史]&lt;9E+307)*(表成绩单[历史]&gt;表成绩单[[#This Row],[历史]]))+1)</f>
        <v>269</v>
      </c>
      <c r="W2832" s="29" cm="1">
        <f t="array" ref="W2832">IF(表成绩单[[#This Row],[总分]]="","",SUMPRODUCT((表成绩单[考试日期]=表成绩单[[#This Row],[考试日期]])*(表成绩单[总分]&lt;9E+307)*(表成绩单[总分]&gt;表成绩单[[#This Row],[总分]]))+1)</f>
        <v>424</v>
      </c>
    </row>
    <row r="2833" ht="28" customHeight="1" spans="4:23">
      <c r="D2833" s="31">
        <v>46108</v>
      </c>
      <c r="E2833" s="29">
        <v>19171081</v>
      </c>
      <c r="F2833" s="29" t="s">
        <v>67</v>
      </c>
      <c r="G2833" s="29" t="s">
        <v>379</v>
      </c>
      <c r="H2833" s="29">
        <v>101</v>
      </c>
      <c r="I2833" s="29">
        <v>88</v>
      </c>
      <c r="J2833" s="29">
        <v>76.5</v>
      </c>
      <c r="K2833" s="29">
        <v>70</v>
      </c>
      <c r="L2833" s="29">
        <v>68</v>
      </c>
      <c r="M2833" s="29">
        <v>73</v>
      </c>
      <c r="N2833" s="29">
        <v>72</v>
      </c>
      <c r="O2833" s="32">
        <v>548.5</v>
      </c>
      <c r="P2833" s="29" cm="1">
        <f t="array" ref="P2833">IF(表成绩单[[#This Row],[语文]]="","",SUMPRODUCT((表成绩单[考试日期]=表成绩单[[#This Row],[考试日期]])*(表成绩单[语文]&lt;9E+307)*(表成绩单[语文]&gt;表成绩单[[#This Row],[语文]]))+1)</f>
        <v>211</v>
      </c>
      <c r="Q2833" s="29" cm="1">
        <f t="array" ref="Q2833">IF(表成绩单[[#This Row],[数学]]="","",SUMPRODUCT((表成绩单[考试日期]=表成绩单[[#This Row],[考试日期]])*(表成绩单[数学]&lt;9E+307)*(表成绩单[数学]&gt;表成绩单[[#This Row],[数学]]))+1)</f>
        <v>424</v>
      </c>
      <c r="R2833" s="29" cm="1">
        <f t="array" ref="R2833">IF(表成绩单[[#This Row],[英语]]="","",SUMPRODUCT((表成绩单[考试日期]=表成绩单[[#This Row],[考试日期]])*(表成绩单[英语]&lt;9E+307)*(表成绩单[英语]&gt;表成绩单[[#This Row],[英语]]))+1)</f>
        <v>384</v>
      </c>
      <c r="S2833" s="29" cm="1">
        <f t="array" ref="S2833">IF(表成绩单[[#This Row],[物理]]="","",SUMPRODUCT((表成绩单[考试日期]=表成绩单[[#This Row],[考试日期]])*(表成绩单[物理]&lt;9E+307)*(表成绩单[物理]&gt;表成绩单[[#This Row],[物理]]))+1)</f>
        <v>549</v>
      </c>
      <c r="T2833" s="29" cm="1">
        <f t="array" ref="T2833">IF(表成绩单[[#This Row],[化学]]="","",SUMPRODUCT((表成绩单[考试日期]=表成绩单[[#This Row],[考试日期]])*(表成绩单[化学]&lt;9E+307)*(表成绩单[化学]&gt;表成绩单[[#This Row],[化学]]))+1)</f>
        <v>306</v>
      </c>
      <c r="U2833" s="29" cm="1">
        <f t="array" ref="U2833">IF(表成绩单[[#This Row],[政治]]="","",SUMPRODUCT((表成绩单[考试日期]=表成绩单[[#This Row],[考试日期]])*(表成绩单[政治]&lt;9E+307)*(表成绩单[政治]&gt;表成绩单[[#This Row],[政治]]))+1)</f>
        <v>431</v>
      </c>
      <c r="V2833" s="29" cm="1">
        <f t="array" ref="V2833">IF(表成绩单[[#This Row],[历史]]="","",SUMPRODUCT((表成绩单[考试日期]=表成绩单[[#This Row],[考试日期]])*(表成绩单[历史]&lt;9E+307)*(表成绩单[历史]&gt;表成绩单[[#This Row],[历史]]))+1)</f>
        <v>470</v>
      </c>
      <c r="W2833" s="29" cm="1">
        <f t="array" ref="W2833">IF(表成绩单[[#This Row],[总分]]="","",SUMPRODUCT((表成绩单[考试日期]=表成绩单[[#This Row],[考试日期]])*(表成绩单[总分]&lt;9E+307)*(表成绩单[总分]&gt;表成绩单[[#This Row],[总分]]))+1)</f>
        <v>426</v>
      </c>
    </row>
    <row r="2834" ht="28" customHeight="1" spans="4:23">
      <c r="D2834" s="31">
        <v>46108</v>
      </c>
      <c r="E2834" s="29">
        <v>19173784</v>
      </c>
      <c r="F2834" s="29" t="s">
        <v>65</v>
      </c>
      <c r="G2834" s="29" t="s">
        <v>555</v>
      </c>
      <c r="H2834" s="29">
        <v>99</v>
      </c>
      <c r="I2834" s="29">
        <v>94</v>
      </c>
      <c r="J2834" s="29">
        <v>80.5</v>
      </c>
      <c r="K2834" s="29">
        <v>76</v>
      </c>
      <c r="L2834" s="29">
        <v>58</v>
      </c>
      <c r="M2834" s="29">
        <v>78</v>
      </c>
      <c r="N2834" s="29">
        <v>63</v>
      </c>
      <c r="O2834" s="32">
        <v>548.5</v>
      </c>
      <c r="P2834" s="29" cm="1">
        <f t="array" ref="P2834">IF(表成绩单[[#This Row],[语文]]="","",SUMPRODUCT((表成绩单[考试日期]=表成绩单[[#This Row],[考试日期]])*(表成绩单[语文]&lt;9E+307)*(表成绩单[语文]&gt;表成绩单[[#This Row],[语文]]))+1)</f>
        <v>279</v>
      </c>
      <c r="Q2834" s="29" cm="1">
        <f t="array" ref="Q2834">IF(表成绩单[[#This Row],[数学]]="","",SUMPRODUCT((表成绩单[考试日期]=表成绩单[[#This Row],[考试日期]])*(表成绩单[数学]&lt;9E+307)*(表成绩单[数学]&gt;表成绩单[[#This Row],[数学]]))+1)</f>
        <v>258</v>
      </c>
      <c r="R2834" s="29" cm="1">
        <f t="array" ref="R2834">IF(表成绩单[[#This Row],[英语]]="","",SUMPRODUCT((表成绩单[考试日期]=表成绩单[[#This Row],[考试日期]])*(表成绩单[英语]&lt;9E+307)*(表成绩单[英语]&gt;表成绩单[[#This Row],[英语]]))+1)</f>
        <v>244</v>
      </c>
      <c r="S2834" s="29" cm="1">
        <f t="array" ref="S2834">IF(表成绩单[[#This Row],[物理]]="","",SUMPRODUCT((表成绩单[考试日期]=表成绩单[[#This Row],[考试日期]])*(表成绩单[物理]&lt;9E+307)*(表成绩单[物理]&gt;表成绩单[[#This Row],[物理]]))+1)</f>
        <v>433</v>
      </c>
      <c r="T2834" s="29" cm="1">
        <f t="array" ref="T2834">IF(表成绩单[[#This Row],[化学]]="","",SUMPRODUCT((表成绩单[考试日期]=表成绩单[[#This Row],[考试日期]])*(表成绩单[化学]&lt;9E+307)*(表成绩单[化学]&gt;表成绩单[[#This Row],[化学]]))+1)</f>
        <v>532</v>
      </c>
      <c r="U2834" s="29" cm="1">
        <f t="array" ref="U2834">IF(表成绩单[[#This Row],[政治]]="","",SUMPRODUCT((表成绩单[考试日期]=表成绩单[[#This Row],[考试日期]])*(表成绩单[政治]&lt;9E+307)*(表成绩单[政治]&gt;表成绩单[[#This Row],[政治]]))+1)</f>
        <v>171</v>
      </c>
      <c r="V2834" s="29" cm="1">
        <f t="array" ref="V2834">IF(表成绩单[[#This Row],[历史]]="","",SUMPRODUCT((表成绩单[考试日期]=表成绩单[[#This Row],[考试日期]])*(表成绩单[历史]&lt;9E+307)*(表成绩单[历史]&gt;表成绩单[[#This Row],[历史]]))+1)</f>
        <v>686</v>
      </c>
      <c r="W2834" s="29" cm="1">
        <f t="array" ref="W2834">IF(表成绩单[[#This Row],[总分]]="","",SUMPRODUCT((表成绩单[考试日期]=表成绩单[[#This Row],[考试日期]])*(表成绩单[总分]&lt;9E+307)*(表成绩单[总分]&gt;表成绩单[[#This Row],[总分]]))+1)</f>
        <v>426</v>
      </c>
    </row>
    <row r="2835" ht="28" customHeight="1" spans="4:23">
      <c r="D2835" s="31">
        <v>46108</v>
      </c>
      <c r="E2835" s="29">
        <v>19177216</v>
      </c>
      <c r="F2835" s="29" t="s">
        <v>70</v>
      </c>
      <c r="G2835" s="29" t="s">
        <v>527</v>
      </c>
      <c r="H2835" s="29">
        <v>99</v>
      </c>
      <c r="I2835" s="29">
        <v>84</v>
      </c>
      <c r="J2835" s="29">
        <v>71.5</v>
      </c>
      <c r="K2835" s="29">
        <v>76</v>
      </c>
      <c r="L2835" s="29">
        <v>63</v>
      </c>
      <c r="M2835" s="29">
        <v>82</v>
      </c>
      <c r="N2835" s="29">
        <v>73</v>
      </c>
      <c r="O2835" s="32">
        <v>548.5</v>
      </c>
      <c r="P2835" s="29" cm="1">
        <f t="array" ref="P2835">IF(表成绩单[[#This Row],[语文]]="","",SUMPRODUCT((表成绩单[考试日期]=表成绩单[[#This Row],[考试日期]])*(表成绩单[语文]&lt;9E+307)*(表成绩单[语文]&gt;表成绩单[[#This Row],[语文]]))+1)</f>
        <v>279</v>
      </c>
      <c r="Q2835" s="29" cm="1">
        <f t="array" ref="Q2835">IF(表成绩单[[#This Row],[数学]]="","",SUMPRODUCT((表成绩单[考试日期]=表成绩单[[#This Row],[考试日期]])*(表成绩单[数学]&lt;9E+307)*(表成绩单[数学]&gt;表成绩单[[#This Row],[数学]]))+1)</f>
        <v>518</v>
      </c>
      <c r="R2835" s="29" cm="1">
        <f t="array" ref="R2835">IF(表成绩单[[#This Row],[英语]]="","",SUMPRODUCT((表成绩单[考试日期]=表成绩单[[#This Row],[考试日期]])*(表成绩单[英语]&lt;9E+307)*(表成绩单[英语]&gt;表成绩单[[#This Row],[英语]]))+1)</f>
        <v>509</v>
      </c>
      <c r="S2835" s="29" cm="1">
        <f t="array" ref="S2835">IF(表成绩单[[#This Row],[物理]]="","",SUMPRODUCT((表成绩单[考试日期]=表成绩单[[#This Row],[考试日期]])*(表成绩单[物理]&lt;9E+307)*(表成绩单[物理]&gt;表成绩单[[#This Row],[物理]]))+1)</f>
        <v>433</v>
      </c>
      <c r="T2835" s="29" cm="1">
        <f t="array" ref="T2835">IF(表成绩单[[#This Row],[化学]]="","",SUMPRODUCT((表成绩单[考试日期]=表成绩单[[#This Row],[考试日期]])*(表成绩单[化学]&lt;9E+307)*(表成绩单[化学]&gt;表成绩单[[#This Row],[化学]]))+1)</f>
        <v>426</v>
      </c>
      <c r="U2835" s="29" cm="1">
        <f t="array" ref="U2835">IF(表成绩单[[#This Row],[政治]]="","",SUMPRODUCT((表成绩单[考试日期]=表成绩单[[#This Row],[考试日期]])*(表成绩单[政治]&lt;9E+307)*(表成绩单[政治]&gt;表成绩单[[#This Row],[政治]]))+1)</f>
        <v>45</v>
      </c>
      <c r="V2835" s="29" cm="1">
        <f t="array" ref="V2835">IF(表成绩单[[#This Row],[历史]]="","",SUMPRODUCT((表成绩单[考试日期]=表成绩单[[#This Row],[考试日期]])*(表成绩单[历史]&lt;9E+307)*(表成绩单[历史]&gt;表成绩单[[#This Row],[历史]]))+1)</f>
        <v>432</v>
      </c>
      <c r="W2835" s="29" cm="1">
        <f t="array" ref="W2835">IF(表成绩单[[#This Row],[总分]]="","",SUMPRODUCT((表成绩单[考试日期]=表成绩单[[#This Row],[考试日期]])*(表成绩单[总分]&lt;9E+307)*(表成绩单[总分]&gt;表成绩单[[#This Row],[总分]]))+1)</f>
        <v>426</v>
      </c>
    </row>
    <row r="2836" ht="28" customHeight="1" spans="4:23">
      <c r="D2836" s="31">
        <v>46108</v>
      </c>
      <c r="E2836" s="29">
        <v>19175637</v>
      </c>
      <c r="F2836" s="29" t="s">
        <v>66</v>
      </c>
      <c r="G2836" s="29" t="s">
        <v>542</v>
      </c>
      <c r="H2836" s="29">
        <v>90</v>
      </c>
      <c r="I2836" s="29">
        <v>104</v>
      </c>
      <c r="J2836" s="29">
        <v>74</v>
      </c>
      <c r="K2836" s="29">
        <v>74</v>
      </c>
      <c r="L2836" s="29">
        <v>69</v>
      </c>
      <c r="M2836" s="29">
        <v>64</v>
      </c>
      <c r="N2836" s="29">
        <v>73</v>
      </c>
      <c r="O2836" s="32">
        <v>548</v>
      </c>
      <c r="P2836" s="29" cm="1">
        <f t="array" ref="P2836">IF(表成绩单[[#This Row],[语文]]="","",SUMPRODUCT((表成绩单[考试日期]=表成绩单[[#This Row],[考试日期]])*(表成绩单[语文]&lt;9E+307)*(表成绩单[语文]&gt;表成绩单[[#This Row],[语文]]))+1)</f>
        <v>539</v>
      </c>
      <c r="Q2836" s="29" cm="1">
        <f t="array" ref="Q2836">IF(表成绩单[[#This Row],[数学]]="","",SUMPRODUCT((表成绩单[考试日期]=表成绩单[[#This Row],[考试日期]])*(表成绩单[数学]&lt;9E+307)*(表成绩单[数学]&gt;表成绩单[[#This Row],[数学]]))+1)</f>
        <v>68</v>
      </c>
      <c r="R2836" s="29" cm="1">
        <f t="array" ref="R2836">IF(表成绩单[[#This Row],[英语]]="","",SUMPRODUCT((表成绩单[考试日期]=表成绩单[[#This Row],[考试日期]])*(表成绩单[英语]&lt;9E+307)*(表成绩单[英语]&gt;表成绩单[[#This Row],[英语]]))+1)</f>
        <v>464</v>
      </c>
      <c r="S2836" s="29" cm="1">
        <f t="array" ref="S2836">IF(表成绩单[[#This Row],[物理]]="","",SUMPRODUCT((表成绩单[考试日期]=表成绩单[[#This Row],[考试日期]])*(表成绩单[物理]&lt;9E+307)*(表成绩单[物理]&gt;表成绩单[[#This Row],[物理]]))+1)</f>
        <v>472</v>
      </c>
      <c r="T2836" s="29" cm="1">
        <f t="array" ref="T2836">IF(表成绩单[[#This Row],[化学]]="","",SUMPRODUCT((表成绩单[考试日期]=表成绩单[[#This Row],[考试日期]])*(表成绩单[化学]&lt;9E+307)*(表成绩单[化学]&gt;表成绩单[[#This Row],[化学]]))+1)</f>
        <v>269</v>
      </c>
      <c r="U2836" s="29" cm="1">
        <f t="array" ref="U2836">IF(表成绩单[[#This Row],[政治]]="","",SUMPRODUCT((表成绩单[考试日期]=表成绩单[[#This Row],[考试日期]])*(表成绩单[政治]&lt;9E+307)*(表成绩单[政治]&gt;表成绩单[[#This Row],[政治]]))+1)</f>
        <v>670</v>
      </c>
      <c r="V2836" s="29" cm="1">
        <f t="array" ref="V2836">IF(表成绩单[[#This Row],[历史]]="","",SUMPRODUCT((表成绩单[考试日期]=表成绩单[[#This Row],[考试日期]])*(表成绩单[历史]&lt;9E+307)*(表成绩单[历史]&gt;表成绩单[[#This Row],[历史]]))+1)</f>
        <v>432</v>
      </c>
      <c r="W2836" s="29" cm="1">
        <f t="array" ref="W2836">IF(表成绩单[[#This Row],[总分]]="","",SUMPRODUCT((表成绩单[考试日期]=表成绩单[[#This Row],[考试日期]])*(表成绩单[总分]&lt;9E+307)*(表成绩单[总分]&gt;表成绩单[[#This Row],[总分]]))+1)</f>
        <v>429</v>
      </c>
    </row>
    <row r="2837" ht="28" customHeight="1" spans="4:23">
      <c r="D2837" s="31">
        <v>46108</v>
      </c>
      <c r="E2837" s="29">
        <v>19171095</v>
      </c>
      <c r="F2837" s="29" t="s">
        <v>67</v>
      </c>
      <c r="G2837" s="29" t="s">
        <v>430</v>
      </c>
      <c r="H2837" s="29">
        <v>105</v>
      </c>
      <c r="I2837" s="29">
        <v>70</v>
      </c>
      <c r="J2837" s="29">
        <v>73.5</v>
      </c>
      <c r="K2837" s="29">
        <v>79</v>
      </c>
      <c r="L2837" s="29">
        <v>64</v>
      </c>
      <c r="M2837" s="29">
        <v>84</v>
      </c>
      <c r="N2837" s="29">
        <v>72</v>
      </c>
      <c r="O2837" s="32">
        <v>547.5</v>
      </c>
      <c r="P2837" s="29" cm="1">
        <f t="array" ref="P2837">IF(表成绩单[[#This Row],[语文]]="","",SUMPRODUCT((表成绩单[考试日期]=表成绩单[[#This Row],[考试日期]])*(表成绩单[语文]&lt;9E+307)*(表成绩单[语文]&gt;表成绩单[[#This Row],[语文]]))+1)</f>
        <v>101</v>
      </c>
      <c r="Q2837" s="29" cm="1">
        <f t="array" ref="Q2837">IF(表成绩单[[#This Row],[数学]]="","",SUMPRODUCT((表成绩单[考试日期]=表成绩单[[#This Row],[考试日期]])*(表成绩单[数学]&lt;9E+307)*(表成绩单[数学]&gt;表成绩单[[#This Row],[数学]]))+1)</f>
        <v>659</v>
      </c>
      <c r="R2837" s="29" cm="1">
        <f t="array" ref="R2837">IF(表成绩单[[#This Row],[英语]]="","",SUMPRODUCT((表成绩单[考试日期]=表成绩单[[#This Row],[考试日期]])*(表成绩单[英语]&lt;9E+307)*(表成绩单[英语]&gt;表成绩单[[#This Row],[英语]]))+1)</f>
        <v>473</v>
      </c>
      <c r="S2837" s="29" cm="1">
        <f t="array" ref="S2837">IF(表成绩单[[#This Row],[物理]]="","",SUMPRODUCT((表成绩单[考试日期]=表成绩单[[#This Row],[考试日期]])*(表成绩单[物理]&lt;9E+307)*(表成绩单[物理]&gt;表成绩单[[#This Row],[物理]]))+1)</f>
        <v>344</v>
      </c>
      <c r="T2837" s="29" cm="1">
        <f t="array" ref="T2837">IF(表成绩单[[#This Row],[化学]]="","",SUMPRODUCT((表成绩单[考试日期]=表成绩单[[#This Row],[考试日期]])*(表成绩单[化学]&lt;9E+307)*(表成绩单[化学]&gt;表成绩单[[#This Row],[化学]]))+1)</f>
        <v>400</v>
      </c>
      <c r="U2837" s="29" cm="1">
        <f t="array" ref="U2837">IF(表成绩单[[#This Row],[政治]]="","",SUMPRODUCT((表成绩单[考试日期]=表成绩单[[#This Row],[考试日期]])*(表成绩单[政治]&lt;9E+307)*(表成绩单[政治]&gt;表成绩单[[#This Row],[政治]]))+1)</f>
        <v>14</v>
      </c>
      <c r="V2837" s="29" cm="1">
        <f t="array" ref="V2837">IF(表成绩单[[#This Row],[历史]]="","",SUMPRODUCT((表成绩单[考试日期]=表成绩单[[#This Row],[考试日期]])*(表成绩单[历史]&lt;9E+307)*(表成绩单[历史]&gt;表成绩单[[#This Row],[历史]]))+1)</f>
        <v>470</v>
      </c>
      <c r="W2837" s="29" cm="1">
        <f t="array" ref="W2837">IF(表成绩单[[#This Row],[总分]]="","",SUMPRODUCT((表成绩单[考试日期]=表成绩单[[#This Row],[考试日期]])*(表成绩单[总分]&lt;9E+307)*(表成绩单[总分]&gt;表成绩单[[#This Row],[总分]]))+1)</f>
        <v>430</v>
      </c>
    </row>
    <row r="2838" ht="28" customHeight="1" spans="4:23">
      <c r="D2838" s="31">
        <v>46108</v>
      </c>
      <c r="E2838" s="29">
        <v>19176156</v>
      </c>
      <c r="F2838" s="29" t="s">
        <v>67</v>
      </c>
      <c r="G2838" s="29" t="s">
        <v>486</v>
      </c>
      <c r="H2838" s="29">
        <v>95</v>
      </c>
      <c r="I2838" s="29">
        <v>91</v>
      </c>
      <c r="J2838" s="29">
        <v>75</v>
      </c>
      <c r="K2838" s="29">
        <v>73</v>
      </c>
      <c r="L2838" s="29">
        <v>65</v>
      </c>
      <c r="M2838" s="29">
        <v>76</v>
      </c>
      <c r="N2838" s="29">
        <v>72</v>
      </c>
      <c r="O2838" s="32">
        <v>547</v>
      </c>
      <c r="P2838" s="29" cm="1">
        <f t="array" ref="P2838">IF(表成绩单[[#This Row],[语文]]="","",SUMPRODUCT((表成绩单[考试日期]=表成绩单[[#This Row],[考试日期]])*(表成绩单[语文]&lt;9E+307)*(表成绩单[语文]&gt;表成绩单[[#This Row],[语文]]))+1)</f>
        <v>422</v>
      </c>
      <c r="Q2838" s="29" cm="1">
        <f t="array" ref="Q2838">IF(表成绩单[[#This Row],[数学]]="","",SUMPRODUCT((表成绩单[考试日期]=表成绩单[[#This Row],[考试日期]])*(表成绩单[数学]&lt;9E+307)*(表成绩单[数学]&gt;表成绩单[[#This Row],[数学]]))+1)</f>
        <v>341</v>
      </c>
      <c r="R2838" s="29" cm="1">
        <f t="array" ref="R2838">IF(表成绩单[[#This Row],[英语]]="","",SUMPRODUCT((表成绩单[考试日期]=表成绩单[[#This Row],[考试日期]])*(表成绩单[英语]&lt;9E+307)*(表成绩单[英语]&gt;表成绩单[[#This Row],[英语]]))+1)</f>
        <v>444</v>
      </c>
      <c r="S2838" s="29" cm="1">
        <f t="array" ref="S2838">IF(表成绩单[[#This Row],[物理]]="","",SUMPRODUCT((表成绩单[考试日期]=表成绩单[[#This Row],[考试日期]])*(表成绩单[物理]&lt;9E+307)*(表成绩单[物理]&gt;表成绩单[[#This Row],[物理]]))+1)</f>
        <v>500</v>
      </c>
      <c r="T2838" s="29" cm="1">
        <f t="array" ref="T2838">IF(表成绩单[[#This Row],[化学]]="","",SUMPRODUCT((表成绩单[考试日期]=表成绩单[[#This Row],[考试日期]])*(表成绩单[化学]&lt;9E+307)*(表成绩单[化学]&gt;表成绩单[[#This Row],[化学]]))+1)</f>
        <v>379</v>
      </c>
      <c r="U2838" s="29" cm="1">
        <f t="array" ref="U2838">IF(表成绩单[[#This Row],[政治]]="","",SUMPRODUCT((表成绩单[考试日期]=表成绩单[[#This Row],[考试日期]])*(表成绩单[政治]&lt;9E+307)*(表成绩单[政治]&gt;表成绩单[[#This Row],[政治]]))+1)</f>
        <v>291</v>
      </c>
      <c r="V2838" s="29" cm="1">
        <f t="array" ref="V2838">IF(表成绩单[[#This Row],[历史]]="","",SUMPRODUCT((表成绩单[考试日期]=表成绩单[[#This Row],[考试日期]])*(表成绩单[历史]&lt;9E+307)*(表成绩单[历史]&gt;表成绩单[[#This Row],[历史]]))+1)</f>
        <v>470</v>
      </c>
      <c r="W2838" s="29" cm="1">
        <f t="array" ref="W2838">IF(表成绩单[[#This Row],[总分]]="","",SUMPRODUCT((表成绩单[考试日期]=表成绩单[[#This Row],[考试日期]])*(表成绩单[总分]&lt;9E+307)*(表成绩单[总分]&gt;表成绩单[[#This Row],[总分]]))+1)</f>
        <v>431</v>
      </c>
    </row>
    <row r="2839" ht="28" customHeight="1" spans="4:23">
      <c r="D2839" s="31">
        <v>46108</v>
      </c>
      <c r="E2839" s="29">
        <v>19178607</v>
      </c>
      <c r="F2839" s="29" t="s">
        <v>64</v>
      </c>
      <c r="G2839" s="29" t="s">
        <v>639</v>
      </c>
      <c r="H2839" s="29">
        <v>97</v>
      </c>
      <c r="I2839" s="29">
        <v>75</v>
      </c>
      <c r="J2839" s="29">
        <v>82</v>
      </c>
      <c r="K2839" s="29">
        <v>75</v>
      </c>
      <c r="L2839" s="29">
        <v>63</v>
      </c>
      <c r="M2839" s="29">
        <v>78</v>
      </c>
      <c r="N2839" s="29">
        <v>77</v>
      </c>
      <c r="O2839" s="32">
        <v>547</v>
      </c>
      <c r="P2839" s="29" cm="1">
        <f t="array" ref="P2839">IF(表成绩单[[#This Row],[语文]]="","",SUMPRODUCT((表成绩单[考试日期]=表成绩单[[#This Row],[考试日期]])*(表成绩单[语文]&lt;9E+307)*(表成绩单[语文]&gt;表成绩单[[#This Row],[语文]]))+1)</f>
        <v>357</v>
      </c>
      <c r="Q2839" s="29" cm="1">
        <f t="array" ref="Q2839">IF(表成绩单[[#This Row],[数学]]="","",SUMPRODUCT((表成绩单[考试日期]=表成绩单[[#This Row],[考试日期]])*(表成绩单[数学]&lt;9E+307)*(表成绩单[数学]&gt;表成绩单[[#This Row],[数学]]))+1)</f>
        <v>630</v>
      </c>
      <c r="R2839" s="29" cm="1">
        <f t="array" ref="R2839">IF(表成绩单[[#This Row],[英语]]="","",SUMPRODUCT((表成绩单[考试日期]=表成绩单[[#This Row],[考试日期]])*(表成绩单[英语]&lt;9E+307)*(表成绩单[英语]&gt;表成绩单[[#This Row],[英语]]))+1)</f>
        <v>180</v>
      </c>
      <c r="S2839" s="29" cm="1">
        <f t="array" ref="S2839">IF(表成绩单[[#This Row],[物理]]="","",SUMPRODUCT((表成绩单[考试日期]=表成绩单[[#This Row],[考试日期]])*(表成绩单[物理]&lt;9E+307)*(表成绩单[物理]&gt;表成绩单[[#This Row],[物理]]))+1)</f>
        <v>456</v>
      </c>
      <c r="T2839" s="29" cm="1">
        <f t="array" ref="T2839">IF(表成绩单[[#This Row],[化学]]="","",SUMPRODUCT((表成绩单[考试日期]=表成绩单[[#This Row],[考试日期]])*(表成绩单[化学]&lt;9E+307)*(表成绩单[化学]&gt;表成绩单[[#This Row],[化学]]))+1)</f>
        <v>426</v>
      </c>
      <c r="U2839" s="29" cm="1">
        <f t="array" ref="U2839">IF(表成绩单[[#This Row],[政治]]="","",SUMPRODUCT((表成绩单[考试日期]=表成绩单[[#This Row],[考试日期]])*(表成绩单[政治]&lt;9E+307)*(表成绩单[政治]&gt;表成绩单[[#This Row],[政治]]))+1)</f>
        <v>171</v>
      </c>
      <c r="V2839" s="29" cm="1">
        <f t="array" ref="V2839">IF(表成绩单[[#This Row],[历史]]="","",SUMPRODUCT((表成绩单[考试日期]=表成绩单[[#This Row],[考试日期]])*(表成绩单[历史]&lt;9E+307)*(表成绩单[历史]&gt;表成绩单[[#This Row],[历史]]))+1)</f>
        <v>269</v>
      </c>
      <c r="W2839" s="29" cm="1">
        <f t="array" ref="W2839">IF(表成绩单[[#This Row],[总分]]="","",SUMPRODUCT((表成绩单[考试日期]=表成绩单[[#This Row],[考试日期]])*(表成绩单[总分]&lt;9E+307)*(表成绩单[总分]&gt;表成绩单[[#This Row],[总分]]))+1)</f>
        <v>431</v>
      </c>
    </row>
    <row r="2840" ht="28" customHeight="1" spans="4:23">
      <c r="D2840" s="31">
        <v>46108</v>
      </c>
      <c r="E2840" s="29">
        <v>19172643</v>
      </c>
      <c r="F2840" s="29" t="s">
        <v>60</v>
      </c>
      <c r="G2840" s="29" t="s">
        <v>550</v>
      </c>
      <c r="H2840" s="29">
        <v>107</v>
      </c>
      <c r="I2840" s="29">
        <v>84</v>
      </c>
      <c r="J2840" s="29">
        <v>78.5</v>
      </c>
      <c r="K2840" s="29">
        <v>67</v>
      </c>
      <c r="L2840" s="29">
        <v>64</v>
      </c>
      <c r="M2840" s="29">
        <v>73</v>
      </c>
      <c r="N2840" s="29">
        <v>73</v>
      </c>
      <c r="O2840" s="32">
        <v>546.5</v>
      </c>
      <c r="P2840" s="29" cm="1">
        <f t="array" ref="P2840">IF(表成绩单[[#This Row],[语文]]="","",SUMPRODUCT((表成绩单[考试日期]=表成绩单[[#This Row],[考试日期]])*(表成绩单[语文]&lt;9E+307)*(表成绩单[语文]&gt;表成绩单[[#This Row],[语文]]))+1)</f>
        <v>67</v>
      </c>
      <c r="Q2840" s="29" cm="1">
        <f t="array" ref="Q2840">IF(表成绩单[[#This Row],[数学]]="","",SUMPRODUCT((表成绩单[考试日期]=表成绩单[[#This Row],[考试日期]])*(表成绩单[数学]&lt;9E+307)*(表成绩单[数学]&gt;表成绩单[[#This Row],[数学]]))+1)</f>
        <v>518</v>
      </c>
      <c r="R2840" s="29" cm="1">
        <f t="array" ref="R2840">IF(表成绩单[[#This Row],[英语]]="","",SUMPRODUCT((表成绩单[考试日期]=表成绩单[[#This Row],[考试日期]])*(表成绩单[英语]&lt;9E+307)*(表成绩单[英语]&gt;表成绩单[[#This Row],[英语]]))+1)</f>
        <v>322</v>
      </c>
      <c r="S2840" s="29" cm="1">
        <f t="array" ref="S2840">IF(表成绩单[[#This Row],[物理]]="","",SUMPRODUCT((表成绩单[考试日期]=表成绩单[[#This Row],[考试日期]])*(表成绩单[物理]&lt;9E+307)*(表成绩单[物理]&gt;表成绩单[[#This Row],[物理]]))+1)</f>
        <v>593</v>
      </c>
      <c r="T2840" s="29" cm="1">
        <f t="array" ref="T2840">IF(表成绩单[[#This Row],[化学]]="","",SUMPRODUCT((表成绩单[考试日期]=表成绩单[[#This Row],[考试日期]])*(表成绩单[化学]&lt;9E+307)*(表成绩单[化学]&gt;表成绩单[[#This Row],[化学]]))+1)</f>
        <v>400</v>
      </c>
      <c r="U2840" s="29" cm="1">
        <f t="array" ref="U2840">IF(表成绩单[[#This Row],[政治]]="","",SUMPRODUCT((表成绩单[考试日期]=表成绩单[[#This Row],[考试日期]])*(表成绩单[政治]&lt;9E+307)*(表成绩单[政治]&gt;表成绩单[[#This Row],[政治]]))+1)</f>
        <v>431</v>
      </c>
      <c r="V2840" s="29" cm="1">
        <f t="array" ref="V2840">IF(表成绩单[[#This Row],[历史]]="","",SUMPRODUCT((表成绩单[考试日期]=表成绩单[[#This Row],[考试日期]])*(表成绩单[历史]&lt;9E+307)*(表成绩单[历史]&gt;表成绩单[[#This Row],[历史]]))+1)</f>
        <v>432</v>
      </c>
      <c r="W2840" s="29" cm="1">
        <f t="array" ref="W2840">IF(表成绩单[[#This Row],[总分]]="","",SUMPRODUCT((表成绩单[考试日期]=表成绩单[[#This Row],[考试日期]])*(表成绩单[总分]&lt;9E+307)*(表成绩单[总分]&gt;表成绩单[[#This Row],[总分]]))+1)</f>
        <v>433</v>
      </c>
    </row>
    <row r="2841" ht="28" customHeight="1" spans="4:23">
      <c r="D2841" s="31">
        <v>46108</v>
      </c>
      <c r="E2841" s="29">
        <v>19174781</v>
      </c>
      <c r="F2841" s="29" t="s">
        <v>69</v>
      </c>
      <c r="G2841" s="29" t="s">
        <v>568</v>
      </c>
      <c r="H2841" s="29">
        <v>91</v>
      </c>
      <c r="I2841" s="29">
        <v>88</v>
      </c>
      <c r="J2841" s="29">
        <v>75.5</v>
      </c>
      <c r="K2841" s="29">
        <v>81</v>
      </c>
      <c r="L2841" s="29">
        <v>63</v>
      </c>
      <c r="M2841" s="29">
        <v>78</v>
      </c>
      <c r="N2841" s="29">
        <v>70</v>
      </c>
      <c r="O2841" s="32">
        <v>546.5</v>
      </c>
      <c r="P2841" s="29" cm="1">
        <f t="array" ref="P2841">IF(表成绩单[[#This Row],[语文]]="","",SUMPRODUCT((表成绩单[考试日期]=表成绩单[[#This Row],[考试日期]])*(表成绩单[语文]&lt;9E+307)*(表成绩单[语文]&gt;表成绩单[[#This Row],[语文]]))+1)</f>
        <v>519</v>
      </c>
      <c r="Q2841" s="29" cm="1">
        <f t="array" ref="Q2841">IF(表成绩单[[#This Row],[数学]]="","",SUMPRODUCT((表成绩单[考试日期]=表成绩单[[#This Row],[考试日期]])*(表成绩单[数学]&lt;9E+307)*(表成绩单[数学]&gt;表成绩单[[#This Row],[数学]]))+1)</f>
        <v>424</v>
      </c>
      <c r="R2841" s="29" cm="1">
        <f t="array" ref="R2841">IF(表成绩单[[#This Row],[英语]]="","",SUMPRODUCT((表成绩单[考试日期]=表成绩单[[#This Row],[考试日期]])*(表成绩单[英语]&lt;9E+307)*(表成绩单[英语]&gt;表成绩单[[#This Row],[英语]]))+1)</f>
        <v>421</v>
      </c>
      <c r="S2841" s="29" cm="1">
        <f t="array" ref="S2841">IF(表成绩单[[#This Row],[物理]]="","",SUMPRODUCT((表成绩单[考试日期]=表成绩单[[#This Row],[考试日期]])*(表成绩单[物理]&lt;9E+307)*(表成绩单[物理]&gt;表成绩单[[#This Row],[物理]]))+1)</f>
        <v>269</v>
      </c>
      <c r="T2841" s="29" cm="1">
        <f t="array" ref="T2841">IF(表成绩单[[#This Row],[化学]]="","",SUMPRODUCT((表成绩单[考试日期]=表成绩单[[#This Row],[考试日期]])*(表成绩单[化学]&lt;9E+307)*(表成绩单[化学]&gt;表成绩单[[#This Row],[化学]]))+1)</f>
        <v>426</v>
      </c>
      <c r="U2841" s="29" cm="1">
        <f t="array" ref="U2841">IF(表成绩单[[#This Row],[政治]]="","",SUMPRODUCT((表成绩单[考试日期]=表成绩单[[#This Row],[考试日期]])*(表成绩单[政治]&lt;9E+307)*(表成绩单[政治]&gt;表成绩单[[#This Row],[政治]]))+1)</f>
        <v>171</v>
      </c>
      <c r="V2841" s="29" cm="1">
        <f t="array" ref="V2841">IF(表成绩单[[#This Row],[历史]]="","",SUMPRODUCT((表成绩单[考试日期]=表成绩单[[#This Row],[考试日期]])*(表成绩单[历史]&lt;9E+307)*(表成绩单[历史]&gt;表成绩单[[#This Row],[历史]]))+1)</f>
        <v>539</v>
      </c>
      <c r="W2841" s="29" cm="1">
        <f t="array" ref="W2841">IF(表成绩单[[#This Row],[总分]]="","",SUMPRODUCT((表成绩单[考试日期]=表成绩单[[#This Row],[考试日期]])*(表成绩单[总分]&lt;9E+307)*(表成绩单[总分]&gt;表成绩单[[#This Row],[总分]]))+1)</f>
        <v>433</v>
      </c>
    </row>
    <row r="2842" ht="28" customHeight="1" spans="4:23">
      <c r="D2842" s="31">
        <v>46108</v>
      </c>
      <c r="E2842" s="29">
        <v>19175627</v>
      </c>
      <c r="F2842" s="29" t="s">
        <v>57</v>
      </c>
      <c r="G2842" s="29" t="s">
        <v>522</v>
      </c>
      <c r="H2842" s="29">
        <v>85</v>
      </c>
      <c r="I2842" s="29">
        <v>97</v>
      </c>
      <c r="J2842" s="29">
        <v>67.5</v>
      </c>
      <c r="K2842" s="29">
        <v>85</v>
      </c>
      <c r="L2842" s="29">
        <v>67</v>
      </c>
      <c r="M2842" s="29">
        <v>75</v>
      </c>
      <c r="N2842" s="29">
        <v>70</v>
      </c>
      <c r="O2842" s="32">
        <v>546.5</v>
      </c>
      <c r="P2842" s="29" cm="1">
        <f t="array" ref="P2842">IF(表成绩单[[#This Row],[语文]]="","",SUMPRODUCT((表成绩单[考试日期]=表成绩单[[#This Row],[考试日期]])*(表成绩单[语文]&lt;9E+307)*(表成绩单[语文]&gt;表成绩单[[#This Row],[语文]]))+1)</f>
        <v>626</v>
      </c>
      <c r="Q2842" s="29" cm="1">
        <f t="array" ref="Q2842">IF(表成绩单[[#This Row],[数学]]="","",SUMPRODUCT((表成绩单[考试日期]=表成绩单[[#This Row],[考试日期]])*(表成绩单[数学]&lt;9E+307)*(表成绩单[数学]&gt;表成绩单[[#This Row],[数学]]))+1)</f>
        <v>175</v>
      </c>
      <c r="R2842" s="29" cm="1">
        <f t="array" ref="R2842">IF(表成绩单[[#This Row],[英语]]="","",SUMPRODUCT((表成绩单[考试日期]=表成绩单[[#This Row],[考试日期]])*(表成绩单[英语]&lt;9E+307)*(表成绩单[英语]&gt;表成绩单[[#This Row],[英语]]))+1)</f>
        <v>571</v>
      </c>
      <c r="S2842" s="29" cm="1">
        <f t="array" ref="S2842">IF(表成绩单[[#This Row],[物理]]="","",SUMPRODUCT((表成绩单[考试日期]=表成绩单[[#This Row],[考试日期]])*(表成绩单[物理]&lt;9E+307)*(表成绩单[物理]&gt;表成绩单[[#This Row],[物理]]))+1)</f>
        <v>105</v>
      </c>
      <c r="T2842" s="29" cm="1">
        <f t="array" ref="T2842">IF(表成绩单[[#This Row],[化学]]="","",SUMPRODUCT((表成绩单[考试日期]=表成绩单[[#This Row],[考试日期]])*(表成绩单[化学]&lt;9E+307)*(表成绩单[化学]&gt;表成绩单[[#This Row],[化学]]))+1)</f>
        <v>335</v>
      </c>
      <c r="U2842" s="29" cm="1">
        <f t="array" ref="U2842">IF(表成绩单[[#This Row],[政治]]="","",SUMPRODUCT((表成绩单[考试日期]=表成绩单[[#This Row],[考试日期]])*(表成绩单[政治]&lt;9E+307)*(表成绩单[政治]&gt;表成绩单[[#This Row],[政治]]))+1)</f>
        <v>346</v>
      </c>
      <c r="V2842" s="29" cm="1">
        <f t="array" ref="V2842">IF(表成绩单[[#This Row],[历史]]="","",SUMPRODUCT((表成绩单[考试日期]=表成绩单[[#This Row],[考试日期]])*(表成绩单[历史]&lt;9E+307)*(表成绩单[历史]&gt;表成绩单[[#This Row],[历史]]))+1)</f>
        <v>539</v>
      </c>
      <c r="W2842" s="29" cm="1">
        <f t="array" ref="W2842">IF(表成绩单[[#This Row],[总分]]="","",SUMPRODUCT((表成绩单[考试日期]=表成绩单[[#This Row],[考试日期]])*(表成绩单[总分]&lt;9E+307)*(表成绩单[总分]&gt;表成绩单[[#This Row],[总分]]))+1)</f>
        <v>433</v>
      </c>
    </row>
    <row r="2843" ht="28" customHeight="1" spans="4:23">
      <c r="D2843" s="31">
        <v>46108</v>
      </c>
      <c r="E2843" s="29">
        <v>19174774</v>
      </c>
      <c r="F2843" s="29" t="s">
        <v>69</v>
      </c>
      <c r="G2843" s="29" t="s">
        <v>536</v>
      </c>
      <c r="H2843" s="29">
        <v>92</v>
      </c>
      <c r="I2843" s="29">
        <v>90</v>
      </c>
      <c r="J2843" s="29">
        <v>72</v>
      </c>
      <c r="K2843" s="29">
        <v>84</v>
      </c>
      <c r="L2843" s="29">
        <v>67</v>
      </c>
      <c r="M2843" s="29">
        <v>71</v>
      </c>
      <c r="N2843" s="29">
        <v>70</v>
      </c>
      <c r="O2843" s="32">
        <v>546</v>
      </c>
      <c r="P2843" s="29" cm="1">
        <f t="array" ref="P2843">IF(表成绩单[[#This Row],[语文]]="","",SUMPRODUCT((表成绩单[考试日期]=表成绩单[[#This Row],[考试日期]])*(表成绩单[语文]&lt;9E+307)*(表成绩单[语文]&gt;表成绩单[[#This Row],[语文]]))+1)</f>
        <v>494</v>
      </c>
      <c r="Q2843" s="29" cm="1">
        <f t="array" ref="Q2843">IF(表成绩单[[#This Row],[数学]]="","",SUMPRODUCT((表成绩单[考试日期]=表成绩单[[#This Row],[考试日期]])*(表成绩单[数学]&lt;9E+307)*(表成绩单[数学]&gt;表成绩单[[#This Row],[数学]]))+1)</f>
        <v>368</v>
      </c>
      <c r="R2843" s="29" cm="1">
        <f t="array" ref="R2843">IF(表成绩单[[#This Row],[英语]]="","",SUMPRODUCT((表成绩单[考试日期]=表成绩单[[#This Row],[考试日期]])*(表成绩单[英语]&lt;9E+307)*(表成绩单[英语]&gt;表成绩单[[#This Row],[英语]]))+1)</f>
        <v>499</v>
      </c>
      <c r="S2843" s="29" cm="1">
        <f t="array" ref="S2843">IF(表成绩单[[#This Row],[物理]]="","",SUMPRODUCT((表成绩单[考试日期]=表成绩单[[#This Row],[考试日期]])*(表成绩单[物理]&lt;9E+307)*(表成绩单[物理]&gt;表成绩单[[#This Row],[物理]]))+1)</f>
        <v>146</v>
      </c>
      <c r="T2843" s="29" cm="1">
        <f t="array" ref="T2843">IF(表成绩单[[#This Row],[化学]]="","",SUMPRODUCT((表成绩单[考试日期]=表成绩单[[#This Row],[考试日期]])*(表成绩单[化学]&lt;9E+307)*(表成绩单[化学]&gt;表成绩单[[#This Row],[化学]]))+1)</f>
        <v>335</v>
      </c>
      <c r="U2843" s="29" cm="1">
        <f t="array" ref="U2843">IF(表成绩单[[#This Row],[政治]]="","",SUMPRODUCT((表成绩单[考试日期]=表成绩单[[#This Row],[考试日期]])*(表成绩单[政治]&lt;9E+307)*(表成绩单[政治]&gt;表成绩单[[#This Row],[政治]]))+1)</f>
        <v>513</v>
      </c>
      <c r="V2843" s="29" cm="1">
        <f t="array" ref="V2843">IF(表成绩单[[#This Row],[历史]]="","",SUMPRODUCT((表成绩单[考试日期]=表成绩单[[#This Row],[考试日期]])*(表成绩单[历史]&lt;9E+307)*(表成绩单[历史]&gt;表成绩单[[#This Row],[历史]]))+1)</f>
        <v>539</v>
      </c>
      <c r="W2843" s="29" cm="1">
        <f t="array" ref="W2843">IF(表成绩单[[#This Row],[总分]]="","",SUMPRODUCT((表成绩单[考试日期]=表成绩单[[#This Row],[考试日期]])*(表成绩单[总分]&lt;9E+307)*(表成绩单[总分]&gt;表成绩单[[#This Row],[总分]]))+1)</f>
        <v>436</v>
      </c>
    </row>
    <row r="2844" ht="28" customHeight="1" spans="4:23">
      <c r="D2844" s="31">
        <v>46108</v>
      </c>
      <c r="E2844" s="29">
        <v>19176868</v>
      </c>
      <c r="F2844" s="29" t="s">
        <v>71</v>
      </c>
      <c r="G2844" s="29" t="s">
        <v>572</v>
      </c>
      <c r="H2844" s="29">
        <v>85</v>
      </c>
      <c r="I2844" s="29">
        <v>92</v>
      </c>
      <c r="J2844" s="29">
        <v>81</v>
      </c>
      <c r="K2844" s="29">
        <v>82</v>
      </c>
      <c r="L2844" s="29">
        <v>64</v>
      </c>
      <c r="M2844" s="29">
        <v>69</v>
      </c>
      <c r="N2844" s="29">
        <v>73</v>
      </c>
      <c r="O2844" s="32">
        <v>546</v>
      </c>
      <c r="P2844" s="29" cm="1">
        <f t="array" ref="P2844">IF(表成绩单[[#This Row],[语文]]="","",SUMPRODUCT((表成绩单[考试日期]=表成绩单[[#This Row],[考试日期]])*(表成绩单[语文]&lt;9E+307)*(表成绩单[语文]&gt;表成绩单[[#This Row],[语文]]))+1)</f>
        <v>626</v>
      </c>
      <c r="Q2844" s="29" cm="1">
        <f t="array" ref="Q2844">IF(表成绩单[[#This Row],[数学]]="","",SUMPRODUCT((表成绩单[考试日期]=表成绩单[[#This Row],[考试日期]])*(表成绩单[数学]&lt;9E+307)*(表成绩单[数学]&gt;表成绩单[[#This Row],[数学]]))+1)</f>
        <v>312</v>
      </c>
      <c r="R2844" s="29" cm="1">
        <f t="array" ref="R2844">IF(表成绩单[[#This Row],[英语]]="","",SUMPRODUCT((表成绩单[考试日期]=表成绩单[[#This Row],[考试日期]])*(表成绩单[英语]&lt;9E+307)*(表成绩单[英语]&gt;表成绩单[[#This Row],[英语]]))+1)</f>
        <v>227</v>
      </c>
      <c r="S2844" s="29" cm="1">
        <f t="array" ref="S2844">IF(表成绩单[[#This Row],[物理]]="","",SUMPRODUCT((表成绩单[考试日期]=表成绩单[[#This Row],[考试日期]])*(表成绩单[物理]&lt;9E+307)*(表成绩单[物理]&gt;表成绩单[[#This Row],[物理]]))+1)</f>
        <v>223</v>
      </c>
      <c r="T2844" s="29" cm="1">
        <f t="array" ref="T2844">IF(表成绩单[[#This Row],[化学]]="","",SUMPRODUCT((表成绩单[考试日期]=表成绩单[[#This Row],[考试日期]])*(表成绩单[化学]&lt;9E+307)*(表成绩单[化学]&gt;表成绩单[[#This Row],[化学]]))+1)</f>
        <v>400</v>
      </c>
      <c r="U2844" s="29" cm="1">
        <f t="array" ref="U2844">IF(表成绩单[[#This Row],[政治]]="","",SUMPRODUCT((表成绩单[考试日期]=表成绩单[[#This Row],[考试日期]])*(表成绩单[政治]&lt;9E+307)*(表成绩单[政治]&gt;表成绩单[[#This Row],[政治]]))+1)</f>
        <v>567</v>
      </c>
      <c r="V2844" s="29" cm="1">
        <f t="array" ref="V2844">IF(表成绩单[[#This Row],[历史]]="","",SUMPRODUCT((表成绩单[考试日期]=表成绩单[[#This Row],[考试日期]])*(表成绩单[历史]&lt;9E+307)*(表成绩单[历史]&gt;表成绩单[[#This Row],[历史]]))+1)</f>
        <v>432</v>
      </c>
      <c r="W2844" s="29" cm="1">
        <f t="array" ref="W2844">IF(表成绩单[[#This Row],[总分]]="","",SUMPRODUCT((表成绩单[考试日期]=表成绩单[[#This Row],[考试日期]])*(表成绩单[总分]&lt;9E+307)*(表成绩单[总分]&gt;表成绩单[[#This Row],[总分]]))+1)</f>
        <v>436</v>
      </c>
    </row>
    <row r="2845" ht="28" customHeight="1" spans="4:23">
      <c r="D2845" s="31">
        <v>46108</v>
      </c>
      <c r="E2845" s="29">
        <v>19177654</v>
      </c>
      <c r="F2845" s="29" t="s">
        <v>63</v>
      </c>
      <c r="G2845" s="29" t="s">
        <v>432</v>
      </c>
      <c r="H2845" s="29">
        <v>97</v>
      </c>
      <c r="I2845" s="29">
        <v>79</v>
      </c>
      <c r="J2845" s="29">
        <v>79</v>
      </c>
      <c r="K2845" s="29">
        <v>78</v>
      </c>
      <c r="L2845" s="29">
        <v>58</v>
      </c>
      <c r="M2845" s="29">
        <v>77</v>
      </c>
      <c r="N2845" s="29">
        <v>78</v>
      </c>
      <c r="O2845" s="32">
        <v>546</v>
      </c>
      <c r="P2845" s="29" cm="1">
        <f t="array" ref="P2845">IF(表成绩单[[#This Row],[语文]]="","",SUMPRODUCT((表成绩单[考试日期]=表成绩单[[#This Row],[考试日期]])*(表成绩单[语文]&lt;9E+307)*(表成绩单[语文]&gt;表成绩单[[#This Row],[语文]]))+1)</f>
        <v>357</v>
      </c>
      <c r="Q2845" s="29" cm="1">
        <f t="array" ref="Q2845">IF(表成绩单[[#This Row],[数学]]="","",SUMPRODUCT((表成绩单[考试日期]=表成绩单[[#This Row],[考试日期]])*(表成绩单[数学]&lt;9E+307)*(表成绩单[数学]&gt;表成绩单[[#This Row],[数学]]))+1)</f>
        <v>591</v>
      </c>
      <c r="R2845" s="29" cm="1">
        <f t="array" ref="R2845">IF(表成绩单[[#This Row],[英语]]="","",SUMPRODUCT((表成绩单[考试日期]=表成绩单[[#This Row],[考试日期]])*(表成绩单[英语]&lt;9E+307)*(表成绩单[英语]&gt;表成绩单[[#This Row],[英语]]))+1)</f>
        <v>305</v>
      </c>
      <c r="S2845" s="29" cm="1">
        <f t="array" ref="S2845">IF(表成绩单[[#This Row],[物理]]="","",SUMPRODUCT((表成绩单[考试日期]=表成绩单[[#This Row],[考试日期]])*(表成绩单[物理]&lt;9E+307)*(表成绩单[物理]&gt;表成绩单[[#This Row],[物理]]))+1)</f>
        <v>365</v>
      </c>
      <c r="T2845" s="29" cm="1">
        <f t="array" ref="T2845">IF(表成绩单[[#This Row],[化学]]="","",SUMPRODUCT((表成绩单[考试日期]=表成绩单[[#This Row],[考试日期]])*(表成绩单[化学]&lt;9E+307)*(表成绩单[化学]&gt;表成绩单[[#This Row],[化学]]))+1)</f>
        <v>532</v>
      </c>
      <c r="U2845" s="29" cm="1">
        <f t="array" ref="U2845">IF(表成绩单[[#This Row],[政治]]="","",SUMPRODUCT((表成绩单[考试日期]=表成绩单[[#This Row],[考试日期]])*(表成绩单[政治]&lt;9E+307)*(表成绩单[政治]&gt;表成绩单[[#This Row],[政治]]))+1)</f>
        <v>230</v>
      </c>
      <c r="V2845" s="29" cm="1">
        <f t="array" ref="V2845">IF(表成绩单[[#This Row],[历史]]="","",SUMPRODUCT((表成绩单[考试日期]=表成绩单[[#This Row],[考试日期]])*(表成绩单[历史]&lt;9E+307)*(表成绩单[历史]&gt;表成绩单[[#This Row],[历史]]))+1)</f>
        <v>222</v>
      </c>
      <c r="W2845" s="29" cm="1">
        <f t="array" ref="W2845">IF(表成绩单[[#This Row],[总分]]="","",SUMPRODUCT((表成绩单[考试日期]=表成绩单[[#This Row],[考试日期]])*(表成绩单[总分]&lt;9E+307)*(表成绩单[总分]&gt;表成绩单[[#This Row],[总分]]))+1)</f>
        <v>436</v>
      </c>
    </row>
    <row r="2846" ht="28" customHeight="1" spans="4:23">
      <c r="D2846" s="31">
        <v>46108</v>
      </c>
      <c r="E2846" s="29">
        <v>19177670</v>
      </c>
      <c r="F2846" s="29" t="s">
        <v>63</v>
      </c>
      <c r="G2846" s="29" t="s">
        <v>355</v>
      </c>
      <c r="H2846" s="29">
        <v>90</v>
      </c>
      <c r="I2846" s="29">
        <v>85</v>
      </c>
      <c r="J2846" s="29">
        <v>79.5</v>
      </c>
      <c r="K2846" s="29">
        <v>79</v>
      </c>
      <c r="L2846" s="29">
        <v>59</v>
      </c>
      <c r="M2846" s="29">
        <v>79</v>
      </c>
      <c r="N2846" s="29">
        <v>74</v>
      </c>
      <c r="O2846" s="32">
        <v>545.5</v>
      </c>
      <c r="P2846" s="29" cm="1">
        <f t="array" ref="P2846">IF(表成绩单[[#This Row],[语文]]="","",SUMPRODUCT((表成绩单[考试日期]=表成绩单[[#This Row],[考试日期]])*(表成绩单[语文]&lt;9E+307)*(表成绩单[语文]&gt;表成绩单[[#This Row],[语文]]))+1)</f>
        <v>539</v>
      </c>
      <c r="Q2846" s="29" cm="1">
        <f t="array" ref="Q2846">IF(表成绩单[[#This Row],[数学]]="","",SUMPRODUCT((表成绩单[考试日期]=表成绩单[[#This Row],[考试日期]])*(表成绩单[数学]&lt;9E+307)*(表成绩单[数学]&gt;表成绩单[[#This Row],[数学]]))+1)</f>
        <v>501</v>
      </c>
      <c r="R2846" s="29" cm="1">
        <f t="array" ref="R2846">IF(表成绩单[[#This Row],[英语]]="","",SUMPRODUCT((表成绩单[考试日期]=表成绩单[[#This Row],[考试日期]])*(表成绩单[英语]&lt;9E+307)*(表成绩单[英语]&gt;表成绩单[[#This Row],[英语]]))+1)</f>
        <v>286</v>
      </c>
      <c r="S2846" s="29" cm="1">
        <f t="array" ref="S2846">IF(表成绩单[[#This Row],[物理]]="","",SUMPRODUCT((表成绩单[考试日期]=表成绩单[[#This Row],[考试日期]])*(表成绩单[物理]&lt;9E+307)*(表成绩单[物理]&gt;表成绩单[[#This Row],[物理]]))+1)</f>
        <v>344</v>
      </c>
      <c r="T2846" s="29" cm="1">
        <f t="array" ref="T2846">IF(表成绩单[[#This Row],[化学]]="","",SUMPRODUCT((表成绩单[考试日期]=表成绩单[[#This Row],[考试日期]])*(表成绩单[化学]&lt;9E+307)*(表成绩单[化学]&gt;表成绩单[[#This Row],[化学]]))+1)</f>
        <v>510</v>
      </c>
      <c r="U2846" s="29" cm="1">
        <f t="array" ref="U2846">IF(表成绩单[[#This Row],[政治]]="","",SUMPRODUCT((表成绩单[考试日期]=表成绩单[[#This Row],[考试日期]])*(表成绩单[政治]&lt;9E+307)*(表成绩单[政治]&gt;表成绩单[[#This Row],[政治]]))+1)</f>
        <v>134</v>
      </c>
      <c r="V2846" s="29" cm="1">
        <f t="array" ref="V2846">IF(表成绩单[[#This Row],[历史]]="","",SUMPRODUCT((表成绩单[考试日期]=表成绩单[[#This Row],[考试日期]])*(表成绩单[历史]&lt;9E+307)*(表成绩单[历史]&gt;表成绩单[[#This Row],[历史]]))+1)</f>
        <v>389</v>
      </c>
      <c r="W2846" s="29" cm="1">
        <f t="array" ref="W2846">IF(表成绩单[[#This Row],[总分]]="","",SUMPRODUCT((表成绩单[考试日期]=表成绩单[[#This Row],[考试日期]])*(表成绩单[总分]&lt;9E+307)*(表成绩单[总分]&gt;表成绩单[[#This Row],[总分]]))+1)</f>
        <v>439</v>
      </c>
    </row>
    <row r="2847" ht="28" customHeight="1" spans="4:23">
      <c r="D2847" s="31">
        <v>46108</v>
      </c>
      <c r="E2847" s="29">
        <v>19178644</v>
      </c>
      <c r="F2847" s="29" t="s">
        <v>25</v>
      </c>
      <c r="G2847" s="29" t="s">
        <v>508</v>
      </c>
      <c r="H2847" s="29">
        <v>92</v>
      </c>
      <c r="I2847" s="29">
        <v>96</v>
      </c>
      <c r="J2847" s="29">
        <v>78</v>
      </c>
      <c r="K2847" s="29">
        <v>72</v>
      </c>
      <c r="L2847" s="29">
        <v>68</v>
      </c>
      <c r="M2847" s="29">
        <v>70</v>
      </c>
      <c r="N2847" s="29">
        <v>69</v>
      </c>
      <c r="O2847" s="32">
        <v>545</v>
      </c>
      <c r="P2847" s="29" cm="1">
        <f t="array" ref="P2847">IF(表成绩单[[#This Row],[语文]]="","",SUMPRODUCT((表成绩单[考试日期]=表成绩单[[#This Row],[考试日期]])*(表成绩单[语文]&lt;9E+307)*(表成绩单[语文]&gt;表成绩单[[#This Row],[语文]]))+1)</f>
        <v>494</v>
      </c>
      <c r="Q2847" s="29" cm="1">
        <f t="array" ref="Q2847">IF(表成绩单[[#This Row],[数学]]="","",SUMPRODUCT((表成绩单[考试日期]=表成绩单[[#This Row],[考试日期]])*(表成绩单[数学]&lt;9E+307)*(表成绩单[数学]&gt;表成绩单[[#This Row],[数学]]))+1)</f>
        <v>202</v>
      </c>
      <c r="R2847" s="29" cm="1">
        <f t="array" ref="R2847">IF(表成绩单[[#This Row],[英语]]="","",SUMPRODUCT((表成绩单[考试日期]=表成绩单[[#This Row],[考试日期]])*(表成绩单[英语]&lt;9E+307)*(表成绩单[英语]&gt;表成绩单[[#This Row],[英语]]))+1)</f>
        <v>341</v>
      </c>
      <c r="S2847" s="29" cm="1">
        <f t="array" ref="S2847">IF(表成绩单[[#This Row],[物理]]="","",SUMPRODUCT((表成绩单[考试日期]=表成绩单[[#This Row],[考试日期]])*(表成绩单[物理]&lt;9E+307)*(表成绩单[物理]&gt;表成绩单[[#This Row],[物理]]))+1)</f>
        <v>521</v>
      </c>
      <c r="T2847" s="29" cm="1">
        <f t="array" ref="T2847">IF(表成绩单[[#This Row],[化学]]="","",SUMPRODUCT((表成绩单[考试日期]=表成绩单[[#This Row],[考试日期]])*(表成绩单[化学]&lt;9E+307)*(表成绩单[化学]&gt;表成绩单[[#This Row],[化学]]))+1)</f>
        <v>306</v>
      </c>
      <c r="U2847" s="29" cm="1">
        <f t="array" ref="U2847">IF(表成绩单[[#This Row],[政治]]="","",SUMPRODUCT((表成绩单[考试日期]=表成绩单[[#This Row],[考试日期]])*(表成绩单[政治]&lt;9E+307)*(表成绩单[政治]&gt;表成绩单[[#This Row],[政治]]))+1)</f>
        <v>548</v>
      </c>
      <c r="V2847" s="29" cm="1">
        <f t="array" ref="V2847">IF(表成绩单[[#This Row],[历史]]="","",SUMPRODUCT((表成绩单[考试日期]=表成绩单[[#This Row],[考试日期]])*(表成绩单[历史]&lt;9E+307)*(表成绩单[历史]&gt;表成绩单[[#This Row],[历史]]))+1)</f>
        <v>569</v>
      </c>
      <c r="W2847" s="29" cm="1">
        <f t="array" ref="W2847">IF(表成绩单[[#This Row],[总分]]="","",SUMPRODUCT((表成绩单[考试日期]=表成绩单[[#This Row],[考试日期]])*(表成绩单[总分]&lt;9E+307)*(表成绩单[总分]&gt;表成绩单[[#This Row],[总分]]))+1)</f>
        <v>440</v>
      </c>
    </row>
    <row r="2848" ht="28" customHeight="1" spans="4:23">
      <c r="D2848" s="31">
        <v>46108</v>
      </c>
      <c r="E2848" s="29">
        <v>19172636</v>
      </c>
      <c r="F2848" s="29" t="s">
        <v>60</v>
      </c>
      <c r="G2848" s="29" t="s">
        <v>490</v>
      </c>
      <c r="H2848" s="29">
        <v>91</v>
      </c>
      <c r="I2848" s="29">
        <v>90</v>
      </c>
      <c r="J2848" s="29">
        <v>75.5</v>
      </c>
      <c r="K2848" s="29">
        <v>80</v>
      </c>
      <c r="L2848" s="29">
        <v>68</v>
      </c>
      <c r="M2848" s="29">
        <v>76</v>
      </c>
      <c r="N2848" s="29">
        <v>64</v>
      </c>
      <c r="O2848" s="32">
        <v>544.5</v>
      </c>
      <c r="P2848" s="29" cm="1">
        <f t="array" ref="P2848">IF(表成绩单[[#This Row],[语文]]="","",SUMPRODUCT((表成绩单[考试日期]=表成绩单[[#This Row],[考试日期]])*(表成绩单[语文]&lt;9E+307)*(表成绩单[语文]&gt;表成绩单[[#This Row],[语文]]))+1)</f>
        <v>519</v>
      </c>
      <c r="Q2848" s="29" cm="1">
        <f t="array" ref="Q2848">IF(表成绩单[[#This Row],[数学]]="","",SUMPRODUCT((表成绩单[考试日期]=表成绩单[[#This Row],[考试日期]])*(表成绩单[数学]&lt;9E+307)*(表成绩单[数学]&gt;表成绩单[[#This Row],[数学]]))+1)</f>
        <v>368</v>
      </c>
      <c r="R2848" s="29" cm="1">
        <f t="array" ref="R2848">IF(表成绩单[[#This Row],[英语]]="","",SUMPRODUCT((表成绩单[考试日期]=表成绩单[[#This Row],[考试日期]])*(表成绩单[英语]&lt;9E+307)*(表成绩单[英语]&gt;表成绩单[[#This Row],[英语]]))+1)</f>
        <v>421</v>
      </c>
      <c r="S2848" s="29" cm="1">
        <f t="array" ref="S2848">IF(表成绩单[[#This Row],[物理]]="","",SUMPRODUCT((表成绩单[考试日期]=表成绩单[[#This Row],[考试日期]])*(表成绩单[物理]&lt;9E+307)*(表成绩单[物理]&gt;表成绩单[[#This Row],[物理]]))+1)</f>
        <v>305</v>
      </c>
      <c r="T2848" s="29" cm="1">
        <f t="array" ref="T2848">IF(表成绩单[[#This Row],[化学]]="","",SUMPRODUCT((表成绩单[考试日期]=表成绩单[[#This Row],[考试日期]])*(表成绩单[化学]&lt;9E+307)*(表成绩单[化学]&gt;表成绩单[[#This Row],[化学]]))+1)</f>
        <v>306</v>
      </c>
      <c r="U2848" s="29" cm="1">
        <f t="array" ref="U2848">IF(表成绩单[[#This Row],[政治]]="","",SUMPRODUCT((表成绩单[考试日期]=表成绩单[[#This Row],[考试日期]])*(表成绩单[政治]&lt;9E+307)*(表成绩单[政治]&gt;表成绩单[[#This Row],[政治]]))+1)</f>
        <v>291</v>
      </c>
      <c r="V2848" s="29" cm="1">
        <f t="array" ref="V2848">IF(表成绩单[[#This Row],[历史]]="","",SUMPRODUCT((表成绩单[考试日期]=表成绩单[[#This Row],[考试日期]])*(表成绩单[历史]&lt;9E+307)*(表成绩单[历史]&gt;表成绩单[[#This Row],[历史]]))+1)</f>
        <v>666</v>
      </c>
      <c r="W2848" s="29" cm="1">
        <f t="array" ref="W2848">IF(表成绩单[[#This Row],[总分]]="","",SUMPRODUCT((表成绩单[考试日期]=表成绩单[[#This Row],[考试日期]])*(表成绩单[总分]&lt;9E+307)*(表成绩单[总分]&gt;表成绩单[[#This Row],[总分]]))+1)</f>
        <v>441</v>
      </c>
    </row>
    <row r="2849" ht="28" customHeight="1" spans="4:23">
      <c r="D2849" s="31">
        <v>46108</v>
      </c>
      <c r="E2849" s="29">
        <v>19173780</v>
      </c>
      <c r="F2849" s="29" t="s">
        <v>65</v>
      </c>
      <c r="G2849" s="29" t="s">
        <v>461</v>
      </c>
      <c r="H2849" s="29">
        <v>97</v>
      </c>
      <c r="I2849" s="29">
        <v>89</v>
      </c>
      <c r="J2849" s="29">
        <v>64.5</v>
      </c>
      <c r="K2849" s="29">
        <v>73</v>
      </c>
      <c r="L2849" s="29">
        <v>64</v>
      </c>
      <c r="M2849" s="29">
        <v>78</v>
      </c>
      <c r="N2849" s="29">
        <v>79</v>
      </c>
      <c r="O2849" s="32">
        <v>544.5</v>
      </c>
      <c r="P2849" s="29" cm="1">
        <f t="array" ref="P2849">IF(表成绩单[[#This Row],[语文]]="","",SUMPRODUCT((表成绩单[考试日期]=表成绩单[[#This Row],[考试日期]])*(表成绩单[语文]&lt;9E+307)*(表成绩单[语文]&gt;表成绩单[[#This Row],[语文]]))+1)</f>
        <v>357</v>
      </c>
      <c r="Q2849" s="29" cm="1">
        <f t="array" ref="Q2849">IF(表成绩单[[#This Row],[数学]]="","",SUMPRODUCT((表成绩单[考试日期]=表成绩单[[#This Row],[考试日期]])*(表成绩单[数学]&lt;9E+307)*(表成绩单[数学]&gt;表成绩单[[#This Row],[数学]]))+1)</f>
        <v>402</v>
      </c>
      <c r="R2849" s="29" cm="1">
        <f t="array" ref="R2849">IF(表成绩单[[#This Row],[英语]]="","",SUMPRODUCT((表成绩单[考试日期]=表成绩单[[#This Row],[考试日期]])*(表成绩单[英语]&lt;9E+307)*(表成绩单[英语]&gt;表成绩单[[#This Row],[英语]]))+1)</f>
        <v>610</v>
      </c>
      <c r="S2849" s="29" cm="1">
        <f t="array" ref="S2849">IF(表成绩单[[#This Row],[物理]]="","",SUMPRODUCT((表成绩单[考试日期]=表成绩单[[#This Row],[考试日期]])*(表成绩单[物理]&lt;9E+307)*(表成绩单[物理]&gt;表成绩单[[#This Row],[物理]]))+1)</f>
        <v>500</v>
      </c>
      <c r="T2849" s="29" cm="1">
        <f t="array" ref="T2849">IF(表成绩单[[#This Row],[化学]]="","",SUMPRODUCT((表成绩单[考试日期]=表成绩单[[#This Row],[考试日期]])*(表成绩单[化学]&lt;9E+307)*(表成绩单[化学]&gt;表成绩单[[#This Row],[化学]]))+1)</f>
        <v>400</v>
      </c>
      <c r="U2849" s="29" cm="1">
        <f t="array" ref="U2849">IF(表成绩单[[#This Row],[政治]]="","",SUMPRODUCT((表成绩单[考试日期]=表成绩单[[#This Row],[考试日期]])*(表成绩单[政治]&lt;9E+307)*(表成绩单[政治]&gt;表成绩单[[#This Row],[政治]]))+1)</f>
        <v>171</v>
      </c>
      <c r="V2849" s="29" cm="1">
        <f t="array" ref="V2849">IF(表成绩单[[#This Row],[历史]]="","",SUMPRODUCT((表成绩单[考试日期]=表成绩单[[#This Row],[考试日期]])*(表成绩单[历史]&lt;9E+307)*(表成绩单[历史]&gt;表成绩单[[#This Row],[历史]]))+1)</f>
        <v>173</v>
      </c>
      <c r="W2849" s="29" cm="1">
        <f t="array" ref="W2849">IF(表成绩单[[#This Row],[总分]]="","",SUMPRODUCT((表成绩单[考试日期]=表成绩单[[#This Row],[考试日期]])*(表成绩单[总分]&lt;9E+307)*(表成绩单[总分]&gt;表成绩单[[#This Row],[总分]]))+1)</f>
        <v>441</v>
      </c>
    </row>
    <row r="2850" ht="28" customHeight="1" spans="4:23">
      <c r="D2850" s="31">
        <v>46108</v>
      </c>
      <c r="E2850" s="29">
        <v>19178648</v>
      </c>
      <c r="F2850" s="29" t="s">
        <v>25</v>
      </c>
      <c r="G2850" s="29" t="s">
        <v>617</v>
      </c>
      <c r="H2850" s="29">
        <v>94</v>
      </c>
      <c r="I2850" s="29">
        <v>90</v>
      </c>
      <c r="J2850" s="29">
        <v>66.5</v>
      </c>
      <c r="K2850" s="29">
        <v>71</v>
      </c>
      <c r="L2850" s="29">
        <v>72</v>
      </c>
      <c r="M2850" s="29">
        <v>75</v>
      </c>
      <c r="N2850" s="29">
        <v>76</v>
      </c>
      <c r="O2850" s="32">
        <v>544.5</v>
      </c>
      <c r="P2850" s="29" cm="1">
        <f t="array" ref="P2850">IF(表成绩单[[#This Row],[语文]]="","",SUMPRODUCT((表成绩单[考试日期]=表成绩单[[#This Row],[考试日期]])*(表成绩单[语文]&lt;9E+307)*(表成绩单[语文]&gt;表成绩单[[#This Row],[语文]]))+1)</f>
        <v>449</v>
      </c>
      <c r="Q2850" s="29" cm="1">
        <f t="array" ref="Q2850">IF(表成绩单[[#This Row],[数学]]="","",SUMPRODUCT((表成绩单[考试日期]=表成绩单[[#This Row],[考试日期]])*(表成绩单[数学]&lt;9E+307)*(表成绩单[数学]&gt;表成绩单[[#This Row],[数学]]))+1)</f>
        <v>368</v>
      </c>
      <c r="R2850" s="29" cm="1">
        <f t="array" ref="R2850">IF(表成绩单[[#This Row],[英语]]="","",SUMPRODUCT((表成绩单[考试日期]=表成绩单[[#This Row],[考试日期]])*(表成绩单[英语]&lt;9E+307)*(表成绩单[英语]&gt;表成绩单[[#This Row],[英语]]))+1)</f>
        <v>584</v>
      </c>
      <c r="S2850" s="29" cm="1">
        <f t="array" ref="S2850">IF(表成绩单[[#This Row],[物理]]="","",SUMPRODUCT((表成绩单[考试日期]=表成绩单[[#This Row],[考试日期]])*(表成绩单[物理]&lt;9E+307)*(表成绩单[物理]&gt;表成绩单[[#This Row],[物理]]))+1)</f>
        <v>536</v>
      </c>
      <c r="T2850" s="29" cm="1">
        <f t="array" ref="T2850">IF(表成绩单[[#This Row],[化学]]="","",SUMPRODUCT((表成绩单[考试日期]=表成绩单[[#This Row],[考试日期]])*(表成绩单[化学]&lt;9E+307)*(表成绩单[化学]&gt;表成绩单[[#This Row],[化学]]))+1)</f>
        <v>187</v>
      </c>
      <c r="U2850" s="29" cm="1">
        <f t="array" ref="U2850">IF(表成绩单[[#This Row],[政治]]="","",SUMPRODUCT((表成绩单[考试日期]=表成绩单[[#This Row],[考试日期]])*(表成绩单[政治]&lt;9E+307)*(表成绩单[政治]&gt;表成绩单[[#This Row],[政治]]))+1)</f>
        <v>346</v>
      </c>
      <c r="V2850" s="29" cm="1">
        <f t="array" ref="V2850">IF(表成绩单[[#This Row],[历史]]="","",SUMPRODUCT((表成绩单[考试日期]=表成绩单[[#This Row],[考试日期]])*(表成绩单[历史]&lt;9E+307)*(表成绩单[历史]&gt;表成绩单[[#This Row],[历史]]))+1)</f>
        <v>316</v>
      </c>
      <c r="W2850" s="29" cm="1">
        <f t="array" ref="W2850">IF(表成绩单[[#This Row],[总分]]="","",SUMPRODUCT((表成绩单[考试日期]=表成绩单[[#This Row],[考试日期]])*(表成绩单[总分]&lt;9E+307)*(表成绩单[总分]&gt;表成绩单[[#This Row],[总分]]))+1)</f>
        <v>441</v>
      </c>
    </row>
    <row r="2851" ht="28" customHeight="1" spans="4:23">
      <c r="D2851" s="31">
        <v>46108</v>
      </c>
      <c r="E2851" s="29">
        <v>19175988</v>
      </c>
      <c r="F2851" s="29" t="s">
        <v>59</v>
      </c>
      <c r="G2851" s="29" t="s">
        <v>456</v>
      </c>
      <c r="H2851" s="29">
        <v>87</v>
      </c>
      <c r="I2851" s="29">
        <v>80</v>
      </c>
      <c r="J2851" s="29">
        <v>71.5</v>
      </c>
      <c r="K2851" s="29">
        <v>86</v>
      </c>
      <c r="L2851" s="29">
        <v>65</v>
      </c>
      <c r="M2851" s="29">
        <v>81</v>
      </c>
      <c r="N2851" s="29">
        <v>73</v>
      </c>
      <c r="O2851" s="32">
        <v>543.5</v>
      </c>
      <c r="P2851" s="29" cm="1">
        <f t="array" ref="P2851">IF(表成绩单[[#This Row],[语文]]="","",SUMPRODUCT((表成绩单[考试日期]=表成绩单[[#This Row],[考试日期]])*(表成绩单[语文]&lt;9E+307)*(表成绩单[语文]&gt;表成绩单[[#This Row],[语文]]))+1)</f>
        <v>599</v>
      </c>
      <c r="Q2851" s="29" cm="1">
        <f t="array" ref="Q2851">IF(表成绩单[[#This Row],[数学]]="","",SUMPRODUCT((表成绩单[考试日期]=表成绩单[[#This Row],[考试日期]])*(表成绩单[数学]&lt;9E+307)*(表成绩单[数学]&gt;表成绩单[[#This Row],[数学]]))+1)</f>
        <v>578</v>
      </c>
      <c r="R2851" s="29" cm="1">
        <f t="array" ref="R2851">IF(表成绩单[[#This Row],[英语]]="","",SUMPRODUCT((表成绩单[考试日期]=表成绩单[[#This Row],[考试日期]])*(表成绩单[英语]&lt;9E+307)*(表成绩单[英语]&gt;表成绩单[[#This Row],[英语]]))+1)</f>
        <v>509</v>
      </c>
      <c r="S2851" s="29" cm="1">
        <f t="array" ref="S2851">IF(表成绩单[[#This Row],[物理]]="","",SUMPRODUCT((表成绩单[考试日期]=表成绩单[[#This Row],[考试日期]])*(表成绩单[物理]&lt;9E+307)*(表成绩单[物理]&gt;表成绩单[[#This Row],[物理]]))+1)</f>
        <v>61</v>
      </c>
      <c r="T2851" s="29" cm="1">
        <f t="array" ref="T2851">IF(表成绩单[[#This Row],[化学]]="","",SUMPRODUCT((表成绩单[考试日期]=表成绩单[[#This Row],[考试日期]])*(表成绩单[化学]&lt;9E+307)*(表成绩单[化学]&gt;表成绩单[[#This Row],[化学]]))+1)</f>
        <v>379</v>
      </c>
      <c r="U2851" s="29" cm="1">
        <f t="array" ref="U2851">IF(表成绩单[[#This Row],[政治]]="","",SUMPRODUCT((表成绩单[考试日期]=表成绩单[[#This Row],[考试日期]])*(表成绩单[政治]&lt;9E+307)*(表成绩单[政治]&gt;表成绩单[[#This Row],[政治]]))+1)</f>
        <v>68</v>
      </c>
      <c r="V2851" s="29" cm="1">
        <f t="array" ref="V2851">IF(表成绩单[[#This Row],[历史]]="","",SUMPRODUCT((表成绩单[考试日期]=表成绩单[[#This Row],[考试日期]])*(表成绩单[历史]&lt;9E+307)*(表成绩单[历史]&gt;表成绩单[[#This Row],[历史]]))+1)</f>
        <v>432</v>
      </c>
      <c r="W2851" s="29" cm="1">
        <f t="array" ref="W2851">IF(表成绩单[[#This Row],[总分]]="","",SUMPRODUCT((表成绩单[考试日期]=表成绩单[[#This Row],[考试日期]])*(表成绩单[总分]&lt;9E+307)*(表成绩单[总分]&gt;表成绩单[[#This Row],[总分]]))+1)</f>
        <v>444</v>
      </c>
    </row>
    <row r="2852" ht="28" customHeight="1" spans="4:23">
      <c r="D2852" s="31">
        <v>46108</v>
      </c>
      <c r="E2852" s="29">
        <v>19171087</v>
      </c>
      <c r="F2852" s="29" t="s">
        <v>67</v>
      </c>
      <c r="G2852" s="29" t="s">
        <v>554</v>
      </c>
      <c r="H2852" s="29">
        <v>91</v>
      </c>
      <c r="I2852" s="29">
        <v>93</v>
      </c>
      <c r="J2852" s="29">
        <v>72.5</v>
      </c>
      <c r="K2852" s="29">
        <v>78</v>
      </c>
      <c r="L2852" s="29">
        <v>57</v>
      </c>
      <c r="M2852" s="29">
        <v>73</v>
      </c>
      <c r="N2852" s="29">
        <v>78</v>
      </c>
      <c r="O2852" s="32">
        <v>542.5</v>
      </c>
      <c r="P2852" s="29" cm="1">
        <f t="array" ref="P2852">IF(表成绩单[[#This Row],[语文]]="","",SUMPRODUCT((表成绩单[考试日期]=表成绩单[[#This Row],[考试日期]])*(表成绩单[语文]&lt;9E+307)*(表成绩单[语文]&gt;表成绩单[[#This Row],[语文]]))+1)</f>
        <v>519</v>
      </c>
      <c r="Q2852" s="29" cm="1">
        <f t="array" ref="Q2852">IF(表成绩单[[#This Row],[数学]]="","",SUMPRODUCT((表成绩单[考试日期]=表成绩单[[#This Row],[考试日期]])*(表成绩单[数学]&lt;9E+307)*(表成绩单[数学]&gt;表成绩单[[#This Row],[数学]]))+1)</f>
        <v>289</v>
      </c>
      <c r="R2852" s="29" cm="1">
        <f t="array" ref="R2852">IF(表成绩单[[#This Row],[英语]]="","",SUMPRODUCT((表成绩单[考试日期]=表成绩单[[#This Row],[考试日期]])*(表成绩单[英语]&lt;9E+307)*(表成绩单[英语]&gt;表成绩单[[#This Row],[英语]]))+1)</f>
        <v>491</v>
      </c>
      <c r="S2852" s="29" cm="1">
        <f t="array" ref="S2852">IF(表成绩单[[#This Row],[物理]]="","",SUMPRODUCT((表成绩单[考试日期]=表成绩单[[#This Row],[考试日期]])*(表成绩单[物理]&lt;9E+307)*(表成绩单[物理]&gt;表成绩单[[#This Row],[物理]]))+1)</f>
        <v>365</v>
      </c>
      <c r="T2852" s="29" cm="1">
        <f t="array" ref="T2852">IF(表成绩单[[#This Row],[化学]]="","",SUMPRODUCT((表成绩单[考试日期]=表成绩单[[#This Row],[考试日期]])*(表成绩单[化学]&lt;9E+307)*(表成绩单[化学]&gt;表成绩单[[#This Row],[化学]]))+1)</f>
        <v>552</v>
      </c>
      <c r="U2852" s="29" cm="1">
        <f t="array" ref="U2852">IF(表成绩单[[#This Row],[政治]]="","",SUMPRODUCT((表成绩单[考试日期]=表成绩单[[#This Row],[考试日期]])*(表成绩单[政治]&lt;9E+307)*(表成绩单[政治]&gt;表成绩单[[#This Row],[政治]]))+1)</f>
        <v>431</v>
      </c>
      <c r="V2852" s="29" cm="1">
        <f t="array" ref="V2852">IF(表成绩单[[#This Row],[历史]]="","",SUMPRODUCT((表成绩单[考试日期]=表成绩单[[#This Row],[考试日期]])*(表成绩单[历史]&lt;9E+307)*(表成绩单[历史]&gt;表成绩单[[#This Row],[历史]]))+1)</f>
        <v>222</v>
      </c>
      <c r="W2852" s="29" cm="1">
        <f t="array" ref="W2852">IF(表成绩单[[#This Row],[总分]]="","",SUMPRODUCT((表成绩单[考试日期]=表成绩单[[#This Row],[考试日期]])*(表成绩单[总分]&lt;9E+307)*(表成绩单[总分]&gt;表成绩单[[#This Row],[总分]]))+1)</f>
        <v>445</v>
      </c>
    </row>
    <row r="2853" ht="28" customHeight="1" spans="4:23">
      <c r="D2853" s="31">
        <v>46108</v>
      </c>
      <c r="E2853" s="29">
        <v>19177677</v>
      </c>
      <c r="F2853" s="29" t="s">
        <v>63</v>
      </c>
      <c r="G2853" s="29" t="s">
        <v>528</v>
      </c>
      <c r="H2853" s="29">
        <v>99</v>
      </c>
      <c r="I2853" s="29">
        <v>80</v>
      </c>
      <c r="J2853" s="29">
        <v>67.5</v>
      </c>
      <c r="K2853" s="29">
        <v>78</v>
      </c>
      <c r="L2853" s="29">
        <v>61</v>
      </c>
      <c r="M2853" s="29">
        <v>78</v>
      </c>
      <c r="N2853" s="29">
        <v>79</v>
      </c>
      <c r="O2853" s="32">
        <v>542.5</v>
      </c>
      <c r="P2853" s="29" cm="1">
        <f t="array" ref="P2853">IF(表成绩单[[#This Row],[语文]]="","",SUMPRODUCT((表成绩单[考试日期]=表成绩单[[#This Row],[考试日期]])*(表成绩单[语文]&lt;9E+307)*(表成绩单[语文]&gt;表成绩单[[#This Row],[语文]]))+1)</f>
        <v>279</v>
      </c>
      <c r="Q2853" s="29" cm="1">
        <f t="array" ref="Q2853">IF(表成绩单[[#This Row],[数学]]="","",SUMPRODUCT((表成绩单[考试日期]=表成绩单[[#This Row],[考试日期]])*(表成绩单[数学]&lt;9E+307)*(表成绩单[数学]&gt;表成绩单[[#This Row],[数学]]))+1)</f>
        <v>578</v>
      </c>
      <c r="R2853" s="29" cm="1">
        <f t="array" ref="R2853">IF(表成绩单[[#This Row],[英语]]="","",SUMPRODUCT((表成绩单[考试日期]=表成绩单[[#This Row],[考试日期]])*(表成绩单[英语]&lt;9E+307)*(表成绩单[英语]&gt;表成绩单[[#This Row],[英语]]))+1)</f>
        <v>571</v>
      </c>
      <c r="S2853" s="29" cm="1">
        <f t="array" ref="S2853">IF(表成绩单[[#This Row],[物理]]="","",SUMPRODUCT((表成绩单[考试日期]=表成绩单[[#This Row],[考试日期]])*(表成绩单[物理]&lt;9E+307)*(表成绩单[物理]&gt;表成绩单[[#This Row],[物理]]))+1)</f>
        <v>365</v>
      </c>
      <c r="T2853" s="29" cm="1">
        <f t="array" ref="T2853">IF(表成绩单[[#This Row],[化学]]="","",SUMPRODUCT((表成绩单[考试日期]=表成绩单[[#This Row],[考试日期]])*(表成绩单[化学]&lt;9E+307)*(表成绩单[化学]&gt;表成绩单[[#This Row],[化学]]))+1)</f>
        <v>467</v>
      </c>
      <c r="U2853" s="29" cm="1">
        <f t="array" ref="U2853">IF(表成绩单[[#This Row],[政治]]="","",SUMPRODUCT((表成绩单[考试日期]=表成绩单[[#This Row],[考试日期]])*(表成绩单[政治]&lt;9E+307)*(表成绩单[政治]&gt;表成绩单[[#This Row],[政治]]))+1)</f>
        <v>171</v>
      </c>
      <c r="V2853" s="29" cm="1">
        <f t="array" ref="V2853">IF(表成绩单[[#This Row],[历史]]="","",SUMPRODUCT((表成绩单[考试日期]=表成绩单[[#This Row],[考试日期]])*(表成绩单[历史]&lt;9E+307)*(表成绩单[历史]&gt;表成绩单[[#This Row],[历史]]))+1)</f>
        <v>173</v>
      </c>
      <c r="W2853" s="29" cm="1">
        <f t="array" ref="W2853">IF(表成绩单[[#This Row],[总分]]="","",SUMPRODUCT((表成绩单[考试日期]=表成绩单[[#This Row],[考试日期]])*(表成绩单[总分]&lt;9E+307)*(表成绩单[总分]&gt;表成绩单[[#This Row],[总分]]))+1)</f>
        <v>445</v>
      </c>
    </row>
    <row r="2854" ht="28" customHeight="1" spans="4:23">
      <c r="D2854" s="31">
        <v>46108</v>
      </c>
      <c r="E2854" s="29">
        <v>19178608</v>
      </c>
      <c r="F2854" s="29" t="s">
        <v>64</v>
      </c>
      <c r="G2854" s="29" t="s">
        <v>634</v>
      </c>
      <c r="H2854" s="29">
        <v>92</v>
      </c>
      <c r="I2854" s="29">
        <v>92</v>
      </c>
      <c r="J2854" s="29">
        <v>71.5</v>
      </c>
      <c r="K2854" s="29">
        <v>73</v>
      </c>
      <c r="L2854" s="29">
        <v>62</v>
      </c>
      <c r="M2854" s="29">
        <v>75</v>
      </c>
      <c r="N2854" s="29">
        <v>77</v>
      </c>
      <c r="O2854" s="32">
        <v>542.5</v>
      </c>
      <c r="P2854" s="29" cm="1">
        <f t="array" ref="P2854">IF(表成绩单[[#This Row],[语文]]="","",SUMPRODUCT((表成绩单[考试日期]=表成绩单[[#This Row],[考试日期]])*(表成绩单[语文]&lt;9E+307)*(表成绩单[语文]&gt;表成绩单[[#This Row],[语文]]))+1)</f>
        <v>494</v>
      </c>
      <c r="Q2854" s="29" cm="1">
        <f t="array" ref="Q2854">IF(表成绩单[[#This Row],[数学]]="","",SUMPRODUCT((表成绩单[考试日期]=表成绩单[[#This Row],[考试日期]])*(表成绩单[数学]&lt;9E+307)*(表成绩单[数学]&gt;表成绩单[[#This Row],[数学]]))+1)</f>
        <v>312</v>
      </c>
      <c r="R2854" s="29" cm="1">
        <f t="array" ref="R2854">IF(表成绩单[[#This Row],[英语]]="","",SUMPRODUCT((表成绩单[考试日期]=表成绩单[[#This Row],[考试日期]])*(表成绩单[英语]&lt;9E+307)*(表成绩单[英语]&gt;表成绩单[[#This Row],[英语]]))+1)</f>
        <v>509</v>
      </c>
      <c r="S2854" s="29" cm="1">
        <f t="array" ref="S2854">IF(表成绩单[[#This Row],[物理]]="","",SUMPRODUCT((表成绩单[考试日期]=表成绩单[[#This Row],[考试日期]])*(表成绩单[物理]&lt;9E+307)*(表成绩单[物理]&gt;表成绩单[[#This Row],[物理]]))+1)</f>
        <v>500</v>
      </c>
      <c r="T2854" s="29" cm="1">
        <f t="array" ref="T2854">IF(表成绩单[[#This Row],[化学]]="","",SUMPRODUCT((表成绩单[考试日期]=表成绩单[[#This Row],[考试日期]])*(表成绩单[化学]&lt;9E+307)*(表成绩单[化学]&gt;表成绩单[[#This Row],[化学]]))+1)</f>
        <v>449</v>
      </c>
      <c r="U2854" s="29" cm="1">
        <f t="array" ref="U2854">IF(表成绩单[[#This Row],[政治]]="","",SUMPRODUCT((表成绩单[考试日期]=表成绩单[[#This Row],[考试日期]])*(表成绩单[政治]&lt;9E+307)*(表成绩单[政治]&gt;表成绩单[[#This Row],[政治]]))+1)</f>
        <v>346</v>
      </c>
      <c r="V2854" s="29" cm="1">
        <f t="array" ref="V2854">IF(表成绩单[[#This Row],[历史]]="","",SUMPRODUCT((表成绩单[考试日期]=表成绩单[[#This Row],[考试日期]])*(表成绩单[历史]&lt;9E+307)*(表成绩单[历史]&gt;表成绩单[[#This Row],[历史]]))+1)</f>
        <v>269</v>
      </c>
      <c r="W2854" s="29" cm="1">
        <f t="array" ref="W2854">IF(表成绩单[[#This Row],[总分]]="","",SUMPRODUCT((表成绩单[考试日期]=表成绩单[[#This Row],[考试日期]])*(表成绩单[总分]&lt;9E+307)*(表成绩单[总分]&gt;表成绩单[[#This Row],[总分]]))+1)</f>
        <v>445</v>
      </c>
    </row>
    <row r="2855" ht="28" customHeight="1" spans="4:23">
      <c r="D2855" s="31">
        <v>46108</v>
      </c>
      <c r="E2855" s="29">
        <v>19173783</v>
      </c>
      <c r="F2855" s="29" t="s">
        <v>65</v>
      </c>
      <c r="G2855" s="29" t="s">
        <v>578</v>
      </c>
      <c r="H2855" s="29">
        <v>88</v>
      </c>
      <c r="I2855" s="29">
        <v>95</v>
      </c>
      <c r="J2855" s="29">
        <v>72</v>
      </c>
      <c r="K2855" s="29">
        <v>84</v>
      </c>
      <c r="L2855" s="29">
        <v>69</v>
      </c>
      <c r="M2855" s="29">
        <v>69</v>
      </c>
      <c r="N2855" s="29">
        <v>65</v>
      </c>
      <c r="O2855" s="32">
        <v>542</v>
      </c>
      <c r="P2855" s="29" cm="1">
        <f t="array" ref="P2855">IF(表成绩单[[#This Row],[语文]]="","",SUMPRODUCT((表成绩单[考试日期]=表成绩单[[#This Row],[考试日期]])*(表成绩单[语文]&lt;9E+307)*(表成绩单[语文]&gt;表成绩单[[#This Row],[语文]]))+1)</f>
        <v>575</v>
      </c>
      <c r="Q2855" s="29" cm="1">
        <f t="array" ref="Q2855">IF(表成绩单[[#This Row],[数学]]="","",SUMPRODUCT((表成绩单[考试日期]=表成绩单[[#This Row],[考试日期]])*(表成绩单[数学]&lt;9E+307)*(表成绩单[数学]&gt;表成绩单[[#This Row],[数学]]))+1)</f>
        <v>229</v>
      </c>
      <c r="R2855" s="29" cm="1">
        <f t="array" ref="R2855">IF(表成绩单[[#This Row],[英语]]="","",SUMPRODUCT((表成绩单[考试日期]=表成绩单[[#This Row],[考试日期]])*(表成绩单[英语]&lt;9E+307)*(表成绩单[英语]&gt;表成绩单[[#This Row],[英语]]))+1)</f>
        <v>499</v>
      </c>
      <c r="S2855" s="29" cm="1">
        <f t="array" ref="S2855">IF(表成绩单[[#This Row],[物理]]="","",SUMPRODUCT((表成绩单[考试日期]=表成绩单[[#This Row],[考试日期]])*(表成绩单[物理]&lt;9E+307)*(表成绩单[物理]&gt;表成绩单[[#This Row],[物理]]))+1)</f>
        <v>146</v>
      </c>
      <c r="T2855" s="29" cm="1">
        <f t="array" ref="T2855">IF(表成绩单[[#This Row],[化学]]="","",SUMPRODUCT((表成绩单[考试日期]=表成绩单[[#This Row],[考试日期]])*(表成绩单[化学]&lt;9E+307)*(表成绩单[化学]&gt;表成绩单[[#This Row],[化学]]))+1)</f>
        <v>269</v>
      </c>
      <c r="U2855" s="29" cm="1">
        <f t="array" ref="U2855">IF(表成绩单[[#This Row],[政治]]="","",SUMPRODUCT((表成绩单[考试日期]=表成绩单[[#This Row],[考试日期]])*(表成绩单[政治]&lt;9E+307)*(表成绩单[政治]&gt;表成绩单[[#This Row],[政治]]))+1)</f>
        <v>567</v>
      </c>
      <c r="V2855" s="29" cm="1">
        <f t="array" ref="V2855">IF(表成绩单[[#This Row],[历史]]="","",SUMPRODUCT((表成绩单[考试日期]=表成绩单[[#This Row],[考试日期]])*(表成绩单[历史]&lt;9E+307)*(表成绩单[历史]&gt;表成绩单[[#This Row],[历史]]))+1)</f>
        <v>657</v>
      </c>
      <c r="W2855" s="29" cm="1">
        <f t="array" ref="W2855">IF(表成绩单[[#This Row],[总分]]="","",SUMPRODUCT((表成绩单[考试日期]=表成绩单[[#This Row],[考试日期]])*(表成绩单[总分]&lt;9E+307)*(表成绩单[总分]&gt;表成绩单[[#This Row],[总分]]))+1)</f>
        <v>448</v>
      </c>
    </row>
    <row r="2856" ht="28" customHeight="1" spans="4:23">
      <c r="D2856" s="31">
        <v>46108</v>
      </c>
      <c r="E2856" s="29">
        <v>19174433</v>
      </c>
      <c r="F2856" s="29" t="s">
        <v>25</v>
      </c>
      <c r="G2856" s="29" t="s">
        <v>553</v>
      </c>
      <c r="H2856" s="29">
        <v>88</v>
      </c>
      <c r="I2856" s="29">
        <v>94</v>
      </c>
      <c r="J2856" s="29">
        <v>73</v>
      </c>
      <c r="K2856" s="29">
        <v>74</v>
      </c>
      <c r="L2856" s="29">
        <v>72</v>
      </c>
      <c r="M2856" s="29">
        <v>67</v>
      </c>
      <c r="N2856" s="29">
        <v>74</v>
      </c>
      <c r="O2856" s="32">
        <v>542</v>
      </c>
      <c r="P2856" s="29" cm="1">
        <f t="array" ref="P2856">IF(表成绩单[[#This Row],[语文]]="","",SUMPRODUCT((表成绩单[考试日期]=表成绩单[[#This Row],[考试日期]])*(表成绩单[语文]&lt;9E+307)*(表成绩单[语文]&gt;表成绩单[[#This Row],[语文]]))+1)</f>
        <v>575</v>
      </c>
      <c r="Q2856" s="29" cm="1">
        <f t="array" ref="Q2856">IF(表成绩单[[#This Row],[数学]]="","",SUMPRODUCT((表成绩单[考试日期]=表成绩单[[#This Row],[考试日期]])*(表成绩单[数学]&lt;9E+307)*(表成绩单[数学]&gt;表成绩单[[#This Row],[数学]]))+1)</f>
        <v>258</v>
      </c>
      <c r="R2856" s="29" cm="1">
        <f t="array" ref="R2856">IF(表成绩单[[#This Row],[英语]]="","",SUMPRODUCT((表成绩单[考试日期]=表成绩单[[#This Row],[考试日期]])*(表成绩单[英语]&lt;9E+307)*(表成绩单[英语]&gt;表成绩单[[#This Row],[英语]]))+1)</f>
        <v>478</v>
      </c>
      <c r="S2856" s="29" cm="1">
        <f t="array" ref="S2856">IF(表成绩单[[#This Row],[物理]]="","",SUMPRODUCT((表成绩单[考试日期]=表成绩单[[#This Row],[考试日期]])*(表成绩单[物理]&lt;9E+307)*(表成绩单[物理]&gt;表成绩单[[#This Row],[物理]]))+1)</f>
        <v>472</v>
      </c>
      <c r="T2856" s="29" cm="1">
        <f t="array" ref="T2856">IF(表成绩单[[#This Row],[化学]]="","",SUMPRODUCT((表成绩单[考试日期]=表成绩单[[#This Row],[考试日期]])*(表成绩单[化学]&lt;9E+307)*(表成绩单[化学]&gt;表成绩单[[#This Row],[化学]]))+1)</f>
        <v>187</v>
      </c>
      <c r="U2856" s="29" cm="1">
        <f t="array" ref="U2856">IF(表成绩单[[#This Row],[政治]]="","",SUMPRODUCT((表成绩单[考试日期]=表成绩单[[#This Row],[考试日期]])*(表成绩单[政治]&lt;9E+307)*(表成绩单[政治]&gt;表成绩单[[#This Row],[政治]]))+1)</f>
        <v>626</v>
      </c>
      <c r="V2856" s="29" cm="1">
        <f t="array" ref="V2856">IF(表成绩单[[#This Row],[历史]]="","",SUMPRODUCT((表成绩单[考试日期]=表成绩单[[#This Row],[考试日期]])*(表成绩单[历史]&lt;9E+307)*(表成绩单[历史]&gt;表成绩单[[#This Row],[历史]]))+1)</f>
        <v>389</v>
      </c>
      <c r="W2856" s="29" cm="1">
        <f t="array" ref="W2856">IF(表成绩单[[#This Row],[总分]]="","",SUMPRODUCT((表成绩单[考试日期]=表成绩单[[#This Row],[考试日期]])*(表成绩单[总分]&lt;9E+307)*(表成绩单[总分]&gt;表成绩单[[#This Row],[总分]]))+1)</f>
        <v>448</v>
      </c>
    </row>
    <row r="2857" ht="28" customHeight="1" spans="4:23">
      <c r="D2857" s="31">
        <v>46108</v>
      </c>
      <c r="E2857" s="29">
        <v>30010796</v>
      </c>
      <c r="F2857" s="29" t="s">
        <v>66</v>
      </c>
      <c r="G2857" s="29" t="s">
        <v>501</v>
      </c>
      <c r="H2857" s="29">
        <v>107</v>
      </c>
      <c r="I2857" s="29">
        <v>89</v>
      </c>
      <c r="J2857" s="29">
        <v>75</v>
      </c>
      <c r="K2857" s="29">
        <v>78</v>
      </c>
      <c r="L2857" s="29">
        <v>45</v>
      </c>
      <c r="M2857" s="29">
        <v>75</v>
      </c>
      <c r="N2857" s="29">
        <v>73</v>
      </c>
      <c r="O2857" s="32">
        <v>542</v>
      </c>
      <c r="P2857" s="29" cm="1">
        <f t="array" ref="P2857">IF(表成绩单[[#This Row],[语文]]="","",SUMPRODUCT((表成绩单[考试日期]=表成绩单[[#This Row],[考试日期]])*(表成绩单[语文]&lt;9E+307)*(表成绩单[语文]&gt;表成绩单[[#This Row],[语文]]))+1)</f>
        <v>67</v>
      </c>
      <c r="Q2857" s="29" cm="1">
        <f t="array" ref="Q2857">IF(表成绩单[[#This Row],[数学]]="","",SUMPRODUCT((表成绩单[考试日期]=表成绩单[[#This Row],[考试日期]])*(表成绩单[数学]&lt;9E+307)*(表成绩单[数学]&gt;表成绩单[[#This Row],[数学]]))+1)</f>
        <v>402</v>
      </c>
      <c r="R2857" s="29" cm="1">
        <f t="array" ref="R2857">IF(表成绩单[[#This Row],[英语]]="","",SUMPRODUCT((表成绩单[考试日期]=表成绩单[[#This Row],[考试日期]])*(表成绩单[英语]&lt;9E+307)*(表成绩单[英语]&gt;表成绩单[[#This Row],[英语]]))+1)</f>
        <v>444</v>
      </c>
      <c r="S2857" s="29" cm="1">
        <f t="array" ref="S2857">IF(表成绩单[[#This Row],[物理]]="","",SUMPRODUCT((表成绩单[考试日期]=表成绩单[[#This Row],[考试日期]])*(表成绩单[物理]&lt;9E+307)*(表成绩单[物理]&gt;表成绩单[[#This Row],[物理]]))+1)</f>
        <v>365</v>
      </c>
      <c r="T2857" s="29" cm="1">
        <f t="array" ref="T2857">IF(表成绩单[[#This Row],[化学]]="","",SUMPRODUCT((表成绩单[考试日期]=表成绩单[[#This Row],[考试日期]])*(表成绩单[化学]&lt;9E+307)*(表成绩单[化学]&gt;表成绩单[[#This Row],[化学]]))+1)</f>
        <v>686</v>
      </c>
      <c r="U2857" s="29" cm="1">
        <f t="array" ref="U2857">IF(表成绩单[[#This Row],[政治]]="","",SUMPRODUCT((表成绩单[考试日期]=表成绩单[[#This Row],[考试日期]])*(表成绩单[政治]&lt;9E+307)*(表成绩单[政治]&gt;表成绩单[[#This Row],[政治]]))+1)</f>
        <v>346</v>
      </c>
      <c r="V2857" s="29" cm="1">
        <f t="array" ref="V2857">IF(表成绩单[[#This Row],[历史]]="","",SUMPRODUCT((表成绩单[考试日期]=表成绩单[[#This Row],[考试日期]])*(表成绩单[历史]&lt;9E+307)*(表成绩单[历史]&gt;表成绩单[[#This Row],[历史]]))+1)</f>
        <v>432</v>
      </c>
      <c r="W2857" s="29" cm="1">
        <f t="array" ref="W2857">IF(表成绩单[[#This Row],[总分]]="","",SUMPRODUCT((表成绩单[考试日期]=表成绩单[[#This Row],[考试日期]])*(表成绩单[总分]&lt;9E+307)*(表成绩单[总分]&gt;表成绩单[[#This Row],[总分]]))+1)</f>
        <v>448</v>
      </c>
    </row>
    <row r="2858" ht="28" customHeight="1" spans="4:23">
      <c r="D2858" s="31">
        <v>46108</v>
      </c>
      <c r="E2858" s="29">
        <v>19167658</v>
      </c>
      <c r="F2858" s="29" t="s">
        <v>1</v>
      </c>
      <c r="G2858" s="29" t="s">
        <v>435</v>
      </c>
      <c r="H2858" s="29">
        <v>91</v>
      </c>
      <c r="I2858" s="29">
        <v>92</v>
      </c>
      <c r="J2858" s="29">
        <v>76.5</v>
      </c>
      <c r="K2858" s="29">
        <v>74</v>
      </c>
      <c r="L2858" s="29">
        <v>65</v>
      </c>
      <c r="M2858" s="29">
        <v>70</v>
      </c>
      <c r="N2858" s="29">
        <v>73</v>
      </c>
      <c r="O2858" s="32">
        <v>541.5</v>
      </c>
      <c r="P2858" s="29" cm="1">
        <f t="array" ref="P2858">IF(表成绩单[[#This Row],[语文]]="","",SUMPRODUCT((表成绩单[考试日期]=表成绩单[[#This Row],[考试日期]])*(表成绩单[语文]&lt;9E+307)*(表成绩单[语文]&gt;表成绩单[[#This Row],[语文]]))+1)</f>
        <v>519</v>
      </c>
      <c r="Q2858" s="29" cm="1">
        <f t="array" ref="Q2858">IF(表成绩单[[#This Row],[数学]]="","",SUMPRODUCT((表成绩单[考试日期]=表成绩单[[#This Row],[考试日期]])*(表成绩单[数学]&lt;9E+307)*(表成绩单[数学]&gt;表成绩单[[#This Row],[数学]]))+1)</f>
        <v>312</v>
      </c>
      <c r="R2858" s="29" cm="1">
        <f t="array" ref="R2858">IF(表成绩单[[#This Row],[英语]]="","",SUMPRODUCT((表成绩单[考试日期]=表成绩单[[#This Row],[考试日期]])*(表成绩单[英语]&lt;9E+307)*(表成绩单[英语]&gt;表成绩单[[#This Row],[英语]]))+1)</f>
        <v>384</v>
      </c>
      <c r="S2858" s="29" cm="1">
        <f t="array" ref="S2858">IF(表成绩单[[#This Row],[物理]]="","",SUMPRODUCT((表成绩单[考试日期]=表成绩单[[#This Row],[考试日期]])*(表成绩单[物理]&lt;9E+307)*(表成绩单[物理]&gt;表成绩单[[#This Row],[物理]]))+1)</f>
        <v>472</v>
      </c>
      <c r="T2858" s="29" cm="1">
        <f t="array" ref="T2858">IF(表成绩单[[#This Row],[化学]]="","",SUMPRODUCT((表成绩单[考试日期]=表成绩单[[#This Row],[考试日期]])*(表成绩单[化学]&lt;9E+307)*(表成绩单[化学]&gt;表成绩单[[#This Row],[化学]]))+1)</f>
        <v>379</v>
      </c>
      <c r="U2858" s="29" cm="1">
        <f t="array" ref="U2858">IF(表成绩单[[#This Row],[政治]]="","",SUMPRODUCT((表成绩单[考试日期]=表成绩单[[#This Row],[考试日期]])*(表成绩单[政治]&lt;9E+307)*(表成绩单[政治]&gt;表成绩单[[#This Row],[政治]]))+1)</f>
        <v>548</v>
      </c>
      <c r="V2858" s="29" cm="1">
        <f t="array" ref="V2858">IF(表成绩单[[#This Row],[历史]]="","",SUMPRODUCT((表成绩单[考试日期]=表成绩单[[#This Row],[考试日期]])*(表成绩单[历史]&lt;9E+307)*(表成绩单[历史]&gt;表成绩单[[#This Row],[历史]]))+1)</f>
        <v>432</v>
      </c>
      <c r="W2858" s="29" cm="1">
        <f t="array" ref="W2858">IF(表成绩单[[#This Row],[总分]]="","",SUMPRODUCT((表成绩单[考试日期]=表成绩单[[#This Row],[考试日期]])*(表成绩单[总分]&lt;9E+307)*(表成绩单[总分]&gt;表成绩单[[#This Row],[总分]]))+1)</f>
        <v>451</v>
      </c>
    </row>
    <row r="2859" ht="28" customHeight="1" spans="4:23">
      <c r="D2859" s="31">
        <v>46108</v>
      </c>
      <c r="E2859" s="29">
        <v>19173259</v>
      </c>
      <c r="F2859" s="29" t="s">
        <v>61</v>
      </c>
      <c r="G2859" s="29" t="s">
        <v>564</v>
      </c>
      <c r="H2859" s="29">
        <v>103</v>
      </c>
      <c r="I2859" s="29">
        <v>91</v>
      </c>
      <c r="J2859" s="29">
        <v>74.5</v>
      </c>
      <c r="K2859" s="29">
        <v>82</v>
      </c>
      <c r="L2859" s="29">
        <v>53</v>
      </c>
      <c r="M2859" s="29">
        <v>72</v>
      </c>
      <c r="N2859" s="29">
        <v>66</v>
      </c>
      <c r="O2859" s="32">
        <v>541.5</v>
      </c>
      <c r="P2859" s="29" cm="1">
        <f t="array" ref="P2859">IF(表成绩单[[#This Row],[语文]]="","",SUMPRODUCT((表成绩单[考试日期]=表成绩单[[#This Row],[考试日期]])*(表成绩单[语文]&lt;9E+307)*(表成绩单[语文]&gt;表成绩单[[#This Row],[语文]]))+1)</f>
        <v>155</v>
      </c>
      <c r="Q2859" s="29" cm="1">
        <f t="array" ref="Q2859">IF(表成绩单[[#This Row],[数学]]="","",SUMPRODUCT((表成绩单[考试日期]=表成绩单[[#This Row],[考试日期]])*(表成绩单[数学]&lt;9E+307)*(表成绩单[数学]&gt;表成绩单[[#This Row],[数学]]))+1)</f>
        <v>341</v>
      </c>
      <c r="R2859" s="29" cm="1">
        <f t="array" ref="R2859">IF(表成绩单[[#This Row],[英语]]="","",SUMPRODUCT((表成绩单[考试日期]=表成绩单[[#This Row],[考试日期]])*(表成绩单[英语]&lt;9E+307)*(表成绩单[英语]&gt;表成绩单[[#This Row],[英语]]))+1)</f>
        <v>456</v>
      </c>
      <c r="S2859" s="29" cm="1">
        <f t="array" ref="S2859">IF(表成绩单[[#This Row],[物理]]="","",SUMPRODUCT((表成绩单[考试日期]=表成绩单[[#This Row],[考试日期]])*(表成绩单[物理]&lt;9E+307)*(表成绩单[物理]&gt;表成绩单[[#This Row],[物理]]))+1)</f>
        <v>223</v>
      </c>
      <c r="T2859" s="29" cm="1">
        <f t="array" ref="T2859">IF(表成绩单[[#This Row],[化学]]="","",SUMPRODUCT((表成绩单[考试日期]=表成绩单[[#This Row],[考试日期]])*(表成绩单[化学]&lt;9E+307)*(表成绩单[化学]&gt;表成绩单[[#This Row],[化学]]))+1)</f>
        <v>601</v>
      </c>
      <c r="U2859" s="29" cm="1">
        <f t="array" ref="U2859">IF(表成绩单[[#This Row],[政治]]="","",SUMPRODUCT((表成绩单[考试日期]=表成绩单[[#This Row],[考试日期]])*(表成绩单[政治]&lt;9E+307)*(表成绩单[政治]&gt;表成绩单[[#This Row],[政治]]))+1)</f>
        <v>470</v>
      </c>
      <c r="V2859" s="29" cm="1">
        <f t="array" ref="V2859">IF(表成绩单[[#This Row],[历史]]="","",SUMPRODUCT((表成绩单[考试日期]=表成绩单[[#This Row],[考试日期]])*(表成绩单[历史]&lt;9E+307)*(表成绩单[历史]&gt;表成绩单[[#This Row],[历史]]))+1)</f>
        <v>637</v>
      </c>
      <c r="W2859" s="29" cm="1">
        <f t="array" ref="W2859">IF(表成绩单[[#This Row],[总分]]="","",SUMPRODUCT((表成绩单[考试日期]=表成绩单[[#This Row],[考试日期]])*(表成绩单[总分]&lt;9E+307)*(表成绩单[总分]&gt;表成绩单[[#This Row],[总分]]))+1)</f>
        <v>451</v>
      </c>
    </row>
    <row r="2860" ht="28" customHeight="1" spans="4:23">
      <c r="D2860" s="31">
        <v>46108</v>
      </c>
      <c r="E2860" s="29">
        <v>19173794</v>
      </c>
      <c r="F2860" s="29" t="s">
        <v>65</v>
      </c>
      <c r="G2860" s="29" t="s">
        <v>631</v>
      </c>
      <c r="H2860" s="29">
        <v>87</v>
      </c>
      <c r="I2860" s="29">
        <v>88</v>
      </c>
      <c r="J2860" s="29">
        <v>62.5</v>
      </c>
      <c r="K2860" s="29">
        <v>78</v>
      </c>
      <c r="L2860" s="29">
        <v>68</v>
      </c>
      <c r="M2860" s="29">
        <v>82</v>
      </c>
      <c r="N2860" s="29">
        <v>76</v>
      </c>
      <c r="O2860" s="32">
        <v>541.5</v>
      </c>
      <c r="P2860" s="29" cm="1">
        <f t="array" ref="P2860">IF(表成绩单[[#This Row],[语文]]="","",SUMPRODUCT((表成绩单[考试日期]=表成绩单[[#This Row],[考试日期]])*(表成绩单[语文]&lt;9E+307)*(表成绩单[语文]&gt;表成绩单[[#This Row],[语文]]))+1)</f>
        <v>599</v>
      </c>
      <c r="Q2860" s="29" cm="1">
        <f t="array" ref="Q2860">IF(表成绩单[[#This Row],[数学]]="","",SUMPRODUCT((表成绩单[考试日期]=表成绩单[[#This Row],[考试日期]])*(表成绩单[数学]&lt;9E+307)*(表成绩单[数学]&gt;表成绩单[[#This Row],[数学]]))+1)</f>
        <v>424</v>
      </c>
      <c r="R2860" s="29" cm="1">
        <f t="array" ref="R2860">IF(表成绩单[[#This Row],[英语]]="","",SUMPRODUCT((表成绩单[考试日期]=表成绩单[[#This Row],[考试日期]])*(表成绩单[英语]&lt;9E+307)*(表成绩单[英语]&gt;表成绩单[[#This Row],[英语]]))+1)</f>
        <v>633</v>
      </c>
      <c r="S2860" s="29" cm="1">
        <f t="array" ref="S2860">IF(表成绩单[[#This Row],[物理]]="","",SUMPRODUCT((表成绩单[考试日期]=表成绩单[[#This Row],[考试日期]])*(表成绩单[物理]&lt;9E+307)*(表成绩单[物理]&gt;表成绩单[[#This Row],[物理]]))+1)</f>
        <v>365</v>
      </c>
      <c r="T2860" s="29" cm="1">
        <f t="array" ref="T2860">IF(表成绩单[[#This Row],[化学]]="","",SUMPRODUCT((表成绩单[考试日期]=表成绩单[[#This Row],[考试日期]])*(表成绩单[化学]&lt;9E+307)*(表成绩单[化学]&gt;表成绩单[[#This Row],[化学]]))+1)</f>
        <v>306</v>
      </c>
      <c r="U2860" s="29" cm="1">
        <f t="array" ref="U2860">IF(表成绩单[[#This Row],[政治]]="","",SUMPRODUCT((表成绩单[考试日期]=表成绩单[[#This Row],[考试日期]])*(表成绩单[政治]&lt;9E+307)*(表成绩单[政治]&gt;表成绩单[[#This Row],[政治]]))+1)</f>
        <v>45</v>
      </c>
      <c r="V2860" s="29" cm="1">
        <f t="array" ref="V2860">IF(表成绩单[[#This Row],[历史]]="","",SUMPRODUCT((表成绩单[考试日期]=表成绩单[[#This Row],[考试日期]])*(表成绩单[历史]&lt;9E+307)*(表成绩单[历史]&gt;表成绩单[[#This Row],[历史]]))+1)</f>
        <v>316</v>
      </c>
      <c r="W2860" s="29" cm="1">
        <f t="array" ref="W2860">IF(表成绩单[[#This Row],[总分]]="","",SUMPRODUCT((表成绩单[考试日期]=表成绩单[[#This Row],[考试日期]])*(表成绩单[总分]&lt;9E+307)*(表成绩单[总分]&gt;表成绩单[[#This Row],[总分]]))+1)</f>
        <v>451</v>
      </c>
    </row>
    <row r="2861" ht="28" customHeight="1" spans="4:23">
      <c r="D2861" s="31">
        <v>46108</v>
      </c>
      <c r="E2861" s="29">
        <v>19171092</v>
      </c>
      <c r="F2861" s="29" t="s">
        <v>67</v>
      </c>
      <c r="G2861" s="29" t="s">
        <v>341</v>
      </c>
      <c r="H2861" s="29">
        <v>88</v>
      </c>
      <c r="I2861" s="29">
        <v>86</v>
      </c>
      <c r="J2861" s="29">
        <v>79</v>
      </c>
      <c r="K2861" s="29">
        <v>80</v>
      </c>
      <c r="L2861" s="29">
        <v>59</v>
      </c>
      <c r="M2861" s="29">
        <v>73</v>
      </c>
      <c r="N2861" s="29">
        <v>76</v>
      </c>
      <c r="O2861" s="32">
        <v>541</v>
      </c>
      <c r="P2861" s="29" cm="1">
        <f t="array" ref="P2861">IF(表成绩单[[#This Row],[语文]]="","",SUMPRODUCT((表成绩单[考试日期]=表成绩单[[#This Row],[考试日期]])*(表成绩单[语文]&lt;9E+307)*(表成绩单[语文]&gt;表成绩单[[#This Row],[语文]]))+1)</f>
        <v>575</v>
      </c>
      <c r="Q2861" s="29" cm="1">
        <f t="array" ref="Q2861">IF(表成绩单[[#This Row],[数学]]="","",SUMPRODUCT((表成绩单[考试日期]=表成绩单[[#This Row],[考试日期]])*(表成绩单[数学]&lt;9E+307)*(表成绩单[数学]&gt;表成绩单[[#This Row],[数学]]))+1)</f>
        <v>479</v>
      </c>
      <c r="R2861" s="29" cm="1">
        <f t="array" ref="R2861">IF(表成绩单[[#This Row],[英语]]="","",SUMPRODUCT((表成绩单[考试日期]=表成绩单[[#This Row],[考试日期]])*(表成绩单[英语]&lt;9E+307)*(表成绩单[英语]&gt;表成绩单[[#This Row],[英语]]))+1)</f>
        <v>305</v>
      </c>
      <c r="S2861" s="29" cm="1">
        <f t="array" ref="S2861">IF(表成绩单[[#This Row],[物理]]="","",SUMPRODUCT((表成绩单[考试日期]=表成绩单[[#This Row],[考试日期]])*(表成绩单[物理]&lt;9E+307)*(表成绩单[物理]&gt;表成绩单[[#This Row],[物理]]))+1)</f>
        <v>305</v>
      </c>
      <c r="T2861" s="29" cm="1">
        <f t="array" ref="T2861">IF(表成绩单[[#This Row],[化学]]="","",SUMPRODUCT((表成绩单[考试日期]=表成绩单[[#This Row],[考试日期]])*(表成绩单[化学]&lt;9E+307)*(表成绩单[化学]&gt;表成绩单[[#This Row],[化学]]))+1)</f>
        <v>510</v>
      </c>
      <c r="U2861" s="29" cm="1">
        <f t="array" ref="U2861">IF(表成绩单[[#This Row],[政治]]="","",SUMPRODUCT((表成绩单[考试日期]=表成绩单[[#This Row],[考试日期]])*(表成绩单[政治]&lt;9E+307)*(表成绩单[政治]&gt;表成绩单[[#This Row],[政治]]))+1)</f>
        <v>431</v>
      </c>
      <c r="V2861" s="29" cm="1">
        <f t="array" ref="V2861">IF(表成绩单[[#This Row],[历史]]="","",SUMPRODUCT((表成绩单[考试日期]=表成绩单[[#This Row],[考试日期]])*(表成绩单[历史]&lt;9E+307)*(表成绩单[历史]&gt;表成绩单[[#This Row],[历史]]))+1)</f>
        <v>316</v>
      </c>
      <c r="W2861" s="29" cm="1">
        <f t="array" ref="W2861">IF(表成绩单[[#This Row],[总分]]="","",SUMPRODUCT((表成绩单[考试日期]=表成绩单[[#This Row],[考试日期]])*(表成绩单[总分]&lt;9E+307)*(表成绩单[总分]&gt;表成绩单[[#This Row],[总分]]))+1)</f>
        <v>454</v>
      </c>
    </row>
    <row r="2862" ht="28" customHeight="1" spans="4:23">
      <c r="D2862" s="31">
        <v>46108</v>
      </c>
      <c r="E2862" s="29">
        <v>19173241</v>
      </c>
      <c r="F2862" s="29" t="s">
        <v>61</v>
      </c>
      <c r="G2862" s="29" t="s">
        <v>524</v>
      </c>
      <c r="H2862" s="29">
        <v>101</v>
      </c>
      <c r="I2862" s="29">
        <v>95</v>
      </c>
      <c r="J2862" s="29">
        <v>76</v>
      </c>
      <c r="K2862" s="29">
        <v>77</v>
      </c>
      <c r="L2862" s="29">
        <v>46</v>
      </c>
      <c r="M2862" s="29">
        <v>75</v>
      </c>
      <c r="N2862" s="29">
        <v>71</v>
      </c>
      <c r="O2862" s="32">
        <v>541</v>
      </c>
      <c r="P2862" s="29" cm="1">
        <f t="array" ref="P2862">IF(表成绩单[[#This Row],[语文]]="","",SUMPRODUCT((表成绩单[考试日期]=表成绩单[[#This Row],[考试日期]])*(表成绩单[语文]&lt;9E+307)*(表成绩单[语文]&gt;表成绩单[[#This Row],[语文]]))+1)</f>
        <v>211</v>
      </c>
      <c r="Q2862" s="29" cm="1">
        <f t="array" ref="Q2862">IF(表成绩单[[#This Row],[数学]]="","",SUMPRODUCT((表成绩单[考试日期]=表成绩单[[#This Row],[考试日期]])*(表成绩单[数学]&lt;9E+307)*(表成绩单[数学]&gt;表成绩单[[#This Row],[数学]]))+1)</f>
        <v>229</v>
      </c>
      <c r="R2862" s="29" cm="1">
        <f t="array" ref="R2862">IF(表成绩单[[#This Row],[英语]]="","",SUMPRODUCT((表成绩单[考试日期]=表成绩单[[#This Row],[考试日期]])*(表成绩单[英语]&lt;9E+307)*(表成绩单[英语]&gt;表成绩单[[#This Row],[英语]]))+1)</f>
        <v>405</v>
      </c>
      <c r="S2862" s="29" cm="1">
        <f t="array" ref="S2862">IF(表成绩单[[#This Row],[物理]]="","",SUMPRODUCT((表成绩单[考试日期]=表成绩单[[#This Row],[考试日期]])*(表成绩单[物理]&lt;9E+307)*(表成绩单[物理]&gt;表成绩单[[#This Row],[物理]]))+1)</f>
        <v>400</v>
      </c>
      <c r="T2862" s="29" cm="1">
        <f t="array" ref="T2862">IF(表成绩单[[#This Row],[化学]]="","",SUMPRODUCT((表成绩单[考试日期]=表成绩单[[#This Row],[考试日期]])*(表成绩单[化学]&lt;9E+307)*(表成绩单[化学]&gt;表成绩单[[#This Row],[化学]]))+1)</f>
        <v>678</v>
      </c>
      <c r="U2862" s="29" cm="1">
        <f t="array" ref="U2862">IF(表成绩单[[#This Row],[政治]]="","",SUMPRODUCT((表成绩单[考试日期]=表成绩单[[#This Row],[考试日期]])*(表成绩单[政治]&lt;9E+307)*(表成绩单[政治]&gt;表成绩单[[#This Row],[政治]]))+1)</f>
        <v>346</v>
      </c>
      <c r="V2862" s="29" cm="1">
        <f t="array" ref="V2862">IF(表成绩单[[#This Row],[历史]]="","",SUMPRODUCT((表成绩单[考试日期]=表成绩单[[#This Row],[考试日期]])*(表成绩单[历史]&lt;9E+307)*(表成绩单[历史]&gt;表成绩单[[#This Row],[历史]]))+1)</f>
        <v>516</v>
      </c>
      <c r="W2862" s="29" cm="1">
        <f t="array" ref="W2862">IF(表成绩单[[#This Row],[总分]]="","",SUMPRODUCT((表成绩单[考试日期]=表成绩单[[#This Row],[考试日期]])*(表成绩单[总分]&lt;9E+307)*(表成绩单[总分]&gt;表成绩单[[#This Row],[总分]]))+1)</f>
        <v>454</v>
      </c>
    </row>
    <row r="2863" ht="28" customHeight="1" spans="4:23">
      <c r="D2863" s="31">
        <v>46108</v>
      </c>
      <c r="E2863" s="29">
        <v>19173248</v>
      </c>
      <c r="F2863" s="29" t="s">
        <v>61</v>
      </c>
      <c r="G2863" s="29" t="s">
        <v>492</v>
      </c>
      <c r="H2863" s="29">
        <v>89</v>
      </c>
      <c r="I2863" s="29">
        <v>92</v>
      </c>
      <c r="J2863" s="29">
        <v>66</v>
      </c>
      <c r="K2863" s="29">
        <v>82</v>
      </c>
      <c r="L2863" s="29">
        <v>68</v>
      </c>
      <c r="M2863" s="29">
        <v>72</v>
      </c>
      <c r="N2863" s="29">
        <v>72</v>
      </c>
      <c r="O2863" s="32">
        <v>541</v>
      </c>
      <c r="P2863" s="29" cm="1">
        <f t="array" ref="P2863">IF(表成绩单[[#This Row],[语文]]="","",SUMPRODUCT((表成绩单[考试日期]=表成绩单[[#This Row],[考试日期]])*(表成绩单[语文]&lt;9E+307)*(表成绩单[语文]&gt;表成绩单[[#This Row],[语文]]))+1)</f>
        <v>559</v>
      </c>
      <c r="Q2863" s="29" cm="1">
        <f t="array" ref="Q2863">IF(表成绩单[[#This Row],[数学]]="","",SUMPRODUCT((表成绩单[考试日期]=表成绩单[[#This Row],[考试日期]])*(表成绩单[数学]&lt;9E+307)*(表成绩单[数学]&gt;表成绩单[[#This Row],[数学]]))+1)</f>
        <v>312</v>
      </c>
      <c r="R2863" s="29" cm="1">
        <f t="array" ref="R2863">IF(表成绩单[[#This Row],[英语]]="","",SUMPRODUCT((表成绩单[考试日期]=表成绩单[[#This Row],[考试日期]])*(表成绩单[英语]&lt;9E+307)*(表成绩单[英语]&gt;表成绩单[[#This Row],[英语]]))+1)</f>
        <v>593</v>
      </c>
      <c r="S2863" s="29" cm="1">
        <f t="array" ref="S2863">IF(表成绩单[[#This Row],[物理]]="","",SUMPRODUCT((表成绩单[考试日期]=表成绩单[[#This Row],[考试日期]])*(表成绩单[物理]&lt;9E+307)*(表成绩单[物理]&gt;表成绩单[[#This Row],[物理]]))+1)</f>
        <v>223</v>
      </c>
      <c r="T2863" s="29" cm="1">
        <f t="array" ref="T2863">IF(表成绩单[[#This Row],[化学]]="","",SUMPRODUCT((表成绩单[考试日期]=表成绩单[[#This Row],[考试日期]])*(表成绩单[化学]&lt;9E+307)*(表成绩单[化学]&gt;表成绩单[[#This Row],[化学]]))+1)</f>
        <v>306</v>
      </c>
      <c r="U2863" s="29" cm="1">
        <f t="array" ref="U2863">IF(表成绩单[[#This Row],[政治]]="","",SUMPRODUCT((表成绩单[考试日期]=表成绩单[[#This Row],[考试日期]])*(表成绩单[政治]&lt;9E+307)*(表成绩单[政治]&gt;表成绩单[[#This Row],[政治]]))+1)</f>
        <v>470</v>
      </c>
      <c r="V2863" s="29" cm="1">
        <f t="array" ref="V2863">IF(表成绩单[[#This Row],[历史]]="","",SUMPRODUCT((表成绩单[考试日期]=表成绩单[[#This Row],[考试日期]])*(表成绩单[历史]&lt;9E+307)*(表成绩单[历史]&gt;表成绩单[[#This Row],[历史]]))+1)</f>
        <v>470</v>
      </c>
      <c r="W2863" s="29" cm="1">
        <f t="array" ref="W2863">IF(表成绩单[[#This Row],[总分]]="","",SUMPRODUCT((表成绩单[考试日期]=表成绩单[[#This Row],[考试日期]])*(表成绩单[总分]&lt;9E+307)*(表成绩单[总分]&gt;表成绩单[[#This Row],[总分]]))+1)</f>
        <v>454</v>
      </c>
    </row>
    <row r="2864" ht="28" customHeight="1" spans="4:23">
      <c r="D2864" s="31">
        <v>46108</v>
      </c>
      <c r="E2864" s="29">
        <v>19178613</v>
      </c>
      <c r="F2864" s="29" t="s">
        <v>25</v>
      </c>
      <c r="G2864" s="29" t="s">
        <v>570</v>
      </c>
      <c r="H2864" s="29">
        <v>86</v>
      </c>
      <c r="I2864" s="29">
        <v>84</v>
      </c>
      <c r="J2864" s="29">
        <v>72.5</v>
      </c>
      <c r="K2864" s="29">
        <v>81</v>
      </c>
      <c r="L2864" s="29">
        <v>73</v>
      </c>
      <c r="M2864" s="29">
        <v>68</v>
      </c>
      <c r="N2864" s="29">
        <v>76</v>
      </c>
      <c r="O2864" s="32">
        <v>540.5</v>
      </c>
      <c r="P2864" s="29" cm="1">
        <f t="array" ref="P2864">IF(表成绩单[[#This Row],[语文]]="","",SUMPRODUCT((表成绩单[考试日期]=表成绩单[[#This Row],[考试日期]])*(表成绩单[语文]&lt;9E+307)*(表成绩单[语文]&gt;表成绩单[[#This Row],[语文]]))+1)</f>
        <v>610</v>
      </c>
      <c r="Q2864" s="29" cm="1">
        <f t="array" ref="Q2864">IF(表成绩单[[#This Row],[数学]]="","",SUMPRODUCT((表成绩单[考试日期]=表成绩单[[#This Row],[考试日期]])*(表成绩单[数学]&lt;9E+307)*(表成绩单[数学]&gt;表成绩单[[#This Row],[数学]]))+1)</f>
        <v>518</v>
      </c>
      <c r="R2864" s="29" cm="1">
        <f t="array" ref="R2864">IF(表成绩单[[#This Row],[英语]]="","",SUMPRODUCT((表成绩单[考试日期]=表成绩单[[#This Row],[考试日期]])*(表成绩单[英语]&lt;9E+307)*(表成绩单[英语]&gt;表成绩单[[#This Row],[英语]]))+1)</f>
        <v>491</v>
      </c>
      <c r="S2864" s="29" cm="1">
        <f t="array" ref="S2864">IF(表成绩单[[#This Row],[物理]]="","",SUMPRODUCT((表成绩单[考试日期]=表成绩单[[#This Row],[考试日期]])*(表成绩单[物理]&lt;9E+307)*(表成绩单[物理]&gt;表成绩单[[#This Row],[物理]]))+1)</f>
        <v>269</v>
      </c>
      <c r="T2864" s="29" cm="1">
        <f t="array" ref="T2864">IF(表成绩单[[#This Row],[化学]]="","",SUMPRODUCT((表成绩单[考试日期]=表成绩单[[#This Row],[考试日期]])*(表成绩单[化学]&lt;9E+307)*(表成绩单[化学]&gt;表成绩单[[#This Row],[化学]]))+1)</f>
        <v>152</v>
      </c>
      <c r="U2864" s="29" cm="1">
        <f t="array" ref="U2864">IF(表成绩单[[#This Row],[政治]]="","",SUMPRODUCT((表成绩单[考试日期]=表成绩单[[#This Row],[考试日期]])*(表成绩单[政治]&lt;9E+307)*(表成绩单[政治]&gt;表成绩单[[#This Row],[政治]]))+1)</f>
        <v>596</v>
      </c>
      <c r="V2864" s="29" cm="1">
        <f t="array" ref="V2864">IF(表成绩单[[#This Row],[历史]]="","",SUMPRODUCT((表成绩单[考试日期]=表成绩单[[#This Row],[考试日期]])*(表成绩单[历史]&lt;9E+307)*(表成绩单[历史]&gt;表成绩单[[#This Row],[历史]]))+1)</f>
        <v>316</v>
      </c>
      <c r="W2864" s="29" cm="1">
        <f t="array" ref="W2864">IF(表成绩单[[#This Row],[总分]]="","",SUMPRODUCT((表成绩单[考试日期]=表成绩单[[#This Row],[考试日期]])*(表成绩单[总分]&lt;9E+307)*(表成绩单[总分]&gt;表成绩单[[#This Row],[总分]]))+1)</f>
        <v>457</v>
      </c>
    </row>
    <row r="2865" ht="28" customHeight="1" spans="4:23">
      <c r="D2865" s="31">
        <v>46108</v>
      </c>
      <c r="E2865" s="29">
        <v>19178652</v>
      </c>
      <c r="F2865" s="29" t="s">
        <v>25</v>
      </c>
      <c r="G2865" s="29" t="s">
        <v>643</v>
      </c>
      <c r="H2865" s="29">
        <v>96</v>
      </c>
      <c r="I2865" s="29">
        <v>91</v>
      </c>
      <c r="J2865" s="29">
        <v>63.5</v>
      </c>
      <c r="K2865" s="29">
        <v>82</v>
      </c>
      <c r="L2865" s="29">
        <v>76</v>
      </c>
      <c r="M2865" s="29">
        <v>68</v>
      </c>
      <c r="N2865" s="29">
        <v>64</v>
      </c>
      <c r="O2865" s="32">
        <v>540.5</v>
      </c>
      <c r="P2865" s="29" cm="1">
        <f t="array" ref="P2865">IF(表成绩单[[#This Row],[语文]]="","",SUMPRODUCT((表成绩单[考试日期]=表成绩单[[#This Row],[考试日期]])*(表成绩单[语文]&lt;9E+307)*(表成绩单[语文]&gt;表成绩单[[#This Row],[语文]]))+1)</f>
        <v>390</v>
      </c>
      <c r="Q2865" s="29" cm="1">
        <f t="array" ref="Q2865">IF(表成绩单[[#This Row],[数学]]="","",SUMPRODUCT((表成绩单[考试日期]=表成绩单[[#This Row],[考试日期]])*(表成绩单[数学]&lt;9E+307)*(表成绩单[数学]&gt;表成绩单[[#This Row],[数学]]))+1)</f>
        <v>341</v>
      </c>
      <c r="R2865" s="29" cm="1">
        <f t="array" ref="R2865">IF(表成绩单[[#This Row],[英语]]="","",SUMPRODUCT((表成绩单[考试日期]=表成绩单[[#This Row],[考试日期]])*(表成绩单[英语]&lt;9E+307)*(表成绩单[英语]&gt;表成绩单[[#This Row],[英语]]))+1)</f>
        <v>624</v>
      </c>
      <c r="S2865" s="29" cm="1">
        <f t="array" ref="S2865">IF(表成绩单[[#This Row],[物理]]="","",SUMPRODUCT((表成绩单[考试日期]=表成绩单[[#This Row],[考试日期]])*(表成绩单[物理]&lt;9E+307)*(表成绩单[物理]&gt;表成绩单[[#This Row],[物理]]))+1)</f>
        <v>223</v>
      </c>
      <c r="T2865" s="29" cm="1">
        <f t="array" ref="T2865">IF(表成绩单[[#This Row],[化学]]="","",SUMPRODUCT((表成绩单[考试日期]=表成绩单[[#This Row],[考试日期]])*(表成绩单[化学]&lt;9E+307)*(表成绩单[化学]&gt;表成绩单[[#This Row],[化学]]))+1)</f>
        <v>71</v>
      </c>
      <c r="U2865" s="29" cm="1">
        <f t="array" ref="U2865">IF(表成绩单[[#This Row],[政治]]="","",SUMPRODUCT((表成绩单[考试日期]=表成绩单[[#This Row],[考试日期]])*(表成绩单[政治]&lt;9E+307)*(表成绩单[政治]&gt;表成绩单[[#This Row],[政治]]))+1)</f>
        <v>596</v>
      </c>
      <c r="V2865" s="29" cm="1">
        <f t="array" ref="V2865">IF(表成绩单[[#This Row],[历史]]="","",SUMPRODUCT((表成绩单[考试日期]=表成绩单[[#This Row],[考试日期]])*(表成绩单[历史]&lt;9E+307)*(表成绩单[历史]&gt;表成绩单[[#This Row],[历史]]))+1)</f>
        <v>666</v>
      </c>
      <c r="W2865" s="29" cm="1">
        <f t="array" ref="W2865">IF(表成绩单[[#This Row],[总分]]="","",SUMPRODUCT((表成绩单[考试日期]=表成绩单[[#This Row],[考试日期]])*(表成绩单[总分]&lt;9E+307)*(表成绩单[总分]&gt;表成绩单[[#This Row],[总分]]))+1)</f>
        <v>457</v>
      </c>
    </row>
    <row r="2866" ht="28" customHeight="1" spans="4:23">
      <c r="D2866" s="31">
        <v>46108</v>
      </c>
      <c r="E2866" s="29">
        <v>19172646</v>
      </c>
      <c r="F2866" s="29" t="s">
        <v>60</v>
      </c>
      <c r="G2866" s="29" t="s">
        <v>599</v>
      </c>
      <c r="H2866" s="29">
        <v>94</v>
      </c>
      <c r="I2866" s="29">
        <v>78</v>
      </c>
      <c r="J2866" s="29">
        <v>81</v>
      </c>
      <c r="K2866" s="29">
        <v>73</v>
      </c>
      <c r="L2866" s="29">
        <v>61</v>
      </c>
      <c r="M2866" s="29">
        <v>74</v>
      </c>
      <c r="N2866" s="29">
        <v>79</v>
      </c>
      <c r="O2866" s="32">
        <v>540</v>
      </c>
      <c r="P2866" s="29" cm="1">
        <f t="array" ref="P2866">IF(表成绩单[[#This Row],[语文]]="","",SUMPRODUCT((表成绩单[考试日期]=表成绩单[[#This Row],[考试日期]])*(表成绩单[语文]&lt;9E+307)*(表成绩单[语文]&gt;表成绩单[[#This Row],[语文]]))+1)</f>
        <v>449</v>
      </c>
      <c r="Q2866" s="29" cm="1">
        <f t="array" ref="Q2866">IF(表成绩单[[#This Row],[数学]]="","",SUMPRODUCT((表成绩单[考试日期]=表成绩单[[#This Row],[考试日期]])*(表成绩单[数学]&lt;9E+307)*(表成绩单[数学]&gt;表成绩单[[#This Row],[数学]]))+1)</f>
        <v>604</v>
      </c>
      <c r="R2866" s="29" cm="1">
        <f t="array" ref="R2866">IF(表成绩单[[#This Row],[英语]]="","",SUMPRODUCT((表成绩单[考试日期]=表成绩单[[#This Row],[考试日期]])*(表成绩单[英语]&lt;9E+307)*(表成绩单[英语]&gt;表成绩单[[#This Row],[英语]]))+1)</f>
        <v>227</v>
      </c>
      <c r="S2866" s="29" cm="1">
        <f t="array" ref="S2866">IF(表成绩单[[#This Row],[物理]]="","",SUMPRODUCT((表成绩单[考试日期]=表成绩单[[#This Row],[考试日期]])*(表成绩单[物理]&lt;9E+307)*(表成绩单[物理]&gt;表成绩单[[#This Row],[物理]]))+1)</f>
        <v>500</v>
      </c>
      <c r="T2866" s="29" cm="1">
        <f t="array" ref="T2866">IF(表成绩单[[#This Row],[化学]]="","",SUMPRODUCT((表成绩单[考试日期]=表成绩单[[#This Row],[考试日期]])*(表成绩单[化学]&lt;9E+307)*(表成绩单[化学]&gt;表成绩单[[#This Row],[化学]]))+1)</f>
        <v>467</v>
      </c>
      <c r="U2866" s="29" cm="1">
        <f t="array" ref="U2866">IF(表成绩单[[#This Row],[政治]]="","",SUMPRODUCT((表成绩单[考试日期]=表成绩单[[#This Row],[考试日期]])*(表成绩单[政治]&lt;9E+307)*(表成绩单[政治]&gt;表成绩单[[#This Row],[政治]]))+1)</f>
        <v>389</v>
      </c>
      <c r="V2866" s="29" cm="1">
        <f t="array" ref="V2866">IF(表成绩单[[#This Row],[历史]]="","",SUMPRODUCT((表成绩单[考试日期]=表成绩单[[#This Row],[考试日期]])*(表成绩单[历史]&lt;9E+307)*(表成绩单[历史]&gt;表成绩单[[#This Row],[历史]]))+1)</f>
        <v>173</v>
      </c>
      <c r="W2866" s="29" cm="1">
        <f t="array" ref="W2866">IF(表成绩单[[#This Row],[总分]]="","",SUMPRODUCT((表成绩单[考试日期]=表成绩单[[#This Row],[考试日期]])*(表成绩单[总分]&lt;9E+307)*(表成绩单[总分]&gt;表成绩单[[#This Row],[总分]]))+1)</f>
        <v>459</v>
      </c>
    </row>
    <row r="2867" ht="28" customHeight="1" spans="4:23">
      <c r="D2867" s="31">
        <v>46108</v>
      </c>
      <c r="E2867" s="29">
        <v>19175625</v>
      </c>
      <c r="F2867" s="29" t="s">
        <v>57</v>
      </c>
      <c r="G2867" s="29" t="s">
        <v>563</v>
      </c>
      <c r="H2867" s="29">
        <v>92</v>
      </c>
      <c r="I2867" s="29">
        <v>76</v>
      </c>
      <c r="J2867" s="29">
        <v>75</v>
      </c>
      <c r="K2867" s="29">
        <v>67</v>
      </c>
      <c r="L2867" s="29">
        <v>75</v>
      </c>
      <c r="M2867" s="29">
        <v>77</v>
      </c>
      <c r="N2867" s="29">
        <v>78</v>
      </c>
      <c r="O2867" s="32">
        <v>540</v>
      </c>
      <c r="P2867" s="29" cm="1">
        <f t="array" ref="P2867">IF(表成绩单[[#This Row],[语文]]="","",SUMPRODUCT((表成绩单[考试日期]=表成绩单[[#This Row],[考试日期]])*(表成绩单[语文]&lt;9E+307)*(表成绩单[语文]&gt;表成绩单[[#This Row],[语文]]))+1)</f>
        <v>494</v>
      </c>
      <c r="Q2867" s="29" cm="1">
        <f t="array" ref="Q2867">IF(表成绩单[[#This Row],[数学]]="","",SUMPRODUCT((表成绩单[考试日期]=表成绩单[[#This Row],[考试日期]])*(表成绩单[数学]&lt;9E+307)*(表成绩单[数学]&gt;表成绩单[[#This Row],[数学]]))+1)</f>
        <v>625</v>
      </c>
      <c r="R2867" s="29" cm="1">
        <f t="array" ref="R2867">IF(表成绩单[[#This Row],[英语]]="","",SUMPRODUCT((表成绩单[考试日期]=表成绩单[[#This Row],[考试日期]])*(表成绩单[英语]&lt;9E+307)*(表成绩单[英语]&gt;表成绩单[[#This Row],[英语]]))+1)</f>
        <v>444</v>
      </c>
      <c r="S2867" s="29" cm="1">
        <f t="array" ref="S2867">IF(表成绩单[[#This Row],[物理]]="","",SUMPRODUCT((表成绩单[考试日期]=表成绩单[[#This Row],[考试日期]])*(表成绩单[物理]&lt;9E+307)*(表成绩单[物理]&gt;表成绩单[[#This Row],[物理]]))+1)</f>
        <v>593</v>
      </c>
      <c r="T2867" s="29" cm="1">
        <f t="array" ref="T2867">IF(表成绩单[[#This Row],[化学]]="","",SUMPRODUCT((表成绩单[考试日期]=表成绩单[[#This Row],[考试日期]])*(表成绩单[化学]&lt;9E+307)*(表成绩单[化学]&gt;表成绩单[[#This Row],[化学]]))+1)</f>
        <v>96</v>
      </c>
      <c r="U2867" s="29" cm="1">
        <f t="array" ref="U2867">IF(表成绩单[[#This Row],[政治]]="","",SUMPRODUCT((表成绩单[考试日期]=表成绩单[[#This Row],[考试日期]])*(表成绩单[政治]&lt;9E+307)*(表成绩单[政治]&gt;表成绩单[[#This Row],[政治]]))+1)</f>
        <v>230</v>
      </c>
      <c r="V2867" s="29" cm="1">
        <f t="array" ref="V2867">IF(表成绩单[[#This Row],[历史]]="","",SUMPRODUCT((表成绩单[考试日期]=表成绩单[[#This Row],[考试日期]])*(表成绩单[历史]&lt;9E+307)*(表成绩单[历史]&gt;表成绩单[[#This Row],[历史]]))+1)</f>
        <v>222</v>
      </c>
      <c r="W2867" s="29" cm="1">
        <f t="array" ref="W2867">IF(表成绩单[[#This Row],[总分]]="","",SUMPRODUCT((表成绩单[考试日期]=表成绩单[[#This Row],[考试日期]])*(表成绩单[总分]&lt;9E+307)*(表成绩单[总分]&gt;表成绩单[[#This Row],[总分]]))+1)</f>
        <v>459</v>
      </c>
    </row>
    <row r="2868" ht="28" customHeight="1" spans="4:23">
      <c r="D2868" s="31">
        <v>46108</v>
      </c>
      <c r="E2868" s="29">
        <v>19173255</v>
      </c>
      <c r="F2868" s="29" t="s">
        <v>61</v>
      </c>
      <c r="G2868" s="29" t="s">
        <v>531</v>
      </c>
      <c r="H2868" s="29">
        <v>101</v>
      </c>
      <c r="I2868" s="29">
        <v>84</v>
      </c>
      <c r="J2868" s="29">
        <v>75.5</v>
      </c>
      <c r="K2868" s="29">
        <v>80</v>
      </c>
      <c r="L2868" s="29">
        <v>57</v>
      </c>
      <c r="M2868" s="29">
        <v>73</v>
      </c>
      <c r="N2868" s="29">
        <v>69</v>
      </c>
      <c r="O2868" s="32">
        <v>539.5</v>
      </c>
      <c r="P2868" s="29" cm="1">
        <f t="array" ref="P2868">IF(表成绩单[[#This Row],[语文]]="","",SUMPRODUCT((表成绩单[考试日期]=表成绩单[[#This Row],[考试日期]])*(表成绩单[语文]&lt;9E+307)*(表成绩单[语文]&gt;表成绩单[[#This Row],[语文]]))+1)</f>
        <v>211</v>
      </c>
      <c r="Q2868" s="29" cm="1">
        <f t="array" ref="Q2868">IF(表成绩单[[#This Row],[数学]]="","",SUMPRODUCT((表成绩单[考试日期]=表成绩单[[#This Row],[考试日期]])*(表成绩单[数学]&lt;9E+307)*(表成绩单[数学]&gt;表成绩单[[#This Row],[数学]]))+1)</f>
        <v>518</v>
      </c>
      <c r="R2868" s="29" cm="1">
        <f t="array" ref="R2868">IF(表成绩单[[#This Row],[英语]]="","",SUMPRODUCT((表成绩单[考试日期]=表成绩单[[#This Row],[考试日期]])*(表成绩单[英语]&lt;9E+307)*(表成绩单[英语]&gt;表成绩单[[#This Row],[英语]]))+1)</f>
        <v>421</v>
      </c>
      <c r="S2868" s="29" cm="1">
        <f t="array" ref="S2868">IF(表成绩单[[#This Row],[物理]]="","",SUMPRODUCT((表成绩单[考试日期]=表成绩单[[#This Row],[考试日期]])*(表成绩单[物理]&lt;9E+307)*(表成绩单[物理]&gt;表成绩单[[#This Row],[物理]]))+1)</f>
        <v>305</v>
      </c>
      <c r="T2868" s="29" cm="1">
        <f t="array" ref="T2868">IF(表成绩单[[#This Row],[化学]]="","",SUMPRODUCT((表成绩单[考试日期]=表成绩单[[#This Row],[考试日期]])*(表成绩单[化学]&lt;9E+307)*(表成绩单[化学]&gt;表成绩单[[#This Row],[化学]]))+1)</f>
        <v>552</v>
      </c>
      <c r="U2868" s="29" cm="1">
        <f t="array" ref="U2868">IF(表成绩单[[#This Row],[政治]]="","",SUMPRODUCT((表成绩单[考试日期]=表成绩单[[#This Row],[考试日期]])*(表成绩单[政治]&lt;9E+307)*(表成绩单[政治]&gt;表成绩单[[#This Row],[政治]]))+1)</f>
        <v>431</v>
      </c>
      <c r="V2868" s="29" cm="1">
        <f t="array" ref="V2868">IF(表成绩单[[#This Row],[历史]]="","",SUMPRODUCT((表成绩单[考试日期]=表成绩单[[#This Row],[考试日期]])*(表成绩单[历史]&lt;9E+307)*(表成绩单[历史]&gt;表成绩单[[#This Row],[历史]]))+1)</f>
        <v>569</v>
      </c>
      <c r="W2868" s="29" cm="1">
        <f t="array" ref="W2868">IF(表成绩单[[#This Row],[总分]]="","",SUMPRODUCT((表成绩单[考试日期]=表成绩单[[#This Row],[考试日期]])*(表成绩单[总分]&lt;9E+307)*(表成绩单[总分]&gt;表成绩单[[#This Row],[总分]]))+1)</f>
        <v>461</v>
      </c>
    </row>
    <row r="2869" ht="28" customHeight="1" spans="4:23">
      <c r="D2869" s="31">
        <v>46108</v>
      </c>
      <c r="E2869" s="29">
        <v>19174800</v>
      </c>
      <c r="F2869" s="29" t="s">
        <v>69</v>
      </c>
      <c r="G2869" s="29" t="s">
        <v>494</v>
      </c>
      <c r="H2869" s="29">
        <v>99</v>
      </c>
      <c r="I2869" s="29">
        <v>82</v>
      </c>
      <c r="J2869" s="29">
        <v>66.5</v>
      </c>
      <c r="K2869" s="29">
        <v>74</v>
      </c>
      <c r="L2869" s="29">
        <v>63</v>
      </c>
      <c r="M2869" s="29">
        <v>72</v>
      </c>
      <c r="N2869" s="29">
        <v>83</v>
      </c>
      <c r="O2869" s="32">
        <v>539.5</v>
      </c>
      <c r="P2869" s="29" cm="1">
        <f t="array" ref="P2869">IF(表成绩单[[#This Row],[语文]]="","",SUMPRODUCT((表成绩单[考试日期]=表成绩单[[#This Row],[考试日期]])*(表成绩单[语文]&lt;9E+307)*(表成绩单[语文]&gt;表成绩单[[#This Row],[语文]]))+1)</f>
        <v>279</v>
      </c>
      <c r="Q2869" s="29" cm="1">
        <f t="array" ref="Q2869">IF(表成绩单[[#This Row],[数学]]="","",SUMPRODUCT((表成绩单[考试日期]=表成绩单[[#This Row],[考试日期]])*(表成绩单[数学]&lt;9E+307)*(表成绩单[数学]&gt;表成绩单[[#This Row],[数学]]))+1)</f>
        <v>555</v>
      </c>
      <c r="R2869" s="29" cm="1">
        <f t="array" ref="R2869">IF(表成绩单[[#This Row],[英语]]="","",SUMPRODUCT((表成绩单[考试日期]=表成绩单[[#This Row],[考试日期]])*(表成绩单[英语]&lt;9E+307)*(表成绩单[英语]&gt;表成绩单[[#This Row],[英语]]))+1)</f>
        <v>584</v>
      </c>
      <c r="S2869" s="29" cm="1">
        <f t="array" ref="S2869">IF(表成绩单[[#This Row],[物理]]="","",SUMPRODUCT((表成绩单[考试日期]=表成绩单[[#This Row],[考试日期]])*(表成绩单[物理]&lt;9E+307)*(表成绩单[物理]&gt;表成绩单[[#This Row],[物理]]))+1)</f>
        <v>472</v>
      </c>
      <c r="T2869" s="29" cm="1">
        <f t="array" ref="T2869">IF(表成绩单[[#This Row],[化学]]="","",SUMPRODUCT((表成绩单[考试日期]=表成绩单[[#This Row],[考试日期]])*(表成绩单[化学]&lt;9E+307)*(表成绩单[化学]&gt;表成绩单[[#This Row],[化学]]))+1)</f>
        <v>426</v>
      </c>
      <c r="U2869" s="29" cm="1">
        <f t="array" ref="U2869">IF(表成绩单[[#This Row],[政治]]="","",SUMPRODUCT((表成绩单[考试日期]=表成绩单[[#This Row],[考试日期]])*(表成绩单[政治]&lt;9E+307)*(表成绩单[政治]&gt;表成绩单[[#This Row],[政治]]))+1)</f>
        <v>470</v>
      </c>
      <c r="V2869" s="29" cm="1">
        <f t="array" ref="V2869">IF(表成绩单[[#This Row],[历史]]="","",SUMPRODUCT((表成绩单[考试日期]=表成绩单[[#This Row],[考试日期]])*(表成绩单[历史]&lt;9E+307)*(表成绩单[历史]&gt;表成绩单[[#This Row],[历史]]))+1)</f>
        <v>60</v>
      </c>
      <c r="W2869" s="29" cm="1">
        <f t="array" ref="W2869">IF(表成绩单[[#This Row],[总分]]="","",SUMPRODUCT((表成绩单[考试日期]=表成绩单[[#This Row],[考试日期]])*(表成绩单[总分]&lt;9E+307)*(表成绩单[总分]&gt;表成绩单[[#This Row],[总分]]))+1)</f>
        <v>461</v>
      </c>
    </row>
    <row r="2870" ht="28" customHeight="1" spans="4:23">
      <c r="D2870" s="31">
        <v>46108</v>
      </c>
      <c r="E2870" s="29">
        <v>19175614</v>
      </c>
      <c r="F2870" s="29" t="s">
        <v>57</v>
      </c>
      <c r="G2870" s="29" t="s">
        <v>559</v>
      </c>
      <c r="H2870" s="29">
        <v>105</v>
      </c>
      <c r="I2870" s="29">
        <v>86</v>
      </c>
      <c r="J2870" s="29">
        <v>79.5</v>
      </c>
      <c r="K2870" s="29">
        <v>72</v>
      </c>
      <c r="L2870" s="29">
        <v>57</v>
      </c>
      <c r="M2870" s="29">
        <v>76</v>
      </c>
      <c r="N2870" s="29">
        <v>64</v>
      </c>
      <c r="O2870" s="32">
        <v>539.5</v>
      </c>
      <c r="P2870" s="29" cm="1">
        <f t="array" ref="P2870">IF(表成绩单[[#This Row],[语文]]="","",SUMPRODUCT((表成绩单[考试日期]=表成绩单[[#This Row],[考试日期]])*(表成绩单[语文]&lt;9E+307)*(表成绩单[语文]&gt;表成绩单[[#This Row],[语文]]))+1)</f>
        <v>101</v>
      </c>
      <c r="Q2870" s="29" cm="1">
        <f t="array" ref="Q2870">IF(表成绩单[[#This Row],[数学]]="","",SUMPRODUCT((表成绩单[考试日期]=表成绩单[[#This Row],[考试日期]])*(表成绩单[数学]&lt;9E+307)*(表成绩单[数学]&gt;表成绩单[[#This Row],[数学]]))+1)</f>
        <v>479</v>
      </c>
      <c r="R2870" s="29" cm="1">
        <f t="array" ref="R2870">IF(表成绩单[[#This Row],[英语]]="","",SUMPRODUCT((表成绩单[考试日期]=表成绩单[[#This Row],[考试日期]])*(表成绩单[英语]&lt;9E+307)*(表成绩单[英语]&gt;表成绩单[[#This Row],[英语]]))+1)</f>
        <v>286</v>
      </c>
      <c r="S2870" s="29" cm="1">
        <f t="array" ref="S2870">IF(表成绩单[[#This Row],[物理]]="","",SUMPRODUCT((表成绩单[考试日期]=表成绩单[[#This Row],[考试日期]])*(表成绩单[物理]&lt;9E+307)*(表成绩单[物理]&gt;表成绩单[[#This Row],[物理]]))+1)</f>
        <v>521</v>
      </c>
      <c r="T2870" s="29" cm="1">
        <f t="array" ref="T2870">IF(表成绩单[[#This Row],[化学]]="","",SUMPRODUCT((表成绩单[考试日期]=表成绩单[[#This Row],[考试日期]])*(表成绩单[化学]&lt;9E+307)*(表成绩单[化学]&gt;表成绩单[[#This Row],[化学]]))+1)</f>
        <v>552</v>
      </c>
      <c r="U2870" s="29" cm="1">
        <f t="array" ref="U2870">IF(表成绩单[[#This Row],[政治]]="","",SUMPRODUCT((表成绩单[考试日期]=表成绩单[[#This Row],[考试日期]])*(表成绩单[政治]&lt;9E+307)*(表成绩单[政治]&gt;表成绩单[[#This Row],[政治]]))+1)</f>
        <v>291</v>
      </c>
      <c r="V2870" s="29" cm="1">
        <f t="array" ref="V2870">IF(表成绩单[[#This Row],[历史]]="","",SUMPRODUCT((表成绩单[考试日期]=表成绩单[[#This Row],[考试日期]])*(表成绩单[历史]&lt;9E+307)*(表成绩单[历史]&gt;表成绩单[[#This Row],[历史]]))+1)</f>
        <v>666</v>
      </c>
      <c r="W2870" s="29" cm="1">
        <f t="array" ref="W2870">IF(表成绩单[[#This Row],[总分]]="","",SUMPRODUCT((表成绩单[考试日期]=表成绩单[[#This Row],[考试日期]])*(表成绩单[总分]&lt;9E+307)*(表成绩单[总分]&gt;表成绩单[[#This Row],[总分]]))+1)</f>
        <v>461</v>
      </c>
    </row>
    <row r="2871" ht="28" customHeight="1" spans="4:23">
      <c r="D2871" s="31">
        <v>46108</v>
      </c>
      <c r="E2871" s="29">
        <v>19172640</v>
      </c>
      <c r="F2871" s="29" t="s">
        <v>60</v>
      </c>
      <c r="G2871" s="29" t="s">
        <v>491</v>
      </c>
      <c r="H2871" s="29">
        <v>99</v>
      </c>
      <c r="I2871" s="29">
        <v>78</v>
      </c>
      <c r="J2871" s="29">
        <v>82</v>
      </c>
      <c r="K2871" s="29">
        <v>63</v>
      </c>
      <c r="L2871" s="29">
        <v>71</v>
      </c>
      <c r="M2871" s="29">
        <v>75</v>
      </c>
      <c r="N2871" s="29">
        <v>71</v>
      </c>
      <c r="O2871" s="32">
        <v>539</v>
      </c>
      <c r="P2871" s="29" cm="1">
        <f t="array" ref="P2871">IF(表成绩单[[#This Row],[语文]]="","",SUMPRODUCT((表成绩单[考试日期]=表成绩单[[#This Row],[考试日期]])*(表成绩单[语文]&lt;9E+307)*(表成绩单[语文]&gt;表成绩单[[#This Row],[语文]]))+1)</f>
        <v>279</v>
      </c>
      <c r="Q2871" s="29" cm="1">
        <f t="array" ref="Q2871">IF(表成绩单[[#This Row],[数学]]="","",SUMPRODUCT((表成绩单[考试日期]=表成绩单[[#This Row],[考试日期]])*(表成绩单[数学]&lt;9E+307)*(表成绩单[数学]&gt;表成绩单[[#This Row],[数学]]))+1)</f>
        <v>604</v>
      </c>
      <c r="R2871" s="29" cm="1">
        <f t="array" ref="R2871">IF(表成绩单[[#This Row],[英语]]="","",SUMPRODUCT((表成绩单[考试日期]=表成绩单[[#This Row],[考试日期]])*(表成绩单[英语]&lt;9E+307)*(表成绩单[英语]&gt;表成绩单[[#This Row],[英语]]))+1)</f>
        <v>180</v>
      </c>
      <c r="S2871" s="29" cm="1">
        <f t="array" ref="S2871">IF(表成绩单[[#This Row],[物理]]="","",SUMPRODUCT((表成绩单[考试日期]=表成绩单[[#This Row],[考试日期]])*(表成绩单[物理]&lt;9E+307)*(表成绩单[物理]&gt;表成绩单[[#This Row],[物理]]))+1)</f>
        <v>631</v>
      </c>
      <c r="T2871" s="29" cm="1">
        <f t="array" ref="T2871">IF(表成绩单[[#This Row],[化学]]="","",SUMPRODUCT((表成绩单[考试日期]=表成绩单[[#This Row],[考试日期]])*(表成绩单[化学]&lt;9E+307)*(表成绩单[化学]&gt;表成绩单[[#This Row],[化学]]))+1)</f>
        <v>217</v>
      </c>
      <c r="U2871" s="29" cm="1">
        <f t="array" ref="U2871">IF(表成绩单[[#This Row],[政治]]="","",SUMPRODUCT((表成绩单[考试日期]=表成绩单[[#This Row],[考试日期]])*(表成绩单[政治]&lt;9E+307)*(表成绩单[政治]&gt;表成绩单[[#This Row],[政治]]))+1)</f>
        <v>346</v>
      </c>
      <c r="V2871" s="29" cm="1">
        <f t="array" ref="V2871">IF(表成绩单[[#This Row],[历史]]="","",SUMPRODUCT((表成绩单[考试日期]=表成绩单[[#This Row],[考试日期]])*(表成绩单[历史]&lt;9E+307)*(表成绩单[历史]&gt;表成绩单[[#This Row],[历史]]))+1)</f>
        <v>516</v>
      </c>
      <c r="W2871" s="29" cm="1">
        <f t="array" ref="W2871">IF(表成绩单[[#This Row],[总分]]="","",SUMPRODUCT((表成绩单[考试日期]=表成绩单[[#This Row],[考试日期]])*(表成绩单[总分]&lt;9E+307)*(表成绩单[总分]&gt;表成绩单[[#This Row],[总分]]))+1)</f>
        <v>464</v>
      </c>
    </row>
    <row r="2872" ht="28" customHeight="1" spans="4:23">
      <c r="D2872" s="31">
        <v>46108</v>
      </c>
      <c r="E2872" s="29">
        <v>19174742</v>
      </c>
      <c r="F2872" s="29" t="s">
        <v>64</v>
      </c>
      <c r="G2872" s="29" t="s">
        <v>497</v>
      </c>
      <c r="H2872" s="29">
        <v>100</v>
      </c>
      <c r="I2872" s="29">
        <v>88</v>
      </c>
      <c r="J2872" s="29">
        <v>76</v>
      </c>
      <c r="K2872" s="29">
        <v>62</v>
      </c>
      <c r="L2872" s="29">
        <v>58</v>
      </c>
      <c r="M2872" s="29">
        <v>79</v>
      </c>
      <c r="N2872" s="29">
        <v>76</v>
      </c>
      <c r="O2872" s="32">
        <v>539</v>
      </c>
      <c r="P2872" s="29" cm="1">
        <f t="array" ref="P2872">IF(表成绩单[[#This Row],[语文]]="","",SUMPRODUCT((表成绩单[考试日期]=表成绩单[[#This Row],[考试日期]])*(表成绩单[语文]&lt;9E+307)*(表成绩单[语文]&gt;表成绩单[[#This Row],[语文]]))+1)</f>
        <v>247</v>
      </c>
      <c r="Q2872" s="29" cm="1">
        <f t="array" ref="Q2872">IF(表成绩单[[#This Row],[数学]]="","",SUMPRODUCT((表成绩单[考试日期]=表成绩单[[#This Row],[考试日期]])*(表成绩单[数学]&lt;9E+307)*(表成绩单[数学]&gt;表成绩单[[#This Row],[数学]]))+1)</f>
        <v>424</v>
      </c>
      <c r="R2872" s="29" cm="1">
        <f t="array" ref="R2872">IF(表成绩单[[#This Row],[英语]]="","",SUMPRODUCT((表成绩单[考试日期]=表成绩单[[#This Row],[考试日期]])*(表成绩单[英语]&lt;9E+307)*(表成绩单[英语]&gt;表成绩单[[#This Row],[英语]]))+1)</f>
        <v>405</v>
      </c>
      <c r="S2872" s="29" cm="1">
        <f t="array" ref="S2872">IF(表成绩单[[#This Row],[物理]]="","",SUMPRODUCT((表成绩单[考试日期]=表成绩单[[#This Row],[考试日期]])*(表成绩单[物理]&lt;9E+307)*(表成绩单[物理]&gt;表成绩单[[#This Row],[物理]]))+1)</f>
        <v>643</v>
      </c>
      <c r="T2872" s="29" cm="1">
        <f t="array" ref="T2872">IF(表成绩单[[#This Row],[化学]]="","",SUMPRODUCT((表成绩单[考试日期]=表成绩单[[#This Row],[考试日期]])*(表成绩单[化学]&lt;9E+307)*(表成绩单[化学]&gt;表成绩单[[#This Row],[化学]]))+1)</f>
        <v>532</v>
      </c>
      <c r="U2872" s="29" cm="1">
        <f t="array" ref="U2872">IF(表成绩单[[#This Row],[政治]]="","",SUMPRODUCT((表成绩单[考试日期]=表成绩单[[#This Row],[考试日期]])*(表成绩单[政治]&lt;9E+307)*(表成绩单[政治]&gt;表成绩单[[#This Row],[政治]]))+1)</f>
        <v>134</v>
      </c>
      <c r="V2872" s="29" cm="1">
        <f t="array" ref="V2872">IF(表成绩单[[#This Row],[历史]]="","",SUMPRODUCT((表成绩单[考试日期]=表成绩单[[#This Row],[考试日期]])*(表成绩单[历史]&lt;9E+307)*(表成绩单[历史]&gt;表成绩单[[#This Row],[历史]]))+1)</f>
        <v>316</v>
      </c>
      <c r="W2872" s="29" cm="1">
        <f t="array" ref="W2872">IF(表成绩单[[#This Row],[总分]]="","",SUMPRODUCT((表成绩单[考试日期]=表成绩单[[#This Row],[考试日期]])*(表成绩单[总分]&lt;9E+307)*(表成绩单[总分]&gt;表成绩单[[#This Row],[总分]]))+1)</f>
        <v>464</v>
      </c>
    </row>
    <row r="2873" ht="28" customHeight="1" spans="4:23">
      <c r="D2873" s="31">
        <v>46108</v>
      </c>
      <c r="E2873" s="29">
        <v>19177646</v>
      </c>
      <c r="F2873" s="29" t="s">
        <v>63</v>
      </c>
      <c r="G2873" s="29" t="s">
        <v>587</v>
      </c>
      <c r="H2873" s="29">
        <v>95</v>
      </c>
      <c r="I2873" s="29">
        <v>88</v>
      </c>
      <c r="J2873" s="29">
        <v>72</v>
      </c>
      <c r="K2873" s="29">
        <v>79</v>
      </c>
      <c r="L2873" s="29">
        <v>65</v>
      </c>
      <c r="M2873" s="29">
        <v>68</v>
      </c>
      <c r="N2873" s="29">
        <v>72</v>
      </c>
      <c r="O2873" s="32">
        <v>539</v>
      </c>
      <c r="P2873" s="29" cm="1">
        <f t="array" ref="P2873">IF(表成绩单[[#This Row],[语文]]="","",SUMPRODUCT((表成绩单[考试日期]=表成绩单[[#This Row],[考试日期]])*(表成绩单[语文]&lt;9E+307)*(表成绩单[语文]&gt;表成绩单[[#This Row],[语文]]))+1)</f>
        <v>422</v>
      </c>
      <c r="Q2873" s="29" cm="1">
        <f t="array" ref="Q2873">IF(表成绩单[[#This Row],[数学]]="","",SUMPRODUCT((表成绩单[考试日期]=表成绩单[[#This Row],[考试日期]])*(表成绩单[数学]&lt;9E+307)*(表成绩单[数学]&gt;表成绩单[[#This Row],[数学]]))+1)</f>
        <v>424</v>
      </c>
      <c r="R2873" s="29" cm="1">
        <f t="array" ref="R2873">IF(表成绩单[[#This Row],[英语]]="","",SUMPRODUCT((表成绩单[考试日期]=表成绩单[[#This Row],[考试日期]])*(表成绩单[英语]&lt;9E+307)*(表成绩单[英语]&gt;表成绩单[[#This Row],[英语]]))+1)</f>
        <v>499</v>
      </c>
      <c r="S2873" s="29" cm="1">
        <f t="array" ref="S2873">IF(表成绩单[[#This Row],[物理]]="","",SUMPRODUCT((表成绩单[考试日期]=表成绩单[[#This Row],[考试日期]])*(表成绩单[物理]&lt;9E+307)*(表成绩单[物理]&gt;表成绩单[[#This Row],[物理]]))+1)</f>
        <v>344</v>
      </c>
      <c r="T2873" s="29" cm="1">
        <f t="array" ref="T2873">IF(表成绩单[[#This Row],[化学]]="","",SUMPRODUCT((表成绩单[考试日期]=表成绩单[[#This Row],[考试日期]])*(表成绩单[化学]&lt;9E+307)*(表成绩单[化学]&gt;表成绩单[[#This Row],[化学]]))+1)</f>
        <v>379</v>
      </c>
      <c r="U2873" s="29" cm="1">
        <f t="array" ref="U2873">IF(表成绩单[[#This Row],[政治]]="","",SUMPRODUCT((表成绩单[考试日期]=表成绩单[[#This Row],[考试日期]])*(表成绩单[政治]&lt;9E+307)*(表成绩单[政治]&gt;表成绩单[[#This Row],[政治]]))+1)</f>
        <v>596</v>
      </c>
      <c r="V2873" s="29" cm="1">
        <f t="array" ref="V2873">IF(表成绩单[[#This Row],[历史]]="","",SUMPRODUCT((表成绩单[考试日期]=表成绩单[[#This Row],[考试日期]])*(表成绩单[历史]&lt;9E+307)*(表成绩单[历史]&gt;表成绩单[[#This Row],[历史]]))+1)</f>
        <v>470</v>
      </c>
      <c r="W2873" s="29" cm="1">
        <f t="array" ref="W2873">IF(表成绩单[[#This Row],[总分]]="","",SUMPRODUCT((表成绩单[考试日期]=表成绩单[[#This Row],[考试日期]])*(表成绩单[总分]&lt;9E+307)*(表成绩单[总分]&gt;表成绩单[[#This Row],[总分]]))+1)</f>
        <v>464</v>
      </c>
    </row>
    <row r="2874" ht="28" customHeight="1" spans="4:23">
      <c r="D2874" s="31">
        <v>46108</v>
      </c>
      <c r="E2874" s="29">
        <v>19177591</v>
      </c>
      <c r="F2874" s="29" t="s">
        <v>58</v>
      </c>
      <c r="G2874" s="29" t="s">
        <v>520</v>
      </c>
      <c r="H2874" s="29">
        <v>88</v>
      </c>
      <c r="I2874" s="29">
        <v>84</v>
      </c>
      <c r="J2874" s="29">
        <v>79.5</v>
      </c>
      <c r="K2874" s="29">
        <v>81</v>
      </c>
      <c r="L2874" s="29">
        <v>60</v>
      </c>
      <c r="M2874" s="29">
        <v>74</v>
      </c>
      <c r="N2874" s="29">
        <v>72</v>
      </c>
      <c r="O2874" s="32">
        <v>538.5</v>
      </c>
      <c r="P2874" s="29" cm="1">
        <f t="array" ref="P2874">IF(表成绩单[[#This Row],[语文]]="","",SUMPRODUCT((表成绩单[考试日期]=表成绩单[[#This Row],[考试日期]])*(表成绩单[语文]&lt;9E+307)*(表成绩单[语文]&gt;表成绩单[[#This Row],[语文]]))+1)</f>
        <v>575</v>
      </c>
      <c r="Q2874" s="29" cm="1">
        <f t="array" ref="Q2874">IF(表成绩单[[#This Row],[数学]]="","",SUMPRODUCT((表成绩单[考试日期]=表成绩单[[#This Row],[考试日期]])*(表成绩单[数学]&lt;9E+307)*(表成绩单[数学]&gt;表成绩单[[#This Row],[数学]]))+1)</f>
        <v>518</v>
      </c>
      <c r="R2874" s="29" cm="1">
        <f t="array" ref="R2874">IF(表成绩单[[#This Row],[英语]]="","",SUMPRODUCT((表成绩单[考试日期]=表成绩单[[#This Row],[考试日期]])*(表成绩单[英语]&lt;9E+307)*(表成绩单[英语]&gt;表成绩单[[#This Row],[英语]]))+1)</f>
        <v>286</v>
      </c>
      <c r="S2874" s="29" cm="1">
        <f t="array" ref="S2874">IF(表成绩单[[#This Row],[物理]]="","",SUMPRODUCT((表成绩单[考试日期]=表成绩单[[#This Row],[考试日期]])*(表成绩单[物理]&lt;9E+307)*(表成绩单[物理]&gt;表成绩单[[#This Row],[物理]]))+1)</f>
        <v>269</v>
      </c>
      <c r="T2874" s="29" cm="1">
        <f t="array" ref="T2874">IF(表成绩单[[#This Row],[化学]]="","",SUMPRODUCT((表成绩单[考试日期]=表成绩单[[#This Row],[考试日期]])*(表成绩单[化学]&lt;9E+307)*(表成绩单[化学]&gt;表成绩单[[#This Row],[化学]]))+1)</f>
        <v>490</v>
      </c>
      <c r="U2874" s="29" cm="1">
        <f t="array" ref="U2874">IF(表成绩单[[#This Row],[政治]]="","",SUMPRODUCT((表成绩单[考试日期]=表成绩单[[#This Row],[考试日期]])*(表成绩单[政治]&lt;9E+307)*(表成绩单[政治]&gt;表成绩单[[#This Row],[政治]]))+1)</f>
        <v>389</v>
      </c>
      <c r="V2874" s="29" cm="1">
        <f t="array" ref="V2874">IF(表成绩单[[#This Row],[历史]]="","",SUMPRODUCT((表成绩单[考试日期]=表成绩单[[#This Row],[考试日期]])*(表成绩单[历史]&lt;9E+307)*(表成绩单[历史]&gt;表成绩单[[#This Row],[历史]]))+1)</f>
        <v>470</v>
      </c>
      <c r="W2874" s="29" cm="1">
        <f t="array" ref="W2874">IF(表成绩单[[#This Row],[总分]]="","",SUMPRODUCT((表成绩单[考试日期]=表成绩单[[#This Row],[考试日期]])*(表成绩单[总分]&lt;9E+307)*(表成绩单[总分]&gt;表成绩单[[#This Row],[总分]]))+1)</f>
        <v>467</v>
      </c>
    </row>
    <row r="2875" ht="28" customHeight="1" spans="4:23">
      <c r="D2875" s="31">
        <v>46108</v>
      </c>
      <c r="E2875" s="29">
        <v>19177633</v>
      </c>
      <c r="F2875" s="29" t="s">
        <v>63</v>
      </c>
      <c r="G2875" s="29" t="s">
        <v>597</v>
      </c>
      <c r="H2875" s="29">
        <v>98</v>
      </c>
      <c r="I2875" s="29">
        <v>92</v>
      </c>
      <c r="J2875" s="29">
        <v>72.5</v>
      </c>
      <c r="K2875" s="29">
        <v>74</v>
      </c>
      <c r="L2875" s="29">
        <v>58</v>
      </c>
      <c r="M2875" s="29">
        <v>72</v>
      </c>
      <c r="N2875" s="29">
        <v>72</v>
      </c>
      <c r="O2875" s="32">
        <v>538.5</v>
      </c>
      <c r="P2875" s="29" cm="1">
        <f t="array" ref="P2875">IF(表成绩单[[#This Row],[语文]]="","",SUMPRODUCT((表成绩单[考试日期]=表成绩单[[#This Row],[考试日期]])*(表成绩单[语文]&lt;9E+307)*(表成绩单[语文]&gt;表成绩单[[#This Row],[语文]]))+1)</f>
        <v>322</v>
      </c>
      <c r="Q2875" s="29" cm="1">
        <f t="array" ref="Q2875">IF(表成绩单[[#This Row],[数学]]="","",SUMPRODUCT((表成绩单[考试日期]=表成绩单[[#This Row],[考试日期]])*(表成绩单[数学]&lt;9E+307)*(表成绩单[数学]&gt;表成绩单[[#This Row],[数学]]))+1)</f>
        <v>312</v>
      </c>
      <c r="R2875" s="29" cm="1">
        <f t="array" ref="R2875">IF(表成绩单[[#This Row],[英语]]="","",SUMPRODUCT((表成绩单[考试日期]=表成绩单[[#This Row],[考试日期]])*(表成绩单[英语]&lt;9E+307)*(表成绩单[英语]&gt;表成绩单[[#This Row],[英语]]))+1)</f>
        <v>491</v>
      </c>
      <c r="S2875" s="29" cm="1">
        <f t="array" ref="S2875">IF(表成绩单[[#This Row],[物理]]="","",SUMPRODUCT((表成绩单[考试日期]=表成绩单[[#This Row],[考试日期]])*(表成绩单[物理]&lt;9E+307)*(表成绩单[物理]&gt;表成绩单[[#This Row],[物理]]))+1)</f>
        <v>472</v>
      </c>
      <c r="T2875" s="29" cm="1">
        <f t="array" ref="T2875">IF(表成绩单[[#This Row],[化学]]="","",SUMPRODUCT((表成绩单[考试日期]=表成绩单[[#This Row],[考试日期]])*(表成绩单[化学]&lt;9E+307)*(表成绩单[化学]&gt;表成绩单[[#This Row],[化学]]))+1)</f>
        <v>532</v>
      </c>
      <c r="U2875" s="29" cm="1">
        <f t="array" ref="U2875">IF(表成绩单[[#This Row],[政治]]="","",SUMPRODUCT((表成绩单[考试日期]=表成绩单[[#This Row],[考试日期]])*(表成绩单[政治]&lt;9E+307)*(表成绩单[政治]&gt;表成绩单[[#This Row],[政治]]))+1)</f>
        <v>470</v>
      </c>
      <c r="V2875" s="29" cm="1">
        <f t="array" ref="V2875">IF(表成绩单[[#This Row],[历史]]="","",SUMPRODUCT((表成绩单[考试日期]=表成绩单[[#This Row],[考试日期]])*(表成绩单[历史]&lt;9E+307)*(表成绩单[历史]&gt;表成绩单[[#This Row],[历史]]))+1)</f>
        <v>470</v>
      </c>
      <c r="W2875" s="29" cm="1">
        <f t="array" ref="W2875">IF(表成绩单[[#This Row],[总分]]="","",SUMPRODUCT((表成绩单[考试日期]=表成绩单[[#This Row],[考试日期]])*(表成绩单[总分]&lt;9E+307)*(表成绩单[总分]&gt;表成绩单[[#This Row],[总分]]))+1)</f>
        <v>467</v>
      </c>
    </row>
    <row r="2876" ht="28" customHeight="1" spans="4:23">
      <c r="D2876" s="31">
        <v>46108</v>
      </c>
      <c r="E2876" s="29">
        <v>19178616</v>
      </c>
      <c r="F2876" s="29" t="s">
        <v>25</v>
      </c>
      <c r="G2876" s="29" t="s">
        <v>447</v>
      </c>
      <c r="H2876" s="29">
        <v>97</v>
      </c>
      <c r="I2876" s="29">
        <v>94</v>
      </c>
      <c r="J2876" s="29">
        <v>79.5</v>
      </c>
      <c r="K2876" s="29">
        <v>78</v>
      </c>
      <c r="L2876" s="29">
        <v>52</v>
      </c>
      <c r="M2876" s="29">
        <v>74</v>
      </c>
      <c r="N2876" s="29">
        <v>64</v>
      </c>
      <c r="O2876" s="32">
        <v>538.5</v>
      </c>
      <c r="P2876" s="29" cm="1">
        <f t="array" ref="P2876">IF(表成绩单[[#This Row],[语文]]="","",SUMPRODUCT((表成绩单[考试日期]=表成绩单[[#This Row],[考试日期]])*(表成绩单[语文]&lt;9E+307)*(表成绩单[语文]&gt;表成绩单[[#This Row],[语文]]))+1)</f>
        <v>357</v>
      </c>
      <c r="Q2876" s="29" cm="1">
        <f t="array" ref="Q2876">IF(表成绩单[[#This Row],[数学]]="","",SUMPRODUCT((表成绩单[考试日期]=表成绩单[[#This Row],[考试日期]])*(表成绩单[数学]&lt;9E+307)*(表成绩单[数学]&gt;表成绩单[[#This Row],[数学]]))+1)</f>
        <v>258</v>
      </c>
      <c r="R2876" s="29" cm="1">
        <f t="array" ref="R2876">IF(表成绩单[[#This Row],[英语]]="","",SUMPRODUCT((表成绩单[考试日期]=表成绩单[[#This Row],[考试日期]])*(表成绩单[英语]&lt;9E+307)*(表成绩单[英语]&gt;表成绩单[[#This Row],[英语]]))+1)</f>
        <v>286</v>
      </c>
      <c r="S2876" s="29" cm="1">
        <f t="array" ref="S2876">IF(表成绩单[[#This Row],[物理]]="","",SUMPRODUCT((表成绩单[考试日期]=表成绩单[[#This Row],[考试日期]])*(表成绩单[物理]&lt;9E+307)*(表成绩单[物理]&gt;表成绩单[[#This Row],[物理]]))+1)</f>
        <v>365</v>
      </c>
      <c r="T2876" s="29" cm="1">
        <f t="array" ref="T2876">IF(表成绩单[[#This Row],[化学]]="","",SUMPRODUCT((表成绩单[考试日期]=表成绩单[[#This Row],[考试日期]])*(表成绩单[化学]&lt;9E+307)*(表成绩单[化学]&gt;表成绩单[[#This Row],[化学]]))+1)</f>
        <v>612</v>
      </c>
      <c r="U2876" s="29" cm="1">
        <f t="array" ref="U2876">IF(表成绩单[[#This Row],[政治]]="","",SUMPRODUCT((表成绩单[考试日期]=表成绩单[[#This Row],[考试日期]])*(表成绩单[政治]&lt;9E+307)*(表成绩单[政治]&gt;表成绩单[[#This Row],[政治]]))+1)</f>
        <v>389</v>
      </c>
      <c r="V2876" s="29" cm="1">
        <f t="array" ref="V2876">IF(表成绩单[[#This Row],[历史]]="","",SUMPRODUCT((表成绩单[考试日期]=表成绩单[[#This Row],[考试日期]])*(表成绩单[历史]&lt;9E+307)*(表成绩单[历史]&gt;表成绩单[[#This Row],[历史]]))+1)</f>
        <v>666</v>
      </c>
      <c r="W2876" s="29" cm="1">
        <f t="array" ref="W2876">IF(表成绩单[[#This Row],[总分]]="","",SUMPRODUCT((表成绩单[考试日期]=表成绩单[[#This Row],[考试日期]])*(表成绩单[总分]&lt;9E+307)*(表成绩单[总分]&gt;表成绩单[[#This Row],[总分]]))+1)</f>
        <v>467</v>
      </c>
    </row>
    <row r="2877" ht="28" customHeight="1" spans="4:23">
      <c r="D2877" s="31">
        <v>46108</v>
      </c>
      <c r="E2877" s="29">
        <v>19173269</v>
      </c>
      <c r="F2877" s="29" t="s">
        <v>61</v>
      </c>
      <c r="G2877" s="29" t="s">
        <v>532</v>
      </c>
      <c r="H2877" s="29">
        <v>105</v>
      </c>
      <c r="I2877" s="29">
        <v>74</v>
      </c>
      <c r="J2877" s="29">
        <v>73</v>
      </c>
      <c r="K2877" s="29">
        <v>74</v>
      </c>
      <c r="L2877" s="29">
        <v>63</v>
      </c>
      <c r="M2877" s="29">
        <v>68</v>
      </c>
      <c r="N2877" s="29">
        <v>81</v>
      </c>
      <c r="O2877" s="32">
        <v>538</v>
      </c>
      <c r="P2877" s="29" cm="1">
        <f t="array" ref="P2877">IF(表成绩单[[#This Row],[语文]]="","",SUMPRODUCT((表成绩单[考试日期]=表成绩单[[#This Row],[考试日期]])*(表成绩单[语文]&lt;9E+307)*(表成绩单[语文]&gt;表成绩单[[#This Row],[语文]]))+1)</f>
        <v>101</v>
      </c>
      <c r="Q2877" s="29" cm="1">
        <f t="array" ref="Q2877">IF(表成绩单[[#This Row],[数学]]="","",SUMPRODUCT((表成绩单[考试日期]=表成绩单[[#This Row],[考试日期]])*(表成绩单[数学]&lt;9E+307)*(表成绩单[数学]&gt;表成绩单[[#This Row],[数学]]))+1)</f>
        <v>635</v>
      </c>
      <c r="R2877" s="29" cm="1">
        <f t="array" ref="R2877">IF(表成绩单[[#This Row],[英语]]="","",SUMPRODUCT((表成绩单[考试日期]=表成绩单[[#This Row],[考试日期]])*(表成绩单[英语]&lt;9E+307)*(表成绩单[英语]&gt;表成绩单[[#This Row],[英语]]))+1)</f>
        <v>478</v>
      </c>
      <c r="S2877" s="29" cm="1">
        <f t="array" ref="S2877">IF(表成绩单[[#This Row],[物理]]="","",SUMPRODUCT((表成绩单[考试日期]=表成绩单[[#This Row],[考试日期]])*(表成绩单[物理]&lt;9E+307)*(表成绩单[物理]&gt;表成绩单[[#This Row],[物理]]))+1)</f>
        <v>472</v>
      </c>
      <c r="T2877" s="29" cm="1">
        <f t="array" ref="T2877">IF(表成绩单[[#This Row],[化学]]="","",SUMPRODUCT((表成绩单[考试日期]=表成绩单[[#This Row],[考试日期]])*(表成绩单[化学]&lt;9E+307)*(表成绩单[化学]&gt;表成绩单[[#This Row],[化学]]))+1)</f>
        <v>426</v>
      </c>
      <c r="U2877" s="29" cm="1">
        <f t="array" ref="U2877">IF(表成绩单[[#This Row],[政治]]="","",SUMPRODUCT((表成绩单[考试日期]=表成绩单[[#This Row],[考试日期]])*(表成绩单[政治]&lt;9E+307)*(表成绩单[政治]&gt;表成绩单[[#This Row],[政治]]))+1)</f>
        <v>596</v>
      </c>
      <c r="V2877" s="29" cm="1">
        <f t="array" ref="V2877">IF(表成绩单[[#This Row],[历史]]="","",SUMPRODUCT((表成绩单[考试日期]=表成绩单[[#This Row],[考试日期]])*(表成绩单[历史]&lt;9E+307)*(表成绩单[历史]&gt;表成绩单[[#This Row],[历史]]))+1)</f>
        <v>106</v>
      </c>
      <c r="W2877" s="29" cm="1">
        <f t="array" ref="W2877">IF(表成绩单[[#This Row],[总分]]="","",SUMPRODUCT((表成绩单[考试日期]=表成绩单[[#This Row],[考试日期]])*(表成绩单[总分]&lt;9E+307)*(表成绩单[总分]&gt;表成绩单[[#This Row],[总分]]))+1)</f>
        <v>470</v>
      </c>
    </row>
    <row r="2878" ht="28" customHeight="1" spans="4:23">
      <c r="D2878" s="31">
        <v>46108</v>
      </c>
      <c r="E2878" s="29">
        <v>19173788</v>
      </c>
      <c r="F2878" s="29" t="s">
        <v>65</v>
      </c>
      <c r="G2878" s="29" t="s">
        <v>601</v>
      </c>
      <c r="H2878" s="29">
        <v>91</v>
      </c>
      <c r="I2878" s="29">
        <v>92</v>
      </c>
      <c r="J2878" s="29">
        <v>81.5</v>
      </c>
      <c r="K2878" s="29">
        <v>73</v>
      </c>
      <c r="L2878" s="29">
        <v>61</v>
      </c>
      <c r="M2878" s="29">
        <v>79</v>
      </c>
      <c r="N2878" s="29">
        <v>60</v>
      </c>
      <c r="O2878" s="32">
        <v>537.5</v>
      </c>
      <c r="P2878" s="29" cm="1">
        <f t="array" ref="P2878">IF(表成绩单[[#This Row],[语文]]="","",SUMPRODUCT((表成绩单[考试日期]=表成绩单[[#This Row],[考试日期]])*(表成绩单[语文]&lt;9E+307)*(表成绩单[语文]&gt;表成绩单[[#This Row],[语文]]))+1)</f>
        <v>519</v>
      </c>
      <c r="Q2878" s="29" cm="1">
        <f t="array" ref="Q2878">IF(表成绩单[[#This Row],[数学]]="","",SUMPRODUCT((表成绩单[考试日期]=表成绩单[[#This Row],[考试日期]])*(表成绩单[数学]&lt;9E+307)*(表成绩单[数学]&gt;表成绩单[[#This Row],[数学]]))+1)</f>
        <v>312</v>
      </c>
      <c r="R2878" s="29" cm="1">
        <f t="array" ref="R2878">IF(表成绩单[[#This Row],[英语]]="","",SUMPRODUCT((表成绩单[考试日期]=表成绩单[[#This Row],[考试日期]])*(表成绩单[英语]&lt;9E+307)*(表成绩单[英语]&gt;表成绩单[[#This Row],[英语]]))+1)</f>
        <v>203</v>
      </c>
      <c r="S2878" s="29" cm="1">
        <f t="array" ref="S2878">IF(表成绩单[[#This Row],[物理]]="","",SUMPRODUCT((表成绩单[考试日期]=表成绩单[[#This Row],[考试日期]])*(表成绩单[物理]&lt;9E+307)*(表成绩单[物理]&gt;表成绩单[[#This Row],[物理]]))+1)</f>
        <v>500</v>
      </c>
      <c r="T2878" s="29" cm="1">
        <f t="array" ref="T2878">IF(表成绩单[[#This Row],[化学]]="","",SUMPRODUCT((表成绩单[考试日期]=表成绩单[[#This Row],[考试日期]])*(表成绩单[化学]&lt;9E+307)*(表成绩单[化学]&gt;表成绩单[[#This Row],[化学]]))+1)</f>
        <v>467</v>
      </c>
      <c r="U2878" s="29" cm="1">
        <f t="array" ref="U2878">IF(表成绩单[[#This Row],[政治]]="","",SUMPRODUCT((表成绩单[考试日期]=表成绩单[[#This Row],[考试日期]])*(表成绩单[政治]&lt;9E+307)*(表成绩单[政治]&gt;表成绩单[[#This Row],[政治]]))+1)</f>
        <v>134</v>
      </c>
      <c r="V2878" s="29" cm="1">
        <f t="array" ref="V2878">IF(表成绩单[[#This Row],[历史]]="","",SUMPRODUCT((表成绩单[考试日期]=表成绩单[[#This Row],[考试日期]])*(表成绩单[历史]&lt;9E+307)*(表成绩单[历史]&gt;表成绩单[[#This Row],[历史]]))+1)</f>
        <v>715</v>
      </c>
      <c r="W2878" s="29" cm="1">
        <f t="array" ref="W2878">IF(表成绩单[[#This Row],[总分]]="","",SUMPRODUCT((表成绩单[考试日期]=表成绩单[[#This Row],[考试日期]])*(表成绩单[总分]&lt;9E+307)*(表成绩单[总分]&gt;表成绩单[[#This Row],[总分]]))+1)</f>
        <v>471</v>
      </c>
    </row>
    <row r="2879" ht="28" customHeight="1" spans="4:23">
      <c r="D2879" s="31">
        <v>46108</v>
      </c>
      <c r="E2879" s="29">
        <v>19173802</v>
      </c>
      <c r="F2879" s="29" t="s">
        <v>65</v>
      </c>
      <c r="G2879" s="29" t="s">
        <v>363</v>
      </c>
      <c r="H2879" s="29">
        <v>97</v>
      </c>
      <c r="I2879" s="29">
        <v>86</v>
      </c>
      <c r="J2879" s="29">
        <v>66.5</v>
      </c>
      <c r="K2879" s="29">
        <v>80</v>
      </c>
      <c r="L2879" s="29">
        <v>70</v>
      </c>
      <c r="M2879" s="29">
        <v>71</v>
      </c>
      <c r="N2879" s="29">
        <v>67</v>
      </c>
      <c r="O2879" s="32">
        <v>537.5</v>
      </c>
      <c r="P2879" s="29" cm="1">
        <f t="array" ref="P2879">IF(表成绩单[[#This Row],[语文]]="","",SUMPRODUCT((表成绩单[考试日期]=表成绩单[[#This Row],[考试日期]])*(表成绩单[语文]&lt;9E+307)*(表成绩单[语文]&gt;表成绩单[[#This Row],[语文]]))+1)</f>
        <v>357</v>
      </c>
      <c r="Q2879" s="29" cm="1">
        <f t="array" ref="Q2879">IF(表成绩单[[#This Row],[数学]]="","",SUMPRODUCT((表成绩单[考试日期]=表成绩单[[#This Row],[考试日期]])*(表成绩单[数学]&lt;9E+307)*(表成绩单[数学]&gt;表成绩单[[#This Row],[数学]]))+1)</f>
        <v>479</v>
      </c>
      <c r="R2879" s="29" cm="1">
        <f t="array" ref="R2879">IF(表成绩单[[#This Row],[英语]]="","",SUMPRODUCT((表成绩单[考试日期]=表成绩单[[#This Row],[考试日期]])*(表成绩单[英语]&lt;9E+307)*(表成绩单[英语]&gt;表成绩单[[#This Row],[英语]]))+1)</f>
        <v>584</v>
      </c>
      <c r="S2879" s="29" cm="1">
        <f t="array" ref="S2879">IF(表成绩单[[#This Row],[物理]]="","",SUMPRODUCT((表成绩单[考试日期]=表成绩单[[#This Row],[考试日期]])*(表成绩单[物理]&lt;9E+307)*(表成绩单[物理]&gt;表成绩单[[#This Row],[物理]]))+1)</f>
        <v>305</v>
      </c>
      <c r="T2879" s="29" cm="1">
        <f t="array" ref="T2879">IF(表成绩单[[#This Row],[化学]]="","",SUMPRODUCT((表成绩单[考试日期]=表成绩单[[#This Row],[考试日期]])*(表成绩单[化学]&lt;9E+307)*(表成绩单[化学]&gt;表成绩单[[#This Row],[化学]]))+1)</f>
        <v>241</v>
      </c>
      <c r="U2879" s="29" cm="1">
        <f t="array" ref="U2879">IF(表成绩单[[#This Row],[政治]]="","",SUMPRODUCT((表成绩单[考试日期]=表成绩单[[#This Row],[考试日期]])*(表成绩单[政治]&lt;9E+307)*(表成绩单[政治]&gt;表成绩单[[#This Row],[政治]]))+1)</f>
        <v>513</v>
      </c>
      <c r="V2879" s="29" cm="1">
        <f t="array" ref="V2879">IF(表成绩单[[#This Row],[历史]]="","",SUMPRODUCT((表成绩单[考试日期]=表成绩单[[#This Row],[考试日期]])*(表成绩单[历史]&lt;9E+307)*(表成绩单[历史]&gt;表成绩单[[#This Row],[历史]]))+1)</f>
        <v>623</v>
      </c>
      <c r="W2879" s="29" cm="1">
        <f t="array" ref="W2879">IF(表成绩单[[#This Row],[总分]]="","",SUMPRODUCT((表成绩单[考试日期]=表成绩单[[#This Row],[考试日期]])*(表成绩单[总分]&lt;9E+307)*(表成绩单[总分]&gt;表成绩单[[#This Row],[总分]]))+1)</f>
        <v>471</v>
      </c>
    </row>
    <row r="2880" ht="28" customHeight="1" spans="4:23">
      <c r="D2880" s="31">
        <v>46108</v>
      </c>
      <c r="E2880" s="29">
        <v>19177602</v>
      </c>
      <c r="F2880" s="29" t="s">
        <v>58</v>
      </c>
      <c r="G2880" s="29" t="s">
        <v>704</v>
      </c>
      <c r="H2880" s="29">
        <v>97</v>
      </c>
      <c r="I2880" s="29">
        <v>84</v>
      </c>
      <c r="J2880" s="29">
        <v>77.5</v>
      </c>
      <c r="K2880" s="29">
        <v>74</v>
      </c>
      <c r="L2880" s="29">
        <v>69</v>
      </c>
      <c r="M2880" s="29">
        <v>72</v>
      </c>
      <c r="N2880" s="29">
        <v>64</v>
      </c>
      <c r="O2880" s="32">
        <v>537.5</v>
      </c>
      <c r="P2880" s="29" cm="1">
        <f t="array" ref="P2880">IF(表成绩单[[#This Row],[语文]]="","",SUMPRODUCT((表成绩单[考试日期]=表成绩单[[#This Row],[考试日期]])*(表成绩单[语文]&lt;9E+307)*(表成绩单[语文]&gt;表成绩单[[#This Row],[语文]]))+1)</f>
        <v>357</v>
      </c>
      <c r="Q2880" s="29" cm="1">
        <f t="array" ref="Q2880">IF(表成绩单[[#This Row],[数学]]="","",SUMPRODUCT((表成绩单[考试日期]=表成绩单[[#This Row],[考试日期]])*(表成绩单[数学]&lt;9E+307)*(表成绩单[数学]&gt;表成绩单[[#This Row],[数学]]))+1)</f>
        <v>518</v>
      </c>
      <c r="R2880" s="29" cm="1">
        <f t="array" ref="R2880">IF(表成绩单[[#This Row],[英语]]="","",SUMPRODUCT((表成绩单[考试日期]=表成绩单[[#This Row],[考试日期]])*(表成绩单[英语]&lt;9E+307)*(表成绩单[英语]&gt;表成绩单[[#This Row],[英语]]))+1)</f>
        <v>353</v>
      </c>
      <c r="S2880" s="29" cm="1">
        <f t="array" ref="S2880">IF(表成绩单[[#This Row],[物理]]="","",SUMPRODUCT((表成绩单[考试日期]=表成绩单[[#This Row],[考试日期]])*(表成绩单[物理]&lt;9E+307)*(表成绩单[物理]&gt;表成绩单[[#This Row],[物理]]))+1)</f>
        <v>472</v>
      </c>
      <c r="T2880" s="29" cm="1">
        <f t="array" ref="T2880">IF(表成绩单[[#This Row],[化学]]="","",SUMPRODUCT((表成绩单[考试日期]=表成绩单[[#This Row],[考试日期]])*(表成绩单[化学]&lt;9E+307)*(表成绩单[化学]&gt;表成绩单[[#This Row],[化学]]))+1)</f>
        <v>269</v>
      </c>
      <c r="U2880" s="29" cm="1">
        <f t="array" ref="U2880">IF(表成绩单[[#This Row],[政治]]="","",SUMPRODUCT((表成绩单[考试日期]=表成绩单[[#This Row],[考试日期]])*(表成绩单[政治]&lt;9E+307)*(表成绩单[政治]&gt;表成绩单[[#This Row],[政治]]))+1)</f>
        <v>470</v>
      </c>
      <c r="V2880" s="29" cm="1">
        <f t="array" ref="V2880">IF(表成绩单[[#This Row],[历史]]="","",SUMPRODUCT((表成绩单[考试日期]=表成绩单[[#This Row],[考试日期]])*(表成绩单[历史]&lt;9E+307)*(表成绩单[历史]&gt;表成绩单[[#This Row],[历史]]))+1)</f>
        <v>666</v>
      </c>
      <c r="W2880" s="29" cm="1">
        <f t="array" ref="W2880">IF(表成绩单[[#This Row],[总分]]="","",SUMPRODUCT((表成绩单[考试日期]=表成绩单[[#This Row],[考试日期]])*(表成绩单[总分]&lt;9E+307)*(表成绩单[总分]&gt;表成绩单[[#This Row],[总分]]))+1)</f>
        <v>471</v>
      </c>
    </row>
    <row r="2881" ht="28" customHeight="1" spans="4:23">
      <c r="D2881" s="31">
        <v>46108</v>
      </c>
      <c r="E2881" s="29">
        <v>19178581</v>
      </c>
      <c r="F2881" s="29" t="s">
        <v>64</v>
      </c>
      <c r="G2881" s="29" t="s">
        <v>519</v>
      </c>
      <c r="H2881" s="29">
        <v>96</v>
      </c>
      <c r="I2881" s="29">
        <v>87</v>
      </c>
      <c r="J2881" s="29">
        <v>72.5</v>
      </c>
      <c r="K2881" s="29">
        <v>74</v>
      </c>
      <c r="L2881" s="29">
        <v>54</v>
      </c>
      <c r="M2881" s="29">
        <v>79</v>
      </c>
      <c r="N2881" s="29">
        <v>75</v>
      </c>
      <c r="O2881" s="32">
        <v>537.5</v>
      </c>
      <c r="P2881" s="29" cm="1">
        <f t="array" ref="P2881">IF(表成绩单[[#This Row],[语文]]="","",SUMPRODUCT((表成绩单[考试日期]=表成绩单[[#This Row],[考试日期]])*(表成绩单[语文]&lt;9E+307)*(表成绩单[语文]&gt;表成绩单[[#This Row],[语文]]))+1)</f>
        <v>390</v>
      </c>
      <c r="Q2881" s="29" cm="1">
        <f t="array" ref="Q2881">IF(表成绩单[[#This Row],[数学]]="","",SUMPRODUCT((表成绩单[考试日期]=表成绩单[[#This Row],[考试日期]])*(表成绩单[数学]&lt;9E+307)*(表成绩单[数学]&gt;表成绩单[[#This Row],[数学]]))+1)</f>
        <v>452</v>
      </c>
      <c r="R2881" s="29" cm="1">
        <f t="array" ref="R2881">IF(表成绩单[[#This Row],[英语]]="","",SUMPRODUCT((表成绩单[考试日期]=表成绩单[[#This Row],[考试日期]])*(表成绩单[英语]&lt;9E+307)*(表成绩单[英语]&gt;表成绩单[[#This Row],[英语]]))+1)</f>
        <v>491</v>
      </c>
      <c r="S2881" s="29" cm="1">
        <f t="array" ref="S2881">IF(表成绩单[[#This Row],[物理]]="","",SUMPRODUCT((表成绩单[考试日期]=表成绩单[[#This Row],[考试日期]])*(表成绩单[物理]&lt;9E+307)*(表成绩单[物理]&gt;表成绩单[[#This Row],[物理]]))+1)</f>
        <v>472</v>
      </c>
      <c r="T2881" s="29" cm="1">
        <f t="array" ref="T2881">IF(表成绩单[[#This Row],[化学]]="","",SUMPRODUCT((表成绩单[考试日期]=表成绩单[[#This Row],[考试日期]])*(表成绩单[化学]&lt;9E+307)*(表成绩单[化学]&gt;表成绩单[[#This Row],[化学]]))+1)</f>
        <v>592</v>
      </c>
      <c r="U2881" s="29" cm="1">
        <f t="array" ref="U2881">IF(表成绩单[[#This Row],[政治]]="","",SUMPRODUCT((表成绩单[考试日期]=表成绩单[[#This Row],[考试日期]])*(表成绩单[政治]&lt;9E+307)*(表成绩单[政治]&gt;表成绩单[[#This Row],[政治]]))+1)</f>
        <v>134</v>
      </c>
      <c r="V2881" s="29" cm="1">
        <f t="array" ref="V2881">IF(表成绩单[[#This Row],[历史]]="","",SUMPRODUCT((表成绩单[考试日期]=表成绩单[[#This Row],[考试日期]])*(表成绩单[历史]&lt;9E+307)*(表成绩单[历史]&gt;表成绩单[[#This Row],[历史]]))+1)</f>
        <v>354</v>
      </c>
      <c r="W2881" s="29" cm="1">
        <f t="array" ref="W2881">IF(表成绩单[[#This Row],[总分]]="","",SUMPRODUCT((表成绩单[考试日期]=表成绩单[[#This Row],[考试日期]])*(表成绩单[总分]&lt;9E+307)*(表成绩单[总分]&gt;表成绩单[[#This Row],[总分]]))+1)</f>
        <v>471</v>
      </c>
    </row>
    <row r="2882" ht="28" customHeight="1" spans="4:23">
      <c r="D2882" s="31">
        <v>46108</v>
      </c>
      <c r="E2882" s="29">
        <v>19175689</v>
      </c>
      <c r="F2882" s="29" t="s">
        <v>72</v>
      </c>
      <c r="G2882" s="29" t="s">
        <v>548</v>
      </c>
      <c r="H2882" s="29">
        <v>91</v>
      </c>
      <c r="I2882" s="29">
        <v>87</v>
      </c>
      <c r="J2882" s="29">
        <v>69</v>
      </c>
      <c r="K2882" s="29">
        <v>80</v>
      </c>
      <c r="L2882" s="29">
        <v>60</v>
      </c>
      <c r="M2882" s="29">
        <v>71</v>
      </c>
      <c r="N2882" s="29">
        <v>79</v>
      </c>
      <c r="O2882" s="32">
        <v>537</v>
      </c>
      <c r="P2882" s="29" cm="1">
        <f t="array" ref="P2882">IF(表成绩单[[#This Row],[语文]]="","",SUMPRODUCT((表成绩单[考试日期]=表成绩单[[#This Row],[考试日期]])*(表成绩单[语文]&lt;9E+307)*(表成绩单[语文]&gt;表成绩单[[#This Row],[语文]]))+1)</f>
        <v>519</v>
      </c>
      <c r="Q2882" s="29" cm="1">
        <f t="array" ref="Q2882">IF(表成绩单[[#This Row],[数学]]="","",SUMPRODUCT((表成绩单[考试日期]=表成绩单[[#This Row],[考试日期]])*(表成绩单[数学]&lt;9E+307)*(表成绩单[数学]&gt;表成绩单[[#This Row],[数学]]))+1)</f>
        <v>452</v>
      </c>
      <c r="R2882" s="29" cm="1">
        <f t="array" ref="R2882">IF(表成绩单[[#This Row],[英语]]="","",SUMPRODUCT((表成绩单[考试日期]=表成绩单[[#This Row],[考试日期]])*(表成绩单[英语]&lt;9E+307)*(表成绩单[英语]&gt;表成绩单[[#This Row],[英语]]))+1)</f>
        <v>554</v>
      </c>
      <c r="S2882" s="29" cm="1">
        <f t="array" ref="S2882">IF(表成绩单[[#This Row],[物理]]="","",SUMPRODUCT((表成绩单[考试日期]=表成绩单[[#This Row],[考试日期]])*(表成绩单[物理]&lt;9E+307)*(表成绩单[物理]&gt;表成绩单[[#This Row],[物理]]))+1)</f>
        <v>305</v>
      </c>
      <c r="T2882" s="29" cm="1">
        <f t="array" ref="T2882">IF(表成绩单[[#This Row],[化学]]="","",SUMPRODUCT((表成绩单[考试日期]=表成绩单[[#This Row],[考试日期]])*(表成绩单[化学]&lt;9E+307)*(表成绩单[化学]&gt;表成绩单[[#This Row],[化学]]))+1)</f>
        <v>490</v>
      </c>
      <c r="U2882" s="29" cm="1">
        <f t="array" ref="U2882">IF(表成绩单[[#This Row],[政治]]="","",SUMPRODUCT((表成绩单[考试日期]=表成绩单[[#This Row],[考试日期]])*(表成绩单[政治]&lt;9E+307)*(表成绩单[政治]&gt;表成绩单[[#This Row],[政治]]))+1)</f>
        <v>513</v>
      </c>
      <c r="V2882" s="29" cm="1">
        <f t="array" ref="V2882">IF(表成绩单[[#This Row],[历史]]="","",SUMPRODUCT((表成绩单[考试日期]=表成绩单[[#This Row],[考试日期]])*(表成绩单[历史]&lt;9E+307)*(表成绩单[历史]&gt;表成绩单[[#This Row],[历史]]))+1)</f>
        <v>173</v>
      </c>
      <c r="W2882" s="29" cm="1">
        <f t="array" ref="W2882">IF(表成绩单[[#This Row],[总分]]="","",SUMPRODUCT((表成绩单[考试日期]=表成绩单[[#This Row],[考试日期]])*(表成绩单[总分]&lt;9E+307)*(表成绩单[总分]&gt;表成绩单[[#This Row],[总分]]))+1)</f>
        <v>475</v>
      </c>
    </row>
    <row r="2883" ht="28" customHeight="1" spans="4:23">
      <c r="D2883" s="31">
        <v>46108</v>
      </c>
      <c r="E2883" s="29">
        <v>19171086</v>
      </c>
      <c r="F2883" s="29" t="s">
        <v>67</v>
      </c>
      <c r="G2883" s="29" t="s">
        <v>576</v>
      </c>
      <c r="H2883" s="29">
        <v>92</v>
      </c>
      <c r="I2883" s="29">
        <v>90</v>
      </c>
      <c r="J2883" s="29">
        <v>73.5</v>
      </c>
      <c r="K2883" s="29">
        <v>72</v>
      </c>
      <c r="L2883" s="29">
        <v>68</v>
      </c>
      <c r="M2883" s="29">
        <v>71</v>
      </c>
      <c r="N2883" s="29">
        <v>70</v>
      </c>
      <c r="O2883" s="32">
        <v>536.5</v>
      </c>
      <c r="P2883" s="29" cm="1">
        <f t="array" ref="P2883">IF(表成绩单[[#This Row],[语文]]="","",SUMPRODUCT((表成绩单[考试日期]=表成绩单[[#This Row],[考试日期]])*(表成绩单[语文]&lt;9E+307)*(表成绩单[语文]&gt;表成绩单[[#This Row],[语文]]))+1)</f>
        <v>494</v>
      </c>
      <c r="Q2883" s="29" cm="1">
        <f t="array" ref="Q2883">IF(表成绩单[[#This Row],[数学]]="","",SUMPRODUCT((表成绩单[考试日期]=表成绩单[[#This Row],[考试日期]])*(表成绩单[数学]&lt;9E+307)*(表成绩单[数学]&gt;表成绩单[[#This Row],[数学]]))+1)</f>
        <v>368</v>
      </c>
      <c r="R2883" s="29" cm="1">
        <f t="array" ref="R2883">IF(表成绩单[[#This Row],[英语]]="","",SUMPRODUCT((表成绩单[考试日期]=表成绩单[[#This Row],[考试日期]])*(表成绩单[英语]&lt;9E+307)*(表成绩单[英语]&gt;表成绩单[[#This Row],[英语]]))+1)</f>
        <v>473</v>
      </c>
      <c r="S2883" s="29" cm="1">
        <f t="array" ref="S2883">IF(表成绩单[[#This Row],[物理]]="","",SUMPRODUCT((表成绩单[考试日期]=表成绩单[[#This Row],[考试日期]])*(表成绩单[物理]&lt;9E+307)*(表成绩单[物理]&gt;表成绩单[[#This Row],[物理]]))+1)</f>
        <v>521</v>
      </c>
      <c r="T2883" s="29" cm="1">
        <f t="array" ref="T2883">IF(表成绩单[[#This Row],[化学]]="","",SUMPRODUCT((表成绩单[考试日期]=表成绩单[[#This Row],[考试日期]])*(表成绩单[化学]&lt;9E+307)*(表成绩单[化学]&gt;表成绩单[[#This Row],[化学]]))+1)</f>
        <v>306</v>
      </c>
      <c r="U2883" s="29" cm="1">
        <f t="array" ref="U2883">IF(表成绩单[[#This Row],[政治]]="","",SUMPRODUCT((表成绩单[考试日期]=表成绩单[[#This Row],[考试日期]])*(表成绩单[政治]&lt;9E+307)*(表成绩单[政治]&gt;表成绩单[[#This Row],[政治]]))+1)</f>
        <v>513</v>
      </c>
      <c r="V2883" s="29" cm="1">
        <f t="array" ref="V2883">IF(表成绩单[[#This Row],[历史]]="","",SUMPRODUCT((表成绩单[考试日期]=表成绩单[[#This Row],[考试日期]])*(表成绩单[历史]&lt;9E+307)*(表成绩单[历史]&gt;表成绩单[[#This Row],[历史]]))+1)</f>
        <v>539</v>
      </c>
      <c r="W2883" s="29" cm="1">
        <f t="array" ref="W2883">IF(表成绩单[[#This Row],[总分]]="","",SUMPRODUCT((表成绩单[考试日期]=表成绩单[[#This Row],[考试日期]])*(表成绩单[总分]&lt;9E+307)*(表成绩单[总分]&gt;表成绩单[[#This Row],[总分]]))+1)</f>
        <v>476</v>
      </c>
    </row>
    <row r="2884" ht="28" customHeight="1" spans="4:23">
      <c r="D2884" s="31">
        <v>46108</v>
      </c>
      <c r="E2884" s="29">
        <v>19175676</v>
      </c>
      <c r="F2884" s="29" t="s">
        <v>72</v>
      </c>
      <c r="G2884" s="29" t="s">
        <v>483</v>
      </c>
      <c r="H2884" s="29">
        <v>92</v>
      </c>
      <c r="I2884" s="29">
        <v>94</v>
      </c>
      <c r="J2884" s="29">
        <v>76</v>
      </c>
      <c r="K2884" s="29">
        <v>69</v>
      </c>
      <c r="L2884" s="29">
        <v>60</v>
      </c>
      <c r="M2884" s="29">
        <v>67</v>
      </c>
      <c r="N2884" s="29">
        <v>78</v>
      </c>
      <c r="O2884" s="32">
        <v>536</v>
      </c>
      <c r="P2884" s="29" cm="1">
        <f t="array" ref="P2884">IF(表成绩单[[#This Row],[语文]]="","",SUMPRODUCT((表成绩单[考试日期]=表成绩单[[#This Row],[考试日期]])*(表成绩单[语文]&lt;9E+307)*(表成绩单[语文]&gt;表成绩单[[#This Row],[语文]]))+1)</f>
        <v>494</v>
      </c>
      <c r="Q2884" s="29" cm="1">
        <f t="array" ref="Q2884">IF(表成绩单[[#This Row],[数学]]="","",SUMPRODUCT((表成绩单[考试日期]=表成绩单[[#This Row],[考试日期]])*(表成绩单[数学]&lt;9E+307)*(表成绩单[数学]&gt;表成绩单[[#This Row],[数学]]))+1)</f>
        <v>258</v>
      </c>
      <c r="R2884" s="29" cm="1">
        <f t="array" ref="R2884">IF(表成绩单[[#This Row],[英语]]="","",SUMPRODUCT((表成绩单[考试日期]=表成绩单[[#This Row],[考试日期]])*(表成绩单[英语]&lt;9E+307)*(表成绩单[英语]&gt;表成绩单[[#This Row],[英语]]))+1)</f>
        <v>405</v>
      </c>
      <c r="S2884" s="29" cm="1">
        <f t="array" ref="S2884">IF(表成绩单[[#This Row],[物理]]="","",SUMPRODUCT((表成绩单[考试日期]=表成绩单[[#This Row],[考试日期]])*(表成绩单[物理]&lt;9E+307)*(表成绩单[物理]&gt;表成绩单[[#This Row],[物理]]))+1)</f>
        <v>565</v>
      </c>
      <c r="T2884" s="29" cm="1">
        <f t="array" ref="T2884">IF(表成绩单[[#This Row],[化学]]="","",SUMPRODUCT((表成绩单[考试日期]=表成绩单[[#This Row],[考试日期]])*(表成绩单[化学]&lt;9E+307)*(表成绩单[化学]&gt;表成绩单[[#This Row],[化学]]))+1)</f>
        <v>490</v>
      </c>
      <c r="U2884" s="29" cm="1">
        <f t="array" ref="U2884">IF(表成绩单[[#This Row],[政治]]="","",SUMPRODUCT((表成绩单[考试日期]=表成绩单[[#This Row],[考试日期]])*(表成绩单[政治]&lt;9E+307)*(表成绩单[政治]&gt;表成绩单[[#This Row],[政治]]))+1)</f>
        <v>626</v>
      </c>
      <c r="V2884" s="29" cm="1">
        <f t="array" ref="V2884">IF(表成绩单[[#This Row],[历史]]="","",SUMPRODUCT((表成绩单[考试日期]=表成绩单[[#This Row],[考试日期]])*(表成绩单[历史]&lt;9E+307)*(表成绩单[历史]&gt;表成绩单[[#This Row],[历史]]))+1)</f>
        <v>222</v>
      </c>
      <c r="W2884" s="29" cm="1">
        <f t="array" ref="W2884">IF(表成绩单[[#This Row],[总分]]="","",SUMPRODUCT((表成绩单[考试日期]=表成绩单[[#This Row],[考试日期]])*(表成绩单[总分]&lt;9E+307)*(表成绩单[总分]&gt;表成绩单[[#This Row],[总分]]))+1)</f>
        <v>477</v>
      </c>
    </row>
    <row r="2885" ht="28" customHeight="1" spans="4:23">
      <c r="D2885" s="31">
        <v>46108</v>
      </c>
      <c r="E2885" s="29">
        <v>19175982</v>
      </c>
      <c r="F2885" s="29" t="s">
        <v>59</v>
      </c>
      <c r="G2885" s="29" t="s">
        <v>640</v>
      </c>
      <c r="H2885" s="29">
        <v>96</v>
      </c>
      <c r="I2885" s="29">
        <v>83</v>
      </c>
      <c r="J2885" s="29">
        <v>76</v>
      </c>
      <c r="K2885" s="29">
        <v>72</v>
      </c>
      <c r="L2885" s="29">
        <v>62</v>
      </c>
      <c r="M2885" s="29">
        <v>72</v>
      </c>
      <c r="N2885" s="29">
        <v>75</v>
      </c>
      <c r="O2885" s="32">
        <v>536</v>
      </c>
      <c r="P2885" s="29" cm="1">
        <f t="array" ref="P2885">IF(表成绩单[[#This Row],[语文]]="","",SUMPRODUCT((表成绩单[考试日期]=表成绩单[[#This Row],[考试日期]])*(表成绩单[语文]&lt;9E+307)*(表成绩单[语文]&gt;表成绩单[[#This Row],[语文]]))+1)</f>
        <v>390</v>
      </c>
      <c r="Q2885" s="29" cm="1">
        <f t="array" ref="Q2885">IF(表成绩单[[#This Row],[数学]]="","",SUMPRODUCT((表成绩单[考试日期]=表成绩单[[#This Row],[考试日期]])*(表成绩单[数学]&lt;9E+307)*(表成绩单[数学]&gt;表成绩单[[#This Row],[数学]]))+1)</f>
        <v>543</v>
      </c>
      <c r="R2885" s="29" cm="1">
        <f t="array" ref="R2885">IF(表成绩单[[#This Row],[英语]]="","",SUMPRODUCT((表成绩单[考试日期]=表成绩单[[#This Row],[考试日期]])*(表成绩单[英语]&lt;9E+307)*(表成绩单[英语]&gt;表成绩单[[#This Row],[英语]]))+1)</f>
        <v>405</v>
      </c>
      <c r="S2885" s="29" cm="1">
        <f t="array" ref="S2885">IF(表成绩单[[#This Row],[物理]]="","",SUMPRODUCT((表成绩单[考试日期]=表成绩单[[#This Row],[考试日期]])*(表成绩单[物理]&lt;9E+307)*(表成绩单[物理]&gt;表成绩单[[#This Row],[物理]]))+1)</f>
        <v>521</v>
      </c>
      <c r="T2885" s="29" cm="1">
        <f t="array" ref="T2885">IF(表成绩单[[#This Row],[化学]]="","",SUMPRODUCT((表成绩单[考试日期]=表成绩单[[#This Row],[考试日期]])*(表成绩单[化学]&lt;9E+307)*(表成绩单[化学]&gt;表成绩单[[#This Row],[化学]]))+1)</f>
        <v>449</v>
      </c>
      <c r="U2885" s="29" cm="1">
        <f t="array" ref="U2885">IF(表成绩单[[#This Row],[政治]]="","",SUMPRODUCT((表成绩单[考试日期]=表成绩单[[#This Row],[考试日期]])*(表成绩单[政治]&lt;9E+307)*(表成绩单[政治]&gt;表成绩单[[#This Row],[政治]]))+1)</f>
        <v>470</v>
      </c>
      <c r="V2885" s="29" cm="1">
        <f t="array" ref="V2885">IF(表成绩单[[#This Row],[历史]]="","",SUMPRODUCT((表成绩单[考试日期]=表成绩单[[#This Row],[考试日期]])*(表成绩单[历史]&lt;9E+307)*(表成绩单[历史]&gt;表成绩单[[#This Row],[历史]]))+1)</f>
        <v>354</v>
      </c>
      <c r="W2885" s="29" cm="1">
        <f t="array" ref="W2885">IF(表成绩单[[#This Row],[总分]]="","",SUMPRODUCT((表成绩单[考试日期]=表成绩单[[#This Row],[考试日期]])*(表成绩单[总分]&lt;9E+307)*(表成绩单[总分]&gt;表成绩单[[#This Row],[总分]]))+1)</f>
        <v>477</v>
      </c>
    </row>
    <row r="2886" ht="28" customHeight="1" spans="4:23">
      <c r="D2886" s="31">
        <v>46108</v>
      </c>
      <c r="E2886" s="29">
        <v>19173261</v>
      </c>
      <c r="F2886" s="29" t="s">
        <v>61</v>
      </c>
      <c r="G2886" s="29" t="s">
        <v>407</v>
      </c>
      <c r="H2886" s="29">
        <v>86</v>
      </c>
      <c r="I2886" s="29">
        <v>85</v>
      </c>
      <c r="J2886" s="29">
        <v>79.5</v>
      </c>
      <c r="K2886" s="29">
        <v>82</v>
      </c>
      <c r="L2886" s="29">
        <v>52</v>
      </c>
      <c r="M2886" s="29">
        <v>77</v>
      </c>
      <c r="N2886" s="29">
        <v>74</v>
      </c>
      <c r="O2886" s="32">
        <v>535.5</v>
      </c>
      <c r="P2886" s="29" cm="1">
        <f t="array" ref="P2886">IF(表成绩单[[#This Row],[语文]]="","",SUMPRODUCT((表成绩单[考试日期]=表成绩单[[#This Row],[考试日期]])*(表成绩单[语文]&lt;9E+307)*(表成绩单[语文]&gt;表成绩单[[#This Row],[语文]]))+1)</f>
        <v>610</v>
      </c>
      <c r="Q2886" s="29" cm="1">
        <f t="array" ref="Q2886">IF(表成绩单[[#This Row],[数学]]="","",SUMPRODUCT((表成绩单[考试日期]=表成绩单[[#This Row],[考试日期]])*(表成绩单[数学]&lt;9E+307)*(表成绩单[数学]&gt;表成绩单[[#This Row],[数学]]))+1)</f>
        <v>501</v>
      </c>
      <c r="R2886" s="29" cm="1">
        <f t="array" ref="R2886">IF(表成绩单[[#This Row],[英语]]="","",SUMPRODUCT((表成绩单[考试日期]=表成绩单[[#This Row],[考试日期]])*(表成绩单[英语]&lt;9E+307)*(表成绩单[英语]&gt;表成绩单[[#This Row],[英语]]))+1)</f>
        <v>286</v>
      </c>
      <c r="S2886" s="29" cm="1">
        <f t="array" ref="S2886">IF(表成绩单[[#This Row],[物理]]="","",SUMPRODUCT((表成绩单[考试日期]=表成绩单[[#This Row],[考试日期]])*(表成绩单[物理]&lt;9E+307)*(表成绩单[物理]&gt;表成绩单[[#This Row],[物理]]))+1)</f>
        <v>223</v>
      </c>
      <c r="T2886" s="29" cm="1">
        <f t="array" ref="T2886">IF(表成绩单[[#This Row],[化学]]="","",SUMPRODUCT((表成绩单[考试日期]=表成绩单[[#This Row],[考试日期]])*(表成绩单[化学]&lt;9E+307)*(表成绩单[化学]&gt;表成绩单[[#This Row],[化学]]))+1)</f>
        <v>612</v>
      </c>
      <c r="U2886" s="29" cm="1">
        <f t="array" ref="U2886">IF(表成绩单[[#This Row],[政治]]="","",SUMPRODUCT((表成绩单[考试日期]=表成绩单[[#This Row],[考试日期]])*(表成绩单[政治]&lt;9E+307)*(表成绩单[政治]&gt;表成绩单[[#This Row],[政治]]))+1)</f>
        <v>230</v>
      </c>
      <c r="V2886" s="29" cm="1">
        <f t="array" ref="V2886">IF(表成绩单[[#This Row],[历史]]="","",SUMPRODUCT((表成绩单[考试日期]=表成绩单[[#This Row],[考试日期]])*(表成绩单[历史]&lt;9E+307)*(表成绩单[历史]&gt;表成绩单[[#This Row],[历史]]))+1)</f>
        <v>389</v>
      </c>
      <c r="W2886" s="29" cm="1">
        <f t="array" ref="W2886">IF(表成绩单[[#This Row],[总分]]="","",SUMPRODUCT((表成绩单[考试日期]=表成绩单[[#This Row],[考试日期]])*(表成绩单[总分]&lt;9E+307)*(表成绩单[总分]&gt;表成绩单[[#This Row],[总分]]))+1)</f>
        <v>479</v>
      </c>
    </row>
    <row r="2887" ht="28" customHeight="1" spans="4:23">
      <c r="D2887" s="31">
        <v>46108</v>
      </c>
      <c r="E2887" s="29">
        <v>19174738</v>
      </c>
      <c r="F2887" s="29" t="s">
        <v>64</v>
      </c>
      <c r="G2887" s="29" t="s">
        <v>493</v>
      </c>
      <c r="H2887" s="29">
        <v>87</v>
      </c>
      <c r="I2887" s="29">
        <v>96</v>
      </c>
      <c r="J2887" s="29">
        <v>76.5</v>
      </c>
      <c r="K2887" s="29">
        <v>76</v>
      </c>
      <c r="L2887" s="29">
        <v>57</v>
      </c>
      <c r="M2887" s="29">
        <v>72</v>
      </c>
      <c r="N2887" s="29">
        <v>71</v>
      </c>
      <c r="O2887" s="32">
        <v>535.5</v>
      </c>
      <c r="P2887" s="29" cm="1">
        <f t="array" ref="P2887">IF(表成绩单[[#This Row],[语文]]="","",SUMPRODUCT((表成绩单[考试日期]=表成绩单[[#This Row],[考试日期]])*(表成绩单[语文]&lt;9E+307)*(表成绩单[语文]&gt;表成绩单[[#This Row],[语文]]))+1)</f>
        <v>599</v>
      </c>
      <c r="Q2887" s="29" cm="1">
        <f t="array" ref="Q2887">IF(表成绩单[[#This Row],[数学]]="","",SUMPRODUCT((表成绩单[考试日期]=表成绩单[[#This Row],[考试日期]])*(表成绩单[数学]&lt;9E+307)*(表成绩单[数学]&gt;表成绩单[[#This Row],[数学]]))+1)</f>
        <v>202</v>
      </c>
      <c r="R2887" s="29" cm="1">
        <f t="array" ref="R2887">IF(表成绩单[[#This Row],[英语]]="","",SUMPRODUCT((表成绩单[考试日期]=表成绩单[[#This Row],[考试日期]])*(表成绩单[英语]&lt;9E+307)*(表成绩单[英语]&gt;表成绩单[[#This Row],[英语]]))+1)</f>
        <v>384</v>
      </c>
      <c r="S2887" s="29" cm="1">
        <f t="array" ref="S2887">IF(表成绩单[[#This Row],[物理]]="","",SUMPRODUCT((表成绩单[考试日期]=表成绩单[[#This Row],[考试日期]])*(表成绩单[物理]&lt;9E+307)*(表成绩单[物理]&gt;表成绩单[[#This Row],[物理]]))+1)</f>
        <v>433</v>
      </c>
      <c r="T2887" s="29" cm="1">
        <f t="array" ref="T2887">IF(表成绩单[[#This Row],[化学]]="","",SUMPRODUCT((表成绩单[考试日期]=表成绩单[[#This Row],[考试日期]])*(表成绩单[化学]&lt;9E+307)*(表成绩单[化学]&gt;表成绩单[[#This Row],[化学]]))+1)</f>
        <v>552</v>
      </c>
      <c r="U2887" s="29" cm="1">
        <f t="array" ref="U2887">IF(表成绩单[[#This Row],[政治]]="","",SUMPRODUCT((表成绩单[考试日期]=表成绩单[[#This Row],[考试日期]])*(表成绩单[政治]&lt;9E+307)*(表成绩单[政治]&gt;表成绩单[[#This Row],[政治]]))+1)</f>
        <v>470</v>
      </c>
      <c r="V2887" s="29" cm="1">
        <f t="array" ref="V2887">IF(表成绩单[[#This Row],[历史]]="","",SUMPRODUCT((表成绩单[考试日期]=表成绩单[[#This Row],[考试日期]])*(表成绩单[历史]&lt;9E+307)*(表成绩单[历史]&gt;表成绩单[[#This Row],[历史]]))+1)</f>
        <v>516</v>
      </c>
      <c r="W2887" s="29" cm="1">
        <f t="array" ref="W2887">IF(表成绩单[[#This Row],[总分]]="","",SUMPRODUCT((表成绩单[考试日期]=表成绩单[[#This Row],[考试日期]])*(表成绩单[总分]&lt;9E+307)*(表成绩单[总分]&gt;表成绩单[[#This Row],[总分]]))+1)</f>
        <v>479</v>
      </c>
    </row>
    <row r="2888" ht="28" customHeight="1" spans="4:23">
      <c r="D2888" s="31">
        <v>46108</v>
      </c>
      <c r="E2888" s="29">
        <v>19176166</v>
      </c>
      <c r="F2888" s="29" t="s">
        <v>67</v>
      </c>
      <c r="G2888" s="29" t="s">
        <v>360</v>
      </c>
      <c r="H2888" s="29">
        <v>100</v>
      </c>
      <c r="I2888" s="29">
        <v>88</v>
      </c>
      <c r="J2888" s="29">
        <v>70.5</v>
      </c>
      <c r="K2888" s="29">
        <v>68</v>
      </c>
      <c r="L2888" s="29">
        <v>63</v>
      </c>
      <c r="M2888" s="29">
        <v>71</v>
      </c>
      <c r="N2888" s="29">
        <v>75</v>
      </c>
      <c r="O2888" s="32">
        <v>535.5</v>
      </c>
      <c r="P2888" s="29" cm="1">
        <f t="array" ref="P2888">IF(表成绩单[[#This Row],[语文]]="","",SUMPRODUCT((表成绩单[考试日期]=表成绩单[[#This Row],[考试日期]])*(表成绩单[语文]&lt;9E+307)*(表成绩单[语文]&gt;表成绩单[[#This Row],[语文]]))+1)</f>
        <v>247</v>
      </c>
      <c r="Q2888" s="29" cm="1">
        <f t="array" ref="Q2888">IF(表成绩单[[#This Row],[数学]]="","",SUMPRODUCT((表成绩单[考试日期]=表成绩单[[#This Row],[考试日期]])*(表成绩单[数学]&lt;9E+307)*(表成绩单[数学]&gt;表成绩单[[#This Row],[数学]]))+1)</f>
        <v>424</v>
      </c>
      <c r="R2888" s="29" cm="1">
        <f t="array" ref="R2888">IF(表成绩单[[#This Row],[英语]]="","",SUMPRODUCT((表成绩单[考试日期]=表成绩单[[#This Row],[考试日期]])*(表成绩单[英语]&lt;9E+307)*(表成绩单[英语]&gt;表成绩单[[#This Row],[英语]]))+1)</f>
        <v>530</v>
      </c>
      <c r="S2888" s="29" cm="1">
        <f t="array" ref="S2888">IF(表成绩单[[#This Row],[物理]]="","",SUMPRODUCT((表成绩单[考试日期]=表成绩单[[#This Row],[考试日期]])*(表成绩单[物理]&lt;9E+307)*(表成绩单[物理]&gt;表成绩单[[#This Row],[物理]]))+1)</f>
        <v>581</v>
      </c>
      <c r="T2888" s="29" cm="1">
        <f t="array" ref="T2888">IF(表成绩单[[#This Row],[化学]]="","",SUMPRODUCT((表成绩单[考试日期]=表成绩单[[#This Row],[考试日期]])*(表成绩单[化学]&lt;9E+307)*(表成绩单[化学]&gt;表成绩单[[#This Row],[化学]]))+1)</f>
        <v>426</v>
      </c>
      <c r="U2888" s="29" cm="1">
        <f t="array" ref="U2888">IF(表成绩单[[#This Row],[政治]]="","",SUMPRODUCT((表成绩单[考试日期]=表成绩单[[#This Row],[考试日期]])*(表成绩单[政治]&lt;9E+307)*(表成绩单[政治]&gt;表成绩单[[#This Row],[政治]]))+1)</f>
        <v>513</v>
      </c>
      <c r="V2888" s="29" cm="1">
        <f t="array" ref="V2888">IF(表成绩单[[#This Row],[历史]]="","",SUMPRODUCT((表成绩单[考试日期]=表成绩单[[#This Row],[考试日期]])*(表成绩单[历史]&lt;9E+307)*(表成绩单[历史]&gt;表成绩单[[#This Row],[历史]]))+1)</f>
        <v>354</v>
      </c>
      <c r="W2888" s="29" cm="1">
        <f t="array" ref="W2888">IF(表成绩单[[#This Row],[总分]]="","",SUMPRODUCT((表成绩单[考试日期]=表成绩单[[#This Row],[考试日期]])*(表成绩单[总分]&lt;9E+307)*(表成绩单[总分]&gt;表成绩单[[#This Row],[总分]]))+1)</f>
        <v>479</v>
      </c>
    </row>
    <row r="2889" ht="28" customHeight="1" spans="4:23">
      <c r="D2889" s="31">
        <v>46108</v>
      </c>
      <c r="E2889" s="29">
        <v>19178589</v>
      </c>
      <c r="F2889" s="29" t="s">
        <v>64</v>
      </c>
      <c r="G2889" s="29" t="s">
        <v>534</v>
      </c>
      <c r="H2889" s="29">
        <v>95</v>
      </c>
      <c r="I2889" s="29">
        <v>84</v>
      </c>
      <c r="J2889" s="29">
        <v>77.5</v>
      </c>
      <c r="K2889" s="29">
        <v>70</v>
      </c>
      <c r="L2889" s="29">
        <v>60</v>
      </c>
      <c r="M2889" s="29">
        <v>73</v>
      </c>
      <c r="N2889" s="29">
        <v>76</v>
      </c>
      <c r="O2889" s="32">
        <v>535.5</v>
      </c>
      <c r="P2889" s="29" cm="1">
        <f t="array" ref="P2889">IF(表成绩单[[#This Row],[语文]]="","",SUMPRODUCT((表成绩单[考试日期]=表成绩单[[#This Row],[考试日期]])*(表成绩单[语文]&lt;9E+307)*(表成绩单[语文]&gt;表成绩单[[#This Row],[语文]]))+1)</f>
        <v>422</v>
      </c>
      <c r="Q2889" s="29" cm="1">
        <f t="array" ref="Q2889">IF(表成绩单[[#This Row],[数学]]="","",SUMPRODUCT((表成绩单[考试日期]=表成绩单[[#This Row],[考试日期]])*(表成绩单[数学]&lt;9E+307)*(表成绩单[数学]&gt;表成绩单[[#This Row],[数学]]))+1)</f>
        <v>518</v>
      </c>
      <c r="R2889" s="29" cm="1">
        <f t="array" ref="R2889">IF(表成绩单[[#This Row],[英语]]="","",SUMPRODUCT((表成绩单[考试日期]=表成绩单[[#This Row],[考试日期]])*(表成绩单[英语]&lt;9E+307)*(表成绩单[英语]&gt;表成绩单[[#This Row],[英语]]))+1)</f>
        <v>353</v>
      </c>
      <c r="S2889" s="29" cm="1">
        <f t="array" ref="S2889">IF(表成绩单[[#This Row],[物理]]="","",SUMPRODUCT((表成绩单[考试日期]=表成绩单[[#This Row],[考试日期]])*(表成绩单[物理]&lt;9E+307)*(表成绩单[物理]&gt;表成绩单[[#This Row],[物理]]))+1)</f>
        <v>549</v>
      </c>
      <c r="T2889" s="29" cm="1">
        <f t="array" ref="T2889">IF(表成绩单[[#This Row],[化学]]="","",SUMPRODUCT((表成绩单[考试日期]=表成绩单[[#This Row],[考试日期]])*(表成绩单[化学]&lt;9E+307)*(表成绩单[化学]&gt;表成绩单[[#This Row],[化学]]))+1)</f>
        <v>490</v>
      </c>
      <c r="U2889" s="29" cm="1">
        <f t="array" ref="U2889">IF(表成绩单[[#This Row],[政治]]="","",SUMPRODUCT((表成绩单[考试日期]=表成绩单[[#This Row],[考试日期]])*(表成绩单[政治]&lt;9E+307)*(表成绩单[政治]&gt;表成绩单[[#This Row],[政治]]))+1)</f>
        <v>431</v>
      </c>
      <c r="V2889" s="29" cm="1">
        <f t="array" ref="V2889">IF(表成绩单[[#This Row],[历史]]="","",SUMPRODUCT((表成绩单[考试日期]=表成绩单[[#This Row],[考试日期]])*(表成绩单[历史]&lt;9E+307)*(表成绩单[历史]&gt;表成绩单[[#This Row],[历史]]))+1)</f>
        <v>316</v>
      </c>
      <c r="W2889" s="29" cm="1">
        <f t="array" ref="W2889">IF(表成绩单[[#This Row],[总分]]="","",SUMPRODUCT((表成绩单[考试日期]=表成绩单[[#This Row],[考试日期]])*(表成绩单[总分]&lt;9E+307)*(表成绩单[总分]&gt;表成绩单[[#This Row],[总分]]))+1)</f>
        <v>479</v>
      </c>
    </row>
    <row r="2890" ht="28" customHeight="1" spans="4:23">
      <c r="D2890" s="31">
        <v>46108</v>
      </c>
      <c r="E2890" s="29">
        <v>19173244</v>
      </c>
      <c r="F2890" s="29" t="s">
        <v>61</v>
      </c>
      <c r="G2890" s="29" t="s">
        <v>551</v>
      </c>
      <c r="H2890" s="29">
        <v>97</v>
      </c>
      <c r="I2890" s="29">
        <v>81</v>
      </c>
      <c r="J2890" s="29">
        <v>73</v>
      </c>
      <c r="K2890" s="29">
        <v>77</v>
      </c>
      <c r="L2890" s="29">
        <v>62</v>
      </c>
      <c r="M2890" s="29">
        <v>69</v>
      </c>
      <c r="N2890" s="29">
        <v>76</v>
      </c>
      <c r="O2890" s="32">
        <v>535</v>
      </c>
      <c r="P2890" s="29" cm="1">
        <f t="array" ref="P2890">IF(表成绩单[[#This Row],[语文]]="","",SUMPRODUCT((表成绩单[考试日期]=表成绩单[[#This Row],[考试日期]])*(表成绩单[语文]&lt;9E+307)*(表成绩单[语文]&gt;表成绩单[[#This Row],[语文]]))+1)</f>
        <v>357</v>
      </c>
      <c r="Q2890" s="29" cm="1">
        <f t="array" ref="Q2890">IF(表成绩单[[#This Row],[数学]]="","",SUMPRODUCT((表成绩单[考试日期]=表成绩单[[#This Row],[考试日期]])*(表成绩单[数学]&lt;9E+307)*(表成绩单[数学]&gt;表成绩单[[#This Row],[数学]]))+1)</f>
        <v>563</v>
      </c>
      <c r="R2890" s="29" cm="1">
        <f t="array" ref="R2890">IF(表成绩单[[#This Row],[英语]]="","",SUMPRODUCT((表成绩单[考试日期]=表成绩单[[#This Row],[考试日期]])*(表成绩单[英语]&lt;9E+307)*(表成绩单[英语]&gt;表成绩单[[#This Row],[英语]]))+1)</f>
        <v>478</v>
      </c>
      <c r="S2890" s="29" cm="1">
        <f t="array" ref="S2890">IF(表成绩单[[#This Row],[物理]]="","",SUMPRODUCT((表成绩单[考试日期]=表成绩单[[#This Row],[考试日期]])*(表成绩单[物理]&lt;9E+307)*(表成绩单[物理]&gt;表成绩单[[#This Row],[物理]]))+1)</f>
        <v>400</v>
      </c>
      <c r="T2890" s="29" cm="1">
        <f t="array" ref="T2890">IF(表成绩单[[#This Row],[化学]]="","",SUMPRODUCT((表成绩单[考试日期]=表成绩单[[#This Row],[考试日期]])*(表成绩单[化学]&lt;9E+307)*(表成绩单[化学]&gt;表成绩单[[#This Row],[化学]]))+1)</f>
        <v>449</v>
      </c>
      <c r="U2890" s="29" cm="1">
        <f t="array" ref="U2890">IF(表成绩单[[#This Row],[政治]]="","",SUMPRODUCT((表成绩单[考试日期]=表成绩单[[#This Row],[考试日期]])*(表成绩单[政治]&lt;9E+307)*(表成绩单[政治]&gt;表成绩单[[#This Row],[政治]]))+1)</f>
        <v>567</v>
      </c>
      <c r="V2890" s="29" cm="1">
        <f t="array" ref="V2890">IF(表成绩单[[#This Row],[历史]]="","",SUMPRODUCT((表成绩单[考试日期]=表成绩单[[#This Row],[考试日期]])*(表成绩单[历史]&lt;9E+307)*(表成绩单[历史]&gt;表成绩单[[#This Row],[历史]]))+1)</f>
        <v>316</v>
      </c>
      <c r="W2890" s="29" cm="1">
        <f t="array" ref="W2890">IF(表成绩单[[#This Row],[总分]]="","",SUMPRODUCT((表成绩单[考试日期]=表成绩单[[#This Row],[考试日期]])*(表成绩单[总分]&lt;9E+307)*(表成绩单[总分]&gt;表成绩单[[#This Row],[总分]]))+1)</f>
        <v>483</v>
      </c>
    </row>
    <row r="2891" ht="28" customHeight="1" spans="4:23">
      <c r="D2891" s="31">
        <v>46108</v>
      </c>
      <c r="E2891" s="29">
        <v>19173281</v>
      </c>
      <c r="F2891" s="29" t="s">
        <v>61</v>
      </c>
      <c r="G2891" s="29" t="s">
        <v>398</v>
      </c>
      <c r="H2891" s="29">
        <v>92</v>
      </c>
      <c r="I2891" s="29">
        <v>81</v>
      </c>
      <c r="J2891" s="29">
        <v>74</v>
      </c>
      <c r="K2891" s="29">
        <v>84</v>
      </c>
      <c r="L2891" s="29">
        <v>61</v>
      </c>
      <c r="M2891" s="29">
        <v>70</v>
      </c>
      <c r="N2891" s="29">
        <v>73</v>
      </c>
      <c r="O2891" s="32">
        <v>535</v>
      </c>
      <c r="P2891" s="29" cm="1">
        <f t="array" ref="P2891">IF(表成绩单[[#This Row],[语文]]="","",SUMPRODUCT((表成绩单[考试日期]=表成绩单[[#This Row],[考试日期]])*(表成绩单[语文]&lt;9E+307)*(表成绩单[语文]&gt;表成绩单[[#This Row],[语文]]))+1)</f>
        <v>494</v>
      </c>
      <c r="Q2891" s="29" cm="1">
        <f t="array" ref="Q2891">IF(表成绩单[[#This Row],[数学]]="","",SUMPRODUCT((表成绩单[考试日期]=表成绩单[[#This Row],[考试日期]])*(表成绩单[数学]&lt;9E+307)*(表成绩单[数学]&gt;表成绩单[[#This Row],[数学]]))+1)</f>
        <v>563</v>
      </c>
      <c r="R2891" s="29" cm="1">
        <f t="array" ref="R2891">IF(表成绩单[[#This Row],[英语]]="","",SUMPRODUCT((表成绩单[考试日期]=表成绩单[[#This Row],[考试日期]])*(表成绩单[英语]&lt;9E+307)*(表成绩单[英语]&gt;表成绩单[[#This Row],[英语]]))+1)</f>
        <v>464</v>
      </c>
      <c r="S2891" s="29" cm="1">
        <f t="array" ref="S2891">IF(表成绩单[[#This Row],[物理]]="","",SUMPRODUCT((表成绩单[考试日期]=表成绩单[[#This Row],[考试日期]])*(表成绩单[物理]&lt;9E+307)*(表成绩单[物理]&gt;表成绩单[[#This Row],[物理]]))+1)</f>
        <v>146</v>
      </c>
      <c r="T2891" s="29" cm="1">
        <f t="array" ref="T2891">IF(表成绩单[[#This Row],[化学]]="","",SUMPRODUCT((表成绩单[考试日期]=表成绩单[[#This Row],[考试日期]])*(表成绩单[化学]&lt;9E+307)*(表成绩单[化学]&gt;表成绩单[[#This Row],[化学]]))+1)</f>
        <v>467</v>
      </c>
      <c r="U2891" s="29" cm="1">
        <f t="array" ref="U2891">IF(表成绩单[[#This Row],[政治]]="","",SUMPRODUCT((表成绩单[考试日期]=表成绩单[[#This Row],[考试日期]])*(表成绩单[政治]&lt;9E+307)*(表成绩单[政治]&gt;表成绩单[[#This Row],[政治]]))+1)</f>
        <v>548</v>
      </c>
      <c r="V2891" s="29" cm="1">
        <f t="array" ref="V2891">IF(表成绩单[[#This Row],[历史]]="","",SUMPRODUCT((表成绩单[考试日期]=表成绩单[[#This Row],[考试日期]])*(表成绩单[历史]&lt;9E+307)*(表成绩单[历史]&gt;表成绩单[[#This Row],[历史]]))+1)</f>
        <v>432</v>
      </c>
      <c r="W2891" s="29" cm="1">
        <f t="array" ref="W2891">IF(表成绩单[[#This Row],[总分]]="","",SUMPRODUCT((表成绩单[考试日期]=表成绩单[[#This Row],[考试日期]])*(表成绩单[总分]&lt;9E+307)*(表成绩单[总分]&gt;表成绩单[[#This Row],[总分]]))+1)</f>
        <v>483</v>
      </c>
    </row>
    <row r="2892" ht="28" customHeight="1" spans="4:23">
      <c r="D2892" s="31">
        <v>46108</v>
      </c>
      <c r="E2892" s="29">
        <v>19175995</v>
      </c>
      <c r="F2892" s="29" t="s">
        <v>59</v>
      </c>
      <c r="G2892" s="29" t="s">
        <v>614</v>
      </c>
      <c r="H2892" s="29">
        <v>85</v>
      </c>
      <c r="I2892" s="29">
        <v>87</v>
      </c>
      <c r="J2892" s="29">
        <v>59</v>
      </c>
      <c r="K2892" s="29">
        <v>78</v>
      </c>
      <c r="L2892" s="29">
        <v>72</v>
      </c>
      <c r="M2892" s="29">
        <v>74</v>
      </c>
      <c r="N2892" s="29">
        <v>80</v>
      </c>
      <c r="O2892" s="32">
        <v>535</v>
      </c>
      <c r="P2892" s="29" cm="1">
        <f t="array" ref="P2892">IF(表成绩单[[#This Row],[语文]]="","",SUMPRODUCT((表成绩单[考试日期]=表成绩单[[#This Row],[考试日期]])*(表成绩单[语文]&lt;9E+307)*(表成绩单[语文]&gt;表成绩单[[#This Row],[语文]]))+1)</f>
        <v>626</v>
      </c>
      <c r="Q2892" s="29" cm="1">
        <f t="array" ref="Q2892">IF(表成绩单[[#This Row],[数学]]="","",SUMPRODUCT((表成绩单[考试日期]=表成绩单[[#This Row],[考试日期]])*(表成绩单[数学]&lt;9E+307)*(表成绩单[数学]&gt;表成绩单[[#This Row],[数学]]))+1)</f>
        <v>452</v>
      </c>
      <c r="R2892" s="29" cm="1">
        <f t="array" ref="R2892">IF(表成绩单[[#This Row],[英语]]="","",SUMPRODUCT((表成绩单[考试日期]=表成绩单[[#This Row],[考试日期]])*(表成绩单[英语]&lt;9E+307)*(表成绩单[英语]&gt;表成绩单[[#This Row],[英语]]))+1)</f>
        <v>662</v>
      </c>
      <c r="S2892" s="29" cm="1">
        <f t="array" ref="S2892">IF(表成绩单[[#This Row],[物理]]="","",SUMPRODUCT((表成绩单[考试日期]=表成绩单[[#This Row],[考试日期]])*(表成绩单[物理]&lt;9E+307)*(表成绩单[物理]&gt;表成绩单[[#This Row],[物理]]))+1)</f>
        <v>365</v>
      </c>
      <c r="T2892" s="29" cm="1">
        <f t="array" ref="T2892">IF(表成绩单[[#This Row],[化学]]="","",SUMPRODUCT((表成绩单[考试日期]=表成绩单[[#This Row],[考试日期]])*(表成绩单[化学]&lt;9E+307)*(表成绩单[化学]&gt;表成绩单[[#This Row],[化学]]))+1)</f>
        <v>187</v>
      </c>
      <c r="U2892" s="29" cm="1">
        <f t="array" ref="U2892">IF(表成绩单[[#This Row],[政治]]="","",SUMPRODUCT((表成绩单[考试日期]=表成绩单[[#This Row],[考试日期]])*(表成绩单[政治]&lt;9E+307)*(表成绩单[政治]&gt;表成绩单[[#This Row],[政治]]))+1)</f>
        <v>389</v>
      </c>
      <c r="V2892" s="29" cm="1">
        <f t="array" ref="V2892">IF(表成绩单[[#This Row],[历史]]="","",SUMPRODUCT((表成绩单[考试日期]=表成绩单[[#This Row],[考试日期]])*(表成绩单[历史]&lt;9E+307)*(表成绩单[历史]&gt;表成绩单[[#This Row],[历史]]))+1)</f>
        <v>143</v>
      </c>
      <c r="W2892" s="29" cm="1">
        <f t="array" ref="W2892">IF(表成绩单[[#This Row],[总分]]="","",SUMPRODUCT((表成绩单[考试日期]=表成绩单[[#This Row],[考试日期]])*(表成绩单[总分]&lt;9E+307)*(表成绩单[总分]&gt;表成绩单[[#This Row],[总分]]))+1)</f>
        <v>483</v>
      </c>
    </row>
    <row r="2893" ht="28" customHeight="1" spans="4:23">
      <c r="D2893" s="31">
        <v>46108</v>
      </c>
      <c r="E2893" s="29">
        <v>19176172</v>
      </c>
      <c r="F2893" s="29" t="s">
        <v>67</v>
      </c>
      <c r="G2893" s="29" t="s">
        <v>422</v>
      </c>
      <c r="H2893" s="29">
        <v>88</v>
      </c>
      <c r="I2893" s="29">
        <v>98</v>
      </c>
      <c r="J2893" s="29">
        <v>65</v>
      </c>
      <c r="K2893" s="29">
        <v>78</v>
      </c>
      <c r="L2893" s="29">
        <v>73</v>
      </c>
      <c r="M2893" s="29">
        <v>69</v>
      </c>
      <c r="N2893" s="29">
        <v>64</v>
      </c>
      <c r="O2893" s="32">
        <v>535</v>
      </c>
      <c r="P2893" s="29" cm="1">
        <f t="array" ref="P2893">IF(表成绩单[[#This Row],[语文]]="","",SUMPRODUCT((表成绩单[考试日期]=表成绩单[[#This Row],[考试日期]])*(表成绩单[语文]&lt;9E+307)*(表成绩单[语文]&gt;表成绩单[[#This Row],[语文]]))+1)</f>
        <v>575</v>
      </c>
      <c r="Q2893" s="29" cm="1">
        <f t="array" ref="Q2893">IF(表成绩单[[#This Row],[数学]]="","",SUMPRODUCT((表成绩单[考试日期]=表成绩单[[#This Row],[考试日期]])*(表成绩单[数学]&lt;9E+307)*(表成绩单[数学]&gt;表成绩单[[#This Row],[数学]]))+1)</f>
        <v>158</v>
      </c>
      <c r="R2893" s="29" cm="1">
        <f t="array" ref="R2893">IF(表成绩单[[#This Row],[英语]]="","",SUMPRODUCT((表成绩单[考试日期]=表成绩单[[#This Row],[考试日期]])*(表成绩单[英语]&lt;9E+307)*(表成绩单[英语]&gt;表成绩单[[#This Row],[英语]]))+1)</f>
        <v>603</v>
      </c>
      <c r="S2893" s="29" cm="1">
        <f t="array" ref="S2893">IF(表成绩单[[#This Row],[物理]]="","",SUMPRODUCT((表成绩单[考试日期]=表成绩单[[#This Row],[考试日期]])*(表成绩单[物理]&lt;9E+307)*(表成绩单[物理]&gt;表成绩单[[#This Row],[物理]]))+1)</f>
        <v>365</v>
      </c>
      <c r="T2893" s="29" cm="1">
        <f t="array" ref="T2893">IF(表成绩单[[#This Row],[化学]]="","",SUMPRODUCT((表成绩单[考试日期]=表成绩单[[#This Row],[考试日期]])*(表成绩单[化学]&lt;9E+307)*(表成绩单[化学]&gt;表成绩单[[#This Row],[化学]]))+1)</f>
        <v>152</v>
      </c>
      <c r="U2893" s="29" cm="1">
        <f t="array" ref="U2893">IF(表成绩单[[#This Row],[政治]]="","",SUMPRODUCT((表成绩单[考试日期]=表成绩单[[#This Row],[考试日期]])*(表成绩单[政治]&lt;9E+307)*(表成绩单[政治]&gt;表成绩单[[#This Row],[政治]]))+1)</f>
        <v>567</v>
      </c>
      <c r="V2893" s="29" cm="1">
        <f t="array" ref="V2893">IF(表成绩单[[#This Row],[历史]]="","",SUMPRODUCT((表成绩单[考试日期]=表成绩单[[#This Row],[考试日期]])*(表成绩单[历史]&lt;9E+307)*(表成绩单[历史]&gt;表成绩单[[#This Row],[历史]]))+1)</f>
        <v>666</v>
      </c>
      <c r="W2893" s="29" cm="1">
        <f t="array" ref="W2893">IF(表成绩单[[#This Row],[总分]]="","",SUMPRODUCT((表成绩单[考试日期]=表成绩单[[#This Row],[考试日期]])*(表成绩单[总分]&lt;9E+307)*(表成绩单[总分]&gt;表成绩单[[#This Row],[总分]]))+1)</f>
        <v>483</v>
      </c>
    </row>
    <row r="2894" ht="28" customHeight="1" spans="4:23">
      <c r="D2894" s="31">
        <v>46108</v>
      </c>
      <c r="E2894" s="29">
        <v>19177604</v>
      </c>
      <c r="F2894" s="29" t="s">
        <v>58</v>
      </c>
      <c r="G2894" s="29" t="s">
        <v>682</v>
      </c>
      <c r="H2894" s="29">
        <v>96</v>
      </c>
      <c r="I2894" s="29">
        <v>90</v>
      </c>
      <c r="J2894" s="29">
        <v>71</v>
      </c>
      <c r="K2894" s="29">
        <v>74</v>
      </c>
      <c r="L2894" s="29">
        <v>58</v>
      </c>
      <c r="M2894" s="29">
        <v>76</v>
      </c>
      <c r="N2894" s="29">
        <v>70</v>
      </c>
      <c r="O2894" s="32">
        <v>535</v>
      </c>
      <c r="P2894" s="29" cm="1">
        <f t="array" ref="P2894">IF(表成绩单[[#This Row],[语文]]="","",SUMPRODUCT((表成绩单[考试日期]=表成绩单[[#This Row],[考试日期]])*(表成绩单[语文]&lt;9E+307)*(表成绩单[语文]&gt;表成绩单[[#This Row],[语文]]))+1)</f>
        <v>390</v>
      </c>
      <c r="Q2894" s="29" cm="1">
        <f t="array" ref="Q2894">IF(表成绩单[[#This Row],[数学]]="","",SUMPRODUCT((表成绩单[考试日期]=表成绩单[[#This Row],[考试日期]])*(表成绩单[数学]&lt;9E+307)*(表成绩单[数学]&gt;表成绩单[[#This Row],[数学]]))+1)</f>
        <v>368</v>
      </c>
      <c r="R2894" s="29" cm="1">
        <f t="array" ref="R2894">IF(表成绩单[[#This Row],[英语]]="","",SUMPRODUCT((表成绩单[考试日期]=表成绩单[[#This Row],[考试日期]])*(表成绩单[英语]&lt;9E+307)*(表成绩单[英语]&gt;表成绩单[[#This Row],[英语]]))+1)</f>
        <v>522</v>
      </c>
      <c r="S2894" s="29" cm="1">
        <f t="array" ref="S2894">IF(表成绩单[[#This Row],[物理]]="","",SUMPRODUCT((表成绩单[考试日期]=表成绩单[[#This Row],[考试日期]])*(表成绩单[物理]&lt;9E+307)*(表成绩单[物理]&gt;表成绩单[[#This Row],[物理]]))+1)</f>
        <v>472</v>
      </c>
      <c r="T2894" s="29" cm="1">
        <f t="array" ref="T2894">IF(表成绩单[[#This Row],[化学]]="","",SUMPRODUCT((表成绩单[考试日期]=表成绩单[[#This Row],[考试日期]])*(表成绩单[化学]&lt;9E+307)*(表成绩单[化学]&gt;表成绩单[[#This Row],[化学]]))+1)</f>
        <v>532</v>
      </c>
      <c r="U2894" s="29" cm="1">
        <f t="array" ref="U2894">IF(表成绩单[[#This Row],[政治]]="","",SUMPRODUCT((表成绩单[考试日期]=表成绩单[[#This Row],[考试日期]])*(表成绩单[政治]&lt;9E+307)*(表成绩单[政治]&gt;表成绩单[[#This Row],[政治]]))+1)</f>
        <v>291</v>
      </c>
      <c r="V2894" s="29" cm="1">
        <f t="array" ref="V2894">IF(表成绩单[[#This Row],[历史]]="","",SUMPRODUCT((表成绩单[考试日期]=表成绩单[[#This Row],[考试日期]])*(表成绩单[历史]&lt;9E+307)*(表成绩单[历史]&gt;表成绩单[[#This Row],[历史]]))+1)</f>
        <v>539</v>
      </c>
      <c r="W2894" s="29" cm="1">
        <f t="array" ref="W2894">IF(表成绩单[[#This Row],[总分]]="","",SUMPRODUCT((表成绩单[考试日期]=表成绩单[[#This Row],[考试日期]])*(表成绩单[总分]&lt;9E+307)*(表成绩单[总分]&gt;表成绩单[[#This Row],[总分]]))+1)</f>
        <v>483</v>
      </c>
    </row>
    <row r="2895" ht="28" customHeight="1" spans="4:23">
      <c r="D2895" s="31">
        <v>46108</v>
      </c>
      <c r="E2895" s="29">
        <v>19178588</v>
      </c>
      <c r="F2895" s="29" t="s">
        <v>64</v>
      </c>
      <c r="G2895" s="29" t="s">
        <v>615</v>
      </c>
      <c r="H2895" s="29">
        <v>95</v>
      </c>
      <c r="I2895" s="29">
        <v>96</v>
      </c>
      <c r="J2895" s="29">
        <v>64</v>
      </c>
      <c r="K2895" s="29">
        <v>70</v>
      </c>
      <c r="L2895" s="29">
        <v>65</v>
      </c>
      <c r="M2895" s="29">
        <v>74</v>
      </c>
      <c r="N2895" s="29">
        <v>71</v>
      </c>
      <c r="O2895" s="32">
        <v>535</v>
      </c>
      <c r="P2895" s="29" cm="1">
        <f t="array" ref="P2895">IF(表成绩单[[#This Row],[语文]]="","",SUMPRODUCT((表成绩单[考试日期]=表成绩单[[#This Row],[考试日期]])*(表成绩单[语文]&lt;9E+307)*(表成绩单[语文]&gt;表成绩单[[#This Row],[语文]]))+1)</f>
        <v>422</v>
      </c>
      <c r="Q2895" s="29" cm="1">
        <f t="array" ref="Q2895">IF(表成绩单[[#This Row],[数学]]="","",SUMPRODUCT((表成绩单[考试日期]=表成绩单[[#This Row],[考试日期]])*(表成绩单[数学]&lt;9E+307)*(表成绩单[数学]&gt;表成绩单[[#This Row],[数学]]))+1)</f>
        <v>202</v>
      </c>
      <c r="R2895" s="29" cm="1">
        <f t="array" ref="R2895">IF(表成绩单[[#This Row],[英语]]="","",SUMPRODUCT((表成绩单[考试日期]=表成绩单[[#This Row],[考试日期]])*(表成绩单[英语]&lt;9E+307)*(表成绩单[英语]&gt;表成绩单[[#This Row],[英语]]))+1)</f>
        <v>616</v>
      </c>
      <c r="S2895" s="29" cm="1">
        <f t="array" ref="S2895">IF(表成绩单[[#This Row],[物理]]="","",SUMPRODUCT((表成绩单[考试日期]=表成绩单[[#This Row],[考试日期]])*(表成绩单[物理]&lt;9E+307)*(表成绩单[物理]&gt;表成绩单[[#This Row],[物理]]))+1)</f>
        <v>549</v>
      </c>
      <c r="T2895" s="29" cm="1">
        <f t="array" ref="T2895">IF(表成绩单[[#This Row],[化学]]="","",SUMPRODUCT((表成绩单[考试日期]=表成绩单[[#This Row],[考试日期]])*(表成绩单[化学]&lt;9E+307)*(表成绩单[化学]&gt;表成绩单[[#This Row],[化学]]))+1)</f>
        <v>379</v>
      </c>
      <c r="U2895" s="29" cm="1">
        <f t="array" ref="U2895">IF(表成绩单[[#This Row],[政治]]="","",SUMPRODUCT((表成绩单[考试日期]=表成绩单[[#This Row],[考试日期]])*(表成绩单[政治]&lt;9E+307)*(表成绩单[政治]&gt;表成绩单[[#This Row],[政治]]))+1)</f>
        <v>389</v>
      </c>
      <c r="V2895" s="29" cm="1">
        <f t="array" ref="V2895">IF(表成绩单[[#This Row],[历史]]="","",SUMPRODUCT((表成绩单[考试日期]=表成绩单[[#This Row],[考试日期]])*(表成绩单[历史]&lt;9E+307)*(表成绩单[历史]&gt;表成绩单[[#This Row],[历史]]))+1)</f>
        <v>516</v>
      </c>
      <c r="W2895" s="29" cm="1">
        <f t="array" ref="W2895">IF(表成绩单[[#This Row],[总分]]="","",SUMPRODUCT((表成绩单[考试日期]=表成绩单[[#This Row],[考试日期]])*(表成绩单[总分]&lt;9E+307)*(表成绩单[总分]&gt;表成绩单[[#This Row],[总分]]))+1)</f>
        <v>483</v>
      </c>
    </row>
    <row r="2896" ht="28" customHeight="1" spans="4:23">
      <c r="D2896" s="31">
        <v>46108</v>
      </c>
      <c r="E2896" s="29">
        <v>19178627</v>
      </c>
      <c r="F2896" s="29" t="s">
        <v>25</v>
      </c>
      <c r="G2896" s="29" t="s">
        <v>434</v>
      </c>
      <c r="H2896" s="29">
        <v>90</v>
      </c>
      <c r="I2896" s="29">
        <v>93</v>
      </c>
      <c r="J2896" s="29">
        <v>82</v>
      </c>
      <c r="K2896" s="29">
        <v>72</v>
      </c>
      <c r="L2896" s="29">
        <v>52</v>
      </c>
      <c r="M2896" s="29">
        <v>69</v>
      </c>
      <c r="N2896" s="29">
        <v>77</v>
      </c>
      <c r="O2896" s="32">
        <v>535</v>
      </c>
      <c r="P2896" s="29" cm="1">
        <f t="array" ref="P2896">IF(表成绩单[[#This Row],[语文]]="","",SUMPRODUCT((表成绩单[考试日期]=表成绩单[[#This Row],[考试日期]])*(表成绩单[语文]&lt;9E+307)*(表成绩单[语文]&gt;表成绩单[[#This Row],[语文]]))+1)</f>
        <v>539</v>
      </c>
      <c r="Q2896" s="29" cm="1">
        <f t="array" ref="Q2896">IF(表成绩单[[#This Row],[数学]]="","",SUMPRODUCT((表成绩单[考试日期]=表成绩单[[#This Row],[考试日期]])*(表成绩单[数学]&lt;9E+307)*(表成绩单[数学]&gt;表成绩单[[#This Row],[数学]]))+1)</f>
        <v>289</v>
      </c>
      <c r="R2896" s="29" cm="1">
        <f t="array" ref="R2896">IF(表成绩单[[#This Row],[英语]]="","",SUMPRODUCT((表成绩单[考试日期]=表成绩单[[#This Row],[考试日期]])*(表成绩单[英语]&lt;9E+307)*(表成绩单[英语]&gt;表成绩单[[#This Row],[英语]]))+1)</f>
        <v>180</v>
      </c>
      <c r="S2896" s="29" cm="1">
        <f t="array" ref="S2896">IF(表成绩单[[#This Row],[物理]]="","",SUMPRODUCT((表成绩单[考试日期]=表成绩单[[#This Row],[考试日期]])*(表成绩单[物理]&lt;9E+307)*(表成绩单[物理]&gt;表成绩单[[#This Row],[物理]]))+1)</f>
        <v>521</v>
      </c>
      <c r="T2896" s="29" cm="1">
        <f t="array" ref="T2896">IF(表成绩单[[#This Row],[化学]]="","",SUMPRODUCT((表成绩单[考试日期]=表成绩单[[#This Row],[考试日期]])*(表成绩单[化学]&lt;9E+307)*(表成绩单[化学]&gt;表成绩单[[#This Row],[化学]]))+1)</f>
        <v>612</v>
      </c>
      <c r="U2896" s="29" cm="1">
        <f t="array" ref="U2896">IF(表成绩单[[#This Row],[政治]]="","",SUMPRODUCT((表成绩单[考试日期]=表成绩单[[#This Row],[考试日期]])*(表成绩单[政治]&lt;9E+307)*(表成绩单[政治]&gt;表成绩单[[#This Row],[政治]]))+1)</f>
        <v>567</v>
      </c>
      <c r="V2896" s="29" cm="1">
        <f t="array" ref="V2896">IF(表成绩单[[#This Row],[历史]]="","",SUMPRODUCT((表成绩单[考试日期]=表成绩单[[#This Row],[考试日期]])*(表成绩单[历史]&lt;9E+307)*(表成绩单[历史]&gt;表成绩单[[#This Row],[历史]]))+1)</f>
        <v>269</v>
      </c>
      <c r="W2896" s="29" cm="1">
        <f t="array" ref="W2896">IF(表成绩单[[#This Row],[总分]]="","",SUMPRODUCT((表成绩单[考试日期]=表成绩单[[#This Row],[考试日期]])*(表成绩单[总分]&lt;9E+307)*(表成绩单[总分]&gt;表成绩单[[#This Row],[总分]]))+1)</f>
        <v>483</v>
      </c>
    </row>
    <row r="2897" ht="28" customHeight="1" spans="4:23">
      <c r="D2897" s="31">
        <v>46108</v>
      </c>
      <c r="E2897" s="29">
        <v>19178642</v>
      </c>
      <c r="F2897" s="29" t="s">
        <v>25</v>
      </c>
      <c r="G2897" s="29" t="s">
        <v>670</v>
      </c>
      <c r="H2897" s="29">
        <v>103</v>
      </c>
      <c r="I2897" s="29">
        <v>87</v>
      </c>
      <c r="J2897" s="29">
        <v>74.5</v>
      </c>
      <c r="K2897" s="29">
        <v>67</v>
      </c>
      <c r="L2897" s="29">
        <v>52</v>
      </c>
      <c r="M2897" s="29">
        <v>70</v>
      </c>
      <c r="N2897" s="29">
        <v>81</v>
      </c>
      <c r="O2897" s="32">
        <v>534.5</v>
      </c>
      <c r="P2897" s="29" cm="1">
        <f t="array" ref="P2897">IF(表成绩单[[#This Row],[语文]]="","",SUMPRODUCT((表成绩单[考试日期]=表成绩单[[#This Row],[考试日期]])*(表成绩单[语文]&lt;9E+307)*(表成绩单[语文]&gt;表成绩单[[#This Row],[语文]]))+1)</f>
        <v>155</v>
      </c>
      <c r="Q2897" s="29" cm="1">
        <f t="array" ref="Q2897">IF(表成绩单[[#This Row],[数学]]="","",SUMPRODUCT((表成绩单[考试日期]=表成绩单[[#This Row],[考试日期]])*(表成绩单[数学]&lt;9E+307)*(表成绩单[数学]&gt;表成绩单[[#This Row],[数学]]))+1)</f>
        <v>452</v>
      </c>
      <c r="R2897" s="29" cm="1">
        <f t="array" ref="R2897">IF(表成绩单[[#This Row],[英语]]="","",SUMPRODUCT((表成绩单[考试日期]=表成绩单[[#This Row],[考试日期]])*(表成绩单[英语]&lt;9E+307)*(表成绩单[英语]&gt;表成绩单[[#This Row],[英语]]))+1)</f>
        <v>456</v>
      </c>
      <c r="S2897" s="29" cm="1">
        <f t="array" ref="S2897">IF(表成绩单[[#This Row],[物理]]="","",SUMPRODUCT((表成绩单[考试日期]=表成绩单[[#This Row],[考试日期]])*(表成绩单[物理]&lt;9E+307)*(表成绩单[物理]&gt;表成绩单[[#This Row],[物理]]))+1)</f>
        <v>593</v>
      </c>
      <c r="T2897" s="29" cm="1">
        <f t="array" ref="T2897">IF(表成绩单[[#This Row],[化学]]="","",SUMPRODUCT((表成绩单[考试日期]=表成绩单[[#This Row],[考试日期]])*(表成绩单[化学]&lt;9E+307)*(表成绩单[化学]&gt;表成绩单[[#This Row],[化学]]))+1)</f>
        <v>612</v>
      </c>
      <c r="U2897" s="29" cm="1">
        <f t="array" ref="U2897">IF(表成绩单[[#This Row],[政治]]="","",SUMPRODUCT((表成绩单[考试日期]=表成绩单[[#This Row],[考试日期]])*(表成绩单[政治]&lt;9E+307)*(表成绩单[政治]&gt;表成绩单[[#This Row],[政治]]))+1)</f>
        <v>548</v>
      </c>
      <c r="V2897" s="29" cm="1">
        <f t="array" ref="V2897">IF(表成绩单[[#This Row],[历史]]="","",SUMPRODUCT((表成绩单[考试日期]=表成绩单[[#This Row],[考试日期]])*(表成绩单[历史]&lt;9E+307)*(表成绩单[历史]&gt;表成绩单[[#This Row],[历史]]))+1)</f>
        <v>106</v>
      </c>
      <c r="W2897" s="29" cm="1">
        <f t="array" ref="W2897">IF(表成绩单[[#This Row],[总分]]="","",SUMPRODUCT((表成绩单[考试日期]=表成绩单[[#This Row],[考试日期]])*(表成绩单[总分]&lt;9E+307)*(表成绩单[总分]&gt;表成绩单[[#This Row],[总分]]))+1)</f>
        <v>490</v>
      </c>
    </row>
    <row r="2898" ht="28" customHeight="1" spans="4:23">
      <c r="D2898" s="31">
        <v>46108</v>
      </c>
      <c r="E2898" s="29">
        <v>19171078</v>
      </c>
      <c r="F2898" s="29" t="s">
        <v>67</v>
      </c>
      <c r="G2898" s="29" t="s">
        <v>590</v>
      </c>
      <c r="H2898" s="29">
        <v>93</v>
      </c>
      <c r="I2898" s="29">
        <v>93</v>
      </c>
      <c r="J2898" s="29">
        <v>47</v>
      </c>
      <c r="K2898" s="29">
        <v>82</v>
      </c>
      <c r="L2898" s="29">
        <v>66</v>
      </c>
      <c r="M2898" s="29">
        <v>78</v>
      </c>
      <c r="N2898" s="29">
        <v>75</v>
      </c>
      <c r="O2898" s="32">
        <v>534</v>
      </c>
      <c r="P2898" s="29" cm="1">
        <f t="array" ref="P2898">IF(表成绩单[[#This Row],[语文]]="","",SUMPRODUCT((表成绩单[考试日期]=表成绩单[[#This Row],[考试日期]])*(表成绩单[语文]&lt;9E+307)*(表成绩单[语文]&gt;表成绩单[[#This Row],[语文]]))+1)</f>
        <v>470</v>
      </c>
      <c r="Q2898" s="29" cm="1">
        <f t="array" ref="Q2898">IF(表成绩单[[#This Row],[数学]]="","",SUMPRODUCT((表成绩单[考试日期]=表成绩单[[#This Row],[考试日期]])*(表成绩单[数学]&lt;9E+307)*(表成绩单[数学]&gt;表成绩单[[#This Row],[数学]]))+1)</f>
        <v>289</v>
      </c>
      <c r="R2898" s="29" cm="1">
        <f t="array" ref="R2898">IF(表成绩单[[#This Row],[英语]]="","",SUMPRODUCT((表成绩单[考试日期]=表成绩单[[#This Row],[考试日期]])*(表成绩单[英语]&lt;9E+307)*(表成绩单[英语]&gt;表成绩单[[#This Row],[英语]]))+1)</f>
        <v>721</v>
      </c>
      <c r="S2898" s="29" cm="1">
        <f t="array" ref="S2898">IF(表成绩单[[#This Row],[物理]]="","",SUMPRODUCT((表成绩单[考试日期]=表成绩单[[#This Row],[考试日期]])*(表成绩单[物理]&lt;9E+307)*(表成绩单[物理]&gt;表成绩单[[#This Row],[物理]]))+1)</f>
        <v>223</v>
      </c>
      <c r="T2898" s="29" cm="1">
        <f t="array" ref="T2898">IF(表成绩单[[#This Row],[化学]]="","",SUMPRODUCT((表成绩单[考试日期]=表成绩单[[#This Row],[考试日期]])*(表成绩单[化学]&lt;9E+307)*(表成绩单[化学]&gt;表成绩单[[#This Row],[化学]]))+1)</f>
        <v>359</v>
      </c>
      <c r="U2898" s="29" cm="1">
        <f t="array" ref="U2898">IF(表成绩单[[#This Row],[政治]]="","",SUMPRODUCT((表成绩单[考试日期]=表成绩单[[#This Row],[考试日期]])*(表成绩单[政治]&lt;9E+307)*(表成绩单[政治]&gt;表成绩单[[#This Row],[政治]]))+1)</f>
        <v>171</v>
      </c>
      <c r="V2898" s="29" cm="1">
        <f t="array" ref="V2898">IF(表成绩单[[#This Row],[历史]]="","",SUMPRODUCT((表成绩单[考试日期]=表成绩单[[#This Row],[考试日期]])*(表成绩单[历史]&lt;9E+307)*(表成绩单[历史]&gt;表成绩单[[#This Row],[历史]]))+1)</f>
        <v>354</v>
      </c>
      <c r="W2898" s="29" cm="1">
        <f t="array" ref="W2898">IF(表成绩单[[#This Row],[总分]]="","",SUMPRODUCT((表成绩单[考试日期]=表成绩单[[#This Row],[考试日期]])*(表成绩单[总分]&lt;9E+307)*(表成绩单[总分]&gt;表成绩单[[#This Row],[总分]]))+1)</f>
        <v>491</v>
      </c>
    </row>
    <row r="2899" ht="28" customHeight="1" spans="4:23">
      <c r="D2899" s="31">
        <v>46108</v>
      </c>
      <c r="E2899" s="29">
        <v>19178587</v>
      </c>
      <c r="F2899" s="29" t="s">
        <v>64</v>
      </c>
      <c r="G2899" s="29" t="s">
        <v>602</v>
      </c>
      <c r="H2899" s="29">
        <v>97</v>
      </c>
      <c r="I2899" s="29">
        <v>92</v>
      </c>
      <c r="J2899" s="29">
        <v>73</v>
      </c>
      <c r="K2899" s="29">
        <v>78</v>
      </c>
      <c r="L2899" s="29">
        <v>52</v>
      </c>
      <c r="M2899" s="29">
        <v>72</v>
      </c>
      <c r="N2899" s="29">
        <v>69</v>
      </c>
      <c r="O2899" s="32">
        <v>533</v>
      </c>
      <c r="P2899" s="29" cm="1">
        <f t="array" ref="P2899">IF(表成绩单[[#This Row],[语文]]="","",SUMPRODUCT((表成绩单[考试日期]=表成绩单[[#This Row],[考试日期]])*(表成绩单[语文]&lt;9E+307)*(表成绩单[语文]&gt;表成绩单[[#This Row],[语文]]))+1)</f>
        <v>357</v>
      </c>
      <c r="Q2899" s="29" cm="1">
        <f t="array" ref="Q2899">IF(表成绩单[[#This Row],[数学]]="","",SUMPRODUCT((表成绩单[考试日期]=表成绩单[[#This Row],[考试日期]])*(表成绩单[数学]&lt;9E+307)*(表成绩单[数学]&gt;表成绩单[[#This Row],[数学]]))+1)</f>
        <v>312</v>
      </c>
      <c r="R2899" s="29" cm="1">
        <f t="array" ref="R2899">IF(表成绩单[[#This Row],[英语]]="","",SUMPRODUCT((表成绩单[考试日期]=表成绩单[[#This Row],[考试日期]])*(表成绩单[英语]&lt;9E+307)*(表成绩单[英语]&gt;表成绩单[[#This Row],[英语]]))+1)</f>
        <v>478</v>
      </c>
      <c r="S2899" s="29" cm="1">
        <f t="array" ref="S2899">IF(表成绩单[[#This Row],[物理]]="","",SUMPRODUCT((表成绩单[考试日期]=表成绩单[[#This Row],[考试日期]])*(表成绩单[物理]&lt;9E+307)*(表成绩单[物理]&gt;表成绩单[[#This Row],[物理]]))+1)</f>
        <v>365</v>
      </c>
      <c r="T2899" s="29" cm="1">
        <f t="array" ref="T2899">IF(表成绩单[[#This Row],[化学]]="","",SUMPRODUCT((表成绩单[考试日期]=表成绩单[[#This Row],[考试日期]])*(表成绩单[化学]&lt;9E+307)*(表成绩单[化学]&gt;表成绩单[[#This Row],[化学]]))+1)</f>
        <v>612</v>
      </c>
      <c r="U2899" s="29" cm="1">
        <f t="array" ref="U2899">IF(表成绩单[[#This Row],[政治]]="","",SUMPRODUCT((表成绩单[考试日期]=表成绩单[[#This Row],[考试日期]])*(表成绩单[政治]&lt;9E+307)*(表成绩单[政治]&gt;表成绩单[[#This Row],[政治]]))+1)</f>
        <v>470</v>
      </c>
      <c r="V2899" s="29" cm="1">
        <f t="array" ref="V2899">IF(表成绩单[[#This Row],[历史]]="","",SUMPRODUCT((表成绩单[考试日期]=表成绩单[[#This Row],[考试日期]])*(表成绩单[历史]&lt;9E+307)*(表成绩单[历史]&gt;表成绩单[[#This Row],[历史]]))+1)</f>
        <v>569</v>
      </c>
      <c r="W2899" s="29" cm="1">
        <f t="array" ref="W2899">IF(表成绩单[[#This Row],[总分]]="","",SUMPRODUCT((表成绩单[考试日期]=表成绩单[[#This Row],[考试日期]])*(表成绩单[总分]&lt;9E+307)*(表成绩单[总分]&gt;表成绩单[[#This Row],[总分]]))+1)</f>
        <v>492</v>
      </c>
    </row>
    <row r="2900" ht="28" customHeight="1" spans="4:23">
      <c r="D2900" s="31">
        <v>46108</v>
      </c>
      <c r="E2900" s="29">
        <v>19175630</v>
      </c>
      <c r="F2900" s="29" t="s">
        <v>57</v>
      </c>
      <c r="G2900" s="29" t="s">
        <v>652</v>
      </c>
      <c r="H2900" s="29">
        <v>84</v>
      </c>
      <c r="I2900" s="29">
        <v>86</v>
      </c>
      <c r="J2900" s="29">
        <v>68.5</v>
      </c>
      <c r="K2900" s="29">
        <v>79</v>
      </c>
      <c r="L2900" s="29">
        <v>74</v>
      </c>
      <c r="M2900" s="29">
        <v>69</v>
      </c>
      <c r="N2900" s="29">
        <v>72</v>
      </c>
      <c r="O2900" s="32">
        <v>532.5</v>
      </c>
      <c r="P2900" s="29" cm="1">
        <f t="array" ref="P2900">IF(表成绩单[[#This Row],[语文]]="","",SUMPRODUCT((表成绩单[考试日期]=表成绩单[[#This Row],[考试日期]])*(表成绩单[语文]&lt;9E+307)*(表成绩单[语文]&gt;表成绩单[[#This Row],[语文]]))+1)</f>
        <v>638</v>
      </c>
      <c r="Q2900" s="29" cm="1">
        <f t="array" ref="Q2900">IF(表成绩单[[#This Row],[数学]]="","",SUMPRODUCT((表成绩单[考试日期]=表成绩单[[#This Row],[考试日期]])*(表成绩单[数学]&lt;9E+307)*(表成绩单[数学]&gt;表成绩单[[#This Row],[数学]]))+1)</f>
        <v>479</v>
      </c>
      <c r="R2900" s="29" cm="1">
        <f t="array" ref="R2900">IF(表成绩单[[#This Row],[英语]]="","",SUMPRODUCT((表成绩单[考试日期]=表成绩单[[#This Row],[考试日期]])*(表成绩单[英语]&lt;9E+307)*(表成绩单[英语]&gt;表成绩单[[#This Row],[英语]]))+1)</f>
        <v>564</v>
      </c>
      <c r="S2900" s="29" cm="1">
        <f t="array" ref="S2900">IF(表成绩单[[#This Row],[物理]]="","",SUMPRODUCT((表成绩单[考试日期]=表成绩单[[#This Row],[考试日期]])*(表成绩单[物理]&lt;9E+307)*(表成绩单[物理]&gt;表成绩单[[#This Row],[物理]]))+1)</f>
        <v>344</v>
      </c>
      <c r="T2900" s="29" cm="1">
        <f t="array" ref="T2900">IF(表成绩单[[#This Row],[化学]]="","",SUMPRODUCT((表成绩单[考试日期]=表成绩单[[#This Row],[考试日期]])*(表成绩单[化学]&lt;9E+307)*(表成绩单[化学]&gt;表成绩单[[#This Row],[化学]]))+1)</f>
        <v>127</v>
      </c>
      <c r="U2900" s="29" cm="1">
        <f t="array" ref="U2900">IF(表成绩单[[#This Row],[政治]]="","",SUMPRODUCT((表成绩单[考试日期]=表成绩单[[#This Row],[考试日期]])*(表成绩单[政治]&lt;9E+307)*(表成绩单[政治]&gt;表成绩单[[#This Row],[政治]]))+1)</f>
        <v>567</v>
      </c>
      <c r="V2900" s="29" cm="1">
        <f t="array" ref="V2900">IF(表成绩单[[#This Row],[历史]]="","",SUMPRODUCT((表成绩单[考试日期]=表成绩单[[#This Row],[考试日期]])*(表成绩单[历史]&lt;9E+307)*(表成绩单[历史]&gt;表成绩单[[#This Row],[历史]]))+1)</f>
        <v>470</v>
      </c>
      <c r="W2900" s="29" cm="1">
        <f t="array" ref="W2900">IF(表成绩单[[#This Row],[总分]]="","",SUMPRODUCT((表成绩单[考试日期]=表成绩单[[#This Row],[考试日期]])*(表成绩单[总分]&lt;9E+307)*(表成绩单[总分]&gt;表成绩单[[#This Row],[总分]]))+1)</f>
        <v>493</v>
      </c>
    </row>
    <row r="2901" ht="28" customHeight="1" spans="4:23">
      <c r="D2901" s="31">
        <v>46108</v>
      </c>
      <c r="E2901" s="29">
        <v>19178603</v>
      </c>
      <c r="F2901" s="29" t="s">
        <v>64</v>
      </c>
      <c r="G2901" s="29" t="s">
        <v>684</v>
      </c>
      <c r="H2901" s="29">
        <v>91</v>
      </c>
      <c r="I2901" s="29">
        <v>84</v>
      </c>
      <c r="J2901" s="29">
        <v>75.5</v>
      </c>
      <c r="K2901" s="29">
        <v>75</v>
      </c>
      <c r="L2901" s="29">
        <v>54</v>
      </c>
      <c r="M2901" s="29">
        <v>76</v>
      </c>
      <c r="N2901" s="29">
        <v>77</v>
      </c>
      <c r="O2901" s="32">
        <v>532.5</v>
      </c>
      <c r="P2901" s="29" cm="1">
        <f t="array" ref="P2901">IF(表成绩单[[#This Row],[语文]]="","",SUMPRODUCT((表成绩单[考试日期]=表成绩单[[#This Row],[考试日期]])*(表成绩单[语文]&lt;9E+307)*(表成绩单[语文]&gt;表成绩单[[#This Row],[语文]]))+1)</f>
        <v>519</v>
      </c>
      <c r="Q2901" s="29" cm="1">
        <f t="array" ref="Q2901">IF(表成绩单[[#This Row],[数学]]="","",SUMPRODUCT((表成绩单[考试日期]=表成绩单[[#This Row],[考试日期]])*(表成绩单[数学]&lt;9E+307)*(表成绩单[数学]&gt;表成绩单[[#This Row],[数学]]))+1)</f>
        <v>518</v>
      </c>
      <c r="R2901" s="29" cm="1">
        <f t="array" ref="R2901">IF(表成绩单[[#This Row],[英语]]="","",SUMPRODUCT((表成绩单[考试日期]=表成绩单[[#This Row],[考试日期]])*(表成绩单[英语]&lt;9E+307)*(表成绩单[英语]&gt;表成绩单[[#This Row],[英语]]))+1)</f>
        <v>421</v>
      </c>
      <c r="S2901" s="29" cm="1">
        <f t="array" ref="S2901">IF(表成绩单[[#This Row],[物理]]="","",SUMPRODUCT((表成绩单[考试日期]=表成绩单[[#This Row],[考试日期]])*(表成绩单[物理]&lt;9E+307)*(表成绩单[物理]&gt;表成绩单[[#This Row],[物理]]))+1)</f>
        <v>456</v>
      </c>
      <c r="T2901" s="29" cm="1">
        <f t="array" ref="T2901">IF(表成绩单[[#This Row],[化学]]="","",SUMPRODUCT((表成绩单[考试日期]=表成绩单[[#This Row],[考试日期]])*(表成绩单[化学]&lt;9E+307)*(表成绩单[化学]&gt;表成绩单[[#This Row],[化学]]))+1)</f>
        <v>592</v>
      </c>
      <c r="U2901" s="29" cm="1">
        <f t="array" ref="U2901">IF(表成绩单[[#This Row],[政治]]="","",SUMPRODUCT((表成绩单[考试日期]=表成绩单[[#This Row],[考试日期]])*(表成绩单[政治]&lt;9E+307)*(表成绩单[政治]&gt;表成绩单[[#This Row],[政治]]))+1)</f>
        <v>291</v>
      </c>
      <c r="V2901" s="29" cm="1">
        <f t="array" ref="V2901">IF(表成绩单[[#This Row],[历史]]="","",SUMPRODUCT((表成绩单[考试日期]=表成绩单[[#This Row],[考试日期]])*(表成绩单[历史]&lt;9E+307)*(表成绩单[历史]&gt;表成绩单[[#This Row],[历史]]))+1)</f>
        <v>269</v>
      </c>
      <c r="W2901" s="29" cm="1">
        <f t="array" ref="W2901">IF(表成绩单[[#This Row],[总分]]="","",SUMPRODUCT((表成绩单[考试日期]=表成绩单[[#This Row],[考试日期]])*(表成绩单[总分]&lt;9E+307)*(表成绩单[总分]&gt;表成绩单[[#This Row],[总分]]))+1)</f>
        <v>493</v>
      </c>
    </row>
    <row r="2902" ht="28" customHeight="1" spans="4:23">
      <c r="D2902" s="31">
        <v>46108</v>
      </c>
      <c r="E2902" s="29">
        <v>19174474</v>
      </c>
      <c r="F2902" s="29" t="s">
        <v>73</v>
      </c>
      <c r="G2902" s="29" t="s">
        <v>556</v>
      </c>
      <c r="H2902" s="29">
        <v>88</v>
      </c>
      <c r="I2902" s="29">
        <v>97</v>
      </c>
      <c r="J2902" s="29">
        <v>76.5</v>
      </c>
      <c r="K2902" s="29">
        <v>84</v>
      </c>
      <c r="L2902" s="29">
        <v>61</v>
      </c>
      <c r="M2902" s="29">
        <v>65</v>
      </c>
      <c r="N2902" s="29">
        <v>60</v>
      </c>
      <c r="O2902" s="32">
        <v>531.5</v>
      </c>
      <c r="P2902" s="29" cm="1">
        <f t="array" ref="P2902">IF(表成绩单[[#This Row],[语文]]="","",SUMPRODUCT((表成绩单[考试日期]=表成绩单[[#This Row],[考试日期]])*(表成绩单[语文]&lt;9E+307)*(表成绩单[语文]&gt;表成绩单[[#This Row],[语文]]))+1)</f>
        <v>575</v>
      </c>
      <c r="Q2902" s="29" cm="1">
        <f t="array" ref="Q2902">IF(表成绩单[[#This Row],[数学]]="","",SUMPRODUCT((表成绩单[考试日期]=表成绩单[[#This Row],[考试日期]])*(表成绩单[数学]&lt;9E+307)*(表成绩单[数学]&gt;表成绩单[[#This Row],[数学]]))+1)</f>
        <v>175</v>
      </c>
      <c r="R2902" s="29" cm="1">
        <f t="array" ref="R2902">IF(表成绩单[[#This Row],[英语]]="","",SUMPRODUCT((表成绩单[考试日期]=表成绩单[[#This Row],[考试日期]])*(表成绩单[英语]&lt;9E+307)*(表成绩单[英语]&gt;表成绩单[[#This Row],[英语]]))+1)</f>
        <v>384</v>
      </c>
      <c r="S2902" s="29" cm="1">
        <f t="array" ref="S2902">IF(表成绩单[[#This Row],[物理]]="","",SUMPRODUCT((表成绩单[考试日期]=表成绩单[[#This Row],[考试日期]])*(表成绩单[物理]&lt;9E+307)*(表成绩单[物理]&gt;表成绩单[[#This Row],[物理]]))+1)</f>
        <v>146</v>
      </c>
      <c r="T2902" s="29" cm="1">
        <f t="array" ref="T2902">IF(表成绩单[[#This Row],[化学]]="","",SUMPRODUCT((表成绩单[考试日期]=表成绩单[[#This Row],[考试日期]])*(表成绩单[化学]&lt;9E+307)*(表成绩单[化学]&gt;表成绩单[[#This Row],[化学]]))+1)</f>
        <v>467</v>
      </c>
      <c r="U2902" s="29" cm="1">
        <f t="array" ref="U2902">IF(表成绩单[[#This Row],[政治]]="","",SUMPRODUCT((表成绩单[考试日期]=表成绩单[[#This Row],[考试日期]])*(表成绩单[政治]&lt;9E+307)*(表成绩单[政治]&gt;表成绩单[[#This Row],[政治]]))+1)</f>
        <v>655</v>
      </c>
      <c r="V2902" s="29" cm="1">
        <f t="array" ref="V2902">IF(表成绩单[[#This Row],[历史]]="","",SUMPRODUCT((表成绩单[考试日期]=表成绩单[[#This Row],[考试日期]])*(表成绩单[历史]&lt;9E+307)*(表成绩单[历史]&gt;表成绩单[[#This Row],[历史]]))+1)</f>
        <v>715</v>
      </c>
      <c r="W2902" s="29" cm="1">
        <f t="array" ref="W2902">IF(表成绩单[[#This Row],[总分]]="","",SUMPRODUCT((表成绩单[考试日期]=表成绩单[[#This Row],[考试日期]])*(表成绩单[总分]&lt;9E+307)*(表成绩单[总分]&gt;表成绩单[[#This Row],[总分]]))+1)</f>
        <v>495</v>
      </c>
    </row>
    <row r="2903" ht="28" customHeight="1" spans="4:23">
      <c r="D2903" s="31">
        <v>46108</v>
      </c>
      <c r="E2903" s="29">
        <v>19176015</v>
      </c>
      <c r="F2903" s="29" t="s">
        <v>59</v>
      </c>
      <c r="G2903" s="29" t="s">
        <v>565</v>
      </c>
      <c r="H2903" s="29">
        <v>92</v>
      </c>
      <c r="I2903" s="29">
        <v>85</v>
      </c>
      <c r="J2903" s="29">
        <v>72.5</v>
      </c>
      <c r="K2903" s="29">
        <v>74</v>
      </c>
      <c r="L2903" s="29">
        <v>54</v>
      </c>
      <c r="M2903" s="29">
        <v>71</v>
      </c>
      <c r="N2903" s="29">
        <v>83</v>
      </c>
      <c r="O2903" s="32">
        <v>531.5</v>
      </c>
      <c r="P2903" s="29" cm="1">
        <f t="array" ref="P2903">IF(表成绩单[[#This Row],[语文]]="","",SUMPRODUCT((表成绩单[考试日期]=表成绩单[[#This Row],[考试日期]])*(表成绩单[语文]&lt;9E+307)*(表成绩单[语文]&gt;表成绩单[[#This Row],[语文]]))+1)</f>
        <v>494</v>
      </c>
      <c r="Q2903" s="29" cm="1">
        <f t="array" ref="Q2903">IF(表成绩单[[#This Row],[数学]]="","",SUMPRODUCT((表成绩单[考试日期]=表成绩单[[#This Row],[考试日期]])*(表成绩单[数学]&lt;9E+307)*(表成绩单[数学]&gt;表成绩单[[#This Row],[数学]]))+1)</f>
        <v>501</v>
      </c>
      <c r="R2903" s="29" cm="1">
        <f t="array" ref="R2903">IF(表成绩单[[#This Row],[英语]]="","",SUMPRODUCT((表成绩单[考试日期]=表成绩单[[#This Row],[考试日期]])*(表成绩单[英语]&lt;9E+307)*(表成绩单[英语]&gt;表成绩单[[#This Row],[英语]]))+1)</f>
        <v>491</v>
      </c>
      <c r="S2903" s="29" cm="1">
        <f t="array" ref="S2903">IF(表成绩单[[#This Row],[物理]]="","",SUMPRODUCT((表成绩单[考试日期]=表成绩单[[#This Row],[考试日期]])*(表成绩单[物理]&lt;9E+307)*(表成绩单[物理]&gt;表成绩单[[#This Row],[物理]]))+1)</f>
        <v>472</v>
      </c>
      <c r="T2903" s="29" cm="1">
        <f t="array" ref="T2903">IF(表成绩单[[#This Row],[化学]]="","",SUMPRODUCT((表成绩单[考试日期]=表成绩单[[#This Row],[考试日期]])*(表成绩单[化学]&lt;9E+307)*(表成绩单[化学]&gt;表成绩单[[#This Row],[化学]]))+1)</f>
        <v>592</v>
      </c>
      <c r="U2903" s="29" cm="1">
        <f t="array" ref="U2903">IF(表成绩单[[#This Row],[政治]]="","",SUMPRODUCT((表成绩单[考试日期]=表成绩单[[#This Row],[考试日期]])*(表成绩单[政治]&lt;9E+307)*(表成绩单[政治]&gt;表成绩单[[#This Row],[政治]]))+1)</f>
        <v>513</v>
      </c>
      <c r="V2903" s="29" cm="1">
        <f t="array" ref="V2903">IF(表成绩单[[#This Row],[历史]]="","",SUMPRODUCT((表成绩单[考试日期]=表成绩单[[#This Row],[考试日期]])*(表成绩单[历史]&lt;9E+307)*(表成绩单[历史]&gt;表成绩单[[#This Row],[历史]]))+1)</f>
        <v>60</v>
      </c>
      <c r="W2903" s="29" cm="1">
        <f t="array" ref="W2903">IF(表成绩单[[#This Row],[总分]]="","",SUMPRODUCT((表成绩单[考试日期]=表成绩单[[#This Row],[考试日期]])*(表成绩单[总分]&lt;9E+307)*(表成绩单[总分]&gt;表成绩单[[#This Row],[总分]]))+1)</f>
        <v>495</v>
      </c>
    </row>
    <row r="2904" ht="28" customHeight="1" spans="4:23">
      <c r="D2904" s="31">
        <v>46108</v>
      </c>
      <c r="E2904" s="29">
        <v>19178610</v>
      </c>
      <c r="F2904" s="29" t="s">
        <v>25</v>
      </c>
      <c r="G2904" s="29" t="s">
        <v>603</v>
      </c>
      <c r="H2904" s="29">
        <v>96</v>
      </c>
      <c r="I2904" s="29">
        <v>90</v>
      </c>
      <c r="J2904" s="29">
        <v>78.5</v>
      </c>
      <c r="K2904" s="29">
        <v>72</v>
      </c>
      <c r="L2904" s="29">
        <v>52</v>
      </c>
      <c r="M2904" s="29">
        <v>68</v>
      </c>
      <c r="N2904" s="29">
        <v>75</v>
      </c>
      <c r="O2904" s="32">
        <v>531.5</v>
      </c>
      <c r="P2904" s="29" cm="1">
        <f t="array" ref="P2904">IF(表成绩单[[#This Row],[语文]]="","",SUMPRODUCT((表成绩单[考试日期]=表成绩单[[#This Row],[考试日期]])*(表成绩单[语文]&lt;9E+307)*(表成绩单[语文]&gt;表成绩单[[#This Row],[语文]]))+1)</f>
        <v>390</v>
      </c>
      <c r="Q2904" s="29" cm="1">
        <f t="array" ref="Q2904">IF(表成绩单[[#This Row],[数学]]="","",SUMPRODUCT((表成绩单[考试日期]=表成绩单[[#This Row],[考试日期]])*(表成绩单[数学]&lt;9E+307)*(表成绩单[数学]&gt;表成绩单[[#This Row],[数学]]))+1)</f>
        <v>368</v>
      </c>
      <c r="R2904" s="29" cm="1">
        <f t="array" ref="R2904">IF(表成绩单[[#This Row],[英语]]="","",SUMPRODUCT((表成绩单[考试日期]=表成绩单[[#This Row],[考试日期]])*(表成绩单[英语]&lt;9E+307)*(表成绩单[英语]&gt;表成绩单[[#This Row],[英语]]))+1)</f>
        <v>322</v>
      </c>
      <c r="S2904" s="29" cm="1">
        <f t="array" ref="S2904">IF(表成绩单[[#This Row],[物理]]="","",SUMPRODUCT((表成绩单[考试日期]=表成绩单[[#This Row],[考试日期]])*(表成绩单[物理]&lt;9E+307)*(表成绩单[物理]&gt;表成绩单[[#This Row],[物理]]))+1)</f>
        <v>521</v>
      </c>
      <c r="T2904" s="29" cm="1">
        <f t="array" ref="T2904">IF(表成绩单[[#This Row],[化学]]="","",SUMPRODUCT((表成绩单[考试日期]=表成绩单[[#This Row],[考试日期]])*(表成绩单[化学]&lt;9E+307)*(表成绩单[化学]&gt;表成绩单[[#This Row],[化学]]))+1)</f>
        <v>612</v>
      </c>
      <c r="U2904" s="29" cm="1">
        <f t="array" ref="U2904">IF(表成绩单[[#This Row],[政治]]="","",SUMPRODUCT((表成绩单[考试日期]=表成绩单[[#This Row],[考试日期]])*(表成绩单[政治]&lt;9E+307)*(表成绩单[政治]&gt;表成绩单[[#This Row],[政治]]))+1)</f>
        <v>596</v>
      </c>
      <c r="V2904" s="29" cm="1">
        <f t="array" ref="V2904">IF(表成绩单[[#This Row],[历史]]="","",SUMPRODUCT((表成绩单[考试日期]=表成绩单[[#This Row],[考试日期]])*(表成绩单[历史]&lt;9E+307)*(表成绩单[历史]&gt;表成绩单[[#This Row],[历史]]))+1)</f>
        <v>354</v>
      </c>
      <c r="W2904" s="29" cm="1">
        <f t="array" ref="W2904">IF(表成绩单[[#This Row],[总分]]="","",SUMPRODUCT((表成绩单[考试日期]=表成绩单[[#This Row],[考试日期]])*(表成绩单[总分]&lt;9E+307)*(表成绩单[总分]&gt;表成绩单[[#This Row],[总分]]))+1)</f>
        <v>495</v>
      </c>
    </row>
    <row r="2905" ht="28" customHeight="1" spans="4:23">
      <c r="D2905" s="31">
        <v>46108</v>
      </c>
      <c r="E2905" s="29">
        <v>19173256</v>
      </c>
      <c r="F2905" s="29" t="s">
        <v>61</v>
      </c>
      <c r="G2905" s="29" t="s">
        <v>637</v>
      </c>
      <c r="H2905" s="29">
        <v>86</v>
      </c>
      <c r="I2905" s="29">
        <v>80</v>
      </c>
      <c r="J2905" s="29">
        <v>63.5</v>
      </c>
      <c r="K2905" s="29">
        <v>82</v>
      </c>
      <c r="L2905" s="29">
        <v>72</v>
      </c>
      <c r="M2905" s="29">
        <v>77</v>
      </c>
      <c r="N2905" s="29">
        <v>70</v>
      </c>
      <c r="O2905" s="32">
        <v>530.5</v>
      </c>
      <c r="P2905" s="29" cm="1">
        <f t="array" ref="P2905">IF(表成绩单[[#This Row],[语文]]="","",SUMPRODUCT((表成绩单[考试日期]=表成绩单[[#This Row],[考试日期]])*(表成绩单[语文]&lt;9E+307)*(表成绩单[语文]&gt;表成绩单[[#This Row],[语文]]))+1)</f>
        <v>610</v>
      </c>
      <c r="Q2905" s="29" cm="1">
        <f t="array" ref="Q2905">IF(表成绩单[[#This Row],[数学]]="","",SUMPRODUCT((表成绩单[考试日期]=表成绩单[[#This Row],[考试日期]])*(表成绩单[数学]&lt;9E+307)*(表成绩单[数学]&gt;表成绩单[[#This Row],[数学]]))+1)</f>
        <v>578</v>
      </c>
      <c r="R2905" s="29" cm="1">
        <f t="array" ref="R2905">IF(表成绩单[[#This Row],[英语]]="","",SUMPRODUCT((表成绩单[考试日期]=表成绩单[[#This Row],[考试日期]])*(表成绩单[英语]&lt;9E+307)*(表成绩单[英语]&gt;表成绩单[[#This Row],[英语]]))+1)</f>
        <v>624</v>
      </c>
      <c r="S2905" s="29" cm="1">
        <f t="array" ref="S2905">IF(表成绩单[[#This Row],[物理]]="","",SUMPRODUCT((表成绩单[考试日期]=表成绩单[[#This Row],[考试日期]])*(表成绩单[物理]&lt;9E+307)*(表成绩单[物理]&gt;表成绩单[[#This Row],[物理]]))+1)</f>
        <v>223</v>
      </c>
      <c r="T2905" s="29" cm="1">
        <f t="array" ref="T2905">IF(表成绩单[[#This Row],[化学]]="","",SUMPRODUCT((表成绩单[考试日期]=表成绩单[[#This Row],[考试日期]])*(表成绩单[化学]&lt;9E+307)*(表成绩单[化学]&gt;表成绩单[[#This Row],[化学]]))+1)</f>
        <v>187</v>
      </c>
      <c r="U2905" s="29" cm="1">
        <f t="array" ref="U2905">IF(表成绩单[[#This Row],[政治]]="","",SUMPRODUCT((表成绩单[考试日期]=表成绩单[[#This Row],[考试日期]])*(表成绩单[政治]&lt;9E+307)*(表成绩单[政治]&gt;表成绩单[[#This Row],[政治]]))+1)</f>
        <v>230</v>
      </c>
      <c r="V2905" s="29" cm="1">
        <f t="array" ref="V2905">IF(表成绩单[[#This Row],[历史]]="","",SUMPRODUCT((表成绩单[考试日期]=表成绩单[[#This Row],[考试日期]])*(表成绩单[历史]&lt;9E+307)*(表成绩单[历史]&gt;表成绩单[[#This Row],[历史]]))+1)</f>
        <v>539</v>
      </c>
      <c r="W2905" s="29" cm="1">
        <f t="array" ref="W2905">IF(表成绩单[[#This Row],[总分]]="","",SUMPRODUCT((表成绩单[考试日期]=表成绩单[[#This Row],[考试日期]])*(表成绩单[总分]&lt;9E+307)*(表成绩单[总分]&gt;表成绩单[[#This Row],[总分]]))+1)</f>
        <v>498</v>
      </c>
    </row>
    <row r="2906" ht="28" customHeight="1" spans="4:23">
      <c r="D2906" s="31">
        <v>46108</v>
      </c>
      <c r="E2906" s="29">
        <v>19173276</v>
      </c>
      <c r="F2906" s="29" t="s">
        <v>61</v>
      </c>
      <c r="G2906" s="29" t="s">
        <v>620</v>
      </c>
      <c r="H2906" s="29">
        <v>93</v>
      </c>
      <c r="I2906" s="29">
        <v>91</v>
      </c>
      <c r="J2906" s="29">
        <v>69.5</v>
      </c>
      <c r="K2906" s="29">
        <v>71</v>
      </c>
      <c r="L2906" s="29">
        <v>51</v>
      </c>
      <c r="M2906" s="29">
        <v>74</v>
      </c>
      <c r="N2906" s="29">
        <v>81</v>
      </c>
      <c r="O2906" s="32">
        <v>530.5</v>
      </c>
      <c r="P2906" s="29" cm="1">
        <f t="array" ref="P2906">IF(表成绩单[[#This Row],[语文]]="","",SUMPRODUCT((表成绩单[考试日期]=表成绩单[[#This Row],[考试日期]])*(表成绩单[语文]&lt;9E+307)*(表成绩单[语文]&gt;表成绩单[[#This Row],[语文]]))+1)</f>
        <v>470</v>
      </c>
      <c r="Q2906" s="29" cm="1">
        <f t="array" ref="Q2906">IF(表成绩单[[#This Row],[数学]]="","",SUMPRODUCT((表成绩单[考试日期]=表成绩单[[#This Row],[考试日期]])*(表成绩单[数学]&lt;9E+307)*(表成绩单[数学]&gt;表成绩单[[#This Row],[数学]]))+1)</f>
        <v>341</v>
      </c>
      <c r="R2906" s="29" cm="1">
        <f t="array" ref="R2906">IF(表成绩单[[#This Row],[英语]]="","",SUMPRODUCT((表成绩单[考试日期]=表成绩单[[#This Row],[考试日期]])*(表成绩单[英语]&lt;9E+307)*(表成绩单[英语]&gt;表成绩单[[#This Row],[英语]]))+1)</f>
        <v>547</v>
      </c>
      <c r="S2906" s="29" cm="1">
        <f t="array" ref="S2906">IF(表成绩单[[#This Row],[物理]]="","",SUMPRODUCT((表成绩单[考试日期]=表成绩单[[#This Row],[考试日期]])*(表成绩单[物理]&lt;9E+307)*(表成绩单[物理]&gt;表成绩单[[#This Row],[物理]]))+1)</f>
        <v>536</v>
      </c>
      <c r="T2906" s="29" cm="1">
        <f t="array" ref="T2906">IF(表成绩单[[#This Row],[化学]]="","",SUMPRODUCT((表成绩单[考试日期]=表成绩单[[#This Row],[考试日期]])*(表成绩单[化学]&lt;9E+307)*(表成绩单[化学]&gt;表成绩单[[#This Row],[化学]]))+1)</f>
        <v>622</v>
      </c>
      <c r="U2906" s="29" cm="1">
        <f t="array" ref="U2906">IF(表成绩单[[#This Row],[政治]]="","",SUMPRODUCT((表成绩单[考试日期]=表成绩单[[#This Row],[考试日期]])*(表成绩单[政治]&lt;9E+307)*(表成绩单[政治]&gt;表成绩单[[#This Row],[政治]]))+1)</f>
        <v>389</v>
      </c>
      <c r="V2906" s="29" cm="1">
        <f t="array" ref="V2906">IF(表成绩单[[#This Row],[历史]]="","",SUMPRODUCT((表成绩单[考试日期]=表成绩单[[#This Row],[考试日期]])*(表成绩单[历史]&lt;9E+307)*(表成绩单[历史]&gt;表成绩单[[#This Row],[历史]]))+1)</f>
        <v>106</v>
      </c>
      <c r="W2906" s="29" cm="1">
        <f t="array" ref="W2906">IF(表成绩单[[#This Row],[总分]]="","",SUMPRODUCT((表成绩单[考试日期]=表成绩单[[#This Row],[考试日期]])*(表成绩单[总分]&lt;9E+307)*(表成绩单[总分]&gt;表成绩单[[#This Row],[总分]]))+1)</f>
        <v>498</v>
      </c>
    </row>
    <row r="2907" ht="28" customHeight="1" spans="4:23">
      <c r="D2907" s="31">
        <v>46108</v>
      </c>
      <c r="E2907" s="29">
        <v>19173765</v>
      </c>
      <c r="F2907" s="29" t="s">
        <v>65</v>
      </c>
      <c r="G2907" s="29" t="s">
        <v>517</v>
      </c>
      <c r="H2907" s="29">
        <v>82</v>
      </c>
      <c r="I2907" s="29">
        <v>85</v>
      </c>
      <c r="J2907" s="29">
        <v>71.5</v>
      </c>
      <c r="K2907" s="29">
        <v>81</v>
      </c>
      <c r="L2907" s="29">
        <v>72</v>
      </c>
      <c r="M2907" s="29">
        <v>71</v>
      </c>
      <c r="N2907" s="29">
        <v>68</v>
      </c>
      <c r="O2907" s="32">
        <v>530.5</v>
      </c>
      <c r="P2907" s="29" cm="1">
        <f t="array" ref="P2907">IF(表成绩单[[#This Row],[语文]]="","",SUMPRODUCT((表成绩单[考试日期]=表成绩单[[#This Row],[考试日期]])*(表成绩单[语文]&lt;9E+307)*(表成绩单[语文]&gt;表成绩单[[#This Row],[语文]]))+1)</f>
        <v>657</v>
      </c>
      <c r="Q2907" s="29" cm="1">
        <f t="array" ref="Q2907">IF(表成绩单[[#This Row],[数学]]="","",SUMPRODUCT((表成绩单[考试日期]=表成绩单[[#This Row],[考试日期]])*(表成绩单[数学]&lt;9E+307)*(表成绩单[数学]&gt;表成绩单[[#This Row],[数学]]))+1)</f>
        <v>501</v>
      </c>
      <c r="R2907" s="29" cm="1">
        <f t="array" ref="R2907">IF(表成绩单[[#This Row],[英语]]="","",SUMPRODUCT((表成绩单[考试日期]=表成绩单[[#This Row],[考试日期]])*(表成绩单[英语]&lt;9E+307)*(表成绩单[英语]&gt;表成绩单[[#This Row],[英语]]))+1)</f>
        <v>509</v>
      </c>
      <c r="S2907" s="29" cm="1">
        <f t="array" ref="S2907">IF(表成绩单[[#This Row],[物理]]="","",SUMPRODUCT((表成绩单[考试日期]=表成绩单[[#This Row],[考试日期]])*(表成绩单[物理]&lt;9E+307)*(表成绩单[物理]&gt;表成绩单[[#This Row],[物理]]))+1)</f>
        <v>269</v>
      </c>
      <c r="T2907" s="29" cm="1">
        <f t="array" ref="T2907">IF(表成绩单[[#This Row],[化学]]="","",SUMPRODUCT((表成绩单[考试日期]=表成绩单[[#This Row],[考试日期]])*(表成绩单[化学]&lt;9E+307)*(表成绩单[化学]&gt;表成绩单[[#This Row],[化学]]))+1)</f>
        <v>187</v>
      </c>
      <c r="U2907" s="29" cm="1">
        <f t="array" ref="U2907">IF(表成绩单[[#This Row],[政治]]="","",SUMPRODUCT((表成绩单[考试日期]=表成绩单[[#This Row],[考试日期]])*(表成绩单[政治]&lt;9E+307)*(表成绩单[政治]&gt;表成绩单[[#This Row],[政治]]))+1)</f>
        <v>513</v>
      </c>
      <c r="V2907" s="29" cm="1">
        <f t="array" ref="V2907">IF(表成绩单[[#This Row],[历史]]="","",SUMPRODUCT((表成绩单[考试日期]=表成绩单[[#This Row],[考试日期]])*(表成绩单[历史]&lt;9E+307)*(表成绩单[历史]&gt;表成绩单[[#This Row],[历史]]))+1)</f>
        <v>599</v>
      </c>
      <c r="W2907" s="29" cm="1">
        <f t="array" ref="W2907">IF(表成绩单[[#This Row],[总分]]="","",SUMPRODUCT((表成绩单[考试日期]=表成绩单[[#This Row],[考试日期]])*(表成绩单[总分]&lt;9E+307)*(表成绩单[总分]&gt;表成绩单[[#This Row],[总分]]))+1)</f>
        <v>498</v>
      </c>
    </row>
    <row r="2908" ht="28" customHeight="1" spans="4:23">
      <c r="D2908" s="31">
        <v>46108</v>
      </c>
      <c r="E2908" s="29">
        <v>19178637</v>
      </c>
      <c r="F2908" s="29" t="s">
        <v>25</v>
      </c>
      <c r="G2908" s="29" t="s">
        <v>503</v>
      </c>
      <c r="H2908" s="29">
        <v>93</v>
      </c>
      <c r="I2908" s="29">
        <v>89</v>
      </c>
      <c r="J2908" s="29">
        <v>79.5</v>
      </c>
      <c r="K2908" s="29">
        <v>68</v>
      </c>
      <c r="L2908" s="29">
        <v>57</v>
      </c>
      <c r="M2908" s="29">
        <v>72</v>
      </c>
      <c r="N2908" s="29">
        <v>72</v>
      </c>
      <c r="O2908" s="32">
        <v>530.5</v>
      </c>
      <c r="P2908" s="29" cm="1">
        <f t="array" ref="P2908">IF(表成绩单[[#This Row],[语文]]="","",SUMPRODUCT((表成绩单[考试日期]=表成绩单[[#This Row],[考试日期]])*(表成绩单[语文]&lt;9E+307)*(表成绩单[语文]&gt;表成绩单[[#This Row],[语文]]))+1)</f>
        <v>470</v>
      </c>
      <c r="Q2908" s="29" cm="1">
        <f t="array" ref="Q2908">IF(表成绩单[[#This Row],[数学]]="","",SUMPRODUCT((表成绩单[考试日期]=表成绩单[[#This Row],[考试日期]])*(表成绩单[数学]&lt;9E+307)*(表成绩单[数学]&gt;表成绩单[[#This Row],[数学]]))+1)</f>
        <v>402</v>
      </c>
      <c r="R2908" s="29" cm="1">
        <f t="array" ref="R2908">IF(表成绩单[[#This Row],[英语]]="","",SUMPRODUCT((表成绩单[考试日期]=表成绩单[[#This Row],[考试日期]])*(表成绩单[英语]&lt;9E+307)*(表成绩单[英语]&gt;表成绩单[[#This Row],[英语]]))+1)</f>
        <v>286</v>
      </c>
      <c r="S2908" s="29" cm="1">
        <f t="array" ref="S2908">IF(表成绩单[[#This Row],[物理]]="","",SUMPRODUCT((表成绩单[考试日期]=表成绩单[[#This Row],[考试日期]])*(表成绩单[物理]&lt;9E+307)*(表成绩单[物理]&gt;表成绩单[[#This Row],[物理]]))+1)</f>
        <v>581</v>
      </c>
      <c r="T2908" s="29" cm="1">
        <f t="array" ref="T2908">IF(表成绩单[[#This Row],[化学]]="","",SUMPRODUCT((表成绩单[考试日期]=表成绩单[[#This Row],[考试日期]])*(表成绩单[化学]&lt;9E+307)*(表成绩单[化学]&gt;表成绩单[[#This Row],[化学]]))+1)</f>
        <v>552</v>
      </c>
      <c r="U2908" s="29" cm="1">
        <f t="array" ref="U2908">IF(表成绩单[[#This Row],[政治]]="","",SUMPRODUCT((表成绩单[考试日期]=表成绩单[[#This Row],[考试日期]])*(表成绩单[政治]&lt;9E+307)*(表成绩单[政治]&gt;表成绩单[[#This Row],[政治]]))+1)</f>
        <v>470</v>
      </c>
      <c r="V2908" s="29" cm="1">
        <f t="array" ref="V2908">IF(表成绩单[[#This Row],[历史]]="","",SUMPRODUCT((表成绩单[考试日期]=表成绩单[[#This Row],[考试日期]])*(表成绩单[历史]&lt;9E+307)*(表成绩单[历史]&gt;表成绩单[[#This Row],[历史]]))+1)</f>
        <v>470</v>
      </c>
      <c r="W2908" s="29" cm="1">
        <f t="array" ref="W2908">IF(表成绩单[[#This Row],[总分]]="","",SUMPRODUCT((表成绩单[考试日期]=表成绩单[[#This Row],[考试日期]])*(表成绩单[总分]&lt;9E+307)*(表成绩单[总分]&gt;表成绩单[[#This Row],[总分]]))+1)</f>
        <v>498</v>
      </c>
    </row>
    <row r="2909" ht="28" customHeight="1" spans="4:23">
      <c r="D2909" s="31">
        <v>46108</v>
      </c>
      <c r="E2909" s="29">
        <v>19171082</v>
      </c>
      <c r="F2909" s="29" t="s">
        <v>67</v>
      </c>
      <c r="G2909" s="29" t="s">
        <v>516</v>
      </c>
      <c r="H2909" s="29">
        <v>94</v>
      </c>
      <c r="I2909" s="29">
        <v>84</v>
      </c>
      <c r="J2909" s="29">
        <v>76</v>
      </c>
      <c r="K2909" s="29">
        <v>70</v>
      </c>
      <c r="L2909" s="29">
        <v>67</v>
      </c>
      <c r="M2909" s="29">
        <v>73</v>
      </c>
      <c r="N2909" s="29">
        <v>66</v>
      </c>
      <c r="O2909" s="32">
        <v>530</v>
      </c>
      <c r="P2909" s="29" cm="1">
        <f t="array" ref="P2909">IF(表成绩单[[#This Row],[语文]]="","",SUMPRODUCT((表成绩单[考试日期]=表成绩单[[#This Row],[考试日期]])*(表成绩单[语文]&lt;9E+307)*(表成绩单[语文]&gt;表成绩单[[#This Row],[语文]]))+1)</f>
        <v>449</v>
      </c>
      <c r="Q2909" s="29" cm="1">
        <f t="array" ref="Q2909">IF(表成绩单[[#This Row],[数学]]="","",SUMPRODUCT((表成绩单[考试日期]=表成绩单[[#This Row],[考试日期]])*(表成绩单[数学]&lt;9E+307)*(表成绩单[数学]&gt;表成绩单[[#This Row],[数学]]))+1)</f>
        <v>518</v>
      </c>
      <c r="R2909" s="29" cm="1">
        <f t="array" ref="R2909">IF(表成绩单[[#This Row],[英语]]="","",SUMPRODUCT((表成绩单[考试日期]=表成绩单[[#This Row],[考试日期]])*(表成绩单[英语]&lt;9E+307)*(表成绩单[英语]&gt;表成绩单[[#This Row],[英语]]))+1)</f>
        <v>405</v>
      </c>
      <c r="S2909" s="29" cm="1">
        <f t="array" ref="S2909">IF(表成绩单[[#This Row],[物理]]="","",SUMPRODUCT((表成绩单[考试日期]=表成绩单[[#This Row],[考试日期]])*(表成绩单[物理]&lt;9E+307)*(表成绩单[物理]&gt;表成绩单[[#This Row],[物理]]))+1)</f>
        <v>549</v>
      </c>
      <c r="T2909" s="29" cm="1">
        <f t="array" ref="T2909">IF(表成绩单[[#This Row],[化学]]="","",SUMPRODUCT((表成绩单[考试日期]=表成绩单[[#This Row],[考试日期]])*(表成绩单[化学]&lt;9E+307)*(表成绩单[化学]&gt;表成绩单[[#This Row],[化学]]))+1)</f>
        <v>335</v>
      </c>
      <c r="U2909" s="29" cm="1">
        <f t="array" ref="U2909">IF(表成绩单[[#This Row],[政治]]="","",SUMPRODUCT((表成绩单[考试日期]=表成绩单[[#This Row],[考试日期]])*(表成绩单[政治]&lt;9E+307)*(表成绩单[政治]&gt;表成绩单[[#This Row],[政治]]))+1)</f>
        <v>431</v>
      </c>
      <c r="V2909" s="29" cm="1">
        <f t="array" ref="V2909">IF(表成绩单[[#This Row],[历史]]="","",SUMPRODUCT((表成绩单[考试日期]=表成绩单[[#This Row],[考试日期]])*(表成绩单[历史]&lt;9E+307)*(表成绩单[历史]&gt;表成绩单[[#This Row],[历史]]))+1)</f>
        <v>637</v>
      </c>
      <c r="W2909" s="29" cm="1">
        <f t="array" ref="W2909">IF(表成绩单[[#This Row],[总分]]="","",SUMPRODUCT((表成绩单[考试日期]=表成绩单[[#This Row],[考试日期]])*(表成绩单[总分]&lt;9E+307)*(表成绩单[总分]&gt;表成绩单[[#This Row],[总分]]))+1)</f>
        <v>502</v>
      </c>
    </row>
    <row r="2910" ht="28" customHeight="1" spans="4:23">
      <c r="D2910" s="31">
        <v>46108</v>
      </c>
      <c r="E2910" s="29">
        <v>19173800</v>
      </c>
      <c r="F2910" s="29" t="s">
        <v>65</v>
      </c>
      <c r="G2910" s="29" t="s">
        <v>573</v>
      </c>
      <c r="H2910" s="29">
        <v>88</v>
      </c>
      <c r="I2910" s="29">
        <v>89</v>
      </c>
      <c r="J2910" s="29">
        <v>75</v>
      </c>
      <c r="K2910" s="29">
        <v>69</v>
      </c>
      <c r="L2910" s="29">
        <v>63</v>
      </c>
      <c r="M2910" s="29">
        <v>74</v>
      </c>
      <c r="N2910" s="29">
        <v>72</v>
      </c>
      <c r="O2910" s="32">
        <v>530</v>
      </c>
      <c r="P2910" s="29" cm="1">
        <f t="array" ref="P2910">IF(表成绩单[[#This Row],[语文]]="","",SUMPRODUCT((表成绩单[考试日期]=表成绩单[[#This Row],[考试日期]])*(表成绩单[语文]&lt;9E+307)*(表成绩单[语文]&gt;表成绩单[[#This Row],[语文]]))+1)</f>
        <v>575</v>
      </c>
      <c r="Q2910" s="29" cm="1">
        <f t="array" ref="Q2910">IF(表成绩单[[#This Row],[数学]]="","",SUMPRODUCT((表成绩单[考试日期]=表成绩单[[#This Row],[考试日期]])*(表成绩单[数学]&lt;9E+307)*(表成绩单[数学]&gt;表成绩单[[#This Row],[数学]]))+1)</f>
        <v>402</v>
      </c>
      <c r="R2910" s="29" cm="1">
        <f t="array" ref="R2910">IF(表成绩单[[#This Row],[英语]]="","",SUMPRODUCT((表成绩单[考试日期]=表成绩单[[#This Row],[考试日期]])*(表成绩单[英语]&lt;9E+307)*(表成绩单[英语]&gt;表成绩单[[#This Row],[英语]]))+1)</f>
        <v>444</v>
      </c>
      <c r="S2910" s="29" cm="1">
        <f t="array" ref="S2910">IF(表成绩单[[#This Row],[物理]]="","",SUMPRODUCT((表成绩单[考试日期]=表成绩单[[#This Row],[考试日期]])*(表成绩单[物理]&lt;9E+307)*(表成绩单[物理]&gt;表成绩单[[#This Row],[物理]]))+1)</f>
        <v>565</v>
      </c>
      <c r="T2910" s="29" cm="1">
        <f t="array" ref="T2910">IF(表成绩单[[#This Row],[化学]]="","",SUMPRODUCT((表成绩单[考试日期]=表成绩单[[#This Row],[考试日期]])*(表成绩单[化学]&lt;9E+307)*(表成绩单[化学]&gt;表成绩单[[#This Row],[化学]]))+1)</f>
        <v>426</v>
      </c>
      <c r="U2910" s="29" cm="1">
        <f t="array" ref="U2910">IF(表成绩单[[#This Row],[政治]]="","",SUMPRODUCT((表成绩单[考试日期]=表成绩单[[#This Row],[考试日期]])*(表成绩单[政治]&lt;9E+307)*(表成绩单[政治]&gt;表成绩单[[#This Row],[政治]]))+1)</f>
        <v>389</v>
      </c>
      <c r="V2910" s="29" cm="1">
        <f t="array" ref="V2910">IF(表成绩单[[#This Row],[历史]]="","",SUMPRODUCT((表成绩单[考试日期]=表成绩单[[#This Row],[考试日期]])*(表成绩单[历史]&lt;9E+307)*(表成绩单[历史]&gt;表成绩单[[#This Row],[历史]]))+1)</f>
        <v>470</v>
      </c>
      <c r="W2910" s="29" cm="1">
        <f t="array" ref="W2910">IF(表成绩单[[#This Row],[总分]]="","",SUMPRODUCT((表成绩单[考试日期]=表成绩单[[#This Row],[考试日期]])*(表成绩单[总分]&lt;9E+307)*(表成绩单[总分]&gt;表成绩单[[#This Row],[总分]]))+1)</f>
        <v>502</v>
      </c>
    </row>
    <row r="2911" ht="28" customHeight="1" spans="4:23">
      <c r="D2911" s="31">
        <v>46108</v>
      </c>
      <c r="E2911" s="29">
        <v>19178591</v>
      </c>
      <c r="F2911" s="29" t="s">
        <v>64</v>
      </c>
      <c r="G2911" s="29" t="s">
        <v>613</v>
      </c>
      <c r="H2911" s="29">
        <v>97</v>
      </c>
      <c r="I2911" s="29">
        <v>87</v>
      </c>
      <c r="J2911" s="29">
        <v>63</v>
      </c>
      <c r="K2911" s="29">
        <v>78</v>
      </c>
      <c r="L2911" s="29">
        <v>64</v>
      </c>
      <c r="M2911" s="29">
        <v>69</v>
      </c>
      <c r="N2911" s="29">
        <v>72</v>
      </c>
      <c r="O2911" s="32">
        <v>530</v>
      </c>
      <c r="P2911" s="29" cm="1">
        <f t="array" ref="P2911">IF(表成绩单[[#This Row],[语文]]="","",SUMPRODUCT((表成绩单[考试日期]=表成绩单[[#This Row],[考试日期]])*(表成绩单[语文]&lt;9E+307)*(表成绩单[语文]&gt;表成绩单[[#This Row],[语文]]))+1)</f>
        <v>357</v>
      </c>
      <c r="Q2911" s="29" cm="1">
        <f t="array" ref="Q2911">IF(表成绩单[[#This Row],[数学]]="","",SUMPRODUCT((表成绩单[考试日期]=表成绩单[[#This Row],[考试日期]])*(表成绩单[数学]&lt;9E+307)*(表成绩单[数学]&gt;表成绩单[[#This Row],[数学]]))+1)</f>
        <v>452</v>
      </c>
      <c r="R2911" s="29" cm="1">
        <f t="array" ref="R2911">IF(表成绩单[[#This Row],[英语]]="","",SUMPRODUCT((表成绩单[考试日期]=表成绩单[[#This Row],[考试日期]])*(表成绩单[英语]&lt;9E+307)*(表成绩单[英语]&gt;表成绩单[[#This Row],[英语]]))+1)</f>
        <v>627</v>
      </c>
      <c r="S2911" s="29" cm="1">
        <f t="array" ref="S2911">IF(表成绩单[[#This Row],[物理]]="","",SUMPRODUCT((表成绩单[考试日期]=表成绩单[[#This Row],[考试日期]])*(表成绩单[物理]&lt;9E+307)*(表成绩单[物理]&gt;表成绩单[[#This Row],[物理]]))+1)</f>
        <v>365</v>
      </c>
      <c r="T2911" s="29" cm="1">
        <f t="array" ref="T2911">IF(表成绩单[[#This Row],[化学]]="","",SUMPRODUCT((表成绩单[考试日期]=表成绩单[[#This Row],[考试日期]])*(表成绩单[化学]&lt;9E+307)*(表成绩单[化学]&gt;表成绩单[[#This Row],[化学]]))+1)</f>
        <v>400</v>
      </c>
      <c r="U2911" s="29" cm="1">
        <f t="array" ref="U2911">IF(表成绩单[[#This Row],[政治]]="","",SUMPRODUCT((表成绩单[考试日期]=表成绩单[[#This Row],[考试日期]])*(表成绩单[政治]&lt;9E+307)*(表成绩单[政治]&gt;表成绩单[[#This Row],[政治]]))+1)</f>
        <v>567</v>
      </c>
      <c r="V2911" s="29" cm="1">
        <f t="array" ref="V2911">IF(表成绩单[[#This Row],[历史]]="","",SUMPRODUCT((表成绩单[考试日期]=表成绩单[[#This Row],[考试日期]])*(表成绩单[历史]&lt;9E+307)*(表成绩单[历史]&gt;表成绩单[[#This Row],[历史]]))+1)</f>
        <v>470</v>
      </c>
      <c r="W2911" s="29" cm="1">
        <f t="array" ref="W2911">IF(表成绩单[[#This Row],[总分]]="","",SUMPRODUCT((表成绩单[考试日期]=表成绩单[[#This Row],[考试日期]])*(表成绩单[总分]&lt;9E+307)*(表成绩单[总分]&gt;表成绩单[[#This Row],[总分]]))+1)</f>
        <v>502</v>
      </c>
    </row>
    <row r="2912" ht="28" customHeight="1" spans="4:23">
      <c r="D2912" s="31">
        <v>46108</v>
      </c>
      <c r="E2912" s="29">
        <v>19177662</v>
      </c>
      <c r="F2912" s="29" t="s">
        <v>63</v>
      </c>
      <c r="G2912" s="29" t="s">
        <v>625</v>
      </c>
      <c r="H2912" s="29">
        <v>92</v>
      </c>
      <c r="I2912" s="29">
        <v>95</v>
      </c>
      <c r="J2912" s="29">
        <v>69</v>
      </c>
      <c r="K2912" s="29">
        <v>78</v>
      </c>
      <c r="L2912" s="29">
        <v>55</v>
      </c>
      <c r="M2912" s="29">
        <v>71</v>
      </c>
      <c r="N2912" s="29">
        <v>69</v>
      </c>
      <c r="O2912" s="32">
        <v>529</v>
      </c>
      <c r="P2912" s="29" cm="1">
        <f t="array" ref="P2912">IF(表成绩单[[#This Row],[语文]]="","",SUMPRODUCT((表成绩单[考试日期]=表成绩单[[#This Row],[考试日期]])*(表成绩单[语文]&lt;9E+307)*(表成绩单[语文]&gt;表成绩单[[#This Row],[语文]]))+1)</f>
        <v>494</v>
      </c>
      <c r="Q2912" s="29" cm="1">
        <f t="array" ref="Q2912">IF(表成绩单[[#This Row],[数学]]="","",SUMPRODUCT((表成绩单[考试日期]=表成绩单[[#This Row],[考试日期]])*(表成绩单[数学]&lt;9E+307)*(表成绩单[数学]&gt;表成绩单[[#This Row],[数学]]))+1)</f>
        <v>229</v>
      </c>
      <c r="R2912" s="29" cm="1">
        <f t="array" ref="R2912">IF(表成绩单[[#This Row],[英语]]="","",SUMPRODUCT((表成绩单[考试日期]=表成绩单[[#This Row],[考试日期]])*(表成绩单[英语]&lt;9E+307)*(表成绩单[英语]&gt;表成绩单[[#This Row],[英语]]))+1)</f>
        <v>554</v>
      </c>
      <c r="S2912" s="29" cm="1">
        <f t="array" ref="S2912">IF(表成绩单[[#This Row],[物理]]="","",SUMPRODUCT((表成绩单[考试日期]=表成绩单[[#This Row],[考试日期]])*(表成绩单[物理]&lt;9E+307)*(表成绩单[物理]&gt;表成绩单[[#This Row],[物理]]))+1)</f>
        <v>365</v>
      </c>
      <c r="T2912" s="29" cm="1">
        <f t="array" ref="T2912">IF(表成绩单[[#This Row],[化学]]="","",SUMPRODUCT((表成绩单[考试日期]=表成绩单[[#This Row],[考试日期]])*(表成绩单[化学]&lt;9E+307)*(表成绩单[化学]&gt;表成绩单[[#This Row],[化学]]))+1)</f>
        <v>580</v>
      </c>
      <c r="U2912" s="29" cm="1">
        <f t="array" ref="U2912">IF(表成绩单[[#This Row],[政治]]="","",SUMPRODUCT((表成绩单[考试日期]=表成绩单[[#This Row],[考试日期]])*(表成绩单[政治]&lt;9E+307)*(表成绩单[政治]&gt;表成绩单[[#This Row],[政治]]))+1)</f>
        <v>513</v>
      </c>
      <c r="V2912" s="29" cm="1">
        <f t="array" ref="V2912">IF(表成绩单[[#This Row],[历史]]="","",SUMPRODUCT((表成绩单[考试日期]=表成绩单[[#This Row],[考试日期]])*(表成绩单[历史]&lt;9E+307)*(表成绩单[历史]&gt;表成绩单[[#This Row],[历史]]))+1)</f>
        <v>569</v>
      </c>
      <c r="W2912" s="29" cm="1">
        <f t="array" ref="W2912">IF(表成绩单[[#This Row],[总分]]="","",SUMPRODUCT((表成绩单[考试日期]=表成绩单[[#This Row],[考试日期]])*(表成绩单[总分]&lt;9E+307)*(表成绩单[总分]&gt;表成绩单[[#This Row],[总分]]))+1)</f>
        <v>505</v>
      </c>
    </row>
    <row r="2913" ht="28" customHeight="1" spans="4:23">
      <c r="D2913" s="31">
        <v>46108</v>
      </c>
      <c r="E2913" s="29">
        <v>19173535</v>
      </c>
      <c r="F2913" s="29" t="s">
        <v>1</v>
      </c>
      <c r="G2913" s="29" t="s">
        <v>543</v>
      </c>
      <c r="H2913" s="29">
        <v>91</v>
      </c>
      <c r="I2913" s="29">
        <v>83</v>
      </c>
      <c r="J2913" s="29">
        <v>84.5</v>
      </c>
      <c r="K2913" s="29">
        <v>71</v>
      </c>
      <c r="L2913" s="29">
        <v>58</v>
      </c>
      <c r="M2913" s="29">
        <v>66</v>
      </c>
      <c r="N2913" s="29">
        <v>75</v>
      </c>
      <c r="O2913" s="32">
        <v>528.5</v>
      </c>
      <c r="P2913" s="29" cm="1">
        <f t="array" ref="P2913">IF(表成绩单[[#This Row],[语文]]="","",SUMPRODUCT((表成绩单[考试日期]=表成绩单[[#This Row],[考试日期]])*(表成绩单[语文]&lt;9E+307)*(表成绩单[语文]&gt;表成绩单[[#This Row],[语文]]))+1)</f>
        <v>519</v>
      </c>
      <c r="Q2913" s="29" cm="1">
        <f t="array" ref="Q2913">IF(表成绩单[[#This Row],[数学]]="","",SUMPRODUCT((表成绩单[考试日期]=表成绩单[[#This Row],[考试日期]])*(表成绩单[数学]&lt;9E+307)*(表成绩单[数学]&gt;表成绩单[[#This Row],[数学]]))+1)</f>
        <v>543</v>
      </c>
      <c r="R2913" s="29" cm="1">
        <f t="array" ref="R2913">IF(表成绩单[[#This Row],[英语]]="","",SUMPRODUCT((表成绩单[考试日期]=表成绩单[[#This Row],[考试日期]])*(表成绩单[英语]&lt;9E+307)*(表成绩单[英语]&gt;表成绩单[[#This Row],[英语]]))+1)</f>
        <v>83</v>
      </c>
      <c r="S2913" s="29" cm="1">
        <f t="array" ref="S2913">IF(表成绩单[[#This Row],[物理]]="","",SUMPRODUCT((表成绩单[考试日期]=表成绩单[[#This Row],[考试日期]])*(表成绩单[物理]&lt;9E+307)*(表成绩单[物理]&gt;表成绩单[[#This Row],[物理]]))+1)</f>
        <v>536</v>
      </c>
      <c r="T2913" s="29" cm="1">
        <f t="array" ref="T2913">IF(表成绩单[[#This Row],[化学]]="","",SUMPRODUCT((表成绩单[考试日期]=表成绩单[[#This Row],[考试日期]])*(表成绩单[化学]&lt;9E+307)*(表成绩单[化学]&gt;表成绩单[[#This Row],[化学]]))+1)</f>
        <v>532</v>
      </c>
      <c r="U2913" s="29" cm="1">
        <f t="array" ref="U2913">IF(表成绩单[[#This Row],[政治]]="","",SUMPRODUCT((表成绩单[考试日期]=表成绩单[[#This Row],[考试日期]])*(表成绩单[政治]&lt;9E+307)*(表成绩单[政治]&gt;表成绩单[[#This Row],[政治]]))+1)</f>
        <v>642</v>
      </c>
      <c r="V2913" s="29" cm="1">
        <f t="array" ref="V2913">IF(表成绩单[[#This Row],[历史]]="","",SUMPRODUCT((表成绩单[考试日期]=表成绩单[[#This Row],[考试日期]])*(表成绩单[历史]&lt;9E+307)*(表成绩单[历史]&gt;表成绩单[[#This Row],[历史]]))+1)</f>
        <v>354</v>
      </c>
      <c r="W2913" s="29" cm="1">
        <f t="array" ref="W2913">IF(表成绩单[[#This Row],[总分]]="","",SUMPRODUCT((表成绩单[考试日期]=表成绩单[[#This Row],[考试日期]])*(表成绩单[总分]&lt;9E+307)*(表成绩单[总分]&gt;表成绩单[[#This Row],[总分]]))+1)</f>
        <v>506</v>
      </c>
    </row>
    <row r="2914" ht="28" customHeight="1" spans="4:23">
      <c r="D2914" s="31">
        <v>46108</v>
      </c>
      <c r="E2914" s="29">
        <v>19175655</v>
      </c>
      <c r="F2914" s="29" t="s">
        <v>66</v>
      </c>
      <c r="G2914" s="29" t="s">
        <v>656</v>
      </c>
      <c r="H2914" s="29">
        <v>102</v>
      </c>
      <c r="I2914" s="29">
        <v>94</v>
      </c>
      <c r="J2914" s="29">
        <v>52.5</v>
      </c>
      <c r="K2914" s="29">
        <v>76</v>
      </c>
      <c r="L2914" s="29">
        <v>62</v>
      </c>
      <c r="M2914" s="29">
        <v>68</v>
      </c>
      <c r="N2914" s="29">
        <v>74</v>
      </c>
      <c r="O2914" s="32">
        <v>528.5</v>
      </c>
      <c r="P2914" s="29" cm="1">
        <f t="array" ref="P2914">IF(表成绩单[[#This Row],[语文]]="","",SUMPRODUCT((表成绩单[考试日期]=表成绩单[[#This Row],[考试日期]])*(表成绩单[语文]&lt;9E+307)*(表成绩单[语文]&gt;表成绩单[[#This Row],[语文]]))+1)</f>
        <v>183</v>
      </c>
      <c r="Q2914" s="29" cm="1">
        <f t="array" ref="Q2914">IF(表成绩单[[#This Row],[数学]]="","",SUMPRODUCT((表成绩单[考试日期]=表成绩单[[#This Row],[考试日期]])*(表成绩单[数学]&lt;9E+307)*(表成绩单[数学]&gt;表成绩单[[#This Row],[数学]]))+1)</f>
        <v>258</v>
      </c>
      <c r="R2914" s="29" cm="1">
        <f t="array" ref="R2914">IF(表成绩单[[#This Row],[英语]]="","",SUMPRODUCT((表成绩单[考试日期]=表成绩单[[#This Row],[考试日期]])*(表成绩单[英语]&lt;9E+307)*(表成绩单[英语]&gt;表成绩单[[#This Row],[英语]]))+1)</f>
        <v>701</v>
      </c>
      <c r="S2914" s="29" cm="1">
        <f t="array" ref="S2914">IF(表成绩单[[#This Row],[物理]]="","",SUMPRODUCT((表成绩单[考试日期]=表成绩单[[#This Row],[考试日期]])*(表成绩单[物理]&lt;9E+307)*(表成绩单[物理]&gt;表成绩单[[#This Row],[物理]]))+1)</f>
        <v>433</v>
      </c>
      <c r="T2914" s="29" cm="1">
        <f t="array" ref="T2914">IF(表成绩单[[#This Row],[化学]]="","",SUMPRODUCT((表成绩单[考试日期]=表成绩单[[#This Row],[考试日期]])*(表成绩单[化学]&lt;9E+307)*(表成绩单[化学]&gt;表成绩单[[#This Row],[化学]]))+1)</f>
        <v>449</v>
      </c>
      <c r="U2914" s="29" cm="1">
        <f t="array" ref="U2914">IF(表成绩单[[#This Row],[政治]]="","",SUMPRODUCT((表成绩单[考试日期]=表成绩单[[#This Row],[考试日期]])*(表成绩单[政治]&lt;9E+307)*(表成绩单[政治]&gt;表成绩单[[#This Row],[政治]]))+1)</f>
        <v>596</v>
      </c>
      <c r="V2914" s="29" cm="1">
        <f t="array" ref="V2914">IF(表成绩单[[#This Row],[历史]]="","",SUMPRODUCT((表成绩单[考试日期]=表成绩单[[#This Row],[考试日期]])*(表成绩单[历史]&lt;9E+307)*(表成绩单[历史]&gt;表成绩单[[#This Row],[历史]]))+1)</f>
        <v>389</v>
      </c>
      <c r="W2914" s="29" cm="1">
        <f t="array" ref="W2914">IF(表成绩单[[#This Row],[总分]]="","",SUMPRODUCT((表成绩单[考试日期]=表成绩单[[#This Row],[考试日期]])*(表成绩单[总分]&lt;9E+307)*(表成绩单[总分]&gt;表成绩单[[#This Row],[总分]]))+1)</f>
        <v>506</v>
      </c>
    </row>
    <row r="2915" ht="28" customHeight="1" spans="4:23">
      <c r="D2915" s="31">
        <v>46108</v>
      </c>
      <c r="E2915" s="29">
        <v>19172630</v>
      </c>
      <c r="F2915" s="29" t="s">
        <v>60</v>
      </c>
      <c r="G2915" s="29" t="s">
        <v>593</v>
      </c>
      <c r="H2915" s="29">
        <v>85</v>
      </c>
      <c r="I2915" s="29">
        <v>76</v>
      </c>
      <c r="J2915" s="29">
        <v>71</v>
      </c>
      <c r="K2915" s="29">
        <v>75</v>
      </c>
      <c r="L2915" s="29">
        <v>69</v>
      </c>
      <c r="M2915" s="29">
        <v>71</v>
      </c>
      <c r="N2915" s="29">
        <v>81</v>
      </c>
      <c r="O2915" s="32">
        <v>528</v>
      </c>
      <c r="P2915" s="29" cm="1">
        <f t="array" ref="P2915">IF(表成绩单[[#This Row],[语文]]="","",SUMPRODUCT((表成绩单[考试日期]=表成绩单[[#This Row],[考试日期]])*(表成绩单[语文]&lt;9E+307)*(表成绩单[语文]&gt;表成绩单[[#This Row],[语文]]))+1)</f>
        <v>626</v>
      </c>
      <c r="Q2915" s="29" cm="1">
        <f t="array" ref="Q2915">IF(表成绩单[[#This Row],[数学]]="","",SUMPRODUCT((表成绩单[考试日期]=表成绩单[[#This Row],[考试日期]])*(表成绩单[数学]&lt;9E+307)*(表成绩单[数学]&gt;表成绩单[[#This Row],[数学]]))+1)</f>
        <v>625</v>
      </c>
      <c r="R2915" s="29" cm="1">
        <f t="array" ref="R2915">IF(表成绩单[[#This Row],[英语]]="","",SUMPRODUCT((表成绩单[考试日期]=表成绩单[[#This Row],[考试日期]])*(表成绩单[英语]&lt;9E+307)*(表成绩单[英语]&gt;表成绩单[[#This Row],[英语]]))+1)</f>
        <v>522</v>
      </c>
      <c r="S2915" s="29" cm="1">
        <f t="array" ref="S2915">IF(表成绩单[[#This Row],[物理]]="","",SUMPRODUCT((表成绩单[考试日期]=表成绩单[[#This Row],[考试日期]])*(表成绩单[物理]&lt;9E+307)*(表成绩单[物理]&gt;表成绩单[[#This Row],[物理]]))+1)</f>
        <v>456</v>
      </c>
      <c r="T2915" s="29" cm="1">
        <f t="array" ref="T2915">IF(表成绩单[[#This Row],[化学]]="","",SUMPRODUCT((表成绩单[考试日期]=表成绩单[[#This Row],[考试日期]])*(表成绩单[化学]&lt;9E+307)*(表成绩单[化学]&gt;表成绩单[[#This Row],[化学]]))+1)</f>
        <v>269</v>
      </c>
      <c r="U2915" s="29" cm="1">
        <f t="array" ref="U2915">IF(表成绩单[[#This Row],[政治]]="","",SUMPRODUCT((表成绩单[考试日期]=表成绩单[[#This Row],[考试日期]])*(表成绩单[政治]&lt;9E+307)*(表成绩单[政治]&gt;表成绩单[[#This Row],[政治]]))+1)</f>
        <v>513</v>
      </c>
      <c r="V2915" s="29" cm="1">
        <f t="array" ref="V2915">IF(表成绩单[[#This Row],[历史]]="","",SUMPRODUCT((表成绩单[考试日期]=表成绩单[[#This Row],[考试日期]])*(表成绩单[历史]&lt;9E+307)*(表成绩单[历史]&gt;表成绩单[[#This Row],[历史]]))+1)</f>
        <v>106</v>
      </c>
      <c r="W2915" s="29" cm="1">
        <f t="array" ref="W2915">IF(表成绩单[[#This Row],[总分]]="","",SUMPRODUCT((表成绩单[考试日期]=表成绩单[[#This Row],[考试日期]])*(表成绩单[总分]&lt;9E+307)*(表成绩单[总分]&gt;表成绩单[[#This Row],[总分]]))+1)</f>
        <v>508</v>
      </c>
    </row>
    <row r="2916" ht="28" customHeight="1" spans="4:23">
      <c r="D2916" s="31">
        <v>46108</v>
      </c>
      <c r="E2916" s="29">
        <v>19176020</v>
      </c>
      <c r="F2916" s="29" t="s">
        <v>59</v>
      </c>
      <c r="G2916" s="29" t="s">
        <v>589</v>
      </c>
      <c r="H2916" s="29">
        <v>86</v>
      </c>
      <c r="I2916" s="29">
        <v>85</v>
      </c>
      <c r="J2916" s="29">
        <v>71.5</v>
      </c>
      <c r="K2916" s="29">
        <v>77</v>
      </c>
      <c r="L2916" s="29">
        <v>59</v>
      </c>
      <c r="M2916" s="29">
        <v>76</v>
      </c>
      <c r="N2916" s="29">
        <v>73</v>
      </c>
      <c r="O2916" s="32">
        <v>527.5</v>
      </c>
      <c r="P2916" s="29" cm="1">
        <f t="array" ref="P2916">IF(表成绩单[[#This Row],[语文]]="","",SUMPRODUCT((表成绩单[考试日期]=表成绩单[[#This Row],[考试日期]])*(表成绩单[语文]&lt;9E+307)*(表成绩单[语文]&gt;表成绩单[[#This Row],[语文]]))+1)</f>
        <v>610</v>
      </c>
      <c r="Q2916" s="29" cm="1">
        <f t="array" ref="Q2916">IF(表成绩单[[#This Row],[数学]]="","",SUMPRODUCT((表成绩单[考试日期]=表成绩单[[#This Row],[考试日期]])*(表成绩单[数学]&lt;9E+307)*(表成绩单[数学]&gt;表成绩单[[#This Row],[数学]]))+1)</f>
        <v>501</v>
      </c>
      <c r="R2916" s="29" cm="1">
        <f t="array" ref="R2916">IF(表成绩单[[#This Row],[英语]]="","",SUMPRODUCT((表成绩单[考试日期]=表成绩单[[#This Row],[考试日期]])*(表成绩单[英语]&lt;9E+307)*(表成绩单[英语]&gt;表成绩单[[#This Row],[英语]]))+1)</f>
        <v>509</v>
      </c>
      <c r="S2916" s="29" cm="1">
        <f t="array" ref="S2916">IF(表成绩单[[#This Row],[物理]]="","",SUMPRODUCT((表成绩单[考试日期]=表成绩单[[#This Row],[考试日期]])*(表成绩单[物理]&lt;9E+307)*(表成绩单[物理]&gt;表成绩单[[#This Row],[物理]]))+1)</f>
        <v>400</v>
      </c>
      <c r="T2916" s="29" cm="1">
        <f t="array" ref="T2916">IF(表成绩单[[#This Row],[化学]]="","",SUMPRODUCT((表成绩单[考试日期]=表成绩单[[#This Row],[考试日期]])*(表成绩单[化学]&lt;9E+307)*(表成绩单[化学]&gt;表成绩单[[#This Row],[化学]]))+1)</f>
        <v>510</v>
      </c>
      <c r="U2916" s="29" cm="1">
        <f t="array" ref="U2916">IF(表成绩单[[#This Row],[政治]]="","",SUMPRODUCT((表成绩单[考试日期]=表成绩单[[#This Row],[考试日期]])*(表成绩单[政治]&lt;9E+307)*(表成绩单[政治]&gt;表成绩单[[#This Row],[政治]]))+1)</f>
        <v>291</v>
      </c>
      <c r="V2916" s="29" cm="1">
        <f t="array" ref="V2916">IF(表成绩单[[#This Row],[历史]]="","",SUMPRODUCT((表成绩单[考试日期]=表成绩单[[#This Row],[考试日期]])*(表成绩单[历史]&lt;9E+307)*(表成绩单[历史]&gt;表成绩单[[#This Row],[历史]]))+1)</f>
        <v>432</v>
      </c>
      <c r="W2916" s="29" cm="1">
        <f t="array" ref="W2916">IF(表成绩单[[#This Row],[总分]]="","",SUMPRODUCT((表成绩单[考试日期]=表成绩单[[#This Row],[考试日期]])*(表成绩单[总分]&lt;9E+307)*(表成绩单[总分]&gt;表成绩单[[#This Row],[总分]]))+1)</f>
        <v>509</v>
      </c>
    </row>
    <row r="2917" ht="28" customHeight="1" spans="4:23">
      <c r="D2917" s="31">
        <v>46108</v>
      </c>
      <c r="E2917" s="29">
        <v>19172661</v>
      </c>
      <c r="F2917" s="29" t="s">
        <v>60</v>
      </c>
      <c r="G2917" s="29" t="s">
        <v>552</v>
      </c>
      <c r="H2917" s="29">
        <v>98</v>
      </c>
      <c r="I2917" s="29">
        <v>79</v>
      </c>
      <c r="J2917" s="29">
        <v>70</v>
      </c>
      <c r="K2917" s="29">
        <v>67</v>
      </c>
      <c r="L2917" s="29">
        <v>58</v>
      </c>
      <c r="M2917" s="29">
        <v>79</v>
      </c>
      <c r="N2917" s="29">
        <v>76</v>
      </c>
      <c r="O2917" s="32">
        <v>527</v>
      </c>
      <c r="P2917" s="29" cm="1">
        <f t="array" ref="P2917">IF(表成绩单[[#This Row],[语文]]="","",SUMPRODUCT((表成绩单[考试日期]=表成绩单[[#This Row],[考试日期]])*(表成绩单[语文]&lt;9E+307)*(表成绩单[语文]&gt;表成绩单[[#This Row],[语文]]))+1)</f>
        <v>322</v>
      </c>
      <c r="Q2917" s="29" cm="1">
        <f t="array" ref="Q2917">IF(表成绩单[[#This Row],[数学]]="","",SUMPRODUCT((表成绩单[考试日期]=表成绩单[[#This Row],[考试日期]])*(表成绩单[数学]&lt;9E+307)*(表成绩单[数学]&gt;表成绩单[[#This Row],[数学]]))+1)</f>
        <v>591</v>
      </c>
      <c r="R2917" s="29" cm="1">
        <f t="array" ref="R2917">IF(表成绩单[[#This Row],[英语]]="","",SUMPRODUCT((表成绩单[考试日期]=表成绩单[[#This Row],[考试日期]])*(表成绩单[英语]&lt;9E+307)*(表成绩单[英语]&gt;表成绩单[[#This Row],[英语]]))+1)</f>
        <v>542</v>
      </c>
      <c r="S2917" s="29" cm="1">
        <f t="array" ref="S2917">IF(表成绩单[[#This Row],[物理]]="","",SUMPRODUCT((表成绩单[考试日期]=表成绩单[[#This Row],[考试日期]])*(表成绩单[物理]&lt;9E+307)*(表成绩单[物理]&gt;表成绩单[[#This Row],[物理]]))+1)</f>
        <v>593</v>
      </c>
      <c r="T2917" s="29" cm="1">
        <f t="array" ref="T2917">IF(表成绩单[[#This Row],[化学]]="","",SUMPRODUCT((表成绩单[考试日期]=表成绩单[[#This Row],[考试日期]])*(表成绩单[化学]&lt;9E+307)*(表成绩单[化学]&gt;表成绩单[[#This Row],[化学]]))+1)</f>
        <v>532</v>
      </c>
      <c r="U2917" s="29" cm="1">
        <f t="array" ref="U2917">IF(表成绩单[[#This Row],[政治]]="","",SUMPRODUCT((表成绩单[考试日期]=表成绩单[[#This Row],[考试日期]])*(表成绩单[政治]&lt;9E+307)*(表成绩单[政治]&gt;表成绩单[[#This Row],[政治]]))+1)</f>
        <v>134</v>
      </c>
      <c r="V2917" s="29" cm="1">
        <f t="array" ref="V2917">IF(表成绩单[[#This Row],[历史]]="","",SUMPRODUCT((表成绩单[考试日期]=表成绩单[[#This Row],[考试日期]])*(表成绩单[历史]&lt;9E+307)*(表成绩单[历史]&gt;表成绩单[[#This Row],[历史]]))+1)</f>
        <v>316</v>
      </c>
      <c r="W2917" s="29" cm="1">
        <f t="array" ref="W2917">IF(表成绩单[[#This Row],[总分]]="","",SUMPRODUCT((表成绩单[考试日期]=表成绩单[[#This Row],[考试日期]])*(表成绩单[总分]&lt;9E+307)*(表成绩单[总分]&gt;表成绩单[[#This Row],[总分]]))+1)</f>
        <v>510</v>
      </c>
    </row>
    <row r="2918" ht="28" customHeight="1" spans="4:23">
      <c r="D2918" s="31">
        <v>46108</v>
      </c>
      <c r="E2918" s="29">
        <v>19173237</v>
      </c>
      <c r="F2918" s="29" t="s">
        <v>61</v>
      </c>
      <c r="G2918" s="29" t="s">
        <v>478</v>
      </c>
      <c r="H2918" s="29">
        <v>88</v>
      </c>
      <c r="I2918" s="29">
        <v>90</v>
      </c>
      <c r="J2918" s="29">
        <v>62.5</v>
      </c>
      <c r="K2918" s="29">
        <v>79</v>
      </c>
      <c r="L2918" s="29">
        <v>60</v>
      </c>
      <c r="M2918" s="29">
        <v>69</v>
      </c>
      <c r="N2918" s="29">
        <v>78</v>
      </c>
      <c r="O2918" s="32">
        <v>526.5</v>
      </c>
      <c r="P2918" s="29" cm="1">
        <f t="array" ref="P2918">IF(表成绩单[[#This Row],[语文]]="","",SUMPRODUCT((表成绩单[考试日期]=表成绩单[[#This Row],[考试日期]])*(表成绩单[语文]&lt;9E+307)*(表成绩单[语文]&gt;表成绩单[[#This Row],[语文]]))+1)</f>
        <v>575</v>
      </c>
      <c r="Q2918" s="29" cm="1">
        <f t="array" ref="Q2918">IF(表成绩单[[#This Row],[数学]]="","",SUMPRODUCT((表成绩单[考试日期]=表成绩单[[#This Row],[考试日期]])*(表成绩单[数学]&lt;9E+307)*(表成绩单[数学]&gt;表成绩单[[#This Row],[数学]]))+1)</f>
        <v>368</v>
      </c>
      <c r="R2918" s="29" cm="1">
        <f t="array" ref="R2918">IF(表成绩单[[#This Row],[英语]]="","",SUMPRODUCT((表成绩单[考试日期]=表成绩单[[#This Row],[考试日期]])*(表成绩单[英语]&lt;9E+307)*(表成绩单[英语]&gt;表成绩单[[#This Row],[英语]]))+1)</f>
        <v>633</v>
      </c>
      <c r="S2918" s="29" cm="1">
        <f t="array" ref="S2918">IF(表成绩单[[#This Row],[物理]]="","",SUMPRODUCT((表成绩单[考试日期]=表成绩单[[#This Row],[考试日期]])*(表成绩单[物理]&lt;9E+307)*(表成绩单[物理]&gt;表成绩单[[#This Row],[物理]]))+1)</f>
        <v>344</v>
      </c>
      <c r="T2918" s="29" cm="1">
        <f t="array" ref="T2918">IF(表成绩单[[#This Row],[化学]]="","",SUMPRODUCT((表成绩单[考试日期]=表成绩单[[#This Row],[考试日期]])*(表成绩单[化学]&lt;9E+307)*(表成绩单[化学]&gt;表成绩单[[#This Row],[化学]]))+1)</f>
        <v>490</v>
      </c>
      <c r="U2918" s="29" cm="1">
        <f t="array" ref="U2918">IF(表成绩单[[#This Row],[政治]]="","",SUMPRODUCT((表成绩单[考试日期]=表成绩单[[#This Row],[考试日期]])*(表成绩单[政治]&lt;9E+307)*(表成绩单[政治]&gt;表成绩单[[#This Row],[政治]]))+1)</f>
        <v>567</v>
      </c>
      <c r="V2918" s="29" cm="1">
        <f t="array" ref="V2918">IF(表成绩单[[#This Row],[历史]]="","",SUMPRODUCT((表成绩单[考试日期]=表成绩单[[#This Row],[考试日期]])*(表成绩单[历史]&lt;9E+307)*(表成绩单[历史]&gt;表成绩单[[#This Row],[历史]]))+1)</f>
        <v>222</v>
      </c>
      <c r="W2918" s="29" cm="1">
        <f t="array" ref="W2918">IF(表成绩单[[#This Row],[总分]]="","",SUMPRODUCT((表成绩单[考试日期]=表成绩单[[#This Row],[考试日期]])*(表成绩单[总分]&lt;9E+307)*(表成绩单[总分]&gt;表成绩单[[#This Row],[总分]]))+1)</f>
        <v>511</v>
      </c>
    </row>
    <row r="2919" ht="28" customHeight="1" spans="4:23">
      <c r="D2919" s="31">
        <v>46108</v>
      </c>
      <c r="E2919" s="29">
        <v>19175288</v>
      </c>
      <c r="F2919" s="29" t="s">
        <v>55</v>
      </c>
      <c r="G2919" s="29" t="s">
        <v>560</v>
      </c>
      <c r="H2919" s="29">
        <v>96</v>
      </c>
      <c r="I2919" s="29">
        <v>91</v>
      </c>
      <c r="J2919" s="29">
        <v>70.5</v>
      </c>
      <c r="K2919" s="29">
        <v>67</v>
      </c>
      <c r="L2919" s="29">
        <v>58</v>
      </c>
      <c r="M2919" s="29">
        <v>76</v>
      </c>
      <c r="N2919" s="29">
        <v>68</v>
      </c>
      <c r="O2919" s="32">
        <v>526.5</v>
      </c>
      <c r="P2919" s="29" cm="1">
        <f t="array" ref="P2919">IF(表成绩单[[#This Row],[语文]]="","",SUMPRODUCT((表成绩单[考试日期]=表成绩单[[#This Row],[考试日期]])*(表成绩单[语文]&lt;9E+307)*(表成绩单[语文]&gt;表成绩单[[#This Row],[语文]]))+1)</f>
        <v>390</v>
      </c>
      <c r="Q2919" s="29" cm="1">
        <f t="array" ref="Q2919">IF(表成绩单[[#This Row],[数学]]="","",SUMPRODUCT((表成绩单[考试日期]=表成绩单[[#This Row],[考试日期]])*(表成绩单[数学]&lt;9E+307)*(表成绩单[数学]&gt;表成绩单[[#This Row],[数学]]))+1)</f>
        <v>341</v>
      </c>
      <c r="R2919" s="29" cm="1">
        <f t="array" ref="R2919">IF(表成绩单[[#This Row],[英语]]="","",SUMPRODUCT((表成绩单[考试日期]=表成绩单[[#This Row],[考试日期]])*(表成绩单[英语]&lt;9E+307)*(表成绩单[英语]&gt;表成绩单[[#This Row],[英语]]))+1)</f>
        <v>530</v>
      </c>
      <c r="S2919" s="29" cm="1">
        <f t="array" ref="S2919">IF(表成绩单[[#This Row],[物理]]="","",SUMPRODUCT((表成绩单[考试日期]=表成绩单[[#This Row],[考试日期]])*(表成绩单[物理]&lt;9E+307)*(表成绩单[物理]&gt;表成绩单[[#This Row],[物理]]))+1)</f>
        <v>593</v>
      </c>
      <c r="T2919" s="29" cm="1">
        <f t="array" ref="T2919">IF(表成绩单[[#This Row],[化学]]="","",SUMPRODUCT((表成绩单[考试日期]=表成绩单[[#This Row],[考试日期]])*(表成绩单[化学]&lt;9E+307)*(表成绩单[化学]&gt;表成绩单[[#This Row],[化学]]))+1)</f>
        <v>532</v>
      </c>
      <c r="U2919" s="29" cm="1">
        <f t="array" ref="U2919">IF(表成绩单[[#This Row],[政治]]="","",SUMPRODUCT((表成绩单[考试日期]=表成绩单[[#This Row],[考试日期]])*(表成绩单[政治]&lt;9E+307)*(表成绩单[政治]&gt;表成绩单[[#This Row],[政治]]))+1)</f>
        <v>291</v>
      </c>
      <c r="V2919" s="29" cm="1">
        <f t="array" ref="V2919">IF(表成绩单[[#This Row],[历史]]="","",SUMPRODUCT((表成绩单[考试日期]=表成绩单[[#This Row],[考试日期]])*(表成绩单[历史]&lt;9E+307)*(表成绩单[历史]&gt;表成绩单[[#This Row],[历史]]))+1)</f>
        <v>599</v>
      </c>
      <c r="W2919" s="29" cm="1">
        <f t="array" ref="W2919">IF(表成绩单[[#This Row],[总分]]="","",SUMPRODUCT((表成绩单[考试日期]=表成绩单[[#This Row],[考试日期]])*(表成绩单[总分]&lt;9E+307)*(表成绩单[总分]&gt;表成绩单[[#This Row],[总分]]))+1)</f>
        <v>511</v>
      </c>
    </row>
    <row r="2920" ht="28" customHeight="1" spans="4:23">
      <c r="D2920" s="31">
        <v>46108</v>
      </c>
      <c r="E2920" s="29">
        <v>19173251</v>
      </c>
      <c r="F2920" s="29" t="s">
        <v>61</v>
      </c>
      <c r="G2920" s="29" t="s">
        <v>566</v>
      </c>
      <c r="H2920" s="29">
        <v>80</v>
      </c>
      <c r="I2920" s="29">
        <v>91</v>
      </c>
      <c r="J2920" s="29">
        <v>76</v>
      </c>
      <c r="K2920" s="29">
        <v>76</v>
      </c>
      <c r="L2920" s="29">
        <v>63</v>
      </c>
      <c r="M2920" s="29">
        <v>72</v>
      </c>
      <c r="N2920" s="29">
        <v>68</v>
      </c>
      <c r="O2920" s="32">
        <v>526</v>
      </c>
      <c r="P2920" s="29" cm="1">
        <f t="array" ref="P2920">IF(表成绩单[[#This Row],[语文]]="","",SUMPRODUCT((表成绩单[考试日期]=表成绩单[[#This Row],[考试日期]])*(表成绩单[语文]&lt;9E+307)*(表成绩单[语文]&gt;表成绩单[[#This Row],[语文]]))+1)</f>
        <v>679</v>
      </c>
      <c r="Q2920" s="29" cm="1">
        <f t="array" ref="Q2920">IF(表成绩单[[#This Row],[数学]]="","",SUMPRODUCT((表成绩单[考试日期]=表成绩单[[#This Row],[考试日期]])*(表成绩单[数学]&lt;9E+307)*(表成绩单[数学]&gt;表成绩单[[#This Row],[数学]]))+1)</f>
        <v>341</v>
      </c>
      <c r="R2920" s="29" cm="1">
        <f t="array" ref="R2920">IF(表成绩单[[#This Row],[英语]]="","",SUMPRODUCT((表成绩单[考试日期]=表成绩单[[#This Row],[考试日期]])*(表成绩单[英语]&lt;9E+307)*(表成绩单[英语]&gt;表成绩单[[#This Row],[英语]]))+1)</f>
        <v>405</v>
      </c>
      <c r="S2920" s="29" cm="1">
        <f t="array" ref="S2920">IF(表成绩单[[#This Row],[物理]]="","",SUMPRODUCT((表成绩单[考试日期]=表成绩单[[#This Row],[考试日期]])*(表成绩单[物理]&lt;9E+307)*(表成绩单[物理]&gt;表成绩单[[#This Row],[物理]]))+1)</f>
        <v>433</v>
      </c>
      <c r="T2920" s="29" cm="1">
        <f t="array" ref="T2920">IF(表成绩单[[#This Row],[化学]]="","",SUMPRODUCT((表成绩单[考试日期]=表成绩单[[#This Row],[考试日期]])*(表成绩单[化学]&lt;9E+307)*(表成绩单[化学]&gt;表成绩单[[#This Row],[化学]]))+1)</f>
        <v>426</v>
      </c>
      <c r="U2920" s="29" cm="1">
        <f t="array" ref="U2920">IF(表成绩单[[#This Row],[政治]]="","",SUMPRODUCT((表成绩单[考试日期]=表成绩单[[#This Row],[考试日期]])*(表成绩单[政治]&lt;9E+307)*(表成绩单[政治]&gt;表成绩单[[#This Row],[政治]]))+1)</f>
        <v>470</v>
      </c>
      <c r="V2920" s="29" cm="1">
        <f t="array" ref="V2920">IF(表成绩单[[#This Row],[历史]]="","",SUMPRODUCT((表成绩单[考试日期]=表成绩单[[#This Row],[考试日期]])*(表成绩单[历史]&lt;9E+307)*(表成绩单[历史]&gt;表成绩单[[#This Row],[历史]]))+1)</f>
        <v>599</v>
      </c>
      <c r="W2920" s="29" cm="1">
        <f t="array" ref="W2920">IF(表成绩单[[#This Row],[总分]]="","",SUMPRODUCT((表成绩单[考试日期]=表成绩单[[#This Row],[考试日期]])*(表成绩单[总分]&lt;9E+307)*(表成绩单[总分]&gt;表成绩单[[#This Row],[总分]]))+1)</f>
        <v>513</v>
      </c>
    </row>
    <row r="2921" ht="28" customHeight="1" spans="4:23">
      <c r="D2921" s="31">
        <v>46108</v>
      </c>
      <c r="E2921" s="29">
        <v>19173796</v>
      </c>
      <c r="F2921" s="29" t="s">
        <v>65</v>
      </c>
      <c r="G2921" s="29" t="s">
        <v>635</v>
      </c>
      <c r="H2921" s="29">
        <v>75</v>
      </c>
      <c r="I2921" s="29">
        <v>87</v>
      </c>
      <c r="J2921" s="29">
        <v>78</v>
      </c>
      <c r="K2921" s="29">
        <v>85</v>
      </c>
      <c r="L2921" s="29">
        <v>63</v>
      </c>
      <c r="M2921" s="29">
        <v>70</v>
      </c>
      <c r="N2921" s="29">
        <v>68</v>
      </c>
      <c r="O2921" s="32">
        <v>526</v>
      </c>
      <c r="P2921" s="29" cm="1">
        <f t="array" ref="P2921">IF(表成绩单[[#This Row],[语文]]="","",SUMPRODUCT((表成绩单[考试日期]=表成绩单[[#This Row],[考试日期]])*(表成绩单[语文]&lt;9E+307)*(表成绩单[语文]&gt;表成绩单[[#This Row],[语文]]))+1)</f>
        <v>721</v>
      </c>
      <c r="Q2921" s="29" cm="1">
        <f t="array" ref="Q2921">IF(表成绩单[[#This Row],[数学]]="","",SUMPRODUCT((表成绩单[考试日期]=表成绩单[[#This Row],[考试日期]])*(表成绩单[数学]&lt;9E+307)*(表成绩单[数学]&gt;表成绩单[[#This Row],[数学]]))+1)</f>
        <v>452</v>
      </c>
      <c r="R2921" s="29" cm="1">
        <f t="array" ref="R2921">IF(表成绩单[[#This Row],[英语]]="","",SUMPRODUCT((表成绩单[考试日期]=表成绩单[[#This Row],[考试日期]])*(表成绩单[英语]&lt;9E+307)*(表成绩单[英语]&gt;表成绩单[[#This Row],[英语]]))+1)</f>
        <v>341</v>
      </c>
      <c r="S2921" s="29" cm="1">
        <f t="array" ref="S2921">IF(表成绩单[[#This Row],[物理]]="","",SUMPRODUCT((表成绩单[考试日期]=表成绩单[[#This Row],[考试日期]])*(表成绩单[物理]&lt;9E+307)*(表成绩单[物理]&gt;表成绩单[[#This Row],[物理]]))+1)</f>
        <v>105</v>
      </c>
      <c r="T2921" s="29" cm="1">
        <f t="array" ref="T2921">IF(表成绩单[[#This Row],[化学]]="","",SUMPRODUCT((表成绩单[考试日期]=表成绩单[[#This Row],[考试日期]])*(表成绩单[化学]&lt;9E+307)*(表成绩单[化学]&gt;表成绩单[[#This Row],[化学]]))+1)</f>
        <v>426</v>
      </c>
      <c r="U2921" s="29" cm="1">
        <f t="array" ref="U2921">IF(表成绩单[[#This Row],[政治]]="","",SUMPRODUCT((表成绩单[考试日期]=表成绩单[[#This Row],[考试日期]])*(表成绩单[政治]&lt;9E+307)*(表成绩单[政治]&gt;表成绩单[[#This Row],[政治]]))+1)</f>
        <v>548</v>
      </c>
      <c r="V2921" s="29" cm="1">
        <f t="array" ref="V2921">IF(表成绩单[[#This Row],[历史]]="","",SUMPRODUCT((表成绩单[考试日期]=表成绩单[[#This Row],[考试日期]])*(表成绩单[历史]&lt;9E+307)*(表成绩单[历史]&gt;表成绩单[[#This Row],[历史]]))+1)</f>
        <v>599</v>
      </c>
      <c r="W2921" s="29" cm="1">
        <f t="array" ref="W2921">IF(表成绩单[[#This Row],[总分]]="","",SUMPRODUCT((表成绩单[考试日期]=表成绩单[[#This Row],[考试日期]])*(表成绩单[总分]&lt;9E+307)*(表成绩单[总分]&gt;表成绩单[[#This Row],[总分]]))+1)</f>
        <v>513</v>
      </c>
    </row>
    <row r="2922" ht="28" customHeight="1" spans="4:23">
      <c r="D2922" s="31">
        <v>46108</v>
      </c>
      <c r="E2922" s="29">
        <v>19176164</v>
      </c>
      <c r="F2922" s="29" t="s">
        <v>67</v>
      </c>
      <c r="G2922" s="29" t="s">
        <v>574</v>
      </c>
      <c r="H2922" s="29">
        <v>99</v>
      </c>
      <c r="I2922" s="29">
        <v>84</v>
      </c>
      <c r="J2922" s="29">
        <v>72</v>
      </c>
      <c r="K2922" s="29">
        <v>70</v>
      </c>
      <c r="L2922" s="29">
        <v>79</v>
      </c>
      <c r="M2922" s="29">
        <v>63</v>
      </c>
      <c r="N2922" s="29">
        <v>59</v>
      </c>
      <c r="O2922" s="32">
        <v>526</v>
      </c>
      <c r="P2922" s="29" cm="1">
        <f t="array" ref="P2922">IF(表成绩单[[#This Row],[语文]]="","",SUMPRODUCT((表成绩单[考试日期]=表成绩单[[#This Row],[考试日期]])*(表成绩单[语文]&lt;9E+307)*(表成绩单[语文]&gt;表成绩单[[#This Row],[语文]]))+1)</f>
        <v>279</v>
      </c>
      <c r="Q2922" s="29" cm="1">
        <f t="array" ref="Q2922">IF(表成绩单[[#This Row],[数学]]="","",SUMPRODUCT((表成绩单[考试日期]=表成绩单[[#This Row],[考试日期]])*(表成绩单[数学]&lt;9E+307)*(表成绩单[数学]&gt;表成绩单[[#This Row],[数学]]))+1)</f>
        <v>518</v>
      </c>
      <c r="R2922" s="29" cm="1">
        <f t="array" ref="R2922">IF(表成绩单[[#This Row],[英语]]="","",SUMPRODUCT((表成绩单[考试日期]=表成绩单[[#This Row],[考试日期]])*(表成绩单[英语]&lt;9E+307)*(表成绩单[英语]&gt;表成绩单[[#This Row],[英语]]))+1)</f>
        <v>499</v>
      </c>
      <c r="S2922" s="29" cm="1">
        <f t="array" ref="S2922">IF(表成绩单[[#This Row],[物理]]="","",SUMPRODUCT((表成绩单[考试日期]=表成绩单[[#This Row],[考试日期]])*(表成绩单[物理]&lt;9E+307)*(表成绩单[物理]&gt;表成绩单[[#This Row],[物理]]))+1)</f>
        <v>549</v>
      </c>
      <c r="T2922" s="29" cm="1">
        <f t="array" ref="T2922">IF(表成绩单[[#This Row],[化学]]="","",SUMPRODUCT((表成绩单[考试日期]=表成绩单[[#This Row],[考试日期]])*(表成绩单[化学]&lt;9E+307)*(表成绩单[化学]&gt;表成绩单[[#This Row],[化学]]))+1)</f>
        <v>35</v>
      </c>
      <c r="U2922" s="29" cm="1">
        <f t="array" ref="U2922">IF(表成绩单[[#This Row],[政治]]="","",SUMPRODUCT((表成绩单[考试日期]=表成绩单[[#This Row],[考试日期]])*(表成绩单[政治]&lt;9E+307)*(表成绩单[政治]&gt;表成绩单[[#This Row],[政治]]))+1)</f>
        <v>680</v>
      </c>
      <c r="V2922" s="29" cm="1">
        <f t="array" ref="V2922">IF(表成绩单[[#This Row],[历史]]="","",SUMPRODUCT((表成绩单[考试日期]=表成绩单[[#This Row],[考试日期]])*(表成绩单[历史]&lt;9E+307)*(表成绩单[历史]&gt;表成绩单[[#This Row],[历史]]))+1)</f>
        <v>724</v>
      </c>
      <c r="W2922" s="29" cm="1">
        <f t="array" ref="W2922">IF(表成绩单[[#This Row],[总分]]="","",SUMPRODUCT((表成绩单[考试日期]=表成绩单[[#This Row],[考试日期]])*(表成绩单[总分]&lt;9E+307)*(表成绩单[总分]&gt;表成绩单[[#This Row],[总分]]))+1)</f>
        <v>513</v>
      </c>
    </row>
    <row r="2923" ht="28" customHeight="1" spans="4:23">
      <c r="D2923" s="31">
        <v>46108</v>
      </c>
      <c r="E2923" s="29">
        <v>19177648</v>
      </c>
      <c r="F2923" s="29" t="s">
        <v>63</v>
      </c>
      <c r="G2923" s="29" t="s">
        <v>701</v>
      </c>
      <c r="H2923" s="29">
        <v>88</v>
      </c>
      <c r="I2923" s="29">
        <v>91</v>
      </c>
      <c r="J2923" s="29">
        <v>69</v>
      </c>
      <c r="K2923" s="29">
        <v>77</v>
      </c>
      <c r="L2923" s="29">
        <v>61</v>
      </c>
      <c r="M2923" s="29">
        <v>68</v>
      </c>
      <c r="N2923" s="29">
        <v>72</v>
      </c>
      <c r="O2923" s="32">
        <v>526</v>
      </c>
      <c r="P2923" s="29" cm="1">
        <f t="array" ref="P2923">IF(表成绩单[[#This Row],[语文]]="","",SUMPRODUCT((表成绩单[考试日期]=表成绩单[[#This Row],[考试日期]])*(表成绩单[语文]&lt;9E+307)*(表成绩单[语文]&gt;表成绩单[[#This Row],[语文]]))+1)</f>
        <v>575</v>
      </c>
      <c r="Q2923" s="29" cm="1">
        <f t="array" ref="Q2923">IF(表成绩单[[#This Row],[数学]]="","",SUMPRODUCT((表成绩单[考试日期]=表成绩单[[#This Row],[考试日期]])*(表成绩单[数学]&lt;9E+307)*(表成绩单[数学]&gt;表成绩单[[#This Row],[数学]]))+1)</f>
        <v>341</v>
      </c>
      <c r="R2923" s="29" cm="1">
        <f t="array" ref="R2923">IF(表成绩单[[#This Row],[英语]]="","",SUMPRODUCT((表成绩单[考试日期]=表成绩单[[#This Row],[考试日期]])*(表成绩单[英语]&lt;9E+307)*(表成绩单[英语]&gt;表成绩单[[#This Row],[英语]]))+1)</f>
        <v>554</v>
      </c>
      <c r="S2923" s="29" cm="1">
        <f t="array" ref="S2923">IF(表成绩单[[#This Row],[物理]]="","",SUMPRODUCT((表成绩单[考试日期]=表成绩单[[#This Row],[考试日期]])*(表成绩单[物理]&lt;9E+307)*(表成绩单[物理]&gt;表成绩单[[#This Row],[物理]]))+1)</f>
        <v>400</v>
      </c>
      <c r="T2923" s="29" cm="1">
        <f t="array" ref="T2923">IF(表成绩单[[#This Row],[化学]]="","",SUMPRODUCT((表成绩单[考试日期]=表成绩单[[#This Row],[考试日期]])*(表成绩单[化学]&lt;9E+307)*(表成绩单[化学]&gt;表成绩单[[#This Row],[化学]]))+1)</f>
        <v>467</v>
      </c>
      <c r="U2923" s="29" cm="1">
        <f t="array" ref="U2923">IF(表成绩单[[#This Row],[政治]]="","",SUMPRODUCT((表成绩单[考试日期]=表成绩单[[#This Row],[考试日期]])*(表成绩单[政治]&lt;9E+307)*(表成绩单[政治]&gt;表成绩单[[#This Row],[政治]]))+1)</f>
        <v>596</v>
      </c>
      <c r="V2923" s="29" cm="1">
        <f t="array" ref="V2923">IF(表成绩单[[#This Row],[历史]]="","",SUMPRODUCT((表成绩单[考试日期]=表成绩单[[#This Row],[考试日期]])*(表成绩单[历史]&lt;9E+307)*(表成绩单[历史]&gt;表成绩单[[#This Row],[历史]]))+1)</f>
        <v>470</v>
      </c>
      <c r="W2923" s="29" cm="1">
        <f t="array" ref="W2923">IF(表成绩单[[#This Row],[总分]]="","",SUMPRODUCT((表成绩单[考试日期]=表成绩单[[#This Row],[考试日期]])*(表成绩单[总分]&lt;9E+307)*(表成绩单[总分]&gt;表成绩单[[#This Row],[总分]]))+1)</f>
        <v>513</v>
      </c>
    </row>
    <row r="2924" ht="28" customHeight="1" spans="4:23">
      <c r="D2924" s="31">
        <v>46108</v>
      </c>
      <c r="E2924" s="29">
        <v>19171076</v>
      </c>
      <c r="F2924" s="29" t="s">
        <v>67</v>
      </c>
      <c r="G2924" s="29" t="s">
        <v>633</v>
      </c>
      <c r="H2924" s="29">
        <v>93</v>
      </c>
      <c r="I2924" s="29">
        <v>86</v>
      </c>
      <c r="J2924" s="29">
        <v>71.5</v>
      </c>
      <c r="K2924" s="29">
        <v>69</v>
      </c>
      <c r="L2924" s="29">
        <v>64</v>
      </c>
      <c r="M2924" s="29">
        <v>66</v>
      </c>
      <c r="N2924" s="29">
        <v>76</v>
      </c>
      <c r="O2924" s="32">
        <v>525.5</v>
      </c>
      <c r="P2924" s="29" cm="1">
        <f t="array" ref="P2924">IF(表成绩单[[#This Row],[语文]]="","",SUMPRODUCT((表成绩单[考试日期]=表成绩单[[#This Row],[考试日期]])*(表成绩单[语文]&lt;9E+307)*(表成绩单[语文]&gt;表成绩单[[#This Row],[语文]]))+1)</f>
        <v>470</v>
      </c>
      <c r="Q2924" s="29" cm="1">
        <f t="array" ref="Q2924">IF(表成绩单[[#This Row],[数学]]="","",SUMPRODUCT((表成绩单[考试日期]=表成绩单[[#This Row],[考试日期]])*(表成绩单[数学]&lt;9E+307)*(表成绩单[数学]&gt;表成绩单[[#This Row],[数学]]))+1)</f>
        <v>479</v>
      </c>
      <c r="R2924" s="29" cm="1">
        <f t="array" ref="R2924">IF(表成绩单[[#This Row],[英语]]="","",SUMPRODUCT((表成绩单[考试日期]=表成绩单[[#This Row],[考试日期]])*(表成绩单[英语]&lt;9E+307)*(表成绩单[英语]&gt;表成绩单[[#This Row],[英语]]))+1)</f>
        <v>509</v>
      </c>
      <c r="S2924" s="29" cm="1">
        <f t="array" ref="S2924">IF(表成绩单[[#This Row],[物理]]="","",SUMPRODUCT((表成绩单[考试日期]=表成绩单[[#This Row],[考试日期]])*(表成绩单[物理]&lt;9E+307)*(表成绩单[物理]&gt;表成绩单[[#This Row],[物理]]))+1)</f>
        <v>565</v>
      </c>
      <c r="T2924" s="29" cm="1">
        <f t="array" ref="T2924">IF(表成绩单[[#This Row],[化学]]="","",SUMPRODUCT((表成绩单[考试日期]=表成绩单[[#This Row],[考试日期]])*(表成绩单[化学]&lt;9E+307)*(表成绩单[化学]&gt;表成绩单[[#This Row],[化学]]))+1)</f>
        <v>400</v>
      </c>
      <c r="U2924" s="29" cm="1">
        <f t="array" ref="U2924">IF(表成绩单[[#This Row],[政治]]="","",SUMPRODUCT((表成绩单[考试日期]=表成绩单[[#This Row],[考试日期]])*(表成绩单[政治]&lt;9E+307)*(表成绩单[政治]&gt;表成绩单[[#This Row],[政治]]))+1)</f>
        <v>642</v>
      </c>
      <c r="V2924" s="29" cm="1">
        <f t="array" ref="V2924">IF(表成绩单[[#This Row],[历史]]="","",SUMPRODUCT((表成绩单[考试日期]=表成绩单[[#This Row],[考试日期]])*(表成绩单[历史]&lt;9E+307)*(表成绩单[历史]&gt;表成绩单[[#This Row],[历史]]))+1)</f>
        <v>316</v>
      </c>
      <c r="W2924" s="29" cm="1">
        <f t="array" ref="W2924">IF(表成绩单[[#This Row],[总分]]="","",SUMPRODUCT((表成绩单[考试日期]=表成绩单[[#This Row],[考试日期]])*(表成绩单[总分]&lt;9E+307)*(表成绩单[总分]&gt;表成绩单[[#This Row],[总分]]))+1)</f>
        <v>517</v>
      </c>
    </row>
    <row r="2925" ht="28" customHeight="1" spans="4:23">
      <c r="D2925" s="31">
        <v>46108</v>
      </c>
      <c r="E2925" s="29">
        <v>19175327</v>
      </c>
      <c r="F2925" s="29" t="s">
        <v>55</v>
      </c>
      <c r="G2925" s="29" t="s">
        <v>636</v>
      </c>
      <c r="H2925" s="29">
        <v>93</v>
      </c>
      <c r="I2925" s="29">
        <v>73</v>
      </c>
      <c r="J2925" s="29">
        <v>71.5</v>
      </c>
      <c r="K2925" s="29">
        <v>71</v>
      </c>
      <c r="L2925" s="29">
        <v>62</v>
      </c>
      <c r="M2925" s="29">
        <v>81</v>
      </c>
      <c r="N2925" s="29">
        <v>74</v>
      </c>
      <c r="O2925" s="32">
        <v>525.5</v>
      </c>
      <c r="P2925" s="29" cm="1">
        <f t="array" ref="P2925">IF(表成绩单[[#This Row],[语文]]="","",SUMPRODUCT((表成绩单[考试日期]=表成绩单[[#This Row],[考试日期]])*(表成绩单[语文]&lt;9E+307)*(表成绩单[语文]&gt;表成绩单[[#This Row],[语文]]))+1)</f>
        <v>470</v>
      </c>
      <c r="Q2925" s="29" cm="1">
        <f t="array" ref="Q2925">IF(表成绩单[[#This Row],[数学]]="","",SUMPRODUCT((表成绩单[考试日期]=表成绩单[[#This Row],[考试日期]])*(表成绩单[数学]&lt;9E+307)*(表成绩单[数学]&gt;表成绩单[[#This Row],[数学]]))+1)</f>
        <v>643</v>
      </c>
      <c r="R2925" s="29" cm="1">
        <f t="array" ref="R2925">IF(表成绩单[[#This Row],[英语]]="","",SUMPRODUCT((表成绩单[考试日期]=表成绩单[[#This Row],[考试日期]])*(表成绩单[英语]&lt;9E+307)*(表成绩单[英语]&gt;表成绩单[[#This Row],[英语]]))+1)</f>
        <v>509</v>
      </c>
      <c r="S2925" s="29" cm="1">
        <f t="array" ref="S2925">IF(表成绩单[[#This Row],[物理]]="","",SUMPRODUCT((表成绩单[考试日期]=表成绩单[[#This Row],[考试日期]])*(表成绩单[物理]&lt;9E+307)*(表成绩单[物理]&gt;表成绩单[[#This Row],[物理]]))+1)</f>
        <v>536</v>
      </c>
      <c r="T2925" s="29" cm="1">
        <f t="array" ref="T2925">IF(表成绩单[[#This Row],[化学]]="","",SUMPRODUCT((表成绩单[考试日期]=表成绩单[[#This Row],[考试日期]])*(表成绩单[化学]&lt;9E+307)*(表成绩单[化学]&gt;表成绩单[[#This Row],[化学]]))+1)</f>
        <v>449</v>
      </c>
      <c r="U2925" s="29" cm="1">
        <f t="array" ref="U2925">IF(表成绩单[[#This Row],[政治]]="","",SUMPRODUCT((表成绩单[考试日期]=表成绩单[[#This Row],[考试日期]])*(表成绩单[政治]&lt;9E+307)*(表成绩单[政治]&gt;表成绩单[[#This Row],[政治]]))+1)</f>
        <v>68</v>
      </c>
      <c r="V2925" s="29" cm="1">
        <f t="array" ref="V2925">IF(表成绩单[[#This Row],[历史]]="","",SUMPRODUCT((表成绩单[考试日期]=表成绩单[[#This Row],[考试日期]])*(表成绩单[历史]&lt;9E+307)*(表成绩单[历史]&gt;表成绩单[[#This Row],[历史]]))+1)</f>
        <v>389</v>
      </c>
      <c r="W2925" s="29" cm="1">
        <f t="array" ref="W2925">IF(表成绩单[[#This Row],[总分]]="","",SUMPRODUCT((表成绩单[考试日期]=表成绩单[[#This Row],[考试日期]])*(表成绩单[总分]&lt;9E+307)*(表成绩单[总分]&gt;表成绩单[[#This Row],[总分]]))+1)</f>
        <v>517</v>
      </c>
    </row>
    <row r="2926" ht="28" customHeight="1" spans="4:23">
      <c r="D2926" s="31">
        <v>46108</v>
      </c>
      <c r="E2926" s="29">
        <v>19177657</v>
      </c>
      <c r="F2926" s="29" t="s">
        <v>63</v>
      </c>
      <c r="G2926" s="29" t="s">
        <v>604</v>
      </c>
      <c r="H2926" s="29">
        <v>92</v>
      </c>
      <c r="I2926" s="29">
        <v>87</v>
      </c>
      <c r="J2926" s="29">
        <v>64.5</v>
      </c>
      <c r="K2926" s="29">
        <v>74</v>
      </c>
      <c r="L2926" s="29">
        <v>61</v>
      </c>
      <c r="M2926" s="29">
        <v>77</v>
      </c>
      <c r="N2926" s="29">
        <v>70</v>
      </c>
      <c r="O2926" s="32">
        <v>525.5</v>
      </c>
      <c r="P2926" s="29" cm="1">
        <f t="array" ref="P2926">IF(表成绩单[[#This Row],[语文]]="","",SUMPRODUCT((表成绩单[考试日期]=表成绩单[[#This Row],[考试日期]])*(表成绩单[语文]&lt;9E+307)*(表成绩单[语文]&gt;表成绩单[[#This Row],[语文]]))+1)</f>
        <v>494</v>
      </c>
      <c r="Q2926" s="29" cm="1">
        <f t="array" ref="Q2926">IF(表成绩单[[#This Row],[数学]]="","",SUMPRODUCT((表成绩单[考试日期]=表成绩单[[#This Row],[考试日期]])*(表成绩单[数学]&lt;9E+307)*(表成绩单[数学]&gt;表成绩单[[#This Row],[数学]]))+1)</f>
        <v>452</v>
      </c>
      <c r="R2926" s="29" cm="1">
        <f t="array" ref="R2926">IF(表成绩单[[#This Row],[英语]]="","",SUMPRODUCT((表成绩单[考试日期]=表成绩单[[#This Row],[考试日期]])*(表成绩单[英语]&lt;9E+307)*(表成绩单[英语]&gt;表成绩单[[#This Row],[英语]]))+1)</f>
        <v>610</v>
      </c>
      <c r="S2926" s="29" cm="1">
        <f t="array" ref="S2926">IF(表成绩单[[#This Row],[物理]]="","",SUMPRODUCT((表成绩单[考试日期]=表成绩单[[#This Row],[考试日期]])*(表成绩单[物理]&lt;9E+307)*(表成绩单[物理]&gt;表成绩单[[#This Row],[物理]]))+1)</f>
        <v>472</v>
      </c>
      <c r="T2926" s="29" cm="1">
        <f t="array" ref="T2926">IF(表成绩单[[#This Row],[化学]]="","",SUMPRODUCT((表成绩单[考试日期]=表成绩单[[#This Row],[考试日期]])*(表成绩单[化学]&lt;9E+307)*(表成绩单[化学]&gt;表成绩单[[#This Row],[化学]]))+1)</f>
        <v>467</v>
      </c>
      <c r="U2926" s="29" cm="1">
        <f t="array" ref="U2926">IF(表成绩单[[#This Row],[政治]]="","",SUMPRODUCT((表成绩单[考试日期]=表成绩单[[#This Row],[考试日期]])*(表成绩单[政治]&lt;9E+307)*(表成绩单[政治]&gt;表成绩单[[#This Row],[政治]]))+1)</f>
        <v>230</v>
      </c>
      <c r="V2926" s="29" cm="1">
        <f t="array" ref="V2926">IF(表成绩单[[#This Row],[历史]]="","",SUMPRODUCT((表成绩单[考试日期]=表成绩单[[#This Row],[考试日期]])*(表成绩单[历史]&lt;9E+307)*(表成绩单[历史]&gt;表成绩单[[#This Row],[历史]]))+1)</f>
        <v>539</v>
      </c>
      <c r="W2926" s="29" cm="1">
        <f t="array" ref="W2926">IF(表成绩单[[#This Row],[总分]]="","",SUMPRODUCT((表成绩单[考试日期]=表成绩单[[#This Row],[考试日期]])*(表成绩单[总分]&lt;9E+307)*(表成绩单[总分]&gt;表成绩单[[#This Row],[总分]]))+1)</f>
        <v>517</v>
      </c>
    </row>
    <row r="2927" ht="28" customHeight="1" spans="4:23">
      <c r="D2927" s="31">
        <v>46108</v>
      </c>
      <c r="E2927" s="29">
        <v>19178601</v>
      </c>
      <c r="F2927" s="29" t="s">
        <v>64</v>
      </c>
      <c r="G2927" s="29" t="s">
        <v>594</v>
      </c>
      <c r="H2927" s="29">
        <v>92</v>
      </c>
      <c r="I2927" s="29">
        <v>91</v>
      </c>
      <c r="J2927" s="29">
        <v>65.5</v>
      </c>
      <c r="K2927" s="29">
        <v>63</v>
      </c>
      <c r="L2927" s="29">
        <v>63</v>
      </c>
      <c r="M2927" s="29">
        <v>74</v>
      </c>
      <c r="N2927" s="29">
        <v>77</v>
      </c>
      <c r="O2927" s="32">
        <v>525.5</v>
      </c>
      <c r="P2927" s="29" cm="1">
        <f t="array" ref="P2927">IF(表成绩单[[#This Row],[语文]]="","",SUMPRODUCT((表成绩单[考试日期]=表成绩单[[#This Row],[考试日期]])*(表成绩单[语文]&lt;9E+307)*(表成绩单[语文]&gt;表成绩单[[#This Row],[语文]]))+1)</f>
        <v>494</v>
      </c>
      <c r="Q2927" s="29" cm="1">
        <f t="array" ref="Q2927">IF(表成绩单[[#This Row],[数学]]="","",SUMPRODUCT((表成绩单[考试日期]=表成绩单[[#This Row],[考试日期]])*(表成绩单[数学]&lt;9E+307)*(表成绩单[数学]&gt;表成绩单[[#This Row],[数学]]))+1)</f>
        <v>341</v>
      </c>
      <c r="R2927" s="29" cm="1">
        <f t="array" ref="R2927">IF(表成绩单[[#This Row],[英语]]="","",SUMPRODUCT((表成绩单[考试日期]=表成绩单[[#This Row],[考试日期]])*(表成绩单[英语]&lt;9E+307)*(表成绩单[英语]&gt;表成绩单[[#This Row],[英语]]))+1)</f>
        <v>599</v>
      </c>
      <c r="S2927" s="29" cm="1">
        <f t="array" ref="S2927">IF(表成绩单[[#This Row],[物理]]="","",SUMPRODUCT((表成绩单[考试日期]=表成绩单[[#This Row],[考试日期]])*(表成绩单[物理]&lt;9E+307)*(表成绩单[物理]&gt;表成绩单[[#This Row],[物理]]))+1)</f>
        <v>631</v>
      </c>
      <c r="T2927" s="29" cm="1">
        <f t="array" ref="T2927">IF(表成绩单[[#This Row],[化学]]="","",SUMPRODUCT((表成绩单[考试日期]=表成绩单[[#This Row],[考试日期]])*(表成绩单[化学]&lt;9E+307)*(表成绩单[化学]&gt;表成绩单[[#This Row],[化学]]))+1)</f>
        <v>426</v>
      </c>
      <c r="U2927" s="29" cm="1">
        <f t="array" ref="U2927">IF(表成绩单[[#This Row],[政治]]="","",SUMPRODUCT((表成绩单[考试日期]=表成绩单[[#This Row],[考试日期]])*(表成绩单[政治]&lt;9E+307)*(表成绩单[政治]&gt;表成绩单[[#This Row],[政治]]))+1)</f>
        <v>389</v>
      </c>
      <c r="V2927" s="29" cm="1">
        <f t="array" ref="V2927">IF(表成绩单[[#This Row],[历史]]="","",SUMPRODUCT((表成绩单[考试日期]=表成绩单[[#This Row],[考试日期]])*(表成绩单[历史]&lt;9E+307)*(表成绩单[历史]&gt;表成绩单[[#This Row],[历史]]))+1)</f>
        <v>269</v>
      </c>
      <c r="W2927" s="29" cm="1">
        <f t="array" ref="W2927">IF(表成绩单[[#This Row],[总分]]="","",SUMPRODUCT((表成绩单[考试日期]=表成绩单[[#This Row],[考试日期]])*(表成绩单[总分]&lt;9E+307)*(表成绩单[总分]&gt;表成绩单[[#This Row],[总分]]))+1)</f>
        <v>517</v>
      </c>
    </row>
    <row r="2928" ht="28" customHeight="1" spans="4:23">
      <c r="D2928" s="31">
        <v>46108</v>
      </c>
      <c r="E2928" s="29">
        <v>19178643</v>
      </c>
      <c r="F2928" s="29" t="s">
        <v>25</v>
      </c>
      <c r="G2928" s="29" t="s">
        <v>583</v>
      </c>
      <c r="H2928" s="29">
        <v>101</v>
      </c>
      <c r="I2928" s="29">
        <v>77</v>
      </c>
      <c r="J2928" s="29">
        <v>75.5</v>
      </c>
      <c r="K2928" s="29">
        <v>76</v>
      </c>
      <c r="L2928" s="29">
        <v>62</v>
      </c>
      <c r="M2928" s="29">
        <v>68</v>
      </c>
      <c r="N2928" s="29">
        <v>66</v>
      </c>
      <c r="O2928" s="32">
        <v>525.5</v>
      </c>
      <c r="P2928" s="29" cm="1">
        <f t="array" ref="P2928">IF(表成绩单[[#This Row],[语文]]="","",SUMPRODUCT((表成绩单[考试日期]=表成绩单[[#This Row],[考试日期]])*(表成绩单[语文]&lt;9E+307)*(表成绩单[语文]&gt;表成绩单[[#This Row],[语文]]))+1)</f>
        <v>211</v>
      </c>
      <c r="Q2928" s="29" cm="1">
        <f t="array" ref="Q2928">IF(表成绩单[[#This Row],[数学]]="","",SUMPRODUCT((表成绩单[考试日期]=表成绩单[[#This Row],[考试日期]])*(表成绩单[数学]&lt;9E+307)*(表成绩单[数学]&gt;表成绩单[[#This Row],[数学]]))+1)</f>
        <v>617</v>
      </c>
      <c r="R2928" s="29" cm="1">
        <f t="array" ref="R2928">IF(表成绩单[[#This Row],[英语]]="","",SUMPRODUCT((表成绩单[考试日期]=表成绩单[[#This Row],[考试日期]])*(表成绩单[英语]&lt;9E+307)*(表成绩单[英语]&gt;表成绩单[[#This Row],[英语]]))+1)</f>
        <v>421</v>
      </c>
      <c r="S2928" s="29" cm="1">
        <f t="array" ref="S2928">IF(表成绩单[[#This Row],[物理]]="","",SUMPRODUCT((表成绩单[考试日期]=表成绩单[[#This Row],[考试日期]])*(表成绩单[物理]&lt;9E+307)*(表成绩单[物理]&gt;表成绩单[[#This Row],[物理]]))+1)</f>
        <v>433</v>
      </c>
      <c r="T2928" s="29" cm="1">
        <f t="array" ref="T2928">IF(表成绩单[[#This Row],[化学]]="","",SUMPRODUCT((表成绩单[考试日期]=表成绩单[[#This Row],[考试日期]])*(表成绩单[化学]&lt;9E+307)*(表成绩单[化学]&gt;表成绩单[[#This Row],[化学]]))+1)</f>
        <v>449</v>
      </c>
      <c r="U2928" s="29" cm="1">
        <f t="array" ref="U2928">IF(表成绩单[[#This Row],[政治]]="","",SUMPRODUCT((表成绩单[考试日期]=表成绩单[[#This Row],[考试日期]])*(表成绩单[政治]&lt;9E+307)*(表成绩单[政治]&gt;表成绩单[[#This Row],[政治]]))+1)</f>
        <v>596</v>
      </c>
      <c r="V2928" s="29" cm="1">
        <f t="array" ref="V2928">IF(表成绩单[[#This Row],[历史]]="","",SUMPRODUCT((表成绩单[考试日期]=表成绩单[[#This Row],[考试日期]])*(表成绩单[历史]&lt;9E+307)*(表成绩单[历史]&gt;表成绩单[[#This Row],[历史]]))+1)</f>
        <v>637</v>
      </c>
      <c r="W2928" s="29" cm="1">
        <f t="array" ref="W2928">IF(表成绩单[[#This Row],[总分]]="","",SUMPRODUCT((表成绩单[考试日期]=表成绩单[[#This Row],[考试日期]])*(表成绩单[总分]&lt;9E+307)*(表成绩单[总分]&gt;表成绩单[[#This Row],[总分]]))+1)</f>
        <v>517</v>
      </c>
    </row>
    <row r="2929" ht="28" customHeight="1" spans="4:23">
      <c r="D2929" s="31">
        <v>46108</v>
      </c>
      <c r="E2929" s="29">
        <v>19175318</v>
      </c>
      <c r="F2929" s="29" t="s">
        <v>55</v>
      </c>
      <c r="G2929" s="29" t="s">
        <v>621</v>
      </c>
      <c r="H2929" s="29">
        <v>97</v>
      </c>
      <c r="I2929" s="29">
        <v>80</v>
      </c>
      <c r="J2929" s="29">
        <v>67</v>
      </c>
      <c r="K2929" s="29">
        <v>72</v>
      </c>
      <c r="L2929" s="29">
        <v>65</v>
      </c>
      <c r="M2929" s="29">
        <v>72</v>
      </c>
      <c r="N2929" s="29">
        <v>72</v>
      </c>
      <c r="O2929" s="32">
        <v>525</v>
      </c>
      <c r="P2929" s="29" cm="1">
        <f t="array" ref="P2929">IF(表成绩单[[#This Row],[语文]]="","",SUMPRODUCT((表成绩单[考试日期]=表成绩单[[#This Row],[考试日期]])*(表成绩单[语文]&lt;9E+307)*(表成绩单[语文]&gt;表成绩单[[#This Row],[语文]]))+1)</f>
        <v>357</v>
      </c>
      <c r="Q2929" s="29" cm="1">
        <f t="array" ref="Q2929">IF(表成绩单[[#This Row],[数学]]="","",SUMPRODUCT((表成绩单[考试日期]=表成绩单[[#This Row],[考试日期]])*(表成绩单[数学]&lt;9E+307)*(表成绩单[数学]&gt;表成绩单[[#This Row],[数学]]))+1)</f>
        <v>578</v>
      </c>
      <c r="R2929" s="29" cm="1">
        <f t="array" ref="R2929">IF(表成绩单[[#This Row],[英语]]="","",SUMPRODUCT((表成绩单[考试日期]=表成绩单[[#This Row],[考试日期]])*(表成绩单[英语]&lt;9E+307)*(表成绩单[英语]&gt;表成绩单[[#This Row],[英语]]))+1)</f>
        <v>580</v>
      </c>
      <c r="S2929" s="29" cm="1">
        <f t="array" ref="S2929">IF(表成绩单[[#This Row],[物理]]="","",SUMPRODUCT((表成绩单[考试日期]=表成绩单[[#This Row],[考试日期]])*(表成绩单[物理]&lt;9E+307)*(表成绩单[物理]&gt;表成绩单[[#This Row],[物理]]))+1)</f>
        <v>521</v>
      </c>
      <c r="T2929" s="29" cm="1">
        <f t="array" ref="T2929">IF(表成绩单[[#This Row],[化学]]="","",SUMPRODUCT((表成绩单[考试日期]=表成绩单[[#This Row],[考试日期]])*(表成绩单[化学]&lt;9E+307)*(表成绩单[化学]&gt;表成绩单[[#This Row],[化学]]))+1)</f>
        <v>379</v>
      </c>
      <c r="U2929" s="29" cm="1">
        <f t="array" ref="U2929">IF(表成绩单[[#This Row],[政治]]="","",SUMPRODUCT((表成绩单[考试日期]=表成绩单[[#This Row],[考试日期]])*(表成绩单[政治]&lt;9E+307)*(表成绩单[政治]&gt;表成绩单[[#This Row],[政治]]))+1)</f>
        <v>470</v>
      </c>
      <c r="V2929" s="29" cm="1">
        <f t="array" ref="V2929">IF(表成绩单[[#This Row],[历史]]="","",SUMPRODUCT((表成绩单[考试日期]=表成绩单[[#This Row],[考试日期]])*(表成绩单[历史]&lt;9E+307)*(表成绩单[历史]&gt;表成绩单[[#This Row],[历史]]))+1)</f>
        <v>470</v>
      </c>
      <c r="W2929" s="29" cm="1">
        <f t="array" ref="W2929">IF(表成绩单[[#This Row],[总分]]="","",SUMPRODUCT((表成绩单[考试日期]=表成绩单[[#This Row],[考试日期]])*(表成绩单[总分]&lt;9E+307)*(表成绩单[总分]&gt;表成绩单[[#This Row],[总分]]))+1)</f>
        <v>522</v>
      </c>
    </row>
    <row r="2930" ht="28" customHeight="1" spans="4:23">
      <c r="D2930" s="31">
        <v>46108</v>
      </c>
      <c r="E2930" s="29">
        <v>19177641</v>
      </c>
      <c r="F2930" s="29" t="s">
        <v>63</v>
      </c>
      <c r="G2930" s="29" t="s">
        <v>584</v>
      </c>
      <c r="H2930" s="29">
        <v>95</v>
      </c>
      <c r="I2930" s="29">
        <v>80</v>
      </c>
      <c r="J2930" s="29">
        <v>76</v>
      </c>
      <c r="K2930" s="29">
        <v>65</v>
      </c>
      <c r="L2930" s="29">
        <v>60</v>
      </c>
      <c r="M2930" s="29">
        <v>71</v>
      </c>
      <c r="N2930" s="29">
        <v>78</v>
      </c>
      <c r="O2930" s="32">
        <v>525</v>
      </c>
      <c r="P2930" s="29" cm="1">
        <f t="array" ref="P2930">IF(表成绩单[[#This Row],[语文]]="","",SUMPRODUCT((表成绩单[考试日期]=表成绩单[[#This Row],[考试日期]])*(表成绩单[语文]&lt;9E+307)*(表成绩单[语文]&gt;表成绩单[[#This Row],[语文]]))+1)</f>
        <v>422</v>
      </c>
      <c r="Q2930" s="29" cm="1">
        <f t="array" ref="Q2930">IF(表成绩单[[#This Row],[数学]]="","",SUMPRODUCT((表成绩单[考试日期]=表成绩单[[#This Row],[考试日期]])*(表成绩单[数学]&lt;9E+307)*(表成绩单[数学]&gt;表成绩单[[#This Row],[数学]]))+1)</f>
        <v>578</v>
      </c>
      <c r="R2930" s="29" cm="1">
        <f t="array" ref="R2930">IF(表成绩单[[#This Row],[英语]]="","",SUMPRODUCT((表成绩单[考试日期]=表成绩单[[#This Row],[考试日期]])*(表成绩单[英语]&lt;9E+307)*(表成绩单[英语]&gt;表成绩单[[#This Row],[英语]]))+1)</f>
        <v>405</v>
      </c>
      <c r="S2930" s="29" cm="1">
        <f t="array" ref="S2930">IF(表成绩单[[#This Row],[物理]]="","",SUMPRODUCT((表成绩单[考试日期]=表成绩单[[#This Row],[考试日期]])*(表成绩单[物理]&lt;9E+307)*(表成绩单[物理]&gt;表成绩单[[#This Row],[物理]]))+1)</f>
        <v>621</v>
      </c>
      <c r="T2930" s="29" cm="1">
        <f t="array" ref="T2930">IF(表成绩单[[#This Row],[化学]]="","",SUMPRODUCT((表成绩单[考试日期]=表成绩单[[#This Row],[考试日期]])*(表成绩单[化学]&lt;9E+307)*(表成绩单[化学]&gt;表成绩单[[#This Row],[化学]]))+1)</f>
        <v>490</v>
      </c>
      <c r="U2930" s="29" cm="1">
        <f t="array" ref="U2930">IF(表成绩单[[#This Row],[政治]]="","",SUMPRODUCT((表成绩单[考试日期]=表成绩单[[#This Row],[考试日期]])*(表成绩单[政治]&lt;9E+307)*(表成绩单[政治]&gt;表成绩单[[#This Row],[政治]]))+1)</f>
        <v>513</v>
      </c>
      <c r="V2930" s="29" cm="1">
        <f t="array" ref="V2930">IF(表成绩单[[#This Row],[历史]]="","",SUMPRODUCT((表成绩单[考试日期]=表成绩单[[#This Row],[考试日期]])*(表成绩单[历史]&lt;9E+307)*(表成绩单[历史]&gt;表成绩单[[#This Row],[历史]]))+1)</f>
        <v>222</v>
      </c>
      <c r="W2930" s="29" cm="1">
        <f t="array" ref="W2930">IF(表成绩单[[#This Row],[总分]]="","",SUMPRODUCT((表成绩单[考试日期]=表成绩单[[#This Row],[考试日期]])*(表成绩单[总分]&lt;9E+307)*(表成绩单[总分]&gt;表成绩单[[#This Row],[总分]]))+1)</f>
        <v>522</v>
      </c>
    </row>
    <row r="2931" ht="28" customHeight="1" spans="4:23">
      <c r="D2931" s="31">
        <v>46108</v>
      </c>
      <c r="E2931" s="29">
        <v>19175999</v>
      </c>
      <c r="F2931" s="29" t="s">
        <v>59</v>
      </c>
      <c r="G2931" s="29" t="s">
        <v>690</v>
      </c>
      <c r="H2931" s="29">
        <v>89</v>
      </c>
      <c r="I2931" s="29">
        <v>94</v>
      </c>
      <c r="J2931" s="29">
        <v>64</v>
      </c>
      <c r="K2931" s="29">
        <v>71</v>
      </c>
      <c r="L2931" s="29">
        <v>61</v>
      </c>
      <c r="M2931" s="29">
        <v>69</v>
      </c>
      <c r="N2931" s="29">
        <v>76</v>
      </c>
      <c r="O2931" s="32">
        <v>524</v>
      </c>
      <c r="P2931" s="29" cm="1">
        <f t="array" ref="P2931">IF(表成绩单[[#This Row],[语文]]="","",SUMPRODUCT((表成绩单[考试日期]=表成绩单[[#This Row],[考试日期]])*(表成绩单[语文]&lt;9E+307)*(表成绩单[语文]&gt;表成绩单[[#This Row],[语文]]))+1)</f>
        <v>559</v>
      </c>
      <c r="Q2931" s="29" cm="1">
        <f t="array" ref="Q2931">IF(表成绩单[[#This Row],[数学]]="","",SUMPRODUCT((表成绩单[考试日期]=表成绩单[[#This Row],[考试日期]])*(表成绩单[数学]&lt;9E+307)*(表成绩单[数学]&gt;表成绩单[[#This Row],[数学]]))+1)</f>
        <v>258</v>
      </c>
      <c r="R2931" s="29" cm="1">
        <f t="array" ref="R2931">IF(表成绩单[[#This Row],[英语]]="","",SUMPRODUCT((表成绩单[考试日期]=表成绩单[[#This Row],[考试日期]])*(表成绩单[英语]&lt;9E+307)*(表成绩单[英语]&gt;表成绩单[[#This Row],[英语]]))+1)</f>
        <v>616</v>
      </c>
      <c r="S2931" s="29" cm="1">
        <f t="array" ref="S2931">IF(表成绩单[[#This Row],[物理]]="","",SUMPRODUCT((表成绩单[考试日期]=表成绩单[[#This Row],[考试日期]])*(表成绩单[物理]&lt;9E+307)*(表成绩单[物理]&gt;表成绩单[[#This Row],[物理]]))+1)</f>
        <v>536</v>
      </c>
      <c r="T2931" s="29" cm="1">
        <f t="array" ref="T2931">IF(表成绩单[[#This Row],[化学]]="","",SUMPRODUCT((表成绩单[考试日期]=表成绩单[[#This Row],[考试日期]])*(表成绩单[化学]&lt;9E+307)*(表成绩单[化学]&gt;表成绩单[[#This Row],[化学]]))+1)</f>
        <v>467</v>
      </c>
      <c r="U2931" s="29" cm="1">
        <f t="array" ref="U2931">IF(表成绩单[[#This Row],[政治]]="","",SUMPRODUCT((表成绩单[考试日期]=表成绩单[[#This Row],[考试日期]])*(表成绩单[政治]&lt;9E+307)*(表成绩单[政治]&gt;表成绩单[[#This Row],[政治]]))+1)</f>
        <v>567</v>
      </c>
      <c r="V2931" s="29" cm="1">
        <f t="array" ref="V2931">IF(表成绩单[[#This Row],[历史]]="","",SUMPRODUCT((表成绩单[考试日期]=表成绩单[[#This Row],[考试日期]])*(表成绩单[历史]&lt;9E+307)*(表成绩单[历史]&gt;表成绩单[[#This Row],[历史]]))+1)</f>
        <v>316</v>
      </c>
      <c r="W2931" s="29" cm="1">
        <f t="array" ref="W2931">IF(表成绩单[[#This Row],[总分]]="","",SUMPRODUCT((表成绩单[考试日期]=表成绩单[[#This Row],[考试日期]])*(表成绩单[总分]&lt;9E+307)*(表成绩单[总分]&gt;表成绩单[[#This Row],[总分]]))+1)</f>
        <v>524</v>
      </c>
    </row>
    <row r="2932" ht="28" customHeight="1" spans="4:23">
      <c r="D2932" s="31">
        <v>46108</v>
      </c>
      <c r="E2932" s="29">
        <v>19176163</v>
      </c>
      <c r="F2932" s="29" t="s">
        <v>67</v>
      </c>
      <c r="G2932" s="29" t="s">
        <v>512</v>
      </c>
      <c r="H2932" s="29">
        <v>89</v>
      </c>
      <c r="I2932" s="29">
        <v>86</v>
      </c>
      <c r="J2932" s="29">
        <v>64</v>
      </c>
      <c r="K2932" s="29">
        <v>72</v>
      </c>
      <c r="L2932" s="29">
        <v>68</v>
      </c>
      <c r="M2932" s="29">
        <v>68</v>
      </c>
      <c r="N2932" s="29">
        <v>77</v>
      </c>
      <c r="O2932" s="32">
        <v>524</v>
      </c>
      <c r="P2932" s="29" cm="1">
        <f t="array" ref="P2932">IF(表成绩单[[#This Row],[语文]]="","",SUMPRODUCT((表成绩单[考试日期]=表成绩单[[#This Row],[考试日期]])*(表成绩单[语文]&lt;9E+307)*(表成绩单[语文]&gt;表成绩单[[#This Row],[语文]]))+1)</f>
        <v>559</v>
      </c>
      <c r="Q2932" s="29" cm="1">
        <f t="array" ref="Q2932">IF(表成绩单[[#This Row],[数学]]="","",SUMPRODUCT((表成绩单[考试日期]=表成绩单[[#This Row],[考试日期]])*(表成绩单[数学]&lt;9E+307)*(表成绩单[数学]&gt;表成绩单[[#This Row],[数学]]))+1)</f>
        <v>479</v>
      </c>
      <c r="R2932" s="29" cm="1">
        <f t="array" ref="R2932">IF(表成绩单[[#This Row],[英语]]="","",SUMPRODUCT((表成绩单[考试日期]=表成绩单[[#This Row],[考试日期]])*(表成绩单[英语]&lt;9E+307)*(表成绩单[英语]&gt;表成绩单[[#This Row],[英语]]))+1)</f>
        <v>616</v>
      </c>
      <c r="S2932" s="29" cm="1">
        <f t="array" ref="S2932">IF(表成绩单[[#This Row],[物理]]="","",SUMPRODUCT((表成绩单[考试日期]=表成绩单[[#This Row],[考试日期]])*(表成绩单[物理]&lt;9E+307)*(表成绩单[物理]&gt;表成绩单[[#This Row],[物理]]))+1)</f>
        <v>521</v>
      </c>
      <c r="T2932" s="29" cm="1">
        <f t="array" ref="T2932">IF(表成绩单[[#This Row],[化学]]="","",SUMPRODUCT((表成绩单[考试日期]=表成绩单[[#This Row],[考试日期]])*(表成绩单[化学]&lt;9E+307)*(表成绩单[化学]&gt;表成绩单[[#This Row],[化学]]))+1)</f>
        <v>306</v>
      </c>
      <c r="U2932" s="29" cm="1">
        <f t="array" ref="U2932">IF(表成绩单[[#This Row],[政治]]="","",SUMPRODUCT((表成绩单[考试日期]=表成绩单[[#This Row],[考试日期]])*(表成绩单[政治]&lt;9E+307)*(表成绩单[政治]&gt;表成绩单[[#This Row],[政治]]))+1)</f>
        <v>596</v>
      </c>
      <c r="V2932" s="29" cm="1">
        <f t="array" ref="V2932">IF(表成绩单[[#This Row],[历史]]="","",SUMPRODUCT((表成绩单[考试日期]=表成绩单[[#This Row],[考试日期]])*(表成绩单[历史]&lt;9E+307)*(表成绩单[历史]&gt;表成绩单[[#This Row],[历史]]))+1)</f>
        <v>269</v>
      </c>
      <c r="W2932" s="29" cm="1">
        <f t="array" ref="W2932">IF(表成绩单[[#This Row],[总分]]="","",SUMPRODUCT((表成绩单[考试日期]=表成绩单[[#This Row],[考试日期]])*(表成绩单[总分]&lt;9E+307)*(表成绩单[总分]&gt;表成绩单[[#This Row],[总分]]))+1)</f>
        <v>524</v>
      </c>
    </row>
    <row r="2933" ht="28" customHeight="1" spans="4:23">
      <c r="D2933" s="31">
        <v>46108</v>
      </c>
      <c r="E2933" s="29">
        <v>19176865</v>
      </c>
      <c r="F2933" s="29" t="s">
        <v>71</v>
      </c>
      <c r="G2933" s="29" t="s">
        <v>509</v>
      </c>
      <c r="H2933" s="29">
        <v>92</v>
      </c>
      <c r="I2933" s="29">
        <v>88</v>
      </c>
      <c r="J2933" s="29">
        <v>72</v>
      </c>
      <c r="K2933" s="29">
        <v>62</v>
      </c>
      <c r="L2933" s="29">
        <v>60</v>
      </c>
      <c r="M2933" s="29">
        <v>73</v>
      </c>
      <c r="N2933" s="29">
        <v>77</v>
      </c>
      <c r="O2933" s="32">
        <v>524</v>
      </c>
      <c r="P2933" s="29" cm="1">
        <f t="array" ref="P2933">IF(表成绩单[[#This Row],[语文]]="","",SUMPRODUCT((表成绩单[考试日期]=表成绩单[[#This Row],[考试日期]])*(表成绩单[语文]&lt;9E+307)*(表成绩单[语文]&gt;表成绩单[[#This Row],[语文]]))+1)</f>
        <v>494</v>
      </c>
      <c r="Q2933" s="29" cm="1">
        <f t="array" ref="Q2933">IF(表成绩单[[#This Row],[数学]]="","",SUMPRODUCT((表成绩单[考试日期]=表成绩单[[#This Row],[考试日期]])*(表成绩单[数学]&lt;9E+307)*(表成绩单[数学]&gt;表成绩单[[#This Row],[数学]]))+1)</f>
        <v>424</v>
      </c>
      <c r="R2933" s="29" cm="1">
        <f t="array" ref="R2933">IF(表成绩单[[#This Row],[英语]]="","",SUMPRODUCT((表成绩单[考试日期]=表成绩单[[#This Row],[考试日期]])*(表成绩单[英语]&lt;9E+307)*(表成绩单[英语]&gt;表成绩单[[#This Row],[英语]]))+1)</f>
        <v>499</v>
      </c>
      <c r="S2933" s="29" cm="1">
        <f t="array" ref="S2933">IF(表成绩单[[#This Row],[物理]]="","",SUMPRODUCT((表成绩单[考试日期]=表成绩单[[#This Row],[考试日期]])*(表成绩单[物理]&lt;9E+307)*(表成绩单[物理]&gt;表成绩单[[#This Row],[物理]]))+1)</f>
        <v>643</v>
      </c>
      <c r="T2933" s="29" cm="1">
        <f t="array" ref="T2933">IF(表成绩单[[#This Row],[化学]]="","",SUMPRODUCT((表成绩单[考试日期]=表成绩单[[#This Row],[考试日期]])*(表成绩单[化学]&lt;9E+307)*(表成绩单[化学]&gt;表成绩单[[#This Row],[化学]]))+1)</f>
        <v>490</v>
      </c>
      <c r="U2933" s="29" cm="1">
        <f t="array" ref="U2933">IF(表成绩单[[#This Row],[政治]]="","",SUMPRODUCT((表成绩单[考试日期]=表成绩单[[#This Row],[考试日期]])*(表成绩单[政治]&lt;9E+307)*(表成绩单[政治]&gt;表成绩单[[#This Row],[政治]]))+1)</f>
        <v>431</v>
      </c>
      <c r="V2933" s="29" cm="1">
        <f t="array" ref="V2933">IF(表成绩单[[#This Row],[历史]]="","",SUMPRODUCT((表成绩单[考试日期]=表成绩单[[#This Row],[考试日期]])*(表成绩单[历史]&lt;9E+307)*(表成绩单[历史]&gt;表成绩单[[#This Row],[历史]]))+1)</f>
        <v>269</v>
      </c>
      <c r="W2933" s="29" cm="1">
        <f t="array" ref="W2933">IF(表成绩单[[#This Row],[总分]]="","",SUMPRODUCT((表成绩单[考试日期]=表成绩单[[#This Row],[考试日期]])*(表成绩单[总分]&lt;9E+307)*(表成绩单[总分]&gt;表成绩单[[#This Row],[总分]]))+1)</f>
        <v>524</v>
      </c>
    </row>
    <row r="2934" ht="28" customHeight="1" spans="4:23">
      <c r="D2934" s="31">
        <v>46108</v>
      </c>
      <c r="E2934" s="29">
        <v>19172624</v>
      </c>
      <c r="F2934" s="29" t="s">
        <v>60</v>
      </c>
      <c r="G2934" s="29" t="s">
        <v>662</v>
      </c>
      <c r="H2934" s="29">
        <v>88</v>
      </c>
      <c r="I2934" s="29">
        <v>90</v>
      </c>
      <c r="J2934" s="29">
        <v>80.5</v>
      </c>
      <c r="K2934" s="29">
        <v>80</v>
      </c>
      <c r="L2934" s="29">
        <v>70</v>
      </c>
      <c r="M2934" s="29">
        <v>55</v>
      </c>
      <c r="N2934" s="29">
        <v>60</v>
      </c>
      <c r="O2934" s="32">
        <v>523.5</v>
      </c>
      <c r="P2934" s="29" cm="1">
        <f t="array" ref="P2934">IF(表成绩单[[#This Row],[语文]]="","",SUMPRODUCT((表成绩单[考试日期]=表成绩单[[#This Row],[考试日期]])*(表成绩单[语文]&lt;9E+307)*(表成绩单[语文]&gt;表成绩单[[#This Row],[语文]]))+1)</f>
        <v>575</v>
      </c>
      <c r="Q2934" s="29" cm="1">
        <f t="array" ref="Q2934">IF(表成绩单[[#This Row],[数学]]="","",SUMPRODUCT((表成绩单[考试日期]=表成绩单[[#This Row],[考试日期]])*(表成绩单[数学]&lt;9E+307)*(表成绩单[数学]&gt;表成绩单[[#This Row],[数学]]))+1)</f>
        <v>368</v>
      </c>
      <c r="R2934" s="29" cm="1">
        <f t="array" ref="R2934">IF(表成绩单[[#This Row],[英语]]="","",SUMPRODUCT((表成绩单[考试日期]=表成绩单[[#This Row],[考试日期]])*(表成绩单[英语]&lt;9E+307)*(表成绩单[英语]&gt;表成绩单[[#This Row],[英语]]))+1)</f>
        <v>244</v>
      </c>
      <c r="S2934" s="29" cm="1">
        <f t="array" ref="S2934">IF(表成绩单[[#This Row],[物理]]="","",SUMPRODUCT((表成绩单[考试日期]=表成绩单[[#This Row],[考试日期]])*(表成绩单[物理]&lt;9E+307)*(表成绩单[物理]&gt;表成绩单[[#This Row],[物理]]))+1)</f>
        <v>305</v>
      </c>
      <c r="T2934" s="29" cm="1">
        <f t="array" ref="T2934">IF(表成绩单[[#This Row],[化学]]="","",SUMPRODUCT((表成绩单[考试日期]=表成绩单[[#This Row],[考试日期]])*(表成绩单[化学]&lt;9E+307)*(表成绩单[化学]&gt;表成绩单[[#This Row],[化学]]))+1)</f>
        <v>241</v>
      </c>
      <c r="U2934" s="29" cm="1">
        <f t="array" ref="U2934">IF(表成绩单[[#This Row],[政治]]="","",SUMPRODUCT((表成绩单[考试日期]=表成绩单[[#This Row],[考试日期]])*(表成绩单[政治]&lt;9E+307)*(表成绩单[政治]&gt;表成绩单[[#This Row],[政治]]))+1)</f>
        <v>741</v>
      </c>
      <c r="V2934" s="29" cm="1">
        <f t="array" ref="V2934">IF(表成绩单[[#This Row],[历史]]="","",SUMPRODUCT((表成绩单[考试日期]=表成绩单[[#This Row],[考试日期]])*(表成绩单[历史]&lt;9E+307)*(表成绩单[历史]&gt;表成绩单[[#This Row],[历史]]))+1)</f>
        <v>715</v>
      </c>
      <c r="W2934" s="29" cm="1">
        <f t="array" ref="W2934">IF(表成绩单[[#This Row],[总分]]="","",SUMPRODUCT((表成绩单[考试日期]=表成绩单[[#This Row],[考试日期]])*(表成绩单[总分]&lt;9E+307)*(表成绩单[总分]&gt;表成绩单[[#This Row],[总分]]))+1)</f>
        <v>527</v>
      </c>
    </row>
    <row r="2935" ht="28" customHeight="1" spans="4:23">
      <c r="D2935" s="31">
        <v>46108</v>
      </c>
      <c r="E2935" s="29">
        <v>19172625</v>
      </c>
      <c r="F2935" s="29" t="s">
        <v>60</v>
      </c>
      <c r="G2935" s="29" t="s">
        <v>577</v>
      </c>
      <c r="H2935" s="29">
        <v>87</v>
      </c>
      <c r="I2935" s="29">
        <v>85</v>
      </c>
      <c r="J2935" s="29">
        <v>66.5</v>
      </c>
      <c r="K2935" s="29">
        <v>78</v>
      </c>
      <c r="L2935" s="29">
        <v>62</v>
      </c>
      <c r="M2935" s="29">
        <v>73</v>
      </c>
      <c r="N2935" s="29">
        <v>71</v>
      </c>
      <c r="O2935" s="32">
        <v>522.5</v>
      </c>
      <c r="P2935" s="29" cm="1">
        <f t="array" ref="P2935">IF(表成绩单[[#This Row],[语文]]="","",SUMPRODUCT((表成绩单[考试日期]=表成绩单[[#This Row],[考试日期]])*(表成绩单[语文]&lt;9E+307)*(表成绩单[语文]&gt;表成绩单[[#This Row],[语文]]))+1)</f>
        <v>599</v>
      </c>
      <c r="Q2935" s="29" cm="1">
        <f t="array" ref="Q2935">IF(表成绩单[[#This Row],[数学]]="","",SUMPRODUCT((表成绩单[考试日期]=表成绩单[[#This Row],[考试日期]])*(表成绩单[数学]&lt;9E+307)*(表成绩单[数学]&gt;表成绩单[[#This Row],[数学]]))+1)</f>
        <v>501</v>
      </c>
      <c r="R2935" s="29" cm="1">
        <f t="array" ref="R2935">IF(表成绩单[[#This Row],[英语]]="","",SUMPRODUCT((表成绩单[考试日期]=表成绩单[[#This Row],[考试日期]])*(表成绩单[英语]&lt;9E+307)*(表成绩单[英语]&gt;表成绩单[[#This Row],[英语]]))+1)</f>
        <v>584</v>
      </c>
      <c r="S2935" s="29" cm="1">
        <f t="array" ref="S2935">IF(表成绩单[[#This Row],[物理]]="","",SUMPRODUCT((表成绩单[考试日期]=表成绩单[[#This Row],[考试日期]])*(表成绩单[物理]&lt;9E+307)*(表成绩单[物理]&gt;表成绩单[[#This Row],[物理]]))+1)</f>
        <v>365</v>
      </c>
      <c r="T2935" s="29" cm="1">
        <f t="array" ref="T2935">IF(表成绩单[[#This Row],[化学]]="","",SUMPRODUCT((表成绩单[考试日期]=表成绩单[[#This Row],[考试日期]])*(表成绩单[化学]&lt;9E+307)*(表成绩单[化学]&gt;表成绩单[[#This Row],[化学]]))+1)</f>
        <v>449</v>
      </c>
      <c r="U2935" s="29" cm="1">
        <f t="array" ref="U2935">IF(表成绩单[[#This Row],[政治]]="","",SUMPRODUCT((表成绩单[考试日期]=表成绩单[[#This Row],[考试日期]])*(表成绩单[政治]&lt;9E+307)*(表成绩单[政治]&gt;表成绩单[[#This Row],[政治]]))+1)</f>
        <v>431</v>
      </c>
      <c r="V2935" s="29" cm="1">
        <f t="array" ref="V2935">IF(表成绩单[[#This Row],[历史]]="","",SUMPRODUCT((表成绩单[考试日期]=表成绩单[[#This Row],[考试日期]])*(表成绩单[历史]&lt;9E+307)*(表成绩单[历史]&gt;表成绩单[[#This Row],[历史]]))+1)</f>
        <v>516</v>
      </c>
      <c r="W2935" s="29" cm="1">
        <f t="array" ref="W2935">IF(表成绩单[[#This Row],[总分]]="","",SUMPRODUCT((表成绩单[考试日期]=表成绩单[[#This Row],[考试日期]])*(表成绩单[总分]&lt;9E+307)*(表成绩单[总分]&gt;表成绩单[[#This Row],[总分]]))+1)</f>
        <v>528</v>
      </c>
    </row>
    <row r="2936" ht="28" customHeight="1" spans="4:23">
      <c r="D2936" s="31">
        <v>46108</v>
      </c>
      <c r="E2936" s="29">
        <v>19173760</v>
      </c>
      <c r="F2936" s="29" t="s">
        <v>65</v>
      </c>
      <c r="G2936" s="29" t="s">
        <v>588</v>
      </c>
      <c r="H2936" s="29">
        <v>92</v>
      </c>
      <c r="I2936" s="29">
        <v>87</v>
      </c>
      <c r="J2936" s="29">
        <v>67.5</v>
      </c>
      <c r="K2936" s="29">
        <v>69</v>
      </c>
      <c r="L2936" s="29">
        <v>57</v>
      </c>
      <c r="M2936" s="29">
        <v>77</v>
      </c>
      <c r="N2936" s="29">
        <v>73</v>
      </c>
      <c r="O2936" s="32">
        <v>522.5</v>
      </c>
      <c r="P2936" s="29" cm="1">
        <f t="array" ref="P2936">IF(表成绩单[[#This Row],[语文]]="","",SUMPRODUCT((表成绩单[考试日期]=表成绩单[[#This Row],[考试日期]])*(表成绩单[语文]&lt;9E+307)*(表成绩单[语文]&gt;表成绩单[[#This Row],[语文]]))+1)</f>
        <v>494</v>
      </c>
      <c r="Q2936" s="29" cm="1">
        <f t="array" ref="Q2936">IF(表成绩单[[#This Row],[数学]]="","",SUMPRODUCT((表成绩单[考试日期]=表成绩单[[#This Row],[考试日期]])*(表成绩单[数学]&lt;9E+307)*(表成绩单[数学]&gt;表成绩单[[#This Row],[数学]]))+1)</f>
        <v>452</v>
      </c>
      <c r="R2936" s="29" cm="1">
        <f t="array" ref="R2936">IF(表成绩单[[#This Row],[英语]]="","",SUMPRODUCT((表成绩单[考试日期]=表成绩单[[#This Row],[考试日期]])*(表成绩单[英语]&lt;9E+307)*(表成绩单[英语]&gt;表成绩单[[#This Row],[英语]]))+1)</f>
        <v>571</v>
      </c>
      <c r="S2936" s="29" cm="1">
        <f t="array" ref="S2936">IF(表成绩单[[#This Row],[物理]]="","",SUMPRODUCT((表成绩单[考试日期]=表成绩单[[#This Row],[考试日期]])*(表成绩单[物理]&lt;9E+307)*(表成绩单[物理]&gt;表成绩单[[#This Row],[物理]]))+1)</f>
        <v>565</v>
      </c>
      <c r="T2936" s="29" cm="1">
        <f t="array" ref="T2936">IF(表成绩单[[#This Row],[化学]]="","",SUMPRODUCT((表成绩单[考试日期]=表成绩单[[#This Row],[考试日期]])*(表成绩单[化学]&lt;9E+307)*(表成绩单[化学]&gt;表成绩单[[#This Row],[化学]]))+1)</f>
        <v>552</v>
      </c>
      <c r="U2936" s="29" cm="1">
        <f t="array" ref="U2936">IF(表成绩单[[#This Row],[政治]]="","",SUMPRODUCT((表成绩单[考试日期]=表成绩单[[#This Row],[考试日期]])*(表成绩单[政治]&lt;9E+307)*(表成绩单[政治]&gt;表成绩单[[#This Row],[政治]]))+1)</f>
        <v>230</v>
      </c>
      <c r="V2936" s="29" cm="1">
        <f t="array" ref="V2936">IF(表成绩单[[#This Row],[历史]]="","",SUMPRODUCT((表成绩单[考试日期]=表成绩单[[#This Row],[考试日期]])*(表成绩单[历史]&lt;9E+307)*(表成绩单[历史]&gt;表成绩单[[#This Row],[历史]]))+1)</f>
        <v>432</v>
      </c>
      <c r="W2936" s="29" cm="1">
        <f t="array" ref="W2936">IF(表成绩单[[#This Row],[总分]]="","",SUMPRODUCT((表成绩单[考试日期]=表成绩单[[#This Row],[考试日期]])*(表成绩单[总分]&lt;9E+307)*(表成绩单[总分]&gt;表成绩单[[#This Row],[总分]]))+1)</f>
        <v>528</v>
      </c>
    </row>
    <row r="2937" ht="28" customHeight="1" spans="4:23">
      <c r="D2937" s="31">
        <v>46108</v>
      </c>
      <c r="E2937" s="29">
        <v>19173243</v>
      </c>
      <c r="F2937" s="29" t="s">
        <v>61</v>
      </c>
      <c r="G2937" s="29" t="s">
        <v>530</v>
      </c>
      <c r="H2937" s="29">
        <v>86</v>
      </c>
      <c r="I2937" s="29">
        <v>79</v>
      </c>
      <c r="J2937" s="29">
        <v>74</v>
      </c>
      <c r="K2937" s="29">
        <v>81</v>
      </c>
      <c r="L2937" s="29">
        <v>59</v>
      </c>
      <c r="M2937" s="29">
        <v>66</v>
      </c>
      <c r="N2937" s="29">
        <v>77</v>
      </c>
      <c r="O2937" s="32">
        <v>522</v>
      </c>
      <c r="P2937" s="29" cm="1">
        <f t="array" ref="P2937">IF(表成绩单[[#This Row],[语文]]="","",SUMPRODUCT((表成绩单[考试日期]=表成绩单[[#This Row],[考试日期]])*(表成绩单[语文]&lt;9E+307)*(表成绩单[语文]&gt;表成绩单[[#This Row],[语文]]))+1)</f>
        <v>610</v>
      </c>
      <c r="Q2937" s="29" cm="1">
        <f t="array" ref="Q2937">IF(表成绩单[[#This Row],[数学]]="","",SUMPRODUCT((表成绩单[考试日期]=表成绩单[[#This Row],[考试日期]])*(表成绩单[数学]&lt;9E+307)*(表成绩单[数学]&gt;表成绩单[[#This Row],[数学]]))+1)</f>
        <v>591</v>
      </c>
      <c r="R2937" s="29" cm="1">
        <f t="array" ref="R2937">IF(表成绩单[[#This Row],[英语]]="","",SUMPRODUCT((表成绩单[考试日期]=表成绩单[[#This Row],[考试日期]])*(表成绩单[英语]&lt;9E+307)*(表成绩单[英语]&gt;表成绩单[[#This Row],[英语]]))+1)</f>
        <v>464</v>
      </c>
      <c r="S2937" s="29" cm="1">
        <f t="array" ref="S2937">IF(表成绩单[[#This Row],[物理]]="","",SUMPRODUCT((表成绩单[考试日期]=表成绩单[[#This Row],[考试日期]])*(表成绩单[物理]&lt;9E+307)*(表成绩单[物理]&gt;表成绩单[[#This Row],[物理]]))+1)</f>
        <v>269</v>
      </c>
      <c r="T2937" s="29" cm="1">
        <f t="array" ref="T2937">IF(表成绩单[[#This Row],[化学]]="","",SUMPRODUCT((表成绩单[考试日期]=表成绩单[[#This Row],[考试日期]])*(表成绩单[化学]&lt;9E+307)*(表成绩单[化学]&gt;表成绩单[[#This Row],[化学]]))+1)</f>
        <v>510</v>
      </c>
      <c r="U2937" s="29" cm="1">
        <f t="array" ref="U2937">IF(表成绩单[[#This Row],[政治]]="","",SUMPRODUCT((表成绩单[考试日期]=表成绩单[[#This Row],[考试日期]])*(表成绩单[政治]&lt;9E+307)*(表成绩单[政治]&gt;表成绩单[[#This Row],[政治]]))+1)</f>
        <v>642</v>
      </c>
      <c r="V2937" s="29" cm="1">
        <f t="array" ref="V2937">IF(表成绩单[[#This Row],[历史]]="","",SUMPRODUCT((表成绩单[考试日期]=表成绩单[[#This Row],[考试日期]])*(表成绩单[历史]&lt;9E+307)*(表成绩单[历史]&gt;表成绩单[[#This Row],[历史]]))+1)</f>
        <v>269</v>
      </c>
      <c r="W2937" s="29" cm="1">
        <f t="array" ref="W2937">IF(表成绩单[[#This Row],[总分]]="","",SUMPRODUCT((表成绩单[考试日期]=表成绩单[[#This Row],[考试日期]])*(表成绩单[总分]&lt;9E+307)*(表成绩单[总分]&gt;表成绩单[[#This Row],[总分]]))+1)</f>
        <v>530</v>
      </c>
    </row>
    <row r="2938" ht="28" customHeight="1" spans="4:23">
      <c r="D2938" s="31">
        <v>46108</v>
      </c>
      <c r="E2938" s="29">
        <v>19173253</v>
      </c>
      <c r="F2938" s="29" t="s">
        <v>61</v>
      </c>
      <c r="G2938" s="29" t="s">
        <v>600</v>
      </c>
      <c r="H2938" s="29">
        <v>90</v>
      </c>
      <c r="I2938" s="29">
        <v>93</v>
      </c>
      <c r="J2938" s="29">
        <v>67</v>
      </c>
      <c r="K2938" s="29">
        <v>80</v>
      </c>
      <c r="L2938" s="29">
        <v>60</v>
      </c>
      <c r="M2938" s="29">
        <v>69</v>
      </c>
      <c r="N2938" s="29">
        <v>63</v>
      </c>
      <c r="O2938" s="32">
        <v>522</v>
      </c>
      <c r="P2938" s="29" cm="1">
        <f t="array" ref="P2938">IF(表成绩单[[#This Row],[语文]]="","",SUMPRODUCT((表成绩单[考试日期]=表成绩单[[#This Row],[考试日期]])*(表成绩单[语文]&lt;9E+307)*(表成绩单[语文]&gt;表成绩单[[#This Row],[语文]]))+1)</f>
        <v>539</v>
      </c>
      <c r="Q2938" s="29" cm="1">
        <f t="array" ref="Q2938">IF(表成绩单[[#This Row],[数学]]="","",SUMPRODUCT((表成绩单[考试日期]=表成绩单[[#This Row],[考试日期]])*(表成绩单[数学]&lt;9E+307)*(表成绩单[数学]&gt;表成绩单[[#This Row],[数学]]))+1)</f>
        <v>289</v>
      </c>
      <c r="R2938" s="29" cm="1">
        <f t="array" ref="R2938">IF(表成绩单[[#This Row],[英语]]="","",SUMPRODUCT((表成绩单[考试日期]=表成绩单[[#This Row],[考试日期]])*(表成绩单[英语]&lt;9E+307)*(表成绩单[英语]&gt;表成绩单[[#This Row],[英语]]))+1)</f>
        <v>580</v>
      </c>
      <c r="S2938" s="29" cm="1">
        <f t="array" ref="S2938">IF(表成绩单[[#This Row],[物理]]="","",SUMPRODUCT((表成绩单[考试日期]=表成绩单[[#This Row],[考试日期]])*(表成绩单[物理]&lt;9E+307)*(表成绩单[物理]&gt;表成绩单[[#This Row],[物理]]))+1)</f>
        <v>305</v>
      </c>
      <c r="T2938" s="29" cm="1">
        <f t="array" ref="T2938">IF(表成绩单[[#This Row],[化学]]="","",SUMPRODUCT((表成绩单[考试日期]=表成绩单[[#This Row],[考试日期]])*(表成绩单[化学]&lt;9E+307)*(表成绩单[化学]&gt;表成绩单[[#This Row],[化学]]))+1)</f>
        <v>490</v>
      </c>
      <c r="U2938" s="29" cm="1">
        <f t="array" ref="U2938">IF(表成绩单[[#This Row],[政治]]="","",SUMPRODUCT((表成绩单[考试日期]=表成绩单[[#This Row],[考试日期]])*(表成绩单[政治]&lt;9E+307)*(表成绩单[政治]&gt;表成绩单[[#This Row],[政治]]))+1)</f>
        <v>567</v>
      </c>
      <c r="V2938" s="29" cm="1">
        <f t="array" ref="V2938">IF(表成绩单[[#This Row],[历史]]="","",SUMPRODUCT((表成绩单[考试日期]=表成绩单[[#This Row],[考试日期]])*(表成绩单[历史]&lt;9E+307)*(表成绩单[历史]&gt;表成绩单[[#This Row],[历史]]))+1)</f>
        <v>686</v>
      </c>
      <c r="W2938" s="29" cm="1">
        <f t="array" ref="W2938">IF(表成绩单[[#This Row],[总分]]="","",SUMPRODUCT((表成绩单[考试日期]=表成绩单[[#This Row],[考试日期]])*(表成绩单[总分]&lt;9E+307)*(表成绩单[总分]&gt;表成绩单[[#This Row],[总分]]))+1)</f>
        <v>530</v>
      </c>
    </row>
    <row r="2939" ht="28" customHeight="1" spans="4:23">
      <c r="D2939" s="31">
        <v>46108</v>
      </c>
      <c r="E2939" s="29">
        <v>19177668</v>
      </c>
      <c r="F2939" s="29" t="s">
        <v>63</v>
      </c>
      <c r="G2939" s="29" t="s">
        <v>718</v>
      </c>
      <c r="H2939" s="29">
        <v>93</v>
      </c>
      <c r="I2939" s="29">
        <v>84</v>
      </c>
      <c r="J2939" s="29">
        <v>79</v>
      </c>
      <c r="K2939" s="29">
        <v>58</v>
      </c>
      <c r="L2939" s="29">
        <v>56</v>
      </c>
      <c r="M2939" s="29">
        <v>77</v>
      </c>
      <c r="N2939" s="29">
        <v>75</v>
      </c>
      <c r="O2939" s="32">
        <v>522</v>
      </c>
      <c r="P2939" s="29" cm="1">
        <f t="array" ref="P2939">IF(表成绩单[[#This Row],[语文]]="","",SUMPRODUCT((表成绩单[考试日期]=表成绩单[[#This Row],[考试日期]])*(表成绩单[语文]&lt;9E+307)*(表成绩单[语文]&gt;表成绩单[[#This Row],[语文]]))+1)</f>
        <v>470</v>
      </c>
      <c r="Q2939" s="29" cm="1">
        <f t="array" ref="Q2939">IF(表成绩单[[#This Row],[数学]]="","",SUMPRODUCT((表成绩单[考试日期]=表成绩单[[#This Row],[考试日期]])*(表成绩单[数学]&lt;9E+307)*(表成绩单[数学]&gt;表成绩单[[#This Row],[数学]]))+1)</f>
        <v>518</v>
      </c>
      <c r="R2939" s="29" cm="1">
        <f t="array" ref="R2939">IF(表成绩单[[#This Row],[英语]]="","",SUMPRODUCT((表成绩单[考试日期]=表成绩单[[#This Row],[考试日期]])*(表成绩单[英语]&lt;9E+307)*(表成绩单[英语]&gt;表成绩单[[#This Row],[英语]]))+1)</f>
        <v>305</v>
      </c>
      <c r="S2939" s="29" cm="1">
        <f t="array" ref="S2939">IF(表成绩单[[#This Row],[物理]]="","",SUMPRODUCT((表成绩单[考试日期]=表成绩单[[#This Row],[考试日期]])*(表成绩单[物理]&lt;9E+307)*(表成绩单[物理]&gt;表成绩单[[#This Row],[物理]]))+1)</f>
        <v>680</v>
      </c>
      <c r="T2939" s="29" cm="1">
        <f t="array" ref="T2939">IF(表成绩单[[#This Row],[化学]]="","",SUMPRODUCT((表成绩单[考试日期]=表成绩单[[#This Row],[考试日期]])*(表成绩单[化学]&lt;9E+307)*(表成绩单[化学]&gt;表成绩单[[#This Row],[化学]]))+1)</f>
        <v>569</v>
      </c>
      <c r="U2939" s="29" cm="1">
        <f t="array" ref="U2939">IF(表成绩单[[#This Row],[政治]]="","",SUMPRODUCT((表成绩单[考试日期]=表成绩单[[#This Row],[考试日期]])*(表成绩单[政治]&lt;9E+307)*(表成绩单[政治]&gt;表成绩单[[#This Row],[政治]]))+1)</f>
        <v>230</v>
      </c>
      <c r="V2939" s="29" cm="1">
        <f t="array" ref="V2939">IF(表成绩单[[#This Row],[历史]]="","",SUMPRODUCT((表成绩单[考试日期]=表成绩单[[#This Row],[考试日期]])*(表成绩单[历史]&lt;9E+307)*(表成绩单[历史]&gt;表成绩单[[#This Row],[历史]]))+1)</f>
        <v>354</v>
      </c>
      <c r="W2939" s="29" cm="1">
        <f t="array" ref="W2939">IF(表成绩单[[#This Row],[总分]]="","",SUMPRODUCT((表成绩单[考试日期]=表成绩单[[#This Row],[考试日期]])*(表成绩单[总分]&lt;9E+307)*(表成绩单[总分]&gt;表成绩单[[#This Row],[总分]]))+1)</f>
        <v>530</v>
      </c>
    </row>
    <row r="2940" ht="28" customHeight="1" spans="4:23">
      <c r="D2940" s="31">
        <v>46108</v>
      </c>
      <c r="E2940" s="29">
        <v>19177626</v>
      </c>
      <c r="F2940" s="29" t="s">
        <v>58</v>
      </c>
      <c r="G2940" s="29" t="s">
        <v>618</v>
      </c>
      <c r="H2940" s="29">
        <v>92</v>
      </c>
      <c r="I2940" s="29">
        <v>78</v>
      </c>
      <c r="J2940" s="29">
        <v>75</v>
      </c>
      <c r="K2940" s="29">
        <v>73</v>
      </c>
      <c r="L2940" s="29">
        <v>65</v>
      </c>
      <c r="M2940" s="29">
        <v>72</v>
      </c>
      <c r="N2940" s="29">
        <v>66</v>
      </c>
      <c r="O2940" s="32">
        <v>521</v>
      </c>
      <c r="P2940" s="29" cm="1">
        <f t="array" ref="P2940">IF(表成绩单[[#This Row],[语文]]="","",SUMPRODUCT((表成绩单[考试日期]=表成绩单[[#This Row],[考试日期]])*(表成绩单[语文]&lt;9E+307)*(表成绩单[语文]&gt;表成绩单[[#This Row],[语文]]))+1)</f>
        <v>494</v>
      </c>
      <c r="Q2940" s="29" cm="1">
        <f t="array" ref="Q2940">IF(表成绩单[[#This Row],[数学]]="","",SUMPRODUCT((表成绩单[考试日期]=表成绩单[[#This Row],[考试日期]])*(表成绩单[数学]&lt;9E+307)*(表成绩单[数学]&gt;表成绩单[[#This Row],[数学]]))+1)</f>
        <v>604</v>
      </c>
      <c r="R2940" s="29" cm="1">
        <f t="array" ref="R2940">IF(表成绩单[[#This Row],[英语]]="","",SUMPRODUCT((表成绩单[考试日期]=表成绩单[[#This Row],[考试日期]])*(表成绩单[英语]&lt;9E+307)*(表成绩单[英语]&gt;表成绩单[[#This Row],[英语]]))+1)</f>
        <v>444</v>
      </c>
      <c r="S2940" s="29" cm="1">
        <f t="array" ref="S2940">IF(表成绩单[[#This Row],[物理]]="","",SUMPRODUCT((表成绩单[考试日期]=表成绩单[[#This Row],[考试日期]])*(表成绩单[物理]&lt;9E+307)*(表成绩单[物理]&gt;表成绩单[[#This Row],[物理]]))+1)</f>
        <v>500</v>
      </c>
      <c r="T2940" s="29" cm="1">
        <f t="array" ref="T2940">IF(表成绩单[[#This Row],[化学]]="","",SUMPRODUCT((表成绩单[考试日期]=表成绩单[[#This Row],[考试日期]])*(表成绩单[化学]&lt;9E+307)*(表成绩单[化学]&gt;表成绩单[[#This Row],[化学]]))+1)</f>
        <v>379</v>
      </c>
      <c r="U2940" s="29" cm="1">
        <f t="array" ref="U2940">IF(表成绩单[[#This Row],[政治]]="","",SUMPRODUCT((表成绩单[考试日期]=表成绩单[[#This Row],[考试日期]])*(表成绩单[政治]&lt;9E+307)*(表成绩单[政治]&gt;表成绩单[[#This Row],[政治]]))+1)</f>
        <v>470</v>
      </c>
      <c r="V2940" s="29" cm="1">
        <f t="array" ref="V2940">IF(表成绩单[[#This Row],[历史]]="","",SUMPRODUCT((表成绩单[考试日期]=表成绩单[[#This Row],[考试日期]])*(表成绩单[历史]&lt;9E+307)*(表成绩单[历史]&gt;表成绩单[[#This Row],[历史]]))+1)</f>
        <v>637</v>
      </c>
      <c r="W2940" s="29" cm="1">
        <f t="array" ref="W2940">IF(表成绩单[[#This Row],[总分]]="","",SUMPRODUCT((表成绩单[考试日期]=表成绩单[[#This Row],[考试日期]])*(表成绩单[总分]&lt;9E+307)*(表成绩单[总分]&gt;表成绩单[[#This Row],[总分]]))+1)</f>
        <v>533</v>
      </c>
    </row>
    <row r="2941" ht="28" customHeight="1" spans="4:23">
      <c r="D2941" s="31">
        <v>46108</v>
      </c>
      <c r="E2941" s="29">
        <v>19175629</v>
      </c>
      <c r="F2941" s="29" t="s">
        <v>57</v>
      </c>
      <c r="G2941" s="29" t="s">
        <v>720</v>
      </c>
      <c r="H2941" s="29">
        <v>93</v>
      </c>
      <c r="I2941" s="29">
        <v>81</v>
      </c>
      <c r="J2941" s="29">
        <v>79.5</v>
      </c>
      <c r="K2941" s="29">
        <v>69</v>
      </c>
      <c r="L2941" s="29">
        <v>69</v>
      </c>
      <c r="M2941" s="29">
        <v>68</v>
      </c>
      <c r="N2941" s="29">
        <v>61</v>
      </c>
      <c r="O2941" s="32">
        <v>520.5</v>
      </c>
      <c r="P2941" s="29" cm="1">
        <f t="array" ref="P2941">IF(表成绩单[[#This Row],[语文]]="","",SUMPRODUCT((表成绩单[考试日期]=表成绩单[[#This Row],[考试日期]])*(表成绩单[语文]&lt;9E+307)*(表成绩单[语文]&gt;表成绩单[[#This Row],[语文]]))+1)</f>
        <v>470</v>
      </c>
      <c r="Q2941" s="29" cm="1">
        <f t="array" ref="Q2941">IF(表成绩单[[#This Row],[数学]]="","",SUMPRODUCT((表成绩单[考试日期]=表成绩单[[#This Row],[考试日期]])*(表成绩单[数学]&lt;9E+307)*(表成绩单[数学]&gt;表成绩单[[#This Row],[数学]]))+1)</f>
        <v>563</v>
      </c>
      <c r="R2941" s="29" cm="1">
        <f t="array" ref="R2941">IF(表成绩单[[#This Row],[英语]]="","",SUMPRODUCT((表成绩单[考试日期]=表成绩单[[#This Row],[考试日期]])*(表成绩单[英语]&lt;9E+307)*(表成绩单[英语]&gt;表成绩单[[#This Row],[英语]]))+1)</f>
        <v>286</v>
      </c>
      <c r="S2941" s="29" cm="1">
        <f t="array" ref="S2941">IF(表成绩单[[#This Row],[物理]]="","",SUMPRODUCT((表成绩单[考试日期]=表成绩单[[#This Row],[考试日期]])*(表成绩单[物理]&lt;9E+307)*(表成绩单[物理]&gt;表成绩单[[#This Row],[物理]]))+1)</f>
        <v>565</v>
      </c>
      <c r="T2941" s="29" cm="1">
        <f t="array" ref="T2941">IF(表成绩单[[#This Row],[化学]]="","",SUMPRODUCT((表成绩单[考试日期]=表成绩单[[#This Row],[考试日期]])*(表成绩单[化学]&lt;9E+307)*(表成绩单[化学]&gt;表成绩单[[#This Row],[化学]]))+1)</f>
        <v>269</v>
      </c>
      <c r="U2941" s="29" cm="1">
        <f t="array" ref="U2941">IF(表成绩单[[#This Row],[政治]]="","",SUMPRODUCT((表成绩单[考试日期]=表成绩单[[#This Row],[考试日期]])*(表成绩单[政治]&lt;9E+307)*(表成绩单[政治]&gt;表成绩单[[#This Row],[政治]]))+1)</f>
        <v>596</v>
      </c>
      <c r="V2941" s="29" cm="1">
        <f t="array" ref="V2941">IF(表成绩单[[#This Row],[历史]]="","",SUMPRODUCT((表成绩单[考试日期]=表成绩单[[#This Row],[考试日期]])*(表成绩单[历史]&lt;9E+307)*(表成绩单[历史]&gt;表成绩单[[#This Row],[历史]]))+1)</f>
        <v>707</v>
      </c>
      <c r="W2941" s="29" cm="1">
        <f t="array" ref="W2941">IF(表成绩单[[#This Row],[总分]]="","",SUMPRODUCT((表成绩单[考试日期]=表成绩单[[#This Row],[考试日期]])*(表成绩单[总分]&lt;9E+307)*(表成绩单[总分]&gt;表成绩单[[#This Row],[总分]]))+1)</f>
        <v>534</v>
      </c>
    </row>
    <row r="2942" ht="28" customHeight="1" spans="4:23">
      <c r="D2942" s="31">
        <v>46108</v>
      </c>
      <c r="E2942" s="29">
        <v>19177617</v>
      </c>
      <c r="F2942" s="29" t="s">
        <v>58</v>
      </c>
      <c r="G2942" s="29" t="s">
        <v>515</v>
      </c>
      <c r="H2942" s="29">
        <v>91</v>
      </c>
      <c r="I2942" s="29">
        <v>83</v>
      </c>
      <c r="J2942" s="29">
        <v>70</v>
      </c>
      <c r="K2942" s="29">
        <v>70</v>
      </c>
      <c r="L2942" s="29">
        <v>58</v>
      </c>
      <c r="M2942" s="29">
        <v>72</v>
      </c>
      <c r="N2942" s="29">
        <v>76</v>
      </c>
      <c r="O2942" s="32">
        <v>520</v>
      </c>
      <c r="P2942" s="29" cm="1">
        <f t="array" ref="P2942">IF(表成绩单[[#This Row],[语文]]="","",SUMPRODUCT((表成绩单[考试日期]=表成绩单[[#This Row],[考试日期]])*(表成绩单[语文]&lt;9E+307)*(表成绩单[语文]&gt;表成绩单[[#This Row],[语文]]))+1)</f>
        <v>519</v>
      </c>
      <c r="Q2942" s="29" cm="1">
        <f t="array" ref="Q2942">IF(表成绩单[[#This Row],[数学]]="","",SUMPRODUCT((表成绩单[考试日期]=表成绩单[[#This Row],[考试日期]])*(表成绩单[数学]&lt;9E+307)*(表成绩单[数学]&gt;表成绩单[[#This Row],[数学]]))+1)</f>
        <v>543</v>
      </c>
      <c r="R2942" s="29" cm="1">
        <f t="array" ref="R2942">IF(表成绩单[[#This Row],[英语]]="","",SUMPRODUCT((表成绩单[考试日期]=表成绩单[[#This Row],[考试日期]])*(表成绩单[英语]&lt;9E+307)*(表成绩单[英语]&gt;表成绩单[[#This Row],[英语]]))+1)</f>
        <v>542</v>
      </c>
      <c r="S2942" s="29" cm="1">
        <f t="array" ref="S2942">IF(表成绩单[[#This Row],[物理]]="","",SUMPRODUCT((表成绩单[考试日期]=表成绩单[[#This Row],[考试日期]])*(表成绩单[物理]&lt;9E+307)*(表成绩单[物理]&gt;表成绩单[[#This Row],[物理]]))+1)</f>
        <v>549</v>
      </c>
      <c r="T2942" s="29" cm="1">
        <f t="array" ref="T2942">IF(表成绩单[[#This Row],[化学]]="","",SUMPRODUCT((表成绩单[考试日期]=表成绩单[[#This Row],[考试日期]])*(表成绩单[化学]&lt;9E+307)*(表成绩单[化学]&gt;表成绩单[[#This Row],[化学]]))+1)</f>
        <v>532</v>
      </c>
      <c r="U2942" s="29" cm="1">
        <f t="array" ref="U2942">IF(表成绩单[[#This Row],[政治]]="","",SUMPRODUCT((表成绩单[考试日期]=表成绩单[[#This Row],[考试日期]])*(表成绩单[政治]&lt;9E+307)*(表成绩单[政治]&gt;表成绩单[[#This Row],[政治]]))+1)</f>
        <v>470</v>
      </c>
      <c r="V2942" s="29" cm="1">
        <f t="array" ref="V2942">IF(表成绩单[[#This Row],[历史]]="","",SUMPRODUCT((表成绩单[考试日期]=表成绩单[[#This Row],[考试日期]])*(表成绩单[历史]&lt;9E+307)*(表成绩单[历史]&gt;表成绩单[[#This Row],[历史]]))+1)</f>
        <v>316</v>
      </c>
      <c r="W2942" s="29" cm="1">
        <f t="array" ref="W2942">IF(表成绩单[[#This Row],[总分]]="","",SUMPRODUCT((表成绩单[考试日期]=表成绩单[[#This Row],[考试日期]])*(表成绩单[总分]&lt;9E+307)*(表成绩单[总分]&gt;表成绩单[[#This Row],[总分]]))+1)</f>
        <v>535</v>
      </c>
    </row>
    <row r="2943" ht="28" customHeight="1" spans="4:23">
      <c r="D2943" s="31">
        <v>46108</v>
      </c>
      <c r="E2943" s="29">
        <v>19175983</v>
      </c>
      <c r="F2943" s="29" t="s">
        <v>59</v>
      </c>
      <c r="G2943" s="29" t="s">
        <v>650</v>
      </c>
      <c r="H2943" s="29">
        <v>103</v>
      </c>
      <c r="I2943" s="29">
        <v>82</v>
      </c>
      <c r="J2943" s="29">
        <v>77.5</v>
      </c>
      <c r="K2943" s="29">
        <v>57</v>
      </c>
      <c r="L2943" s="29">
        <v>59</v>
      </c>
      <c r="M2943" s="29">
        <v>65</v>
      </c>
      <c r="N2943" s="29">
        <v>76</v>
      </c>
      <c r="O2943" s="32">
        <v>519.5</v>
      </c>
      <c r="P2943" s="29" cm="1">
        <f t="array" ref="P2943">IF(表成绩单[[#This Row],[语文]]="","",SUMPRODUCT((表成绩单[考试日期]=表成绩单[[#This Row],[考试日期]])*(表成绩单[语文]&lt;9E+307)*(表成绩单[语文]&gt;表成绩单[[#This Row],[语文]]))+1)</f>
        <v>155</v>
      </c>
      <c r="Q2943" s="29" cm="1">
        <f t="array" ref="Q2943">IF(表成绩单[[#This Row],[数学]]="","",SUMPRODUCT((表成绩单[考试日期]=表成绩单[[#This Row],[考试日期]])*(表成绩单[数学]&lt;9E+307)*(表成绩单[数学]&gt;表成绩单[[#This Row],[数学]]))+1)</f>
        <v>555</v>
      </c>
      <c r="R2943" s="29" cm="1">
        <f t="array" ref="R2943">IF(表成绩单[[#This Row],[英语]]="","",SUMPRODUCT((表成绩单[考试日期]=表成绩单[[#This Row],[考试日期]])*(表成绩单[英语]&lt;9E+307)*(表成绩单[英语]&gt;表成绩单[[#This Row],[英语]]))+1)</f>
        <v>353</v>
      </c>
      <c r="S2943" s="29" cm="1">
        <f t="array" ref="S2943">IF(表成绩单[[#This Row],[物理]]="","",SUMPRODUCT((表成绩单[考试日期]=表成绩单[[#This Row],[考试日期]])*(表成绩单[物理]&lt;9E+307)*(表成绩单[物理]&gt;表成绩单[[#This Row],[物理]]))+1)</f>
        <v>692</v>
      </c>
      <c r="T2943" s="29" cm="1">
        <f t="array" ref="T2943">IF(表成绩单[[#This Row],[化学]]="","",SUMPRODUCT((表成绩单[考试日期]=表成绩单[[#This Row],[考试日期]])*(表成绩单[化学]&lt;9E+307)*(表成绩单[化学]&gt;表成绩单[[#This Row],[化学]]))+1)</f>
        <v>510</v>
      </c>
      <c r="U2943" s="29" cm="1">
        <f t="array" ref="U2943">IF(表成绩单[[#This Row],[政治]]="","",SUMPRODUCT((表成绩单[考试日期]=表成绩单[[#This Row],[考试日期]])*(表成绩单[政治]&lt;9E+307)*(表成绩单[政治]&gt;表成绩单[[#This Row],[政治]]))+1)</f>
        <v>655</v>
      </c>
      <c r="V2943" s="29" cm="1">
        <f t="array" ref="V2943">IF(表成绩单[[#This Row],[历史]]="","",SUMPRODUCT((表成绩单[考试日期]=表成绩单[[#This Row],[考试日期]])*(表成绩单[历史]&lt;9E+307)*(表成绩单[历史]&gt;表成绩单[[#This Row],[历史]]))+1)</f>
        <v>316</v>
      </c>
      <c r="W2943" s="29" cm="1">
        <f t="array" ref="W2943">IF(表成绩单[[#This Row],[总分]]="","",SUMPRODUCT((表成绩单[考试日期]=表成绩单[[#This Row],[考试日期]])*(表成绩单[总分]&lt;9E+307)*(表成绩单[总分]&gt;表成绩单[[#This Row],[总分]]))+1)</f>
        <v>536</v>
      </c>
    </row>
    <row r="2944" ht="28" customHeight="1" spans="4:23">
      <c r="D2944" s="31">
        <v>46108</v>
      </c>
      <c r="E2944" s="29">
        <v>19177651</v>
      </c>
      <c r="F2944" s="29" t="s">
        <v>63</v>
      </c>
      <c r="G2944" s="29" t="s">
        <v>678</v>
      </c>
      <c r="H2944" s="29">
        <v>93</v>
      </c>
      <c r="I2944" s="29">
        <v>88</v>
      </c>
      <c r="J2944" s="29">
        <v>67.5</v>
      </c>
      <c r="K2944" s="29">
        <v>76</v>
      </c>
      <c r="L2944" s="29">
        <v>60</v>
      </c>
      <c r="M2944" s="29">
        <v>72</v>
      </c>
      <c r="N2944" s="29">
        <v>63</v>
      </c>
      <c r="O2944" s="32">
        <v>519.5</v>
      </c>
      <c r="P2944" s="29" cm="1">
        <f t="array" ref="P2944">IF(表成绩单[[#This Row],[语文]]="","",SUMPRODUCT((表成绩单[考试日期]=表成绩单[[#This Row],[考试日期]])*(表成绩单[语文]&lt;9E+307)*(表成绩单[语文]&gt;表成绩单[[#This Row],[语文]]))+1)</f>
        <v>470</v>
      </c>
      <c r="Q2944" s="29" cm="1">
        <f t="array" ref="Q2944">IF(表成绩单[[#This Row],[数学]]="","",SUMPRODUCT((表成绩单[考试日期]=表成绩单[[#This Row],[考试日期]])*(表成绩单[数学]&lt;9E+307)*(表成绩单[数学]&gt;表成绩单[[#This Row],[数学]]))+1)</f>
        <v>424</v>
      </c>
      <c r="R2944" s="29" cm="1">
        <f t="array" ref="R2944">IF(表成绩单[[#This Row],[英语]]="","",SUMPRODUCT((表成绩单[考试日期]=表成绩单[[#This Row],[考试日期]])*(表成绩单[英语]&lt;9E+307)*(表成绩单[英语]&gt;表成绩单[[#This Row],[英语]]))+1)</f>
        <v>571</v>
      </c>
      <c r="S2944" s="29" cm="1">
        <f t="array" ref="S2944">IF(表成绩单[[#This Row],[物理]]="","",SUMPRODUCT((表成绩单[考试日期]=表成绩单[[#This Row],[考试日期]])*(表成绩单[物理]&lt;9E+307)*(表成绩单[物理]&gt;表成绩单[[#This Row],[物理]]))+1)</f>
        <v>433</v>
      </c>
      <c r="T2944" s="29" cm="1">
        <f t="array" ref="T2944">IF(表成绩单[[#This Row],[化学]]="","",SUMPRODUCT((表成绩单[考试日期]=表成绩单[[#This Row],[考试日期]])*(表成绩单[化学]&lt;9E+307)*(表成绩单[化学]&gt;表成绩单[[#This Row],[化学]]))+1)</f>
        <v>490</v>
      </c>
      <c r="U2944" s="29" cm="1">
        <f t="array" ref="U2944">IF(表成绩单[[#This Row],[政治]]="","",SUMPRODUCT((表成绩单[考试日期]=表成绩单[[#This Row],[考试日期]])*(表成绩单[政治]&lt;9E+307)*(表成绩单[政治]&gt;表成绩单[[#This Row],[政治]]))+1)</f>
        <v>470</v>
      </c>
      <c r="V2944" s="29" cm="1">
        <f t="array" ref="V2944">IF(表成绩单[[#This Row],[历史]]="","",SUMPRODUCT((表成绩单[考试日期]=表成绩单[[#This Row],[考试日期]])*(表成绩单[历史]&lt;9E+307)*(表成绩单[历史]&gt;表成绩单[[#This Row],[历史]]))+1)</f>
        <v>686</v>
      </c>
      <c r="W2944" s="29" cm="1">
        <f t="array" ref="W2944">IF(表成绩单[[#This Row],[总分]]="","",SUMPRODUCT((表成绩单[考试日期]=表成绩单[[#This Row],[考试日期]])*(表成绩单[总分]&lt;9E+307)*(表成绩单[总分]&gt;表成绩单[[#This Row],[总分]]))+1)</f>
        <v>536</v>
      </c>
    </row>
    <row r="2945" ht="28" customHeight="1" spans="4:23">
      <c r="D2945" s="31">
        <v>46108</v>
      </c>
      <c r="E2945" s="29">
        <v>19176005</v>
      </c>
      <c r="F2945" s="29" t="s">
        <v>59</v>
      </c>
      <c r="G2945" s="29" t="s">
        <v>677</v>
      </c>
      <c r="H2945" s="29">
        <v>87</v>
      </c>
      <c r="I2945" s="29">
        <v>89</v>
      </c>
      <c r="J2945" s="29">
        <v>77</v>
      </c>
      <c r="K2945" s="29">
        <v>74</v>
      </c>
      <c r="L2945" s="29">
        <v>52</v>
      </c>
      <c r="M2945" s="29">
        <v>74</v>
      </c>
      <c r="N2945" s="29">
        <v>66</v>
      </c>
      <c r="O2945" s="32">
        <v>519</v>
      </c>
      <c r="P2945" s="29" cm="1">
        <f t="array" ref="P2945">IF(表成绩单[[#This Row],[语文]]="","",SUMPRODUCT((表成绩单[考试日期]=表成绩单[[#This Row],[考试日期]])*(表成绩单[语文]&lt;9E+307)*(表成绩单[语文]&gt;表成绩单[[#This Row],[语文]]))+1)</f>
        <v>599</v>
      </c>
      <c r="Q2945" s="29" cm="1">
        <f t="array" ref="Q2945">IF(表成绩单[[#This Row],[数学]]="","",SUMPRODUCT((表成绩单[考试日期]=表成绩单[[#This Row],[考试日期]])*(表成绩单[数学]&lt;9E+307)*(表成绩单[数学]&gt;表成绩单[[#This Row],[数学]]))+1)</f>
        <v>402</v>
      </c>
      <c r="R2945" s="29" cm="1">
        <f t="array" ref="R2945">IF(表成绩单[[#This Row],[英语]]="","",SUMPRODUCT((表成绩单[考试日期]=表成绩单[[#This Row],[考试日期]])*(表成绩单[英语]&lt;9E+307)*(表成绩单[英语]&gt;表成绩单[[#This Row],[英语]]))+1)</f>
        <v>370</v>
      </c>
      <c r="S2945" s="29" cm="1">
        <f t="array" ref="S2945">IF(表成绩单[[#This Row],[物理]]="","",SUMPRODUCT((表成绩单[考试日期]=表成绩单[[#This Row],[考试日期]])*(表成绩单[物理]&lt;9E+307)*(表成绩单[物理]&gt;表成绩单[[#This Row],[物理]]))+1)</f>
        <v>472</v>
      </c>
      <c r="T2945" s="29" cm="1">
        <f t="array" ref="T2945">IF(表成绩单[[#This Row],[化学]]="","",SUMPRODUCT((表成绩单[考试日期]=表成绩单[[#This Row],[考试日期]])*(表成绩单[化学]&lt;9E+307)*(表成绩单[化学]&gt;表成绩单[[#This Row],[化学]]))+1)</f>
        <v>612</v>
      </c>
      <c r="U2945" s="29" cm="1">
        <f t="array" ref="U2945">IF(表成绩单[[#This Row],[政治]]="","",SUMPRODUCT((表成绩单[考试日期]=表成绩单[[#This Row],[考试日期]])*(表成绩单[政治]&lt;9E+307)*(表成绩单[政治]&gt;表成绩单[[#This Row],[政治]]))+1)</f>
        <v>389</v>
      </c>
      <c r="V2945" s="29" cm="1">
        <f t="array" ref="V2945">IF(表成绩单[[#This Row],[历史]]="","",SUMPRODUCT((表成绩单[考试日期]=表成绩单[[#This Row],[考试日期]])*(表成绩单[历史]&lt;9E+307)*(表成绩单[历史]&gt;表成绩单[[#This Row],[历史]]))+1)</f>
        <v>637</v>
      </c>
      <c r="W2945" s="29" cm="1">
        <f t="array" ref="W2945">IF(表成绩单[[#This Row],[总分]]="","",SUMPRODUCT((表成绩单[考试日期]=表成绩单[[#This Row],[考试日期]])*(表成绩单[总分]&lt;9E+307)*(表成绩单[总分]&gt;表成绩单[[#This Row],[总分]]))+1)</f>
        <v>538</v>
      </c>
    </row>
    <row r="2946" ht="28" customHeight="1" spans="4:23">
      <c r="D2946" s="31">
        <v>46108</v>
      </c>
      <c r="E2946" s="29">
        <v>19174799</v>
      </c>
      <c r="F2946" s="29" t="s">
        <v>69</v>
      </c>
      <c r="G2946" s="29" t="s">
        <v>514</v>
      </c>
      <c r="H2946" s="29">
        <v>99</v>
      </c>
      <c r="I2946" s="29">
        <v>79</v>
      </c>
      <c r="J2946" s="29">
        <v>68.5</v>
      </c>
      <c r="K2946" s="29">
        <v>75</v>
      </c>
      <c r="L2946" s="29">
        <v>51</v>
      </c>
      <c r="M2946" s="29">
        <v>76</v>
      </c>
      <c r="N2946" s="29">
        <v>70</v>
      </c>
      <c r="O2946" s="32">
        <v>518.5</v>
      </c>
      <c r="P2946" s="29" cm="1">
        <f t="array" ref="P2946">IF(表成绩单[[#This Row],[语文]]="","",SUMPRODUCT((表成绩单[考试日期]=表成绩单[[#This Row],[考试日期]])*(表成绩单[语文]&lt;9E+307)*(表成绩单[语文]&gt;表成绩单[[#This Row],[语文]]))+1)</f>
        <v>279</v>
      </c>
      <c r="Q2946" s="29" cm="1">
        <f t="array" ref="Q2946">IF(表成绩单[[#This Row],[数学]]="","",SUMPRODUCT((表成绩单[考试日期]=表成绩单[[#This Row],[考试日期]])*(表成绩单[数学]&lt;9E+307)*(表成绩单[数学]&gt;表成绩单[[#This Row],[数学]]))+1)</f>
        <v>591</v>
      </c>
      <c r="R2946" s="29" cm="1">
        <f t="array" ref="R2946">IF(表成绩单[[#This Row],[英语]]="","",SUMPRODUCT((表成绩单[考试日期]=表成绩单[[#This Row],[考试日期]])*(表成绩单[英语]&lt;9E+307)*(表成绩单[英语]&gt;表成绩单[[#This Row],[英语]]))+1)</f>
        <v>564</v>
      </c>
      <c r="S2946" s="29" cm="1">
        <f t="array" ref="S2946">IF(表成绩单[[#This Row],[物理]]="","",SUMPRODUCT((表成绩单[考试日期]=表成绩单[[#This Row],[考试日期]])*(表成绩单[物理]&lt;9E+307)*(表成绩单[物理]&gt;表成绩单[[#This Row],[物理]]))+1)</f>
        <v>456</v>
      </c>
      <c r="T2946" s="29" cm="1">
        <f t="array" ref="T2946">IF(表成绩单[[#This Row],[化学]]="","",SUMPRODUCT((表成绩单[考试日期]=表成绩单[[#This Row],[考试日期]])*(表成绩单[化学]&lt;9E+307)*(表成绩单[化学]&gt;表成绩单[[#This Row],[化学]]))+1)</f>
        <v>622</v>
      </c>
      <c r="U2946" s="29" cm="1">
        <f t="array" ref="U2946">IF(表成绩单[[#This Row],[政治]]="","",SUMPRODUCT((表成绩单[考试日期]=表成绩单[[#This Row],[考试日期]])*(表成绩单[政治]&lt;9E+307)*(表成绩单[政治]&gt;表成绩单[[#This Row],[政治]]))+1)</f>
        <v>291</v>
      </c>
      <c r="V2946" s="29" cm="1">
        <f t="array" ref="V2946">IF(表成绩单[[#This Row],[历史]]="","",SUMPRODUCT((表成绩单[考试日期]=表成绩单[[#This Row],[考试日期]])*(表成绩单[历史]&lt;9E+307)*(表成绩单[历史]&gt;表成绩单[[#This Row],[历史]]))+1)</f>
        <v>539</v>
      </c>
      <c r="W2946" s="29" cm="1">
        <f t="array" ref="W2946">IF(表成绩单[[#This Row],[总分]]="","",SUMPRODUCT((表成绩单[考试日期]=表成绩单[[#This Row],[考试日期]])*(表成绩单[总分]&lt;9E+307)*(表成绩单[总分]&gt;表成绩单[[#This Row],[总分]]))+1)</f>
        <v>539</v>
      </c>
    </row>
    <row r="2947" ht="28" customHeight="1" spans="4:23">
      <c r="D2947" s="31">
        <v>46108</v>
      </c>
      <c r="E2947" s="29">
        <v>19177619</v>
      </c>
      <c r="F2947" s="29" t="s">
        <v>58</v>
      </c>
      <c r="G2947" s="29" t="s">
        <v>753</v>
      </c>
      <c r="H2947" s="29">
        <v>89</v>
      </c>
      <c r="I2947" s="29">
        <v>81</v>
      </c>
      <c r="J2947" s="29">
        <v>74.5</v>
      </c>
      <c r="K2947" s="29">
        <v>74</v>
      </c>
      <c r="L2947" s="29">
        <v>61</v>
      </c>
      <c r="M2947" s="29">
        <v>70</v>
      </c>
      <c r="N2947" s="29">
        <v>69</v>
      </c>
      <c r="O2947" s="32">
        <v>518.5</v>
      </c>
      <c r="P2947" s="29" cm="1">
        <f t="array" ref="P2947">IF(表成绩单[[#This Row],[语文]]="","",SUMPRODUCT((表成绩单[考试日期]=表成绩单[[#This Row],[考试日期]])*(表成绩单[语文]&lt;9E+307)*(表成绩单[语文]&gt;表成绩单[[#This Row],[语文]]))+1)</f>
        <v>559</v>
      </c>
      <c r="Q2947" s="29" cm="1">
        <f t="array" ref="Q2947">IF(表成绩单[[#This Row],[数学]]="","",SUMPRODUCT((表成绩单[考试日期]=表成绩单[[#This Row],[考试日期]])*(表成绩单[数学]&lt;9E+307)*(表成绩单[数学]&gt;表成绩单[[#This Row],[数学]]))+1)</f>
        <v>563</v>
      </c>
      <c r="R2947" s="29" cm="1">
        <f t="array" ref="R2947">IF(表成绩单[[#This Row],[英语]]="","",SUMPRODUCT((表成绩单[考试日期]=表成绩单[[#This Row],[考试日期]])*(表成绩单[英语]&lt;9E+307)*(表成绩单[英语]&gt;表成绩单[[#This Row],[英语]]))+1)</f>
        <v>456</v>
      </c>
      <c r="S2947" s="29" cm="1">
        <f t="array" ref="S2947">IF(表成绩单[[#This Row],[物理]]="","",SUMPRODUCT((表成绩单[考试日期]=表成绩单[[#This Row],[考试日期]])*(表成绩单[物理]&lt;9E+307)*(表成绩单[物理]&gt;表成绩单[[#This Row],[物理]]))+1)</f>
        <v>472</v>
      </c>
      <c r="T2947" s="29" cm="1">
        <f t="array" ref="T2947">IF(表成绩单[[#This Row],[化学]]="","",SUMPRODUCT((表成绩单[考试日期]=表成绩单[[#This Row],[考试日期]])*(表成绩单[化学]&lt;9E+307)*(表成绩单[化学]&gt;表成绩单[[#This Row],[化学]]))+1)</f>
        <v>467</v>
      </c>
      <c r="U2947" s="29" cm="1">
        <f t="array" ref="U2947">IF(表成绩单[[#This Row],[政治]]="","",SUMPRODUCT((表成绩单[考试日期]=表成绩单[[#This Row],[考试日期]])*(表成绩单[政治]&lt;9E+307)*(表成绩单[政治]&gt;表成绩单[[#This Row],[政治]]))+1)</f>
        <v>548</v>
      </c>
      <c r="V2947" s="29" cm="1">
        <f t="array" ref="V2947">IF(表成绩单[[#This Row],[历史]]="","",SUMPRODUCT((表成绩单[考试日期]=表成绩单[[#This Row],[考试日期]])*(表成绩单[历史]&lt;9E+307)*(表成绩单[历史]&gt;表成绩单[[#This Row],[历史]]))+1)</f>
        <v>569</v>
      </c>
      <c r="W2947" s="29" cm="1">
        <f t="array" ref="W2947">IF(表成绩单[[#This Row],[总分]]="","",SUMPRODUCT((表成绩单[考试日期]=表成绩单[[#This Row],[考试日期]])*(表成绩单[总分]&lt;9E+307)*(表成绩单[总分]&gt;表成绩单[[#This Row],[总分]]))+1)</f>
        <v>539</v>
      </c>
    </row>
    <row r="2948" ht="28" customHeight="1" spans="4:23">
      <c r="D2948" s="31">
        <v>46108</v>
      </c>
      <c r="E2948" s="29">
        <v>19178580</v>
      </c>
      <c r="F2948" s="29" t="s">
        <v>64</v>
      </c>
      <c r="G2948" s="29" t="s">
        <v>612</v>
      </c>
      <c r="H2948" s="29">
        <v>86</v>
      </c>
      <c r="I2948" s="29">
        <v>88</v>
      </c>
      <c r="J2948" s="29">
        <v>68.5</v>
      </c>
      <c r="K2948" s="29">
        <v>69</v>
      </c>
      <c r="L2948" s="29">
        <v>64</v>
      </c>
      <c r="M2948" s="29">
        <v>73</v>
      </c>
      <c r="N2948" s="29">
        <v>70</v>
      </c>
      <c r="O2948" s="32">
        <v>518.5</v>
      </c>
      <c r="P2948" s="29" cm="1">
        <f t="array" ref="P2948">IF(表成绩单[[#This Row],[语文]]="","",SUMPRODUCT((表成绩单[考试日期]=表成绩单[[#This Row],[考试日期]])*(表成绩单[语文]&lt;9E+307)*(表成绩单[语文]&gt;表成绩单[[#This Row],[语文]]))+1)</f>
        <v>610</v>
      </c>
      <c r="Q2948" s="29" cm="1">
        <f t="array" ref="Q2948">IF(表成绩单[[#This Row],[数学]]="","",SUMPRODUCT((表成绩单[考试日期]=表成绩单[[#This Row],[考试日期]])*(表成绩单[数学]&lt;9E+307)*(表成绩单[数学]&gt;表成绩单[[#This Row],[数学]]))+1)</f>
        <v>424</v>
      </c>
      <c r="R2948" s="29" cm="1">
        <f t="array" ref="R2948">IF(表成绩单[[#This Row],[英语]]="","",SUMPRODUCT((表成绩单[考试日期]=表成绩单[[#This Row],[考试日期]])*(表成绩单[英语]&lt;9E+307)*(表成绩单[英语]&gt;表成绩单[[#This Row],[英语]]))+1)</f>
        <v>564</v>
      </c>
      <c r="S2948" s="29" cm="1">
        <f t="array" ref="S2948">IF(表成绩单[[#This Row],[物理]]="","",SUMPRODUCT((表成绩单[考试日期]=表成绩单[[#This Row],[考试日期]])*(表成绩单[物理]&lt;9E+307)*(表成绩单[物理]&gt;表成绩单[[#This Row],[物理]]))+1)</f>
        <v>565</v>
      </c>
      <c r="T2948" s="29" cm="1">
        <f t="array" ref="T2948">IF(表成绩单[[#This Row],[化学]]="","",SUMPRODUCT((表成绩单[考试日期]=表成绩单[[#This Row],[考试日期]])*(表成绩单[化学]&lt;9E+307)*(表成绩单[化学]&gt;表成绩单[[#This Row],[化学]]))+1)</f>
        <v>400</v>
      </c>
      <c r="U2948" s="29" cm="1">
        <f t="array" ref="U2948">IF(表成绩单[[#This Row],[政治]]="","",SUMPRODUCT((表成绩单[考试日期]=表成绩单[[#This Row],[考试日期]])*(表成绩单[政治]&lt;9E+307)*(表成绩单[政治]&gt;表成绩单[[#This Row],[政治]]))+1)</f>
        <v>431</v>
      </c>
      <c r="V2948" s="29" cm="1">
        <f t="array" ref="V2948">IF(表成绩单[[#This Row],[历史]]="","",SUMPRODUCT((表成绩单[考试日期]=表成绩单[[#This Row],[考试日期]])*(表成绩单[历史]&lt;9E+307)*(表成绩单[历史]&gt;表成绩单[[#This Row],[历史]]))+1)</f>
        <v>539</v>
      </c>
      <c r="W2948" s="29" cm="1">
        <f t="array" ref="W2948">IF(表成绩单[[#This Row],[总分]]="","",SUMPRODUCT((表成绩单[考试日期]=表成绩单[[#This Row],[考试日期]])*(表成绩单[总分]&lt;9E+307)*(表成绩单[总分]&gt;表成绩单[[#This Row],[总分]]))+1)</f>
        <v>539</v>
      </c>
    </row>
    <row r="2949" ht="28" customHeight="1" spans="4:23">
      <c r="D2949" s="31">
        <v>46108</v>
      </c>
      <c r="E2949" s="29">
        <v>19175308</v>
      </c>
      <c r="F2949" s="29" t="s">
        <v>55</v>
      </c>
      <c r="G2949" s="29" t="s">
        <v>581</v>
      </c>
      <c r="H2949" s="29">
        <v>96</v>
      </c>
      <c r="I2949" s="29">
        <v>81</v>
      </c>
      <c r="J2949" s="29">
        <v>57</v>
      </c>
      <c r="K2949" s="29">
        <v>70</v>
      </c>
      <c r="L2949" s="29">
        <v>59</v>
      </c>
      <c r="M2949" s="29">
        <v>72</v>
      </c>
      <c r="N2949" s="29">
        <v>83</v>
      </c>
      <c r="O2949" s="32">
        <v>518</v>
      </c>
      <c r="P2949" s="29" cm="1">
        <f t="array" ref="P2949">IF(表成绩单[[#This Row],[语文]]="","",SUMPRODUCT((表成绩单[考试日期]=表成绩单[[#This Row],[考试日期]])*(表成绩单[语文]&lt;9E+307)*(表成绩单[语文]&gt;表成绩单[[#This Row],[语文]]))+1)</f>
        <v>390</v>
      </c>
      <c r="Q2949" s="29" cm="1">
        <f t="array" ref="Q2949">IF(表成绩单[[#This Row],[数学]]="","",SUMPRODUCT((表成绩单[考试日期]=表成绩单[[#This Row],[考试日期]])*(表成绩单[数学]&lt;9E+307)*(表成绩单[数学]&gt;表成绩单[[#This Row],[数学]]))+1)</f>
        <v>563</v>
      </c>
      <c r="R2949" s="29" cm="1">
        <f t="array" ref="R2949">IF(表成绩单[[#This Row],[英语]]="","",SUMPRODUCT((表成绩单[考试日期]=表成绩单[[#This Row],[考试日期]])*(表成绩单[英语]&lt;9E+307)*(表成绩单[英语]&gt;表成绩单[[#This Row],[英语]]))+1)</f>
        <v>675</v>
      </c>
      <c r="S2949" s="29" cm="1">
        <f t="array" ref="S2949">IF(表成绩单[[#This Row],[物理]]="","",SUMPRODUCT((表成绩单[考试日期]=表成绩单[[#This Row],[考试日期]])*(表成绩单[物理]&lt;9E+307)*(表成绩单[物理]&gt;表成绩单[[#This Row],[物理]]))+1)</f>
        <v>549</v>
      </c>
      <c r="T2949" s="29" cm="1">
        <f t="array" ref="T2949">IF(表成绩单[[#This Row],[化学]]="","",SUMPRODUCT((表成绩单[考试日期]=表成绩单[[#This Row],[考试日期]])*(表成绩单[化学]&lt;9E+307)*(表成绩单[化学]&gt;表成绩单[[#This Row],[化学]]))+1)</f>
        <v>510</v>
      </c>
      <c r="U2949" s="29" cm="1">
        <f t="array" ref="U2949">IF(表成绩单[[#This Row],[政治]]="","",SUMPRODUCT((表成绩单[考试日期]=表成绩单[[#This Row],[考试日期]])*(表成绩单[政治]&lt;9E+307)*(表成绩单[政治]&gt;表成绩单[[#This Row],[政治]]))+1)</f>
        <v>470</v>
      </c>
      <c r="V2949" s="29" cm="1">
        <f t="array" ref="V2949">IF(表成绩单[[#This Row],[历史]]="","",SUMPRODUCT((表成绩单[考试日期]=表成绩单[[#This Row],[考试日期]])*(表成绩单[历史]&lt;9E+307)*(表成绩单[历史]&gt;表成绩单[[#This Row],[历史]]))+1)</f>
        <v>60</v>
      </c>
      <c r="W2949" s="29" cm="1">
        <f t="array" ref="W2949">IF(表成绩单[[#This Row],[总分]]="","",SUMPRODUCT((表成绩单[考试日期]=表成绩单[[#This Row],[考试日期]])*(表成绩单[总分]&lt;9E+307)*(表成绩单[总分]&gt;表成绩单[[#This Row],[总分]]))+1)</f>
        <v>542</v>
      </c>
    </row>
    <row r="2950" ht="28" customHeight="1" spans="4:23">
      <c r="D2950" s="31">
        <v>46108</v>
      </c>
      <c r="E2950" s="29">
        <v>19176855</v>
      </c>
      <c r="F2950" s="29" t="s">
        <v>71</v>
      </c>
      <c r="G2950" s="29" t="s">
        <v>592</v>
      </c>
      <c r="H2950" s="29">
        <v>84</v>
      </c>
      <c r="I2950" s="29">
        <v>88</v>
      </c>
      <c r="J2950" s="29">
        <v>67</v>
      </c>
      <c r="K2950" s="29">
        <v>77</v>
      </c>
      <c r="L2950" s="29">
        <v>63</v>
      </c>
      <c r="M2950" s="29">
        <v>69</v>
      </c>
      <c r="N2950" s="29">
        <v>70</v>
      </c>
      <c r="O2950" s="32">
        <v>518</v>
      </c>
      <c r="P2950" s="29" cm="1">
        <f t="array" ref="P2950">IF(表成绩单[[#This Row],[语文]]="","",SUMPRODUCT((表成绩单[考试日期]=表成绩单[[#This Row],[考试日期]])*(表成绩单[语文]&lt;9E+307)*(表成绩单[语文]&gt;表成绩单[[#This Row],[语文]]))+1)</f>
        <v>638</v>
      </c>
      <c r="Q2950" s="29" cm="1">
        <f t="array" ref="Q2950">IF(表成绩单[[#This Row],[数学]]="","",SUMPRODUCT((表成绩单[考试日期]=表成绩单[[#This Row],[考试日期]])*(表成绩单[数学]&lt;9E+307)*(表成绩单[数学]&gt;表成绩单[[#This Row],[数学]]))+1)</f>
        <v>424</v>
      </c>
      <c r="R2950" s="29" cm="1">
        <f t="array" ref="R2950">IF(表成绩单[[#This Row],[英语]]="","",SUMPRODUCT((表成绩单[考试日期]=表成绩单[[#This Row],[考试日期]])*(表成绩单[英语]&lt;9E+307)*(表成绩单[英语]&gt;表成绩单[[#This Row],[英语]]))+1)</f>
        <v>580</v>
      </c>
      <c r="S2950" s="29" cm="1">
        <f t="array" ref="S2950">IF(表成绩单[[#This Row],[物理]]="","",SUMPRODUCT((表成绩单[考试日期]=表成绩单[[#This Row],[考试日期]])*(表成绩单[物理]&lt;9E+307)*(表成绩单[物理]&gt;表成绩单[[#This Row],[物理]]))+1)</f>
        <v>400</v>
      </c>
      <c r="T2950" s="29" cm="1">
        <f t="array" ref="T2950">IF(表成绩单[[#This Row],[化学]]="","",SUMPRODUCT((表成绩单[考试日期]=表成绩单[[#This Row],[考试日期]])*(表成绩单[化学]&lt;9E+307)*(表成绩单[化学]&gt;表成绩单[[#This Row],[化学]]))+1)</f>
        <v>426</v>
      </c>
      <c r="U2950" s="29" cm="1">
        <f t="array" ref="U2950">IF(表成绩单[[#This Row],[政治]]="","",SUMPRODUCT((表成绩单[考试日期]=表成绩单[[#This Row],[考试日期]])*(表成绩单[政治]&lt;9E+307)*(表成绩单[政治]&gt;表成绩单[[#This Row],[政治]]))+1)</f>
        <v>567</v>
      </c>
      <c r="V2950" s="29" cm="1">
        <f t="array" ref="V2950">IF(表成绩单[[#This Row],[历史]]="","",SUMPRODUCT((表成绩单[考试日期]=表成绩单[[#This Row],[考试日期]])*(表成绩单[历史]&lt;9E+307)*(表成绩单[历史]&gt;表成绩单[[#This Row],[历史]]))+1)</f>
        <v>539</v>
      </c>
      <c r="W2950" s="29" cm="1">
        <f t="array" ref="W2950">IF(表成绩单[[#This Row],[总分]]="","",SUMPRODUCT((表成绩单[考试日期]=表成绩单[[#This Row],[考试日期]])*(表成绩单[总分]&lt;9E+307)*(表成绩单[总分]&gt;表成绩单[[#This Row],[总分]]))+1)</f>
        <v>542</v>
      </c>
    </row>
    <row r="2951" ht="28" customHeight="1" spans="4:23">
      <c r="D2951" s="31">
        <v>46108</v>
      </c>
      <c r="E2951" s="29">
        <v>19177643</v>
      </c>
      <c r="F2951" s="29" t="s">
        <v>63</v>
      </c>
      <c r="G2951" s="29" t="s">
        <v>707</v>
      </c>
      <c r="H2951" s="29">
        <v>82</v>
      </c>
      <c r="I2951" s="29">
        <v>80</v>
      </c>
      <c r="J2951" s="29">
        <v>73</v>
      </c>
      <c r="K2951" s="29">
        <v>70</v>
      </c>
      <c r="L2951" s="29">
        <v>58</v>
      </c>
      <c r="M2951" s="29">
        <v>76</v>
      </c>
      <c r="N2951" s="29">
        <v>78</v>
      </c>
      <c r="O2951" s="32">
        <v>517</v>
      </c>
      <c r="P2951" s="29" cm="1">
        <f t="array" ref="P2951">IF(表成绩单[[#This Row],[语文]]="","",SUMPRODUCT((表成绩单[考试日期]=表成绩单[[#This Row],[考试日期]])*(表成绩单[语文]&lt;9E+307)*(表成绩单[语文]&gt;表成绩单[[#This Row],[语文]]))+1)</f>
        <v>657</v>
      </c>
      <c r="Q2951" s="29" cm="1">
        <f t="array" ref="Q2951">IF(表成绩单[[#This Row],[数学]]="","",SUMPRODUCT((表成绩单[考试日期]=表成绩单[[#This Row],[考试日期]])*(表成绩单[数学]&lt;9E+307)*(表成绩单[数学]&gt;表成绩单[[#This Row],[数学]]))+1)</f>
        <v>578</v>
      </c>
      <c r="R2951" s="29" cm="1">
        <f t="array" ref="R2951">IF(表成绩单[[#This Row],[英语]]="","",SUMPRODUCT((表成绩单[考试日期]=表成绩单[[#This Row],[考试日期]])*(表成绩单[英语]&lt;9E+307)*(表成绩单[英语]&gt;表成绩单[[#This Row],[英语]]))+1)</f>
        <v>478</v>
      </c>
      <c r="S2951" s="29" cm="1">
        <f t="array" ref="S2951">IF(表成绩单[[#This Row],[物理]]="","",SUMPRODUCT((表成绩单[考试日期]=表成绩单[[#This Row],[考试日期]])*(表成绩单[物理]&lt;9E+307)*(表成绩单[物理]&gt;表成绩单[[#This Row],[物理]]))+1)</f>
        <v>549</v>
      </c>
      <c r="T2951" s="29" cm="1">
        <f t="array" ref="T2951">IF(表成绩单[[#This Row],[化学]]="","",SUMPRODUCT((表成绩单[考试日期]=表成绩单[[#This Row],[考试日期]])*(表成绩单[化学]&lt;9E+307)*(表成绩单[化学]&gt;表成绩单[[#This Row],[化学]]))+1)</f>
        <v>532</v>
      </c>
      <c r="U2951" s="29" cm="1">
        <f t="array" ref="U2951">IF(表成绩单[[#This Row],[政治]]="","",SUMPRODUCT((表成绩单[考试日期]=表成绩单[[#This Row],[考试日期]])*(表成绩单[政治]&lt;9E+307)*(表成绩单[政治]&gt;表成绩单[[#This Row],[政治]]))+1)</f>
        <v>291</v>
      </c>
      <c r="V2951" s="29" cm="1">
        <f t="array" ref="V2951">IF(表成绩单[[#This Row],[历史]]="","",SUMPRODUCT((表成绩单[考试日期]=表成绩单[[#This Row],[考试日期]])*(表成绩单[历史]&lt;9E+307)*(表成绩单[历史]&gt;表成绩单[[#This Row],[历史]]))+1)</f>
        <v>222</v>
      </c>
      <c r="W2951" s="29" cm="1">
        <f t="array" ref="W2951">IF(表成绩单[[#This Row],[总分]]="","",SUMPRODUCT((表成绩单[考试日期]=表成绩单[[#This Row],[考试日期]])*(表成绩单[总分]&lt;9E+307)*(表成绩单[总分]&gt;表成绩单[[#This Row],[总分]]))+1)</f>
        <v>544</v>
      </c>
    </row>
    <row r="2952" ht="28" customHeight="1" spans="4:23">
      <c r="D2952" s="31">
        <v>46108</v>
      </c>
      <c r="E2952" s="29">
        <v>19177595</v>
      </c>
      <c r="F2952" s="29" t="s">
        <v>58</v>
      </c>
      <c r="G2952" s="29" t="s">
        <v>646</v>
      </c>
      <c r="H2952" s="29">
        <v>99</v>
      </c>
      <c r="I2952" s="29">
        <v>84</v>
      </c>
      <c r="J2952" s="29">
        <v>71.5</v>
      </c>
      <c r="K2952" s="29">
        <v>73</v>
      </c>
      <c r="L2952" s="29">
        <v>54</v>
      </c>
      <c r="M2952" s="29">
        <v>64</v>
      </c>
      <c r="N2952" s="29">
        <v>71</v>
      </c>
      <c r="O2952" s="32">
        <v>516.5</v>
      </c>
      <c r="P2952" s="29" cm="1">
        <f t="array" ref="P2952">IF(表成绩单[[#This Row],[语文]]="","",SUMPRODUCT((表成绩单[考试日期]=表成绩单[[#This Row],[考试日期]])*(表成绩单[语文]&lt;9E+307)*(表成绩单[语文]&gt;表成绩单[[#This Row],[语文]]))+1)</f>
        <v>279</v>
      </c>
      <c r="Q2952" s="29" cm="1">
        <f t="array" ref="Q2952">IF(表成绩单[[#This Row],[数学]]="","",SUMPRODUCT((表成绩单[考试日期]=表成绩单[[#This Row],[考试日期]])*(表成绩单[数学]&lt;9E+307)*(表成绩单[数学]&gt;表成绩单[[#This Row],[数学]]))+1)</f>
        <v>518</v>
      </c>
      <c r="R2952" s="29" cm="1">
        <f t="array" ref="R2952">IF(表成绩单[[#This Row],[英语]]="","",SUMPRODUCT((表成绩单[考试日期]=表成绩单[[#This Row],[考试日期]])*(表成绩单[英语]&lt;9E+307)*(表成绩单[英语]&gt;表成绩单[[#This Row],[英语]]))+1)</f>
        <v>509</v>
      </c>
      <c r="S2952" s="29" cm="1">
        <f t="array" ref="S2952">IF(表成绩单[[#This Row],[物理]]="","",SUMPRODUCT((表成绩单[考试日期]=表成绩单[[#This Row],[考试日期]])*(表成绩单[物理]&lt;9E+307)*(表成绩单[物理]&gt;表成绩单[[#This Row],[物理]]))+1)</f>
        <v>500</v>
      </c>
      <c r="T2952" s="29" cm="1">
        <f t="array" ref="T2952">IF(表成绩单[[#This Row],[化学]]="","",SUMPRODUCT((表成绩单[考试日期]=表成绩单[[#This Row],[考试日期]])*(表成绩单[化学]&lt;9E+307)*(表成绩单[化学]&gt;表成绩单[[#This Row],[化学]]))+1)</f>
        <v>592</v>
      </c>
      <c r="U2952" s="29" cm="1">
        <f t="array" ref="U2952">IF(表成绩单[[#This Row],[政治]]="","",SUMPRODUCT((表成绩单[考试日期]=表成绩单[[#This Row],[考试日期]])*(表成绩单[政治]&lt;9E+307)*(表成绩单[政治]&gt;表成绩单[[#This Row],[政治]]))+1)</f>
        <v>670</v>
      </c>
      <c r="V2952" s="29" cm="1">
        <f t="array" ref="V2952">IF(表成绩单[[#This Row],[历史]]="","",SUMPRODUCT((表成绩单[考试日期]=表成绩单[[#This Row],[考试日期]])*(表成绩单[历史]&lt;9E+307)*(表成绩单[历史]&gt;表成绩单[[#This Row],[历史]]))+1)</f>
        <v>516</v>
      </c>
      <c r="W2952" s="29" cm="1">
        <f t="array" ref="W2952">IF(表成绩单[[#This Row],[总分]]="","",SUMPRODUCT((表成绩单[考试日期]=表成绩单[[#This Row],[考试日期]])*(表成绩单[总分]&lt;9E+307)*(表成绩单[总分]&gt;表成绩单[[#This Row],[总分]]))+1)</f>
        <v>545</v>
      </c>
    </row>
    <row r="2953" ht="28" customHeight="1" spans="4:23">
      <c r="D2953" s="31">
        <v>46108</v>
      </c>
      <c r="E2953" s="29">
        <v>19174448</v>
      </c>
      <c r="F2953" s="29" t="s">
        <v>73</v>
      </c>
      <c r="G2953" s="29" t="s">
        <v>668</v>
      </c>
      <c r="H2953" s="29">
        <v>111</v>
      </c>
      <c r="I2953" s="29">
        <v>78</v>
      </c>
      <c r="J2953" s="29">
        <v>76</v>
      </c>
      <c r="K2953" s="29">
        <v>58</v>
      </c>
      <c r="L2953" s="29">
        <v>51</v>
      </c>
      <c r="M2953" s="29">
        <v>74</v>
      </c>
      <c r="N2953" s="29">
        <v>68</v>
      </c>
      <c r="O2953" s="32">
        <v>516</v>
      </c>
      <c r="P2953" s="29" cm="1">
        <f t="array" ref="P2953">IF(表成绩单[[#This Row],[语文]]="","",SUMPRODUCT((表成绩单[考试日期]=表成绩单[[#This Row],[考试日期]])*(表成绩单[语文]&lt;9E+307)*(表成绩单[语文]&gt;表成绩单[[#This Row],[语文]]))+1)</f>
        <v>18</v>
      </c>
      <c r="Q2953" s="29" cm="1">
        <f t="array" ref="Q2953">IF(表成绩单[[#This Row],[数学]]="","",SUMPRODUCT((表成绩单[考试日期]=表成绩单[[#This Row],[考试日期]])*(表成绩单[数学]&lt;9E+307)*(表成绩单[数学]&gt;表成绩单[[#This Row],[数学]]))+1)</f>
        <v>604</v>
      </c>
      <c r="R2953" s="29" cm="1">
        <f t="array" ref="R2953">IF(表成绩单[[#This Row],[英语]]="","",SUMPRODUCT((表成绩单[考试日期]=表成绩单[[#This Row],[考试日期]])*(表成绩单[英语]&lt;9E+307)*(表成绩单[英语]&gt;表成绩单[[#This Row],[英语]]))+1)</f>
        <v>405</v>
      </c>
      <c r="S2953" s="29" cm="1">
        <f t="array" ref="S2953">IF(表成绩单[[#This Row],[物理]]="","",SUMPRODUCT((表成绩单[考试日期]=表成绩单[[#This Row],[考试日期]])*(表成绩单[物理]&lt;9E+307)*(表成绩单[物理]&gt;表成绩单[[#This Row],[物理]]))+1)</f>
        <v>680</v>
      </c>
      <c r="T2953" s="29" cm="1">
        <f t="array" ref="T2953">IF(表成绩单[[#This Row],[化学]]="","",SUMPRODUCT((表成绩单[考试日期]=表成绩单[[#This Row],[考试日期]])*(表成绩单[化学]&lt;9E+307)*(表成绩单[化学]&gt;表成绩单[[#This Row],[化学]]))+1)</f>
        <v>622</v>
      </c>
      <c r="U2953" s="29" cm="1">
        <f t="array" ref="U2953">IF(表成绩单[[#This Row],[政治]]="","",SUMPRODUCT((表成绩单[考试日期]=表成绩单[[#This Row],[考试日期]])*(表成绩单[政治]&lt;9E+307)*(表成绩单[政治]&gt;表成绩单[[#This Row],[政治]]))+1)</f>
        <v>389</v>
      </c>
      <c r="V2953" s="29" cm="1">
        <f t="array" ref="V2953">IF(表成绩单[[#This Row],[历史]]="","",SUMPRODUCT((表成绩单[考试日期]=表成绩单[[#This Row],[考试日期]])*(表成绩单[历史]&lt;9E+307)*(表成绩单[历史]&gt;表成绩单[[#This Row],[历史]]))+1)</f>
        <v>599</v>
      </c>
      <c r="W2953" s="29" cm="1">
        <f t="array" ref="W2953">IF(表成绩单[[#This Row],[总分]]="","",SUMPRODUCT((表成绩单[考试日期]=表成绩单[[#This Row],[考试日期]])*(表成绩单[总分]&lt;9E+307)*(表成绩单[总分]&gt;表成绩单[[#This Row],[总分]]))+1)</f>
        <v>546</v>
      </c>
    </row>
    <row r="2954" ht="28" customHeight="1" spans="4:23">
      <c r="D2954" s="31">
        <v>46108</v>
      </c>
      <c r="E2954" s="29">
        <v>19173772</v>
      </c>
      <c r="F2954" s="29" t="s">
        <v>65</v>
      </c>
      <c r="G2954" s="29" t="s">
        <v>672</v>
      </c>
      <c r="H2954" s="29">
        <v>88</v>
      </c>
      <c r="I2954" s="29">
        <v>82</v>
      </c>
      <c r="J2954" s="29">
        <v>82</v>
      </c>
      <c r="K2954" s="29">
        <v>61</v>
      </c>
      <c r="L2954" s="29">
        <v>58</v>
      </c>
      <c r="M2954" s="29">
        <v>73</v>
      </c>
      <c r="N2954" s="29">
        <v>71</v>
      </c>
      <c r="O2954" s="32">
        <v>515</v>
      </c>
      <c r="P2954" s="29" cm="1">
        <f t="array" ref="P2954">IF(表成绩单[[#This Row],[语文]]="","",SUMPRODUCT((表成绩单[考试日期]=表成绩单[[#This Row],[考试日期]])*(表成绩单[语文]&lt;9E+307)*(表成绩单[语文]&gt;表成绩单[[#This Row],[语文]]))+1)</f>
        <v>575</v>
      </c>
      <c r="Q2954" s="29" cm="1">
        <f t="array" ref="Q2954">IF(表成绩单[[#This Row],[数学]]="","",SUMPRODUCT((表成绩单[考试日期]=表成绩单[[#This Row],[考试日期]])*(表成绩单[数学]&lt;9E+307)*(表成绩单[数学]&gt;表成绩单[[#This Row],[数学]]))+1)</f>
        <v>555</v>
      </c>
      <c r="R2954" s="29" cm="1">
        <f t="array" ref="R2954">IF(表成绩单[[#This Row],[英语]]="","",SUMPRODUCT((表成绩单[考试日期]=表成绩单[[#This Row],[考试日期]])*(表成绩单[英语]&lt;9E+307)*(表成绩单[英语]&gt;表成绩单[[#This Row],[英语]]))+1)</f>
        <v>180</v>
      </c>
      <c r="S2954" s="29" cm="1">
        <f t="array" ref="S2954">IF(表成绩单[[#This Row],[物理]]="","",SUMPRODUCT((表成绩单[考试日期]=表成绩单[[#This Row],[考试日期]])*(表成绩单[物理]&lt;9E+307)*(表成绩单[物理]&gt;表成绩单[[#This Row],[物理]]))+1)</f>
        <v>655</v>
      </c>
      <c r="T2954" s="29" cm="1">
        <f t="array" ref="T2954">IF(表成绩单[[#This Row],[化学]]="","",SUMPRODUCT((表成绩单[考试日期]=表成绩单[[#This Row],[考试日期]])*(表成绩单[化学]&lt;9E+307)*(表成绩单[化学]&gt;表成绩单[[#This Row],[化学]]))+1)</f>
        <v>532</v>
      </c>
      <c r="U2954" s="29" cm="1">
        <f t="array" ref="U2954">IF(表成绩单[[#This Row],[政治]]="","",SUMPRODUCT((表成绩单[考试日期]=表成绩单[[#This Row],[考试日期]])*(表成绩单[政治]&lt;9E+307)*(表成绩单[政治]&gt;表成绩单[[#This Row],[政治]]))+1)</f>
        <v>431</v>
      </c>
      <c r="V2954" s="29" cm="1">
        <f t="array" ref="V2954">IF(表成绩单[[#This Row],[历史]]="","",SUMPRODUCT((表成绩单[考试日期]=表成绩单[[#This Row],[考试日期]])*(表成绩单[历史]&lt;9E+307)*(表成绩单[历史]&gt;表成绩单[[#This Row],[历史]]))+1)</f>
        <v>516</v>
      </c>
      <c r="W2954" s="29" cm="1">
        <f t="array" ref="W2954">IF(表成绩单[[#This Row],[总分]]="","",SUMPRODUCT((表成绩单[考试日期]=表成绩单[[#This Row],[考试日期]])*(表成绩单[总分]&lt;9E+307)*(表成绩单[总分]&gt;表成绩单[[#This Row],[总分]]))+1)</f>
        <v>547</v>
      </c>
    </row>
    <row r="2955" ht="28" customHeight="1" spans="4:23">
      <c r="D2955" s="31">
        <v>46108</v>
      </c>
      <c r="E2955" s="29">
        <v>19174776</v>
      </c>
      <c r="F2955" s="29" t="s">
        <v>69</v>
      </c>
      <c r="G2955" s="29" t="s">
        <v>586</v>
      </c>
      <c r="H2955" s="29">
        <v>95</v>
      </c>
      <c r="I2955" s="29">
        <v>92</v>
      </c>
      <c r="J2955" s="29">
        <v>66</v>
      </c>
      <c r="K2955" s="29">
        <v>76</v>
      </c>
      <c r="L2955" s="29">
        <v>52</v>
      </c>
      <c r="M2955" s="29">
        <v>70</v>
      </c>
      <c r="N2955" s="29">
        <v>64</v>
      </c>
      <c r="O2955" s="32">
        <v>515</v>
      </c>
      <c r="P2955" s="29" cm="1">
        <f t="array" ref="P2955">IF(表成绩单[[#This Row],[语文]]="","",SUMPRODUCT((表成绩单[考试日期]=表成绩单[[#This Row],[考试日期]])*(表成绩单[语文]&lt;9E+307)*(表成绩单[语文]&gt;表成绩单[[#This Row],[语文]]))+1)</f>
        <v>422</v>
      </c>
      <c r="Q2955" s="29" cm="1">
        <f t="array" ref="Q2955">IF(表成绩单[[#This Row],[数学]]="","",SUMPRODUCT((表成绩单[考试日期]=表成绩单[[#This Row],[考试日期]])*(表成绩单[数学]&lt;9E+307)*(表成绩单[数学]&gt;表成绩单[[#This Row],[数学]]))+1)</f>
        <v>312</v>
      </c>
      <c r="R2955" s="29" cm="1">
        <f t="array" ref="R2955">IF(表成绩单[[#This Row],[英语]]="","",SUMPRODUCT((表成绩单[考试日期]=表成绩单[[#This Row],[考试日期]])*(表成绩单[英语]&lt;9E+307)*(表成绩单[英语]&gt;表成绩单[[#This Row],[英语]]))+1)</f>
        <v>593</v>
      </c>
      <c r="S2955" s="29" cm="1">
        <f t="array" ref="S2955">IF(表成绩单[[#This Row],[物理]]="","",SUMPRODUCT((表成绩单[考试日期]=表成绩单[[#This Row],[考试日期]])*(表成绩单[物理]&lt;9E+307)*(表成绩单[物理]&gt;表成绩单[[#This Row],[物理]]))+1)</f>
        <v>433</v>
      </c>
      <c r="T2955" s="29" cm="1">
        <f t="array" ref="T2955">IF(表成绩单[[#This Row],[化学]]="","",SUMPRODUCT((表成绩单[考试日期]=表成绩单[[#This Row],[考试日期]])*(表成绩单[化学]&lt;9E+307)*(表成绩单[化学]&gt;表成绩单[[#This Row],[化学]]))+1)</f>
        <v>612</v>
      </c>
      <c r="U2955" s="29" cm="1">
        <f t="array" ref="U2955">IF(表成绩单[[#This Row],[政治]]="","",SUMPRODUCT((表成绩单[考试日期]=表成绩单[[#This Row],[考试日期]])*(表成绩单[政治]&lt;9E+307)*(表成绩单[政治]&gt;表成绩单[[#This Row],[政治]]))+1)</f>
        <v>548</v>
      </c>
      <c r="V2955" s="29" cm="1">
        <f t="array" ref="V2955">IF(表成绩单[[#This Row],[历史]]="","",SUMPRODUCT((表成绩单[考试日期]=表成绩单[[#This Row],[考试日期]])*(表成绩单[历史]&lt;9E+307)*(表成绩单[历史]&gt;表成绩单[[#This Row],[历史]]))+1)</f>
        <v>666</v>
      </c>
      <c r="W2955" s="29" cm="1">
        <f t="array" ref="W2955">IF(表成绩单[[#This Row],[总分]]="","",SUMPRODUCT((表成绩单[考试日期]=表成绩单[[#This Row],[考试日期]])*(表成绩单[总分]&lt;9E+307)*(表成绩单[总分]&gt;表成绩单[[#This Row],[总分]]))+1)</f>
        <v>547</v>
      </c>
    </row>
    <row r="2956" ht="28" customHeight="1" spans="4:23">
      <c r="D2956" s="31">
        <v>46108</v>
      </c>
      <c r="E2956" s="29">
        <v>19177596</v>
      </c>
      <c r="F2956" s="29" t="s">
        <v>58</v>
      </c>
      <c r="G2956" s="29" t="s">
        <v>703</v>
      </c>
      <c r="H2956" s="29">
        <v>96</v>
      </c>
      <c r="I2956" s="29">
        <v>80</v>
      </c>
      <c r="J2956" s="29">
        <v>63</v>
      </c>
      <c r="K2956" s="29">
        <v>73</v>
      </c>
      <c r="L2956" s="29">
        <v>56</v>
      </c>
      <c r="M2956" s="29">
        <v>69</v>
      </c>
      <c r="N2956" s="29">
        <v>77</v>
      </c>
      <c r="O2956" s="32">
        <v>514</v>
      </c>
      <c r="P2956" s="29" cm="1">
        <f t="array" ref="P2956">IF(表成绩单[[#This Row],[语文]]="","",SUMPRODUCT((表成绩单[考试日期]=表成绩单[[#This Row],[考试日期]])*(表成绩单[语文]&lt;9E+307)*(表成绩单[语文]&gt;表成绩单[[#This Row],[语文]]))+1)</f>
        <v>390</v>
      </c>
      <c r="Q2956" s="29" cm="1">
        <f t="array" ref="Q2956">IF(表成绩单[[#This Row],[数学]]="","",SUMPRODUCT((表成绩单[考试日期]=表成绩单[[#This Row],[考试日期]])*(表成绩单[数学]&lt;9E+307)*(表成绩单[数学]&gt;表成绩单[[#This Row],[数学]]))+1)</f>
        <v>578</v>
      </c>
      <c r="R2956" s="29" cm="1">
        <f t="array" ref="R2956">IF(表成绩单[[#This Row],[英语]]="","",SUMPRODUCT((表成绩单[考试日期]=表成绩单[[#This Row],[考试日期]])*(表成绩单[英语]&lt;9E+307)*(表成绩单[英语]&gt;表成绩单[[#This Row],[英语]]))+1)</f>
        <v>627</v>
      </c>
      <c r="S2956" s="29" cm="1">
        <f t="array" ref="S2956">IF(表成绩单[[#This Row],[物理]]="","",SUMPRODUCT((表成绩单[考试日期]=表成绩单[[#This Row],[考试日期]])*(表成绩单[物理]&lt;9E+307)*(表成绩单[物理]&gt;表成绩单[[#This Row],[物理]]))+1)</f>
        <v>500</v>
      </c>
      <c r="T2956" s="29" cm="1">
        <f t="array" ref="T2956">IF(表成绩单[[#This Row],[化学]]="","",SUMPRODUCT((表成绩单[考试日期]=表成绩单[[#This Row],[考试日期]])*(表成绩单[化学]&lt;9E+307)*(表成绩单[化学]&gt;表成绩单[[#This Row],[化学]]))+1)</f>
        <v>569</v>
      </c>
      <c r="U2956" s="29" cm="1">
        <f t="array" ref="U2956">IF(表成绩单[[#This Row],[政治]]="","",SUMPRODUCT((表成绩单[考试日期]=表成绩单[[#This Row],[考试日期]])*(表成绩单[政治]&lt;9E+307)*(表成绩单[政治]&gt;表成绩单[[#This Row],[政治]]))+1)</f>
        <v>567</v>
      </c>
      <c r="V2956" s="29" cm="1">
        <f t="array" ref="V2956">IF(表成绩单[[#This Row],[历史]]="","",SUMPRODUCT((表成绩单[考试日期]=表成绩单[[#This Row],[考试日期]])*(表成绩单[历史]&lt;9E+307)*(表成绩单[历史]&gt;表成绩单[[#This Row],[历史]]))+1)</f>
        <v>269</v>
      </c>
      <c r="W2956" s="29" cm="1">
        <f t="array" ref="W2956">IF(表成绩单[[#This Row],[总分]]="","",SUMPRODUCT((表成绩单[考试日期]=表成绩单[[#This Row],[考试日期]])*(表成绩单[总分]&lt;9E+307)*(表成绩单[总分]&gt;表成绩单[[#This Row],[总分]]))+1)</f>
        <v>549</v>
      </c>
    </row>
    <row r="2957" ht="28" customHeight="1" spans="4:23">
      <c r="D2957" s="31">
        <v>46108</v>
      </c>
      <c r="E2957" s="29">
        <v>19178584</v>
      </c>
      <c r="F2957" s="29" t="s">
        <v>64</v>
      </c>
      <c r="G2957" s="29" t="s">
        <v>558</v>
      </c>
      <c r="H2957" s="29">
        <v>97</v>
      </c>
      <c r="I2957" s="29">
        <v>78</v>
      </c>
      <c r="J2957" s="29">
        <v>68</v>
      </c>
      <c r="K2957" s="29">
        <v>66</v>
      </c>
      <c r="L2957" s="29">
        <v>66</v>
      </c>
      <c r="M2957" s="29">
        <v>72</v>
      </c>
      <c r="N2957" s="29">
        <v>67</v>
      </c>
      <c r="O2957" s="32">
        <v>514</v>
      </c>
      <c r="P2957" s="29" cm="1">
        <f t="array" ref="P2957">IF(表成绩单[[#This Row],[语文]]="","",SUMPRODUCT((表成绩单[考试日期]=表成绩单[[#This Row],[考试日期]])*(表成绩单[语文]&lt;9E+307)*(表成绩单[语文]&gt;表成绩单[[#This Row],[语文]]))+1)</f>
        <v>357</v>
      </c>
      <c r="Q2957" s="29" cm="1">
        <f t="array" ref="Q2957">IF(表成绩单[[#This Row],[数学]]="","",SUMPRODUCT((表成绩单[考试日期]=表成绩单[[#This Row],[考试日期]])*(表成绩单[数学]&lt;9E+307)*(表成绩单[数学]&gt;表成绩单[[#This Row],[数学]]))+1)</f>
        <v>604</v>
      </c>
      <c r="R2957" s="29" cm="1">
        <f t="array" ref="R2957">IF(表成绩单[[#This Row],[英语]]="","",SUMPRODUCT((表成绩单[考试日期]=表成绩单[[#This Row],[考试日期]])*(表成绩单[英语]&lt;9E+307)*(表成绩单[英语]&gt;表成绩单[[#This Row],[英语]]))+1)</f>
        <v>568</v>
      </c>
      <c r="S2957" s="29" cm="1">
        <f t="array" ref="S2957">IF(表成绩单[[#This Row],[物理]]="","",SUMPRODUCT((表成绩单[考试日期]=表成绩单[[#This Row],[考试日期]])*(表成绩单[物理]&lt;9E+307)*(表成绩单[物理]&gt;表成绩单[[#This Row],[物理]]))+1)</f>
        <v>608</v>
      </c>
      <c r="T2957" s="29" cm="1">
        <f t="array" ref="T2957">IF(表成绩单[[#This Row],[化学]]="","",SUMPRODUCT((表成绩单[考试日期]=表成绩单[[#This Row],[考试日期]])*(表成绩单[化学]&lt;9E+307)*(表成绩单[化学]&gt;表成绩单[[#This Row],[化学]]))+1)</f>
        <v>359</v>
      </c>
      <c r="U2957" s="29" cm="1">
        <f t="array" ref="U2957">IF(表成绩单[[#This Row],[政治]]="","",SUMPRODUCT((表成绩单[考试日期]=表成绩单[[#This Row],[考试日期]])*(表成绩单[政治]&lt;9E+307)*(表成绩单[政治]&gt;表成绩单[[#This Row],[政治]]))+1)</f>
        <v>470</v>
      </c>
      <c r="V2957" s="29" cm="1">
        <f t="array" ref="V2957">IF(表成绩单[[#This Row],[历史]]="","",SUMPRODUCT((表成绩单[考试日期]=表成绩单[[#This Row],[考试日期]])*(表成绩单[历史]&lt;9E+307)*(表成绩单[历史]&gt;表成绩单[[#This Row],[历史]]))+1)</f>
        <v>623</v>
      </c>
      <c r="W2957" s="29" cm="1">
        <f t="array" ref="W2957">IF(表成绩单[[#This Row],[总分]]="","",SUMPRODUCT((表成绩单[考试日期]=表成绩单[[#This Row],[考试日期]])*(表成绩单[总分]&lt;9E+307)*(表成绩单[总分]&gt;表成绩单[[#This Row],[总分]]))+1)</f>
        <v>549</v>
      </c>
    </row>
    <row r="2958" ht="28" customHeight="1" spans="4:23">
      <c r="D2958" s="31">
        <v>46108</v>
      </c>
      <c r="E2958" s="29">
        <v>19176010</v>
      </c>
      <c r="F2958" s="29" t="s">
        <v>59</v>
      </c>
      <c r="G2958" s="29" t="s">
        <v>724</v>
      </c>
      <c r="H2958" s="29">
        <v>95</v>
      </c>
      <c r="I2958" s="29">
        <v>89</v>
      </c>
      <c r="J2958" s="29">
        <v>66.5</v>
      </c>
      <c r="K2958" s="29">
        <v>70</v>
      </c>
      <c r="L2958" s="29">
        <v>53</v>
      </c>
      <c r="M2958" s="29">
        <v>62</v>
      </c>
      <c r="N2958" s="29">
        <v>78</v>
      </c>
      <c r="O2958" s="32">
        <v>513.5</v>
      </c>
      <c r="P2958" s="29" cm="1">
        <f t="array" ref="P2958">IF(表成绩单[[#This Row],[语文]]="","",SUMPRODUCT((表成绩单[考试日期]=表成绩单[[#This Row],[考试日期]])*(表成绩单[语文]&lt;9E+307)*(表成绩单[语文]&gt;表成绩单[[#This Row],[语文]]))+1)</f>
        <v>422</v>
      </c>
      <c r="Q2958" s="29" cm="1">
        <f t="array" ref="Q2958">IF(表成绩单[[#This Row],[数学]]="","",SUMPRODUCT((表成绩单[考试日期]=表成绩单[[#This Row],[考试日期]])*(表成绩单[数学]&lt;9E+307)*(表成绩单[数学]&gt;表成绩单[[#This Row],[数学]]))+1)</f>
        <v>402</v>
      </c>
      <c r="R2958" s="29" cm="1">
        <f t="array" ref="R2958">IF(表成绩单[[#This Row],[英语]]="","",SUMPRODUCT((表成绩单[考试日期]=表成绩单[[#This Row],[考试日期]])*(表成绩单[英语]&lt;9E+307)*(表成绩单[英语]&gt;表成绩单[[#This Row],[英语]]))+1)</f>
        <v>584</v>
      </c>
      <c r="S2958" s="29" cm="1">
        <f t="array" ref="S2958">IF(表成绩单[[#This Row],[物理]]="","",SUMPRODUCT((表成绩单[考试日期]=表成绩单[[#This Row],[考试日期]])*(表成绩单[物理]&lt;9E+307)*(表成绩单[物理]&gt;表成绩单[[#This Row],[物理]]))+1)</f>
        <v>549</v>
      </c>
      <c r="T2958" s="29" cm="1">
        <f t="array" ref="T2958">IF(表成绩单[[#This Row],[化学]]="","",SUMPRODUCT((表成绩单[考试日期]=表成绩单[[#This Row],[考试日期]])*(表成绩单[化学]&lt;9E+307)*(表成绩单[化学]&gt;表成绩单[[#This Row],[化学]]))+1)</f>
        <v>601</v>
      </c>
      <c r="U2958" s="29" cm="1">
        <f t="array" ref="U2958">IF(表成绩单[[#This Row],[政治]]="","",SUMPRODUCT((表成绩单[考试日期]=表成绩单[[#This Row],[考试日期]])*(表成绩单[政治]&lt;9E+307)*(表成绩单[政治]&gt;表成绩单[[#This Row],[政治]]))+1)</f>
        <v>692</v>
      </c>
      <c r="V2958" s="29" cm="1">
        <f t="array" ref="V2958">IF(表成绩单[[#This Row],[历史]]="","",SUMPRODUCT((表成绩单[考试日期]=表成绩单[[#This Row],[考试日期]])*(表成绩单[历史]&lt;9E+307)*(表成绩单[历史]&gt;表成绩单[[#This Row],[历史]]))+1)</f>
        <v>222</v>
      </c>
      <c r="W2958" s="29" cm="1">
        <f t="array" ref="W2958">IF(表成绩单[[#This Row],[总分]]="","",SUMPRODUCT((表成绩单[考试日期]=表成绩单[[#This Row],[考试日期]])*(表成绩单[总分]&lt;9E+307)*(表成绩单[总分]&gt;表成绩单[[#This Row],[总分]]))+1)</f>
        <v>551</v>
      </c>
    </row>
    <row r="2959" ht="28" customHeight="1" spans="4:23">
      <c r="D2959" s="31">
        <v>46108</v>
      </c>
      <c r="E2959" s="29">
        <v>19177606</v>
      </c>
      <c r="F2959" s="29" t="s">
        <v>58</v>
      </c>
      <c r="G2959" s="29" t="s">
        <v>649</v>
      </c>
      <c r="H2959" s="29">
        <v>94</v>
      </c>
      <c r="I2959" s="29">
        <v>73</v>
      </c>
      <c r="J2959" s="29">
        <v>68.5</v>
      </c>
      <c r="K2959" s="29">
        <v>74</v>
      </c>
      <c r="L2959" s="29">
        <v>54</v>
      </c>
      <c r="M2959" s="29">
        <v>73</v>
      </c>
      <c r="N2959" s="29">
        <v>77</v>
      </c>
      <c r="O2959" s="32">
        <v>513.5</v>
      </c>
      <c r="P2959" s="29" cm="1">
        <f t="array" ref="P2959">IF(表成绩单[[#This Row],[语文]]="","",SUMPRODUCT((表成绩单[考试日期]=表成绩单[[#This Row],[考试日期]])*(表成绩单[语文]&lt;9E+307)*(表成绩单[语文]&gt;表成绩单[[#This Row],[语文]]))+1)</f>
        <v>449</v>
      </c>
      <c r="Q2959" s="29" cm="1">
        <f t="array" ref="Q2959">IF(表成绩单[[#This Row],[数学]]="","",SUMPRODUCT((表成绩单[考试日期]=表成绩单[[#This Row],[考试日期]])*(表成绩单[数学]&lt;9E+307)*(表成绩单[数学]&gt;表成绩单[[#This Row],[数学]]))+1)</f>
        <v>643</v>
      </c>
      <c r="R2959" s="29" cm="1">
        <f t="array" ref="R2959">IF(表成绩单[[#This Row],[英语]]="","",SUMPRODUCT((表成绩单[考试日期]=表成绩单[[#This Row],[考试日期]])*(表成绩单[英语]&lt;9E+307)*(表成绩单[英语]&gt;表成绩单[[#This Row],[英语]]))+1)</f>
        <v>564</v>
      </c>
      <c r="S2959" s="29" cm="1">
        <f t="array" ref="S2959">IF(表成绩单[[#This Row],[物理]]="","",SUMPRODUCT((表成绩单[考试日期]=表成绩单[[#This Row],[考试日期]])*(表成绩单[物理]&lt;9E+307)*(表成绩单[物理]&gt;表成绩单[[#This Row],[物理]]))+1)</f>
        <v>472</v>
      </c>
      <c r="T2959" s="29" cm="1">
        <f t="array" ref="T2959">IF(表成绩单[[#This Row],[化学]]="","",SUMPRODUCT((表成绩单[考试日期]=表成绩单[[#This Row],[考试日期]])*(表成绩单[化学]&lt;9E+307)*(表成绩单[化学]&gt;表成绩单[[#This Row],[化学]]))+1)</f>
        <v>592</v>
      </c>
      <c r="U2959" s="29" cm="1">
        <f t="array" ref="U2959">IF(表成绩单[[#This Row],[政治]]="","",SUMPRODUCT((表成绩单[考试日期]=表成绩单[[#This Row],[考试日期]])*(表成绩单[政治]&lt;9E+307)*(表成绩单[政治]&gt;表成绩单[[#This Row],[政治]]))+1)</f>
        <v>431</v>
      </c>
      <c r="V2959" s="29" cm="1">
        <f t="array" ref="V2959">IF(表成绩单[[#This Row],[历史]]="","",SUMPRODUCT((表成绩单[考试日期]=表成绩单[[#This Row],[考试日期]])*(表成绩单[历史]&lt;9E+307)*(表成绩单[历史]&gt;表成绩单[[#This Row],[历史]]))+1)</f>
        <v>269</v>
      </c>
      <c r="W2959" s="29" cm="1">
        <f t="array" ref="W2959">IF(表成绩单[[#This Row],[总分]]="","",SUMPRODUCT((表成绩单[考试日期]=表成绩单[[#This Row],[考试日期]])*(表成绩单[总分]&lt;9E+307)*(表成绩单[总分]&gt;表成绩单[[#This Row],[总分]]))+1)</f>
        <v>551</v>
      </c>
    </row>
    <row r="2960" ht="28" customHeight="1" spans="4:23">
      <c r="D2960" s="31">
        <v>46108</v>
      </c>
      <c r="E2960" s="29">
        <v>19175324</v>
      </c>
      <c r="F2960" s="29" t="s">
        <v>55</v>
      </c>
      <c r="G2960" s="29" t="s">
        <v>674</v>
      </c>
      <c r="H2960" s="29">
        <v>102</v>
      </c>
      <c r="I2960" s="29">
        <v>69</v>
      </c>
      <c r="J2960" s="29">
        <v>71</v>
      </c>
      <c r="K2960" s="29">
        <v>60</v>
      </c>
      <c r="L2960" s="29">
        <v>48</v>
      </c>
      <c r="M2960" s="29">
        <v>80</v>
      </c>
      <c r="N2960" s="29">
        <v>83</v>
      </c>
      <c r="O2960" s="32">
        <v>513</v>
      </c>
      <c r="P2960" s="29" cm="1">
        <f t="array" ref="P2960">IF(表成绩单[[#This Row],[语文]]="","",SUMPRODUCT((表成绩单[考试日期]=表成绩单[[#This Row],[考试日期]])*(表成绩单[语文]&lt;9E+307)*(表成绩单[语文]&gt;表成绩单[[#This Row],[语文]]))+1)</f>
        <v>183</v>
      </c>
      <c r="Q2960" s="29" cm="1">
        <f t="array" ref="Q2960">IF(表成绩单[[#This Row],[数学]]="","",SUMPRODUCT((表成绩单[考试日期]=表成绩单[[#This Row],[考试日期]])*(表成绩单[数学]&lt;9E+307)*(表成绩单[数学]&gt;表成绩单[[#This Row],[数学]]))+1)</f>
        <v>663</v>
      </c>
      <c r="R2960" s="29" cm="1">
        <f t="array" ref="R2960">IF(表成绩单[[#This Row],[英语]]="","",SUMPRODUCT((表成绩单[考试日期]=表成绩单[[#This Row],[考试日期]])*(表成绩单[英语]&lt;9E+307)*(表成绩单[英语]&gt;表成绩单[[#This Row],[英语]]))+1)</f>
        <v>522</v>
      </c>
      <c r="S2960" s="29" cm="1">
        <f t="array" ref="S2960">IF(表成绩单[[#This Row],[物理]]="","",SUMPRODUCT((表成绩单[考试日期]=表成绩单[[#This Row],[考试日期]])*(表成绩单[物理]&lt;9E+307)*(表成绩单[物理]&gt;表成绩单[[#This Row],[物理]]))+1)</f>
        <v>662</v>
      </c>
      <c r="T2960" s="29" cm="1">
        <f t="array" ref="T2960">IF(表成绩单[[#This Row],[化学]]="","",SUMPRODUCT((表成绩单[考试日期]=表成绩单[[#This Row],[考试日期]])*(表成绩单[化学]&lt;9E+307)*(表成绩单[化学]&gt;表成绩单[[#This Row],[化学]]))+1)</f>
        <v>654</v>
      </c>
      <c r="U2960" s="29" cm="1">
        <f t="array" ref="U2960">IF(表成绩单[[#This Row],[政治]]="","",SUMPRODUCT((表成绩单[考试日期]=表成绩单[[#This Row],[考试日期]])*(表成绩单[政治]&lt;9E+307)*(表成绩单[政治]&gt;表成绩单[[#This Row],[政治]]))+1)</f>
        <v>98</v>
      </c>
      <c r="V2960" s="29" cm="1">
        <f t="array" ref="V2960">IF(表成绩单[[#This Row],[历史]]="","",SUMPRODUCT((表成绩单[考试日期]=表成绩单[[#This Row],[考试日期]])*(表成绩单[历史]&lt;9E+307)*(表成绩单[历史]&gt;表成绩单[[#This Row],[历史]]))+1)</f>
        <v>60</v>
      </c>
      <c r="W2960" s="29" cm="1">
        <f t="array" ref="W2960">IF(表成绩单[[#This Row],[总分]]="","",SUMPRODUCT((表成绩单[考试日期]=表成绩单[[#This Row],[考试日期]])*(表成绩单[总分]&lt;9E+307)*(表成绩单[总分]&gt;表成绩单[[#This Row],[总分]]))+1)</f>
        <v>553</v>
      </c>
    </row>
    <row r="2961" ht="28" customHeight="1" spans="4:23">
      <c r="D2961" s="31">
        <v>46108</v>
      </c>
      <c r="E2961" s="29">
        <v>19173257</v>
      </c>
      <c r="F2961" s="29" t="s">
        <v>61</v>
      </c>
      <c r="G2961" s="29" t="s">
        <v>502</v>
      </c>
      <c r="H2961" s="29">
        <v>79</v>
      </c>
      <c r="I2961" s="29">
        <v>81</v>
      </c>
      <c r="J2961" s="29">
        <v>80.5</v>
      </c>
      <c r="K2961" s="29">
        <v>71</v>
      </c>
      <c r="L2961" s="29">
        <v>56</v>
      </c>
      <c r="M2961" s="29">
        <v>68</v>
      </c>
      <c r="N2961" s="29">
        <v>77</v>
      </c>
      <c r="O2961" s="32">
        <v>512.5</v>
      </c>
      <c r="P2961" s="29" cm="1">
        <f t="array" ref="P2961">IF(表成绩单[[#This Row],[语文]]="","",SUMPRODUCT((表成绩单[考试日期]=表成绩单[[#This Row],[考试日期]])*(表成绩单[语文]&lt;9E+307)*(表成绩单[语文]&gt;表成绩单[[#This Row],[语文]]))+1)</f>
        <v>690</v>
      </c>
      <c r="Q2961" s="29" cm="1">
        <f t="array" ref="Q2961">IF(表成绩单[[#This Row],[数学]]="","",SUMPRODUCT((表成绩单[考试日期]=表成绩单[[#This Row],[考试日期]])*(表成绩单[数学]&lt;9E+307)*(表成绩单[数学]&gt;表成绩单[[#This Row],[数学]]))+1)</f>
        <v>563</v>
      </c>
      <c r="R2961" s="29" cm="1">
        <f t="array" ref="R2961">IF(表成绩单[[#This Row],[英语]]="","",SUMPRODUCT((表成绩单[考试日期]=表成绩单[[#This Row],[考试日期]])*(表成绩单[英语]&lt;9E+307)*(表成绩单[英语]&gt;表成绩单[[#This Row],[英语]]))+1)</f>
        <v>244</v>
      </c>
      <c r="S2961" s="29" cm="1">
        <f t="array" ref="S2961">IF(表成绩单[[#This Row],[物理]]="","",SUMPRODUCT((表成绩单[考试日期]=表成绩单[[#This Row],[考试日期]])*(表成绩单[物理]&lt;9E+307)*(表成绩单[物理]&gt;表成绩单[[#This Row],[物理]]))+1)</f>
        <v>536</v>
      </c>
      <c r="T2961" s="29" cm="1">
        <f t="array" ref="T2961">IF(表成绩单[[#This Row],[化学]]="","",SUMPRODUCT((表成绩单[考试日期]=表成绩单[[#This Row],[考试日期]])*(表成绩单[化学]&lt;9E+307)*(表成绩单[化学]&gt;表成绩单[[#This Row],[化学]]))+1)</f>
        <v>569</v>
      </c>
      <c r="U2961" s="29" cm="1">
        <f t="array" ref="U2961">IF(表成绩单[[#This Row],[政治]]="","",SUMPRODUCT((表成绩单[考试日期]=表成绩单[[#This Row],[考试日期]])*(表成绩单[政治]&lt;9E+307)*(表成绩单[政治]&gt;表成绩单[[#This Row],[政治]]))+1)</f>
        <v>596</v>
      </c>
      <c r="V2961" s="29" cm="1">
        <f t="array" ref="V2961">IF(表成绩单[[#This Row],[历史]]="","",SUMPRODUCT((表成绩单[考试日期]=表成绩单[[#This Row],[考试日期]])*(表成绩单[历史]&lt;9E+307)*(表成绩单[历史]&gt;表成绩单[[#This Row],[历史]]))+1)</f>
        <v>269</v>
      </c>
      <c r="W2961" s="29" cm="1">
        <f t="array" ref="W2961">IF(表成绩单[[#This Row],[总分]]="","",SUMPRODUCT((表成绩单[考试日期]=表成绩单[[#This Row],[考试日期]])*(表成绩单[总分]&lt;9E+307)*(表成绩单[总分]&gt;表成绩单[[#This Row],[总分]]))+1)</f>
        <v>554</v>
      </c>
    </row>
    <row r="2962" ht="28" customHeight="1" spans="4:23">
      <c r="D2962" s="31">
        <v>46108</v>
      </c>
      <c r="E2962" s="29">
        <v>19174456</v>
      </c>
      <c r="F2962" s="29" t="s">
        <v>73</v>
      </c>
      <c r="G2962" s="29" t="s">
        <v>591</v>
      </c>
      <c r="H2962" s="29">
        <v>79</v>
      </c>
      <c r="I2962" s="29">
        <v>86</v>
      </c>
      <c r="J2962" s="29">
        <v>81.5</v>
      </c>
      <c r="K2962" s="29">
        <v>74</v>
      </c>
      <c r="L2962" s="29">
        <v>57</v>
      </c>
      <c r="M2962" s="29">
        <v>64</v>
      </c>
      <c r="N2962" s="29">
        <v>71</v>
      </c>
      <c r="O2962" s="32">
        <v>512.5</v>
      </c>
      <c r="P2962" s="29" cm="1">
        <f t="array" ref="P2962">IF(表成绩单[[#This Row],[语文]]="","",SUMPRODUCT((表成绩单[考试日期]=表成绩单[[#This Row],[考试日期]])*(表成绩单[语文]&lt;9E+307)*(表成绩单[语文]&gt;表成绩单[[#This Row],[语文]]))+1)</f>
        <v>690</v>
      </c>
      <c r="Q2962" s="29" cm="1">
        <f t="array" ref="Q2962">IF(表成绩单[[#This Row],[数学]]="","",SUMPRODUCT((表成绩单[考试日期]=表成绩单[[#This Row],[考试日期]])*(表成绩单[数学]&lt;9E+307)*(表成绩单[数学]&gt;表成绩单[[#This Row],[数学]]))+1)</f>
        <v>479</v>
      </c>
      <c r="R2962" s="29" cm="1">
        <f t="array" ref="R2962">IF(表成绩单[[#This Row],[英语]]="","",SUMPRODUCT((表成绩单[考试日期]=表成绩单[[#This Row],[考试日期]])*(表成绩单[英语]&lt;9E+307)*(表成绩单[英语]&gt;表成绩单[[#This Row],[英语]]))+1)</f>
        <v>203</v>
      </c>
      <c r="S2962" s="29" cm="1">
        <f t="array" ref="S2962">IF(表成绩单[[#This Row],[物理]]="","",SUMPRODUCT((表成绩单[考试日期]=表成绩单[[#This Row],[考试日期]])*(表成绩单[物理]&lt;9E+307)*(表成绩单[物理]&gt;表成绩单[[#This Row],[物理]]))+1)</f>
        <v>472</v>
      </c>
      <c r="T2962" s="29" cm="1">
        <f t="array" ref="T2962">IF(表成绩单[[#This Row],[化学]]="","",SUMPRODUCT((表成绩单[考试日期]=表成绩单[[#This Row],[考试日期]])*(表成绩单[化学]&lt;9E+307)*(表成绩单[化学]&gt;表成绩单[[#This Row],[化学]]))+1)</f>
        <v>552</v>
      </c>
      <c r="U2962" s="29" cm="1">
        <f t="array" ref="U2962">IF(表成绩单[[#This Row],[政治]]="","",SUMPRODUCT((表成绩单[考试日期]=表成绩单[[#This Row],[考试日期]])*(表成绩单[政治]&lt;9E+307)*(表成绩单[政治]&gt;表成绩单[[#This Row],[政治]]))+1)</f>
        <v>670</v>
      </c>
      <c r="V2962" s="29" cm="1">
        <f t="array" ref="V2962">IF(表成绩单[[#This Row],[历史]]="","",SUMPRODUCT((表成绩单[考试日期]=表成绩单[[#This Row],[考试日期]])*(表成绩单[历史]&lt;9E+307)*(表成绩单[历史]&gt;表成绩单[[#This Row],[历史]]))+1)</f>
        <v>516</v>
      </c>
      <c r="W2962" s="29" cm="1">
        <f t="array" ref="W2962">IF(表成绩单[[#This Row],[总分]]="","",SUMPRODUCT((表成绩单[考试日期]=表成绩单[[#This Row],[考试日期]])*(表成绩单[总分]&lt;9E+307)*(表成绩单[总分]&gt;表成绩单[[#This Row],[总分]]))+1)</f>
        <v>554</v>
      </c>
    </row>
    <row r="2963" ht="28" customHeight="1" spans="4:23">
      <c r="D2963" s="31">
        <v>46108</v>
      </c>
      <c r="E2963" s="29">
        <v>19174737</v>
      </c>
      <c r="F2963" s="29" t="s">
        <v>64</v>
      </c>
      <c r="G2963" s="29" t="s">
        <v>626</v>
      </c>
      <c r="H2963" s="29">
        <v>85</v>
      </c>
      <c r="I2963" s="29">
        <v>97</v>
      </c>
      <c r="J2963" s="29">
        <v>67.5</v>
      </c>
      <c r="K2963" s="29">
        <v>78</v>
      </c>
      <c r="L2963" s="29">
        <v>58</v>
      </c>
      <c r="M2963" s="29">
        <v>64</v>
      </c>
      <c r="N2963" s="29">
        <v>63</v>
      </c>
      <c r="O2963" s="32">
        <v>512.5</v>
      </c>
      <c r="P2963" s="29" cm="1">
        <f t="array" ref="P2963">IF(表成绩单[[#This Row],[语文]]="","",SUMPRODUCT((表成绩单[考试日期]=表成绩单[[#This Row],[考试日期]])*(表成绩单[语文]&lt;9E+307)*(表成绩单[语文]&gt;表成绩单[[#This Row],[语文]]))+1)</f>
        <v>626</v>
      </c>
      <c r="Q2963" s="29" cm="1">
        <f t="array" ref="Q2963">IF(表成绩单[[#This Row],[数学]]="","",SUMPRODUCT((表成绩单[考试日期]=表成绩单[[#This Row],[考试日期]])*(表成绩单[数学]&lt;9E+307)*(表成绩单[数学]&gt;表成绩单[[#This Row],[数学]]))+1)</f>
        <v>175</v>
      </c>
      <c r="R2963" s="29" cm="1">
        <f t="array" ref="R2963">IF(表成绩单[[#This Row],[英语]]="","",SUMPRODUCT((表成绩单[考试日期]=表成绩单[[#This Row],[考试日期]])*(表成绩单[英语]&lt;9E+307)*(表成绩单[英语]&gt;表成绩单[[#This Row],[英语]]))+1)</f>
        <v>571</v>
      </c>
      <c r="S2963" s="29" cm="1">
        <f t="array" ref="S2963">IF(表成绩单[[#This Row],[物理]]="","",SUMPRODUCT((表成绩单[考试日期]=表成绩单[[#This Row],[考试日期]])*(表成绩单[物理]&lt;9E+307)*(表成绩单[物理]&gt;表成绩单[[#This Row],[物理]]))+1)</f>
        <v>365</v>
      </c>
      <c r="T2963" s="29" cm="1">
        <f t="array" ref="T2963">IF(表成绩单[[#This Row],[化学]]="","",SUMPRODUCT((表成绩单[考试日期]=表成绩单[[#This Row],[考试日期]])*(表成绩单[化学]&lt;9E+307)*(表成绩单[化学]&gt;表成绩单[[#This Row],[化学]]))+1)</f>
        <v>532</v>
      </c>
      <c r="U2963" s="29" cm="1">
        <f t="array" ref="U2963">IF(表成绩单[[#This Row],[政治]]="","",SUMPRODUCT((表成绩单[考试日期]=表成绩单[[#This Row],[考试日期]])*(表成绩单[政治]&lt;9E+307)*(表成绩单[政治]&gt;表成绩单[[#This Row],[政治]]))+1)</f>
        <v>670</v>
      </c>
      <c r="V2963" s="29" cm="1">
        <f t="array" ref="V2963">IF(表成绩单[[#This Row],[历史]]="","",SUMPRODUCT((表成绩单[考试日期]=表成绩单[[#This Row],[考试日期]])*(表成绩单[历史]&lt;9E+307)*(表成绩单[历史]&gt;表成绩单[[#This Row],[历史]]))+1)</f>
        <v>686</v>
      </c>
      <c r="W2963" s="29" cm="1">
        <f t="array" ref="W2963">IF(表成绩单[[#This Row],[总分]]="","",SUMPRODUCT((表成绩单[考试日期]=表成绩单[[#This Row],[考试日期]])*(表成绩单[总分]&lt;9E+307)*(表成绩单[总分]&gt;表成绩单[[#This Row],[总分]]))+1)</f>
        <v>554</v>
      </c>
    </row>
    <row r="2964" ht="28" customHeight="1" spans="4:23">
      <c r="D2964" s="31">
        <v>46108</v>
      </c>
      <c r="E2964" s="29">
        <v>19175309</v>
      </c>
      <c r="F2964" s="29" t="s">
        <v>55</v>
      </c>
      <c r="G2964" s="29" t="s">
        <v>605</v>
      </c>
      <c r="H2964" s="29">
        <v>94</v>
      </c>
      <c r="I2964" s="29">
        <v>74</v>
      </c>
      <c r="J2964" s="29">
        <v>78.5</v>
      </c>
      <c r="K2964" s="29">
        <v>69</v>
      </c>
      <c r="L2964" s="29">
        <v>66</v>
      </c>
      <c r="M2964" s="29">
        <v>65</v>
      </c>
      <c r="N2964" s="29">
        <v>66</v>
      </c>
      <c r="O2964" s="32">
        <v>512.5</v>
      </c>
      <c r="P2964" s="29" cm="1">
        <f t="array" ref="P2964">IF(表成绩单[[#This Row],[语文]]="","",SUMPRODUCT((表成绩单[考试日期]=表成绩单[[#This Row],[考试日期]])*(表成绩单[语文]&lt;9E+307)*(表成绩单[语文]&gt;表成绩单[[#This Row],[语文]]))+1)</f>
        <v>449</v>
      </c>
      <c r="Q2964" s="29" cm="1">
        <f t="array" ref="Q2964">IF(表成绩单[[#This Row],[数学]]="","",SUMPRODUCT((表成绩单[考试日期]=表成绩单[[#This Row],[考试日期]])*(表成绩单[数学]&lt;9E+307)*(表成绩单[数学]&gt;表成绩单[[#This Row],[数学]]))+1)</f>
        <v>635</v>
      </c>
      <c r="R2964" s="29" cm="1">
        <f t="array" ref="R2964">IF(表成绩单[[#This Row],[英语]]="","",SUMPRODUCT((表成绩单[考试日期]=表成绩单[[#This Row],[考试日期]])*(表成绩单[英语]&lt;9E+307)*(表成绩单[英语]&gt;表成绩单[[#This Row],[英语]]))+1)</f>
        <v>322</v>
      </c>
      <c r="S2964" s="29" cm="1">
        <f t="array" ref="S2964">IF(表成绩单[[#This Row],[物理]]="","",SUMPRODUCT((表成绩单[考试日期]=表成绩单[[#This Row],[考试日期]])*(表成绩单[物理]&lt;9E+307)*(表成绩单[物理]&gt;表成绩单[[#This Row],[物理]]))+1)</f>
        <v>565</v>
      </c>
      <c r="T2964" s="29" cm="1">
        <f t="array" ref="T2964">IF(表成绩单[[#This Row],[化学]]="","",SUMPRODUCT((表成绩单[考试日期]=表成绩单[[#This Row],[考试日期]])*(表成绩单[化学]&lt;9E+307)*(表成绩单[化学]&gt;表成绩单[[#This Row],[化学]]))+1)</f>
        <v>359</v>
      </c>
      <c r="U2964" s="29" cm="1">
        <f t="array" ref="U2964">IF(表成绩单[[#This Row],[政治]]="","",SUMPRODUCT((表成绩单[考试日期]=表成绩单[[#This Row],[考试日期]])*(表成绩单[政治]&lt;9E+307)*(表成绩单[政治]&gt;表成绩单[[#This Row],[政治]]))+1)</f>
        <v>655</v>
      </c>
      <c r="V2964" s="29" cm="1">
        <f t="array" ref="V2964">IF(表成绩单[[#This Row],[历史]]="","",SUMPRODUCT((表成绩单[考试日期]=表成绩单[[#This Row],[考试日期]])*(表成绩单[历史]&lt;9E+307)*(表成绩单[历史]&gt;表成绩单[[#This Row],[历史]]))+1)</f>
        <v>637</v>
      </c>
      <c r="W2964" s="29" cm="1">
        <f t="array" ref="W2964">IF(表成绩单[[#This Row],[总分]]="","",SUMPRODUCT((表成绩单[考试日期]=表成绩单[[#This Row],[考试日期]])*(表成绩单[总分]&lt;9E+307)*(表成绩单[总分]&gt;表成绩单[[#This Row],[总分]]))+1)</f>
        <v>554</v>
      </c>
    </row>
    <row r="2965" ht="28" customHeight="1" spans="4:23">
      <c r="D2965" s="31">
        <v>46108</v>
      </c>
      <c r="E2965" s="29">
        <v>19177638</v>
      </c>
      <c r="F2965" s="29" t="s">
        <v>63</v>
      </c>
      <c r="G2965" s="29" t="s">
        <v>683</v>
      </c>
      <c r="H2965" s="29">
        <v>89</v>
      </c>
      <c r="I2965" s="29">
        <v>91</v>
      </c>
      <c r="J2965" s="29">
        <v>65</v>
      </c>
      <c r="K2965" s="29">
        <v>73</v>
      </c>
      <c r="L2965" s="29">
        <v>55</v>
      </c>
      <c r="M2965" s="29">
        <v>62</v>
      </c>
      <c r="N2965" s="29">
        <v>77</v>
      </c>
      <c r="O2965" s="32">
        <v>512</v>
      </c>
      <c r="P2965" s="29" cm="1">
        <f t="array" ref="P2965">IF(表成绩单[[#This Row],[语文]]="","",SUMPRODUCT((表成绩单[考试日期]=表成绩单[[#This Row],[考试日期]])*(表成绩单[语文]&lt;9E+307)*(表成绩单[语文]&gt;表成绩单[[#This Row],[语文]]))+1)</f>
        <v>559</v>
      </c>
      <c r="Q2965" s="29" cm="1">
        <f t="array" ref="Q2965">IF(表成绩单[[#This Row],[数学]]="","",SUMPRODUCT((表成绩单[考试日期]=表成绩单[[#This Row],[考试日期]])*(表成绩单[数学]&lt;9E+307)*(表成绩单[数学]&gt;表成绩单[[#This Row],[数学]]))+1)</f>
        <v>341</v>
      </c>
      <c r="R2965" s="29" cm="1">
        <f t="array" ref="R2965">IF(表成绩单[[#This Row],[英语]]="","",SUMPRODUCT((表成绩单[考试日期]=表成绩单[[#This Row],[考试日期]])*(表成绩单[英语]&lt;9E+307)*(表成绩单[英语]&gt;表成绩单[[#This Row],[英语]]))+1)</f>
        <v>603</v>
      </c>
      <c r="S2965" s="29" cm="1">
        <f t="array" ref="S2965">IF(表成绩单[[#This Row],[物理]]="","",SUMPRODUCT((表成绩单[考试日期]=表成绩单[[#This Row],[考试日期]])*(表成绩单[物理]&lt;9E+307)*(表成绩单[物理]&gt;表成绩单[[#This Row],[物理]]))+1)</f>
        <v>500</v>
      </c>
      <c r="T2965" s="29" cm="1">
        <f t="array" ref="T2965">IF(表成绩单[[#This Row],[化学]]="","",SUMPRODUCT((表成绩单[考试日期]=表成绩单[[#This Row],[考试日期]])*(表成绩单[化学]&lt;9E+307)*(表成绩单[化学]&gt;表成绩单[[#This Row],[化学]]))+1)</f>
        <v>580</v>
      </c>
      <c r="U2965" s="29" cm="1">
        <f t="array" ref="U2965">IF(表成绩单[[#This Row],[政治]]="","",SUMPRODUCT((表成绩单[考试日期]=表成绩单[[#This Row],[考试日期]])*(表成绩单[政治]&lt;9E+307)*(表成绩单[政治]&gt;表成绩单[[#This Row],[政治]]))+1)</f>
        <v>692</v>
      </c>
      <c r="V2965" s="29" cm="1">
        <f t="array" ref="V2965">IF(表成绩单[[#This Row],[历史]]="","",SUMPRODUCT((表成绩单[考试日期]=表成绩单[[#This Row],[考试日期]])*(表成绩单[历史]&lt;9E+307)*(表成绩单[历史]&gt;表成绩单[[#This Row],[历史]]))+1)</f>
        <v>269</v>
      </c>
      <c r="W2965" s="29" cm="1">
        <f t="array" ref="W2965">IF(表成绩单[[#This Row],[总分]]="","",SUMPRODUCT((表成绩单[考试日期]=表成绩单[[#This Row],[考试日期]])*(表成绩单[总分]&lt;9E+307)*(表成绩单[总分]&gt;表成绩单[[#This Row],[总分]]))+1)</f>
        <v>558</v>
      </c>
    </row>
    <row r="2966" ht="28" customHeight="1" spans="4:23">
      <c r="D2966" s="31">
        <v>46108</v>
      </c>
      <c r="E2966" s="29">
        <v>19178605</v>
      </c>
      <c r="F2966" s="29" t="s">
        <v>64</v>
      </c>
      <c r="G2966" s="29" t="s">
        <v>529</v>
      </c>
      <c r="H2966" s="29">
        <v>99</v>
      </c>
      <c r="I2966" s="29">
        <v>86</v>
      </c>
      <c r="J2966" s="29">
        <v>72</v>
      </c>
      <c r="K2966" s="29">
        <v>62</v>
      </c>
      <c r="L2966" s="29">
        <v>47</v>
      </c>
      <c r="M2966" s="29">
        <v>76</v>
      </c>
      <c r="N2966" s="29">
        <v>70</v>
      </c>
      <c r="O2966" s="32">
        <v>512</v>
      </c>
      <c r="P2966" s="29" cm="1">
        <f t="array" ref="P2966">IF(表成绩单[[#This Row],[语文]]="","",SUMPRODUCT((表成绩单[考试日期]=表成绩单[[#This Row],[考试日期]])*(表成绩单[语文]&lt;9E+307)*(表成绩单[语文]&gt;表成绩单[[#This Row],[语文]]))+1)</f>
        <v>279</v>
      </c>
      <c r="Q2966" s="29" cm="1">
        <f t="array" ref="Q2966">IF(表成绩单[[#This Row],[数学]]="","",SUMPRODUCT((表成绩单[考试日期]=表成绩单[[#This Row],[考试日期]])*(表成绩单[数学]&lt;9E+307)*(表成绩单[数学]&gt;表成绩单[[#This Row],[数学]]))+1)</f>
        <v>479</v>
      </c>
      <c r="R2966" s="29" cm="1">
        <f t="array" ref="R2966">IF(表成绩单[[#This Row],[英语]]="","",SUMPRODUCT((表成绩单[考试日期]=表成绩单[[#This Row],[考试日期]])*(表成绩单[英语]&lt;9E+307)*(表成绩单[英语]&gt;表成绩单[[#This Row],[英语]]))+1)</f>
        <v>499</v>
      </c>
      <c r="S2966" s="29" cm="1">
        <f t="array" ref="S2966">IF(表成绩单[[#This Row],[物理]]="","",SUMPRODUCT((表成绩单[考试日期]=表成绩单[[#This Row],[考试日期]])*(表成绩单[物理]&lt;9E+307)*(表成绩单[物理]&gt;表成绩单[[#This Row],[物理]]))+1)</f>
        <v>643</v>
      </c>
      <c r="T2966" s="29" cm="1">
        <f t="array" ref="T2966">IF(表成绩单[[#This Row],[化学]]="","",SUMPRODUCT((表成绩单[考试日期]=表成绩单[[#This Row],[考试日期]])*(表成绩单[化学]&lt;9E+307)*(表成绩单[化学]&gt;表成绩单[[#This Row],[化学]]))+1)</f>
        <v>670</v>
      </c>
      <c r="U2966" s="29" cm="1">
        <f t="array" ref="U2966">IF(表成绩单[[#This Row],[政治]]="","",SUMPRODUCT((表成绩单[考试日期]=表成绩单[[#This Row],[考试日期]])*(表成绩单[政治]&lt;9E+307)*(表成绩单[政治]&gt;表成绩单[[#This Row],[政治]]))+1)</f>
        <v>291</v>
      </c>
      <c r="V2966" s="29" cm="1">
        <f t="array" ref="V2966">IF(表成绩单[[#This Row],[历史]]="","",SUMPRODUCT((表成绩单[考试日期]=表成绩单[[#This Row],[考试日期]])*(表成绩单[历史]&lt;9E+307)*(表成绩单[历史]&gt;表成绩单[[#This Row],[历史]]))+1)</f>
        <v>539</v>
      </c>
      <c r="W2966" s="29" cm="1">
        <f t="array" ref="W2966">IF(表成绩单[[#This Row],[总分]]="","",SUMPRODUCT((表成绩单[考试日期]=表成绩单[[#This Row],[考试日期]])*(表成绩单[总分]&lt;9E+307)*(表成绩单[总分]&gt;表成绩单[[#This Row],[总分]]))+1)</f>
        <v>558</v>
      </c>
    </row>
    <row r="2967" ht="28" customHeight="1" spans="4:23">
      <c r="D2967" s="31">
        <v>46108</v>
      </c>
      <c r="E2967" s="29">
        <v>19172654</v>
      </c>
      <c r="F2967" s="29" t="s">
        <v>60</v>
      </c>
      <c r="G2967" s="29" t="s">
        <v>645</v>
      </c>
      <c r="H2967" s="29">
        <v>88</v>
      </c>
      <c r="I2967" s="29">
        <v>91</v>
      </c>
      <c r="J2967" s="29">
        <v>69.5</v>
      </c>
      <c r="K2967" s="29">
        <v>66</v>
      </c>
      <c r="L2967" s="29">
        <v>56</v>
      </c>
      <c r="M2967" s="29">
        <v>68</v>
      </c>
      <c r="N2967" s="29">
        <v>73</v>
      </c>
      <c r="O2967" s="32">
        <v>511.5</v>
      </c>
      <c r="P2967" s="29" cm="1">
        <f t="array" ref="P2967">IF(表成绩单[[#This Row],[语文]]="","",SUMPRODUCT((表成绩单[考试日期]=表成绩单[[#This Row],[考试日期]])*(表成绩单[语文]&lt;9E+307)*(表成绩单[语文]&gt;表成绩单[[#This Row],[语文]]))+1)</f>
        <v>575</v>
      </c>
      <c r="Q2967" s="29" cm="1">
        <f t="array" ref="Q2967">IF(表成绩单[[#This Row],[数学]]="","",SUMPRODUCT((表成绩单[考试日期]=表成绩单[[#This Row],[考试日期]])*(表成绩单[数学]&lt;9E+307)*(表成绩单[数学]&gt;表成绩单[[#This Row],[数学]]))+1)</f>
        <v>341</v>
      </c>
      <c r="R2967" s="29" cm="1">
        <f t="array" ref="R2967">IF(表成绩单[[#This Row],[英语]]="","",SUMPRODUCT((表成绩单[考试日期]=表成绩单[[#This Row],[考试日期]])*(表成绩单[英语]&lt;9E+307)*(表成绩单[英语]&gt;表成绩单[[#This Row],[英语]]))+1)</f>
        <v>547</v>
      </c>
      <c r="S2967" s="29" cm="1">
        <f t="array" ref="S2967">IF(表成绩单[[#This Row],[物理]]="","",SUMPRODUCT((表成绩单[考试日期]=表成绩单[[#This Row],[考试日期]])*(表成绩单[物理]&lt;9E+307)*(表成绩单[物理]&gt;表成绩单[[#This Row],[物理]]))+1)</f>
        <v>608</v>
      </c>
      <c r="T2967" s="29" cm="1">
        <f t="array" ref="T2967">IF(表成绩单[[#This Row],[化学]]="","",SUMPRODUCT((表成绩单[考试日期]=表成绩单[[#This Row],[考试日期]])*(表成绩单[化学]&lt;9E+307)*(表成绩单[化学]&gt;表成绩单[[#This Row],[化学]]))+1)</f>
        <v>569</v>
      </c>
      <c r="U2967" s="29" cm="1">
        <f t="array" ref="U2967">IF(表成绩单[[#This Row],[政治]]="","",SUMPRODUCT((表成绩单[考试日期]=表成绩单[[#This Row],[考试日期]])*(表成绩单[政治]&lt;9E+307)*(表成绩单[政治]&gt;表成绩单[[#This Row],[政治]]))+1)</f>
        <v>596</v>
      </c>
      <c r="V2967" s="29" cm="1">
        <f t="array" ref="V2967">IF(表成绩单[[#This Row],[历史]]="","",SUMPRODUCT((表成绩单[考试日期]=表成绩单[[#This Row],[考试日期]])*(表成绩单[历史]&lt;9E+307)*(表成绩单[历史]&gt;表成绩单[[#This Row],[历史]]))+1)</f>
        <v>432</v>
      </c>
      <c r="W2967" s="29" cm="1">
        <f t="array" ref="W2967">IF(表成绩单[[#This Row],[总分]]="","",SUMPRODUCT((表成绩单[考试日期]=表成绩单[[#This Row],[考试日期]])*(表成绩单[总分]&lt;9E+307)*(表成绩单[总分]&gt;表成绩单[[#This Row],[总分]]))+1)</f>
        <v>560</v>
      </c>
    </row>
    <row r="2968" ht="28" customHeight="1" spans="4:23">
      <c r="D2968" s="31">
        <v>46108</v>
      </c>
      <c r="E2968" s="29">
        <v>19174784</v>
      </c>
      <c r="F2968" s="29" t="s">
        <v>69</v>
      </c>
      <c r="G2968" s="29" t="s">
        <v>454</v>
      </c>
      <c r="H2968" s="29">
        <v>89</v>
      </c>
      <c r="I2968" s="29">
        <v>86</v>
      </c>
      <c r="J2968" s="29">
        <v>82.5</v>
      </c>
      <c r="K2968" s="29">
        <v>73</v>
      </c>
      <c r="L2968" s="29">
        <v>44</v>
      </c>
      <c r="M2968" s="29">
        <v>68</v>
      </c>
      <c r="N2968" s="29">
        <v>69</v>
      </c>
      <c r="O2968" s="32">
        <v>511.5</v>
      </c>
      <c r="P2968" s="29" cm="1">
        <f t="array" ref="P2968">IF(表成绩单[[#This Row],[语文]]="","",SUMPRODUCT((表成绩单[考试日期]=表成绩单[[#This Row],[考试日期]])*(表成绩单[语文]&lt;9E+307)*(表成绩单[语文]&gt;表成绩单[[#This Row],[语文]]))+1)</f>
        <v>559</v>
      </c>
      <c r="Q2968" s="29" cm="1">
        <f t="array" ref="Q2968">IF(表成绩单[[#This Row],[数学]]="","",SUMPRODUCT((表成绩单[考试日期]=表成绩单[[#This Row],[考试日期]])*(表成绩单[数学]&lt;9E+307)*(表成绩单[数学]&gt;表成绩单[[#This Row],[数学]]))+1)</f>
        <v>479</v>
      </c>
      <c r="R2968" s="29" cm="1">
        <f t="array" ref="R2968">IF(表成绩单[[#This Row],[英语]]="","",SUMPRODUCT((表成绩单[考试日期]=表成绩单[[#This Row],[考试日期]])*(表成绩单[英语]&lt;9E+307)*(表成绩单[英语]&gt;表成绩单[[#This Row],[英语]]))+1)</f>
        <v>156</v>
      </c>
      <c r="S2968" s="29" cm="1">
        <f t="array" ref="S2968">IF(表成绩单[[#This Row],[物理]]="","",SUMPRODUCT((表成绩单[考试日期]=表成绩单[[#This Row],[考试日期]])*(表成绩单[物理]&lt;9E+307)*(表成绩单[物理]&gt;表成绩单[[#This Row],[物理]]))+1)</f>
        <v>500</v>
      </c>
      <c r="T2968" s="29" cm="1">
        <f t="array" ref="T2968">IF(表成绩单[[#This Row],[化学]]="","",SUMPRODUCT((表成绩单[考试日期]=表成绩单[[#This Row],[考试日期]])*(表成绩单[化学]&lt;9E+307)*(表成绩单[化学]&gt;表成绩单[[#This Row],[化学]]))+1)</f>
        <v>699</v>
      </c>
      <c r="U2968" s="29" cm="1">
        <f t="array" ref="U2968">IF(表成绩单[[#This Row],[政治]]="","",SUMPRODUCT((表成绩单[考试日期]=表成绩单[[#This Row],[考试日期]])*(表成绩单[政治]&lt;9E+307)*(表成绩单[政治]&gt;表成绩单[[#This Row],[政治]]))+1)</f>
        <v>596</v>
      </c>
      <c r="V2968" s="29" cm="1">
        <f t="array" ref="V2968">IF(表成绩单[[#This Row],[历史]]="","",SUMPRODUCT((表成绩单[考试日期]=表成绩单[[#This Row],[考试日期]])*(表成绩单[历史]&lt;9E+307)*(表成绩单[历史]&gt;表成绩单[[#This Row],[历史]]))+1)</f>
        <v>569</v>
      </c>
      <c r="W2968" s="29" cm="1">
        <f t="array" ref="W2968">IF(表成绩单[[#This Row],[总分]]="","",SUMPRODUCT((表成绩单[考试日期]=表成绩单[[#This Row],[考试日期]])*(表成绩单[总分]&lt;9E+307)*(表成绩单[总分]&gt;表成绩单[[#This Row],[总分]]))+1)</f>
        <v>560</v>
      </c>
    </row>
    <row r="2969" ht="28" customHeight="1" spans="4:23">
      <c r="D2969" s="31">
        <v>46108</v>
      </c>
      <c r="E2969" s="29">
        <v>19177658</v>
      </c>
      <c r="F2969" s="29" t="s">
        <v>63</v>
      </c>
      <c r="G2969" s="29" t="s">
        <v>569</v>
      </c>
      <c r="H2969" s="29">
        <v>77</v>
      </c>
      <c r="I2969" s="29">
        <v>86</v>
      </c>
      <c r="J2969" s="29">
        <v>54.5</v>
      </c>
      <c r="K2969" s="29">
        <v>82</v>
      </c>
      <c r="L2969" s="29">
        <v>67</v>
      </c>
      <c r="M2969" s="29">
        <v>71</v>
      </c>
      <c r="N2969" s="29">
        <v>74</v>
      </c>
      <c r="O2969" s="32">
        <v>511.5</v>
      </c>
      <c r="P2969" s="29" cm="1">
        <f t="array" ref="P2969">IF(表成绩单[[#This Row],[语文]]="","",SUMPRODUCT((表成绩单[考试日期]=表成绩单[[#This Row],[考试日期]])*(表成绩单[语文]&lt;9E+307)*(表成绩单[语文]&gt;表成绩单[[#This Row],[语文]]))+1)</f>
        <v>710</v>
      </c>
      <c r="Q2969" s="29" cm="1">
        <f t="array" ref="Q2969">IF(表成绩单[[#This Row],[数学]]="","",SUMPRODUCT((表成绩单[考试日期]=表成绩单[[#This Row],[考试日期]])*(表成绩单[数学]&lt;9E+307)*(表成绩单[数学]&gt;表成绩单[[#This Row],[数学]]))+1)</f>
        <v>479</v>
      </c>
      <c r="R2969" s="29" cm="1">
        <f t="array" ref="R2969">IF(表成绩单[[#This Row],[英语]]="","",SUMPRODUCT((表成绩单[考试日期]=表成绩单[[#This Row],[考试日期]])*(表成绩单[英语]&lt;9E+307)*(表成绩单[英语]&gt;表成绩单[[#This Row],[英语]]))+1)</f>
        <v>687</v>
      </c>
      <c r="S2969" s="29" cm="1">
        <f t="array" ref="S2969">IF(表成绩单[[#This Row],[物理]]="","",SUMPRODUCT((表成绩单[考试日期]=表成绩单[[#This Row],[考试日期]])*(表成绩单[物理]&lt;9E+307)*(表成绩单[物理]&gt;表成绩单[[#This Row],[物理]]))+1)</f>
        <v>223</v>
      </c>
      <c r="T2969" s="29" cm="1">
        <f t="array" ref="T2969">IF(表成绩单[[#This Row],[化学]]="","",SUMPRODUCT((表成绩单[考试日期]=表成绩单[[#This Row],[考试日期]])*(表成绩单[化学]&lt;9E+307)*(表成绩单[化学]&gt;表成绩单[[#This Row],[化学]]))+1)</f>
        <v>335</v>
      </c>
      <c r="U2969" s="29" cm="1">
        <f t="array" ref="U2969">IF(表成绩单[[#This Row],[政治]]="","",SUMPRODUCT((表成绩单[考试日期]=表成绩单[[#This Row],[考试日期]])*(表成绩单[政治]&lt;9E+307)*(表成绩单[政治]&gt;表成绩单[[#This Row],[政治]]))+1)</f>
        <v>513</v>
      </c>
      <c r="V2969" s="29" cm="1">
        <f t="array" ref="V2969">IF(表成绩单[[#This Row],[历史]]="","",SUMPRODUCT((表成绩单[考试日期]=表成绩单[[#This Row],[考试日期]])*(表成绩单[历史]&lt;9E+307)*(表成绩单[历史]&gt;表成绩单[[#This Row],[历史]]))+1)</f>
        <v>389</v>
      </c>
      <c r="W2969" s="29" cm="1">
        <f t="array" ref="W2969">IF(表成绩单[[#This Row],[总分]]="","",SUMPRODUCT((表成绩单[考试日期]=表成绩单[[#This Row],[考试日期]])*(表成绩单[总分]&lt;9E+307)*(表成绩单[总分]&gt;表成绩单[[#This Row],[总分]]))+1)</f>
        <v>560</v>
      </c>
    </row>
    <row r="2970" ht="28" customHeight="1" spans="4:23">
      <c r="D2970" s="31">
        <v>46108</v>
      </c>
      <c r="E2970" s="29">
        <v>19174734</v>
      </c>
      <c r="F2970" s="29" t="s">
        <v>64</v>
      </c>
      <c r="G2970" s="29" t="s">
        <v>679</v>
      </c>
      <c r="H2970" s="29">
        <v>95</v>
      </c>
      <c r="I2970" s="29">
        <v>82</v>
      </c>
      <c r="J2970" s="29">
        <v>74</v>
      </c>
      <c r="K2970" s="29">
        <v>66</v>
      </c>
      <c r="L2970" s="29">
        <v>46</v>
      </c>
      <c r="M2970" s="29">
        <v>74</v>
      </c>
      <c r="N2970" s="29">
        <v>74</v>
      </c>
      <c r="O2970" s="32">
        <v>511</v>
      </c>
      <c r="P2970" s="29" cm="1">
        <f t="array" ref="P2970">IF(表成绩单[[#This Row],[语文]]="","",SUMPRODUCT((表成绩单[考试日期]=表成绩单[[#This Row],[考试日期]])*(表成绩单[语文]&lt;9E+307)*(表成绩单[语文]&gt;表成绩单[[#This Row],[语文]]))+1)</f>
        <v>422</v>
      </c>
      <c r="Q2970" s="29" cm="1">
        <f t="array" ref="Q2970">IF(表成绩单[[#This Row],[数学]]="","",SUMPRODUCT((表成绩单[考试日期]=表成绩单[[#This Row],[考试日期]])*(表成绩单[数学]&lt;9E+307)*(表成绩单[数学]&gt;表成绩单[[#This Row],[数学]]))+1)</f>
        <v>555</v>
      </c>
      <c r="R2970" s="29" cm="1">
        <f t="array" ref="R2970">IF(表成绩单[[#This Row],[英语]]="","",SUMPRODUCT((表成绩单[考试日期]=表成绩单[[#This Row],[考试日期]])*(表成绩单[英语]&lt;9E+307)*(表成绩单[英语]&gt;表成绩单[[#This Row],[英语]]))+1)</f>
        <v>464</v>
      </c>
      <c r="S2970" s="29" cm="1">
        <f t="array" ref="S2970">IF(表成绩单[[#This Row],[物理]]="","",SUMPRODUCT((表成绩单[考试日期]=表成绩单[[#This Row],[考试日期]])*(表成绩单[物理]&lt;9E+307)*(表成绩单[物理]&gt;表成绩单[[#This Row],[物理]]))+1)</f>
        <v>608</v>
      </c>
      <c r="T2970" s="29" cm="1">
        <f t="array" ref="T2970">IF(表成绩单[[#This Row],[化学]]="","",SUMPRODUCT((表成绩单[考试日期]=表成绩单[[#This Row],[考试日期]])*(表成绩单[化学]&lt;9E+307)*(表成绩单[化学]&gt;表成绩单[[#This Row],[化学]]))+1)</f>
        <v>678</v>
      </c>
      <c r="U2970" s="29" cm="1">
        <f t="array" ref="U2970">IF(表成绩单[[#This Row],[政治]]="","",SUMPRODUCT((表成绩单[考试日期]=表成绩单[[#This Row],[考试日期]])*(表成绩单[政治]&lt;9E+307)*(表成绩单[政治]&gt;表成绩单[[#This Row],[政治]]))+1)</f>
        <v>389</v>
      </c>
      <c r="V2970" s="29" cm="1">
        <f t="array" ref="V2970">IF(表成绩单[[#This Row],[历史]]="","",SUMPRODUCT((表成绩单[考试日期]=表成绩单[[#This Row],[考试日期]])*(表成绩单[历史]&lt;9E+307)*(表成绩单[历史]&gt;表成绩单[[#This Row],[历史]]))+1)</f>
        <v>389</v>
      </c>
      <c r="W2970" s="29" cm="1">
        <f t="array" ref="W2970">IF(表成绩单[[#This Row],[总分]]="","",SUMPRODUCT((表成绩单[考试日期]=表成绩单[[#This Row],[考试日期]])*(表成绩单[总分]&lt;9E+307)*(表成绩单[总分]&gt;表成绩单[[#This Row],[总分]]))+1)</f>
        <v>563</v>
      </c>
    </row>
    <row r="2971" ht="28" customHeight="1" spans="4:23">
      <c r="D2971" s="31">
        <v>46108</v>
      </c>
      <c r="E2971" s="29">
        <v>19178600</v>
      </c>
      <c r="F2971" s="29" t="s">
        <v>64</v>
      </c>
      <c r="G2971" s="29" t="s">
        <v>641</v>
      </c>
      <c r="H2971" s="29">
        <v>99</v>
      </c>
      <c r="I2971" s="29">
        <v>83</v>
      </c>
      <c r="J2971" s="29">
        <v>77</v>
      </c>
      <c r="K2971" s="29">
        <v>66</v>
      </c>
      <c r="L2971" s="29">
        <v>45</v>
      </c>
      <c r="M2971" s="29">
        <v>65</v>
      </c>
      <c r="N2971" s="29">
        <v>76</v>
      </c>
      <c r="O2971" s="32">
        <v>511</v>
      </c>
      <c r="P2971" s="29" cm="1">
        <f t="array" ref="P2971">IF(表成绩单[[#This Row],[语文]]="","",SUMPRODUCT((表成绩单[考试日期]=表成绩单[[#This Row],[考试日期]])*(表成绩单[语文]&lt;9E+307)*(表成绩单[语文]&gt;表成绩单[[#This Row],[语文]]))+1)</f>
        <v>279</v>
      </c>
      <c r="Q2971" s="29" cm="1">
        <f t="array" ref="Q2971">IF(表成绩单[[#This Row],[数学]]="","",SUMPRODUCT((表成绩单[考试日期]=表成绩单[[#This Row],[考试日期]])*(表成绩单[数学]&lt;9E+307)*(表成绩单[数学]&gt;表成绩单[[#This Row],[数学]]))+1)</f>
        <v>543</v>
      </c>
      <c r="R2971" s="29" cm="1">
        <f t="array" ref="R2971">IF(表成绩单[[#This Row],[英语]]="","",SUMPRODUCT((表成绩单[考试日期]=表成绩单[[#This Row],[考试日期]])*(表成绩单[英语]&lt;9E+307)*(表成绩单[英语]&gt;表成绩单[[#This Row],[英语]]))+1)</f>
        <v>370</v>
      </c>
      <c r="S2971" s="29" cm="1">
        <f t="array" ref="S2971">IF(表成绩单[[#This Row],[物理]]="","",SUMPRODUCT((表成绩单[考试日期]=表成绩单[[#This Row],[考试日期]])*(表成绩单[物理]&lt;9E+307)*(表成绩单[物理]&gt;表成绩单[[#This Row],[物理]]))+1)</f>
        <v>608</v>
      </c>
      <c r="T2971" s="29" cm="1">
        <f t="array" ref="T2971">IF(表成绩单[[#This Row],[化学]]="","",SUMPRODUCT((表成绩单[考试日期]=表成绩单[[#This Row],[考试日期]])*(表成绩单[化学]&lt;9E+307)*(表成绩单[化学]&gt;表成绩单[[#This Row],[化学]]))+1)</f>
        <v>686</v>
      </c>
      <c r="U2971" s="29" cm="1">
        <f t="array" ref="U2971">IF(表成绩单[[#This Row],[政治]]="","",SUMPRODUCT((表成绩单[考试日期]=表成绩单[[#This Row],[考试日期]])*(表成绩单[政治]&lt;9E+307)*(表成绩单[政治]&gt;表成绩单[[#This Row],[政治]]))+1)</f>
        <v>655</v>
      </c>
      <c r="V2971" s="29" cm="1">
        <f t="array" ref="V2971">IF(表成绩单[[#This Row],[历史]]="","",SUMPRODUCT((表成绩单[考试日期]=表成绩单[[#This Row],[考试日期]])*(表成绩单[历史]&lt;9E+307)*(表成绩单[历史]&gt;表成绩单[[#This Row],[历史]]))+1)</f>
        <v>316</v>
      </c>
      <c r="W2971" s="29" cm="1">
        <f t="array" ref="W2971">IF(表成绩单[[#This Row],[总分]]="","",SUMPRODUCT((表成绩单[考试日期]=表成绩单[[#This Row],[考试日期]])*(表成绩单[总分]&lt;9E+307)*(表成绩单[总分]&gt;表成绩单[[#This Row],[总分]]))+1)</f>
        <v>563</v>
      </c>
    </row>
    <row r="2972" ht="28" customHeight="1" spans="4:23">
      <c r="D2972" s="31">
        <v>46108</v>
      </c>
      <c r="E2972" s="29">
        <v>19175287</v>
      </c>
      <c r="F2972" s="29" t="s">
        <v>55</v>
      </c>
      <c r="G2972" s="29" t="s">
        <v>580</v>
      </c>
      <c r="H2972" s="29">
        <v>81</v>
      </c>
      <c r="I2972" s="29">
        <v>86</v>
      </c>
      <c r="J2972" s="29">
        <v>59</v>
      </c>
      <c r="K2972" s="29">
        <v>78</v>
      </c>
      <c r="L2972" s="29">
        <v>67</v>
      </c>
      <c r="M2972" s="29">
        <v>76</v>
      </c>
      <c r="N2972" s="29">
        <v>63</v>
      </c>
      <c r="O2972" s="32">
        <v>510</v>
      </c>
      <c r="P2972" s="29" cm="1">
        <f t="array" ref="P2972">IF(表成绩单[[#This Row],[语文]]="","",SUMPRODUCT((表成绩单[考试日期]=表成绩单[[#This Row],[考试日期]])*(表成绩单[语文]&lt;9E+307)*(表成绩单[语文]&gt;表成绩单[[#This Row],[语文]]))+1)</f>
        <v>669</v>
      </c>
      <c r="Q2972" s="29" cm="1">
        <f t="array" ref="Q2972">IF(表成绩单[[#This Row],[数学]]="","",SUMPRODUCT((表成绩单[考试日期]=表成绩单[[#This Row],[考试日期]])*(表成绩单[数学]&lt;9E+307)*(表成绩单[数学]&gt;表成绩单[[#This Row],[数学]]))+1)</f>
        <v>479</v>
      </c>
      <c r="R2972" s="29" cm="1">
        <f t="array" ref="R2972">IF(表成绩单[[#This Row],[英语]]="","",SUMPRODUCT((表成绩单[考试日期]=表成绩单[[#This Row],[考试日期]])*(表成绩单[英语]&lt;9E+307)*(表成绩单[英语]&gt;表成绩单[[#This Row],[英语]]))+1)</f>
        <v>662</v>
      </c>
      <c r="S2972" s="29" cm="1">
        <f t="array" ref="S2972">IF(表成绩单[[#This Row],[物理]]="","",SUMPRODUCT((表成绩单[考试日期]=表成绩单[[#This Row],[考试日期]])*(表成绩单[物理]&lt;9E+307)*(表成绩单[物理]&gt;表成绩单[[#This Row],[物理]]))+1)</f>
        <v>365</v>
      </c>
      <c r="T2972" s="29" cm="1">
        <f t="array" ref="T2972">IF(表成绩单[[#This Row],[化学]]="","",SUMPRODUCT((表成绩单[考试日期]=表成绩单[[#This Row],[考试日期]])*(表成绩单[化学]&lt;9E+307)*(表成绩单[化学]&gt;表成绩单[[#This Row],[化学]]))+1)</f>
        <v>335</v>
      </c>
      <c r="U2972" s="29" cm="1">
        <f t="array" ref="U2972">IF(表成绩单[[#This Row],[政治]]="","",SUMPRODUCT((表成绩单[考试日期]=表成绩单[[#This Row],[考试日期]])*(表成绩单[政治]&lt;9E+307)*(表成绩单[政治]&gt;表成绩单[[#This Row],[政治]]))+1)</f>
        <v>291</v>
      </c>
      <c r="V2972" s="29" cm="1">
        <f t="array" ref="V2972">IF(表成绩单[[#This Row],[历史]]="","",SUMPRODUCT((表成绩单[考试日期]=表成绩单[[#This Row],[考试日期]])*(表成绩单[历史]&lt;9E+307)*(表成绩单[历史]&gt;表成绩单[[#This Row],[历史]]))+1)</f>
        <v>686</v>
      </c>
      <c r="W2972" s="29" cm="1">
        <f t="array" ref="W2972">IF(表成绩单[[#This Row],[总分]]="","",SUMPRODUCT((表成绩单[考试日期]=表成绩单[[#This Row],[考试日期]])*(表成绩单[总分]&lt;9E+307)*(表成绩单[总分]&gt;表成绩单[[#This Row],[总分]]))+1)</f>
        <v>565</v>
      </c>
    </row>
    <row r="2973" ht="28" customHeight="1" spans="4:23">
      <c r="D2973" s="31">
        <v>46108</v>
      </c>
      <c r="E2973" s="29">
        <v>19175683</v>
      </c>
      <c r="F2973" s="29" t="s">
        <v>72</v>
      </c>
      <c r="G2973" s="29" t="s">
        <v>664</v>
      </c>
      <c r="H2973" s="29">
        <v>89</v>
      </c>
      <c r="I2973" s="29">
        <v>74</v>
      </c>
      <c r="J2973" s="29">
        <v>73</v>
      </c>
      <c r="K2973" s="29">
        <v>74</v>
      </c>
      <c r="L2973" s="29">
        <v>66</v>
      </c>
      <c r="M2973" s="29">
        <v>60</v>
      </c>
      <c r="N2973" s="29">
        <v>74</v>
      </c>
      <c r="O2973" s="32">
        <v>510</v>
      </c>
      <c r="P2973" s="29" cm="1">
        <f t="array" ref="P2973">IF(表成绩单[[#This Row],[语文]]="","",SUMPRODUCT((表成绩单[考试日期]=表成绩单[[#This Row],[考试日期]])*(表成绩单[语文]&lt;9E+307)*(表成绩单[语文]&gt;表成绩单[[#This Row],[语文]]))+1)</f>
        <v>559</v>
      </c>
      <c r="Q2973" s="29" cm="1">
        <f t="array" ref="Q2973">IF(表成绩单[[#This Row],[数学]]="","",SUMPRODUCT((表成绩单[考试日期]=表成绩单[[#This Row],[考试日期]])*(表成绩单[数学]&lt;9E+307)*(表成绩单[数学]&gt;表成绩单[[#This Row],[数学]]))+1)</f>
        <v>635</v>
      </c>
      <c r="R2973" s="29" cm="1">
        <f t="array" ref="R2973">IF(表成绩单[[#This Row],[英语]]="","",SUMPRODUCT((表成绩单[考试日期]=表成绩单[[#This Row],[考试日期]])*(表成绩单[英语]&lt;9E+307)*(表成绩单[英语]&gt;表成绩单[[#This Row],[英语]]))+1)</f>
        <v>478</v>
      </c>
      <c r="S2973" s="29" cm="1">
        <f t="array" ref="S2973">IF(表成绩单[[#This Row],[物理]]="","",SUMPRODUCT((表成绩单[考试日期]=表成绩单[[#This Row],[考试日期]])*(表成绩单[物理]&lt;9E+307)*(表成绩单[物理]&gt;表成绩单[[#This Row],[物理]]))+1)</f>
        <v>472</v>
      </c>
      <c r="T2973" s="29" cm="1">
        <f t="array" ref="T2973">IF(表成绩单[[#This Row],[化学]]="","",SUMPRODUCT((表成绩单[考试日期]=表成绩单[[#This Row],[考试日期]])*(表成绩单[化学]&lt;9E+307)*(表成绩单[化学]&gt;表成绩单[[#This Row],[化学]]))+1)</f>
        <v>359</v>
      </c>
      <c r="U2973" s="29" cm="1">
        <f t="array" ref="U2973">IF(表成绩单[[#This Row],[政治]]="","",SUMPRODUCT((表成绩单[考试日期]=表成绩单[[#This Row],[考试日期]])*(表成绩单[政治]&lt;9E+307)*(表成绩单[政治]&gt;表成绩单[[#This Row],[政治]]))+1)</f>
        <v>709</v>
      </c>
      <c r="V2973" s="29" cm="1">
        <f t="array" ref="V2973">IF(表成绩单[[#This Row],[历史]]="","",SUMPRODUCT((表成绩单[考试日期]=表成绩单[[#This Row],[考试日期]])*(表成绩单[历史]&lt;9E+307)*(表成绩单[历史]&gt;表成绩单[[#This Row],[历史]]))+1)</f>
        <v>389</v>
      </c>
      <c r="W2973" s="29" cm="1">
        <f t="array" ref="W2973">IF(表成绩单[[#This Row],[总分]]="","",SUMPRODUCT((表成绩单[考试日期]=表成绩单[[#This Row],[考试日期]])*(表成绩单[总分]&lt;9E+307)*(表成绩单[总分]&gt;表成绩单[[#This Row],[总分]]))+1)</f>
        <v>565</v>
      </c>
    </row>
    <row r="2974" ht="28" customHeight="1" spans="4:23">
      <c r="D2974" s="31">
        <v>46108</v>
      </c>
      <c r="E2974" s="29">
        <v>19175998</v>
      </c>
      <c r="F2974" s="29" t="s">
        <v>59</v>
      </c>
      <c r="G2974" s="29" t="s">
        <v>685</v>
      </c>
      <c r="H2974" s="29">
        <v>101</v>
      </c>
      <c r="I2974" s="29">
        <v>79</v>
      </c>
      <c r="J2974" s="29">
        <v>69.5</v>
      </c>
      <c r="K2974" s="29">
        <v>53</v>
      </c>
      <c r="L2974" s="29">
        <v>61</v>
      </c>
      <c r="M2974" s="29">
        <v>72</v>
      </c>
      <c r="N2974" s="29">
        <v>74</v>
      </c>
      <c r="O2974" s="32">
        <v>509.5</v>
      </c>
      <c r="P2974" s="29" cm="1">
        <f t="array" ref="P2974">IF(表成绩单[[#This Row],[语文]]="","",SUMPRODUCT((表成绩单[考试日期]=表成绩单[[#This Row],[考试日期]])*(表成绩单[语文]&lt;9E+307)*(表成绩单[语文]&gt;表成绩单[[#This Row],[语文]]))+1)</f>
        <v>211</v>
      </c>
      <c r="Q2974" s="29" cm="1">
        <f t="array" ref="Q2974">IF(表成绩单[[#This Row],[数学]]="","",SUMPRODUCT((表成绩单[考试日期]=表成绩单[[#This Row],[考试日期]])*(表成绩单[数学]&lt;9E+307)*(表成绩单[数学]&gt;表成绩单[[#This Row],[数学]]))+1)</f>
        <v>591</v>
      </c>
      <c r="R2974" s="29" cm="1">
        <f t="array" ref="R2974">IF(表成绩单[[#This Row],[英语]]="","",SUMPRODUCT((表成绩单[考试日期]=表成绩单[[#This Row],[考试日期]])*(表成绩单[英语]&lt;9E+307)*(表成绩单[英语]&gt;表成绩单[[#This Row],[英语]]))+1)</f>
        <v>547</v>
      </c>
      <c r="S2974" s="29" cm="1">
        <f t="array" ref="S2974">IF(表成绩单[[#This Row],[物理]]="","",SUMPRODUCT((表成绩单[考试日期]=表成绩单[[#This Row],[考试日期]])*(表成绩单[物理]&lt;9E+307)*(表成绩单[物理]&gt;表成绩单[[#This Row],[物理]]))+1)</f>
        <v>711</v>
      </c>
      <c r="T2974" s="29" cm="1">
        <f t="array" ref="T2974">IF(表成绩单[[#This Row],[化学]]="","",SUMPRODUCT((表成绩单[考试日期]=表成绩单[[#This Row],[考试日期]])*(表成绩单[化学]&lt;9E+307)*(表成绩单[化学]&gt;表成绩单[[#This Row],[化学]]))+1)</f>
        <v>467</v>
      </c>
      <c r="U2974" s="29" cm="1">
        <f t="array" ref="U2974">IF(表成绩单[[#This Row],[政治]]="","",SUMPRODUCT((表成绩单[考试日期]=表成绩单[[#This Row],[考试日期]])*(表成绩单[政治]&lt;9E+307)*(表成绩单[政治]&gt;表成绩单[[#This Row],[政治]]))+1)</f>
        <v>470</v>
      </c>
      <c r="V2974" s="29" cm="1">
        <f t="array" ref="V2974">IF(表成绩单[[#This Row],[历史]]="","",SUMPRODUCT((表成绩单[考试日期]=表成绩单[[#This Row],[考试日期]])*(表成绩单[历史]&lt;9E+307)*(表成绩单[历史]&gt;表成绩单[[#This Row],[历史]]))+1)</f>
        <v>389</v>
      </c>
      <c r="W2974" s="29" cm="1">
        <f t="array" ref="W2974">IF(表成绩单[[#This Row],[总分]]="","",SUMPRODUCT((表成绩单[考试日期]=表成绩单[[#This Row],[考试日期]])*(表成绩单[总分]&lt;9E+307)*(表成绩单[总分]&gt;表成绩单[[#This Row],[总分]]))+1)</f>
        <v>567</v>
      </c>
    </row>
    <row r="2975" ht="28" customHeight="1" spans="4:23">
      <c r="D2975" s="31">
        <v>46108</v>
      </c>
      <c r="E2975" s="29">
        <v>19178599</v>
      </c>
      <c r="F2975" s="29" t="s">
        <v>64</v>
      </c>
      <c r="G2975" s="29" t="s">
        <v>737</v>
      </c>
      <c r="H2975" s="29">
        <v>89</v>
      </c>
      <c r="I2975" s="29">
        <v>78</v>
      </c>
      <c r="J2975" s="29">
        <v>66.5</v>
      </c>
      <c r="K2975" s="29">
        <v>67</v>
      </c>
      <c r="L2975" s="29">
        <v>58</v>
      </c>
      <c r="M2975" s="29">
        <v>72</v>
      </c>
      <c r="N2975" s="29">
        <v>79</v>
      </c>
      <c r="O2975" s="32">
        <v>509.5</v>
      </c>
      <c r="P2975" s="29" cm="1">
        <f t="array" ref="P2975">IF(表成绩单[[#This Row],[语文]]="","",SUMPRODUCT((表成绩单[考试日期]=表成绩单[[#This Row],[考试日期]])*(表成绩单[语文]&lt;9E+307)*(表成绩单[语文]&gt;表成绩单[[#This Row],[语文]]))+1)</f>
        <v>559</v>
      </c>
      <c r="Q2975" s="29" cm="1">
        <f t="array" ref="Q2975">IF(表成绩单[[#This Row],[数学]]="","",SUMPRODUCT((表成绩单[考试日期]=表成绩单[[#This Row],[考试日期]])*(表成绩单[数学]&lt;9E+307)*(表成绩单[数学]&gt;表成绩单[[#This Row],[数学]]))+1)</f>
        <v>604</v>
      </c>
      <c r="R2975" s="29" cm="1">
        <f t="array" ref="R2975">IF(表成绩单[[#This Row],[英语]]="","",SUMPRODUCT((表成绩单[考试日期]=表成绩单[[#This Row],[考试日期]])*(表成绩单[英语]&lt;9E+307)*(表成绩单[英语]&gt;表成绩单[[#This Row],[英语]]))+1)</f>
        <v>584</v>
      </c>
      <c r="S2975" s="29" cm="1">
        <f t="array" ref="S2975">IF(表成绩单[[#This Row],[物理]]="","",SUMPRODUCT((表成绩单[考试日期]=表成绩单[[#This Row],[考试日期]])*(表成绩单[物理]&lt;9E+307)*(表成绩单[物理]&gt;表成绩单[[#This Row],[物理]]))+1)</f>
        <v>593</v>
      </c>
      <c r="T2975" s="29" cm="1">
        <f t="array" ref="T2975">IF(表成绩单[[#This Row],[化学]]="","",SUMPRODUCT((表成绩单[考试日期]=表成绩单[[#This Row],[考试日期]])*(表成绩单[化学]&lt;9E+307)*(表成绩单[化学]&gt;表成绩单[[#This Row],[化学]]))+1)</f>
        <v>532</v>
      </c>
      <c r="U2975" s="29" cm="1">
        <f t="array" ref="U2975">IF(表成绩单[[#This Row],[政治]]="","",SUMPRODUCT((表成绩单[考试日期]=表成绩单[[#This Row],[考试日期]])*(表成绩单[政治]&lt;9E+307)*(表成绩单[政治]&gt;表成绩单[[#This Row],[政治]]))+1)</f>
        <v>470</v>
      </c>
      <c r="V2975" s="29" cm="1">
        <f t="array" ref="V2975">IF(表成绩单[[#This Row],[历史]]="","",SUMPRODUCT((表成绩单[考试日期]=表成绩单[[#This Row],[考试日期]])*(表成绩单[历史]&lt;9E+307)*(表成绩单[历史]&gt;表成绩单[[#This Row],[历史]]))+1)</f>
        <v>173</v>
      </c>
      <c r="W2975" s="29" cm="1">
        <f t="array" ref="W2975">IF(表成绩单[[#This Row],[总分]]="","",SUMPRODUCT((表成绩单[考试日期]=表成绩单[[#This Row],[考试日期]])*(表成绩单[总分]&lt;9E+307)*(表成绩单[总分]&gt;表成绩单[[#This Row],[总分]]))+1)</f>
        <v>567</v>
      </c>
    </row>
    <row r="2976" ht="28" customHeight="1" spans="4:23">
      <c r="D2976" s="31">
        <v>46108</v>
      </c>
      <c r="E2976" s="29">
        <v>19175980</v>
      </c>
      <c r="F2976" s="29" t="s">
        <v>59</v>
      </c>
      <c r="G2976" s="29" t="s">
        <v>660</v>
      </c>
      <c r="H2976" s="29">
        <v>84</v>
      </c>
      <c r="I2976" s="29">
        <v>67</v>
      </c>
      <c r="J2976" s="29">
        <v>65</v>
      </c>
      <c r="K2976" s="29">
        <v>77</v>
      </c>
      <c r="L2976" s="29">
        <v>64</v>
      </c>
      <c r="M2976" s="29">
        <v>75</v>
      </c>
      <c r="N2976" s="29">
        <v>77</v>
      </c>
      <c r="O2976" s="32">
        <v>509</v>
      </c>
      <c r="P2976" s="29" cm="1">
        <f t="array" ref="P2976">IF(表成绩单[[#This Row],[语文]]="","",SUMPRODUCT((表成绩单[考试日期]=表成绩单[[#This Row],[考试日期]])*(表成绩单[语文]&lt;9E+307)*(表成绩单[语文]&gt;表成绩单[[#This Row],[语文]]))+1)</f>
        <v>638</v>
      </c>
      <c r="Q2976" s="29" cm="1">
        <f t="array" ref="Q2976">IF(表成绩单[[#This Row],[数学]]="","",SUMPRODUCT((表成绩单[考试日期]=表成绩单[[#This Row],[考试日期]])*(表成绩单[数学]&lt;9E+307)*(表成绩单[数学]&gt;表成绩单[[#This Row],[数学]]))+1)</f>
        <v>675</v>
      </c>
      <c r="R2976" s="29" cm="1">
        <f t="array" ref="R2976">IF(表成绩单[[#This Row],[英语]]="","",SUMPRODUCT((表成绩单[考试日期]=表成绩单[[#This Row],[考试日期]])*(表成绩单[英语]&lt;9E+307)*(表成绩单[英语]&gt;表成绩单[[#This Row],[英语]]))+1)</f>
        <v>603</v>
      </c>
      <c r="S2976" s="29" cm="1">
        <f t="array" ref="S2976">IF(表成绩单[[#This Row],[物理]]="","",SUMPRODUCT((表成绩单[考试日期]=表成绩单[[#This Row],[考试日期]])*(表成绩单[物理]&lt;9E+307)*(表成绩单[物理]&gt;表成绩单[[#This Row],[物理]]))+1)</f>
        <v>400</v>
      </c>
      <c r="T2976" s="29" cm="1">
        <f t="array" ref="T2976">IF(表成绩单[[#This Row],[化学]]="","",SUMPRODUCT((表成绩单[考试日期]=表成绩单[[#This Row],[考试日期]])*(表成绩单[化学]&lt;9E+307)*(表成绩单[化学]&gt;表成绩单[[#This Row],[化学]]))+1)</f>
        <v>400</v>
      </c>
      <c r="U2976" s="29" cm="1">
        <f t="array" ref="U2976">IF(表成绩单[[#This Row],[政治]]="","",SUMPRODUCT((表成绩单[考试日期]=表成绩单[[#This Row],[考试日期]])*(表成绩单[政治]&lt;9E+307)*(表成绩单[政治]&gt;表成绩单[[#This Row],[政治]]))+1)</f>
        <v>346</v>
      </c>
      <c r="V2976" s="29" cm="1">
        <f t="array" ref="V2976">IF(表成绩单[[#This Row],[历史]]="","",SUMPRODUCT((表成绩单[考试日期]=表成绩单[[#This Row],[考试日期]])*(表成绩单[历史]&lt;9E+307)*(表成绩单[历史]&gt;表成绩单[[#This Row],[历史]]))+1)</f>
        <v>269</v>
      </c>
      <c r="W2976" s="29" cm="1">
        <f t="array" ref="W2976">IF(表成绩单[[#This Row],[总分]]="","",SUMPRODUCT((表成绩单[考试日期]=表成绩单[[#This Row],[考试日期]])*(表成绩单[总分]&lt;9E+307)*(表成绩单[总分]&gt;表成绩单[[#This Row],[总分]]))+1)</f>
        <v>569</v>
      </c>
    </row>
    <row r="2977" ht="28" customHeight="1" spans="4:23">
      <c r="D2977" s="31">
        <v>46108</v>
      </c>
      <c r="E2977" s="29">
        <v>19176173</v>
      </c>
      <c r="F2977" s="29" t="s">
        <v>67</v>
      </c>
      <c r="G2977" s="29" t="s">
        <v>457</v>
      </c>
      <c r="H2977" s="29">
        <v>90</v>
      </c>
      <c r="I2977" s="29">
        <v>89</v>
      </c>
      <c r="J2977" s="29">
        <v>62</v>
      </c>
      <c r="K2977" s="29">
        <v>70</v>
      </c>
      <c r="L2977" s="29">
        <v>56</v>
      </c>
      <c r="M2977" s="29">
        <v>73</v>
      </c>
      <c r="N2977" s="29">
        <v>69</v>
      </c>
      <c r="O2977" s="32">
        <v>509</v>
      </c>
      <c r="P2977" s="29" cm="1">
        <f t="array" ref="P2977">IF(表成绩单[[#This Row],[语文]]="","",SUMPRODUCT((表成绩单[考试日期]=表成绩单[[#This Row],[考试日期]])*(表成绩单[语文]&lt;9E+307)*(表成绩单[语文]&gt;表成绩单[[#This Row],[语文]]))+1)</f>
        <v>539</v>
      </c>
      <c r="Q2977" s="29" cm="1">
        <f t="array" ref="Q2977">IF(表成绩单[[#This Row],[数学]]="","",SUMPRODUCT((表成绩单[考试日期]=表成绩单[[#This Row],[考试日期]])*(表成绩单[数学]&lt;9E+307)*(表成绩单[数学]&gt;表成绩单[[#This Row],[数学]]))+1)</f>
        <v>402</v>
      </c>
      <c r="R2977" s="29" cm="1">
        <f t="array" ref="R2977">IF(表成绩单[[#This Row],[英语]]="","",SUMPRODUCT((表成绩单[考试日期]=表成绩单[[#This Row],[考试日期]])*(表成绩单[英语]&lt;9E+307)*(表成绩单[英语]&gt;表成绩单[[#This Row],[英语]]))+1)</f>
        <v>638</v>
      </c>
      <c r="S2977" s="29" cm="1">
        <f t="array" ref="S2977">IF(表成绩单[[#This Row],[物理]]="","",SUMPRODUCT((表成绩单[考试日期]=表成绩单[[#This Row],[考试日期]])*(表成绩单[物理]&lt;9E+307)*(表成绩单[物理]&gt;表成绩单[[#This Row],[物理]]))+1)</f>
        <v>549</v>
      </c>
      <c r="T2977" s="29" cm="1">
        <f t="array" ref="T2977">IF(表成绩单[[#This Row],[化学]]="","",SUMPRODUCT((表成绩单[考试日期]=表成绩单[[#This Row],[考试日期]])*(表成绩单[化学]&lt;9E+307)*(表成绩单[化学]&gt;表成绩单[[#This Row],[化学]]))+1)</f>
        <v>569</v>
      </c>
      <c r="U2977" s="29" cm="1">
        <f t="array" ref="U2977">IF(表成绩单[[#This Row],[政治]]="","",SUMPRODUCT((表成绩单[考试日期]=表成绩单[[#This Row],[考试日期]])*(表成绩单[政治]&lt;9E+307)*(表成绩单[政治]&gt;表成绩单[[#This Row],[政治]]))+1)</f>
        <v>431</v>
      </c>
      <c r="V2977" s="29" cm="1">
        <f t="array" ref="V2977">IF(表成绩单[[#This Row],[历史]]="","",SUMPRODUCT((表成绩单[考试日期]=表成绩单[[#This Row],[考试日期]])*(表成绩单[历史]&lt;9E+307)*(表成绩单[历史]&gt;表成绩单[[#This Row],[历史]]))+1)</f>
        <v>569</v>
      </c>
      <c r="W2977" s="29" cm="1">
        <f t="array" ref="W2977">IF(表成绩单[[#This Row],[总分]]="","",SUMPRODUCT((表成绩单[考试日期]=表成绩单[[#This Row],[考试日期]])*(表成绩单[总分]&lt;9E+307)*(表成绩单[总分]&gt;表成绩单[[#This Row],[总分]]))+1)</f>
        <v>569</v>
      </c>
    </row>
    <row r="2978" ht="28" customHeight="1" spans="4:23">
      <c r="D2978" s="31">
        <v>46108</v>
      </c>
      <c r="E2978" s="29">
        <v>19178583</v>
      </c>
      <c r="F2978" s="29" t="s">
        <v>64</v>
      </c>
      <c r="G2978" s="29" t="s">
        <v>687</v>
      </c>
      <c r="H2978" s="29">
        <v>93</v>
      </c>
      <c r="I2978" s="29">
        <v>84</v>
      </c>
      <c r="J2978" s="29">
        <v>64.5</v>
      </c>
      <c r="K2978" s="29">
        <v>65</v>
      </c>
      <c r="L2978" s="29">
        <v>53</v>
      </c>
      <c r="M2978" s="29">
        <v>70</v>
      </c>
      <c r="N2978" s="29">
        <v>79</v>
      </c>
      <c r="O2978" s="32">
        <v>508.5</v>
      </c>
      <c r="P2978" s="29" cm="1">
        <f t="array" ref="P2978">IF(表成绩单[[#This Row],[语文]]="","",SUMPRODUCT((表成绩单[考试日期]=表成绩单[[#This Row],[考试日期]])*(表成绩单[语文]&lt;9E+307)*(表成绩单[语文]&gt;表成绩单[[#This Row],[语文]]))+1)</f>
        <v>470</v>
      </c>
      <c r="Q2978" s="29" cm="1">
        <f t="array" ref="Q2978">IF(表成绩单[[#This Row],[数学]]="","",SUMPRODUCT((表成绩单[考试日期]=表成绩单[[#This Row],[考试日期]])*(表成绩单[数学]&lt;9E+307)*(表成绩单[数学]&gt;表成绩单[[#This Row],[数学]]))+1)</f>
        <v>518</v>
      </c>
      <c r="R2978" s="29" cm="1">
        <f t="array" ref="R2978">IF(表成绩单[[#This Row],[英语]]="","",SUMPRODUCT((表成绩单[考试日期]=表成绩单[[#This Row],[考试日期]])*(表成绩单[英语]&lt;9E+307)*(表成绩单[英语]&gt;表成绩单[[#This Row],[英语]]))+1)</f>
        <v>610</v>
      </c>
      <c r="S2978" s="29" cm="1">
        <f t="array" ref="S2978">IF(表成绩单[[#This Row],[物理]]="","",SUMPRODUCT((表成绩单[考试日期]=表成绩单[[#This Row],[考试日期]])*(表成绩单[物理]&lt;9E+307)*(表成绩单[物理]&gt;表成绩单[[#This Row],[物理]]))+1)</f>
        <v>621</v>
      </c>
      <c r="T2978" s="29" cm="1">
        <f t="array" ref="T2978">IF(表成绩单[[#This Row],[化学]]="","",SUMPRODUCT((表成绩单[考试日期]=表成绩单[[#This Row],[考试日期]])*(表成绩单[化学]&lt;9E+307)*(表成绩单[化学]&gt;表成绩单[[#This Row],[化学]]))+1)</f>
        <v>601</v>
      </c>
      <c r="U2978" s="29" cm="1">
        <f t="array" ref="U2978">IF(表成绩单[[#This Row],[政治]]="","",SUMPRODUCT((表成绩单[考试日期]=表成绩单[[#This Row],[考试日期]])*(表成绩单[政治]&lt;9E+307)*(表成绩单[政治]&gt;表成绩单[[#This Row],[政治]]))+1)</f>
        <v>548</v>
      </c>
      <c r="V2978" s="29" cm="1">
        <f t="array" ref="V2978">IF(表成绩单[[#This Row],[历史]]="","",SUMPRODUCT((表成绩单[考试日期]=表成绩单[[#This Row],[考试日期]])*(表成绩单[历史]&lt;9E+307)*(表成绩单[历史]&gt;表成绩单[[#This Row],[历史]]))+1)</f>
        <v>173</v>
      </c>
      <c r="W2978" s="29" cm="1">
        <f t="array" ref="W2978">IF(表成绩单[[#This Row],[总分]]="","",SUMPRODUCT((表成绩单[考试日期]=表成绩单[[#This Row],[考试日期]])*(表成绩单[总分]&lt;9E+307)*(表成绩单[总分]&gt;表成绩单[[#This Row],[总分]]))+1)</f>
        <v>571</v>
      </c>
    </row>
    <row r="2979" ht="28" customHeight="1" spans="4:23">
      <c r="D2979" s="31">
        <v>46108</v>
      </c>
      <c r="E2979" s="29">
        <v>19178602</v>
      </c>
      <c r="F2979" s="29" t="s">
        <v>64</v>
      </c>
      <c r="G2979" s="29" t="s">
        <v>754</v>
      </c>
      <c r="H2979" s="29">
        <v>92</v>
      </c>
      <c r="I2979" s="29">
        <v>73</v>
      </c>
      <c r="J2979" s="29">
        <v>60.5</v>
      </c>
      <c r="K2979" s="29">
        <v>81</v>
      </c>
      <c r="L2979" s="29">
        <v>69</v>
      </c>
      <c r="M2979" s="29">
        <v>61</v>
      </c>
      <c r="N2979" s="29">
        <v>72</v>
      </c>
      <c r="O2979" s="32">
        <v>508.5</v>
      </c>
      <c r="P2979" s="29" cm="1">
        <f t="array" ref="P2979">IF(表成绩单[[#This Row],[语文]]="","",SUMPRODUCT((表成绩单[考试日期]=表成绩单[[#This Row],[考试日期]])*(表成绩单[语文]&lt;9E+307)*(表成绩单[语文]&gt;表成绩单[[#This Row],[语文]]))+1)</f>
        <v>494</v>
      </c>
      <c r="Q2979" s="29" cm="1">
        <f t="array" ref="Q2979">IF(表成绩单[[#This Row],[数学]]="","",SUMPRODUCT((表成绩单[考试日期]=表成绩单[[#This Row],[考试日期]])*(表成绩单[数学]&lt;9E+307)*(表成绩单[数学]&gt;表成绩单[[#This Row],[数学]]))+1)</f>
        <v>643</v>
      </c>
      <c r="R2979" s="29" cm="1">
        <f t="array" ref="R2979">IF(表成绩单[[#This Row],[英语]]="","",SUMPRODUCT((表成绩单[考试日期]=表成绩单[[#This Row],[考试日期]])*(表成绩单[英语]&lt;9E+307)*(表成绩单[英语]&gt;表成绩单[[#This Row],[英语]]))+1)</f>
        <v>650</v>
      </c>
      <c r="S2979" s="29" cm="1">
        <f t="array" ref="S2979">IF(表成绩单[[#This Row],[物理]]="","",SUMPRODUCT((表成绩单[考试日期]=表成绩单[[#This Row],[考试日期]])*(表成绩单[物理]&lt;9E+307)*(表成绩单[物理]&gt;表成绩单[[#This Row],[物理]]))+1)</f>
        <v>269</v>
      </c>
      <c r="T2979" s="29" cm="1">
        <f t="array" ref="T2979">IF(表成绩单[[#This Row],[化学]]="","",SUMPRODUCT((表成绩单[考试日期]=表成绩单[[#This Row],[考试日期]])*(表成绩单[化学]&lt;9E+307)*(表成绩单[化学]&gt;表成绩单[[#This Row],[化学]]))+1)</f>
        <v>269</v>
      </c>
      <c r="U2979" s="29" cm="1">
        <f t="array" ref="U2979">IF(表成绩单[[#This Row],[政治]]="","",SUMPRODUCT((表成绩单[考试日期]=表成绩单[[#This Row],[考试日期]])*(表成绩单[政治]&lt;9E+307)*(表成绩单[政治]&gt;表成绩单[[#This Row],[政治]]))+1)</f>
        <v>700</v>
      </c>
      <c r="V2979" s="29" cm="1">
        <f t="array" ref="V2979">IF(表成绩单[[#This Row],[历史]]="","",SUMPRODUCT((表成绩单[考试日期]=表成绩单[[#This Row],[考试日期]])*(表成绩单[历史]&lt;9E+307)*(表成绩单[历史]&gt;表成绩单[[#This Row],[历史]]))+1)</f>
        <v>470</v>
      </c>
      <c r="W2979" s="29" cm="1">
        <f t="array" ref="W2979">IF(表成绩单[[#This Row],[总分]]="","",SUMPRODUCT((表成绩单[考试日期]=表成绩单[[#This Row],[考试日期]])*(表成绩单[总分]&lt;9E+307)*(表成绩单[总分]&gt;表成绩单[[#This Row],[总分]]))+1)</f>
        <v>571</v>
      </c>
    </row>
    <row r="2980" ht="28" customHeight="1" spans="4:23">
      <c r="D2980" s="31">
        <v>46108</v>
      </c>
      <c r="E2980" s="29">
        <v>19172623</v>
      </c>
      <c r="F2980" s="29" t="s">
        <v>60</v>
      </c>
      <c r="G2980" s="29" t="s">
        <v>657</v>
      </c>
      <c r="H2980" s="29">
        <v>94</v>
      </c>
      <c r="I2980" s="29">
        <v>86</v>
      </c>
      <c r="J2980" s="29">
        <v>61</v>
      </c>
      <c r="K2980" s="29">
        <v>67</v>
      </c>
      <c r="L2980" s="29">
        <v>56</v>
      </c>
      <c r="M2980" s="29">
        <v>71</v>
      </c>
      <c r="N2980" s="29">
        <v>73</v>
      </c>
      <c r="O2980" s="32">
        <v>508</v>
      </c>
      <c r="P2980" s="29" cm="1">
        <f t="array" ref="P2980">IF(表成绩单[[#This Row],[语文]]="","",SUMPRODUCT((表成绩单[考试日期]=表成绩单[[#This Row],[考试日期]])*(表成绩单[语文]&lt;9E+307)*(表成绩单[语文]&gt;表成绩单[[#This Row],[语文]]))+1)</f>
        <v>449</v>
      </c>
      <c r="Q2980" s="29" cm="1">
        <f t="array" ref="Q2980">IF(表成绩单[[#This Row],[数学]]="","",SUMPRODUCT((表成绩单[考试日期]=表成绩单[[#This Row],[考试日期]])*(表成绩单[数学]&lt;9E+307)*(表成绩单[数学]&gt;表成绩单[[#This Row],[数学]]))+1)</f>
        <v>479</v>
      </c>
      <c r="R2980" s="29" cm="1">
        <f t="array" ref="R2980">IF(表成绩单[[#This Row],[英语]]="","",SUMPRODUCT((表成绩单[考试日期]=表成绩单[[#This Row],[考试日期]])*(表成绩单[英语]&lt;9E+307)*(表成绩单[英语]&gt;表成绩单[[#This Row],[英语]]))+1)</f>
        <v>644</v>
      </c>
      <c r="S2980" s="29" cm="1">
        <f t="array" ref="S2980">IF(表成绩单[[#This Row],[物理]]="","",SUMPRODUCT((表成绩单[考试日期]=表成绩单[[#This Row],[考试日期]])*(表成绩单[物理]&lt;9E+307)*(表成绩单[物理]&gt;表成绩单[[#This Row],[物理]]))+1)</f>
        <v>593</v>
      </c>
      <c r="T2980" s="29" cm="1">
        <f t="array" ref="T2980">IF(表成绩单[[#This Row],[化学]]="","",SUMPRODUCT((表成绩单[考试日期]=表成绩单[[#This Row],[考试日期]])*(表成绩单[化学]&lt;9E+307)*(表成绩单[化学]&gt;表成绩单[[#This Row],[化学]]))+1)</f>
        <v>569</v>
      </c>
      <c r="U2980" s="29" cm="1">
        <f t="array" ref="U2980">IF(表成绩单[[#This Row],[政治]]="","",SUMPRODUCT((表成绩单[考试日期]=表成绩单[[#This Row],[考试日期]])*(表成绩单[政治]&lt;9E+307)*(表成绩单[政治]&gt;表成绩单[[#This Row],[政治]]))+1)</f>
        <v>513</v>
      </c>
      <c r="V2980" s="29" cm="1">
        <f t="array" ref="V2980">IF(表成绩单[[#This Row],[历史]]="","",SUMPRODUCT((表成绩单[考试日期]=表成绩单[[#This Row],[考试日期]])*(表成绩单[历史]&lt;9E+307)*(表成绩单[历史]&gt;表成绩单[[#This Row],[历史]]))+1)</f>
        <v>432</v>
      </c>
      <c r="W2980" s="29" cm="1">
        <f t="array" ref="W2980">IF(表成绩单[[#This Row],[总分]]="","",SUMPRODUCT((表成绩单[考试日期]=表成绩单[[#This Row],[考试日期]])*(表成绩单[总分]&lt;9E+307)*(表成绩单[总分]&gt;表成绩单[[#This Row],[总分]]))+1)</f>
        <v>573</v>
      </c>
    </row>
    <row r="2981" ht="28" customHeight="1" spans="4:23">
      <c r="D2981" s="31">
        <v>46108</v>
      </c>
      <c r="E2981" s="29">
        <v>19173252</v>
      </c>
      <c r="F2981" s="29" t="s">
        <v>61</v>
      </c>
      <c r="G2981" s="29" t="s">
        <v>653</v>
      </c>
      <c r="H2981" s="29">
        <v>85</v>
      </c>
      <c r="I2981" s="29">
        <v>83</v>
      </c>
      <c r="J2981" s="29">
        <v>66.5</v>
      </c>
      <c r="K2981" s="29">
        <v>74</v>
      </c>
      <c r="L2981" s="29">
        <v>55</v>
      </c>
      <c r="M2981" s="29">
        <v>73</v>
      </c>
      <c r="N2981" s="29">
        <v>71</v>
      </c>
      <c r="O2981" s="32">
        <v>507.5</v>
      </c>
      <c r="P2981" s="29" cm="1">
        <f t="array" ref="P2981">IF(表成绩单[[#This Row],[语文]]="","",SUMPRODUCT((表成绩单[考试日期]=表成绩单[[#This Row],[考试日期]])*(表成绩单[语文]&lt;9E+307)*(表成绩单[语文]&gt;表成绩单[[#This Row],[语文]]))+1)</f>
        <v>626</v>
      </c>
      <c r="Q2981" s="29" cm="1">
        <f t="array" ref="Q2981">IF(表成绩单[[#This Row],[数学]]="","",SUMPRODUCT((表成绩单[考试日期]=表成绩单[[#This Row],[考试日期]])*(表成绩单[数学]&lt;9E+307)*(表成绩单[数学]&gt;表成绩单[[#This Row],[数学]]))+1)</f>
        <v>543</v>
      </c>
      <c r="R2981" s="29" cm="1">
        <f t="array" ref="R2981">IF(表成绩单[[#This Row],[英语]]="","",SUMPRODUCT((表成绩单[考试日期]=表成绩单[[#This Row],[考试日期]])*(表成绩单[英语]&lt;9E+307)*(表成绩单[英语]&gt;表成绩单[[#This Row],[英语]]))+1)</f>
        <v>584</v>
      </c>
      <c r="S2981" s="29" cm="1">
        <f t="array" ref="S2981">IF(表成绩单[[#This Row],[物理]]="","",SUMPRODUCT((表成绩单[考试日期]=表成绩单[[#This Row],[考试日期]])*(表成绩单[物理]&lt;9E+307)*(表成绩单[物理]&gt;表成绩单[[#This Row],[物理]]))+1)</f>
        <v>472</v>
      </c>
      <c r="T2981" s="29" cm="1">
        <f t="array" ref="T2981">IF(表成绩单[[#This Row],[化学]]="","",SUMPRODUCT((表成绩单[考试日期]=表成绩单[[#This Row],[考试日期]])*(表成绩单[化学]&lt;9E+307)*(表成绩单[化学]&gt;表成绩单[[#This Row],[化学]]))+1)</f>
        <v>580</v>
      </c>
      <c r="U2981" s="29" cm="1">
        <f t="array" ref="U2981">IF(表成绩单[[#This Row],[政治]]="","",SUMPRODUCT((表成绩单[考试日期]=表成绩单[[#This Row],[考试日期]])*(表成绩单[政治]&lt;9E+307)*(表成绩单[政治]&gt;表成绩单[[#This Row],[政治]]))+1)</f>
        <v>431</v>
      </c>
      <c r="V2981" s="29" cm="1">
        <f t="array" ref="V2981">IF(表成绩单[[#This Row],[历史]]="","",SUMPRODUCT((表成绩单[考试日期]=表成绩单[[#This Row],[考试日期]])*(表成绩单[历史]&lt;9E+307)*(表成绩单[历史]&gt;表成绩单[[#This Row],[历史]]))+1)</f>
        <v>516</v>
      </c>
      <c r="W2981" s="29" cm="1">
        <f t="array" ref="W2981">IF(表成绩单[[#This Row],[总分]]="","",SUMPRODUCT((表成绩单[考试日期]=表成绩单[[#This Row],[考试日期]])*(表成绩单[总分]&lt;9E+307)*(表成绩单[总分]&gt;表成绩单[[#This Row],[总分]]))+1)</f>
        <v>574</v>
      </c>
    </row>
    <row r="2982" ht="28" customHeight="1" spans="4:23">
      <c r="D2982" s="31">
        <v>46108</v>
      </c>
      <c r="E2982" s="29">
        <v>19175609</v>
      </c>
      <c r="F2982" s="29" t="s">
        <v>57</v>
      </c>
      <c r="G2982" s="29" t="s">
        <v>647</v>
      </c>
      <c r="H2982" s="29">
        <v>86</v>
      </c>
      <c r="I2982" s="29">
        <v>94</v>
      </c>
      <c r="J2982" s="29">
        <v>62.5</v>
      </c>
      <c r="K2982" s="29">
        <v>69</v>
      </c>
      <c r="L2982" s="29">
        <v>55</v>
      </c>
      <c r="M2982" s="29">
        <v>75</v>
      </c>
      <c r="N2982" s="29">
        <v>66</v>
      </c>
      <c r="O2982" s="32">
        <v>507.5</v>
      </c>
      <c r="P2982" s="29" cm="1">
        <f t="array" ref="P2982">IF(表成绩单[[#This Row],[语文]]="","",SUMPRODUCT((表成绩单[考试日期]=表成绩单[[#This Row],[考试日期]])*(表成绩单[语文]&lt;9E+307)*(表成绩单[语文]&gt;表成绩单[[#This Row],[语文]]))+1)</f>
        <v>610</v>
      </c>
      <c r="Q2982" s="29" cm="1">
        <f t="array" ref="Q2982">IF(表成绩单[[#This Row],[数学]]="","",SUMPRODUCT((表成绩单[考试日期]=表成绩单[[#This Row],[考试日期]])*(表成绩单[数学]&lt;9E+307)*(表成绩单[数学]&gt;表成绩单[[#This Row],[数学]]))+1)</f>
        <v>258</v>
      </c>
      <c r="R2982" s="29" cm="1">
        <f t="array" ref="R2982">IF(表成绩单[[#This Row],[英语]]="","",SUMPRODUCT((表成绩单[考试日期]=表成绩单[[#This Row],[考试日期]])*(表成绩单[英语]&lt;9E+307)*(表成绩单[英语]&gt;表成绩单[[#This Row],[英语]]))+1)</f>
        <v>633</v>
      </c>
      <c r="S2982" s="29" cm="1">
        <f t="array" ref="S2982">IF(表成绩单[[#This Row],[物理]]="","",SUMPRODUCT((表成绩单[考试日期]=表成绩单[[#This Row],[考试日期]])*(表成绩单[物理]&lt;9E+307)*(表成绩单[物理]&gt;表成绩单[[#This Row],[物理]]))+1)</f>
        <v>565</v>
      </c>
      <c r="T2982" s="29" cm="1">
        <f t="array" ref="T2982">IF(表成绩单[[#This Row],[化学]]="","",SUMPRODUCT((表成绩单[考试日期]=表成绩单[[#This Row],[考试日期]])*(表成绩单[化学]&lt;9E+307)*(表成绩单[化学]&gt;表成绩单[[#This Row],[化学]]))+1)</f>
        <v>580</v>
      </c>
      <c r="U2982" s="29" cm="1">
        <f t="array" ref="U2982">IF(表成绩单[[#This Row],[政治]]="","",SUMPRODUCT((表成绩单[考试日期]=表成绩单[[#This Row],[考试日期]])*(表成绩单[政治]&lt;9E+307)*(表成绩单[政治]&gt;表成绩单[[#This Row],[政治]]))+1)</f>
        <v>346</v>
      </c>
      <c r="V2982" s="29" cm="1">
        <f t="array" ref="V2982">IF(表成绩单[[#This Row],[历史]]="","",SUMPRODUCT((表成绩单[考试日期]=表成绩单[[#This Row],[考试日期]])*(表成绩单[历史]&lt;9E+307)*(表成绩单[历史]&gt;表成绩单[[#This Row],[历史]]))+1)</f>
        <v>637</v>
      </c>
      <c r="W2982" s="29" cm="1">
        <f t="array" ref="W2982">IF(表成绩单[[#This Row],[总分]]="","",SUMPRODUCT((表成绩单[考试日期]=表成绩单[[#This Row],[考试日期]])*(表成绩单[总分]&lt;9E+307)*(表成绩单[总分]&gt;表成绩单[[#This Row],[总分]]))+1)</f>
        <v>574</v>
      </c>
    </row>
    <row r="2983" ht="28" customHeight="1" spans="4:23">
      <c r="D2983" s="31">
        <v>46108</v>
      </c>
      <c r="E2983" s="29">
        <v>19175631</v>
      </c>
      <c r="F2983" s="29" t="s">
        <v>57</v>
      </c>
      <c r="G2983" s="29" t="s">
        <v>648</v>
      </c>
      <c r="H2983" s="29">
        <v>86</v>
      </c>
      <c r="I2983" s="29">
        <v>96</v>
      </c>
      <c r="J2983" s="29">
        <v>66.5</v>
      </c>
      <c r="K2983" s="29">
        <v>72</v>
      </c>
      <c r="L2983" s="29">
        <v>50</v>
      </c>
      <c r="M2983" s="29">
        <v>70</v>
      </c>
      <c r="N2983" s="29">
        <v>67</v>
      </c>
      <c r="O2983" s="32">
        <v>507.5</v>
      </c>
      <c r="P2983" s="29" cm="1">
        <f t="array" ref="P2983">IF(表成绩单[[#This Row],[语文]]="","",SUMPRODUCT((表成绩单[考试日期]=表成绩单[[#This Row],[考试日期]])*(表成绩单[语文]&lt;9E+307)*(表成绩单[语文]&gt;表成绩单[[#This Row],[语文]]))+1)</f>
        <v>610</v>
      </c>
      <c r="Q2983" s="29" cm="1">
        <f t="array" ref="Q2983">IF(表成绩单[[#This Row],[数学]]="","",SUMPRODUCT((表成绩单[考试日期]=表成绩单[[#This Row],[考试日期]])*(表成绩单[数学]&lt;9E+307)*(表成绩单[数学]&gt;表成绩单[[#This Row],[数学]]))+1)</f>
        <v>202</v>
      </c>
      <c r="R2983" s="29" cm="1">
        <f t="array" ref="R2983">IF(表成绩单[[#This Row],[英语]]="","",SUMPRODUCT((表成绩单[考试日期]=表成绩单[[#This Row],[考试日期]])*(表成绩单[英语]&lt;9E+307)*(表成绩单[英语]&gt;表成绩单[[#This Row],[英语]]))+1)</f>
        <v>584</v>
      </c>
      <c r="S2983" s="29" cm="1">
        <f t="array" ref="S2983">IF(表成绩单[[#This Row],[物理]]="","",SUMPRODUCT((表成绩单[考试日期]=表成绩单[[#This Row],[考试日期]])*(表成绩单[物理]&lt;9E+307)*(表成绩单[物理]&gt;表成绩单[[#This Row],[物理]]))+1)</f>
        <v>521</v>
      </c>
      <c r="T2983" s="29" cm="1">
        <f t="array" ref="T2983">IF(表成绩单[[#This Row],[化学]]="","",SUMPRODUCT((表成绩单[考试日期]=表成绩单[[#This Row],[考试日期]])*(表成绩单[化学]&lt;9E+307)*(表成绩单[化学]&gt;表成绩单[[#This Row],[化学]]))+1)</f>
        <v>632</v>
      </c>
      <c r="U2983" s="29" cm="1">
        <f t="array" ref="U2983">IF(表成绩单[[#This Row],[政治]]="","",SUMPRODUCT((表成绩单[考试日期]=表成绩单[[#This Row],[考试日期]])*(表成绩单[政治]&lt;9E+307)*(表成绩单[政治]&gt;表成绩单[[#This Row],[政治]]))+1)</f>
        <v>548</v>
      </c>
      <c r="V2983" s="29" cm="1">
        <f t="array" ref="V2983">IF(表成绩单[[#This Row],[历史]]="","",SUMPRODUCT((表成绩单[考试日期]=表成绩单[[#This Row],[考试日期]])*(表成绩单[历史]&lt;9E+307)*(表成绩单[历史]&gt;表成绩单[[#This Row],[历史]]))+1)</f>
        <v>623</v>
      </c>
      <c r="W2983" s="29" cm="1">
        <f t="array" ref="W2983">IF(表成绩单[[#This Row],[总分]]="","",SUMPRODUCT((表成绩单[考试日期]=表成绩单[[#This Row],[考试日期]])*(表成绩单[总分]&lt;9E+307)*(表成绩单[总分]&gt;表成绩单[[#This Row],[总分]]))+1)</f>
        <v>574</v>
      </c>
    </row>
    <row r="2984" ht="28" customHeight="1" spans="4:23">
      <c r="D2984" s="31">
        <v>46108</v>
      </c>
      <c r="E2984" s="29">
        <v>19175665</v>
      </c>
      <c r="F2984" s="29" t="s">
        <v>66</v>
      </c>
      <c r="G2984" s="29" t="s">
        <v>609</v>
      </c>
      <c r="H2984" s="29">
        <v>92</v>
      </c>
      <c r="I2984" s="29">
        <v>86</v>
      </c>
      <c r="J2984" s="29">
        <v>75.5</v>
      </c>
      <c r="K2984" s="29">
        <v>63</v>
      </c>
      <c r="L2984" s="29">
        <v>54</v>
      </c>
      <c r="M2984" s="29">
        <v>71</v>
      </c>
      <c r="N2984" s="29">
        <v>66</v>
      </c>
      <c r="O2984" s="32">
        <v>507.5</v>
      </c>
      <c r="P2984" s="29" cm="1">
        <f t="array" ref="P2984">IF(表成绩单[[#This Row],[语文]]="","",SUMPRODUCT((表成绩单[考试日期]=表成绩单[[#This Row],[考试日期]])*(表成绩单[语文]&lt;9E+307)*(表成绩单[语文]&gt;表成绩单[[#This Row],[语文]]))+1)</f>
        <v>494</v>
      </c>
      <c r="Q2984" s="29" cm="1">
        <f t="array" ref="Q2984">IF(表成绩单[[#This Row],[数学]]="","",SUMPRODUCT((表成绩单[考试日期]=表成绩单[[#This Row],[考试日期]])*(表成绩单[数学]&lt;9E+307)*(表成绩单[数学]&gt;表成绩单[[#This Row],[数学]]))+1)</f>
        <v>479</v>
      </c>
      <c r="R2984" s="29" cm="1">
        <f t="array" ref="R2984">IF(表成绩单[[#This Row],[英语]]="","",SUMPRODUCT((表成绩单[考试日期]=表成绩单[[#This Row],[考试日期]])*(表成绩单[英语]&lt;9E+307)*(表成绩单[英语]&gt;表成绩单[[#This Row],[英语]]))+1)</f>
        <v>421</v>
      </c>
      <c r="S2984" s="29" cm="1">
        <f t="array" ref="S2984">IF(表成绩单[[#This Row],[物理]]="","",SUMPRODUCT((表成绩单[考试日期]=表成绩单[[#This Row],[考试日期]])*(表成绩单[物理]&lt;9E+307)*(表成绩单[物理]&gt;表成绩单[[#This Row],[物理]]))+1)</f>
        <v>631</v>
      </c>
      <c r="T2984" s="29" cm="1">
        <f t="array" ref="T2984">IF(表成绩单[[#This Row],[化学]]="","",SUMPRODUCT((表成绩单[考试日期]=表成绩单[[#This Row],[考试日期]])*(表成绩单[化学]&lt;9E+307)*(表成绩单[化学]&gt;表成绩单[[#This Row],[化学]]))+1)</f>
        <v>592</v>
      </c>
      <c r="U2984" s="29" cm="1">
        <f t="array" ref="U2984">IF(表成绩单[[#This Row],[政治]]="","",SUMPRODUCT((表成绩单[考试日期]=表成绩单[[#This Row],[考试日期]])*(表成绩单[政治]&lt;9E+307)*(表成绩单[政治]&gt;表成绩单[[#This Row],[政治]]))+1)</f>
        <v>513</v>
      </c>
      <c r="V2984" s="29" cm="1">
        <f t="array" ref="V2984">IF(表成绩单[[#This Row],[历史]]="","",SUMPRODUCT((表成绩单[考试日期]=表成绩单[[#This Row],[考试日期]])*(表成绩单[历史]&lt;9E+307)*(表成绩单[历史]&gt;表成绩单[[#This Row],[历史]]))+1)</f>
        <v>637</v>
      </c>
      <c r="W2984" s="29" cm="1">
        <f t="array" ref="W2984">IF(表成绩单[[#This Row],[总分]]="","",SUMPRODUCT((表成绩单[考试日期]=表成绩单[[#This Row],[考试日期]])*(表成绩单[总分]&lt;9E+307)*(表成绩单[总分]&gt;表成绩单[[#This Row],[总分]]))+1)</f>
        <v>574</v>
      </c>
    </row>
    <row r="2985" ht="28" customHeight="1" spans="4:23">
      <c r="D2985" s="31">
        <v>46108</v>
      </c>
      <c r="E2985" s="29">
        <v>19177603</v>
      </c>
      <c r="F2985" s="29" t="s">
        <v>58</v>
      </c>
      <c r="G2985" s="29" t="s">
        <v>714</v>
      </c>
      <c r="H2985" s="29">
        <v>90</v>
      </c>
      <c r="I2985" s="29">
        <v>89</v>
      </c>
      <c r="J2985" s="29">
        <v>75.5</v>
      </c>
      <c r="K2985" s="29">
        <v>76</v>
      </c>
      <c r="L2985" s="29">
        <v>49</v>
      </c>
      <c r="M2985" s="29">
        <v>63</v>
      </c>
      <c r="N2985" s="29">
        <v>65</v>
      </c>
      <c r="O2985" s="32">
        <v>507.5</v>
      </c>
      <c r="P2985" s="29" cm="1">
        <f t="array" ref="P2985">IF(表成绩单[[#This Row],[语文]]="","",SUMPRODUCT((表成绩单[考试日期]=表成绩单[[#This Row],[考试日期]])*(表成绩单[语文]&lt;9E+307)*(表成绩单[语文]&gt;表成绩单[[#This Row],[语文]]))+1)</f>
        <v>539</v>
      </c>
      <c r="Q2985" s="29" cm="1">
        <f t="array" ref="Q2985">IF(表成绩单[[#This Row],[数学]]="","",SUMPRODUCT((表成绩单[考试日期]=表成绩单[[#This Row],[考试日期]])*(表成绩单[数学]&lt;9E+307)*(表成绩单[数学]&gt;表成绩单[[#This Row],[数学]]))+1)</f>
        <v>402</v>
      </c>
      <c r="R2985" s="29" cm="1">
        <f t="array" ref="R2985">IF(表成绩单[[#This Row],[英语]]="","",SUMPRODUCT((表成绩单[考试日期]=表成绩单[[#This Row],[考试日期]])*(表成绩单[英语]&lt;9E+307)*(表成绩单[英语]&gt;表成绩单[[#This Row],[英语]]))+1)</f>
        <v>421</v>
      </c>
      <c r="S2985" s="29" cm="1">
        <f t="array" ref="S2985">IF(表成绩单[[#This Row],[物理]]="","",SUMPRODUCT((表成绩单[考试日期]=表成绩单[[#This Row],[考试日期]])*(表成绩单[物理]&lt;9E+307)*(表成绩单[物理]&gt;表成绩单[[#This Row],[物理]]))+1)</f>
        <v>433</v>
      </c>
      <c r="T2985" s="29" cm="1">
        <f t="array" ref="T2985">IF(表成绩单[[#This Row],[化学]]="","",SUMPRODUCT((表成绩单[考试日期]=表成绩单[[#This Row],[考试日期]])*(表成绩单[化学]&lt;9E+307)*(表成绩单[化学]&gt;表成绩单[[#This Row],[化学]]))+1)</f>
        <v>648</v>
      </c>
      <c r="U2985" s="29" cm="1">
        <f t="array" ref="U2985">IF(表成绩单[[#This Row],[政治]]="","",SUMPRODUCT((表成绩单[考试日期]=表成绩单[[#This Row],[考试日期]])*(表成绩单[政治]&lt;9E+307)*(表成绩单[政治]&gt;表成绩单[[#This Row],[政治]]))+1)</f>
        <v>680</v>
      </c>
      <c r="V2985" s="29" cm="1">
        <f t="array" ref="V2985">IF(表成绩单[[#This Row],[历史]]="","",SUMPRODUCT((表成绩单[考试日期]=表成绩单[[#This Row],[考试日期]])*(表成绩单[历史]&lt;9E+307)*(表成绩单[历史]&gt;表成绩单[[#This Row],[历史]]))+1)</f>
        <v>657</v>
      </c>
      <c r="W2985" s="29" cm="1">
        <f t="array" ref="W2985">IF(表成绩单[[#This Row],[总分]]="","",SUMPRODUCT((表成绩单[考试日期]=表成绩单[[#This Row],[考试日期]])*(表成绩单[总分]&lt;9E+307)*(表成绩单[总分]&gt;表成绩单[[#This Row],[总分]]))+1)</f>
        <v>574</v>
      </c>
    </row>
    <row r="2986" ht="28" customHeight="1" spans="4:23">
      <c r="D2986" s="31">
        <v>46108</v>
      </c>
      <c r="E2986" s="29">
        <v>19175985</v>
      </c>
      <c r="F2986" s="29" t="s">
        <v>59</v>
      </c>
      <c r="G2986" s="29" t="s">
        <v>710</v>
      </c>
      <c r="H2986" s="29">
        <v>90</v>
      </c>
      <c r="I2986" s="29">
        <v>70</v>
      </c>
      <c r="J2986" s="29">
        <v>63</v>
      </c>
      <c r="K2986" s="29">
        <v>74</v>
      </c>
      <c r="L2986" s="29">
        <v>58</v>
      </c>
      <c r="M2986" s="29">
        <v>78</v>
      </c>
      <c r="N2986" s="29">
        <v>74</v>
      </c>
      <c r="O2986" s="32">
        <v>507</v>
      </c>
      <c r="P2986" s="29" cm="1">
        <f t="array" ref="P2986">IF(表成绩单[[#This Row],[语文]]="","",SUMPRODUCT((表成绩单[考试日期]=表成绩单[[#This Row],[考试日期]])*(表成绩单[语文]&lt;9E+307)*(表成绩单[语文]&gt;表成绩单[[#This Row],[语文]]))+1)</f>
        <v>539</v>
      </c>
      <c r="Q2986" s="29" cm="1">
        <f t="array" ref="Q2986">IF(表成绩单[[#This Row],[数学]]="","",SUMPRODUCT((表成绩单[考试日期]=表成绩单[[#This Row],[考试日期]])*(表成绩单[数学]&lt;9E+307)*(表成绩单[数学]&gt;表成绩单[[#This Row],[数学]]))+1)</f>
        <v>659</v>
      </c>
      <c r="R2986" s="29" cm="1">
        <f t="array" ref="R2986">IF(表成绩单[[#This Row],[英语]]="","",SUMPRODUCT((表成绩单[考试日期]=表成绩单[[#This Row],[考试日期]])*(表成绩单[英语]&lt;9E+307)*(表成绩单[英语]&gt;表成绩单[[#This Row],[英语]]))+1)</f>
        <v>627</v>
      </c>
      <c r="S2986" s="29" cm="1">
        <f t="array" ref="S2986">IF(表成绩单[[#This Row],[物理]]="","",SUMPRODUCT((表成绩单[考试日期]=表成绩单[[#This Row],[考试日期]])*(表成绩单[物理]&lt;9E+307)*(表成绩单[物理]&gt;表成绩单[[#This Row],[物理]]))+1)</f>
        <v>472</v>
      </c>
      <c r="T2986" s="29" cm="1">
        <f t="array" ref="T2986">IF(表成绩单[[#This Row],[化学]]="","",SUMPRODUCT((表成绩单[考试日期]=表成绩单[[#This Row],[考试日期]])*(表成绩单[化学]&lt;9E+307)*(表成绩单[化学]&gt;表成绩单[[#This Row],[化学]]))+1)</f>
        <v>532</v>
      </c>
      <c r="U2986" s="29" cm="1">
        <f t="array" ref="U2986">IF(表成绩单[[#This Row],[政治]]="","",SUMPRODUCT((表成绩单[考试日期]=表成绩单[[#This Row],[考试日期]])*(表成绩单[政治]&lt;9E+307)*(表成绩单[政治]&gt;表成绩单[[#This Row],[政治]]))+1)</f>
        <v>171</v>
      </c>
      <c r="V2986" s="29" cm="1">
        <f t="array" ref="V2986">IF(表成绩单[[#This Row],[历史]]="","",SUMPRODUCT((表成绩单[考试日期]=表成绩单[[#This Row],[考试日期]])*(表成绩单[历史]&lt;9E+307)*(表成绩单[历史]&gt;表成绩单[[#This Row],[历史]]))+1)</f>
        <v>389</v>
      </c>
      <c r="W2986" s="29" cm="1">
        <f t="array" ref="W2986">IF(表成绩单[[#This Row],[总分]]="","",SUMPRODUCT((表成绩单[考试日期]=表成绩单[[#This Row],[考试日期]])*(表成绩单[总分]&lt;9E+307)*(表成绩单[总分]&gt;表成绩单[[#This Row],[总分]]))+1)</f>
        <v>579</v>
      </c>
    </row>
    <row r="2987" ht="28" customHeight="1" spans="4:23">
      <c r="D2987" s="31">
        <v>46108</v>
      </c>
      <c r="E2987" s="29">
        <v>19177644</v>
      </c>
      <c r="F2987" s="29" t="s">
        <v>63</v>
      </c>
      <c r="G2987" s="29" t="s">
        <v>598</v>
      </c>
      <c r="H2987" s="29">
        <v>86</v>
      </c>
      <c r="I2987" s="29">
        <v>86</v>
      </c>
      <c r="J2987" s="29">
        <v>71</v>
      </c>
      <c r="K2987" s="29">
        <v>73</v>
      </c>
      <c r="L2987" s="29">
        <v>57</v>
      </c>
      <c r="M2987" s="29">
        <v>73</v>
      </c>
      <c r="N2987" s="29">
        <v>61</v>
      </c>
      <c r="O2987" s="32">
        <v>507</v>
      </c>
      <c r="P2987" s="29" cm="1">
        <f t="array" ref="P2987">IF(表成绩单[[#This Row],[语文]]="","",SUMPRODUCT((表成绩单[考试日期]=表成绩单[[#This Row],[考试日期]])*(表成绩单[语文]&lt;9E+307)*(表成绩单[语文]&gt;表成绩单[[#This Row],[语文]]))+1)</f>
        <v>610</v>
      </c>
      <c r="Q2987" s="29" cm="1">
        <f t="array" ref="Q2987">IF(表成绩单[[#This Row],[数学]]="","",SUMPRODUCT((表成绩单[考试日期]=表成绩单[[#This Row],[考试日期]])*(表成绩单[数学]&lt;9E+307)*(表成绩单[数学]&gt;表成绩单[[#This Row],[数学]]))+1)</f>
        <v>479</v>
      </c>
      <c r="R2987" s="29" cm="1">
        <f t="array" ref="R2987">IF(表成绩单[[#This Row],[英语]]="","",SUMPRODUCT((表成绩单[考试日期]=表成绩单[[#This Row],[考试日期]])*(表成绩单[英语]&lt;9E+307)*(表成绩单[英语]&gt;表成绩单[[#This Row],[英语]]))+1)</f>
        <v>522</v>
      </c>
      <c r="S2987" s="29" cm="1">
        <f t="array" ref="S2987">IF(表成绩单[[#This Row],[物理]]="","",SUMPRODUCT((表成绩单[考试日期]=表成绩单[[#This Row],[考试日期]])*(表成绩单[物理]&lt;9E+307)*(表成绩单[物理]&gt;表成绩单[[#This Row],[物理]]))+1)</f>
        <v>500</v>
      </c>
      <c r="T2987" s="29" cm="1">
        <f t="array" ref="T2987">IF(表成绩单[[#This Row],[化学]]="","",SUMPRODUCT((表成绩单[考试日期]=表成绩单[[#This Row],[考试日期]])*(表成绩单[化学]&lt;9E+307)*(表成绩单[化学]&gt;表成绩单[[#This Row],[化学]]))+1)</f>
        <v>552</v>
      </c>
      <c r="U2987" s="29" cm="1">
        <f t="array" ref="U2987">IF(表成绩单[[#This Row],[政治]]="","",SUMPRODUCT((表成绩单[考试日期]=表成绩单[[#This Row],[考试日期]])*(表成绩单[政治]&lt;9E+307)*(表成绩单[政治]&gt;表成绩单[[#This Row],[政治]]))+1)</f>
        <v>431</v>
      </c>
      <c r="V2987" s="29" cm="1">
        <f t="array" ref="V2987">IF(表成绩单[[#This Row],[历史]]="","",SUMPRODUCT((表成绩单[考试日期]=表成绩单[[#This Row],[考试日期]])*(表成绩单[历史]&lt;9E+307)*(表成绩单[历史]&gt;表成绩单[[#This Row],[历史]]))+1)</f>
        <v>707</v>
      </c>
      <c r="W2987" s="29" cm="1">
        <f t="array" ref="W2987">IF(表成绩单[[#This Row],[总分]]="","",SUMPRODUCT((表成绩单[考试日期]=表成绩单[[#This Row],[考试日期]])*(表成绩单[总分]&lt;9E+307)*(表成绩单[总分]&gt;表成绩单[[#This Row],[总分]]))+1)</f>
        <v>579</v>
      </c>
    </row>
    <row r="2988" ht="28" customHeight="1" spans="4:23">
      <c r="D2988" s="31">
        <v>46108</v>
      </c>
      <c r="E2988" s="29">
        <v>19177605</v>
      </c>
      <c r="F2988" s="29" t="s">
        <v>58</v>
      </c>
      <c r="G2988" s="29" t="s">
        <v>627</v>
      </c>
      <c r="H2988" s="29">
        <v>89</v>
      </c>
      <c r="I2988" s="29">
        <v>80</v>
      </c>
      <c r="J2988" s="29">
        <v>66</v>
      </c>
      <c r="K2988" s="29">
        <v>77</v>
      </c>
      <c r="L2988" s="29">
        <v>55</v>
      </c>
      <c r="M2988" s="29">
        <v>60</v>
      </c>
      <c r="N2988" s="29">
        <v>79</v>
      </c>
      <c r="O2988" s="32">
        <v>506</v>
      </c>
      <c r="P2988" s="29" cm="1">
        <f t="array" ref="P2988">IF(表成绩单[[#This Row],[语文]]="","",SUMPRODUCT((表成绩单[考试日期]=表成绩单[[#This Row],[考试日期]])*(表成绩单[语文]&lt;9E+307)*(表成绩单[语文]&gt;表成绩单[[#This Row],[语文]]))+1)</f>
        <v>559</v>
      </c>
      <c r="Q2988" s="29" cm="1">
        <f t="array" ref="Q2988">IF(表成绩单[[#This Row],[数学]]="","",SUMPRODUCT((表成绩单[考试日期]=表成绩单[[#This Row],[考试日期]])*(表成绩单[数学]&lt;9E+307)*(表成绩单[数学]&gt;表成绩单[[#This Row],[数学]]))+1)</f>
        <v>578</v>
      </c>
      <c r="R2988" s="29" cm="1">
        <f t="array" ref="R2988">IF(表成绩单[[#This Row],[英语]]="","",SUMPRODUCT((表成绩单[考试日期]=表成绩单[[#This Row],[考试日期]])*(表成绩单[英语]&lt;9E+307)*(表成绩单[英语]&gt;表成绩单[[#This Row],[英语]]))+1)</f>
        <v>593</v>
      </c>
      <c r="S2988" s="29" cm="1">
        <f t="array" ref="S2988">IF(表成绩单[[#This Row],[物理]]="","",SUMPRODUCT((表成绩单[考试日期]=表成绩单[[#This Row],[考试日期]])*(表成绩单[物理]&lt;9E+307)*(表成绩单[物理]&gt;表成绩单[[#This Row],[物理]]))+1)</f>
        <v>400</v>
      </c>
      <c r="T2988" s="29" cm="1">
        <f t="array" ref="T2988">IF(表成绩单[[#This Row],[化学]]="","",SUMPRODUCT((表成绩单[考试日期]=表成绩单[[#This Row],[考试日期]])*(表成绩单[化学]&lt;9E+307)*(表成绩单[化学]&gt;表成绩单[[#This Row],[化学]]))+1)</f>
        <v>580</v>
      </c>
      <c r="U2988" s="29" cm="1">
        <f t="array" ref="U2988">IF(表成绩单[[#This Row],[政治]]="","",SUMPRODUCT((表成绩单[考试日期]=表成绩单[[#This Row],[考试日期]])*(表成绩单[政治]&lt;9E+307)*(表成绩单[政治]&gt;表成绩单[[#This Row],[政治]]))+1)</f>
        <v>709</v>
      </c>
      <c r="V2988" s="29" cm="1">
        <f t="array" ref="V2988">IF(表成绩单[[#This Row],[历史]]="","",SUMPRODUCT((表成绩单[考试日期]=表成绩单[[#This Row],[考试日期]])*(表成绩单[历史]&lt;9E+307)*(表成绩单[历史]&gt;表成绩单[[#This Row],[历史]]))+1)</f>
        <v>173</v>
      </c>
      <c r="W2988" s="29" cm="1">
        <f t="array" ref="W2988">IF(表成绩单[[#This Row],[总分]]="","",SUMPRODUCT((表成绩单[考试日期]=表成绩单[[#This Row],[考试日期]])*(表成绩单[总分]&lt;9E+307)*(表成绩单[总分]&gt;表成绩单[[#This Row],[总分]]))+1)</f>
        <v>581</v>
      </c>
    </row>
    <row r="2989" ht="28" customHeight="1" spans="4:23">
      <c r="D2989" s="31">
        <v>46108</v>
      </c>
      <c r="E2989" s="29">
        <v>19177635</v>
      </c>
      <c r="F2989" s="29" t="s">
        <v>63</v>
      </c>
      <c r="G2989" s="29" t="s">
        <v>629</v>
      </c>
      <c r="H2989" s="29">
        <v>85</v>
      </c>
      <c r="I2989" s="29">
        <v>95</v>
      </c>
      <c r="J2989" s="29">
        <v>58</v>
      </c>
      <c r="K2989" s="29">
        <v>76</v>
      </c>
      <c r="L2989" s="29">
        <v>53</v>
      </c>
      <c r="M2989" s="29">
        <v>67</v>
      </c>
      <c r="N2989" s="29">
        <v>72</v>
      </c>
      <c r="O2989" s="32">
        <v>506</v>
      </c>
      <c r="P2989" s="29" cm="1">
        <f t="array" ref="P2989">IF(表成绩单[[#This Row],[语文]]="","",SUMPRODUCT((表成绩单[考试日期]=表成绩单[[#This Row],[考试日期]])*(表成绩单[语文]&lt;9E+307)*(表成绩单[语文]&gt;表成绩单[[#This Row],[语文]]))+1)</f>
        <v>626</v>
      </c>
      <c r="Q2989" s="29" cm="1">
        <f t="array" ref="Q2989">IF(表成绩单[[#This Row],[数学]]="","",SUMPRODUCT((表成绩单[考试日期]=表成绩单[[#This Row],[考试日期]])*(表成绩单[数学]&lt;9E+307)*(表成绩单[数学]&gt;表成绩单[[#This Row],[数学]]))+1)</f>
        <v>229</v>
      </c>
      <c r="R2989" s="29" cm="1">
        <f t="array" ref="R2989">IF(表成绩单[[#This Row],[英语]]="","",SUMPRODUCT((表成绩单[考试日期]=表成绩单[[#This Row],[考试日期]])*(表成绩单[英语]&lt;9E+307)*(表成绩单[英语]&gt;表成绩单[[#This Row],[英语]]))+1)</f>
        <v>670</v>
      </c>
      <c r="S2989" s="29" cm="1">
        <f t="array" ref="S2989">IF(表成绩单[[#This Row],[物理]]="","",SUMPRODUCT((表成绩单[考试日期]=表成绩单[[#This Row],[考试日期]])*(表成绩单[物理]&lt;9E+307)*(表成绩单[物理]&gt;表成绩单[[#This Row],[物理]]))+1)</f>
        <v>433</v>
      </c>
      <c r="T2989" s="29" cm="1">
        <f t="array" ref="T2989">IF(表成绩单[[#This Row],[化学]]="","",SUMPRODUCT((表成绩单[考试日期]=表成绩单[[#This Row],[考试日期]])*(表成绩单[化学]&lt;9E+307)*(表成绩单[化学]&gt;表成绩单[[#This Row],[化学]]))+1)</f>
        <v>601</v>
      </c>
      <c r="U2989" s="29" cm="1">
        <f t="array" ref="U2989">IF(表成绩单[[#This Row],[政治]]="","",SUMPRODUCT((表成绩单[考试日期]=表成绩单[[#This Row],[考试日期]])*(表成绩单[政治]&lt;9E+307)*(表成绩单[政治]&gt;表成绩单[[#This Row],[政治]]))+1)</f>
        <v>626</v>
      </c>
      <c r="V2989" s="29" cm="1">
        <f t="array" ref="V2989">IF(表成绩单[[#This Row],[历史]]="","",SUMPRODUCT((表成绩单[考试日期]=表成绩单[[#This Row],[考试日期]])*(表成绩单[历史]&lt;9E+307)*(表成绩单[历史]&gt;表成绩单[[#This Row],[历史]]))+1)</f>
        <v>470</v>
      </c>
      <c r="W2989" s="29" cm="1">
        <f t="array" ref="W2989">IF(表成绩单[[#This Row],[总分]]="","",SUMPRODUCT((表成绩单[考试日期]=表成绩单[[#This Row],[考试日期]])*(表成绩单[总分]&lt;9E+307)*(表成绩单[总分]&gt;表成绩单[[#This Row],[总分]]))+1)</f>
        <v>581</v>
      </c>
    </row>
    <row r="2990" ht="28" customHeight="1" spans="4:23">
      <c r="D2990" s="31">
        <v>46108</v>
      </c>
      <c r="E2990" s="29">
        <v>19173260</v>
      </c>
      <c r="F2990" s="29" t="s">
        <v>61</v>
      </c>
      <c r="G2990" s="29" t="s">
        <v>667</v>
      </c>
      <c r="H2990" s="29">
        <v>80</v>
      </c>
      <c r="I2990" s="29">
        <v>88</v>
      </c>
      <c r="J2990" s="29">
        <v>56.5</v>
      </c>
      <c r="K2990" s="29">
        <v>77</v>
      </c>
      <c r="L2990" s="29">
        <v>66</v>
      </c>
      <c r="M2990" s="29">
        <v>71</v>
      </c>
      <c r="N2990" s="29">
        <v>67</v>
      </c>
      <c r="O2990" s="32">
        <v>505.5</v>
      </c>
      <c r="P2990" s="29" cm="1">
        <f t="array" ref="P2990">IF(表成绩单[[#This Row],[语文]]="","",SUMPRODUCT((表成绩单[考试日期]=表成绩单[[#This Row],[考试日期]])*(表成绩单[语文]&lt;9E+307)*(表成绩单[语文]&gt;表成绩单[[#This Row],[语文]]))+1)</f>
        <v>679</v>
      </c>
      <c r="Q2990" s="29" cm="1">
        <f t="array" ref="Q2990">IF(表成绩单[[#This Row],[数学]]="","",SUMPRODUCT((表成绩单[考试日期]=表成绩单[[#This Row],[考试日期]])*(表成绩单[数学]&lt;9E+307)*(表成绩单[数学]&gt;表成绩单[[#This Row],[数学]]))+1)</f>
        <v>424</v>
      </c>
      <c r="R2990" s="29" cm="1">
        <f t="array" ref="R2990">IF(表成绩单[[#This Row],[英语]]="","",SUMPRODUCT((表成绩单[考试日期]=表成绩单[[#This Row],[考试日期]])*(表成绩单[英语]&lt;9E+307)*(表成绩单[英语]&gt;表成绩单[[#This Row],[英语]]))+1)</f>
        <v>679</v>
      </c>
      <c r="S2990" s="29" cm="1">
        <f t="array" ref="S2990">IF(表成绩单[[#This Row],[物理]]="","",SUMPRODUCT((表成绩单[考试日期]=表成绩单[[#This Row],[考试日期]])*(表成绩单[物理]&lt;9E+307)*(表成绩单[物理]&gt;表成绩单[[#This Row],[物理]]))+1)</f>
        <v>400</v>
      </c>
      <c r="T2990" s="29" cm="1">
        <f t="array" ref="T2990">IF(表成绩单[[#This Row],[化学]]="","",SUMPRODUCT((表成绩单[考试日期]=表成绩单[[#This Row],[考试日期]])*(表成绩单[化学]&lt;9E+307)*(表成绩单[化学]&gt;表成绩单[[#This Row],[化学]]))+1)</f>
        <v>359</v>
      </c>
      <c r="U2990" s="29" cm="1">
        <f t="array" ref="U2990">IF(表成绩单[[#This Row],[政治]]="","",SUMPRODUCT((表成绩单[考试日期]=表成绩单[[#This Row],[考试日期]])*(表成绩单[政治]&lt;9E+307)*(表成绩单[政治]&gt;表成绩单[[#This Row],[政治]]))+1)</f>
        <v>513</v>
      </c>
      <c r="V2990" s="29" cm="1">
        <f t="array" ref="V2990">IF(表成绩单[[#This Row],[历史]]="","",SUMPRODUCT((表成绩单[考试日期]=表成绩单[[#This Row],[考试日期]])*(表成绩单[历史]&lt;9E+307)*(表成绩单[历史]&gt;表成绩单[[#This Row],[历史]]))+1)</f>
        <v>623</v>
      </c>
      <c r="W2990" s="29" cm="1">
        <f t="array" ref="W2990">IF(表成绩单[[#This Row],[总分]]="","",SUMPRODUCT((表成绩单[考试日期]=表成绩单[[#This Row],[考试日期]])*(表成绩单[总分]&lt;9E+307)*(表成绩单[总分]&gt;表成绩单[[#This Row],[总分]]))+1)</f>
        <v>583</v>
      </c>
    </row>
    <row r="2991" ht="28" customHeight="1" spans="4:23">
      <c r="D2991" s="31">
        <v>46108</v>
      </c>
      <c r="E2991" s="29">
        <v>19173266</v>
      </c>
      <c r="F2991" s="29" t="s">
        <v>61</v>
      </c>
      <c r="G2991" s="29" t="s">
        <v>623</v>
      </c>
      <c r="H2991" s="29">
        <v>81</v>
      </c>
      <c r="I2991" s="29">
        <v>87</v>
      </c>
      <c r="J2991" s="29">
        <v>65</v>
      </c>
      <c r="K2991" s="29">
        <v>83</v>
      </c>
      <c r="L2991" s="29">
        <v>53</v>
      </c>
      <c r="M2991" s="29">
        <v>71</v>
      </c>
      <c r="N2991" s="29">
        <v>65</v>
      </c>
      <c r="O2991" s="32">
        <v>505</v>
      </c>
      <c r="P2991" s="29" cm="1">
        <f t="array" ref="P2991">IF(表成绩单[[#This Row],[语文]]="","",SUMPRODUCT((表成绩单[考试日期]=表成绩单[[#This Row],[考试日期]])*(表成绩单[语文]&lt;9E+307)*(表成绩单[语文]&gt;表成绩单[[#This Row],[语文]]))+1)</f>
        <v>669</v>
      </c>
      <c r="Q2991" s="29" cm="1">
        <f t="array" ref="Q2991">IF(表成绩单[[#This Row],[数学]]="","",SUMPRODUCT((表成绩单[考试日期]=表成绩单[[#This Row],[考试日期]])*(表成绩单[数学]&lt;9E+307)*(表成绩单[数学]&gt;表成绩单[[#This Row],[数学]]))+1)</f>
        <v>452</v>
      </c>
      <c r="R2991" s="29" cm="1">
        <f t="array" ref="R2991">IF(表成绩单[[#This Row],[英语]]="","",SUMPRODUCT((表成绩单[考试日期]=表成绩单[[#This Row],[考试日期]])*(表成绩单[英语]&lt;9E+307)*(表成绩单[英语]&gt;表成绩单[[#This Row],[英语]]))+1)</f>
        <v>603</v>
      </c>
      <c r="S2991" s="29" cm="1">
        <f t="array" ref="S2991">IF(表成绩单[[#This Row],[物理]]="","",SUMPRODUCT((表成绩单[考试日期]=表成绩单[[#This Row],[考试日期]])*(表成绩单[物理]&lt;9E+307)*(表成绩单[物理]&gt;表成绩单[[#This Row],[物理]]))+1)</f>
        <v>184</v>
      </c>
      <c r="T2991" s="29" cm="1">
        <f t="array" ref="T2991">IF(表成绩单[[#This Row],[化学]]="","",SUMPRODUCT((表成绩单[考试日期]=表成绩单[[#This Row],[考试日期]])*(表成绩单[化学]&lt;9E+307)*(表成绩单[化学]&gt;表成绩单[[#This Row],[化学]]))+1)</f>
        <v>601</v>
      </c>
      <c r="U2991" s="29" cm="1">
        <f t="array" ref="U2991">IF(表成绩单[[#This Row],[政治]]="","",SUMPRODUCT((表成绩单[考试日期]=表成绩单[[#This Row],[考试日期]])*(表成绩单[政治]&lt;9E+307)*(表成绩单[政治]&gt;表成绩单[[#This Row],[政治]]))+1)</f>
        <v>513</v>
      </c>
      <c r="V2991" s="29" cm="1">
        <f t="array" ref="V2991">IF(表成绩单[[#This Row],[历史]]="","",SUMPRODUCT((表成绩单[考试日期]=表成绩单[[#This Row],[考试日期]])*(表成绩单[历史]&lt;9E+307)*(表成绩单[历史]&gt;表成绩单[[#This Row],[历史]]))+1)</f>
        <v>657</v>
      </c>
      <c r="W2991" s="29" cm="1">
        <f t="array" ref="W2991">IF(表成绩单[[#This Row],[总分]]="","",SUMPRODUCT((表成绩单[考试日期]=表成绩单[[#This Row],[考试日期]])*(表成绩单[总分]&lt;9E+307)*(表成绩单[总分]&gt;表成绩单[[#This Row],[总分]]))+1)</f>
        <v>584</v>
      </c>
    </row>
    <row r="2992" ht="28" customHeight="1" spans="4:23">
      <c r="D2992" s="31">
        <v>46108</v>
      </c>
      <c r="E2992" s="29">
        <v>19176019</v>
      </c>
      <c r="F2992" s="29" t="s">
        <v>59</v>
      </c>
      <c r="G2992" s="29" t="s">
        <v>719</v>
      </c>
      <c r="H2992" s="29">
        <v>99</v>
      </c>
      <c r="I2992" s="29">
        <v>65</v>
      </c>
      <c r="J2992" s="29">
        <v>60</v>
      </c>
      <c r="K2992" s="29">
        <v>57</v>
      </c>
      <c r="L2992" s="29">
        <v>62</v>
      </c>
      <c r="M2992" s="29">
        <v>77</v>
      </c>
      <c r="N2992" s="29">
        <v>83</v>
      </c>
      <c r="O2992" s="32">
        <v>503</v>
      </c>
      <c r="P2992" s="29" cm="1">
        <f t="array" ref="P2992">IF(表成绩单[[#This Row],[语文]]="","",SUMPRODUCT((表成绩单[考试日期]=表成绩单[[#This Row],[考试日期]])*(表成绩单[语文]&lt;9E+307)*(表成绩单[语文]&gt;表成绩单[[#This Row],[语文]]))+1)</f>
        <v>279</v>
      </c>
      <c r="Q2992" s="29" cm="1">
        <f t="array" ref="Q2992">IF(表成绩单[[#This Row],[数学]]="","",SUMPRODUCT((表成绩单[考试日期]=表成绩单[[#This Row],[考试日期]])*(表成绩单[数学]&lt;9E+307)*(表成绩单[数学]&gt;表成绩单[[#This Row],[数学]]))+1)</f>
        <v>686</v>
      </c>
      <c r="R2992" s="29" cm="1">
        <f t="array" ref="R2992">IF(表成绩单[[#This Row],[英语]]="","",SUMPRODUCT((表成绩单[考试日期]=表成绩单[[#This Row],[考试日期]])*(表成绩单[英语]&lt;9E+307)*(表成绩单[英语]&gt;表成绩单[[#This Row],[英语]]))+1)</f>
        <v>656</v>
      </c>
      <c r="S2992" s="29" cm="1">
        <f t="array" ref="S2992">IF(表成绩单[[#This Row],[物理]]="","",SUMPRODUCT((表成绩单[考试日期]=表成绩单[[#This Row],[考试日期]])*(表成绩单[物理]&lt;9E+307)*(表成绩单[物理]&gt;表成绩单[[#This Row],[物理]]))+1)</f>
        <v>692</v>
      </c>
      <c r="T2992" s="29" cm="1">
        <f t="array" ref="T2992">IF(表成绩单[[#This Row],[化学]]="","",SUMPRODUCT((表成绩单[考试日期]=表成绩单[[#This Row],[考试日期]])*(表成绩单[化学]&lt;9E+307)*(表成绩单[化学]&gt;表成绩单[[#This Row],[化学]]))+1)</f>
        <v>449</v>
      </c>
      <c r="U2992" s="29" cm="1">
        <f t="array" ref="U2992">IF(表成绩单[[#This Row],[政治]]="","",SUMPRODUCT((表成绩单[考试日期]=表成绩单[[#This Row],[考试日期]])*(表成绩单[政治]&lt;9E+307)*(表成绩单[政治]&gt;表成绩单[[#This Row],[政治]]))+1)</f>
        <v>230</v>
      </c>
      <c r="V2992" s="29" cm="1">
        <f t="array" ref="V2992">IF(表成绩单[[#This Row],[历史]]="","",SUMPRODUCT((表成绩单[考试日期]=表成绩单[[#This Row],[考试日期]])*(表成绩单[历史]&lt;9E+307)*(表成绩单[历史]&gt;表成绩单[[#This Row],[历史]]))+1)</f>
        <v>60</v>
      </c>
      <c r="W2992" s="29" cm="1">
        <f t="array" ref="W2992">IF(表成绩单[[#This Row],[总分]]="","",SUMPRODUCT((表成绩单[考试日期]=表成绩单[[#This Row],[考试日期]])*(表成绩单[总分]&lt;9E+307)*(表成绩单[总分]&gt;表成绩单[[#This Row],[总分]]))+1)</f>
        <v>585</v>
      </c>
    </row>
    <row r="2993" ht="28" customHeight="1" spans="4:23">
      <c r="D2993" s="31">
        <v>46108</v>
      </c>
      <c r="E2993" s="29">
        <v>19175617</v>
      </c>
      <c r="F2993" s="29" t="s">
        <v>57</v>
      </c>
      <c r="G2993" s="29" t="s">
        <v>680</v>
      </c>
      <c r="H2993" s="29">
        <v>94</v>
      </c>
      <c r="I2993" s="29">
        <v>74</v>
      </c>
      <c r="J2993" s="29">
        <v>64</v>
      </c>
      <c r="K2993" s="29">
        <v>69</v>
      </c>
      <c r="L2993" s="29">
        <v>67</v>
      </c>
      <c r="M2993" s="29">
        <v>66</v>
      </c>
      <c r="N2993" s="29">
        <v>68</v>
      </c>
      <c r="O2993" s="32">
        <v>502</v>
      </c>
      <c r="P2993" s="29" cm="1">
        <f t="array" ref="P2993">IF(表成绩单[[#This Row],[语文]]="","",SUMPRODUCT((表成绩单[考试日期]=表成绩单[[#This Row],[考试日期]])*(表成绩单[语文]&lt;9E+307)*(表成绩单[语文]&gt;表成绩单[[#This Row],[语文]]))+1)</f>
        <v>449</v>
      </c>
      <c r="Q2993" s="29" cm="1">
        <f t="array" ref="Q2993">IF(表成绩单[[#This Row],[数学]]="","",SUMPRODUCT((表成绩单[考试日期]=表成绩单[[#This Row],[考试日期]])*(表成绩单[数学]&lt;9E+307)*(表成绩单[数学]&gt;表成绩单[[#This Row],[数学]]))+1)</f>
        <v>635</v>
      </c>
      <c r="R2993" s="29" cm="1">
        <f t="array" ref="R2993">IF(表成绩单[[#This Row],[英语]]="","",SUMPRODUCT((表成绩单[考试日期]=表成绩单[[#This Row],[考试日期]])*(表成绩单[英语]&lt;9E+307)*(表成绩单[英语]&gt;表成绩单[[#This Row],[英语]]))+1)</f>
        <v>616</v>
      </c>
      <c r="S2993" s="29" cm="1">
        <f t="array" ref="S2993">IF(表成绩单[[#This Row],[物理]]="","",SUMPRODUCT((表成绩单[考试日期]=表成绩单[[#This Row],[考试日期]])*(表成绩单[物理]&lt;9E+307)*(表成绩单[物理]&gt;表成绩单[[#This Row],[物理]]))+1)</f>
        <v>565</v>
      </c>
      <c r="T2993" s="29" cm="1">
        <f t="array" ref="T2993">IF(表成绩单[[#This Row],[化学]]="","",SUMPRODUCT((表成绩单[考试日期]=表成绩单[[#This Row],[考试日期]])*(表成绩单[化学]&lt;9E+307)*(表成绩单[化学]&gt;表成绩单[[#This Row],[化学]]))+1)</f>
        <v>335</v>
      </c>
      <c r="U2993" s="29" cm="1">
        <f t="array" ref="U2993">IF(表成绩单[[#This Row],[政治]]="","",SUMPRODUCT((表成绩单[考试日期]=表成绩单[[#This Row],[考试日期]])*(表成绩单[政治]&lt;9E+307)*(表成绩单[政治]&gt;表成绩单[[#This Row],[政治]]))+1)</f>
        <v>642</v>
      </c>
      <c r="V2993" s="29" cm="1">
        <f t="array" ref="V2993">IF(表成绩单[[#This Row],[历史]]="","",SUMPRODUCT((表成绩单[考试日期]=表成绩单[[#This Row],[考试日期]])*(表成绩单[历史]&lt;9E+307)*(表成绩单[历史]&gt;表成绩单[[#This Row],[历史]]))+1)</f>
        <v>599</v>
      </c>
      <c r="W2993" s="29" cm="1">
        <f t="array" ref="W2993">IF(表成绩单[[#This Row],[总分]]="","",SUMPRODUCT((表成绩单[考试日期]=表成绩单[[#This Row],[考试日期]])*(表成绩单[总分]&lt;9E+307)*(表成绩单[总分]&gt;表成绩单[[#This Row],[总分]]))+1)</f>
        <v>586</v>
      </c>
    </row>
    <row r="2994" ht="28" customHeight="1" spans="4:23">
      <c r="D2994" s="31">
        <v>46108</v>
      </c>
      <c r="E2994" s="29">
        <v>19175606</v>
      </c>
      <c r="F2994" s="29" t="s">
        <v>57</v>
      </c>
      <c r="G2994" s="29" t="s">
        <v>717</v>
      </c>
      <c r="H2994" s="29">
        <v>98</v>
      </c>
      <c r="I2994" s="29">
        <v>67</v>
      </c>
      <c r="J2994" s="29">
        <v>71.5</v>
      </c>
      <c r="K2994" s="29">
        <v>67</v>
      </c>
      <c r="L2994" s="29">
        <v>53</v>
      </c>
      <c r="M2994" s="29">
        <v>74</v>
      </c>
      <c r="N2994" s="29">
        <v>71</v>
      </c>
      <c r="O2994" s="32">
        <v>501.5</v>
      </c>
      <c r="P2994" s="29" cm="1">
        <f t="array" ref="P2994">IF(表成绩单[[#This Row],[语文]]="","",SUMPRODUCT((表成绩单[考试日期]=表成绩单[[#This Row],[考试日期]])*(表成绩单[语文]&lt;9E+307)*(表成绩单[语文]&gt;表成绩单[[#This Row],[语文]]))+1)</f>
        <v>322</v>
      </c>
      <c r="Q2994" s="29" cm="1">
        <f t="array" ref="Q2994">IF(表成绩单[[#This Row],[数学]]="","",SUMPRODUCT((表成绩单[考试日期]=表成绩单[[#This Row],[考试日期]])*(表成绩单[数学]&lt;9E+307)*(表成绩单[数学]&gt;表成绩单[[#This Row],[数学]]))+1)</f>
        <v>675</v>
      </c>
      <c r="R2994" s="29" cm="1">
        <f t="array" ref="R2994">IF(表成绩单[[#This Row],[英语]]="","",SUMPRODUCT((表成绩单[考试日期]=表成绩单[[#This Row],[考试日期]])*(表成绩单[英语]&lt;9E+307)*(表成绩单[英语]&gt;表成绩单[[#This Row],[英语]]))+1)</f>
        <v>509</v>
      </c>
      <c r="S2994" s="29" cm="1">
        <f t="array" ref="S2994">IF(表成绩单[[#This Row],[物理]]="","",SUMPRODUCT((表成绩单[考试日期]=表成绩单[[#This Row],[考试日期]])*(表成绩单[物理]&lt;9E+307)*(表成绩单[物理]&gt;表成绩单[[#This Row],[物理]]))+1)</f>
        <v>593</v>
      </c>
      <c r="T2994" s="29" cm="1">
        <f t="array" ref="T2994">IF(表成绩单[[#This Row],[化学]]="","",SUMPRODUCT((表成绩单[考试日期]=表成绩单[[#This Row],[考试日期]])*(表成绩单[化学]&lt;9E+307)*(表成绩单[化学]&gt;表成绩单[[#This Row],[化学]]))+1)</f>
        <v>601</v>
      </c>
      <c r="U2994" s="29" cm="1">
        <f t="array" ref="U2994">IF(表成绩单[[#This Row],[政治]]="","",SUMPRODUCT((表成绩单[考试日期]=表成绩单[[#This Row],[考试日期]])*(表成绩单[政治]&lt;9E+307)*(表成绩单[政治]&gt;表成绩单[[#This Row],[政治]]))+1)</f>
        <v>389</v>
      </c>
      <c r="V2994" s="29" cm="1">
        <f t="array" ref="V2994">IF(表成绩单[[#This Row],[历史]]="","",SUMPRODUCT((表成绩单[考试日期]=表成绩单[[#This Row],[考试日期]])*(表成绩单[历史]&lt;9E+307)*(表成绩单[历史]&gt;表成绩单[[#This Row],[历史]]))+1)</f>
        <v>516</v>
      </c>
      <c r="W2994" s="29" cm="1">
        <f t="array" ref="W2994">IF(表成绩单[[#This Row],[总分]]="","",SUMPRODUCT((表成绩单[考试日期]=表成绩单[[#This Row],[考试日期]])*(表成绩单[总分]&lt;9E+307)*(表成绩单[总分]&gt;表成绩单[[#This Row],[总分]]))+1)</f>
        <v>587</v>
      </c>
    </row>
    <row r="2995" ht="28" customHeight="1" spans="4:23">
      <c r="D2995" s="31">
        <v>46108</v>
      </c>
      <c r="E2995" s="29">
        <v>19176861</v>
      </c>
      <c r="F2995" s="29" t="s">
        <v>71</v>
      </c>
      <c r="G2995" s="29" t="s">
        <v>716</v>
      </c>
      <c r="H2995" s="29">
        <v>90</v>
      </c>
      <c r="I2995" s="29">
        <v>79</v>
      </c>
      <c r="J2995" s="29">
        <v>70.5</v>
      </c>
      <c r="K2995" s="29">
        <v>69</v>
      </c>
      <c r="L2995" s="29">
        <v>45</v>
      </c>
      <c r="M2995" s="29">
        <v>77</v>
      </c>
      <c r="N2995" s="29">
        <v>71</v>
      </c>
      <c r="O2995" s="32">
        <v>501.5</v>
      </c>
      <c r="P2995" s="29" cm="1">
        <f t="array" ref="P2995">IF(表成绩单[[#This Row],[语文]]="","",SUMPRODUCT((表成绩单[考试日期]=表成绩单[[#This Row],[考试日期]])*(表成绩单[语文]&lt;9E+307)*(表成绩单[语文]&gt;表成绩单[[#This Row],[语文]]))+1)</f>
        <v>539</v>
      </c>
      <c r="Q2995" s="29" cm="1">
        <f t="array" ref="Q2995">IF(表成绩单[[#This Row],[数学]]="","",SUMPRODUCT((表成绩单[考试日期]=表成绩单[[#This Row],[考试日期]])*(表成绩单[数学]&lt;9E+307)*(表成绩单[数学]&gt;表成绩单[[#This Row],[数学]]))+1)</f>
        <v>591</v>
      </c>
      <c r="R2995" s="29" cm="1">
        <f t="array" ref="R2995">IF(表成绩单[[#This Row],[英语]]="","",SUMPRODUCT((表成绩单[考试日期]=表成绩单[[#This Row],[考试日期]])*(表成绩单[英语]&lt;9E+307)*(表成绩单[英语]&gt;表成绩单[[#This Row],[英语]]))+1)</f>
        <v>530</v>
      </c>
      <c r="S2995" s="29" cm="1">
        <f t="array" ref="S2995">IF(表成绩单[[#This Row],[物理]]="","",SUMPRODUCT((表成绩单[考试日期]=表成绩单[[#This Row],[考试日期]])*(表成绩单[物理]&lt;9E+307)*(表成绩单[物理]&gt;表成绩单[[#This Row],[物理]]))+1)</f>
        <v>565</v>
      </c>
      <c r="T2995" s="29" cm="1">
        <f t="array" ref="T2995">IF(表成绩单[[#This Row],[化学]]="","",SUMPRODUCT((表成绩单[考试日期]=表成绩单[[#This Row],[考试日期]])*(表成绩单[化学]&lt;9E+307)*(表成绩单[化学]&gt;表成绩单[[#This Row],[化学]]))+1)</f>
        <v>686</v>
      </c>
      <c r="U2995" s="29" cm="1">
        <f t="array" ref="U2995">IF(表成绩单[[#This Row],[政治]]="","",SUMPRODUCT((表成绩单[考试日期]=表成绩单[[#This Row],[考试日期]])*(表成绩单[政治]&lt;9E+307)*(表成绩单[政治]&gt;表成绩单[[#This Row],[政治]]))+1)</f>
        <v>230</v>
      </c>
      <c r="V2995" s="29" cm="1">
        <f t="array" ref="V2995">IF(表成绩单[[#This Row],[历史]]="","",SUMPRODUCT((表成绩单[考试日期]=表成绩单[[#This Row],[考试日期]])*(表成绩单[历史]&lt;9E+307)*(表成绩单[历史]&gt;表成绩单[[#This Row],[历史]]))+1)</f>
        <v>516</v>
      </c>
      <c r="W2995" s="29" cm="1">
        <f t="array" ref="W2995">IF(表成绩单[[#This Row],[总分]]="","",SUMPRODUCT((表成绩单[考试日期]=表成绩单[[#This Row],[考试日期]])*(表成绩单[总分]&lt;9E+307)*(表成绩单[总分]&gt;表成绩单[[#This Row],[总分]]))+1)</f>
        <v>587</v>
      </c>
    </row>
    <row r="2996" ht="28" customHeight="1" spans="4:23">
      <c r="D2996" s="31">
        <v>46108</v>
      </c>
      <c r="E2996" s="29">
        <v>19173258</v>
      </c>
      <c r="F2996" s="29" t="s">
        <v>61</v>
      </c>
      <c r="G2996" s="29" t="s">
        <v>696</v>
      </c>
      <c r="H2996" s="29">
        <v>85</v>
      </c>
      <c r="I2996" s="29">
        <v>85</v>
      </c>
      <c r="J2996" s="29">
        <v>70</v>
      </c>
      <c r="K2996" s="29">
        <v>71</v>
      </c>
      <c r="L2996" s="29">
        <v>48</v>
      </c>
      <c r="M2996" s="29">
        <v>72</v>
      </c>
      <c r="N2996" s="29">
        <v>69</v>
      </c>
      <c r="O2996" s="32">
        <v>500</v>
      </c>
      <c r="P2996" s="29" cm="1">
        <f t="array" ref="P2996">IF(表成绩单[[#This Row],[语文]]="","",SUMPRODUCT((表成绩单[考试日期]=表成绩单[[#This Row],[考试日期]])*(表成绩单[语文]&lt;9E+307)*(表成绩单[语文]&gt;表成绩单[[#This Row],[语文]]))+1)</f>
        <v>626</v>
      </c>
      <c r="Q2996" s="29" cm="1">
        <f t="array" ref="Q2996">IF(表成绩单[[#This Row],[数学]]="","",SUMPRODUCT((表成绩单[考试日期]=表成绩单[[#This Row],[考试日期]])*(表成绩单[数学]&lt;9E+307)*(表成绩单[数学]&gt;表成绩单[[#This Row],[数学]]))+1)</f>
        <v>501</v>
      </c>
      <c r="R2996" s="29" cm="1">
        <f t="array" ref="R2996">IF(表成绩单[[#This Row],[英语]]="","",SUMPRODUCT((表成绩单[考试日期]=表成绩单[[#This Row],[考试日期]])*(表成绩单[英语]&lt;9E+307)*(表成绩单[英语]&gt;表成绩单[[#This Row],[英语]]))+1)</f>
        <v>542</v>
      </c>
      <c r="S2996" s="29" cm="1">
        <f t="array" ref="S2996">IF(表成绩单[[#This Row],[物理]]="","",SUMPRODUCT((表成绩单[考试日期]=表成绩单[[#This Row],[考试日期]])*(表成绩单[物理]&lt;9E+307)*(表成绩单[物理]&gt;表成绩单[[#This Row],[物理]]))+1)</f>
        <v>536</v>
      </c>
      <c r="T2996" s="29" cm="1">
        <f t="array" ref="T2996">IF(表成绩单[[#This Row],[化学]]="","",SUMPRODUCT((表成绩单[考试日期]=表成绩单[[#This Row],[考试日期]])*(表成绩单[化学]&lt;9E+307)*(表成绩单[化学]&gt;表成绩单[[#This Row],[化学]]))+1)</f>
        <v>654</v>
      </c>
      <c r="U2996" s="29" cm="1">
        <f t="array" ref="U2996">IF(表成绩单[[#This Row],[政治]]="","",SUMPRODUCT((表成绩单[考试日期]=表成绩单[[#This Row],[考试日期]])*(表成绩单[政治]&lt;9E+307)*(表成绩单[政治]&gt;表成绩单[[#This Row],[政治]]))+1)</f>
        <v>470</v>
      </c>
      <c r="V2996" s="29" cm="1">
        <f t="array" ref="V2996">IF(表成绩单[[#This Row],[历史]]="","",SUMPRODUCT((表成绩单[考试日期]=表成绩单[[#This Row],[考试日期]])*(表成绩单[历史]&lt;9E+307)*(表成绩单[历史]&gt;表成绩单[[#This Row],[历史]]))+1)</f>
        <v>569</v>
      </c>
      <c r="W2996" s="29" cm="1">
        <f t="array" ref="W2996">IF(表成绩单[[#This Row],[总分]]="","",SUMPRODUCT((表成绩单[考试日期]=表成绩单[[#This Row],[考试日期]])*(表成绩单[总分]&lt;9E+307)*(表成绩单[总分]&gt;表成绩单[[#This Row],[总分]]))+1)</f>
        <v>589</v>
      </c>
    </row>
    <row r="2997" ht="28" customHeight="1" spans="4:23">
      <c r="D2997" s="31">
        <v>46108</v>
      </c>
      <c r="E2997" s="29">
        <v>19174808</v>
      </c>
      <c r="F2997" s="29" t="s">
        <v>69</v>
      </c>
      <c r="G2997" s="29" t="s">
        <v>873</v>
      </c>
      <c r="H2997" s="29">
        <v>84</v>
      </c>
      <c r="I2997" s="29">
        <v>82</v>
      </c>
      <c r="J2997" s="29">
        <v>66</v>
      </c>
      <c r="K2997" s="29">
        <v>79</v>
      </c>
      <c r="L2997" s="29">
        <v>57</v>
      </c>
      <c r="M2997" s="29">
        <v>65</v>
      </c>
      <c r="N2997" s="29">
        <v>67</v>
      </c>
      <c r="O2997" s="32">
        <v>500</v>
      </c>
      <c r="P2997" s="29" cm="1">
        <f t="array" ref="P2997">IF(表成绩单[[#This Row],[语文]]="","",SUMPRODUCT((表成绩单[考试日期]=表成绩单[[#This Row],[考试日期]])*(表成绩单[语文]&lt;9E+307)*(表成绩单[语文]&gt;表成绩单[[#This Row],[语文]]))+1)</f>
        <v>638</v>
      </c>
      <c r="Q2997" s="29" cm="1">
        <f t="array" ref="Q2997">IF(表成绩单[[#This Row],[数学]]="","",SUMPRODUCT((表成绩单[考试日期]=表成绩单[[#This Row],[考试日期]])*(表成绩单[数学]&lt;9E+307)*(表成绩单[数学]&gt;表成绩单[[#This Row],[数学]]))+1)</f>
        <v>555</v>
      </c>
      <c r="R2997" s="29" cm="1">
        <f t="array" ref="R2997">IF(表成绩单[[#This Row],[英语]]="","",SUMPRODUCT((表成绩单[考试日期]=表成绩单[[#This Row],[考试日期]])*(表成绩单[英语]&lt;9E+307)*(表成绩单[英语]&gt;表成绩单[[#This Row],[英语]]))+1)</f>
        <v>593</v>
      </c>
      <c r="S2997" s="29" cm="1">
        <f t="array" ref="S2997">IF(表成绩单[[#This Row],[物理]]="","",SUMPRODUCT((表成绩单[考试日期]=表成绩单[[#This Row],[考试日期]])*(表成绩单[物理]&lt;9E+307)*(表成绩单[物理]&gt;表成绩单[[#This Row],[物理]]))+1)</f>
        <v>344</v>
      </c>
      <c r="T2997" s="29" cm="1">
        <f t="array" ref="T2997">IF(表成绩单[[#This Row],[化学]]="","",SUMPRODUCT((表成绩单[考试日期]=表成绩单[[#This Row],[考试日期]])*(表成绩单[化学]&lt;9E+307)*(表成绩单[化学]&gt;表成绩单[[#This Row],[化学]]))+1)</f>
        <v>552</v>
      </c>
      <c r="U2997" s="29" cm="1">
        <f t="array" ref="U2997">IF(表成绩单[[#This Row],[政治]]="","",SUMPRODUCT((表成绩单[考试日期]=表成绩单[[#This Row],[考试日期]])*(表成绩单[政治]&lt;9E+307)*(表成绩单[政治]&gt;表成绩单[[#This Row],[政治]]))+1)</f>
        <v>655</v>
      </c>
      <c r="V2997" s="29" cm="1">
        <f t="array" ref="V2997">IF(表成绩单[[#This Row],[历史]]="","",SUMPRODUCT((表成绩单[考试日期]=表成绩单[[#This Row],[考试日期]])*(表成绩单[历史]&lt;9E+307)*(表成绩单[历史]&gt;表成绩单[[#This Row],[历史]]))+1)</f>
        <v>623</v>
      </c>
      <c r="W2997" s="29" cm="1">
        <f t="array" ref="W2997">IF(表成绩单[[#This Row],[总分]]="","",SUMPRODUCT((表成绩单[考试日期]=表成绩单[[#This Row],[考试日期]])*(表成绩单[总分]&lt;9E+307)*(表成绩单[总分]&gt;表成绩单[[#This Row],[总分]]))+1)</f>
        <v>589</v>
      </c>
    </row>
    <row r="2998" ht="28" customHeight="1" spans="4:23">
      <c r="D2998" s="31">
        <v>46108</v>
      </c>
      <c r="E2998" s="29">
        <v>19175611</v>
      </c>
      <c r="F2998" s="29" t="s">
        <v>57</v>
      </c>
      <c r="G2998" s="29" t="s">
        <v>741</v>
      </c>
      <c r="H2998" s="29">
        <v>90</v>
      </c>
      <c r="I2998" s="29">
        <v>92</v>
      </c>
      <c r="J2998" s="29">
        <v>71</v>
      </c>
      <c r="K2998" s="29">
        <v>66</v>
      </c>
      <c r="L2998" s="29">
        <v>53</v>
      </c>
      <c r="M2998" s="29">
        <v>66</v>
      </c>
      <c r="N2998" s="29">
        <v>62</v>
      </c>
      <c r="O2998" s="32">
        <v>500</v>
      </c>
      <c r="P2998" s="29" cm="1">
        <f t="array" ref="P2998">IF(表成绩单[[#This Row],[语文]]="","",SUMPRODUCT((表成绩单[考试日期]=表成绩单[[#This Row],[考试日期]])*(表成绩单[语文]&lt;9E+307)*(表成绩单[语文]&gt;表成绩单[[#This Row],[语文]]))+1)</f>
        <v>539</v>
      </c>
      <c r="Q2998" s="29" cm="1">
        <f t="array" ref="Q2998">IF(表成绩单[[#This Row],[数学]]="","",SUMPRODUCT((表成绩单[考试日期]=表成绩单[[#This Row],[考试日期]])*(表成绩单[数学]&lt;9E+307)*(表成绩单[数学]&gt;表成绩单[[#This Row],[数学]]))+1)</f>
        <v>312</v>
      </c>
      <c r="R2998" s="29" cm="1">
        <f t="array" ref="R2998">IF(表成绩单[[#This Row],[英语]]="","",SUMPRODUCT((表成绩单[考试日期]=表成绩单[[#This Row],[考试日期]])*(表成绩单[英语]&lt;9E+307)*(表成绩单[英语]&gt;表成绩单[[#This Row],[英语]]))+1)</f>
        <v>522</v>
      </c>
      <c r="S2998" s="29" cm="1">
        <f t="array" ref="S2998">IF(表成绩单[[#This Row],[物理]]="","",SUMPRODUCT((表成绩单[考试日期]=表成绩单[[#This Row],[考试日期]])*(表成绩单[物理]&lt;9E+307)*(表成绩单[物理]&gt;表成绩单[[#This Row],[物理]]))+1)</f>
        <v>608</v>
      </c>
      <c r="T2998" s="29" cm="1">
        <f t="array" ref="T2998">IF(表成绩单[[#This Row],[化学]]="","",SUMPRODUCT((表成绩单[考试日期]=表成绩单[[#This Row],[考试日期]])*(表成绩单[化学]&lt;9E+307)*(表成绩单[化学]&gt;表成绩单[[#This Row],[化学]]))+1)</f>
        <v>601</v>
      </c>
      <c r="U2998" s="29" cm="1">
        <f t="array" ref="U2998">IF(表成绩单[[#This Row],[政治]]="","",SUMPRODUCT((表成绩单[考试日期]=表成绩单[[#This Row],[考试日期]])*(表成绩单[政治]&lt;9E+307)*(表成绩单[政治]&gt;表成绩单[[#This Row],[政治]]))+1)</f>
        <v>642</v>
      </c>
      <c r="V2998" s="29" cm="1">
        <f t="array" ref="V2998">IF(表成绩单[[#This Row],[历史]]="","",SUMPRODUCT((表成绩单[考试日期]=表成绩单[[#This Row],[考试日期]])*(表成绩单[历史]&lt;9E+307)*(表成绩单[历史]&gt;表成绩单[[#This Row],[历史]]))+1)</f>
        <v>699</v>
      </c>
      <c r="W2998" s="29" cm="1">
        <f t="array" ref="W2998">IF(表成绩单[[#This Row],[总分]]="","",SUMPRODUCT((表成绩单[考试日期]=表成绩单[[#This Row],[考试日期]])*(表成绩单[总分]&lt;9E+307)*(表成绩单[总分]&gt;表成绩单[[#This Row],[总分]]))+1)</f>
        <v>589</v>
      </c>
    </row>
    <row r="2999" ht="28" customHeight="1" spans="4:23">
      <c r="D2999" s="31">
        <v>46108</v>
      </c>
      <c r="E2999" s="29">
        <v>19173787</v>
      </c>
      <c r="F2999" s="29" t="s">
        <v>65</v>
      </c>
      <c r="G2999" s="29" t="s">
        <v>658</v>
      </c>
      <c r="H2999" s="29">
        <v>88</v>
      </c>
      <c r="I2999" s="29">
        <v>81</v>
      </c>
      <c r="J2999" s="29">
        <v>69</v>
      </c>
      <c r="K2999" s="29">
        <v>69</v>
      </c>
      <c r="L2999" s="29">
        <v>58</v>
      </c>
      <c r="M2999" s="29">
        <v>64</v>
      </c>
      <c r="N2999" s="29">
        <v>70</v>
      </c>
      <c r="O2999" s="32">
        <v>499</v>
      </c>
      <c r="P2999" s="29" cm="1">
        <f t="array" ref="P2999">IF(表成绩单[[#This Row],[语文]]="","",SUMPRODUCT((表成绩单[考试日期]=表成绩单[[#This Row],[考试日期]])*(表成绩单[语文]&lt;9E+307)*(表成绩单[语文]&gt;表成绩单[[#This Row],[语文]]))+1)</f>
        <v>575</v>
      </c>
      <c r="Q2999" s="29" cm="1">
        <f t="array" ref="Q2999">IF(表成绩单[[#This Row],[数学]]="","",SUMPRODUCT((表成绩单[考试日期]=表成绩单[[#This Row],[考试日期]])*(表成绩单[数学]&lt;9E+307)*(表成绩单[数学]&gt;表成绩单[[#This Row],[数学]]))+1)</f>
        <v>563</v>
      </c>
      <c r="R2999" s="29" cm="1">
        <f t="array" ref="R2999">IF(表成绩单[[#This Row],[英语]]="","",SUMPRODUCT((表成绩单[考试日期]=表成绩单[[#This Row],[考试日期]])*(表成绩单[英语]&lt;9E+307)*(表成绩单[英语]&gt;表成绩单[[#This Row],[英语]]))+1)</f>
        <v>554</v>
      </c>
      <c r="S2999" s="29" cm="1">
        <f t="array" ref="S2999">IF(表成绩单[[#This Row],[物理]]="","",SUMPRODUCT((表成绩单[考试日期]=表成绩单[[#This Row],[考试日期]])*(表成绩单[物理]&lt;9E+307)*(表成绩单[物理]&gt;表成绩单[[#This Row],[物理]]))+1)</f>
        <v>565</v>
      </c>
      <c r="T2999" s="29" cm="1">
        <f t="array" ref="T2999">IF(表成绩单[[#This Row],[化学]]="","",SUMPRODUCT((表成绩单[考试日期]=表成绩单[[#This Row],[考试日期]])*(表成绩单[化学]&lt;9E+307)*(表成绩单[化学]&gt;表成绩单[[#This Row],[化学]]))+1)</f>
        <v>532</v>
      </c>
      <c r="U2999" s="29" cm="1">
        <f t="array" ref="U2999">IF(表成绩单[[#This Row],[政治]]="","",SUMPRODUCT((表成绩单[考试日期]=表成绩单[[#This Row],[考试日期]])*(表成绩单[政治]&lt;9E+307)*(表成绩单[政治]&gt;表成绩单[[#This Row],[政治]]))+1)</f>
        <v>670</v>
      </c>
      <c r="V2999" s="29" cm="1">
        <f t="array" ref="V2999">IF(表成绩单[[#This Row],[历史]]="","",SUMPRODUCT((表成绩单[考试日期]=表成绩单[[#This Row],[考试日期]])*(表成绩单[历史]&lt;9E+307)*(表成绩单[历史]&gt;表成绩单[[#This Row],[历史]]))+1)</f>
        <v>539</v>
      </c>
      <c r="W2999" s="29" cm="1">
        <f t="array" ref="W2999">IF(表成绩单[[#This Row],[总分]]="","",SUMPRODUCT((表成绩单[考试日期]=表成绩单[[#This Row],[考试日期]])*(表成绩单[总分]&lt;9E+307)*(表成绩单[总分]&gt;表成绩单[[#This Row],[总分]]))+1)</f>
        <v>592</v>
      </c>
    </row>
    <row r="3000" ht="28" customHeight="1" spans="4:23">
      <c r="D3000" s="31">
        <v>46108</v>
      </c>
      <c r="E3000" s="29">
        <v>19173245</v>
      </c>
      <c r="F3000" s="29" t="s">
        <v>61</v>
      </c>
      <c r="G3000" s="29" t="s">
        <v>638</v>
      </c>
      <c r="H3000" s="29">
        <v>73</v>
      </c>
      <c r="I3000" s="29">
        <v>87</v>
      </c>
      <c r="J3000" s="29">
        <v>49.5</v>
      </c>
      <c r="K3000" s="29">
        <v>82</v>
      </c>
      <c r="L3000" s="29">
        <v>75</v>
      </c>
      <c r="M3000" s="29">
        <v>61</v>
      </c>
      <c r="N3000" s="29">
        <v>70</v>
      </c>
      <c r="O3000" s="32">
        <v>497.5</v>
      </c>
      <c r="P3000" s="29" cm="1">
        <f t="array" ref="P3000">IF(表成绩单[[#This Row],[语文]]="","",SUMPRODUCT((表成绩单[考试日期]=表成绩单[[#This Row],[考试日期]])*(表成绩单[语文]&lt;9E+307)*(表成绩单[语文]&gt;表成绩单[[#This Row],[语文]]))+1)</f>
        <v>727</v>
      </c>
      <c r="Q3000" s="29" cm="1">
        <f t="array" ref="Q3000">IF(表成绩单[[#This Row],[数学]]="","",SUMPRODUCT((表成绩单[考试日期]=表成绩单[[#This Row],[考试日期]])*(表成绩单[数学]&lt;9E+307)*(表成绩单[数学]&gt;表成绩单[[#This Row],[数学]]))+1)</f>
        <v>452</v>
      </c>
      <c r="R3000" s="29" cm="1">
        <f t="array" ref="R3000">IF(表成绩单[[#This Row],[英语]]="","",SUMPRODUCT((表成绩单[考试日期]=表成绩单[[#This Row],[考试日期]])*(表成绩单[英语]&lt;9E+307)*(表成绩单[英语]&gt;表成绩单[[#This Row],[英语]]))+1)</f>
        <v>713</v>
      </c>
      <c r="S3000" s="29" cm="1">
        <f t="array" ref="S3000">IF(表成绩单[[#This Row],[物理]]="","",SUMPRODUCT((表成绩单[考试日期]=表成绩单[[#This Row],[考试日期]])*(表成绩单[物理]&lt;9E+307)*(表成绩单[物理]&gt;表成绩单[[#This Row],[物理]]))+1)</f>
        <v>223</v>
      </c>
      <c r="T3000" s="29" cm="1">
        <f t="array" ref="T3000">IF(表成绩单[[#This Row],[化学]]="","",SUMPRODUCT((表成绩单[考试日期]=表成绩单[[#This Row],[考试日期]])*(表成绩单[化学]&lt;9E+307)*(表成绩单[化学]&gt;表成绩单[[#This Row],[化学]]))+1)</f>
        <v>96</v>
      </c>
      <c r="U3000" s="29" cm="1">
        <f t="array" ref="U3000">IF(表成绩单[[#This Row],[政治]]="","",SUMPRODUCT((表成绩单[考试日期]=表成绩单[[#This Row],[考试日期]])*(表成绩单[政治]&lt;9E+307)*(表成绩单[政治]&gt;表成绩单[[#This Row],[政治]]))+1)</f>
        <v>700</v>
      </c>
      <c r="V3000" s="29" cm="1">
        <f t="array" ref="V3000">IF(表成绩单[[#This Row],[历史]]="","",SUMPRODUCT((表成绩单[考试日期]=表成绩单[[#This Row],[考试日期]])*(表成绩单[历史]&lt;9E+307)*(表成绩单[历史]&gt;表成绩单[[#This Row],[历史]]))+1)</f>
        <v>539</v>
      </c>
      <c r="W3000" s="29" cm="1">
        <f t="array" ref="W3000">IF(表成绩单[[#This Row],[总分]]="","",SUMPRODUCT((表成绩单[考试日期]=表成绩单[[#This Row],[考试日期]])*(表成绩单[总分]&lt;9E+307)*(表成绩单[总分]&gt;表成绩单[[#This Row],[总分]]))+1)</f>
        <v>593</v>
      </c>
    </row>
    <row r="3001" ht="28" customHeight="1" spans="4:23">
      <c r="D3001" s="31">
        <v>46108</v>
      </c>
      <c r="E3001" s="29">
        <v>19174741</v>
      </c>
      <c r="F3001" s="29" t="s">
        <v>64</v>
      </c>
      <c r="G3001" s="29" t="s">
        <v>669</v>
      </c>
      <c r="H3001" s="29">
        <v>95</v>
      </c>
      <c r="I3001" s="29">
        <v>79</v>
      </c>
      <c r="J3001" s="29">
        <v>69.5</v>
      </c>
      <c r="K3001" s="29">
        <v>66</v>
      </c>
      <c r="L3001" s="29">
        <v>46</v>
      </c>
      <c r="M3001" s="29">
        <v>65</v>
      </c>
      <c r="N3001" s="29">
        <v>76</v>
      </c>
      <c r="O3001" s="32">
        <v>496.5</v>
      </c>
      <c r="P3001" s="29" cm="1">
        <f t="array" ref="P3001">IF(表成绩单[[#This Row],[语文]]="","",SUMPRODUCT((表成绩单[考试日期]=表成绩单[[#This Row],[考试日期]])*(表成绩单[语文]&lt;9E+307)*(表成绩单[语文]&gt;表成绩单[[#This Row],[语文]]))+1)</f>
        <v>422</v>
      </c>
      <c r="Q3001" s="29" cm="1">
        <f t="array" ref="Q3001">IF(表成绩单[[#This Row],[数学]]="","",SUMPRODUCT((表成绩单[考试日期]=表成绩单[[#This Row],[考试日期]])*(表成绩单[数学]&lt;9E+307)*(表成绩单[数学]&gt;表成绩单[[#This Row],[数学]]))+1)</f>
        <v>591</v>
      </c>
      <c r="R3001" s="29" cm="1">
        <f t="array" ref="R3001">IF(表成绩单[[#This Row],[英语]]="","",SUMPRODUCT((表成绩单[考试日期]=表成绩单[[#This Row],[考试日期]])*(表成绩单[英语]&lt;9E+307)*(表成绩单[英语]&gt;表成绩单[[#This Row],[英语]]))+1)</f>
        <v>547</v>
      </c>
      <c r="S3001" s="29" cm="1">
        <f t="array" ref="S3001">IF(表成绩单[[#This Row],[物理]]="","",SUMPRODUCT((表成绩单[考试日期]=表成绩单[[#This Row],[考试日期]])*(表成绩单[物理]&lt;9E+307)*(表成绩单[物理]&gt;表成绩单[[#This Row],[物理]]))+1)</f>
        <v>608</v>
      </c>
      <c r="T3001" s="29" cm="1">
        <f t="array" ref="T3001">IF(表成绩单[[#This Row],[化学]]="","",SUMPRODUCT((表成绩单[考试日期]=表成绩单[[#This Row],[考试日期]])*(表成绩单[化学]&lt;9E+307)*(表成绩单[化学]&gt;表成绩单[[#This Row],[化学]]))+1)</f>
        <v>678</v>
      </c>
      <c r="U3001" s="29" cm="1">
        <f t="array" ref="U3001">IF(表成绩单[[#This Row],[政治]]="","",SUMPRODUCT((表成绩单[考试日期]=表成绩单[[#This Row],[考试日期]])*(表成绩单[政治]&lt;9E+307)*(表成绩单[政治]&gt;表成绩单[[#This Row],[政治]]))+1)</f>
        <v>655</v>
      </c>
      <c r="V3001" s="29" cm="1">
        <f t="array" ref="V3001">IF(表成绩单[[#This Row],[历史]]="","",SUMPRODUCT((表成绩单[考试日期]=表成绩单[[#This Row],[考试日期]])*(表成绩单[历史]&lt;9E+307)*(表成绩单[历史]&gt;表成绩单[[#This Row],[历史]]))+1)</f>
        <v>316</v>
      </c>
      <c r="W3001" s="29" cm="1">
        <f t="array" ref="W3001">IF(表成绩单[[#This Row],[总分]]="","",SUMPRODUCT((表成绩单[考试日期]=表成绩单[[#This Row],[考试日期]])*(表成绩单[总分]&lt;9E+307)*(表成绩单[总分]&gt;表成绩单[[#This Row],[总分]]))+1)</f>
        <v>594</v>
      </c>
    </row>
    <row r="3002" ht="28" customHeight="1" spans="4:23">
      <c r="D3002" s="31">
        <v>46108</v>
      </c>
      <c r="E3002" s="29">
        <v>19175315</v>
      </c>
      <c r="F3002" s="29" t="s">
        <v>55</v>
      </c>
      <c r="G3002" s="29" t="s">
        <v>642</v>
      </c>
      <c r="H3002" s="29">
        <v>89</v>
      </c>
      <c r="I3002" s="29">
        <v>85</v>
      </c>
      <c r="J3002" s="29">
        <v>71.5</v>
      </c>
      <c r="K3002" s="29">
        <v>67</v>
      </c>
      <c r="L3002" s="29">
        <v>47</v>
      </c>
      <c r="M3002" s="29">
        <v>62</v>
      </c>
      <c r="N3002" s="29">
        <v>74</v>
      </c>
      <c r="O3002" s="32">
        <v>495.5</v>
      </c>
      <c r="P3002" s="29" cm="1">
        <f t="array" ref="P3002">IF(表成绩单[[#This Row],[语文]]="","",SUMPRODUCT((表成绩单[考试日期]=表成绩单[[#This Row],[考试日期]])*(表成绩单[语文]&lt;9E+307)*(表成绩单[语文]&gt;表成绩单[[#This Row],[语文]]))+1)</f>
        <v>559</v>
      </c>
      <c r="Q3002" s="29" cm="1">
        <f t="array" ref="Q3002">IF(表成绩单[[#This Row],[数学]]="","",SUMPRODUCT((表成绩单[考试日期]=表成绩单[[#This Row],[考试日期]])*(表成绩单[数学]&lt;9E+307)*(表成绩单[数学]&gt;表成绩单[[#This Row],[数学]]))+1)</f>
        <v>501</v>
      </c>
      <c r="R3002" s="29" cm="1">
        <f t="array" ref="R3002">IF(表成绩单[[#This Row],[英语]]="","",SUMPRODUCT((表成绩单[考试日期]=表成绩单[[#This Row],[考试日期]])*(表成绩单[英语]&lt;9E+307)*(表成绩单[英语]&gt;表成绩单[[#This Row],[英语]]))+1)</f>
        <v>509</v>
      </c>
      <c r="S3002" s="29" cm="1">
        <f t="array" ref="S3002">IF(表成绩单[[#This Row],[物理]]="","",SUMPRODUCT((表成绩单[考试日期]=表成绩单[[#This Row],[考试日期]])*(表成绩单[物理]&lt;9E+307)*(表成绩单[物理]&gt;表成绩单[[#This Row],[物理]]))+1)</f>
        <v>593</v>
      </c>
      <c r="T3002" s="29" cm="1">
        <f t="array" ref="T3002">IF(表成绩单[[#This Row],[化学]]="","",SUMPRODUCT((表成绩单[考试日期]=表成绩单[[#This Row],[考试日期]])*(表成绩单[化学]&lt;9E+307)*(表成绩单[化学]&gt;表成绩单[[#This Row],[化学]]))+1)</f>
        <v>670</v>
      </c>
      <c r="U3002" s="29" cm="1">
        <f t="array" ref="U3002">IF(表成绩单[[#This Row],[政治]]="","",SUMPRODUCT((表成绩单[考试日期]=表成绩单[[#This Row],[考试日期]])*(表成绩单[政治]&lt;9E+307)*(表成绩单[政治]&gt;表成绩单[[#This Row],[政治]]))+1)</f>
        <v>692</v>
      </c>
      <c r="V3002" s="29" cm="1">
        <f t="array" ref="V3002">IF(表成绩单[[#This Row],[历史]]="","",SUMPRODUCT((表成绩单[考试日期]=表成绩单[[#This Row],[考试日期]])*(表成绩单[历史]&lt;9E+307)*(表成绩单[历史]&gt;表成绩单[[#This Row],[历史]]))+1)</f>
        <v>389</v>
      </c>
      <c r="W3002" s="29" cm="1">
        <f t="array" ref="W3002">IF(表成绩单[[#This Row],[总分]]="","",SUMPRODUCT((表成绩单[考试日期]=表成绩单[[#This Row],[考试日期]])*(表成绩单[总分]&lt;9E+307)*(表成绩单[总分]&gt;表成绩单[[#This Row],[总分]]))+1)</f>
        <v>595</v>
      </c>
    </row>
    <row r="3003" ht="28" customHeight="1" spans="4:23">
      <c r="D3003" s="31">
        <v>46108</v>
      </c>
      <c r="E3003" s="29">
        <v>19173789</v>
      </c>
      <c r="F3003" s="29" t="s">
        <v>65</v>
      </c>
      <c r="G3003" s="29" t="s">
        <v>676</v>
      </c>
      <c r="H3003" s="29">
        <v>84</v>
      </c>
      <c r="I3003" s="29">
        <v>87</v>
      </c>
      <c r="J3003" s="29">
        <v>70.5</v>
      </c>
      <c r="K3003" s="29">
        <v>67</v>
      </c>
      <c r="L3003" s="29">
        <v>52</v>
      </c>
      <c r="M3003" s="29">
        <v>71</v>
      </c>
      <c r="N3003" s="29">
        <v>63</v>
      </c>
      <c r="O3003" s="32">
        <v>494.5</v>
      </c>
      <c r="P3003" s="29" cm="1">
        <f t="array" ref="P3003">IF(表成绩单[[#This Row],[语文]]="","",SUMPRODUCT((表成绩单[考试日期]=表成绩单[[#This Row],[考试日期]])*(表成绩单[语文]&lt;9E+307)*(表成绩单[语文]&gt;表成绩单[[#This Row],[语文]]))+1)</f>
        <v>638</v>
      </c>
      <c r="Q3003" s="29" cm="1">
        <f t="array" ref="Q3003">IF(表成绩单[[#This Row],[数学]]="","",SUMPRODUCT((表成绩单[考试日期]=表成绩单[[#This Row],[考试日期]])*(表成绩单[数学]&lt;9E+307)*(表成绩单[数学]&gt;表成绩单[[#This Row],[数学]]))+1)</f>
        <v>452</v>
      </c>
      <c r="R3003" s="29" cm="1">
        <f t="array" ref="R3003">IF(表成绩单[[#This Row],[英语]]="","",SUMPRODUCT((表成绩单[考试日期]=表成绩单[[#This Row],[考试日期]])*(表成绩单[英语]&lt;9E+307)*(表成绩单[英语]&gt;表成绩单[[#This Row],[英语]]))+1)</f>
        <v>530</v>
      </c>
      <c r="S3003" s="29" cm="1">
        <f t="array" ref="S3003">IF(表成绩单[[#This Row],[物理]]="","",SUMPRODUCT((表成绩单[考试日期]=表成绩单[[#This Row],[考试日期]])*(表成绩单[物理]&lt;9E+307)*(表成绩单[物理]&gt;表成绩单[[#This Row],[物理]]))+1)</f>
        <v>593</v>
      </c>
      <c r="T3003" s="29" cm="1">
        <f t="array" ref="T3003">IF(表成绩单[[#This Row],[化学]]="","",SUMPRODUCT((表成绩单[考试日期]=表成绩单[[#This Row],[考试日期]])*(表成绩单[化学]&lt;9E+307)*(表成绩单[化学]&gt;表成绩单[[#This Row],[化学]]))+1)</f>
        <v>612</v>
      </c>
      <c r="U3003" s="29" cm="1">
        <f t="array" ref="U3003">IF(表成绩单[[#This Row],[政治]]="","",SUMPRODUCT((表成绩单[考试日期]=表成绩单[[#This Row],[考试日期]])*(表成绩单[政治]&lt;9E+307)*(表成绩单[政治]&gt;表成绩单[[#This Row],[政治]]))+1)</f>
        <v>513</v>
      </c>
      <c r="V3003" s="29" cm="1">
        <f t="array" ref="V3003">IF(表成绩单[[#This Row],[历史]]="","",SUMPRODUCT((表成绩单[考试日期]=表成绩单[[#This Row],[考试日期]])*(表成绩单[历史]&lt;9E+307)*(表成绩单[历史]&gt;表成绩单[[#This Row],[历史]]))+1)</f>
        <v>686</v>
      </c>
      <c r="W3003" s="29" cm="1">
        <f t="array" ref="W3003">IF(表成绩单[[#This Row],[总分]]="","",SUMPRODUCT((表成绩单[考试日期]=表成绩单[[#This Row],[考试日期]])*(表成绩单[总分]&lt;9E+307)*(表成绩单[总分]&gt;表成绩单[[#This Row],[总分]]))+1)</f>
        <v>596</v>
      </c>
    </row>
    <row r="3004" ht="28" customHeight="1" spans="4:23">
      <c r="D3004" s="31">
        <v>46108</v>
      </c>
      <c r="E3004" s="29">
        <v>19175305</v>
      </c>
      <c r="F3004" s="29" t="s">
        <v>55</v>
      </c>
      <c r="G3004" s="29" t="s">
        <v>759</v>
      </c>
      <c r="H3004" s="29">
        <v>98</v>
      </c>
      <c r="I3004" s="29">
        <v>74</v>
      </c>
      <c r="J3004" s="29">
        <v>63.5</v>
      </c>
      <c r="K3004" s="29">
        <v>66</v>
      </c>
      <c r="L3004" s="29">
        <v>48</v>
      </c>
      <c r="M3004" s="29">
        <v>78</v>
      </c>
      <c r="N3004" s="29">
        <v>67</v>
      </c>
      <c r="O3004" s="32">
        <v>494.5</v>
      </c>
      <c r="P3004" s="29" cm="1">
        <f t="array" ref="P3004">IF(表成绩单[[#This Row],[语文]]="","",SUMPRODUCT((表成绩单[考试日期]=表成绩单[[#This Row],[考试日期]])*(表成绩单[语文]&lt;9E+307)*(表成绩单[语文]&gt;表成绩单[[#This Row],[语文]]))+1)</f>
        <v>322</v>
      </c>
      <c r="Q3004" s="29" cm="1">
        <f t="array" ref="Q3004">IF(表成绩单[[#This Row],[数学]]="","",SUMPRODUCT((表成绩单[考试日期]=表成绩单[[#This Row],[考试日期]])*(表成绩单[数学]&lt;9E+307)*(表成绩单[数学]&gt;表成绩单[[#This Row],[数学]]))+1)</f>
        <v>635</v>
      </c>
      <c r="R3004" s="29" cm="1">
        <f t="array" ref="R3004">IF(表成绩单[[#This Row],[英语]]="","",SUMPRODUCT((表成绩单[考试日期]=表成绩单[[#This Row],[考试日期]])*(表成绩单[英语]&lt;9E+307)*(表成绩单[英语]&gt;表成绩单[[#This Row],[英语]]))+1)</f>
        <v>624</v>
      </c>
      <c r="S3004" s="29" cm="1">
        <f t="array" ref="S3004">IF(表成绩单[[#This Row],[物理]]="","",SUMPRODUCT((表成绩单[考试日期]=表成绩单[[#This Row],[考试日期]])*(表成绩单[物理]&lt;9E+307)*(表成绩单[物理]&gt;表成绩单[[#This Row],[物理]]))+1)</f>
        <v>608</v>
      </c>
      <c r="T3004" s="29" cm="1">
        <f t="array" ref="T3004">IF(表成绩单[[#This Row],[化学]]="","",SUMPRODUCT((表成绩单[考试日期]=表成绩单[[#This Row],[考试日期]])*(表成绩单[化学]&lt;9E+307)*(表成绩单[化学]&gt;表成绩单[[#This Row],[化学]]))+1)</f>
        <v>654</v>
      </c>
      <c r="U3004" s="29" cm="1">
        <f t="array" ref="U3004">IF(表成绩单[[#This Row],[政治]]="","",SUMPRODUCT((表成绩单[考试日期]=表成绩单[[#This Row],[考试日期]])*(表成绩单[政治]&lt;9E+307)*(表成绩单[政治]&gt;表成绩单[[#This Row],[政治]]))+1)</f>
        <v>171</v>
      </c>
      <c r="V3004" s="29" cm="1">
        <f t="array" ref="V3004">IF(表成绩单[[#This Row],[历史]]="","",SUMPRODUCT((表成绩单[考试日期]=表成绩单[[#This Row],[考试日期]])*(表成绩单[历史]&lt;9E+307)*(表成绩单[历史]&gt;表成绩单[[#This Row],[历史]]))+1)</f>
        <v>623</v>
      </c>
      <c r="W3004" s="29" cm="1">
        <f t="array" ref="W3004">IF(表成绩单[[#This Row],[总分]]="","",SUMPRODUCT((表成绩单[考试日期]=表成绩单[[#This Row],[考试日期]])*(表成绩单[总分]&lt;9E+307)*(表成绩单[总分]&gt;表成绩单[[#This Row],[总分]]))+1)</f>
        <v>596</v>
      </c>
    </row>
    <row r="3005" ht="28" customHeight="1" spans="4:23">
      <c r="D3005" s="31">
        <v>46108</v>
      </c>
      <c r="E3005" s="29">
        <v>19173242</v>
      </c>
      <c r="F3005" s="29" t="s">
        <v>61</v>
      </c>
      <c r="G3005" s="29" t="s">
        <v>742</v>
      </c>
      <c r="H3005" s="29">
        <v>84</v>
      </c>
      <c r="I3005" s="29">
        <v>79</v>
      </c>
      <c r="J3005" s="29">
        <v>69</v>
      </c>
      <c r="K3005" s="29">
        <v>71</v>
      </c>
      <c r="L3005" s="29">
        <v>57</v>
      </c>
      <c r="M3005" s="29">
        <v>60</v>
      </c>
      <c r="N3005" s="29">
        <v>73</v>
      </c>
      <c r="O3005" s="32">
        <v>493</v>
      </c>
      <c r="P3005" s="29" cm="1">
        <f t="array" ref="P3005">IF(表成绩单[[#This Row],[语文]]="","",SUMPRODUCT((表成绩单[考试日期]=表成绩单[[#This Row],[考试日期]])*(表成绩单[语文]&lt;9E+307)*(表成绩单[语文]&gt;表成绩单[[#This Row],[语文]]))+1)</f>
        <v>638</v>
      </c>
      <c r="Q3005" s="29" cm="1">
        <f t="array" ref="Q3005">IF(表成绩单[[#This Row],[数学]]="","",SUMPRODUCT((表成绩单[考试日期]=表成绩单[[#This Row],[考试日期]])*(表成绩单[数学]&lt;9E+307)*(表成绩单[数学]&gt;表成绩单[[#This Row],[数学]]))+1)</f>
        <v>591</v>
      </c>
      <c r="R3005" s="29" cm="1">
        <f t="array" ref="R3005">IF(表成绩单[[#This Row],[英语]]="","",SUMPRODUCT((表成绩单[考试日期]=表成绩单[[#This Row],[考试日期]])*(表成绩单[英语]&lt;9E+307)*(表成绩单[英语]&gt;表成绩单[[#This Row],[英语]]))+1)</f>
        <v>554</v>
      </c>
      <c r="S3005" s="29" cm="1">
        <f t="array" ref="S3005">IF(表成绩单[[#This Row],[物理]]="","",SUMPRODUCT((表成绩单[考试日期]=表成绩单[[#This Row],[考试日期]])*(表成绩单[物理]&lt;9E+307)*(表成绩单[物理]&gt;表成绩单[[#This Row],[物理]]))+1)</f>
        <v>536</v>
      </c>
      <c r="T3005" s="29" cm="1">
        <f t="array" ref="T3005">IF(表成绩单[[#This Row],[化学]]="","",SUMPRODUCT((表成绩单[考试日期]=表成绩单[[#This Row],[考试日期]])*(表成绩单[化学]&lt;9E+307)*(表成绩单[化学]&gt;表成绩单[[#This Row],[化学]]))+1)</f>
        <v>552</v>
      </c>
      <c r="U3005" s="29" cm="1">
        <f t="array" ref="U3005">IF(表成绩单[[#This Row],[政治]]="","",SUMPRODUCT((表成绩单[考试日期]=表成绩单[[#This Row],[考试日期]])*(表成绩单[政治]&lt;9E+307)*(表成绩单[政治]&gt;表成绩单[[#This Row],[政治]]))+1)</f>
        <v>709</v>
      </c>
      <c r="V3005" s="29" cm="1">
        <f t="array" ref="V3005">IF(表成绩单[[#This Row],[历史]]="","",SUMPRODUCT((表成绩单[考试日期]=表成绩单[[#This Row],[考试日期]])*(表成绩单[历史]&lt;9E+307)*(表成绩单[历史]&gt;表成绩单[[#This Row],[历史]]))+1)</f>
        <v>432</v>
      </c>
      <c r="W3005" s="29" cm="1">
        <f t="array" ref="W3005">IF(表成绩单[[#This Row],[总分]]="","",SUMPRODUCT((表成绩单[考试日期]=表成绩单[[#This Row],[考试日期]])*(表成绩单[总分]&lt;9E+307)*(表成绩单[总分]&gt;表成绩单[[#This Row],[总分]]))+1)</f>
        <v>598</v>
      </c>
    </row>
    <row r="3006" ht="28" customHeight="1" spans="4:23">
      <c r="D3006" s="31">
        <v>46108</v>
      </c>
      <c r="E3006" s="29">
        <v>19173771</v>
      </c>
      <c r="F3006" s="29" t="s">
        <v>65</v>
      </c>
      <c r="G3006" s="29" t="s">
        <v>624</v>
      </c>
      <c r="H3006" s="29">
        <v>87</v>
      </c>
      <c r="I3006" s="29">
        <v>77</v>
      </c>
      <c r="J3006" s="29">
        <v>74.5</v>
      </c>
      <c r="K3006" s="29">
        <v>55</v>
      </c>
      <c r="L3006" s="29">
        <v>59</v>
      </c>
      <c r="M3006" s="29">
        <v>71</v>
      </c>
      <c r="N3006" s="29">
        <v>69</v>
      </c>
      <c r="O3006" s="32">
        <v>492.5</v>
      </c>
      <c r="P3006" s="29" cm="1">
        <f t="array" ref="P3006">IF(表成绩单[[#This Row],[语文]]="","",SUMPRODUCT((表成绩单[考试日期]=表成绩单[[#This Row],[考试日期]])*(表成绩单[语文]&lt;9E+307)*(表成绩单[语文]&gt;表成绩单[[#This Row],[语文]]))+1)</f>
        <v>599</v>
      </c>
      <c r="Q3006" s="29" cm="1">
        <f t="array" ref="Q3006">IF(表成绩单[[#This Row],[数学]]="","",SUMPRODUCT((表成绩单[考试日期]=表成绩单[[#This Row],[考试日期]])*(表成绩单[数学]&lt;9E+307)*(表成绩单[数学]&gt;表成绩单[[#This Row],[数学]]))+1)</f>
        <v>617</v>
      </c>
      <c r="R3006" s="29" cm="1">
        <f t="array" ref="R3006">IF(表成绩单[[#This Row],[英语]]="","",SUMPRODUCT((表成绩单[考试日期]=表成绩单[[#This Row],[考试日期]])*(表成绩单[英语]&lt;9E+307)*(表成绩单[英语]&gt;表成绩单[[#This Row],[英语]]))+1)</f>
        <v>456</v>
      </c>
      <c r="S3006" s="29" cm="1">
        <f t="array" ref="S3006">IF(表成绩单[[#This Row],[物理]]="","",SUMPRODUCT((表成绩单[考试日期]=表成绩单[[#This Row],[考试日期]])*(表成绩单[物理]&lt;9E+307)*(表成绩单[物理]&gt;表成绩单[[#This Row],[物理]]))+1)</f>
        <v>704</v>
      </c>
      <c r="T3006" s="29" cm="1">
        <f t="array" ref="T3006">IF(表成绩单[[#This Row],[化学]]="","",SUMPRODUCT((表成绩单[考试日期]=表成绩单[[#This Row],[考试日期]])*(表成绩单[化学]&lt;9E+307)*(表成绩单[化学]&gt;表成绩单[[#This Row],[化学]]))+1)</f>
        <v>510</v>
      </c>
      <c r="U3006" s="29" cm="1">
        <f t="array" ref="U3006">IF(表成绩单[[#This Row],[政治]]="","",SUMPRODUCT((表成绩单[考试日期]=表成绩单[[#This Row],[考试日期]])*(表成绩单[政治]&lt;9E+307)*(表成绩单[政治]&gt;表成绩单[[#This Row],[政治]]))+1)</f>
        <v>513</v>
      </c>
      <c r="V3006" s="29" cm="1">
        <f t="array" ref="V3006">IF(表成绩单[[#This Row],[历史]]="","",SUMPRODUCT((表成绩单[考试日期]=表成绩单[[#This Row],[考试日期]])*(表成绩单[历史]&lt;9E+307)*(表成绩单[历史]&gt;表成绩单[[#This Row],[历史]]))+1)</f>
        <v>569</v>
      </c>
      <c r="W3006" s="29" cm="1">
        <f t="array" ref="W3006">IF(表成绩单[[#This Row],[总分]]="","",SUMPRODUCT((表成绩单[考试日期]=表成绩单[[#This Row],[考试日期]])*(表成绩单[总分]&lt;9E+307)*(表成绩单[总分]&gt;表成绩单[[#This Row],[总分]]))+1)</f>
        <v>599</v>
      </c>
    </row>
    <row r="3007" ht="28" customHeight="1" spans="4:23">
      <c r="D3007" s="31">
        <v>46108</v>
      </c>
      <c r="E3007" s="29">
        <v>19178598</v>
      </c>
      <c r="F3007" s="29" t="s">
        <v>64</v>
      </c>
      <c r="G3007" s="29" t="s">
        <v>661</v>
      </c>
      <c r="H3007" s="29">
        <v>89</v>
      </c>
      <c r="I3007" s="29">
        <v>81</v>
      </c>
      <c r="J3007" s="29">
        <v>64.5</v>
      </c>
      <c r="K3007" s="29">
        <v>64</v>
      </c>
      <c r="L3007" s="29">
        <v>66</v>
      </c>
      <c r="M3007" s="29">
        <v>64</v>
      </c>
      <c r="N3007" s="29">
        <v>63</v>
      </c>
      <c r="O3007" s="32">
        <v>491.5</v>
      </c>
      <c r="P3007" s="29" cm="1">
        <f t="array" ref="P3007">IF(表成绩单[[#This Row],[语文]]="","",SUMPRODUCT((表成绩单[考试日期]=表成绩单[[#This Row],[考试日期]])*(表成绩单[语文]&lt;9E+307)*(表成绩单[语文]&gt;表成绩单[[#This Row],[语文]]))+1)</f>
        <v>559</v>
      </c>
      <c r="Q3007" s="29" cm="1">
        <f t="array" ref="Q3007">IF(表成绩单[[#This Row],[数学]]="","",SUMPRODUCT((表成绩单[考试日期]=表成绩单[[#This Row],[考试日期]])*(表成绩单[数学]&lt;9E+307)*(表成绩单[数学]&gt;表成绩单[[#This Row],[数学]]))+1)</f>
        <v>563</v>
      </c>
      <c r="R3007" s="29" cm="1">
        <f t="array" ref="R3007">IF(表成绩单[[#This Row],[英语]]="","",SUMPRODUCT((表成绩单[考试日期]=表成绩单[[#This Row],[考试日期]])*(表成绩单[英语]&lt;9E+307)*(表成绩单[英语]&gt;表成绩单[[#This Row],[英语]]))+1)</f>
        <v>610</v>
      </c>
      <c r="S3007" s="29" cm="1">
        <f t="array" ref="S3007">IF(表成绩单[[#This Row],[物理]]="","",SUMPRODUCT((表成绩单[考试日期]=表成绩单[[#This Row],[考试日期]])*(表成绩单[物理]&lt;9E+307)*(表成绩单[物理]&gt;表成绩单[[#This Row],[物理]]))+1)</f>
        <v>626</v>
      </c>
      <c r="T3007" s="29" cm="1">
        <f t="array" ref="T3007">IF(表成绩单[[#This Row],[化学]]="","",SUMPRODUCT((表成绩单[考试日期]=表成绩单[[#This Row],[考试日期]])*(表成绩单[化学]&lt;9E+307)*(表成绩单[化学]&gt;表成绩单[[#This Row],[化学]]))+1)</f>
        <v>359</v>
      </c>
      <c r="U3007" s="29" cm="1">
        <f t="array" ref="U3007">IF(表成绩单[[#This Row],[政治]]="","",SUMPRODUCT((表成绩单[考试日期]=表成绩单[[#This Row],[考试日期]])*(表成绩单[政治]&lt;9E+307)*(表成绩单[政治]&gt;表成绩单[[#This Row],[政治]]))+1)</f>
        <v>670</v>
      </c>
      <c r="V3007" s="29" cm="1">
        <f t="array" ref="V3007">IF(表成绩单[[#This Row],[历史]]="","",SUMPRODUCT((表成绩单[考试日期]=表成绩单[[#This Row],[考试日期]])*(表成绩单[历史]&lt;9E+307)*(表成绩单[历史]&gt;表成绩单[[#This Row],[历史]]))+1)</f>
        <v>686</v>
      </c>
      <c r="W3007" s="29" cm="1">
        <f t="array" ref="W3007">IF(表成绩单[[#This Row],[总分]]="","",SUMPRODUCT((表成绩单[考试日期]=表成绩单[[#This Row],[考试日期]])*(表成绩单[总分]&lt;9E+307)*(表成绩单[总分]&gt;表成绩单[[#This Row],[总分]]))+1)</f>
        <v>600</v>
      </c>
    </row>
    <row r="3008" ht="28" customHeight="1" spans="4:23">
      <c r="D3008" s="31">
        <v>46108</v>
      </c>
      <c r="E3008" s="29">
        <v>19172634</v>
      </c>
      <c r="F3008" s="29" t="s">
        <v>60</v>
      </c>
      <c r="G3008" s="29" t="s">
        <v>671</v>
      </c>
      <c r="H3008" s="29">
        <v>90</v>
      </c>
      <c r="I3008" s="29">
        <v>71</v>
      </c>
      <c r="J3008" s="29">
        <v>73</v>
      </c>
      <c r="K3008" s="29">
        <v>69</v>
      </c>
      <c r="L3008" s="29">
        <v>56</v>
      </c>
      <c r="M3008" s="29">
        <v>73</v>
      </c>
      <c r="N3008" s="29">
        <v>59</v>
      </c>
      <c r="O3008" s="32">
        <v>491</v>
      </c>
      <c r="P3008" s="29" cm="1">
        <f t="array" ref="P3008">IF(表成绩单[[#This Row],[语文]]="","",SUMPRODUCT((表成绩单[考试日期]=表成绩单[[#This Row],[考试日期]])*(表成绩单[语文]&lt;9E+307)*(表成绩单[语文]&gt;表成绩单[[#This Row],[语文]]))+1)</f>
        <v>539</v>
      </c>
      <c r="Q3008" s="29" cm="1">
        <f t="array" ref="Q3008">IF(表成绩单[[#This Row],[数学]]="","",SUMPRODUCT((表成绩单[考试日期]=表成绩单[[#This Row],[考试日期]])*(表成绩单[数学]&lt;9E+307)*(表成绩单[数学]&gt;表成绩单[[#This Row],[数学]]))+1)</f>
        <v>655</v>
      </c>
      <c r="R3008" s="29" cm="1">
        <f t="array" ref="R3008">IF(表成绩单[[#This Row],[英语]]="","",SUMPRODUCT((表成绩单[考试日期]=表成绩单[[#This Row],[考试日期]])*(表成绩单[英语]&lt;9E+307)*(表成绩单[英语]&gt;表成绩单[[#This Row],[英语]]))+1)</f>
        <v>478</v>
      </c>
      <c r="S3008" s="29" cm="1">
        <f t="array" ref="S3008">IF(表成绩单[[#This Row],[物理]]="","",SUMPRODUCT((表成绩单[考试日期]=表成绩单[[#This Row],[考试日期]])*(表成绩单[物理]&lt;9E+307)*(表成绩单[物理]&gt;表成绩单[[#This Row],[物理]]))+1)</f>
        <v>565</v>
      </c>
      <c r="T3008" s="29" cm="1">
        <f t="array" ref="T3008">IF(表成绩单[[#This Row],[化学]]="","",SUMPRODUCT((表成绩单[考试日期]=表成绩单[[#This Row],[考试日期]])*(表成绩单[化学]&lt;9E+307)*(表成绩单[化学]&gt;表成绩单[[#This Row],[化学]]))+1)</f>
        <v>569</v>
      </c>
      <c r="U3008" s="29" cm="1">
        <f t="array" ref="U3008">IF(表成绩单[[#This Row],[政治]]="","",SUMPRODUCT((表成绩单[考试日期]=表成绩单[[#This Row],[考试日期]])*(表成绩单[政治]&lt;9E+307)*(表成绩单[政治]&gt;表成绩单[[#This Row],[政治]]))+1)</f>
        <v>431</v>
      </c>
      <c r="V3008" s="29" cm="1">
        <f t="array" ref="V3008">IF(表成绩单[[#This Row],[历史]]="","",SUMPRODUCT((表成绩单[考试日期]=表成绩单[[#This Row],[考试日期]])*(表成绩单[历史]&lt;9E+307)*(表成绩单[历史]&gt;表成绩单[[#This Row],[历史]]))+1)</f>
        <v>724</v>
      </c>
      <c r="W3008" s="29" cm="1">
        <f t="array" ref="W3008">IF(表成绩单[[#This Row],[总分]]="","",SUMPRODUCT((表成绩单[考试日期]=表成绩单[[#This Row],[考试日期]])*(表成绩单[总分]&lt;9E+307)*(表成绩单[总分]&gt;表成绩单[[#This Row],[总分]]))+1)</f>
        <v>601</v>
      </c>
    </row>
    <row r="3009" ht="28" customHeight="1" spans="4:23">
      <c r="D3009" s="31">
        <v>46108</v>
      </c>
      <c r="E3009" s="29">
        <v>19176157</v>
      </c>
      <c r="F3009" s="29" t="s">
        <v>67</v>
      </c>
      <c r="G3009" s="29" t="s">
        <v>608</v>
      </c>
      <c r="H3009" s="29">
        <v>88</v>
      </c>
      <c r="I3009" s="29">
        <v>79</v>
      </c>
      <c r="J3009" s="29">
        <v>79</v>
      </c>
      <c r="K3009" s="29">
        <v>62</v>
      </c>
      <c r="L3009" s="29">
        <v>47</v>
      </c>
      <c r="M3009" s="29">
        <v>68</v>
      </c>
      <c r="N3009" s="29">
        <v>68</v>
      </c>
      <c r="O3009" s="32">
        <v>491</v>
      </c>
      <c r="P3009" s="29" cm="1">
        <f t="array" ref="P3009">IF(表成绩单[[#This Row],[语文]]="","",SUMPRODUCT((表成绩单[考试日期]=表成绩单[[#This Row],[考试日期]])*(表成绩单[语文]&lt;9E+307)*(表成绩单[语文]&gt;表成绩单[[#This Row],[语文]]))+1)</f>
        <v>575</v>
      </c>
      <c r="Q3009" s="29" cm="1">
        <f t="array" ref="Q3009">IF(表成绩单[[#This Row],[数学]]="","",SUMPRODUCT((表成绩单[考试日期]=表成绩单[[#This Row],[考试日期]])*(表成绩单[数学]&lt;9E+307)*(表成绩单[数学]&gt;表成绩单[[#This Row],[数学]]))+1)</f>
        <v>591</v>
      </c>
      <c r="R3009" s="29" cm="1">
        <f t="array" ref="R3009">IF(表成绩单[[#This Row],[英语]]="","",SUMPRODUCT((表成绩单[考试日期]=表成绩单[[#This Row],[考试日期]])*(表成绩单[英语]&lt;9E+307)*(表成绩单[英语]&gt;表成绩单[[#This Row],[英语]]))+1)</f>
        <v>305</v>
      </c>
      <c r="S3009" s="29" cm="1">
        <f t="array" ref="S3009">IF(表成绩单[[#This Row],[物理]]="","",SUMPRODUCT((表成绩单[考试日期]=表成绩单[[#This Row],[考试日期]])*(表成绩单[物理]&lt;9E+307)*(表成绩单[物理]&gt;表成绩单[[#This Row],[物理]]))+1)</f>
        <v>643</v>
      </c>
      <c r="T3009" s="29" cm="1">
        <f t="array" ref="T3009">IF(表成绩单[[#This Row],[化学]]="","",SUMPRODUCT((表成绩单[考试日期]=表成绩单[[#This Row],[考试日期]])*(表成绩单[化学]&lt;9E+307)*(表成绩单[化学]&gt;表成绩单[[#This Row],[化学]]))+1)</f>
        <v>670</v>
      </c>
      <c r="U3009" s="29" cm="1">
        <f t="array" ref="U3009">IF(表成绩单[[#This Row],[政治]]="","",SUMPRODUCT((表成绩单[考试日期]=表成绩单[[#This Row],[考试日期]])*(表成绩单[政治]&lt;9E+307)*(表成绩单[政治]&gt;表成绩单[[#This Row],[政治]]))+1)</f>
        <v>596</v>
      </c>
      <c r="V3009" s="29" cm="1">
        <f t="array" ref="V3009">IF(表成绩单[[#This Row],[历史]]="","",SUMPRODUCT((表成绩单[考试日期]=表成绩单[[#This Row],[考试日期]])*(表成绩单[历史]&lt;9E+307)*(表成绩单[历史]&gt;表成绩单[[#This Row],[历史]]))+1)</f>
        <v>599</v>
      </c>
      <c r="W3009" s="29" cm="1">
        <f t="array" ref="W3009">IF(表成绩单[[#This Row],[总分]]="","",SUMPRODUCT((表成绩单[考试日期]=表成绩单[[#This Row],[考试日期]])*(表成绩单[总分]&lt;9E+307)*(表成绩单[总分]&gt;表成绩单[[#This Row],[总分]]))+1)</f>
        <v>601</v>
      </c>
    </row>
    <row r="3010" ht="28" customHeight="1" spans="4:23">
      <c r="D3010" s="31">
        <v>46108</v>
      </c>
      <c r="E3010" s="29">
        <v>33603967</v>
      </c>
      <c r="F3010" s="29" t="s">
        <v>66</v>
      </c>
      <c r="G3010" s="29" t="s">
        <v>744</v>
      </c>
      <c r="H3010" s="29">
        <v>81</v>
      </c>
      <c r="I3010" s="29">
        <v>87</v>
      </c>
      <c r="J3010" s="29">
        <v>59.5</v>
      </c>
      <c r="K3010" s="29">
        <v>72</v>
      </c>
      <c r="L3010" s="29">
        <v>55</v>
      </c>
      <c r="M3010" s="29">
        <v>71</v>
      </c>
      <c r="N3010" s="29">
        <v>64</v>
      </c>
      <c r="O3010" s="32">
        <v>489.5</v>
      </c>
      <c r="P3010" s="29" cm="1">
        <f t="array" ref="P3010">IF(表成绩单[[#This Row],[语文]]="","",SUMPRODUCT((表成绩单[考试日期]=表成绩单[[#This Row],[考试日期]])*(表成绩单[语文]&lt;9E+307)*(表成绩单[语文]&gt;表成绩单[[#This Row],[语文]]))+1)</f>
        <v>669</v>
      </c>
      <c r="Q3010" s="29" cm="1">
        <f t="array" ref="Q3010">IF(表成绩单[[#This Row],[数学]]="","",SUMPRODUCT((表成绩单[考试日期]=表成绩单[[#This Row],[考试日期]])*(表成绩单[数学]&lt;9E+307)*(表成绩单[数学]&gt;表成绩单[[#This Row],[数学]]))+1)</f>
        <v>452</v>
      </c>
      <c r="R3010" s="29" cm="1">
        <f t="array" ref="R3010">IF(表成绩单[[#This Row],[英语]]="","",SUMPRODUCT((表成绩单[考试日期]=表成绩单[[#This Row],[考试日期]])*(表成绩单[英语]&lt;9E+307)*(表成绩单[英语]&gt;表成绩单[[#This Row],[英语]]))+1)</f>
        <v>660</v>
      </c>
      <c r="S3010" s="29" cm="1">
        <f t="array" ref="S3010">IF(表成绩单[[#This Row],[物理]]="","",SUMPRODUCT((表成绩单[考试日期]=表成绩单[[#This Row],[考试日期]])*(表成绩单[物理]&lt;9E+307)*(表成绩单[物理]&gt;表成绩单[[#This Row],[物理]]))+1)</f>
        <v>521</v>
      </c>
      <c r="T3010" s="29" cm="1">
        <f t="array" ref="T3010">IF(表成绩单[[#This Row],[化学]]="","",SUMPRODUCT((表成绩单[考试日期]=表成绩单[[#This Row],[考试日期]])*(表成绩单[化学]&lt;9E+307)*(表成绩单[化学]&gt;表成绩单[[#This Row],[化学]]))+1)</f>
        <v>580</v>
      </c>
      <c r="U3010" s="29" cm="1">
        <f t="array" ref="U3010">IF(表成绩单[[#This Row],[政治]]="","",SUMPRODUCT((表成绩单[考试日期]=表成绩单[[#This Row],[考试日期]])*(表成绩单[政治]&lt;9E+307)*(表成绩单[政治]&gt;表成绩单[[#This Row],[政治]]))+1)</f>
        <v>513</v>
      </c>
      <c r="V3010" s="29" cm="1">
        <f t="array" ref="V3010">IF(表成绩单[[#This Row],[历史]]="","",SUMPRODUCT((表成绩单[考试日期]=表成绩单[[#This Row],[考试日期]])*(表成绩单[历史]&lt;9E+307)*(表成绩单[历史]&gt;表成绩单[[#This Row],[历史]]))+1)</f>
        <v>666</v>
      </c>
      <c r="W3010" s="29" cm="1">
        <f t="array" ref="W3010">IF(表成绩单[[#This Row],[总分]]="","",SUMPRODUCT((表成绩单[考试日期]=表成绩单[[#This Row],[考试日期]])*(表成绩单[总分]&lt;9E+307)*(表成绩单[总分]&gt;表成绩单[[#This Row],[总分]]))+1)</f>
        <v>603</v>
      </c>
    </row>
    <row r="3011" ht="28" customHeight="1" spans="4:23">
      <c r="D3011" s="31">
        <v>46108</v>
      </c>
      <c r="E3011" s="29">
        <v>19171089</v>
      </c>
      <c r="F3011" s="29" t="s">
        <v>67</v>
      </c>
      <c r="G3011" s="29" t="s">
        <v>686</v>
      </c>
      <c r="H3011" s="29">
        <v>80</v>
      </c>
      <c r="I3011" s="29">
        <v>81</v>
      </c>
      <c r="J3011" s="29">
        <v>59</v>
      </c>
      <c r="K3011" s="29">
        <v>67</v>
      </c>
      <c r="L3011" s="29">
        <v>69</v>
      </c>
      <c r="M3011" s="29">
        <v>70</v>
      </c>
      <c r="N3011" s="29">
        <v>63</v>
      </c>
      <c r="O3011" s="32">
        <v>489</v>
      </c>
      <c r="P3011" s="29" cm="1">
        <f t="array" ref="P3011">IF(表成绩单[[#This Row],[语文]]="","",SUMPRODUCT((表成绩单[考试日期]=表成绩单[[#This Row],[考试日期]])*(表成绩单[语文]&lt;9E+307)*(表成绩单[语文]&gt;表成绩单[[#This Row],[语文]]))+1)</f>
        <v>679</v>
      </c>
      <c r="Q3011" s="29" cm="1">
        <f t="array" ref="Q3011">IF(表成绩单[[#This Row],[数学]]="","",SUMPRODUCT((表成绩单[考试日期]=表成绩单[[#This Row],[考试日期]])*(表成绩单[数学]&lt;9E+307)*(表成绩单[数学]&gt;表成绩单[[#This Row],[数学]]))+1)</f>
        <v>563</v>
      </c>
      <c r="R3011" s="29" cm="1">
        <f t="array" ref="R3011">IF(表成绩单[[#This Row],[英语]]="","",SUMPRODUCT((表成绩单[考试日期]=表成绩单[[#This Row],[考试日期]])*(表成绩单[英语]&lt;9E+307)*(表成绩单[英语]&gt;表成绩单[[#This Row],[英语]]))+1)</f>
        <v>662</v>
      </c>
      <c r="S3011" s="29" cm="1">
        <f t="array" ref="S3011">IF(表成绩单[[#This Row],[物理]]="","",SUMPRODUCT((表成绩单[考试日期]=表成绩单[[#This Row],[考试日期]])*(表成绩单[物理]&lt;9E+307)*(表成绩单[物理]&gt;表成绩单[[#This Row],[物理]]))+1)</f>
        <v>593</v>
      </c>
      <c r="T3011" s="29" cm="1">
        <f t="array" ref="T3011">IF(表成绩单[[#This Row],[化学]]="","",SUMPRODUCT((表成绩单[考试日期]=表成绩单[[#This Row],[考试日期]])*(表成绩单[化学]&lt;9E+307)*(表成绩单[化学]&gt;表成绩单[[#This Row],[化学]]))+1)</f>
        <v>269</v>
      </c>
      <c r="U3011" s="29" cm="1">
        <f t="array" ref="U3011">IF(表成绩单[[#This Row],[政治]]="","",SUMPRODUCT((表成绩单[考试日期]=表成绩单[[#This Row],[考试日期]])*(表成绩单[政治]&lt;9E+307)*(表成绩单[政治]&gt;表成绩单[[#This Row],[政治]]))+1)</f>
        <v>548</v>
      </c>
      <c r="V3011" s="29" cm="1">
        <f t="array" ref="V3011">IF(表成绩单[[#This Row],[历史]]="","",SUMPRODUCT((表成绩单[考试日期]=表成绩单[[#This Row],[考试日期]])*(表成绩单[历史]&lt;9E+307)*(表成绩单[历史]&gt;表成绩单[[#This Row],[历史]]))+1)</f>
        <v>686</v>
      </c>
      <c r="W3011" s="29" cm="1">
        <f t="array" ref="W3011">IF(表成绩单[[#This Row],[总分]]="","",SUMPRODUCT((表成绩单[考试日期]=表成绩单[[#This Row],[考试日期]])*(表成绩单[总分]&lt;9E+307)*(表成绩单[总分]&gt;表成绩单[[#This Row],[总分]]))+1)</f>
        <v>604</v>
      </c>
    </row>
    <row r="3012" ht="28" customHeight="1" spans="4:23">
      <c r="D3012" s="31">
        <v>46108</v>
      </c>
      <c r="E3012" s="29">
        <v>19175618</v>
      </c>
      <c r="F3012" s="29" t="s">
        <v>57</v>
      </c>
      <c r="G3012" s="29" t="s">
        <v>665</v>
      </c>
      <c r="H3012" s="29">
        <v>96</v>
      </c>
      <c r="I3012" s="29">
        <v>68</v>
      </c>
      <c r="J3012" s="29">
        <v>75</v>
      </c>
      <c r="K3012" s="29">
        <v>56</v>
      </c>
      <c r="L3012" s="29">
        <v>48</v>
      </c>
      <c r="M3012" s="29">
        <v>76</v>
      </c>
      <c r="N3012" s="29">
        <v>70</v>
      </c>
      <c r="O3012" s="32">
        <v>489</v>
      </c>
      <c r="P3012" s="29" cm="1">
        <f t="array" ref="P3012">IF(表成绩单[[#This Row],[语文]]="","",SUMPRODUCT((表成绩单[考试日期]=表成绩单[[#This Row],[考试日期]])*(表成绩单[语文]&lt;9E+307)*(表成绩单[语文]&gt;表成绩单[[#This Row],[语文]]))+1)</f>
        <v>390</v>
      </c>
      <c r="Q3012" s="29" cm="1">
        <f t="array" ref="Q3012">IF(表成绩单[[#This Row],[数学]]="","",SUMPRODUCT((表成绩单[考试日期]=表成绩单[[#This Row],[考试日期]])*(表成绩单[数学]&lt;9E+307)*(表成绩单[数学]&gt;表成绩单[[#This Row],[数学]]))+1)</f>
        <v>670</v>
      </c>
      <c r="R3012" s="29" cm="1">
        <f t="array" ref="R3012">IF(表成绩单[[#This Row],[英语]]="","",SUMPRODUCT((表成绩单[考试日期]=表成绩单[[#This Row],[考试日期]])*(表成绩单[英语]&lt;9E+307)*(表成绩单[英语]&gt;表成绩单[[#This Row],[英语]]))+1)</f>
        <v>444</v>
      </c>
      <c r="S3012" s="29" cm="1">
        <f t="array" ref="S3012">IF(表成绩单[[#This Row],[物理]]="","",SUMPRODUCT((表成绩单[考试日期]=表成绩单[[#This Row],[考试日期]])*(表成绩单[物理]&lt;9E+307)*(表成绩单[物理]&gt;表成绩单[[#This Row],[物理]]))+1)</f>
        <v>700</v>
      </c>
      <c r="T3012" s="29" cm="1">
        <f t="array" ref="T3012">IF(表成绩单[[#This Row],[化学]]="","",SUMPRODUCT((表成绩单[考试日期]=表成绩单[[#This Row],[考试日期]])*(表成绩单[化学]&lt;9E+307)*(表成绩单[化学]&gt;表成绩单[[#This Row],[化学]]))+1)</f>
        <v>654</v>
      </c>
      <c r="U3012" s="29" cm="1">
        <f t="array" ref="U3012">IF(表成绩单[[#This Row],[政治]]="","",SUMPRODUCT((表成绩单[考试日期]=表成绩单[[#This Row],[考试日期]])*(表成绩单[政治]&lt;9E+307)*(表成绩单[政治]&gt;表成绩单[[#This Row],[政治]]))+1)</f>
        <v>291</v>
      </c>
      <c r="V3012" s="29" cm="1">
        <f t="array" ref="V3012">IF(表成绩单[[#This Row],[历史]]="","",SUMPRODUCT((表成绩单[考试日期]=表成绩单[[#This Row],[考试日期]])*(表成绩单[历史]&lt;9E+307)*(表成绩单[历史]&gt;表成绩单[[#This Row],[历史]]))+1)</f>
        <v>539</v>
      </c>
      <c r="W3012" s="29" cm="1">
        <f t="array" ref="W3012">IF(表成绩单[[#This Row],[总分]]="","",SUMPRODUCT((表成绩单[考试日期]=表成绩单[[#This Row],[考试日期]])*(表成绩单[总分]&lt;9E+307)*(表成绩单[总分]&gt;表成绩单[[#This Row],[总分]]))+1)</f>
        <v>604</v>
      </c>
    </row>
    <row r="3013" ht="28" customHeight="1" spans="4:23">
      <c r="D3013" s="31">
        <v>46108</v>
      </c>
      <c r="E3013" s="29">
        <v>19178622</v>
      </c>
      <c r="F3013" s="29" t="s">
        <v>25</v>
      </c>
      <c r="G3013" s="29" t="s">
        <v>651</v>
      </c>
      <c r="H3013" s="29">
        <v>82</v>
      </c>
      <c r="I3013" s="29">
        <v>75</v>
      </c>
      <c r="J3013" s="29">
        <v>73</v>
      </c>
      <c r="K3013" s="29">
        <v>59</v>
      </c>
      <c r="L3013" s="29">
        <v>61</v>
      </c>
      <c r="M3013" s="29">
        <v>73</v>
      </c>
      <c r="N3013" s="29">
        <v>66</v>
      </c>
      <c r="O3013" s="32">
        <v>489</v>
      </c>
      <c r="P3013" s="29" cm="1">
        <f t="array" ref="P3013">IF(表成绩单[[#This Row],[语文]]="","",SUMPRODUCT((表成绩单[考试日期]=表成绩单[[#This Row],[考试日期]])*(表成绩单[语文]&lt;9E+307)*(表成绩单[语文]&gt;表成绩单[[#This Row],[语文]]))+1)</f>
        <v>657</v>
      </c>
      <c r="Q3013" s="29" cm="1">
        <f t="array" ref="Q3013">IF(表成绩单[[#This Row],[数学]]="","",SUMPRODUCT((表成绩单[考试日期]=表成绩单[[#This Row],[考试日期]])*(表成绩单[数学]&lt;9E+307)*(表成绩单[数学]&gt;表成绩单[[#This Row],[数学]]))+1)</f>
        <v>630</v>
      </c>
      <c r="R3013" s="29" cm="1">
        <f t="array" ref="R3013">IF(表成绩单[[#This Row],[英语]]="","",SUMPRODUCT((表成绩单[考试日期]=表成绩单[[#This Row],[考试日期]])*(表成绩单[英语]&lt;9E+307)*(表成绩单[英语]&gt;表成绩单[[#This Row],[英语]]))+1)</f>
        <v>478</v>
      </c>
      <c r="S3013" s="29" cm="1">
        <f t="array" ref="S3013">IF(表成绩单[[#This Row],[物理]]="","",SUMPRODUCT((表成绩单[考试日期]=表成绩单[[#This Row],[考试日期]])*(表成绩单[物理]&lt;9E+307)*(表成绩单[物理]&gt;表成绩单[[#This Row],[物理]]))+1)</f>
        <v>667</v>
      </c>
      <c r="T3013" s="29" cm="1">
        <f t="array" ref="T3013">IF(表成绩单[[#This Row],[化学]]="","",SUMPRODUCT((表成绩单[考试日期]=表成绩单[[#This Row],[考试日期]])*(表成绩单[化学]&lt;9E+307)*(表成绩单[化学]&gt;表成绩单[[#This Row],[化学]]))+1)</f>
        <v>467</v>
      </c>
      <c r="U3013" s="29" cm="1">
        <f t="array" ref="U3013">IF(表成绩单[[#This Row],[政治]]="","",SUMPRODUCT((表成绩单[考试日期]=表成绩单[[#This Row],[考试日期]])*(表成绩单[政治]&lt;9E+307)*(表成绩单[政治]&gt;表成绩单[[#This Row],[政治]]))+1)</f>
        <v>431</v>
      </c>
      <c r="V3013" s="29" cm="1">
        <f t="array" ref="V3013">IF(表成绩单[[#This Row],[历史]]="","",SUMPRODUCT((表成绩单[考试日期]=表成绩单[[#This Row],[考试日期]])*(表成绩单[历史]&lt;9E+307)*(表成绩单[历史]&gt;表成绩单[[#This Row],[历史]]))+1)</f>
        <v>637</v>
      </c>
      <c r="W3013" s="29" cm="1">
        <f t="array" ref="W3013">IF(表成绩单[[#This Row],[总分]]="","",SUMPRODUCT((表成绩单[考试日期]=表成绩单[[#This Row],[考试日期]])*(表成绩单[总分]&lt;9E+307)*(表成绩单[总分]&gt;表成绩单[[#This Row],[总分]]))+1)</f>
        <v>604</v>
      </c>
    </row>
    <row r="3014" ht="28" customHeight="1" spans="4:23">
      <c r="D3014" s="31">
        <v>46108</v>
      </c>
      <c r="E3014" s="29">
        <v>19177597</v>
      </c>
      <c r="F3014" s="29" t="s">
        <v>58</v>
      </c>
      <c r="G3014" s="29" t="s">
        <v>740</v>
      </c>
      <c r="H3014" s="29">
        <v>92</v>
      </c>
      <c r="I3014" s="29">
        <v>72</v>
      </c>
      <c r="J3014" s="29">
        <v>61.5</v>
      </c>
      <c r="K3014" s="29">
        <v>71</v>
      </c>
      <c r="L3014" s="29">
        <v>48</v>
      </c>
      <c r="M3014" s="29">
        <v>75</v>
      </c>
      <c r="N3014" s="29">
        <v>69</v>
      </c>
      <c r="O3014" s="32">
        <v>488.5</v>
      </c>
      <c r="P3014" s="29" cm="1">
        <f t="array" ref="P3014">IF(表成绩单[[#This Row],[语文]]="","",SUMPRODUCT((表成绩单[考试日期]=表成绩单[[#This Row],[考试日期]])*(表成绩单[语文]&lt;9E+307)*(表成绩单[语文]&gt;表成绩单[[#This Row],[语文]]))+1)</f>
        <v>494</v>
      </c>
      <c r="Q3014" s="29" cm="1">
        <f t="array" ref="Q3014">IF(表成绩单[[#This Row],[数学]]="","",SUMPRODUCT((表成绩单[考试日期]=表成绩单[[#This Row],[考试日期]])*(表成绩单[数学]&lt;9E+307)*(表成绩单[数学]&gt;表成绩单[[#This Row],[数学]]))+1)</f>
        <v>651</v>
      </c>
      <c r="R3014" s="29" cm="1">
        <f t="array" ref="R3014">IF(表成绩单[[#This Row],[英语]]="","",SUMPRODUCT((表成绩单[考试日期]=表成绩单[[#This Row],[考试日期]])*(表成绩单[英语]&lt;9E+307)*(表成绩单[英语]&gt;表成绩单[[#This Row],[英语]]))+1)</f>
        <v>642</v>
      </c>
      <c r="S3014" s="29" cm="1">
        <f t="array" ref="S3014">IF(表成绩单[[#This Row],[物理]]="","",SUMPRODUCT((表成绩单[考试日期]=表成绩单[[#This Row],[考试日期]])*(表成绩单[物理]&lt;9E+307)*(表成绩单[物理]&gt;表成绩单[[#This Row],[物理]]))+1)</f>
        <v>536</v>
      </c>
      <c r="T3014" s="29" cm="1">
        <f t="array" ref="T3014">IF(表成绩单[[#This Row],[化学]]="","",SUMPRODUCT((表成绩单[考试日期]=表成绩单[[#This Row],[考试日期]])*(表成绩单[化学]&lt;9E+307)*(表成绩单[化学]&gt;表成绩单[[#This Row],[化学]]))+1)</f>
        <v>654</v>
      </c>
      <c r="U3014" s="29" cm="1">
        <f t="array" ref="U3014">IF(表成绩单[[#This Row],[政治]]="","",SUMPRODUCT((表成绩单[考试日期]=表成绩单[[#This Row],[考试日期]])*(表成绩单[政治]&lt;9E+307)*(表成绩单[政治]&gt;表成绩单[[#This Row],[政治]]))+1)</f>
        <v>346</v>
      </c>
      <c r="V3014" s="29" cm="1">
        <f t="array" ref="V3014">IF(表成绩单[[#This Row],[历史]]="","",SUMPRODUCT((表成绩单[考试日期]=表成绩单[[#This Row],[考试日期]])*(表成绩单[历史]&lt;9E+307)*(表成绩单[历史]&gt;表成绩单[[#This Row],[历史]]))+1)</f>
        <v>569</v>
      </c>
      <c r="W3014" s="29" cm="1">
        <f t="array" ref="W3014">IF(表成绩单[[#This Row],[总分]]="","",SUMPRODUCT((表成绩单[考试日期]=表成绩单[[#This Row],[考试日期]])*(表成绩单[总分]&lt;9E+307)*(表成绩单[总分]&gt;表成绩单[[#This Row],[总分]]))+1)</f>
        <v>607</v>
      </c>
    </row>
    <row r="3015" ht="28" customHeight="1" spans="4:23">
      <c r="D3015" s="31">
        <v>46108</v>
      </c>
      <c r="E3015" s="29">
        <v>19177613</v>
      </c>
      <c r="F3015" s="29" t="s">
        <v>58</v>
      </c>
      <c r="G3015" s="29" t="s">
        <v>705</v>
      </c>
      <c r="H3015" s="29">
        <v>94</v>
      </c>
      <c r="I3015" s="29">
        <v>68</v>
      </c>
      <c r="J3015" s="29">
        <v>73.5</v>
      </c>
      <c r="K3015" s="29">
        <v>59</v>
      </c>
      <c r="L3015" s="29">
        <v>55</v>
      </c>
      <c r="M3015" s="29">
        <v>63</v>
      </c>
      <c r="N3015" s="29">
        <v>76</v>
      </c>
      <c r="O3015" s="32">
        <v>488.5</v>
      </c>
      <c r="P3015" s="29" cm="1">
        <f t="array" ref="P3015">IF(表成绩单[[#This Row],[语文]]="","",SUMPRODUCT((表成绩单[考试日期]=表成绩单[[#This Row],[考试日期]])*(表成绩单[语文]&lt;9E+307)*(表成绩单[语文]&gt;表成绩单[[#This Row],[语文]]))+1)</f>
        <v>449</v>
      </c>
      <c r="Q3015" s="29" cm="1">
        <f t="array" ref="Q3015">IF(表成绩单[[#This Row],[数学]]="","",SUMPRODUCT((表成绩单[考试日期]=表成绩单[[#This Row],[考试日期]])*(表成绩单[数学]&lt;9E+307)*(表成绩单[数学]&gt;表成绩单[[#This Row],[数学]]))+1)</f>
        <v>670</v>
      </c>
      <c r="R3015" s="29" cm="1">
        <f t="array" ref="R3015">IF(表成绩单[[#This Row],[英语]]="","",SUMPRODUCT((表成绩单[考试日期]=表成绩单[[#This Row],[考试日期]])*(表成绩单[英语]&lt;9E+307)*(表成绩单[英语]&gt;表成绩单[[#This Row],[英语]]))+1)</f>
        <v>473</v>
      </c>
      <c r="S3015" s="29" cm="1">
        <f t="array" ref="S3015">IF(表成绩单[[#This Row],[物理]]="","",SUMPRODUCT((表成绩单[考试日期]=表成绩单[[#This Row],[考试日期]])*(表成绩单[物理]&lt;9E+307)*(表成绩单[物理]&gt;表成绩单[[#This Row],[物理]]))+1)</f>
        <v>667</v>
      </c>
      <c r="T3015" s="29" cm="1">
        <f t="array" ref="T3015">IF(表成绩单[[#This Row],[化学]]="","",SUMPRODUCT((表成绩单[考试日期]=表成绩单[[#This Row],[考试日期]])*(表成绩单[化学]&lt;9E+307)*(表成绩单[化学]&gt;表成绩单[[#This Row],[化学]]))+1)</f>
        <v>580</v>
      </c>
      <c r="U3015" s="29" cm="1">
        <f t="array" ref="U3015">IF(表成绩单[[#This Row],[政治]]="","",SUMPRODUCT((表成绩单[考试日期]=表成绩单[[#This Row],[考试日期]])*(表成绩单[政治]&lt;9E+307)*(表成绩单[政治]&gt;表成绩单[[#This Row],[政治]]))+1)</f>
        <v>680</v>
      </c>
      <c r="V3015" s="29" cm="1">
        <f t="array" ref="V3015">IF(表成绩单[[#This Row],[历史]]="","",SUMPRODUCT((表成绩单[考试日期]=表成绩单[[#This Row],[考试日期]])*(表成绩单[历史]&lt;9E+307)*(表成绩单[历史]&gt;表成绩单[[#This Row],[历史]]))+1)</f>
        <v>316</v>
      </c>
      <c r="W3015" s="29" cm="1">
        <f t="array" ref="W3015">IF(表成绩单[[#This Row],[总分]]="","",SUMPRODUCT((表成绩单[考试日期]=表成绩单[[#This Row],[考试日期]])*(表成绩单[总分]&lt;9E+307)*(表成绩单[总分]&gt;表成绩单[[#This Row],[总分]]))+1)</f>
        <v>607</v>
      </c>
    </row>
    <row r="3016" ht="28" customHeight="1" spans="4:23">
      <c r="D3016" s="31">
        <v>46108</v>
      </c>
      <c r="E3016" s="29">
        <v>19173263</v>
      </c>
      <c r="F3016" s="29" t="s">
        <v>61</v>
      </c>
      <c r="G3016" s="29" t="s">
        <v>712</v>
      </c>
      <c r="H3016" s="29">
        <v>76</v>
      </c>
      <c r="I3016" s="29">
        <v>86</v>
      </c>
      <c r="J3016" s="29">
        <v>60.5</v>
      </c>
      <c r="K3016" s="29">
        <v>86</v>
      </c>
      <c r="L3016" s="29">
        <v>55</v>
      </c>
      <c r="M3016" s="29">
        <v>60</v>
      </c>
      <c r="N3016" s="29">
        <v>64</v>
      </c>
      <c r="O3016" s="32">
        <v>487.5</v>
      </c>
      <c r="P3016" s="29" cm="1">
        <f t="array" ref="P3016">IF(表成绩单[[#This Row],[语文]]="","",SUMPRODUCT((表成绩单[考试日期]=表成绩单[[#This Row],[考试日期]])*(表成绩单[语文]&lt;9E+307)*(表成绩单[语文]&gt;表成绩单[[#This Row],[语文]]))+1)</f>
        <v>713</v>
      </c>
      <c r="Q3016" s="29" cm="1">
        <f t="array" ref="Q3016">IF(表成绩单[[#This Row],[数学]]="","",SUMPRODUCT((表成绩单[考试日期]=表成绩单[[#This Row],[考试日期]])*(表成绩单[数学]&lt;9E+307)*(表成绩单[数学]&gt;表成绩单[[#This Row],[数学]]))+1)</f>
        <v>479</v>
      </c>
      <c r="R3016" s="29" cm="1">
        <f t="array" ref="R3016">IF(表成绩单[[#This Row],[英语]]="","",SUMPRODUCT((表成绩单[考试日期]=表成绩单[[#This Row],[考试日期]])*(表成绩单[英语]&lt;9E+307)*(表成绩单[英语]&gt;表成绩单[[#This Row],[英语]]))+1)</f>
        <v>650</v>
      </c>
      <c r="S3016" s="29" cm="1">
        <f t="array" ref="S3016">IF(表成绩单[[#This Row],[物理]]="","",SUMPRODUCT((表成绩单[考试日期]=表成绩单[[#This Row],[考试日期]])*(表成绩单[物理]&lt;9E+307)*(表成绩单[物理]&gt;表成绩单[[#This Row],[物理]]))+1)</f>
        <v>61</v>
      </c>
      <c r="T3016" s="29" cm="1">
        <f t="array" ref="T3016">IF(表成绩单[[#This Row],[化学]]="","",SUMPRODUCT((表成绩单[考试日期]=表成绩单[[#This Row],[考试日期]])*(表成绩单[化学]&lt;9E+307)*(表成绩单[化学]&gt;表成绩单[[#This Row],[化学]]))+1)</f>
        <v>580</v>
      </c>
      <c r="U3016" s="29" cm="1">
        <f t="array" ref="U3016">IF(表成绩单[[#This Row],[政治]]="","",SUMPRODUCT((表成绩单[考试日期]=表成绩单[[#This Row],[考试日期]])*(表成绩单[政治]&lt;9E+307)*(表成绩单[政治]&gt;表成绩单[[#This Row],[政治]]))+1)</f>
        <v>709</v>
      </c>
      <c r="V3016" s="29" cm="1">
        <f t="array" ref="V3016">IF(表成绩单[[#This Row],[历史]]="","",SUMPRODUCT((表成绩单[考试日期]=表成绩单[[#This Row],[考试日期]])*(表成绩单[历史]&lt;9E+307)*(表成绩单[历史]&gt;表成绩单[[#This Row],[历史]]))+1)</f>
        <v>666</v>
      </c>
      <c r="W3016" s="29" cm="1">
        <f t="array" ref="W3016">IF(表成绩单[[#This Row],[总分]]="","",SUMPRODUCT((表成绩单[考试日期]=表成绩单[[#This Row],[考试日期]])*(表成绩单[总分]&lt;9E+307)*(表成绩单[总分]&gt;表成绩单[[#This Row],[总分]]))+1)</f>
        <v>609</v>
      </c>
    </row>
    <row r="3017" ht="28" customHeight="1" spans="4:23">
      <c r="D3017" s="31">
        <v>46108</v>
      </c>
      <c r="E3017" s="29">
        <v>19174798</v>
      </c>
      <c r="F3017" s="29" t="s">
        <v>69</v>
      </c>
      <c r="G3017" s="29" t="s">
        <v>579</v>
      </c>
      <c r="H3017" s="29">
        <v>102</v>
      </c>
      <c r="I3017" s="29">
        <v>81</v>
      </c>
      <c r="J3017" s="29">
        <v>71.5</v>
      </c>
      <c r="K3017" s="29">
        <v>56</v>
      </c>
      <c r="L3017" s="29">
        <v>49</v>
      </c>
      <c r="M3017" s="29">
        <v>56</v>
      </c>
      <c r="N3017" s="29">
        <v>72</v>
      </c>
      <c r="O3017" s="32">
        <v>487.5</v>
      </c>
      <c r="P3017" s="29" cm="1">
        <f t="array" ref="P3017">IF(表成绩单[[#This Row],[语文]]="","",SUMPRODUCT((表成绩单[考试日期]=表成绩单[[#This Row],[考试日期]])*(表成绩单[语文]&lt;9E+307)*(表成绩单[语文]&gt;表成绩单[[#This Row],[语文]]))+1)</f>
        <v>183</v>
      </c>
      <c r="Q3017" s="29" cm="1">
        <f t="array" ref="Q3017">IF(表成绩单[[#This Row],[数学]]="","",SUMPRODUCT((表成绩单[考试日期]=表成绩单[[#This Row],[考试日期]])*(表成绩单[数学]&lt;9E+307)*(表成绩单[数学]&gt;表成绩单[[#This Row],[数学]]))+1)</f>
        <v>563</v>
      </c>
      <c r="R3017" s="29" cm="1">
        <f t="array" ref="R3017">IF(表成绩单[[#This Row],[英语]]="","",SUMPRODUCT((表成绩单[考试日期]=表成绩单[[#This Row],[考试日期]])*(表成绩单[英语]&lt;9E+307)*(表成绩单[英语]&gt;表成绩单[[#This Row],[英语]]))+1)</f>
        <v>509</v>
      </c>
      <c r="S3017" s="29" cm="1">
        <f t="array" ref="S3017">IF(表成绩单[[#This Row],[物理]]="","",SUMPRODUCT((表成绩单[考试日期]=表成绩单[[#This Row],[考试日期]])*(表成绩单[物理]&lt;9E+307)*(表成绩单[物理]&gt;表成绩单[[#This Row],[物理]]))+1)</f>
        <v>700</v>
      </c>
      <c r="T3017" s="29" cm="1">
        <f t="array" ref="T3017">IF(表成绩单[[#This Row],[化学]]="","",SUMPRODUCT((表成绩单[考试日期]=表成绩单[[#This Row],[考试日期]])*(表成绩单[化学]&lt;9E+307)*(表成绩单[化学]&gt;表成绩单[[#This Row],[化学]]))+1)</f>
        <v>648</v>
      </c>
      <c r="U3017" s="29" cm="1">
        <f t="array" ref="U3017">IF(表成绩单[[#This Row],[政治]]="","",SUMPRODUCT((表成绩单[考试日期]=表成绩单[[#This Row],[考试日期]])*(表成绩单[政治]&lt;9E+307)*(表成绩单[政治]&gt;表成绩单[[#This Row],[政治]]))+1)</f>
        <v>737</v>
      </c>
      <c r="V3017" s="29" cm="1">
        <f t="array" ref="V3017">IF(表成绩单[[#This Row],[历史]]="","",SUMPRODUCT((表成绩单[考试日期]=表成绩单[[#This Row],[考试日期]])*(表成绩单[历史]&lt;9E+307)*(表成绩单[历史]&gt;表成绩单[[#This Row],[历史]]))+1)</f>
        <v>470</v>
      </c>
      <c r="W3017" s="29" cm="1">
        <f t="array" ref="W3017">IF(表成绩单[[#This Row],[总分]]="","",SUMPRODUCT((表成绩单[考试日期]=表成绩单[[#This Row],[考试日期]])*(表成绩单[总分]&lt;9E+307)*(表成绩单[总分]&gt;表成绩单[[#This Row],[总分]]))+1)</f>
        <v>609</v>
      </c>
    </row>
    <row r="3018" ht="28" customHeight="1" spans="4:23">
      <c r="D3018" s="31">
        <v>46108</v>
      </c>
      <c r="E3018" s="29">
        <v>19173273</v>
      </c>
      <c r="F3018" s="29" t="s">
        <v>61</v>
      </c>
      <c r="G3018" s="29" t="s">
        <v>738</v>
      </c>
      <c r="H3018" s="29">
        <v>81</v>
      </c>
      <c r="I3018" s="29">
        <v>88</v>
      </c>
      <c r="J3018" s="29">
        <v>50</v>
      </c>
      <c r="K3018" s="29">
        <v>75</v>
      </c>
      <c r="L3018" s="29">
        <v>61</v>
      </c>
      <c r="M3018" s="29">
        <v>67</v>
      </c>
      <c r="N3018" s="29">
        <v>65</v>
      </c>
      <c r="O3018" s="32">
        <v>487</v>
      </c>
      <c r="P3018" s="29" cm="1">
        <f t="array" ref="P3018">IF(表成绩单[[#This Row],[语文]]="","",SUMPRODUCT((表成绩单[考试日期]=表成绩单[[#This Row],[考试日期]])*(表成绩单[语文]&lt;9E+307)*(表成绩单[语文]&gt;表成绩单[[#This Row],[语文]]))+1)</f>
        <v>669</v>
      </c>
      <c r="Q3018" s="29" cm="1">
        <f t="array" ref="Q3018">IF(表成绩单[[#This Row],[数学]]="","",SUMPRODUCT((表成绩单[考试日期]=表成绩单[[#This Row],[考试日期]])*(表成绩单[数学]&lt;9E+307)*(表成绩单[数学]&gt;表成绩单[[#This Row],[数学]]))+1)</f>
        <v>424</v>
      </c>
      <c r="R3018" s="29" cm="1">
        <f t="array" ref="R3018">IF(表成绩单[[#This Row],[英语]]="","",SUMPRODUCT((表成绩单[考试日期]=表成绩单[[#This Row],[考试日期]])*(表成绩单[英语]&lt;9E+307)*(表成绩单[英语]&gt;表成绩单[[#This Row],[英语]]))+1)</f>
        <v>711</v>
      </c>
      <c r="S3018" s="29" cm="1">
        <f t="array" ref="S3018">IF(表成绩单[[#This Row],[物理]]="","",SUMPRODUCT((表成绩单[考试日期]=表成绩单[[#This Row],[考试日期]])*(表成绩单[物理]&lt;9E+307)*(表成绩单[物理]&gt;表成绩单[[#This Row],[物理]]))+1)</f>
        <v>456</v>
      </c>
      <c r="T3018" s="29" cm="1">
        <f t="array" ref="T3018">IF(表成绩单[[#This Row],[化学]]="","",SUMPRODUCT((表成绩单[考试日期]=表成绩单[[#This Row],[考试日期]])*(表成绩单[化学]&lt;9E+307)*(表成绩单[化学]&gt;表成绩单[[#This Row],[化学]]))+1)</f>
        <v>467</v>
      </c>
      <c r="U3018" s="29" cm="1">
        <f t="array" ref="U3018">IF(表成绩单[[#This Row],[政治]]="","",SUMPRODUCT((表成绩单[考试日期]=表成绩单[[#This Row],[考试日期]])*(表成绩单[政治]&lt;9E+307)*(表成绩单[政治]&gt;表成绩单[[#This Row],[政治]]))+1)</f>
        <v>626</v>
      </c>
      <c r="V3018" s="29" cm="1">
        <f t="array" ref="V3018">IF(表成绩单[[#This Row],[历史]]="","",SUMPRODUCT((表成绩单[考试日期]=表成绩单[[#This Row],[考试日期]])*(表成绩单[历史]&lt;9E+307)*(表成绩单[历史]&gt;表成绩单[[#This Row],[历史]]))+1)</f>
        <v>657</v>
      </c>
      <c r="W3018" s="29" cm="1">
        <f t="array" ref="W3018">IF(表成绩单[[#This Row],[总分]]="","",SUMPRODUCT((表成绩单[考试日期]=表成绩单[[#This Row],[考试日期]])*(表成绩单[总分]&lt;9E+307)*(表成绩单[总分]&gt;表成绩单[[#This Row],[总分]]))+1)</f>
        <v>611</v>
      </c>
    </row>
    <row r="3019" ht="28" customHeight="1" spans="4:23">
      <c r="D3019" s="31">
        <v>46108</v>
      </c>
      <c r="E3019" s="29">
        <v>19175620</v>
      </c>
      <c r="F3019" s="29" t="s">
        <v>57</v>
      </c>
      <c r="G3019" s="29" t="s">
        <v>721</v>
      </c>
      <c r="H3019" s="29">
        <v>95</v>
      </c>
      <c r="I3019" s="29">
        <v>79</v>
      </c>
      <c r="J3019" s="29">
        <v>62</v>
      </c>
      <c r="K3019" s="29">
        <v>66</v>
      </c>
      <c r="L3019" s="29">
        <v>50</v>
      </c>
      <c r="M3019" s="29">
        <v>68</v>
      </c>
      <c r="N3019" s="29">
        <v>66</v>
      </c>
      <c r="O3019" s="32">
        <v>486</v>
      </c>
      <c r="P3019" s="29" cm="1">
        <f t="array" ref="P3019">IF(表成绩单[[#This Row],[语文]]="","",SUMPRODUCT((表成绩单[考试日期]=表成绩单[[#This Row],[考试日期]])*(表成绩单[语文]&lt;9E+307)*(表成绩单[语文]&gt;表成绩单[[#This Row],[语文]]))+1)</f>
        <v>422</v>
      </c>
      <c r="Q3019" s="29" cm="1">
        <f t="array" ref="Q3019">IF(表成绩单[[#This Row],[数学]]="","",SUMPRODUCT((表成绩单[考试日期]=表成绩单[[#This Row],[考试日期]])*(表成绩单[数学]&lt;9E+307)*(表成绩单[数学]&gt;表成绩单[[#This Row],[数学]]))+1)</f>
        <v>591</v>
      </c>
      <c r="R3019" s="29" cm="1">
        <f t="array" ref="R3019">IF(表成绩单[[#This Row],[英语]]="","",SUMPRODUCT((表成绩单[考试日期]=表成绩单[[#This Row],[考试日期]])*(表成绩单[英语]&lt;9E+307)*(表成绩单[英语]&gt;表成绩单[[#This Row],[英语]]))+1)</f>
        <v>638</v>
      </c>
      <c r="S3019" s="29" cm="1">
        <f t="array" ref="S3019">IF(表成绩单[[#This Row],[物理]]="","",SUMPRODUCT((表成绩单[考试日期]=表成绩单[[#This Row],[考试日期]])*(表成绩单[物理]&lt;9E+307)*(表成绩单[物理]&gt;表成绩单[[#This Row],[物理]]))+1)</f>
        <v>608</v>
      </c>
      <c r="T3019" s="29" cm="1">
        <f t="array" ref="T3019">IF(表成绩单[[#This Row],[化学]]="","",SUMPRODUCT((表成绩单[考试日期]=表成绩单[[#This Row],[考试日期]])*(表成绩单[化学]&lt;9E+307)*(表成绩单[化学]&gt;表成绩单[[#This Row],[化学]]))+1)</f>
        <v>632</v>
      </c>
      <c r="U3019" s="29" cm="1">
        <f t="array" ref="U3019">IF(表成绩单[[#This Row],[政治]]="","",SUMPRODUCT((表成绩单[考试日期]=表成绩单[[#This Row],[考试日期]])*(表成绩单[政治]&lt;9E+307)*(表成绩单[政治]&gt;表成绩单[[#This Row],[政治]]))+1)</f>
        <v>596</v>
      </c>
      <c r="V3019" s="29" cm="1">
        <f t="array" ref="V3019">IF(表成绩单[[#This Row],[历史]]="","",SUMPRODUCT((表成绩单[考试日期]=表成绩单[[#This Row],[考试日期]])*(表成绩单[历史]&lt;9E+307)*(表成绩单[历史]&gt;表成绩单[[#This Row],[历史]]))+1)</f>
        <v>637</v>
      </c>
      <c r="W3019" s="29" cm="1">
        <f t="array" ref="W3019">IF(表成绩单[[#This Row],[总分]]="","",SUMPRODUCT((表成绩单[考试日期]=表成绩单[[#This Row],[考试日期]])*(表成绩单[总分]&lt;9E+307)*(表成绩单[总分]&gt;表成绩单[[#This Row],[总分]]))+1)</f>
        <v>612</v>
      </c>
    </row>
    <row r="3020" ht="28" customHeight="1" spans="4:23">
      <c r="D3020" s="31">
        <v>46108</v>
      </c>
      <c r="E3020" s="29">
        <v>19176001</v>
      </c>
      <c r="F3020" s="29" t="s">
        <v>59</v>
      </c>
      <c r="G3020" s="29" t="s">
        <v>750</v>
      </c>
      <c r="H3020" s="29">
        <v>83</v>
      </c>
      <c r="I3020" s="29">
        <v>75</v>
      </c>
      <c r="J3020" s="29">
        <v>63</v>
      </c>
      <c r="K3020" s="29">
        <v>68</v>
      </c>
      <c r="L3020" s="29">
        <v>58</v>
      </c>
      <c r="M3020" s="29">
        <v>67</v>
      </c>
      <c r="N3020" s="29">
        <v>72</v>
      </c>
      <c r="O3020" s="32">
        <v>486</v>
      </c>
      <c r="P3020" s="29" cm="1">
        <f t="array" ref="P3020">IF(表成绩单[[#This Row],[语文]]="","",SUMPRODUCT((表成绩单[考试日期]=表成绩单[[#This Row],[考试日期]])*(表成绩单[语文]&lt;9E+307)*(表成绩单[语文]&gt;表成绩单[[#This Row],[语文]]))+1)</f>
        <v>652</v>
      </c>
      <c r="Q3020" s="29" cm="1">
        <f t="array" ref="Q3020">IF(表成绩单[[#This Row],[数学]]="","",SUMPRODUCT((表成绩单[考试日期]=表成绩单[[#This Row],[考试日期]])*(表成绩单[数学]&lt;9E+307)*(表成绩单[数学]&gt;表成绩单[[#This Row],[数学]]))+1)</f>
        <v>630</v>
      </c>
      <c r="R3020" s="29" cm="1">
        <f t="array" ref="R3020">IF(表成绩单[[#This Row],[英语]]="","",SUMPRODUCT((表成绩单[考试日期]=表成绩单[[#This Row],[考试日期]])*(表成绩单[英语]&lt;9E+307)*(表成绩单[英语]&gt;表成绩单[[#This Row],[英语]]))+1)</f>
        <v>627</v>
      </c>
      <c r="S3020" s="29" cm="1">
        <f t="array" ref="S3020">IF(表成绩单[[#This Row],[物理]]="","",SUMPRODUCT((表成绩单[考试日期]=表成绩单[[#This Row],[考试日期]])*(表成绩单[物理]&lt;9E+307)*(表成绩单[物理]&gt;表成绩单[[#This Row],[物理]]))+1)</f>
        <v>581</v>
      </c>
      <c r="T3020" s="29" cm="1">
        <f t="array" ref="T3020">IF(表成绩单[[#This Row],[化学]]="","",SUMPRODUCT((表成绩单[考试日期]=表成绩单[[#This Row],[考试日期]])*(表成绩单[化学]&lt;9E+307)*(表成绩单[化学]&gt;表成绩单[[#This Row],[化学]]))+1)</f>
        <v>532</v>
      </c>
      <c r="U3020" s="29" cm="1">
        <f t="array" ref="U3020">IF(表成绩单[[#This Row],[政治]]="","",SUMPRODUCT((表成绩单[考试日期]=表成绩单[[#This Row],[考试日期]])*(表成绩单[政治]&lt;9E+307)*(表成绩单[政治]&gt;表成绩单[[#This Row],[政治]]))+1)</f>
        <v>626</v>
      </c>
      <c r="V3020" s="29" cm="1">
        <f t="array" ref="V3020">IF(表成绩单[[#This Row],[历史]]="","",SUMPRODUCT((表成绩单[考试日期]=表成绩单[[#This Row],[考试日期]])*(表成绩单[历史]&lt;9E+307)*(表成绩单[历史]&gt;表成绩单[[#This Row],[历史]]))+1)</f>
        <v>470</v>
      </c>
      <c r="W3020" s="29" cm="1">
        <f t="array" ref="W3020">IF(表成绩单[[#This Row],[总分]]="","",SUMPRODUCT((表成绩单[考试日期]=表成绩单[[#This Row],[考试日期]])*(表成绩单[总分]&lt;9E+307)*(表成绩单[总分]&gt;表成绩单[[#This Row],[总分]]))+1)</f>
        <v>612</v>
      </c>
    </row>
    <row r="3021" ht="28" customHeight="1" spans="4:23">
      <c r="D3021" s="31">
        <v>46108</v>
      </c>
      <c r="E3021" s="29">
        <v>19175981</v>
      </c>
      <c r="F3021" s="29" t="s">
        <v>59</v>
      </c>
      <c r="G3021" s="29" t="s">
        <v>735</v>
      </c>
      <c r="H3021" s="29">
        <v>98</v>
      </c>
      <c r="I3021" s="29">
        <v>70</v>
      </c>
      <c r="J3021" s="29">
        <v>70.5</v>
      </c>
      <c r="K3021" s="29">
        <v>62</v>
      </c>
      <c r="L3021" s="29">
        <v>50</v>
      </c>
      <c r="M3021" s="29">
        <v>68</v>
      </c>
      <c r="N3021" s="29">
        <v>66</v>
      </c>
      <c r="O3021" s="32">
        <v>484.5</v>
      </c>
      <c r="P3021" s="29" cm="1">
        <f t="array" ref="P3021">IF(表成绩单[[#This Row],[语文]]="","",SUMPRODUCT((表成绩单[考试日期]=表成绩单[[#This Row],[考试日期]])*(表成绩单[语文]&lt;9E+307)*(表成绩单[语文]&gt;表成绩单[[#This Row],[语文]]))+1)</f>
        <v>322</v>
      </c>
      <c r="Q3021" s="29" cm="1">
        <f t="array" ref="Q3021">IF(表成绩单[[#This Row],[数学]]="","",SUMPRODUCT((表成绩单[考试日期]=表成绩单[[#This Row],[考试日期]])*(表成绩单[数学]&lt;9E+307)*(表成绩单[数学]&gt;表成绩单[[#This Row],[数学]]))+1)</f>
        <v>659</v>
      </c>
      <c r="R3021" s="29" cm="1">
        <f t="array" ref="R3021">IF(表成绩单[[#This Row],[英语]]="","",SUMPRODUCT((表成绩单[考试日期]=表成绩单[[#This Row],[考试日期]])*(表成绩单[英语]&lt;9E+307)*(表成绩单[英语]&gt;表成绩单[[#This Row],[英语]]))+1)</f>
        <v>530</v>
      </c>
      <c r="S3021" s="29" cm="1">
        <f t="array" ref="S3021">IF(表成绩单[[#This Row],[物理]]="","",SUMPRODUCT((表成绩单[考试日期]=表成绩单[[#This Row],[考试日期]])*(表成绩单[物理]&lt;9E+307)*(表成绩单[物理]&gt;表成绩单[[#This Row],[物理]]))+1)</f>
        <v>643</v>
      </c>
      <c r="T3021" s="29" cm="1">
        <f t="array" ref="T3021">IF(表成绩单[[#This Row],[化学]]="","",SUMPRODUCT((表成绩单[考试日期]=表成绩单[[#This Row],[考试日期]])*(表成绩单[化学]&lt;9E+307)*(表成绩单[化学]&gt;表成绩单[[#This Row],[化学]]))+1)</f>
        <v>632</v>
      </c>
      <c r="U3021" s="29" cm="1">
        <f t="array" ref="U3021">IF(表成绩单[[#This Row],[政治]]="","",SUMPRODUCT((表成绩单[考试日期]=表成绩单[[#This Row],[考试日期]])*(表成绩单[政治]&lt;9E+307)*(表成绩单[政治]&gt;表成绩单[[#This Row],[政治]]))+1)</f>
        <v>596</v>
      </c>
      <c r="V3021" s="29" cm="1">
        <f t="array" ref="V3021">IF(表成绩单[[#This Row],[历史]]="","",SUMPRODUCT((表成绩单[考试日期]=表成绩单[[#This Row],[考试日期]])*(表成绩单[历史]&lt;9E+307)*(表成绩单[历史]&gt;表成绩单[[#This Row],[历史]]))+1)</f>
        <v>637</v>
      </c>
      <c r="W3021" s="29" cm="1">
        <f t="array" ref="W3021">IF(表成绩单[[#This Row],[总分]]="","",SUMPRODUCT((表成绩单[考试日期]=表成绩单[[#This Row],[考试日期]])*(表成绩单[总分]&lt;9E+307)*(表成绩单[总分]&gt;表成绩单[[#This Row],[总分]]))+1)</f>
        <v>614</v>
      </c>
    </row>
    <row r="3022" ht="28" customHeight="1" spans="4:23">
      <c r="D3022" s="31">
        <v>46108</v>
      </c>
      <c r="E3022" s="29">
        <v>19178595</v>
      </c>
      <c r="F3022" s="29" t="s">
        <v>64</v>
      </c>
      <c r="G3022" s="29" t="s">
        <v>659</v>
      </c>
      <c r="H3022" s="29">
        <v>96</v>
      </c>
      <c r="I3022" s="29">
        <v>76</v>
      </c>
      <c r="J3022" s="29">
        <v>64.5</v>
      </c>
      <c r="K3022" s="29">
        <v>62</v>
      </c>
      <c r="L3022" s="29">
        <v>44</v>
      </c>
      <c r="M3022" s="29">
        <v>69</v>
      </c>
      <c r="N3022" s="29">
        <v>73</v>
      </c>
      <c r="O3022" s="32">
        <v>484.5</v>
      </c>
      <c r="P3022" s="29" cm="1">
        <f t="array" ref="P3022">IF(表成绩单[[#This Row],[语文]]="","",SUMPRODUCT((表成绩单[考试日期]=表成绩单[[#This Row],[考试日期]])*(表成绩单[语文]&lt;9E+307)*(表成绩单[语文]&gt;表成绩单[[#This Row],[语文]]))+1)</f>
        <v>390</v>
      </c>
      <c r="Q3022" s="29" cm="1">
        <f t="array" ref="Q3022">IF(表成绩单[[#This Row],[数学]]="","",SUMPRODUCT((表成绩单[考试日期]=表成绩单[[#This Row],[考试日期]])*(表成绩单[数学]&lt;9E+307)*(表成绩单[数学]&gt;表成绩单[[#This Row],[数学]]))+1)</f>
        <v>625</v>
      </c>
      <c r="R3022" s="29" cm="1">
        <f t="array" ref="R3022">IF(表成绩单[[#This Row],[英语]]="","",SUMPRODUCT((表成绩单[考试日期]=表成绩单[[#This Row],[考试日期]])*(表成绩单[英语]&lt;9E+307)*(表成绩单[英语]&gt;表成绩单[[#This Row],[英语]]))+1)</f>
        <v>610</v>
      </c>
      <c r="S3022" s="29" cm="1">
        <f t="array" ref="S3022">IF(表成绩单[[#This Row],[物理]]="","",SUMPRODUCT((表成绩单[考试日期]=表成绩单[[#This Row],[考试日期]])*(表成绩单[物理]&lt;9E+307)*(表成绩单[物理]&gt;表成绩单[[#This Row],[物理]]))+1)</f>
        <v>643</v>
      </c>
      <c r="T3022" s="29" cm="1">
        <f t="array" ref="T3022">IF(表成绩单[[#This Row],[化学]]="","",SUMPRODUCT((表成绩单[考试日期]=表成绩单[[#This Row],[考试日期]])*(表成绩单[化学]&lt;9E+307)*(表成绩单[化学]&gt;表成绩单[[#This Row],[化学]]))+1)</f>
        <v>699</v>
      </c>
      <c r="U3022" s="29" cm="1">
        <f t="array" ref="U3022">IF(表成绩单[[#This Row],[政治]]="","",SUMPRODUCT((表成绩单[考试日期]=表成绩单[[#This Row],[考试日期]])*(表成绩单[政治]&lt;9E+307)*(表成绩单[政治]&gt;表成绩单[[#This Row],[政治]]))+1)</f>
        <v>567</v>
      </c>
      <c r="V3022" s="29" cm="1">
        <f t="array" ref="V3022">IF(表成绩单[[#This Row],[历史]]="","",SUMPRODUCT((表成绩单[考试日期]=表成绩单[[#This Row],[考试日期]])*(表成绩单[历史]&lt;9E+307)*(表成绩单[历史]&gt;表成绩单[[#This Row],[历史]]))+1)</f>
        <v>432</v>
      </c>
      <c r="W3022" s="29" cm="1">
        <f t="array" ref="W3022">IF(表成绩单[[#This Row],[总分]]="","",SUMPRODUCT((表成绩单[考试日期]=表成绩单[[#This Row],[考试日期]])*(表成绩单[总分]&lt;9E+307)*(表成绩单[总分]&gt;表成绩单[[#This Row],[总分]]))+1)</f>
        <v>614</v>
      </c>
    </row>
    <row r="3023" ht="28" customHeight="1" spans="4:23">
      <c r="D3023" s="31">
        <v>46108</v>
      </c>
      <c r="E3023" s="29">
        <v>19175322</v>
      </c>
      <c r="F3023" s="29" t="s">
        <v>55</v>
      </c>
      <c r="G3023" s="29" t="s">
        <v>562</v>
      </c>
      <c r="H3023" s="29">
        <v>88</v>
      </c>
      <c r="I3023" s="29">
        <v>77</v>
      </c>
      <c r="J3023" s="29">
        <v>66.5</v>
      </c>
      <c r="K3023" s="29">
        <v>65</v>
      </c>
      <c r="L3023" s="29">
        <v>50</v>
      </c>
      <c r="M3023" s="29">
        <v>75</v>
      </c>
      <c r="N3023" s="29">
        <v>62</v>
      </c>
      <c r="O3023" s="32">
        <v>483.5</v>
      </c>
      <c r="P3023" s="29" cm="1">
        <f t="array" ref="P3023">IF(表成绩单[[#This Row],[语文]]="","",SUMPRODUCT((表成绩单[考试日期]=表成绩单[[#This Row],[考试日期]])*(表成绩单[语文]&lt;9E+307)*(表成绩单[语文]&gt;表成绩单[[#This Row],[语文]]))+1)</f>
        <v>575</v>
      </c>
      <c r="Q3023" s="29" cm="1">
        <f t="array" ref="Q3023">IF(表成绩单[[#This Row],[数学]]="","",SUMPRODUCT((表成绩单[考试日期]=表成绩单[[#This Row],[考试日期]])*(表成绩单[数学]&lt;9E+307)*(表成绩单[数学]&gt;表成绩单[[#This Row],[数学]]))+1)</f>
        <v>617</v>
      </c>
      <c r="R3023" s="29" cm="1">
        <f t="array" ref="R3023">IF(表成绩单[[#This Row],[英语]]="","",SUMPRODUCT((表成绩单[考试日期]=表成绩单[[#This Row],[考试日期]])*(表成绩单[英语]&lt;9E+307)*(表成绩单[英语]&gt;表成绩单[[#This Row],[英语]]))+1)</f>
        <v>584</v>
      </c>
      <c r="S3023" s="29" cm="1">
        <f t="array" ref="S3023">IF(表成绩单[[#This Row],[物理]]="","",SUMPRODUCT((表成绩单[考试日期]=表成绩单[[#This Row],[考试日期]])*(表成绩单[物理]&lt;9E+307)*(表成绩单[物理]&gt;表成绩单[[#This Row],[物理]]))+1)</f>
        <v>621</v>
      </c>
      <c r="T3023" s="29" cm="1">
        <f t="array" ref="T3023">IF(表成绩单[[#This Row],[化学]]="","",SUMPRODUCT((表成绩单[考试日期]=表成绩单[[#This Row],[考试日期]])*(表成绩单[化学]&lt;9E+307)*(表成绩单[化学]&gt;表成绩单[[#This Row],[化学]]))+1)</f>
        <v>632</v>
      </c>
      <c r="U3023" s="29" cm="1">
        <f t="array" ref="U3023">IF(表成绩单[[#This Row],[政治]]="","",SUMPRODUCT((表成绩单[考试日期]=表成绩单[[#This Row],[考试日期]])*(表成绩单[政治]&lt;9E+307)*(表成绩单[政治]&gt;表成绩单[[#This Row],[政治]]))+1)</f>
        <v>346</v>
      </c>
      <c r="V3023" s="29" cm="1">
        <f t="array" ref="V3023">IF(表成绩单[[#This Row],[历史]]="","",SUMPRODUCT((表成绩单[考试日期]=表成绩单[[#This Row],[考试日期]])*(表成绩单[历史]&lt;9E+307)*(表成绩单[历史]&gt;表成绩单[[#This Row],[历史]]))+1)</f>
        <v>699</v>
      </c>
      <c r="W3023" s="29" cm="1">
        <f t="array" ref="W3023">IF(表成绩单[[#This Row],[总分]]="","",SUMPRODUCT((表成绩单[考试日期]=表成绩单[[#This Row],[考试日期]])*(表成绩单[总分]&lt;9E+307)*(表成绩单[总分]&gt;表成绩单[[#This Row],[总分]]))+1)</f>
        <v>616</v>
      </c>
    </row>
    <row r="3024" ht="28" customHeight="1" spans="4:23">
      <c r="D3024" s="31">
        <v>46108</v>
      </c>
      <c r="E3024" s="29">
        <v>19175628</v>
      </c>
      <c r="F3024" s="29" t="s">
        <v>57</v>
      </c>
      <c r="G3024" s="29" t="s">
        <v>708</v>
      </c>
      <c r="H3024" s="29">
        <v>90</v>
      </c>
      <c r="I3024" s="29">
        <v>71</v>
      </c>
      <c r="J3024" s="29">
        <v>71.5</v>
      </c>
      <c r="K3024" s="29">
        <v>63</v>
      </c>
      <c r="L3024" s="29">
        <v>39</v>
      </c>
      <c r="M3024" s="29">
        <v>74</v>
      </c>
      <c r="N3024" s="29">
        <v>74</v>
      </c>
      <c r="O3024" s="32">
        <v>482.5</v>
      </c>
      <c r="P3024" s="29" cm="1">
        <f t="array" ref="P3024">IF(表成绩单[[#This Row],[语文]]="","",SUMPRODUCT((表成绩单[考试日期]=表成绩单[[#This Row],[考试日期]])*(表成绩单[语文]&lt;9E+307)*(表成绩单[语文]&gt;表成绩单[[#This Row],[语文]]))+1)</f>
        <v>539</v>
      </c>
      <c r="Q3024" s="29" cm="1">
        <f t="array" ref="Q3024">IF(表成绩单[[#This Row],[数学]]="","",SUMPRODUCT((表成绩单[考试日期]=表成绩单[[#This Row],[考试日期]])*(表成绩单[数学]&lt;9E+307)*(表成绩单[数学]&gt;表成绩单[[#This Row],[数学]]))+1)</f>
        <v>655</v>
      </c>
      <c r="R3024" s="29" cm="1">
        <f t="array" ref="R3024">IF(表成绩单[[#This Row],[英语]]="","",SUMPRODUCT((表成绩单[考试日期]=表成绩单[[#This Row],[考试日期]])*(表成绩单[英语]&lt;9E+307)*(表成绩单[英语]&gt;表成绩单[[#This Row],[英语]]))+1)</f>
        <v>509</v>
      </c>
      <c r="S3024" s="29" cm="1">
        <f t="array" ref="S3024">IF(表成绩单[[#This Row],[物理]]="","",SUMPRODUCT((表成绩单[考试日期]=表成绩单[[#This Row],[考试日期]])*(表成绩单[物理]&lt;9E+307)*(表成绩单[物理]&gt;表成绩单[[#This Row],[物理]]))+1)</f>
        <v>631</v>
      </c>
      <c r="T3024" s="29" cm="1">
        <f t="array" ref="T3024">IF(表成绩单[[#This Row],[化学]]="","",SUMPRODUCT((表成绩单[考试日期]=表成绩单[[#This Row],[考试日期]])*(表成绩单[化学]&lt;9E+307)*(表成绩单[化学]&gt;表成绩单[[#This Row],[化学]]))+1)</f>
        <v>729</v>
      </c>
      <c r="U3024" s="29" cm="1">
        <f t="array" ref="U3024">IF(表成绩单[[#This Row],[政治]]="","",SUMPRODUCT((表成绩单[考试日期]=表成绩单[[#This Row],[考试日期]])*(表成绩单[政治]&lt;9E+307)*(表成绩单[政治]&gt;表成绩单[[#This Row],[政治]]))+1)</f>
        <v>389</v>
      </c>
      <c r="V3024" s="29" cm="1">
        <f t="array" ref="V3024">IF(表成绩单[[#This Row],[历史]]="","",SUMPRODUCT((表成绩单[考试日期]=表成绩单[[#This Row],[考试日期]])*(表成绩单[历史]&lt;9E+307)*(表成绩单[历史]&gt;表成绩单[[#This Row],[历史]]))+1)</f>
        <v>389</v>
      </c>
      <c r="W3024" s="29" cm="1">
        <f t="array" ref="W3024">IF(表成绩单[[#This Row],[总分]]="","",SUMPRODUCT((表成绩单[考试日期]=表成绩单[[#This Row],[考试日期]])*(表成绩单[总分]&lt;9E+307)*(表成绩单[总分]&gt;表成绩单[[#This Row],[总分]]))+1)</f>
        <v>617</v>
      </c>
    </row>
    <row r="3025" ht="28" customHeight="1" spans="4:23">
      <c r="D3025" s="31">
        <v>46108</v>
      </c>
      <c r="E3025" s="29">
        <v>26761258</v>
      </c>
      <c r="F3025" s="29" t="s">
        <v>57</v>
      </c>
      <c r="G3025" s="29" t="s">
        <v>697</v>
      </c>
      <c r="H3025" s="29">
        <v>94</v>
      </c>
      <c r="I3025" s="29">
        <v>82</v>
      </c>
      <c r="J3025" s="29">
        <v>70.5</v>
      </c>
      <c r="K3025" s="29">
        <v>63</v>
      </c>
      <c r="L3025" s="29">
        <v>51</v>
      </c>
      <c r="M3025" s="29">
        <v>65</v>
      </c>
      <c r="N3025" s="29">
        <v>57</v>
      </c>
      <c r="O3025" s="32">
        <v>482.5</v>
      </c>
      <c r="P3025" s="29" cm="1">
        <f t="array" ref="P3025">IF(表成绩单[[#This Row],[语文]]="","",SUMPRODUCT((表成绩单[考试日期]=表成绩单[[#This Row],[考试日期]])*(表成绩单[语文]&lt;9E+307)*(表成绩单[语文]&gt;表成绩单[[#This Row],[语文]]))+1)</f>
        <v>449</v>
      </c>
      <c r="Q3025" s="29" cm="1">
        <f t="array" ref="Q3025">IF(表成绩单[[#This Row],[数学]]="","",SUMPRODUCT((表成绩单[考试日期]=表成绩单[[#This Row],[考试日期]])*(表成绩单[数学]&lt;9E+307)*(表成绩单[数学]&gt;表成绩单[[#This Row],[数学]]))+1)</f>
        <v>555</v>
      </c>
      <c r="R3025" s="29" cm="1">
        <f t="array" ref="R3025">IF(表成绩单[[#This Row],[英语]]="","",SUMPRODUCT((表成绩单[考试日期]=表成绩单[[#This Row],[考试日期]])*(表成绩单[英语]&lt;9E+307)*(表成绩单[英语]&gt;表成绩单[[#This Row],[英语]]))+1)</f>
        <v>530</v>
      </c>
      <c r="S3025" s="29" cm="1">
        <f t="array" ref="S3025">IF(表成绩单[[#This Row],[物理]]="","",SUMPRODUCT((表成绩单[考试日期]=表成绩单[[#This Row],[考试日期]])*(表成绩单[物理]&lt;9E+307)*(表成绩单[物理]&gt;表成绩单[[#This Row],[物理]]))+1)</f>
        <v>631</v>
      </c>
      <c r="T3025" s="29" cm="1">
        <f t="array" ref="T3025">IF(表成绩单[[#This Row],[化学]]="","",SUMPRODUCT((表成绩单[考试日期]=表成绩单[[#This Row],[考试日期]])*(表成绩单[化学]&lt;9E+307)*(表成绩单[化学]&gt;表成绩单[[#This Row],[化学]]))+1)</f>
        <v>622</v>
      </c>
      <c r="U3025" s="29" cm="1">
        <f t="array" ref="U3025">IF(表成绩单[[#This Row],[政治]]="","",SUMPRODUCT((表成绩单[考试日期]=表成绩单[[#This Row],[考试日期]])*(表成绩单[政治]&lt;9E+307)*(表成绩单[政治]&gt;表成绩单[[#This Row],[政治]]))+1)</f>
        <v>655</v>
      </c>
      <c r="V3025" s="29" cm="1">
        <f t="array" ref="V3025">IF(表成绩单[[#This Row],[历史]]="","",SUMPRODUCT((表成绩单[考试日期]=表成绩单[[#This Row],[考试日期]])*(表成绩单[历史]&lt;9E+307)*(表成绩单[历史]&gt;表成绩单[[#This Row],[历史]]))+1)</f>
        <v>737</v>
      </c>
      <c r="W3025" s="29" cm="1">
        <f t="array" ref="W3025">IF(表成绩单[[#This Row],[总分]]="","",SUMPRODUCT((表成绩单[考试日期]=表成绩单[[#This Row],[考试日期]])*(表成绩单[总分]&lt;9E+307)*(表成绩单[总分]&gt;表成绩单[[#This Row],[总分]]))+1)</f>
        <v>617</v>
      </c>
    </row>
    <row r="3026" ht="28" customHeight="1" spans="4:23">
      <c r="D3026" s="31">
        <v>46108</v>
      </c>
      <c r="E3026" s="29">
        <v>19173776</v>
      </c>
      <c r="F3026" s="29" t="s">
        <v>65</v>
      </c>
      <c r="G3026" s="29" t="s">
        <v>673</v>
      </c>
      <c r="H3026" s="29">
        <v>96</v>
      </c>
      <c r="I3026" s="29">
        <v>60</v>
      </c>
      <c r="J3026" s="29">
        <v>68</v>
      </c>
      <c r="K3026" s="29">
        <v>70</v>
      </c>
      <c r="L3026" s="29">
        <v>41</v>
      </c>
      <c r="M3026" s="29">
        <v>71</v>
      </c>
      <c r="N3026" s="29">
        <v>75</v>
      </c>
      <c r="O3026" s="32">
        <v>481</v>
      </c>
      <c r="P3026" s="29" cm="1">
        <f t="array" ref="P3026">IF(表成绩单[[#This Row],[语文]]="","",SUMPRODUCT((表成绩单[考试日期]=表成绩单[[#This Row],[考试日期]])*(表成绩单[语文]&lt;9E+307)*(表成绩单[语文]&gt;表成绩单[[#This Row],[语文]]))+1)</f>
        <v>390</v>
      </c>
      <c r="Q3026" s="29" cm="1">
        <f t="array" ref="Q3026">IF(表成绩单[[#This Row],[数学]]="","",SUMPRODUCT((表成绩单[考试日期]=表成绩单[[#This Row],[考试日期]])*(表成绩单[数学]&lt;9E+307)*(表成绩单[数学]&gt;表成绩单[[#This Row],[数学]]))+1)</f>
        <v>707</v>
      </c>
      <c r="R3026" s="29" cm="1">
        <f t="array" ref="R3026">IF(表成绩单[[#This Row],[英语]]="","",SUMPRODUCT((表成绩单[考试日期]=表成绩单[[#This Row],[考试日期]])*(表成绩单[英语]&lt;9E+307)*(表成绩单[英语]&gt;表成绩单[[#This Row],[英语]]))+1)</f>
        <v>568</v>
      </c>
      <c r="S3026" s="29" cm="1">
        <f t="array" ref="S3026">IF(表成绩单[[#This Row],[物理]]="","",SUMPRODUCT((表成绩单[考试日期]=表成绩单[[#This Row],[考试日期]])*(表成绩单[物理]&lt;9E+307)*(表成绩单[物理]&gt;表成绩单[[#This Row],[物理]]))+1)</f>
        <v>549</v>
      </c>
      <c r="T3026" s="29" cm="1">
        <f t="array" ref="T3026">IF(表成绩单[[#This Row],[化学]]="","",SUMPRODUCT((表成绩单[考试日期]=表成绩单[[#This Row],[考试日期]])*(表成绩单[化学]&lt;9E+307)*(表成绩单[化学]&gt;表成绩单[[#This Row],[化学]]))+1)</f>
        <v>723</v>
      </c>
      <c r="U3026" s="29" cm="1">
        <f t="array" ref="U3026">IF(表成绩单[[#This Row],[政治]]="","",SUMPRODUCT((表成绩单[考试日期]=表成绩单[[#This Row],[考试日期]])*(表成绩单[政治]&lt;9E+307)*(表成绩单[政治]&gt;表成绩单[[#This Row],[政治]]))+1)</f>
        <v>513</v>
      </c>
      <c r="V3026" s="29" cm="1">
        <f t="array" ref="V3026">IF(表成绩单[[#This Row],[历史]]="","",SUMPRODUCT((表成绩单[考试日期]=表成绩单[[#This Row],[考试日期]])*(表成绩单[历史]&lt;9E+307)*(表成绩单[历史]&gt;表成绩单[[#This Row],[历史]]))+1)</f>
        <v>354</v>
      </c>
      <c r="W3026" s="29" cm="1">
        <f t="array" ref="W3026">IF(表成绩单[[#This Row],[总分]]="","",SUMPRODUCT((表成绩单[考试日期]=表成绩单[[#This Row],[考试日期]])*(表成绩单[总分]&lt;9E+307)*(表成绩单[总分]&gt;表成绩单[[#This Row],[总分]]))+1)</f>
        <v>619</v>
      </c>
    </row>
    <row r="3027" ht="28" customHeight="1" spans="4:23">
      <c r="D3027" s="31">
        <v>46108</v>
      </c>
      <c r="E3027" s="29">
        <v>19174787</v>
      </c>
      <c r="F3027" s="29" t="s">
        <v>69</v>
      </c>
      <c r="G3027" s="29" t="s">
        <v>654</v>
      </c>
      <c r="H3027" s="29">
        <v>88</v>
      </c>
      <c r="I3027" s="29">
        <v>79</v>
      </c>
      <c r="J3027" s="29">
        <v>72.5</v>
      </c>
      <c r="K3027" s="29">
        <v>63</v>
      </c>
      <c r="L3027" s="29">
        <v>47</v>
      </c>
      <c r="M3027" s="29">
        <v>67</v>
      </c>
      <c r="N3027" s="29">
        <v>63</v>
      </c>
      <c r="O3027" s="32">
        <v>479.5</v>
      </c>
      <c r="P3027" s="29" cm="1">
        <f t="array" ref="P3027">IF(表成绩单[[#This Row],[语文]]="","",SUMPRODUCT((表成绩单[考试日期]=表成绩单[[#This Row],[考试日期]])*(表成绩单[语文]&lt;9E+307)*(表成绩单[语文]&gt;表成绩单[[#This Row],[语文]]))+1)</f>
        <v>575</v>
      </c>
      <c r="Q3027" s="29" cm="1">
        <f t="array" ref="Q3027">IF(表成绩单[[#This Row],[数学]]="","",SUMPRODUCT((表成绩单[考试日期]=表成绩单[[#This Row],[考试日期]])*(表成绩单[数学]&lt;9E+307)*(表成绩单[数学]&gt;表成绩单[[#This Row],[数学]]))+1)</f>
        <v>591</v>
      </c>
      <c r="R3027" s="29" cm="1">
        <f t="array" ref="R3027">IF(表成绩单[[#This Row],[英语]]="","",SUMPRODUCT((表成绩单[考试日期]=表成绩单[[#This Row],[考试日期]])*(表成绩单[英语]&lt;9E+307)*(表成绩单[英语]&gt;表成绩单[[#This Row],[英语]]))+1)</f>
        <v>491</v>
      </c>
      <c r="S3027" s="29" cm="1">
        <f t="array" ref="S3027">IF(表成绩单[[#This Row],[物理]]="","",SUMPRODUCT((表成绩单[考试日期]=表成绩单[[#This Row],[考试日期]])*(表成绩单[物理]&lt;9E+307)*(表成绩单[物理]&gt;表成绩单[[#This Row],[物理]]))+1)</f>
        <v>631</v>
      </c>
      <c r="T3027" s="29" cm="1">
        <f t="array" ref="T3027">IF(表成绩单[[#This Row],[化学]]="","",SUMPRODUCT((表成绩单[考试日期]=表成绩单[[#This Row],[考试日期]])*(表成绩单[化学]&lt;9E+307)*(表成绩单[化学]&gt;表成绩单[[#This Row],[化学]]))+1)</f>
        <v>670</v>
      </c>
      <c r="U3027" s="29" cm="1">
        <f t="array" ref="U3027">IF(表成绩单[[#This Row],[政治]]="","",SUMPRODUCT((表成绩单[考试日期]=表成绩单[[#This Row],[考试日期]])*(表成绩单[政治]&lt;9E+307)*(表成绩单[政治]&gt;表成绩单[[#This Row],[政治]]))+1)</f>
        <v>626</v>
      </c>
      <c r="V3027" s="29" cm="1">
        <f t="array" ref="V3027">IF(表成绩单[[#This Row],[历史]]="","",SUMPRODUCT((表成绩单[考试日期]=表成绩单[[#This Row],[考试日期]])*(表成绩单[历史]&lt;9E+307)*(表成绩单[历史]&gt;表成绩单[[#This Row],[历史]]))+1)</f>
        <v>686</v>
      </c>
      <c r="W3027" s="29" cm="1">
        <f t="array" ref="W3027">IF(表成绩单[[#This Row],[总分]]="","",SUMPRODUCT((表成绩单[考试日期]=表成绩单[[#This Row],[考试日期]])*(表成绩单[总分]&lt;9E+307)*(表成绩单[总分]&gt;表成绩单[[#This Row],[总分]]))+1)</f>
        <v>620</v>
      </c>
    </row>
    <row r="3028" ht="28" customHeight="1" spans="4:23">
      <c r="D3028" s="31">
        <v>46108</v>
      </c>
      <c r="E3028" s="29">
        <v>19175615</v>
      </c>
      <c r="F3028" s="29" t="s">
        <v>57</v>
      </c>
      <c r="G3028" s="29" t="s">
        <v>763</v>
      </c>
      <c r="H3028" s="29">
        <v>99</v>
      </c>
      <c r="I3028" s="29">
        <v>68</v>
      </c>
      <c r="J3028" s="29">
        <v>62.5</v>
      </c>
      <c r="K3028" s="29">
        <v>59</v>
      </c>
      <c r="L3028" s="29">
        <v>49</v>
      </c>
      <c r="M3028" s="29">
        <v>72</v>
      </c>
      <c r="N3028" s="29">
        <v>70</v>
      </c>
      <c r="O3028" s="32">
        <v>479.5</v>
      </c>
      <c r="P3028" s="29" cm="1">
        <f t="array" ref="P3028">IF(表成绩单[[#This Row],[语文]]="","",SUMPRODUCT((表成绩单[考试日期]=表成绩单[[#This Row],[考试日期]])*(表成绩单[语文]&lt;9E+307)*(表成绩单[语文]&gt;表成绩单[[#This Row],[语文]]))+1)</f>
        <v>279</v>
      </c>
      <c r="Q3028" s="29" cm="1">
        <f t="array" ref="Q3028">IF(表成绩单[[#This Row],[数学]]="","",SUMPRODUCT((表成绩单[考试日期]=表成绩单[[#This Row],[考试日期]])*(表成绩单[数学]&lt;9E+307)*(表成绩单[数学]&gt;表成绩单[[#This Row],[数学]]))+1)</f>
        <v>670</v>
      </c>
      <c r="R3028" s="29" cm="1">
        <f t="array" ref="R3028">IF(表成绩单[[#This Row],[英语]]="","",SUMPRODUCT((表成绩单[考试日期]=表成绩单[[#This Row],[考试日期]])*(表成绩单[英语]&lt;9E+307)*(表成绩单[英语]&gt;表成绩单[[#This Row],[英语]]))+1)</f>
        <v>633</v>
      </c>
      <c r="S3028" s="29" cm="1">
        <f t="array" ref="S3028">IF(表成绩单[[#This Row],[物理]]="","",SUMPRODUCT((表成绩单[考试日期]=表成绩单[[#This Row],[考试日期]])*(表成绩单[物理]&lt;9E+307)*(表成绩单[物理]&gt;表成绩单[[#This Row],[物理]]))+1)</f>
        <v>667</v>
      </c>
      <c r="T3028" s="29" cm="1">
        <f t="array" ref="T3028">IF(表成绩单[[#This Row],[化学]]="","",SUMPRODUCT((表成绩单[考试日期]=表成绩单[[#This Row],[考试日期]])*(表成绩单[化学]&lt;9E+307)*(表成绩单[化学]&gt;表成绩单[[#This Row],[化学]]))+1)</f>
        <v>648</v>
      </c>
      <c r="U3028" s="29" cm="1">
        <f t="array" ref="U3028">IF(表成绩单[[#This Row],[政治]]="","",SUMPRODUCT((表成绩单[考试日期]=表成绩单[[#This Row],[考试日期]])*(表成绩单[政治]&lt;9E+307)*(表成绩单[政治]&gt;表成绩单[[#This Row],[政治]]))+1)</f>
        <v>470</v>
      </c>
      <c r="V3028" s="29" cm="1">
        <f t="array" ref="V3028">IF(表成绩单[[#This Row],[历史]]="","",SUMPRODUCT((表成绩单[考试日期]=表成绩单[[#This Row],[考试日期]])*(表成绩单[历史]&lt;9E+307)*(表成绩单[历史]&gt;表成绩单[[#This Row],[历史]]))+1)</f>
        <v>539</v>
      </c>
      <c r="W3028" s="29" cm="1">
        <f t="array" ref="W3028">IF(表成绩单[[#This Row],[总分]]="","",SUMPRODUCT((表成绩单[考试日期]=表成绩单[[#This Row],[考试日期]])*(表成绩单[总分]&lt;9E+307)*(表成绩单[总分]&gt;表成绩单[[#This Row],[总分]]))+1)</f>
        <v>620</v>
      </c>
    </row>
    <row r="3029" ht="28" customHeight="1" spans="4:23">
      <c r="D3029" s="31">
        <v>46108</v>
      </c>
      <c r="E3029" s="29">
        <v>19177659</v>
      </c>
      <c r="F3029" s="29" t="s">
        <v>63</v>
      </c>
      <c r="G3029" s="29" t="s">
        <v>711</v>
      </c>
      <c r="H3029" s="29">
        <v>91</v>
      </c>
      <c r="I3029" s="29">
        <v>76</v>
      </c>
      <c r="J3029" s="29">
        <v>60.5</v>
      </c>
      <c r="K3029" s="29">
        <v>68</v>
      </c>
      <c r="L3029" s="29">
        <v>50</v>
      </c>
      <c r="M3029" s="29">
        <v>68</v>
      </c>
      <c r="N3029" s="29">
        <v>66</v>
      </c>
      <c r="O3029" s="32">
        <v>479.5</v>
      </c>
      <c r="P3029" s="29" cm="1">
        <f t="array" ref="P3029">IF(表成绩单[[#This Row],[语文]]="","",SUMPRODUCT((表成绩单[考试日期]=表成绩单[[#This Row],[考试日期]])*(表成绩单[语文]&lt;9E+307)*(表成绩单[语文]&gt;表成绩单[[#This Row],[语文]]))+1)</f>
        <v>519</v>
      </c>
      <c r="Q3029" s="29" cm="1">
        <f t="array" ref="Q3029">IF(表成绩单[[#This Row],[数学]]="","",SUMPRODUCT((表成绩单[考试日期]=表成绩单[[#This Row],[考试日期]])*(表成绩单[数学]&lt;9E+307)*(表成绩单[数学]&gt;表成绩单[[#This Row],[数学]]))+1)</f>
        <v>625</v>
      </c>
      <c r="R3029" s="29" cm="1">
        <f t="array" ref="R3029">IF(表成绩单[[#This Row],[英语]]="","",SUMPRODUCT((表成绩单[考试日期]=表成绩单[[#This Row],[考试日期]])*(表成绩单[英语]&lt;9E+307)*(表成绩单[英语]&gt;表成绩单[[#This Row],[英语]]))+1)</f>
        <v>650</v>
      </c>
      <c r="S3029" s="29" cm="1">
        <f t="array" ref="S3029">IF(表成绩单[[#This Row],[物理]]="","",SUMPRODUCT((表成绩单[考试日期]=表成绩单[[#This Row],[考试日期]])*(表成绩单[物理]&lt;9E+307)*(表成绩单[物理]&gt;表成绩单[[#This Row],[物理]]))+1)</f>
        <v>581</v>
      </c>
      <c r="T3029" s="29" cm="1">
        <f t="array" ref="T3029">IF(表成绩单[[#This Row],[化学]]="","",SUMPRODUCT((表成绩单[考试日期]=表成绩单[[#This Row],[考试日期]])*(表成绩单[化学]&lt;9E+307)*(表成绩单[化学]&gt;表成绩单[[#This Row],[化学]]))+1)</f>
        <v>632</v>
      </c>
      <c r="U3029" s="29" cm="1">
        <f t="array" ref="U3029">IF(表成绩单[[#This Row],[政治]]="","",SUMPRODUCT((表成绩单[考试日期]=表成绩单[[#This Row],[考试日期]])*(表成绩单[政治]&lt;9E+307)*(表成绩单[政治]&gt;表成绩单[[#This Row],[政治]]))+1)</f>
        <v>596</v>
      </c>
      <c r="V3029" s="29" cm="1">
        <f t="array" ref="V3029">IF(表成绩单[[#This Row],[历史]]="","",SUMPRODUCT((表成绩单[考试日期]=表成绩单[[#This Row],[考试日期]])*(表成绩单[历史]&lt;9E+307)*(表成绩单[历史]&gt;表成绩单[[#This Row],[历史]]))+1)</f>
        <v>637</v>
      </c>
      <c r="W3029" s="29" cm="1">
        <f t="array" ref="W3029">IF(表成绩单[[#This Row],[总分]]="","",SUMPRODUCT((表成绩单[考试日期]=表成绩单[[#This Row],[考试日期]])*(表成绩单[总分]&lt;9E+307)*(表成绩单[总分]&gt;表成绩单[[#This Row],[总分]]))+1)</f>
        <v>620</v>
      </c>
    </row>
    <row r="3030" ht="28" customHeight="1" spans="4:23">
      <c r="D3030" s="31">
        <v>46108</v>
      </c>
      <c r="E3030" s="29">
        <v>19177666</v>
      </c>
      <c r="F3030" s="29" t="s">
        <v>63</v>
      </c>
      <c r="G3030" s="29" t="s">
        <v>694</v>
      </c>
      <c r="H3030" s="29">
        <v>82</v>
      </c>
      <c r="I3030" s="29">
        <v>83</v>
      </c>
      <c r="J3030" s="29">
        <v>52.5</v>
      </c>
      <c r="K3030" s="29">
        <v>67</v>
      </c>
      <c r="L3030" s="29">
        <v>60</v>
      </c>
      <c r="M3030" s="29">
        <v>63</v>
      </c>
      <c r="N3030" s="29">
        <v>72</v>
      </c>
      <c r="O3030" s="32">
        <v>479.5</v>
      </c>
      <c r="P3030" s="29" cm="1">
        <f t="array" ref="P3030">IF(表成绩单[[#This Row],[语文]]="","",SUMPRODUCT((表成绩单[考试日期]=表成绩单[[#This Row],[考试日期]])*(表成绩单[语文]&lt;9E+307)*(表成绩单[语文]&gt;表成绩单[[#This Row],[语文]]))+1)</f>
        <v>657</v>
      </c>
      <c r="Q3030" s="29" cm="1">
        <f t="array" ref="Q3030">IF(表成绩单[[#This Row],[数学]]="","",SUMPRODUCT((表成绩单[考试日期]=表成绩单[[#This Row],[考试日期]])*(表成绩单[数学]&lt;9E+307)*(表成绩单[数学]&gt;表成绩单[[#This Row],[数学]]))+1)</f>
        <v>543</v>
      </c>
      <c r="R3030" s="29" cm="1">
        <f t="array" ref="R3030">IF(表成绩单[[#This Row],[英语]]="","",SUMPRODUCT((表成绩单[考试日期]=表成绩单[[#This Row],[考试日期]])*(表成绩单[英语]&lt;9E+307)*(表成绩单[英语]&gt;表成绩单[[#This Row],[英语]]))+1)</f>
        <v>701</v>
      </c>
      <c r="S3030" s="29" cm="1">
        <f t="array" ref="S3030">IF(表成绩单[[#This Row],[物理]]="","",SUMPRODUCT((表成绩单[考试日期]=表成绩单[[#This Row],[考试日期]])*(表成绩单[物理]&lt;9E+307)*(表成绩单[物理]&gt;表成绩单[[#This Row],[物理]]))+1)</f>
        <v>593</v>
      </c>
      <c r="T3030" s="29" cm="1">
        <f t="array" ref="T3030">IF(表成绩单[[#This Row],[化学]]="","",SUMPRODUCT((表成绩单[考试日期]=表成绩单[[#This Row],[考试日期]])*(表成绩单[化学]&lt;9E+307)*(表成绩单[化学]&gt;表成绩单[[#This Row],[化学]]))+1)</f>
        <v>490</v>
      </c>
      <c r="U3030" s="29" cm="1">
        <f t="array" ref="U3030">IF(表成绩单[[#This Row],[政治]]="","",SUMPRODUCT((表成绩单[考试日期]=表成绩单[[#This Row],[考试日期]])*(表成绩单[政治]&lt;9E+307)*(表成绩单[政治]&gt;表成绩单[[#This Row],[政治]]))+1)</f>
        <v>680</v>
      </c>
      <c r="V3030" s="29" cm="1">
        <f t="array" ref="V3030">IF(表成绩单[[#This Row],[历史]]="","",SUMPRODUCT((表成绩单[考试日期]=表成绩单[[#This Row],[考试日期]])*(表成绩单[历史]&lt;9E+307)*(表成绩单[历史]&gt;表成绩单[[#This Row],[历史]]))+1)</f>
        <v>470</v>
      </c>
      <c r="W3030" s="29" cm="1">
        <f t="array" ref="W3030">IF(表成绩单[[#This Row],[总分]]="","",SUMPRODUCT((表成绩单[考试日期]=表成绩单[[#This Row],[考试日期]])*(表成绩单[总分]&lt;9E+307)*(表成绩单[总分]&gt;表成绩单[[#This Row],[总分]]))+1)</f>
        <v>620</v>
      </c>
    </row>
    <row r="3031" ht="28" customHeight="1" spans="4:23">
      <c r="D3031" s="31">
        <v>46108</v>
      </c>
      <c r="E3031" s="29">
        <v>19178638</v>
      </c>
      <c r="F3031" s="29" t="s">
        <v>25</v>
      </c>
      <c r="G3031" s="29" t="s">
        <v>688</v>
      </c>
      <c r="H3031" s="29">
        <v>83</v>
      </c>
      <c r="I3031" s="29">
        <v>82</v>
      </c>
      <c r="J3031" s="29">
        <v>67.5</v>
      </c>
      <c r="K3031" s="29">
        <v>64</v>
      </c>
      <c r="L3031" s="29">
        <v>46</v>
      </c>
      <c r="M3031" s="29">
        <v>69</v>
      </c>
      <c r="N3031" s="29">
        <v>68</v>
      </c>
      <c r="O3031" s="32">
        <v>479.5</v>
      </c>
      <c r="P3031" s="29" cm="1">
        <f t="array" ref="P3031">IF(表成绩单[[#This Row],[语文]]="","",SUMPRODUCT((表成绩单[考试日期]=表成绩单[[#This Row],[考试日期]])*(表成绩单[语文]&lt;9E+307)*(表成绩单[语文]&gt;表成绩单[[#This Row],[语文]]))+1)</f>
        <v>652</v>
      </c>
      <c r="Q3031" s="29" cm="1">
        <f t="array" ref="Q3031">IF(表成绩单[[#This Row],[数学]]="","",SUMPRODUCT((表成绩单[考试日期]=表成绩单[[#This Row],[考试日期]])*(表成绩单[数学]&lt;9E+307)*(表成绩单[数学]&gt;表成绩单[[#This Row],[数学]]))+1)</f>
        <v>555</v>
      </c>
      <c r="R3031" s="29" cm="1">
        <f t="array" ref="R3031">IF(表成绩单[[#This Row],[英语]]="","",SUMPRODUCT((表成绩单[考试日期]=表成绩单[[#This Row],[考试日期]])*(表成绩单[英语]&lt;9E+307)*(表成绩单[英语]&gt;表成绩单[[#This Row],[英语]]))+1)</f>
        <v>571</v>
      </c>
      <c r="S3031" s="29" cm="1">
        <f t="array" ref="S3031">IF(表成绩单[[#This Row],[物理]]="","",SUMPRODUCT((表成绩单[考试日期]=表成绩单[[#This Row],[考试日期]])*(表成绩单[物理]&lt;9E+307)*(表成绩单[物理]&gt;表成绩单[[#This Row],[物理]]))+1)</f>
        <v>626</v>
      </c>
      <c r="T3031" s="29" cm="1">
        <f t="array" ref="T3031">IF(表成绩单[[#This Row],[化学]]="","",SUMPRODUCT((表成绩单[考试日期]=表成绩单[[#This Row],[考试日期]])*(表成绩单[化学]&lt;9E+307)*(表成绩单[化学]&gt;表成绩单[[#This Row],[化学]]))+1)</f>
        <v>678</v>
      </c>
      <c r="U3031" s="29" cm="1">
        <f t="array" ref="U3031">IF(表成绩单[[#This Row],[政治]]="","",SUMPRODUCT((表成绩单[考试日期]=表成绩单[[#This Row],[考试日期]])*(表成绩单[政治]&lt;9E+307)*(表成绩单[政治]&gt;表成绩单[[#This Row],[政治]]))+1)</f>
        <v>567</v>
      </c>
      <c r="V3031" s="29" cm="1">
        <f t="array" ref="V3031">IF(表成绩单[[#This Row],[历史]]="","",SUMPRODUCT((表成绩单[考试日期]=表成绩单[[#This Row],[考试日期]])*(表成绩单[历史]&lt;9E+307)*(表成绩单[历史]&gt;表成绩单[[#This Row],[历史]]))+1)</f>
        <v>599</v>
      </c>
      <c r="W3031" s="29" cm="1">
        <f t="array" ref="W3031">IF(表成绩单[[#This Row],[总分]]="","",SUMPRODUCT((表成绩单[考试日期]=表成绩单[[#This Row],[考试日期]])*(表成绩单[总分]&lt;9E+307)*(表成绩单[总分]&gt;表成绩单[[#This Row],[总分]]))+1)</f>
        <v>620</v>
      </c>
    </row>
    <row r="3032" ht="28" customHeight="1" spans="4:23">
      <c r="D3032" s="31">
        <v>46108</v>
      </c>
      <c r="E3032" s="29">
        <v>19174462</v>
      </c>
      <c r="F3032" s="29" t="s">
        <v>73</v>
      </c>
      <c r="G3032" s="29" t="s">
        <v>728</v>
      </c>
      <c r="H3032" s="29">
        <v>100</v>
      </c>
      <c r="I3032" s="29">
        <v>56</v>
      </c>
      <c r="J3032" s="29">
        <v>80</v>
      </c>
      <c r="K3032" s="29">
        <v>64</v>
      </c>
      <c r="L3032" s="29">
        <v>42</v>
      </c>
      <c r="M3032" s="29">
        <v>71</v>
      </c>
      <c r="N3032" s="29">
        <v>66</v>
      </c>
      <c r="O3032" s="32">
        <v>479</v>
      </c>
      <c r="P3032" s="29" cm="1">
        <f t="array" ref="P3032">IF(表成绩单[[#This Row],[语文]]="","",SUMPRODUCT((表成绩单[考试日期]=表成绩单[[#This Row],[考试日期]])*(表成绩单[语文]&lt;9E+307)*(表成绩单[语文]&gt;表成绩单[[#This Row],[语文]]))+1)</f>
        <v>247</v>
      </c>
      <c r="Q3032" s="29" cm="1">
        <f t="array" ref="Q3032">IF(表成绩单[[#This Row],[数学]]="","",SUMPRODUCT((表成绩单[考试日期]=表成绩单[[#This Row],[考试日期]])*(表成绩单[数学]&lt;9E+307)*(表成绩单[数学]&gt;表成绩单[[#This Row],[数学]]))+1)</f>
        <v>723</v>
      </c>
      <c r="R3032" s="29" cm="1">
        <f t="array" ref="R3032">IF(表成绩单[[#This Row],[英语]]="","",SUMPRODUCT((表成绩单[考试日期]=表成绩单[[#This Row],[考试日期]])*(表成绩单[英语]&lt;9E+307)*(表成绩单[英语]&gt;表成绩单[[#This Row],[英语]]))+1)</f>
        <v>266</v>
      </c>
      <c r="S3032" s="29" cm="1">
        <f t="array" ref="S3032">IF(表成绩单[[#This Row],[物理]]="","",SUMPRODUCT((表成绩单[考试日期]=表成绩单[[#This Row],[考试日期]])*(表成绩单[物理]&lt;9E+307)*(表成绩单[物理]&gt;表成绩单[[#This Row],[物理]]))+1)</f>
        <v>626</v>
      </c>
      <c r="T3032" s="29" cm="1">
        <f t="array" ref="T3032">IF(表成绩单[[#This Row],[化学]]="","",SUMPRODUCT((表成绩单[考试日期]=表成绩单[[#This Row],[考试日期]])*(表成绩单[化学]&lt;9E+307)*(表成绩单[化学]&gt;表成绩单[[#This Row],[化学]]))+1)</f>
        <v>716</v>
      </c>
      <c r="U3032" s="29" cm="1">
        <f t="array" ref="U3032">IF(表成绩单[[#This Row],[政治]]="","",SUMPRODUCT((表成绩单[考试日期]=表成绩单[[#This Row],[考试日期]])*(表成绩单[政治]&lt;9E+307)*(表成绩单[政治]&gt;表成绩单[[#This Row],[政治]]))+1)</f>
        <v>513</v>
      </c>
      <c r="V3032" s="29" cm="1">
        <f t="array" ref="V3032">IF(表成绩单[[#This Row],[历史]]="","",SUMPRODUCT((表成绩单[考试日期]=表成绩单[[#This Row],[考试日期]])*(表成绩单[历史]&lt;9E+307)*(表成绩单[历史]&gt;表成绩单[[#This Row],[历史]]))+1)</f>
        <v>637</v>
      </c>
      <c r="W3032" s="29" cm="1">
        <f t="array" ref="W3032">IF(表成绩单[[#This Row],[总分]]="","",SUMPRODUCT((表成绩单[考试日期]=表成绩单[[#This Row],[考试日期]])*(表成绩单[总分]&lt;9E+307)*(表成绩单[总分]&gt;表成绩单[[#This Row],[总分]]))+1)</f>
        <v>625</v>
      </c>
    </row>
    <row r="3033" ht="28" customHeight="1" spans="4:23">
      <c r="D3033" s="31">
        <v>46108</v>
      </c>
      <c r="E3033" s="29">
        <v>26754600</v>
      </c>
      <c r="F3033" s="29" t="s">
        <v>55</v>
      </c>
      <c r="G3033" s="29" t="s">
        <v>764</v>
      </c>
      <c r="H3033" s="29">
        <v>93</v>
      </c>
      <c r="I3033" s="29">
        <v>77</v>
      </c>
      <c r="J3033" s="29">
        <v>54</v>
      </c>
      <c r="K3033" s="29">
        <v>57</v>
      </c>
      <c r="L3033" s="29">
        <v>42</v>
      </c>
      <c r="M3033" s="29">
        <v>75</v>
      </c>
      <c r="N3033" s="29">
        <v>81</v>
      </c>
      <c r="O3033" s="32">
        <v>479</v>
      </c>
      <c r="P3033" s="29" cm="1">
        <f t="array" ref="P3033">IF(表成绩单[[#This Row],[语文]]="","",SUMPRODUCT((表成绩单[考试日期]=表成绩单[[#This Row],[考试日期]])*(表成绩单[语文]&lt;9E+307)*(表成绩单[语文]&gt;表成绩单[[#This Row],[语文]]))+1)</f>
        <v>470</v>
      </c>
      <c r="Q3033" s="29" cm="1">
        <f t="array" ref="Q3033">IF(表成绩单[[#This Row],[数学]]="","",SUMPRODUCT((表成绩单[考试日期]=表成绩单[[#This Row],[考试日期]])*(表成绩单[数学]&lt;9E+307)*(表成绩单[数学]&gt;表成绩单[[#This Row],[数学]]))+1)</f>
        <v>617</v>
      </c>
      <c r="R3033" s="29" cm="1">
        <f t="array" ref="R3033">IF(表成绩单[[#This Row],[英语]]="","",SUMPRODUCT((表成绩单[考试日期]=表成绩单[[#This Row],[考试日期]])*(表成绩单[英语]&lt;9E+307)*(表成绩单[英语]&gt;表成绩单[[#This Row],[英语]]))+1)</f>
        <v>691</v>
      </c>
      <c r="S3033" s="29" cm="1">
        <f t="array" ref="S3033">IF(表成绩单[[#This Row],[物理]]="","",SUMPRODUCT((表成绩单[考试日期]=表成绩单[[#This Row],[考试日期]])*(表成绩单[物理]&lt;9E+307)*(表成绩单[物理]&gt;表成绩单[[#This Row],[物理]]))+1)</f>
        <v>692</v>
      </c>
      <c r="T3033" s="29" cm="1">
        <f t="array" ref="T3033">IF(表成绩单[[#This Row],[化学]]="","",SUMPRODUCT((表成绩单[考试日期]=表成绩单[[#This Row],[考试日期]])*(表成绩单[化学]&lt;9E+307)*(表成绩单[化学]&gt;表成绩单[[#This Row],[化学]]))+1)</f>
        <v>716</v>
      </c>
      <c r="U3033" s="29" cm="1">
        <f t="array" ref="U3033">IF(表成绩单[[#This Row],[政治]]="","",SUMPRODUCT((表成绩单[考试日期]=表成绩单[[#This Row],[考试日期]])*(表成绩单[政治]&lt;9E+307)*(表成绩单[政治]&gt;表成绩单[[#This Row],[政治]]))+1)</f>
        <v>346</v>
      </c>
      <c r="V3033" s="29" cm="1">
        <f t="array" ref="V3033">IF(表成绩单[[#This Row],[历史]]="","",SUMPRODUCT((表成绩单[考试日期]=表成绩单[[#This Row],[考试日期]])*(表成绩单[历史]&lt;9E+307)*(表成绩单[历史]&gt;表成绩单[[#This Row],[历史]]))+1)</f>
        <v>106</v>
      </c>
      <c r="W3033" s="29" cm="1">
        <f t="array" ref="W3033">IF(表成绩单[[#This Row],[总分]]="","",SUMPRODUCT((表成绩单[考试日期]=表成绩单[[#This Row],[考试日期]])*(表成绩单[总分]&lt;9E+307)*(表成绩单[总分]&gt;表成绩单[[#This Row],[总分]]))+1)</f>
        <v>625</v>
      </c>
    </row>
    <row r="3034" ht="28" customHeight="1" spans="4:23">
      <c r="D3034" s="31">
        <v>46108</v>
      </c>
      <c r="E3034" s="29">
        <v>19177655</v>
      </c>
      <c r="F3034" s="29" t="s">
        <v>63</v>
      </c>
      <c r="G3034" s="29" t="s">
        <v>675</v>
      </c>
      <c r="H3034" s="29">
        <v>82</v>
      </c>
      <c r="I3034" s="29">
        <v>85</v>
      </c>
      <c r="J3034" s="29">
        <v>61</v>
      </c>
      <c r="K3034" s="29">
        <v>73</v>
      </c>
      <c r="L3034" s="29">
        <v>47</v>
      </c>
      <c r="M3034" s="29">
        <v>70</v>
      </c>
      <c r="N3034" s="29">
        <v>60</v>
      </c>
      <c r="O3034" s="32">
        <v>478</v>
      </c>
      <c r="P3034" s="29" cm="1">
        <f t="array" ref="P3034">IF(表成绩单[[#This Row],[语文]]="","",SUMPRODUCT((表成绩单[考试日期]=表成绩单[[#This Row],[考试日期]])*(表成绩单[语文]&lt;9E+307)*(表成绩单[语文]&gt;表成绩单[[#This Row],[语文]]))+1)</f>
        <v>657</v>
      </c>
      <c r="Q3034" s="29" cm="1">
        <f t="array" ref="Q3034">IF(表成绩单[[#This Row],[数学]]="","",SUMPRODUCT((表成绩单[考试日期]=表成绩单[[#This Row],[考试日期]])*(表成绩单[数学]&lt;9E+307)*(表成绩单[数学]&gt;表成绩单[[#This Row],[数学]]))+1)</f>
        <v>501</v>
      </c>
      <c r="R3034" s="29" cm="1">
        <f t="array" ref="R3034">IF(表成绩单[[#This Row],[英语]]="","",SUMPRODUCT((表成绩单[考试日期]=表成绩单[[#This Row],[考试日期]])*(表成绩单[英语]&lt;9E+307)*(表成绩单[英语]&gt;表成绩单[[#This Row],[英语]]))+1)</f>
        <v>644</v>
      </c>
      <c r="S3034" s="29" cm="1">
        <f t="array" ref="S3034">IF(表成绩单[[#This Row],[物理]]="","",SUMPRODUCT((表成绩单[考试日期]=表成绩单[[#This Row],[考试日期]])*(表成绩单[物理]&lt;9E+307)*(表成绩单[物理]&gt;表成绩单[[#This Row],[物理]]))+1)</f>
        <v>500</v>
      </c>
      <c r="T3034" s="29" cm="1">
        <f t="array" ref="T3034">IF(表成绩单[[#This Row],[化学]]="","",SUMPRODUCT((表成绩单[考试日期]=表成绩单[[#This Row],[考试日期]])*(表成绩单[化学]&lt;9E+307)*(表成绩单[化学]&gt;表成绩单[[#This Row],[化学]]))+1)</f>
        <v>670</v>
      </c>
      <c r="U3034" s="29" cm="1">
        <f t="array" ref="U3034">IF(表成绩单[[#This Row],[政治]]="","",SUMPRODUCT((表成绩单[考试日期]=表成绩单[[#This Row],[考试日期]])*(表成绩单[政治]&lt;9E+307)*(表成绩单[政治]&gt;表成绩单[[#This Row],[政治]]))+1)</f>
        <v>548</v>
      </c>
      <c r="V3034" s="29" cm="1">
        <f t="array" ref="V3034">IF(表成绩单[[#This Row],[历史]]="","",SUMPRODUCT((表成绩单[考试日期]=表成绩单[[#This Row],[考试日期]])*(表成绩单[历史]&lt;9E+307)*(表成绩单[历史]&gt;表成绩单[[#This Row],[历史]]))+1)</f>
        <v>715</v>
      </c>
      <c r="W3034" s="29" cm="1">
        <f t="array" ref="W3034">IF(表成绩单[[#This Row],[总分]]="","",SUMPRODUCT((表成绩单[考试日期]=表成绩单[[#This Row],[考试日期]])*(表成绩单[总分]&lt;9E+307)*(表成绩单[总分]&gt;表成绩单[[#This Row],[总分]]))+1)</f>
        <v>627</v>
      </c>
    </row>
    <row r="3035" ht="28" customHeight="1" spans="4:23">
      <c r="D3035" s="31">
        <v>46108</v>
      </c>
      <c r="E3035" s="29">
        <v>19177671</v>
      </c>
      <c r="F3035" s="29" t="s">
        <v>63</v>
      </c>
      <c r="G3035" s="29" t="s">
        <v>725</v>
      </c>
      <c r="H3035" s="29">
        <v>92</v>
      </c>
      <c r="I3035" s="29">
        <v>66</v>
      </c>
      <c r="J3035" s="29">
        <v>70.5</v>
      </c>
      <c r="K3035" s="29">
        <v>66</v>
      </c>
      <c r="L3035" s="29">
        <v>40</v>
      </c>
      <c r="M3035" s="29">
        <v>69</v>
      </c>
      <c r="N3035" s="29">
        <v>74</v>
      </c>
      <c r="O3035" s="32">
        <v>477.5</v>
      </c>
      <c r="P3035" s="29" cm="1">
        <f t="array" ref="P3035">IF(表成绩单[[#This Row],[语文]]="","",SUMPRODUCT((表成绩单[考试日期]=表成绩单[[#This Row],[考试日期]])*(表成绩单[语文]&lt;9E+307)*(表成绩单[语文]&gt;表成绩单[[#This Row],[语文]]))+1)</f>
        <v>494</v>
      </c>
      <c r="Q3035" s="29" cm="1">
        <f t="array" ref="Q3035">IF(表成绩单[[#This Row],[数学]]="","",SUMPRODUCT((表成绩单[考试日期]=表成绩单[[#This Row],[考试日期]])*(表成绩单[数学]&lt;9E+307)*(表成绩单[数学]&gt;表成绩单[[#This Row],[数学]]))+1)</f>
        <v>681</v>
      </c>
      <c r="R3035" s="29" cm="1">
        <f t="array" ref="R3035">IF(表成绩单[[#This Row],[英语]]="","",SUMPRODUCT((表成绩单[考试日期]=表成绩单[[#This Row],[考试日期]])*(表成绩单[英语]&lt;9E+307)*(表成绩单[英语]&gt;表成绩单[[#This Row],[英语]]))+1)</f>
        <v>530</v>
      </c>
      <c r="S3035" s="29" cm="1">
        <f t="array" ref="S3035">IF(表成绩单[[#This Row],[物理]]="","",SUMPRODUCT((表成绩单[考试日期]=表成绩单[[#This Row],[考试日期]])*(表成绩单[物理]&lt;9E+307)*(表成绩单[物理]&gt;表成绩单[[#This Row],[物理]]))+1)</f>
        <v>608</v>
      </c>
      <c r="T3035" s="29" cm="1">
        <f t="array" ref="T3035">IF(表成绩单[[#This Row],[化学]]="","",SUMPRODUCT((表成绩单[考试日期]=表成绩单[[#This Row],[考试日期]])*(表成绩单[化学]&lt;9E+307)*(表成绩单[化学]&gt;表成绩单[[#This Row],[化学]]))+1)</f>
        <v>725</v>
      </c>
      <c r="U3035" s="29" cm="1">
        <f t="array" ref="U3035">IF(表成绩单[[#This Row],[政治]]="","",SUMPRODUCT((表成绩单[考试日期]=表成绩单[[#This Row],[考试日期]])*(表成绩单[政治]&lt;9E+307)*(表成绩单[政治]&gt;表成绩单[[#This Row],[政治]]))+1)</f>
        <v>567</v>
      </c>
      <c r="V3035" s="29" cm="1">
        <f t="array" ref="V3035">IF(表成绩单[[#This Row],[历史]]="","",SUMPRODUCT((表成绩单[考试日期]=表成绩单[[#This Row],[考试日期]])*(表成绩单[历史]&lt;9E+307)*(表成绩单[历史]&gt;表成绩单[[#This Row],[历史]]))+1)</f>
        <v>389</v>
      </c>
      <c r="W3035" s="29" cm="1">
        <f t="array" ref="W3035">IF(表成绩单[[#This Row],[总分]]="","",SUMPRODUCT((表成绩单[考试日期]=表成绩单[[#This Row],[考试日期]])*(表成绩单[总分]&lt;9E+307)*(表成绩单[总分]&gt;表成绩单[[#This Row],[总分]]))+1)</f>
        <v>628</v>
      </c>
    </row>
    <row r="3036" ht="28" customHeight="1" spans="4:23">
      <c r="D3036" s="31">
        <v>46108</v>
      </c>
      <c r="E3036" s="29">
        <v>19175641</v>
      </c>
      <c r="F3036" s="29" t="s">
        <v>66</v>
      </c>
      <c r="G3036" s="29" t="s">
        <v>632</v>
      </c>
      <c r="H3036" s="29">
        <v>87</v>
      </c>
      <c r="I3036" s="29">
        <v>85</v>
      </c>
      <c r="J3036" s="29">
        <v>72</v>
      </c>
      <c r="K3036" s="29">
        <v>53</v>
      </c>
      <c r="L3036" s="29">
        <v>50</v>
      </c>
      <c r="M3036" s="29">
        <v>60</v>
      </c>
      <c r="N3036" s="29">
        <v>70</v>
      </c>
      <c r="O3036" s="32">
        <v>477</v>
      </c>
      <c r="P3036" s="29" cm="1">
        <f t="array" ref="P3036">IF(表成绩单[[#This Row],[语文]]="","",SUMPRODUCT((表成绩单[考试日期]=表成绩单[[#This Row],[考试日期]])*(表成绩单[语文]&lt;9E+307)*(表成绩单[语文]&gt;表成绩单[[#This Row],[语文]]))+1)</f>
        <v>599</v>
      </c>
      <c r="Q3036" s="29" cm="1">
        <f t="array" ref="Q3036">IF(表成绩单[[#This Row],[数学]]="","",SUMPRODUCT((表成绩单[考试日期]=表成绩单[[#This Row],[考试日期]])*(表成绩单[数学]&lt;9E+307)*(表成绩单[数学]&gt;表成绩单[[#This Row],[数学]]))+1)</f>
        <v>501</v>
      </c>
      <c r="R3036" s="29" cm="1">
        <f t="array" ref="R3036">IF(表成绩单[[#This Row],[英语]]="","",SUMPRODUCT((表成绩单[考试日期]=表成绩单[[#This Row],[考试日期]])*(表成绩单[英语]&lt;9E+307)*(表成绩单[英语]&gt;表成绩单[[#This Row],[英语]]))+1)</f>
        <v>499</v>
      </c>
      <c r="S3036" s="29" cm="1">
        <f t="array" ref="S3036">IF(表成绩单[[#This Row],[物理]]="","",SUMPRODUCT((表成绩单[考试日期]=表成绩单[[#This Row],[考试日期]])*(表成绩单[物理]&lt;9E+307)*(表成绩单[物理]&gt;表成绩单[[#This Row],[物理]]))+1)</f>
        <v>711</v>
      </c>
      <c r="T3036" s="29" cm="1">
        <f t="array" ref="T3036">IF(表成绩单[[#This Row],[化学]]="","",SUMPRODUCT((表成绩单[考试日期]=表成绩单[[#This Row],[考试日期]])*(表成绩单[化学]&lt;9E+307)*(表成绩单[化学]&gt;表成绩单[[#This Row],[化学]]))+1)</f>
        <v>632</v>
      </c>
      <c r="U3036" s="29" cm="1">
        <f t="array" ref="U3036">IF(表成绩单[[#This Row],[政治]]="","",SUMPRODUCT((表成绩单[考试日期]=表成绩单[[#This Row],[考试日期]])*(表成绩单[政治]&lt;9E+307)*(表成绩单[政治]&gt;表成绩单[[#This Row],[政治]]))+1)</f>
        <v>709</v>
      </c>
      <c r="V3036" s="29" cm="1">
        <f t="array" ref="V3036">IF(表成绩单[[#This Row],[历史]]="","",SUMPRODUCT((表成绩单[考试日期]=表成绩单[[#This Row],[考试日期]])*(表成绩单[历史]&lt;9E+307)*(表成绩单[历史]&gt;表成绩单[[#This Row],[历史]]))+1)</f>
        <v>539</v>
      </c>
      <c r="W3036" s="29" cm="1">
        <f t="array" ref="W3036">IF(表成绩单[[#This Row],[总分]]="","",SUMPRODUCT((表成绩单[考试日期]=表成绩单[[#This Row],[考试日期]])*(表成绩单[总分]&lt;9E+307)*(表成绩单[总分]&gt;表成绩单[[#This Row],[总分]]))+1)</f>
        <v>629</v>
      </c>
    </row>
    <row r="3037" ht="28" customHeight="1" spans="4:23">
      <c r="D3037" s="31">
        <v>46108</v>
      </c>
      <c r="E3037" s="29">
        <v>19177611</v>
      </c>
      <c r="F3037" s="29" t="s">
        <v>58</v>
      </c>
      <c r="G3037" s="29" t="s">
        <v>709</v>
      </c>
      <c r="H3037" s="29">
        <v>83</v>
      </c>
      <c r="I3037" s="29">
        <v>88</v>
      </c>
      <c r="J3037" s="29">
        <v>58.5</v>
      </c>
      <c r="K3037" s="29">
        <v>58</v>
      </c>
      <c r="L3037" s="29">
        <v>51</v>
      </c>
      <c r="M3037" s="29">
        <v>62</v>
      </c>
      <c r="N3037" s="29">
        <v>74</v>
      </c>
      <c r="O3037" s="32">
        <v>474.5</v>
      </c>
      <c r="P3037" s="29" cm="1">
        <f t="array" ref="P3037">IF(表成绩单[[#This Row],[语文]]="","",SUMPRODUCT((表成绩单[考试日期]=表成绩单[[#This Row],[考试日期]])*(表成绩单[语文]&lt;9E+307)*(表成绩单[语文]&gt;表成绩单[[#This Row],[语文]]))+1)</f>
        <v>652</v>
      </c>
      <c r="Q3037" s="29" cm="1">
        <f t="array" ref="Q3037">IF(表成绩单[[#This Row],[数学]]="","",SUMPRODUCT((表成绩单[考试日期]=表成绩单[[#This Row],[考试日期]])*(表成绩单[数学]&lt;9E+307)*(表成绩单[数学]&gt;表成绩单[[#This Row],[数学]]))+1)</f>
        <v>424</v>
      </c>
      <c r="R3037" s="29" cm="1">
        <f t="array" ref="R3037">IF(表成绩单[[#This Row],[英语]]="","",SUMPRODUCT((表成绩单[考试日期]=表成绩单[[#This Row],[考试日期]])*(表成绩单[英语]&lt;9E+307)*(表成绩单[英语]&gt;表成绩单[[#This Row],[英语]]))+1)</f>
        <v>668</v>
      </c>
      <c r="S3037" s="29" cm="1">
        <f t="array" ref="S3037">IF(表成绩单[[#This Row],[物理]]="","",SUMPRODUCT((表成绩单[考试日期]=表成绩单[[#This Row],[考试日期]])*(表成绩单[物理]&lt;9E+307)*(表成绩单[物理]&gt;表成绩单[[#This Row],[物理]]))+1)</f>
        <v>680</v>
      </c>
      <c r="T3037" s="29" cm="1">
        <f t="array" ref="T3037">IF(表成绩单[[#This Row],[化学]]="","",SUMPRODUCT((表成绩单[考试日期]=表成绩单[[#This Row],[考试日期]])*(表成绩单[化学]&lt;9E+307)*(表成绩单[化学]&gt;表成绩单[[#This Row],[化学]]))+1)</f>
        <v>622</v>
      </c>
      <c r="U3037" s="29" cm="1">
        <f t="array" ref="U3037">IF(表成绩单[[#This Row],[政治]]="","",SUMPRODUCT((表成绩单[考试日期]=表成绩单[[#This Row],[考试日期]])*(表成绩单[政治]&lt;9E+307)*(表成绩单[政治]&gt;表成绩单[[#This Row],[政治]]))+1)</f>
        <v>692</v>
      </c>
      <c r="V3037" s="29" cm="1">
        <f t="array" ref="V3037">IF(表成绩单[[#This Row],[历史]]="","",SUMPRODUCT((表成绩单[考试日期]=表成绩单[[#This Row],[考试日期]])*(表成绩单[历史]&lt;9E+307)*(表成绩单[历史]&gt;表成绩单[[#This Row],[历史]]))+1)</f>
        <v>389</v>
      </c>
      <c r="W3037" s="29" cm="1">
        <f t="array" ref="W3037">IF(表成绩单[[#This Row],[总分]]="","",SUMPRODUCT((表成绩单[考试日期]=表成绩单[[#This Row],[考试日期]])*(表成绩单[总分]&lt;9E+307)*(表成绩单[总分]&gt;表成绩单[[#This Row],[总分]]))+1)</f>
        <v>630</v>
      </c>
    </row>
    <row r="3038" ht="28" customHeight="1" spans="4:23">
      <c r="D3038" s="31">
        <v>46108</v>
      </c>
      <c r="E3038" s="29">
        <v>19176857</v>
      </c>
      <c r="F3038" s="29" t="s">
        <v>71</v>
      </c>
      <c r="G3038" s="29" t="s">
        <v>442</v>
      </c>
      <c r="H3038" s="29"/>
      <c r="I3038" s="29">
        <v>100</v>
      </c>
      <c r="J3038" s="29">
        <v>74</v>
      </c>
      <c r="K3038" s="29">
        <v>77</v>
      </c>
      <c r="L3038" s="29">
        <v>68</v>
      </c>
      <c r="M3038" s="29">
        <v>77</v>
      </c>
      <c r="N3038" s="29">
        <v>78</v>
      </c>
      <c r="O3038" s="32">
        <v>474</v>
      </c>
      <c r="P3038" s="29" t="str" cm="1">
        <f t="array" ref="P3038">IF(表成绩单[[#This Row],[语文]]="","",SUMPRODUCT((表成绩单[考试日期]=表成绩单[[#This Row],[考试日期]])*(表成绩单[语文]&lt;9E+307)*(表成绩单[语文]&gt;表成绩单[[#This Row],[语文]]))+1)</f>
        <v/>
      </c>
      <c r="Q3038" s="29" cm="1">
        <f t="array" ref="Q3038">IF(表成绩单[[#This Row],[数学]]="","",SUMPRODUCT((表成绩单[考试日期]=表成绩单[[#This Row],[考试日期]])*(表成绩单[数学]&lt;9E+307)*(表成绩单[数学]&gt;表成绩单[[#This Row],[数学]]))+1)</f>
        <v>121</v>
      </c>
      <c r="R3038" s="29" cm="1">
        <f t="array" ref="R3038">IF(表成绩单[[#This Row],[英语]]="","",SUMPRODUCT((表成绩单[考试日期]=表成绩单[[#This Row],[考试日期]])*(表成绩单[英语]&lt;9E+307)*(表成绩单[英语]&gt;表成绩单[[#This Row],[英语]]))+1)</f>
        <v>464</v>
      </c>
      <c r="S3038" s="29" cm="1">
        <f t="array" ref="S3038">IF(表成绩单[[#This Row],[物理]]="","",SUMPRODUCT((表成绩单[考试日期]=表成绩单[[#This Row],[考试日期]])*(表成绩单[物理]&lt;9E+307)*(表成绩单[物理]&gt;表成绩单[[#This Row],[物理]]))+1)</f>
        <v>400</v>
      </c>
      <c r="T3038" s="29" cm="1">
        <f t="array" ref="T3038">IF(表成绩单[[#This Row],[化学]]="","",SUMPRODUCT((表成绩单[考试日期]=表成绩单[[#This Row],[考试日期]])*(表成绩单[化学]&lt;9E+307)*(表成绩单[化学]&gt;表成绩单[[#This Row],[化学]]))+1)</f>
        <v>306</v>
      </c>
      <c r="U3038" s="29" cm="1">
        <f t="array" ref="U3038">IF(表成绩单[[#This Row],[政治]]="","",SUMPRODUCT((表成绩单[考试日期]=表成绩单[[#This Row],[考试日期]])*(表成绩单[政治]&lt;9E+307)*(表成绩单[政治]&gt;表成绩单[[#This Row],[政治]]))+1)</f>
        <v>230</v>
      </c>
      <c r="V3038" s="29" cm="1">
        <f t="array" ref="V3038">IF(表成绩单[[#This Row],[历史]]="","",SUMPRODUCT((表成绩单[考试日期]=表成绩单[[#This Row],[考试日期]])*(表成绩单[历史]&lt;9E+307)*(表成绩单[历史]&gt;表成绩单[[#This Row],[历史]]))+1)</f>
        <v>222</v>
      </c>
      <c r="W3038" s="29" cm="1">
        <f t="array" ref="W3038">IF(表成绩单[[#This Row],[总分]]="","",SUMPRODUCT((表成绩单[考试日期]=表成绩单[[#This Row],[考试日期]])*(表成绩单[总分]&lt;9E+307)*(表成绩单[总分]&gt;表成绩单[[#This Row],[总分]]))+1)</f>
        <v>631</v>
      </c>
    </row>
    <row r="3039" ht="28" customHeight="1" spans="4:23">
      <c r="D3039" s="31">
        <v>46108</v>
      </c>
      <c r="E3039" s="29">
        <v>19173785</v>
      </c>
      <c r="F3039" s="29" t="s">
        <v>65</v>
      </c>
      <c r="G3039" s="29" t="s">
        <v>715</v>
      </c>
      <c r="H3039" s="29">
        <v>91</v>
      </c>
      <c r="I3039" s="29">
        <v>60</v>
      </c>
      <c r="J3039" s="29">
        <v>77.5</v>
      </c>
      <c r="K3039" s="29">
        <v>55</v>
      </c>
      <c r="L3039" s="29">
        <v>48</v>
      </c>
      <c r="M3039" s="29">
        <v>75</v>
      </c>
      <c r="N3039" s="29">
        <v>67</v>
      </c>
      <c r="O3039" s="32">
        <v>473.5</v>
      </c>
      <c r="P3039" s="29" cm="1">
        <f t="array" ref="P3039">IF(表成绩单[[#This Row],[语文]]="","",SUMPRODUCT((表成绩单[考试日期]=表成绩单[[#This Row],[考试日期]])*(表成绩单[语文]&lt;9E+307)*(表成绩单[语文]&gt;表成绩单[[#This Row],[语文]]))+1)</f>
        <v>519</v>
      </c>
      <c r="Q3039" s="29" cm="1">
        <f t="array" ref="Q3039">IF(表成绩单[[#This Row],[数学]]="","",SUMPRODUCT((表成绩单[考试日期]=表成绩单[[#This Row],[考试日期]])*(表成绩单[数学]&lt;9E+307)*(表成绩单[数学]&gt;表成绩单[[#This Row],[数学]]))+1)</f>
        <v>707</v>
      </c>
      <c r="R3039" s="29" cm="1">
        <f t="array" ref="R3039">IF(表成绩单[[#This Row],[英语]]="","",SUMPRODUCT((表成绩单[考试日期]=表成绩单[[#This Row],[考试日期]])*(表成绩单[英语]&lt;9E+307)*(表成绩单[英语]&gt;表成绩单[[#This Row],[英语]]))+1)</f>
        <v>353</v>
      </c>
      <c r="S3039" s="29" cm="1">
        <f t="array" ref="S3039">IF(表成绩单[[#This Row],[物理]]="","",SUMPRODUCT((表成绩单[考试日期]=表成绩单[[#This Row],[考试日期]])*(表成绩单[物理]&lt;9E+307)*(表成绩单[物理]&gt;表成绩单[[#This Row],[物理]]))+1)</f>
        <v>704</v>
      </c>
      <c r="T3039" s="29" cm="1">
        <f t="array" ref="T3039">IF(表成绩单[[#This Row],[化学]]="","",SUMPRODUCT((表成绩单[考试日期]=表成绩单[[#This Row],[考试日期]])*(表成绩单[化学]&lt;9E+307)*(表成绩单[化学]&gt;表成绩单[[#This Row],[化学]]))+1)</f>
        <v>654</v>
      </c>
      <c r="U3039" s="29" cm="1">
        <f t="array" ref="U3039">IF(表成绩单[[#This Row],[政治]]="","",SUMPRODUCT((表成绩单[考试日期]=表成绩单[[#This Row],[考试日期]])*(表成绩单[政治]&lt;9E+307)*(表成绩单[政治]&gt;表成绩单[[#This Row],[政治]]))+1)</f>
        <v>346</v>
      </c>
      <c r="V3039" s="29" cm="1">
        <f t="array" ref="V3039">IF(表成绩单[[#This Row],[历史]]="","",SUMPRODUCT((表成绩单[考试日期]=表成绩单[[#This Row],[考试日期]])*(表成绩单[历史]&lt;9E+307)*(表成绩单[历史]&gt;表成绩单[[#This Row],[历史]]))+1)</f>
        <v>623</v>
      </c>
      <c r="W3039" s="29" cm="1">
        <f t="array" ref="W3039">IF(表成绩单[[#This Row],[总分]]="","",SUMPRODUCT((表成绩单[考试日期]=表成绩单[[#This Row],[考试日期]])*(表成绩单[总分]&lt;9E+307)*(表成绩单[总分]&gt;表成绩单[[#This Row],[总分]]))+1)</f>
        <v>632</v>
      </c>
    </row>
    <row r="3040" ht="28" customHeight="1" spans="4:23">
      <c r="D3040" s="31">
        <v>46108</v>
      </c>
      <c r="E3040" s="29">
        <v>19175681</v>
      </c>
      <c r="F3040" s="29" t="s">
        <v>72</v>
      </c>
      <c r="G3040" s="29" t="s">
        <v>510</v>
      </c>
      <c r="H3040" s="29">
        <v>76</v>
      </c>
      <c r="I3040" s="29">
        <v>89</v>
      </c>
      <c r="J3040" s="29">
        <v>70</v>
      </c>
      <c r="K3040" s="29">
        <v>70</v>
      </c>
      <c r="L3040" s="29">
        <v>46</v>
      </c>
      <c r="M3040" s="29">
        <v>67</v>
      </c>
      <c r="N3040" s="29">
        <v>55</v>
      </c>
      <c r="O3040" s="32">
        <v>473</v>
      </c>
      <c r="P3040" s="29" cm="1">
        <f t="array" ref="P3040">IF(表成绩单[[#This Row],[语文]]="","",SUMPRODUCT((表成绩单[考试日期]=表成绩单[[#This Row],[考试日期]])*(表成绩单[语文]&lt;9E+307)*(表成绩单[语文]&gt;表成绩单[[#This Row],[语文]]))+1)</f>
        <v>713</v>
      </c>
      <c r="Q3040" s="29" cm="1">
        <f t="array" ref="Q3040">IF(表成绩单[[#This Row],[数学]]="","",SUMPRODUCT((表成绩单[考试日期]=表成绩单[[#This Row],[考试日期]])*(表成绩单[数学]&lt;9E+307)*(表成绩单[数学]&gt;表成绩单[[#This Row],[数学]]))+1)</f>
        <v>402</v>
      </c>
      <c r="R3040" s="29" cm="1">
        <f t="array" ref="R3040">IF(表成绩单[[#This Row],[英语]]="","",SUMPRODUCT((表成绩单[考试日期]=表成绩单[[#This Row],[考试日期]])*(表成绩单[英语]&lt;9E+307)*(表成绩单[英语]&gt;表成绩单[[#This Row],[英语]]))+1)</f>
        <v>542</v>
      </c>
      <c r="S3040" s="29" cm="1">
        <f t="array" ref="S3040">IF(表成绩单[[#This Row],[物理]]="","",SUMPRODUCT((表成绩单[考试日期]=表成绩单[[#This Row],[考试日期]])*(表成绩单[物理]&lt;9E+307)*(表成绩单[物理]&gt;表成绩单[[#This Row],[物理]]))+1)</f>
        <v>549</v>
      </c>
      <c r="T3040" s="29" cm="1">
        <f t="array" ref="T3040">IF(表成绩单[[#This Row],[化学]]="","",SUMPRODUCT((表成绩单[考试日期]=表成绩单[[#This Row],[考试日期]])*(表成绩单[化学]&lt;9E+307)*(表成绩单[化学]&gt;表成绩单[[#This Row],[化学]]))+1)</f>
        <v>678</v>
      </c>
      <c r="U3040" s="29" cm="1">
        <f t="array" ref="U3040">IF(表成绩单[[#This Row],[政治]]="","",SUMPRODUCT((表成绩单[考试日期]=表成绩单[[#This Row],[考试日期]])*(表成绩单[政治]&lt;9E+307)*(表成绩单[政治]&gt;表成绩单[[#This Row],[政治]]))+1)</f>
        <v>626</v>
      </c>
      <c r="V3040" s="29" cm="1">
        <f t="array" ref="V3040">IF(表成绩单[[#This Row],[历史]]="","",SUMPRODUCT((表成绩单[考试日期]=表成绩单[[#This Row],[考试日期]])*(表成绩单[历史]&lt;9E+307)*(表成绩单[历史]&gt;表成绩单[[#This Row],[历史]]))+1)</f>
        <v>742</v>
      </c>
      <c r="W3040" s="29" cm="1">
        <f t="array" ref="W3040">IF(表成绩单[[#This Row],[总分]]="","",SUMPRODUCT((表成绩单[考试日期]=表成绩单[[#This Row],[考试日期]])*(表成绩单[总分]&lt;9E+307)*(表成绩单[总分]&gt;表成绩单[[#This Row],[总分]]))+1)</f>
        <v>633</v>
      </c>
    </row>
    <row r="3041" ht="28" customHeight="1" spans="4:23">
      <c r="D3041" s="31">
        <v>46108</v>
      </c>
      <c r="E3041" s="29">
        <v>19175289</v>
      </c>
      <c r="F3041" s="29" t="s">
        <v>55</v>
      </c>
      <c r="G3041" s="29" t="s">
        <v>747</v>
      </c>
      <c r="H3041" s="29">
        <v>82</v>
      </c>
      <c r="I3041" s="29">
        <v>85</v>
      </c>
      <c r="J3041" s="29">
        <v>56</v>
      </c>
      <c r="K3041" s="29">
        <v>65</v>
      </c>
      <c r="L3041" s="29">
        <v>48</v>
      </c>
      <c r="M3041" s="29">
        <v>72</v>
      </c>
      <c r="N3041" s="29">
        <v>64</v>
      </c>
      <c r="O3041" s="32">
        <v>472</v>
      </c>
      <c r="P3041" s="29" cm="1">
        <f t="array" ref="P3041">IF(表成绩单[[#This Row],[语文]]="","",SUMPRODUCT((表成绩单[考试日期]=表成绩单[[#This Row],[考试日期]])*(表成绩单[语文]&lt;9E+307)*(表成绩单[语文]&gt;表成绩单[[#This Row],[语文]]))+1)</f>
        <v>657</v>
      </c>
      <c r="Q3041" s="29" cm="1">
        <f t="array" ref="Q3041">IF(表成绩单[[#This Row],[数学]]="","",SUMPRODUCT((表成绩单[考试日期]=表成绩单[[#This Row],[考试日期]])*(表成绩单[数学]&lt;9E+307)*(表成绩单[数学]&gt;表成绩单[[#This Row],[数学]]))+1)</f>
        <v>501</v>
      </c>
      <c r="R3041" s="29" cm="1">
        <f t="array" ref="R3041">IF(表成绩单[[#This Row],[英语]]="","",SUMPRODUCT((表成绩单[考试日期]=表成绩单[[#This Row],[考试日期]])*(表成绩单[英语]&lt;9E+307)*(表成绩单[英语]&gt;表成绩单[[#This Row],[英语]]))+1)</f>
        <v>681</v>
      </c>
      <c r="S3041" s="29" cm="1">
        <f t="array" ref="S3041">IF(表成绩单[[#This Row],[物理]]="","",SUMPRODUCT((表成绩单[考试日期]=表成绩单[[#This Row],[考试日期]])*(表成绩单[物理]&lt;9E+307)*(表成绩单[物理]&gt;表成绩单[[#This Row],[物理]]))+1)</f>
        <v>621</v>
      </c>
      <c r="T3041" s="29" cm="1">
        <f t="array" ref="T3041">IF(表成绩单[[#This Row],[化学]]="","",SUMPRODUCT((表成绩单[考试日期]=表成绩单[[#This Row],[考试日期]])*(表成绩单[化学]&lt;9E+307)*(表成绩单[化学]&gt;表成绩单[[#This Row],[化学]]))+1)</f>
        <v>654</v>
      </c>
      <c r="U3041" s="29" cm="1">
        <f t="array" ref="U3041">IF(表成绩单[[#This Row],[政治]]="","",SUMPRODUCT((表成绩单[考试日期]=表成绩单[[#This Row],[考试日期]])*(表成绩单[政治]&lt;9E+307)*(表成绩单[政治]&gt;表成绩单[[#This Row],[政治]]))+1)</f>
        <v>470</v>
      </c>
      <c r="V3041" s="29" cm="1">
        <f t="array" ref="V3041">IF(表成绩单[[#This Row],[历史]]="","",SUMPRODUCT((表成绩单[考试日期]=表成绩单[[#This Row],[考试日期]])*(表成绩单[历史]&lt;9E+307)*(表成绩单[历史]&gt;表成绩单[[#This Row],[历史]]))+1)</f>
        <v>666</v>
      </c>
      <c r="W3041" s="29" cm="1">
        <f t="array" ref="W3041">IF(表成绩单[[#This Row],[总分]]="","",SUMPRODUCT((表成绩单[考试日期]=表成绩单[[#This Row],[考试日期]])*(表成绩单[总分]&lt;9E+307)*(表成绩单[总分]&gt;表成绩单[[#This Row],[总分]]))+1)</f>
        <v>634</v>
      </c>
    </row>
    <row r="3042" ht="28" customHeight="1" spans="4:23">
      <c r="D3042" s="31">
        <v>46108</v>
      </c>
      <c r="E3042" s="29">
        <v>19175301</v>
      </c>
      <c r="F3042" s="29" t="s">
        <v>55</v>
      </c>
      <c r="G3042" s="29" t="s">
        <v>706</v>
      </c>
      <c r="H3042" s="29">
        <v>94</v>
      </c>
      <c r="I3042" s="29">
        <v>71</v>
      </c>
      <c r="J3042" s="29">
        <v>73.5</v>
      </c>
      <c r="K3042" s="29">
        <v>46</v>
      </c>
      <c r="L3042" s="29">
        <v>38</v>
      </c>
      <c r="M3042" s="29">
        <v>75</v>
      </c>
      <c r="N3042" s="29">
        <v>74</v>
      </c>
      <c r="O3042" s="32">
        <v>471.5</v>
      </c>
      <c r="P3042" s="29" cm="1">
        <f t="array" ref="P3042">IF(表成绩单[[#This Row],[语文]]="","",SUMPRODUCT((表成绩单[考试日期]=表成绩单[[#This Row],[考试日期]])*(表成绩单[语文]&lt;9E+307)*(表成绩单[语文]&gt;表成绩单[[#This Row],[语文]]))+1)</f>
        <v>449</v>
      </c>
      <c r="Q3042" s="29" cm="1">
        <f t="array" ref="Q3042">IF(表成绩单[[#This Row],[数学]]="","",SUMPRODUCT((表成绩单[考试日期]=表成绩单[[#This Row],[考试日期]])*(表成绩单[数学]&lt;9E+307)*(表成绩单[数学]&gt;表成绩单[[#This Row],[数学]]))+1)</f>
        <v>655</v>
      </c>
      <c r="R3042" s="29" cm="1">
        <f t="array" ref="R3042">IF(表成绩单[[#This Row],[英语]]="","",SUMPRODUCT((表成绩单[考试日期]=表成绩单[[#This Row],[考试日期]])*(表成绩单[英语]&lt;9E+307)*(表成绩单[英语]&gt;表成绩单[[#This Row],[英语]]))+1)</f>
        <v>473</v>
      </c>
      <c r="S3042" s="29" cm="1">
        <f t="array" ref="S3042">IF(表成绩单[[#This Row],[物理]]="","",SUMPRODUCT((表成绩单[考试日期]=表成绩单[[#This Row],[考试日期]])*(表成绩单[物理]&lt;9E+307)*(表成绩单[物理]&gt;表成绩单[[#This Row],[物理]]))+1)</f>
        <v>742</v>
      </c>
      <c r="T3042" s="29" cm="1">
        <f t="array" ref="T3042">IF(表成绩单[[#This Row],[化学]]="","",SUMPRODUCT((表成绩单[考试日期]=表成绩单[[#This Row],[考试日期]])*(表成绩单[化学]&lt;9E+307)*(表成绩单[化学]&gt;表成绩单[[#This Row],[化学]]))+1)</f>
        <v>736</v>
      </c>
      <c r="U3042" s="29" cm="1">
        <f t="array" ref="U3042">IF(表成绩单[[#This Row],[政治]]="","",SUMPRODUCT((表成绩单[考试日期]=表成绩单[[#This Row],[考试日期]])*(表成绩单[政治]&lt;9E+307)*(表成绩单[政治]&gt;表成绩单[[#This Row],[政治]]))+1)</f>
        <v>346</v>
      </c>
      <c r="V3042" s="29" cm="1">
        <f t="array" ref="V3042">IF(表成绩单[[#This Row],[历史]]="","",SUMPRODUCT((表成绩单[考试日期]=表成绩单[[#This Row],[考试日期]])*(表成绩单[历史]&lt;9E+307)*(表成绩单[历史]&gt;表成绩单[[#This Row],[历史]]))+1)</f>
        <v>389</v>
      </c>
      <c r="W3042" s="29" cm="1">
        <f t="array" ref="W3042">IF(表成绩单[[#This Row],[总分]]="","",SUMPRODUCT((表成绩单[考试日期]=表成绩单[[#This Row],[考试日期]])*(表成绩单[总分]&lt;9E+307)*(表成绩单[总分]&gt;表成绩单[[#This Row],[总分]]))+1)</f>
        <v>635</v>
      </c>
    </row>
    <row r="3043" ht="28" customHeight="1" spans="4:23">
      <c r="D3043" s="31">
        <v>46108</v>
      </c>
      <c r="E3043" s="29">
        <v>19178641</v>
      </c>
      <c r="F3043" s="29" t="s">
        <v>25</v>
      </c>
      <c r="G3043" s="29" t="s">
        <v>619</v>
      </c>
      <c r="H3043" s="29">
        <v>78</v>
      </c>
      <c r="I3043" s="29">
        <v>67</v>
      </c>
      <c r="J3043" s="29">
        <v>71.5</v>
      </c>
      <c r="K3043" s="29">
        <v>61</v>
      </c>
      <c r="L3043" s="29">
        <v>59</v>
      </c>
      <c r="M3043" s="29">
        <v>64</v>
      </c>
      <c r="N3043" s="29">
        <v>70</v>
      </c>
      <c r="O3043" s="32">
        <v>470.5</v>
      </c>
      <c r="P3043" s="29" cm="1">
        <f t="array" ref="P3043">IF(表成绩单[[#This Row],[语文]]="","",SUMPRODUCT((表成绩单[考试日期]=表成绩单[[#This Row],[考试日期]])*(表成绩单[语文]&lt;9E+307)*(表成绩单[语文]&gt;表成绩单[[#This Row],[语文]]))+1)</f>
        <v>700</v>
      </c>
      <c r="Q3043" s="29" cm="1">
        <f t="array" ref="Q3043">IF(表成绩单[[#This Row],[数学]]="","",SUMPRODUCT((表成绩单[考试日期]=表成绩单[[#This Row],[考试日期]])*(表成绩单[数学]&lt;9E+307)*(表成绩单[数学]&gt;表成绩单[[#This Row],[数学]]))+1)</f>
        <v>675</v>
      </c>
      <c r="R3043" s="29" cm="1">
        <f t="array" ref="R3043">IF(表成绩单[[#This Row],[英语]]="","",SUMPRODUCT((表成绩单[考试日期]=表成绩单[[#This Row],[考试日期]])*(表成绩单[英语]&lt;9E+307)*(表成绩单[英语]&gt;表成绩单[[#This Row],[英语]]))+1)</f>
        <v>509</v>
      </c>
      <c r="S3043" s="29" cm="1">
        <f t="array" ref="S3043">IF(表成绩单[[#This Row],[物理]]="","",SUMPRODUCT((表成绩单[考试日期]=表成绩单[[#This Row],[考试日期]])*(表成绩单[物理]&lt;9E+307)*(表成绩单[物理]&gt;表成绩单[[#This Row],[物理]]))+1)</f>
        <v>655</v>
      </c>
      <c r="T3043" s="29" cm="1">
        <f t="array" ref="T3043">IF(表成绩单[[#This Row],[化学]]="","",SUMPRODUCT((表成绩单[考试日期]=表成绩单[[#This Row],[考试日期]])*(表成绩单[化学]&lt;9E+307)*(表成绩单[化学]&gt;表成绩单[[#This Row],[化学]]))+1)</f>
        <v>510</v>
      </c>
      <c r="U3043" s="29" cm="1">
        <f t="array" ref="U3043">IF(表成绩单[[#This Row],[政治]]="","",SUMPRODUCT((表成绩单[考试日期]=表成绩单[[#This Row],[考试日期]])*(表成绩单[政治]&lt;9E+307)*(表成绩单[政治]&gt;表成绩单[[#This Row],[政治]]))+1)</f>
        <v>670</v>
      </c>
      <c r="V3043" s="29" cm="1">
        <f t="array" ref="V3043">IF(表成绩单[[#This Row],[历史]]="","",SUMPRODUCT((表成绩单[考试日期]=表成绩单[[#This Row],[考试日期]])*(表成绩单[历史]&lt;9E+307)*(表成绩单[历史]&gt;表成绩单[[#This Row],[历史]]))+1)</f>
        <v>539</v>
      </c>
      <c r="W3043" s="29" cm="1">
        <f t="array" ref="W3043">IF(表成绩单[[#This Row],[总分]]="","",SUMPRODUCT((表成绩单[考试日期]=表成绩单[[#This Row],[考试日期]])*(表成绩单[总分]&lt;9E+307)*(表成绩单[总分]&gt;表成绩单[[#This Row],[总分]]))+1)</f>
        <v>636</v>
      </c>
    </row>
    <row r="3044" ht="28" customHeight="1" spans="4:23">
      <c r="D3044" s="31">
        <v>46108</v>
      </c>
      <c r="E3044" s="29">
        <v>19175306</v>
      </c>
      <c r="F3044" s="29" t="s">
        <v>55</v>
      </c>
      <c r="G3044" s="29" t="s">
        <v>729</v>
      </c>
      <c r="H3044" s="29">
        <v>85</v>
      </c>
      <c r="I3044" s="29">
        <v>83</v>
      </c>
      <c r="J3044" s="29">
        <v>63</v>
      </c>
      <c r="K3044" s="29">
        <v>53</v>
      </c>
      <c r="L3044" s="29">
        <v>50</v>
      </c>
      <c r="M3044" s="29">
        <v>68</v>
      </c>
      <c r="N3044" s="29">
        <v>68</v>
      </c>
      <c r="O3044" s="32">
        <v>470</v>
      </c>
      <c r="P3044" s="29" cm="1">
        <f t="array" ref="P3044">IF(表成绩单[[#This Row],[语文]]="","",SUMPRODUCT((表成绩单[考试日期]=表成绩单[[#This Row],[考试日期]])*(表成绩单[语文]&lt;9E+307)*(表成绩单[语文]&gt;表成绩单[[#This Row],[语文]]))+1)</f>
        <v>626</v>
      </c>
      <c r="Q3044" s="29" cm="1">
        <f t="array" ref="Q3044">IF(表成绩单[[#This Row],[数学]]="","",SUMPRODUCT((表成绩单[考试日期]=表成绩单[[#This Row],[考试日期]])*(表成绩单[数学]&lt;9E+307)*(表成绩单[数学]&gt;表成绩单[[#This Row],[数学]]))+1)</f>
        <v>543</v>
      </c>
      <c r="R3044" s="29" cm="1">
        <f t="array" ref="R3044">IF(表成绩单[[#This Row],[英语]]="","",SUMPRODUCT((表成绩单[考试日期]=表成绩单[[#This Row],[考试日期]])*(表成绩单[英语]&lt;9E+307)*(表成绩单[英语]&gt;表成绩单[[#This Row],[英语]]))+1)</f>
        <v>627</v>
      </c>
      <c r="S3044" s="29" cm="1">
        <f t="array" ref="S3044">IF(表成绩单[[#This Row],[物理]]="","",SUMPRODUCT((表成绩单[考试日期]=表成绩单[[#This Row],[考试日期]])*(表成绩单[物理]&lt;9E+307)*(表成绩单[物理]&gt;表成绩单[[#This Row],[物理]]))+1)</f>
        <v>711</v>
      </c>
      <c r="T3044" s="29" cm="1">
        <f t="array" ref="T3044">IF(表成绩单[[#This Row],[化学]]="","",SUMPRODUCT((表成绩单[考试日期]=表成绩单[[#This Row],[考试日期]])*(表成绩单[化学]&lt;9E+307)*(表成绩单[化学]&gt;表成绩单[[#This Row],[化学]]))+1)</f>
        <v>632</v>
      </c>
      <c r="U3044" s="29" cm="1">
        <f t="array" ref="U3044">IF(表成绩单[[#This Row],[政治]]="","",SUMPRODUCT((表成绩单[考试日期]=表成绩单[[#This Row],[考试日期]])*(表成绩单[政治]&lt;9E+307)*(表成绩单[政治]&gt;表成绩单[[#This Row],[政治]]))+1)</f>
        <v>596</v>
      </c>
      <c r="V3044" s="29" cm="1">
        <f t="array" ref="V3044">IF(表成绩单[[#This Row],[历史]]="","",SUMPRODUCT((表成绩单[考试日期]=表成绩单[[#This Row],[考试日期]])*(表成绩单[历史]&lt;9E+307)*(表成绩单[历史]&gt;表成绩单[[#This Row],[历史]]))+1)</f>
        <v>599</v>
      </c>
      <c r="W3044" s="29" cm="1">
        <f t="array" ref="W3044">IF(表成绩单[[#This Row],[总分]]="","",SUMPRODUCT((表成绩单[考试日期]=表成绩单[[#This Row],[考试日期]])*(表成绩单[总分]&lt;9E+307)*(表成绩单[总分]&gt;表成绩单[[#This Row],[总分]]))+1)</f>
        <v>637</v>
      </c>
    </row>
    <row r="3045" ht="28" customHeight="1" spans="4:23">
      <c r="D3045" s="31">
        <v>46108</v>
      </c>
      <c r="E3045" s="29">
        <v>19173805</v>
      </c>
      <c r="F3045" s="29" t="s">
        <v>65</v>
      </c>
      <c r="G3045" s="29" t="s">
        <v>734</v>
      </c>
      <c r="H3045" s="29">
        <v>84</v>
      </c>
      <c r="I3045" s="29">
        <v>58</v>
      </c>
      <c r="J3045" s="29">
        <v>75.5</v>
      </c>
      <c r="K3045" s="29">
        <v>57</v>
      </c>
      <c r="L3045" s="29">
        <v>61</v>
      </c>
      <c r="M3045" s="29">
        <v>72</v>
      </c>
      <c r="N3045" s="29">
        <v>62</v>
      </c>
      <c r="O3045" s="32">
        <v>469.5</v>
      </c>
      <c r="P3045" s="29" cm="1">
        <f t="array" ref="P3045">IF(表成绩单[[#This Row],[语文]]="","",SUMPRODUCT((表成绩单[考试日期]=表成绩单[[#This Row],[考试日期]])*(表成绩单[语文]&lt;9E+307)*(表成绩单[语文]&gt;表成绩单[[#This Row],[语文]]))+1)</f>
        <v>638</v>
      </c>
      <c r="Q3045" s="29" cm="1">
        <f t="array" ref="Q3045">IF(表成绩单[[#This Row],[数学]]="","",SUMPRODUCT((表成绩单[考试日期]=表成绩单[[#This Row],[考试日期]])*(表成绩单[数学]&lt;9E+307)*(表成绩单[数学]&gt;表成绩单[[#This Row],[数学]]))+1)</f>
        <v>717</v>
      </c>
      <c r="R3045" s="29" cm="1">
        <f t="array" ref="R3045">IF(表成绩单[[#This Row],[英语]]="","",SUMPRODUCT((表成绩单[考试日期]=表成绩单[[#This Row],[考试日期]])*(表成绩单[英语]&lt;9E+307)*(表成绩单[英语]&gt;表成绩单[[#This Row],[英语]]))+1)</f>
        <v>421</v>
      </c>
      <c r="S3045" s="29" cm="1">
        <f t="array" ref="S3045">IF(表成绩单[[#This Row],[物理]]="","",SUMPRODUCT((表成绩单[考试日期]=表成绩单[[#This Row],[考试日期]])*(表成绩单[物理]&lt;9E+307)*(表成绩单[物理]&gt;表成绩单[[#This Row],[物理]]))+1)</f>
        <v>692</v>
      </c>
      <c r="T3045" s="29" cm="1">
        <f t="array" ref="T3045">IF(表成绩单[[#This Row],[化学]]="","",SUMPRODUCT((表成绩单[考试日期]=表成绩单[[#This Row],[考试日期]])*(表成绩单[化学]&lt;9E+307)*(表成绩单[化学]&gt;表成绩单[[#This Row],[化学]]))+1)</f>
        <v>467</v>
      </c>
      <c r="U3045" s="29" cm="1">
        <f t="array" ref="U3045">IF(表成绩单[[#This Row],[政治]]="","",SUMPRODUCT((表成绩单[考试日期]=表成绩单[[#This Row],[考试日期]])*(表成绩单[政治]&lt;9E+307)*(表成绩单[政治]&gt;表成绩单[[#This Row],[政治]]))+1)</f>
        <v>470</v>
      </c>
      <c r="V3045" s="29" cm="1">
        <f t="array" ref="V3045">IF(表成绩单[[#This Row],[历史]]="","",SUMPRODUCT((表成绩单[考试日期]=表成绩单[[#This Row],[考试日期]])*(表成绩单[历史]&lt;9E+307)*(表成绩单[历史]&gt;表成绩单[[#This Row],[历史]]))+1)</f>
        <v>699</v>
      </c>
      <c r="W3045" s="29" cm="1">
        <f t="array" ref="W3045">IF(表成绩单[[#This Row],[总分]]="","",SUMPRODUCT((表成绩单[考试日期]=表成绩单[[#This Row],[考试日期]])*(表成绩单[总分]&lt;9E+307)*(表成绩单[总分]&gt;表成绩单[[#This Row],[总分]]))+1)</f>
        <v>638</v>
      </c>
    </row>
    <row r="3046" ht="28" customHeight="1" spans="4:23">
      <c r="D3046" s="31">
        <v>46108</v>
      </c>
      <c r="E3046" s="29">
        <v>19173278</v>
      </c>
      <c r="F3046" s="29" t="s">
        <v>61</v>
      </c>
      <c r="G3046" s="29" t="s">
        <v>780</v>
      </c>
      <c r="H3046" s="29">
        <v>87</v>
      </c>
      <c r="I3046" s="29">
        <v>78</v>
      </c>
      <c r="J3046" s="29">
        <v>54</v>
      </c>
      <c r="K3046" s="29">
        <v>80</v>
      </c>
      <c r="L3046" s="29">
        <v>45</v>
      </c>
      <c r="M3046" s="29">
        <v>69</v>
      </c>
      <c r="N3046" s="29">
        <v>56</v>
      </c>
      <c r="O3046" s="32">
        <v>469</v>
      </c>
      <c r="P3046" s="29" cm="1">
        <f t="array" ref="P3046">IF(表成绩单[[#This Row],[语文]]="","",SUMPRODUCT((表成绩单[考试日期]=表成绩单[[#This Row],[考试日期]])*(表成绩单[语文]&lt;9E+307)*(表成绩单[语文]&gt;表成绩单[[#This Row],[语文]]))+1)</f>
        <v>599</v>
      </c>
      <c r="Q3046" s="29" cm="1">
        <f t="array" ref="Q3046">IF(表成绩单[[#This Row],[数学]]="","",SUMPRODUCT((表成绩单[考试日期]=表成绩单[[#This Row],[考试日期]])*(表成绩单[数学]&lt;9E+307)*(表成绩单[数学]&gt;表成绩单[[#This Row],[数学]]))+1)</f>
        <v>604</v>
      </c>
      <c r="R3046" s="29" cm="1">
        <f t="array" ref="R3046">IF(表成绩单[[#This Row],[英语]]="","",SUMPRODUCT((表成绩单[考试日期]=表成绩单[[#This Row],[考试日期]])*(表成绩单[英语]&lt;9E+307)*(表成绩单[英语]&gt;表成绩单[[#This Row],[英语]]))+1)</f>
        <v>691</v>
      </c>
      <c r="S3046" s="29" cm="1">
        <f t="array" ref="S3046">IF(表成绩单[[#This Row],[物理]]="","",SUMPRODUCT((表成绩单[考试日期]=表成绩单[[#This Row],[考试日期]])*(表成绩单[物理]&lt;9E+307)*(表成绩单[物理]&gt;表成绩单[[#This Row],[物理]]))+1)</f>
        <v>305</v>
      </c>
      <c r="T3046" s="29" cm="1">
        <f t="array" ref="T3046">IF(表成绩单[[#This Row],[化学]]="","",SUMPRODUCT((表成绩单[考试日期]=表成绩单[[#This Row],[考试日期]])*(表成绩单[化学]&lt;9E+307)*(表成绩单[化学]&gt;表成绩单[[#This Row],[化学]]))+1)</f>
        <v>686</v>
      </c>
      <c r="U3046" s="29" cm="1">
        <f t="array" ref="U3046">IF(表成绩单[[#This Row],[政治]]="","",SUMPRODUCT((表成绩单[考试日期]=表成绩单[[#This Row],[考试日期]])*(表成绩单[政治]&lt;9E+307)*(表成绩单[政治]&gt;表成绩单[[#This Row],[政治]]))+1)</f>
        <v>567</v>
      </c>
      <c r="V3046" s="29" cm="1">
        <f t="array" ref="V3046">IF(表成绩单[[#This Row],[历史]]="","",SUMPRODUCT((表成绩单[考试日期]=表成绩单[[#This Row],[考试日期]])*(表成绩单[历史]&lt;9E+307)*(表成绩单[历史]&gt;表成绩单[[#This Row],[历史]]))+1)</f>
        <v>741</v>
      </c>
      <c r="W3046" s="29" cm="1">
        <f t="array" ref="W3046">IF(表成绩单[[#This Row],[总分]]="","",SUMPRODUCT((表成绩单[考试日期]=表成绩单[[#This Row],[考试日期]])*(表成绩单[总分]&lt;9E+307)*(表成绩单[总分]&gt;表成绩单[[#This Row],[总分]]))+1)</f>
        <v>639</v>
      </c>
    </row>
    <row r="3047" ht="28" customHeight="1" spans="4:23">
      <c r="D3047" s="31">
        <v>46108</v>
      </c>
      <c r="E3047" s="29">
        <v>26756399</v>
      </c>
      <c r="F3047" s="29" t="s">
        <v>58</v>
      </c>
      <c r="G3047" s="29" t="s">
        <v>610</v>
      </c>
      <c r="H3047" s="29">
        <v>92</v>
      </c>
      <c r="I3047" s="29">
        <v>83</v>
      </c>
      <c r="J3047" s="29">
        <v>59</v>
      </c>
      <c r="K3047" s="29">
        <v>58</v>
      </c>
      <c r="L3047" s="29">
        <v>45</v>
      </c>
      <c r="M3047" s="29">
        <v>66</v>
      </c>
      <c r="N3047" s="29">
        <v>66</v>
      </c>
      <c r="O3047" s="32">
        <v>469</v>
      </c>
      <c r="P3047" s="29" cm="1">
        <f t="array" ref="P3047">IF(表成绩单[[#This Row],[语文]]="","",SUMPRODUCT((表成绩单[考试日期]=表成绩单[[#This Row],[考试日期]])*(表成绩单[语文]&lt;9E+307)*(表成绩单[语文]&gt;表成绩单[[#This Row],[语文]]))+1)</f>
        <v>494</v>
      </c>
      <c r="Q3047" s="29" cm="1">
        <f t="array" ref="Q3047">IF(表成绩单[[#This Row],[数学]]="","",SUMPRODUCT((表成绩单[考试日期]=表成绩单[[#This Row],[考试日期]])*(表成绩单[数学]&lt;9E+307)*(表成绩单[数学]&gt;表成绩单[[#This Row],[数学]]))+1)</f>
        <v>543</v>
      </c>
      <c r="R3047" s="29" cm="1">
        <f t="array" ref="R3047">IF(表成绩单[[#This Row],[英语]]="","",SUMPRODUCT((表成绩单[考试日期]=表成绩单[[#This Row],[考试日期]])*(表成绩单[英语]&lt;9E+307)*(表成绩单[英语]&gt;表成绩单[[#This Row],[英语]]))+1)</f>
        <v>662</v>
      </c>
      <c r="S3047" s="29" cm="1">
        <f t="array" ref="S3047">IF(表成绩单[[#This Row],[物理]]="","",SUMPRODUCT((表成绩单[考试日期]=表成绩单[[#This Row],[考试日期]])*(表成绩单[物理]&lt;9E+307)*(表成绩单[物理]&gt;表成绩单[[#This Row],[物理]]))+1)</f>
        <v>680</v>
      </c>
      <c r="T3047" s="29" cm="1">
        <f t="array" ref="T3047">IF(表成绩单[[#This Row],[化学]]="","",SUMPRODUCT((表成绩单[考试日期]=表成绩单[[#This Row],[考试日期]])*(表成绩单[化学]&lt;9E+307)*(表成绩单[化学]&gt;表成绩单[[#This Row],[化学]]))+1)</f>
        <v>686</v>
      </c>
      <c r="U3047" s="29" cm="1">
        <f t="array" ref="U3047">IF(表成绩单[[#This Row],[政治]]="","",SUMPRODUCT((表成绩单[考试日期]=表成绩单[[#This Row],[考试日期]])*(表成绩单[政治]&lt;9E+307)*(表成绩单[政治]&gt;表成绩单[[#This Row],[政治]]))+1)</f>
        <v>642</v>
      </c>
      <c r="V3047" s="29" cm="1">
        <f t="array" ref="V3047">IF(表成绩单[[#This Row],[历史]]="","",SUMPRODUCT((表成绩单[考试日期]=表成绩单[[#This Row],[考试日期]])*(表成绩单[历史]&lt;9E+307)*(表成绩单[历史]&gt;表成绩单[[#This Row],[历史]]))+1)</f>
        <v>637</v>
      </c>
      <c r="W3047" s="29" cm="1">
        <f t="array" ref="W3047">IF(表成绩单[[#This Row],[总分]]="","",SUMPRODUCT((表成绩单[考试日期]=表成绩单[[#This Row],[考试日期]])*(表成绩单[总分]&lt;9E+307)*(表成绩单[总分]&gt;表成绩单[[#This Row],[总分]]))+1)</f>
        <v>639</v>
      </c>
    </row>
    <row r="3048" ht="28" customHeight="1" spans="4:23">
      <c r="D3048" s="31">
        <v>46108</v>
      </c>
      <c r="E3048" s="29">
        <v>19176002</v>
      </c>
      <c r="F3048" s="29" t="s">
        <v>59</v>
      </c>
      <c r="G3048" s="29" t="s">
        <v>792</v>
      </c>
      <c r="H3048" s="29">
        <v>79</v>
      </c>
      <c r="I3048" s="29">
        <v>75</v>
      </c>
      <c r="J3048" s="29">
        <v>45.5</v>
      </c>
      <c r="K3048" s="29">
        <v>68</v>
      </c>
      <c r="L3048" s="29">
        <v>50</v>
      </c>
      <c r="M3048" s="29">
        <v>73</v>
      </c>
      <c r="N3048" s="29">
        <v>78</v>
      </c>
      <c r="O3048" s="32">
        <v>468.5</v>
      </c>
      <c r="P3048" s="29" cm="1">
        <f t="array" ref="P3048">IF(表成绩单[[#This Row],[语文]]="","",SUMPRODUCT((表成绩单[考试日期]=表成绩单[[#This Row],[考试日期]])*(表成绩单[语文]&lt;9E+307)*(表成绩单[语文]&gt;表成绩单[[#This Row],[语文]]))+1)</f>
        <v>690</v>
      </c>
      <c r="Q3048" s="29" cm="1">
        <f t="array" ref="Q3048">IF(表成绩单[[#This Row],[数学]]="","",SUMPRODUCT((表成绩单[考试日期]=表成绩单[[#This Row],[考试日期]])*(表成绩单[数学]&lt;9E+307)*(表成绩单[数学]&gt;表成绩单[[#This Row],[数学]]))+1)</f>
        <v>630</v>
      </c>
      <c r="R3048" s="29" cm="1">
        <f t="array" ref="R3048">IF(表成绩单[[#This Row],[英语]]="","",SUMPRODUCT((表成绩单[考试日期]=表成绩单[[#This Row],[考试日期]])*(表成绩单[英语]&lt;9E+307)*(表成绩单[英语]&gt;表成绩单[[#This Row],[英语]]))+1)</f>
        <v>725</v>
      </c>
      <c r="S3048" s="29" cm="1">
        <f t="array" ref="S3048">IF(表成绩单[[#This Row],[物理]]="","",SUMPRODUCT((表成绩单[考试日期]=表成绩单[[#This Row],[考试日期]])*(表成绩单[物理]&lt;9E+307)*(表成绩单[物理]&gt;表成绩单[[#This Row],[物理]]))+1)</f>
        <v>581</v>
      </c>
      <c r="T3048" s="29" cm="1">
        <f t="array" ref="T3048">IF(表成绩单[[#This Row],[化学]]="","",SUMPRODUCT((表成绩单[考试日期]=表成绩单[[#This Row],[考试日期]])*(表成绩单[化学]&lt;9E+307)*(表成绩单[化学]&gt;表成绩单[[#This Row],[化学]]))+1)</f>
        <v>632</v>
      </c>
      <c r="U3048" s="29" cm="1">
        <f t="array" ref="U3048">IF(表成绩单[[#This Row],[政治]]="","",SUMPRODUCT((表成绩单[考试日期]=表成绩单[[#This Row],[考试日期]])*(表成绩单[政治]&lt;9E+307)*(表成绩单[政治]&gt;表成绩单[[#This Row],[政治]]))+1)</f>
        <v>431</v>
      </c>
      <c r="V3048" s="29" cm="1">
        <f t="array" ref="V3048">IF(表成绩单[[#This Row],[历史]]="","",SUMPRODUCT((表成绩单[考试日期]=表成绩单[[#This Row],[考试日期]])*(表成绩单[历史]&lt;9E+307)*(表成绩单[历史]&gt;表成绩单[[#This Row],[历史]]))+1)</f>
        <v>222</v>
      </c>
      <c r="W3048" s="29" cm="1">
        <f t="array" ref="W3048">IF(表成绩单[[#This Row],[总分]]="","",SUMPRODUCT((表成绩单[考试日期]=表成绩单[[#This Row],[考试日期]])*(表成绩单[总分]&lt;9E+307)*(表成绩单[总分]&gt;表成绩单[[#This Row],[总分]]))+1)</f>
        <v>641</v>
      </c>
    </row>
    <row r="3049" ht="28" customHeight="1" spans="4:23">
      <c r="D3049" s="31">
        <v>46108</v>
      </c>
      <c r="E3049" s="29">
        <v>19178631</v>
      </c>
      <c r="F3049" s="29" t="s">
        <v>25</v>
      </c>
      <c r="G3049" s="29" t="s">
        <v>743</v>
      </c>
      <c r="H3049" s="29">
        <v>80</v>
      </c>
      <c r="I3049" s="29">
        <v>78</v>
      </c>
      <c r="J3049" s="29">
        <v>41.5</v>
      </c>
      <c r="K3049" s="29">
        <v>73</v>
      </c>
      <c r="L3049" s="29">
        <v>65</v>
      </c>
      <c r="M3049" s="29">
        <v>63</v>
      </c>
      <c r="N3049" s="29">
        <v>67</v>
      </c>
      <c r="O3049" s="32">
        <v>467.5</v>
      </c>
      <c r="P3049" s="29" cm="1">
        <f t="array" ref="P3049">IF(表成绩单[[#This Row],[语文]]="","",SUMPRODUCT((表成绩单[考试日期]=表成绩单[[#This Row],[考试日期]])*(表成绩单[语文]&lt;9E+307)*(表成绩单[语文]&gt;表成绩单[[#This Row],[语文]]))+1)</f>
        <v>679</v>
      </c>
      <c r="Q3049" s="29" cm="1">
        <f t="array" ref="Q3049">IF(表成绩单[[#This Row],[数学]]="","",SUMPRODUCT((表成绩单[考试日期]=表成绩单[[#This Row],[考试日期]])*(表成绩单[数学]&lt;9E+307)*(表成绩单[数学]&gt;表成绩单[[#This Row],[数学]]))+1)</f>
        <v>604</v>
      </c>
      <c r="R3049" s="29" cm="1">
        <f t="array" ref="R3049">IF(表成绩单[[#This Row],[英语]]="","",SUMPRODUCT((表成绩单[考试日期]=表成绩单[[#This Row],[考试日期]])*(表成绩单[英语]&lt;9E+307)*(表成绩单[英语]&gt;表成绩单[[#This Row],[英语]]))+1)</f>
        <v>737</v>
      </c>
      <c r="S3049" s="29" cm="1">
        <f t="array" ref="S3049">IF(表成绩单[[#This Row],[物理]]="","",SUMPRODUCT((表成绩单[考试日期]=表成绩单[[#This Row],[考试日期]])*(表成绩单[物理]&lt;9E+307)*(表成绩单[物理]&gt;表成绩单[[#This Row],[物理]]))+1)</f>
        <v>500</v>
      </c>
      <c r="T3049" s="29" cm="1">
        <f t="array" ref="T3049">IF(表成绩单[[#This Row],[化学]]="","",SUMPRODUCT((表成绩单[考试日期]=表成绩单[[#This Row],[考试日期]])*(表成绩单[化学]&lt;9E+307)*(表成绩单[化学]&gt;表成绩单[[#This Row],[化学]]))+1)</f>
        <v>379</v>
      </c>
      <c r="U3049" s="29" cm="1">
        <f t="array" ref="U3049">IF(表成绩单[[#This Row],[政治]]="","",SUMPRODUCT((表成绩单[考试日期]=表成绩单[[#This Row],[考试日期]])*(表成绩单[政治]&lt;9E+307)*(表成绩单[政治]&gt;表成绩单[[#This Row],[政治]]))+1)</f>
        <v>680</v>
      </c>
      <c r="V3049" s="29" cm="1">
        <f t="array" ref="V3049">IF(表成绩单[[#This Row],[历史]]="","",SUMPRODUCT((表成绩单[考试日期]=表成绩单[[#This Row],[考试日期]])*(表成绩单[历史]&lt;9E+307)*(表成绩单[历史]&gt;表成绩单[[#This Row],[历史]]))+1)</f>
        <v>623</v>
      </c>
      <c r="W3049" s="29" cm="1">
        <f t="array" ref="W3049">IF(表成绩单[[#This Row],[总分]]="","",SUMPRODUCT((表成绩单[考试日期]=表成绩单[[#This Row],[考试日期]])*(表成绩单[总分]&lt;9E+307)*(表成绩单[总分]&gt;表成绩单[[#This Row],[总分]]))+1)</f>
        <v>642</v>
      </c>
    </row>
    <row r="3050" ht="28" customHeight="1" spans="4:23">
      <c r="D3050" s="31">
        <v>46108</v>
      </c>
      <c r="E3050" s="29">
        <v>19175610</v>
      </c>
      <c r="F3050" s="29" t="s">
        <v>57</v>
      </c>
      <c r="G3050" s="29" t="s">
        <v>596</v>
      </c>
      <c r="H3050" s="29">
        <v>88</v>
      </c>
      <c r="I3050" s="29">
        <v>71</v>
      </c>
      <c r="J3050" s="29">
        <v>62</v>
      </c>
      <c r="K3050" s="29">
        <v>65</v>
      </c>
      <c r="L3050" s="29">
        <v>53</v>
      </c>
      <c r="M3050" s="29">
        <v>73</v>
      </c>
      <c r="N3050" s="29">
        <v>55</v>
      </c>
      <c r="O3050" s="32">
        <v>467</v>
      </c>
      <c r="P3050" s="29" cm="1">
        <f t="array" ref="P3050">IF(表成绩单[[#This Row],[语文]]="","",SUMPRODUCT((表成绩单[考试日期]=表成绩单[[#This Row],[考试日期]])*(表成绩单[语文]&lt;9E+307)*(表成绩单[语文]&gt;表成绩单[[#This Row],[语文]]))+1)</f>
        <v>575</v>
      </c>
      <c r="Q3050" s="29" cm="1">
        <f t="array" ref="Q3050">IF(表成绩单[[#This Row],[数学]]="","",SUMPRODUCT((表成绩单[考试日期]=表成绩单[[#This Row],[考试日期]])*(表成绩单[数学]&lt;9E+307)*(表成绩单[数学]&gt;表成绩单[[#This Row],[数学]]))+1)</f>
        <v>655</v>
      </c>
      <c r="R3050" s="29" cm="1">
        <f t="array" ref="R3050">IF(表成绩单[[#This Row],[英语]]="","",SUMPRODUCT((表成绩单[考试日期]=表成绩单[[#This Row],[考试日期]])*(表成绩单[英语]&lt;9E+307)*(表成绩单[英语]&gt;表成绩单[[#This Row],[英语]]))+1)</f>
        <v>638</v>
      </c>
      <c r="S3050" s="29" cm="1">
        <f t="array" ref="S3050">IF(表成绩单[[#This Row],[物理]]="","",SUMPRODUCT((表成绩单[考试日期]=表成绩单[[#This Row],[考试日期]])*(表成绩单[物理]&lt;9E+307)*(表成绩单[物理]&gt;表成绩单[[#This Row],[物理]]))+1)</f>
        <v>621</v>
      </c>
      <c r="T3050" s="29" cm="1">
        <f t="array" ref="T3050">IF(表成绩单[[#This Row],[化学]]="","",SUMPRODUCT((表成绩单[考试日期]=表成绩单[[#This Row],[考试日期]])*(表成绩单[化学]&lt;9E+307)*(表成绩单[化学]&gt;表成绩单[[#This Row],[化学]]))+1)</f>
        <v>601</v>
      </c>
      <c r="U3050" s="29" cm="1">
        <f t="array" ref="U3050">IF(表成绩单[[#This Row],[政治]]="","",SUMPRODUCT((表成绩单[考试日期]=表成绩单[[#This Row],[考试日期]])*(表成绩单[政治]&lt;9E+307)*(表成绩单[政治]&gt;表成绩单[[#This Row],[政治]]))+1)</f>
        <v>431</v>
      </c>
      <c r="V3050" s="29" cm="1">
        <f t="array" ref="V3050">IF(表成绩单[[#This Row],[历史]]="","",SUMPRODUCT((表成绩单[考试日期]=表成绩单[[#This Row],[考试日期]])*(表成绩单[历史]&lt;9E+307)*(表成绩单[历史]&gt;表成绩单[[#This Row],[历史]]))+1)</f>
        <v>742</v>
      </c>
      <c r="W3050" s="29" cm="1">
        <f t="array" ref="W3050">IF(表成绩单[[#This Row],[总分]]="","",SUMPRODUCT((表成绩单[考试日期]=表成绩单[[#This Row],[考试日期]])*(表成绩单[总分]&lt;9E+307)*(表成绩单[总分]&gt;表成绩单[[#This Row],[总分]]))+1)</f>
        <v>643</v>
      </c>
    </row>
    <row r="3051" ht="28" customHeight="1" spans="4:23">
      <c r="D3051" s="31">
        <v>46108</v>
      </c>
      <c r="E3051" s="29">
        <v>26752435</v>
      </c>
      <c r="F3051" s="29" t="s">
        <v>59</v>
      </c>
      <c r="G3051" s="29" t="s">
        <v>731</v>
      </c>
      <c r="H3051" s="29">
        <v>88</v>
      </c>
      <c r="I3051" s="29">
        <v>77</v>
      </c>
      <c r="J3051" s="29">
        <v>48</v>
      </c>
      <c r="K3051" s="29">
        <v>68</v>
      </c>
      <c r="L3051" s="29">
        <v>50</v>
      </c>
      <c r="M3051" s="29">
        <v>70</v>
      </c>
      <c r="N3051" s="29">
        <v>66</v>
      </c>
      <c r="O3051" s="32">
        <v>467</v>
      </c>
      <c r="P3051" s="29" cm="1">
        <f t="array" ref="P3051">IF(表成绩单[[#This Row],[语文]]="","",SUMPRODUCT((表成绩单[考试日期]=表成绩单[[#This Row],[考试日期]])*(表成绩单[语文]&lt;9E+307)*(表成绩单[语文]&gt;表成绩单[[#This Row],[语文]]))+1)</f>
        <v>575</v>
      </c>
      <c r="Q3051" s="29" cm="1">
        <f t="array" ref="Q3051">IF(表成绩单[[#This Row],[数学]]="","",SUMPRODUCT((表成绩单[考试日期]=表成绩单[[#This Row],[考试日期]])*(表成绩单[数学]&lt;9E+307)*(表成绩单[数学]&gt;表成绩单[[#This Row],[数学]]))+1)</f>
        <v>617</v>
      </c>
      <c r="R3051" s="29" cm="1">
        <f t="array" ref="R3051">IF(表成绩单[[#This Row],[英语]]="","",SUMPRODUCT((表成绩单[考试日期]=表成绩单[[#This Row],[考试日期]])*(表成绩单[英语]&lt;9E+307)*(表成绩单[英语]&gt;表成绩单[[#This Row],[英语]]))+1)</f>
        <v>717</v>
      </c>
      <c r="S3051" s="29" cm="1">
        <f t="array" ref="S3051">IF(表成绩单[[#This Row],[物理]]="","",SUMPRODUCT((表成绩单[考试日期]=表成绩单[[#This Row],[考试日期]])*(表成绩单[物理]&lt;9E+307)*(表成绩单[物理]&gt;表成绩单[[#This Row],[物理]]))+1)</f>
        <v>581</v>
      </c>
      <c r="T3051" s="29" cm="1">
        <f t="array" ref="T3051">IF(表成绩单[[#This Row],[化学]]="","",SUMPRODUCT((表成绩单[考试日期]=表成绩单[[#This Row],[考试日期]])*(表成绩单[化学]&lt;9E+307)*(表成绩单[化学]&gt;表成绩单[[#This Row],[化学]]))+1)</f>
        <v>632</v>
      </c>
      <c r="U3051" s="29" cm="1">
        <f t="array" ref="U3051">IF(表成绩单[[#This Row],[政治]]="","",SUMPRODUCT((表成绩单[考试日期]=表成绩单[[#This Row],[考试日期]])*(表成绩单[政治]&lt;9E+307)*(表成绩单[政治]&gt;表成绩单[[#This Row],[政治]]))+1)</f>
        <v>548</v>
      </c>
      <c r="V3051" s="29" cm="1">
        <f t="array" ref="V3051">IF(表成绩单[[#This Row],[历史]]="","",SUMPRODUCT((表成绩单[考试日期]=表成绩单[[#This Row],[考试日期]])*(表成绩单[历史]&lt;9E+307)*(表成绩单[历史]&gt;表成绩单[[#This Row],[历史]]))+1)</f>
        <v>637</v>
      </c>
      <c r="W3051" s="29" cm="1">
        <f t="array" ref="W3051">IF(表成绩单[[#This Row],[总分]]="","",SUMPRODUCT((表成绩单[考试日期]=表成绩单[[#This Row],[考试日期]])*(表成绩单[总分]&lt;9E+307)*(表成绩单[总分]&gt;表成绩单[[#This Row],[总分]]))+1)</f>
        <v>643</v>
      </c>
    </row>
    <row r="3052" ht="28" customHeight="1" spans="4:23">
      <c r="D3052" s="31">
        <v>46108</v>
      </c>
      <c r="E3052" s="29">
        <v>19172629</v>
      </c>
      <c r="F3052" s="29" t="s">
        <v>60</v>
      </c>
      <c r="G3052" s="29" t="s">
        <v>693</v>
      </c>
      <c r="H3052" s="29">
        <v>86</v>
      </c>
      <c r="I3052" s="29">
        <v>62</v>
      </c>
      <c r="J3052" s="29">
        <v>66</v>
      </c>
      <c r="K3052" s="29">
        <v>61</v>
      </c>
      <c r="L3052" s="29">
        <v>46</v>
      </c>
      <c r="M3052" s="29">
        <v>70</v>
      </c>
      <c r="N3052" s="29">
        <v>75</v>
      </c>
      <c r="O3052" s="32">
        <v>466</v>
      </c>
      <c r="P3052" s="29" cm="1">
        <f t="array" ref="P3052">IF(表成绩单[[#This Row],[语文]]="","",SUMPRODUCT((表成绩单[考试日期]=表成绩单[[#This Row],[考试日期]])*(表成绩单[语文]&lt;9E+307)*(表成绩单[语文]&gt;表成绩单[[#This Row],[语文]]))+1)</f>
        <v>610</v>
      </c>
      <c r="Q3052" s="29" cm="1">
        <f t="array" ref="Q3052">IF(表成绩单[[#This Row],[数学]]="","",SUMPRODUCT((表成绩单[考试日期]=表成绩单[[#This Row],[考试日期]])*(表成绩单[数学]&lt;9E+307)*(表成绩单[数学]&gt;表成绩单[[#This Row],[数学]]))+1)</f>
        <v>697</v>
      </c>
      <c r="R3052" s="29" cm="1">
        <f t="array" ref="R3052">IF(表成绩单[[#This Row],[英语]]="","",SUMPRODUCT((表成绩单[考试日期]=表成绩单[[#This Row],[考试日期]])*(表成绩单[英语]&lt;9E+307)*(表成绩单[英语]&gt;表成绩单[[#This Row],[英语]]))+1)</f>
        <v>593</v>
      </c>
      <c r="S3052" s="29" cm="1">
        <f t="array" ref="S3052">IF(表成绩单[[#This Row],[物理]]="","",SUMPRODUCT((表成绩单[考试日期]=表成绩单[[#This Row],[考试日期]])*(表成绩单[物理]&lt;9E+307)*(表成绩单[物理]&gt;表成绩单[[#This Row],[物理]]))+1)</f>
        <v>655</v>
      </c>
      <c r="T3052" s="29" cm="1">
        <f t="array" ref="T3052">IF(表成绩单[[#This Row],[化学]]="","",SUMPRODUCT((表成绩单[考试日期]=表成绩单[[#This Row],[考试日期]])*(表成绩单[化学]&lt;9E+307)*(表成绩单[化学]&gt;表成绩单[[#This Row],[化学]]))+1)</f>
        <v>678</v>
      </c>
      <c r="U3052" s="29" cm="1">
        <f t="array" ref="U3052">IF(表成绩单[[#This Row],[政治]]="","",SUMPRODUCT((表成绩单[考试日期]=表成绩单[[#This Row],[考试日期]])*(表成绩单[政治]&lt;9E+307)*(表成绩单[政治]&gt;表成绩单[[#This Row],[政治]]))+1)</f>
        <v>548</v>
      </c>
      <c r="V3052" s="29" cm="1">
        <f t="array" ref="V3052">IF(表成绩单[[#This Row],[历史]]="","",SUMPRODUCT((表成绩单[考试日期]=表成绩单[[#This Row],[考试日期]])*(表成绩单[历史]&lt;9E+307)*(表成绩单[历史]&gt;表成绩单[[#This Row],[历史]]))+1)</f>
        <v>354</v>
      </c>
      <c r="W3052" s="29" cm="1">
        <f t="array" ref="W3052">IF(表成绩单[[#This Row],[总分]]="","",SUMPRODUCT((表成绩单[考试日期]=表成绩单[[#This Row],[考试日期]])*(表成绩单[总分]&lt;9E+307)*(表成绩单[总分]&gt;表成绩单[[#This Row],[总分]]))+1)</f>
        <v>645</v>
      </c>
    </row>
    <row r="3053" ht="28" customHeight="1" spans="4:23">
      <c r="D3053" s="31">
        <v>46108</v>
      </c>
      <c r="E3053" s="29">
        <v>19172655</v>
      </c>
      <c r="F3053" s="29" t="s">
        <v>60</v>
      </c>
      <c r="G3053" s="29" t="s">
        <v>789</v>
      </c>
      <c r="H3053" s="29">
        <v>81</v>
      </c>
      <c r="I3053" s="29">
        <v>78</v>
      </c>
      <c r="J3053" s="29">
        <v>50.5</v>
      </c>
      <c r="K3053" s="29">
        <v>70</v>
      </c>
      <c r="L3053" s="29">
        <v>43</v>
      </c>
      <c r="M3053" s="29">
        <v>69</v>
      </c>
      <c r="N3053" s="29">
        <v>74</v>
      </c>
      <c r="O3053" s="32">
        <v>465.5</v>
      </c>
      <c r="P3053" s="29" cm="1">
        <f t="array" ref="P3053">IF(表成绩单[[#This Row],[语文]]="","",SUMPRODUCT((表成绩单[考试日期]=表成绩单[[#This Row],[考试日期]])*(表成绩单[语文]&lt;9E+307)*(表成绩单[语文]&gt;表成绩单[[#This Row],[语文]]))+1)</f>
        <v>669</v>
      </c>
      <c r="Q3053" s="29" cm="1">
        <f t="array" ref="Q3053">IF(表成绩单[[#This Row],[数学]]="","",SUMPRODUCT((表成绩单[考试日期]=表成绩单[[#This Row],[考试日期]])*(表成绩单[数学]&lt;9E+307)*(表成绩单[数学]&gt;表成绩单[[#This Row],[数学]]))+1)</f>
        <v>604</v>
      </c>
      <c r="R3053" s="29" cm="1">
        <f t="array" ref="R3053">IF(表成绩单[[#This Row],[英语]]="","",SUMPRODUCT((表成绩单[考试日期]=表成绩单[[#This Row],[考试日期]])*(表成绩单[英语]&lt;9E+307)*(表成绩单[英语]&gt;表成绩单[[#This Row],[英语]]))+1)</f>
        <v>707</v>
      </c>
      <c r="S3053" s="29" cm="1">
        <f t="array" ref="S3053">IF(表成绩单[[#This Row],[物理]]="","",SUMPRODUCT((表成绩单[考试日期]=表成绩单[[#This Row],[考试日期]])*(表成绩单[物理]&lt;9E+307)*(表成绩单[物理]&gt;表成绩单[[#This Row],[物理]]))+1)</f>
        <v>549</v>
      </c>
      <c r="T3053" s="29" cm="1">
        <f t="array" ref="T3053">IF(表成绩单[[#This Row],[化学]]="","",SUMPRODUCT((表成绩单[考试日期]=表成绩单[[#This Row],[考试日期]])*(表成绩单[化学]&lt;9E+307)*(表成绩单[化学]&gt;表成绩单[[#This Row],[化学]]))+1)</f>
        <v>706</v>
      </c>
      <c r="U3053" s="29" cm="1">
        <f t="array" ref="U3053">IF(表成绩单[[#This Row],[政治]]="","",SUMPRODUCT((表成绩单[考试日期]=表成绩单[[#This Row],[考试日期]])*(表成绩单[政治]&lt;9E+307)*(表成绩单[政治]&gt;表成绩单[[#This Row],[政治]]))+1)</f>
        <v>567</v>
      </c>
      <c r="V3053" s="29" cm="1">
        <f t="array" ref="V3053">IF(表成绩单[[#This Row],[历史]]="","",SUMPRODUCT((表成绩单[考试日期]=表成绩单[[#This Row],[考试日期]])*(表成绩单[历史]&lt;9E+307)*(表成绩单[历史]&gt;表成绩单[[#This Row],[历史]]))+1)</f>
        <v>389</v>
      </c>
      <c r="W3053" s="29" cm="1">
        <f t="array" ref="W3053">IF(表成绩单[[#This Row],[总分]]="","",SUMPRODUCT((表成绩单[考试日期]=表成绩单[[#This Row],[考试日期]])*(表成绩单[总分]&lt;9E+307)*(表成绩单[总分]&gt;表成绩单[[#This Row],[总分]]))+1)</f>
        <v>646</v>
      </c>
    </row>
    <row r="3054" ht="28" customHeight="1" spans="4:23">
      <c r="D3054" s="31">
        <v>46108</v>
      </c>
      <c r="E3054" s="29">
        <v>19178579</v>
      </c>
      <c r="F3054" s="29" t="s">
        <v>64</v>
      </c>
      <c r="G3054" s="29" t="s">
        <v>762</v>
      </c>
      <c r="H3054" s="29">
        <v>97</v>
      </c>
      <c r="I3054" s="29">
        <v>73</v>
      </c>
      <c r="J3054" s="29">
        <v>59</v>
      </c>
      <c r="K3054" s="29">
        <v>60</v>
      </c>
      <c r="L3054" s="29">
        <v>52</v>
      </c>
      <c r="M3054" s="29">
        <v>68</v>
      </c>
      <c r="N3054" s="29">
        <v>55</v>
      </c>
      <c r="O3054" s="32">
        <v>464</v>
      </c>
      <c r="P3054" s="29" cm="1">
        <f t="array" ref="P3054">IF(表成绩单[[#This Row],[语文]]="","",SUMPRODUCT((表成绩单[考试日期]=表成绩单[[#This Row],[考试日期]])*(表成绩单[语文]&lt;9E+307)*(表成绩单[语文]&gt;表成绩单[[#This Row],[语文]]))+1)</f>
        <v>357</v>
      </c>
      <c r="Q3054" s="29" cm="1">
        <f t="array" ref="Q3054">IF(表成绩单[[#This Row],[数学]]="","",SUMPRODUCT((表成绩单[考试日期]=表成绩单[[#This Row],[考试日期]])*(表成绩单[数学]&lt;9E+307)*(表成绩单[数学]&gt;表成绩单[[#This Row],[数学]]))+1)</f>
        <v>643</v>
      </c>
      <c r="R3054" s="29" cm="1">
        <f t="array" ref="R3054">IF(表成绩单[[#This Row],[英语]]="","",SUMPRODUCT((表成绩单[考试日期]=表成绩单[[#This Row],[考试日期]])*(表成绩单[英语]&lt;9E+307)*(表成绩单[英语]&gt;表成绩单[[#This Row],[英语]]))+1)</f>
        <v>662</v>
      </c>
      <c r="S3054" s="29" cm="1">
        <f t="array" ref="S3054">IF(表成绩单[[#This Row],[物理]]="","",SUMPRODUCT((表成绩单[考试日期]=表成绩单[[#This Row],[考试日期]])*(表成绩单[物理]&lt;9E+307)*(表成绩单[物理]&gt;表成绩单[[#This Row],[物理]]))+1)</f>
        <v>662</v>
      </c>
      <c r="T3054" s="29" cm="1">
        <f t="array" ref="T3054">IF(表成绩单[[#This Row],[化学]]="","",SUMPRODUCT((表成绩单[考试日期]=表成绩单[[#This Row],[考试日期]])*(表成绩单[化学]&lt;9E+307)*(表成绩单[化学]&gt;表成绩单[[#This Row],[化学]]))+1)</f>
        <v>612</v>
      </c>
      <c r="U3054" s="29" cm="1">
        <f t="array" ref="U3054">IF(表成绩单[[#This Row],[政治]]="","",SUMPRODUCT((表成绩单[考试日期]=表成绩单[[#This Row],[考试日期]])*(表成绩单[政治]&lt;9E+307)*(表成绩单[政治]&gt;表成绩单[[#This Row],[政治]]))+1)</f>
        <v>596</v>
      </c>
      <c r="V3054" s="29" cm="1">
        <f t="array" ref="V3054">IF(表成绩单[[#This Row],[历史]]="","",SUMPRODUCT((表成绩单[考试日期]=表成绩单[[#This Row],[考试日期]])*(表成绩单[历史]&lt;9E+307)*(表成绩单[历史]&gt;表成绩单[[#This Row],[历史]]))+1)</f>
        <v>742</v>
      </c>
      <c r="W3054" s="29" cm="1">
        <f t="array" ref="W3054">IF(表成绩单[[#This Row],[总分]]="","",SUMPRODUCT((表成绩单[考试日期]=表成绩单[[#This Row],[考试日期]])*(表成绩单[总分]&lt;9E+307)*(表成绩单[总分]&gt;表成绩单[[#This Row],[总分]]))+1)</f>
        <v>647</v>
      </c>
    </row>
    <row r="3055" ht="28" customHeight="1" spans="4:23">
      <c r="D3055" s="31">
        <v>46108</v>
      </c>
      <c r="E3055" s="29">
        <v>19172645</v>
      </c>
      <c r="F3055" s="29" t="s">
        <v>60</v>
      </c>
      <c r="G3055" s="29" t="s">
        <v>644</v>
      </c>
      <c r="H3055" s="29">
        <v>56</v>
      </c>
      <c r="I3055" s="29">
        <v>78</v>
      </c>
      <c r="J3055" s="29">
        <v>64</v>
      </c>
      <c r="K3055" s="29">
        <v>66</v>
      </c>
      <c r="L3055" s="29">
        <v>60</v>
      </c>
      <c r="M3055" s="29">
        <v>65</v>
      </c>
      <c r="N3055" s="29">
        <v>74</v>
      </c>
      <c r="O3055" s="32">
        <v>463</v>
      </c>
      <c r="P3055" s="29" cm="1">
        <f t="array" ref="P3055">IF(表成绩单[[#This Row],[语文]]="","",SUMPRODUCT((表成绩单[考试日期]=表成绩单[[#This Row],[考试日期]])*(表成绩单[语文]&lt;9E+307)*(表成绩单[语文]&gt;表成绩单[[#This Row],[语文]]))+1)</f>
        <v>781</v>
      </c>
      <c r="Q3055" s="29" cm="1">
        <f t="array" ref="Q3055">IF(表成绩单[[#This Row],[数学]]="","",SUMPRODUCT((表成绩单[考试日期]=表成绩单[[#This Row],[考试日期]])*(表成绩单[数学]&lt;9E+307)*(表成绩单[数学]&gt;表成绩单[[#This Row],[数学]]))+1)</f>
        <v>604</v>
      </c>
      <c r="R3055" s="29" cm="1">
        <f t="array" ref="R3055">IF(表成绩单[[#This Row],[英语]]="","",SUMPRODUCT((表成绩单[考试日期]=表成绩单[[#This Row],[考试日期]])*(表成绩单[英语]&lt;9E+307)*(表成绩单[英语]&gt;表成绩单[[#This Row],[英语]]))+1)</f>
        <v>616</v>
      </c>
      <c r="S3055" s="29" cm="1">
        <f t="array" ref="S3055">IF(表成绩单[[#This Row],[物理]]="","",SUMPRODUCT((表成绩单[考试日期]=表成绩单[[#This Row],[考试日期]])*(表成绩单[物理]&lt;9E+307)*(表成绩单[物理]&gt;表成绩单[[#This Row],[物理]]))+1)</f>
        <v>608</v>
      </c>
      <c r="T3055" s="29" cm="1">
        <f t="array" ref="T3055">IF(表成绩单[[#This Row],[化学]]="","",SUMPRODUCT((表成绩单[考试日期]=表成绩单[[#This Row],[考试日期]])*(表成绩单[化学]&lt;9E+307)*(表成绩单[化学]&gt;表成绩单[[#This Row],[化学]]))+1)</f>
        <v>490</v>
      </c>
      <c r="U3055" s="29" cm="1">
        <f t="array" ref="U3055">IF(表成绩单[[#This Row],[政治]]="","",SUMPRODUCT((表成绩单[考试日期]=表成绩单[[#This Row],[考试日期]])*(表成绩单[政治]&lt;9E+307)*(表成绩单[政治]&gt;表成绩单[[#This Row],[政治]]))+1)</f>
        <v>655</v>
      </c>
      <c r="V3055" s="29" cm="1">
        <f t="array" ref="V3055">IF(表成绩单[[#This Row],[历史]]="","",SUMPRODUCT((表成绩单[考试日期]=表成绩单[[#This Row],[考试日期]])*(表成绩单[历史]&lt;9E+307)*(表成绩单[历史]&gt;表成绩单[[#This Row],[历史]]))+1)</f>
        <v>389</v>
      </c>
      <c r="W3055" s="29" cm="1">
        <f t="array" ref="W3055">IF(表成绩单[[#This Row],[总分]]="","",SUMPRODUCT((表成绩单[考试日期]=表成绩单[[#This Row],[考试日期]])*(表成绩单[总分]&lt;9E+307)*(表成绩单[总分]&gt;表成绩单[[#This Row],[总分]]))+1)</f>
        <v>648</v>
      </c>
    </row>
    <row r="3056" ht="28" customHeight="1" spans="4:23">
      <c r="D3056" s="31">
        <v>46108</v>
      </c>
      <c r="E3056" s="29">
        <v>19175320</v>
      </c>
      <c r="F3056" s="29" t="s">
        <v>55</v>
      </c>
      <c r="G3056" s="29" t="s">
        <v>795</v>
      </c>
      <c r="H3056" s="29">
        <v>87</v>
      </c>
      <c r="I3056" s="29">
        <v>53</v>
      </c>
      <c r="J3056" s="29">
        <v>69</v>
      </c>
      <c r="K3056" s="29">
        <v>60</v>
      </c>
      <c r="L3056" s="29">
        <v>47</v>
      </c>
      <c r="M3056" s="29">
        <v>69</v>
      </c>
      <c r="N3056" s="29">
        <v>77</v>
      </c>
      <c r="O3056" s="32">
        <v>462</v>
      </c>
      <c r="P3056" s="29" cm="1">
        <f t="array" ref="P3056">IF(表成绩单[[#This Row],[语文]]="","",SUMPRODUCT((表成绩单[考试日期]=表成绩单[[#This Row],[考试日期]])*(表成绩单[语文]&lt;9E+307)*(表成绩单[语文]&gt;表成绩单[[#This Row],[语文]]))+1)</f>
        <v>599</v>
      </c>
      <c r="Q3056" s="29" cm="1">
        <f t="array" ref="Q3056">IF(表成绩单[[#This Row],[数学]]="","",SUMPRODUCT((表成绩单[考试日期]=表成绩单[[#This Row],[考试日期]])*(表成绩单[数学]&lt;9E+307)*(表成绩单[数学]&gt;表成绩单[[#This Row],[数学]]))+1)</f>
        <v>730</v>
      </c>
      <c r="R3056" s="29" cm="1">
        <f t="array" ref="R3056">IF(表成绩单[[#This Row],[英语]]="","",SUMPRODUCT((表成绩单[考试日期]=表成绩单[[#This Row],[考试日期]])*(表成绩单[英语]&lt;9E+307)*(表成绩单[英语]&gt;表成绩单[[#This Row],[英语]]))+1)</f>
        <v>554</v>
      </c>
      <c r="S3056" s="29" cm="1">
        <f t="array" ref="S3056">IF(表成绩单[[#This Row],[物理]]="","",SUMPRODUCT((表成绩单[考试日期]=表成绩单[[#This Row],[考试日期]])*(表成绩单[物理]&lt;9E+307)*(表成绩单[物理]&gt;表成绩单[[#This Row],[物理]]))+1)</f>
        <v>662</v>
      </c>
      <c r="T3056" s="29" cm="1">
        <f t="array" ref="T3056">IF(表成绩单[[#This Row],[化学]]="","",SUMPRODUCT((表成绩单[考试日期]=表成绩单[[#This Row],[考试日期]])*(表成绩单[化学]&lt;9E+307)*(表成绩单[化学]&gt;表成绩单[[#This Row],[化学]]))+1)</f>
        <v>670</v>
      </c>
      <c r="U3056" s="29" cm="1">
        <f t="array" ref="U3056">IF(表成绩单[[#This Row],[政治]]="","",SUMPRODUCT((表成绩单[考试日期]=表成绩单[[#This Row],[考试日期]])*(表成绩单[政治]&lt;9E+307)*(表成绩单[政治]&gt;表成绩单[[#This Row],[政治]]))+1)</f>
        <v>567</v>
      </c>
      <c r="V3056" s="29" cm="1">
        <f t="array" ref="V3056">IF(表成绩单[[#This Row],[历史]]="","",SUMPRODUCT((表成绩单[考试日期]=表成绩单[[#This Row],[考试日期]])*(表成绩单[历史]&lt;9E+307)*(表成绩单[历史]&gt;表成绩单[[#This Row],[历史]]))+1)</f>
        <v>269</v>
      </c>
      <c r="W3056" s="29" cm="1">
        <f t="array" ref="W3056">IF(表成绩单[[#This Row],[总分]]="","",SUMPRODUCT((表成绩单[考试日期]=表成绩单[[#This Row],[考试日期]])*(表成绩单[总分]&lt;9E+307)*(表成绩单[总分]&gt;表成绩单[[#This Row],[总分]]))+1)</f>
        <v>649</v>
      </c>
    </row>
    <row r="3057" ht="28" customHeight="1" spans="4:23">
      <c r="D3057" s="31">
        <v>46108</v>
      </c>
      <c r="E3057" s="29">
        <v>19173279</v>
      </c>
      <c r="F3057" s="29" t="s">
        <v>61</v>
      </c>
      <c r="G3057" s="29" t="s">
        <v>698</v>
      </c>
      <c r="H3057" s="29">
        <v>73</v>
      </c>
      <c r="I3057" s="29">
        <v>69</v>
      </c>
      <c r="J3057" s="29">
        <v>66</v>
      </c>
      <c r="K3057" s="29">
        <v>69</v>
      </c>
      <c r="L3057" s="29">
        <v>54</v>
      </c>
      <c r="M3057" s="29">
        <v>60</v>
      </c>
      <c r="N3057" s="29">
        <v>70</v>
      </c>
      <c r="O3057" s="32">
        <v>461</v>
      </c>
      <c r="P3057" s="29" cm="1">
        <f t="array" ref="P3057">IF(表成绩单[[#This Row],[语文]]="","",SUMPRODUCT((表成绩单[考试日期]=表成绩单[[#This Row],[考试日期]])*(表成绩单[语文]&lt;9E+307)*(表成绩单[语文]&gt;表成绩单[[#This Row],[语文]]))+1)</f>
        <v>727</v>
      </c>
      <c r="Q3057" s="29" cm="1">
        <f t="array" ref="Q3057">IF(表成绩单[[#This Row],[数学]]="","",SUMPRODUCT((表成绩单[考试日期]=表成绩单[[#This Row],[考试日期]])*(表成绩单[数学]&lt;9E+307)*(表成绩单[数学]&gt;表成绩单[[#This Row],[数学]]))+1)</f>
        <v>663</v>
      </c>
      <c r="R3057" s="29" cm="1">
        <f t="array" ref="R3057">IF(表成绩单[[#This Row],[英语]]="","",SUMPRODUCT((表成绩单[考试日期]=表成绩单[[#This Row],[考试日期]])*(表成绩单[英语]&lt;9E+307)*(表成绩单[英语]&gt;表成绩单[[#This Row],[英语]]))+1)</f>
        <v>593</v>
      </c>
      <c r="S3057" s="29" cm="1">
        <f t="array" ref="S3057">IF(表成绩单[[#This Row],[物理]]="","",SUMPRODUCT((表成绩单[考试日期]=表成绩单[[#This Row],[考试日期]])*(表成绩单[物理]&lt;9E+307)*(表成绩单[物理]&gt;表成绩单[[#This Row],[物理]]))+1)</f>
        <v>565</v>
      </c>
      <c r="T3057" s="29" cm="1">
        <f t="array" ref="T3057">IF(表成绩单[[#This Row],[化学]]="","",SUMPRODUCT((表成绩单[考试日期]=表成绩单[[#This Row],[考试日期]])*(表成绩单[化学]&lt;9E+307)*(表成绩单[化学]&gt;表成绩单[[#This Row],[化学]]))+1)</f>
        <v>592</v>
      </c>
      <c r="U3057" s="29" cm="1">
        <f t="array" ref="U3057">IF(表成绩单[[#This Row],[政治]]="","",SUMPRODUCT((表成绩单[考试日期]=表成绩单[[#This Row],[考试日期]])*(表成绩单[政治]&lt;9E+307)*(表成绩单[政治]&gt;表成绩单[[#This Row],[政治]]))+1)</f>
        <v>709</v>
      </c>
      <c r="V3057" s="29" cm="1">
        <f t="array" ref="V3057">IF(表成绩单[[#This Row],[历史]]="","",SUMPRODUCT((表成绩单[考试日期]=表成绩单[[#This Row],[考试日期]])*(表成绩单[历史]&lt;9E+307)*(表成绩单[历史]&gt;表成绩单[[#This Row],[历史]]))+1)</f>
        <v>539</v>
      </c>
      <c r="W3057" s="29" cm="1">
        <f t="array" ref="W3057">IF(表成绩单[[#This Row],[总分]]="","",SUMPRODUCT((表成绩单[考试日期]=表成绩单[[#This Row],[考试日期]])*(表成绩单[总分]&lt;9E+307)*(表成绩单[总分]&gt;表成绩单[[#This Row],[总分]]))+1)</f>
        <v>650</v>
      </c>
    </row>
    <row r="3058" ht="28" customHeight="1" spans="4:23">
      <c r="D3058" s="31">
        <v>46108</v>
      </c>
      <c r="E3058" s="29">
        <v>19176007</v>
      </c>
      <c r="F3058" s="29" t="s">
        <v>59</v>
      </c>
      <c r="G3058" s="29" t="s">
        <v>760</v>
      </c>
      <c r="H3058" s="29">
        <v>88</v>
      </c>
      <c r="I3058" s="29">
        <v>79</v>
      </c>
      <c r="J3058" s="29">
        <v>60</v>
      </c>
      <c r="K3058" s="29">
        <v>57</v>
      </c>
      <c r="L3058" s="29">
        <v>43</v>
      </c>
      <c r="M3058" s="29">
        <v>66</v>
      </c>
      <c r="N3058" s="29">
        <v>68</v>
      </c>
      <c r="O3058" s="32">
        <v>461</v>
      </c>
      <c r="P3058" s="29" cm="1">
        <f t="array" ref="P3058">IF(表成绩单[[#This Row],[语文]]="","",SUMPRODUCT((表成绩单[考试日期]=表成绩单[[#This Row],[考试日期]])*(表成绩单[语文]&lt;9E+307)*(表成绩单[语文]&gt;表成绩单[[#This Row],[语文]]))+1)</f>
        <v>575</v>
      </c>
      <c r="Q3058" s="29" cm="1">
        <f t="array" ref="Q3058">IF(表成绩单[[#This Row],[数学]]="","",SUMPRODUCT((表成绩单[考试日期]=表成绩单[[#This Row],[考试日期]])*(表成绩单[数学]&lt;9E+307)*(表成绩单[数学]&gt;表成绩单[[#This Row],[数学]]))+1)</f>
        <v>591</v>
      </c>
      <c r="R3058" s="29" cm="1">
        <f t="array" ref="R3058">IF(表成绩单[[#This Row],[英语]]="","",SUMPRODUCT((表成绩单[考试日期]=表成绩单[[#This Row],[考试日期]])*(表成绩单[英语]&lt;9E+307)*(表成绩单[英语]&gt;表成绩单[[#This Row],[英语]]))+1)</f>
        <v>656</v>
      </c>
      <c r="S3058" s="29" cm="1">
        <f t="array" ref="S3058">IF(表成绩单[[#This Row],[物理]]="","",SUMPRODUCT((表成绩单[考试日期]=表成绩单[[#This Row],[考试日期]])*(表成绩单[物理]&lt;9E+307)*(表成绩单[物理]&gt;表成绩单[[#This Row],[物理]]))+1)</f>
        <v>692</v>
      </c>
      <c r="T3058" s="29" cm="1">
        <f t="array" ref="T3058">IF(表成绩单[[#This Row],[化学]]="","",SUMPRODUCT((表成绩单[考试日期]=表成绩单[[#This Row],[考试日期]])*(表成绩单[化学]&lt;9E+307)*(表成绩单[化学]&gt;表成绩单[[#This Row],[化学]]))+1)</f>
        <v>706</v>
      </c>
      <c r="U3058" s="29" cm="1">
        <f t="array" ref="U3058">IF(表成绩单[[#This Row],[政治]]="","",SUMPRODUCT((表成绩单[考试日期]=表成绩单[[#This Row],[考试日期]])*(表成绩单[政治]&lt;9E+307)*(表成绩单[政治]&gt;表成绩单[[#This Row],[政治]]))+1)</f>
        <v>642</v>
      </c>
      <c r="V3058" s="29" cm="1">
        <f t="array" ref="V3058">IF(表成绩单[[#This Row],[历史]]="","",SUMPRODUCT((表成绩单[考试日期]=表成绩单[[#This Row],[考试日期]])*(表成绩单[历史]&lt;9E+307)*(表成绩单[历史]&gt;表成绩单[[#This Row],[历史]]))+1)</f>
        <v>599</v>
      </c>
      <c r="W3058" s="29" cm="1">
        <f t="array" ref="W3058">IF(表成绩单[[#This Row],[总分]]="","",SUMPRODUCT((表成绩单[考试日期]=表成绩单[[#This Row],[考试日期]])*(表成绩单[总分]&lt;9E+307)*(表成绩单[总分]&gt;表成绩单[[#This Row],[总分]]))+1)</f>
        <v>650</v>
      </c>
    </row>
    <row r="3059" ht="28" customHeight="1" spans="4:23">
      <c r="D3059" s="31">
        <v>46108</v>
      </c>
      <c r="E3059" s="29">
        <v>19177610</v>
      </c>
      <c r="F3059" s="29" t="s">
        <v>58</v>
      </c>
      <c r="G3059" s="29" t="s">
        <v>713</v>
      </c>
      <c r="H3059" s="29">
        <v>93</v>
      </c>
      <c r="I3059" s="29">
        <v>73</v>
      </c>
      <c r="J3059" s="29">
        <v>44.5</v>
      </c>
      <c r="K3059" s="29">
        <v>62</v>
      </c>
      <c r="L3059" s="29">
        <v>51</v>
      </c>
      <c r="M3059" s="29">
        <v>68</v>
      </c>
      <c r="N3059" s="29">
        <v>68</v>
      </c>
      <c r="O3059" s="32">
        <v>459.5</v>
      </c>
      <c r="P3059" s="29" cm="1">
        <f t="array" ref="P3059">IF(表成绩单[[#This Row],[语文]]="","",SUMPRODUCT((表成绩单[考试日期]=表成绩单[[#This Row],[考试日期]])*(表成绩单[语文]&lt;9E+307)*(表成绩单[语文]&gt;表成绩单[[#This Row],[语文]]))+1)</f>
        <v>470</v>
      </c>
      <c r="Q3059" s="29" cm="1">
        <f t="array" ref="Q3059">IF(表成绩单[[#This Row],[数学]]="","",SUMPRODUCT((表成绩单[考试日期]=表成绩单[[#This Row],[考试日期]])*(表成绩单[数学]&lt;9E+307)*(表成绩单[数学]&gt;表成绩单[[#This Row],[数学]]))+1)</f>
        <v>643</v>
      </c>
      <c r="R3059" s="29" cm="1">
        <f t="array" ref="R3059">IF(表成绩单[[#This Row],[英语]]="","",SUMPRODUCT((表成绩单[考试日期]=表成绩单[[#This Row],[考试日期]])*(表成绩单[英语]&lt;9E+307)*(表成绩单[英语]&gt;表成绩单[[#This Row],[英语]]))+1)</f>
        <v>730</v>
      </c>
      <c r="S3059" s="29" cm="1">
        <f t="array" ref="S3059">IF(表成绩单[[#This Row],[物理]]="","",SUMPRODUCT((表成绩单[考试日期]=表成绩单[[#This Row],[考试日期]])*(表成绩单[物理]&lt;9E+307)*(表成绩单[物理]&gt;表成绩单[[#This Row],[物理]]))+1)</f>
        <v>643</v>
      </c>
      <c r="T3059" s="29" cm="1">
        <f t="array" ref="T3059">IF(表成绩单[[#This Row],[化学]]="","",SUMPRODUCT((表成绩单[考试日期]=表成绩单[[#This Row],[考试日期]])*(表成绩单[化学]&lt;9E+307)*(表成绩单[化学]&gt;表成绩单[[#This Row],[化学]]))+1)</f>
        <v>622</v>
      </c>
      <c r="U3059" s="29" cm="1">
        <f t="array" ref="U3059">IF(表成绩单[[#This Row],[政治]]="","",SUMPRODUCT((表成绩单[考试日期]=表成绩单[[#This Row],[考试日期]])*(表成绩单[政治]&lt;9E+307)*(表成绩单[政治]&gt;表成绩单[[#This Row],[政治]]))+1)</f>
        <v>596</v>
      </c>
      <c r="V3059" s="29" cm="1">
        <f t="array" ref="V3059">IF(表成绩单[[#This Row],[历史]]="","",SUMPRODUCT((表成绩单[考试日期]=表成绩单[[#This Row],[考试日期]])*(表成绩单[历史]&lt;9E+307)*(表成绩单[历史]&gt;表成绩单[[#This Row],[历史]]))+1)</f>
        <v>599</v>
      </c>
      <c r="W3059" s="29" cm="1">
        <f t="array" ref="W3059">IF(表成绩单[[#This Row],[总分]]="","",SUMPRODUCT((表成绩单[考试日期]=表成绩单[[#This Row],[考试日期]])*(表成绩单[总分]&lt;9E+307)*(表成绩单[总分]&gt;表成绩单[[#This Row],[总分]]))+1)</f>
        <v>652</v>
      </c>
    </row>
    <row r="3060" ht="28" customHeight="1" spans="4:23">
      <c r="D3060" s="31">
        <v>46108</v>
      </c>
      <c r="E3060" s="29">
        <v>19172663</v>
      </c>
      <c r="F3060" s="29" t="s">
        <v>60</v>
      </c>
      <c r="G3060" s="29" t="s">
        <v>736</v>
      </c>
      <c r="H3060" s="29">
        <v>82</v>
      </c>
      <c r="I3060" s="29">
        <v>80</v>
      </c>
      <c r="J3060" s="29">
        <v>44</v>
      </c>
      <c r="K3060" s="29">
        <v>78</v>
      </c>
      <c r="L3060" s="29">
        <v>54</v>
      </c>
      <c r="M3060" s="29">
        <v>58</v>
      </c>
      <c r="N3060" s="29">
        <v>63</v>
      </c>
      <c r="O3060" s="32">
        <v>459</v>
      </c>
      <c r="P3060" s="29" cm="1">
        <f t="array" ref="P3060">IF(表成绩单[[#This Row],[语文]]="","",SUMPRODUCT((表成绩单[考试日期]=表成绩单[[#This Row],[考试日期]])*(表成绩单[语文]&lt;9E+307)*(表成绩单[语文]&gt;表成绩单[[#This Row],[语文]]))+1)</f>
        <v>657</v>
      </c>
      <c r="Q3060" s="29" cm="1">
        <f t="array" ref="Q3060">IF(表成绩单[[#This Row],[数学]]="","",SUMPRODUCT((表成绩单[考试日期]=表成绩单[[#This Row],[考试日期]])*(表成绩单[数学]&lt;9E+307)*(表成绩单[数学]&gt;表成绩单[[#This Row],[数学]]))+1)</f>
        <v>578</v>
      </c>
      <c r="R3060" s="29" cm="1">
        <f t="array" ref="R3060">IF(表成绩单[[#This Row],[英语]]="","",SUMPRODUCT((表成绩单[考试日期]=表成绩单[[#This Row],[考试日期]])*(表成绩单[英语]&lt;9E+307)*(表成绩单[英语]&gt;表成绩单[[#This Row],[英语]]))+1)</f>
        <v>732</v>
      </c>
      <c r="S3060" s="29" cm="1">
        <f t="array" ref="S3060">IF(表成绩单[[#This Row],[物理]]="","",SUMPRODUCT((表成绩单[考试日期]=表成绩单[[#This Row],[考试日期]])*(表成绩单[物理]&lt;9E+307)*(表成绩单[物理]&gt;表成绩单[[#This Row],[物理]]))+1)</f>
        <v>365</v>
      </c>
      <c r="T3060" s="29" cm="1">
        <f t="array" ref="T3060">IF(表成绩单[[#This Row],[化学]]="","",SUMPRODUCT((表成绩单[考试日期]=表成绩单[[#This Row],[考试日期]])*(表成绩单[化学]&lt;9E+307)*(表成绩单[化学]&gt;表成绩单[[#This Row],[化学]]))+1)</f>
        <v>592</v>
      </c>
      <c r="U3060" s="29" cm="1">
        <f t="array" ref="U3060">IF(表成绩单[[#This Row],[政治]]="","",SUMPRODUCT((表成绩单[考试日期]=表成绩单[[#This Row],[考试日期]])*(表成绩单[政治]&lt;9E+307)*(表成绩单[政治]&gt;表成绩单[[#This Row],[政治]]))+1)</f>
        <v>726</v>
      </c>
      <c r="V3060" s="29" cm="1">
        <f t="array" ref="V3060">IF(表成绩单[[#This Row],[历史]]="","",SUMPRODUCT((表成绩单[考试日期]=表成绩单[[#This Row],[考试日期]])*(表成绩单[历史]&lt;9E+307)*(表成绩单[历史]&gt;表成绩单[[#This Row],[历史]]))+1)</f>
        <v>686</v>
      </c>
      <c r="W3060" s="29" cm="1">
        <f t="array" ref="W3060">IF(表成绩单[[#This Row],[总分]]="","",SUMPRODUCT((表成绩单[考试日期]=表成绩单[[#This Row],[考试日期]])*(表成绩单[总分]&lt;9E+307)*(表成绩单[总分]&gt;表成绩单[[#This Row],[总分]]))+1)</f>
        <v>653</v>
      </c>
    </row>
    <row r="3061" ht="28" customHeight="1" spans="4:23">
      <c r="D3061" s="31">
        <v>46108</v>
      </c>
      <c r="E3061" s="29">
        <v>19173773</v>
      </c>
      <c r="F3061" s="29" t="s">
        <v>65</v>
      </c>
      <c r="G3061" s="29" t="s">
        <v>726</v>
      </c>
      <c r="H3061" s="29">
        <v>63</v>
      </c>
      <c r="I3061" s="29">
        <v>78</v>
      </c>
      <c r="J3061" s="29">
        <v>64</v>
      </c>
      <c r="K3061" s="29">
        <v>63</v>
      </c>
      <c r="L3061" s="29">
        <v>53</v>
      </c>
      <c r="M3061" s="29">
        <v>74</v>
      </c>
      <c r="N3061" s="29">
        <v>64</v>
      </c>
      <c r="O3061" s="32">
        <v>459</v>
      </c>
      <c r="P3061" s="29" cm="1">
        <f t="array" ref="P3061">IF(表成绩单[[#This Row],[语文]]="","",SUMPRODUCT((表成绩单[考试日期]=表成绩单[[#This Row],[考试日期]])*(表成绩单[语文]&lt;9E+307)*(表成绩单[语文]&gt;表成绩单[[#This Row],[语文]]))+1)</f>
        <v>767</v>
      </c>
      <c r="Q3061" s="29" cm="1">
        <f t="array" ref="Q3061">IF(表成绩单[[#This Row],[数学]]="","",SUMPRODUCT((表成绩单[考试日期]=表成绩单[[#This Row],[考试日期]])*(表成绩单[数学]&lt;9E+307)*(表成绩单[数学]&gt;表成绩单[[#This Row],[数学]]))+1)</f>
        <v>604</v>
      </c>
      <c r="R3061" s="29" cm="1">
        <f t="array" ref="R3061">IF(表成绩单[[#This Row],[英语]]="","",SUMPRODUCT((表成绩单[考试日期]=表成绩单[[#This Row],[考试日期]])*(表成绩单[英语]&lt;9E+307)*(表成绩单[英语]&gt;表成绩单[[#This Row],[英语]]))+1)</f>
        <v>616</v>
      </c>
      <c r="S3061" s="29" cm="1">
        <f t="array" ref="S3061">IF(表成绩单[[#This Row],[物理]]="","",SUMPRODUCT((表成绩单[考试日期]=表成绩单[[#This Row],[考试日期]])*(表成绩单[物理]&lt;9E+307)*(表成绩单[物理]&gt;表成绩单[[#This Row],[物理]]))+1)</f>
        <v>631</v>
      </c>
      <c r="T3061" s="29" cm="1">
        <f t="array" ref="T3061">IF(表成绩单[[#This Row],[化学]]="","",SUMPRODUCT((表成绩单[考试日期]=表成绩单[[#This Row],[考试日期]])*(表成绩单[化学]&lt;9E+307)*(表成绩单[化学]&gt;表成绩单[[#This Row],[化学]]))+1)</f>
        <v>601</v>
      </c>
      <c r="U3061" s="29" cm="1">
        <f t="array" ref="U3061">IF(表成绩单[[#This Row],[政治]]="","",SUMPRODUCT((表成绩单[考试日期]=表成绩单[[#This Row],[考试日期]])*(表成绩单[政治]&lt;9E+307)*(表成绩单[政治]&gt;表成绩单[[#This Row],[政治]]))+1)</f>
        <v>389</v>
      </c>
      <c r="V3061" s="29" cm="1">
        <f t="array" ref="V3061">IF(表成绩单[[#This Row],[历史]]="","",SUMPRODUCT((表成绩单[考试日期]=表成绩单[[#This Row],[考试日期]])*(表成绩单[历史]&lt;9E+307)*(表成绩单[历史]&gt;表成绩单[[#This Row],[历史]]))+1)</f>
        <v>666</v>
      </c>
      <c r="W3061" s="29" cm="1">
        <f t="array" ref="W3061">IF(表成绩单[[#This Row],[总分]]="","",SUMPRODUCT((表成绩单[考试日期]=表成绩单[[#This Row],[考试日期]])*(表成绩单[总分]&lt;9E+307)*(表成绩单[总分]&gt;表成绩单[[#This Row],[总分]]))+1)</f>
        <v>653</v>
      </c>
    </row>
    <row r="3062" ht="28" customHeight="1" spans="4:23">
      <c r="D3062" s="31">
        <v>46108</v>
      </c>
      <c r="E3062" s="29">
        <v>19175608</v>
      </c>
      <c r="F3062" s="29" t="s">
        <v>57</v>
      </c>
      <c r="G3062" s="29" t="s">
        <v>788</v>
      </c>
      <c r="H3062" s="29">
        <v>93</v>
      </c>
      <c r="I3062" s="29">
        <v>69</v>
      </c>
      <c r="J3062" s="29">
        <v>46.5</v>
      </c>
      <c r="K3062" s="29">
        <v>56</v>
      </c>
      <c r="L3062" s="29">
        <v>60</v>
      </c>
      <c r="M3062" s="29">
        <v>71</v>
      </c>
      <c r="N3062" s="29">
        <v>63</v>
      </c>
      <c r="O3062" s="32">
        <v>458.5</v>
      </c>
      <c r="P3062" s="29" cm="1">
        <f t="array" ref="P3062">IF(表成绩单[[#This Row],[语文]]="","",SUMPRODUCT((表成绩单[考试日期]=表成绩单[[#This Row],[考试日期]])*(表成绩单[语文]&lt;9E+307)*(表成绩单[语文]&gt;表成绩单[[#This Row],[语文]]))+1)</f>
        <v>470</v>
      </c>
      <c r="Q3062" s="29" cm="1">
        <f t="array" ref="Q3062">IF(表成绩单[[#This Row],[数学]]="","",SUMPRODUCT((表成绩单[考试日期]=表成绩单[[#This Row],[考试日期]])*(表成绩单[数学]&lt;9E+307)*(表成绩单[数学]&gt;表成绩单[[#This Row],[数学]]))+1)</f>
        <v>663</v>
      </c>
      <c r="R3062" s="29" cm="1">
        <f t="array" ref="R3062">IF(表成绩单[[#This Row],[英语]]="","",SUMPRODUCT((表成绩单[考试日期]=表成绩单[[#This Row],[考试日期]])*(表成绩单[英语]&lt;9E+307)*(表成绩单[英语]&gt;表成绩单[[#This Row],[英语]]))+1)</f>
        <v>722</v>
      </c>
      <c r="S3062" s="29" cm="1">
        <f t="array" ref="S3062">IF(表成绩单[[#This Row],[物理]]="","",SUMPRODUCT((表成绩单[考试日期]=表成绩单[[#This Row],[考试日期]])*(表成绩单[物理]&lt;9E+307)*(表成绩单[物理]&gt;表成绩单[[#This Row],[物理]]))+1)</f>
        <v>700</v>
      </c>
      <c r="T3062" s="29" cm="1">
        <f t="array" ref="T3062">IF(表成绩单[[#This Row],[化学]]="","",SUMPRODUCT((表成绩单[考试日期]=表成绩单[[#This Row],[考试日期]])*(表成绩单[化学]&lt;9E+307)*(表成绩单[化学]&gt;表成绩单[[#This Row],[化学]]))+1)</f>
        <v>490</v>
      </c>
      <c r="U3062" s="29" cm="1">
        <f t="array" ref="U3062">IF(表成绩单[[#This Row],[政治]]="","",SUMPRODUCT((表成绩单[考试日期]=表成绩单[[#This Row],[考试日期]])*(表成绩单[政治]&lt;9E+307)*(表成绩单[政治]&gt;表成绩单[[#This Row],[政治]]))+1)</f>
        <v>513</v>
      </c>
      <c r="V3062" s="29" cm="1">
        <f t="array" ref="V3062">IF(表成绩单[[#This Row],[历史]]="","",SUMPRODUCT((表成绩单[考试日期]=表成绩单[[#This Row],[考试日期]])*(表成绩单[历史]&lt;9E+307)*(表成绩单[历史]&gt;表成绩单[[#This Row],[历史]]))+1)</f>
        <v>686</v>
      </c>
      <c r="W3062" s="29" cm="1">
        <f t="array" ref="W3062">IF(表成绩单[[#This Row],[总分]]="","",SUMPRODUCT((表成绩单[考试日期]=表成绩单[[#This Row],[考试日期]])*(表成绩单[总分]&lt;9E+307)*(表成绩单[总分]&gt;表成绩单[[#This Row],[总分]]))+1)</f>
        <v>655</v>
      </c>
    </row>
    <row r="3063" ht="28" customHeight="1" spans="4:23">
      <c r="D3063" s="31">
        <v>46108</v>
      </c>
      <c r="E3063" s="29">
        <v>19172651</v>
      </c>
      <c r="F3063" s="29" t="s">
        <v>60</v>
      </c>
      <c r="G3063" s="29" t="s">
        <v>749</v>
      </c>
      <c r="H3063" s="29">
        <v>67</v>
      </c>
      <c r="I3063" s="29">
        <v>88</v>
      </c>
      <c r="J3063" s="29">
        <v>64</v>
      </c>
      <c r="K3063" s="29">
        <v>59</v>
      </c>
      <c r="L3063" s="29">
        <v>42</v>
      </c>
      <c r="M3063" s="29">
        <v>63</v>
      </c>
      <c r="N3063" s="29">
        <v>75</v>
      </c>
      <c r="O3063" s="32">
        <v>458</v>
      </c>
      <c r="P3063" s="29" cm="1">
        <f t="array" ref="P3063">IF(表成绩单[[#This Row],[语文]]="","",SUMPRODUCT((表成绩单[考试日期]=表成绩单[[#This Row],[考试日期]])*(表成绩单[语文]&lt;9E+307)*(表成绩单[语文]&gt;表成绩单[[#This Row],[语文]]))+1)</f>
        <v>752</v>
      </c>
      <c r="Q3063" s="29" cm="1">
        <f t="array" ref="Q3063">IF(表成绩单[[#This Row],[数学]]="","",SUMPRODUCT((表成绩单[考试日期]=表成绩单[[#This Row],[考试日期]])*(表成绩单[数学]&lt;9E+307)*(表成绩单[数学]&gt;表成绩单[[#This Row],[数学]]))+1)</f>
        <v>424</v>
      </c>
      <c r="R3063" s="29" cm="1">
        <f t="array" ref="R3063">IF(表成绩单[[#This Row],[英语]]="","",SUMPRODUCT((表成绩单[考试日期]=表成绩单[[#This Row],[考试日期]])*(表成绩单[英语]&lt;9E+307)*(表成绩单[英语]&gt;表成绩单[[#This Row],[英语]]))+1)</f>
        <v>616</v>
      </c>
      <c r="S3063" s="29" cm="1">
        <f t="array" ref="S3063">IF(表成绩单[[#This Row],[物理]]="","",SUMPRODUCT((表成绩单[考试日期]=表成绩单[[#This Row],[考试日期]])*(表成绩单[物理]&lt;9E+307)*(表成绩单[物理]&gt;表成绩单[[#This Row],[物理]]))+1)</f>
        <v>667</v>
      </c>
      <c r="T3063" s="29" cm="1">
        <f t="array" ref="T3063">IF(表成绩单[[#This Row],[化学]]="","",SUMPRODUCT((表成绩单[考试日期]=表成绩单[[#This Row],[考试日期]])*(表成绩单[化学]&lt;9E+307)*(表成绩单[化学]&gt;表成绩单[[#This Row],[化学]]))+1)</f>
        <v>716</v>
      </c>
      <c r="U3063" s="29" cm="1">
        <f t="array" ref="U3063">IF(表成绩单[[#This Row],[政治]]="","",SUMPRODUCT((表成绩单[考试日期]=表成绩单[[#This Row],[考试日期]])*(表成绩单[政治]&lt;9E+307)*(表成绩单[政治]&gt;表成绩单[[#This Row],[政治]]))+1)</f>
        <v>680</v>
      </c>
      <c r="V3063" s="29" cm="1">
        <f t="array" ref="V3063">IF(表成绩单[[#This Row],[历史]]="","",SUMPRODUCT((表成绩单[考试日期]=表成绩单[[#This Row],[考试日期]])*(表成绩单[历史]&lt;9E+307)*(表成绩单[历史]&gt;表成绩单[[#This Row],[历史]]))+1)</f>
        <v>354</v>
      </c>
      <c r="W3063" s="29" cm="1">
        <f t="array" ref="W3063">IF(表成绩单[[#This Row],[总分]]="","",SUMPRODUCT((表成绩单[考试日期]=表成绩单[[#This Row],[考试日期]])*(表成绩单[总分]&lt;9E+307)*(表成绩单[总分]&gt;表成绩单[[#This Row],[总分]]))+1)</f>
        <v>656</v>
      </c>
    </row>
    <row r="3064" ht="28" customHeight="1" spans="4:23">
      <c r="D3064" s="31">
        <v>46108</v>
      </c>
      <c r="E3064" s="29">
        <v>19177593</v>
      </c>
      <c r="F3064" s="29" t="s">
        <v>58</v>
      </c>
      <c r="G3064" s="29" t="s">
        <v>689</v>
      </c>
      <c r="H3064" s="29">
        <v>84</v>
      </c>
      <c r="I3064" s="29">
        <v>66</v>
      </c>
      <c r="J3064" s="29">
        <v>64</v>
      </c>
      <c r="K3064" s="29">
        <v>60</v>
      </c>
      <c r="L3064" s="29">
        <v>49</v>
      </c>
      <c r="M3064" s="29">
        <v>66</v>
      </c>
      <c r="N3064" s="29">
        <v>69</v>
      </c>
      <c r="O3064" s="32">
        <v>458</v>
      </c>
      <c r="P3064" s="29" cm="1">
        <f t="array" ref="P3064">IF(表成绩单[[#This Row],[语文]]="","",SUMPRODUCT((表成绩单[考试日期]=表成绩单[[#This Row],[考试日期]])*(表成绩单[语文]&lt;9E+307)*(表成绩单[语文]&gt;表成绩单[[#This Row],[语文]]))+1)</f>
        <v>638</v>
      </c>
      <c r="Q3064" s="29" cm="1">
        <f t="array" ref="Q3064">IF(表成绩单[[#This Row],[数学]]="","",SUMPRODUCT((表成绩单[考试日期]=表成绩单[[#This Row],[考试日期]])*(表成绩单[数学]&lt;9E+307)*(表成绩单[数学]&gt;表成绩单[[#This Row],[数学]]))+1)</f>
        <v>681</v>
      </c>
      <c r="R3064" s="29" cm="1">
        <f t="array" ref="R3064">IF(表成绩单[[#This Row],[英语]]="","",SUMPRODUCT((表成绩单[考试日期]=表成绩单[[#This Row],[考试日期]])*(表成绩单[英语]&lt;9E+307)*(表成绩单[英语]&gt;表成绩单[[#This Row],[英语]]))+1)</f>
        <v>616</v>
      </c>
      <c r="S3064" s="29" cm="1">
        <f t="array" ref="S3064">IF(表成绩单[[#This Row],[物理]]="","",SUMPRODUCT((表成绩单[考试日期]=表成绩单[[#This Row],[考试日期]])*(表成绩单[物理]&lt;9E+307)*(表成绩单[物理]&gt;表成绩单[[#This Row],[物理]]))+1)</f>
        <v>662</v>
      </c>
      <c r="T3064" s="29" cm="1">
        <f t="array" ref="T3064">IF(表成绩单[[#This Row],[化学]]="","",SUMPRODUCT((表成绩单[考试日期]=表成绩单[[#This Row],[考试日期]])*(表成绩单[化学]&lt;9E+307)*(表成绩单[化学]&gt;表成绩单[[#This Row],[化学]]))+1)</f>
        <v>648</v>
      </c>
      <c r="U3064" s="29" cm="1">
        <f t="array" ref="U3064">IF(表成绩单[[#This Row],[政治]]="","",SUMPRODUCT((表成绩单[考试日期]=表成绩单[[#This Row],[考试日期]])*(表成绩单[政治]&lt;9E+307)*(表成绩单[政治]&gt;表成绩单[[#This Row],[政治]]))+1)</f>
        <v>642</v>
      </c>
      <c r="V3064" s="29" cm="1">
        <f t="array" ref="V3064">IF(表成绩单[[#This Row],[历史]]="","",SUMPRODUCT((表成绩单[考试日期]=表成绩单[[#This Row],[考试日期]])*(表成绩单[历史]&lt;9E+307)*(表成绩单[历史]&gt;表成绩单[[#This Row],[历史]]))+1)</f>
        <v>569</v>
      </c>
      <c r="W3064" s="29" cm="1">
        <f t="array" ref="W3064">IF(表成绩单[[#This Row],[总分]]="","",SUMPRODUCT((表成绩单[考试日期]=表成绩单[[#This Row],[考试日期]])*(表成绩单[总分]&lt;9E+307)*(表成绩单[总分]&gt;表成绩单[[#This Row],[总分]]))+1)</f>
        <v>656</v>
      </c>
    </row>
    <row r="3065" ht="28" customHeight="1" spans="4:23">
      <c r="D3065" s="31">
        <v>46108</v>
      </c>
      <c r="E3065" s="29">
        <v>19172647</v>
      </c>
      <c r="F3065" s="29" t="s">
        <v>60</v>
      </c>
      <c r="G3065" s="29" t="s">
        <v>814</v>
      </c>
      <c r="H3065" s="29">
        <v>72</v>
      </c>
      <c r="I3065" s="29">
        <v>88</v>
      </c>
      <c r="J3065" s="29">
        <v>46</v>
      </c>
      <c r="K3065" s="29">
        <v>63</v>
      </c>
      <c r="L3065" s="29">
        <v>56</v>
      </c>
      <c r="M3065" s="29">
        <v>65</v>
      </c>
      <c r="N3065" s="29">
        <v>67</v>
      </c>
      <c r="O3065" s="32">
        <v>457</v>
      </c>
      <c r="P3065" s="29" cm="1">
        <f t="array" ref="P3065">IF(表成绩单[[#This Row],[语文]]="","",SUMPRODUCT((表成绩单[考试日期]=表成绩单[[#This Row],[考试日期]])*(表成绩单[语文]&lt;9E+307)*(表成绩单[语文]&gt;表成绩单[[#This Row],[语文]]))+1)</f>
        <v>733</v>
      </c>
      <c r="Q3065" s="29" cm="1">
        <f t="array" ref="Q3065">IF(表成绩单[[#This Row],[数学]]="","",SUMPRODUCT((表成绩单[考试日期]=表成绩单[[#This Row],[考试日期]])*(表成绩单[数学]&lt;9E+307)*(表成绩单[数学]&gt;表成绩单[[#This Row],[数学]]))+1)</f>
        <v>424</v>
      </c>
      <c r="R3065" s="29" cm="1">
        <f t="array" ref="R3065">IF(表成绩单[[#This Row],[英语]]="","",SUMPRODUCT((表成绩单[考试日期]=表成绩单[[#This Row],[考试日期]])*(表成绩单[英语]&lt;9E+307)*(表成绩单[英语]&gt;表成绩单[[#This Row],[英语]]))+1)</f>
        <v>723</v>
      </c>
      <c r="S3065" s="29" cm="1">
        <f t="array" ref="S3065">IF(表成绩单[[#This Row],[物理]]="","",SUMPRODUCT((表成绩单[考试日期]=表成绩单[[#This Row],[考试日期]])*(表成绩单[物理]&lt;9E+307)*(表成绩单[物理]&gt;表成绩单[[#This Row],[物理]]))+1)</f>
        <v>631</v>
      </c>
      <c r="T3065" s="29" cm="1">
        <f t="array" ref="T3065">IF(表成绩单[[#This Row],[化学]]="","",SUMPRODUCT((表成绩单[考试日期]=表成绩单[[#This Row],[考试日期]])*(表成绩单[化学]&lt;9E+307)*(表成绩单[化学]&gt;表成绩单[[#This Row],[化学]]))+1)</f>
        <v>569</v>
      </c>
      <c r="U3065" s="29" cm="1">
        <f t="array" ref="U3065">IF(表成绩单[[#This Row],[政治]]="","",SUMPRODUCT((表成绩单[考试日期]=表成绩单[[#This Row],[考试日期]])*(表成绩单[政治]&lt;9E+307)*(表成绩单[政治]&gt;表成绩单[[#This Row],[政治]]))+1)</f>
        <v>655</v>
      </c>
      <c r="V3065" s="29" cm="1">
        <f t="array" ref="V3065">IF(表成绩单[[#This Row],[历史]]="","",SUMPRODUCT((表成绩单[考试日期]=表成绩单[[#This Row],[考试日期]])*(表成绩单[历史]&lt;9E+307)*(表成绩单[历史]&gt;表成绩单[[#This Row],[历史]]))+1)</f>
        <v>623</v>
      </c>
      <c r="W3065" s="29" cm="1">
        <f t="array" ref="W3065">IF(表成绩单[[#This Row],[总分]]="","",SUMPRODUCT((表成绩单[考试日期]=表成绩单[[#This Row],[考试日期]])*(表成绩单[总分]&lt;9E+307)*(表成绩单[总分]&gt;表成绩单[[#This Row],[总分]]))+1)</f>
        <v>658</v>
      </c>
    </row>
    <row r="3066" ht="28" customHeight="1" spans="4:23">
      <c r="D3066" s="31">
        <v>46108</v>
      </c>
      <c r="E3066" s="29">
        <v>19175294</v>
      </c>
      <c r="F3066" s="29" t="s">
        <v>55</v>
      </c>
      <c r="G3066" s="29" t="s">
        <v>722</v>
      </c>
      <c r="H3066" s="29">
        <v>92</v>
      </c>
      <c r="I3066" s="29">
        <v>63</v>
      </c>
      <c r="J3066" s="29">
        <v>69</v>
      </c>
      <c r="K3066" s="29">
        <v>59</v>
      </c>
      <c r="L3066" s="29">
        <v>44</v>
      </c>
      <c r="M3066" s="29">
        <v>61</v>
      </c>
      <c r="N3066" s="29">
        <v>69</v>
      </c>
      <c r="O3066" s="32">
        <v>457</v>
      </c>
      <c r="P3066" s="29" cm="1">
        <f t="array" ref="P3066">IF(表成绩单[[#This Row],[语文]]="","",SUMPRODUCT((表成绩单[考试日期]=表成绩单[[#This Row],[考试日期]])*(表成绩单[语文]&lt;9E+307)*(表成绩单[语文]&gt;表成绩单[[#This Row],[语文]]))+1)</f>
        <v>494</v>
      </c>
      <c r="Q3066" s="29" cm="1">
        <f t="array" ref="Q3066">IF(表成绩单[[#This Row],[数学]]="","",SUMPRODUCT((表成绩单[考试日期]=表成绩单[[#This Row],[考试日期]])*(表成绩单[数学]&lt;9E+307)*(表成绩单[数学]&gt;表成绩单[[#This Row],[数学]]))+1)</f>
        <v>695</v>
      </c>
      <c r="R3066" s="29" cm="1">
        <f t="array" ref="R3066">IF(表成绩单[[#This Row],[英语]]="","",SUMPRODUCT((表成绩单[考试日期]=表成绩单[[#This Row],[考试日期]])*(表成绩单[英语]&lt;9E+307)*(表成绩单[英语]&gt;表成绩单[[#This Row],[英语]]))+1)</f>
        <v>554</v>
      </c>
      <c r="S3066" s="29" cm="1">
        <f t="array" ref="S3066">IF(表成绩单[[#This Row],[物理]]="","",SUMPRODUCT((表成绩单[考试日期]=表成绩单[[#This Row],[考试日期]])*(表成绩单[物理]&lt;9E+307)*(表成绩单[物理]&gt;表成绩单[[#This Row],[物理]]))+1)</f>
        <v>667</v>
      </c>
      <c r="T3066" s="29" cm="1">
        <f t="array" ref="T3066">IF(表成绩单[[#This Row],[化学]]="","",SUMPRODUCT((表成绩单[考试日期]=表成绩单[[#This Row],[考试日期]])*(表成绩单[化学]&lt;9E+307)*(表成绩单[化学]&gt;表成绩单[[#This Row],[化学]]))+1)</f>
        <v>699</v>
      </c>
      <c r="U3066" s="29" cm="1">
        <f t="array" ref="U3066">IF(表成绩单[[#This Row],[政治]]="","",SUMPRODUCT((表成绩单[考试日期]=表成绩单[[#This Row],[考试日期]])*(表成绩单[政治]&lt;9E+307)*(表成绩单[政治]&gt;表成绩单[[#This Row],[政治]]))+1)</f>
        <v>700</v>
      </c>
      <c r="V3066" s="29" cm="1">
        <f t="array" ref="V3066">IF(表成绩单[[#This Row],[历史]]="","",SUMPRODUCT((表成绩单[考试日期]=表成绩单[[#This Row],[考试日期]])*(表成绩单[历史]&lt;9E+307)*(表成绩单[历史]&gt;表成绩单[[#This Row],[历史]]))+1)</f>
        <v>569</v>
      </c>
      <c r="W3066" s="29" cm="1">
        <f t="array" ref="W3066">IF(表成绩单[[#This Row],[总分]]="","",SUMPRODUCT((表成绩单[考试日期]=表成绩单[[#This Row],[考试日期]])*(表成绩单[总分]&lt;9E+307)*(表成绩单[总分]&gt;表成绩单[[#This Row],[总分]]))+1)</f>
        <v>658</v>
      </c>
    </row>
    <row r="3067" ht="28" customHeight="1" spans="4:23">
      <c r="D3067" s="31">
        <v>46108</v>
      </c>
      <c r="E3067" s="29">
        <v>19173798</v>
      </c>
      <c r="F3067" s="29" t="s">
        <v>65</v>
      </c>
      <c r="G3067" s="29" t="s">
        <v>767</v>
      </c>
      <c r="H3067" s="29">
        <v>89</v>
      </c>
      <c r="I3067" s="29">
        <v>61</v>
      </c>
      <c r="J3067" s="29">
        <v>68</v>
      </c>
      <c r="K3067" s="29">
        <v>58</v>
      </c>
      <c r="L3067" s="29">
        <v>48</v>
      </c>
      <c r="M3067" s="29">
        <v>68</v>
      </c>
      <c r="N3067" s="29">
        <v>64</v>
      </c>
      <c r="O3067" s="32">
        <v>456</v>
      </c>
      <c r="P3067" s="29" cm="1">
        <f t="array" ref="P3067">IF(表成绩单[[#This Row],[语文]]="","",SUMPRODUCT((表成绩单[考试日期]=表成绩单[[#This Row],[考试日期]])*(表成绩单[语文]&lt;9E+307)*(表成绩单[语文]&gt;表成绩单[[#This Row],[语文]]))+1)</f>
        <v>559</v>
      </c>
      <c r="Q3067" s="29" cm="1">
        <f t="array" ref="Q3067">IF(表成绩单[[#This Row],[数学]]="","",SUMPRODUCT((表成绩单[考试日期]=表成绩单[[#This Row],[考试日期]])*(表成绩单[数学]&lt;9E+307)*(表成绩单[数学]&gt;表成绩单[[#This Row],[数学]]))+1)</f>
        <v>701</v>
      </c>
      <c r="R3067" s="29" cm="1">
        <f t="array" ref="R3067">IF(表成绩单[[#This Row],[英语]]="","",SUMPRODUCT((表成绩单[考试日期]=表成绩单[[#This Row],[考试日期]])*(表成绩单[英语]&lt;9E+307)*(表成绩单[英语]&gt;表成绩单[[#This Row],[英语]]))+1)</f>
        <v>568</v>
      </c>
      <c r="S3067" s="29" cm="1">
        <f t="array" ref="S3067">IF(表成绩单[[#This Row],[物理]]="","",SUMPRODUCT((表成绩单[考试日期]=表成绩单[[#This Row],[考试日期]])*(表成绩单[物理]&lt;9E+307)*(表成绩单[物理]&gt;表成绩单[[#This Row],[物理]]))+1)</f>
        <v>680</v>
      </c>
      <c r="T3067" s="29" cm="1">
        <f t="array" ref="T3067">IF(表成绩单[[#This Row],[化学]]="","",SUMPRODUCT((表成绩单[考试日期]=表成绩单[[#This Row],[考试日期]])*(表成绩单[化学]&lt;9E+307)*(表成绩单[化学]&gt;表成绩单[[#This Row],[化学]]))+1)</f>
        <v>654</v>
      </c>
      <c r="U3067" s="29" cm="1">
        <f t="array" ref="U3067">IF(表成绩单[[#This Row],[政治]]="","",SUMPRODUCT((表成绩单[考试日期]=表成绩单[[#This Row],[考试日期]])*(表成绩单[政治]&lt;9E+307)*(表成绩单[政治]&gt;表成绩单[[#This Row],[政治]]))+1)</f>
        <v>596</v>
      </c>
      <c r="V3067" s="29" cm="1">
        <f t="array" ref="V3067">IF(表成绩单[[#This Row],[历史]]="","",SUMPRODUCT((表成绩单[考试日期]=表成绩单[[#This Row],[考试日期]])*(表成绩单[历史]&lt;9E+307)*(表成绩单[历史]&gt;表成绩单[[#This Row],[历史]]))+1)</f>
        <v>666</v>
      </c>
      <c r="W3067" s="29" cm="1">
        <f t="array" ref="W3067">IF(表成绩单[[#This Row],[总分]]="","",SUMPRODUCT((表成绩单[考试日期]=表成绩单[[#This Row],[考试日期]])*(表成绩单[总分]&lt;9E+307)*(表成绩单[总分]&gt;表成绩单[[#This Row],[总分]]))+1)</f>
        <v>660</v>
      </c>
    </row>
    <row r="3068" ht="28" customHeight="1" spans="4:23">
      <c r="D3068" s="31">
        <v>46108</v>
      </c>
      <c r="E3068" s="29">
        <v>19175596</v>
      </c>
      <c r="F3068" s="29" t="s">
        <v>57</v>
      </c>
      <c r="G3068" s="29" t="s">
        <v>745</v>
      </c>
      <c r="H3068" s="29">
        <v>87</v>
      </c>
      <c r="I3068" s="29">
        <v>58</v>
      </c>
      <c r="J3068" s="29">
        <v>65.5</v>
      </c>
      <c r="K3068" s="29">
        <v>59</v>
      </c>
      <c r="L3068" s="29">
        <v>50</v>
      </c>
      <c r="M3068" s="29">
        <v>67</v>
      </c>
      <c r="N3068" s="29">
        <v>69</v>
      </c>
      <c r="O3068" s="32">
        <v>455.5</v>
      </c>
      <c r="P3068" s="29" cm="1">
        <f t="array" ref="P3068">IF(表成绩单[[#This Row],[语文]]="","",SUMPRODUCT((表成绩单[考试日期]=表成绩单[[#This Row],[考试日期]])*(表成绩单[语文]&lt;9E+307)*(表成绩单[语文]&gt;表成绩单[[#This Row],[语文]]))+1)</f>
        <v>599</v>
      </c>
      <c r="Q3068" s="29" cm="1">
        <f t="array" ref="Q3068">IF(表成绩单[[#This Row],[数学]]="","",SUMPRODUCT((表成绩单[考试日期]=表成绩单[[#This Row],[考试日期]])*(表成绩单[数学]&lt;9E+307)*(表成绩单[数学]&gt;表成绩单[[#This Row],[数学]]))+1)</f>
        <v>717</v>
      </c>
      <c r="R3068" s="29" cm="1">
        <f t="array" ref="R3068">IF(表成绩单[[#This Row],[英语]]="","",SUMPRODUCT((表成绩单[考试日期]=表成绩单[[#This Row],[考试日期]])*(表成绩单[英语]&lt;9E+307)*(表成绩单[英语]&gt;表成绩单[[#This Row],[英语]]))+1)</f>
        <v>599</v>
      </c>
      <c r="S3068" s="29" cm="1">
        <f t="array" ref="S3068">IF(表成绩单[[#This Row],[物理]]="","",SUMPRODUCT((表成绩单[考试日期]=表成绩单[[#This Row],[考试日期]])*(表成绩单[物理]&lt;9E+307)*(表成绩单[物理]&gt;表成绩单[[#This Row],[物理]]))+1)</f>
        <v>667</v>
      </c>
      <c r="T3068" s="29" cm="1">
        <f t="array" ref="T3068">IF(表成绩单[[#This Row],[化学]]="","",SUMPRODUCT((表成绩单[考试日期]=表成绩单[[#This Row],[考试日期]])*(表成绩单[化学]&lt;9E+307)*(表成绩单[化学]&gt;表成绩单[[#This Row],[化学]]))+1)</f>
        <v>632</v>
      </c>
      <c r="U3068" s="29" cm="1">
        <f t="array" ref="U3068">IF(表成绩单[[#This Row],[政治]]="","",SUMPRODUCT((表成绩单[考试日期]=表成绩单[[#This Row],[考试日期]])*(表成绩单[政治]&lt;9E+307)*(表成绩单[政治]&gt;表成绩单[[#This Row],[政治]]))+1)</f>
        <v>626</v>
      </c>
      <c r="V3068" s="29" cm="1">
        <f t="array" ref="V3068">IF(表成绩单[[#This Row],[历史]]="","",SUMPRODUCT((表成绩单[考试日期]=表成绩单[[#This Row],[考试日期]])*(表成绩单[历史]&lt;9E+307)*(表成绩单[历史]&gt;表成绩单[[#This Row],[历史]]))+1)</f>
        <v>569</v>
      </c>
      <c r="W3068" s="29" cm="1">
        <f t="array" ref="W3068">IF(表成绩单[[#This Row],[总分]]="","",SUMPRODUCT((表成绩单[考试日期]=表成绩单[[#This Row],[考试日期]])*(表成绩单[总分]&lt;9E+307)*(表成绩单[总分]&gt;表成绩单[[#This Row],[总分]]))+1)</f>
        <v>661</v>
      </c>
    </row>
    <row r="3069" ht="28" customHeight="1" spans="4:23">
      <c r="D3069" s="31">
        <v>46108</v>
      </c>
      <c r="E3069" s="29">
        <v>19173280</v>
      </c>
      <c r="F3069" s="29" t="s">
        <v>61</v>
      </c>
      <c r="G3069" s="29" t="s">
        <v>663</v>
      </c>
      <c r="H3069" s="29">
        <v>86</v>
      </c>
      <c r="I3069" s="29">
        <v>69</v>
      </c>
      <c r="J3069" s="29">
        <v>59</v>
      </c>
      <c r="K3069" s="29">
        <v>59</v>
      </c>
      <c r="L3069" s="29">
        <v>50</v>
      </c>
      <c r="M3069" s="29">
        <v>59</v>
      </c>
      <c r="N3069" s="29">
        <v>73</v>
      </c>
      <c r="O3069" s="32">
        <v>455</v>
      </c>
      <c r="P3069" s="29" cm="1">
        <f t="array" ref="P3069">IF(表成绩单[[#This Row],[语文]]="","",SUMPRODUCT((表成绩单[考试日期]=表成绩单[[#This Row],[考试日期]])*(表成绩单[语文]&lt;9E+307)*(表成绩单[语文]&gt;表成绩单[[#This Row],[语文]]))+1)</f>
        <v>610</v>
      </c>
      <c r="Q3069" s="29" cm="1">
        <f t="array" ref="Q3069">IF(表成绩单[[#This Row],[数学]]="","",SUMPRODUCT((表成绩单[考试日期]=表成绩单[[#This Row],[考试日期]])*(表成绩单[数学]&lt;9E+307)*(表成绩单[数学]&gt;表成绩单[[#This Row],[数学]]))+1)</f>
        <v>663</v>
      </c>
      <c r="R3069" s="29" cm="1">
        <f t="array" ref="R3069">IF(表成绩单[[#This Row],[英语]]="","",SUMPRODUCT((表成绩单[考试日期]=表成绩单[[#This Row],[考试日期]])*(表成绩单[英语]&lt;9E+307)*(表成绩单[英语]&gt;表成绩单[[#This Row],[英语]]))+1)</f>
        <v>662</v>
      </c>
      <c r="S3069" s="29" cm="1">
        <f t="array" ref="S3069">IF(表成绩单[[#This Row],[物理]]="","",SUMPRODUCT((表成绩单[考试日期]=表成绩单[[#This Row],[考试日期]])*(表成绩单[物理]&lt;9E+307)*(表成绩单[物理]&gt;表成绩单[[#This Row],[物理]]))+1)</f>
        <v>667</v>
      </c>
      <c r="T3069" s="29" cm="1">
        <f t="array" ref="T3069">IF(表成绩单[[#This Row],[化学]]="","",SUMPRODUCT((表成绩单[考试日期]=表成绩单[[#This Row],[考试日期]])*(表成绩单[化学]&lt;9E+307)*(表成绩单[化学]&gt;表成绩单[[#This Row],[化学]]))+1)</f>
        <v>632</v>
      </c>
      <c r="U3069" s="29" cm="1">
        <f t="array" ref="U3069">IF(表成绩单[[#This Row],[政治]]="","",SUMPRODUCT((表成绩单[考试日期]=表成绩单[[#This Row],[考试日期]])*(表成绩单[政治]&lt;9E+307)*(表成绩单[政治]&gt;表成绩单[[#This Row],[政治]]))+1)</f>
        <v>720</v>
      </c>
      <c r="V3069" s="29" cm="1">
        <f t="array" ref="V3069">IF(表成绩单[[#This Row],[历史]]="","",SUMPRODUCT((表成绩单[考试日期]=表成绩单[[#This Row],[考试日期]])*(表成绩单[历史]&lt;9E+307)*(表成绩单[历史]&gt;表成绩单[[#This Row],[历史]]))+1)</f>
        <v>432</v>
      </c>
      <c r="W3069" s="29" cm="1">
        <f t="array" ref="W3069">IF(表成绩单[[#This Row],[总分]]="","",SUMPRODUCT((表成绩单[考试日期]=表成绩单[[#This Row],[考试日期]])*(表成绩单[总分]&lt;9E+307)*(表成绩单[总分]&gt;表成绩单[[#This Row],[总分]]))+1)</f>
        <v>662</v>
      </c>
    </row>
    <row r="3070" ht="28" customHeight="1" spans="4:23">
      <c r="D3070" s="31">
        <v>46108</v>
      </c>
      <c r="E3070" s="29">
        <v>24028994</v>
      </c>
      <c r="F3070" s="29" t="s">
        <v>59</v>
      </c>
      <c r="G3070" s="29" t="s">
        <v>702</v>
      </c>
      <c r="H3070" s="29">
        <v>78</v>
      </c>
      <c r="I3070" s="29">
        <v>74</v>
      </c>
      <c r="J3070" s="29">
        <v>65.5</v>
      </c>
      <c r="K3070" s="29">
        <v>66</v>
      </c>
      <c r="L3070" s="29">
        <v>50</v>
      </c>
      <c r="M3070" s="29">
        <v>57</v>
      </c>
      <c r="N3070" s="29">
        <v>64</v>
      </c>
      <c r="O3070" s="32">
        <v>454.5</v>
      </c>
      <c r="P3070" s="29" cm="1">
        <f t="array" ref="P3070">IF(表成绩单[[#This Row],[语文]]="","",SUMPRODUCT((表成绩单[考试日期]=表成绩单[[#This Row],[考试日期]])*(表成绩单[语文]&lt;9E+307)*(表成绩单[语文]&gt;表成绩单[[#This Row],[语文]]))+1)</f>
        <v>700</v>
      </c>
      <c r="Q3070" s="29" cm="1">
        <f t="array" ref="Q3070">IF(表成绩单[[#This Row],[数学]]="","",SUMPRODUCT((表成绩单[考试日期]=表成绩单[[#This Row],[考试日期]])*(表成绩单[数学]&lt;9E+307)*(表成绩单[数学]&gt;表成绩单[[#This Row],[数学]]))+1)</f>
        <v>635</v>
      </c>
      <c r="R3070" s="29" cm="1">
        <f t="array" ref="R3070">IF(表成绩单[[#This Row],[英语]]="","",SUMPRODUCT((表成绩单[考试日期]=表成绩单[[#This Row],[考试日期]])*(表成绩单[英语]&lt;9E+307)*(表成绩单[英语]&gt;表成绩单[[#This Row],[英语]]))+1)</f>
        <v>599</v>
      </c>
      <c r="S3070" s="29" cm="1">
        <f t="array" ref="S3070">IF(表成绩单[[#This Row],[物理]]="","",SUMPRODUCT((表成绩单[考试日期]=表成绩单[[#This Row],[考试日期]])*(表成绩单[物理]&lt;9E+307)*(表成绩单[物理]&gt;表成绩单[[#This Row],[物理]]))+1)</f>
        <v>608</v>
      </c>
      <c r="T3070" s="29" cm="1">
        <f t="array" ref="T3070">IF(表成绩单[[#This Row],[化学]]="","",SUMPRODUCT((表成绩单[考试日期]=表成绩单[[#This Row],[考试日期]])*(表成绩单[化学]&lt;9E+307)*(表成绩单[化学]&gt;表成绩单[[#This Row],[化学]]))+1)</f>
        <v>632</v>
      </c>
      <c r="U3070" s="29" cm="1">
        <f t="array" ref="U3070">IF(表成绩单[[#This Row],[政治]]="","",SUMPRODUCT((表成绩单[考试日期]=表成绩单[[#This Row],[考试日期]])*(表成绩单[政治]&lt;9E+307)*(表成绩单[政治]&gt;表成绩单[[#This Row],[政治]]))+1)</f>
        <v>730</v>
      </c>
      <c r="V3070" s="29" cm="1">
        <f t="array" ref="V3070">IF(表成绩单[[#This Row],[历史]]="","",SUMPRODUCT((表成绩单[考试日期]=表成绩单[[#This Row],[考试日期]])*(表成绩单[历史]&lt;9E+307)*(表成绩单[历史]&gt;表成绩单[[#This Row],[历史]]))+1)</f>
        <v>666</v>
      </c>
      <c r="W3070" s="29" cm="1">
        <f t="array" ref="W3070">IF(表成绩单[[#This Row],[总分]]="","",SUMPRODUCT((表成绩单[考试日期]=表成绩单[[#This Row],[考试日期]])*(表成绩单[总分]&lt;9E+307)*(表成绩单[总分]&gt;表成绩单[[#This Row],[总分]]))+1)</f>
        <v>663</v>
      </c>
    </row>
    <row r="3071" ht="28" customHeight="1" spans="4:23">
      <c r="D3071" s="31">
        <v>46108</v>
      </c>
      <c r="E3071" s="29">
        <v>19175622</v>
      </c>
      <c r="F3071" s="29" t="s">
        <v>57</v>
      </c>
      <c r="G3071" s="29" t="s">
        <v>622</v>
      </c>
      <c r="H3071" s="29">
        <v>77</v>
      </c>
      <c r="I3071" s="29">
        <v>72</v>
      </c>
      <c r="J3071" s="29">
        <v>42.5</v>
      </c>
      <c r="K3071" s="29">
        <v>64</v>
      </c>
      <c r="L3071" s="29">
        <v>56</v>
      </c>
      <c r="M3071" s="29">
        <v>74</v>
      </c>
      <c r="N3071" s="29">
        <v>67</v>
      </c>
      <c r="O3071" s="32">
        <v>452.5</v>
      </c>
      <c r="P3071" s="29" cm="1">
        <f t="array" ref="P3071">IF(表成绩单[[#This Row],[语文]]="","",SUMPRODUCT((表成绩单[考试日期]=表成绩单[[#This Row],[考试日期]])*(表成绩单[语文]&lt;9E+307)*(表成绩单[语文]&gt;表成绩单[[#This Row],[语文]]))+1)</f>
        <v>710</v>
      </c>
      <c r="Q3071" s="29" cm="1">
        <f t="array" ref="Q3071">IF(表成绩单[[#This Row],[数学]]="","",SUMPRODUCT((表成绩单[考试日期]=表成绩单[[#This Row],[考试日期]])*(表成绩单[数学]&lt;9E+307)*(表成绩单[数学]&gt;表成绩单[[#This Row],[数学]]))+1)</f>
        <v>651</v>
      </c>
      <c r="R3071" s="29" cm="1">
        <f t="array" ref="R3071">IF(表成绩单[[#This Row],[英语]]="","",SUMPRODUCT((表成绩单[考试日期]=表成绩单[[#This Row],[考试日期]])*(表成绩单[英语]&lt;9E+307)*(表成绩单[英语]&gt;表成绩单[[#This Row],[英语]]))+1)</f>
        <v>734</v>
      </c>
      <c r="S3071" s="29" cm="1">
        <f t="array" ref="S3071">IF(表成绩单[[#This Row],[物理]]="","",SUMPRODUCT((表成绩单[考试日期]=表成绩单[[#This Row],[考试日期]])*(表成绩单[物理]&lt;9E+307)*(表成绩单[物理]&gt;表成绩单[[#This Row],[物理]]))+1)</f>
        <v>626</v>
      </c>
      <c r="T3071" s="29" cm="1">
        <f t="array" ref="T3071">IF(表成绩单[[#This Row],[化学]]="","",SUMPRODUCT((表成绩单[考试日期]=表成绩单[[#This Row],[考试日期]])*(表成绩单[化学]&lt;9E+307)*(表成绩单[化学]&gt;表成绩单[[#This Row],[化学]]))+1)</f>
        <v>569</v>
      </c>
      <c r="U3071" s="29" cm="1">
        <f t="array" ref="U3071">IF(表成绩单[[#This Row],[政治]]="","",SUMPRODUCT((表成绩单[考试日期]=表成绩单[[#This Row],[考试日期]])*(表成绩单[政治]&lt;9E+307)*(表成绩单[政治]&gt;表成绩单[[#This Row],[政治]]))+1)</f>
        <v>389</v>
      </c>
      <c r="V3071" s="29" cm="1">
        <f t="array" ref="V3071">IF(表成绩单[[#This Row],[历史]]="","",SUMPRODUCT((表成绩单[考试日期]=表成绩单[[#This Row],[考试日期]])*(表成绩单[历史]&lt;9E+307)*(表成绩单[历史]&gt;表成绩单[[#This Row],[历史]]))+1)</f>
        <v>623</v>
      </c>
      <c r="W3071" s="29" cm="1">
        <f t="array" ref="W3071">IF(表成绩单[[#This Row],[总分]]="","",SUMPRODUCT((表成绩单[考试日期]=表成绩单[[#This Row],[考试日期]])*(表成绩单[总分]&lt;9E+307)*(表成绩单[总分]&gt;表成绩单[[#This Row],[总分]]))+1)</f>
        <v>664</v>
      </c>
    </row>
    <row r="3072" ht="28" customHeight="1" spans="4:23">
      <c r="D3072" s="31">
        <v>46108</v>
      </c>
      <c r="E3072" s="29">
        <v>19173763</v>
      </c>
      <c r="F3072" s="29" t="s">
        <v>65</v>
      </c>
      <c r="G3072" s="29" t="s">
        <v>681</v>
      </c>
      <c r="H3072" s="29">
        <v>81</v>
      </c>
      <c r="I3072" s="29">
        <v>72</v>
      </c>
      <c r="J3072" s="29">
        <v>69</v>
      </c>
      <c r="K3072" s="29">
        <v>59</v>
      </c>
      <c r="L3072" s="29">
        <v>43</v>
      </c>
      <c r="M3072" s="29">
        <v>63</v>
      </c>
      <c r="N3072" s="29">
        <v>65</v>
      </c>
      <c r="O3072" s="32">
        <v>452</v>
      </c>
      <c r="P3072" s="29" cm="1">
        <f t="array" ref="P3072">IF(表成绩单[[#This Row],[语文]]="","",SUMPRODUCT((表成绩单[考试日期]=表成绩单[[#This Row],[考试日期]])*(表成绩单[语文]&lt;9E+307)*(表成绩单[语文]&gt;表成绩单[[#This Row],[语文]]))+1)</f>
        <v>669</v>
      </c>
      <c r="Q3072" s="29" cm="1">
        <f t="array" ref="Q3072">IF(表成绩单[[#This Row],[数学]]="","",SUMPRODUCT((表成绩单[考试日期]=表成绩单[[#This Row],[考试日期]])*(表成绩单[数学]&lt;9E+307)*(表成绩单[数学]&gt;表成绩单[[#This Row],[数学]]))+1)</f>
        <v>651</v>
      </c>
      <c r="R3072" s="29" cm="1">
        <f t="array" ref="R3072">IF(表成绩单[[#This Row],[英语]]="","",SUMPRODUCT((表成绩单[考试日期]=表成绩单[[#This Row],[考试日期]])*(表成绩单[英语]&lt;9E+307)*(表成绩单[英语]&gt;表成绩单[[#This Row],[英语]]))+1)</f>
        <v>554</v>
      </c>
      <c r="S3072" s="29" cm="1">
        <f t="array" ref="S3072">IF(表成绩单[[#This Row],[物理]]="","",SUMPRODUCT((表成绩单[考试日期]=表成绩单[[#This Row],[考试日期]])*(表成绩单[物理]&lt;9E+307)*(表成绩单[物理]&gt;表成绩单[[#This Row],[物理]]))+1)</f>
        <v>667</v>
      </c>
      <c r="T3072" s="29" cm="1">
        <f t="array" ref="T3072">IF(表成绩单[[#This Row],[化学]]="","",SUMPRODUCT((表成绩单[考试日期]=表成绩单[[#This Row],[考试日期]])*(表成绩单[化学]&lt;9E+307)*(表成绩单[化学]&gt;表成绩单[[#This Row],[化学]]))+1)</f>
        <v>706</v>
      </c>
      <c r="U3072" s="29" cm="1">
        <f t="array" ref="U3072">IF(表成绩单[[#This Row],[政治]]="","",SUMPRODUCT((表成绩单[考试日期]=表成绩单[[#This Row],[考试日期]])*(表成绩单[政治]&lt;9E+307)*(表成绩单[政治]&gt;表成绩单[[#This Row],[政治]]))+1)</f>
        <v>680</v>
      </c>
      <c r="V3072" s="29" cm="1">
        <f t="array" ref="V3072">IF(表成绩单[[#This Row],[历史]]="","",SUMPRODUCT((表成绩单[考试日期]=表成绩单[[#This Row],[考试日期]])*(表成绩单[历史]&lt;9E+307)*(表成绩单[历史]&gt;表成绩单[[#This Row],[历史]]))+1)</f>
        <v>657</v>
      </c>
      <c r="W3072" s="29" cm="1">
        <f t="array" ref="W3072">IF(表成绩单[[#This Row],[总分]]="","",SUMPRODUCT((表成绩单[考试日期]=表成绩单[[#This Row],[考试日期]])*(表成绩单[总分]&lt;9E+307)*(表成绩单[总分]&gt;表成绩单[[#This Row],[总分]]))+1)</f>
        <v>665</v>
      </c>
    </row>
    <row r="3073" ht="28" customHeight="1" spans="4:23">
      <c r="D3073" s="31">
        <v>46108</v>
      </c>
      <c r="E3073" s="29">
        <v>19175330</v>
      </c>
      <c r="F3073" s="29" t="s">
        <v>55</v>
      </c>
      <c r="G3073" s="29" t="s">
        <v>746</v>
      </c>
      <c r="H3073" s="29">
        <v>84</v>
      </c>
      <c r="I3073" s="29">
        <v>70</v>
      </c>
      <c r="J3073" s="29">
        <v>50</v>
      </c>
      <c r="K3073" s="29">
        <v>58</v>
      </c>
      <c r="L3073" s="29">
        <v>54</v>
      </c>
      <c r="M3073" s="29">
        <v>65</v>
      </c>
      <c r="N3073" s="29">
        <v>70</v>
      </c>
      <c r="O3073" s="32">
        <v>451</v>
      </c>
      <c r="P3073" s="29" cm="1">
        <f t="array" ref="P3073">IF(表成绩单[[#This Row],[语文]]="","",SUMPRODUCT((表成绩单[考试日期]=表成绩单[[#This Row],[考试日期]])*(表成绩单[语文]&lt;9E+307)*(表成绩单[语文]&gt;表成绩单[[#This Row],[语文]]))+1)</f>
        <v>638</v>
      </c>
      <c r="Q3073" s="29" cm="1">
        <f t="array" ref="Q3073">IF(表成绩单[[#This Row],[数学]]="","",SUMPRODUCT((表成绩单[考试日期]=表成绩单[[#This Row],[考试日期]])*(表成绩单[数学]&lt;9E+307)*(表成绩单[数学]&gt;表成绩单[[#This Row],[数学]]))+1)</f>
        <v>659</v>
      </c>
      <c r="R3073" s="29" cm="1">
        <f t="array" ref="R3073">IF(表成绩单[[#This Row],[英语]]="","",SUMPRODUCT((表成绩单[考试日期]=表成绩单[[#This Row],[考试日期]])*(表成绩单[英语]&lt;9E+307)*(表成绩单[英语]&gt;表成绩单[[#This Row],[英语]]))+1)</f>
        <v>711</v>
      </c>
      <c r="S3073" s="29" cm="1">
        <f t="array" ref="S3073">IF(表成绩单[[#This Row],[物理]]="","",SUMPRODUCT((表成绩单[考试日期]=表成绩单[[#This Row],[考试日期]])*(表成绩单[物理]&lt;9E+307)*(表成绩单[物理]&gt;表成绩单[[#This Row],[物理]]))+1)</f>
        <v>680</v>
      </c>
      <c r="T3073" s="29" cm="1">
        <f t="array" ref="T3073">IF(表成绩单[[#This Row],[化学]]="","",SUMPRODUCT((表成绩单[考试日期]=表成绩单[[#This Row],[考试日期]])*(表成绩单[化学]&lt;9E+307)*(表成绩单[化学]&gt;表成绩单[[#This Row],[化学]]))+1)</f>
        <v>592</v>
      </c>
      <c r="U3073" s="29" cm="1">
        <f t="array" ref="U3073">IF(表成绩单[[#This Row],[政治]]="","",SUMPRODUCT((表成绩单[考试日期]=表成绩单[[#This Row],[考试日期]])*(表成绩单[政治]&lt;9E+307)*(表成绩单[政治]&gt;表成绩单[[#This Row],[政治]]))+1)</f>
        <v>655</v>
      </c>
      <c r="V3073" s="29" cm="1">
        <f t="array" ref="V3073">IF(表成绩单[[#This Row],[历史]]="","",SUMPRODUCT((表成绩单[考试日期]=表成绩单[[#This Row],[考试日期]])*(表成绩单[历史]&lt;9E+307)*(表成绩单[历史]&gt;表成绩单[[#This Row],[历史]]))+1)</f>
        <v>539</v>
      </c>
      <c r="W3073" s="29" cm="1">
        <f t="array" ref="W3073">IF(表成绩单[[#This Row],[总分]]="","",SUMPRODUCT((表成绩单[考试日期]=表成绩单[[#This Row],[考试日期]])*(表成绩单[总分]&lt;9E+307)*(表成绩单[总分]&gt;表成绩单[[#This Row],[总分]]))+1)</f>
        <v>666</v>
      </c>
    </row>
    <row r="3074" ht="28" customHeight="1" spans="4:23">
      <c r="D3074" s="31">
        <v>46108</v>
      </c>
      <c r="E3074" s="29">
        <v>19174736</v>
      </c>
      <c r="F3074" s="29" t="s">
        <v>64</v>
      </c>
      <c r="G3074" s="29" t="s">
        <v>801</v>
      </c>
      <c r="H3074" s="29">
        <v>86</v>
      </c>
      <c r="I3074" s="29">
        <v>62</v>
      </c>
      <c r="J3074" s="29">
        <v>60.5</v>
      </c>
      <c r="K3074" s="29">
        <v>58</v>
      </c>
      <c r="L3074" s="29">
        <v>53</v>
      </c>
      <c r="M3074" s="29">
        <v>67</v>
      </c>
      <c r="N3074" s="29">
        <v>64</v>
      </c>
      <c r="O3074" s="32">
        <v>450.5</v>
      </c>
      <c r="P3074" s="29" cm="1">
        <f t="array" ref="P3074">IF(表成绩单[[#This Row],[语文]]="","",SUMPRODUCT((表成绩单[考试日期]=表成绩单[[#This Row],[考试日期]])*(表成绩单[语文]&lt;9E+307)*(表成绩单[语文]&gt;表成绩单[[#This Row],[语文]]))+1)</f>
        <v>610</v>
      </c>
      <c r="Q3074" s="29" cm="1">
        <f t="array" ref="Q3074">IF(表成绩单[[#This Row],[数学]]="","",SUMPRODUCT((表成绩单[考试日期]=表成绩单[[#This Row],[考试日期]])*(表成绩单[数学]&lt;9E+307)*(表成绩单[数学]&gt;表成绩单[[#This Row],[数学]]))+1)</f>
        <v>697</v>
      </c>
      <c r="R3074" s="29" cm="1">
        <f t="array" ref="R3074">IF(表成绩单[[#This Row],[英语]]="","",SUMPRODUCT((表成绩单[考试日期]=表成绩单[[#This Row],[考试日期]])*(表成绩单[英语]&lt;9E+307)*(表成绩单[英语]&gt;表成绩单[[#This Row],[英语]]))+1)</f>
        <v>650</v>
      </c>
      <c r="S3074" s="29" cm="1">
        <f t="array" ref="S3074">IF(表成绩单[[#This Row],[物理]]="","",SUMPRODUCT((表成绩单[考试日期]=表成绩单[[#This Row],[考试日期]])*(表成绩单[物理]&lt;9E+307)*(表成绩单[物理]&gt;表成绩单[[#This Row],[物理]]))+1)</f>
        <v>680</v>
      </c>
      <c r="T3074" s="29" cm="1">
        <f t="array" ref="T3074">IF(表成绩单[[#This Row],[化学]]="","",SUMPRODUCT((表成绩单[考试日期]=表成绩单[[#This Row],[考试日期]])*(表成绩单[化学]&lt;9E+307)*(表成绩单[化学]&gt;表成绩单[[#This Row],[化学]]))+1)</f>
        <v>601</v>
      </c>
      <c r="U3074" s="29" cm="1">
        <f t="array" ref="U3074">IF(表成绩单[[#This Row],[政治]]="","",SUMPRODUCT((表成绩单[考试日期]=表成绩单[[#This Row],[考试日期]])*(表成绩单[政治]&lt;9E+307)*(表成绩单[政治]&gt;表成绩单[[#This Row],[政治]]))+1)</f>
        <v>626</v>
      </c>
      <c r="V3074" s="29" cm="1">
        <f t="array" ref="V3074">IF(表成绩单[[#This Row],[历史]]="","",SUMPRODUCT((表成绩单[考试日期]=表成绩单[[#This Row],[考试日期]])*(表成绩单[历史]&lt;9E+307)*(表成绩单[历史]&gt;表成绩单[[#This Row],[历史]]))+1)</f>
        <v>666</v>
      </c>
      <c r="W3074" s="29" cm="1">
        <f t="array" ref="W3074">IF(表成绩单[[#This Row],[总分]]="","",SUMPRODUCT((表成绩单[考试日期]=表成绩单[[#This Row],[考试日期]])*(表成绩单[总分]&lt;9E+307)*(表成绩单[总分]&gt;表成绩单[[#This Row],[总分]]))+1)</f>
        <v>667</v>
      </c>
    </row>
    <row r="3075" ht="28" customHeight="1" spans="4:23">
      <c r="D3075" s="31">
        <v>46108</v>
      </c>
      <c r="E3075" s="29">
        <v>19176022</v>
      </c>
      <c r="F3075" s="29" t="s">
        <v>59</v>
      </c>
      <c r="G3075" s="29" t="s">
        <v>803</v>
      </c>
      <c r="H3075" s="29">
        <v>87</v>
      </c>
      <c r="I3075" s="29">
        <v>52</v>
      </c>
      <c r="J3075" s="29">
        <v>61.5</v>
      </c>
      <c r="K3075" s="29">
        <v>66</v>
      </c>
      <c r="L3075" s="29">
        <v>47</v>
      </c>
      <c r="M3075" s="29">
        <v>65</v>
      </c>
      <c r="N3075" s="29">
        <v>72</v>
      </c>
      <c r="O3075" s="32">
        <v>450.5</v>
      </c>
      <c r="P3075" s="29" cm="1">
        <f t="array" ref="P3075">IF(表成绩单[[#This Row],[语文]]="","",SUMPRODUCT((表成绩单[考试日期]=表成绩单[[#This Row],[考试日期]])*(表成绩单[语文]&lt;9E+307)*(表成绩单[语文]&gt;表成绩单[[#This Row],[语文]]))+1)</f>
        <v>599</v>
      </c>
      <c r="Q3075" s="29" cm="1">
        <f t="array" ref="Q3075">IF(表成绩单[[#This Row],[数学]]="","",SUMPRODUCT((表成绩单[考试日期]=表成绩单[[#This Row],[考试日期]])*(表成绩单[数学]&lt;9E+307)*(表成绩单[数学]&gt;表成绩单[[#This Row],[数学]]))+1)</f>
        <v>736</v>
      </c>
      <c r="R3075" s="29" cm="1">
        <f t="array" ref="R3075">IF(表成绩单[[#This Row],[英语]]="","",SUMPRODUCT((表成绩单[考试日期]=表成绩单[[#This Row],[考试日期]])*(表成绩单[英语]&lt;9E+307)*(表成绩单[英语]&gt;表成绩单[[#This Row],[英语]]))+1)</f>
        <v>642</v>
      </c>
      <c r="S3075" s="29" cm="1">
        <f t="array" ref="S3075">IF(表成绩单[[#This Row],[物理]]="","",SUMPRODUCT((表成绩单[考试日期]=表成绩单[[#This Row],[考试日期]])*(表成绩单[物理]&lt;9E+307)*(表成绩单[物理]&gt;表成绩单[[#This Row],[物理]]))+1)</f>
        <v>608</v>
      </c>
      <c r="T3075" s="29" cm="1">
        <f t="array" ref="T3075">IF(表成绩单[[#This Row],[化学]]="","",SUMPRODUCT((表成绩单[考试日期]=表成绩单[[#This Row],[考试日期]])*(表成绩单[化学]&lt;9E+307)*(表成绩单[化学]&gt;表成绩单[[#This Row],[化学]]))+1)</f>
        <v>670</v>
      </c>
      <c r="U3075" s="29" cm="1">
        <f t="array" ref="U3075">IF(表成绩单[[#This Row],[政治]]="","",SUMPRODUCT((表成绩单[考试日期]=表成绩单[[#This Row],[考试日期]])*(表成绩单[政治]&lt;9E+307)*(表成绩单[政治]&gt;表成绩单[[#This Row],[政治]]))+1)</f>
        <v>655</v>
      </c>
      <c r="V3075" s="29" cm="1">
        <f t="array" ref="V3075">IF(表成绩单[[#This Row],[历史]]="","",SUMPRODUCT((表成绩单[考试日期]=表成绩单[[#This Row],[考试日期]])*(表成绩单[历史]&lt;9E+307)*(表成绩单[历史]&gt;表成绩单[[#This Row],[历史]]))+1)</f>
        <v>470</v>
      </c>
      <c r="W3075" s="29" cm="1">
        <f t="array" ref="W3075">IF(表成绩单[[#This Row],[总分]]="","",SUMPRODUCT((表成绩单[考试日期]=表成绩单[[#This Row],[考试日期]])*(表成绩单[总分]&lt;9E+307)*(表成绩单[总分]&gt;表成绩单[[#This Row],[总分]]))+1)</f>
        <v>667</v>
      </c>
    </row>
    <row r="3076" ht="28" customHeight="1" spans="4:23">
      <c r="D3076" s="31">
        <v>46108</v>
      </c>
      <c r="E3076" s="29">
        <v>19177623</v>
      </c>
      <c r="F3076" s="29" t="s">
        <v>58</v>
      </c>
      <c r="G3076" s="29" t="s">
        <v>783</v>
      </c>
      <c r="H3076" s="29">
        <v>84</v>
      </c>
      <c r="I3076" s="29">
        <v>53</v>
      </c>
      <c r="J3076" s="29">
        <v>53.5</v>
      </c>
      <c r="K3076" s="29">
        <v>62</v>
      </c>
      <c r="L3076" s="29">
        <v>45</v>
      </c>
      <c r="M3076" s="29">
        <v>80</v>
      </c>
      <c r="N3076" s="29">
        <v>73</v>
      </c>
      <c r="O3076" s="32">
        <v>450.5</v>
      </c>
      <c r="P3076" s="29" cm="1">
        <f t="array" ref="P3076">IF(表成绩单[[#This Row],[语文]]="","",SUMPRODUCT((表成绩单[考试日期]=表成绩单[[#This Row],[考试日期]])*(表成绩单[语文]&lt;9E+307)*(表成绩单[语文]&gt;表成绩单[[#This Row],[语文]]))+1)</f>
        <v>638</v>
      </c>
      <c r="Q3076" s="29" cm="1">
        <f t="array" ref="Q3076">IF(表成绩单[[#This Row],[数学]]="","",SUMPRODUCT((表成绩单[考试日期]=表成绩单[[#This Row],[考试日期]])*(表成绩单[数学]&lt;9E+307)*(表成绩单[数学]&gt;表成绩单[[#This Row],[数学]]))+1)</f>
        <v>730</v>
      </c>
      <c r="R3076" s="29" cm="1">
        <f t="array" ref="R3076">IF(表成绩单[[#This Row],[英语]]="","",SUMPRODUCT((表成绩单[考试日期]=表成绩单[[#This Row],[考试日期]])*(表成绩单[英语]&lt;9E+307)*(表成绩单[英语]&gt;表成绩单[[#This Row],[英语]]))+1)</f>
        <v>695</v>
      </c>
      <c r="S3076" s="29" cm="1">
        <f t="array" ref="S3076">IF(表成绩单[[#This Row],[物理]]="","",SUMPRODUCT((表成绩单[考试日期]=表成绩单[[#This Row],[考试日期]])*(表成绩单[物理]&lt;9E+307)*(表成绩单[物理]&gt;表成绩单[[#This Row],[物理]]))+1)</f>
        <v>643</v>
      </c>
      <c r="T3076" s="29" cm="1">
        <f t="array" ref="T3076">IF(表成绩单[[#This Row],[化学]]="","",SUMPRODUCT((表成绩单[考试日期]=表成绩单[[#This Row],[考试日期]])*(表成绩单[化学]&lt;9E+307)*(表成绩单[化学]&gt;表成绩单[[#This Row],[化学]]))+1)</f>
        <v>686</v>
      </c>
      <c r="U3076" s="29" cm="1">
        <f t="array" ref="U3076">IF(表成绩单[[#This Row],[政治]]="","",SUMPRODUCT((表成绩单[考试日期]=表成绩单[[#This Row],[考试日期]])*(表成绩单[政治]&lt;9E+307)*(表成绩单[政治]&gt;表成绩单[[#This Row],[政治]]))+1)</f>
        <v>98</v>
      </c>
      <c r="V3076" s="29" cm="1">
        <f t="array" ref="V3076">IF(表成绩单[[#This Row],[历史]]="","",SUMPRODUCT((表成绩单[考试日期]=表成绩单[[#This Row],[考试日期]])*(表成绩单[历史]&lt;9E+307)*(表成绩单[历史]&gt;表成绩单[[#This Row],[历史]]))+1)</f>
        <v>432</v>
      </c>
      <c r="W3076" s="29" cm="1">
        <f t="array" ref="W3076">IF(表成绩单[[#This Row],[总分]]="","",SUMPRODUCT((表成绩单[考试日期]=表成绩单[[#This Row],[考试日期]])*(表成绩单[总分]&lt;9E+307)*(表成绩单[总分]&gt;表成绩单[[#This Row],[总分]]))+1)</f>
        <v>667</v>
      </c>
    </row>
    <row r="3077" ht="28" customHeight="1" spans="4:23">
      <c r="D3077" s="31">
        <v>46108</v>
      </c>
      <c r="E3077" s="29">
        <v>19172664</v>
      </c>
      <c r="F3077" s="29" t="s">
        <v>60</v>
      </c>
      <c r="G3077" s="29" t="s">
        <v>755</v>
      </c>
      <c r="H3077" s="29">
        <v>86</v>
      </c>
      <c r="I3077" s="29">
        <v>73</v>
      </c>
      <c r="J3077" s="29">
        <v>56</v>
      </c>
      <c r="K3077" s="29">
        <v>63</v>
      </c>
      <c r="L3077" s="29">
        <v>33</v>
      </c>
      <c r="M3077" s="29">
        <v>67</v>
      </c>
      <c r="N3077" s="29">
        <v>71</v>
      </c>
      <c r="O3077" s="32">
        <v>449</v>
      </c>
      <c r="P3077" s="29" cm="1">
        <f t="array" ref="P3077">IF(表成绩单[[#This Row],[语文]]="","",SUMPRODUCT((表成绩单[考试日期]=表成绩单[[#This Row],[考试日期]])*(表成绩单[语文]&lt;9E+307)*(表成绩单[语文]&gt;表成绩单[[#This Row],[语文]]))+1)</f>
        <v>610</v>
      </c>
      <c r="Q3077" s="29" cm="1">
        <f t="array" ref="Q3077">IF(表成绩单[[#This Row],[数学]]="","",SUMPRODUCT((表成绩单[考试日期]=表成绩单[[#This Row],[考试日期]])*(表成绩单[数学]&lt;9E+307)*(表成绩单[数学]&gt;表成绩单[[#This Row],[数学]]))+1)</f>
        <v>643</v>
      </c>
      <c r="R3077" s="29" cm="1">
        <f t="array" ref="R3077">IF(表成绩单[[#This Row],[英语]]="","",SUMPRODUCT((表成绩单[考试日期]=表成绩单[[#This Row],[考试日期]])*(表成绩单[英语]&lt;9E+307)*(表成绩单[英语]&gt;表成绩单[[#This Row],[英语]]))+1)</f>
        <v>681</v>
      </c>
      <c r="S3077" s="29" cm="1">
        <f t="array" ref="S3077">IF(表成绩单[[#This Row],[物理]]="","",SUMPRODUCT((表成绩单[考试日期]=表成绩单[[#This Row],[考试日期]])*(表成绩单[物理]&lt;9E+307)*(表成绩单[物理]&gt;表成绩单[[#This Row],[物理]]))+1)</f>
        <v>631</v>
      </c>
      <c r="T3077" s="29" cm="1">
        <f t="array" ref="T3077">IF(表成绩单[[#This Row],[化学]]="","",SUMPRODUCT((表成绩单[考试日期]=表成绩单[[#This Row],[考试日期]])*(表成绩单[化学]&lt;9E+307)*(表成绩单[化学]&gt;表成绩单[[#This Row],[化学]]))+1)</f>
        <v>756</v>
      </c>
      <c r="U3077" s="29" cm="1">
        <f t="array" ref="U3077">IF(表成绩单[[#This Row],[政治]]="","",SUMPRODUCT((表成绩单[考试日期]=表成绩单[[#This Row],[考试日期]])*(表成绩单[政治]&lt;9E+307)*(表成绩单[政治]&gt;表成绩单[[#This Row],[政治]]))+1)</f>
        <v>626</v>
      </c>
      <c r="V3077" s="29" cm="1">
        <f t="array" ref="V3077">IF(表成绩单[[#This Row],[历史]]="","",SUMPRODUCT((表成绩单[考试日期]=表成绩单[[#This Row],[考试日期]])*(表成绩单[历史]&lt;9E+307)*(表成绩单[历史]&gt;表成绩单[[#This Row],[历史]]))+1)</f>
        <v>516</v>
      </c>
      <c r="W3077" s="29" cm="1">
        <f t="array" ref="W3077">IF(表成绩单[[#This Row],[总分]]="","",SUMPRODUCT((表成绩单[考试日期]=表成绩单[[#This Row],[考试日期]])*(表成绩单[总分]&lt;9E+307)*(表成绩单[总分]&gt;表成绩单[[#This Row],[总分]]))+1)</f>
        <v>670</v>
      </c>
    </row>
    <row r="3078" ht="28" customHeight="1" spans="4:23">
      <c r="D3078" s="31">
        <v>46108</v>
      </c>
      <c r="E3078" s="29">
        <v>24040081</v>
      </c>
      <c r="F3078" s="29" t="s">
        <v>58</v>
      </c>
      <c r="G3078" s="29" t="s">
        <v>692</v>
      </c>
      <c r="H3078" s="29">
        <v>79</v>
      </c>
      <c r="I3078" s="29">
        <v>65</v>
      </c>
      <c r="J3078" s="29">
        <v>45</v>
      </c>
      <c r="K3078" s="29">
        <v>68</v>
      </c>
      <c r="L3078" s="29">
        <v>59</v>
      </c>
      <c r="M3078" s="29">
        <v>60</v>
      </c>
      <c r="N3078" s="29">
        <v>73</v>
      </c>
      <c r="O3078" s="32">
        <v>449</v>
      </c>
      <c r="P3078" s="29" cm="1">
        <f t="array" ref="P3078">IF(表成绩单[[#This Row],[语文]]="","",SUMPRODUCT((表成绩单[考试日期]=表成绩单[[#This Row],[考试日期]])*(表成绩单[语文]&lt;9E+307)*(表成绩单[语文]&gt;表成绩单[[#This Row],[语文]]))+1)</f>
        <v>690</v>
      </c>
      <c r="Q3078" s="29" cm="1">
        <f t="array" ref="Q3078">IF(表成绩单[[#This Row],[数学]]="","",SUMPRODUCT((表成绩单[考试日期]=表成绩单[[#This Row],[考试日期]])*(表成绩单[数学]&lt;9E+307)*(表成绩单[数学]&gt;表成绩单[[#This Row],[数学]]))+1)</f>
        <v>686</v>
      </c>
      <c r="R3078" s="29" cm="1">
        <f t="array" ref="R3078">IF(表成绩单[[#This Row],[英语]]="","",SUMPRODUCT((表成绩单[考试日期]=表成绩单[[#This Row],[考试日期]])*(表成绩单[英语]&lt;9E+307)*(表成绩单[英语]&gt;表成绩单[[#This Row],[英语]]))+1)</f>
        <v>727</v>
      </c>
      <c r="S3078" s="29" cm="1">
        <f t="array" ref="S3078">IF(表成绩单[[#This Row],[物理]]="","",SUMPRODUCT((表成绩单[考试日期]=表成绩单[[#This Row],[考试日期]])*(表成绩单[物理]&lt;9E+307)*(表成绩单[物理]&gt;表成绩单[[#This Row],[物理]]))+1)</f>
        <v>581</v>
      </c>
      <c r="T3078" s="29" cm="1">
        <f t="array" ref="T3078">IF(表成绩单[[#This Row],[化学]]="","",SUMPRODUCT((表成绩单[考试日期]=表成绩单[[#This Row],[考试日期]])*(表成绩单[化学]&lt;9E+307)*(表成绩单[化学]&gt;表成绩单[[#This Row],[化学]]))+1)</f>
        <v>510</v>
      </c>
      <c r="U3078" s="29" cm="1">
        <f t="array" ref="U3078">IF(表成绩单[[#This Row],[政治]]="","",SUMPRODUCT((表成绩单[考试日期]=表成绩单[[#This Row],[考试日期]])*(表成绩单[政治]&lt;9E+307)*(表成绩单[政治]&gt;表成绩单[[#This Row],[政治]]))+1)</f>
        <v>709</v>
      </c>
      <c r="V3078" s="29" cm="1">
        <f t="array" ref="V3078">IF(表成绩单[[#This Row],[历史]]="","",SUMPRODUCT((表成绩单[考试日期]=表成绩单[[#This Row],[考试日期]])*(表成绩单[历史]&lt;9E+307)*(表成绩单[历史]&gt;表成绩单[[#This Row],[历史]]))+1)</f>
        <v>432</v>
      </c>
      <c r="W3078" s="29" cm="1">
        <f t="array" ref="W3078">IF(表成绩单[[#This Row],[总分]]="","",SUMPRODUCT((表成绩单[考试日期]=表成绩单[[#This Row],[考试日期]])*(表成绩单[总分]&lt;9E+307)*(表成绩单[总分]&gt;表成绩单[[#This Row],[总分]]))+1)</f>
        <v>670</v>
      </c>
    </row>
    <row r="3079" ht="28" customHeight="1" spans="4:23">
      <c r="D3079" s="31">
        <v>46108</v>
      </c>
      <c r="E3079" s="29">
        <v>19176017</v>
      </c>
      <c r="F3079" s="29" t="s">
        <v>59</v>
      </c>
      <c r="G3079" s="29" t="s">
        <v>802</v>
      </c>
      <c r="H3079" s="29">
        <v>75</v>
      </c>
      <c r="I3079" s="29">
        <v>67</v>
      </c>
      <c r="J3079" s="29">
        <v>58</v>
      </c>
      <c r="K3079" s="29">
        <v>59</v>
      </c>
      <c r="L3079" s="29">
        <v>46</v>
      </c>
      <c r="M3079" s="29">
        <v>74</v>
      </c>
      <c r="N3079" s="29">
        <v>69</v>
      </c>
      <c r="O3079" s="32">
        <v>448</v>
      </c>
      <c r="P3079" s="29" cm="1">
        <f t="array" ref="P3079">IF(表成绩单[[#This Row],[语文]]="","",SUMPRODUCT((表成绩单[考试日期]=表成绩单[[#This Row],[考试日期]])*(表成绩单[语文]&lt;9E+307)*(表成绩单[语文]&gt;表成绩单[[#This Row],[语文]]))+1)</f>
        <v>721</v>
      </c>
      <c r="Q3079" s="29" cm="1">
        <f t="array" ref="Q3079">IF(表成绩单[[#This Row],[数学]]="","",SUMPRODUCT((表成绩单[考试日期]=表成绩单[[#This Row],[考试日期]])*(表成绩单[数学]&lt;9E+307)*(表成绩单[数学]&gt;表成绩单[[#This Row],[数学]]))+1)</f>
        <v>675</v>
      </c>
      <c r="R3079" s="29" cm="1">
        <f t="array" ref="R3079">IF(表成绩单[[#This Row],[英语]]="","",SUMPRODUCT((表成绩单[考试日期]=表成绩单[[#This Row],[考试日期]])*(表成绩单[英语]&lt;9E+307)*(表成绩单[英语]&gt;表成绩单[[#This Row],[英语]]))+1)</f>
        <v>670</v>
      </c>
      <c r="S3079" s="29" cm="1">
        <f t="array" ref="S3079">IF(表成绩单[[#This Row],[物理]]="","",SUMPRODUCT((表成绩单[考试日期]=表成绩单[[#This Row],[考试日期]])*(表成绩单[物理]&lt;9E+307)*(表成绩单[物理]&gt;表成绩单[[#This Row],[物理]]))+1)</f>
        <v>667</v>
      </c>
      <c r="T3079" s="29" cm="1">
        <f t="array" ref="T3079">IF(表成绩单[[#This Row],[化学]]="","",SUMPRODUCT((表成绩单[考试日期]=表成绩单[[#This Row],[考试日期]])*(表成绩单[化学]&lt;9E+307)*(表成绩单[化学]&gt;表成绩单[[#This Row],[化学]]))+1)</f>
        <v>678</v>
      </c>
      <c r="U3079" s="29" cm="1">
        <f t="array" ref="U3079">IF(表成绩单[[#This Row],[政治]]="","",SUMPRODUCT((表成绩单[考试日期]=表成绩单[[#This Row],[考试日期]])*(表成绩单[政治]&lt;9E+307)*(表成绩单[政治]&gt;表成绩单[[#This Row],[政治]]))+1)</f>
        <v>389</v>
      </c>
      <c r="V3079" s="29" cm="1">
        <f t="array" ref="V3079">IF(表成绩单[[#This Row],[历史]]="","",SUMPRODUCT((表成绩单[考试日期]=表成绩单[[#This Row],[考试日期]])*(表成绩单[历史]&lt;9E+307)*(表成绩单[历史]&gt;表成绩单[[#This Row],[历史]]))+1)</f>
        <v>569</v>
      </c>
      <c r="W3079" s="29" cm="1">
        <f t="array" ref="W3079">IF(表成绩单[[#This Row],[总分]]="","",SUMPRODUCT((表成绩单[考试日期]=表成绩单[[#This Row],[考试日期]])*(表成绩单[总分]&lt;9E+307)*(表成绩单[总分]&gt;表成绩单[[#This Row],[总分]]))+1)</f>
        <v>672</v>
      </c>
    </row>
    <row r="3080" ht="28" customHeight="1" spans="4:23">
      <c r="D3080" s="31">
        <v>46108</v>
      </c>
      <c r="E3080" s="29">
        <v>19172658</v>
      </c>
      <c r="F3080" s="29" t="s">
        <v>60</v>
      </c>
      <c r="G3080" s="29" t="s">
        <v>739</v>
      </c>
      <c r="H3080" s="29">
        <v>95</v>
      </c>
      <c r="I3080" s="29">
        <v>53</v>
      </c>
      <c r="J3080" s="29">
        <v>74.5</v>
      </c>
      <c r="K3080" s="29">
        <v>46</v>
      </c>
      <c r="L3080" s="29">
        <v>35</v>
      </c>
      <c r="M3080" s="29">
        <v>72</v>
      </c>
      <c r="N3080" s="29">
        <v>72</v>
      </c>
      <c r="O3080" s="32">
        <v>447.5</v>
      </c>
      <c r="P3080" s="29" cm="1">
        <f t="array" ref="P3080">IF(表成绩单[[#This Row],[语文]]="","",SUMPRODUCT((表成绩单[考试日期]=表成绩单[[#This Row],[考试日期]])*(表成绩单[语文]&lt;9E+307)*(表成绩单[语文]&gt;表成绩单[[#This Row],[语文]]))+1)</f>
        <v>422</v>
      </c>
      <c r="Q3080" s="29" cm="1">
        <f t="array" ref="Q3080">IF(表成绩单[[#This Row],[数学]]="","",SUMPRODUCT((表成绩单[考试日期]=表成绩单[[#This Row],[考试日期]])*(表成绩单[数学]&lt;9E+307)*(表成绩单[数学]&gt;表成绩单[[#This Row],[数学]]))+1)</f>
        <v>730</v>
      </c>
      <c r="R3080" s="29" cm="1">
        <f t="array" ref="R3080">IF(表成绩单[[#This Row],[英语]]="","",SUMPRODUCT((表成绩单[考试日期]=表成绩单[[#This Row],[考试日期]])*(表成绩单[英语]&lt;9E+307)*(表成绩单[英语]&gt;表成绩单[[#This Row],[英语]]))+1)</f>
        <v>456</v>
      </c>
      <c r="S3080" s="29" cm="1">
        <f t="array" ref="S3080">IF(表成绩单[[#This Row],[物理]]="","",SUMPRODUCT((表成绩单[考试日期]=表成绩单[[#This Row],[考试日期]])*(表成绩单[物理]&lt;9E+307)*(表成绩单[物理]&gt;表成绩单[[#This Row],[物理]]))+1)</f>
        <v>742</v>
      </c>
      <c r="T3080" s="29" cm="1">
        <f t="array" ref="T3080">IF(表成绩单[[#This Row],[化学]]="","",SUMPRODUCT((表成绩单[考试日期]=表成绩单[[#This Row],[考试日期]])*(表成绩单[化学]&lt;9E+307)*(表成绩单[化学]&gt;表成绩单[[#This Row],[化学]]))+1)</f>
        <v>747</v>
      </c>
      <c r="U3080" s="29" cm="1">
        <f t="array" ref="U3080">IF(表成绩单[[#This Row],[政治]]="","",SUMPRODUCT((表成绩单[考试日期]=表成绩单[[#This Row],[考试日期]])*(表成绩单[政治]&lt;9E+307)*(表成绩单[政治]&gt;表成绩单[[#This Row],[政治]]))+1)</f>
        <v>470</v>
      </c>
      <c r="V3080" s="29" cm="1">
        <f t="array" ref="V3080">IF(表成绩单[[#This Row],[历史]]="","",SUMPRODUCT((表成绩单[考试日期]=表成绩单[[#This Row],[考试日期]])*(表成绩单[历史]&lt;9E+307)*(表成绩单[历史]&gt;表成绩单[[#This Row],[历史]]))+1)</f>
        <v>470</v>
      </c>
      <c r="W3080" s="29" cm="1">
        <f t="array" ref="W3080">IF(表成绩单[[#This Row],[总分]]="","",SUMPRODUCT((表成绩单[考试日期]=表成绩单[[#This Row],[考试日期]])*(表成绩单[总分]&lt;9E+307)*(表成绩单[总分]&gt;表成绩单[[#This Row],[总分]]))+1)</f>
        <v>673</v>
      </c>
    </row>
    <row r="3081" ht="28" customHeight="1" spans="4:23">
      <c r="D3081" s="31">
        <v>46108</v>
      </c>
      <c r="E3081" s="29">
        <v>19173778</v>
      </c>
      <c r="F3081" s="29" t="s">
        <v>65</v>
      </c>
      <c r="G3081" s="29" t="s">
        <v>831</v>
      </c>
      <c r="H3081" s="29">
        <v>85</v>
      </c>
      <c r="I3081" s="29">
        <v>64</v>
      </c>
      <c r="J3081" s="29">
        <v>37</v>
      </c>
      <c r="K3081" s="29">
        <v>68</v>
      </c>
      <c r="L3081" s="29">
        <v>48</v>
      </c>
      <c r="M3081" s="29">
        <v>67</v>
      </c>
      <c r="N3081" s="29">
        <v>77</v>
      </c>
      <c r="O3081" s="32">
        <v>446</v>
      </c>
      <c r="P3081" s="29" cm="1">
        <f t="array" ref="P3081">IF(表成绩单[[#This Row],[语文]]="","",SUMPRODUCT((表成绩单[考试日期]=表成绩单[[#This Row],[考试日期]])*(表成绩单[语文]&lt;9E+307)*(表成绩单[语文]&gt;表成绩单[[#This Row],[语文]]))+1)</f>
        <v>626</v>
      </c>
      <c r="Q3081" s="29" cm="1">
        <f t="array" ref="Q3081">IF(表成绩单[[#This Row],[数学]]="","",SUMPRODUCT((表成绩单[考试日期]=表成绩单[[#This Row],[考试日期]])*(表成绩单[数学]&lt;9E+307)*(表成绩单[数学]&gt;表成绩单[[#This Row],[数学]]))+1)</f>
        <v>690</v>
      </c>
      <c r="R3081" s="29" cm="1">
        <f t="array" ref="R3081">IF(表成绩单[[#This Row],[英语]]="","",SUMPRODUCT((表成绩单[考试日期]=表成绩单[[#This Row],[考试日期]])*(表成绩单[英语]&lt;9E+307)*(表成绩单[英语]&gt;表成绩单[[#This Row],[英语]]))+1)</f>
        <v>745</v>
      </c>
      <c r="S3081" s="29" cm="1">
        <f t="array" ref="S3081">IF(表成绩单[[#This Row],[物理]]="","",SUMPRODUCT((表成绩单[考试日期]=表成绩单[[#This Row],[考试日期]])*(表成绩单[物理]&lt;9E+307)*(表成绩单[物理]&gt;表成绩单[[#This Row],[物理]]))+1)</f>
        <v>581</v>
      </c>
      <c r="T3081" s="29" cm="1">
        <f t="array" ref="T3081">IF(表成绩单[[#This Row],[化学]]="","",SUMPRODUCT((表成绩单[考试日期]=表成绩单[[#This Row],[考试日期]])*(表成绩单[化学]&lt;9E+307)*(表成绩单[化学]&gt;表成绩单[[#This Row],[化学]]))+1)</f>
        <v>654</v>
      </c>
      <c r="U3081" s="29" cm="1">
        <f t="array" ref="U3081">IF(表成绩单[[#This Row],[政治]]="","",SUMPRODUCT((表成绩单[考试日期]=表成绩单[[#This Row],[考试日期]])*(表成绩单[政治]&lt;9E+307)*(表成绩单[政治]&gt;表成绩单[[#This Row],[政治]]))+1)</f>
        <v>626</v>
      </c>
      <c r="V3081" s="29" cm="1">
        <f t="array" ref="V3081">IF(表成绩单[[#This Row],[历史]]="","",SUMPRODUCT((表成绩单[考试日期]=表成绩单[[#This Row],[考试日期]])*(表成绩单[历史]&lt;9E+307)*(表成绩单[历史]&gt;表成绩单[[#This Row],[历史]]))+1)</f>
        <v>269</v>
      </c>
      <c r="W3081" s="29" cm="1">
        <f t="array" ref="W3081">IF(表成绩单[[#This Row],[总分]]="","",SUMPRODUCT((表成绩单[考试日期]=表成绩单[[#This Row],[考试日期]])*(表成绩单[总分]&lt;9E+307)*(表成绩单[总分]&gt;表成绩单[[#This Row],[总分]]))+1)</f>
        <v>674</v>
      </c>
    </row>
    <row r="3082" ht="28" customHeight="1" spans="4:23">
      <c r="D3082" s="31">
        <v>46108</v>
      </c>
      <c r="E3082" s="29">
        <v>19175329</v>
      </c>
      <c r="F3082" s="29" t="s">
        <v>55</v>
      </c>
      <c r="G3082" s="29" t="s">
        <v>786</v>
      </c>
      <c r="H3082" s="29">
        <v>65</v>
      </c>
      <c r="I3082" s="29">
        <v>84</v>
      </c>
      <c r="J3082" s="29">
        <v>56</v>
      </c>
      <c r="K3082" s="29">
        <v>58</v>
      </c>
      <c r="L3082" s="29">
        <v>62</v>
      </c>
      <c r="M3082" s="29">
        <v>52</v>
      </c>
      <c r="N3082" s="29">
        <v>69</v>
      </c>
      <c r="O3082" s="32">
        <v>446</v>
      </c>
      <c r="P3082" s="29" cm="1">
        <f t="array" ref="P3082">IF(表成绩单[[#This Row],[语文]]="","",SUMPRODUCT((表成绩单[考试日期]=表成绩单[[#This Row],[考试日期]])*(表成绩单[语文]&lt;9E+307)*(表成绩单[语文]&gt;表成绩单[[#This Row],[语文]]))+1)</f>
        <v>763</v>
      </c>
      <c r="Q3082" s="29" cm="1">
        <f t="array" ref="Q3082">IF(表成绩单[[#This Row],[数学]]="","",SUMPRODUCT((表成绩单[考试日期]=表成绩单[[#This Row],[考试日期]])*(表成绩单[数学]&lt;9E+307)*(表成绩单[数学]&gt;表成绩单[[#This Row],[数学]]))+1)</f>
        <v>518</v>
      </c>
      <c r="R3082" s="29" cm="1">
        <f t="array" ref="R3082">IF(表成绩单[[#This Row],[英语]]="","",SUMPRODUCT((表成绩单[考试日期]=表成绩单[[#This Row],[考试日期]])*(表成绩单[英语]&lt;9E+307)*(表成绩单[英语]&gt;表成绩单[[#This Row],[英语]]))+1)</f>
        <v>681</v>
      </c>
      <c r="S3082" s="29" cm="1">
        <f t="array" ref="S3082">IF(表成绩单[[#This Row],[物理]]="","",SUMPRODUCT((表成绩单[考试日期]=表成绩单[[#This Row],[考试日期]])*(表成绩单[物理]&lt;9E+307)*(表成绩单[物理]&gt;表成绩单[[#This Row],[物理]]))+1)</f>
        <v>680</v>
      </c>
      <c r="T3082" s="29" cm="1">
        <f t="array" ref="T3082">IF(表成绩单[[#This Row],[化学]]="","",SUMPRODUCT((表成绩单[考试日期]=表成绩单[[#This Row],[考试日期]])*(表成绩单[化学]&lt;9E+307)*(表成绩单[化学]&gt;表成绩单[[#This Row],[化学]]))+1)</f>
        <v>449</v>
      </c>
      <c r="U3082" s="29" cm="1">
        <f t="array" ref="U3082">IF(表成绩单[[#This Row],[政治]]="","",SUMPRODUCT((表成绩单[考试日期]=表成绩单[[#This Row],[考试日期]])*(表成绩单[政治]&lt;9E+307)*(表成绩单[政治]&gt;表成绩单[[#This Row],[政治]]))+1)</f>
        <v>754</v>
      </c>
      <c r="V3082" s="29" cm="1">
        <f t="array" ref="V3082">IF(表成绩单[[#This Row],[历史]]="","",SUMPRODUCT((表成绩单[考试日期]=表成绩单[[#This Row],[考试日期]])*(表成绩单[历史]&lt;9E+307)*(表成绩单[历史]&gt;表成绩单[[#This Row],[历史]]))+1)</f>
        <v>569</v>
      </c>
      <c r="W3082" s="29" cm="1">
        <f t="array" ref="W3082">IF(表成绩单[[#This Row],[总分]]="","",SUMPRODUCT((表成绩单[考试日期]=表成绩单[[#This Row],[考试日期]])*(表成绩单[总分]&lt;9E+307)*(表成绩单[总分]&gt;表成绩单[[#This Row],[总分]]))+1)</f>
        <v>674</v>
      </c>
    </row>
    <row r="3083" ht="28" customHeight="1" spans="4:23">
      <c r="D3083" s="31">
        <v>46108</v>
      </c>
      <c r="E3083" s="29">
        <v>24033000</v>
      </c>
      <c r="F3083" s="29" t="s">
        <v>57</v>
      </c>
      <c r="G3083" s="29" t="s">
        <v>765</v>
      </c>
      <c r="H3083" s="29">
        <v>76</v>
      </c>
      <c r="I3083" s="29">
        <v>59</v>
      </c>
      <c r="J3083" s="29">
        <v>49</v>
      </c>
      <c r="K3083" s="29">
        <v>63</v>
      </c>
      <c r="L3083" s="29">
        <v>55</v>
      </c>
      <c r="M3083" s="29">
        <v>74</v>
      </c>
      <c r="N3083" s="29">
        <v>70</v>
      </c>
      <c r="O3083" s="32">
        <v>446</v>
      </c>
      <c r="P3083" s="29" cm="1">
        <f t="array" ref="P3083">IF(表成绩单[[#This Row],[语文]]="","",SUMPRODUCT((表成绩单[考试日期]=表成绩单[[#This Row],[考试日期]])*(表成绩单[语文]&lt;9E+307)*(表成绩单[语文]&gt;表成绩单[[#This Row],[语文]]))+1)</f>
        <v>713</v>
      </c>
      <c r="Q3083" s="29" cm="1">
        <f t="array" ref="Q3083">IF(表成绩单[[#This Row],[数学]]="","",SUMPRODUCT((表成绩单[考试日期]=表成绩单[[#This Row],[考试日期]])*(表成绩单[数学]&lt;9E+307)*(表成绩单[数学]&gt;表成绩单[[#This Row],[数学]]))+1)</f>
        <v>712</v>
      </c>
      <c r="R3083" s="29" cm="1">
        <f t="array" ref="R3083">IF(表成绩单[[#This Row],[英语]]="","",SUMPRODUCT((表成绩单[考试日期]=表成绩单[[#This Row],[考试日期]])*(表成绩单[英语]&lt;9E+307)*(表成绩单[英语]&gt;表成绩单[[#This Row],[英语]]))+1)</f>
        <v>714</v>
      </c>
      <c r="S3083" s="29" cm="1">
        <f t="array" ref="S3083">IF(表成绩单[[#This Row],[物理]]="","",SUMPRODUCT((表成绩单[考试日期]=表成绩单[[#This Row],[考试日期]])*(表成绩单[物理]&lt;9E+307)*(表成绩单[物理]&gt;表成绩单[[#This Row],[物理]]))+1)</f>
        <v>631</v>
      </c>
      <c r="T3083" s="29" cm="1">
        <f t="array" ref="T3083">IF(表成绩单[[#This Row],[化学]]="","",SUMPRODUCT((表成绩单[考试日期]=表成绩单[[#This Row],[考试日期]])*(表成绩单[化学]&lt;9E+307)*(表成绩单[化学]&gt;表成绩单[[#This Row],[化学]]))+1)</f>
        <v>580</v>
      </c>
      <c r="U3083" s="29" cm="1">
        <f t="array" ref="U3083">IF(表成绩单[[#This Row],[政治]]="","",SUMPRODUCT((表成绩单[考试日期]=表成绩单[[#This Row],[考试日期]])*(表成绩单[政治]&lt;9E+307)*(表成绩单[政治]&gt;表成绩单[[#This Row],[政治]]))+1)</f>
        <v>389</v>
      </c>
      <c r="V3083" s="29" cm="1">
        <f t="array" ref="V3083">IF(表成绩单[[#This Row],[历史]]="","",SUMPRODUCT((表成绩单[考试日期]=表成绩单[[#This Row],[考试日期]])*(表成绩单[历史]&lt;9E+307)*(表成绩单[历史]&gt;表成绩单[[#This Row],[历史]]))+1)</f>
        <v>539</v>
      </c>
      <c r="W3083" s="29" cm="1">
        <f t="array" ref="W3083">IF(表成绩单[[#This Row],[总分]]="","",SUMPRODUCT((表成绩单[考试日期]=表成绩单[[#This Row],[考试日期]])*(表成绩单[总分]&lt;9E+307)*(表成绩单[总分]&gt;表成绩单[[#This Row],[总分]]))+1)</f>
        <v>674</v>
      </c>
    </row>
    <row r="3084" ht="28" customHeight="1" spans="4:23">
      <c r="D3084" s="31">
        <v>46108</v>
      </c>
      <c r="E3084" s="29">
        <v>19173790</v>
      </c>
      <c r="F3084" s="29" t="s">
        <v>65</v>
      </c>
      <c r="G3084" s="29" t="s">
        <v>781</v>
      </c>
      <c r="H3084" s="29">
        <v>75</v>
      </c>
      <c r="I3084" s="29">
        <v>81</v>
      </c>
      <c r="J3084" s="29">
        <v>53.5</v>
      </c>
      <c r="K3084" s="29">
        <v>57</v>
      </c>
      <c r="L3084" s="29">
        <v>51</v>
      </c>
      <c r="M3084" s="29">
        <v>63</v>
      </c>
      <c r="N3084" s="29">
        <v>64</v>
      </c>
      <c r="O3084" s="32">
        <v>444.5</v>
      </c>
      <c r="P3084" s="29" cm="1">
        <f t="array" ref="P3084">IF(表成绩单[[#This Row],[语文]]="","",SUMPRODUCT((表成绩单[考试日期]=表成绩单[[#This Row],[考试日期]])*(表成绩单[语文]&lt;9E+307)*(表成绩单[语文]&gt;表成绩单[[#This Row],[语文]]))+1)</f>
        <v>721</v>
      </c>
      <c r="Q3084" s="29" cm="1">
        <f t="array" ref="Q3084">IF(表成绩单[[#This Row],[数学]]="","",SUMPRODUCT((表成绩单[考试日期]=表成绩单[[#This Row],[考试日期]])*(表成绩单[数学]&lt;9E+307)*(表成绩单[数学]&gt;表成绩单[[#This Row],[数学]]))+1)</f>
        <v>563</v>
      </c>
      <c r="R3084" s="29" cm="1">
        <f t="array" ref="R3084">IF(表成绩单[[#This Row],[英语]]="","",SUMPRODUCT((表成绩单[考试日期]=表成绩单[[#This Row],[考试日期]])*(表成绩单[英语]&lt;9E+307)*(表成绩单[英语]&gt;表成绩单[[#This Row],[英语]]))+1)</f>
        <v>695</v>
      </c>
      <c r="S3084" s="29" cm="1">
        <f t="array" ref="S3084">IF(表成绩单[[#This Row],[物理]]="","",SUMPRODUCT((表成绩单[考试日期]=表成绩单[[#This Row],[考试日期]])*(表成绩单[物理]&lt;9E+307)*(表成绩单[物理]&gt;表成绩单[[#This Row],[物理]]))+1)</f>
        <v>692</v>
      </c>
      <c r="T3084" s="29" cm="1">
        <f t="array" ref="T3084">IF(表成绩单[[#This Row],[化学]]="","",SUMPRODUCT((表成绩单[考试日期]=表成绩单[[#This Row],[考试日期]])*(表成绩单[化学]&lt;9E+307)*(表成绩单[化学]&gt;表成绩单[[#This Row],[化学]]))+1)</f>
        <v>622</v>
      </c>
      <c r="U3084" s="29" cm="1">
        <f t="array" ref="U3084">IF(表成绩单[[#This Row],[政治]]="","",SUMPRODUCT((表成绩单[考试日期]=表成绩单[[#This Row],[考试日期]])*(表成绩单[政治]&lt;9E+307)*(表成绩单[政治]&gt;表成绩单[[#This Row],[政治]]))+1)</f>
        <v>680</v>
      </c>
      <c r="V3084" s="29" cm="1">
        <f t="array" ref="V3084">IF(表成绩单[[#This Row],[历史]]="","",SUMPRODUCT((表成绩单[考试日期]=表成绩单[[#This Row],[考试日期]])*(表成绩单[历史]&lt;9E+307)*(表成绩单[历史]&gt;表成绩单[[#This Row],[历史]]))+1)</f>
        <v>666</v>
      </c>
      <c r="W3084" s="29" cm="1">
        <f t="array" ref="W3084">IF(表成绩单[[#This Row],[总分]]="","",SUMPRODUCT((表成绩单[考试日期]=表成绩单[[#This Row],[考试日期]])*(表成绩单[总分]&lt;9E+307)*(表成绩单[总分]&gt;表成绩单[[#This Row],[总分]]))+1)</f>
        <v>677</v>
      </c>
    </row>
    <row r="3085" ht="28" customHeight="1" spans="4:23">
      <c r="D3085" s="31">
        <v>46108</v>
      </c>
      <c r="E3085" s="29">
        <v>19175664</v>
      </c>
      <c r="F3085" s="29" t="s">
        <v>66</v>
      </c>
      <c r="G3085" s="29" t="s">
        <v>777</v>
      </c>
      <c r="H3085" s="29">
        <v>90</v>
      </c>
      <c r="I3085" s="29">
        <v>61</v>
      </c>
      <c r="J3085" s="29">
        <v>70.5</v>
      </c>
      <c r="K3085" s="29">
        <v>51</v>
      </c>
      <c r="L3085" s="29">
        <v>45</v>
      </c>
      <c r="M3085" s="29">
        <v>69</v>
      </c>
      <c r="N3085" s="29">
        <v>58</v>
      </c>
      <c r="O3085" s="32">
        <v>444.5</v>
      </c>
      <c r="P3085" s="29" cm="1">
        <f t="array" ref="P3085">IF(表成绩单[[#This Row],[语文]]="","",SUMPRODUCT((表成绩单[考试日期]=表成绩单[[#This Row],[考试日期]])*(表成绩单[语文]&lt;9E+307)*(表成绩单[语文]&gt;表成绩单[[#This Row],[语文]]))+1)</f>
        <v>539</v>
      </c>
      <c r="Q3085" s="29" cm="1">
        <f t="array" ref="Q3085">IF(表成绩单[[#This Row],[数学]]="","",SUMPRODUCT((表成绩单[考试日期]=表成绩单[[#This Row],[考试日期]])*(表成绩单[数学]&lt;9E+307)*(表成绩单[数学]&gt;表成绩单[[#This Row],[数学]]))+1)</f>
        <v>701</v>
      </c>
      <c r="R3085" s="29" cm="1">
        <f t="array" ref="R3085">IF(表成绩单[[#This Row],[英语]]="","",SUMPRODUCT((表成绩单[考试日期]=表成绩单[[#This Row],[考试日期]])*(表成绩单[英语]&lt;9E+307)*(表成绩单[英语]&gt;表成绩单[[#This Row],[英语]]))+1)</f>
        <v>530</v>
      </c>
      <c r="S3085" s="29" cm="1">
        <f t="array" ref="S3085">IF(表成绩单[[#This Row],[物理]]="","",SUMPRODUCT((表成绩单[考试日期]=表成绩单[[#This Row],[考试日期]])*(表成绩单[物理]&lt;9E+307)*(表成绩单[物理]&gt;表成绩单[[#This Row],[物理]]))+1)</f>
        <v>724</v>
      </c>
      <c r="T3085" s="29" cm="1">
        <f t="array" ref="T3085">IF(表成绩单[[#This Row],[化学]]="","",SUMPRODUCT((表成绩单[考试日期]=表成绩单[[#This Row],[考试日期]])*(表成绩单[化学]&lt;9E+307)*(表成绩单[化学]&gt;表成绩单[[#This Row],[化学]]))+1)</f>
        <v>686</v>
      </c>
      <c r="U3085" s="29" cm="1">
        <f t="array" ref="U3085">IF(表成绩单[[#This Row],[政治]]="","",SUMPRODUCT((表成绩单[考试日期]=表成绩单[[#This Row],[考试日期]])*(表成绩单[政治]&lt;9E+307)*(表成绩单[政治]&gt;表成绩单[[#This Row],[政治]]))+1)</f>
        <v>567</v>
      </c>
      <c r="V3085" s="29" cm="1">
        <f t="array" ref="V3085">IF(表成绩单[[#This Row],[历史]]="","",SUMPRODUCT((表成绩单[考试日期]=表成绩单[[#This Row],[考试日期]])*(表成绩单[历史]&lt;9E+307)*(表成绩单[历史]&gt;表成绩单[[#This Row],[历史]]))+1)</f>
        <v>730</v>
      </c>
      <c r="W3085" s="29" cm="1">
        <f t="array" ref="W3085">IF(表成绩单[[#This Row],[总分]]="","",SUMPRODUCT((表成绩单[考试日期]=表成绩单[[#This Row],[考试日期]])*(表成绩单[总分]&lt;9E+307)*(表成绩单[总分]&gt;表成绩单[[#This Row],[总分]]))+1)</f>
        <v>677</v>
      </c>
    </row>
    <row r="3086" ht="28" customHeight="1" spans="4:23">
      <c r="D3086" s="31">
        <v>46108</v>
      </c>
      <c r="E3086" s="29">
        <v>33609820</v>
      </c>
      <c r="F3086" s="29" t="s">
        <v>55</v>
      </c>
      <c r="G3086" s="29" t="s">
        <v>768</v>
      </c>
      <c r="H3086" s="29">
        <v>76</v>
      </c>
      <c r="I3086" s="29">
        <v>87</v>
      </c>
      <c r="J3086" s="29">
        <v>54</v>
      </c>
      <c r="K3086" s="29">
        <v>67</v>
      </c>
      <c r="L3086" s="29">
        <v>42</v>
      </c>
      <c r="M3086" s="29">
        <v>57</v>
      </c>
      <c r="N3086" s="29">
        <v>61</v>
      </c>
      <c r="O3086" s="32">
        <v>444</v>
      </c>
      <c r="P3086" s="29" cm="1">
        <f t="array" ref="P3086">IF(表成绩单[[#This Row],[语文]]="","",SUMPRODUCT((表成绩单[考试日期]=表成绩单[[#This Row],[考试日期]])*(表成绩单[语文]&lt;9E+307)*(表成绩单[语文]&gt;表成绩单[[#This Row],[语文]]))+1)</f>
        <v>713</v>
      </c>
      <c r="Q3086" s="29" cm="1">
        <f t="array" ref="Q3086">IF(表成绩单[[#This Row],[数学]]="","",SUMPRODUCT((表成绩单[考试日期]=表成绩单[[#This Row],[考试日期]])*(表成绩单[数学]&lt;9E+307)*(表成绩单[数学]&gt;表成绩单[[#This Row],[数学]]))+1)</f>
        <v>452</v>
      </c>
      <c r="R3086" s="29" cm="1">
        <f t="array" ref="R3086">IF(表成绩单[[#This Row],[英语]]="","",SUMPRODUCT((表成绩单[考试日期]=表成绩单[[#This Row],[考试日期]])*(表成绩单[英语]&lt;9E+307)*(表成绩单[英语]&gt;表成绩单[[#This Row],[英语]]))+1)</f>
        <v>691</v>
      </c>
      <c r="S3086" s="29" cm="1">
        <f t="array" ref="S3086">IF(表成绩单[[#This Row],[物理]]="","",SUMPRODUCT((表成绩单[考试日期]=表成绩单[[#This Row],[考试日期]])*(表成绩单[物理]&lt;9E+307)*(表成绩单[物理]&gt;表成绩单[[#This Row],[物理]]))+1)</f>
        <v>593</v>
      </c>
      <c r="T3086" s="29" cm="1">
        <f t="array" ref="T3086">IF(表成绩单[[#This Row],[化学]]="","",SUMPRODUCT((表成绩单[考试日期]=表成绩单[[#This Row],[考试日期]])*(表成绩单[化学]&lt;9E+307)*(表成绩单[化学]&gt;表成绩单[[#This Row],[化学]]))+1)</f>
        <v>716</v>
      </c>
      <c r="U3086" s="29" cm="1">
        <f t="array" ref="U3086">IF(表成绩单[[#This Row],[政治]]="","",SUMPRODUCT((表成绩单[考试日期]=表成绩单[[#This Row],[考试日期]])*(表成绩单[政治]&lt;9E+307)*(表成绩单[政治]&gt;表成绩单[[#This Row],[政治]]))+1)</f>
        <v>730</v>
      </c>
      <c r="V3086" s="29" cm="1">
        <f t="array" ref="V3086">IF(表成绩单[[#This Row],[历史]]="","",SUMPRODUCT((表成绩单[考试日期]=表成绩单[[#This Row],[考试日期]])*(表成绩单[历史]&lt;9E+307)*(表成绩单[历史]&gt;表成绩单[[#This Row],[历史]]))+1)</f>
        <v>707</v>
      </c>
      <c r="W3086" s="29" cm="1">
        <f t="array" ref="W3086">IF(表成绩单[[#This Row],[总分]]="","",SUMPRODUCT((表成绩单[考试日期]=表成绩单[[#This Row],[考试日期]])*(表成绩单[总分]&lt;9E+307)*(表成绩单[总分]&gt;表成绩单[[#This Row],[总分]]))+1)</f>
        <v>679</v>
      </c>
    </row>
    <row r="3087" ht="28" customHeight="1" spans="4:23">
      <c r="D3087" s="31">
        <v>46108</v>
      </c>
      <c r="E3087" s="29">
        <v>19178593</v>
      </c>
      <c r="F3087" s="29" t="s">
        <v>64</v>
      </c>
      <c r="G3087" s="29" t="s">
        <v>772</v>
      </c>
      <c r="H3087" s="29">
        <v>80</v>
      </c>
      <c r="I3087" s="29">
        <v>64</v>
      </c>
      <c r="J3087" s="29">
        <v>56.5</v>
      </c>
      <c r="K3087" s="29">
        <v>68</v>
      </c>
      <c r="L3087" s="29">
        <v>51</v>
      </c>
      <c r="M3087" s="29">
        <v>57</v>
      </c>
      <c r="N3087" s="29">
        <v>67</v>
      </c>
      <c r="O3087" s="32">
        <v>443.5</v>
      </c>
      <c r="P3087" s="29" cm="1">
        <f t="array" ref="P3087">IF(表成绩单[[#This Row],[语文]]="","",SUMPRODUCT((表成绩单[考试日期]=表成绩单[[#This Row],[考试日期]])*(表成绩单[语文]&lt;9E+307)*(表成绩单[语文]&gt;表成绩单[[#This Row],[语文]]))+1)</f>
        <v>679</v>
      </c>
      <c r="Q3087" s="29" cm="1">
        <f t="array" ref="Q3087">IF(表成绩单[[#This Row],[数学]]="","",SUMPRODUCT((表成绩单[考试日期]=表成绩单[[#This Row],[考试日期]])*(表成绩单[数学]&lt;9E+307)*(表成绩单[数学]&gt;表成绩单[[#This Row],[数学]]))+1)</f>
        <v>690</v>
      </c>
      <c r="R3087" s="29" cm="1">
        <f t="array" ref="R3087">IF(表成绩单[[#This Row],[英语]]="","",SUMPRODUCT((表成绩单[考试日期]=表成绩单[[#This Row],[考试日期]])*(表成绩单[英语]&lt;9E+307)*(表成绩单[英语]&gt;表成绩单[[#This Row],[英语]]))+1)</f>
        <v>679</v>
      </c>
      <c r="S3087" s="29" cm="1">
        <f t="array" ref="S3087">IF(表成绩单[[#This Row],[物理]]="","",SUMPRODUCT((表成绩单[考试日期]=表成绩单[[#This Row],[考试日期]])*(表成绩单[物理]&lt;9E+307)*(表成绩单[物理]&gt;表成绩单[[#This Row],[物理]]))+1)</f>
        <v>581</v>
      </c>
      <c r="T3087" s="29" cm="1">
        <f t="array" ref="T3087">IF(表成绩单[[#This Row],[化学]]="","",SUMPRODUCT((表成绩单[考试日期]=表成绩单[[#This Row],[考试日期]])*(表成绩单[化学]&lt;9E+307)*(表成绩单[化学]&gt;表成绩单[[#This Row],[化学]]))+1)</f>
        <v>622</v>
      </c>
      <c r="U3087" s="29" cm="1">
        <f t="array" ref="U3087">IF(表成绩单[[#This Row],[政治]]="","",SUMPRODUCT((表成绩单[考试日期]=表成绩单[[#This Row],[考试日期]])*(表成绩单[政治]&lt;9E+307)*(表成绩单[政治]&gt;表成绩单[[#This Row],[政治]]))+1)</f>
        <v>730</v>
      </c>
      <c r="V3087" s="29" cm="1">
        <f t="array" ref="V3087">IF(表成绩单[[#This Row],[历史]]="","",SUMPRODUCT((表成绩单[考试日期]=表成绩单[[#This Row],[考试日期]])*(表成绩单[历史]&lt;9E+307)*(表成绩单[历史]&gt;表成绩单[[#This Row],[历史]]))+1)</f>
        <v>623</v>
      </c>
      <c r="W3087" s="29" cm="1">
        <f t="array" ref="W3087">IF(表成绩单[[#This Row],[总分]]="","",SUMPRODUCT((表成绩单[考试日期]=表成绩单[[#This Row],[考试日期]])*(表成绩单[总分]&lt;9E+307)*(表成绩单[总分]&gt;表成绩单[[#This Row],[总分]]))+1)</f>
        <v>680</v>
      </c>
    </row>
    <row r="3088" ht="28" customHeight="1" spans="4:23">
      <c r="D3088" s="31">
        <v>46108</v>
      </c>
      <c r="E3088" s="29">
        <v>19173803</v>
      </c>
      <c r="F3088" s="29" t="s">
        <v>65</v>
      </c>
      <c r="G3088" s="29" t="s">
        <v>787</v>
      </c>
      <c r="H3088" s="29">
        <v>82</v>
      </c>
      <c r="I3088" s="29">
        <v>60</v>
      </c>
      <c r="J3088" s="29">
        <v>76</v>
      </c>
      <c r="K3088" s="29">
        <v>52</v>
      </c>
      <c r="L3088" s="29">
        <v>31</v>
      </c>
      <c r="M3088" s="29">
        <v>78</v>
      </c>
      <c r="N3088" s="29">
        <v>64</v>
      </c>
      <c r="O3088" s="32">
        <v>443</v>
      </c>
      <c r="P3088" s="29" cm="1">
        <f t="array" ref="P3088">IF(表成绩单[[#This Row],[语文]]="","",SUMPRODUCT((表成绩单[考试日期]=表成绩单[[#This Row],[考试日期]])*(表成绩单[语文]&lt;9E+307)*(表成绩单[语文]&gt;表成绩单[[#This Row],[语文]]))+1)</f>
        <v>657</v>
      </c>
      <c r="Q3088" s="29" cm="1">
        <f t="array" ref="Q3088">IF(表成绩单[[#This Row],[数学]]="","",SUMPRODUCT((表成绩单[考试日期]=表成绩单[[#This Row],[考试日期]])*(表成绩单[数学]&lt;9E+307)*(表成绩单[数学]&gt;表成绩单[[#This Row],[数学]]))+1)</f>
        <v>707</v>
      </c>
      <c r="R3088" s="29" cm="1">
        <f t="array" ref="R3088">IF(表成绩单[[#This Row],[英语]]="","",SUMPRODUCT((表成绩单[考试日期]=表成绩单[[#This Row],[考试日期]])*(表成绩单[英语]&lt;9E+307)*(表成绩单[英语]&gt;表成绩单[[#This Row],[英语]]))+1)</f>
        <v>405</v>
      </c>
      <c r="S3088" s="29" cm="1">
        <f t="array" ref="S3088">IF(表成绩单[[#This Row],[物理]]="","",SUMPRODUCT((表成绩单[考试日期]=表成绩单[[#This Row],[考试日期]])*(表成绩单[物理]&lt;9E+307)*(表成绩单[物理]&gt;表成绩单[[#This Row],[物理]]))+1)</f>
        <v>718</v>
      </c>
      <c r="T3088" s="29" cm="1">
        <f t="array" ref="T3088">IF(表成绩单[[#This Row],[化学]]="","",SUMPRODUCT((表成绩单[考试日期]=表成绩单[[#This Row],[考试日期]])*(表成绩单[化学]&lt;9E+307)*(表成绩单[化学]&gt;表成绩单[[#This Row],[化学]]))+1)</f>
        <v>761</v>
      </c>
      <c r="U3088" s="29" cm="1">
        <f t="array" ref="U3088">IF(表成绩单[[#This Row],[政治]]="","",SUMPRODUCT((表成绩单[考试日期]=表成绩单[[#This Row],[考试日期]])*(表成绩单[政治]&lt;9E+307)*(表成绩单[政治]&gt;表成绩单[[#This Row],[政治]]))+1)</f>
        <v>171</v>
      </c>
      <c r="V3088" s="29" cm="1">
        <f t="array" ref="V3088">IF(表成绩单[[#This Row],[历史]]="","",SUMPRODUCT((表成绩单[考试日期]=表成绩单[[#This Row],[考试日期]])*(表成绩单[历史]&lt;9E+307)*(表成绩单[历史]&gt;表成绩单[[#This Row],[历史]]))+1)</f>
        <v>666</v>
      </c>
      <c r="W3088" s="29" cm="1">
        <f t="array" ref="W3088">IF(表成绩单[[#This Row],[总分]]="","",SUMPRODUCT((表成绩单[考试日期]=表成绩单[[#This Row],[考试日期]])*(表成绩单[总分]&lt;9E+307)*(表成绩单[总分]&gt;表成绩单[[#This Row],[总分]]))+1)</f>
        <v>681</v>
      </c>
    </row>
    <row r="3089" ht="28" customHeight="1" spans="4:23">
      <c r="D3089" s="31">
        <v>46108</v>
      </c>
      <c r="E3089" s="29">
        <v>19175325</v>
      </c>
      <c r="F3089" s="29" t="s">
        <v>55</v>
      </c>
      <c r="G3089" s="29" t="s">
        <v>761</v>
      </c>
      <c r="H3089" s="29">
        <v>79</v>
      </c>
      <c r="I3089" s="29">
        <v>83</v>
      </c>
      <c r="J3089" s="29">
        <v>60.5</v>
      </c>
      <c r="K3089" s="29">
        <v>49</v>
      </c>
      <c r="L3089" s="29">
        <v>38</v>
      </c>
      <c r="M3089" s="29">
        <v>73</v>
      </c>
      <c r="N3089" s="29">
        <v>60</v>
      </c>
      <c r="O3089" s="32">
        <v>442.5</v>
      </c>
      <c r="P3089" s="29" cm="1">
        <f t="array" ref="P3089">IF(表成绩单[[#This Row],[语文]]="","",SUMPRODUCT((表成绩单[考试日期]=表成绩单[[#This Row],[考试日期]])*(表成绩单[语文]&lt;9E+307)*(表成绩单[语文]&gt;表成绩单[[#This Row],[语文]]))+1)</f>
        <v>690</v>
      </c>
      <c r="Q3089" s="29" cm="1">
        <f t="array" ref="Q3089">IF(表成绩单[[#This Row],[数学]]="","",SUMPRODUCT((表成绩单[考试日期]=表成绩单[[#This Row],[考试日期]])*(表成绩单[数学]&lt;9E+307)*(表成绩单[数学]&gt;表成绩单[[#This Row],[数学]]))+1)</f>
        <v>543</v>
      </c>
      <c r="R3089" s="29" cm="1">
        <f t="array" ref="R3089">IF(表成绩单[[#This Row],[英语]]="","",SUMPRODUCT((表成绩单[考试日期]=表成绩单[[#This Row],[考试日期]])*(表成绩单[英语]&lt;9E+307)*(表成绩单[英语]&gt;表成绩单[[#This Row],[英语]]))+1)</f>
        <v>650</v>
      </c>
      <c r="S3089" s="29" cm="1">
        <f t="array" ref="S3089">IF(表成绩单[[#This Row],[物理]]="","",SUMPRODUCT((表成绩单[考试日期]=表成绩单[[#This Row],[考试日期]])*(表成绩单[物理]&lt;9E+307)*(表成绩单[物理]&gt;表成绩单[[#This Row],[物理]]))+1)</f>
        <v>730</v>
      </c>
      <c r="T3089" s="29" cm="1">
        <f t="array" ref="T3089">IF(表成绩单[[#This Row],[化学]]="","",SUMPRODUCT((表成绩单[考试日期]=表成绩单[[#This Row],[考试日期]])*(表成绩单[化学]&lt;9E+307)*(表成绩单[化学]&gt;表成绩单[[#This Row],[化学]]))+1)</f>
        <v>736</v>
      </c>
      <c r="U3089" s="29" cm="1">
        <f t="array" ref="U3089">IF(表成绩单[[#This Row],[政治]]="","",SUMPRODUCT((表成绩单[考试日期]=表成绩单[[#This Row],[考试日期]])*(表成绩单[政治]&lt;9E+307)*(表成绩单[政治]&gt;表成绩单[[#This Row],[政治]]))+1)</f>
        <v>431</v>
      </c>
      <c r="V3089" s="29" cm="1">
        <f t="array" ref="V3089">IF(表成绩单[[#This Row],[历史]]="","",SUMPRODUCT((表成绩单[考试日期]=表成绩单[[#This Row],[考试日期]])*(表成绩单[历史]&lt;9E+307)*(表成绩单[历史]&gt;表成绩单[[#This Row],[历史]]))+1)</f>
        <v>715</v>
      </c>
      <c r="W3089" s="29" cm="1">
        <f t="array" ref="W3089">IF(表成绩单[[#This Row],[总分]]="","",SUMPRODUCT((表成绩单[考试日期]=表成绩单[[#This Row],[考试日期]])*(表成绩单[总分]&lt;9E+307)*(表成绩单[总分]&gt;表成绩单[[#This Row],[总分]]))+1)</f>
        <v>682</v>
      </c>
    </row>
    <row r="3090" ht="28" customHeight="1" spans="4:23">
      <c r="D3090" s="31">
        <v>46108</v>
      </c>
      <c r="E3090" s="29">
        <v>19175594</v>
      </c>
      <c r="F3090" s="29" t="s">
        <v>57</v>
      </c>
      <c r="G3090" s="29" t="s">
        <v>700</v>
      </c>
      <c r="H3090" s="29">
        <v>94</v>
      </c>
      <c r="I3090" s="29">
        <v>43</v>
      </c>
      <c r="J3090" s="29">
        <v>57.5</v>
      </c>
      <c r="K3090" s="29">
        <v>64</v>
      </c>
      <c r="L3090" s="29">
        <v>36</v>
      </c>
      <c r="M3090" s="29">
        <v>69</v>
      </c>
      <c r="N3090" s="29">
        <v>77</v>
      </c>
      <c r="O3090" s="32">
        <v>440.5</v>
      </c>
      <c r="P3090" s="29" cm="1">
        <f t="array" ref="P3090">IF(表成绩单[[#This Row],[语文]]="","",SUMPRODUCT((表成绩单[考试日期]=表成绩单[[#This Row],[考试日期]])*(表成绩单[语文]&lt;9E+307)*(表成绩单[语文]&gt;表成绩单[[#This Row],[语文]]))+1)</f>
        <v>449</v>
      </c>
      <c r="Q3090" s="29" cm="1">
        <f t="array" ref="Q3090">IF(表成绩单[[#This Row],[数学]]="","",SUMPRODUCT((表成绩单[考试日期]=表成绩单[[#This Row],[考试日期]])*(表成绩单[数学]&lt;9E+307)*(表成绩单[数学]&gt;表成绩单[[#This Row],[数学]]))+1)</f>
        <v>754</v>
      </c>
      <c r="R3090" s="29" cm="1">
        <f t="array" ref="R3090">IF(表成绩单[[#This Row],[英语]]="","",SUMPRODUCT((表成绩单[考试日期]=表成绩单[[#This Row],[考试日期]])*(表成绩单[英语]&lt;9E+307)*(表成绩单[英语]&gt;表成绩单[[#This Row],[英语]]))+1)</f>
        <v>673</v>
      </c>
      <c r="S3090" s="29" cm="1">
        <f t="array" ref="S3090">IF(表成绩单[[#This Row],[物理]]="","",SUMPRODUCT((表成绩单[考试日期]=表成绩单[[#This Row],[考试日期]])*(表成绩单[物理]&lt;9E+307)*(表成绩单[物理]&gt;表成绩单[[#This Row],[物理]]))+1)</f>
        <v>626</v>
      </c>
      <c r="T3090" s="29" cm="1">
        <f t="array" ref="T3090">IF(表成绩单[[#This Row],[化学]]="","",SUMPRODUCT((表成绩单[考试日期]=表成绩单[[#This Row],[考试日期]])*(表成绩单[化学]&lt;9E+307)*(表成绩单[化学]&gt;表成绩单[[#This Row],[化学]]))+1)</f>
        <v>742</v>
      </c>
      <c r="U3090" s="29" cm="1">
        <f t="array" ref="U3090">IF(表成绩单[[#This Row],[政治]]="","",SUMPRODUCT((表成绩单[考试日期]=表成绩单[[#This Row],[考试日期]])*(表成绩单[政治]&lt;9E+307)*(表成绩单[政治]&gt;表成绩单[[#This Row],[政治]]))+1)</f>
        <v>567</v>
      </c>
      <c r="V3090" s="29" cm="1">
        <f t="array" ref="V3090">IF(表成绩单[[#This Row],[历史]]="","",SUMPRODUCT((表成绩单[考试日期]=表成绩单[[#This Row],[考试日期]])*(表成绩单[历史]&lt;9E+307)*(表成绩单[历史]&gt;表成绩单[[#This Row],[历史]]))+1)</f>
        <v>269</v>
      </c>
      <c r="W3090" s="29" cm="1">
        <f t="array" ref="W3090">IF(表成绩单[[#This Row],[总分]]="","",SUMPRODUCT((表成绩单[考试日期]=表成绩单[[#This Row],[考试日期]])*(表成绩单[总分]&lt;9E+307)*(表成绩单[总分]&gt;表成绩单[[#This Row],[总分]]))+1)</f>
        <v>683</v>
      </c>
    </row>
    <row r="3091" ht="28" customHeight="1" spans="4:23">
      <c r="D3091" s="31">
        <v>46108</v>
      </c>
      <c r="E3091" s="29">
        <v>19175590</v>
      </c>
      <c r="F3091" s="29" t="s">
        <v>57</v>
      </c>
      <c r="G3091" s="29" t="s">
        <v>793</v>
      </c>
      <c r="H3091" s="29">
        <v>84</v>
      </c>
      <c r="I3091" s="29">
        <v>75</v>
      </c>
      <c r="J3091" s="29">
        <v>75.5</v>
      </c>
      <c r="K3091" s="29">
        <v>53</v>
      </c>
      <c r="L3091" s="29">
        <v>36</v>
      </c>
      <c r="M3091" s="29">
        <v>52</v>
      </c>
      <c r="N3091" s="29">
        <v>64</v>
      </c>
      <c r="O3091" s="32">
        <v>439.5</v>
      </c>
      <c r="P3091" s="29" cm="1">
        <f t="array" ref="P3091">IF(表成绩单[[#This Row],[语文]]="","",SUMPRODUCT((表成绩单[考试日期]=表成绩单[[#This Row],[考试日期]])*(表成绩单[语文]&lt;9E+307)*(表成绩单[语文]&gt;表成绩单[[#This Row],[语文]]))+1)</f>
        <v>638</v>
      </c>
      <c r="Q3091" s="29" cm="1">
        <f t="array" ref="Q3091">IF(表成绩单[[#This Row],[数学]]="","",SUMPRODUCT((表成绩单[考试日期]=表成绩单[[#This Row],[考试日期]])*(表成绩单[数学]&lt;9E+307)*(表成绩单[数学]&gt;表成绩单[[#This Row],[数学]]))+1)</f>
        <v>630</v>
      </c>
      <c r="R3091" s="29" cm="1">
        <f t="array" ref="R3091">IF(表成绩单[[#This Row],[英语]]="","",SUMPRODUCT((表成绩单[考试日期]=表成绩单[[#This Row],[考试日期]])*(表成绩单[英语]&lt;9E+307)*(表成绩单[英语]&gt;表成绩单[[#This Row],[英语]]))+1)</f>
        <v>421</v>
      </c>
      <c r="S3091" s="29" cm="1">
        <f t="array" ref="S3091">IF(表成绩单[[#This Row],[物理]]="","",SUMPRODUCT((表成绩单[考试日期]=表成绩单[[#This Row],[考试日期]])*(表成绩单[物理]&lt;9E+307)*(表成绩单[物理]&gt;表成绩单[[#This Row],[物理]]))+1)</f>
        <v>711</v>
      </c>
      <c r="T3091" s="29" cm="1">
        <f t="array" ref="T3091">IF(表成绩单[[#This Row],[化学]]="","",SUMPRODUCT((表成绩单[考试日期]=表成绩单[[#This Row],[考试日期]])*(表成绩单[化学]&lt;9E+307)*(表成绩单[化学]&gt;表成绩单[[#This Row],[化学]]))+1)</f>
        <v>742</v>
      </c>
      <c r="U3091" s="29" cm="1">
        <f t="array" ref="U3091">IF(表成绩单[[#This Row],[政治]]="","",SUMPRODUCT((表成绩单[考试日期]=表成绩单[[#This Row],[考试日期]])*(表成绩单[政治]&lt;9E+307)*(表成绩单[政治]&gt;表成绩单[[#This Row],[政治]]))+1)</f>
        <v>754</v>
      </c>
      <c r="V3091" s="29" cm="1">
        <f t="array" ref="V3091">IF(表成绩单[[#This Row],[历史]]="","",SUMPRODUCT((表成绩单[考试日期]=表成绩单[[#This Row],[考试日期]])*(表成绩单[历史]&lt;9E+307)*(表成绩单[历史]&gt;表成绩单[[#This Row],[历史]]))+1)</f>
        <v>666</v>
      </c>
      <c r="W3091" s="29" cm="1">
        <f t="array" ref="W3091">IF(表成绩单[[#This Row],[总分]]="","",SUMPRODUCT((表成绩单[考试日期]=表成绩单[[#This Row],[考试日期]])*(表成绩单[总分]&lt;9E+307)*(表成绩单[总分]&gt;表成绩单[[#This Row],[总分]]))+1)</f>
        <v>684</v>
      </c>
    </row>
    <row r="3092" ht="28" customHeight="1" spans="4:23">
      <c r="D3092" s="31">
        <v>46108</v>
      </c>
      <c r="E3092" s="29">
        <v>19176006</v>
      </c>
      <c r="F3092" s="29" t="s">
        <v>59</v>
      </c>
      <c r="G3092" s="29" t="s">
        <v>776</v>
      </c>
      <c r="H3092" s="29">
        <v>94</v>
      </c>
      <c r="I3092" s="29">
        <v>57</v>
      </c>
      <c r="J3092" s="29">
        <v>56</v>
      </c>
      <c r="K3092" s="29">
        <v>52</v>
      </c>
      <c r="L3092" s="29">
        <v>40</v>
      </c>
      <c r="M3092" s="29">
        <v>71</v>
      </c>
      <c r="N3092" s="29">
        <v>69</v>
      </c>
      <c r="O3092" s="32">
        <v>439</v>
      </c>
      <c r="P3092" s="29" cm="1">
        <f t="array" ref="P3092">IF(表成绩单[[#This Row],[语文]]="","",SUMPRODUCT((表成绩单[考试日期]=表成绩单[[#This Row],[考试日期]])*(表成绩单[语文]&lt;9E+307)*(表成绩单[语文]&gt;表成绩单[[#This Row],[语文]]))+1)</f>
        <v>449</v>
      </c>
      <c r="Q3092" s="29" cm="1">
        <f t="array" ref="Q3092">IF(表成绩单[[#This Row],[数学]]="","",SUMPRODUCT((表成绩单[考试日期]=表成绩单[[#This Row],[考试日期]])*(表成绩单[数学]&lt;9E+307)*(表成绩单[数学]&gt;表成绩单[[#This Row],[数学]]))+1)</f>
        <v>719</v>
      </c>
      <c r="R3092" s="29" cm="1">
        <f t="array" ref="R3092">IF(表成绩单[[#This Row],[英语]]="","",SUMPRODUCT((表成绩单[考试日期]=表成绩单[[#This Row],[考试日期]])*(表成绩单[英语]&lt;9E+307)*(表成绩单[英语]&gt;表成绩单[[#This Row],[英语]]))+1)</f>
        <v>681</v>
      </c>
      <c r="S3092" s="29" cm="1">
        <f t="array" ref="S3092">IF(表成绩单[[#This Row],[物理]]="","",SUMPRODUCT((表成绩单[考试日期]=表成绩单[[#This Row],[考试日期]])*(表成绩单[物理]&lt;9E+307)*(表成绩单[物理]&gt;表成绩单[[#This Row],[物理]]))+1)</f>
        <v>718</v>
      </c>
      <c r="T3092" s="29" cm="1">
        <f t="array" ref="T3092">IF(表成绩单[[#This Row],[化学]]="","",SUMPRODUCT((表成绩单[考试日期]=表成绩单[[#This Row],[考试日期]])*(表成绩单[化学]&lt;9E+307)*(表成绩单[化学]&gt;表成绩单[[#This Row],[化学]]))+1)</f>
        <v>725</v>
      </c>
      <c r="U3092" s="29" cm="1">
        <f t="array" ref="U3092">IF(表成绩单[[#This Row],[政治]]="","",SUMPRODUCT((表成绩单[考试日期]=表成绩单[[#This Row],[考试日期]])*(表成绩单[政治]&lt;9E+307)*(表成绩单[政治]&gt;表成绩单[[#This Row],[政治]]))+1)</f>
        <v>513</v>
      </c>
      <c r="V3092" s="29" cm="1">
        <f t="array" ref="V3092">IF(表成绩单[[#This Row],[历史]]="","",SUMPRODUCT((表成绩单[考试日期]=表成绩单[[#This Row],[考试日期]])*(表成绩单[历史]&lt;9E+307)*(表成绩单[历史]&gt;表成绩单[[#This Row],[历史]]))+1)</f>
        <v>569</v>
      </c>
      <c r="W3092" s="29" cm="1">
        <f t="array" ref="W3092">IF(表成绩单[[#This Row],[总分]]="","",SUMPRODUCT((表成绩单[考试日期]=表成绩单[[#This Row],[考试日期]])*(表成绩单[总分]&lt;9E+307)*(表成绩单[总分]&gt;表成绩单[[#This Row],[总分]]))+1)</f>
        <v>685</v>
      </c>
    </row>
    <row r="3093" ht="28" customHeight="1" spans="4:23">
      <c r="D3093" s="31">
        <v>46108</v>
      </c>
      <c r="E3093" s="29">
        <v>19175295</v>
      </c>
      <c r="F3093" s="29" t="s">
        <v>55</v>
      </c>
      <c r="G3093" s="29" t="s">
        <v>797</v>
      </c>
      <c r="H3093" s="29">
        <v>84</v>
      </c>
      <c r="I3093" s="29">
        <v>61</v>
      </c>
      <c r="J3093" s="29">
        <v>53.5</v>
      </c>
      <c r="K3093" s="29">
        <v>57</v>
      </c>
      <c r="L3093" s="29">
        <v>48</v>
      </c>
      <c r="M3093" s="29">
        <v>67</v>
      </c>
      <c r="N3093" s="29">
        <v>68</v>
      </c>
      <c r="O3093" s="32">
        <v>438.5</v>
      </c>
      <c r="P3093" s="29" cm="1">
        <f t="array" ref="P3093">IF(表成绩单[[#This Row],[语文]]="","",SUMPRODUCT((表成绩单[考试日期]=表成绩单[[#This Row],[考试日期]])*(表成绩单[语文]&lt;9E+307)*(表成绩单[语文]&gt;表成绩单[[#This Row],[语文]]))+1)</f>
        <v>638</v>
      </c>
      <c r="Q3093" s="29" cm="1">
        <f t="array" ref="Q3093">IF(表成绩单[[#This Row],[数学]]="","",SUMPRODUCT((表成绩单[考试日期]=表成绩单[[#This Row],[考试日期]])*(表成绩单[数学]&lt;9E+307)*(表成绩单[数学]&gt;表成绩单[[#This Row],[数学]]))+1)</f>
        <v>701</v>
      </c>
      <c r="R3093" s="29" cm="1">
        <f t="array" ref="R3093">IF(表成绩单[[#This Row],[英语]]="","",SUMPRODUCT((表成绩单[考试日期]=表成绩单[[#This Row],[考试日期]])*(表成绩单[英语]&lt;9E+307)*(表成绩单[英语]&gt;表成绩单[[#This Row],[英语]]))+1)</f>
        <v>695</v>
      </c>
      <c r="S3093" s="29" cm="1">
        <f t="array" ref="S3093">IF(表成绩单[[#This Row],[物理]]="","",SUMPRODUCT((表成绩单[考试日期]=表成绩单[[#This Row],[考试日期]])*(表成绩单[物理]&lt;9E+307)*(表成绩单[物理]&gt;表成绩单[[#This Row],[物理]]))+1)</f>
        <v>692</v>
      </c>
      <c r="T3093" s="29" cm="1">
        <f t="array" ref="T3093">IF(表成绩单[[#This Row],[化学]]="","",SUMPRODUCT((表成绩单[考试日期]=表成绩单[[#This Row],[考试日期]])*(表成绩单[化学]&lt;9E+307)*(表成绩单[化学]&gt;表成绩单[[#This Row],[化学]]))+1)</f>
        <v>654</v>
      </c>
      <c r="U3093" s="29" cm="1">
        <f t="array" ref="U3093">IF(表成绩单[[#This Row],[政治]]="","",SUMPRODUCT((表成绩单[考试日期]=表成绩单[[#This Row],[考试日期]])*(表成绩单[政治]&lt;9E+307)*(表成绩单[政治]&gt;表成绩单[[#This Row],[政治]]))+1)</f>
        <v>626</v>
      </c>
      <c r="V3093" s="29" cm="1">
        <f t="array" ref="V3093">IF(表成绩单[[#This Row],[历史]]="","",SUMPRODUCT((表成绩单[考试日期]=表成绩单[[#This Row],[考试日期]])*(表成绩单[历史]&lt;9E+307)*(表成绩单[历史]&gt;表成绩单[[#This Row],[历史]]))+1)</f>
        <v>599</v>
      </c>
      <c r="W3093" s="29" cm="1">
        <f t="array" ref="W3093">IF(表成绩单[[#This Row],[总分]]="","",SUMPRODUCT((表成绩单[考试日期]=表成绩单[[#This Row],[考试日期]])*(表成绩单[总分]&lt;9E+307)*(表成绩单[总分]&gt;表成绩单[[#This Row],[总分]]))+1)</f>
        <v>686</v>
      </c>
    </row>
    <row r="3094" ht="28" customHeight="1" spans="4:23">
      <c r="D3094" s="31">
        <v>46108</v>
      </c>
      <c r="E3094" s="29">
        <v>19176009</v>
      </c>
      <c r="F3094" s="29" t="s">
        <v>59</v>
      </c>
      <c r="G3094" s="29" t="s">
        <v>723</v>
      </c>
      <c r="H3094" s="29">
        <v>89</v>
      </c>
      <c r="I3094" s="29">
        <v>65</v>
      </c>
      <c r="J3094" s="29">
        <v>58.5</v>
      </c>
      <c r="K3094" s="29">
        <v>53</v>
      </c>
      <c r="L3094" s="29">
        <v>39</v>
      </c>
      <c r="M3094" s="29">
        <v>62</v>
      </c>
      <c r="N3094" s="29">
        <v>72</v>
      </c>
      <c r="O3094" s="32">
        <v>438.5</v>
      </c>
      <c r="P3094" s="29" cm="1">
        <f t="array" ref="P3094">IF(表成绩单[[#This Row],[语文]]="","",SUMPRODUCT((表成绩单[考试日期]=表成绩单[[#This Row],[考试日期]])*(表成绩单[语文]&lt;9E+307)*(表成绩单[语文]&gt;表成绩单[[#This Row],[语文]]))+1)</f>
        <v>559</v>
      </c>
      <c r="Q3094" s="29" cm="1">
        <f t="array" ref="Q3094">IF(表成绩单[[#This Row],[数学]]="","",SUMPRODUCT((表成绩单[考试日期]=表成绩单[[#This Row],[考试日期]])*(表成绩单[数学]&lt;9E+307)*(表成绩单[数学]&gt;表成绩单[[#This Row],[数学]]))+1)</f>
        <v>686</v>
      </c>
      <c r="R3094" s="29" cm="1">
        <f t="array" ref="R3094">IF(表成绩单[[#This Row],[英语]]="","",SUMPRODUCT((表成绩单[考试日期]=表成绩单[[#This Row],[考试日期]])*(表成绩单[英语]&lt;9E+307)*(表成绩单[英语]&gt;表成绩单[[#This Row],[英语]]))+1)</f>
        <v>668</v>
      </c>
      <c r="S3094" s="29" cm="1">
        <f t="array" ref="S3094">IF(表成绩单[[#This Row],[物理]]="","",SUMPRODUCT((表成绩单[考试日期]=表成绩单[[#This Row],[考试日期]])*(表成绩单[物理]&lt;9E+307)*(表成绩单[物理]&gt;表成绩单[[#This Row],[物理]]))+1)</f>
        <v>711</v>
      </c>
      <c r="T3094" s="29" cm="1">
        <f t="array" ref="T3094">IF(表成绩单[[#This Row],[化学]]="","",SUMPRODUCT((表成绩单[考试日期]=表成绩单[[#This Row],[考试日期]])*(表成绩单[化学]&lt;9E+307)*(表成绩单[化学]&gt;表成绩单[[#This Row],[化学]]))+1)</f>
        <v>729</v>
      </c>
      <c r="U3094" s="29" cm="1">
        <f t="array" ref="U3094">IF(表成绩单[[#This Row],[政治]]="","",SUMPRODUCT((表成绩单[考试日期]=表成绩单[[#This Row],[考试日期]])*(表成绩单[政治]&lt;9E+307)*(表成绩单[政治]&gt;表成绩单[[#This Row],[政治]]))+1)</f>
        <v>692</v>
      </c>
      <c r="V3094" s="29" cm="1">
        <f t="array" ref="V3094">IF(表成绩单[[#This Row],[历史]]="","",SUMPRODUCT((表成绩单[考试日期]=表成绩单[[#This Row],[考试日期]])*(表成绩单[历史]&lt;9E+307)*(表成绩单[历史]&gt;表成绩单[[#This Row],[历史]]))+1)</f>
        <v>470</v>
      </c>
      <c r="W3094" s="29" cm="1">
        <f t="array" ref="W3094">IF(表成绩单[[#This Row],[总分]]="","",SUMPRODUCT((表成绩单[考试日期]=表成绩单[[#This Row],[考试日期]])*(表成绩单[总分]&lt;9E+307)*(表成绩单[总分]&gt;表成绩单[[#This Row],[总分]]))+1)</f>
        <v>686</v>
      </c>
    </row>
    <row r="3095" ht="28" customHeight="1" spans="4:23">
      <c r="D3095" s="31">
        <v>46108</v>
      </c>
      <c r="E3095" s="29">
        <v>19173801</v>
      </c>
      <c r="F3095" s="29" t="s">
        <v>65</v>
      </c>
      <c r="G3095" s="29" t="s">
        <v>752</v>
      </c>
      <c r="H3095" s="29">
        <v>84</v>
      </c>
      <c r="I3095" s="29">
        <v>51</v>
      </c>
      <c r="J3095" s="29">
        <v>65.5</v>
      </c>
      <c r="K3095" s="29">
        <v>45</v>
      </c>
      <c r="L3095" s="29">
        <v>44</v>
      </c>
      <c r="M3095" s="29">
        <v>70</v>
      </c>
      <c r="N3095" s="29">
        <v>78</v>
      </c>
      <c r="O3095" s="32">
        <v>437.5</v>
      </c>
      <c r="P3095" s="29" cm="1">
        <f t="array" ref="P3095">IF(表成绩单[[#This Row],[语文]]="","",SUMPRODUCT((表成绩单[考试日期]=表成绩单[[#This Row],[考试日期]])*(表成绩单[语文]&lt;9E+307)*(表成绩单[语文]&gt;表成绩单[[#This Row],[语文]]))+1)</f>
        <v>638</v>
      </c>
      <c r="Q3095" s="29" cm="1">
        <f t="array" ref="Q3095">IF(表成绩单[[#This Row],[数学]]="","",SUMPRODUCT((表成绩单[考试日期]=表成绩单[[#This Row],[考试日期]])*(表成绩单[数学]&lt;9E+307)*(表成绩单[数学]&gt;表成绩单[[#This Row],[数学]]))+1)</f>
        <v>738</v>
      </c>
      <c r="R3095" s="29" cm="1">
        <f t="array" ref="R3095">IF(表成绩单[[#This Row],[英语]]="","",SUMPRODUCT((表成绩单[考试日期]=表成绩单[[#This Row],[考试日期]])*(表成绩单[英语]&lt;9E+307)*(表成绩单[英语]&gt;表成绩单[[#This Row],[英语]]))+1)</f>
        <v>599</v>
      </c>
      <c r="S3095" s="29" cm="1">
        <f t="array" ref="S3095">IF(表成绩单[[#This Row],[物理]]="","",SUMPRODUCT((表成绩单[考试日期]=表成绩单[[#This Row],[考试日期]])*(表成绩单[物理]&lt;9E+307)*(表成绩单[物理]&gt;表成绩单[[#This Row],[物理]]))+1)</f>
        <v>747</v>
      </c>
      <c r="T3095" s="29" cm="1">
        <f t="array" ref="T3095">IF(表成绩单[[#This Row],[化学]]="","",SUMPRODUCT((表成绩单[考试日期]=表成绩单[[#This Row],[考试日期]])*(表成绩单[化学]&lt;9E+307)*(表成绩单[化学]&gt;表成绩单[[#This Row],[化学]]))+1)</f>
        <v>699</v>
      </c>
      <c r="U3095" s="29" cm="1">
        <f t="array" ref="U3095">IF(表成绩单[[#This Row],[政治]]="","",SUMPRODUCT((表成绩单[考试日期]=表成绩单[[#This Row],[考试日期]])*(表成绩单[政治]&lt;9E+307)*(表成绩单[政治]&gt;表成绩单[[#This Row],[政治]]))+1)</f>
        <v>548</v>
      </c>
      <c r="V3095" s="29" cm="1">
        <f t="array" ref="V3095">IF(表成绩单[[#This Row],[历史]]="","",SUMPRODUCT((表成绩单[考试日期]=表成绩单[[#This Row],[考试日期]])*(表成绩单[历史]&lt;9E+307)*(表成绩单[历史]&gt;表成绩单[[#This Row],[历史]]))+1)</f>
        <v>222</v>
      </c>
      <c r="W3095" s="29" cm="1">
        <f t="array" ref="W3095">IF(表成绩单[[#This Row],[总分]]="","",SUMPRODUCT((表成绩单[考试日期]=表成绩单[[#This Row],[考试日期]])*(表成绩单[总分]&lt;9E+307)*(表成绩单[总分]&gt;表成绩单[[#This Row],[总分]]))+1)</f>
        <v>688</v>
      </c>
    </row>
    <row r="3096" ht="28" customHeight="1" spans="4:23">
      <c r="D3096" s="31">
        <v>46108</v>
      </c>
      <c r="E3096" s="29">
        <v>19175602</v>
      </c>
      <c r="F3096" s="29" t="s">
        <v>57</v>
      </c>
      <c r="G3096" s="29" t="s">
        <v>800</v>
      </c>
      <c r="H3096" s="29">
        <v>79</v>
      </c>
      <c r="I3096" s="29">
        <v>77</v>
      </c>
      <c r="J3096" s="29">
        <v>46</v>
      </c>
      <c r="K3096" s="29">
        <v>50</v>
      </c>
      <c r="L3096" s="29">
        <v>42</v>
      </c>
      <c r="M3096" s="29">
        <v>71</v>
      </c>
      <c r="N3096" s="29">
        <v>69</v>
      </c>
      <c r="O3096" s="32">
        <v>434</v>
      </c>
      <c r="P3096" s="29" cm="1">
        <f t="array" ref="P3096">IF(表成绩单[[#This Row],[语文]]="","",SUMPRODUCT((表成绩单[考试日期]=表成绩单[[#This Row],[考试日期]])*(表成绩单[语文]&lt;9E+307)*(表成绩单[语文]&gt;表成绩单[[#This Row],[语文]]))+1)</f>
        <v>690</v>
      </c>
      <c r="Q3096" s="29" cm="1">
        <f t="array" ref="Q3096">IF(表成绩单[[#This Row],[数学]]="","",SUMPRODUCT((表成绩单[考试日期]=表成绩单[[#This Row],[考试日期]])*(表成绩单[数学]&lt;9E+307)*(表成绩单[数学]&gt;表成绩单[[#This Row],[数学]]))+1)</f>
        <v>617</v>
      </c>
      <c r="R3096" s="29" cm="1">
        <f t="array" ref="R3096">IF(表成绩单[[#This Row],[英语]]="","",SUMPRODUCT((表成绩单[考试日期]=表成绩单[[#This Row],[考试日期]])*(表成绩单[英语]&lt;9E+307)*(表成绩单[英语]&gt;表成绩单[[#This Row],[英语]]))+1)</f>
        <v>723</v>
      </c>
      <c r="S3096" s="29" cm="1">
        <f t="array" ref="S3096">IF(表成绩单[[#This Row],[物理]]="","",SUMPRODUCT((表成绩单[考试日期]=表成绩单[[#This Row],[考试日期]])*(表成绩单[物理]&lt;9E+307)*(表成绩单[物理]&gt;表成绩单[[#This Row],[物理]]))+1)</f>
        <v>729</v>
      </c>
      <c r="T3096" s="29" cm="1">
        <f t="array" ref="T3096">IF(表成绩单[[#This Row],[化学]]="","",SUMPRODUCT((表成绩单[考试日期]=表成绩单[[#This Row],[考试日期]])*(表成绩单[化学]&lt;9E+307)*(表成绩单[化学]&gt;表成绩单[[#This Row],[化学]]))+1)</f>
        <v>716</v>
      </c>
      <c r="U3096" s="29" cm="1">
        <f t="array" ref="U3096">IF(表成绩单[[#This Row],[政治]]="","",SUMPRODUCT((表成绩单[考试日期]=表成绩单[[#This Row],[考试日期]])*(表成绩单[政治]&lt;9E+307)*(表成绩单[政治]&gt;表成绩单[[#This Row],[政治]]))+1)</f>
        <v>513</v>
      </c>
      <c r="V3096" s="29" cm="1">
        <f t="array" ref="V3096">IF(表成绩单[[#This Row],[历史]]="","",SUMPRODUCT((表成绩单[考试日期]=表成绩单[[#This Row],[考试日期]])*(表成绩单[历史]&lt;9E+307)*(表成绩单[历史]&gt;表成绩单[[#This Row],[历史]]))+1)</f>
        <v>569</v>
      </c>
      <c r="W3096" s="29" cm="1">
        <f t="array" ref="W3096">IF(表成绩单[[#This Row],[总分]]="","",SUMPRODUCT((表成绩单[考试日期]=表成绩单[[#This Row],[考试日期]])*(表成绩单[总分]&lt;9E+307)*(表成绩单[总分]&gt;表成绩单[[#This Row],[总分]]))+1)</f>
        <v>689</v>
      </c>
    </row>
    <row r="3097" ht="28" customHeight="1" spans="4:23">
      <c r="D3097" s="31">
        <v>46108</v>
      </c>
      <c r="E3097" s="29">
        <v>19177624</v>
      </c>
      <c r="F3097" s="29" t="s">
        <v>58</v>
      </c>
      <c r="G3097" s="29" t="s">
        <v>770</v>
      </c>
      <c r="H3097" s="29">
        <v>73</v>
      </c>
      <c r="I3097" s="29">
        <v>59</v>
      </c>
      <c r="J3097" s="29">
        <v>61</v>
      </c>
      <c r="K3097" s="29">
        <v>61</v>
      </c>
      <c r="L3097" s="29">
        <v>46</v>
      </c>
      <c r="M3097" s="29">
        <v>66</v>
      </c>
      <c r="N3097" s="29">
        <v>68</v>
      </c>
      <c r="O3097" s="32">
        <v>434</v>
      </c>
      <c r="P3097" s="29" cm="1">
        <f t="array" ref="P3097">IF(表成绩单[[#This Row],[语文]]="","",SUMPRODUCT((表成绩单[考试日期]=表成绩单[[#This Row],[考试日期]])*(表成绩单[语文]&lt;9E+307)*(表成绩单[语文]&gt;表成绩单[[#This Row],[语文]]))+1)</f>
        <v>727</v>
      </c>
      <c r="Q3097" s="29" cm="1">
        <f t="array" ref="Q3097">IF(表成绩单[[#This Row],[数学]]="","",SUMPRODUCT((表成绩单[考试日期]=表成绩单[[#This Row],[考试日期]])*(表成绩单[数学]&lt;9E+307)*(表成绩单[数学]&gt;表成绩单[[#This Row],[数学]]))+1)</f>
        <v>712</v>
      </c>
      <c r="R3097" s="29" cm="1">
        <f t="array" ref="R3097">IF(表成绩单[[#This Row],[英语]]="","",SUMPRODUCT((表成绩单[考试日期]=表成绩单[[#This Row],[考试日期]])*(表成绩单[英语]&lt;9E+307)*(表成绩单[英语]&gt;表成绩单[[#This Row],[英语]]))+1)</f>
        <v>644</v>
      </c>
      <c r="S3097" s="29" cm="1">
        <f t="array" ref="S3097">IF(表成绩单[[#This Row],[物理]]="","",SUMPRODUCT((表成绩单[考试日期]=表成绩单[[#This Row],[考试日期]])*(表成绩单[物理]&lt;9E+307)*(表成绩单[物理]&gt;表成绩单[[#This Row],[物理]]))+1)</f>
        <v>655</v>
      </c>
      <c r="T3097" s="29" cm="1">
        <f t="array" ref="T3097">IF(表成绩单[[#This Row],[化学]]="","",SUMPRODUCT((表成绩单[考试日期]=表成绩单[[#This Row],[考试日期]])*(表成绩单[化学]&lt;9E+307)*(表成绩单[化学]&gt;表成绩单[[#This Row],[化学]]))+1)</f>
        <v>678</v>
      </c>
      <c r="U3097" s="29" cm="1">
        <f t="array" ref="U3097">IF(表成绩单[[#This Row],[政治]]="","",SUMPRODUCT((表成绩单[考试日期]=表成绩单[[#This Row],[考试日期]])*(表成绩单[政治]&lt;9E+307)*(表成绩单[政治]&gt;表成绩单[[#This Row],[政治]]))+1)</f>
        <v>642</v>
      </c>
      <c r="V3097" s="29" cm="1">
        <f t="array" ref="V3097">IF(表成绩单[[#This Row],[历史]]="","",SUMPRODUCT((表成绩单[考试日期]=表成绩单[[#This Row],[考试日期]])*(表成绩单[历史]&lt;9E+307)*(表成绩单[历史]&gt;表成绩单[[#This Row],[历史]]))+1)</f>
        <v>599</v>
      </c>
      <c r="W3097" s="29" cm="1">
        <f t="array" ref="W3097">IF(表成绩单[[#This Row],[总分]]="","",SUMPRODUCT((表成绩单[考试日期]=表成绩单[[#This Row],[考试日期]])*(表成绩单[总分]&lt;9E+307)*(表成绩单[总分]&gt;表成绩单[[#This Row],[总分]]))+1)</f>
        <v>689</v>
      </c>
    </row>
    <row r="3098" ht="28" customHeight="1" spans="4:23">
      <c r="D3098" s="31">
        <v>46108</v>
      </c>
      <c r="E3098" s="29">
        <v>19177664</v>
      </c>
      <c r="F3098" s="29" t="s">
        <v>63</v>
      </c>
      <c r="G3098" s="29" t="s">
        <v>748</v>
      </c>
      <c r="H3098" s="29">
        <v>70</v>
      </c>
      <c r="I3098" s="29">
        <v>84</v>
      </c>
      <c r="J3098" s="29">
        <v>54</v>
      </c>
      <c r="K3098" s="29">
        <v>49</v>
      </c>
      <c r="L3098" s="29">
        <v>44</v>
      </c>
      <c r="M3098" s="29">
        <v>63</v>
      </c>
      <c r="N3098" s="29">
        <v>70</v>
      </c>
      <c r="O3098" s="32">
        <v>434</v>
      </c>
      <c r="P3098" s="29" cm="1">
        <f t="array" ref="P3098">IF(表成绩单[[#This Row],[语文]]="","",SUMPRODUCT((表成绩单[考试日期]=表成绩单[[#This Row],[考试日期]])*(表成绩单[语文]&lt;9E+307)*(表成绩单[语文]&gt;表成绩单[[#This Row],[语文]]))+1)</f>
        <v>742</v>
      </c>
      <c r="Q3098" s="29" cm="1">
        <f t="array" ref="Q3098">IF(表成绩单[[#This Row],[数学]]="","",SUMPRODUCT((表成绩单[考试日期]=表成绩单[[#This Row],[考试日期]])*(表成绩单[数学]&lt;9E+307)*(表成绩单[数学]&gt;表成绩单[[#This Row],[数学]]))+1)</f>
        <v>518</v>
      </c>
      <c r="R3098" s="29" cm="1">
        <f t="array" ref="R3098">IF(表成绩单[[#This Row],[英语]]="","",SUMPRODUCT((表成绩单[考试日期]=表成绩单[[#This Row],[考试日期]])*(表成绩单[英语]&lt;9E+307)*(表成绩单[英语]&gt;表成绩单[[#This Row],[英语]]))+1)</f>
        <v>691</v>
      </c>
      <c r="S3098" s="29" cm="1">
        <f t="array" ref="S3098">IF(表成绩单[[#This Row],[物理]]="","",SUMPRODUCT((表成绩单[考试日期]=表成绩单[[#This Row],[考试日期]])*(表成绩单[物理]&lt;9E+307)*(表成绩单[物理]&gt;表成绩单[[#This Row],[物理]]))+1)</f>
        <v>730</v>
      </c>
      <c r="T3098" s="29" cm="1">
        <f t="array" ref="T3098">IF(表成绩单[[#This Row],[化学]]="","",SUMPRODUCT((表成绩单[考试日期]=表成绩单[[#This Row],[考试日期]])*(表成绩单[化学]&lt;9E+307)*(表成绩单[化学]&gt;表成绩单[[#This Row],[化学]]))+1)</f>
        <v>699</v>
      </c>
      <c r="U3098" s="29" cm="1">
        <f t="array" ref="U3098">IF(表成绩单[[#This Row],[政治]]="","",SUMPRODUCT((表成绩单[考试日期]=表成绩单[[#This Row],[考试日期]])*(表成绩单[政治]&lt;9E+307)*(表成绩单[政治]&gt;表成绩单[[#This Row],[政治]]))+1)</f>
        <v>680</v>
      </c>
      <c r="V3098" s="29" cm="1">
        <f t="array" ref="V3098">IF(表成绩单[[#This Row],[历史]]="","",SUMPRODUCT((表成绩单[考试日期]=表成绩单[[#This Row],[考试日期]])*(表成绩单[历史]&lt;9E+307)*(表成绩单[历史]&gt;表成绩单[[#This Row],[历史]]))+1)</f>
        <v>539</v>
      </c>
      <c r="W3098" s="29" cm="1">
        <f t="array" ref="W3098">IF(表成绩单[[#This Row],[总分]]="","",SUMPRODUCT((表成绩单[考试日期]=表成绩单[[#This Row],[考试日期]])*(表成绩单[总分]&lt;9E+307)*(表成绩单[总分]&gt;表成绩单[[#This Row],[总分]]))+1)</f>
        <v>689</v>
      </c>
    </row>
    <row r="3099" ht="28" customHeight="1" spans="4:23">
      <c r="D3099" s="31">
        <v>46108</v>
      </c>
      <c r="E3099" s="29">
        <v>19173791</v>
      </c>
      <c r="F3099" s="29" t="s">
        <v>65</v>
      </c>
      <c r="G3099" s="29" t="s">
        <v>872</v>
      </c>
      <c r="H3099" s="29">
        <v>69</v>
      </c>
      <c r="I3099" s="29">
        <v>61</v>
      </c>
      <c r="J3099" s="29">
        <v>61</v>
      </c>
      <c r="K3099" s="29">
        <v>62</v>
      </c>
      <c r="L3099" s="29">
        <v>48</v>
      </c>
      <c r="M3099" s="29">
        <v>64</v>
      </c>
      <c r="N3099" s="29">
        <v>68</v>
      </c>
      <c r="O3099" s="32">
        <v>433</v>
      </c>
      <c r="P3099" s="29" cm="1">
        <f t="array" ref="P3099">IF(表成绩单[[#This Row],[语文]]="","",SUMPRODUCT((表成绩单[考试日期]=表成绩单[[#This Row],[考试日期]])*(表成绩单[语文]&lt;9E+307)*(表成绩单[语文]&gt;表成绩单[[#This Row],[语文]]))+1)</f>
        <v>746</v>
      </c>
      <c r="Q3099" s="29" cm="1">
        <f t="array" ref="Q3099">IF(表成绩单[[#This Row],[数学]]="","",SUMPRODUCT((表成绩单[考试日期]=表成绩单[[#This Row],[考试日期]])*(表成绩单[数学]&lt;9E+307)*(表成绩单[数学]&gt;表成绩单[[#This Row],[数学]]))+1)</f>
        <v>701</v>
      </c>
      <c r="R3099" s="29" cm="1">
        <f t="array" ref="R3099">IF(表成绩单[[#This Row],[英语]]="","",SUMPRODUCT((表成绩单[考试日期]=表成绩单[[#This Row],[考试日期]])*(表成绩单[英语]&lt;9E+307)*(表成绩单[英语]&gt;表成绩单[[#This Row],[英语]]))+1)</f>
        <v>644</v>
      </c>
      <c r="S3099" s="29" cm="1">
        <f t="array" ref="S3099">IF(表成绩单[[#This Row],[物理]]="","",SUMPRODUCT((表成绩单[考试日期]=表成绩单[[#This Row],[考试日期]])*(表成绩单[物理]&lt;9E+307)*(表成绩单[物理]&gt;表成绩单[[#This Row],[物理]]))+1)</f>
        <v>643</v>
      </c>
      <c r="T3099" s="29" cm="1">
        <f t="array" ref="T3099">IF(表成绩单[[#This Row],[化学]]="","",SUMPRODUCT((表成绩单[考试日期]=表成绩单[[#This Row],[考试日期]])*(表成绩单[化学]&lt;9E+307)*(表成绩单[化学]&gt;表成绩单[[#This Row],[化学]]))+1)</f>
        <v>654</v>
      </c>
      <c r="U3099" s="29" cm="1">
        <f t="array" ref="U3099">IF(表成绩单[[#This Row],[政治]]="","",SUMPRODUCT((表成绩单[考试日期]=表成绩单[[#This Row],[考试日期]])*(表成绩单[政治]&lt;9E+307)*(表成绩单[政治]&gt;表成绩单[[#This Row],[政治]]))+1)</f>
        <v>670</v>
      </c>
      <c r="V3099" s="29" cm="1">
        <f t="array" ref="V3099">IF(表成绩单[[#This Row],[历史]]="","",SUMPRODUCT((表成绩单[考试日期]=表成绩单[[#This Row],[考试日期]])*(表成绩单[历史]&lt;9E+307)*(表成绩单[历史]&gt;表成绩单[[#This Row],[历史]]))+1)</f>
        <v>599</v>
      </c>
      <c r="W3099" s="29" cm="1">
        <f t="array" ref="W3099">IF(表成绩单[[#This Row],[总分]]="","",SUMPRODUCT((表成绩单[考试日期]=表成绩单[[#This Row],[考试日期]])*(表成绩单[总分]&lt;9E+307)*(表成绩单[总分]&gt;表成绩单[[#This Row],[总分]]))+1)</f>
        <v>692</v>
      </c>
    </row>
    <row r="3100" ht="28" customHeight="1" spans="4:23">
      <c r="D3100" s="31">
        <v>46108</v>
      </c>
      <c r="E3100" s="29">
        <v>19175612</v>
      </c>
      <c r="F3100" s="29" t="s">
        <v>57</v>
      </c>
      <c r="G3100" s="29" t="s">
        <v>766</v>
      </c>
      <c r="H3100" s="29">
        <v>82</v>
      </c>
      <c r="I3100" s="29">
        <v>62</v>
      </c>
      <c r="J3100" s="29">
        <v>69</v>
      </c>
      <c r="K3100" s="29">
        <v>48</v>
      </c>
      <c r="L3100" s="29">
        <v>45</v>
      </c>
      <c r="M3100" s="29">
        <v>67</v>
      </c>
      <c r="N3100" s="29">
        <v>60</v>
      </c>
      <c r="O3100" s="32">
        <v>433</v>
      </c>
      <c r="P3100" s="29" cm="1">
        <f t="array" ref="P3100">IF(表成绩单[[#This Row],[语文]]="","",SUMPRODUCT((表成绩单[考试日期]=表成绩单[[#This Row],[考试日期]])*(表成绩单[语文]&lt;9E+307)*(表成绩单[语文]&gt;表成绩单[[#This Row],[语文]]))+1)</f>
        <v>657</v>
      </c>
      <c r="Q3100" s="29" cm="1">
        <f t="array" ref="Q3100">IF(表成绩单[[#This Row],[数学]]="","",SUMPRODUCT((表成绩单[考试日期]=表成绩单[[#This Row],[考试日期]])*(表成绩单[数学]&lt;9E+307)*(表成绩单[数学]&gt;表成绩单[[#This Row],[数学]]))+1)</f>
        <v>697</v>
      </c>
      <c r="R3100" s="29" cm="1">
        <f t="array" ref="R3100">IF(表成绩单[[#This Row],[英语]]="","",SUMPRODUCT((表成绩单[考试日期]=表成绩单[[#This Row],[考试日期]])*(表成绩单[英语]&lt;9E+307)*(表成绩单[英语]&gt;表成绩单[[#This Row],[英语]]))+1)</f>
        <v>554</v>
      </c>
      <c r="S3100" s="29" cm="1">
        <f t="array" ref="S3100">IF(表成绩单[[#This Row],[物理]]="","",SUMPRODUCT((表成绩单[考试日期]=表成绩单[[#This Row],[考试日期]])*(表成绩单[物理]&lt;9E+307)*(表成绩单[物理]&gt;表成绩单[[#This Row],[物理]]))+1)</f>
        <v>735</v>
      </c>
      <c r="T3100" s="29" cm="1">
        <f t="array" ref="T3100">IF(表成绩单[[#This Row],[化学]]="","",SUMPRODUCT((表成绩单[考试日期]=表成绩单[[#This Row],[考试日期]])*(表成绩单[化学]&lt;9E+307)*(表成绩单[化学]&gt;表成绩单[[#This Row],[化学]]))+1)</f>
        <v>686</v>
      </c>
      <c r="U3100" s="29" cm="1">
        <f t="array" ref="U3100">IF(表成绩单[[#This Row],[政治]]="","",SUMPRODUCT((表成绩单[考试日期]=表成绩单[[#This Row],[考试日期]])*(表成绩单[政治]&lt;9E+307)*(表成绩单[政治]&gt;表成绩单[[#This Row],[政治]]))+1)</f>
        <v>626</v>
      </c>
      <c r="V3100" s="29" cm="1">
        <f t="array" ref="V3100">IF(表成绩单[[#This Row],[历史]]="","",SUMPRODUCT((表成绩单[考试日期]=表成绩单[[#This Row],[考试日期]])*(表成绩单[历史]&lt;9E+307)*(表成绩单[历史]&gt;表成绩单[[#This Row],[历史]]))+1)</f>
        <v>715</v>
      </c>
      <c r="W3100" s="29" cm="1">
        <f t="array" ref="W3100">IF(表成绩单[[#This Row],[总分]]="","",SUMPRODUCT((表成绩单[考试日期]=表成绩单[[#This Row],[考试日期]])*(表成绩单[总分]&lt;9E+307)*(表成绩单[总分]&gt;表成绩单[[#This Row],[总分]]))+1)</f>
        <v>692</v>
      </c>
    </row>
    <row r="3101" ht="28" customHeight="1" spans="4:23">
      <c r="D3101" s="31">
        <v>46108</v>
      </c>
      <c r="E3101" s="29">
        <v>19172627</v>
      </c>
      <c r="F3101" s="29" t="s">
        <v>60</v>
      </c>
      <c r="G3101" s="29" t="s">
        <v>758</v>
      </c>
      <c r="H3101" s="29">
        <v>64</v>
      </c>
      <c r="I3101" s="29">
        <v>74</v>
      </c>
      <c r="J3101" s="29">
        <v>42.5</v>
      </c>
      <c r="K3101" s="29">
        <v>68</v>
      </c>
      <c r="L3101" s="29">
        <v>50</v>
      </c>
      <c r="M3101" s="29">
        <v>63</v>
      </c>
      <c r="N3101" s="29">
        <v>71</v>
      </c>
      <c r="O3101" s="32">
        <v>432.5</v>
      </c>
      <c r="P3101" s="29" cm="1">
        <f t="array" ref="P3101">IF(表成绩单[[#This Row],[语文]]="","",SUMPRODUCT((表成绩单[考试日期]=表成绩单[[#This Row],[考试日期]])*(表成绩单[语文]&lt;9E+307)*(表成绩单[语文]&gt;表成绩单[[#This Row],[语文]]))+1)</f>
        <v>765</v>
      </c>
      <c r="Q3101" s="29" cm="1">
        <f t="array" ref="Q3101">IF(表成绩单[[#This Row],[数学]]="","",SUMPRODUCT((表成绩单[考试日期]=表成绩单[[#This Row],[考试日期]])*(表成绩单[数学]&lt;9E+307)*(表成绩单[数学]&gt;表成绩单[[#This Row],[数学]]))+1)</f>
        <v>635</v>
      </c>
      <c r="R3101" s="29" cm="1">
        <f t="array" ref="R3101">IF(表成绩单[[#This Row],[英语]]="","",SUMPRODUCT((表成绩单[考试日期]=表成绩单[[#This Row],[考试日期]])*(表成绩单[英语]&lt;9E+307)*(表成绩单[英语]&gt;表成绩单[[#This Row],[英语]]))+1)</f>
        <v>734</v>
      </c>
      <c r="S3101" s="29" cm="1">
        <f t="array" ref="S3101">IF(表成绩单[[#This Row],[物理]]="","",SUMPRODUCT((表成绩单[考试日期]=表成绩单[[#This Row],[考试日期]])*(表成绩单[物理]&lt;9E+307)*(表成绩单[物理]&gt;表成绩单[[#This Row],[物理]]))+1)</f>
        <v>581</v>
      </c>
      <c r="T3101" s="29" cm="1">
        <f t="array" ref="T3101">IF(表成绩单[[#This Row],[化学]]="","",SUMPRODUCT((表成绩单[考试日期]=表成绩单[[#This Row],[考试日期]])*(表成绩单[化学]&lt;9E+307)*(表成绩单[化学]&gt;表成绩单[[#This Row],[化学]]))+1)</f>
        <v>632</v>
      </c>
      <c r="U3101" s="29" cm="1">
        <f t="array" ref="U3101">IF(表成绩单[[#This Row],[政治]]="","",SUMPRODUCT((表成绩单[考试日期]=表成绩单[[#This Row],[考试日期]])*(表成绩单[政治]&lt;9E+307)*(表成绩单[政治]&gt;表成绩单[[#This Row],[政治]]))+1)</f>
        <v>680</v>
      </c>
      <c r="V3101" s="29" cm="1">
        <f t="array" ref="V3101">IF(表成绩单[[#This Row],[历史]]="","",SUMPRODUCT((表成绩单[考试日期]=表成绩单[[#This Row],[考试日期]])*(表成绩单[历史]&lt;9E+307)*(表成绩单[历史]&gt;表成绩单[[#This Row],[历史]]))+1)</f>
        <v>516</v>
      </c>
      <c r="W3101" s="29" cm="1">
        <f t="array" ref="W3101">IF(表成绩单[[#This Row],[总分]]="","",SUMPRODUCT((表成绩单[考试日期]=表成绩单[[#This Row],[考试日期]])*(表成绩单[总分]&lt;9E+307)*(表成绩单[总分]&gt;表成绩单[[#This Row],[总分]]))+1)</f>
        <v>694</v>
      </c>
    </row>
    <row r="3102" ht="28" customHeight="1" spans="4:23">
      <c r="D3102" s="31">
        <v>46108</v>
      </c>
      <c r="E3102" s="29">
        <v>19175603</v>
      </c>
      <c r="F3102" s="29" t="s">
        <v>57</v>
      </c>
      <c r="G3102" s="29" t="s">
        <v>727</v>
      </c>
      <c r="H3102" s="29">
        <v>90</v>
      </c>
      <c r="I3102" s="29">
        <v>67</v>
      </c>
      <c r="J3102" s="29">
        <v>59.5</v>
      </c>
      <c r="K3102" s="29">
        <v>52</v>
      </c>
      <c r="L3102" s="29">
        <v>48</v>
      </c>
      <c r="M3102" s="29">
        <v>67</v>
      </c>
      <c r="N3102" s="29">
        <v>49</v>
      </c>
      <c r="O3102" s="32">
        <v>432.5</v>
      </c>
      <c r="P3102" s="29" cm="1">
        <f t="array" ref="P3102">IF(表成绩单[[#This Row],[语文]]="","",SUMPRODUCT((表成绩单[考试日期]=表成绩单[[#This Row],[考试日期]])*(表成绩单[语文]&lt;9E+307)*(表成绩单[语文]&gt;表成绩单[[#This Row],[语文]]))+1)</f>
        <v>539</v>
      </c>
      <c r="Q3102" s="29" cm="1">
        <f t="array" ref="Q3102">IF(表成绩单[[#This Row],[数学]]="","",SUMPRODUCT((表成绩单[考试日期]=表成绩单[[#This Row],[考试日期]])*(表成绩单[数学]&lt;9E+307)*(表成绩单[数学]&gt;表成绩单[[#This Row],[数学]]))+1)</f>
        <v>675</v>
      </c>
      <c r="R3102" s="29" cm="1">
        <f t="array" ref="R3102">IF(表成绩单[[#This Row],[英语]]="","",SUMPRODUCT((表成绩单[考试日期]=表成绩单[[#This Row],[考试日期]])*(表成绩单[英语]&lt;9E+307)*(表成绩单[英语]&gt;表成绩单[[#This Row],[英语]]))+1)</f>
        <v>660</v>
      </c>
      <c r="S3102" s="29" cm="1">
        <f t="array" ref="S3102">IF(表成绩单[[#This Row],[物理]]="","",SUMPRODUCT((表成绩单[考试日期]=表成绩单[[#This Row],[考试日期]])*(表成绩单[物理]&lt;9E+307)*(表成绩单[物理]&gt;表成绩单[[#This Row],[物理]]))+1)</f>
        <v>718</v>
      </c>
      <c r="T3102" s="29" cm="1">
        <f t="array" ref="T3102">IF(表成绩单[[#This Row],[化学]]="","",SUMPRODUCT((表成绩单[考试日期]=表成绩单[[#This Row],[考试日期]])*(表成绩单[化学]&lt;9E+307)*(表成绩单[化学]&gt;表成绩单[[#This Row],[化学]]))+1)</f>
        <v>654</v>
      </c>
      <c r="U3102" s="29" cm="1">
        <f t="array" ref="U3102">IF(表成绩单[[#This Row],[政治]]="","",SUMPRODUCT((表成绩单[考试日期]=表成绩单[[#This Row],[考试日期]])*(表成绩单[政治]&lt;9E+307)*(表成绩单[政治]&gt;表成绩单[[#This Row],[政治]]))+1)</f>
        <v>626</v>
      </c>
      <c r="V3102" s="29" cm="1">
        <f t="array" ref="V3102">IF(表成绩单[[#This Row],[历史]]="","",SUMPRODUCT((表成绩单[考试日期]=表成绩单[[#This Row],[考试日期]])*(表成绩单[历史]&lt;9E+307)*(表成绩单[历史]&gt;表成绩单[[#This Row],[历史]]))+1)</f>
        <v>767</v>
      </c>
      <c r="W3102" s="29" cm="1">
        <f t="array" ref="W3102">IF(表成绩单[[#This Row],[总分]]="","",SUMPRODUCT((表成绩单[考试日期]=表成绩单[[#This Row],[考试日期]])*(表成绩单[总分]&lt;9E+307)*(表成绩单[总分]&gt;表成绩单[[#This Row],[总分]]))+1)</f>
        <v>694</v>
      </c>
    </row>
    <row r="3103" ht="28" customHeight="1" spans="4:23">
      <c r="D3103" s="31">
        <v>46108</v>
      </c>
      <c r="E3103" s="29">
        <v>19175621</v>
      </c>
      <c r="F3103" s="29" t="s">
        <v>57</v>
      </c>
      <c r="G3103" s="29" t="s">
        <v>695</v>
      </c>
      <c r="H3103" s="29">
        <v>78</v>
      </c>
      <c r="I3103" s="29">
        <v>59</v>
      </c>
      <c r="J3103" s="29">
        <v>60</v>
      </c>
      <c r="K3103" s="29">
        <v>48</v>
      </c>
      <c r="L3103" s="29">
        <v>45</v>
      </c>
      <c r="M3103" s="29">
        <v>74</v>
      </c>
      <c r="N3103" s="29">
        <v>68</v>
      </c>
      <c r="O3103" s="32">
        <v>432</v>
      </c>
      <c r="P3103" s="29" cm="1">
        <f t="array" ref="P3103">IF(表成绩单[[#This Row],[语文]]="","",SUMPRODUCT((表成绩单[考试日期]=表成绩单[[#This Row],[考试日期]])*(表成绩单[语文]&lt;9E+307)*(表成绩单[语文]&gt;表成绩单[[#This Row],[语文]]))+1)</f>
        <v>700</v>
      </c>
      <c r="Q3103" s="29" cm="1">
        <f t="array" ref="Q3103">IF(表成绩单[[#This Row],[数学]]="","",SUMPRODUCT((表成绩单[考试日期]=表成绩单[[#This Row],[考试日期]])*(表成绩单[数学]&lt;9E+307)*(表成绩单[数学]&gt;表成绩单[[#This Row],[数学]]))+1)</f>
        <v>712</v>
      </c>
      <c r="R3103" s="29" cm="1">
        <f t="array" ref="R3103">IF(表成绩单[[#This Row],[英语]]="","",SUMPRODUCT((表成绩单[考试日期]=表成绩单[[#This Row],[考试日期]])*(表成绩单[英语]&lt;9E+307)*(表成绩单[英语]&gt;表成绩单[[#This Row],[英语]]))+1)</f>
        <v>656</v>
      </c>
      <c r="S3103" s="29" cm="1">
        <f t="array" ref="S3103">IF(表成绩单[[#This Row],[物理]]="","",SUMPRODUCT((表成绩单[考试日期]=表成绩单[[#This Row],[考试日期]])*(表成绩单[物理]&lt;9E+307)*(表成绩单[物理]&gt;表成绩单[[#This Row],[物理]]))+1)</f>
        <v>735</v>
      </c>
      <c r="T3103" s="29" cm="1">
        <f t="array" ref="T3103">IF(表成绩单[[#This Row],[化学]]="","",SUMPRODUCT((表成绩单[考试日期]=表成绩单[[#This Row],[考试日期]])*(表成绩单[化学]&lt;9E+307)*(表成绩单[化学]&gt;表成绩单[[#This Row],[化学]]))+1)</f>
        <v>686</v>
      </c>
      <c r="U3103" s="29" cm="1">
        <f t="array" ref="U3103">IF(表成绩单[[#This Row],[政治]]="","",SUMPRODUCT((表成绩单[考试日期]=表成绩单[[#This Row],[考试日期]])*(表成绩单[政治]&lt;9E+307)*(表成绩单[政治]&gt;表成绩单[[#This Row],[政治]]))+1)</f>
        <v>389</v>
      </c>
      <c r="V3103" s="29" cm="1">
        <f t="array" ref="V3103">IF(表成绩单[[#This Row],[历史]]="","",SUMPRODUCT((表成绩单[考试日期]=表成绩单[[#This Row],[考试日期]])*(表成绩单[历史]&lt;9E+307)*(表成绩单[历史]&gt;表成绩单[[#This Row],[历史]]))+1)</f>
        <v>599</v>
      </c>
      <c r="W3103" s="29" cm="1">
        <f t="array" ref="W3103">IF(表成绩单[[#This Row],[总分]]="","",SUMPRODUCT((表成绩单[考试日期]=表成绩单[[#This Row],[考试日期]])*(表成绩单[总分]&lt;9E+307)*(表成绩单[总分]&gt;表成绩单[[#This Row],[总分]]))+1)</f>
        <v>696</v>
      </c>
    </row>
    <row r="3104" ht="28" customHeight="1" spans="4:23">
      <c r="D3104" s="31">
        <v>46108</v>
      </c>
      <c r="E3104" s="29">
        <v>19175304</v>
      </c>
      <c r="F3104" s="29" t="s">
        <v>55</v>
      </c>
      <c r="G3104" s="29" t="s">
        <v>778</v>
      </c>
      <c r="H3104" s="29">
        <v>81</v>
      </c>
      <c r="I3104" s="29">
        <v>54</v>
      </c>
      <c r="J3104" s="29">
        <v>41.5</v>
      </c>
      <c r="K3104" s="29">
        <v>68</v>
      </c>
      <c r="L3104" s="29">
        <v>48</v>
      </c>
      <c r="M3104" s="29">
        <v>65</v>
      </c>
      <c r="N3104" s="29">
        <v>74</v>
      </c>
      <c r="O3104" s="32">
        <v>431.5</v>
      </c>
      <c r="P3104" s="29" cm="1">
        <f t="array" ref="P3104">IF(表成绩单[[#This Row],[语文]]="","",SUMPRODUCT((表成绩单[考试日期]=表成绩单[[#This Row],[考试日期]])*(表成绩单[语文]&lt;9E+307)*(表成绩单[语文]&gt;表成绩单[[#This Row],[语文]]))+1)</f>
        <v>669</v>
      </c>
      <c r="Q3104" s="29" cm="1">
        <f t="array" ref="Q3104">IF(表成绩单[[#This Row],[数学]]="","",SUMPRODUCT((表成绩单[考试日期]=表成绩单[[#This Row],[考试日期]])*(表成绩单[数学]&lt;9E+307)*(表成绩单[数学]&gt;表成绩单[[#This Row],[数学]]))+1)</f>
        <v>728</v>
      </c>
      <c r="R3104" s="29" cm="1">
        <f t="array" ref="R3104">IF(表成绩单[[#This Row],[英语]]="","",SUMPRODUCT((表成绩单[考试日期]=表成绩单[[#This Row],[考试日期]])*(表成绩单[英语]&lt;9E+307)*(表成绩单[英语]&gt;表成绩单[[#This Row],[英语]]))+1)</f>
        <v>737</v>
      </c>
      <c r="S3104" s="29" cm="1">
        <f t="array" ref="S3104">IF(表成绩单[[#This Row],[物理]]="","",SUMPRODUCT((表成绩单[考试日期]=表成绩单[[#This Row],[考试日期]])*(表成绩单[物理]&lt;9E+307)*(表成绩单[物理]&gt;表成绩单[[#This Row],[物理]]))+1)</f>
        <v>581</v>
      </c>
      <c r="T3104" s="29" cm="1">
        <f t="array" ref="T3104">IF(表成绩单[[#This Row],[化学]]="","",SUMPRODUCT((表成绩单[考试日期]=表成绩单[[#This Row],[考试日期]])*(表成绩单[化学]&lt;9E+307)*(表成绩单[化学]&gt;表成绩单[[#This Row],[化学]]))+1)</f>
        <v>654</v>
      </c>
      <c r="U3104" s="29" cm="1">
        <f t="array" ref="U3104">IF(表成绩单[[#This Row],[政治]]="","",SUMPRODUCT((表成绩单[考试日期]=表成绩单[[#This Row],[考试日期]])*(表成绩单[政治]&lt;9E+307)*(表成绩单[政治]&gt;表成绩单[[#This Row],[政治]]))+1)</f>
        <v>655</v>
      </c>
      <c r="V3104" s="29" cm="1">
        <f t="array" ref="V3104">IF(表成绩单[[#This Row],[历史]]="","",SUMPRODUCT((表成绩单[考试日期]=表成绩单[[#This Row],[考试日期]])*(表成绩单[历史]&lt;9E+307)*(表成绩单[历史]&gt;表成绩单[[#This Row],[历史]]))+1)</f>
        <v>389</v>
      </c>
      <c r="W3104" s="29" cm="1">
        <f t="array" ref="W3104">IF(表成绩单[[#This Row],[总分]]="","",SUMPRODUCT((表成绩单[考试日期]=表成绩单[[#This Row],[考试日期]])*(表成绩单[总分]&lt;9E+307)*(表成绩单[总分]&gt;表成绩单[[#This Row],[总分]]))+1)</f>
        <v>697</v>
      </c>
    </row>
    <row r="3105" ht="28" customHeight="1" spans="4:23">
      <c r="D3105" s="31">
        <v>46108</v>
      </c>
      <c r="E3105" s="29">
        <v>19173792</v>
      </c>
      <c r="F3105" s="29" t="s">
        <v>65</v>
      </c>
      <c r="G3105" s="29" t="s">
        <v>784</v>
      </c>
      <c r="H3105" s="29">
        <v>79</v>
      </c>
      <c r="I3105" s="29">
        <v>50</v>
      </c>
      <c r="J3105" s="29">
        <v>64.5</v>
      </c>
      <c r="K3105" s="29">
        <v>54</v>
      </c>
      <c r="L3105" s="29">
        <v>59</v>
      </c>
      <c r="M3105" s="29">
        <v>62</v>
      </c>
      <c r="N3105" s="29">
        <v>62</v>
      </c>
      <c r="O3105" s="32">
        <v>430.5</v>
      </c>
      <c r="P3105" s="29" cm="1">
        <f t="array" ref="P3105">IF(表成绩单[[#This Row],[语文]]="","",SUMPRODUCT((表成绩单[考试日期]=表成绩单[[#This Row],[考试日期]])*(表成绩单[语文]&lt;9E+307)*(表成绩单[语文]&gt;表成绩单[[#This Row],[语文]]))+1)</f>
        <v>690</v>
      </c>
      <c r="Q3105" s="29" cm="1">
        <f t="array" ref="Q3105">IF(表成绩单[[#This Row],[数学]]="","",SUMPRODUCT((表成绩单[考试日期]=表成绩单[[#This Row],[考试日期]])*(表成绩单[数学]&lt;9E+307)*(表成绩单[数学]&gt;表成绩单[[#This Row],[数学]]))+1)</f>
        <v>739</v>
      </c>
      <c r="R3105" s="29" cm="1">
        <f t="array" ref="R3105">IF(表成绩单[[#This Row],[英语]]="","",SUMPRODUCT((表成绩单[考试日期]=表成绩单[[#This Row],[考试日期]])*(表成绩单[英语]&lt;9E+307)*(表成绩单[英语]&gt;表成绩单[[#This Row],[英语]]))+1)</f>
        <v>610</v>
      </c>
      <c r="S3105" s="29" cm="1">
        <f t="array" ref="S3105">IF(表成绩单[[#This Row],[物理]]="","",SUMPRODUCT((表成绩单[考试日期]=表成绩单[[#This Row],[考试日期]])*(表成绩单[物理]&lt;9E+307)*(表成绩单[物理]&gt;表成绩单[[#This Row],[物理]]))+1)</f>
        <v>708</v>
      </c>
      <c r="T3105" s="29" cm="1">
        <f t="array" ref="T3105">IF(表成绩单[[#This Row],[化学]]="","",SUMPRODUCT((表成绩单[考试日期]=表成绩单[[#This Row],[考试日期]])*(表成绩单[化学]&lt;9E+307)*(表成绩单[化学]&gt;表成绩单[[#This Row],[化学]]))+1)</f>
        <v>510</v>
      </c>
      <c r="U3105" s="29" cm="1">
        <f t="array" ref="U3105">IF(表成绩单[[#This Row],[政治]]="","",SUMPRODUCT((表成绩单[考试日期]=表成绩单[[#This Row],[考试日期]])*(表成绩单[政治]&lt;9E+307)*(表成绩单[政治]&gt;表成绩单[[#This Row],[政治]]))+1)</f>
        <v>692</v>
      </c>
      <c r="V3105" s="29" cm="1">
        <f t="array" ref="V3105">IF(表成绩单[[#This Row],[历史]]="","",SUMPRODUCT((表成绩单[考试日期]=表成绩单[[#This Row],[考试日期]])*(表成绩单[历史]&lt;9E+307)*(表成绩单[历史]&gt;表成绩单[[#This Row],[历史]]))+1)</f>
        <v>699</v>
      </c>
      <c r="W3105" s="29" cm="1">
        <f t="array" ref="W3105">IF(表成绩单[[#This Row],[总分]]="","",SUMPRODUCT((表成绩单[考试日期]=表成绩单[[#This Row],[考试日期]])*(表成绩单[总分]&lt;9E+307)*(表成绩单[总分]&gt;表成绩单[[#This Row],[总分]]))+1)</f>
        <v>698</v>
      </c>
    </row>
    <row r="3106" ht="28" customHeight="1" spans="4:23">
      <c r="D3106" s="31">
        <v>46108</v>
      </c>
      <c r="E3106" s="29">
        <v>19175591</v>
      </c>
      <c r="F3106" s="29" t="s">
        <v>57</v>
      </c>
      <c r="G3106" s="29" t="s">
        <v>812</v>
      </c>
      <c r="H3106" s="29">
        <v>70</v>
      </c>
      <c r="I3106" s="29">
        <v>64</v>
      </c>
      <c r="J3106" s="29">
        <v>54.5</v>
      </c>
      <c r="K3106" s="29">
        <v>67</v>
      </c>
      <c r="L3106" s="29">
        <v>57</v>
      </c>
      <c r="M3106" s="29">
        <v>61</v>
      </c>
      <c r="N3106" s="29">
        <v>57</v>
      </c>
      <c r="O3106" s="32">
        <v>430.5</v>
      </c>
      <c r="P3106" s="29" cm="1">
        <f t="array" ref="P3106">IF(表成绩单[[#This Row],[语文]]="","",SUMPRODUCT((表成绩单[考试日期]=表成绩单[[#This Row],[考试日期]])*(表成绩单[语文]&lt;9E+307)*(表成绩单[语文]&gt;表成绩单[[#This Row],[语文]]))+1)</f>
        <v>742</v>
      </c>
      <c r="Q3106" s="29" cm="1">
        <f t="array" ref="Q3106">IF(表成绩单[[#This Row],[数学]]="","",SUMPRODUCT((表成绩单[考试日期]=表成绩单[[#This Row],[考试日期]])*(表成绩单[数学]&lt;9E+307)*(表成绩单[数学]&gt;表成绩单[[#This Row],[数学]]))+1)</f>
        <v>690</v>
      </c>
      <c r="R3106" s="29" cm="1">
        <f t="array" ref="R3106">IF(表成绩单[[#This Row],[英语]]="","",SUMPRODUCT((表成绩单[考试日期]=表成绩单[[#This Row],[考试日期]])*(表成绩单[英语]&lt;9E+307)*(表成绩单[英语]&gt;表成绩单[[#This Row],[英语]]))+1)</f>
        <v>687</v>
      </c>
      <c r="S3106" s="29" cm="1">
        <f t="array" ref="S3106">IF(表成绩单[[#This Row],[物理]]="","",SUMPRODUCT((表成绩单[考试日期]=表成绩单[[#This Row],[考试日期]])*(表成绩单[物理]&lt;9E+307)*(表成绩单[物理]&gt;表成绩单[[#This Row],[物理]]))+1)</f>
        <v>593</v>
      </c>
      <c r="T3106" s="29" cm="1">
        <f t="array" ref="T3106">IF(表成绩单[[#This Row],[化学]]="","",SUMPRODUCT((表成绩单[考试日期]=表成绩单[[#This Row],[考试日期]])*(表成绩单[化学]&lt;9E+307)*(表成绩单[化学]&gt;表成绩单[[#This Row],[化学]]))+1)</f>
        <v>552</v>
      </c>
      <c r="U3106" s="29" cm="1">
        <f t="array" ref="U3106">IF(表成绩单[[#This Row],[政治]]="","",SUMPRODUCT((表成绩单[考试日期]=表成绩单[[#This Row],[考试日期]])*(表成绩单[政治]&lt;9E+307)*(表成绩单[政治]&gt;表成绩单[[#This Row],[政治]]))+1)</f>
        <v>700</v>
      </c>
      <c r="V3106" s="29" cm="1">
        <f t="array" ref="V3106">IF(表成绩单[[#This Row],[历史]]="","",SUMPRODUCT((表成绩单[考试日期]=表成绩单[[#This Row],[考试日期]])*(表成绩单[历史]&lt;9E+307)*(表成绩单[历史]&gt;表成绩单[[#This Row],[历史]]))+1)</f>
        <v>737</v>
      </c>
      <c r="W3106" s="29" cm="1">
        <f t="array" ref="W3106">IF(表成绩单[[#This Row],[总分]]="","",SUMPRODUCT((表成绩单[考试日期]=表成绩单[[#This Row],[考试日期]])*(表成绩单[总分]&lt;9E+307)*(表成绩单[总分]&gt;表成绩单[[#This Row],[总分]]))+1)</f>
        <v>698</v>
      </c>
    </row>
    <row r="3107" ht="28" customHeight="1" spans="4:23">
      <c r="D3107" s="31">
        <v>46108</v>
      </c>
      <c r="E3107" s="29">
        <v>19175379</v>
      </c>
      <c r="F3107" s="29" t="s">
        <v>74</v>
      </c>
      <c r="G3107" s="29" t="s">
        <v>751</v>
      </c>
      <c r="H3107" s="29">
        <v>57</v>
      </c>
      <c r="I3107" s="29">
        <v>73</v>
      </c>
      <c r="J3107" s="29">
        <v>56</v>
      </c>
      <c r="K3107" s="29">
        <v>70</v>
      </c>
      <c r="L3107" s="29">
        <v>50</v>
      </c>
      <c r="M3107" s="29">
        <v>70</v>
      </c>
      <c r="N3107" s="29">
        <v>54</v>
      </c>
      <c r="O3107" s="32">
        <v>430</v>
      </c>
      <c r="P3107" s="29" cm="1">
        <f t="array" ref="P3107">IF(表成绩单[[#This Row],[语文]]="","",SUMPRODUCT((表成绩单[考试日期]=表成绩单[[#This Row],[考试日期]])*(表成绩单[语文]&lt;9E+307)*(表成绩单[语文]&gt;表成绩单[[#This Row],[语文]]))+1)</f>
        <v>779</v>
      </c>
      <c r="Q3107" s="29" cm="1">
        <f t="array" ref="Q3107">IF(表成绩单[[#This Row],[数学]]="","",SUMPRODUCT((表成绩单[考试日期]=表成绩单[[#This Row],[考试日期]])*(表成绩单[数学]&lt;9E+307)*(表成绩单[数学]&gt;表成绩单[[#This Row],[数学]]))+1)</f>
        <v>643</v>
      </c>
      <c r="R3107" s="29" cm="1">
        <f t="array" ref="R3107">IF(表成绩单[[#This Row],[英语]]="","",SUMPRODUCT((表成绩单[考试日期]=表成绩单[[#This Row],[考试日期]])*(表成绩单[英语]&lt;9E+307)*(表成绩单[英语]&gt;表成绩单[[#This Row],[英语]]))+1)</f>
        <v>681</v>
      </c>
      <c r="S3107" s="29" cm="1">
        <f t="array" ref="S3107">IF(表成绩单[[#This Row],[物理]]="","",SUMPRODUCT((表成绩单[考试日期]=表成绩单[[#This Row],[考试日期]])*(表成绩单[物理]&lt;9E+307)*(表成绩单[物理]&gt;表成绩单[[#This Row],[物理]]))+1)</f>
        <v>549</v>
      </c>
      <c r="T3107" s="29" cm="1">
        <f t="array" ref="T3107">IF(表成绩单[[#This Row],[化学]]="","",SUMPRODUCT((表成绩单[考试日期]=表成绩单[[#This Row],[考试日期]])*(表成绩单[化学]&lt;9E+307)*(表成绩单[化学]&gt;表成绩单[[#This Row],[化学]]))+1)</f>
        <v>632</v>
      </c>
      <c r="U3107" s="29" cm="1">
        <f t="array" ref="U3107">IF(表成绩单[[#This Row],[政治]]="","",SUMPRODUCT((表成绩单[考试日期]=表成绩单[[#This Row],[考试日期]])*(表成绩单[政治]&lt;9E+307)*(表成绩单[政治]&gt;表成绩单[[#This Row],[政治]]))+1)</f>
        <v>548</v>
      </c>
      <c r="V3107" s="29" cm="1">
        <f t="array" ref="V3107">IF(表成绩单[[#This Row],[历史]]="","",SUMPRODUCT((表成绩单[考试日期]=表成绩单[[#This Row],[考试日期]])*(表成绩单[历史]&lt;9E+307)*(表成绩单[历史]&gt;表成绩单[[#This Row],[历史]]))+1)</f>
        <v>748</v>
      </c>
      <c r="W3107" s="29" cm="1">
        <f t="array" ref="W3107">IF(表成绩单[[#This Row],[总分]]="","",SUMPRODUCT((表成绩单[考试日期]=表成绩单[[#This Row],[考试日期]])*(表成绩单[总分]&lt;9E+307)*(表成绩单[总分]&gt;表成绩单[[#This Row],[总分]]))+1)</f>
        <v>700</v>
      </c>
    </row>
    <row r="3108" ht="28" customHeight="1" spans="4:23">
      <c r="D3108" s="31">
        <v>46108</v>
      </c>
      <c r="E3108" s="29">
        <v>19176004</v>
      </c>
      <c r="F3108" s="29" t="s">
        <v>59</v>
      </c>
      <c r="G3108" s="29" t="s">
        <v>807</v>
      </c>
      <c r="H3108" s="29">
        <v>68</v>
      </c>
      <c r="I3108" s="29">
        <v>81</v>
      </c>
      <c r="J3108" s="29">
        <v>44</v>
      </c>
      <c r="K3108" s="29">
        <v>63</v>
      </c>
      <c r="L3108" s="29">
        <v>55</v>
      </c>
      <c r="M3108" s="29">
        <v>60</v>
      </c>
      <c r="N3108" s="29">
        <v>58</v>
      </c>
      <c r="O3108" s="32">
        <v>429</v>
      </c>
      <c r="P3108" s="29" cm="1">
        <f t="array" ref="P3108">IF(表成绩单[[#This Row],[语文]]="","",SUMPRODUCT((表成绩单[考试日期]=表成绩单[[#This Row],[考试日期]])*(表成绩单[语文]&lt;9E+307)*(表成绩单[语文]&gt;表成绩单[[#This Row],[语文]]))+1)</f>
        <v>751</v>
      </c>
      <c r="Q3108" s="29" cm="1">
        <f t="array" ref="Q3108">IF(表成绩单[[#This Row],[数学]]="","",SUMPRODUCT((表成绩单[考试日期]=表成绩单[[#This Row],[考试日期]])*(表成绩单[数学]&lt;9E+307)*(表成绩单[数学]&gt;表成绩单[[#This Row],[数学]]))+1)</f>
        <v>563</v>
      </c>
      <c r="R3108" s="29" cm="1">
        <f t="array" ref="R3108">IF(表成绩单[[#This Row],[英语]]="","",SUMPRODUCT((表成绩单[考试日期]=表成绩单[[#This Row],[考试日期]])*(表成绩单[英语]&lt;9E+307)*(表成绩单[英语]&gt;表成绩单[[#This Row],[英语]]))+1)</f>
        <v>732</v>
      </c>
      <c r="S3108" s="29" cm="1">
        <f t="array" ref="S3108">IF(表成绩单[[#This Row],[物理]]="","",SUMPRODUCT((表成绩单[考试日期]=表成绩单[[#This Row],[考试日期]])*(表成绩单[物理]&lt;9E+307)*(表成绩单[物理]&gt;表成绩单[[#This Row],[物理]]))+1)</f>
        <v>631</v>
      </c>
      <c r="T3108" s="29" cm="1">
        <f t="array" ref="T3108">IF(表成绩单[[#This Row],[化学]]="","",SUMPRODUCT((表成绩单[考试日期]=表成绩单[[#This Row],[考试日期]])*(表成绩单[化学]&lt;9E+307)*(表成绩单[化学]&gt;表成绩单[[#This Row],[化学]]))+1)</f>
        <v>580</v>
      </c>
      <c r="U3108" s="29" cm="1">
        <f t="array" ref="U3108">IF(表成绩单[[#This Row],[政治]]="","",SUMPRODUCT((表成绩单[考试日期]=表成绩单[[#This Row],[考试日期]])*(表成绩单[政治]&lt;9E+307)*(表成绩单[政治]&gt;表成绩单[[#This Row],[政治]]))+1)</f>
        <v>709</v>
      </c>
      <c r="V3108" s="29" cm="1">
        <f t="array" ref="V3108">IF(表成绩单[[#This Row],[历史]]="","",SUMPRODUCT((表成绩单[考试日期]=表成绩单[[#This Row],[考试日期]])*(表成绩单[历史]&lt;9E+307)*(表成绩单[历史]&gt;表成绩单[[#This Row],[历史]]))+1)</f>
        <v>730</v>
      </c>
      <c r="W3108" s="29" cm="1">
        <f t="array" ref="W3108">IF(表成绩单[[#This Row],[总分]]="","",SUMPRODUCT((表成绩单[考试日期]=表成绩单[[#This Row],[考试日期]])*(表成绩单[总分]&lt;9E+307)*(表成绩单[总分]&gt;表成绩单[[#This Row],[总分]]))+1)</f>
        <v>701</v>
      </c>
    </row>
    <row r="3109" ht="28" customHeight="1" spans="4:23">
      <c r="D3109" s="31">
        <v>46108</v>
      </c>
      <c r="E3109" s="29">
        <v>19173282</v>
      </c>
      <c r="F3109" s="29" t="s">
        <v>61</v>
      </c>
      <c r="G3109" s="29" t="s">
        <v>699</v>
      </c>
      <c r="H3109" s="29">
        <v>93</v>
      </c>
      <c r="I3109" s="29">
        <v>67</v>
      </c>
      <c r="J3109" s="29">
        <v>40.5</v>
      </c>
      <c r="K3109" s="29">
        <v>56</v>
      </c>
      <c r="L3109" s="29">
        <v>45</v>
      </c>
      <c r="M3109" s="29">
        <v>67</v>
      </c>
      <c r="N3109" s="29">
        <v>60</v>
      </c>
      <c r="O3109" s="32">
        <v>428.5</v>
      </c>
      <c r="P3109" s="29" cm="1">
        <f t="array" ref="P3109">IF(表成绩单[[#This Row],[语文]]="","",SUMPRODUCT((表成绩单[考试日期]=表成绩单[[#This Row],[考试日期]])*(表成绩单[语文]&lt;9E+307)*(表成绩单[语文]&gt;表成绩单[[#This Row],[语文]]))+1)</f>
        <v>470</v>
      </c>
      <c r="Q3109" s="29" cm="1">
        <f t="array" ref="Q3109">IF(表成绩单[[#This Row],[数学]]="","",SUMPRODUCT((表成绩单[考试日期]=表成绩单[[#This Row],[考试日期]])*(表成绩单[数学]&lt;9E+307)*(表成绩单[数学]&gt;表成绩单[[#This Row],[数学]]))+1)</f>
        <v>675</v>
      </c>
      <c r="R3109" s="29" cm="1">
        <f t="array" ref="R3109">IF(表成绩单[[#This Row],[英语]]="","",SUMPRODUCT((表成绩单[考试日期]=表成绩单[[#This Row],[考试日期]])*(表成绩单[英语]&lt;9E+307)*(表成绩单[英语]&gt;表成绩单[[#This Row],[英语]]))+1)</f>
        <v>740</v>
      </c>
      <c r="S3109" s="29" cm="1">
        <f t="array" ref="S3109">IF(表成绩单[[#This Row],[物理]]="","",SUMPRODUCT((表成绩单[考试日期]=表成绩单[[#This Row],[考试日期]])*(表成绩单[物理]&lt;9E+307)*(表成绩单[物理]&gt;表成绩单[[#This Row],[物理]]))+1)</f>
        <v>700</v>
      </c>
      <c r="T3109" s="29" cm="1">
        <f t="array" ref="T3109">IF(表成绩单[[#This Row],[化学]]="","",SUMPRODUCT((表成绩单[考试日期]=表成绩单[[#This Row],[考试日期]])*(表成绩单[化学]&lt;9E+307)*(表成绩单[化学]&gt;表成绩单[[#This Row],[化学]]))+1)</f>
        <v>686</v>
      </c>
      <c r="U3109" s="29" cm="1">
        <f t="array" ref="U3109">IF(表成绩单[[#This Row],[政治]]="","",SUMPRODUCT((表成绩单[考试日期]=表成绩单[[#This Row],[考试日期]])*(表成绩单[政治]&lt;9E+307)*(表成绩单[政治]&gt;表成绩单[[#This Row],[政治]]))+1)</f>
        <v>626</v>
      </c>
      <c r="V3109" s="29" cm="1">
        <f t="array" ref="V3109">IF(表成绩单[[#This Row],[历史]]="","",SUMPRODUCT((表成绩单[考试日期]=表成绩单[[#This Row],[考试日期]])*(表成绩单[历史]&lt;9E+307)*(表成绩单[历史]&gt;表成绩单[[#This Row],[历史]]))+1)</f>
        <v>715</v>
      </c>
      <c r="W3109" s="29" cm="1">
        <f t="array" ref="W3109">IF(表成绩单[[#This Row],[总分]]="","",SUMPRODUCT((表成绩单[考试日期]=表成绩单[[#This Row],[考试日期]])*(表成绩单[总分]&lt;9E+307)*(表成绩单[总分]&gt;表成绩单[[#This Row],[总分]]))+1)</f>
        <v>702</v>
      </c>
    </row>
    <row r="3110" ht="28" customHeight="1" spans="4:23">
      <c r="D3110" s="31">
        <v>46108</v>
      </c>
      <c r="E3110" s="29">
        <v>19172659</v>
      </c>
      <c r="F3110" s="29" t="s">
        <v>60</v>
      </c>
      <c r="G3110" s="29" t="s">
        <v>791</v>
      </c>
      <c r="H3110" s="29">
        <v>80</v>
      </c>
      <c r="I3110" s="29">
        <v>50</v>
      </c>
      <c r="J3110" s="29">
        <v>48.5</v>
      </c>
      <c r="K3110" s="29">
        <v>58</v>
      </c>
      <c r="L3110" s="29">
        <v>49</v>
      </c>
      <c r="M3110" s="29">
        <v>66</v>
      </c>
      <c r="N3110" s="29">
        <v>76</v>
      </c>
      <c r="O3110" s="32">
        <v>427.5</v>
      </c>
      <c r="P3110" s="29" cm="1">
        <f t="array" ref="P3110">IF(表成绩单[[#This Row],[语文]]="","",SUMPRODUCT((表成绩单[考试日期]=表成绩单[[#This Row],[考试日期]])*(表成绩单[语文]&lt;9E+307)*(表成绩单[语文]&gt;表成绩单[[#This Row],[语文]]))+1)</f>
        <v>679</v>
      </c>
      <c r="Q3110" s="29" cm="1">
        <f t="array" ref="Q3110">IF(表成绩单[[#This Row],[数学]]="","",SUMPRODUCT((表成绩单[考试日期]=表成绩单[[#This Row],[考试日期]])*(表成绩单[数学]&lt;9E+307)*(表成绩单[数学]&gt;表成绩单[[#This Row],[数学]]))+1)</f>
        <v>739</v>
      </c>
      <c r="R3110" s="29" cm="1">
        <f t="array" ref="R3110">IF(表成绩单[[#This Row],[英语]]="","",SUMPRODUCT((表成绩单[考试日期]=表成绩单[[#This Row],[考试日期]])*(表成绩单[英语]&lt;9E+307)*(表成绩单[英语]&gt;表成绩单[[#This Row],[英语]]))+1)</f>
        <v>716</v>
      </c>
      <c r="S3110" s="29" cm="1">
        <f t="array" ref="S3110">IF(表成绩单[[#This Row],[物理]]="","",SUMPRODUCT((表成绩单[考试日期]=表成绩单[[#This Row],[考试日期]])*(表成绩单[物理]&lt;9E+307)*(表成绩单[物理]&gt;表成绩单[[#This Row],[物理]]))+1)</f>
        <v>680</v>
      </c>
      <c r="T3110" s="29" cm="1">
        <f t="array" ref="T3110">IF(表成绩单[[#This Row],[化学]]="","",SUMPRODUCT((表成绩单[考试日期]=表成绩单[[#This Row],[考试日期]])*(表成绩单[化学]&lt;9E+307)*(表成绩单[化学]&gt;表成绩单[[#This Row],[化学]]))+1)</f>
        <v>648</v>
      </c>
      <c r="U3110" s="29" cm="1">
        <f t="array" ref="U3110">IF(表成绩单[[#This Row],[政治]]="","",SUMPRODUCT((表成绩单[考试日期]=表成绩单[[#This Row],[考试日期]])*(表成绩单[政治]&lt;9E+307)*(表成绩单[政治]&gt;表成绩单[[#This Row],[政治]]))+1)</f>
        <v>642</v>
      </c>
      <c r="V3110" s="29" cm="1">
        <f t="array" ref="V3110">IF(表成绩单[[#This Row],[历史]]="","",SUMPRODUCT((表成绩单[考试日期]=表成绩单[[#This Row],[考试日期]])*(表成绩单[历史]&lt;9E+307)*(表成绩单[历史]&gt;表成绩单[[#This Row],[历史]]))+1)</f>
        <v>316</v>
      </c>
      <c r="W3110" s="29" cm="1">
        <f t="array" ref="W3110">IF(表成绩单[[#This Row],[总分]]="","",SUMPRODUCT((表成绩单[考试日期]=表成绩单[[#This Row],[考试日期]])*(表成绩单[总分]&lt;9E+307)*(表成绩单[总分]&gt;表成绩单[[#This Row],[总分]]))+1)</f>
        <v>703</v>
      </c>
    </row>
    <row r="3111" ht="28" customHeight="1" spans="4:23">
      <c r="D3111" s="31">
        <v>46108</v>
      </c>
      <c r="E3111" s="29">
        <v>24038265</v>
      </c>
      <c r="F3111" s="29" t="s">
        <v>60</v>
      </c>
      <c r="G3111" s="29" t="s">
        <v>757</v>
      </c>
      <c r="H3111" s="29">
        <v>78</v>
      </c>
      <c r="I3111" s="29">
        <v>49</v>
      </c>
      <c r="J3111" s="29">
        <v>67.5</v>
      </c>
      <c r="K3111" s="29">
        <v>44</v>
      </c>
      <c r="L3111" s="29">
        <v>44</v>
      </c>
      <c r="M3111" s="29">
        <v>69</v>
      </c>
      <c r="N3111" s="29">
        <v>75</v>
      </c>
      <c r="O3111" s="32">
        <v>426.5</v>
      </c>
      <c r="P3111" s="29" cm="1">
        <f t="array" ref="P3111">IF(表成绩单[[#This Row],[语文]]="","",SUMPRODUCT((表成绩单[考试日期]=表成绩单[[#This Row],[考试日期]])*(表成绩单[语文]&lt;9E+307)*(表成绩单[语文]&gt;表成绩单[[#This Row],[语文]]))+1)</f>
        <v>700</v>
      </c>
      <c r="Q3111" s="29" cm="1">
        <f t="array" ref="Q3111">IF(表成绩单[[#This Row],[数学]]="","",SUMPRODUCT((表成绩单[考试日期]=表成绩单[[#This Row],[考试日期]])*(表成绩单[数学]&lt;9E+307)*(表成绩单[数学]&gt;表成绩单[[#This Row],[数学]]))+1)</f>
        <v>744</v>
      </c>
      <c r="R3111" s="29" cm="1">
        <f t="array" ref="R3111">IF(表成绩单[[#This Row],[英语]]="","",SUMPRODUCT((表成绩单[考试日期]=表成绩单[[#This Row],[考试日期]])*(表成绩单[英语]&lt;9E+307)*(表成绩单[英语]&gt;表成绩单[[#This Row],[英语]]))+1)</f>
        <v>571</v>
      </c>
      <c r="S3111" s="29" cm="1">
        <f t="array" ref="S3111">IF(表成绩单[[#This Row],[物理]]="","",SUMPRODUCT((表成绩单[考试日期]=表成绩单[[#This Row],[考试日期]])*(表成绩单[物理]&lt;9E+307)*(表成绩单[物理]&gt;表成绩单[[#This Row],[物理]]))+1)</f>
        <v>750</v>
      </c>
      <c r="T3111" s="29" cm="1">
        <f t="array" ref="T3111">IF(表成绩单[[#This Row],[化学]]="","",SUMPRODUCT((表成绩单[考试日期]=表成绩单[[#This Row],[考试日期]])*(表成绩单[化学]&lt;9E+307)*(表成绩单[化学]&gt;表成绩单[[#This Row],[化学]]))+1)</f>
        <v>699</v>
      </c>
      <c r="U3111" s="29" cm="1">
        <f t="array" ref="U3111">IF(表成绩单[[#This Row],[政治]]="","",SUMPRODUCT((表成绩单[考试日期]=表成绩单[[#This Row],[考试日期]])*(表成绩单[政治]&lt;9E+307)*(表成绩单[政治]&gt;表成绩单[[#This Row],[政治]]))+1)</f>
        <v>567</v>
      </c>
      <c r="V3111" s="29" cm="1">
        <f t="array" ref="V3111">IF(表成绩单[[#This Row],[历史]]="","",SUMPRODUCT((表成绩单[考试日期]=表成绩单[[#This Row],[考试日期]])*(表成绩单[历史]&lt;9E+307)*(表成绩单[历史]&gt;表成绩单[[#This Row],[历史]]))+1)</f>
        <v>354</v>
      </c>
      <c r="W3111" s="29" cm="1">
        <f t="array" ref="W3111">IF(表成绩单[[#This Row],[总分]]="","",SUMPRODUCT((表成绩单[考试日期]=表成绩单[[#This Row],[考试日期]])*(表成绩单[总分]&lt;9E+307)*(表成绩单[总分]&gt;表成绩单[[#This Row],[总分]]))+1)</f>
        <v>704</v>
      </c>
    </row>
    <row r="3112" ht="28" customHeight="1" spans="4:23">
      <c r="D3112" s="31">
        <v>46108</v>
      </c>
      <c r="E3112" s="29">
        <v>19177631</v>
      </c>
      <c r="F3112" s="29" t="s">
        <v>58</v>
      </c>
      <c r="G3112" s="29" t="s">
        <v>790</v>
      </c>
      <c r="H3112" s="29">
        <v>82</v>
      </c>
      <c r="I3112" s="29">
        <v>69</v>
      </c>
      <c r="J3112" s="29">
        <v>63</v>
      </c>
      <c r="K3112" s="29">
        <v>55</v>
      </c>
      <c r="L3112" s="29">
        <v>30</v>
      </c>
      <c r="M3112" s="29">
        <v>58</v>
      </c>
      <c r="N3112" s="29">
        <v>66</v>
      </c>
      <c r="O3112" s="32">
        <v>423</v>
      </c>
      <c r="P3112" s="29" cm="1">
        <f t="array" ref="P3112">IF(表成绩单[[#This Row],[语文]]="","",SUMPRODUCT((表成绩单[考试日期]=表成绩单[[#This Row],[考试日期]])*(表成绩单[语文]&lt;9E+307)*(表成绩单[语文]&gt;表成绩单[[#This Row],[语文]]))+1)</f>
        <v>657</v>
      </c>
      <c r="Q3112" s="29" cm="1">
        <f t="array" ref="Q3112">IF(表成绩单[[#This Row],[数学]]="","",SUMPRODUCT((表成绩单[考试日期]=表成绩单[[#This Row],[考试日期]])*(表成绩单[数学]&lt;9E+307)*(表成绩单[数学]&gt;表成绩单[[#This Row],[数学]]))+1)</f>
        <v>663</v>
      </c>
      <c r="R3112" s="29" cm="1">
        <f t="array" ref="R3112">IF(表成绩单[[#This Row],[英语]]="","",SUMPRODUCT((表成绩单[考试日期]=表成绩单[[#This Row],[考试日期]])*(表成绩单[英语]&lt;9E+307)*(表成绩单[英语]&gt;表成绩单[[#This Row],[英语]]))+1)</f>
        <v>627</v>
      </c>
      <c r="S3112" s="29" cm="1">
        <f t="array" ref="S3112">IF(表成绩单[[#This Row],[物理]]="","",SUMPRODUCT((表成绩单[考试日期]=表成绩单[[#This Row],[考试日期]])*(表成绩单[物理]&lt;9E+307)*(表成绩单[物理]&gt;表成绩单[[#This Row],[物理]]))+1)</f>
        <v>704</v>
      </c>
      <c r="T3112" s="29" cm="1">
        <f t="array" ref="T3112">IF(表成绩单[[#This Row],[化学]]="","",SUMPRODUCT((表成绩单[考试日期]=表成绩单[[#This Row],[考试日期]])*(表成绩单[化学]&lt;9E+307)*(表成绩单[化学]&gt;表成绩单[[#This Row],[化学]]))+1)</f>
        <v>764</v>
      </c>
      <c r="U3112" s="29" cm="1">
        <f t="array" ref="U3112">IF(表成绩单[[#This Row],[政治]]="","",SUMPRODUCT((表成绩单[考试日期]=表成绩单[[#This Row],[考试日期]])*(表成绩单[政治]&lt;9E+307)*(表成绩单[政治]&gt;表成绩单[[#This Row],[政治]]))+1)</f>
        <v>726</v>
      </c>
      <c r="V3112" s="29" cm="1">
        <f t="array" ref="V3112">IF(表成绩单[[#This Row],[历史]]="","",SUMPRODUCT((表成绩单[考试日期]=表成绩单[[#This Row],[考试日期]])*(表成绩单[历史]&lt;9E+307)*(表成绩单[历史]&gt;表成绩单[[#This Row],[历史]]))+1)</f>
        <v>637</v>
      </c>
      <c r="W3112" s="29" cm="1">
        <f t="array" ref="W3112">IF(表成绩单[[#This Row],[总分]]="","",SUMPRODUCT((表成绩单[考试日期]=表成绩单[[#This Row],[考试日期]])*(表成绩单[总分]&lt;9E+307)*(表成绩单[总分]&gt;表成绩单[[#This Row],[总分]]))+1)</f>
        <v>705</v>
      </c>
    </row>
    <row r="3113" ht="28" customHeight="1" spans="4:23">
      <c r="D3113" s="31">
        <v>46108</v>
      </c>
      <c r="E3113" s="29">
        <v>19178578</v>
      </c>
      <c r="F3113" s="29" t="s">
        <v>64</v>
      </c>
      <c r="G3113" s="29" t="s">
        <v>733</v>
      </c>
      <c r="H3113" s="29">
        <v>71</v>
      </c>
      <c r="I3113" s="29">
        <v>72</v>
      </c>
      <c r="J3113" s="29">
        <v>61</v>
      </c>
      <c r="K3113" s="29">
        <v>69</v>
      </c>
      <c r="L3113" s="29">
        <v>42</v>
      </c>
      <c r="M3113" s="29">
        <v>57</v>
      </c>
      <c r="N3113" s="29">
        <v>51</v>
      </c>
      <c r="O3113" s="32">
        <v>423</v>
      </c>
      <c r="P3113" s="29" cm="1">
        <f t="array" ref="P3113">IF(表成绩单[[#This Row],[语文]]="","",SUMPRODUCT((表成绩单[考试日期]=表成绩单[[#This Row],[考试日期]])*(表成绩单[语文]&lt;9E+307)*(表成绩单[语文]&gt;表成绩单[[#This Row],[语文]]))+1)</f>
        <v>737</v>
      </c>
      <c r="Q3113" s="29" cm="1">
        <f t="array" ref="Q3113">IF(表成绩单[[#This Row],[数学]]="","",SUMPRODUCT((表成绩单[考试日期]=表成绩单[[#This Row],[考试日期]])*(表成绩单[数学]&lt;9E+307)*(表成绩单[数学]&gt;表成绩单[[#This Row],[数学]]))+1)</f>
        <v>651</v>
      </c>
      <c r="R3113" s="29" cm="1">
        <f t="array" ref="R3113">IF(表成绩单[[#This Row],[英语]]="","",SUMPRODUCT((表成绩单[考试日期]=表成绩单[[#This Row],[考试日期]])*(表成绩单[英语]&lt;9E+307)*(表成绩单[英语]&gt;表成绩单[[#This Row],[英语]]))+1)</f>
        <v>644</v>
      </c>
      <c r="S3113" s="29" cm="1">
        <f t="array" ref="S3113">IF(表成绩单[[#This Row],[物理]]="","",SUMPRODUCT((表成绩单[考试日期]=表成绩单[[#This Row],[考试日期]])*(表成绩单[物理]&lt;9E+307)*(表成绩单[物理]&gt;表成绩单[[#This Row],[物理]]))+1)</f>
        <v>565</v>
      </c>
      <c r="T3113" s="29" cm="1">
        <f t="array" ref="T3113">IF(表成绩单[[#This Row],[化学]]="","",SUMPRODUCT((表成绩单[考试日期]=表成绩单[[#This Row],[考试日期]])*(表成绩单[化学]&lt;9E+307)*(表成绩单[化学]&gt;表成绩单[[#This Row],[化学]]))+1)</f>
        <v>716</v>
      </c>
      <c r="U3113" s="29" cm="1">
        <f t="array" ref="U3113">IF(表成绩单[[#This Row],[政治]]="","",SUMPRODUCT((表成绩单[考试日期]=表成绩单[[#This Row],[考试日期]])*(表成绩单[政治]&lt;9E+307)*(表成绩单[政治]&gt;表成绩单[[#This Row],[政治]]))+1)</f>
        <v>730</v>
      </c>
      <c r="V3113" s="29" cm="1">
        <f t="array" ref="V3113">IF(表成绩单[[#This Row],[历史]]="","",SUMPRODUCT((表成绩单[考试日期]=表成绩单[[#This Row],[考试日期]])*(表成绩单[历史]&lt;9E+307)*(表成绩单[历史]&gt;表成绩单[[#This Row],[历史]]))+1)</f>
        <v>763</v>
      </c>
      <c r="W3113" s="29" cm="1">
        <f t="array" ref="W3113">IF(表成绩单[[#This Row],[总分]]="","",SUMPRODUCT((表成绩单[考试日期]=表成绩单[[#This Row],[考试日期]])*(表成绩单[总分]&lt;9E+307)*(表成绩单[总分]&gt;表成绩单[[#This Row],[总分]]))+1)</f>
        <v>705</v>
      </c>
    </row>
    <row r="3114" ht="28" customHeight="1" spans="4:23">
      <c r="D3114" s="31">
        <v>46108</v>
      </c>
      <c r="E3114" s="29">
        <v>19173238</v>
      </c>
      <c r="F3114" s="29" t="s">
        <v>61</v>
      </c>
      <c r="G3114" s="29" t="s">
        <v>730</v>
      </c>
      <c r="H3114" s="29">
        <v>82</v>
      </c>
      <c r="I3114" s="29">
        <v>66</v>
      </c>
      <c r="J3114" s="29">
        <v>36.5</v>
      </c>
      <c r="K3114" s="29">
        <v>61</v>
      </c>
      <c r="L3114" s="29">
        <v>44</v>
      </c>
      <c r="M3114" s="29">
        <v>68</v>
      </c>
      <c r="N3114" s="29">
        <v>64</v>
      </c>
      <c r="O3114" s="32">
        <v>421.5</v>
      </c>
      <c r="P3114" s="29" cm="1">
        <f t="array" ref="P3114">IF(表成绩单[[#This Row],[语文]]="","",SUMPRODUCT((表成绩单[考试日期]=表成绩单[[#This Row],[考试日期]])*(表成绩单[语文]&lt;9E+307)*(表成绩单[语文]&gt;表成绩单[[#This Row],[语文]]))+1)</f>
        <v>657</v>
      </c>
      <c r="Q3114" s="29" cm="1">
        <f t="array" ref="Q3114">IF(表成绩单[[#This Row],[数学]]="","",SUMPRODUCT((表成绩单[考试日期]=表成绩单[[#This Row],[考试日期]])*(表成绩单[数学]&lt;9E+307)*(表成绩单[数学]&gt;表成绩单[[#This Row],[数学]]))+1)</f>
        <v>681</v>
      </c>
      <c r="R3114" s="29" cm="1">
        <f t="array" ref="R3114">IF(表成绩单[[#This Row],[英语]]="","",SUMPRODUCT((表成绩单[考试日期]=表成绩单[[#This Row],[考试日期]])*(表成绩单[英语]&lt;9E+307)*(表成绩单[英语]&gt;表成绩单[[#This Row],[英语]]))+1)</f>
        <v>747</v>
      </c>
      <c r="S3114" s="29" cm="1">
        <f t="array" ref="S3114">IF(表成绩单[[#This Row],[物理]]="","",SUMPRODUCT((表成绩单[考试日期]=表成绩单[[#This Row],[考试日期]])*(表成绩单[物理]&lt;9E+307)*(表成绩单[物理]&gt;表成绩单[[#This Row],[物理]]))+1)</f>
        <v>655</v>
      </c>
      <c r="T3114" s="29" cm="1">
        <f t="array" ref="T3114">IF(表成绩单[[#This Row],[化学]]="","",SUMPRODUCT((表成绩单[考试日期]=表成绩单[[#This Row],[考试日期]])*(表成绩单[化学]&lt;9E+307)*(表成绩单[化学]&gt;表成绩单[[#This Row],[化学]]))+1)</f>
        <v>699</v>
      </c>
      <c r="U3114" s="29" cm="1">
        <f t="array" ref="U3114">IF(表成绩单[[#This Row],[政治]]="","",SUMPRODUCT((表成绩单[考试日期]=表成绩单[[#This Row],[考试日期]])*(表成绩单[政治]&lt;9E+307)*(表成绩单[政治]&gt;表成绩单[[#This Row],[政治]]))+1)</f>
        <v>596</v>
      </c>
      <c r="V3114" s="29" cm="1">
        <f t="array" ref="V3114">IF(表成绩单[[#This Row],[历史]]="","",SUMPRODUCT((表成绩单[考试日期]=表成绩单[[#This Row],[考试日期]])*(表成绩单[历史]&lt;9E+307)*(表成绩单[历史]&gt;表成绩单[[#This Row],[历史]]))+1)</f>
        <v>666</v>
      </c>
      <c r="W3114" s="29" cm="1">
        <f t="array" ref="W3114">IF(表成绩单[[#This Row],[总分]]="","",SUMPRODUCT((表成绩单[考试日期]=表成绩单[[#This Row],[考试日期]])*(表成绩单[总分]&lt;9E+307)*(表成绩单[总分]&gt;表成绩单[[#This Row],[总分]]))+1)</f>
        <v>707</v>
      </c>
    </row>
    <row r="3115" ht="28" customHeight="1" spans="4:23">
      <c r="D3115" s="31">
        <v>46108</v>
      </c>
      <c r="E3115" s="29">
        <v>19176000</v>
      </c>
      <c r="F3115" s="29" t="s">
        <v>59</v>
      </c>
      <c r="G3115" s="29" t="s">
        <v>806</v>
      </c>
      <c r="H3115" s="29">
        <v>80</v>
      </c>
      <c r="I3115" s="29">
        <v>78</v>
      </c>
      <c r="J3115" s="29">
        <v>26.5</v>
      </c>
      <c r="K3115" s="29">
        <v>59</v>
      </c>
      <c r="L3115" s="29">
        <v>56</v>
      </c>
      <c r="M3115" s="29">
        <v>61</v>
      </c>
      <c r="N3115" s="29">
        <v>58</v>
      </c>
      <c r="O3115" s="32">
        <v>418.5</v>
      </c>
      <c r="P3115" s="29" cm="1">
        <f t="array" ref="P3115">IF(表成绩单[[#This Row],[语文]]="","",SUMPRODUCT((表成绩单[考试日期]=表成绩单[[#This Row],[考试日期]])*(表成绩单[语文]&lt;9E+307)*(表成绩单[语文]&gt;表成绩单[[#This Row],[语文]]))+1)</f>
        <v>679</v>
      </c>
      <c r="Q3115" s="29" cm="1">
        <f t="array" ref="Q3115">IF(表成绩单[[#This Row],[数学]]="","",SUMPRODUCT((表成绩单[考试日期]=表成绩单[[#This Row],[考试日期]])*(表成绩单[数学]&lt;9E+307)*(表成绩单[数学]&gt;表成绩单[[#This Row],[数学]]))+1)</f>
        <v>604</v>
      </c>
      <c r="R3115" s="29" cm="1">
        <f t="array" ref="R3115">IF(表成绩单[[#This Row],[英语]]="","",SUMPRODUCT((表成绩单[考试日期]=表成绩单[[#This Row],[考试日期]])*(表成绩单[英语]&lt;9E+307)*(表成绩单[英语]&gt;表成绩单[[#This Row],[英语]]))+1)</f>
        <v>767</v>
      </c>
      <c r="S3115" s="29" cm="1">
        <f t="array" ref="S3115">IF(表成绩单[[#This Row],[物理]]="","",SUMPRODUCT((表成绩单[考试日期]=表成绩单[[#This Row],[考试日期]])*(表成绩单[物理]&lt;9E+307)*(表成绩单[物理]&gt;表成绩单[[#This Row],[物理]]))+1)</f>
        <v>667</v>
      </c>
      <c r="T3115" s="29" cm="1">
        <f t="array" ref="T3115">IF(表成绩单[[#This Row],[化学]]="","",SUMPRODUCT((表成绩单[考试日期]=表成绩单[[#This Row],[考试日期]])*(表成绩单[化学]&lt;9E+307)*(表成绩单[化学]&gt;表成绩单[[#This Row],[化学]]))+1)</f>
        <v>569</v>
      </c>
      <c r="U3115" s="29" cm="1">
        <f t="array" ref="U3115">IF(表成绩单[[#This Row],[政治]]="","",SUMPRODUCT((表成绩单[考试日期]=表成绩单[[#This Row],[考试日期]])*(表成绩单[政治]&lt;9E+307)*(表成绩单[政治]&gt;表成绩单[[#This Row],[政治]]))+1)</f>
        <v>700</v>
      </c>
      <c r="V3115" s="29" cm="1">
        <f t="array" ref="V3115">IF(表成绩单[[#This Row],[历史]]="","",SUMPRODUCT((表成绩单[考试日期]=表成绩单[[#This Row],[考试日期]])*(表成绩单[历史]&lt;9E+307)*(表成绩单[历史]&gt;表成绩单[[#This Row],[历史]]))+1)</f>
        <v>730</v>
      </c>
      <c r="W3115" s="29" cm="1">
        <f t="array" ref="W3115">IF(表成绩单[[#This Row],[总分]]="","",SUMPRODUCT((表成绩单[考试日期]=表成绩单[[#This Row],[考试日期]])*(表成绩单[总分]&lt;9E+307)*(表成绩单[总分]&gt;表成绩单[[#This Row],[总分]]))+1)</f>
        <v>708</v>
      </c>
    </row>
    <row r="3116" ht="28" customHeight="1" spans="4:23">
      <c r="D3116" s="31">
        <v>46108</v>
      </c>
      <c r="E3116" s="29">
        <v>19173799</v>
      </c>
      <c r="F3116" s="29" t="s">
        <v>65</v>
      </c>
      <c r="G3116" s="29" t="s">
        <v>818</v>
      </c>
      <c r="H3116" s="29">
        <v>78</v>
      </c>
      <c r="I3116" s="29">
        <v>68</v>
      </c>
      <c r="J3116" s="29">
        <v>60</v>
      </c>
      <c r="K3116" s="29">
        <v>47</v>
      </c>
      <c r="L3116" s="29">
        <v>33</v>
      </c>
      <c r="M3116" s="29">
        <v>68</v>
      </c>
      <c r="N3116" s="29">
        <v>62</v>
      </c>
      <c r="O3116" s="32">
        <v>416</v>
      </c>
      <c r="P3116" s="29" cm="1">
        <f t="array" ref="P3116">IF(表成绩单[[#This Row],[语文]]="","",SUMPRODUCT((表成绩单[考试日期]=表成绩单[[#This Row],[考试日期]])*(表成绩单[语文]&lt;9E+307)*(表成绩单[语文]&gt;表成绩单[[#This Row],[语文]]))+1)</f>
        <v>700</v>
      </c>
      <c r="Q3116" s="29" cm="1">
        <f t="array" ref="Q3116">IF(表成绩单[[#This Row],[数学]]="","",SUMPRODUCT((表成绩单[考试日期]=表成绩单[[#This Row],[考试日期]])*(表成绩单[数学]&lt;9E+307)*(表成绩单[数学]&gt;表成绩单[[#This Row],[数学]]))+1)</f>
        <v>670</v>
      </c>
      <c r="R3116" s="29" cm="1">
        <f t="array" ref="R3116">IF(表成绩单[[#This Row],[英语]]="","",SUMPRODUCT((表成绩单[考试日期]=表成绩单[[#This Row],[考试日期]])*(表成绩单[英语]&lt;9E+307)*(表成绩单[英语]&gt;表成绩单[[#This Row],[英语]]))+1)</f>
        <v>656</v>
      </c>
      <c r="S3116" s="29" cm="1">
        <f t="array" ref="S3116">IF(表成绩单[[#This Row],[物理]]="","",SUMPRODUCT((表成绩单[考试日期]=表成绩单[[#This Row],[考试日期]])*(表成绩单[物理]&lt;9E+307)*(表成绩单[物理]&gt;表成绩单[[#This Row],[物理]]))+1)</f>
        <v>740</v>
      </c>
      <c r="T3116" s="29" cm="1">
        <f t="array" ref="T3116">IF(表成绩单[[#This Row],[化学]]="","",SUMPRODUCT((表成绩单[考试日期]=表成绩单[[#This Row],[考试日期]])*(表成绩单[化学]&lt;9E+307)*(表成绩单[化学]&gt;表成绩单[[#This Row],[化学]]))+1)</f>
        <v>756</v>
      </c>
      <c r="U3116" s="29" cm="1">
        <f t="array" ref="U3116">IF(表成绩单[[#This Row],[政治]]="","",SUMPRODUCT((表成绩单[考试日期]=表成绩单[[#This Row],[考试日期]])*(表成绩单[政治]&lt;9E+307)*(表成绩单[政治]&gt;表成绩单[[#This Row],[政治]]))+1)</f>
        <v>596</v>
      </c>
      <c r="V3116" s="29" cm="1">
        <f t="array" ref="V3116">IF(表成绩单[[#This Row],[历史]]="","",SUMPRODUCT((表成绩单[考试日期]=表成绩单[[#This Row],[考试日期]])*(表成绩单[历史]&lt;9E+307)*(表成绩单[历史]&gt;表成绩单[[#This Row],[历史]]))+1)</f>
        <v>699</v>
      </c>
      <c r="W3116" s="29" cm="1">
        <f t="array" ref="W3116">IF(表成绩单[[#This Row],[总分]]="","",SUMPRODUCT((表成绩单[考试日期]=表成绩单[[#This Row],[考试日期]])*(表成绩单[总分]&lt;9E+307)*(表成绩单[总分]&gt;表成绩单[[#This Row],[总分]]))+1)</f>
        <v>709</v>
      </c>
    </row>
    <row r="3117" ht="28" customHeight="1" spans="4:23">
      <c r="D3117" s="31">
        <v>46108</v>
      </c>
      <c r="E3117" s="29">
        <v>19172660</v>
      </c>
      <c r="F3117" s="29" t="s">
        <v>60</v>
      </c>
      <c r="G3117" s="29" t="s">
        <v>805</v>
      </c>
      <c r="H3117" s="29">
        <v>73</v>
      </c>
      <c r="I3117" s="29">
        <v>74</v>
      </c>
      <c r="J3117" s="29">
        <v>53</v>
      </c>
      <c r="K3117" s="29">
        <v>55</v>
      </c>
      <c r="L3117" s="29">
        <v>43</v>
      </c>
      <c r="M3117" s="29">
        <v>62</v>
      </c>
      <c r="N3117" s="29">
        <v>52</v>
      </c>
      <c r="O3117" s="32">
        <v>412</v>
      </c>
      <c r="P3117" s="29" cm="1">
        <f t="array" ref="P3117">IF(表成绩单[[#This Row],[语文]]="","",SUMPRODUCT((表成绩单[考试日期]=表成绩单[[#This Row],[考试日期]])*(表成绩单[语文]&lt;9E+307)*(表成绩单[语文]&gt;表成绩单[[#This Row],[语文]]))+1)</f>
        <v>727</v>
      </c>
      <c r="Q3117" s="29" cm="1">
        <f t="array" ref="Q3117">IF(表成绩单[[#This Row],[数学]]="","",SUMPRODUCT((表成绩单[考试日期]=表成绩单[[#This Row],[考试日期]])*(表成绩单[数学]&lt;9E+307)*(表成绩单[数学]&gt;表成绩单[[#This Row],[数学]]))+1)</f>
        <v>635</v>
      </c>
      <c r="R3117" s="29" cm="1">
        <f t="array" ref="R3117">IF(表成绩单[[#This Row],[英语]]="","",SUMPRODUCT((表成绩单[考试日期]=表成绩单[[#This Row],[考试日期]])*(表成绩单[英语]&lt;9E+307)*(表成绩单[英语]&gt;表成绩单[[#This Row],[英语]]))+1)</f>
        <v>698</v>
      </c>
      <c r="S3117" s="29" cm="1">
        <f t="array" ref="S3117">IF(表成绩单[[#This Row],[物理]]="","",SUMPRODUCT((表成绩单[考试日期]=表成绩单[[#This Row],[考试日期]])*(表成绩单[物理]&lt;9E+307)*(表成绩单[物理]&gt;表成绩单[[#This Row],[物理]]))+1)</f>
        <v>704</v>
      </c>
      <c r="T3117" s="29" cm="1">
        <f t="array" ref="T3117">IF(表成绩单[[#This Row],[化学]]="","",SUMPRODUCT((表成绩单[考试日期]=表成绩单[[#This Row],[考试日期]])*(表成绩单[化学]&lt;9E+307)*(表成绩单[化学]&gt;表成绩单[[#This Row],[化学]]))+1)</f>
        <v>706</v>
      </c>
      <c r="U3117" s="29" cm="1">
        <f t="array" ref="U3117">IF(表成绩单[[#This Row],[政治]]="","",SUMPRODUCT((表成绩单[考试日期]=表成绩单[[#This Row],[考试日期]])*(表成绩单[政治]&lt;9E+307)*(表成绩单[政治]&gt;表成绩单[[#This Row],[政治]]))+1)</f>
        <v>692</v>
      </c>
      <c r="V3117" s="29" cm="1">
        <f t="array" ref="V3117">IF(表成绩单[[#This Row],[历史]]="","",SUMPRODUCT((表成绩单[考试日期]=表成绩单[[#This Row],[考试日期]])*(表成绩单[历史]&lt;9E+307)*(表成绩单[历史]&gt;表成绩单[[#This Row],[历史]]))+1)</f>
        <v>757</v>
      </c>
      <c r="W3117" s="29" cm="1">
        <f t="array" ref="W3117">IF(表成绩单[[#This Row],[总分]]="","",SUMPRODUCT((表成绩单[考试日期]=表成绩单[[#This Row],[考试日期]])*(表成绩单[总分]&lt;9E+307)*(表成绩单[总分]&gt;表成绩单[[#This Row],[总分]]))+1)</f>
        <v>710</v>
      </c>
    </row>
    <row r="3118" ht="28" customHeight="1" spans="4:23">
      <c r="D3118" s="31">
        <v>46108</v>
      </c>
      <c r="E3118" s="29">
        <v>19173254</v>
      </c>
      <c r="F3118" s="29" t="s">
        <v>61</v>
      </c>
      <c r="G3118" s="29" t="s">
        <v>799</v>
      </c>
      <c r="H3118" s="29">
        <v>80</v>
      </c>
      <c r="I3118" s="29">
        <v>61</v>
      </c>
      <c r="J3118" s="29">
        <v>40</v>
      </c>
      <c r="K3118" s="29">
        <v>62</v>
      </c>
      <c r="L3118" s="29">
        <v>36</v>
      </c>
      <c r="M3118" s="29">
        <v>65</v>
      </c>
      <c r="N3118" s="29">
        <v>68</v>
      </c>
      <c r="O3118" s="32">
        <v>412</v>
      </c>
      <c r="P3118" s="29" cm="1">
        <f t="array" ref="P3118">IF(表成绩单[[#This Row],[语文]]="","",SUMPRODUCT((表成绩单[考试日期]=表成绩单[[#This Row],[考试日期]])*(表成绩单[语文]&lt;9E+307)*(表成绩单[语文]&gt;表成绩单[[#This Row],[语文]]))+1)</f>
        <v>679</v>
      </c>
      <c r="Q3118" s="29" cm="1">
        <f t="array" ref="Q3118">IF(表成绩单[[#This Row],[数学]]="","",SUMPRODUCT((表成绩单[考试日期]=表成绩单[[#This Row],[考试日期]])*(表成绩单[数学]&lt;9E+307)*(表成绩单[数学]&gt;表成绩单[[#This Row],[数学]]))+1)</f>
        <v>701</v>
      </c>
      <c r="R3118" s="29" cm="1">
        <f t="array" ref="R3118">IF(表成绩单[[#This Row],[英语]]="","",SUMPRODUCT((表成绩单[考试日期]=表成绩单[[#This Row],[考试日期]])*(表成绩单[英语]&lt;9E+307)*(表成绩单[英语]&gt;表成绩单[[#This Row],[英语]]))+1)</f>
        <v>742</v>
      </c>
      <c r="S3118" s="29" cm="1">
        <f t="array" ref="S3118">IF(表成绩单[[#This Row],[物理]]="","",SUMPRODUCT((表成绩单[考试日期]=表成绩单[[#This Row],[考试日期]])*(表成绩单[物理]&lt;9E+307)*(表成绩单[物理]&gt;表成绩单[[#This Row],[物理]]))+1)</f>
        <v>643</v>
      </c>
      <c r="T3118" s="29" cm="1">
        <f t="array" ref="T3118">IF(表成绩单[[#This Row],[化学]]="","",SUMPRODUCT((表成绩单[考试日期]=表成绩单[[#This Row],[考试日期]])*(表成绩单[化学]&lt;9E+307)*(表成绩单[化学]&gt;表成绩单[[#This Row],[化学]]))+1)</f>
        <v>742</v>
      </c>
      <c r="U3118" s="29" cm="1">
        <f t="array" ref="U3118">IF(表成绩单[[#This Row],[政治]]="","",SUMPRODUCT((表成绩单[考试日期]=表成绩单[[#This Row],[考试日期]])*(表成绩单[政治]&lt;9E+307)*(表成绩单[政治]&gt;表成绩单[[#This Row],[政治]]))+1)</f>
        <v>655</v>
      </c>
      <c r="V3118" s="29" cm="1">
        <f t="array" ref="V3118">IF(表成绩单[[#This Row],[历史]]="","",SUMPRODUCT((表成绩单[考试日期]=表成绩单[[#This Row],[考试日期]])*(表成绩单[历史]&lt;9E+307)*(表成绩单[历史]&gt;表成绩单[[#This Row],[历史]]))+1)</f>
        <v>599</v>
      </c>
      <c r="W3118" s="29" cm="1">
        <f t="array" ref="W3118">IF(表成绩单[[#This Row],[总分]]="","",SUMPRODUCT((表成绩单[考试日期]=表成绩单[[#This Row],[考试日期]])*(表成绩单[总分]&lt;9E+307)*(表成绩单[总分]&gt;表成绩单[[#This Row],[总分]]))+1)</f>
        <v>710</v>
      </c>
    </row>
    <row r="3119" ht="28" customHeight="1" spans="4:23">
      <c r="D3119" s="31">
        <v>46108</v>
      </c>
      <c r="E3119" s="29">
        <v>19172628</v>
      </c>
      <c r="F3119" s="29" t="s">
        <v>60</v>
      </c>
      <c r="G3119" s="29" t="s">
        <v>794</v>
      </c>
      <c r="H3119" s="29">
        <v>78</v>
      </c>
      <c r="I3119" s="29">
        <v>57</v>
      </c>
      <c r="J3119" s="29">
        <v>45</v>
      </c>
      <c r="K3119" s="29">
        <v>49</v>
      </c>
      <c r="L3119" s="29">
        <v>55</v>
      </c>
      <c r="M3119" s="29">
        <v>65</v>
      </c>
      <c r="N3119" s="29">
        <v>62</v>
      </c>
      <c r="O3119" s="32">
        <v>411</v>
      </c>
      <c r="P3119" s="29" cm="1">
        <f t="array" ref="P3119">IF(表成绩单[[#This Row],[语文]]="","",SUMPRODUCT((表成绩单[考试日期]=表成绩单[[#This Row],[考试日期]])*(表成绩单[语文]&lt;9E+307)*(表成绩单[语文]&gt;表成绩单[[#This Row],[语文]]))+1)</f>
        <v>700</v>
      </c>
      <c r="Q3119" s="29" cm="1">
        <f t="array" ref="Q3119">IF(表成绩单[[#This Row],[数学]]="","",SUMPRODUCT((表成绩单[考试日期]=表成绩单[[#This Row],[考试日期]])*(表成绩单[数学]&lt;9E+307)*(表成绩单[数学]&gt;表成绩单[[#This Row],[数学]]))+1)</f>
        <v>719</v>
      </c>
      <c r="R3119" s="29" cm="1">
        <f t="array" ref="R3119">IF(表成绩单[[#This Row],[英语]]="","",SUMPRODUCT((表成绩单[考试日期]=表成绩单[[#This Row],[考试日期]])*(表成绩单[英语]&lt;9E+307)*(表成绩单[英语]&gt;表成绩单[[#This Row],[英语]]))+1)</f>
        <v>727</v>
      </c>
      <c r="S3119" s="29" cm="1">
        <f t="array" ref="S3119">IF(表成绩单[[#This Row],[物理]]="","",SUMPRODUCT((表成绩单[考试日期]=表成绩单[[#This Row],[考试日期]])*(表成绩单[物理]&lt;9E+307)*(表成绩单[物理]&gt;表成绩单[[#This Row],[物理]]))+1)</f>
        <v>730</v>
      </c>
      <c r="T3119" s="29" cm="1">
        <f t="array" ref="T3119">IF(表成绩单[[#This Row],[化学]]="","",SUMPRODUCT((表成绩单[考试日期]=表成绩单[[#This Row],[考试日期]])*(表成绩单[化学]&lt;9E+307)*(表成绩单[化学]&gt;表成绩单[[#This Row],[化学]]))+1)</f>
        <v>580</v>
      </c>
      <c r="U3119" s="29" cm="1">
        <f t="array" ref="U3119">IF(表成绩单[[#This Row],[政治]]="","",SUMPRODUCT((表成绩单[考试日期]=表成绩单[[#This Row],[考试日期]])*(表成绩单[政治]&lt;9E+307)*(表成绩单[政治]&gt;表成绩单[[#This Row],[政治]]))+1)</f>
        <v>655</v>
      </c>
      <c r="V3119" s="29" cm="1">
        <f t="array" ref="V3119">IF(表成绩单[[#This Row],[历史]]="","",SUMPRODUCT((表成绩单[考试日期]=表成绩单[[#This Row],[考试日期]])*(表成绩单[历史]&lt;9E+307)*(表成绩单[历史]&gt;表成绩单[[#This Row],[历史]]))+1)</f>
        <v>699</v>
      </c>
      <c r="W3119" s="29" cm="1">
        <f t="array" ref="W3119">IF(表成绩单[[#This Row],[总分]]="","",SUMPRODUCT((表成绩单[考试日期]=表成绩单[[#This Row],[考试日期]])*(表成绩单[总分]&lt;9E+307)*(表成绩单[总分]&gt;表成绩单[[#This Row],[总分]]))+1)</f>
        <v>712</v>
      </c>
    </row>
    <row r="3120" ht="28" customHeight="1" spans="4:23">
      <c r="D3120" s="31">
        <v>46108</v>
      </c>
      <c r="E3120" s="29">
        <v>19177629</v>
      </c>
      <c r="F3120" s="29" t="s">
        <v>58</v>
      </c>
      <c r="G3120" s="29" t="s">
        <v>779</v>
      </c>
      <c r="H3120" s="29">
        <v>71</v>
      </c>
      <c r="I3120" s="29">
        <v>78</v>
      </c>
      <c r="J3120" s="29">
        <v>62</v>
      </c>
      <c r="K3120" s="29">
        <v>58</v>
      </c>
      <c r="L3120" s="29">
        <v>38</v>
      </c>
      <c r="M3120" s="29">
        <v>55</v>
      </c>
      <c r="N3120" s="29">
        <v>49</v>
      </c>
      <c r="O3120" s="32">
        <v>411</v>
      </c>
      <c r="P3120" s="29" cm="1">
        <f t="array" ref="P3120">IF(表成绩单[[#This Row],[语文]]="","",SUMPRODUCT((表成绩单[考试日期]=表成绩单[[#This Row],[考试日期]])*(表成绩单[语文]&lt;9E+307)*(表成绩单[语文]&gt;表成绩单[[#This Row],[语文]]))+1)</f>
        <v>737</v>
      </c>
      <c r="Q3120" s="29" cm="1">
        <f t="array" ref="Q3120">IF(表成绩单[[#This Row],[数学]]="","",SUMPRODUCT((表成绩单[考试日期]=表成绩单[[#This Row],[考试日期]])*(表成绩单[数学]&lt;9E+307)*(表成绩单[数学]&gt;表成绩单[[#This Row],[数学]]))+1)</f>
        <v>604</v>
      </c>
      <c r="R3120" s="29" cm="1">
        <f t="array" ref="R3120">IF(表成绩单[[#This Row],[英语]]="","",SUMPRODUCT((表成绩单[考试日期]=表成绩单[[#This Row],[考试日期]])*(表成绩单[英语]&lt;9E+307)*(表成绩单[英语]&gt;表成绩单[[#This Row],[英语]]))+1)</f>
        <v>638</v>
      </c>
      <c r="S3120" s="29" cm="1">
        <f t="array" ref="S3120">IF(表成绩单[[#This Row],[物理]]="","",SUMPRODUCT((表成绩单[考试日期]=表成绩单[[#This Row],[考试日期]])*(表成绩单[物理]&lt;9E+307)*(表成绩单[物理]&gt;表成绩单[[#This Row],[物理]]))+1)</f>
        <v>680</v>
      </c>
      <c r="T3120" s="29" cm="1">
        <f t="array" ref="T3120">IF(表成绩单[[#This Row],[化学]]="","",SUMPRODUCT((表成绩单[考试日期]=表成绩单[[#This Row],[考试日期]])*(表成绩单[化学]&lt;9E+307)*(表成绩单[化学]&gt;表成绩单[[#This Row],[化学]]))+1)</f>
        <v>736</v>
      </c>
      <c r="U3120" s="29" cm="1">
        <f t="array" ref="U3120">IF(表成绩单[[#This Row],[政治]]="","",SUMPRODUCT((表成绩单[考试日期]=表成绩单[[#This Row],[考试日期]])*(表成绩单[政治]&lt;9E+307)*(表成绩单[政治]&gt;表成绩单[[#This Row],[政治]]))+1)</f>
        <v>741</v>
      </c>
      <c r="V3120" s="29" cm="1">
        <f t="array" ref="V3120">IF(表成绩单[[#This Row],[历史]]="","",SUMPRODUCT((表成绩单[考试日期]=表成绩单[[#This Row],[考试日期]])*(表成绩单[历史]&lt;9E+307)*(表成绩单[历史]&gt;表成绩单[[#This Row],[历史]]))+1)</f>
        <v>767</v>
      </c>
      <c r="W3120" s="29" cm="1">
        <f t="array" ref="W3120">IF(表成绩单[[#This Row],[总分]]="","",SUMPRODUCT((表成绩单[考试日期]=表成绩单[[#This Row],[考试日期]])*(表成绩单[总分]&lt;9E+307)*(表成绩单[总分]&gt;表成绩单[[#This Row],[总分]]))+1)</f>
        <v>712</v>
      </c>
    </row>
    <row r="3121" ht="28" customHeight="1" spans="4:23">
      <c r="D3121" s="31">
        <v>46108</v>
      </c>
      <c r="E3121" s="29">
        <v>19172649</v>
      </c>
      <c r="F3121" s="29" t="s">
        <v>60</v>
      </c>
      <c r="G3121" s="29" t="s">
        <v>817</v>
      </c>
      <c r="H3121" s="29">
        <v>85</v>
      </c>
      <c r="I3121" s="29">
        <v>60</v>
      </c>
      <c r="J3121" s="29">
        <v>25</v>
      </c>
      <c r="K3121" s="29">
        <v>61</v>
      </c>
      <c r="L3121" s="29">
        <v>51</v>
      </c>
      <c r="M3121" s="29">
        <v>66</v>
      </c>
      <c r="N3121" s="29">
        <v>62</v>
      </c>
      <c r="O3121" s="32">
        <v>410</v>
      </c>
      <c r="P3121" s="29" cm="1">
        <f t="array" ref="P3121">IF(表成绩单[[#This Row],[语文]]="","",SUMPRODUCT((表成绩单[考试日期]=表成绩单[[#This Row],[考试日期]])*(表成绩单[语文]&lt;9E+307)*(表成绩单[语文]&gt;表成绩单[[#This Row],[语文]]))+1)</f>
        <v>626</v>
      </c>
      <c r="Q3121" s="29" cm="1">
        <f t="array" ref="Q3121">IF(表成绩单[[#This Row],[数学]]="","",SUMPRODUCT((表成绩单[考试日期]=表成绩单[[#This Row],[考试日期]])*(表成绩单[数学]&lt;9E+307)*(表成绩单[数学]&gt;表成绩单[[#This Row],[数学]]))+1)</f>
        <v>707</v>
      </c>
      <c r="R3121" s="29" cm="1">
        <f t="array" ref="R3121">IF(表成绩单[[#This Row],[英语]]="","",SUMPRODUCT((表成绩单[考试日期]=表成绩单[[#This Row],[考试日期]])*(表成绩单[英语]&lt;9E+307)*(表成绩单[英语]&gt;表成绩单[[#This Row],[英语]]))+1)</f>
        <v>769</v>
      </c>
      <c r="S3121" s="29" cm="1">
        <f t="array" ref="S3121">IF(表成绩单[[#This Row],[物理]]="","",SUMPRODUCT((表成绩单[考试日期]=表成绩单[[#This Row],[考试日期]])*(表成绩单[物理]&lt;9E+307)*(表成绩单[物理]&gt;表成绩单[[#This Row],[物理]]))+1)</f>
        <v>655</v>
      </c>
      <c r="T3121" s="29" cm="1">
        <f t="array" ref="T3121">IF(表成绩单[[#This Row],[化学]]="","",SUMPRODUCT((表成绩单[考试日期]=表成绩单[[#This Row],[考试日期]])*(表成绩单[化学]&lt;9E+307)*(表成绩单[化学]&gt;表成绩单[[#This Row],[化学]]))+1)</f>
        <v>622</v>
      </c>
      <c r="U3121" s="29" cm="1">
        <f t="array" ref="U3121">IF(表成绩单[[#This Row],[政治]]="","",SUMPRODUCT((表成绩单[考试日期]=表成绩单[[#This Row],[考试日期]])*(表成绩单[政治]&lt;9E+307)*(表成绩单[政治]&gt;表成绩单[[#This Row],[政治]]))+1)</f>
        <v>642</v>
      </c>
      <c r="V3121" s="29" cm="1">
        <f t="array" ref="V3121">IF(表成绩单[[#This Row],[历史]]="","",SUMPRODUCT((表成绩单[考试日期]=表成绩单[[#This Row],[考试日期]])*(表成绩单[历史]&lt;9E+307)*(表成绩单[历史]&gt;表成绩单[[#This Row],[历史]]))+1)</f>
        <v>699</v>
      </c>
      <c r="W3121" s="29" cm="1">
        <f t="array" ref="W3121">IF(表成绩单[[#This Row],[总分]]="","",SUMPRODUCT((表成绩单[考试日期]=表成绩单[[#This Row],[考试日期]])*(表成绩单[总分]&lt;9E+307)*(表成绩单[总分]&gt;表成绩单[[#This Row],[总分]]))+1)</f>
        <v>714</v>
      </c>
    </row>
    <row r="3122" ht="28" customHeight="1" spans="4:23">
      <c r="D3122" s="31">
        <v>46108</v>
      </c>
      <c r="E3122" s="29">
        <v>19177618</v>
      </c>
      <c r="F3122" s="29" t="s">
        <v>58</v>
      </c>
      <c r="G3122" s="29" t="s">
        <v>774</v>
      </c>
      <c r="H3122" s="29">
        <v>81</v>
      </c>
      <c r="I3122" s="29">
        <v>55</v>
      </c>
      <c r="J3122" s="29">
        <v>48</v>
      </c>
      <c r="K3122" s="29">
        <v>52</v>
      </c>
      <c r="L3122" s="29">
        <v>43</v>
      </c>
      <c r="M3122" s="29">
        <v>60</v>
      </c>
      <c r="N3122" s="29">
        <v>70</v>
      </c>
      <c r="O3122" s="32">
        <v>409</v>
      </c>
      <c r="P3122" s="29" cm="1">
        <f t="array" ref="P3122">IF(表成绩单[[#This Row],[语文]]="","",SUMPRODUCT((表成绩单[考试日期]=表成绩单[[#This Row],[考试日期]])*(表成绩单[语文]&lt;9E+307)*(表成绩单[语文]&gt;表成绩单[[#This Row],[语文]]))+1)</f>
        <v>669</v>
      </c>
      <c r="Q3122" s="29" cm="1">
        <f t="array" ref="Q3122">IF(表成绩单[[#This Row],[数学]]="","",SUMPRODUCT((表成绩单[考试日期]=表成绩单[[#This Row],[考试日期]])*(表成绩单[数学]&lt;9E+307)*(表成绩单[数学]&gt;表成绩单[[#This Row],[数学]]))+1)</f>
        <v>726</v>
      </c>
      <c r="R3122" s="29" cm="1">
        <f t="array" ref="R3122">IF(表成绩单[[#This Row],[英语]]="","",SUMPRODUCT((表成绩单[考试日期]=表成绩单[[#This Row],[考试日期]])*(表成绩单[英语]&lt;9E+307)*(表成绩单[英语]&gt;表成绩单[[#This Row],[英语]]))+1)</f>
        <v>717</v>
      </c>
      <c r="S3122" s="29" cm="1">
        <f t="array" ref="S3122">IF(表成绩单[[#This Row],[物理]]="","",SUMPRODUCT((表成绩单[考试日期]=表成绩单[[#This Row],[考试日期]])*(表成绩单[物理]&lt;9E+307)*(表成绩单[物理]&gt;表成绩单[[#This Row],[物理]]))+1)</f>
        <v>718</v>
      </c>
      <c r="T3122" s="29" cm="1">
        <f t="array" ref="T3122">IF(表成绩单[[#This Row],[化学]]="","",SUMPRODUCT((表成绩单[考试日期]=表成绩单[[#This Row],[考试日期]])*(表成绩单[化学]&lt;9E+307)*(表成绩单[化学]&gt;表成绩单[[#This Row],[化学]]))+1)</f>
        <v>706</v>
      </c>
      <c r="U3122" s="29" cm="1">
        <f t="array" ref="U3122">IF(表成绩单[[#This Row],[政治]]="","",SUMPRODUCT((表成绩单[考试日期]=表成绩单[[#This Row],[考试日期]])*(表成绩单[政治]&lt;9E+307)*(表成绩单[政治]&gt;表成绩单[[#This Row],[政治]]))+1)</f>
        <v>709</v>
      </c>
      <c r="V3122" s="29" cm="1">
        <f t="array" ref="V3122">IF(表成绩单[[#This Row],[历史]]="","",SUMPRODUCT((表成绩单[考试日期]=表成绩单[[#This Row],[考试日期]])*(表成绩单[历史]&lt;9E+307)*(表成绩单[历史]&gt;表成绩单[[#This Row],[历史]]))+1)</f>
        <v>539</v>
      </c>
      <c r="W3122" s="29" cm="1">
        <f t="array" ref="W3122">IF(表成绩单[[#This Row],[总分]]="","",SUMPRODUCT((表成绩单[考试日期]=表成绩单[[#This Row],[考试日期]])*(表成绩单[总分]&lt;9E+307)*(表成绩单[总分]&gt;表成绩单[[#This Row],[总分]]))+1)</f>
        <v>715</v>
      </c>
    </row>
    <row r="3123" ht="28" customHeight="1" spans="4:23">
      <c r="D3123" s="31">
        <v>46108</v>
      </c>
      <c r="E3123" s="29">
        <v>19176016</v>
      </c>
      <c r="F3123" s="29" t="s">
        <v>59</v>
      </c>
      <c r="G3123" s="29" t="s">
        <v>811</v>
      </c>
      <c r="H3123" s="29">
        <v>81</v>
      </c>
      <c r="I3123" s="29">
        <v>56</v>
      </c>
      <c r="J3123" s="29">
        <v>51.5</v>
      </c>
      <c r="K3123" s="29">
        <v>40</v>
      </c>
      <c r="L3123" s="29">
        <v>47</v>
      </c>
      <c r="M3123" s="29">
        <v>68</v>
      </c>
      <c r="N3123" s="29">
        <v>65</v>
      </c>
      <c r="O3123" s="32">
        <v>408.5</v>
      </c>
      <c r="P3123" s="29" cm="1">
        <f t="array" ref="P3123">IF(表成绩单[[#This Row],[语文]]="","",SUMPRODUCT((表成绩单[考试日期]=表成绩单[[#This Row],[考试日期]])*(表成绩单[语文]&lt;9E+307)*(表成绩单[语文]&gt;表成绩单[[#This Row],[语文]]))+1)</f>
        <v>669</v>
      </c>
      <c r="Q3123" s="29" cm="1">
        <f t="array" ref="Q3123">IF(表成绩单[[#This Row],[数学]]="","",SUMPRODUCT((表成绩单[考试日期]=表成绩单[[#This Row],[考试日期]])*(表成绩单[数学]&lt;9E+307)*(表成绩单[数学]&gt;表成绩单[[#This Row],[数学]]))+1)</f>
        <v>723</v>
      </c>
      <c r="R3123" s="29" cm="1">
        <f t="array" ref="R3123">IF(表成绩单[[#This Row],[英语]]="","",SUMPRODUCT((表成绩单[考试日期]=表成绩单[[#This Row],[考试日期]])*(表成绩单[英语]&lt;9E+307)*(表成绩单[英语]&gt;表成绩单[[#This Row],[英语]]))+1)</f>
        <v>706</v>
      </c>
      <c r="S3123" s="29" cm="1">
        <f t="array" ref="S3123">IF(表成绩单[[#This Row],[物理]]="","",SUMPRODUCT((表成绩单[考试日期]=表成绩单[[#This Row],[考试日期]])*(表成绩单[物理]&lt;9E+307)*(表成绩单[物理]&gt;表成绩单[[#This Row],[物理]]))+1)</f>
        <v>762</v>
      </c>
      <c r="T3123" s="29" cm="1">
        <f t="array" ref="T3123">IF(表成绩单[[#This Row],[化学]]="","",SUMPRODUCT((表成绩单[考试日期]=表成绩单[[#This Row],[考试日期]])*(表成绩单[化学]&lt;9E+307)*(表成绩单[化学]&gt;表成绩单[[#This Row],[化学]]))+1)</f>
        <v>670</v>
      </c>
      <c r="U3123" s="29" cm="1">
        <f t="array" ref="U3123">IF(表成绩单[[#This Row],[政治]]="","",SUMPRODUCT((表成绩单[考试日期]=表成绩单[[#This Row],[考试日期]])*(表成绩单[政治]&lt;9E+307)*(表成绩单[政治]&gt;表成绩单[[#This Row],[政治]]))+1)</f>
        <v>596</v>
      </c>
      <c r="V3123" s="29" cm="1">
        <f t="array" ref="V3123">IF(表成绩单[[#This Row],[历史]]="","",SUMPRODUCT((表成绩单[考试日期]=表成绩单[[#This Row],[考试日期]])*(表成绩单[历史]&lt;9E+307)*(表成绩单[历史]&gt;表成绩单[[#This Row],[历史]]))+1)</f>
        <v>657</v>
      </c>
      <c r="W3123" s="29" cm="1">
        <f t="array" ref="W3123">IF(表成绩单[[#This Row],[总分]]="","",SUMPRODUCT((表成绩单[考试日期]=表成绩单[[#This Row],[考试日期]])*(表成绩单[总分]&lt;9E+307)*(表成绩单[总分]&gt;表成绩单[[#This Row],[总分]]))+1)</f>
        <v>716</v>
      </c>
    </row>
    <row r="3124" ht="28" customHeight="1" spans="4:23">
      <c r="D3124" s="31">
        <v>46108</v>
      </c>
      <c r="E3124" s="29">
        <v>19175997</v>
      </c>
      <c r="F3124" s="29" t="s">
        <v>59</v>
      </c>
      <c r="G3124" s="29" t="s">
        <v>813</v>
      </c>
      <c r="H3124" s="29">
        <v>78</v>
      </c>
      <c r="I3124" s="29">
        <v>57</v>
      </c>
      <c r="J3124" s="29">
        <v>57</v>
      </c>
      <c r="K3124" s="29">
        <v>58</v>
      </c>
      <c r="L3124" s="29">
        <v>43</v>
      </c>
      <c r="M3124" s="29">
        <v>57</v>
      </c>
      <c r="N3124" s="29">
        <v>58</v>
      </c>
      <c r="O3124" s="32">
        <v>408</v>
      </c>
      <c r="P3124" s="29" cm="1">
        <f t="array" ref="P3124">IF(表成绩单[[#This Row],[语文]]="","",SUMPRODUCT((表成绩单[考试日期]=表成绩单[[#This Row],[考试日期]])*(表成绩单[语文]&lt;9E+307)*(表成绩单[语文]&gt;表成绩单[[#This Row],[语文]]))+1)</f>
        <v>700</v>
      </c>
      <c r="Q3124" s="29" cm="1">
        <f t="array" ref="Q3124">IF(表成绩单[[#This Row],[数学]]="","",SUMPRODUCT((表成绩单[考试日期]=表成绩单[[#This Row],[考试日期]])*(表成绩单[数学]&lt;9E+307)*(表成绩单[数学]&gt;表成绩单[[#This Row],[数学]]))+1)</f>
        <v>719</v>
      </c>
      <c r="R3124" s="29" cm="1">
        <f t="array" ref="R3124">IF(表成绩单[[#This Row],[英语]]="","",SUMPRODUCT((表成绩单[考试日期]=表成绩单[[#This Row],[考试日期]])*(表成绩单[英语]&lt;9E+307)*(表成绩单[英语]&gt;表成绩单[[#This Row],[英语]]))+1)</f>
        <v>675</v>
      </c>
      <c r="S3124" s="29" cm="1">
        <f t="array" ref="S3124">IF(表成绩单[[#This Row],[物理]]="","",SUMPRODUCT((表成绩单[考试日期]=表成绩单[[#This Row],[考试日期]])*(表成绩单[物理]&lt;9E+307)*(表成绩单[物理]&gt;表成绩单[[#This Row],[物理]]))+1)</f>
        <v>680</v>
      </c>
      <c r="T3124" s="29" cm="1">
        <f t="array" ref="T3124">IF(表成绩单[[#This Row],[化学]]="","",SUMPRODUCT((表成绩单[考试日期]=表成绩单[[#This Row],[考试日期]])*(表成绩单[化学]&lt;9E+307)*(表成绩单[化学]&gt;表成绩单[[#This Row],[化学]]))+1)</f>
        <v>706</v>
      </c>
      <c r="U3124" s="29" cm="1">
        <f t="array" ref="U3124">IF(表成绩单[[#This Row],[政治]]="","",SUMPRODUCT((表成绩单[考试日期]=表成绩单[[#This Row],[考试日期]])*(表成绩单[政治]&lt;9E+307)*(表成绩单[政治]&gt;表成绩单[[#This Row],[政治]]))+1)</f>
        <v>730</v>
      </c>
      <c r="V3124" s="29" cm="1">
        <f t="array" ref="V3124">IF(表成绩单[[#This Row],[历史]]="","",SUMPRODUCT((表成绩单[考试日期]=表成绩单[[#This Row],[考试日期]])*(表成绩单[历史]&lt;9E+307)*(表成绩单[历史]&gt;表成绩单[[#This Row],[历史]]))+1)</f>
        <v>730</v>
      </c>
      <c r="W3124" s="29" cm="1">
        <f t="array" ref="W3124">IF(表成绩单[[#This Row],[总分]]="","",SUMPRODUCT((表成绩单[考试日期]=表成绩单[[#This Row],[考试日期]])*(表成绩单[总分]&lt;9E+307)*(表成绩单[总分]&gt;表成绩单[[#This Row],[总分]]))+1)</f>
        <v>717</v>
      </c>
    </row>
    <row r="3125" ht="28" customHeight="1" spans="4:23">
      <c r="D3125" s="31">
        <v>46108</v>
      </c>
      <c r="E3125" s="29">
        <v>19177627</v>
      </c>
      <c r="F3125" s="29" t="s">
        <v>58</v>
      </c>
      <c r="G3125" s="29" t="s">
        <v>756</v>
      </c>
      <c r="H3125" s="29">
        <v>83</v>
      </c>
      <c r="I3125" s="29">
        <v>54</v>
      </c>
      <c r="J3125" s="29">
        <v>53</v>
      </c>
      <c r="K3125" s="29">
        <v>54</v>
      </c>
      <c r="L3125" s="29">
        <v>45</v>
      </c>
      <c r="M3125" s="29">
        <v>55</v>
      </c>
      <c r="N3125" s="29">
        <v>63</v>
      </c>
      <c r="O3125" s="32">
        <v>407</v>
      </c>
      <c r="P3125" s="29" cm="1">
        <f t="array" ref="P3125">IF(表成绩单[[#This Row],[语文]]="","",SUMPRODUCT((表成绩单[考试日期]=表成绩单[[#This Row],[考试日期]])*(表成绩单[语文]&lt;9E+307)*(表成绩单[语文]&gt;表成绩单[[#This Row],[语文]]))+1)</f>
        <v>652</v>
      </c>
      <c r="Q3125" s="29" cm="1">
        <f t="array" ref="Q3125">IF(表成绩单[[#This Row],[数学]]="","",SUMPRODUCT((表成绩单[考试日期]=表成绩单[[#This Row],[考试日期]])*(表成绩单[数学]&lt;9E+307)*(表成绩单[数学]&gt;表成绩单[[#This Row],[数学]]))+1)</f>
        <v>728</v>
      </c>
      <c r="R3125" s="29" cm="1">
        <f t="array" ref="R3125">IF(表成绩单[[#This Row],[英语]]="","",SUMPRODUCT((表成绩单[考试日期]=表成绩单[[#This Row],[考试日期]])*(表成绩单[英语]&lt;9E+307)*(表成绩单[英语]&gt;表成绩单[[#This Row],[英语]]))+1)</f>
        <v>698</v>
      </c>
      <c r="S3125" s="29" cm="1">
        <f t="array" ref="S3125">IF(表成绩单[[#This Row],[物理]]="","",SUMPRODUCT((表成绩单[考试日期]=表成绩单[[#This Row],[考试日期]])*(表成绩单[物理]&lt;9E+307)*(表成绩单[物理]&gt;表成绩单[[#This Row],[物理]]))+1)</f>
        <v>708</v>
      </c>
      <c r="T3125" s="29" cm="1">
        <f t="array" ref="T3125">IF(表成绩单[[#This Row],[化学]]="","",SUMPRODUCT((表成绩单[考试日期]=表成绩单[[#This Row],[考试日期]])*(表成绩单[化学]&lt;9E+307)*(表成绩单[化学]&gt;表成绩单[[#This Row],[化学]]))+1)</f>
        <v>686</v>
      </c>
      <c r="U3125" s="29" cm="1">
        <f t="array" ref="U3125">IF(表成绩单[[#This Row],[政治]]="","",SUMPRODUCT((表成绩单[考试日期]=表成绩单[[#This Row],[考试日期]])*(表成绩单[政治]&lt;9E+307)*(表成绩单[政治]&gt;表成绩单[[#This Row],[政治]]))+1)</f>
        <v>741</v>
      </c>
      <c r="V3125" s="29" cm="1">
        <f t="array" ref="V3125">IF(表成绩单[[#This Row],[历史]]="","",SUMPRODUCT((表成绩单[考试日期]=表成绩单[[#This Row],[考试日期]])*(表成绩单[历史]&lt;9E+307)*(表成绩单[历史]&gt;表成绩单[[#This Row],[历史]]))+1)</f>
        <v>686</v>
      </c>
      <c r="W3125" s="29" cm="1">
        <f t="array" ref="W3125">IF(表成绩单[[#This Row],[总分]]="","",SUMPRODUCT((表成绩单[考试日期]=表成绩单[[#This Row],[考试日期]])*(表成绩单[总分]&lt;9E+307)*(表成绩单[总分]&gt;表成绩单[[#This Row],[总分]]))+1)</f>
        <v>718</v>
      </c>
    </row>
    <row r="3126" ht="28" customHeight="1" spans="4:23">
      <c r="D3126" s="31">
        <v>46108</v>
      </c>
      <c r="E3126" s="29">
        <v>19175303</v>
      </c>
      <c r="F3126" s="29" t="s">
        <v>55</v>
      </c>
      <c r="G3126" s="29" t="s">
        <v>823</v>
      </c>
      <c r="H3126" s="29">
        <v>74</v>
      </c>
      <c r="I3126" s="29">
        <v>64</v>
      </c>
      <c r="J3126" s="29">
        <v>40</v>
      </c>
      <c r="K3126" s="29">
        <v>59</v>
      </c>
      <c r="L3126" s="29">
        <v>50</v>
      </c>
      <c r="M3126" s="29">
        <v>57</v>
      </c>
      <c r="N3126" s="29">
        <v>61</v>
      </c>
      <c r="O3126" s="32">
        <v>405</v>
      </c>
      <c r="P3126" s="29" cm="1">
        <f t="array" ref="P3126">IF(表成绩单[[#This Row],[语文]]="","",SUMPRODUCT((表成绩单[考试日期]=表成绩单[[#This Row],[考试日期]])*(表成绩单[语文]&lt;9E+307)*(表成绩单[语文]&gt;表成绩单[[#This Row],[语文]]))+1)</f>
        <v>725</v>
      </c>
      <c r="Q3126" s="29" cm="1">
        <f t="array" ref="Q3126">IF(表成绩单[[#This Row],[数学]]="","",SUMPRODUCT((表成绩单[考试日期]=表成绩单[[#This Row],[考试日期]])*(表成绩单[数学]&lt;9E+307)*(表成绩单[数学]&gt;表成绩单[[#This Row],[数学]]))+1)</f>
        <v>690</v>
      </c>
      <c r="R3126" s="29" cm="1">
        <f t="array" ref="R3126">IF(表成绩单[[#This Row],[英语]]="","",SUMPRODUCT((表成绩单[考试日期]=表成绩单[[#This Row],[考试日期]])*(表成绩单[英语]&lt;9E+307)*(表成绩单[英语]&gt;表成绩单[[#This Row],[英语]]))+1)</f>
        <v>742</v>
      </c>
      <c r="S3126" s="29" cm="1">
        <f t="array" ref="S3126">IF(表成绩单[[#This Row],[物理]]="","",SUMPRODUCT((表成绩单[考试日期]=表成绩单[[#This Row],[考试日期]])*(表成绩单[物理]&lt;9E+307)*(表成绩单[物理]&gt;表成绩单[[#This Row],[物理]]))+1)</f>
        <v>667</v>
      </c>
      <c r="T3126" s="29" cm="1">
        <f t="array" ref="T3126">IF(表成绩单[[#This Row],[化学]]="","",SUMPRODUCT((表成绩单[考试日期]=表成绩单[[#This Row],[考试日期]])*(表成绩单[化学]&lt;9E+307)*(表成绩单[化学]&gt;表成绩单[[#This Row],[化学]]))+1)</f>
        <v>632</v>
      </c>
      <c r="U3126" s="29" cm="1">
        <f t="array" ref="U3126">IF(表成绩单[[#This Row],[政治]]="","",SUMPRODUCT((表成绩单[考试日期]=表成绩单[[#This Row],[考试日期]])*(表成绩单[政治]&lt;9E+307)*(表成绩单[政治]&gt;表成绩单[[#This Row],[政治]]))+1)</f>
        <v>730</v>
      </c>
      <c r="V3126" s="29" cm="1">
        <f t="array" ref="V3126">IF(表成绩单[[#This Row],[历史]]="","",SUMPRODUCT((表成绩单[考试日期]=表成绩单[[#This Row],[考试日期]])*(表成绩单[历史]&lt;9E+307)*(表成绩单[历史]&gt;表成绩单[[#This Row],[历史]]))+1)</f>
        <v>707</v>
      </c>
      <c r="W3126" s="29" cm="1">
        <f t="array" ref="W3126">IF(表成绩单[[#This Row],[总分]]="","",SUMPRODUCT((表成绩单[考试日期]=表成绩单[[#This Row],[考试日期]])*(表成绩单[总分]&lt;9E+307)*(表成绩单[总分]&gt;表成绩单[[#This Row],[总分]]))+1)</f>
        <v>719</v>
      </c>
    </row>
    <row r="3127" ht="28" customHeight="1" spans="4:23">
      <c r="D3127" s="31">
        <v>46108</v>
      </c>
      <c r="E3127" s="29">
        <v>19175703</v>
      </c>
      <c r="F3127" s="29" t="s">
        <v>72</v>
      </c>
      <c r="G3127" s="29" t="s">
        <v>826</v>
      </c>
      <c r="H3127" s="29">
        <v>71</v>
      </c>
      <c r="I3127" s="29">
        <v>62</v>
      </c>
      <c r="J3127" s="29">
        <v>54.5</v>
      </c>
      <c r="K3127" s="29">
        <v>52</v>
      </c>
      <c r="L3127" s="29">
        <v>39</v>
      </c>
      <c r="M3127" s="29">
        <v>66</v>
      </c>
      <c r="N3127" s="29">
        <v>60</v>
      </c>
      <c r="O3127" s="32">
        <v>404.5</v>
      </c>
      <c r="P3127" s="29" cm="1">
        <f t="array" ref="P3127">IF(表成绩单[[#This Row],[语文]]="","",SUMPRODUCT((表成绩单[考试日期]=表成绩单[[#This Row],[考试日期]])*(表成绩单[语文]&lt;9E+307)*(表成绩单[语文]&gt;表成绩单[[#This Row],[语文]]))+1)</f>
        <v>737</v>
      </c>
      <c r="Q3127" s="29" cm="1">
        <f t="array" ref="Q3127">IF(表成绩单[[#This Row],[数学]]="","",SUMPRODUCT((表成绩单[考试日期]=表成绩单[[#This Row],[考试日期]])*(表成绩单[数学]&lt;9E+307)*(表成绩单[数学]&gt;表成绩单[[#This Row],[数学]]))+1)</f>
        <v>697</v>
      </c>
      <c r="R3127" s="29" cm="1">
        <f t="array" ref="R3127">IF(表成绩单[[#This Row],[英语]]="","",SUMPRODUCT((表成绩单[考试日期]=表成绩单[[#This Row],[考试日期]])*(表成绩单[英语]&lt;9E+307)*(表成绩单[英语]&gt;表成绩单[[#This Row],[英语]]))+1)</f>
        <v>687</v>
      </c>
      <c r="S3127" s="29" cm="1">
        <f t="array" ref="S3127">IF(表成绩单[[#This Row],[物理]]="","",SUMPRODUCT((表成绩单[考试日期]=表成绩单[[#This Row],[考试日期]])*(表成绩单[物理]&lt;9E+307)*(表成绩单[物理]&gt;表成绩单[[#This Row],[物理]]))+1)</f>
        <v>718</v>
      </c>
      <c r="T3127" s="29" cm="1">
        <f t="array" ref="T3127">IF(表成绩单[[#This Row],[化学]]="","",SUMPRODUCT((表成绩单[考试日期]=表成绩单[[#This Row],[考试日期]])*(表成绩单[化学]&lt;9E+307)*(表成绩单[化学]&gt;表成绩单[[#This Row],[化学]]))+1)</f>
        <v>729</v>
      </c>
      <c r="U3127" s="29" cm="1">
        <f t="array" ref="U3127">IF(表成绩单[[#This Row],[政治]]="","",SUMPRODUCT((表成绩单[考试日期]=表成绩单[[#This Row],[考试日期]])*(表成绩单[政治]&lt;9E+307)*(表成绩单[政治]&gt;表成绩单[[#This Row],[政治]]))+1)</f>
        <v>642</v>
      </c>
      <c r="V3127" s="29" cm="1">
        <f t="array" ref="V3127">IF(表成绩单[[#This Row],[历史]]="","",SUMPRODUCT((表成绩单[考试日期]=表成绩单[[#This Row],[考试日期]])*(表成绩单[历史]&lt;9E+307)*(表成绩单[历史]&gt;表成绩单[[#This Row],[历史]]))+1)</f>
        <v>715</v>
      </c>
      <c r="W3127" s="29" cm="1">
        <f t="array" ref="W3127">IF(表成绩单[[#This Row],[总分]]="","",SUMPRODUCT((表成绩单[考试日期]=表成绩单[[#This Row],[考试日期]])*(表成绩单[总分]&lt;9E+307)*(表成绩单[总分]&gt;表成绩单[[#This Row],[总分]]))+1)</f>
        <v>720</v>
      </c>
    </row>
    <row r="3128" ht="28" customHeight="1" spans="4:23">
      <c r="D3128" s="31">
        <v>46108</v>
      </c>
      <c r="E3128" s="29">
        <v>19175986</v>
      </c>
      <c r="F3128" s="29" t="s">
        <v>59</v>
      </c>
      <c r="G3128" s="29" t="s">
        <v>782</v>
      </c>
      <c r="H3128" s="29">
        <v>88</v>
      </c>
      <c r="I3128" s="29">
        <v>59</v>
      </c>
      <c r="J3128" s="29">
        <v>52.5</v>
      </c>
      <c r="K3128" s="29">
        <v>44</v>
      </c>
      <c r="L3128" s="29">
        <v>35</v>
      </c>
      <c r="M3128" s="29">
        <v>59</v>
      </c>
      <c r="N3128" s="29">
        <v>67</v>
      </c>
      <c r="O3128" s="32">
        <v>404.5</v>
      </c>
      <c r="P3128" s="29" cm="1">
        <f t="array" ref="P3128">IF(表成绩单[[#This Row],[语文]]="","",SUMPRODUCT((表成绩单[考试日期]=表成绩单[[#This Row],[考试日期]])*(表成绩单[语文]&lt;9E+307)*(表成绩单[语文]&gt;表成绩单[[#This Row],[语文]]))+1)</f>
        <v>575</v>
      </c>
      <c r="Q3128" s="29" cm="1">
        <f t="array" ref="Q3128">IF(表成绩单[[#This Row],[数学]]="","",SUMPRODUCT((表成绩单[考试日期]=表成绩单[[#This Row],[考试日期]])*(表成绩单[数学]&lt;9E+307)*(表成绩单[数学]&gt;表成绩单[[#This Row],[数学]]))+1)</f>
        <v>712</v>
      </c>
      <c r="R3128" s="29" cm="1">
        <f t="array" ref="R3128">IF(表成绩单[[#This Row],[英语]]="","",SUMPRODUCT((表成绩单[考试日期]=表成绩单[[#This Row],[考试日期]])*(表成绩单[英语]&lt;9E+307)*(表成绩单[英语]&gt;表成绩单[[#This Row],[英语]]))+1)</f>
        <v>701</v>
      </c>
      <c r="S3128" s="29" cm="1">
        <f t="array" ref="S3128">IF(表成绩单[[#This Row],[物理]]="","",SUMPRODUCT((表成绩单[考试日期]=表成绩单[[#This Row],[考试日期]])*(表成绩单[物理]&lt;9E+307)*(表成绩单[物理]&gt;表成绩单[[#This Row],[物理]]))+1)</f>
        <v>750</v>
      </c>
      <c r="T3128" s="29" cm="1">
        <f t="array" ref="T3128">IF(表成绩单[[#This Row],[化学]]="","",SUMPRODUCT((表成绩单[考试日期]=表成绩单[[#This Row],[考试日期]])*(表成绩单[化学]&lt;9E+307)*(表成绩单[化学]&gt;表成绩单[[#This Row],[化学]]))+1)</f>
        <v>747</v>
      </c>
      <c r="U3128" s="29" cm="1">
        <f t="array" ref="U3128">IF(表成绩单[[#This Row],[政治]]="","",SUMPRODUCT((表成绩单[考试日期]=表成绩单[[#This Row],[考试日期]])*(表成绩单[政治]&lt;9E+307)*(表成绩单[政治]&gt;表成绩单[[#This Row],[政治]]))+1)</f>
        <v>720</v>
      </c>
      <c r="V3128" s="29" cm="1">
        <f t="array" ref="V3128">IF(表成绩单[[#This Row],[历史]]="","",SUMPRODUCT((表成绩单[考试日期]=表成绩单[[#This Row],[考试日期]])*(表成绩单[历史]&lt;9E+307)*(表成绩单[历史]&gt;表成绩单[[#This Row],[历史]]))+1)</f>
        <v>623</v>
      </c>
      <c r="W3128" s="29" cm="1">
        <f t="array" ref="W3128">IF(表成绩单[[#This Row],[总分]]="","",SUMPRODUCT((表成绩单[考试日期]=表成绩单[[#This Row],[考试日期]])*(表成绩单[总分]&lt;9E+307)*(表成绩单[总分]&gt;表成绩单[[#This Row],[总分]]))+1)</f>
        <v>720</v>
      </c>
    </row>
    <row r="3129" ht="28" customHeight="1" spans="4:23">
      <c r="D3129" s="31">
        <v>46108</v>
      </c>
      <c r="E3129" s="29">
        <v>19175989</v>
      </c>
      <c r="F3129" s="29" t="s">
        <v>59</v>
      </c>
      <c r="G3129" s="29" t="s">
        <v>839</v>
      </c>
      <c r="H3129" s="29">
        <v>75</v>
      </c>
      <c r="I3129" s="29">
        <v>66</v>
      </c>
      <c r="J3129" s="29">
        <v>48</v>
      </c>
      <c r="K3129" s="29">
        <v>59</v>
      </c>
      <c r="L3129" s="29">
        <v>39</v>
      </c>
      <c r="M3129" s="29">
        <v>59</v>
      </c>
      <c r="N3129" s="29">
        <v>55</v>
      </c>
      <c r="O3129" s="32">
        <v>401</v>
      </c>
      <c r="P3129" s="29" cm="1">
        <f t="array" ref="P3129">IF(表成绩单[[#This Row],[语文]]="","",SUMPRODUCT((表成绩单[考试日期]=表成绩单[[#This Row],[考试日期]])*(表成绩单[语文]&lt;9E+307)*(表成绩单[语文]&gt;表成绩单[[#This Row],[语文]]))+1)</f>
        <v>721</v>
      </c>
      <c r="Q3129" s="29" cm="1">
        <f t="array" ref="Q3129">IF(表成绩单[[#This Row],[数学]]="","",SUMPRODUCT((表成绩单[考试日期]=表成绩单[[#This Row],[考试日期]])*(表成绩单[数学]&lt;9E+307)*(表成绩单[数学]&gt;表成绩单[[#This Row],[数学]]))+1)</f>
        <v>681</v>
      </c>
      <c r="R3129" s="29" cm="1">
        <f t="array" ref="R3129">IF(表成绩单[[#This Row],[英语]]="","",SUMPRODUCT((表成绩单[考试日期]=表成绩单[[#This Row],[考试日期]])*(表成绩单[英语]&lt;9E+307)*(表成绩单[英语]&gt;表成绩单[[#This Row],[英语]]))+1)</f>
        <v>717</v>
      </c>
      <c r="S3129" s="29" cm="1">
        <f t="array" ref="S3129">IF(表成绩单[[#This Row],[物理]]="","",SUMPRODUCT((表成绩单[考试日期]=表成绩单[[#This Row],[考试日期]])*(表成绩单[物理]&lt;9E+307)*(表成绩单[物理]&gt;表成绩单[[#This Row],[物理]]))+1)</f>
        <v>667</v>
      </c>
      <c r="T3129" s="29" cm="1">
        <f t="array" ref="T3129">IF(表成绩单[[#This Row],[化学]]="","",SUMPRODUCT((表成绩单[考试日期]=表成绩单[[#This Row],[考试日期]])*(表成绩单[化学]&lt;9E+307)*(表成绩单[化学]&gt;表成绩单[[#This Row],[化学]]))+1)</f>
        <v>729</v>
      </c>
      <c r="U3129" s="29" cm="1">
        <f t="array" ref="U3129">IF(表成绩单[[#This Row],[政治]]="","",SUMPRODUCT((表成绩单[考试日期]=表成绩单[[#This Row],[考试日期]])*(表成绩单[政治]&lt;9E+307)*(表成绩单[政治]&gt;表成绩单[[#This Row],[政治]]))+1)</f>
        <v>720</v>
      </c>
      <c r="V3129" s="29" cm="1">
        <f t="array" ref="V3129">IF(表成绩单[[#This Row],[历史]]="","",SUMPRODUCT((表成绩单[考试日期]=表成绩单[[#This Row],[考试日期]])*(表成绩单[历史]&lt;9E+307)*(表成绩单[历史]&gt;表成绩单[[#This Row],[历史]]))+1)</f>
        <v>742</v>
      </c>
      <c r="W3129" s="29" cm="1">
        <f t="array" ref="W3129">IF(表成绩单[[#This Row],[总分]]="","",SUMPRODUCT((表成绩单[考试日期]=表成绩单[[#This Row],[考试日期]])*(表成绩单[总分]&lt;9E+307)*(表成绩单[总分]&gt;表成绩单[[#This Row],[总分]]))+1)</f>
        <v>722</v>
      </c>
    </row>
    <row r="3130" ht="28" customHeight="1" spans="4:23">
      <c r="D3130" s="31">
        <v>46108</v>
      </c>
      <c r="E3130" s="29">
        <v>19175323</v>
      </c>
      <c r="F3130" s="29" t="s">
        <v>55</v>
      </c>
      <c r="G3130" s="29" t="s">
        <v>785</v>
      </c>
      <c r="H3130" s="29">
        <v>80</v>
      </c>
      <c r="I3130" s="29">
        <v>59</v>
      </c>
      <c r="J3130" s="29">
        <v>54.5</v>
      </c>
      <c r="K3130" s="29">
        <v>44</v>
      </c>
      <c r="L3130" s="29">
        <v>32</v>
      </c>
      <c r="M3130" s="29">
        <v>61</v>
      </c>
      <c r="N3130" s="29">
        <v>65</v>
      </c>
      <c r="O3130" s="32">
        <v>395.5</v>
      </c>
      <c r="P3130" s="29" cm="1">
        <f t="array" ref="P3130">IF(表成绩单[[#This Row],[语文]]="","",SUMPRODUCT((表成绩单[考试日期]=表成绩单[[#This Row],[考试日期]])*(表成绩单[语文]&lt;9E+307)*(表成绩单[语文]&gt;表成绩单[[#This Row],[语文]]))+1)</f>
        <v>679</v>
      </c>
      <c r="Q3130" s="29" cm="1">
        <f t="array" ref="Q3130">IF(表成绩单[[#This Row],[数学]]="","",SUMPRODUCT((表成绩单[考试日期]=表成绩单[[#This Row],[考试日期]])*(表成绩单[数学]&lt;9E+307)*(表成绩单[数学]&gt;表成绩单[[#This Row],[数学]]))+1)</f>
        <v>712</v>
      </c>
      <c r="R3130" s="29" cm="1">
        <f t="array" ref="R3130">IF(表成绩单[[#This Row],[英语]]="","",SUMPRODUCT((表成绩单[考试日期]=表成绩单[[#This Row],[考试日期]])*(表成绩单[英语]&lt;9E+307)*(表成绩单[英语]&gt;表成绩单[[#This Row],[英语]]))+1)</f>
        <v>687</v>
      </c>
      <c r="S3130" s="29" cm="1">
        <f t="array" ref="S3130">IF(表成绩单[[#This Row],[物理]]="","",SUMPRODUCT((表成绩单[考试日期]=表成绩单[[#This Row],[考试日期]])*(表成绩单[物理]&lt;9E+307)*(表成绩单[物理]&gt;表成绩单[[#This Row],[物理]]))+1)</f>
        <v>750</v>
      </c>
      <c r="T3130" s="29" cm="1">
        <f t="array" ref="T3130">IF(表成绩单[[#This Row],[化学]]="","",SUMPRODUCT((表成绩单[考试日期]=表成绩单[[#This Row],[考试日期]])*(表成绩单[化学]&lt;9E+307)*(表成绩单[化学]&gt;表成绩单[[#This Row],[化学]]))+1)</f>
        <v>759</v>
      </c>
      <c r="U3130" s="29" cm="1">
        <f t="array" ref="U3130">IF(表成绩单[[#This Row],[政治]]="","",SUMPRODUCT((表成绩单[考试日期]=表成绩单[[#This Row],[考试日期]])*(表成绩单[政治]&lt;9E+307)*(表成绩单[政治]&gt;表成绩单[[#This Row],[政治]]))+1)</f>
        <v>700</v>
      </c>
      <c r="V3130" s="29" cm="1">
        <f t="array" ref="V3130">IF(表成绩单[[#This Row],[历史]]="","",SUMPRODUCT((表成绩单[考试日期]=表成绩单[[#This Row],[考试日期]])*(表成绩单[历史]&lt;9E+307)*(表成绩单[历史]&gt;表成绩单[[#This Row],[历史]]))+1)</f>
        <v>657</v>
      </c>
      <c r="W3130" s="29" cm="1">
        <f t="array" ref="W3130">IF(表成绩单[[#This Row],[总分]]="","",SUMPRODUCT((表成绩单[考试日期]=表成绩单[[#This Row],[考试日期]])*(表成绩单[总分]&lt;9E+307)*(表成绩单[总分]&gt;表成绩单[[#This Row],[总分]]))+1)</f>
        <v>723</v>
      </c>
    </row>
    <row r="3131" ht="28" customHeight="1" spans="4:23">
      <c r="D3131" s="31">
        <v>46108</v>
      </c>
      <c r="E3131" s="29">
        <v>19175291</v>
      </c>
      <c r="F3131" s="29" t="s">
        <v>55</v>
      </c>
      <c r="G3131" s="29" t="s">
        <v>851</v>
      </c>
      <c r="H3131" s="29">
        <v>80</v>
      </c>
      <c r="I3131" s="29">
        <v>68</v>
      </c>
      <c r="J3131" s="29">
        <v>34.5</v>
      </c>
      <c r="K3131" s="29">
        <v>46</v>
      </c>
      <c r="L3131" s="29">
        <v>43</v>
      </c>
      <c r="M3131" s="29">
        <v>62</v>
      </c>
      <c r="N3131" s="29">
        <v>61</v>
      </c>
      <c r="O3131" s="32">
        <v>394.5</v>
      </c>
      <c r="P3131" s="29" cm="1">
        <f t="array" ref="P3131">IF(表成绩单[[#This Row],[语文]]="","",SUMPRODUCT((表成绩单[考试日期]=表成绩单[[#This Row],[考试日期]])*(表成绩单[语文]&lt;9E+307)*(表成绩单[语文]&gt;表成绩单[[#This Row],[语文]]))+1)</f>
        <v>679</v>
      </c>
      <c r="Q3131" s="29" cm="1">
        <f t="array" ref="Q3131">IF(表成绩单[[#This Row],[数学]]="","",SUMPRODUCT((表成绩单[考试日期]=表成绩单[[#This Row],[考试日期]])*(表成绩单[数学]&lt;9E+307)*(表成绩单[数学]&gt;表成绩单[[#This Row],[数学]]))+1)</f>
        <v>670</v>
      </c>
      <c r="R3131" s="29" cm="1">
        <f t="array" ref="R3131">IF(表成绩单[[#This Row],[英语]]="","",SUMPRODUCT((表成绩单[考试日期]=表成绩单[[#This Row],[考试日期]])*(表成绩单[英语]&lt;9E+307)*(表成绩单[英语]&gt;表成绩单[[#This Row],[英语]]))+1)</f>
        <v>753</v>
      </c>
      <c r="S3131" s="29" cm="1">
        <f t="array" ref="S3131">IF(表成绩单[[#This Row],[物理]]="","",SUMPRODUCT((表成绩单[考试日期]=表成绩单[[#This Row],[考试日期]])*(表成绩单[物理]&lt;9E+307)*(表成绩单[物理]&gt;表成绩单[[#This Row],[物理]]))+1)</f>
        <v>742</v>
      </c>
      <c r="T3131" s="29" cm="1">
        <f t="array" ref="T3131">IF(表成绩单[[#This Row],[化学]]="","",SUMPRODUCT((表成绩单[考试日期]=表成绩单[[#This Row],[考试日期]])*(表成绩单[化学]&lt;9E+307)*(表成绩单[化学]&gt;表成绩单[[#This Row],[化学]]))+1)</f>
        <v>706</v>
      </c>
      <c r="U3131" s="29" cm="1">
        <f t="array" ref="U3131">IF(表成绩单[[#This Row],[政治]]="","",SUMPRODUCT((表成绩单[考试日期]=表成绩单[[#This Row],[考试日期]])*(表成绩单[政治]&lt;9E+307)*(表成绩单[政治]&gt;表成绩单[[#This Row],[政治]]))+1)</f>
        <v>692</v>
      </c>
      <c r="V3131" s="29" cm="1">
        <f t="array" ref="V3131">IF(表成绩单[[#This Row],[历史]]="","",SUMPRODUCT((表成绩单[考试日期]=表成绩单[[#This Row],[考试日期]])*(表成绩单[历史]&lt;9E+307)*(表成绩单[历史]&gt;表成绩单[[#This Row],[历史]]))+1)</f>
        <v>707</v>
      </c>
      <c r="W3131" s="29" cm="1">
        <f t="array" ref="W3131">IF(表成绩单[[#This Row],[总分]]="","",SUMPRODUCT((表成绩单[考试日期]=表成绩单[[#This Row],[考试日期]])*(表成绩单[总分]&lt;9E+307)*(表成绩单[总分]&gt;表成绩单[[#This Row],[总分]]))+1)</f>
        <v>724</v>
      </c>
    </row>
    <row r="3132" ht="28" customHeight="1" spans="4:23">
      <c r="D3132" s="31">
        <v>46108</v>
      </c>
      <c r="E3132" s="29">
        <v>19172631</v>
      </c>
      <c r="F3132" s="29" t="s">
        <v>60</v>
      </c>
      <c r="G3132" s="29" t="s">
        <v>691</v>
      </c>
      <c r="H3132" s="29">
        <v>69</v>
      </c>
      <c r="I3132" s="29">
        <v>65</v>
      </c>
      <c r="J3132" s="29">
        <v>50.5</v>
      </c>
      <c r="K3132" s="29">
        <v>62</v>
      </c>
      <c r="L3132" s="29">
        <v>45</v>
      </c>
      <c r="M3132" s="29">
        <v>49</v>
      </c>
      <c r="N3132" s="29">
        <v>51</v>
      </c>
      <c r="O3132" s="32">
        <v>391.5</v>
      </c>
      <c r="P3132" s="29" cm="1">
        <f t="array" ref="P3132">IF(表成绩单[[#This Row],[语文]]="","",SUMPRODUCT((表成绩单[考试日期]=表成绩单[[#This Row],[考试日期]])*(表成绩单[语文]&lt;9E+307)*(表成绩单[语文]&gt;表成绩单[[#This Row],[语文]]))+1)</f>
        <v>746</v>
      </c>
      <c r="Q3132" s="29" cm="1">
        <f t="array" ref="Q3132">IF(表成绩单[[#This Row],[数学]]="","",SUMPRODUCT((表成绩单[考试日期]=表成绩单[[#This Row],[考试日期]])*(表成绩单[数学]&lt;9E+307)*(表成绩单[数学]&gt;表成绩单[[#This Row],[数学]]))+1)</f>
        <v>686</v>
      </c>
      <c r="R3132" s="29" cm="1">
        <f t="array" ref="R3132">IF(表成绩单[[#This Row],[英语]]="","",SUMPRODUCT((表成绩单[考试日期]=表成绩单[[#This Row],[考试日期]])*(表成绩单[英语]&lt;9E+307)*(表成绩单[英语]&gt;表成绩单[[#This Row],[英语]]))+1)</f>
        <v>707</v>
      </c>
      <c r="S3132" s="29" cm="1">
        <f t="array" ref="S3132">IF(表成绩单[[#This Row],[物理]]="","",SUMPRODUCT((表成绩单[考试日期]=表成绩单[[#This Row],[考试日期]])*(表成绩单[物理]&lt;9E+307)*(表成绩单[物理]&gt;表成绩单[[#This Row],[物理]]))+1)</f>
        <v>643</v>
      </c>
      <c r="T3132" s="29" cm="1">
        <f t="array" ref="T3132">IF(表成绩单[[#This Row],[化学]]="","",SUMPRODUCT((表成绩单[考试日期]=表成绩单[[#This Row],[考试日期]])*(表成绩单[化学]&lt;9E+307)*(表成绩单[化学]&gt;表成绩单[[#This Row],[化学]]))+1)</f>
        <v>686</v>
      </c>
      <c r="U3132" s="29" cm="1">
        <f t="array" ref="U3132">IF(表成绩单[[#This Row],[政治]]="","",SUMPRODUCT((表成绩单[考试日期]=表成绩单[[#This Row],[考试日期]])*(表成绩单[政治]&lt;9E+307)*(表成绩单[政治]&gt;表成绩单[[#This Row],[政治]]))+1)</f>
        <v>763</v>
      </c>
      <c r="V3132" s="29" cm="1">
        <f t="array" ref="V3132">IF(表成绩单[[#This Row],[历史]]="","",SUMPRODUCT((表成绩单[考试日期]=表成绩单[[#This Row],[考试日期]])*(表成绩单[历史]&lt;9E+307)*(表成绩单[历史]&gt;表成绩单[[#This Row],[历史]]))+1)</f>
        <v>763</v>
      </c>
      <c r="W3132" s="29" cm="1">
        <f t="array" ref="W3132">IF(表成绩单[[#This Row],[总分]]="","",SUMPRODUCT((表成绩单[考试日期]=表成绩单[[#This Row],[考试日期]])*(表成绩单[总分]&lt;9E+307)*(表成绩单[总分]&gt;表成绩单[[#This Row],[总分]]))+1)</f>
        <v>725</v>
      </c>
    </row>
    <row r="3133" ht="28" customHeight="1" spans="4:23">
      <c r="D3133" s="31">
        <v>46108</v>
      </c>
      <c r="E3133" s="29">
        <v>19177612</v>
      </c>
      <c r="F3133" s="29" t="s">
        <v>58</v>
      </c>
      <c r="G3133" s="29" t="s">
        <v>773</v>
      </c>
      <c r="H3133" s="29">
        <v>67</v>
      </c>
      <c r="I3133" s="29">
        <v>73</v>
      </c>
      <c r="J3133" s="29">
        <v>60.5</v>
      </c>
      <c r="K3133" s="29">
        <v>62</v>
      </c>
      <c r="L3133" s="29">
        <v>39</v>
      </c>
      <c r="M3133" s="29">
        <v>45</v>
      </c>
      <c r="N3133" s="29">
        <v>45</v>
      </c>
      <c r="O3133" s="32">
        <v>391.5</v>
      </c>
      <c r="P3133" s="29" cm="1">
        <f t="array" ref="P3133">IF(表成绩单[[#This Row],[语文]]="","",SUMPRODUCT((表成绩单[考试日期]=表成绩单[[#This Row],[考试日期]])*(表成绩单[语文]&lt;9E+307)*(表成绩单[语文]&gt;表成绩单[[#This Row],[语文]]))+1)</f>
        <v>752</v>
      </c>
      <c r="Q3133" s="29" cm="1">
        <f t="array" ref="Q3133">IF(表成绩单[[#This Row],[数学]]="","",SUMPRODUCT((表成绩单[考试日期]=表成绩单[[#This Row],[考试日期]])*(表成绩单[数学]&lt;9E+307)*(表成绩单[数学]&gt;表成绩单[[#This Row],[数学]]))+1)</f>
        <v>643</v>
      </c>
      <c r="R3133" s="29" cm="1">
        <f t="array" ref="R3133">IF(表成绩单[[#This Row],[英语]]="","",SUMPRODUCT((表成绩单[考试日期]=表成绩单[[#This Row],[考试日期]])*(表成绩单[英语]&lt;9E+307)*(表成绩单[英语]&gt;表成绩单[[#This Row],[英语]]))+1)</f>
        <v>650</v>
      </c>
      <c r="S3133" s="29" cm="1">
        <f t="array" ref="S3133">IF(表成绩单[[#This Row],[物理]]="","",SUMPRODUCT((表成绩单[考试日期]=表成绩单[[#This Row],[考试日期]])*(表成绩单[物理]&lt;9E+307)*(表成绩单[物理]&gt;表成绩单[[#This Row],[物理]]))+1)</f>
        <v>643</v>
      </c>
      <c r="T3133" s="29" cm="1">
        <f t="array" ref="T3133">IF(表成绩单[[#This Row],[化学]]="","",SUMPRODUCT((表成绩单[考试日期]=表成绩单[[#This Row],[考试日期]])*(表成绩单[化学]&lt;9E+307)*(表成绩单[化学]&gt;表成绩单[[#This Row],[化学]]))+1)</f>
        <v>729</v>
      </c>
      <c r="U3133" s="29" cm="1">
        <f t="array" ref="U3133">IF(表成绩单[[#This Row],[政治]]="","",SUMPRODUCT((表成绩单[考试日期]=表成绩单[[#This Row],[考试日期]])*(表成绩单[政治]&lt;9E+307)*(表成绩单[政治]&gt;表成绩单[[#This Row],[政治]]))+1)</f>
        <v>776</v>
      </c>
      <c r="V3133" s="29" cm="1">
        <f t="array" ref="V3133">IF(表成绩单[[#This Row],[历史]]="","",SUMPRODUCT((表成绩单[考试日期]=表成绩单[[#This Row],[考试日期]])*(表成绩单[历史]&lt;9E+307)*(表成绩单[历史]&gt;表成绩单[[#This Row],[历史]]))+1)</f>
        <v>772</v>
      </c>
      <c r="W3133" s="29" cm="1">
        <f t="array" ref="W3133">IF(表成绩单[[#This Row],[总分]]="","",SUMPRODUCT((表成绩单[考试日期]=表成绩单[[#This Row],[考试日期]])*(表成绩单[总分]&lt;9E+307)*(表成绩单[总分]&gt;表成绩单[[#This Row],[总分]]))+1)</f>
        <v>725</v>
      </c>
    </row>
    <row r="3134" ht="28" customHeight="1" spans="4:23">
      <c r="D3134" s="31">
        <v>46108</v>
      </c>
      <c r="E3134" s="29">
        <v>19177607</v>
      </c>
      <c r="F3134" s="29" t="s">
        <v>58</v>
      </c>
      <c r="G3134" s="29" t="s">
        <v>841</v>
      </c>
      <c r="H3134" s="29">
        <v>78</v>
      </c>
      <c r="I3134" s="29">
        <v>43</v>
      </c>
      <c r="J3134" s="29">
        <v>41</v>
      </c>
      <c r="K3134" s="29">
        <v>60</v>
      </c>
      <c r="L3134" s="29">
        <v>50</v>
      </c>
      <c r="M3134" s="29">
        <v>54</v>
      </c>
      <c r="N3134" s="29">
        <v>62</v>
      </c>
      <c r="O3134" s="32">
        <v>388</v>
      </c>
      <c r="P3134" s="29" cm="1">
        <f t="array" ref="P3134">IF(表成绩单[[#This Row],[语文]]="","",SUMPRODUCT((表成绩单[考试日期]=表成绩单[[#This Row],[考试日期]])*(表成绩单[语文]&lt;9E+307)*(表成绩单[语文]&gt;表成绩单[[#This Row],[语文]]))+1)</f>
        <v>700</v>
      </c>
      <c r="Q3134" s="29" cm="1">
        <f t="array" ref="Q3134">IF(表成绩单[[#This Row],[数学]]="","",SUMPRODUCT((表成绩单[考试日期]=表成绩单[[#This Row],[考试日期]])*(表成绩单[数学]&lt;9E+307)*(表成绩单[数学]&gt;表成绩单[[#This Row],[数学]]))+1)</f>
        <v>754</v>
      </c>
      <c r="R3134" s="29" cm="1">
        <f t="array" ref="R3134">IF(表成绩单[[#This Row],[英语]]="","",SUMPRODUCT((表成绩单[考试日期]=表成绩单[[#This Row],[考试日期]])*(表成绩单[英语]&lt;9E+307)*(表成绩单[英语]&gt;表成绩单[[#This Row],[英语]]))+1)</f>
        <v>739</v>
      </c>
      <c r="S3134" s="29" cm="1">
        <f t="array" ref="S3134">IF(表成绩单[[#This Row],[物理]]="","",SUMPRODUCT((表成绩单[考试日期]=表成绩单[[#This Row],[考试日期]])*(表成绩单[物理]&lt;9E+307)*(表成绩单[物理]&gt;表成绩单[[#This Row],[物理]]))+1)</f>
        <v>662</v>
      </c>
      <c r="T3134" s="29" cm="1">
        <f t="array" ref="T3134">IF(表成绩单[[#This Row],[化学]]="","",SUMPRODUCT((表成绩单[考试日期]=表成绩单[[#This Row],[考试日期]])*(表成绩单[化学]&lt;9E+307)*(表成绩单[化学]&gt;表成绩单[[#This Row],[化学]]))+1)</f>
        <v>632</v>
      </c>
      <c r="U3134" s="29" cm="1">
        <f t="array" ref="U3134">IF(表成绩单[[#This Row],[政治]]="","",SUMPRODUCT((表成绩单[考试日期]=表成绩单[[#This Row],[考试日期]])*(表成绩单[政治]&lt;9E+307)*(表成绩单[政治]&gt;表成绩单[[#This Row],[政治]]))+1)</f>
        <v>745</v>
      </c>
      <c r="V3134" s="29" cm="1">
        <f t="array" ref="V3134">IF(表成绩单[[#This Row],[历史]]="","",SUMPRODUCT((表成绩单[考试日期]=表成绩单[[#This Row],[考试日期]])*(表成绩单[历史]&lt;9E+307)*(表成绩单[历史]&gt;表成绩单[[#This Row],[历史]]))+1)</f>
        <v>699</v>
      </c>
      <c r="W3134" s="29" cm="1">
        <f t="array" ref="W3134">IF(表成绩单[[#This Row],[总分]]="","",SUMPRODUCT((表成绩单[考试日期]=表成绩单[[#This Row],[考试日期]])*(表成绩单[总分]&lt;9E+307)*(表成绩单[总分]&gt;表成绩单[[#This Row],[总分]]))+1)</f>
        <v>727</v>
      </c>
    </row>
    <row r="3135" ht="28" customHeight="1" spans="4:23">
      <c r="D3135" s="31">
        <v>46108</v>
      </c>
      <c r="E3135" s="29">
        <v>19172641</v>
      </c>
      <c r="F3135" s="29" t="s">
        <v>60</v>
      </c>
      <c r="G3135" s="29" t="s">
        <v>796</v>
      </c>
      <c r="H3135" s="29">
        <v>77</v>
      </c>
      <c r="I3135" s="29">
        <v>57</v>
      </c>
      <c r="J3135" s="29">
        <v>42.5</v>
      </c>
      <c r="K3135" s="29">
        <v>58</v>
      </c>
      <c r="L3135" s="29">
        <v>49</v>
      </c>
      <c r="M3135" s="29">
        <v>51</v>
      </c>
      <c r="N3135" s="29">
        <v>52</v>
      </c>
      <c r="O3135" s="32">
        <v>386.5</v>
      </c>
      <c r="P3135" s="29" cm="1">
        <f t="array" ref="P3135">IF(表成绩单[[#This Row],[语文]]="","",SUMPRODUCT((表成绩单[考试日期]=表成绩单[[#This Row],[考试日期]])*(表成绩单[语文]&lt;9E+307)*(表成绩单[语文]&gt;表成绩单[[#This Row],[语文]]))+1)</f>
        <v>710</v>
      </c>
      <c r="Q3135" s="29" cm="1">
        <f t="array" ref="Q3135">IF(表成绩单[[#This Row],[数学]]="","",SUMPRODUCT((表成绩单[考试日期]=表成绩单[[#This Row],[考试日期]])*(表成绩单[数学]&lt;9E+307)*(表成绩单[数学]&gt;表成绩单[[#This Row],[数学]]))+1)</f>
        <v>719</v>
      </c>
      <c r="R3135" s="29" cm="1">
        <f t="array" ref="R3135">IF(表成绩单[[#This Row],[英语]]="","",SUMPRODUCT((表成绩单[考试日期]=表成绩单[[#This Row],[考试日期]])*(表成绩单[英语]&lt;9E+307)*(表成绩单[英语]&gt;表成绩单[[#This Row],[英语]]))+1)</f>
        <v>734</v>
      </c>
      <c r="S3135" s="29" cm="1">
        <f t="array" ref="S3135">IF(表成绩单[[#This Row],[物理]]="","",SUMPRODUCT((表成绩单[考试日期]=表成绩单[[#This Row],[考试日期]])*(表成绩单[物理]&lt;9E+307)*(表成绩单[物理]&gt;表成绩单[[#This Row],[物理]]))+1)</f>
        <v>680</v>
      </c>
      <c r="T3135" s="29" cm="1">
        <f t="array" ref="T3135">IF(表成绩单[[#This Row],[化学]]="","",SUMPRODUCT((表成绩单[考试日期]=表成绩单[[#This Row],[考试日期]])*(表成绩单[化学]&lt;9E+307)*(表成绩单[化学]&gt;表成绩单[[#This Row],[化学]]))+1)</f>
        <v>648</v>
      </c>
      <c r="U3135" s="29" cm="1">
        <f t="array" ref="U3135">IF(表成绩单[[#This Row],[政治]]="","",SUMPRODUCT((表成绩单[考试日期]=表成绩单[[#This Row],[考试日期]])*(表成绩单[政治]&lt;9E+307)*(表成绩单[政治]&gt;表成绩单[[#This Row],[政治]]))+1)</f>
        <v>758</v>
      </c>
      <c r="V3135" s="29" cm="1">
        <f t="array" ref="V3135">IF(表成绩单[[#This Row],[历史]]="","",SUMPRODUCT((表成绩单[考试日期]=表成绩单[[#This Row],[考试日期]])*(表成绩单[历史]&lt;9E+307)*(表成绩单[历史]&gt;表成绩单[[#This Row],[历史]]))+1)</f>
        <v>757</v>
      </c>
      <c r="W3135" s="29" cm="1">
        <f t="array" ref="W3135">IF(表成绩单[[#This Row],[总分]]="","",SUMPRODUCT((表成绩单[考试日期]=表成绩单[[#This Row],[考试日期]])*(表成绩单[总分]&lt;9E+307)*(表成绩单[总分]&gt;表成绩单[[#This Row],[总分]]))+1)</f>
        <v>728</v>
      </c>
    </row>
    <row r="3136" ht="28" customHeight="1" spans="4:23">
      <c r="D3136" s="31">
        <v>46108</v>
      </c>
      <c r="E3136" s="29">
        <v>19175597</v>
      </c>
      <c r="F3136" s="29" t="s">
        <v>57</v>
      </c>
      <c r="G3136" s="29" t="s">
        <v>845</v>
      </c>
      <c r="H3136" s="29">
        <v>85</v>
      </c>
      <c r="I3136" s="29">
        <v>48</v>
      </c>
      <c r="J3136" s="29">
        <v>34.5</v>
      </c>
      <c r="K3136" s="29">
        <v>36</v>
      </c>
      <c r="L3136" s="29">
        <v>59</v>
      </c>
      <c r="M3136" s="29">
        <v>54</v>
      </c>
      <c r="N3136" s="29">
        <v>70</v>
      </c>
      <c r="O3136" s="32">
        <v>386.5</v>
      </c>
      <c r="P3136" s="29" cm="1">
        <f t="array" ref="P3136">IF(表成绩单[[#This Row],[语文]]="","",SUMPRODUCT((表成绩单[考试日期]=表成绩单[[#This Row],[考试日期]])*(表成绩单[语文]&lt;9E+307)*(表成绩单[语文]&gt;表成绩单[[#This Row],[语文]]))+1)</f>
        <v>626</v>
      </c>
      <c r="Q3136" s="29" cm="1">
        <f t="array" ref="Q3136">IF(表成绩单[[#This Row],[数学]]="","",SUMPRODUCT((表成绩单[考试日期]=表成绩单[[#This Row],[考试日期]])*(表成绩单[数学]&lt;9E+307)*(表成绩单[数学]&gt;表成绩单[[#This Row],[数学]]))+1)</f>
        <v>746</v>
      </c>
      <c r="R3136" s="29" cm="1">
        <f t="array" ref="R3136">IF(表成绩单[[#This Row],[英语]]="","",SUMPRODUCT((表成绩单[考试日期]=表成绩单[[#This Row],[考试日期]])*(表成绩单[英语]&lt;9E+307)*(表成绩单[英语]&gt;表成绩单[[#This Row],[英语]]))+1)</f>
        <v>753</v>
      </c>
      <c r="S3136" s="29" cm="1">
        <f t="array" ref="S3136">IF(表成绩单[[#This Row],[物理]]="","",SUMPRODUCT((表成绩单[考试日期]=表成绩单[[#This Row],[考试日期]])*(表成绩单[物理]&lt;9E+307)*(表成绩单[物理]&gt;表成绩单[[#This Row],[物理]]))+1)</f>
        <v>771</v>
      </c>
      <c r="T3136" s="29" cm="1">
        <f t="array" ref="T3136">IF(表成绩单[[#This Row],[化学]]="","",SUMPRODUCT((表成绩单[考试日期]=表成绩单[[#This Row],[考试日期]])*(表成绩单[化学]&lt;9E+307)*(表成绩单[化学]&gt;表成绩单[[#This Row],[化学]]))+1)</f>
        <v>510</v>
      </c>
      <c r="U3136" s="29" cm="1">
        <f t="array" ref="U3136">IF(表成绩单[[#This Row],[政治]]="","",SUMPRODUCT((表成绩单[考试日期]=表成绩单[[#This Row],[考试日期]])*(表成绩单[政治]&lt;9E+307)*(表成绩单[政治]&gt;表成绩单[[#This Row],[政治]]))+1)</f>
        <v>745</v>
      </c>
      <c r="V3136" s="29" cm="1">
        <f t="array" ref="V3136">IF(表成绩单[[#This Row],[历史]]="","",SUMPRODUCT((表成绩单[考试日期]=表成绩单[[#This Row],[考试日期]])*(表成绩单[历史]&lt;9E+307)*(表成绩单[历史]&gt;表成绩单[[#This Row],[历史]]))+1)</f>
        <v>539</v>
      </c>
      <c r="W3136" s="29" cm="1">
        <f t="array" ref="W3136">IF(表成绩单[[#This Row],[总分]]="","",SUMPRODUCT((表成绩单[考试日期]=表成绩单[[#This Row],[考试日期]])*(表成绩单[总分]&lt;9E+307)*(表成绩单[总分]&gt;表成绩单[[#This Row],[总分]]))+1)</f>
        <v>728</v>
      </c>
    </row>
    <row r="3137" ht="28" customHeight="1" spans="4:23">
      <c r="D3137" s="31">
        <v>46108</v>
      </c>
      <c r="E3137" s="29">
        <v>19172622</v>
      </c>
      <c r="F3137" s="29" t="s">
        <v>60</v>
      </c>
      <c r="G3137" s="29" t="s">
        <v>834</v>
      </c>
      <c r="H3137" s="29">
        <v>59</v>
      </c>
      <c r="I3137" s="29">
        <v>81</v>
      </c>
      <c r="J3137" s="29">
        <v>34.5</v>
      </c>
      <c r="K3137" s="29">
        <v>59</v>
      </c>
      <c r="L3137" s="29">
        <v>28</v>
      </c>
      <c r="M3137" s="29">
        <v>66</v>
      </c>
      <c r="N3137" s="29">
        <v>58</v>
      </c>
      <c r="O3137" s="32">
        <v>385.5</v>
      </c>
      <c r="P3137" s="29" cm="1">
        <f t="array" ref="P3137">IF(表成绩单[[#This Row],[语文]]="","",SUMPRODUCT((表成绩单[考试日期]=表成绩单[[#This Row],[考试日期]])*(表成绩单[语文]&lt;9E+307)*(表成绩单[语文]&gt;表成绩单[[#This Row],[语文]]))+1)</f>
        <v>774</v>
      </c>
      <c r="Q3137" s="29" cm="1">
        <f t="array" ref="Q3137">IF(表成绩单[[#This Row],[数学]]="","",SUMPRODUCT((表成绩单[考试日期]=表成绩单[[#This Row],[考试日期]])*(表成绩单[数学]&lt;9E+307)*(表成绩单[数学]&gt;表成绩单[[#This Row],[数学]]))+1)</f>
        <v>563</v>
      </c>
      <c r="R3137" s="29" cm="1">
        <f t="array" ref="R3137">IF(表成绩单[[#This Row],[英语]]="","",SUMPRODUCT((表成绩单[考试日期]=表成绩单[[#This Row],[考试日期]])*(表成绩单[英语]&lt;9E+307)*(表成绩单[英语]&gt;表成绩单[[#This Row],[英语]]))+1)</f>
        <v>753</v>
      </c>
      <c r="S3137" s="29" cm="1">
        <f t="array" ref="S3137">IF(表成绩单[[#This Row],[物理]]="","",SUMPRODUCT((表成绩单[考试日期]=表成绩单[[#This Row],[考试日期]])*(表成绩单[物理]&lt;9E+307)*(表成绩单[物理]&gt;表成绩单[[#This Row],[物理]]))+1)</f>
        <v>667</v>
      </c>
      <c r="T3137" s="29" cm="1">
        <f t="array" ref="T3137">IF(表成绩单[[#This Row],[化学]]="","",SUMPRODUCT((表成绩单[考试日期]=表成绩单[[#This Row],[考试日期]])*(表成绩单[化学]&lt;9E+307)*(表成绩单[化学]&gt;表成绩单[[#This Row],[化学]]))+1)</f>
        <v>771</v>
      </c>
      <c r="U3137" s="29" cm="1">
        <f t="array" ref="U3137">IF(表成绩单[[#This Row],[政治]]="","",SUMPRODUCT((表成绩单[考试日期]=表成绩单[[#This Row],[考试日期]])*(表成绩单[政治]&lt;9E+307)*(表成绩单[政治]&gt;表成绩单[[#This Row],[政治]]))+1)</f>
        <v>642</v>
      </c>
      <c r="V3137" s="29" cm="1">
        <f t="array" ref="V3137">IF(表成绩单[[#This Row],[历史]]="","",SUMPRODUCT((表成绩单[考试日期]=表成绩单[[#This Row],[考试日期]])*(表成绩单[历史]&lt;9E+307)*(表成绩单[历史]&gt;表成绩单[[#This Row],[历史]]))+1)</f>
        <v>730</v>
      </c>
      <c r="W3137" s="29" cm="1">
        <f t="array" ref="W3137">IF(表成绩单[[#This Row],[总分]]="","",SUMPRODUCT((表成绩单[考试日期]=表成绩单[[#This Row],[考试日期]])*(表成绩单[总分]&lt;9E+307)*(表成绩单[总分]&gt;表成绩单[[#This Row],[总分]]))+1)</f>
        <v>730</v>
      </c>
    </row>
    <row r="3138" ht="28" customHeight="1" spans="4:23">
      <c r="D3138" s="31">
        <v>46108</v>
      </c>
      <c r="E3138" s="29">
        <v>19177669</v>
      </c>
      <c r="F3138" s="29" t="s">
        <v>63</v>
      </c>
      <c r="G3138" s="29" t="s">
        <v>819</v>
      </c>
      <c r="H3138" s="29">
        <v>89</v>
      </c>
      <c r="I3138" s="29">
        <v>37</v>
      </c>
      <c r="J3138" s="29">
        <v>37</v>
      </c>
      <c r="K3138" s="29">
        <v>51</v>
      </c>
      <c r="L3138" s="29">
        <v>35</v>
      </c>
      <c r="M3138" s="29">
        <v>64</v>
      </c>
      <c r="N3138" s="29">
        <v>70</v>
      </c>
      <c r="O3138" s="32">
        <v>383</v>
      </c>
      <c r="P3138" s="29" cm="1">
        <f t="array" ref="P3138">IF(表成绩单[[#This Row],[语文]]="","",SUMPRODUCT((表成绩单[考试日期]=表成绩单[[#This Row],[考试日期]])*(表成绩单[语文]&lt;9E+307)*(表成绩单[语文]&gt;表成绩单[[#This Row],[语文]]))+1)</f>
        <v>559</v>
      </c>
      <c r="Q3138" s="29" cm="1">
        <f t="array" ref="Q3138">IF(表成绩单[[#This Row],[数学]]="","",SUMPRODUCT((表成绩单[考试日期]=表成绩单[[#This Row],[考试日期]])*(表成绩单[数学]&lt;9E+307)*(表成绩单[数学]&gt;表成绩单[[#This Row],[数学]]))+1)</f>
        <v>766</v>
      </c>
      <c r="R3138" s="29" cm="1">
        <f t="array" ref="R3138">IF(表成绩单[[#This Row],[英语]]="","",SUMPRODUCT((表成绩单[考试日期]=表成绩单[[#This Row],[考试日期]])*(表成绩单[英语]&lt;9E+307)*(表成绩单[英语]&gt;表成绩单[[#This Row],[英语]]))+1)</f>
        <v>745</v>
      </c>
      <c r="S3138" s="29" cm="1">
        <f t="array" ref="S3138">IF(表成绩单[[#This Row],[物理]]="","",SUMPRODUCT((表成绩单[考试日期]=表成绩单[[#This Row],[考试日期]])*(表成绩单[物理]&lt;9E+307)*(表成绩单[物理]&gt;表成绩单[[#This Row],[物理]]))+1)</f>
        <v>724</v>
      </c>
      <c r="T3138" s="29" cm="1">
        <f t="array" ref="T3138">IF(表成绩单[[#This Row],[化学]]="","",SUMPRODUCT((表成绩单[考试日期]=表成绩单[[#This Row],[考试日期]])*(表成绩单[化学]&lt;9E+307)*(表成绩单[化学]&gt;表成绩单[[#This Row],[化学]]))+1)</f>
        <v>747</v>
      </c>
      <c r="U3138" s="29" cm="1">
        <f t="array" ref="U3138">IF(表成绩单[[#This Row],[政治]]="","",SUMPRODUCT((表成绩单[考试日期]=表成绩单[[#This Row],[考试日期]])*(表成绩单[政治]&lt;9E+307)*(表成绩单[政治]&gt;表成绩单[[#This Row],[政治]]))+1)</f>
        <v>670</v>
      </c>
      <c r="V3138" s="29" cm="1">
        <f t="array" ref="V3138">IF(表成绩单[[#This Row],[历史]]="","",SUMPRODUCT((表成绩单[考试日期]=表成绩单[[#This Row],[考试日期]])*(表成绩单[历史]&lt;9E+307)*(表成绩单[历史]&gt;表成绩单[[#This Row],[历史]]))+1)</f>
        <v>539</v>
      </c>
      <c r="W3138" s="29" cm="1">
        <f t="array" ref="W3138">IF(表成绩单[[#This Row],[总分]]="","",SUMPRODUCT((表成绩单[考试日期]=表成绩单[[#This Row],[考试日期]])*(表成绩单[总分]&lt;9E+307)*(表成绩单[总分]&gt;表成绩单[[#This Row],[总分]]))+1)</f>
        <v>731</v>
      </c>
    </row>
    <row r="3139" ht="28" customHeight="1" spans="4:23">
      <c r="D3139" s="31">
        <v>46108</v>
      </c>
      <c r="E3139" s="29">
        <v>19175296</v>
      </c>
      <c r="F3139" s="29" t="s">
        <v>55</v>
      </c>
      <c r="G3139" s="29" t="s">
        <v>815</v>
      </c>
      <c r="H3139" s="29">
        <v>67</v>
      </c>
      <c r="I3139" s="29">
        <v>69</v>
      </c>
      <c r="J3139" s="29">
        <v>14</v>
      </c>
      <c r="K3139" s="29">
        <v>63</v>
      </c>
      <c r="L3139" s="29">
        <v>40</v>
      </c>
      <c r="M3139" s="29">
        <v>68</v>
      </c>
      <c r="N3139" s="29">
        <v>61</v>
      </c>
      <c r="O3139" s="32">
        <v>382</v>
      </c>
      <c r="P3139" s="29" cm="1">
        <f t="array" ref="P3139">IF(表成绩单[[#This Row],[语文]]="","",SUMPRODUCT((表成绩单[考试日期]=表成绩单[[#This Row],[考试日期]])*(表成绩单[语文]&lt;9E+307)*(表成绩单[语文]&gt;表成绩单[[#This Row],[语文]]))+1)</f>
        <v>752</v>
      </c>
      <c r="Q3139" s="29" cm="1">
        <f t="array" ref="Q3139">IF(表成绩单[[#This Row],[数学]]="","",SUMPRODUCT((表成绩单[考试日期]=表成绩单[[#This Row],[考试日期]])*(表成绩单[数学]&lt;9E+307)*(表成绩单[数学]&gt;表成绩单[[#This Row],[数学]]))+1)</f>
        <v>663</v>
      </c>
      <c r="R3139" s="29" cm="1">
        <f t="array" ref="R3139">IF(表成绩单[[#This Row],[英语]]="","",SUMPRODUCT((表成绩单[考试日期]=表成绩单[[#This Row],[考试日期]])*(表成绩单[英语]&lt;9E+307)*(表成绩单[英语]&gt;表成绩单[[#This Row],[英语]]))+1)</f>
        <v>783</v>
      </c>
      <c r="S3139" s="29" cm="1">
        <f t="array" ref="S3139">IF(表成绩单[[#This Row],[物理]]="","",SUMPRODUCT((表成绩单[考试日期]=表成绩单[[#This Row],[考试日期]])*(表成绩单[物理]&lt;9E+307)*(表成绩单[物理]&gt;表成绩单[[#This Row],[物理]]))+1)</f>
        <v>631</v>
      </c>
      <c r="T3139" s="29" cm="1">
        <f t="array" ref="T3139">IF(表成绩单[[#This Row],[化学]]="","",SUMPRODUCT((表成绩单[考试日期]=表成绩单[[#This Row],[考试日期]])*(表成绩单[化学]&lt;9E+307)*(表成绩单[化学]&gt;表成绩单[[#This Row],[化学]]))+1)</f>
        <v>725</v>
      </c>
      <c r="U3139" s="29" cm="1">
        <f t="array" ref="U3139">IF(表成绩单[[#This Row],[政治]]="","",SUMPRODUCT((表成绩单[考试日期]=表成绩单[[#This Row],[考试日期]])*(表成绩单[政治]&lt;9E+307)*(表成绩单[政治]&gt;表成绩单[[#This Row],[政治]]))+1)</f>
        <v>596</v>
      </c>
      <c r="V3139" s="29" cm="1">
        <f t="array" ref="V3139">IF(表成绩单[[#This Row],[历史]]="","",SUMPRODUCT((表成绩单[考试日期]=表成绩单[[#This Row],[考试日期]])*(表成绩单[历史]&lt;9E+307)*(表成绩单[历史]&gt;表成绩单[[#This Row],[历史]]))+1)</f>
        <v>707</v>
      </c>
      <c r="W3139" s="29" cm="1">
        <f t="array" ref="W3139">IF(表成绩单[[#This Row],[总分]]="","",SUMPRODUCT((表成绩单[考试日期]=表成绩单[[#This Row],[考试日期]])*(表成绩单[总分]&lt;9E+307)*(表成绩单[总分]&gt;表成绩单[[#This Row],[总分]]))+1)</f>
        <v>732</v>
      </c>
    </row>
    <row r="3140" ht="28" customHeight="1" spans="4:23">
      <c r="D3140" s="31">
        <v>46108</v>
      </c>
      <c r="E3140" s="29">
        <v>19175613</v>
      </c>
      <c r="F3140" s="29" t="s">
        <v>57</v>
      </c>
      <c r="G3140" s="29" t="s">
        <v>854</v>
      </c>
      <c r="H3140" s="29">
        <v>71</v>
      </c>
      <c r="I3140" s="29">
        <v>66</v>
      </c>
      <c r="J3140" s="29">
        <v>35</v>
      </c>
      <c r="K3140" s="29">
        <v>49</v>
      </c>
      <c r="L3140" s="29">
        <v>45</v>
      </c>
      <c r="M3140" s="29">
        <v>61</v>
      </c>
      <c r="N3140" s="29">
        <v>54</v>
      </c>
      <c r="O3140" s="32">
        <v>381</v>
      </c>
      <c r="P3140" s="29" cm="1">
        <f t="array" ref="P3140">IF(表成绩单[[#This Row],[语文]]="","",SUMPRODUCT((表成绩单[考试日期]=表成绩单[[#This Row],[考试日期]])*(表成绩单[语文]&lt;9E+307)*(表成绩单[语文]&gt;表成绩单[[#This Row],[语文]]))+1)</f>
        <v>737</v>
      </c>
      <c r="Q3140" s="29" cm="1">
        <f t="array" ref="Q3140">IF(表成绩单[[#This Row],[数学]]="","",SUMPRODUCT((表成绩单[考试日期]=表成绩单[[#This Row],[考试日期]])*(表成绩单[数学]&lt;9E+307)*(表成绩单[数学]&gt;表成绩单[[#This Row],[数学]]))+1)</f>
        <v>681</v>
      </c>
      <c r="R3140" s="29" cm="1">
        <f t="array" ref="R3140">IF(表成绩单[[#This Row],[英语]]="","",SUMPRODUCT((表成绩单[考试日期]=表成绩单[[#This Row],[考试日期]])*(表成绩单[英语]&lt;9E+307)*(表成绩单[英语]&gt;表成绩单[[#This Row],[英语]]))+1)</f>
        <v>752</v>
      </c>
      <c r="S3140" s="29" cm="1">
        <f t="array" ref="S3140">IF(表成绩单[[#This Row],[物理]]="","",SUMPRODUCT((表成绩单[考试日期]=表成绩单[[#This Row],[考试日期]])*(表成绩单[物理]&lt;9E+307)*(表成绩单[物理]&gt;表成绩单[[#This Row],[物理]]))+1)</f>
        <v>730</v>
      </c>
      <c r="T3140" s="29" cm="1">
        <f t="array" ref="T3140">IF(表成绩单[[#This Row],[化学]]="","",SUMPRODUCT((表成绩单[考试日期]=表成绩单[[#This Row],[考试日期]])*(表成绩单[化学]&lt;9E+307)*(表成绩单[化学]&gt;表成绩单[[#This Row],[化学]]))+1)</f>
        <v>686</v>
      </c>
      <c r="U3140" s="29" cm="1">
        <f t="array" ref="U3140">IF(表成绩单[[#This Row],[政治]]="","",SUMPRODUCT((表成绩单[考试日期]=表成绩单[[#This Row],[考试日期]])*(表成绩单[政治]&lt;9E+307)*(表成绩单[政治]&gt;表成绩单[[#This Row],[政治]]))+1)</f>
        <v>700</v>
      </c>
      <c r="V3140" s="29" cm="1">
        <f t="array" ref="V3140">IF(表成绩单[[#This Row],[历史]]="","",SUMPRODUCT((表成绩单[考试日期]=表成绩单[[#This Row],[考试日期]])*(表成绩单[历史]&lt;9E+307)*(表成绩单[历史]&gt;表成绩单[[#This Row],[历史]]))+1)</f>
        <v>748</v>
      </c>
      <c r="W3140" s="29" cm="1">
        <f t="array" ref="W3140">IF(表成绩单[[#This Row],[总分]]="","",SUMPRODUCT((表成绩单[考试日期]=表成绩单[[#This Row],[考试日期]])*(表成绩单[总分]&lt;9E+307)*(表成绩单[总分]&gt;表成绩单[[#This Row],[总分]]))+1)</f>
        <v>733</v>
      </c>
    </row>
    <row r="3141" ht="28" customHeight="1" spans="4:23">
      <c r="D3141" s="31">
        <v>46108</v>
      </c>
      <c r="E3141" s="29">
        <v>19177608</v>
      </c>
      <c r="F3141" s="29" t="s">
        <v>58</v>
      </c>
      <c r="G3141" s="29" t="s">
        <v>853</v>
      </c>
      <c r="H3141" s="29">
        <v>72</v>
      </c>
      <c r="I3141" s="29">
        <v>61</v>
      </c>
      <c r="J3141" s="29">
        <v>50.5</v>
      </c>
      <c r="K3141" s="29">
        <v>48</v>
      </c>
      <c r="L3141" s="29">
        <v>40</v>
      </c>
      <c r="M3141" s="29">
        <v>56</v>
      </c>
      <c r="N3141" s="29">
        <v>53</v>
      </c>
      <c r="O3141" s="32">
        <v>380.5</v>
      </c>
      <c r="P3141" s="29" cm="1">
        <f t="array" ref="P3141">IF(表成绩单[[#This Row],[语文]]="","",SUMPRODUCT((表成绩单[考试日期]=表成绩单[[#This Row],[考试日期]])*(表成绩单[语文]&lt;9E+307)*(表成绩单[语文]&gt;表成绩单[[#This Row],[语文]]))+1)</f>
        <v>733</v>
      </c>
      <c r="Q3141" s="29" cm="1">
        <f t="array" ref="Q3141">IF(表成绩单[[#This Row],[数学]]="","",SUMPRODUCT((表成绩单[考试日期]=表成绩单[[#This Row],[考试日期]])*(表成绩单[数学]&lt;9E+307)*(表成绩单[数学]&gt;表成绩单[[#This Row],[数学]]))+1)</f>
        <v>701</v>
      </c>
      <c r="R3141" s="29" cm="1">
        <f t="array" ref="R3141">IF(表成绩单[[#This Row],[英语]]="","",SUMPRODUCT((表成绩单[考试日期]=表成绩单[[#This Row],[考试日期]])*(表成绩单[英语]&lt;9E+307)*(表成绩单[英语]&gt;表成绩单[[#This Row],[英语]]))+1)</f>
        <v>707</v>
      </c>
      <c r="S3141" s="29" cm="1">
        <f t="array" ref="S3141">IF(表成绩单[[#This Row],[物理]]="","",SUMPRODUCT((表成绩单[考试日期]=表成绩单[[#This Row],[考试日期]])*(表成绩单[物理]&lt;9E+307)*(表成绩单[物理]&gt;表成绩单[[#This Row],[物理]]))+1)</f>
        <v>735</v>
      </c>
      <c r="T3141" s="29" cm="1">
        <f t="array" ref="T3141">IF(表成绩单[[#This Row],[化学]]="","",SUMPRODUCT((表成绩单[考试日期]=表成绩单[[#This Row],[考试日期]])*(表成绩单[化学]&lt;9E+307)*(表成绩单[化学]&gt;表成绩单[[#This Row],[化学]]))+1)</f>
        <v>725</v>
      </c>
      <c r="U3141" s="29" cm="1">
        <f t="array" ref="U3141">IF(表成绩单[[#This Row],[政治]]="","",SUMPRODUCT((表成绩单[考试日期]=表成绩单[[#This Row],[考试日期]])*(表成绩单[政治]&lt;9E+307)*(表成绩单[政治]&gt;表成绩单[[#This Row],[政治]]))+1)</f>
        <v>737</v>
      </c>
      <c r="V3141" s="29" cm="1">
        <f t="array" ref="V3141">IF(表成绩单[[#This Row],[历史]]="","",SUMPRODUCT((表成绩单[考试日期]=表成绩单[[#This Row],[考试日期]])*(表成绩单[历史]&lt;9E+307)*(表成绩单[历史]&gt;表成绩单[[#This Row],[历史]]))+1)</f>
        <v>755</v>
      </c>
      <c r="W3141" s="29" cm="1">
        <f t="array" ref="W3141">IF(表成绩单[[#This Row],[总分]]="","",SUMPRODUCT((表成绩单[考试日期]=表成绩单[[#This Row],[考试日期]])*(表成绩单[总分]&lt;9E+307)*(表成绩单[总分]&gt;表成绩单[[#This Row],[总分]]))+1)</f>
        <v>734</v>
      </c>
    </row>
    <row r="3142" ht="28" customHeight="1" spans="4:23">
      <c r="D3142" s="31">
        <v>46108</v>
      </c>
      <c r="E3142" s="29">
        <v>19176008</v>
      </c>
      <c r="F3142" s="29" t="s">
        <v>59</v>
      </c>
      <c r="G3142" s="29" t="s">
        <v>825</v>
      </c>
      <c r="H3142" s="29">
        <v>72</v>
      </c>
      <c r="I3142" s="29">
        <v>55</v>
      </c>
      <c r="J3142" s="29">
        <v>24</v>
      </c>
      <c r="K3142" s="29">
        <v>45</v>
      </c>
      <c r="L3142" s="29">
        <v>59</v>
      </c>
      <c r="M3142" s="29">
        <v>52</v>
      </c>
      <c r="N3142" s="29">
        <v>72</v>
      </c>
      <c r="O3142" s="32">
        <v>379</v>
      </c>
      <c r="P3142" s="29" cm="1">
        <f t="array" ref="P3142">IF(表成绩单[[#This Row],[语文]]="","",SUMPRODUCT((表成绩单[考试日期]=表成绩单[[#This Row],[考试日期]])*(表成绩单[语文]&lt;9E+307)*(表成绩单[语文]&gt;表成绩单[[#This Row],[语文]]))+1)</f>
        <v>733</v>
      </c>
      <c r="Q3142" s="29" cm="1">
        <f t="array" ref="Q3142">IF(表成绩单[[#This Row],[数学]]="","",SUMPRODUCT((表成绩单[考试日期]=表成绩单[[#This Row],[考试日期]])*(表成绩单[数学]&lt;9E+307)*(表成绩单[数学]&gt;表成绩单[[#This Row],[数学]]))+1)</f>
        <v>726</v>
      </c>
      <c r="R3142" s="29" cm="1">
        <f t="array" ref="R3142">IF(表成绩单[[#This Row],[英语]]="","",SUMPRODUCT((表成绩单[考试日期]=表成绩单[[#This Row],[考试日期]])*(表成绩单[英语]&lt;9E+307)*(表成绩单[英语]&gt;表成绩单[[#This Row],[英语]]))+1)</f>
        <v>770</v>
      </c>
      <c r="S3142" s="29" cm="1">
        <f t="array" ref="S3142">IF(表成绩单[[#This Row],[物理]]="","",SUMPRODUCT((表成绩单[考试日期]=表成绩单[[#This Row],[考试日期]])*(表成绩单[物理]&lt;9E+307)*(表成绩单[物理]&gt;表成绩单[[#This Row],[物理]]))+1)</f>
        <v>747</v>
      </c>
      <c r="T3142" s="29" cm="1">
        <f t="array" ref="T3142">IF(表成绩单[[#This Row],[化学]]="","",SUMPRODUCT((表成绩单[考试日期]=表成绩单[[#This Row],[考试日期]])*(表成绩单[化学]&lt;9E+307)*(表成绩单[化学]&gt;表成绩单[[#This Row],[化学]]))+1)</f>
        <v>510</v>
      </c>
      <c r="U3142" s="29" cm="1">
        <f t="array" ref="U3142">IF(表成绩单[[#This Row],[政治]]="","",SUMPRODUCT((表成绩单[考试日期]=表成绩单[[#This Row],[考试日期]])*(表成绩单[政治]&lt;9E+307)*(表成绩单[政治]&gt;表成绩单[[#This Row],[政治]]))+1)</f>
        <v>754</v>
      </c>
      <c r="V3142" s="29" cm="1">
        <f t="array" ref="V3142">IF(表成绩单[[#This Row],[历史]]="","",SUMPRODUCT((表成绩单[考试日期]=表成绩单[[#This Row],[考试日期]])*(表成绩单[历史]&lt;9E+307)*(表成绩单[历史]&gt;表成绩单[[#This Row],[历史]]))+1)</f>
        <v>470</v>
      </c>
      <c r="W3142" s="29" cm="1">
        <f t="array" ref="W3142">IF(表成绩单[[#This Row],[总分]]="","",SUMPRODUCT((表成绩单[考试日期]=表成绩单[[#This Row],[考试日期]])*(表成绩单[总分]&lt;9E+307)*(表成绩单[总分]&gt;表成绩单[[#This Row],[总分]]))+1)</f>
        <v>735</v>
      </c>
    </row>
    <row r="3143" ht="28" customHeight="1" spans="4:23">
      <c r="D3143" s="31">
        <v>46108</v>
      </c>
      <c r="E3143" s="29">
        <v>19175605</v>
      </c>
      <c r="F3143" s="29" t="s">
        <v>57</v>
      </c>
      <c r="G3143" s="29" t="s">
        <v>808</v>
      </c>
      <c r="H3143" s="29">
        <v>83</v>
      </c>
      <c r="I3143" s="29">
        <v>47</v>
      </c>
      <c r="J3143" s="29">
        <v>31</v>
      </c>
      <c r="K3143" s="29">
        <v>51</v>
      </c>
      <c r="L3143" s="29">
        <v>48</v>
      </c>
      <c r="M3143" s="29">
        <v>63</v>
      </c>
      <c r="N3143" s="29">
        <v>54</v>
      </c>
      <c r="O3143" s="32">
        <v>377</v>
      </c>
      <c r="P3143" s="29" cm="1">
        <f t="array" ref="P3143">IF(表成绩单[[#This Row],[语文]]="","",SUMPRODUCT((表成绩单[考试日期]=表成绩单[[#This Row],[考试日期]])*(表成绩单[语文]&lt;9E+307)*(表成绩单[语文]&gt;表成绩单[[#This Row],[语文]]))+1)</f>
        <v>652</v>
      </c>
      <c r="Q3143" s="29" cm="1">
        <f t="array" ref="Q3143">IF(表成绩单[[#This Row],[数学]]="","",SUMPRODUCT((表成绩单[考试日期]=表成绩单[[#This Row],[考试日期]])*(表成绩单[数学]&lt;9E+307)*(表成绩单[数学]&gt;表成绩单[[#This Row],[数学]]))+1)</f>
        <v>749</v>
      </c>
      <c r="R3143" s="29" cm="1">
        <f t="array" ref="R3143">IF(表成绩单[[#This Row],[英语]]="","",SUMPRODUCT((表成绩单[考试日期]=表成绩单[[#This Row],[考试日期]])*(表成绩单[英语]&lt;9E+307)*(表成绩单[英语]&gt;表成绩单[[#This Row],[英语]]))+1)</f>
        <v>760</v>
      </c>
      <c r="S3143" s="29" cm="1">
        <f t="array" ref="S3143">IF(表成绩单[[#This Row],[物理]]="","",SUMPRODUCT((表成绩单[考试日期]=表成绩单[[#This Row],[考试日期]])*(表成绩单[物理]&lt;9E+307)*(表成绩单[物理]&gt;表成绩单[[#This Row],[物理]]))+1)</f>
        <v>724</v>
      </c>
      <c r="T3143" s="29" cm="1">
        <f t="array" ref="T3143">IF(表成绩单[[#This Row],[化学]]="","",SUMPRODUCT((表成绩单[考试日期]=表成绩单[[#This Row],[考试日期]])*(表成绩单[化学]&lt;9E+307)*(表成绩单[化学]&gt;表成绩单[[#This Row],[化学]]))+1)</f>
        <v>654</v>
      </c>
      <c r="U3143" s="29" cm="1">
        <f t="array" ref="U3143">IF(表成绩单[[#This Row],[政治]]="","",SUMPRODUCT((表成绩单[考试日期]=表成绩单[[#This Row],[考试日期]])*(表成绩单[政治]&lt;9E+307)*(表成绩单[政治]&gt;表成绩单[[#This Row],[政治]]))+1)</f>
        <v>680</v>
      </c>
      <c r="V3143" s="29" cm="1">
        <f t="array" ref="V3143">IF(表成绩单[[#This Row],[历史]]="","",SUMPRODUCT((表成绩单[考试日期]=表成绩单[[#This Row],[考试日期]])*(表成绩单[历史]&lt;9E+307)*(表成绩单[历史]&gt;表成绩单[[#This Row],[历史]]))+1)</f>
        <v>748</v>
      </c>
      <c r="W3143" s="29" cm="1">
        <f t="array" ref="W3143">IF(表成绩单[[#This Row],[总分]]="","",SUMPRODUCT((表成绩单[考试日期]=表成绩单[[#This Row],[考试日期]])*(表成绩单[总分]&lt;9E+307)*(表成绩单[总分]&gt;表成绩单[[#This Row],[总分]]))+1)</f>
        <v>736</v>
      </c>
    </row>
    <row r="3144" ht="28" customHeight="1" spans="4:23">
      <c r="D3144" s="31">
        <v>46108</v>
      </c>
      <c r="E3144" s="29">
        <v>19177589</v>
      </c>
      <c r="F3144" s="29" t="s">
        <v>58</v>
      </c>
      <c r="G3144" s="29" t="s">
        <v>861</v>
      </c>
      <c r="H3144" s="29">
        <v>69</v>
      </c>
      <c r="I3144" s="29">
        <v>53</v>
      </c>
      <c r="J3144" s="29">
        <v>62.5</v>
      </c>
      <c r="K3144" s="29">
        <v>61</v>
      </c>
      <c r="L3144" s="29">
        <v>30</v>
      </c>
      <c r="M3144" s="29">
        <v>49</v>
      </c>
      <c r="N3144" s="29">
        <v>52</v>
      </c>
      <c r="O3144" s="32">
        <v>376.5</v>
      </c>
      <c r="P3144" s="29" cm="1">
        <f t="array" ref="P3144">IF(表成绩单[[#This Row],[语文]]="","",SUMPRODUCT((表成绩单[考试日期]=表成绩单[[#This Row],[考试日期]])*(表成绩单[语文]&lt;9E+307)*(表成绩单[语文]&gt;表成绩单[[#This Row],[语文]]))+1)</f>
        <v>746</v>
      </c>
      <c r="Q3144" s="29" cm="1">
        <f t="array" ref="Q3144">IF(表成绩单[[#This Row],[数学]]="","",SUMPRODUCT((表成绩单[考试日期]=表成绩单[[#This Row],[考试日期]])*(表成绩单[数学]&lt;9E+307)*(表成绩单[数学]&gt;表成绩单[[#This Row],[数学]]))+1)</f>
        <v>730</v>
      </c>
      <c r="R3144" s="29" cm="1">
        <f t="array" ref="R3144">IF(表成绩单[[#This Row],[英语]]="","",SUMPRODUCT((表成绩单[考试日期]=表成绩单[[#This Row],[考试日期]])*(表成绩单[英语]&lt;9E+307)*(表成绩单[英语]&gt;表成绩单[[#This Row],[英语]]))+1)</f>
        <v>633</v>
      </c>
      <c r="S3144" s="29" cm="1">
        <f t="array" ref="S3144">IF(表成绩单[[#This Row],[物理]]="","",SUMPRODUCT((表成绩单[考试日期]=表成绩单[[#This Row],[考试日期]])*(表成绩单[物理]&lt;9E+307)*(表成绩单[物理]&gt;表成绩单[[#This Row],[物理]]))+1)</f>
        <v>655</v>
      </c>
      <c r="T3144" s="29" cm="1">
        <f t="array" ref="T3144">IF(表成绩单[[#This Row],[化学]]="","",SUMPRODUCT((表成绩单[考试日期]=表成绩单[[#This Row],[考试日期]])*(表成绩单[化学]&lt;9E+307)*(表成绩单[化学]&gt;表成绩单[[#This Row],[化学]]))+1)</f>
        <v>764</v>
      </c>
      <c r="U3144" s="29" cm="1">
        <f t="array" ref="U3144">IF(表成绩单[[#This Row],[政治]]="","",SUMPRODUCT((表成绩单[考试日期]=表成绩单[[#This Row],[考试日期]])*(表成绩单[政治]&lt;9E+307)*(表成绩单[政治]&gt;表成绩单[[#This Row],[政治]]))+1)</f>
        <v>763</v>
      </c>
      <c r="V3144" s="29" cm="1">
        <f t="array" ref="V3144">IF(表成绩单[[#This Row],[历史]]="","",SUMPRODUCT((表成绩单[考试日期]=表成绩单[[#This Row],[考试日期]])*(表成绩单[历史]&lt;9E+307)*(表成绩单[历史]&gt;表成绩单[[#This Row],[历史]]))+1)</f>
        <v>757</v>
      </c>
      <c r="W3144" s="29" cm="1">
        <f t="array" ref="W3144">IF(表成绩单[[#This Row],[总分]]="","",SUMPRODUCT((表成绩单[考试日期]=表成绩单[[#This Row],[考试日期]])*(表成绩单[总分]&lt;9E+307)*(表成绩单[总分]&gt;表成绩单[[#This Row],[总分]]))+1)</f>
        <v>737</v>
      </c>
    </row>
    <row r="3145" ht="28" customHeight="1" spans="4:23">
      <c r="D3145" s="31">
        <v>46108</v>
      </c>
      <c r="E3145" s="29">
        <v>19177615</v>
      </c>
      <c r="F3145" s="29" t="s">
        <v>58</v>
      </c>
      <c r="G3145" s="29" t="s">
        <v>844</v>
      </c>
      <c r="H3145" s="29">
        <v>84</v>
      </c>
      <c r="I3145" s="29">
        <v>42</v>
      </c>
      <c r="J3145" s="29">
        <v>50.5</v>
      </c>
      <c r="K3145" s="29">
        <v>54</v>
      </c>
      <c r="L3145" s="29">
        <v>36</v>
      </c>
      <c r="M3145" s="29">
        <v>55</v>
      </c>
      <c r="N3145" s="29">
        <v>55</v>
      </c>
      <c r="O3145" s="32">
        <v>376.5</v>
      </c>
      <c r="P3145" s="29" cm="1">
        <f t="array" ref="P3145">IF(表成绩单[[#This Row],[语文]]="","",SUMPRODUCT((表成绩单[考试日期]=表成绩单[[#This Row],[考试日期]])*(表成绩单[语文]&lt;9E+307)*(表成绩单[语文]&gt;表成绩单[[#This Row],[语文]]))+1)</f>
        <v>638</v>
      </c>
      <c r="Q3145" s="29" cm="1">
        <f t="array" ref="Q3145">IF(表成绩单[[#This Row],[数学]]="","",SUMPRODUCT((表成绩单[考试日期]=表成绩单[[#This Row],[考试日期]])*(表成绩单[数学]&lt;9E+307)*(表成绩单[数学]&gt;表成绩单[[#This Row],[数学]]))+1)</f>
        <v>757</v>
      </c>
      <c r="R3145" s="29" cm="1">
        <f t="array" ref="R3145">IF(表成绩单[[#This Row],[英语]]="","",SUMPRODUCT((表成绩单[考试日期]=表成绩单[[#This Row],[考试日期]])*(表成绩单[英语]&lt;9E+307)*(表成绩单[英语]&gt;表成绩单[[#This Row],[英语]]))+1)</f>
        <v>707</v>
      </c>
      <c r="S3145" s="29" cm="1">
        <f t="array" ref="S3145">IF(表成绩单[[#This Row],[物理]]="","",SUMPRODUCT((表成绩单[考试日期]=表成绩单[[#This Row],[考试日期]])*(表成绩单[物理]&lt;9E+307)*(表成绩单[物理]&gt;表成绩单[[#This Row],[物理]]))+1)</f>
        <v>708</v>
      </c>
      <c r="T3145" s="29" cm="1">
        <f t="array" ref="T3145">IF(表成绩单[[#This Row],[化学]]="","",SUMPRODUCT((表成绩单[考试日期]=表成绩单[[#This Row],[考试日期]])*(表成绩单[化学]&lt;9E+307)*(表成绩单[化学]&gt;表成绩单[[#This Row],[化学]]))+1)</f>
        <v>742</v>
      </c>
      <c r="U3145" s="29" cm="1">
        <f t="array" ref="U3145">IF(表成绩单[[#This Row],[政治]]="","",SUMPRODUCT((表成绩单[考试日期]=表成绩单[[#This Row],[考试日期]])*(表成绩单[政治]&lt;9E+307)*(表成绩单[政治]&gt;表成绩单[[#This Row],[政治]]))+1)</f>
        <v>741</v>
      </c>
      <c r="V3145" s="29" cm="1">
        <f t="array" ref="V3145">IF(表成绩单[[#This Row],[历史]]="","",SUMPRODUCT((表成绩单[考试日期]=表成绩单[[#This Row],[考试日期]])*(表成绩单[历史]&lt;9E+307)*(表成绩单[历史]&gt;表成绩单[[#This Row],[历史]]))+1)</f>
        <v>742</v>
      </c>
      <c r="W3145" s="29" cm="1">
        <f t="array" ref="W3145">IF(表成绩单[[#This Row],[总分]]="","",SUMPRODUCT((表成绩单[考试日期]=表成绩单[[#This Row],[考试日期]])*(表成绩单[总分]&lt;9E+307)*(表成绩单[总分]&gt;表成绩单[[#This Row],[总分]]))+1)</f>
        <v>737</v>
      </c>
    </row>
    <row r="3146" ht="28" customHeight="1" spans="4:23">
      <c r="D3146" s="31">
        <v>46108</v>
      </c>
      <c r="E3146" s="29">
        <v>19172633</v>
      </c>
      <c r="F3146" s="29" t="s">
        <v>60</v>
      </c>
      <c r="G3146" s="29" t="s">
        <v>775</v>
      </c>
      <c r="H3146" s="29">
        <v>62</v>
      </c>
      <c r="I3146" s="29">
        <v>77</v>
      </c>
      <c r="J3146" s="29">
        <v>34.5</v>
      </c>
      <c r="K3146" s="29">
        <v>47</v>
      </c>
      <c r="L3146" s="29">
        <v>39</v>
      </c>
      <c r="M3146" s="29">
        <v>54</v>
      </c>
      <c r="N3146" s="29">
        <v>61</v>
      </c>
      <c r="O3146" s="32">
        <v>374.5</v>
      </c>
      <c r="P3146" s="29" cm="1">
        <f t="array" ref="P3146">IF(表成绩单[[#This Row],[语文]]="","",SUMPRODUCT((表成绩单[考试日期]=表成绩单[[#This Row],[考试日期]])*(表成绩单[语文]&lt;9E+307)*(表成绩单[语文]&gt;表成绩单[[#This Row],[语文]]))+1)</f>
        <v>770</v>
      </c>
      <c r="Q3146" s="29" cm="1">
        <f t="array" ref="Q3146">IF(表成绩单[[#This Row],[数学]]="","",SUMPRODUCT((表成绩单[考试日期]=表成绩单[[#This Row],[考试日期]])*(表成绩单[数学]&lt;9E+307)*(表成绩单[数学]&gt;表成绩单[[#This Row],[数学]]))+1)</f>
        <v>617</v>
      </c>
      <c r="R3146" s="29" cm="1">
        <f t="array" ref="R3146">IF(表成绩单[[#This Row],[英语]]="","",SUMPRODUCT((表成绩单[考试日期]=表成绩单[[#This Row],[考试日期]])*(表成绩单[英语]&lt;9E+307)*(表成绩单[英语]&gt;表成绩单[[#This Row],[英语]]))+1)</f>
        <v>753</v>
      </c>
      <c r="S3146" s="29" cm="1">
        <f t="array" ref="S3146">IF(表成绩单[[#This Row],[物理]]="","",SUMPRODUCT((表成绩单[考试日期]=表成绩单[[#This Row],[考试日期]])*(表成绩单[物理]&lt;9E+307)*(表成绩单[物理]&gt;表成绩单[[#This Row],[物理]]))+1)</f>
        <v>740</v>
      </c>
      <c r="T3146" s="29" cm="1">
        <f t="array" ref="T3146">IF(表成绩单[[#This Row],[化学]]="","",SUMPRODUCT((表成绩单[考试日期]=表成绩单[[#This Row],[考试日期]])*(表成绩单[化学]&lt;9E+307)*(表成绩单[化学]&gt;表成绩单[[#This Row],[化学]]))+1)</f>
        <v>729</v>
      </c>
      <c r="U3146" s="29" cm="1">
        <f t="array" ref="U3146">IF(表成绩单[[#This Row],[政治]]="","",SUMPRODUCT((表成绩单[考试日期]=表成绩单[[#This Row],[考试日期]])*(表成绩单[政治]&lt;9E+307)*(表成绩单[政治]&gt;表成绩单[[#This Row],[政治]]))+1)</f>
        <v>745</v>
      </c>
      <c r="V3146" s="29" cm="1">
        <f t="array" ref="V3146">IF(表成绩单[[#This Row],[历史]]="","",SUMPRODUCT((表成绩单[考试日期]=表成绩单[[#This Row],[考试日期]])*(表成绩单[历史]&lt;9E+307)*(表成绩单[历史]&gt;表成绩单[[#This Row],[历史]]))+1)</f>
        <v>707</v>
      </c>
      <c r="W3146" s="29" cm="1">
        <f t="array" ref="W3146">IF(表成绩单[[#This Row],[总分]]="","",SUMPRODUCT((表成绩单[考试日期]=表成绩单[[#This Row],[考试日期]])*(表成绩单[总分]&lt;9E+307)*(表成绩单[总分]&gt;表成绩单[[#This Row],[总分]]))+1)</f>
        <v>739</v>
      </c>
    </row>
    <row r="3147" ht="28" customHeight="1" spans="4:23">
      <c r="D3147" s="31">
        <v>46108</v>
      </c>
      <c r="E3147" s="29">
        <v>19175321</v>
      </c>
      <c r="F3147" s="29" t="s">
        <v>55</v>
      </c>
      <c r="G3147" s="29" t="s">
        <v>827</v>
      </c>
      <c r="H3147" s="29">
        <v>76</v>
      </c>
      <c r="I3147" s="29">
        <v>60</v>
      </c>
      <c r="J3147" s="29">
        <v>33.5</v>
      </c>
      <c r="K3147" s="29">
        <v>48</v>
      </c>
      <c r="L3147" s="29">
        <v>28</v>
      </c>
      <c r="M3147" s="29">
        <v>60</v>
      </c>
      <c r="N3147" s="29">
        <v>68</v>
      </c>
      <c r="O3147" s="32">
        <v>373.5</v>
      </c>
      <c r="P3147" s="29" cm="1">
        <f t="array" ref="P3147">IF(表成绩单[[#This Row],[语文]]="","",SUMPRODUCT((表成绩单[考试日期]=表成绩单[[#This Row],[考试日期]])*(表成绩单[语文]&lt;9E+307)*(表成绩单[语文]&gt;表成绩单[[#This Row],[语文]]))+1)</f>
        <v>713</v>
      </c>
      <c r="Q3147" s="29" cm="1">
        <f t="array" ref="Q3147">IF(表成绩单[[#This Row],[数学]]="","",SUMPRODUCT((表成绩单[考试日期]=表成绩单[[#This Row],[考试日期]])*(表成绩单[数学]&lt;9E+307)*(表成绩单[数学]&gt;表成绩单[[#This Row],[数学]]))+1)</f>
        <v>707</v>
      </c>
      <c r="R3147" s="29" cm="1">
        <f t="array" ref="R3147">IF(表成绩单[[#This Row],[英语]]="","",SUMPRODUCT((表成绩单[考试日期]=表成绩单[[#This Row],[考试日期]])*(表成绩单[英语]&lt;9E+307)*(表成绩单[英语]&gt;表成绩单[[#This Row],[英语]]))+1)</f>
        <v>757</v>
      </c>
      <c r="S3147" s="29" cm="1">
        <f t="array" ref="S3147">IF(表成绩单[[#This Row],[物理]]="","",SUMPRODUCT((表成绩单[考试日期]=表成绩单[[#This Row],[考试日期]])*(表成绩单[物理]&lt;9E+307)*(表成绩单[物理]&gt;表成绩单[[#This Row],[物理]]))+1)</f>
        <v>735</v>
      </c>
      <c r="T3147" s="29" cm="1">
        <f t="array" ref="T3147">IF(表成绩单[[#This Row],[化学]]="","",SUMPRODUCT((表成绩单[考试日期]=表成绩单[[#This Row],[考试日期]])*(表成绩单[化学]&lt;9E+307)*(表成绩单[化学]&gt;表成绩单[[#This Row],[化学]]))+1)</f>
        <v>771</v>
      </c>
      <c r="U3147" s="29" cm="1">
        <f t="array" ref="U3147">IF(表成绩单[[#This Row],[政治]]="","",SUMPRODUCT((表成绩单[考试日期]=表成绩单[[#This Row],[考试日期]])*(表成绩单[政治]&lt;9E+307)*(表成绩单[政治]&gt;表成绩单[[#This Row],[政治]]))+1)</f>
        <v>709</v>
      </c>
      <c r="V3147" s="29" cm="1">
        <f t="array" ref="V3147">IF(表成绩单[[#This Row],[历史]]="","",SUMPRODUCT((表成绩单[考试日期]=表成绩单[[#This Row],[考试日期]])*(表成绩单[历史]&lt;9E+307)*(表成绩单[历史]&gt;表成绩单[[#This Row],[历史]]))+1)</f>
        <v>599</v>
      </c>
      <c r="W3147" s="29" cm="1">
        <f t="array" ref="W3147">IF(表成绩单[[#This Row],[总分]]="","",SUMPRODUCT((表成绩单[考试日期]=表成绩单[[#This Row],[考试日期]])*(表成绩单[总分]&lt;9E+307)*(表成绩单[总分]&gt;表成绩单[[#This Row],[总分]]))+1)</f>
        <v>740</v>
      </c>
    </row>
    <row r="3148" ht="28" customHeight="1" spans="4:23">
      <c r="D3148" s="31">
        <v>46108</v>
      </c>
      <c r="E3148" s="29">
        <v>19178590</v>
      </c>
      <c r="F3148" s="29" t="s">
        <v>64</v>
      </c>
      <c r="G3148" s="29" t="s">
        <v>804</v>
      </c>
      <c r="H3148" s="29">
        <v>93</v>
      </c>
      <c r="I3148" s="29">
        <v>42</v>
      </c>
      <c r="J3148" s="29">
        <v>33</v>
      </c>
      <c r="K3148" s="29">
        <v>41</v>
      </c>
      <c r="L3148" s="29">
        <v>27</v>
      </c>
      <c r="M3148" s="29">
        <v>69</v>
      </c>
      <c r="N3148" s="29">
        <v>68</v>
      </c>
      <c r="O3148" s="32">
        <v>373</v>
      </c>
      <c r="P3148" s="29" cm="1">
        <f t="array" ref="P3148">IF(表成绩单[[#This Row],[语文]]="","",SUMPRODUCT((表成绩单[考试日期]=表成绩单[[#This Row],[考试日期]])*(表成绩单[语文]&lt;9E+307)*(表成绩单[语文]&gt;表成绩单[[#This Row],[语文]]))+1)</f>
        <v>470</v>
      </c>
      <c r="Q3148" s="29" cm="1">
        <f t="array" ref="Q3148">IF(表成绩单[[#This Row],[数学]]="","",SUMPRODUCT((表成绩单[考试日期]=表成绩单[[#This Row],[考试日期]])*(表成绩单[数学]&lt;9E+307)*(表成绩单[数学]&gt;表成绩单[[#This Row],[数学]]))+1)</f>
        <v>757</v>
      </c>
      <c r="R3148" s="29" cm="1">
        <f t="array" ref="R3148">IF(表成绩单[[#This Row],[英语]]="","",SUMPRODUCT((表成绩单[考试日期]=表成绩单[[#This Row],[考试日期]])*(表成绩单[英语]&lt;9E+307)*(表成绩单[英语]&gt;表成绩单[[#This Row],[英语]]))+1)</f>
        <v>758</v>
      </c>
      <c r="S3148" s="29" cm="1">
        <f t="array" ref="S3148">IF(表成绩单[[#This Row],[物理]]="","",SUMPRODUCT((表成绩单[考试日期]=表成绩单[[#This Row],[考试日期]])*(表成绩单[物理]&lt;9E+307)*(表成绩单[物理]&gt;表成绩单[[#This Row],[物理]]))+1)</f>
        <v>756</v>
      </c>
      <c r="T3148" s="29" cm="1">
        <f t="array" ref="T3148">IF(表成绩单[[#This Row],[化学]]="","",SUMPRODUCT((表成绩单[考试日期]=表成绩单[[#This Row],[考试日期]])*(表成绩单[化学]&lt;9E+307)*(表成绩单[化学]&gt;表成绩单[[#This Row],[化学]]))+1)</f>
        <v>774</v>
      </c>
      <c r="U3148" s="29" cm="1">
        <f t="array" ref="U3148">IF(表成绩单[[#This Row],[政治]]="","",SUMPRODUCT((表成绩单[考试日期]=表成绩单[[#This Row],[考试日期]])*(表成绩单[政治]&lt;9E+307)*(表成绩单[政治]&gt;表成绩单[[#This Row],[政治]]))+1)</f>
        <v>567</v>
      </c>
      <c r="V3148" s="29" cm="1">
        <f t="array" ref="V3148">IF(表成绩单[[#This Row],[历史]]="","",SUMPRODUCT((表成绩单[考试日期]=表成绩单[[#This Row],[考试日期]])*(表成绩单[历史]&lt;9E+307)*(表成绩单[历史]&gt;表成绩单[[#This Row],[历史]]))+1)</f>
        <v>599</v>
      </c>
      <c r="W3148" s="29" cm="1">
        <f t="array" ref="W3148">IF(表成绩单[[#This Row],[总分]]="","",SUMPRODUCT((表成绩单[考试日期]=表成绩单[[#This Row],[考试日期]])*(表成绩单[总分]&lt;9E+307)*(表成绩单[总分]&gt;表成绩单[[#This Row],[总分]]))+1)</f>
        <v>741</v>
      </c>
    </row>
    <row r="3149" ht="28" customHeight="1" spans="4:23">
      <c r="D3149" s="31">
        <v>46108</v>
      </c>
      <c r="E3149" s="29">
        <v>19173767</v>
      </c>
      <c r="F3149" s="29" t="s">
        <v>65</v>
      </c>
      <c r="G3149" s="29" t="s">
        <v>828</v>
      </c>
      <c r="H3149" s="29">
        <v>79</v>
      </c>
      <c r="I3149" s="29">
        <v>37</v>
      </c>
      <c r="J3149" s="29">
        <v>65</v>
      </c>
      <c r="K3149" s="29">
        <v>37</v>
      </c>
      <c r="L3149" s="29">
        <v>24</v>
      </c>
      <c r="M3149" s="29">
        <v>61</v>
      </c>
      <c r="N3149" s="29">
        <v>68</v>
      </c>
      <c r="O3149" s="32">
        <v>371</v>
      </c>
      <c r="P3149" s="29" cm="1">
        <f t="array" ref="P3149">IF(表成绩单[[#This Row],[语文]]="","",SUMPRODUCT((表成绩单[考试日期]=表成绩单[[#This Row],[考试日期]])*(表成绩单[语文]&lt;9E+307)*(表成绩单[语文]&gt;表成绩单[[#This Row],[语文]]))+1)</f>
        <v>690</v>
      </c>
      <c r="Q3149" s="29" cm="1">
        <f t="array" ref="Q3149">IF(表成绩单[[#This Row],[数学]]="","",SUMPRODUCT((表成绩单[考试日期]=表成绩单[[#This Row],[考试日期]])*(表成绩单[数学]&lt;9E+307)*(表成绩单[数学]&gt;表成绩单[[#This Row],[数学]]))+1)</f>
        <v>766</v>
      </c>
      <c r="R3149" s="29" cm="1">
        <f t="array" ref="R3149">IF(表成绩单[[#This Row],[英语]]="","",SUMPRODUCT((表成绩单[考试日期]=表成绩单[[#This Row],[考试日期]])*(表成绩单[英语]&lt;9E+307)*(表成绩单[英语]&gt;表成绩单[[#This Row],[英语]]))+1)</f>
        <v>603</v>
      </c>
      <c r="S3149" s="29" cm="1">
        <f t="array" ref="S3149">IF(表成绩单[[#This Row],[物理]]="","",SUMPRODUCT((表成绩单[考试日期]=表成绩单[[#This Row],[考试日期]])*(表成绩单[物理]&lt;9E+307)*(表成绩单[物理]&gt;表成绩单[[#This Row],[物理]]))+1)</f>
        <v>770</v>
      </c>
      <c r="T3149" s="29" cm="1">
        <f t="array" ref="T3149">IF(表成绩单[[#This Row],[化学]]="","",SUMPRODUCT((表成绩单[考试日期]=表成绩单[[#This Row],[考试日期]])*(表成绩单[化学]&lt;9E+307)*(表成绩单[化学]&gt;表成绩单[[#This Row],[化学]]))+1)</f>
        <v>777</v>
      </c>
      <c r="U3149" s="29" cm="1">
        <f t="array" ref="U3149">IF(表成绩单[[#This Row],[政治]]="","",SUMPRODUCT((表成绩单[考试日期]=表成绩单[[#This Row],[考试日期]])*(表成绩单[政治]&lt;9E+307)*(表成绩单[政治]&gt;表成绩单[[#This Row],[政治]]))+1)</f>
        <v>700</v>
      </c>
      <c r="V3149" s="29" cm="1">
        <f t="array" ref="V3149">IF(表成绩单[[#This Row],[历史]]="","",SUMPRODUCT((表成绩单[考试日期]=表成绩单[[#This Row],[考试日期]])*(表成绩单[历史]&lt;9E+307)*(表成绩单[历史]&gt;表成绩单[[#This Row],[历史]]))+1)</f>
        <v>599</v>
      </c>
      <c r="W3149" s="29" cm="1">
        <f t="array" ref="W3149">IF(表成绩单[[#This Row],[总分]]="","",SUMPRODUCT((表成绩单[考试日期]=表成绩单[[#This Row],[考试日期]])*(表成绩单[总分]&lt;9E+307)*(表成绩单[总分]&gt;表成绩单[[#This Row],[总分]]))+1)</f>
        <v>742</v>
      </c>
    </row>
    <row r="3150" ht="28" customHeight="1" spans="4:23">
      <c r="D3150" s="31">
        <v>46108</v>
      </c>
      <c r="E3150" s="29">
        <v>19175292</v>
      </c>
      <c r="F3150" s="29" t="s">
        <v>55</v>
      </c>
      <c r="G3150" s="29" t="s">
        <v>833</v>
      </c>
      <c r="H3150" s="29">
        <v>79</v>
      </c>
      <c r="I3150" s="29">
        <v>53</v>
      </c>
      <c r="J3150" s="29">
        <v>52.5</v>
      </c>
      <c r="K3150" s="29">
        <v>28</v>
      </c>
      <c r="L3150" s="29">
        <v>36</v>
      </c>
      <c r="M3150" s="29">
        <v>64</v>
      </c>
      <c r="N3150" s="29">
        <v>54</v>
      </c>
      <c r="O3150" s="32">
        <v>366.5</v>
      </c>
      <c r="P3150" s="29" cm="1">
        <f t="array" ref="P3150">IF(表成绩单[[#This Row],[语文]]="","",SUMPRODUCT((表成绩单[考试日期]=表成绩单[[#This Row],[考试日期]])*(表成绩单[语文]&lt;9E+307)*(表成绩单[语文]&gt;表成绩单[[#This Row],[语文]]))+1)</f>
        <v>690</v>
      </c>
      <c r="Q3150" s="29" cm="1">
        <f t="array" ref="Q3150">IF(表成绩单[[#This Row],[数学]]="","",SUMPRODUCT((表成绩单[考试日期]=表成绩单[[#This Row],[考试日期]])*(表成绩单[数学]&lt;9E+307)*(表成绩单[数学]&gt;表成绩单[[#This Row],[数学]]))+1)</f>
        <v>730</v>
      </c>
      <c r="R3150" s="29" cm="1">
        <f t="array" ref="R3150">IF(表成绩单[[#This Row],[英语]]="","",SUMPRODUCT((表成绩单[考试日期]=表成绩单[[#This Row],[考试日期]])*(表成绩单[英语]&lt;9E+307)*(表成绩单[英语]&gt;表成绩单[[#This Row],[英语]]))+1)</f>
        <v>701</v>
      </c>
      <c r="S3150" s="29" cm="1">
        <f t="array" ref="S3150">IF(表成绩单[[#This Row],[物理]]="","",SUMPRODUCT((表成绩单[考试日期]=表成绩单[[#This Row],[考试日期]])*(表成绩单[物理]&lt;9E+307)*(表成绩单[物理]&gt;表成绩单[[#This Row],[物理]]))+1)</f>
        <v>779</v>
      </c>
      <c r="T3150" s="29" cm="1">
        <f t="array" ref="T3150">IF(表成绩单[[#This Row],[化学]]="","",SUMPRODUCT((表成绩单[考试日期]=表成绩单[[#This Row],[考试日期]])*(表成绩单[化学]&lt;9E+307)*(表成绩单[化学]&gt;表成绩单[[#This Row],[化学]]))+1)</f>
        <v>742</v>
      </c>
      <c r="U3150" s="29" cm="1">
        <f t="array" ref="U3150">IF(表成绩单[[#This Row],[政治]]="","",SUMPRODUCT((表成绩单[考试日期]=表成绩单[[#This Row],[考试日期]])*(表成绩单[政治]&lt;9E+307)*(表成绩单[政治]&gt;表成绩单[[#This Row],[政治]]))+1)</f>
        <v>670</v>
      </c>
      <c r="V3150" s="29" cm="1">
        <f t="array" ref="V3150">IF(表成绩单[[#This Row],[历史]]="","",SUMPRODUCT((表成绩单[考试日期]=表成绩单[[#This Row],[考试日期]])*(表成绩单[历史]&lt;9E+307)*(表成绩单[历史]&gt;表成绩单[[#This Row],[历史]]))+1)</f>
        <v>748</v>
      </c>
      <c r="W3150" s="29" cm="1">
        <f t="array" ref="W3150">IF(表成绩单[[#This Row],[总分]]="","",SUMPRODUCT((表成绩单[考试日期]=表成绩单[[#This Row],[考试日期]])*(表成绩单[总分]&lt;9E+307)*(表成绩单[总分]&gt;表成绩单[[#This Row],[总分]]))+1)</f>
        <v>743</v>
      </c>
    </row>
    <row r="3151" ht="28" customHeight="1" spans="4:23">
      <c r="D3151" s="31">
        <v>46108</v>
      </c>
      <c r="E3151" s="29">
        <v>19173768</v>
      </c>
      <c r="F3151" s="29" t="s">
        <v>65</v>
      </c>
      <c r="G3151" s="29" t="s">
        <v>835</v>
      </c>
      <c r="H3151" s="29">
        <v>73</v>
      </c>
      <c r="I3151" s="29">
        <v>38</v>
      </c>
      <c r="J3151" s="29">
        <v>57</v>
      </c>
      <c r="K3151" s="29">
        <v>41</v>
      </c>
      <c r="L3151" s="29">
        <v>35</v>
      </c>
      <c r="M3151" s="29">
        <v>57</v>
      </c>
      <c r="N3151" s="29">
        <v>65</v>
      </c>
      <c r="O3151" s="32">
        <v>366</v>
      </c>
      <c r="P3151" s="29" cm="1">
        <f t="array" ref="P3151">IF(表成绩单[[#This Row],[语文]]="","",SUMPRODUCT((表成绩单[考试日期]=表成绩单[[#This Row],[考试日期]])*(表成绩单[语文]&lt;9E+307)*(表成绩单[语文]&gt;表成绩单[[#This Row],[语文]]))+1)</f>
        <v>727</v>
      </c>
      <c r="Q3151" s="29" cm="1">
        <f t="array" ref="Q3151">IF(表成绩单[[#This Row],[数学]]="","",SUMPRODUCT((表成绩单[考试日期]=表成绩单[[#This Row],[考试日期]])*(表成绩单[数学]&lt;9E+307)*(表成绩单[数学]&gt;表成绩单[[#This Row],[数学]]))+1)</f>
        <v>764</v>
      </c>
      <c r="R3151" s="29" cm="1">
        <f t="array" ref="R3151">IF(表成绩单[[#This Row],[英语]]="","",SUMPRODUCT((表成绩单[考试日期]=表成绩单[[#This Row],[考试日期]])*(表成绩单[英语]&lt;9E+307)*(表成绩单[英语]&gt;表成绩单[[#This Row],[英语]]))+1)</f>
        <v>675</v>
      </c>
      <c r="S3151" s="29" cm="1">
        <f t="array" ref="S3151">IF(表成绩单[[#This Row],[物理]]="","",SUMPRODUCT((表成绩单[考试日期]=表成绩单[[#This Row],[考试日期]])*(表成绩单[物理]&lt;9E+307)*(表成绩单[物理]&gt;表成绩单[[#This Row],[物理]]))+1)</f>
        <v>756</v>
      </c>
      <c r="T3151" s="29" cm="1">
        <f t="array" ref="T3151">IF(表成绩单[[#This Row],[化学]]="","",SUMPRODUCT((表成绩单[考试日期]=表成绩单[[#This Row],[考试日期]])*(表成绩单[化学]&lt;9E+307)*(表成绩单[化学]&gt;表成绩单[[#This Row],[化学]]))+1)</f>
        <v>747</v>
      </c>
      <c r="U3151" s="29" cm="1">
        <f t="array" ref="U3151">IF(表成绩单[[#This Row],[政治]]="","",SUMPRODUCT((表成绩单[考试日期]=表成绩单[[#This Row],[考试日期]])*(表成绩单[政治]&lt;9E+307)*(表成绩单[政治]&gt;表成绩单[[#This Row],[政治]]))+1)</f>
        <v>730</v>
      </c>
      <c r="V3151" s="29" cm="1">
        <f t="array" ref="V3151">IF(表成绩单[[#This Row],[历史]]="","",SUMPRODUCT((表成绩单[考试日期]=表成绩单[[#This Row],[考试日期]])*(表成绩单[历史]&lt;9E+307)*(表成绩单[历史]&gt;表成绩单[[#This Row],[历史]]))+1)</f>
        <v>657</v>
      </c>
      <c r="W3151" s="29" cm="1">
        <f t="array" ref="W3151">IF(表成绩单[[#This Row],[总分]]="","",SUMPRODUCT((表成绩单[考试日期]=表成绩单[[#This Row],[考试日期]])*(表成绩单[总分]&lt;9E+307)*(表成绩单[总分]&gt;表成绩单[[#This Row],[总分]]))+1)</f>
        <v>744</v>
      </c>
    </row>
    <row r="3152" ht="28" customHeight="1" spans="4:23">
      <c r="D3152" s="31">
        <v>46108</v>
      </c>
      <c r="E3152" s="29">
        <v>19172642</v>
      </c>
      <c r="F3152" s="29" t="s">
        <v>60</v>
      </c>
      <c r="G3152" s="29" t="s">
        <v>838</v>
      </c>
      <c r="H3152" s="29">
        <v>76</v>
      </c>
      <c r="I3152" s="29">
        <v>43</v>
      </c>
      <c r="J3152" s="29">
        <v>45</v>
      </c>
      <c r="K3152" s="29">
        <v>39</v>
      </c>
      <c r="L3152" s="29">
        <v>35</v>
      </c>
      <c r="M3152" s="29">
        <v>61</v>
      </c>
      <c r="N3152" s="29">
        <v>64</v>
      </c>
      <c r="O3152" s="32">
        <v>363</v>
      </c>
      <c r="P3152" s="29" cm="1">
        <f t="array" ref="P3152">IF(表成绩单[[#This Row],[语文]]="","",SUMPRODUCT((表成绩单[考试日期]=表成绩单[[#This Row],[考试日期]])*(表成绩单[语文]&lt;9E+307)*(表成绩单[语文]&gt;表成绩单[[#This Row],[语文]]))+1)</f>
        <v>713</v>
      </c>
      <c r="Q3152" s="29" cm="1">
        <f t="array" ref="Q3152">IF(表成绩单[[#This Row],[数学]]="","",SUMPRODUCT((表成绩单[考试日期]=表成绩单[[#This Row],[考试日期]])*(表成绩单[数学]&lt;9E+307)*(表成绩单[数学]&gt;表成绩单[[#This Row],[数学]]))+1)</f>
        <v>754</v>
      </c>
      <c r="R3152" s="29" cm="1">
        <f t="array" ref="R3152">IF(表成绩单[[#This Row],[英语]]="","",SUMPRODUCT((表成绩单[考试日期]=表成绩单[[#This Row],[考试日期]])*(表成绩单[英语]&lt;9E+307)*(表成绩单[英语]&gt;表成绩单[[#This Row],[英语]]))+1)</f>
        <v>727</v>
      </c>
      <c r="S3152" s="29" cm="1">
        <f t="array" ref="S3152">IF(表成绩单[[#This Row],[物理]]="","",SUMPRODUCT((表成绩单[考试日期]=表成绩单[[#This Row],[考试日期]])*(表成绩单[物理]&lt;9E+307)*(表成绩单[物理]&gt;表成绩单[[#This Row],[物理]]))+1)</f>
        <v>766</v>
      </c>
      <c r="T3152" s="29" cm="1">
        <f t="array" ref="T3152">IF(表成绩单[[#This Row],[化学]]="","",SUMPRODUCT((表成绩单[考试日期]=表成绩单[[#This Row],[考试日期]])*(表成绩单[化学]&lt;9E+307)*(表成绩单[化学]&gt;表成绩单[[#This Row],[化学]]))+1)</f>
        <v>747</v>
      </c>
      <c r="U3152" s="29" cm="1">
        <f t="array" ref="U3152">IF(表成绩单[[#This Row],[政治]]="","",SUMPRODUCT((表成绩单[考试日期]=表成绩单[[#This Row],[考试日期]])*(表成绩单[政治]&lt;9E+307)*(表成绩单[政治]&gt;表成绩单[[#This Row],[政治]]))+1)</f>
        <v>700</v>
      </c>
      <c r="V3152" s="29" cm="1">
        <f t="array" ref="V3152">IF(表成绩单[[#This Row],[历史]]="","",SUMPRODUCT((表成绩单[考试日期]=表成绩单[[#This Row],[考试日期]])*(表成绩单[历史]&lt;9E+307)*(表成绩单[历史]&gt;表成绩单[[#This Row],[历史]]))+1)</f>
        <v>666</v>
      </c>
      <c r="W3152" s="29" cm="1">
        <f t="array" ref="W3152">IF(表成绩单[[#This Row],[总分]]="","",SUMPRODUCT((表成绩单[考试日期]=表成绩单[[#This Row],[考试日期]])*(表成绩单[总分]&lt;9E+307)*(表成绩单[总分]&gt;表成绩单[[#This Row],[总分]]))+1)</f>
        <v>745</v>
      </c>
    </row>
    <row r="3153" ht="28" customHeight="1" spans="4:23">
      <c r="D3153" s="31">
        <v>46108</v>
      </c>
      <c r="E3153" s="29">
        <v>19175598</v>
      </c>
      <c r="F3153" s="29" t="s">
        <v>57</v>
      </c>
      <c r="G3153" s="29" t="s">
        <v>732</v>
      </c>
      <c r="H3153" s="29">
        <v>43</v>
      </c>
      <c r="I3153" s="29">
        <v>56</v>
      </c>
      <c r="J3153" s="29">
        <v>40.5</v>
      </c>
      <c r="K3153" s="29">
        <v>57</v>
      </c>
      <c r="L3153" s="29">
        <v>48</v>
      </c>
      <c r="M3153" s="29">
        <v>58</v>
      </c>
      <c r="N3153" s="29">
        <v>59</v>
      </c>
      <c r="O3153" s="32">
        <v>361.5</v>
      </c>
      <c r="P3153" s="29" cm="1">
        <f t="array" ref="P3153">IF(表成绩单[[#This Row],[语文]]="","",SUMPRODUCT((表成绩单[考试日期]=表成绩单[[#This Row],[考试日期]])*(表成绩单[语文]&lt;9E+307)*(表成绩单[语文]&gt;表成绩单[[#This Row],[语文]]))+1)</f>
        <v>784</v>
      </c>
      <c r="Q3153" s="29" cm="1">
        <f t="array" ref="Q3153">IF(表成绩单[[#This Row],[数学]]="","",SUMPRODUCT((表成绩单[考试日期]=表成绩单[[#This Row],[考试日期]])*(表成绩单[数学]&lt;9E+307)*(表成绩单[数学]&gt;表成绩单[[#This Row],[数学]]))+1)</f>
        <v>723</v>
      </c>
      <c r="R3153" s="29" cm="1">
        <f t="array" ref="R3153">IF(表成绩单[[#This Row],[英语]]="","",SUMPRODUCT((表成绩单[考试日期]=表成绩单[[#This Row],[考试日期]])*(表成绩单[英语]&lt;9E+307)*(表成绩单[英语]&gt;表成绩单[[#This Row],[英语]]))+1)</f>
        <v>740</v>
      </c>
      <c r="S3153" s="29" cm="1">
        <f t="array" ref="S3153">IF(表成绩单[[#This Row],[物理]]="","",SUMPRODUCT((表成绩单[考试日期]=表成绩单[[#This Row],[考试日期]])*(表成绩单[物理]&lt;9E+307)*(表成绩单[物理]&gt;表成绩单[[#This Row],[物理]]))+1)</f>
        <v>692</v>
      </c>
      <c r="T3153" s="29" cm="1">
        <f t="array" ref="T3153">IF(表成绩单[[#This Row],[化学]]="","",SUMPRODUCT((表成绩单[考试日期]=表成绩单[[#This Row],[考试日期]])*(表成绩单[化学]&lt;9E+307)*(表成绩单[化学]&gt;表成绩单[[#This Row],[化学]]))+1)</f>
        <v>654</v>
      </c>
      <c r="U3153" s="29" cm="1">
        <f t="array" ref="U3153">IF(表成绩单[[#This Row],[政治]]="","",SUMPRODUCT((表成绩单[考试日期]=表成绩单[[#This Row],[考试日期]])*(表成绩单[政治]&lt;9E+307)*(表成绩单[政治]&gt;表成绩单[[#This Row],[政治]]))+1)</f>
        <v>726</v>
      </c>
      <c r="V3153" s="29" cm="1">
        <f t="array" ref="V3153">IF(表成绩单[[#This Row],[历史]]="","",SUMPRODUCT((表成绩单[考试日期]=表成绩单[[#This Row],[考试日期]])*(表成绩单[历史]&lt;9E+307)*(表成绩单[历史]&gt;表成绩单[[#This Row],[历史]]))+1)</f>
        <v>724</v>
      </c>
      <c r="W3153" s="29" cm="1">
        <f t="array" ref="W3153">IF(表成绩单[[#This Row],[总分]]="","",SUMPRODUCT((表成绩单[考试日期]=表成绩单[[#This Row],[考试日期]])*(表成绩单[总分]&lt;9E+307)*(表成绩单[总分]&gt;表成绩单[[#This Row],[总分]]))+1)</f>
        <v>746</v>
      </c>
    </row>
    <row r="3154" ht="28" customHeight="1" spans="4:23">
      <c r="D3154" s="31">
        <v>46108</v>
      </c>
      <c r="E3154" s="29">
        <v>19175996</v>
      </c>
      <c r="F3154" s="29" t="s">
        <v>59</v>
      </c>
      <c r="G3154" s="29" t="s">
        <v>849</v>
      </c>
      <c r="H3154" s="29">
        <v>63</v>
      </c>
      <c r="I3154" s="29">
        <v>46</v>
      </c>
      <c r="J3154" s="29">
        <v>31</v>
      </c>
      <c r="K3154" s="29">
        <v>45</v>
      </c>
      <c r="L3154" s="29">
        <v>59</v>
      </c>
      <c r="M3154" s="29">
        <v>53</v>
      </c>
      <c r="N3154" s="29">
        <v>63</v>
      </c>
      <c r="O3154" s="32">
        <v>360</v>
      </c>
      <c r="P3154" s="29" cm="1">
        <f t="array" ref="P3154">IF(表成绩单[[#This Row],[语文]]="","",SUMPRODUCT((表成绩单[考试日期]=表成绩单[[#This Row],[考试日期]])*(表成绩单[语文]&lt;9E+307)*(表成绩单[语文]&gt;表成绩单[[#This Row],[语文]]))+1)</f>
        <v>767</v>
      </c>
      <c r="Q3154" s="29" cm="1">
        <f t="array" ref="Q3154">IF(表成绩单[[#This Row],[数学]]="","",SUMPRODUCT((表成绩单[考试日期]=表成绩单[[#This Row],[考试日期]])*(表成绩单[数学]&lt;9E+307)*(表成绩单[数学]&gt;表成绩单[[#This Row],[数学]]))+1)</f>
        <v>751</v>
      </c>
      <c r="R3154" s="29" cm="1">
        <f t="array" ref="R3154">IF(表成绩单[[#This Row],[英语]]="","",SUMPRODUCT((表成绩单[考试日期]=表成绩单[[#This Row],[考试日期]])*(表成绩单[英语]&lt;9E+307)*(表成绩单[英语]&gt;表成绩单[[#This Row],[英语]]))+1)</f>
        <v>760</v>
      </c>
      <c r="S3154" s="29" cm="1">
        <f t="array" ref="S3154">IF(表成绩单[[#This Row],[物理]]="","",SUMPRODUCT((表成绩单[考试日期]=表成绩单[[#This Row],[考试日期]])*(表成绩单[物理]&lt;9E+307)*(表成绩单[物理]&gt;表成绩单[[#This Row],[物理]]))+1)</f>
        <v>747</v>
      </c>
      <c r="T3154" s="29" cm="1">
        <f t="array" ref="T3154">IF(表成绩单[[#This Row],[化学]]="","",SUMPRODUCT((表成绩单[考试日期]=表成绩单[[#This Row],[考试日期]])*(表成绩单[化学]&lt;9E+307)*(表成绩单[化学]&gt;表成绩单[[#This Row],[化学]]))+1)</f>
        <v>510</v>
      </c>
      <c r="U3154" s="29" cm="1">
        <f t="array" ref="U3154">IF(表成绩单[[#This Row],[政治]]="","",SUMPRODUCT((表成绩单[考试日期]=表成绩单[[#This Row],[考试日期]])*(表成绩单[政治]&lt;9E+307)*(表成绩单[政治]&gt;表成绩单[[#This Row],[政治]]))+1)</f>
        <v>751</v>
      </c>
      <c r="V3154" s="29" cm="1">
        <f t="array" ref="V3154">IF(表成绩单[[#This Row],[历史]]="","",SUMPRODUCT((表成绩单[考试日期]=表成绩单[[#This Row],[考试日期]])*(表成绩单[历史]&lt;9E+307)*(表成绩单[历史]&gt;表成绩单[[#This Row],[历史]]))+1)</f>
        <v>686</v>
      </c>
      <c r="W3154" s="29" cm="1">
        <f t="array" ref="W3154">IF(表成绩单[[#This Row],[总分]]="","",SUMPRODUCT((表成绩单[考试日期]=表成绩单[[#This Row],[考试日期]])*(表成绩单[总分]&lt;9E+307)*(表成绩单[总分]&gt;表成绩单[[#This Row],[总分]]))+1)</f>
        <v>747</v>
      </c>
    </row>
    <row r="3155" ht="28" customHeight="1" spans="4:23">
      <c r="D3155" s="31">
        <v>46108</v>
      </c>
      <c r="E3155" s="29">
        <v>19173770</v>
      </c>
      <c r="F3155" s="29" t="s">
        <v>65</v>
      </c>
      <c r="G3155" s="29" t="s">
        <v>837</v>
      </c>
      <c r="H3155" s="29">
        <v>60</v>
      </c>
      <c r="I3155" s="29">
        <v>50</v>
      </c>
      <c r="J3155" s="29">
        <v>65</v>
      </c>
      <c r="K3155" s="29">
        <v>46</v>
      </c>
      <c r="L3155" s="29">
        <v>32</v>
      </c>
      <c r="M3155" s="29">
        <v>54</v>
      </c>
      <c r="N3155" s="29">
        <v>52</v>
      </c>
      <c r="O3155" s="32">
        <v>359</v>
      </c>
      <c r="P3155" s="29" cm="1">
        <f t="array" ref="P3155">IF(表成绩单[[#This Row],[语文]]="","",SUMPRODUCT((表成绩单[考试日期]=表成绩单[[#This Row],[考试日期]])*(表成绩单[语文]&lt;9E+307)*(表成绩单[语文]&gt;表成绩单[[#This Row],[语文]]))+1)</f>
        <v>773</v>
      </c>
      <c r="Q3155" s="29" cm="1">
        <f t="array" ref="Q3155">IF(表成绩单[[#This Row],[数学]]="","",SUMPRODUCT((表成绩单[考试日期]=表成绩单[[#This Row],[考试日期]])*(表成绩单[数学]&lt;9E+307)*(表成绩单[数学]&gt;表成绩单[[#This Row],[数学]]))+1)</f>
        <v>739</v>
      </c>
      <c r="R3155" s="29" cm="1">
        <f t="array" ref="R3155">IF(表成绩单[[#This Row],[英语]]="","",SUMPRODUCT((表成绩单[考试日期]=表成绩单[[#This Row],[考试日期]])*(表成绩单[英语]&lt;9E+307)*(表成绩单[英语]&gt;表成绩单[[#This Row],[英语]]))+1)</f>
        <v>603</v>
      </c>
      <c r="S3155" s="29" cm="1">
        <f t="array" ref="S3155">IF(表成绩单[[#This Row],[物理]]="","",SUMPRODUCT((表成绩单[考试日期]=表成绩单[[#This Row],[考试日期]])*(表成绩单[物理]&lt;9E+307)*(表成绩单[物理]&gt;表成绩单[[#This Row],[物理]]))+1)</f>
        <v>742</v>
      </c>
      <c r="T3155" s="29" cm="1">
        <f t="array" ref="T3155">IF(表成绩单[[#This Row],[化学]]="","",SUMPRODUCT((表成绩单[考试日期]=表成绩单[[#This Row],[考试日期]])*(表成绩单[化学]&lt;9E+307)*(表成绩单[化学]&gt;表成绩单[[#This Row],[化学]]))+1)</f>
        <v>759</v>
      </c>
      <c r="U3155" s="29" cm="1">
        <f t="array" ref="U3155">IF(表成绩单[[#This Row],[政治]]="","",SUMPRODUCT((表成绩单[考试日期]=表成绩单[[#This Row],[考试日期]])*(表成绩单[政治]&lt;9E+307)*(表成绩单[政治]&gt;表成绩单[[#This Row],[政治]]))+1)</f>
        <v>745</v>
      </c>
      <c r="V3155" s="29" cm="1">
        <f t="array" ref="V3155">IF(表成绩单[[#This Row],[历史]]="","",SUMPRODUCT((表成绩单[考试日期]=表成绩单[[#This Row],[考试日期]])*(表成绩单[历史]&lt;9E+307)*(表成绩单[历史]&gt;表成绩单[[#This Row],[历史]]))+1)</f>
        <v>757</v>
      </c>
      <c r="W3155" s="29" cm="1">
        <f t="array" ref="W3155">IF(表成绩单[[#This Row],[总分]]="","",SUMPRODUCT((表成绩单[考试日期]=表成绩单[[#This Row],[考试日期]])*(表成绩单[总分]&lt;9E+307)*(表成绩单[总分]&gt;表成绩单[[#This Row],[总分]]))+1)</f>
        <v>748</v>
      </c>
    </row>
    <row r="3156" ht="28" customHeight="1" spans="4:23">
      <c r="D3156" s="31">
        <v>46108</v>
      </c>
      <c r="E3156" s="29">
        <v>19175607</v>
      </c>
      <c r="F3156" s="29" t="s">
        <v>57</v>
      </c>
      <c r="G3156" s="29" t="s">
        <v>769</v>
      </c>
      <c r="H3156" s="29">
        <v>67</v>
      </c>
      <c r="I3156" s="29">
        <v>46</v>
      </c>
      <c r="J3156" s="29">
        <v>61</v>
      </c>
      <c r="K3156" s="29">
        <v>53</v>
      </c>
      <c r="L3156" s="29">
        <v>35</v>
      </c>
      <c r="M3156" s="29">
        <v>47</v>
      </c>
      <c r="N3156" s="29">
        <v>50</v>
      </c>
      <c r="O3156" s="32">
        <v>359</v>
      </c>
      <c r="P3156" s="29" cm="1">
        <f t="array" ref="P3156">IF(表成绩单[[#This Row],[语文]]="","",SUMPRODUCT((表成绩单[考试日期]=表成绩单[[#This Row],[考试日期]])*(表成绩单[语文]&lt;9E+307)*(表成绩单[语文]&gt;表成绩单[[#This Row],[语文]]))+1)</f>
        <v>752</v>
      </c>
      <c r="Q3156" s="29" cm="1">
        <f t="array" ref="Q3156">IF(表成绩单[[#This Row],[数学]]="","",SUMPRODUCT((表成绩单[考试日期]=表成绩单[[#This Row],[考试日期]])*(表成绩单[数学]&lt;9E+307)*(表成绩单[数学]&gt;表成绩单[[#This Row],[数学]]))+1)</f>
        <v>751</v>
      </c>
      <c r="R3156" s="29" cm="1">
        <f t="array" ref="R3156">IF(表成绩单[[#This Row],[英语]]="","",SUMPRODUCT((表成绩单[考试日期]=表成绩单[[#This Row],[考试日期]])*(表成绩单[英语]&lt;9E+307)*(表成绩单[英语]&gt;表成绩单[[#This Row],[英语]]))+1)</f>
        <v>644</v>
      </c>
      <c r="S3156" s="29" cm="1">
        <f t="array" ref="S3156">IF(表成绩单[[#This Row],[物理]]="","",SUMPRODUCT((表成绩单[考试日期]=表成绩单[[#This Row],[考试日期]])*(表成绩单[物理]&lt;9E+307)*(表成绩单[物理]&gt;表成绩单[[#This Row],[物理]]))+1)</f>
        <v>711</v>
      </c>
      <c r="T3156" s="29" cm="1">
        <f t="array" ref="T3156">IF(表成绩单[[#This Row],[化学]]="","",SUMPRODUCT((表成绩单[考试日期]=表成绩单[[#This Row],[考试日期]])*(表成绩单[化学]&lt;9E+307)*(表成绩单[化学]&gt;表成绩单[[#This Row],[化学]]))+1)</f>
        <v>747</v>
      </c>
      <c r="U3156" s="29" cm="1">
        <f t="array" ref="U3156">IF(表成绩单[[#This Row],[政治]]="","",SUMPRODUCT((表成绩单[考试日期]=表成绩单[[#This Row],[考试日期]])*(表成绩单[政治]&lt;9E+307)*(表成绩单[政治]&gt;表成绩单[[#This Row],[政治]]))+1)</f>
        <v>767</v>
      </c>
      <c r="V3156" s="29" cm="1">
        <f t="array" ref="V3156">IF(表成绩单[[#This Row],[历史]]="","",SUMPRODUCT((表成绩单[考试日期]=表成绩单[[#This Row],[考试日期]])*(表成绩单[历史]&lt;9E+307)*(表成绩单[历史]&gt;表成绩单[[#This Row],[历史]]))+1)</f>
        <v>765</v>
      </c>
      <c r="W3156" s="29" cm="1">
        <f t="array" ref="W3156">IF(表成绩单[[#This Row],[总分]]="","",SUMPRODUCT((表成绩单[考试日期]=表成绩单[[#This Row],[考试日期]])*(表成绩单[总分]&lt;9E+307)*(表成绩单[总分]&gt;表成绩单[[#This Row],[总分]]))+1)</f>
        <v>748</v>
      </c>
    </row>
    <row r="3157" ht="28" customHeight="1" spans="4:23">
      <c r="D3157" s="31">
        <v>46108</v>
      </c>
      <c r="E3157" s="29">
        <v>26753945</v>
      </c>
      <c r="F3157" s="29" t="s">
        <v>57</v>
      </c>
      <c r="G3157" s="29" t="s">
        <v>863</v>
      </c>
      <c r="H3157" s="29">
        <v>70</v>
      </c>
      <c r="I3157" s="29">
        <v>47</v>
      </c>
      <c r="J3157" s="29">
        <v>26.5</v>
      </c>
      <c r="K3157" s="29">
        <v>53</v>
      </c>
      <c r="L3157" s="29">
        <v>42</v>
      </c>
      <c r="M3157" s="29">
        <v>52</v>
      </c>
      <c r="N3157" s="29">
        <v>66</v>
      </c>
      <c r="O3157" s="32">
        <v>356.5</v>
      </c>
      <c r="P3157" s="29" cm="1">
        <f t="array" ref="P3157">IF(表成绩单[[#This Row],[语文]]="","",SUMPRODUCT((表成绩单[考试日期]=表成绩单[[#This Row],[考试日期]])*(表成绩单[语文]&lt;9E+307)*(表成绩单[语文]&gt;表成绩单[[#This Row],[语文]]))+1)</f>
        <v>742</v>
      </c>
      <c r="Q3157" s="29" cm="1">
        <f t="array" ref="Q3157">IF(表成绩单[[#This Row],[数学]]="","",SUMPRODUCT((表成绩单[考试日期]=表成绩单[[#This Row],[考试日期]])*(表成绩单[数学]&lt;9E+307)*(表成绩单[数学]&gt;表成绩单[[#This Row],[数学]]))+1)</f>
        <v>749</v>
      </c>
      <c r="R3157" s="29" cm="1">
        <f t="array" ref="R3157">IF(表成绩单[[#This Row],[英语]]="","",SUMPRODUCT((表成绩单[考试日期]=表成绩单[[#This Row],[考试日期]])*(表成绩单[英语]&lt;9E+307)*(表成绩单[英语]&gt;表成绩单[[#This Row],[英语]]))+1)</f>
        <v>767</v>
      </c>
      <c r="S3157" s="29" cm="1">
        <f t="array" ref="S3157">IF(表成绩单[[#This Row],[物理]]="","",SUMPRODUCT((表成绩单[考试日期]=表成绩单[[#This Row],[考试日期]])*(表成绩单[物理]&lt;9E+307)*(表成绩单[物理]&gt;表成绩单[[#This Row],[物理]]))+1)</f>
        <v>711</v>
      </c>
      <c r="T3157" s="29" cm="1">
        <f t="array" ref="T3157">IF(表成绩单[[#This Row],[化学]]="","",SUMPRODUCT((表成绩单[考试日期]=表成绩单[[#This Row],[考试日期]])*(表成绩单[化学]&lt;9E+307)*(表成绩单[化学]&gt;表成绩单[[#This Row],[化学]]))+1)</f>
        <v>716</v>
      </c>
      <c r="U3157" s="29" cm="1">
        <f t="array" ref="U3157">IF(表成绩单[[#This Row],[政治]]="","",SUMPRODUCT((表成绩单[考试日期]=表成绩单[[#This Row],[考试日期]])*(表成绩单[政治]&lt;9E+307)*(表成绩单[政治]&gt;表成绩单[[#This Row],[政治]]))+1)</f>
        <v>754</v>
      </c>
      <c r="V3157" s="29" cm="1">
        <f t="array" ref="V3157">IF(表成绩单[[#This Row],[历史]]="","",SUMPRODUCT((表成绩单[考试日期]=表成绩单[[#This Row],[考试日期]])*(表成绩单[历史]&lt;9E+307)*(表成绩单[历史]&gt;表成绩单[[#This Row],[历史]]))+1)</f>
        <v>637</v>
      </c>
      <c r="W3157" s="29" cm="1">
        <f t="array" ref="W3157">IF(表成绩单[[#This Row],[总分]]="","",SUMPRODUCT((表成绩单[考试日期]=表成绩单[[#This Row],[考试日期]])*(表成绩单[总分]&lt;9E+307)*(表成绩单[总分]&gt;表成绩单[[#This Row],[总分]]))+1)</f>
        <v>750</v>
      </c>
    </row>
    <row r="3158" ht="28" customHeight="1" spans="4:23">
      <c r="D3158" s="31">
        <v>46108</v>
      </c>
      <c r="E3158" s="29">
        <v>19175312</v>
      </c>
      <c r="F3158" s="29" t="s">
        <v>55</v>
      </c>
      <c r="G3158" s="29" t="s">
        <v>822</v>
      </c>
      <c r="H3158" s="29">
        <v>81</v>
      </c>
      <c r="I3158" s="29">
        <v>76</v>
      </c>
      <c r="J3158" s="29">
        <v>19</v>
      </c>
      <c r="K3158" s="29">
        <v>33</v>
      </c>
      <c r="L3158" s="29">
        <v>37</v>
      </c>
      <c r="M3158" s="29">
        <v>56</v>
      </c>
      <c r="N3158" s="29">
        <v>54</v>
      </c>
      <c r="O3158" s="32">
        <v>356</v>
      </c>
      <c r="P3158" s="29" cm="1">
        <f t="array" ref="P3158">IF(表成绩单[[#This Row],[语文]]="","",SUMPRODUCT((表成绩单[考试日期]=表成绩单[[#This Row],[考试日期]])*(表成绩单[语文]&lt;9E+307)*(表成绩单[语文]&gt;表成绩单[[#This Row],[语文]]))+1)</f>
        <v>669</v>
      </c>
      <c r="Q3158" s="29" cm="1">
        <f t="array" ref="Q3158">IF(表成绩单[[#This Row],[数学]]="","",SUMPRODUCT((表成绩单[考试日期]=表成绩单[[#This Row],[考试日期]])*(表成绩单[数学]&lt;9E+307)*(表成绩单[数学]&gt;表成绩单[[#This Row],[数学]]))+1)</f>
        <v>625</v>
      </c>
      <c r="R3158" s="29" cm="1">
        <f t="array" ref="R3158">IF(表成绩单[[#This Row],[英语]]="","",SUMPRODUCT((表成绩单[考试日期]=表成绩单[[#This Row],[考试日期]])*(表成绩单[英语]&lt;9E+307)*(表成绩单[英语]&gt;表成绩单[[#This Row],[英语]]))+1)</f>
        <v>778</v>
      </c>
      <c r="S3158" s="29" cm="1">
        <f t="array" ref="S3158">IF(表成绩单[[#This Row],[物理]]="","",SUMPRODUCT((表成绩单[考试日期]=表成绩单[[#This Row],[考试日期]])*(表成绩单[物理]&lt;9E+307)*(表成绩单[物理]&gt;表成绩单[[#This Row],[物理]]))+1)</f>
        <v>775</v>
      </c>
      <c r="T3158" s="29" cm="1">
        <f t="array" ref="T3158">IF(表成绩单[[#This Row],[化学]]="","",SUMPRODUCT((表成绩单[考试日期]=表成绩单[[#This Row],[考试日期]])*(表成绩单[化学]&lt;9E+307)*(表成绩单[化学]&gt;表成绩单[[#This Row],[化学]]))+1)</f>
        <v>739</v>
      </c>
      <c r="U3158" s="29" cm="1">
        <f t="array" ref="U3158">IF(表成绩单[[#This Row],[政治]]="","",SUMPRODUCT((表成绩单[考试日期]=表成绩单[[#This Row],[考试日期]])*(表成绩单[政治]&lt;9E+307)*(表成绩单[政治]&gt;表成绩单[[#This Row],[政治]]))+1)</f>
        <v>737</v>
      </c>
      <c r="V3158" s="29" cm="1">
        <f t="array" ref="V3158">IF(表成绩单[[#This Row],[历史]]="","",SUMPRODUCT((表成绩单[考试日期]=表成绩单[[#This Row],[考试日期]])*(表成绩单[历史]&lt;9E+307)*(表成绩单[历史]&gt;表成绩单[[#This Row],[历史]]))+1)</f>
        <v>748</v>
      </c>
      <c r="W3158" s="29" cm="1">
        <f t="array" ref="W3158">IF(表成绩单[[#This Row],[总分]]="","",SUMPRODUCT((表成绩单[考试日期]=表成绩单[[#This Row],[考试日期]])*(表成绩单[总分]&lt;9E+307)*(表成绩单[总分]&gt;表成绩单[[#This Row],[总分]]))+1)</f>
        <v>751</v>
      </c>
    </row>
    <row r="3159" ht="28" customHeight="1" spans="4:23">
      <c r="D3159" s="31">
        <v>46108</v>
      </c>
      <c r="E3159" s="29">
        <v>19172657</v>
      </c>
      <c r="F3159" s="29" t="s">
        <v>60</v>
      </c>
      <c r="G3159" s="29" t="s">
        <v>829</v>
      </c>
      <c r="H3159" s="29">
        <v>78</v>
      </c>
      <c r="I3159" s="29">
        <v>42</v>
      </c>
      <c r="J3159" s="29">
        <v>36</v>
      </c>
      <c r="K3159" s="29">
        <v>38</v>
      </c>
      <c r="L3159" s="29">
        <v>31</v>
      </c>
      <c r="M3159" s="29">
        <v>47</v>
      </c>
      <c r="N3159" s="29">
        <v>81</v>
      </c>
      <c r="O3159" s="32">
        <v>353</v>
      </c>
      <c r="P3159" s="29" cm="1">
        <f t="array" ref="P3159">IF(表成绩单[[#This Row],[语文]]="","",SUMPRODUCT((表成绩单[考试日期]=表成绩单[[#This Row],[考试日期]])*(表成绩单[语文]&lt;9E+307)*(表成绩单[语文]&gt;表成绩单[[#This Row],[语文]]))+1)</f>
        <v>700</v>
      </c>
      <c r="Q3159" s="29" cm="1">
        <f t="array" ref="Q3159">IF(表成绩单[[#This Row],[数学]]="","",SUMPRODUCT((表成绩单[考试日期]=表成绩单[[#This Row],[考试日期]])*(表成绩单[数学]&lt;9E+307)*(表成绩单[数学]&gt;表成绩单[[#This Row],[数学]]))+1)</f>
        <v>757</v>
      </c>
      <c r="R3159" s="29" cm="1">
        <f t="array" ref="R3159">IF(表成绩单[[#This Row],[英语]]="","",SUMPRODUCT((表成绩单[考试日期]=表成绩单[[#This Row],[考试日期]])*(表成绩单[英语]&lt;9E+307)*(表成绩单[英语]&gt;表成绩单[[#This Row],[英语]]))+1)</f>
        <v>749</v>
      </c>
      <c r="S3159" s="29" cm="1">
        <f t="array" ref="S3159">IF(表成绩单[[#This Row],[物理]]="","",SUMPRODUCT((表成绩单[考试日期]=表成绩单[[#This Row],[考试日期]])*(表成绩单[物理]&lt;9E+307)*(表成绩单[物理]&gt;表成绩单[[#This Row],[物理]]))+1)</f>
        <v>768</v>
      </c>
      <c r="T3159" s="29" cm="1">
        <f t="array" ref="T3159">IF(表成绩单[[#This Row],[化学]]="","",SUMPRODUCT((表成绩单[考试日期]=表成绩单[[#This Row],[考试日期]])*(表成绩单[化学]&lt;9E+307)*(表成绩单[化学]&gt;表成绩单[[#This Row],[化学]]))+1)</f>
        <v>761</v>
      </c>
      <c r="U3159" s="29" cm="1">
        <f t="array" ref="U3159">IF(表成绩单[[#This Row],[政治]]="","",SUMPRODUCT((表成绩单[考试日期]=表成绩单[[#This Row],[考试日期]])*(表成绩单[政治]&lt;9E+307)*(表成绩单[政治]&gt;表成绩单[[#This Row],[政治]]))+1)</f>
        <v>767</v>
      </c>
      <c r="V3159" s="29" cm="1">
        <f t="array" ref="V3159">IF(表成绩单[[#This Row],[历史]]="","",SUMPRODUCT((表成绩单[考试日期]=表成绩单[[#This Row],[考试日期]])*(表成绩单[历史]&lt;9E+307)*(表成绩单[历史]&gt;表成绩单[[#This Row],[历史]]))+1)</f>
        <v>106</v>
      </c>
      <c r="W3159" s="29" cm="1">
        <f t="array" ref="W3159">IF(表成绩单[[#This Row],[总分]]="","",SUMPRODUCT((表成绩单[考试日期]=表成绩单[[#This Row],[考试日期]])*(表成绩单[总分]&lt;9E+307)*(表成绩单[总分]&gt;表成绩单[[#This Row],[总分]]))+1)</f>
        <v>752</v>
      </c>
    </row>
    <row r="3160" ht="28" customHeight="1" spans="4:23">
      <c r="D3160" s="31">
        <v>46108</v>
      </c>
      <c r="E3160" s="29">
        <v>19175328</v>
      </c>
      <c r="F3160" s="29" t="s">
        <v>55</v>
      </c>
      <c r="G3160" s="29" t="s">
        <v>848</v>
      </c>
      <c r="H3160" s="29">
        <v>71</v>
      </c>
      <c r="I3160" s="29">
        <v>39</v>
      </c>
      <c r="J3160" s="29">
        <v>28.5</v>
      </c>
      <c r="K3160" s="29">
        <v>46</v>
      </c>
      <c r="L3160" s="29">
        <v>51</v>
      </c>
      <c r="M3160" s="29">
        <v>56</v>
      </c>
      <c r="N3160" s="29">
        <v>61</v>
      </c>
      <c r="O3160" s="32">
        <v>352.5</v>
      </c>
      <c r="P3160" s="29" cm="1">
        <f t="array" ref="P3160">IF(表成绩单[[#This Row],[语文]]="","",SUMPRODUCT((表成绩单[考试日期]=表成绩单[[#This Row],[考试日期]])*(表成绩单[语文]&lt;9E+307)*(表成绩单[语文]&gt;表成绩单[[#This Row],[语文]]))+1)</f>
        <v>737</v>
      </c>
      <c r="Q3160" s="29" cm="1">
        <f t="array" ref="Q3160">IF(表成绩单[[#This Row],[数学]]="","",SUMPRODUCT((表成绩单[考试日期]=表成绩单[[#This Row],[考试日期]])*(表成绩单[数学]&lt;9E+307)*(表成绩单[数学]&gt;表成绩单[[#This Row],[数学]]))+1)</f>
        <v>762</v>
      </c>
      <c r="R3160" s="29" cm="1">
        <f t="array" ref="R3160">IF(表成绩单[[#This Row],[英语]]="","",SUMPRODUCT((表成绩单[考试日期]=表成绩单[[#This Row],[考试日期]])*(表成绩单[英语]&lt;9E+307)*(表成绩单[英语]&gt;表成绩单[[#This Row],[英语]]))+1)</f>
        <v>765</v>
      </c>
      <c r="S3160" s="29" cm="1">
        <f t="array" ref="S3160">IF(表成绩单[[#This Row],[物理]]="","",SUMPRODUCT((表成绩单[考试日期]=表成绩单[[#This Row],[考试日期]])*(表成绩单[物理]&lt;9E+307)*(表成绩单[物理]&gt;表成绩单[[#This Row],[物理]]))+1)</f>
        <v>742</v>
      </c>
      <c r="T3160" s="29" cm="1">
        <f t="array" ref="T3160">IF(表成绩单[[#This Row],[化学]]="","",SUMPRODUCT((表成绩单[考试日期]=表成绩单[[#This Row],[考试日期]])*(表成绩单[化学]&lt;9E+307)*(表成绩单[化学]&gt;表成绩单[[#This Row],[化学]]))+1)</f>
        <v>622</v>
      </c>
      <c r="U3160" s="29" cm="1">
        <f t="array" ref="U3160">IF(表成绩单[[#This Row],[政治]]="","",SUMPRODUCT((表成绩单[考试日期]=表成绩单[[#This Row],[考试日期]])*(表成绩单[政治]&lt;9E+307)*(表成绩单[政治]&gt;表成绩单[[#This Row],[政治]]))+1)</f>
        <v>737</v>
      </c>
      <c r="V3160" s="29" cm="1">
        <f t="array" ref="V3160">IF(表成绩单[[#This Row],[历史]]="","",SUMPRODUCT((表成绩单[考试日期]=表成绩单[[#This Row],[考试日期]])*(表成绩单[历史]&lt;9E+307)*(表成绩单[历史]&gt;表成绩单[[#This Row],[历史]]))+1)</f>
        <v>707</v>
      </c>
      <c r="W3160" s="29" cm="1">
        <f t="array" ref="W3160">IF(表成绩单[[#This Row],[总分]]="","",SUMPRODUCT((表成绩单[考试日期]=表成绩单[[#This Row],[考试日期]])*(表成绩单[总分]&lt;9E+307)*(表成绩单[总分]&gt;表成绩单[[#This Row],[总分]]))+1)</f>
        <v>753</v>
      </c>
    </row>
    <row r="3161" ht="28" customHeight="1" spans="4:23">
      <c r="D3161" s="31">
        <v>46108</v>
      </c>
      <c r="E3161" s="29">
        <v>19177599</v>
      </c>
      <c r="F3161" s="29" t="s">
        <v>58</v>
      </c>
      <c r="G3161" s="29" t="s">
        <v>771</v>
      </c>
      <c r="H3161" s="29">
        <v>62</v>
      </c>
      <c r="I3161" s="29">
        <v>48</v>
      </c>
      <c r="J3161" s="29">
        <v>49</v>
      </c>
      <c r="K3161" s="29">
        <v>51</v>
      </c>
      <c r="L3161" s="29">
        <v>23</v>
      </c>
      <c r="M3161" s="29">
        <v>58</v>
      </c>
      <c r="N3161" s="29">
        <v>52</v>
      </c>
      <c r="O3161" s="32">
        <v>343</v>
      </c>
      <c r="P3161" s="29" cm="1">
        <f t="array" ref="P3161">IF(表成绩单[[#This Row],[语文]]="","",SUMPRODUCT((表成绩单[考试日期]=表成绩单[[#This Row],[考试日期]])*(表成绩单[语文]&lt;9E+307)*(表成绩单[语文]&gt;表成绩单[[#This Row],[语文]]))+1)</f>
        <v>770</v>
      </c>
      <c r="Q3161" s="29" cm="1">
        <f t="array" ref="Q3161">IF(表成绩单[[#This Row],[数学]]="","",SUMPRODUCT((表成绩单[考试日期]=表成绩单[[#This Row],[考试日期]])*(表成绩单[数学]&lt;9E+307)*(表成绩单[数学]&gt;表成绩单[[#This Row],[数学]]))+1)</f>
        <v>746</v>
      </c>
      <c r="R3161" s="29" cm="1">
        <f t="array" ref="R3161">IF(表成绩单[[#This Row],[英语]]="","",SUMPRODUCT((表成绩单[考试日期]=表成绩单[[#This Row],[考试日期]])*(表成绩单[英语]&lt;9E+307)*(表成绩单[英语]&gt;表成绩单[[#This Row],[英语]]))+1)</f>
        <v>714</v>
      </c>
      <c r="S3161" s="29" cm="1">
        <f t="array" ref="S3161">IF(表成绩单[[#This Row],[物理]]="","",SUMPRODUCT((表成绩单[考试日期]=表成绩单[[#This Row],[考试日期]])*(表成绩单[物理]&lt;9E+307)*(表成绩单[物理]&gt;表成绩单[[#This Row],[物理]]))+1)</f>
        <v>724</v>
      </c>
      <c r="T3161" s="29" cm="1">
        <f t="array" ref="T3161">IF(表成绩单[[#This Row],[化学]]="","",SUMPRODUCT((表成绩单[考试日期]=表成绩单[[#This Row],[考试日期]])*(表成绩单[化学]&lt;9E+307)*(表成绩单[化学]&gt;表成绩单[[#This Row],[化学]]))+1)</f>
        <v>780</v>
      </c>
      <c r="U3161" s="29" cm="1">
        <f t="array" ref="U3161">IF(表成绩单[[#This Row],[政治]]="","",SUMPRODUCT((表成绩单[考试日期]=表成绩单[[#This Row],[考试日期]])*(表成绩单[政治]&lt;9E+307)*(表成绩单[政治]&gt;表成绩单[[#This Row],[政治]]))+1)</f>
        <v>726</v>
      </c>
      <c r="V3161" s="29" cm="1">
        <f t="array" ref="V3161">IF(表成绩单[[#This Row],[历史]]="","",SUMPRODUCT((表成绩单[考试日期]=表成绩单[[#This Row],[考试日期]])*(表成绩单[历史]&lt;9E+307)*(表成绩单[历史]&gt;表成绩单[[#This Row],[历史]]))+1)</f>
        <v>757</v>
      </c>
      <c r="W3161" s="29" cm="1">
        <f t="array" ref="W3161">IF(表成绩单[[#This Row],[总分]]="","",SUMPRODUCT((表成绩单[考试日期]=表成绩单[[#This Row],[考试日期]])*(表成绩单[总分]&lt;9E+307)*(表成绩单[总分]&gt;表成绩单[[#This Row],[总分]]))+1)</f>
        <v>754</v>
      </c>
    </row>
    <row r="3162" ht="28" customHeight="1" spans="4:23">
      <c r="D3162" s="31">
        <v>46108</v>
      </c>
      <c r="E3162" s="29">
        <v>19177609</v>
      </c>
      <c r="F3162" s="29" t="s">
        <v>58</v>
      </c>
      <c r="G3162" s="29" t="s">
        <v>864</v>
      </c>
      <c r="H3162" s="29">
        <v>69</v>
      </c>
      <c r="I3162" s="29">
        <v>36</v>
      </c>
      <c r="J3162" s="29">
        <v>55</v>
      </c>
      <c r="K3162" s="29">
        <v>42</v>
      </c>
      <c r="L3162" s="29">
        <v>37</v>
      </c>
      <c r="M3162" s="29">
        <v>54</v>
      </c>
      <c r="N3162" s="29">
        <v>50</v>
      </c>
      <c r="O3162" s="32">
        <v>343</v>
      </c>
      <c r="P3162" s="29" cm="1">
        <f t="array" ref="P3162">IF(表成绩单[[#This Row],[语文]]="","",SUMPRODUCT((表成绩单[考试日期]=表成绩单[[#This Row],[考试日期]])*(表成绩单[语文]&lt;9E+307)*(表成绩单[语文]&gt;表成绩单[[#This Row],[语文]]))+1)</f>
        <v>746</v>
      </c>
      <c r="Q3162" s="29" cm="1">
        <f t="array" ref="Q3162">IF(表成绩单[[#This Row],[数学]]="","",SUMPRODUCT((表成绩单[考试日期]=表成绩单[[#This Row],[考试日期]])*(表成绩单[数学]&lt;9E+307)*(表成绩单[数学]&gt;表成绩单[[#This Row],[数学]]))+1)</f>
        <v>769</v>
      </c>
      <c r="R3162" s="29" cm="1">
        <f t="array" ref="R3162">IF(表成绩单[[#This Row],[英语]]="","",SUMPRODUCT((表成绩单[考试日期]=表成绩单[[#This Row],[考试日期]])*(表成绩单[英语]&lt;9E+307)*(表成绩单[英语]&gt;表成绩单[[#This Row],[英语]]))+1)</f>
        <v>686</v>
      </c>
      <c r="S3162" s="29" cm="1">
        <f t="array" ref="S3162">IF(表成绩单[[#This Row],[物理]]="","",SUMPRODUCT((表成绩单[考试日期]=表成绩单[[#This Row],[考试日期]])*(表成绩单[物理]&lt;9E+307)*(表成绩单[物理]&gt;表成绩单[[#This Row],[物理]]))+1)</f>
        <v>755</v>
      </c>
      <c r="T3162" s="29" cm="1">
        <f t="array" ref="T3162">IF(表成绩单[[#This Row],[化学]]="","",SUMPRODUCT((表成绩单[考试日期]=表成绩单[[#This Row],[考试日期]])*(表成绩单[化学]&lt;9E+307)*(表成绩单[化学]&gt;表成绩单[[#This Row],[化学]]))+1)</f>
        <v>739</v>
      </c>
      <c r="U3162" s="29" cm="1">
        <f t="array" ref="U3162">IF(表成绩单[[#This Row],[政治]]="","",SUMPRODUCT((表成绩单[考试日期]=表成绩单[[#This Row],[考试日期]])*(表成绩单[政治]&lt;9E+307)*(表成绩单[政治]&gt;表成绩单[[#This Row],[政治]]))+1)</f>
        <v>745</v>
      </c>
      <c r="V3162" s="29" cm="1">
        <f t="array" ref="V3162">IF(表成绩单[[#This Row],[历史]]="","",SUMPRODUCT((表成绩单[考试日期]=表成绩单[[#This Row],[考试日期]])*(表成绩单[历史]&lt;9E+307)*(表成绩单[历史]&gt;表成绩单[[#This Row],[历史]]))+1)</f>
        <v>765</v>
      </c>
      <c r="W3162" s="29" cm="1">
        <f t="array" ref="W3162">IF(表成绩单[[#This Row],[总分]]="","",SUMPRODUCT((表成绩单[考试日期]=表成绩单[[#This Row],[考试日期]])*(表成绩单[总分]&lt;9E+307)*(表成绩单[总分]&gt;表成绩单[[#This Row],[总分]]))+1)</f>
        <v>754</v>
      </c>
    </row>
    <row r="3163" ht="28" customHeight="1" spans="4:23">
      <c r="D3163" s="31">
        <v>46108</v>
      </c>
      <c r="E3163" s="29">
        <v>19173271</v>
      </c>
      <c r="F3163" s="29" t="s">
        <v>61</v>
      </c>
      <c r="G3163" s="29" t="s">
        <v>824</v>
      </c>
      <c r="H3163" s="29">
        <v>76</v>
      </c>
      <c r="I3163" s="29">
        <v>33</v>
      </c>
      <c r="J3163" s="29">
        <v>57</v>
      </c>
      <c r="K3163" s="29">
        <v>34</v>
      </c>
      <c r="L3163" s="29">
        <v>29</v>
      </c>
      <c r="M3163" s="29">
        <v>63</v>
      </c>
      <c r="N3163" s="29">
        <v>47</v>
      </c>
      <c r="O3163" s="32">
        <v>339</v>
      </c>
      <c r="P3163" s="29" cm="1">
        <f t="array" ref="P3163">IF(表成绩单[[#This Row],[语文]]="","",SUMPRODUCT((表成绩单[考试日期]=表成绩单[[#This Row],[考试日期]])*(表成绩单[语文]&lt;9E+307)*(表成绩单[语文]&gt;表成绩单[[#This Row],[语文]]))+1)</f>
        <v>713</v>
      </c>
      <c r="Q3163" s="29" cm="1">
        <f t="array" ref="Q3163">IF(表成绩单[[#This Row],[数学]]="","",SUMPRODUCT((表成绩单[考试日期]=表成绩单[[#This Row],[考试日期]])*(表成绩单[数学]&lt;9E+307)*(表成绩单[数学]&gt;表成绩单[[#This Row],[数学]]))+1)</f>
        <v>771</v>
      </c>
      <c r="R3163" s="29" cm="1">
        <f t="array" ref="R3163">IF(表成绩单[[#This Row],[英语]]="","",SUMPRODUCT((表成绩单[考试日期]=表成绩单[[#This Row],[考试日期]])*(表成绩单[英语]&lt;9E+307)*(表成绩单[英语]&gt;表成绩单[[#This Row],[英语]]))+1)</f>
        <v>675</v>
      </c>
      <c r="S3163" s="29" cm="1">
        <f t="array" ref="S3163">IF(表成绩单[[#This Row],[物理]]="","",SUMPRODUCT((表成绩单[考试日期]=表成绩单[[#This Row],[考试日期]])*(表成绩单[物理]&lt;9E+307)*(表成绩单[物理]&gt;表成绩单[[#This Row],[物理]]))+1)</f>
        <v>773</v>
      </c>
      <c r="T3163" s="29" cm="1">
        <f t="array" ref="T3163">IF(表成绩单[[#This Row],[化学]]="","",SUMPRODUCT((表成绩单[考试日期]=表成绩单[[#This Row],[考试日期]])*(表成绩单[化学]&lt;9E+307)*(表成绩单[化学]&gt;表成绩单[[#This Row],[化学]]))+1)</f>
        <v>766</v>
      </c>
      <c r="U3163" s="29" cm="1">
        <f t="array" ref="U3163">IF(表成绩单[[#This Row],[政治]]="","",SUMPRODUCT((表成绩单[考试日期]=表成绩单[[#This Row],[考试日期]])*(表成绩单[政治]&lt;9E+307)*(表成绩单[政治]&gt;表成绩单[[#This Row],[政治]]))+1)</f>
        <v>680</v>
      </c>
      <c r="V3163" s="29" cm="1">
        <f t="array" ref="V3163">IF(表成绩单[[#This Row],[历史]]="","",SUMPRODUCT((表成绩单[考试日期]=表成绩单[[#This Row],[考试日期]])*(表成绩单[历史]&lt;9E+307)*(表成绩单[历史]&gt;表成绩单[[#This Row],[历史]]))+1)</f>
        <v>770</v>
      </c>
      <c r="W3163" s="29" cm="1">
        <f t="array" ref="W3163">IF(表成绩单[[#This Row],[总分]]="","",SUMPRODUCT((表成绩单[考试日期]=表成绩单[[#This Row],[考试日期]])*(表成绩单[总分]&lt;9E+307)*(表成绩单[总分]&gt;表成绩单[[#This Row],[总分]]))+1)</f>
        <v>756</v>
      </c>
    </row>
    <row r="3164" ht="28" customHeight="1" spans="4:23">
      <c r="D3164" s="31">
        <v>46108</v>
      </c>
      <c r="E3164" s="29">
        <v>19178577</v>
      </c>
      <c r="F3164" s="29" t="s">
        <v>64</v>
      </c>
      <c r="G3164" s="29" t="s">
        <v>816</v>
      </c>
      <c r="H3164" s="29">
        <v>66</v>
      </c>
      <c r="I3164" s="29">
        <v>64</v>
      </c>
      <c r="J3164" s="29">
        <v>19.5</v>
      </c>
      <c r="K3164" s="29">
        <v>48</v>
      </c>
      <c r="L3164" s="29">
        <v>34</v>
      </c>
      <c r="M3164" s="29">
        <v>46</v>
      </c>
      <c r="N3164" s="29">
        <v>59</v>
      </c>
      <c r="O3164" s="32">
        <v>336.5</v>
      </c>
      <c r="P3164" s="29" cm="1">
        <f t="array" ref="P3164">IF(表成绩单[[#This Row],[语文]]="","",SUMPRODUCT((表成绩单[考试日期]=表成绩单[[#This Row],[考试日期]])*(表成绩单[语文]&lt;9E+307)*(表成绩单[语文]&gt;表成绩单[[#This Row],[语文]]))+1)</f>
        <v>759</v>
      </c>
      <c r="Q3164" s="29" cm="1">
        <f t="array" ref="Q3164">IF(表成绩单[[#This Row],[数学]]="","",SUMPRODUCT((表成绩单[考试日期]=表成绩单[[#This Row],[考试日期]])*(表成绩单[数学]&lt;9E+307)*(表成绩单[数学]&gt;表成绩单[[#This Row],[数学]]))+1)</f>
        <v>690</v>
      </c>
      <c r="R3164" s="29" cm="1">
        <f t="array" ref="R3164">IF(表成绩单[[#This Row],[英语]]="","",SUMPRODUCT((表成绩单[考试日期]=表成绩单[[#This Row],[考试日期]])*(表成绩单[英语]&lt;9E+307)*(表成绩单[英语]&gt;表成绩单[[#This Row],[英语]]))+1)</f>
        <v>776</v>
      </c>
      <c r="S3164" s="29" cm="1">
        <f t="array" ref="S3164">IF(表成绩单[[#This Row],[物理]]="","",SUMPRODUCT((表成绩单[考试日期]=表成绩单[[#This Row],[考试日期]])*(表成绩单[物理]&lt;9E+307)*(表成绩单[物理]&gt;表成绩单[[#This Row],[物理]]))+1)</f>
        <v>735</v>
      </c>
      <c r="T3164" s="29" cm="1">
        <f t="array" ref="T3164">IF(表成绩单[[#This Row],[化学]]="","",SUMPRODUCT((表成绩单[考试日期]=表成绩单[[#This Row],[考试日期]])*(表成绩单[化学]&lt;9E+307)*(表成绩单[化学]&gt;表成绩单[[#This Row],[化学]]))+1)</f>
        <v>754</v>
      </c>
      <c r="U3164" s="29" cm="1">
        <f t="array" ref="U3164">IF(表成绩单[[#This Row],[政治]]="","",SUMPRODUCT((表成绩单[考试日期]=表成绩单[[#This Row],[考试日期]])*(表成绩单[政治]&lt;9E+307)*(表成绩单[政治]&gt;表成绩单[[#This Row],[政治]]))+1)</f>
        <v>771</v>
      </c>
      <c r="V3164" s="29" cm="1">
        <f t="array" ref="V3164">IF(表成绩单[[#This Row],[历史]]="","",SUMPRODUCT((表成绩单[考试日期]=表成绩单[[#This Row],[考试日期]])*(表成绩单[历史]&lt;9E+307)*(表成绩单[历史]&gt;表成绩单[[#This Row],[历史]]))+1)</f>
        <v>724</v>
      </c>
      <c r="W3164" s="29" cm="1">
        <f t="array" ref="W3164">IF(表成绩单[[#This Row],[总分]]="","",SUMPRODUCT((表成绩单[考试日期]=表成绩单[[#This Row],[考试日期]])*(表成绩单[总分]&lt;9E+307)*(表成绩单[总分]&gt;表成绩单[[#This Row],[总分]]))+1)</f>
        <v>757</v>
      </c>
    </row>
    <row r="3165" ht="28" customHeight="1" spans="4:23">
      <c r="D3165" s="31">
        <v>46108</v>
      </c>
      <c r="E3165" s="29">
        <v>19176013</v>
      </c>
      <c r="F3165" s="29" t="s">
        <v>59</v>
      </c>
      <c r="G3165" s="29" t="s">
        <v>840</v>
      </c>
      <c r="H3165" s="29">
        <v>57</v>
      </c>
      <c r="I3165" s="29">
        <v>45</v>
      </c>
      <c r="J3165" s="29">
        <v>24</v>
      </c>
      <c r="K3165" s="29">
        <v>51</v>
      </c>
      <c r="L3165" s="29">
        <v>53</v>
      </c>
      <c r="M3165" s="29">
        <v>50</v>
      </c>
      <c r="N3165" s="29">
        <v>54</v>
      </c>
      <c r="O3165" s="32">
        <v>334</v>
      </c>
      <c r="P3165" s="29" cm="1">
        <f t="array" ref="P3165">IF(表成绩单[[#This Row],[语文]]="","",SUMPRODUCT((表成绩单[考试日期]=表成绩单[[#This Row],[考试日期]])*(表成绩单[语文]&lt;9E+307)*(表成绩单[语文]&gt;表成绩单[[#This Row],[语文]]))+1)</f>
        <v>779</v>
      </c>
      <c r="Q3165" s="29" cm="1">
        <f t="array" ref="Q3165">IF(表成绩单[[#This Row],[数学]]="","",SUMPRODUCT((表成绩单[考试日期]=表成绩单[[#This Row],[考试日期]])*(表成绩单[数学]&lt;9E+307)*(表成绩单[数学]&gt;表成绩单[[#This Row],[数学]]))+1)</f>
        <v>753</v>
      </c>
      <c r="R3165" s="29" cm="1">
        <f t="array" ref="R3165">IF(表成绩单[[#This Row],[英语]]="","",SUMPRODUCT((表成绩单[考试日期]=表成绩单[[#This Row],[考试日期]])*(表成绩单[英语]&lt;9E+307)*(表成绩单[英语]&gt;表成绩单[[#This Row],[英语]]))+1)</f>
        <v>770</v>
      </c>
      <c r="S3165" s="29" cm="1">
        <f t="array" ref="S3165">IF(表成绩单[[#This Row],[物理]]="","",SUMPRODUCT((表成绩单[考试日期]=表成绩单[[#This Row],[考试日期]])*(表成绩单[物理]&lt;9E+307)*(表成绩单[物理]&gt;表成绩单[[#This Row],[物理]]))+1)</f>
        <v>724</v>
      </c>
      <c r="T3165" s="29" cm="1">
        <f t="array" ref="T3165">IF(表成绩单[[#This Row],[化学]]="","",SUMPRODUCT((表成绩单[考试日期]=表成绩单[[#This Row],[考试日期]])*(表成绩单[化学]&lt;9E+307)*(表成绩单[化学]&gt;表成绩单[[#This Row],[化学]]))+1)</f>
        <v>601</v>
      </c>
      <c r="U3165" s="29" cm="1">
        <f t="array" ref="U3165">IF(表成绩单[[#This Row],[政治]]="","",SUMPRODUCT((表成绩单[考试日期]=表成绩单[[#This Row],[考试日期]])*(表成绩单[政治]&lt;9E+307)*(表成绩单[政治]&gt;表成绩单[[#This Row],[政治]]))+1)</f>
        <v>760</v>
      </c>
      <c r="V3165" s="29" cm="1">
        <f t="array" ref="V3165">IF(表成绩单[[#This Row],[历史]]="","",SUMPRODUCT((表成绩单[考试日期]=表成绩单[[#This Row],[考试日期]])*(表成绩单[历史]&lt;9E+307)*(表成绩单[历史]&gt;表成绩单[[#This Row],[历史]]))+1)</f>
        <v>748</v>
      </c>
      <c r="W3165" s="29" cm="1">
        <f t="array" ref="W3165">IF(表成绩单[[#This Row],[总分]]="","",SUMPRODUCT((表成绩单[考试日期]=表成绩单[[#This Row],[考试日期]])*(表成绩单[总分]&lt;9E+307)*(表成绩单[总分]&gt;表成绩单[[#This Row],[总分]]))+1)</f>
        <v>758</v>
      </c>
    </row>
    <row r="3166" ht="28" customHeight="1" spans="4:23">
      <c r="D3166" s="31">
        <v>46108</v>
      </c>
      <c r="E3166" s="29">
        <v>19177622</v>
      </c>
      <c r="F3166" s="29" t="s">
        <v>58</v>
      </c>
      <c r="G3166" s="29" t="s">
        <v>832</v>
      </c>
      <c r="H3166" s="29">
        <v>66</v>
      </c>
      <c r="I3166" s="29">
        <v>48</v>
      </c>
      <c r="J3166" s="29">
        <v>19.5</v>
      </c>
      <c r="K3166" s="29">
        <v>49</v>
      </c>
      <c r="L3166" s="29">
        <v>48</v>
      </c>
      <c r="M3166" s="29">
        <v>45</v>
      </c>
      <c r="N3166" s="29">
        <v>58</v>
      </c>
      <c r="O3166" s="32">
        <v>333.5</v>
      </c>
      <c r="P3166" s="29" cm="1">
        <f t="array" ref="P3166">IF(表成绩单[[#This Row],[语文]]="","",SUMPRODUCT((表成绩单[考试日期]=表成绩单[[#This Row],[考试日期]])*(表成绩单[语文]&lt;9E+307)*(表成绩单[语文]&gt;表成绩单[[#This Row],[语文]]))+1)</f>
        <v>759</v>
      </c>
      <c r="Q3166" s="29" cm="1">
        <f t="array" ref="Q3166">IF(表成绩单[[#This Row],[数学]]="","",SUMPRODUCT((表成绩单[考试日期]=表成绩单[[#This Row],[考试日期]])*(表成绩单[数学]&lt;9E+307)*(表成绩单[数学]&gt;表成绩单[[#This Row],[数学]]))+1)</f>
        <v>746</v>
      </c>
      <c r="R3166" s="29" cm="1">
        <f t="array" ref="R3166">IF(表成绩单[[#This Row],[英语]]="","",SUMPRODUCT((表成绩单[考试日期]=表成绩单[[#This Row],[考试日期]])*(表成绩单[英语]&lt;9E+307)*(表成绩单[英语]&gt;表成绩单[[#This Row],[英语]]))+1)</f>
        <v>776</v>
      </c>
      <c r="S3166" s="29" cm="1">
        <f t="array" ref="S3166">IF(表成绩单[[#This Row],[物理]]="","",SUMPRODUCT((表成绩单[考试日期]=表成绩单[[#This Row],[考试日期]])*(表成绩单[物理]&lt;9E+307)*(表成绩单[物理]&gt;表成绩单[[#This Row],[物理]]))+1)</f>
        <v>730</v>
      </c>
      <c r="T3166" s="29" cm="1">
        <f t="array" ref="T3166">IF(表成绩单[[#This Row],[化学]]="","",SUMPRODUCT((表成绩单[考试日期]=表成绩单[[#This Row],[考试日期]])*(表成绩单[化学]&lt;9E+307)*(表成绩单[化学]&gt;表成绩单[[#This Row],[化学]]))+1)</f>
        <v>654</v>
      </c>
      <c r="U3166" s="29" cm="1">
        <f t="array" ref="U3166">IF(表成绩单[[#This Row],[政治]]="","",SUMPRODUCT((表成绩单[考试日期]=表成绩单[[#This Row],[考试日期]])*(表成绩单[政治]&lt;9E+307)*(表成绩单[政治]&gt;表成绩单[[#This Row],[政治]]))+1)</f>
        <v>776</v>
      </c>
      <c r="V3166" s="29" cm="1">
        <f t="array" ref="V3166">IF(表成绩单[[#This Row],[历史]]="","",SUMPRODUCT((表成绩单[考试日期]=表成绩单[[#This Row],[考试日期]])*(表成绩单[历史]&lt;9E+307)*(表成绩单[历史]&gt;表成绩单[[#This Row],[历史]]))+1)</f>
        <v>730</v>
      </c>
      <c r="W3166" s="29" cm="1">
        <f t="array" ref="W3166">IF(表成绩单[[#This Row],[总分]]="","",SUMPRODUCT((表成绩单[考试日期]=表成绩单[[#This Row],[考试日期]])*(表成绩单[总分]&lt;9E+307)*(表成绩单[总分]&gt;表成绩单[[#This Row],[总分]]))+1)</f>
        <v>759</v>
      </c>
    </row>
    <row r="3167" ht="28" customHeight="1" spans="4:23">
      <c r="D3167" s="31">
        <v>46108</v>
      </c>
      <c r="E3167" s="29">
        <v>19177674</v>
      </c>
      <c r="F3167" s="29" t="s">
        <v>63</v>
      </c>
      <c r="G3167" s="29" t="s">
        <v>856</v>
      </c>
      <c r="H3167" s="29">
        <v>59</v>
      </c>
      <c r="I3167" s="29">
        <v>52</v>
      </c>
      <c r="J3167" s="29">
        <v>15</v>
      </c>
      <c r="K3167" s="29">
        <v>41</v>
      </c>
      <c r="L3167" s="29">
        <v>43</v>
      </c>
      <c r="M3167" s="29">
        <v>59</v>
      </c>
      <c r="N3167" s="29">
        <v>60</v>
      </c>
      <c r="O3167" s="32">
        <v>329</v>
      </c>
      <c r="P3167" s="29" cm="1">
        <f t="array" ref="P3167">IF(表成绩单[[#This Row],[语文]]="","",SUMPRODUCT((表成绩单[考试日期]=表成绩单[[#This Row],[考试日期]])*(表成绩单[语文]&lt;9E+307)*(表成绩单[语文]&gt;表成绩单[[#This Row],[语文]]))+1)</f>
        <v>774</v>
      </c>
      <c r="Q3167" s="29" cm="1">
        <f t="array" ref="Q3167">IF(表成绩单[[#This Row],[数学]]="","",SUMPRODUCT((表成绩单[考试日期]=表成绩单[[#This Row],[考试日期]])*(表成绩单[数学]&lt;9E+307)*(表成绩单[数学]&gt;表成绩单[[#This Row],[数学]]))+1)</f>
        <v>736</v>
      </c>
      <c r="R3167" s="29" cm="1">
        <f t="array" ref="R3167">IF(表成绩单[[#This Row],[英语]]="","",SUMPRODUCT((表成绩单[考试日期]=表成绩单[[#This Row],[考试日期]])*(表成绩单[英语]&lt;9E+307)*(表成绩单[英语]&gt;表成绩单[[#This Row],[英语]]))+1)</f>
        <v>781</v>
      </c>
      <c r="S3167" s="29" cm="1">
        <f t="array" ref="S3167">IF(表成绩单[[#This Row],[物理]]="","",SUMPRODUCT((表成绩单[考试日期]=表成绩单[[#This Row],[考试日期]])*(表成绩单[物理]&lt;9E+307)*(表成绩单[物理]&gt;表成绩单[[#This Row],[物理]]))+1)</f>
        <v>756</v>
      </c>
      <c r="T3167" s="29" cm="1">
        <f t="array" ref="T3167">IF(表成绩单[[#This Row],[化学]]="","",SUMPRODUCT((表成绩单[考试日期]=表成绩单[[#This Row],[考试日期]])*(表成绩单[化学]&lt;9E+307)*(表成绩单[化学]&gt;表成绩单[[#This Row],[化学]]))+1)</f>
        <v>706</v>
      </c>
      <c r="U3167" s="29" cm="1">
        <f t="array" ref="U3167">IF(表成绩单[[#This Row],[政治]]="","",SUMPRODUCT((表成绩单[考试日期]=表成绩单[[#This Row],[考试日期]])*(表成绩单[政治]&lt;9E+307)*(表成绩单[政治]&gt;表成绩单[[#This Row],[政治]]))+1)</f>
        <v>720</v>
      </c>
      <c r="V3167" s="29" cm="1">
        <f t="array" ref="V3167">IF(表成绩单[[#This Row],[历史]]="","",SUMPRODUCT((表成绩单[考试日期]=表成绩单[[#This Row],[考试日期]])*(表成绩单[历史]&lt;9E+307)*(表成绩单[历史]&gt;表成绩单[[#This Row],[历史]]))+1)</f>
        <v>715</v>
      </c>
      <c r="W3167" s="29" cm="1">
        <f t="array" ref="W3167">IF(表成绩单[[#This Row],[总分]]="","",SUMPRODUCT((表成绩单[考试日期]=表成绩单[[#This Row],[考试日期]])*(表成绩单[总分]&lt;9E+307)*(表成绩单[总分]&gt;表成绩单[[#This Row],[总分]]))+1)</f>
        <v>760</v>
      </c>
    </row>
    <row r="3168" ht="28" customHeight="1" spans="4:23">
      <c r="D3168" s="31">
        <v>46108</v>
      </c>
      <c r="E3168" s="29">
        <v>19177620</v>
      </c>
      <c r="F3168" s="29" t="s">
        <v>58</v>
      </c>
      <c r="G3168" s="29" t="s">
        <v>830</v>
      </c>
      <c r="H3168" s="29">
        <v>79</v>
      </c>
      <c r="I3168" s="29">
        <v>50</v>
      </c>
      <c r="J3168" s="29">
        <v>33</v>
      </c>
      <c r="K3168" s="29">
        <v>43</v>
      </c>
      <c r="L3168" s="29">
        <v>23</v>
      </c>
      <c r="M3168" s="29">
        <v>46</v>
      </c>
      <c r="N3168" s="29">
        <v>54</v>
      </c>
      <c r="O3168" s="32">
        <v>328</v>
      </c>
      <c r="P3168" s="29" cm="1">
        <f t="array" ref="P3168">IF(表成绩单[[#This Row],[语文]]="","",SUMPRODUCT((表成绩单[考试日期]=表成绩单[[#This Row],[考试日期]])*(表成绩单[语文]&lt;9E+307)*(表成绩单[语文]&gt;表成绩单[[#This Row],[语文]]))+1)</f>
        <v>690</v>
      </c>
      <c r="Q3168" s="29" cm="1">
        <f t="array" ref="Q3168">IF(表成绩单[[#This Row],[数学]]="","",SUMPRODUCT((表成绩单[考试日期]=表成绩单[[#This Row],[考试日期]])*(表成绩单[数学]&lt;9E+307)*(表成绩单[数学]&gt;表成绩单[[#This Row],[数学]]))+1)</f>
        <v>739</v>
      </c>
      <c r="R3168" s="29" cm="1">
        <f t="array" ref="R3168">IF(表成绩单[[#This Row],[英语]]="","",SUMPRODUCT((表成绩单[考试日期]=表成绩单[[#This Row],[考试日期]])*(表成绩单[英语]&lt;9E+307)*(表成绩单[英语]&gt;表成绩单[[#This Row],[英语]]))+1)</f>
        <v>758</v>
      </c>
      <c r="S3168" s="29" cm="1">
        <f t="array" ref="S3168">IF(表成绩单[[#This Row],[物理]]="","",SUMPRODUCT((表成绩单[考试日期]=表成绩单[[#This Row],[考试日期]])*(表成绩单[物理]&lt;9E+307)*(表成绩单[物理]&gt;表成绩单[[#This Row],[物理]]))+1)</f>
        <v>753</v>
      </c>
      <c r="T3168" s="29" cm="1">
        <f t="array" ref="T3168">IF(表成绩单[[#This Row],[化学]]="","",SUMPRODUCT((表成绩单[考试日期]=表成绩单[[#This Row],[考试日期]])*(表成绩单[化学]&lt;9E+307)*(表成绩单[化学]&gt;表成绩单[[#This Row],[化学]]))+1)</f>
        <v>780</v>
      </c>
      <c r="U3168" s="29" cm="1">
        <f t="array" ref="U3168">IF(表成绩单[[#This Row],[政治]]="","",SUMPRODUCT((表成绩单[考试日期]=表成绩单[[#This Row],[考试日期]])*(表成绩单[政治]&lt;9E+307)*(表成绩单[政治]&gt;表成绩单[[#This Row],[政治]]))+1)</f>
        <v>771</v>
      </c>
      <c r="V3168" s="29" cm="1">
        <f t="array" ref="V3168">IF(表成绩单[[#This Row],[历史]]="","",SUMPRODUCT((表成绩单[考试日期]=表成绩单[[#This Row],[考试日期]])*(表成绩单[历史]&lt;9E+307)*(表成绩单[历史]&gt;表成绩单[[#This Row],[历史]]))+1)</f>
        <v>748</v>
      </c>
      <c r="W3168" s="29" cm="1">
        <f t="array" ref="W3168">IF(表成绩单[[#This Row],[总分]]="","",SUMPRODUCT((表成绩单[考试日期]=表成绩单[[#This Row],[考试日期]])*(表成绩单[总分]&lt;9E+307)*(表成绩单[总分]&gt;表成绩单[[#This Row],[总分]]))+1)</f>
        <v>761</v>
      </c>
    </row>
    <row r="3169" ht="28" customHeight="1" spans="4:23">
      <c r="D3169" s="31">
        <v>46108</v>
      </c>
      <c r="E3169" s="29">
        <v>19175592</v>
      </c>
      <c r="F3169" s="29" t="s">
        <v>57</v>
      </c>
      <c r="G3169" s="29" t="s">
        <v>875</v>
      </c>
      <c r="H3169" s="29">
        <v>58</v>
      </c>
      <c r="I3169" s="29">
        <v>53</v>
      </c>
      <c r="J3169" s="29">
        <v>22.5</v>
      </c>
      <c r="K3169" s="29">
        <v>32</v>
      </c>
      <c r="L3169" s="29">
        <v>37</v>
      </c>
      <c r="M3169" s="29">
        <v>59</v>
      </c>
      <c r="N3169" s="29">
        <v>66</v>
      </c>
      <c r="O3169" s="32">
        <v>327.5</v>
      </c>
      <c r="P3169" s="29" cm="1">
        <f t="array" ref="P3169">IF(表成绩单[[#This Row],[语文]]="","",SUMPRODUCT((表成绩单[考试日期]=表成绩单[[#This Row],[考试日期]])*(表成绩单[语文]&lt;9E+307)*(表成绩单[语文]&gt;表成绩单[[#This Row],[语文]]))+1)</f>
        <v>776</v>
      </c>
      <c r="Q3169" s="29" cm="1">
        <f t="array" ref="Q3169">IF(表成绩单[[#This Row],[数学]]="","",SUMPRODUCT((表成绩单[考试日期]=表成绩单[[#This Row],[考试日期]])*(表成绩单[数学]&lt;9E+307)*(表成绩单[数学]&gt;表成绩单[[#This Row],[数学]]))+1)</f>
        <v>730</v>
      </c>
      <c r="R3169" s="29" cm="1">
        <f t="array" ref="R3169">IF(表成绩单[[#This Row],[英语]]="","",SUMPRODUCT((表成绩单[考试日期]=表成绩单[[#This Row],[考试日期]])*(表成绩单[英语]&lt;9E+307)*(表成绩单[英语]&gt;表成绩单[[#This Row],[英语]]))+1)</f>
        <v>774</v>
      </c>
      <c r="S3169" s="29" cm="1">
        <f t="array" ref="S3169">IF(表成绩单[[#This Row],[物理]]="","",SUMPRODUCT((表成绩单[考试日期]=表成绩单[[#This Row],[考试日期]])*(表成绩单[物理]&lt;9E+307)*(表成绩单[物理]&gt;表成绩单[[#This Row],[物理]]))+1)</f>
        <v>776</v>
      </c>
      <c r="T3169" s="29" cm="1">
        <f t="array" ref="T3169">IF(表成绩单[[#This Row],[化学]]="","",SUMPRODUCT((表成绩单[考试日期]=表成绩单[[#This Row],[考试日期]])*(表成绩单[化学]&lt;9E+307)*(表成绩单[化学]&gt;表成绩单[[#This Row],[化学]]))+1)</f>
        <v>739</v>
      </c>
      <c r="U3169" s="29" cm="1">
        <f t="array" ref="U3169">IF(表成绩单[[#This Row],[政治]]="","",SUMPRODUCT((表成绩单[考试日期]=表成绩单[[#This Row],[考试日期]])*(表成绩单[政治]&lt;9E+307)*(表成绩单[政治]&gt;表成绩单[[#This Row],[政治]]))+1)</f>
        <v>720</v>
      </c>
      <c r="V3169" s="29" cm="1">
        <f t="array" ref="V3169">IF(表成绩单[[#This Row],[历史]]="","",SUMPRODUCT((表成绩单[考试日期]=表成绩单[[#This Row],[考试日期]])*(表成绩单[历史]&lt;9E+307)*(表成绩单[历史]&gt;表成绩单[[#This Row],[历史]]))+1)</f>
        <v>637</v>
      </c>
      <c r="W3169" s="29" cm="1">
        <f t="array" ref="W3169">IF(表成绩单[[#This Row],[总分]]="","",SUMPRODUCT((表成绩单[考试日期]=表成绩单[[#This Row],[考试日期]])*(表成绩单[总分]&lt;9E+307)*(表成绩单[总分]&gt;表成绩单[[#This Row],[总分]]))+1)</f>
        <v>762</v>
      </c>
    </row>
    <row r="3170" ht="28" customHeight="1" spans="4:23">
      <c r="D3170" s="31">
        <v>46108</v>
      </c>
      <c r="E3170" s="29">
        <v>19178646</v>
      </c>
      <c r="F3170" s="29" t="s">
        <v>25</v>
      </c>
      <c r="G3170" s="29" t="s">
        <v>821</v>
      </c>
      <c r="H3170" s="29">
        <v>76</v>
      </c>
      <c r="I3170" s="29">
        <v>63</v>
      </c>
      <c r="J3170" s="29">
        <v>52</v>
      </c>
      <c r="K3170" s="29">
        <v>40</v>
      </c>
      <c r="L3170" s="29">
        <v>41</v>
      </c>
      <c r="M3170" s="29">
        <v>13</v>
      </c>
      <c r="N3170" s="29">
        <v>42</v>
      </c>
      <c r="O3170" s="32">
        <v>327</v>
      </c>
      <c r="P3170" s="29" cm="1">
        <f t="array" ref="P3170">IF(表成绩单[[#This Row],[语文]]="","",SUMPRODUCT((表成绩单[考试日期]=表成绩单[[#This Row],[考试日期]])*(表成绩单[语文]&lt;9E+307)*(表成绩单[语文]&gt;表成绩单[[#This Row],[语文]]))+1)</f>
        <v>713</v>
      </c>
      <c r="Q3170" s="29" cm="1">
        <f t="array" ref="Q3170">IF(表成绩单[[#This Row],[数学]]="","",SUMPRODUCT((表成绩单[考试日期]=表成绩单[[#This Row],[考试日期]])*(表成绩单[数学]&lt;9E+307)*(表成绩单[数学]&gt;表成绩单[[#This Row],[数学]]))+1)</f>
        <v>695</v>
      </c>
      <c r="R3170" s="29" cm="1">
        <f t="array" ref="R3170">IF(表成绩单[[#This Row],[英语]]="","",SUMPRODUCT((表成绩单[考试日期]=表成绩单[[#This Row],[考试日期]])*(表成绩单[英语]&lt;9E+307)*(表成绩单[英语]&gt;表成绩单[[#This Row],[英语]]))+1)</f>
        <v>705</v>
      </c>
      <c r="S3170" s="29" cm="1">
        <f t="array" ref="S3170">IF(表成绩单[[#This Row],[物理]]="","",SUMPRODUCT((表成绩单[考试日期]=表成绩单[[#This Row],[考试日期]])*(表成绩单[物理]&lt;9E+307)*(表成绩单[物理]&gt;表成绩单[[#This Row],[物理]]))+1)</f>
        <v>762</v>
      </c>
      <c r="T3170" s="29" cm="1">
        <f t="array" ref="T3170">IF(表成绩单[[#This Row],[化学]]="","",SUMPRODUCT((表成绩单[考试日期]=表成绩单[[#This Row],[考试日期]])*(表成绩单[化学]&lt;9E+307)*(表成绩单[化学]&gt;表成绩单[[#This Row],[化学]]))+1)</f>
        <v>723</v>
      </c>
      <c r="U3170" s="29" cm="1">
        <f t="array" ref="U3170">IF(表成绩单[[#This Row],[政治]]="","",SUMPRODUCT((表成绩单[考试日期]=表成绩单[[#This Row],[考试日期]])*(表成绩单[政治]&lt;9E+307)*(表成绩单[政治]&gt;表成绩单[[#This Row],[政治]]))+1)</f>
        <v>783</v>
      </c>
      <c r="V3170" s="29" cm="1">
        <f t="array" ref="V3170">IF(表成绩单[[#This Row],[历史]]="","",SUMPRODUCT((表成绩单[考试日期]=表成绩单[[#This Row],[考试日期]])*(表成绩单[历史]&lt;9E+307)*(表成绩单[历史]&gt;表成绩单[[#This Row],[历史]]))+1)</f>
        <v>779</v>
      </c>
      <c r="W3170" s="29" cm="1">
        <f t="array" ref="W3170">IF(表成绩单[[#This Row],[总分]]="","",SUMPRODUCT((表成绩单[考试日期]=表成绩单[[#This Row],[考试日期]])*(表成绩单[总分]&lt;9E+307)*(表成绩单[总分]&gt;表成绩单[[#This Row],[总分]]))+1)</f>
        <v>763</v>
      </c>
    </row>
    <row r="3171" ht="28" customHeight="1" spans="4:23">
      <c r="D3171" s="31">
        <v>46108</v>
      </c>
      <c r="E3171" s="29">
        <v>19177621</v>
      </c>
      <c r="F3171" s="29" t="s">
        <v>58</v>
      </c>
      <c r="G3171" s="29" t="s">
        <v>836</v>
      </c>
      <c r="H3171" s="29">
        <v>65</v>
      </c>
      <c r="I3171" s="29">
        <v>49</v>
      </c>
      <c r="J3171" s="29">
        <v>23.5</v>
      </c>
      <c r="K3171" s="29">
        <v>52</v>
      </c>
      <c r="L3171" s="29">
        <v>31</v>
      </c>
      <c r="M3171" s="29">
        <v>47</v>
      </c>
      <c r="N3171" s="29">
        <v>58</v>
      </c>
      <c r="O3171" s="32">
        <v>325.5</v>
      </c>
      <c r="P3171" s="29" cm="1">
        <f t="array" ref="P3171">IF(表成绩单[[#This Row],[语文]]="","",SUMPRODUCT((表成绩单[考试日期]=表成绩单[[#This Row],[考试日期]])*(表成绩单[语文]&lt;9E+307)*(表成绩单[语文]&gt;表成绩单[[#This Row],[语文]]))+1)</f>
        <v>763</v>
      </c>
      <c r="Q3171" s="29" cm="1">
        <f t="array" ref="Q3171">IF(表成绩单[[#This Row],[数学]]="","",SUMPRODUCT((表成绩单[考试日期]=表成绩单[[#This Row],[考试日期]])*(表成绩单[数学]&lt;9E+307)*(表成绩单[数学]&gt;表成绩单[[#This Row],[数学]]))+1)</f>
        <v>744</v>
      </c>
      <c r="R3171" s="29" cm="1">
        <f t="array" ref="R3171">IF(表成绩单[[#This Row],[英语]]="","",SUMPRODUCT((表成绩单[考试日期]=表成绩单[[#This Row],[考试日期]])*(表成绩单[英语]&lt;9E+307)*(表成绩单[英语]&gt;表成绩单[[#This Row],[英语]]))+1)</f>
        <v>772</v>
      </c>
      <c r="S3171" s="29" cm="1">
        <f t="array" ref="S3171">IF(表成绩单[[#This Row],[物理]]="","",SUMPRODUCT((表成绩单[考试日期]=表成绩单[[#This Row],[考试日期]])*(表成绩单[物理]&lt;9E+307)*(表成绩单[物理]&gt;表成绩单[[#This Row],[物理]]))+1)</f>
        <v>718</v>
      </c>
      <c r="T3171" s="29" cm="1">
        <f t="array" ref="T3171">IF(表成绩单[[#This Row],[化学]]="","",SUMPRODUCT((表成绩单[考试日期]=表成绩单[[#This Row],[考试日期]])*(表成绩单[化学]&lt;9E+307)*(表成绩单[化学]&gt;表成绩单[[#This Row],[化学]]))+1)</f>
        <v>761</v>
      </c>
      <c r="U3171" s="29" cm="1">
        <f t="array" ref="U3171">IF(表成绩单[[#This Row],[政治]]="","",SUMPRODUCT((表成绩单[考试日期]=表成绩单[[#This Row],[考试日期]])*(表成绩单[政治]&lt;9E+307)*(表成绩单[政治]&gt;表成绩单[[#This Row],[政治]]))+1)</f>
        <v>767</v>
      </c>
      <c r="V3171" s="29" cm="1">
        <f t="array" ref="V3171">IF(表成绩单[[#This Row],[历史]]="","",SUMPRODUCT((表成绩单[考试日期]=表成绩单[[#This Row],[考试日期]])*(表成绩单[历史]&lt;9E+307)*(表成绩单[历史]&gt;表成绩单[[#This Row],[历史]]))+1)</f>
        <v>730</v>
      </c>
      <c r="W3171" s="29" cm="1">
        <f t="array" ref="W3171">IF(表成绩单[[#This Row],[总分]]="","",SUMPRODUCT((表成绩单[考试日期]=表成绩单[[#This Row],[考试日期]])*(表成绩单[总分]&lt;9E+307)*(表成绩单[总分]&gt;表成绩单[[#This Row],[总分]]))+1)</f>
        <v>764</v>
      </c>
    </row>
    <row r="3172" ht="28" customHeight="1" spans="4:23">
      <c r="D3172" s="31">
        <v>46108</v>
      </c>
      <c r="E3172" s="29">
        <v>19173239</v>
      </c>
      <c r="F3172" s="29" t="s">
        <v>61</v>
      </c>
      <c r="G3172" s="29" t="s">
        <v>855</v>
      </c>
      <c r="H3172" s="29">
        <v>70</v>
      </c>
      <c r="I3172" s="29">
        <v>33</v>
      </c>
      <c r="J3172" s="29">
        <v>36.5</v>
      </c>
      <c r="K3172" s="29">
        <v>41</v>
      </c>
      <c r="L3172" s="29">
        <v>43</v>
      </c>
      <c r="M3172" s="29">
        <v>53</v>
      </c>
      <c r="N3172" s="29">
        <v>47</v>
      </c>
      <c r="O3172" s="32">
        <v>323.5</v>
      </c>
      <c r="P3172" s="29" cm="1">
        <f t="array" ref="P3172">IF(表成绩单[[#This Row],[语文]]="","",SUMPRODUCT((表成绩单[考试日期]=表成绩单[[#This Row],[考试日期]])*(表成绩单[语文]&lt;9E+307)*(表成绩单[语文]&gt;表成绩单[[#This Row],[语文]]))+1)</f>
        <v>742</v>
      </c>
      <c r="Q3172" s="29" cm="1">
        <f t="array" ref="Q3172">IF(表成绩单[[#This Row],[数学]]="","",SUMPRODUCT((表成绩单[考试日期]=表成绩单[[#This Row],[考试日期]])*(表成绩单[数学]&lt;9E+307)*(表成绩单[数学]&gt;表成绩单[[#This Row],[数学]]))+1)</f>
        <v>771</v>
      </c>
      <c r="R3172" s="29" cm="1">
        <f t="array" ref="R3172">IF(表成绩单[[#This Row],[英语]]="","",SUMPRODUCT((表成绩单[考试日期]=表成绩单[[#This Row],[考试日期]])*(表成绩单[英语]&lt;9E+307)*(表成绩单[英语]&gt;表成绩单[[#This Row],[英语]]))+1)</f>
        <v>747</v>
      </c>
      <c r="S3172" s="29" cm="1">
        <f t="array" ref="S3172">IF(表成绩单[[#This Row],[物理]]="","",SUMPRODUCT((表成绩单[考试日期]=表成绩单[[#This Row],[考试日期]])*(表成绩单[物理]&lt;9E+307)*(表成绩单[物理]&gt;表成绩单[[#This Row],[物理]]))+1)</f>
        <v>756</v>
      </c>
      <c r="T3172" s="29" cm="1">
        <f t="array" ref="T3172">IF(表成绩单[[#This Row],[化学]]="","",SUMPRODUCT((表成绩单[考试日期]=表成绩单[[#This Row],[考试日期]])*(表成绩单[化学]&lt;9E+307)*(表成绩单[化学]&gt;表成绩单[[#This Row],[化学]]))+1)</f>
        <v>706</v>
      </c>
      <c r="U3172" s="29" cm="1">
        <f t="array" ref="U3172">IF(表成绩单[[#This Row],[政治]]="","",SUMPRODUCT((表成绩单[考试日期]=表成绩单[[#This Row],[考试日期]])*(表成绩单[政治]&lt;9E+307)*(表成绩单[政治]&gt;表成绩单[[#This Row],[政治]]))+1)</f>
        <v>751</v>
      </c>
      <c r="V3172" s="29" cm="1">
        <f t="array" ref="V3172">IF(表成绩单[[#This Row],[历史]]="","",SUMPRODUCT((表成绩单[考试日期]=表成绩单[[#This Row],[考试日期]])*(表成绩单[历史]&lt;9E+307)*(表成绩单[历史]&gt;表成绩单[[#This Row],[历史]]))+1)</f>
        <v>770</v>
      </c>
      <c r="W3172" s="29" cm="1">
        <f t="array" ref="W3172">IF(表成绩单[[#This Row],[总分]]="","",SUMPRODUCT((表成绩单[考试日期]=表成绩单[[#This Row],[考试日期]])*(表成绩单[总分]&lt;9E+307)*(表成绩单[总分]&gt;表成绩单[[#This Row],[总分]]))+1)</f>
        <v>765</v>
      </c>
    </row>
    <row r="3173" ht="28" customHeight="1" spans="4:23">
      <c r="D3173" s="31">
        <v>46108</v>
      </c>
      <c r="E3173" s="29">
        <v>19172637</v>
      </c>
      <c r="F3173" s="29" t="s">
        <v>60</v>
      </c>
      <c r="G3173" s="29" t="s">
        <v>865</v>
      </c>
      <c r="H3173" s="29">
        <v>62</v>
      </c>
      <c r="I3173" s="29">
        <v>29</v>
      </c>
      <c r="J3173" s="29">
        <v>48</v>
      </c>
      <c r="K3173" s="29">
        <v>39</v>
      </c>
      <c r="L3173" s="29">
        <v>34</v>
      </c>
      <c r="M3173" s="29">
        <v>49</v>
      </c>
      <c r="N3173" s="29">
        <v>57</v>
      </c>
      <c r="O3173" s="32">
        <v>318</v>
      </c>
      <c r="P3173" s="29" cm="1">
        <f t="array" ref="P3173">IF(表成绩单[[#This Row],[语文]]="","",SUMPRODUCT((表成绩单[考试日期]=表成绩单[[#This Row],[考试日期]])*(表成绩单[语文]&lt;9E+307)*(表成绩单[语文]&gt;表成绩单[[#This Row],[语文]]))+1)</f>
        <v>770</v>
      </c>
      <c r="Q3173" s="29" cm="1">
        <f t="array" ref="Q3173">IF(表成绩单[[#This Row],[数学]]="","",SUMPRODUCT((表成绩单[考试日期]=表成绩单[[#This Row],[考试日期]])*(表成绩单[数学]&lt;9E+307)*(表成绩单[数学]&gt;表成绩单[[#This Row],[数学]]))+1)</f>
        <v>776</v>
      </c>
      <c r="R3173" s="29" cm="1">
        <f t="array" ref="R3173">IF(表成绩单[[#This Row],[英语]]="","",SUMPRODUCT((表成绩单[考试日期]=表成绩单[[#This Row],[考试日期]])*(表成绩单[英语]&lt;9E+307)*(表成绩单[英语]&gt;表成绩单[[#This Row],[英语]]))+1)</f>
        <v>717</v>
      </c>
      <c r="S3173" s="29" cm="1">
        <f t="array" ref="S3173">IF(表成绩单[[#This Row],[物理]]="","",SUMPRODUCT((表成绩单[考试日期]=表成绩单[[#This Row],[考试日期]])*(表成绩单[物理]&lt;9E+307)*(表成绩单[物理]&gt;表成绩单[[#This Row],[物理]]))+1)</f>
        <v>766</v>
      </c>
      <c r="T3173" s="29" cm="1">
        <f t="array" ref="T3173">IF(表成绩单[[#This Row],[化学]]="","",SUMPRODUCT((表成绩单[考试日期]=表成绩单[[#This Row],[考试日期]])*(表成绩单[化学]&lt;9E+307)*(表成绩单[化学]&gt;表成绩单[[#This Row],[化学]]))+1)</f>
        <v>754</v>
      </c>
      <c r="U3173" s="29" cm="1">
        <f t="array" ref="U3173">IF(表成绩单[[#This Row],[政治]]="","",SUMPRODUCT((表成绩单[考试日期]=表成绩单[[#This Row],[考试日期]])*(表成绩单[政治]&lt;9E+307)*(表成绩单[政治]&gt;表成绩单[[#This Row],[政治]]))+1)</f>
        <v>763</v>
      </c>
      <c r="V3173" s="29" cm="1">
        <f t="array" ref="V3173">IF(表成绩单[[#This Row],[历史]]="","",SUMPRODUCT((表成绩单[考试日期]=表成绩单[[#This Row],[考试日期]])*(表成绩单[历史]&lt;9E+307)*(表成绩单[历史]&gt;表成绩单[[#This Row],[历史]]))+1)</f>
        <v>737</v>
      </c>
      <c r="W3173" s="29" cm="1">
        <f t="array" ref="W3173">IF(表成绩单[[#This Row],[总分]]="","",SUMPRODUCT((表成绩单[考试日期]=表成绩单[[#This Row],[考试日期]])*(表成绩单[总分]&lt;9E+307)*(表成绩单[总分]&gt;表成绩单[[#This Row],[总分]]))+1)</f>
        <v>766</v>
      </c>
    </row>
    <row r="3174" ht="28" customHeight="1" spans="4:23">
      <c r="D3174" s="31">
        <v>46108</v>
      </c>
      <c r="E3174" s="29">
        <v>19175599</v>
      </c>
      <c r="F3174" s="29" t="s">
        <v>57</v>
      </c>
      <c r="G3174" s="29" t="s">
        <v>850</v>
      </c>
      <c r="H3174" s="29">
        <v>72</v>
      </c>
      <c r="I3174" s="29">
        <v>39</v>
      </c>
      <c r="J3174" s="29">
        <v>44.5</v>
      </c>
      <c r="K3174" s="29">
        <v>38</v>
      </c>
      <c r="L3174" s="29">
        <v>25</v>
      </c>
      <c r="M3174" s="29">
        <v>53</v>
      </c>
      <c r="N3174" s="29">
        <v>45</v>
      </c>
      <c r="O3174" s="32">
        <v>316.5</v>
      </c>
      <c r="P3174" s="29" cm="1">
        <f t="array" ref="P3174">IF(表成绩单[[#This Row],[语文]]="","",SUMPRODUCT((表成绩单[考试日期]=表成绩单[[#This Row],[考试日期]])*(表成绩单[语文]&lt;9E+307)*(表成绩单[语文]&gt;表成绩单[[#This Row],[语文]]))+1)</f>
        <v>733</v>
      </c>
      <c r="Q3174" s="29" cm="1">
        <f t="array" ref="Q3174">IF(表成绩单[[#This Row],[数学]]="","",SUMPRODUCT((表成绩单[考试日期]=表成绩单[[#This Row],[考试日期]])*(表成绩单[数学]&lt;9E+307)*(表成绩单[数学]&gt;表成绩单[[#This Row],[数学]]))+1)</f>
        <v>762</v>
      </c>
      <c r="R3174" s="29" cm="1">
        <f t="array" ref="R3174">IF(表成绩单[[#This Row],[英语]]="","",SUMPRODUCT((表成绩单[考试日期]=表成绩单[[#This Row],[考试日期]])*(表成绩单[英语]&lt;9E+307)*(表成绩单[英语]&gt;表成绩单[[#This Row],[英语]]))+1)</f>
        <v>730</v>
      </c>
      <c r="S3174" s="29" cm="1">
        <f t="array" ref="S3174">IF(表成绩单[[#This Row],[物理]]="","",SUMPRODUCT((表成绩单[考试日期]=表成绩单[[#This Row],[考试日期]])*(表成绩单[物理]&lt;9E+307)*(表成绩单[物理]&gt;表成绩单[[#This Row],[物理]]))+1)</f>
        <v>768</v>
      </c>
      <c r="T3174" s="29" cm="1">
        <f t="array" ref="T3174">IF(表成绩单[[#This Row],[化学]]="","",SUMPRODUCT((表成绩单[考试日期]=表成绩单[[#This Row],[考试日期]])*(表成绩单[化学]&lt;9E+307)*(表成绩单[化学]&gt;表成绩单[[#This Row],[化学]]))+1)</f>
        <v>775</v>
      </c>
      <c r="U3174" s="29" cm="1">
        <f t="array" ref="U3174">IF(表成绩单[[#This Row],[政治]]="","",SUMPRODUCT((表成绩单[考试日期]=表成绩单[[#This Row],[考试日期]])*(表成绩单[政治]&lt;9E+307)*(表成绩单[政治]&gt;表成绩单[[#This Row],[政治]]))+1)</f>
        <v>751</v>
      </c>
      <c r="V3174" s="29" cm="1">
        <f t="array" ref="V3174">IF(表成绩单[[#This Row],[历史]]="","",SUMPRODUCT((表成绩单[考试日期]=表成绩单[[#This Row],[考试日期]])*(表成绩单[历史]&lt;9E+307)*(表成绩单[历史]&gt;表成绩单[[#This Row],[历史]]))+1)</f>
        <v>772</v>
      </c>
      <c r="W3174" s="29" cm="1">
        <f t="array" ref="W3174">IF(表成绩单[[#This Row],[总分]]="","",SUMPRODUCT((表成绩单[考试日期]=表成绩单[[#This Row],[考试日期]])*(表成绩单[总分]&lt;9E+307)*(表成绩单[总分]&gt;表成绩单[[#This Row],[总分]]))+1)</f>
        <v>767</v>
      </c>
    </row>
    <row r="3175" ht="28" customHeight="1" spans="4:23">
      <c r="D3175" s="31">
        <v>46108</v>
      </c>
      <c r="E3175" s="29">
        <v>19175984</v>
      </c>
      <c r="F3175" s="29" t="s">
        <v>59</v>
      </c>
      <c r="G3175" s="29" t="s">
        <v>810</v>
      </c>
      <c r="H3175" s="29">
        <v>66</v>
      </c>
      <c r="I3175" s="29">
        <v>41</v>
      </c>
      <c r="J3175" s="29">
        <v>29</v>
      </c>
      <c r="K3175" s="29">
        <v>40</v>
      </c>
      <c r="L3175" s="29">
        <v>29</v>
      </c>
      <c r="M3175" s="29">
        <v>50</v>
      </c>
      <c r="N3175" s="29">
        <v>59</v>
      </c>
      <c r="O3175" s="32">
        <v>314</v>
      </c>
      <c r="P3175" s="29" cm="1">
        <f t="array" ref="P3175">IF(表成绩单[[#This Row],[语文]]="","",SUMPRODUCT((表成绩单[考试日期]=表成绩单[[#This Row],[考试日期]])*(表成绩单[语文]&lt;9E+307)*(表成绩单[语文]&gt;表成绩单[[#This Row],[语文]]))+1)</f>
        <v>759</v>
      </c>
      <c r="Q3175" s="29" cm="1">
        <f t="array" ref="Q3175">IF(表成绩单[[#This Row],[数学]]="","",SUMPRODUCT((表成绩单[考试日期]=表成绩单[[#This Row],[考试日期]])*(表成绩单[数学]&lt;9E+307)*(表成绩单[数学]&gt;表成绩单[[#This Row],[数学]]))+1)</f>
        <v>760</v>
      </c>
      <c r="R3175" s="29" cm="1">
        <f t="array" ref="R3175">IF(表成绩单[[#This Row],[英语]]="","",SUMPRODUCT((表成绩单[考试日期]=表成绩单[[#This Row],[考试日期]])*(表成绩单[英语]&lt;9E+307)*(表成绩单[英语]&gt;表成绩单[[#This Row],[英语]]))+1)</f>
        <v>763</v>
      </c>
      <c r="S3175" s="29" cm="1">
        <f t="array" ref="S3175">IF(表成绩单[[#This Row],[物理]]="","",SUMPRODUCT((表成绩单[考试日期]=表成绩单[[#This Row],[考试日期]])*(表成绩单[物理]&lt;9E+307)*(表成绩单[物理]&gt;表成绩单[[#This Row],[物理]]))+1)</f>
        <v>762</v>
      </c>
      <c r="T3175" s="29" cm="1">
        <f t="array" ref="T3175">IF(表成绩单[[#This Row],[化学]]="","",SUMPRODUCT((表成绩单[考试日期]=表成绩单[[#This Row],[考试日期]])*(表成绩单[化学]&lt;9E+307)*(表成绩单[化学]&gt;表成绩单[[#This Row],[化学]]))+1)</f>
        <v>766</v>
      </c>
      <c r="U3175" s="29" cm="1">
        <f t="array" ref="U3175">IF(表成绩单[[#This Row],[政治]]="","",SUMPRODUCT((表成绩单[考试日期]=表成绩单[[#This Row],[考试日期]])*(表成绩单[政治]&lt;9E+307)*(表成绩单[政治]&gt;表成绩单[[#This Row],[政治]]))+1)</f>
        <v>760</v>
      </c>
      <c r="V3175" s="29" cm="1">
        <f t="array" ref="V3175">IF(表成绩单[[#This Row],[历史]]="","",SUMPRODUCT((表成绩单[考试日期]=表成绩单[[#This Row],[考试日期]])*(表成绩单[历史]&lt;9E+307)*(表成绩单[历史]&gt;表成绩单[[#This Row],[历史]]))+1)</f>
        <v>724</v>
      </c>
      <c r="W3175" s="29" cm="1">
        <f t="array" ref="W3175">IF(表成绩单[[#This Row],[总分]]="","",SUMPRODUCT((表成绩单[考试日期]=表成绩单[[#This Row],[考试日期]])*(表成绩单[总分]&lt;9E+307)*(表成绩单[总分]&gt;表成绩单[[#This Row],[总分]]))+1)</f>
        <v>768</v>
      </c>
    </row>
    <row r="3176" ht="28" customHeight="1" spans="4:23">
      <c r="D3176" s="31">
        <v>46108</v>
      </c>
      <c r="E3176" s="29">
        <v>36668257</v>
      </c>
      <c r="F3176" s="29" t="s">
        <v>66</v>
      </c>
      <c r="G3176" s="29" t="s">
        <v>489</v>
      </c>
      <c r="H3176" s="29">
        <v>101</v>
      </c>
      <c r="I3176" s="29"/>
      <c r="J3176" s="29">
        <v>73</v>
      </c>
      <c r="K3176" s="29">
        <v>75</v>
      </c>
      <c r="L3176" s="29">
        <v>61</v>
      </c>
      <c r="M3176" s="29"/>
      <c r="N3176" s="29"/>
      <c r="O3176" s="32">
        <v>310</v>
      </c>
      <c r="P3176" s="29" cm="1">
        <f t="array" ref="P3176">IF(表成绩单[[#This Row],[语文]]="","",SUMPRODUCT((表成绩单[考试日期]=表成绩单[[#This Row],[考试日期]])*(表成绩单[语文]&lt;9E+307)*(表成绩单[语文]&gt;表成绩单[[#This Row],[语文]]))+1)</f>
        <v>211</v>
      </c>
      <c r="Q3176" s="29" t="str" cm="1">
        <f t="array" ref="Q3176">IF(表成绩单[[#This Row],[数学]]="","",SUMPRODUCT((表成绩单[考试日期]=表成绩单[[#This Row],[考试日期]])*(表成绩单[数学]&lt;9E+307)*(表成绩单[数学]&gt;表成绩单[[#This Row],[数学]]))+1)</f>
        <v/>
      </c>
      <c r="R3176" s="29" cm="1">
        <f t="array" ref="R3176">IF(表成绩单[[#This Row],[英语]]="","",SUMPRODUCT((表成绩单[考试日期]=表成绩单[[#This Row],[考试日期]])*(表成绩单[英语]&lt;9E+307)*(表成绩单[英语]&gt;表成绩单[[#This Row],[英语]]))+1)</f>
        <v>478</v>
      </c>
      <c r="S3176" s="29" cm="1">
        <f t="array" ref="S3176">IF(表成绩单[[#This Row],[物理]]="","",SUMPRODUCT((表成绩单[考试日期]=表成绩单[[#This Row],[考试日期]])*(表成绩单[物理]&lt;9E+307)*(表成绩单[物理]&gt;表成绩单[[#This Row],[物理]]))+1)</f>
        <v>456</v>
      </c>
      <c r="T3176" s="29" cm="1">
        <f t="array" ref="T3176">IF(表成绩单[[#This Row],[化学]]="","",SUMPRODUCT((表成绩单[考试日期]=表成绩单[[#This Row],[考试日期]])*(表成绩单[化学]&lt;9E+307)*(表成绩单[化学]&gt;表成绩单[[#This Row],[化学]]))+1)</f>
        <v>467</v>
      </c>
      <c r="U3176" s="29" t="str" cm="1">
        <f t="array" ref="U3176">IF(表成绩单[[#This Row],[政治]]="","",SUMPRODUCT((表成绩单[考试日期]=表成绩单[[#This Row],[考试日期]])*(表成绩单[政治]&lt;9E+307)*(表成绩单[政治]&gt;表成绩单[[#This Row],[政治]]))+1)</f>
        <v/>
      </c>
      <c r="V3176" s="29" t="str" cm="1">
        <f t="array" ref="V3176">IF(表成绩单[[#This Row],[历史]]="","",SUMPRODUCT((表成绩单[考试日期]=表成绩单[[#This Row],[考试日期]])*(表成绩单[历史]&lt;9E+307)*(表成绩单[历史]&gt;表成绩单[[#This Row],[历史]]))+1)</f>
        <v/>
      </c>
      <c r="W3176" s="29" cm="1">
        <f t="array" ref="W3176">IF(表成绩单[[#This Row],[总分]]="","",SUMPRODUCT((表成绩单[考试日期]=表成绩单[[#This Row],[考试日期]])*(表成绩单[总分]&lt;9E+307)*(表成绩单[总分]&gt;表成绩单[[#This Row],[总分]]))+1)</f>
        <v>769</v>
      </c>
    </row>
    <row r="3177" ht="28" customHeight="1" spans="4:23">
      <c r="D3177" s="31">
        <v>46108</v>
      </c>
      <c r="E3177" s="29">
        <v>19176021</v>
      </c>
      <c r="F3177" s="29" t="s">
        <v>59</v>
      </c>
      <c r="G3177" s="29" t="s">
        <v>860</v>
      </c>
      <c r="H3177" s="29">
        <v>67</v>
      </c>
      <c r="I3177" s="29">
        <v>32</v>
      </c>
      <c r="J3177" s="29">
        <v>53</v>
      </c>
      <c r="K3177" s="29">
        <v>30</v>
      </c>
      <c r="L3177" s="29">
        <v>29</v>
      </c>
      <c r="M3177" s="29">
        <v>50</v>
      </c>
      <c r="N3177" s="29">
        <v>48</v>
      </c>
      <c r="O3177" s="32">
        <v>309</v>
      </c>
      <c r="P3177" s="29" cm="1">
        <f t="array" ref="P3177">IF(表成绩单[[#This Row],[语文]]="","",SUMPRODUCT((表成绩单[考试日期]=表成绩单[[#This Row],[考试日期]])*(表成绩单[语文]&lt;9E+307)*(表成绩单[语文]&gt;表成绩单[[#This Row],[语文]]))+1)</f>
        <v>752</v>
      </c>
      <c r="Q3177" s="29" cm="1">
        <f t="array" ref="Q3177">IF(表成绩单[[#This Row],[数学]]="","",SUMPRODUCT((表成绩单[考试日期]=表成绩单[[#This Row],[考试日期]])*(表成绩单[数学]&lt;9E+307)*(表成绩单[数学]&gt;表成绩单[[#This Row],[数学]]))+1)</f>
        <v>773</v>
      </c>
      <c r="R3177" s="29" cm="1">
        <f t="array" ref="R3177">IF(表成绩单[[#This Row],[英语]]="","",SUMPRODUCT((表成绩单[考试日期]=表成绩单[[#This Row],[考试日期]])*(表成绩单[英语]&lt;9E+307)*(表成绩单[英语]&gt;表成绩单[[#This Row],[英语]]))+1)</f>
        <v>698</v>
      </c>
      <c r="S3177" s="29" cm="1">
        <f t="array" ref="S3177">IF(表成绩单[[#This Row],[物理]]="","",SUMPRODUCT((表成绩单[考试日期]=表成绩单[[#This Row],[考试日期]])*(表成绩单[物理]&lt;9E+307)*(表成绩单[物理]&gt;表成绩单[[#This Row],[物理]]))+1)</f>
        <v>777</v>
      </c>
      <c r="T3177" s="29" cm="1">
        <f t="array" ref="T3177">IF(表成绩单[[#This Row],[化学]]="","",SUMPRODUCT((表成绩单[考试日期]=表成绩单[[#This Row],[考试日期]])*(表成绩单[化学]&lt;9E+307)*(表成绩单[化学]&gt;表成绩单[[#This Row],[化学]]))+1)</f>
        <v>766</v>
      </c>
      <c r="U3177" s="29" cm="1">
        <f t="array" ref="U3177">IF(表成绩单[[#This Row],[政治]]="","",SUMPRODUCT((表成绩单[考试日期]=表成绩单[[#This Row],[考试日期]])*(表成绩单[政治]&lt;9E+307)*(表成绩单[政治]&gt;表成绩单[[#This Row],[政治]]))+1)</f>
        <v>760</v>
      </c>
      <c r="V3177" s="29" cm="1">
        <f t="array" ref="V3177">IF(表成绩单[[#This Row],[历史]]="","",SUMPRODUCT((表成绩单[考试日期]=表成绩单[[#This Row],[考试日期]])*(表成绩单[历史]&lt;9E+307)*(表成绩单[历史]&gt;表成绩单[[#This Row],[历史]]))+1)</f>
        <v>769</v>
      </c>
      <c r="W3177" s="29" cm="1">
        <f t="array" ref="W3177">IF(表成绩单[[#This Row],[总分]]="","",SUMPRODUCT((表成绩单[考试日期]=表成绩单[[#This Row],[考试日期]])*(表成绩单[总分]&lt;9E+307)*(表成绩单[总分]&gt;表成绩单[[#This Row],[总分]]))+1)</f>
        <v>770</v>
      </c>
    </row>
    <row r="3178" ht="28" customHeight="1" spans="4:23">
      <c r="D3178" s="31">
        <v>46108</v>
      </c>
      <c r="E3178" s="29">
        <v>19175314</v>
      </c>
      <c r="F3178" s="29" t="s">
        <v>55</v>
      </c>
      <c r="G3178" s="29" t="s">
        <v>858</v>
      </c>
      <c r="H3178" s="29">
        <v>64</v>
      </c>
      <c r="I3178" s="29">
        <v>32</v>
      </c>
      <c r="J3178" s="29">
        <v>29</v>
      </c>
      <c r="K3178" s="29">
        <v>43</v>
      </c>
      <c r="L3178" s="29">
        <v>33</v>
      </c>
      <c r="M3178" s="29">
        <v>60</v>
      </c>
      <c r="N3178" s="29">
        <v>44</v>
      </c>
      <c r="O3178" s="32">
        <v>305</v>
      </c>
      <c r="P3178" s="29" cm="1">
        <f t="array" ref="P3178">IF(表成绩单[[#This Row],[语文]]="","",SUMPRODUCT((表成绩单[考试日期]=表成绩单[[#This Row],[考试日期]])*(表成绩单[语文]&lt;9E+307)*(表成绩单[语文]&gt;表成绩单[[#This Row],[语文]]))+1)</f>
        <v>765</v>
      </c>
      <c r="Q3178" s="29" cm="1">
        <f t="array" ref="Q3178">IF(表成绩单[[#This Row],[数学]]="","",SUMPRODUCT((表成绩单[考试日期]=表成绩单[[#This Row],[考试日期]])*(表成绩单[数学]&lt;9E+307)*(表成绩单[数学]&gt;表成绩单[[#This Row],[数学]]))+1)</f>
        <v>773</v>
      </c>
      <c r="R3178" s="29" cm="1">
        <f t="array" ref="R3178">IF(表成绩单[[#This Row],[英语]]="","",SUMPRODUCT((表成绩单[考试日期]=表成绩单[[#This Row],[考试日期]])*(表成绩单[英语]&lt;9E+307)*(表成绩单[英语]&gt;表成绩单[[#This Row],[英语]]))+1)</f>
        <v>763</v>
      </c>
      <c r="S3178" s="29" cm="1">
        <f t="array" ref="S3178">IF(表成绩单[[#This Row],[物理]]="","",SUMPRODUCT((表成绩单[考试日期]=表成绩单[[#This Row],[考试日期]])*(表成绩单[物理]&lt;9E+307)*(表成绩单[物理]&gt;表成绩单[[#This Row],[物理]]))+1)</f>
        <v>753</v>
      </c>
      <c r="T3178" s="29" cm="1">
        <f t="array" ref="T3178">IF(表成绩单[[#This Row],[化学]]="","",SUMPRODUCT((表成绩单[考试日期]=表成绩单[[#This Row],[考试日期]])*(表成绩单[化学]&lt;9E+307)*(表成绩单[化学]&gt;表成绩单[[#This Row],[化学]]))+1)</f>
        <v>756</v>
      </c>
      <c r="U3178" s="29" cm="1">
        <f t="array" ref="U3178">IF(表成绩单[[#This Row],[政治]]="","",SUMPRODUCT((表成绩单[考试日期]=表成绩单[[#This Row],[考试日期]])*(表成绩单[政治]&lt;9E+307)*(表成绩单[政治]&gt;表成绩单[[#This Row],[政治]]))+1)</f>
        <v>709</v>
      </c>
      <c r="V3178" s="29" cm="1">
        <f t="array" ref="V3178">IF(表成绩单[[#This Row],[历史]]="","",SUMPRODUCT((表成绩单[考试日期]=表成绩单[[#This Row],[考试日期]])*(表成绩单[历史]&lt;9E+307)*(表成绩单[历史]&gt;表成绩单[[#This Row],[历史]]))+1)</f>
        <v>778</v>
      </c>
      <c r="W3178" s="29" cm="1">
        <f t="array" ref="W3178">IF(表成绩单[[#This Row],[总分]]="","",SUMPRODUCT((表成绩单[考试日期]=表成绩单[[#This Row],[考试日期]])*(表成绩单[总分]&lt;9E+307)*(表成绩单[总分]&gt;表成绩单[[#This Row],[总分]]))+1)</f>
        <v>771</v>
      </c>
    </row>
    <row r="3179" ht="28" customHeight="1" spans="4:23">
      <c r="D3179" s="31">
        <v>46108</v>
      </c>
      <c r="E3179" s="29">
        <v>19176003</v>
      </c>
      <c r="F3179" s="29" t="s">
        <v>59</v>
      </c>
      <c r="G3179" s="29" t="s">
        <v>859</v>
      </c>
      <c r="H3179" s="29">
        <v>67</v>
      </c>
      <c r="I3179" s="29">
        <v>35</v>
      </c>
      <c r="J3179" s="29">
        <v>36</v>
      </c>
      <c r="K3179" s="29">
        <v>30</v>
      </c>
      <c r="L3179" s="29">
        <v>24</v>
      </c>
      <c r="M3179" s="29">
        <v>46</v>
      </c>
      <c r="N3179" s="29">
        <v>53</v>
      </c>
      <c r="O3179" s="32">
        <v>291</v>
      </c>
      <c r="P3179" s="29" cm="1">
        <f t="array" ref="P3179">IF(表成绩单[[#This Row],[语文]]="","",SUMPRODUCT((表成绩单[考试日期]=表成绩单[[#This Row],[考试日期]])*(表成绩单[语文]&lt;9E+307)*(表成绩单[语文]&gt;表成绩单[[#This Row],[语文]]))+1)</f>
        <v>752</v>
      </c>
      <c r="Q3179" s="29" cm="1">
        <f t="array" ref="Q3179">IF(表成绩单[[#This Row],[数学]]="","",SUMPRODUCT((表成绩单[考试日期]=表成绩单[[#This Row],[考试日期]])*(表成绩单[数学]&lt;9E+307)*(表成绩单[数学]&gt;表成绩单[[#This Row],[数学]]))+1)</f>
        <v>770</v>
      </c>
      <c r="R3179" s="29" cm="1">
        <f t="array" ref="R3179">IF(表成绩单[[#This Row],[英语]]="","",SUMPRODUCT((表成绩单[考试日期]=表成绩单[[#This Row],[考试日期]])*(表成绩单[英语]&lt;9E+307)*(表成绩单[英语]&gt;表成绩单[[#This Row],[英语]]))+1)</f>
        <v>749</v>
      </c>
      <c r="S3179" s="29" cm="1">
        <f t="array" ref="S3179">IF(表成绩单[[#This Row],[物理]]="","",SUMPRODUCT((表成绩单[考试日期]=表成绩单[[#This Row],[考试日期]])*(表成绩单[物理]&lt;9E+307)*(表成绩单[物理]&gt;表成绩单[[#This Row],[物理]]))+1)</f>
        <v>777</v>
      </c>
      <c r="T3179" s="29" cm="1">
        <f t="array" ref="T3179">IF(表成绩单[[#This Row],[化学]]="","",SUMPRODUCT((表成绩单[考试日期]=表成绩单[[#This Row],[考试日期]])*(表成绩单[化学]&lt;9E+307)*(表成绩单[化学]&gt;表成绩单[[#This Row],[化学]]))+1)</f>
        <v>777</v>
      </c>
      <c r="U3179" s="29" cm="1">
        <f t="array" ref="U3179">IF(表成绩单[[#This Row],[政治]]="","",SUMPRODUCT((表成绩单[考试日期]=表成绩单[[#This Row],[考试日期]])*(表成绩单[政治]&lt;9E+307)*(表成绩单[政治]&gt;表成绩单[[#This Row],[政治]]))+1)</f>
        <v>771</v>
      </c>
      <c r="V3179" s="29" cm="1">
        <f t="array" ref="V3179">IF(表成绩单[[#This Row],[历史]]="","",SUMPRODUCT((表成绩单[考试日期]=表成绩单[[#This Row],[考试日期]])*(表成绩单[历史]&lt;9E+307)*(表成绩单[历史]&gt;表成绩单[[#This Row],[历史]]))+1)</f>
        <v>755</v>
      </c>
      <c r="W3179" s="29" cm="1">
        <f t="array" ref="W3179">IF(表成绩单[[#This Row],[总分]]="","",SUMPRODUCT((表成绩单[考试日期]=表成绩单[[#This Row],[考试日期]])*(表成绩单[总分]&lt;9E+307)*(表成绩单[总分]&gt;表成绩单[[#This Row],[总分]]))+1)</f>
        <v>772</v>
      </c>
    </row>
    <row r="3180" ht="28" customHeight="1" spans="4:23">
      <c r="D3180" s="31">
        <v>46108</v>
      </c>
      <c r="E3180" s="29">
        <v>19173769</v>
      </c>
      <c r="F3180" s="29" t="s">
        <v>65</v>
      </c>
      <c r="G3180" s="29" t="s">
        <v>866</v>
      </c>
      <c r="H3180" s="29">
        <v>58</v>
      </c>
      <c r="I3180" s="29">
        <v>38</v>
      </c>
      <c r="J3180" s="29">
        <v>13</v>
      </c>
      <c r="K3180" s="29">
        <v>41</v>
      </c>
      <c r="L3180" s="29">
        <v>29</v>
      </c>
      <c r="M3180" s="29">
        <v>54</v>
      </c>
      <c r="N3180" s="29">
        <v>55</v>
      </c>
      <c r="O3180" s="32">
        <v>288</v>
      </c>
      <c r="P3180" s="29" cm="1">
        <f t="array" ref="P3180">IF(表成绩单[[#This Row],[语文]]="","",SUMPRODUCT((表成绩单[考试日期]=表成绩单[[#This Row],[考试日期]])*(表成绩单[语文]&lt;9E+307)*(表成绩单[语文]&gt;表成绩单[[#This Row],[语文]]))+1)</f>
        <v>776</v>
      </c>
      <c r="Q3180" s="29" cm="1">
        <f t="array" ref="Q3180">IF(表成绩单[[#This Row],[数学]]="","",SUMPRODUCT((表成绩单[考试日期]=表成绩单[[#This Row],[考试日期]])*(表成绩单[数学]&lt;9E+307)*(表成绩单[数学]&gt;表成绩单[[#This Row],[数学]]))+1)</f>
        <v>764</v>
      </c>
      <c r="R3180" s="29" cm="1">
        <f t="array" ref="R3180">IF(表成绩单[[#This Row],[英语]]="","",SUMPRODUCT((表成绩单[考试日期]=表成绩单[[#This Row],[考试日期]])*(表成绩单[英语]&lt;9E+307)*(表成绩单[英语]&gt;表成绩单[[#This Row],[英语]]))+1)</f>
        <v>784</v>
      </c>
      <c r="S3180" s="29" cm="1">
        <f t="array" ref="S3180">IF(表成绩单[[#This Row],[物理]]="","",SUMPRODUCT((表成绩单[考试日期]=表成绩单[[#This Row],[考试日期]])*(表成绩单[物理]&lt;9E+307)*(表成绩单[物理]&gt;表成绩单[[#This Row],[物理]]))+1)</f>
        <v>756</v>
      </c>
      <c r="T3180" s="29" cm="1">
        <f t="array" ref="T3180">IF(表成绩单[[#This Row],[化学]]="","",SUMPRODUCT((表成绩单[考试日期]=表成绩单[[#This Row],[考试日期]])*(表成绩单[化学]&lt;9E+307)*(表成绩单[化学]&gt;表成绩单[[#This Row],[化学]]))+1)</f>
        <v>766</v>
      </c>
      <c r="U3180" s="29" cm="1">
        <f t="array" ref="U3180">IF(表成绩单[[#This Row],[政治]]="","",SUMPRODUCT((表成绩单[考试日期]=表成绩单[[#This Row],[考试日期]])*(表成绩单[政治]&lt;9E+307)*(表成绩单[政治]&gt;表成绩单[[#This Row],[政治]]))+1)</f>
        <v>745</v>
      </c>
      <c r="V3180" s="29" cm="1">
        <f t="array" ref="V3180">IF(表成绩单[[#This Row],[历史]]="","",SUMPRODUCT((表成绩单[考试日期]=表成绩单[[#This Row],[考试日期]])*(表成绩单[历史]&lt;9E+307)*(表成绩单[历史]&gt;表成绩单[[#This Row],[历史]]))+1)</f>
        <v>742</v>
      </c>
      <c r="W3180" s="29" cm="1">
        <f t="array" ref="W3180">IF(表成绩单[[#This Row],[总分]]="","",SUMPRODUCT((表成绩单[考试日期]=表成绩单[[#This Row],[考试日期]])*(表成绩单[总分]&lt;9E+307)*(表成绩单[总分]&gt;表成绩单[[#This Row],[总分]]))+1)</f>
        <v>773</v>
      </c>
    </row>
    <row r="3181" ht="28" customHeight="1" spans="4:23">
      <c r="D3181" s="31">
        <v>46108</v>
      </c>
      <c r="E3181" s="29">
        <v>19175623</v>
      </c>
      <c r="F3181" s="29" t="s">
        <v>57</v>
      </c>
      <c r="G3181" s="29" t="s">
        <v>843</v>
      </c>
      <c r="H3181" s="29">
        <v>73</v>
      </c>
      <c r="I3181" s="29">
        <v>41</v>
      </c>
      <c r="J3181" s="29">
        <v>27.5</v>
      </c>
      <c r="K3181" s="29">
        <v>34</v>
      </c>
      <c r="L3181" s="29">
        <v>28</v>
      </c>
      <c r="M3181" s="29">
        <v>46</v>
      </c>
      <c r="N3181" s="29">
        <v>38</v>
      </c>
      <c r="O3181" s="32">
        <v>287.5</v>
      </c>
      <c r="P3181" s="29" cm="1">
        <f t="array" ref="P3181">IF(表成绩单[[#This Row],[语文]]="","",SUMPRODUCT((表成绩单[考试日期]=表成绩单[[#This Row],[考试日期]])*(表成绩单[语文]&lt;9E+307)*(表成绩单[语文]&gt;表成绩单[[#This Row],[语文]]))+1)</f>
        <v>727</v>
      </c>
      <c r="Q3181" s="29" cm="1">
        <f t="array" ref="Q3181">IF(表成绩单[[#This Row],[数学]]="","",SUMPRODUCT((表成绩单[考试日期]=表成绩单[[#This Row],[考试日期]])*(表成绩单[数学]&lt;9E+307)*(表成绩单[数学]&gt;表成绩单[[#This Row],[数学]]))+1)</f>
        <v>760</v>
      </c>
      <c r="R3181" s="29" cm="1">
        <f t="array" ref="R3181">IF(表成绩单[[#This Row],[英语]]="","",SUMPRODUCT((表成绩单[考试日期]=表成绩单[[#This Row],[考试日期]])*(表成绩单[英语]&lt;9E+307)*(表成绩单[英语]&gt;表成绩单[[#This Row],[英语]]))+1)</f>
        <v>766</v>
      </c>
      <c r="S3181" s="29" cm="1">
        <f t="array" ref="S3181">IF(表成绩单[[#This Row],[物理]]="","",SUMPRODUCT((表成绩单[考试日期]=表成绩单[[#This Row],[考试日期]])*(表成绩单[物理]&lt;9E+307)*(表成绩单[物理]&gt;表成绩单[[#This Row],[物理]]))+1)</f>
        <v>773</v>
      </c>
      <c r="T3181" s="29" cm="1">
        <f t="array" ref="T3181">IF(表成绩单[[#This Row],[化学]]="","",SUMPRODUCT((表成绩单[考试日期]=表成绩单[[#This Row],[考试日期]])*(表成绩单[化学]&lt;9E+307)*(表成绩单[化学]&gt;表成绩单[[#This Row],[化学]]))+1)</f>
        <v>771</v>
      </c>
      <c r="U3181" s="29" cm="1">
        <f t="array" ref="U3181">IF(表成绩单[[#This Row],[政治]]="","",SUMPRODUCT((表成绩单[考试日期]=表成绩单[[#This Row],[考试日期]])*(表成绩单[政治]&lt;9E+307)*(表成绩单[政治]&gt;表成绩单[[#This Row],[政治]]))+1)</f>
        <v>771</v>
      </c>
      <c r="V3181" s="29" cm="1">
        <f t="array" ref="V3181">IF(表成绩单[[#This Row],[历史]]="","",SUMPRODUCT((表成绩单[考试日期]=表成绩单[[#This Row],[考试日期]])*(表成绩单[历史]&lt;9E+307)*(表成绩单[历史]&gt;表成绩单[[#This Row],[历史]]))+1)</f>
        <v>781</v>
      </c>
      <c r="W3181" s="29" cm="1">
        <f t="array" ref="W3181">IF(表成绩单[[#This Row],[总分]]="","",SUMPRODUCT((表成绩单[考试日期]=表成绩单[[#This Row],[考试日期]])*(表成绩单[总分]&lt;9E+307)*(表成绩单[总分]&gt;表成绩单[[#This Row],[总分]]))+1)</f>
        <v>774</v>
      </c>
    </row>
    <row r="3182" ht="28" customHeight="1" spans="4:23">
      <c r="D3182" s="31">
        <v>46108</v>
      </c>
      <c r="E3182" s="29">
        <v>19175317</v>
      </c>
      <c r="F3182" s="29" t="s">
        <v>55</v>
      </c>
      <c r="G3182" s="29" t="s">
        <v>852</v>
      </c>
      <c r="H3182" s="29">
        <v>63</v>
      </c>
      <c r="I3182" s="29">
        <v>21</v>
      </c>
      <c r="J3182" s="29">
        <v>37.5</v>
      </c>
      <c r="K3182" s="29">
        <v>26</v>
      </c>
      <c r="L3182" s="29">
        <v>23</v>
      </c>
      <c r="M3182" s="29">
        <v>59</v>
      </c>
      <c r="N3182" s="29">
        <v>52</v>
      </c>
      <c r="O3182" s="32">
        <v>281.5</v>
      </c>
      <c r="P3182" s="29" cm="1">
        <f t="array" ref="P3182">IF(表成绩单[[#This Row],[语文]]="","",SUMPRODUCT((表成绩单[考试日期]=表成绩单[[#This Row],[考试日期]])*(表成绩单[语文]&lt;9E+307)*(表成绩单[语文]&gt;表成绩单[[#This Row],[语文]]))+1)</f>
        <v>767</v>
      </c>
      <c r="Q3182" s="29" cm="1">
        <f t="array" ref="Q3182">IF(表成绩单[[#This Row],[数学]]="","",SUMPRODUCT((表成绩单[考试日期]=表成绩单[[#This Row],[考试日期]])*(表成绩单[数学]&lt;9E+307)*(表成绩单[数学]&gt;表成绩单[[#This Row],[数学]]))+1)</f>
        <v>778</v>
      </c>
      <c r="R3182" s="29" cm="1">
        <f t="array" ref="R3182">IF(表成绩单[[#This Row],[英语]]="","",SUMPRODUCT((表成绩单[考试日期]=表成绩单[[#This Row],[考试日期]])*(表成绩单[英语]&lt;9E+307)*(表成绩单[英语]&gt;表成绩单[[#This Row],[英语]]))+1)</f>
        <v>744</v>
      </c>
      <c r="S3182" s="29" cm="1">
        <f t="array" ref="S3182">IF(表成绩单[[#This Row],[物理]]="","",SUMPRODUCT((表成绩单[考试日期]=表成绩单[[#This Row],[考试日期]])*(表成绩单[物理]&lt;9E+307)*(表成绩单[物理]&gt;表成绩单[[#This Row],[物理]]))+1)</f>
        <v>782</v>
      </c>
      <c r="T3182" s="29" cm="1">
        <f t="array" ref="T3182">IF(表成绩单[[#This Row],[化学]]="","",SUMPRODUCT((表成绩单[考试日期]=表成绩单[[#This Row],[考试日期]])*(表成绩单[化学]&lt;9E+307)*(表成绩单[化学]&gt;表成绩单[[#This Row],[化学]]))+1)</f>
        <v>780</v>
      </c>
      <c r="U3182" s="29" cm="1">
        <f t="array" ref="U3182">IF(表成绩单[[#This Row],[政治]]="","",SUMPRODUCT((表成绩单[考试日期]=表成绩单[[#This Row],[考试日期]])*(表成绩单[政治]&lt;9E+307)*(表成绩单[政治]&gt;表成绩单[[#This Row],[政治]]))+1)</f>
        <v>720</v>
      </c>
      <c r="V3182" s="29" cm="1">
        <f t="array" ref="V3182">IF(表成绩单[[#This Row],[历史]]="","",SUMPRODUCT((表成绩单[考试日期]=表成绩单[[#This Row],[考试日期]])*(表成绩单[历史]&lt;9E+307)*(表成绩单[历史]&gt;表成绩单[[#This Row],[历史]]))+1)</f>
        <v>757</v>
      </c>
      <c r="W3182" s="29" cm="1">
        <f t="array" ref="W3182">IF(表成绩单[[#This Row],[总分]]="","",SUMPRODUCT((表成绩单[考试日期]=表成绩单[[#This Row],[考试日期]])*(表成绩单[总分]&lt;9E+307)*(表成绩单[总分]&gt;表成绩单[[#This Row],[总分]]))+1)</f>
        <v>775</v>
      </c>
    </row>
    <row r="3183" ht="28" customHeight="1" spans="4:23">
      <c r="D3183" s="31">
        <v>46108</v>
      </c>
      <c r="E3183" s="29">
        <v>19177628</v>
      </c>
      <c r="F3183" s="29" t="s">
        <v>58</v>
      </c>
      <c r="G3183" s="29" t="s">
        <v>857</v>
      </c>
      <c r="H3183" s="29">
        <v>58</v>
      </c>
      <c r="I3183" s="29">
        <v>23</v>
      </c>
      <c r="J3183" s="29">
        <v>45.5</v>
      </c>
      <c r="K3183" s="29">
        <v>24</v>
      </c>
      <c r="L3183" s="29">
        <v>39</v>
      </c>
      <c r="M3183" s="29">
        <v>47</v>
      </c>
      <c r="N3183" s="29">
        <v>45</v>
      </c>
      <c r="O3183" s="32">
        <v>281.5</v>
      </c>
      <c r="P3183" s="29" cm="1">
        <f t="array" ref="P3183">IF(表成绩单[[#This Row],[语文]]="","",SUMPRODUCT((表成绩单[考试日期]=表成绩单[[#This Row],[考试日期]])*(表成绩单[语文]&lt;9E+307)*(表成绩单[语文]&gt;表成绩单[[#This Row],[语文]]))+1)</f>
        <v>776</v>
      </c>
      <c r="Q3183" s="29" cm="1">
        <f t="array" ref="Q3183">IF(表成绩单[[#This Row],[数学]]="","",SUMPRODUCT((表成绩单[考试日期]=表成绩单[[#This Row],[考试日期]])*(表成绩单[数学]&lt;9E+307)*(表成绩单[数学]&gt;表成绩单[[#This Row],[数学]]))+1)</f>
        <v>777</v>
      </c>
      <c r="R3183" s="29" cm="1">
        <f t="array" ref="R3183">IF(表成绩单[[#This Row],[英语]]="","",SUMPRODUCT((表成绩单[考试日期]=表成绩单[[#This Row],[考试日期]])*(表成绩单[英语]&lt;9E+307)*(表成绩单[英语]&gt;表成绩单[[#This Row],[英语]]))+1)</f>
        <v>725</v>
      </c>
      <c r="S3183" s="29" cm="1">
        <f t="array" ref="S3183">IF(表成绩单[[#This Row],[物理]]="","",SUMPRODUCT((表成绩单[考试日期]=表成绩单[[#This Row],[考试日期]])*(表成绩单[物理]&lt;9E+307)*(表成绩单[物理]&gt;表成绩单[[#This Row],[物理]]))+1)</f>
        <v>783</v>
      </c>
      <c r="T3183" s="29" cm="1">
        <f t="array" ref="T3183">IF(表成绩单[[#This Row],[化学]]="","",SUMPRODUCT((表成绩单[考试日期]=表成绩单[[#This Row],[考试日期]])*(表成绩单[化学]&lt;9E+307)*(表成绩单[化学]&gt;表成绩单[[#This Row],[化学]]))+1)</f>
        <v>729</v>
      </c>
      <c r="U3183" s="29" cm="1">
        <f t="array" ref="U3183">IF(表成绩单[[#This Row],[政治]]="","",SUMPRODUCT((表成绩单[考试日期]=表成绩单[[#This Row],[考试日期]])*(表成绩单[政治]&lt;9E+307)*(表成绩单[政治]&gt;表成绩单[[#This Row],[政治]]))+1)</f>
        <v>767</v>
      </c>
      <c r="V3183" s="29" cm="1">
        <f t="array" ref="V3183">IF(表成绩单[[#This Row],[历史]]="","",SUMPRODUCT((表成绩单[考试日期]=表成绩单[[#This Row],[考试日期]])*(表成绩单[历史]&lt;9E+307)*(表成绩单[历史]&gt;表成绩单[[#This Row],[历史]]))+1)</f>
        <v>772</v>
      </c>
      <c r="W3183" s="29" cm="1">
        <f t="array" ref="W3183">IF(表成绩单[[#This Row],[总分]]="","",SUMPRODUCT((表成绩单[考试日期]=表成绩单[[#This Row],[考试日期]])*(表成绩单[总分]&lt;9E+307)*(表成绩单[总分]&gt;表成绩单[[#This Row],[总分]]))+1)</f>
        <v>775</v>
      </c>
    </row>
    <row r="3184" ht="28" customHeight="1" spans="4:23">
      <c r="D3184" s="31">
        <v>46108</v>
      </c>
      <c r="E3184" s="29">
        <v>19175298</v>
      </c>
      <c r="F3184" s="29" t="s">
        <v>55</v>
      </c>
      <c r="G3184" s="29" t="s">
        <v>867</v>
      </c>
      <c r="H3184" s="29">
        <v>69</v>
      </c>
      <c r="I3184" s="29">
        <v>30</v>
      </c>
      <c r="J3184" s="29">
        <v>15</v>
      </c>
      <c r="K3184" s="29">
        <v>41</v>
      </c>
      <c r="L3184" s="29">
        <v>35</v>
      </c>
      <c r="M3184" s="29">
        <v>49</v>
      </c>
      <c r="N3184" s="29">
        <v>37</v>
      </c>
      <c r="O3184" s="32">
        <v>276</v>
      </c>
      <c r="P3184" s="29" cm="1">
        <f t="array" ref="P3184">IF(表成绩单[[#This Row],[语文]]="","",SUMPRODUCT((表成绩单[考试日期]=表成绩单[[#This Row],[考试日期]])*(表成绩单[语文]&lt;9E+307)*(表成绩单[语文]&gt;表成绩单[[#This Row],[语文]]))+1)</f>
        <v>746</v>
      </c>
      <c r="Q3184" s="29" cm="1">
        <f t="array" ref="Q3184">IF(表成绩单[[#This Row],[数学]]="","",SUMPRODUCT((表成绩单[考试日期]=表成绩单[[#This Row],[考试日期]])*(表成绩单[数学]&lt;9E+307)*(表成绩单[数学]&gt;表成绩单[[#This Row],[数学]]))+1)</f>
        <v>775</v>
      </c>
      <c r="R3184" s="29" cm="1">
        <f t="array" ref="R3184">IF(表成绩单[[#This Row],[英语]]="","",SUMPRODUCT((表成绩单[考试日期]=表成绩单[[#This Row],[考试日期]])*(表成绩单[英语]&lt;9E+307)*(表成绩单[英语]&gt;表成绩单[[#This Row],[英语]]))+1)</f>
        <v>781</v>
      </c>
      <c r="S3184" s="29" cm="1">
        <f t="array" ref="S3184">IF(表成绩单[[#This Row],[物理]]="","",SUMPRODUCT((表成绩单[考试日期]=表成绩单[[#This Row],[考试日期]])*(表成绩单[物理]&lt;9E+307)*(表成绩单[物理]&gt;表成绩单[[#This Row],[物理]]))+1)</f>
        <v>756</v>
      </c>
      <c r="T3184" s="29" cm="1">
        <f t="array" ref="T3184">IF(表成绩单[[#This Row],[化学]]="","",SUMPRODUCT((表成绩单[考试日期]=表成绩单[[#This Row],[考试日期]])*(表成绩单[化学]&lt;9E+307)*(表成绩单[化学]&gt;表成绩单[[#This Row],[化学]]))+1)</f>
        <v>747</v>
      </c>
      <c r="U3184" s="29" cm="1">
        <f t="array" ref="U3184">IF(表成绩单[[#This Row],[政治]]="","",SUMPRODUCT((表成绩单[考试日期]=表成绩单[[#This Row],[考试日期]])*(表成绩单[政治]&lt;9E+307)*(表成绩单[政治]&gt;表成绩单[[#This Row],[政治]]))+1)</f>
        <v>763</v>
      </c>
      <c r="V3184" s="29" cm="1">
        <f t="array" ref="V3184">IF(表成绩单[[#This Row],[历史]]="","",SUMPRODUCT((表成绩单[考试日期]=表成绩单[[#This Row],[考试日期]])*(表成绩单[历史]&lt;9E+307)*(表成绩单[历史]&gt;表成绩单[[#This Row],[历史]]))+1)</f>
        <v>782</v>
      </c>
      <c r="W3184" s="29" cm="1">
        <f t="array" ref="W3184">IF(表成绩单[[#This Row],[总分]]="","",SUMPRODUCT((表成绩单[考试日期]=表成绩单[[#This Row],[考试日期]])*(表成绩单[总分]&lt;9E+307)*(表成绩单[总分]&gt;表成绩单[[#This Row],[总分]]))+1)</f>
        <v>777</v>
      </c>
    </row>
    <row r="3185" ht="28" customHeight="1" spans="4:23">
      <c r="D3185" s="31">
        <v>46108</v>
      </c>
      <c r="E3185" s="29">
        <v>19172639</v>
      </c>
      <c r="F3185" s="29" t="s">
        <v>60</v>
      </c>
      <c r="G3185" s="29" t="s">
        <v>846</v>
      </c>
      <c r="H3185" s="29">
        <v>74</v>
      </c>
      <c r="I3185" s="29">
        <v>21</v>
      </c>
      <c r="J3185" s="29">
        <v>23.5</v>
      </c>
      <c r="K3185" s="29">
        <v>21</v>
      </c>
      <c r="L3185" s="29">
        <v>24</v>
      </c>
      <c r="M3185" s="29">
        <v>38</v>
      </c>
      <c r="N3185" s="29">
        <v>59</v>
      </c>
      <c r="O3185" s="32">
        <v>260.5</v>
      </c>
      <c r="P3185" s="29" cm="1">
        <f t="array" ref="P3185">IF(表成绩单[[#This Row],[语文]]="","",SUMPRODUCT((表成绩单[考试日期]=表成绩单[[#This Row],[考试日期]])*(表成绩单[语文]&lt;9E+307)*(表成绩单[语文]&gt;表成绩单[[#This Row],[语文]]))+1)</f>
        <v>725</v>
      </c>
      <c r="Q3185" s="29" cm="1">
        <f t="array" ref="Q3185">IF(表成绩单[[#This Row],[数学]]="","",SUMPRODUCT((表成绩单[考试日期]=表成绩单[[#This Row],[考试日期]])*(表成绩单[数学]&lt;9E+307)*(表成绩单[数学]&gt;表成绩单[[#This Row],[数学]]))+1)</f>
        <v>778</v>
      </c>
      <c r="R3185" s="29" cm="1">
        <f t="array" ref="R3185">IF(表成绩单[[#This Row],[英语]]="","",SUMPRODUCT((表成绩单[考试日期]=表成绩单[[#This Row],[考试日期]])*(表成绩单[英语]&lt;9E+307)*(表成绩单[英语]&gt;表成绩单[[#This Row],[英语]]))+1)</f>
        <v>772</v>
      </c>
      <c r="S3185" s="29" cm="1">
        <f t="array" ref="S3185">IF(表成绩单[[#This Row],[物理]]="","",SUMPRODUCT((表成绩单[考试日期]=表成绩单[[#This Row],[考试日期]])*(表成绩单[物理]&lt;9E+307)*(表成绩单[物理]&gt;表成绩单[[#This Row],[物理]]))+1)</f>
        <v>784</v>
      </c>
      <c r="T3185" s="29" cm="1">
        <f t="array" ref="T3185">IF(表成绩单[[#This Row],[化学]]="","",SUMPRODUCT((表成绩单[考试日期]=表成绩单[[#This Row],[考试日期]])*(表成绩单[化学]&lt;9E+307)*(表成绩单[化学]&gt;表成绩单[[#This Row],[化学]]))+1)</f>
        <v>777</v>
      </c>
      <c r="U3185" s="29" cm="1">
        <f t="array" ref="U3185">IF(表成绩单[[#This Row],[政治]]="","",SUMPRODUCT((表成绩单[考试日期]=表成绩单[[#This Row],[考试日期]])*(表成绩单[政治]&lt;9E+307)*(表成绩单[政治]&gt;表成绩单[[#This Row],[政治]]))+1)</f>
        <v>781</v>
      </c>
      <c r="V3185" s="29" cm="1">
        <f t="array" ref="V3185">IF(表成绩单[[#This Row],[历史]]="","",SUMPRODUCT((表成绩单[考试日期]=表成绩单[[#This Row],[考试日期]])*(表成绩单[历史]&lt;9E+307)*(表成绩单[历史]&gt;表成绩单[[#This Row],[历史]]))+1)</f>
        <v>724</v>
      </c>
      <c r="W3185" s="29" cm="1">
        <f t="array" ref="W3185">IF(表成绩单[[#This Row],[总分]]="","",SUMPRODUCT((表成绩单[考试日期]=表成绩单[[#This Row],[考试日期]])*(表成绩单[总分]&lt;9E+307)*(表成绩单[总分]&gt;表成绩单[[#This Row],[总分]]))+1)</f>
        <v>778</v>
      </c>
    </row>
    <row r="3186" ht="28" customHeight="1" spans="4:23">
      <c r="D3186" s="31">
        <v>46108</v>
      </c>
      <c r="E3186" s="29">
        <v>19175300</v>
      </c>
      <c r="F3186" s="29" t="s">
        <v>55</v>
      </c>
      <c r="G3186" s="29" t="s">
        <v>869</v>
      </c>
      <c r="H3186" s="29">
        <v>67</v>
      </c>
      <c r="I3186" s="29">
        <v>18</v>
      </c>
      <c r="J3186" s="29">
        <v>30</v>
      </c>
      <c r="K3186" s="29">
        <v>27</v>
      </c>
      <c r="L3186" s="29">
        <v>22</v>
      </c>
      <c r="M3186" s="29">
        <v>51</v>
      </c>
      <c r="N3186" s="29">
        <v>45</v>
      </c>
      <c r="O3186" s="32">
        <v>260</v>
      </c>
      <c r="P3186" s="29" cm="1">
        <f t="array" ref="P3186">IF(表成绩单[[#This Row],[语文]]="","",SUMPRODUCT((表成绩单[考试日期]=表成绩单[[#This Row],[考试日期]])*(表成绩单[语文]&lt;9E+307)*(表成绩单[语文]&gt;表成绩单[[#This Row],[语文]]))+1)</f>
        <v>752</v>
      </c>
      <c r="Q3186" s="29" cm="1">
        <f t="array" ref="Q3186">IF(表成绩单[[#This Row],[数学]]="","",SUMPRODUCT((表成绩单[考试日期]=表成绩单[[#This Row],[考试日期]])*(表成绩单[数学]&lt;9E+307)*(表成绩单[数学]&gt;表成绩单[[#This Row],[数学]]))+1)</f>
        <v>780</v>
      </c>
      <c r="R3186" s="29" cm="1">
        <f t="array" ref="R3186">IF(表成绩单[[#This Row],[英语]]="","",SUMPRODUCT((表成绩单[考试日期]=表成绩单[[#This Row],[考试日期]])*(表成绩单[英语]&lt;9E+307)*(表成绩单[英语]&gt;表成绩单[[#This Row],[英语]]))+1)</f>
        <v>762</v>
      </c>
      <c r="S3186" s="29" cm="1">
        <f t="array" ref="S3186">IF(表成绩单[[#This Row],[物理]]="","",SUMPRODUCT((表成绩单[考试日期]=表成绩单[[#This Row],[考试日期]])*(表成绩单[物理]&lt;9E+307)*(表成绩单[物理]&gt;表成绩单[[#This Row],[物理]]))+1)</f>
        <v>781</v>
      </c>
      <c r="T3186" s="29" cm="1">
        <f t="array" ref="T3186">IF(表成绩单[[#This Row],[化学]]="","",SUMPRODUCT((表成绩单[考试日期]=表成绩单[[#This Row],[考试日期]])*(表成绩单[化学]&lt;9E+307)*(表成绩单[化学]&gt;表成绩单[[#This Row],[化学]]))+1)</f>
        <v>784</v>
      </c>
      <c r="U3186" s="29" cm="1">
        <f t="array" ref="U3186">IF(表成绩单[[#This Row],[政治]]="","",SUMPRODUCT((表成绩单[考试日期]=表成绩单[[#This Row],[考试日期]])*(表成绩单[政治]&lt;9E+307)*(表成绩单[政治]&gt;表成绩单[[#This Row],[政治]]))+1)</f>
        <v>758</v>
      </c>
      <c r="V3186" s="29" cm="1">
        <f t="array" ref="V3186">IF(表成绩单[[#This Row],[历史]]="","",SUMPRODUCT((表成绩单[考试日期]=表成绩单[[#This Row],[考试日期]])*(表成绩单[历史]&lt;9E+307)*(表成绩单[历史]&gt;表成绩单[[#This Row],[历史]]))+1)</f>
        <v>772</v>
      </c>
      <c r="W3186" s="29" cm="1">
        <f t="array" ref="W3186">IF(表成绩单[[#This Row],[总分]]="","",SUMPRODUCT((表成绩单[考试日期]=表成绩单[[#This Row],[考试日期]])*(表成绩单[总分]&lt;9E+307)*(表成绩单[总分]&gt;表成绩单[[#This Row],[总分]]))+1)</f>
        <v>779</v>
      </c>
    </row>
    <row r="3187" ht="28" customHeight="1" spans="4:23">
      <c r="D3187" s="31">
        <v>46108</v>
      </c>
      <c r="E3187" s="29">
        <v>19175311</v>
      </c>
      <c r="F3187" s="29" t="s">
        <v>55</v>
      </c>
      <c r="G3187" s="29" t="s">
        <v>820</v>
      </c>
      <c r="H3187" s="29">
        <v>66</v>
      </c>
      <c r="I3187" s="29">
        <v>17</v>
      </c>
      <c r="J3187" s="29">
        <v>22.5</v>
      </c>
      <c r="K3187" s="29">
        <v>28</v>
      </c>
      <c r="L3187" s="29">
        <v>29</v>
      </c>
      <c r="M3187" s="29">
        <v>45</v>
      </c>
      <c r="N3187" s="29">
        <v>45</v>
      </c>
      <c r="O3187" s="32">
        <v>252.5</v>
      </c>
      <c r="P3187" s="29" cm="1">
        <f t="array" ref="P3187">IF(表成绩单[[#This Row],[语文]]="","",SUMPRODUCT((表成绩单[考试日期]=表成绩单[[#This Row],[考试日期]])*(表成绩单[语文]&lt;9E+307)*(表成绩单[语文]&gt;表成绩单[[#This Row],[语文]]))+1)</f>
        <v>759</v>
      </c>
      <c r="Q3187" s="29" cm="1">
        <f t="array" ref="Q3187">IF(表成绩单[[#This Row],[数学]]="","",SUMPRODUCT((表成绩单[考试日期]=表成绩单[[#This Row],[考试日期]])*(表成绩单[数学]&lt;9E+307)*(表成绩单[数学]&gt;表成绩单[[#This Row],[数学]]))+1)</f>
        <v>781</v>
      </c>
      <c r="R3187" s="29" cm="1">
        <f t="array" ref="R3187">IF(表成绩单[[#This Row],[英语]]="","",SUMPRODUCT((表成绩单[考试日期]=表成绩单[[#This Row],[考试日期]])*(表成绩单[英语]&lt;9E+307)*(表成绩单[英语]&gt;表成绩单[[#This Row],[英语]]))+1)</f>
        <v>774</v>
      </c>
      <c r="S3187" s="29" cm="1">
        <f t="array" ref="S3187">IF(表成绩单[[#This Row],[物理]]="","",SUMPRODUCT((表成绩单[考试日期]=表成绩单[[#This Row],[考试日期]])*(表成绩单[物理]&lt;9E+307)*(表成绩单[物理]&gt;表成绩单[[#This Row],[物理]]))+1)</f>
        <v>779</v>
      </c>
      <c r="T3187" s="29" cm="1">
        <f t="array" ref="T3187">IF(表成绩单[[#This Row],[化学]]="","",SUMPRODUCT((表成绩单[考试日期]=表成绩单[[#This Row],[考试日期]])*(表成绩单[化学]&lt;9E+307)*(表成绩单[化学]&gt;表成绩单[[#This Row],[化学]]))+1)</f>
        <v>766</v>
      </c>
      <c r="U3187" s="29" cm="1">
        <f t="array" ref="U3187">IF(表成绩单[[#This Row],[政治]]="","",SUMPRODUCT((表成绩单[考试日期]=表成绩单[[#This Row],[考试日期]])*(表成绩单[政治]&lt;9E+307)*(表成绩单[政治]&gt;表成绩单[[#This Row],[政治]]))+1)</f>
        <v>776</v>
      </c>
      <c r="V3187" s="29" cm="1">
        <f t="array" ref="V3187">IF(表成绩单[[#This Row],[历史]]="","",SUMPRODUCT((表成绩单[考试日期]=表成绩单[[#This Row],[考试日期]])*(表成绩单[历史]&lt;9E+307)*(表成绩单[历史]&gt;表成绩单[[#This Row],[历史]]))+1)</f>
        <v>772</v>
      </c>
      <c r="W3187" s="29" cm="1">
        <f t="array" ref="W3187">IF(表成绩单[[#This Row],[总分]]="","",SUMPRODUCT((表成绩单[考试日期]=表成绩单[[#This Row],[考试日期]])*(表成绩单[总分]&lt;9E+307)*(表成绩单[总分]&gt;表成绩单[[#This Row],[总分]]))+1)</f>
        <v>780</v>
      </c>
    </row>
    <row r="3188" ht="28" customHeight="1" spans="4:23">
      <c r="D3188" s="31">
        <v>46108</v>
      </c>
      <c r="E3188" s="29">
        <v>19175600</v>
      </c>
      <c r="F3188" s="29" t="s">
        <v>57</v>
      </c>
      <c r="G3188" s="29" t="s">
        <v>862</v>
      </c>
      <c r="H3188" s="29">
        <v>55</v>
      </c>
      <c r="I3188" s="29">
        <v>15</v>
      </c>
      <c r="J3188" s="29">
        <v>36</v>
      </c>
      <c r="K3188" s="29">
        <v>36</v>
      </c>
      <c r="L3188" s="29">
        <v>21</v>
      </c>
      <c r="M3188" s="29">
        <v>43</v>
      </c>
      <c r="N3188" s="29">
        <v>45</v>
      </c>
      <c r="O3188" s="32">
        <v>251</v>
      </c>
      <c r="P3188" s="29" cm="1">
        <f t="array" ref="P3188">IF(表成绩单[[#This Row],[语文]]="","",SUMPRODUCT((表成绩单[考试日期]=表成绩单[[#This Row],[考试日期]])*(表成绩单[语文]&lt;9E+307)*(表成绩单[语文]&gt;表成绩单[[#This Row],[语文]]))+1)</f>
        <v>782</v>
      </c>
      <c r="Q3188" s="29" cm="1">
        <f t="array" ref="Q3188">IF(表成绩单[[#This Row],[数学]]="","",SUMPRODUCT((表成绩单[考试日期]=表成绩单[[#This Row],[考试日期]])*(表成绩单[数学]&lt;9E+307)*(表成绩单[数学]&gt;表成绩单[[#This Row],[数学]]))+1)</f>
        <v>782</v>
      </c>
      <c r="R3188" s="29" cm="1">
        <f t="array" ref="R3188">IF(表成绩单[[#This Row],[英语]]="","",SUMPRODUCT((表成绩单[考试日期]=表成绩单[[#This Row],[考试日期]])*(表成绩单[英语]&lt;9E+307)*(表成绩单[英语]&gt;表成绩单[[#This Row],[英语]]))+1)</f>
        <v>749</v>
      </c>
      <c r="S3188" s="29" cm="1">
        <f t="array" ref="S3188">IF(表成绩单[[#This Row],[物理]]="","",SUMPRODUCT((表成绩单[考试日期]=表成绩单[[#This Row],[考试日期]])*(表成绩单[物理]&lt;9E+307)*(表成绩单[物理]&gt;表成绩单[[#This Row],[物理]]))+1)</f>
        <v>771</v>
      </c>
      <c r="T3188" s="29" cm="1">
        <f t="array" ref="T3188">IF(表成绩单[[#This Row],[化学]]="","",SUMPRODUCT((表成绩单[考试日期]=表成绩单[[#This Row],[考试日期]])*(表成绩单[化学]&lt;9E+307)*(表成绩单[化学]&gt;表成绩单[[#This Row],[化学]]))+1)</f>
        <v>785</v>
      </c>
      <c r="U3188" s="29" cm="1">
        <f t="array" ref="U3188">IF(表成绩单[[#This Row],[政治]]="","",SUMPRODUCT((表成绩单[考试日期]=表成绩单[[#This Row],[考试日期]])*(表成绩单[政治]&lt;9E+307)*(表成绩单[政治]&gt;表成绩单[[#This Row],[政治]]))+1)</f>
        <v>779</v>
      </c>
      <c r="V3188" s="29" cm="1">
        <f t="array" ref="V3188">IF(表成绩单[[#This Row],[历史]]="","",SUMPRODUCT((表成绩单[考试日期]=表成绩单[[#This Row],[考试日期]])*(表成绩单[历史]&lt;9E+307)*(表成绩单[历史]&gt;表成绩单[[#This Row],[历史]]))+1)</f>
        <v>772</v>
      </c>
      <c r="W3188" s="29" cm="1">
        <f t="array" ref="W3188">IF(表成绩单[[#This Row],[总分]]="","",SUMPRODUCT((表成绩单[考试日期]=表成绩单[[#This Row],[考试日期]])*(表成绩单[总分]&lt;9E+307)*(表成绩单[总分]&gt;表成绩单[[#This Row],[总分]]))+1)</f>
        <v>781</v>
      </c>
    </row>
    <row r="3189" ht="28" customHeight="1" spans="4:23">
      <c r="D3189" s="31">
        <v>46108</v>
      </c>
      <c r="E3189" s="29">
        <v>19175593</v>
      </c>
      <c r="F3189" s="29" t="s">
        <v>57</v>
      </c>
      <c r="G3189" s="29" t="s">
        <v>870</v>
      </c>
      <c r="H3189" s="29">
        <v>53</v>
      </c>
      <c r="I3189" s="29">
        <v>37</v>
      </c>
      <c r="J3189" s="29">
        <v>16</v>
      </c>
      <c r="K3189" s="29">
        <v>40</v>
      </c>
      <c r="L3189" s="29">
        <v>23</v>
      </c>
      <c r="M3189" s="29">
        <v>43</v>
      </c>
      <c r="N3189" s="29">
        <v>36</v>
      </c>
      <c r="O3189" s="32">
        <v>248</v>
      </c>
      <c r="P3189" s="29" cm="1">
        <f t="array" ref="P3189">IF(表成绩单[[#This Row],[语文]]="","",SUMPRODUCT((表成绩单[考试日期]=表成绩单[[#This Row],[考试日期]])*(表成绩单[语文]&lt;9E+307)*(表成绩单[语文]&gt;表成绩单[[#This Row],[语文]]))+1)</f>
        <v>783</v>
      </c>
      <c r="Q3189" s="29" cm="1">
        <f t="array" ref="Q3189">IF(表成绩单[[#This Row],[数学]]="","",SUMPRODUCT((表成绩单[考试日期]=表成绩单[[#This Row],[考试日期]])*(表成绩单[数学]&lt;9E+307)*(表成绩单[数学]&gt;表成绩单[[#This Row],[数学]]))+1)</f>
        <v>766</v>
      </c>
      <c r="R3189" s="29" cm="1">
        <f t="array" ref="R3189">IF(表成绩单[[#This Row],[英语]]="","",SUMPRODUCT((表成绩单[考试日期]=表成绩单[[#This Row],[考试日期]])*(表成绩单[英语]&lt;9E+307)*(表成绩单[英语]&gt;表成绩单[[#This Row],[英语]]))+1)</f>
        <v>780</v>
      </c>
      <c r="S3189" s="29" cm="1">
        <f t="array" ref="S3189">IF(表成绩单[[#This Row],[物理]]="","",SUMPRODUCT((表成绩单[考试日期]=表成绩单[[#This Row],[考试日期]])*(表成绩单[物理]&lt;9E+307)*(表成绩单[物理]&gt;表成绩单[[#This Row],[物理]]))+1)</f>
        <v>762</v>
      </c>
      <c r="T3189" s="29" cm="1">
        <f t="array" ref="T3189">IF(表成绩单[[#This Row],[化学]]="","",SUMPRODUCT((表成绩单[考试日期]=表成绩单[[#This Row],[考试日期]])*(表成绩单[化学]&lt;9E+307)*(表成绩单[化学]&gt;表成绩单[[#This Row],[化学]]))+1)</f>
        <v>780</v>
      </c>
      <c r="U3189" s="29" cm="1">
        <f t="array" ref="U3189">IF(表成绩单[[#This Row],[政治]]="","",SUMPRODUCT((表成绩单[考试日期]=表成绩单[[#This Row],[考试日期]])*(表成绩单[政治]&lt;9E+307)*(表成绩单[政治]&gt;表成绩单[[#This Row],[政治]]))+1)</f>
        <v>779</v>
      </c>
      <c r="V3189" s="29" cm="1">
        <f t="array" ref="V3189">IF(表成绩单[[#This Row],[历史]]="","",SUMPRODUCT((表成绩单[考试日期]=表成绩单[[#This Row],[考试日期]])*(表成绩单[历史]&lt;9E+307)*(表成绩单[历史]&gt;表成绩单[[#This Row],[历史]]))+1)</f>
        <v>783</v>
      </c>
      <c r="W3189" s="29" cm="1">
        <f t="array" ref="W3189">IF(表成绩单[[#This Row],[总分]]="","",SUMPRODUCT((表成绩单[考试日期]=表成绩单[[#This Row],[考试日期]])*(表成绩单[总分]&lt;9E+307)*(表成绩单[总分]&gt;表成绩单[[#This Row],[总分]]))+1)</f>
        <v>782</v>
      </c>
    </row>
    <row r="3190" ht="28" customHeight="1" spans="4:23">
      <c r="D3190" s="31">
        <v>46108</v>
      </c>
      <c r="E3190" s="29">
        <v>19173782</v>
      </c>
      <c r="F3190" s="29" t="s">
        <v>65</v>
      </c>
      <c r="G3190" s="29" t="s">
        <v>462</v>
      </c>
      <c r="H3190" s="29">
        <v>80</v>
      </c>
      <c r="I3190" s="29"/>
      <c r="J3190" s="29"/>
      <c r="K3190" s="29">
        <v>75</v>
      </c>
      <c r="L3190" s="29">
        <v>65</v>
      </c>
      <c r="M3190" s="29"/>
      <c r="N3190" s="29"/>
      <c r="O3190" s="32">
        <v>220</v>
      </c>
      <c r="P3190" s="29" cm="1">
        <f t="array" ref="P3190">IF(表成绩单[[#This Row],[语文]]="","",SUMPRODUCT((表成绩单[考试日期]=表成绩单[[#This Row],[考试日期]])*(表成绩单[语文]&lt;9E+307)*(表成绩单[语文]&gt;表成绩单[[#This Row],[语文]]))+1)</f>
        <v>679</v>
      </c>
      <c r="Q3190" s="29" t="str" cm="1">
        <f t="array" ref="Q3190">IF(表成绩单[[#This Row],[数学]]="","",SUMPRODUCT((表成绩单[考试日期]=表成绩单[[#This Row],[考试日期]])*(表成绩单[数学]&lt;9E+307)*(表成绩单[数学]&gt;表成绩单[[#This Row],[数学]]))+1)</f>
        <v/>
      </c>
      <c r="R3190" s="29" t="str" cm="1">
        <f t="array" ref="R3190">IF(表成绩单[[#This Row],[英语]]="","",SUMPRODUCT((表成绩单[考试日期]=表成绩单[[#This Row],[考试日期]])*(表成绩单[英语]&lt;9E+307)*(表成绩单[英语]&gt;表成绩单[[#This Row],[英语]]))+1)</f>
        <v/>
      </c>
      <c r="S3190" s="29" cm="1">
        <f t="array" ref="S3190">IF(表成绩单[[#This Row],[物理]]="","",SUMPRODUCT((表成绩单[考试日期]=表成绩单[[#This Row],[考试日期]])*(表成绩单[物理]&lt;9E+307)*(表成绩单[物理]&gt;表成绩单[[#This Row],[物理]]))+1)</f>
        <v>456</v>
      </c>
      <c r="T3190" s="29" cm="1">
        <f t="array" ref="T3190">IF(表成绩单[[#This Row],[化学]]="","",SUMPRODUCT((表成绩单[考试日期]=表成绩单[[#This Row],[考试日期]])*(表成绩单[化学]&lt;9E+307)*(表成绩单[化学]&gt;表成绩单[[#This Row],[化学]]))+1)</f>
        <v>379</v>
      </c>
      <c r="U3190" s="29" t="str" cm="1">
        <f t="array" ref="U3190">IF(表成绩单[[#This Row],[政治]]="","",SUMPRODUCT((表成绩单[考试日期]=表成绩单[[#This Row],[考试日期]])*(表成绩单[政治]&lt;9E+307)*(表成绩单[政治]&gt;表成绩单[[#This Row],[政治]]))+1)</f>
        <v/>
      </c>
      <c r="V3190" s="29" t="str" cm="1">
        <f t="array" ref="V3190">IF(表成绩单[[#This Row],[历史]]="","",SUMPRODUCT((表成绩单[考试日期]=表成绩单[[#This Row],[考试日期]])*(表成绩单[历史]&lt;9E+307)*(表成绩单[历史]&gt;表成绩单[[#This Row],[历史]]))+1)</f>
        <v/>
      </c>
      <c r="W3190" s="29" cm="1">
        <f t="array" ref="W3190">IF(表成绩单[[#This Row],[总分]]="","",SUMPRODUCT((表成绩单[考试日期]=表成绩单[[#This Row],[考试日期]])*(表成绩单[总分]&lt;9E+307)*(表成绩单[总分]&gt;表成绩单[[#This Row],[总分]]))+1)</f>
        <v>783</v>
      </c>
    </row>
    <row r="3191" ht="28" customHeight="1" spans="4:23">
      <c r="D3191" s="31">
        <v>46108</v>
      </c>
      <c r="E3191" s="29">
        <v>19175310</v>
      </c>
      <c r="F3191" s="29" t="s">
        <v>55</v>
      </c>
      <c r="G3191" s="29" t="s">
        <v>798</v>
      </c>
      <c r="H3191" s="29"/>
      <c r="I3191" s="29">
        <v>50</v>
      </c>
      <c r="J3191" s="29">
        <v>58</v>
      </c>
      <c r="K3191" s="29"/>
      <c r="L3191" s="29"/>
      <c r="M3191" s="29">
        <v>46</v>
      </c>
      <c r="N3191" s="29">
        <v>57</v>
      </c>
      <c r="O3191" s="32">
        <v>211</v>
      </c>
      <c r="P3191" s="29" t="str" cm="1">
        <f t="array" ref="P3191">IF(表成绩单[[#This Row],[语文]]="","",SUMPRODUCT((表成绩单[考试日期]=表成绩单[[#This Row],[考试日期]])*(表成绩单[语文]&lt;9E+307)*(表成绩单[语文]&gt;表成绩单[[#This Row],[语文]]))+1)</f>
        <v/>
      </c>
      <c r="Q3191" s="29" cm="1">
        <f t="array" ref="Q3191">IF(表成绩单[[#This Row],[数学]]="","",SUMPRODUCT((表成绩单[考试日期]=表成绩单[[#This Row],[考试日期]])*(表成绩单[数学]&lt;9E+307)*(表成绩单[数学]&gt;表成绩单[[#This Row],[数学]]))+1)</f>
        <v>739</v>
      </c>
      <c r="R3191" s="29" cm="1">
        <f t="array" ref="R3191">IF(表成绩单[[#This Row],[英语]]="","",SUMPRODUCT((表成绩单[考试日期]=表成绩单[[#This Row],[考试日期]])*(表成绩单[英语]&lt;9E+307)*(表成绩单[英语]&gt;表成绩单[[#This Row],[英语]]))+1)</f>
        <v>670</v>
      </c>
      <c r="S3191" s="29" t="str" cm="1">
        <f t="array" ref="S3191">IF(表成绩单[[#This Row],[物理]]="","",SUMPRODUCT((表成绩单[考试日期]=表成绩单[[#This Row],[考试日期]])*(表成绩单[物理]&lt;9E+307)*(表成绩单[物理]&gt;表成绩单[[#This Row],[物理]]))+1)</f>
        <v/>
      </c>
      <c r="T3191" s="29" t="str" cm="1">
        <f t="array" ref="T3191">IF(表成绩单[[#This Row],[化学]]="","",SUMPRODUCT((表成绩单[考试日期]=表成绩单[[#This Row],[考试日期]])*(表成绩单[化学]&lt;9E+307)*(表成绩单[化学]&gt;表成绩单[[#This Row],[化学]]))+1)</f>
        <v/>
      </c>
      <c r="U3191" s="29" cm="1">
        <f t="array" ref="U3191">IF(表成绩单[[#This Row],[政治]]="","",SUMPRODUCT((表成绩单[考试日期]=表成绩单[[#This Row],[考试日期]])*(表成绩单[政治]&lt;9E+307)*(表成绩单[政治]&gt;表成绩单[[#This Row],[政治]]))+1)</f>
        <v>771</v>
      </c>
      <c r="V3191" s="29" cm="1">
        <f t="array" ref="V3191">IF(表成绩单[[#This Row],[历史]]="","",SUMPRODUCT((表成绩单[考试日期]=表成绩单[[#This Row],[考试日期]])*(表成绩单[历史]&lt;9E+307)*(表成绩单[历史]&gt;表成绩单[[#This Row],[历史]]))+1)</f>
        <v>737</v>
      </c>
      <c r="W3191" s="29" cm="1">
        <f t="array" ref="W3191">IF(表成绩单[[#This Row],[总分]]="","",SUMPRODUCT((表成绩单[考试日期]=表成绩单[[#This Row],[考试日期]])*(表成绩单[总分]&lt;9E+307)*(表成绩单[总分]&gt;表成绩单[[#This Row],[总分]]))+1)</f>
        <v>784</v>
      </c>
    </row>
    <row r="3192" ht="28" customHeight="1" spans="4:23">
      <c r="D3192" s="31">
        <v>46108</v>
      </c>
      <c r="E3192" s="29">
        <v>19172653</v>
      </c>
      <c r="F3192" s="29" t="s">
        <v>60</v>
      </c>
      <c r="G3192" s="29" t="s">
        <v>666</v>
      </c>
      <c r="H3192" s="29">
        <v>90</v>
      </c>
      <c r="I3192" s="29"/>
      <c r="J3192" s="29"/>
      <c r="K3192" s="29">
        <v>66</v>
      </c>
      <c r="L3192" s="29">
        <v>43</v>
      </c>
      <c r="M3192" s="29"/>
      <c r="N3192" s="29"/>
      <c r="O3192" s="32">
        <v>199</v>
      </c>
      <c r="P3192" s="29" cm="1">
        <f t="array" ref="P3192">IF(表成绩单[[#This Row],[语文]]="","",SUMPRODUCT((表成绩单[考试日期]=表成绩单[[#This Row],[考试日期]])*(表成绩单[语文]&lt;9E+307)*(表成绩单[语文]&gt;表成绩单[[#This Row],[语文]]))+1)</f>
        <v>539</v>
      </c>
      <c r="Q3192" s="29" t="str" cm="1">
        <f t="array" ref="Q3192">IF(表成绩单[[#This Row],[数学]]="","",SUMPRODUCT((表成绩单[考试日期]=表成绩单[[#This Row],[考试日期]])*(表成绩单[数学]&lt;9E+307)*(表成绩单[数学]&gt;表成绩单[[#This Row],[数学]]))+1)</f>
        <v/>
      </c>
      <c r="R3192" s="29" t="str" cm="1">
        <f t="array" ref="R3192">IF(表成绩单[[#This Row],[英语]]="","",SUMPRODUCT((表成绩单[考试日期]=表成绩单[[#This Row],[考试日期]])*(表成绩单[英语]&lt;9E+307)*(表成绩单[英语]&gt;表成绩单[[#This Row],[英语]]))+1)</f>
        <v/>
      </c>
      <c r="S3192" s="29" cm="1">
        <f t="array" ref="S3192">IF(表成绩单[[#This Row],[物理]]="","",SUMPRODUCT((表成绩单[考试日期]=表成绩单[[#This Row],[考试日期]])*(表成绩单[物理]&lt;9E+307)*(表成绩单[物理]&gt;表成绩单[[#This Row],[物理]]))+1)</f>
        <v>608</v>
      </c>
      <c r="T3192" s="29" cm="1">
        <f t="array" ref="T3192">IF(表成绩单[[#This Row],[化学]]="","",SUMPRODUCT((表成绩单[考试日期]=表成绩单[[#This Row],[考试日期]])*(表成绩单[化学]&lt;9E+307)*(表成绩单[化学]&gt;表成绩单[[#This Row],[化学]]))+1)</f>
        <v>706</v>
      </c>
      <c r="U3192" s="29" t="str" cm="1">
        <f t="array" ref="U3192">IF(表成绩单[[#This Row],[政治]]="","",SUMPRODUCT((表成绩单[考试日期]=表成绩单[[#This Row],[考试日期]])*(表成绩单[政治]&lt;9E+307)*(表成绩单[政治]&gt;表成绩单[[#This Row],[政治]]))+1)</f>
        <v/>
      </c>
      <c r="V3192" s="29" t="str" cm="1">
        <f t="array" ref="V3192">IF(表成绩单[[#This Row],[历史]]="","",SUMPRODUCT((表成绩单[考试日期]=表成绩单[[#This Row],[考试日期]])*(表成绩单[历史]&lt;9E+307)*(表成绩单[历史]&gt;表成绩单[[#This Row],[历史]]))+1)</f>
        <v/>
      </c>
      <c r="W3192" s="29" cm="1">
        <f t="array" ref="W3192">IF(表成绩单[[#This Row],[总分]]="","",SUMPRODUCT((表成绩单[考试日期]=表成绩单[[#This Row],[考试日期]])*(表成绩单[总分]&lt;9E+307)*(表成绩单[总分]&gt;表成绩单[[#This Row],[总分]]))+1)</f>
        <v>785</v>
      </c>
    </row>
    <row r="3193" ht="28" customHeight="1" spans="4:23">
      <c r="D3193" s="31">
        <v>46108</v>
      </c>
      <c r="E3193" s="29">
        <v>19175993</v>
      </c>
      <c r="F3193" s="29" t="s">
        <v>59</v>
      </c>
      <c r="G3193" s="29" t="s">
        <v>868</v>
      </c>
      <c r="H3193" s="29"/>
      <c r="I3193" s="29">
        <v>6</v>
      </c>
      <c r="J3193" s="29">
        <v>17</v>
      </c>
      <c r="K3193" s="29">
        <v>19</v>
      </c>
      <c r="L3193" s="29">
        <v>25</v>
      </c>
      <c r="M3193" s="29">
        <v>36</v>
      </c>
      <c r="N3193" s="29">
        <v>39</v>
      </c>
      <c r="O3193" s="32">
        <v>142</v>
      </c>
      <c r="P3193" s="29" t="str" cm="1">
        <f t="array" ref="P3193">IF(表成绩单[[#This Row],[语文]]="","",SUMPRODUCT((表成绩单[考试日期]=表成绩单[[#This Row],[考试日期]])*(表成绩单[语文]&lt;9E+307)*(表成绩单[语文]&gt;表成绩单[[#This Row],[语文]]))+1)</f>
        <v/>
      </c>
      <c r="Q3193" s="29" cm="1">
        <f t="array" ref="Q3193">IF(表成绩单[[#This Row],[数学]]="","",SUMPRODUCT((表成绩单[考试日期]=表成绩单[[#This Row],[考试日期]])*(表成绩单[数学]&lt;9E+307)*(表成绩单[数学]&gt;表成绩单[[#This Row],[数学]]))+1)</f>
        <v>783</v>
      </c>
      <c r="R3193" s="29" cm="1">
        <f t="array" ref="R3193">IF(表成绩单[[#This Row],[英语]]="","",SUMPRODUCT((表成绩单[考试日期]=表成绩单[[#This Row],[考试日期]])*(表成绩单[英语]&lt;9E+307)*(表成绩单[英语]&gt;表成绩单[[#This Row],[英语]]))+1)</f>
        <v>779</v>
      </c>
      <c r="S3193" s="29" cm="1">
        <f t="array" ref="S3193">IF(表成绩单[[#This Row],[物理]]="","",SUMPRODUCT((表成绩单[考试日期]=表成绩单[[#This Row],[考试日期]])*(表成绩单[物理]&lt;9E+307)*(表成绩单[物理]&gt;表成绩单[[#This Row],[物理]]))+1)</f>
        <v>785</v>
      </c>
      <c r="T3193" s="29" cm="1">
        <f t="array" ref="T3193">IF(表成绩单[[#This Row],[化学]]="","",SUMPRODUCT((表成绩单[考试日期]=表成绩单[[#This Row],[考试日期]])*(表成绩单[化学]&lt;9E+307)*(表成绩单[化学]&gt;表成绩单[[#This Row],[化学]]))+1)</f>
        <v>775</v>
      </c>
      <c r="U3193" s="29" cm="1">
        <f t="array" ref="U3193">IF(表成绩单[[#This Row],[政治]]="","",SUMPRODUCT((表成绩单[考试日期]=表成绩单[[#This Row],[考试日期]])*(表成绩单[政治]&lt;9E+307)*(表成绩单[政治]&gt;表成绩单[[#This Row],[政治]]))+1)</f>
        <v>782</v>
      </c>
      <c r="V3193" s="29" cm="1">
        <f t="array" ref="V3193">IF(表成绩单[[#This Row],[历史]]="","",SUMPRODUCT((表成绩单[考试日期]=表成绩单[[#This Row],[考试日期]])*(表成绩单[历史]&lt;9E+307)*(表成绩单[历史]&gt;表成绩单[[#This Row],[历史]]))+1)</f>
        <v>780</v>
      </c>
      <c r="W3193" s="29" cm="1">
        <f t="array" ref="W3193">IF(表成绩单[[#This Row],[总分]]="","",SUMPRODUCT((表成绩单[考试日期]=表成绩单[[#This Row],[考试日期]])*(表成绩单[总分]&lt;9E+307)*(表成绩单[总分]&gt;表成绩单[[#This Row],[总分]]))+1)</f>
        <v>786</v>
      </c>
    </row>
    <row r="3194" ht="28" customHeight="1" spans="4:23">
      <c r="D3194" s="31">
        <v>46108</v>
      </c>
      <c r="E3194" s="29">
        <v>19172656</v>
      </c>
      <c r="F3194" s="29" t="s">
        <v>60</v>
      </c>
      <c r="G3194" s="29" t="s">
        <v>847</v>
      </c>
      <c r="H3194" s="29">
        <v>78</v>
      </c>
      <c r="I3194" s="29"/>
      <c r="J3194" s="29"/>
      <c r="K3194" s="29"/>
      <c r="L3194" s="29"/>
      <c r="M3194" s="29"/>
      <c r="N3194" s="29"/>
      <c r="O3194" s="32">
        <v>78</v>
      </c>
      <c r="P3194" s="29" cm="1">
        <f t="array" ref="P3194">IF(表成绩单[[#This Row],[语文]]="","",SUMPRODUCT((表成绩单[考试日期]=表成绩单[[#This Row],[考试日期]])*(表成绩单[语文]&lt;9E+307)*(表成绩单[语文]&gt;表成绩单[[#This Row],[语文]]))+1)</f>
        <v>700</v>
      </c>
      <c r="Q3194" s="29" t="str" cm="1">
        <f t="array" ref="Q3194">IF(表成绩单[[#This Row],[数学]]="","",SUMPRODUCT((表成绩单[考试日期]=表成绩单[[#This Row],[考试日期]])*(表成绩单[数学]&lt;9E+307)*(表成绩单[数学]&gt;表成绩单[[#This Row],[数学]]))+1)</f>
        <v/>
      </c>
      <c r="R3194" s="29" t="str" cm="1">
        <f t="array" ref="R3194">IF(表成绩单[[#This Row],[英语]]="","",SUMPRODUCT((表成绩单[考试日期]=表成绩单[[#This Row],[考试日期]])*(表成绩单[英语]&lt;9E+307)*(表成绩单[英语]&gt;表成绩单[[#This Row],[英语]]))+1)</f>
        <v/>
      </c>
      <c r="S3194" s="29" t="str" cm="1">
        <f t="array" ref="S3194">IF(表成绩单[[#This Row],[物理]]="","",SUMPRODUCT((表成绩单[考试日期]=表成绩单[[#This Row],[考试日期]])*(表成绩单[物理]&lt;9E+307)*(表成绩单[物理]&gt;表成绩单[[#This Row],[物理]]))+1)</f>
        <v/>
      </c>
      <c r="T3194" s="29" t="str" cm="1">
        <f t="array" ref="T3194">IF(表成绩单[[#This Row],[化学]]="","",SUMPRODUCT((表成绩单[考试日期]=表成绩单[[#This Row],[考试日期]])*(表成绩单[化学]&lt;9E+307)*(表成绩单[化学]&gt;表成绩单[[#This Row],[化学]]))+1)</f>
        <v/>
      </c>
      <c r="U3194" s="29" t="str" cm="1">
        <f t="array" ref="U3194">IF(表成绩单[[#This Row],[政治]]="","",SUMPRODUCT((表成绩单[考试日期]=表成绩单[[#This Row],[考试日期]])*(表成绩单[政治]&lt;9E+307)*(表成绩单[政治]&gt;表成绩单[[#This Row],[政治]]))+1)</f>
        <v/>
      </c>
      <c r="V3194" s="29" t="str" cm="1">
        <f t="array" ref="V3194">IF(表成绩单[[#This Row],[历史]]="","",SUMPRODUCT((表成绩单[考试日期]=表成绩单[[#This Row],[考试日期]])*(表成绩单[历史]&lt;9E+307)*(表成绩单[历史]&gt;表成绩单[[#This Row],[历史]]))+1)</f>
        <v/>
      </c>
      <c r="W3194" s="29" cm="1">
        <f t="array" ref="W3194">IF(表成绩单[[#This Row],[总分]]="","",SUMPRODUCT((表成绩单[考试日期]=表成绩单[[#This Row],[考试日期]])*(表成绩单[总分]&lt;9E+307)*(表成绩单[总分]&gt;表成绩单[[#This Row],[总分]]))+1)</f>
        <v>787</v>
      </c>
    </row>
    <row r="3195" ht="28" customHeight="1" spans="4:23">
      <c r="D3195" s="31">
        <v>46108</v>
      </c>
      <c r="E3195" s="29">
        <v>19167644</v>
      </c>
      <c r="F3195" s="29" t="s">
        <v>1</v>
      </c>
      <c r="G3195" s="29" t="s">
        <v>419</v>
      </c>
      <c r="H3195" s="29"/>
      <c r="I3195" s="29"/>
      <c r="J3195" s="29"/>
      <c r="K3195" s="29"/>
      <c r="L3195" s="29"/>
      <c r="M3195" s="29"/>
      <c r="N3195" s="29"/>
      <c r="O3195" s="32"/>
      <c r="P3195" s="29" t="str" cm="1">
        <f t="array" ref="P3195">IF(表成绩单[[#This Row],[语文]]="","",SUMPRODUCT((表成绩单[考试日期]=表成绩单[[#This Row],[考试日期]])*(表成绩单[语文]&lt;9E+307)*(表成绩单[语文]&gt;表成绩单[[#This Row],[语文]]))+1)</f>
        <v/>
      </c>
      <c r="Q3195" s="29" t="str" cm="1">
        <f t="array" ref="Q3195">IF(表成绩单[[#This Row],[数学]]="","",SUMPRODUCT((表成绩单[考试日期]=表成绩单[[#This Row],[考试日期]])*(表成绩单[数学]&lt;9E+307)*(表成绩单[数学]&gt;表成绩单[[#This Row],[数学]]))+1)</f>
        <v/>
      </c>
      <c r="R3195" s="29" t="str" cm="1">
        <f t="array" ref="R3195">IF(表成绩单[[#This Row],[英语]]="","",SUMPRODUCT((表成绩单[考试日期]=表成绩单[[#This Row],[考试日期]])*(表成绩单[英语]&lt;9E+307)*(表成绩单[英语]&gt;表成绩单[[#This Row],[英语]]))+1)</f>
        <v/>
      </c>
      <c r="S3195" s="29" t="str" cm="1">
        <f t="array" ref="S3195">IF(表成绩单[[#This Row],[物理]]="","",SUMPRODUCT((表成绩单[考试日期]=表成绩单[[#This Row],[考试日期]])*(表成绩单[物理]&lt;9E+307)*(表成绩单[物理]&gt;表成绩单[[#This Row],[物理]]))+1)</f>
        <v/>
      </c>
      <c r="T3195" s="29" t="str" cm="1">
        <f t="array" ref="T3195">IF(表成绩单[[#This Row],[化学]]="","",SUMPRODUCT((表成绩单[考试日期]=表成绩单[[#This Row],[考试日期]])*(表成绩单[化学]&lt;9E+307)*(表成绩单[化学]&gt;表成绩单[[#This Row],[化学]]))+1)</f>
        <v/>
      </c>
      <c r="U3195" s="29" t="str" cm="1">
        <f t="array" ref="U3195">IF(表成绩单[[#This Row],[政治]]="","",SUMPRODUCT((表成绩单[考试日期]=表成绩单[[#This Row],[考试日期]])*(表成绩单[政治]&lt;9E+307)*(表成绩单[政治]&gt;表成绩单[[#This Row],[政治]]))+1)</f>
        <v/>
      </c>
      <c r="V3195" s="29" t="str" cm="1">
        <f t="array" ref="V3195">IF(表成绩单[[#This Row],[历史]]="","",SUMPRODUCT((表成绩单[考试日期]=表成绩单[[#This Row],[考试日期]])*(表成绩单[历史]&lt;9E+307)*(表成绩单[历史]&gt;表成绩单[[#This Row],[历史]]))+1)</f>
        <v/>
      </c>
      <c r="W3195" s="29" t="str" cm="1">
        <f t="array" ref="W3195">IF(表成绩单[[#This Row],[总分]]="","",SUMPRODUCT((表成绩单[考试日期]=表成绩单[[#This Row],[考试日期]])*(表成绩单[总分]&lt;9E+307)*(表成绩单[总分]&gt;表成绩单[[#This Row],[总分]]))+1)</f>
        <v/>
      </c>
    </row>
    <row r="3196" ht="28" customHeight="1" spans="4:23">
      <c r="D3196" s="31">
        <v>46108</v>
      </c>
      <c r="E3196" s="29">
        <v>19171083</v>
      </c>
      <c r="F3196" s="29" t="s">
        <v>67</v>
      </c>
      <c r="G3196" s="29" t="s">
        <v>336</v>
      </c>
      <c r="H3196" s="29"/>
      <c r="I3196" s="29"/>
      <c r="J3196" s="29"/>
      <c r="K3196" s="29"/>
      <c r="L3196" s="29"/>
      <c r="M3196" s="29"/>
      <c r="N3196" s="29"/>
      <c r="O3196" s="32"/>
      <c r="P3196" s="29" t="str" cm="1">
        <f t="array" ref="P3196">IF(表成绩单[[#This Row],[语文]]="","",SUMPRODUCT((表成绩单[考试日期]=表成绩单[[#This Row],[考试日期]])*(表成绩单[语文]&lt;9E+307)*(表成绩单[语文]&gt;表成绩单[[#This Row],[语文]]))+1)</f>
        <v/>
      </c>
      <c r="Q3196" s="29" t="str" cm="1">
        <f t="array" ref="Q3196">IF(表成绩单[[#This Row],[数学]]="","",SUMPRODUCT((表成绩单[考试日期]=表成绩单[[#This Row],[考试日期]])*(表成绩单[数学]&lt;9E+307)*(表成绩单[数学]&gt;表成绩单[[#This Row],[数学]]))+1)</f>
        <v/>
      </c>
      <c r="R3196" s="29" t="str" cm="1">
        <f t="array" ref="R3196">IF(表成绩单[[#This Row],[英语]]="","",SUMPRODUCT((表成绩单[考试日期]=表成绩单[[#This Row],[考试日期]])*(表成绩单[英语]&lt;9E+307)*(表成绩单[英语]&gt;表成绩单[[#This Row],[英语]]))+1)</f>
        <v/>
      </c>
      <c r="S3196" s="29" t="str" cm="1">
        <f t="array" ref="S3196">IF(表成绩单[[#This Row],[物理]]="","",SUMPRODUCT((表成绩单[考试日期]=表成绩单[[#This Row],[考试日期]])*(表成绩单[物理]&lt;9E+307)*(表成绩单[物理]&gt;表成绩单[[#This Row],[物理]]))+1)</f>
        <v/>
      </c>
      <c r="T3196" s="29" t="str" cm="1">
        <f t="array" ref="T3196">IF(表成绩单[[#This Row],[化学]]="","",SUMPRODUCT((表成绩单[考试日期]=表成绩单[[#This Row],[考试日期]])*(表成绩单[化学]&lt;9E+307)*(表成绩单[化学]&gt;表成绩单[[#This Row],[化学]]))+1)</f>
        <v/>
      </c>
      <c r="U3196" s="29" t="str" cm="1">
        <f t="array" ref="U3196">IF(表成绩单[[#This Row],[政治]]="","",SUMPRODUCT((表成绩单[考试日期]=表成绩单[[#This Row],[考试日期]])*(表成绩单[政治]&lt;9E+307)*(表成绩单[政治]&gt;表成绩单[[#This Row],[政治]]))+1)</f>
        <v/>
      </c>
      <c r="V3196" s="29" t="str" cm="1">
        <f t="array" ref="V3196">IF(表成绩单[[#This Row],[历史]]="","",SUMPRODUCT((表成绩单[考试日期]=表成绩单[[#This Row],[考试日期]])*(表成绩单[历史]&lt;9E+307)*(表成绩单[历史]&gt;表成绩单[[#This Row],[历史]]))+1)</f>
        <v/>
      </c>
      <c r="W3196" s="29" t="str" cm="1">
        <f t="array" ref="W3196">IF(表成绩单[[#This Row],[总分]]="","",SUMPRODUCT((表成绩单[考试日期]=表成绩单[[#This Row],[考试日期]])*(表成绩单[总分]&lt;9E+307)*(表成绩单[总分]&gt;表成绩单[[#This Row],[总分]]))+1)</f>
        <v/>
      </c>
    </row>
    <row r="3197" ht="28" customHeight="1" spans="4:23">
      <c r="D3197" s="31">
        <v>46108</v>
      </c>
      <c r="E3197" s="29">
        <v>19172635</v>
      </c>
      <c r="F3197" s="29" t="s">
        <v>60</v>
      </c>
      <c r="G3197" s="29" t="s">
        <v>809</v>
      </c>
      <c r="H3197" s="29"/>
      <c r="I3197" s="29"/>
      <c r="J3197" s="29"/>
      <c r="K3197" s="29"/>
      <c r="L3197" s="29"/>
      <c r="M3197" s="29"/>
      <c r="N3197" s="29"/>
      <c r="O3197" s="32"/>
      <c r="P3197" s="29" t="str" cm="1">
        <f t="array" ref="P3197">IF(表成绩单[[#This Row],[语文]]="","",SUMPRODUCT((表成绩单[考试日期]=表成绩单[[#This Row],[考试日期]])*(表成绩单[语文]&lt;9E+307)*(表成绩单[语文]&gt;表成绩单[[#This Row],[语文]]))+1)</f>
        <v/>
      </c>
      <c r="Q3197" s="29" t="str" cm="1">
        <f t="array" ref="Q3197">IF(表成绩单[[#This Row],[数学]]="","",SUMPRODUCT((表成绩单[考试日期]=表成绩单[[#This Row],[考试日期]])*(表成绩单[数学]&lt;9E+307)*(表成绩单[数学]&gt;表成绩单[[#This Row],[数学]]))+1)</f>
        <v/>
      </c>
      <c r="R3197" s="29" t="str" cm="1">
        <f t="array" ref="R3197">IF(表成绩单[[#This Row],[英语]]="","",SUMPRODUCT((表成绩单[考试日期]=表成绩单[[#This Row],[考试日期]])*(表成绩单[英语]&lt;9E+307)*(表成绩单[英语]&gt;表成绩单[[#This Row],[英语]]))+1)</f>
        <v/>
      </c>
      <c r="S3197" s="29" t="str" cm="1">
        <f t="array" ref="S3197">IF(表成绩单[[#This Row],[物理]]="","",SUMPRODUCT((表成绩单[考试日期]=表成绩单[[#This Row],[考试日期]])*(表成绩单[物理]&lt;9E+307)*(表成绩单[物理]&gt;表成绩单[[#This Row],[物理]]))+1)</f>
        <v/>
      </c>
      <c r="T3197" s="29" t="str" cm="1">
        <f t="array" ref="T3197">IF(表成绩单[[#This Row],[化学]]="","",SUMPRODUCT((表成绩单[考试日期]=表成绩单[[#This Row],[考试日期]])*(表成绩单[化学]&lt;9E+307)*(表成绩单[化学]&gt;表成绩单[[#This Row],[化学]]))+1)</f>
        <v/>
      </c>
      <c r="U3197" s="29" t="str" cm="1">
        <f t="array" ref="U3197">IF(表成绩单[[#This Row],[政治]]="","",SUMPRODUCT((表成绩单[考试日期]=表成绩单[[#This Row],[考试日期]])*(表成绩单[政治]&lt;9E+307)*(表成绩单[政治]&gt;表成绩单[[#This Row],[政治]]))+1)</f>
        <v/>
      </c>
      <c r="V3197" s="29" t="str" cm="1">
        <f t="array" ref="V3197">IF(表成绩单[[#This Row],[历史]]="","",SUMPRODUCT((表成绩单[考试日期]=表成绩单[[#This Row],[考试日期]])*(表成绩单[历史]&lt;9E+307)*(表成绩单[历史]&gt;表成绩单[[#This Row],[历史]]))+1)</f>
        <v/>
      </c>
      <c r="W3197" s="29" t="str" cm="1">
        <f t="array" ref="W3197">IF(表成绩单[[#This Row],[总分]]="","",SUMPRODUCT((表成绩单[考试日期]=表成绩单[[#This Row],[考试日期]])*(表成绩单[总分]&lt;9E+307)*(表成绩单[总分]&gt;表成绩单[[#This Row],[总分]]))+1)</f>
        <v/>
      </c>
    </row>
    <row r="3198" ht="28" customHeight="1" spans="4:23">
      <c r="D3198" s="31">
        <v>46108</v>
      </c>
      <c r="E3198" s="29">
        <v>19172662</v>
      </c>
      <c r="F3198" s="29" t="s">
        <v>60</v>
      </c>
      <c r="G3198" s="29" t="s">
        <v>871</v>
      </c>
      <c r="H3198" s="29"/>
      <c r="I3198" s="29"/>
      <c r="J3198" s="29"/>
      <c r="K3198" s="29"/>
      <c r="L3198" s="29"/>
      <c r="M3198" s="29"/>
      <c r="N3198" s="29"/>
      <c r="O3198" s="32"/>
      <c r="P3198" s="29" t="str" cm="1">
        <f t="array" ref="P3198">IF(表成绩单[[#This Row],[语文]]="","",SUMPRODUCT((表成绩单[考试日期]=表成绩单[[#This Row],[考试日期]])*(表成绩单[语文]&lt;9E+307)*(表成绩单[语文]&gt;表成绩单[[#This Row],[语文]]))+1)</f>
        <v/>
      </c>
      <c r="Q3198" s="29" t="str" cm="1">
        <f t="array" ref="Q3198">IF(表成绩单[[#This Row],[数学]]="","",SUMPRODUCT((表成绩单[考试日期]=表成绩单[[#This Row],[考试日期]])*(表成绩单[数学]&lt;9E+307)*(表成绩单[数学]&gt;表成绩单[[#This Row],[数学]]))+1)</f>
        <v/>
      </c>
      <c r="R3198" s="29" t="str" cm="1">
        <f t="array" ref="R3198">IF(表成绩单[[#This Row],[英语]]="","",SUMPRODUCT((表成绩单[考试日期]=表成绩单[[#This Row],[考试日期]])*(表成绩单[英语]&lt;9E+307)*(表成绩单[英语]&gt;表成绩单[[#This Row],[英语]]))+1)</f>
        <v/>
      </c>
      <c r="S3198" s="29" t="str" cm="1">
        <f t="array" ref="S3198">IF(表成绩单[[#This Row],[物理]]="","",SUMPRODUCT((表成绩单[考试日期]=表成绩单[[#This Row],[考试日期]])*(表成绩单[物理]&lt;9E+307)*(表成绩单[物理]&gt;表成绩单[[#This Row],[物理]]))+1)</f>
        <v/>
      </c>
      <c r="T3198" s="29" t="str" cm="1">
        <f t="array" ref="T3198">IF(表成绩单[[#This Row],[化学]]="","",SUMPRODUCT((表成绩单[考试日期]=表成绩单[[#This Row],[考试日期]])*(表成绩单[化学]&lt;9E+307)*(表成绩单[化学]&gt;表成绩单[[#This Row],[化学]]))+1)</f>
        <v/>
      </c>
      <c r="U3198" s="29" t="str" cm="1">
        <f t="array" ref="U3198">IF(表成绩单[[#This Row],[政治]]="","",SUMPRODUCT((表成绩单[考试日期]=表成绩单[[#This Row],[考试日期]])*(表成绩单[政治]&lt;9E+307)*(表成绩单[政治]&gt;表成绩单[[#This Row],[政治]]))+1)</f>
        <v/>
      </c>
      <c r="V3198" s="29" t="str" cm="1">
        <f t="array" ref="V3198">IF(表成绩单[[#This Row],[历史]]="","",SUMPRODUCT((表成绩单[考试日期]=表成绩单[[#This Row],[考试日期]])*(表成绩单[历史]&lt;9E+307)*(表成绩单[历史]&gt;表成绩单[[#This Row],[历史]]))+1)</f>
        <v/>
      </c>
      <c r="W3198" s="29" t="str" cm="1">
        <f t="array" ref="W3198">IF(表成绩单[[#This Row],[总分]]="","",SUMPRODUCT((表成绩单[考试日期]=表成绩单[[#This Row],[考试日期]])*(表成绩单[总分]&lt;9E+307)*(表成绩单[总分]&gt;表成绩单[[#This Row],[总分]]))+1)</f>
        <v/>
      </c>
    </row>
    <row r="3199" ht="28" customHeight="1" spans="4:23">
      <c r="D3199" s="31">
        <v>46108</v>
      </c>
      <c r="E3199" s="29">
        <v>19173762</v>
      </c>
      <c r="F3199" s="29" t="s">
        <v>65</v>
      </c>
      <c r="G3199" s="29" t="s">
        <v>607</v>
      </c>
      <c r="H3199" s="29"/>
      <c r="I3199" s="29"/>
      <c r="J3199" s="29"/>
      <c r="K3199" s="29"/>
      <c r="L3199" s="29"/>
      <c r="M3199" s="29"/>
      <c r="N3199" s="29"/>
      <c r="O3199" s="32"/>
      <c r="P3199" s="29" t="str" cm="1">
        <f t="array" ref="P3199">IF(表成绩单[[#This Row],[语文]]="","",SUMPRODUCT((表成绩单[考试日期]=表成绩单[[#This Row],[考试日期]])*(表成绩单[语文]&lt;9E+307)*(表成绩单[语文]&gt;表成绩单[[#This Row],[语文]]))+1)</f>
        <v/>
      </c>
      <c r="Q3199" s="29" t="str" cm="1">
        <f t="array" ref="Q3199">IF(表成绩单[[#This Row],[数学]]="","",SUMPRODUCT((表成绩单[考试日期]=表成绩单[[#This Row],[考试日期]])*(表成绩单[数学]&lt;9E+307)*(表成绩单[数学]&gt;表成绩单[[#This Row],[数学]]))+1)</f>
        <v/>
      </c>
      <c r="R3199" s="29" t="str" cm="1">
        <f t="array" ref="R3199">IF(表成绩单[[#This Row],[英语]]="","",SUMPRODUCT((表成绩单[考试日期]=表成绩单[[#This Row],[考试日期]])*(表成绩单[英语]&lt;9E+307)*(表成绩单[英语]&gt;表成绩单[[#This Row],[英语]]))+1)</f>
        <v/>
      </c>
      <c r="S3199" s="29" t="str" cm="1">
        <f t="array" ref="S3199">IF(表成绩单[[#This Row],[物理]]="","",SUMPRODUCT((表成绩单[考试日期]=表成绩单[[#This Row],[考试日期]])*(表成绩单[物理]&lt;9E+307)*(表成绩单[物理]&gt;表成绩单[[#This Row],[物理]]))+1)</f>
        <v/>
      </c>
      <c r="T3199" s="29" t="str" cm="1">
        <f t="array" ref="T3199">IF(表成绩单[[#This Row],[化学]]="","",SUMPRODUCT((表成绩单[考试日期]=表成绩单[[#This Row],[考试日期]])*(表成绩单[化学]&lt;9E+307)*(表成绩单[化学]&gt;表成绩单[[#This Row],[化学]]))+1)</f>
        <v/>
      </c>
      <c r="U3199" s="29" t="str" cm="1">
        <f t="array" ref="U3199">IF(表成绩单[[#This Row],[政治]]="","",SUMPRODUCT((表成绩单[考试日期]=表成绩单[[#This Row],[考试日期]])*(表成绩单[政治]&lt;9E+307)*(表成绩单[政治]&gt;表成绩单[[#This Row],[政治]]))+1)</f>
        <v/>
      </c>
      <c r="V3199" s="29" t="str" cm="1">
        <f t="array" ref="V3199">IF(表成绩单[[#This Row],[历史]]="","",SUMPRODUCT((表成绩单[考试日期]=表成绩单[[#This Row],[考试日期]])*(表成绩单[历史]&lt;9E+307)*(表成绩单[历史]&gt;表成绩单[[#This Row],[历史]]))+1)</f>
        <v/>
      </c>
      <c r="W3199" s="29" t="str" cm="1">
        <f t="array" ref="W3199">IF(表成绩单[[#This Row],[总分]]="","",SUMPRODUCT((表成绩单[考试日期]=表成绩单[[#This Row],[考试日期]])*(表成绩单[总分]&lt;9E+307)*(表成绩单[总分]&gt;表成绩单[[#This Row],[总分]]))+1)</f>
        <v/>
      </c>
    </row>
    <row r="3200" ht="28" customHeight="1" spans="4:23">
      <c r="D3200" s="31">
        <v>46108</v>
      </c>
      <c r="E3200" s="29">
        <v>19174451</v>
      </c>
      <c r="F3200" s="29" t="s">
        <v>73</v>
      </c>
      <c r="G3200" s="29" t="s">
        <v>241</v>
      </c>
      <c r="H3200" s="29"/>
      <c r="I3200" s="29"/>
      <c r="J3200" s="29"/>
      <c r="K3200" s="29"/>
      <c r="L3200" s="29"/>
      <c r="M3200" s="29"/>
      <c r="N3200" s="29"/>
      <c r="O3200" s="32"/>
      <c r="P3200" s="29" t="str" cm="1">
        <f t="array" ref="P3200">IF(表成绩单[[#This Row],[语文]]="","",SUMPRODUCT((表成绩单[考试日期]=表成绩单[[#This Row],[考试日期]])*(表成绩单[语文]&lt;9E+307)*(表成绩单[语文]&gt;表成绩单[[#This Row],[语文]]))+1)</f>
        <v/>
      </c>
      <c r="Q3200" s="29" t="str" cm="1">
        <f t="array" ref="Q3200">IF(表成绩单[[#This Row],[数学]]="","",SUMPRODUCT((表成绩单[考试日期]=表成绩单[[#This Row],[考试日期]])*(表成绩单[数学]&lt;9E+307)*(表成绩单[数学]&gt;表成绩单[[#This Row],[数学]]))+1)</f>
        <v/>
      </c>
      <c r="R3200" s="29" t="str" cm="1">
        <f t="array" ref="R3200">IF(表成绩单[[#This Row],[英语]]="","",SUMPRODUCT((表成绩单[考试日期]=表成绩单[[#This Row],[考试日期]])*(表成绩单[英语]&lt;9E+307)*(表成绩单[英语]&gt;表成绩单[[#This Row],[英语]]))+1)</f>
        <v/>
      </c>
      <c r="S3200" s="29" t="str" cm="1">
        <f t="array" ref="S3200">IF(表成绩单[[#This Row],[物理]]="","",SUMPRODUCT((表成绩单[考试日期]=表成绩单[[#This Row],[考试日期]])*(表成绩单[物理]&lt;9E+307)*(表成绩单[物理]&gt;表成绩单[[#This Row],[物理]]))+1)</f>
        <v/>
      </c>
      <c r="T3200" s="29" t="str" cm="1">
        <f t="array" ref="T3200">IF(表成绩单[[#This Row],[化学]]="","",SUMPRODUCT((表成绩单[考试日期]=表成绩单[[#This Row],[考试日期]])*(表成绩单[化学]&lt;9E+307)*(表成绩单[化学]&gt;表成绩单[[#This Row],[化学]]))+1)</f>
        <v/>
      </c>
      <c r="U3200" s="29" t="str" cm="1">
        <f t="array" ref="U3200">IF(表成绩单[[#This Row],[政治]]="","",SUMPRODUCT((表成绩单[考试日期]=表成绩单[[#This Row],[考试日期]])*(表成绩单[政治]&lt;9E+307)*(表成绩单[政治]&gt;表成绩单[[#This Row],[政治]]))+1)</f>
        <v/>
      </c>
      <c r="V3200" s="29" t="str" cm="1">
        <f t="array" ref="V3200">IF(表成绩单[[#This Row],[历史]]="","",SUMPRODUCT((表成绩单[考试日期]=表成绩单[[#This Row],[考试日期]])*(表成绩单[历史]&lt;9E+307)*(表成绩单[历史]&gt;表成绩单[[#This Row],[历史]]))+1)</f>
        <v/>
      </c>
      <c r="W3200" s="29" t="str" cm="1">
        <f t="array" ref="W3200">IF(表成绩单[[#This Row],[总分]]="","",SUMPRODUCT((表成绩单[考试日期]=表成绩单[[#This Row],[考试日期]])*(表成绩单[总分]&lt;9E+307)*(表成绩单[总分]&gt;表成绩单[[#This Row],[总分]]))+1)</f>
        <v/>
      </c>
    </row>
    <row r="3201" ht="28" customHeight="1" spans="4:23">
      <c r="D3201" s="31">
        <v>46108</v>
      </c>
      <c r="E3201" s="29">
        <v>19175319</v>
      </c>
      <c r="F3201" s="29" t="s">
        <v>55</v>
      </c>
      <c r="G3201" s="29" t="s">
        <v>874</v>
      </c>
      <c r="H3201" s="29"/>
      <c r="I3201" s="29"/>
      <c r="J3201" s="29"/>
      <c r="K3201" s="29"/>
      <c r="L3201" s="29"/>
      <c r="M3201" s="29"/>
      <c r="N3201" s="29"/>
      <c r="O3201" s="32"/>
      <c r="P3201" s="29" t="str" cm="1">
        <f t="array" ref="P3201">IF(表成绩单[[#This Row],[语文]]="","",SUMPRODUCT((表成绩单[考试日期]=表成绩单[[#This Row],[考试日期]])*(表成绩单[语文]&lt;9E+307)*(表成绩单[语文]&gt;表成绩单[[#This Row],[语文]]))+1)</f>
        <v/>
      </c>
      <c r="Q3201" s="29" t="str" cm="1">
        <f t="array" ref="Q3201">IF(表成绩单[[#This Row],[数学]]="","",SUMPRODUCT((表成绩单[考试日期]=表成绩单[[#This Row],[考试日期]])*(表成绩单[数学]&lt;9E+307)*(表成绩单[数学]&gt;表成绩单[[#This Row],[数学]]))+1)</f>
        <v/>
      </c>
      <c r="R3201" s="29" t="str" cm="1">
        <f t="array" ref="R3201">IF(表成绩单[[#This Row],[英语]]="","",SUMPRODUCT((表成绩单[考试日期]=表成绩单[[#This Row],[考试日期]])*(表成绩单[英语]&lt;9E+307)*(表成绩单[英语]&gt;表成绩单[[#This Row],[英语]]))+1)</f>
        <v/>
      </c>
      <c r="S3201" s="29" t="str" cm="1">
        <f t="array" ref="S3201">IF(表成绩单[[#This Row],[物理]]="","",SUMPRODUCT((表成绩单[考试日期]=表成绩单[[#This Row],[考试日期]])*(表成绩单[物理]&lt;9E+307)*(表成绩单[物理]&gt;表成绩单[[#This Row],[物理]]))+1)</f>
        <v/>
      </c>
      <c r="T3201" s="29" t="str" cm="1">
        <f t="array" ref="T3201">IF(表成绩单[[#This Row],[化学]]="","",SUMPRODUCT((表成绩单[考试日期]=表成绩单[[#This Row],[考试日期]])*(表成绩单[化学]&lt;9E+307)*(表成绩单[化学]&gt;表成绩单[[#This Row],[化学]]))+1)</f>
        <v/>
      </c>
      <c r="U3201" s="29" t="str" cm="1">
        <f t="array" ref="U3201">IF(表成绩单[[#This Row],[政治]]="","",SUMPRODUCT((表成绩单[考试日期]=表成绩单[[#This Row],[考试日期]])*(表成绩单[政治]&lt;9E+307)*(表成绩单[政治]&gt;表成绩单[[#This Row],[政治]]))+1)</f>
        <v/>
      </c>
      <c r="V3201" s="29" t="str" cm="1">
        <f t="array" ref="V3201">IF(表成绩单[[#This Row],[历史]]="","",SUMPRODUCT((表成绩单[考试日期]=表成绩单[[#This Row],[考试日期]])*(表成绩单[历史]&lt;9E+307)*(表成绩单[历史]&gt;表成绩单[[#This Row],[历史]]))+1)</f>
        <v/>
      </c>
      <c r="W3201" s="29" t="str" cm="1">
        <f t="array" ref="W3201">IF(表成绩单[[#This Row],[总分]]="","",SUMPRODUCT((表成绩单[考试日期]=表成绩单[[#This Row],[考试日期]])*(表成绩单[总分]&lt;9E+307)*(表成绩单[总分]&gt;表成绩单[[#This Row],[总分]]))+1)</f>
        <v/>
      </c>
    </row>
    <row r="3202" ht="28" customHeight="1" spans="4:23">
      <c r="D3202" s="31">
        <v>46108</v>
      </c>
      <c r="E3202" s="29">
        <v>19175624</v>
      </c>
      <c r="F3202" s="29" t="s">
        <v>57</v>
      </c>
      <c r="G3202" s="29" t="s">
        <v>877</v>
      </c>
      <c r="H3202" s="29"/>
      <c r="I3202" s="29"/>
      <c r="J3202" s="29"/>
      <c r="K3202" s="29"/>
      <c r="L3202" s="29"/>
      <c r="M3202" s="29"/>
      <c r="N3202" s="29"/>
      <c r="O3202" s="32"/>
      <c r="P3202" s="29" t="str" cm="1">
        <f t="array" ref="P3202">IF(表成绩单[[#This Row],[语文]]="","",SUMPRODUCT((表成绩单[考试日期]=表成绩单[[#This Row],[考试日期]])*(表成绩单[语文]&lt;9E+307)*(表成绩单[语文]&gt;表成绩单[[#This Row],[语文]]))+1)</f>
        <v/>
      </c>
      <c r="Q3202" s="29" t="str" cm="1">
        <f t="array" ref="Q3202">IF(表成绩单[[#This Row],[数学]]="","",SUMPRODUCT((表成绩单[考试日期]=表成绩单[[#This Row],[考试日期]])*(表成绩单[数学]&lt;9E+307)*(表成绩单[数学]&gt;表成绩单[[#This Row],[数学]]))+1)</f>
        <v/>
      </c>
      <c r="R3202" s="29" t="str" cm="1">
        <f t="array" ref="R3202">IF(表成绩单[[#This Row],[英语]]="","",SUMPRODUCT((表成绩单[考试日期]=表成绩单[[#This Row],[考试日期]])*(表成绩单[英语]&lt;9E+307)*(表成绩单[英语]&gt;表成绩单[[#This Row],[英语]]))+1)</f>
        <v/>
      </c>
      <c r="S3202" s="29" t="str" cm="1">
        <f t="array" ref="S3202">IF(表成绩单[[#This Row],[物理]]="","",SUMPRODUCT((表成绩单[考试日期]=表成绩单[[#This Row],[考试日期]])*(表成绩单[物理]&lt;9E+307)*(表成绩单[物理]&gt;表成绩单[[#This Row],[物理]]))+1)</f>
        <v/>
      </c>
      <c r="T3202" s="29" t="str" cm="1">
        <f t="array" ref="T3202">IF(表成绩单[[#This Row],[化学]]="","",SUMPRODUCT((表成绩单[考试日期]=表成绩单[[#This Row],[考试日期]])*(表成绩单[化学]&lt;9E+307)*(表成绩单[化学]&gt;表成绩单[[#This Row],[化学]]))+1)</f>
        <v/>
      </c>
      <c r="U3202" s="29" t="str" cm="1">
        <f t="array" ref="U3202">IF(表成绩单[[#This Row],[政治]]="","",SUMPRODUCT((表成绩单[考试日期]=表成绩单[[#This Row],[考试日期]])*(表成绩单[政治]&lt;9E+307)*(表成绩单[政治]&gt;表成绩单[[#This Row],[政治]]))+1)</f>
        <v/>
      </c>
      <c r="V3202" s="29" t="str" cm="1">
        <f t="array" ref="V3202">IF(表成绩单[[#This Row],[历史]]="","",SUMPRODUCT((表成绩单[考试日期]=表成绩单[[#This Row],[考试日期]])*(表成绩单[历史]&lt;9E+307)*(表成绩单[历史]&gt;表成绩单[[#This Row],[历史]]))+1)</f>
        <v/>
      </c>
      <c r="W3202" s="29" t="str" cm="1">
        <f t="array" ref="W3202">IF(表成绩单[[#This Row],[总分]]="","",SUMPRODUCT((表成绩单[考试日期]=表成绩单[[#This Row],[考试日期]])*(表成绩单[总分]&lt;9E+307)*(表成绩单[总分]&gt;表成绩单[[#This Row],[总分]]))+1)</f>
        <v/>
      </c>
    </row>
    <row r="3203" ht="28" customHeight="1" spans="4:23">
      <c r="D3203" s="31">
        <v>46108</v>
      </c>
      <c r="E3203" s="29">
        <v>19175656</v>
      </c>
      <c r="F3203" s="29" t="s">
        <v>66</v>
      </c>
      <c r="G3203" s="29" t="s">
        <v>187</v>
      </c>
      <c r="H3203" s="29"/>
      <c r="I3203" s="29"/>
      <c r="J3203" s="29"/>
      <c r="K3203" s="29"/>
      <c r="L3203" s="29"/>
      <c r="M3203" s="29"/>
      <c r="N3203" s="29"/>
      <c r="O3203" s="32"/>
      <c r="P3203" s="29" t="str" cm="1">
        <f t="array" ref="P3203">IF(表成绩单[[#This Row],[语文]]="","",SUMPRODUCT((表成绩单[考试日期]=表成绩单[[#This Row],[考试日期]])*(表成绩单[语文]&lt;9E+307)*(表成绩单[语文]&gt;表成绩单[[#This Row],[语文]]))+1)</f>
        <v/>
      </c>
      <c r="Q3203" s="29" t="str" cm="1">
        <f t="array" ref="Q3203">IF(表成绩单[[#This Row],[数学]]="","",SUMPRODUCT((表成绩单[考试日期]=表成绩单[[#This Row],[考试日期]])*(表成绩单[数学]&lt;9E+307)*(表成绩单[数学]&gt;表成绩单[[#This Row],[数学]]))+1)</f>
        <v/>
      </c>
      <c r="R3203" s="29" t="str" cm="1">
        <f t="array" ref="R3203">IF(表成绩单[[#This Row],[英语]]="","",SUMPRODUCT((表成绩单[考试日期]=表成绩单[[#This Row],[考试日期]])*(表成绩单[英语]&lt;9E+307)*(表成绩单[英语]&gt;表成绩单[[#This Row],[英语]]))+1)</f>
        <v/>
      </c>
      <c r="S3203" s="29" t="str" cm="1">
        <f t="array" ref="S3203">IF(表成绩单[[#This Row],[物理]]="","",SUMPRODUCT((表成绩单[考试日期]=表成绩单[[#This Row],[考试日期]])*(表成绩单[物理]&lt;9E+307)*(表成绩单[物理]&gt;表成绩单[[#This Row],[物理]]))+1)</f>
        <v/>
      </c>
      <c r="T3203" s="29" t="str" cm="1">
        <f t="array" ref="T3203">IF(表成绩单[[#This Row],[化学]]="","",SUMPRODUCT((表成绩单[考试日期]=表成绩单[[#This Row],[考试日期]])*(表成绩单[化学]&lt;9E+307)*(表成绩单[化学]&gt;表成绩单[[#This Row],[化学]]))+1)</f>
        <v/>
      </c>
      <c r="U3203" s="29" t="str" cm="1">
        <f t="array" ref="U3203">IF(表成绩单[[#This Row],[政治]]="","",SUMPRODUCT((表成绩单[考试日期]=表成绩单[[#This Row],[考试日期]])*(表成绩单[政治]&lt;9E+307)*(表成绩单[政治]&gt;表成绩单[[#This Row],[政治]]))+1)</f>
        <v/>
      </c>
      <c r="V3203" s="29" t="str" cm="1">
        <f t="array" ref="V3203">IF(表成绩单[[#This Row],[历史]]="","",SUMPRODUCT((表成绩单[考试日期]=表成绩单[[#This Row],[考试日期]])*(表成绩单[历史]&lt;9E+307)*(表成绩单[历史]&gt;表成绩单[[#This Row],[历史]]))+1)</f>
        <v/>
      </c>
      <c r="W3203" s="29" t="str" cm="1">
        <f t="array" ref="W3203">IF(表成绩单[[#This Row],[总分]]="","",SUMPRODUCT((表成绩单[考试日期]=表成绩单[[#This Row],[考试日期]])*(表成绩单[总分]&lt;9E+307)*(表成绩单[总分]&gt;表成绩单[[#This Row],[总分]]))+1)</f>
        <v/>
      </c>
    </row>
    <row r="3204" ht="28" customHeight="1" spans="4:23">
      <c r="D3204" s="31">
        <v>46108</v>
      </c>
      <c r="E3204" s="29">
        <v>19177598</v>
      </c>
      <c r="F3204" s="29" t="s">
        <v>58</v>
      </c>
      <c r="G3204" s="29" t="s">
        <v>878</v>
      </c>
      <c r="H3204" s="29"/>
      <c r="I3204" s="29"/>
      <c r="J3204" s="29"/>
      <c r="K3204" s="29"/>
      <c r="L3204" s="29"/>
      <c r="M3204" s="29"/>
      <c r="N3204" s="29"/>
      <c r="O3204" s="32"/>
      <c r="P3204" s="29" t="str" cm="1">
        <f t="array" ref="P3204">IF(表成绩单[[#This Row],[语文]]="","",SUMPRODUCT((表成绩单[考试日期]=表成绩单[[#This Row],[考试日期]])*(表成绩单[语文]&lt;9E+307)*(表成绩单[语文]&gt;表成绩单[[#This Row],[语文]]))+1)</f>
        <v/>
      </c>
      <c r="Q3204" s="29" t="str" cm="1">
        <f t="array" ref="Q3204">IF(表成绩单[[#This Row],[数学]]="","",SUMPRODUCT((表成绩单[考试日期]=表成绩单[[#This Row],[考试日期]])*(表成绩单[数学]&lt;9E+307)*(表成绩单[数学]&gt;表成绩单[[#This Row],[数学]]))+1)</f>
        <v/>
      </c>
      <c r="R3204" s="29" t="str" cm="1">
        <f t="array" ref="R3204">IF(表成绩单[[#This Row],[英语]]="","",SUMPRODUCT((表成绩单[考试日期]=表成绩单[[#This Row],[考试日期]])*(表成绩单[英语]&lt;9E+307)*(表成绩单[英语]&gt;表成绩单[[#This Row],[英语]]))+1)</f>
        <v/>
      </c>
      <c r="S3204" s="29" t="str" cm="1">
        <f t="array" ref="S3204">IF(表成绩单[[#This Row],[物理]]="","",SUMPRODUCT((表成绩单[考试日期]=表成绩单[[#This Row],[考试日期]])*(表成绩单[物理]&lt;9E+307)*(表成绩单[物理]&gt;表成绩单[[#This Row],[物理]]))+1)</f>
        <v/>
      </c>
      <c r="T3204" s="29" t="str" cm="1">
        <f t="array" ref="T3204">IF(表成绩单[[#This Row],[化学]]="","",SUMPRODUCT((表成绩单[考试日期]=表成绩单[[#This Row],[考试日期]])*(表成绩单[化学]&lt;9E+307)*(表成绩单[化学]&gt;表成绩单[[#This Row],[化学]]))+1)</f>
        <v/>
      </c>
      <c r="U3204" s="29" t="str" cm="1">
        <f t="array" ref="U3204">IF(表成绩单[[#This Row],[政治]]="","",SUMPRODUCT((表成绩单[考试日期]=表成绩单[[#This Row],[考试日期]])*(表成绩单[政治]&lt;9E+307)*(表成绩单[政治]&gt;表成绩单[[#This Row],[政治]]))+1)</f>
        <v/>
      </c>
      <c r="V3204" s="29" t="str" cm="1">
        <f t="array" ref="V3204">IF(表成绩单[[#This Row],[历史]]="","",SUMPRODUCT((表成绩单[考试日期]=表成绩单[[#This Row],[考试日期]])*(表成绩单[历史]&lt;9E+307)*(表成绩单[历史]&gt;表成绩单[[#This Row],[历史]]))+1)</f>
        <v/>
      </c>
      <c r="W3204" s="29" t="str" cm="1">
        <f t="array" ref="W3204">IF(表成绩单[[#This Row],[总分]]="","",SUMPRODUCT((表成绩单[考试日期]=表成绩单[[#This Row],[考试日期]])*(表成绩单[总分]&lt;9E+307)*(表成绩单[总分]&gt;表成绩单[[#This Row],[总分]]))+1)</f>
        <v/>
      </c>
    </row>
    <row r="3205" ht="28" customHeight="1" spans="4:23">
      <c r="D3205" s="31">
        <v>46108</v>
      </c>
      <c r="E3205" s="29">
        <v>36651092</v>
      </c>
      <c r="F3205" s="29" t="s">
        <v>25</v>
      </c>
      <c r="G3205" s="29" t="s">
        <v>439</v>
      </c>
      <c r="H3205" s="29"/>
      <c r="I3205" s="29"/>
      <c r="J3205" s="29"/>
      <c r="K3205" s="29"/>
      <c r="L3205" s="29"/>
      <c r="M3205" s="29"/>
      <c r="N3205" s="29"/>
      <c r="O3205" s="32"/>
      <c r="P3205" s="29" t="str" cm="1">
        <f t="array" ref="P3205">IF(表成绩单[[#This Row],[语文]]="","",SUMPRODUCT((表成绩单[考试日期]=表成绩单[[#This Row],[考试日期]])*(表成绩单[语文]&lt;9E+307)*(表成绩单[语文]&gt;表成绩单[[#This Row],[语文]]))+1)</f>
        <v/>
      </c>
      <c r="Q3205" s="29" t="str" cm="1">
        <f t="array" ref="Q3205">IF(表成绩单[[#This Row],[数学]]="","",SUMPRODUCT((表成绩单[考试日期]=表成绩单[[#This Row],[考试日期]])*(表成绩单[数学]&lt;9E+307)*(表成绩单[数学]&gt;表成绩单[[#This Row],[数学]]))+1)</f>
        <v/>
      </c>
      <c r="R3205" s="29" t="str" cm="1">
        <f t="array" ref="R3205">IF(表成绩单[[#This Row],[英语]]="","",SUMPRODUCT((表成绩单[考试日期]=表成绩单[[#This Row],[考试日期]])*(表成绩单[英语]&lt;9E+307)*(表成绩单[英语]&gt;表成绩单[[#This Row],[英语]]))+1)</f>
        <v/>
      </c>
      <c r="S3205" s="29" t="str" cm="1">
        <f t="array" ref="S3205">IF(表成绩单[[#This Row],[物理]]="","",SUMPRODUCT((表成绩单[考试日期]=表成绩单[[#This Row],[考试日期]])*(表成绩单[物理]&lt;9E+307)*(表成绩单[物理]&gt;表成绩单[[#This Row],[物理]]))+1)</f>
        <v/>
      </c>
      <c r="T3205" s="29" t="str" cm="1">
        <f t="array" ref="T3205">IF(表成绩单[[#This Row],[化学]]="","",SUMPRODUCT((表成绩单[考试日期]=表成绩单[[#This Row],[考试日期]])*(表成绩单[化学]&lt;9E+307)*(表成绩单[化学]&gt;表成绩单[[#This Row],[化学]]))+1)</f>
        <v/>
      </c>
      <c r="U3205" s="29" t="str" cm="1">
        <f t="array" ref="U3205">IF(表成绩单[[#This Row],[政治]]="","",SUMPRODUCT((表成绩单[考试日期]=表成绩单[[#This Row],[考试日期]])*(表成绩单[政治]&lt;9E+307)*(表成绩单[政治]&gt;表成绩单[[#This Row],[政治]]))+1)</f>
        <v/>
      </c>
      <c r="V3205" s="29" t="str" cm="1">
        <f t="array" ref="V3205">IF(表成绩单[[#This Row],[历史]]="","",SUMPRODUCT((表成绩单[考试日期]=表成绩单[[#This Row],[考试日期]])*(表成绩单[历史]&lt;9E+307)*(表成绩单[历史]&gt;表成绩单[[#This Row],[历史]]))+1)</f>
        <v/>
      </c>
      <c r="W3205" s="29" t="str" cm="1">
        <f t="array" ref="W3205">IF(表成绩单[[#This Row],[总分]]="","",SUMPRODUCT((表成绩单[考试日期]=表成绩单[[#This Row],[考试日期]])*(表成绩单[总分]&lt;9E+307)*(表成绩单[总分]&gt;表成绩单[[#This Row],[总分]]))+1)</f>
        <v/>
      </c>
    </row>
  </sheetData>
  <conditionalFormatting sqref="D5:W3205">
    <cfRule type="expression" dxfId="32" priority="1">
      <formula>$W$2&lt;&gt;123</formula>
    </cfRule>
  </conditionalFormatting>
  <printOptions horizontalCentered="1"/>
  <pageMargins left="0.31496062992126" right="0.31496062992126" top="0" bottom="0" header="0.31496062992126" footer="0.31496062992126"/>
  <pageSetup paperSize="9" scale="58" fitToHeight="0" orientation="landscape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W49"/>
  <sheetViews>
    <sheetView showGridLines="0" workbookViewId="0">
      <pane xSplit="4" ySplit="4" topLeftCell="E32" activePane="bottomRight" state="frozen"/>
      <selection/>
      <selection pane="topRight"/>
      <selection pane="bottomLeft"/>
      <selection pane="bottomRight" activeCell="O48" sqref="O48"/>
    </sheetView>
  </sheetViews>
  <sheetFormatPr defaultColWidth="9" defaultRowHeight="13"/>
  <cols>
    <col min="1" max="1" width="1.16" style="2" customWidth="1"/>
    <col min="2" max="2" width="4.75" style="2" customWidth="1"/>
    <col min="3" max="3" width="1.16" style="2" customWidth="1"/>
    <col min="4" max="4" width="4.66" style="2" customWidth="1"/>
    <col min="5" max="6" width="9.83" style="2" customWidth="1"/>
    <col min="7" max="22" width="9.83" style="13" customWidth="1"/>
    <col min="23" max="23" width="9.83" style="2" customWidth="1"/>
    <col min="24" max="16384" width="8.66" style="2"/>
  </cols>
  <sheetData>
    <row r="1" ht="8" customHeight="1"/>
    <row r="2" ht="38" customHeight="1" spans="2:23">
      <c r="B2" s="6"/>
      <c r="D2" s="14" t="s">
        <v>879</v>
      </c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</row>
    <row r="3" ht="8" customHeight="1" spans="2:23">
      <c r="B3" s="6"/>
    </row>
    <row r="4" ht="38" customHeight="1" spans="2:23">
      <c r="B4" s="6"/>
      <c r="D4" s="15" t="s">
        <v>46</v>
      </c>
      <c r="E4" s="16" t="s">
        <v>55</v>
      </c>
      <c r="F4" s="16" t="s">
        <v>57</v>
      </c>
      <c r="G4" s="16" t="s">
        <v>58</v>
      </c>
      <c r="H4" s="16" t="s">
        <v>59</v>
      </c>
      <c r="I4" s="16" t="s">
        <v>60</v>
      </c>
      <c r="J4" s="16" t="s">
        <v>61</v>
      </c>
      <c r="K4" s="16" t="s">
        <v>63</v>
      </c>
      <c r="L4" s="16" t="s">
        <v>64</v>
      </c>
      <c r="M4" s="16" t="s">
        <v>65</v>
      </c>
      <c r="N4" s="16" t="s">
        <v>66</v>
      </c>
      <c r="O4" s="16" t="s">
        <v>25</v>
      </c>
      <c r="P4" s="16" t="s">
        <v>67</v>
      </c>
      <c r="Q4" s="16" t="s">
        <v>69</v>
      </c>
      <c r="R4" s="16" t="s">
        <v>70</v>
      </c>
      <c r="S4" s="16" t="s">
        <v>71</v>
      </c>
      <c r="T4" s="16" t="s">
        <v>72</v>
      </c>
      <c r="U4" s="16" t="s">
        <v>73</v>
      </c>
      <c r="V4" s="16" t="s">
        <v>74</v>
      </c>
      <c r="W4" s="17" t="s">
        <v>1</v>
      </c>
    </row>
    <row r="5" ht="28" customHeight="1" spans="2:23">
      <c r="B5" s="6"/>
      <c r="D5" s="18">
        <f>ROW(A1)</f>
        <v>1</v>
      </c>
      <c r="E5" s="19" t="str" cm="1">
        <f t="array" ref="E5:E45">_xlfn.UNIQUE(_xlfn._xlws.FILTER(表成绩单[姓名],表成绩单[班级]=各班学生名单!E4))</f>
        <v>毛遂</v>
      </c>
      <c r="F5" s="19" t="str" cm="1">
        <f t="array" ref="F5:F47">_xlfn.UNIQUE(_xlfn._xlws.FILTER(表成绩单[姓名],表成绩单[班级]=各班学生名单!F4))</f>
        <v>李悠然</v>
      </c>
      <c r="G5" s="20" t="str" cm="1">
        <f t="array" ref="G5:G44">_xlfn.UNIQUE(_xlfn._xlws.FILTER(表成绩单[姓名],表成绩单[班级]=各班学生名单!G4))</f>
        <v>张钧茗</v>
      </c>
      <c r="H5" s="20" t="str" cm="1">
        <f t="array" ref="H5:H45">_xlfn.UNIQUE(_xlfn._xlws.FILTER(表成绩单[姓名],表成绩单[班级]=各班学生名单!H4))</f>
        <v>蒋羽沣</v>
      </c>
      <c r="I5" s="20" t="str" cm="1">
        <f t="array" ref="I5:I43">_xlfn.UNIQUE(_xlfn._xlws.FILTER(表成绩单[姓名],表成绩单[班级]=各班学生名单!I4))</f>
        <v>刘宛臻</v>
      </c>
      <c r="J5" s="20" t="str" cm="1">
        <f t="array" ref="J5:J49">_xlfn.UNIQUE(_xlfn._xlws.FILTER(表成绩单[姓名],表成绩单[班级]=各班学生名单!J4))</f>
        <v>姚睿良</v>
      </c>
      <c r="K5" s="20" t="str" cm="1">
        <f t="array" ref="K5:K49">_xlfn.UNIQUE(_xlfn._xlws.FILTER(表成绩单[姓名],表成绩单[班级]=各班学生名单!K4))</f>
        <v>赵睿恺</v>
      </c>
      <c r="L5" s="20" t="str" cm="1">
        <f t="array" ref="L5:L45">_xlfn.UNIQUE(_xlfn._xlws.FILTER(表成绩单[姓名],表成绩单[班级]=各班学生名单!L4))</f>
        <v>李菲凡</v>
      </c>
      <c r="M5" s="20" t="str" cm="1">
        <f t="array" ref="M5:M49">_xlfn.UNIQUE(_xlfn._xlws.FILTER(表成绩单[姓名],表成绩单[班级]=各班学生名单!M4))</f>
        <v>陈怡霏</v>
      </c>
      <c r="N5" s="20" t="str" cm="1">
        <f t="array" ref="N5:N43">_xlfn.UNIQUE(_xlfn._xlws.FILTER(表成绩单[姓名],表成绩单[班级]=各班学生名单!N4))</f>
        <v>梁致希</v>
      </c>
      <c r="O5" s="20" t="str" cm="1">
        <f t="array" ref="O5:O47">_xlfn.UNIQUE(_xlfn._xlws.FILTER(表成绩单[姓名],表成绩单[班级]=各班学生名单!O4))</f>
        <v>罗加薇</v>
      </c>
      <c r="P5" s="20" t="str" cm="1">
        <f t="array" ref="P5:P45">_xlfn.UNIQUE(_xlfn._xlws.FILTER(表成绩单[姓名],表成绩单[班级]=各班学生名单!P4))</f>
        <v>陈凯瑞</v>
      </c>
      <c r="Q5" s="20" t="str" cm="1">
        <f t="array" ref="Q5:Q45">_xlfn.UNIQUE(_xlfn._xlws.FILTER(表成绩单[姓名],表成绩单[班级]=各班学生名单!Q4))</f>
        <v>骆煜祺</v>
      </c>
      <c r="R5" s="20" t="str" cm="1">
        <f t="array" ref="R5:R47">_xlfn.UNIQUE(_xlfn._xlws.FILTER(表成绩单[姓名],表成绩单[班级]=各班学生名单!R4))</f>
        <v>何柏恒</v>
      </c>
      <c r="S5" s="20" t="str" cm="1">
        <f t="array" ref="S5:S49">_xlfn.UNIQUE(_xlfn._xlws.FILTER(表成绩单[姓名],表成绩单[班级]=各班学生名单!S4))</f>
        <v>张艺菱</v>
      </c>
      <c r="T5" s="20" t="str" cm="1">
        <f t="array" ref="T5:T44">_xlfn.UNIQUE(_xlfn._xlws.FILTER(表成绩单[姓名],表成绩单[班级]=各班学生名单!T4))</f>
        <v>周景源</v>
      </c>
      <c r="U5" s="20" t="str" cm="1">
        <f t="array" ref="U5:U47">_xlfn.UNIQUE(_xlfn._xlws.FILTER(表成绩单[姓名],表成绩单[班级]=各班学生名单!U4))</f>
        <v>丁启亮</v>
      </c>
      <c r="V5" s="20" t="str" cm="1">
        <f t="array" ref="V5:V47">_xlfn.UNIQUE(_xlfn._xlws.FILTER(表成绩单[姓名],表成绩单[班级]=各班学生名单!V4))</f>
        <v>刘颖珊</v>
      </c>
      <c r="W5" s="21" t="str" cm="1">
        <f t="array" ref="W5:W47">_xlfn.UNIQUE(_xlfn._xlws.FILTER(表成绩单[姓名],表成绩单[班级]=各班学生名单!W4))</f>
        <v>刘彧恺</v>
      </c>
    </row>
    <row r="6" ht="28" customHeight="1" spans="2:23">
      <c r="B6" s="6"/>
      <c r="D6" s="18">
        <f t="shared" ref="D6:D49" si="0">ROW(A2)</f>
        <v>2</v>
      </c>
      <c r="E6" s="19" t="str">
        <v>黄天佑</v>
      </c>
      <c r="F6" s="19" t="str">
        <v>李百恩</v>
      </c>
      <c r="G6" s="20" t="str">
        <v>陈思睿</v>
      </c>
      <c r="H6" s="20" t="str">
        <v>叶杰森</v>
      </c>
      <c r="I6" s="20" t="str">
        <v>李晨茜</v>
      </c>
      <c r="J6" s="20" t="str">
        <v>古逸威</v>
      </c>
      <c r="K6" s="20" t="str">
        <v>夏浩茗</v>
      </c>
      <c r="L6" s="20" t="str">
        <v>黄熙峻</v>
      </c>
      <c r="M6" s="20" t="str">
        <v>林奕含</v>
      </c>
      <c r="N6" s="20" t="str">
        <v>刘昌俊</v>
      </c>
      <c r="O6" s="20" t="str">
        <v>郑静远</v>
      </c>
      <c r="P6" s="20" t="str">
        <v>罗家俊</v>
      </c>
      <c r="Q6" s="20" t="str">
        <v>莫梓彤</v>
      </c>
      <c r="R6" s="20" t="str">
        <v>陈雅唯</v>
      </c>
      <c r="S6" s="20" t="str">
        <v>梁雅文</v>
      </c>
      <c r="T6" s="20" t="str">
        <v>杨子宁</v>
      </c>
      <c r="U6" s="20" t="str">
        <v>凌子轩</v>
      </c>
      <c r="V6" s="20" t="str">
        <v>刘隽轶</v>
      </c>
      <c r="W6" s="21" t="str">
        <v>冯俊玮</v>
      </c>
    </row>
    <row r="7" ht="28" customHeight="1" spans="2:23">
      <c r="B7" s="6"/>
      <c r="D7" s="18">
        <f t="shared" si="0"/>
        <v>3</v>
      </c>
      <c r="E7" s="19" t="str">
        <v>林璐熙</v>
      </c>
      <c r="F7" s="19" t="str">
        <v>张钊鸣</v>
      </c>
      <c r="G7" s="20" t="str">
        <v>吴宇皓</v>
      </c>
      <c r="H7" s="20" t="str">
        <v>吴卓殷</v>
      </c>
      <c r="I7" s="20" t="str">
        <v>罗俊朗</v>
      </c>
      <c r="J7" s="20" t="str">
        <v>吴皓琨</v>
      </c>
      <c r="K7" s="20" t="str">
        <v>蓝博</v>
      </c>
      <c r="L7" s="20" t="str">
        <v>陈昕缘</v>
      </c>
      <c r="M7" s="20" t="str">
        <v>温鑫杰</v>
      </c>
      <c r="N7" s="20" t="str">
        <v>王梓辰</v>
      </c>
      <c r="O7" s="20" t="str">
        <v>黄语嫣</v>
      </c>
      <c r="P7" s="20" t="str">
        <v>卓靖超</v>
      </c>
      <c r="Q7" s="20" t="str">
        <v>朱子行</v>
      </c>
      <c r="R7" s="20" t="str">
        <v>罗梓涵</v>
      </c>
      <c r="S7" s="20" t="str">
        <v>罗茵潆</v>
      </c>
      <c r="T7" s="20" t="str">
        <v>苏千婷</v>
      </c>
      <c r="U7" s="20" t="str">
        <v>魏雨沫</v>
      </c>
      <c r="V7" s="20" t="str">
        <v>冯梓皓</v>
      </c>
      <c r="W7" s="21" t="str">
        <v>江志远</v>
      </c>
    </row>
    <row r="8" ht="28" customHeight="1" spans="2:23">
      <c r="B8" s="6"/>
      <c r="D8" s="18">
        <f t="shared" si="0"/>
        <v>4</v>
      </c>
      <c r="E8" s="19" t="str">
        <v>曾劲松</v>
      </c>
      <c r="F8" s="19" t="str">
        <v>赵一航</v>
      </c>
      <c r="G8" s="20" t="str">
        <v>吴梓轩</v>
      </c>
      <c r="H8" s="20" t="str">
        <v>黄瑞</v>
      </c>
      <c r="I8" s="20" t="str">
        <v>吕萱</v>
      </c>
      <c r="J8" s="20" t="str">
        <v>何子骏</v>
      </c>
      <c r="K8" s="20" t="str">
        <v>李梓萱</v>
      </c>
      <c r="L8" s="20" t="str">
        <v>周峻帆</v>
      </c>
      <c r="M8" s="20" t="str">
        <v>钟浩轩</v>
      </c>
      <c r="N8" s="20" t="str">
        <v>龙韵淇</v>
      </c>
      <c r="O8" s="20" t="str">
        <v>刘小溪</v>
      </c>
      <c r="P8" s="20" t="str">
        <v>陈嘉荣</v>
      </c>
      <c r="Q8" s="20" t="str">
        <v>张瑞芯</v>
      </c>
      <c r="R8" s="20" t="str">
        <v>刘梓萱</v>
      </c>
      <c r="S8" s="20" t="str">
        <v>李知与</v>
      </c>
      <c r="T8" s="20" t="str">
        <v>江梓宁</v>
      </c>
      <c r="U8" s="20" t="str">
        <v>何梓轩</v>
      </c>
      <c r="V8" s="20" t="str">
        <v>刘子祺</v>
      </c>
      <c r="W8" s="21" t="str">
        <v>吕祉诺</v>
      </c>
    </row>
    <row r="9" ht="28" customHeight="1" spans="2:23">
      <c r="B9" s="6"/>
      <c r="D9" s="18">
        <f t="shared" si="0"/>
        <v>5</v>
      </c>
      <c r="E9" s="19" t="str">
        <v>叶雨晗</v>
      </c>
      <c r="F9" s="19" t="str">
        <v>吴乐欣</v>
      </c>
      <c r="G9" s="20" t="str">
        <v>陈怡平</v>
      </c>
      <c r="H9" s="20" t="str">
        <v>雷云翔</v>
      </c>
      <c r="I9" s="20" t="str">
        <v>钟梓嘉</v>
      </c>
      <c r="J9" s="20" t="str">
        <v>贺加琦</v>
      </c>
      <c r="K9" s="20" t="str">
        <v>朱静宜</v>
      </c>
      <c r="L9" s="20" t="str">
        <v>郑思敏</v>
      </c>
      <c r="M9" s="20" t="str">
        <v>李雨霏</v>
      </c>
      <c r="N9" s="20" t="str">
        <v>史倩华</v>
      </c>
      <c r="O9" s="20" t="str">
        <v>徐想</v>
      </c>
      <c r="P9" s="20" t="str">
        <v>何曦</v>
      </c>
      <c r="Q9" s="20" t="str">
        <v>欧阳誉恒</v>
      </c>
      <c r="R9" s="20" t="str">
        <v>周佳杰</v>
      </c>
      <c r="S9" s="20" t="str">
        <v>杨思予</v>
      </c>
      <c r="T9" s="20" t="str">
        <v>刘岩鑫</v>
      </c>
      <c r="U9" s="20" t="str">
        <v>杨逍</v>
      </c>
      <c r="V9" s="20" t="str">
        <v>陆科儒</v>
      </c>
      <c r="W9" s="21" t="str">
        <v>李颖佳</v>
      </c>
    </row>
    <row r="10" ht="28" customHeight="1" spans="2:23">
      <c r="B10" s="6"/>
      <c r="D10" s="18">
        <f t="shared" si="0"/>
        <v>6</v>
      </c>
      <c r="E10" s="19" t="str">
        <v>包为民</v>
      </c>
      <c r="F10" s="19" t="str">
        <v>张娅楠</v>
      </c>
      <c r="G10" s="20" t="str">
        <v>郑之欣</v>
      </c>
      <c r="H10" s="20" t="str">
        <v>夏以昕</v>
      </c>
      <c r="I10" s="20" t="str">
        <v>陈浩仁</v>
      </c>
      <c r="J10" s="20" t="str">
        <v>蔡诚俊</v>
      </c>
      <c r="K10" s="20" t="str">
        <v>李晗飞</v>
      </c>
      <c r="L10" s="20" t="str">
        <v>黄臻瑜</v>
      </c>
      <c r="M10" s="20" t="str">
        <v>袁慧璇</v>
      </c>
      <c r="N10" s="20" t="str">
        <v>汪圆圆</v>
      </c>
      <c r="O10" s="20" t="str">
        <v>朱芷筠</v>
      </c>
      <c r="P10" s="20" t="str">
        <v>陈禹羲</v>
      </c>
      <c r="Q10" s="20" t="str">
        <v>沈峻熙</v>
      </c>
      <c r="R10" s="20" t="str">
        <v>谢凯帆</v>
      </c>
      <c r="S10" s="20" t="str">
        <v>汪语星</v>
      </c>
      <c r="T10" s="20" t="str">
        <v>宁张宇轩</v>
      </c>
      <c r="U10" s="20" t="str">
        <v>高一诺</v>
      </c>
      <c r="V10" s="20" t="str">
        <v>林子然</v>
      </c>
      <c r="W10" s="21" t="str">
        <v>吴承滔</v>
      </c>
    </row>
    <row r="11" ht="28" customHeight="1" spans="2:23">
      <c r="B11" s="6"/>
      <c r="D11" s="18">
        <f t="shared" si="0"/>
        <v>7</v>
      </c>
      <c r="E11" s="19" t="str">
        <v>刘静怡</v>
      </c>
      <c r="F11" s="19" t="str">
        <v>彭梓萱</v>
      </c>
      <c r="G11" s="20" t="str">
        <v>周雯珺</v>
      </c>
      <c r="H11" s="20" t="str">
        <v>肖湘悦</v>
      </c>
      <c r="I11" s="20" t="str">
        <v>何牧</v>
      </c>
      <c r="J11" s="20" t="str">
        <v>欧欣怡</v>
      </c>
      <c r="K11" s="20" t="str">
        <v>郭国庆</v>
      </c>
      <c r="L11" s="20" t="str">
        <v>徐艺宸</v>
      </c>
      <c r="M11" s="20" t="str">
        <v>邓诗杨</v>
      </c>
      <c r="N11" s="20" t="str">
        <v>何锦程</v>
      </c>
      <c r="O11" s="20" t="str">
        <v>朱紫妍</v>
      </c>
      <c r="P11" s="20" t="str">
        <v>谢雅吉</v>
      </c>
      <c r="Q11" s="20" t="str">
        <v>林睿</v>
      </c>
      <c r="R11" s="20" t="str">
        <v>程昱哲</v>
      </c>
      <c r="S11" s="20" t="str">
        <v>李嘉睿</v>
      </c>
      <c r="T11" s="20" t="str">
        <v>郭胜铭</v>
      </c>
      <c r="U11" s="20" t="str">
        <v>李俊烨</v>
      </c>
      <c r="V11" s="20" t="str">
        <v>叶宇轩</v>
      </c>
      <c r="W11" s="21" t="str">
        <v>王泓颖</v>
      </c>
    </row>
    <row r="12" ht="28" customHeight="1" spans="2:23">
      <c r="B12" s="6"/>
      <c r="D12" s="18">
        <f t="shared" si="0"/>
        <v>8</v>
      </c>
      <c r="E12" s="19" t="str">
        <v>刘启正</v>
      </c>
      <c r="F12" s="19" t="str">
        <v>张抱抱</v>
      </c>
      <c r="G12" s="20" t="str">
        <v>张芯瑜</v>
      </c>
      <c r="H12" s="20" t="str">
        <v>张宇轩</v>
      </c>
      <c r="I12" s="20" t="str">
        <v>胡杰文</v>
      </c>
      <c r="J12" s="20" t="str">
        <v>叶梓婷</v>
      </c>
      <c r="K12" s="20" t="str">
        <v>杨兆基</v>
      </c>
      <c r="L12" s="20" t="str">
        <v>吴定轩</v>
      </c>
      <c r="M12" s="20" t="str">
        <v>冯梓轩</v>
      </c>
      <c r="N12" s="20" t="str">
        <v>张靖瑶</v>
      </c>
      <c r="O12" s="20" t="str">
        <v>谭礼璐</v>
      </c>
      <c r="P12" s="20" t="str">
        <v>饶城宇</v>
      </c>
      <c r="Q12" s="20" t="str">
        <v>徐靖博</v>
      </c>
      <c r="R12" s="20" t="str">
        <v>付浩冉</v>
      </c>
      <c r="S12" s="20" t="str">
        <v>谢若蓥</v>
      </c>
      <c r="T12" s="20" t="str">
        <v>彭建秋</v>
      </c>
      <c r="U12" s="20" t="str">
        <v>周隽立</v>
      </c>
      <c r="V12" s="20" t="str">
        <v>刘昱翧</v>
      </c>
      <c r="W12" s="21" t="str">
        <v>黎梦瑜</v>
      </c>
    </row>
    <row r="13" ht="28" customHeight="1" spans="2:23">
      <c r="B13" s="6"/>
      <c r="D13" s="18">
        <f t="shared" si="0"/>
        <v>9</v>
      </c>
      <c r="E13" s="19" t="str">
        <v>吴定涵</v>
      </c>
      <c r="F13" s="19" t="str">
        <v>彭赞</v>
      </c>
      <c r="G13" s="20" t="str">
        <v>梁家豪</v>
      </c>
      <c r="H13" s="20" t="str">
        <v>李铭</v>
      </c>
      <c r="I13" s="20" t="str">
        <v>覃文欣</v>
      </c>
      <c r="J13" s="20" t="str">
        <v>袁睿浩</v>
      </c>
      <c r="K13" s="20" t="str">
        <v>刘云天</v>
      </c>
      <c r="L13" s="20" t="str">
        <v>李以恬</v>
      </c>
      <c r="M13" s="20" t="str">
        <v>孔维添</v>
      </c>
      <c r="N13" s="20" t="str">
        <v>唐润恒</v>
      </c>
      <c r="O13" s="20" t="str">
        <v>王栎颖</v>
      </c>
      <c r="P13" s="20" t="str">
        <v>胡瑞华</v>
      </c>
      <c r="Q13" s="20" t="str">
        <v>李悦扬</v>
      </c>
      <c r="R13" s="20" t="str">
        <v>孔麒竣</v>
      </c>
      <c r="S13" s="20" t="str">
        <v>卓宇阳</v>
      </c>
      <c r="T13" s="20" t="str">
        <v>缪宇峰</v>
      </c>
      <c r="U13" s="20" t="str">
        <v>郭世霖</v>
      </c>
      <c r="V13" s="20" t="str">
        <v>邓习弘</v>
      </c>
      <c r="W13" s="21" t="str">
        <v>刘思聪</v>
      </c>
    </row>
    <row r="14" ht="28" customHeight="1" spans="2:23">
      <c r="B14" s="6"/>
      <c r="D14" s="18">
        <f t="shared" si="0"/>
        <v>10</v>
      </c>
      <c r="E14" s="19" t="str">
        <v>钟梓萌</v>
      </c>
      <c r="F14" s="19" t="str">
        <v>周家乐</v>
      </c>
      <c r="G14" s="20" t="str">
        <v>方梓涵</v>
      </c>
      <c r="H14" s="20" t="str">
        <v>陈思诚</v>
      </c>
      <c r="I14" s="20" t="str">
        <v>宋壁光</v>
      </c>
      <c r="J14" s="20" t="str">
        <v>汪宝瑞</v>
      </c>
      <c r="K14" s="20" t="str">
        <v>张舒鑫</v>
      </c>
      <c r="L14" s="20" t="str">
        <v>董宇阳</v>
      </c>
      <c r="M14" s="20" t="str">
        <v>彭芯蕾</v>
      </c>
      <c r="N14" s="20" t="str">
        <v>侯萱忆</v>
      </c>
      <c r="O14" s="20" t="str">
        <v>张钰霏</v>
      </c>
      <c r="P14" s="20" t="str">
        <v>李瑞卿</v>
      </c>
      <c r="Q14" s="20" t="str">
        <v>谢睿朗</v>
      </c>
      <c r="R14" s="20" t="str">
        <v>张诗涵</v>
      </c>
      <c r="S14" s="20" t="str">
        <v>劳雨萱</v>
      </c>
      <c r="T14" s="20" t="str">
        <v>陈俊宇</v>
      </c>
      <c r="U14" s="20" t="str">
        <v>刘祺</v>
      </c>
      <c r="V14" s="20" t="str">
        <v>陈俊宏</v>
      </c>
      <c r="W14" s="21" t="str">
        <v>叶恩彤</v>
      </c>
    </row>
    <row r="15" ht="28" customHeight="1" spans="2:23">
      <c r="B15" s="6"/>
      <c r="D15" s="18">
        <f t="shared" si="0"/>
        <v>11</v>
      </c>
      <c r="E15" s="19" t="str">
        <v>强思翼</v>
      </c>
      <c r="F15" s="19" t="str">
        <v>钟力行</v>
      </c>
      <c r="G15" s="20" t="str">
        <v>林逸晟</v>
      </c>
      <c r="H15" s="20" t="str">
        <v>陈奕行</v>
      </c>
      <c r="I15" s="20" t="str">
        <v>熊子豪</v>
      </c>
      <c r="J15" s="20" t="str">
        <v>周智生</v>
      </c>
      <c r="K15" s="20" t="str">
        <v>朱彦郗</v>
      </c>
      <c r="L15" s="20" t="str">
        <v>洪子瑞</v>
      </c>
      <c r="M15" s="20" t="str">
        <v>刘震</v>
      </c>
      <c r="N15" s="20" t="str">
        <v>张姚景</v>
      </c>
      <c r="O15" s="20" t="str">
        <v>贺明非</v>
      </c>
      <c r="P15" s="20" t="str">
        <v>赵怡然</v>
      </c>
      <c r="Q15" s="20" t="str">
        <v>罗乐瑶</v>
      </c>
      <c r="R15" s="20" t="str">
        <v>李润淇</v>
      </c>
      <c r="S15" s="20" t="str">
        <v>温雨荷</v>
      </c>
      <c r="T15" s="20" t="str">
        <v>陈俊源</v>
      </c>
      <c r="U15" s="20" t="str">
        <v>沈伊</v>
      </c>
      <c r="V15" s="20" t="str">
        <v>李卓烜</v>
      </c>
      <c r="W15" s="21" t="str">
        <v>李恩泽</v>
      </c>
    </row>
    <row r="16" ht="28" customHeight="1" spans="2:23">
      <c r="B16" s="6"/>
      <c r="D16" s="18">
        <f t="shared" si="0"/>
        <v>12</v>
      </c>
      <c r="E16" s="19" t="str">
        <v>郑光耀</v>
      </c>
      <c r="F16" s="19" t="str">
        <v>薛宇璐</v>
      </c>
      <c r="G16" s="20" t="str">
        <v>李雯琪</v>
      </c>
      <c r="H16" s="20" t="str">
        <v>曾可欣</v>
      </c>
      <c r="I16" s="20" t="str">
        <v>曾维泰</v>
      </c>
      <c r="J16" s="20" t="str">
        <v>潘允哲</v>
      </c>
      <c r="K16" s="20" t="str">
        <v>高诗馨</v>
      </c>
      <c r="L16" s="20" t="str">
        <v>甘天行</v>
      </c>
      <c r="M16" s="20" t="str">
        <v>马瑞君</v>
      </c>
      <c r="N16" s="20" t="str">
        <v>罗斌</v>
      </c>
      <c r="O16" s="20" t="str">
        <v>李灿玮</v>
      </c>
      <c r="P16" s="20" t="str">
        <v>郭彦熙</v>
      </c>
      <c r="Q16" s="20" t="str">
        <v>王妍雯</v>
      </c>
      <c r="R16" s="20" t="str">
        <v>阮之谦</v>
      </c>
      <c r="S16" s="20" t="str">
        <v>刘昊轩</v>
      </c>
      <c r="T16" s="20" t="str">
        <v>谭芷玲</v>
      </c>
      <c r="U16" s="20" t="str">
        <v>张恩祁</v>
      </c>
      <c r="V16" s="20" t="str">
        <v>全家骏</v>
      </c>
      <c r="W16" s="21" t="str">
        <v>林承熹</v>
      </c>
    </row>
    <row r="17" ht="28" customHeight="1" spans="2:23">
      <c r="B17" s="6"/>
      <c r="D17" s="18">
        <f t="shared" si="0"/>
        <v>13</v>
      </c>
      <c r="E17" s="19" t="str">
        <v>李鸣冲</v>
      </c>
      <c r="F17" s="19" t="str">
        <v>许锦翔</v>
      </c>
      <c r="G17" s="20" t="str">
        <v>邓善媛</v>
      </c>
      <c r="H17" s="20" t="str">
        <v>佘子涛</v>
      </c>
      <c r="I17" s="20" t="str">
        <v>陈定轩</v>
      </c>
      <c r="J17" s="20" t="str">
        <v>卢语煊</v>
      </c>
      <c r="K17" s="20" t="str">
        <v>陈熙</v>
      </c>
      <c r="L17" s="20" t="str">
        <v>李怡轩</v>
      </c>
      <c r="M17" s="20" t="str">
        <v>徐梓童</v>
      </c>
      <c r="N17" s="20" t="str">
        <v>陈峻朗</v>
      </c>
      <c r="O17" s="20" t="str">
        <v>王乙多</v>
      </c>
      <c r="P17" s="20" t="str">
        <v>吕文婧</v>
      </c>
      <c r="Q17" s="20" t="str">
        <v>章忆雯</v>
      </c>
      <c r="R17" s="20" t="str">
        <v>罗鼎铭</v>
      </c>
      <c r="S17" s="20" t="str">
        <v>陈颖</v>
      </c>
      <c r="T17" s="20" t="str">
        <v>陈宇轩</v>
      </c>
      <c r="U17" s="20" t="str">
        <v>刘丹晴</v>
      </c>
      <c r="V17" s="20" t="str">
        <v>李佳妍</v>
      </c>
      <c r="W17" s="21" t="str">
        <v>鲁可倾</v>
      </c>
    </row>
    <row r="18" ht="28" customHeight="1" spans="2:23">
      <c r="B18" s="6"/>
      <c r="D18" s="18">
        <f t="shared" si="0"/>
        <v>14</v>
      </c>
      <c r="E18" s="19" t="str">
        <v>范子沫</v>
      </c>
      <c r="F18" s="19" t="str">
        <v>叶梓扬</v>
      </c>
      <c r="G18" s="20" t="str">
        <v>蓝尧竑</v>
      </c>
      <c r="H18" s="20" t="str">
        <v>李雯婷</v>
      </c>
      <c r="I18" s="20" t="str">
        <v>熊玺</v>
      </c>
      <c r="J18" s="20" t="str">
        <v>许馨月</v>
      </c>
      <c r="K18" s="20" t="str">
        <v>杨紫露</v>
      </c>
      <c r="L18" s="20" t="str">
        <v>钟梓淇</v>
      </c>
      <c r="M18" s="20" t="str">
        <v>杜紫杨</v>
      </c>
      <c r="N18" s="20" t="str">
        <v>金泰宇</v>
      </c>
      <c r="O18" s="20" t="str">
        <v>梁心晴</v>
      </c>
      <c r="P18" s="20" t="str">
        <v>林朋屾</v>
      </c>
      <c r="Q18" s="20" t="str">
        <v>梁予馨</v>
      </c>
      <c r="R18" s="20" t="str">
        <v>梅恩豪</v>
      </c>
      <c r="S18" s="20" t="str">
        <v>陈柳含</v>
      </c>
      <c r="T18" s="20" t="str">
        <v>陈政桉</v>
      </c>
      <c r="U18" s="20" t="str">
        <v>劉恩彤</v>
      </c>
      <c r="V18" s="20" t="str">
        <v>王逸轩</v>
      </c>
      <c r="W18" s="21" t="str">
        <v>陆智波</v>
      </c>
    </row>
    <row r="19" ht="28" customHeight="1" spans="2:23">
      <c r="B19" s="6"/>
      <c r="D19" s="18">
        <f t="shared" si="0"/>
        <v>15</v>
      </c>
      <c r="E19" s="19" t="str">
        <v>廖子墨</v>
      </c>
      <c r="F19" s="19" t="str">
        <v>石一涵</v>
      </c>
      <c r="G19" s="20" t="str">
        <v>冯珮盈</v>
      </c>
      <c r="H19" s="20" t="str">
        <v>李梓锐</v>
      </c>
      <c r="I19" s="20" t="str">
        <v>黄逸桐</v>
      </c>
      <c r="J19" s="20" t="str">
        <v>肖煜恒</v>
      </c>
      <c r="K19" s="20" t="str">
        <v>杨珺贻</v>
      </c>
      <c r="L19" s="20" t="str">
        <v>刘梓贤</v>
      </c>
      <c r="M19" s="20" t="str">
        <v>谢锐涛</v>
      </c>
      <c r="N19" s="20" t="str">
        <v>徐心瑶</v>
      </c>
      <c r="O19" s="20" t="str">
        <v>周永轩</v>
      </c>
      <c r="P19" s="20" t="str">
        <v>李垚静</v>
      </c>
      <c r="Q19" s="20" t="str">
        <v>周子为</v>
      </c>
      <c r="R19" s="20" t="str">
        <v>丁峤睿</v>
      </c>
      <c r="S19" s="20" t="str">
        <v>张峻驰</v>
      </c>
      <c r="T19" s="20" t="str">
        <v>张泽彬</v>
      </c>
      <c r="U19" s="20" t="str">
        <v>何鸿熹</v>
      </c>
      <c r="V19" s="20" t="str">
        <v>彭尔听</v>
      </c>
      <c r="W19" s="21" t="str">
        <v>吴沐恩</v>
      </c>
    </row>
    <row r="20" ht="28" customHeight="1" spans="2:23">
      <c r="B20" s="6"/>
      <c r="D20" s="18">
        <f t="shared" si="0"/>
        <v>16</v>
      </c>
      <c r="E20" s="19" t="str">
        <v>诸言</v>
      </c>
      <c r="F20" s="19" t="str">
        <v>何语筠</v>
      </c>
      <c r="G20" s="20" t="str">
        <v>李启昊</v>
      </c>
      <c r="H20" s="20" t="str">
        <v>王凯鑫</v>
      </c>
      <c r="I20" s="20" t="str">
        <v>何希桐</v>
      </c>
      <c r="J20" s="20" t="str">
        <v>陈昊洋</v>
      </c>
      <c r="K20" s="20" t="str">
        <v>陈靖朗</v>
      </c>
      <c r="L20" s="20" t="str">
        <v>林品源</v>
      </c>
      <c r="M20" s="20" t="str">
        <v>刘武煊</v>
      </c>
      <c r="N20" s="20" t="str">
        <v>林致</v>
      </c>
      <c r="O20" s="20" t="str">
        <v>刘曼雅</v>
      </c>
      <c r="P20" s="20" t="str">
        <v>杨临风</v>
      </c>
      <c r="Q20" s="20" t="str">
        <v>郭瑞馨</v>
      </c>
      <c r="R20" s="20" t="str">
        <v>柴子煜</v>
      </c>
      <c r="S20" s="20" t="str">
        <v>梁雨萱</v>
      </c>
      <c r="T20" s="20" t="str">
        <v>李诗灏</v>
      </c>
      <c r="U20" s="20" t="str">
        <v>黄浩谦</v>
      </c>
      <c r="V20" s="20" t="str">
        <v>招阳</v>
      </c>
      <c r="W20" s="21" t="str">
        <v>周彦彤</v>
      </c>
    </row>
    <row r="21" ht="28" customHeight="1" spans="2:23">
      <c r="B21" s="6"/>
      <c r="D21" s="18">
        <f t="shared" si="0"/>
        <v>17</v>
      </c>
      <c r="E21" s="19" t="str">
        <v>陈博凯</v>
      </c>
      <c r="F21" s="19" t="str">
        <v>郑思怡</v>
      </c>
      <c r="G21" s="20" t="str">
        <v>佘亦琳</v>
      </c>
      <c r="H21" s="20" t="str">
        <v>陈卓雅</v>
      </c>
      <c r="I21" s="20" t="str">
        <v>冯颖慧</v>
      </c>
      <c r="J21" s="20" t="str">
        <v>马信喆</v>
      </c>
      <c r="K21" s="20" t="str">
        <v>钟韵琪</v>
      </c>
      <c r="L21" s="20" t="str">
        <v>余昊原</v>
      </c>
      <c r="M21" s="20" t="str">
        <v>欧贞希</v>
      </c>
      <c r="N21" s="20" t="str">
        <v>朱正博</v>
      </c>
      <c r="O21" s="20" t="str">
        <v>郑慕曦</v>
      </c>
      <c r="P21" s="20" t="str">
        <v>游惠雅</v>
      </c>
      <c r="Q21" s="20" t="str">
        <v>李想</v>
      </c>
      <c r="R21" s="20" t="str">
        <v>马浩翔</v>
      </c>
      <c r="S21" s="20" t="str">
        <v>白梓彤</v>
      </c>
      <c r="T21" s="20" t="str">
        <v>孟瑾诺</v>
      </c>
      <c r="U21" s="20" t="str">
        <v>熊楚翔</v>
      </c>
      <c r="V21" s="20" t="str">
        <v>谢玥妃</v>
      </c>
      <c r="W21" s="21" t="str">
        <v>刘宓果</v>
      </c>
    </row>
    <row r="22" ht="28" customHeight="1" spans="2:23">
      <c r="B22" s="6"/>
      <c r="D22" s="18">
        <f t="shared" si="0"/>
        <v>18</v>
      </c>
      <c r="E22" s="19" t="str">
        <v>廖子菡</v>
      </c>
      <c r="F22" s="19" t="str">
        <v>林宗泽</v>
      </c>
      <c r="G22" s="20" t="str">
        <v>缪昊武</v>
      </c>
      <c r="H22" s="20" t="str">
        <v>张洛斯</v>
      </c>
      <c r="I22" s="20" t="str">
        <v>庄皓翔</v>
      </c>
      <c r="J22" s="20" t="str">
        <v>郭子恒</v>
      </c>
      <c r="K22" s="20" t="str">
        <v>欧阳紫桐</v>
      </c>
      <c r="L22" s="20" t="str">
        <v>刘宸浩</v>
      </c>
      <c r="M22" s="20" t="str">
        <v>杨其林</v>
      </c>
      <c r="N22" s="20" t="str">
        <v>侯锦霖</v>
      </c>
      <c r="O22" s="20" t="str">
        <v>冯嘉烨</v>
      </c>
      <c r="P22" s="20" t="str">
        <v>程芋萱</v>
      </c>
      <c r="Q22" s="20" t="str">
        <v>严梓恒</v>
      </c>
      <c r="R22" s="20" t="str">
        <v>方培燊</v>
      </c>
      <c r="S22" s="20" t="str">
        <v>李泽恒</v>
      </c>
      <c r="T22" s="20" t="str">
        <v>方欣怡</v>
      </c>
      <c r="U22" s="20" t="str">
        <v>曹梓涵</v>
      </c>
      <c r="V22" s="20" t="str">
        <v>陈雅诺</v>
      </c>
      <c r="W22" s="21" t="str">
        <v>唐菓</v>
      </c>
    </row>
    <row r="23" ht="28" customHeight="1" spans="2:23">
      <c r="B23" s="6"/>
      <c r="D23" s="18">
        <f t="shared" si="0"/>
        <v>19</v>
      </c>
      <c r="E23" s="19" t="str">
        <v>钟恩琳</v>
      </c>
      <c r="F23" s="19" t="str">
        <v>智靖雅</v>
      </c>
      <c r="G23" s="20" t="str">
        <v>莫梓涵</v>
      </c>
      <c r="H23" s="20" t="str">
        <v>吴雨琳</v>
      </c>
      <c r="I23" s="20" t="str">
        <v>杨梓沛</v>
      </c>
      <c r="J23" s="20" t="str">
        <v>李梓妍</v>
      </c>
      <c r="K23" s="20" t="str">
        <v>谢鑫媛</v>
      </c>
      <c r="L23" s="20" t="str">
        <v>张羽瑄</v>
      </c>
      <c r="M23" s="20" t="str">
        <v>聂名辰</v>
      </c>
      <c r="N23" s="20" t="str">
        <v>邱金扬</v>
      </c>
      <c r="O23" s="20" t="str">
        <v>王梓凝</v>
      </c>
      <c r="P23" s="20" t="str">
        <v>温雅晴</v>
      </c>
      <c r="Q23" s="20" t="str">
        <v>胡家豪</v>
      </c>
      <c r="R23" s="20" t="str">
        <v>李钰涵</v>
      </c>
      <c r="S23" s="20" t="str">
        <v>王震轩</v>
      </c>
      <c r="T23" s="20" t="str">
        <v>李羽洛</v>
      </c>
      <c r="U23" s="20" t="str">
        <v>陈妍孜</v>
      </c>
      <c r="V23" s="20" t="str">
        <v>陈紫涵</v>
      </c>
      <c r="W23" s="21" t="str">
        <v>邓晋颐</v>
      </c>
    </row>
    <row r="24" ht="28" customHeight="1" spans="2:23">
      <c r="B24" s="6"/>
      <c r="D24" s="18">
        <f t="shared" si="0"/>
        <v>20</v>
      </c>
      <c r="E24" s="19" t="str">
        <v>林子健</v>
      </c>
      <c r="F24" s="19" t="str">
        <v>叶梓霖</v>
      </c>
      <c r="G24" s="20" t="str">
        <v>李文博</v>
      </c>
      <c r="H24" s="20" t="str">
        <v>吴雨泽</v>
      </c>
      <c r="I24" s="20" t="str">
        <v>吴钟策</v>
      </c>
      <c r="J24" s="20" t="str">
        <v>邓晟涵</v>
      </c>
      <c r="K24" s="20" t="str">
        <v>李佳泽</v>
      </c>
      <c r="L24" s="20" t="str">
        <v>刘佳滢</v>
      </c>
      <c r="M24" s="20" t="str">
        <v>曾潇雅</v>
      </c>
      <c r="N24" s="20" t="str">
        <v>杨杰童</v>
      </c>
      <c r="O24" s="20" t="str">
        <v>刘志宇</v>
      </c>
      <c r="P24" s="20" t="str">
        <v>杨芷晴</v>
      </c>
      <c r="Q24" s="20" t="str">
        <v>李林歙</v>
      </c>
      <c r="R24" s="20" t="str">
        <v>王亦菲</v>
      </c>
      <c r="S24" s="20" t="str">
        <v>廖栩烨</v>
      </c>
      <c r="T24" s="20" t="str">
        <v>徐王蓓</v>
      </c>
      <c r="U24" s="20" t="str">
        <v>梁岳天</v>
      </c>
      <c r="V24" s="20" t="str">
        <v>谭诗皓</v>
      </c>
      <c r="W24" s="21" t="str">
        <v>郭书祎</v>
      </c>
    </row>
    <row r="25" ht="28" customHeight="1" spans="2:23">
      <c r="B25" s="6"/>
      <c r="D25" s="18">
        <f t="shared" si="0"/>
        <v>21</v>
      </c>
      <c r="E25" s="19" t="str">
        <v>黄浩燃</v>
      </c>
      <c r="F25" s="19" t="str">
        <v>李伊</v>
      </c>
      <c r="G25" s="20" t="str">
        <v>郭梓绮</v>
      </c>
      <c r="H25" s="20" t="str">
        <v>梁亚楠</v>
      </c>
      <c r="I25" s="20" t="str">
        <v>左伊雪</v>
      </c>
      <c r="J25" s="20" t="str">
        <v>樊璟朗</v>
      </c>
      <c r="K25" s="20" t="str">
        <v>黄睿曜</v>
      </c>
      <c r="L25" s="20" t="str">
        <v>李沛帆</v>
      </c>
      <c r="M25" s="20" t="str">
        <v>邱俊谦</v>
      </c>
      <c r="N25" s="20" t="str">
        <v>李映霏</v>
      </c>
      <c r="O25" s="20" t="str">
        <v>高菲阳</v>
      </c>
      <c r="P25" s="20" t="str">
        <v>尹子谦</v>
      </c>
      <c r="Q25" s="20" t="str">
        <v>任天倪</v>
      </c>
      <c r="R25" s="20" t="str">
        <v>刘茁粤</v>
      </c>
      <c r="S25" s="20" t="str">
        <v>林泓宇</v>
      </c>
      <c r="T25" s="20" t="str">
        <v>杨若瑜</v>
      </c>
      <c r="U25" s="20" t="str">
        <v>唐铭灿</v>
      </c>
      <c r="V25" s="20" t="str">
        <v>刘泊致</v>
      </c>
      <c r="W25" s="21" t="str">
        <v>何思璇</v>
      </c>
    </row>
    <row r="26" ht="28" customHeight="1" spans="2:23">
      <c r="B26" s="6"/>
      <c r="D26" s="18">
        <f t="shared" si="0"/>
        <v>22</v>
      </c>
      <c r="E26" s="19" t="str">
        <v>梁智轩</v>
      </c>
      <c r="F26" s="19" t="str">
        <v>黄炫凯</v>
      </c>
      <c r="G26" s="20" t="str">
        <v>谢童</v>
      </c>
      <c r="H26" s="20" t="str">
        <v>曾欣悦</v>
      </c>
      <c r="I26" s="20" t="str">
        <v>钟炽柔</v>
      </c>
      <c r="J26" s="20" t="str">
        <v>李洋</v>
      </c>
      <c r="K26" s="20" t="str">
        <v>黄奕</v>
      </c>
      <c r="L26" s="20" t="str">
        <v>秦山桐</v>
      </c>
      <c r="M26" s="20" t="str">
        <v>揣皓麟</v>
      </c>
      <c r="N26" s="20" t="str">
        <v>杨梓艺</v>
      </c>
      <c r="O26" s="20" t="str">
        <v>谢莹</v>
      </c>
      <c r="P26" s="20" t="str">
        <v>詹伊涵</v>
      </c>
      <c r="Q26" s="20" t="str">
        <v>陈楷宇</v>
      </c>
      <c r="R26" s="20" t="str">
        <v>唐子骁</v>
      </c>
      <c r="S26" s="20" t="str">
        <v>黄俊炜</v>
      </c>
      <c r="T26" s="20" t="str">
        <v>杨沐雨</v>
      </c>
      <c r="U26" s="20" t="str">
        <v>张浅浅</v>
      </c>
      <c r="V26" s="20" t="str">
        <v>曾宝晴</v>
      </c>
      <c r="W26" s="21" t="str">
        <v>谢思宇</v>
      </c>
    </row>
    <row r="27" ht="28" customHeight="1" spans="2:23">
      <c r="B27" s="6"/>
      <c r="D27" s="18">
        <f t="shared" si="0"/>
        <v>23</v>
      </c>
      <c r="E27" s="19" t="str">
        <v>张苗苗</v>
      </c>
      <c r="F27" s="19" t="str">
        <v>阙嘉乐</v>
      </c>
      <c r="G27" s="20" t="str">
        <v>张智航</v>
      </c>
      <c r="H27" s="20" t="str">
        <v>刘楚锋</v>
      </c>
      <c r="I27" s="20" t="str">
        <v>崔政楠</v>
      </c>
      <c r="J27" s="20" t="str">
        <v>萧君昊</v>
      </c>
      <c r="K27" s="20" t="str">
        <v>朱芷华</v>
      </c>
      <c r="L27" s="20" t="str">
        <v>刘卓霖</v>
      </c>
      <c r="M27" s="20" t="str">
        <v>黄梓琬</v>
      </c>
      <c r="N27" s="20" t="str">
        <v>肖程晴</v>
      </c>
      <c r="O27" s="20" t="str">
        <v>吴景喆</v>
      </c>
      <c r="P27" s="20" t="str">
        <v>张灏欣</v>
      </c>
      <c r="Q27" s="20" t="str">
        <v>马旻晏</v>
      </c>
      <c r="R27" s="20" t="str">
        <v>朱师钰</v>
      </c>
      <c r="S27" s="20" t="str">
        <v>李文君</v>
      </c>
      <c r="T27" s="20" t="str">
        <v>周熙迪</v>
      </c>
      <c r="U27" s="20" t="str">
        <v>许子跃</v>
      </c>
      <c r="V27" s="20" t="str">
        <v>王炯涵</v>
      </c>
      <c r="W27" s="21" t="str">
        <v>付圣博</v>
      </c>
    </row>
    <row r="28" ht="28" customHeight="1" spans="2:23">
      <c r="B28" s="6"/>
      <c r="D28" s="18">
        <f t="shared" si="0"/>
        <v>24</v>
      </c>
      <c r="E28" s="19" t="str">
        <v>朱文皓哲</v>
      </c>
      <c r="F28" s="19" t="str">
        <v>黄磊</v>
      </c>
      <c r="G28" s="20" t="str">
        <v>易妙可</v>
      </c>
      <c r="H28" s="20" t="str">
        <v>吴俊轩</v>
      </c>
      <c r="I28" s="20" t="str">
        <v>黄楷豪</v>
      </c>
      <c r="J28" s="20" t="str">
        <v>付丽云</v>
      </c>
      <c r="K28" s="20" t="str">
        <v>庹峻博</v>
      </c>
      <c r="L28" s="20" t="str">
        <v>邓林峰</v>
      </c>
      <c r="M28" s="20" t="str">
        <v>谢君豪</v>
      </c>
      <c r="N28" s="20" t="str">
        <v>张雅琪</v>
      </c>
      <c r="O28" s="20" t="str">
        <v>张雪晗</v>
      </c>
      <c r="P28" s="20" t="str">
        <v>罗天佑</v>
      </c>
      <c r="Q28" s="20" t="str">
        <v>张梓寒</v>
      </c>
      <c r="R28" s="20" t="str">
        <v>陈嘉扬</v>
      </c>
      <c r="S28" s="20" t="str">
        <v>罗子严</v>
      </c>
      <c r="T28" s="20" t="str">
        <v>王承淞</v>
      </c>
      <c r="U28" s="20" t="str">
        <v>张新烨</v>
      </c>
      <c r="V28" s="20" t="str">
        <v>陈泽佑</v>
      </c>
      <c r="W28" s="21" t="str">
        <v>王予涵</v>
      </c>
    </row>
    <row r="29" ht="28" customHeight="1" spans="2:23">
      <c r="B29" s="6"/>
      <c r="D29" s="18">
        <f t="shared" si="0"/>
        <v>25</v>
      </c>
      <c r="E29" s="19" t="str">
        <v>叶晋衡</v>
      </c>
      <c r="F29" s="19" t="str">
        <v>伍斯炜</v>
      </c>
      <c r="G29" s="20" t="str">
        <v>黄书瀚</v>
      </c>
      <c r="H29" s="20" t="str">
        <v>翁铭欣</v>
      </c>
      <c r="I29" s="20" t="str">
        <v>许宇畅</v>
      </c>
      <c r="J29" s="20" t="str">
        <v>梁泽浩</v>
      </c>
      <c r="K29" s="20" t="str">
        <v>廖丹青</v>
      </c>
      <c r="L29" s="20" t="str">
        <v>朱振东</v>
      </c>
      <c r="M29" s="20" t="str">
        <v>徐靖壹</v>
      </c>
      <c r="N29" s="20" t="str">
        <v>麦柏睿</v>
      </c>
      <c r="O29" s="20" t="str">
        <v>戴子尧</v>
      </c>
      <c r="P29" s="20" t="str">
        <v>苏雨嫣</v>
      </c>
      <c r="Q29" s="20" t="str">
        <v>麦昊岚</v>
      </c>
      <c r="R29" s="20" t="str">
        <v>李昊洋</v>
      </c>
      <c r="S29" s="20" t="str">
        <v>范欣怡</v>
      </c>
      <c r="T29" s="20" t="str">
        <v>卢伯晋</v>
      </c>
      <c r="U29" s="20" t="str">
        <v>吴桐雨</v>
      </c>
      <c r="V29" s="20" t="str">
        <v>陈迎菲</v>
      </c>
      <c r="W29" s="21" t="str">
        <v>王珺逸</v>
      </c>
    </row>
    <row r="30" ht="28" customHeight="1" spans="2:23">
      <c r="B30" s="6"/>
      <c r="D30" s="18">
        <f t="shared" si="0"/>
        <v>26</v>
      </c>
      <c r="E30" s="19" t="str">
        <v>冯浚杰</v>
      </c>
      <c r="F30" s="19" t="str">
        <v>张昊田</v>
      </c>
      <c r="G30" s="20" t="str">
        <v>钱志轩</v>
      </c>
      <c r="H30" s="20" t="str">
        <v>代一睿</v>
      </c>
      <c r="I30" s="20" t="str">
        <v>张初阳</v>
      </c>
      <c r="J30" s="20" t="str">
        <v>黄珷珺</v>
      </c>
      <c r="K30" s="20" t="str">
        <v>温卓源</v>
      </c>
      <c r="L30" s="20" t="str">
        <v>朱俊熙</v>
      </c>
      <c r="M30" s="20" t="str">
        <v>钱广峰</v>
      </c>
      <c r="N30" s="20" t="str">
        <v>王好</v>
      </c>
      <c r="O30" s="20" t="str">
        <v>陈泓羽</v>
      </c>
      <c r="P30" s="20" t="str">
        <v>张一鹭</v>
      </c>
      <c r="Q30" s="20" t="str">
        <v>梁宸</v>
      </c>
      <c r="R30" s="20" t="str">
        <v>陈佳怡</v>
      </c>
      <c r="S30" s="20" t="str">
        <v>林宇航</v>
      </c>
      <c r="T30" s="20" t="str">
        <v>詹廷煜</v>
      </c>
      <c r="U30" s="20" t="str">
        <v>许梓隆</v>
      </c>
      <c r="V30" s="20" t="str">
        <v>朱惠清</v>
      </c>
      <c r="W30" s="21" t="str">
        <v>郝明暄</v>
      </c>
    </row>
    <row r="31" ht="28" customHeight="1" spans="2:23">
      <c r="B31" s="6"/>
      <c r="D31" s="18">
        <f t="shared" si="0"/>
        <v>27</v>
      </c>
      <c r="E31" s="19" t="str">
        <v>刘希泽</v>
      </c>
      <c r="F31" s="19" t="str">
        <v>谭以珩</v>
      </c>
      <c r="G31" s="20" t="str">
        <v>肖俊霆</v>
      </c>
      <c r="H31" s="20" t="str">
        <v>丘芷琳</v>
      </c>
      <c r="I31" s="20" t="str">
        <v>冯文彦</v>
      </c>
      <c r="J31" s="20" t="str">
        <v>雷乐轩</v>
      </c>
      <c r="K31" s="20" t="str">
        <v>邝俊明</v>
      </c>
      <c r="L31" s="20" t="str">
        <v>张宇白</v>
      </c>
      <c r="M31" s="20" t="str">
        <v>江嘉琪</v>
      </c>
      <c r="N31" s="20" t="str">
        <v>马熙彤</v>
      </c>
      <c r="O31" s="20" t="str">
        <v>赖芯滢</v>
      </c>
      <c r="P31" s="20" t="str">
        <v>孙翊函</v>
      </c>
      <c r="Q31" s="20" t="str">
        <v>孔健沣</v>
      </c>
      <c r="R31" s="20" t="str">
        <v>赵逸承</v>
      </c>
      <c r="S31" s="20" t="str">
        <v>何炜堂</v>
      </c>
      <c r="T31" s="20" t="str">
        <v>郭彧</v>
      </c>
      <c r="U31" s="20" t="str">
        <v>曾子纯</v>
      </c>
      <c r="V31" s="20" t="str">
        <v>罗宇洋</v>
      </c>
      <c r="W31" s="21" t="str">
        <v>叶宇凡</v>
      </c>
    </row>
    <row r="32" ht="28" customHeight="1" spans="2:23">
      <c r="B32" s="6"/>
      <c r="D32" s="18">
        <f t="shared" si="0"/>
        <v>28</v>
      </c>
      <c r="E32" s="19" t="str">
        <v>黄欢畅</v>
      </c>
      <c r="F32" s="19" t="str">
        <v>刘焕堃</v>
      </c>
      <c r="G32" s="20" t="str">
        <v>郑灏林</v>
      </c>
      <c r="H32" s="20" t="str">
        <v>谢梓航</v>
      </c>
      <c r="I32" s="20" t="str">
        <v>罗梓豪</v>
      </c>
      <c r="J32" s="20" t="str">
        <v>游梦琪</v>
      </c>
      <c r="K32" s="20" t="str">
        <v>李皓然</v>
      </c>
      <c r="L32" s="20" t="str">
        <v>谢智嘉</v>
      </c>
      <c r="M32" s="20" t="str">
        <v>李芷琪</v>
      </c>
      <c r="N32" s="20" t="str">
        <v>叶语宸</v>
      </c>
      <c r="O32" s="20" t="str">
        <v>戴楷烜</v>
      </c>
      <c r="P32" s="20" t="str">
        <v>孟致远</v>
      </c>
      <c r="Q32" s="20" t="str">
        <v>潘心悦</v>
      </c>
      <c r="R32" s="20" t="str">
        <v>陈泳嘉</v>
      </c>
      <c r="S32" s="20" t="str">
        <v>刘欣怡</v>
      </c>
      <c r="T32" s="20" t="str">
        <v>吴墨桐</v>
      </c>
      <c r="U32" s="20" t="str">
        <v>熊曹洋</v>
      </c>
      <c r="V32" s="20" t="str">
        <v>张子烨</v>
      </c>
      <c r="W32" s="21" t="str">
        <v>李映霖</v>
      </c>
    </row>
    <row r="33" ht="28" customHeight="1" spans="2:23">
      <c r="B33" s="6"/>
      <c r="D33" s="18">
        <f t="shared" si="0"/>
        <v>29</v>
      </c>
      <c r="E33" s="19" t="str">
        <v>刘雨菲</v>
      </c>
      <c r="F33" s="19" t="str">
        <v>潘婧雯</v>
      </c>
      <c r="G33" s="20" t="str">
        <v>姚映栒</v>
      </c>
      <c r="H33" s="20" t="str">
        <v>左恩宇</v>
      </c>
      <c r="I33" s="20" t="str">
        <v>张鸿杰</v>
      </c>
      <c r="J33" s="20" t="str">
        <v>宋戈</v>
      </c>
      <c r="K33" s="20" t="str">
        <v>陈俊钊</v>
      </c>
      <c r="L33" s="20" t="str">
        <v>余少淇</v>
      </c>
      <c r="M33" s="20" t="str">
        <v>全舒妍</v>
      </c>
      <c r="N33" s="20" t="str">
        <v>徐可岚</v>
      </c>
      <c r="O33" s="20" t="str">
        <v>李源泉</v>
      </c>
      <c r="P33" s="20" t="str">
        <v>罗晟睿</v>
      </c>
      <c r="Q33" s="20" t="str">
        <v>丁一媛</v>
      </c>
      <c r="R33" s="20" t="str">
        <v>李子敬</v>
      </c>
      <c r="S33" s="20" t="str">
        <v>彭博文</v>
      </c>
      <c r="T33" s="20" t="str">
        <v>郑佳鑫</v>
      </c>
      <c r="U33" s="20" t="str">
        <v>曹梓灏</v>
      </c>
      <c r="V33" s="20" t="str">
        <v>常津豪</v>
      </c>
      <c r="W33" s="21" t="str">
        <v>付昊霖</v>
      </c>
    </row>
    <row r="34" ht="28" customHeight="1" spans="2:23">
      <c r="B34" s="6"/>
      <c r="D34" s="18">
        <f t="shared" si="0"/>
        <v>30</v>
      </c>
      <c r="E34" s="19" t="str">
        <v>马婉婷</v>
      </c>
      <c r="F34" s="19" t="str">
        <v>陈峻灏</v>
      </c>
      <c r="G34" s="20" t="str">
        <v>朱永熙</v>
      </c>
      <c r="H34" s="20" t="str">
        <v>林煜涔</v>
      </c>
      <c r="I34" s="20" t="str">
        <v>黎泳彤</v>
      </c>
      <c r="J34" s="20" t="str">
        <v>李羽浩</v>
      </c>
      <c r="K34" s="20" t="str">
        <v>黎培滔</v>
      </c>
      <c r="L34" s="20" t="str">
        <v>郭家润</v>
      </c>
      <c r="M34" s="20" t="str">
        <v>戴上焜</v>
      </c>
      <c r="N34" s="20" t="str">
        <v>谢雨珊</v>
      </c>
      <c r="O34" s="20" t="str">
        <v>黄丽雅</v>
      </c>
      <c r="P34" s="20" t="str">
        <v>萧凯铿</v>
      </c>
      <c r="Q34" s="20" t="str">
        <v>朱峻熙</v>
      </c>
      <c r="R34" s="20" t="str">
        <v>梁宇轩</v>
      </c>
      <c r="S34" s="20" t="str">
        <v>朱炫安</v>
      </c>
      <c r="T34" s="20" t="str">
        <v>刘昇</v>
      </c>
      <c r="U34" s="20" t="str">
        <v>吴晟喆</v>
      </c>
      <c r="V34" s="20" t="str">
        <v>范巍腾</v>
      </c>
      <c r="W34" s="21" t="str">
        <v>徐可未</v>
      </c>
    </row>
    <row r="35" ht="28" customHeight="1" spans="2:23">
      <c r="B35" s="6"/>
      <c r="D35" s="18">
        <f t="shared" si="0"/>
        <v>31</v>
      </c>
      <c r="E35" s="19" t="str">
        <v>李驭世</v>
      </c>
      <c r="F35" s="19" t="str">
        <v>李睿杰</v>
      </c>
      <c r="G35" s="20" t="str">
        <v>许峻豪</v>
      </c>
      <c r="H35" s="20" t="str">
        <v>邵泽凯</v>
      </c>
      <c r="I35" s="20" t="str">
        <v>万俊贤</v>
      </c>
      <c r="J35" s="20" t="str">
        <v>古灿丰</v>
      </c>
      <c r="K35" s="20" t="str">
        <v>汪辰轩</v>
      </c>
      <c r="L35" s="20" t="str">
        <v>蔡芷盈</v>
      </c>
      <c r="M35" s="20" t="str">
        <v>彭亮楠</v>
      </c>
      <c r="N35" s="20" t="str">
        <v>吴骐禄</v>
      </c>
      <c r="O35" s="20" t="str">
        <v>叶梓烯</v>
      </c>
      <c r="P35" s="20" t="str">
        <v>葛志远</v>
      </c>
      <c r="Q35" s="20" t="str">
        <v>王俊然</v>
      </c>
      <c r="R35" s="20" t="str">
        <v>林永祈</v>
      </c>
      <c r="S35" s="20" t="str">
        <v>丁政皓</v>
      </c>
      <c r="T35" s="20" t="str">
        <v>吴止境</v>
      </c>
      <c r="U35" s="20" t="str">
        <v>黄峻</v>
      </c>
      <c r="V35" s="20" t="str">
        <v>欧阳芷芊</v>
      </c>
      <c r="W35" s="21" t="str">
        <v>盛孝菏</v>
      </c>
    </row>
    <row r="36" ht="28" customHeight="1" spans="2:23">
      <c r="B36" s="6"/>
      <c r="D36" s="18">
        <f t="shared" si="0"/>
        <v>32</v>
      </c>
      <c r="E36" s="19" t="str">
        <v>叶晋熙</v>
      </c>
      <c r="F36" s="19" t="str">
        <v>李展宇</v>
      </c>
      <c r="G36" s="20" t="str">
        <v>杨伟泽</v>
      </c>
      <c r="H36" s="20" t="str">
        <v>陈圳熙</v>
      </c>
      <c r="I36" s="20" t="str">
        <v>文俊杰</v>
      </c>
      <c r="J36" s="20" t="str">
        <v>劳诗晴</v>
      </c>
      <c r="K36" s="20" t="str">
        <v>颜熙峻</v>
      </c>
      <c r="L36" s="20" t="str">
        <v>郑靖恒</v>
      </c>
      <c r="M36" s="20" t="str">
        <v>江君浩</v>
      </c>
      <c r="N36" s="20" t="str">
        <v>黄思源</v>
      </c>
      <c r="O36" s="20" t="str">
        <v>曾亨元</v>
      </c>
      <c r="P36" s="20" t="str">
        <v>李卓翰</v>
      </c>
      <c r="Q36" s="20" t="str">
        <v>邱昭懿</v>
      </c>
      <c r="R36" s="20" t="str">
        <v>姚子晨</v>
      </c>
      <c r="S36" s="20" t="str">
        <v>任彦瑾</v>
      </c>
      <c r="T36" s="20" t="str">
        <v>官家宜</v>
      </c>
      <c r="U36" s="20" t="str">
        <v>钟昱安</v>
      </c>
      <c r="V36" s="20" t="str">
        <v>曾楚铄</v>
      </c>
      <c r="W36" s="21" t="str">
        <v>袁子城</v>
      </c>
    </row>
    <row r="37" ht="28" customHeight="1" spans="2:23">
      <c r="B37" s="6"/>
      <c r="D37" s="18">
        <f t="shared" si="0"/>
        <v>33</v>
      </c>
      <c r="E37" s="19" t="str">
        <v>范文翔</v>
      </c>
      <c r="F37" s="19" t="str">
        <v>陈芷君</v>
      </c>
      <c r="G37" s="20" t="str">
        <v>颜浩翔</v>
      </c>
      <c r="H37" s="20" t="str">
        <v>谢惠慈</v>
      </c>
      <c r="I37" s="20" t="str">
        <v>严宇恒</v>
      </c>
      <c r="J37" s="20" t="str">
        <v>郑博元</v>
      </c>
      <c r="K37" s="20" t="str">
        <v>符培懋</v>
      </c>
      <c r="L37" s="20" t="str">
        <v>梁瑜妍</v>
      </c>
      <c r="M37" s="20" t="str">
        <v>钟梓琪</v>
      </c>
      <c r="N37" s="20" t="str">
        <v>林楚方</v>
      </c>
      <c r="O37" s="20" t="str">
        <v>敖以然</v>
      </c>
      <c r="P37" s="20" t="str">
        <v>庄婧菡</v>
      </c>
      <c r="Q37" s="20" t="str">
        <v>唐梓宸</v>
      </c>
      <c r="R37" s="20" t="str">
        <v>何彦潼</v>
      </c>
      <c r="S37" s="20" t="str">
        <v>孙启航</v>
      </c>
      <c r="T37" s="20" t="str">
        <v>何杨增</v>
      </c>
      <c r="U37" s="20" t="str">
        <v>卢佳悦</v>
      </c>
      <c r="V37" s="20" t="str">
        <v>陈烨平</v>
      </c>
      <c r="W37" s="21" t="str">
        <v>赵文祯</v>
      </c>
    </row>
    <row r="38" ht="28" customHeight="1" spans="2:23">
      <c r="B38" s="6"/>
      <c r="D38" s="18">
        <f t="shared" si="0"/>
        <v>34</v>
      </c>
      <c r="E38" s="19" t="str">
        <v>李萱</v>
      </c>
      <c r="F38" s="19" t="str">
        <v>张柔华</v>
      </c>
      <c r="G38" s="20" t="str">
        <v>林子为</v>
      </c>
      <c r="H38" s="20" t="str">
        <v>李荣轩</v>
      </c>
      <c r="I38" s="20" t="str">
        <v>曾晨熙</v>
      </c>
      <c r="J38" s="20" t="str">
        <v>林丰恩</v>
      </c>
      <c r="K38" s="20" t="str">
        <v>苏嘉华</v>
      </c>
      <c r="L38" s="20" t="str">
        <v>李浩诚</v>
      </c>
      <c r="M38" s="20" t="str">
        <v>杨舒茵</v>
      </c>
      <c r="N38" s="20" t="str">
        <v>叶奕贝</v>
      </c>
      <c r="O38" s="20" t="str">
        <v>周文宇</v>
      </c>
      <c r="P38" s="20" t="str">
        <v>陈弘</v>
      </c>
      <c r="Q38" s="20" t="str">
        <v>车文弢</v>
      </c>
      <c r="R38" s="20" t="str">
        <v>邱子馨</v>
      </c>
      <c r="S38" s="20" t="str">
        <v>陈艺瑶</v>
      </c>
      <c r="T38" s="20" t="str">
        <v>林钰轩</v>
      </c>
      <c r="U38" s="20" t="str">
        <v>李芷烨</v>
      </c>
      <c r="V38" s="20" t="str">
        <v>邱梓鑫</v>
      </c>
      <c r="W38" s="21" t="str">
        <v>胡俊希</v>
      </c>
    </row>
    <row r="39" ht="28" customHeight="1" spans="2:23">
      <c r="B39" s="6"/>
      <c r="D39" s="18">
        <f t="shared" si="0"/>
        <v>35</v>
      </c>
      <c r="E39" s="19" t="str">
        <v>朱浩宇</v>
      </c>
      <c r="F39" s="19" t="str">
        <v>黄文轩</v>
      </c>
      <c r="G39" s="20" t="str">
        <v>石鸿涛</v>
      </c>
      <c r="H39" s="20" t="str">
        <v>吴彦柏</v>
      </c>
      <c r="I39" s="20" t="str">
        <v>吕杰潼</v>
      </c>
      <c r="J39" s="20" t="str">
        <v>梁景恒</v>
      </c>
      <c r="K39" s="20" t="str">
        <v>林佩雯</v>
      </c>
      <c r="L39" s="20" t="str">
        <v>张书睿</v>
      </c>
      <c r="M39" s="20" t="str">
        <v>许志轩</v>
      </c>
      <c r="N39" s="20" t="str">
        <v>吴沐谦</v>
      </c>
      <c r="O39" s="20" t="str">
        <v>许君博</v>
      </c>
      <c r="P39" s="20" t="str">
        <v>蓝岚</v>
      </c>
      <c r="Q39" s="20" t="str">
        <v>崇峻</v>
      </c>
      <c r="R39" s="20" t="str">
        <v>杨航</v>
      </c>
      <c r="S39" s="20" t="str">
        <v>刘天琦</v>
      </c>
      <c r="T39" s="20" t="str">
        <v>方起</v>
      </c>
      <c r="U39" s="20" t="str">
        <v>符珈睿</v>
      </c>
      <c r="V39" s="20" t="str">
        <v>刘思晴</v>
      </c>
      <c r="W39" s="21" t="str">
        <v>胡佳祺</v>
      </c>
    </row>
    <row r="40" ht="28" customHeight="1" spans="2:23">
      <c r="B40" s="6"/>
      <c r="D40" s="18">
        <f t="shared" si="0"/>
        <v>36</v>
      </c>
      <c r="E40" s="19" t="str">
        <v>刁艺翔</v>
      </c>
      <c r="F40" s="19" t="str">
        <v>黄梓源</v>
      </c>
      <c r="G40" s="20" t="str">
        <v>罗伟桓</v>
      </c>
      <c r="H40" s="20" t="str">
        <v>黄芷恩</v>
      </c>
      <c r="I40" s="20" t="str">
        <v>龙文滔</v>
      </c>
      <c r="J40" s="20" t="str">
        <v>张君度</v>
      </c>
      <c r="K40" s="20" t="str">
        <v>郭宪霖</v>
      </c>
      <c r="L40" s="20" t="str">
        <v>张宗源</v>
      </c>
      <c r="M40" s="20" t="str">
        <v>王鸿彬</v>
      </c>
      <c r="N40" s="20" t="str">
        <v>李尚蔚</v>
      </c>
      <c r="O40" s="20" t="str">
        <v>江林睿</v>
      </c>
      <c r="P40" s="20" t="str">
        <v>谢佳福</v>
      </c>
      <c r="Q40" s="20" t="str">
        <v>李睿之</v>
      </c>
      <c r="R40" s="20" t="str">
        <v>黄一北</v>
      </c>
      <c r="S40" s="20" t="str">
        <v>叶涵迪</v>
      </c>
      <c r="T40" s="20" t="str">
        <v>郭子熙</v>
      </c>
      <c r="U40" s="20" t="str">
        <v>黄耀霆</v>
      </c>
      <c r="V40" s="20" t="str">
        <v>罗亦陶</v>
      </c>
      <c r="W40" s="21" t="str">
        <v>陈子轩</v>
      </c>
    </row>
    <row r="41" ht="28" customHeight="1" spans="2:23">
      <c r="B41" s="6"/>
      <c r="D41" s="18">
        <f t="shared" si="0"/>
        <v>37</v>
      </c>
      <c r="E41" s="19" t="str">
        <v>王嘉铭</v>
      </c>
      <c r="F41" s="19" t="str">
        <v>王天昊</v>
      </c>
      <c r="G41" s="20" t="str">
        <v>张子恩</v>
      </c>
      <c r="H41" s="20" t="str">
        <v>伍世睿</v>
      </c>
      <c r="I41" s="20" t="str">
        <v>许芷晴</v>
      </c>
      <c r="J41" s="20" t="str">
        <v>朱安沁</v>
      </c>
      <c r="K41" s="20" t="str">
        <v>杨州</v>
      </c>
      <c r="L41" s="20" t="str">
        <v>李佳慧</v>
      </c>
      <c r="M41" s="20" t="str">
        <v>王翌晓</v>
      </c>
      <c r="N41" s="20" t="str">
        <v>王汇新</v>
      </c>
      <c r="O41" s="20" t="str">
        <v>邹明桥</v>
      </c>
      <c r="P41" s="20" t="str">
        <v>黄靖祺</v>
      </c>
      <c r="Q41" s="20" t="str">
        <v>施泽熙</v>
      </c>
      <c r="R41" s="20" t="str">
        <v>黄星豪</v>
      </c>
      <c r="S41" s="20" t="str">
        <v>余俊贤</v>
      </c>
      <c r="T41" s="20" t="str">
        <v>林子轩</v>
      </c>
      <c r="U41" s="20" t="str">
        <v>段熙雯</v>
      </c>
      <c r="V41" s="20" t="str">
        <v>张安岐</v>
      </c>
      <c r="W41" s="21" t="str">
        <v>许皓轩</v>
      </c>
    </row>
    <row r="42" ht="28" customHeight="1" spans="2:23">
      <c r="B42" s="6"/>
      <c r="D42" s="18">
        <f t="shared" si="0"/>
        <v>38</v>
      </c>
      <c r="E42" s="19" t="str">
        <v>朴娜颖</v>
      </c>
      <c r="F42" s="19" t="str">
        <v>嵇祤宸</v>
      </c>
      <c r="G42" s="20" t="str">
        <v>曾德</v>
      </c>
      <c r="H42" s="20" t="str">
        <v>李铭杰</v>
      </c>
      <c r="I42" s="20" t="str">
        <v>刘思琪</v>
      </c>
      <c r="J42" s="20" t="str">
        <v>莫书豪</v>
      </c>
      <c r="K42" s="20" t="str">
        <v>李政锐</v>
      </c>
      <c r="L42" s="20" t="str">
        <v>魏子轩</v>
      </c>
      <c r="M42" s="20" t="str">
        <v>郑博涵</v>
      </c>
      <c r="N42" s="20" t="str">
        <v>俞琦峰</v>
      </c>
      <c r="O42" s="20" t="str">
        <v>蒋雨轩</v>
      </c>
      <c r="P42" s="20" t="str">
        <v>陈景翔</v>
      </c>
      <c r="Q42" s="20" t="str">
        <v>高汇轩</v>
      </c>
      <c r="R42" s="20" t="str">
        <v>李何翯</v>
      </c>
      <c r="S42" s="20" t="str">
        <v>张梓城</v>
      </c>
      <c r="T42" s="20" t="str">
        <v>林靖翔</v>
      </c>
      <c r="U42" s="20" t="str">
        <v>吴韦含</v>
      </c>
      <c r="V42" s="20" t="str">
        <v>李张成</v>
      </c>
      <c r="W42" s="21" t="str">
        <v>吴彦阳</v>
      </c>
    </row>
    <row r="43" ht="28" customHeight="1" spans="2:23">
      <c r="B43" s="6"/>
      <c r="D43" s="18">
        <f t="shared" si="0"/>
        <v>39</v>
      </c>
      <c r="E43" s="19" t="str">
        <v>姜晨旭</v>
      </c>
      <c r="F43" s="19" t="str">
        <v>黎泰贤</v>
      </c>
      <c r="G43" s="20" t="str">
        <v>麦一帆</v>
      </c>
      <c r="H43" s="20" t="str">
        <v>润熙和</v>
      </c>
      <c r="I43" s="20" t="str">
        <v>朱恒锋</v>
      </c>
      <c r="J43" s="20" t="str">
        <v>陈黄可</v>
      </c>
      <c r="K43" s="20" t="str">
        <v>雷家晔</v>
      </c>
      <c r="L43" s="20" t="str">
        <v>崔誉缤</v>
      </c>
      <c r="M43" s="20" t="str">
        <v>严俊杰</v>
      </c>
      <c r="N43" s="20" t="str">
        <v>叶添楠</v>
      </c>
      <c r="O43" s="20" t="str">
        <v>陈美美</v>
      </c>
      <c r="P43" s="20" t="str">
        <v>潘品妍</v>
      </c>
      <c r="Q43" s="20" t="str">
        <v>陈家宇</v>
      </c>
      <c r="R43" s="20" t="str">
        <v>罗君浩</v>
      </c>
      <c r="S43" s="20" t="str">
        <v>黄骏洋</v>
      </c>
      <c r="T43" s="20" t="str">
        <v>黄铭栋</v>
      </c>
      <c r="U43" s="20" t="str">
        <v>周梓睿</v>
      </c>
      <c r="V43" s="20" t="str">
        <v>谭子钦</v>
      </c>
      <c r="W43" s="21" t="str">
        <v>刘健钧</v>
      </c>
    </row>
    <row r="44" ht="28" customHeight="1" spans="2:23">
      <c r="B44" s="6"/>
      <c r="D44" s="18">
        <f t="shared" si="0"/>
        <v>40</v>
      </c>
      <c r="E44" s="19" t="str">
        <v>李浩森</v>
      </c>
      <c r="F44" s="19" t="str">
        <v>范洛铨</v>
      </c>
      <c r="G44" s="20" t="str">
        <v>何致远</v>
      </c>
      <c r="H44" s="20" t="str">
        <v>郑子昊</v>
      </c>
      <c r="I44" s="20"/>
      <c r="J44" s="20" t="str">
        <v>姚茗泽</v>
      </c>
      <c r="K44" s="20" t="str">
        <v>吴思怡</v>
      </c>
      <c r="L44" s="20" t="str">
        <v>宁若翔</v>
      </c>
      <c r="M44" s="20" t="str">
        <v>顾珂瑀</v>
      </c>
      <c r="N44" s="20"/>
      <c r="O44" s="20" t="str">
        <v>姚杰瀚</v>
      </c>
      <c r="P44" s="20" t="str">
        <v>蔡卓燃</v>
      </c>
      <c r="Q44" s="20" t="str">
        <v>刘心宇</v>
      </c>
      <c r="R44" s="20" t="str">
        <v>何笑薇</v>
      </c>
      <c r="S44" s="20" t="str">
        <v>何语菡</v>
      </c>
      <c r="T44" s="20" t="str">
        <v>徐梓然</v>
      </c>
      <c r="U44" s="20" t="str">
        <v>吉好</v>
      </c>
      <c r="V44" s="20" t="str">
        <v>黄禹仁</v>
      </c>
      <c r="W44" s="21" t="str">
        <v>冯予熙</v>
      </c>
    </row>
    <row r="45" ht="28" customHeight="1" spans="2:23">
      <c r="B45" s="6"/>
      <c r="D45" s="18">
        <f t="shared" si="0"/>
        <v>41</v>
      </c>
      <c r="E45" s="19" t="str">
        <v>许耀丹</v>
      </c>
      <c r="F45" s="19" t="str">
        <v>成紫强</v>
      </c>
      <c r="G45" s="20"/>
      <c r="H45" s="20" t="str">
        <v>李冠聪</v>
      </c>
      <c r="I45" s="20"/>
      <c r="J45" s="20" t="str">
        <v>段文韬</v>
      </c>
      <c r="K45" s="20" t="str">
        <v>余沃平</v>
      </c>
      <c r="L45" s="20" t="str">
        <v>李豪天</v>
      </c>
      <c r="M45" s="20" t="str">
        <v>刘嘉毅</v>
      </c>
      <c r="N45" s="20"/>
      <c r="O45" s="20" t="str">
        <v>肖茵瑜</v>
      </c>
      <c r="P45" s="20" t="str">
        <v>李汶骏</v>
      </c>
      <c r="Q45" s="20" t="str">
        <v>钟毓</v>
      </c>
      <c r="R45" s="20" t="str">
        <v>魏俊熙</v>
      </c>
      <c r="S45" s="20" t="str">
        <v>雷宇骁</v>
      </c>
      <c r="T45" s="20"/>
      <c r="U45" s="20" t="str">
        <v>孙士轩</v>
      </c>
      <c r="V45" s="20" t="str">
        <v>叶皓熙</v>
      </c>
      <c r="W45" s="21" t="str">
        <v>梁艺婷</v>
      </c>
    </row>
    <row r="46" ht="28" customHeight="1" spans="2:23">
      <c r="B46" s="6"/>
      <c r="D46" s="18">
        <f t="shared" si="0"/>
        <v>42</v>
      </c>
      <c r="E46" s="19"/>
      <c r="F46" s="19" t="str">
        <v>闫浩誉</v>
      </c>
      <c r="G46" s="20"/>
      <c r="H46" s="20"/>
      <c r="I46" s="20"/>
      <c r="J46" s="20" t="str">
        <v>臧弈鸣</v>
      </c>
      <c r="K46" s="20" t="str">
        <v>张又菡</v>
      </c>
      <c r="L46" s="20"/>
      <c r="M46" s="20" t="str">
        <v>郭钰涵</v>
      </c>
      <c r="N46" s="20"/>
      <c r="O46" s="20" t="str">
        <v>潘佳楠</v>
      </c>
      <c r="P46" s="20"/>
      <c r="Q46" s="20"/>
      <c r="R46" s="20" t="str">
        <v>刘懿慧</v>
      </c>
      <c r="S46" s="20" t="str">
        <v>季子航</v>
      </c>
      <c r="T46" s="20"/>
      <c r="U46" s="20" t="str">
        <v>梁桉菱</v>
      </c>
      <c r="V46" s="20" t="str">
        <v>俞淑敏</v>
      </c>
      <c r="W46" s="21" t="str">
        <v>杨剑淇</v>
      </c>
    </row>
    <row r="47" ht="28" customHeight="1" spans="2:23">
      <c r="B47" s="6"/>
      <c r="D47" s="18">
        <f t="shared" si="0"/>
        <v>43</v>
      </c>
      <c r="E47" s="19"/>
      <c r="F47" s="19" t="str">
        <v>张馨予</v>
      </c>
      <c r="G47" s="20"/>
      <c r="H47" s="20"/>
      <c r="I47" s="20"/>
      <c r="J47" s="20" t="str">
        <v>李晋希</v>
      </c>
      <c r="K47" s="20" t="str">
        <v>杨泽凯</v>
      </c>
      <c r="L47" s="20"/>
      <c r="M47" s="20" t="str">
        <v>黄子轩</v>
      </c>
      <c r="N47" s="20"/>
      <c r="O47" s="20" t="str">
        <v>郑皓伦</v>
      </c>
      <c r="P47" s="20"/>
      <c r="Q47" s="20"/>
      <c r="R47" s="20" t="str">
        <v>陈震宁</v>
      </c>
      <c r="S47" s="20" t="str">
        <v>曾子瀚</v>
      </c>
      <c r="T47" s="20"/>
      <c r="U47" s="20" t="str">
        <v>谢俊濠</v>
      </c>
      <c r="V47" s="20" t="str">
        <v>岑晓清</v>
      </c>
      <c r="W47" s="21" t="str">
        <v>熊思贤</v>
      </c>
    </row>
    <row r="48" ht="28" customHeight="1" spans="2:23">
      <c r="B48" s="6"/>
      <c r="D48" s="18">
        <f t="shared" si="0"/>
        <v>44</v>
      </c>
      <c r="E48" s="19"/>
      <c r="F48" s="19"/>
      <c r="G48" s="20"/>
      <c r="H48" s="20"/>
      <c r="I48" s="20"/>
      <c r="J48" s="20" t="str">
        <v>谢沛莹</v>
      </c>
      <c r="K48" s="20" t="str">
        <v>张浩轩</v>
      </c>
      <c r="L48" s="20"/>
      <c r="M48" s="20" t="str">
        <v>胡俊天</v>
      </c>
      <c r="N48" s="20"/>
      <c r="O48" s="20"/>
      <c r="P48" s="20"/>
      <c r="Q48" s="20"/>
      <c r="R48" s="20"/>
      <c r="S48" s="20" t="str">
        <v>蔡熹</v>
      </c>
      <c r="T48" s="20"/>
      <c r="U48" s="20"/>
      <c r="V48" s="20"/>
      <c r="W48" s="21"/>
    </row>
    <row r="49" ht="28" customHeight="1" spans="2:23">
      <c r="B49" s="6"/>
      <c r="D49" s="22">
        <f t="shared" si="0"/>
        <v>45</v>
      </c>
      <c r="E49" s="23"/>
      <c r="F49" s="23"/>
      <c r="G49" s="24"/>
      <c r="H49" s="24"/>
      <c r="I49" s="24"/>
      <c r="J49" s="24" t="str">
        <v>陈沛斯</v>
      </c>
      <c r="K49" s="24" t="str">
        <v>周俊希</v>
      </c>
      <c r="L49" s="24"/>
      <c r="M49" s="24" t="str">
        <v>王威越</v>
      </c>
      <c r="N49" s="24"/>
      <c r="O49" s="24"/>
      <c r="P49" s="24"/>
      <c r="Q49" s="24"/>
      <c r="R49" s="24"/>
      <c r="S49" s="24" t="str">
        <v>郭千亿</v>
      </c>
      <c r="T49" s="24"/>
      <c r="U49" s="24"/>
      <c r="V49" s="24"/>
      <c r="W49" s="25"/>
    </row>
  </sheetData>
  <mergeCells count="1">
    <mergeCell ref="D2:W2"/>
  </mergeCells>
  <conditionalFormatting sqref="E5:W49">
    <cfRule type="duplicateValues" dxfId="53" priority="1"/>
  </conditionalFormatting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J18"/>
  <sheetViews>
    <sheetView showGridLines="0" workbookViewId="0">
      <selection activeCell="K15" sqref="K15"/>
    </sheetView>
  </sheetViews>
  <sheetFormatPr defaultColWidth="8.75" defaultRowHeight="13"/>
  <cols>
    <col min="1" max="1" width="1.41" style="2" customWidth="1"/>
    <col min="2" max="2" width="5.75" style="2" customWidth="1"/>
    <col min="3" max="3" width="1.41" style="2" customWidth="1"/>
    <col min="4" max="5" width="8.75" style="2"/>
    <col min="6" max="8" width="10.83" style="2" customWidth="1"/>
    <col min="9" max="9" width="1.25" style="2" customWidth="1"/>
    <col min="10" max="10" width="11.83" style="2" customWidth="1"/>
    <col min="11" max="16384" width="8.75" style="2"/>
  </cols>
  <sheetData>
    <row r="1" ht="8.15" customHeight="1" spans="2:10">
      <c r="D1" s="3" t="s">
        <v>880</v>
      </c>
    </row>
    <row r="2" s="1" customFormat="1" ht="38.15" customHeight="1" spans="2:10">
      <c r="B2" s="4"/>
      <c r="D2" s="5" t="s">
        <v>881</v>
      </c>
      <c r="E2" s="5"/>
      <c r="F2" s="5"/>
      <c r="G2" s="5"/>
      <c r="H2" s="5"/>
    </row>
    <row r="3" ht="8.15" customHeight="1" spans="2:10">
      <c r="B3" s="6"/>
    </row>
    <row r="4" ht="28" customHeight="1" spans="2:10">
      <c r="B4" s="6"/>
      <c r="D4" s="7" t="s">
        <v>5</v>
      </c>
      <c r="E4" s="7" t="s">
        <v>6</v>
      </c>
      <c r="F4" s="7" t="s">
        <v>882</v>
      </c>
      <c r="G4" s="7" t="s">
        <v>883</v>
      </c>
      <c r="H4" s="7" t="s">
        <v>884</v>
      </c>
      <c r="J4" s="8" t="s">
        <v>4</v>
      </c>
    </row>
    <row r="5" ht="28" customHeight="1" spans="2:10">
      <c r="B5" s="6"/>
      <c r="D5" s="9" t="s">
        <v>13</v>
      </c>
      <c r="E5" s="10">
        <v>120</v>
      </c>
      <c r="F5" s="9">
        <f>RIGHT(F$4,3)*表满分成绩[[#This Row],[满分]]</f>
        <v>102</v>
      </c>
      <c r="G5" s="9">
        <f>RIGHT(G$4,3)*表满分成绩[[#This Row],[满分]]</f>
        <v>96</v>
      </c>
      <c r="H5" s="9">
        <f>RIGHT(H$4,3)*表满分成绩[[#This Row],[满分]]</f>
        <v>72</v>
      </c>
      <c r="J5" s="11" cm="1">
        <f t="array" ref="J5:J8">_xlfn.UNIQUE(表成绩单[考试日期])</f>
        <v>45975</v>
      </c>
    </row>
    <row r="6" ht="28" customHeight="1" spans="2:10">
      <c r="B6" s="6"/>
      <c r="D6" s="9" t="s">
        <v>14</v>
      </c>
      <c r="E6" s="10">
        <v>120</v>
      </c>
      <c r="F6" s="9">
        <f>RIGHT(F$4,3)*表满分成绩[[#This Row],[满分]]</f>
        <v>102</v>
      </c>
      <c r="G6" s="9">
        <f>RIGHT(G$4,3)*表满分成绩[[#This Row],[满分]]</f>
        <v>96</v>
      </c>
      <c r="H6" s="9">
        <f>RIGHT(H$4,3)*表满分成绩[[#This Row],[满分]]</f>
        <v>72</v>
      </c>
      <c r="J6" s="11">
        <v>46003</v>
      </c>
    </row>
    <row r="7" ht="28" customHeight="1" spans="2:10">
      <c r="B7" s="6"/>
      <c r="D7" s="9" t="s">
        <v>15</v>
      </c>
      <c r="E7" s="10">
        <v>90</v>
      </c>
      <c r="F7" s="9">
        <f>RIGHT(F$4,3)*表满分成绩[[#This Row],[满分]]</f>
        <v>76.5</v>
      </c>
      <c r="G7" s="9">
        <f>RIGHT(G$4,3)*表满分成绩[[#This Row],[满分]]</f>
        <v>72</v>
      </c>
      <c r="H7" s="9">
        <f>RIGHT(H$4,3)*表满分成绩[[#This Row],[满分]]</f>
        <v>54</v>
      </c>
      <c r="J7" s="11">
        <v>46030</v>
      </c>
    </row>
    <row r="8" ht="28" customHeight="1" spans="2:10">
      <c r="B8" s="6"/>
      <c r="D8" s="9" t="s">
        <v>16</v>
      </c>
      <c r="E8" s="10">
        <v>90</v>
      </c>
      <c r="F8" s="9">
        <f>RIGHT(F$4,3)*表满分成绩[[#This Row],[满分]]</f>
        <v>76.5</v>
      </c>
      <c r="G8" s="9">
        <f>RIGHT(G$4,3)*表满分成绩[[#This Row],[满分]]</f>
        <v>72</v>
      </c>
      <c r="H8" s="9">
        <f>RIGHT(H$4,3)*表满分成绩[[#This Row],[满分]]</f>
        <v>54</v>
      </c>
      <c r="J8" s="11">
        <v>46108</v>
      </c>
    </row>
    <row r="9" ht="28" customHeight="1" spans="2:10">
      <c r="B9" s="6"/>
      <c r="D9" s="9" t="s">
        <v>17</v>
      </c>
      <c r="E9" s="10">
        <v>90</v>
      </c>
      <c r="F9" s="9">
        <f>RIGHT(F$4,3)*表满分成绩[[#This Row],[满分]]</f>
        <v>76.5</v>
      </c>
      <c r="G9" s="9">
        <f>RIGHT(G$4,3)*表满分成绩[[#This Row],[满分]]</f>
        <v>72</v>
      </c>
      <c r="H9" s="9">
        <f>RIGHT(H$4,3)*表满分成绩[[#This Row],[满分]]</f>
        <v>54</v>
      </c>
    </row>
    <row r="10" ht="28" customHeight="1" spans="2:10">
      <c r="B10" s="6"/>
      <c r="D10" s="9" t="s">
        <v>18</v>
      </c>
      <c r="E10" s="10">
        <v>90</v>
      </c>
      <c r="F10" s="9">
        <f>RIGHT(F$4,3)*表满分成绩[[#This Row],[满分]]</f>
        <v>76.5</v>
      </c>
      <c r="G10" s="9">
        <f>RIGHT(G$4,3)*表满分成绩[[#This Row],[满分]]</f>
        <v>72</v>
      </c>
      <c r="H10" s="9">
        <f>RIGHT(H$4,3)*表满分成绩[[#This Row],[满分]]</f>
        <v>54</v>
      </c>
    </row>
    <row r="11" ht="28" customHeight="1" spans="2:10">
      <c r="B11" s="6"/>
      <c r="D11" s="9" t="s">
        <v>19</v>
      </c>
      <c r="E11" s="10">
        <v>90</v>
      </c>
      <c r="F11" s="9">
        <f>RIGHT(F$4,3)*表满分成绩[[#This Row],[满分]]</f>
        <v>76.5</v>
      </c>
      <c r="G11" s="9">
        <f>RIGHT(G$4,3)*表满分成绩[[#This Row],[满分]]</f>
        <v>72</v>
      </c>
      <c r="H11" s="9">
        <f>RIGHT(H$4,3)*表满分成绩[[#This Row],[满分]]</f>
        <v>54</v>
      </c>
    </row>
    <row r="12" ht="28" customHeight="1" spans="2:10">
      <c r="B12" s="6"/>
      <c r="D12" s="12" t="s">
        <v>20</v>
      </c>
      <c r="E12" s="10">
        <f>SUM(E5:E11)</f>
        <v>690</v>
      </c>
      <c r="F12" s="12">
        <f>RIGHT(F$4,3)*表满分成绩[[#This Row],[满分]]</f>
        <v>586.5</v>
      </c>
      <c r="G12" s="12">
        <f>RIGHT(G$4,3)*表满分成绩[[#This Row],[满分]]</f>
        <v>552</v>
      </c>
      <c r="H12" s="12">
        <f>RIGHT(H$4,3)*表满分成绩[[#This Row],[满分]]</f>
        <v>414</v>
      </c>
    </row>
    <row r="13" spans="2:10">
      <c r="B13" s="6"/>
    </row>
    <row r="14" spans="2:10">
      <c r="B14" s="6"/>
    </row>
    <row r="15" spans="2:10">
      <c r="B15" s="6"/>
    </row>
    <row r="16" spans="2:10">
      <c r="B16" s="6"/>
    </row>
    <row r="17" spans="2:2">
      <c r="B17" s="6"/>
    </row>
    <row r="18" spans="2:2">
      <c r="B18" s="6"/>
    </row>
  </sheetData>
  <mergeCells count="1">
    <mergeCell ref="D2:H2"/>
  </mergeCells>
  <hyperlinks>
    <hyperlink ref="D1" location="'封面-成绩分析系统'!A1" display="返回◀"/>
  </hyperlinks>
  <pageMargins left="0.7" right="0.7" top="0.75" bottom="0.75" header="0.3" footer="0.3"/>
  <headerFooter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DataMashup xmlns="http://schemas.microsoft.com/DataMashup">AAAAAGwDAABQSwMECgAAAAAAh07iQAAAAAAAAAAAAAAAAAcAAABDb25maWcvUEsDBBQAAAAIAIdO4kASOP6YnwAAAPMAAAASAAAAQ29uZmlnL1BhY2thZ2UueG1shY9NC4IwHMa/iuzuNmdRyN958JoRBNF1zDVHOsPNJn36jDK6dXtefofngWLq2uiuBmd6m6MEUxQpK/vaWJ2j0V/iLSo4HIS8Cq2iGbYum1ydo8b7W0ZICAGHFPeDJozShJyr3VE2qhPoC5v/cGys88JKhTic3mM4w8lqg9N1iimQJYTK2EUzzOa9r/YnhHJs/Tgo/mjicg9ksUA+H/gTUEsDBAoAAAAAAIdO4kAAAAAAAAAAAAAAAAAJAAAARm9ybXVsYXMvUEsDBBQAAAAIAIdO4kAoike4DgAAABEAAAATAAAARm9ybXVsYXMvU2VjdGlvbjEubStOTS7JzM9TCIbQhtYAUEsDBBQAAAAIAIdO4kB/v9PKnQAAAOQAAAATAAAAW0NvbnRlbnRfVHlwZXNdLnhtbG2PSw7CMAxErxJ5n7qwQAg17aJwAy4QBfcjmo8aF4Xbk9AdYunxPM+46ZJdxIvWOHun4FDVIMgZ/5jdqGDjQZ6ha5v7O1AU2eqigok5XBCjmcjqWPlALm8Gv1rNeVxHDNo89Uh4rOsTGu+YHEsuN6BtrjTobWFxS1neYzMOot99JUoBU2IsMv4F7I9dh7DMRnN+ApO0UdoC4rd2+wFQSwECFAAUAAAACACHTuJAf7/Typ0AAADkAAAAEwAAAAAAAAABACAAAABaAQAAW0NvbnRlbnRfVHlwZXNdLnhtbFBLAQIUAAoAAAAAAIdO4kAAAAAAAAAAAAAAAAAHAAAAAAAAAAAAEAAAAAAAAABDb25maWcvUEsBAhQAFAAAAAgAh07iQBI4/pifAAAA8wAAABIAAAAAAAAAAQAgAAAAJQAAAENvbmZpZy9QYWNrYWdlLnhtbFBLAQIUAAoAAAAAAIdO4kAAAAAAAAAAAAAAAAAJAAAAAAAAAAAAEAAAAPQAAABGb3JtdWxhcy9QSwECFAAUAAAACACHTuJAKIpHuA4AAAARAAAAEwAAAAAAAAABACAAAAAbAQAARm9ybXVsYXMvU2VjdGlvbjEubVBLBQYAAAAABQAFAC4BAAAoAgAAAAAOAQAAPD94bWwgdmVyc2lvbj0iMS4wIiBlbmNvZGluZz0idXRmLTgiID8+PFBlcm1pc3Npb25MaXN0IHhtbG5zOnhzZD0iaHR0cDovL3d3dy53My5vcmcvMjAwMS9YTUxTY2hlbWEiIHhtbG5zOnhzaT0iaHR0cDovL3d3dy53My5vcmcvMjAwMS9YTUxTY2hlbWEtaW5zdGFuY2UiPjxDYW5FdmFsdWF0ZUZ1dHVyZVBhY2thZ2VzPmZhbHNlPC9DYW5FdmFsdWF0ZUZ1dHVyZVBhY2thZ2VzPjxGaXJld2FsbEVuYWJsZWQ+dHJ1ZTwvRmlyZXdhbGxFbmFibGVkPjwvUGVybWlzc2lvbkxpc3Q+wwEAAAAAAAChAQAAPD94bWwgdmVyc2lvbj0iMS4wIiBlbmNvZGluZz0idXRmLTgiID8+PExvY2FsUGFja2FnZU1ldGFkYXRhRmlsZSB4bWxuczp4c2Q9Imh0dHA6Ly93d3cudzMub3JnLzIwMDEvWE1MU2NoZW1hIiB4bWxuczp4c2k9Imh0dHA6Ly93d3cudzMub3JnLzIwMDEvWE1MU2NoZW1hLWluc3RhbmNlIj48SXRlbXM+PEl0ZW0+PEl0ZW1Mb2NhdGlvbj48SXRlbVR5cGU+QWxsRm9ybXVsYXM8L0l0ZW1UeXBlPjxJdGVtUGF0aCAvPjwvSXRlbUxvY2F0aW9uPjxTdGFibGVFbnRyaWVzPjxFbnRyeSBUeXBlPSJRdWVyeUdyb3VwcyIgVmFsdWU9InNBQUFBQUE9PSIgLz48RW50cnkgVHlwZT0iUmVsYXRpb25zaGlwcyIgVmFsdWU9InNBQUFBQUE9PSIgLz48L1N0YWJsZUVudHJpZXM+PC9JdGVtPjwvSXRlbXM+PC9Mb2NhbFBhY2thZ2VNZXRhZGF0YUZpbGU+FgAAAFBLBQYAAAAAAAAAAAAAAAAAAAAAAAAmAQAAAQAAANCMnd8BFdERjHoAwE/Cl+sBAAAA9mSr8ziI60KjGD6vtqu3QwAAAAACAAAAAAAQZgAAAAEAACAAAAB5BRJmQbTsdZZQQBv7sA8sQ7Po3J/QN4xTBLMstqo1SAAAAAAOgAAAAAIAACAAAACMV5EWuTWvEhjTcwaSNIyHZG/lm0yXOjBDbbSJPYnPUlAAAAAbYpkVzHGLP5LNA7VbDxktffBDjT1dlieXmVoFINzCoWrE6Wi8t5sKSzRaq0oRCHf+FV/h11i5pRlVrR7qWxwBYxNeZ32cZJ/ss7IM8Lw9k0AAAADT8ypGmLUBwACfUHmIXyk5rvlxjvbVjzqvlPCi5h7tXS1na/ZtjU1Mpgt7t3xUZ2s8MvQJFiI7hNZywlxSuH1H</DataMashup>
</file>

<file path=customXml/itemProps1.xml><?xml version="1.0" encoding="utf-8"?>
<ds:datastoreItem xmlns:ds="http://schemas.openxmlformats.org/officeDocument/2006/customXml" ds:itemID="{54F7DFF2-78F6-4F9C-AA12-AE497AE46A6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学生个人成绩分析看板</vt:lpstr>
      <vt:lpstr>学生个人成绩统计表</vt:lpstr>
      <vt:lpstr>教学质量分析</vt:lpstr>
      <vt:lpstr>成绩单汇总</vt:lpstr>
      <vt:lpstr>各班学生名单</vt:lpstr>
      <vt:lpstr>科目明细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仲秋 李</dc:creator>
  <cp:lastModifiedBy>水影碧清</cp:lastModifiedBy>
  <dcterms:created xsi:type="dcterms:W3CDTF">2025-03-21T10:47:00Z</dcterms:created>
  <cp:lastPrinted>2026-04-02T03:50:00Z</cp:lastPrinted>
  <dcterms:modified xsi:type="dcterms:W3CDTF">2026-04-03T08:19:06Z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1FBCE822B9424119A2B3ED06763B3323_13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0</vt:i4>
  </property>
</Properties>
</file>